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D:\الاليات\"/>
    </mc:Choice>
  </mc:AlternateContent>
  <xr:revisionPtr revIDLastSave="0" documentId="13_ncr:1_{4B9408DC-0735-4B86-ABF8-553A1E5CE269}" xr6:coauthVersionLast="47" xr6:coauthVersionMax="47" xr10:uidLastSave="{00000000-0000-0000-0000-000000000000}"/>
  <bookViews>
    <workbookView xWindow="-108" yWindow="-108" windowWidth="23256" windowHeight="12576" tabRatio="601" activeTab="2" xr2:uid="{00000000-000D-0000-FFFF-FFFF00000000}"/>
  </bookViews>
  <sheets>
    <sheet name="ادخال البيانات" sheetId="8" r:id="rId1"/>
    <sheet name="لوحة التحكم" sheetId="6" r:id="rId2"/>
    <sheet name="قاعدة البيانات" sheetId="11" r:id="rId3"/>
    <sheet name="الاعدادت" sheetId="5" r:id="rId4"/>
    <sheet name="قوائم منسدلة" sheetId="9" state="hidden" r:id="rId5"/>
    <sheet name="بيان بالآليات" sheetId="4" state="hidden" r:id="rId6"/>
  </sheets>
  <definedNames>
    <definedName name="_xlnm._FilterDatabase" localSheetId="5" hidden="1">'بيان بالآليات'!$A$1:$T$641</definedName>
    <definedName name="_xlnm._FilterDatabase" localSheetId="2" hidden="1">'قاعدة البيانات'!$A$1:$Z$4961</definedName>
    <definedName name="_xlnm._FilterDatabase" localSheetId="1" hidden="1">'لوحة التحكم'!$A$9:$A$268</definedName>
    <definedName name="_xlnm.Print_Area" localSheetId="0">'ادخال البيانات'!$A$1:$R$1170</definedName>
    <definedName name="_xlnm.Print_Area" localSheetId="5">'بيان بالآليات'!$A$1:$K$641</definedName>
    <definedName name="_xlnm.Print_Area" localSheetId="2">'قاعدة البيانات'!$A$1:$Z$638</definedName>
    <definedName name="_xlnm.Print_Titles" localSheetId="5">'بيان بالآليات'!$1:$1</definedName>
    <definedName name="_xlnm.Print_Titles" localSheetId="2">'قاعدة البيانات'!$1:$1</definedName>
    <definedName name="Slicer_الحالة_الفنية">#N/A</definedName>
    <definedName name="Slicer_نوع_السيارة_تفصيلي">#N/A</definedName>
    <definedName name="STKB_CVD_destype_cache_desformat_xml" localSheetId="5">'بيان بالآليات'!#REF!</definedName>
    <definedName name="STKB_CVD_destype_cache_desformat_xml" localSheetId="2">'قاعدة البيانات'!#REF!</definedName>
    <definedName name="شعبة_ابحر" localSheetId="0">Table3[شعبة ابحر]</definedName>
    <definedName name="شعبة_ابحر">Table3[شعبة ابحر]</definedName>
    <definedName name="شعبة_الاسكان" localSheetId="0">Table3[شعبة الاسكان]</definedName>
    <definedName name="شعبة_الاسكان">Table3[شعبة الاسكان]</definedName>
    <definedName name="شعبة_البغدادية" localSheetId="0">Table3[شعبة البغدادية]</definedName>
    <definedName name="شعبة_البغدادية">Table3[شعبة البغدادية]</definedName>
    <definedName name="شعبة_الجامعة" localSheetId="0">Table3[شعبة الجامعة]</definedName>
    <definedName name="شعبة_الجامعة">Table3[شعبة الجامعة]</definedName>
    <definedName name="شعبة_الحمدانية" localSheetId="0">Table3[شعبة الحمدانية]</definedName>
    <definedName name="شعبة_الحمدانية">Table3[شعبة الحمدانية]</definedName>
    <definedName name="شعبة_الساحل_الجنوبي" localSheetId="0">Table3[شعبة الساحل الجنوبي]</definedName>
    <definedName name="شعبة_الساحل_الجنوبي">Table3[شعبة الساحل الجنوبي]</definedName>
    <definedName name="شعبة_السالمية" localSheetId="0">Table3[شعبة السالمية]</definedName>
    <definedName name="شعبة_السالمية">Table3[شعبة السالمية]</definedName>
    <definedName name="شعبة_الشاطئ" localSheetId="0">Table3[شعبة الشاطئ]</definedName>
    <definedName name="شعبة_الشاطئ">Table3[شعبة الشاطئ]</definedName>
    <definedName name="شعبة_الصناعية" localSheetId="0">Table3[شعبة الصناعية]</definedName>
    <definedName name="شعبة_الصناعية">Table3[شعبة الصناعية]</definedName>
    <definedName name="شعبة_العزيزية" localSheetId="0">Table3[شعبة العزيزية]</definedName>
    <definedName name="شعبة_العزيزية">Table3[شعبة العزيزية]</definedName>
    <definedName name="شعبة_المروة" localSheetId="0">Table3[شعبة المروة]</definedName>
    <definedName name="شعبة_المروة">Table3[شعبة المروة]</definedName>
    <definedName name="شعبة_خزام" localSheetId="0">Table3[شعبة خزام]</definedName>
    <definedName name="شعبة_خزام">Table3[شعبة خزام]</definedName>
    <definedName name="قسم_الاسناد_الاول_والثاني_والثالث" localSheetId="0">Table3[قسم الاسناد الاول والثاني والثالث]</definedName>
    <definedName name="قسم_الاسناد_الاول_والثاني_والثالث">Table3[قسم الاسناد الاول والثاني والثالث]</definedName>
    <definedName name="مركز_ثول_الخارجي" localSheetId="0">Table3[مركز ثول الخارجي]</definedName>
    <definedName name="مركز_ثول_الخارجي">Table3[مركز ثول الخارجي]</definedName>
    <definedName name="مقسم_طريقة_العرض_الجهة_تفصيلي__تنطيق_الاوراكل">#N/A</definedName>
    <definedName name="مقسم_طريقة_العرض_الجهة_عام">#N/A</definedName>
    <definedName name="مقسم_طريقة_العرض_اللون">#N/A</definedName>
    <definedName name="مقسم_طريقة_العرض_المركز">#N/A</definedName>
    <definedName name="مقسم_طريقة_العرض_الموديل">#N/A</definedName>
    <definedName name="مقسم_طريقة_العرض_الموقع_الالية_الحالي">#N/A</definedName>
    <definedName name="مقسم_طريقة_العرض_تاريخ_الإصلاح">#N/A</definedName>
    <definedName name="مقسم_طريقة_العرض_تاريخ_العطل">#N/A</definedName>
    <definedName name="مقسم_طريقة_العرض_جهة_العطل">#N/A</definedName>
    <definedName name="مقسم_طريقة_العرض_رقم_الشاصية">#N/A</definedName>
    <definedName name="مقسم_طريقة_العرض_رقم_اللوحة_كامل">#N/A</definedName>
    <definedName name="مقسم_طريقة_العرض_مدة_العطل__بالايام">#N/A</definedName>
    <definedName name="مقسم_طريقة_العرض_نوع_السيارة_عام">#N/A</definedName>
    <definedName name="مقسم_طريقة_العرض_نوع_العطل">#N/A</definedName>
    <definedName name="مقسم_طريقة_العرض_وصف_العطل">#N/A</definedName>
  </definedNames>
  <calcPr calcId="191029" calcOnSave="0" concurrentCalc="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6" i="6" l="1" a="1"/>
  <c r="B457" i="6" a="1"/>
  <c r="B458" i="6" a="1"/>
  <c r="B459" i="6" a="1"/>
  <c r="B460" i="6" a="1"/>
  <c r="B461" i="6" a="1"/>
  <c r="B462" i="6" a="1"/>
  <c r="B463" i="6" a="1"/>
  <c r="B464" i="6" a="1"/>
  <c r="B465" i="6" a="1"/>
  <c r="B466" i="6" a="1"/>
  <c r="B467" i="6" a="1"/>
  <c r="B468" i="6" a="1"/>
  <c r="B469" i="6" a="1"/>
  <c r="B470" i="6" a="1"/>
  <c r="B471" i="6" a="1"/>
  <c r="B472" i="6" a="1"/>
  <c r="B473" i="6" a="1"/>
  <c r="B474" i="6" a="1"/>
  <c r="B475" i="6" a="1"/>
  <c r="B476" i="6" a="1"/>
  <c r="B477" i="6" a="1"/>
  <c r="B478" i="6" a="1"/>
  <c r="B479" i="6" a="1"/>
  <c r="B480" i="6" a="1"/>
  <c r="B481" i="6" a="1"/>
  <c r="B482" i="6" a="1"/>
  <c r="B483" i="6" a="1"/>
  <c r="B484" i="6" a="1"/>
  <c r="B485" i="6" a="1"/>
  <c r="B486" i="6" a="1"/>
  <c r="B487" i="6" a="1"/>
  <c r="B488" i="6" a="1"/>
  <c r="B489" i="6" a="1"/>
  <c r="B490" i="6" a="1"/>
  <c r="B491" i="6" a="1"/>
  <c r="B492" i="6" a="1"/>
  <c r="B493" i="6" a="1"/>
  <c r="B494" i="6" a="1"/>
  <c r="B495" i="6" a="1"/>
  <c r="B496" i="6" a="1"/>
  <c r="B497" i="6" a="1"/>
  <c r="B498" i="6" a="1"/>
  <c r="B499" i="6" a="1"/>
  <c r="B500" i="6" a="1"/>
  <c r="B501" i="6" a="1"/>
  <c r="B502" i="6" a="1"/>
  <c r="B503" i="6" a="1"/>
  <c r="B504" i="6" a="1"/>
  <c r="B505" i="6" a="1"/>
  <c r="B506" i="6" a="1"/>
  <c r="B507" i="6" a="1"/>
  <c r="B508" i="6" a="1"/>
  <c r="B509" i="6" a="1"/>
  <c r="B510" i="6" a="1"/>
  <c r="B511" i="6" a="1"/>
  <c r="B512" i="6" a="1"/>
  <c r="B513" i="6" a="1"/>
  <c r="B514" i="6" a="1"/>
  <c r="B515" i="6" a="1"/>
  <c r="B516" i="6" a="1"/>
  <c r="B517" i="6" a="1"/>
  <c r="B518" i="6" a="1"/>
  <c r="B519" i="6" a="1"/>
  <c r="B520" i="6" a="1"/>
  <c r="B521" i="6" a="1"/>
  <c r="B522" i="6" a="1"/>
  <c r="B523" i="6" a="1"/>
  <c r="B524" i="6" a="1"/>
  <c r="B525" i="6" a="1"/>
  <c r="B526" i="6" a="1"/>
  <c r="B527" i="6" a="1"/>
  <c r="B528" i="6" a="1"/>
  <c r="B529" i="6" a="1"/>
  <c r="B530" i="6" a="1"/>
  <c r="B531" i="6" a="1"/>
  <c r="B532" i="6" a="1"/>
  <c r="B533" i="6" a="1"/>
  <c r="B534" i="6" a="1"/>
  <c r="B535" i="6" a="1"/>
  <c r="B536" i="6" a="1"/>
  <c r="B537" i="6" a="1"/>
  <c r="B538" i="6" a="1"/>
  <c r="B539" i="6" a="1"/>
  <c r="B540" i="6" a="1"/>
  <c r="B541" i="6" a="1"/>
  <c r="B542" i="6" a="1"/>
  <c r="B543" i="6" a="1"/>
  <c r="B544" i="6" a="1"/>
  <c r="B545" i="6" a="1"/>
  <c r="B546" i="6" a="1"/>
  <c r="B547" i="6" a="1"/>
  <c r="B548" i="6" a="1"/>
  <c r="B549" i="6" a="1"/>
  <c r="B550" i="6" a="1"/>
  <c r="B551" i="6" a="1"/>
  <c r="B552" i="6" a="1"/>
  <c r="B553" i="6" a="1"/>
  <c r="B554" i="6" a="1"/>
  <c r="B555" i="6" a="1"/>
  <c r="B556" i="6" a="1"/>
  <c r="B557" i="6" a="1"/>
  <c r="B558" i="6" a="1"/>
  <c r="B559" i="6" a="1"/>
  <c r="B560" i="6" a="1"/>
  <c r="B561" i="6" a="1"/>
  <c r="B562" i="6" a="1"/>
  <c r="B563" i="6" a="1"/>
  <c r="B564" i="6" a="1"/>
  <c r="B565" i="6" a="1"/>
  <c r="B579" i="6" a="1"/>
  <c r="B580" i="6" a="1"/>
  <c r="B581" i="6" a="1"/>
  <c r="B582" i="6" a="1"/>
  <c r="B583" i="6" a="1"/>
  <c r="B584" i="6" a="1"/>
  <c r="B585" i="6" a="1"/>
  <c r="B586" i="6" a="1"/>
  <c r="B587" i="6" a="1"/>
  <c r="B588" i="6" a="1"/>
  <c r="B589" i="6" a="1"/>
  <c r="B590" i="6" a="1"/>
  <c r="B591" i="6" a="1"/>
  <c r="B592" i="6" a="1"/>
  <c r="B593" i="6" a="1"/>
  <c r="B594" i="6" a="1"/>
  <c r="B595" i="6" a="1"/>
  <c r="B596" i="6" a="1"/>
  <c r="B597" i="6" a="1"/>
  <c r="B598" i="6" a="1"/>
  <c r="B599" i="6" a="1"/>
  <c r="B600" i="6" a="1"/>
  <c r="B601" i="6" a="1"/>
  <c r="B602" i="6" a="1"/>
  <c r="B603" i="6" a="1"/>
  <c r="B604" i="6" a="1"/>
  <c r="B605" i="6" a="1"/>
  <c r="B606" i="6" a="1"/>
  <c r="B607" i="6" a="1"/>
  <c r="B608" i="6" a="1"/>
  <c r="B609" i="6" a="1"/>
  <c r="B610" i="6" a="1"/>
  <c r="B611" i="6" a="1"/>
  <c r="B612" i="6" a="1"/>
  <c r="B613" i="6" a="1"/>
  <c r="B614" i="6" a="1"/>
  <c r="B615" i="6" a="1"/>
  <c r="B616" i="6" a="1"/>
  <c r="B617" i="6" a="1"/>
  <c r="B618" i="6" a="1"/>
  <c r="B619" i="6" a="1"/>
  <c r="B620" i="6" a="1"/>
  <c r="B621" i="6" a="1"/>
  <c r="B622" i="6" a="1"/>
  <c r="B623" i="6" a="1"/>
  <c r="B624" i="6" a="1"/>
  <c r="B625" i="6" a="1"/>
  <c r="B626" i="6" a="1"/>
  <c r="B627" i="6" a="1"/>
  <c r="B628" i="6" a="1"/>
  <c r="B629" i="6" a="1"/>
  <c r="B630" i="6" a="1"/>
  <c r="B631" i="6" a="1"/>
  <c r="B632" i="6" a="1"/>
  <c r="B633" i="6" a="1"/>
  <c r="B634" i="6" a="1"/>
  <c r="B635" i="6" a="1"/>
  <c r="B636" i="6" a="1"/>
  <c r="B637" i="6" a="1"/>
  <c r="B638" i="6" a="1"/>
  <c r="B639" i="6" a="1"/>
  <c r="B640" i="6" a="1"/>
  <c r="B641" i="6" a="1"/>
  <c r="B642" i="6" a="1"/>
  <c r="B643" i="6" a="1"/>
  <c r="B644" i="6" a="1"/>
  <c r="B645" i="6" a="1"/>
  <c r="B646" i="6" a="1"/>
  <c r="B647" i="6" a="1"/>
  <c r="B648" i="6" a="1"/>
  <c r="B649" i="6" a="1"/>
  <c r="B650" i="6" a="1"/>
  <c r="B651" i="6" a="1"/>
  <c r="B652" i="6" a="1"/>
  <c r="B653" i="6" a="1"/>
  <c r="B654" i="6" a="1"/>
  <c r="B655" i="6" a="1"/>
  <c r="B656" i="6" a="1"/>
  <c r="B657" i="6" a="1"/>
  <c r="B658" i="6" a="1"/>
  <c r="B659" i="6" a="1"/>
  <c r="B660" i="6" a="1"/>
  <c r="B661" i="6" a="1"/>
  <c r="B662" i="6" a="1"/>
  <c r="B663" i="6" a="1"/>
  <c r="B664" i="6" a="1"/>
  <c r="B665" i="6" a="1"/>
  <c r="B666" i="6" a="1"/>
  <c r="B667" i="6" a="1"/>
  <c r="B668" i="6" a="1"/>
  <c r="B669" i="6" a="1"/>
  <c r="B670" i="6" a="1"/>
  <c r="B671" i="6" a="1"/>
  <c r="B672" i="6" a="1"/>
  <c r="B673" i="6" a="1"/>
  <c r="B674" i="6" a="1"/>
  <c r="B675" i="6" a="1"/>
  <c r="B676" i="6" a="1"/>
  <c r="B677" i="6" a="1"/>
  <c r="B678" i="6" a="1"/>
  <c r="B679" i="6" a="1"/>
  <c r="B680" i="6" a="1"/>
  <c r="B681" i="6" a="1"/>
  <c r="B682" i="6" a="1"/>
  <c r="B683" i="6" a="1"/>
  <c r="B684" i="6" a="1"/>
  <c r="B685" i="6" a="1"/>
  <c r="B686" i="6" a="1"/>
  <c r="B687" i="6" a="1"/>
  <c r="B688" i="6" a="1"/>
  <c r="B689" i="6" a="1"/>
  <c r="B690" i="6" a="1"/>
  <c r="B691" i="6" a="1"/>
  <c r="B692" i="6" a="1"/>
  <c r="B693" i="6" a="1"/>
  <c r="B694" i="6" a="1"/>
  <c r="B695" i="6" a="1"/>
  <c r="B696" i="6" a="1"/>
  <c r="B697" i="6" a="1"/>
  <c r="B698" i="6" a="1"/>
  <c r="B699" i="6" a="1"/>
  <c r="B700" i="6" a="1"/>
  <c r="B701" i="6" a="1"/>
  <c r="B702" i="6" a="1"/>
  <c r="B703" i="6" a="1"/>
  <c r="B704" i="6" a="1"/>
  <c r="B705" i="6" a="1"/>
  <c r="B706" i="6" a="1"/>
  <c r="B707" i="6" a="1"/>
  <c r="B708" i="6" a="1"/>
  <c r="B709" i="6" a="1"/>
  <c r="B710" i="6" a="1"/>
  <c r="B711" i="6" a="1"/>
  <c r="B712" i="6" a="1"/>
  <c r="B713" i="6" a="1"/>
  <c r="B714" i="6" a="1"/>
  <c r="B715" i="6" a="1"/>
  <c r="B716" i="6" a="1"/>
  <c r="B717" i="6" a="1"/>
  <c r="B718" i="6" a="1"/>
  <c r="B719" i="6" a="1"/>
  <c r="B720" i="6" a="1"/>
  <c r="B721" i="6" a="1"/>
  <c r="B722" i="6" a="1"/>
  <c r="B723" i="6" a="1"/>
  <c r="B724" i="6" a="1"/>
  <c r="B725" i="6" a="1"/>
  <c r="B726" i="6" a="1"/>
  <c r="B727" i="6" a="1"/>
  <c r="B728" i="6" a="1"/>
  <c r="B729" i="6" a="1"/>
  <c r="B730" i="6" a="1"/>
  <c r="B731" i="6" a="1"/>
  <c r="B732" i="6" a="1"/>
  <c r="B733" i="6" a="1"/>
  <c r="B734" i="6" a="1"/>
  <c r="B735" i="6" a="1"/>
  <c r="B736" i="6" a="1"/>
  <c r="B737" i="6" a="1"/>
  <c r="B738" i="6" a="1"/>
  <c r="B739" i="6" a="1"/>
  <c r="B740" i="6" a="1"/>
  <c r="B741" i="6" a="1"/>
  <c r="B742" i="6" a="1"/>
  <c r="B743" i="6" a="1"/>
  <c r="B744" i="6" a="1"/>
  <c r="B745" i="6" a="1"/>
  <c r="B746" i="6" a="1"/>
  <c r="B747" i="6" a="1"/>
  <c r="B748" i="6" a="1"/>
  <c r="B749" i="6" a="1"/>
  <c r="B750" i="6" a="1"/>
  <c r="B751" i="6" a="1"/>
  <c r="B752" i="6" a="1"/>
  <c r="B753" i="6" a="1"/>
  <c r="B754" i="6" a="1"/>
  <c r="B755" i="6" a="1"/>
  <c r="B756" i="6" a="1"/>
  <c r="B757" i="6" a="1"/>
  <c r="B758" i="6" a="1"/>
  <c r="B759" i="6" a="1"/>
  <c r="B760" i="6" a="1"/>
  <c r="B761" i="6" a="1"/>
  <c r="B762" i="6" a="1"/>
  <c r="B763" i="6" a="1"/>
  <c r="B764" i="6" a="1"/>
  <c r="B765" i="6" a="1"/>
  <c r="B766" i="6" a="1"/>
  <c r="B767" i="6" a="1"/>
  <c r="B768" i="6" a="1"/>
  <c r="B769" i="6" a="1"/>
  <c r="B770" i="6" a="1"/>
  <c r="B771" i="6" a="1"/>
  <c r="B772" i="6" a="1"/>
  <c r="B773" i="6" a="1"/>
  <c r="B774" i="6" a="1"/>
  <c r="B775" i="6" a="1"/>
  <c r="B776" i="6" a="1"/>
  <c r="B777" i="6" a="1"/>
  <c r="B778" i="6" a="1"/>
  <c r="B779" i="6" a="1"/>
  <c r="B780" i="6" a="1"/>
  <c r="B781" i="6" a="1"/>
  <c r="B782" i="6" a="1"/>
  <c r="B783" i="6" a="1"/>
  <c r="B784" i="6" a="1"/>
  <c r="B785" i="6" a="1"/>
  <c r="B786" i="6" a="1"/>
  <c r="B787" i="6" a="1"/>
  <c r="B788" i="6" a="1"/>
  <c r="B789" i="6" a="1"/>
  <c r="B790" i="6" a="1"/>
  <c r="B791" i="6" a="1"/>
  <c r="B792" i="6" a="1"/>
  <c r="B793" i="6" a="1"/>
  <c r="B794" i="6" a="1"/>
  <c r="B795" i="6" a="1"/>
  <c r="B796" i="6" a="1"/>
  <c r="B797" i="6" a="1"/>
  <c r="B798" i="6" a="1"/>
  <c r="B799" i="6" a="1"/>
  <c r="B800" i="6" a="1"/>
  <c r="B801" i="6" a="1"/>
  <c r="B802" i="6" a="1"/>
  <c r="B803" i="6" a="1"/>
  <c r="B804" i="6" a="1"/>
  <c r="B805" i="6" a="1"/>
  <c r="B806" i="6" a="1"/>
  <c r="B807" i="6" a="1"/>
  <c r="B808" i="6" a="1"/>
  <c r="B809" i="6" a="1"/>
  <c r="B810" i="6" a="1"/>
  <c r="B811" i="6" a="1"/>
  <c r="B812" i="6" a="1"/>
  <c r="B813" i="6" a="1"/>
  <c r="B814" i="6" a="1"/>
  <c r="B815" i="6" a="1"/>
  <c r="B816" i="6" a="1"/>
  <c r="B817" i="6" a="1"/>
  <c r="B818" i="6" a="1"/>
  <c r="B819" i="6" a="1"/>
  <c r="B820" i="6" a="1"/>
  <c r="B821" i="6" a="1"/>
  <c r="B822" i="6" a="1"/>
  <c r="B823" i="6" a="1"/>
  <c r="B824" i="6" a="1"/>
  <c r="B825" i="6" a="1"/>
  <c r="B826" i="6" a="1"/>
  <c r="B827" i="6" a="1"/>
  <c r="B828" i="6" a="1"/>
  <c r="B829" i="6" a="1"/>
  <c r="B830" i="6" a="1"/>
  <c r="B831" i="6" a="1"/>
  <c r="B832" i="6" a="1"/>
  <c r="B833" i="6" a="1"/>
  <c r="B834" i="6" a="1"/>
  <c r="B835" i="6" a="1"/>
  <c r="B836" i="6" a="1"/>
  <c r="B837" i="6" a="1"/>
  <c r="B838" i="6" a="1"/>
  <c r="B839" i="6" a="1"/>
  <c r="B840" i="6" a="1"/>
  <c r="B841" i="6" a="1"/>
  <c r="B842" i="6" a="1"/>
  <c r="B843" i="6" a="1"/>
  <c r="B844" i="6" a="1"/>
  <c r="B845" i="6" a="1"/>
  <c r="B846" i="6" a="1"/>
  <c r="B847" i="6" a="1"/>
  <c r="B848" i="6" a="1"/>
  <c r="B849" i="6" a="1"/>
  <c r="B850" i="6" a="1"/>
  <c r="B851" i="6" a="1"/>
  <c r="B852" i="6" a="1"/>
  <c r="B853" i="6" a="1"/>
  <c r="B854" i="6" a="1"/>
  <c r="B855" i="6" a="1"/>
  <c r="B856" i="6" a="1"/>
  <c r="B857" i="6" a="1"/>
  <c r="B858" i="6" a="1"/>
  <c r="B859" i="6" a="1"/>
  <c r="B860" i="6" a="1"/>
  <c r="B861" i="6" a="1"/>
  <c r="B862" i="6" a="1"/>
  <c r="B863" i="6" a="1"/>
  <c r="B864" i="6" a="1"/>
  <c r="B865" i="6" a="1"/>
  <c r="B866" i="6" a="1"/>
  <c r="B867" i="6" a="1"/>
  <c r="B868" i="6" a="1"/>
  <c r="B869" i="6" a="1"/>
  <c r="B870" i="6" a="1"/>
  <c r="B871" i="6" a="1"/>
  <c r="B872" i="6" a="1"/>
  <c r="B873" i="6" a="1"/>
  <c r="B874" i="6" a="1"/>
  <c r="B875" i="6" a="1"/>
  <c r="B876" i="6" a="1"/>
  <c r="B877" i="6" a="1"/>
  <c r="B878" i="6" a="1"/>
  <c r="B879" i="6" a="1"/>
  <c r="B880" i="6" a="1"/>
  <c r="B881" i="6" a="1"/>
  <c r="B882" i="6" a="1"/>
  <c r="B883" i="6" a="1"/>
  <c r="B884" i="6" a="1"/>
  <c r="B885" i="6" a="1"/>
  <c r="B886" i="6" a="1"/>
  <c r="B887" i="6" a="1"/>
  <c r="B888" i="6" a="1"/>
  <c r="B889" i="6" a="1"/>
  <c r="B890" i="6" a="1"/>
  <c r="B891" i="6" a="1"/>
  <c r="B892" i="6" a="1"/>
  <c r="B893" i="6" a="1"/>
  <c r="B894" i="6" a="1"/>
  <c r="B895" i="6" a="1"/>
  <c r="B896" i="6" a="1"/>
  <c r="B897" i="6" a="1"/>
  <c r="B898" i="6" a="1"/>
  <c r="B899" i="6" a="1"/>
  <c r="B900" i="6" a="1"/>
  <c r="B901" i="6" a="1"/>
  <c r="B902" i="6" a="1"/>
  <c r="B903" i="6" a="1"/>
  <c r="B904" i="6" a="1"/>
  <c r="B905" i="6" a="1"/>
  <c r="B906" i="6" a="1"/>
  <c r="B907" i="6" a="1"/>
  <c r="B908" i="6" a="1"/>
  <c r="B909" i="6" a="1"/>
  <c r="B910" i="6" a="1"/>
  <c r="B911" i="6" a="1"/>
  <c r="B912" i="6" a="1"/>
  <c r="B913" i="6" a="1"/>
  <c r="B914" i="6" a="1"/>
  <c r="B915" i="6" a="1"/>
  <c r="B916" i="6" a="1"/>
  <c r="B917" i="6" a="1"/>
  <c r="B918" i="6" a="1"/>
  <c r="B919" i="6" a="1"/>
  <c r="B920" i="6" a="1"/>
  <c r="B921" i="6" a="1"/>
  <c r="B922" i="6" a="1"/>
  <c r="B923" i="6" a="1"/>
  <c r="B924" i="6" a="1"/>
  <c r="B925" i="6" a="1"/>
  <c r="B926" i="6" a="1"/>
  <c r="B927" i="6" a="1"/>
  <c r="B928" i="6" a="1"/>
  <c r="B929" i="6" a="1"/>
  <c r="B930" i="6" a="1"/>
  <c r="B931" i="6" a="1"/>
  <c r="B932" i="6" a="1"/>
  <c r="B933" i="6" a="1"/>
  <c r="B934" i="6" a="1"/>
  <c r="B935" i="6" a="1"/>
  <c r="B936" i="6" a="1"/>
  <c r="B937" i="6" a="1"/>
  <c r="B938" i="6" a="1"/>
  <c r="B939" i="6" a="1"/>
  <c r="B940" i="6" a="1"/>
  <c r="B941" i="6" a="1"/>
  <c r="B942" i="6" a="1"/>
  <c r="B943" i="6" a="1"/>
  <c r="B944" i="6" a="1"/>
  <c r="B945" i="6" a="1"/>
  <c r="B946" i="6" a="1"/>
  <c r="B947" i="6" a="1"/>
  <c r="B948" i="6" a="1"/>
  <c r="B949" i="6" a="1"/>
  <c r="B950" i="6" a="1"/>
  <c r="B951" i="6" a="1"/>
  <c r="B952" i="6" a="1"/>
  <c r="B953" i="6" a="1"/>
  <c r="B954" i="6" a="1"/>
  <c r="B955" i="6" a="1"/>
  <c r="B956" i="6" a="1"/>
  <c r="B957" i="6" a="1"/>
  <c r="B958" i="6" a="1"/>
  <c r="B959" i="6" a="1"/>
  <c r="B960" i="6" a="1"/>
  <c r="B961" i="6" a="1"/>
  <c r="B962" i="6" a="1"/>
  <c r="B963" i="6" a="1"/>
  <c r="B964" i="6" a="1"/>
  <c r="B965" i="6" a="1"/>
  <c r="B966" i="6" a="1"/>
  <c r="B967" i="6" a="1"/>
  <c r="B968" i="6" a="1"/>
  <c r="B969" i="6" a="1"/>
  <c r="B970" i="6" a="1"/>
  <c r="B971" i="6" a="1"/>
  <c r="B972" i="6" a="1"/>
  <c r="B973" i="6" a="1"/>
  <c r="B974" i="6" a="1"/>
  <c r="B975" i="6" a="1"/>
  <c r="B976" i="6" a="1"/>
  <c r="B977" i="6" a="1"/>
  <c r="B978" i="6" a="1"/>
  <c r="B979" i="6" a="1"/>
  <c r="B980" i="6" a="1"/>
  <c r="B981" i="6" a="1"/>
  <c r="B982" i="6" a="1"/>
  <c r="B983" i="6" a="1"/>
  <c r="B984" i="6" a="1"/>
  <c r="B985" i="6" a="1"/>
  <c r="B986" i="6" a="1"/>
  <c r="B987" i="6" a="1"/>
  <c r="B988" i="6" a="1"/>
  <c r="B989" i="6" a="1"/>
  <c r="B990" i="6" a="1"/>
  <c r="B991" i="6" a="1"/>
  <c r="B992" i="6" a="1"/>
  <c r="B993" i="6" a="1"/>
  <c r="B994" i="6" a="1"/>
  <c r="B995" i="6" a="1"/>
  <c r="B996" i="6" a="1"/>
  <c r="B997" i="6" a="1"/>
  <c r="B998" i="6" a="1"/>
  <c r="B999" i="6" a="1"/>
  <c r="B1000" i="6" a="1"/>
  <c r="B1001" i="6" a="1"/>
  <c r="B1002" i="6" a="1"/>
  <c r="B1003" i="6" a="1"/>
  <c r="B1004" i="6" a="1"/>
  <c r="B1005" i="6" a="1"/>
  <c r="B1006" i="6" a="1"/>
  <c r="B1007" i="6" a="1"/>
  <c r="B1008" i="6" a="1"/>
  <c r="B1009" i="6" a="1"/>
  <c r="B1010" i="6" a="1"/>
  <c r="B1011" i="6" a="1"/>
  <c r="B1012" i="6" a="1"/>
  <c r="B1013" i="6" a="1"/>
  <c r="B1014" i="6" a="1"/>
  <c r="B1015" i="6" a="1"/>
  <c r="B1016" i="6" a="1"/>
  <c r="B1017" i="6" a="1"/>
  <c r="B1018" i="6" a="1"/>
  <c r="B1019" i="6" a="1"/>
  <c r="B1020" i="6" a="1"/>
  <c r="B1021" i="6" a="1"/>
  <c r="B1022" i="6" a="1"/>
  <c r="B1023" i="6" a="1"/>
  <c r="B1024" i="6" a="1"/>
  <c r="B1025" i="6" a="1"/>
  <c r="B1026" i="6" a="1"/>
  <c r="B1027" i="6" a="1"/>
  <c r="B1028" i="6" a="1"/>
  <c r="B1029" i="6" a="1"/>
  <c r="B1030" i="6" a="1"/>
  <c r="B1031" i="6" a="1"/>
  <c r="B1032" i="6" a="1"/>
  <c r="B1033" i="6" a="1"/>
  <c r="B1034" i="6" a="1"/>
  <c r="B1035" i="6" a="1"/>
  <c r="B1036" i="6" a="1"/>
  <c r="B1037" i="6" a="1"/>
  <c r="B1038" i="6" a="1"/>
  <c r="B1039" i="6" a="1"/>
  <c r="B1040" i="6" a="1"/>
  <c r="B1041" i="6" a="1"/>
  <c r="B1042" i="6" a="1"/>
  <c r="B1043" i="6" a="1"/>
  <c r="B1044" i="6" a="1"/>
  <c r="B1045" i="6" a="1"/>
  <c r="B1046" i="6" a="1"/>
  <c r="B1047" i="6" a="1"/>
  <c r="B1048" i="6" a="1"/>
  <c r="B1049" i="6" a="1"/>
  <c r="B1050" i="6" a="1"/>
  <c r="B1051" i="6" a="1"/>
  <c r="B1052" i="6" a="1"/>
  <c r="B1053" i="6" a="1"/>
  <c r="B1054" i="6" a="1"/>
  <c r="B1055" i="6" a="1"/>
  <c r="B1056" i="6" a="1"/>
  <c r="B1057" i="6" a="1"/>
  <c r="B1058" i="6" a="1"/>
  <c r="B1059" i="6" a="1"/>
  <c r="B1060" i="6" a="1"/>
  <c r="B1061" i="6" a="1"/>
  <c r="B1062" i="6" a="1"/>
  <c r="B1063" i="6" a="1"/>
  <c r="B1064" i="6" a="1"/>
  <c r="B1065" i="6" a="1"/>
  <c r="B1066" i="6" a="1"/>
  <c r="B1067" i="6" a="1"/>
  <c r="B1068" i="6" a="1"/>
  <c r="B1069" i="6" a="1"/>
  <c r="B1070" i="6" a="1"/>
  <c r="B1071" i="6" a="1"/>
  <c r="B1072" i="6" a="1"/>
  <c r="B1073" i="6" a="1"/>
  <c r="B1074" i="6" a="1"/>
  <c r="B1075" i="6" a="1"/>
  <c r="B1076" i="6" a="1"/>
  <c r="B1077" i="6" a="1"/>
  <c r="B1078" i="6" a="1"/>
  <c r="B1079" i="6" a="1"/>
  <c r="B1080" i="6" a="1"/>
  <c r="B1081" i="6" a="1"/>
  <c r="B1082" i="6" a="1"/>
  <c r="B1083" i="6" a="1"/>
  <c r="B1084" i="6" a="1"/>
  <c r="B1085" i="6" a="1"/>
  <c r="B1086" i="6" a="1"/>
  <c r="B1087" i="6" a="1"/>
  <c r="B1088" i="6" a="1"/>
  <c r="B1089" i="6" a="1"/>
  <c r="B1090" i="6" a="1"/>
  <c r="B1091" i="6" a="1"/>
  <c r="B1092" i="6" a="1"/>
  <c r="B1093" i="6" a="1"/>
  <c r="B1094" i="6" a="1"/>
  <c r="B1095" i="6" a="1"/>
  <c r="B1096" i="6" a="1"/>
  <c r="B1097" i="6" a="1"/>
  <c r="B1098" i="6" a="1"/>
  <c r="B1099" i="6" a="1"/>
  <c r="B1100" i="6" a="1"/>
  <c r="B1101" i="6" a="1"/>
  <c r="B1102" i="6" a="1"/>
  <c r="B1103" i="6" a="1"/>
  <c r="B1104" i="6" a="1"/>
  <c r="B1105" i="6" a="1"/>
  <c r="B1106" i="6" a="1"/>
  <c r="B1107" i="6" a="1"/>
  <c r="B1108" i="6" a="1"/>
  <c r="B1109" i="6" a="1"/>
  <c r="B1110" i="6" a="1"/>
  <c r="B1111" i="6" a="1"/>
  <c r="B1112" i="6" a="1"/>
  <c r="B1113" i="6" a="1"/>
  <c r="B1114" i="6" a="1"/>
  <c r="B1115" i="6" a="1"/>
  <c r="B1116" i="6" a="1"/>
  <c r="B1117" i="6" a="1"/>
  <c r="B1118" i="6" a="1"/>
  <c r="B1119" i="6" a="1"/>
  <c r="B1120" i="6" a="1"/>
  <c r="B1121" i="6" a="1"/>
  <c r="B1122" i="6" a="1"/>
  <c r="B1123" i="6" a="1"/>
  <c r="B1124" i="6" a="1"/>
  <c r="B1125" i="6" a="1"/>
  <c r="B1126" i="6" a="1"/>
  <c r="B1127" i="6" a="1"/>
  <c r="B1128" i="6" a="1"/>
  <c r="B1129" i="6" a="1"/>
  <c r="B1130" i="6" a="1"/>
  <c r="B1131" i="6" a="1"/>
  <c r="B1132" i="6" a="1"/>
  <c r="B1133" i="6" a="1"/>
  <c r="B1134" i="6" a="1"/>
  <c r="B1135" i="6" a="1"/>
  <c r="B1136" i="6" a="1"/>
  <c r="B1137" i="6" a="1"/>
  <c r="B1138" i="6" a="1"/>
  <c r="B1139" i="6" a="1"/>
  <c r="B1140" i="6" a="1"/>
  <c r="B1141" i="6" a="1"/>
  <c r="B1142" i="6" a="1"/>
  <c r="B1143" i="6" a="1"/>
  <c r="B1144" i="6" a="1"/>
  <c r="B1145" i="6" a="1"/>
  <c r="B1146" i="6" a="1"/>
  <c r="B1147" i="6" a="1"/>
  <c r="B1148" i="6" a="1"/>
  <c r="B1149" i="6" a="1"/>
  <c r="B1150" i="6" a="1"/>
  <c r="B1151" i="6" a="1"/>
  <c r="B1152" i="6" a="1"/>
  <c r="B1153" i="6" a="1"/>
  <c r="B1154" i="6" a="1"/>
  <c r="B1155" i="6" a="1"/>
  <c r="B1156" i="6" a="1"/>
  <c r="B1157" i="6" a="1"/>
  <c r="B1158" i="6" a="1"/>
  <c r="B1159" i="6" a="1"/>
  <c r="B1160" i="6" a="1"/>
  <c r="B1161" i="6" a="1"/>
  <c r="B1162" i="6" a="1"/>
  <c r="B1163" i="6" a="1"/>
  <c r="B1164" i="6" a="1"/>
  <c r="B1165" i="6" a="1"/>
  <c r="B1166" i="6" a="1"/>
  <c r="B1167" i="6" a="1"/>
  <c r="B1168" i="6" a="1"/>
  <c r="B1169" i="6" a="1"/>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I10" i="9" a="1"/>
  <c r="I10" i="9"/>
  <c r="J10" i="9"/>
  <c r="I9" i="9" a="1"/>
  <c r="I9" i="9"/>
  <c r="J9" i="9"/>
  <c r="I8" i="9" a="1"/>
  <c r="I8" i="9"/>
  <c r="J8" i="9"/>
  <c r="P456" i="6" a="1"/>
  <c r="P457" i="6" a="1"/>
  <c r="P458" i="6" a="1"/>
  <c r="P459" i="6" a="1"/>
  <c r="P460" i="6" a="1"/>
  <c r="P461" i="6" a="1"/>
  <c r="P462" i="6" a="1"/>
  <c r="P463" i="6" a="1"/>
  <c r="P464" i="6" a="1"/>
  <c r="P465" i="6" a="1"/>
  <c r="P466" i="6" a="1"/>
  <c r="P467" i="6" a="1"/>
  <c r="P468" i="6" a="1"/>
  <c r="P469" i="6" a="1"/>
  <c r="P470" i="6" a="1"/>
  <c r="P471" i="6" a="1"/>
  <c r="P472" i="6" a="1"/>
  <c r="P473" i="6" a="1"/>
  <c r="P474" i="6" a="1"/>
  <c r="P475" i="6" a="1"/>
  <c r="P476" i="6" a="1"/>
  <c r="P477" i="6" a="1"/>
  <c r="P478" i="6" a="1"/>
  <c r="P479" i="6" a="1"/>
  <c r="P480" i="6" a="1"/>
  <c r="P481" i="6" a="1"/>
  <c r="P482" i="6" a="1"/>
  <c r="P483" i="6" a="1"/>
  <c r="P484" i="6" a="1"/>
  <c r="P485" i="6" a="1"/>
  <c r="P486" i="6" a="1"/>
  <c r="P487" i="6" a="1"/>
  <c r="P488" i="6" a="1"/>
  <c r="P489" i="6" a="1"/>
  <c r="P490" i="6" a="1"/>
  <c r="P491" i="6" a="1"/>
  <c r="P492" i="6" a="1"/>
  <c r="P493" i="6" a="1"/>
  <c r="P494" i="6" a="1"/>
  <c r="P495" i="6" a="1"/>
  <c r="P496" i="6" a="1"/>
  <c r="P497" i="6" a="1"/>
  <c r="P498" i="6" a="1"/>
  <c r="P499" i="6" a="1"/>
  <c r="P500" i="6" a="1"/>
  <c r="P501" i="6" a="1"/>
  <c r="P502" i="6" a="1"/>
  <c r="P503" i="6" a="1"/>
  <c r="P504" i="6" a="1"/>
  <c r="P505" i="6" a="1"/>
  <c r="P506" i="6" a="1"/>
  <c r="P507" i="6" a="1"/>
  <c r="P508" i="6" a="1"/>
  <c r="P509" i="6" a="1"/>
  <c r="P510" i="6" a="1"/>
  <c r="P511" i="6" a="1"/>
  <c r="P512" i="6" a="1"/>
  <c r="P513" i="6" a="1"/>
  <c r="P514" i="6" a="1"/>
  <c r="P515" i="6" a="1"/>
  <c r="P516" i="6" a="1"/>
  <c r="P517" i="6" a="1"/>
  <c r="P518" i="6" a="1"/>
  <c r="P519" i="6" a="1"/>
  <c r="P520" i="6" a="1"/>
  <c r="P521" i="6" a="1"/>
  <c r="P522" i="6" a="1"/>
  <c r="P523" i="6" a="1"/>
  <c r="P524" i="6" a="1"/>
  <c r="P525" i="6" a="1"/>
  <c r="P526" i="6" a="1"/>
  <c r="P527" i="6" a="1"/>
  <c r="P528" i="6" a="1"/>
  <c r="P529" i="6" a="1"/>
  <c r="P530" i="6" a="1"/>
  <c r="P531" i="6" a="1"/>
  <c r="P532" i="6" a="1"/>
  <c r="P533" i="6" a="1"/>
  <c r="P534" i="6" a="1"/>
  <c r="P535" i="6" a="1"/>
  <c r="P536" i="6" a="1"/>
  <c r="P537" i="6" a="1"/>
  <c r="P538" i="6" a="1"/>
  <c r="P539" i="6" a="1"/>
  <c r="P540" i="6" a="1"/>
  <c r="P541" i="6" a="1"/>
  <c r="P542" i="6" a="1"/>
  <c r="P543" i="6" a="1"/>
  <c r="P544" i="6" a="1"/>
  <c r="P545" i="6" a="1"/>
  <c r="P546" i="6" a="1"/>
  <c r="P547" i="6" a="1"/>
  <c r="P548" i="6" a="1"/>
  <c r="P549" i="6" a="1"/>
  <c r="P550" i="6" a="1"/>
  <c r="P551" i="6" a="1"/>
  <c r="P552" i="6" a="1"/>
  <c r="P553" i="6" a="1"/>
  <c r="P554" i="6" a="1"/>
  <c r="P555" i="6" a="1"/>
  <c r="P556" i="6" a="1"/>
  <c r="P557" i="6" a="1"/>
  <c r="P558" i="6" a="1"/>
  <c r="P559" i="6" a="1"/>
  <c r="P560" i="6" a="1"/>
  <c r="P561" i="6" a="1"/>
  <c r="P562" i="6" a="1"/>
  <c r="P563" i="6" a="1"/>
  <c r="P564" i="6" a="1"/>
  <c r="P565" i="6" a="1"/>
  <c r="P579" i="6" a="1"/>
  <c r="P580" i="6" a="1"/>
  <c r="P581" i="6" a="1"/>
  <c r="P582" i="6" a="1"/>
  <c r="P583" i="6" a="1"/>
  <c r="P584" i="6" a="1"/>
  <c r="P585" i="6" a="1"/>
  <c r="P586" i="6" a="1"/>
  <c r="P587" i="6" a="1"/>
  <c r="P588" i="6" a="1"/>
  <c r="P589" i="6" a="1"/>
  <c r="P590" i="6" a="1"/>
  <c r="P591" i="6" a="1"/>
  <c r="P592" i="6" a="1"/>
  <c r="P593" i="6" a="1"/>
  <c r="P594" i="6" a="1"/>
  <c r="P595" i="6" a="1"/>
  <c r="P596" i="6" a="1"/>
  <c r="P597" i="6" a="1"/>
  <c r="P598" i="6" a="1"/>
  <c r="P599" i="6" a="1"/>
  <c r="P600" i="6" a="1"/>
  <c r="P601" i="6" a="1"/>
  <c r="P602" i="6" a="1"/>
  <c r="P603" i="6" a="1"/>
  <c r="P604" i="6" a="1"/>
  <c r="P605" i="6" a="1"/>
  <c r="P606" i="6" a="1"/>
  <c r="P607" i="6" a="1"/>
  <c r="P608" i="6" a="1"/>
  <c r="P609" i="6" a="1"/>
  <c r="P610" i="6" a="1"/>
  <c r="P611" i="6" a="1"/>
  <c r="P612" i="6" a="1"/>
  <c r="P613" i="6" a="1"/>
  <c r="P614" i="6" a="1"/>
  <c r="P615" i="6" a="1"/>
  <c r="P616" i="6" a="1"/>
  <c r="P617" i="6" a="1"/>
  <c r="P618" i="6" a="1"/>
  <c r="P619" i="6" a="1"/>
  <c r="P620" i="6" a="1"/>
  <c r="P621" i="6" a="1"/>
  <c r="P622" i="6" a="1"/>
  <c r="P623" i="6" a="1"/>
  <c r="P624" i="6" a="1"/>
  <c r="P625" i="6" a="1"/>
  <c r="P626" i="6" a="1"/>
  <c r="P627" i="6" a="1"/>
  <c r="P628" i="6" a="1"/>
  <c r="P629" i="6" a="1"/>
  <c r="P630" i="6" a="1"/>
  <c r="P631" i="6" a="1"/>
  <c r="P632" i="6" a="1"/>
  <c r="P633" i="6" a="1"/>
  <c r="P634" i="6" a="1"/>
  <c r="P635" i="6" a="1"/>
  <c r="P636" i="6" a="1"/>
  <c r="P637" i="6" a="1"/>
  <c r="P638" i="6" a="1"/>
  <c r="P639" i="6" a="1"/>
  <c r="P640" i="6" a="1"/>
  <c r="P641" i="6" a="1"/>
  <c r="P642" i="6" a="1"/>
  <c r="P643" i="6" a="1"/>
  <c r="P644" i="6" a="1"/>
  <c r="P645" i="6" a="1"/>
  <c r="P646" i="6" a="1"/>
  <c r="P647" i="6" a="1"/>
  <c r="P648" i="6" a="1"/>
  <c r="P649" i="6" a="1"/>
  <c r="P650" i="6" a="1"/>
  <c r="P651" i="6" a="1"/>
  <c r="P652" i="6" a="1"/>
  <c r="P653" i="6" a="1"/>
  <c r="P654" i="6" a="1"/>
  <c r="P655" i="6" a="1"/>
  <c r="P656" i="6" a="1"/>
  <c r="P657" i="6" a="1"/>
  <c r="P658" i="6" a="1"/>
  <c r="P659" i="6" a="1"/>
  <c r="P660" i="6" a="1"/>
  <c r="P661" i="6" a="1"/>
  <c r="P662" i="6" a="1"/>
  <c r="P663" i="6" a="1"/>
  <c r="P664" i="6" a="1"/>
  <c r="P665" i="6" a="1"/>
  <c r="P666" i="6" a="1"/>
  <c r="P667" i="6" a="1"/>
  <c r="P668" i="6" a="1"/>
  <c r="P669" i="6" a="1"/>
  <c r="P670" i="6" a="1"/>
  <c r="P671" i="6" a="1"/>
  <c r="P672" i="6" a="1"/>
  <c r="P673" i="6" a="1"/>
  <c r="P674" i="6" a="1"/>
  <c r="P675" i="6" a="1"/>
  <c r="P676" i="6" a="1"/>
  <c r="P677" i="6" a="1"/>
  <c r="P678" i="6" a="1"/>
  <c r="P679" i="6" a="1"/>
  <c r="P680" i="6" a="1"/>
  <c r="P681" i="6" a="1"/>
  <c r="P682" i="6" a="1"/>
  <c r="P683" i="6" a="1"/>
  <c r="P684" i="6" a="1"/>
  <c r="P685" i="6" a="1"/>
  <c r="P686" i="6" a="1"/>
  <c r="P687" i="6" a="1"/>
  <c r="P688" i="6" a="1"/>
  <c r="P689" i="6" a="1"/>
  <c r="P690" i="6" a="1"/>
  <c r="P691" i="6" a="1"/>
  <c r="P692" i="6" a="1"/>
  <c r="P693" i="6" a="1"/>
  <c r="P694" i="6" a="1"/>
  <c r="P695" i="6" a="1"/>
  <c r="P696" i="6" a="1"/>
  <c r="P697" i="6" a="1"/>
  <c r="P698" i="6" a="1"/>
  <c r="P699" i="6" a="1"/>
  <c r="P700" i="6" a="1"/>
  <c r="P701" i="6" a="1"/>
  <c r="P702" i="6" a="1"/>
  <c r="P703" i="6" a="1"/>
  <c r="P704" i="6" a="1"/>
  <c r="P705" i="6" a="1"/>
  <c r="P706" i="6" a="1"/>
  <c r="P707" i="6" a="1"/>
  <c r="P708" i="6" a="1"/>
  <c r="P709" i="6" a="1"/>
  <c r="P710" i="6" a="1"/>
  <c r="P711" i="6" a="1"/>
  <c r="P712" i="6" a="1"/>
  <c r="P713" i="6" a="1"/>
  <c r="P714" i="6" a="1"/>
  <c r="P715" i="6" a="1"/>
  <c r="P716" i="6" a="1"/>
  <c r="P717" i="6" a="1"/>
  <c r="P718" i="6" a="1"/>
  <c r="P719" i="6" a="1"/>
  <c r="P720" i="6" a="1"/>
  <c r="P721" i="6" a="1"/>
  <c r="P722" i="6" a="1"/>
  <c r="P723" i="6" a="1"/>
  <c r="P724" i="6" a="1"/>
  <c r="P725" i="6" a="1"/>
  <c r="P726" i="6" a="1"/>
  <c r="P727" i="6" a="1"/>
  <c r="P728" i="6" a="1"/>
  <c r="P729" i="6" a="1"/>
  <c r="P730" i="6" a="1"/>
  <c r="P731" i="6" a="1"/>
  <c r="P732" i="6" a="1"/>
  <c r="P733" i="6" a="1"/>
  <c r="P734" i="6" a="1"/>
  <c r="P735" i="6" a="1"/>
  <c r="P736" i="6" a="1"/>
  <c r="P737" i="6" a="1"/>
  <c r="P738" i="6" a="1"/>
  <c r="P739" i="6" a="1"/>
  <c r="P740" i="6" a="1"/>
  <c r="P741" i="6" a="1"/>
  <c r="P742" i="6" a="1"/>
  <c r="P743" i="6" a="1"/>
  <c r="P744" i="6" a="1"/>
  <c r="P745" i="6" a="1"/>
  <c r="P746" i="6" a="1"/>
  <c r="P747" i="6" a="1"/>
  <c r="P748" i="6" a="1"/>
  <c r="P749" i="6" a="1"/>
  <c r="P750" i="6" a="1"/>
  <c r="P751" i="6" a="1"/>
  <c r="P752" i="6" a="1"/>
  <c r="P753" i="6" a="1"/>
  <c r="P754" i="6" a="1"/>
  <c r="P755" i="6" a="1"/>
  <c r="P756" i="6" a="1"/>
  <c r="P757" i="6" a="1"/>
  <c r="P758" i="6" a="1"/>
  <c r="P759" i="6" a="1"/>
  <c r="P760" i="6" a="1"/>
  <c r="P761" i="6" a="1"/>
  <c r="P762" i="6" a="1"/>
  <c r="P763" i="6" a="1"/>
  <c r="P764" i="6" a="1"/>
  <c r="P765" i="6" a="1"/>
  <c r="P766" i="6" a="1"/>
  <c r="P767" i="6" a="1"/>
  <c r="P768" i="6" a="1"/>
  <c r="P769" i="6" a="1"/>
  <c r="P770" i="6" a="1"/>
  <c r="P771" i="6" a="1"/>
  <c r="P772" i="6" a="1"/>
  <c r="P773" i="6" a="1"/>
  <c r="P774" i="6" a="1"/>
  <c r="P775" i="6" a="1"/>
  <c r="P776" i="6" a="1"/>
  <c r="P777" i="6" a="1"/>
  <c r="P778" i="6" a="1"/>
  <c r="P779" i="6" a="1"/>
  <c r="P780" i="6" a="1"/>
  <c r="P781" i="6" a="1"/>
  <c r="P782" i="6" a="1"/>
  <c r="P783" i="6" a="1"/>
  <c r="P784" i="6" a="1"/>
  <c r="P785" i="6" a="1"/>
  <c r="P786" i="6" a="1"/>
  <c r="P787" i="6" a="1"/>
  <c r="P788" i="6" a="1"/>
  <c r="P789" i="6" a="1"/>
  <c r="P790" i="6" a="1"/>
  <c r="P791" i="6" a="1"/>
  <c r="P792" i="6" a="1"/>
  <c r="P793" i="6" a="1"/>
  <c r="P794" i="6" a="1"/>
  <c r="P795" i="6" a="1"/>
  <c r="P796" i="6" a="1"/>
  <c r="P797" i="6" a="1"/>
  <c r="P798" i="6" a="1"/>
  <c r="P799" i="6" a="1"/>
  <c r="P800" i="6" a="1"/>
  <c r="P801" i="6" a="1"/>
  <c r="P802" i="6" a="1"/>
  <c r="P803" i="6" a="1"/>
  <c r="P804" i="6" a="1"/>
  <c r="P805" i="6" a="1"/>
  <c r="P806" i="6" a="1"/>
  <c r="P807" i="6" a="1"/>
  <c r="P808" i="6" a="1"/>
  <c r="P809" i="6" a="1"/>
  <c r="P810" i="6" a="1"/>
  <c r="P811" i="6" a="1"/>
  <c r="P812" i="6" a="1"/>
  <c r="P813" i="6" a="1"/>
  <c r="P814" i="6" a="1"/>
  <c r="P815" i="6" a="1"/>
  <c r="P816" i="6" a="1"/>
  <c r="P817" i="6" a="1"/>
  <c r="P818" i="6" a="1"/>
  <c r="P819" i="6" a="1"/>
  <c r="P820" i="6" a="1"/>
  <c r="P821" i="6" a="1"/>
  <c r="P822" i="6" a="1"/>
  <c r="P823" i="6" a="1"/>
  <c r="P824" i="6" a="1"/>
  <c r="P825" i="6" a="1"/>
  <c r="P826" i="6" a="1"/>
  <c r="P827" i="6" a="1"/>
  <c r="P828" i="6" a="1"/>
  <c r="P829" i="6" a="1"/>
  <c r="P830" i="6" a="1"/>
  <c r="P831" i="6" a="1"/>
  <c r="P832" i="6" a="1"/>
  <c r="P833" i="6" a="1"/>
  <c r="P834" i="6" a="1"/>
  <c r="P835" i="6" a="1"/>
  <c r="P836" i="6" a="1"/>
  <c r="P837" i="6" a="1"/>
  <c r="P838" i="6" a="1"/>
  <c r="P839" i="6" a="1"/>
  <c r="P840" i="6" a="1"/>
  <c r="P841" i="6" a="1"/>
  <c r="P842" i="6" a="1"/>
  <c r="P843" i="6" a="1"/>
  <c r="P844" i="6" a="1"/>
  <c r="P845" i="6" a="1"/>
  <c r="P846" i="6" a="1"/>
  <c r="P847" i="6" a="1"/>
  <c r="P848" i="6" a="1"/>
  <c r="P849" i="6" a="1"/>
  <c r="P850" i="6" a="1"/>
  <c r="P851" i="6" a="1"/>
  <c r="P852" i="6" a="1"/>
  <c r="P853" i="6" a="1"/>
  <c r="P854" i="6" a="1"/>
  <c r="P855" i="6" a="1"/>
  <c r="P856" i="6" a="1"/>
  <c r="P857" i="6" a="1"/>
  <c r="P858" i="6" a="1"/>
  <c r="P859" i="6" a="1"/>
  <c r="P860" i="6" a="1"/>
  <c r="P861" i="6" a="1"/>
  <c r="P862" i="6" a="1"/>
  <c r="P863" i="6" a="1"/>
  <c r="P864" i="6" a="1"/>
  <c r="P865" i="6" a="1"/>
  <c r="P866" i="6" a="1"/>
  <c r="P867" i="6" a="1"/>
  <c r="P868" i="6" a="1"/>
  <c r="P869" i="6" a="1"/>
  <c r="P870" i="6" a="1"/>
  <c r="P871" i="6" a="1"/>
  <c r="P872" i="6" a="1"/>
  <c r="P873" i="6" a="1"/>
  <c r="P874" i="6" a="1"/>
  <c r="P875" i="6" a="1"/>
  <c r="P876" i="6" a="1"/>
  <c r="P877" i="6" a="1"/>
  <c r="P878" i="6" a="1"/>
  <c r="P879" i="6" a="1"/>
  <c r="P880" i="6" a="1"/>
  <c r="P881" i="6" a="1"/>
  <c r="P882" i="6" a="1"/>
  <c r="P883" i="6" a="1"/>
  <c r="P884" i="6" a="1"/>
  <c r="P885" i="6" a="1"/>
  <c r="P886" i="6" a="1"/>
  <c r="P887" i="6" a="1"/>
  <c r="P888" i="6" a="1"/>
  <c r="P889" i="6" a="1"/>
  <c r="P890" i="6" a="1"/>
  <c r="P891" i="6" a="1"/>
  <c r="P892" i="6" a="1"/>
  <c r="P893" i="6" a="1"/>
  <c r="P894" i="6" a="1"/>
  <c r="P895" i="6" a="1"/>
  <c r="P896" i="6" a="1"/>
  <c r="P897" i="6" a="1"/>
  <c r="P898" i="6" a="1"/>
  <c r="P899" i="6" a="1"/>
  <c r="P900" i="6" a="1"/>
  <c r="P901" i="6" a="1"/>
  <c r="P902" i="6" a="1"/>
  <c r="P903" i="6" a="1"/>
  <c r="P904" i="6" a="1"/>
  <c r="P905" i="6" a="1"/>
  <c r="P906" i="6" a="1"/>
  <c r="P907" i="6" a="1"/>
  <c r="P908" i="6" a="1"/>
  <c r="P909" i="6" a="1"/>
  <c r="P910" i="6" a="1"/>
  <c r="P911" i="6" a="1"/>
  <c r="P912" i="6" a="1"/>
  <c r="P913" i="6" a="1"/>
  <c r="P914" i="6" a="1"/>
  <c r="P915" i="6" a="1"/>
  <c r="P916" i="6" a="1"/>
  <c r="P917" i="6" a="1"/>
  <c r="P918" i="6" a="1"/>
  <c r="P919" i="6" a="1"/>
  <c r="P920" i="6" a="1"/>
  <c r="P921" i="6" a="1"/>
  <c r="P922" i="6" a="1"/>
  <c r="P923" i="6" a="1"/>
  <c r="P924" i="6" a="1"/>
  <c r="P925" i="6" a="1"/>
  <c r="P926" i="6" a="1"/>
  <c r="P927" i="6" a="1"/>
  <c r="P928" i="6" a="1"/>
  <c r="P929" i="6" a="1"/>
  <c r="P930" i="6" a="1"/>
  <c r="P931" i="6" a="1"/>
  <c r="P932" i="6" a="1"/>
  <c r="P933" i="6" a="1"/>
  <c r="P934" i="6" a="1"/>
  <c r="P935" i="6" a="1"/>
  <c r="P936" i="6" a="1"/>
  <c r="P937" i="6" a="1"/>
  <c r="P938" i="6" a="1"/>
  <c r="P939" i="6" a="1"/>
  <c r="P940" i="6" a="1"/>
  <c r="P941" i="6" a="1"/>
  <c r="P942" i="6" a="1"/>
  <c r="P943" i="6" a="1"/>
  <c r="P944" i="6" a="1"/>
  <c r="P945" i="6" a="1"/>
  <c r="P946" i="6" a="1"/>
  <c r="P947" i="6" a="1"/>
  <c r="P948" i="6" a="1"/>
  <c r="P949" i="6" a="1"/>
  <c r="P950" i="6" a="1"/>
  <c r="P951" i="6" a="1"/>
  <c r="P952" i="6" a="1"/>
  <c r="P953" i="6" a="1"/>
  <c r="P954" i="6" a="1"/>
  <c r="P955" i="6" a="1"/>
  <c r="P956" i="6" a="1"/>
  <c r="P957" i="6" a="1"/>
  <c r="P958" i="6" a="1"/>
  <c r="P959" i="6" a="1"/>
  <c r="P960" i="6" a="1"/>
  <c r="P961" i="6" a="1"/>
  <c r="P962" i="6" a="1"/>
  <c r="P963" i="6" a="1"/>
  <c r="P964" i="6" a="1"/>
  <c r="P965" i="6" a="1"/>
  <c r="P966" i="6" a="1"/>
  <c r="P967" i="6" a="1"/>
  <c r="P968" i="6" a="1"/>
  <c r="P969" i="6" a="1"/>
  <c r="P970" i="6" a="1"/>
  <c r="P971" i="6" a="1"/>
  <c r="P972" i="6" a="1"/>
  <c r="P973" i="6" a="1"/>
  <c r="P974" i="6" a="1"/>
  <c r="P975" i="6" a="1"/>
  <c r="P976" i="6" a="1"/>
  <c r="P977" i="6" a="1"/>
  <c r="P978" i="6" a="1"/>
  <c r="P979" i="6" a="1"/>
  <c r="P980" i="6" a="1"/>
  <c r="P981" i="6" a="1"/>
  <c r="P982" i="6" a="1"/>
  <c r="P983" i="6" a="1"/>
  <c r="P984" i="6" a="1"/>
  <c r="P985" i="6" a="1"/>
  <c r="P986" i="6" a="1"/>
  <c r="P987" i="6" a="1"/>
  <c r="P988" i="6" a="1"/>
  <c r="P989" i="6" a="1"/>
  <c r="P990" i="6" a="1"/>
  <c r="P991" i="6" a="1"/>
  <c r="P992" i="6" a="1"/>
  <c r="P993" i="6" a="1"/>
  <c r="P994" i="6" a="1"/>
  <c r="P995" i="6" a="1"/>
  <c r="P996" i="6" a="1"/>
  <c r="P997" i="6" a="1"/>
  <c r="P998" i="6" a="1"/>
  <c r="P999" i="6" a="1"/>
  <c r="P1000" i="6" a="1"/>
  <c r="P1001" i="6" a="1"/>
  <c r="P1002" i="6" a="1"/>
  <c r="P1003" i="6" a="1"/>
  <c r="P1004" i="6" a="1"/>
  <c r="P1005" i="6" a="1"/>
  <c r="P1006" i="6" a="1"/>
  <c r="P1007" i="6" a="1"/>
  <c r="P1008" i="6" a="1"/>
  <c r="P1009" i="6" a="1"/>
  <c r="P1010" i="6" a="1"/>
  <c r="P1011" i="6" a="1"/>
  <c r="P1012" i="6" a="1"/>
  <c r="P1013" i="6" a="1"/>
  <c r="P1014" i="6" a="1"/>
  <c r="P1015" i="6" a="1"/>
  <c r="P1016" i="6" a="1"/>
  <c r="P1017" i="6" a="1"/>
  <c r="P1018" i="6" a="1"/>
  <c r="P1019" i="6" a="1"/>
  <c r="P1020" i="6" a="1"/>
  <c r="P1021" i="6" a="1"/>
  <c r="P1022" i="6" a="1"/>
  <c r="P1023" i="6" a="1"/>
  <c r="P1024" i="6" a="1"/>
  <c r="P1025" i="6" a="1"/>
  <c r="P1026" i="6" a="1"/>
  <c r="P1027" i="6" a="1"/>
  <c r="P1028" i="6" a="1"/>
  <c r="P1029" i="6" a="1"/>
  <c r="P1030" i="6" a="1"/>
  <c r="P1031" i="6" a="1"/>
  <c r="P1032" i="6" a="1"/>
  <c r="P1033" i="6" a="1"/>
  <c r="P1034" i="6" a="1"/>
  <c r="P1035" i="6" a="1"/>
  <c r="P1036" i="6" a="1"/>
  <c r="P1037" i="6" a="1"/>
  <c r="P1038" i="6" a="1"/>
  <c r="P1039" i="6" a="1"/>
  <c r="P1040" i="6" a="1"/>
  <c r="P1041" i="6" a="1"/>
  <c r="P1042" i="6" a="1"/>
  <c r="P1043" i="6" a="1"/>
  <c r="P1044" i="6" a="1"/>
  <c r="P1045" i="6" a="1"/>
  <c r="P1046" i="6" a="1"/>
  <c r="P1047" i="6" a="1"/>
  <c r="P1048" i="6" a="1"/>
  <c r="P1049" i="6" a="1"/>
  <c r="P1050" i="6" a="1"/>
  <c r="P1051" i="6" a="1"/>
  <c r="P1052" i="6" a="1"/>
  <c r="P1053" i="6" a="1"/>
  <c r="P1054" i="6" a="1"/>
  <c r="P1055" i="6" a="1"/>
  <c r="P1056" i="6" a="1"/>
  <c r="P1057" i="6" a="1"/>
  <c r="P1058" i="6" a="1"/>
  <c r="P1059" i="6" a="1"/>
  <c r="P1060" i="6" a="1"/>
  <c r="P1061" i="6" a="1"/>
  <c r="P1062" i="6" a="1"/>
  <c r="P1063" i="6" a="1"/>
  <c r="P1064" i="6" a="1"/>
  <c r="P1065" i="6" a="1"/>
  <c r="P1066" i="6" a="1"/>
  <c r="P1067" i="6" a="1"/>
  <c r="P1068" i="6" a="1"/>
  <c r="P1069" i="6" a="1"/>
  <c r="P1070" i="6" a="1"/>
  <c r="P1071" i="6" a="1"/>
  <c r="P1072" i="6" a="1"/>
  <c r="P1073" i="6" a="1"/>
  <c r="P1074" i="6" a="1"/>
  <c r="P1075" i="6" a="1"/>
  <c r="P1076" i="6" a="1"/>
  <c r="P1077" i="6" a="1"/>
  <c r="P1078" i="6" a="1"/>
  <c r="P1079" i="6" a="1"/>
  <c r="P1080" i="6" a="1"/>
  <c r="P1081" i="6" a="1"/>
  <c r="P1082" i="6" a="1"/>
  <c r="P1083" i="6" a="1"/>
  <c r="P1084" i="6" a="1"/>
  <c r="P1085" i="6" a="1"/>
  <c r="P1086" i="6" a="1"/>
  <c r="P1087" i="6" a="1"/>
  <c r="P1088" i="6" a="1"/>
  <c r="P1089" i="6" a="1"/>
  <c r="P1090" i="6" a="1"/>
  <c r="P1091" i="6" a="1"/>
  <c r="P1092" i="6" a="1"/>
  <c r="P1093" i="6" a="1"/>
  <c r="P1094" i="6" a="1"/>
  <c r="P1095" i="6" a="1"/>
  <c r="P1096" i="6" a="1"/>
  <c r="P1097" i="6" a="1"/>
  <c r="P1098" i="6" a="1"/>
  <c r="P1099" i="6" a="1"/>
  <c r="P1100" i="6" a="1"/>
  <c r="P1101" i="6" a="1"/>
  <c r="P1102" i="6" a="1"/>
  <c r="P1103" i="6" a="1"/>
  <c r="P1104" i="6" a="1"/>
  <c r="P1105" i="6" a="1"/>
  <c r="P1106" i="6" a="1"/>
  <c r="P1107" i="6" a="1"/>
  <c r="P1108" i="6" a="1"/>
  <c r="P1109" i="6" a="1"/>
  <c r="P1110" i="6" a="1"/>
  <c r="P1111" i="6" a="1"/>
  <c r="P1112" i="6" a="1"/>
  <c r="P1113" i="6" a="1"/>
  <c r="P1114" i="6" a="1"/>
  <c r="P1115" i="6" a="1"/>
  <c r="P1116" i="6" a="1"/>
  <c r="P1117" i="6" a="1"/>
  <c r="P1118" i="6" a="1"/>
  <c r="P1119" i="6" a="1"/>
  <c r="P1120" i="6" a="1"/>
  <c r="P1121" i="6" a="1"/>
  <c r="P1122" i="6" a="1"/>
  <c r="P1123" i="6" a="1"/>
  <c r="P1124" i="6" a="1"/>
  <c r="P1125" i="6" a="1"/>
  <c r="P1126" i="6" a="1"/>
  <c r="P1127" i="6" a="1"/>
  <c r="P1128" i="6" a="1"/>
  <c r="P1129" i="6" a="1"/>
  <c r="P1130" i="6" a="1"/>
  <c r="P1131" i="6" a="1"/>
  <c r="P1132" i="6" a="1"/>
  <c r="P1133" i="6" a="1"/>
  <c r="P1134" i="6" a="1"/>
  <c r="P1135" i="6" a="1"/>
  <c r="P1136" i="6" a="1"/>
  <c r="P1137" i="6" a="1"/>
  <c r="P1138" i="6" a="1"/>
  <c r="P1139" i="6" a="1"/>
  <c r="P1140" i="6" a="1"/>
  <c r="P1141" i="6" a="1"/>
  <c r="P1142" i="6" a="1"/>
  <c r="P1143" i="6" a="1"/>
  <c r="P1144" i="6" a="1"/>
  <c r="P1145" i="6" a="1"/>
  <c r="P1146" i="6" a="1"/>
  <c r="P1147" i="6" a="1"/>
  <c r="P1148" i="6" a="1"/>
  <c r="P1149" i="6" a="1"/>
  <c r="P1150" i="6" a="1"/>
  <c r="P1151" i="6" a="1"/>
  <c r="P1152" i="6" a="1"/>
  <c r="P1153" i="6" a="1"/>
  <c r="P1154" i="6" a="1"/>
  <c r="P1155" i="6" a="1"/>
  <c r="P1156" i="6" a="1"/>
  <c r="P1157" i="6" a="1"/>
  <c r="P1158" i="6" a="1"/>
  <c r="P1159" i="6" a="1"/>
  <c r="P1160" i="6" a="1"/>
  <c r="P1161" i="6" a="1"/>
  <c r="P1162" i="6" a="1"/>
  <c r="P1163" i="6" a="1"/>
  <c r="P1164" i="6" a="1"/>
  <c r="P1165" i="6" a="1"/>
  <c r="P1166" i="6" a="1"/>
  <c r="P1167" i="6" a="1"/>
  <c r="P1168" i="6" a="1"/>
  <c r="P1169" i="6" a="1"/>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N7" i="9" a="1"/>
  <c r="N7" i="9"/>
  <c r="O7" i="9"/>
  <c r="I7" i="9" a="1"/>
  <c r="I7" i="9"/>
  <c r="J7" i="9"/>
  <c r="I456" i="6" a="1"/>
  <c r="I457" i="6" a="1"/>
  <c r="I458" i="6" a="1"/>
  <c r="I459" i="6" a="1"/>
  <c r="I460" i="6" a="1"/>
  <c r="I461" i="6" a="1"/>
  <c r="I462" i="6" a="1"/>
  <c r="I463" i="6" a="1"/>
  <c r="I464" i="6" a="1"/>
  <c r="I465" i="6" a="1"/>
  <c r="I466" i="6" a="1"/>
  <c r="I467" i="6" a="1"/>
  <c r="I468" i="6" a="1"/>
  <c r="I469" i="6" a="1"/>
  <c r="I470" i="6" a="1"/>
  <c r="I471" i="6" a="1"/>
  <c r="I472" i="6" a="1"/>
  <c r="I473" i="6" a="1"/>
  <c r="I474" i="6" a="1"/>
  <c r="I475" i="6" a="1"/>
  <c r="I476" i="6" a="1"/>
  <c r="I477" i="6" a="1"/>
  <c r="I478" i="6" a="1"/>
  <c r="I479" i="6" a="1"/>
  <c r="I480" i="6" a="1"/>
  <c r="I481" i="6" a="1"/>
  <c r="I482" i="6" a="1"/>
  <c r="I483" i="6" a="1"/>
  <c r="I484" i="6" a="1"/>
  <c r="I485" i="6" a="1"/>
  <c r="I486" i="6" a="1"/>
  <c r="I487" i="6" a="1"/>
  <c r="I488" i="6" a="1"/>
  <c r="I489" i="6" a="1"/>
  <c r="I490" i="6" a="1"/>
  <c r="I491" i="6" a="1"/>
  <c r="I492" i="6" a="1"/>
  <c r="I493" i="6" a="1"/>
  <c r="I494" i="6" a="1"/>
  <c r="I495" i="6" a="1"/>
  <c r="I496" i="6" a="1"/>
  <c r="I497" i="6" a="1"/>
  <c r="I498" i="6" a="1"/>
  <c r="I499" i="6" a="1"/>
  <c r="I500" i="6" a="1"/>
  <c r="I501" i="6" a="1"/>
  <c r="I502" i="6" a="1"/>
  <c r="I503" i="6" a="1"/>
  <c r="I504" i="6" a="1"/>
  <c r="I505" i="6" a="1"/>
  <c r="I506" i="6" a="1"/>
  <c r="I507" i="6" a="1"/>
  <c r="I508" i="6" a="1"/>
  <c r="I509" i="6" a="1"/>
  <c r="I510" i="6" a="1"/>
  <c r="I511" i="6" a="1"/>
  <c r="I512" i="6" a="1"/>
  <c r="I513" i="6" a="1"/>
  <c r="I514" i="6" a="1"/>
  <c r="I515" i="6" a="1"/>
  <c r="I516" i="6" a="1"/>
  <c r="I517" i="6" a="1"/>
  <c r="I518" i="6" a="1"/>
  <c r="I519" i="6" a="1"/>
  <c r="I520" i="6" a="1"/>
  <c r="I521" i="6" a="1"/>
  <c r="I522" i="6" a="1"/>
  <c r="I523" i="6" a="1"/>
  <c r="I524" i="6" a="1"/>
  <c r="I525" i="6" a="1"/>
  <c r="I526" i="6" a="1"/>
  <c r="I527" i="6" a="1"/>
  <c r="I528" i="6" a="1"/>
  <c r="I529" i="6" a="1"/>
  <c r="I530" i="6" a="1"/>
  <c r="I531" i="6" a="1"/>
  <c r="I532" i="6" a="1"/>
  <c r="I533" i="6" a="1"/>
  <c r="I534" i="6" a="1"/>
  <c r="I535" i="6" a="1"/>
  <c r="I536" i="6" a="1"/>
  <c r="I537" i="6" a="1"/>
  <c r="I538" i="6" a="1"/>
  <c r="I539" i="6" a="1"/>
  <c r="I540" i="6" a="1"/>
  <c r="I541" i="6" a="1"/>
  <c r="I542" i="6" a="1"/>
  <c r="I543" i="6" a="1"/>
  <c r="I544" i="6" a="1"/>
  <c r="I545" i="6" a="1"/>
  <c r="I546" i="6" a="1"/>
  <c r="I547" i="6" a="1"/>
  <c r="I548" i="6" a="1"/>
  <c r="I549" i="6" a="1"/>
  <c r="I550" i="6" a="1"/>
  <c r="I551" i="6" a="1"/>
  <c r="I552" i="6" a="1"/>
  <c r="I553" i="6" a="1"/>
  <c r="I554" i="6" a="1"/>
  <c r="I555" i="6" a="1"/>
  <c r="I556" i="6" a="1"/>
  <c r="I557" i="6" a="1"/>
  <c r="I558" i="6" a="1"/>
  <c r="I559" i="6" a="1"/>
  <c r="I560" i="6" a="1"/>
  <c r="I561" i="6" a="1"/>
  <c r="I562" i="6" a="1"/>
  <c r="I563" i="6" a="1"/>
  <c r="I564" i="6" a="1"/>
  <c r="I565" i="6" a="1"/>
  <c r="I579" i="6" a="1"/>
  <c r="I580" i="6" a="1"/>
  <c r="I581" i="6" a="1"/>
  <c r="I582" i="6" a="1"/>
  <c r="I583" i="6" a="1"/>
  <c r="I584" i="6" a="1"/>
  <c r="I585" i="6" a="1"/>
  <c r="I586" i="6" a="1"/>
  <c r="I587" i="6" a="1"/>
  <c r="I588" i="6" a="1"/>
  <c r="I589" i="6" a="1"/>
  <c r="I590" i="6" a="1"/>
  <c r="I591" i="6" a="1"/>
  <c r="I592" i="6" a="1"/>
  <c r="I593" i="6" a="1"/>
  <c r="I594" i="6" a="1"/>
  <c r="I595" i="6" a="1"/>
  <c r="I596" i="6" a="1"/>
  <c r="I597" i="6" a="1"/>
  <c r="I598" i="6" a="1"/>
  <c r="I599" i="6" a="1"/>
  <c r="I600" i="6" a="1"/>
  <c r="I601" i="6" a="1"/>
  <c r="I602" i="6" a="1"/>
  <c r="I603" i="6" a="1"/>
  <c r="I604" i="6" a="1"/>
  <c r="I605" i="6" a="1"/>
  <c r="I606" i="6" a="1"/>
  <c r="I607" i="6" a="1"/>
  <c r="I608" i="6" a="1"/>
  <c r="I609" i="6" a="1"/>
  <c r="I610" i="6" a="1"/>
  <c r="I611" i="6" a="1"/>
  <c r="I612" i="6" a="1"/>
  <c r="I613" i="6" a="1"/>
  <c r="I614" i="6" a="1"/>
  <c r="I615" i="6" a="1"/>
  <c r="I616" i="6" a="1"/>
  <c r="I617" i="6" a="1"/>
  <c r="I618" i="6" a="1"/>
  <c r="I619" i="6" a="1"/>
  <c r="I620" i="6" a="1"/>
  <c r="I621" i="6" a="1"/>
  <c r="I622" i="6" a="1"/>
  <c r="I623" i="6" a="1"/>
  <c r="I624" i="6" a="1"/>
  <c r="I625" i="6" a="1"/>
  <c r="I626" i="6" a="1"/>
  <c r="I627" i="6" a="1"/>
  <c r="I628" i="6" a="1"/>
  <c r="I629" i="6" a="1"/>
  <c r="I630" i="6" a="1"/>
  <c r="I631" i="6" a="1"/>
  <c r="I632" i="6" a="1"/>
  <c r="I633" i="6" a="1"/>
  <c r="I634" i="6" a="1"/>
  <c r="I635" i="6" a="1"/>
  <c r="I636" i="6" a="1"/>
  <c r="I637" i="6" a="1"/>
  <c r="I638" i="6" a="1"/>
  <c r="I639" i="6" a="1"/>
  <c r="I640" i="6" a="1"/>
  <c r="I641" i="6" a="1"/>
  <c r="I642" i="6" a="1"/>
  <c r="I643" i="6" a="1"/>
  <c r="I644" i="6" a="1"/>
  <c r="I645" i="6" a="1"/>
  <c r="I646" i="6" a="1"/>
  <c r="I647" i="6" a="1"/>
  <c r="I648" i="6" a="1"/>
  <c r="I649" i="6" a="1"/>
  <c r="I650" i="6" a="1"/>
  <c r="I651" i="6" a="1"/>
  <c r="I652" i="6" a="1"/>
  <c r="I653" i="6" a="1"/>
  <c r="I654" i="6" a="1"/>
  <c r="I655" i="6" a="1"/>
  <c r="I656" i="6" a="1"/>
  <c r="I657" i="6" a="1"/>
  <c r="I658" i="6" a="1"/>
  <c r="I659" i="6" a="1"/>
  <c r="I660" i="6" a="1"/>
  <c r="I661" i="6" a="1"/>
  <c r="I662" i="6" a="1"/>
  <c r="I663" i="6" a="1"/>
  <c r="I664" i="6" a="1"/>
  <c r="I665" i="6" a="1"/>
  <c r="I666" i="6" a="1"/>
  <c r="I667" i="6" a="1"/>
  <c r="I668" i="6" a="1"/>
  <c r="I669" i="6" a="1"/>
  <c r="I670" i="6" a="1"/>
  <c r="I671" i="6" a="1"/>
  <c r="I672" i="6" a="1"/>
  <c r="I673" i="6" a="1"/>
  <c r="I674" i="6" a="1"/>
  <c r="I675" i="6" a="1"/>
  <c r="I676" i="6" a="1"/>
  <c r="I677" i="6" a="1"/>
  <c r="I678" i="6" a="1"/>
  <c r="I679" i="6" a="1"/>
  <c r="I680" i="6" a="1"/>
  <c r="I681" i="6" a="1"/>
  <c r="I682" i="6" a="1"/>
  <c r="I683" i="6" a="1"/>
  <c r="I684" i="6" a="1"/>
  <c r="I685" i="6" a="1"/>
  <c r="I686" i="6" a="1"/>
  <c r="I687" i="6" a="1"/>
  <c r="I688" i="6" a="1"/>
  <c r="I689" i="6" a="1"/>
  <c r="I690" i="6" a="1"/>
  <c r="I691" i="6" a="1"/>
  <c r="I692" i="6" a="1"/>
  <c r="I693" i="6" a="1"/>
  <c r="I694" i="6" a="1"/>
  <c r="I695" i="6" a="1"/>
  <c r="I696" i="6" a="1"/>
  <c r="I697" i="6" a="1"/>
  <c r="I698" i="6" a="1"/>
  <c r="I699" i="6" a="1"/>
  <c r="I700" i="6" a="1"/>
  <c r="I701" i="6" a="1"/>
  <c r="I702" i="6" a="1"/>
  <c r="I703" i="6" a="1"/>
  <c r="I704" i="6" a="1"/>
  <c r="I705" i="6" a="1"/>
  <c r="I706" i="6" a="1"/>
  <c r="I707" i="6" a="1"/>
  <c r="I708" i="6" a="1"/>
  <c r="I709" i="6" a="1"/>
  <c r="I710" i="6" a="1"/>
  <c r="I711" i="6" a="1"/>
  <c r="I712" i="6" a="1"/>
  <c r="I713" i="6" a="1"/>
  <c r="I714" i="6" a="1"/>
  <c r="I715" i="6" a="1"/>
  <c r="I716" i="6" a="1"/>
  <c r="I717" i="6" a="1"/>
  <c r="I718" i="6" a="1"/>
  <c r="I719" i="6" a="1"/>
  <c r="I720" i="6" a="1"/>
  <c r="I721" i="6" a="1"/>
  <c r="I722" i="6" a="1"/>
  <c r="I723" i="6" a="1"/>
  <c r="I724" i="6" a="1"/>
  <c r="I725" i="6" a="1"/>
  <c r="I726" i="6" a="1"/>
  <c r="I727" i="6" a="1"/>
  <c r="I728" i="6" a="1"/>
  <c r="I729" i="6" a="1"/>
  <c r="I730" i="6" a="1"/>
  <c r="I731" i="6" a="1"/>
  <c r="I732" i="6" a="1"/>
  <c r="I733" i="6" a="1"/>
  <c r="I734" i="6" a="1"/>
  <c r="I735" i="6" a="1"/>
  <c r="I736" i="6" a="1"/>
  <c r="I737" i="6" a="1"/>
  <c r="I738" i="6" a="1"/>
  <c r="I739" i="6" a="1"/>
  <c r="I740" i="6" a="1"/>
  <c r="I741" i="6" a="1"/>
  <c r="I742" i="6" a="1"/>
  <c r="I743" i="6" a="1"/>
  <c r="I744" i="6" a="1"/>
  <c r="I745" i="6" a="1"/>
  <c r="I746" i="6" a="1"/>
  <c r="I747" i="6" a="1"/>
  <c r="I748" i="6" a="1"/>
  <c r="I749" i="6" a="1"/>
  <c r="I750" i="6" a="1"/>
  <c r="I751" i="6" a="1"/>
  <c r="I752" i="6" a="1"/>
  <c r="I753" i="6" a="1"/>
  <c r="I754" i="6" a="1"/>
  <c r="I755" i="6" a="1"/>
  <c r="I756" i="6" a="1"/>
  <c r="I757" i="6" a="1"/>
  <c r="I758" i="6" a="1"/>
  <c r="I759" i="6" a="1"/>
  <c r="I760" i="6" a="1"/>
  <c r="I761" i="6" a="1"/>
  <c r="I762" i="6" a="1"/>
  <c r="I763" i="6" a="1"/>
  <c r="I764" i="6" a="1"/>
  <c r="I765" i="6" a="1"/>
  <c r="I766" i="6" a="1"/>
  <c r="I767" i="6" a="1"/>
  <c r="I768" i="6" a="1"/>
  <c r="I769" i="6" a="1"/>
  <c r="I770" i="6" a="1"/>
  <c r="I771" i="6" a="1"/>
  <c r="I772" i="6" a="1"/>
  <c r="I773" i="6" a="1"/>
  <c r="I774" i="6" a="1"/>
  <c r="I775" i="6" a="1"/>
  <c r="I776" i="6" a="1"/>
  <c r="I777" i="6" a="1"/>
  <c r="I778" i="6" a="1"/>
  <c r="I779" i="6" a="1"/>
  <c r="I780" i="6" a="1"/>
  <c r="I781" i="6" a="1"/>
  <c r="I782" i="6" a="1"/>
  <c r="I783" i="6" a="1"/>
  <c r="I784" i="6" a="1"/>
  <c r="I785" i="6" a="1"/>
  <c r="I786" i="6" a="1"/>
  <c r="I787" i="6" a="1"/>
  <c r="I788" i="6" a="1"/>
  <c r="I789" i="6" a="1"/>
  <c r="I790" i="6" a="1"/>
  <c r="I791" i="6" a="1"/>
  <c r="I792" i="6" a="1"/>
  <c r="I793" i="6" a="1"/>
  <c r="I794" i="6" a="1"/>
  <c r="I795" i="6" a="1"/>
  <c r="I796" i="6" a="1"/>
  <c r="I797" i="6" a="1"/>
  <c r="I798" i="6" a="1"/>
  <c r="I799" i="6" a="1"/>
  <c r="I800" i="6" a="1"/>
  <c r="I801" i="6" a="1"/>
  <c r="I802" i="6" a="1"/>
  <c r="I803" i="6" a="1"/>
  <c r="I804" i="6" a="1"/>
  <c r="I805" i="6" a="1"/>
  <c r="I806" i="6" a="1"/>
  <c r="I807" i="6" a="1"/>
  <c r="I808" i="6" a="1"/>
  <c r="I809" i="6" a="1"/>
  <c r="I810" i="6" a="1"/>
  <c r="I811" i="6" a="1"/>
  <c r="I812" i="6" a="1"/>
  <c r="I813" i="6" a="1"/>
  <c r="I814" i="6" a="1"/>
  <c r="I815" i="6" a="1"/>
  <c r="I816" i="6" a="1"/>
  <c r="I817" i="6" a="1"/>
  <c r="I818" i="6" a="1"/>
  <c r="I819" i="6" a="1"/>
  <c r="I820" i="6" a="1"/>
  <c r="I821" i="6" a="1"/>
  <c r="I822" i="6" a="1"/>
  <c r="I823" i="6" a="1"/>
  <c r="I824" i="6" a="1"/>
  <c r="I825" i="6" a="1"/>
  <c r="I826" i="6" a="1"/>
  <c r="I827" i="6" a="1"/>
  <c r="I828" i="6" a="1"/>
  <c r="I829" i="6" a="1"/>
  <c r="I830" i="6" a="1"/>
  <c r="I831" i="6" a="1"/>
  <c r="I832" i="6" a="1"/>
  <c r="I833" i="6" a="1"/>
  <c r="I834" i="6" a="1"/>
  <c r="I835" i="6" a="1"/>
  <c r="I836" i="6" a="1"/>
  <c r="I837" i="6" a="1"/>
  <c r="I838" i="6" a="1"/>
  <c r="I839" i="6" a="1"/>
  <c r="I840" i="6" a="1"/>
  <c r="I841" i="6" a="1"/>
  <c r="I842" i="6" a="1"/>
  <c r="I843" i="6" a="1"/>
  <c r="I844" i="6" a="1"/>
  <c r="I845" i="6" a="1"/>
  <c r="I846" i="6" a="1"/>
  <c r="I847" i="6" a="1"/>
  <c r="I848" i="6" a="1"/>
  <c r="I849" i="6" a="1"/>
  <c r="I850" i="6" a="1"/>
  <c r="I851" i="6" a="1"/>
  <c r="I852" i="6" a="1"/>
  <c r="I853" i="6" a="1"/>
  <c r="I854" i="6" a="1"/>
  <c r="I855" i="6" a="1"/>
  <c r="I856" i="6" a="1"/>
  <c r="I857" i="6" a="1"/>
  <c r="I858" i="6" a="1"/>
  <c r="I859" i="6" a="1"/>
  <c r="I860" i="6" a="1"/>
  <c r="I861" i="6" a="1"/>
  <c r="I862" i="6" a="1"/>
  <c r="I863" i="6" a="1"/>
  <c r="I864" i="6" a="1"/>
  <c r="I865" i="6" a="1"/>
  <c r="I866" i="6" a="1"/>
  <c r="I867" i="6" a="1"/>
  <c r="I868" i="6" a="1"/>
  <c r="I869" i="6" a="1"/>
  <c r="I870" i="6" a="1"/>
  <c r="I871" i="6" a="1"/>
  <c r="I872" i="6" a="1"/>
  <c r="I873" i="6" a="1"/>
  <c r="I874" i="6" a="1"/>
  <c r="I875" i="6" a="1"/>
  <c r="I876" i="6" a="1"/>
  <c r="I877" i="6" a="1"/>
  <c r="I878" i="6" a="1"/>
  <c r="I879" i="6" a="1"/>
  <c r="I880" i="6" a="1"/>
  <c r="I881" i="6" a="1"/>
  <c r="I882" i="6" a="1"/>
  <c r="I883" i="6" a="1"/>
  <c r="I884" i="6" a="1"/>
  <c r="I885" i="6" a="1"/>
  <c r="I886" i="6" a="1"/>
  <c r="I887" i="6" a="1"/>
  <c r="I888" i="6" a="1"/>
  <c r="I889" i="6" a="1"/>
  <c r="I890" i="6" a="1"/>
  <c r="I891" i="6" a="1"/>
  <c r="I892" i="6" a="1"/>
  <c r="I893" i="6" a="1"/>
  <c r="I894" i="6" a="1"/>
  <c r="I895" i="6" a="1"/>
  <c r="I896" i="6" a="1"/>
  <c r="I897" i="6" a="1"/>
  <c r="I898" i="6" a="1"/>
  <c r="I899" i="6" a="1"/>
  <c r="I900" i="6" a="1"/>
  <c r="I901" i="6" a="1"/>
  <c r="I902" i="6" a="1"/>
  <c r="I903" i="6" a="1"/>
  <c r="I904" i="6" a="1"/>
  <c r="I905" i="6" a="1"/>
  <c r="I906" i="6" a="1"/>
  <c r="I907" i="6" a="1"/>
  <c r="I908" i="6" a="1"/>
  <c r="I909" i="6" a="1"/>
  <c r="I910" i="6" a="1"/>
  <c r="I911" i="6" a="1"/>
  <c r="I912" i="6" a="1"/>
  <c r="I913" i="6" a="1"/>
  <c r="I914" i="6" a="1"/>
  <c r="I915" i="6" a="1"/>
  <c r="I916" i="6" a="1"/>
  <c r="I917" i="6" a="1"/>
  <c r="I918" i="6" a="1"/>
  <c r="I919" i="6" a="1"/>
  <c r="I920" i="6" a="1"/>
  <c r="I921" i="6" a="1"/>
  <c r="I922" i="6" a="1"/>
  <c r="I923" i="6" a="1"/>
  <c r="I924" i="6" a="1"/>
  <c r="I925" i="6" a="1"/>
  <c r="I926" i="6" a="1"/>
  <c r="I927" i="6" a="1"/>
  <c r="I928" i="6" a="1"/>
  <c r="I929" i="6" a="1"/>
  <c r="I930" i="6" a="1"/>
  <c r="I931" i="6" a="1"/>
  <c r="I932" i="6" a="1"/>
  <c r="I933" i="6" a="1"/>
  <c r="I934" i="6" a="1"/>
  <c r="I935" i="6" a="1"/>
  <c r="I936" i="6" a="1"/>
  <c r="I937" i="6" a="1"/>
  <c r="I938" i="6" a="1"/>
  <c r="I939" i="6" a="1"/>
  <c r="I940" i="6" a="1"/>
  <c r="I941" i="6" a="1"/>
  <c r="I942" i="6" a="1"/>
  <c r="I943" i="6" a="1"/>
  <c r="I944" i="6" a="1"/>
  <c r="I945" i="6" a="1"/>
  <c r="I946" i="6" a="1"/>
  <c r="I947" i="6" a="1"/>
  <c r="I948" i="6" a="1"/>
  <c r="I949" i="6" a="1"/>
  <c r="I950" i="6" a="1"/>
  <c r="I951" i="6" a="1"/>
  <c r="I952" i="6" a="1"/>
  <c r="I953" i="6" a="1"/>
  <c r="I954" i="6" a="1"/>
  <c r="I955" i="6" a="1"/>
  <c r="I956" i="6" a="1"/>
  <c r="I957" i="6" a="1"/>
  <c r="I958" i="6" a="1"/>
  <c r="I959" i="6" a="1"/>
  <c r="I960" i="6" a="1"/>
  <c r="I961" i="6" a="1"/>
  <c r="I962" i="6" a="1"/>
  <c r="I963" i="6" a="1"/>
  <c r="I964" i="6" a="1"/>
  <c r="I965" i="6" a="1"/>
  <c r="I966" i="6" a="1"/>
  <c r="I967" i="6" a="1"/>
  <c r="I968" i="6" a="1"/>
  <c r="I969" i="6" a="1"/>
  <c r="I970" i="6" a="1"/>
  <c r="I971" i="6" a="1"/>
  <c r="I972" i="6" a="1"/>
  <c r="I973" i="6" a="1"/>
  <c r="I974" i="6" a="1"/>
  <c r="I975" i="6" a="1"/>
  <c r="I976" i="6" a="1"/>
  <c r="I977" i="6" a="1"/>
  <c r="I978" i="6" a="1"/>
  <c r="I979" i="6" a="1"/>
  <c r="I980" i="6" a="1"/>
  <c r="I981" i="6" a="1"/>
  <c r="I982" i="6" a="1"/>
  <c r="I983" i="6" a="1"/>
  <c r="I984" i="6" a="1"/>
  <c r="I985" i="6" a="1"/>
  <c r="I986" i="6" a="1"/>
  <c r="I987" i="6" a="1"/>
  <c r="I988" i="6" a="1"/>
  <c r="I989" i="6" a="1"/>
  <c r="I990" i="6" a="1"/>
  <c r="I991" i="6" a="1"/>
  <c r="I992" i="6" a="1"/>
  <c r="I993" i="6" a="1"/>
  <c r="I994" i="6" a="1"/>
  <c r="I995" i="6" a="1"/>
  <c r="I996" i="6" a="1"/>
  <c r="I997" i="6" a="1"/>
  <c r="I998" i="6" a="1"/>
  <c r="I999" i="6" a="1"/>
  <c r="I1000" i="6" a="1"/>
  <c r="I1001" i="6" a="1"/>
  <c r="I1002" i="6" a="1"/>
  <c r="I1003" i="6" a="1"/>
  <c r="I1004" i="6" a="1"/>
  <c r="I1005" i="6" a="1"/>
  <c r="I1006" i="6" a="1"/>
  <c r="I1007" i="6" a="1"/>
  <c r="I1008" i="6" a="1"/>
  <c r="I1009" i="6" a="1"/>
  <c r="I1010" i="6" a="1"/>
  <c r="I1011" i="6" a="1"/>
  <c r="I1012" i="6" a="1"/>
  <c r="I1013" i="6" a="1"/>
  <c r="I1014" i="6" a="1"/>
  <c r="I1015" i="6" a="1"/>
  <c r="I1016" i="6" a="1"/>
  <c r="I1017" i="6" a="1"/>
  <c r="I1018" i="6" a="1"/>
  <c r="I1019" i="6" a="1"/>
  <c r="I1020" i="6" a="1"/>
  <c r="I1021" i="6" a="1"/>
  <c r="I1022" i="6" a="1"/>
  <c r="I1023" i="6" a="1"/>
  <c r="I1024" i="6" a="1"/>
  <c r="I1025" i="6" a="1"/>
  <c r="I1026" i="6" a="1"/>
  <c r="I1027" i="6" a="1"/>
  <c r="I1028" i="6" a="1"/>
  <c r="I1029" i="6" a="1"/>
  <c r="I1030" i="6" a="1"/>
  <c r="I1031" i="6" a="1"/>
  <c r="I1032" i="6" a="1"/>
  <c r="I1033" i="6" a="1"/>
  <c r="I1034" i="6" a="1"/>
  <c r="I1035" i="6" a="1"/>
  <c r="I1036" i="6" a="1"/>
  <c r="I1037" i="6" a="1"/>
  <c r="I1038" i="6" a="1"/>
  <c r="I1039" i="6" a="1"/>
  <c r="I1040" i="6" a="1"/>
  <c r="I1041" i="6" a="1"/>
  <c r="I1042" i="6" a="1"/>
  <c r="I1043" i="6" a="1"/>
  <c r="I1044" i="6" a="1"/>
  <c r="I1045" i="6" a="1"/>
  <c r="I1046" i="6" a="1"/>
  <c r="I1047" i="6" a="1"/>
  <c r="I1048" i="6" a="1"/>
  <c r="I1049" i="6" a="1"/>
  <c r="I1050" i="6" a="1"/>
  <c r="I1051" i="6" a="1"/>
  <c r="I1052" i="6" a="1"/>
  <c r="I1053" i="6" a="1"/>
  <c r="I1054" i="6" a="1"/>
  <c r="I1055" i="6" a="1"/>
  <c r="I1056" i="6" a="1"/>
  <c r="I1057" i="6" a="1"/>
  <c r="I1058" i="6" a="1"/>
  <c r="I1059" i="6" a="1"/>
  <c r="I1060" i="6" a="1"/>
  <c r="I1061" i="6" a="1"/>
  <c r="I1062" i="6" a="1"/>
  <c r="I1063" i="6" a="1"/>
  <c r="I1064" i="6" a="1"/>
  <c r="I1065" i="6" a="1"/>
  <c r="I1066" i="6" a="1"/>
  <c r="I1067" i="6" a="1"/>
  <c r="I1068" i="6" a="1"/>
  <c r="I1069" i="6" a="1"/>
  <c r="I1070" i="6" a="1"/>
  <c r="I1071" i="6" a="1"/>
  <c r="I1072" i="6" a="1"/>
  <c r="I1073" i="6" a="1"/>
  <c r="I1074" i="6" a="1"/>
  <c r="I1075" i="6" a="1"/>
  <c r="I1076" i="6" a="1"/>
  <c r="I1077" i="6" a="1"/>
  <c r="I1078" i="6" a="1"/>
  <c r="I1079" i="6" a="1"/>
  <c r="I1080" i="6" a="1"/>
  <c r="I1081" i="6" a="1"/>
  <c r="I1082" i="6" a="1"/>
  <c r="I1083" i="6" a="1"/>
  <c r="I1084" i="6" a="1"/>
  <c r="I1085" i="6" a="1"/>
  <c r="I1086" i="6" a="1"/>
  <c r="I1087" i="6" a="1"/>
  <c r="I1088" i="6" a="1"/>
  <c r="I1089" i="6" a="1"/>
  <c r="I1090" i="6" a="1"/>
  <c r="I1091" i="6" a="1"/>
  <c r="I1092" i="6" a="1"/>
  <c r="I1093" i="6" a="1"/>
  <c r="I1094" i="6" a="1"/>
  <c r="I1095" i="6" a="1"/>
  <c r="I1096" i="6" a="1"/>
  <c r="I1097" i="6" a="1"/>
  <c r="I1098" i="6" a="1"/>
  <c r="I1099" i="6" a="1"/>
  <c r="I1100" i="6" a="1"/>
  <c r="I1101" i="6" a="1"/>
  <c r="I1102" i="6" a="1"/>
  <c r="I1103" i="6" a="1"/>
  <c r="I1104" i="6" a="1"/>
  <c r="I1105" i="6" a="1"/>
  <c r="I1106" i="6" a="1"/>
  <c r="I1107" i="6" a="1"/>
  <c r="I1108" i="6" a="1"/>
  <c r="I1109" i="6" a="1"/>
  <c r="I1110" i="6" a="1"/>
  <c r="I1111" i="6" a="1"/>
  <c r="I1112" i="6" a="1"/>
  <c r="I1113" i="6" a="1"/>
  <c r="I1114" i="6" a="1"/>
  <c r="I1115" i="6" a="1"/>
  <c r="I1116" i="6" a="1"/>
  <c r="I1117" i="6" a="1"/>
  <c r="I1118" i="6" a="1"/>
  <c r="I1119" i="6" a="1"/>
  <c r="I1120" i="6" a="1"/>
  <c r="I1121" i="6" a="1"/>
  <c r="I1122" i="6" a="1"/>
  <c r="I1123" i="6" a="1"/>
  <c r="I1124" i="6" a="1"/>
  <c r="I1125" i="6" a="1"/>
  <c r="I1126" i="6" a="1"/>
  <c r="I1127" i="6" a="1"/>
  <c r="I1128" i="6" a="1"/>
  <c r="I1129" i="6" a="1"/>
  <c r="I1130" i="6" a="1"/>
  <c r="I1131" i="6" a="1"/>
  <c r="I1132" i="6" a="1"/>
  <c r="I1133" i="6" a="1"/>
  <c r="I1134" i="6" a="1"/>
  <c r="I1135" i="6" a="1"/>
  <c r="I1136" i="6" a="1"/>
  <c r="I1137" i="6" a="1"/>
  <c r="I1138" i="6" a="1"/>
  <c r="I1139" i="6" a="1"/>
  <c r="I1140" i="6" a="1"/>
  <c r="I1141" i="6" a="1"/>
  <c r="I1142" i="6" a="1"/>
  <c r="I1143" i="6" a="1"/>
  <c r="I1144" i="6" a="1"/>
  <c r="I1145" i="6" a="1"/>
  <c r="I1146" i="6" a="1"/>
  <c r="I1147" i="6" a="1"/>
  <c r="I1148" i="6" a="1"/>
  <c r="I1149" i="6" a="1"/>
  <c r="I1150" i="6" a="1"/>
  <c r="I1151" i="6" a="1"/>
  <c r="I1152" i="6" a="1"/>
  <c r="I1153" i="6" a="1"/>
  <c r="I1154" i="6" a="1"/>
  <c r="I1155" i="6" a="1"/>
  <c r="I1156" i="6" a="1"/>
  <c r="I1157" i="6" a="1"/>
  <c r="I1158" i="6" a="1"/>
  <c r="I1159" i="6" a="1"/>
  <c r="I1160" i="6" a="1"/>
  <c r="I1161" i="6" a="1"/>
  <c r="I1162" i="6" a="1"/>
  <c r="I1163" i="6" a="1"/>
  <c r="I1164" i="6" a="1"/>
  <c r="I1165" i="6" a="1"/>
  <c r="I1166" i="6" a="1"/>
  <c r="I1167" i="6" a="1"/>
  <c r="I1168" i="6" a="1"/>
  <c r="I1169" i="6" a="1"/>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N6" i="9" a="1"/>
  <c r="N6" i="9"/>
  <c r="O6" i="9"/>
  <c r="I6" i="9" a="1"/>
  <c r="I6" i="9"/>
  <c r="J6" i="9"/>
  <c r="H456" i="6" a="1"/>
  <c r="H457" i="6" a="1"/>
  <c r="H458" i="6" a="1"/>
  <c r="H459" i="6" a="1"/>
  <c r="H460" i="6" a="1"/>
  <c r="H461" i="6" a="1"/>
  <c r="H462" i="6" a="1"/>
  <c r="H463" i="6" a="1"/>
  <c r="H464" i="6" a="1"/>
  <c r="H465" i="6" a="1"/>
  <c r="H466" i="6" a="1"/>
  <c r="H467" i="6" a="1"/>
  <c r="H468" i="6" a="1"/>
  <c r="H469" i="6" a="1"/>
  <c r="H470" i="6" a="1"/>
  <c r="H471" i="6" a="1"/>
  <c r="H472" i="6" a="1"/>
  <c r="H473" i="6" a="1"/>
  <c r="H474" i="6" a="1"/>
  <c r="H475" i="6" a="1"/>
  <c r="H476" i="6" a="1"/>
  <c r="H477" i="6" a="1"/>
  <c r="H478" i="6" a="1"/>
  <c r="H479" i="6" a="1"/>
  <c r="H480" i="6" a="1"/>
  <c r="H481" i="6" a="1"/>
  <c r="H482" i="6" a="1"/>
  <c r="H483" i="6" a="1"/>
  <c r="H484" i="6" a="1"/>
  <c r="H485" i="6" a="1"/>
  <c r="H486" i="6" a="1"/>
  <c r="H487" i="6" a="1"/>
  <c r="H488" i="6" a="1"/>
  <c r="H489" i="6" a="1"/>
  <c r="H490" i="6" a="1"/>
  <c r="H491" i="6" a="1"/>
  <c r="H492" i="6" a="1"/>
  <c r="H493" i="6" a="1"/>
  <c r="H494" i="6" a="1"/>
  <c r="H495" i="6" a="1"/>
  <c r="H496" i="6" a="1"/>
  <c r="H497" i="6" a="1"/>
  <c r="H498" i="6" a="1"/>
  <c r="H499" i="6" a="1"/>
  <c r="H500" i="6" a="1"/>
  <c r="H501" i="6" a="1"/>
  <c r="H502" i="6" a="1"/>
  <c r="H503" i="6" a="1"/>
  <c r="H504" i="6" a="1"/>
  <c r="H505" i="6" a="1"/>
  <c r="H506" i="6" a="1"/>
  <c r="H507" i="6" a="1"/>
  <c r="H508" i="6" a="1"/>
  <c r="H509" i="6" a="1"/>
  <c r="H510" i="6" a="1"/>
  <c r="H511" i="6" a="1"/>
  <c r="H512" i="6" a="1"/>
  <c r="H513" i="6" a="1"/>
  <c r="H514" i="6" a="1"/>
  <c r="H515" i="6" a="1"/>
  <c r="H516" i="6" a="1"/>
  <c r="H517" i="6" a="1"/>
  <c r="H518" i="6" a="1"/>
  <c r="H519" i="6" a="1"/>
  <c r="H520" i="6" a="1"/>
  <c r="H521" i="6" a="1"/>
  <c r="H522" i="6" a="1"/>
  <c r="H523" i="6" a="1"/>
  <c r="H524" i="6" a="1"/>
  <c r="H525" i="6" a="1"/>
  <c r="H526" i="6" a="1"/>
  <c r="H527" i="6" a="1"/>
  <c r="H528" i="6" a="1"/>
  <c r="H529" i="6" a="1"/>
  <c r="H530" i="6" a="1"/>
  <c r="H531" i="6" a="1"/>
  <c r="H532" i="6" a="1"/>
  <c r="H533" i="6" a="1"/>
  <c r="H534" i="6" a="1"/>
  <c r="H535" i="6" a="1"/>
  <c r="H536" i="6" a="1"/>
  <c r="H537" i="6" a="1"/>
  <c r="H538" i="6" a="1"/>
  <c r="H539" i="6" a="1"/>
  <c r="H540" i="6" a="1"/>
  <c r="H541" i="6" a="1"/>
  <c r="H542" i="6" a="1"/>
  <c r="H543" i="6" a="1"/>
  <c r="H544" i="6" a="1"/>
  <c r="H545" i="6" a="1"/>
  <c r="H546" i="6" a="1"/>
  <c r="H547" i="6" a="1"/>
  <c r="H548" i="6" a="1"/>
  <c r="H549" i="6" a="1"/>
  <c r="H550" i="6" a="1"/>
  <c r="H551" i="6" a="1"/>
  <c r="H552" i="6" a="1"/>
  <c r="H553" i="6" a="1"/>
  <c r="H554" i="6" a="1"/>
  <c r="H555" i="6" a="1"/>
  <c r="H556" i="6" a="1"/>
  <c r="H557" i="6" a="1"/>
  <c r="H558" i="6" a="1"/>
  <c r="H559" i="6" a="1"/>
  <c r="H560" i="6" a="1"/>
  <c r="H561" i="6" a="1"/>
  <c r="H562" i="6" a="1"/>
  <c r="H563" i="6" a="1"/>
  <c r="H564" i="6" a="1"/>
  <c r="H565" i="6" a="1"/>
  <c r="H579" i="6" a="1"/>
  <c r="H580" i="6" a="1"/>
  <c r="H581" i="6" a="1"/>
  <c r="H582" i="6" a="1"/>
  <c r="H583" i="6" a="1"/>
  <c r="H584" i="6" a="1"/>
  <c r="H585" i="6" a="1"/>
  <c r="H586" i="6" a="1"/>
  <c r="H587" i="6" a="1"/>
  <c r="H588" i="6" a="1"/>
  <c r="H589" i="6" a="1"/>
  <c r="H590" i="6" a="1"/>
  <c r="H591" i="6" a="1"/>
  <c r="H592" i="6" a="1"/>
  <c r="H593" i="6" a="1"/>
  <c r="H594" i="6" a="1"/>
  <c r="H595" i="6" a="1"/>
  <c r="H596" i="6" a="1"/>
  <c r="H597" i="6" a="1"/>
  <c r="H598" i="6" a="1"/>
  <c r="H599" i="6" a="1"/>
  <c r="H600" i="6" a="1"/>
  <c r="H601" i="6" a="1"/>
  <c r="H602" i="6" a="1"/>
  <c r="H603" i="6" a="1"/>
  <c r="H604" i="6" a="1"/>
  <c r="H605" i="6" a="1"/>
  <c r="H606" i="6" a="1"/>
  <c r="H607" i="6" a="1"/>
  <c r="H608" i="6" a="1"/>
  <c r="H609" i="6" a="1"/>
  <c r="H610" i="6" a="1"/>
  <c r="H611" i="6" a="1"/>
  <c r="H612" i="6" a="1"/>
  <c r="H613" i="6" a="1"/>
  <c r="H614" i="6" a="1"/>
  <c r="H615" i="6" a="1"/>
  <c r="H616" i="6" a="1"/>
  <c r="H617" i="6" a="1"/>
  <c r="H618" i="6" a="1"/>
  <c r="H619" i="6" a="1"/>
  <c r="H620" i="6" a="1"/>
  <c r="H621" i="6" a="1"/>
  <c r="H622" i="6" a="1"/>
  <c r="H623" i="6" a="1"/>
  <c r="H624" i="6" a="1"/>
  <c r="H625" i="6" a="1"/>
  <c r="H626" i="6" a="1"/>
  <c r="H627" i="6" a="1"/>
  <c r="H628" i="6" a="1"/>
  <c r="H629" i="6" a="1"/>
  <c r="H630" i="6" a="1"/>
  <c r="H631" i="6" a="1"/>
  <c r="H632" i="6" a="1"/>
  <c r="H633" i="6" a="1"/>
  <c r="H634" i="6" a="1"/>
  <c r="H635" i="6" a="1"/>
  <c r="H636" i="6" a="1"/>
  <c r="H637" i="6" a="1"/>
  <c r="H638" i="6" a="1"/>
  <c r="H639" i="6" a="1"/>
  <c r="H640" i="6" a="1"/>
  <c r="H641" i="6" a="1"/>
  <c r="H642" i="6" a="1"/>
  <c r="H643" i="6" a="1"/>
  <c r="H644" i="6" a="1"/>
  <c r="H645" i="6" a="1"/>
  <c r="H646" i="6" a="1"/>
  <c r="H647" i="6" a="1"/>
  <c r="H648" i="6" a="1"/>
  <c r="H649" i="6" a="1"/>
  <c r="H650" i="6" a="1"/>
  <c r="H651" i="6" a="1"/>
  <c r="H652" i="6" a="1"/>
  <c r="H653" i="6" a="1"/>
  <c r="H654" i="6" a="1"/>
  <c r="H655" i="6" a="1"/>
  <c r="H656" i="6" a="1"/>
  <c r="H657" i="6" a="1"/>
  <c r="H658" i="6" a="1"/>
  <c r="H659" i="6" a="1"/>
  <c r="H660" i="6" a="1"/>
  <c r="H661" i="6" a="1"/>
  <c r="H662" i="6" a="1"/>
  <c r="H663" i="6" a="1"/>
  <c r="H664" i="6" a="1"/>
  <c r="H665" i="6" a="1"/>
  <c r="H666" i="6" a="1"/>
  <c r="H667" i="6" a="1"/>
  <c r="H668" i="6" a="1"/>
  <c r="H669" i="6" a="1"/>
  <c r="H670" i="6" a="1"/>
  <c r="H671" i="6" a="1"/>
  <c r="H672" i="6" a="1"/>
  <c r="H673" i="6" a="1"/>
  <c r="H674" i="6" a="1"/>
  <c r="H675" i="6" a="1"/>
  <c r="H676" i="6" a="1"/>
  <c r="H677" i="6" a="1"/>
  <c r="H678" i="6" a="1"/>
  <c r="H679" i="6" a="1"/>
  <c r="H680" i="6" a="1"/>
  <c r="H681" i="6" a="1"/>
  <c r="H682" i="6" a="1"/>
  <c r="H683" i="6" a="1"/>
  <c r="H684" i="6" a="1"/>
  <c r="H685" i="6" a="1"/>
  <c r="H686" i="6" a="1"/>
  <c r="H687" i="6" a="1"/>
  <c r="H688" i="6" a="1"/>
  <c r="H689" i="6" a="1"/>
  <c r="H690" i="6" a="1"/>
  <c r="H691" i="6" a="1"/>
  <c r="H692" i="6" a="1"/>
  <c r="H693" i="6" a="1"/>
  <c r="H694" i="6" a="1"/>
  <c r="H695" i="6" a="1"/>
  <c r="H696" i="6" a="1"/>
  <c r="H697" i="6" a="1"/>
  <c r="H698" i="6" a="1"/>
  <c r="H699" i="6" a="1"/>
  <c r="H700" i="6" a="1"/>
  <c r="H701" i="6" a="1"/>
  <c r="H702" i="6" a="1"/>
  <c r="H703" i="6" a="1"/>
  <c r="H704" i="6" a="1"/>
  <c r="H705" i="6" a="1"/>
  <c r="H706" i="6" a="1"/>
  <c r="H707" i="6" a="1"/>
  <c r="H708" i="6" a="1"/>
  <c r="H709" i="6" a="1"/>
  <c r="H710" i="6" a="1"/>
  <c r="H711" i="6" a="1"/>
  <c r="H712" i="6" a="1"/>
  <c r="H713" i="6" a="1"/>
  <c r="H714" i="6" a="1"/>
  <c r="H715" i="6" a="1"/>
  <c r="H716" i="6" a="1"/>
  <c r="H717" i="6" a="1"/>
  <c r="H718" i="6" a="1"/>
  <c r="H719" i="6" a="1"/>
  <c r="H720" i="6" a="1"/>
  <c r="H721" i="6" a="1"/>
  <c r="H722" i="6" a="1"/>
  <c r="H723" i="6" a="1"/>
  <c r="H724" i="6" a="1"/>
  <c r="H725" i="6" a="1"/>
  <c r="H726" i="6" a="1"/>
  <c r="H727" i="6" a="1"/>
  <c r="H728" i="6" a="1"/>
  <c r="H729" i="6" a="1"/>
  <c r="H730" i="6" a="1"/>
  <c r="H731" i="6" a="1"/>
  <c r="H732" i="6" a="1"/>
  <c r="H733" i="6" a="1"/>
  <c r="H734" i="6" a="1"/>
  <c r="H735" i="6" a="1"/>
  <c r="H736" i="6" a="1"/>
  <c r="H737" i="6" a="1"/>
  <c r="H738" i="6" a="1"/>
  <c r="H739" i="6" a="1"/>
  <c r="H740" i="6" a="1"/>
  <c r="H741" i="6" a="1"/>
  <c r="H742" i="6" a="1"/>
  <c r="H743" i="6" a="1"/>
  <c r="H744" i="6" a="1"/>
  <c r="H745" i="6" a="1"/>
  <c r="H746" i="6" a="1"/>
  <c r="H747" i="6" a="1"/>
  <c r="H748" i="6" a="1"/>
  <c r="H749" i="6" a="1"/>
  <c r="H750" i="6" a="1"/>
  <c r="H751" i="6" a="1"/>
  <c r="H752" i="6" a="1"/>
  <c r="H753" i="6" a="1"/>
  <c r="H754" i="6" a="1"/>
  <c r="H755" i="6" a="1"/>
  <c r="H756" i="6" a="1"/>
  <c r="H757" i="6" a="1"/>
  <c r="H758" i="6" a="1"/>
  <c r="H759" i="6" a="1"/>
  <c r="H760" i="6" a="1"/>
  <c r="H761" i="6" a="1"/>
  <c r="H762" i="6" a="1"/>
  <c r="H763" i="6" a="1"/>
  <c r="H764" i="6" a="1"/>
  <c r="H765" i="6" a="1"/>
  <c r="H766" i="6" a="1"/>
  <c r="H767" i="6" a="1"/>
  <c r="H768" i="6" a="1"/>
  <c r="H769" i="6" a="1"/>
  <c r="H770" i="6" a="1"/>
  <c r="H771" i="6" a="1"/>
  <c r="H772" i="6" a="1"/>
  <c r="H773" i="6" a="1"/>
  <c r="H774" i="6" a="1"/>
  <c r="H775" i="6" a="1"/>
  <c r="H776" i="6" a="1"/>
  <c r="H777" i="6" a="1"/>
  <c r="H778" i="6" a="1"/>
  <c r="H779" i="6" a="1"/>
  <c r="H780" i="6" a="1"/>
  <c r="H781" i="6" a="1"/>
  <c r="H782" i="6" a="1"/>
  <c r="H783" i="6" a="1"/>
  <c r="H784" i="6" a="1"/>
  <c r="H785" i="6" a="1"/>
  <c r="H786" i="6" a="1"/>
  <c r="H787" i="6" a="1"/>
  <c r="H788" i="6" a="1"/>
  <c r="H789" i="6" a="1"/>
  <c r="H790" i="6" a="1"/>
  <c r="H791" i="6" a="1"/>
  <c r="H792" i="6" a="1"/>
  <c r="H793" i="6" a="1"/>
  <c r="H794" i="6" a="1"/>
  <c r="H795" i="6" a="1"/>
  <c r="H796" i="6" a="1"/>
  <c r="H797" i="6" a="1"/>
  <c r="H798" i="6" a="1"/>
  <c r="H799" i="6" a="1"/>
  <c r="H800" i="6" a="1"/>
  <c r="H801" i="6" a="1"/>
  <c r="H802" i="6" a="1"/>
  <c r="H803" i="6" a="1"/>
  <c r="H804" i="6" a="1"/>
  <c r="H805" i="6" a="1"/>
  <c r="H806" i="6" a="1"/>
  <c r="H807" i="6" a="1"/>
  <c r="H808" i="6" a="1"/>
  <c r="H809" i="6" a="1"/>
  <c r="H810" i="6" a="1"/>
  <c r="H811" i="6" a="1"/>
  <c r="H812" i="6" a="1"/>
  <c r="H813" i="6" a="1"/>
  <c r="H814" i="6" a="1"/>
  <c r="H815" i="6" a="1"/>
  <c r="H816" i="6" a="1"/>
  <c r="H817" i="6" a="1"/>
  <c r="H818" i="6" a="1"/>
  <c r="H819" i="6" a="1"/>
  <c r="H820" i="6" a="1"/>
  <c r="H821" i="6" a="1"/>
  <c r="H822" i="6" a="1"/>
  <c r="H823" i="6" a="1"/>
  <c r="H824" i="6" a="1"/>
  <c r="H825" i="6" a="1"/>
  <c r="H826" i="6" a="1"/>
  <c r="H827" i="6" a="1"/>
  <c r="H828" i="6" a="1"/>
  <c r="H829" i="6" a="1"/>
  <c r="H830" i="6" a="1"/>
  <c r="H831" i="6" a="1"/>
  <c r="H832" i="6" a="1"/>
  <c r="H833" i="6" a="1"/>
  <c r="H834" i="6" a="1"/>
  <c r="H835" i="6" a="1"/>
  <c r="H836" i="6" a="1"/>
  <c r="H837" i="6" a="1"/>
  <c r="H838" i="6" a="1"/>
  <c r="H839" i="6" a="1"/>
  <c r="H840" i="6" a="1"/>
  <c r="H841" i="6" a="1"/>
  <c r="H842" i="6" a="1"/>
  <c r="H843" i="6" a="1"/>
  <c r="H844" i="6" a="1"/>
  <c r="H845" i="6" a="1"/>
  <c r="H846" i="6" a="1"/>
  <c r="H847" i="6" a="1"/>
  <c r="H848" i="6" a="1"/>
  <c r="H849" i="6" a="1"/>
  <c r="H850" i="6" a="1"/>
  <c r="H851" i="6" a="1"/>
  <c r="H852" i="6" a="1"/>
  <c r="H853" i="6" a="1"/>
  <c r="H854" i="6" a="1"/>
  <c r="H855" i="6" a="1"/>
  <c r="H856" i="6" a="1"/>
  <c r="H857" i="6" a="1"/>
  <c r="H858" i="6" a="1"/>
  <c r="H859" i="6" a="1"/>
  <c r="H860" i="6" a="1"/>
  <c r="H861" i="6" a="1"/>
  <c r="H862" i="6" a="1"/>
  <c r="H863" i="6" a="1"/>
  <c r="H864" i="6" a="1"/>
  <c r="H865" i="6" a="1"/>
  <c r="H866" i="6" a="1"/>
  <c r="H867" i="6" a="1"/>
  <c r="H868" i="6" a="1"/>
  <c r="H869" i="6" a="1"/>
  <c r="H870" i="6" a="1"/>
  <c r="H871" i="6" a="1"/>
  <c r="H872" i="6" a="1"/>
  <c r="H873" i="6" a="1"/>
  <c r="H874" i="6" a="1"/>
  <c r="H875" i="6" a="1"/>
  <c r="H876" i="6" a="1"/>
  <c r="H877" i="6" a="1"/>
  <c r="H878" i="6" a="1"/>
  <c r="H879" i="6" a="1"/>
  <c r="H880" i="6" a="1"/>
  <c r="H881" i="6" a="1"/>
  <c r="H882" i="6" a="1"/>
  <c r="H883" i="6" a="1"/>
  <c r="H884" i="6" a="1"/>
  <c r="H885" i="6" a="1"/>
  <c r="H886" i="6" a="1"/>
  <c r="H887" i="6" a="1"/>
  <c r="H888" i="6" a="1"/>
  <c r="H889" i="6" a="1"/>
  <c r="H890" i="6" a="1"/>
  <c r="H891" i="6" a="1"/>
  <c r="H892" i="6" a="1"/>
  <c r="H893" i="6" a="1"/>
  <c r="H894" i="6" a="1"/>
  <c r="H895" i="6" a="1"/>
  <c r="H896" i="6" a="1"/>
  <c r="H897" i="6" a="1"/>
  <c r="H898" i="6" a="1"/>
  <c r="H899" i="6" a="1"/>
  <c r="H900" i="6" a="1"/>
  <c r="H901" i="6" a="1"/>
  <c r="H902" i="6" a="1"/>
  <c r="H903" i="6" a="1"/>
  <c r="H904" i="6" a="1"/>
  <c r="H905" i="6" a="1"/>
  <c r="H906" i="6" a="1"/>
  <c r="H907" i="6" a="1"/>
  <c r="H908" i="6" a="1"/>
  <c r="H909" i="6" a="1"/>
  <c r="H910" i="6" a="1"/>
  <c r="H911" i="6" a="1"/>
  <c r="H912" i="6" a="1"/>
  <c r="H913" i="6" a="1"/>
  <c r="H914" i="6" a="1"/>
  <c r="H915" i="6" a="1"/>
  <c r="H916" i="6" a="1"/>
  <c r="H917" i="6" a="1"/>
  <c r="H918" i="6" a="1"/>
  <c r="H919" i="6" a="1"/>
  <c r="H920" i="6" a="1"/>
  <c r="H921" i="6" a="1"/>
  <c r="H922" i="6" a="1"/>
  <c r="H923" i="6" a="1"/>
  <c r="H924" i="6" a="1"/>
  <c r="H925" i="6" a="1"/>
  <c r="H926" i="6" a="1"/>
  <c r="H927" i="6" a="1"/>
  <c r="H928" i="6" a="1"/>
  <c r="H929" i="6" a="1"/>
  <c r="H930" i="6" a="1"/>
  <c r="H931" i="6" a="1"/>
  <c r="H932" i="6" a="1"/>
  <c r="H933" i="6" a="1"/>
  <c r="H934" i="6" a="1"/>
  <c r="H935" i="6" a="1"/>
  <c r="H936" i="6" a="1"/>
  <c r="H937" i="6" a="1"/>
  <c r="H938" i="6" a="1"/>
  <c r="H939" i="6" a="1"/>
  <c r="H940" i="6" a="1"/>
  <c r="H941" i="6" a="1"/>
  <c r="H942" i="6" a="1"/>
  <c r="H943" i="6" a="1"/>
  <c r="H944" i="6" a="1"/>
  <c r="H945" i="6" a="1"/>
  <c r="H946" i="6" a="1"/>
  <c r="H947" i="6" a="1"/>
  <c r="H948" i="6" a="1"/>
  <c r="H949" i="6" a="1"/>
  <c r="H950" i="6" a="1"/>
  <c r="H951" i="6" a="1"/>
  <c r="H952" i="6" a="1"/>
  <c r="H953" i="6" a="1"/>
  <c r="H954" i="6" a="1"/>
  <c r="H955" i="6" a="1"/>
  <c r="H956" i="6" a="1"/>
  <c r="H957" i="6" a="1"/>
  <c r="H958" i="6" a="1"/>
  <c r="H959" i="6" a="1"/>
  <c r="H960" i="6" a="1"/>
  <c r="H961" i="6" a="1"/>
  <c r="H962" i="6" a="1"/>
  <c r="H963" i="6" a="1"/>
  <c r="H964" i="6" a="1"/>
  <c r="H965" i="6" a="1"/>
  <c r="H966" i="6" a="1"/>
  <c r="H967" i="6" a="1"/>
  <c r="H968" i="6" a="1"/>
  <c r="H969" i="6" a="1"/>
  <c r="H970" i="6" a="1"/>
  <c r="H971" i="6" a="1"/>
  <c r="H972" i="6" a="1"/>
  <c r="H973" i="6" a="1"/>
  <c r="H974" i="6" a="1"/>
  <c r="H975" i="6" a="1"/>
  <c r="H976" i="6" a="1"/>
  <c r="H977" i="6" a="1"/>
  <c r="H978" i="6" a="1"/>
  <c r="H979" i="6" a="1"/>
  <c r="H980" i="6" a="1"/>
  <c r="H981" i="6" a="1"/>
  <c r="H982" i="6" a="1"/>
  <c r="H983" i="6" a="1"/>
  <c r="H984" i="6" a="1"/>
  <c r="H985" i="6" a="1"/>
  <c r="H986" i="6" a="1"/>
  <c r="H987" i="6" a="1"/>
  <c r="H988" i="6" a="1"/>
  <c r="H989" i="6" a="1"/>
  <c r="H990" i="6" a="1"/>
  <c r="H991" i="6" a="1"/>
  <c r="H992" i="6" a="1"/>
  <c r="H993" i="6" a="1"/>
  <c r="H994" i="6" a="1"/>
  <c r="H995" i="6" a="1"/>
  <c r="H996" i="6" a="1"/>
  <c r="H997" i="6" a="1"/>
  <c r="H998" i="6" a="1"/>
  <c r="H999" i="6" a="1"/>
  <c r="H1000" i="6" a="1"/>
  <c r="H1001" i="6" a="1"/>
  <c r="H1002" i="6" a="1"/>
  <c r="H1003" i="6" a="1"/>
  <c r="H1004" i="6" a="1"/>
  <c r="H1005" i="6" a="1"/>
  <c r="H1006" i="6" a="1"/>
  <c r="H1007" i="6" a="1"/>
  <c r="H1008" i="6" a="1"/>
  <c r="H1009" i="6" a="1"/>
  <c r="H1010" i="6" a="1"/>
  <c r="H1011" i="6" a="1"/>
  <c r="H1012" i="6" a="1"/>
  <c r="H1013" i="6" a="1"/>
  <c r="H1014" i="6" a="1"/>
  <c r="H1015" i="6" a="1"/>
  <c r="H1016" i="6" a="1"/>
  <c r="H1017" i="6" a="1"/>
  <c r="H1018" i="6" a="1"/>
  <c r="H1019" i="6" a="1"/>
  <c r="H1020" i="6" a="1"/>
  <c r="H1021" i="6" a="1"/>
  <c r="H1022" i="6" a="1"/>
  <c r="H1023" i="6" a="1"/>
  <c r="H1024" i="6" a="1"/>
  <c r="H1025" i="6" a="1"/>
  <c r="H1026" i="6" a="1"/>
  <c r="H1027" i="6" a="1"/>
  <c r="H1028" i="6" a="1"/>
  <c r="H1029" i="6" a="1"/>
  <c r="H1030" i="6" a="1"/>
  <c r="H1031" i="6" a="1"/>
  <c r="H1032" i="6" a="1"/>
  <c r="H1033" i="6" a="1"/>
  <c r="H1034" i="6" a="1"/>
  <c r="H1035" i="6" a="1"/>
  <c r="H1036" i="6" a="1"/>
  <c r="H1037" i="6" a="1"/>
  <c r="H1038" i="6" a="1"/>
  <c r="H1039" i="6" a="1"/>
  <c r="H1040" i="6" a="1"/>
  <c r="H1041" i="6" a="1"/>
  <c r="H1042" i="6" a="1"/>
  <c r="H1043" i="6" a="1"/>
  <c r="H1044" i="6" a="1"/>
  <c r="H1045" i="6" a="1"/>
  <c r="H1046" i="6" a="1"/>
  <c r="H1047" i="6" a="1"/>
  <c r="H1048" i="6" a="1"/>
  <c r="H1049" i="6" a="1"/>
  <c r="H1050" i="6" a="1"/>
  <c r="H1051" i="6" a="1"/>
  <c r="H1052" i="6" a="1"/>
  <c r="H1053" i="6" a="1"/>
  <c r="H1054" i="6" a="1"/>
  <c r="H1055" i="6" a="1"/>
  <c r="H1056" i="6" a="1"/>
  <c r="H1057" i="6" a="1"/>
  <c r="H1058" i="6" a="1"/>
  <c r="H1059" i="6" a="1"/>
  <c r="H1060" i="6" a="1"/>
  <c r="H1061" i="6" a="1"/>
  <c r="H1062" i="6" a="1"/>
  <c r="H1063" i="6" a="1"/>
  <c r="H1064" i="6" a="1"/>
  <c r="H1065" i="6" a="1"/>
  <c r="H1066" i="6" a="1"/>
  <c r="H1067" i="6" a="1"/>
  <c r="H1068" i="6" a="1"/>
  <c r="H1069" i="6" a="1"/>
  <c r="H1070" i="6" a="1"/>
  <c r="H1071" i="6" a="1"/>
  <c r="H1072" i="6" a="1"/>
  <c r="H1073" i="6" a="1"/>
  <c r="H1074" i="6" a="1"/>
  <c r="H1075" i="6" a="1"/>
  <c r="H1076" i="6" a="1"/>
  <c r="H1077" i="6" a="1"/>
  <c r="H1078" i="6" a="1"/>
  <c r="H1079" i="6" a="1"/>
  <c r="H1080" i="6" a="1"/>
  <c r="H1081" i="6" a="1"/>
  <c r="H1082" i="6" a="1"/>
  <c r="H1083" i="6" a="1"/>
  <c r="H1084" i="6" a="1"/>
  <c r="H1085" i="6" a="1"/>
  <c r="H1086" i="6" a="1"/>
  <c r="H1087" i="6" a="1"/>
  <c r="H1088" i="6" a="1"/>
  <c r="H1089" i="6" a="1"/>
  <c r="H1090" i="6" a="1"/>
  <c r="H1091" i="6" a="1"/>
  <c r="H1092" i="6" a="1"/>
  <c r="H1093" i="6" a="1"/>
  <c r="H1094" i="6" a="1"/>
  <c r="H1095" i="6" a="1"/>
  <c r="H1096" i="6" a="1"/>
  <c r="H1097" i="6" a="1"/>
  <c r="H1098" i="6" a="1"/>
  <c r="H1099" i="6" a="1"/>
  <c r="H1100" i="6" a="1"/>
  <c r="H1101" i="6" a="1"/>
  <c r="H1102" i="6" a="1"/>
  <c r="H1103" i="6" a="1"/>
  <c r="H1104" i="6" a="1"/>
  <c r="H1105" i="6" a="1"/>
  <c r="H1106" i="6" a="1"/>
  <c r="H1107" i="6" a="1"/>
  <c r="H1108" i="6" a="1"/>
  <c r="H1109" i="6" a="1"/>
  <c r="H1110" i="6" a="1"/>
  <c r="H1111" i="6" a="1"/>
  <c r="H1112" i="6" a="1"/>
  <c r="H1113" i="6" a="1"/>
  <c r="H1114" i="6" a="1"/>
  <c r="H1115" i="6" a="1"/>
  <c r="H1116" i="6" a="1"/>
  <c r="H1117" i="6" a="1"/>
  <c r="H1118" i="6" a="1"/>
  <c r="H1119" i="6" a="1"/>
  <c r="H1120" i="6" a="1"/>
  <c r="H1121" i="6" a="1"/>
  <c r="H1122" i="6" a="1"/>
  <c r="H1123" i="6" a="1"/>
  <c r="H1124" i="6" a="1"/>
  <c r="H1125" i="6" a="1"/>
  <c r="H1126" i="6" a="1"/>
  <c r="H1127" i="6" a="1"/>
  <c r="H1128" i="6" a="1"/>
  <c r="H1129" i="6" a="1"/>
  <c r="H1130" i="6" a="1"/>
  <c r="H1131" i="6" a="1"/>
  <c r="H1132" i="6" a="1"/>
  <c r="H1133" i="6" a="1"/>
  <c r="H1134" i="6" a="1"/>
  <c r="H1135" i="6" a="1"/>
  <c r="H1136" i="6" a="1"/>
  <c r="H1137" i="6" a="1"/>
  <c r="H1138" i="6" a="1"/>
  <c r="H1139" i="6" a="1"/>
  <c r="H1140" i="6" a="1"/>
  <c r="H1141" i="6" a="1"/>
  <c r="H1142" i="6" a="1"/>
  <c r="H1143" i="6" a="1"/>
  <c r="H1144" i="6" a="1"/>
  <c r="H1145" i="6" a="1"/>
  <c r="H1146" i="6" a="1"/>
  <c r="H1147" i="6" a="1"/>
  <c r="H1148" i="6" a="1"/>
  <c r="H1149" i="6" a="1"/>
  <c r="H1150" i="6" a="1"/>
  <c r="H1151" i="6" a="1"/>
  <c r="H1152" i="6" a="1"/>
  <c r="H1153" i="6" a="1"/>
  <c r="H1154" i="6" a="1"/>
  <c r="H1155" i="6" a="1"/>
  <c r="H1156" i="6" a="1"/>
  <c r="H1157" i="6" a="1"/>
  <c r="H1158" i="6" a="1"/>
  <c r="H1159" i="6" a="1"/>
  <c r="H1160" i="6" a="1"/>
  <c r="H1161" i="6" a="1"/>
  <c r="H1162" i="6" a="1"/>
  <c r="H1163" i="6" a="1"/>
  <c r="H1164" i="6" a="1"/>
  <c r="H1165" i="6" a="1"/>
  <c r="H1166" i="6" a="1"/>
  <c r="H1167" i="6" a="1"/>
  <c r="H1168" i="6" a="1"/>
  <c r="H1169" i="6" a="1"/>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N5" i="9" a="1"/>
  <c r="N5" i="9"/>
  <c r="O5" i="9"/>
  <c r="L456" i="6" a="1"/>
  <c r="L457" i="6" a="1"/>
  <c r="L458" i="6" a="1"/>
  <c r="L459" i="6" a="1"/>
  <c r="L460" i="6" a="1"/>
  <c r="L461" i="6" a="1"/>
  <c r="L462" i="6" a="1"/>
  <c r="L463" i="6" a="1"/>
  <c r="L464" i="6" a="1"/>
  <c r="L465" i="6" a="1"/>
  <c r="L466" i="6" a="1"/>
  <c r="L467" i="6" a="1"/>
  <c r="L468" i="6" a="1"/>
  <c r="L469" i="6" a="1"/>
  <c r="L470" i="6" a="1"/>
  <c r="L471" i="6" a="1"/>
  <c r="L472" i="6" a="1"/>
  <c r="L473" i="6" a="1"/>
  <c r="L474" i="6" a="1"/>
  <c r="L475" i="6" a="1"/>
  <c r="L476" i="6" a="1"/>
  <c r="L477" i="6" a="1"/>
  <c r="L478" i="6" a="1"/>
  <c r="L479" i="6" a="1"/>
  <c r="L480" i="6" a="1"/>
  <c r="L481" i="6" a="1"/>
  <c r="L482" i="6" a="1"/>
  <c r="L483" i="6" a="1"/>
  <c r="L484" i="6" a="1"/>
  <c r="L485" i="6" a="1"/>
  <c r="L486" i="6" a="1"/>
  <c r="L487" i="6" a="1"/>
  <c r="L488" i="6" a="1"/>
  <c r="L489" i="6" a="1"/>
  <c r="L490" i="6" a="1"/>
  <c r="L491" i="6" a="1"/>
  <c r="L492" i="6" a="1"/>
  <c r="L493" i="6" a="1"/>
  <c r="L494" i="6" a="1"/>
  <c r="L495" i="6" a="1"/>
  <c r="L496" i="6" a="1"/>
  <c r="L497" i="6" a="1"/>
  <c r="L498" i="6" a="1"/>
  <c r="L499" i="6" a="1"/>
  <c r="L500" i="6" a="1"/>
  <c r="L501" i="6" a="1"/>
  <c r="L502" i="6" a="1"/>
  <c r="L503" i="6" a="1"/>
  <c r="L504" i="6" a="1"/>
  <c r="L505" i="6" a="1"/>
  <c r="L506" i="6" a="1"/>
  <c r="L507" i="6" a="1"/>
  <c r="L508" i="6" a="1"/>
  <c r="L509" i="6" a="1"/>
  <c r="L510" i="6" a="1"/>
  <c r="L511" i="6" a="1"/>
  <c r="L512" i="6" a="1"/>
  <c r="L513" i="6" a="1"/>
  <c r="L514" i="6" a="1"/>
  <c r="L515" i="6" a="1"/>
  <c r="L516" i="6" a="1"/>
  <c r="L517" i="6" a="1"/>
  <c r="L518" i="6" a="1"/>
  <c r="L519" i="6" a="1"/>
  <c r="L520" i="6" a="1"/>
  <c r="L521" i="6" a="1"/>
  <c r="L522" i="6" a="1"/>
  <c r="L523" i="6" a="1"/>
  <c r="L524" i="6" a="1"/>
  <c r="L525" i="6" a="1"/>
  <c r="L526" i="6" a="1"/>
  <c r="L527" i="6" a="1"/>
  <c r="L528" i="6" a="1"/>
  <c r="L529" i="6" a="1"/>
  <c r="L530" i="6" a="1"/>
  <c r="L531" i="6" a="1"/>
  <c r="L532" i="6" a="1"/>
  <c r="L533" i="6" a="1"/>
  <c r="L534" i="6" a="1"/>
  <c r="L535" i="6" a="1"/>
  <c r="L536" i="6" a="1"/>
  <c r="L537" i="6" a="1"/>
  <c r="L538" i="6" a="1"/>
  <c r="L539" i="6" a="1"/>
  <c r="L540" i="6" a="1"/>
  <c r="L541" i="6" a="1"/>
  <c r="L542" i="6" a="1"/>
  <c r="L543" i="6" a="1"/>
  <c r="L544" i="6" a="1"/>
  <c r="L545" i="6" a="1"/>
  <c r="L546" i="6" a="1"/>
  <c r="L547" i="6" a="1"/>
  <c r="L548" i="6" a="1"/>
  <c r="L549" i="6" a="1"/>
  <c r="L550" i="6" a="1"/>
  <c r="L551" i="6" a="1"/>
  <c r="L552" i="6" a="1"/>
  <c r="L553" i="6" a="1"/>
  <c r="L554" i="6" a="1"/>
  <c r="L555" i="6" a="1"/>
  <c r="L556" i="6" a="1"/>
  <c r="L557" i="6" a="1"/>
  <c r="L558" i="6" a="1"/>
  <c r="L559" i="6" a="1"/>
  <c r="L560" i="6" a="1"/>
  <c r="L561" i="6" a="1"/>
  <c r="L562" i="6" a="1"/>
  <c r="L563" i="6" a="1"/>
  <c r="L564" i="6" a="1"/>
  <c r="L565" i="6" a="1"/>
  <c r="L579" i="6" a="1"/>
  <c r="L580" i="6" a="1"/>
  <c r="L581" i="6" a="1"/>
  <c r="L582" i="6" a="1"/>
  <c r="L583" i="6" a="1"/>
  <c r="L584" i="6" a="1"/>
  <c r="L585" i="6" a="1"/>
  <c r="L586" i="6" a="1"/>
  <c r="L587" i="6" a="1"/>
  <c r="L588" i="6" a="1"/>
  <c r="L589" i="6" a="1"/>
  <c r="L590" i="6" a="1"/>
  <c r="L591" i="6" a="1"/>
  <c r="L592" i="6" a="1"/>
  <c r="L593" i="6" a="1"/>
  <c r="L594" i="6" a="1"/>
  <c r="L595" i="6" a="1"/>
  <c r="L596" i="6" a="1"/>
  <c r="L597" i="6" a="1"/>
  <c r="L598" i="6" a="1"/>
  <c r="L599" i="6" a="1"/>
  <c r="L600" i="6" a="1"/>
  <c r="L601" i="6" a="1"/>
  <c r="L602" i="6" a="1"/>
  <c r="L603" i="6" a="1"/>
  <c r="L604" i="6" a="1"/>
  <c r="L605" i="6" a="1"/>
  <c r="L606" i="6" a="1"/>
  <c r="L607" i="6" a="1"/>
  <c r="L608" i="6" a="1"/>
  <c r="L609" i="6" a="1"/>
  <c r="L610" i="6" a="1"/>
  <c r="L611" i="6" a="1"/>
  <c r="L612" i="6" a="1"/>
  <c r="L613" i="6" a="1"/>
  <c r="L614" i="6" a="1"/>
  <c r="L615" i="6" a="1"/>
  <c r="L616" i="6" a="1"/>
  <c r="L617" i="6" a="1"/>
  <c r="L618" i="6" a="1"/>
  <c r="L619" i="6" a="1"/>
  <c r="L620" i="6" a="1"/>
  <c r="L621" i="6" a="1"/>
  <c r="L622" i="6" a="1"/>
  <c r="L623" i="6" a="1"/>
  <c r="L624" i="6" a="1"/>
  <c r="L625" i="6" a="1"/>
  <c r="L626" i="6" a="1"/>
  <c r="L627" i="6" a="1"/>
  <c r="L628" i="6" a="1"/>
  <c r="L629" i="6" a="1"/>
  <c r="L630" i="6" a="1"/>
  <c r="L631" i="6" a="1"/>
  <c r="L632" i="6" a="1"/>
  <c r="L633" i="6" a="1"/>
  <c r="L634" i="6" a="1"/>
  <c r="L635" i="6" a="1"/>
  <c r="L636" i="6" a="1"/>
  <c r="L637" i="6" a="1"/>
  <c r="L638" i="6" a="1"/>
  <c r="L639" i="6" a="1"/>
  <c r="L640" i="6" a="1"/>
  <c r="L641" i="6" a="1"/>
  <c r="L642" i="6" a="1"/>
  <c r="L643" i="6" a="1"/>
  <c r="L644" i="6" a="1"/>
  <c r="L645" i="6" a="1"/>
  <c r="L646" i="6" a="1"/>
  <c r="L647" i="6" a="1"/>
  <c r="L648" i="6" a="1"/>
  <c r="L649" i="6" a="1"/>
  <c r="L650" i="6" a="1"/>
  <c r="L651" i="6" a="1"/>
  <c r="L652" i="6" a="1"/>
  <c r="L653" i="6" a="1"/>
  <c r="L654" i="6" a="1"/>
  <c r="L655" i="6" a="1"/>
  <c r="L656" i="6" a="1"/>
  <c r="L657" i="6" a="1"/>
  <c r="L658" i="6" a="1"/>
  <c r="L659" i="6" a="1"/>
  <c r="L660" i="6" a="1"/>
  <c r="L661" i="6" a="1"/>
  <c r="L662" i="6" a="1"/>
  <c r="L663" i="6" a="1"/>
  <c r="L664" i="6" a="1"/>
  <c r="L665" i="6" a="1"/>
  <c r="L666" i="6" a="1"/>
  <c r="L667" i="6" a="1"/>
  <c r="L668" i="6" a="1"/>
  <c r="L669" i="6" a="1"/>
  <c r="L670" i="6" a="1"/>
  <c r="L671" i="6" a="1"/>
  <c r="L672" i="6" a="1"/>
  <c r="L673" i="6" a="1"/>
  <c r="L674" i="6" a="1"/>
  <c r="L675" i="6" a="1"/>
  <c r="L676" i="6" a="1"/>
  <c r="L677" i="6" a="1"/>
  <c r="L678" i="6" a="1"/>
  <c r="L679" i="6" a="1"/>
  <c r="L680" i="6" a="1"/>
  <c r="L681" i="6" a="1"/>
  <c r="L682" i="6" a="1"/>
  <c r="L683" i="6" a="1"/>
  <c r="L684" i="6" a="1"/>
  <c r="L685" i="6" a="1"/>
  <c r="L686" i="6" a="1"/>
  <c r="L687" i="6" a="1"/>
  <c r="L688" i="6" a="1"/>
  <c r="L689" i="6" a="1"/>
  <c r="L690" i="6" a="1"/>
  <c r="L691" i="6" a="1"/>
  <c r="L692" i="6" a="1"/>
  <c r="L693" i="6" a="1"/>
  <c r="L694" i="6" a="1"/>
  <c r="L695" i="6" a="1"/>
  <c r="L696" i="6" a="1"/>
  <c r="L697" i="6" a="1"/>
  <c r="L698" i="6" a="1"/>
  <c r="L699" i="6" a="1"/>
  <c r="L700" i="6" a="1"/>
  <c r="L701" i="6" a="1"/>
  <c r="L702" i="6" a="1"/>
  <c r="L703" i="6" a="1"/>
  <c r="L704" i="6" a="1"/>
  <c r="L705" i="6" a="1"/>
  <c r="L706" i="6" a="1"/>
  <c r="L707" i="6" a="1"/>
  <c r="L708" i="6" a="1"/>
  <c r="L709" i="6" a="1"/>
  <c r="L710" i="6" a="1"/>
  <c r="L711" i="6" a="1"/>
  <c r="L712" i="6" a="1"/>
  <c r="L713" i="6" a="1"/>
  <c r="L714" i="6" a="1"/>
  <c r="L715" i="6" a="1"/>
  <c r="L716" i="6" a="1"/>
  <c r="L717" i="6" a="1"/>
  <c r="L718" i="6" a="1"/>
  <c r="L719" i="6" a="1"/>
  <c r="L720" i="6" a="1"/>
  <c r="L721" i="6" a="1"/>
  <c r="L722" i="6" a="1"/>
  <c r="L723" i="6" a="1"/>
  <c r="L724" i="6" a="1"/>
  <c r="L725" i="6" a="1"/>
  <c r="L726" i="6" a="1"/>
  <c r="L727" i="6" a="1"/>
  <c r="L728" i="6" a="1"/>
  <c r="L729" i="6" a="1"/>
  <c r="L730" i="6" a="1"/>
  <c r="L731" i="6" a="1"/>
  <c r="L732" i="6" a="1"/>
  <c r="L733" i="6" a="1"/>
  <c r="L734" i="6" a="1"/>
  <c r="L735" i="6" a="1"/>
  <c r="L736" i="6" a="1"/>
  <c r="L737" i="6" a="1"/>
  <c r="L738" i="6" a="1"/>
  <c r="L739" i="6" a="1"/>
  <c r="L740" i="6" a="1"/>
  <c r="L741" i="6" a="1"/>
  <c r="L742" i="6" a="1"/>
  <c r="L743" i="6" a="1"/>
  <c r="L744" i="6" a="1"/>
  <c r="L745" i="6" a="1"/>
  <c r="L746" i="6" a="1"/>
  <c r="L747" i="6" a="1"/>
  <c r="L748" i="6" a="1"/>
  <c r="L749" i="6" a="1"/>
  <c r="L750" i="6" a="1"/>
  <c r="L751" i="6" a="1"/>
  <c r="L752" i="6" a="1"/>
  <c r="L753" i="6" a="1"/>
  <c r="L754" i="6" a="1"/>
  <c r="L755" i="6" a="1"/>
  <c r="L756" i="6" a="1"/>
  <c r="L757" i="6" a="1"/>
  <c r="L758" i="6" a="1"/>
  <c r="L759" i="6" a="1"/>
  <c r="L760" i="6" a="1"/>
  <c r="L761" i="6" a="1"/>
  <c r="L762" i="6" a="1"/>
  <c r="L763" i="6" a="1"/>
  <c r="L764" i="6" a="1"/>
  <c r="L765" i="6" a="1"/>
  <c r="L766" i="6" a="1"/>
  <c r="L767" i="6" a="1"/>
  <c r="L768" i="6" a="1"/>
  <c r="L769" i="6" a="1"/>
  <c r="L770" i="6" a="1"/>
  <c r="L771" i="6" a="1"/>
  <c r="L772" i="6" a="1"/>
  <c r="L773" i="6" a="1"/>
  <c r="L774" i="6" a="1"/>
  <c r="L775" i="6" a="1"/>
  <c r="L776" i="6" a="1"/>
  <c r="L777" i="6" a="1"/>
  <c r="L778" i="6" a="1"/>
  <c r="L779" i="6" a="1"/>
  <c r="L780" i="6" a="1"/>
  <c r="L781" i="6" a="1"/>
  <c r="L782" i="6" a="1"/>
  <c r="L783" i="6" a="1"/>
  <c r="L784" i="6" a="1"/>
  <c r="L785" i="6" a="1"/>
  <c r="L786" i="6" a="1"/>
  <c r="L787" i="6" a="1"/>
  <c r="L788" i="6" a="1"/>
  <c r="L789" i="6" a="1"/>
  <c r="L790" i="6" a="1"/>
  <c r="L791" i="6" a="1"/>
  <c r="L792" i="6" a="1"/>
  <c r="L793" i="6" a="1"/>
  <c r="L794" i="6" a="1"/>
  <c r="L795" i="6" a="1"/>
  <c r="L796" i="6" a="1"/>
  <c r="L797" i="6" a="1"/>
  <c r="L798" i="6" a="1"/>
  <c r="L799" i="6" a="1"/>
  <c r="L800" i="6" a="1"/>
  <c r="L801" i="6" a="1"/>
  <c r="L802" i="6" a="1"/>
  <c r="L803" i="6" a="1"/>
  <c r="L804" i="6" a="1"/>
  <c r="L805" i="6" a="1"/>
  <c r="L806" i="6" a="1"/>
  <c r="L807" i="6" a="1"/>
  <c r="L808" i="6" a="1"/>
  <c r="L809" i="6" a="1"/>
  <c r="L810" i="6" a="1"/>
  <c r="L811" i="6" a="1"/>
  <c r="L812" i="6" a="1"/>
  <c r="L813" i="6" a="1"/>
  <c r="L814" i="6" a="1"/>
  <c r="L815" i="6" a="1"/>
  <c r="L816" i="6" a="1"/>
  <c r="L817" i="6" a="1"/>
  <c r="L818" i="6" a="1"/>
  <c r="L819" i="6" a="1"/>
  <c r="L820" i="6" a="1"/>
  <c r="L821" i="6" a="1"/>
  <c r="L822" i="6" a="1"/>
  <c r="L823" i="6" a="1"/>
  <c r="L824" i="6" a="1"/>
  <c r="L825" i="6" a="1"/>
  <c r="L826" i="6" a="1"/>
  <c r="L827" i="6" a="1"/>
  <c r="L828" i="6" a="1"/>
  <c r="L829" i="6" a="1"/>
  <c r="L830" i="6" a="1"/>
  <c r="L831" i="6" a="1"/>
  <c r="L832" i="6" a="1"/>
  <c r="L833" i="6" a="1"/>
  <c r="L834" i="6" a="1"/>
  <c r="L835" i="6" a="1"/>
  <c r="L836" i="6" a="1"/>
  <c r="L837" i="6" a="1"/>
  <c r="L838" i="6" a="1"/>
  <c r="L839" i="6" a="1"/>
  <c r="L840" i="6" a="1"/>
  <c r="L841" i="6" a="1"/>
  <c r="L842" i="6" a="1"/>
  <c r="L843" i="6" a="1"/>
  <c r="L844" i="6" a="1"/>
  <c r="L845" i="6" a="1"/>
  <c r="L846" i="6" a="1"/>
  <c r="L847" i="6" a="1"/>
  <c r="L848" i="6" a="1"/>
  <c r="L849" i="6" a="1"/>
  <c r="L850" i="6" a="1"/>
  <c r="L851" i="6" a="1"/>
  <c r="L852" i="6" a="1"/>
  <c r="L853" i="6" a="1"/>
  <c r="L854" i="6" a="1"/>
  <c r="L855" i="6" a="1"/>
  <c r="L856" i="6" a="1"/>
  <c r="L857" i="6" a="1"/>
  <c r="L858" i="6" a="1"/>
  <c r="L859" i="6" a="1"/>
  <c r="L860" i="6" a="1"/>
  <c r="L861" i="6" a="1"/>
  <c r="L862" i="6" a="1"/>
  <c r="L863" i="6" a="1"/>
  <c r="L864" i="6" a="1"/>
  <c r="L865" i="6" a="1"/>
  <c r="L866" i="6" a="1"/>
  <c r="L867" i="6" a="1"/>
  <c r="L868" i="6" a="1"/>
  <c r="L869" i="6" a="1"/>
  <c r="L870" i="6" a="1"/>
  <c r="L871" i="6" a="1"/>
  <c r="L872" i="6" a="1"/>
  <c r="L873" i="6" a="1"/>
  <c r="L874" i="6" a="1"/>
  <c r="L875" i="6" a="1"/>
  <c r="L876" i="6" a="1"/>
  <c r="L877" i="6" a="1"/>
  <c r="L878" i="6" a="1"/>
  <c r="L879" i="6" a="1"/>
  <c r="L880" i="6" a="1"/>
  <c r="L881" i="6" a="1"/>
  <c r="L882" i="6" a="1"/>
  <c r="L883" i="6" a="1"/>
  <c r="L884" i="6" a="1"/>
  <c r="L885" i="6" a="1"/>
  <c r="L886" i="6" a="1"/>
  <c r="L887" i="6" a="1"/>
  <c r="L888" i="6" a="1"/>
  <c r="L889" i="6" a="1"/>
  <c r="L890" i="6" a="1"/>
  <c r="L891" i="6" a="1"/>
  <c r="L892" i="6" a="1"/>
  <c r="L893" i="6" a="1"/>
  <c r="L894" i="6" a="1"/>
  <c r="L895" i="6" a="1"/>
  <c r="L896" i="6" a="1"/>
  <c r="L897" i="6" a="1"/>
  <c r="L898" i="6" a="1"/>
  <c r="L899" i="6" a="1"/>
  <c r="L900" i="6" a="1"/>
  <c r="L901" i="6" a="1"/>
  <c r="L902" i="6" a="1"/>
  <c r="L903" i="6" a="1"/>
  <c r="L904" i="6" a="1"/>
  <c r="L905" i="6" a="1"/>
  <c r="L906" i="6" a="1"/>
  <c r="L907" i="6" a="1"/>
  <c r="L908" i="6" a="1"/>
  <c r="L909" i="6" a="1"/>
  <c r="L910" i="6" a="1"/>
  <c r="L911" i="6" a="1"/>
  <c r="L912" i="6" a="1"/>
  <c r="L913" i="6" a="1"/>
  <c r="L914" i="6" a="1"/>
  <c r="L915" i="6" a="1"/>
  <c r="L916" i="6" a="1"/>
  <c r="L917" i="6" a="1"/>
  <c r="L918" i="6" a="1"/>
  <c r="L919" i="6" a="1"/>
  <c r="L920" i="6" a="1"/>
  <c r="L921" i="6" a="1"/>
  <c r="L922" i="6" a="1"/>
  <c r="L923" i="6" a="1"/>
  <c r="L924" i="6" a="1"/>
  <c r="L925" i="6" a="1"/>
  <c r="L926" i="6" a="1"/>
  <c r="L927" i="6" a="1"/>
  <c r="L928" i="6" a="1"/>
  <c r="L929" i="6" a="1"/>
  <c r="L930" i="6" a="1"/>
  <c r="L931" i="6" a="1"/>
  <c r="L932" i="6" a="1"/>
  <c r="L933" i="6" a="1"/>
  <c r="L934" i="6" a="1"/>
  <c r="L935" i="6" a="1"/>
  <c r="L936" i="6" a="1"/>
  <c r="L937" i="6" a="1"/>
  <c r="L938" i="6" a="1"/>
  <c r="L939" i="6" a="1"/>
  <c r="L940" i="6" a="1"/>
  <c r="L941" i="6" a="1"/>
  <c r="L942" i="6" a="1"/>
  <c r="L943" i="6" a="1"/>
  <c r="L944" i="6" a="1"/>
  <c r="L945" i="6" a="1"/>
  <c r="L946" i="6" a="1"/>
  <c r="L947" i="6" a="1"/>
  <c r="L948" i="6" a="1"/>
  <c r="L949" i="6" a="1"/>
  <c r="L950" i="6" a="1"/>
  <c r="L951" i="6" a="1"/>
  <c r="L952" i="6" a="1"/>
  <c r="L953" i="6" a="1"/>
  <c r="L954" i="6" a="1"/>
  <c r="L955" i="6" a="1"/>
  <c r="L956" i="6" a="1"/>
  <c r="L957" i="6" a="1"/>
  <c r="L958" i="6" a="1"/>
  <c r="L959" i="6" a="1"/>
  <c r="L960" i="6" a="1"/>
  <c r="L961" i="6" a="1"/>
  <c r="L962" i="6" a="1"/>
  <c r="L963" i="6" a="1"/>
  <c r="L964" i="6" a="1"/>
  <c r="L965" i="6" a="1"/>
  <c r="L966" i="6" a="1"/>
  <c r="L967" i="6" a="1"/>
  <c r="L968" i="6" a="1"/>
  <c r="L969" i="6" a="1"/>
  <c r="L970" i="6" a="1"/>
  <c r="L971" i="6" a="1"/>
  <c r="L972" i="6" a="1"/>
  <c r="L973" i="6" a="1"/>
  <c r="L974" i="6" a="1"/>
  <c r="L975" i="6" a="1"/>
  <c r="L976" i="6" a="1"/>
  <c r="L977" i="6" a="1"/>
  <c r="L978" i="6" a="1"/>
  <c r="L979" i="6" a="1"/>
  <c r="L980" i="6" a="1"/>
  <c r="L981" i="6" a="1"/>
  <c r="L982" i="6" a="1"/>
  <c r="L983" i="6" a="1"/>
  <c r="L984" i="6" a="1"/>
  <c r="L985" i="6" a="1"/>
  <c r="L986" i="6" a="1"/>
  <c r="L987" i="6" a="1"/>
  <c r="L988" i="6" a="1"/>
  <c r="L989" i="6" a="1"/>
  <c r="L990" i="6" a="1"/>
  <c r="L991" i="6" a="1"/>
  <c r="L992" i="6" a="1"/>
  <c r="L993" i="6" a="1"/>
  <c r="L994" i="6" a="1"/>
  <c r="L995" i="6" a="1"/>
  <c r="L996" i="6" a="1"/>
  <c r="L997" i="6" a="1"/>
  <c r="L998" i="6" a="1"/>
  <c r="L999" i="6" a="1"/>
  <c r="L1000" i="6" a="1"/>
  <c r="L1001" i="6" a="1"/>
  <c r="L1002" i="6" a="1"/>
  <c r="L1003" i="6" a="1"/>
  <c r="L1004" i="6" a="1"/>
  <c r="L1005" i="6" a="1"/>
  <c r="L1006" i="6" a="1"/>
  <c r="L1007" i="6" a="1"/>
  <c r="L1008" i="6" a="1"/>
  <c r="L1009" i="6" a="1"/>
  <c r="L1010" i="6" a="1"/>
  <c r="L1011" i="6" a="1"/>
  <c r="L1012" i="6" a="1"/>
  <c r="L1013" i="6" a="1"/>
  <c r="L1014" i="6" a="1"/>
  <c r="L1015" i="6" a="1"/>
  <c r="L1016" i="6" a="1"/>
  <c r="L1017" i="6" a="1"/>
  <c r="L1018" i="6" a="1"/>
  <c r="L1019" i="6" a="1"/>
  <c r="L1020" i="6" a="1"/>
  <c r="L1021" i="6" a="1"/>
  <c r="L1022" i="6" a="1"/>
  <c r="L1023" i="6" a="1"/>
  <c r="L1024" i="6" a="1"/>
  <c r="L1025" i="6" a="1"/>
  <c r="L1026" i="6" a="1"/>
  <c r="L1027" i="6" a="1"/>
  <c r="L1028" i="6" a="1"/>
  <c r="L1029" i="6" a="1"/>
  <c r="L1030" i="6" a="1"/>
  <c r="L1031" i="6" a="1"/>
  <c r="L1032" i="6" a="1"/>
  <c r="L1033" i="6" a="1"/>
  <c r="L1034" i="6" a="1"/>
  <c r="L1035" i="6" a="1"/>
  <c r="L1036" i="6" a="1"/>
  <c r="L1037" i="6" a="1"/>
  <c r="L1038" i="6" a="1"/>
  <c r="L1039" i="6" a="1"/>
  <c r="L1040" i="6" a="1"/>
  <c r="L1041" i="6" a="1"/>
  <c r="L1042" i="6" a="1"/>
  <c r="L1043" i="6" a="1"/>
  <c r="L1044" i="6" a="1"/>
  <c r="L1045" i="6" a="1"/>
  <c r="L1046" i="6" a="1"/>
  <c r="L1047" i="6" a="1"/>
  <c r="L1048" i="6" a="1"/>
  <c r="L1049" i="6" a="1"/>
  <c r="L1050" i="6" a="1"/>
  <c r="L1051" i="6" a="1"/>
  <c r="L1052" i="6" a="1"/>
  <c r="L1053" i="6" a="1"/>
  <c r="L1054" i="6" a="1"/>
  <c r="L1055" i="6" a="1"/>
  <c r="L1056" i="6" a="1"/>
  <c r="L1057" i="6" a="1"/>
  <c r="L1058" i="6" a="1"/>
  <c r="L1059" i="6" a="1"/>
  <c r="L1060" i="6" a="1"/>
  <c r="L1061" i="6" a="1"/>
  <c r="L1062" i="6" a="1"/>
  <c r="L1063" i="6" a="1"/>
  <c r="L1064" i="6" a="1"/>
  <c r="L1065" i="6" a="1"/>
  <c r="L1066" i="6" a="1"/>
  <c r="L1067" i="6" a="1"/>
  <c r="L1068" i="6" a="1"/>
  <c r="L1069" i="6" a="1"/>
  <c r="L1070" i="6" a="1"/>
  <c r="L1071" i="6" a="1"/>
  <c r="L1072" i="6" a="1"/>
  <c r="L1073" i="6" a="1"/>
  <c r="L1074" i="6" a="1"/>
  <c r="L1075" i="6" a="1"/>
  <c r="L1076" i="6" a="1"/>
  <c r="L1077" i="6" a="1"/>
  <c r="L1078" i="6" a="1"/>
  <c r="L1079" i="6" a="1"/>
  <c r="L1080" i="6" a="1"/>
  <c r="L1081" i="6" a="1"/>
  <c r="L1082" i="6" a="1"/>
  <c r="L1083" i="6" a="1"/>
  <c r="L1084" i="6" a="1"/>
  <c r="L1085" i="6" a="1"/>
  <c r="L1086" i="6" a="1"/>
  <c r="L1087" i="6" a="1"/>
  <c r="L1088" i="6" a="1"/>
  <c r="L1089" i="6" a="1"/>
  <c r="L1090" i="6" a="1"/>
  <c r="L1091" i="6" a="1"/>
  <c r="L1092" i="6" a="1"/>
  <c r="L1093" i="6" a="1"/>
  <c r="L1094" i="6" a="1"/>
  <c r="L1095" i="6" a="1"/>
  <c r="L1096" i="6" a="1"/>
  <c r="L1097" i="6" a="1"/>
  <c r="L1098" i="6" a="1"/>
  <c r="L1099" i="6" a="1"/>
  <c r="L1100" i="6" a="1"/>
  <c r="L1101" i="6" a="1"/>
  <c r="L1102" i="6" a="1"/>
  <c r="L1103" i="6" a="1"/>
  <c r="L1104" i="6" a="1"/>
  <c r="L1105" i="6" a="1"/>
  <c r="L1106" i="6" a="1"/>
  <c r="L1107" i="6" a="1"/>
  <c r="L1108" i="6" a="1"/>
  <c r="L1109" i="6" a="1"/>
  <c r="L1110" i="6" a="1"/>
  <c r="L1111" i="6" a="1"/>
  <c r="L1112" i="6" a="1"/>
  <c r="L1113" i="6" a="1"/>
  <c r="L1114" i="6" a="1"/>
  <c r="L1115" i="6" a="1"/>
  <c r="L1116" i="6" a="1"/>
  <c r="L1117" i="6" a="1"/>
  <c r="L1118" i="6" a="1"/>
  <c r="L1119" i="6" a="1"/>
  <c r="L1120" i="6" a="1"/>
  <c r="L1121" i="6" a="1"/>
  <c r="L1122" i="6" a="1"/>
  <c r="L1123" i="6" a="1"/>
  <c r="L1124" i="6" a="1"/>
  <c r="L1125" i="6" a="1"/>
  <c r="L1126" i="6" a="1"/>
  <c r="L1127" i="6" a="1"/>
  <c r="L1128" i="6" a="1"/>
  <c r="L1129" i="6" a="1"/>
  <c r="L1130" i="6" a="1"/>
  <c r="L1131" i="6" a="1"/>
  <c r="L1132" i="6" a="1"/>
  <c r="L1133" i="6" a="1"/>
  <c r="L1134" i="6" a="1"/>
  <c r="L1135" i="6" a="1"/>
  <c r="L1136" i="6" a="1"/>
  <c r="L1137" i="6" a="1"/>
  <c r="L1138" i="6" a="1"/>
  <c r="L1139" i="6" a="1"/>
  <c r="L1140" i="6" a="1"/>
  <c r="L1141" i="6" a="1"/>
  <c r="L1142" i="6" a="1"/>
  <c r="L1143" i="6" a="1"/>
  <c r="L1144" i="6" a="1"/>
  <c r="L1145" i="6" a="1"/>
  <c r="L1146" i="6" a="1"/>
  <c r="L1147" i="6" a="1"/>
  <c r="L1148" i="6" a="1"/>
  <c r="L1149" i="6" a="1"/>
  <c r="L1150" i="6" a="1"/>
  <c r="L1151" i="6" a="1"/>
  <c r="L1152" i="6" a="1"/>
  <c r="L1153" i="6" a="1"/>
  <c r="L1154" i="6" a="1"/>
  <c r="L1155" i="6" a="1"/>
  <c r="L1156" i="6" a="1"/>
  <c r="L1157" i="6" a="1"/>
  <c r="L1158" i="6" a="1"/>
  <c r="L1159" i="6" a="1"/>
  <c r="L1160" i="6" a="1"/>
  <c r="L1161" i="6" a="1"/>
  <c r="L1162" i="6" a="1"/>
  <c r="L1163" i="6" a="1"/>
  <c r="L1164" i="6" a="1"/>
  <c r="L1165" i="6" a="1"/>
  <c r="L1166" i="6" a="1"/>
  <c r="L1167" i="6" a="1"/>
  <c r="L1168" i="6" a="1"/>
  <c r="L1169" i="6" a="1"/>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V2" i="9"/>
  <c r="U2" i="9"/>
  <c r="T2" i="9"/>
  <c r="S2" i="9"/>
  <c r="R2" i="9"/>
  <c r="Q2" i="9"/>
  <c r="P2" i="9"/>
  <c r="O2" i="9"/>
  <c r="N2" i="9"/>
  <c r="M2" i="9"/>
  <c r="K456" i="6" a="1"/>
  <c r="K457" i="6" a="1"/>
  <c r="K458" i="6" a="1"/>
  <c r="K459" i="6" a="1"/>
  <c r="K460" i="6" a="1"/>
  <c r="K461" i="6" a="1"/>
  <c r="K462" i="6" a="1"/>
  <c r="K463" i="6" a="1"/>
  <c r="K464" i="6" a="1"/>
  <c r="K465" i="6" a="1"/>
  <c r="K466" i="6" a="1"/>
  <c r="K467" i="6" a="1"/>
  <c r="K468" i="6" a="1"/>
  <c r="K469" i="6" a="1"/>
  <c r="K470" i="6" a="1"/>
  <c r="K471" i="6" a="1"/>
  <c r="K472" i="6" a="1"/>
  <c r="K473" i="6" a="1"/>
  <c r="K474" i="6" a="1"/>
  <c r="K475" i="6" a="1"/>
  <c r="K476" i="6" a="1"/>
  <c r="K477" i="6" a="1"/>
  <c r="K478" i="6" a="1"/>
  <c r="K479" i="6" a="1"/>
  <c r="K480" i="6" a="1"/>
  <c r="K481" i="6" a="1"/>
  <c r="K482" i="6" a="1"/>
  <c r="K483" i="6" a="1"/>
  <c r="K484" i="6" a="1"/>
  <c r="K485" i="6" a="1"/>
  <c r="K486" i="6" a="1"/>
  <c r="K487" i="6" a="1"/>
  <c r="K488" i="6" a="1"/>
  <c r="K489" i="6" a="1"/>
  <c r="K490" i="6" a="1"/>
  <c r="K491" i="6" a="1"/>
  <c r="K492" i="6" a="1"/>
  <c r="K493" i="6" a="1"/>
  <c r="K494" i="6" a="1"/>
  <c r="K495" i="6" a="1"/>
  <c r="K496" i="6" a="1"/>
  <c r="K497" i="6" a="1"/>
  <c r="K498" i="6" a="1"/>
  <c r="K499" i="6" a="1"/>
  <c r="K500" i="6" a="1"/>
  <c r="K501" i="6" a="1"/>
  <c r="K502" i="6" a="1"/>
  <c r="K503" i="6" a="1"/>
  <c r="K504" i="6" a="1"/>
  <c r="K505" i="6" a="1"/>
  <c r="K506" i="6" a="1"/>
  <c r="K507" i="6" a="1"/>
  <c r="K508" i="6" a="1"/>
  <c r="K509" i="6" a="1"/>
  <c r="K510" i="6" a="1"/>
  <c r="K511" i="6" a="1"/>
  <c r="K512" i="6" a="1"/>
  <c r="K513" i="6" a="1"/>
  <c r="K514" i="6" a="1"/>
  <c r="K515" i="6" a="1"/>
  <c r="K516" i="6" a="1"/>
  <c r="K517" i="6" a="1"/>
  <c r="K518" i="6" a="1"/>
  <c r="K519" i="6" a="1"/>
  <c r="K520" i="6" a="1"/>
  <c r="K521" i="6" a="1"/>
  <c r="K522" i="6" a="1"/>
  <c r="K523" i="6" a="1"/>
  <c r="K524" i="6" a="1"/>
  <c r="K525" i="6" a="1"/>
  <c r="K526" i="6" a="1"/>
  <c r="K527" i="6" a="1"/>
  <c r="K528" i="6" a="1"/>
  <c r="K529" i="6" a="1"/>
  <c r="K530" i="6" a="1"/>
  <c r="K531" i="6" a="1"/>
  <c r="K532" i="6" a="1"/>
  <c r="K533" i="6" a="1"/>
  <c r="K534" i="6" a="1"/>
  <c r="K535" i="6" a="1"/>
  <c r="K536" i="6" a="1"/>
  <c r="K537" i="6" a="1"/>
  <c r="K538" i="6" a="1"/>
  <c r="K539" i="6" a="1"/>
  <c r="K540" i="6" a="1"/>
  <c r="K541" i="6" a="1"/>
  <c r="K542" i="6" a="1"/>
  <c r="K543" i="6" a="1"/>
  <c r="K544" i="6" a="1"/>
  <c r="K545" i="6" a="1"/>
  <c r="K546" i="6" a="1"/>
  <c r="K547" i="6" a="1"/>
  <c r="K548" i="6" a="1"/>
  <c r="K549" i="6" a="1"/>
  <c r="K550" i="6" a="1"/>
  <c r="K551" i="6" a="1"/>
  <c r="K552" i="6" a="1"/>
  <c r="K553" i="6" a="1"/>
  <c r="K554" i="6" a="1"/>
  <c r="K555" i="6" a="1"/>
  <c r="K556" i="6" a="1"/>
  <c r="K557" i="6" a="1"/>
  <c r="K558" i="6" a="1"/>
  <c r="K559" i="6" a="1"/>
  <c r="K560" i="6" a="1"/>
  <c r="K561" i="6" a="1"/>
  <c r="K562" i="6" a="1"/>
  <c r="K563" i="6" a="1"/>
  <c r="K564" i="6" a="1"/>
  <c r="K565" i="6" a="1"/>
  <c r="K579" i="6" a="1"/>
  <c r="K580" i="6" a="1"/>
  <c r="K581" i="6" a="1"/>
  <c r="K582" i="6" a="1"/>
  <c r="K583" i="6" a="1"/>
  <c r="K584" i="6" a="1"/>
  <c r="K585" i="6" a="1"/>
  <c r="K586" i="6" a="1"/>
  <c r="K587" i="6" a="1"/>
  <c r="K588" i="6" a="1"/>
  <c r="K589" i="6" a="1"/>
  <c r="K590" i="6" a="1"/>
  <c r="K591" i="6" a="1"/>
  <c r="K592" i="6" a="1"/>
  <c r="K593" i="6" a="1"/>
  <c r="K594" i="6" a="1"/>
  <c r="K595" i="6" a="1"/>
  <c r="K596" i="6" a="1"/>
  <c r="K597" i="6" a="1"/>
  <c r="K598" i="6" a="1"/>
  <c r="K599" i="6" a="1"/>
  <c r="K600" i="6" a="1"/>
  <c r="K601" i="6" a="1"/>
  <c r="K602" i="6" a="1"/>
  <c r="K603" i="6" a="1"/>
  <c r="K604" i="6" a="1"/>
  <c r="K605" i="6" a="1"/>
  <c r="K606" i="6" a="1"/>
  <c r="K607" i="6" a="1"/>
  <c r="K608" i="6" a="1"/>
  <c r="K609" i="6" a="1"/>
  <c r="K610" i="6" a="1"/>
  <c r="K611" i="6" a="1"/>
  <c r="K612" i="6" a="1"/>
  <c r="K613" i="6" a="1"/>
  <c r="K614" i="6" a="1"/>
  <c r="K615" i="6" a="1"/>
  <c r="K616" i="6" a="1"/>
  <c r="K617" i="6" a="1"/>
  <c r="K618" i="6" a="1"/>
  <c r="K619" i="6" a="1"/>
  <c r="K620" i="6" a="1"/>
  <c r="K621" i="6" a="1"/>
  <c r="K622" i="6" a="1"/>
  <c r="K623" i="6" a="1"/>
  <c r="K624" i="6" a="1"/>
  <c r="K625" i="6" a="1"/>
  <c r="K626" i="6" a="1"/>
  <c r="K627" i="6" a="1"/>
  <c r="K628" i="6" a="1"/>
  <c r="K629" i="6" a="1"/>
  <c r="K630" i="6" a="1"/>
  <c r="K631" i="6" a="1"/>
  <c r="K632" i="6" a="1"/>
  <c r="K633" i="6" a="1"/>
  <c r="K634" i="6" a="1"/>
  <c r="K635" i="6" a="1"/>
  <c r="K636" i="6" a="1"/>
  <c r="K637" i="6" a="1"/>
  <c r="K638" i="6" a="1"/>
  <c r="K639" i="6" a="1"/>
  <c r="K640" i="6" a="1"/>
  <c r="K641" i="6" a="1"/>
  <c r="K642" i="6" a="1"/>
  <c r="K643" i="6" a="1"/>
  <c r="K644" i="6" a="1"/>
  <c r="K645" i="6" a="1"/>
  <c r="K646" i="6" a="1"/>
  <c r="K647" i="6" a="1"/>
  <c r="K648" i="6" a="1"/>
  <c r="K649" i="6" a="1"/>
  <c r="K650" i="6" a="1"/>
  <c r="K651" i="6" a="1"/>
  <c r="K652" i="6" a="1"/>
  <c r="K653" i="6" a="1"/>
  <c r="K654" i="6" a="1"/>
  <c r="K655" i="6" a="1"/>
  <c r="K656" i="6" a="1"/>
  <c r="K657" i="6" a="1"/>
  <c r="K658" i="6" a="1"/>
  <c r="K659" i="6" a="1"/>
  <c r="K660" i="6" a="1"/>
  <c r="K661" i="6" a="1"/>
  <c r="K662" i="6" a="1"/>
  <c r="K663" i="6" a="1"/>
  <c r="K664" i="6" a="1"/>
  <c r="K665" i="6" a="1"/>
  <c r="K666" i="6" a="1"/>
  <c r="K667" i="6" a="1"/>
  <c r="K668" i="6" a="1"/>
  <c r="K669" i="6" a="1"/>
  <c r="K670" i="6" a="1"/>
  <c r="K671" i="6" a="1"/>
  <c r="K672" i="6" a="1"/>
  <c r="K673" i="6" a="1"/>
  <c r="K674" i="6" a="1"/>
  <c r="K675" i="6" a="1"/>
  <c r="K676" i="6" a="1"/>
  <c r="K677" i="6" a="1"/>
  <c r="K678" i="6" a="1"/>
  <c r="K679" i="6" a="1"/>
  <c r="K680" i="6" a="1"/>
  <c r="K681" i="6" a="1"/>
  <c r="K682" i="6" a="1"/>
  <c r="K683" i="6" a="1"/>
  <c r="K684" i="6" a="1"/>
  <c r="K685" i="6" a="1"/>
  <c r="K686" i="6" a="1"/>
  <c r="K687" i="6" a="1"/>
  <c r="K688" i="6" a="1"/>
  <c r="K689" i="6" a="1"/>
  <c r="K690" i="6" a="1"/>
  <c r="K691" i="6" a="1"/>
  <c r="K692" i="6" a="1"/>
  <c r="K693" i="6" a="1"/>
  <c r="K694" i="6" a="1"/>
  <c r="K695" i="6" a="1"/>
  <c r="K696" i="6" a="1"/>
  <c r="K697" i="6" a="1"/>
  <c r="K698" i="6" a="1"/>
  <c r="K699" i="6" a="1"/>
  <c r="K700" i="6" a="1"/>
  <c r="K701" i="6" a="1"/>
  <c r="K702" i="6" a="1"/>
  <c r="K703" i="6" a="1"/>
  <c r="K704" i="6" a="1"/>
  <c r="K705" i="6" a="1"/>
  <c r="K706" i="6" a="1"/>
  <c r="K707" i="6" a="1"/>
  <c r="K708" i="6" a="1"/>
  <c r="K709" i="6" a="1"/>
  <c r="K710" i="6" a="1"/>
  <c r="K711" i="6" a="1"/>
  <c r="K712" i="6" a="1"/>
  <c r="K713" i="6" a="1"/>
  <c r="K714" i="6" a="1"/>
  <c r="K715" i="6" a="1"/>
  <c r="K716" i="6" a="1"/>
  <c r="K717" i="6" a="1"/>
  <c r="K718" i="6" a="1"/>
  <c r="K719" i="6" a="1"/>
  <c r="K720" i="6" a="1"/>
  <c r="K721" i="6" a="1"/>
  <c r="K722" i="6" a="1"/>
  <c r="K723" i="6" a="1"/>
  <c r="K724" i="6" a="1"/>
  <c r="K725" i="6" a="1"/>
  <c r="K726" i="6" a="1"/>
  <c r="K727" i="6" a="1"/>
  <c r="K728" i="6" a="1"/>
  <c r="K729" i="6" a="1"/>
  <c r="K730" i="6" a="1"/>
  <c r="K731" i="6" a="1"/>
  <c r="K732" i="6" a="1"/>
  <c r="K733" i="6" a="1"/>
  <c r="K734" i="6" a="1"/>
  <c r="K735" i="6" a="1"/>
  <c r="K736" i="6" a="1"/>
  <c r="K737" i="6" a="1"/>
  <c r="K738" i="6" a="1"/>
  <c r="K739" i="6" a="1"/>
  <c r="K740" i="6" a="1"/>
  <c r="K741" i="6" a="1"/>
  <c r="K742" i="6" a="1"/>
  <c r="K743" i="6" a="1"/>
  <c r="K744" i="6" a="1"/>
  <c r="K745" i="6" a="1"/>
  <c r="K746" i="6" a="1"/>
  <c r="K747" i="6" a="1"/>
  <c r="K748" i="6" a="1"/>
  <c r="K749" i="6" a="1"/>
  <c r="K750" i="6" a="1"/>
  <c r="K751" i="6" a="1"/>
  <c r="K752" i="6" a="1"/>
  <c r="K753" i="6" a="1"/>
  <c r="K754" i="6" a="1"/>
  <c r="K755" i="6" a="1"/>
  <c r="K756" i="6" a="1"/>
  <c r="K757" i="6" a="1"/>
  <c r="K758" i="6" a="1"/>
  <c r="K759" i="6" a="1"/>
  <c r="K760" i="6" a="1"/>
  <c r="K761" i="6" a="1"/>
  <c r="K762" i="6" a="1"/>
  <c r="K763" i="6" a="1"/>
  <c r="K764" i="6" a="1"/>
  <c r="K765" i="6" a="1"/>
  <c r="K766" i="6" a="1"/>
  <c r="K767" i="6" a="1"/>
  <c r="K768" i="6" a="1"/>
  <c r="K769" i="6" a="1"/>
  <c r="K770" i="6" a="1"/>
  <c r="K771" i="6" a="1"/>
  <c r="K772" i="6" a="1"/>
  <c r="K773" i="6" a="1"/>
  <c r="K774" i="6" a="1"/>
  <c r="K775" i="6" a="1"/>
  <c r="K776" i="6" a="1"/>
  <c r="K777" i="6" a="1"/>
  <c r="K778" i="6" a="1"/>
  <c r="K779" i="6" a="1"/>
  <c r="K780" i="6" a="1"/>
  <c r="K781" i="6" a="1"/>
  <c r="K782" i="6" a="1"/>
  <c r="K783" i="6" a="1"/>
  <c r="K784" i="6" a="1"/>
  <c r="K785" i="6" a="1"/>
  <c r="K786" i="6" a="1"/>
  <c r="K787" i="6" a="1"/>
  <c r="K788" i="6" a="1"/>
  <c r="K789" i="6" a="1"/>
  <c r="K790" i="6" a="1"/>
  <c r="K791" i="6" a="1"/>
  <c r="K792" i="6" a="1"/>
  <c r="K793" i="6" a="1"/>
  <c r="K794" i="6" a="1"/>
  <c r="K795" i="6" a="1"/>
  <c r="K796" i="6" a="1"/>
  <c r="K797" i="6" a="1"/>
  <c r="K798" i="6" a="1"/>
  <c r="K799" i="6" a="1"/>
  <c r="K800" i="6" a="1"/>
  <c r="K801" i="6" a="1"/>
  <c r="K802" i="6" a="1"/>
  <c r="K803" i="6" a="1"/>
  <c r="K804" i="6" a="1"/>
  <c r="K805" i="6" a="1"/>
  <c r="K806" i="6" a="1"/>
  <c r="K807" i="6" a="1"/>
  <c r="K808" i="6" a="1"/>
  <c r="K809" i="6" a="1"/>
  <c r="K810" i="6" a="1"/>
  <c r="K811" i="6" a="1"/>
  <c r="K812" i="6" a="1"/>
  <c r="K813" i="6" a="1"/>
  <c r="K814" i="6" a="1"/>
  <c r="K815" i="6" a="1"/>
  <c r="K816" i="6" a="1"/>
  <c r="K817" i="6" a="1"/>
  <c r="K818" i="6" a="1"/>
  <c r="K819" i="6" a="1"/>
  <c r="K820" i="6" a="1"/>
  <c r="K821" i="6" a="1"/>
  <c r="K822" i="6" a="1"/>
  <c r="K823" i="6" a="1"/>
  <c r="K824" i="6" a="1"/>
  <c r="K825" i="6" a="1"/>
  <c r="K826" i="6" a="1"/>
  <c r="K827" i="6" a="1"/>
  <c r="K828" i="6" a="1"/>
  <c r="K829" i="6" a="1"/>
  <c r="K830" i="6" a="1"/>
  <c r="K831" i="6" a="1"/>
  <c r="K832" i="6" a="1"/>
  <c r="K833" i="6" a="1"/>
  <c r="K834" i="6" a="1"/>
  <c r="K835" i="6" a="1"/>
  <c r="K836" i="6" a="1"/>
  <c r="K837" i="6" a="1"/>
  <c r="K838" i="6" a="1"/>
  <c r="K839" i="6" a="1"/>
  <c r="K840" i="6" a="1"/>
  <c r="K841" i="6" a="1"/>
  <c r="K842" i="6" a="1"/>
  <c r="K843" i="6" a="1"/>
  <c r="K844" i="6" a="1"/>
  <c r="K845" i="6" a="1"/>
  <c r="K846" i="6" a="1"/>
  <c r="K847" i="6" a="1"/>
  <c r="K848" i="6" a="1"/>
  <c r="K849" i="6" a="1"/>
  <c r="K850" i="6" a="1"/>
  <c r="K851" i="6" a="1"/>
  <c r="K852" i="6" a="1"/>
  <c r="K853" i="6" a="1"/>
  <c r="K854" i="6" a="1"/>
  <c r="K855" i="6" a="1"/>
  <c r="K856" i="6" a="1"/>
  <c r="K857" i="6" a="1"/>
  <c r="K858" i="6" a="1"/>
  <c r="K859" i="6" a="1"/>
  <c r="K860" i="6" a="1"/>
  <c r="K861" i="6" a="1"/>
  <c r="K862" i="6" a="1"/>
  <c r="K863" i="6" a="1"/>
  <c r="K864" i="6" a="1"/>
  <c r="K865" i="6" a="1"/>
  <c r="K866" i="6" a="1"/>
  <c r="K867" i="6" a="1"/>
  <c r="K868" i="6" a="1"/>
  <c r="K869" i="6" a="1"/>
  <c r="K870" i="6" a="1"/>
  <c r="K871" i="6" a="1"/>
  <c r="K872" i="6" a="1"/>
  <c r="K873" i="6" a="1"/>
  <c r="K874" i="6" a="1"/>
  <c r="K875" i="6" a="1"/>
  <c r="K876" i="6" a="1"/>
  <c r="K877" i="6" a="1"/>
  <c r="K878" i="6" a="1"/>
  <c r="K879" i="6" a="1"/>
  <c r="K880" i="6" a="1"/>
  <c r="K881" i="6" a="1"/>
  <c r="K882" i="6" a="1"/>
  <c r="K883" i="6" a="1"/>
  <c r="K884" i="6" a="1"/>
  <c r="K885" i="6" a="1"/>
  <c r="K886" i="6" a="1"/>
  <c r="K887" i="6" a="1"/>
  <c r="K888" i="6" a="1"/>
  <c r="K889" i="6" a="1"/>
  <c r="K890" i="6" a="1"/>
  <c r="K891" i="6" a="1"/>
  <c r="K892" i="6" a="1"/>
  <c r="K893" i="6" a="1"/>
  <c r="K894" i="6" a="1"/>
  <c r="K895" i="6" a="1"/>
  <c r="K896" i="6" a="1"/>
  <c r="K897" i="6" a="1"/>
  <c r="K898" i="6" a="1"/>
  <c r="K899" i="6" a="1"/>
  <c r="K900" i="6" a="1"/>
  <c r="K901" i="6" a="1"/>
  <c r="K902" i="6" a="1"/>
  <c r="K903" i="6" a="1"/>
  <c r="K904" i="6" a="1"/>
  <c r="K905" i="6" a="1"/>
  <c r="K906" i="6" a="1"/>
  <c r="K907" i="6" a="1"/>
  <c r="K908" i="6" a="1"/>
  <c r="K909" i="6" a="1"/>
  <c r="K910" i="6" a="1"/>
  <c r="K911" i="6" a="1"/>
  <c r="K912" i="6" a="1"/>
  <c r="K913" i="6" a="1"/>
  <c r="K914" i="6" a="1"/>
  <c r="K915" i="6" a="1"/>
  <c r="K916" i="6" a="1"/>
  <c r="K917" i="6" a="1"/>
  <c r="K918" i="6" a="1"/>
  <c r="K919" i="6" a="1"/>
  <c r="K920" i="6" a="1"/>
  <c r="K921" i="6" a="1"/>
  <c r="K922" i="6" a="1"/>
  <c r="K923" i="6" a="1"/>
  <c r="K924" i="6" a="1"/>
  <c r="K925" i="6" a="1"/>
  <c r="K926" i="6" a="1"/>
  <c r="K927" i="6" a="1"/>
  <c r="K928" i="6" a="1"/>
  <c r="K929" i="6" a="1"/>
  <c r="K930" i="6" a="1"/>
  <c r="K931" i="6" a="1"/>
  <c r="K932" i="6" a="1"/>
  <c r="K933" i="6" a="1"/>
  <c r="K934" i="6" a="1"/>
  <c r="K935" i="6" a="1"/>
  <c r="K936" i="6" a="1"/>
  <c r="K937" i="6" a="1"/>
  <c r="K938" i="6" a="1"/>
  <c r="K939" i="6" a="1"/>
  <c r="K940" i="6" a="1"/>
  <c r="K941" i="6" a="1"/>
  <c r="K942" i="6" a="1"/>
  <c r="K943" i="6" a="1"/>
  <c r="K944" i="6" a="1"/>
  <c r="K945" i="6" a="1"/>
  <c r="K946" i="6" a="1"/>
  <c r="K947" i="6" a="1"/>
  <c r="K948" i="6" a="1"/>
  <c r="K949" i="6" a="1"/>
  <c r="K950" i="6" a="1"/>
  <c r="K951" i="6" a="1"/>
  <c r="K952" i="6" a="1"/>
  <c r="K953" i="6" a="1"/>
  <c r="K954" i="6" a="1"/>
  <c r="K955" i="6" a="1"/>
  <c r="K956" i="6" a="1"/>
  <c r="K957" i="6" a="1"/>
  <c r="K958" i="6" a="1"/>
  <c r="K959" i="6" a="1"/>
  <c r="K960" i="6" a="1"/>
  <c r="K961" i="6" a="1"/>
  <c r="K962" i="6" a="1"/>
  <c r="K963" i="6" a="1"/>
  <c r="K964" i="6" a="1"/>
  <c r="K965" i="6" a="1"/>
  <c r="K966" i="6" a="1"/>
  <c r="K967" i="6" a="1"/>
  <c r="K968" i="6" a="1"/>
  <c r="K969" i="6" a="1"/>
  <c r="K970" i="6" a="1"/>
  <c r="K971" i="6" a="1"/>
  <c r="K972" i="6" a="1"/>
  <c r="K973" i="6" a="1"/>
  <c r="K974" i="6" a="1"/>
  <c r="K975" i="6" a="1"/>
  <c r="K976" i="6" a="1"/>
  <c r="K977" i="6" a="1"/>
  <c r="K978" i="6" a="1"/>
  <c r="K979" i="6" a="1"/>
  <c r="K980" i="6" a="1"/>
  <c r="K981" i="6" a="1"/>
  <c r="K982" i="6" a="1"/>
  <c r="K983" i="6" a="1"/>
  <c r="K984" i="6" a="1"/>
  <c r="K985" i="6" a="1"/>
  <c r="K986" i="6" a="1"/>
  <c r="K987" i="6" a="1"/>
  <c r="K988" i="6" a="1"/>
  <c r="K989" i="6" a="1"/>
  <c r="K990" i="6" a="1"/>
  <c r="K991" i="6" a="1"/>
  <c r="K992" i="6" a="1"/>
  <c r="K993" i="6" a="1"/>
  <c r="K994" i="6" a="1"/>
  <c r="K995" i="6" a="1"/>
  <c r="K996" i="6" a="1"/>
  <c r="K997" i="6" a="1"/>
  <c r="K998" i="6" a="1"/>
  <c r="K999" i="6" a="1"/>
  <c r="K1000" i="6" a="1"/>
  <c r="K1001" i="6" a="1"/>
  <c r="K1002" i="6" a="1"/>
  <c r="K1003" i="6" a="1"/>
  <c r="K1004" i="6" a="1"/>
  <c r="K1005" i="6" a="1"/>
  <c r="K1006" i="6" a="1"/>
  <c r="K1007" i="6" a="1"/>
  <c r="K1008" i="6" a="1"/>
  <c r="K1009" i="6" a="1"/>
  <c r="K1010" i="6" a="1"/>
  <c r="K1011" i="6" a="1"/>
  <c r="K1012" i="6" a="1"/>
  <c r="K1013" i="6" a="1"/>
  <c r="K1014" i="6" a="1"/>
  <c r="K1015" i="6" a="1"/>
  <c r="K1016" i="6" a="1"/>
  <c r="K1017" i="6" a="1"/>
  <c r="K1018" i="6" a="1"/>
  <c r="K1019" i="6" a="1"/>
  <c r="K1020" i="6" a="1"/>
  <c r="K1021" i="6" a="1"/>
  <c r="K1022" i="6" a="1"/>
  <c r="K1023" i="6" a="1"/>
  <c r="K1024" i="6" a="1"/>
  <c r="K1025" i="6" a="1"/>
  <c r="K1026" i="6" a="1"/>
  <c r="K1027" i="6" a="1"/>
  <c r="K1028" i="6" a="1"/>
  <c r="K1029" i="6" a="1"/>
  <c r="K1030" i="6" a="1"/>
  <c r="K1031" i="6" a="1"/>
  <c r="K1032" i="6" a="1"/>
  <c r="K1033" i="6" a="1"/>
  <c r="K1034" i="6" a="1"/>
  <c r="K1035" i="6" a="1"/>
  <c r="K1036" i="6" a="1"/>
  <c r="K1037" i="6" a="1"/>
  <c r="K1038" i="6" a="1"/>
  <c r="K1039" i="6" a="1"/>
  <c r="K1040" i="6" a="1"/>
  <c r="K1041" i="6" a="1"/>
  <c r="K1042" i="6" a="1"/>
  <c r="K1043" i="6" a="1"/>
  <c r="K1044" i="6" a="1"/>
  <c r="K1045" i="6" a="1"/>
  <c r="K1046" i="6" a="1"/>
  <c r="K1047" i="6" a="1"/>
  <c r="K1048" i="6" a="1"/>
  <c r="K1049" i="6" a="1"/>
  <c r="K1050" i="6" a="1"/>
  <c r="K1051" i="6" a="1"/>
  <c r="K1052" i="6" a="1"/>
  <c r="K1053" i="6" a="1"/>
  <c r="K1054" i="6" a="1"/>
  <c r="K1055" i="6" a="1"/>
  <c r="K1056" i="6" a="1"/>
  <c r="K1057" i="6" a="1"/>
  <c r="K1058" i="6" a="1"/>
  <c r="K1059" i="6" a="1"/>
  <c r="K1060" i="6" a="1"/>
  <c r="K1061" i="6" a="1"/>
  <c r="K1062" i="6" a="1"/>
  <c r="K1063" i="6" a="1"/>
  <c r="K1064" i="6" a="1"/>
  <c r="K1065" i="6" a="1"/>
  <c r="K1066" i="6" a="1"/>
  <c r="K1067" i="6" a="1"/>
  <c r="K1068" i="6" a="1"/>
  <c r="K1069" i="6" a="1"/>
  <c r="K1070" i="6" a="1"/>
  <c r="K1071" i="6" a="1"/>
  <c r="K1072" i="6" a="1"/>
  <c r="K1073" i="6" a="1"/>
  <c r="K1074" i="6" a="1"/>
  <c r="K1075" i="6" a="1"/>
  <c r="K1076" i="6" a="1"/>
  <c r="K1077" i="6" a="1"/>
  <c r="K1078" i="6" a="1"/>
  <c r="K1079" i="6" a="1"/>
  <c r="K1080" i="6" a="1"/>
  <c r="K1081" i="6" a="1"/>
  <c r="K1082" i="6" a="1"/>
  <c r="K1083" i="6" a="1"/>
  <c r="K1084" i="6" a="1"/>
  <c r="K1085" i="6" a="1"/>
  <c r="K1086" i="6" a="1"/>
  <c r="K1087" i="6" a="1"/>
  <c r="K1088" i="6" a="1"/>
  <c r="K1089" i="6" a="1"/>
  <c r="K1090" i="6" a="1"/>
  <c r="K1091" i="6" a="1"/>
  <c r="K1092" i="6" a="1"/>
  <c r="K1093" i="6" a="1"/>
  <c r="K1094" i="6" a="1"/>
  <c r="K1095" i="6" a="1"/>
  <c r="K1096" i="6" a="1"/>
  <c r="K1097" i="6" a="1"/>
  <c r="K1098" i="6" a="1"/>
  <c r="K1099" i="6" a="1"/>
  <c r="K1100" i="6" a="1"/>
  <c r="K1101" i="6" a="1"/>
  <c r="K1102" i="6" a="1"/>
  <c r="K1103" i="6" a="1"/>
  <c r="K1104" i="6" a="1"/>
  <c r="K1105" i="6" a="1"/>
  <c r="K1106" i="6" a="1"/>
  <c r="K1107" i="6" a="1"/>
  <c r="K1108" i="6" a="1"/>
  <c r="K1109" i="6" a="1"/>
  <c r="K1110" i="6" a="1"/>
  <c r="K1111" i="6" a="1"/>
  <c r="K1112" i="6" a="1"/>
  <c r="K1113" i="6" a="1"/>
  <c r="K1114" i="6" a="1"/>
  <c r="K1115" i="6" a="1"/>
  <c r="K1116" i="6" a="1"/>
  <c r="K1117" i="6" a="1"/>
  <c r="K1118" i="6" a="1"/>
  <c r="K1119" i="6" a="1"/>
  <c r="K1120" i="6" a="1"/>
  <c r="K1121" i="6" a="1"/>
  <c r="K1122" i="6" a="1"/>
  <c r="K1123" i="6" a="1"/>
  <c r="K1124" i="6" a="1"/>
  <c r="K1125" i="6" a="1"/>
  <c r="K1126" i="6" a="1"/>
  <c r="K1127" i="6" a="1"/>
  <c r="K1128" i="6" a="1"/>
  <c r="K1129" i="6" a="1"/>
  <c r="K1130" i="6" a="1"/>
  <c r="K1131" i="6" a="1"/>
  <c r="K1132" i="6" a="1"/>
  <c r="K1133" i="6" a="1"/>
  <c r="K1134" i="6" a="1"/>
  <c r="K1135" i="6" a="1"/>
  <c r="K1136" i="6" a="1"/>
  <c r="K1137" i="6" a="1"/>
  <c r="K1138" i="6" a="1"/>
  <c r="K1139" i="6" a="1"/>
  <c r="K1140" i="6" a="1"/>
  <c r="K1141" i="6" a="1"/>
  <c r="K1142" i="6" a="1"/>
  <c r="K1143" i="6" a="1"/>
  <c r="K1144" i="6" a="1"/>
  <c r="K1145" i="6" a="1"/>
  <c r="K1146" i="6" a="1"/>
  <c r="K1147" i="6" a="1"/>
  <c r="K1148" i="6" a="1"/>
  <c r="K1149" i="6" a="1"/>
  <c r="K1150" i="6" a="1"/>
  <c r="K1151" i="6" a="1"/>
  <c r="K1152" i="6" a="1"/>
  <c r="K1153" i="6" a="1"/>
  <c r="K1154" i="6" a="1"/>
  <c r="K1155" i="6" a="1"/>
  <c r="K1156" i="6" a="1"/>
  <c r="K1157" i="6" a="1"/>
  <c r="K1158" i="6" a="1"/>
  <c r="K1159" i="6" a="1"/>
  <c r="K1160" i="6" a="1"/>
  <c r="K1161" i="6" a="1"/>
  <c r="K1162" i="6" a="1"/>
  <c r="K1163" i="6" a="1"/>
  <c r="K1164" i="6" a="1"/>
  <c r="K1165" i="6" a="1"/>
  <c r="K1166" i="6" a="1"/>
  <c r="K1167" i="6" a="1"/>
  <c r="K1168" i="6" a="1"/>
  <c r="K1169" i="6" a="1"/>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L2" i="9"/>
  <c r="K2" i="9"/>
  <c r="J2" i="9"/>
  <c r="I2" i="9"/>
  <c r="N1169" i="6" a="1"/>
  <c r="N1169" i="6"/>
  <c r="S1169" i="6"/>
  <c r="R1169" i="6" a="1"/>
  <c r="R1169" i="6"/>
  <c r="Q1169" i="6" a="1"/>
  <c r="Q1169" i="6"/>
  <c r="O1169" i="6" a="1"/>
  <c r="O1169" i="6"/>
  <c r="M1169" i="6" a="1"/>
  <c r="M1169" i="6"/>
  <c r="J1169" i="6" a="1"/>
  <c r="J1169" i="6"/>
  <c r="G1169" i="6" a="1"/>
  <c r="G1169" i="6"/>
  <c r="F1169" i="6" a="1"/>
  <c r="F1169" i="6"/>
  <c r="E1169" i="6" a="1"/>
  <c r="E1169" i="6"/>
  <c r="D1169" i="6" a="1"/>
  <c r="D1169" i="6"/>
  <c r="C1169" i="6" a="1"/>
  <c r="C1169" i="6"/>
  <c r="N1168" i="6" a="1"/>
  <c r="N1168" i="6"/>
  <c r="S1168" i="6"/>
  <c r="R1168" i="6" a="1"/>
  <c r="R1168" i="6"/>
  <c r="Q1168" i="6" a="1"/>
  <c r="Q1168" i="6"/>
  <c r="O1168" i="6" a="1"/>
  <c r="O1168" i="6"/>
  <c r="M1168" i="6" a="1"/>
  <c r="M1168" i="6"/>
  <c r="J1168" i="6" a="1"/>
  <c r="J1168" i="6"/>
  <c r="G1168" i="6" a="1"/>
  <c r="G1168" i="6"/>
  <c r="F1168" i="6" a="1"/>
  <c r="F1168" i="6"/>
  <c r="E1168" i="6" a="1"/>
  <c r="E1168" i="6"/>
  <c r="D1168" i="6" a="1"/>
  <c r="D1168" i="6"/>
  <c r="C1168" i="6" a="1"/>
  <c r="C1168" i="6"/>
  <c r="N1167" i="6" a="1"/>
  <c r="N1167" i="6"/>
  <c r="S1167" i="6"/>
  <c r="R1167" i="6" a="1"/>
  <c r="R1167" i="6"/>
  <c r="Q1167" i="6" a="1"/>
  <c r="Q1167" i="6"/>
  <c r="O1167" i="6" a="1"/>
  <c r="O1167" i="6"/>
  <c r="M1167" i="6" a="1"/>
  <c r="M1167" i="6"/>
  <c r="J1167" i="6" a="1"/>
  <c r="J1167" i="6"/>
  <c r="G1167" i="6" a="1"/>
  <c r="G1167" i="6"/>
  <c r="F1167" i="6" a="1"/>
  <c r="F1167" i="6"/>
  <c r="E1167" i="6" a="1"/>
  <c r="E1167" i="6"/>
  <c r="D1167" i="6" a="1"/>
  <c r="D1167" i="6"/>
  <c r="C1167" i="6" a="1"/>
  <c r="C1167" i="6"/>
  <c r="N1166" i="6" a="1"/>
  <c r="N1166" i="6"/>
  <c r="S1166" i="6"/>
  <c r="R1166" i="6" a="1"/>
  <c r="R1166" i="6"/>
  <c r="Q1166" i="6" a="1"/>
  <c r="Q1166" i="6"/>
  <c r="O1166" i="6" a="1"/>
  <c r="O1166" i="6"/>
  <c r="M1166" i="6" a="1"/>
  <c r="M1166" i="6"/>
  <c r="J1166" i="6" a="1"/>
  <c r="J1166" i="6"/>
  <c r="G1166" i="6" a="1"/>
  <c r="G1166" i="6"/>
  <c r="F1166" i="6" a="1"/>
  <c r="F1166" i="6"/>
  <c r="E1166" i="6" a="1"/>
  <c r="E1166" i="6"/>
  <c r="D1166" i="6" a="1"/>
  <c r="D1166" i="6"/>
  <c r="C1166" i="6" a="1"/>
  <c r="C1166" i="6"/>
  <c r="N1165" i="6" a="1"/>
  <c r="N1165" i="6"/>
  <c r="S1165" i="6"/>
  <c r="R1165" i="6" a="1"/>
  <c r="R1165" i="6"/>
  <c r="Q1165" i="6" a="1"/>
  <c r="Q1165" i="6"/>
  <c r="O1165" i="6" a="1"/>
  <c r="O1165" i="6"/>
  <c r="M1165" i="6" a="1"/>
  <c r="M1165" i="6"/>
  <c r="J1165" i="6" a="1"/>
  <c r="J1165" i="6"/>
  <c r="G1165" i="6" a="1"/>
  <c r="G1165" i="6"/>
  <c r="F1165" i="6" a="1"/>
  <c r="F1165" i="6"/>
  <c r="E1165" i="6" a="1"/>
  <c r="E1165" i="6"/>
  <c r="D1165" i="6" a="1"/>
  <c r="D1165" i="6"/>
  <c r="C1165" i="6" a="1"/>
  <c r="C1165" i="6"/>
  <c r="N1164" i="6" a="1"/>
  <c r="N1164" i="6"/>
  <c r="S1164" i="6"/>
  <c r="R1164" i="6" a="1"/>
  <c r="R1164" i="6"/>
  <c r="Q1164" i="6" a="1"/>
  <c r="Q1164" i="6"/>
  <c r="O1164" i="6" a="1"/>
  <c r="O1164" i="6"/>
  <c r="M1164" i="6" a="1"/>
  <c r="M1164" i="6"/>
  <c r="J1164" i="6" a="1"/>
  <c r="J1164" i="6"/>
  <c r="G1164" i="6" a="1"/>
  <c r="G1164" i="6"/>
  <c r="F1164" i="6" a="1"/>
  <c r="F1164" i="6"/>
  <c r="E1164" i="6" a="1"/>
  <c r="E1164" i="6"/>
  <c r="D1164" i="6" a="1"/>
  <c r="D1164" i="6"/>
  <c r="C1164" i="6" a="1"/>
  <c r="C1164" i="6"/>
  <c r="N1163" i="6" a="1"/>
  <c r="N1163" i="6"/>
  <c r="S1163" i="6"/>
  <c r="R1163" i="6" a="1"/>
  <c r="R1163" i="6"/>
  <c r="Q1163" i="6" a="1"/>
  <c r="Q1163" i="6"/>
  <c r="O1163" i="6" a="1"/>
  <c r="O1163" i="6"/>
  <c r="M1163" i="6" a="1"/>
  <c r="M1163" i="6"/>
  <c r="J1163" i="6" a="1"/>
  <c r="J1163" i="6"/>
  <c r="G1163" i="6" a="1"/>
  <c r="G1163" i="6"/>
  <c r="F1163" i="6" a="1"/>
  <c r="F1163" i="6"/>
  <c r="E1163" i="6" a="1"/>
  <c r="E1163" i="6"/>
  <c r="D1163" i="6" a="1"/>
  <c r="D1163" i="6"/>
  <c r="C1163" i="6" a="1"/>
  <c r="C1163" i="6"/>
  <c r="N1162" i="6" a="1"/>
  <c r="N1162" i="6"/>
  <c r="S1162" i="6"/>
  <c r="R1162" i="6" a="1"/>
  <c r="R1162" i="6"/>
  <c r="Q1162" i="6" a="1"/>
  <c r="Q1162" i="6"/>
  <c r="O1162" i="6" a="1"/>
  <c r="O1162" i="6"/>
  <c r="M1162" i="6" a="1"/>
  <c r="M1162" i="6"/>
  <c r="J1162" i="6" a="1"/>
  <c r="J1162" i="6"/>
  <c r="G1162" i="6" a="1"/>
  <c r="G1162" i="6"/>
  <c r="F1162" i="6" a="1"/>
  <c r="F1162" i="6"/>
  <c r="E1162" i="6" a="1"/>
  <c r="E1162" i="6"/>
  <c r="D1162" i="6" a="1"/>
  <c r="D1162" i="6"/>
  <c r="C1162" i="6" a="1"/>
  <c r="C1162" i="6"/>
  <c r="N1161" i="6" a="1"/>
  <c r="N1161" i="6"/>
  <c r="S1161" i="6"/>
  <c r="R1161" i="6" a="1"/>
  <c r="R1161" i="6"/>
  <c r="Q1161" i="6" a="1"/>
  <c r="Q1161" i="6"/>
  <c r="O1161" i="6" a="1"/>
  <c r="O1161" i="6"/>
  <c r="M1161" i="6" a="1"/>
  <c r="M1161" i="6"/>
  <c r="J1161" i="6" a="1"/>
  <c r="J1161" i="6"/>
  <c r="G1161" i="6" a="1"/>
  <c r="G1161" i="6"/>
  <c r="F1161" i="6" a="1"/>
  <c r="F1161" i="6"/>
  <c r="E1161" i="6" a="1"/>
  <c r="E1161" i="6"/>
  <c r="D1161" i="6" a="1"/>
  <c r="D1161" i="6"/>
  <c r="C1161" i="6" a="1"/>
  <c r="C1161" i="6"/>
  <c r="N1160" i="6" a="1"/>
  <c r="N1160" i="6"/>
  <c r="S1160" i="6"/>
  <c r="R1160" i="6" a="1"/>
  <c r="R1160" i="6"/>
  <c r="Q1160" i="6" a="1"/>
  <c r="Q1160" i="6"/>
  <c r="O1160" i="6" a="1"/>
  <c r="O1160" i="6"/>
  <c r="M1160" i="6" a="1"/>
  <c r="M1160" i="6"/>
  <c r="J1160" i="6" a="1"/>
  <c r="J1160" i="6"/>
  <c r="G1160" i="6" a="1"/>
  <c r="G1160" i="6"/>
  <c r="F1160" i="6" a="1"/>
  <c r="F1160" i="6"/>
  <c r="E1160" i="6" a="1"/>
  <c r="E1160" i="6"/>
  <c r="D1160" i="6" a="1"/>
  <c r="D1160" i="6"/>
  <c r="C1160" i="6" a="1"/>
  <c r="C1160" i="6"/>
  <c r="N1159" i="6" a="1"/>
  <c r="N1159" i="6"/>
  <c r="S1159" i="6"/>
  <c r="R1159" i="6" a="1"/>
  <c r="R1159" i="6"/>
  <c r="Q1159" i="6" a="1"/>
  <c r="Q1159" i="6"/>
  <c r="O1159" i="6" a="1"/>
  <c r="O1159" i="6"/>
  <c r="M1159" i="6" a="1"/>
  <c r="M1159" i="6"/>
  <c r="J1159" i="6" a="1"/>
  <c r="J1159" i="6"/>
  <c r="G1159" i="6" a="1"/>
  <c r="G1159" i="6"/>
  <c r="F1159" i="6" a="1"/>
  <c r="F1159" i="6"/>
  <c r="E1159" i="6" a="1"/>
  <c r="E1159" i="6"/>
  <c r="D1159" i="6" a="1"/>
  <c r="D1159" i="6"/>
  <c r="C1159" i="6" a="1"/>
  <c r="C1159" i="6"/>
  <c r="N1158" i="6" a="1"/>
  <c r="N1158" i="6"/>
  <c r="S1158" i="6"/>
  <c r="R1158" i="6" a="1"/>
  <c r="R1158" i="6"/>
  <c r="Q1158" i="6" a="1"/>
  <c r="Q1158" i="6"/>
  <c r="O1158" i="6" a="1"/>
  <c r="O1158" i="6"/>
  <c r="M1158" i="6" a="1"/>
  <c r="M1158" i="6"/>
  <c r="J1158" i="6" a="1"/>
  <c r="J1158" i="6"/>
  <c r="G1158" i="6" a="1"/>
  <c r="G1158" i="6"/>
  <c r="F1158" i="6" a="1"/>
  <c r="F1158" i="6"/>
  <c r="E1158" i="6" a="1"/>
  <c r="E1158" i="6"/>
  <c r="D1158" i="6" a="1"/>
  <c r="D1158" i="6"/>
  <c r="C1158" i="6" a="1"/>
  <c r="C1158" i="6"/>
  <c r="N1157" i="6" a="1"/>
  <c r="N1157" i="6"/>
  <c r="S1157" i="6"/>
  <c r="R1157" i="6" a="1"/>
  <c r="R1157" i="6"/>
  <c r="Q1157" i="6" a="1"/>
  <c r="Q1157" i="6"/>
  <c r="O1157" i="6" a="1"/>
  <c r="O1157" i="6"/>
  <c r="M1157" i="6" a="1"/>
  <c r="M1157" i="6"/>
  <c r="J1157" i="6" a="1"/>
  <c r="J1157" i="6"/>
  <c r="G1157" i="6" a="1"/>
  <c r="G1157" i="6"/>
  <c r="F1157" i="6" a="1"/>
  <c r="F1157" i="6"/>
  <c r="E1157" i="6" a="1"/>
  <c r="E1157" i="6"/>
  <c r="D1157" i="6" a="1"/>
  <c r="D1157" i="6"/>
  <c r="C1157" i="6" a="1"/>
  <c r="C1157" i="6"/>
  <c r="N1156" i="6" a="1"/>
  <c r="N1156" i="6"/>
  <c r="S1156" i="6"/>
  <c r="R1156" i="6" a="1"/>
  <c r="R1156" i="6"/>
  <c r="Q1156" i="6" a="1"/>
  <c r="Q1156" i="6"/>
  <c r="O1156" i="6" a="1"/>
  <c r="O1156" i="6"/>
  <c r="M1156" i="6" a="1"/>
  <c r="M1156" i="6"/>
  <c r="J1156" i="6" a="1"/>
  <c r="J1156" i="6"/>
  <c r="G1156" i="6" a="1"/>
  <c r="G1156" i="6"/>
  <c r="F1156" i="6" a="1"/>
  <c r="F1156" i="6"/>
  <c r="E1156" i="6" a="1"/>
  <c r="E1156" i="6"/>
  <c r="D1156" i="6" a="1"/>
  <c r="D1156" i="6"/>
  <c r="C1156" i="6" a="1"/>
  <c r="C1156" i="6"/>
  <c r="N1155" i="6" a="1"/>
  <c r="N1155" i="6"/>
  <c r="S1155" i="6"/>
  <c r="R1155" i="6" a="1"/>
  <c r="R1155" i="6"/>
  <c r="Q1155" i="6" a="1"/>
  <c r="Q1155" i="6"/>
  <c r="O1155" i="6" a="1"/>
  <c r="O1155" i="6"/>
  <c r="M1155" i="6" a="1"/>
  <c r="M1155" i="6"/>
  <c r="J1155" i="6" a="1"/>
  <c r="J1155" i="6"/>
  <c r="G1155" i="6" a="1"/>
  <c r="G1155" i="6"/>
  <c r="F1155" i="6" a="1"/>
  <c r="F1155" i="6"/>
  <c r="E1155" i="6" a="1"/>
  <c r="E1155" i="6"/>
  <c r="D1155" i="6" a="1"/>
  <c r="D1155" i="6"/>
  <c r="C1155" i="6" a="1"/>
  <c r="C1155" i="6"/>
  <c r="N1154" i="6" a="1"/>
  <c r="N1154" i="6"/>
  <c r="S1154" i="6"/>
  <c r="R1154" i="6" a="1"/>
  <c r="R1154" i="6"/>
  <c r="Q1154" i="6" a="1"/>
  <c r="Q1154" i="6"/>
  <c r="O1154" i="6" a="1"/>
  <c r="O1154" i="6"/>
  <c r="M1154" i="6" a="1"/>
  <c r="M1154" i="6"/>
  <c r="J1154" i="6" a="1"/>
  <c r="J1154" i="6"/>
  <c r="G1154" i="6" a="1"/>
  <c r="G1154" i="6"/>
  <c r="F1154" i="6" a="1"/>
  <c r="F1154" i="6"/>
  <c r="E1154" i="6" a="1"/>
  <c r="E1154" i="6"/>
  <c r="D1154" i="6" a="1"/>
  <c r="D1154" i="6"/>
  <c r="C1154" i="6" a="1"/>
  <c r="C1154" i="6"/>
  <c r="N1153" i="6" a="1"/>
  <c r="N1153" i="6"/>
  <c r="S1153" i="6"/>
  <c r="R1153" i="6" a="1"/>
  <c r="R1153" i="6"/>
  <c r="Q1153" i="6" a="1"/>
  <c r="Q1153" i="6"/>
  <c r="O1153" i="6" a="1"/>
  <c r="O1153" i="6"/>
  <c r="M1153" i="6" a="1"/>
  <c r="M1153" i="6"/>
  <c r="J1153" i="6" a="1"/>
  <c r="J1153" i="6"/>
  <c r="G1153" i="6" a="1"/>
  <c r="G1153" i="6"/>
  <c r="F1153" i="6" a="1"/>
  <c r="F1153" i="6"/>
  <c r="E1153" i="6" a="1"/>
  <c r="E1153" i="6"/>
  <c r="D1153" i="6" a="1"/>
  <c r="D1153" i="6"/>
  <c r="C1153" i="6" a="1"/>
  <c r="C1153" i="6"/>
  <c r="N1152" i="6" a="1"/>
  <c r="N1152" i="6"/>
  <c r="S1152" i="6"/>
  <c r="R1152" i="6" a="1"/>
  <c r="R1152" i="6"/>
  <c r="Q1152" i="6" a="1"/>
  <c r="Q1152" i="6"/>
  <c r="O1152" i="6" a="1"/>
  <c r="O1152" i="6"/>
  <c r="M1152" i="6" a="1"/>
  <c r="M1152" i="6"/>
  <c r="J1152" i="6" a="1"/>
  <c r="J1152" i="6"/>
  <c r="G1152" i="6" a="1"/>
  <c r="G1152" i="6"/>
  <c r="F1152" i="6" a="1"/>
  <c r="F1152" i="6"/>
  <c r="E1152" i="6" a="1"/>
  <c r="E1152" i="6"/>
  <c r="D1152" i="6" a="1"/>
  <c r="D1152" i="6"/>
  <c r="C1152" i="6" a="1"/>
  <c r="C1152" i="6"/>
  <c r="N1151" i="6" a="1"/>
  <c r="N1151" i="6"/>
  <c r="S1151" i="6"/>
  <c r="R1151" i="6" a="1"/>
  <c r="R1151" i="6"/>
  <c r="Q1151" i="6" a="1"/>
  <c r="Q1151" i="6"/>
  <c r="O1151" i="6" a="1"/>
  <c r="O1151" i="6"/>
  <c r="M1151" i="6" a="1"/>
  <c r="M1151" i="6"/>
  <c r="J1151" i="6" a="1"/>
  <c r="J1151" i="6"/>
  <c r="G1151" i="6" a="1"/>
  <c r="G1151" i="6"/>
  <c r="F1151" i="6" a="1"/>
  <c r="F1151" i="6"/>
  <c r="E1151" i="6" a="1"/>
  <c r="E1151" i="6"/>
  <c r="D1151" i="6" a="1"/>
  <c r="D1151" i="6"/>
  <c r="C1151" i="6" a="1"/>
  <c r="C1151" i="6"/>
  <c r="N1150" i="6" a="1"/>
  <c r="N1150" i="6"/>
  <c r="S1150" i="6"/>
  <c r="R1150" i="6" a="1"/>
  <c r="R1150" i="6"/>
  <c r="Q1150" i="6" a="1"/>
  <c r="Q1150" i="6"/>
  <c r="O1150" i="6" a="1"/>
  <c r="O1150" i="6"/>
  <c r="M1150" i="6" a="1"/>
  <c r="M1150" i="6"/>
  <c r="J1150" i="6" a="1"/>
  <c r="J1150" i="6"/>
  <c r="G1150" i="6" a="1"/>
  <c r="G1150" i="6"/>
  <c r="F1150" i="6" a="1"/>
  <c r="F1150" i="6"/>
  <c r="E1150" i="6" a="1"/>
  <c r="E1150" i="6"/>
  <c r="D1150" i="6" a="1"/>
  <c r="D1150" i="6"/>
  <c r="C1150" i="6" a="1"/>
  <c r="C1150" i="6"/>
  <c r="N1149" i="6" a="1"/>
  <c r="N1149" i="6"/>
  <c r="S1149" i="6"/>
  <c r="R1149" i="6" a="1"/>
  <c r="R1149" i="6"/>
  <c r="Q1149" i="6" a="1"/>
  <c r="Q1149" i="6"/>
  <c r="O1149" i="6" a="1"/>
  <c r="O1149" i="6"/>
  <c r="M1149" i="6" a="1"/>
  <c r="M1149" i="6"/>
  <c r="J1149" i="6" a="1"/>
  <c r="J1149" i="6"/>
  <c r="G1149" i="6" a="1"/>
  <c r="G1149" i="6"/>
  <c r="F1149" i="6" a="1"/>
  <c r="F1149" i="6"/>
  <c r="E1149" i="6" a="1"/>
  <c r="E1149" i="6"/>
  <c r="D1149" i="6" a="1"/>
  <c r="D1149" i="6"/>
  <c r="C1149" i="6" a="1"/>
  <c r="C1149" i="6"/>
  <c r="N1148" i="6" a="1"/>
  <c r="N1148" i="6"/>
  <c r="S1148" i="6"/>
  <c r="R1148" i="6" a="1"/>
  <c r="R1148" i="6"/>
  <c r="Q1148" i="6" a="1"/>
  <c r="Q1148" i="6"/>
  <c r="O1148" i="6" a="1"/>
  <c r="O1148" i="6"/>
  <c r="M1148" i="6" a="1"/>
  <c r="M1148" i="6"/>
  <c r="J1148" i="6" a="1"/>
  <c r="J1148" i="6"/>
  <c r="G1148" i="6" a="1"/>
  <c r="G1148" i="6"/>
  <c r="F1148" i="6" a="1"/>
  <c r="F1148" i="6"/>
  <c r="E1148" i="6" a="1"/>
  <c r="E1148" i="6"/>
  <c r="D1148" i="6" a="1"/>
  <c r="D1148" i="6"/>
  <c r="C1148" i="6" a="1"/>
  <c r="C1148" i="6"/>
  <c r="N1147" i="6" a="1"/>
  <c r="N1147" i="6"/>
  <c r="S1147" i="6"/>
  <c r="R1147" i="6" a="1"/>
  <c r="R1147" i="6"/>
  <c r="Q1147" i="6" a="1"/>
  <c r="Q1147" i="6"/>
  <c r="O1147" i="6" a="1"/>
  <c r="O1147" i="6"/>
  <c r="M1147" i="6" a="1"/>
  <c r="M1147" i="6"/>
  <c r="J1147" i="6" a="1"/>
  <c r="J1147" i="6"/>
  <c r="G1147" i="6" a="1"/>
  <c r="G1147" i="6"/>
  <c r="F1147" i="6" a="1"/>
  <c r="F1147" i="6"/>
  <c r="E1147" i="6" a="1"/>
  <c r="E1147" i="6"/>
  <c r="D1147" i="6" a="1"/>
  <c r="D1147" i="6"/>
  <c r="C1147" i="6" a="1"/>
  <c r="C1147" i="6"/>
  <c r="N1146" i="6" a="1"/>
  <c r="N1146" i="6"/>
  <c r="S1146" i="6"/>
  <c r="R1146" i="6" a="1"/>
  <c r="R1146" i="6"/>
  <c r="Q1146" i="6" a="1"/>
  <c r="Q1146" i="6"/>
  <c r="O1146" i="6" a="1"/>
  <c r="O1146" i="6"/>
  <c r="M1146" i="6" a="1"/>
  <c r="M1146" i="6"/>
  <c r="J1146" i="6" a="1"/>
  <c r="J1146" i="6"/>
  <c r="G1146" i="6" a="1"/>
  <c r="G1146" i="6"/>
  <c r="F1146" i="6" a="1"/>
  <c r="F1146" i="6"/>
  <c r="E1146" i="6" a="1"/>
  <c r="E1146" i="6"/>
  <c r="D1146" i="6" a="1"/>
  <c r="D1146" i="6"/>
  <c r="C1146" i="6" a="1"/>
  <c r="C1146" i="6"/>
  <c r="N1145" i="6" a="1"/>
  <c r="N1145" i="6"/>
  <c r="S1145" i="6"/>
  <c r="R1145" i="6" a="1"/>
  <c r="R1145" i="6"/>
  <c r="Q1145" i="6" a="1"/>
  <c r="Q1145" i="6"/>
  <c r="O1145" i="6" a="1"/>
  <c r="O1145" i="6"/>
  <c r="M1145" i="6" a="1"/>
  <c r="M1145" i="6"/>
  <c r="J1145" i="6" a="1"/>
  <c r="J1145" i="6"/>
  <c r="G1145" i="6" a="1"/>
  <c r="G1145" i="6"/>
  <c r="F1145" i="6" a="1"/>
  <c r="F1145" i="6"/>
  <c r="E1145" i="6" a="1"/>
  <c r="E1145" i="6"/>
  <c r="D1145" i="6" a="1"/>
  <c r="D1145" i="6"/>
  <c r="C1145" i="6" a="1"/>
  <c r="C1145" i="6"/>
  <c r="N1144" i="6" a="1"/>
  <c r="N1144" i="6"/>
  <c r="S1144" i="6"/>
  <c r="R1144" i="6" a="1"/>
  <c r="R1144" i="6"/>
  <c r="Q1144" i="6" a="1"/>
  <c r="Q1144" i="6"/>
  <c r="O1144" i="6" a="1"/>
  <c r="O1144" i="6"/>
  <c r="M1144" i="6" a="1"/>
  <c r="M1144" i="6"/>
  <c r="J1144" i="6" a="1"/>
  <c r="J1144" i="6"/>
  <c r="G1144" i="6" a="1"/>
  <c r="G1144" i="6"/>
  <c r="F1144" i="6" a="1"/>
  <c r="F1144" i="6"/>
  <c r="E1144" i="6" a="1"/>
  <c r="E1144" i="6"/>
  <c r="D1144" i="6" a="1"/>
  <c r="D1144" i="6"/>
  <c r="C1144" i="6" a="1"/>
  <c r="C1144" i="6"/>
  <c r="N1143" i="6" a="1"/>
  <c r="N1143" i="6"/>
  <c r="S1143" i="6"/>
  <c r="R1143" i="6" a="1"/>
  <c r="R1143" i="6"/>
  <c r="Q1143" i="6" a="1"/>
  <c r="Q1143" i="6"/>
  <c r="O1143" i="6" a="1"/>
  <c r="O1143" i="6"/>
  <c r="M1143" i="6" a="1"/>
  <c r="M1143" i="6"/>
  <c r="J1143" i="6" a="1"/>
  <c r="J1143" i="6"/>
  <c r="G1143" i="6" a="1"/>
  <c r="G1143" i="6"/>
  <c r="F1143" i="6" a="1"/>
  <c r="F1143" i="6"/>
  <c r="E1143" i="6" a="1"/>
  <c r="E1143" i="6"/>
  <c r="D1143" i="6" a="1"/>
  <c r="D1143" i="6"/>
  <c r="C1143" i="6" a="1"/>
  <c r="C1143" i="6"/>
  <c r="N1142" i="6" a="1"/>
  <c r="N1142" i="6"/>
  <c r="S1142" i="6"/>
  <c r="R1142" i="6" a="1"/>
  <c r="R1142" i="6"/>
  <c r="Q1142" i="6" a="1"/>
  <c r="Q1142" i="6"/>
  <c r="O1142" i="6" a="1"/>
  <c r="O1142" i="6"/>
  <c r="M1142" i="6" a="1"/>
  <c r="M1142" i="6"/>
  <c r="J1142" i="6" a="1"/>
  <c r="J1142" i="6"/>
  <c r="G1142" i="6" a="1"/>
  <c r="G1142" i="6"/>
  <c r="F1142" i="6" a="1"/>
  <c r="F1142" i="6"/>
  <c r="E1142" i="6" a="1"/>
  <c r="E1142" i="6"/>
  <c r="D1142" i="6" a="1"/>
  <c r="D1142" i="6"/>
  <c r="C1142" i="6" a="1"/>
  <c r="C1142" i="6"/>
  <c r="N1141" i="6" a="1"/>
  <c r="N1141" i="6"/>
  <c r="S1141" i="6"/>
  <c r="R1141" i="6" a="1"/>
  <c r="R1141" i="6"/>
  <c r="Q1141" i="6" a="1"/>
  <c r="Q1141" i="6"/>
  <c r="O1141" i="6" a="1"/>
  <c r="O1141" i="6"/>
  <c r="M1141" i="6" a="1"/>
  <c r="M1141" i="6"/>
  <c r="J1141" i="6" a="1"/>
  <c r="J1141" i="6"/>
  <c r="G1141" i="6" a="1"/>
  <c r="G1141" i="6"/>
  <c r="F1141" i="6" a="1"/>
  <c r="F1141" i="6"/>
  <c r="E1141" i="6" a="1"/>
  <c r="E1141" i="6"/>
  <c r="D1141" i="6" a="1"/>
  <c r="D1141" i="6"/>
  <c r="C1141" i="6" a="1"/>
  <c r="C1141" i="6"/>
  <c r="N1140" i="6" a="1"/>
  <c r="N1140" i="6"/>
  <c r="S1140" i="6"/>
  <c r="R1140" i="6" a="1"/>
  <c r="R1140" i="6"/>
  <c r="Q1140" i="6" a="1"/>
  <c r="Q1140" i="6"/>
  <c r="O1140" i="6" a="1"/>
  <c r="O1140" i="6"/>
  <c r="M1140" i="6" a="1"/>
  <c r="M1140" i="6"/>
  <c r="J1140" i="6" a="1"/>
  <c r="J1140" i="6"/>
  <c r="G1140" i="6" a="1"/>
  <c r="G1140" i="6"/>
  <c r="F1140" i="6" a="1"/>
  <c r="F1140" i="6"/>
  <c r="E1140" i="6" a="1"/>
  <c r="E1140" i="6"/>
  <c r="D1140" i="6" a="1"/>
  <c r="D1140" i="6"/>
  <c r="C1140" i="6" a="1"/>
  <c r="C1140" i="6"/>
  <c r="N1139" i="6" a="1"/>
  <c r="N1139" i="6"/>
  <c r="S1139" i="6"/>
  <c r="R1139" i="6" a="1"/>
  <c r="R1139" i="6"/>
  <c r="Q1139" i="6" a="1"/>
  <c r="Q1139" i="6"/>
  <c r="O1139" i="6" a="1"/>
  <c r="O1139" i="6"/>
  <c r="M1139" i="6" a="1"/>
  <c r="M1139" i="6"/>
  <c r="J1139" i="6" a="1"/>
  <c r="J1139" i="6"/>
  <c r="G1139" i="6" a="1"/>
  <c r="G1139" i="6"/>
  <c r="F1139" i="6" a="1"/>
  <c r="F1139" i="6"/>
  <c r="E1139" i="6" a="1"/>
  <c r="E1139" i="6"/>
  <c r="D1139" i="6" a="1"/>
  <c r="D1139" i="6"/>
  <c r="C1139" i="6" a="1"/>
  <c r="C1139" i="6"/>
  <c r="N1138" i="6" a="1"/>
  <c r="N1138" i="6"/>
  <c r="S1138" i="6"/>
  <c r="R1138" i="6" a="1"/>
  <c r="R1138" i="6"/>
  <c r="Q1138" i="6" a="1"/>
  <c r="Q1138" i="6"/>
  <c r="O1138" i="6" a="1"/>
  <c r="O1138" i="6"/>
  <c r="M1138" i="6" a="1"/>
  <c r="M1138" i="6"/>
  <c r="J1138" i="6" a="1"/>
  <c r="J1138" i="6"/>
  <c r="G1138" i="6" a="1"/>
  <c r="G1138" i="6"/>
  <c r="F1138" i="6" a="1"/>
  <c r="F1138" i="6"/>
  <c r="E1138" i="6" a="1"/>
  <c r="E1138" i="6"/>
  <c r="D1138" i="6" a="1"/>
  <c r="D1138" i="6"/>
  <c r="C1138" i="6" a="1"/>
  <c r="C1138" i="6"/>
  <c r="N1137" i="6" a="1"/>
  <c r="N1137" i="6"/>
  <c r="S1137" i="6"/>
  <c r="R1137" i="6" a="1"/>
  <c r="R1137" i="6"/>
  <c r="Q1137" i="6" a="1"/>
  <c r="Q1137" i="6"/>
  <c r="O1137" i="6" a="1"/>
  <c r="O1137" i="6"/>
  <c r="M1137" i="6" a="1"/>
  <c r="M1137" i="6"/>
  <c r="J1137" i="6" a="1"/>
  <c r="J1137" i="6"/>
  <c r="G1137" i="6" a="1"/>
  <c r="G1137" i="6"/>
  <c r="F1137" i="6" a="1"/>
  <c r="F1137" i="6"/>
  <c r="E1137" i="6" a="1"/>
  <c r="E1137" i="6"/>
  <c r="D1137" i="6" a="1"/>
  <c r="D1137" i="6"/>
  <c r="C1137" i="6" a="1"/>
  <c r="C1137" i="6"/>
  <c r="N1136" i="6" a="1"/>
  <c r="N1136" i="6"/>
  <c r="S1136" i="6"/>
  <c r="R1136" i="6" a="1"/>
  <c r="R1136" i="6"/>
  <c r="Q1136" i="6" a="1"/>
  <c r="Q1136" i="6"/>
  <c r="O1136" i="6" a="1"/>
  <c r="O1136" i="6"/>
  <c r="M1136" i="6" a="1"/>
  <c r="M1136" i="6"/>
  <c r="J1136" i="6" a="1"/>
  <c r="J1136" i="6"/>
  <c r="G1136" i="6" a="1"/>
  <c r="G1136" i="6"/>
  <c r="F1136" i="6" a="1"/>
  <c r="F1136" i="6"/>
  <c r="E1136" i="6" a="1"/>
  <c r="E1136" i="6"/>
  <c r="D1136" i="6" a="1"/>
  <c r="D1136" i="6"/>
  <c r="C1136" i="6" a="1"/>
  <c r="C1136" i="6"/>
  <c r="N1135" i="6" a="1"/>
  <c r="N1135" i="6"/>
  <c r="S1135" i="6"/>
  <c r="R1135" i="6" a="1"/>
  <c r="R1135" i="6"/>
  <c r="Q1135" i="6" a="1"/>
  <c r="Q1135" i="6"/>
  <c r="O1135" i="6" a="1"/>
  <c r="O1135" i="6"/>
  <c r="M1135" i="6" a="1"/>
  <c r="M1135" i="6"/>
  <c r="J1135" i="6" a="1"/>
  <c r="J1135" i="6"/>
  <c r="G1135" i="6" a="1"/>
  <c r="G1135" i="6"/>
  <c r="F1135" i="6" a="1"/>
  <c r="F1135" i="6"/>
  <c r="E1135" i="6" a="1"/>
  <c r="E1135" i="6"/>
  <c r="D1135" i="6" a="1"/>
  <c r="D1135" i="6"/>
  <c r="C1135" i="6" a="1"/>
  <c r="C1135" i="6"/>
  <c r="N1134" i="6" a="1"/>
  <c r="N1134" i="6"/>
  <c r="S1134" i="6"/>
  <c r="R1134" i="6" a="1"/>
  <c r="R1134" i="6"/>
  <c r="Q1134" i="6" a="1"/>
  <c r="Q1134" i="6"/>
  <c r="O1134" i="6" a="1"/>
  <c r="O1134" i="6"/>
  <c r="M1134" i="6" a="1"/>
  <c r="M1134" i="6"/>
  <c r="J1134" i="6" a="1"/>
  <c r="J1134" i="6"/>
  <c r="G1134" i="6" a="1"/>
  <c r="G1134" i="6"/>
  <c r="F1134" i="6" a="1"/>
  <c r="F1134" i="6"/>
  <c r="E1134" i="6" a="1"/>
  <c r="E1134" i="6"/>
  <c r="D1134" i="6" a="1"/>
  <c r="D1134" i="6"/>
  <c r="C1134" i="6" a="1"/>
  <c r="C1134" i="6"/>
  <c r="N1133" i="6" a="1"/>
  <c r="N1133" i="6"/>
  <c r="S1133" i="6"/>
  <c r="R1133" i="6" a="1"/>
  <c r="R1133" i="6"/>
  <c r="Q1133" i="6" a="1"/>
  <c r="Q1133" i="6"/>
  <c r="O1133" i="6" a="1"/>
  <c r="O1133" i="6"/>
  <c r="M1133" i="6" a="1"/>
  <c r="M1133" i="6"/>
  <c r="J1133" i="6" a="1"/>
  <c r="J1133" i="6"/>
  <c r="G1133" i="6" a="1"/>
  <c r="G1133" i="6"/>
  <c r="F1133" i="6" a="1"/>
  <c r="F1133" i="6"/>
  <c r="E1133" i="6" a="1"/>
  <c r="E1133" i="6"/>
  <c r="D1133" i="6" a="1"/>
  <c r="D1133" i="6"/>
  <c r="C1133" i="6" a="1"/>
  <c r="C1133" i="6"/>
  <c r="N1132" i="6" a="1"/>
  <c r="N1132" i="6"/>
  <c r="S1132" i="6"/>
  <c r="R1132" i="6" a="1"/>
  <c r="R1132" i="6"/>
  <c r="Q1132" i="6" a="1"/>
  <c r="Q1132" i="6"/>
  <c r="O1132" i="6" a="1"/>
  <c r="O1132" i="6"/>
  <c r="M1132" i="6" a="1"/>
  <c r="M1132" i="6"/>
  <c r="J1132" i="6" a="1"/>
  <c r="J1132" i="6"/>
  <c r="G1132" i="6" a="1"/>
  <c r="G1132" i="6"/>
  <c r="F1132" i="6" a="1"/>
  <c r="F1132" i="6"/>
  <c r="E1132" i="6" a="1"/>
  <c r="E1132" i="6"/>
  <c r="D1132" i="6" a="1"/>
  <c r="D1132" i="6"/>
  <c r="C1132" i="6" a="1"/>
  <c r="C1132" i="6"/>
  <c r="N1131" i="6" a="1"/>
  <c r="N1131" i="6"/>
  <c r="S1131" i="6"/>
  <c r="R1131" i="6" a="1"/>
  <c r="R1131" i="6"/>
  <c r="Q1131" i="6" a="1"/>
  <c r="Q1131" i="6"/>
  <c r="O1131" i="6" a="1"/>
  <c r="O1131" i="6"/>
  <c r="M1131" i="6" a="1"/>
  <c r="M1131" i="6"/>
  <c r="J1131" i="6" a="1"/>
  <c r="J1131" i="6"/>
  <c r="G1131" i="6" a="1"/>
  <c r="G1131" i="6"/>
  <c r="F1131" i="6" a="1"/>
  <c r="F1131" i="6"/>
  <c r="E1131" i="6" a="1"/>
  <c r="E1131" i="6"/>
  <c r="D1131" i="6" a="1"/>
  <c r="D1131" i="6"/>
  <c r="C1131" i="6" a="1"/>
  <c r="C1131" i="6"/>
  <c r="N1130" i="6" a="1"/>
  <c r="N1130" i="6"/>
  <c r="S1130" i="6"/>
  <c r="R1130" i="6" a="1"/>
  <c r="R1130" i="6"/>
  <c r="Q1130" i="6" a="1"/>
  <c r="Q1130" i="6"/>
  <c r="O1130" i="6" a="1"/>
  <c r="O1130" i="6"/>
  <c r="M1130" i="6" a="1"/>
  <c r="M1130" i="6"/>
  <c r="J1130" i="6" a="1"/>
  <c r="J1130" i="6"/>
  <c r="G1130" i="6" a="1"/>
  <c r="G1130" i="6"/>
  <c r="F1130" i="6" a="1"/>
  <c r="F1130" i="6"/>
  <c r="E1130" i="6" a="1"/>
  <c r="E1130" i="6"/>
  <c r="D1130" i="6" a="1"/>
  <c r="D1130" i="6"/>
  <c r="C1130" i="6" a="1"/>
  <c r="C1130" i="6"/>
  <c r="N1129" i="6" a="1"/>
  <c r="N1129" i="6"/>
  <c r="S1129" i="6"/>
  <c r="R1129" i="6" a="1"/>
  <c r="R1129" i="6"/>
  <c r="Q1129" i="6" a="1"/>
  <c r="Q1129" i="6"/>
  <c r="O1129" i="6" a="1"/>
  <c r="O1129" i="6"/>
  <c r="M1129" i="6" a="1"/>
  <c r="M1129" i="6"/>
  <c r="J1129" i="6" a="1"/>
  <c r="J1129" i="6"/>
  <c r="G1129" i="6" a="1"/>
  <c r="G1129" i="6"/>
  <c r="F1129" i="6" a="1"/>
  <c r="F1129" i="6"/>
  <c r="E1129" i="6" a="1"/>
  <c r="E1129" i="6"/>
  <c r="D1129" i="6" a="1"/>
  <c r="D1129" i="6"/>
  <c r="C1129" i="6" a="1"/>
  <c r="C1129" i="6"/>
  <c r="N1128" i="6" a="1"/>
  <c r="N1128" i="6"/>
  <c r="S1128" i="6"/>
  <c r="R1128" i="6" a="1"/>
  <c r="R1128" i="6"/>
  <c r="Q1128" i="6" a="1"/>
  <c r="Q1128" i="6"/>
  <c r="O1128" i="6" a="1"/>
  <c r="O1128" i="6"/>
  <c r="M1128" i="6" a="1"/>
  <c r="M1128" i="6"/>
  <c r="J1128" i="6" a="1"/>
  <c r="J1128" i="6"/>
  <c r="G1128" i="6" a="1"/>
  <c r="G1128" i="6"/>
  <c r="F1128" i="6" a="1"/>
  <c r="F1128" i="6"/>
  <c r="E1128" i="6" a="1"/>
  <c r="E1128" i="6"/>
  <c r="D1128" i="6" a="1"/>
  <c r="D1128" i="6"/>
  <c r="C1128" i="6" a="1"/>
  <c r="C1128" i="6"/>
  <c r="N1127" i="6" a="1"/>
  <c r="N1127" i="6"/>
  <c r="S1127" i="6"/>
  <c r="R1127" i="6" a="1"/>
  <c r="R1127" i="6"/>
  <c r="Q1127" i="6" a="1"/>
  <c r="Q1127" i="6"/>
  <c r="O1127" i="6" a="1"/>
  <c r="O1127" i="6"/>
  <c r="M1127" i="6" a="1"/>
  <c r="M1127" i="6"/>
  <c r="J1127" i="6" a="1"/>
  <c r="J1127" i="6"/>
  <c r="G1127" i="6" a="1"/>
  <c r="G1127" i="6"/>
  <c r="F1127" i="6" a="1"/>
  <c r="F1127" i="6"/>
  <c r="E1127" i="6" a="1"/>
  <c r="E1127" i="6"/>
  <c r="D1127" i="6" a="1"/>
  <c r="D1127" i="6"/>
  <c r="C1127" i="6" a="1"/>
  <c r="C1127" i="6"/>
  <c r="N1126" i="6" a="1"/>
  <c r="N1126" i="6"/>
  <c r="S1126" i="6"/>
  <c r="R1126" i="6" a="1"/>
  <c r="R1126" i="6"/>
  <c r="Q1126" i="6" a="1"/>
  <c r="Q1126" i="6"/>
  <c r="O1126" i="6" a="1"/>
  <c r="O1126" i="6"/>
  <c r="M1126" i="6" a="1"/>
  <c r="M1126" i="6"/>
  <c r="J1126" i="6" a="1"/>
  <c r="J1126" i="6"/>
  <c r="G1126" i="6" a="1"/>
  <c r="G1126" i="6"/>
  <c r="F1126" i="6" a="1"/>
  <c r="F1126" i="6"/>
  <c r="E1126" i="6" a="1"/>
  <c r="E1126" i="6"/>
  <c r="D1126" i="6" a="1"/>
  <c r="D1126" i="6"/>
  <c r="C1126" i="6" a="1"/>
  <c r="C1126" i="6"/>
  <c r="N1125" i="6" a="1"/>
  <c r="N1125" i="6"/>
  <c r="S1125" i="6"/>
  <c r="R1125" i="6" a="1"/>
  <c r="R1125" i="6"/>
  <c r="Q1125" i="6" a="1"/>
  <c r="Q1125" i="6"/>
  <c r="O1125" i="6" a="1"/>
  <c r="O1125" i="6"/>
  <c r="M1125" i="6" a="1"/>
  <c r="M1125" i="6"/>
  <c r="J1125" i="6" a="1"/>
  <c r="J1125" i="6"/>
  <c r="G1125" i="6" a="1"/>
  <c r="G1125" i="6"/>
  <c r="F1125" i="6" a="1"/>
  <c r="F1125" i="6"/>
  <c r="E1125" i="6" a="1"/>
  <c r="E1125" i="6"/>
  <c r="D1125" i="6" a="1"/>
  <c r="D1125" i="6"/>
  <c r="C1125" i="6" a="1"/>
  <c r="C1125" i="6"/>
  <c r="N1124" i="6" a="1"/>
  <c r="N1124" i="6"/>
  <c r="S1124" i="6"/>
  <c r="R1124" i="6" a="1"/>
  <c r="R1124" i="6"/>
  <c r="Q1124" i="6" a="1"/>
  <c r="Q1124" i="6"/>
  <c r="O1124" i="6" a="1"/>
  <c r="O1124" i="6"/>
  <c r="M1124" i="6" a="1"/>
  <c r="M1124" i="6"/>
  <c r="J1124" i="6" a="1"/>
  <c r="J1124" i="6"/>
  <c r="G1124" i="6" a="1"/>
  <c r="G1124" i="6"/>
  <c r="F1124" i="6" a="1"/>
  <c r="F1124" i="6"/>
  <c r="E1124" i="6" a="1"/>
  <c r="E1124" i="6"/>
  <c r="D1124" i="6" a="1"/>
  <c r="D1124" i="6"/>
  <c r="C1124" i="6" a="1"/>
  <c r="C1124" i="6"/>
  <c r="N1123" i="6" a="1"/>
  <c r="N1123" i="6"/>
  <c r="S1123" i="6"/>
  <c r="R1123" i="6" a="1"/>
  <c r="R1123" i="6"/>
  <c r="Q1123" i="6" a="1"/>
  <c r="Q1123" i="6"/>
  <c r="O1123" i="6" a="1"/>
  <c r="O1123" i="6"/>
  <c r="M1123" i="6" a="1"/>
  <c r="M1123" i="6"/>
  <c r="J1123" i="6" a="1"/>
  <c r="J1123" i="6"/>
  <c r="G1123" i="6" a="1"/>
  <c r="G1123" i="6"/>
  <c r="F1123" i="6" a="1"/>
  <c r="F1123" i="6"/>
  <c r="E1123" i="6" a="1"/>
  <c r="E1123" i="6"/>
  <c r="D1123" i="6" a="1"/>
  <c r="D1123" i="6"/>
  <c r="C1123" i="6" a="1"/>
  <c r="C1123" i="6"/>
  <c r="N1122" i="6" a="1"/>
  <c r="N1122" i="6"/>
  <c r="S1122" i="6"/>
  <c r="R1122" i="6" a="1"/>
  <c r="R1122" i="6"/>
  <c r="Q1122" i="6" a="1"/>
  <c r="Q1122" i="6"/>
  <c r="O1122" i="6" a="1"/>
  <c r="O1122" i="6"/>
  <c r="M1122" i="6" a="1"/>
  <c r="M1122" i="6"/>
  <c r="J1122" i="6" a="1"/>
  <c r="J1122" i="6"/>
  <c r="G1122" i="6" a="1"/>
  <c r="G1122" i="6"/>
  <c r="F1122" i="6" a="1"/>
  <c r="F1122" i="6"/>
  <c r="E1122" i="6" a="1"/>
  <c r="E1122" i="6"/>
  <c r="D1122" i="6" a="1"/>
  <c r="D1122" i="6"/>
  <c r="C1122" i="6" a="1"/>
  <c r="C1122" i="6"/>
  <c r="N1121" i="6" a="1"/>
  <c r="N1121" i="6"/>
  <c r="S1121" i="6"/>
  <c r="R1121" i="6" a="1"/>
  <c r="R1121" i="6"/>
  <c r="Q1121" i="6" a="1"/>
  <c r="Q1121" i="6"/>
  <c r="O1121" i="6" a="1"/>
  <c r="O1121" i="6"/>
  <c r="M1121" i="6" a="1"/>
  <c r="M1121" i="6"/>
  <c r="J1121" i="6" a="1"/>
  <c r="J1121" i="6"/>
  <c r="G1121" i="6" a="1"/>
  <c r="G1121" i="6"/>
  <c r="F1121" i="6" a="1"/>
  <c r="F1121" i="6"/>
  <c r="E1121" i="6" a="1"/>
  <c r="E1121" i="6"/>
  <c r="D1121" i="6" a="1"/>
  <c r="D1121" i="6"/>
  <c r="C1121" i="6" a="1"/>
  <c r="C1121" i="6"/>
  <c r="N1120" i="6" a="1"/>
  <c r="N1120" i="6"/>
  <c r="S1120" i="6"/>
  <c r="R1120" i="6" a="1"/>
  <c r="R1120" i="6"/>
  <c r="Q1120" i="6" a="1"/>
  <c r="Q1120" i="6"/>
  <c r="O1120" i="6" a="1"/>
  <c r="O1120" i="6"/>
  <c r="M1120" i="6" a="1"/>
  <c r="M1120" i="6"/>
  <c r="J1120" i="6" a="1"/>
  <c r="J1120" i="6"/>
  <c r="G1120" i="6" a="1"/>
  <c r="G1120" i="6"/>
  <c r="F1120" i="6" a="1"/>
  <c r="F1120" i="6"/>
  <c r="E1120" i="6" a="1"/>
  <c r="E1120" i="6"/>
  <c r="D1120" i="6" a="1"/>
  <c r="D1120" i="6"/>
  <c r="C1120" i="6" a="1"/>
  <c r="C1120" i="6"/>
  <c r="N1119" i="6" a="1"/>
  <c r="N1119" i="6"/>
  <c r="S1119" i="6"/>
  <c r="R1119" i="6" a="1"/>
  <c r="R1119" i="6"/>
  <c r="Q1119" i="6" a="1"/>
  <c r="Q1119" i="6"/>
  <c r="O1119" i="6" a="1"/>
  <c r="O1119" i="6"/>
  <c r="M1119" i="6" a="1"/>
  <c r="M1119" i="6"/>
  <c r="J1119" i="6" a="1"/>
  <c r="J1119" i="6"/>
  <c r="G1119" i="6" a="1"/>
  <c r="G1119" i="6"/>
  <c r="F1119" i="6" a="1"/>
  <c r="F1119" i="6"/>
  <c r="E1119" i="6" a="1"/>
  <c r="E1119" i="6"/>
  <c r="D1119" i="6" a="1"/>
  <c r="D1119" i="6"/>
  <c r="C1119" i="6" a="1"/>
  <c r="C1119" i="6"/>
  <c r="N1118" i="6" a="1"/>
  <c r="N1118" i="6"/>
  <c r="S1118" i="6"/>
  <c r="R1118" i="6" a="1"/>
  <c r="R1118" i="6"/>
  <c r="Q1118" i="6" a="1"/>
  <c r="Q1118" i="6"/>
  <c r="O1118" i="6" a="1"/>
  <c r="O1118" i="6"/>
  <c r="M1118" i="6" a="1"/>
  <c r="M1118" i="6"/>
  <c r="J1118" i="6" a="1"/>
  <c r="J1118" i="6"/>
  <c r="G1118" i="6" a="1"/>
  <c r="G1118" i="6"/>
  <c r="F1118" i="6" a="1"/>
  <c r="F1118" i="6"/>
  <c r="E1118" i="6" a="1"/>
  <c r="E1118" i="6"/>
  <c r="D1118" i="6" a="1"/>
  <c r="D1118" i="6"/>
  <c r="C1118" i="6" a="1"/>
  <c r="C1118" i="6"/>
  <c r="N1117" i="6" a="1"/>
  <c r="N1117" i="6"/>
  <c r="S1117" i="6"/>
  <c r="R1117" i="6" a="1"/>
  <c r="R1117" i="6"/>
  <c r="Q1117" i="6" a="1"/>
  <c r="Q1117" i="6"/>
  <c r="O1117" i="6" a="1"/>
  <c r="O1117" i="6"/>
  <c r="M1117" i="6" a="1"/>
  <c r="M1117" i="6"/>
  <c r="J1117" i="6" a="1"/>
  <c r="J1117" i="6"/>
  <c r="G1117" i="6" a="1"/>
  <c r="G1117" i="6"/>
  <c r="F1117" i="6" a="1"/>
  <c r="F1117" i="6"/>
  <c r="E1117" i="6" a="1"/>
  <c r="E1117" i="6"/>
  <c r="D1117" i="6" a="1"/>
  <c r="D1117" i="6"/>
  <c r="C1117" i="6" a="1"/>
  <c r="C1117" i="6"/>
  <c r="N1116" i="6" a="1"/>
  <c r="N1116" i="6"/>
  <c r="S1116" i="6"/>
  <c r="R1116" i="6" a="1"/>
  <c r="R1116" i="6"/>
  <c r="Q1116" i="6" a="1"/>
  <c r="Q1116" i="6"/>
  <c r="O1116" i="6" a="1"/>
  <c r="O1116" i="6"/>
  <c r="M1116" i="6" a="1"/>
  <c r="M1116" i="6"/>
  <c r="J1116" i="6" a="1"/>
  <c r="J1116" i="6"/>
  <c r="G1116" i="6" a="1"/>
  <c r="G1116" i="6"/>
  <c r="F1116" i="6" a="1"/>
  <c r="F1116" i="6"/>
  <c r="E1116" i="6" a="1"/>
  <c r="E1116" i="6"/>
  <c r="D1116" i="6" a="1"/>
  <c r="D1116" i="6"/>
  <c r="C1116" i="6" a="1"/>
  <c r="C1116" i="6"/>
  <c r="N1115" i="6" a="1"/>
  <c r="N1115" i="6"/>
  <c r="S1115" i="6"/>
  <c r="R1115" i="6" a="1"/>
  <c r="R1115" i="6"/>
  <c r="Q1115" i="6" a="1"/>
  <c r="Q1115" i="6"/>
  <c r="O1115" i="6" a="1"/>
  <c r="O1115" i="6"/>
  <c r="M1115" i="6" a="1"/>
  <c r="M1115" i="6"/>
  <c r="J1115" i="6" a="1"/>
  <c r="J1115" i="6"/>
  <c r="G1115" i="6" a="1"/>
  <c r="G1115" i="6"/>
  <c r="F1115" i="6" a="1"/>
  <c r="F1115" i="6"/>
  <c r="E1115" i="6" a="1"/>
  <c r="E1115" i="6"/>
  <c r="D1115" i="6" a="1"/>
  <c r="D1115" i="6"/>
  <c r="C1115" i="6" a="1"/>
  <c r="C1115" i="6"/>
  <c r="N1114" i="6" a="1"/>
  <c r="N1114" i="6"/>
  <c r="S1114" i="6"/>
  <c r="R1114" i="6" a="1"/>
  <c r="R1114" i="6"/>
  <c r="Q1114" i="6" a="1"/>
  <c r="Q1114" i="6"/>
  <c r="O1114" i="6" a="1"/>
  <c r="O1114" i="6"/>
  <c r="M1114" i="6" a="1"/>
  <c r="M1114" i="6"/>
  <c r="J1114" i="6" a="1"/>
  <c r="J1114" i="6"/>
  <c r="G1114" i="6" a="1"/>
  <c r="G1114" i="6"/>
  <c r="F1114" i="6" a="1"/>
  <c r="F1114" i="6"/>
  <c r="E1114" i="6" a="1"/>
  <c r="E1114" i="6"/>
  <c r="D1114" i="6" a="1"/>
  <c r="D1114" i="6"/>
  <c r="C1114" i="6" a="1"/>
  <c r="C1114" i="6"/>
  <c r="N1113" i="6" a="1"/>
  <c r="N1113" i="6"/>
  <c r="S1113" i="6"/>
  <c r="R1113" i="6" a="1"/>
  <c r="R1113" i="6"/>
  <c r="Q1113" i="6" a="1"/>
  <c r="Q1113" i="6"/>
  <c r="O1113" i="6" a="1"/>
  <c r="O1113" i="6"/>
  <c r="M1113" i="6" a="1"/>
  <c r="M1113" i="6"/>
  <c r="J1113" i="6" a="1"/>
  <c r="J1113" i="6"/>
  <c r="G1113" i="6" a="1"/>
  <c r="G1113" i="6"/>
  <c r="F1113" i="6" a="1"/>
  <c r="F1113" i="6"/>
  <c r="E1113" i="6" a="1"/>
  <c r="E1113" i="6"/>
  <c r="D1113" i="6" a="1"/>
  <c r="D1113" i="6"/>
  <c r="C1113" i="6" a="1"/>
  <c r="C1113" i="6"/>
  <c r="N1112" i="6" a="1"/>
  <c r="N1112" i="6"/>
  <c r="S1112" i="6"/>
  <c r="R1112" i="6" a="1"/>
  <c r="R1112" i="6"/>
  <c r="Q1112" i="6" a="1"/>
  <c r="Q1112" i="6"/>
  <c r="O1112" i="6" a="1"/>
  <c r="O1112" i="6"/>
  <c r="M1112" i="6" a="1"/>
  <c r="M1112" i="6"/>
  <c r="J1112" i="6" a="1"/>
  <c r="J1112" i="6"/>
  <c r="G1112" i="6" a="1"/>
  <c r="G1112" i="6"/>
  <c r="F1112" i="6" a="1"/>
  <c r="F1112" i="6"/>
  <c r="E1112" i="6" a="1"/>
  <c r="E1112" i="6"/>
  <c r="D1112" i="6" a="1"/>
  <c r="D1112" i="6"/>
  <c r="C1112" i="6" a="1"/>
  <c r="C1112" i="6"/>
  <c r="N1111" i="6" a="1"/>
  <c r="N1111" i="6"/>
  <c r="S1111" i="6"/>
  <c r="R1111" i="6" a="1"/>
  <c r="R1111" i="6"/>
  <c r="Q1111" i="6" a="1"/>
  <c r="Q1111" i="6"/>
  <c r="O1111" i="6" a="1"/>
  <c r="O1111" i="6"/>
  <c r="M1111" i="6" a="1"/>
  <c r="M1111" i="6"/>
  <c r="J1111" i="6" a="1"/>
  <c r="J1111" i="6"/>
  <c r="G1111" i="6" a="1"/>
  <c r="G1111" i="6"/>
  <c r="F1111" i="6" a="1"/>
  <c r="F1111" i="6"/>
  <c r="E1111" i="6" a="1"/>
  <c r="E1111" i="6"/>
  <c r="D1111" i="6" a="1"/>
  <c r="D1111" i="6"/>
  <c r="C1111" i="6" a="1"/>
  <c r="C1111" i="6"/>
  <c r="N1110" i="6" a="1"/>
  <c r="N1110" i="6"/>
  <c r="S1110" i="6"/>
  <c r="R1110" i="6" a="1"/>
  <c r="R1110" i="6"/>
  <c r="Q1110" i="6" a="1"/>
  <c r="Q1110" i="6"/>
  <c r="O1110" i="6" a="1"/>
  <c r="O1110" i="6"/>
  <c r="M1110" i="6" a="1"/>
  <c r="M1110" i="6"/>
  <c r="J1110" i="6" a="1"/>
  <c r="J1110" i="6"/>
  <c r="G1110" i="6" a="1"/>
  <c r="G1110" i="6"/>
  <c r="F1110" i="6" a="1"/>
  <c r="F1110" i="6"/>
  <c r="E1110" i="6" a="1"/>
  <c r="E1110" i="6"/>
  <c r="D1110" i="6" a="1"/>
  <c r="D1110" i="6"/>
  <c r="C1110" i="6" a="1"/>
  <c r="C1110" i="6"/>
  <c r="N1109" i="6" a="1"/>
  <c r="N1109" i="6"/>
  <c r="S1109" i="6"/>
  <c r="R1109" i="6" a="1"/>
  <c r="R1109" i="6"/>
  <c r="Q1109" i="6" a="1"/>
  <c r="Q1109" i="6"/>
  <c r="O1109" i="6" a="1"/>
  <c r="O1109" i="6"/>
  <c r="M1109" i="6" a="1"/>
  <c r="M1109" i="6"/>
  <c r="J1109" i="6" a="1"/>
  <c r="J1109" i="6"/>
  <c r="G1109" i="6" a="1"/>
  <c r="G1109" i="6"/>
  <c r="F1109" i="6" a="1"/>
  <c r="F1109" i="6"/>
  <c r="E1109" i="6" a="1"/>
  <c r="E1109" i="6"/>
  <c r="D1109" i="6" a="1"/>
  <c r="D1109" i="6"/>
  <c r="C1109" i="6" a="1"/>
  <c r="C1109" i="6"/>
  <c r="N1108" i="6" a="1"/>
  <c r="N1108" i="6"/>
  <c r="S1108" i="6"/>
  <c r="R1108" i="6" a="1"/>
  <c r="R1108" i="6"/>
  <c r="Q1108" i="6" a="1"/>
  <c r="Q1108" i="6"/>
  <c r="O1108" i="6" a="1"/>
  <c r="O1108" i="6"/>
  <c r="M1108" i="6" a="1"/>
  <c r="M1108" i="6"/>
  <c r="J1108" i="6" a="1"/>
  <c r="J1108" i="6"/>
  <c r="G1108" i="6" a="1"/>
  <c r="G1108" i="6"/>
  <c r="F1108" i="6" a="1"/>
  <c r="F1108" i="6"/>
  <c r="E1108" i="6" a="1"/>
  <c r="E1108" i="6"/>
  <c r="D1108" i="6" a="1"/>
  <c r="D1108" i="6"/>
  <c r="C1108" i="6" a="1"/>
  <c r="C1108" i="6"/>
  <c r="N1107" i="6" a="1"/>
  <c r="N1107" i="6"/>
  <c r="S1107" i="6"/>
  <c r="R1107" i="6" a="1"/>
  <c r="R1107" i="6"/>
  <c r="Q1107" i="6" a="1"/>
  <c r="Q1107" i="6"/>
  <c r="O1107" i="6" a="1"/>
  <c r="O1107" i="6"/>
  <c r="M1107" i="6" a="1"/>
  <c r="M1107" i="6"/>
  <c r="J1107" i="6" a="1"/>
  <c r="J1107" i="6"/>
  <c r="G1107" i="6" a="1"/>
  <c r="G1107" i="6"/>
  <c r="F1107" i="6" a="1"/>
  <c r="F1107" i="6"/>
  <c r="E1107" i="6" a="1"/>
  <c r="E1107" i="6"/>
  <c r="D1107" i="6" a="1"/>
  <c r="D1107" i="6"/>
  <c r="C1107" i="6" a="1"/>
  <c r="C1107" i="6"/>
  <c r="N1106" i="6" a="1"/>
  <c r="N1106" i="6"/>
  <c r="S1106" i="6"/>
  <c r="R1106" i="6" a="1"/>
  <c r="R1106" i="6"/>
  <c r="Q1106" i="6" a="1"/>
  <c r="Q1106" i="6"/>
  <c r="O1106" i="6" a="1"/>
  <c r="O1106" i="6"/>
  <c r="M1106" i="6" a="1"/>
  <c r="M1106" i="6"/>
  <c r="J1106" i="6" a="1"/>
  <c r="J1106" i="6"/>
  <c r="G1106" i="6" a="1"/>
  <c r="G1106" i="6"/>
  <c r="F1106" i="6" a="1"/>
  <c r="F1106" i="6"/>
  <c r="E1106" i="6" a="1"/>
  <c r="E1106" i="6"/>
  <c r="D1106" i="6" a="1"/>
  <c r="D1106" i="6"/>
  <c r="C1106" i="6" a="1"/>
  <c r="C1106" i="6"/>
  <c r="N1105" i="6" a="1"/>
  <c r="N1105" i="6"/>
  <c r="S1105" i="6"/>
  <c r="R1105" i="6" a="1"/>
  <c r="R1105" i="6"/>
  <c r="Q1105" i="6" a="1"/>
  <c r="Q1105" i="6"/>
  <c r="O1105" i="6" a="1"/>
  <c r="O1105" i="6"/>
  <c r="M1105" i="6" a="1"/>
  <c r="M1105" i="6"/>
  <c r="J1105" i="6" a="1"/>
  <c r="J1105" i="6"/>
  <c r="G1105" i="6" a="1"/>
  <c r="G1105" i="6"/>
  <c r="F1105" i="6" a="1"/>
  <c r="F1105" i="6"/>
  <c r="E1105" i="6" a="1"/>
  <c r="E1105" i="6"/>
  <c r="D1105" i="6" a="1"/>
  <c r="D1105" i="6"/>
  <c r="C1105" i="6" a="1"/>
  <c r="C1105" i="6"/>
  <c r="N1104" i="6" a="1"/>
  <c r="N1104" i="6"/>
  <c r="S1104" i="6"/>
  <c r="R1104" i="6" a="1"/>
  <c r="R1104" i="6"/>
  <c r="Q1104" i="6" a="1"/>
  <c r="Q1104" i="6"/>
  <c r="O1104" i="6" a="1"/>
  <c r="O1104" i="6"/>
  <c r="M1104" i="6" a="1"/>
  <c r="M1104" i="6"/>
  <c r="J1104" i="6" a="1"/>
  <c r="J1104" i="6"/>
  <c r="G1104" i="6" a="1"/>
  <c r="G1104" i="6"/>
  <c r="F1104" i="6" a="1"/>
  <c r="F1104" i="6"/>
  <c r="E1104" i="6" a="1"/>
  <c r="E1104" i="6"/>
  <c r="D1104" i="6" a="1"/>
  <c r="D1104" i="6"/>
  <c r="C1104" i="6" a="1"/>
  <c r="C1104" i="6"/>
  <c r="N1103" i="6" a="1"/>
  <c r="N1103" i="6"/>
  <c r="S1103" i="6"/>
  <c r="R1103" i="6" a="1"/>
  <c r="R1103" i="6"/>
  <c r="Q1103" i="6" a="1"/>
  <c r="Q1103" i="6"/>
  <c r="O1103" i="6" a="1"/>
  <c r="O1103" i="6"/>
  <c r="M1103" i="6" a="1"/>
  <c r="M1103" i="6"/>
  <c r="J1103" i="6" a="1"/>
  <c r="J1103" i="6"/>
  <c r="G1103" i="6" a="1"/>
  <c r="G1103" i="6"/>
  <c r="F1103" i="6" a="1"/>
  <c r="F1103" i="6"/>
  <c r="E1103" i="6" a="1"/>
  <c r="E1103" i="6"/>
  <c r="D1103" i="6" a="1"/>
  <c r="D1103" i="6"/>
  <c r="C1103" i="6" a="1"/>
  <c r="C1103" i="6"/>
  <c r="N1102" i="6" a="1"/>
  <c r="N1102" i="6"/>
  <c r="S1102" i="6"/>
  <c r="R1102" i="6" a="1"/>
  <c r="R1102" i="6"/>
  <c r="Q1102" i="6" a="1"/>
  <c r="Q1102" i="6"/>
  <c r="O1102" i="6" a="1"/>
  <c r="O1102" i="6"/>
  <c r="M1102" i="6" a="1"/>
  <c r="M1102" i="6"/>
  <c r="J1102" i="6" a="1"/>
  <c r="J1102" i="6"/>
  <c r="G1102" i="6" a="1"/>
  <c r="G1102" i="6"/>
  <c r="F1102" i="6" a="1"/>
  <c r="F1102" i="6"/>
  <c r="E1102" i="6" a="1"/>
  <c r="E1102" i="6"/>
  <c r="D1102" i="6" a="1"/>
  <c r="D1102" i="6"/>
  <c r="C1102" i="6" a="1"/>
  <c r="C1102" i="6"/>
  <c r="N1101" i="6" a="1"/>
  <c r="N1101" i="6"/>
  <c r="S1101" i="6"/>
  <c r="R1101" i="6" a="1"/>
  <c r="R1101" i="6"/>
  <c r="Q1101" i="6" a="1"/>
  <c r="Q1101" i="6"/>
  <c r="O1101" i="6" a="1"/>
  <c r="O1101" i="6"/>
  <c r="M1101" i="6" a="1"/>
  <c r="M1101" i="6"/>
  <c r="J1101" i="6" a="1"/>
  <c r="J1101" i="6"/>
  <c r="G1101" i="6" a="1"/>
  <c r="G1101" i="6"/>
  <c r="F1101" i="6" a="1"/>
  <c r="F1101" i="6"/>
  <c r="E1101" i="6" a="1"/>
  <c r="E1101" i="6"/>
  <c r="D1101" i="6" a="1"/>
  <c r="D1101" i="6"/>
  <c r="C1101" i="6" a="1"/>
  <c r="C1101" i="6"/>
  <c r="N1100" i="6" a="1"/>
  <c r="N1100" i="6"/>
  <c r="S1100" i="6"/>
  <c r="R1100" i="6" a="1"/>
  <c r="R1100" i="6"/>
  <c r="Q1100" i="6" a="1"/>
  <c r="Q1100" i="6"/>
  <c r="O1100" i="6" a="1"/>
  <c r="O1100" i="6"/>
  <c r="M1100" i="6" a="1"/>
  <c r="M1100" i="6"/>
  <c r="J1100" i="6" a="1"/>
  <c r="J1100" i="6"/>
  <c r="G1100" i="6" a="1"/>
  <c r="G1100" i="6"/>
  <c r="F1100" i="6" a="1"/>
  <c r="F1100" i="6"/>
  <c r="E1100" i="6" a="1"/>
  <c r="E1100" i="6"/>
  <c r="D1100" i="6" a="1"/>
  <c r="D1100" i="6"/>
  <c r="C1100" i="6" a="1"/>
  <c r="C1100" i="6"/>
  <c r="N1099" i="6" a="1"/>
  <c r="N1099" i="6"/>
  <c r="S1099" i="6"/>
  <c r="R1099" i="6" a="1"/>
  <c r="R1099" i="6"/>
  <c r="Q1099" i="6" a="1"/>
  <c r="Q1099" i="6"/>
  <c r="O1099" i="6" a="1"/>
  <c r="O1099" i="6"/>
  <c r="M1099" i="6" a="1"/>
  <c r="M1099" i="6"/>
  <c r="J1099" i="6" a="1"/>
  <c r="J1099" i="6"/>
  <c r="G1099" i="6" a="1"/>
  <c r="G1099" i="6"/>
  <c r="F1099" i="6" a="1"/>
  <c r="F1099" i="6"/>
  <c r="E1099" i="6" a="1"/>
  <c r="E1099" i="6"/>
  <c r="D1099" i="6" a="1"/>
  <c r="D1099" i="6"/>
  <c r="C1099" i="6" a="1"/>
  <c r="C1099" i="6"/>
  <c r="N1098" i="6" a="1"/>
  <c r="N1098" i="6"/>
  <c r="S1098" i="6"/>
  <c r="R1098" i="6" a="1"/>
  <c r="R1098" i="6"/>
  <c r="Q1098" i="6" a="1"/>
  <c r="Q1098" i="6"/>
  <c r="O1098" i="6" a="1"/>
  <c r="O1098" i="6"/>
  <c r="M1098" i="6" a="1"/>
  <c r="M1098" i="6"/>
  <c r="J1098" i="6" a="1"/>
  <c r="J1098" i="6"/>
  <c r="G1098" i="6" a="1"/>
  <c r="G1098" i="6"/>
  <c r="F1098" i="6" a="1"/>
  <c r="F1098" i="6"/>
  <c r="E1098" i="6" a="1"/>
  <c r="E1098" i="6"/>
  <c r="D1098" i="6" a="1"/>
  <c r="D1098" i="6"/>
  <c r="C1098" i="6" a="1"/>
  <c r="C1098" i="6"/>
  <c r="N1097" i="6" a="1"/>
  <c r="N1097" i="6"/>
  <c r="S1097" i="6"/>
  <c r="R1097" i="6" a="1"/>
  <c r="R1097" i="6"/>
  <c r="Q1097" i="6" a="1"/>
  <c r="Q1097" i="6"/>
  <c r="O1097" i="6" a="1"/>
  <c r="O1097" i="6"/>
  <c r="M1097" i="6" a="1"/>
  <c r="M1097" i="6"/>
  <c r="J1097" i="6" a="1"/>
  <c r="J1097" i="6"/>
  <c r="G1097" i="6" a="1"/>
  <c r="G1097" i="6"/>
  <c r="F1097" i="6" a="1"/>
  <c r="F1097" i="6"/>
  <c r="E1097" i="6" a="1"/>
  <c r="E1097" i="6"/>
  <c r="D1097" i="6" a="1"/>
  <c r="D1097" i="6"/>
  <c r="C1097" i="6" a="1"/>
  <c r="C1097" i="6"/>
  <c r="N1096" i="6" a="1"/>
  <c r="N1096" i="6"/>
  <c r="S1096" i="6"/>
  <c r="R1096" i="6" a="1"/>
  <c r="R1096" i="6"/>
  <c r="Q1096" i="6" a="1"/>
  <c r="Q1096" i="6"/>
  <c r="O1096" i="6" a="1"/>
  <c r="O1096" i="6"/>
  <c r="M1096" i="6" a="1"/>
  <c r="M1096" i="6"/>
  <c r="J1096" i="6" a="1"/>
  <c r="J1096" i="6"/>
  <c r="G1096" i="6" a="1"/>
  <c r="G1096" i="6"/>
  <c r="F1096" i="6" a="1"/>
  <c r="F1096" i="6"/>
  <c r="E1096" i="6" a="1"/>
  <c r="E1096" i="6"/>
  <c r="D1096" i="6" a="1"/>
  <c r="D1096" i="6"/>
  <c r="C1096" i="6" a="1"/>
  <c r="C1096" i="6"/>
  <c r="N1095" i="6" a="1"/>
  <c r="N1095" i="6"/>
  <c r="S1095" i="6"/>
  <c r="R1095" i="6" a="1"/>
  <c r="R1095" i="6"/>
  <c r="Q1095" i="6" a="1"/>
  <c r="Q1095" i="6"/>
  <c r="O1095" i="6" a="1"/>
  <c r="O1095" i="6"/>
  <c r="M1095" i="6" a="1"/>
  <c r="M1095" i="6"/>
  <c r="J1095" i="6" a="1"/>
  <c r="J1095" i="6"/>
  <c r="G1095" i="6" a="1"/>
  <c r="G1095" i="6"/>
  <c r="F1095" i="6" a="1"/>
  <c r="F1095" i="6"/>
  <c r="E1095" i="6" a="1"/>
  <c r="E1095" i="6"/>
  <c r="D1095" i="6" a="1"/>
  <c r="D1095" i="6"/>
  <c r="C1095" i="6" a="1"/>
  <c r="C1095" i="6"/>
  <c r="N1094" i="6" a="1"/>
  <c r="N1094" i="6"/>
  <c r="S1094" i="6"/>
  <c r="R1094" i="6" a="1"/>
  <c r="R1094" i="6"/>
  <c r="Q1094" i="6" a="1"/>
  <c r="Q1094" i="6"/>
  <c r="O1094" i="6" a="1"/>
  <c r="O1094" i="6"/>
  <c r="M1094" i="6" a="1"/>
  <c r="M1094" i="6"/>
  <c r="J1094" i="6" a="1"/>
  <c r="J1094" i="6"/>
  <c r="G1094" i="6" a="1"/>
  <c r="G1094" i="6"/>
  <c r="F1094" i="6" a="1"/>
  <c r="F1094" i="6"/>
  <c r="E1094" i="6" a="1"/>
  <c r="E1094" i="6"/>
  <c r="D1094" i="6" a="1"/>
  <c r="D1094" i="6"/>
  <c r="C1094" i="6" a="1"/>
  <c r="C1094" i="6"/>
  <c r="N1093" i="6" a="1"/>
  <c r="N1093" i="6"/>
  <c r="S1093" i="6"/>
  <c r="R1093" i="6" a="1"/>
  <c r="R1093" i="6"/>
  <c r="Q1093" i="6" a="1"/>
  <c r="Q1093" i="6"/>
  <c r="O1093" i="6" a="1"/>
  <c r="O1093" i="6"/>
  <c r="M1093" i="6" a="1"/>
  <c r="M1093" i="6"/>
  <c r="J1093" i="6" a="1"/>
  <c r="J1093" i="6"/>
  <c r="G1093" i="6" a="1"/>
  <c r="G1093" i="6"/>
  <c r="F1093" i="6" a="1"/>
  <c r="F1093" i="6"/>
  <c r="E1093" i="6" a="1"/>
  <c r="E1093" i="6"/>
  <c r="D1093" i="6" a="1"/>
  <c r="D1093" i="6"/>
  <c r="C1093" i="6" a="1"/>
  <c r="C1093" i="6"/>
  <c r="N1092" i="6" a="1"/>
  <c r="N1092" i="6"/>
  <c r="S1092" i="6"/>
  <c r="R1092" i="6" a="1"/>
  <c r="R1092" i="6"/>
  <c r="Q1092" i="6" a="1"/>
  <c r="Q1092" i="6"/>
  <c r="O1092" i="6" a="1"/>
  <c r="O1092" i="6"/>
  <c r="M1092" i="6" a="1"/>
  <c r="M1092" i="6"/>
  <c r="J1092" i="6" a="1"/>
  <c r="J1092" i="6"/>
  <c r="G1092" i="6" a="1"/>
  <c r="G1092" i="6"/>
  <c r="F1092" i="6" a="1"/>
  <c r="F1092" i="6"/>
  <c r="E1092" i="6" a="1"/>
  <c r="E1092" i="6"/>
  <c r="D1092" i="6" a="1"/>
  <c r="D1092" i="6"/>
  <c r="C1092" i="6" a="1"/>
  <c r="C1092" i="6"/>
  <c r="N1091" i="6" a="1"/>
  <c r="N1091" i="6"/>
  <c r="S1091" i="6"/>
  <c r="R1091" i="6" a="1"/>
  <c r="R1091" i="6"/>
  <c r="Q1091" i="6" a="1"/>
  <c r="Q1091" i="6"/>
  <c r="O1091" i="6" a="1"/>
  <c r="O1091" i="6"/>
  <c r="M1091" i="6" a="1"/>
  <c r="M1091" i="6"/>
  <c r="J1091" i="6" a="1"/>
  <c r="J1091" i="6"/>
  <c r="G1091" i="6" a="1"/>
  <c r="G1091" i="6"/>
  <c r="F1091" i="6" a="1"/>
  <c r="F1091" i="6"/>
  <c r="E1091" i="6" a="1"/>
  <c r="E1091" i="6"/>
  <c r="D1091" i="6" a="1"/>
  <c r="D1091" i="6"/>
  <c r="C1091" i="6" a="1"/>
  <c r="C1091" i="6"/>
  <c r="N1090" i="6" a="1"/>
  <c r="N1090" i="6"/>
  <c r="S1090" i="6"/>
  <c r="R1090" i="6" a="1"/>
  <c r="R1090" i="6"/>
  <c r="Q1090" i="6" a="1"/>
  <c r="Q1090" i="6"/>
  <c r="O1090" i="6" a="1"/>
  <c r="O1090" i="6"/>
  <c r="M1090" i="6" a="1"/>
  <c r="M1090" i="6"/>
  <c r="J1090" i="6" a="1"/>
  <c r="J1090" i="6"/>
  <c r="G1090" i="6" a="1"/>
  <c r="G1090" i="6"/>
  <c r="F1090" i="6" a="1"/>
  <c r="F1090" i="6"/>
  <c r="E1090" i="6" a="1"/>
  <c r="E1090" i="6"/>
  <c r="D1090" i="6" a="1"/>
  <c r="D1090" i="6"/>
  <c r="C1090" i="6" a="1"/>
  <c r="C1090" i="6"/>
  <c r="N1089" i="6" a="1"/>
  <c r="N1089" i="6"/>
  <c r="S1089" i="6"/>
  <c r="R1089" i="6" a="1"/>
  <c r="R1089" i="6"/>
  <c r="Q1089" i="6" a="1"/>
  <c r="Q1089" i="6"/>
  <c r="O1089" i="6" a="1"/>
  <c r="O1089" i="6"/>
  <c r="M1089" i="6" a="1"/>
  <c r="M1089" i="6"/>
  <c r="J1089" i="6" a="1"/>
  <c r="J1089" i="6"/>
  <c r="G1089" i="6" a="1"/>
  <c r="G1089" i="6"/>
  <c r="F1089" i="6" a="1"/>
  <c r="F1089" i="6"/>
  <c r="E1089" i="6" a="1"/>
  <c r="E1089" i="6"/>
  <c r="D1089" i="6" a="1"/>
  <c r="D1089" i="6"/>
  <c r="C1089" i="6" a="1"/>
  <c r="C1089" i="6"/>
  <c r="N1088" i="6" a="1"/>
  <c r="N1088" i="6"/>
  <c r="S1088" i="6"/>
  <c r="R1088" i="6" a="1"/>
  <c r="R1088" i="6"/>
  <c r="Q1088" i="6" a="1"/>
  <c r="Q1088" i="6"/>
  <c r="O1088" i="6" a="1"/>
  <c r="O1088" i="6"/>
  <c r="M1088" i="6" a="1"/>
  <c r="M1088" i="6"/>
  <c r="J1088" i="6" a="1"/>
  <c r="J1088" i="6"/>
  <c r="G1088" i="6" a="1"/>
  <c r="G1088" i="6"/>
  <c r="F1088" i="6" a="1"/>
  <c r="F1088" i="6"/>
  <c r="E1088" i="6" a="1"/>
  <c r="E1088" i="6"/>
  <c r="D1088" i="6" a="1"/>
  <c r="D1088" i="6"/>
  <c r="C1088" i="6" a="1"/>
  <c r="C1088" i="6"/>
  <c r="N1087" i="6" a="1"/>
  <c r="N1087" i="6"/>
  <c r="S1087" i="6"/>
  <c r="R1087" i="6" a="1"/>
  <c r="R1087" i="6"/>
  <c r="Q1087" i="6" a="1"/>
  <c r="Q1087" i="6"/>
  <c r="O1087" i="6" a="1"/>
  <c r="O1087" i="6"/>
  <c r="M1087" i="6" a="1"/>
  <c r="M1087" i="6"/>
  <c r="J1087" i="6" a="1"/>
  <c r="J1087" i="6"/>
  <c r="G1087" i="6" a="1"/>
  <c r="G1087" i="6"/>
  <c r="F1087" i="6" a="1"/>
  <c r="F1087" i="6"/>
  <c r="E1087" i="6" a="1"/>
  <c r="E1087" i="6"/>
  <c r="D1087" i="6" a="1"/>
  <c r="D1087" i="6"/>
  <c r="C1087" i="6" a="1"/>
  <c r="C1087" i="6"/>
  <c r="N1086" i="6" a="1"/>
  <c r="N1086" i="6"/>
  <c r="S1086" i="6"/>
  <c r="R1086" i="6" a="1"/>
  <c r="R1086" i="6"/>
  <c r="Q1086" i="6" a="1"/>
  <c r="Q1086" i="6"/>
  <c r="O1086" i="6" a="1"/>
  <c r="O1086" i="6"/>
  <c r="M1086" i="6" a="1"/>
  <c r="M1086" i="6"/>
  <c r="J1086" i="6" a="1"/>
  <c r="J1086" i="6"/>
  <c r="G1086" i="6" a="1"/>
  <c r="G1086" i="6"/>
  <c r="F1086" i="6" a="1"/>
  <c r="F1086" i="6"/>
  <c r="E1086" i="6" a="1"/>
  <c r="E1086" i="6"/>
  <c r="D1086" i="6" a="1"/>
  <c r="D1086" i="6"/>
  <c r="C1086" i="6" a="1"/>
  <c r="C1086" i="6"/>
  <c r="N1085" i="6" a="1"/>
  <c r="N1085" i="6"/>
  <c r="S1085" i="6"/>
  <c r="R1085" i="6" a="1"/>
  <c r="R1085" i="6"/>
  <c r="Q1085" i="6" a="1"/>
  <c r="Q1085" i="6"/>
  <c r="O1085" i="6" a="1"/>
  <c r="O1085" i="6"/>
  <c r="M1085" i="6" a="1"/>
  <c r="M1085" i="6"/>
  <c r="J1085" i="6" a="1"/>
  <c r="J1085" i="6"/>
  <c r="G1085" i="6" a="1"/>
  <c r="G1085" i="6"/>
  <c r="F1085" i="6" a="1"/>
  <c r="F1085" i="6"/>
  <c r="E1085" i="6" a="1"/>
  <c r="E1085" i="6"/>
  <c r="D1085" i="6" a="1"/>
  <c r="D1085" i="6"/>
  <c r="C1085" i="6" a="1"/>
  <c r="C1085" i="6"/>
  <c r="N1084" i="6" a="1"/>
  <c r="N1084" i="6"/>
  <c r="S1084" i="6"/>
  <c r="R1084" i="6" a="1"/>
  <c r="R1084" i="6"/>
  <c r="Q1084" i="6" a="1"/>
  <c r="Q1084" i="6"/>
  <c r="O1084" i="6" a="1"/>
  <c r="O1084" i="6"/>
  <c r="M1084" i="6" a="1"/>
  <c r="M1084" i="6"/>
  <c r="J1084" i="6" a="1"/>
  <c r="J1084" i="6"/>
  <c r="G1084" i="6" a="1"/>
  <c r="G1084" i="6"/>
  <c r="F1084" i="6" a="1"/>
  <c r="F1084" i="6"/>
  <c r="E1084" i="6" a="1"/>
  <c r="E1084" i="6"/>
  <c r="D1084" i="6" a="1"/>
  <c r="D1084" i="6"/>
  <c r="C1084" i="6" a="1"/>
  <c r="C1084" i="6"/>
  <c r="N1083" i="6" a="1"/>
  <c r="N1083" i="6"/>
  <c r="S1083" i="6"/>
  <c r="R1083" i="6" a="1"/>
  <c r="R1083" i="6"/>
  <c r="Q1083" i="6" a="1"/>
  <c r="Q1083" i="6"/>
  <c r="O1083" i="6" a="1"/>
  <c r="O1083" i="6"/>
  <c r="M1083" i="6" a="1"/>
  <c r="M1083" i="6"/>
  <c r="J1083" i="6" a="1"/>
  <c r="J1083" i="6"/>
  <c r="G1083" i="6" a="1"/>
  <c r="G1083" i="6"/>
  <c r="F1083" i="6" a="1"/>
  <c r="F1083" i="6"/>
  <c r="E1083" i="6" a="1"/>
  <c r="E1083" i="6"/>
  <c r="D1083" i="6" a="1"/>
  <c r="D1083" i="6"/>
  <c r="C1083" i="6" a="1"/>
  <c r="C1083" i="6"/>
  <c r="N1082" i="6" a="1"/>
  <c r="N1082" i="6"/>
  <c r="S1082" i="6"/>
  <c r="R1082" i="6" a="1"/>
  <c r="R1082" i="6"/>
  <c r="Q1082" i="6" a="1"/>
  <c r="Q1082" i="6"/>
  <c r="O1082" i="6" a="1"/>
  <c r="O1082" i="6"/>
  <c r="M1082" i="6" a="1"/>
  <c r="M1082" i="6"/>
  <c r="J1082" i="6" a="1"/>
  <c r="J1082" i="6"/>
  <c r="G1082" i="6" a="1"/>
  <c r="G1082" i="6"/>
  <c r="F1082" i="6" a="1"/>
  <c r="F1082" i="6"/>
  <c r="E1082" i="6" a="1"/>
  <c r="E1082" i="6"/>
  <c r="D1082" i="6" a="1"/>
  <c r="D1082" i="6"/>
  <c r="C1082" i="6" a="1"/>
  <c r="C1082" i="6"/>
  <c r="N1081" i="6" a="1"/>
  <c r="N1081" i="6"/>
  <c r="S1081" i="6"/>
  <c r="R1081" i="6" a="1"/>
  <c r="R1081" i="6"/>
  <c r="Q1081" i="6" a="1"/>
  <c r="Q1081" i="6"/>
  <c r="O1081" i="6" a="1"/>
  <c r="O1081" i="6"/>
  <c r="M1081" i="6" a="1"/>
  <c r="M1081" i="6"/>
  <c r="J1081" i="6" a="1"/>
  <c r="J1081" i="6"/>
  <c r="G1081" i="6" a="1"/>
  <c r="G1081" i="6"/>
  <c r="F1081" i="6" a="1"/>
  <c r="F1081" i="6"/>
  <c r="E1081" i="6" a="1"/>
  <c r="E1081" i="6"/>
  <c r="D1081" i="6" a="1"/>
  <c r="D1081" i="6"/>
  <c r="C1081" i="6" a="1"/>
  <c r="C1081" i="6"/>
  <c r="N1080" i="6" a="1"/>
  <c r="N1080" i="6"/>
  <c r="S1080" i="6"/>
  <c r="R1080" i="6" a="1"/>
  <c r="R1080" i="6"/>
  <c r="Q1080" i="6" a="1"/>
  <c r="Q1080" i="6"/>
  <c r="O1080" i="6" a="1"/>
  <c r="O1080" i="6"/>
  <c r="M1080" i="6" a="1"/>
  <c r="M1080" i="6"/>
  <c r="J1080" i="6" a="1"/>
  <c r="J1080" i="6"/>
  <c r="G1080" i="6" a="1"/>
  <c r="G1080" i="6"/>
  <c r="F1080" i="6" a="1"/>
  <c r="F1080" i="6"/>
  <c r="E1080" i="6" a="1"/>
  <c r="E1080" i="6"/>
  <c r="D1080" i="6" a="1"/>
  <c r="D1080" i="6"/>
  <c r="C1080" i="6" a="1"/>
  <c r="C1080" i="6"/>
  <c r="N1079" i="6" a="1"/>
  <c r="N1079" i="6"/>
  <c r="S1079" i="6"/>
  <c r="R1079" i="6" a="1"/>
  <c r="R1079" i="6"/>
  <c r="Q1079" i="6" a="1"/>
  <c r="Q1079" i="6"/>
  <c r="O1079" i="6" a="1"/>
  <c r="O1079" i="6"/>
  <c r="M1079" i="6" a="1"/>
  <c r="M1079" i="6"/>
  <c r="J1079" i="6" a="1"/>
  <c r="J1079" i="6"/>
  <c r="G1079" i="6" a="1"/>
  <c r="G1079" i="6"/>
  <c r="F1079" i="6" a="1"/>
  <c r="F1079" i="6"/>
  <c r="E1079" i="6" a="1"/>
  <c r="E1079" i="6"/>
  <c r="D1079" i="6" a="1"/>
  <c r="D1079" i="6"/>
  <c r="C1079" i="6" a="1"/>
  <c r="C1079" i="6"/>
  <c r="N1078" i="6" a="1"/>
  <c r="N1078" i="6"/>
  <c r="S1078" i="6"/>
  <c r="R1078" i="6" a="1"/>
  <c r="R1078" i="6"/>
  <c r="Q1078" i="6" a="1"/>
  <c r="Q1078" i="6"/>
  <c r="O1078" i="6" a="1"/>
  <c r="O1078" i="6"/>
  <c r="M1078" i="6" a="1"/>
  <c r="M1078" i="6"/>
  <c r="J1078" i="6" a="1"/>
  <c r="J1078" i="6"/>
  <c r="G1078" i="6" a="1"/>
  <c r="G1078" i="6"/>
  <c r="F1078" i="6" a="1"/>
  <c r="F1078" i="6"/>
  <c r="E1078" i="6" a="1"/>
  <c r="E1078" i="6"/>
  <c r="D1078" i="6" a="1"/>
  <c r="D1078" i="6"/>
  <c r="C1078" i="6" a="1"/>
  <c r="C1078" i="6"/>
  <c r="N1077" i="6" a="1"/>
  <c r="N1077" i="6"/>
  <c r="S1077" i="6"/>
  <c r="R1077" i="6" a="1"/>
  <c r="R1077" i="6"/>
  <c r="Q1077" i="6" a="1"/>
  <c r="Q1077" i="6"/>
  <c r="O1077" i="6" a="1"/>
  <c r="O1077" i="6"/>
  <c r="M1077" i="6" a="1"/>
  <c r="M1077" i="6"/>
  <c r="J1077" i="6" a="1"/>
  <c r="J1077" i="6"/>
  <c r="G1077" i="6" a="1"/>
  <c r="G1077" i="6"/>
  <c r="F1077" i="6" a="1"/>
  <c r="F1077" i="6"/>
  <c r="E1077" i="6" a="1"/>
  <c r="E1077" i="6"/>
  <c r="D1077" i="6" a="1"/>
  <c r="D1077" i="6"/>
  <c r="C1077" i="6" a="1"/>
  <c r="C1077" i="6"/>
  <c r="N1076" i="6" a="1"/>
  <c r="N1076" i="6"/>
  <c r="S1076" i="6"/>
  <c r="R1076" i="6" a="1"/>
  <c r="R1076" i="6"/>
  <c r="Q1076" i="6" a="1"/>
  <c r="Q1076" i="6"/>
  <c r="O1076" i="6" a="1"/>
  <c r="O1076" i="6"/>
  <c r="M1076" i="6" a="1"/>
  <c r="M1076" i="6"/>
  <c r="J1076" i="6" a="1"/>
  <c r="J1076" i="6"/>
  <c r="G1076" i="6" a="1"/>
  <c r="G1076" i="6"/>
  <c r="F1076" i="6" a="1"/>
  <c r="F1076" i="6"/>
  <c r="E1076" i="6" a="1"/>
  <c r="E1076" i="6"/>
  <c r="D1076" i="6" a="1"/>
  <c r="D1076" i="6"/>
  <c r="C1076" i="6" a="1"/>
  <c r="C1076" i="6"/>
  <c r="N1075" i="6" a="1"/>
  <c r="N1075" i="6"/>
  <c r="S1075" i="6"/>
  <c r="R1075" i="6" a="1"/>
  <c r="R1075" i="6"/>
  <c r="Q1075" i="6" a="1"/>
  <c r="Q1075" i="6"/>
  <c r="O1075" i="6" a="1"/>
  <c r="O1075" i="6"/>
  <c r="M1075" i="6" a="1"/>
  <c r="M1075" i="6"/>
  <c r="J1075" i="6" a="1"/>
  <c r="J1075" i="6"/>
  <c r="G1075" i="6" a="1"/>
  <c r="G1075" i="6"/>
  <c r="F1075" i="6" a="1"/>
  <c r="F1075" i="6"/>
  <c r="E1075" i="6" a="1"/>
  <c r="E1075" i="6"/>
  <c r="D1075" i="6" a="1"/>
  <c r="D1075" i="6"/>
  <c r="C1075" i="6" a="1"/>
  <c r="C1075" i="6"/>
  <c r="N1074" i="6" a="1"/>
  <c r="N1074" i="6"/>
  <c r="S1074" i="6"/>
  <c r="R1074" i="6" a="1"/>
  <c r="R1074" i="6"/>
  <c r="Q1074" i="6" a="1"/>
  <c r="Q1074" i="6"/>
  <c r="O1074" i="6" a="1"/>
  <c r="O1074" i="6"/>
  <c r="M1074" i="6" a="1"/>
  <c r="M1074" i="6"/>
  <c r="J1074" i="6" a="1"/>
  <c r="J1074" i="6"/>
  <c r="G1074" i="6" a="1"/>
  <c r="G1074" i="6"/>
  <c r="F1074" i="6" a="1"/>
  <c r="F1074" i="6"/>
  <c r="E1074" i="6" a="1"/>
  <c r="E1074" i="6"/>
  <c r="D1074" i="6" a="1"/>
  <c r="D1074" i="6"/>
  <c r="C1074" i="6" a="1"/>
  <c r="C1074" i="6"/>
  <c r="N1073" i="6" a="1"/>
  <c r="N1073" i="6"/>
  <c r="S1073" i="6"/>
  <c r="R1073" i="6" a="1"/>
  <c r="R1073" i="6"/>
  <c r="Q1073" i="6" a="1"/>
  <c r="Q1073" i="6"/>
  <c r="O1073" i="6" a="1"/>
  <c r="O1073" i="6"/>
  <c r="M1073" i="6" a="1"/>
  <c r="M1073" i="6"/>
  <c r="J1073" i="6" a="1"/>
  <c r="J1073" i="6"/>
  <c r="G1073" i="6" a="1"/>
  <c r="G1073" i="6"/>
  <c r="F1073" i="6" a="1"/>
  <c r="F1073" i="6"/>
  <c r="E1073" i="6" a="1"/>
  <c r="E1073" i="6"/>
  <c r="D1073" i="6" a="1"/>
  <c r="D1073" i="6"/>
  <c r="C1073" i="6" a="1"/>
  <c r="C1073" i="6"/>
  <c r="N1072" i="6" a="1"/>
  <c r="N1072" i="6"/>
  <c r="S1072" i="6"/>
  <c r="R1072" i="6" a="1"/>
  <c r="R1072" i="6"/>
  <c r="Q1072" i="6" a="1"/>
  <c r="Q1072" i="6"/>
  <c r="O1072" i="6" a="1"/>
  <c r="O1072" i="6"/>
  <c r="M1072" i="6" a="1"/>
  <c r="M1072" i="6"/>
  <c r="J1072" i="6" a="1"/>
  <c r="J1072" i="6"/>
  <c r="G1072" i="6" a="1"/>
  <c r="G1072" i="6"/>
  <c r="F1072" i="6" a="1"/>
  <c r="F1072" i="6"/>
  <c r="E1072" i="6" a="1"/>
  <c r="E1072" i="6"/>
  <c r="D1072" i="6" a="1"/>
  <c r="D1072" i="6"/>
  <c r="C1072" i="6" a="1"/>
  <c r="C1072" i="6"/>
  <c r="N1071" i="6" a="1"/>
  <c r="N1071" i="6"/>
  <c r="S1071" i="6"/>
  <c r="R1071" i="6" a="1"/>
  <c r="R1071" i="6"/>
  <c r="Q1071" i="6" a="1"/>
  <c r="Q1071" i="6"/>
  <c r="O1071" i="6" a="1"/>
  <c r="O1071" i="6"/>
  <c r="M1071" i="6" a="1"/>
  <c r="M1071" i="6"/>
  <c r="J1071" i="6" a="1"/>
  <c r="J1071" i="6"/>
  <c r="G1071" i="6" a="1"/>
  <c r="G1071" i="6"/>
  <c r="F1071" i="6" a="1"/>
  <c r="F1071" i="6"/>
  <c r="E1071" i="6" a="1"/>
  <c r="E1071" i="6"/>
  <c r="D1071" i="6" a="1"/>
  <c r="D1071" i="6"/>
  <c r="C1071" i="6" a="1"/>
  <c r="C1071" i="6"/>
  <c r="N1070" i="6" a="1"/>
  <c r="N1070" i="6"/>
  <c r="S1070" i="6"/>
  <c r="R1070" i="6" a="1"/>
  <c r="R1070" i="6"/>
  <c r="Q1070" i="6" a="1"/>
  <c r="Q1070" i="6"/>
  <c r="O1070" i="6" a="1"/>
  <c r="O1070" i="6"/>
  <c r="M1070" i="6" a="1"/>
  <c r="M1070" i="6"/>
  <c r="J1070" i="6" a="1"/>
  <c r="J1070" i="6"/>
  <c r="G1070" i="6" a="1"/>
  <c r="G1070" i="6"/>
  <c r="F1070" i="6" a="1"/>
  <c r="F1070" i="6"/>
  <c r="E1070" i="6" a="1"/>
  <c r="E1070" i="6"/>
  <c r="D1070" i="6" a="1"/>
  <c r="D1070" i="6"/>
  <c r="C1070" i="6" a="1"/>
  <c r="C1070" i="6"/>
  <c r="N1069" i="6" a="1"/>
  <c r="N1069" i="6"/>
  <c r="S1069" i="6"/>
  <c r="R1069" i="6" a="1"/>
  <c r="R1069" i="6"/>
  <c r="Q1069" i="6" a="1"/>
  <c r="Q1069" i="6"/>
  <c r="O1069" i="6" a="1"/>
  <c r="O1069" i="6"/>
  <c r="M1069" i="6" a="1"/>
  <c r="M1069" i="6"/>
  <c r="J1069" i="6" a="1"/>
  <c r="J1069" i="6"/>
  <c r="G1069" i="6" a="1"/>
  <c r="G1069" i="6"/>
  <c r="F1069" i="6" a="1"/>
  <c r="F1069" i="6"/>
  <c r="E1069" i="6" a="1"/>
  <c r="E1069" i="6"/>
  <c r="D1069" i="6" a="1"/>
  <c r="D1069" i="6"/>
  <c r="C1069" i="6" a="1"/>
  <c r="C1069" i="6"/>
  <c r="N1068" i="6" a="1"/>
  <c r="N1068" i="6"/>
  <c r="S1068" i="6"/>
  <c r="R1068" i="6" a="1"/>
  <c r="R1068" i="6"/>
  <c r="Q1068" i="6" a="1"/>
  <c r="Q1068" i="6"/>
  <c r="O1068" i="6" a="1"/>
  <c r="O1068" i="6"/>
  <c r="M1068" i="6" a="1"/>
  <c r="M1068" i="6"/>
  <c r="J1068" i="6" a="1"/>
  <c r="J1068" i="6"/>
  <c r="G1068" i="6" a="1"/>
  <c r="G1068" i="6"/>
  <c r="F1068" i="6" a="1"/>
  <c r="F1068" i="6"/>
  <c r="E1068" i="6" a="1"/>
  <c r="E1068" i="6"/>
  <c r="D1068" i="6" a="1"/>
  <c r="D1068" i="6"/>
  <c r="C1068" i="6" a="1"/>
  <c r="C1068" i="6"/>
  <c r="N1067" i="6" a="1"/>
  <c r="N1067" i="6"/>
  <c r="S1067" i="6"/>
  <c r="R1067" i="6" a="1"/>
  <c r="R1067" i="6"/>
  <c r="Q1067" i="6" a="1"/>
  <c r="Q1067" i="6"/>
  <c r="O1067" i="6" a="1"/>
  <c r="O1067" i="6"/>
  <c r="M1067" i="6" a="1"/>
  <c r="M1067" i="6"/>
  <c r="J1067" i="6" a="1"/>
  <c r="J1067" i="6"/>
  <c r="G1067" i="6" a="1"/>
  <c r="G1067" i="6"/>
  <c r="F1067" i="6" a="1"/>
  <c r="F1067" i="6"/>
  <c r="E1067" i="6" a="1"/>
  <c r="E1067" i="6"/>
  <c r="D1067" i="6" a="1"/>
  <c r="D1067" i="6"/>
  <c r="C1067" i="6" a="1"/>
  <c r="C1067" i="6"/>
  <c r="N1066" i="6" a="1"/>
  <c r="N1066" i="6"/>
  <c r="S1066" i="6"/>
  <c r="R1066" i="6" a="1"/>
  <c r="R1066" i="6"/>
  <c r="Q1066" i="6" a="1"/>
  <c r="Q1066" i="6"/>
  <c r="O1066" i="6" a="1"/>
  <c r="O1066" i="6"/>
  <c r="M1066" i="6" a="1"/>
  <c r="M1066" i="6"/>
  <c r="J1066" i="6" a="1"/>
  <c r="J1066" i="6"/>
  <c r="G1066" i="6" a="1"/>
  <c r="G1066" i="6"/>
  <c r="F1066" i="6" a="1"/>
  <c r="F1066" i="6"/>
  <c r="E1066" i="6" a="1"/>
  <c r="E1066" i="6"/>
  <c r="D1066" i="6" a="1"/>
  <c r="D1066" i="6"/>
  <c r="C1066" i="6" a="1"/>
  <c r="C1066" i="6"/>
  <c r="N1065" i="6" a="1"/>
  <c r="N1065" i="6"/>
  <c r="S1065" i="6"/>
  <c r="R1065" i="6" a="1"/>
  <c r="R1065" i="6"/>
  <c r="Q1065" i="6" a="1"/>
  <c r="Q1065" i="6"/>
  <c r="O1065" i="6" a="1"/>
  <c r="O1065" i="6"/>
  <c r="M1065" i="6" a="1"/>
  <c r="M1065" i="6"/>
  <c r="J1065" i="6" a="1"/>
  <c r="J1065" i="6"/>
  <c r="G1065" i="6" a="1"/>
  <c r="G1065" i="6"/>
  <c r="F1065" i="6" a="1"/>
  <c r="F1065" i="6"/>
  <c r="E1065" i="6" a="1"/>
  <c r="E1065" i="6"/>
  <c r="D1065" i="6" a="1"/>
  <c r="D1065" i="6"/>
  <c r="C1065" i="6" a="1"/>
  <c r="C1065" i="6"/>
  <c r="N1064" i="6" a="1"/>
  <c r="N1064" i="6"/>
  <c r="S1064" i="6"/>
  <c r="R1064" i="6" a="1"/>
  <c r="R1064" i="6"/>
  <c r="Q1064" i="6" a="1"/>
  <c r="Q1064" i="6"/>
  <c r="O1064" i="6" a="1"/>
  <c r="O1064" i="6"/>
  <c r="M1064" i="6" a="1"/>
  <c r="M1064" i="6"/>
  <c r="J1064" i="6" a="1"/>
  <c r="J1064" i="6"/>
  <c r="G1064" i="6" a="1"/>
  <c r="G1064" i="6"/>
  <c r="F1064" i="6" a="1"/>
  <c r="F1064" i="6"/>
  <c r="E1064" i="6" a="1"/>
  <c r="E1064" i="6"/>
  <c r="D1064" i="6" a="1"/>
  <c r="D1064" i="6"/>
  <c r="C1064" i="6" a="1"/>
  <c r="C1064" i="6"/>
  <c r="N1063" i="6" a="1"/>
  <c r="N1063" i="6"/>
  <c r="S1063" i="6"/>
  <c r="R1063" i="6" a="1"/>
  <c r="R1063" i="6"/>
  <c r="Q1063" i="6" a="1"/>
  <c r="Q1063" i="6"/>
  <c r="O1063" i="6" a="1"/>
  <c r="O1063" i="6"/>
  <c r="M1063" i="6" a="1"/>
  <c r="M1063" i="6"/>
  <c r="J1063" i="6" a="1"/>
  <c r="J1063" i="6"/>
  <c r="G1063" i="6" a="1"/>
  <c r="G1063" i="6"/>
  <c r="F1063" i="6" a="1"/>
  <c r="F1063" i="6"/>
  <c r="E1063" i="6" a="1"/>
  <c r="E1063" i="6"/>
  <c r="D1063" i="6" a="1"/>
  <c r="D1063" i="6"/>
  <c r="C1063" i="6" a="1"/>
  <c r="C1063" i="6"/>
  <c r="N1062" i="6" a="1"/>
  <c r="N1062" i="6"/>
  <c r="S1062" i="6"/>
  <c r="R1062" i="6" a="1"/>
  <c r="R1062" i="6"/>
  <c r="Q1062" i="6" a="1"/>
  <c r="Q1062" i="6"/>
  <c r="O1062" i="6" a="1"/>
  <c r="O1062" i="6"/>
  <c r="M1062" i="6" a="1"/>
  <c r="M1062" i="6"/>
  <c r="J1062" i="6" a="1"/>
  <c r="J1062" i="6"/>
  <c r="G1062" i="6" a="1"/>
  <c r="G1062" i="6"/>
  <c r="F1062" i="6" a="1"/>
  <c r="F1062" i="6"/>
  <c r="E1062" i="6" a="1"/>
  <c r="E1062" i="6"/>
  <c r="D1062" i="6" a="1"/>
  <c r="D1062" i="6"/>
  <c r="C1062" i="6" a="1"/>
  <c r="C1062" i="6"/>
  <c r="N1061" i="6" a="1"/>
  <c r="N1061" i="6"/>
  <c r="S1061" i="6"/>
  <c r="R1061" i="6" a="1"/>
  <c r="R1061" i="6"/>
  <c r="Q1061" i="6" a="1"/>
  <c r="Q1061" i="6"/>
  <c r="O1061" i="6" a="1"/>
  <c r="O1061" i="6"/>
  <c r="M1061" i="6" a="1"/>
  <c r="M1061" i="6"/>
  <c r="J1061" i="6" a="1"/>
  <c r="J1061" i="6"/>
  <c r="G1061" i="6" a="1"/>
  <c r="G1061" i="6"/>
  <c r="F1061" i="6" a="1"/>
  <c r="F1061" i="6"/>
  <c r="E1061" i="6" a="1"/>
  <c r="E1061" i="6"/>
  <c r="D1061" i="6" a="1"/>
  <c r="D1061" i="6"/>
  <c r="C1061" i="6" a="1"/>
  <c r="C1061" i="6"/>
  <c r="N1060" i="6" a="1"/>
  <c r="N1060" i="6"/>
  <c r="S1060" i="6"/>
  <c r="R1060" i="6" a="1"/>
  <c r="R1060" i="6"/>
  <c r="Q1060" i="6" a="1"/>
  <c r="Q1060" i="6"/>
  <c r="O1060" i="6" a="1"/>
  <c r="O1060" i="6"/>
  <c r="M1060" i="6" a="1"/>
  <c r="M1060" i="6"/>
  <c r="J1060" i="6" a="1"/>
  <c r="J1060" i="6"/>
  <c r="G1060" i="6" a="1"/>
  <c r="G1060" i="6"/>
  <c r="F1060" i="6" a="1"/>
  <c r="F1060" i="6"/>
  <c r="E1060" i="6" a="1"/>
  <c r="E1060" i="6"/>
  <c r="D1060" i="6" a="1"/>
  <c r="D1060" i="6"/>
  <c r="C1060" i="6" a="1"/>
  <c r="C1060" i="6"/>
  <c r="N1059" i="6" a="1"/>
  <c r="N1059" i="6"/>
  <c r="S1059" i="6"/>
  <c r="R1059" i="6" a="1"/>
  <c r="R1059" i="6"/>
  <c r="Q1059" i="6" a="1"/>
  <c r="Q1059" i="6"/>
  <c r="O1059" i="6" a="1"/>
  <c r="O1059" i="6"/>
  <c r="M1059" i="6" a="1"/>
  <c r="M1059" i="6"/>
  <c r="J1059" i="6" a="1"/>
  <c r="J1059" i="6"/>
  <c r="G1059" i="6" a="1"/>
  <c r="G1059" i="6"/>
  <c r="F1059" i="6" a="1"/>
  <c r="F1059" i="6"/>
  <c r="E1059" i="6" a="1"/>
  <c r="E1059" i="6"/>
  <c r="D1059" i="6" a="1"/>
  <c r="D1059" i="6"/>
  <c r="C1059" i="6" a="1"/>
  <c r="C1059" i="6"/>
  <c r="N1058" i="6" a="1"/>
  <c r="N1058" i="6"/>
  <c r="S1058" i="6"/>
  <c r="R1058" i="6" a="1"/>
  <c r="R1058" i="6"/>
  <c r="Q1058" i="6" a="1"/>
  <c r="Q1058" i="6"/>
  <c r="O1058" i="6" a="1"/>
  <c r="O1058" i="6"/>
  <c r="M1058" i="6" a="1"/>
  <c r="M1058" i="6"/>
  <c r="J1058" i="6" a="1"/>
  <c r="J1058" i="6"/>
  <c r="G1058" i="6" a="1"/>
  <c r="G1058" i="6"/>
  <c r="F1058" i="6" a="1"/>
  <c r="F1058" i="6"/>
  <c r="E1058" i="6" a="1"/>
  <c r="E1058" i="6"/>
  <c r="D1058" i="6" a="1"/>
  <c r="D1058" i="6"/>
  <c r="C1058" i="6" a="1"/>
  <c r="C1058" i="6"/>
  <c r="N1057" i="6" a="1"/>
  <c r="N1057" i="6"/>
  <c r="S1057" i="6"/>
  <c r="R1057" i="6" a="1"/>
  <c r="R1057" i="6"/>
  <c r="Q1057" i="6" a="1"/>
  <c r="Q1057" i="6"/>
  <c r="O1057" i="6" a="1"/>
  <c r="O1057" i="6"/>
  <c r="M1057" i="6" a="1"/>
  <c r="M1057" i="6"/>
  <c r="J1057" i="6" a="1"/>
  <c r="J1057" i="6"/>
  <c r="G1057" i="6" a="1"/>
  <c r="G1057" i="6"/>
  <c r="F1057" i="6" a="1"/>
  <c r="F1057" i="6"/>
  <c r="E1057" i="6" a="1"/>
  <c r="E1057" i="6"/>
  <c r="D1057" i="6" a="1"/>
  <c r="D1057" i="6"/>
  <c r="C1057" i="6" a="1"/>
  <c r="C1057" i="6"/>
  <c r="N1056" i="6" a="1"/>
  <c r="N1056" i="6"/>
  <c r="S1056" i="6"/>
  <c r="R1056" i="6" a="1"/>
  <c r="R1056" i="6"/>
  <c r="Q1056" i="6" a="1"/>
  <c r="Q1056" i="6"/>
  <c r="O1056" i="6" a="1"/>
  <c r="O1056" i="6"/>
  <c r="M1056" i="6" a="1"/>
  <c r="M1056" i="6"/>
  <c r="J1056" i="6" a="1"/>
  <c r="J1056" i="6"/>
  <c r="G1056" i="6" a="1"/>
  <c r="G1056" i="6"/>
  <c r="F1056" i="6" a="1"/>
  <c r="F1056" i="6"/>
  <c r="E1056" i="6" a="1"/>
  <c r="E1056" i="6"/>
  <c r="D1056" i="6" a="1"/>
  <c r="D1056" i="6"/>
  <c r="C1056" i="6" a="1"/>
  <c r="C1056" i="6"/>
  <c r="N1055" i="6" a="1"/>
  <c r="N1055" i="6"/>
  <c r="S1055" i="6"/>
  <c r="R1055" i="6" a="1"/>
  <c r="R1055" i="6"/>
  <c r="Q1055" i="6" a="1"/>
  <c r="Q1055" i="6"/>
  <c r="O1055" i="6" a="1"/>
  <c r="O1055" i="6"/>
  <c r="M1055" i="6" a="1"/>
  <c r="M1055" i="6"/>
  <c r="J1055" i="6" a="1"/>
  <c r="J1055" i="6"/>
  <c r="G1055" i="6" a="1"/>
  <c r="G1055" i="6"/>
  <c r="F1055" i="6" a="1"/>
  <c r="F1055" i="6"/>
  <c r="E1055" i="6" a="1"/>
  <c r="E1055" i="6"/>
  <c r="D1055" i="6" a="1"/>
  <c r="D1055" i="6"/>
  <c r="C1055" i="6" a="1"/>
  <c r="C1055" i="6"/>
  <c r="N1054" i="6" a="1"/>
  <c r="N1054" i="6"/>
  <c r="S1054" i="6"/>
  <c r="R1054" i="6" a="1"/>
  <c r="R1054" i="6"/>
  <c r="Q1054" i="6" a="1"/>
  <c r="Q1054" i="6"/>
  <c r="O1054" i="6" a="1"/>
  <c r="O1054" i="6"/>
  <c r="M1054" i="6" a="1"/>
  <c r="M1054" i="6"/>
  <c r="J1054" i="6" a="1"/>
  <c r="J1054" i="6"/>
  <c r="G1054" i="6" a="1"/>
  <c r="G1054" i="6"/>
  <c r="F1054" i="6" a="1"/>
  <c r="F1054" i="6"/>
  <c r="E1054" i="6" a="1"/>
  <c r="E1054" i="6"/>
  <c r="D1054" i="6" a="1"/>
  <c r="D1054" i="6"/>
  <c r="C1054" i="6" a="1"/>
  <c r="C1054" i="6"/>
  <c r="N1053" i="6" a="1"/>
  <c r="N1053" i="6"/>
  <c r="S1053" i="6"/>
  <c r="R1053" i="6" a="1"/>
  <c r="R1053" i="6"/>
  <c r="Q1053" i="6" a="1"/>
  <c r="Q1053" i="6"/>
  <c r="O1053" i="6" a="1"/>
  <c r="O1053" i="6"/>
  <c r="M1053" i="6" a="1"/>
  <c r="M1053" i="6"/>
  <c r="J1053" i="6" a="1"/>
  <c r="J1053" i="6"/>
  <c r="G1053" i="6" a="1"/>
  <c r="G1053" i="6"/>
  <c r="F1053" i="6" a="1"/>
  <c r="F1053" i="6"/>
  <c r="E1053" i="6" a="1"/>
  <c r="E1053" i="6"/>
  <c r="D1053" i="6" a="1"/>
  <c r="D1053" i="6"/>
  <c r="C1053" i="6" a="1"/>
  <c r="C1053" i="6"/>
  <c r="N1052" i="6" a="1"/>
  <c r="N1052" i="6"/>
  <c r="S1052" i="6"/>
  <c r="R1052" i="6" a="1"/>
  <c r="R1052" i="6"/>
  <c r="Q1052" i="6" a="1"/>
  <c r="Q1052" i="6"/>
  <c r="O1052" i="6" a="1"/>
  <c r="O1052" i="6"/>
  <c r="M1052" i="6" a="1"/>
  <c r="M1052" i="6"/>
  <c r="J1052" i="6" a="1"/>
  <c r="J1052" i="6"/>
  <c r="G1052" i="6" a="1"/>
  <c r="G1052" i="6"/>
  <c r="F1052" i="6" a="1"/>
  <c r="F1052" i="6"/>
  <c r="E1052" i="6" a="1"/>
  <c r="E1052" i="6"/>
  <c r="D1052" i="6" a="1"/>
  <c r="D1052" i="6"/>
  <c r="C1052" i="6" a="1"/>
  <c r="C1052" i="6"/>
  <c r="N1051" i="6" a="1"/>
  <c r="N1051" i="6"/>
  <c r="S1051" i="6"/>
  <c r="R1051" i="6" a="1"/>
  <c r="R1051" i="6"/>
  <c r="Q1051" i="6" a="1"/>
  <c r="Q1051" i="6"/>
  <c r="O1051" i="6" a="1"/>
  <c r="O1051" i="6"/>
  <c r="M1051" i="6" a="1"/>
  <c r="M1051" i="6"/>
  <c r="J1051" i="6" a="1"/>
  <c r="J1051" i="6"/>
  <c r="G1051" i="6" a="1"/>
  <c r="G1051" i="6"/>
  <c r="F1051" i="6" a="1"/>
  <c r="F1051" i="6"/>
  <c r="E1051" i="6" a="1"/>
  <c r="E1051" i="6"/>
  <c r="D1051" i="6" a="1"/>
  <c r="D1051" i="6"/>
  <c r="C1051" i="6" a="1"/>
  <c r="C1051" i="6"/>
  <c r="N1050" i="6" a="1"/>
  <c r="N1050" i="6"/>
  <c r="S1050" i="6"/>
  <c r="R1050" i="6" a="1"/>
  <c r="R1050" i="6"/>
  <c r="Q1050" i="6" a="1"/>
  <c r="Q1050" i="6"/>
  <c r="O1050" i="6" a="1"/>
  <c r="O1050" i="6"/>
  <c r="M1050" i="6" a="1"/>
  <c r="M1050" i="6"/>
  <c r="J1050" i="6" a="1"/>
  <c r="J1050" i="6"/>
  <c r="G1050" i="6" a="1"/>
  <c r="G1050" i="6"/>
  <c r="F1050" i="6" a="1"/>
  <c r="F1050" i="6"/>
  <c r="E1050" i="6" a="1"/>
  <c r="E1050" i="6"/>
  <c r="D1050" i="6" a="1"/>
  <c r="D1050" i="6"/>
  <c r="C1050" i="6" a="1"/>
  <c r="C1050" i="6"/>
  <c r="N1049" i="6" a="1"/>
  <c r="N1049" i="6"/>
  <c r="S1049" i="6"/>
  <c r="R1049" i="6" a="1"/>
  <c r="R1049" i="6"/>
  <c r="Q1049" i="6" a="1"/>
  <c r="Q1049" i="6"/>
  <c r="O1049" i="6" a="1"/>
  <c r="O1049" i="6"/>
  <c r="M1049" i="6" a="1"/>
  <c r="M1049" i="6"/>
  <c r="J1049" i="6" a="1"/>
  <c r="J1049" i="6"/>
  <c r="G1049" i="6" a="1"/>
  <c r="G1049" i="6"/>
  <c r="F1049" i="6" a="1"/>
  <c r="F1049" i="6"/>
  <c r="E1049" i="6" a="1"/>
  <c r="E1049" i="6"/>
  <c r="D1049" i="6" a="1"/>
  <c r="D1049" i="6"/>
  <c r="C1049" i="6" a="1"/>
  <c r="C1049" i="6"/>
  <c r="N1048" i="6" a="1"/>
  <c r="N1048" i="6"/>
  <c r="S1048" i="6"/>
  <c r="R1048" i="6" a="1"/>
  <c r="R1048" i="6"/>
  <c r="Q1048" i="6" a="1"/>
  <c r="Q1048" i="6"/>
  <c r="O1048" i="6" a="1"/>
  <c r="O1048" i="6"/>
  <c r="M1048" i="6" a="1"/>
  <c r="M1048" i="6"/>
  <c r="J1048" i="6" a="1"/>
  <c r="J1048" i="6"/>
  <c r="G1048" i="6" a="1"/>
  <c r="G1048" i="6"/>
  <c r="F1048" i="6" a="1"/>
  <c r="F1048" i="6"/>
  <c r="E1048" i="6" a="1"/>
  <c r="E1048" i="6"/>
  <c r="D1048" i="6" a="1"/>
  <c r="D1048" i="6"/>
  <c r="C1048" i="6" a="1"/>
  <c r="C1048" i="6"/>
  <c r="N1047" i="6" a="1"/>
  <c r="N1047" i="6"/>
  <c r="S1047" i="6"/>
  <c r="R1047" i="6" a="1"/>
  <c r="R1047" i="6"/>
  <c r="Q1047" i="6" a="1"/>
  <c r="Q1047" i="6"/>
  <c r="O1047" i="6" a="1"/>
  <c r="O1047" i="6"/>
  <c r="M1047" i="6" a="1"/>
  <c r="M1047" i="6"/>
  <c r="J1047" i="6" a="1"/>
  <c r="J1047" i="6"/>
  <c r="G1047" i="6" a="1"/>
  <c r="G1047" i="6"/>
  <c r="F1047" i="6" a="1"/>
  <c r="F1047" i="6"/>
  <c r="E1047" i="6" a="1"/>
  <c r="E1047" i="6"/>
  <c r="D1047" i="6" a="1"/>
  <c r="D1047" i="6"/>
  <c r="C1047" i="6" a="1"/>
  <c r="C1047" i="6"/>
  <c r="N1046" i="6" a="1"/>
  <c r="N1046" i="6"/>
  <c r="S1046" i="6"/>
  <c r="R1046" i="6" a="1"/>
  <c r="R1046" i="6"/>
  <c r="Q1046" i="6" a="1"/>
  <c r="Q1046" i="6"/>
  <c r="O1046" i="6" a="1"/>
  <c r="O1046" i="6"/>
  <c r="M1046" i="6" a="1"/>
  <c r="M1046" i="6"/>
  <c r="J1046" i="6" a="1"/>
  <c r="J1046" i="6"/>
  <c r="G1046" i="6" a="1"/>
  <c r="G1046" i="6"/>
  <c r="F1046" i="6" a="1"/>
  <c r="F1046" i="6"/>
  <c r="E1046" i="6" a="1"/>
  <c r="E1046" i="6"/>
  <c r="D1046" i="6" a="1"/>
  <c r="D1046" i="6"/>
  <c r="C1046" i="6" a="1"/>
  <c r="C1046" i="6"/>
  <c r="N1045" i="6" a="1"/>
  <c r="N1045" i="6"/>
  <c r="S1045" i="6"/>
  <c r="R1045" i="6" a="1"/>
  <c r="R1045" i="6"/>
  <c r="Q1045" i="6" a="1"/>
  <c r="Q1045" i="6"/>
  <c r="O1045" i="6" a="1"/>
  <c r="O1045" i="6"/>
  <c r="M1045" i="6" a="1"/>
  <c r="M1045" i="6"/>
  <c r="J1045" i="6" a="1"/>
  <c r="J1045" i="6"/>
  <c r="G1045" i="6" a="1"/>
  <c r="G1045" i="6"/>
  <c r="F1045" i="6" a="1"/>
  <c r="F1045" i="6"/>
  <c r="E1045" i="6" a="1"/>
  <c r="E1045" i="6"/>
  <c r="D1045" i="6" a="1"/>
  <c r="D1045" i="6"/>
  <c r="C1045" i="6" a="1"/>
  <c r="C1045" i="6"/>
  <c r="N1044" i="6" a="1"/>
  <c r="N1044" i="6"/>
  <c r="S1044" i="6"/>
  <c r="R1044" i="6" a="1"/>
  <c r="R1044" i="6"/>
  <c r="Q1044" i="6" a="1"/>
  <c r="Q1044" i="6"/>
  <c r="O1044" i="6" a="1"/>
  <c r="O1044" i="6"/>
  <c r="M1044" i="6" a="1"/>
  <c r="M1044" i="6"/>
  <c r="J1044" i="6" a="1"/>
  <c r="J1044" i="6"/>
  <c r="G1044" i="6" a="1"/>
  <c r="G1044" i="6"/>
  <c r="F1044" i="6" a="1"/>
  <c r="F1044" i="6"/>
  <c r="E1044" i="6" a="1"/>
  <c r="E1044" i="6"/>
  <c r="D1044" i="6" a="1"/>
  <c r="D1044" i="6"/>
  <c r="C1044" i="6" a="1"/>
  <c r="C1044" i="6"/>
  <c r="N1043" i="6" a="1"/>
  <c r="N1043" i="6"/>
  <c r="S1043" i="6"/>
  <c r="R1043" i="6" a="1"/>
  <c r="R1043" i="6"/>
  <c r="Q1043" i="6" a="1"/>
  <c r="Q1043" i="6"/>
  <c r="O1043" i="6" a="1"/>
  <c r="O1043" i="6"/>
  <c r="M1043" i="6" a="1"/>
  <c r="M1043" i="6"/>
  <c r="J1043" i="6" a="1"/>
  <c r="J1043" i="6"/>
  <c r="G1043" i="6" a="1"/>
  <c r="G1043" i="6"/>
  <c r="F1043" i="6" a="1"/>
  <c r="F1043" i="6"/>
  <c r="E1043" i="6" a="1"/>
  <c r="E1043" i="6"/>
  <c r="D1043" i="6" a="1"/>
  <c r="D1043" i="6"/>
  <c r="C1043" i="6" a="1"/>
  <c r="C1043" i="6"/>
  <c r="N1042" i="6" a="1"/>
  <c r="N1042" i="6"/>
  <c r="S1042" i="6"/>
  <c r="R1042" i="6" a="1"/>
  <c r="R1042" i="6"/>
  <c r="Q1042" i="6" a="1"/>
  <c r="Q1042" i="6"/>
  <c r="O1042" i="6" a="1"/>
  <c r="O1042" i="6"/>
  <c r="M1042" i="6" a="1"/>
  <c r="M1042" i="6"/>
  <c r="J1042" i="6" a="1"/>
  <c r="J1042" i="6"/>
  <c r="G1042" i="6" a="1"/>
  <c r="G1042" i="6"/>
  <c r="F1042" i="6" a="1"/>
  <c r="F1042" i="6"/>
  <c r="E1042" i="6" a="1"/>
  <c r="E1042" i="6"/>
  <c r="D1042" i="6" a="1"/>
  <c r="D1042" i="6"/>
  <c r="C1042" i="6" a="1"/>
  <c r="C1042" i="6"/>
  <c r="N1041" i="6" a="1"/>
  <c r="N1041" i="6"/>
  <c r="S1041" i="6"/>
  <c r="R1041" i="6" a="1"/>
  <c r="R1041" i="6"/>
  <c r="Q1041" i="6" a="1"/>
  <c r="Q1041" i="6"/>
  <c r="O1041" i="6" a="1"/>
  <c r="O1041" i="6"/>
  <c r="M1041" i="6" a="1"/>
  <c r="M1041" i="6"/>
  <c r="J1041" i="6" a="1"/>
  <c r="J1041" i="6"/>
  <c r="G1041" i="6" a="1"/>
  <c r="G1041" i="6"/>
  <c r="F1041" i="6" a="1"/>
  <c r="F1041" i="6"/>
  <c r="E1041" i="6" a="1"/>
  <c r="E1041" i="6"/>
  <c r="D1041" i="6" a="1"/>
  <c r="D1041" i="6"/>
  <c r="C1041" i="6" a="1"/>
  <c r="C1041" i="6"/>
  <c r="N1040" i="6" a="1"/>
  <c r="N1040" i="6"/>
  <c r="S1040" i="6"/>
  <c r="R1040" i="6" a="1"/>
  <c r="R1040" i="6"/>
  <c r="Q1040" i="6" a="1"/>
  <c r="Q1040" i="6"/>
  <c r="O1040" i="6" a="1"/>
  <c r="O1040" i="6"/>
  <c r="M1040" i="6" a="1"/>
  <c r="M1040" i="6"/>
  <c r="J1040" i="6" a="1"/>
  <c r="J1040" i="6"/>
  <c r="G1040" i="6" a="1"/>
  <c r="G1040" i="6"/>
  <c r="F1040" i="6" a="1"/>
  <c r="F1040" i="6"/>
  <c r="E1040" i="6" a="1"/>
  <c r="E1040" i="6"/>
  <c r="D1040" i="6" a="1"/>
  <c r="D1040" i="6"/>
  <c r="C1040" i="6" a="1"/>
  <c r="C1040" i="6"/>
  <c r="N1039" i="6" a="1"/>
  <c r="N1039" i="6"/>
  <c r="S1039" i="6"/>
  <c r="R1039" i="6" a="1"/>
  <c r="R1039" i="6"/>
  <c r="Q1039" i="6" a="1"/>
  <c r="Q1039" i="6"/>
  <c r="O1039" i="6" a="1"/>
  <c r="O1039" i="6"/>
  <c r="M1039" i="6" a="1"/>
  <c r="M1039" i="6"/>
  <c r="J1039" i="6" a="1"/>
  <c r="J1039" i="6"/>
  <c r="G1039" i="6" a="1"/>
  <c r="G1039" i="6"/>
  <c r="F1039" i="6" a="1"/>
  <c r="F1039" i="6"/>
  <c r="E1039" i="6" a="1"/>
  <c r="E1039" i="6"/>
  <c r="D1039" i="6" a="1"/>
  <c r="D1039" i="6"/>
  <c r="C1039" i="6" a="1"/>
  <c r="C1039" i="6"/>
  <c r="N1038" i="6" a="1"/>
  <c r="N1038" i="6"/>
  <c r="S1038" i="6"/>
  <c r="R1038" i="6" a="1"/>
  <c r="R1038" i="6"/>
  <c r="Q1038" i="6" a="1"/>
  <c r="Q1038" i="6"/>
  <c r="O1038" i="6" a="1"/>
  <c r="O1038" i="6"/>
  <c r="M1038" i="6" a="1"/>
  <c r="M1038" i="6"/>
  <c r="J1038" i="6" a="1"/>
  <c r="J1038" i="6"/>
  <c r="G1038" i="6" a="1"/>
  <c r="G1038" i="6"/>
  <c r="F1038" i="6" a="1"/>
  <c r="F1038" i="6"/>
  <c r="E1038" i="6" a="1"/>
  <c r="E1038" i="6"/>
  <c r="D1038" i="6" a="1"/>
  <c r="D1038" i="6"/>
  <c r="C1038" i="6" a="1"/>
  <c r="C1038" i="6"/>
  <c r="N1037" i="6" a="1"/>
  <c r="N1037" i="6"/>
  <c r="S1037" i="6"/>
  <c r="R1037" i="6" a="1"/>
  <c r="R1037" i="6"/>
  <c r="Q1037" i="6" a="1"/>
  <c r="Q1037" i="6"/>
  <c r="O1037" i="6" a="1"/>
  <c r="O1037" i="6"/>
  <c r="M1037" i="6" a="1"/>
  <c r="M1037" i="6"/>
  <c r="J1037" i="6" a="1"/>
  <c r="J1037" i="6"/>
  <c r="G1037" i="6" a="1"/>
  <c r="G1037" i="6"/>
  <c r="F1037" i="6" a="1"/>
  <c r="F1037" i="6"/>
  <c r="E1037" i="6" a="1"/>
  <c r="E1037" i="6"/>
  <c r="D1037" i="6" a="1"/>
  <c r="D1037" i="6"/>
  <c r="C1037" i="6" a="1"/>
  <c r="C1037" i="6"/>
  <c r="N1036" i="6" a="1"/>
  <c r="N1036" i="6"/>
  <c r="S1036" i="6"/>
  <c r="R1036" i="6" a="1"/>
  <c r="R1036" i="6"/>
  <c r="Q1036" i="6" a="1"/>
  <c r="Q1036" i="6"/>
  <c r="O1036" i="6" a="1"/>
  <c r="O1036" i="6"/>
  <c r="M1036" i="6" a="1"/>
  <c r="M1036" i="6"/>
  <c r="J1036" i="6" a="1"/>
  <c r="J1036" i="6"/>
  <c r="G1036" i="6" a="1"/>
  <c r="G1036" i="6"/>
  <c r="F1036" i="6" a="1"/>
  <c r="F1036" i="6"/>
  <c r="E1036" i="6" a="1"/>
  <c r="E1036" i="6"/>
  <c r="D1036" i="6" a="1"/>
  <c r="D1036" i="6"/>
  <c r="C1036" i="6" a="1"/>
  <c r="C1036" i="6"/>
  <c r="N1035" i="6" a="1"/>
  <c r="N1035" i="6"/>
  <c r="S1035" i="6"/>
  <c r="R1035" i="6" a="1"/>
  <c r="R1035" i="6"/>
  <c r="Q1035" i="6" a="1"/>
  <c r="Q1035" i="6"/>
  <c r="O1035" i="6" a="1"/>
  <c r="O1035" i="6"/>
  <c r="M1035" i="6" a="1"/>
  <c r="M1035" i="6"/>
  <c r="J1035" i="6" a="1"/>
  <c r="J1035" i="6"/>
  <c r="G1035" i="6" a="1"/>
  <c r="G1035" i="6"/>
  <c r="F1035" i="6" a="1"/>
  <c r="F1035" i="6"/>
  <c r="E1035" i="6" a="1"/>
  <c r="E1035" i="6"/>
  <c r="D1035" i="6" a="1"/>
  <c r="D1035" i="6"/>
  <c r="C1035" i="6" a="1"/>
  <c r="C1035" i="6"/>
  <c r="N1034" i="6" a="1"/>
  <c r="N1034" i="6"/>
  <c r="S1034" i="6"/>
  <c r="R1034" i="6" a="1"/>
  <c r="R1034" i="6"/>
  <c r="Q1034" i="6" a="1"/>
  <c r="Q1034" i="6"/>
  <c r="O1034" i="6" a="1"/>
  <c r="O1034" i="6"/>
  <c r="M1034" i="6" a="1"/>
  <c r="M1034" i="6"/>
  <c r="J1034" i="6" a="1"/>
  <c r="J1034" i="6"/>
  <c r="G1034" i="6" a="1"/>
  <c r="G1034" i="6"/>
  <c r="F1034" i="6" a="1"/>
  <c r="F1034" i="6"/>
  <c r="E1034" i="6" a="1"/>
  <c r="E1034" i="6"/>
  <c r="D1034" i="6" a="1"/>
  <c r="D1034" i="6"/>
  <c r="C1034" i="6" a="1"/>
  <c r="C1034" i="6"/>
  <c r="N1033" i="6" a="1"/>
  <c r="N1033" i="6"/>
  <c r="S1033" i="6"/>
  <c r="R1033" i="6" a="1"/>
  <c r="R1033" i="6"/>
  <c r="Q1033" i="6" a="1"/>
  <c r="Q1033" i="6"/>
  <c r="O1033" i="6" a="1"/>
  <c r="O1033" i="6"/>
  <c r="M1033" i="6" a="1"/>
  <c r="M1033" i="6"/>
  <c r="J1033" i="6" a="1"/>
  <c r="J1033" i="6"/>
  <c r="G1033" i="6" a="1"/>
  <c r="G1033" i="6"/>
  <c r="F1033" i="6" a="1"/>
  <c r="F1033" i="6"/>
  <c r="E1033" i="6" a="1"/>
  <c r="E1033" i="6"/>
  <c r="D1033" i="6" a="1"/>
  <c r="D1033" i="6"/>
  <c r="C1033" i="6" a="1"/>
  <c r="C1033" i="6"/>
  <c r="N1032" i="6" a="1"/>
  <c r="N1032" i="6"/>
  <c r="S1032" i="6"/>
  <c r="R1032" i="6" a="1"/>
  <c r="R1032" i="6"/>
  <c r="Q1032" i="6" a="1"/>
  <c r="Q1032" i="6"/>
  <c r="O1032" i="6" a="1"/>
  <c r="O1032" i="6"/>
  <c r="M1032" i="6" a="1"/>
  <c r="M1032" i="6"/>
  <c r="J1032" i="6" a="1"/>
  <c r="J1032" i="6"/>
  <c r="G1032" i="6" a="1"/>
  <c r="G1032" i="6"/>
  <c r="F1032" i="6" a="1"/>
  <c r="F1032" i="6"/>
  <c r="E1032" i="6" a="1"/>
  <c r="E1032" i="6"/>
  <c r="D1032" i="6" a="1"/>
  <c r="D1032" i="6"/>
  <c r="C1032" i="6" a="1"/>
  <c r="C1032" i="6"/>
  <c r="N1031" i="6" a="1"/>
  <c r="N1031" i="6"/>
  <c r="S1031" i="6"/>
  <c r="R1031" i="6" a="1"/>
  <c r="R1031" i="6"/>
  <c r="Q1031" i="6" a="1"/>
  <c r="Q1031" i="6"/>
  <c r="O1031" i="6" a="1"/>
  <c r="O1031" i="6"/>
  <c r="M1031" i="6" a="1"/>
  <c r="M1031" i="6"/>
  <c r="J1031" i="6" a="1"/>
  <c r="J1031" i="6"/>
  <c r="G1031" i="6" a="1"/>
  <c r="G1031" i="6"/>
  <c r="F1031" i="6" a="1"/>
  <c r="F1031" i="6"/>
  <c r="E1031" i="6" a="1"/>
  <c r="E1031" i="6"/>
  <c r="D1031" i="6" a="1"/>
  <c r="D1031" i="6"/>
  <c r="C1031" i="6" a="1"/>
  <c r="C1031" i="6"/>
  <c r="N1030" i="6" a="1"/>
  <c r="N1030" i="6"/>
  <c r="S1030" i="6"/>
  <c r="R1030" i="6" a="1"/>
  <c r="R1030" i="6"/>
  <c r="Q1030" i="6" a="1"/>
  <c r="Q1030" i="6"/>
  <c r="O1030" i="6" a="1"/>
  <c r="O1030" i="6"/>
  <c r="M1030" i="6" a="1"/>
  <c r="M1030" i="6"/>
  <c r="J1030" i="6" a="1"/>
  <c r="J1030" i="6"/>
  <c r="G1030" i="6" a="1"/>
  <c r="G1030" i="6"/>
  <c r="F1030" i="6" a="1"/>
  <c r="F1030" i="6"/>
  <c r="E1030" i="6" a="1"/>
  <c r="E1030" i="6"/>
  <c r="D1030" i="6" a="1"/>
  <c r="D1030" i="6"/>
  <c r="C1030" i="6" a="1"/>
  <c r="C1030" i="6"/>
  <c r="N1029" i="6" a="1"/>
  <c r="N1029" i="6"/>
  <c r="S1029" i="6"/>
  <c r="R1029" i="6" a="1"/>
  <c r="R1029" i="6"/>
  <c r="Q1029" i="6" a="1"/>
  <c r="Q1029" i="6"/>
  <c r="O1029" i="6" a="1"/>
  <c r="O1029" i="6"/>
  <c r="M1029" i="6" a="1"/>
  <c r="M1029" i="6"/>
  <c r="J1029" i="6" a="1"/>
  <c r="J1029" i="6"/>
  <c r="G1029" i="6" a="1"/>
  <c r="G1029" i="6"/>
  <c r="F1029" i="6" a="1"/>
  <c r="F1029" i="6"/>
  <c r="E1029" i="6" a="1"/>
  <c r="E1029" i="6"/>
  <c r="D1029" i="6" a="1"/>
  <c r="D1029" i="6"/>
  <c r="C1029" i="6" a="1"/>
  <c r="C1029" i="6"/>
  <c r="N1028" i="6" a="1"/>
  <c r="N1028" i="6"/>
  <c r="S1028" i="6"/>
  <c r="R1028" i="6" a="1"/>
  <c r="R1028" i="6"/>
  <c r="Q1028" i="6" a="1"/>
  <c r="Q1028" i="6"/>
  <c r="O1028" i="6" a="1"/>
  <c r="O1028" i="6"/>
  <c r="M1028" i="6" a="1"/>
  <c r="M1028" i="6"/>
  <c r="J1028" i="6" a="1"/>
  <c r="J1028" i="6"/>
  <c r="G1028" i="6" a="1"/>
  <c r="G1028" i="6"/>
  <c r="F1028" i="6" a="1"/>
  <c r="F1028" i="6"/>
  <c r="E1028" i="6" a="1"/>
  <c r="E1028" i="6"/>
  <c r="D1028" i="6" a="1"/>
  <c r="D1028" i="6"/>
  <c r="C1028" i="6" a="1"/>
  <c r="C1028" i="6"/>
  <c r="N1027" i="6" a="1"/>
  <c r="N1027" i="6"/>
  <c r="S1027" i="6"/>
  <c r="R1027" i="6" a="1"/>
  <c r="R1027" i="6"/>
  <c r="Q1027" i="6" a="1"/>
  <c r="Q1027" i="6"/>
  <c r="O1027" i="6" a="1"/>
  <c r="O1027" i="6"/>
  <c r="M1027" i="6" a="1"/>
  <c r="M1027" i="6"/>
  <c r="J1027" i="6" a="1"/>
  <c r="J1027" i="6"/>
  <c r="G1027" i="6" a="1"/>
  <c r="G1027" i="6"/>
  <c r="F1027" i="6" a="1"/>
  <c r="F1027" i="6"/>
  <c r="E1027" i="6" a="1"/>
  <c r="E1027" i="6"/>
  <c r="D1027" i="6" a="1"/>
  <c r="D1027" i="6"/>
  <c r="C1027" i="6" a="1"/>
  <c r="C1027" i="6"/>
  <c r="N1026" i="6" a="1"/>
  <c r="N1026" i="6"/>
  <c r="S1026" i="6"/>
  <c r="R1026" i="6" a="1"/>
  <c r="R1026" i="6"/>
  <c r="Q1026" i="6" a="1"/>
  <c r="Q1026" i="6"/>
  <c r="O1026" i="6" a="1"/>
  <c r="O1026" i="6"/>
  <c r="M1026" i="6" a="1"/>
  <c r="M1026" i="6"/>
  <c r="J1026" i="6" a="1"/>
  <c r="J1026" i="6"/>
  <c r="G1026" i="6" a="1"/>
  <c r="G1026" i="6"/>
  <c r="F1026" i="6" a="1"/>
  <c r="F1026" i="6"/>
  <c r="E1026" i="6" a="1"/>
  <c r="E1026" i="6"/>
  <c r="D1026" i="6" a="1"/>
  <c r="D1026" i="6"/>
  <c r="C1026" i="6" a="1"/>
  <c r="C1026" i="6"/>
  <c r="N1025" i="6" a="1"/>
  <c r="N1025" i="6"/>
  <c r="S1025" i="6"/>
  <c r="R1025" i="6" a="1"/>
  <c r="R1025" i="6"/>
  <c r="Q1025" i="6" a="1"/>
  <c r="Q1025" i="6"/>
  <c r="O1025" i="6" a="1"/>
  <c r="O1025" i="6"/>
  <c r="M1025" i="6" a="1"/>
  <c r="M1025" i="6"/>
  <c r="J1025" i="6" a="1"/>
  <c r="J1025" i="6"/>
  <c r="G1025" i="6" a="1"/>
  <c r="G1025" i="6"/>
  <c r="F1025" i="6" a="1"/>
  <c r="F1025" i="6"/>
  <c r="E1025" i="6" a="1"/>
  <c r="E1025" i="6"/>
  <c r="D1025" i="6" a="1"/>
  <c r="D1025" i="6"/>
  <c r="C1025" i="6" a="1"/>
  <c r="C1025" i="6"/>
  <c r="N1024" i="6" a="1"/>
  <c r="N1024" i="6"/>
  <c r="S1024" i="6"/>
  <c r="R1024" i="6" a="1"/>
  <c r="R1024" i="6"/>
  <c r="Q1024" i="6" a="1"/>
  <c r="Q1024" i="6"/>
  <c r="O1024" i="6" a="1"/>
  <c r="O1024" i="6"/>
  <c r="M1024" i="6" a="1"/>
  <c r="M1024" i="6"/>
  <c r="J1024" i="6" a="1"/>
  <c r="J1024" i="6"/>
  <c r="G1024" i="6" a="1"/>
  <c r="G1024" i="6"/>
  <c r="F1024" i="6" a="1"/>
  <c r="F1024" i="6"/>
  <c r="E1024" i="6" a="1"/>
  <c r="E1024" i="6"/>
  <c r="D1024" i="6" a="1"/>
  <c r="D1024" i="6"/>
  <c r="C1024" i="6" a="1"/>
  <c r="C1024" i="6"/>
  <c r="N1023" i="6" a="1"/>
  <c r="N1023" i="6"/>
  <c r="S1023" i="6"/>
  <c r="R1023" i="6" a="1"/>
  <c r="R1023" i="6"/>
  <c r="Q1023" i="6" a="1"/>
  <c r="Q1023" i="6"/>
  <c r="O1023" i="6" a="1"/>
  <c r="O1023" i="6"/>
  <c r="M1023" i="6" a="1"/>
  <c r="M1023" i="6"/>
  <c r="J1023" i="6" a="1"/>
  <c r="J1023" i="6"/>
  <c r="G1023" i="6" a="1"/>
  <c r="G1023" i="6"/>
  <c r="F1023" i="6" a="1"/>
  <c r="F1023" i="6"/>
  <c r="E1023" i="6" a="1"/>
  <c r="E1023" i="6"/>
  <c r="D1023" i="6" a="1"/>
  <c r="D1023" i="6"/>
  <c r="C1023" i="6" a="1"/>
  <c r="C1023" i="6"/>
  <c r="N1022" i="6" a="1"/>
  <c r="N1022" i="6"/>
  <c r="S1022" i="6"/>
  <c r="R1022" i="6" a="1"/>
  <c r="R1022" i="6"/>
  <c r="Q1022" i="6" a="1"/>
  <c r="Q1022" i="6"/>
  <c r="O1022" i="6" a="1"/>
  <c r="O1022" i="6"/>
  <c r="M1022" i="6" a="1"/>
  <c r="M1022" i="6"/>
  <c r="J1022" i="6" a="1"/>
  <c r="J1022" i="6"/>
  <c r="G1022" i="6" a="1"/>
  <c r="G1022" i="6"/>
  <c r="F1022" i="6" a="1"/>
  <c r="F1022" i="6"/>
  <c r="E1022" i="6" a="1"/>
  <c r="E1022" i="6"/>
  <c r="D1022" i="6" a="1"/>
  <c r="D1022" i="6"/>
  <c r="C1022" i="6" a="1"/>
  <c r="C1022" i="6"/>
  <c r="N1021" i="6" a="1"/>
  <c r="N1021" i="6"/>
  <c r="S1021" i="6"/>
  <c r="R1021" i="6" a="1"/>
  <c r="R1021" i="6"/>
  <c r="Q1021" i="6" a="1"/>
  <c r="Q1021" i="6"/>
  <c r="O1021" i="6" a="1"/>
  <c r="O1021" i="6"/>
  <c r="M1021" i="6" a="1"/>
  <c r="M1021" i="6"/>
  <c r="J1021" i="6" a="1"/>
  <c r="J1021" i="6"/>
  <c r="G1021" i="6" a="1"/>
  <c r="G1021" i="6"/>
  <c r="F1021" i="6" a="1"/>
  <c r="F1021" i="6"/>
  <c r="E1021" i="6" a="1"/>
  <c r="E1021" i="6"/>
  <c r="D1021" i="6" a="1"/>
  <c r="D1021" i="6"/>
  <c r="C1021" i="6" a="1"/>
  <c r="C1021" i="6"/>
  <c r="N1020" i="6" a="1"/>
  <c r="N1020" i="6"/>
  <c r="S1020" i="6"/>
  <c r="R1020" i="6" a="1"/>
  <c r="R1020" i="6"/>
  <c r="Q1020" i="6" a="1"/>
  <c r="Q1020" i="6"/>
  <c r="O1020" i="6" a="1"/>
  <c r="O1020" i="6"/>
  <c r="M1020" i="6" a="1"/>
  <c r="M1020" i="6"/>
  <c r="J1020" i="6" a="1"/>
  <c r="J1020" i="6"/>
  <c r="G1020" i="6" a="1"/>
  <c r="G1020" i="6"/>
  <c r="F1020" i="6" a="1"/>
  <c r="F1020" i="6"/>
  <c r="E1020" i="6" a="1"/>
  <c r="E1020" i="6"/>
  <c r="D1020" i="6" a="1"/>
  <c r="D1020" i="6"/>
  <c r="C1020" i="6" a="1"/>
  <c r="C1020" i="6"/>
  <c r="N1019" i="6" a="1"/>
  <c r="N1019" i="6"/>
  <c r="S1019" i="6"/>
  <c r="R1019" i="6" a="1"/>
  <c r="R1019" i="6"/>
  <c r="Q1019" i="6" a="1"/>
  <c r="Q1019" i="6"/>
  <c r="O1019" i="6" a="1"/>
  <c r="O1019" i="6"/>
  <c r="M1019" i="6" a="1"/>
  <c r="M1019" i="6"/>
  <c r="J1019" i="6" a="1"/>
  <c r="J1019" i="6"/>
  <c r="G1019" i="6" a="1"/>
  <c r="G1019" i="6"/>
  <c r="F1019" i="6" a="1"/>
  <c r="F1019" i="6"/>
  <c r="E1019" i="6" a="1"/>
  <c r="E1019" i="6"/>
  <c r="D1019" i="6" a="1"/>
  <c r="D1019" i="6"/>
  <c r="C1019" i="6" a="1"/>
  <c r="C1019" i="6"/>
  <c r="N1018" i="6" a="1"/>
  <c r="N1018" i="6"/>
  <c r="S1018" i="6"/>
  <c r="R1018" i="6" a="1"/>
  <c r="R1018" i="6"/>
  <c r="Q1018" i="6" a="1"/>
  <c r="Q1018" i="6"/>
  <c r="O1018" i="6" a="1"/>
  <c r="O1018" i="6"/>
  <c r="M1018" i="6" a="1"/>
  <c r="M1018" i="6"/>
  <c r="J1018" i="6" a="1"/>
  <c r="J1018" i="6"/>
  <c r="G1018" i="6" a="1"/>
  <c r="G1018" i="6"/>
  <c r="F1018" i="6" a="1"/>
  <c r="F1018" i="6"/>
  <c r="E1018" i="6" a="1"/>
  <c r="E1018" i="6"/>
  <c r="D1018" i="6" a="1"/>
  <c r="D1018" i="6"/>
  <c r="C1018" i="6" a="1"/>
  <c r="C1018" i="6"/>
  <c r="N1017" i="6" a="1"/>
  <c r="N1017" i="6"/>
  <c r="S1017" i="6"/>
  <c r="R1017" i="6" a="1"/>
  <c r="R1017" i="6"/>
  <c r="Q1017" i="6" a="1"/>
  <c r="Q1017" i="6"/>
  <c r="O1017" i="6" a="1"/>
  <c r="O1017" i="6"/>
  <c r="M1017" i="6" a="1"/>
  <c r="M1017" i="6"/>
  <c r="J1017" i="6" a="1"/>
  <c r="J1017" i="6"/>
  <c r="G1017" i="6" a="1"/>
  <c r="G1017" i="6"/>
  <c r="F1017" i="6" a="1"/>
  <c r="F1017" i="6"/>
  <c r="E1017" i="6" a="1"/>
  <c r="E1017" i="6"/>
  <c r="D1017" i="6" a="1"/>
  <c r="D1017" i="6"/>
  <c r="C1017" i="6" a="1"/>
  <c r="C1017" i="6"/>
  <c r="N1016" i="6" a="1"/>
  <c r="N1016" i="6"/>
  <c r="S1016" i="6"/>
  <c r="R1016" i="6" a="1"/>
  <c r="R1016" i="6"/>
  <c r="Q1016" i="6" a="1"/>
  <c r="Q1016" i="6"/>
  <c r="O1016" i="6" a="1"/>
  <c r="O1016" i="6"/>
  <c r="M1016" i="6" a="1"/>
  <c r="M1016" i="6"/>
  <c r="J1016" i="6" a="1"/>
  <c r="J1016" i="6"/>
  <c r="G1016" i="6" a="1"/>
  <c r="G1016" i="6"/>
  <c r="F1016" i="6" a="1"/>
  <c r="F1016" i="6"/>
  <c r="E1016" i="6" a="1"/>
  <c r="E1016" i="6"/>
  <c r="D1016" i="6" a="1"/>
  <c r="D1016" i="6"/>
  <c r="C1016" i="6" a="1"/>
  <c r="C1016" i="6"/>
  <c r="N1015" i="6" a="1"/>
  <c r="N1015" i="6"/>
  <c r="S1015" i="6"/>
  <c r="R1015" i="6" a="1"/>
  <c r="R1015" i="6"/>
  <c r="Q1015" i="6" a="1"/>
  <c r="Q1015" i="6"/>
  <c r="O1015" i="6" a="1"/>
  <c r="O1015" i="6"/>
  <c r="M1015" i="6" a="1"/>
  <c r="M1015" i="6"/>
  <c r="J1015" i="6" a="1"/>
  <c r="J1015" i="6"/>
  <c r="G1015" i="6" a="1"/>
  <c r="G1015" i="6"/>
  <c r="F1015" i="6" a="1"/>
  <c r="F1015" i="6"/>
  <c r="E1015" i="6" a="1"/>
  <c r="E1015" i="6"/>
  <c r="D1015" i="6" a="1"/>
  <c r="D1015" i="6"/>
  <c r="C1015" i="6" a="1"/>
  <c r="C1015" i="6"/>
  <c r="N1014" i="6" a="1"/>
  <c r="N1014" i="6"/>
  <c r="S1014" i="6"/>
  <c r="R1014" i="6" a="1"/>
  <c r="R1014" i="6"/>
  <c r="Q1014" i="6" a="1"/>
  <c r="Q1014" i="6"/>
  <c r="O1014" i="6" a="1"/>
  <c r="O1014" i="6"/>
  <c r="M1014" i="6" a="1"/>
  <c r="M1014" i="6"/>
  <c r="J1014" i="6" a="1"/>
  <c r="J1014" i="6"/>
  <c r="G1014" i="6" a="1"/>
  <c r="G1014" i="6"/>
  <c r="F1014" i="6" a="1"/>
  <c r="F1014" i="6"/>
  <c r="E1014" i="6" a="1"/>
  <c r="E1014" i="6"/>
  <c r="D1014" i="6" a="1"/>
  <c r="D1014" i="6"/>
  <c r="C1014" i="6" a="1"/>
  <c r="C1014" i="6"/>
  <c r="N1013" i="6" a="1"/>
  <c r="N1013" i="6"/>
  <c r="S1013" i="6"/>
  <c r="R1013" i="6" a="1"/>
  <c r="R1013" i="6"/>
  <c r="Q1013" i="6" a="1"/>
  <c r="Q1013" i="6"/>
  <c r="O1013" i="6" a="1"/>
  <c r="O1013" i="6"/>
  <c r="M1013" i="6" a="1"/>
  <c r="M1013" i="6"/>
  <c r="J1013" i="6" a="1"/>
  <c r="J1013" i="6"/>
  <c r="G1013" i="6" a="1"/>
  <c r="G1013" i="6"/>
  <c r="F1013" i="6" a="1"/>
  <c r="F1013" i="6"/>
  <c r="E1013" i="6" a="1"/>
  <c r="E1013" i="6"/>
  <c r="D1013" i="6" a="1"/>
  <c r="D1013" i="6"/>
  <c r="C1013" i="6" a="1"/>
  <c r="C1013" i="6"/>
  <c r="N1012" i="6" a="1"/>
  <c r="N1012" i="6"/>
  <c r="S1012" i="6"/>
  <c r="R1012" i="6" a="1"/>
  <c r="R1012" i="6"/>
  <c r="Q1012" i="6" a="1"/>
  <c r="Q1012" i="6"/>
  <c r="O1012" i="6" a="1"/>
  <c r="O1012" i="6"/>
  <c r="M1012" i="6" a="1"/>
  <c r="M1012" i="6"/>
  <c r="J1012" i="6" a="1"/>
  <c r="J1012" i="6"/>
  <c r="G1012" i="6" a="1"/>
  <c r="G1012" i="6"/>
  <c r="F1012" i="6" a="1"/>
  <c r="F1012" i="6"/>
  <c r="E1012" i="6" a="1"/>
  <c r="E1012" i="6"/>
  <c r="D1012" i="6" a="1"/>
  <c r="D1012" i="6"/>
  <c r="C1012" i="6" a="1"/>
  <c r="C1012" i="6"/>
  <c r="N1011" i="6" a="1"/>
  <c r="N1011" i="6"/>
  <c r="S1011" i="6"/>
  <c r="R1011" i="6" a="1"/>
  <c r="R1011" i="6"/>
  <c r="Q1011" i="6" a="1"/>
  <c r="Q1011" i="6"/>
  <c r="O1011" i="6" a="1"/>
  <c r="O1011" i="6"/>
  <c r="M1011" i="6" a="1"/>
  <c r="M1011" i="6"/>
  <c r="J1011" i="6" a="1"/>
  <c r="J1011" i="6"/>
  <c r="G1011" i="6" a="1"/>
  <c r="G1011" i="6"/>
  <c r="F1011" i="6" a="1"/>
  <c r="F1011" i="6"/>
  <c r="E1011" i="6" a="1"/>
  <c r="E1011" i="6"/>
  <c r="D1011" i="6" a="1"/>
  <c r="D1011" i="6"/>
  <c r="C1011" i="6" a="1"/>
  <c r="C1011" i="6"/>
  <c r="N1010" i="6" a="1"/>
  <c r="N1010" i="6"/>
  <c r="S1010" i="6"/>
  <c r="R1010" i="6" a="1"/>
  <c r="R1010" i="6"/>
  <c r="Q1010" i="6" a="1"/>
  <c r="Q1010" i="6"/>
  <c r="O1010" i="6" a="1"/>
  <c r="O1010" i="6"/>
  <c r="M1010" i="6" a="1"/>
  <c r="M1010" i="6"/>
  <c r="J1010" i="6" a="1"/>
  <c r="J1010" i="6"/>
  <c r="G1010" i="6" a="1"/>
  <c r="G1010" i="6"/>
  <c r="F1010" i="6" a="1"/>
  <c r="F1010" i="6"/>
  <c r="E1010" i="6" a="1"/>
  <c r="E1010" i="6"/>
  <c r="D1010" i="6" a="1"/>
  <c r="D1010" i="6"/>
  <c r="C1010" i="6" a="1"/>
  <c r="C1010" i="6"/>
  <c r="N1009" i="6" a="1"/>
  <c r="N1009" i="6"/>
  <c r="S1009" i="6"/>
  <c r="R1009" i="6" a="1"/>
  <c r="R1009" i="6"/>
  <c r="Q1009" i="6" a="1"/>
  <c r="Q1009" i="6"/>
  <c r="O1009" i="6" a="1"/>
  <c r="O1009" i="6"/>
  <c r="M1009" i="6" a="1"/>
  <c r="M1009" i="6"/>
  <c r="J1009" i="6" a="1"/>
  <c r="J1009" i="6"/>
  <c r="G1009" i="6" a="1"/>
  <c r="G1009" i="6"/>
  <c r="F1009" i="6" a="1"/>
  <c r="F1009" i="6"/>
  <c r="E1009" i="6" a="1"/>
  <c r="E1009" i="6"/>
  <c r="D1009" i="6" a="1"/>
  <c r="D1009" i="6"/>
  <c r="C1009" i="6" a="1"/>
  <c r="C1009" i="6"/>
  <c r="N1008" i="6" a="1"/>
  <c r="N1008" i="6"/>
  <c r="S1008" i="6"/>
  <c r="R1008" i="6" a="1"/>
  <c r="R1008" i="6"/>
  <c r="Q1008" i="6" a="1"/>
  <c r="Q1008" i="6"/>
  <c r="O1008" i="6" a="1"/>
  <c r="O1008" i="6"/>
  <c r="M1008" i="6" a="1"/>
  <c r="M1008" i="6"/>
  <c r="J1008" i="6" a="1"/>
  <c r="J1008" i="6"/>
  <c r="G1008" i="6" a="1"/>
  <c r="G1008" i="6"/>
  <c r="F1008" i="6" a="1"/>
  <c r="F1008" i="6"/>
  <c r="E1008" i="6" a="1"/>
  <c r="E1008" i="6"/>
  <c r="D1008" i="6" a="1"/>
  <c r="D1008" i="6"/>
  <c r="C1008" i="6" a="1"/>
  <c r="C1008" i="6"/>
  <c r="N1007" i="6" a="1"/>
  <c r="N1007" i="6"/>
  <c r="S1007" i="6"/>
  <c r="R1007" i="6" a="1"/>
  <c r="R1007" i="6"/>
  <c r="Q1007" i="6" a="1"/>
  <c r="Q1007" i="6"/>
  <c r="O1007" i="6" a="1"/>
  <c r="O1007" i="6"/>
  <c r="M1007" i="6" a="1"/>
  <c r="M1007" i="6"/>
  <c r="J1007" i="6" a="1"/>
  <c r="J1007" i="6"/>
  <c r="G1007" i="6" a="1"/>
  <c r="G1007" i="6"/>
  <c r="F1007" i="6" a="1"/>
  <c r="F1007" i="6"/>
  <c r="E1007" i="6" a="1"/>
  <c r="E1007" i="6"/>
  <c r="D1007" i="6" a="1"/>
  <c r="D1007" i="6"/>
  <c r="C1007" i="6" a="1"/>
  <c r="C1007" i="6"/>
  <c r="N1006" i="6" a="1"/>
  <c r="N1006" i="6"/>
  <c r="S1006" i="6"/>
  <c r="R1006" i="6" a="1"/>
  <c r="R1006" i="6"/>
  <c r="Q1006" i="6" a="1"/>
  <c r="Q1006" i="6"/>
  <c r="O1006" i="6" a="1"/>
  <c r="O1006" i="6"/>
  <c r="M1006" i="6" a="1"/>
  <c r="M1006" i="6"/>
  <c r="J1006" i="6" a="1"/>
  <c r="J1006" i="6"/>
  <c r="G1006" i="6" a="1"/>
  <c r="G1006" i="6"/>
  <c r="F1006" i="6" a="1"/>
  <c r="F1006" i="6"/>
  <c r="E1006" i="6" a="1"/>
  <c r="E1006" i="6"/>
  <c r="D1006" i="6" a="1"/>
  <c r="D1006" i="6"/>
  <c r="C1006" i="6" a="1"/>
  <c r="C1006" i="6"/>
  <c r="N1005" i="6" a="1"/>
  <c r="N1005" i="6"/>
  <c r="S1005" i="6"/>
  <c r="R1005" i="6" a="1"/>
  <c r="R1005" i="6"/>
  <c r="Q1005" i="6" a="1"/>
  <c r="Q1005" i="6"/>
  <c r="O1005" i="6" a="1"/>
  <c r="O1005" i="6"/>
  <c r="M1005" i="6" a="1"/>
  <c r="M1005" i="6"/>
  <c r="J1005" i="6" a="1"/>
  <c r="J1005" i="6"/>
  <c r="G1005" i="6" a="1"/>
  <c r="G1005" i="6"/>
  <c r="F1005" i="6" a="1"/>
  <c r="F1005" i="6"/>
  <c r="E1005" i="6" a="1"/>
  <c r="E1005" i="6"/>
  <c r="D1005" i="6" a="1"/>
  <c r="D1005" i="6"/>
  <c r="C1005" i="6" a="1"/>
  <c r="C1005" i="6"/>
  <c r="N1004" i="6" a="1"/>
  <c r="N1004" i="6"/>
  <c r="S1004" i="6"/>
  <c r="R1004" i="6" a="1"/>
  <c r="R1004" i="6"/>
  <c r="Q1004" i="6" a="1"/>
  <c r="Q1004" i="6"/>
  <c r="O1004" i="6" a="1"/>
  <c r="O1004" i="6"/>
  <c r="M1004" i="6" a="1"/>
  <c r="M1004" i="6"/>
  <c r="J1004" i="6" a="1"/>
  <c r="J1004" i="6"/>
  <c r="G1004" i="6" a="1"/>
  <c r="G1004" i="6"/>
  <c r="F1004" i="6" a="1"/>
  <c r="F1004" i="6"/>
  <c r="E1004" i="6" a="1"/>
  <c r="E1004" i="6"/>
  <c r="D1004" i="6" a="1"/>
  <c r="D1004" i="6"/>
  <c r="C1004" i="6" a="1"/>
  <c r="C1004" i="6"/>
  <c r="N1003" i="6" a="1"/>
  <c r="N1003" i="6"/>
  <c r="S1003" i="6"/>
  <c r="R1003" i="6" a="1"/>
  <c r="R1003" i="6"/>
  <c r="Q1003" i="6" a="1"/>
  <c r="Q1003" i="6"/>
  <c r="O1003" i="6" a="1"/>
  <c r="O1003" i="6"/>
  <c r="M1003" i="6" a="1"/>
  <c r="M1003" i="6"/>
  <c r="J1003" i="6" a="1"/>
  <c r="J1003" i="6"/>
  <c r="G1003" i="6" a="1"/>
  <c r="G1003" i="6"/>
  <c r="F1003" i="6" a="1"/>
  <c r="F1003" i="6"/>
  <c r="E1003" i="6" a="1"/>
  <c r="E1003" i="6"/>
  <c r="D1003" i="6" a="1"/>
  <c r="D1003" i="6"/>
  <c r="C1003" i="6" a="1"/>
  <c r="C1003" i="6"/>
  <c r="N1002" i="6" a="1"/>
  <c r="N1002" i="6"/>
  <c r="S1002" i="6"/>
  <c r="R1002" i="6" a="1"/>
  <c r="R1002" i="6"/>
  <c r="Q1002" i="6" a="1"/>
  <c r="Q1002" i="6"/>
  <c r="O1002" i="6" a="1"/>
  <c r="O1002" i="6"/>
  <c r="M1002" i="6" a="1"/>
  <c r="M1002" i="6"/>
  <c r="J1002" i="6" a="1"/>
  <c r="J1002" i="6"/>
  <c r="G1002" i="6" a="1"/>
  <c r="G1002" i="6"/>
  <c r="F1002" i="6" a="1"/>
  <c r="F1002" i="6"/>
  <c r="E1002" i="6" a="1"/>
  <c r="E1002" i="6"/>
  <c r="D1002" i="6" a="1"/>
  <c r="D1002" i="6"/>
  <c r="C1002" i="6" a="1"/>
  <c r="C1002" i="6"/>
  <c r="N1001" i="6" a="1"/>
  <c r="N1001" i="6"/>
  <c r="S1001" i="6"/>
  <c r="R1001" i="6" a="1"/>
  <c r="R1001" i="6"/>
  <c r="Q1001" i="6" a="1"/>
  <c r="Q1001" i="6"/>
  <c r="O1001" i="6" a="1"/>
  <c r="O1001" i="6"/>
  <c r="M1001" i="6" a="1"/>
  <c r="M1001" i="6"/>
  <c r="J1001" i="6" a="1"/>
  <c r="J1001" i="6"/>
  <c r="G1001" i="6" a="1"/>
  <c r="G1001" i="6"/>
  <c r="F1001" i="6" a="1"/>
  <c r="F1001" i="6"/>
  <c r="E1001" i="6" a="1"/>
  <c r="E1001" i="6"/>
  <c r="D1001" i="6" a="1"/>
  <c r="D1001" i="6"/>
  <c r="C1001" i="6" a="1"/>
  <c r="C1001" i="6"/>
  <c r="N1000" i="6" a="1"/>
  <c r="N1000" i="6"/>
  <c r="S1000" i="6"/>
  <c r="R1000" i="6" a="1"/>
  <c r="R1000" i="6"/>
  <c r="Q1000" i="6" a="1"/>
  <c r="Q1000" i="6"/>
  <c r="O1000" i="6" a="1"/>
  <c r="O1000" i="6"/>
  <c r="M1000" i="6" a="1"/>
  <c r="M1000" i="6"/>
  <c r="J1000" i="6" a="1"/>
  <c r="J1000" i="6"/>
  <c r="G1000" i="6" a="1"/>
  <c r="G1000" i="6"/>
  <c r="F1000" i="6" a="1"/>
  <c r="F1000" i="6"/>
  <c r="E1000" i="6" a="1"/>
  <c r="E1000" i="6"/>
  <c r="D1000" i="6" a="1"/>
  <c r="D1000" i="6"/>
  <c r="C1000" i="6" a="1"/>
  <c r="C1000" i="6"/>
  <c r="N999" i="6" a="1"/>
  <c r="N999" i="6"/>
  <c r="S999" i="6"/>
  <c r="R999" i="6" a="1"/>
  <c r="R999" i="6"/>
  <c r="Q999" i="6" a="1"/>
  <c r="Q999" i="6"/>
  <c r="O999" i="6" a="1"/>
  <c r="O999" i="6"/>
  <c r="M999" i="6" a="1"/>
  <c r="M999" i="6"/>
  <c r="J999" i="6" a="1"/>
  <c r="J999" i="6"/>
  <c r="G999" i="6" a="1"/>
  <c r="G999" i="6"/>
  <c r="F999" i="6" a="1"/>
  <c r="F999" i="6"/>
  <c r="E999" i="6" a="1"/>
  <c r="E999" i="6"/>
  <c r="D999" i="6" a="1"/>
  <c r="D999" i="6"/>
  <c r="C999" i="6" a="1"/>
  <c r="C999" i="6"/>
  <c r="N998" i="6" a="1"/>
  <c r="N998" i="6"/>
  <c r="S998" i="6"/>
  <c r="R998" i="6" a="1"/>
  <c r="R998" i="6"/>
  <c r="Q998" i="6" a="1"/>
  <c r="Q998" i="6"/>
  <c r="O998" i="6" a="1"/>
  <c r="O998" i="6"/>
  <c r="M998" i="6" a="1"/>
  <c r="M998" i="6"/>
  <c r="J998" i="6" a="1"/>
  <c r="J998" i="6"/>
  <c r="G998" i="6" a="1"/>
  <c r="G998" i="6"/>
  <c r="F998" i="6" a="1"/>
  <c r="F998" i="6"/>
  <c r="E998" i="6" a="1"/>
  <c r="E998" i="6"/>
  <c r="D998" i="6" a="1"/>
  <c r="D998" i="6"/>
  <c r="C998" i="6" a="1"/>
  <c r="C998" i="6"/>
  <c r="N997" i="6" a="1"/>
  <c r="N997" i="6"/>
  <c r="S997" i="6"/>
  <c r="R997" i="6" a="1"/>
  <c r="R997" i="6"/>
  <c r="Q997" i="6" a="1"/>
  <c r="Q997" i="6"/>
  <c r="O997" i="6" a="1"/>
  <c r="O997" i="6"/>
  <c r="M997" i="6" a="1"/>
  <c r="M997" i="6"/>
  <c r="J997" i="6" a="1"/>
  <c r="J997" i="6"/>
  <c r="G997" i="6" a="1"/>
  <c r="G997" i="6"/>
  <c r="F997" i="6" a="1"/>
  <c r="F997" i="6"/>
  <c r="E997" i="6" a="1"/>
  <c r="E997" i="6"/>
  <c r="D997" i="6" a="1"/>
  <c r="D997" i="6"/>
  <c r="C997" i="6" a="1"/>
  <c r="C997" i="6"/>
  <c r="N996" i="6" a="1"/>
  <c r="N996" i="6"/>
  <c r="S996" i="6"/>
  <c r="R996" i="6" a="1"/>
  <c r="R996" i="6"/>
  <c r="Q996" i="6" a="1"/>
  <c r="Q996" i="6"/>
  <c r="O996" i="6" a="1"/>
  <c r="O996" i="6"/>
  <c r="M996" i="6" a="1"/>
  <c r="M996" i="6"/>
  <c r="J996" i="6" a="1"/>
  <c r="J996" i="6"/>
  <c r="G996" i="6" a="1"/>
  <c r="G996" i="6"/>
  <c r="F996" i="6" a="1"/>
  <c r="F996" i="6"/>
  <c r="E996" i="6" a="1"/>
  <c r="E996" i="6"/>
  <c r="D996" i="6" a="1"/>
  <c r="D996" i="6"/>
  <c r="C996" i="6" a="1"/>
  <c r="C996" i="6"/>
  <c r="N995" i="6" a="1"/>
  <c r="N995" i="6"/>
  <c r="S995" i="6"/>
  <c r="R995" i="6" a="1"/>
  <c r="R995" i="6"/>
  <c r="Q995" i="6" a="1"/>
  <c r="Q995" i="6"/>
  <c r="O995" i="6" a="1"/>
  <c r="O995" i="6"/>
  <c r="M995" i="6" a="1"/>
  <c r="M995" i="6"/>
  <c r="J995" i="6" a="1"/>
  <c r="J995" i="6"/>
  <c r="G995" i="6" a="1"/>
  <c r="G995" i="6"/>
  <c r="F995" i="6" a="1"/>
  <c r="F995" i="6"/>
  <c r="E995" i="6" a="1"/>
  <c r="E995" i="6"/>
  <c r="D995" i="6" a="1"/>
  <c r="D995" i="6"/>
  <c r="C995" i="6" a="1"/>
  <c r="C995" i="6"/>
  <c r="N994" i="6" a="1"/>
  <c r="N994" i="6"/>
  <c r="S994" i="6"/>
  <c r="R994" i="6" a="1"/>
  <c r="R994" i="6"/>
  <c r="Q994" i="6" a="1"/>
  <c r="Q994" i="6"/>
  <c r="O994" i="6" a="1"/>
  <c r="O994" i="6"/>
  <c r="M994" i="6" a="1"/>
  <c r="M994" i="6"/>
  <c r="J994" i="6" a="1"/>
  <c r="J994" i="6"/>
  <c r="G994" i="6" a="1"/>
  <c r="G994" i="6"/>
  <c r="F994" i="6" a="1"/>
  <c r="F994" i="6"/>
  <c r="E994" i="6" a="1"/>
  <c r="E994" i="6"/>
  <c r="D994" i="6" a="1"/>
  <c r="D994" i="6"/>
  <c r="C994" i="6" a="1"/>
  <c r="C994" i="6"/>
  <c r="N993" i="6" a="1"/>
  <c r="N993" i="6"/>
  <c r="S993" i="6"/>
  <c r="R993" i="6" a="1"/>
  <c r="R993" i="6"/>
  <c r="Q993" i="6" a="1"/>
  <c r="Q993" i="6"/>
  <c r="O993" i="6" a="1"/>
  <c r="O993" i="6"/>
  <c r="M993" i="6" a="1"/>
  <c r="M993" i="6"/>
  <c r="J993" i="6" a="1"/>
  <c r="J993" i="6"/>
  <c r="G993" i="6" a="1"/>
  <c r="G993" i="6"/>
  <c r="F993" i="6" a="1"/>
  <c r="F993" i="6"/>
  <c r="E993" i="6" a="1"/>
  <c r="E993" i="6"/>
  <c r="D993" i="6" a="1"/>
  <c r="D993" i="6"/>
  <c r="C993" i="6" a="1"/>
  <c r="C993" i="6"/>
  <c r="N992" i="6" a="1"/>
  <c r="N992" i="6"/>
  <c r="S992" i="6"/>
  <c r="R992" i="6" a="1"/>
  <c r="R992" i="6"/>
  <c r="Q992" i="6" a="1"/>
  <c r="Q992" i="6"/>
  <c r="O992" i="6" a="1"/>
  <c r="O992" i="6"/>
  <c r="M992" i="6" a="1"/>
  <c r="M992" i="6"/>
  <c r="J992" i="6" a="1"/>
  <c r="J992" i="6"/>
  <c r="G992" i="6" a="1"/>
  <c r="G992" i="6"/>
  <c r="F992" i="6" a="1"/>
  <c r="F992" i="6"/>
  <c r="E992" i="6" a="1"/>
  <c r="E992" i="6"/>
  <c r="D992" i="6" a="1"/>
  <c r="D992" i="6"/>
  <c r="C992" i="6" a="1"/>
  <c r="C992" i="6"/>
  <c r="N991" i="6" a="1"/>
  <c r="N991" i="6"/>
  <c r="S991" i="6"/>
  <c r="R991" i="6" a="1"/>
  <c r="R991" i="6"/>
  <c r="Q991" i="6" a="1"/>
  <c r="Q991" i="6"/>
  <c r="O991" i="6" a="1"/>
  <c r="O991" i="6"/>
  <c r="M991" i="6" a="1"/>
  <c r="M991" i="6"/>
  <c r="J991" i="6" a="1"/>
  <c r="J991" i="6"/>
  <c r="G991" i="6" a="1"/>
  <c r="G991" i="6"/>
  <c r="F991" i="6" a="1"/>
  <c r="F991" i="6"/>
  <c r="E991" i="6" a="1"/>
  <c r="E991" i="6"/>
  <c r="D991" i="6" a="1"/>
  <c r="D991" i="6"/>
  <c r="C991" i="6" a="1"/>
  <c r="C991" i="6"/>
  <c r="N990" i="6" a="1"/>
  <c r="N990" i="6"/>
  <c r="S990" i="6"/>
  <c r="R990" i="6" a="1"/>
  <c r="R990" i="6"/>
  <c r="Q990" i="6" a="1"/>
  <c r="Q990" i="6"/>
  <c r="O990" i="6" a="1"/>
  <c r="O990" i="6"/>
  <c r="M990" i="6" a="1"/>
  <c r="M990" i="6"/>
  <c r="J990" i="6" a="1"/>
  <c r="J990" i="6"/>
  <c r="G990" i="6" a="1"/>
  <c r="G990" i="6"/>
  <c r="F990" i="6" a="1"/>
  <c r="F990" i="6"/>
  <c r="E990" i="6" a="1"/>
  <c r="E990" i="6"/>
  <c r="D990" i="6" a="1"/>
  <c r="D990" i="6"/>
  <c r="C990" i="6" a="1"/>
  <c r="C990" i="6"/>
  <c r="N989" i="6" a="1"/>
  <c r="N989" i="6"/>
  <c r="S989" i="6"/>
  <c r="R989" i="6" a="1"/>
  <c r="R989" i="6"/>
  <c r="Q989" i="6" a="1"/>
  <c r="Q989" i="6"/>
  <c r="O989" i="6" a="1"/>
  <c r="O989" i="6"/>
  <c r="M989" i="6" a="1"/>
  <c r="M989" i="6"/>
  <c r="J989" i="6" a="1"/>
  <c r="J989" i="6"/>
  <c r="G989" i="6" a="1"/>
  <c r="G989" i="6"/>
  <c r="F989" i="6" a="1"/>
  <c r="F989" i="6"/>
  <c r="E989" i="6" a="1"/>
  <c r="E989" i="6"/>
  <c r="D989" i="6" a="1"/>
  <c r="D989" i="6"/>
  <c r="C989" i="6" a="1"/>
  <c r="C989" i="6"/>
  <c r="N988" i="6" a="1"/>
  <c r="N988" i="6"/>
  <c r="S988" i="6"/>
  <c r="R988" i="6" a="1"/>
  <c r="R988" i="6"/>
  <c r="Q988" i="6" a="1"/>
  <c r="Q988" i="6"/>
  <c r="O988" i="6" a="1"/>
  <c r="O988" i="6"/>
  <c r="M988" i="6" a="1"/>
  <c r="M988" i="6"/>
  <c r="J988" i="6" a="1"/>
  <c r="J988" i="6"/>
  <c r="G988" i="6" a="1"/>
  <c r="G988" i="6"/>
  <c r="F988" i="6" a="1"/>
  <c r="F988" i="6"/>
  <c r="E988" i="6" a="1"/>
  <c r="E988" i="6"/>
  <c r="D988" i="6" a="1"/>
  <c r="D988" i="6"/>
  <c r="C988" i="6" a="1"/>
  <c r="C988" i="6"/>
  <c r="N987" i="6" a="1"/>
  <c r="N987" i="6"/>
  <c r="S987" i="6"/>
  <c r="R987" i="6" a="1"/>
  <c r="R987" i="6"/>
  <c r="Q987" i="6" a="1"/>
  <c r="Q987" i="6"/>
  <c r="O987" i="6" a="1"/>
  <c r="O987" i="6"/>
  <c r="M987" i="6" a="1"/>
  <c r="M987" i="6"/>
  <c r="J987" i="6" a="1"/>
  <c r="J987" i="6"/>
  <c r="G987" i="6" a="1"/>
  <c r="G987" i="6"/>
  <c r="F987" i="6" a="1"/>
  <c r="F987" i="6"/>
  <c r="E987" i="6" a="1"/>
  <c r="E987" i="6"/>
  <c r="D987" i="6" a="1"/>
  <c r="D987" i="6"/>
  <c r="C987" i="6" a="1"/>
  <c r="C987" i="6"/>
  <c r="N986" i="6" a="1"/>
  <c r="N986" i="6"/>
  <c r="S986" i="6"/>
  <c r="R986" i="6" a="1"/>
  <c r="R986" i="6"/>
  <c r="Q986" i="6" a="1"/>
  <c r="Q986" i="6"/>
  <c r="O986" i="6" a="1"/>
  <c r="O986" i="6"/>
  <c r="M986" i="6" a="1"/>
  <c r="M986" i="6"/>
  <c r="J986" i="6" a="1"/>
  <c r="J986" i="6"/>
  <c r="G986" i="6" a="1"/>
  <c r="G986" i="6"/>
  <c r="F986" i="6" a="1"/>
  <c r="F986" i="6"/>
  <c r="E986" i="6" a="1"/>
  <c r="E986" i="6"/>
  <c r="D986" i="6" a="1"/>
  <c r="D986" i="6"/>
  <c r="C986" i="6" a="1"/>
  <c r="C986" i="6"/>
  <c r="N985" i="6" a="1"/>
  <c r="N985" i="6"/>
  <c r="S985" i="6"/>
  <c r="R985" i="6" a="1"/>
  <c r="R985" i="6"/>
  <c r="Q985" i="6" a="1"/>
  <c r="Q985" i="6"/>
  <c r="O985" i="6" a="1"/>
  <c r="O985" i="6"/>
  <c r="M985" i="6" a="1"/>
  <c r="M985" i="6"/>
  <c r="J985" i="6" a="1"/>
  <c r="J985" i="6"/>
  <c r="G985" i="6" a="1"/>
  <c r="G985" i="6"/>
  <c r="F985" i="6" a="1"/>
  <c r="F985" i="6"/>
  <c r="E985" i="6" a="1"/>
  <c r="E985" i="6"/>
  <c r="D985" i="6" a="1"/>
  <c r="D985" i="6"/>
  <c r="C985" i="6" a="1"/>
  <c r="C985" i="6"/>
  <c r="N984" i="6" a="1"/>
  <c r="N984" i="6"/>
  <c r="S984" i="6"/>
  <c r="R984" i="6" a="1"/>
  <c r="R984" i="6"/>
  <c r="Q984" i="6" a="1"/>
  <c r="Q984" i="6"/>
  <c r="O984" i="6" a="1"/>
  <c r="O984" i="6"/>
  <c r="M984" i="6" a="1"/>
  <c r="M984" i="6"/>
  <c r="J984" i="6" a="1"/>
  <c r="J984" i="6"/>
  <c r="G984" i="6" a="1"/>
  <c r="G984" i="6"/>
  <c r="F984" i="6" a="1"/>
  <c r="F984" i="6"/>
  <c r="E984" i="6" a="1"/>
  <c r="E984" i="6"/>
  <c r="D984" i="6" a="1"/>
  <c r="D984" i="6"/>
  <c r="C984" i="6" a="1"/>
  <c r="C984" i="6"/>
  <c r="N983" i="6" a="1"/>
  <c r="N983" i="6"/>
  <c r="S983" i="6"/>
  <c r="R983" i="6" a="1"/>
  <c r="R983" i="6"/>
  <c r="Q983" i="6" a="1"/>
  <c r="Q983" i="6"/>
  <c r="O983" i="6" a="1"/>
  <c r="O983" i="6"/>
  <c r="M983" i="6" a="1"/>
  <c r="M983" i="6"/>
  <c r="J983" i="6" a="1"/>
  <c r="J983" i="6"/>
  <c r="G983" i="6" a="1"/>
  <c r="G983" i="6"/>
  <c r="F983" i="6" a="1"/>
  <c r="F983" i="6"/>
  <c r="E983" i="6" a="1"/>
  <c r="E983" i="6"/>
  <c r="D983" i="6" a="1"/>
  <c r="D983" i="6"/>
  <c r="C983" i="6" a="1"/>
  <c r="C983" i="6"/>
  <c r="N982" i="6" a="1"/>
  <c r="N982" i="6"/>
  <c r="S982" i="6"/>
  <c r="R982" i="6" a="1"/>
  <c r="R982" i="6"/>
  <c r="Q982" i="6" a="1"/>
  <c r="Q982" i="6"/>
  <c r="O982" i="6" a="1"/>
  <c r="O982" i="6"/>
  <c r="M982" i="6" a="1"/>
  <c r="M982" i="6"/>
  <c r="J982" i="6" a="1"/>
  <c r="J982" i="6"/>
  <c r="G982" i="6" a="1"/>
  <c r="G982" i="6"/>
  <c r="F982" i="6" a="1"/>
  <c r="F982" i="6"/>
  <c r="E982" i="6" a="1"/>
  <c r="E982" i="6"/>
  <c r="D982" i="6" a="1"/>
  <c r="D982" i="6"/>
  <c r="C982" i="6" a="1"/>
  <c r="C982" i="6"/>
  <c r="N981" i="6" a="1"/>
  <c r="N981" i="6"/>
  <c r="S981" i="6"/>
  <c r="R981" i="6" a="1"/>
  <c r="R981" i="6"/>
  <c r="Q981" i="6" a="1"/>
  <c r="Q981" i="6"/>
  <c r="O981" i="6" a="1"/>
  <c r="O981" i="6"/>
  <c r="M981" i="6" a="1"/>
  <c r="M981" i="6"/>
  <c r="J981" i="6" a="1"/>
  <c r="J981" i="6"/>
  <c r="G981" i="6" a="1"/>
  <c r="G981" i="6"/>
  <c r="F981" i="6" a="1"/>
  <c r="F981" i="6"/>
  <c r="E981" i="6" a="1"/>
  <c r="E981" i="6"/>
  <c r="D981" i="6" a="1"/>
  <c r="D981" i="6"/>
  <c r="C981" i="6" a="1"/>
  <c r="C981" i="6"/>
  <c r="N980" i="6" a="1"/>
  <c r="N980" i="6"/>
  <c r="S980" i="6"/>
  <c r="R980" i="6" a="1"/>
  <c r="R980" i="6"/>
  <c r="Q980" i="6" a="1"/>
  <c r="Q980" i="6"/>
  <c r="O980" i="6" a="1"/>
  <c r="O980" i="6"/>
  <c r="M980" i="6" a="1"/>
  <c r="M980" i="6"/>
  <c r="J980" i="6" a="1"/>
  <c r="J980" i="6"/>
  <c r="G980" i="6" a="1"/>
  <c r="G980" i="6"/>
  <c r="F980" i="6" a="1"/>
  <c r="F980" i="6"/>
  <c r="E980" i="6" a="1"/>
  <c r="E980" i="6"/>
  <c r="D980" i="6" a="1"/>
  <c r="D980" i="6"/>
  <c r="C980" i="6" a="1"/>
  <c r="C980" i="6"/>
  <c r="N979" i="6" a="1"/>
  <c r="N979" i="6"/>
  <c r="S979" i="6"/>
  <c r="R979" i="6" a="1"/>
  <c r="R979" i="6"/>
  <c r="Q979" i="6" a="1"/>
  <c r="Q979" i="6"/>
  <c r="O979" i="6" a="1"/>
  <c r="O979" i="6"/>
  <c r="M979" i="6" a="1"/>
  <c r="M979" i="6"/>
  <c r="J979" i="6" a="1"/>
  <c r="J979" i="6"/>
  <c r="G979" i="6" a="1"/>
  <c r="G979" i="6"/>
  <c r="F979" i="6" a="1"/>
  <c r="F979" i="6"/>
  <c r="E979" i="6" a="1"/>
  <c r="E979" i="6"/>
  <c r="D979" i="6" a="1"/>
  <c r="D979" i="6"/>
  <c r="C979" i="6" a="1"/>
  <c r="C979" i="6"/>
  <c r="N978" i="6" a="1"/>
  <c r="N978" i="6"/>
  <c r="S978" i="6"/>
  <c r="R978" i="6" a="1"/>
  <c r="R978" i="6"/>
  <c r="Q978" i="6" a="1"/>
  <c r="Q978" i="6"/>
  <c r="O978" i="6" a="1"/>
  <c r="O978" i="6"/>
  <c r="M978" i="6" a="1"/>
  <c r="M978" i="6"/>
  <c r="J978" i="6" a="1"/>
  <c r="J978" i="6"/>
  <c r="G978" i="6" a="1"/>
  <c r="G978" i="6"/>
  <c r="F978" i="6" a="1"/>
  <c r="F978" i="6"/>
  <c r="E978" i="6" a="1"/>
  <c r="E978" i="6"/>
  <c r="D978" i="6" a="1"/>
  <c r="D978" i="6"/>
  <c r="C978" i="6" a="1"/>
  <c r="C978" i="6"/>
  <c r="N977" i="6" a="1"/>
  <c r="N977" i="6"/>
  <c r="S977" i="6"/>
  <c r="R977" i="6" a="1"/>
  <c r="R977" i="6"/>
  <c r="Q977" i="6" a="1"/>
  <c r="Q977" i="6"/>
  <c r="O977" i="6" a="1"/>
  <c r="O977" i="6"/>
  <c r="M977" i="6" a="1"/>
  <c r="M977" i="6"/>
  <c r="J977" i="6" a="1"/>
  <c r="J977" i="6"/>
  <c r="G977" i="6" a="1"/>
  <c r="G977" i="6"/>
  <c r="F977" i="6" a="1"/>
  <c r="F977" i="6"/>
  <c r="E977" i="6" a="1"/>
  <c r="E977" i="6"/>
  <c r="D977" i="6" a="1"/>
  <c r="D977" i="6"/>
  <c r="C977" i="6" a="1"/>
  <c r="C977" i="6"/>
  <c r="N976" i="6" a="1"/>
  <c r="N976" i="6"/>
  <c r="S976" i="6"/>
  <c r="R976" i="6" a="1"/>
  <c r="R976" i="6"/>
  <c r="Q976" i="6" a="1"/>
  <c r="Q976" i="6"/>
  <c r="O976" i="6" a="1"/>
  <c r="O976" i="6"/>
  <c r="M976" i="6" a="1"/>
  <c r="M976" i="6"/>
  <c r="J976" i="6" a="1"/>
  <c r="J976" i="6"/>
  <c r="G976" i="6" a="1"/>
  <c r="G976" i="6"/>
  <c r="F976" i="6" a="1"/>
  <c r="F976" i="6"/>
  <c r="E976" i="6" a="1"/>
  <c r="E976" i="6"/>
  <c r="D976" i="6" a="1"/>
  <c r="D976" i="6"/>
  <c r="C976" i="6" a="1"/>
  <c r="C976" i="6"/>
  <c r="N975" i="6" a="1"/>
  <c r="N975" i="6"/>
  <c r="S975" i="6"/>
  <c r="R975" i="6" a="1"/>
  <c r="R975" i="6"/>
  <c r="Q975" i="6" a="1"/>
  <c r="Q975" i="6"/>
  <c r="O975" i="6" a="1"/>
  <c r="O975" i="6"/>
  <c r="M975" i="6" a="1"/>
  <c r="M975" i="6"/>
  <c r="J975" i="6" a="1"/>
  <c r="J975" i="6"/>
  <c r="G975" i="6" a="1"/>
  <c r="G975" i="6"/>
  <c r="F975" i="6" a="1"/>
  <c r="F975" i="6"/>
  <c r="E975" i="6" a="1"/>
  <c r="E975" i="6"/>
  <c r="D975" i="6" a="1"/>
  <c r="D975" i="6"/>
  <c r="C975" i="6" a="1"/>
  <c r="C975" i="6"/>
  <c r="N974" i="6" a="1"/>
  <c r="N974" i="6"/>
  <c r="S974" i="6"/>
  <c r="R974" i="6" a="1"/>
  <c r="R974" i="6"/>
  <c r="Q974" i="6" a="1"/>
  <c r="Q974" i="6"/>
  <c r="O974" i="6" a="1"/>
  <c r="O974" i="6"/>
  <c r="M974" i="6" a="1"/>
  <c r="M974" i="6"/>
  <c r="J974" i="6" a="1"/>
  <c r="J974" i="6"/>
  <c r="G974" i="6" a="1"/>
  <c r="G974" i="6"/>
  <c r="F974" i="6" a="1"/>
  <c r="F974" i="6"/>
  <c r="E974" i="6" a="1"/>
  <c r="E974" i="6"/>
  <c r="D974" i="6" a="1"/>
  <c r="D974" i="6"/>
  <c r="C974" i="6" a="1"/>
  <c r="C974" i="6"/>
  <c r="N973" i="6" a="1"/>
  <c r="N973" i="6"/>
  <c r="S973" i="6"/>
  <c r="R973" i="6" a="1"/>
  <c r="R973" i="6"/>
  <c r="Q973" i="6" a="1"/>
  <c r="Q973" i="6"/>
  <c r="O973" i="6" a="1"/>
  <c r="O973" i="6"/>
  <c r="M973" i="6" a="1"/>
  <c r="M973" i="6"/>
  <c r="J973" i="6" a="1"/>
  <c r="J973" i="6"/>
  <c r="G973" i="6" a="1"/>
  <c r="G973" i="6"/>
  <c r="F973" i="6" a="1"/>
  <c r="F973" i="6"/>
  <c r="E973" i="6" a="1"/>
  <c r="E973" i="6"/>
  <c r="D973" i="6" a="1"/>
  <c r="D973" i="6"/>
  <c r="C973" i="6" a="1"/>
  <c r="C973" i="6"/>
  <c r="N972" i="6" a="1"/>
  <c r="N972" i="6"/>
  <c r="S972" i="6"/>
  <c r="R972" i="6" a="1"/>
  <c r="R972" i="6"/>
  <c r="Q972" i="6" a="1"/>
  <c r="Q972" i="6"/>
  <c r="O972" i="6" a="1"/>
  <c r="O972" i="6"/>
  <c r="M972" i="6" a="1"/>
  <c r="M972" i="6"/>
  <c r="J972" i="6" a="1"/>
  <c r="J972" i="6"/>
  <c r="G972" i="6" a="1"/>
  <c r="G972" i="6"/>
  <c r="F972" i="6" a="1"/>
  <c r="F972" i="6"/>
  <c r="E972" i="6" a="1"/>
  <c r="E972" i="6"/>
  <c r="D972" i="6" a="1"/>
  <c r="D972" i="6"/>
  <c r="C972" i="6" a="1"/>
  <c r="C972" i="6"/>
  <c r="N971" i="6" a="1"/>
  <c r="N971" i="6"/>
  <c r="S971" i="6"/>
  <c r="R971" i="6" a="1"/>
  <c r="R971" i="6"/>
  <c r="Q971" i="6" a="1"/>
  <c r="Q971" i="6"/>
  <c r="O971" i="6" a="1"/>
  <c r="O971" i="6"/>
  <c r="M971" i="6" a="1"/>
  <c r="M971" i="6"/>
  <c r="J971" i="6" a="1"/>
  <c r="J971" i="6"/>
  <c r="G971" i="6" a="1"/>
  <c r="G971" i="6"/>
  <c r="F971" i="6" a="1"/>
  <c r="F971" i="6"/>
  <c r="E971" i="6" a="1"/>
  <c r="E971" i="6"/>
  <c r="D971" i="6" a="1"/>
  <c r="D971" i="6"/>
  <c r="C971" i="6" a="1"/>
  <c r="C971" i="6"/>
  <c r="N970" i="6" a="1"/>
  <c r="N970" i="6"/>
  <c r="S970" i="6"/>
  <c r="R970" i="6" a="1"/>
  <c r="R970" i="6"/>
  <c r="Q970" i="6" a="1"/>
  <c r="Q970" i="6"/>
  <c r="O970" i="6" a="1"/>
  <c r="O970" i="6"/>
  <c r="M970" i="6" a="1"/>
  <c r="M970" i="6"/>
  <c r="J970" i="6" a="1"/>
  <c r="J970" i="6"/>
  <c r="G970" i="6" a="1"/>
  <c r="G970" i="6"/>
  <c r="F970" i="6" a="1"/>
  <c r="F970" i="6"/>
  <c r="E970" i="6" a="1"/>
  <c r="E970" i="6"/>
  <c r="D970" i="6" a="1"/>
  <c r="D970" i="6"/>
  <c r="C970" i="6" a="1"/>
  <c r="C970" i="6"/>
  <c r="N969" i="6" a="1"/>
  <c r="N969" i="6"/>
  <c r="S969" i="6"/>
  <c r="R969" i="6" a="1"/>
  <c r="R969" i="6"/>
  <c r="Q969" i="6" a="1"/>
  <c r="Q969" i="6"/>
  <c r="O969" i="6" a="1"/>
  <c r="O969" i="6"/>
  <c r="M969" i="6" a="1"/>
  <c r="M969" i="6"/>
  <c r="J969" i="6" a="1"/>
  <c r="J969" i="6"/>
  <c r="G969" i="6" a="1"/>
  <c r="G969" i="6"/>
  <c r="F969" i="6" a="1"/>
  <c r="F969" i="6"/>
  <c r="E969" i="6" a="1"/>
  <c r="E969" i="6"/>
  <c r="D969" i="6" a="1"/>
  <c r="D969" i="6"/>
  <c r="C969" i="6" a="1"/>
  <c r="C969" i="6"/>
  <c r="N968" i="6" a="1"/>
  <c r="N968" i="6"/>
  <c r="S968" i="6"/>
  <c r="R968" i="6" a="1"/>
  <c r="R968" i="6"/>
  <c r="Q968" i="6" a="1"/>
  <c r="Q968" i="6"/>
  <c r="O968" i="6" a="1"/>
  <c r="O968" i="6"/>
  <c r="M968" i="6" a="1"/>
  <c r="M968" i="6"/>
  <c r="J968" i="6" a="1"/>
  <c r="J968" i="6"/>
  <c r="G968" i="6" a="1"/>
  <c r="G968" i="6"/>
  <c r="F968" i="6" a="1"/>
  <c r="F968" i="6"/>
  <c r="E968" i="6" a="1"/>
  <c r="E968" i="6"/>
  <c r="D968" i="6" a="1"/>
  <c r="D968" i="6"/>
  <c r="C968" i="6" a="1"/>
  <c r="C968" i="6"/>
  <c r="N967" i="6" a="1"/>
  <c r="N967" i="6"/>
  <c r="S967" i="6"/>
  <c r="R967" i="6" a="1"/>
  <c r="R967" i="6"/>
  <c r="Q967" i="6" a="1"/>
  <c r="Q967" i="6"/>
  <c r="O967" i="6" a="1"/>
  <c r="O967" i="6"/>
  <c r="M967" i="6" a="1"/>
  <c r="M967" i="6"/>
  <c r="J967" i="6" a="1"/>
  <c r="J967" i="6"/>
  <c r="G967" i="6" a="1"/>
  <c r="G967" i="6"/>
  <c r="F967" i="6" a="1"/>
  <c r="F967" i="6"/>
  <c r="E967" i="6" a="1"/>
  <c r="E967" i="6"/>
  <c r="D967" i="6" a="1"/>
  <c r="D967" i="6"/>
  <c r="C967" i="6" a="1"/>
  <c r="C967" i="6"/>
  <c r="N966" i="6" a="1"/>
  <c r="N966" i="6"/>
  <c r="S966" i="6"/>
  <c r="R966" i="6" a="1"/>
  <c r="R966" i="6"/>
  <c r="Q966" i="6" a="1"/>
  <c r="Q966" i="6"/>
  <c r="O966" i="6" a="1"/>
  <c r="O966" i="6"/>
  <c r="M966" i="6" a="1"/>
  <c r="M966" i="6"/>
  <c r="J966" i="6" a="1"/>
  <c r="J966" i="6"/>
  <c r="G966" i="6" a="1"/>
  <c r="G966" i="6"/>
  <c r="F966" i="6" a="1"/>
  <c r="F966" i="6"/>
  <c r="E966" i="6" a="1"/>
  <c r="E966" i="6"/>
  <c r="D966" i="6" a="1"/>
  <c r="D966" i="6"/>
  <c r="C966" i="6" a="1"/>
  <c r="C966" i="6"/>
  <c r="N965" i="6" a="1"/>
  <c r="N965" i="6"/>
  <c r="S965" i="6"/>
  <c r="R965" i="6" a="1"/>
  <c r="R965" i="6"/>
  <c r="Q965" i="6" a="1"/>
  <c r="Q965" i="6"/>
  <c r="O965" i="6" a="1"/>
  <c r="O965" i="6"/>
  <c r="M965" i="6" a="1"/>
  <c r="M965" i="6"/>
  <c r="J965" i="6" a="1"/>
  <c r="J965" i="6"/>
  <c r="G965" i="6" a="1"/>
  <c r="G965" i="6"/>
  <c r="F965" i="6" a="1"/>
  <c r="F965" i="6"/>
  <c r="E965" i="6" a="1"/>
  <c r="E965" i="6"/>
  <c r="D965" i="6" a="1"/>
  <c r="D965" i="6"/>
  <c r="C965" i="6" a="1"/>
  <c r="C965" i="6"/>
  <c r="N964" i="6" a="1"/>
  <c r="N964" i="6"/>
  <c r="S964" i="6"/>
  <c r="R964" i="6" a="1"/>
  <c r="R964" i="6"/>
  <c r="Q964" i="6" a="1"/>
  <c r="Q964" i="6"/>
  <c r="O964" i="6" a="1"/>
  <c r="O964" i="6"/>
  <c r="M964" i="6" a="1"/>
  <c r="M964" i="6"/>
  <c r="J964" i="6" a="1"/>
  <c r="J964" i="6"/>
  <c r="G964" i="6" a="1"/>
  <c r="G964" i="6"/>
  <c r="F964" i="6" a="1"/>
  <c r="F964" i="6"/>
  <c r="E964" i="6" a="1"/>
  <c r="E964" i="6"/>
  <c r="D964" i="6" a="1"/>
  <c r="D964" i="6"/>
  <c r="C964" i="6" a="1"/>
  <c r="C964" i="6"/>
  <c r="N963" i="6" a="1"/>
  <c r="N963" i="6"/>
  <c r="S963" i="6"/>
  <c r="R963" i="6" a="1"/>
  <c r="R963" i="6"/>
  <c r="Q963" i="6" a="1"/>
  <c r="Q963" i="6"/>
  <c r="O963" i="6" a="1"/>
  <c r="O963" i="6"/>
  <c r="M963" i="6" a="1"/>
  <c r="M963" i="6"/>
  <c r="J963" i="6" a="1"/>
  <c r="J963" i="6"/>
  <c r="G963" i="6" a="1"/>
  <c r="G963" i="6"/>
  <c r="F963" i="6" a="1"/>
  <c r="F963" i="6"/>
  <c r="E963" i="6" a="1"/>
  <c r="E963" i="6"/>
  <c r="D963" i="6" a="1"/>
  <c r="D963" i="6"/>
  <c r="C963" i="6" a="1"/>
  <c r="C963" i="6"/>
  <c r="N962" i="6" a="1"/>
  <c r="N962" i="6"/>
  <c r="S962" i="6"/>
  <c r="R962" i="6" a="1"/>
  <c r="R962" i="6"/>
  <c r="Q962" i="6" a="1"/>
  <c r="Q962" i="6"/>
  <c r="O962" i="6" a="1"/>
  <c r="O962" i="6"/>
  <c r="M962" i="6" a="1"/>
  <c r="M962" i="6"/>
  <c r="J962" i="6" a="1"/>
  <c r="J962" i="6"/>
  <c r="G962" i="6" a="1"/>
  <c r="G962" i="6"/>
  <c r="F962" i="6" a="1"/>
  <c r="F962" i="6"/>
  <c r="E962" i="6" a="1"/>
  <c r="E962" i="6"/>
  <c r="D962" i="6" a="1"/>
  <c r="D962" i="6"/>
  <c r="C962" i="6" a="1"/>
  <c r="C962" i="6"/>
  <c r="N961" i="6" a="1"/>
  <c r="N961" i="6"/>
  <c r="S961" i="6"/>
  <c r="R961" i="6" a="1"/>
  <c r="R961" i="6"/>
  <c r="Q961" i="6" a="1"/>
  <c r="Q961" i="6"/>
  <c r="O961" i="6" a="1"/>
  <c r="O961" i="6"/>
  <c r="M961" i="6" a="1"/>
  <c r="M961" i="6"/>
  <c r="J961" i="6" a="1"/>
  <c r="J961" i="6"/>
  <c r="G961" i="6" a="1"/>
  <c r="G961" i="6"/>
  <c r="F961" i="6" a="1"/>
  <c r="F961" i="6"/>
  <c r="E961" i="6" a="1"/>
  <c r="E961" i="6"/>
  <c r="D961" i="6" a="1"/>
  <c r="D961" i="6"/>
  <c r="C961" i="6" a="1"/>
  <c r="C961" i="6"/>
  <c r="N960" i="6" a="1"/>
  <c r="N960" i="6"/>
  <c r="S960" i="6"/>
  <c r="R960" i="6" a="1"/>
  <c r="R960" i="6"/>
  <c r="Q960" i="6" a="1"/>
  <c r="Q960" i="6"/>
  <c r="O960" i="6" a="1"/>
  <c r="O960" i="6"/>
  <c r="M960" i="6" a="1"/>
  <c r="M960" i="6"/>
  <c r="J960" i="6" a="1"/>
  <c r="J960" i="6"/>
  <c r="G960" i="6" a="1"/>
  <c r="G960" i="6"/>
  <c r="F960" i="6" a="1"/>
  <c r="F960" i="6"/>
  <c r="E960" i="6" a="1"/>
  <c r="E960" i="6"/>
  <c r="D960" i="6" a="1"/>
  <c r="D960" i="6"/>
  <c r="C960" i="6" a="1"/>
  <c r="C960" i="6"/>
  <c r="N959" i="6" a="1"/>
  <c r="N959" i="6"/>
  <c r="S959" i="6"/>
  <c r="R959" i="6" a="1"/>
  <c r="R959" i="6"/>
  <c r="Q959" i="6" a="1"/>
  <c r="Q959" i="6"/>
  <c r="O959" i="6" a="1"/>
  <c r="O959" i="6"/>
  <c r="M959" i="6" a="1"/>
  <c r="M959" i="6"/>
  <c r="J959" i="6" a="1"/>
  <c r="J959" i="6"/>
  <c r="G959" i="6" a="1"/>
  <c r="G959" i="6"/>
  <c r="F959" i="6" a="1"/>
  <c r="F959" i="6"/>
  <c r="E959" i="6" a="1"/>
  <c r="E959" i="6"/>
  <c r="D959" i="6" a="1"/>
  <c r="D959" i="6"/>
  <c r="C959" i="6" a="1"/>
  <c r="C959" i="6"/>
  <c r="N958" i="6" a="1"/>
  <c r="N958" i="6"/>
  <c r="S958" i="6"/>
  <c r="R958" i="6" a="1"/>
  <c r="R958" i="6"/>
  <c r="Q958" i="6" a="1"/>
  <c r="Q958" i="6"/>
  <c r="O958" i="6" a="1"/>
  <c r="O958" i="6"/>
  <c r="M958" i="6" a="1"/>
  <c r="M958" i="6"/>
  <c r="J958" i="6" a="1"/>
  <c r="J958" i="6"/>
  <c r="G958" i="6" a="1"/>
  <c r="G958" i="6"/>
  <c r="F958" i="6" a="1"/>
  <c r="F958" i="6"/>
  <c r="E958" i="6" a="1"/>
  <c r="E958" i="6"/>
  <c r="D958" i="6" a="1"/>
  <c r="D958" i="6"/>
  <c r="C958" i="6" a="1"/>
  <c r="C958" i="6"/>
  <c r="N957" i="6" a="1"/>
  <c r="N957" i="6"/>
  <c r="S957" i="6"/>
  <c r="R957" i="6" a="1"/>
  <c r="R957" i="6"/>
  <c r="Q957" i="6" a="1"/>
  <c r="Q957" i="6"/>
  <c r="O957" i="6" a="1"/>
  <c r="O957" i="6"/>
  <c r="M957" i="6" a="1"/>
  <c r="M957" i="6"/>
  <c r="J957" i="6" a="1"/>
  <c r="J957" i="6"/>
  <c r="G957" i="6" a="1"/>
  <c r="G957" i="6"/>
  <c r="F957" i="6" a="1"/>
  <c r="F957" i="6"/>
  <c r="E957" i="6" a="1"/>
  <c r="E957" i="6"/>
  <c r="D957" i="6" a="1"/>
  <c r="D957" i="6"/>
  <c r="C957" i="6" a="1"/>
  <c r="C957" i="6"/>
  <c r="N956" i="6" a="1"/>
  <c r="N956" i="6"/>
  <c r="S956" i="6"/>
  <c r="R956" i="6" a="1"/>
  <c r="R956" i="6"/>
  <c r="Q956" i="6" a="1"/>
  <c r="Q956" i="6"/>
  <c r="O956" i="6" a="1"/>
  <c r="O956" i="6"/>
  <c r="M956" i="6" a="1"/>
  <c r="M956" i="6"/>
  <c r="J956" i="6" a="1"/>
  <c r="J956" i="6"/>
  <c r="G956" i="6" a="1"/>
  <c r="G956" i="6"/>
  <c r="F956" i="6" a="1"/>
  <c r="F956" i="6"/>
  <c r="E956" i="6" a="1"/>
  <c r="E956" i="6"/>
  <c r="D956" i="6" a="1"/>
  <c r="D956" i="6"/>
  <c r="C956" i="6" a="1"/>
  <c r="C956" i="6"/>
  <c r="N955" i="6" a="1"/>
  <c r="N955" i="6"/>
  <c r="S955" i="6"/>
  <c r="R955" i="6" a="1"/>
  <c r="R955" i="6"/>
  <c r="Q955" i="6" a="1"/>
  <c r="Q955" i="6"/>
  <c r="O955" i="6" a="1"/>
  <c r="O955" i="6"/>
  <c r="M955" i="6" a="1"/>
  <c r="M955" i="6"/>
  <c r="J955" i="6" a="1"/>
  <c r="J955" i="6"/>
  <c r="G955" i="6" a="1"/>
  <c r="G955" i="6"/>
  <c r="F955" i="6" a="1"/>
  <c r="F955" i="6"/>
  <c r="E955" i="6" a="1"/>
  <c r="E955" i="6"/>
  <c r="D955" i="6" a="1"/>
  <c r="D955" i="6"/>
  <c r="C955" i="6" a="1"/>
  <c r="C955" i="6"/>
  <c r="N954" i="6" a="1"/>
  <c r="N954" i="6"/>
  <c r="S954" i="6"/>
  <c r="R954" i="6" a="1"/>
  <c r="R954" i="6"/>
  <c r="Q954" i="6" a="1"/>
  <c r="Q954" i="6"/>
  <c r="O954" i="6" a="1"/>
  <c r="O954" i="6"/>
  <c r="M954" i="6" a="1"/>
  <c r="M954" i="6"/>
  <c r="J954" i="6" a="1"/>
  <c r="J954" i="6"/>
  <c r="G954" i="6" a="1"/>
  <c r="G954" i="6"/>
  <c r="F954" i="6" a="1"/>
  <c r="F954" i="6"/>
  <c r="E954" i="6" a="1"/>
  <c r="E954" i="6"/>
  <c r="D954" i="6" a="1"/>
  <c r="D954" i="6"/>
  <c r="C954" i="6" a="1"/>
  <c r="C954" i="6"/>
  <c r="N953" i="6" a="1"/>
  <c r="N953" i="6"/>
  <c r="S953" i="6"/>
  <c r="R953" i="6" a="1"/>
  <c r="R953" i="6"/>
  <c r="Q953" i="6" a="1"/>
  <c r="Q953" i="6"/>
  <c r="O953" i="6" a="1"/>
  <c r="O953" i="6"/>
  <c r="M953" i="6" a="1"/>
  <c r="M953" i="6"/>
  <c r="J953" i="6" a="1"/>
  <c r="J953" i="6"/>
  <c r="G953" i="6" a="1"/>
  <c r="G953" i="6"/>
  <c r="F953" i="6" a="1"/>
  <c r="F953" i="6"/>
  <c r="E953" i="6" a="1"/>
  <c r="E953" i="6"/>
  <c r="D953" i="6" a="1"/>
  <c r="D953" i="6"/>
  <c r="C953" i="6" a="1"/>
  <c r="C953" i="6"/>
  <c r="N952" i="6" a="1"/>
  <c r="N952" i="6"/>
  <c r="S952" i="6"/>
  <c r="R952" i="6" a="1"/>
  <c r="R952" i="6"/>
  <c r="Q952" i="6" a="1"/>
  <c r="Q952" i="6"/>
  <c r="O952" i="6" a="1"/>
  <c r="O952" i="6"/>
  <c r="M952" i="6" a="1"/>
  <c r="M952" i="6"/>
  <c r="J952" i="6" a="1"/>
  <c r="J952" i="6"/>
  <c r="G952" i="6" a="1"/>
  <c r="G952" i="6"/>
  <c r="F952" i="6" a="1"/>
  <c r="F952" i="6"/>
  <c r="E952" i="6" a="1"/>
  <c r="E952" i="6"/>
  <c r="D952" i="6" a="1"/>
  <c r="D952" i="6"/>
  <c r="C952" i="6" a="1"/>
  <c r="C952" i="6"/>
  <c r="N951" i="6" a="1"/>
  <c r="N951" i="6"/>
  <c r="S951" i="6"/>
  <c r="R951" i="6" a="1"/>
  <c r="R951" i="6"/>
  <c r="Q951" i="6" a="1"/>
  <c r="Q951" i="6"/>
  <c r="O951" i="6" a="1"/>
  <c r="O951" i="6"/>
  <c r="M951" i="6" a="1"/>
  <c r="M951" i="6"/>
  <c r="J951" i="6" a="1"/>
  <c r="J951" i="6"/>
  <c r="G951" i="6" a="1"/>
  <c r="G951" i="6"/>
  <c r="F951" i="6" a="1"/>
  <c r="F951" i="6"/>
  <c r="E951" i="6" a="1"/>
  <c r="E951" i="6"/>
  <c r="D951" i="6" a="1"/>
  <c r="D951" i="6"/>
  <c r="C951" i="6" a="1"/>
  <c r="C951" i="6"/>
  <c r="N950" i="6" a="1"/>
  <c r="N950" i="6"/>
  <c r="S950" i="6"/>
  <c r="R950" i="6" a="1"/>
  <c r="R950" i="6"/>
  <c r="Q950" i="6" a="1"/>
  <c r="Q950" i="6"/>
  <c r="O950" i="6" a="1"/>
  <c r="O950" i="6"/>
  <c r="M950" i="6" a="1"/>
  <c r="M950" i="6"/>
  <c r="J950" i="6" a="1"/>
  <c r="J950" i="6"/>
  <c r="G950" i="6" a="1"/>
  <c r="G950" i="6"/>
  <c r="F950" i="6" a="1"/>
  <c r="F950" i="6"/>
  <c r="E950" i="6" a="1"/>
  <c r="E950" i="6"/>
  <c r="D950" i="6" a="1"/>
  <c r="D950" i="6"/>
  <c r="C950" i="6" a="1"/>
  <c r="C950" i="6"/>
  <c r="N949" i="6" a="1"/>
  <c r="N949" i="6"/>
  <c r="S949" i="6"/>
  <c r="R949" i="6" a="1"/>
  <c r="R949" i="6"/>
  <c r="Q949" i="6" a="1"/>
  <c r="Q949" i="6"/>
  <c r="O949" i="6" a="1"/>
  <c r="O949" i="6"/>
  <c r="M949" i="6" a="1"/>
  <c r="M949" i="6"/>
  <c r="J949" i="6" a="1"/>
  <c r="J949" i="6"/>
  <c r="G949" i="6" a="1"/>
  <c r="G949" i="6"/>
  <c r="F949" i="6" a="1"/>
  <c r="F949" i="6"/>
  <c r="E949" i="6" a="1"/>
  <c r="E949" i="6"/>
  <c r="D949" i="6" a="1"/>
  <c r="D949" i="6"/>
  <c r="C949" i="6" a="1"/>
  <c r="C949" i="6"/>
  <c r="N948" i="6" a="1"/>
  <c r="N948" i="6"/>
  <c r="S948" i="6"/>
  <c r="R948" i="6" a="1"/>
  <c r="R948" i="6"/>
  <c r="Q948" i="6" a="1"/>
  <c r="Q948" i="6"/>
  <c r="O948" i="6" a="1"/>
  <c r="O948" i="6"/>
  <c r="M948" i="6" a="1"/>
  <c r="M948" i="6"/>
  <c r="J948" i="6" a="1"/>
  <c r="J948" i="6"/>
  <c r="G948" i="6" a="1"/>
  <c r="G948" i="6"/>
  <c r="F948" i="6" a="1"/>
  <c r="F948" i="6"/>
  <c r="E948" i="6" a="1"/>
  <c r="E948" i="6"/>
  <c r="D948" i="6" a="1"/>
  <c r="D948" i="6"/>
  <c r="C948" i="6" a="1"/>
  <c r="C948" i="6"/>
  <c r="N947" i="6" a="1"/>
  <c r="N947" i="6"/>
  <c r="S947" i="6"/>
  <c r="R947" i="6" a="1"/>
  <c r="R947" i="6"/>
  <c r="Q947" i="6" a="1"/>
  <c r="Q947" i="6"/>
  <c r="O947" i="6" a="1"/>
  <c r="O947" i="6"/>
  <c r="M947" i="6" a="1"/>
  <c r="M947" i="6"/>
  <c r="J947" i="6" a="1"/>
  <c r="J947" i="6"/>
  <c r="G947" i="6" a="1"/>
  <c r="G947" i="6"/>
  <c r="F947" i="6" a="1"/>
  <c r="F947" i="6"/>
  <c r="E947" i="6" a="1"/>
  <c r="E947" i="6"/>
  <c r="D947" i="6" a="1"/>
  <c r="D947" i="6"/>
  <c r="C947" i="6" a="1"/>
  <c r="C947" i="6"/>
  <c r="N946" i="6" a="1"/>
  <c r="N946" i="6"/>
  <c r="S946" i="6"/>
  <c r="R946" i="6" a="1"/>
  <c r="R946" i="6"/>
  <c r="Q946" i="6" a="1"/>
  <c r="Q946" i="6"/>
  <c r="O946" i="6" a="1"/>
  <c r="O946" i="6"/>
  <c r="M946" i="6" a="1"/>
  <c r="M946" i="6"/>
  <c r="J946" i="6" a="1"/>
  <c r="J946" i="6"/>
  <c r="G946" i="6" a="1"/>
  <c r="G946" i="6"/>
  <c r="F946" i="6" a="1"/>
  <c r="F946" i="6"/>
  <c r="E946" i="6" a="1"/>
  <c r="E946" i="6"/>
  <c r="D946" i="6" a="1"/>
  <c r="D946" i="6"/>
  <c r="C946" i="6" a="1"/>
  <c r="C946" i="6"/>
  <c r="N945" i="6" a="1"/>
  <c r="N945" i="6"/>
  <c r="S945" i="6"/>
  <c r="R945" i="6" a="1"/>
  <c r="R945" i="6"/>
  <c r="Q945" i="6" a="1"/>
  <c r="Q945" i="6"/>
  <c r="O945" i="6" a="1"/>
  <c r="O945" i="6"/>
  <c r="M945" i="6" a="1"/>
  <c r="M945" i="6"/>
  <c r="J945" i="6" a="1"/>
  <c r="J945" i="6"/>
  <c r="G945" i="6" a="1"/>
  <c r="G945" i="6"/>
  <c r="F945" i="6" a="1"/>
  <c r="F945" i="6"/>
  <c r="E945" i="6" a="1"/>
  <c r="E945" i="6"/>
  <c r="D945" i="6" a="1"/>
  <c r="D945" i="6"/>
  <c r="C945" i="6" a="1"/>
  <c r="C945" i="6"/>
  <c r="N944" i="6" a="1"/>
  <c r="N944" i="6"/>
  <c r="S944" i="6"/>
  <c r="R944" i="6" a="1"/>
  <c r="R944" i="6"/>
  <c r="Q944" i="6" a="1"/>
  <c r="Q944" i="6"/>
  <c r="O944" i="6" a="1"/>
  <c r="O944" i="6"/>
  <c r="M944" i="6" a="1"/>
  <c r="M944" i="6"/>
  <c r="J944" i="6" a="1"/>
  <c r="J944" i="6"/>
  <c r="G944" i="6" a="1"/>
  <c r="G944" i="6"/>
  <c r="F944" i="6" a="1"/>
  <c r="F944" i="6"/>
  <c r="E944" i="6" a="1"/>
  <c r="E944" i="6"/>
  <c r="D944" i="6" a="1"/>
  <c r="D944" i="6"/>
  <c r="C944" i="6" a="1"/>
  <c r="C944" i="6"/>
  <c r="N943" i="6" a="1"/>
  <c r="N943" i="6"/>
  <c r="S943" i="6"/>
  <c r="R943" i="6" a="1"/>
  <c r="R943" i="6"/>
  <c r="Q943" i="6" a="1"/>
  <c r="Q943" i="6"/>
  <c r="O943" i="6" a="1"/>
  <c r="O943" i="6"/>
  <c r="M943" i="6" a="1"/>
  <c r="M943" i="6"/>
  <c r="J943" i="6" a="1"/>
  <c r="J943" i="6"/>
  <c r="G943" i="6" a="1"/>
  <c r="G943" i="6"/>
  <c r="F943" i="6" a="1"/>
  <c r="F943" i="6"/>
  <c r="E943" i="6" a="1"/>
  <c r="E943" i="6"/>
  <c r="D943" i="6" a="1"/>
  <c r="D943" i="6"/>
  <c r="C943" i="6" a="1"/>
  <c r="C943" i="6"/>
  <c r="N942" i="6" a="1"/>
  <c r="N942" i="6"/>
  <c r="S942" i="6"/>
  <c r="R942" i="6" a="1"/>
  <c r="R942" i="6"/>
  <c r="Q942" i="6" a="1"/>
  <c r="Q942" i="6"/>
  <c r="O942" i="6" a="1"/>
  <c r="O942" i="6"/>
  <c r="M942" i="6" a="1"/>
  <c r="M942" i="6"/>
  <c r="J942" i="6" a="1"/>
  <c r="J942" i="6"/>
  <c r="G942" i="6" a="1"/>
  <c r="G942" i="6"/>
  <c r="F942" i="6" a="1"/>
  <c r="F942" i="6"/>
  <c r="E942" i="6" a="1"/>
  <c r="E942" i="6"/>
  <c r="D942" i="6" a="1"/>
  <c r="D942" i="6"/>
  <c r="C942" i="6" a="1"/>
  <c r="C942" i="6"/>
  <c r="N941" i="6" a="1"/>
  <c r="N941" i="6"/>
  <c r="S941" i="6"/>
  <c r="R941" i="6" a="1"/>
  <c r="R941" i="6"/>
  <c r="Q941" i="6" a="1"/>
  <c r="Q941" i="6"/>
  <c r="O941" i="6" a="1"/>
  <c r="O941" i="6"/>
  <c r="M941" i="6" a="1"/>
  <c r="M941" i="6"/>
  <c r="J941" i="6" a="1"/>
  <c r="J941" i="6"/>
  <c r="G941" i="6" a="1"/>
  <c r="G941" i="6"/>
  <c r="F941" i="6" a="1"/>
  <c r="F941" i="6"/>
  <c r="E941" i="6" a="1"/>
  <c r="E941" i="6"/>
  <c r="D941" i="6" a="1"/>
  <c r="D941" i="6"/>
  <c r="C941" i="6" a="1"/>
  <c r="C941" i="6"/>
  <c r="N940" i="6" a="1"/>
  <c r="N940" i="6"/>
  <c r="S940" i="6"/>
  <c r="R940" i="6" a="1"/>
  <c r="R940" i="6"/>
  <c r="Q940" i="6" a="1"/>
  <c r="Q940" i="6"/>
  <c r="O940" i="6" a="1"/>
  <c r="O940" i="6"/>
  <c r="M940" i="6" a="1"/>
  <c r="M940" i="6"/>
  <c r="J940" i="6" a="1"/>
  <c r="J940" i="6"/>
  <c r="G940" i="6" a="1"/>
  <c r="G940" i="6"/>
  <c r="F940" i="6" a="1"/>
  <c r="F940" i="6"/>
  <c r="E940" i="6" a="1"/>
  <c r="E940" i="6"/>
  <c r="D940" i="6" a="1"/>
  <c r="D940" i="6"/>
  <c r="C940" i="6" a="1"/>
  <c r="C940" i="6"/>
  <c r="N939" i="6" a="1"/>
  <c r="N939" i="6"/>
  <c r="S939" i="6"/>
  <c r="R939" i="6" a="1"/>
  <c r="R939" i="6"/>
  <c r="Q939" i="6" a="1"/>
  <c r="Q939" i="6"/>
  <c r="O939" i="6" a="1"/>
  <c r="O939" i="6"/>
  <c r="M939" i="6" a="1"/>
  <c r="M939" i="6"/>
  <c r="J939" i="6" a="1"/>
  <c r="J939" i="6"/>
  <c r="G939" i="6" a="1"/>
  <c r="G939" i="6"/>
  <c r="F939" i="6" a="1"/>
  <c r="F939" i="6"/>
  <c r="E939" i="6" a="1"/>
  <c r="E939" i="6"/>
  <c r="D939" i="6" a="1"/>
  <c r="D939" i="6"/>
  <c r="C939" i="6" a="1"/>
  <c r="C939" i="6"/>
  <c r="N938" i="6" a="1"/>
  <c r="N938" i="6"/>
  <c r="S938" i="6"/>
  <c r="R938" i="6" a="1"/>
  <c r="R938" i="6"/>
  <c r="Q938" i="6" a="1"/>
  <c r="Q938" i="6"/>
  <c r="O938" i="6" a="1"/>
  <c r="O938" i="6"/>
  <c r="M938" i="6" a="1"/>
  <c r="M938" i="6"/>
  <c r="J938" i="6" a="1"/>
  <c r="J938" i="6"/>
  <c r="G938" i="6" a="1"/>
  <c r="G938" i="6"/>
  <c r="F938" i="6" a="1"/>
  <c r="F938" i="6"/>
  <c r="E938" i="6" a="1"/>
  <c r="E938" i="6"/>
  <c r="D938" i="6" a="1"/>
  <c r="D938" i="6"/>
  <c r="C938" i="6" a="1"/>
  <c r="C938" i="6"/>
  <c r="N937" i="6" a="1"/>
  <c r="N937" i="6"/>
  <c r="S937" i="6"/>
  <c r="R937" i="6" a="1"/>
  <c r="R937" i="6"/>
  <c r="Q937" i="6" a="1"/>
  <c r="Q937" i="6"/>
  <c r="O937" i="6" a="1"/>
  <c r="O937" i="6"/>
  <c r="M937" i="6" a="1"/>
  <c r="M937" i="6"/>
  <c r="J937" i="6" a="1"/>
  <c r="J937" i="6"/>
  <c r="G937" i="6" a="1"/>
  <c r="G937" i="6"/>
  <c r="F937" i="6" a="1"/>
  <c r="F937" i="6"/>
  <c r="E937" i="6" a="1"/>
  <c r="E937" i="6"/>
  <c r="D937" i="6" a="1"/>
  <c r="D937" i="6"/>
  <c r="C937" i="6" a="1"/>
  <c r="C937" i="6"/>
  <c r="N936" i="6" a="1"/>
  <c r="N936" i="6"/>
  <c r="S936" i="6"/>
  <c r="R936" i="6" a="1"/>
  <c r="R936" i="6"/>
  <c r="Q936" i="6" a="1"/>
  <c r="Q936" i="6"/>
  <c r="O936" i="6" a="1"/>
  <c r="O936" i="6"/>
  <c r="M936" i="6" a="1"/>
  <c r="M936" i="6"/>
  <c r="J936" i="6" a="1"/>
  <c r="J936" i="6"/>
  <c r="G936" i="6" a="1"/>
  <c r="G936" i="6"/>
  <c r="F936" i="6" a="1"/>
  <c r="F936" i="6"/>
  <c r="E936" i="6" a="1"/>
  <c r="E936" i="6"/>
  <c r="D936" i="6" a="1"/>
  <c r="D936" i="6"/>
  <c r="C936" i="6" a="1"/>
  <c r="C936" i="6"/>
  <c r="N935" i="6" a="1"/>
  <c r="N935" i="6"/>
  <c r="S935" i="6"/>
  <c r="R935" i="6" a="1"/>
  <c r="R935" i="6"/>
  <c r="Q935" i="6" a="1"/>
  <c r="Q935" i="6"/>
  <c r="O935" i="6" a="1"/>
  <c r="O935" i="6"/>
  <c r="M935" i="6" a="1"/>
  <c r="M935" i="6"/>
  <c r="J935" i="6" a="1"/>
  <c r="J935" i="6"/>
  <c r="G935" i="6" a="1"/>
  <c r="G935" i="6"/>
  <c r="F935" i="6" a="1"/>
  <c r="F935" i="6"/>
  <c r="E935" i="6" a="1"/>
  <c r="E935" i="6"/>
  <c r="D935" i="6" a="1"/>
  <c r="D935" i="6"/>
  <c r="C935" i="6" a="1"/>
  <c r="C935" i="6"/>
  <c r="N934" i="6" a="1"/>
  <c r="N934" i="6"/>
  <c r="S934" i="6"/>
  <c r="R934" i="6" a="1"/>
  <c r="R934" i="6"/>
  <c r="Q934" i="6" a="1"/>
  <c r="Q934" i="6"/>
  <c r="O934" i="6" a="1"/>
  <c r="O934" i="6"/>
  <c r="M934" i="6" a="1"/>
  <c r="M934" i="6"/>
  <c r="J934" i="6" a="1"/>
  <c r="J934" i="6"/>
  <c r="G934" i="6" a="1"/>
  <c r="G934" i="6"/>
  <c r="F934" i="6" a="1"/>
  <c r="F934" i="6"/>
  <c r="E934" i="6" a="1"/>
  <c r="E934" i="6"/>
  <c r="D934" i="6" a="1"/>
  <c r="D934" i="6"/>
  <c r="C934" i="6" a="1"/>
  <c r="C934" i="6"/>
  <c r="N933" i="6" a="1"/>
  <c r="N933" i="6"/>
  <c r="S933" i="6"/>
  <c r="R933" i="6" a="1"/>
  <c r="R933" i="6"/>
  <c r="Q933" i="6" a="1"/>
  <c r="Q933" i="6"/>
  <c r="O933" i="6" a="1"/>
  <c r="O933" i="6"/>
  <c r="M933" i="6" a="1"/>
  <c r="M933" i="6"/>
  <c r="J933" i="6" a="1"/>
  <c r="J933" i="6"/>
  <c r="G933" i="6" a="1"/>
  <c r="G933" i="6"/>
  <c r="F933" i="6" a="1"/>
  <c r="F933" i="6"/>
  <c r="E933" i="6" a="1"/>
  <c r="E933" i="6"/>
  <c r="D933" i="6" a="1"/>
  <c r="D933" i="6"/>
  <c r="C933" i="6" a="1"/>
  <c r="C933" i="6"/>
  <c r="N932" i="6" a="1"/>
  <c r="N932" i="6"/>
  <c r="S932" i="6"/>
  <c r="R932" i="6" a="1"/>
  <c r="R932" i="6"/>
  <c r="Q932" i="6" a="1"/>
  <c r="Q932" i="6"/>
  <c r="O932" i="6" a="1"/>
  <c r="O932" i="6"/>
  <c r="M932" i="6" a="1"/>
  <c r="M932" i="6"/>
  <c r="J932" i="6" a="1"/>
  <c r="J932" i="6"/>
  <c r="G932" i="6" a="1"/>
  <c r="G932" i="6"/>
  <c r="F932" i="6" a="1"/>
  <c r="F932" i="6"/>
  <c r="E932" i="6" a="1"/>
  <c r="E932" i="6"/>
  <c r="D932" i="6" a="1"/>
  <c r="D932" i="6"/>
  <c r="C932" i="6" a="1"/>
  <c r="C932" i="6"/>
  <c r="N931" i="6" a="1"/>
  <c r="N931" i="6"/>
  <c r="S931" i="6"/>
  <c r="R931" i="6" a="1"/>
  <c r="R931" i="6"/>
  <c r="Q931" i="6" a="1"/>
  <c r="Q931" i="6"/>
  <c r="O931" i="6" a="1"/>
  <c r="O931" i="6"/>
  <c r="M931" i="6" a="1"/>
  <c r="M931" i="6"/>
  <c r="J931" i="6" a="1"/>
  <c r="J931" i="6"/>
  <c r="G931" i="6" a="1"/>
  <c r="G931" i="6"/>
  <c r="F931" i="6" a="1"/>
  <c r="F931" i="6"/>
  <c r="E931" i="6" a="1"/>
  <c r="E931" i="6"/>
  <c r="D931" i="6" a="1"/>
  <c r="D931" i="6"/>
  <c r="C931" i="6" a="1"/>
  <c r="C931" i="6"/>
  <c r="N930" i="6" a="1"/>
  <c r="N930" i="6"/>
  <c r="S930" i="6"/>
  <c r="R930" i="6" a="1"/>
  <c r="R930" i="6"/>
  <c r="Q930" i="6" a="1"/>
  <c r="Q930" i="6"/>
  <c r="O930" i="6" a="1"/>
  <c r="O930" i="6"/>
  <c r="M930" i="6" a="1"/>
  <c r="M930" i="6"/>
  <c r="J930" i="6" a="1"/>
  <c r="J930" i="6"/>
  <c r="G930" i="6" a="1"/>
  <c r="G930" i="6"/>
  <c r="F930" i="6" a="1"/>
  <c r="F930" i="6"/>
  <c r="E930" i="6" a="1"/>
  <c r="E930" i="6"/>
  <c r="D930" i="6" a="1"/>
  <c r="D930" i="6"/>
  <c r="C930" i="6" a="1"/>
  <c r="C930" i="6"/>
  <c r="N929" i="6" a="1"/>
  <c r="N929" i="6"/>
  <c r="S929" i="6"/>
  <c r="R929" i="6" a="1"/>
  <c r="R929" i="6"/>
  <c r="Q929" i="6" a="1"/>
  <c r="Q929" i="6"/>
  <c r="O929" i="6" a="1"/>
  <c r="O929" i="6"/>
  <c r="M929" i="6" a="1"/>
  <c r="M929" i="6"/>
  <c r="J929" i="6" a="1"/>
  <c r="J929" i="6"/>
  <c r="G929" i="6" a="1"/>
  <c r="G929" i="6"/>
  <c r="F929" i="6" a="1"/>
  <c r="F929" i="6"/>
  <c r="E929" i="6" a="1"/>
  <c r="E929" i="6"/>
  <c r="D929" i="6" a="1"/>
  <c r="D929" i="6"/>
  <c r="C929" i="6" a="1"/>
  <c r="C929" i="6"/>
  <c r="N928" i="6" a="1"/>
  <c r="N928" i="6"/>
  <c r="S928" i="6"/>
  <c r="R928" i="6" a="1"/>
  <c r="R928" i="6"/>
  <c r="Q928" i="6" a="1"/>
  <c r="Q928" i="6"/>
  <c r="O928" i="6" a="1"/>
  <c r="O928" i="6"/>
  <c r="M928" i="6" a="1"/>
  <c r="M928" i="6"/>
  <c r="J928" i="6" a="1"/>
  <c r="J928" i="6"/>
  <c r="G928" i="6" a="1"/>
  <c r="G928" i="6"/>
  <c r="F928" i="6" a="1"/>
  <c r="F928" i="6"/>
  <c r="E928" i="6" a="1"/>
  <c r="E928" i="6"/>
  <c r="D928" i="6" a="1"/>
  <c r="D928" i="6"/>
  <c r="C928" i="6" a="1"/>
  <c r="C928" i="6"/>
  <c r="N927" i="6" a="1"/>
  <c r="N927" i="6"/>
  <c r="S927" i="6"/>
  <c r="R927" i="6" a="1"/>
  <c r="R927" i="6"/>
  <c r="Q927" i="6" a="1"/>
  <c r="Q927" i="6"/>
  <c r="O927" i="6" a="1"/>
  <c r="O927" i="6"/>
  <c r="M927" i="6" a="1"/>
  <c r="M927" i="6"/>
  <c r="J927" i="6" a="1"/>
  <c r="J927" i="6"/>
  <c r="G927" i="6" a="1"/>
  <c r="G927" i="6"/>
  <c r="F927" i="6" a="1"/>
  <c r="F927" i="6"/>
  <c r="E927" i="6" a="1"/>
  <c r="E927" i="6"/>
  <c r="D927" i="6" a="1"/>
  <c r="D927" i="6"/>
  <c r="C927" i="6" a="1"/>
  <c r="C927" i="6"/>
  <c r="N926" i="6" a="1"/>
  <c r="N926" i="6"/>
  <c r="S926" i="6"/>
  <c r="R926" i="6" a="1"/>
  <c r="R926" i="6"/>
  <c r="Q926" i="6" a="1"/>
  <c r="Q926" i="6"/>
  <c r="O926" i="6" a="1"/>
  <c r="O926" i="6"/>
  <c r="M926" i="6" a="1"/>
  <c r="M926" i="6"/>
  <c r="J926" i="6" a="1"/>
  <c r="J926" i="6"/>
  <c r="G926" i="6" a="1"/>
  <c r="G926" i="6"/>
  <c r="F926" i="6" a="1"/>
  <c r="F926" i="6"/>
  <c r="E926" i="6" a="1"/>
  <c r="E926" i="6"/>
  <c r="D926" i="6" a="1"/>
  <c r="D926" i="6"/>
  <c r="C926" i="6" a="1"/>
  <c r="C926" i="6"/>
  <c r="N925" i="6" a="1"/>
  <c r="N925" i="6"/>
  <c r="S925" i="6"/>
  <c r="R925" i="6" a="1"/>
  <c r="R925" i="6"/>
  <c r="Q925" i="6" a="1"/>
  <c r="Q925" i="6"/>
  <c r="O925" i="6" a="1"/>
  <c r="O925" i="6"/>
  <c r="M925" i="6" a="1"/>
  <c r="M925" i="6"/>
  <c r="J925" i="6" a="1"/>
  <c r="J925" i="6"/>
  <c r="G925" i="6" a="1"/>
  <c r="G925" i="6"/>
  <c r="F925" i="6" a="1"/>
  <c r="F925" i="6"/>
  <c r="E925" i="6" a="1"/>
  <c r="E925" i="6"/>
  <c r="D925" i="6" a="1"/>
  <c r="D925" i="6"/>
  <c r="C925" i="6" a="1"/>
  <c r="C925" i="6"/>
  <c r="N924" i="6" a="1"/>
  <c r="N924" i="6"/>
  <c r="S924" i="6"/>
  <c r="R924" i="6" a="1"/>
  <c r="R924" i="6"/>
  <c r="Q924" i="6" a="1"/>
  <c r="Q924" i="6"/>
  <c r="O924" i="6" a="1"/>
  <c r="O924" i="6"/>
  <c r="M924" i="6" a="1"/>
  <c r="M924" i="6"/>
  <c r="J924" i="6" a="1"/>
  <c r="J924" i="6"/>
  <c r="G924" i="6" a="1"/>
  <c r="G924" i="6"/>
  <c r="F924" i="6" a="1"/>
  <c r="F924" i="6"/>
  <c r="E924" i="6" a="1"/>
  <c r="E924" i="6"/>
  <c r="D924" i="6" a="1"/>
  <c r="D924" i="6"/>
  <c r="C924" i="6" a="1"/>
  <c r="C924" i="6"/>
  <c r="N923" i="6" a="1"/>
  <c r="N923" i="6"/>
  <c r="S923" i="6"/>
  <c r="R923" i="6" a="1"/>
  <c r="R923" i="6"/>
  <c r="Q923" i="6" a="1"/>
  <c r="Q923" i="6"/>
  <c r="O923" i="6" a="1"/>
  <c r="O923" i="6"/>
  <c r="M923" i="6" a="1"/>
  <c r="M923" i="6"/>
  <c r="J923" i="6" a="1"/>
  <c r="J923" i="6"/>
  <c r="G923" i="6" a="1"/>
  <c r="G923" i="6"/>
  <c r="F923" i="6" a="1"/>
  <c r="F923" i="6"/>
  <c r="E923" i="6" a="1"/>
  <c r="E923" i="6"/>
  <c r="D923" i="6" a="1"/>
  <c r="D923" i="6"/>
  <c r="C923" i="6" a="1"/>
  <c r="C923" i="6"/>
  <c r="N922" i="6" a="1"/>
  <c r="N922" i="6"/>
  <c r="S922" i="6"/>
  <c r="R922" i="6" a="1"/>
  <c r="R922" i="6"/>
  <c r="Q922" i="6" a="1"/>
  <c r="Q922" i="6"/>
  <c r="O922" i="6" a="1"/>
  <c r="O922" i="6"/>
  <c r="M922" i="6" a="1"/>
  <c r="M922" i="6"/>
  <c r="J922" i="6" a="1"/>
  <c r="J922" i="6"/>
  <c r="G922" i="6" a="1"/>
  <c r="G922" i="6"/>
  <c r="F922" i="6" a="1"/>
  <c r="F922" i="6"/>
  <c r="E922" i="6" a="1"/>
  <c r="E922" i="6"/>
  <c r="D922" i="6" a="1"/>
  <c r="D922" i="6"/>
  <c r="C922" i="6" a="1"/>
  <c r="C922" i="6"/>
  <c r="N921" i="6" a="1"/>
  <c r="N921" i="6"/>
  <c r="S921" i="6"/>
  <c r="R921" i="6" a="1"/>
  <c r="R921" i="6"/>
  <c r="Q921" i="6" a="1"/>
  <c r="Q921" i="6"/>
  <c r="O921" i="6" a="1"/>
  <c r="O921" i="6"/>
  <c r="M921" i="6" a="1"/>
  <c r="M921" i="6"/>
  <c r="J921" i="6" a="1"/>
  <c r="J921" i="6"/>
  <c r="G921" i="6" a="1"/>
  <c r="G921" i="6"/>
  <c r="F921" i="6" a="1"/>
  <c r="F921" i="6"/>
  <c r="E921" i="6" a="1"/>
  <c r="E921" i="6"/>
  <c r="D921" i="6" a="1"/>
  <c r="D921" i="6"/>
  <c r="C921" i="6" a="1"/>
  <c r="C921" i="6"/>
  <c r="N920" i="6" a="1"/>
  <c r="N920" i="6"/>
  <c r="S920" i="6"/>
  <c r="R920" i="6" a="1"/>
  <c r="R920" i="6"/>
  <c r="Q920" i="6" a="1"/>
  <c r="Q920" i="6"/>
  <c r="O920" i="6" a="1"/>
  <c r="O920" i="6"/>
  <c r="M920" i="6" a="1"/>
  <c r="M920" i="6"/>
  <c r="J920" i="6" a="1"/>
  <c r="J920" i="6"/>
  <c r="G920" i="6" a="1"/>
  <c r="G920" i="6"/>
  <c r="F920" i="6" a="1"/>
  <c r="F920" i="6"/>
  <c r="E920" i="6" a="1"/>
  <c r="E920" i="6"/>
  <c r="D920" i="6" a="1"/>
  <c r="D920" i="6"/>
  <c r="C920" i="6" a="1"/>
  <c r="C920" i="6"/>
  <c r="N919" i="6" a="1"/>
  <c r="N919" i="6"/>
  <c r="S919" i="6"/>
  <c r="R919" i="6" a="1"/>
  <c r="R919" i="6"/>
  <c r="Q919" i="6" a="1"/>
  <c r="Q919" i="6"/>
  <c r="O919" i="6" a="1"/>
  <c r="O919" i="6"/>
  <c r="M919" i="6" a="1"/>
  <c r="M919" i="6"/>
  <c r="J919" i="6" a="1"/>
  <c r="J919" i="6"/>
  <c r="G919" i="6" a="1"/>
  <c r="G919" i="6"/>
  <c r="F919" i="6" a="1"/>
  <c r="F919" i="6"/>
  <c r="E919" i="6" a="1"/>
  <c r="E919" i="6"/>
  <c r="D919" i="6" a="1"/>
  <c r="D919" i="6"/>
  <c r="C919" i="6" a="1"/>
  <c r="C919" i="6"/>
  <c r="N918" i="6" a="1"/>
  <c r="N918" i="6"/>
  <c r="S918" i="6"/>
  <c r="R918" i="6" a="1"/>
  <c r="R918" i="6"/>
  <c r="Q918" i="6" a="1"/>
  <c r="Q918" i="6"/>
  <c r="O918" i="6" a="1"/>
  <c r="O918" i="6"/>
  <c r="M918" i="6" a="1"/>
  <c r="M918" i="6"/>
  <c r="J918" i="6" a="1"/>
  <c r="J918" i="6"/>
  <c r="G918" i="6" a="1"/>
  <c r="G918" i="6"/>
  <c r="F918" i="6" a="1"/>
  <c r="F918" i="6"/>
  <c r="E918" i="6" a="1"/>
  <c r="E918" i="6"/>
  <c r="D918" i="6" a="1"/>
  <c r="D918" i="6"/>
  <c r="C918" i="6" a="1"/>
  <c r="C918" i="6"/>
  <c r="N917" i="6" a="1"/>
  <c r="N917" i="6"/>
  <c r="S917" i="6"/>
  <c r="R917" i="6" a="1"/>
  <c r="R917" i="6"/>
  <c r="Q917" i="6" a="1"/>
  <c r="Q917" i="6"/>
  <c r="O917" i="6" a="1"/>
  <c r="O917" i="6"/>
  <c r="M917" i="6" a="1"/>
  <c r="M917" i="6"/>
  <c r="J917" i="6" a="1"/>
  <c r="J917" i="6"/>
  <c r="G917" i="6" a="1"/>
  <c r="G917" i="6"/>
  <c r="F917" i="6" a="1"/>
  <c r="F917" i="6"/>
  <c r="E917" i="6" a="1"/>
  <c r="E917" i="6"/>
  <c r="D917" i="6" a="1"/>
  <c r="D917" i="6"/>
  <c r="C917" i="6" a="1"/>
  <c r="C917" i="6"/>
  <c r="N916" i="6" a="1"/>
  <c r="N916" i="6"/>
  <c r="S916" i="6"/>
  <c r="R916" i="6" a="1"/>
  <c r="R916" i="6"/>
  <c r="Q916" i="6" a="1"/>
  <c r="Q916" i="6"/>
  <c r="O916" i="6" a="1"/>
  <c r="O916" i="6"/>
  <c r="M916" i="6" a="1"/>
  <c r="M916" i="6"/>
  <c r="J916" i="6" a="1"/>
  <c r="J916" i="6"/>
  <c r="G916" i="6" a="1"/>
  <c r="G916" i="6"/>
  <c r="F916" i="6" a="1"/>
  <c r="F916" i="6"/>
  <c r="E916" i="6" a="1"/>
  <c r="E916" i="6"/>
  <c r="D916" i="6" a="1"/>
  <c r="D916" i="6"/>
  <c r="C916" i="6" a="1"/>
  <c r="C916" i="6"/>
  <c r="N915" i="6" a="1"/>
  <c r="N915" i="6"/>
  <c r="S915" i="6"/>
  <c r="R915" i="6" a="1"/>
  <c r="R915" i="6"/>
  <c r="Q915" i="6" a="1"/>
  <c r="Q915" i="6"/>
  <c r="O915" i="6" a="1"/>
  <c r="O915" i="6"/>
  <c r="M915" i="6" a="1"/>
  <c r="M915" i="6"/>
  <c r="J915" i="6" a="1"/>
  <c r="J915" i="6"/>
  <c r="G915" i="6" a="1"/>
  <c r="G915" i="6"/>
  <c r="F915" i="6" a="1"/>
  <c r="F915" i="6"/>
  <c r="E915" i="6" a="1"/>
  <c r="E915" i="6"/>
  <c r="D915" i="6" a="1"/>
  <c r="D915" i="6"/>
  <c r="C915" i="6" a="1"/>
  <c r="C915" i="6"/>
  <c r="N914" i="6" a="1"/>
  <c r="N914" i="6"/>
  <c r="S914" i="6"/>
  <c r="R914" i="6" a="1"/>
  <c r="R914" i="6"/>
  <c r="Q914" i="6" a="1"/>
  <c r="Q914" i="6"/>
  <c r="O914" i="6" a="1"/>
  <c r="O914" i="6"/>
  <c r="M914" i="6" a="1"/>
  <c r="M914" i="6"/>
  <c r="J914" i="6" a="1"/>
  <c r="J914" i="6"/>
  <c r="G914" i="6" a="1"/>
  <c r="G914" i="6"/>
  <c r="F914" i="6" a="1"/>
  <c r="F914" i="6"/>
  <c r="E914" i="6" a="1"/>
  <c r="E914" i="6"/>
  <c r="D914" i="6" a="1"/>
  <c r="D914" i="6"/>
  <c r="C914" i="6" a="1"/>
  <c r="C914" i="6"/>
  <c r="N913" i="6" a="1"/>
  <c r="N913" i="6"/>
  <c r="S913" i="6"/>
  <c r="R913" i="6" a="1"/>
  <c r="R913" i="6"/>
  <c r="Q913" i="6" a="1"/>
  <c r="Q913" i="6"/>
  <c r="O913" i="6" a="1"/>
  <c r="O913" i="6"/>
  <c r="M913" i="6" a="1"/>
  <c r="M913" i="6"/>
  <c r="J913" i="6" a="1"/>
  <c r="J913" i="6"/>
  <c r="G913" i="6" a="1"/>
  <c r="G913" i="6"/>
  <c r="F913" i="6" a="1"/>
  <c r="F913" i="6"/>
  <c r="E913" i="6" a="1"/>
  <c r="E913" i="6"/>
  <c r="D913" i="6" a="1"/>
  <c r="D913" i="6"/>
  <c r="C913" i="6" a="1"/>
  <c r="C913" i="6"/>
  <c r="N912" i="6" a="1"/>
  <c r="N912" i="6"/>
  <c r="S912" i="6"/>
  <c r="R912" i="6" a="1"/>
  <c r="R912" i="6"/>
  <c r="Q912" i="6" a="1"/>
  <c r="Q912" i="6"/>
  <c r="O912" i="6" a="1"/>
  <c r="O912" i="6"/>
  <c r="M912" i="6" a="1"/>
  <c r="M912" i="6"/>
  <c r="J912" i="6" a="1"/>
  <c r="J912" i="6"/>
  <c r="G912" i="6" a="1"/>
  <c r="G912" i="6"/>
  <c r="F912" i="6" a="1"/>
  <c r="F912" i="6"/>
  <c r="E912" i="6" a="1"/>
  <c r="E912" i="6"/>
  <c r="D912" i="6" a="1"/>
  <c r="D912" i="6"/>
  <c r="C912" i="6" a="1"/>
  <c r="C912" i="6"/>
  <c r="N911" i="6" a="1"/>
  <c r="N911" i="6"/>
  <c r="S911" i="6"/>
  <c r="R911" i="6" a="1"/>
  <c r="R911" i="6"/>
  <c r="Q911" i="6" a="1"/>
  <c r="Q911" i="6"/>
  <c r="O911" i="6" a="1"/>
  <c r="O911" i="6"/>
  <c r="M911" i="6" a="1"/>
  <c r="M911" i="6"/>
  <c r="J911" i="6" a="1"/>
  <c r="J911" i="6"/>
  <c r="G911" i="6" a="1"/>
  <c r="G911" i="6"/>
  <c r="F911" i="6" a="1"/>
  <c r="F911" i="6"/>
  <c r="E911" i="6" a="1"/>
  <c r="E911" i="6"/>
  <c r="D911" i="6" a="1"/>
  <c r="D911" i="6"/>
  <c r="C911" i="6" a="1"/>
  <c r="C911" i="6"/>
  <c r="N910" i="6" a="1"/>
  <c r="N910" i="6"/>
  <c r="S910" i="6"/>
  <c r="R910" i="6" a="1"/>
  <c r="R910" i="6"/>
  <c r="Q910" i="6" a="1"/>
  <c r="Q910" i="6"/>
  <c r="O910" i="6" a="1"/>
  <c r="O910" i="6"/>
  <c r="M910" i="6" a="1"/>
  <c r="M910" i="6"/>
  <c r="J910" i="6" a="1"/>
  <c r="J910" i="6"/>
  <c r="G910" i="6" a="1"/>
  <c r="G910" i="6"/>
  <c r="F910" i="6" a="1"/>
  <c r="F910" i="6"/>
  <c r="E910" i="6" a="1"/>
  <c r="E910" i="6"/>
  <c r="D910" i="6" a="1"/>
  <c r="D910" i="6"/>
  <c r="C910" i="6" a="1"/>
  <c r="C910" i="6"/>
  <c r="N909" i="6" a="1"/>
  <c r="N909" i="6"/>
  <c r="S909" i="6"/>
  <c r="R909" i="6" a="1"/>
  <c r="R909" i="6"/>
  <c r="Q909" i="6" a="1"/>
  <c r="Q909" i="6"/>
  <c r="O909" i="6" a="1"/>
  <c r="O909" i="6"/>
  <c r="M909" i="6" a="1"/>
  <c r="M909" i="6"/>
  <c r="J909" i="6" a="1"/>
  <c r="J909" i="6"/>
  <c r="G909" i="6" a="1"/>
  <c r="G909" i="6"/>
  <c r="F909" i="6" a="1"/>
  <c r="F909" i="6"/>
  <c r="E909" i="6" a="1"/>
  <c r="E909" i="6"/>
  <c r="D909" i="6" a="1"/>
  <c r="D909" i="6"/>
  <c r="C909" i="6" a="1"/>
  <c r="C909" i="6"/>
  <c r="N908" i="6" a="1"/>
  <c r="N908" i="6"/>
  <c r="S908" i="6"/>
  <c r="R908" i="6" a="1"/>
  <c r="R908" i="6"/>
  <c r="Q908" i="6" a="1"/>
  <c r="Q908" i="6"/>
  <c r="O908" i="6" a="1"/>
  <c r="O908" i="6"/>
  <c r="M908" i="6" a="1"/>
  <c r="M908" i="6"/>
  <c r="J908" i="6" a="1"/>
  <c r="J908" i="6"/>
  <c r="G908" i="6" a="1"/>
  <c r="G908" i="6"/>
  <c r="F908" i="6" a="1"/>
  <c r="F908" i="6"/>
  <c r="E908" i="6" a="1"/>
  <c r="E908" i="6"/>
  <c r="D908" i="6" a="1"/>
  <c r="D908" i="6"/>
  <c r="C908" i="6" a="1"/>
  <c r="C908" i="6"/>
  <c r="N907" i="6" a="1"/>
  <c r="N907" i="6"/>
  <c r="S907" i="6"/>
  <c r="R907" i="6" a="1"/>
  <c r="R907" i="6"/>
  <c r="Q907" i="6" a="1"/>
  <c r="Q907" i="6"/>
  <c r="O907" i="6" a="1"/>
  <c r="O907" i="6"/>
  <c r="M907" i="6" a="1"/>
  <c r="M907" i="6"/>
  <c r="J907" i="6" a="1"/>
  <c r="J907" i="6"/>
  <c r="G907" i="6" a="1"/>
  <c r="G907" i="6"/>
  <c r="F907" i="6" a="1"/>
  <c r="F907" i="6"/>
  <c r="E907" i="6" a="1"/>
  <c r="E907" i="6"/>
  <c r="D907" i="6" a="1"/>
  <c r="D907" i="6"/>
  <c r="C907" i="6" a="1"/>
  <c r="C907" i="6"/>
  <c r="N906" i="6" a="1"/>
  <c r="N906" i="6"/>
  <c r="S906" i="6"/>
  <c r="R906" i="6" a="1"/>
  <c r="R906" i="6"/>
  <c r="Q906" i="6" a="1"/>
  <c r="Q906" i="6"/>
  <c r="O906" i="6" a="1"/>
  <c r="O906" i="6"/>
  <c r="M906" i="6" a="1"/>
  <c r="M906" i="6"/>
  <c r="J906" i="6" a="1"/>
  <c r="J906" i="6"/>
  <c r="G906" i="6" a="1"/>
  <c r="G906" i="6"/>
  <c r="F906" i="6" a="1"/>
  <c r="F906" i="6"/>
  <c r="E906" i="6" a="1"/>
  <c r="E906" i="6"/>
  <c r="D906" i="6" a="1"/>
  <c r="D906" i="6"/>
  <c r="C906" i="6" a="1"/>
  <c r="C906" i="6"/>
  <c r="N905" i="6" a="1"/>
  <c r="N905" i="6"/>
  <c r="S905" i="6"/>
  <c r="R905" i="6" a="1"/>
  <c r="R905" i="6"/>
  <c r="Q905" i="6" a="1"/>
  <c r="Q905" i="6"/>
  <c r="O905" i="6" a="1"/>
  <c r="O905" i="6"/>
  <c r="M905" i="6" a="1"/>
  <c r="M905" i="6"/>
  <c r="J905" i="6" a="1"/>
  <c r="J905" i="6"/>
  <c r="G905" i="6" a="1"/>
  <c r="G905" i="6"/>
  <c r="F905" i="6" a="1"/>
  <c r="F905" i="6"/>
  <c r="E905" i="6" a="1"/>
  <c r="E905" i="6"/>
  <c r="D905" i="6" a="1"/>
  <c r="D905" i="6"/>
  <c r="C905" i="6" a="1"/>
  <c r="C905" i="6"/>
  <c r="N904" i="6" a="1"/>
  <c r="N904" i="6"/>
  <c r="S904" i="6"/>
  <c r="R904" i="6" a="1"/>
  <c r="R904" i="6"/>
  <c r="Q904" i="6" a="1"/>
  <c r="Q904" i="6"/>
  <c r="O904" i="6" a="1"/>
  <c r="O904" i="6"/>
  <c r="M904" i="6" a="1"/>
  <c r="M904" i="6"/>
  <c r="J904" i="6" a="1"/>
  <c r="J904" i="6"/>
  <c r="G904" i="6" a="1"/>
  <c r="G904" i="6"/>
  <c r="F904" i="6" a="1"/>
  <c r="F904" i="6"/>
  <c r="E904" i="6" a="1"/>
  <c r="E904" i="6"/>
  <c r="D904" i="6" a="1"/>
  <c r="D904" i="6"/>
  <c r="C904" i="6" a="1"/>
  <c r="C904" i="6"/>
  <c r="N903" i="6" a="1"/>
  <c r="N903" i="6"/>
  <c r="S903" i="6"/>
  <c r="R903" i="6" a="1"/>
  <c r="R903" i="6"/>
  <c r="Q903" i="6" a="1"/>
  <c r="Q903" i="6"/>
  <c r="O903" i="6" a="1"/>
  <c r="O903" i="6"/>
  <c r="M903" i="6" a="1"/>
  <c r="M903" i="6"/>
  <c r="J903" i="6" a="1"/>
  <c r="J903" i="6"/>
  <c r="G903" i="6" a="1"/>
  <c r="G903" i="6"/>
  <c r="F903" i="6" a="1"/>
  <c r="F903" i="6"/>
  <c r="E903" i="6" a="1"/>
  <c r="E903" i="6"/>
  <c r="D903" i="6" a="1"/>
  <c r="D903" i="6"/>
  <c r="C903" i="6" a="1"/>
  <c r="C903" i="6"/>
  <c r="N902" i="6" a="1"/>
  <c r="N902" i="6"/>
  <c r="S902" i="6"/>
  <c r="R902" i="6" a="1"/>
  <c r="R902" i="6"/>
  <c r="Q902" i="6" a="1"/>
  <c r="Q902" i="6"/>
  <c r="O902" i="6" a="1"/>
  <c r="O902" i="6"/>
  <c r="M902" i="6" a="1"/>
  <c r="M902" i="6"/>
  <c r="J902" i="6" a="1"/>
  <c r="J902" i="6"/>
  <c r="G902" i="6" a="1"/>
  <c r="G902" i="6"/>
  <c r="F902" i="6" a="1"/>
  <c r="F902" i="6"/>
  <c r="E902" i="6" a="1"/>
  <c r="E902" i="6"/>
  <c r="D902" i="6" a="1"/>
  <c r="D902" i="6"/>
  <c r="C902" i="6" a="1"/>
  <c r="C902" i="6"/>
  <c r="N901" i="6" a="1"/>
  <c r="N901" i="6"/>
  <c r="S901" i="6"/>
  <c r="R901" i="6" a="1"/>
  <c r="R901" i="6"/>
  <c r="Q901" i="6" a="1"/>
  <c r="Q901" i="6"/>
  <c r="O901" i="6" a="1"/>
  <c r="O901" i="6"/>
  <c r="M901" i="6" a="1"/>
  <c r="M901" i="6"/>
  <c r="J901" i="6" a="1"/>
  <c r="J901" i="6"/>
  <c r="G901" i="6" a="1"/>
  <c r="G901" i="6"/>
  <c r="F901" i="6" a="1"/>
  <c r="F901" i="6"/>
  <c r="E901" i="6" a="1"/>
  <c r="E901" i="6"/>
  <c r="D901" i="6" a="1"/>
  <c r="D901" i="6"/>
  <c r="C901" i="6" a="1"/>
  <c r="C901" i="6"/>
  <c r="N900" i="6" a="1"/>
  <c r="N900" i="6"/>
  <c r="S900" i="6"/>
  <c r="R900" i="6" a="1"/>
  <c r="R900" i="6"/>
  <c r="Q900" i="6" a="1"/>
  <c r="Q900" i="6"/>
  <c r="O900" i="6" a="1"/>
  <c r="O900" i="6"/>
  <c r="M900" i="6" a="1"/>
  <c r="M900" i="6"/>
  <c r="J900" i="6" a="1"/>
  <c r="J900" i="6"/>
  <c r="G900" i="6" a="1"/>
  <c r="G900" i="6"/>
  <c r="F900" i="6" a="1"/>
  <c r="F900" i="6"/>
  <c r="E900" i="6" a="1"/>
  <c r="E900" i="6"/>
  <c r="D900" i="6" a="1"/>
  <c r="D900" i="6"/>
  <c r="C900" i="6" a="1"/>
  <c r="C900" i="6"/>
  <c r="N899" i="6" a="1"/>
  <c r="N899" i="6"/>
  <c r="S899" i="6"/>
  <c r="R899" i="6" a="1"/>
  <c r="R899" i="6"/>
  <c r="Q899" i="6" a="1"/>
  <c r="Q899" i="6"/>
  <c r="O899" i="6" a="1"/>
  <c r="O899" i="6"/>
  <c r="M899" i="6" a="1"/>
  <c r="M899" i="6"/>
  <c r="J899" i="6" a="1"/>
  <c r="J899" i="6"/>
  <c r="G899" i="6" a="1"/>
  <c r="G899" i="6"/>
  <c r="F899" i="6" a="1"/>
  <c r="F899" i="6"/>
  <c r="E899" i="6" a="1"/>
  <c r="E899" i="6"/>
  <c r="D899" i="6" a="1"/>
  <c r="D899" i="6"/>
  <c r="C899" i="6" a="1"/>
  <c r="C899" i="6"/>
  <c r="N898" i="6" a="1"/>
  <c r="N898" i="6"/>
  <c r="S898" i="6"/>
  <c r="R898" i="6" a="1"/>
  <c r="R898" i="6"/>
  <c r="Q898" i="6" a="1"/>
  <c r="Q898" i="6"/>
  <c r="O898" i="6" a="1"/>
  <c r="O898" i="6"/>
  <c r="M898" i="6" a="1"/>
  <c r="M898" i="6"/>
  <c r="J898" i="6" a="1"/>
  <c r="J898" i="6"/>
  <c r="G898" i="6" a="1"/>
  <c r="G898" i="6"/>
  <c r="F898" i="6" a="1"/>
  <c r="F898" i="6"/>
  <c r="E898" i="6" a="1"/>
  <c r="E898" i="6"/>
  <c r="D898" i="6" a="1"/>
  <c r="D898" i="6"/>
  <c r="C898" i="6" a="1"/>
  <c r="C898" i="6"/>
  <c r="N897" i="6" a="1"/>
  <c r="N897" i="6"/>
  <c r="S897" i="6"/>
  <c r="R897" i="6" a="1"/>
  <c r="R897" i="6"/>
  <c r="Q897" i="6" a="1"/>
  <c r="Q897" i="6"/>
  <c r="O897" i="6" a="1"/>
  <c r="O897" i="6"/>
  <c r="M897" i="6" a="1"/>
  <c r="M897" i="6"/>
  <c r="J897" i="6" a="1"/>
  <c r="J897" i="6"/>
  <c r="G897" i="6" a="1"/>
  <c r="G897" i="6"/>
  <c r="F897" i="6" a="1"/>
  <c r="F897" i="6"/>
  <c r="E897" i="6" a="1"/>
  <c r="E897" i="6"/>
  <c r="D897" i="6" a="1"/>
  <c r="D897" i="6"/>
  <c r="C897" i="6" a="1"/>
  <c r="C897" i="6"/>
  <c r="N896" i="6" a="1"/>
  <c r="N896" i="6"/>
  <c r="S896" i="6"/>
  <c r="R896" i="6" a="1"/>
  <c r="R896" i="6"/>
  <c r="Q896" i="6" a="1"/>
  <c r="Q896" i="6"/>
  <c r="O896" i="6" a="1"/>
  <c r="O896" i="6"/>
  <c r="M896" i="6" a="1"/>
  <c r="M896" i="6"/>
  <c r="J896" i="6" a="1"/>
  <c r="J896" i="6"/>
  <c r="G896" i="6" a="1"/>
  <c r="G896" i="6"/>
  <c r="F896" i="6" a="1"/>
  <c r="F896" i="6"/>
  <c r="E896" i="6" a="1"/>
  <c r="E896" i="6"/>
  <c r="D896" i="6" a="1"/>
  <c r="D896" i="6"/>
  <c r="C896" i="6" a="1"/>
  <c r="C896" i="6"/>
  <c r="N895" i="6" a="1"/>
  <c r="N895" i="6"/>
  <c r="S895" i="6"/>
  <c r="R895" i="6" a="1"/>
  <c r="R895" i="6"/>
  <c r="Q895" i="6" a="1"/>
  <c r="Q895" i="6"/>
  <c r="O895" i="6" a="1"/>
  <c r="O895" i="6"/>
  <c r="M895" i="6" a="1"/>
  <c r="M895" i="6"/>
  <c r="J895" i="6" a="1"/>
  <c r="J895" i="6"/>
  <c r="G895" i="6" a="1"/>
  <c r="G895" i="6"/>
  <c r="F895" i="6" a="1"/>
  <c r="F895" i="6"/>
  <c r="E895" i="6" a="1"/>
  <c r="E895" i="6"/>
  <c r="D895" i="6" a="1"/>
  <c r="D895" i="6"/>
  <c r="C895" i="6" a="1"/>
  <c r="C895" i="6"/>
  <c r="N894" i="6" a="1"/>
  <c r="N894" i="6"/>
  <c r="S894" i="6"/>
  <c r="R894" i="6" a="1"/>
  <c r="R894" i="6"/>
  <c r="Q894" i="6" a="1"/>
  <c r="Q894" i="6"/>
  <c r="O894" i="6" a="1"/>
  <c r="O894" i="6"/>
  <c r="M894" i="6" a="1"/>
  <c r="M894" i="6"/>
  <c r="J894" i="6" a="1"/>
  <c r="J894" i="6"/>
  <c r="G894" i="6" a="1"/>
  <c r="G894" i="6"/>
  <c r="F894" i="6" a="1"/>
  <c r="F894" i="6"/>
  <c r="E894" i="6" a="1"/>
  <c r="E894" i="6"/>
  <c r="D894" i="6" a="1"/>
  <c r="D894" i="6"/>
  <c r="C894" i="6" a="1"/>
  <c r="C894" i="6"/>
  <c r="N893" i="6" a="1"/>
  <c r="N893" i="6"/>
  <c r="S893" i="6"/>
  <c r="R893" i="6" a="1"/>
  <c r="R893" i="6"/>
  <c r="Q893" i="6" a="1"/>
  <c r="Q893" i="6"/>
  <c r="O893" i="6" a="1"/>
  <c r="O893" i="6"/>
  <c r="M893" i="6" a="1"/>
  <c r="M893" i="6"/>
  <c r="J893" i="6" a="1"/>
  <c r="J893" i="6"/>
  <c r="G893" i="6" a="1"/>
  <c r="G893" i="6"/>
  <c r="F893" i="6" a="1"/>
  <c r="F893" i="6"/>
  <c r="E893" i="6" a="1"/>
  <c r="E893" i="6"/>
  <c r="D893" i="6" a="1"/>
  <c r="D893" i="6"/>
  <c r="C893" i="6" a="1"/>
  <c r="C893" i="6"/>
  <c r="N892" i="6" a="1"/>
  <c r="N892" i="6"/>
  <c r="S892" i="6"/>
  <c r="R892" i="6" a="1"/>
  <c r="R892" i="6"/>
  <c r="Q892" i="6" a="1"/>
  <c r="Q892" i="6"/>
  <c r="O892" i="6" a="1"/>
  <c r="O892" i="6"/>
  <c r="M892" i="6" a="1"/>
  <c r="M892" i="6"/>
  <c r="J892" i="6" a="1"/>
  <c r="J892" i="6"/>
  <c r="G892" i="6" a="1"/>
  <c r="G892" i="6"/>
  <c r="F892" i="6" a="1"/>
  <c r="F892" i="6"/>
  <c r="E892" i="6" a="1"/>
  <c r="E892" i="6"/>
  <c r="D892" i="6" a="1"/>
  <c r="D892" i="6"/>
  <c r="C892" i="6" a="1"/>
  <c r="C892" i="6"/>
  <c r="N891" i="6" a="1"/>
  <c r="N891" i="6"/>
  <c r="S891" i="6"/>
  <c r="R891" i="6" a="1"/>
  <c r="R891" i="6"/>
  <c r="Q891" i="6" a="1"/>
  <c r="Q891" i="6"/>
  <c r="O891" i="6" a="1"/>
  <c r="O891" i="6"/>
  <c r="M891" i="6" a="1"/>
  <c r="M891" i="6"/>
  <c r="J891" i="6" a="1"/>
  <c r="J891" i="6"/>
  <c r="G891" i="6" a="1"/>
  <c r="G891" i="6"/>
  <c r="F891" i="6" a="1"/>
  <c r="F891" i="6"/>
  <c r="E891" i="6" a="1"/>
  <c r="E891" i="6"/>
  <c r="D891" i="6" a="1"/>
  <c r="D891" i="6"/>
  <c r="C891" i="6" a="1"/>
  <c r="C891" i="6"/>
  <c r="N890" i="6" a="1"/>
  <c r="N890" i="6"/>
  <c r="S890" i="6"/>
  <c r="R890" i="6" a="1"/>
  <c r="R890" i="6"/>
  <c r="Q890" i="6" a="1"/>
  <c r="Q890" i="6"/>
  <c r="O890" i="6" a="1"/>
  <c r="O890" i="6"/>
  <c r="M890" i="6" a="1"/>
  <c r="M890" i="6"/>
  <c r="J890" i="6" a="1"/>
  <c r="J890" i="6"/>
  <c r="G890" i="6" a="1"/>
  <c r="G890" i="6"/>
  <c r="F890" i="6" a="1"/>
  <c r="F890" i="6"/>
  <c r="E890" i="6" a="1"/>
  <c r="E890" i="6"/>
  <c r="D890" i="6" a="1"/>
  <c r="D890" i="6"/>
  <c r="C890" i="6" a="1"/>
  <c r="C890" i="6"/>
  <c r="N889" i="6" a="1"/>
  <c r="N889" i="6"/>
  <c r="S889" i="6"/>
  <c r="R889" i="6" a="1"/>
  <c r="R889" i="6"/>
  <c r="Q889" i="6" a="1"/>
  <c r="Q889" i="6"/>
  <c r="O889" i="6" a="1"/>
  <c r="O889" i="6"/>
  <c r="M889" i="6" a="1"/>
  <c r="M889" i="6"/>
  <c r="J889" i="6" a="1"/>
  <c r="J889" i="6"/>
  <c r="G889" i="6" a="1"/>
  <c r="G889" i="6"/>
  <c r="F889" i="6" a="1"/>
  <c r="F889" i="6"/>
  <c r="E889" i="6" a="1"/>
  <c r="E889" i="6"/>
  <c r="D889" i="6" a="1"/>
  <c r="D889" i="6"/>
  <c r="C889" i="6" a="1"/>
  <c r="C889" i="6"/>
  <c r="N888" i="6" a="1"/>
  <c r="N888" i="6"/>
  <c r="S888" i="6"/>
  <c r="R888" i="6" a="1"/>
  <c r="R888" i="6"/>
  <c r="Q888" i="6" a="1"/>
  <c r="Q888" i="6"/>
  <c r="O888" i="6" a="1"/>
  <c r="O888" i="6"/>
  <c r="M888" i="6" a="1"/>
  <c r="M888" i="6"/>
  <c r="J888" i="6" a="1"/>
  <c r="J888" i="6"/>
  <c r="G888" i="6" a="1"/>
  <c r="G888" i="6"/>
  <c r="F888" i="6" a="1"/>
  <c r="F888" i="6"/>
  <c r="E888" i="6" a="1"/>
  <c r="E888" i="6"/>
  <c r="D888" i="6" a="1"/>
  <c r="D888" i="6"/>
  <c r="C888" i="6" a="1"/>
  <c r="C888" i="6"/>
  <c r="N887" i="6" a="1"/>
  <c r="N887" i="6"/>
  <c r="S887" i="6"/>
  <c r="R887" i="6" a="1"/>
  <c r="R887" i="6"/>
  <c r="Q887" i="6" a="1"/>
  <c r="Q887" i="6"/>
  <c r="O887" i="6" a="1"/>
  <c r="O887" i="6"/>
  <c r="M887" i="6" a="1"/>
  <c r="M887" i="6"/>
  <c r="J887" i="6" a="1"/>
  <c r="J887" i="6"/>
  <c r="G887" i="6" a="1"/>
  <c r="G887" i="6"/>
  <c r="F887" i="6" a="1"/>
  <c r="F887" i="6"/>
  <c r="E887" i="6" a="1"/>
  <c r="E887" i="6"/>
  <c r="D887" i="6" a="1"/>
  <c r="D887" i="6"/>
  <c r="C887" i="6" a="1"/>
  <c r="C887" i="6"/>
  <c r="N886" i="6" a="1"/>
  <c r="N886" i="6"/>
  <c r="S886" i="6"/>
  <c r="R886" i="6" a="1"/>
  <c r="R886" i="6"/>
  <c r="Q886" i="6" a="1"/>
  <c r="Q886" i="6"/>
  <c r="O886" i="6" a="1"/>
  <c r="O886" i="6"/>
  <c r="M886" i="6" a="1"/>
  <c r="M886" i="6"/>
  <c r="J886" i="6" a="1"/>
  <c r="J886" i="6"/>
  <c r="G886" i="6" a="1"/>
  <c r="G886" i="6"/>
  <c r="F886" i="6" a="1"/>
  <c r="F886" i="6"/>
  <c r="E886" i="6" a="1"/>
  <c r="E886" i="6"/>
  <c r="D886" i="6" a="1"/>
  <c r="D886" i="6"/>
  <c r="C886" i="6" a="1"/>
  <c r="C886" i="6"/>
  <c r="N885" i="6" a="1"/>
  <c r="N885" i="6"/>
  <c r="S885" i="6"/>
  <c r="R885" i="6" a="1"/>
  <c r="R885" i="6"/>
  <c r="Q885" i="6" a="1"/>
  <c r="Q885" i="6"/>
  <c r="O885" i="6" a="1"/>
  <c r="O885" i="6"/>
  <c r="M885" i="6" a="1"/>
  <c r="M885" i="6"/>
  <c r="J885" i="6" a="1"/>
  <c r="J885" i="6"/>
  <c r="G885" i="6" a="1"/>
  <c r="G885" i="6"/>
  <c r="F885" i="6" a="1"/>
  <c r="F885" i="6"/>
  <c r="E885" i="6" a="1"/>
  <c r="E885" i="6"/>
  <c r="D885" i="6" a="1"/>
  <c r="D885" i="6"/>
  <c r="C885" i="6" a="1"/>
  <c r="C885" i="6"/>
  <c r="N884" i="6" a="1"/>
  <c r="N884" i="6"/>
  <c r="S884" i="6"/>
  <c r="R884" i="6" a="1"/>
  <c r="R884" i="6"/>
  <c r="Q884" i="6" a="1"/>
  <c r="Q884" i="6"/>
  <c r="O884" i="6" a="1"/>
  <c r="O884" i="6"/>
  <c r="M884" i="6" a="1"/>
  <c r="M884" i="6"/>
  <c r="J884" i="6" a="1"/>
  <c r="J884" i="6"/>
  <c r="G884" i="6" a="1"/>
  <c r="G884" i="6"/>
  <c r="F884" i="6" a="1"/>
  <c r="F884" i="6"/>
  <c r="E884" i="6" a="1"/>
  <c r="E884" i="6"/>
  <c r="D884" i="6" a="1"/>
  <c r="D884" i="6"/>
  <c r="C884" i="6" a="1"/>
  <c r="C884" i="6"/>
  <c r="N883" i="6" a="1"/>
  <c r="N883" i="6"/>
  <c r="S883" i="6"/>
  <c r="R883" i="6" a="1"/>
  <c r="R883" i="6"/>
  <c r="Q883" i="6" a="1"/>
  <c r="Q883" i="6"/>
  <c r="O883" i="6" a="1"/>
  <c r="O883" i="6"/>
  <c r="M883" i="6" a="1"/>
  <c r="M883" i="6"/>
  <c r="J883" i="6" a="1"/>
  <c r="J883" i="6"/>
  <c r="G883" i="6" a="1"/>
  <c r="G883" i="6"/>
  <c r="F883" i="6" a="1"/>
  <c r="F883" i="6"/>
  <c r="E883" i="6" a="1"/>
  <c r="E883" i="6"/>
  <c r="D883" i="6" a="1"/>
  <c r="D883" i="6"/>
  <c r="C883" i="6" a="1"/>
  <c r="C883" i="6"/>
  <c r="N882" i="6" a="1"/>
  <c r="N882" i="6"/>
  <c r="S882" i="6"/>
  <c r="R882" i="6" a="1"/>
  <c r="R882" i="6"/>
  <c r="Q882" i="6" a="1"/>
  <c r="Q882" i="6"/>
  <c r="O882" i="6" a="1"/>
  <c r="O882" i="6"/>
  <c r="M882" i="6" a="1"/>
  <c r="M882" i="6"/>
  <c r="J882" i="6" a="1"/>
  <c r="J882" i="6"/>
  <c r="G882" i="6" a="1"/>
  <c r="G882" i="6"/>
  <c r="F882" i="6" a="1"/>
  <c r="F882" i="6"/>
  <c r="E882" i="6" a="1"/>
  <c r="E882" i="6"/>
  <c r="D882" i="6" a="1"/>
  <c r="D882" i="6"/>
  <c r="C882" i="6" a="1"/>
  <c r="C882" i="6"/>
  <c r="N881" i="6" a="1"/>
  <c r="N881" i="6"/>
  <c r="S881" i="6"/>
  <c r="R881" i="6" a="1"/>
  <c r="R881" i="6"/>
  <c r="Q881" i="6" a="1"/>
  <c r="Q881" i="6"/>
  <c r="O881" i="6" a="1"/>
  <c r="O881" i="6"/>
  <c r="M881" i="6" a="1"/>
  <c r="M881" i="6"/>
  <c r="J881" i="6" a="1"/>
  <c r="J881" i="6"/>
  <c r="G881" i="6" a="1"/>
  <c r="G881" i="6"/>
  <c r="F881" i="6" a="1"/>
  <c r="F881" i="6"/>
  <c r="E881" i="6" a="1"/>
  <c r="E881" i="6"/>
  <c r="D881" i="6" a="1"/>
  <c r="D881" i="6"/>
  <c r="C881" i="6" a="1"/>
  <c r="C881" i="6"/>
  <c r="N880" i="6" a="1"/>
  <c r="N880" i="6"/>
  <c r="S880" i="6"/>
  <c r="R880" i="6" a="1"/>
  <c r="R880" i="6"/>
  <c r="Q880" i="6" a="1"/>
  <c r="Q880" i="6"/>
  <c r="O880" i="6" a="1"/>
  <c r="O880" i="6"/>
  <c r="M880" i="6" a="1"/>
  <c r="M880" i="6"/>
  <c r="J880" i="6" a="1"/>
  <c r="J880" i="6"/>
  <c r="G880" i="6" a="1"/>
  <c r="G880" i="6"/>
  <c r="F880" i="6" a="1"/>
  <c r="F880" i="6"/>
  <c r="E880" i="6" a="1"/>
  <c r="E880" i="6"/>
  <c r="D880" i="6" a="1"/>
  <c r="D880" i="6"/>
  <c r="C880" i="6" a="1"/>
  <c r="C880" i="6"/>
  <c r="N879" i="6" a="1"/>
  <c r="N879" i="6"/>
  <c r="S879" i="6"/>
  <c r="R879" i="6" a="1"/>
  <c r="R879" i="6"/>
  <c r="Q879" i="6" a="1"/>
  <c r="Q879" i="6"/>
  <c r="O879" i="6" a="1"/>
  <c r="O879" i="6"/>
  <c r="M879" i="6" a="1"/>
  <c r="M879" i="6"/>
  <c r="J879" i="6" a="1"/>
  <c r="J879" i="6"/>
  <c r="G879" i="6" a="1"/>
  <c r="G879" i="6"/>
  <c r="F879" i="6" a="1"/>
  <c r="F879" i="6"/>
  <c r="E879" i="6" a="1"/>
  <c r="E879" i="6"/>
  <c r="D879" i="6" a="1"/>
  <c r="D879" i="6"/>
  <c r="C879" i="6" a="1"/>
  <c r="C879" i="6"/>
  <c r="N878" i="6" a="1"/>
  <c r="N878" i="6"/>
  <c r="S878" i="6"/>
  <c r="R878" i="6" a="1"/>
  <c r="R878" i="6"/>
  <c r="Q878" i="6" a="1"/>
  <c r="Q878" i="6"/>
  <c r="O878" i="6" a="1"/>
  <c r="O878" i="6"/>
  <c r="M878" i="6" a="1"/>
  <c r="M878" i="6"/>
  <c r="J878" i="6" a="1"/>
  <c r="J878" i="6"/>
  <c r="G878" i="6" a="1"/>
  <c r="G878" i="6"/>
  <c r="F878" i="6" a="1"/>
  <c r="F878" i="6"/>
  <c r="E878" i="6" a="1"/>
  <c r="E878" i="6"/>
  <c r="D878" i="6" a="1"/>
  <c r="D878" i="6"/>
  <c r="C878" i="6" a="1"/>
  <c r="C878" i="6"/>
  <c r="N877" i="6" a="1"/>
  <c r="N877" i="6"/>
  <c r="S877" i="6"/>
  <c r="R877" i="6" a="1"/>
  <c r="R877" i="6"/>
  <c r="Q877" i="6" a="1"/>
  <c r="Q877" i="6"/>
  <c r="O877" i="6" a="1"/>
  <c r="O877" i="6"/>
  <c r="M877" i="6" a="1"/>
  <c r="M877" i="6"/>
  <c r="J877" i="6" a="1"/>
  <c r="J877" i="6"/>
  <c r="G877" i="6" a="1"/>
  <c r="G877" i="6"/>
  <c r="F877" i="6" a="1"/>
  <c r="F877" i="6"/>
  <c r="E877" i="6" a="1"/>
  <c r="E877" i="6"/>
  <c r="D877" i="6" a="1"/>
  <c r="D877" i="6"/>
  <c r="C877" i="6" a="1"/>
  <c r="C877" i="6"/>
  <c r="N876" i="6" a="1"/>
  <c r="N876" i="6"/>
  <c r="S876" i="6"/>
  <c r="R876" i="6" a="1"/>
  <c r="R876" i="6"/>
  <c r="Q876" i="6" a="1"/>
  <c r="Q876" i="6"/>
  <c r="O876" i="6" a="1"/>
  <c r="O876" i="6"/>
  <c r="M876" i="6" a="1"/>
  <c r="M876" i="6"/>
  <c r="J876" i="6" a="1"/>
  <c r="J876" i="6"/>
  <c r="G876" i="6" a="1"/>
  <c r="G876" i="6"/>
  <c r="F876" i="6" a="1"/>
  <c r="F876" i="6"/>
  <c r="E876" i="6" a="1"/>
  <c r="E876" i="6"/>
  <c r="D876" i="6" a="1"/>
  <c r="D876" i="6"/>
  <c r="C876" i="6" a="1"/>
  <c r="C876" i="6"/>
  <c r="N875" i="6" a="1"/>
  <c r="N875" i="6"/>
  <c r="S875" i="6"/>
  <c r="R875" i="6" a="1"/>
  <c r="R875" i="6"/>
  <c r="Q875" i="6" a="1"/>
  <c r="Q875" i="6"/>
  <c r="O875" i="6" a="1"/>
  <c r="O875" i="6"/>
  <c r="M875" i="6" a="1"/>
  <c r="M875" i="6"/>
  <c r="J875" i="6" a="1"/>
  <c r="J875" i="6"/>
  <c r="G875" i="6" a="1"/>
  <c r="G875" i="6"/>
  <c r="F875" i="6" a="1"/>
  <c r="F875" i="6"/>
  <c r="E875" i="6" a="1"/>
  <c r="E875" i="6"/>
  <c r="D875" i="6" a="1"/>
  <c r="D875" i="6"/>
  <c r="C875" i="6" a="1"/>
  <c r="C875" i="6"/>
  <c r="N874" i="6" a="1"/>
  <c r="N874" i="6"/>
  <c r="S874" i="6"/>
  <c r="R874" i="6" a="1"/>
  <c r="R874" i="6"/>
  <c r="Q874" i="6" a="1"/>
  <c r="Q874" i="6"/>
  <c r="O874" i="6" a="1"/>
  <c r="O874" i="6"/>
  <c r="M874" i="6" a="1"/>
  <c r="M874" i="6"/>
  <c r="J874" i="6" a="1"/>
  <c r="J874" i="6"/>
  <c r="G874" i="6" a="1"/>
  <c r="G874" i="6"/>
  <c r="F874" i="6" a="1"/>
  <c r="F874" i="6"/>
  <c r="E874" i="6" a="1"/>
  <c r="E874" i="6"/>
  <c r="D874" i="6" a="1"/>
  <c r="D874" i="6"/>
  <c r="C874" i="6" a="1"/>
  <c r="C874" i="6"/>
  <c r="N873" i="6" a="1"/>
  <c r="N873" i="6"/>
  <c r="S873" i="6"/>
  <c r="R873" i="6" a="1"/>
  <c r="R873" i="6"/>
  <c r="Q873" i="6" a="1"/>
  <c r="Q873" i="6"/>
  <c r="O873" i="6" a="1"/>
  <c r="O873" i="6"/>
  <c r="M873" i="6" a="1"/>
  <c r="M873" i="6"/>
  <c r="J873" i="6" a="1"/>
  <c r="J873" i="6"/>
  <c r="G873" i="6" a="1"/>
  <c r="G873" i="6"/>
  <c r="F873" i="6" a="1"/>
  <c r="F873" i="6"/>
  <c r="E873" i="6" a="1"/>
  <c r="E873" i="6"/>
  <c r="D873" i="6" a="1"/>
  <c r="D873" i="6"/>
  <c r="C873" i="6" a="1"/>
  <c r="C873" i="6"/>
  <c r="N872" i="6" a="1"/>
  <c r="N872" i="6"/>
  <c r="S872" i="6"/>
  <c r="R872" i="6" a="1"/>
  <c r="R872" i="6"/>
  <c r="Q872" i="6" a="1"/>
  <c r="Q872" i="6"/>
  <c r="O872" i="6" a="1"/>
  <c r="O872" i="6"/>
  <c r="M872" i="6" a="1"/>
  <c r="M872" i="6"/>
  <c r="J872" i="6" a="1"/>
  <c r="J872" i="6"/>
  <c r="G872" i="6" a="1"/>
  <c r="G872" i="6"/>
  <c r="F872" i="6" a="1"/>
  <c r="F872" i="6"/>
  <c r="E872" i="6" a="1"/>
  <c r="E872" i="6"/>
  <c r="D872" i="6" a="1"/>
  <c r="D872" i="6"/>
  <c r="C872" i="6" a="1"/>
  <c r="C872" i="6"/>
  <c r="N871" i="6" a="1"/>
  <c r="N871" i="6"/>
  <c r="S871" i="6"/>
  <c r="R871" i="6" a="1"/>
  <c r="R871" i="6"/>
  <c r="Q871" i="6" a="1"/>
  <c r="Q871" i="6"/>
  <c r="O871" i="6" a="1"/>
  <c r="O871" i="6"/>
  <c r="M871" i="6" a="1"/>
  <c r="M871" i="6"/>
  <c r="J871" i="6" a="1"/>
  <c r="J871" i="6"/>
  <c r="G871" i="6" a="1"/>
  <c r="G871" i="6"/>
  <c r="F871" i="6" a="1"/>
  <c r="F871" i="6"/>
  <c r="E871" i="6" a="1"/>
  <c r="E871" i="6"/>
  <c r="D871" i="6" a="1"/>
  <c r="D871" i="6"/>
  <c r="C871" i="6" a="1"/>
  <c r="C871" i="6"/>
  <c r="N870" i="6" a="1"/>
  <c r="N870" i="6"/>
  <c r="S870" i="6"/>
  <c r="R870" i="6" a="1"/>
  <c r="R870" i="6"/>
  <c r="Q870" i="6" a="1"/>
  <c r="Q870" i="6"/>
  <c r="O870" i="6" a="1"/>
  <c r="O870" i="6"/>
  <c r="M870" i="6" a="1"/>
  <c r="M870" i="6"/>
  <c r="J870" i="6" a="1"/>
  <c r="J870" i="6"/>
  <c r="G870" i="6" a="1"/>
  <c r="G870" i="6"/>
  <c r="F870" i="6" a="1"/>
  <c r="F870" i="6"/>
  <c r="E870" i="6" a="1"/>
  <c r="E870" i="6"/>
  <c r="D870" i="6" a="1"/>
  <c r="D870" i="6"/>
  <c r="C870" i="6" a="1"/>
  <c r="C870" i="6"/>
  <c r="N869" i="6" a="1"/>
  <c r="N869" i="6"/>
  <c r="S869" i="6"/>
  <c r="R869" i="6" a="1"/>
  <c r="R869" i="6"/>
  <c r="Q869" i="6" a="1"/>
  <c r="Q869" i="6"/>
  <c r="O869" i="6" a="1"/>
  <c r="O869" i="6"/>
  <c r="M869" i="6" a="1"/>
  <c r="M869" i="6"/>
  <c r="J869" i="6" a="1"/>
  <c r="J869" i="6"/>
  <c r="G869" i="6" a="1"/>
  <c r="G869" i="6"/>
  <c r="F869" i="6" a="1"/>
  <c r="F869" i="6"/>
  <c r="E869" i="6" a="1"/>
  <c r="E869" i="6"/>
  <c r="D869" i="6" a="1"/>
  <c r="D869" i="6"/>
  <c r="C869" i="6" a="1"/>
  <c r="C869" i="6"/>
  <c r="N868" i="6" a="1"/>
  <c r="N868" i="6"/>
  <c r="S868" i="6"/>
  <c r="R868" i="6" a="1"/>
  <c r="R868" i="6"/>
  <c r="Q868" i="6" a="1"/>
  <c r="Q868" i="6"/>
  <c r="O868" i="6" a="1"/>
  <c r="O868" i="6"/>
  <c r="M868" i="6" a="1"/>
  <c r="M868" i="6"/>
  <c r="J868" i="6" a="1"/>
  <c r="J868" i="6"/>
  <c r="G868" i="6" a="1"/>
  <c r="G868" i="6"/>
  <c r="F868" i="6" a="1"/>
  <c r="F868" i="6"/>
  <c r="E868" i="6" a="1"/>
  <c r="E868" i="6"/>
  <c r="D868" i="6" a="1"/>
  <c r="D868" i="6"/>
  <c r="C868" i="6" a="1"/>
  <c r="C868" i="6"/>
  <c r="N867" i="6" a="1"/>
  <c r="N867" i="6"/>
  <c r="S867" i="6"/>
  <c r="R867" i="6" a="1"/>
  <c r="R867" i="6"/>
  <c r="Q867" i="6" a="1"/>
  <c r="Q867" i="6"/>
  <c r="O867" i="6" a="1"/>
  <c r="O867" i="6"/>
  <c r="M867" i="6" a="1"/>
  <c r="M867" i="6"/>
  <c r="J867" i="6" a="1"/>
  <c r="J867" i="6"/>
  <c r="G867" i="6" a="1"/>
  <c r="G867" i="6"/>
  <c r="F867" i="6" a="1"/>
  <c r="F867" i="6"/>
  <c r="E867" i="6" a="1"/>
  <c r="E867" i="6"/>
  <c r="D867" i="6" a="1"/>
  <c r="D867" i="6"/>
  <c r="C867" i="6" a="1"/>
  <c r="C867" i="6"/>
  <c r="N866" i="6" a="1"/>
  <c r="N866" i="6"/>
  <c r="S866" i="6"/>
  <c r="R866" i="6" a="1"/>
  <c r="R866" i="6"/>
  <c r="Q866" i="6" a="1"/>
  <c r="Q866" i="6"/>
  <c r="O866" i="6" a="1"/>
  <c r="O866" i="6"/>
  <c r="M866" i="6" a="1"/>
  <c r="M866" i="6"/>
  <c r="J866" i="6" a="1"/>
  <c r="J866" i="6"/>
  <c r="G866" i="6" a="1"/>
  <c r="G866" i="6"/>
  <c r="F866" i="6" a="1"/>
  <c r="F866" i="6"/>
  <c r="E866" i="6" a="1"/>
  <c r="E866" i="6"/>
  <c r="D866" i="6" a="1"/>
  <c r="D866" i="6"/>
  <c r="C866" i="6" a="1"/>
  <c r="C866" i="6"/>
  <c r="N865" i="6" a="1"/>
  <c r="N865" i="6"/>
  <c r="S865" i="6"/>
  <c r="R865" i="6" a="1"/>
  <c r="R865" i="6"/>
  <c r="Q865" i="6" a="1"/>
  <c r="Q865" i="6"/>
  <c r="O865" i="6" a="1"/>
  <c r="O865" i="6"/>
  <c r="M865" i="6" a="1"/>
  <c r="M865" i="6"/>
  <c r="J865" i="6" a="1"/>
  <c r="J865" i="6"/>
  <c r="G865" i="6" a="1"/>
  <c r="G865" i="6"/>
  <c r="F865" i="6" a="1"/>
  <c r="F865" i="6"/>
  <c r="E865" i="6" a="1"/>
  <c r="E865" i="6"/>
  <c r="D865" i="6" a="1"/>
  <c r="D865" i="6"/>
  <c r="C865" i="6" a="1"/>
  <c r="C865" i="6"/>
  <c r="N864" i="6" a="1"/>
  <c r="N864" i="6"/>
  <c r="S864" i="6"/>
  <c r="R864" i="6" a="1"/>
  <c r="R864" i="6"/>
  <c r="Q864" i="6" a="1"/>
  <c r="Q864" i="6"/>
  <c r="O864" i="6" a="1"/>
  <c r="O864" i="6"/>
  <c r="M864" i="6" a="1"/>
  <c r="M864" i="6"/>
  <c r="J864" i="6" a="1"/>
  <c r="J864" i="6"/>
  <c r="G864" i="6" a="1"/>
  <c r="G864" i="6"/>
  <c r="F864" i="6" a="1"/>
  <c r="F864" i="6"/>
  <c r="E864" i="6" a="1"/>
  <c r="E864" i="6"/>
  <c r="D864" i="6" a="1"/>
  <c r="D864" i="6"/>
  <c r="C864" i="6" a="1"/>
  <c r="C864" i="6"/>
  <c r="N863" i="6" a="1"/>
  <c r="N863" i="6"/>
  <c r="S863" i="6"/>
  <c r="R863" i="6" a="1"/>
  <c r="R863" i="6"/>
  <c r="Q863" i="6" a="1"/>
  <c r="Q863" i="6"/>
  <c r="O863" i="6" a="1"/>
  <c r="O863" i="6"/>
  <c r="M863" i="6" a="1"/>
  <c r="M863" i="6"/>
  <c r="J863" i="6" a="1"/>
  <c r="J863" i="6"/>
  <c r="G863" i="6" a="1"/>
  <c r="G863" i="6"/>
  <c r="F863" i="6" a="1"/>
  <c r="F863" i="6"/>
  <c r="E863" i="6" a="1"/>
  <c r="E863" i="6"/>
  <c r="D863" i="6" a="1"/>
  <c r="D863" i="6"/>
  <c r="C863" i="6" a="1"/>
  <c r="C863" i="6"/>
  <c r="N862" i="6" a="1"/>
  <c r="N862" i="6"/>
  <c r="S862" i="6"/>
  <c r="R862" i="6" a="1"/>
  <c r="R862" i="6"/>
  <c r="Q862" i="6" a="1"/>
  <c r="Q862" i="6"/>
  <c r="O862" i="6" a="1"/>
  <c r="O862" i="6"/>
  <c r="M862" i="6" a="1"/>
  <c r="M862" i="6"/>
  <c r="J862" i="6" a="1"/>
  <c r="J862" i="6"/>
  <c r="G862" i="6" a="1"/>
  <c r="G862" i="6"/>
  <c r="F862" i="6" a="1"/>
  <c r="F862" i="6"/>
  <c r="E862" i="6" a="1"/>
  <c r="E862" i="6"/>
  <c r="D862" i="6" a="1"/>
  <c r="D862" i="6"/>
  <c r="C862" i="6" a="1"/>
  <c r="C862" i="6"/>
  <c r="N861" i="6" a="1"/>
  <c r="N861" i="6"/>
  <c r="S861" i="6"/>
  <c r="R861" i="6" a="1"/>
  <c r="R861" i="6"/>
  <c r="Q861" i="6" a="1"/>
  <c r="Q861" i="6"/>
  <c r="O861" i="6" a="1"/>
  <c r="O861" i="6"/>
  <c r="M861" i="6" a="1"/>
  <c r="M861" i="6"/>
  <c r="J861" i="6" a="1"/>
  <c r="J861" i="6"/>
  <c r="G861" i="6" a="1"/>
  <c r="G861" i="6"/>
  <c r="F861" i="6" a="1"/>
  <c r="F861" i="6"/>
  <c r="E861" i="6" a="1"/>
  <c r="E861" i="6"/>
  <c r="D861" i="6" a="1"/>
  <c r="D861" i="6"/>
  <c r="C861" i="6" a="1"/>
  <c r="C861" i="6"/>
  <c r="N860" i="6" a="1"/>
  <c r="N860" i="6"/>
  <c r="S860" i="6"/>
  <c r="R860" i="6" a="1"/>
  <c r="R860" i="6"/>
  <c r="Q860" i="6" a="1"/>
  <c r="Q860" i="6"/>
  <c r="O860" i="6" a="1"/>
  <c r="O860" i="6"/>
  <c r="M860" i="6" a="1"/>
  <c r="M860" i="6"/>
  <c r="J860" i="6" a="1"/>
  <c r="J860" i="6"/>
  <c r="G860" i="6" a="1"/>
  <c r="G860" i="6"/>
  <c r="F860" i="6" a="1"/>
  <c r="F860" i="6"/>
  <c r="E860" i="6" a="1"/>
  <c r="E860" i="6"/>
  <c r="D860" i="6" a="1"/>
  <c r="D860" i="6"/>
  <c r="C860" i="6" a="1"/>
  <c r="C860" i="6"/>
  <c r="N859" i="6" a="1"/>
  <c r="N859" i="6"/>
  <c r="S859" i="6"/>
  <c r="R859" i="6" a="1"/>
  <c r="R859" i="6"/>
  <c r="Q859" i="6" a="1"/>
  <c r="Q859" i="6"/>
  <c r="O859" i="6" a="1"/>
  <c r="O859" i="6"/>
  <c r="M859" i="6" a="1"/>
  <c r="M859" i="6"/>
  <c r="J859" i="6" a="1"/>
  <c r="J859" i="6"/>
  <c r="G859" i="6" a="1"/>
  <c r="G859" i="6"/>
  <c r="F859" i="6" a="1"/>
  <c r="F859" i="6"/>
  <c r="E859" i="6" a="1"/>
  <c r="E859" i="6"/>
  <c r="D859" i="6" a="1"/>
  <c r="D859" i="6"/>
  <c r="C859" i="6" a="1"/>
  <c r="C859" i="6"/>
  <c r="N858" i="6" a="1"/>
  <c r="N858" i="6"/>
  <c r="S858" i="6"/>
  <c r="R858" i="6" a="1"/>
  <c r="R858" i="6"/>
  <c r="Q858" i="6" a="1"/>
  <c r="Q858" i="6"/>
  <c r="O858" i="6" a="1"/>
  <c r="O858" i="6"/>
  <c r="M858" i="6" a="1"/>
  <c r="M858" i="6"/>
  <c r="J858" i="6" a="1"/>
  <c r="J858" i="6"/>
  <c r="G858" i="6" a="1"/>
  <c r="G858" i="6"/>
  <c r="F858" i="6" a="1"/>
  <c r="F858" i="6"/>
  <c r="E858" i="6" a="1"/>
  <c r="E858" i="6"/>
  <c r="D858" i="6" a="1"/>
  <c r="D858" i="6"/>
  <c r="C858" i="6" a="1"/>
  <c r="C858" i="6"/>
  <c r="N857" i="6" a="1"/>
  <c r="N857" i="6"/>
  <c r="S857" i="6"/>
  <c r="R857" i="6" a="1"/>
  <c r="R857" i="6"/>
  <c r="Q857" i="6" a="1"/>
  <c r="Q857" i="6"/>
  <c r="O857" i="6" a="1"/>
  <c r="O857" i="6"/>
  <c r="M857" i="6" a="1"/>
  <c r="M857" i="6"/>
  <c r="J857" i="6" a="1"/>
  <c r="J857" i="6"/>
  <c r="G857" i="6" a="1"/>
  <c r="G857" i="6"/>
  <c r="F857" i="6" a="1"/>
  <c r="F857" i="6"/>
  <c r="E857" i="6" a="1"/>
  <c r="E857" i="6"/>
  <c r="D857" i="6" a="1"/>
  <c r="D857" i="6"/>
  <c r="C857" i="6" a="1"/>
  <c r="C857" i="6"/>
  <c r="N856" i="6" a="1"/>
  <c r="N856" i="6"/>
  <c r="S856" i="6"/>
  <c r="R856" i="6" a="1"/>
  <c r="R856" i="6"/>
  <c r="Q856" i="6" a="1"/>
  <c r="Q856" i="6"/>
  <c r="O856" i="6" a="1"/>
  <c r="O856" i="6"/>
  <c r="M856" i="6" a="1"/>
  <c r="M856" i="6"/>
  <c r="J856" i="6" a="1"/>
  <c r="J856" i="6"/>
  <c r="G856" i="6" a="1"/>
  <c r="G856" i="6"/>
  <c r="F856" i="6" a="1"/>
  <c r="F856" i="6"/>
  <c r="E856" i="6" a="1"/>
  <c r="E856" i="6"/>
  <c r="D856" i="6" a="1"/>
  <c r="D856" i="6"/>
  <c r="C856" i="6" a="1"/>
  <c r="C856" i="6"/>
  <c r="N855" i="6" a="1"/>
  <c r="N855" i="6"/>
  <c r="S855" i="6"/>
  <c r="R855" i="6" a="1"/>
  <c r="R855" i="6"/>
  <c r="Q855" i="6" a="1"/>
  <c r="Q855" i="6"/>
  <c r="O855" i="6" a="1"/>
  <c r="O855" i="6"/>
  <c r="M855" i="6" a="1"/>
  <c r="M855" i="6"/>
  <c r="J855" i="6" a="1"/>
  <c r="J855" i="6"/>
  <c r="G855" i="6" a="1"/>
  <c r="G855" i="6"/>
  <c r="F855" i="6" a="1"/>
  <c r="F855" i="6"/>
  <c r="E855" i="6" a="1"/>
  <c r="E855" i="6"/>
  <c r="D855" i="6" a="1"/>
  <c r="D855" i="6"/>
  <c r="C855" i="6" a="1"/>
  <c r="C855" i="6"/>
  <c r="N854" i="6" a="1"/>
  <c r="N854" i="6"/>
  <c r="S854" i="6"/>
  <c r="R854" i="6" a="1"/>
  <c r="R854" i="6"/>
  <c r="Q854" i="6" a="1"/>
  <c r="Q854" i="6"/>
  <c r="O854" i="6" a="1"/>
  <c r="O854" i="6"/>
  <c r="M854" i="6" a="1"/>
  <c r="M854" i="6"/>
  <c r="J854" i="6" a="1"/>
  <c r="J854" i="6"/>
  <c r="G854" i="6" a="1"/>
  <c r="G854" i="6"/>
  <c r="F854" i="6" a="1"/>
  <c r="F854" i="6"/>
  <c r="E854" i="6" a="1"/>
  <c r="E854" i="6"/>
  <c r="D854" i="6" a="1"/>
  <c r="D854" i="6"/>
  <c r="C854" i="6" a="1"/>
  <c r="C854" i="6"/>
  <c r="N853" i="6" a="1"/>
  <c r="N853" i="6"/>
  <c r="S853" i="6"/>
  <c r="R853" i="6" a="1"/>
  <c r="R853" i="6"/>
  <c r="Q853" i="6" a="1"/>
  <c r="Q853" i="6"/>
  <c r="O853" i="6" a="1"/>
  <c r="O853" i="6"/>
  <c r="M853" i="6" a="1"/>
  <c r="M853" i="6"/>
  <c r="J853" i="6" a="1"/>
  <c r="J853" i="6"/>
  <c r="G853" i="6" a="1"/>
  <c r="G853" i="6"/>
  <c r="F853" i="6" a="1"/>
  <c r="F853" i="6"/>
  <c r="E853" i="6" a="1"/>
  <c r="E853" i="6"/>
  <c r="D853" i="6" a="1"/>
  <c r="D853" i="6"/>
  <c r="C853" i="6" a="1"/>
  <c r="C853" i="6"/>
  <c r="N852" i="6" a="1"/>
  <c r="N852" i="6"/>
  <c r="S852" i="6"/>
  <c r="R852" i="6" a="1"/>
  <c r="R852" i="6"/>
  <c r="Q852" i="6" a="1"/>
  <c r="Q852" i="6"/>
  <c r="O852" i="6" a="1"/>
  <c r="O852" i="6"/>
  <c r="M852" i="6" a="1"/>
  <c r="M852" i="6"/>
  <c r="J852" i="6" a="1"/>
  <c r="J852" i="6"/>
  <c r="G852" i="6" a="1"/>
  <c r="G852" i="6"/>
  <c r="F852" i="6" a="1"/>
  <c r="F852" i="6"/>
  <c r="E852" i="6" a="1"/>
  <c r="E852" i="6"/>
  <c r="D852" i="6" a="1"/>
  <c r="D852" i="6"/>
  <c r="C852" i="6" a="1"/>
  <c r="C852" i="6"/>
  <c r="N851" i="6" a="1"/>
  <c r="N851" i="6"/>
  <c r="S851" i="6"/>
  <c r="R851" i="6" a="1"/>
  <c r="R851" i="6"/>
  <c r="Q851" i="6" a="1"/>
  <c r="Q851" i="6"/>
  <c r="O851" i="6" a="1"/>
  <c r="O851" i="6"/>
  <c r="M851" i="6" a="1"/>
  <c r="M851" i="6"/>
  <c r="J851" i="6" a="1"/>
  <c r="J851" i="6"/>
  <c r="G851" i="6" a="1"/>
  <c r="G851" i="6"/>
  <c r="F851" i="6" a="1"/>
  <c r="F851" i="6"/>
  <c r="E851" i="6" a="1"/>
  <c r="E851" i="6"/>
  <c r="D851" i="6" a="1"/>
  <c r="D851" i="6"/>
  <c r="C851" i="6" a="1"/>
  <c r="C851" i="6"/>
  <c r="N850" i="6" a="1"/>
  <c r="N850" i="6"/>
  <c r="S850" i="6"/>
  <c r="R850" i="6" a="1"/>
  <c r="R850" i="6"/>
  <c r="Q850" i="6" a="1"/>
  <c r="Q850" i="6"/>
  <c r="O850" i="6" a="1"/>
  <c r="O850" i="6"/>
  <c r="M850" i="6" a="1"/>
  <c r="M850" i="6"/>
  <c r="J850" i="6" a="1"/>
  <c r="J850" i="6"/>
  <c r="G850" i="6" a="1"/>
  <c r="G850" i="6"/>
  <c r="F850" i="6" a="1"/>
  <c r="F850" i="6"/>
  <c r="E850" i="6" a="1"/>
  <c r="E850" i="6"/>
  <c r="D850" i="6" a="1"/>
  <c r="D850" i="6"/>
  <c r="C850" i="6" a="1"/>
  <c r="C850" i="6"/>
  <c r="N849" i="6" a="1"/>
  <c r="N849" i="6"/>
  <c r="S849" i="6"/>
  <c r="R849" i="6" a="1"/>
  <c r="R849" i="6"/>
  <c r="Q849" i="6" a="1"/>
  <c r="Q849" i="6"/>
  <c r="O849" i="6" a="1"/>
  <c r="O849" i="6"/>
  <c r="M849" i="6" a="1"/>
  <c r="M849" i="6"/>
  <c r="J849" i="6" a="1"/>
  <c r="J849" i="6"/>
  <c r="G849" i="6" a="1"/>
  <c r="G849" i="6"/>
  <c r="F849" i="6" a="1"/>
  <c r="F849" i="6"/>
  <c r="E849" i="6" a="1"/>
  <c r="E849" i="6"/>
  <c r="D849" i="6" a="1"/>
  <c r="D849" i="6"/>
  <c r="C849" i="6" a="1"/>
  <c r="C849" i="6"/>
  <c r="N848" i="6" a="1"/>
  <c r="N848" i="6"/>
  <c r="S848" i="6"/>
  <c r="R848" i="6" a="1"/>
  <c r="R848" i="6"/>
  <c r="Q848" i="6" a="1"/>
  <c r="Q848" i="6"/>
  <c r="O848" i="6" a="1"/>
  <c r="O848" i="6"/>
  <c r="M848" i="6" a="1"/>
  <c r="M848" i="6"/>
  <c r="J848" i="6" a="1"/>
  <c r="J848" i="6"/>
  <c r="G848" i="6" a="1"/>
  <c r="G848" i="6"/>
  <c r="F848" i="6" a="1"/>
  <c r="F848" i="6"/>
  <c r="E848" i="6" a="1"/>
  <c r="E848" i="6"/>
  <c r="D848" i="6" a="1"/>
  <c r="D848" i="6"/>
  <c r="C848" i="6" a="1"/>
  <c r="C848" i="6"/>
  <c r="N847" i="6" a="1"/>
  <c r="N847" i="6"/>
  <c r="S847" i="6"/>
  <c r="R847" i="6" a="1"/>
  <c r="R847" i="6"/>
  <c r="Q847" i="6" a="1"/>
  <c r="Q847" i="6"/>
  <c r="O847" i="6" a="1"/>
  <c r="O847" i="6"/>
  <c r="M847" i="6" a="1"/>
  <c r="M847" i="6"/>
  <c r="J847" i="6" a="1"/>
  <c r="J847" i="6"/>
  <c r="G847" i="6" a="1"/>
  <c r="G847" i="6"/>
  <c r="F847" i="6" a="1"/>
  <c r="F847" i="6"/>
  <c r="E847" i="6" a="1"/>
  <c r="E847" i="6"/>
  <c r="D847" i="6" a="1"/>
  <c r="D847" i="6"/>
  <c r="C847" i="6" a="1"/>
  <c r="C847" i="6"/>
  <c r="N846" i="6" a="1"/>
  <c r="N846" i="6"/>
  <c r="S846" i="6"/>
  <c r="R846" i="6" a="1"/>
  <c r="R846" i="6"/>
  <c r="Q846" i="6" a="1"/>
  <c r="Q846" i="6"/>
  <c r="O846" i="6" a="1"/>
  <c r="O846" i="6"/>
  <c r="M846" i="6" a="1"/>
  <c r="M846" i="6"/>
  <c r="J846" i="6" a="1"/>
  <c r="J846" i="6"/>
  <c r="G846" i="6" a="1"/>
  <c r="G846" i="6"/>
  <c r="F846" i="6" a="1"/>
  <c r="F846" i="6"/>
  <c r="E846" i="6" a="1"/>
  <c r="E846" i="6"/>
  <c r="D846" i="6" a="1"/>
  <c r="D846" i="6"/>
  <c r="C846" i="6" a="1"/>
  <c r="C846" i="6"/>
  <c r="N845" i="6" a="1"/>
  <c r="N845" i="6"/>
  <c r="S845" i="6"/>
  <c r="R845" i="6" a="1"/>
  <c r="R845" i="6"/>
  <c r="Q845" i="6" a="1"/>
  <c r="Q845" i="6"/>
  <c r="O845" i="6" a="1"/>
  <c r="O845" i="6"/>
  <c r="M845" i="6" a="1"/>
  <c r="M845" i="6"/>
  <c r="J845" i="6" a="1"/>
  <c r="J845" i="6"/>
  <c r="G845" i="6" a="1"/>
  <c r="G845" i="6"/>
  <c r="F845" i="6" a="1"/>
  <c r="F845" i="6"/>
  <c r="E845" i="6" a="1"/>
  <c r="E845" i="6"/>
  <c r="D845" i="6" a="1"/>
  <c r="D845" i="6"/>
  <c r="C845" i="6" a="1"/>
  <c r="C845" i="6"/>
  <c r="N844" i="6" a="1"/>
  <c r="N844" i="6"/>
  <c r="S844" i="6"/>
  <c r="R844" i="6" a="1"/>
  <c r="R844" i="6"/>
  <c r="Q844" i="6" a="1"/>
  <c r="Q844" i="6"/>
  <c r="O844" i="6" a="1"/>
  <c r="O844" i="6"/>
  <c r="M844" i="6" a="1"/>
  <c r="M844" i="6"/>
  <c r="J844" i="6" a="1"/>
  <c r="J844" i="6"/>
  <c r="G844" i="6" a="1"/>
  <c r="G844" i="6"/>
  <c r="F844" i="6" a="1"/>
  <c r="F844" i="6"/>
  <c r="E844" i="6" a="1"/>
  <c r="E844" i="6"/>
  <c r="D844" i="6" a="1"/>
  <c r="D844" i="6"/>
  <c r="C844" i="6" a="1"/>
  <c r="C844" i="6"/>
  <c r="N843" i="6" a="1"/>
  <c r="N843" i="6"/>
  <c r="S843" i="6"/>
  <c r="R843" i="6" a="1"/>
  <c r="R843" i="6"/>
  <c r="Q843" i="6" a="1"/>
  <c r="Q843" i="6"/>
  <c r="O843" i="6" a="1"/>
  <c r="O843" i="6"/>
  <c r="M843" i="6" a="1"/>
  <c r="M843" i="6"/>
  <c r="J843" i="6" a="1"/>
  <c r="J843" i="6"/>
  <c r="G843" i="6" a="1"/>
  <c r="G843" i="6"/>
  <c r="F843" i="6" a="1"/>
  <c r="F843" i="6"/>
  <c r="E843" i="6" a="1"/>
  <c r="E843" i="6"/>
  <c r="D843" i="6" a="1"/>
  <c r="D843" i="6"/>
  <c r="C843" i="6" a="1"/>
  <c r="C843" i="6"/>
  <c r="N842" i="6" a="1"/>
  <c r="N842" i="6"/>
  <c r="S842" i="6"/>
  <c r="R842" i="6" a="1"/>
  <c r="R842" i="6"/>
  <c r="Q842" i="6" a="1"/>
  <c r="Q842" i="6"/>
  <c r="O842" i="6" a="1"/>
  <c r="O842" i="6"/>
  <c r="M842" i="6" a="1"/>
  <c r="M842" i="6"/>
  <c r="J842" i="6" a="1"/>
  <c r="J842" i="6"/>
  <c r="G842" i="6" a="1"/>
  <c r="G842" i="6"/>
  <c r="F842" i="6" a="1"/>
  <c r="F842" i="6"/>
  <c r="E842" i="6" a="1"/>
  <c r="E842" i="6"/>
  <c r="D842" i="6" a="1"/>
  <c r="D842" i="6"/>
  <c r="C842" i="6" a="1"/>
  <c r="C842" i="6"/>
  <c r="N841" i="6" a="1"/>
  <c r="N841" i="6"/>
  <c r="S841" i="6"/>
  <c r="R841" i="6" a="1"/>
  <c r="R841" i="6"/>
  <c r="Q841" i="6" a="1"/>
  <c r="Q841" i="6"/>
  <c r="O841" i="6" a="1"/>
  <c r="O841" i="6"/>
  <c r="M841" i="6" a="1"/>
  <c r="M841" i="6"/>
  <c r="J841" i="6" a="1"/>
  <c r="J841" i="6"/>
  <c r="G841" i="6" a="1"/>
  <c r="G841" i="6"/>
  <c r="F841" i="6" a="1"/>
  <c r="F841" i="6"/>
  <c r="E841" i="6" a="1"/>
  <c r="E841" i="6"/>
  <c r="D841" i="6" a="1"/>
  <c r="D841" i="6"/>
  <c r="C841" i="6" a="1"/>
  <c r="C841" i="6"/>
  <c r="N840" i="6" a="1"/>
  <c r="N840" i="6"/>
  <c r="S840" i="6"/>
  <c r="R840" i="6" a="1"/>
  <c r="R840" i="6"/>
  <c r="Q840" i="6" a="1"/>
  <c r="Q840" i="6"/>
  <c r="O840" i="6" a="1"/>
  <c r="O840" i="6"/>
  <c r="M840" i="6" a="1"/>
  <c r="M840" i="6"/>
  <c r="J840" i="6" a="1"/>
  <c r="J840" i="6"/>
  <c r="G840" i="6" a="1"/>
  <c r="G840" i="6"/>
  <c r="F840" i="6" a="1"/>
  <c r="F840" i="6"/>
  <c r="E840" i="6" a="1"/>
  <c r="E840" i="6"/>
  <c r="D840" i="6" a="1"/>
  <c r="D840" i="6"/>
  <c r="C840" i="6" a="1"/>
  <c r="C840" i="6"/>
  <c r="N839" i="6" a="1"/>
  <c r="N839" i="6"/>
  <c r="S839" i="6"/>
  <c r="R839" i="6" a="1"/>
  <c r="R839" i="6"/>
  <c r="Q839" i="6" a="1"/>
  <c r="Q839" i="6"/>
  <c r="O839" i="6" a="1"/>
  <c r="O839" i="6"/>
  <c r="M839" i="6" a="1"/>
  <c r="M839" i="6"/>
  <c r="J839" i="6" a="1"/>
  <c r="J839" i="6"/>
  <c r="G839" i="6" a="1"/>
  <c r="G839" i="6"/>
  <c r="F839" i="6" a="1"/>
  <c r="F839" i="6"/>
  <c r="E839" i="6" a="1"/>
  <c r="E839" i="6"/>
  <c r="D839" i="6" a="1"/>
  <c r="D839" i="6"/>
  <c r="C839" i="6" a="1"/>
  <c r="C839" i="6"/>
  <c r="N838" i="6" a="1"/>
  <c r="N838" i="6"/>
  <c r="S838" i="6"/>
  <c r="R838" i="6" a="1"/>
  <c r="R838" i="6"/>
  <c r="Q838" i="6" a="1"/>
  <c r="Q838" i="6"/>
  <c r="O838" i="6" a="1"/>
  <c r="O838" i="6"/>
  <c r="M838" i="6" a="1"/>
  <c r="M838" i="6"/>
  <c r="J838" i="6" a="1"/>
  <c r="J838" i="6"/>
  <c r="G838" i="6" a="1"/>
  <c r="G838" i="6"/>
  <c r="F838" i="6" a="1"/>
  <c r="F838" i="6"/>
  <c r="E838" i="6" a="1"/>
  <c r="E838" i="6"/>
  <c r="D838" i="6" a="1"/>
  <c r="D838" i="6"/>
  <c r="C838" i="6" a="1"/>
  <c r="C838" i="6"/>
  <c r="N837" i="6" a="1"/>
  <c r="N837" i="6"/>
  <c r="S837" i="6"/>
  <c r="R837" i="6" a="1"/>
  <c r="R837" i="6"/>
  <c r="Q837" i="6" a="1"/>
  <c r="Q837" i="6"/>
  <c r="O837" i="6" a="1"/>
  <c r="O837" i="6"/>
  <c r="M837" i="6" a="1"/>
  <c r="M837" i="6"/>
  <c r="J837" i="6" a="1"/>
  <c r="J837" i="6"/>
  <c r="G837" i="6" a="1"/>
  <c r="G837" i="6"/>
  <c r="F837" i="6" a="1"/>
  <c r="F837" i="6"/>
  <c r="E837" i="6" a="1"/>
  <c r="E837" i="6"/>
  <c r="D837" i="6" a="1"/>
  <c r="D837" i="6"/>
  <c r="C837" i="6" a="1"/>
  <c r="C837" i="6"/>
  <c r="N836" i="6" a="1"/>
  <c r="N836" i="6"/>
  <c r="S836" i="6"/>
  <c r="R836" i="6" a="1"/>
  <c r="R836" i="6"/>
  <c r="Q836" i="6" a="1"/>
  <c r="Q836" i="6"/>
  <c r="O836" i="6" a="1"/>
  <c r="O836" i="6"/>
  <c r="M836" i="6" a="1"/>
  <c r="M836" i="6"/>
  <c r="J836" i="6" a="1"/>
  <c r="J836" i="6"/>
  <c r="G836" i="6" a="1"/>
  <c r="G836" i="6"/>
  <c r="F836" i="6" a="1"/>
  <c r="F836" i="6"/>
  <c r="E836" i="6" a="1"/>
  <c r="E836" i="6"/>
  <c r="D836" i="6" a="1"/>
  <c r="D836" i="6"/>
  <c r="C836" i="6" a="1"/>
  <c r="C836" i="6"/>
  <c r="N835" i="6" a="1"/>
  <c r="N835" i="6"/>
  <c r="S835" i="6"/>
  <c r="R835" i="6" a="1"/>
  <c r="R835" i="6"/>
  <c r="Q835" i="6" a="1"/>
  <c r="Q835" i="6"/>
  <c r="O835" i="6" a="1"/>
  <c r="O835" i="6"/>
  <c r="M835" i="6" a="1"/>
  <c r="M835" i="6"/>
  <c r="J835" i="6" a="1"/>
  <c r="J835" i="6"/>
  <c r="G835" i="6" a="1"/>
  <c r="G835" i="6"/>
  <c r="F835" i="6" a="1"/>
  <c r="F835" i="6"/>
  <c r="E835" i="6" a="1"/>
  <c r="E835" i="6"/>
  <c r="D835" i="6" a="1"/>
  <c r="D835" i="6"/>
  <c r="C835" i="6" a="1"/>
  <c r="C835" i="6"/>
  <c r="N834" i="6" a="1"/>
  <c r="N834" i="6"/>
  <c r="S834" i="6"/>
  <c r="R834" i="6" a="1"/>
  <c r="R834" i="6"/>
  <c r="Q834" i="6" a="1"/>
  <c r="Q834" i="6"/>
  <c r="O834" i="6" a="1"/>
  <c r="O834" i="6"/>
  <c r="M834" i="6" a="1"/>
  <c r="M834" i="6"/>
  <c r="J834" i="6" a="1"/>
  <c r="J834" i="6"/>
  <c r="G834" i="6" a="1"/>
  <c r="G834" i="6"/>
  <c r="F834" i="6" a="1"/>
  <c r="F834" i="6"/>
  <c r="E834" i="6" a="1"/>
  <c r="E834" i="6"/>
  <c r="D834" i="6" a="1"/>
  <c r="D834" i="6"/>
  <c r="C834" i="6" a="1"/>
  <c r="C834" i="6"/>
  <c r="N833" i="6" a="1"/>
  <c r="N833" i="6"/>
  <c r="S833" i="6"/>
  <c r="R833" i="6" a="1"/>
  <c r="R833" i="6"/>
  <c r="Q833" i="6" a="1"/>
  <c r="Q833" i="6"/>
  <c r="O833" i="6" a="1"/>
  <c r="O833" i="6"/>
  <c r="M833" i="6" a="1"/>
  <c r="M833" i="6"/>
  <c r="J833" i="6" a="1"/>
  <c r="J833" i="6"/>
  <c r="G833" i="6" a="1"/>
  <c r="G833" i="6"/>
  <c r="F833" i="6" a="1"/>
  <c r="F833" i="6"/>
  <c r="E833" i="6" a="1"/>
  <c r="E833" i="6"/>
  <c r="D833" i="6" a="1"/>
  <c r="D833" i="6"/>
  <c r="C833" i="6" a="1"/>
  <c r="C833" i="6"/>
  <c r="N832" i="6" a="1"/>
  <c r="N832" i="6"/>
  <c r="S832" i="6"/>
  <c r="R832" i="6" a="1"/>
  <c r="R832" i="6"/>
  <c r="Q832" i="6" a="1"/>
  <c r="Q832" i="6"/>
  <c r="O832" i="6" a="1"/>
  <c r="O832" i="6"/>
  <c r="M832" i="6" a="1"/>
  <c r="M832" i="6"/>
  <c r="J832" i="6" a="1"/>
  <c r="J832" i="6"/>
  <c r="G832" i="6" a="1"/>
  <c r="G832" i="6"/>
  <c r="F832" i="6" a="1"/>
  <c r="F832" i="6"/>
  <c r="E832" i="6" a="1"/>
  <c r="E832" i="6"/>
  <c r="D832" i="6" a="1"/>
  <c r="D832" i="6"/>
  <c r="C832" i="6" a="1"/>
  <c r="C832" i="6"/>
  <c r="N831" i="6" a="1"/>
  <c r="N831" i="6"/>
  <c r="S831" i="6"/>
  <c r="R831" i="6" a="1"/>
  <c r="R831" i="6"/>
  <c r="Q831" i="6" a="1"/>
  <c r="Q831" i="6"/>
  <c r="O831" i="6" a="1"/>
  <c r="O831" i="6"/>
  <c r="M831" i="6" a="1"/>
  <c r="M831" i="6"/>
  <c r="J831" i="6" a="1"/>
  <c r="J831" i="6"/>
  <c r="G831" i="6" a="1"/>
  <c r="G831" i="6"/>
  <c r="F831" i="6" a="1"/>
  <c r="F831" i="6"/>
  <c r="E831" i="6" a="1"/>
  <c r="E831" i="6"/>
  <c r="D831" i="6" a="1"/>
  <c r="D831" i="6"/>
  <c r="C831" i="6" a="1"/>
  <c r="C831" i="6"/>
  <c r="N830" i="6" a="1"/>
  <c r="N830" i="6"/>
  <c r="S830" i="6"/>
  <c r="R830" i="6" a="1"/>
  <c r="R830" i="6"/>
  <c r="Q830" i="6" a="1"/>
  <c r="Q830" i="6"/>
  <c r="O830" i="6" a="1"/>
  <c r="O830" i="6"/>
  <c r="M830" i="6" a="1"/>
  <c r="M830" i="6"/>
  <c r="J830" i="6" a="1"/>
  <c r="J830" i="6"/>
  <c r="G830" i="6" a="1"/>
  <c r="G830" i="6"/>
  <c r="F830" i="6" a="1"/>
  <c r="F830" i="6"/>
  <c r="E830" i="6" a="1"/>
  <c r="E830" i="6"/>
  <c r="D830" i="6" a="1"/>
  <c r="D830" i="6"/>
  <c r="C830" i="6" a="1"/>
  <c r="C830" i="6"/>
  <c r="N829" i="6" a="1"/>
  <c r="N829" i="6"/>
  <c r="S829" i="6"/>
  <c r="R829" i="6" a="1"/>
  <c r="R829" i="6"/>
  <c r="Q829" i="6" a="1"/>
  <c r="Q829" i="6"/>
  <c r="O829" i="6" a="1"/>
  <c r="O829" i="6"/>
  <c r="M829" i="6" a="1"/>
  <c r="M829" i="6"/>
  <c r="J829" i="6" a="1"/>
  <c r="J829" i="6"/>
  <c r="G829" i="6" a="1"/>
  <c r="G829" i="6"/>
  <c r="F829" i="6" a="1"/>
  <c r="F829" i="6"/>
  <c r="E829" i="6" a="1"/>
  <c r="E829" i="6"/>
  <c r="D829" i="6" a="1"/>
  <c r="D829" i="6"/>
  <c r="C829" i="6" a="1"/>
  <c r="C829" i="6"/>
  <c r="N828" i="6" a="1"/>
  <c r="N828" i="6"/>
  <c r="S828" i="6"/>
  <c r="R828" i="6" a="1"/>
  <c r="R828" i="6"/>
  <c r="Q828" i="6" a="1"/>
  <c r="Q828" i="6"/>
  <c r="O828" i="6" a="1"/>
  <c r="O828" i="6"/>
  <c r="M828" i="6" a="1"/>
  <c r="M828" i="6"/>
  <c r="J828" i="6" a="1"/>
  <c r="J828" i="6"/>
  <c r="G828" i="6" a="1"/>
  <c r="G828" i="6"/>
  <c r="F828" i="6" a="1"/>
  <c r="F828" i="6"/>
  <c r="E828" i="6" a="1"/>
  <c r="E828" i="6"/>
  <c r="D828" i="6" a="1"/>
  <c r="D828" i="6"/>
  <c r="C828" i="6" a="1"/>
  <c r="C828" i="6"/>
  <c r="N827" i="6" a="1"/>
  <c r="N827" i="6"/>
  <c r="S827" i="6"/>
  <c r="R827" i="6" a="1"/>
  <c r="R827" i="6"/>
  <c r="Q827" i="6" a="1"/>
  <c r="Q827" i="6"/>
  <c r="O827" i="6" a="1"/>
  <c r="O827" i="6"/>
  <c r="M827" i="6" a="1"/>
  <c r="M827" i="6"/>
  <c r="J827" i="6" a="1"/>
  <c r="J827" i="6"/>
  <c r="G827" i="6" a="1"/>
  <c r="G827" i="6"/>
  <c r="F827" i="6" a="1"/>
  <c r="F827" i="6"/>
  <c r="E827" i="6" a="1"/>
  <c r="E827" i="6"/>
  <c r="D827" i="6" a="1"/>
  <c r="D827" i="6"/>
  <c r="C827" i="6" a="1"/>
  <c r="C827" i="6"/>
  <c r="N826" i="6" a="1"/>
  <c r="N826" i="6"/>
  <c r="S826" i="6"/>
  <c r="R826" i="6" a="1"/>
  <c r="R826" i="6"/>
  <c r="Q826" i="6" a="1"/>
  <c r="Q826" i="6"/>
  <c r="O826" i="6" a="1"/>
  <c r="O826" i="6"/>
  <c r="M826" i="6" a="1"/>
  <c r="M826" i="6"/>
  <c r="J826" i="6" a="1"/>
  <c r="J826" i="6"/>
  <c r="G826" i="6" a="1"/>
  <c r="G826" i="6"/>
  <c r="F826" i="6" a="1"/>
  <c r="F826" i="6"/>
  <c r="E826" i="6" a="1"/>
  <c r="E826" i="6"/>
  <c r="D826" i="6" a="1"/>
  <c r="D826" i="6"/>
  <c r="C826" i="6" a="1"/>
  <c r="C826" i="6"/>
  <c r="N825" i="6" a="1"/>
  <c r="N825" i="6"/>
  <c r="S825" i="6"/>
  <c r="R825" i="6" a="1"/>
  <c r="R825" i="6"/>
  <c r="Q825" i="6" a="1"/>
  <c r="Q825" i="6"/>
  <c r="O825" i="6" a="1"/>
  <c r="O825" i="6"/>
  <c r="M825" i="6" a="1"/>
  <c r="M825" i="6"/>
  <c r="J825" i="6" a="1"/>
  <c r="J825" i="6"/>
  <c r="G825" i="6" a="1"/>
  <c r="G825" i="6"/>
  <c r="F825" i="6" a="1"/>
  <c r="F825" i="6"/>
  <c r="E825" i="6" a="1"/>
  <c r="E825" i="6"/>
  <c r="D825" i="6" a="1"/>
  <c r="D825" i="6"/>
  <c r="C825" i="6" a="1"/>
  <c r="C825" i="6"/>
  <c r="N824" i="6" a="1"/>
  <c r="N824" i="6"/>
  <c r="S824" i="6"/>
  <c r="R824" i="6" a="1"/>
  <c r="R824" i="6"/>
  <c r="Q824" i="6" a="1"/>
  <c r="Q824" i="6"/>
  <c r="O824" i="6" a="1"/>
  <c r="O824" i="6"/>
  <c r="M824" i="6" a="1"/>
  <c r="M824" i="6"/>
  <c r="J824" i="6" a="1"/>
  <c r="J824" i="6"/>
  <c r="G824" i="6" a="1"/>
  <c r="G824" i="6"/>
  <c r="F824" i="6" a="1"/>
  <c r="F824" i="6"/>
  <c r="E824" i="6" a="1"/>
  <c r="E824" i="6"/>
  <c r="D824" i="6" a="1"/>
  <c r="D824" i="6"/>
  <c r="C824" i="6" a="1"/>
  <c r="C824" i="6"/>
  <c r="N823" i="6" a="1"/>
  <c r="N823" i="6"/>
  <c r="S823" i="6"/>
  <c r="R823" i="6" a="1"/>
  <c r="R823" i="6"/>
  <c r="Q823" i="6" a="1"/>
  <c r="Q823" i="6"/>
  <c r="O823" i="6" a="1"/>
  <c r="O823" i="6"/>
  <c r="M823" i="6" a="1"/>
  <c r="M823" i="6"/>
  <c r="J823" i="6" a="1"/>
  <c r="J823" i="6"/>
  <c r="G823" i="6" a="1"/>
  <c r="G823" i="6"/>
  <c r="F823" i="6" a="1"/>
  <c r="F823" i="6"/>
  <c r="E823" i="6" a="1"/>
  <c r="E823" i="6"/>
  <c r="D823" i="6" a="1"/>
  <c r="D823" i="6"/>
  <c r="C823" i="6" a="1"/>
  <c r="C823" i="6"/>
  <c r="N822" i="6" a="1"/>
  <c r="N822" i="6"/>
  <c r="S822" i="6"/>
  <c r="R822" i="6" a="1"/>
  <c r="R822" i="6"/>
  <c r="Q822" i="6" a="1"/>
  <c r="Q822" i="6"/>
  <c r="O822" i="6" a="1"/>
  <c r="O822" i="6"/>
  <c r="M822" i="6" a="1"/>
  <c r="M822" i="6"/>
  <c r="J822" i="6" a="1"/>
  <c r="J822" i="6"/>
  <c r="G822" i="6" a="1"/>
  <c r="G822" i="6"/>
  <c r="F822" i="6" a="1"/>
  <c r="F822" i="6"/>
  <c r="E822" i="6" a="1"/>
  <c r="E822" i="6"/>
  <c r="D822" i="6" a="1"/>
  <c r="D822" i="6"/>
  <c r="C822" i="6" a="1"/>
  <c r="C822" i="6"/>
  <c r="N821" i="6" a="1"/>
  <c r="N821" i="6"/>
  <c r="S821" i="6"/>
  <c r="R821" i="6" a="1"/>
  <c r="R821" i="6"/>
  <c r="Q821" i="6" a="1"/>
  <c r="Q821" i="6"/>
  <c r="O821" i="6" a="1"/>
  <c r="O821" i="6"/>
  <c r="M821" i="6" a="1"/>
  <c r="M821" i="6"/>
  <c r="J821" i="6" a="1"/>
  <c r="J821" i="6"/>
  <c r="G821" i="6" a="1"/>
  <c r="G821" i="6"/>
  <c r="F821" i="6" a="1"/>
  <c r="F821" i="6"/>
  <c r="E821" i="6" a="1"/>
  <c r="E821" i="6"/>
  <c r="D821" i="6" a="1"/>
  <c r="D821" i="6"/>
  <c r="C821" i="6" a="1"/>
  <c r="C821" i="6"/>
  <c r="N820" i="6" a="1"/>
  <c r="N820" i="6"/>
  <c r="S820" i="6"/>
  <c r="R820" i="6" a="1"/>
  <c r="R820" i="6"/>
  <c r="Q820" i="6" a="1"/>
  <c r="Q820" i="6"/>
  <c r="O820" i="6" a="1"/>
  <c r="O820" i="6"/>
  <c r="M820" i="6" a="1"/>
  <c r="M820" i="6"/>
  <c r="J820" i="6" a="1"/>
  <c r="J820" i="6"/>
  <c r="G820" i="6" a="1"/>
  <c r="G820" i="6"/>
  <c r="F820" i="6" a="1"/>
  <c r="F820" i="6"/>
  <c r="E820" i="6" a="1"/>
  <c r="E820" i="6"/>
  <c r="D820" i="6" a="1"/>
  <c r="D820" i="6"/>
  <c r="C820" i="6" a="1"/>
  <c r="C820" i="6"/>
  <c r="N819" i="6" a="1"/>
  <c r="N819" i="6"/>
  <c r="S819" i="6"/>
  <c r="R819" i="6" a="1"/>
  <c r="R819" i="6"/>
  <c r="Q819" i="6" a="1"/>
  <c r="Q819" i="6"/>
  <c r="O819" i="6" a="1"/>
  <c r="O819" i="6"/>
  <c r="M819" i="6" a="1"/>
  <c r="M819" i="6"/>
  <c r="J819" i="6" a="1"/>
  <c r="J819" i="6"/>
  <c r="G819" i="6" a="1"/>
  <c r="G819" i="6"/>
  <c r="F819" i="6" a="1"/>
  <c r="F819" i="6"/>
  <c r="E819" i="6" a="1"/>
  <c r="E819" i="6"/>
  <c r="D819" i="6" a="1"/>
  <c r="D819" i="6"/>
  <c r="C819" i="6" a="1"/>
  <c r="C819" i="6"/>
  <c r="N818" i="6" a="1"/>
  <c r="N818" i="6"/>
  <c r="S818" i="6"/>
  <c r="R818" i="6" a="1"/>
  <c r="R818" i="6"/>
  <c r="Q818" i="6" a="1"/>
  <c r="Q818" i="6"/>
  <c r="O818" i="6" a="1"/>
  <c r="O818" i="6"/>
  <c r="M818" i="6" a="1"/>
  <c r="M818" i="6"/>
  <c r="J818" i="6" a="1"/>
  <c r="J818" i="6"/>
  <c r="G818" i="6" a="1"/>
  <c r="G818" i="6"/>
  <c r="F818" i="6" a="1"/>
  <c r="F818" i="6"/>
  <c r="E818" i="6" a="1"/>
  <c r="E818" i="6"/>
  <c r="D818" i="6" a="1"/>
  <c r="D818" i="6"/>
  <c r="C818" i="6" a="1"/>
  <c r="C818" i="6"/>
  <c r="N817" i="6" a="1"/>
  <c r="N817" i="6"/>
  <c r="S817" i="6"/>
  <c r="R817" i="6" a="1"/>
  <c r="R817" i="6"/>
  <c r="Q817" i="6" a="1"/>
  <c r="Q817" i="6"/>
  <c r="O817" i="6" a="1"/>
  <c r="O817" i="6"/>
  <c r="M817" i="6" a="1"/>
  <c r="M817" i="6"/>
  <c r="J817" i="6" a="1"/>
  <c r="J817" i="6"/>
  <c r="G817" i="6" a="1"/>
  <c r="G817" i="6"/>
  <c r="F817" i="6" a="1"/>
  <c r="F817" i="6"/>
  <c r="E817" i="6" a="1"/>
  <c r="E817" i="6"/>
  <c r="D817" i="6" a="1"/>
  <c r="D817" i="6"/>
  <c r="C817" i="6" a="1"/>
  <c r="C817" i="6"/>
  <c r="N816" i="6" a="1"/>
  <c r="N816" i="6"/>
  <c r="S816" i="6"/>
  <c r="R816" i="6" a="1"/>
  <c r="R816" i="6"/>
  <c r="Q816" i="6" a="1"/>
  <c r="Q816" i="6"/>
  <c r="O816" i="6" a="1"/>
  <c r="O816" i="6"/>
  <c r="M816" i="6" a="1"/>
  <c r="M816" i="6"/>
  <c r="J816" i="6" a="1"/>
  <c r="J816" i="6"/>
  <c r="G816" i="6" a="1"/>
  <c r="G816" i="6"/>
  <c r="F816" i="6" a="1"/>
  <c r="F816" i="6"/>
  <c r="E816" i="6" a="1"/>
  <c r="E816" i="6"/>
  <c r="D816" i="6" a="1"/>
  <c r="D816" i="6"/>
  <c r="C816" i="6" a="1"/>
  <c r="C816" i="6"/>
  <c r="N815" i="6" a="1"/>
  <c r="N815" i="6"/>
  <c r="S815" i="6"/>
  <c r="R815" i="6" a="1"/>
  <c r="R815" i="6"/>
  <c r="Q815" i="6" a="1"/>
  <c r="Q815" i="6"/>
  <c r="O815" i="6" a="1"/>
  <c r="O815" i="6"/>
  <c r="M815" i="6" a="1"/>
  <c r="M815" i="6"/>
  <c r="J815" i="6" a="1"/>
  <c r="J815" i="6"/>
  <c r="G815" i="6" a="1"/>
  <c r="G815" i="6"/>
  <c r="F815" i="6" a="1"/>
  <c r="F815" i="6"/>
  <c r="E815" i="6" a="1"/>
  <c r="E815" i="6"/>
  <c r="D815" i="6" a="1"/>
  <c r="D815" i="6"/>
  <c r="C815" i="6" a="1"/>
  <c r="C815" i="6"/>
  <c r="N814" i="6" a="1"/>
  <c r="N814" i="6"/>
  <c r="S814" i="6"/>
  <c r="R814" i="6" a="1"/>
  <c r="R814" i="6"/>
  <c r="Q814" i="6" a="1"/>
  <c r="Q814" i="6"/>
  <c r="O814" i="6" a="1"/>
  <c r="O814" i="6"/>
  <c r="M814" i="6" a="1"/>
  <c r="M814" i="6"/>
  <c r="J814" i="6" a="1"/>
  <c r="J814" i="6"/>
  <c r="G814" i="6" a="1"/>
  <c r="G814" i="6"/>
  <c r="F814" i="6" a="1"/>
  <c r="F814" i="6"/>
  <c r="E814" i="6" a="1"/>
  <c r="E814" i="6"/>
  <c r="D814" i="6" a="1"/>
  <c r="D814" i="6"/>
  <c r="C814" i="6" a="1"/>
  <c r="C814" i="6"/>
  <c r="N813" i="6" a="1"/>
  <c r="N813" i="6"/>
  <c r="S813" i="6"/>
  <c r="R813" i="6" a="1"/>
  <c r="R813" i="6"/>
  <c r="Q813" i="6" a="1"/>
  <c r="Q813" i="6"/>
  <c r="O813" i="6" a="1"/>
  <c r="O813" i="6"/>
  <c r="M813" i="6" a="1"/>
  <c r="M813" i="6"/>
  <c r="J813" i="6" a="1"/>
  <c r="J813" i="6"/>
  <c r="G813" i="6" a="1"/>
  <c r="G813" i="6"/>
  <c r="F813" i="6" a="1"/>
  <c r="F813" i="6"/>
  <c r="E813" i="6" a="1"/>
  <c r="E813" i="6"/>
  <c r="D813" i="6" a="1"/>
  <c r="D813" i="6"/>
  <c r="C813" i="6" a="1"/>
  <c r="C813" i="6"/>
  <c r="N812" i="6" a="1"/>
  <c r="N812" i="6"/>
  <c r="S812" i="6"/>
  <c r="R812" i="6" a="1"/>
  <c r="R812" i="6"/>
  <c r="Q812" i="6" a="1"/>
  <c r="Q812" i="6"/>
  <c r="O812" i="6" a="1"/>
  <c r="O812" i="6"/>
  <c r="M812" i="6" a="1"/>
  <c r="M812" i="6"/>
  <c r="J812" i="6" a="1"/>
  <c r="J812" i="6"/>
  <c r="G812" i="6" a="1"/>
  <c r="G812" i="6"/>
  <c r="F812" i="6" a="1"/>
  <c r="F812" i="6"/>
  <c r="E812" i="6" a="1"/>
  <c r="E812" i="6"/>
  <c r="D812" i="6" a="1"/>
  <c r="D812" i="6"/>
  <c r="C812" i="6" a="1"/>
  <c r="C812" i="6"/>
  <c r="N811" i="6" a="1"/>
  <c r="N811" i="6"/>
  <c r="S811" i="6"/>
  <c r="R811" i="6" a="1"/>
  <c r="R811" i="6"/>
  <c r="Q811" i="6" a="1"/>
  <c r="Q811" i="6"/>
  <c r="O811" i="6" a="1"/>
  <c r="O811" i="6"/>
  <c r="M811" i="6" a="1"/>
  <c r="M811" i="6"/>
  <c r="J811" i="6" a="1"/>
  <c r="J811" i="6"/>
  <c r="G811" i="6" a="1"/>
  <c r="G811" i="6"/>
  <c r="F811" i="6" a="1"/>
  <c r="F811" i="6"/>
  <c r="E811" i="6" a="1"/>
  <c r="E811" i="6"/>
  <c r="D811" i="6" a="1"/>
  <c r="D811" i="6"/>
  <c r="C811" i="6" a="1"/>
  <c r="C811" i="6"/>
  <c r="N810" i="6" a="1"/>
  <c r="N810" i="6"/>
  <c r="S810" i="6"/>
  <c r="R810" i="6" a="1"/>
  <c r="R810" i="6"/>
  <c r="Q810" i="6" a="1"/>
  <c r="Q810" i="6"/>
  <c r="O810" i="6" a="1"/>
  <c r="O810" i="6"/>
  <c r="M810" i="6" a="1"/>
  <c r="M810" i="6"/>
  <c r="J810" i="6" a="1"/>
  <c r="J810" i="6"/>
  <c r="G810" i="6" a="1"/>
  <c r="G810" i="6"/>
  <c r="F810" i="6" a="1"/>
  <c r="F810" i="6"/>
  <c r="E810" i="6" a="1"/>
  <c r="E810" i="6"/>
  <c r="D810" i="6" a="1"/>
  <c r="D810" i="6"/>
  <c r="C810" i="6" a="1"/>
  <c r="C810" i="6"/>
  <c r="N809" i="6" a="1"/>
  <c r="N809" i="6"/>
  <c r="S809" i="6"/>
  <c r="R809" i="6" a="1"/>
  <c r="R809" i="6"/>
  <c r="Q809" i="6" a="1"/>
  <c r="Q809" i="6"/>
  <c r="O809" i="6" a="1"/>
  <c r="O809" i="6"/>
  <c r="M809" i="6" a="1"/>
  <c r="M809" i="6"/>
  <c r="J809" i="6" a="1"/>
  <c r="J809" i="6"/>
  <c r="G809" i="6" a="1"/>
  <c r="G809" i="6"/>
  <c r="F809" i="6" a="1"/>
  <c r="F809" i="6"/>
  <c r="E809" i="6" a="1"/>
  <c r="E809" i="6"/>
  <c r="D809" i="6" a="1"/>
  <c r="D809" i="6"/>
  <c r="C809" i="6" a="1"/>
  <c r="C809" i="6"/>
  <c r="N808" i="6" a="1"/>
  <c r="N808" i="6"/>
  <c r="S808" i="6"/>
  <c r="R808" i="6" a="1"/>
  <c r="R808" i="6"/>
  <c r="Q808" i="6" a="1"/>
  <c r="Q808" i="6"/>
  <c r="O808" i="6" a="1"/>
  <c r="O808" i="6"/>
  <c r="M808" i="6" a="1"/>
  <c r="M808" i="6"/>
  <c r="J808" i="6" a="1"/>
  <c r="J808" i="6"/>
  <c r="G808" i="6" a="1"/>
  <c r="G808" i="6"/>
  <c r="F808" i="6" a="1"/>
  <c r="F808" i="6"/>
  <c r="E808" i="6" a="1"/>
  <c r="E808" i="6"/>
  <c r="D808" i="6" a="1"/>
  <c r="D808" i="6"/>
  <c r="C808" i="6" a="1"/>
  <c r="C808" i="6"/>
  <c r="N807" i="6" a="1"/>
  <c r="N807" i="6"/>
  <c r="S807" i="6"/>
  <c r="R807" i="6" a="1"/>
  <c r="R807" i="6"/>
  <c r="Q807" i="6" a="1"/>
  <c r="Q807" i="6"/>
  <c r="O807" i="6" a="1"/>
  <c r="O807" i="6"/>
  <c r="M807" i="6" a="1"/>
  <c r="M807" i="6"/>
  <c r="J807" i="6" a="1"/>
  <c r="J807" i="6"/>
  <c r="G807" i="6" a="1"/>
  <c r="G807" i="6"/>
  <c r="F807" i="6" a="1"/>
  <c r="F807" i="6"/>
  <c r="E807" i="6" a="1"/>
  <c r="E807" i="6"/>
  <c r="D807" i="6" a="1"/>
  <c r="D807" i="6"/>
  <c r="C807" i="6" a="1"/>
  <c r="C807" i="6"/>
  <c r="N806" i="6" a="1"/>
  <c r="N806" i="6"/>
  <c r="S806" i="6"/>
  <c r="R806" i="6" a="1"/>
  <c r="R806" i="6"/>
  <c r="Q806" i="6" a="1"/>
  <c r="Q806" i="6"/>
  <c r="O806" i="6" a="1"/>
  <c r="O806" i="6"/>
  <c r="M806" i="6" a="1"/>
  <c r="M806" i="6"/>
  <c r="J806" i="6" a="1"/>
  <c r="J806" i="6"/>
  <c r="G806" i="6" a="1"/>
  <c r="G806" i="6"/>
  <c r="F806" i="6" a="1"/>
  <c r="F806" i="6"/>
  <c r="E806" i="6" a="1"/>
  <c r="E806" i="6"/>
  <c r="D806" i="6" a="1"/>
  <c r="D806" i="6"/>
  <c r="C806" i="6" a="1"/>
  <c r="C806" i="6"/>
  <c r="N805" i="6" a="1"/>
  <c r="N805" i="6"/>
  <c r="S805" i="6"/>
  <c r="R805" i="6" a="1"/>
  <c r="R805" i="6"/>
  <c r="Q805" i="6" a="1"/>
  <c r="Q805" i="6"/>
  <c r="O805" i="6" a="1"/>
  <c r="O805" i="6"/>
  <c r="M805" i="6" a="1"/>
  <c r="M805" i="6"/>
  <c r="J805" i="6" a="1"/>
  <c r="J805" i="6"/>
  <c r="G805" i="6" a="1"/>
  <c r="G805" i="6"/>
  <c r="F805" i="6" a="1"/>
  <c r="F805" i="6"/>
  <c r="E805" i="6" a="1"/>
  <c r="E805" i="6"/>
  <c r="D805" i="6" a="1"/>
  <c r="D805" i="6"/>
  <c r="C805" i="6" a="1"/>
  <c r="C805" i="6"/>
  <c r="N804" i="6" a="1"/>
  <c r="N804" i="6"/>
  <c r="S804" i="6"/>
  <c r="R804" i="6" a="1"/>
  <c r="R804" i="6"/>
  <c r="Q804" i="6" a="1"/>
  <c r="Q804" i="6"/>
  <c r="O804" i="6" a="1"/>
  <c r="O804" i="6"/>
  <c r="M804" i="6" a="1"/>
  <c r="M804" i="6"/>
  <c r="J804" i="6" a="1"/>
  <c r="J804" i="6"/>
  <c r="G804" i="6" a="1"/>
  <c r="G804" i="6"/>
  <c r="F804" i="6" a="1"/>
  <c r="F804" i="6"/>
  <c r="E804" i="6" a="1"/>
  <c r="E804" i="6"/>
  <c r="D804" i="6" a="1"/>
  <c r="D804" i="6"/>
  <c r="C804" i="6" a="1"/>
  <c r="C804" i="6"/>
  <c r="N803" i="6" a="1"/>
  <c r="N803" i="6"/>
  <c r="S803" i="6"/>
  <c r="R803" i="6" a="1"/>
  <c r="R803" i="6"/>
  <c r="Q803" i="6" a="1"/>
  <c r="Q803" i="6"/>
  <c r="O803" i="6" a="1"/>
  <c r="O803" i="6"/>
  <c r="M803" i="6" a="1"/>
  <c r="M803" i="6"/>
  <c r="J803" i="6" a="1"/>
  <c r="J803" i="6"/>
  <c r="G803" i="6" a="1"/>
  <c r="G803" i="6"/>
  <c r="F803" i="6" a="1"/>
  <c r="F803" i="6"/>
  <c r="E803" i="6" a="1"/>
  <c r="E803" i="6"/>
  <c r="D803" i="6" a="1"/>
  <c r="D803" i="6"/>
  <c r="C803" i="6" a="1"/>
  <c r="C803" i="6"/>
  <c r="N802" i="6" a="1"/>
  <c r="N802" i="6"/>
  <c r="S802" i="6"/>
  <c r="R802" i="6" a="1"/>
  <c r="R802" i="6"/>
  <c r="Q802" i="6" a="1"/>
  <c r="Q802" i="6"/>
  <c r="O802" i="6" a="1"/>
  <c r="O802" i="6"/>
  <c r="M802" i="6" a="1"/>
  <c r="M802" i="6"/>
  <c r="J802" i="6" a="1"/>
  <c r="J802" i="6"/>
  <c r="G802" i="6" a="1"/>
  <c r="G802" i="6"/>
  <c r="F802" i="6" a="1"/>
  <c r="F802" i="6"/>
  <c r="E802" i="6" a="1"/>
  <c r="E802" i="6"/>
  <c r="D802" i="6" a="1"/>
  <c r="D802" i="6"/>
  <c r="C802" i="6" a="1"/>
  <c r="C802" i="6"/>
  <c r="N801" i="6" a="1"/>
  <c r="N801" i="6"/>
  <c r="S801" i="6"/>
  <c r="R801" i="6" a="1"/>
  <c r="R801" i="6"/>
  <c r="Q801" i="6" a="1"/>
  <c r="Q801" i="6"/>
  <c r="O801" i="6" a="1"/>
  <c r="O801" i="6"/>
  <c r="M801" i="6" a="1"/>
  <c r="M801" i="6"/>
  <c r="J801" i="6" a="1"/>
  <c r="J801" i="6"/>
  <c r="G801" i="6" a="1"/>
  <c r="G801" i="6"/>
  <c r="F801" i="6" a="1"/>
  <c r="F801" i="6"/>
  <c r="E801" i="6" a="1"/>
  <c r="E801" i="6"/>
  <c r="D801" i="6" a="1"/>
  <c r="D801" i="6"/>
  <c r="C801" i="6" a="1"/>
  <c r="C801" i="6"/>
  <c r="N800" i="6" a="1"/>
  <c r="N800" i="6"/>
  <c r="S800" i="6"/>
  <c r="R800" i="6" a="1"/>
  <c r="R800" i="6"/>
  <c r="Q800" i="6" a="1"/>
  <c r="Q800" i="6"/>
  <c r="O800" i="6" a="1"/>
  <c r="O800" i="6"/>
  <c r="M800" i="6" a="1"/>
  <c r="M800" i="6"/>
  <c r="J800" i="6" a="1"/>
  <c r="J800" i="6"/>
  <c r="G800" i="6" a="1"/>
  <c r="G800" i="6"/>
  <c r="F800" i="6" a="1"/>
  <c r="F800" i="6"/>
  <c r="E800" i="6" a="1"/>
  <c r="E800" i="6"/>
  <c r="D800" i="6" a="1"/>
  <c r="D800" i="6"/>
  <c r="C800" i="6" a="1"/>
  <c r="C800" i="6"/>
  <c r="N799" i="6" a="1"/>
  <c r="N799" i="6"/>
  <c r="S799" i="6"/>
  <c r="R799" i="6" a="1"/>
  <c r="R799" i="6"/>
  <c r="Q799" i="6" a="1"/>
  <c r="Q799" i="6"/>
  <c r="O799" i="6" a="1"/>
  <c r="O799" i="6"/>
  <c r="M799" i="6" a="1"/>
  <c r="M799" i="6"/>
  <c r="J799" i="6" a="1"/>
  <c r="J799" i="6"/>
  <c r="G799" i="6" a="1"/>
  <c r="G799" i="6"/>
  <c r="F799" i="6" a="1"/>
  <c r="F799" i="6"/>
  <c r="E799" i="6" a="1"/>
  <c r="E799" i="6"/>
  <c r="D799" i="6" a="1"/>
  <c r="D799" i="6"/>
  <c r="C799" i="6" a="1"/>
  <c r="C799" i="6"/>
  <c r="N798" i="6" a="1"/>
  <c r="N798" i="6"/>
  <c r="S798" i="6"/>
  <c r="R798" i="6" a="1"/>
  <c r="R798" i="6"/>
  <c r="Q798" i="6" a="1"/>
  <c r="Q798" i="6"/>
  <c r="O798" i="6" a="1"/>
  <c r="O798" i="6"/>
  <c r="M798" i="6" a="1"/>
  <c r="M798" i="6"/>
  <c r="J798" i="6" a="1"/>
  <c r="J798" i="6"/>
  <c r="G798" i="6" a="1"/>
  <c r="G798" i="6"/>
  <c r="F798" i="6" a="1"/>
  <c r="F798" i="6"/>
  <c r="E798" i="6" a="1"/>
  <c r="E798" i="6"/>
  <c r="D798" i="6" a="1"/>
  <c r="D798" i="6"/>
  <c r="C798" i="6" a="1"/>
  <c r="C798" i="6"/>
  <c r="N797" i="6" a="1"/>
  <c r="N797" i="6"/>
  <c r="S797" i="6"/>
  <c r="R797" i="6" a="1"/>
  <c r="R797" i="6"/>
  <c r="Q797" i="6" a="1"/>
  <c r="Q797" i="6"/>
  <c r="O797" i="6" a="1"/>
  <c r="O797" i="6"/>
  <c r="M797" i="6" a="1"/>
  <c r="M797" i="6"/>
  <c r="J797" i="6" a="1"/>
  <c r="J797" i="6"/>
  <c r="G797" i="6" a="1"/>
  <c r="G797" i="6"/>
  <c r="F797" i="6" a="1"/>
  <c r="F797" i="6"/>
  <c r="E797" i="6" a="1"/>
  <c r="E797" i="6"/>
  <c r="D797" i="6" a="1"/>
  <c r="D797" i="6"/>
  <c r="C797" i="6" a="1"/>
  <c r="C797" i="6"/>
  <c r="N796" i="6" a="1"/>
  <c r="N796" i="6"/>
  <c r="S796" i="6"/>
  <c r="R796" i="6" a="1"/>
  <c r="R796" i="6"/>
  <c r="Q796" i="6" a="1"/>
  <c r="Q796" i="6"/>
  <c r="O796" i="6" a="1"/>
  <c r="O796" i="6"/>
  <c r="M796" i="6" a="1"/>
  <c r="M796" i="6"/>
  <c r="J796" i="6" a="1"/>
  <c r="J796" i="6"/>
  <c r="G796" i="6" a="1"/>
  <c r="G796" i="6"/>
  <c r="F796" i="6" a="1"/>
  <c r="F796" i="6"/>
  <c r="E796" i="6" a="1"/>
  <c r="E796" i="6"/>
  <c r="D796" i="6" a="1"/>
  <c r="D796" i="6"/>
  <c r="C796" i="6" a="1"/>
  <c r="C796" i="6"/>
  <c r="N795" i="6" a="1"/>
  <c r="N795" i="6"/>
  <c r="S795" i="6"/>
  <c r="R795" i="6" a="1"/>
  <c r="R795" i="6"/>
  <c r="Q795" i="6" a="1"/>
  <c r="Q795" i="6"/>
  <c r="O795" i="6" a="1"/>
  <c r="O795" i="6"/>
  <c r="M795" i="6" a="1"/>
  <c r="M795" i="6"/>
  <c r="J795" i="6" a="1"/>
  <c r="J795" i="6"/>
  <c r="G795" i="6" a="1"/>
  <c r="G795" i="6"/>
  <c r="F795" i="6" a="1"/>
  <c r="F795" i="6"/>
  <c r="E795" i="6" a="1"/>
  <c r="E795" i="6"/>
  <c r="D795" i="6" a="1"/>
  <c r="D795" i="6"/>
  <c r="C795" i="6" a="1"/>
  <c r="C795" i="6"/>
  <c r="N794" i="6" a="1"/>
  <c r="N794" i="6"/>
  <c r="S794" i="6"/>
  <c r="R794" i="6" a="1"/>
  <c r="R794" i="6"/>
  <c r="Q794" i="6" a="1"/>
  <c r="Q794" i="6"/>
  <c r="O794" i="6" a="1"/>
  <c r="O794" i="6"/>
  <c r="M794" i="6" a="1"/>
  <c r="M794" i="6"/>
  <c r="J794" i="6" a="1"/>
  <c r="J794" i="6"/>
  <c r="G794" i="6" a="1"/>
  <c r="G794" i="6"/>
  <c r="F794" i="6" a="1"/>
  <c r="F794" i="6"/>
  <c r="E794" i="6" a="1"/>
  <c r="E794" i="6"/>
  <c r="D794" i="6" a="1"/>
  <c r="D794" i="6"/>
  <c r="C794" i="6" a="1"/>
  <c r="C794" i="6"/>
  <c r="N793" i="6" a="1"/>
  <c r="N793" i="6"/>
  <c r="S793" i="6"/>
  <c r="R793" i="6" a="1"/>
  <c r="R793" i="6"/>
  <c r="Q793" i="6" a="1"/>
  <c r="Q793" i="6"/>
  <c r="O793" i="6" a="1"/>
  <c r="O793" i="6"/>
  <c r="M793" i="6" a="1"/>
  <c r="M793" i="6"/>
  <c r="J793" i="6" a="1"/>
  <c r="J793" i="6"/>
  <c r="G793" i="6" a="1"/>
  <c r="G793" i="6"/>
  <c r="F793" i="6" a="1"/>
  <c r="F793" i="6"/>
  <c r="E793" i="6" a="1"/>
  <c r="E793" i="6"/>
  <c r="D793" i="6" a="1"/>
  <c r="D793" i="6"/>
  <c r="C793" i="6" a="1"/>
  <c r="C793" i="6"/>
  <c r="N792" i="6" a="1"/>
  <c r="N792" i="6"/>
  <c r="S792" i="6"/>
  <c r="R792" i="6" a="1"/>
  <c r="R792" i="6"/>
  <c r="Q792" i="6" a="1"/>
  <c r="Q792" i="6"/>
  <c r="O792" i="6" a="1"/>
  <c r="O792" i="6"/>
  <c r="M792" i="6" a="1"/>
  <c r="M792" i="6"/>
  <c r="J792" i="6" a="1"/>
  <c r="J792" i="6"/>
  <c r="G792" i="6" a="1"/>
  <c r="G792" i="6"/>
  <c r="F792" i="6" a="1"/>
  <c r="F792" i="6"/>
  <c r="E792" i="6" a="1"/>
  <c r="E792" i="6"/>
  <c r="D792" i="6" a="1"/>
  <c r="D792" i="6"/>
  <c r="C792" i="6" a="1"/>
  <c r="C792" i="6"/>
  <c r="N791" i="6" a="1"/>
  <c r="N791" i="6"/>
  <c r="S791" i="6"/>
  <c r="R791" i="6" a="1"/>
  <c r="R791" i="6"/>
  <c r="Q791" i="6" a="1"/>
  <c r="Q791" i="6"/>
  <c r="O791" i="6" a="1"/>
  <c r="O791" i="6"/>
  <c r="M791" i="6" a="1"/>
  <c r="M791" i="6"/>
  <c r="J791" i="6" a="1"/>
  <c r="J791" i="6"/>
  <c r="G791" i="6" a="1"/>
  <c r="G791" i="6"/>
  <c r="F791" i="6" a="1"/>
  <c r="F791" i="6"/>
  <c r="E791" i="6" a="1"/>
  <c r="E791" i="6"/>
  <c r="D791" i="6" a="1"/>
  <c r="D791" i="6"/>
  <c r="C791" i="6" a="1"/>
  <c r="C791" i="6"/>
  <c r="N790" i="6" a="1"/>
  <c r="N790" i="6"/>
  <c r="S790" i="6"/>
  <c r="R790" i="6" a="1"/>
  <c r="R790" i="6"/>
  <c r="Q790" i="6" a="1"/>
  <c r="Q790" i="6"/>
  <c r="O790" i="6" a="1"/>
  <c r="O790" i="6"/>
  <c r="M790" i="6" a="1"/>
  <c r="M790" i="6"/>
  <c r="J790" i="6" a="1"/>
  <c r="J790" i="6"/>
  <c r="G790" i="6" a="1"/>
  <c r="G790" i="6"/>
  <c r="F790" i="6" a="1"/>
  <c r="F790" i="6"/>
  <c r="E790" i="6" a="1"/>
  <c r="E790" i="6"/>
  <c r="D790" i="6" a="1"/>
  <c r="D790" i="6"/>
  <c r="C790" i="6" a="1"/>
  <c r="C790" i="6"/>
  <c r="N789" i="6" a="1"/>
  <c r="N789" i="6"/>
  <c r="S789" i="6"/>
  <c r="R789" i="6" a="1"/>
  <c r="R789" i="6"/>
  <c r="Q789" i="6" a="1"/>
  <c r="Q789" i="6"/>
  <c r="O789" i="6" a="1"/>
  <c r="O789" i="6"/>
  <c r="M789" i="6" a="1"/>
  <c r="M789" i="6"/>
  <c r="J789" i="6" a="1"/>
  <c r="J789" i="6"/>
  <c r="G789" i="6" a="1"/>
  <c r="G789" i="6"/>
  <c r="F789" i="6" a="1"/>
  <c r="F789" i="6"/>
  <c r="E789" i="6" a="1"/>
  <c r="E789" i="6"/>
  <c r="D789" i="6" a="1"/>
  <c r="D789" i="6"/>
  <c r="C789" i="6" a="1"/>
  <c r="C789" i="6"/>
  <c r="N788" i="6" a="1"/>
  <c r="N788" i="6"/>
  <c r="S788" i="6"/>
  <c r="R788" i="6" a="1"/>
  <c r="R788" i="6"/>
  <c r="Q788" i="6" a="1"/>
  <c r="Q788" i="6"/>
  <c r="O788" i="6" a="1"/>
  <c r="O788" i="6"/>
  <c r="M788" i="6" a="1"/>
  <c r="M788" i="6"/>
  <c r="J788" i="6" a="1"/>
  <c r="J788" i="6"/>
  <c r="G788" i="6" a="1"/>
  <c r="G788" i="6"/>
  <c r="F788" i="6" a="1"/>
  <c r="F788" i="6"/>
  <c r="E788" i="6" a="1"/>
  <c r="E788" i="6"/>
  <c r="D788" i="6" a="1"/>
  <c r="D788" i="6"/>
  <c r="C788" i="6" a="1"/>
  <c r="C788" i="6"/>
  <c r="N787" i="6" a="1"/>
  <c r="N787" i="6"/>
  <c r="S787" i="6"/>
  <c r="R787" i="6" a="1"/>
  <c r="R787" i="6"/>
  <c r="Q787" i="6" a="1"/>
  <c r="Q787" i="6"/>
  <c r="O787" i="6" a="1"/>
  <c r="O787" i="6"/>
  <c r="M787" i="6" a="1"/>
  <c r="M787" i="6"/>
  <c r="J787" i="6" a="1"/>
  <c r="J787" i="6"/>
  <c r="G787" i="6" a="1"/>
  <c r="G787" i="6"/>
  <c r="F787" i="6" a="1"/>
  <c r="F787" i="6"/>
  <c r="E787" i="6" a="1"/>
  <c r="E787" i="6"/>
  <c r="D787" i="6" a="1"/>
  <c r="D787" i="6"/>
  <c r="C787" i="6" a="1"/>
  <c r="C787" i="6"/>
  <c r="N786" i="6" a="1"/>
  <c r="N786" i="6"/>
  <c r="S786" i="6"/>
  <c r="R786" i="6" a="1"/>
  <c r="R786" i="6"/>
  <c r="Q786" i="6" a="1"/>
  <c r="Q786" i="6"/>
  <c r="O786" i="6" a="1"/>
  <c r="O786" i="6"/>
  <c r="M786" i="6" a="1"/>
  <c r="M786" i="6"/>
  <c r="J786" i="6" a="1"/>
  <c r="J786" i="6"/>
  <c r="G786" i="6" a="1"/>
  <c r="G786" i="6"/>
  <c r="F786" i="6" a="1"/>
  <c r="F786" i="6"/>
  <c r="E786" i="6" a="1"/>
  <c r="E786" i="6"/>
  <c r="D786" i="6" a="1"/>
  <c r="D786" i="6"/>
  <c r="C786" i="6" a="1"/>
  <c r="C786" i="6"/>
  <c r="N785" i="6" a="1"/>
  <c r="N785" i="6"/>
  <c r="S785" i="6"/>
  <c r="R785" i="6" a="1"/>
  <c r="R785" i="6"/>
  <c r="Q785" i="6" a="1"/>
  <c r="Q785" i="6"/>
  <c r="O785" i="6" a="1"/>
  <c r="O785" i="6"/>
  <c r="M785" i="6" a="1"/>
  <c r="M785" i="6"/>
  <c r="J785" i="6" a="1"/>
  <c r="J785" i="6"/>
  <c r="G785" i="6" a="1"/>
  <c r="G785" i="6"/>
  <c r="F785" i="6" a="1"/>
  <c r="F785" i="6"/>
  <c r="E785" i="6" a="1"/>
  <c r="E785" i="6"/>
  <c r="D785" i="6" a="1"/>
  <c r="D785" i="6"/>
  <c r="C785" i="6" a="1"/>
  <c r="C785" i="6"/>
  <c r="N784" i="6" a="1"/>
  <c r="N784" i="6"/>
  <c r="S784" i="6"/>
  <c r="R784" i="6" a="1"/>
  <c r="R784" i="6"/>
  <c r="Q784" i="6" a="1"/>
  <c r="Q784" i="6"/>
  <c r="O784" i="6" a="1"/>
  <c r="O784" i="6"/>
  <c r="M784" i="6" a="1"/>
  <c r="M784" i="6"/>
  <c r="J784" i="6" a="1"/>
  <c r="J784" i="6"/>
  <c r="G784" i="6" a="1"/>
  <c r="G784" i="6"/>
  <c r="F784" i="6" a="1"/>
  <c r="F784" i="6"/>
  <c r="E784" i="6" a="1"/>
  <c r="E784" i="6"/>
  <c r="D784" i="6" a="1"/>
  <c r="D784" i="6"/>
  <c r="C784" i="6" a="1"/>
  <c r="C784" i="6"/>
  <c r="N783" i="6" a="1"/>
  <c r="N783" i="6"/>
  <c r="S783" i="6"/>
  <c r="R783" i="6" a="1"/>
  <c r="R783" i="6"/>
  <c r="Q783" i="6" a="1"/>
  <c r="Q783" i="6"/>
  <c r="O783" i="6" a="1"/>
  <c r="O783" i="6"/>
  <c r="M783" i="6" a="1"/>
  <c r="M783" i="6"/>
  <c r="J783" i="6" a="1"/>
  <c r="J783" i="6"/>
  <c r="G783" i="6" a="1"/>
  <c r="G783" i="6"/>
  <c r="F783" i="6" a="1"/>
  <c r="F783" i="6"/>
  <c r="E783" i="6" a="1"/>
  <c r="E783" i="6"/>
  <c r="D783" i="6" a="1"/>
  <c r="D783" i="6"/>
  <c r="C783" i="6" a="1"/>
  <c r="C783" i="6"/>
  <c r="N782" i="6" a="1"/>
  <c r="N782" i="6"/>
  <c r="S782" i="6"/>
  <c r="R782" i="6" a="1"/>
  <c r="R782" i="6"/>
  <c r="Q782" i="6" a="1"/>
  <c r="Q782" i="6"/>
  <c r="O782" i="6" a="1"/>
  <c r="O782" i="6"/>
  <c r="M782" i="6" a="1"/>
  <c r="M782" i="6"/>
  <c r="J782" i="6" a="1"/>
  <c r="J782" i="6"/>
  <c r="G782" i="6" a="1"/>
  <c r="G782" i="6"/>
  <c r="F782" i="6" a="1"/>
  <c r="F782" i="6"/>
  <c r="E782" i="6" a="1"/>
  <c r="E782" i="6"/>
  <c r="D782" i="6" a="1"/>
  <c r="D782" i="6"/>
  <c r="C782" i="6" a="1"/>
  <c r="C782" i="6"/>
  <c r="N781" i="6" a="1"/>
  <c r="N781" i="6"/>
  <c r="S781" i="6"/>
  <c r="R781" i="6" a="1"/>
  <c r="R781" i="6"/>
  <c r="Q781" i="6" a="1"/>
  <c r="Q781" i="6"/>
  <c r="O781" i="6" a="1"/>
  <c r="O781" i="6"/>
  <c r="M781" i="6" a="1"/>
  <c r="M781" i="6"/>
  <c r="J781" i="6" a="1"/>
  <c r="J781" i="6"/>
  <c r="G781" i="6" a="1"/>
  <c r="G781" i="6"/>
  <c r="F781" i="6" a="1"/>
  <c r="F781" i="6"/>
  <c r="E781" i="6" a="1"/>
  <c r="E781" i="6"/>
  <c r="D781" i="6" a="1"/>
  <c r="D781" i="6"/>
  <c r="C781" i="6" a="1"/>
  <c r="C781" i="6"/>
  <c r="N780" i="6" a="1"/>
  <c r="N780" i="6"/>
  <c r="S780" i="6"/>
  <c r="R780" i="6" a="1"/>
  <c r="R780" i="6"/>
  <c r="Q780" i="6" a="1"/>
  <c r="Q780" i="6"/>
  <c r="O780" i="6" a="1"/>
  <c r="O780" i="6"/>
  <c r="M780" i="6" a="1"/>
  <c r="M780" i="6"/>
  <c r="J780" i="6" a="1"/>
  <c r="J780" i="6"/>
  <c r="G780" i="6" a="1"/>
  <c r="G780" i="6"/>
  <c r="F780" i="6" a="1"/>
  <c r="F780" i="6"/>
  <c r="E780" i="6" a="1"/>
  <c r="E780" i="6"/>
  <c r="D780" i="6" a="1"/>
  <c r="D780" i="6"/>
  <c r="C780" i="6" a="1"/>
  <c r="C780" i="6"/>
  <c r="N779" i="6" a="1"/>
  <c r="N779" i="6"/>
  <c r="S779" i="6"/>
  <c r="R779" i="6" a="1"/>
  <c r="R779" i="6"/>
  <c r="Q779" i="6" a="1"/>
  <c r="Q779" i="6"/>
  <c r="O779" i="6" a="1"/>
  <c r="O779" i="6"/>
  <c r="M779" i="6" a="1"/>
  <c r="M779" i="6"/>
  <c r="J779" i="6" a="1"/>
  <c r="J779" i="6"/>
  <c r="G779" i="6" a="1"/>
  <c r="G779" i="6"/>
  <c r="F779" i="6" a="1"/>
  <c r="F779" i="6"/>
  <c r="E779" i="6" a="1"/>
  <c r="E779" i="6"/>
  <c r="D779" i="6" a="1"/>
  <c r="D779" i="6"/>
  <c r="C779" i="6" a="1"/>
  <c r="C779" i="6"/>
  <c r="N778" i="6" a="1"/>
  <c r="N778" i="6"/>
  <c r="S778" i="6"/>
  <c r="R778" i="6" a="1"/>
  <c r="R778" i="6"/>
  <c r="Q778" i="6" a="1"/>
  <c r="Q778" i="6"/>
  <c r="O778" i="6" a="1"/>
  <c r="O778" i="6"/>
  <c r="M778" i="6" a="1"/>
  <c r="M778" i="6"/>
  <c r="J778" i="6" a="1"/>
  <c r="J778" i="6"/>
  <c r="G778" i="6" a="1"/>
  <c r="G778" i="6"/>
  <c r="F778" i="6" a="1"/>
  <c r="F778" i="6"/>
  <c r="E778" i="6" a="1"/>
  <c r="E778" i="6"/>
  <c r="D778" i="6" a="1"/>
  <c r="D778" i="6"/>
  <c r="C778" i="6" a="1"/>
  <c r="C778" i="6"/>
  <c r="N777" i="6" a="1"/>
  <c r="N777" i="6"/>
  <c r="S777" i="6"/>
  <c r="R777" i="6" a="1"/>
  <c r="R777" i="6"/>
  <c r="Q777" i="6" a="1"/>
  <c r="Q777" i="6"/>
  <c r="O777" i="6" a="1"/>
  <c r="O777" i="6"/>
  <c r="M777" i="6" a="1"/>
  <c r="M777" i="6"/>
  <c r="J777" i="6" a="1"/>
  <c r="J777" i="6"/>
  <c r="G777" i="6" a="1"/>
  <c r="G777" i="6"/>
  <c r="F777" i="6" a="1"/>
  <c r="F777" i="6"/>
  <c r="E777" i="6" a="1"/>
  <c r="E777" i="6"/>
  <c r="D777" i="6" a="1"/>
  <c r="D777" i="6"/>
  <c r="C777" i="6" a="1"/>
  <c r="C777" i="6"/>
  <c r="N776" i="6" a="1"/>
  <c r="N776" i="6"/>
  <c r="S776" i="6"/>
  <c r="R776" i="6" a="1"/>
  <c r="R776" i="6"/>
  <c r="Q776" i="6" a="1"/>
  <c r="Q776" i="6"/>
  <c r="O776" i="6" a="1"/>
  <c r="O776" i="6"/>
  <c r="M776" i="6" a="1"/>
  <c r="M776" i="6"/>
  <c r="J776" i="6" a="1"/>
  <c r="J776" i="6"/>
  <c r="G776" i="6" a="1"/>
  <c r="G776" i="6"/>
  <c r="F776" i="6" a="1"/>
  <c r="F776" i="6"/>
  <c r="E776" i="6" a="1"/>
  <c r="E776" i="6"/>
  <c r="D776" i="6" a="1"/>
  <c r="D776" i="6"/>
  <c r="C776" i="6" a="1"/>
  <c r="C776" i="6"/>
  <c r="N775" i="6" a="1"/>
  <c r="N775" i="6"/>
  <c r="S775" i="6"/>
  <c r="R775" i="6" a="1"/>
  <c r="R775" i="6"/>
  <c r="Q775" i="6" a="1"/>
  <c r="Q775" i="6"/>
  <c r="O775" i="6" a="1"/>
  <c r="O775" i="6"/>
  <c r="M775" i="6" a="1"/>
  <c r="M775" i="6"/>
  <c r="J775" i="6" a="1"/>
  <c r="J775" i="6"/>
  <c r="G775" i="6" a="1"/>
  <c r="G775" i="6"/>
  <c r="F775" i="6" a="1"/>
  <c r="F775" i="6"/>
  <c r="E775" i="6" a="1"/>
  <c r="E775" i="6"/>
  <c r="D775" i="6" a="1"/>
  <c r="D775" i="6"/>
  <c r="C775" i="6" a="1"/>
  <c r="C775" i="6"/>
  <c r="N774" i="6" a="1"/>
  <c r="N774" i="6"/>
  <c r="S774" i="6"/>
  <c r="R774" i="6" a="1"/>
  <c r="R774" i="6"/>
  <c r="Q774" i="6" a="1"/>
  <c r="Q774" i="6"/>
  <c r="O774" i="6" a="1"/>
  <c r="O774" i="6"/>
  <c r="M774" i="6" a="1"/>
  <c r="M774" i="6"/>
  <c r="J774" i="6" a="1"/>
  <c r="J774" i="6"/>
  <c r="G774" i="6" a="1"/>
  <c r="G774" i="6"/>
  <c r="F774" i="6" a="1"/>
  <c r="F774" i="6"/>
  <c r="E774" i="6" a="1"/>
  <c r="E774" i="6"/>
  <c r="D774" i="6" a="1"/>
  <c r="D774" i="6"/>
  <c r="C774" i="6" a="1"/>
  <c r="C774" i="6"/>
  <c r="N773" i="6" a="1"/>
  <c r="N773" i="6"/>
  <c r="S773" i="6"/>
  <c r="R773" i="6" a="1"/>
  <c r="R773" i="6"/>
  <c r="Q773" i="6" a="1"/>
  <c r="Q773" i="6"/>
  <c r="O773" i="6" a="1"/>
  <c r="O773" i="6"/>
  <c r="M773" i="6" a="1"/>
  <c r="M773" i="6"/>
  <c r="J773" i="6" a="1"/>
  <c r="J773" i="6"/>
  <c r="G773" i="6" a="1"/>
  <c r="G773" i="6"/>
  <c r="F773" i="6" a="1"/>
  <c r="F773" i="6"/>
  <c r="E773" i="6" a="1"/>
  <c r="E773" i="6"/>
  <c r="D773" i="6" a="1"/>
  <c r="D773" i="6"/>
  <c r="C773" i="6" a="1"/>
  <c r="C773" i="6"/>
  <c r="N772" i="6" a="1"/>
  <c r="N772" i="6"/>
  <c r="S772" i="6"/>
  <c r="R772" i="6" a="1"/>
  <c r="R772" i="6"/>
  <c r="Q772" i="6" a="1"/>
  <c r="Q772" i="6"/>
  <c r="O772" i="6" a="1"/>
  <c r="O772" i="6"/>
  <c r="M772" i="6" a="1"/>
  <c r="M772" i="6"/>
  <c r="J772" i="6" a="1"/>
  <c r="J772" i="6"/>
  <c r="G772" i="6" a="1"/>
  <c r="G772" i="6"/>
  <c r="F772" i="6" a="1"/>
  <c r="F772" i="6"/>
  <c r="E772" i="6" a="1"/>
  <c r="E772" i="6"/>
  <c r="D772" i="6" a="1"/>
  <c r="D772" i="6"/>
  <c r="C772" i="6" a="1"/>
  <c r="C772" i="6"/>
  <c r="N771" i="6" a="1"/>
  <c r="N771" i="6"/>
  <c r="S771" i="6"/>
  <c r="R771" i="6" a="1"/>
  <c r="R771" i="6"/>
  <c r="Q771" i="6" a="1"/>
  <c r="Q771" i="6"/>
  <c r="O771" i="6" a="1"/>
  <c r="O771" i="6"/>
  <c r="M771" i="6" a="1"/>
  <c r="M771" i="6"/>
  <c r="J771" i="6" a="1"/>
  <c r="J771" i="6"/>
  <c r="G771" i="6" a="1"/>
  <c r="G771" i="6"/>
  <c r="F771" i="6" a="1"/>
  <c r="F771" i="6"/>
  <c r="E771" i="6" a="1"/>
  <c r="E771" i="6"/>
  <c r="D771" i="6" a="1"/>
  <c r="D771" i="6"/>
  <c r="C771" i="6" a="1"/>
  <c r="C771" i="6"/>
  <c r="N770" i="6" a="1"/>
  <c r="N770" i="6"/>
  <c r="S770" i="6"/>
  <c r="R770" i="6" a="1"/>
  <c r="R770" i="6"/>
  <c r="Q770" i="6" a="1"/>
  <c r="Q770" i="6"/>
  <c r="O770" i="6" a="1"/>
  <c r="O770" i="6"/>
  <c r="M770" i="6" a="1"/>
  <c r="M770" i="6"/>
  <c r="J770" i="6" a="1"/>
  <c r="J770" i="6"/>
  <c r="G770" i="6" a="1"/>
  <c r="G770" i="6"/>
  <c r="F770" i="6" a="1"/>
  <c r="F770" i="6"/>
  <c r="E770" i="6" a="1"/>
  <c r="E770" i="6"/>
  <c r="D770" i="6" a="1"/>
  <c r="D770" i="6"/>
  <c r="C770" i="6" a="1"/>
  <c r="C770" i="6"/>
  <c r="N769" i="6" a="1"/>
  <c r="N769" i="6"/>
  <c r="S769" i="6"/>
  <c r="R769" i="6" a="1"/>
  <c r="R769" i="6"/>
  <c r="Q769" i="6" a="1"/>
  <c r="Q769" i="6"/>
  <c r="O769" i="6" a="1"/>
  <c r="O769" i="6"/>
  <c r="M769" i="6" a="1"/>
  <c r="M769" i="6"/>
  <c r="J769" i="6" a="1"/>
  <c r="J769" i="6"/>
  <c r="G769" i="6" a="1"/>
  <c r="G769" i="6"/>
  <c r="F769" i="6" a="1"/>
  <c r="F769" i="6"/>
  <c r="E769" i="6" a="1"/>
  <c r="E769" i="6"/>
  <c r="D769" i="6" a="1"/>
  <c r="D769" i="6"/>
  <c r="C769" i="6" a="1"/>
  <c r="C769" i="6"/>
  <c r="N768" i="6" a="1"/>
  <c r="N768" i="6"/>
  <c r="S768" i="6"/>
  <c r="R768" i="6" a="1"/>
  <c r="R768" i="6"/>
  <c r="Q768" i="6" a="1"/>
  <c r="Q768" i="6"/>
  <c r="O768" i="6" a="1"/>
  <c r="O768" i="6"/>
  <c r="M768" i="6" a="1"/>
  <c r="M768" i="6"/>
  <c r="J768" i="6" a="1"/>
  <c r="J768" i="6"/>
  <c r="G768" i="6" a="1"/>
  <c r="G768" i="6"/>
  <c r="F768" i="6" a="1"/>
  <c r="F768" i="6"/>
  <c r="E768" i="6" a="1"/>
  <c r="E768" i="6"/>
  <c r="D768" i="6" a="1"/>
  <c r="D768" i="6"/>
  <c r="C768" i="6" a="1"/>
  <c r="C768" i="6"/>
  <c r="N767" i="6" a="1"/>
  <c r="N767" i="6"/>
  <c r="S767" i="6"/>
  <c r="R767" i="6" a="1"/>
  <c r="R767" i="6"/>
  <c r="Q767" i="6" a="1"/>
  <c r="Q767" i="6"/>
  <c r="O767" i="6" a="1"/>
  <c r="O767" i="6"/>
  <c r="M767" i="6" a="1"/>
  <c r="M767" i="6"/>
  <c r="J767" i="6" a="1"/>
  <c r="J767" i="6"/>
  <c r="G767" i="6" a="1"/>
  <c r="G767" i="6"/>
  <c r="F767" i="6" a="1"/>
  <c r="F767" i="6"/>
  <c r="E767" i="6" a="1"/>
  <c r="E767" i="6"/>
  <c r="D767" i="6" a="1"/>
  <c r="D767" i="6"/>
  <c r="C767" i="6" a="1"/>
  <c r="C767" i="6"/>
  <c r="N766" i="6" a="1"/>
  <c r="N766" i="6"/>
  <c r="S766" i="6"/>
  <c r="R766" i="6" a="1"/>
  <c r="R766" i="6"/>
  <c r="Q766" i="6" a="1"/>
  <c r="Q766" i="6"/>
  <c r="O766" i="6" a="1"/>
  <c r="O766" i="6"/>
  <c r="M766" i="6" a="1"/>
  <c r="M766" i="6"/>
  <c r="J766" i="6" a="1"/>
  <c r="J766" i="6"/>
  <c r="G766" i="6" a="1"/>
  <c r="G766" i="6"/>
  <c r="F766" i="6" a="1"/>
  <c r="F766" i="6"/>
  <c r="E766" i="6" a="1"/>
  <c r="E766" i="6"/>
  <c r="D766" i="6" a="1"/>
  <c r="D766" i="6"/>
  <c r="C766" i="6" a="1"/>
  <c r="C766" i="6"/>
  <c r="N765" i="6" a="1"/>
  <c r="N765" i="6"/>
  <c r="S765" i="6"/>
  <c r="R765" i="6" a="1"/>
  <c r="R765" i="6"/>
  <c r="Q765" i="6" a="1"/>
  <c r="Q765" i="6"/>
  <c r="O765" i="6" a="1"/>
  <c r="O765" i="6"/>
  <c r="M765" i="6" a="1"/>
  <c r="M765" i="6"/>
  <c r="J765" i="6" a="1"/>
  <c r="J765" i="6"/>
  <c r="G765" i="6" a="1"/>
  <c r="G765" i="6"/>
  <c r="F765" i="6" a="1"/>
  <c r="F765" i="6"/>
  <c r="E765" i="6" a="1"/>
  <c r="E765" i="6"/>
  <c r="D765" i="6" a="1"/>
  <c r="D765" i="6"/>
  <c r="C765" i="6" a="1"/>
  <c r="C765" i="6"/>
  <c r="N764" i="6" a="1"/>
  <c r="N764" i="6"/>
  <c r="S764" i="6"/>
  <c r="R764" i="6" a="1"/>
  <c r="R764" i="6"/>
  <c r="Q764" i="6" a="1"/>
  <c r="Q764" i="6"/>
  <c r="O764" i="6" a="1"/>
  <c r="O764" i="6"/>
  <c r="M764" i="6" a="1"/>
  <c r="M764" i="6"/>
  <c r="J764" i="6" a="1"/>
  <c r="J764" i="6"/>
  <c r="G764" i="6" a="1"/>
  <c r="G764" i="6"/>
  <c r="F764" i="6" a="1"/>
  <c r="F764" i="6"/>
  <c r="E764" i="6" a="1"/>
  <c r="E764" i="6"/>
  <c r="D764" i="6" a="1"/>
  <c r="D764" i="6"/>
  <c r="C764" i="6" a="1"/>
  <c r="C764" i="6"/>
  <c r="N763" i="6" a="1"/>
  <c r="N763" i="6"/>
  <c r="S763" i="6"/>
  <c r="R763" i="6" a="1"/>
  <c r="R763" i="6"/>
  <c r="Q763" i="6" a="1"/>
  <c r="Q763" i="6"/>
  <c r="O763" i="6" a="1"/>
  <c r="O763" i="6"/>
  <c r="M763" i="6" a="1"/>
  <c r="M763" i="6"/>
  <c r="J763" i="6" a="1"/>
  <c r="J763" i="6"/>
  <c r="G763" i="6" a="1"/>
  <c r="G763" i="6"/>
  <c r="F763" i="6" a="1"/>
  <c r="F763" i="6"/>
  <c r="E763" i="6" a="1"/>
  <c r="E763" i="6"/>
  <c r="D763" i="6" a="1"/>
  <c r="D763" i="6"/>
  <c r="C763" i="6" a="1"/>
  <c r="C763" i="6"/>
  <c r="N762" i="6" a="1"/>
  <c r="N762" i="6"/>
  <c r="S762" i="6"/>
  <c r="R762" i="6" a="1"/>
  <c r="R762" i="6"/>
  <c r="Q762" i="6" a="1"/>
  <c r="Q762" i="6"/>
  <c r="O762" i="6" a="1"/>
  <c r="O762" i="6"/>
  <c r="M762" i="6" a="1"/>
  <c r="M762" i="6"/>
  <c r="J762" i="6" a="1"/>
  <c r="J762" i="6"/>
  <c r="G762" i="6" a="1"/>
  <c r="G762" i="6"/>
  <c r="F762" i="6" a="1"/>
  <c r="F762" i="6"/>
  <c r="E762" i="6" a="1"/>
  <c r="E762" i="6"/>
  <c r="D762" i="6" a="1"/>
  <c r="D762" i="6"/>
  <c r="C762" i="6" a="1"/>
  <c r="C762" i="6"/>
  <c r="N761" i="6" a="1"/>
  <c r="N761" i="6"/>
  <c r="S761" i="6"/>
  <c r="R761" i="6" a="1"/>
  <c r="R761" i="6"/>
  <c r="Q761" i="6" a="1"/>
  <c r="Q761" i="6"/>
  <c r="O761" i="6" a="1"/>
  <c r="O761" i="6"/>
  <c r="M761" i="6" a="1"/>
  <c r="M761" i="6"/>
  <c r="J761" i="6" a="1"/>
  <c r="J761" i="6"/>
  <c r="G761" i="6" a="1"/>
  <c r="G761" i="6"/>
  <c r="F761" i="6" a="1"/>
  <c r="F761" i="6"/>
  <c r="E761" i="6" a="1"/>
  <c r="E761" i="6"/>
  <c r="D761" i="6" a="1"/>
  <c r="D761" i="6"/>
  <c r="C761" i="6" a="1"/>
  <c r="C761" i="6"/>
  <c r="N760" i="6" a="1"/>
  <c r="N760" i="6"/>
  <c r="S760" i="6"/>
  <c r="R760" i="6" a="1"/>
  <c r="R760" i="6"/>
  <c r="Q760" i="6" a="1"/>
  <c r="Q760" i="6"/>
  <c r="O760" i="6" a="1"/>
  <c r="O760" i="6"/>
  <c r="M760" i="6" a="1"/>
  <c r="M760" i="6"/>
  <c r="J760" i="6" a="1"/>
  <c r="J760" i="6"/>
  <c r="G760" i="6" a="1"/>
  <c r="G760" i="6"/>
  <c r="F760" i="6" a="1"/>
  <c r="F760" i="6"/>
  <c r="E760" i="6" a="1"/>
  <c r="E760" i="6"/>
  <c r="D760" i="6" a="1"/>
  <c r="D760" i="6"/>
  <c r="C760" i="6" a="1"/>
  <c r="C760" i="6"/>
  <c r="N759" i="6" a="1"/>
  <c r="N759" i="6"/>
  <c r="S759" i="6"/>
  <c r="R759" i="6" a="1"/>
  <c r="R759" i="6"/>
  <c r="Q759" i="6" a="1"/>
  <c r="Q759" i="6"/>
  <c r="O759" i="6" a="1"/>
  <c r="O759" i="6"/>
  <c r="M759" i="6" a="1"/>
  <c r="M759" i="6"/>
  <c r="J759" i="6" a="1"/>
  <c r="J759" i="6"/>
  <c r="G759" i="6" a="1"/>
  <c r="G759" i="6"/>
  <c r="F759" i="6" a="1"/>
  <c r="F759" i="6"/>
  <c r="E759" i="6" a="1"/>
  <c r="E759" i="6"/>
  <c r="D759" i="6" a="1"/>
  <c r="D759" i="6"/>
  <c r="C759" i="6" a="1"/>
  <c r="C759" i="6"/>
  <c r="N758" i="6" a="1"/>
  <c r="N758" i="6"/>
  <c r="S758" i="6"/>
  <c r="R758" i="6" a="1"/>
  <c r="R758" i="6"/>
  <c r="Q758" i="6" a="1"/>
  <c r="Q758" i="6"/>
  <c r="O758" i="6" a="1"/>
  <c r="O758" i="6"/>
  <c r="M758" i="6" a="1"/>
  <c r="M758" i="6"/>
  <c r="J758" i="6" a="1"/>
  <c r="J758" i="6"/>
  <c r="G758" i="6" a="1"/>
  <c r="G758" i="6"/>
  <c r="F758" i="6" a="1"/>
  <c r="F758" i="6"/>
  <c r="E758" i="6" a="1"/>
  <c r="E758" i="6"/>
  <c r="D758" i="6" a="1"/>
  <c r="D758" i="6"/>
  <c r="C758" i="6" a="1"/>
  <c r="C758" i="6"/>
  <c r="N757" i="6" a="1"/>
  <c r="N757" i="6"/>
  <c r="S757" i="6"/>
  <c r="R757" i="6" a="1"/>
  <c r="R757" i="6"/>
  <c r="Q757" i="6" a="1"/>
  <c r="Q757" i="6"/>
  <c r="O757" i="6" a="1"/>
  <c r="O757" i="6"/>
  <c r="M757" i="6" a="1"/>
  <c r="M757" i="6"/>
  <c r="J757" i="6" a="1"/>
  <c r="J757" i="6"/>
  <c r="G757" i="6" a="1"/>
  <c r="G757" i="6"/>
  <c r="F757" i="6" a="1"/>
  <c r="F757" i="6"/>
  <c r="E757" i="6" a="1"/>
  <c r="E757" i="6"/>
  <c r="D757" i="6" a="1"/>
  <c r="D757" i="6"/>
  <c r="C757" i="6" a="1"/>
  <c r="C757" i="6"/>
  <c r="N756" i="6" a="1"/>
  <c r="N756" i="6"/>
  <c r="S756" i="6"/>
  <c r="R756" i="6" a="1"/>
  <c r="R756" i="6"/>
  <c r="Q756" i="6" a="1"/>
  <c r="Q756" i="6"/>
  <c r="O756" i="6" a="1"/>
  <c r="O756" i="6"/>
  <c r="M756" i="6" a="1"/>
  <c r="M756" i="6"/>
  <c r="J756" i="6" a="1"/>
  <c r="J756" i="6"/>
  <c r="G756" i="6" a="1"/>
  <c r="G756" i="6"/>
  <c r="F756" i="6" a="1"/>
  <c r="F756" i="6"/>
  <c r="E756" i="6" a="1"/>
  <c r="E756" i="6"/>
  <c r="D756" i="6" a="1"/>
  <c r="D756" i="6"/>
  <c r="C756" i="6" a="1"/>
  <c r="C756" i="6"/>
  <c r="N755" i="6" a="1"/>
  <c r="N755" i="6"/>
  <c r="S755" i="6"/>
  <c r="R755" i="6" a="1"/>
  <c r="R755" i="6"/>
  <c r="Q755" i="6" a="1"/>
  <c r="Q755" i="6"/>
  <c r="O755" i="6" a="1"/>
  <c r="O755" i="6"/>
  <c r="M755" i="6" a="1"/>
  <c r="M755" i="6"/>
  <c r="J755" i="6" a="1"/>
  <c r="J755" i="6"/>
  <c r="G755" i="6" a="1"/>
  <c r="G755" i="6"/>
  <c r="F755" i="6" a="1"/>
  <c r="F755" i="6"/>
  <c r="E755" i="6" a="1"/>
  <c r="E755" i="6"/>
  <c r="D755" i="6" a="1"/>
  <c r="D755" i="6"/>
  <c r="C755" i="6" a="1"/>
  <c r="C755" i="6"/>
  <c r="N754" i="6" a="1"/>
  <c r="N754" i="6"/>
  <c r="S754" i="6"/>
  <c r="R754" i="6" a="1"/>
  <c r="R754" i="6"/>
  <c r="Q754" i="6" a="1"/>
  <c r="Q754" i="6"/>
  <c r="O754" i="6" a="1"/>
  <c r="O754" i="6"/>
  <c r="M754" i="6" a="1"/>
  <c r="M754" i="6"/>
  <c r="J754" i="6" a="1"/>
  <c r="J754" i="6"/>
  <c r="G754" i="6" a="1"/>
  <c r="G754" i="6"/>
  <c r="F754" i="6" a="1"/>
  <c r="F754" i="6"/>
  <c r="E754" i="6" a="1"/>
  <c r="E754" i="6"/>
  <c r="D754" i="6" a="1"/>
  <c r="D754" i="6"/>
  <c r="C754" i="6" a="1"/>
  <c r="C754" i="6"/>
  <c r="N753" i="6" a="1"/>
  <c r="N753" i="6"/>
  <c r="S753" i="6"/>
  <c r="R753" i="6" a="1"/>
  <c r="R753" i="6"/>
  <c r="Q753" i="6" a="1"/>
  <c r="Q753" i="6"/>
  <c r="O753" i="6" a="1"/>
  <c r="O753" i="6"/>
  <c r="M753" i="6" a="1"/>
  <c r="M753" i="6"/>
  <c r="J753" i="6" a="1"/>
  <c r="J753" i="6"/>
  <c r="G753" i="6" a="1"/>
  <c r="G753" i="6"/>
  <c r="F753" i="6" a="1"/>
  <c r="F753" i="6"/>
  <c r="E753" i="6" a="1"/>
  <c r="E753" i="6"/>
  <c r="D753" i="6" a="1"/>
  <c r="D753" i="6"/>
  <c r="C753" i="6" a="1"/>
  <c r="C753" i="6"/>
  <c r="N752" i="6" a="1"/>
  <c r="N752" i="6"/>
  <c r="S752" i="6"/>
  <c r="R752" i="6" a="1"/>
  <c r="R752" i="6"/>
  <c r="Q752" i="6" a="1"/>
  <c r="Q752" i="6"/>
  <c r="O752" i="6" a="1"/>
  <c r="O752" i="6"/>
  <c r="M752" i="6" a="1"/>
  <c r="M752" i="6"/>
  <c r="J752" i="6" a="1"/>
  <c r="J752" i="6"/>
  <c r="G752" i="6" a="1"/>
  <c r="G752" i="6"/>
  <c r="F752" i="6" a="1"/>
  <c r="F752" i="6"/>
  <c r="E752" i="6" a="1"/>
  <c r="E752" i="6"/>
  <c r="D752" i="6" a="1"/>
  <c r="D752" i="6"/>
  <c r="C752" i="6" a="1"/>
  <c r="C752" i="6"/>
  <c r="N751" i="6" a="1"/>
  <c r="N751" i="6"/>
  <c r="S751" i="6"/>
  <c r="R751" i="6" a="1"/>
  <c r="R751" i="6"/>
  <c r="Q751" i="6" a="1"/>
  <c r="Q751" i="6"/>
  <c r="O751" i="6" a="1"/>
  <c r="O751" i="6"/>
  <c r="M751" i="6" a="1"/>
  <c r="M751" i="6"/>
  <c r="J751" i="6" a="1"/>
  <c r="J751" i="6"/>
  <c r="G751" i="6" a="1"/>
  <c r="G751" i="6"/>
  <c r="F751" i="6" a="1"/>
  <c r="F751" i="6"/>
  <c r="E751" i="6" a="1"/>
  <c r="E751" i="6"/>
  <c r="D751" i="6" a="1"/>
  <c r="D751" i="6"/>
  <c r="C751" i="6" a="1"/>
  <c r="C751" i="6"/>
  <c r="N750" i="6" a="1"/>
  <c r="N750" i="6"/>
  <c r="S750" i="6"/>
  <c r="R750" i="6" a="1"/>
  <c r="R750" i="6"/>
  <c r="Q750" i="6" a="1"/>
  <c r="Q750" i="6"/>
  <c r="O750" i="6" a="1"/>
  <c r="O750" i="6"/>
  <c r="M750" i="6" a="1"/>
  <c r="M750" i="6"/>
  <c r="J750" i="6" a="1"/>
  <c r="J750" i="6"/>
  <c r="G750" i="6" a="1"/>
  <c r="G750" i="6"/>
  <c r="F750" i="6" a="1"/>
  <c r="F750" i="6"/>
  <c r="E750" i="6" a="1"/>
  <c r="E750" i="6"/>
  <c r="D750" i="6" a="1"/>
  <c r="D750" i="6"/>
  <c r="C750" i="6" a="1"/>
  <c r="C750" i="6"/>
  <c r="N749" i="6" a="1"/>
  <c r="N749" i="6"/>
  <c r="S749" i="6"/>
  <c r="R749" i="6" a="1"/>
  <c r="R749" i="6"/>
  <c r="Q749" i="6" a="1"/>
  <c r="Q749" i="6"/>
  <c r="O749" i="6" a="1"/>
  <c r="O749" i="6"/>
  <c r="M749" i="6" a="1"/>
  <c r="M749" i="6"/>
  <c r="J749" i="6" a="1"/>
  <c r="J749" i="6"/>
  <c r="G749" i="6" a="1"/>
  <c r="G749" i="6"/>
  <c r="F749" i="6" a="1"/>
  <c r="F749" i="6"/>
  <c r="E749" i="6" a="1"/>
  <c r="E749" i="6"/>
  <c r="D749" i="6" a="1"/>
  <c r="D749" i="6"/>
  <c r="C749" i="6" a="1"/>
  <c r="C749" i="6"/>
  <c r="N748" i="6" a="1"/>
  <c r="N748" i="6"/>
  <c r="S748" i="6"/>
  <c r="R748" i="6" a="1"/>
  <c r="R748" i="6"/>
  <c r="Q748" i="6" a="1"/>
  <c r="Q748" i="6"/>
  <c r="O748" i="6" a="1"/>
  <c r="O748" i="6"/>
  <c r="M748" i="6" a="1"/>
  <c r="M748" i="6"/>
  <c r="J748" i="6" a="1"/>
  <c r="J748" i="6"/>
  <c r="G748" i="6" a="1"/>
  <c r="G748" i="6"/>
  <c r="F748" i="6" a="1"/>
  <c r="F748" i="6"/>
  <c r="E748" i="6" a="1"/>
  <c r="E748" i="6"/>
  <c r="D748" i="6" a="1"/>
  <c r="D748" i="6"/>
  <c r="C748" i="6" a="1"/>
  <c r="C748" i="6"/>
  <c r="N747" i="6" a="1"/>
  <c r="N747" i="6"/>
  <c r="S747" i="6"/>
  <c r="R747" i="6" a="1"/>
  <c r="R747" i="6"/>
  <c r="Q747" i="6" a="1"/>
  <c r="Q747" i="6"/>
  <c r="O747" i="6" a="1"/>
  <c r="O747" i="6"/>
  <c r="M747" i="6" a="1"/>
  <c r="M747" i="6"/>
  <c r="J747" i="6" a="1"/>
  <c r="J747" i="6"/>
  <c r="G747" i="6" a="1"/>
  <c r="G747" i="6"/>
  <c r="F747" i="6" a="1"/>
  <c r="F747" i="6"/>
  <c r="E747" i="6" a="1"/>
  <c r="E747" i="6"/>
  <c r="D747" i="6" a="1"/>
  <c r="D747" i="6"/>
  <c r="C747" i="6" a="1"/>
  <c r="C747" i="6"/>
  <c r="N746" i="6" a="1"/>
  <c r="N746" i="6"/>
  <c r="S746" i="6"/>
  <c r="R746" i="6" a="1"/>
  <c r="R746" i="6"/>
  <c r="Q746" i="6" a="1"/>
  <c r="Q746" i="6"/>
  <c r="O746" i="6" a="1"/>
  <c r="O746" i="6"/>
  <c r="M746" i="6" a="1"/>
  <c r="M746" i="6"/>
  <c r="J746" i="6" a="1"/>
  <c r="J746" i="6"/>
  <c r="G746" i="6" a="1"/>
  <c r="G746" i="6"/>
  <c r="F746" i="6" a="1"/>
  <c r="F746" i="6"/>
  <c r="E746" i="6" a="1"/>
  <c r="E746" i="6"/>
  <c r="D746" i="6" a="1"/>
  <c r="D746" i="6"/>
  <c r="C746" i="6" a="1"/>
  <c r="C746" i="6"/>
  <c r="N745" i="6" a="1"/>
  <c r="N745" i="6"/>
  <c r="S745" i="6"/>
  <c r="R745" i="6" a="1"/>
  <c r="R745" i="6"/>
  <c r="Q745" i="6" a="1"/>
  <c r="Q745" i="6"/>
  <c r="O745" i="6" a="1"/>
  <c r="O745" i="6"/>
  <c r="M745" i="6" a="1"/>
  <c r="M745" i="6"/>
  <c r="J745" i="6" a="1"/>
  <c r="J745" i="6"/>
  <c r="G745" i="6" a="1"/>
  <c r="G745" i="6"/>
  <c r="F745" i="6" a="1"/>
  <c r="F745" i="6"/>
  <c r="E745" i="6" a="1"/>
  <c r="E745" i="6"/>
  <c r="D745" i="6" a="1"/>
  <c r="D745" i="6"/>
  <c r="C745" i="6" a="1"/>
  <c r="C745" i="6"/>
  <c r="N744" i="6" a="1"/>
  <c r="N744" i="6"/>
  <c r="S744" i="6"/>
  <c r="R744" i="6" a="1"/>
  <c r="R744" i="6"/>
  <c r="Q744" i="6" a="1"/>
  <c r="Q744" i="6"/>
  <c r="O744" i="6" a="1"/>
  <c r="O744" i="6"/>
  <c r="M744" i="6" a="1"/>
  <c r="M744" i="6"/>
  <c r="J744" i="6" a="1"/>
  <c r="J744" i="6"/>
  <c r="G744" i="6" a="1"/>
  <c r="G744" i="6"/>
  <c r="F744" i="6" a="1"/>
  <c r="F744" i="6"/>
  <c r="E744" i="6" a="1"/>
  <c r="E744" i="6"/>
  <c r="D744" i="6" a="1"/>
  <c r="D744" i="6"/>
  <c r="C744" i="6" a="1"/>
  <c r="C744" i="6"/>
  <c r="N743" i="6" a="1"/>
  <c r="N743" i="6"/>
  <c r="S743" i="6"/>
  <c r="R743" i="6" a="1"/>
  <c r="R743" i="6"/>
  <c r="Q743" i="6" a="1"/>
  <c r="Q743" i="6"/>
  <c r="O743" i="6" a="1"/>
  <c r="O743" i="6"/>
  <c r="M743" i="6" a="1"/>
  <c r="M743" i="6"/>
  <c r="J743" i="6" a="1"/>
  <c r="J743" i="6"/>
  <c r="G743" i="6" a="1"/>
  <c r="G743" i="6"/>
  <c r="F743" i="6" a="1"/>
  <c r="F743" i="6"/>
  <c r="E743" i="6" a="1"/>
  <c r="E743" i="6"/>
  <c r="D743" i="6" a="1"/>
  <c r="D743" i="6"/>
  <c r="C743" i="6" a="1"/>
  <c r="C743" i="6"/>
  <c r="N742" i="6" a="1"/>
  <c r="N742" i="6"/>
  <c r="S742" i="6"/>
  <c r="R742" i="6" a="1"/>
  <c r="R742" i="6"/>
  <c r="Q742" i="6" a="1"/>
  <c r="Q742" i="6"/>
  <c r="O742" i="6" a="1"/>
  <c r="O742" i="6"/>
  <c r="M742" i="6" a="1"/>
  <c r="M742" i="6"/>
  <c r="J742" i="6" a="1"/>
  <c r="J742" i="6"/>
  <c r="G742" i="6" a="1"/>
  <c r="G742" i="6"/>
  <c r="F742" i="6" a="1"/>
  <c r="F742" i="6"/>
  <c r="E742" i="6" a="1"/>
  <c r="E742" i="6"/>
  <c r="D742" i="6" a="1"/>
  <c r="D742" i="6"/>
  <c r="C742" i="6" a="1"/>
  <c r="C742" i="6"/>
  <c r="N741" i="6" a="1"/>
  <c r="N741" i="6"/>
  <c r="S741" i="6"/>
  <c r="R741" i="6" a="1"/>
  <c r="R741" i="6"/>
  <c r="Q741" i="6" a="1"/>
  <c r="Q741" i="6"/>
  <c r="O741" i="6" a="1"/>
  <c r="O741" i="6"/>
  <c r="M741" i="6" a="1"/>
  <c r="M741" i="6"/>
  <c r="J741" i="6" a="1"/>
  <c r="J741" i="6"/>
  <c r="G741" i="6" a="1"/>
  <c r="G741" i="6"/>
  <c r="F741" i="6" a="1"/>
  <c r="F741" i="6"/>
  <c r="E741" i="6" a="1"/>
  <c r="E741" i="6"/>
  <c r="D741" i="6" a="1"/>
  <c r="D741" i="6"/>
  <c r="C741" i="6" a="1"/>
  <c r="C741" i="6"/>
  <c r="N740" i="6" a="1"/>
  <c r="N740" i="6"/>
  <c r="S740" i="6"/>
  <c r="R740" i="6" a="1"/>
  <c r="R740" i="6"/>
  <c r="Q740" i="6" a="1"/>
  <c r="Q740" i="6"/>
  <c r="O740" i="6" a="1"/>
  <c r="O740" i="6"/>
  <c r="M740" i="6" a="1"/>
  <c r="M740" i="6"/>
  <c r="J740" i="6" a="1"/>
  <c r="J740" i="6"/>
  <c r="G740" i="6" a="1"/>
  <c r="G740" i="6"/>
  <c r="F740" i="6" a="1"/>
  <c r="F740" i="6"/>
  <c r="E740" i="6" a="1"/>
  <c r="E740" i="6"/>
  <c r="D740" i="6" a="1"/>
  <c r="D740" i="6"/>
  <c r="C740" i="6" a="1"/>
  <c r="C740" i="6"/>
  <c r="N739" i="6" a="1"/>
  <c r="N739" i="6"/>
  <c r="S739" i="6"/>
  <c r="R739" i="6" a="1"/>
  <c r="R739" i="6"/>
  <c r="Q739" i="6" a="1"/>
  <c r="Q739" i="6"/>
  <c r="O739" i="6" a="1"/>
  <c r="O739" i="6"/>
  <c r="M739" i="6" a="1"/>
  <c r="M739" i="6"/>
  <c r="J739" i="6" a="1"/>
  <c r="J739" i="6"/>
  <c r="G739" i="6" a="1"/>
  <c r="G739" i="6"/>
  <c r="F739" i="6" a="1"/>
  <c r="F739" i="6"/>
  <c r="E739" i="6" a="1"/>
  <c r="E739" i="6"/>
  <c r="D739" i="6" a="1"/>
  <c r="D739" i="6"/>
  <c r="C739" i="6" a="1"/>
  <c r="C739" i="6"/>
  <c r="N738" i="6" a="1"/>
  <c r="N738" i="6"/>
  <c r="S738" i="6"/>
  <c r="R738" i="6" a="1"/>
  <c r="R738" i="6"/>
  <c r="Q738" i="6" a="1"/>
  <c r="Q738" i="6"/>
  <c r="O738" i="6" a="1"/>
  <c r="O738" i="6"/>
  <c r="M738" i="6" a="1"/>
  <c r="M738" i="6"/>
  <c r="J738" i="6" a="1"/>
  <c r="J738" i="6"/>
  <c r="G738" i="6" a="1"/>
  <c r="G738" i="6"/>
  <c r="F738" i="6" a="1"/>
  <c r="F738" i="6"/>
  <c r="E738" i="6" a="1"/>
  <c r="E738" i="6"/>
  <c r="D738" i="6" a="1"/>
  <c r="D738" i="6"/>
  <c r="C738" i="6" a="1"/>
  <c r="C738" i="6"/>
  <c r="N737" i="6" a="1"/>
  <c r="N737" i="6"/>
  <c r="S737" i="6"/>
  <c r="R737" i="6" a="1"/>
  <c r="R737" i="6"/>
  <c r="Q737" i="6" a="1"/>
  <c r="Q737" i="6"/>
  <c r="O737" i="6" a="1"/>
  <c r="O737" i="6"/>
  <c r="M737" i="6" a="1"/>
  <c r="M737" i="6"/>
  <c r="J737" i="6" a="1"/>
  <c r="J737" i="6"/>
  <c r="G737" i="6" a="1"/>
  <c r="G737" i="6"/>
  <c r="F737" i="6" a="1"/>
  <c r="F737" i="6"/>
  <c r="E737" i="6" a="1"/>
  <c r="E737" i="6"/>
  <c r="D737" i="6" a="1"/>
  <c r="D737" i="6"/>
  <c r="C737" i="6" a="1"/>
  <c r="C737" i="6"/>
  <c r="N736" i="6" a="1"/>
  <c r="N736" i="6"/>
  <c r="S736" i="6"/>
  <c r="R736" i="6" a="1"/>
  <c r="R736" i="6"/>
  <c r="Q736" i="6" a="1"/>
  <c r="Q736" i="6"/>
  <c r="O736" i="6" a="1"/>
  <c r="O736" i="6"/>
  <c r="M736" i="6" a="1"/>
  <c r="M736" i="6"/>
  <c r="J736" i="6" a="1"/>
  <c r="J736" i="6"/>
  <c r="G736" i="6" a="1"/>
  <c r="G736" i="6"/>
  <c r="F736" i="6" a="1"/>
  <c r="F736" i="6"/>
  <c r="E736" i="6" a="1"/>
  <c r="E736" i="6"/>
  <c r="D736" i="6" a="1"/>
  <c r="D736" i="6"/>
  <c r="C736" i="6" a="1"/>
  <c r="C736" i="6"/>
  <c r="N735" i="6" a="1"/>
  <c r="N735" i="6"/>
  <c r="S735" i="6"/>
  <c r="R735" i="6" a="1"/>
  <c r="R735" i="6"/>
  <c r="Q735" i="6" a="1"/>
  <c r="Q735" i="6"/>
  <c r="O735" i="6" a="1"/>
  <c r="O735" i="6"/>
  <c r="M735" i="6" a="1"/>
  <c r="M735" i="6"/>
  <c r="J735" i="6" a="1"/>
  <c r="J735" i="6"/>
  <c r="G735" i="6" a="1"/>
  <c r="G735" i="6"/>
  <c r="F735" i="6" a="1"/>
  <c r="F735" i="6"/>
  <c r="E735" i="6" a="1"/>
  <c r="E735" i="6"/>
  <c r="D735" i="6" a="1"/>
  <c r="D735" i="6"/>
  <c r="C735" i="6" a="1"/>
  <c r="C735" i="6"/>
  <c r="N734" i="6" a="1"/>
  <c r="N734" i="6"/>
  <c r="S734" i="6"/>
  <c r="R734" i="6" a="1"/>
  <c r="R734" i="6"/>
  <c r="Q734" i="6" a="1"/>
  <c r="Q734" i="6"/>
  <c r="O734" i="6" a="1"/>
  <c r="O734" i="6"/>
  <c r="M734" i="6" a="1"/>
  <c r="M734" i="6"/>
  <c r="J734" i="6" a="1"/>
  <c r="J734" i="6"/>
  <c r="G734" i="6" a="1"/>
  <c r="G734" i="6"/>
  <c r="F734" i="6" a="1"/>
  <c r="F734" i="6"/>
  <c r="E734" i="6" a="1"/>
  <c r="E734" i="6"/>
  <c r="D734" i="6" a="1"/>
  <c r="D734" i="6"/>
  <c r="C734" i="6" a="1"/>
  <c r="C734" i="6"/>
  <c r="N733" i="6" a="1"/>
  <c r="N733" i="6"/>
  <c r="S733" i="6"/>
  <c r="R733" i="6" a="1"/>
  <c r="R733" i="6"/>
  <c r="Q733" i="6" a="1"/>
  <c r="Q733" i="6"/>
  <c r="O733" i="6" a="1"/>
  <c r="O733" i="6"/>
  <c r="M733" i="6" a="1"/>
  <c r="M733" i="6"/>
  <c r="J733" i="6" a="1"/>
  <c r="J733" i="6"/>
  <c r="G733" i="6" a="1"/>
  <c r="G733" i="6"/>
  <c r="F733" i="6" a="1"/>
  <c r="F733" i="6"/>
  <c r="E733" i="6" a="1"/>
  <c r="E733" i="6"/>
  <c r="D733" i="6" a="1"/>
  <c r="D733" i="6"/>
  <c r="C733" i="6" a="1"/>
  <c r="C733" i="6"/>
  <c r="N732" i="6" a="1"/>
  <c r="N732" i="6"/>
  <c r="S732" i="6"/>
  <c r="R732" i="6" a="1"/>
  <c r="R732" i="6"/>
  <c r="Q732" i="6" a="1"/>
  <c r="Q732" i="6"/>
  <c r="O732" i="6" a="1"/>
  <c r="O732" i="6"/>
  <c r="M732" i="6" a="1"/>
  <c r="M732" i="6"/>
  <c r="J732" i="6" a="1"/>
  <c r="J732" i="6"/>
  <c r="G732" i="6" a="1"/>
  <c r="G732" i="6"/>
  <c r="F732" i="6" a="1"/>
  <c r="F732" i="6"/>
  <c r="E732" i="6" a="1"/>
  <c r="E732" i="6"/>
  <c r="D732" i="6" a="1"/>
  <c r="D732" i="6"/>
  <c r="C732" i="6" a="1"/>
  <c r="C732" i="6"/>
  <c r="N731" i="6" a="1"/>
  <c r="N731" i="6"/>
  <c r="S731" i="6"/>
  <c r="R731" i="6" a="1"/>
  <c r="R731" i="6"/>
  <c r="Q731" i="6" a="1"/>
  <c r="Q731" i="6"/>
  <c r="O731" i="6" a="1"/>
  <c r="O731" i="6"/>
  <c r="M731" i="6" a="1"/>
  <c r="M731" i="6"/>
  <c r="J731" i="6" a="1"/>
  <c r="J731" i="6"/>
  <c r="G731" i="6" a="1"/>
  <c r="G731" i="6"/>
  <c r="F731" i="6" a="1"/>
  <c r="F731" i="6"/>
  <c r="E731" i="6" a="1"/>
  <c r="E731" i="6"/>
  <c r="D731" i="6" a="1"/>
  <c r="D731" i="6"/>
  <c r="C731" i="6" a="1"/>
  <c r="C731" i="6"/>
  <c r="N730" i="6" a="1"/>
  <c r="N730" i="6"/>
  <c r="S730" i="6"/>
  <c r="R730" i="6" a="1"/>
  <c r="R730" i="6"/>
  <c r="Q730" i="6" a="1"/>
  <c r="Q730" i="6"/>
  <c r="O730" i="6" a="1"/>
  <c r="O730" i="6"/>
  <c r="M730" i="6" a="1"/>
  <c r="M730" i="6"/>
  <c r="J730" i="6" a="1"/>
  <c r="J730" i="6"/>
  <c r="G730" i="6" a="1"/>
  <c r="G730" i="6"/>
  <c r="F730" i="6" a="1"/>
  <c r="F730" i="6"/>
  <c r="E730" i="6" a="1"/>
  <c r="E730" i="6"/>
  <c r="D730" i="6" a="1"/>
  <c r="D730" i="6"/>
  <c r="C730" i="6" a="1"/>
  <c r="C730" i="6"/>
  <c r="N729" i="6" a="1"/>
  <c r="N729" i="6"/>
  <c r="S729" i="6"/>
  <c r="R729" i="6" a="1"/>
  <c r="R729" i="6"/>
  <c r="Q729" i="6" a="1"/>
  <c r="Q729" i="6"/>
  <c r="O729" i="6" a="1"/>
  <c r="O729" i="6"/>
  <c r="M729" i="6" a="1"/>
  <c r="M729" i="6"/>
  <c r="J729" i="6" a="1"/>
  <c r="J729" i="6"/>
  <c r="G729" i="6" a="1"/>
  <c r="G729" i="6"/>
  <c r="F729" i="6" a="1"/>
  <c r="F729" i="6"/>
  <c r="E729" i="6" a="1"/>
  <c r="E729" i="6"/>
  <c r="D729" i="6" a="1"/>
  <c r="D729" i="6"/>
  <c r="C729" i="6" a="1"/>
  <c r="C729" i="6"/>
  <c r="N728" i="6" a="1"/>
  <c r="N728" i="6"/>
  <c r="S728" i="6"/>
  <c r="R728" i="6" a="1"/>
  <c r="R728" i="6"/>
  <c r="Q728" i="6" a="1"/>
  <c r="Q728" i="6"/>
  <c r="O728" i="6" a="1"/>
  <c r="O728" i="6"/>
  <c r="M728" i="6" a="1"/>
  <c r="M728" i="6"/>
  <c r="J728" i="6" a="1"/>
  <c r="J728" i="6"/>
  <c r="G728" i="6" a="1"/>
  <c r="G728" i="6"/>
  <c r="F728" i="6" a="1"/>
  <c r="F728" i="6"/>
  <c r="E728" i="6" a="1"/>
  <c r="E728" i="6"/>
  <c r="D728" i="6" a="1"/>
  <c r="D728" i="6"/>
  <c r="C728" i="6" a="1"/>
  <c r="C728" i="6"/>
  <c r="N727" i="6" a="1"/>
  <c r="N727" i="6"/>
  <c r="S727" i="6"/>
  <c r="R727" i="6" a="1"/>
  <c r="R727" i="6"/>
  <c r="Q727" i="6" a="1"/>
  <c r="Q727" i="6"/>
  <c r="O727" i="6" a="1"/>
  <c r="O727" i="6"/>
  <c r="M727" i="6" a="1"/>
  <c r="M727" i="6"/>
  <c r="J727" i="6" a="1"/>
  <c r="J727" i="6"/>
  <c r="G727" i="6" a="1"/>
  <c r="G727" i="6"/>
  <c r="F727" i="6" a="1"/>
  <c r="F727" i="6"/>
  <c r="E727" i="6" a="1"/>
  <c r="E727" i="6"/>
  <c r="D727" i="6" a="1"/>
  <c r="D727" i="6"/>
  <c r="C727" i="6" a="1"/>
  <c r="C727" i="6"/>
  <c r="N726" i="6" a="1"/>
  <c r="N726" i="6"/>
  <c r="S726" i="6"/>
  <c r="R726" i="6" a="1"/>
  <c r="R726" i="6"/>
  <c r="Q726" i="6" a="1"/>
  <c r="Q726" i="6"/>
  <c r="O726" i="6" a="1"/>
  <c r="O726" i="6"/>
  <c r="M726" i="6" a="1"/>
  <c r="M726" i="6"/>
  <c r="J726" i="6" a="1"/>
  <c r="J726" i="6"/>
  <c r="G726" i="6" a="1"/>
  <c r="G726" i="6"/>
  <c r="F726" i="6" a="1"/>
  <c r="F726" i="6"/>
  <c r="E726" i="6" a="1"/>
  <c r="E726" i="6"/>
  <c r="D726" i="6" a="1"/>
  <c r="D726" i="6"/>
  <c r="C726" i="6" a="1"/>
  <c r="C726" i="6"/>
  <c r="N725" i="6" a="1"/>
  <c r="N725" i="6"/>
  <c r="S725" i="6"/>
  <c r="R725" i="6" a="1"/>
  <c r="R725" i="6"/>
  <c r="Q725" i="6" a="1"/>
  <c r="Q725" i="6"/>
  <c r="O725" i="6" a="1"/>
  <c r="O725" i="6"/>
  <c r="M725" i="6" a="1"/>
  <c r="M725" i="6"/>
  <c r="J725" i="6" a="1"/>
  <c r="J725" i="6"/>
  <c r="G725" i="6" a="1"/>
  <c r="G725" i="6"/>
  <c r="F725" i="6" a="1"/>
  <c r="F725" i="6"/>
  <c r="E725" i="6" a="1"/>
  <c r="E725" i="6"/>
  <c r="D725" i="6" a="1"/>
  <c r="D725" i="6"/>
  <c r="C725" i="6" a="1"/>
  <c r="C725" i="6"/>
  <c r="N724" i="6" a="1"/>
  <c r="N724" i="6"/>
  <c r="S724" i="6"/>
  <c r="R724" i="6" a="1"/>
  <c r="R724" i="6"/>
  <c r="Q724" i="6" a="1"/>
  <c r="Q724" i="6"/>
  <c r="O724" i="6" a="1"/>
  <c r="O724" i="6"/>
  <c r="M724" i="6" a="1"/>
  <c r="M724" i="6"/>
  <c r="J724" i="6" a="1"/>
  <c r="J724" i="6"/>
  <c r="G724" i="6" a="1"/>
  <c r="G724" i="6"/>
  <c r="F724" i="6" a="1"/>
  <c r="F724" i="6"/>
  <c r="E724" i="6" a="1"/>
  <c r="E724" i="6"/>
  <c r="D724" i="6" a="1"/>
  <c r="D724" i="6"/>
  <c r="C724" i="6" a="1"/>
  <c r="C724" i="6"/>
  <c r="N723" i="6" a="1"/>
  <c r="N723" i="6"/>
  <c r="S723" i="6"/>
  <c r="R723" i="6" a="1"/>
  <c r="R723" i="6"/>
  <c r="Q723" i="6" a="1"/>
  <c r="Q723" i="6"/>
  <c r="O723" i="6" a="1"/>
  <c r="O723" i="6"/>
  <c r="M723" i="6" a="1"/>
  <c r="M723" i="6"/>
  <c r="J723" i="6" a="1"/>
  <c r="J723" i="6"/>
  <c r="G723" i="6" a="1"/>
  <c r="G723" i="6"/>
  <c r="F723" i="6" a="1"/>
  <c r="F723" i="6"/>
  <c r="E723" i="6" a="1"/>
  <c r="E723" i="6"/>
  <c r="D723" i="6" a="1"/>
  <c r="D723" i="6"/>
  <c r="C723" i="6" a="1"/>
  <c r="C723" i="6"/>
  <c r="N722" i="6" a="1"/>
  <c r="N722" i="6"/>
  <c r="S722" i="6"/>
  <c r="R722" i="6" a="1"/>
  <c r="R722" i="6"/>
  <c r="Q722" i="6" a="1"/>
  <c r="Q722" i="6"/>
  <c r="O722" i="6" a="1"/>
  <c r="O722" i="6"/>
  <c r="M722" i="6" a="1"/>
  <c r="M722" i="6"/>
  <c r="J722" i="6" a="1"/>
  <c r="J722" i="6"/>
  <c r="G722" i="6" a="1"/>
  <c r="G722" i="6"/>
  <c r="F722" i="6" a="1"/>
  <c r="F722" i="6"/>
  <c r="E722" i="6" a="1"/>
  <c r="E722" i="6"/>
  <c r="D722" i="6" a="1"/>
  <c r="D722" i="6"/>
  <c r="C722" i="6" a="1"/>
  <c r="C722" i="6"/>
  <c r="N721" i="6" a="1"/>
  <c r="N721" i="6"/>
  <c r="S721" i="6"/>
  <c r="R721" i="6" a="1"/>
  <c r="R721" i="6"/>
  <c r="Q721" i="6" a="1"/>
  <c r="Q721" i="6"/>
  <c r="O721" i="6" a="1"/>
  <c r="O721" i="6"/>
  <c r="M721" i="6" a="1"/>
  <c r="M721" i="6"/>
  <c r="J721" i="6" a="1"/>
  <c r="J721" i="6"/>
  <c r="G721" i="6" a="1"/>
  <c r="G721" i="6"/>
  <c r="F721" i="6" a="1"/>
  <c r="F721" i="6"/>
  <c r="E721" i="6" a="1"/>
  <c r="E721" i="6"/>
  <c r="D721" i="6" a="1"/>
  <c r="D721" i="6"/>
  <c r="C721" i="6" a="1"/>
  <c r="C721" i="6"/>
  <c r="N720" i="6" a="1"/>
  <c r="N720" i="6"/>
  <c r="S720" i="6"/>
  <c r="R720" i="6" a="1"/>
  <c r="R720" i="6"/>
  <c r="Q720" i="6" a="1"/>
  <c r="Q720" i="6"/>
  <c r="O720" i="6" a="1"/>
  <c r="O720" i="6"/>
  <c r="M720" i="6" a="1"/>
  <c r="M720" i="6"/>
  <c r="J720" i="6" a="1"/>
  <c r="J720" i="6"/>
  <c r="G720" i="6" a="1"/>
  <c r="G720" i="6"/>
  <c r="F720" i="6" a="1"/>
  <c r="F720" i="6"/>
  <c r="E720" i="6" a="1"/>
  <c r="E720" i="6"/>
  <c r="D720" i="6" a="1"/>
  <c r="D720" i="6"/>
  <c r="C720" i="6" a="1"/>
  <c r="C720" i="6"/>
  <c r="N719" i="6" a="1"/>
  <c r="N719" i="6"/>
  <c r="S719" i="6"/>
  <c r="R719" i="6" a="1"/>
  <c r="R719" i="6"/>
  <c r="Q719" i="6" a="1"/>
  <c r="Q719" i="6"/>
  <c r="O719" i="6" a="1"/>
  <c r="O719" i="6"/>
  <c r="M719" i="6" a="1"/>
  <c r="M719" i="6"/>
  <c r="J719" i="6" a="1"/>
  <c r="J719" i="6"/>
  <c r="G719" i="6" a="1"/>
  <c r="G719" i="6"/>
  <c r="F719" i="6" a="1"/>
  <c r="F719" i="6"/>
  <c r="E719" i="6" a="1"/>
  <c r="E719" i="6"/>
  <c r="D719" i="6" a="1"/>
  <c r="D719" i="6"/>
  <c r="C719" i="6" a="1"/>
  <c r="C719" i="6"/>
  <c r="N718" i="6" a="1"/>
  <c r="N718" i="6"/>
  <c r="S718" i="6"/>
  <c r="R718" i="6" a="1"/>
  <c r="R718" i="6"/>
  <c r="Q718" i="6" a="1"/>
  <c r="Q718" i="6"/>
  <c r="O718" i="6" a="1"/>
  <c r="O718" i="6"/>
  <c r="M718" i="6" a="1"/>
  <c r="M718" i="6"/>
  <c r="J718" i="6" a="1"/>
  <c r="J718" i="6"/>
  <c r="G718" i="6" a="1"/>
  <c r="G718" i="6"/>
  <c r="F718" i="6" a="1"/>
  <c r="F718" i="6"/>
  <c r="E718" i="6" a="1"/>
  <c r="E718" i="6"/>
  <c r="D718" i="6" a="1"/>
  <c r="D718" i="6"/>
  <c r="C718" i="6" a="1"/>
  <c r="C718" i="6"/>
  <c r="N717" i="6" a="1"/>
  <c r="N717" i="6"/>
  <c r="S717" i="6"/>
  <c r="R717" i="6" a="1"/>
  <c r="R717" i="6"/>
  <c r="Q717" i="6" a="1"/>
  <c r="Q717" i="6"/>
  <c r="O717" i="6" a="1"/>
  <c r="O717" i="6"/>
  <c r="M717" i="6" a="1"/>
  <c r="M717" i="6"/>
  <c r="J717" i="6" a="1"/>
  <c r="J717" i="6"/>
  <c r="G717" i="6" a="1"/>
  <c r="G717" i="6"/>
  <c r="F717" i="6" a="1"/>
  <c r="F717" i="6"/>
  <c r="E717" i="6" a="1"/>
  <c r="E717" i="6"/>
  <c r="D717" i="6" a="1"/>
  <c r="D717" i="6"/>
  <c r="C717" i="6" a="1"/>
  <c r="C717" i="6"/>
  <c r="N716" i="6" a="1"/>
  <c r="N716" i="6"/>
  <c r="S716" i="6"/>
  <c r="R716" i="6" a="1"/>
  <c r="R716" i="6"/>
  <c r="Q716" i="6" a="1"/>
  <c r="Q716" i="6"/>
  <c r="O716" i="6" a="1"/>
  <c r="O716" i="6"/>
  <c r="M716" i="6" a="1"/>
  <c r="M716" i="6"/>
  <c r="J716" i="6" a="1"/>
  <c r="J716" i="6"/>
  <c r="G716" i="6" a="1"/>
  <c r="G716" i="6"/>
  <c r="F716" i="6" a="1"/>
  <c r="F716" i="6"/>
  <c r="E716" i="6" a="1"/>
  <c r="E716" i="6"/>
  <c r="D716" i="6" a="1"/>
  <c r="D716" i="6"/>
  <c r="C716" i="6" a="1"/>
  <c r="C716" i="6"/>
  <c r="N715" i="6" a="1"/>
  <c r="N715" i="6"/>
  <c r="S715" i="6"/>
  <c r="R715" i="6" a="1"/>
  <c r="R715" i="6"/>
  <c r="Q715" i="6" a="1"/>
  <c r="Q715" i="6"/>
  <c r="O715" i="6" a="1"/>
  <c r="O715" i="6"/>
  <c r="M715" i="6" a="1"/>
  <c r="M715" i="6"/>
  <c r="J715" i="6" a="1"/>
  <c r="J715" i="6"/>
  <c r="G715" i="6" a="1"/>
  <c r="G715" i="6"/>
  <c r="F715" i="6" a="1"/>
  <c r="F715" i="6"/>
  <c r="E715" i="6" a="1"/>
  <c r="E715" i="6"/>
  <c r="D715" i="6" a="1"/>
  <c r="D715" i="6"/>
  <c r="C715" i="6" a="1"/>
  <c r="C715" i="6"/>
  <c r="N714" i="6" a="1"/>
  <c r="N714" i="6"/>
  <c r="S714" i="6"/>
  <c r="R714" i="6" a="1"/>
  <c r="R714" i="6"/>
  <c r="Q714" i="6" a="1"/>
  <c r="Q714" i="6"/>
  <c r="O714" i="6" a="1"/>
  <c r="O714" i="6"/>
  <c r="M714" i="6" a="1"/>
  <c r="M714" i="6"/>
  <c r="J714" i="6" a="1"/>
  <c r="J714" i="6"/>
  <c r="G714" i="6" a="1"/>
  <c r="G714" i="6"/>
  <c r="F714" i="6" a="1"/>
  <c r="F714" i="6"/>
  <c r="E714" i="6" a="1"/>
  <c r="E714" i="6"/>
  <c r="D714" i="6" a="1"/>
  <c r="D714" i="6"/>
  <c r="C714" i="6" a="1"/>
  <c r="C714" i="6"/>
  <c r="N713" i="6" a="1"/>
  <c r="N713" i="6"/>
  <c r="S713" i="6"/>
  <c r="R713" i="6" a="1"/>
  <c r="R713" i="6"/>
  <c r="Q713" i="6" a="1"/>
  <c r="Q713" i="6"/>
  <c r="O713" i="6" a="1"/>
  <c r="O713" i="6"/>
  <c r="M713" i="6" a="1"/>
  <c r="M713" i="6"/>
  <c r="J713" i="6" a="1"/>
  <c r="J713" i="6"/>
  <c r="G713" i="6" a="1"/>
  <c r="G713" i="6"/>
  <c r="F713" i="6" a="1"/>
  <c r="F713" i="6"/>
  <c r="E713" i="6" a="1"/>
  <c r="E713" i="6"/>
  <c r="D713" i="6" a="1"/>
  <c r="D713" i="6"/>
  <c r="C713" i="6" a="1"/>
  <c r="C713" i="6"/>
  <c r="N712" i="6" a="1"/>
  <c r="N712" i="6"/>
  <c r="S712" i="6"/>
  <c r="R712" i="6" a="1"/>
  <c r="R712" i="6"/>
  <c r="Q712" i="6" a="1"/>
  <c r="Q712" i="6"/>
  <c r="O712" i="6" a="1"/>
  <c r="O712" i="6"/>
  <c r="M712" i="6" a="1"/>
  <c r="M712" i="6"/>
  <c r="J712" i="6" a="1"/>
  <c r="J712" i="6"/>
  <c r="G712" i="6" a="1"/>
  <c r="G712" i="6"/>
  <c r="F712" i="6" a="1"/>
  <c r="F712" i="6"/>
  <c r="E712" i="6" a="1"/>
  <c r="E712" i="6"/>
  <c r="D712" i="6" a="1"/>
  <c r="D712" i="6"/>
  <c r="C712" i="6" a="1"/>
  <c r="C712" i="6"/>
  <c r="N711" i="6" a="1"/>
  <c r="N711" i="6"/>
  <c r="S711" i="6"/>
  <c r="R711" i="6" a="1"/>
  <c r="R711" i="6"/>
  <c r="Q711" i="6" a="1"/>
  <c r="Q711" i="6"/>
  <c r="O711" i="6" a="1"/>
  <c r="O711" i="6"/>
  <c r="M711" i="6" a="1"/>
  <c r="M711" i="6"/>
  <c r="J711" i="6" a="1"/>
  <c r="J711" i="6"/>
  <c r="G711" i="6" a="1"/>
  <c r="G711" i="6"/>
  <c r="F711" i="6" a="1"/>
  <c r="F711" i="6"/>
  <c r="E711" i="6" a="1"/>
  <c r="E711" i="6"/>
  <c r="D711" i="6" a="1"/>
  <c r="D711" i="6"/>
  <c r="C711" i="6" a="1"/>
  <c r="C711" i="6"/>
  <c r="N710" i="6" a="1"/>
  <c r="N710" i="6"/>
  <c r="S710" i="6"/>
  <c r="R710" i="6" a="1"/>
  <c r="R710" i="6"/>
  <c r="Q710" i="6" a="1"/>
  <c r="Q710" i="6"/>
  <c r="O710" i="6" a="1"/>
  <c r="O710" i="6"/>
  <c r="M710" i="6" a="1"/>
  <c r="M710" i="6"/>
  <c r="J710" i="6" a="1"/>
  <c r="J710" i="6"/>
  <c r="G710" i="6" a="1"/>
  <c r="G710" i="6"/>
  <c r="F710" i="6" a="1"/>
  <c r="F710" i="6"/>
  <c r="E710" i="6" a="1"/>
  <c r="E710" i="6"/>
  <c r="D710" i="6" a="1"/>
  <c r="D710" i="6"/>
  <c r="C710" i="6" a="1"/>
  <c r="C710" i="6"/>
  <c r="N709" i="6" a="1"/>
  <c r="N709" i="6"/>
  <c r="S709" i="6"/>
  <c r="R709" i="6" a="1"/>
  <c r="R709" i="6"/>
  <c r="Q709" i="6" a="1"/>
  <c r="Q709" i="6"/>
  <c r="O709" i="6" a="1"/>
  <c r="O709" i="6"/>
  <c r="M709" i="6" a="1"/>
  <c r="M709" i="6"/>
  <c r="J709" i="6" a="1"/>
  <c r="J709" i="6"/>
  <c r="G709" i="6" a="1"/>
  <c r="G709" i="6"/>
  <c r="F709" i="6" a="1"/>
  <c r="F709" i="6"/>
  <c r="E709" i="6" a="1"/>
  <c r="E709" i="6"/>
  <c r="D709" i="6" a="1"/>
  <c r="D709" i="6"/>
  <c r="C709" i="6" a="1"/>
  <c r="C709" i="6"/>
  <c r="N708" i="6" a="1"/>
  <c r="N708" i="6"/>
  <c r="S708" i="6"/>
  <c r="R708" i="6" a="1"/>
  <c r="R708" i="6"/>
  <c r="Q708" i="6" a="1"/>
  <c r="Q708" i="6"/>
  <c r="O708" i="6" a="1"/>
  <c r="O708" i="6"/>
  <c r="M708" i="6" a="1"/>
  <c r="M708" i="6"/>
  <c r="J708" i="6" a="1"/>
  <c r="J708" i="6"/>
  <c r="G708" i="6" a="1"/>
  <c r="G708" i="6"/>
  <c r="F708" i="6" a="1"/>
  <c r="F708" i="6"/>
  <c r="E708" i="6" a="1"/>
  <c r="E708" i="6"/>
  <c r="D708" i="6" a="1"/>
  <c r="D708" i="6"/>
  <c r="C708" i="6" a="1"/>
  <c r="C708" i="6"/>
  <c r="N707" i="6" a="1"/>
  <c r="N707" i="6"/>
  <c r="S707" i="6"/>
  <c r="R707" i="6" a="1"/>
  <c r="R707" i="6"/>
  <c r="Q707" i="6" a="1"/>
  <c r="Q707" i="6"/>
  <c r="O707" i="6" a="1"/>
  <c r="O707" i="6"/>
  <c r="M707" i="6" a="1"/>
  <c r="M707" i="6"/>
  <c r="J707" i="6" a="1"/>
  <c r="J707" i="6"/>
  <c r="G707" i="6" a="1"/>
  <c r="G707" i="6"/>
  <c r="F707" i="6" a="1"/>
  <c r="F707" i="6"/>
  <c r="E707" i="6" a="1"/>
  <c r="E707" i="6"/>
  <c r="D707" i="6" a="1"/>
  <c r="D707" i="6"/>
  <c r="C707" i="6" a="1"/>
  <c r="C707" i="6"/>
  <c r="N706" i="6" a="1"/>
  <c r="N706" i="6"/>
  <c r="S706" i="6"/>
  <c r="R706" i="6" a="1"/>
  <c r="R706" i="6"/>
  <c r="Q706" i="6" a="1"/>
  <c r="Q706" i="6"/>
  <c r="O706" i="6" a="1"/>
  <c r="O706" i="6"/>
  <c r="M706" i="6" a="1"/>
  <c r="M706" i="6"/>
  <c r="J706" i="6" a="1"/>
  <c r="J706" i="6"/>
  <c r="G706" i="6" a="1"/>
  <c r="G706" i="6"/>
  <c r="F706" i="6" a="1"/>
  <c r="F706" i="6"/>
  <c r="E706" i="6" a="1"/>
  <c r="E706" i="6"/>
  <c r="D706" i="6" a="1"/>
  <c r="D706" i="6"/>
  <c r="C706" i="6" a="1"/>
  <c r="C706" i="6"/>
  <c r="N705" i="6" a="1"/>
  <c r="N705" i="6"/>
  <c r="S705" i="6"/>
  <c r="R705" i="6" a="1"/>
  <c r="R705" i="6"/>
  <c r="Q705" i="6" a="1"/>
  <c r="Q705" i="6"/>
  <c r="O705" i="6" a="1"/>
  <c r="O705" i="6"/>
  <c r="M705" i="6" a="1"/>
  <c r="M705" i="6"/>
  <c r="J705" i="6" a="1"/>
  <c r="J705" i="6"/>
  <c r="G705" i="6" a="1"/>
  <c r="G705" i="6"/>
  <c r="F705" i="6" a="1"/>
  <c r="F705" i="6"/>
  <c r="E705" i="6" a="1"/>
  <c r="E705" i="6"/>
  <c r="D705" i="6" a="1"/>
  <c r="D705" i="6"/>
  <c r="C705" i="6" a="1"/>
  <c r="C705" i="6"/>
  <c r="N704" i="6" a="1"/>
  <c r="N704" i="6"/>
  <c r="S704" i="6"/>
  <c r="R704" i="6" a="1"/>
  <c r="R704" i="6"/>
  <c r="Q704" i="6" a="1"/>
  <c r="Q704" i="6"/>
  <c r="O704" i="6" a="1"/>
  <c r="O704" i="6"/>
  <c r="M704" i="6" a="1"/>
  <c r="M704" i="6"/>
  <c r="J704" i="6" a="1"/>
  <c r="J704" i="6"/>
  <c r="G704" i="6" a="1"/>
  <c r="G704" i="6"/>
  <c r="F704" i="6" a="1"/>
  <c r="F704" i="6"/>
  <c r="E704" i="6" a="1"/>
  <c r="E704" i="6"/>
  <c r="D704" i="6" a="1"/>
  <c r="D704" i="6"/>
  <c r="C704" i="6" a="1"/>
  <c r="C704" i="6"/>
  <c r="N703" i="6" a="1"/>
  <c r="N703" i="6"/>
  <c r="S703" i="6"/>
  <c r="R703" i="6" a="1"/>
  <c r="R703" i="6"/>
  <c r="Q703" i="6" a="1"/>
  <c r="Q703" i="6"/>
  <c r="O703" i="6" a="1"/>
  <c r="O703" i="6"/>
  <c r="M703" i="6" a="1"/>
  <c r="M703" i="6"/>
  <c r="J703" i="6" a="1"/>
  <c r="J703" i="6"/>
  <c r="G703" i="6" a="1"/>
  <c r="G703" i="6"/>
  <c r="F703" i="6" a="1"/>
  <c r="F703" i="6"/>
  <c r="E703" i="6" a="1"/>
  <c r="E703" i="6"/>
  <c r="D703" i="6" a="1"/>
  <c r="D703" i="6"/>
  <c r="C703" i="6" a="1"/>
  <c r="C703" i="6"/>
  <c r="N702" i="6" a="1"/>
  <c r="N702" i="6"/>
  <c r="S702" i="6"/>
  <c r="R702" i="6" a="1"/>
  <c r="R702" i="6"/>
  <c r="Q702" i="6" a="1"/>
  <c r="Q702" i="6"/>
  <c r="O702" i="6" a="1"/>
  <c r="O702" i="6"/>
  <c r="M702" i="6" a="1"/>
  <c r="M702" i="6"/>
  <c r="J702" i="6" a="1"/>
  <c r="J702" i="6"/>
  <c r="G702" i="6" a="1"/>
  <c r="G702" i="6"/>
  <c r="F702" i="6" a="1"/>
  <c r="F702" i="6"/>
  <c r="E702" i="6" a="1"/>
  <c r="E702" i="6"/>
  <c r="D702" i="6" a="1"/>
  <c r="D702" i="6"/>
  <c r="C702" i="6" a="1"/>
  <c r="C702" i="6"/>
  <c r="N701" i="6" a="1"/>
  <c r="N701" i="6"/>
  <c r="S701" i="6"/>
  <c r="R701" i="6" a="1"/>
  <c r="R701" i="6"/>
  <c r="Q701" i="6" a="1"/>
  <c r="Q701" i="6"/>
  <c r="O701" i="6" a="1"/>
  <c r="O701" i="6"/>
  <c r="M701" i="6" a="1"/>
  <c r="M701" i="6"/>
  <c r="J701" i="6" a="1"/>
  <c r="J701" i="6"/>
  <c r="G701" i="6" a="1"/>
  <c r="G701" i="6"/>
  <c r="F701" i="6" a="1"/>
  <c r="F701" i="6"/>
  <c r="E701" i="6" a="1"/>
  <c r="E701" i="6"/>
  <c r="D701" i="6" a="1"/>
  <c r="D701" i="6"/>
  <c r="C701" i="6" a="1"/>
  <c r="C701" i="6"/>
  <c r="N700" i="6" a="1"/>
  <c r="N700" i="6"/>
  <c r="S700" i="6"/>
  <c r="R700" i="6" a="1"/>
  <c r="R700" i="6"/>
  <c r="Q700" i="6" a="1"/>
  <c r="Q700" i="6"/>
  <c r="O700" i="6" a="1"/>
  <c r="O700" i="6"/>
  <c r="M700" i="6" a="1"/>
  <c r="M700" i="6"/>
  <c r="J700" i="6" a="1"/>
  <c r="J700" i="6"/>
  <c r="G700" i="6" a="1"/>
  <c r="G700" i="6"/>
  <c r="F700" i="6" a="1"/>
  <c r="F700" i="6"/>
  <c r="E700" i="6" a="1"/>
  <c r="E700" i="6"/>
  <c r="D700" i="6" a="1"/>
  <c r="D700" i="6"/>
  <c r="C700" i="6" a="1"/>
  <c r="C700" i="6"/>
  <c r="N699" i="6" a="1"/>
  <c r="N699" i="6"/>
  <c r="S699" i="6"/>
  <c r="R699" i="6" a="1"/>
  <c r="R699" i="6"/>
  <c r="Q699" i="6" a="1"/>
  <c r="Q699" i="6"/>
  <c r="O699" i="6" a="1"/>
  <c r="O699" i="6"/>
  <c r="M699" i="6" a="1"/>
  <c r="M699" i="6"/>
  <c r="J699" i="6" a="1"/>
  <c r="J699" i="6"/>
  <c r="G699" i="6" a="1"/>
  <c r="G699" i="6"/>
  <c r="F699" i="6" a="1"/>
  <c r="F699" i="6"/>
  <c r="E699" i="6" a="1"/>
  <c r="E699" i="6"/>
  <c r="D699" i="6" a="1"/>
  <c r="D699" i="6"/>
  <c r="C699" i="6" a="1"/>
  <c r="C699" i="6"/>
  <c r="N698" i="6" a="1"/>
  <c r="N698" i="6"/>
  <c r="S698" i="6"/>
  <c r="R698" i="6" a="1"/>
  <c r="R698" i="6"/>
  <c r="Q698" i="6" a="1"/>
  <c r="Q698" i="6"/>
  <c r="O698" i="6" a="1"/>
  <c r="O698" i="6"/>
  <c r="M698" i="6" a="1"/>
  <c r="M698" i="6"/>
  <c r="J698" i="6" a="1"/>
  <c r="J698" i="6"/>
  <c r="G698" i="6" a="1"/>
  <c r="G698" i="6"/>
  <c r="F698" i="6" a="1"/>
  <c r="F698" i="6"/>
  <c r="E698" i="6" a="1"/>
  <c r="E698" i="6"/>
  <c r="D698" i="6" a="1"/>
  <c r="D698" i="6"/>
  <c r="C698" i="6" a="1"/>
  <c r="C698" i="6"/>
  <c r="N697" i="6" a="1"/>
  <c r="N697" i="6"/>
  <c r="S697" i="6"/>
  <c r="R697" i="6" a="1"/>
  <c r="R697" i="6"/>
  <c r="Q697" i="6" a="1"/>
  <c r="Q697" i="6"/>
  <c r="O697" i="6" a="1"/>
  <c r="O697" i="6"/>
  <c r="M697" i="6" a="1"/>
  <c r="M697" i="6"/>
  <c r="J697" i="6" a="1"/>
  <c r="J697" i="6"/>
  <c r="G697" i="6" a="1"/>
  <c r="G697" i="6"/>
  <c r="F697" i="6" a="1"/>
  <c r="F697" i="6"/>
  <c r="E697" i="6" a="1"/>
  <c r="E697" i="6"/>
  <c r="D697" i="6" a="1"/>
  <c r="D697" i="6"/>
  <c r="C697" i="6" a="1"/>
  <c r="C697" i="6"/>
  <c r="N696" i="6" a="1"/>
  <c r="N696" i="6"/>
  <c r="S696" i="6"/>
  <c r="R696" i="6" a="1"/>
  <c r="R696" i="6"/>
  <c r="Q696" i="6" a="1"/>
  <c r="Q696" i="6"/>
  <c r="O696" i="6" a="1"/>
  <c r="O696" i="6"/>
  <c r="M696" i="6" a="1"/>
  <c r="M696" i="6"/>
  <c r="J696" i="6" a="1"/>
  <c r="J696" i="6"/>
  <c r="G696" i="6" a="1"/>
  <c r="G696" i="6"/>
  <c r="F696" i="6" a="1"/>
  <c r="F696" i="6"/>
  <c r="E696" i="6" a="1"/>
  <c r="E696" i="6"/>
  <c r="D696" i="6" a="1"/>
  <c r="D696" i="6"/>
  <c r="C696" i="6" a="1"/>
  <c r="C696" i="6"/>
  <c r="N695" i="6" a="1"/>
  <c r="N695" i="6"/>
  <c r="S695" i="6"/>
  <c r="R695" i="6" a="1"/>
  <c r="R695" i="6"/>
  <c r="Q695" i="6" a="1"/>
  <c r="Q695" i="6"/>
  <c r="O695" i="6" a="1"/>
  <c r="O695" i="6"/>
  <c r="M695" i="6" a="1"/>
  <c r="M695" i="6"/>
  <c r="J695" i="6" a="1"/>
  <c r="J695" i="6"/>
  <c r="G695" i="6" a="1"/>
  <c r="G695" i="6"/>
  <c r="F695" i="6" a="1"/>
  <c r="F695" i="6"/>
  <c r="E695" i="6" a="1"/>
  <c r="E695" i="6"/>
  <c r="D695" i="6" a="1"/>
  <c r="D695" i="6"/>
  <c r="C695" i="6" a="1"/>
  <c r="C695" i="6"/>
  <c r="N694" i="6" a="1"/>
  <c r="N694" i="6"/>
  <c r="S694" i="6"/>
  <c r="R694" i="6" a="1"/>
  <c r="R694" i="6"/>
  <c r="Q694" i="6" a="1"/>
  <c r="Q694" i="6"/>
  <c r="O694" i="6" a="1"/>
  <c r="O694" i="6"/>
  <c r="M694" i="6" a="1"/>
  <c r="M694" i="6"/>
  <c r="J694" i="6" a="1"/>
  <c r="J694" i="6"/>
  <c r="G694" i="6" a="1"/>
  <c r="G694" i="6"/>
  <c r="F694" i="6" a="1"/>
  <c r="F694" i="6"/>
  <c r="E694" i="6" a="1"/>
  <c r="E694" i="6"/>
  <c r="D694" i="6" a="1"/>
  <c r="D694" i="6"/>
  <c r="C694" i="6" a="1"/>
  <c r="C694" i="6"/>
  <c r="N693" i="6" a="1"/>
  <c r="N693" i="6"/>
  <c r="S693" i="6"/>
  <c r="R693" i="6" a="1"/>
  <c r="R693" i="6"/>
  <c r="Q693" i="6" a="1"/>
  <c r="Q693" i="6"/>
  <c r="O693" i="6" a="1"/>
  <c r="O693" i="6"/>
  <c r="M693" i="6" a="1"/>
  <c r="M693" i="6"/>
  <c r="J693" i="6" a="1"/>
  <c r="J693" i="6"/>
  <c r="G693" i="6" a="1"/>
  <c r="G693" i="6"/>
  <c r="F693" i="6" a="1"/>
  <c r="F693" i="6"/>
  <c r="E693" i="6" a="1"/>
  <c r="E693" i="6"/>
  <c r="D693" i="6" a="1"/>
  <c r="D693" i="6"/>
  <c r="C693" i="6" a="1"/>
  <c r="C693" i="6"/>
  <c r="N692" i="6" a="1"/>
  <c r="N692" i="6"/>
  <c r="S692" i="6"/>
  <c r="R692" i="6" a="1"/>
  <c r="R692" i="6"/>
  <c r="Q692" i="6" a="1"/>
  <c r="Q692" i="6"/>
  <c r="O692" i="6" a="1"/>
  <c r="O692" i="6"/>
  <c r="M692" i="6" a="1"/>
  <c r="M692" i="6"/>
  <c r="J692" i="6" a="1"/>
  <c r="J692" i="6"/>
  <c r="G692" i="6" a="1"/>
  <c r="G692" i="6"/>
  <c r="F692" i="6" a="1"/>
  <c r="F692" i="6"/>
  <c r="E692" i="6" a="1"/>
  <c r="E692" i="6"/>
  <c r="D692" i="6" a="1"/>
  <c r="D692" i="6"/>
  <c r="C692" i="6" a="1"/>
  <c r="C692" i="6"/>
  <c r="N691" i="6" a="1"/>
  <c r="N691" i="6"/>
  <c r="S691" i="6"/>
  <c r="R691" i="6" a="1"/>
  <c r="R691" i="6"/>
  <c r="Q691" i="6" a="1"/>
  <c r="Q691" i="6"/>
  <c r="O691" i="6" a="1"/>
  <c r="O691" i="6"/>
  <c r="M691" i="6" a="1"/>
  <c r="M691" i="6"/>
  <c r="J691" i="6" a="1"/>
  <c r="J691" i="6"/>
  <c r="G691" i="6" a="1"/>
  <c r="G691" i="6"/>
  <c r="F691" i="6" a="1"/>
  <c r="F691" i="6"/>
  <c r="E691" i="6" a="1"/>
  <c r="E691" i="6"/>
  <c r="D691" i="6" a="1"/>
  <c r="D691" i="6"/>
  <c r="C691" i="6" a="1"/>
  <c r="C691" i="6"/>
  <c r="N690" i="6" a="1"/>
  <c r="N690" i="6"/>
  <c r="S690" i="6"/>
  <c r="R690" i="6" a="1"/>
  <c r="R690" i="6"/>
  <c r="Q690" i="6" a="1"/>
  <c r="Q690" i="6"/>
  <c r="O690" i="6" a="1"/>
  <c r="O690" i="6"/>
  <c r="M690" i="6" a="1"/>
  <c r="M690" i="6"/>
  <c r="J690" i="6" a="1"/>
  <c r="J690" i="6"/>
  <c r="G690" i="6" a="1"/>
  <c r="G690" i="6"/>
  <c r="F690" i="6" a="1"/>
  <c r="F690" i="6"/>
  <c r="E690" i="6" a="1"/>
  <c r="E690" i="6"/>
  <c r="D690" i="6" a="1"/>
  <c r="D690" i="6"/>
  <c r="C690" i="6" a="1"/>
  <c r="C690" i="6"/>
  <c r="N689" i="6" a="1"/>
  <c r="N689" i="6"/>
  <c r="S689" i="6"/>
  <c r="R689" i="6" a="1"/>
  <c r="R689" i="6"/>
  <c r="Q689" i="6" a="1"/>
  <c r="Q689" i="6"/>
  <c r="O689" i="6" a="1"/>
  <c r="O689" i="6"/>
  <c r="M689" i="6" a="1"/>
  <c r="M689" i="6"/>
  <c r="J689" i="6" a="1"/>
  <c r="J689" i="6"/>
  <c r="G689" i="6" a="1"/>
  <c r="G689" i="6"/>
  <c r="F689" i="6" a="1"/>
  <c r="F689" i="6"/>
  <c r="E689" i="6" a="1"/>
  <c r="E689" i="6"/>
  <c r="D689" i="6" a="1"/>
  <c r="D689" i="6"/>
  <c r="C689" i="6" a="1"/>
  <c r="C689" i="6"/>
  <c r="N688" i="6" a="1"/>
  <c r="N688" i="6"/>
  <c r="S688" i="6"/>
  <c r="R688" i="6" a="1"/>
  <c r="R688" i="6"/>
  <c r="Q688" i="6" a="1"/>
  <c r="Q688" i="6"/>
  <c r="O688" i="6" a="1"/>
  <c r="O688" i="6"/>
  <c r="M688" i="6" a="1"/>
  <c r="M688" i="6"/>
  <c r="J688" i="6" a="1"/>
  <c r="J688" i="6"/>
  <c r="G688" i="6" a="1"/>
  <c r="G688" i="6"/>
  <c r="F688" i="6" a="1"/>
  <c r="F688" i="6"/>
  <c r="E688" i="6" a="1"/>
  <c r="E688" i="6"/>
  <c r="D688" i="6" a="1"/>
  <c r="D688" i="6"/>
  <c r="C688" i="6" a="1"/>
  <c r="C688" i="6"/>
  <c r="N687" i="6" a="1"/>
  <c r="N687" i="6"/>
  <c r="S687" i="6"/>
  <c r="R687" i="6" a="1"/>
  <c r="R687" i="6"/>
  <c r="Q687" i="6" a="1"/>
  <c r="Q687" i="6"/>
  <c r="O687" i="6" a="1"/>
  <c r="O687" i="6"/>
  <c r="M687" i="6" a="1"/>
  <c r="M687" i="6"/>
  <c r="J687" i="6" a="1"/>
  <c r="J687" i="6"/>
  <c r="G687" i="6" a="1"/>
  <c r="G687" i="6"/>
  <c r="F687" i="6" a="1"/>
  <c r="F687" i="6"/>
  <c r="E687" i="6" a="1"/>
  <c r="E687" i="6"/>
  <c r="D687" i="6" a="1"/>
  <c r="D687" i="6"/>
  <c r="C687" i="6" a="1"/>
  <c r="C687" i="6"/>
  <c r="N686" i="6" a="1"/>
  <c r="N686" i="6"/>
  <c r="S686" i="6"/>
  <c r="R686" i="6" a="1"/>
  <c r="R686" i="6"/>
  <c r="Q686" i="6" a="1"/>
  <c r="Q686" i="6"/>
  <c r="O686" i="6" a="1"/>
  <c r="O686" i="6"/>
  <c r="M686" i="6" a="1"/>
  <c r="M686" i="6"/>
  <c r="J686" i="6" a="1"/>
  <c r="J686" i="6"/>
  <c r="G686" i="6" a="1"/>
  <c r="G686" i="6"/>
  <c r="F686" i="6" a="1"/>
  <c r="F686" i="6"/>
  <c r="E686" i="6" a="1"/>
  <c r="E686" i="6"/>
  <c r="D686" i="6" a="1"/>
  <c r="D686" i="6"/>
  <c r="C686" i="6" a="1"/>
  <c r="C686" i="6"/>
  <c r="N685" i="6" a="1"/>
  <c r="N685" i="6"/>
  <c r="S685" i="6"/>
  <c r="R685" i="6" a="1"/>
  <c r="R685" i="6"/>
  <c r="Q685" i="6" a="1"/>
  <c r="Q685" i="6"/>
  <c r="O685" i="6" a="1"/>
  <c r="O685" i="6"/>
  <c r="M685" i="6" a="1"/>
  <c r="M685" i="6"/>
  <c r="J685" i="6" a="1"/>
  <c r="J685" i="6"/>
  <c r="G685" i="6" a="1"/>
  <c r="G685" i="6"/>
  <c r="F685" i="6" a="1"/>
  <c r="F685" i="6"/>
  <c r="E685" i="6" a="1"/>
  <c r="E685" i="6"/>
  <c r="D685" i="6" a="1"/>
  <c r="D685" i="6"/>
  <c r="C685" i="6" a="1"/>
  <c r="C685" i="6"/>
  <c r="N684" i="6" a="1"/>
  <c r="N684" i="6"/>
  <c r="S684" i="6"/>
  <c r="R684" i="6" a="1"/>
  <c r="R684" i="6"/>
  <c r="Q684" i="6" a="1"/>
  <c r="Q684" i="6"/>
  <c r="O684" i="6" a="1"/>
  <c r="O684" i="6"/>
  <c r="M684" i="6" a="1"/>
  <c r="M684" i="6"/>
  <c r="J684" i="6" a="1"/>
  <c r="J684" i="6"/>
  <c r="G684" i="6" a="1"/>
  <c r="G684" i="6"/>
  <c r="F684" i="6" a="1"/>
  <c r="F684" i="6"/>
  <c r="E684" i="6" a="1"/>
  <c r="E684" i="6"/>
  <c r="D684" i="6" a="1"/>
  <c r="D684" i="6"/>
  <c r="C684" i="6" a="1"/>
  <c r="C684" i="6"/>
  <c r="N683" i="6" a="1"/>
  <c r="N683" i="6"/>
  <c r="S683" i="6"/>
  <c r="R683" i="6" a="1"/>
  <c r="R683" i="6"/>
  <c r="Q683" i="6" a="1"/>
  <c r="Q683" i="6"/>
  <c r="O683" i="6" a="1"/>
  <c r="O683" i="6"/>
  <c r="M683" i="6" a="1"/>
  <c r="M683" i="6"/>
  <c r="J683" i="6" a="1"/>
  <c r="J683" i="6"/>
  <c r="G683" i="6" a="1"/>
  <c r="G683" i="6"/>
  <c r="F683" i="6" a="1"/>
  <c r="F683" i="6"/>
  <c r="E683" i="6" a="1"/>
  <c r="E683" i="6"/>
  <c r="D683" i="6" a="1"/>
  <c r="D683" i="6"/>
  <c r="C683" i="6" a="1"/>
  <c r="C683" i="6"/>
  <c r="N682" i="6" a="1"/>
  <c r="N682" i="6"/>
  <c r="S682" i="6"/>
  <c r="R682" i="6" a="1"/>
  <c r="R682" i="6"/>
  <c r="Q682" i="6" a="1"/>
  <c r="Q682" i="6"/>
  <c r="O682" i="6" a="1"/>
  <c r="O682" i="6"/>
  <c r="M682" i="6" a="1"/>
  <c r="M682" i="6"/>
  <c r="J682" i="6" a="1"/>
  <c r="J682" i="6"/>
  <c r="G682" i="6" a="1"/>
  <c r="G682" i="6"/>
  <c r="F682" i="6" a="1"/>
  <c r="F682" i="6"/>
  <c r="E682" i="6" a="1"/>
  <c r="E682" i="6"/>
  <c r="D682" i="6" a="1"/>
  <c r="D682" i="6"/>
  <c r="C682" i="6" a="1"/>
  <c r="C682" i="6"/>
  <c r="N681" i="6" a="1"/>
  <c r="N681" i="6"/>
  <c r="S681" i="6"/>
  <c r="R681" i="6" a="1"/>
  <c r="R681" i="6"/>
  <c r="Q681" i="6" a="1"/>
  <c r="Q681" i="6"/>
  <c r="O681" i="6" a="1"/>
  <c r="O681" i="6"/>
  <c r="M681" i="6" a="1"/>
  <c r="M681" i="6"/>
  <c r="J681" i="6" a="1"/>
  <c r="J681" i="6"/>
  <c r="G681" i="6" a="1"/>
  <c r="G681" i="6"/>
  <c r="F681" i="6" a="1"/>
  <c r="F681" i="6"/>
  <c r="E681" i="6" a="1"/>
  <c r="E681" i="6"/>
  <c r="D681" i="6" a="1"/>
  <c r="D681" i="6"/>
  <c r="C681" i="6" a="1"/>
  <c r="C681" i="6"/>
  <c r="N680" i="6" a="1"/>
  <c r="N680" i="6"/>
  <c r="S680" i="6"/>
  <c r="R680" i="6" a="1"/>
  <c r="R680" i="6"/>
  <c r="Q680" i="6" a="1"/>
  <c r="Q680" i="6"/>
  <c r="O680" i="6" a="1"/>
  <c r="O680" i="6"/>
  <c r="M680" i="6" a="1"/>
  <c r="M680" i="6"/>
  <c r="J680" i="6" a="1"/>
  <c r="J680" i="6"/>
  <c r="G680" i="6" a="1"/>
  <c r="G680" i="6"/>
  <c r="F680" i="6" a="1"/>
  <c r="F680" i="6"/>
  <c r="E680" i="6" a="1"/>
  <c r="E680" i="6"/>
  <c r="D680" i="6" a="1"/>
  <c r="D680" i="6"/>
  <c r="C680" i="6" a="1"/>
  <c r="C680" i="6"/>
  <c r="N679" i="6" a="1"/>
  <c r="N679" i="6"/>
  <c r="S679" i="6"/>
  <c r="R679" i="6" a="1"/>
  <c r="R679" i="6"/>
  <c r="Q679" i="6" a="1"/>
  <c r="Q679" i="6"/>
  <c r="O679" i="6" a="1"/>
  <c r="O679" i="6"/>
  <c r="M679" i="6" a="1"/>
  <c r="M679" i="6"/>
  <c r="J679" i="6" a="1"/>
  <c r="J679" i="6"/>
  <c r="G679" i="6" a="1"/>
  <c r="G679" i="6"/>
  <c r="F679" i="6" a="1"/>
  <c r="F679" i="6"/>
  <c r="E679" i="6" a="1"/>
  <c r="E679" i="6"/>
  <c r="D679" i="6" a="1"/>
  <c r="D679" i="6"/>
  <c r="C679" i="6" a="1"/>
  <c r="C679" i="6"/>
  <c r="N678" i="6" a="1"/>
  <c r="N678" i="6"/>
  <c r="S678" i="6"/>
  <c r="R678" i="6" a="1"/>
  <c r="R678" i="6"/>
  <c r="Q678" i="6" a="1"/>
  <c r="Q678" i="6"/>
  <c r="O678" i="6" a="1"/>
  <c r="O678" i="6"/>
  <c r="M678" i="6" a="1"/>
  <c r="M678" i="6"/>
  <c r="J678" i="6" a="1"/>
  <c r="J678" i="6"/>
  <c r="G678" i="6" a="1"/>
  <c r="G678" i="6"/>
  <c r="F678" i="6" a="1"/>
  <c r="F678" i="6"/>
  <c r="E678" i="6" a="1"/>
  <c r="E678" i="6"/>
  <c r="D678" i="6" a="1"/>
  <c r="D678" i="6"/>
  <c r="C678" i="6" a="1"/>
  <c r="C678" i="6"/>
  <c r="N677" i="6" a="1"/>
  <c r="N677" i="6"/>
  <c r="S677" i="6"/>
  <c r="R677" i="6" a="1"/>
  <c r="R677" i="6"/>
  <c r="Q677" i="6" a="1"/>
  <c r="Q677" i="6"/>
  <c r="O677" i="6" a="1"/>
  <c r="O677" i="6"/>
  <c r="M677" i="6" a="1"/>
  <c r="M677" i="6"/>
  <c r="J677" i="6" a="1"/>
  <c r="J677" i="6"/>
  <c r="G677" i="6" a="1"/>
  <c r="G677" i="6"/>
  <c r="F677" i="6" a="1"/>
  <c r="F677" i="6"/>
  <c r="E677" i="6" a="1"/>
  <c r="E677" i="6"/>
  <c r="D677" i="6" a="1"/>
  <c r="D677" i="6"/>
  <c r="C677" i="6" a="1"/>
  <c r="C677" i="6"/>
  <c r="N676" i="6" a="1"/>
  <c r="N676" i="6"/>
  <c r="S676" i="6"/>
  <c r="R676" i="6" a="1"/>
  <c r="R676" i="6"/>
  <c r="Q676" i="6" a="1"/>
  <c r="Q676" i="6"/>
  <c r="O676" i="6" a="1"/>
  <c r="O676" i="6"/>
  <c r="M676" i="6" a="1"/>
  <c r="M676" i="6"/>
  <c r="J676" i="6" a="1"/>
  <c r="J676" i="6"/>
  <c r="G676" i="6" a="1"/>
  <c r="G676" i="6"/>
  <c r="F676" i="6" a="1"/>
  <c r="F676" i="6"/>
  <c r="E676" i="6" a="1"/>
  <c r="E676" i="6"/>
  <c r="D676" i="6" a="1"/>
  <c r="D676" i="6"/>
  <c r="C676" i="6" a="1"/>
  <c r="C676" i="6"/>
  <c r="N675" i="6" a="1"/>
  <c r="N675" i="6"/>
  <c r="S675" i="6"/>
  <c r="R675" i="6" a="1"/>
  <c r="R675" i="6"/>
  <c r="Q675" i="6" a="1"/>
  <c r="Q675" i="6"/>
  <c r="O675" i="6" a="1"/>
  <c r="O675" i="6"/>
  <c r="M675" i="6" a="1"/>
  <c r="M675" i="6"/>
  <c r="J675" i="6" a="1"/>
  <c r="J675" i="6"/>
  <c r="G675" i="6" a="1"/>
  <c r="G675" i="6"/>
  <c r="F675" i="6" a="1"/>
  <c r="F675" i="6"/>
  <c r="E675" i="6" a="1"/>
  <c r="E675" i="6"/>
  <c r="D675" i="6" a="1"/>
  <c r="D675" i="6"/>
  <c r="C675" i="6" a="1"/>
  <c r="C675" i="6"/>
  <c r="N674" i="6" a="1"/>
  <c r="N674" i="6"/>
  <c r="S674" i="6"/>
  <c r="R674" i="6" a="1"/>
  <c r="R674" i="6"/>
  <c r="Q674" i="6" a="1"/>
  <c r="Q674" i="6"/>
  <c r="O674" i="6" a="1"/>
  <c r="O674" i="6"/>
  <c r="M674" i="6" a="1"/>
  <c r="M674" i="6"/>
  <c r="J674" i="6" a="1"/>
  <c r="J674" i="6"/>
  <c r="G674" i="6" a="1"/>
  <c r="G674" i="6"/>
  <c r="F674" i="6" a="1"/>
  <c r="F674" i="6"/>
  <c r="E674" i="6" a="1"/>
  <c r="E674" i="6"/>
  <c r="D674" i="6" a="1"/>
  <c r="D674" i="6"/>
  <c r="C674" i="6" a="1"/>
  <c r="C674" i="6"/>
  <c r="N673" i="6" a="1"/>
  <c r="N673" i="6"/>
  <c r="S673" i="6"/>
  <c r="R673" i="6" a="1"/>
  <c r="R673" i="6"/>
  <c r="Q673" i="6" a="1"/>
  <c r="Q673" i="6"/>
  <c r="O673" i="6" a="1"/>
  <c r="O673" i="6"/>
  <c r="M673" i="6" a="1"/>
  <c r="M673" i="6"/>
  <c r="J673" i="6" a="1"/>
  <c r="J673" i="6"/>
  <c r="G673" i="6" a="1"/>
  <c r="G673" i="6"/>
  <c r="F673" i="6" a="1"/>
  <c r="F673" i="6"/>
  <c r="E673" i="6" a="1"/>
  <c r="E673" i="6"/>
  <c r="D673" i="6" a="1"/>
  <c r="D673" i="6"/>
  <c r="C673" i="6" a="1"/>
  <c r="C673" i="6"/>
  <c r="N672" i="6" a="1"/>
  <c r="N672" i="6"/>
  <c r="S672" i="6"/>
  <c r="R672" i="6" a="1"/>
  <c r="R672" i="6"/>
  <c r="Q672" i="6" a="1"/>
  <c r="Q672" i="6"/>
  <c r="O672" i="6" a="1"/>
  <c r="O672" i="6"/>
  <c r="M672" i="6" a="1"/>
  <c r="M672" i="6"/>
  <c r="J672" i="6" a="1"/>
  <c r="J672" i="6"/>
  <c r="G672" i="6" a="1"/>
  <c r="G672" i="6"/>
  <c r="F672" i="6" a="1"/>
  <c r="F672" i="6"/>
  <c r="E672" i="6" a="1"/>
  <c r="E672" i="6"/>
  <c r="D672" i="6" a="1"/>
  <c r="D672" i="6"/>
  <c r="C672" i="6" a="1"/>
  <c r="C672" i="6"/>
  <c r="N671" i="6" a="1"/>
  <c r="N671" i="6"/>
  <c r="S671" i="6"/>
  <c r="R671" i="6" a="1"/>
  <c r="R671" i="6"/>
  <c r="Q671" i="6" a="1"/>
  <c r="Q671" i="6"/>
  <c r="O671" i="6" a="1"/>
  <c r="O671" i="6"/>
  <c r="M671" i="6" a="1"/>
  <c r="M671" i="6"/>
  <c r="J671" i="6" a="1"/>
  <c r="J671" i="6"/>
  <c r="G671" i="6" a="1"/>
  <c r="G671" i="6"/>
  <c r="F671" i="6" a="1"/>
  <c r="F671" i="6"/>
  <c r="E671" i="6" a="1"/>
  <c r="E671" i="6"/>
  <c r="D671" i="6" a="1"/>
  <c r="D671" i="6"/>
  <c r="C671" i="6" a="1"/>
  <c r="C671" i="6"/>
  <c r="N670" i="6" a="1"/>
  <c r="N670" i="6"/>
  <c r="S670" i="6"/>
  <c r="R670" i="6" a="1"/>
  <c r="R670" i="6"/>
  <c r="Q670" i="6" a="1"/>
  <c r="Q670" i="6"/>
  <c r="O670" i="6" a="1"/>
  <c r="O670" i="6"/>
  <c r="M670" i="6" a="1"/>
  <c r="M670" i="6"/>
  <c r="J670" i="6" a="1"/>
  <c r="J670" i="6"/>
  <c r="G670" i="6" a="1"/>
  <c r="G670" i="6"/>
  <c r="F670" i="6" a="1"/>
  <c r="F670" i="6"/>
  <c r="E670" i="6" a="1"/>
  <c r="E670" i="6"/>
  <c r="D670" i="6" a="1"/>
  <c r="D670" i="6"/>
  <c r="C670" i="6" a="1"/>
  <c r="C670" i="6"/>
  <c r="N669" i="6" a="1"/>
  <c r="N669" i="6"/>
  <c r="S669" i="6"/>
  <c r="R669" i="6" a="1"/>
  <c r="R669" i="6"/>
  <c r="Q669" i="6" a="1"/>
  <c r="Q669" i="6"/>
  <c r="O669" i="6" a="1"/>
  <c r="O669" i="6"/>
  <c r="M669" i="6" a="1"/>
  <c r="M669" i="6"/>
  <c r="J669" i="6" a="1"/>
  <c r="J669" i="6"/>
  <c r="G669" i="6" a="1"/>
  <c r="G669" i="6"/>
  <c r="F669" i="6" a="1"/>
  <c r="F669" i="6"/>
  <c r="E669" i="6" a="1"/>
  <c r="E669" i="6"/>
  <c r="D669" i="6" a="1"/>
  <c r="D669" i="6"/>
  <c r="C669" i="6" a="1"/>
  <c r="C669" i="6"/>
  <c r="N668" i="6" a="1"/>
  <c r="N668" i="6"/>
  <c r="S668" i="6"/>
  <c r="R668" i="6" a="1"/>
  <c r="R668" i="6"/>
  <c r="Q668" i="6" a="1"/>
  <c r="Q668" i="6"/>
  <c r="O668" i="6" a="1"/>
  <c r="O668" i="6"/>
  <c r="M668" i="6" a="1"/>
  <c r="M668" i="6"/>
  <c r="J668" i="6" a="1"/>
  <c r="J668" i="6"/>
  <c r="G668" i="6" a="1"/>
  <c r="G668" i="6"/>
  <c r="F668" i="6" a="1"/>
  <c r="F668" i="6"/>
  <c r="E668" i="6" a="1"/>
  <c r="E668" i="6"/>
  <c r="D668" i="6" a="1"/>
  <c r="D668" i="6"/>
  <c r="C668" i="6" a="1"/>
  <c r="C668" i="6"/>
  <c r="N667" i="6" a="1"/>
  <c r="N667" i="6"/>
  <c r="S667" i="6"/>
  <c r="R667" i="6" a="1"/>
  <c r="R667" i="6"/>
  <c r="Q667" i="6" a="1"/>
  <c r="Q667" i="6"/>
  <c r="O667" i="6" a="1"/>
  <c r="O667" i="6"/>
  <c r="M667" i="6" a="1"/>
  <c r="M667" i="6"/>
  <c r="J667" i="6" a="1"/>
  <c r="J667" i="6"/>
  <c r="G667" i="6" a="1"/>
  <c r="G667" i="6"/>
  <c r="F667" i="6" a="1"/>
  <c r="F667" i="6"/>
  <c r="E667" i="6" a="1"/>
  <c r="E667" i="6"/>
  <c r="D667" i="6" a="1"/>
  <c r="D667" i="6"/>
  <c r="C667" i="6" a="1"/>
  <c r="C667" i="6"/>
  <c r="N666" i="6" a="1"/>
  <c r="N666" i="6"/>
  <c r="S666" i="6"/>
  <c r="R666" i="6" a="1"/>
  <c r="R666" i="6"/>
  <c r="Q666" i="6" a="1"/>
  <c r="Q666" i="6"/>
  <c r="O666" i="6" a="1"/>
  <c r="O666" i="6"/>
  <c r="M666" i="6" a="1"/>
  <c r="M666" i="6"/>
  <c r="J666" i="6" a="1"/>
  <c r="J666" i="6"/>
  <c r="G666" i="6" a="1"/>
  <c r="G666" i="6"/>
  <c r="F666" i="6" a="1"/>
  <c r="F666" i="6"/>
  <c r="E666" i="6" a="1"/>
  <c r="E666" i="6"/>
  <c r="D666" i="6" a="1"/>
  <c r="D666" i="6"/>
  <c r="C666" i="6" a="1"/>
  <c r="C666" i="6"/>
  <c r="N665" i="6" a="1"/>
  <c r="N665" i="6"/>
  <c r="S665" i="6"/>
  <c r="R665" i="6" a="1"/>
  <c r="R665" i="6"/>
  <c r="Q665" i="6" a="1"/>
  <c r="Q665" i="6"/>
  <c r="O665" i="6" a="1"/>
  <c r="O665" i="6"/>
  <c r="M665" i="6" a="1"/>
  <c r="M665" i="6"/>
  <c r="J665" i="6" a="1"/>
  <c r="J665" i="6"/>
  <c r="G665" i="6" a="1"/>
  <c r="G665" i="6"/>
  <c r="F665" i="6" a="1"/>
  <c r="F665" i="6"/>
  <c r="E665" i="6" a="1"/>
  <c r="E665" i="6"/>
  <c r="D665" i="6" a="1"/>
  <c r="D665" i="6"/>
  <c r="C665" i="6" a="1"/>
  <c r="C665" i="6"/>
  <c r="N664" i="6" a="1"/>
  <c r="N664" i="6"/>
  <c r="S664" i="6"/>
  <c r="R664" i="6" a="1"/>
  <c r="R664" i="6"/>
  <c r="Q664" i="6" a="1"/>
  <c r="Q664" i="6"/>
  <c r="O664" i="6" a="1"/>
  <c r="O664" i="6"/>
  <c r="M664" i="6" a="1"/>
  <c r="M664" i="6"/>
  <c r="J664" i="6" a="1"/>
  <c r="J664" i="6"/>
  <c r="G664" i="6" a="1"/>
  <c r="G664" i="6"/>
  <c r="F664" i="6" a="1"/>
  <c r="F664" i="6"/>
  <c r="E664" i="6" a="1"/>
  <c r="E664" i="6"/>
  <c r="D664" i="6" a="1"/>
  <c r="D664" i="6"/>
  <c r="C664" i="6" a="1"/>
  <c r="C664" i="6"/>
  <c r="N663" i="6" a="1"/>
  <c r="N663" i="6"/>
  <c r="S663" i="6"/>
  <c r="R663" i="6" a="1"/>
  <c r="R663" i="6"/>
  <c r="Q663" i="6" a="1"/>
  <c r="Q663" i="6"/>
  <c r="O663" i="6" a="1"/>
  <c r="O663" i="6"/>
  <c r="M663" i="6" a="1"/>
  <c r="M663" i="6"/>
  <c r="J663" i="6" a="1"/>
  <c r="J663" i="6"/>
  <c r="G663" i="6" a="1"/>
  <c r="G663" i="6"/>
  <c r="F663" i="6" a="1"/>
  <c r="F663" i="6"/>
  <c r="E663" i="6" a="1"/>
  <c r="E663" i="6"/>
  <c r="D663" i="6" a="1"/>
  <c r="D663" i="6"/>
  <c r="C663" i="6" a="1"/>
  <c r="C663" i="6"/>
  <c r="N662" i="6" a="1"/>
  <c r="N662" i="6"/>
  <c r="S662" i="6"/>
  <c r="R662" i="6" a="1"/>
  <c r="R662" i="6"/>
  <c r="Q662" i="6" a="1"/>
  <c r="Q662" i="6"/>
  <c r="O662" i="6" a="1"/>
  <c r="O662" i="6"/>
  <c r="M662" i="6" a="1"/>
  <c r="M662" i="6"/>
  <c r="J662" i="6" a="1"/>
  <c r="J662" i="6"/>
  <c r="G662" i="6" a="1"/>
  <c r="G662" i="6"/>
  <c r="F662" i="6" a="1"/>
  <c r="F662" i="6"/>
  <c r="E662" i="6" a="1"/>
  <c r="E662" i="6"/>
  <c r="D662" i="6" a="1"/>
  <c r="D662" i="6"/>
  <c r="C662" i="6" a="1"/>
  <c r="C662" i="6"/>
  <c r="N661" i="6" a="1"/>
  <c r="N661" i="6"/>
  <c r="S661" i="6"/>
  <c r="R661" i="6" a="1"/>
  <c r="R661" i="6"/>
  <c r="Q661" i="6" a="1"/>
  <c r="Q661" i="6"/>
  <c r="O661" i="6" a="1"/>
  <c r="O661" i="6"/>
  <c r="M661" i="6" a="1"/>
  <c r="M661" i="6"/>
  <c r="J661" i="6" a="1"/>
  <c r="J661" i="6"/>
  <c r="G661" i="6" a="1"/>
  <c r="G661" i="6"/>
  <c r="F661" i="6" a="1"/>
  <c r="F661" i="6"/>
  <c r="E661" i="6" a="1"/>
  <c r="E661" i="6"/>
  <c r="D661" i="6" a="1"/>
  <c r="D661" i="6"/>
  <c r="C661" i="6" a="1"/>
  <c r="C661" i="6"/>
  <c r="N660" i="6" a="1"/>
  <c r="N660" i="6"/>
  <c r="S660" i="6"/>
  <c r="R660" i="6" a="1"/>
  <c r="R660" i="6"/>
  <c r="Q660" i="6" a="1"/>
  <c r="Q660" i="6"/>
  <c r="O660" i="6" a="1"/>
  <c r="O660" i="6"/>
  <c r="M660" i="6" a="1"/>
  <c r="M660" i="6"/>
  <c r="J660" i="6" a="1"/>
  <c r="J660" i="6"/>
  <c r="G660" i="6" a="1"/>
  <c r="G660" i="6"/>
  <c r="F660" i="6" a="1"/>
  <c r="F660" i="6"/>
  <c r="E660" i="6" a="1"/>
  <c r="E660" i="6"/>
  <c r="D660" i="6" a="1"/>
  <c r="D660" i="6"/>
  <c r="C660" i="6" a="1"/>
  <c r="C660" i="6"/>
  <c r="N659" i="6" a="1"/>
  <c r="N659" i="6"/>
  <c r="S659" i="6"/>
  <c r="R659" i="6" a="1"/>
  <c r="R659" i="6"/>
  <c r="Q659" i="6" a="1"/>
  <c r="Q659" i="6"/>
  <c r="O659" i="6" a="1"/>
  <c r="O659" i="6"/>
  <c r="M659" i="6" a="1"/>
  <c r="M659" i="6"/>
  <c r="J659" i="6" a="1"/>
  <c r="J659" i="6"/>
  <c r="G659" i="6" a="1"/>
  <c r="G659" i="6"/>
  <c r="F659" i="6" a="1"/>
  <c r="F659" i="6"/>
  <c r="E659" i="6" a="1"/>
  <c r="E659" i="6"/>
  <c r="D659" i="6" a="1"/>
  <c r="D659" i="6"/>
  <c r="C659" i="6" a="1"/>
  <c r="C659" i="6"/>
  <c r="N658" i="6" a="1"/>
  <c r="N658" i="6"/>
  <c r="S658" i="6"/>
  <c r="R658" i="6" a="1"/>
  <c r="R658" i="6"/>
  <c r="Q658" i="6" a="1"/>
  <c r="Q658" i="6"/>
  <c r="O658" i="6" a="1"/>
  <c r="O658" i="6"/>
  <c r="M658" i="6" a="1"/>
  <c r="M658" i="6"/>
  <c r="J658" i="6" a="1"/>
  <c r="J658" i="6"/>
  <c r="G658" i="6" a="1"/>
  <c r="G658" i="6"/>
  <c r="F658" i="6" a="1"/>
  <c r="F658" i="6"/>
  <c r="E658" i="6" a="1"/>
  <c r="E658" i="6"/>
  <c r="D658" i="6" a="1"/>
  <c r="D658" i="6"/>
  <c r="C658" i="6" a="1"/>
  <c r="C658" i="6"/>
  <c r="N657" i="6" a="1"/>
  <c r="N657" i="6"/>
  <c r="S657" i="6"/>
  <c r="R657" i="6" a="1"/>
  <c r="R657" i="6"/>
  <c r="Q657" i="6" a="1"/>
  <c r="Q657" i="6"/>
  <c r="O657" i="6" a="1"/>
  <c r="O657" i="6"/>
  <c r="M657" i="6" a="1"/>
  <c r="M657" i="6"/>
  <c r="J657" i="6" a="1"/>
  <c r="J657" i="6"/>
  <c r="G657" i="6" a="1"/>
  <c r="G657" i="6"/>
  <c r="F657" i="6" a="1"/>
  <c r="F657" i="6"/>
  <c r="E657" i="6" a="1"/>
  <c r="E657" i="6"/>
  <c r="D657" i="6" a="1"/>
  <c r="D657" i="6"/>
  <c r="C657" i="6" a="1"/>
  <c r="C657" i="6"/>
  <c r="N656" i="6" a="1"/>
  <c r="N656" i="6"/>
  <c r="S656" i="6"/>
  <c r="R656" i="6" a="1"/>
  <c r="R656" i="6"/>
  <c r="Q656" i="6" a="1"/>
  <c r="Q656" i="6"/>
  <c r="O656" i="6" a="1"/>
  <c r="O656" i="6"/>
  <c r="M656" i="6" a="1"/>
  <c r="M656" i="6"/>
  <c r="J656" i="6" a="1"/>
  <c r="J656" i="6"/>
  <c r="G656" i="6" a="1"/>
  <c r="G656" i="6"/>
  <c r="F656" i="6" a="1"/>
  <c r="F656" i="6"/>
  <c r="E656" i="6" a="1"/>
  <c r="E656" i="6"/>
  <c r="D656" i="6" a="1"/>
  <c r="D656" i="6"/>
  <c r="C656" i="6" a="1"/>
  <c r="C656" i="6"/>
  <c r="N655" i="6" a="1"/>
  <c r="N655" i="6"/>
  <c r="S655" i="6"/>
  <c r="R655" i="6" a="1"/>
  <c r="R655" i="6"/>
  <c r="Q655" i="6" a="1"/>
  <c r="Q655" i="6"/>
  <c r="O655" i="6" a="1"/>
  <c r="O655" i="6"/>
  <c r="M655" i="6" a="1"/>
  <c r="M655" i="6"/>
  <c r="J655" i="6" a="1"/>
  <c r="J655" i="6"/>
  <c r="G655" i="6" a="1"/>
  <c r="G655" i="6"/>
  <c r="F655" i="6" a="1"/>
  <c r="F655" i="6"/>
  <c r="E655" i="6" a="1"/>
  <c r="E655" i="6"/>
  <c r="D655" i="6" a="1"/>
  <c r="D655" i="6"/>
  <c r="C655" i="6" a="1"/>
  <c r="C655" i="6"/>
  <c r="N654" i="6" a="1"/>
  <c r="N654" i="6"/>
  <c r="S654" i="6"/>
  <c r="R654" i="6" a="1"/>
  <c r="R654" i="6"/>
  <c r="Q654" i="6" a="1"/>
  <c r="Q654" i="6"/>
  <c r="O654" i="6" a="1"/>
  <c r="O654" i="6"/>
  <c r="M654" i="6" a="1"/>
  <c r="M654" i="6"/>
  <c r="J654" i="6" a="1"/>
  <c r="J654" i="6"/>
  <c r="G654" i="6" a="1"/>
  <c r="G654" i="6"/>
  <c r="F654" i="6" a="1"/>
  <c r="F654" i="6"/>
  <c r="E654" i="6" a="1"/>
  <c r="E654" i="6"/>
  <c r="D654" i="6" a="1"/>
  <c r="D654" i="6"/>
  <c r="C654" i="6" a="1"/>
  <c r="C654" i="6"/>
  <c r="N653" i="6" a="1"/>
  <c r="N653" i="6"/>
  <c r="S653" i="6"/>
  <c r="R653" i="6" a="1"/>
  <c r="R653" i="6"/>
  <c r="Q653" i="6" a="1"/>
  <c r="Q653" i="6"/>
  <c r="O653" i="6" a="1"/>
  <c r="O653" i="6"/>
  <c r="M653" i="6" a="1"/>
  <c r="M653" i="6"/>
  <c r="J653" i="6" a="1"/>
  <c r="J653" i="6"/>
  <c r="G653" i="6" a="1"/>
  <c r="G653" i="6"/>
  <c r="F653" i="6" a="1"/>
  <c r="F653" i="6"/>
  <c r="E653" i="6" a="1"/>
  <c r="E653" i="6"/>
  <c r="D653" i="6" a="1"/>
  <c r="D653" i="6"/>
  <c r="C653" i="6" a="1"/>
  <c r="C653" i="6"/>
  <c r="N652" i="6" a="1"/>
  <c r="N652" i="6"/>
  <c r="S652" i="6"/>
  <c r="R652" i="6" a="1"/>
  <c r="R652" i="6"/>
  <c r="Q652" i="6" a="1"/>
  <c r="Q652" i="6"/>
  <c r="O652" i="6" a="1"/>
  <c r="O652" i="6"/>
  <c r="M652" i="6" a="1"/>
  <c r="M652" i="6"/>
  <c r="J652" i="6" a="1"/>
  <c r="J652" i="6"/>
  <c r="G652" i="6" a="1"/>
  <c r="G652" i="6"/>
  <c r="F652" i="6" a="1"/>
  <c r="F652" i="6"/>
  <c r="E652" i="6" a="1"/>
  <c r="E652" i="6"/>
  <c r="D652" i="6" a="1"/>
  <c r="D652" i="6"/>
  <c r="C652" i="6" a="1"/>
  <c r="C652" i="6"/>
  <c r="N651" i="6" a="1"/>
  <c r="N651" i="6"/>
  <c r="S651" i="6"/>
  <c r="R651" i="6" a="1"/>
  <c r="R651" i="6"/>
  <c r="Q651" i="6" a="1"/>
  <c r="Q651" i="6"/>
  <c r="O651" i="6" a="1"/>
  <c r="O651" i="6"/>
  <c r="M651" i="6" a="1"/>
  <c r="M651" i="6"/>
  <c r="J651" i="6" a="1"/>
  <c r="J651" i="6"/>
  <c r="G651" i="6" a="1"/>
  <c r="G651" i="6"/>
  <c r="F651" i="6" a="1"/>
  <c r="F651" i="6"/>
  <c r="E651" i="6" a="1"/>
  <c r="E651" i="6"/>
  <c r="D651" i="6" a="1"/>
  <c r="D651" i="6"/>
  <c r="C651" i="6" a="1"/>
  <c r="C651" i="6"/>
  <c r="N650" i="6" a="1"/>
  <c r="N650" i="6"/>
  <c r="S650" i="6"/>
  <c r="R650" i="6" a="1"/>
  <c r="R650" i="6"/>
  <c r="Q650" i="6" a="1"/>
  <c r="Q650" i="6"/>
  <c r="O650" i="6" a="1"/>
  <c r="O650" i="6"/>
  <c r="M650" i="6" a="1"/>
  <c r="M650" i="6"/>
  <c r="J650" i="6" a="1"/>
  <c r="J650" i="6"/>
  <c r="G650" i="6" a="1"/>
  <c r="G650" i="6"/>
  <c r="F650" i="6" a="1"/>
  <c r="F650" i="6"/>
  <c r="E650" i="6" a="1"/>
  <c r="E650" i="6"/>
  <c r="D650" i="6" a="1"/>
  <c r="D650" i="6"/>
  <c r="C650" i="6" a="1"/>
  <c r="C650" i="6"/>
  <c r="N649" i="6" a="1"/>
  <c r="N649" i="6"/>
  <c r="S649" i="6"/>
  <c r="R649" i="6" a="1"/>
  <c r="R649" i="6"/>
  <c r="Q649" i="6" a="1"/>
  <c r="Q649" i="6"/>
  <c r="O649" i="6" a="1"/>
  <c r="O649" i="6"/>
  <c r="M649" i="6" a="1"/>
  <c r="M649" i="6"/>
  <c r="J649" i="6" a="1"/>
  <c r="J649" i="6"/>
  <c r="G649" i="6" a="1"/>
  <c r="G649" i="6"/>
  <c r="F649" i="6" a="1"/>
  <c r="F649" i="6"/>
  <c r="E649" i="6" a="1"/>
  <c r="E649" i="6"/>
  <c r="D649" i="6" a="1"/>
  <c r="D649" i="6"/>
  <c r="C649" i="6" a="1"/>
  <c r="C649" i="6"/>
  <c r="N648" i="6" a="1"/>
  <c r="N648" i="6"/>
  <c r="S648" i="6"/>
  <c r="R648" i="6" a="1"/>
  <c r="R648" i="6"/>
  <c r="Q648" i="6" a="1"/>
  <c r="Q648" i="6"/>
  <c r="O648" i="6" a="1"/>
  <c r="O648" i="6"/>
  <c r="M648" i="6" a="1"/>
  <c r="M648" i="6"/>
  <c r="J648" i="6" a="1"/>
  <c r="J648" i="6"/>
  <c r="G648" i="6" a="1"/>
  <c r="G648" i="6"/>
  <c r="F648" i="6" a="1"/>
  <c r="F648" i="6"/>
  <c r="E648" i="6" a="1"/>
  <c r="E648" i="6"/>
  <c r="D648" i="6" a="1"/>
  <c r="D648" i="6"/>
  <c r="C648" i="6" a="1"/>
  <c r="C648" i="6"/>
  <c r="N647" i="6" a="1"/>
  <c r="N647" i="6"/>
  <c r="S647" i="6"/>
  <c r="R647" i="6" a="1"/>
  <c r="R647" i="6"/>
  <c r="Q647" i="6" a="1"/>
  <c r="Q647" i="6"/>
  <c r="O647" i="6" a="1"/>
  <c r="O647" i="6"/>
  <c r="M647" i="6" a="1"/>
  <c r="M647" i="6"/>
  <c r="J647" i="6" a="1"/>
  <c r="J647" i="6"/>
  <c r="G647" i="6" a="1"/>
  <c r="G647" i="6"/>
  <c r="F647" i="6" a="1"/>
  <c r="F647" i="6"/>
  <c r="E647" i="6" a="1"/>
  <c r="E647" i="6"/>
  <c r="D647" i="6" a="1"/>
  <c r="D647" i="6"/>
  <c r="C647" i="6" a="1"/>
  <c r="C647" i="6"/>
  <c r="N646" i="6" a="1"/>
  <c r="N646" i="6"/>
  <c r="S646" i="6"/>
  <c r="R646" i="6" a="1"/>
  <c r="R646" i="6"/>
  <c r="Q646" i="6" a="1"/>
  <c r="Q646" i="6"/>
  <c r="O646" i="6" a="1"/>
  <c r="O646" i="6"/>
  <c r="M646" i="6" a="1"/>
  <c r="M646" i="6"/>
  <c r="J646" i="6" a="1"/>
  <c r="J646" i="6"/>
  <c r="G646" i="6" a="1"/>
  <c r="G646" i="6"/>
  <c r="F646" i="6" a="1"/>
  <c r="F646" i="6"/>
  <c r="E646" i="6" a="1"/>
  <c r="E646" i="6"/>
  <c r="D646" i="6" a="1"/>
  <c r="D646" i="6"/>
  <c r="C646" i="6" a="1"/>
  <c r="C646" i="6"/>
  <c r="N645" i="6" a="1"/>
  <c r="N645" i="6"/>
  <c r="S645" i="6"/>
  <c r="R645" i="6" a="1"/>
  <c r="R645" i="6"/>
  <c r="Q645" i="6" a="1"/>
  <c r="Q645" i="6"/>
  <c r="O645" i="6" a="1"/>
  <c r="O645" i="6"/>
  <c r="M645" i="6" a="1"/>
  <c r="M645" i="6"/>
  <c r="J645" i="6" a="1"/>
  <c r="J645" i="6"/>
  <c r="G645" i="6" a="1"/>
  <c r="G645" i="6"/>
  <c r="F645" i="6" a="1"/>
  <c r="F645" i="6"/>
  <c r="E645" i="6" a="1"/>
  <c r="E645" i="6"/>
  <c r="D645" i="6" a="1"/>
  <c r="D645" i="6"/>
  <c r="C645" i="6" a="1"/>
  <c r="C645" i="6"/>
  <c r="N644" i="6" a="1"/>
  <c r="N644" i="6"/>
  <c r="S644" i="6"/>
  <c r="R644" i="6" a="1"/>
  <c r="R644" i="6"/>
  <c r="Q644" i="6" a="1"/>
  <c r="Q644" i="6"/>
  <c r="O644" i="6" a="1"/>
  <c r="O644" i="6"/>
  <c r="M644" i="6" a="1"/>
  <c r="M644" i="6"/>
  <c r="J644" i="6" a="1"/>
  <c r="J644" i="6"/>
  <c r="G644" i="6" a="1"/>
  <c r="G644" i="6"/>
  <c r="F644" i="6" a="1"/>
  <c r="F644" i="6"/>
  <c r="E644" i="6" a="1"/>
  <c r="E644" i="6"/>
  <c r="D644" i="6" a="1"/>
  <c r="D644" i="6"/>
  <c r="C644" i="6" a="1"/>
  <c r="C644" i="6"/>
  <c r="N643" i="6" a="1"/>
  <c r="N643" i="6"/>
  <c r="S643" i="6"/>
  <c r="R643" i="6" a="1"/>
  <c r="R643" i="6"/>
  <c r="Q643" i="6" a="1"/>
  <c r="Q643" i="6"/>
  <c r="O643" i="6" a="1"/>
  <c r="O643" i="6"/>
  <c r="M643" i="6" a="1"/>
  <c r="M643" i="6"/>
  <c r="J643" i="6" a="1"/>
  <c r="J643" i="6"/>
  <c r="G643" i="6" a="1"/>
  <c r="G643" i="6"/>
  <c r="F643" i="6" a="1"/>
  <c r="F643" i="6"/>
  <c r="E643" i="6" a="1"/>
  <c r="E643" i="6"/>
  <c r="D643" i="6" a="1"/>
  <c r="D643" i="6"/>
  <c r="C643" i="6" a="1"/>
  <c r="C643" i="6"/>
  <c r="N642" i="6" a="1"/>
  <c r="N642" i="6"/>
  <c r="S642" i="6"/>
  <c r="R642" i="6" a="1"/>
  <c r="R642" i="6"/>
  <c r="Q642" i="6" a="1"/>
  <c r="Q642" i="6"/>
  <c r="O642" i="6" a="1"/>
  <c r="O642" i="6"/>
  <c r="M642" i="6" a="1"/>
  <c r="M642" i="6"/>
  <c r="J642" i="6" a="1"/>
  <c r="J642" i="6"/>
  <c r="G642" i="6" a="1"/>
  <c r="G642" i="6"/>
  <c r="F642" i="6" a="1"/>
  <c r="F642" i="6"/>
  <c r="E642" i="6" a="1"/>
  <c r="E642" i="6"/>
  <c r="D642" i="6" a="1"/>
  <c r="D642" i="6"/>
  <c r="C642" i="6" a="1"/>
  <c r="C642" i="6"/>
  <c r="N641" i="6" a="1"/>
  <c r="N641" i="6"/>
  <c r="S641" i="6"/>
  <c r="R641" i="6" a="1"/>
  <c r="R641" i="6"/>
  <c r="Q641" i="6" a="1"/>
  <c r="Q641" i="6"/>
  <c r="O641" i="6" a="1"/>
  <c r="O641" i="6"/>
  <c r="M641" i="6" a="1"/>
  <c r="M641" i="6"/>
  <c r="J641" i="6" a="1"/>
  <c r="J641" i="6"/>
  <c r="G641" i="6" a="1"/>
  <c r="G641" i="6"/>
  <c r="F641" i="6" a="1"/>
  <c r="F641" i="6"/>
  <c r="E641" i="6" a="1"/>
  <c r="E641" i="6"/>
  <c r="D641" i="6" a="1"/>
  <c r="D641" i="6"/>
  <c r="C641" i="6" a="1"/>
  <c r="C641" i="6"/>
  <c r="N640" i="6" a="1"/>
  <c r="N640" i="6"/>
  <c r="S640" i="6"/>
  <c r="R640" i="6" a="1"/>
  <c r="R640" i="6"/>
  <c r="Q640" i="6" a="1"/>
  <c r="Q640" i="6"/>
  <c r="O640" i="6" a="1"/>
  <c r="O640" i="6"/>
  <c r="M640" i="6" a="1"/>
  <c r="M640" i="6"/>
  <c r="J640" i="6" a="1"/>
  <c r="J640" i="6"/>
  <c r="G640" i="6" a="1"/>
  <c r="G640" i="6"/>
  <c r="F640" i="6" a="1"/>
  <c r="F640" i="6"/>
  <c r="E640" i="6" a="1"/>
  <c r="E640" i="6"/>
  <c r="D640" i="6" a="1"/>
  <c r="D640" i="6"/>
  <c r="C640" i="6" a="1"/>
  <c r="C640" i="6"/>
  <c r="N639" i="6" a="1"/>
  <c r="N639" i="6"/>
  <c r="S639" i="6"/>
  <c r="R639" i="6" a="1"/>
  <c r="R639" i="6"/>
  <c r="Q639" i="6" a="1"/>
  <c r="Q639" i="6"/>
  <c r="O639" i="6" a="1"/>
  <c r="O639" i="6"/>
  <c r="M639" i="6" a="1"/>
  <c r="M639" i="6"/>
  <c r="J639" i="6" a="1"/>
  <c r="J639" i="6"/>
  <c r="G639" i="6" a="1"/>
  <c r="G639" i="6"/>
  <c r="F639" i="6" a="1"/>
  <c r="F639" i="6"/>
  <c r="E639" i="6" a="1"/>
  <c r="E639" i="6"/>
  <c r="D639" i="6" a="1"/>
  <c r="D639" i="6"/>
  <c r="C639" i="6" a="1"/>
  <c r="C639" i="6"/>
  <c r="N638" i="6" a="1"/>
  <c r="N638" i="6"/>
  <c r="S638" i="6"/>
  <c r="R638" i="6" a="1"/>
  <c r="R638" i="6"/>
  <c r="Q638" i="6" a="1"/>
  <c r="Q638" i="6"/>
  <c r="O638" i="6" a="1"/>
  <c r="O638" i="6"/>
  <c r="M638" i="6" a="1"/>
  <c r="M638" i="6"/>
  <c r="J638" i="6" a="1"/>
  <c r="J638" i="6"/>
  <c r="G638" i="6" a="1"/>
  <c r="G638" i="6"/>
  <c r="F638" i="6" a="1"/>
  <c r="F638" i="6"/>
  <c r="E638" i="6" a="1"/>
  <c r="E638" i="6"/>
  <c r="D638" i="6" a="1"/>
  <c r="D638" i="6"/>
  <c r="C638" i="6" a="1"/>
  <c r="C638" i="6"/>
  <c r="N637" i="6" a="1"/>
  <c r="N637" i="6"/>
  <c r="S637" i="6"/>
  <c r="R637" i="6" a="1"/>
  <c r="R637" i="6"/>
  <c r="Q637" i="6" a="1"/>
  <c r="Q637" i="6"/>
  <c r="O637" i="6" a="1"/>
  <c r="O637" i="6"/>
  <c r="M637" i="6" a="1"/>
  <c r="M637" i="6"/>
  <c r="J637" i="6" a="1"/>
  <c r="J637" i="6"/>
  <c r="G637" i="6" a="1"/>
  <c r="G637" i="6"/>
  <c r="F637" i="6" a="1"/>
  <c r="F637" i="6"/>
  <c r="E637" i="6" a="1"/>
  <c r="E637" i="6"/>
  <c r="D637" i="6" a="1"/>
  <c r="D637" i="6"/>
  <c r="C637" i="6" a="1"/>
  <c r="C637" i="6"/>
  <c r="N636" i="6" a="1"/>
  <c r="N636" i="6"/>
  <c r="S636" i="6"/>
  <c r="R636" i="6" a="1"/>
  <c r="R636" i="6"/>
  <c r="Q636" i="6" a="1"/>
  <c r="Q636" i="6"/>
  <c r="O636" i="6" a="1"/>
  <c r="O636" i="6"/>
  <c r="M636" i="6" a="1"/>
  <c r="M636" i="6"/>
  <c r="J636" i="6" a="1"/>
  <c r="J636" i="6"/>
  <c r="G636" i="6" a="1"/>
  <c r="G636" i="6"/>
  <c r="F636" i="6" a="1"/>
  <c r="F636" i="6"/>
  <c r="E636" i="6" a="1"/>
  <c r="E636" i="6"/>
  <c r="D636" i="6" a="1"/>
  <c r="D636" i="6"/>
  <c r="C636" i="6" a="1"/>
  <c r="C636" i="6"/>
  <c r="N635" i="6" a="1"/>
  <c r="N635" i="6"/>
  <c r="S635" i="6"/>
  <c r="R635" i="6" a="1"/>
  <c r="R635" i="6"/>
  <c r="Q635" i="6" a="1"/>
  <c r="Q635" i="6"/>
  <c r="O635" i="6" a="1"/>
  <c r="O635" i="6"/>
  <c r="M635" i="6" a="1"/>
  <c r="M635" i="6"/>
  <c r="J635" i="6" a="1"/>
  <c r="J635" i="6"/>
  <c r="G635" i="6" a="1"/>
  <c r="G635" i="6"/>
  <c r="F635" i="6" a="1"/>
  <c r="F635" i="6"/>
  <c r="E635" i="6" a="1"/>
  <c r="E635" i="6"/>
  <c r="D635" i="6" a="1"/>
  <c r="D635" i="6"/>
  <c r="C635" i="6" a="1"/>
  <c r="C635" i="6"/>
  <c r="N634" i="6" a="1"/>
  <c r="N634" i="6"/>
  <c r="S634" i="6"/>
  <c r="R634" i="6" a="1"/>
  <c r="R634" i="6"/>
  <c r="Q634" i="6" a="1"/>
  <c r="Q634" i="6"/>
  <c r="O634" i="6" a="1"/>
  <c r="O634" i="6"/>
  <c r="M634" i="6" a="1"/>
  <c r="M634" i="6"/>
  <c r="J634" i="6" a="1"/>
  <c r="J634" i="6"/>
  <c r="G634" i="6" a="1"/>
  <c r="G634" i="6"/>
  <c r="F634" i="6" a="1"/>
  <c r="F634" i="6"/>
  <c r="E634" i="6" a="1"/>
  <c r="E634" i="6"/>
  <c r="D634" i="6" a="1"/>
  <c r="D634" i="6"/>
  <c r="C634" i="6" a="1"/>
  <c r="C634" i="6"/>
  <c r="N633" i="6" a="1"/>
  <c r="N633" i="6"/>
  <c r="S633" i="6"/>
  <c r="R633" i="6" a="1"/>
  <c r="R633" i="6"/>
  <c r="Q633" i="6" a="1"/>
  <c r="Q633" i="6"/>
  <c r="O633" i="6" a="1"/>
  <c r="O633" i="6"/>
  <c r="M633" i="6" a="1"/>
  <c r="M633" i="6"/>
  <c r="J633" i="6" a="1"/>
  <c r="J633" i="6"/>
  <c r="G633" i="6" a="1"/>
  <c r="G633" i="6"/>
  <c r="F633" i="6" a="1"/>
  <c r="F633" i="6"/>
  <c r="E633" i="6" a="1"/>
  <c r="E633" i="6"/>
  <c r="D633" i="6" a="1"/>
  <c r="D633" i="6"/>
  <c r="C633" i="6" a="1"/>
  <c r="C633" i="6"/>
  <c r="N632" i="6" a="1"/>
  <c r="N632" i="6"/>
  <c r="S632" i="6"/>
  <c r="R632" i="6" a="1"/>
  <c r="R632" i="6"/>
  <c r="Q632" i="6" a="1"/>
  <c r="Q632" i="6"/>
  <c r="O632" i="6" a="1"/>
  <c r="O632" i="6"/>
  <c r="M632" i="6" a="1"/>
  <c r="M632" i="6"/>
  <c r="J632" i="6" a="1"/>
  <c r="J632" i="6"/>
  <c r="G632" i="6" a="1"/>
  <c r="G632" i="6"/>
  <c r="F632" i="6" a="1"/>
  <c r="F632" i="6"/>
  <c r="E632" i="6" a="1"/>
  <c r="E632" i="6"/>
  <c r="D632" i="6" a="1"/>
  <c r="D632" i="6"/>
  <c r="C632" i="6" a="1"/>
  <c r="C632" i="6"/>
  <c r="N631" i="6" a="1"/>
  <c r="N631" i="6"/>
  <c r="S631" i="6"/>
  <c r="R631" i="6" a="1"/>
  <c r="R631" i="6"/>
  <c r="Q631" i="6" a="1"/>
  <c r="Q631" i="6"/>
  <c r="O631" i="6" a="1"/>
  <c r="O631" i="6"/>
  <c r="M631" i="6" a="1"/>
  <c r="M631" i="6"/>
  <c r="J631" i="6" a="1"/>
  <c r="J631" i="6"/>
  <c r="G631" i="6" a="1"/>
  <c r="G631" i="6"/>
  <c r="F631" i="6" a="1"/>
  <c r="F631" i="6"/>
  <c r="E631" i="6" a="1"/>
  <c r="E631" i="6"/>
  <c r="D631" i="6" a="1"/>
  <c r="D631" i="6"/>
  <c r="C631" i="6" a="1"/>
  <c r="C631" i="6"/>
  <c r="N630" i="6" a="1"/>
  <c r="N630" i="6"/>
  <c r="S630" i="6"/>
  <c r="R630" i="6" a="1"/>
  <c r="R630" i="6"/>
  <c r="Q630" i="6" a="1"/>
  <c r="Q630" i="6"/>
  <c r="O630" i="6" a="1"/>
  <c r="O630" i="6"/>
  <c r="M630" i="6" a="1"/>
  <c r="M630" i="6"/>
  <c r="J630" i="6" a="1"/>
  <c r="J630" i="6"/>
  <c r="G630" i="6" a="1"/>
  <c r="G630" i="6"/>
  <c r="F630" i="6" a="1"/>
  <c r="F630" i="6"/>
  <c r="E630" i="6" a="1"/>
  <c r="E630" i="6"/>
  <c r="D630" i="6" a="1"/>
  <c r="D630" i="6"/>
  <c r="C630" i="6" a="1"/>
  <c r="C630" i="6"/>
  <c r="N629" i="6" a="1"/>
  <c r="N629" i="6"/>
  <c r="S629" i="6"/>
  <c r="R629" i="6" a="1"/>
  <c r="R629" i="6"/>
  <c r="Q629" i="6" a="1"/>
  <c r="Q629" i="6"/>
  <c r="O629" i="6" a="1"/>
  <c r="O629" i="6"/>
  <c r="M629" i="6" a="1"/>
  <c r="M629" i="6"/>
  <c r="J629" i="6" a="1"/>
  <c r="J629" i="6"/>
  <c r="G629" i="6" a="1"/>
  <c r="G629" i="6"/>
  <c r="F629" i="6" a="1"/>
  <c r="F629" i="6"/>
  <c r="E629" i="6" a="1"/>
  <c r="E629" i="6"/>
  <c r="D629" i="6" a="1"/>
  <c r="D629" i="6"/>
  <c r="C629" i="6" a="1"/>
  <c r="C629" i="6"/>
  <c r="N628" i="6" a="1"/>
  <c r="N628" i="6"/>
  <c r="S628" i="6"/>
  <c r="R628" i="6" a="1"/>
  <c r="R628" i="6"/>
  <c r="Q628" i="6" a="1"/>
  <c r="Q628" i="6"/>
  <c r="O628" i="6" a="1"/>
  <c r="O628" i="6"/>
  <c r="M628" i="6" a="1"/>
  <c r="M628" i="6"/>
  <c r="J628" i="6" a="1"/>
  <c r="J628" i="6"/>
  <c r="G628" i="6" a="1"/>
  <c r="G628" i="6"/>
  <c r="F628" i="6" a="1"/>
  <c r="F628" i="6"/>
  <c r="E628" i="6" a="1"/>
  <c r="E628" i="6"/>
  <c r="D628" i="6" a="1"/>
  <c r="D628" i="6"/>
  <c r="C628" i="6" a="1"/>
  <c r="C628" i="6"/>
  <c r="N627" i="6" a="1"/>
  <c r="N627" i="6"/>
  <c r="S627" i="6"/>
  <c r="R627" i="6" a="1"/>
  <c r="R627" i="6"/>
  <c r="Q627" i="6" a="1"/>
  <c r="Q627" i="6"/>
  <c r="O627" i="6" a="1"/>
  <c r="O627" i="6"/>
  <c r="M627" i="6" a="1"/>
  <c r="M627" i="6"/>
  <c r="J627" i="6" a="1"/>
  <c r="J627" i="6"/>
  <c r="G627" i="6" a="1"/>
  <c r="G627" i="6"/>
  <c r="F627" i="6" a="1"/>
  <c r="F627" i="6"/>
  <c r="E627" i="6" a="1"/>
  <c r="E627" i="6"/>
  <c r="D627" i="6" a="1"/>
  <c r="D627" i="6"/>
  <c r="C627" i="6" a="1"/>
  <c r="C627" i="6"/>
  <c r="N626" i="6" a="1"/>
  <c r="N626" i="6"/>
  <c r="S626" i="6"/>
  <c r="R626" i="6" a="1"/>
  <c r="R626" i="6"/>
  <c r="Q626" i="6" a="1"/>
  <c r="Q626" i="6"/>
  <c r="O626" i="6" a="1"/>
  <c r="O626" i="6"/>
  <c r="M626" i="6" a="1"/>
  <c r="M626" i="6"/>
  <c r="J626" i="6" a="1"/>
  <c r="J626" i="6"/>
  <c r="G626" i="6" a="1"/>
  <c r="G626" i="6"/>
  <c r="F626" i="6" a="1"/>
  <c r="F626" i="6"/>
  <c r="E626" i="6" a="1"/>
  <c r="E626" i="6"/>
  <c r="D626" i="6" a="1"/>
  <c r="D626" i="6"/>
  <c r="C626" i="6" a="1"/>
  <c r="C626" i="6"/>
  <c r="N625" i="6" a="1"/>
  <c r="N625" i="6"/>
  <c r="S625" i="6"/>
  <c r="R625" i="6" a="1"/>
  <c r="R625" i="6"/>
  <c r="Q625" i="6" a="1"/>
  <c r="Q625" i="6"/>
  <c r="O625" i="6" a="1"/>
  <c r="O625" i="6"/>
  <c r="M625" i="6" a="1"/>
  <c r="M625" i="6"/>
  <c r="J625" i="6" a="1"/>
  <c r="J625" i="6"/>
  <c r="G625" i="6" a="1"/>
  <c r="G625" i="6"/>
  <c r="F625" i="6" a="1"/>
  <c r="F625" i="6"/>
  <c r="E625" i="6" a="1"/>
  <c r="E625" i="6"/>
  <c r="D625" i="6" a="1"/>
  <c r="D625" i="6"/>
  <c r="C625" i="6" a="1"/>
  <c r="C625" i="6"/>
  <c r="N624" i="6" a="1"/>
  <c r="N624" i="6"/>
  <c r="S624" i="6"/>
  <c r="R624" i="6" a="1"/>
  <c r="R624" i="6"/>
  <c r="Q624" i="6" a="1"/>
  <c r="Q624" i="6"/>
  <c r="O624" i="6" a="1"/>
  <c r="O624" i="6"/>
  <c r="M624" i="6" a="1"/>
  <c r="M624" i="6"/>
  <c r="J624" i="6" a="1"/>
  <c r="J624" i="6"/>
  <c r="G624" i="6" a="1"/>
  <c r="G624" i="6"/>
  <c r="F624" i="6" a="1"/>
  <c r="F624" i="6"/>
  <c r="E624" i="6" a="1"/>
  <c r="E624" i="6"/>
  <c r="D624" i="6" a="1"/>
  <c r="D624" i="6"/>
  <c r="C624" i="6" a="1"/>
  <c r="C624" i="6"/>
  <c r="N623" i="6" a="1"/>
  <c r="N623" i="6"/>
  <c r="S623" i="6"/>
  <c r="R623" i="6" a="1"/>
  <c r="R623" i="6"/>
  <c r="Q623" i="6" a="1"/>
  <c r="Q623" i="6"/>
  <c r="O623" i="6" a="1"/>
  <c r="O623" i="6"/>
  <c r="M623" i="6" a="1"/>
  <c r="M623" i="6"/>
  <c r="J623" i="6" a="1"/>
  <c r="J623" i="6"/>
  <c r="G623" i="6" a="1"/>
  <c r="G623" i="6"/>
  <c r="F623" i="6" a="1"/>
  <c r="F623" i="6"/>
  <c r="E623" i="6" a="1"/>
  <c r="E623" i="6"/>
  <c r="D623" i="6" a="1"/>
  <c r="D623" i="6"/>
  <c r="C623" i="6" a="1"/>
  <c r="C623" i="6"/>
  <c r="N622" i="6" a="1"/>
  <c r="N622" i="6"/>
  <c r="S622" i="6"/>
  <c r="R622" i="6" a="1"/>
  <c r="R622" i="6"/>
  <c r="Q622" i="6" a="1"/>
  <c r="Q622" i="6"/>
  <c r="O622" i="6" a="1"/>
  <c r="O622" i="6"/>
  <c r="M622" i="6" a="1"/>
  <c r="M622" i="6"/>
  <c r="J622" i="6" a="1"/>
  <c r="J622" i="6"/>
  <c r="G622" i="6" a="1"/>
  <c r="G622" i="6"/>
  <c r="F622" i="6" a="1"/>
  <c r="F622" i="6"/>
  <c r="E622" i="6" a="1"/>
  <c r="E622" i="6"/>
  <c r="D622" i="6" a="1"/>
  <c r="D622" i="6"/>
  <c r="C622" i="6" a="1"/>
  <c r="C622" i="6"/>
  <c r="N621" i="6" a="1"/>
  <c r="N621" i="6"/>
  <c r="S621" i="6"/>
  <c r="R621" i="6" a="1"/>
  <c r="R621" i="6"/>
  <c r="Q621" i="6" a="1"/>
  <c r="Q621" i="6"/>
  <c r="O621" i="6" a="1"/>
  <c r="O621" i="6"/>
  <c r="M621" i="6" a="1"/>
  <c r="M621" i="6"/>
  <c r="J621" i="6" a="1"/>
  <c r="J621" i="6"/>
  <c r="G621" i="6" a="1"/>
  <c r="G621" i="6"/>
  <c r="F621" i="6" a="1"/>
  <c r="F621" i="6"/>
  <c r="E621" i="6" a="1"/>
  <c r="E621" i="6"/>
  <c r="D621" i="6" a="1"/>
  <c r="D621" i="6"/>
  <c r="C621" i="6" a="1"/>
  <c r="C621" i="6"/>
  <c r="N620" i="6" a="1"/>
  <c r="N620" i="6"/>
  <c r="S620" i="6"/>
  <c r="R620" i="6" a="1"/>
  <c r="R620" i="6"/>
  <c r="Q620" i="6" a="1"/>
  <c r="Q620" i="6"/>
  <c r="O620" i="6" a="1"/>
  <c r="O620" i="6"/>
  <c r="M620" i="6" a="1"/>
  <c r="M620" i="6"/>
  <c r="J620" i="6" a="1"/>
  <c r="J620" i="6"/>
  <c r="G620" i="6" a="1"/>
  <c r="G620" i="6"/>
  <c r="F620" i="6" a="1"/>
  <c r="F620" i="6"/>
  <c r="E620" i="6" a="1"/>
  <c r="E620" i="6"/>
  <c r="D620" i="6" a="1"/>
  <c r="D620" i="6"/>
  <c r="C620" i="6" a="1"/>
  <c r="C620" i="6"/>
  <c r="N619" i="6" a="1"/>
  <c r="N619" i="6"/>
  <c r="S619" i="6"/>
  <c r="R619" i="6" a="1"/>
  <c r="R619" i="6"/>
  <c r="Q619" i="6" a="1"/>
  <c r="Q619" i="6"/>
  <c r="O619" i="6" a="1"/>
  <c r="O619" i="6"/>
  <c r="M619" i="6" a="1"/>
  <c r="M619" i="6"/>
  <c r="J619" i="6" a="1"/>
  <c r="J619" i="6"/>
  <c r="G619" i="6" a="1"/>
  <c r="G619" i="6"/>
  <c r="F619" i="6" a="1"/>
  <c r="F619" i="6"/>
  <c r="E619" i="6" a="1"/>
  <c r="E619" i="6"/>
  <c r="D619" i="6" a="1"/>
  <c r="D619" i="6"/>
  <c r="C619" i="6" a="1"/>
  <c r="C619" i="6"/>
  <c r="N618" i="6" a="1"/>
  <c r="N618" i="6"/>
  <c r="S618" i="6"/>
  <c r="R618" i="6" a="1"/>
  <c r="R618" i="6"/>
  <c r="Q618" i="6" a="1"/>
  <c r="Q618" i="6"/>
  <c r="O618" i="6" a="1"/>
  <c r="O618" i="6"/>
  <c r="M618" i="6" a="1"/>
  <c r="M618" i="6"/>
  <c r="J618" i="6" a="1"/>
  <c r="J618" i="6"/>
  <c r="G618" i="6" a="1"/>
  <c r="G618" i="6"/>
  <c r="F618" i="6" a="1"/>
  <c r="F618" i="6"/>
  <c r="E618" i="6" a="1"/>
  <c r="E618" i="6"/>
  <c r="D618" i="6" a="1"/>
  <c r="D618" i="6"/>
  <c r="C618" i="6" a="1"/>
  <c r="C618" i="6"/>
  <c r="N617" i="6" a="1"/>
  <c r="N617" i="6"/>
  <c r="S617" i="6"/>
  <c r="R617" i="6" a="1"/>
  <c r="R617" i="6"/>
  <c r="Q617" i="6" a="1"/>
  <c r="Q617" i="6"/>
  <c r="O617" i="6" a="1"/>
  <c r="O617" i="6"/>
  <c r="M617" i="6" a="1"/>
  <c r="M617" i="6"/>
  <c r="J617" i="6" a="1"/>
  <c r="J617" i="6"/>
  <c r="G617" i="6" a="1"/>
  <c r="G617" i="6"/>
  <c r="F617" i="6" a="1"/>
  <c r="F617" i="6"/>
  <c r="E617" i="6" a="1"/>
  <c r="E617" i="6"/>
  <c r="D617" i="6" a="1"/>
  <c r="D617" i="6"/>
  <c r="C617" i="6" a="1"/>
  <c r="C617" i="6"/>
  <c r="N616" i="6" a="1"/>
  <c r="N616" i="6"/>
  <c r="S616" i="6"/>
  <c r="R616" i="6" a="1"/>
  <c r="R616" i="6"/>
  <c r="Q616" i="6" a="1"/>
  <c r="Q616" i="6"/>
  <c r="O616" i="6" a="1"/>
  <c r="O616" i="6"/>
  <c r="M616" i="6" a="1"/>
  <c r="M616" i="6"/>
  <c r="J616" i="6" a="1"/>
  <c r="J616" i="6"/>
  <c r="G616" i="6" a="1"/>
  <c r="G616" i="6"/>
  <c r="F616" i="6" a="1"/>
  <c r="F616" i="6"/>
  <c r="E616" i="6" a="1"/>
  <c r="E616" i="6"/>
  <c r="D616" i="6" a="1"/>
  <c r="D616" i="6"/>
  <c r="C616" i="6" a="1"/>
  <c r="C616" i="6"/>
  <c r="N615" i="6" a="1"/>
  <c r="N615" i="6"/>
  <c r="S615" i="6"/>
  <c r="R615" i="6" a="1"/>
  <c r="R615" i="6"/>
  <c r="Q615" i="6" a="1"/>
  <c r="Q615" i="6"/>
  <c r="O615" i="6" a="1"/>
  <c r="O615" i="6"/>
  <c r="M615" i="6" a="1"/>
  <c r="M615" i="6"/>
  <c r="J615" i="6" a="1"/>
  <c r="J615" i="6"/>
  <c r="G615" i="6" a="1"/>
  <c r="G615" i="6"/>
  <c r="F615" i="6" a="1"/>
  <c r="F615" i="6"/>
  <c r="E615" i="6" a="1"/>
  <c r="E615" i="6"/>
  <c r="D615" i="6" a="1"/>
  <c r="D615" i="6"/>
  <c r="C615" i="6" a="1"/>
  <c r="C615" i="6"/>
  <c r="N614" i="6" a="1"/>
  <c r="N614" i="6"/>
  <c r="S614" i="6"/>
  <c r="R614" i="6" a="1"/>
  <c r="R614" i="6"/>
  <c r="Q614" i="6" a="1"/>
  <c r="Q614" i="6"/>
  <c r="O614" i="6" a="1"/>
  <c r="O614" i="6"/>
  <c r="M614" i="6" a="1"/>
  <c r="M614" i="6"/>
  <c r="J614" i="6" a="1"/>
  <c r="J614" i="6"/>
  <c r="G614" i="6" a="1"/>
  <c r="G614" i="6"/>
  <c r="F614" i="6" a="1"/>
  <c r="F614" i="6"/>
  <c r="E614" i="6" a="1"/>
  <c r="E614" i="6"/>
  <c r="D614" i="6" a="1"/>
  <c r="D614" i="6"/>
  <c r="C614" i="6" a="1"/>
  <c r="C614" i="6"/>
  <c r="N613" i="6" a="1"/>
  <c r="N613" i="6"/>
  <c r="S613" i="6"/>
  <c r="R613" i="6" a="1"/>
  <c r="R613" i="6"/>
  <c r="Q613" i="6" a="1"/>
  <c r="Q613" i="6"/>
  <c r="O613" i="6" a="1"/>
  <c r="O613" i="6"/>
  <c r="M613" i="6" a="1"/>
  <c r="M613" i="6"/>
  <c r="J613" i="6" a="1"/>
  <c r="J613" i="6"/>
  <c r="G613" i="6" a="1"/>
  <c r="G613" i="6"/>
  <c r="F613" i="6" a="1"/>
  <c r="F613" i="6"/>
  <c r="E613" i="6" a="1"/>
  <c r="E613" i="6"/>
  <c r="D613" i="6" a="1"/>
  <c r="D613" i="6"/>
  <c r="C613" i="6" a="1"/>
  <c r="C613" i="6"/>
  <c r="N612" i="6" a="1"/>
  <c r="N612" i="6"/>
  <c r="S612" i="6"/>
  <c r="R612" i="6" a="1"/>
  <c r="R612" i="6"/>
  <c r="Q612" i="6" a="1"/>
  <c r="Q612" i="6"/>
  <c r="O612" i="6" a="1"/>
  <c r="O612" i="6"/>
  <c r="M612" i="6" a="1"/>
  <c r="M612" i="6"/>
  <c r="J612" i="6" a="1"/>
  <c r="J612" i="6"/>
  <c r="G612" i="6" a="1"/>
  <c r="G612" i="6"/>
  <c r="F612" i="6" a="1"/>
  <c r="F612" i="6"/>
  <c r="E612" i="6" a="1"/>
  <c r="E612" i="6"/>
  <c r="D612" i="6" a="1"/>
  <c r="D612" i="6"/>
  <c r="C612" i="6" a="1"/>
  <c r="C612" i="6"/>
  <c r="N611" i="6" a="1"/>
  <c r="N611" i="6"/>
  <c r="S611" i="6"/>
  <c r="R611" i="6" a="1"/>
  <c r="R611" i="6"/>
  <c r="Q611" i="6" a="1"/>
  <c r="Q611" i="6"/>
  <c r="O611" i="6" a="1"/>
  <c r="O611" i="6"/>
  <c r="M611" i="6" a="1"/>
  <c r="M611" i="6"/>
  <c r="J611" i="6" a="1"/>
  <c r="J611" i="6"/>
  <c r="G611" i="6" a="1"/>
  <c r="G611" i="6"/>
  <c r="F611" i="6" a="1"/>
  <c r="F611" i="6"/>
  <c r="E611" i="6" a="1"/>
  <c r="E611" i="6"/>
  <c r="D611" i="6" a="1"/>
  <c r="D611" i="6"/>
  <c r="C611" i="6" a="1"/>
  <c r="C611" i="6"/>
  <c r="N610" i="6" a="1"/>
  <c r="N610" i="6"/>
  <c r="S610" i="6"/>
  <c r="R610" i="6" a="1"/>
  <c r="R610" i="6"/>
  <c r="Q610" i="6" a="1"/>
  <c r="Q610" i="6"/>
  <c r="O610" i="6" a="1"/>
  <c r="O610" i="6"/>
  <c r="M610" i="6" a="1"/>
  <c r="M610" i="6"/>
  <c r="J610" i="6" a="1"/>
  <c r="J610" i="6"/>
  <c r="G610" i="6" a="1"/>
  <c r="G610" i="6"/>
  <c r="F610" i="6" a="1"/>
  <c r="F610" i="6"/>
  <c r="E610" i="6" a="1"/>
  <c r="E610" i="6"/>
  <c r="D610" i="6" a="1"/>
  <c r="D610" i="6"/>
  <c r="C610" i="6" a="1"/>
  <c r="C610" i="6"/>
  <c r="N609" i="6" a="1"/>
  <c r="N609" i="6"/>
  <c r="S609" i="6"/>
  <c r="R609" i="6" a="1"/>
  <c r="R609" i="6"/>
  <c r="Q609" i="6" a="1"/>
  <c r="Q609" i="6"/>
  <c r="O609" i="6" a="1"/>
  <c r="O609" i="6"/>
  <c r="M609" i="6" a="1"/>
  <c r="M609" i="6"/>
  <c r="J609" i="6" a="1"/>
  <c r="J609" i="6"/>
  <c r="G609" i="6" a="1"/>
  <c r="G609" i="6"/>
  <c r="F609" i="6" a="1"/>
  <c r="F609" i="6"/>
  <c r="E609" i="6" a="1"/>
  <c r="E609" i="6"/>
  <c r="D609" i="6" a="1"/>
  <c r="D609" i="6"/>
  <c r="C609" i="6" a="1"/>
  <c r="C609" i="6"/>
  <c r="N608" i="6" a="1"/>
  <c r="N608" i="6"/>
  <c r="S608" i="6"/>
  <c r="R608" i="6" a="1"/>
  <c r="R608" i="6"/>
  <c r="Q608" i="6" a="1"/>
  <c r="Q608" i="6"/>
  <c r="O608" i="6" a="1"/>
  <c r="O608" i="6"/>
  <c r="M608" i="6" a="1"/>
  <c r="M608" i="6"/>
  <c r="J608" i="6" a="1"/>
  <c r="J608" i="6"/>
  <c r="G608" i="6" a="1"/>
  <c r="G608" i="6"/>
  <c r="F608" i="6" a="1"/>
  <c r="F608" i="6"/>
  <c r="E608" i="6" a="1"/>
  <c r="E608" i="6"/>
  <c r="D608" i="6" a="1"/>
  <c r="D608" i="6"/>
  <c r="C608" i="6" a="1"/>
  <c r="C608" i="6"/>
  <c r="N607" i="6" a="1"/>
  <c r="N607" i="6"/>
  <c r="S607" i="6"/>
  <c r="R607" i="6" a="1"/>
  <c r="R607" i="6"/>
  <c r="Q607" i="6" a="1"/>
  <c r="Q607" i="6"/>
  <c r="O607" i="6" a="1"/>
  <c r="O607" i="6"/>
  <c r="M607" i="6" a="1"/>
  <c r="M607" i="6"/>
  <c r="J607" i="6" a="1"/>
  <c r="J607" i="6"/>
  <c r="G607" i="6" a="1"/>
  <c r="G607" i="6"/>
  <c r="F607" i="6" a="1"/>
  <c r="F607" i="6"/>
  <c r="E607" i="6" a="1"/>
  <c r="E607" i="6"/>
  <c r="D607" i="6" a="1"/>
  <c r="D607" i="6"/>
  <c r="C607" i="6" a="1"/>
  <c r="C607" i="6"/>
  <c r="N606" i="6" a="1"/>
  <c r="N606" i="6"/>
  <c r="S606" i="6"/>
  <c r="R606" i="6" a="1"/>
  <c r="R606" i="6"/>
  <c r="Q606" i="6" a="1"/>
  <c r="Q606" i="6"/>
  <c r="O606" i="6" a="1"/>
  <c r="O606" i="6"/>
  <c r="M606" i="6" a="1"/>
  <c r="M606" i="6"/>
  <c r="J606" i="6" a="1"/>
  <c r="J606" i="6"/>
  <c r="G606" i="6" a="1"/>
  <c r="G606" i="6"/>
  <c r="F606" i="6" a="1"/>
  <c r="F606" i="6"/>
  <c r="E606" i="6" a="1"/>
  <c r="E606" i="6"/>
  <c r="D606" i="6" a="1"/>
  <c r="D606" i="6"/>
  <c r="C606" i="6" a="1"/>
  <c r="C606" i="6"/>
  <c r="N605" i="6" a="1"/>
  <c r="N605" i="6"/>
  <c r="S605" i="6"/>
  <c r="R605" i="6" a="1"/>
  <c r="R605" i="6"/>
  <c r="Q605" i="6" a="1"/>
  <c r="Q605" i="6"/>
  <c r="O605" i="6" a="1"/>
  <c r="O605" i="6"/>
  <c r="M605" i="6" a="1"/>
  <c r="M605" i="6"/>
  <c r="J605" i="6" a="1"/>
  <c r="J605" i="6"/>
  <c r="G605" i="6" a="1"/>
  <c r="G605" i="6"/>
  <c r="F605" i="6" a="1"/>
  <c r="F605" i="6"/>
  <c r="E605" i="6" a="1"/>
  <c r="E605" i="6"/>
  <c r="D605" i="6" a="1"/>
  <c r="D605" i="6"/>
  <c r="C605" i="6" a="1"/>
  <c r="C605" i="6"/>
  <c r="N604" i="6" a="1"/>
  <c r="N604" i="6"/>
  <c r="S604" i="6"/>
  <c r="R604" i="6" a="1"/>
  <c r="R604" i="6"/>
  <c r="Q604" i="6" a="1"/>
  <c r="Q604" i="6"/>
  <c r="O604" i="6" a="1"/>
  <c r="O604" i="6"/>
  <c r="M604" i="6" a="1"/>
  <c r="M604" i="6"/>
  <c r="J604" i="6" a="1"/>
  <c r="J604" i="6"/>
  <c r="G604" i="6" a="1"/>
  <c r="G604" i="6"/>
  <c r="F604" i="6" a="1"/>
  <c r="F604" i="6"/>
  <c r="E604" i="6" a="1"/>
  <c r="E604" i="6"/>
  <c r="D604" i="6" a="1"/>
  <c r="D604" i="6"/>
  <c r="C604" i="6" a="1"/>
  <c r="C604" i="6"/>
  <c r="N603" i="6" a="1"/>
  <c r="N603" i="6"/>
  <c r="S603" i="6"/>
  <c r="R603" i="6" a="1"/>
  <c r="R603" i="6"/>
  <c r="Q603" i="6" a="1"/>
  <c r="Q603" i="6"/>
  <c r="O603" i="6" a="1"/>
  <c r="O603" i="6"/>
  <c r="M603" i="6" a="1"/>
  <c r="M603" i="6"/>
  <c r="J603" i="6" a="1"/>
  <c r="J603" i="6"/>
  <c r="G603" i="6" a="1"/>
  <c r="G603" i="6"/>
  <c r="F603" i="6" a="1"/>
  <c r="F603" i="6"/>
  <c r="E603" i="6" a="1"/>
  <c r="E603" i="6"/>
  <c r="D603" i="6" a="1"/>
  <c r="D603" i="6"/>
  <c r="C603" i="6" a="1"/>
  <c r="C603" i="6"/>
  <c r="N602" i="6" a="1"/>
  <c r="N602" i="6"/>
  <c r="S602" i="6"/>
  <c r="R602" i="6" a="1"/>
  <c r="R602" i="6"/>
  <c r="Q602" i="6" a="1"/>
  <c r="Q602" i="6"/>
  <c r="O602" i="6" a="1"/>
  <c r="O602" i="6"/>
  <c r="M602" i="6" a="1"/>
  <c r="M602" i="6"/>
  <c r="J602" i="6" a="1"/>
  <c r="J602" i="6"/>
  <c r="G602" i="6" a="1"/>
  <c r="G602" i="6"/>
  <c r="F602" i="6" a="1"/>
  <c r="F602" i="6"/>
  <c r="E602" i="6" a="1"/>
  <c r="E602" i="6"/>
  <c r="D602" i="6" a="1"/>
  <c r="D602" i="6"/>
  <c r="C602" i="6" a="1"/>
  <c r="C602" i="6"/>
  <c r="N601" i="6" a="1"/>
  <c r="N601" i="6"/>
  <c r="S601" i="6"/>
  <c r="R601" i="6" a="1"/>
  <c r="R601" i="6"/>
  <c r="Q601" i="6" a="1"/>
  <c r="Q601" i="6"/>
  <c r="O601" i="6" a="1"/>
  <c r="O601" i="6"/>
  <c r="M601" i="6" a="1"/>
  <c r="M601" i="6"/>
  <c r="J601" i="6" a="1"/>
  <c r="J601" i="6"/>
  <c r="G601" i="6" a="1"/>
  <c r="G601" i="6"/>
  <c r="F601" i="6" a="1"/>
  <c r="F601" i="6"/>
  <c r="E601" i="6" a="1"/>
  <c r="E601" i="6"/>
  <c r="D601" i="6" a="1"/>
  <c r="D601" i="6"/>
  <c r="C601" i="6" a="1"/>
  <c r="C601" i="6"/>
  <c r="N600" i="6" a="1"/>
  <c r="N600" i="6"/>
  <c r="S600" i="6"/>
  <c r="R600" i="6" a="1"/>
  <c r="R600" i="6"/>
  <c r="Q600" i="6" a="1"/>
  <c r="Q600" i="6"/>
  <c r="O600" i="6" a="1"/>
  <c r="O600" i="6"/>
  <c r="M600" i="6" a="1"/>
  <c r="M600" i="6"/>
  <c r="J600" i="6" a="1"/>
  <c r="J600" i="6"/>
  <c r="G600" i="6" a="1"/>
  <c r="G600" i="6"/>
  <c r="F600" i="6" a="1"/>
  <c r="F600" i="6"/>
  <c r="E600" i="6" a="1"/>
  <c r="E600" i="6"/>
  <c r="D600" i="6" a="1"/>
  <c r="D600" i="6"/>
  <c r="C600" i="6" a="1"/>
  <c r="C600" i="6"/>
  <c r="N599" i="6" a="1"/>
  <c r="N599" i="6"/>
  <c r="S599" i="6"/>
  <c r="R599" i="6" a="1"/>
  <c r="R599" i="6"/>
  <c r="Q599" i="6" a="1"/>
  <c r="Q599" i="6"/>
  <c r="O599" i="6" a="1"/>
  <c r="O599" i="6"/>
  <c r="M599" i="6" a="1"/>
  <c r="M599" i="6"/>
  <c r="J599" i="6" a="1"/>
  <c r="J599" i="6"/>
  <c r="G599" i="6" a="1"/>
  <c r="G599" i="6"/>
  <c r="F599" i="6" a="1"/>
  <c r="F599" i="6"/>
  <c r="E599" i="6" a="1"/>
  <c r="E599" i="6"/>
  <c r="D599" i="6" a="1"/>
  <c r="D599" i="6"/>
  <c r="C599" i="6" a="1"/>
  <c r="C599" i="6"/>
  <c r="N598" i="6" a="1"/>
  <c r="N598" i="6"/>
  <c r="S598" i="6"/>
  <c r="R598" i="6" a="1"/>
  <c r="R598" i="6"/>
  <c r="Q598" i="6" a="1"/>
  <c r="Q598" i="6"/>
  <c r="O598" i="6" a="1"/>
  <c r="O598" i="6"/>
  <c r="M598" i="6" a="1"/>
  <c r="M598" i="6"/>
  <c r="J598" i="6" a="1"/>
  <c r="J598" i="6"/>
  <c r="G598" i="6" a="1"/>
  <c r="G598" i="6"/>
  <c r="F598" i="6" a="1"/>
  <c r="F598" i="6"/>
  <c r="E598" i="6" a="1"/>
  <c r="E598" i="6"/>
  <c r="D598" i="6" a="1"/>
  <c r="D598" i="6"/>
  <c r="C598" i="6" a="1"/>
  <c r="C598" i="6"/>
  <c r="N597" i="6" a="1"/>
  <c r="N597" i="6"/>
  <c r="S597" i="6"/>
  <c r="R597" i="6" a="1"/>
  <c r="R597" i="6"/>
  <c r="Q597" i="6" a="1"/>
  <c r="Q597" i="6"/>
  <c r="O597" i="6" a="1"/>
  <c r="O597" i="6"/>
  <c r="M597" i="6" a="1"/>
  <c r="M597" i="6"/>
  <c r="J597" i="6" a="1"/>
  <c r="J597" i="6"/>
  <c r="G597" i="6" a="1"/>
  <c r="G597" i="6"/>
  <c r="F597" i="6" a="1"/>
  <c r="F597" i="6"/>
  <c r="E597" i="6" a="1"/>
  <c r="E597" i="6"/>
  <c r="D597" i="6" a="1"/>
  <c r="D597" i="6"/>
  <c r="C597" i="6" a="1"/>
  <c r="C597" i="6"/>
  <c r="N596" i="6" a="1"/>
  <c r="N596" i="6"/>
  <c r="S596" i="6"/>
  <c r="R596" i="6" a="1"/>
  <c r="R596" i="6"/>
  <c r="Q596" i="6" a="1"/>
  <c r="Q596" i="6"/>
  <c r="O596" i="6" a="1"/>
  <c r="O596" i="6"/>
  <c r="M596" i="6" a="1"/>
  <c r="M596" i="6"/>
  <c r="J596" i="6" a="1"/>
  <c r="J596" i="6"/>
  <c r="G596" i="6" a="1"/>
  <c r="G596" i="6"/>
  <c r="F596" i="6" a="1"/>
  <c r="F596" i="6"/>
  <c r="E596" i="6" a="1"/>
  <c r="E596" i="6"/>
  <c r="D596" i="6" a="1"/>
  <c r="D596" i="6"/>
  <c r="C596" i="6" a="1"/>
  <c r="C596" i="6"/>
  <c r="N595" i="6" a="1"/>
  <c r="N595" i="6"/>
  <c r="S595" i="6"/>
  <c r="R595" i="6" a="1"/>
  <c r="R595" i="6"/>
  <c r="Q595" i="6" a="1"/>
  <c r="Q595" i="6"/>
  <c r="O595" i="6" a="1"/>
  <c r="O595" i="6"/>
  <c r="M595" i="6" a="1"/>
  <c r="M595" i="6"/>
  <c r="J595" i="6" a="1"/>
  <c r="J595" i="6"/>
  <c r="G595" i="6" a="1"/>
  <c r="G595" i="6"/>
  <c r="F595" i="6" a="1"/>
  <c r="F595" i="6"/>
  <c r="E595" i="6" a="1"/>
  <c r="E595" i="6"/>
  <c r="D595" i="6" a="1"/>
  <c r="D595" i="6"/>
  <c r="C595" i="6" a="1"/>
  <c r="C595" i="6"/>
  <c r="N594" i="6" a="1"/>
  <c r="N594" i="6"/>
  <c r="S594" i="6"/>
  <c r="R594" i="6" a="1"/>
  <c r="R594" i="6"/>
  <c r="Q594" i="6" a="1"/>
  <c r="Q594" i="6"/>
  <c r="O594" i="6" a="1"/>
  <c r="O594" i="6"/>
  <c r="M594" i="6" a="1"/>
  <c r="M594" i="6"/>
  <c r="J594" i="6" a="1"/>
  <c r="J594" i="6"/>
  <c r="G594" i="6" a="1"/>
  <c r="G594" i="6"/>
  <c r="F594" i="6" a="1"/>
  <c r="F594" i="6"/>
  <c r="E594" i="6" a="1"/>
  <c r="E594" i="6"/>
  <c r="D594" i="6" a="1"/>
  <c r="D594" i="6"/>
  <c r="C594" i="6" a="1"/>
  <c r="C594" i="6"/>
  <c r="N593" i="6" a="1"/>
  <c r="N593" i="6"/>
  <c r="S593" i="6"/>
  <c r="R593" i="6" a="1"/>
  <c r="R593" i="6"/>
  <c r="Q593" i="6" a="1"/>
  <c r="Q593" i="6"/>
  <c r="O593" i="6" a="1"/>
  <c r="O593" i="6"/>
  <c r="M593" i="6" a="1"/>
  <c r="M593" i="6"/>
  <c r="J593" i="6" a="1"/>
  <c r="J593" i="6"/>
  <c r="G593" i="6" a="1"/>
  <c r="G593" i="6"/>
  <c r="F593" i="6" a="1"/>
  <c r="F593" i="6"/>
  <c r="E593" i="6" a="1"/>
  <c r="E593" i="6"/>
  <c r="D593" i="6" a="1"/>
  <c r="D593" i="6"/>
  <c r="C593" i="6" a="1"/>
  <c r="C593" i="6"/>
  <c r="N592" i="6" a="1"/>
  <c r="N592" i="6"/>
  <c r="S592" i="6"/>
  <c r="R592" i="6" a="1"/>
  <c r="R592" i="6"/>
  <c r="Q592" i="6" a="1"/>
  <c r="Q592" i="6"/>
  <c r="O592" i="6" a="1"/>
  <c r="O592" i="6"/>
  <c r="M592" i="6" a="1"/>
  <c r="M592" i="6"/>
  <c r="J592" i="6" a="1"/>
  <c r="J592" i="6"/>
  <c r="G592" i="6" a="1"/>
  <c r="G592" i="6"/>
  <c r="F592" i="6" a="1"/>
  <c r="F592" i="6"/>
  <c r="E592" i="6" a="1"/>
  <c r="E592" i="6"/>
  <c r="D592" i="6" a="1"/>
  <c r="D592" i="6"/>
  <c r="C592" i="6" a="1"/>
  <c r="C592" i="6"/>
  <c r="N591" i="6" a="1"/>
  <c r="N591" i="6"/>
  <c r="S591" i="6"/>
  <c r="R591" i="6" a="1"/>
  <c r="R591" i="6"/>
  <c r="Q591" i="6" a="1"/>
  <c r="Q591" i="6"/>
  <c r="O591" i="6" a="1"/>
  <c r="O591" i="6"/>
  <c r="M591" i="6" a="1"/>
  <c r="M591" i="6"/>
  <c r="J591" i="6" a="1"/>
  <c r="J591" i="6"/>
  <c r="G591" i="6" a="1"/>
  <c r="G591" i="6"/>
  <c r="F591" i="6" a="1"/>
  <c r="F591" i="6"/>
  <c r="E591" i="6" a="1"/>
  <c r="E591" i="6"/>
  <c r="D591" i="6" a="1"/>
  <c r="D591" i="6"/>
  <c r="C591" i="6" a="1"/>
  <c r="C591" i="6"/>
  <c r="N590" i="6" a="1"/>
  <c r="N590" i="6"/>
  <c r="S590" i="6"/>
  <c r="R590" i="6" a="1"/>
  <c r="R590" i="6"/>
  <c r="Q590" i="6" a="1"/>
  <c r="Q590" i="6"/>
  <c r="O590" i="6" a="1"/>
  <c r="O590" i="6"/>
  <c r="M590" i="6" a="1"/>
  <c r="M590" i="6"/>
  <c r="J590" i="6" a="1"/>
  <c r="J590" i="6"/>
  <c r="G590" i="6" a="1"/>
  <c r="G590" i="6"/>
  <c r="F590" i="6" a="1"/>
  <c r="F590" i="6"/>
  <c r="E590" i="6" a="1"/>
  <c r="E590" i="6"/>
  <c r="D590" i="6" a="1"/>
  <c r="D590" i="6"/>
  <c r="C590" i="6" a="1"/>
  <c r="C590" i="6"/>
  <c r="N589" i="6" a="1"/>
  <c r="N589" i="6"/>
  <c r="S589" i="6"/>
  <c r="R589" i="6" a="1"/>
  <c r="R589" i="6"/>
  <c r="Q589" i="6" a="1"/>
  <c r="Q589" i="6"/>
  <c r="O589" i="6" a="1"/>
  <c r="O589" i="6"/>
  <c r="M589" i="6" a="1"/>
  <c r="M589" i="6"/>
  <c r="J589" i="6" a="1"/>
  <c r="J589" i="6"/>
  <c r="G589" i="6" a="1"/>
  <c r="G589" i="6"/>
  <c r="F589" i="6" a="1"/>
  <c r="F589" i="6"/>
  <c r="E589" i="6" a="1"/>
  <c r="E589" i="6"/>
  <c r="D589" i="6" a="1"/>
  <c r="D589" i="6"/>
  <c r="C589" i="6" a="1"/>
  <c r="C589" i="6"/>
  <c r="N588" i="6" a="1"/>
  <c r="N588" i="6"/>
  <c r="S588" i="6"/>
  <c r="R588" i="6" a="1"/>
  <c r="R588" i="6"/>
  <c r="Q588" i="6" a="1"/>
  <c r="Q588" i="6"/>
  <c r="O588" i="6" a="1"/>
  <c r="O588" i="6"/>
  <c r="M588" i="6" a="1"/>
  <c r="M588" i="6"/>
  <c r="J588" i="6" a="1"/>
  <c r="J588" i="6"/>
  <c r="G588" i="6" a="1"/>
  <c r="G588" i="6"/>
  <c r="F588" i="6" a="1"/>
  <c r="F588" i="6"/>
  <c r="E588" i="6" a="1"/>
  <c r="E588" i="6"/>
  <c r="D588" i="6" a="1"/>
  <c r="D588" i="6"/>
  <c r="C588" i="6" a="1"/>
  <c r="C588" i="6"/>
  <c r="N587" i="6" a="1"/>
  <c r="N587" i="6"/>
  <c r="S587" i="6"/>
  <c r="R587" i="6" a="1"/>
  <c r="R587" i="6"/>
  <c r="Q587" i="6" a="1"/>
  <c r="Q587" i="6"/>
  <c r="O587" i="6" a="1"/>
  <c r="O587" i="6"/>
  <c r="M587" i="6" a="1"/>
  <c r="M587" i="6"/>
  <c r="J587" i="6" a="1"/>
  <c r="J587" i="6"/>
  <c r="G587" i="6" a="1"/>
  <c r="G587" i="6"/>
  <c r="F587" i="6" a="1"/>
  <c r="F587" i="6"/>
  <c r="E587" i="6" a="1"/>
  <c r="E587" i="6"/>
  <c r="D587" i="6" a="1"/>
  <c r="D587" i="6"/>
  <c r="C587" i="6" a="1"/>
  <c r="C587" i="6"/>
  <c r="N586" i="6" a="1"/>
  <c r="N586" i="6"/>
  <c r="S586" i="6"/>
  <c r="R586" i="6" a="1"/>
  <c r="R586" i="6"/>
  <c r="Q586" i="6" a="1"/>
  <c r="Q586" i="6"/>
  <c r="O586" i="6" a="1"/>
  <c r="O586" i="6"/>
  <c r="M586" i="6" a="1"/>
  <c r="M586" i="6"/>
  <c r="J586" i="6" a="1"/>
  <c r="J586" i="6"/>
  <c r="G586" i="6" a="1"/>
  <c r="G586" i="6"/>
  <c r="F586" i="6" a="1"/>
  <c r="F586" i="6"/>
  <c r="E586" i="6" a="1"/>
  <c r="E586" i="6"/>
  <c r="D586" i="6" a="1"/>
  <c r="D586" i="6"/>
  <c r="C586" i="6" a="1"/>
  <c r="C586" i="6"/>
  <c r="N585" i="6" a="1"/>
  <c r="N585" i="6"/>
  <c r="S585" i="6"/>
  <c r="R585" i="6" a="1"/>
  <c r="R585" i="6"/>
  <c r="Q585" i="6" a="1"/>
  <c r="Q585" i="6"/>
  <c r="O585" i="6" a="1"/>
  <c r="O585" i="6"/>
  <c r="M585" i="6" a="1"/>
  <c r="M585" i="6"/>
  <c r="J585" i="6" a="1"/>
  <c r="J585" i="6"/>
  <c r="G585" i="6" a="1"/>
  <c r="G585" i="6"/>
  <c r="F585" i="6" a="1"/>
  <c r="F585" i="6"/>
  <c r="E585" i="6" a="1"/>
  <c r="E585" i="6"/>
  <c r="D585" i="6" a="1"/>
  <c r="D585" i="6"/>
  <c r="C585" i="6" a="1"/>
  <c r="C585" i="6"/>
  <c r="N584" i="6" a="1"/>
  <c r="N584" i="6"/>
  <c r="S584" i="6"/>
  <c r="R584" i="6" a="1"/>
  <c r="R584" i="6"/>
  <c r="Q584" i="6" a="1"/>
  <c r="Q584" i="6"/>
  <c r="O584" i="6" a="1"/>
  <c r="O584" i="6"/>
  <c r="M584" i="6" a="1"/>
  <c r="M584" i="6"/>
  <c r="J584" i="6" a="1"/>
  <c r="J584" i="6"/>
  <c r="G584" i="6" a="1"/>
  <c r="G584" i="6"/>
  <c r="F584" i="6" a="1"/>
  <c r="F584" i="6"/>
  <c r="E584" i="6" a="1"/>
  <c r="E584" i="6"/>
  <c r="D584" i="6" a="1"/>
  <c r="D584" i="6"/>
  <c r="C584" i="6" a="1"/>
  <c r="C584" i="6"/>
  <c r="N583" i="6" a="1"/>
  <c r="N583" i="6"/>
  <c r="S583" i="6"/>
  <c r="R583" i="6" a="1"/>
  <c r="R583" i="6"/>
  <c r="Q583" i="6" a="1"/>
  <c r="Q583" i="6"/>
  <c r="O583" i="6" a="1"/>
  <c r="O583" i="6"/>
  <c r="M583" i="6" a="1"/>
  <c r="M583" i="6"/>
  <c r="J583" i="6" a="1"/>
  <c r="J583" i="6"/>
  <c r="G583" i="6" a="1"/>
  <c r="G583" i="6"/>
  <c r="F583" i="6" a="1"/>
  <c r="F583" i="6"/>
  <c r="E583" i="6" a="1"/>
  <c r="E583" i="6"/>
  <c r="D583" i="6" a="1"/>
  <c r="D583" i="6"/>
  <c r="C583" i="6" a="1"/>
  <c r="C583" i="6"/>
  <c r="N582" i="6" a="1"/>
  <c r="N582" i="6"/>
  <c r="S582" i="6"/>
  <c r="R582" i="6" a="1"/>
  <c r="R582" i="6"/>
  <c r="Q582" i="6" a="1"/>
  <c r="Q582" i="6"/>
  <c r="O582" i="6" a="1"/>
  <c r="O582" i="6"/>
  <c r="M582" i="6" a="1"/>
  <c r="M582" i="6"/>
  <c r="J582" i="6" a="1"/>
  <c r="J582" i="6"/>
  <c r="G582" i="6" a="1"/>
  <c r="G582" i="6"/>
  <c r="F582" i="6" a="1"/>
  <c r="F582" i="6"/>
  <c r="E582" i="6" a="1"/>
  <c r="E582" i="6"/>
  <c r="D582" i="6" a="1"/>
  <c r="D582" i="6"/>
  <c r="C582" i="6" a="1"/>
  <c r="C582" i="6"/>
  <c r="N581" i="6" a="1"/>
  <c r="N581" i="6"/>
  <c r="S581" i="6"/>
  <c r="R581" i="6" a="1"/>
  <c r="R581" i="6"/>
  <c r="Q581" i="6" a="1"/>
  <c r="Q581" i="6"/>
  <c r="O581" i="6" a="1"/>
  <c r="O581" i="6"/>
  <c r="M581" i="6" a="1"/>
  <c r="M581" i="6"/>
  <c r="J581" i="6" a="1"/>
  <c r="J581" i="6"/>
  <c r="G581" i="6" a="1"/>
  <c r="G581" i="6"/>
  <c r="F581" i="6" a="1"/>
  <c r="F581" i="6"/>
  <c r="E581" i="6" a="1"/>
  <c r="E581" i="6"/>
  <c r="D581" i="6" a="1"/>
  <c r="D581" i="6"/>
  <c r="C581" i="6" a="1"/>
  <c r="C581" i="6"/>
  <c r="N580" i="6" a="1"/>
  <c r="N580" i="6"/>
  <c r="S580" i="6"/>
  <c r="R580" i="6" a="1"/>
  <c r="R580" i="6"/>
  <c r="Q580" i="6" a="1"/>
  <c r="Q580" i="6"/>
  <c r="O580" i="6" a="1"/>
  <c r="O580" i="6"/>
  <c r="M580" i="6" a="1"/>
  <c r="M580" i="6"/>
  <c r="J580" i="6" a="1"/>
  <c r="J580" i="6"/>
  <c r="G580" i="6" a="1"/>
  <c r="G580" i="6"/>
  <c r="F580" i="6" a="1"/>
  <c r="F580" i="6"/>
  <c r="E580" i="6" a="1"/>
  <c r="E580" i="6"/>
  <c r="D580" i="6" a="1"/>
  <c r="D580" i="6"/>
  <c r="C580" i="6" a="1"/>
  <c r="C580" i="6"/>
  <c r="N579" i="6" a="1"/>
  <c r="N579" i="6"/>
  <c r="S579" i="6"/>
  <c r="R579" i="6" a="1"/>
  <c r="R579" i="6"/>
  <c r="Q579" i="6" a="1"/>
  <c r="Q579" i="6"/>
  <c r="O579" i="6" a="1"/>
  <c r="O579" i="6"/>
  <c r="M579" i="6" a="1"/>
  <c r="M579" i="6"/>
  <c r="J579" i="6" a="1"/>
  <c r="J579" i="6"/>
  <c r="G579" i="6" a="1"/>
  <c r="G579" i="6"/>
  <c r="F579" i="6" a="1"/>
  <c r="F579" i="6"/>
  <c r="E579" i="6" a="1"/>
  <c r="E579" i="6"/>
  <c r="D579" i="6" a="1"/>
  <c r="D579" i="6"/>
  <c r="C579" i="6" a="1"/>
  <c r="C579" i="6"/>
  <c r="S578" i="6"/>
  <c r="S577" i="6"/>
  <c r="S576" i="6"/>
  <c r="S575" i="6"/>
  <c r="S574" i="6"/>
  <c r="S573" i="6"/>
  <c r="S572" i="6"/>
  <c r="S571" i="6"/>
  <c r="S570" i="6"/>
  <c r="S569" i="6"/>
  <c r="S568" i="6"/>
  <c r="S567" i="6"/>
  <c r="S566" i="6"/>
  <c r="O565" i="6" a="1"/>
  <c r="O565" i="6"/>
  <c r="N565" i="6" a="1"/>
  <c r="N565" i="6"/>
  <c r="S565" i="6"/>
  <c r="R565" i="6" a="1"/>
  <c r="R565" i="6"/>
  <c r="Q565" i="6" a="1"/>
  <c r="Q565" i="6"/>
  <c r="M565" i="6" a="1"/>
  <c r="M565" i="6"/>
  <c r="J565" i="6" a="1"/>
  <c r="J565" i="6"/>
  <c r="G565" i="6" a="1"/>
  <c r="G565" i="6"/>
  <c r="F565" i="6" a="1"/>
  <c r="F565" i="6"/>
  <c r="E565" i="6" a="1"/>
  <c r="E565" i="6"/>
  <c r="D565" i="6" a="1"/>
  <c r="D565" i="6"/>
  <c r="C565" i="6" a="1"/>
  <c r="C565" i="6"/>
  <c r="O564" i="6" a="1"/>
  <c r="O564" i="6"/>
  <c r="N564" i="6" a="1"/>
  <c r="N564" i="6"/>
  <c r="S564" i="6"/>
  <c r="R564" i="6" a="1"/>
  <c r="R564" i="6"/>
  <c r="Q564" i="6" a="1"/>
  <c r="Q564" i="6"/>
  <c r="M564" i="6" a="1"/>
  <c r="M564" i="6"/>
  <c r="J564" i="6" a="1"/>
  <c r="J564" i="6"/>
  <c r="G564" i="6" a="1"/>
  <c r="G564" i="6"/>
  <c r="F564" i="6" a="1"/>
  <c r="F564" i="6"/>
  <c r="E564" i="6" a="1"/>
  <c r="E564" i="6"/>
  <c r="D564" i="6" a="1"/>
  <c r="D564" i="6"/>
  <c r="C564" i="6" a="1"/>
  <c r="C564" i="6"/>
  <c r="O563" i="6" a="1"/>
  <c r="O563" i="6"/>
  <c r="N563" i="6" a="1"/>
  <c r="N563" i="6"/>
  <c r="S563" i="6"/>
  <c r="R563" i="6" a="1"/>
  <c r="R563" i="6"/>
  <c r="Q563" i="6" a="1"/>
  <c r="Q563" i="6"/>
  <c r="M563" i="6" a="1"/>
  <c r="M563" i="6"/>
  <c r="J563" i="6" a="1"/>
  <c r="J563" i="6"/>
  <c r="G563" i="6" a="1"/>
  <c r="G563" i="6"/>
  <c r="F563" i="6" a="1"/>
  <c r="F563" i="6"/>
  <c r="E563" i="6" a="1"/>
  <c r="E563" i="6"/>
  <c r="D563" i="6" a="1"/>
  <c r="D563" i="6"/>
  <c r="C563" i="6" a="1"/>
  <c r="C563" i="6"/>
  <c r="O562" i="6" a="1"/>
  <c r="O562" i="6"/>
  <c r="N562" i="6" a="1"/>
  <c r="N562" i="6"/>
  <c r="S562" i="6"/>
  <c r="R562" i="6" a="1"/>
  <c r="R562" i="6"/>
  <c r="Q562" i="6" a="1"/>
  <c r="Q562" i="6"/>
  <c r="M562" i="6" a="1"/>
  <c r="M562" i="6"/>
  <c r="J562" i="6" a="1"/>
  <c r="J562" i="6"/>
  <c r="G562" i="6" a="1"/>
  <c r="G562" i="6"/>
  <c r="F562" i="6" a="1"/>
  <c r="F562" i="6"/>
  <c r="E562" i="6" a="1"/>
  <c r="E562" i="6"/>
  <c r="D562" i="6" a="1"/>
  <c r="D562" i="6"/>
  <c r="C562" i="6" a="1"/>
  <c r="C562" i="6"/>
  <c r="O561" i="6" a="1"/>
  <c r="O561" i="6"/>
  <c r="N561" i="6" a="1"/>
  <c r="N561" i="6"/>
  <c r="S561" i="6"/>
  <c r="R561" i="6" a="1"/>
  <c r="R561" i="6"/>
  <c r="Q561" i="6" a="1"/>
  <c r="Q561" i="6"/>
  <c r="M561" i="6" a="1"/>
  <c r="M561" i="6"/>
  <c r="J561" i="6" a="1"/>
  <c r="J561" i="6"/>
  <c r="G561" i="6" a="1"/>
  <c r="G561" i="6"/>
  <c r="F561" i="6" a="1"/>
  <c r="F561" i="6"/>
  <c r="E561" i="6" a="1"/>
  <c r="E561" i="6"/>
  <c r="D561" i="6" a="1"/>
  <c r="D561" i="6"/>
  <c r="C561" i="6" a="1"/>
  <c r="C561" i="6"/>
  <c r="O560" i="6" a="1"/>
  <c r="O560" i="6"/>
  <c r="N560" i="6" a="1"/>
  <c r="N560" i="6"/>
  <c r="S560" i="6"/>
  <c r="R560" i="6" a="1"/>
  <c r="R560" i="6"/>
  <c r="Q560" i="6" a="1"/>
  <c r="Q560" i="6"/>
  <c r="M560" i="6" a="1"/>
  <c r="M560" i="6"/>
  <c r="J560" i="6" a="1"/>
  <c r="J560" i="6"/>
  <c r="G560" i="6" a="1"/>
  <c r="G560" i="6"/>
  <c r="F560" i="6" a="1"/>
  <c r="F560" i="6"/>
  <c r="E560" i="6" a="1"/>
  <c r="E560" i="6"/>
  <c r="D560" i="6" a="1"/>
  <c r="D560" i="6"/>
  <c r="C560" i="6" a="1"/>
  <c r="C560" i="6"/>
  <c r="O559" i="6" a="1"/>
  <c r="O559" i="6"/>
  <c r="N559" i="6" a="1"/>
  <c r="N559" i="6"/>
  <c r="S559" i="6"/>
  <c r="R559" i="6" a="1"/>
  <c r="R559" i="6"/>
  <c r="Q559" i="6" a="1"/>
  <c r="Q559" i="6"/>
  <c r="M559" i="6" a="1"/>
  <c r="M559" i="6"/>
  <c r="J559" i="6" a="1"/>
  <c r="J559" i="6"/>
  <c r="G559" i="6" a="1"/>
  <c r="G559" i="6"/>
  <c r="F559" i="6" a="1"/>
  <c r="F559" i="6"/>
  <c r="E559" i="6" a="1"/>
  <c r="E559" i="6"/>
  <c r="D559" i="6" a="1"/>
  <c r="D559" i="6"/>
  <c r="C559" i="6" a="1"/>
  <c r="C559" i="6"/>
  <c r="O558" i="6" a="1"/>
  <c r="O558" i="6"/>
  <c r="N558" i="6" a="1"/>
  <c r="N558" i="6"/>
  <c r="S558" i="6"/>
  <c r="R558" i="6" a="1"/>
  <c r="R558" i="6"/>
  <c r="Q558" i="6" a="1"/>
  <c r="Q558" i="6"/>
  <c r="M558" i="6" a="1"/>
  <c r="M558" i="6"/>
  <c r="J558" i="6" a="1"/>
  <c r="J558" i="6"/>
  <c r="G558" i="6" a="1"/>
  <c r="G558" i="6"/>
  <c r="F558" i="6" a="1"/>
  <c r="F558" i="6"/>
  <c r="E558" i="6" a="1"/>
  <c r="E558" i="6"/>
  <c r="D558" i="6" a="1"/>
  <c r="D558" i="6"/>
  <c r="C558" i="6" a="1"/>
  <c r="C558" i="6"/>
  <c r="O557" i="6" a="1"/>
  <c r="O557" i="6"/>
  <c r="N557" i="6" a="1"/>
  <c r="N557" i="6"/>
  <c r="S557" i="6"/>
  <c r="R557" i="6" a="1"/>
  <c r="R557" i="6"/>
  <c r="Q557" i="6" a="1"/>
  <c r="Q557" i="6"/>
  <c r="M557" i="6" a="1"/>
  <c r="M557" i="6"/>
  <c r="J557" i="6" a="1"/>
  <c r="J557" i="6"/>
  <c r="G557" i="6" a="1"/>
  <c r="G557" i="6"/>
  <c r="F557" i="6" a="1"/>
  <c r="F557" i="6"/>
  <c r="E557" i="6" a="1"/>
  <c r="E557" i="6"/>
  <c r="D557" i="6" a="1"/>
  <c r="D557" i="6"/>
  <c r="C557" i="6" a="1"/>
  <c r="C557" i="6"/>
  <c r="O556" i="6" a="1"/>
  <c r="O556" i="6"/>
  <c r="N556" i="6" a="1"/>
  <c r="N556" i="6"/>
  <c r="S556" i="6"/>
  <c r="R556" i="6" a="1"/>
  <c r="R556" i="6"/>
  <c r="Q556" i="6" a="1"/>
  <c r="Q556" i="6"/>
  <c r="M556" i="6" a="1"/>
  <c r="M556" i="6"/>
  <c r="J556" i="6" a="1"/>
  <c r="J556" i="6"/>
  <c r="G556" i="6" a="1"/>
  <c r="G556" i="6"/>
  <c r="F556" i="6" a="1"/>
  <c r="F556" i="6"/>
  <c r="E556" i="6" a="1"/>
  <c r="E556" i="6"/>
  <c r="D556" i="6" a="1"/>
  <c r="D556" i="6"/>
  <c r="C556" i="6" a="1"/>
  <c r="C556" i="6"/>
  <c r="O555" i="6" a="1"/>
  <c r="O555" i="6"/>
  <c r="N555" i="6" a="1"/>
  <c r="N555" i="6"/>
  <c r="S555" i="6"/>
  <c r="R555" i="6" a="1"/>
  <c r="R555" i="6"/>
  <c r="Q555" i="6" a="1"/>
  <c r="Q555" i="6"/>
  <c r="M555" i="6" a="1"/>
  <c r="M555" i="6"/>
  <c r="J555" i="6" a="1"/>
  <c r="J555" i="6"/>
  <c r="G555" i="6" a="1"/>
  <c r="G555" i="6"/>
  <c r="F555" i="6" a="1"/>
  <c r="F555" i="6"/>
  <c r="E555" i="6" a="1"/>
  <c r="E555" i="6"/>
  <c r="D555" i="6" a="1"/>
  <c r="D555" i="6"/>
  <c r="C555" i="6" a="1"/>
  <c r="C555" i="6"/>
  <c r="O554" i="6" a="1"/>
  <c r="O554" i="6"/>
  <c r="N554" i="6" a="1"/>
  <c r="N554" i="6"/>
  <c r="S554" i="6"/>
  <c r="R554" i="6" a="1"/>
  <c r="R554" i="6"/>
  <c r="Q554" i="6" a="1"/>
  <c r="Q554" i="6"/>
  <c r="M554" i="6" a="1"/>
  <c r="M554" i="6"/>
  <c r="J554" i="6" a="1"/>
  <c r="J554" i="6"/>
  <c r="G554" i="6" a="1"/>
  <c r="G554" i="6"/>
  <c r="F554" i="6" a="1"/>
  <c r="F554" i="6"/>
  <c r="E554" i="6" a="1"/>
  <c r="E554" i="6"/>
  <c r="D554" i="6" a="1"/>
  <c r="D554" i="6"/>
  <c r="C554" i="6" a="1"/>
  <c r="C554" i="6"/>
  <c r="O553" i="6" a="1"/>
  <c r="O553" i="6"/>
  <c r="N553" i="6" a="1"/>
  <c r="N553" i="6"/>
  <c r="S553" i="6"/>
  <c r="R553" i="6" a="1"/>
  <c r="R553" i="6"/>
  <c r="Q553" i="6" a="1"/>
  <c r="Q553" i="6"/>
  <c r="M553" i="6" a="1"/>
  <c r="M553" i="6"/>
  <c r="J553" i="6" a="1"/>
  <c r="J553" i="6"/>
  <c r="G553" i="6" a="1"/>
  <c r="G553" i="6"/>
  <c r="F553" i="6" a="1"/>
  <c r="F553" i="6"/>
  <c r="E553" i="6" a="1"/>
  <c r="E553" i="6"/>
  <c r="D553" i="6" a="1"/>
  <c r="D553" i="6"/>
  <c r="C553" i="6" a="1"/>
  <c r="C553" i="6"/>
  <c r="O552" i="6" a="1"/>
  <c r="O552" i="6"/>
  <c r="N552" i="6" a="1"/>
  <c r="N552" i="6"/>
  <c r="S552" i="6"/>
  <c r="R552" i="6" a="1"/>
  <c r="R552" i="6"/>
  <c r="Q552" i="6" a="1"/>
  <c r="Q552" i="6"/>
  <c r="M552" i="6" a="1"/>
  <c r="M552" i="6"/>
  <c r="J552" i="6" a="1"/>
  <c r="J552" i="6"/>
  <c r="G552" i="6" a="1"/>
  <c r="G552" i="6"/>
  <c r="F552" i="6" a="1"/>
  <c r="F552" i="6"/>
  <c r="E552" i="6" a="1"/>
  <c r="E552" i="6"/>
  <c r="D552" i="6" a="1"/>
  <c r="D552" i="6"/>
  <c r="C552" i="6" a="1"/>
  <c r="C552" i="6"/>
  <c r="O551" i="6" a="1"/>
  <c r="O551" i="6"/>
  <c r="N551" i="6" a="1"/>
  <c r="N551" i="6"/>
  <c r="S551" i="6"/>
  <c r="R551" i="6" a="1"/>
  <c r="R551" i="6"/>
  <c r="Q551" i="6" a="1"/>
  <c r="Q551" i="6"/>
  <c r="M551" i="6" a="1"/>
  <c r="M551" i="6"/>
  <c r="J551" i="6" a="1"/>
  <c r="J551" i="6"/>
  <c r="G551" i="6" a="1"/>
  <c r="G551" i="6"/>
  <c r="F551" i="6" a="1"/>
  <c r="F551" i="6"/>
  <c r="E551" i="6" a="1"/>
  <c r="E551" i="6"/>
  <c r="D551" i="6" a="1"/>
  <c r="D551" i="6"/>
  <c r="C551" i="6" a="1"/>
  <c r="C551" i="6"/>
  <c r="O550" i="6" a="1"/>
  <c r="O550" i="6"/>
  <c r="N550" i="6" a="1"/>
  <c r="N550" i="6"/>
  <c r="S550" i="6"/>
  <c r="R550" i="6" a="1"/>
  <c r="R550" i="6"/>
  <c r="Q550" i="6" a="1"/>
  <c r="Q550" i="6"/>
  <c r="M550" i="6" a="1"/>
  <c r="M550" i="6"/>
  <c r="J550" i="6" a="1"/>
  <c r="J550" i="6"/>
  <c r="G550" i="6" a="1"/>
  <c r="G550" i="6"/>
  <c r="F550" i="6" a="1"/>
  <c r="F550" i="6"/>
  <c r="E550" i="6" a="1"/>
  <c r="E550" i="6"/>
  <c r="D550" i="6" a="1"/>
  <c r="D550" i="6"/>
  <c r="C550" i="6" a="1"/>
  <c r="C550" i="6"/>
  <c r="O549" i="6" a="1"/>
  <c r="O549" i="6"/>
  <c r="N549" i="6" a="1"/>
  <c r="N549" i="6"/>
  <c r="S549" i="6"/>
  <c r="R549" i="6" a="1"/>
  <c r="R549" i="6"/>
  <c r="Q549" i="6" a="1"/>
  <c r="Q549" i="6"/>
  <c r="M549" i="6" a="1"/>
  <c r="M549" i="6"/>
  <c r="J549" i="6" a="1"/>
  <c r="J549" i="6"/>
  <c r="G549" i="6" a="1"/>
  <c r="G549" i="6"/>
  <c r="F549" i="6" a="1"/>
  <c r="F549" i="6"/>
  <c r="E549" i="6" a="1"/>
  <c r="E549" i="6"/>
  <c r="D549" i="6" a="1"/>
  <c r="D549" i="6"/>
  <c r="C549" i="6" a="1"/>
  <c r="C549" i="6"/>
  <c r="O548" i="6" a="1"/>
  <c r="O548" i="6"/>
  <c r="N548" i="6" a="1"/>
  <c r="N548" i="6"/>
  <c r="S548" i="6"/>
  <c r="R548" i="6" a="1"/>
  <c r="R548" i="6"/>
  <c r="Q548" i="6" a="1"/>
  <c r="Q548" i="6"/>
  <c r="M548" i="6" a="1"/>
  <c r="M548" i="6"/>
  <c r="J548" i="6" a="1"/>
  <c r="J548" i="6"/>
  <c r="G548" i="6" a="1"/>
  <c r="G548" i="6"/>
  <c r="F548" i="6" a="1"/>
  <c r="F548" i="6"/>
  <c r="E548" i="6" a="1"/>
  <c r="E548" i="6"/>
  <c r="D548" i="6" a="1"/>
  <c r="D548" i="6"/>
  <c r="C548" i="6" a="1"/>
  <c r="C548" i="6"/>
  <c r="O547" i="6" a="1"/>
  <c r="O547" i="6"/>
  <c r="N547" i="6" a="1"/>
  <c r="N547" i="6"/>
  <c r="S547" i="6"/>
  <c r="R547" i="6" a="1"/>
  <c r="R547" i="6"/>
  <c r="Q547" i="6" a="1"/>
  <c r="Q547" i="6"/>
  <c r="M547" i="6" a="1"/>
  <c r="M547" i="6"/>
  <c r="J547" i="6" a="1"/>
  <c r="J547" i="6"/>
  <c r="G547" i="6" a="1"/>
  <c r="G547" i="6"/>
  <c r="F547" i="6" a="1"/>
  <c r="F547" i="6"/>
  <c r="E547" i="6" a="1"/>
  <c r="E547" i="6"/>
  <c r="D547" i="6" a="1"/>
  <c r="D547" i="6"/>
  <c r="C547" i="6" a="1"/>
  <c r="C547" i="6"/>
  <c r="O546" i="6" a="1"/>
  <c r="O546" i="6"/>
  <c r="N546" i="6" a="1"/>
  <c r="N546" i="6"/>
  <c r="S546" i="6"/>
  <c r="R546" i="6" a="1"/>
  <c r="R546" i="6"/>
  <c r="Q546" i="6" a="1"/>
  <c r="Q546" i="6"/>
  <c r="M546" i="6" a="1"/>
  <c r="M546" i="6"/>
  <c r="J546" i="6" a="1"/>
  <c r="J546" i="6"/>
  <c r="G546" i="6" a="1"/>
  <c r="G546" i="6"/>
  <c r="F546" i="6" a="1"/>
  <c r="F546" i="6"/>
  <c r="E546" i="6" a="1"/>
  <c r="E546" i="6"/>
  <c r="D546" i="6" a="1"/>
  <c r="D546" i="6"/>
  <c r="C546" i="6" a="1"/>
  <c r="C546" i="6"/>
  <c r="O545" i="6" a="1"/>
  <c r="O545" i="6"/>
  <c r="N545" i="6" a="1"/>
  <c r="N545" i="6"/>
  <c r="S545" i="6"/>
  <c r="R545" i="6" a="1"/>
  <c r="R545" i="6"/>
  <c r="Q545" i="6" a="1"/>
  <c r="Q545" i="6"/>
  <c r="M545" i="6" a="1"/>
  <c r="M545" i="6"/>
  <c r="J545" i="6" a="1"/>
  <c r="J545" i="6"/>
  <c r="G545" i="6" a="1"/>
  <c r="G545" i="6"/>
  <c r="F545" i="6" a="1"/>
  <c r="F545" i="6"/>
  <c r="E545" i="6" a="1"/>
  <c r="E545" i="6"/>
  <c r="D545" i="6" a="1"/>
  <c r="D545" i="6"/>
  <c r="C545" i="6" a="1"/>
  <c r="C545" i="6"/>
  <c r="O544" i="6" a="1"/>
  <c r="O544" i="6"/>
  <c r="N544" i="6" a="1"/>
  <c r="N544" i="6"/>
  <c r="S544" i="6"/>
  <c r="R544" i="6" a="1"/>
  <c r="R544" i="6"/>
  <c r="Q544" i="6" a="1"/>
  <c r="Q544" i="6"/>
  <c r="M544" i="6" a="1"/>
  <c r="M544" i="6"/>
  <c r="J544" i="6" a="1"/>
  <c r="J544" i="6"/>
  <c r="G544" i="6" a="1"/>
  <c r="G544" i="6"/>
  <c r="F544" i="6" a="1"/>
  <c r="F544" i="6"/>
  <c r="E544" i="6" a="1"/>
  <c r="E544" i="6"/>
  <c r="D544" i="6" a="1"/>
  <c r="D544" i="6"/>
  <c r="C544" i="6" a="1"/>
  <c r="C544" i="6"/>
  <c r="O543" i="6" a="1"/>
  <c r="O543" i="6"/>
  <c r="N543" i="6" a="1"/>
  <c r="N543" i="6"/>
  <c r="S543" i="6"/>
  <c r="R543" i="6" a="1"/>
  <c r="R543" i="6"/>
  <c r="Q543" i="6" a="1"/>
  <c r="Q543" i="6"/>
  <c r="M543" i="6" a="1"/>
  <c r="M543" i="6"/>
  <c r="J543" i="6" a="1"/>
  <c r="J543" i="6"/>
  <c r="G543" i="6" a="1"/>
  <c r="G543" i="6"/>
  <c r="F543" i="6" a="1"/>
  <c r="F543" i="6"/>
  <c r="E543" i="6" a="1"/>
  <c r="E543" i="6"/>
  <c r="D543" i="6" a="1"/>
  <c r="D543" i="6"/>
  <c r="C543" i="6" a="1"/>
  <c r="C543" i="6"/>
  <c r="O542" i="6" a="1"/>
  <c r="O542" i="6"/>
  <c r="N542" i="6" a="1"/>
  <c r="N542" i="6"/>
  <c r="S542" i="6"/>
  <c r="R542" i="6" a="1"/>
  <c r="R542" i="6"/>
  <c r="Q542" i="6" a="1"/>
  <c r="Q542" i="6"/>
  <c r="M542" i="6" a="1"/>
  <c r="M542" i="6"/>
  <c r="J542" i="6" a="1"/>
  <c r="J542" i="6"/>
  <c r="G542" i="6" a="1"/>
  <c r="G542" i="6"/>
  <c r="F542" i="6" a="1"/>
  <c r="F542" i="6"/>
  <c r="E542" i="6" a="1"/>
  <c r="E542" i="6"/>
  <c r="D542" i="6" a="1"/>
  <c r="D542" i="6"/>
  <c r="C542" i="6" a="1"/>
  <c r="C542" i="6"/>
  <c r="O541" i="6" a="1"/>
  <c r="O541" i="6"/>
  <c r="N541" i="6" a="1"/>
  <c r="N541" i="6"/>
  <c r="S541" i="6"/>
  <c r="R541" i="6" a="1"/>
  <c r="R541" i="6"/>
  <c r="Q541" i="6" a="1"/>
  <c r="Q541" i="6"/>
  <c r="M541" i="6" a="1"/>
  <c r="M541" i="6"/>
  <c r="J541" i="6" a="1"/>
  <c r="J541" i="6"/>
  <c r="G541" i="6" a="1"/>
  <c r="G541" i="6"/>
  <c r="F541" i="6" a="1"/>
  <c r="F541" i="6"/>
  <c r="E541" i="6" a="1"/>
  <c r="E541" i="6"/>
  <c r="D541" i="6" a="1"/>
  <c r="D541" i="6"/>
  <c r="C541" i="6" a="1"/>
  <c r="C541" i="6"/>
  <c r="O540" i="6" a="1"/>
  <c r="O540" i="6"/>
  <c r="N540" i="6" a="1"/>
  <c r="N540" i="6"/>
  <c r="S540" i="6"/>
  <c r="R540" i="6" a="1"/>
  <c r="R540" i="6"/>
  <c r="Q540" i="6" a="1"/>
  <c r="Q540" i="6"/>
  <c r="M540" i="6" a="1"/>
  <c r="M540" i="6"/>
  <c r="J540" i="6" a="1"/>
  <c r="J540" i="6"/>
  <c r="G540" i="6" a="1"/>
  <c r="G540" i="6"/>
  <c r="F540" i="6" a="1"/>
  <c r="F540" i="6"/>
  <c r="E540" i="6" a="1"/>
  <c r="E540" i="6"/>
  <c r="D540" i="6" a="1"/>
  <c r="D540" i="6"/>
  <c r="C540" i="6" a="1"/>
  <c r="C540" i="6"/>
  <c r="O539" i="6" a="1"/>
  <c r="O539" i="6"/>
  <c r="N539" i="6" a="1"/>
  <c r="N539" i="6"/>
  <c r="S539" i="6"/>
  <c r="R539" i="6" a="1"/>
  <c r="R539" i="6"/>
  <c r="Q539" i="6" a="1"/>
  <c r="Q539" i="6"/>
  <c r="M539" i="6" a="1"/>
  <c r="M539" i="6"/>
  <c r="J539" i="6" a="1"/>
  <c r="J539" i="6"/>
  <c r="G539" i="6" a="1"/>
  <c r="G539" i="6"/>
  <c r="F539" i="6" a="1"/>
  <c r="F539" i="6"/>
  <c r="E539" i="6" a="1"/>
  <c r="E539" i="6"/>
  <c r="D539" i="6" a="1"/>
  <c r="D539" i="6"/>
  <c r="C539" i="6" a="1"/>
  <c r="C539" i="6"/>
  <c r="O538" i="6" a="1"/>
  <c r="O538" i="6"/>
  <c r="N538" i="6" a="1"/>
  <c r="N538" i="6"/>
  <c r="S538" i="6"/>
  <c r="R538" i="6" a="1"/>
  <c r="R538" i="6"/>
  <c r="Q538" i="6" a="1"/>
  <c r="Q538" i="6"/>
  <c r="M538" i="6" a="1"/>
  <c r="M538" i="6"/>
  <c r="J538" i="6" a="1"/>
  <c r="J538" i="6"/>
  <c r="G538" i="6" a="1"/>
  <c r="G538" i="6"/>
  <c r="F538" i="6" a="1"/>
  <c r="F538" i="6"/>
  <c r="E538" i="6" a="1"/>
  <c r="E538" i="6"/>
  <c r="D538" i="6" a="1"/>
  <c r="D538" i="6"/>
  <c r="C538" i="6" a="1"/>
  <c r="C538" i="6"/>
  <c r="O537" i="6" a="1"/>
  <c r="O537" i="6"/>
  <c r="N537" i="6" a="1"/>
  <c r="N537" i="6"/>
  <c r="S537" i="6"/>
  <c r="R537" i="6" a="1"/>
  <c r="R537" i="6"/>
  <c r="Q537" i="6" a="1"/>
  <c r="Q537" i="6"/>
  <c r="M537" i="6" a="1"/>
  <c r="M537" i="6"/>
  <c r="J537" i="6" a="1"/>
  <c r="J537" i="6"/>
  <c r="G537" i="6" a="1"/>
  <c r="G537" i="6"/>
  <c r="F537" i="6" a="1"/>
  <c r="F537" i="6"/>
  <c r="E537" i="6" a="1"/>
  <c r="E537" i="6"/>
  <c r="D537" i="6" a="1"/>
  <c r="D537" i="6"/>
  <c r="C537" i="6" a="1"/>
  <c r="C537" i="6"/>
  <c r="O536" i="6" a="1"/>
  <c r="O536" i="6"/>
  <c r="N536" i="6" a="1"/>
  <c r="N536" i="6"/>
  <c r="S536" i="6"/>
  <c r="R536" i="6" a="1"/>
  <c r="R536" i="6"/>
  <c r="Q536" i="6" a="1"/>
  <c r="Q536" i="6"/>
  <c r="M536" i="6" a="1"/>
  <c r="M536" i="6"/>
  <c r="J536" i="6" a="1"/>
  <c r="J536" i="6"/>
  <c r="G536" i="6" a="1"/>
  <c r="G536" i="6"/>
  <c r="F536" i="6" a="1"/>
  <c r="F536" i="6"/>
  <c r="E536" i="6" a="1"/>
  <c r="E536" i="6"/>
  <c r="D536" i="6" a="1"/>
  <c r="D536" i="6"/>
  <c r="C536" i="6" a="1"/>
  <c r="C536" i="6"/>
  <c r="O535" i="6" a="1"/>
  <c r="O535" i="6"/>
  <c r="N535" i="6" a="1"/>
  <c r="N535" i="6"/>
  <c r="S535" i="6"/>
  <c r="R535" i="6" a="1"/>
  <c r="R535" i="6"/>
  <c r="Q535" i="6" a="1"/>
  <c r="Q535" i="6"/>
  <c r="M535" i="6" a="1"/>
  <c r="M535" i="6"/>
  <c r="J535" i="6" a="1"/>
  <c r="J535" i="6"/>
  <c r="G535" i="6" a="1"/>
  <c r="G535" i="6"/>
  <c r="F535" i="6" a="1"/>
  <c r="F535" i="6"/>
  <c r="E535" i="6" a="1"/>
  <c r="E535" i="6"/>
  <c r="D535" i="6" a="1"/>
  <c r="D535" i="6"/>
  <c r="C535" i="6" a="1"/>
  <c r="C535" i="6"/>
  <c r="O534" i="6" a="1"/>
  <c r="O534" i="6"/>
  <c r="N534" i="6" a="1"/>
  <c r="N534" i="6"/>
  <c r="S534" i="6"/>
  <c r="R534" i="6" a="1"/>
  <c r="R534" i="6"/>
  <c r="Q534" i="6" a="1"/>
  <c r="Q534" i="6"/>
  <c r="M534" i="6" a="1"/>
  <c r="M534" i="6"/>
  <c r="J534" i="6" a="1"/>
  <c r="J534" i="6"/>
  <c r="G534" i="6" a="1"/>
  <c r="G534" i="6"/>
  <c r="F534" i="6" a="1"/>
  <c r="F534" i="6"/>
  <c r="E534" i="6" a="1"/>
  <c r="E534" i="6"/>
  <c r="D534" i="6" a="1"/>
  <c r="D534" i="6"/>
  <c r="C534" i="6" a="1"/>
  <c r="C534" i="6"/>
  <c r="O533" i="6" a="1"/>
  <c r="O533" i="6"/>
  <c r="N533" i="6" a="1"/>
  <c r="N533" i="6"/>
  <c r="S533" i="6"/>
  <c r="R533" i="6" a="1"/>
  <c r="R533" i="6"/>
  <c r="Q533" i="6" a="1"/>
  <c r="Q533" i="6"/>
  <c r="M533" i="6" a="1"/>
  <c r="M533" i="6"/>
  <c r="J533" i="6" a="1"/>
  <c r="J533" i="6"/>
  <c r="G533" i="6" a="1"/>
  <c r="G533" i="6"/>
  <c r="F533" i="6" a="1"/>
  <c r="F533" i="6"/>
  <c r="E533" i="6" a="1"/>
  <c r="E533" i="6"/>
  <c r="D533" i="6" a="1"/>
  <c r="D533" i="6"/>
  <c r="C533" i="6" a="1"/>
  <c r="C533" i="6"/>
  <c r="O532" i="6" a="1"/>
  <c r="O532" i="6"/>
  <c r="N532" i="6" a="1"/>
  <c r="N532" i="6"/>
  <c r="S532" i="6"/>
  <c r="R532" i="6" a="1"/>
  <c r="R532" i="6"/>
  <c r="Q532" i="6" a="1"/>
  <c r="Q532" i="6"/>
  <c r="M532" i="6" a="1"/>
  <c r="M532" i="6"/>
  <c r="J532" i="6" a="1"/>
  <c r="J532" i="6"/>
  <c r="G532" i="6" a="1"/>
  <c r="G532" i="6"/>
  <c r="F532" i="6" a="1"/>
  <c r="F532" i="6"/>
  <c r="E532" i="6" a="1"/>
  <c r="E532" i="6"/>
  <c r="D532" i="6" a="1"/>
  <c r="D532" i="6"/>
  <c r="C532" i="6" a="1"/>
  <c r="C532" i="6"/>
  <c r="O531" i="6" a="1"/>
  <c r="O531" i="6"/>
  <c r="N531" i="6" a="1"/>
  <c r="N531" i="6"/>
  <c r="S531" i="6"/>
  <c r="R531" i="6" a="1"/>
  <c r="R531" i="6"/>
  <c r="Q531" i="6" a="1"/>
  <c r="Q531" i="6"/>
  <c r="M531" i="6" a="1"/>
  <c r="M531" i="6"/>
  <c r="J531" i="6" a="1"/>
  <c r="J531" i="6"/>
  <c r="G531" i="6" a="1"/>
  <c r="G531" i="6"/>
  <c r="F531" i="6" a="1"/>
  <c r="F531" i="6"/>
  <c r="E531" i="6" a="1"/>
  <c r="E531" i="6"/>
  <c r="D531" i="6" a="1"/>
  <c r="D531" i="6"/>
  <c r="C531" i="6" a="1"/>
  <c r="C531" i="6"/>
  <c r="O530" i="6" a="1"/>
  <c r="O530" i="6"/>
  <c r="N530" i="6" a="1"/>
  <c r="N530" i="6"/>
  <c r="S530" i="6"/>
  <c r="R530" i="6" a="1"/>
  <c r="R530" i="6"/>
  <c r="Q530" i="6" a="1"/>
  <c r="Q530" i="6"/>
  <c r="M530" i="6" a="1"/>
  <c r="M530" i="6"/>
  <c r="J530" i="6" a="1"/>
  <c r="J530" i="6"/>
  <c r="G530" i="6" a="1"/>
  <c r="G530" i="6"/>
  <c r="F530" i="6" a="1"/>
  <c r="F530" i="6"/>
  <c r="E530" i="6" a="1"/>
  <c r="E530" i="6"/>
  <c r="D530" i="6" a="1"/>
  <c r="D530" i="6"/>
  <c r="C530" i="6" a="1"/>
  <c r="C530" i="6"/>
  <c r="O529" i="6" a="1"/>
  <c r="O529" i="6"/>
  <c r="N529" i="6" a="1"/>
  <c r="N529" i="6"/>
  <c r="S529" i="6"/>
  <c r="R529" i="6" a="1"/>
  <c r="R529" i="6"/>
  <c r="Q529" i="6" a="1"/>
  <c r="Q529" i="6"/>
  <c r="M529" i="6" a="1"/>
  <c r="M529" i="6"/>
  <c r="J529" i="6" a="1"/>
  <c r="J529" i="6"/>
  <c r="G529" i="6" a="1"/>
  <c r="G529" i="6"/>
  <c r="F529" i="6" a="1"/>
  <c r="F529" i="6"/>
  <c r="E529" i="6" a="1"/>
  <c r="E529" i="6"/>
  <c r="D529" i="6" a="1"/>
  <c r="D529" i="6"/>
  <c r="C529" i="6" a="1"/>
  <c r="C529" i="6"/>
  <c r="O528" i="6" a="1"/>
  <c r="O528" i="6"/>
  <c r="N528" i="6" a="1"/>
  <c r="N528" i="6"/>
  <c r="S528" i="6"/>
  <c r="R528" i="6" a="1"/>
  <c r="R528" i="6"/>
  <c r="Q528" i="6" a="1"/>
  <c r="Q528" i="6"/>
  <c r="M528" i="6" a="1"/>
  <c r="M528" i="6"/>
  <c r="J528" i="6" a="1"/>
  <c r="J528" i="6"/>
  <c r="G528" i="6" a="1"/>
  <c r="G528" i="6"/>
  <c r="F528" i="6" a="1"/>
  <c r="F528" i="6"/>
  <c r="E528" i="6" a="1"/>
  <c r="E528" i="6"/>
  <c r="D528" i="6" a="1"/>
  <c r="D528" i="6"/>
  <c r="C528" i="6" a="1"/>
  <c r="C528" i="6"/>
  <c r="O527" i="6" a="1"/>
  <c r="O527" i="6"/>
  <c r="N527" i="6" a="1"/>
  <c r="N527" i="6"/>
  <c r="S527" i="6"/>
  <c r="R527" i="6" a="1"/>
  <c r="R527" i="6"/>
  <c r="Q527" i="6" a="1"/>
  <c r="Q527" i="6"/>
  <c r="M527" i="6" a="1"/>
  <c r="M527" i="6"/>
  <c r="J527" i="6" a="1"/>
  <c r="J527" i="6"/>
  <c r="G527" i="6" a="1"/>
  <c r="G527" i="6"/>
  <c r="F527" i="6" a="1"/>
  <c r="F527" i="6"/>
  <c r="E527" i="6" a="1"/>
  <c r="E527" i="6"/>
  <c r="D527" i="6" a="1"/>
  <c r="D527" i="6"/>
  <c r="C527" i="6" a="1"/>
  <c r="C527" i="6"/>
  <c r="O526" i="6" a="1"/>
  <c r="O526" i="6"/>
  <c r="N526" i="6" a="1"/>
  <c r="N526" i="6"/>
  <c r="S526" i="6"/>
  <c r="R526" i="6" a="1"/>
  <c r="R526" i="6"/>
  <c r="Q526" i="6" a="1"/>
  <c r="Q526" i="6"/>
  <c r="M526" i="6" a="1"/>
  <c r="M526" i="6"/>
  <c r="J526" i="6" a="1"/>
  <c r="J526" i="6"/>
  <c r="G526" i="6" a="1"/>
  <c r="G526" i="6"/>
  <c r="F526" i="6" a="1"/>
  <c r="F526" i="6"/>
  <c r="E526" i="6" a="1"/>
  <c r="E526" i="6"/>
  <c r="D526" i="6" a="1"/>
  <c r="D526" i="6"/>
  <c r="C526" i="6" a="1"/>
  <c r="C526" i="6"/>
  <c r="O525" i="6" a="1"/>
  <c r="O525" i="6"/>
  <c r="N525" i="6" a="1"/>
  <c r="N525" i="6"/>
  <c r="S525" i="6"/>
  <c r="R525" i="6" a="1"/>
  <c r="R525" i="6"/>
  <c r="Q525" i="6" a="1"/>
  <c r="Q525" i="6"/>
  <c r="M525" i="6" a="1"/>
  <c r="M525" i="6"/>
  <c r="J525" i="6" a="1"/>
  <c r="J525" i="6"/>
  <c r="G525" i="6" a="1"/>
  <c r="G525" i="6"/>
  <c r="F525" i="6" a="1"/>
  <c r="F525" i="6"/>
  <c r="E525" i="6" a="1"/>
  <c r="E525" i="6"/>
  <c r="D525" i="6" a="1"/>
  <c r="D525" i="6"/>
  <c r="C525" i="6" a="1"/>
  <c r="C525" i="6"/>
  <c r="O524" i="6" a="1"/>
  <c r="O524" i="6"/>
  <c r="N524" i="6" a="1"/>
  <c r="N524" i="6"/>
  <c r="S524" i="6"/>
  <c r="R524" i="6" a="1"/>
  <c r="R524" i="6"/>
  <c r="Q524" i="6" a="1"/>
  <c r="Q524" i="6"/>
  <c r="M524" i="6" a="1"/>
  <c r="M524" i="6"/>
  <c r="J524" i="6" a="1"/>
  <c r="J524" i="6"/>
  <c r="G524" i="6" a="1"/>
  <c r="G524" i="6"/>
  <c r="F524" i="6" a="1"/>
  <c r="F524" i="6"/>
  <c r="E524" i="6" a="1"/>
  <c r="E524" i="6"/>
  <c r="D524" i="6" a="1"/>
  <c r="D524" i="6"/>
  <c r="C524" i="6" a="1"/>
  <c r="C524" i="6"/>
  <c r="O523" i="6" a="1"/>
  <c r="O523" i="6"/>
  <c r="N523" i="6" a="1"/>
  <c r="N523" i="6"/>
  <c r="S523" i="6"/>
  <c r="R523" i="6" a="1"/>
  <c r="R523" i="6"/>
  <c r="Q523" i="6" a="1"/>
  <c r="Q523" i="6"/>
  <c r="M523" i="6" a="1"/>
  <c r="M523" i="6"/>
  <c r="J523" i="6" a="1"/>
  <c r="J523" i="6"/>
  <c r="G523" i="6" a="1"/>
  <c r="G523" i="6"/>
  <c r="F523" i="6" a="1"/>
  <c r="F523" i="6"/>
  <c r="E523" i="6" a="1"/>
  <c r="E523" i="6"/>
  <c r="D523" i="6" a="1"/>
  <c r="D523" i="6"/>
  <c r="C523" i="6" a="1"/>
  <c r="C523" i="6"/>
  <c r="O522" i="6" a="1"/>
  <c r="O522" i="6"/>
  <c r="N522" i="6" a="1"/>
  <c r="N522" i="6"/>
  <c r="S522" i="6"/>
  <c r="R522" i="6" a="1"/>
  <c r="R522" i="6"/>
  <c r="Q522" i="6" a="1"/>
  <c r="Q522" i="6"/>
  <c r="M522" i="6" a="1"/>
  <c r="M522" i="6"/>
  <c r="J522" i="6" a="1"/>
  <c r="J522" i="6"/>
  <c r="G522" i="6" a="1"/>
  <c r="G522" i="6"/>
  <c r="F522" i="6" a="1"/>
  <c r="F522" i="6"/>
  <c r="E522" i="6" a="1"/>
  <c r="E522" i="6"/>
  <c r="D522" i="6" a="1"/>
  <c r="D522" i="6"/>
  <c r="C522" i="6" a="1"/>
  <c r="C522" i="6"/>
  <c r="O521" i="6" a="1"/>
  <c r="O521" i="6"/>
  <c r="N521" i="6" a="1"/>
  <c r="N521" i="6"/>
  <c r="S521" i="6"/>
  <c r="R521" i="6" a="1"/>
  <c r="R521" i="6"/>
  <c r="Q521" i="6" a="1"/>
  <c r="Q521" i="6"/>
  <c r="M521" i="6" a="1"/>
  <c r="M521" i="6"/>
  <c r="J521" i="6" a="1"/>
  <c r="J521" i="6"/>
  <c r="G521" i="6" a="1"/>
  <c r="G521" i="6"/>
  <c r="F521" i="6" a="1"/>
  <c r="F521" i="6"/>
  <c r="E521" i="6" a="1"/>
  <c r="E521" i="6"/>
  <c r="D521" i="6" a="1"/>
  <c r="D521" i="6"/>
  <c r="C521" i="6" a="1"/>
  <c r="C521" i="6"/>
  <c r="O520" i="6" a="1"/>
  <c r="O520" i="6"/>
  <c r="N520" i="6" a="1"/>
  <c r="N520" i="6"/>
  <c r="S520" i="6"/>
  <c r="R520" i="6" a="1"/>
  <c r="R520" i="6"/>
  <c r="Q520" i="6" a="1"/>
  <c r="Q520" i="6"/>
  <c r="M520" i="6" a="1"/>
  <c r="M520" i="6"/>
  <c r="J520" i="6" a="1"/>
  <c r="J520" i="6"/>
  <c r="G520" i="6" a="1"/>
  <c r="G520" i="6"/>
  <c r="F520" i="6" a="1"/>
  <c r="F520" i="6"/>
  <c r="E520" i="6" a="1"/>
  <c r="E520" i="6"/>
  <c r="D520" i="6" a="1"/>
  <c r="D520" i="6"/>
  <c r="C520" i="6" a="1"/>
  <c r="C520" i="6"/>
  <c r="O519" i="6" a="1"/>
  <c r="O519" i="6"/>
  <c r="N519" i="6" a="1"/>
  <c r="N519" i="6"/>
  <c r="S519" i="6"/>
  <c r="R519" i="6" a="1"/>
  <c r="R519" i="6"/>
  <c r="Q519" i="6" a="1"/>
  <c r="Q519" i="6"/>
  <c r="M519" i="6" a="1"/>
  <c r="M519" i="6"/>
  <c r="J519" i="6" a="1"/>
  <c r="J519" i="6"/>
  <c r="G519" i="6" a="1"/>
  <c r="G519" i="6"/>
  <c r="F519" i="6" a="1"/>
  <c r="F519" i="6"/>
  <c r="E519" i="6" a="1"/>
  <c r="E519" i="6"/>
  <c r="D519" i="6" a="1"/>
  <c r="D519" i="6"/>
  <c r="C519" i="6" a="1"/>
  <c r="C519" i="6"/>
  <c r="O518" i="6" a="1"/>
  <c r="O518" i="6"/>
  <c r="N518" i="6" a="1"/>
  <c r="N518" i="6"/>
  <c r="S518" i="6"/>
  <c r="R518" i="6" a="1"/>
  <c r="R518" i="6"/>
  <c r="Q518" i="6" a="1"/>
  <c r="Q518" i="6"/>
  <c r="M518" i="6" a="1"/>
  <c r="M518" i="6"/>
  <c r="J518" i="6" a="1"/>
  <c r="J518" i="6"/>
  <c r="G518" i="6" a="1"/>
  <c r="G518" i="6"/>
  <c r="F518" i="6" a="1"/>
  <c r="F518" i="6"/>
  <c r="E518" i="6" a="1"/>
  <c r="E518" i="6"/>
  <c r="D518" i="6" a="1"/>
  <c r="D518" i="6"/>
  <c r="C518" i="6" a="1"/>
  <c r="C518" i="6"/>
  <c r="O517" i="6" a="1"/>
  <c r="O517" i="6"/>
  <c r="N517" i="6" a="1"/>
  <c r="N517" i="6"/>
  <c r="S517" i="6"/>
  <c r="R517" i="6" a="1"/>
  <c r="R517" i="6"/>
  <c r="Q517" i="6" a="1"/>
  <c r="Q517" i="6"/>
  <c r="M517" i="6" a="1"/>
  <c r="M517" i="6"/>
  <c r="J517" i="6" a="1"/>
  <c r="J517" i="6"/>
  <c r="G517" i="6" a="1"/>
  <c r="G517" i="6"/>
  <c r="F517" i="6" a="1"/>
  <c r="F517" i="6"/>
  <c r="E517" i="6" a="1"/>
  <c r="E517" i="6"/>
  <c r="D517" i="6" a="1"/>
  <c r="D517" i="6"/>
  <c r="C517" i="6" a="1"/>
  <c r="C517" i="6"/>
  <c r="O516" i="6" a="1"/>
  <c r="O516" i="6"/>
  <c r="N516" i="6" a="1"/>
  <c r="N516" i="6"/>
  <c r="S516" i="6"/>
  <c r="R516" i="6" a="1"/>
  <c r="R516" i="6"/>
  <c r="Q516" i="6" a="1"/>
  <c r="Q516" i="6"/>
  <c r="M516" i="6" a="1"/>
  <c r="M516" i="6"/>
  <c r="J516" i="6" a="1"/>
  <c r="J516" i="6"/>
  <c r="G516" i="6" a="1"/>
  <c r="G516" i="6"/>
  <c r="F516" i="6" a="1"/>
  <c r="F516" i="6"/>
  <c r="E516" i="6" a="1"/>
  <c r="E516" i="6"/>
  <c r="D516" i="6" a="1"/>
  <c r="D516" i="6"/>
  <c r="C516" i="6" a="1"/>
  <c r="C516" i="6"/>
  <c r="O515" i="6" a="1"/>
  <c r="O515" i="6"/>
  <c r="N515" i="6" a="1"/>
  <c r="N515" i="6"/>
  <c r="S515" i="6"/>
  <c r="R515" i="6" a="1"/>
  <c r="R515" i="6"/>
  <c r="Q515" i="6" a="1"/>
  <c r="Q515" i="6"/>
  <c r="M515" i="6" a="1"/>
  <c r="M515" i="6"/>
  <c r="J515" i="6" a="1"/>
  <c r="J515" i="6"/>
  <c r="G515" i="6" a="1"/>
  <c r="G515" i="6"/>
  <c r="F515" i="6" a="1"/>
  <c r="F515" i="6"/>
  <c r="E515" i="6" a="1"/>
  <c r="E515" i="6"/>
  <c r="D515" i="6" a="1"/>
  <c r="D515" i="6"/>
  <c r="C515" i="6" a="1"/>
  <c r="C515" i="6"/>
  <c r="O514" i="6" a="1"/>
  <c r="O514" i="6"/>
  <c r="N514" i="6" a="1"/>
  <c r="N514" i="6"/>
  <c r="S514" i="6"/>
  <c r="R514" i="6" a="1"/>
  <c r="R514" i="6"/>
  <c r="Q514" i="6" a="1"/>
  <c r="Q514" i="6"/>
  <c r="M514" i="6" a="1"/>
  <c r="M514" i="6"/>
  <c r="J514" i="6" a="1"/>
  <c r="J514" i="6"/>
  <c r="G514" i="6" a="1"/>
  <c r="G514" i="6"/>
  <c r="F514" i="6" a="1"/>
  <c r="F514" i="6"/>
  <c r="E514" i="6" a="1"/>
  <c r="E514" i="6"/>
  <c r="D514" i="6" a="1"/>
  <c r="D514" i="6"/>
  <c r="C514" i="6" a="1"/>
  <c r="C514" i="6"/>
  <c r="O513" i="6" a="1"/>
  <c r="O513" i="6"/>
  <c r="N513" i="6" a="1"/>
  <c r="N513" i="6"/>
  <c r="S513" i="6"/>
  <c r="R513" i="6" a="1"/>
  <c r="R513" i="6"/>
  <c r="Q513" i="6" a="1"/>
  <c r="Q513" i="6"/>
  <c r="M513" i="6" a="1"/>
  <c r="M513" i="6"/>
  <c r="J513" i="6" a="1"/>
  <c r="J513" i="6"/>
  <c r="G513" i="6" a="1"/>
  <c r="G513" i="6"/>
  <c r="F513" i="6" a="1"/>
  <c r="F513" i="6"/>
  <c r="E513" i="6" a="1"/>
  <c r="E513" i="6"/>
  <c r="D513" i="6" a="1"/>
  <c r="D513" i="6"/>
  <c r="C513" i="6" a="1"/>
  <c r="C513" i="6"/>
  <c r="O512" i="6" a="1"/>
  <c r="O512" i="6"/>
  <c r="N512" i="6" a="1"/>
  <c r="N512" i="6"/>
  <c r="S512" i="6"/>
  <c r="R512" i="6" a="1"/>
  <c r="R512" i="6"/>
  <c r="Q512" i="6" a="1"/>
  <c r="Q512" i="6"/>
  <c r="M512" i="6" a="1"/>
  <c r="M512" i="6"/>
  <c r="J512" i="6" a="1"/>
  <c r="J512" i="6"/>
  <c r="G512" i="6" a="1"/>
  <c r="G512" i="6"/>
  <c r="F512" i="6" a="1"/>
  <c r="F512" i="6"/>
  <c r="E512" i="6" a="1"/>
  <c r="E512" i="6"/>
  <c r="D512" i="6" a="1"/>
  <c r="D512" i="6"/>
  <c r="C512" i="6" a="1"/>
  <c r="C512" i="6"/>
  <c r="O511" i="6" a="1"/>
  <c r="O511" i="6"/>
  <c r="N511" i="6" a="1"/>
  <c r="N511" i="6"/>
  <c r="S511" i="6"/>
  <c r="R511" i="6" a="1"/>
  <c r="R511" i="6"/>
  <c r="Q511" i="6" a="1"/>
  <c r="Q511" i="6"/>
  <c r="M511" i="6" a="1"/>
  <c r="M511" i="6"/>
  <c r="J511" i="6" a="1"/>
  <c r="J511" i="6"/>
  <c r="G511" i="6" a="1"/>
  <c r="G511" i="6"/>
  <c r="F511" i="6" a="1"/>
  <c r="F511" i="6"/>
  <c r="E511" i="6" a="1"/>
  <c r="E511" i="6"/>
  <c r="D511" i="6" a="1"/>
  <c r="D511" i="6"/>
  <c r="C511" i="6" a="1"/>
  <c r="C511" i="6"/>
  <c r="O510" i="6" a="1"/>
  <c r="O510" i="6"/>
  <c r="N510" i="6" a="1"/>
  <c r="N510" i="6"/>
  <c r="S510" i="6"/>
  <c r="R510" i="6" a="1"/>
  <c r="R510" i="6"/>
  <c r="Q510" i="6" a="1"/>
  <c r="Q510" i="6"/>
  <c r="M510" i="6" a="1"/>
  <c r="M510" i="6"/>
  <c r="J510" i="6" a="1"/>
  <c r="J510" i="6"/>
  <c r="G510" i="6" a="1"/>
  <c r="G510" i="6"/>
  <c r="F510" i="6" a="1"/>
  <c r="F510" i="6"/>
  <c r="E510" i="6" a="1"/>
  <c r="E510" i="6"/>
  <c r="D510" i="6" a="1"/>
  <c r="D510" i="6"/>
  <c r="C510" i="6" a="1"/>
  <c r="C510" i="6"/>
  <c r="O509" i="6" a="1"/>
  <c r="O509" i="6"/>
  <c r="N509" i="6" a="1"/>
  <c r="N509" i="6"/>
  <c r="S509" i="6"/>
  <c r="R509" i="6" a="1"/>
  <c r="R509" i="6"/>
  <c r="Q509" i="6" a="1"/>
  <c r="Q509" i="6"/>
  <c r="M509" i="6" a="1"/>
  <c r="M509" i="6"/>
  <c r="J509" i="6" a="1"/>
  <c r="J509" i="6"/>
  <c r="G509" i="6" a="1"/>
  <c r="G509" i="6"/>
  <c r="F509" i="6" a="1"/>
  <c r="F509" i="6"/>
  <c r="E509" i="6" a="1"/>
  <c r="E509" i="6"/>
  <c r="D509" i="6" a="1"/>
  <c r="D509" i="6"/>
  <c r="C509" i="6" a="1"/>
  <c r="C509" i="6"/>
  <c r="O508" i="6" a="1"/>
  <c r="O508" i="6"/>
  <c r="N508" i="6" a="1"/>
  <c r="N508" i="6"/>
  <c r="S508" i="6"/>
  <c r="R508" i="6" a="1"/>
  <c r="R508" i="6"/>
  <c r="Q508" i="6" a="1"/>
  <c r="Q508" i="6"/>
  <c r="M508" i="6" a="1"/>
  <c r="M508" i="6"/>
  <c r="J508" i="6" a="1"/>
  <c r="J508" i="6"/>
  <c r="G508" i="6" a="1"/>
  <c r="G508" i="6"/>
  <c r="F508" i="6" a="1"/>
  <c r="F508" i="6"/>
  <c r="E508" i="6" a="1"/>
  <c r="E508" i="6"/>
  <c r="D508" i="6" a="1"/>
  <c r="D508" i="6"/>
  <c r="C508" i="6" a="1"/>
  <c r="C508" i="6"/>
  <c r="O507" i="6" a="1"/>
  <c r="O507" i="6"/>
  <c r="N507" i="6" a="1"/>
  <c r="N507" i="6"/>
  <c r="S507" i="6"/>
  <c r="R507" i="6" a="1"/>
  <c r="R507" i="6"/>
  <c r="Q507" i="6" a="1"/>
  <c r="Q507" i="6"/>
  <c r="M507" i="6" a="1"/>
  <c r="M507" i="6"/>
  <c r="J507" i="6" a="1"/>
  <c r="J507" i="6"/>
  <c r="G507" i="6" a="1"/>
  <c r="G507" i="6"/>
  <c r="F507" i="6" a="1"/>
  <c r="F507" i="6"/>
  <c r="E507" i="6" a="1"/>
  <c r="E507" i="6"/>
  <c r="D507" i="6" a="1"/>
  <c r="D507" i="6"/>
  <c r="C507" i="6" a="1"/>
  <c r="C507" i="6"/>
  <c r="O506" i="6" a="1"/>
  <c r="O506" i="6"/>
  <c r="N506" i="6" a="1"/>
  <c r="N506" i="6"/>
  <c r="S506" i="6"/>
  <c r="R506" i="6" a="1"/>
  <c r="R506" i="6"/>
  <c r="Q506" i="6" a="1"/>
  <c r="Q506" i="6"/>
  <c r="M506" i="6" a="1"/>
  <c r="M506" i="6"/>
  <c r="J506" i="6" a="1"/>
  <c r="J506" i="6"/>
  <c r="G506" i="6" a="1"/>
  <c r="G506" i="6"/>
  <c r="F506" i="6" a="1"/>
  <c r="F506" i="6"/>
  <c r="E506" i="6" a="1"/>
  <c r="E506" i="6"/>
  <c r="D506" i="6" a="1"/>
  <c r="D506" i="6"/>
  <c r="C506" i="6" a="1"/>
  <c r="C506" i="6"/>
  <c r="O505" i="6" a="1"/>
  <c r="O505" i="6"/>
  <c r="N505" i="6" a="1"/>
  <c r="N505" i="6"/>
  <c r="S505" i="6"/>
  <c r="R505" i="6" a="1"/>
  <c r="R505" i="6"/>
  <c r="Q505" i="6" a="1"/>
  <c r="Q505" i="6"/>
  <c r="M505" i="6" a="1"/>
  <c r="M505" i="6"/>
  <c r="J505" i="6" a="1"/>
  <c r="J505" i="6"/>
  <c r="G505" i="6" a="1"/>
  <c r="G505" i="6"/>
  <c r="F505" i="6" a="1"/>
  <c r="F505" i="6"/>
  <c r="E505" i="6" a="1"/>
  <c r="E505" i="6"/>
  <c r="D505" i="6" a="1"/>
  <c r="D505" i="6"/>
  <c r="C505" i="6" a="1"/>
  <c r="C505" i="6"/>
  <c r="O504" i="6" a="1"/>
  <c r="O504" i="6"/>
  <c r="N504" i="6" a="1"/>
  <c r="N504" i="6"/>
  <c r="S504" i="6"/>
  <c r="R504" i="6" a="1"/>
  <c r="R504" i="6"/>
  <c r="Q504" i="6" a="1"/>
  <c r="Q504" i="6"/>
  <c r="M504" i="6" a="1"/>
  <c r="M504" i="6"/>
  <c r="J504" i="6" a="1"/>
  <c r="J504" i="6"/>
  <c r="G504" i="6" a="1"/>
  <c r="G504" i="6"/>
  <c r="F504" i="6" a="1"/>
  <c r="F504" i="6"/>
  <c r="E504" i="6" a="1"/>
  <c r="E504" i="6"/>
  <c r="D504" i="6" a="1"/>
  <c r="D504" i="6"/>
  <c r="C504" i="6" a="1"/>
  <c r="C504" i="6"/>
  <c r="O503" i="6" a="1"/>
  <c r="O503" i="6"/>
  <c r="N503" i="6" a="1"/>
  <c r="N503" i="6"/>
  <c r="S503" i="6"/>
  <c r="R503" i="6" a="1"/>
  <c r="R503" i="6"/>
  <c r="Q503" i="6" a="1"/>
  <c r="Q503" i="6"/>
  <c r="M503" i="6" a="1"/>
  <c r="M503" i="6"/>
  <c r="J503" i="6" a="1"/>
  <c r="J503" i="6"/>
  <c r="G503" i="6" a="1"/>
  <c r="G503" i="6"/>
  <c r="F503" i="6" a="1"/>
  <c r="F503" i="6"/>
  <c r="E503" i="6" a="1"/>
  <c r="E503" i="6"/>
  <c r="D503" i="6" a="1"/>
  <c r="D503" i="6"/>
  <c r="C503" i="6" a="1"/>
  <c r="C503" i="6"/>
  <c r="O502" i="6" a="1"/>
  <c r="O502" i="6"/>
  <c r="N502" i="6" a="1"/>
  <c r="N502" i="6"/>
  <c r="S502" i="6"/>
  <c r="R502" i="6" a="1"/>
  <c r="R502" i="6"/>
  <c r="Q502" i="6" a="1"/>
  <c r="Q502" i="6"/>
  <c r="M502" i="6" a="1"/>
  <c r="M502" i="6"/>
  <c r="J502" i="6" a="1"/>
  <c r="J502" i="6"/>
  <c r="G502" i="6" a="1"/>
  <c r="G502" i="6"/>
  <c r="F502" i="6" a="1"/>
  <c r="F502" i="6"/>
  <c r="E502" i="6" a="1"/>
  <c r="E502" i="6"/>
  <c r="D502" i="6" a="1"/>
  <c r="D502" i="6"/>
  <c r="C502" i="6" a="1"/>
  <c r="C502" i="6"/>
  <c r="O501" i="6" a="1"/>
  <c r="O501" i="6"/>
  <c r="N501" i="6" a="1"/>
  <c r="N501" i="6"/>
  <c r="S501" i="6"/>
  <c r="R501" i="6" a="1"/>
  <c r="R501" i="6"/>
  <c r="Q501" i="6" a="1"/>
  <c r="Q501" i="6"/>
  <c r="M501" i="6" a="1"/>
  <c r="M501" i="6"/>
  <c r="J501" i="6" a="1"/>
  <c r="J501" i="6"/>
  <c r="G501" i="6" a="1"/>
  <c r="G501" i="6"/>
  <c r="F501" i="6" a="1"/>
  <c r="F501" i="6"/>
  <c r="E501" i="6" a="1"/>
  <c r="E501" i="6"/>
  <c r="D501" i="6" a="1"/>
  <c r="D501" i="6"/>
  <c r="C501" i="6" a="1"/>
  <c r="C501" i="6"/>
  <c r="O500" i="6" a="1"/>
  <c r="O500" i="6"/>
  <c r="N500" i="6" a="1"/>
  <c r="N500" i="6"/>
  <c r="S500" i="6"/>
  <c r="R500" i="6" a="1"/>
  <c r="R500" i="6"/>
  <c r="Q500" i="6" a="1"/>
  <c r="Q500" i="6"/>
  <c r="M500" i="6" a="1"/>
  <c r="M500" i="6"/>
  <c r="J500" i="6" a="1"/>
  <c r="J500" i="6"/>
  <c r="G500" i="6" a="1"/>
  <c r="G500" i="6"/>
  <c r="F500" i="6" a="1"/>
  <c r="F500" i="6"/>
  <c r="E500" i="6" a="1"/>
  <c r="E500" i="6"/>
  <c r="D500" i="6" a="1"/>
  <c r="D500" i="6"/>
  <c r="C500" i="6" a="1"/>
  <c r="C500" i="6"/>
  <c r="O499" i="6" a="1"/>
  <c r="O499" i="6"/>
  <c r="N499" i="6" a="1"/>
  <c r="N499" i="6"/>
  <c r="S499" i="6"/>
  <c r="R499" i="6" a="1"/>
  <c r="R499" i="6"/>
  <c r="Q499" i="6" a="1"/>
  <c r="Q499" i="6"/>
  <c r="M499" i="6" a="1"/>
  <c r="M499" i="6"/>
  <c r="J499" i="6" a="1"/>
  <c r="J499" i="6"/>
  <c r="G499" i="6" a="1"/>
  <c r="G499" i="6"/>
  <c r="F499" i="6" a="1"/>
  <c r="F499" i="6"/>
  <c r="E499" i="6" a="1"/>
  <c r="E499" i="6"/>
  <c r="D499" i="6" a="1"/>
  <c r="D499" i="6"/>
  <c r="C499" i="6" a="1"/>
  <c r="C499" i="6"/>
  <c r="O498" i="6" a="1"/>
  <c r="O498" i="6"/>
  <c r="N498" i="6" a="1"/>
  <c r="N498" i="6"/>
  <c r="S498" i="6"/>
  <c r="R498" i="6" a="1"/>
  <c r="R498" i="6"/>
  <c r="Q498" i="6" a="1"/>
  <c r="Q498" i="6"/>
  <c r="M498" i="6" a="1"/>
  <c r="M498" i="6"/>
  <c r="J498" i="6" a="1"/>
  <c r="J498" i="6"/>
  <c r="G498" i="6" a="1"/>
  <c r="G498" i="6"/>
  <c r="F498" i="6" a="1"/>
  <c r="F498" i="6"/>
  <c r="E498" i="6" a="1"/>
  <c r="E498" i="6"/>
  <c r="D498" i="6" a="1"/>
  <c r="D498" i="6"/>
  <c r="C498" i="6" a="1"/>
  <c r="C498" i="6"/>
  <c r="O497" i="6" a="1"/>
  <c r="O497" i="6"/>
  <c r="N497" i="6" a="1"/>
  <c r="N497" i="6"/>
  <c r="S497" i="6"/>
  <c r="R497" i="6" a="1"/>
  <c r="R497" i="6"/>
  <c r="Q497" i="6" a="1"/>
  <c r="Q497" i="6"/>
  <c r="M497" i="6" a="1"/>
  <c r="M497" i="6"/>
  <c r="J497" i="6" a="1"/>
  <c r="J497" i="6"/>
  <c r="G497" i="6" a="1"/>
  <c r="G497" i="6"/>
  <c r="F497" i="6" a="1"/>
  <c r="F497" i="6"/>
  <c r="E497" i="6" a="1"/>
  <c r="E497" i="6"/>
  <c r="D497" i="6" a="1"/>
  <c r="D497" i="6"/>
  <c r="C497" i="6" a="1"/>
  <c r="C497" i="6"/>
  <c r="O496" i="6" a="1"/>
  <c r="O496" i="6"/>
  <c r="N496" i="6" a="1"/>
  <c r="N496" i="6"/>
  <c r="S496" i="6"/>
  <c r="R496" i="6" a="1"/>
  <c r="R496" i="6"/>
  <c r="Q496" i="6" a="1"/>
  <c r="Q496" i="6"/>
  <c r="M496" i="6" a="1"/>
  <c r="M496" i="6"/>
  <c r="J496" i="6" a="1"/>
  <c r="J496" i="6"/>
  <c r="G496" i="6" a="1"/>
  <c r="G496" i="6"/>
  <c r="F496" i="6" a="1"/>
  <c r="F496" i="6"/>
  <c r="E496" i="6" a="1"/>
  <c r="E496" i="6"/>
  <c r="D496" i="6" a="1"/>
  <c r="D496" i="6"/>
  <c r="C496" i="6" a="1"/>
  <c r="C496" i="6"/>
  <c r="O495" i="6" a="1"/>
  <c r="O495" i="6"/>
  <c r="N495" i="6" a="1"/>
  <c r="N495" i="6"/>
  <c r="S495" i="6"/>
  <c r="R495" i="6" a="1"/>
  <c r="R495" i="6"/>
  <c r="Q495" i="6" a="1"/>
  <c r="Q495" i="6"/>
  <c r="M495" i="6" a="1"/>
  <c r="M495" i="6"/>
  <c r="J495" i="6" a="1"/>
  <c r="J495" i="6"/>
  <c r="G495" i="6" a="1"/>
  <c r="G495" i="6"/>
  <c r="F495" i="6" a="1"/>
  <c r="F495" i="6"/>
  <c r="E495" i="6" a="1"/>
  <c r="E495" i="6"/>
  <c r="D495" i="6" a="1"/>
  <c r="D495" i="6"/>
  <c r="C495" i="6" a="1"/>
  <c r="C495" i="6"/>
  <c r="O494" i="6" a="1"/>
  <c r="O494" i="6"/>
  <c r="N494" i="6" a="1"/>
  <c r="N494" i="6"/>
  <c r="S494" i="6"/>
  <c r="R494" i="6" a="1"/>
  <c r="R494" i="6"/>
  <c r="Q494" i="6" a="1"/>
  <c r="Q494" i="6"/>
  <c r="M494" i="6" a="1"/>
  <c r="M494" i="6"/>
  <c r="J494" i="6" a="1"/>
  <c r="J494" i="6"/>
  <c r="G494" i="6" a="1"/>
  <c r="G494" i="6"/>
  <c r="F494" i="6" a="1"/>
  <c r="F494" i="6"/>
  <c r="E494" i="6" a="1"/>
  <c r="E494" i="6"/>
  <c r="D494" i="6" a="1"/>
  <c r="D494" i="6"/>
  <c r="C494" i="6" a="1"/>
  <c r="C494" i="6"/>
  <c r="O493" i="6" a="1"/>
  <c r="O493" i="6"/>
  <c r="N493" i="6" a="1"/>
  <c r="N493" i="6"/>
  <c r="S493" i="6"/>
  <c r="R493" i="6" a="1"/>
  <c r="R493" i="6"/>
  <c r="Q493" i="6" a="1"/>
  <c r="Q493" i="6"/>
  <c r="M493" i="6" a="1"/>
  <c r="M493" i="6"/>
  <c r="J493" i="6" a="1"/>
  <c r="J493" i="6"/>
  <c r="G493" i="6" a="1"/>
  <c r="G493" i="6"/>
  <c r="F493" i="6" a="1"/>
  <c r="F493" i="6"/>
  <c r="E493" i="6" a="1"/>
  <c r="E493" i="6"/>
  <c r="D493" i="6" a="1"/>
  <c r="D493" i="6"/>
  <c r="C493" i="6" a="1"/>
  <c r="C493" i="6"/>
  <c r="O492" i="6" a="1"/>
  <c r="O492" i="6"/>
  <c r="N492" i="6" a="1"/>
  <c r="N492" i="6"/>
  <c r="S492" i="6"/>
  <c r="R492" i="6" a="1"/>
  <c r="R492" i="6"/>
  <c r="Q492" i="6" a="1"/>
  <c r="Q492" i="6"/>
  <c r="M492" i="6" a="1"/>
  <c r="M492" i="6"/>
  <c r="J492" i="6" a="1"/>
  <c r="J492" i="6"/>
  <c r="G492" i="6" a="1"/>
  <c r="G492" i="6"/>
  <c r="F492" i="6" a="1"/>
  <c r="F492" i="6"/>
  <c r="E492" i="6" a="1"/>
  <c r="E492" i="6"/>
  <c r="D492" i="6" a="1"/>
  <c r="D492" i="6"/>
  <c r="C492" i="6" a="1"/>
  <c r="C492" i="6"/>
  <c r="O491" i="6" a="1"/>
  <c r="O491" i="6"/>
  <c r="N491" i="6" a="1"/>
  <c r="N491" i="6"/>
  <c r="S491" i="6"/>
  <c r="R491" i="6" a="1"/>
  <c r="R491" i="6"/>
  <c r="Q491" i="6" a="1"/>
  <c r="Q491" i="6"/>
  <c r="M491" i="6" a="1"/>
  <c r="M491" i="6"/>
  <c r="J491" i="6" a="1"/>
  <c r="J491" i="6"/>
  <c r="G491" i="6" a="1"/>
  <c r="G491" i="6"/>
  <c r="F491" i="6" a="1"/>
  <c r="F491" i="6"/>
  <c r="E491" i="6" a="1"/>
  <c r="E491" i="6"/>
  <c r="D491" i="6" a="1"/>
  <c r="D491" i="6"/>
  <c r="C491" i="6" a="1"/>
  <c r="C491" i="6"/>
  <c r="O490" i="6" a="1"/>
  <c r="O490" i="6"/>
  <c r="N490" i="6" a="1"/>
  <c r="N490" i="6"/>
  <c r="S490" i="6"/>
  <c r="R490" i="6" a="1"/>
  <c r="R490" i="6"/>
  <c r="Q490" i="6" a="1"/>
  <c r="Q490" i="6"/>
  <c r="M490" i="6" a="1"/>
  <c r="M490" i="6"/>
  <c r="J490" i="6" a="1"/>
  <c r="J490" i="6"/>
  <c r="G490" i="6" a="1"/>
  <c r="G490" i="6"/>
  <c r="F490" i="6" a="1"/>
  <c r="F490" i="6"/>
  <c r="E490" i="6" a="1"/>
  <c r="E490" i="6"/>
  <c r="D490" i="6" a="1"/>
  <c r="D490" i="6"/>
  <c r="C490" i="6" a="1"/>
  <c r="C490" i="6"/>
  <c r="O489" i="6" a="1"/>
  <c r="O489" i="6"/>
  <c r="N489" i="6" a="1"/>
  <c r="N489" i="6"/>
  <c r="S489" i="6"/>
  <c r="R489" i="6" a="1"/>
  <c r="R489" i="6"/>
  <c r="Q489" i="6" a="1"/>
  <c r="Q489" i="6"/>
  <c r="M489" i="6" a="1"/>
  <c r="M489" i="6"/>
  <c r="J489" i="6" a="1"/>
  <c r="J489" i="6"/>
  <c r="G489" i="6" a="1"/>
  <c r="G489" i="6"/>
  <c r="F489" i="6" a="1"/>
  <c r="F489" i="6"/>
  <c r="E489" i="6" a="1"/>
  <c r="E489" i="6"/>
  <c r="D489" i="6" a="1"/>
  <c r="D489" i="6"/>
  <c r="C489" i="6" a="1"/>
  <c r="C489" i="6"/>
  <c r="O488" i="6" a="1"/>
  <c r="O488" i="6"/>
  <c r="N488" i="6" a="1"/>
  <c r="N488" i="6"/>
  <c r="S488" i="6"/>
  <c r="R488" i="6" a="1"/>
  <c r="R488" i="6"/>
  <c r="Q488" i="6" a="1"/>
  <c r="Q488" i="6"/>
  <c r="M488" i="6" a="1"/>
  <c r="M488" i="6"/>
  <c r="J488" i="6" a="1"/>
  <c r="J488" i="6"/>
  <c r="G488" i="6" a="1"/>
  <c r="G488" i="6"/>
  <c r="F488" i="6" a="1"/>
  <c r="F488" i="6"/>
  <c r="E488" i="6" a="1"/>
  <c r="E488" i="6"/>
  <c r="D488" i="6" a="1"/>
  <c r="D488" i="6"/>
  <c r="C488" i="6" a="1"/>
  <c r="C488" i="6"/>
  <c r="O487" i="6" a="1"/>
  <c r="O487" i="6"/>
  <c r="N487" i="6" a="1"/>
  <c r="N487" i="6"/>
  <c r="S487" i="6"/>
  <c r="R487" i="6" a="1"/>
  <c r="R487" i="6"/>
  <c r="Q487" i="6" a="1"/>
  <c r="Q487" i="6"/>
  <c r="M487" i="6" a="1"/>
  <c r="M487" i="6"/>
  <c r="J487" i="6" a="1"/>
  <c r="J487" i="6"/>
  <c r="G487" i="6" a="1"/>
  <c r="G487" i="6"/>
  <c r="F487" i="6" a="1"/>
  <c r="F487" i="6"/>
  <c r="E487" i="6" a="1"/>
  <c r="E487" i="6"/>
  <c r="D487" i="6" a="1"/>
  <c r="D487" i="6"/>
  <c r="C487" i="6" a="1"/>
  <c r="C487" i="6"/>
  <c r="O486" i="6" a="1"/>
  <c r="O486" i="6"/>
  <c r="N486" i="6" a="1"/>
  <c r="N486" i="6"/>
  <c r="S486" i="6"/>
  <c r="R486" i="6" a="1"/>
  <c r="R486" i="6"/>
  <c r="Q486" i="6" a="1"/>
  <c r="Q486" i="6"/>
  <c r="M486" i="6" a="1"/>
  <c r="M486" i="6"/>
  <c r="J486" i="6" a="1"/>
  <c r="J486" i="6"/>
  <c r="G486" i="6" a="1"/>
  <c r="G486" i="6"/>
  <c r="F486" i="6" a="1"/>
  <c r="F486" i="6"/>
  <c r="E486" i="6" a="1"/>
  <c r="E486" i="6"/>
  <c r="D486" i="6" a="1"/>
  <c r="D486" i="6"/>
  <c r="C486" i="6" a="1"/>
  <c r="C486" i="6"/>
  <c r="O485" i="6" a="1"/>
  <c r="O485" i="6"/>
  <c r="N485" i="6" a="1"/>
  <c r="N485" i="6"/>
  <c r="S485" i="6"/>
  <c r="R485" i="6" a="1"/>
  <c r="R485" i="6"/>
  <c r="Q485" i="6" a="1"/>
  <c r="Q485" i="6"/>
  <c r="M485" i="6" a="1"/>
  <c r="M485" i="6"/>
  <c r="J485" i="6" a="1"/>
  <c r="J485" i="6"/>
  <c r="G485" i="6" a="1"/>
  <c r="G485" i="6"/>
  <c r="F485" i="6" a="1"/>
  <c r="F485" i="6"/>
  <c r="E485" i="6" a="1"/>
  <c r="E485" i="6"/>
  <c r="D485" i="6" a="1"/>
  <c r="D485" i="6"/>
  <c r="C485" i="6" a="1"/>
  <c r="C485" i="6"/>
  <c r="O484" i="6" a="1"/>
  <c r="O484" i="6"/>
  <c r="N484" i="6" a="1"/>
  <c r="N484" i="6"/>
  <c r="S484" i="6"/>
  <c r="R484" i="6" a="1"/>
  <c r="R484" i="6"/>
  <c r="Q484" i="6" a="1"/>
  <c r="Q484" i="6"/>
  <c r="M484" i="6" a="1"/>
  <c r="M484" i="6"/>
  <c r="J484" i="6" a="1"/>
  <c r="J484" i="6"/>
  <c r="G484" i="6" a="1"/>
  <c r="G484" i="6"/>
  <c r="F484" i="6" a="1"/>
  <c r="F484" i="6"/>
  <c r="E484" i="6" a="1"/>
  <c r="E484" i="6"/>
  <c r="D484" i="6" a="1"/>
  <c r="D484" i="6"/>
  <c r="C484" i="6" a="1"/>
  <c r="C484" i="6"/>
  <c r="O483" i="6" a="1"/>
  <c r="O483" i="6"/>
  <c r="N483" i="6" a="1"/>
  <c r="N483" i="6"/>
  <c r="S483" i="6"/>
  <c r="R483" i="6" a="1"/>
  <c r="R483" i="6"/>
  <c r="Q483" i="6" a="1"/>
  <c r="Q483" i="6"/>
  <c r="M483" i="6" a="1"/>
  <c r="M483" i="6"/>
  <c r="J483" i="6" a="1"/>
  <c r="J483" i="6"/>
  <c r="G483" i="6" a="1"/>
  <c r="G483" i="6"/>
  <c r="F483" i="6" a="1"/>
  <c r="F483" i="6"/>
  <c r="E483" i="6" a="1"/>
  <c r="E483" i="6"/>
  <c r="D483" i="6" a="1"/>
  <c r="D483" i="6"/>
  <c r="C483" i="6" a="1"/>
  <c r="C483" i="6"/>
  <c r="O482" i="6" a="1"/>
  <c r="O482" i="6"/>
  <c r="N482" i="6" a="1"/>
  <c r="N482" i="6"/>
  <c r="S482" i="6"/>
  <c r="R482" i="6" a="1"/>
  <c r="R482" i="6"/>
  <c r="Q482" i="6" a="1"/>
  <c r="Q482" i="6"/>
  <c r="M482" i="6" a="1"/>
  <c r="M482" i="6"/>
  <c r="J482" i="6" a="1"/>
  <c r="J482" i="6"/>
  <c r="G482" i="6" a="1"/>
  <c r="G482" i="6"/>
  <c r="F482" i="6" a="1"/>
  <c r="F482" i="6"/>
  <c r="E482" i="6" a="1"/>
  <c r="E482" i="6"/>
  <c r="D482" i="6" a="1"/>
  <c r="D482" i="6"/>
  <c r="C482" i="6" a="1"/>
  <c r="C482" i="6"/>
  <c r="O481" i="6" a="1"/>
  <c r="O481" i="6"/>
  <c r="N481" i="6" a="1"/>
  <c r="N481" i="6"/>
  <c r="S481" i="6"/>
  <c r="R481" i="6" a="1"/>
  <c r="R481" i="6"/>
  <c r="Q481" i="6" a="1"/>
  <c r="Q481" i="6"/>
  <c r="M481" i="6" a="1"/>
  <c r="M481" i="6"/>
  <c r="J481" i="6" a="1"/>
  <c r="J481" i="6"/>
  <c r="G481" i="6" a="1"/>
  <c r="G481" i="6"/>
  <c r="F481" i="6" a="1"/>
  <c r="F481" i="6"/>
  <c r="E481" i="6" a="1"/>
  <c r="E481" i="6"/>
  <c r="D481" i="6" a="1"/>
  <c r="D481" i="6"/>
  <c r="C481" i="6" a="1"/>
  <c r="C481" i="6"/>
  <c r="O480" i="6" a="1"/>
  <c r="O480" i="6"/>
  <c r="N480" i="6" a="1"/>
  <c r="N480" i="6"/>
  <c r="S480" i="6"/>
  <c r="R480" i="6" a="1"/>
  <c r="R480" i="6"/>
  <c r="Q480" i="6" a="1"/>
  <c r="Q480" i="6"/>
  <c r="M480" i="6" a="1"/>
  <c r="M480" i="6"/>
  <c r="J480" i="6" a="1"/>
  <c r="J480" i="6"/>
  <c r="G480" i="6" a="1"/>
  <c r="G480" i="6"/>
  <c r="F480" i="6" a="1"/>
  <c r="F480" i="6"/>
  <c r="E480" i="6" a="1"/>
  <c r="E480" i="6"/>
  <c r="D480" i="6" a="1"/>
  <c r="D480" i="6"/>
  <c r="C480" i="6" a="1"/>
  <c r="C480" i="6"/>
  <c r="O479" i="6" a="1"/>
  <c r="O479" i="6"/>
  <c r="N479" i="6" a="1"/>
  <c r="N479" i="6"/>
  <c r="S479" i="6"/>
  <c r="R479" i="6" a="1"/>
  <c r="R479" i="6"/>
  <c r="Q479" i="6" a="1"/>
  <c r="Q479" i="6"/>
  <c r="M479" i="6" a="1"/>
  <c r="M479" i="6"/>
  <c r="J479" i="6" a="1"/>
  <c r="J479" i="6"/>
  <c r="G479" i="6" a="1"/>
  <c r="G479" i="6"/>
  <c r="F479" i="6" a="1"/>
  <c r="F479" i="6"/>
  <c r="E479" i="6" a="1"/>
  <c r="E479" i="6"/>
  <c r="D479" i="6" a="1"/>
  <c r="D479" i="6"/>
  <c r="C479" i="6" a="1"/>
  <c r="C479" i="6"/>
  <c r="O478" i="6" a="1"/>
  <c r="O478" i="6"/>
  <c r="N478" i="6" a="1"/>
  <c r="N478" i="6"/>
  <c r="S478" i="6"/>
  <c r="R478" i="6" a="1"/>
  <c r="R478" i="6"/>
  <c r="Q478" i="6" a="1"/>
  <c r="Q478" i="6"/>
  <c r="M478" i="6" a="1"/>
  <c r="M478" i="6"/>
  <c r="J478" i="6" a="1"/>
  <c r="J478" i="6"/>
  <c r="G478" i="6" a="1"/>
  <c r="G478" i="6"/>
  <c r="F478" i="6" a="1"/>
  <c r="F478" i="6"/>
  <c r="E478" i="6" a="1"/>
  <c r="E478" i="6"/>
  <c r="D478" i="6" a="1"/>
  <c r="D478" i="6"/>
  <c r="C478" i="6" a="1"/>
  <c r="C478" i="6"/>
  <c r="O477" i="6" a="1"/>
  <c r="O477" i="6"/>
  <c r="N477" i="6" a="1"/>
  <c r="N477" i="6"/>
  <c r="S477" i="6"/>
  <c r="R477" i="6" a="1"/>
  <c r="R477" i="6"/>
  <c r="Q477" i="6" a="1"/>
  <c r="Q477" i="6"/>
  <c r="M477" i="6" a="1"/>
  <c r="M477" i="6"/>
  <c r="J477" i="6" a="1"/>
  <c r="J477" i="6"/>
  <c r="G477" i="6" a="1"/>
  <c r="G477" i="6"/>
  <c r="F477" i="6" a="1"/>
  <c r="F477" i="6"/>
  <c r="E477" i="6" a="1"/>
  <c r="E477" i="6"/>
  <c r="D477" i="6" a="1"/>
  <c r="D477" i="6"/>
  <c r="C477" i="6" a="1"/>
  <c r="C477" i="6"/>
  <c r="O476" i="6" a="1"/>
  <c r="O476" i="6"/>
  <c r="N476" i="6" a="1"/>
  <c r="N476" i="6"/>
  <c r="S476" i="6"/>
  <c r="R476" i="6" a="1"/>
  <c r="R476" i="6"/>
  <c r="Q476" i="6" a="1"/>
  <c r="Q476" i="6"/>
  <c r="M476" i="6" a="1"/>
  <c r="M476" i="6"/>
  <c r="J476" i="6" a="1"/>
  <c r="J476" i="6"/>
  <c r="G476" i="6" a="1"/>
  <c r="G476" i="6"/>
  <c r="F476" i="6" a="1"/>
  <c r="F476" i="6"/>
  <c r="E476" i="6" a="1"/>
  <c r="E476" i="6"/>
  <c r="D476" i="6" a="1"/>
  <c r="D476" i="6"/>
  <c r="C476" i="6" a="1"/>
  <c r="C476" i="6"/>
  <c r="O475" i="6" a="1"/>
  <c r="O475" i="6"/>
  <c r="N475" i="6" a="1"/>
  <c r="N475" i="6"/>
  <c r="S475" i="6"/>
  <c r="R475" i="6" a="1"/>
  <c r="R475" i="6"/>
  <c r="Q475" i="6" a="1"/>
  <c r="Q475" i="6"/>
  <c r="M475" i="6" a="1"/>
  <c r="M475" i="6"/>
  <c r="J475" i="6" a="1"/>
  <c r="J475" i="6"/>
  <c r="G475" i="6" a="1"/>
  <c r="G475" i="6"/>
  <c r="F475" i="6" a="1"/>
  <c r="F475" i="6"/>
  <c r="E475" i="6" a="1"/>
  <c r="E475" i="6"/>
  <c r="D475" i="6" a="1"/>
  <c r="D475" i="6"/>
  <c r="C475" i="6" a="1"/>
  <c r="C475" i="6"/>
  <c r="O474" i="6" a="1"/>
  <c r="O474" i="6"/>
  <c r="N474" i="6" a="1"/>
  <c r="N474" i="6"/>
  <c r="S474" i="6"/>
  <c r="R474" i="6" a="1"/>
  <c r="R474" i="6"/>
  <c r="Q474" i="6" a="1"/>
  <c r="Q474" i="6"/>
  <c r="M474" i="6" a="1"/>
  <c r="M474" i="6"/>
  <c r="J474" i="6" a="1"/>
  <c r="J474" i="6"/>
  <c r="G474" i="6" a="1"/>
  <c r="G474" i="6"/>
  <c r="F474" i="6" a="1"/>
  <c r="F474" i="6"/>
  <c r="E474" i="6" a="1"/>
  <c r="E474" i="6"/>
  <c r="D474" i="6" a="1"/>
  <c r="D474" i="6"/>
  <c r="C474" i="6" a="1"/>
  <c r="C474" i="6"/>
  <c r="O473" i="6" a="1"/>
  <c r="O473" i="6"/>
  <c r="N473" i="6" a="1"/>
  <c r="N473" i="6"/>
  <c r="S473" i="6"/>
  <c r="R473" i="6" a="1"/>
  <c r="R473" i="6"/>
  <c r="Q473" i="6" a="1"/>
  <c r="Q473" i="6"/>
  <c r="M473" i="6" a="1"/>
  <c r="M473" i="6"/>
  <c r="J473" i="6" a="1"/>
  <c r="J473" i="6"/>
  <c r="G473" i="6" a="1"/>
  <c r="G473" i="6"/>
  <c r="F473" i="6" a="1"/>
  <c r="F473" i="6"/>
  <c r="E473" i="6" a="1"/>
  <c r="E473" i="6"/>
  <c r="D473" i="6" a="1"/>
  <c r="D473" i="6"/>
  <c r="C473" i="6" a="1"/>
  <c r="C473" i="6"/>
  <c r="O472" i="6" a="1"/>
  <c r="O472" i="6"/>
  <c r="N472" i="6" a="1"/>
  <c r="N472" i="6"/>
  <c r="S472" i="6"/>
  <c r="R472" i="6" a="1"/>
  <c r="R472" i="6"/>
  <c r="Q472" i="6" a="1"/>
  <c r="Q472" i="6"/>
  <c r="M472" i="6" a="1"/>
  <c r="M472" i="6"/>
  <c r="J472" i="6" a="1"/>
  <c r="J472" i="6"/>
  <c r="G472" i="6" a="1"/>
  <c r="G472" i="6"/>
  <c r="F472" i="6" a="1"/>
  <c r="F472" i="6"/>
  <c r="E472" i="6" a="1"/>
  <c r="E472" i="6"/>
  <c r="D472" i="6" a="1"/>
  <c r="D472" i="6"/>
  <c r="C472" i="6" a="1"/>
  <c r="C472" i="6"/>
  <c r="O471" i="6" a="1"/>
  <c r="O471" i="6"/>
  <c r="N471" i="6" a="1"/>
  <c r="N471" i="6"/>
  <c r="S471" i="6"/>
  <c r="R471" i="6" a="1"/>
  <c r="R471" i="6"/>
  <c r="Q471" i="6" a="1"/>
  <c r="Q471" i="6"/>
  <c r="M471" i="6" a="1"/>
  <c r="M471" i="6"/>
  <c r="J471" i="6" a="1"/>
  <c r="J471" i="6"/>
  <c r="G471" i="6" a="1"/>
  <c r="G471" i="6"/>
  <c r="F471" i="6" a="1"/>
  <c r="F471" i="6"/>
  <c r="E471" i="6" a="1"/>
  <c r="E471" i="6"/>
  <c r="D471" i="6" a="1"/>
  <c r="D471" i="6"/>
  <c r="C471" i="6" a="1"/>
  <c r="C471" i="6"/>
  <c r="O470" i="6" a="1"/>
  <c r="O470" i="6"/>
  <c r="N470" i="6" a="1"/>
  <c r="N470" i="6"/>
  <c r="S470" i="6"/>
  <c r="R470" i="6" a="1"/>
  <c r="R470" i="6"/>
  <c r="Q470" i="6" a="1"/>
  <c r="Q470" i="6"/>
  <c r="M470" i="6" a="1"/>
  <c r="M470" i="6"/>
  <c r="J470" i="6" a="1"/>
  <c r="J470" i="6"/>
  <c r="G470" i="6" a="1"/>
  <c r="G470" i="6"/>
  <c r="F470" i="6" a="1"/>
  <c r="F470" i="6"/>
  <c r="E470" i="6" a="1"/>
  <c r="E470" i="6"/>
  <c r="D470" i="6" a="1"/>
  <c r="D470" i="6"/>
  <c r="C470" i="6" a="1"/>
  <c r="C470" i="6"/>
  <c r="O469" i="6" a="1"/>
  <c r="O469" i="6"/>
  <c r="N469" i="6" a="1"/>
  <c r="N469" i="6"/>
  <c r="S469" i="6"/>
  <c r="R469" i="6" a="1"/>
  <c r="R469" i="6"/>
  <c r="Q469" i="6" a="1"/>
  <c r="Q469" i="6"/>
  <c r="M469" i="6" a="1"/>
  <c r="M469" i="6"/>
  <c r="J469" i="6" a="1"/>
  <c r="J469" i="6"/>
  <c r="G469" i="6" a="1"/>
  <c r="G469" i="6"/>
  <c r="F469" i="6" a="1"/>
  <c r="F469" i="6"/>
  <c r="E469" i="6" a="1"/>
  <c r="E469" i="6"/>
  <c r="D469" i="6" a="1"/>
  <c r="D469" i="6"/>
  <c r="C469" i="6" a="1"/>
  <c r="C469" i="6"/>
  <c r="O468" i="6" a="1"/>
  <c r="O468" i="6"/>
  <c r="N468" i="6" a="1"/>
  <c r="N468" i="6"/>
  <c r="S468" i="6"/>
  <c r="R468" i="6" a="1"/>
  <c r="R468" i="6"/>
  <c r="Q468" i="6" a="1"/>
  <c r="Q468" i="6"/>
  <c r="M468" i="6" a="1"/>
  <c r="M468" i="6"/>
  <c r="J468" i="6" a="1"/>
  <c r="J468" i="6"/>
  <c r="G468" i="6" a="1"/>
  <c r="G468" i="6"/>
  <c r="F468" i="6" a="1"/>
  <c r="F468" i="6"/>
  <c r="E468" i="6" a="1"/>
  <c r="E468" i="6"/>
  <c r="D468" i="6" a="1"/>
  <c r="D468" i="6"/>
  <c r="C468" i="6" a="1"/>
  <c r="C468" i="6"/>
  <c r="O467" i="6" a="1"/>
  <c r="O467" i="6"/>
  <c r="N467" i="6" a="1"/>
  <c r="N467" i="6"/>
  <c r="S467" i="6"/>
  <c r="R467" i="6" a="1"/>
  <c r="R467" i="6"/>
  <c r="Q467" i="6" a="1"/>
  <c r="Q467" i="6"/>
  <c r="M467" i="6" a="1"/>
  <c r="M467" i="6"/>
  <c r="J467" i="6" a="1"/>
  <c r="J467" i="6"/>
  <c r="G467" i="6" a="1"/>
  <c r="G467" i="6"/>
  <c r="F467" i="6" a="1"/>
  <c r="F467" i="6"/>
  <c r="E467" i="6" a="1"/>
  <c r="E467" i="6"/>
  <c r="D467" i="6" a="1"/>
  <c r="D467" i="6"/>
  <c r="C467" i="6" a="1"/>
  <c r="C467" i="6"/>
  <c r="O466" i="6" a="1"/>
  <c r="O466" i="6"/>
  <c r="N466" i="6" a="1"/>
  <c r="N466" i="6"/>
  <c r="S466" i="6"/>
  <c r="R466" i="6" a="1"/>
  <c r="R466" i="6"/>
  <c r="Q466" i="6" a="1"/>
  <c r="Q466" i="6"/>
  <c r="M466" i="6" a="1"/>
  <c r="M466" i="6"/>
  <c r="J466" i="6" a="1"/>
  <c r="J466" i="6"/>
  <c r="G466" i="6" a="1"/>
  <c r="G466" i="6"/>
  <c r="F466" i="6" a="1"/>
  <c r="F466" i="6"/>
  <c r="E466" i="6" a="1"/>
  <c r="E466" i="6"/>
  <c r="D466" i="6" a="1"/>
  <c r="D466" i="6"/>
  <c r="C466" i="6" a="1"/>
  <c r="C466" i="6"/>
  <c r="O465" i="6" a="1"/>
  <c r="O465" i="6"/>
  <c r="N465" i="6" a="1"/>
  <c r="N465" i="6"/>
  <c r="S465" i="6"/>
  <c r="R465" i="6" a="1"/>
  <c r="R465" i="6"/>
  <c r="Q465" i="6" a="1"/>
  <c r="Q465" i="6"/>
  <c r="M465" i="6" a="1"/>
  <c r="M465" i="6"/>
  <c r="J465" i="6" a="1"/>
  <c r="J465" i="6"/>
  <c r="G465" i="6" a="1"/>
  <c r="G465" i="6"/>
  <c r="F465" i="6" a="1"/>
  <c r="F465" i="6"/>
  <c r="E465" i="6" a="1"/>
  <c r="E465" i="6"/>
  <c r="D465" i="6" a="1"/>
  <c r="D465" i="6"/>
  <c r="C465" i="6" a="1"/>
  <c r="C465" i="6"/>
  <c r="O464" i="6" a="1"/>
  <c r="O464" i="6"/>
  <c r="N464" i="6" a="1"/>
  <c r="N464" i="6"/>
  <c r="S464" i="6"/>
  <c r="R464" i="6" a="1"/>
  <c r="R464" i="6"/>
  <c r="Q464" i="6" a="1"/>
  <c r="Q464" i="6"/>
  <c r="M464" i="6" a="1"/>
  <c r="M464" i="6"/>
  <c r="J464" i="6" a="1"/>
  <c r="J464" i="6"/>
  <c r="G464" i="6" a="1"/>
  <c r="G464" i="6"/>
  <c r="F464" i="6" a="1"/>
  <c r="F464" i="6"/>
  <c r="E464" i="6" a="1"/>
  <c r="E464" i="6"/>
  <c r="D464" i="6" a="1"/>
  <c r="D464" i="6"/>
  <c r="C464" i="6" a="1"/>
  <c r="C464" i="6"/>
  <c r="O463" i="6" a="1"/>
  <c r="O463" i="6"/>
  <c r="N463" i="6" a="1"/>
  <c r="N463" i="6"/>
  <c r="S463" i="6"/>
  <c r="R463" i="6" a="1"/>
  <c r="R463" i="6"/>
  <c r="Q463" i="6" a="1"/>
  <c r="Q463" i="6"/>
  <c r="M463" i="6" a="1"/>
  <c r="M463" i="6"/>
  <c r="J463" i="6" a="1"/>
  <c r="J463" i="6"/>
  <c r="G463" i="6" a="1"/>
  <c r="G463" i="6"/>
  <c r="F463" i="6" a="1"/>
  <c r="F463" i="6"/>
  <c r="E463" i="6" a="1"/>
  <c r="E463" i="6"/>
  <c r="D463" i="6" a="1"/>
  <c r="D463" i="6"/>
  <c r="C463" i="6" a="1"/>
  <c r="C463" i="6"/>
  <c r="O462" i="6" a="1"/>
  <c r="O462" i="6"/>
  <c r="N462" i="6" a="1"/>
  <c r="N462" i="6"/>
  <c r="S462" i="6"/>
  <c r="R462" i="6" a="1"/>
  <c r="R462" i="6"/>
  <c r="Q462" i="6" a="1"/>
  <c r="Q462" i="6"/>
  <c r="M462" i="6" a="1"/>
  <c r="M462" i="6"/>
  <c r="J462" i="6" a="1"/>
  <c r="J462" i="6"/>
  <c r="G462" i="6" a="1"/>
  <c r="G462" i="6"/>
  <c r="F462" i="6" a="1"/>
  <c r="F462" i="6"/>
  <c r="E462" i="6" a="1"/>
  <c r="E462" i="6"/>
  <c r="D462" i="6" a="1"/>
  <c r="D462" i="6"/>
  <c r="C462" i="6" a="1"/>
  <c r="C462" i="6"/>
  <c r="O461" i="6" a="1"/>
  <c r="O461" i="6"/>
  <c r="N461" i="6" a="1"/>
  <c r="N461" i="6"/>
  <c r="S461" i="6"/>
  <c r="R461" i="6" a="1"/>
  <c r="R461" i="6"/>
  <c r="Q461" i="6" a="1"/>
  <c r="Q461" i="6"/>
  <c r="M461" i="6" a="1"/>
  <c r="M461" i="6"/>
  <c r="J461" i="6" a="1"/>
  <c r="J461" i="6"/>
  <c r="G461" i="6" a="1"/>
  <c r="G461" i="6"/>
  <c r="F461" i="6" a="1"/>
  <c r="F461" i="6"/>
  <c r="E461" i="6" a="1"/>
  <c r="E461" i="6"/>
  <c r="D461" i="6" a="1"/>
  <c r="D461" i="6"/>
  <c r="C461" i="6" a="1"/>
  <c r="C461" i="6"/>
  <c r="O460" i="6" a="1"/>
  <c r="O460" i="6"/>
  <c r="N460" i="6" a="1"/>
  <c r="N460" i="6"/>
  <c r="S460" i="6"/>
  <c r="R460" i="6" a="1"/>
  <c r="R460" i="6"/>
  <c r="Q460" i="6" a="1"/>
  <c r="Q460" i="6"/>
  <c r="M460" i="6" a="1"/>
  <c r="M460" i="6"/>
  <c r="J460" i="6" a="1"/>
  <c r="J460" i="6"/>
  <c r="G460" i="6" a="1"/>
  <c r="G460" i="6"/>
  <c r="F460" i="6" a="1"/>
  <c r="F460" i="6"/>
  <c r="E460" i="6" a="1"/>
  <c r="E460" i="6"/>
  <c r="D460" i="6" a="1"/>
  <c r="D460" i="6"/>
  <c r="C460" i="6" a="1"/>
  <c r="C460" i="6"/>
  <c r="O459" i="6" a="1"/>
  <c r="O459" i="6"/>
  <c r="N459" i="6" a="1"/>
  <c r="N459" i="6"/>
  <c r="S459" i="6"/>
  <c r="R459" i="6" a="1"/>
  <c r="R459" i="6"/>
  <c r="Q459" i="6" a="1"/>
  <c r="Q459" i="6"/>
  <c r="M459" i="6" a="1"/>
  <c r="M459" i="6"/>
  <c r="J459" i="6" a="1"/>
  <c r="J459" i="6"/>
  <c r="G459" i="6" a="1"/>
  <c r="G459" i="6"/>
  <c r="F459" i="6" a="1"/>
  <c r="F459" i="6"/>
  <c r="E459" i="6" a="1"/>
  <c r="E459" i="6"/>
  <c r="D459" i="6" a="1"/>
  <c r="D459" i="6"/>
  <c r="C459" i="6" a="1"/>
  <c r="C459" i="6"/>
  <c r="O458" i="6" a="1"/>
  <c r="O458" i="6"/>
  <c r="N458" i="6" a="1"/>
  <c r="N458" i="6"/>
  <c r="S458" i="6"/>
  <c r="R458" i="6" a="1"/>
  <c r="R458" i="6"/>
  <c r="Q458" i="6" a="1"/>
  <c r="Q458" i="6"/>
  <c r="M458" i="6" a="1"/>
  <c r="M458" i="6"/>
  <c r="J458" i="6" a="1"/>
  <c r="J458" i="6"/>
  <c r="G458" i="6" a="1"/>
  <c r="G458" i="6"/>
  <c r="F458" i="6" a="1"/>
  <c r="F458" i="6"/>
  <c r="E458" i="6" a="1"/>
  <c r="E458" i="6"/>
  <c r="D458" i="6" a="1"/>
  <c r="D458" i="6"/>
  <c r="C458" i="6" a="1"/>
  <c r="C458" i="6"/>
  <c r="O457" i="6" a="1"/>
  <c r="O457" i="6"/>
  <c r="N457" i="6" a="1"/>
  <c r="N457" i="6"/>
  <c r="S457" i="6"/>
  <c r="R457" i="6" a="1"/>
  <c r="R457" i="6"/>
  <c r="Q457" i="6" a="1"/>
  <c r="Q457" i="6"/>
  <c r="M457" i="6" a="1"/>
  <c r="M457" i="6"/>
  <c r="J457" i="6" a="1"/>
  <c r="J457" i="6"/>
  <c r="G457" i="6" a="1"/>
  <c r="G457" i="6"/>
  <c r="F457" i="6" a="1"/>
  <c r="F457" i="6"/>
  <c r="E457" i="6" a="1"/>
  <c r="E457" i="6"/>
  <c r="D457" i="6" a="1"/>
  <c r="D457" i="6"/>
  <c r="C457" i="6" a="1"/>
  <c r="C457" i="6"/>
  <c r="O456" i="6" a="1"/>
  <c r="O456" i="6"/>
  <c r="N456" i="6" a="1"/>
  <c r="N456" i="6"/>
  <c r="S456" i="6"/>
  <c r="R456" i="6" a="1"/>
  <c r="R456" i="6"/>
  <c r="Q456" i="6" a="1"/>
  <c r="Q456" i="6"/>
  <c r="M456" i="6" a="1"/>
  <c r="M456" i="6"/>
  <c r="J456" i="6" a="1"/>
  <c r="J456" i="6"/>
  <c r="G456" i="6" a="1"/>
  <c r="G456" i="6"/>
  <c r="F456" i="6" a="1"/>
  <c r="F456" i="6"/>
  <c r="E456" i="6" a="1"/>
  <c r="E456" i="6"/>
  <c r="D456" i="6" a="1"/>
  <c r="D456" i="6"/>
  <c r="C456" i="6" a="1"/>
  <c r="C456" i="6"/>
  <c r="S455" i="6"/>
  <c r="S454" i="6"/>
  <c r="S453" i="6"/>
  <c r="S452" i="6"/>
  <c r="S451" i="6"/>
  <c r="S450" i="6"/>
  <c r="S449" i="6"/>
  <c r="S448" i="6"/>
  <c r="S447" i="6"/>
  <c r="S446" i="6"/>
  <c r="S445" i="6"/>
  <c r="S444" i="6"/>
  <c r="S443" i="6"/>
  <c r="S442" i="6"/>
  <c r="S441" i="6"/>
  <c r="S440" i="6"/>
  <c r="S439" i="6"/>
  <c r="S438" i="6"/>
  <c r="S437" i="6"/>
  <c r="S436" i="6"/>
  <c r="S435" i="6"/>
  <c r="S434" i="6"/>
  <c r="S433" i="6"/>
  <c r="S432" i="6"/>
  <c r="S431" i="6"/>
  <c r="S430" i="6"/>
  <c r="S429" i="6"/>
  <c r="S428" i="6"/>
  <c r="S427" i="6"/>
  <c r="S426" i="6"/>
  <c r="S425" i="6"/>
  <c r="S424" i="6"/>
  <c r="S423" i="6"/>
  <c r="S422" i="6"/>
  <c r="S421" i="6"/>
  <c r="S420" i="6"/>
  <c r="S419" i="6"/>
  <c r="S418" i="6"/>
  <c r="S417" i="6"/>
  <c r="S416" i="6"/>
  <c r="S415" i="6"/>
  <c r="S414" i="6"/>
  <c r="S413" i="6"/>
  <c r="S412" i="6"/>
  <c r="S411" i="6"/>
  <c r="S410" i="6"/>
  <c r="S409" i="6"/>
  <c r="S408" i="6"/>
  <c r="S407" i="6"/>
  <c r="S406" i="6"/>
  <c r="S405" i="6"/>
  <c r="S404" i="6"/>
  <c r="S403" i="6"/>
  <c r="S402" i="6"/>
  <c r="S401" i="6"/>
  <c r="S400" i="6"/>
  <c r="S399" i="6"/>
  <c r="S398" i="6"/>
  <c r="S397" i="6"/>
  <c r="S396" i="6"/>
  <c r="S395" i="6"/>
  <c r="S394" i="6"/>
  <c r="S393" i="6"/>
  <c r="S392" i="6"/>
  <c r="S391" i="6"/>
  <c r="S390" i="6"/>
  <c r="S389" i="6"/>
  <c r="S388" i="6"/>
  <c r="S387" i="6"/>
  <c r="S386" i="6"/>
  <c r="S385" i="6"/>
  <c r="S384" i="6"/>
  <c r="S383" i="6"/>
  <c r="S382" i="6"/>
  <c r="S381" i="6"/>
  <c r="S380" i="6"/>
  <c r="S379" i="6"/>
  <c r="S378" i="6"/>
  <c r="S377" i="6"/>
  <c r="S376" i="6"/>
  <c r="S375" i="6"/>
  <c r="S374" i="6"/>
  <c r="S373" i="6"/>
  <c r="S372" i="6"/>
  <c r="S371" i="6"/>
  <c r="S370" i="6"/>
  <c r="S369" i="6"/>
  <c r="S368" i="6"/>
  <c r="S367" i="6"/>
  <c r="S366" i="6"/>
  <c r="S365" i="6"/>
  <c r="S364" i="6"/>
  <c r="S363" i="6"/>
  <c r="S362" i="6"/>
  <c r="S361" i="6"/>
  <c r="S360" i="6"/>
  <c r="S359" i="6"/>
  <c r="S358" i="6"/>
  <c r="S357" i="6"/>
  <c r="S356" i="6"/>
  <c r="S355" i="6"/>
  <c r="S354" i="6"/>
  <c r="S353" i="6"/>
  <c r="S352" i="6"/>
  <c r="S351" i="6"/>
  <c r="S350" i="6"/>
  <c r="S349" i="6"/>
  <c r="S348" i="6"/>
  <c r="S347" i="6"/>
  <c r="S346" i="6"/>
  <c r="S345" i="6"/>
  <c r="S344" i="6"/>
  <c r="S343" i="6"/>
  <c r="S342" i="6"/>
  <c r="S341" i="6"/>
  <c r="S340" i="6"/>
  <c r="S339" i="6"/>
  <c r="S338" i="6"/>
  <c r="S337" i="6"/>
  <c r="S336" i="6"/>
  <c r="S335" i="6"/>
  <c r="S334" i="6"/>
  <c r="S333" i="6"/>
  <c r="S332" i="6"/>
  <c r="S331" i="6"/>
  <c r="S330" i="6"/>
  <c r="S329" i="6"/>
  <c r="S328" i="6"/>
  <c r="S327" i="6"/>
  <c r="R327" i="6" a="1"/>
  <c r="R327" i="6"/>
  <c r="S326" i="6"/>
  <c r="S325" i="6"/>
  <c r="S324" i="6"/>
  <c r="S323" i="6"/>
  <c r="S322" i="6"/>
  <c r="S321" i="6"/>
  <c r="S320" i="6"/>
  <c r="S319" i="6"/>
  <c r="S318" i="6"/>
  <c r="S317" i="6"/>
  <c r="S316" i="6"/>
  <c r="S315" i="6"/>
  <c r="S314" i="6"/>
  <c r="S313" i="6"/>
  <c r="S312" i="6"/>
  <c r="S311" i="6"/>
  <c r="S310" i="6"/>
  <c r="S309" i="6"/>
  <c r="S308" i="6"/>
  <c r="S307" i="6"/>
  <c r="S306" i="6"/>
  <c r="S305" i="6"/>
  <c r="S304" i="6"/>
  <c r="S303" i="6"/>
  <c r="S302" i="6"/>
  <c r="S301" i="6"/>
  <c r="S300" i="6"/>
  <c r="S299" i="6"/>
  <c r="S298" i="6"/>
  <c r="S297" i="6"/>
  <c r="R297" i="6" a="1"/>
  <c r="R297" i="6"/>
  <c r="S296" i="6"/>
  <c r="S295" i="6"/>
  <c r="S294" i="6"/>
  <c r="S293" i="6"/>
  <c r="S292" i="6"/>
  <c r="S291" i="6"/>
  <c r="S290" i="6"/>
  <c r="S289" i="6"/>
  <c r="S288" i="6"/>
  <c r="S287" i="6"/>
  <c r="S286" i="6"/>
  <c r="S285" i="6"/>
  <c r="S284" i="6"/>
  <c r="S283" i="6"/>
  <c r="S282" i="6"/>
  <c r="S281" i="6"/>
  <c r="S280" i="6"/>
  <c r="S279" i="6"/>
  <c r="S278" i="6"/>
  <c r="S277" i="6"/>
  <c r="S276" i="6"/>
  <c r="S275" i="6"/>
  <c r="S274" i="6"/>
  <c r="S273" i="6"/>
  <c r="S272" i="6"/>
  <c r="S271" i="6"/>
  <c r="S270" i="6"/>
  <c r="S269" i="6"/>
  <c r="S268" i="6"/>
  <c r="S267" i="6"/>
  <c r="S266" i="6"/>
  <c r="S265" i="6"/>
  <c r="S264" i="6"/>
  <c r="S263" i="6"/>
  <c r="S262" i="6"/>
  <c r="S261" i="6"/>
  <c r="S260" i="6"/>
  <c r="S259" i="6"/>
  <c r="S258" i="6"/>
  <c r="S257" i="6"/>
  <c r="S256" i="6"/>
  <c r="S255" i="6"/>
  <c r="S254" i="6"/>
  <c r="S253" i="6"/>
  <c r="S252" i="6"/>
  <c r="S251" i="6"/>
  <c r="S250" i="6"/>
  <c r="S249" i="6"/>
  <c r="S248" i="6"/>
  <c r="S247" i="6"/>
  <c r="S246" i="6"/>
  <c r="S245" i="6"/>
  <c r="S244" i="6"/>
  <c r="S243" i="6"/>
  <c r="S242" i="6"/>
  <c r="S241" i="6"/>
  <c r="S240" i="6"/>
  <c r="S239" i="6"/>
  <c r="S238" i="6"/>
  <c r="S237" i="6"/>
  <c r="S236" i="6"/>
  <c r="S235" i="6"/>
  <c r="S234" i="6"/>
  <c r="S233" i="6"/>
  <c r="S232" i="6"/>
  <c r="S231" i="6"/>
  <c r="S230" i="6"/>
  <c r="S229" i="6"/>
  <c r="S228" i="6"/>
  <c r="S227" i="6"/>
  <c r="S226" i="6"/>
  <c r="S225" i="6"/>
  <c r="S224" i="6"/>
  <c r="S223" i="6"/>
  <c r="S222" i="6"/>
  <c r="S221" i="6"/>
  <c r="S220" i="6"/>
  <c r="S219" i="6"/>
  <c r="S218" i="6"/>
  <c r="S217" i="6"/>
  <c r="S216" i="6"/>
  <c r="S215" i="6"/>
  <c r="S214" i="6"/>
  <c r="S213" i="6"/>
  <c r="S212" i="6"/>
  <c r="S211" i="6"/>
  <c r="S210" i="6"/>
  <c r="S209" i="6"/>
  <c r="S208" i="6"/>
  <c r="S207" i="6"/>
  <c r="S206" i="6"/>
  <c r="S205" i="6"/>
  <c r="S204" i="6"/>
  <c r="S203" i="6"/>
  <c r="S202" i="6"/>
  <c r="S201" i="6"/>
  <c r="S200" i="6"/>
  <c r="S199" i="6"/>
  <c r="S198" i="6"/>
  <c r="S197" i="6"/>
  <c r="S196" i="6"/>
  <c r="S195" i="6"/>
  <c r="S194" i="6"/>
  <c r="S193" i="6"/>
  <c r="S192" i="6"/>
  <c r="S191" i="6"/>
  <c r="S190" i="6"/>
  <c r="S189" i="6"/>
  <c r="S188" i="6"/>
  <c r="S187" i="6"/>
  <c r="S186" i="6"/>
  <c r="S185" i="6"/>
  <c r="S184" i="6"/>
  <c r="S183" i="6"/>
  <c r="S182" i="6"/>
  <c r="S181" i="6"/>
  <c r="S180" i="6"/>
  <c r="S179" i="6"/>
  <c r="S178" i="6"/>
  <c r="S177" i="6"/>
  <c r="S176" i="6"/>
  <c r="S175" i="6"/>
  <c r="S174" i="6"/>
  <c r="S173" i="6"/>
  <c r="S172" i="6"/>
  <c r="S171" i="6"/>
  <c r="S170" i="6"/>
  <c r="S169" i="6"/>
  <c r="S168" i="6"/>
  <c r="S167" i="6"/>
  <c r="S166" i="6"/>
  <c r="S165" i="6"/>
  <c r="S164" i="6"/>
  <c r="S163" i="6"/>
  <c r="S162" i="6"/>
  <c r="S161" i="6"/>
  <c r="S160" i="6"/>
  <c r="S159" i="6"/>
  <c r="S158" i="6"/>
  <c r="S157" i="6"/>
  <c r="S156" i="6"/>
  <c r="S155" i="6"/>
  <c r="S154" i="6"/>
  <c r="S153" i="6"/>
  <c r="S152" i="6"/>
  <c r="S151" i="6"/>
  <c r="S150" i="6"/>
  <c r="S149" i="6"/>
  <c r="S148" i="6"/>
  <c r="S147" i="6"/>
  <c r="S146" i="6"/>
  <c r="S145" i="6"/>
  <c r="S144" i="6"/>
  <c r="S143" i="6"/>
  <c r="S142" i="6"/>
  <c r="S141" i="6"/>
  <c r="S140" i="6"/>
  <c r="S139" i="6"/>
  <c r="S138" i="6"/>
  <c r="S137" i="6"/>
  <c r="S136" i="6"/>
  <c r="S135" i="6"/>
  <c r="S134" i="6"/>
  <c r="S133" i="6"/>
  <c r="S132" i="6"/>
  <c r="S131" i="6"/>
  <c r="S130" i="6"/>
  <c r="S129" i="6"/>
  <c r="S128" i="6"/>
  <c r="S127" i="6"/>
  <c r="S126" i="6"/>
  <c r="S125" i="6"/>
  <c r="S124" i="6"/>
  <c r="S123" i="6"/>
  <c r="S122" i="6"/>
  <c r="S121" i="6"/>
  <c r="S120" i="6"/>
  <c r="S119" i="6"/>
  <c r="S118" i="6"/>
  <c r="S117" i="6"/>
  <c r="S116" i="6"/>
  <c r="S115" i="6"/>
  <c r="S114" i="6"/>
  <c r="S113" i="6"/>
  <c r="S112" i="6"/>
  <c r="S111" i="6"/>
  <c r="S110" i="6"/>
  <c r="S109" i="6"/>
  <c r="S108" i="6"/>
  <c r="S107" i="6"/>
  <c r="S106" i="6"/>
  <c r="S105" i="6"/>
  <c r="S104" i="6"/>
  <c r="S103" i="6"/>
  <c r="S102" i="6"/>
  <c r="S101" i="6"/>
  <c r="S100" i="6"/>
  <c r="S99" i="6"/>
  <c r="S98" i="6"/>
  <c r="S97" i="6"/>
  <c r="S96" i="6"/>
  <c r="S95" i="6"/>
  <c r="S94" i="6"/>
  <c r="S93" i="6"/>
  <c r="S92" i="6"/>
  <c r="S91" i="6"/>
  <c r="S90" i="6"/>
  <c r="S89" i="6"/>
  <c r="S88" i="6"/>
  <c r="S87" i="6"/>
  <c r="S86" i="6"/>
  <c r="S85" i="6"/>
  <c r="S84" i="6"/>
  <c r="S83" i="6"/>
  <c r="S82" i="6"/>
  <c r="S81" i="6"/>
  <c r="S80" i="6"/>
  <c r="S79" i="6"/>
  <c r="S78" i="6"/>
  <c r="S77" i="6"/>
  <c r="S76" i="6"/>
  <c r="S75" i="6"/>
  <c r="S74" i="6"/>
  <c r="S73" i="6"/>
  <c r="S72" i="6"/>
  <c r="S71" i="6"/>
  <c r="S70" i="6"/>
  <c r="S69" i="6"/>
  <c r="S68" i="6"/>
  <c r="S67" i="6"/>
  <c r="S66" i="6"/>
  <c r="S65" i="6"/>
  <c r="S64" i="6"/>
  <c r="S63" i="6"/>
  <c r="S62" i="6"/>
  <c r="S61" i="6"/>
  <c r="S60" i="6"/>
  <c r="S59" i="6"/>
  <c r="S58" i="6"/>
  <c r="S57" i="6"/>
  <c r="S56" i="6"/>
  <c r="S55" i="6"/>
  <c r="S54" i="6"/>
  <c r="S53" i="6"/>
  <c r="S52" i="6"/>
  <c r="S51" i="6"/>
  <c r="S50" i="6"/>
  <c r="S49" i="6"/>
  <c r="S48" i="6"/>
  <c r="S47" i="6"/>
  <c r="S46" i="6"/>
  <c r="S45" i="6"/>
  <c r="S44" i="6"/>
  <c r="S43" i="6"/>
  <c r="S42" i="6"/>
  <c r="S41" i="6"/>
  <c r="S40" i="6"/>
  <c r="S39" i="6"/>
  <c r="S38" i="6"/>
  <c r="S37" i="6"/>
  <c r="S36" i="6"/>
  <c r="S35" i="6"/>
  <c r="S34" i="6"/>
  <c r="S33" i="6"/>
  <c r="S32" i="6"/>
  <c r="S31" i="6"/>
  <c r="S30" i="6"/>
  <c r="S29" i="6"/>
  <c r="S28" i="6"/>
  <c r="S27" i="6"/>
  <c r="S26" i="6"/>
  <c r="S25" i="6"/>
  <c r="S24" i="6"/>
  <c r="S23" i="6"/>
  <c r="S22" i="6"/>
  <c r="S21" i="6"/>
  <c r="S20" i="6"/>
  <c r="S19" i="6"/>
  <c r="S18" i="6"/>
  <c r="S17" i="6"/>
  <c r="S16" i="6"/>
  <c r="S15" i="6"/>
  <c r="S14" i="6"/>
  <c r="S1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Akram Pc</author>
  </authors>
  <commentList>
    <comment ref="M3" authorId="0" shapeId="0" xr:uid="{54D31989-C90C-431B-9E0D-921C8932B545}">
      <text>
        <r>
          <rPr>
            <b/>
            <sz val="9"/>
            <color indexed="81"/>
            <rFont val="Tahoma"/>
            <charset val="178"/>
          </rPr>
          <t>Akram Pc:</t>
        </r>
        <r>
          <rPr>
            <sz val="9"/>
            <color indexed="81"/>
            <rFont val="Tahoma"/>
            <charset val="178"/>
          </rPr>
          <t xml:space="preserve">
عطل بالدينمو</t>
        </r>
      </text>
    </comment>
    <comment ref="N3" authorId="0" shapeId="0" xr:uid="{389EBAD3-F26C-4F14-B8AC-4D353E25DB57}">
      <text>
        <r>
          <rPr>
            <b/>
            <sz val="9"/>
            <color indexed="81"/>
            <rFont val="Tahoma"/>
            <charset val="178"/>
          </rPr>
          <t>Akram Pc:</t>
        </r>
        <r>
          <rPr>
            <sz val="9"/>
            <color indexed="81"/>
            <rFont val="Tahoma"/>
            <charset val="178"/>
          </rPr>
          <t xml:space="preserve">
5-10-1447</t>
        </r>
      </text>
    </comment>
    <comment ref="O3" authorId="0" shapeId="0" xr:uid="{B561E9C8-8172-4FDB-8142-08BCB4631BF8}">
      <text>
        <r>
          <rPr>
            <b/>
            <sz val="9"/>
            <color indexed="81"/>
            <rFont val="Tahoma"/>
            <charset val="178"/>
          </rPr>
          <t>Akram Pc:</t>
        </r>
        <r>
          <rPr>
            <sz val="9"/>
            <color indexed="81"/>
            <rFont val="Tahoma"/>
            <charset val="178"/>
          </rPr>
          <t xml:space="preserve">
13-9-1447 + 24-10-1447</t>
        </r>
      </text>
    </comment>
    <comment ref="M4" authorId="0" shapeId="0" xr:uid="{77D50F0C-A6D8-48A6-BC7F-CFE77213B9F0}">
      <text>
        <r>
          <rPr>
            <b/>
            <sz val="9"/>
            <color indexed="81"/>
            <rFont val="Tahoma"/>
            <charset val="178"/>
          </rPr>
          <t>Akram Pc:</t>
        </r>
        <r>
          <rPr>
            <sz val="9"/>
            <color indexed="81"/>
            <rFont val="Tahoma"/>
            <charset val="178"/>
          </rPr>
          <t xml:space="preserve">
مساعدات + الرديتر</t>
        </r>
      </text>
    </comment>
    <comment ref="N4" authorId="0" shapeId="0" xr:uid="{45CA9AA0-9FFE-4229-A47C-61CDC8A7F4D0}">
      <text>
        <r>
          <rPr>
            <b/>
            <sz val="9"/>
            <color indexed="81"/>
            <rFont val="Tahoma"/>
            <charset val="178"/>
          </rPr>
          <t>Akram Pc:</t>
        </r>
        <r>
          <rPr>
            <sz val="9"/>
            <color indexed="81"/>
            <rFont val="Tahoma"/>
            <charset val="178"/>
          </rPr>
          <t xml:space="preserve">
2-11-1447</t>
        </r>
      </text>
    </comment>
    <comment ref="O4" authorId="0" shapeId="0" xr:uid="{E86122B2-2DE4-4F1F-B4E6-0ECF66920784}">
      <text>
        <r>
          <rPr>
            <b/>
            <sz val="9"/>
            <color indexed="81"/>
            <rFont val="Tahoma"/>
            <charset val="178"/>
          </rPr>
          <t>Akram Pc:</t>
        </r>
        <r>
          <rPr>
            <sz val="9"/>
            <color indexed="81"/>
            <rFont val="Tahoma"/>
            <charset val="178"/>
          </rPr>
          <t xml:space="preserve">
22-8-1447</t>
        </r>
      </text>
    </comment>
    <comment ref="O6" authorId="0" shapeId="0" xr:uid="{EA0759A1-12B6-46C9-8C93-933E184EED6D}">
      <text>
        <r>
          <rPr>
            <b/>
            <sz val="9"/>
            <color indexed="81"/>
            <rFont val="Tahoma"/>
            <family val="2"/>
          </rPr>
          <t>Akram Pc:</t>
        </r>
        <r>
          <rPr>
            <sz val="9"/>
            <color indexed="81"/>
            <rFont val="Tahoma"/>
            <family val="2"/>
          </rPr>
          <t xml:space="preserve">
15-9-1447</t>
        </r>
      </text>
    </comment>
    <comment ref="M8" authorId="0" shapeId="0" xr:uid="{E2453D1A-362C-4ED6-8731-5854B5D2D602}">
      <text>
        <r>
          <rPr>
            <b/>
            <sz val="9"/>
            <color indexed="81"/>
            <rFont val="Tahoma"/>
            <family val="2"/>
          </rPr>
          <t>Akram Pc:</t>
        </r>
        <r>
          <rPr>
            <sz val="9"/>
            <color indexed="81"/>
            <rFont val="Tahoma"/>
            <family val="2"/>
          </rPr>
          <t xml:space="preserve">
عطل في علبة الدركسون</t>
        </r>
      </text>
    </comment>
    <comment ref="N8" authorId="0" shapeId="0" xr:uid="{58DA652D-E1C1-4D4B-8350-FD5C1DFAEC5F}">
      <text>
        <r>
          <rPr>
            <b/>
            <sz val="9"/>
            <color indexed="81"/>
            <rFont val="Tahoma"/>
            <family val="2"/>
          </rPr>
          <t>Akram Pc:</t>
        </r>
        <r>
          <rPr>
            <sz val="9"/>
            <color indexed="81"/>
            <rFont val="Tahoma"/>
            <family val="2"/>
          </rPr>
          <t xml:space="preserve">
9-1-1447</t>
        </r>
      </text>
    </comment>
    <comment ref="M14" authorId="0" shapeId="0" xr:uid="{FF54EF7A-E648-4A8C-813A-29CF16872DBE}">
      <text>
        <r>
          <rPr>
            <b/>
            <sz val="9"/>
            <color indexed="81"/>
            <rFont val="Tahoma"/>
            <family val="2"/>
          </rPr>
          <t>Akram Pc:</t>
        </r>
        <r>
          <rPr>
            <sz val="9"/>
            <color indexed="81"/>
            <rFont val="Tahoma"/>
            <family val="2"/>
          </rPr>
          <t xml:space="preserve">
عدة اعطال (عصا القير)</t>
        </r>
      </text>
    </comment>
    <comment ref="N14" authorId="0" shapeId="0" xr:uid="{A1D701FD-68CC-498F-B980-3C8ADB4AB600}">
      <text>
        <r>
          <rPr>
            <b/>
            <sz val="9"/>
            <color indexed="81"/>
            <rFont val="Tahoma"/>
            <family val="2"/>
          </rPr>
          <t>Akram Pc:</t>
        </r>
        <r>
          <rPr>
            <sz val="9"/>
            <color indexed="81"/>
            <rFont val="Tahoma"/>
            <family val="2"/>
          </rPr>
          <t xml:space="preserve">
8-4-1447</t>
        </r>
      </text>
    </comment>
    <comment ref="O15" authorId="0" shapeId="0" xr:uid="{C11CBEF2-082F-4FD2-B34E-95FB651D483D}">
      <text>
        <r>
          <rPr>
            <b/>
            <sz val="9"/>
            <color indexed="81"/>
            <rFont val="Tahoma"/>
            <charset val="178"/>
          </rPr>
          <t>Akram Pc:</t>
        </r>
        <r>
          <rPr>
            <sz val="9"/>
            <color indexed="81"/>
            <rFont val="Tahoma"/>
            <charset val="178"/>
          </rPr>
          <t xml:space="preserve">
29-8-1447</t>
        </r>
      </text>
    </comment>
    <comment ref="O16" authorId="0" shapeId="0" xr:uid="{30EC6AE5-960D-48BE-BFD9-143F747C7670}">
      <text>
        <r>
          <rPr>
            <b/>
            <sz val="9"/>
            <color indexed="81"/>
            <rFont val="Tahoma"/>
            <family val="2"/>
          </rPr>
          <t>Akram Pc:</t>
        </r>
        <r>
          <rPr>
            <sz val="9"/>
            <color indexed="81"/>
            <rFont val="Tahoma"/>
            <family val="2"/>
          </rPr>
          <t xml:space="preserve">
22-7-1447</t>
        </r>
      </text>
    </comment>
    <comment ref="N20" authorId="0" shapeId="0" xr:uid="{C5D6FE0B-66CA-4C13-BFAE-2AAC4C98F756}">
      <text>
        <r>
          <rPr>
            <b/>
            <sz val="9"/>
            <color indexed="81"/>
            <rFont val="Tahoma"/>
            <family val="2"/>
          </rPr>
          <t>Akram Pc:</t>
        </r>
        <r>
          <rPr>
            <sz val="9"/>
            <color indexed="81"/>
            <rFont val="Tahoma"/>
            <family val="2"/>
          </rPr>
          <t xml:space="preserve">
26-11-1447</t>
        </r>
      </text>
    </comment>
    <comment ref="O20" authorId="0" shapeId="0" xr:uid="{A439FCA0-10D3-49B6-9B32-501B8E47D9E8}">
      <text>
        <r>
          <rPr>
            <b/>
            <sz val="9"/>
            <color indexed="81"/>
            <rFont val="Tahoma"/>
            <family val="2"/>
          </rPr>
          <t>Akram Pc:</t>
        </r>
        <r>
          <rPr>
            <sz val="9"/>
            <color indexed="81"/>
            <rFont val="Tahoma"/>
            <family val="2"/>
          </rPr>
          <t xml:space="preserve">
21-10-1447</t>
        </r>
      </text>
    </comment>
    <comment ref="M21" authorId="0" shapeId="0" xr:uid="{E57283D5-B320-487C-8DE6-909AE358CEDF}">
      <text>
        <r>
          <rPr>
            <b/>
            <sz val="9"/>
            <color indexed="81"/>
            <rFont val="Tahoma"/>
            <charset val="178"/>
          </rPr>
          <t>Akram Pc:</t>
        </r>
        <r>
          <rPr>
            <sz val="9"/>
            <color indexed="81"/>
            <rFont val="Tahoma"/>
            <charset val="178"/>
          </rPr>
          <t xml:space="preserve">
عطل مبرد القير + الفرامل</t>
        </r>
      </text>
    </comment>
    <comment ref="N21" authorId="0" shapeId="0" xr:uid="{133DE315-BC14-41F5-8149-0AC11EC9667E}">
      <text>
        <r>
          <rPr>
            <b/>
            <sz val="9"/>
            <color indexed="81"/>
            <rFont val="Tahoma"/>
            <charset val="178"/>
          </rPr>
          <t>Akram Pc:</t>
        </r>
        <r>
          <rPr>
            <sz val="9"/>
            <color indexed="81"/>
            <rFont val="Tahoma"/>
            <charset val="178"/>
          </rPr>
          <t xml:space="preserve">
7-11-1446</t>
        </r>
      </text>
    </comment>
    <comment ref="O27" authorId="0" shapeId="0" xr:uid="{50E51160-0F12-401D-BD10-6AD5335C114F}">
      <text>
        <r>
          <rPr>
            <b/>
            <sz val="9"/>
            <color indexed="81"/>
            <rFont val="Tahoma"/>
            <charset val="178"/>
          </rPr>
          <t>Akram Pc:</t>
        </r>
        <r>
          <rPr>
            <sz val="9"/>
            <color indexed="81"/>
            <rFont val="Tahoma"/>
            <charset val="178"/>
          </rPr>
          <t xml:space="preserve">
29-7-1447</t>
        </r>
      </text>
    </comment>
    <comment ref="M28" authorId="0" shapeId="0" xr:uid="{D0F61A1D-4024-426E-8308-AE53E7D0DDFB}">
      <text>
        <r>
          <rPr>
            <b/>
            <sz val="9"/>
            <color indexed="81"/>
            <rFont val="Tahoma"/>
            <family val="2"/>
          </rPr>
          <t>Akram Pc:</t>
        </r>
        <r>
          <rPr>
            <sz val="9"/>
            <color indexed="81"/>
            <rFont val="Tahoma"/>
            <family val="2"/>
          </rPr>
          <t xml:space="preserve">
عطل في الكليبر</t>
        </r>
      </text>
    </comment>
    <comment ref="N28" authorId="0" shapeId="0" xr:uid="{CE84A71B-EE01-409A-A8B2-501AB41616CD}">
      <text>
        <r>
          <rPr>
            <b/>
            <sz val="9"/>
            <color indexed="81"/>
            <rFont val="Tahoma"/>
            <family val="2"/>
          </rPr>
          <t>Akram Pc:</t>
        </r>
        <r>
          <rPr>
            <sz val="9"/>
            <color indexed="81"/>
            <rFont val="Tahoma"/>
            <family val="2"/>
          </rPr>
          <t xml:space="preserve">
5-1-1446</t>
        </r>
      </text>
    </comment>
    <comment ref="M31" authorId="0" shapeId="0" xr:uid="{7915BF6B-DE00-4897-A39A-2B5BE8B97929}">
      <text>
        <r>
          <rPr>
            <b/>
            <sz val="9"/>
            <color indexed="81"/>
            <rFont val="Tahoma"/>
            <charset val="178"/>
          </rPr>
          <t>Akram Pc:</t>
        </r>
        <r>
          <rPr>
            <sz val="9"/>
            <color indexed="81"/>
            <rFont val="Tahoma"/>
            <charset val="178"/>
          </rPr>
          <t xml:space="preserve">
عطل في بستم ذراع اللوبد</t>
        </r>
      </text>
    </comment>
    <comment ref="N31" authorId="0" shapeId="0" xr:uid="{053BB9B5-F8A5-4E42-A947-3041799144D0}">
      <text>
        <r>
          <rPr>
            <b/>
            <sz val="9"/>
            <color indexed="81"/>
            <rFont val="Tahoma"/>
            <charset val="178"/>
          </rPr>
          <t>Akram Pc:</t>
        </r>
        <r>
          <rPr>
            <sz val="9"/>
            <color indexed="81"/>
            <rFont val="Tahoma"/>
            <charset val="178"/>
          </rPr>
          <t xml:space="preserve">
4-3-1447</t>
        </r>
      </text>
    </comment>
    <comment ref="O33" authorId="0" shapeId="0" xr:uid="{09D32110-DCDC-4CAE-A4A6-3FEF8EDF7B95}">
      <text>
        <r>
          <rPr>
            <b/>
            <sz val="9"/>
            <color indexed="81"/>
            <rFont val="Tahoma"/>
            <charset val="178"/>
          </rPr>
          <t>Akram Pc:</t>
        </r>
        <r>
          <rPr>
            <sz val="9"/>
            <color indexed="81"/>
            <rFont val="Tahoma"/>
            <charset val="178"/>
          </rPr>
          <t xml:space="preserve">
7-9-1447</t>
        </r>
      </text>
    </comment>
    <comment ref="N40" authorId="0" shapeId="0" xr:uid="{D6EF9DD3-8701-4BEF-897E-9B76B856A3D5}">
      <text>
        <r>
          <rPr>
            <b/>
            <sz val="9"/>
            <color indexed="81"/>
            <rFont val="Tahoma"/>
            <family val="2"/>
          </rPr>
          <t>Akram Pc:</t>
        </r>
        <r>
          <rPr>
            <sz val="9"/>
            <color indexed="81"/>
            <rFont val="Tahoma"/>
            <family val="2"/>
          </rPr>
          <t xml:space="preserve">
29-8-1446</t>
        </r>
      </text>
    </comment>
    <comment ref="M43" authorId="0" shapeId="0" xr:uid="{10BBA5AB-81ED-4474-AA10-75256AB6A18F}">
      <text>
        <r>
          <rPr>
            <b/>
            <sz val="9"/>
            <color indexed="81"/>
            <rFont val="Tahoma"/>
            <charset val="178"/>
          </rPr>
          <t>Akram Pc:</t>
        </r>
        <r>
          <rPr>
            <sz val="9"/>
            <color indexed="81"/>
            <rFont val="Tahoma"/>
            <charset val="178"/>
          </rPr>
          <t xml:space="preserve">
بلف الهواء</t>
        </r>
      </text>
    </comment>
    <comment ref="N43" authorId="0" shapeId="0" xr:uid="{89D34B62-3E55-40AB-AD00-F993BA513B9D}">
      <text>
        <r>
          <rPr>
            <b/>
            <sz val="9"/>
            <color indexed="81"/>
            <rFont val="Tahoma"/>
            <charset val="178"/>
          </rPr>
          <t>Akram Pc:</t>
        </r>
        <r>
          <rPr>
            <sz val="9"/>
            <color indexed="81"/>
            <rFont val="Tahoma"/>
            <charset val="178"/>
          </rPr>
          <t xml:space="preserve">
24-10-1447</t>
        </r>
      </text>
    </comment>
    <comment ref="O43" authorId="0" shapeId="0" xr:uid="{6C1892F6-45BA-4CB6-A3B2-0609FC1AFBDC}">
      <text>
        <r>
          <rPr>
            <b/>
            <sz val="9"/>
            <color indexed="81"/>
            <rFont val="Tahoma"/>
            <charset val="178"/>
          </rPr>
          <t>Akram Pc:</t>
        </r>
        <r>
          <rPr>
            <sz val="9"/>
            <color indexed="81"/>
            <rFont val="Tahoma"/>
            <charset val="178"/>
          </rPr>
          <t xml:space="preserve">
20-10-1447</t>
        </r>
      </text>
    </comment>
    <comment ref="M46" authorId="0" shapeId="0" xr:uid="{C43218DA-DC8C-4F78-9323-F18E10455940}">
      <text>
        <r>
          <rPr>
            <b/>
            <sz val="9"/>
            <color indexed="81"/>
            <rFont val="Tahoma"/>
            <charset val="178"/>
          </rPr>
          <t>Akram Pc:</t>
        </r>
        <r>
          <rPr>
            <sz val="9"/>
            <color indexed="81"/>
            <rFont val="Tahoma"/>
            <charset val="178"/>
          </rPr>
          <t xml:space="preserve">
بنشر كفر امامي يسار</t>
        </r>
      </text>
    </comment>
    <comment ref="N46" authorId="0" shapeId="0" xr:uid="{F13E6C76-4000-4BD3-902F-22F00091F932}">
      <text>
        <r>
          <rPr>
            <b/>
            <sz val="9"/>
            <color indexed="81"/>
            <rFont val="Tahoma"/>
            <charset val="178"/>
          </rPr>
          <t>Akram Pc:</t>
        </r>
        <r>
          <rPr>
            <sz val="9"/>
            <color indexed="81"/>
            <rFont val="Tahoma"/>
            <charset val="178"/>
          </rPr>
          <t xml:space="preserve">
29-1-1447</t>
        </r>
      </text>
    </comment>
    <comment ref="O49" authorId="0" shapeId="0" xr:uid="{EEC03536-BFDE-4623-AE00-5B6333300A11}">
      <text>
        <r>
          <rPr>
            <b/>
            <sz val="9"/>
            <color indexed="81"/>
            <rFont val="Tahoma"/>
            <family val="2"/>
          </rPr>
          <t>Akram Pc:</t>
        </r>
        <r>
          <rPr>
            <sz val="9"/>
            <color indexed="81"/>
            <rFont val="Tahoma"/>
            <family val="2"/>
          </rPr>
          <t xml:space="preserve">
16-8-1447 + 7-10-1447 + 13-10-1447 - 14-10-1447</t>
        </r>
      </text>
    </comment>
    <comment ref="M50" authorId="0" shapeId="0" xr:uid="{65412ED7-B1C6-4A18-926B-6306E5B86535}">
      <text>
        <r>
          <rPr>
            <b/>
            <sz val="9"/>
            <color indexed="81"/>
            <rFont val="Tahoma"/>
            <charset val="178"/>
          </rPr>
          <t>Akram Pc:</t>
        </r>
        <r>
          <rPr>
            <sz val="9"/>
            <color indexed="81"/>
            <rFont val="Tahoma"/>
            <charset val="178"/>
          </rPr>
          <t xml:space="preserve">
بنشر</t>
        </r>
      </text>
    </comment>
    <comment ref="N50" authorId="0" shapeId="0" xr:uid="{58D008D7-D1C5-49FC-9F3C-E17209300C72}">
      <text>
        <r>
          <rPr>
            <b/>
            <sz val="9"/>
            <color indexed="81"/>
            <rFont val="Tahoma"/>
            <charset val="178"/>
          </rPr>
          <t>Akram Pc:</t>
        </r>
        <r>
          <rPr>
            <sz val="9"/>
            <color indexed="81"/>
            <rFont val="Tahoma"/>
            <charset val="178"/>
          </rPr>
          <t xml:space="preserve">
23-10-1447 - 18-11-1447 - 5-1-1448</t>
        </r>
      </text>
    </comment>
    <comment ref="O50" authorId="0" shapeId="0" xr:uid="{675C8CAA-4B13-47ED-9D3F-F8792634E71D}">
      <text>
        <r>
          <rPr>
            <b/>
            <sz val="9"/>
            <color indexed="81"/>
            <rFont val="Tahoma"/>
            <family val="2"/>
          </rPr>
          <t>Akram Pc:</t>
        </r>
        <r>
          <rPr>
            <sz val="9"/>
            <color indexed="81"/>
            <rFont val="Tahoma"/>
            <family val="2"/>
          </rPr>
          <t xml:space="preserve">
23-10-1447 - 21-11-1447 - 11-1-1448</t>
        </r>
      </text>
    </comment>
    <comment ref="O51" authorId="0" shapeId="0" xr:uid="{FAC9F3A0-0AD6-48E4-878D-5422F3F460A2}">
      <text>
        <r>
          <rPr>
            <b/>
            <sz val="9"/>
            <color indexed="81"/>
            <rFont val="Tahoma"/>
            <charset val="178"/>
          </rPr>
          <t>Akram Pc:</t>
        </r>
        <r>
          <rPr>
            <sz val="9"/>
            <color indexed="81"/>
            <rFont val="Tahoma"/>
            <charset val="178"/>
          </rPr>
          <t xml:space="preserve">
23-8-1447</t>
        </r>
      </text>
    </comment>
    <comment ref="M56" authorId="0" shapeId="0" xr:uid="{8F7C3AE6-9090-4039-B20C-1D6181CB9E9C}">
      <text>
        <r>
          <rPr>
            <b/>
            <sz val="9"/>
            <color indexed="81"/>
            <rFont val="Tahoma"/>
            <charset val="178"/>
          </rPr>
          <t>Akram Pc:</t>
        </r>
        <r>
          <rPr>
            <sz val="9"/>
            <color indexed="81"/>
            <rFont val="Tahoma"/>
            <charset val="178"/>
          </rPr>
          <t xml:space="preserve">
ارتفاع الحرارة</t>
        </r>
      </text>
    </comment>
    <comment ref="N56" authorId="0" shapeId="0" xr:uid="{8A57FCB4-B213-49E0-83DE-71BF1678FE22}">
      <text>
        <r>
          <rPr>
            <b/>
            <sz val="9"/>
            <color indexed="81"/>
            <rFont val="Tahoma"/>
            <charset val="178"/>
          </rPr>
          <t>Akram Pc:</t>
        </r>
        <r>
          <rPr>
            <sz val="9"/>
            <color indexed="81"/>
            <rFont val="Tahoma"/>
            <charset val="178"/>
          </rPr>
          <t xml:space="preserve">
26-1-1447</t>
        </r>
      </text>
    </comment>
    <comment ref="M57" authorId="0" shapeId="0" xr:uid="{7AC3885E-3EC4-4FE2-9026-A3C9A637355E}">
      <text>
        <r>
          <rPr>
            <b/>
            <sz val="9"/>
            <color indexed="81"/>
            <rFont val="Tahoma"/>
            <charset val="178"/>
          </rPr>
          <t>Akram Pc:</t>
        </r>
        <r>
          <rPr>
            <sz val="9"/>
            <color indexed="81"/>
            <rFont val="Tahoma"/>
            <charset val="178"/>
          </rPr>
          <t xml:space="preserve">
انفجار الكفر وحدوث تلفيات واعطال </t>
        </r>
      </text>
    </comment>
    <comment ref="N57" authorId="0" shapeId="0" xr:uid="{3C6E6EC9-6615-4A93-923F-293DBA2BF2C7}">
      <text>
        <r>
          <rPr>
            <b/>
            <sz val="9"/>
            <color indexed="81"/>
            <rFont val="Tahoma"/>
            <charset val="178"/>
          </rPr>
          <t>Akram Pc:</t>
        </r>
        <r>
          <rPr>
            <sz val="9"/>
            <color indexed="81"/>
            <rFont val="Tahoma"/>
            <charset val="178"/>
          </rPr>
          <t xml:space="preserve">
انفجار الكفر وحدوث تلفيات واعطال </t>
        </r>
      </text>
    </comment>
    <comment ref="O63" authorId="0" shapeId="0" xr:uid="{D36DC7F3-7E17-423E-B3CE-40E2CC4906EA}">
      <text>
        <r>
          <rPr>
            <b/>
            <sz val="9"/>
            <color indexed="81"/>
            <rFont val="Tahoma"/>
            <family val="2"/>
          </rPr>
          <t>Akram Pc:</t>
        </r>
        <r>
          <rPr>
            <sz val="9"/>
            <color indexed="81"/>
            <rFont val="Tahoma"/>
            <family val="2"/>
          </rPr>
          <t xml:space="preserve">
16-9-1447</t>
        </r>
      </text>
    </comment>
    <comment ref="O73" authorId="0" shapeId="0" xr:uid="{C8A50BEC-EF99-4452-A06E-4DCAD255A558}">
      <text>
        <r>
          <rPr>
            <b/>
            <sz val="9"/>
            <color indexed="81"/>
            <rFont val="Tahoma"/>
            <family val="2"/>
          </rPr>
          <t>Akram Pc:</t>
        </r>
        <r>
          <rPr>
            <sz val="9"/>
            <color indexed="81"/>
            <rFont val="Tahoma"/>
            <family val="2"/>
          </rPr>
          <t xml:space="preserve">
17-10-1447</t>
        </r>
      </text>
    </comment>
    <comment ref="O74" authorId="0" shapeId="0" xr:uid="{F267D953-7370-4F27-8709-D36ECB269AEB}">
      <text>
        <r>
          <rPr>
            <b/>
            <sz val="9"/>
            <color indexed="81"/>
            <rFont val="Tahoma"/>
            <family val="2"/>
          </rPr>
          <t>Akram Pc:</t>
        </r>
        <r>
          <rPr>
            <sz val="9"/>
            <color indexed="81"/>
            <rFont val="Tahoma"/>
            <family val="2"/>
          </rPr>
          <t xml:space="preserve">
18-10-1447</t>
        </r>
      </text>
    </comment>
    <comment ref="M75" authorId="0" shapeId="0" xr:uid="{AACCBE40-3A64-4A86-B64B-8A731FA92CE5}">
      <text>
        <r>
          <rPr>
            <b/>
            <sz val="9"/>
            <color indexed="81"/>
            <rFont val="Tahoma"/>
            <charset val="178"/>
          </rPr>
          <t>Akram Pc:</t>
        </r>
        <r>
          <rPr>
            <sz val="9"/>
            <color indexed="81"/>
            <rFont val="Tahoma"/>
            <charset val="178"/>
          </rPr>
          <t xml:space="preserve">
كفرات</t>
        </r>
      </text>
    </comment>
    <comment ref="N75" authorId="0" shapeId="0" xr:uid="{17A348B5-2C56-4A91-96C2-3244D1ED2B1B}">
      <text>
        <r>
          <rPr>
            <b/>
            <sz val="9"/>
            <color indexed="81"/>
            <rFont val="Tahoma"/>
            <charset val="178"/>
          </rPr>
          <t>Akram Pc:</t>
        </r>
        <r>
          <rPr>
            <sz val="9"/>
            <color indexed="81"/>
            <rFont val="Tahoma"/>
            <charset val="178"/>
          </rPr>
          <t xml:space="preserve">
3-9-1447</t>
        </r>
      </text>
    </comment>
    <comment ref="O75" authorId="0" shapeId="0" xr:uid="{6D48FD72-E0B8-4998-A363-B5F229D8B9E6}">
      <text>
        <r>
          <rPr>
            <b/>
            <sz val="9"/>
            <color indexed="81"/>
            <rFont val="Tahoma"/>
            <charset val="178"/>
          </rPr>
          <t>Akram Pc:</t>
        </r>
        <r>
          <rPr>
            <sz val="9"/>
            <color indexed="81"/>
            <rFont val="Tahoma"/>
            <charset val="178"/>
          </rPr>
          <t xml:space="preserve">
2-9-1447</t>
        </r>
      </text>
    </comment>
    <comment ref="M79" authorId="0" shapeId="0" xr:uid="{D9757542-AEF0-472E-ADDF-50D37360CC6B}">
      <text>
        <r>
          <rPr>
            <b/>
            <sz val="9"/>
            <color indexed="81"/>
            <rFont val="Tahoma"/>
            <charset val="178"/>
          </rPr>
          <t>Akram Pc:</t>
        </r>
        <r>
          <rPr>
            <sz val="9"/>
            <color indexed="81"/>
            <rFont val="Tahoma"/>
            <charset val="178"/>
          </rPr>
          <t xml:space="preserve">
بنشر</t>
        </r>
      </text>
    </comment>
    <comment ref="N79" authorId="0" shapeId="0" xr:uid="{90A5A516-6094-4A50-976D-346ADBE1B74B}">
      <text>
        <r>
          <rPr>
            <b/>
            <sz val="9"/>
            <color indexed="81"/>
            <rFont val="Tahoma"/>
            <charset val="178"/>
          </rPr>
          <t>Akram Pc:</t>
        </r>
        <r>
          <rPr>
            <sz val="9"/>
            <color indexed="81"/>
            <rFont val="Tahoma"/>
            <charset val="178"/>
          </rPr>
          <t xml:space="preserve">
23-10-1447</t>
        </r>
      </text>
    </comment>
    <comment ref="O79" authorId="0" shapeId="0" xr:uid="{58910519-5994-4FF7-B5B4-3B7870AFAE40}">
      <text>
        <r>
          <rPr>
            <b/>
            <sz val="9"/>
            <color indexed="81"/>
            <rFont val="Tahoma"/>
            <charset val="178"/>
          </rPr>
          <t>Akram Pc:</t>
        </r>
        <r>
          <rPr>
            <sz val="9"/>
            <color indexed="81"/>
            <rFont val="Tahoma"/>
            <charset val="178"/>
          </rPr>
          <t xml:space="preserve">
19-10-1447 + 19-10-1447</t>
        </r>
      </text>
    </comment>
    <comment ref="L87" authorId="0" shapeId="0" xr:uid="{A9437A5D-3A9E-45A9-982A-573E2B95002D}">
      <text>
        <r>
          <rPr>
            <b/>
            <sz val="9"/>
            <color indexed="81"/>
            <rFont val="Tahoma"/>
            <family val="2"/>
          </rPr>
          <t>Akram Pc:</t>
        </r>
        <r>
          <rPr>
            <sz val="9"/>
            <color indexed="81"/>
            <rFont val="Tahoma"/>
            <family val="2"/>
          </rPr>
          <t xml:space="preserve">
ميكانيكي</t>
        </r>
      </text>
    </comment>
    <comment ref="M87" authorId="0" shapeId="0" xr:uid="{4753E076-3D73-4CB6-95F5-490D4DA6B1E0}">
      <text>
        <r>
          <rPr>
            <b/>
            <sz val="9"/>
            <color indexed="81"/>
            <rFont val="Tahoma"/>
            <family val="2"/>
          </rPr>
          <t>Akram Pc:</t>
        </r>
        <r>
          <rPr>
            <sz val="9"/>
            <color indexed="81"/>
            <rFont val="Tahoma"/>
            <family val="2"/>
          </rPr>
          <t xml:space="preserve">
خلط ماء مع الزيت</t>
        </r>
      </text>
    </comment>
    <comment ref="N87" authorId="0" shapeId="0" xr:uid="{1BF2C7FE-D6DA-44CB-B9A0-49E1150B8ADD}">
      <text>
        <r>
          <rPr>
            <b/>
            <sz val="9"/>
            <color indexed="81"/>
            <rFont val="Tahoma"/>
            <family val="2"/>
          </rPr>
          <t>Akram Pc:</t>
        </r>
        <r>
          <rPr>
            <sz val="9"/>
            <color indexed="81"/>
            <rFont val="Tahoma"/>
            <family val="2"/>
          </rPr>
          <t xml:space="preserve">
19-3-1447</t>
        </r>
      </text>
    </comment>
    <comment ref="M88" authorId="0" shapeId="0" xr:uid="{A20A0C14-6632-4946-89E5-337F9324E474}">
      <text>
        <r>
          <rPr>
            <b/>
            <sz val="9"/>
            <color indexed="81"/>
            <rFont val="Tahoma"/>
            <family val="2"/>
          </rPr>
          <t>Akram Pc:</t>
        </r>
        <r>
          <rPr>
            <sz val="9"/>
            <color indexed="81"/>
            <rFont val="Tahoma"/>
            <family val="2"/>
          </rPr>
          <t xml:space="preserve">
عطل في سير المكينة</t>
        </r>
      </text>
    </comment>
    <comment ref="N88" authorId="0" shapeId="0" xr:uid="{79CD59FF-8560-45EE-BA2D-E882B91C369D}">
      <text>
        <r>
          <rPr>
            <b/>
            <sz val="9"/>
            <color indexed="81"/>
            <rFont val="Tahoma"/>
            <family val="2"/>
          </rPr>
          <t>Akram Pc:</t>
        </r>
        <r>
          <rPr>
            <sz val="9"/>
            <color indexed="81"/>
            <rFont val="Tahoma"/>
            <family val="2"/>
          </rPr>
          <t xml:space="preserve">
19-3-1447</t>
        </r>
      </text>
    </comment>
    <comment ref="M93" authorId="0" shapeId="0" xr:uid="{CD392F0B-D1E6-471E-8F9E-25FF6EA66663}">
      <text>
        <r>
          <rPr>
            <b/>
            <sz val="9"/>
            <color indexed="81"/>
            <rFont val="Tahoma"/>
            <family val="2"/>
          </rPr>
          <t>Akram Pc:</t>
        </r>
        <r>
          <rPr>
            <sz val="9"/>
            <color indexed="81"/>
            <rFont val="Tahoma"/>
            <family val="2"/>
          </rPr>
          <t xml:space="preserve">
خلل في عصا القير</t>
        </r>
      </text>
    </comment>
    <comment ref="N93" authorId="0" shapeId="0" xr:uid="{1B970D97-F4D2-46F2-8D32-12B6D4CB0E81}">
      <text>
        <r>
          <rPr>
            <b/>
            <sz val="9"/>
            <color indexed="81"/>
            <rFont val="Tahoma"/>
            <family val="2"/>
          </rPr>
          <t>Akram Pc:</t>
        </r>
        <r>
          <rPr>
            <sz val="9"/>
            <color indexed="81"/>
            <rFont val="Tahoma"/>
            <family val="2"/>
          </rPr>
          <t xml:space="preserve">
18-5-1446</t>
        </r>
      </text>
    </comment>
    <comment ref="M95" authorId="0" shapeId="0" xr:uid="{4F03493A-5DD8-4C22-8E99-9CA873A9F938}">
      <text>
        <r>
          <rPr>
            <b/>
            <sz val="9"/>
            <color indexed="81"/>
            <rFont val="Tahoma"/>
            <charset val="178"/>
          </rPr>
          <t>Akram Pc:</t>
        </r>
        <r>
          <rPr>
            <sz val="9"/>
            <color indexed="81"/>
            <rFont val="Tahoma"/>
            <charset val="178"/>
          </rPr>
          <t xml:space="preserve">
ارتفاع درجة الحرارة</t>
        </r>
      </text>
    </comment>
    <comment ref="N95" authorId="0" shapeId="0" xr:uid="{925AB01C-84D3-46DF-89E0-A317C2ABCBD7}">
      <text>
        <r>
          <rPr>
            <b/>
            <sz val="9"/>
            <color indexed="81"/>
            <rFont val="Tahoma"/>
            <charset val="178"/>
          </rPr>
          <t>Akram Pc:</t>
        </r>
        <r>
          <rPr>
            <sz val="9"/>
            <color indexed="81"/>
            <rFont val="Tahoma"/>
            <charset val="178"/>
          </rPr>
          <t xml:space="preserve">
18-12-1446</t>
        </r>
      </text>
    </comment>
    <comment ref="N102" authorId="0" shapeId="0" xr:uid="{875A9A7A-9561-4BE5-A59E-34C83A6DAB99}">
      <text>
        <r>
          <rPr>
            <b/>
            <sz val="9"/>
            <color indexed="81"/>
            <rFont val="Tahoma"/>
            <charset val="178"/>
          </rPr>
          <t>Akram Pc:</t>
        </r>
        <r>
          <rPr>
            <sz val="9"/>
            <color indexed="81"/>
            <rFont val="Tahoma"/>
            <charset val="178"/>
          </rPr>
          <t xml:space="preserve">
29-11-1447</t>
        </r>
      </text>
    </comment>
    <comment ref="O102" authorId="0" shapeId="0" xr:uid="{55D58394-AE48-4A89-A2E6-B76B1D067DE0}">
      <text>
        <r>
          <rPr>
            <b/>
            <sz val="9"/>
            <color indexed="81"/>
            <rFont val="Tahoma"/>
            <charset val="178"/>
          </rPr>
          <t>Akram Pc:</t>
        </r>
        <r>
          <rPr>
            <sz val="9"/>
            <color indexed="81"/>
            <rFont val="Tahoma"/>
            <charset val="178"/>
          </rPr>
          <t xml:space="preserve">
13-6-1447</t>
        </r>
      </text>
    </comment>
    <comment ref="O105" authorId="0" shapeId="0" xr:uid="{655BE790-08BB-456A-90C4-A3D72E16023E}">
      <text>
        <r>
          <rPr>
            <b/>
            <sz val="9"/>
            <color indexed="81"/>
            <rFont val="Tahoma"/>
            <charset val="178"/>
          </rPr>
          <t>Akram Pc:</t>
        </r>
        <r>
          <rPr>
            <sz val="9"/>
            <color indexed="81"/>
            <rFont val="Tahoma"/>
            <charset val="178"/>
          </rPr>
          <t xml:space="preserve">
21-9-1447</t>
        </r>
      </text>
    </comment>
    <comment ref="O106" authorId="0" shapeId="0" xr:uid="{A3399FDA-288C-4CC3-963D-538ADDE23989}">
      <text>
        <r>
          <rPr>
            <b/>
            <sz val="9"/>
            <color indexed="81"/>
            <rFont val="Tahoma"/>
            <family val="2"/>
          </rPr>
          <t>Akram Pc:</t>
        </r>
        <r>
          <rPr>
            <sz val="9"/>
            <color indexed="81"/>
            <rFont val="Tahoma"/>
            <family val="2"/>
          </rPr>
          <t xml:space="preserve">
17-10-1447</t>
        </r>
      </text>
    </comment>
    <comment ref="M108" authorId="0" shapeId="0" xr:uid="{92D3BBA8-B076-4B7F-AFC6-749C28521282}">
      <text>
        <r>
          <rPr>
            <b/>
            <sz val="9"/>
            <color indexed="81"/>
            <rFont val="Tahoma"/>
            <family val="2"/>
          </rPr>
          <t>Akram Pc:</t>
        </r>
        <r>
          <rPr>
            <sz val="9"/>
            <color indexed="81"/>
            <rFont val="Tahoma"/>
            <family val="2"/>
          </rPr>
          <t xml:space="preserve">
مروحة التبريد</t>
        </r>
      </text>
    </comment>
    <comment ref="N108" authorId="0" shapeId="0" xr:uid="{62232682-785E-456B-BA5F-8A0A548FDC1F}">
      <text>
        <r>
          <rPr>
            <b/>
            <sz val="9"/>
            <color indexed="81"/>
            <rFont val="Tahoma"/>
            <family val="2"/>
          </rPr>
          <t>Akram Pc:</t>
        </r>
        <r>
          <rPr>
            <sz val="9"/>
            <color indexed="81"/>
            <rFont val="Tahoma"/>
            <family val="2"/>
          </rPr>
          <t xml:space="preserve">
1-5-1447</t>
        </r>
      </text>
    </comment>
    <comment ref="M109" authorId="0" shapeId="0" xr:uid="{5BE1DE6A-0D58-4765-987F-4AC704D8E07E}">
      <text>
        <r>
          <rPr>
            <b/>
            <sz val="9"/>
            <color indexed="81"/>
            <rFont val="Tahoma"/>
            <family val="2"/>
          </rPr>
          <t>Akram Pc:</t>
        </r>
        <r>
          <rPr>
            <sz val="9"/>
            <color indexed="81"/>
            <rFont val="Tahoma"/>
            <family val="2"/>
          </rPr>
          <t xml:space="preserve">
عطل في الكيبر الامامي مصلب</t>
        </r>
      </text>
    </comment>
    <comment ref="N109" authorId="0" shapeId="0" xr:uid="{A4D3BE9F-1A71-412D-A4F7-5E008C51B205}">
      <text>
        <r>
          <rPr>
            <b/>
            <sz val="9"/>
            <color indexed="81"/>
            <rFont val="Tahoma"/>
            <family val="2"/>
          </rPr>
          <t>Akram Pc:</t>
        </r>
        <r>
          <rPr>
            <sz val="9"/>
            <color indexed="81"/>
            <rFont val="Tahoma"/>
            <family val="2"/>
          </rPr>
          <t xml:space="preserve">
15-12-1446</t>
        </r>
      </text>
    </comment>
    <comment ref="L111" authorId="0" shapeId="0" xr:uid="{33396F16-0D49-4DD4-9C67-8294EB86D05F}">
      <text>
        <r>
          <rPr>
            <b/>
            <sz val="9"/>
            <color indexed="81"/>
            <rFont val="Tahoma"/>
            <charset val="178"/>
          </rPr>
          <t>Akram Pc:</t>
        </r>
        <r>
          <rPr>
            <sz val="9"/>
            <color indexed="81"/>
            <rFont val="Tahoma"/>
            <charset val="178"/>
          </rPr>
          <t xml:space="preserve">
مضخات</t>
        </r>
      </text>
    </comment>
    <comment ref="M111" authorId="0" shapeId="0" xr:uid="{EE2B7BBA-FDE0-44F3-B928-3F9E65D0022D}">
      <text>
        <r>
          <rPr>
            <b/>
            <sz val="9"/>
            <color indexed="81"/>
            <rFont val="Tahoma"/>
            <charset val="178"/>
          </rPr>
          <t>Akram Pc:</t>
        </r>
        <r>
          <rPr>
            <sz val="9"/>
            <color indexed="81"/>
            <rFont val="Tahoma"/>
            <charset val="178"/>
          </rPr>
          <t xml:space="preserve">
عطل في علبة الدركسون والانارة الامامية + تهريب بالمضخة + عطل بالمضخه</t>
        </r>
      </text>
    </comment>
    <comment ref="N111" authorId="0" shapeId="0" xr:uid="{9A385B0A-310F-48E4-ADAB-5088D602900C}">
      <text>
        <r>
          <rPr>
            <b/>
            <sz val="9"/>
            <color indexed="81"/>
            <rFont val="Tahoma"/>
            <charset val="178"/>
          </rPr>
          <t>Akram Pc:</t>
        </r>
        <r>
          <rPr>
            <sz val="9"/>
            <color indexed="81"/>
            <rFont val="Tahoma"/>
            <charset val="178"/>
          </rPr>
          <t xml:space="preserve">
18-7-1447 + 23-11-1447</t>
        </r>
      </text>
    </comment>
    <comment ref="O111" authorId="0" shapeId="0" xr:uid="{96D17B45-3C1A-489B-9314-D686CE1E3BF4}">
      <text>
        <r>
          <rPr>
            <b/>
            <sz val="9"/>
            <color indexed="81"/>
            <rFont val="Tahoma"/>
            <family val="2"/>
          </rPr>
          <t>Akram Pc:</t>
        </r>
        <r>
          <rPr>
            <sz val="9"/>
            <color indexed="81"/>
            <rFont val="Tahoma"/>
            <family val="2"/>
          </rPr>
          <t xml:space="preserve">
17-11-1447</t>
        </r>
      </text>
    </comment>
    <comment ref="N113" authorId="0" shapeId="0" xr:uid="{8A44FAFD-8B7F-427C-8588-9273DCCEEE73}">
      <text>
        <r>
          <rPr>
            <b/>
            <sz val="9"/>
            <color indexed="81"/>
            <rFont val="Tahoma"/>
            <charset val="178"/>
          </rPr>
          <t>Akram Pc:</t>
        </r>
        <r>
          <rPr>
            <sz val="9"/>
            <color indexed="81"/>
            <rFont val="Tahoma"/>
            <charset val="178"/>
          </rPr>
          <t xml:space="preserve">
15-10-1446</t>
        </r>
      </text>
    </comment>
    <comment ref="M115" authorId="0" shapeId="0" xr:uid="{0C5B5BE6-BA50-4BFA-A0EB-05F0D8943F0F}">
      <text>
        <r>
          <rPr>
            <b/>
            <sz val="9"/>
            <color indexed="81"/>
            <rFont val="Tahoma"/>
            <charset val="178"/>
          </rPr>
          <t>Akram Pc:</t>
        </r>
        <r>
          <rPr>
            <sz val="9"/>
            <color indexed="81"/>
            <rFont val="Tahoma"/>
            <charset val="178"/>
          </rPr>
          <t xml:space="preserve">
قاعدة البوم</t>
        </r>
      </text>
    </comment>
    <comment ref="N115" authorId="0" shapeId="0" xr:uid="{9E88BAE4-3652-4353-9578-91CB4D7CD3FE}">
      <text>
        <r>
          <rPr>
            <b/>
            <sz val="9"/>
            <color indexed="81"/>
            <rFont val="Tahoma"/>
            <charset val="178"/>
          </rPr>
          <t>Akram Pc:</t>
        </r>
        <r>
          <rPr>
            <sz val="9"/>
            <color indexed="81"/>
            <rFont val="Tahoma"/>
            <charset val="178"/>
          </rPr>
          <t xml:space="preserve">
24-7-1447</t>
        </r>
      </text>
    </comment>
    <comment ref="M116" authorId="0" shapeId="0" xr:uid="{A8979798-DEE6-4DAE-BDD9-ACA67F7D5E89}">
      <text>
        <r>
          <rPr>
            <b/>
            <sz val="9"/>
            <color indexed="81"/>
            <rFont val="Tahoma"/>
            <charset val="178"/>
          </rPr>
          <t>Akram Pc:</t>
        </r>
        <r>
          <rPr>
            <sz val="9"/>
            <color indexed="81"/>
            <rFont val="Tahoma"/>
            <charset val="178"/>
          </rPr>
          <t xml:space="preserve">
برمجة</t>
        </r>
      </text>
    </comment>
    <comment ref="N116" authorId="0" shapeId="0" xr:uid="{7F37CF07-7185-4EF1-A292-A3C125E1F85D}">
      <text>
        <r>
          <rPr>
            <b/>
            <sz val="9"/>
            <color indexed="81"/>
            <rFont val="Tahoma"/>
            <charset val="178"/>
          </rPr>
          <t>Akram Pc:</t>
        </r>
        <r>
          <rPr>
            <sz val="9"/>
            <color indexed="81"/>
            <rFont val="Tahoma"/>
            <charset val="178"/>
          </rPr>
          <t xml:space="preserve">
29-9-1447</t>
        </r>
      </text>
    </comment>
    <comment ref="O116" authorId="0" shapeId="0" xr:uid="{F90F0CFB-9E00-4898-A7BD-B28906949984}">
      <text>
        <r>
          <rPr>
            <b/>
            <sz val="9"/>
            <color indexed="81"/>
            <rFont val="Tahoma"/>
            <charset val="178"/>
          </rPr>
          <t>Akram Pc:</t>
        </r>
        <r>
          <rPr>
            <sz val="9"/>
            <color indexed="81"/>
            <rFont val="Tahoma"/>
            <charset val="178"/>
          </rPr>
          <t xml:space="preserve">
28-9-1447 + 22-10-1447 + 20-11-1447</t>
        </r>
      </text>
    </comment>
    <comment ref="M119" authorId="0" shapeId="0" xr:uid="{ED672775-5AC2-4C40-8869-E6ED03775BA5}">
      <text>
        <r>
          <rPr>
            <b/>
            <sz val="9"/>
            <color indexed="81"/>
            <rFont val="Tahoma"/>
            <charset val="178"/>
          </rPr>
          <t>Akram Pc:</t>
        </r>
        <r>
          <rPr>
            <sz val="9"/>
            <color indexed="81"/>
            <rFont val="Tahoma"/>
            <charset val="178"/>
          </rPr>
          <t xml:space="preserve">
اعطال متعددة</t>
        </r>
      </text>
    </comment>
    <comment ref="N119" authorId="0" shapeId="0" xr:uid="{41D95E27-0759-4E14-B1D1-5F049817CD06}">
      <text>
        <r>
          <rPr>
            <b/>
            <sz val="9"/>
            <color indexed="81"/>
            <rFont val="Tahoma"/>
            <charset val="178"/>
          </rPr>
          <t>Akram Pc:</t>
        </r>
        <r>
          <rPr>
            <sz val="9"/>
            <color indexed="81"/>
            <rFont val="Tahoma"/>
            <charset val="178"/>
          </rPr>
          <t xml:space="preserve">
13-4-1447</t>
        </r>
      </text>
    </comment>
    <comment ref="M122" authorId="0" shapeId="0" xr:uid="{932FF334-9931-4C65-A878-0B0F686296DB}">
      <text>
        <r>
          <rPr>
            <b/>
            <sz val="9"/>
            <color indexed="81"/>
            <rFont val="Tahoma"/>
            <charset val="178"/>
          </rPr>
          <t>Akram Pc:</t>
        </r>
        <r>
          <rPr>
            <sz val="9"/>
            <color indexed="81"/>
            <rFont val="Tahoma"/>
            <charset val="178"/>
          </rPr>
          <t xml:space="preserve">
ضعف بالفرامل</t>
        </r>
      </text>
    </comment>
    <comment ref="N122" authorId="0" shapeId="0" xr:uid="{DC866CAF-9DD2-4C73-BA5B-FE96B99B7C67}">
      <text>
        <r>
          <rPr>
            <b/>
            <sz val="9"/>
            <color indexed="81"/>
            <rFont val="Tahoma"/>
            <charset val="178"/>
          </rPr>
          <t>Akram Pc:</t>
        </r>
        <r>
          <rPr>
            <sz val="9"/>
            <color indexed="81"/>
            <rFont val="Tahoma"/>
            <charset val="178"/>
          </rPr>
          <t xml:space="preserve">
12-8-1447</t>
        </r>
      </text>
    </comment>
    <comment ref="M124" authorId="0" shapeId="0" xr:uid="{B9E26E75-7B42-4314-A184-1BFC98DEB3E4}">
      <text>
        <r>
          <rPr>
            <b/>
            <sz val="9"/>
            <color indexed="81"/>
            <rFont val="Tahoma"/>
            <charset val="178"/>
          </rPr>
          <t>Akram Pc:</t>
        </r>
        <r>
          <rPr>
            <sz val="9"/>
            <color indexed="81"/>
            <rFont val="Tahoma"/>
            <charset val="178"/>
          </rPr>
          <t xml:space="preserve">
عطل بلف هواء الفرامل</t>
        </r>
      </text>
    </comment>
    <comment ref="N124" authorId="0" shapeId="0" xr:uid="{35FBDA9A-5377-4EA0-A1FA-615AD9949EE8}">
      <text>
        <r>
          <rPr>
            <b/>
            <sz val="9"/>
            <color indexed="81"/>
            <rFont val="Tahoma"/>
            <charset val="178"/>
          </rPr>
          <t>Akram Pc:</t>
        </r>
        <r>
          <rPr>
            <sz val="9"/>
            <color indexed="81"/>
            <rFont val="Tahoma"/>
            <charset val="178"/>
          </rPr>
          <t xml:space="preserve">
7-4-1447</t>
        </r>
      </text>
    </comment>
    <comment ref="M129" authorId="0" shapeId="0" xr:uid="{E498CAB3-2C19-44BB-8D39-0AADC0D824B5}">
      <text>
        <r>
          <rPr>
            <b/>
            <sz val="9"/>
            <color indexed="81"/>
            <rFont val="Tahoma"/>
            <family val="2"/>
          </rPr>
          <t>Akram Pc:</t>
        </r>
        <r>
          <rPr>
            <sz val="9"/>
            <color indexed="81"/>
            <rFont val="Tahoma"/>
            <family val="2"/>
          </rPr>
          <t xml:space="preserve">
الجربوكس </t>
        </r>
      </text>
    </comment>
    <comment ref="N129" authorId="0" shapeId="0" xr:uid="{61FF3479-90A5-46BB-894E-29ECACA7C9DA}">
      <text>
        <r>
          <rPr>
            <b/>
            <sz val="9"/>
            <color indexed="81"/>
            <rFont val="Tahoma"/>
            <family val="2"/>
          </rPr>
          <t>Akram Pc:</t>
        </r>
        <r>
          <rPr>
            <sz val="9"/>
            <color indexed="81"/>
            <rFont val="Tahoma"/>
            <family val="2"/>
          </rPr>
          <t xml:space="preserve">
14-11-1447</t>
        </r>
      </text>
    </comment>
    <comment ref="M132" authorId="0" shapeId="0" xr:uid="{77DAD55A-1F40-4C85-BA5D-7B064434C7A6}">
      <text>
        <r>
          <rPr>
            <b/>
            <sz val="9"/>
            <color indexed="81"/>
            <rFont val="Tahoma"/>
            <family val="2"/>
          </rPr>
          <t>Akram Pc:</t>
        </r>
        <r>
          <rPr>
            <sz val="9"/>
            <color indexed="81"/>
            <rFont val="Tahoma"/>
            <family val="2"/>
          </rPr>
          <t xml:space="preserve">
ارتفاع درجة الحرارة</t>
        </r>
      </text>
    </comment>
    <comment ref="N132" authorId="0" shapeId="0" xr:uid="{1B719075-1867-4281-8EDB-849061F7F4B4}">
      <text>
        <r>
          <rPr>
            <b/>
            <sz val="9"/>
            <color indexed="81"/>
            <rFont val="Tahoma"/>
            <family val="2"/>
          </rPr>
          <t>Akram Pc:</t>
        </r>
        <r>
          <rPr>
            <sz val="9"/>
            <color indexed="81"/>
            <rFont val="Tahoma"/>
            <family val="2"/>
          </rPr>
          <t xml:space="preserve">
1-1-1446</t>
        </r>
      </text>
    </comment>
    <comment ref="N142" authorId="0" shapeId="0" xr:uid="{BD33B783-50C4-4A36-BD1E-1EE9BDA85735}">
      <text>
        <r>
          <rPr>
            <b/>
            <sz val="9"/>
            <color indexed="81"/>
            <rFont val="Tahoma"/>
            <family val="2"/>
          </rPr>
          <t>Akram Pc:</t>
        </r>
        <r>
          <rPr>
            <sz val="9"/>
            <color indexed="81"/>
            <rFont val="Tahoma"/>
            <family val="2"/>
          </rPr>
          <t xml:space="preserve">
28-1-1446</t>
        </r>
      </text>
    </comment>
    <comment ref="M146" authorId="0" shapeId="0" xr:uid="{931BDD91-62E7-413F-B2DF-3DF7A5D8D617}">
      <text>
        <r>
          <rPr>
            <b/>
            <sz val="9"/>
            <color indexed="81"/>
            <rFont val="Tahoma"/>
            <family val="2"/>
          </rPr>
          <t>Akram Pc:</t>
        </r>
        <r>
          <rPr>
            <sz val="9"/>
            <color indexed="81"/>
            <rFont val="Tahoma"/>
            <family val="2"/>
          </rPr>
          <t xml:space="preserve">
صوت في المكينة + دخان ابيض من الشكمان + تقطيع وتفتفه</t>
        </r>
      </text>
    </comment>
    <comment ref="N146" authorId="0" shapeId="0" xr:uid="{5536A5AA-B796-44B9-B8D2-D76F83BDF187}">
      <text>
        <r>
          <rPr>
            <b/>
            <sz val="9"/>
            <color indexed="81"/>
            <rFont val="Tahoma"/>
            <family val="2"/>
          </rPr>
          <t>Akram Pc:</t>
        </r>
        <r>
          <rPr>
            <sz val="9"/>
            <color indexed="81"/>
            <rFont val="Tahoma"/>
            <family val="2"/>
          </rPr>
          <t xml:space="preserve">
11-1-1447 + 15-9-1447</t>
        </r>
      </text>
    </comment>
    <comment ref="O146" authorId="0" shapeId="0" xr:uid="{6AAD1774-2E9B-4B16-96DC-A96B0D3F3994}">
      <text>
        <r>
          <rPr>
            <b/>
            <sz val="9"/>
            <color indexed="81"/>
            <rFont val="Tahoma"/>
            <family val="2"/>
          </rPr>
          <t>Akram Pc:</t>
        </r>
        <r>
          <rPr>
            <sz val="9"/>
            <color indexed="81"/>
            <rFont val="Tahoma"/>
            <family val="2"/>
          </rPr>
          <t xml:space="preserve">
14-9-1447</t>
        </r>
      </text>
    </comment>
    <comment ref="M147" authorId="0" shapeId="0" xr:uid="{3088433E-6C9C-4495-A6C4-4E792F869D0A}">
      <text>
        <r>
          <rPr>
            <b/>
            <sz val="9"/>
            <color indexed="81"/>
            <rFont val="Tahoma"/>
            <charset val="178"/>
          </rPr>
          <t>Akram Pc:</t>
        </r>
        <r>
          <rPr>
            <sz val="9"/>
            <color indexed="81"/>
            <rFont val="Tahoma"/>
            <charset val="178"/>
          </rPr>
          <t xml:space="preserve">
جربوكس</t>
        </r>
      </text>
    </comment>
    <comment ref="N147" authorId="0" shapeId="0" xr:uid="{B0B7E158-9EB7-407E-A35D-235E5BDA96FE}">
      <text>
        <r>
          <rPr>
            <b/>
            <sz val="9"/>
            <color indexed="81"/>
            <rFont val="Tahoma"/>
            <charset val="178"/>
          </rPr>
          <t>Akram Pc:</t>
        </r>
        <r>
          <rPr>
            <sz val="9"/>
            <color indexed="81"/>
            <rFont val="Tahoma"/>
            <charset val="178"/>
          </rPr>
          <t xml:space="preserve">
21-10-1447</t>
        </r>
      </text>
    </comment>
    <comment ref="O147" authorId="0" shapeId="0" xr:uid="{9F028CC0-891D-41DC-BC83-4DAB856F3F97}">
      <text>
        <r>
          <rPr>
            <b/>
            <sz val="9"/>
            <color indexed="81"/>
            <rFont val="Tahoma"/>
            <charset val="178"/>
          </rPr>
          <t>Akram Pc:</t>
        </r>
        <r>
          <rPr>
            <sz val="9"/>
            <color indexed="81"/>
            <rFont val="Tahoma"/>
            <charset val="178"/>
          </rPr>
          <t xml:space="preserve">
2-9-1447</t>
        </r>
      </text>
    </comment>
    <comment ref="M150" authorId="0" shapeId="0" xr:uid="{86AD876C-8A04-4890-80C7-22F4F3CBDE2E}">
      <text>
        <r>
          <rPr>
            <b/>
            <sz val="9"/>
            <color indexed="81"/>
            <rFont val="Tahoma"/>
            <family val="2"/>
          </rPr>
          <t>Akram Pc:</t>
        </r>
        <r>
          <rPr>
            <sz val="9"/>
            <color indexed="81"/>
            <rFont val="Tahoma"/>
            <family val="2"/>
          </rPr>
          <t xml:space="preserve">
بلف الفرامل</t>
        </r>
      </text>
    </comment>
    <comment ref="N150" authorId="0" shapeId="0" xr:uid="{BBFEF9FA-E731-4310-9258-6D907064F078}">
      <text>
        <r>
          <rPr>
            <b/>
            <sz val="9"/>
            <color indexed="81"/>
            <rFont val="Tahoma"/>
            <family val="2"/>
          </rPr>
          <t>Akram Pc:</t>
        </r>
        <r>
          <rPr>
            <sz val="9"/>
            <color indexed="81"/>
            <rFont val="Tahoma"/>
            <family val="2"/>
          </rPr>
          <t xml:space="preserve">
4-2-1447</t>
        </r>
      </text>
    </comment>
    <comment ref="M151" authorId="0" shapeId="0" xr:uid="{5A2DD66A-155F-4883-BE18-18C85F58D6A3}">
      <text>
        <r>
          <rPr>
            <b/>
            <sz val="9"/>
            <color indexed="81"/>
            <rFont val="Tahoma"/>
            <charset val="178"/>
          </rPr>
          <t>Akram Pc:</t>
        </r>
        <r>
          <rPr>
            <sz val="9"/>
            <color indexed="81"/>
            <rFont val="Tahoma"/>
            <charset val="178"/>
          </rPr>
          <t xml:space="preserve">
عطل باكم الفرامل الامامي + عدم تعبأة هواء</t>
        </r>
      </text>
    </comment>
    <comment ref="N151" authorId="0" shapeId="0" xr:uid="{40BE83A6-49E8-4D0F-AA68-CD590B9D8E10}">
      <text>
        <r>
          <rPr>
            <b/>
            <sz val="9"/>
            <color indexed="81"/>
            <rFont val="Tahoma"/>
            <charset val="178"/>
          </rPr>
          <t>Akram Pc:</t>
        </r>
        <r>
          <rPr>
            <sz val="9"/>
            <color indexed="81"/>
            <rFont val="Tahoma"/>
            <charset val="178"/>
          </rPr>
          <t xml:space="preserve">
22-1-1446</t>
        </r>
      </text>
    </comment>
    <comment ref="M156" authorId="0" shapeId="0" xr:uid="{F458C0D4-F83D-49A2-800C-4AD56630576E}">
      <text>
        <r>
          <rPr>
            <b/>
            <sz val="9"/>
            <color indexed="81"/>
            <rFont val="Tahoma"/>
            <family val="2"/>
          </rPr>
          <t>Akram Pc:</t>
        </r>
        <r>
          <rPr>
            <sz val="9"/>
            <color indexed="81"/>
            <rFont val="Tahoma"/>
            <family val="2"/>
          </rPr>
          <t xml:space="preserve">
تهريب خزانات الهواء + بنشر الكفر الخلفي + عدم تجاوب القير للنمر</t>
        </r>
      </text>
    </comment>
    <comment ref="N156" authorId="0" shapeId="0" xr:uid="{E30E0E5F-D0D1-4219-9242-AC39F88E8550}">
      <text>
        <r>
          <rPr>
            <b/>
            <sz val="9"/>
            <color indexed="81"/>
            <rFont val="Tahoma"/>
            <family val="2"/>
          </rPr>
          <t>Akram Pc:</t>
        </r>
        <r>
          <rPr>
            <sz val="9"/>
            <color indexed="81"/>
            <rFont val="Tahoma"/>
            <family val="2"/>
          </rPr>
          <t xml:space="preserve">
23-2-1447 - 16-12-1447 + 28-12-1447</t>
        </r>
      </text>
    </comment>
    <comment ref="O156" authorId="0" shapeId="0" xr:uid="{51DF8855-3187-4118-BA51-F1407436A70D}">
      <text>
        <r>
          <rPr>
            <b/>
            <sz val="9"/>
            <color indexed="81"/>
            <rFont val="Tahoma"/>
            <charset val="178"/>
          </rPr>
          <t>Akram Pc:</t>
        </r>
        <r>
          <rPr>
            <sz val="9"/>
            <color indexed="81"/>
            <rFont val="Tahoma"/>
            <charset val="178"/>
          </rPr>
          <t xml:space="preserve">
13-11-1447 + 18-12-1447</t>
        </r>
      </text>
    </comment>
    <comment ref="M158" authorId="0" shapeId="0" xr:uid="{F22149AD-482A-49C2-B919-18B8ED17F86C}">
      <text>
        <r>
          <rPr>
            <b/>
            <sz val="9"/>
            <color indexed="81"/>
            <rFont val="Tahoma"/>
            <charset val="178"/>
          </rPr>
          <t>Akram Pc:</t>
        </r>
        <r>
          <rPr>
            <sz val="9"/>
            <color indexed="81"/>
            <rFont val="Tahoma"/>
            <charset val="178"/>
          </rPr>
          <t xml:space="preserve">
عطل في الباكم والدركسون</t>
        </r>
      </text>
    </comment>
    <comment ref="N158" authorId="0" shapeId="0" xr:uid="{53D2625A-7FF0-45EB-821D-BE900E85A26C}">
      <text>
        <r>
          <rPr>
            <b/>
            <sz val="9"/>
            <color indexed="81"/>
            <rFont val="Tahoma"/>
            <charset val="178"/>
          </rPr>
          <t>Akram Pc:</t>
        </r>
        <r>
          <rPr>
            <sz val="9"/>
            <color indexed="81"/>
            <rFont val="Tahoma"/>
            <charset val="178"/>
          </rPr>
          <t xml:space="preserve">
21-2-1446</t>
        </r>
      </text>
    </comment>
    <comment ref="M160" authorId="0" shapeId="0" xr:uid="{D4C766DD-5D7D-47A1-B8DC-0B0990CA8EEB}">
      <text>
        <r>
          <rPr>
            <b/>
            <sz val="9"/>
            <color indexed="81"/>
            <rFont val="Tahoma"/>
            <charset val="178"/>
          </rPr>
          <t>Akram Pc:</t>
        </r>
        <r>
          <rPr>
            <sz val="9"/>
            <color indexed="81"/>
            <rFont val="Tahoma"/>
            <charset val="178"/>
          </rPr>
          <t xml:space="preserve">
عطل بالقير</t>
        </r>
      </text>
    </comment>
    <comment ref="N160" authorId="0" shapeId="0" xr:uid="{00FA71D5-7122-4BCD-AA2A-47E42785AE8A}">
      <text>
        <r>
          <rPr>
            <b/>
            <sz val="9"/>
            <color indexed="81"/>
            <rFont val="Tahoma"/>
            <charset val="178"/>
          </rPr>
          <t>Akram Pc:</t>
        </r>
        <r>
          <rPr>
            <sz val="9"/>
            <color indexed="81"/>
            <rFont val="Tahoma"/>
            <charset val="178"/>
          </rPr>
          <t xml:space="preserve">
22-9-1447</t>
        </r>
      </text>
    </comment>
    <comment ref="O163" authorId="0" shapeId="0" xr:uid="{492386D4-9BF8-4785-8579-612E3B262613}">
      <text>
        <r>
          <rPr>
            <b/>
            <sz val="9"/>
            <color indexed="81"/>
            <rFont val="Tahoma"/>
            <family val="2"/>
          </rPr>
          <t>Akram Pc:</t>
        </r>
        <r>
          <rPr>
            <sz val="9"/>
            <color indexed="81"/>
            <rFont val="Tahoma"/>
            <family val="2"/>
          </rPr>
          <t xml:space="preserve">
29-7-1477</t>
        </r>
      </text>
    </comment>
    <comment ref="M164" authorId="0" shapeId="0" xr:uid="{5F8E8196-AEC8-45D9-B6B6-EC093537C88E}">
      <text>
        <r>
          <rPr>
            <b/>
            <sz val="9"/>
            <color indexed="81"/>
            <rFont val="Tahoma"/>
            <family val="2"/>
          </rPr>
          <t>Akram Pc:</t>
        </r>
        <r>
          <rPr>
            <sz val="9"/>
            <color indexed="81"/>
            <rFont val="Tahoma"/>
            <family val="2"/>
          </rPr>
          <t xml:space="preserve">
الدينمو</t>
        </r>
      </text>
    </comment>
    <comment ref="N164" authorId="0" shapeId="0" xr:uid="{CB1A4D78-D131-488F-93B0-D993A5374EFF}">
      <text>
        <r>
          <rPr>
            <b/>
            <sz val="9"/>
            <color indexed="81"/>
            <rFont val="Tahoma"/>
            <family val="2"/>
          </rPr>
          <t>Akram Pc:</t>
        </r>
        <r>
          <rPr>
            <sz val="9"/>
            <color indexed="81"/>
            <rFont val="Tahoma"/>
            <family val="2"/>
          </rPr>
          <t xml:space="preserve">
24-8-1447</t>
        </r>
      </text>
    </comment>
    <comment ref="M166" authorId="0" shapeId="0" xr:uid="{BE585874-7E0A-4D59-9AB6-38A99FD3C04D}">
      <text>
        <r>
          <rPr>
            <b/>
            <sz val="9"/>
            <color indexed="81"/>
            <rFont val="Tahoma"/>
            <charset val="178"/>
          </rPr>
          <t>Akram Pc:</t>
        </r>
        <r>
          <rPr>
            <sz val="9"/>
            <color indexed="81"/>
            <rFont val="Tahoma"/>
            <charset val="178"/>
          </rPr>
          <t xml:space="preserve">
باب السائق والراكب لاتغلق </t>
        </r>
      </text>
    </comment>
    <comment ref="N166" authorId="0" shapeId="0" xr:uid="{10D99B70-6BE7-440B-B27B-20FD262E12E4}">
      <text>
        <r>
          <rPr>
            <b/>
            <sz val="9"/>
            <color indexed="81"/>
            <rFont val="Tahoma"/>
            <charset val="178"/>
          </rPr>
          <t>Akram Pc:</t>
        </r>
        <r>
          <rPr>
            <sz val="9"/>
            <color indexed="81"/>
            <rFont val="Tahoma"/>
            <charset val="178"/>
          </rPr>
          <t xml:space="preserve">
26-11-1447</t>
        </r>
      </text>
    </comment>
    <comment ref="O166" authorId="0" shapeId="0" xr:uid="{B8A7A544-A4DD-4371-97E5-C848EF82521A}">
      <text>
        <r>
          <rPr>
            <b/>
            <sz val="9"/>
            <color indexed="81"/>
            <rFont val="Tahoma"/>
            <charset val="178"/>
          </rPr>
          <t>Akram Pc:</t>
        </r>
        <r>
          <rPr>
            <sz val="9"/>
            <color indexed="81"/>
            <rFont val="Tahoma"/>
            <charset val="178"/>
          </rPr>
          <t xml:space="preserve">
21-5-1447 + 26-11-1447</t>
        </r>
      </text>
    </comment>
    <comment ref="M167" authorId="0" shapeId="0" xr:uid="{D2C518C7-46F4-47FD-853C-9CE3D84F1D9D}">
      <text>
        <r>
          <rPr>
            <b/>
            <sz val="9"/>
            <color indexed="81"/>
            <rFont val="Tahoma"/>
            <family val="2"/>
          </rPr>
          <t>Akram Pc:</t>
        </r>
        <r>
          <rPr>
            <sz val="9"/>
            <color indexed="81"/>
            <rFont val="Tahoma"/>
            <family val="2"/>
          </rPr>
          <t xml:space="preserve">
تنسيم داخل الطبلون</t>
        </r>
      </text>
    </comment>
    <comment ref="N167" authorId="0" shapeId="0" xr:uid="{67CE8534-C2CF-4450-8C9E-18FCAAB557AD}">
      <text>
        <r>
          <rPr>
            <b/>
            <sz val="9"/>
            <color indexed="81"/>
            <rFont val="Tahoma"/>
            <family val="2"/>
          </rPr>
          <t>Akram Pc:</t>
        </r>
        <r>
          <rPr>
            <sz val="9"/>
            <color indexed="81"/>
            <rFont val="Tahoma"/>
            <family val="2"/>
          </rPr>
          <t xml:space="preserve">
14-8-1447</t>
        </r>
      </text>
    </comment>
    <comment ref="M170" authorId="0" shapeId="0" xr:uid="{4CC3AF1F-3F9B-4651-9E06-761A748B6484}">
      <text>
        <r>
          <rPr>
            <b/>
            <sz val="9"/>
            <color indexed="81"/>
            <rFont val="Tahoma"/>
            <family val="2"/>
          </rPr>
          <t>Akram Pc:</t>
        </r>
        <r>
          <rPr>
            <sz val="9"/>
            <color indexed="81"/>
            <rFont val="Tahoma"/>
            <family val="2"/>
          </rPr>
          <t xml:space="preserve">
الهوبات والاقمشة</t>
        </r>
      </text>
    </comment>
    <comment ref="N170" authorId="0" shapeId="0" xr:uid="{5B435C01-E8C9-4E87-80C7-FA2EB2D8F86B}">
      <text>
        <r>
          <rPr>
            <b/>
            <sz val="9"/>
            <color indexed="81"/>
            <rFont val="Tahoma"/>
            <family val="2"/>
          </rPr>
          <t>Akram Pc:</t>
        </r>
        <r>
          <rPr>
            <sz val="9"/>
            <color indexed="81"/>
            <rFont val="Tahoma"/>
            <family val="2"/>
          </rPr>
          <t xml:space="preserve">
2-12-1447</t>
        </r>
      </text>
    </comment>
    <comment ref="O170" authorId="0" shapeId="0" xr:uid="{70EFD844-1C4C-47E9-BBAA-D7060467229B}">
      <text>
        <r>
          <rPr>
            <b/>
            <sz val="9"/>
            <color indexed="81"/>
            <rFont val="Tahoma"/>
            <family val="2"/>
          </rPr>
          <t>Akram Pc:</t>
        </r>
        <r>
          <rPr>
            <sz val="9"/>
            <color indexed="81"/>
            <rFont val="Tahoma"/>
            <family val="2"/>
          </rPr>
          <t xml:space="preserve">
23-8-1447</t>
        </r>
      </text>
    </comment>
    <comment ref="M171" authorId="0" shapeId="0" xr:uid="{24B44D76-A56F-49B3-9F93-0BC45B034F5D}">
      <text>
        <r>
          <rPr>
            <b/>
            <sz val="9"/>
            <color indexed="81"/>
            <rFont val="Tahoma"/>
            <charset val="178"/>
          </rPr>
          <t>Akram Pc:</t>
        </r>
        <r>
          <rPr>
            <sz val="9"/>
            <color indexed="81"/>
            <rFont val="Tahoma"/>
            <charset val="178"/>
          </rPr>
          <t xml:space="preserve">
بنسات الدنقل+الفرامل+عداد الديزل - كفرات متهالكة</t>
        </r>
      </text>
    </comment>
    <comment ref="N171" authorId="0" shapeId="0" xr:uid="{4836ABDA-B6B2-4F45-A2AB-91CD39678C2D}">
      <text>
        <r>
          <rPr>
            <b/>
            <sz val="9"/>
            <color indexed="81"/>
            <rFont val="Tahoma"/>
            <charset val="178"/>
          </rPr>
          <t>Akram Pc:</t>
        </r>
        <r>
          <rPr>
            <sz val="9"/>
            <color indexed="81"/>
            <rFont val="Tahoma"/>
            <charset val="178"/>
          </rPr>
          <t xml:space="preserve">
29-5-1447 - 5-12-1447</t>
        </r>
      </text>
    </comment>
    <comment ref="O171" authorId="0" shapeId="0" xr:uid="{095E4A5F-C85C-4648-8E5B-482F25409D86}">
      <text>
        <r>
          <rPr>
            <b/>
            <sz val="9"/>
            <color indexed="81"/>
            <rFont val="Tahoma"/>
            <charset val="178"/>
          </rPr>
          <t>Akram Pc:</t>
        </r>
        <r>
          <rPr>
            <sz val="9"/>
            <color indexed="81"/>
            <rFont val="Tahoma"/>
            <charset val="178"/>
          </rPr>
          <t xml:space="preserve">
5-12-1447 - </t>
        </r>
      </text>
    </comment>
    <comment ref="O172" authorId="0" shapeId="0" xr:uid="{1084F764-AEB9-48A2-B867-834DD78E156C}">
      <text>
        <r>
          <rPr>
            <b/>
            <sz val="9"/>
            <color indexed="81"/>
            <rFont val="Tahoma"/>
            <family val="2"/>
          </rPr>
          <t>Akram Pc:</t>
        </r>
        <r>
          <rPr>
            <sz val="9"/>
            <color indexed="81"/>
            <rFont val="Tahoma"/>
            <family val="2"/>
          </rPr>
          <t xml:space="preserve">
22-5-1447</t>
        </r>
      </text>
    </comment>
    <comment ref="M174" authorId="0" shapeId="0" xr:uid="{1B09DC44-BB88-448A-AB2A-9996366A6E6B}">
      <text>
        <r>
          <rPr>
            <b/>
            <sz val="9"/>
            <color indexed="81"/>
            <rFont val="Tahoma"/>
            <family val="2"/>
          </rPr>
          <t>Akram Pc:</t>
        </r>
        <r>
          <rPr>
            <sz val="9"/>
            <color indexed="81"/>
            <rFont val="Tahoma"/>
            <family val="2"/>
          </rPr>
          <t xml:space="preserve">
تهريب في خرطوم زيت المضخة + حساس السلم</t>
        </r>
      </text>
    </comment>
    <comment ref="N174" authorId="0" shapeId="0" xr:uid="{7CAAA09B-583E-4EDF-8E64-F93476044622}">
      <text>
        <r>
          <rPr>
            <b/>
            <sz val="9"/>
            <color indexed="81"/>
            <rFont val="Tahoma"/>
            <family val="2"/>
          </rPr>
          <t>Akram Pc:</t>
        </r>
        <r>
          <rPr>
            <sz val="9"/>
            <color indexed="81"/>
            <rFont val="Tahoma"/>
            <family val="2"/>
          </rPr>
          <t xml:space="preserve">
12-10-1447</t>
        </r>
      </text>
    </comment>
    <comment ref="P174" authorId="0" shapeId="0" xr:uid="{89693F31-92DD-4AAE-9B62-B91656C75DC3}">
      <text>
        <r>
          <rPr>
            <b/>
            <sz val="9"/>
            <color indexed="81"/>
            <rFont val="Tahoma"/>
            <family val="2"/>
          </rPr>
          <t>Akram Pc:</t>
        </r>
        <r>
          <rPr>
            <sz val="9"/>
            <color indexed="81"/>
            <rFont val="Tahoma"/>
            <family val="2"/>
          </rPr>
          <t xml:space="preserve">
بلد 5</t>
        </r>
      </text>
    </comment>
    <comment ref="M175" authorId="0" shapeId="0" xr:uid="{4989942F-24D0-49AB-9A66-6B86D457C007}">
      <text>
        <r>
          <rPr>
            <b/>
            <sz val="9"/>
            <color indexed="81"/>
            <rFont val="Tahoma"/>
            <charset val="178"/>
          </rPr>
          <t>Akram Pc:</t>
        </r>
        <r>
          <rPr>
            <sz val="9"/>
            <color indexed="81"/>
            <rFont val="Tahoma"/>
            <charset val="178"/>
          </rPr>
          <t xml:space="preserve">
تهريب من المكينة</t>
        </r>
      </text>
    </comment>
    <comment ref="N175" authorId="0" shapeId="0" xr:uid="{EC08F02D-7C0C-4B4C-B79A-D6676816D642}">
      <text>
        <r>
          <rPr>
            <b/>
            <sz val="9"/>
            <color indexed="81"/>
            <rFont val="Tahoma"/>
            <charset val="178"/>
          </rPr>
          <t>Akram Pc:</t>
        </r>
        <r>
          <rPr>
            <sz val="9"/>
            <color indexed="81"/>
            <rFont val="Tahoma"/>
            <charset val="178"/>
          </rPr>
          <t xml:space="preserve">
8-9-1447</t>
        </r>
      </text>
    </comment>
    <comment ref="M176" authorId="0" shapeId="0" xr:uid="{7690A0BB-F94A-49D8-B0F7-EA26985E2A7D}">
      <text>
        <r>
          <rPr>
            <b/>
            <sz val="9"/>
            <color indexed="81"/>
            <rFont val="Tahoma"/>
            <family val="2"/>
          </rPr>
          <t>Akram Pc:</t>
        </r>
        <r>
          <rPr>
            <sz val="9"/>
            <color indexed="81"/>
            <rFont val="Tahoma"/>
            <family val="2"/>
          </rPr>
          <t xml:space="preserve">
بنشر</t>
        </r>
      </text>
    </comment>
    <comment ref="P177" authorId="0" shapeId="0" xr:uid="{FDE6E79A-5588-40B7-B050-39A42108D277}">
      <text>
        <r>
          <rPr>
            <b/>
            <sz val="9"/>
            <color indexed="81"/>
            <rFont val="Tahoma"/>
            <family val="2"/>
          </rPr>
          <t>Akram Pc:</t>
        </r>
        <r>
          <rPr>
            <sz val="9"/>
            <color indexed="81"/>
            <rFont val="Tahoma"/>
            <family val="2"/>
          </rPr>
          <t xml:space="preserve">
صفا 5</t>
        </r>
      </text>
    </comment>
    <comment ref="M178" authorId="0" shapeId="0" xr:uid="{EE47CF9F-7B98-46B0-AFF1-1BCB73DC737B}">
      <text>
        <r>
          <rPr>
            <b/>
            <sz val="9"/>
            <color indexed="81"/>
            <rFont val="Tahoma"/>
            <charset val="178"/>
          </rPr>
          <t>Akram Pc:</t>
        </r>
        <r>
          <rPr>
            <sz val="9"/>
            <color indexed="81"/>
            <rFont val="Tahoma"/>
            <charset val="178"/>
          </rPr>
          <t xml:space="preserve">
تهريب ماء الرديتر + تهريب موية الاديتر</t>
        </r>
      </text>
    </comment>
    <comment ref="N178" authorId="0" shapeId="0" xr:uid="{BCC6699E-FE39-4BDF-827C-258B6FCB0726}">
      <text>
        <r>
          <rPr>
            <b/>
            <sz val="9"/>
            <color indexed="81"/>
            <rFont val="Tahoma"/>
            <charset val="178"/>
          </rPr>
          <t>Akram Pc:</t>
        </r>
        <r>
          <rPr>
            <sz val="9"/>
            <color indexed="81"/>
            <rFont val="Tahoma"/>
            <charset val="178"/>
          </rPr>
          <t xml:space="preserve">
5-5-1447 + 2-11-1447 + 8-11-1447</t>
        </r>
      </text>
    </comment>
    <comment ref="O178" authorId="0" shapeId="0" xr:uid="{1DDCCFD9-E518-4BBA-8B7E-E81CCA1CDA26}">
      <text>
        <r>
          <rPr>
            <b/>
            <sz val="9"/>
            <color indexed="81"/>
            <rFont val="Tahoma"/>
            <charset val="178"/>
          </rPr>
          <t>Akram Pc:</t>
        </r>
        <r>
          <rPr>
            <sz val="9"/>
            <color indexed="81"/>
            <rFont val="Tahoma"/>
            <charset val="178"/>
          </rPr>
          <t xml:space="preserve">
8-5-1447</t>
        </r>
      </text>
    </comment>
    <comment ref="P178" authorId="0" shapeId="0" xr:uid="{91A72A5D-2FB8-4A50-9DB9-923BCC337DD4}">
      <text>
        <r>
          <rPr>
            <b/>
            <sz val="9"/>
            <color indexed="81"/>
            <rFont val="Tahoma"/>
            <family val="2"/>
          </rPr>
          <t>Akram Pc:</t>
        </r>
        <r>
          <rPr>
            <sz val="9"/>
            <color indexed="81"/>
            <rFont val="Tahoma"/>
            <family val="2"/>
          </rPr>
          <t xml:space="preserve">
جنوب 4</t>
        </r>
      </text>
    </comment>
    <comment ref="M179" authorId="0" shapeId="0" xr:uid="{23292544-630D-4F15-925F-FECE676EC712}">
      <text>
        <r>
          <rPr>
            <b/>
            <sz val="9"/>
            <color indexed="81"/>
            <rFont val="Tahoma"/>
            <family val="2"/>
          </rPr>
          <t>Akram Pc:</t>
        </r>
        <r>
          <rPr>
            <sz val="9"/>
            <color indexed="81"/>
            <rFont val="Tahoma"/>
            <family val="2"/>
          </rPr>
          <t xml:space="preserve">
بنشر</t>
        </r>
      </text>
    </comment>
    <comment ref="N179" authorId="0" shapeId="0" xr:uid="{0CE6A437-D5B2-46AF-ACDA-60978D31856B}">
      <text>
        <r>
          <rPr>
            <b/>
            <sz val="9"/>
            <color indexed="81"/>
            <rFont val="Tahoma"/>
            <family val="2"/>
          </rPr>
          <t>Akram Pc:</t>
        </r>
        <r>
          <rPr>
            <sz val="9"/>
            <color indexed="81"/>
            <rFont val="Tahoma"/>
            <family val="2"/>
          </rPr>
          <t xml:space="preserve">
22-6-1447</t>
        </r>
      </text>
    </comment>
    <comment ref="L180" authorId="0" shapeId="0" xr:uid="{3B9FC8CF-DC5F-42E2-9ECD-5E80DDF91C7B}">
      <text>
        <r>
          <rPr>
            <b/>
            <sz val="9"/>
            <color indexed="81"/>
            <rFont val="Tahoma"/>
            <family val="2"/>
          </rPr>
          <t>Akram Pc:</t>
        </r>
        <r>
          <rPr>
            <sz val="9"/>
            <color indexed="81"/>
            <rFont val="Tahoma"/>
            <family val="2"/>
          </rPr>
          <t xml:space="preserve">
كفرات</t>
        </r>
      </text>
    </comment>
    <comment ref="M180" authorId="0" shapeId="0" xr:uid="{9860E875-248A-4D04-8BFC-8D8D2D5CED6C}">
      <text>
        <r>
          <rPr>
            <b/>
            <sz val="9"/>
            <color indexed="81"/>
            <rFont val="Tahoma"/>
            <family val="2"/>
          </rPr>
          <t>Akram Pc:</t>
        </r>
        <r>
          <rPr>
            <sz val="9"/>
            <color indexed="81"/>
            <rFont val="Tahoma"/>
            <family val="2"/>
          </rPr>
          <t xml:space="preserve">
بنشر</t>
        </r>
      </text>
    </comment>
    <comment ref="N180" authorId="0" shapeId="0" xr:uid="{4E5BD37F-B407-4FD7-A392-F9E3930F7A0D}">
      <text>
        <r>
          <rPr>
            <b/>
            <sz val="9"/>
            <color indexed="81"/>
            <rFont val="Tahoma"/>
            <family val="2"/>
          </rPr>
          <t>Akram Pc:</t>
        </r>
        <r>
          <rPr>
            <sz val="9"/>
            <color indexed="81"/>
            <rFont val="Tahoma"/>
            <family val="2"/>
          </rPr>
          <t xml:space="preserve">
25-5-1447</t>
        </r>
      </text>
    </comment>
    <comment ref="M202" authorId="0" shapeId="0" xr:uid="{E5B08D57-CF01-4A35-BD22-9FBD6D6B8301}">
      <text>
        <r>
          <rPr>
            <b/>
            <sz val="9"/>
            <color indexed="81"/>
            <rFont val="Tahoma"/>
            <charset val="178"/>
          </rPr>
          <t>Akram Pc:</t>
        </r>
        <r>
          <rPr>
            <sz val="9"/>
            <color indexed="81"/>
            <rFont val="Tahoma"/>
            <charset val="178"/>
          </rPr>
          <t xml:space="preserve">
تهريب زيت المكينة</t>
        </r>
      </text>
    </comment>
    <comment ref="N202" authorId="0" shapeId="0" xr:uid="{73AC05EE-CAB6-4888-BC06-C933A8A48F6E}">
      <text>
        <r>
          <rPr>
            <b/>
            <sz val="9"/>
            <color indexed="81"/>
            <rFont val="Tahoma"/>
            <charset val="178"/>
          </rPr>
          <t>Akram Pc:</t>
        </r>
        <r>
          <rPr>
            <sz val="9"/>
            <color indexed="81"/>
            <rFont val="Tahoma"/>
            <charset val="178"/>
          </rPr>
          <t xml:space="preserve">
22-11-1446</t>
        </r>
      </text>
    </comment>
    <comment ref="N254" authorId="0" shapeId="0" xr:uid="{349B7620-BA8E-4484-94D0-325CDC1A92DE}">
      <text>
        <r>
          <rPr>
            <b/>
            <sz val="9"/>
            <color indexed="81"/>
            <rFont val="Tahoma"/>
            <family val="2"/>
          </rPr>
          <t>Akram Pc:</t>
        </r>
        <r>
          <rPr>
            <sz val="9"/>
            <color indexed="81"/>
            <rFont val="Tahoma"/>
            <family val="2"/>
          </rPr>
          <t xml:space="preserve">
3-11-1447</t>
        </r>
      </text>
    </comment>
    <comment ref="O254" authorId="0" shapeId="0" xr:uid="{32432862-BE01-4CD2-97C6-14ABF9F5DEA7}">
      <text>
        <r>
          <rPr>
            <b/>
            <sz val="9"/>
            <color indexed="81"/>
            <rFont val="Tahoma"/>
            <charset val="178"/>
          </rPr>
          <t>Akram Pc:</t>
        </r>
        <r>
          <rPr>
            <sz val="9"/>
            <color indexed="81"/>
            <rFont val="Tahoma"/>
            <charset val="178"/>
          </rPr>
          <t xml:space="preserve">
30-5-1447</t>
        </r>
      </text>
    </comment>
    <comment ref="O257" authorId="0" shapeId="0" xr:uid="{B1FD8E5A-8E00-459E-A8A6-4CEB1DF8DDDA}">
      <text>
        <r>
          <rPr>
            <b/>
            <sz val="9"/>
            <color indexed="81"/>
            <rFont val="Tahoma"/>
            <charset val="178"/>
          </rPr>
          <t>Akram Pc:</t>
        </r>
        <r>
          <rPr>
            <sz val="9"/>
            <color indexed="81"/>
            <rFont val="Tahoma"/>
            <charset val="178"/>
          </rPr>
          <t xml:space="preserve">
24-8-1447</t>
        </r>
      </text>
    </comment>
    <comment ref="O260" authorId="0" shapeId="0" xr:uid="{5CE97F66-753A-4A61-B9CF-5FB10A5E60BD}">
      <text>
        <r>
          <rPr>
            <b/>
            <sz val="9"/>
            <color indexed="81"/>
            <rFont val="Tahoma"/>
            <family val="2"/>
          </rPr>
          <t>Akram Pc:</t>
        </r>
        <r>
          <rPr>
            <sz val="9"/>
            <color indexed="81"/>
            <rFont val="Tahoma"/>
            <family val="2"/>
          </rPr>
          <t xml:space="preserve">
16-8-1447</t>
        </r>
      </text>
    </comment>
    <comment ref="N265" authorId="0" shapeId="0" xr:uid="{A30E2C82-B985-4DC1-94E4-6891651697D1}">
      <text>
        <r>
          <rPr>
            <b/>
            <sz val="9"/>
            <color indexed="81"/>
            <rFont val="Tahoma"/>
            <charset val="178"/>
          </rPr>
          <t>Akram Pc:</t>
        </r>
        <r>
          <rPr>
            <sz val="9"/>
            <color indexed="81"/>
            <rFont val="Tahoma"/>
            <charset val="178"/>
          </rPr>
          <t xml:space="preserve">
2-12-1447</t>
        </r>
      </text>
    </comment>
    <comment ref="O265" authorId="0" shapeId="0" xr:uid="{2195E920-A14E-4DBE-860A-106BF213099A}">
      <text>
        <r>
          <rPr>
            <b/>
            <sz val="9"/>
            <color indexed="81"/>
            <rFont val="Tahoma"/>
            <charset val="178"/>
          </rPr>
          <t>Akram Pc:</t>
        </r>
        <r>
          <rPr>
            <sz val="9"/>
            <color indexed="81"/>
            <rFont val="Tahoma"/>
            <charset val="178"/>
          </rPr>
          <t xml:space="preserve">
9-9-1447 + 3-12-1447</t>
        </r>
      </text>
    </comment>
    <comment ref="M266" authorId="0" shapeId="0" xr:uid="{2B7BCC1C-8A17-419C-83A6-18E8B454A0F1}">
      <text>
        <r>
          <rPr>
            <b/>
            <sz val="9"/>
            <color indexed="81"/>
            <rFont val="Tahoma"/>
            <charset val="178"/>
          </rPr>
          <t>Akram Pc:</t>
        </r>
        <r>
          <rPr>
            <sz val="9"/>
            <color indexed="81"/>
            <rFont val="Tahoma"/>
            <charset val="178"/>
          </rPr>
          <t xml:space="preserve">
عطل بالاقمشه والفرامل والهوبات</t>
        </r>
      </text>
    </comment>
    <comment ref="N266" authorId="0" shapeId="0" xr:uid="{A987D919-791B-499B-8299-670101FEE26A}">
      <text>
        <r>
          <rPr>
            <b/>
            <sz val="9"/>
            <color indexed="81"/>
            <rFont val="Tahoma"/>
            <charset val="178"/>
          </rPr>
          <t>Akram Pc:</t>
        </r>
        <r>
          <rPr>
            <sz val="9"/>
            <color indexed="81"/>
            <rFont val="Tahoma"/>
            <charset val="178"/>
          </rPr>
          <t xml:space="preserve">
29-10-1447</t>
        </r>
      </text>
    </comment>
    <comment ref="O266" authorId="0" shapeId="0" xr:uid="{AE605D66-AED7-48E8-BB95-BBD0B96A0FB2}">
      <text>
        <r>
          <rPr>
            <b/>
            <sz val="9"/>
            <color indexed="81"/>
            <rFont val="Tahoma"/>
            <charset val="178"/>
          </rPr>
          <t>Akram Pc:</t>
        </r>
        <r>
          <rPr>
            <sz val="9"/>
            <color indexed="81"/>
            <rFont val="Tahoma"/>
            <charset val="178"/>
          </rPr>
          <t xml:space="preserve">
10-6-1447</t>
        </r>
      </text>
    </comment>
    <comment ref="M268" authorId="0" shapeId="0" xr:uid="{EBD69716-A0CB-4B33-A79E-C912BFE53CB4}">
      <text>
        <r>
          <rPr>
            <b/>
            <sz val="9"/>
            <color indexed="81"/>
            <rFont val="Tahoma"/>
            <charset val="178"/>
          </rPr>
          <t>Akram Pc:</t>
        </r>
        <r>
          <rPr>
            <sz val="9"/>
            <color indexed="81"/>
            <rFont val="Tahoma"/>
            <charset val="178"/>
          </rPr>
          <t xml:space="preserve">
عطل بالجير</t>
        </r>
      </text>
    </comment>
    <comment ref="N268" authorId="0" shapeId="0" xr:uid="{43695114-38FF-4A02-841C-CC336A4EDA16}">
      <text>
        <r>
          <rPr>
            <b/>
            <sz val="9"/>
            <color indexed="81"/>
            <rFont val="Tahoma"/>
            <charset val="178"/>
          </rPr>
          <t>Akram Pc:</t>
        </r>
        <r>
          <rPr>
            <sz val="9"/>
            <color indexed="81"/>
            <rFont val="Tahoma"/>
            <charset val="178"/>
          </rPr>
          <t xml:space="preserve">
10-10-1446</t>
        </r>
      </text>
    </comment>
    <comment ref="O272" authorId="0" shapeId="0" xr:uid="{2F539460-E7DD-48A9-A455-D0CA30A3DBB6}">
      <text>
        <r>
          <rPr>
            <b/>
            <sz val="9"/>
            <color indexed="81"/>
            <rFont val="Tahoma"/>
            <charset val="178"/>
          </rPr>
          <t>Akram Pc:</t>
        </r>
        <r>
          <rPr>
            <sz val="9"/>
            <color indexed="81"/>
            <rFont val="Tahoma"/>
            <charset val="178"/>
          </rPr>
          <t xml:space="preserve">
8-7-1447 - 12-11-1447</t>
        </r>
      </text>
    </comment>
    <comment ref="M276" authorId="0" shapeId="0" xr:uid="{5871C296-1568-46B6-9AD0-9488D1EE29BF}">
      <text>
        <r>
          <rPr>
            <b/>
            <sz val="9"/>
            <color indexed="81"/>
            <rFont val="Tahoma"/>
            <charset val="178"/>
          </rPr>
          <t>Akram Pc:</t>
        </r>
        <r>
          <rPr>
            <sz val="9"/>
            <color indexed="81"/>
            <rFont val="Tahoma"/>
            <charset val="178"/>
          </rPr>
          <t xml:space="preserve">
صوت في الاذرعة الامامية</t>
        </r>
      </text>
    </comment>
    <comment ref="N276" authorId="0" shapeId="0" xr:uid="{8DED0C2F-D194-4B46-94BE-DA02EF6FE89C}">
      <text>
        <r>
          <rPr>
            <b/>
            <sz val="9"/>
            <color indexed="81"/>
            <rFont val="Tahoma"/>
            <charset val="178"/>
          </rPr>
          <t>Akram Pc:</t>
        </r>
        <r>
          <rPr>
            <sz val="9"/>
            <color indexed="81"/>
            <rFont val="Tahoma"/>
            <charset val="178"/>
          </rPr>
          <t xml:space="preserve">
17-7-1447</t>
        </r>
      </text>
    </comment>
    <comment ref="O276" authorId="0" shapeId="0" xr:uid="{9EFFF96E-0A8E-42D0-8EB3-8FD9C6BDE5B7}">
      <text>
        <r>
          <rPr>
            <b/>
            <sz val="9"/>
            <color indexed="81"/>
            <rFont val="Tahoma"/>
            <charset val="178"/>
          </rPr>
          <t>Akram Pc:</t>
        </r>
        <r>
          <rPr>
            <sz val="9"/>
            <color indexed="81"/>
            <rFont val="Tahoma"/>
            <charset val="178"/>
          </rPr>
          <t xml:space="preserve">
5-11-1447</t>
        </r>
      </text>
    </comment>
    <comment ref="M279" authorId="0" shapeId="0" xr:uid="{0C8FB92C-9CB3-484C-A448-0B715AF57FF8}">
      <text>
        <r>
          <rPr>
            <b/>
            <sz val="9"/>
            <color indexed="81"/>
            <rFont val="Tahoma"/>
            <charset val="178"/>
          </rPr>
          <t>Akram Pc:</t>
        </r>
        <r>
          <rPr>
            <sz val="9"/>
            <color indexed="81"/>
            <rFont val="Tahoma"/>
            <charset val="178"/>
          </rPr>
          <t xml:space="preserve">
كسر في محبس المياه الايسر</t>
        </r>
      </text>
    </comment>
    <comment ref="N279" authorId="0" shapeId="0" xr:uid="{119374C7-DDA6-4825-B93C-56D6F0BE38D8}">
      <text>
        <r>
          <rPr>
            <b/>
            <sz val="9"/>
            <color indexed="81"/>
            <rFont val="Tahoma"/>
            <charset val="178"/>
          </rPr>
          <t>Akram Pc:</t>
        </r>
        <r>
          <rPr>
            <sz val="9"/>
            <color indexed="81"/>
            <rFont val="Tahoma"/>
            <charset val="178"/>
          </rPr>
          <t xml:space="preserve">
29-10-1447</t>
        </r>
      </text>
    </comment>
    <comment ref="O279" authorId="0" shapeId="0" xr:uid="{A41BAD21-0EAF-4410-9DBF-D63867FC000F}">
      <text>
        <r>
          <rPr>
            <b/>
            <sz val="9"/>
            <color indexed="81"/>
            <rFont val="Tahoma"/>
            <charset val="178"/>
          </rPr>
          <t>Akram Pc:</t>
        </r>
        <r>
          <rPr>
            <sz val="9"/>
            <color indexed="81"/>
            <rFont val="Tahoma"/>
            <charset val="178"/>
          </rPr>
          <t xml:space="preserve">
25-6-1447 - 3-11-1447</t>
        </r>
      </text>
    </comment>
    <comment ref="M280" authorId="0" shapeId="0" xr:uid="{C14A18C4-0760-4BED-9713-91A7B3F576E0}">
      <text>
        <r>
          <rPr>
            <b/>
            <sz val="9"/>
            <color indexed="81"/>
            <rFont val="Tahoma"/>
            <family val="2"/>
          </rPr>
          <t>Akram Pc:</t>
        </r>
        <r>
          <rPr>
            <sz val="9"/>
            <color indexed="81"/>
            <rFont val="Tahoma"/>
            <family val="2"/>
          </rPr>
          <t xml:space="preserve">
عطل اثناء التحرك في الحالة المطرية + خلل في المضخة</t>
        </r>
      </text>
    </comment>
    <comment ref="M289" authorId="0" shapeId="0" xr:uid="{0EA2B61A-59AA-4F7F-96E3-B77D268962FA}">
      <text>
        <r>
          <rPr>
            <b/>
            <sz val="9"/>
            <color indexed="81"/>
            <rFont val="Tahoma"/>
            <family val="2"/>
          </rPr>
          <t>Akram Pc:</t>
        </r>
        <r>
          <rPr>
            <sz val="9"/>
            <color indexed="81"/>
            <rFont val="Tahoma"/>
            <family val="2"/>
          </rPr>
          <t xml:space="preserve">
علبة الكلتش </t>
        </r>
      </text>
    </comment>
    <comment ref="N289" authorId="0" shapeId="0" xr:uid="{EF406CFA-054A-43E8-98F1-B3B31D6DE8AC}">
      <text>
        <r>
          <rPr>
            <b/>
            <sz val="9"/>
            <color indexed="81"/>
            <rFont val="Tahoma"/>
            <family val="2"/>
          </rPr>
          <t>Akram Pc:</t>
        </r>
        <r>
          <rPr>
            <sz val="9"/>
            <color indexed="81"/>
            <rFont val="Tahoma"/>
            <family val="2"/>
          </rPr>
          <t xml:space="preserve">
24-6-1447</t>
        </r>
      </text>
    </comment>
    <comment ref="M292" authorId="0" shapeId="0" xr:uid="{8C44CCAF-FD39-4319-8A34-9F316B8A2FE9}">
      <text>
        <r>
          <rPr>
            <b/>
            <sz val="9"/>
            <color indexed="81"/>
            <rFont val="Tahoma"/>
            <family val="2"/>
          </rPr>
          <t>Akram Pc:</t>
        </r>
        <r>
          <rPr>
            <sz val="9"/>
            <color indexed="81"/>
            <rFont val="Tahoma"/>
            <family val="2"/>
          </rPr>
          <t xml:space="preserve">
قربة العادم للشكمان</t>
        </r>
      </text>
    </comment>
    <comment ref="N292" authorId="0" shapeId="0" xr:uid="{9D861ADA-5F5E-4F37-9039-C62D40488A4F}">
      <text>
        <r>
          <rPr>
            <b/>
            <sz val="9"/>
            <color indexed="81"/>
            <rFont val="Tahoma"/>
            <family val="2"/>
          </rPr>
          <t>Akram Pc:</t>
        </r>
        <r>
          <rPr>
            <sz val="9"/>
            <color indexed="81"/>
            <rFont val="Tahoma"/>
            <family val="2"/>
          </rPr>
          <t xml:space="preserve">
25-6-1447</t>
        </r>
      </text>
    </comment>
    <comment ref="O294" authorId="0" shapeId="0" xr:uid="{53AE4E00-17E5-45FC-97E0-2CD6808BF77D}">
      <text>
        <r>
          <rPr>
            <b/>
            <sz val="9"/>
            <color indexed="81"/>
            <rFont val="Tahoma"/>
            <family val="2"/>
          </rPr>
          <t>Akram Pc:</t>
        </r>
        <r>
          <rPr>
            <sz val="9"/>
            <color indexed="81"/>
            <rFont val="Tahoma"/>
            <family val="2"/>
          </rPr>
          <t xml:space="preserve">
27-9-1447</t>
        </r>
      </text>
    </comment>
    <comment ref="O295" authorId="0" shapeId="0" xr:uid="{A02E9766-BE8F-4A1E-B2EF-96C0C410221A}">
      <text>
        <r>
          <rPr>
            <b/>
            <sz val="9"/>
            <color indexed="81"/>
            <rFont val="Tahoma"/>
            <charset val="178"/>
          </rPr>
          <t>Akram Pc:</t>
        </r>
        <r>
          <rPr>
            <sz val="9"/>
            <color indexed="81"/>
            <rFont val="Tahoma"/>
            <charset val="178"/>
          </rPr>
          <t xml:space="preserve">
27-6-1447</t>
        </r>
      </text>
    </comment>
    <comment ref="M298" authorId="0" shapeId="0" xr:uid="{58BFC9F1-0648-45B5-BF9B-6BE411BE4169}">
      <text>
        <r>
          <rPr>
            <b/>
            <sz val="9"/>
            <color indexed="81"/>
            <rFont val="Tahoma"/>
            <family val="2"/>
          </rPr>
          <t>Akram Pc:</t>
        </r>
        <r>
          <rPr>
            <sz val="9"/>
            <color indexed="81"/>
            <rFont val="Tahoma"/>
            <family val="2"/>
          </rPr>
          <t xml:space="preserve">
عامود المضخة</t>
        </r>
      </text>
    </comment>
    <comment ref="N298" authorId="0" shapeId="0" xr:uid="{E27C7A95-0D65-4B16-B1CB-476526ED30D2}">
      <text>
        <r>
          <rPr>
            <b/>
            <sz val="9"/>
            <color indexed="81"/>
            <rFont val="Tahoma"/>
            <family val="2"/>
          </rPr>
          <t>Akram Pc:</t>
        </r>
        <r>
          <rPr>
            <sz val="9"/>
            <color indexed="81"/>
            <rFont val="Tahoma"/>
            <family val="2"/>
          </rPr>
          <t xml:space="preserve">
1-7-1447</t>
        </r>
      </text>
    </comment>
    <comment ref="M300" authorId="0" shapeId="0" xr:uid="{1306DF80-C2F7-4A6D-9869-1E28019D1802}">
      <text>
        <r>
          <rPr>
            <b/>
            <sz val="9"/>
            <color indexed="81"/>
            <rFont val="Tahoma"/>
            <charset val="178"/>
          </rPr>
          <t>Akram Pc:</t>
        </r>
        <r>
          <rPr>
            <sz val="9"/>
            <color indexed="81"/>
            <rFont val="Tahoma"/>
            <charset val="178"/>
          </rPr>
          <t xml:space="preserve">
عطل بالمحرك</t>
        </r>
      </text>
    </comment>
    <comment ref="N300" authorId="0" shapeId="0" xr:uid="{24892E86-50BE-4D87-A6CE-43B6C668EEF8}">
      <text>
        <r>
          <rPr>
            <b/>
            <sz val="9"/>
            <color indexed="81"/>
            <rFont val="Tahoma"/>
            <charset val="178"/>
          </rPr>
          <t>Akram Pc:</t>
        </r>
        <r>
          <rPr>
            <sz val="9"/>
            <color indexed="81"/>
            <rFont val="Tahoma"/>
            <charset val="178"/>
          </rPr>
          <t xml:space="preserve">
2-7-1447</t>
        </r>
      </text>
    </comment>
    <comment ref="M303" authorId="0" shapeId="0" xr:uid="{8BF7D529-0B0B-42B0-BE99-093CE40F9642}">
      <text>
        <r>
          <rPr>
            <b/>
            <sz val="9"/>
            <color indexed="81"/>
            <rFont val="Tahoma"/>
            <family val="2"/>
          </rPr>
          <t>Akram Pc:</t>
        </r>
        <r>
          <rPr>
            <sz val="9"/>
            <color indexed="81"/>
            <rFont val="Tahoma"/>
            <family val="2"/>
          </rPr>
          <t xml:space="preserve">
دعسة البنزين معلقه</t>
        </r>
      </text>
    </comment>
    <comment ref="N303" authorId="0" shapeId="0" xr:uid="{9CF92614-3EE6-4652-97CF-A247B8F172EE}">
      <text>
        <r>
          <rPr>
            <b/>
            <sz val="9"/>
            <color indexed="81"/>
            <rFont val="Tahoma"/>
            <family val="2"/>
          </rPr>
          <t>Akram Pc:</t>
        </r>
        <r>
          <rPr>
            <sz val="9"/>
            <color indexed="81"/>
            <rFont val="Tahoma"/>
            <family val="2"/>
          </rPr>
          <t xml:space="preserve">
2-7-1447</t>
        </r>
      </text>
    </comment>
    <comment ref="O303" authorId="0" shapeId="0" xr:uid="{AD0EEDE1-71CB-4626-B630-FDFD25090A61}">
      <text>
        <r>
          <rPr>
            <b/>
            <sz val="9"/>
            <color indexed="81"/>
            <rFont val="Tahoma"/>
            <charset val="178"/>
          </rPr>
          <t>Akram Pc:</t>
        </r>
        <r>
          <rPr>
            <sz val="9"/>
            <color indexed="81"/>
            <rFont val="Tahoma"/>
            <charset val="178"/>
          </rPr>
          <t xml:space="preserve">
4-7-1447</t>
        </r>
      </text>
    </comment>
    <comment ref="O314" authorId="0" shapeId="0" xr:uid="{715F6B23-36C6-4EB7-B6B1-64560097E7B6}">
      <text>
        <r>
          <rPr>
            <b/>
            <sz val="9"/>
            <color indexed="81"/>
            <rFont val="Tahoma"/>
            <family val="2"/>
          </rPr>
          <t>Akram Pc:</t>
        </r>
        <r>
          <rPr>
            <sz val="9"/>
            <color indexed="81"/>
            <rFont val="Tahoma"/>
            <family val="2"/>
          </rPr>
          <t xml:space="preserve">
24-8-1447</t>
        </r>
      </text>
    </comment>
    <comment ref="M316" authorId="0" shapeId="0" xr:uid="{A8B4EE45-EC00-4408-B97C-C5889A0F4C64}">
      <text>
        <r>
          <rPr>
            <b/>
            <sz val="9"/>
            <color indexed="81"/>
            <rFont val="Tahoma"/>
            <charset val="178"/>
          </rPr>
          <t>Akram Pc:</t>
        </r>
        <r>
          <rPr>
            <sz val="9"/>
            <color indexed="81"/>
            <rFont val="Tahoma"/>
            <charset val="178"/>
          </rPr>
          <t xml:space="preserve">
عطل بالفرامل ودبة الشكمان</t>
        </r>
      </text>
    </comment>
    <comment ref="N316" authorId="0" shapeId="0" xr:uid="{2FA371DE-CD84-4DB4-BA5B-FBDF1B1988C8}">
      <text>
        <r>
          <rPr>
            <b/>
            <sz val="9"/>
            <color indexed="81"/>
            <rFont val="Tahoma"/>
            <charset val="178"/>
          </rPr>
          <t>Akram Pc:</t>
        </r>
        <r>
          <rPr>
            <sz val="9"/>
            <color indexed="81"/>
            <rFont val="Tahoma"/>
            <charset val="178"/>
          </rPr>
          <t xml:space="preserve">
16-7-1447</t>
        </r>
      </text>
    </comment>
    <comment ref="B318" authorId="0" shapeId="0" xr:uid="{22B873FF-0EC9-4124-A76D-C0CB702AA9D4}">
      <text>
        <r>
          <rPr>
            <b/>
            <sz val="9"/>
            <color indexed="81"/>
            <rFont val="Tahoma"/>
            <family val="2"/>
          </rPr>
          <t>Akram Pc:</t>
        </r>
        <r>
          <rPr>
            <sz val="9"/>
            <color indexed="81"/>
            <rFont val="Tahoma"/>
            <family val="2"/>
          </rPr>
          <t xml:space="preserve">
قبل التعديل 30 متر</t>
        </r>
      </text>
    </comment>
    <comment ref="M319" authorId="0" shapeId="0" xr:uid="{52C2ABF5-B964-4003-BFF2-9B5FFFDC7968}">
      <text>
        <r>
          <rPr>
            <b/>
            <sz val="9"/>
            <color indexed="81"/>
            <rFont val="Tahoma"/>
            <charset val="178"/>
          </rPr>
          <t>Akram Pc:</t>
        </r>
        <r>
          <rPr>
            <sz val="9"/>
            <color indexed="81"/>
            <rFont val="Tahoma"/>
            <charset val="178"/>
          </rPr>
          <t xml:space="preserve">
تحتاج تركيب كفرات</t>
        </r>
      </text>
    </comment>
    <comment ref="N319" authorId="0" shapeId="0" xr:uid="{DF251440-FE3F-4CCD-9851-CD7948EEA1DB}">
      <text>
        <r>
          <rPr>
            <b/>
            <sz val="9"/>
            <color indexed="81"/>
            <rFont val="Tahoma"/>
            <charset val="178"/>
          </rPr>
          <t>Akram Pc:</t>
        </r>
        <r>
          <rPr>
            <sz val="9"/>
            <color indexed="81"/>
            <rFont val="Tahoma"/>
            <charset val="178"/>
          </rPr>
          <t xml:space="preserve">
19-10-1447</t>
        </r>
      </text>
    </comment>
    <comment ref="I320" authorId="0" shapeId="0" xr:uid="{A679A723-6F4D-46E0-BCE1-48E74A1EC7D5}">
      <text>
        <r>
          <rPr>
            <b/>
            <sz val="9"/>
            <color indexed="81"/>
            <rFont val="Tahoma"/>
            <family val="2"/>
          </rPr>
          <t>Akram Pc:</t>
        </r>
        <r>
          <rPr>
            <sz val="9"/>
            <color indexed="81"/>
            <rFont val="Tahoma"/>
            <family val="2"/>
          </rPr>
          <t xml:space="preserve">
الحمدانية</t>
        </r>
      </text>
    </comment>
    <comment ref="M320" authorId="0" shapeId="0" xr:uid="{1A13F5D4-020E-4EA1-95DD-703F8292448D}">
      <text>
        <r>
          <rPr>
            <b/>
            <sz val="9"/>
            <color indexed="81"/>
            <rFont val="Tahoma"/>
            <charset val="178"/>
          </rPr>
          <t>Akram Pc:</t>
        </r>
        <r>
          <rPr>
            <sz val="9"/>
            <color indexed="81"/>
            <rFont val="Tahoma"/>
            <charset val="178"/>
          </rPr>
          <t xml:space="preserve">
الالية تطفي اثناء السير - كهرباء + الفرامل  - تهريب زيت </t>
        </r>
      </text>
    </comment>
    <comment ref="N320" authorId="0" shapeId="0" xr:uid="{3E9BE335-1FEF-4E56-ADA7-0E0073DB847B}">
      <text>
        <r>
          <rPr>
            <b/>
            <sz val="9"/>
            <color indexed="81"/>
            <rFont val="Tahoma"/>
            <family val="2"/>
          </rPr>
          <t>Akram Pc:</t>
        </r>
        <r>
          <rPr>
            <sz val="9"/>
            <color indexed="81"/>
            <rFont val="Tahoma"/>
            <family val="2"/>
          </rPr>
          <t xml:space="preserve">
19-7-1447 - 22-1-1448</t>
        </r>
      </text>
    </comment>
    <comment ref="O320" authorId="0" shapeId="0" xr:uid="{FD95FEBA-6FB4-40DE-A72A-E895290A9EE7}">
      <text>
        <r>
          <rPr>
            <b/>
            <sz val="9"/>
            <color indexed="81"/>
            <rFont val="Tahoma"/>
            <family val="2"/>
          </rPr>
          <t>Akram Pc:</t>
        </r>
        <r>
          <rPr>
            <sz val="9"/>
            <color indexed="81"/>
            <rFont val="Tahoma"/>
            <family val="2"/>
          </rPr>
          <t xml:space="preserve">
21-1-1448</t>
        </r>
      </text>
    </comment>
    <comment ref="O325" authorId="0" shapeId="0" xr:uid="{EC9A8F18-5B86-46CC-A03A-233A747C6AE5}">
      <text>
        <r>
          <rPr>
            <b/>
            <sz val="9"/>
            <color indexed="81"/>
            <rFont val="Tahoma"/>
            <family val="2"/>
          </rPr>
          <t>Akram Pc:</t>
        </r>
        <r>
          <rPr>
            <sz val="9"/>
            <color indexed="81"/>
            <rFont val="Tahoma"/>
            <family val="2"/>
          </rPr>
          <t xml:space="preserve">
20-10-1447</t>
        </r>
      </text>
    </comment>
    <comment ref="M328" authorId="0" shapeId="0" xr:uid="{69A3CFD5-027D-4FCE-B114-2A48609249C0}">
      <text>
        <r>
          <rPr>
            <b/>
            <sz val="9"/>
            <color indexed="81"/>
            <rFont val="Tahoma"/>
            <charset val="178"/>
          </rPr>
          <t>Akram Pc:</t>
        </r>
        <r>
          <rPr>
            <sz val="9"/>
            <color indexed="81"/>
            <rFont val="Tahoma"/>
            <charset val="178"/>
          </rPr>
          <t xml:space="preserve">
تهريب زيت الدركسون  واقمشة</t>
        </r>
      </text>
    </comment>
    <comment ref="N328" authorId="0" shapeId="0" xr:uid="{B113C4AE-5881-4BDB-BB00-E0E627E492FF}">
      <text>
        <r>
          <rPr>
            <b/>
            <sz val="9"/>
            <color indexed="81"/>
            <rFont val="Tahoma"/>
            <charset val="178"/>
          </rPr>
          <t>Akram Pc:</t>
        </r>
        <r>
          <rPr>
            <sz val="9"/>
            <color indexed="81"/>
            <rFont val="Tahoma"/>
            <charset val="178"/>
          </rPr>
          <t xml:space="preserve">
1-8-1447</t>
        </r>
      </text>
    </comment>
    <comment ref="N329" authorId="0" shapeId="0" xr:uid="{C2C6895C-C9CD-46DD-83A5-44DA29D30501}">
      <text>
        <r>
          <rPr>
            <b/>
            <sz val="9"/>
            <color indexed="81"/>
            <rFont val="Tahoma"/>
            <charset val="178"/>
          </rPr>
          <t>Akram Pc:</t>
        </r>
        <r>
          <rPr>
            <sz val="9"/>
            <color indexed="81"/>
            <rFont val="Tahoma"/>
            <charset val="178"/>
          </rPr>
          <t xml:space="preserve">
27-9-1447 - 27-12-1447</t>
        </r>
      </text>
    </comment>
    <comment ref="O329" authorId="0" shapeId="0" xr:uid="{B35B47F3-16C8-4DCE-A8B5-FBED9B41CC14}">
      <text>
        <r>
          <rPr>
            <b/>
            <sz val="9"/>
            <color indexed="81"/>
            <rFont val="Tahoma"/>
            <charset val="178"/>
          </rPr>
          <t>Akram Pc:</t>
        </r>
        <r>
          <rPr>
            <sz val="9"/>
            <color indexed="81"/>
            <rFont val="Tahoma"/>
            <charset val="178"/>
          </rPr>
          <t xml:space="preserve">
7-12-1447 - 28-12-1447</t>
        </r>
      </text>
    </comment>
    <comment ref="M331" authorId="0" shapeId="0" xr:uid="{6C4DACD1-7D77-47DB-A950-E37321CE4EEF}">
      <text>
        <r>
          <rPr>
            <b/>
            <sz val="9"/>
            <color indexed="81"/>
            <rFont val="Tahoma"/>
            <family val="2"/>
          </rPr>
          <t>Akram Pc:</t>
        </r>
        <r>
          <rPr>
            <sz val="9"/>
            <color indexed="81"/>
            <rFont val="Tahoma"/>
            <family val="2"/>
          </rPr>
          <t xml:space="preserve">
تهريب هواء + الباكم يفوت + اقمشة وموزع - الجربوكس </t>
        </r>
      </text>
    </comment>
    <comment ref="N331" authorId="0" shapeId="0" xr:uid="{27834A1C-CF96-4407-8380-1AD24111EB84}">
      <text>
        <r>
          <rPr>
            <b/>
            <sz val="9"/>
            <color indexed="81"/>
            <rFont val="Tahoma"/>
            <charset val="178"/>
          </rPr>
          <t>Akram Pc:</t>
        </r>
        <r>
          <rPr>
            <sz val="9"/>
            <color indexed="81"/>
            <rFont val="Tahoma"/>
            <charset val="178"/>
          </rPr>
          <t xml:space="preserve">
20-11-1447</t>
        </r>
      </text>
    </comment>
    <comment ref="M333" authorId="0" shapeId="0" xr:uid="{FB53D530-513D-48D9-9101-3B34C50C65FD}">
      <text>
        <r>
          <rPr>
            <b/>
            <sz val="9"/>
            <color indexed="81"/>
            <rFont val="Tahoma"/>
            <charset val="178"/>
          </rPr>
          <t>Akram Pc:</t>
        </r>
        <r>
          <rPr>
            <sz val="9"/>
            <color indexed="81"/>
            <rFont val="Tahoma"/>
            <charset val="178"/>
          </rPr>
          <t xml:space="preserve">
اعطال متعددة + ارتفاع حرارة</t>
        </r>
      </text>
    </comment>
    <comment ref="N333" authorId="0" shapeId="0" xr:uid="{AEB68E10-36FF-4400-BD75-87E54703F26E}">
      <text>
        <r>
          <rPr>
            <b/>
            <sz val="9"/>
            <color indexed="81"/>
            <rFont val="Tahoma"/>
            <charset val="178"/>
          </rPr>
          <t>Akram Pc:</t>
        </r>
        <r>
          <rPr>
            <sz val="9"/>
            <color indexed="81"/>
            <rFont val="Tahoma"/>
            <charset val="178"/>
          </rPr>
          <t xml:space="preserve">
9-8-1447</t>
        </r>
      </text>
    </comment>
    <comment ref="N334" authorId="0" shapeId="0" xr:uid="{2563557C-9B3D-4F43-8C5C-D9DC8D441721}">
      <text>
        <r>
          <rPr>
            <b/>
            <sz val="9"/>
            <color indexed="81"/>
            <rFont val="Tahoma"/>
            <charset val="178"/>
          </rPr>
          <t>Akram Pc:</t>
        </r>
        <r>
          <rPr>
            <sz val="9"/>
            <color indexed="81"/>
            <rFont val="Tahoma"/>
            <charset val="178"/>
          </rPr>
          <t xml:space="preserve">
17-12-1447</t>
        </r>
      </text>
    </comment>
    <comment ref="M337" authorId="0" shapeId="0" xr:uid="{B1A31576-8E9B-496E-BE99-0561D2DD09A9}">
      <text>
        <r>
          <rPr>
            <b/>
            <sz val="9"/>
            <color indexed="81"/>
            <rFont val="Tahoma"/>
            <charset val="178"/>
          </rPr>
          <t>Akram Pc:</t>
        </r>
        <r>
          <rPr>
            <sz val="9"/>
            <color indexed="81"/>
            <rFont val="Tahoma"/>
            <charset val="178"/>
          </rPr>
          <t xml:space="preserve">
عطل بالذراع + الانارة الامامية</t>
        </r>
      </text>
    </comment>
    <comment ref="N337" authorId="0" shapeId="0" xr:uid="{BE7AE42A-B0C1-4130-BFA1-FFC7D83F5739}">
      <text>
        <r>
          <rPr>
            <b/>
            <sz val="9"/>
            <color indexed="81"/>
            <rFont val="Tahoma"/>
            <charset val="178"/>
          </rPr>
          <t>Akram Pc:</t>
        </r>
        <r>
          <rPr>
            <sz val="9"/>
            <color indexed="81"/>
            <rFont val="Tahoma"/>
            <charset val="178"/>
          </rPr>
          <t xml:space="preserve">
1-10-1447</t>
        </r>
      </text>
    </comment>
    <comment ref="B341" authorId="0" shapeId="0" xr:uid="{8403DC70-5F2E-48A4-9602-DB69DC96E211}">
      <text>
        <r>
          <rPr>
            <b/>
            <sz val="9"/>
            <color indexed="81"/>
            <rFont val="Tahoma"/>
            <family val="2"/>
          </rPr>
          <t>Akram Pc:</t>
        </r>
        <r>
          <rPr>
            <sz val="9"/>
            <color indexed="81"/>
            <rFont val="Tahoma"/>
            <family val="2"/>
          </rPr>
          <t xml:space="preserve">
الحرايق الصناعية</t>
        </r>
      </text>
    </comment>
    <comment ref="M392" authorId="0" shapeId="0" xr:uid="{A8CC0C04-E8BF-4B68-B244-EAE1FAB8B765}">
      <text>
        <r>
          <rPr>
            <b/>
            <sz val="9"/>
            <color indexed="81"/>
            <rFont val="Tahoma"/>
            <family val="2"/>
          </rPr>
          <t>Akram Pc:</t>
        </r>
        <r>
          <rPr>
            <sz val="9"/>
            <color indexed="81"/>
            <rFont val="Tahoma"/>
            <family val="2"/>
          </rPr>
          <t xml:space="preserve">
عطل ميكانيكي - بنشر ثلاث كفرات</t>
        </r>
      </text>
    </comment>
    <comment ref="N392" authorId="0" shapeId="0" xr:uid="{B15359CB-B397-4915-A7BF-D1DE101B2A0D}">
      <text>
        <r>
          <rPr>
            <b/>
            <sz val="9"/>
            <color indexed="81"/>
            <rFont val="Tahoma"/>
            <charset val="178"/>
          </rPr>
          <t>Akram Pc:</t>
        </r>
        <r>
          <rPr>
            <sz val="9"/>
            <color indexed="81"/>
            <rFont val="Tahoma"/>
            <charset val="178"/>
          </rPr>
          <t xml:space="preserve">
13-9-1447</t>
        </r>
      </text>
    </comment>
    <comment ref="O395" authorId="0" shapeId="0" xr:uid="{7F5EDB5A-DADB-4BAA-8D12-DD665042FB2D}">
      <text>
        <r>
          <rPr>
            <b/>
            <sz val="9"/>
            <color indexed="81"/>
            <rFont val="Tahoma"/>
            <charset val="178"/>
          </rPr>
          <t>Akram Pc:</t>
        </r>
        <r>
          <rPr>
            <sz val="9"/>
            <color indexed="81"/>
            <rFont val="Tahoma"/>
            <charset val="178"/>
          </rPr>
          <t xml:space="preserve">
7-10-1447</t>
        </r>
      </text>
    </comment>
    <comment ref="M397" authorId="0" shapeId="0" xr:uid="{EE0B7981-4180-4088-B46E-6C2AFA7665FC}">
      <text>
        <r>
          <rPr>
            <b/>
            <sz val="9"/>
            <color indexed="81"/>
            <rFont val="Tahoma"/>
            <charset val="178"/>
          </rPr>
          <t>Akram Pc:</t>
        </r>
        <r>
          <rPr>
            <sz val="9"/>
            <color indexed="81"/>
            <rFont val="Tahoma"/>
            <charset val="178"/>
          </rPr>
          <t xml:space="preserve">
خلل فني</t>
        </r>
      </text>
    </comment>
    <comment ref="N397" authorId="0" shapeId="0" xr:uid="{DEB3DDC0-2B7C-4B96-8874-F1BE6D74FB2D}">
      <text>
        <r>
          <rPr>
            <b/>
            <sz val="9"/>
            <color indexed="81"/>
            <rFont val="Tahoma"/>
            <charset val="178"/>
          </rPr>
          <t>Akram Pc:</t>
        </r>
        <r>
          <rPr>
            <sz val="9"/>
            <color indexed="81"/>
            <rFont val="Tahoma"/>
            <charset val="178"/>
          </rPr>
          <t xml:space="preserve">
1-5-1447</t>
        </r>
      </text>
    </comment>
    <comment ref="M398" authorId="0" shapeId="0" xr:uid="{F97969FB-0C83-4CC1-896C-EB72668D609E}">
      <text>
        <r>
          <rPr>
            <b/>
            <sz val="9"/>
            <color indexed="81"/>
            <rFont val="Tahoma"/>
            <charset val="178"/>
          </rPr>
          <t>Akram Pc:</t>
        </r>
        <r>
          <rPr>
            <sz val="9"/>
            <color indexed="81"/>
            <rFont val="Tahoma"/>
            <charset val="178"/>
          </rPr>
          <t xml:space="preserve">
علبة الكلتش والبواكم</t>
        </r>
      </text>
    </comment>
    <comment ref="N398" authorId="0" shapeId="0" xr:uid="{02E3DAEA-B05A-430E-A6A3-B662735D45E7}">
      <text>
        <r>
          <rPr>
            <b/>
            <sz val="9"/>
            <color indexed="81"/>
            <rFont val="Tahoma"/>
            <charset val="178"/>
          </rPr>
          <t>Akram Pc:</t>
        </r>
        <r>
          <rPr>
            <sz val="9"/>
            <color indexed="81"/>
            <rFont val="Tahoma"/>
            <charset val="178"/>
          </rPr>
          <t xml:space="preserve">
16-8-1447 </t>
        </r>
      </text>
    </comment>
    <comment ref="M400" authorId="0" shapeId="0" xr:uid="{8C123392-B1BA-4A55-96F6-36F86974D270}">
      <text>
        <r>
          <rPr>
            <b/>
            <sz val="9"/>
            <color indexed="81"/>
            <rFont val="Tahoma"/>
            <charset val="178"/>
          </rPr>
          <t>Akram Pc:</t>
        </r>
        <r>
          <rPr>
            <sz val="9"/>
            <color indexed="81"/>
            <rFont val="Tahoma"/>
            <charset val="178"/>
          </rPr>
          <t xml:space="preserve">
مسامير الكفر + بنشر</t>
        </r>
      </text>
    </comment>
    <comment ref="N400" authorId="0" shapeId="0" xr:uid="{E20CFC86-D3DA-491D-8B61-653DF3BAFDA5}">
      <text>
        <r>
          <rPr>
            <b/>
            <sz val="9"/>
            <color indexed="81"/>
            <rFont val="Tahoma"/>
            <charset val="178"/>
          </rPr>
          <t>Akram Pc:</t>
        </r>
        <r>
          <rPr>
            <sz val="9"/>
            <color indexed="81"/>
            <rFont val="Tahoma"/>
            <charset val="178"/>
          </rPr>
          <t xml:space="preserve">
29-9-1447</t>
        </r>
      </text>
    </comment>
    <comment ref="N401" authorId="0" shapeId="0" xr:uid="{DD26249A-2339-4AF8-A9D5-B0E675226F04}">
      <text>
        <r>
          <rPr>
            <b/>
            <sz val="9"/>
            <color indexed="81"/>
            <rFont val="Tahoma"/>
            <charset val="178"/>
          </rPr>
          <t>Akram Pc:</t>
        </r>
        <r>
          <rPr>
            <sz val="9"/>
            <color indexed="81"/>
            <rFont val="Tahoma"/>
            <charset val="178"/>
          </rPr>
          <t xml:space="preserve">
30-9-1447</t>
        </r>
      </text>
    </comment>
    <comment ref="I402" authorId="0" shapeId="0" xr:uid="{F54B137F-781E-450E-A9CE-2E1261BD7732}">
      <text>
        <r>
          <rPr>
            <b/>
            <sz val="9"/>
            <color indexed="81"/>
            <rFont val="Tahoma"/>
            <family val="2"/>
          </rPr>
          <t>Akram Pc:</t>
        </r>
        <r>
          <rPr>
            <sz val="9"/>
            <color indexed="81"/>
            <rFont val="Tahoma"/>
            <family val="2"/>
          </rPr>
          <t xml:space="preserve">
الصفا</t>
        </r>
      </text>
    </comment>
    <comment ref="M402" authorId="0" shapeId="0" xr:uid="{D9F4E714-54FA-42A9-944D-CE390A41127C}">
      <text>
        <r>
          <rPr>
            <b/>
            <sz val="9"/>
            <color indexed="81"/>
            <rFont val="Tahoma"/>
            <charset val="178"/>
          </rPr>
          <t>Akram Pc:</t>
        </r>
        <r>
          <rPr>
            <sz val="9"/>
            <color indexed="81"/>
            <rFont val="Tahoma"/>
            <charset val="178"/>
          </rPr>
          <t xml:space="preserve">
تحتاج برمجة + التماس كهربائي يؤدي لفصل الكهرباء تماما - البطاريات تالفة</t>
        </r>
      </text>
    </comment>
    <comment ref="N402" authorId="0" shapeId="0" xr:uid="{2C5E5FD5-53AB-4562-8FA0-27C7A56361CC}">
      <text>
        <r>
          <rPr>
            <b/>
            <sz val="9"/>
            <color indexed="81"/>
            <rFont val="Tahoma"/>
            <charset val="178"/>
          </rPr>
          <t>Akram Pc:</t>
        </r>
        <r>
          <rPr>
            <sz val="9"/>
            <color indexed="81"/>
            <rFont val="Tahoma"/>
            <charset val="178"/>
          </rPr>
          <t xml:space="preserve">
17-10-1447 + 27-10-1447 - 26-11-1447</t>
        </r>
      </text>
    </comment>
    <comment ref="O402" authorId="0" shapeId="0" xr:uid="{5149A580-B565-4159-A58B-C7EF2DB9971D}">
      <text>
        <r>
          <rPr>
            <b/>
            <sz val="9"/>
            <color indexed="81"/>
            <rFont val="Tahoma"/>
            <charset val="178"/>
          </rPr>
          <t>Akram Pc:</t>
        </r>
        <r>
          <rPr>
            <sz val="9"/>
            <color indexed="81"/>
            <rFont val="Tahoma"/>
            <charset val="178"/>
          </rPr>
          <t xml:space="preserve">
21-10-1447 + 27-10-1447</t>
        </r>
      </text>
    </comment>
    <comment ref="O405" authorId="0" shapeId="0" xr:uid="{AEC89DA9-8C06-4859-AD42-3C8DAFD95910}">
      <text>
        <r>
          <rPr>
            <b/>
            <sz val="9"/>
            <color indexed="81"/>
            <rFont val="Tahoma"/>
            <family val="2"/>
          </rPr>
          <t>Akram Pc:</t>
        </r>
        <r>
          <rPr>
            <sz val="9"/>
            <color indexed="81"/>
            <rFont val="Tahoma"/>
            <family val="2"/>
          </rPr>
          <t xml:space="preserve">
11-10-1447</t>
        </r>
      </text>
    </comment>
    <comment ref="M406" authorId="0" shapeId="0" xr:uid="{0A6AD23C-E1F0-490E-ACCF-FB3AFB336DFC}">
      <text>
        <r>
          <rPr>
            <b/>
            <sz val="9"/>
            <color indexed="81"/>
            <rFont val="Tahoma"/>
            <charset val="178"/>
          </rPr>
          <t>Akram Pc:</t>
        </r>
        <r>
          <rPr>
            <sz val="9"/>
            <color indexed="81"/>
            <rFont val="Tahoma"/>
            <charset val="178"/>
          </rPr>
          <t xml:space="preserve">
ليات الدركسون</t>
        </r>
      </text>
    </comment>
    <comment ref="N406" authorId="0" shapeId="0" xr:uid="{D1261509-87E1-4864-A22C-0F33C471272A}">
      <text>
        <r>
          <rPr>
            <b/>
            <sz val="9"/>
            <color indexed="81"/>
            <rFont val="Tahoma"/>
            <charset val="178"/>
          </rPr>
          <t>Akram Pc:</t>
        </r>
        <r>
          <rPr>
            <sz val="9"/>
            <color indexed="81"/>
            <rFont val="Tahoma"/>
            <charset val="178"/>
          </rPr>
          <t xml:space="preserve">
11-10-1447</t>
        </r>
      </text>
    </comment>
    <comment ref="M408" authorId="0" shapeId="0" xr:uid="{9C2116ED-E14D-44B6-9052-1E5245C96C81}">
      <text>
        <r>
          <rPr>
            <b/>
            <sz val="9"/>
            <color indexed="81"/>
            <rFont val="Tahoma"/>
            <charset val="178"/>
          </rPr>
          <t>Akram Pc:</t>
        </r>
        <r>
          <rPr>
            <sz val="9"/>
            <color indexed="81"/>
            <rFont val="Tahoma"/>
            <charset val="178"/>
          </rPr>
          <t xml:space="preserve">
تلف احد الكفرات الخلفية</t>
        </r>
      </text>
    </comment>
    <comment ref="N408" authorId="0" shapeId="0" xr:uid="{F4899321-A2B6-4538-9C89-A162A9AAD6A8}">
      <text>
        <r>
          <rPr>
            <b/>
            <sz val="9"/>
            <color indexed="81"/>
            <rFont val="Tahoma"/>
            <charset val="178"/>
          </rPr>
          <t>Akram Pc:</t>
        </r>
        <r>
          <rPr>
            <sz val="9"/>
            <color indexed="81"/>
            <rFont val="Tahoma"/>
            <charset val="178"/>
          </rPr>
          <t xml:space="preserve">
13-10-1447</t>
        </r>
      </text>
    </comment>
    <comment ref="M409" authorId="0" shapeId="0" xr:uid="{F1607D7A-9429-4F74-9FE0-6D48DCC6E085}">
      <text>
        <r>
          <rPr>
            <b/>
            <sz val="9"/>
            <color indexed="81"/>
            <rFont val="Tahoma"/>
            <charset val="178"/>
          </rPr>
          <t>Akram Pc:</t>
        </r>
        <r>
          <rPr>
            <sz val="9"/>
            <color indexed="81"/>
            <rFont val="Tahoma"/>
            <charset val="178"/>
          </rPr>
          <t xml:space="preserve">
مساحات + مكيف</t>
        </r>
      </text>
    </comment>
    <comment ref="N409" authorId="0" shapeId="0" xr:uid="{8D3B0BCE-0BB6-43C7-A799-102E0318CC1A}">
      <text>
        <r>
          <rPr>
            <b/>
            <sz val="9"/>
            <color indexed="81"/>
            <rFont val="Tahoma"/>
            <charset val="178"/>
          </rPr>
          <t>Akram Pc:</t>
        </r>
        <r>
          <rPr>
            <sz val="9"/>
            <color indexed="81"/>
            <rFont val="Tahoma"/>
            <charset val="178"/>
          </rPr>
          <t xml:space="preserve">
13-10-1447</t>
        </r>
      </text>
    </comment>
    <comment ref="M412" authorId="0" shapeId="0" xr:uid="{2C982812-5043-467F-B3E2-47ABF775BD3D}">
      <text>
        <r>
          <rPr>
            <b/>
            <sz val="9"/>
            <color indexed="81"/>
            <rFont val="Tahoma"/>
            <charset val="178"/>
          </rPr>
          <t>Akram Pc:</t>
        </r>
        <r>
          <rPr>
            <sz val="9"/>
            <color indexed="81"/>
            <rFont val="Tahoma"/>
            <charset val="178"/>
          </rPr>
          <t xml:space="preserve">
اعطال متعددة</t>
        </r>
      </text>
    </comment>
    <comment ref="N412" authorId="0" shapeId="0" xr:uid="{50E59016-C273-46B7-98F0-BB46A253ADBE}">
      <text>
        <r>
          <rPr>
            <b/>
            <sz val="9"/>
            <color indexed="81"/>
            <rFont val="Tahoma"/>
            <charset val="178"/>
          </rPr>
          <t>Akram Pc:</t>
        </r>
        <r>
          <rPr>
            <sz val="9"/>
            <color indexed="81"/>
            <rFont val="Tahoma"/>
            <charset val="178"/>
          </rPr>
          <t xml:space="preserve">
14-4-1447</t>
        </r>
      </text>
    </comment>
    <comment ref="O418" authorId="0" shapeId="0" xr:uid="{E5B186FF-1A1D-4B7C-AD58-AAC549C10E42}">
      <text>
        <r>
          <rPr>
            <b/>
            <sz val="9"/>
            <color indexed="81"/>
            <rFont val="Tahoma"/>
            <charset val="178"/>
          </rPr>
          <t>Akram Pc:</t>
        </r>
        <r>
          <rPr>
            <sz val="9"/>
            <color indexed="81"/>
            <rFont val="Tahoma"/>
            <charset val="178"/>
          </rPr>
          <t xml:space="preserve">
9-3-1447</t>
        </r>
      </text>
    </comment>
    <comment ref="M420" authorId="0" shapeId="0" xr:uid="{6A89155E-DDCE-449D-98C8-B8BCF6E3A4F7}">
      <text>
        <r>
          <rPr>
            <b/>
            <sz val="9"/>
            <color indexed="81"/>
            <rFont val="Tahoma"/>
            <charset val="178"/>
          </rPr>
          <t>Akram Pc:</t>
        </r>
        <r>
          <rPr>
            <sz val="9"/>
            <color indexed="81"/>
            <rFont val="Tahoma"/>
            <charset val="178"/>
          </rPr>
          <t xml:space="preserve">
لي ساعة المضخة</t>
        </r>
      </text>
    </comment>
    <comment ref="N420" authorId="0" shapeId="0" xr:uid="{1B7BBE32-BA70-4000-B74F-932A847772EB}">
      <text>
        <r>
          <rPr>
            <b/>
            <sz val="9"/>
            <color indexed="81"/>
            <rFont val="Tahoma"/>
            <charset val="178"/>
          </rPr>
          <t>Akram Pc:</t>
        </r>
        <r>
          <rPr>
            <sz val="9"/>
            <color indexed="81"/>
            <rFont val="Tahoma"/>
            <charset val="178"/>
          </rPr>
          <t xml:space="preserve">
25-10-1447</t>
        </r>
      </text>
    </comment>
    <comment ref="M421" authorId="0" shapeId="0" xr:uid="{6E678D03-983D-412D-B5E9-EA2AE1894650}">
      <text>
        <r>
          <rPr>
            <b/>
            <sz val="9"/>
            <color indexed="81"/>
            <rFont val="Tahoma"/>
            <charset val="178"/>
          </rPr>
          <t>Akram Pc:</t>
        </r>
        <r>
          <rPr>
            <sz val="9"/>
            <color indexed="81"/>
            <rFont val="Tahoma"/>
            <charset val="178"/>
          </rPr>
          <t xml:space="preserve">
تهريب بنزين من التانكي </t>
        </r>
      </text>
    </comment>
    <comment ref="N421" authorId="0" shapeId="0" xr:uid="{6EB7CCC4-9F31-4C72-8893-4AF6B3AB1128}">
      <text>
        <r>
          <rPr>
            <b/>
            <sz val="9"/>
            <color indexed="81"/>
            <rFont val="Tahoma"/>
            <charset val="178"/>
          </rPr>
          <t>Akram Pc:</t>
        </r>
        <r>
          <rPr>
            <sz val="9"/>
            <color indexed="81"/>
            <rFont val="Tahoma"/>
            <charset val="178"/>
          </rPr>
          <t xml:space="preserve">
26-10-1447</t>
        </r>
      </text>
    </comment>
    <comment ref="M422" authorId="0" shapeId="0" xr:uid="{402D8BDB-5159-41E1-A9DD-9D1E78D59EC0}">
      <text>
        <r>
          <rPr>
            <b/>
            <sz val="9"/>
            <color indexed="81"/>
            <rFont val="Tahoma"/>
            <family val="2"/>
          </rPr>
          <t>Akram Pc:</t>
        </r>
        <r>
          <rPr>
            <sz val="9"/>
            <color indexed="81"/>
            <rFont val="Tahoma"/>
            <family val="2"/>
          </rPr>
          <t xml:space="preserve">
عطل في الكمبيوتر</t>
        </r>
      </text>
    </comment>
    <comment ref="N422" authorId="0" shapeId="0" xr:uid="{C8DA56A6-7E1C-4762-8E9A-2853B2823FDC}">
      <text>
        <r>
          <rPr>
            <b/>
            <sz val="9"/>
            <color indexed="81"/>
            <rFont val="Tahoma"/>
            <family val="2"/>
          </rPr>
          <t>Akram Pc:</t>
        </r>
        <r>
          <rPr>
            <sz val="9"/>
            <color indexed="81"/>
            <rFont val="Tahoma"/>
            <family val="2"/>
          </rPr>
          <t xml:space="preserve">
28-10-1447</t>
        </r>
      </text>
    </comment>
    <comment ref="N424" authorId="0" shapeId="0" xr:uid="{20DA2090-F443-4BA3-95F8-A86073EA3852}">
      <text>
        <r>
          <rPr>
            <b/>
            <sz val="9"/>
            <color indexed="81"/>
            <rFont val="Tahoma"/>
            <charset val="178"/>
          </rPr>
          <t>Akram Pc:</t>
        </r>
        <r>
          <rPr>
            <sz val="9"/>
            <color indexed="81"/>
            <rFont val="Tahoma"/>
            <charset val="178"/>
          </rPr>
          <t xml:space="preserve">
5-11-1447</t>
        </r>
      </text>
    </comment>
    <comment ref="N428" authorId="0" shapeId="0" xr:uid="{91D89683-D8A9-45D0-814B-1111BB9A14BB}">
      <text>
        <r>
          <rPr>
            <b/>
            <sz val="9"/>
            <color indexed="81"/>
            <rFont val="Tahoma"/>
            <charset val="178"/>
          </rPr>
          <t>Akram Pc:</t>
        </r>
        <r>
          <rPr>
            <sz val="9"/>
            <color indexed="81"/>
            <rFont val="Tahoma"/>
            <charset val="178"/>
          </rPr>
          <t xml:space="preserve">
23-11-1447</t>
        </r>
      </text>
    </comment>
    <comment ref="O428" authorId="0" shapeId="0" xr:uid="{E7A9CE8A-868A-4BA7-A595-988DE271301F}">
      <text>
        <r>
          <rPr>
            <b/>
            <sz val="9"/>
            <color indexed="81"/>
            <rFont val="Tahoma"/>
            <family val="2"/>
          </rPr>
          <t>Akram Pc:</t>
        </r>
        <r>
          <rPr>
            <sz val="9"/>
            <color indexed="81"/>
            <rFont val="Tahoma"/>
            <family val="2"/>
          </rPr>
          <t xml:space="preserve">
3-12-1447</t>
        </r>
      </text>
    </comment>
    <comment ref="M431" authorId="0" shapeId="0" xr:uid="{F850A61B-D2B2-45C8-A718-5EE244AFF964}">
      <text>
        <r>
          <rPr>
            <b/>
            <sz val="9"/>
            <color indexed="81"/>
            <rFont val="Tahoma"/>
            <family val="2"/>
          </rPr>
          <t>Akram Pc:</t>
        </r>
        <r>
          <rPr>
            <sz val="9"/>
            <color indexed="81"/>
            <rFont val="Tahoma"/>
            <family val="2"/>
          </rPr>
          <t xml:space="preserve">
صحن دسك وكلتش</t>
        </r>
      </text>
    </comment>
    <comment ref="N431" authorId="0" shapeId="0" xr:uid="{9B59D225-FD49-4CDE-BF31-C7A9CA3B07B5}">
      <text>
        <r>
          <rPr>
            <b/>
            <sz val="9"/>
            <color indexed="81"/>
            <rFont val="Tahoma"/>
            <family val="2"/>
          </rPr>
          <t>Akram Pc:</t>
        </r>
        <r>
          <rPr>
            <sz val="9"/>
            <color indexed="81"/>
            <rFont val="Tahoma"/>
            <family val="2"/>
          </rPr>
          <t xml:space="preserve">
1-8-1447</t>
        </r>
      </text>
    </comment>
    <comment ref="N437" authorId="0" shapeId="0" xr:uid="{9F5BC71D-4C63-4239-844F-375D07A6CAB0}">
      <text>
        <r>
          <rPr>
            <b/>
            <sz val="9"/>
            <color indexed="81"/>
            <rFont val="Tahoma"/>
            <charset val="178"/>
          </rPr>
          <t>Akram Pc:</t>
        </r>
        <r>
          <rPr>
            <sz val="9"/>
            <color indexed="81"/>
            <rFont val="Tahoma"/>
            <charset val="178"/>
          </rPr>
          <t xml:space="preserve">
16-12-1447</t>
        </r>
      </text>
    </comment>
    <comment ref="N439" authorId="0" shapeId="0" xr:uid="{33333B9D-2D0D-48F3-A70E-9DA4F6FE684C}">
      <text>
        <r>
          <rPr>
            <b/>
            <sz val="9"/>
            <color indexed="81"/>
            <rFont val="Tahoma"/>
            <charset val="178"/>
          </rPr>
          <t>Akram Pc:</t>
        </r>
        <r>
          <rPr>
            <sz val="9"/>
            <color indexed="81"/>
            <rFont val="Tahoma"/>
            <charset val="178"/>
          </rPr>
          <t xml:space="preserve">
23-12-1447</t>
        </r>
      </text>
    </comment>
    <comment ref="M442" authorId="0" shapeId="0" xr:uid="{BE231AB0-E759-49C8-AF65-F1552542BFB5}">
      <text>
        <r>
          <rPr>
            <b/>
            <sz val="9"/>
            <color indexed="81"/>
            <rFont val="Tahoma"/>
            <family val="2"/>
          </rPr>
          <t>Akram Pc:</t>
        </r>
        <r>
          <rPr>
            <sz val="9"/>
            <color indexed="81"/>
            <rFont val="Tahoma"/>
            <family val="2"/>
          </rPr>
          <t xml:space="preserve">
سير مكينة </t>
        </r>
      </text>
    </comment>
    <comment ref="O445" authorId="0" shapeId="0" xr:uid="{BFAE6AD4-ED92-4F77-A868-B4A644F4AAB8}">
      <text>
        <r>
          <rPr>
            <b/>
            <sz val="9"/>
            <color indexed="81"/>
            <rFont val="Tahoma"/>
            <charset val="178"/>
          </rPr>
          <t>Akram Pc:</t>
        </r>
        <r>
          <rPr>
            <sz val="9"/>
            <color indexed="81"/>
            <rFont val="Tahoma"/>
            <charset val="178"/>
          </rPr>
          <t xml:space="preserve">
15-1-1448</t>
        </r>
      </text>
    </comment>
    <comment ref="M449" authorId="0" shapeId="0" xr:uid="{F10FCA22-AC95-4173-AF39-7B1696913B04}">
      <text>
        <r>
          <rPr>
            <b/>
            <sz val="9"/>
            <color indexed="81"/>
            <rFont val="Tahoma"/>
            <family val="2"/>
          </rPr>
          <t>Akram Pc:</t>
        </r>
        <r>
          <rPr>
            <sz val="9"/>
            <color indexed="81"/>
            <rFont val="Tahoma"/>
            <family val="2"/>
          </rPr>
          <t xml:space="preserve">
سير مكينة + تقطيع اثناء التشغيل</t>
        </r>
      </text>
    </comment>
    <comment ref="O449" authorId="0" shapeId="0" xr:uid="{A2E7FD1F-E47E-4D4D-AFFE-A89445F67E10}">
      <text>
        <r>
          <rPr>
            <b/>
            <sz val="9"/>
            <color indexed="81"/>
            <rFont val="Tahoma"/>
            <family val="2"/>
          </rPr>
          <t>Akram Pc:</t>
        </r>
        <r>
          <rPr>
            <sz val="9"/>
            <color indexed="81"/>
            <rFont val="Tahoma"/>
            <family val="2"/>
          </rPr>
          <t xml:space="preserve">
3-1-1448</t>
        </r>
      </text>
    </comment>
    <comment ref="M1159" authorId="0" shapeId="0" xr:uid="{E922A2B6-53FE-46D8-B9F8-0018A45A3296}">
      <text>
        <r>
          <rPr>
            <b/>
            <sz val="9"/>
            <color indexed="81"/>
            <rFont val="Tahoma"/>
            <family val="2"/>
          </rPr>
          <t>Akram Pc:</t>
        </r>
        <r>
          <rPr>
            <sz val="9"/>
            <color indexed="81"/>
            <rFont val="Tahoma"/>
            <family val="2"/>
          </rPr>
          <t xml:space="preserve">
سلف</t>
        </r>
      </text>
    </comment>
    <comment ref="N1159" authorId="0" shapeId="0" xr:uid="{3FB530E0-14D4-4C65-B16B-9B2E42B092A2}">
      <text>
        <r>
          <rPr>
            <b/>
            <sz val="9"/>
            <color indexed="81"/>
            <rFont val="Tahoma"/>
            <family val="2"/>
          </rPr>
          <t>Akram Pc:</t>
        </r>
        <r>
          <rPr>
            <sz val="9"/>
            <color indexed="81"/>
            <rFont val="Tahoma"/>
            <family val="2"/>
          </rPr>
          <t xml:space="preserve">
3-6-1447</t>
        </r>
      </text>
    </comment>
    <comment ref="M1160" authorId="0" shapeId="0" xr:uid="{707B2C21-FD19-4041-99AA-2B779073CDB1}">
      <text>
        <r>
          <rPr>
            <b/>
            <sz val="9"/>
            <color indexed="81"/>
            <rFont val="Tahoma"/>
            <family val="2"/>
          </rPr>
          <t>Akram Pc:</t>
        </r>
        <r>
          <rPr>
            <sz val="9"/>
            <color indexed="81"/>
            <rFont val="Tahoma"/>
            <family val="2"/>
          </rPr>
          <t xml:space="preserve">
تهريب من المحور الخلفي</t>
        </r>
      </text>
    </comment>
    <comment ref="N1160" authorId="0" shapeId="0" xr:uid="{6D01F08C-3B48-4C2A-8BCD-3BA781E567EE}">
      <text>
        <r>
          <rPr>
            <b/>
            <sz val="9"/>
            <color indexed="81"/>
            <rFont val="Tahoma"/>
            <family val="2"/>
          </rPr>
          <t>Akram Pc:</t>
        </r>
        <r>
          <rPr>
            <sz val="9"/>
            <color indexed="81"/>
            <rFont val="Tahoma"/>
            <family val="2"/>
          </rPr>
          <t xml:space="preserve">
3-6-1447</t>
        </r>
      </text>
    </comment>
    <comment ref="M1161" authorId="0" shapeId="0" xr:uid="{0D81A1B4-5D4A-4807-AC21-F30B1ED46EB4}">
      <text>
        <r>
          <rPr>
            <b/>
            <sz val="9"/>
            <color indexed="81"/>
            <rFont val="Tahoma"/>
            <charset val="178"/>
          </rPr>
          <t>Akram Pc:</t>
        </r>
        <r>
          <rPr>
            <sz val="9"/>
            <color indexed="81"/>
            <rFont val="Tahoma"/>
            <charset val="178"/>
          </rPr>
          <t xml:space="preserve">
عطل في الاقمشة والهوبات</t>
        </r>
      </text>
    </comment>
    <comment ref="N1161" authorId="0" shapeId="0" xr:uid="{8EB09B10-266A-420C-B883-9B972E042DBA}">
      <text>
        <r>
          <rPr>
            <b/>
            <sz val="9"/>
            <color indexed="81"/>
            <rFont val="Tahoma"/>
            <charset val="178"/>
          </rPr>
          <t>Akram Pc:</t>
        </r>
        <r>
          <rPr>
            <sz val="9"/>
            <color indexed="81"/>
            <rFont val="Tahoma"/>
            <charset val="178"/>
          </rPr>
          <t xml:space="preserve">
29-8-1447</t>
        </r>
      </text>
    </comment>
    <comment ref="M1164" authorId="0" shapeId="0" xr:uid="{9747DA28-6EE4-4100-A19F-30B695F205EC}">
      <text>
        <r>
          <rPr>
            <b/>
            <sz val="9"/>
            <color indexed="81"/>
            <rFont val="Tahoma"/>
            <family val="2"/>
          </rPr>
          <t>Akram Pc:</t>
        </r>
        <r>
          <rPr>
            <sz val="9"/>
            <color indexed="81"/>
            <rFont val="Tahoma"/>
            <family val="2"/>
          </rPr>
          <t xml:space="preserve">
عطل في بستم الغمارة + طرمبة الديزل + عطل في بوالين الهواء + تهريب ماء من جلد المواصير</t>
        </r>
      </text>
    </comment>
    <comment ref="N1164" authorId="0" shapeId="0" xr:uid="{40B9DD65-FA33-454E-8FE8-93DAA066B885}">
      <text>
        <r>
          <rPr>
            <b/>
            <sz val="9"/>
            <color indexed="81"/>
            <rFont val="Tahoma"/>
            <family val="2"/>
          </rPr>
          <t>Akram Pc:</t>
        </r>
        <r>
          <rPr>
            <sz val="9"/>
            <color indexed="81"/>
            <rFont val="Tahoma"/>
            <family val="2"/>
          </rPr>
          <t xml:space="preserve">
5-6-1447 + 28-6-1447 + 29-7-1447 + 1-9-1447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Akram Pc</author>
  </authors>
  <commentList>
    <comment ref="M13" authorId="0" shapeId="0" xr:uid="{562913BA-FBC5-476B-BA8C-E5790459ABAB}">
      <text>
        <r>
          <rPr>
            <b/>
            <sz val="9"/>
            <color indexed="81"/>
            <rFont val="Tahoma"/>
            <charset val="178"/>
          </rPr>
          <t>Akram Pc:</t>
        </r>
        <r>
          <rPr>
            <sz val="9"/>
            <color indexed="81"/>
            <rFont val="Tahoma"/>
            <charset val="178"/>
          </rPr>
          <t xml:space="preserve">
عطل بالدينمو</t>
        </r>
      </text>
    </comment>
    <comment ref="N13" authorId="0" shapeId="0" xr:uid="{3B65A011-CDDE-4F2E-9A4B-7F939F2AA9F4}">
      <text>
        <r>
          <rPr>
            <b/>
            <sz val="9"/>
            <color indexed="81"/>
            <rFont val="Tahoma"/>
            <charset val="178"/>
          </rPr>
          <t>Akram Pc:</t>
        </r>
        <r>
          <rPr>
            <sz val="9"/>
            <color indexed="81"/>
            <rFont val="Tahoma"/>
            <charset val="178"/>
          </rPr>
          <t xml:space="preserve">
5-10-1447</t>
        </r>
      </text>
    </comment>
    <comment ref="O13" authorId="0" shapeId="0" xr:uid="{BF402CF1-4769-4EB5-87E2-709917748A71}">
      <text>
        <r>
          <rPr>
            <b/>
            <sz val="9"/>
            <color indexed="81"/>
            <rFont val="Tahoma"/>
            <charset val="178"/>
          </rPr>
          <t>Akram Pc:</t>
        </r>
        <r>
          <rPr>
            <sz val="9"/>
            <color indexed="81"/>
            <rFont val="Tahoma"/>
            <charset val="178"/>
          </rPr>
          <t xml:space="preserve">
13-9-1447 + 24-10-1447</t>
        </r>
      </text>
    </comment>
    <comment ref="M14" authorId="0" shapeId="0" xr:uid="{923998FB-F96F-4B1C-91E9-58E4AC9DE403}">
      <text>
        <r>
          <rPr>
            <b/>
            <sz val="9"/>
            <color indexed="81"/>
            <rFont val="Tahoma"/>
            <charset val="178"/>
          </rPr>
          <t>Akram Pc:</t>
        </r>
        <r>
          <rPr>
            <sz val="9"/>
            <color indexed="81"/>
            <rFont val="Tahoma"/>
            <charset val="178"/>
          </rPr>
          <t xml:space="preserve">
مساعدات + الرديتر</t>
        </r>
      </text>
    </comment>
    <comment ref="N14" authorId="0" shapeId="0" xr:uid="{C4F0E177-4439-4599-8FDD-36CC94D54FE6}">
      <text>
        <r>
          <rPr>
            <b/>
            <sz val="9"/>
            <color indexed="81"/>
            <rFont val="Tahoma"/>
            <charset val="178"/>
          </rPr>
          <t>Akram Pc:</t>
        </r>
        <r>
          <rPr>
            <sz val="9"/>
            <color indexed="81"/>
            <rFont val="Tahoma"/>
            <charset val="178"/>
          </rPr>
          <t xml:space="preserve">
2-11-1447</t>
        </r>
      </text>
    </comment>
    <comment ref="O14" authorId="0" shapeId="0" xr:uid="{D4248BC4-4775-4A0F-B308-551D7EE2D101}">
      <text>
        <r>
          <rPr>
            <b/>
            <sz val="9"/>
            <color indexed="81"/>
            <rFont val="Tahoma"/>
            <charset val="178"/>
          </rPr>
          <t>Akram Pc:</t>
        </r>
        <r>
          <rPr>
            <sz val="9"/>
            <color indexed="81"/>
            <rFont val="Tahoma"/>
            <charset val="178"/>
          </rPr>
          <t xml:space="preserve">
22-8-1447</t>
        </r>
      </text>
    </comment>
    <comment ref="O16" authorId="0" shapeId="0" xr:uid="{2238FD89-9AC6-4B33-88DF-05022C27A1C7}">
      <text>
        <r>
          <rPr>
            <b/>
            <sz val="9"/>
            <color indexed="81"/>
            <rFont val="Tahoma"/>
            <family val="2"/>
          </rPr>
          <t>Akram Pc:</t>
        </r>
        <r>
          <rPr>
            <sz val="9"/>
            <color indexed="81"/>
            <rFont val="Tahoma"/>
            <family val="2"/>
          </rPr>
          <t xml:space="preserve">
15-9-1447</t>
        </r>
      </text>
    </comment>
    <comment ref="M18" authorId="0" shapeId="0" xr:uid="{CE2AC628-16BB-4F70-BA49-DE7E1EB5DC51}">
      <text>
        <r>
          <rPr>
            <b/>
            <sz val="9"/>
            <color indexed="81"/>
            <rFont val="Tahoma"/>
            <family val="2"/>
          </rPr>
          <t>Akram Pc:</t>
        </r>
        <r>
          <rPr>
            <sz val="9"/>
            <color indexed="81"/>
            <rFont val="Tahoma"/>
            <family val="2"/>
          </rPr>
          <t xml:space="preserve">
عطل في علبة الدركسون</t>
        </r>
      </text>
    </comment>
    <comment ref="N18" authorId="0" shapeId="0" xr:uid="{8D3D1753-FB14-4289-B80D-AE57B7C3B3BD}">
      <text>
        <r>
          <rPr>
            <b/>
            <sz val="9"/>
            <color indexed="81"/>
            <rFont val="Tahoma"/>
            <family val="2"/>
          </rPr>
          <t>Akram Pc:</t>
        </r>
        <r>
          <rPr>
            <sz val="9"/>
            <color indexed="81"/>
            <rFont val="Tahoma"/>
            <family val="2"/>
          </rPr>
          <t xml:space="preserve">
9-1-1447</t>
        </r>
      </text>
    </comment>
    <comment ref="M24" authorId="0" shapeId="0" xr:uid="{1F9CCF3A-BBCE-4A26-9679-425DDDCF5669}">
      <text>
        <r>
          <rPr>
            <b/>
            <sz val="9"/>
            <color indexed="81"/>
            <rFont val="Tahoma"/>
            <family val="2"/>
          </rPr>
          <t>Akram Pc:</t>
        </r>
        <r>
          <rPr>
            <sz val="9"/>
            <color indexed="81"/>
            <rFont val="Tahoma"/>
            <family val="2"/>
          </rPr>
          <t xml:space="preserve">
عدة اعطال (عصا القير)</t>
        </r>
      </text>
    </comment>
    <comment ref="N24" authorId="0" shapeId="0" xr:uid="{63C80887-1D3A-4D96-86D7-95E40871F048}">
      <text>
        <r>
          <rPr>
            <b/>
            <sz val="9"/>
            <color indexed="81"/>
            <rFont val="Tahoma"/>
            <family val="2"/>
          </rPr>
          <t>Akram Pc:</t>
        </r>
        <r>
          <rPr>
            <sz val="9"/>
            <color indexed="81"/>
            <rFont val="Tahoma"/>
            <family val="2"/>
          </rPr>
          <t xml:space="preserve">
8-4-1447</t>
        </r>
      </text>
    </comment>
    <comment ref="O25" authorId="0" shapeId="0" xr:uid="{8A141004-95C8-4F47-9A33-DBB8102BF308}">
      <text>
        <r>
          <rPr>
            <b/>
            <sz val="9"/>
            <color indexed="81"/>
            <rFont val="Tahoma"/>
            <charset val="178"/>
          </rPr>
          <t>Akram Pc:</t>
        </r>
        <r>
          <rPr>
            <sz val="9"/>
            <color indexed="81"/>
            <rFont val="Tahoma"/>
            <charset val="178"/>
          </rPr>
          <t xml:space="preserve">
29-8-1447</t>
        </r>
      </text>
    </comment>
    <comment ref="O26" authorId="0" shapeId="0" xr:uid="{477AF22F-6B36-4D26-B4EF-4EA835F9F759}">
      <text>
        <r>
          <rPr>
            <b/>
            <sz val="9"/>
            <color indexed="81"/>
            <rFont val="Tahoma"/>
            <family val="2"/>
          </rPr>
          <t>Akram Pc:</t>
        </r>
        <r>
          <rPr>
            <sz val="9"/>
            <color indexed="81"/>
            <rFont val="Tahoma"/>
            <family val="2"/>
          </rPr>
          <t xml:space="preserve">
22-7-1447</t>
        </r>
      </text>
    </comment>
    <comment ref="N29" authorId="0" shapeId="0" xr:uid="{C11F1F30-75DF-4ED0-BA26-635D1F899042}">
      <text>
        <r>
          <rPr>
            <b/>
            <sz val="9"/>
            <color indexed="81"/>
            <rFont val="Tahoma"/>
            <family val="2"/>
          </rPr>
          <t>Akram Pc:</t>
        </r>
        <r>
          <rPr>
            <sz val="9"/>
            <color indexed="81"/>
            <rFont val="Tahoma"/>
            <family val="2"/>
          </rPr>
          <t xml:space="preserve">
26-11-1447</t>
        </r>
      </text>
    </comment>
    <comment ref="O29" authorId="0" shapeId="0" xr:uid="{67B8BB9B-6DA7-4AF7-A6E6-96D0881BD707}">
      <text>
        <r>
          <rPr>
            <b/>
            <sz val="9"/>
            <color indexed="81"/>
            <rFont val="Tahoma"/>
            <family val="2"/>
          </rPr>
          <t>Akram Pc:</t>
        </r>
        <r>
          <rPr>
            <sz val="9"/>
            <color indexed="81"/>
            <rFont val="Tahoma"/>
            <family val="2"/>
          </rPr>
          <t xml:space="preserve">
21-10-1447</t>
        </r>
      </text>
    </comment>
    <comment ref="M30" authorId="0" shapeId="0" xr:uid="{91277D12-CBE9-4133-BA31-B693F0EAA4BF}">
      <text>
        <r>
          <rPr>
            <b/>
            <sz val="9"/>
            <color indexed="81"/>
            <rFont val="Tahoma"/>
            <charset val="178"/>
          </rPr>
          <t>Akram Pc:</t>
        </r>
        <r>
          <rPr>
            <sz val="9"/>
            <color indexed="81"/>
            <rFont val="Tahoma"/>
            <charset val="178"/>
          </rPr>
          <t xml:space="preserve">
عطل مبرد القير + الفرامل</t>
        </r>
      </text>
    </comment>
    <comment ref="N30" authorId="0" shapeId="0" xr:uid="{D247BCF2-25AF-49E9-8F94-195863E8C68B}">
      <text>
        <r>
          <rPr>
            <b/>
            <sz val="9"/>
            <color indexed="81"/>
            <rFont val="Tahoma"/>
            <charset val="178"/>
          </rPr>
          <t>Akram Pc:</t>
        </r>
        <r>
          <rPr>
            <sz val="9"/>
            <color indexed="81"/>
            <rFont val="Tahoma"/>
            <charset val="178"/>
          </rPr>
          <t xml:space="preserve">
7-11-1446</t>
        </r>
      </text>
    </comment>
    <comment ref="O36" authorId="0" shapeId="0" xr:uid="{AAE370B3-ECE5-468E-9759-67B43DF2D38A}">
      <text>
        <r>
          <rPr>
            <b/>
            <sz val="9"/>
            <color indexed="81"/>
            <rFont val="Tahoma"/>
            <charset val="178"/>
          </rPr>
          <t>Akram Pc:</t>
        </r>
        <r>
          <rPr>
            <sz val="9"/>
            <color indexed="81"/>
            <rFont val="Tahoma"/>
            <charset val="178"/>
          </rPr>
          <t xml:space="preserve">
29-7-1447</t>
        </r>
      </text>
    </comment>
    <comment ref="M37" authorId="0" shapeId="0" xr:uid="{A4B8EABA-F0EB-4DA4-A460-CA3EFBFF104B}">
      <text>
        <r>
          <rPr>
            <b/>
            <sz val="9"/>
            <color indexed="81"/>
            <rFont val="Tahoma"/>
            <family val="2"/>
          </rPr>
          <t>Akram Pc:</t>
        </r>
        <r>
          <rPr>
            <sz val="9"/>
            <color indexed="81"/>
            <rFont val="Tahoma"/>
            <family val="2"/>
          </rPr>
          <t xml:space="preserve">
عطل في الكليبر</t>
        </r>
      </text>
    </comment>
    <comment ref="N37" authorId="0" shapeId="0" xr:uid="{8C09C224-A34E-490B-8DDA-6E42C5D79976}">
      <text>
        <r>
          <rPr>
            <b/>
            <sz val="9"/>
            <color indexed="81"/>
            <rFont val="Tahoma"/>
            <family val="2"/>
          </rPr>
          <t>Akram Pc:</t>
        </r>
        <r>
          <rPr>
            <sz val="9"/>
            <color indexed="81"/>
            <rFont val="Tahoma"/>
            <family val="2"/>
          </rPr>
          <t xml:space="preserve">
5-1-1446</t>
        </r>
      </text>
    </comment>
    <comment ref="M40" authorId="0" shapeId="0" xr:uid="{0435C2AB-12A9-4CA2-A0C7-ABE0D9F50C0E}">
      <text>
        <r>
          <rPr>
            <b/>
            <sz val="9"/>
            <color indexed="81"/>
            <rFont val="Tahoma"/>
            <charset val="178"/>
          </rPr>
          <t>Akram Pc:</t>
        </r>
        <r>
          <rPr>
            <sz val="9"/>
            <color indexed="81"/>
            <rFont val="Tahoma"/>
            <charset val="178"/>
          </rPr>
          <t xml:space="preserve">
عطل في بستم ذراع اللوبد</t>
        </r>
      </text>
    </comment>
    <comment ref="N40" authorId="0" shapeId="0" xr:uid="{7F1F3D17-2F15-4AEB-A768-71EBB91FAC98}">
      <text>
        <r>
          <rPr>
            <b/>
            <sz val="9"/>
            <color indexed="81"/>
            <rFont val="Tahoma"/>
            <charset val="178"/>
          </rPr>
          <t>Akram Pc:</t>
        </r>
        <r>
          <rPr>
            <sz val="9"/>
            <color indexed="81"/>
            <rFont val="Tahoma"/>
            <charset val="178"/>
          </rPr>
          <t xml:space="preserve">
4-3-1447</t>
        </r>
      </text>
    </comment>
    <comment ref="O42" authorId="0" shapeId="0" xr:uid="{08513F09-C5EC-4686-85C4-481691340E74}">
      <text>
        <r>
          <rPr>
            <b/>
            <sz val="9"/>
            <color indexed="81"/>
            <rFont val="Tahoma"/>
            <charset val="178"/>
          </rPr>
          <t>Akram Pc:</t>
        </r>
        <r>
          <rPr>
            <sz val="9"/>
            <color indexed="81"/>
            <rFont val="Tahoma"/>
            <charset val="178"/>
          </rPr>
          <t xml:space="preserve">
7-9-1447</t>
        </r>
      </text>
    </comment>
    <comment ref="N49" authorId="0" shapeId="0" xr:uid="{A6913A77-2998-4944-9310-0B1FC98F5679}">
      <text>
        <r>
          <rPr>
            <b/>
            <sz val="9"/>
            <color indexed="81"/>
            <rFont val="Tahoma"/>
            <family val="2"/>
          </rPr>
          <t>Akram Pc:</t>
        </r>
        <r>
          <rPr>
            <sz val="9"/>
            <color indexed="81"/>
            <rFont val="Tahoma"/>
            <family val="2"/>
          </rPr>
          <t xml:space="preserve">
29-8-1446</t>
        </r>
      </text>
    </comment>
    <comment ref="M52" authorId="0" shapeId="0" xr:uid="{0E4BEE87-50C9-4126-9AE4-B68E4C22DE1C}">
      <text>
        <r>
          <rPr>
            <b/>
            <sz val="9"/>
            <color indexed="81"/>
            <rFont val="Tahoma"/>
            <charset val="178"/>
          </rPr>
          <t>Akram Pc:</t>
        </r>
        <r>
          <rPr>
            <sz val="9"/>
            <color indexed="81"/>
            <rFont val="Tahoma"/>
            <charset val="178"/>
          </rPr>
          <t xml:space="preserve">
بلف الهواء</t>
        </r>
      </text>
    </comment>
    <comment ref="N52" authorId="0" shapeId="0" xr:uid="{4B08AED7-3A07-4BCF-8783-F05DE1334DAE}">
      <text>
        <r>
          <rPr>
            <b/>
            <sz val="9"/>
            <color indexed="81"/>
            <rFont val="Tahoma"/>
            <charset val="178"/>
          </rPr>
          <t>Akram Pc:</t>
        </r>
        <r>
          <rPr>
            <sz val="9"/>
            <color indexed="81"/>
            <rFont val="Tahoma"/>
            <charset val="178"/>
          </rPr>
          <t xml:space="preserve">
24-10-1447</t>
        </r>
      </text>
    </comment>
    <comment ref="O52" authorId="0" shapeId="0" xr:uid="{A887F8DB-46B9-4215-A062-8F886E0A9E3D}">
      <text>
        <r>
          <rPr>
            <b/>
            <sz val="9"/>
            <color indexed="81"/>
            <rFont val="Tahoma"/>
            <charset val="178"/>
          </rPr>
          <t>Akram Pc:</t>
        </r>
        <r>
          <rPr>
            <sz val="9"/>
            <color indexed="81"/>
            <rFont val="Tahoma"/>
            <charset val="178"/>
          </rPr>
          <t xml:space="preserve">
20-10-1447</t>
        </r>
      </text>
    </comment>
    <comment ref="M55" authorId="0" shapeId="0" xr:uid="{47631D76-7EB7-44C3-AC00-15E7EE4C3440}">
      <text>
        <r>
          <rPr>
            <b/>
            <sz val="9"/>
            <color indexed="81"/>
            <rFont val="Tahoma"/>
            <charset val="178"/>
          </rPr>
          <t>Akram Pc:</t>
        </r>
        <r>
          <rPr>
            <sz val="9"/>
            <color indexed="81"/>
            <rFont val="Tahoma"/>
            <charset val="178"/>
          </rPr>
          <t xml:space="preserve">
بنشر كفر امامي يسار</t>
        </r>
      </text>
    </comment>
    <comment ref="N55" authorId="0" shapeId="0" xr:uid="{E8E7BBA6-43CE-4235-AECC-92A1FF616268}">
      <text>
        <r>
          <rPr>
            <b/>
            <sz val="9"/>
            <color indexed="81"/>
            <rFont val="Tahoma"/>
            <charset val="178"/>
          </rPr>
          <t>Akram Pc:</t>
        </r>
        <r>
          <rPr>
            <sz val="9"/>
            <color indexed="81"/>
            <rFont val="Tahoma"/>
            <charset val="178"/>
          </rPr>
          <t xml:space="preserve">
29-1-1447</t>
        </r>
      </text>
    </comment>
    <comment ref="O58" authorId="0" shapeId="0" xr:uid="{56ADEA06-3F93-41C6-8140-65FB7B83BF35}">
      <text>
        <r>
          <rPr>
            <b/>
            <sz val="9"/>
            <color indexed="81"/>
            <rFont val="Tahoma"/>
            <family val="2"/>
          </rPr>
          <t>Akram Pc:</t>
        </r>
        <r>
          <rPr>
            <sz val="9"/>
            <color indexed="81"/>
            <rFont val="Tahoma"/>
            <family val="2"/>
          </rPr>
          <t xml:space="preserve">
16-8-1447 + 7-10-1447 + 13-10-1447 - 14-10-1447</t>
        </r>
      </text>
    </comment>
    <comment ref="M59" authorId="0" shapeId="0" xr:uid="{7262F1B2-19F8-4F11-9682-DF035E8EAC17}">
      <text>
        <r>
          <rPr>
            <b/>
            <sz val="9"/>
            <color indexed="81"/>
            <rFont val="Tahoma"/>
            <charset val="178"/>
          </rPr>
          <t>Akram Pc:</t>
        </r>
        <r>
          <rPr>
            <sz val="9"/>
            <color indexed="81"/>
            <rFont val="Tahoma"/>
            <charset val="178"/>
          </rPr>
          <t xml:space="preserve">
بنشر</t>
        </r>
      </text>
    </comment>
    <comment ref="N59" authorId="0" shapeId="0" xr:uid="{F47FF572-417F-4268-B8B6-DA42DE2434B6}">
      <text>
        <r>
          <rPr>
            <b/>
            <sz val="9"/>
            <color indexed="81"/>
            <rFont val="Tahoma"/>
            <charset val="178"/>
          </rPr>
          <t>Akram Pc:</t>
        </r>
        <r>
          <rPr>
            <sz val="9"/>
            <color indexed="81"/>
            <rFont val="Tahoma"/>
            <charset val="178"/>
          </rPr>
          <t xml:space="preserve">
23-10-1447 - 18-11-1447 - 5-1-1448</t>
        </r>
      </text>
    </comment>
    <comment ref="O59" authorId="0" shapeId="0" xr:uid="{3604754F-6983-488A-8AD3-96E24D3E8E43}">
      <text>
        <r>
          <rPr>
            <b/>
            <sz val="9"/>
            <color indexed="81"/>
            <rFont val="Tahoma"/>
            <family val="2"/>
          </rPr>
          <t>Akram Pc:</t>
        </r>
        <r>
          <rPr>
            <sz val="9"/>
            <color indexed="81"/>
            <rFont val="Tahoma"/>
            <family val="2"/>
          </rPr>
          <t xml:space="preserve">
23-10-1447 - 21-11-1447 - 11-1-1448</t>
        </r>
      </text>
    </comment>
    <comment ref="O60" authorId="0" shapeId="0" xr:uid="{1A73B689-A697-41B1-BC79-7FCEE9A4E2D3}">
      <text>
        <r>
          <rPr>
            <b/>
            <sz val="9"/>
            <color indexed="81"/>
            <rFont val="Tahoma"/>
            <charset val="178"/>
          </rPr>
          <t>Akram Pc:</t>
        </r>
        <r>
          <rPr>
            <sz val="9"/>
            <color indexed="81"/>
            <rFont val="Tahoma"/>
            <charset val="178"/>
          </rPr>
          <t xml:space="preserve">
23-8-1447</t>
        </r>
      </text>
    </comment>
    <comment ref="M65" authorId="0" shapeId="0" xr:uid="{7DE6C004-EE08-4524-8EBC-C615120F5643}">
      <text>
        <r>
          <rPr>
            <b/>
            <sz val="9"/>
            <color indexed="81"/>
            <rFont val="Tahoma"/>
            <charset val="178"/>
          </rPr>
          <t>Akram Pc:</t>
        </r>
        <r>
          <rPr>
            <sz val="9"/>
            <color indexed="81"/>
            <rFont val="Tahoma"/>
            <charset val="178"/>
          </rPr>
          <t xml:space="preserve">
ارتفاع الحرارة</t>
        </r>
      </text>
    </comment>
    <comment ref="N65" authorId="0" shapeId="0" xr:uid="{F8ABF89F-B65D-4B46-B197-5FDBC1705669}">
      <text>
        <r>
          <rPr>
            <b/>
            <sz val="9"/>
            <color indexed="81"/>
            <rFont val="Tahoma"/>
            <charset val="178"/>
          </rPr>
          <t>Akram Pc:</t>
        </r>
        <r>
          <rPr>
            <sz val="9"/>
            <color indexed="81"/>
            <rFont val="Tahoma"/>
            <charset val="178"/>
          </rPr>
          <t xml:space="preserve">
26-1-1447</t>
        </r>
      </text>
    </comment>
    <comment ref="M66" authorId="0" shapeId="0" xr:uid="{55589F5D-F8EE-4347-B7E0-7C3BB1E78A47}">
      <text>
        <r>
          <rPr>
            <b/>
            <sz val="9"/>
            <color indexed="81"/>
            <rFont val="Tahoma"/>
            <charset val="178"/>
          </rPr>
          <t>Akram Pc:</t>
        </r>
        <r>
          <rPr>
            <sz val="9"/>
            <color indexed="81"/>
            <rFont val="Tahoma"/>
            <charset val="178"/>
          </rPr>
          <t xml:space="preserve">
انفجار الكفر وحدوث تلفيات واعطال </t>
        </r>
      </text>
    </comment>
    <comment ref="N66" authorId="0" shapeId="0" xr:uid="{FD21B2FD-5A22-47F2-9C1A-45104C6E7074}">
      <text>
        <r>
          <rPr>
            <b/>
            <sz val="9"/>
            <color indexed="81"/>
            <rFont val="Tahoma"/>
            <charset val="178"/>
          </rPr>
          <t>Akram Pc:</t>
        </r>
        <r>
          <rPr>
            <sz val="9"/>
            <color indexed="81"/>
            <rFont val="Tahoma"/>
            <charset val="178"/>
          </rPr>
          <t xml:space="preserve">
انفجار الكفر وحدوث تلفيات واعطال </t>
        </r>
      </text>
    </comment>
    <comment ref="O72" authorId="0" shapeId="0" xr:uid="{9C8548B6-DE34-427B-8658-2A59A3D53B8E}">
      <text>
        <r>
          <rPr>
            <b/>
            <sz val="9"/>
            <color indexed="81"/>
            <rFont val="Tahoma"/>
            <family val="2"/>
          </rPr>
          <t>Akram Pc:</t>
        </r>
        <r>
          <rPr>
            <sz val="9"/>
            <color indexed="81"/>
            <rFont val="Tahoma"/>
            <family val="2"/>
          </rPr>
          <t xml:space="preserve">
16-9-1447</t>
        </r>
      </text>
    </comment>
    <comment ref="O82" authorId="0" shapeId="0" xr:uid="{69CBBEBC-F620-4DC7-AB75-A1EF0496B3C1}">
      <text>
        <r>
          <rPr>
            <b/>
            <sz val="9"/>
            <color indexed="81"/>
            <rFont val="Tahoma"/>
            <family val="2"/>
          </rPr>
          <t>Akram Pc:</t>
        </r>
        <r>
          <rPr>
            <sz val="9"/>
            <color indexed="81"/>
            <rFont val="Tahoma"/>
            <family val="2"/>
          </rPr>
          <t xml:space="preserve">
17-10-1447</t>
        </r>
      </text>
    </comment>
    <comment ref="O83" authorId="0" shapeId="0" xr:uid="{7B509777-27AE-4D91-AA92-E4E1A1A6FF8F}">
      <text>
        <r>
          <rPr>
            <b/>
            <sz val="9"/>
            <color indexed="81"/>
            <rFont val="Tahoma"/>
            <family val="2"/>
          </rPr>
          <t>Akram Pc:</t>
        </r>
        <r>
          <rPr>
            <sz val="9"/>
            <color indexed="81"/>
            <rFont val="Tahoma"/>
            <family val="2"/>
          </rPr>
          <t xml:space="preserve">
18-10-1447</t>
        </r>
      </text>
    </comment>
    <comment ref="M84" authorId="0" shapeId="0" xr:uid="{382F66DB-9B4F-4E43-9894-A7E94428C03F}">
      <text>
        <r>
          <rPr>
            <b/>
            <sz val="9"/>
            <color indexed="81"/>
            <rFont val="Tahoma"/>
            <charset val="178"/>
          </rPr>
          <t>Akram Pc:</t>
        </r>
        <r>
          <rPr>
            <sz val="9"/>
            <color indexed="81"/>
            <rFont val="Tahoma"/>
            <charset val="178"/>
          </rPr>
          <t xml:space="preserve">
كفرات</t>
        </r>
      </text>
    </comment>
    <comment ref="N84" authorId="0" shapeId="0" xr:uid="{77EB1CB9-314F-4139-95ED-A13F3E7D1214}">
      <text>
        <r>
          <rPr>
            <b/>
            <sz val="9"/>
            <color indexed="81"/>
            <rFont val="Tahoma"/>
            <charset val="178"/>
          </rPr>
          <t>Akram Pc:</t>
        </r>
        <r>
          <rPr>
            <sz val="9"/>
            <color indexed="81"/>
            <rFont val="Tahoma"/>
            <charset val="178"/>
          </rPr>
          <t xml:space="preserve">
3-9-1447</t>
        </r>
      </text>
    </comment>
    <comment ref="O84" authorId="0" shapeId="0" xr:uid="{3A5D9193-8E1E-470A-804E-AD2A3249BCF2}">
      <text>
        <r>
          <rPr>
            <b/>
            <sz val="9"/>
            <color indexed="81"/>
            <rFont val="Tahoma"/>
            <charset val="178"/>
          </rPr>
          <t>Akram Pc:</t>
        </r>
        <r>
          <rPr>
            <sz val="9"/>
            <color indexed="81"/>
            <rFont val="Tahoma"/>
            <charset val="178"/>
          </rPr>
          <t xml:space="preserve">
2-9-1447</t>
        </r>
      </text>
    </comment>
    <comment ref="M88" authorId="0" shapeId="0" xr:uid="{91FC5F43-8BE5-43CD-851C-194BF3E1C7BE}">
      <text>
        <r>
          <rPr>
            <b/>
            <sz val="9"/>
            <color indexed="81"/>
            <rFont val="Tahoma"/>
            <charset val="178"/>
          </rPr>
          <t>Akram Pc:</t>
        </r>
        <r>
          <rPr>
            <sz val="9"/>
            <color indexed="81"/>
            <rFont val="Tahoma"/>
            <charset val="178"/>
          </rPr>
          <t xml:space="preserve">
بنشر</t>
        </r>
      </text>
    </comment>
    <comment ref="N88" authorId="0" shapeId="0" xr:uid="{6103FB0A-A9BA-4594-93F3-AB210A4469E1}">
      <text>
        <r>
          <rPr>
            <b/>
            <sz val="9"/>
            <color indexed="81"/>
            <rFont val="Tahoma"/>
            <charset val="178"/>
          </rPr>
          <t>Akram Pc:</t>
        </r>
        <r>
          <rPr>
            <sz val="9"/>
            <color indexed="81"/>
            <rFont val="Tahoma"/>
            <charset val="178"/>
          </rPr>
          <t xml:space="preserve">
23-10-1447</t>
        </r>
      </text>
    </comment>
    <comment ref="O88" authorId="0" shapeId="0" xr:uid="{743BC64B-953D-4DA5-83D1-CFC2829F2BB5}">
      <text>
        <r>
          <rPr>
            <b/>
            <sz val="9"/>
            <color indexed="81"/>
            <rFont val="Tahoma"/>
            <charset val="178"/>
          </rPr>
          <t>Akram Pc:</t>
        </r>
        <r>
          <rPr>
            <sz val="9"/>
            <color indexed="81"/>
            <rFont val="Tahoma"/>
            <charset val="178"/>
          </rPr>
          <t xml:space="preserve">
19-10-1447 + 19-10-1447</t>
        </r>
      </text>
    </comment>
    <comment ref="L96" authorId="0" shapeId="0" xr:uid="{49BEE7FD-CB6D-476D-A568-98CDC77BA1A5}">
      <text>
        <r>
          <rPr>
            <b/>
            <sz val="9"/>
            <color indexed="81"/>
            <rFont val="Tahoma"/>
            <family val="2"/>
          </rPr>
          <t>Akram Pc:</t>
        </r>
        <r>
          <rPr>
            <sz val="9"/>
            <color indexed="81"/>
            <rFont val="Tahoma"/>
            <family val="2"/>
          </rPr>
          <t xml:space="preserve">
ميكانيكي</t>
        </r>
      </text>
    </comment>
    <comment ref="M96" authorId="0" shapeId="0" xr:uid="{D7FCF12A-8779-4D4D-B175-870D5CFE1619}">
      <text>
        <r>
          <rPr>
            <b/>
            <sz val="9"/>
            <color indexed="81"/>
            <rFont val="Tahoma"/>
            <family val="2"/>
          </rPr>
          <t>Akram Pc:</t>
        </r>
        <r>
          <rPr>
            <sz val="9"/>
            <color indexed="81"/>
            <rFont val="Tahoma"/>
            <family val="2"/>
          </rPr>
          <t xml:space="preserve">
خلط ماء مع الزيت</t>
        </r>
      </text>
    </comment>
    <comment ref="N96" authorId="0" shapeId="0" xr:uid="{EE5918B6-8DD6-434C-BC10-1481BDF63AF9}">
      <text>
        <r>
          <rPr>
            <b/>
            <sz val="9"/>
            <color indexed="81"/>
            <rFont val="Tahoma"/>
            <family val="2"/>
          </rPr>
          <t>Akram Pc:</t>
        </r>
        <r>
          <rPr>
            <sz val="9"/>
            <color indexed="81"/>
            <rFont val="Tahoma"/>
            <family val="2"/>
          </rPr>
          <t xml:space="preserve">
19-3-1447</t>
        </r>
      </text>
    </comment>
    <comment ref="M97" authorId="0" shapeId="0" xr:uid="{B297A412-6031-49C6-8794-9D80D0C0C60D}">
      <text>
        <r>
          <rPr>
            <b/>
            <sz val="9"/>
            <color indexed="81"/>
            <rFont val="Tahoma"/>
            <family val="2"/>
          </rPr>
          <t>Akram Pc:</t>
        </r>
        <r>
          <rPr>
            <sz val="9"/>
            <color indexed="81"/>
            <rFont val="Tahoma"/>
            <family val="2"/>
          </rPr>
          <t xml:space="preserve">
عطل في سير المكينة</t>
        </r>
      </text>
    </comment>
    <comment ref="N97" authorId="0" shapeId="0" xr:uid="{3654750D-7E44-4DF9-A51F-0944125030D5}">
      <text>
        <r>
          <rPr>
            <b/>
            <sz val="9"/>
            <color indexed="81"/>
            <rFont val="Tahoma"/>
            <family val="2"/>
          </rPr>
          <t>Akram Pc:</t>
        </r>
        <r>
          <rPr>
            <sz val="9"/>
            <color indexed="81"/>
            <rFont val="Tahoma"/>
            <family val="2"/>
          </rPr>
          <t xml:space="preserve">
19-3-1447</t>
        </r>
      </text>
    </comment>
    <comment ref="M102" authorId="0" shapeId="0" xr:uid="{1C126BEE-3921-4FD1-AB78-88C28EFE8C09}">
      <text>
        <r>
          <rPr>
            <b/>
            <sz val="9"/>
            <color indexed="81"/>
            <rFont val="Tahoma"/>
            <family val="2"/>
          </rPr>
          <t>Akram Pc:</t>
        </r>
        <r>
          <rPr>
            <sz val="9"/>
            <color indexed="81"/>
            <rFont val="Tahoma"/>
            <family val="2"/>
          </rPr>
          <t xml:space="preserve">
خلل في عصا القير</t>
        </r>
      </text>
    </comment>
    <comment ref="N102" authorId="0" shapeId="0" xr:uid="{4235E0A5-7C9E-4679-94E5-8D9CA9715BF4}">
      <text>
        <r>
          <rPr>
            <b/>
            <sz val="9"/>
            <color indexed="81"/>
            <rFont val="Tahoma"/>
            <family val="2"/>
          </rPr>
          <t>Akram Pc:</t>
        </r>
        <r>
          <rPr>
            <sz val="9"/>
            <color indexed="81"/>
            <rFont val="Tahoma"/>
            <family val="2"/>
          </rPr>
          <t xml:space="preserve">
18-5-1446</t>
        </r>
      </text>
    </comment>
    <comment ref="M104" authorId="0" shapeId="0" xr:uid="{0563C6B0-0A0B-4FA2-A1BD-9BA938ECAED6}">
      <text>
        <r>
          <rPr>
            <b/>
            <sz val="9"/>
            <color indexed="81"/>
            <rFont val="Tahoma"/>
            <charset val="178"/>
          </rPr>
          <t>Akram Pc:</t>
        </r>
        <r>
          <rPr>
            <sz val="9"/>
            <color indexed="81"/>
            <rFont val="Tahoma"/>
            <charset val="178"/>
          </rPr>
          <t xml:space="preserve">
ارتفاع درجة الحرارة</t>
        </r>
      </text>
    </comment>
    <comment ref="N104" authorId="0" shapeId="0" xr:uid="{15EEA6C3-094E-4930-A97E-53BDB0B087E5}">
      <text>
        <r>
          <rPr>
            <b/>
            <sz val="9"/>
            <color indexed="81"/>
            <rFont val="Tahoma"/>
            <charset val="178"/>
          </rPr>
          <t>Akram Pc:</t>
        </r>
        <r>
          <rPr>
            <sz val="9"/>
            <color indexed="81"/>
            <rFont val="Tahoma"/>
            <charset val="178"/>
          </rPr>
          <t xml:space="preserve">
18-12-1446</t>
        </r>
      </text>
    </comment>
    <comment ref="N111" authorId="0" shapeId="0" xr:uid="{8B39E200-CCDB-4866-90E0-213A69057BC8}">
      <text>
        <r>
          <rPr>
            <b/>
            <sz val="9"/>
            <color indexed="81"/>
            <rFont val="Tahoma"/>
            <charset val="178"/>
          </rPr>
          <t>Akram Pc:</t>
        </r>
        <r>
          <rPr>
            <sz val="9"/>
            <color indexed="81"/>
            <rFont val="Tahoma"/>
            <charset val="178"/>
          </rPr>
          <t xml:space="preserve">
29-11-1447</t>
        </r>
      </text>
    </comment>
    <comment ref="O111" authorId="0" shapeId="0" xr:uid="{059F8215-2AE8-49A8-ADC8-2DB738B7E220}">
      <text>
        <r>
          <rPr>
            <b/>
            <sz val="9"/>
            <color indexed="81"/>
            <rFont val="Tahoma"/>
            <charset val="178"/>
          </rPr>
          <t>Akram Pc:</t>
        </r>
        <r>
          <rPr>
            <sz val="9"/>
            <color indexed="81"/>
            <rFont val="Tahoma"/>
            <charset val="178"/>
          </rPr>
          <t xml:space="preserve">
13-6-1447</t>
        </r>
      </text>
    </comment>
    <comment ref="O114" authorId="0" shapeId="0" xr:uid="{3EB7FEE1-E74C-43EF-8460-A72C8E0829FE}">
      <text>
        <r>
          <rPr>
            <b/>
            <sz val="9"/>
            <color indexed="81"/>
            <rFont val="Tahoma"/>
            <charset val="178"/>
          </rPr>
          <t>Akram Pc:</t>
        </r>
        <r>
          <rPr>
            <sz val="9"/>
            <color indexed="81"/>
            <rFont val="Tahoma"/>
            <charset val="178"/>
          </rPr>
          <t xml:space="preserve">
21-9-1447</t>
        </r>
      </text>
    </comment>
    <comment ref="O115" authorId="0" shapeId="0" xr:uid="{1EAAEFF2-E7DD-451E-BDA2-A06CEA2D68AA}">
      <text>
        <r>
          <rPr>
            <b/>
            <sz val="9"/>
            <color indexed="81"/>
            <rFont val="Tahoma"/>
            <family val="2"/>
          </rPr>
          <t>Akram Pc:</t>
        </r>
        <r>
          <rPr>
            <sz val="9"/>
            <color indexed="81"/>
            <rFont val="Tahoma"/>
            <family val="2"/>
          </rPr>
          <t xml:space="preserve">
17-10-1447</t>
        </r>
      </text>
    </comment>
    <comment ref="M117" authorId="0" shapeId="0" xr:uid="{46F6AD8A-C724-4881-B4C6-DFBF31E1BA44}">
      <text>
        <r>
          <rPr>
            <b/>
            <sz val="9"/>
            <color indexed="81"/>
            <rFont val="Tahoma"/>
            <family val="2"/>
          </rPr>
          <t>Akram Pc:</t>
        </r>
        <r>
          <rPr>
            <sz val="9"/>
            <color indexed="81"/>
            <rFont val="Tahoma"/>
            <family val="2"/>
          </rPr>
          <t xml:space="preserve">
مروحة التبريد</t>
        </r>
      </text>
    </comment>
    <comment ref="N117" authorId="0" shapeId="0" xr:uid="{264C0333-D60B-4E46-81D4-866C4B4332AB}">
      <text>
        <r>
          <rPr>
            <b/>
            <sz val="9"/>
            <color indexed="81"/>
            <rFont val="Tahoma"/>
            <family val="2"/>
          </rPr>
          <t>Akram Pc:</t>
        </r>
        <r>
          <rPr>
            <sz val="9"/>
            <color indexed="81"/>
            <rFont val="Tahoma"/>
            <family val="2"/>
          </rPr>
          <t xml:space="preserve">
1-5-1447</t>
        </r>
      </text>
    </comment>
    <comment ref="M118" authorId="0" shapeId="0" xr:uid="{8AE352B4-04FA-4711-9364-9AC6A3BFEA42}">
      <text>
        <r>
          <rPr>
            <b/>
            <sz val="9"/>
            <color indexed="81"/>
            <rFont val="Tahoma"/>
            <family val="2"/>
          </rPr>
          <t>Akram Pc:</t>
        </r>
        <r>
          <rPr>
            <sz val="9"/>
            <color indexed="81"/>
            <rFont val="Tahoma"/>
            <family val="2"/>
          </rPr>
          <t xml:space="preserve">
عطل في الكيبر الامامي مصلب</t>
        </r>
      </text>
    </comment>
    <comment ref="N118" authorId="0" shapeId="0" xr:uid="{DF5D9E1E-BB45-4F0F-A26D-1E9726B00387}">
      <text>
        <r>
          <rPr>
            <b/>
            <sz val="9"/>
            <color indexed="81"/>
            <rFont val="Tahoma"/>
            <family val="2"/>
          </rPr>
          <t>Akram Pc:</t>
        </r>
        <r>
          <rPr>
            <sz val="9"/>
            <color indexed="81"/>
            <rFont val="Tahoma"/>
            <family val="2"/>
          </rPr>
          <t xml:space="preserve">
15-12-1446</t>
        </r>
      </text>
    </comment>
    <comment ref="L120" authorId="0" shapeId="0" xr:uid="{2E78713C-661D-42BB-A7BC-586E02B67640}">
      <text>
        <r>
          <rPr>
            <b/>
            <sz val="9"/>
            <color indexed="81"/>
            <rFont val="Tahoma"/>
            <charset val="178"/>
          </rPr>
          <t>Akram Pc:</t>
        </r>
        <r>
          <rPr>
            <sz val="9"/>
            <color indexed="81"/>
            <rFont val="Tahoma"/>
            <charset val="178"/>
          </rPr>
          <t xml:space="preserve">
مضخات</t>
        </r>
      </text>
    </comment>
    <comment ref="M120" authorId="0" shapeId="0" xr:uid="{E92DFBA8-77A0-4A5D-8DEE-50A0879AE4E3}">
      <text>
        <r>
          <rPr>
            <b/>
            <sz val="9"/>
            <color indexed="81"/>
            <rFont val="Tahoma"/>
            <charset val="178"/>
          </rPr>
          <t>Akram Pc:</t>
        </r>
        <r>
          <rPr>
            <sz val="9"/>
            <color indexed="81"/>
            <rFont val="Tahoma"/>
            <charset val="178"/>
          </rPr>
          <t xml:space="preserve">
عطل في علبة الدركسون والانارة الامامية + تهريب بالمضخة + عطل بالمضخه</t>
        </r>
      </text>
    </comment>
    <comment ref="N120" authorId="0" shapeId="0" xr:uid="{F817FBCE-A871-4FEE-90ED-FCB80F7CC8AD}">
      <text>
        <r>
          <rPr>
            <b/>
            <sz val="9"/>
            <color indexed="81"/>
            <rFont val="Tahoma"/>
            <charset val="178"/>
          </rPr>
          <t>Akram Pc:</t>
        </r>
        <r>
          <rPr>
            <sz val="9"/>
            <color indexed="81"/>
            <rFont val="Tahoma"/>
            <charset val="178"/>
          </rPr>
          <t xml:space="preserve">
18-7-1447 + 23-11-1447</t>
        </r>
      </text>
    </comment>
    <comment ref="O120" authorId="0" shapeId="0" xr:uid="{95C6CC54-4E34-48A4-9DBA-F3009F111C8A}">
      <text>
        <r>
          <rPr>
            <b/>
            <sz val="9"/>
            <color indexed="81"/>
            <rFont val="Tahoma"/>
            <family val="2"/>
          </rPr>
          <t>Akram Pc:</t>
        </r>
        <r>
          <rPr>
            <sz val="9"/>
            <color indexed="81"/>
            <rFont val="Tahoma"/>
            <family val="2"/>
          </rPr>
          <t xml:space="preserve">
17-11-1447</t>
        </r>
      </text>
    </comment>
    <comment ref="N122" authorId="0" shapeId="0" xr:uid="{D6DFF1ED-CDEB-4EB6-B40D-46E476EA9009}">
      <text>
        <r>
          <rPr>
            <b/>
            <sz val="9"/>
            <color indexed="81"/>
            <rFont val="Tahoma"/>
            <charset val="178"/>
          </rPr>
          <t>Akram Pc:</t>
        </r>
        <r>
          <rPr>
            <sz val="9"/>
            <color indexed="81"/>
            <rFont val="Tahoma"/>
            <charset val="178"/>
          </rPr>
          <t xml:space="preserve">
15-10-1446</t>
        </r>
      </text>
    </comment>
    <comment ref="M124" authorId="0" shapeId="0" xr:uid="{AFB30867-E4F3-49AE-A977-DEC3FE3C32B6}">
      <text>
        <r>
          <rPr>
            <b/>
            <sz val="9"/>
            <color indexed="81"/>
            <rFont val="Tahoma"/>
            <charset val="178"/>
          </rPr>
          <t>Akram Pc:</t>
        </r>
        <r>
          <rPr>
            <sz val="9"/>
            <color indexed="81"/>
            <rFont val="Tahoma"/>
            <charset val="178"/>
          </rPr>
          <t xml:space="preserve">
قاعدة البوم</t>
        </r>
      </text>
    </comment>
    <comment ref="N124" authorId="0" shapeId="0" xr:uid="{4085DB3A-A134-4338-B4D5-2D2596BD4BBB}">
      <text>
        <r>
          <rPr>
            <b/>
            <sz val="9"/>
            <color indexed="81"/>
            <rFont val="Tahoma"/>
            <charset val="178"/>
          </rPr>
          <t>Akram Pc:</t>
        </r>
        <r>
          <rPr>
            <sz val="9"/>
            <color indexed="81"/>
            <rFont val="Tahoma"/>
            <charset val="178"/>
          </rPr>
          <t xml:space="preserve">
24-7-1447</t>
        </r>
      </text>
    </comment>
    <comment ref="M125" authorId="0" shapeId="0" xr:uid="{452FE54C-18E3-4FE2-97AE-22C682183A29}">
      <text>
        <r>
          <rPr>
            <b/>
            <sz val="9"/>
            <color indexed="81"/>
            <rFont val="Tahoma"/>
            <charset val="178"/>
          </rPr>
          <t>Akram Pc:</t>
        </r>
        <r>
          <rPr>
            <sz val="9"/>
            <color indexed="81"/>
            <rFont val="Tahoma"/>
            <charset val="178"/>
          </rPr>
          <t xml:space="preserve">
برمجة</t>
        </r>
      </text>
    </comment>
    <comment ref="N125" authorId="0" shapeId="0" xr:uid="{B41AA597-355D-463D-B24E-258A6E2CD523}">
      <text>
        <r>
          <rPr>
            <b/>
            <sz val="9"/>
            <color indexed="81"/>
            <rFont val="Tahoma"/>
            <charset val="178"/>
          </rPr>
          <t>Akram Pc:</t>
        </r>
        <r>
          <rPr>
            <sz val="9"/>
            <color indexed="81"/>
            <rFont val="Tahoma"/>
            <charset val="178"/>
          </rPr>
          <t xml:space="preserve">
29-9-1447</t>
        </r>
      </text>
    </comment>
    <comment ref="O125" authorId="0" shapeId="0" xr:uid="{AFFEEB7F-AEBA-4604-A599-7EB289EB75D6}">
      <text>
        <r>
          <rPr>
            <b/>
            <sz val="9"/>
            <color indexed="81"/>
            <rFont val="Tahoma"/>
            <charset val="178"/>
          </rPr>
          <t>Akram Pc:</t>
        </r>
        <r>
          <rPr>
            <sz val="9"/>
            <color indexed="81"/>
            <rFont val="Tahoma"/>
            <charset val="178"/>
          </rPr>
          <t xml:space="preserve">
28-9-1447 + 22-10-1447 + 20-11-1447</t>
        </r>
      </text>
    </comment>
    <comment ref="M128" authorId="0" shapeId="0" xr:uid="{6508862E-FF95-405C-A574-30A5FB22148B}">
      <text>
        <r>
          <rPr>
            <b/>
            <sz val="9"/>
            <color indexed="81"/>
            <rFont val="Tahoma"/>
            <charset val="178"/>
          </rPr>
          <t>Akram Pc:</t>
        </r>
        <r>
          <rPr>
            <sz val="9"/>
            <color indexed="81"/>
            <rFont val="Tahoma"/>
            <charset val="178"/>
          </rPr>
          <t xml:space="preserve">
اعطال متعددة</t>
        </r>
      </text>
    </comment>
    <comment ref="N128" authorId="0" shapeId="0" xr:uid="{730726DF-6070-45D1-BB18-08070495A5FB}">
      <text>
        <r>
          <rPr>
            <b/>
            <sz val="9"/>
            <color indexed="81"/>
            <rFont val="Tahoma"/>
            <charset val="178"/>
          </rPr>
          <t>Akram Pc:</t>
        </r>
        <r>
          <rPr>
            <sz val="9"/>
            <color indexed="81"/>
            <rFont val="Tahoma"/>
            <charset val="178"/>
          </rPr>
          <t xml:space="preserve">
13-4-1447</t>
        </r>
      </text>
    </comment>
    <comment ref="M131" authorId="0" shapeId="0" xr:uid="{10029CE5-6DE8-449A-B249-A30DE4765E4E}">
      <text>
        <r>
          <rPr>
            <b/>
            <sz val="9"/>
            <color indexed="81"/>
            <rFont val="Tahoma"/>
            <charset val="178"/>
          </rPr>
          <t>Akram Pc:</t>
        </r>
        <r>
          <rPr>
            <sz val="9"/>
            <color indexed="81"/>
            <rFont val="Tahoma"/>
            <charset val="178"/>
          </rPr>
          <t xml:space="preserve">
ضعف بالفرامل</t>
        </r>
      </text>
    </comment>
    <comment ref="N131" authorId="0" shapeId="0" xr:uid="{F500A28E-B409-485E-81F1-4A033E23072F}">
      <text>
        <r>
          <rPr>
            <b/>
            <sz val="9"/>
            <color indexed="81"/>
            <rFont val="Tahoma"/>
            <charset val="178"/>
          </rPr>
          <t>Akram Pc:</t>
        </r>
        <r>
          <rPr>
            <sz val="9"/>
            <color indexed="81"/>
            <rFont val="Tahoma"/>
            <charset val="178"/>
          </rPr>
          <t xml:space="preserve">
12-8-1447</t>
        </r>
      </text>
    </comment>
    <comment ref="M133" authorId="0" shapeId="0" xr:uid="{18C3BF0E-B42A-404C-BBBE-FA5D81AA8B4C}">
      <text>
        <r>
          <rPr>
            <b/>
            <sz val="9"/>
            <color indexed="81"/>
            <rFont val="Tahoma"/>
            <charset val="178"/>
          </rPr>
          <t>Akram Pc:</t>
        </r>
        <r>
          <rPr>
            <sz val="9"/>
            <color indexed="81"/>
            <rFont val="Tahoma"/>
            <charset val="178"/>
          </rPr>
          <t xml:space="preserve">
عطل بلف هواء الفرامل</t>
        </r>
      </text>
    </comment>
    <comment ref="N133" authorId="0" shapeId="0" xr:uid="{E407D24D-BA20-44E5-B7D8-7655CE3FAC40}">
      <text>
        <r>
          <rPr>
            <b/>
            <sz val="9"/>
            <color indexed="81"/>
            <rFont val="Tahoma"/>
            <charset val="178"/>
          </rPr>
          <t>Akram Pc:</t>
        </r>
        <r>
          <rPr>
            <sz val="9"/>
            <color indexed="81"/>
            <rFont val="Tahoma"/>
            <charset val="178"/>
          </rPr>
          <t xml:space="preserve">
7-4-1447</t>
        </r>
      </text>
    </comment>
    <comment ref="M138" authorId="0" shapeId="0" xr:uid="{43F9D3A9-0C84-4EBC-B022-C491C2EC7BA8}">
      <text>
        <r>
          <rPr>
            <b/>
            <sz val="9"/>
            <color indexed="81"/>
            <rFont val="Tahoma"/>
            <family val="2"/>
          </rPr>
          <t>Akram Pc:</t>
        </r>
        <r>
          <rPr>
            <sz val="9"/>
            <color indexed="81"/>
            <rFont val="Tahoma"/>
            <family val="2"/>
          </rPr>
          <t xml:space="preserve">
الجربوكس </t>
        </r>
      </text>
    </comment>
    <comment ref="N138" authorId="0" shapeId="0" xr:uid="{54899B7B-3AFC-4BCA-BFE2-01496B5DC3C4}">
      <text>
        <r>
          <rPr>
            <b/>
            <sz val="9"/>
            <color indexed="81"/>
            <rFont val="Tahoma"/>
            <family val="2"/>
          </rPr>
          <t>Akram Pc:</t>
        </r>
        <r>
          <rPr>
            <sz val="9"/>
            <color indexed="81"/>
            <rFont val="Tahoma"/>
            <family val="2"/>
          </rPr>
          <t xml:space="preserve">
14-11-1447</t>
        </r>
      </text>
    </comment>
    <comment ref="M141" authorId="0" shapeId="0" xr:uid="{27003E26-0A4E-4D5F-B8D6-2821EC34329C}">
      <text>
        <r>
          <rPr>
            <b/>
            <sz val="9"/>
            <color indexed="81"/>
            <rFont val="Tahoma"/>
            <family val="2"/>
          </rPr>
          <t>Akram Pc:</t>
        </r>
        <r>
          <rPr>
            <sz val="9"/>
            <color indexed="81"/>
            <rFont val="Tahoma"/>
            <family val="2"/>
          </rPr>
          <t xml:space="preserve">
ارتفاع درجة الحرارة</t>
        </r>
      </text>
    </comment>
    <comment ref="N141" authorId="0" shapeId="0" xr:uid="{E0D7EC52-6904-4F82-8C24-F36C396A54ED}">
      <text>
        <r>
          <rPr>
            <b/>
            <sz val="9"/>
            <color indexed="81"/>
            <rFont val="Tahoma"/>
            <family val="2"/>
          </rPr>
          <t>Akram Pc:</t>
        </r>
        <r>
          <rPr>
            <sz val="9"/>
            <color indexed="81"/>
            <rFont val="Tahoma"/>
            <family val="2"/>
          </rPr>
          <t xml:space="preserve">
1-1-1446</t>
        </r>
      </text>
    </comment>
    <comment ref="N151" authorId="0" shapeId="0" xr:uid="{76E705C2-9F63-42F7-AB5B-EA5646D3846B}">
      <text>
        <r>
          <rPr>
            <b/>
            <sz val="9"/>
            <color indexed="81"/>
            <rFont val="Tahoma"/>
            <family val="2"/>
          </rPr>
          <t>Akram Pc:</t>
        </r>
        <r>
          <rPr>
            <sz val="9"/>
            <color indexed="81"/>
            <rFont val="Tahoma"/>
            <family val="2"/>
          </rPr>
          <t xml:space="preserve">
28-1-1446</t>
        </r>
      </text>
    </comment>
    <comment ref="M155" authorId="0" shapeId="0" xr:uid="{88A7CA78-A157-4529-B484-74D38BD74E51}">
      <text>
        <r>
          <rPr>
            <b/>
            <sz val="9"/>
            <color indexed="81"/>
            <rFont val="Tahoma"/>
            <family val="2"/>
          </rPr>
          <t>Akram Pc:</t>
        </r>
        <r>
          <rPr>
            <sz val="9"/>
            <color indexed="81"/>
            <rFont val="Tahoma"/>
            <family val="2"/>
          </rPr>
          <t xml:space="preserve">
صوت في المكينة + دخان ابيض من الشكمان + تقطيع وتفتفه</t>
        </r>
      </text>
    </comment>
    <comment ref="N155" authorId="0" shapeId="0" xr:uid="{15586255-A2A7-4B56-B355-A05EB74BBA8E}">
      <text>
        <r>
          <rPr>
            <b/>
            <sz val="9"/>
            <color indexed="81"/>
            <rFont val="Tahoma"/>
            <family val="2"/>
          </rPr>
          <t>Akram Pc:</t>
        </r>
        <r>
          <rPr>
            <sz val="9"/>
            <color indexed="81"/>
            <rFont val="Tahoma"/>
            <family val="2"/>
          </rPr>
          <t xml:space="preserve">
11-1-1447 + 15-9-1447</t>
        </r>
      </text>
    </comment>
    <comment ref="O155" authorId="0" shapeId="0" xr:uid="{FBAED98E-3727-4D29-A625-CD9EBE67DDBA}">
      <text>
        <r>
          <rPr>
            <b/>
            <sz val="9"/>
            <color indexed="81"/>
            <rFont val="Tahoma"/>
            <family val="2"/>
          </rPr>
          <t>Akram Pc:</t>
        </r>
        <r>
          <rPr>
            <sz val="9"/>
            <color indexed="81"/>
            <rFont val="Tahoma"/>
            <family val="2"/>
          </rPr>
          <t xml:space="preserve">
14-9-1447</t>
        </r>
      </text>
    </comment>
    <comment ref="M156" authorId="0" shapeId="0" xr:uid="{CE44118E-7541-4B86-AA27-F30B1A617E52}">
      <text>
        <r>
          <rPr>
            <b/>
            <sz val="9"/>
            <color indexed="81"/>
            <rFont val="Tahoma"/>
            <charset val="178"/>
          </rPr>
          <t>Akram Pc:</t>
        </r>
        <r>
          <rPr>
            <sz val="9"/>
            <color indexed="81"/>
            <rFont val="Tahoma"/>
            <charset val="178"/>
          </rPr>
          <t xml:space="preserve">
جربوكس</t>
        </r>
      </text>
    </comment>
    <comment ref="N156" authorId="0" shapeId="0" xr:uid="{7050F66D-5230-4D78-851F-53214D4E2826}">
      <text>
        <r>
          <rPr>
            <b/>
            <sz val="9"/>
            <color indexed="81"/>
            <rFont val="Tahoma"/>
            <charset val="178"/>
          </rPr>
          <t>Akram Pc:</t>
        </r>
        <r>
          <rPr>
            <sz val="9"/>
            <color indexed="81"/>
            <rFont val="Tahoma"/>
            <charset val="178"/>
          </rPr>
          <t xml:space="preserve">
21-10-1447</t>
        </r>
      </text>
    </comment>
    <comment ref="O156" authorId="0" shapeId="0" xr:uid="{E797F165-75CB-4F22-82DA-C9B133C62BFE}">
      <text>
        <r>
          <rPr>
            <b/>
            <sz val="9"/>
            <color indexed="81"/>
            <rFont val="Tahoma"/>
            <charset val="178"/>
          </rPr>
          <t>Akram Pc:</t>
        </r>
        <r>
          <rPr>
            <sz val="9"/>
            <color indexed="81"/>
            <rFont val="Tahoma"/>
            <charset val="178"/>
          </rPr>
          <t xml:space="preserve">
2-9-1447</t>
        </r>
      </text>
    </comment>
    <comment ref="M159" authorId="0" shapeId="0" xr:uid="{6F5D9B47-F238-41AD-BF2C-001CB02DE93A}">
      <text>
        <r>
          <rPr>
            <b/>
            <sz val="9"/>
            <color indexed="81"/>
            <rFont val="Tahoma"/>
            <family val="2"/>
          </rPr>
          <t>Akram Pc:</t>
        </r>
        <r>
          <rPr>
            <sz val="9"/>
            <color indexed="81"/>
            <rFont val="Tahoma"/>
            <family val="2"/>
          </rPr>
          <t xml:space="preserve">
بلف الفرامل</t>
        </r>
      </text>
    </comment>
    <comment ref="N159" authorId="0" shapeId="0" xr:uid="{86E23786-63D0-4D1A-93F2-9952E2E3737A}">
      <text>
        <r>
          <rPr>
            <b/>
            <sz val="9"/>
            <color indexed="81"/>
            <rFont val="Tahoma"/>
            <family val="2"/>
          </rPr>
          <t>Akram Pc:</t>
        </r>
        <r>
          <rPr>
            <sz val="9"/>
            <color indexed="81"/>
            <rFont val="Tahoma"/>
            <family val="2"/>
          </rPr>
          <t xml:space="preserve">
4-2-1447</t>
        </r>
      </text>
    </comment>
    <comment ref="M160" authorId="0" shapeId="0" xr:uid="{23312145-4189-44FE-8E3D-BE63D2D9D9A0}">
      <text>
        <r>
          <rPr>
            <b/>
            <sz val="9"/>
            <color indexed="81"/>
            <rFont val="Tahoma"/>
            <charset val="178"/>
          </rPr>
          <t>Akram Pc:</t>
        </r>
        <r>
          <rPr>
            <sz val="9"/>
            <color indexed="81"/>
            <rFont val="Tahoma"/>
            <charset val="178"/>
          </rPr>
          <t xml:space="preserve">
عطل باكم الفرامل الامامي + عدم تعبأة هواء</t>
        </r>
      </text>
    </comment>
    <comment ref="N160" authorId="0" shapeId="0" xr:uid="{581B66D9-DDC4-4E1E-814A-0A1AE950D795}">
      <text>
        <r>
          <rPr>
            <b/>
            <sz val="9"/>
            <color indexed="81"/>
            <rFont val="Tahoma"/>
            <charset val="178"/>
          </rPr>
          <t>Akram Pc:</t>
        </r>
        <r>
          <rPr>
            <sz val="9"/>
            <color indexed="81"/>
            <rFont val="Tahoma"/>
            <charset val="178"/>
          </rPr>
          <t xml:space="preserve">
22-1-1446</t>
        </r>
      </text>
    </comment>
    <comment ref="M165" authorId="0" shapeId="0" xr:uid="{D09DFC2F-93BB-4602-84F8-F12DC8D2D2F7}">
      <text>
        <r>
          <rPr>
            <b/>
            <sz val="9"/>
            <color indexed="81"/>
            <rFont val="Tahoma"/>
            <family val="2"/>
          </rPr>
          <t>Akram Pc:</t>
        </r>
        <r>
          <rPr>
            <sz val="9"/>
            <color indexed="81"/>
            <rFont val="Tahoma"/>
            <family val="2"/>
          </rPr>
          <t xml:space="preserve">
تهريب خزانات الهواء + بنشر الكفر الخلفي + عدم تجاوب القير للنمر</t>
        </r>
      </text>
    </comment>
    <comment ref="N165" authorId="0" shapeId="0" xr:uid="{6BA4332A-BD61-4FF0-AE6B-9D79951048E6}">
      <text>
        <r>
          <rPr>
            <b/>
            <sz val="9"/>
            <color indexed="81"/>
            <rFont val="Tahoma"/>
            <family val="2"/>
          </rPr>
          <t>Akram Pc:</t>
        </r>
        <r>
          <rPr>
            <sz val="9"/>
            <color indexed="81"/>
            <rFont val="Tahoma"/>
            <family val="2"/>
          </rPr>
          <t xml:space="preserve">
23-2-1447 - 16-12-1447 + 28-12-1447</t>
        </r>
      </text>
    </comment>
    <comment ref="O165" authorId="0" shapeId="0" xr:uid="{7093025F-0A59-4ADB-993D-C4EE13ADAAAF}">
      <text>
        <r>
          <rPr>
            <b/>
            <sz val="9"/>
            <color indexed="81"/>
            <rFont val="Tahoma"/>
            <charset val="178"/>
          </rPr>
          <t>Akram Pc:</t>
        </r>
        <r>
          <rPr>
            <sz val="9"/>
            <color indexed="81"/>
            <rFont val="Tahoma"/>
            <charset val="178"/>
          </rPr>
          <t xml:space="preserve">
13-11-1447 + 18-12-1447</t>
        </r>
      </text>
    </comment>
    <comment ref="M167" authorId="0" shapeId="0" xr:uid="{18A54E5F-3FEB-461D-BB8B-953A98525C12}">
      <text>
        <r>
          <rPr>
            <b/>
            <sz val="9"/>
            <color indexed="81"/>
            <rFont val="Tahoma"/>
            <charset val="178"/>
          </rPr>
          <t>Akram Pc:</t>
        </r>
        <r>
          <rPr>
            <sz val="9"/>
            <color indexed="81"/>
            <rFont val="Tahoma"/>
            <charset val="178"/>
          </rPr>
          <t xml:space="preserve">
عطل في الباكم والدركسون</t>
        </r>
      </text>
    </comment>
    <comment ref="N167" authorId="0" shapeId="0" xr:uid="{8EF22473-CEB0-49CC-81CE-332BFC2239AB}">
      <text>
        <r>
          <rPr>
            <b/>
            <sz val="9"/>
            <color indexed="81"/>
            <rFont val="Tahoma"/>
            <charset val="178"/>
          </rPr>
          <t>Akram Pc:</t>
        </r>
        <r>
          <rPr>
            <sz val="9"/>
            <color indexed="81"/>
            <rFont val="Tahoma"/>
            <charset val="178"/>
          </rPr>
          <t xml:space="preserve">
21-2-1446</t>
        </r>
      </text>
    </comment>
    <comment ref="M169" authorId="0" shapeId="0" xr:uid="{4A311BDF-A172-4D69-8947-F5A0C5BBE749}">
      <text>
        <r>
          <rPr>
            <b/>
            <sz val="9"/>
            <color indexed="81"/>
            <rFont val="Tahoma"/>
            <charset val="178"/>
          </rPr>
          <t>Akram Pc:</t>
        </r>
        <r>
          <rPr>
            <sz val="9"/>
            <color indexed="81"/>
            <rFont val="Tahoma"/>
            <charset val="178"/>
          </rPr>
          <t xml:space="preserve">
عطل بالقير</t>
        </r>
      </text>
    </comment>
    <comment ref="N169" authorId="0" shapeId="0" xr:uid="{FB1AD26C-2EA4-49B3-8605-2BA171BD7162}">
      <text>
        <r>
          <rPr>
            <b/>
            <sz val="9"/>
            <color indexed="81"/>
            <rFont val="Tahoma"/>
            <charset val="178"/>
          </rPr>
          <t>Akram Pc:</t>
        </r>
        <r>
          <rPr>
            <sz val="9"/>
            <color indexed="81"/>
            <rFont val="Tahoma"/>
            <charset val="178"/>
          </rPr>
          <t xml:space="preserve">
22-9-1447</t>
        </r>
      </text>
    </comment>
    <comment ref="O172" authorId="0" shapeId="0" xr:uid="{0420596B-FA38-410C-B4DA-8181248B673E}">
      <text>
        <r>
          <rPr>
            <b/>
            <sz val="9"/>
            <color indexed="81"/>
            <rFont val="Tahoma"/>
            <family val="2"/>
          </rPr>
          <t>Akram Pc:</t>
        </r>
        <r>
          <rPr>
            <sz val="9"/>
            <color indexed="81"/>
            <rFont val="Tahoma"/>
            <family val="2"/>
          </rPr>
          <t xml:space="preserve">
29-7-1477</t>
        </r>
      </text>
    </comment>
    <comment ref="M173" authorId="0" shapeId="0" xr:uid="{507D9DAF-1827-4984-987D-6DF8F7B67DC5}">
      <text>
        <r>
          <rPr>
            <b/>
            <sz val="9"/>
            <color indexed="81"/>
            <rFont val="Tahoma"/>
            <family val="2"/>
          </rPr>
          <t>Akram Pc:</t>
        </r>
        <r>
          <rPr>
            <sz val="9"/>
            <color indexed="81"/>
            <rFont val="Tahoma"/>
            <family val="2"/>
          </rPr>
          <t xml:space="preserve">
الدينمو</t>
        </r>
      </text>
    </comment>
    <comment ref="N173" authorId="0" shapeId="0" xr:uid="{E561D90D-493F-4583-B173-6AECB182AC67}">
      <text>
        <r>
          <rPr>
            <b/>
            <sz val="9"/>
            <color indexed="81"/>
            <rFont val="Tahoma"/>
            <family val="2"/>
          </rPr>
          <t>Akram Pc:</t>
        </r>
        <r>
          <rPr>
            <sz val="9"/>
            <color indexed="81"/>
            <rFont val="Tahoma"/>
            <family val="2"/>
          </rPr>
          <t xml:space="preserve">
24-8-1447</t>
        </r>
      </text>
    </comment>
    <comment ref="M174" authorId="0" shapeId="0" xr:uid="{FAEB69AD-AEA1-4602-8D6A-B76CF4158601}">
      <text>
        <r>
          <rPr>
            <b/>
            <sz val="9"/>
            <color indexed="81"/>
            <rFont val="Tahoma"/>
            <charset val="178"/>
          </rPr>
          <t>Akram Pc:</t>
        </r>
        <r>
          <rPr>
            <sz val="9"/>
            <color indexed="81"/>
            <rFont val="Tahoma"/>
            <charset val="178"/>
          </rPr>
          <t xml:space="preserve">
الالية تطفي اثناء السير</t>
        </r>
      </text>
    </comment>
    <comment ref="M175" authorId="0" shapeId="0" xr:uid="{951E4F0E-07AB-4A7A-80DD-2FB1F8D09AA2}">
      <text>
        <r>
          <rPr>
            <b/>
            <sz val="9"/>
            <color indexed="81"/>
            <rFont val="Tahoma"/>
            <charset val="178"/>
          </rPr>
          <t>Akram Pc:</t>
        </r>
        <r>
          <rPr>
            <sz val="9"/>
            <color indexed="81"/>
            <rFont val="Tahoma"/>
            <charset val="178"/>
          </rPr>
          <t xml:space="preserve">
باب السائق والراكب لاتغلق </t>
        </r>
      </text>
    </comment>
    <comment ref="N175" authorId="0" shapeId="0" xr:uid="{68214F01-1110-46D5-9F32-344DD492840C}">
      <text>
        <r>
          <rPr>
            <b/>
            <sz val="9"/>
            <color indexed="81"/>
            <rFont val="Tahoma"/>
            <charset val="178"/>
          </rPr>
          <t>Akram Pc:</t>
        </r>
        <r>
          <rPr>
            <sz val="9"/>
            <color indexed="81"/>
            <rFont val="Tahoma"/>
            <charset val="178"/>
          </rPr>
          <t xml:space="preserve">
26-11-1447</t>
        </r>
      </text>
    </comment>
    <comment ref="O175" authorId="0" shapeId="0" xr:uid="{6C2B6B0B-BB4A-4C16-8A48-6B6E17E9D432}">
      <text>
        <r>
          <rPr>
            <b/>
            <sz val="9"/>
            <color indexed="81"/>
            <rFont val="Tahoma"/>
            <charset val="178"/>
          </rPr>
          <t>Akram Pc:</t>
        </r>
        <r>
          <rPr>
            <sz val="9"/>
            <color indexed="81"/>
            <rFont val="Tahoma"/>
            <charset val="178"/>
          </rPr>
          <t xml:space="preserve">
21-5-1447 + 26-11-1447</t>
        </r>
      </text>
    </comment>
    <comment ref="M176" authorId="0" shapeId="0" xr:uid="{65D53474-C9D0-4FBB-8C1D-D0087D5CCB75}">
      <text>
        <r>
          <rPr>
            <b/>
            <sz val="9"/>
            <color indexed="81"/>
            <rFont val="Tahoma"/>
            <family val="2"/>
          </rPr>
          <t>Akram Pc:</t>
        </r>
        <r>
          <rPr>
            <sz val="9"/>
            <color indexed="81"/>
            <rFont val="Tahoma"/>
            <family val="2"/>
          </rPr>
          <t xml:space="preserve">
تنسيم داخل الطبلون</t>
        </r>
      </text>
    </comment>
    <comment ref="N176" authorId="0" shapeId="0" xr:uid="{4936BEBD-9B75-4483-8E94-87BAB510DA70}">
      <text>
        <r>
          <rPr>
            <b/>
            <sz val="9"/>
            <color indexed="81"/>
            <rFont val="Tahoma"/>
            <family val="2"/>
          </rPr>
          <t>Akram Pc:</t>
        </r>
        <r>
          <rPr>
            <sz val="9"/>
            <color indexed="81"/>
            <rFont val="Tahoma"/>
            <family val="2"/>
          </rPr>
          <t xml:space="preserve">
14-8-1447</t>
        </r>
      </text>
    </comment>
    <comment ref="M179" authorId="0" shapeId="0" xr:uid="{27292AA6-D034-44BC-8C56-08D8E6A8A627}">
      <text>
        <r>
          <rPr>
            <b/>
            <sz val="9"/>
            <color indexed="81"/>
            <rFont val="Tahoma"/>
            <family val="2"/>
          </rPr>
          <t>Akram Pc:</t>
        </r>
        <r>
          <rPr>
            <sz val="9"/>
            <color indexed="81"/>
            <rFont val="Tahoma"/>
            <family val="2"/>
          </rPr>
          <t xml:space="preserve">
الهوبات والاقمشة</t>
        </r>
      </text>
    </comment>
    <comment ref="N179" authorId="0" shapeId="0" xr:uid="{0BE085F6-9679-403E-86EF-918B1040A7E7}">
      <text>
        <r>
          <rPr>
            <b/>
            <sz val="9"/>
            <color indexed="81"/>
            <rFont val="Tahoma"/>
            <family val="2"/>
          </rPr>
          <t>Akram Pc:</t>
        </r>
        <r>
          <rPr>
            <sz val="9"/>
            <color indexed="81"/>
            <rFont val="Tahoma"/>
            <family val="2"/>
          </rPr>
          <t xml:space="preserve">
2-12-1447</t>
        </r>
      </text>
    </comment>
    <comment ref="O179" authorId="0" shapeId="0" xr:uid="{7891CB12-55C9-4D95-A13B-6C8E8BC06EDC}">
      <text>
        <r>
          <rPr>
            <b/>
            <sz val="9"/>
            <color indexed="81"/>
            <rFont val="Tahoma"/>
            <family val="2"/>
          </rPr>
          <t>Akram Pc:</t>
        </r>
        <r>
          <rPr>
            <sz val="9"/>
            <color indexed="81"/>
            <rFont val="Tahoma"/>
            <family val="2"/>
          </rPr>
          <t xml:space="preserve">
23-8-1447</t>
        </r>
      </text>
    </comment>
    <comment ref="M180" authorId="0" shapeId="0" xr:uid="{245CE373-FE21-4546-8E8F-DEB9A89CA281}">
      <text>
        <r>
          <rPr>
            <b/>
            <sz val="9"/>
            <color indexed="81"/>
            <rFont val="Tahoma"/>
            <charset val="178"/>
          </rPr>
          <t>Akram Pc:</t>
        </r>
        <r>
          <rPr>
            <sz val="9"/>
            <color indexed="81"/>
            <rFont val="Tahoma"/>
            <charset val="178"/>
          </rPr>
          <t xml:space="preserve">
بنسات الدنقل+الفرامل+عداد الديزل - كفرات متهالكة</t>
        </r>
      </text>
    </comment>
    <comment ref="N180" authorId="0" shapeId="0" xr:uid="{77F01D57-C140-41B0-BB10-F2B46E977220}">
      <text>
        <r>
          <rPr>
            <b/>
            <sz val="9"/>
            <color indexed="81"/>
            <rFont val="Tahoma"/>
            <charset val="178"/>
          </rPr>
          <t>Akram Pc:</t>
        </r>
        <r>
          <rPr>
            <sz val="9"/>
            <color indexed="81"/>
            <rFont val="Tahoma"/>
            <charset val="178"/>
          </rPr>
          <t xml:space="preserve">
29-5-1447 - 5-12-1447</t>
        </r>
      </text>
    </comment>
    <comment ref="O180" authorId="0" shapeId="0" xr:uid="{AF4FED79-0D3D-421A-B22C-BFAC5E163B71}">
      <text>
        <r>
          <rPr>
            <b/>
            <sz val="9"/>
            <color indexed="81"/>
            <rFont val="Tahoma"/>
            <charset val="178"/>
          </rPr>
          <t>Akram Pc:</t>
        </r>
        <r>
          <rPr>
            <sz val="9"/>
            <color indexed="81"/>
            <rFont val="Tahoma"/>
            <charset val="178"/>
          </rPr>
          <t xml:space="preserve">
5-12-1447 - </t>
        </r>
      </text>
    </comment>
    <comment ref="O181" authorId="0" shapeId="0" xr:uid="{FC1FC4C3-5624-4E34-BA16-8446EBDD83F2}">
      <text>
        <r>
          <rPr>
            <b/>
            <sz val="9"/>
            <color indexed="81"/>
            <rFont val="Tahoma"/>
            <family val="2"/>
          </rPr>
          <t>Akram Pc:</t>
        </r>
        <r>
          <rPr>
            <sz val="9"/>
            <color indexed="81"/>
            <rFont val="Tahoma"/>
            <family val="2"/>
          </rPr>
          <t xml:space="preserve">
22-5-1447</t>
        </r>
      </text>
    </comment>
    <comment ref="M183" authorId="0" shapeId="0" xr:uid="{32E09E49-732C-4DE1-B0A0-257773215881}">
      <text>
        <r>
          <rPr>
            <b/>
            <sz val="9"/>
            <color indexed="81"/>
            <rFont val="Tahoma"/>
            <family val="2"/>
          </rPr>
          <t>Akram Pc:</t>
        </r>
        <r>
          <rPr>
            <sz val="9"/>
            <color indexed="81"/>
            <rFont val="Tahoma"/>
            <family val="2"/>
          </rPr>
          <t xml:space="preserve">
تهريب في خرطوم زيت المضخة + حساس السلم</t>
        </r>
      </text>
    </comment>
    <comment ref="N183" authorId="0" shapeId="0" xr:uid="{4C514A28-1C75-43B1-8AD7-A0BC6271AF14}">
      <text>
        <r>
          <rPr>
            <b/>
            <sz val="9"/>
            <color indexed="81"/>
            <rFont val="Tahoma"/>
            <family val="2"/>
          </rPr>
          <t>Akram Pc:</t>
        </r>
        <r>
          <rPr>
            <sz val="9"/>
            <color indexed="81"/>
            <rFont val="Tahoma"/>
            <family val="2"/>
          </rPr>
          <t xml:space="preserve">
12-10-1447</t>
        </r>
      </text>
    </comment>
    <comment ref="P183" authorId="0" shapeId="0" xr:uid="{3FD53C08-F295-4EA5-8063-7A2E5BF1B8B8}">
      <text>
        <r>
          <rPr>
            <b/>
            <sz val="9"/>
            <color indexed="81"/>
            <rFont val="Tahoma"/>
            <family val="2"/>
          </rPr>
          <t>Akram Pc:</t>
        </r>
        <r>
          <rPr>
            <sz val="9"/>
            <color indexed="81"/>
            <rFont val="Tahoma"/>
            <family val="2"/>
          </rPr>
          <t xml:space="preserve">
بلد 5</t>
        </r>
      </text>
    </comment>
    <comment ref="M184" authorId="0" shapeId="0" xr:uid="{15C45ABD-F1E2-445E-B2B0-E3CDAE942E29}">
      <text>
        <r>
          <rPr>
            <b/>
            <sz val="9"/>
            <color indexed="81"/>
            <rFont val="Tahoma"/>
            <charset val="178"/>
          </rPr>
          <t>Akram Pc:</t>
        </r>
        <r>
          <rPr>
            <sz val="9"/>
            <color indexed="81"/>
            <rFont val="Tahoma"/>
            <charset val="178"/>
          </rPr>
          <t xml:space="preserve">
تهريب من المكينة</t>
        </r>
      </text>
    </comment>
    <comment ref="N184" authorId="0" shapeId="0" xr:uid="{F0F021C8-86AB-4B89-BB71-61249F906063}">
      <text>
        <r>
          <rPr>
            <b/>
            <sz val="9"/>
            <color indexed="81"/>
            <rFont val="Tahoma"/>
            <charset val="178"/>
          </rPr>
          <t>Akram Pc:</t>
        </r>
        <r>
          <rPr>
            <sz val="9"/>
            <color indexed="81"/>
            <rFont val="Tahoma"/>
            <charset val="178"/>
          </rPr>
          <t xml:space="preserve">
8-9-1447</t>
        </r>
      </text>
    </comment>
    <comment ref="M185" authorId="0" shapeId="0" xr:uid="{079C2386-5FA4-49F7-A140-7007B523C49E}">
      <text>
        <r>
          <rPr>
            <b/>
            <sz val="9"/>
            <color indexed="81"/>
            <rFont val="Tahoma"/>
            <family val="2"/>
          </rPr>
          <t>Akram Pc:</t>
        </r>
        <r>
          <rPr>
            <sz val="9"/>
            <color indexed="81"/>
            <rFont val="Tahoma"/>
            <family val="2"/>
          </rPr>
          <t xml:space="preserve">
بنشر</t>
        </r>
      </text>
    </comment>
    <comment ref="P186" authorId="0" shapeId="0" xr:uid="{A40E40A3-C42B-49A1-B7D5-B2E0C645AF83}">
      <text>
        <r>
          <rPr>
            <b/>
            <sz val="9"/>
            <color indexed="81"/>
            <rFont val="Tahoma"/>
            <family val="2"/>
          </rPr>
          <t>Akram Pc:</t>
        </r>
        <r>
          <rPr>
            <sz val="9"/>
            <color indexed="81"/>
            <rFont val="Tahoma"/>
            <family val="2"/>
          </rPr>
          <t xml:space="preserve">
صفا 5</t>
        </r>
      </text>
    </comment>
    <comment ref="M187" authorId="0" shapeId="0" xr:uid="{E1E9D9F4-8CDF-45D9-86A5-C0514E594107}">
      <text>
        <r>
          <rPr>
            <b/>
            <sz val="9"/>
            <color indexed="81"/>
            <rFont val="Tahoma"/>
            <charset val="178"/>
          </rPr>
          <t>Akram Pc:</t>
        </r>
        <r>
          <rPr>
            <sz val="9"/>
            <color indexed="81"/>
            <rFont val="Tahoma"/>
            <charset val="178"/>
          </rPr>
          <t xml:space="preserve">
تهريب ماء الرديتر + تهريب موية الاديتر</t>
        </r>
      </text>
    </comment>
    <comment ref="N187" authorId="0" shapeId="0" xr:uid="{C736E5F8-03BC-416D-BB36-C51016233BCC}">
      <text>
        <r>
          <rPr>
            <b/>
            <sz val="9"/>
            <color indexed="81"/>
            <rFont val="Tahoma"/>
            <charset val="178"/>
          </rPr>
          <t>Akram Pc:</t>
        </r>
        <r>
          <rPr>
            <sz val="9"/>
            <color indexed="81"/>
            <rFont val="Tahoma"/>
            <charset val="178"/>
          </rPr>
          <t xml:space="preserve">
5-5-1447 + 2-11-1447 + 8-11-1447</t>
        </r>
      </text>
    </comment>
    <comment ref="O187" authorId="0" shapeId="0" xr:uid="{0812C06F-F67B-4F3E-92FB-83F819D84B68}">
      <text>
        <r>
          <rPr>
            <b/>
            <sz val="9"/>
            <color indexed="81"/>
            <rFont val="Tahoma"/>
            <charset val="178"/>
          </rPr>
          <t>Akram Pc:</t>
        </r>
        <r>
          <rPr>
            <sz val="9"/>
            <color indexed="81"/>
            <rFont val="Tahoma"/>
            <charset val="178"/>
          </rPr>
          <t xml:space="preserve">
8-5-1447</t>
        </r>
      </text>
    </comment>
    <comment ref="P187" authorId="0" shapeId="0" xr:uid="{F94CA3A9-2AB6-4925-99B7-DDDA8E71D94A}">
      <text>
        <r>
          <rPr>
            <b/>
            <sz val="9"/>
            <color indexed="81"/>
            <rFont val="Tahoma"/>
            <family val="2"/>
          </rPr>
          <t>Akram Pc:</t>
        </r>
        <r>
          <rPr>
            <sz val="9"/>
            <color indexed="81"/>
            <rFont val="Tahoma"/>
            <family val="2"/>
          </rPr>
          <t xml:space="preserve">
جنوب 4</t>
        </r>
      </text>
    </comment>
    <comment ref="M188" authorId="0" shapeId="0" xr:uid="{9A8CC4D9-69C4-42DF-815A-8E7F02D768FA}">
      <text>
        <r>
          <rPr>
            <b/>
            <sz val="9"/>
            <color indexed="81"/>
            <rFont val="Tahoma"/>
            <family val="2"/>
          </rPr>
          <t>Akram Pc:</t>
        </r>
        <r>
          <rPr>
            <sz val="9"/>
            <color indexed="81"/>
            <rFont val="Tahoma"/>
            <family val="2"/>
          </rPr>
          <t xml:space="preserve">
بنشر</t>
        </r>
      </text>
    </comment>
    <comment ref="N188" authorId="0" shapeId="0" xr:uid="{57CAB82D-4128-47B5-AD7C-FA3481E1EC11}">
      <text>
        <r>
          <rPr>
            <b/>
            <sz val="9"/>
            <color indexed="81"/>
            <rFont val="Tahoma"/>
            <family val="2"/>
          </rPr>
          <t>Akram Pc:</t>
        </r>
        <r>
          <rPr>
            <sz val="9"/>
            <color indexed="81"/>
            <rFont val="Tahoma"/>
            <family val="2"/>
          </rPr>
          <t xml:space="preserve">
22-6-1447</t>
        </r>
      </text>
    </comment>
    <comment ref="L189" authorId="0" shapeId="0" xr:uid="{9CC393CE-A80B-4A82-9A0B-3146A7BA5646}">
      <text>
        <r>
          <rPr>
            <b/>
            <sz val="9"/>
            <color indexed="81"/>
            <rFont val="Tahoma"/>
            <family val="2"/>
          </rPr>
          <t>Akram Pc:</t>
        </r>
        <r>
          <rPr>
            <sz val="9"/>
            <color indexed="81"/>
            <rFont val="Tahoma"/>
            <family val="2"/>
          </rPr>
          <t xml:space="preserve">
كفرات</t>
        </r>
      </text>
    </comment>
    <comment ref="M189" authorId="0" shapeId="0" xr:uid="{D71865B8-A921-4F91-8E23-62B48127A1CD}">
      <text>
        <r>
          <rPr>
            <b/>
            <sz val="9"/>
            <color indexed="81"/>
            <rFont val="Tahoma"/>
            <family val="2"/>
          </rPr>
          <t>Akram Pc:</t>
        </r>
        <r>
          <rPr>
            <sz val="9"/>
            <color indexed="81"/>
            <rFont val="Tahoma"/>
            <family val="2"/>
          </rPr>
          <t xml:space="preserve">
بنشر</t>
        </r>
      </text>
    </comment>
    <comment ref="N189" authorId="0" shapeId="0" xr:uid="{C7B99715-9269-45FC-BDB2-77E440F2DFDB}">
      <text>
        <r>
          <rPr>
            <b/>
            <sz val="9"/>
            <color indexed="81"/>
            <rFont val="Tahoma"/>
            <family val="2"/>
          </rPr>
          <t>Akram Pc:</t>
        </r>
        <r>
          <rPr>
            <sz val="9"/>
            <color indexed="81"/>
            <rFont val="Tahoma"/>
            <family val="2"/>
          </rPr>
          <t xml:space="preserve">
25-5-1447</t>
        </r>
      </text>
    </comment>
    <comment ref="M211" authorId="0" shapeId="0" xr:uid="{94050CA3-0D77-47A4-A405-C5F846FC0CFB}">
      <text>
        <r>
          <rPr>
            <b/>
            <sz val="9"/>
            <color indexed="81"/>
            <rFont val="Tahoma"/>
            <charset val="178"/>
          </rPr>
          <t>Akram Pc:</t>
        </r>
        <r>
          <rPr>
            <sz val="9"/>
            <color indexed="81"/>
            <rFont val="Tahoma"/>
            <charset val="178"/>
          </rPr>
          <t xml:space="preserve">
تهريب زيت المكينة</t>
        </r>
      </text>
    </comment>
    <comment ref="N211" authorId="0" shapeId="0" xr:uid="{3C7B7450-042B-440A-9D8B-70875F9D3E6D}">
      <text>
        <r>
          <rPr>
            <b/>
            <sz val="9"/>
            <color indexed="81"/>
            <rFont val="Tahoma"/>
            <charset val="178"/>
          </rPr>
          <t>Akram Pc:</t>
        </r>
        <r>
          <rPr>
            <sz val="9"/>
            <color indexed="81"/>
            <rFont val="Tahoma"/>
            <charset val="178"/>
          </rPr>
          <t xml:space="preserve">
22-11-1446</t>
        </r>
      </text>
    </comment>
    <comment ref="N263" authorId="0" shapeId="0" xr:uid="{409A3BA1-EC2F-426D-8612-0A808EF226C2}">
      <text>
        <r>
          <rPr>
            <b/>
            <sz val="9"/>
            <color indexed="81"/>
            <rFont val="Tahoma"/>
            <family val="2"/>
          </rPr>
          <t>Akram Pc:</t>
        </r>
        <r>
          <rPr>
            <sz val="9"/>
            <color indexed="81"/>
            <rFont val="Tahoma"/>
            <family val="2"/>
          </rPr>
          <t xml:space="preserve">
3-11-1447</t>
        </r>
      </text>
    </comment>
    <comment ref="O263" authorId="0" shapeId="0" xr:uid="{A8284F16-7BC0-4C19-B2AB-878593395B40}">
      <text>
        <r>
          <rPr>
            <b/>
            <sz val="9"/>
            <color indexed="81"/>
            <rFont val="Tahoma"/>
            <charset val="178"/>
          </rPr>
          <t>Akram Pc:</t>
        </r>
        <r>
          <rPr>
            <sz val="9"/>
            <color indexed="81"/>
            <rFont val="Tahoma"/>
            <charset val="178"/>
          </rPr>
          <t xml:space="preserve">
30-5-1447</t>
        </r>
      </text>
    </comment>
    <comment ref="O266" authorId="0" shapeId="0" xr:uid="{F46858C5-BCE0-45CB-A691-C914695F095E}">
      <text>
        <r>
          <rPr>
            <b/>
            <sz val="9"/>
            <color indexed="81"/>
            <rFont val="Tahoma"/>
            <charset val="178"/>
          </rPr>
          <t>Akram Pc:</t>
        </r>
        <r>
          <rPr>
            <sz val="9"/>
            <color indexed="81"/>
            <rFont val="Tahoma"/>
            <charset val="178"/>
          </rPr>
          <t xml:space="preserve">
24-8-1447</t>
        </r>
      </text>
    </comment>
    <comment ref="M269" authorId="0" shapeId="0" xr:uid="{D9C7E26D-E960-4922-A611-DA73B10224DD}">
      <text>
        <r>
          <rPr>
            <b/>
            <sz val="9"/>
            <color indexed="81"/>
            <rFont val="Tahoma"/>
            <family val="2"/>
          </rPr>
          <t>Akram Pc:</t>
        </r>
        <r>
          <rPr>
            <sz val="9"/>
            <color indexed="81"/>
            <rFont val="Tahoma"/>
            <family val="2"/>
          </rPr>
          <t xml:space="preserve">
تهريب من المحور الخلفي</t>
        </r>
      </text>
    </comment>
    <comment ref="N269" authorId="0" shapeId="0" xr:uid="{ECF4F5C9-D1EF-432F-806A-9A29887840C5}">
      <text>
        <r>
          <rPr>
            <b/>
            <sz val="9"/>
            <color indexed="81"/>
            <rFont val="Tahoma"/>
            <family val="2"/>
          </rPr>
          <t>Akram Pc:</t>
        </r>
        <r>
          <rPr>
            <sz val="9"/>
            <color indexed="81"/>
            <rFont val="Tahoma"/>
            <family val="2"/>
          </rPr>
          <t xml:space="preserve">
3-6-1447</t>
        </r>
      </text>
    </comment>
    <comment ref="M271" authorId="0" shapeId="0" xr:uid="{E9D4E818-C043-4EA3-944C-39DC0598F18E}">
      <text>
        <r>
          <rPr>
            <b/>
            <sz val="9"/>
            <color indexed="81"/>
            <rFont val="Tahoma"/>
            <family val="2"/>
          </rPr>
          <t>Akram Pc:</t>
        </r>
        <r>
          <rPr>
            <sz val="9"/>
            <color indexed="81"/>
            <rFont val="Tahoma"/>
            <family val="2"/>
          </rPr>
          <t xml:space="preserve">
عطل في بستم الغمارة + طرمبة الديزل + عطل في بوالين الهواء + تهريب ماء من جلد المواصير</t>
        </r>
      </text>
    </comment>
    <comment ref="N271" authorId="0" shapeId="0" xr:uid="{912B6BEE-535F-49C8-8B48-83EE372344A3}">
      <text>
        <r>
          <rPr>
            <b/>
            <sz val="9"/>
            <color indexed="81"/>
            <rFont val="Tahoma"/>
            <family val="2"/>
          </rPr>
          <t>Akram Pc:</t>
        </r>
        <r>
          <rPr>
            <sz val="9"/>
            <color indexed="81"/>
            <rFont val="Tahoma"/>
            <family val="2"/>
          </rPr>
          <t xml:space="preserve">
5-6-1447 + 28-6-1447 + 29-7-1447 + 1-9-1447</t>
        </r>
      </text>
    </comment>
    <comment ref="N274" authorId="0" shapeId="0" xr:uid="{FC27B003-379C-476A-A799-482C97F3745B}">
      <text>
        <r>
          <rPr>
            <b/>
            <sz val="9"/>
            <color indexed="81"/>
            <rFont val="Tahoma"/>
            <charset val="178"/>
          </rPr>
          <t>Akram Pc:</t>
        </r>
        <r>
          <rPr>
            <sz val="9"/>
            <color indexed="81"/>
            <rFont val="Tahoma"/>
            <charset val="178"/>
          </rPr>
          <t xml:space="preserve">
2-12-1447</t>
        </r>
      </text>
    </comment>
    <comment ref="O274" authorId="0" shapeId="0" xr:uid="{E32C66AD-81E9-49C2-8FD2-C62B00F11E0F}">
      <text>
        <r>
          <rPr>
            <b/>
            <sz val="9"/>
            <color indexed="81"/>
            <rFont val="Tahoma"/>
            <charset val="178"/>
          </rPr>
          <t>Akram Pc:</t>
        </r>
        <r>
          <rPr>
            <sz val="9"/>
            <color indexed="81"/>
            <rFont val="Tahoma"/>
            <charset val="178"/>
          </rPr>
          <t xml:space="preserve">
9-9-1447 + 3-12-1447</t>
        </r>
      </text>
    </comment>
    <comment ref="M275" authorId="0" shapeId="0" xr:uid="{74C8AA73-3D2A-434A-8C24-871AE522B851}">
      <text>
        <r>
          <rPr>
            <b/>
            <sz val="9"/>
            <color indexed="81"/>
            <rFont val="Tahoma"/>
            <charset val="178"/>
          </rPr>
          <t>Akram Pc:</t>
        </r>
        <r>
          <rPr>
            <sz val="9"/>
            <color indexed="81"/>
            <rFont val="Tahoma"/>
            <charset val="178"/>
          </rPr>
          <t xml:space="preserve">
عطل بالاقمشه والفرامل والهوبات</t>
        </r>
      </text>
    </comment>
    <comment ref="N275" authorId="0" shapeId="0" xr:uid="{ACA38431-64A9-428D-9A81-07DE77CE6824}">
      <text>
        <r>
          <rPr>
            <b/>
            <sz val="9"/>
            <color indexed="81"/>
            <rFont val="Tahoma"/>
            <charset val="178"/>
          </rPr>
          <t>Akram Pc:</t>
        </r>
        <r>
          <rPr>
            <sz val="9"/>
            <color indexed="81"/>
            <rFont val="Tahoma"/>
            <charset val="178"/>
          </rPr>
          <t xml:space="preserve">
29-10-1447</t>
        </r>
      </text>
    </comment>
    <comment ref="O275" authorId="0" shapeId="0" xr:uid="{CF7C9032-A521-4335-81DA-FC1559EDC02E}">
      <text>
        <r>
          <rPr>
            <b/>
            <sz val="9"/>
            <color indexed="81"/>
            <rFont val="Tahoma"/>
            <charset val="178"/>
          </rPr>
          <t>Akram Pc:</t>
        </r>
        <r>
          <rPr>
            <sz val="9"/>
            <color indexed="81"/>
            <rFont val="Tahoma"/>
            <charset val="178"/>
          </rPr>
          <t xml:space="preserve">
10-6-1447</t>
        </r>
      </text>
    </comment>
    <comment ref="M277" authorId="0" shapeId="0" xr:uid="{5D926191-193B-418C-8A23-8F97C6760A4E}">
      <text>
        <r>
          <rPr>
            <b/>
            <sz val="9"/>
            <color indexed="81"/>
            <rFont val="Tahoma"/>
            <charset val="178"/>
          </rPr>
          <t>Akram Pc:</t>
        </r>
        <r>
          <rPr>
            <sz val="9"/>
            <color indexed="81"/>
            <rFont val="Tahoma"/>
            <charset val="178"/>
          </rPr>
          <t xml:space="preserve">
عطل بالجير</t>
        </r>
      </text>
    </comment>
    <comment ref="N277" authorId="0" shapeId="0" xr:uid="{E6C42CAF-2D67-4888-931A-1A624370B0FF}">
      <text>
        <r>
          <rPr>
            <b/>
            <sz val="9"/>
            <color indexed="81"/>
            <rFont val="Tahoma"/>
            <charset val="178"/>
          </rPr>
          <t>Akram Pc:</t>
        </r>
        <r>
          <rPr>
            <sz val="9"/>
            <color indexed="81"/>
            <rFont val="Tahoma"/>
            <charset val="178"/>
          </rPr>
          <t xml:space="preserve">
10-10-1446</t>
        </r>
      </text>
    </comment>
    <comment ref="O281" authorId="0" shapeId="0" xr:uid="{F81F8110-42AF-4954-9AD4-306C153B4A7A}">
      <text>
        <r>
          <rPr>
            <b/>
            <sz val="9"/>
            <color indexed="81"/>
            <rFont val="Tahoma"/>
            <charset val="178"/>
          </rPr>
          <t>Akram Pc:</t>
        </r>
        <r>
          <rPr>
            <sz val="9"/>
            <color indexed="81"/>
            <rFont val="Tahoma"/>
            <charset val="178"/>
          </rPr>
          <t xml:space="preserve">
8-7-1447 - 12-11-1447</t>
        </r>
      </text>
    </comment>
    <comment ref="M285" authorId="0" shapeId="0" xr:uid="{EF7423AC-ABF8-4087-AD08-8A03F89D2598}">
      <text>
        <r>
          <rPr>
            <b/>
            <sz val="9"/>
            <color indexed="81"/>
            <rFont val="Tahoma"/>
            <charset val="178"/>
          </rPr>
          <t>Akram Pc:</t>
        </r>
        <r>
          <rPr>
            <sz val="9"/>
            <color indexed="81"/>
            <rFont val="Tahoma"/>
            <charset val="178"/>
          </rPr>
          <t xml:space="preserve">
صوت في الاذرعة الامامية</t>
        </r>
      </text>
    </comment>
    <comment ref="N285" authorId="0" shapeId="0" xr:uid="{7B6B06D6-85AC-411F-ADBB-D0448D131A50}">
      <text>
        <r>
          <rPr>
            <b/>
            <sz val="9"/>
            <color indexed="81"/>
            <rFont val="Tahoma"/>
            <charset val="178"/>
          </rPr>
          <t>Akram Pc:</t>
        </r>
        <r>
          <rPr>
            <sz val="9"/>
            <color indexed="81"/>
            <rFont val="Tahoma"/>
            <charset val="178"/>
          </rPr>
          <t xml:space="preserve">
17-7-1447</t>
        </r>
      </text>
    </comment>
    <comment ref="O285" authorId="0" shapeId="0" xr:uid="{B3C4DA7D-06E4-4CA7-A7C2-B6375A6FEB0E}">
      <text>
        <r>
          <rPr>
            <b/>
            <sz val="9"/>
            <color indexed="81"/>
            <rFont val="Tahoma"/>
            <charset val="178"/>
          </rPr>
          <t>Akram Pc:</t>
        </r>
        <r>
          <rPr>
            <sz val="9"/>
            <color indexed="81"/>
            <rFont val="Tahoma"/>
            <charset val="178"/>
          </rPr>
          <t xml:space="preserve">
5-11-1447</t>
        </r>
      </text>
    </comment>
    <comment ref="M288" authorId="0" shapeId="0" xr:uid="{4E568DBE-47C4-41F1-B960-2C3476327B19}">
      <text>
        <r>
          <rPr>
            <b/>
            <sz val="9"/>
            <color indexed="81"/>
            <rFont val="Tahoma"/>
            <charset val="178"/>
          </rPr>
          <t>Akram Pc:</t>
        </r>
        <r>
          <rPr>
            <sz val="9"/>
            <color indexed="81"/>
            <rFont val="Tahoma"/>
            <charset val="178"/>
          </rPr>
          <t xml:space="preserve">
كسر في محبس المياه الايسر</t>
        </r>
      </text>
    </comment>
    <comment ref="N288" authorId="0" shapeId="0" xr:uid="{146C90A4-247F-44BC-AB84-266602A40DB2}">
      <text>
        <r>
          <rPr>
            <b/>
            <sz val="9"/>
            <color indexed="81"/>
            <rFont val="Tahoma"/>
            <charset val="178"/>
          </rPr>
          <t>Akram Pc:</t>
        </r>
        <r>
          <rPr>
            <sz val="9"/>
            <color indexed="81"/>
            <rFont val="Tahoma"/>
            <charset val="178"/>
          </rPr>
          <t xml:space="preserve">
29-10-1447</t>
        </r>
      </text>
    </comment>
    <comment ref="O288" authorId="0" shapeId="0" xr:uid="{8255F314-91F6-4E0B-8DC7-CF87B3351C77}">
      <text>
        <r>
          <rPr>
            <b/>
            <sz val="9"/>
            <color indexed="81"/>
            <rFont val="Tahoma"/>
            <charset val="178"/>
          </rPr>
          <t>Akram Pc:</t>
        </r>
        <r>
          <rPr>
            <sz val="9"/>
            <color indexed="81"/>
            <rFont val="Tahoma"/>
            <charset val="178"/>
          </rPr>
          <t xml:space="preserve">
25-6-1447 - 3-11-1447</t>
        </r>
      </text>
    </comment>
    <comment ref="M289" authorId="0" shapeId="0" xr:uid="{7789D53C-F1D9-47A0-AC8D-5BFEB8E2D484}">
      <text>
        <r>
          <rPr>
            <b/>
            <sz val="9"/>
            <color indexed="81"/>
            <rFont val="Tahoma"/>
            <family val="2"/>
          </rPr>
          <t>Akram Pc:</t>
        </r>
        <r>
          <rPr>
            <sz val="9"/>
            <color indexed="81"/>
            <rFont val="Tahoma"/>
            <family val="2"/>
          </rPr>
          <t xml:space="preserve">
عطل اثناء التحرك في الحالة المطرية + خلل في المضخة</t>
        </r>
      </text>
    </comment>
    <comment ref="M298" authorId="0" shapeId="0" xr:uid="{087521F9-3686-49AC-AD1A-EE3DAA38BCA6}">
      <text>
        <r>
          <rPr>
            <b/>
            <sz val="9"/>
            <color indexed="81"/>
            <rFont val="Tahoma"/>
            <family val="2"/>
          </rPr>
          <t>Akram Pc:</t>
        </r>
        <r>
          <rPr>
            <sz val="9"/>
            <color indexed="81"/>
            <rFont val="Tahoma"/>
            <family val="2"/>
          </rPr>
          <t xml:space="preserve">
علبة الكلتش </t>
        </r>
      </text>
    </comment>
    <comment ref="N298" authorId="0" shapeId="0" xr:uid="{69CF58D9-5C4C-491D-9E6E-6EE41A55C8F4}">
      <text>
        <r>
          <rPr>
            <b/>
            <sz val="9"/>
            <color indexed="81"/>
            <rFont val="Tahoma"/>
            <family val="2"/>
          </rPr>
          <t>Akram Pc:</t>
        </r>
        <r>
          <rPr>
            <sz val="9"/>
            <color indexed="81"/>
            <rFont val="Tahoma"/>
            <family val="2"/>
          </rPr>
          <t xml:space="preserve">
24-6-1447</t>
        </r>
      </text>
    </comment>
    <comment ref="M301" authorId="0" shapeId="0" xr:uid="{2B54A14F-FB38-4813-856A-FFBD126D43B2}">
      <text>
        <r>
          <rPr>
            <b/>
            <sz val="9"/>
            <color indexed="81"/>
            <rFont val="Tahoma"/>
            <family val="2"/>
          </rPr>
          <t>Akram Pc:</t>
        </r>
        <r>
          <rPr>
            <sz val="9"/>
            <color indexed="81"/>
            <rFont val="Tahoma"/>
            <family val="2"/>
          </rPr>
          <t xml:space="preserve">
قربة العادم للشكمان</t>
        </r>
      </text>
    </comment>
    <comment ref="N301" authorId="0" shapeId="0" xr:uid="{5E15D3ED-CB94-4CE2-AC87-5A92E23F839A}">
      <text>
        <r>
          <rPr>
            <b/>
            <sz val="9"/>
            <color indexed="81"/>
            <rFont val="Tahoma"/>
            <family val="2"/>
          </rPr>
          <t>Akram Pc:</t>
        </r>
        <r>
          <rPr>
            <sz val="9"/>
            <color indexed="81"/>
            <rFont val="Tahoma"/>
            <family val="2"/>
          </rPr>
          <t xml:space="preserve">
25-6-1447</t>
        </r>
      </text>
    </comment>
    <comment ref="O303" authorId="0" shapeId="0" xr:uid="{2EA25983-55F8-4656-A645-795BEB2B554D}">
      <text>
        <r>
          <rPr>
            <b/>
            <sz val="9"/>
            <color indexed="81"/>
            <rFont val="Tahoma"/>
            <family val="2"/>
          </rPr>
          <t>Akram Pc:</t>
        </r>
        <r>
          <rPr>
            <sz val="9"/>
            <color indexed="81"/>
            <rFont val="Tahoma"/>
            <family val="2"/>
          </rPr>
          <t xml:space="preserve">
27-9-1447</t>
        </r>
      </text>
    </comment>
    <comment ref="O304" authorId="0" shapeId="0" xr:uid="{A58E60EB-4309-43FF-AAB7-4D2B49306360}">
      <text>
        <r>
          <rPr>
            <b/>
            <sz val="9"/>
            <color indexed="81"/>
            <rFont val="Tahoma"/>
            <charset val="178"/>
          </rPr>
          <t>Akram Pc:</t>
        </r>
        <r>
          <rPr>
            <sz val="9"/>
            <color indexed="81"/>
            <rFont val="Tahoma"/>
            <charset val="178"/>
          </rPr>
          <t xml:space="preserve">
27-6-1447</t>
        </r>
      </text>
    </comment>
    <comment ref="M307" authorId="0" shapeId="0" xr:uid="{1D7D6F85-624A-4922-A72E-3B3CD93B88C1}">
      <text>
        <r>
          <rPr>
            <b/>
            <sz val="9"/>
            <color indexed="81"/>
            <rFont val="Tahoma"/>
            <family val="2"/>
          </rPr>
          <t>Akram Pc:</t>
        </r>
        <r>
          <rPr>
            <sz val="9"/>
            <color indexed="81"/>
            <rFont val="Tahoma"/>
            <family val="2"/>
          </rPr>
          <t xml:space="preserve">
عامود المضخة</t>
        </r>
      </text>
    </comment>
    <comment ref="N307" authorId="0" shapeId="0" xr:uid="{18F34E61-8C77-4BE5-89BA-083C66412773}">
      <text>
        <r>
          <rPr>
            <b/>
            <sz val="9"/>
            <color indexed="81"/>
            <rFont val="Tahoma"/>
            <family val="2"/>
          </rPr>
          <t>Akram Pc:</t>
        </r>
        <r>
          <rPr>
            <sz val="9"/>
            <color indexed="81"/>
            <rFont val="Tahoma"/>
            <family val="2"/>
          </rPr>
          <t xml:space="preserve">
1-7-1447</t>
        </r>
      </text>
    </comment>
    <comment ref="M310" authorId="0" shapeId="0" xr:uid="{5E29A417-16A9-4222-976C-4BF3AE815605}">
      <text>
        <r>
          <rPr>
            <b/>
            <sz val="9"/>
            <color indexed="81"/>
            <rFont val="Tahoma"/>
            <charset val="178"/>
          </rPr>
          <t>Akram Pc:</t>
        </r>
        <r>
          <rPr>
            <sz val="9"/>
            <color indexed="81"/>
            <rFont val="Tahoma"/>
            <charset val="178"/>
          </rPr>
          <t xml:space="preserve">
عطل بالمحرك</t>
        </r>
      </text>
    </comment>
    <comment ref="N310" authorId="0" shapeId="0" xr:uid="{D33C3459-753F-48BA-8924-FBFA6A28BA97}">
      <text>
        <r>
          <rPr>
            <b/>
            <sz val="9"/>
            <color indexed="81"/>
            <rFont val="Tahoma"/>
            <charset val="178"/>
          </rPr>
          <t>Akram Pc:</t>
        </r>
        <r>
          <rPr>
            <sz val="9"/>
            <color indexed="81"/>
            <rFont val="Tahoma"/>
            <charset val="178"/>
          </rPr>
          <t xml:space="preserve">
2-7-1447</t>
        </r>
      </text>
    </comment>
    <comment ref="O323" authorId="0" shapeId="0" xr:uid="{3D3B27E1-7CB8-427D-A826-EE0376701B45}">
      <text>
        <r>
          <rPr>
            <b/>
            <sz val="9"/>
            <color indexed="81"/>
            <rFont val="Tahoma"/>
            <family val="2"/>
          </rPr>
          <t>Akram Pc:</t>
        </r>
        <r>
          <rPr>
            <sz val="9"/>
            <color indexed="81"/>
            <rFont val="Tahoma"/>
            <family val="2"/>
          </rPr>
          <t xml:space="preserve">
24-8-1447</t>
        </r>
      </text>
    </comment>
    <comment ref="M325" authorId="0" shapeId="0" xr:uid="{B877ACE4-E61A-4A3A-B535-ECF3A7C71616}">
      <text>
        <r>
          <rPr>
            <b/>
            <sz val="9"/>
            <color indexed="81"/>
            <rFont val="Tahoma"/>
            <charset val="178"/>
          </rPr>
          <t>Akram Pc:</t>
        </r>
        <r>
          <rPr>
            <sz val="9"/>
            <color indexed="81"/>
            <rFont val="Tahoma"/>
            <charset val="178"/>
          </rPr>
          <t xml:space="preserve">
عطل بالفرامل ودبة الشكمان</t>
        </r>
      </text>
    </comment>
    <comment ref="N325" authorId="0" shapeId="0" xr:uid="{07A90D93-84FA-477B-9F73-74ED74A1273B}">
      <text>
        <r>
          <rPr>
            <b/>
            <sz val="9"/>
            <color indexed="81"/>
            <rFont val="Tahoma"/>
            <charset val="178"/>
          </rPr>
          <t>Akram Pc:</t>
        </r>
        <r>
          <rPr>
            <sz val="9"/>
            <color indexed="81"/>
            <rFont val="Tahoma"/>
            <charset val="178"/>
          </rPr>
          <t xml:space="preserve">
16-7-1447</t>
        </r>
      </text>
    </comment>
    <comment ref="B327" authorId="0" shapeId="0" xr:uid="{2BB9419F-F365-41D5-91A5-5B30C3371C0C}">
      <text>
        <r>
          <rPr>
            <b/>
            <sz val="9"/>
            <color indexed="81"/>
            <rFont val="Tahoma"/>
            <family val="2"/>
          </rPr>
          <t>Akram Pc:</t>
        </r>
        <r>
          <rPr>
            <sz val="9"/>
            <color indexed="81"/>
            <rFont val="Tahoma"/>
            <family val="2"/>
          </rPr>
          <t xml:space="preserve">
قبل التعديل 30 متر</t>
        </r>
      </text>
    </comment>
    <comment ref="M328" authorId="0" shapeId="0" xr:uid="{BA387E24-AF44-43F7-91B9-F76BF2D3FDEB}">
      <text>
        <r>
          <rPr>
            <b/>
            <sz val="9"/>
            <color indexed="81"/>
            <rFont val="Tahoma"/>
            <charset val="178"/>
          </rPr>
          <t>Akram Pc:</t>
        </r>
        <r>
          <rPr>
            <sz val="9"/>
            <color indexed="81"/>
            <rFont val="Tahoma"/>
            <charset val="178"/>
          </rPr>
          <t xml:space="preserve">
تحتاج تركيب كفرات</t>
        </r>
      </text>
    </comment>
    <comment ref="N328" authorId="0" shapeId="0" xr:uid="{D362C27C-6F52-42AE-912D-23AAB3023CE5}">
      <text>
        <r>
          <rPr>
            <b/>
            <sz val="9"/>
            <color indexed="81"/>
            <rFont val="Tahoma"/>
            <charset val="178"/>
          </rPr>
          <t>Akram Pc:</t>
        </r>
        <r>
          <rPr>
            <sz val="9"/>
            <color indexed="81"/>
            <rFont val="Tahoma"/>
            <charset val="178"/>
          </rPr>
          <t xml:space="preserve">
19-10-1447</t>
        </r>
      </text>
    </comment>
    <comment ref="I329" authorId="0" shapeId="0" xr:uid="{806C8BA9-0F65-48F9-82AA-D59E4582DA8B}">
      <text>
        <r>
          <rPr>
            <b/>
            <sz val="9"/>
            <color indexed="81"/>
            <rFont val="Tahoma"/>
            <family val="2"/>
          </rPr>
          <t>Akram Pc:</t>
        </r>
        <r>
          <rPr>
            <sz val="9"/>
            <color indexed="81"/>
            <rFont val="Tahoma"/>
            <family val="2"/>
          </rPr>
          <t xml:space="preserve">
الحمدانية</t>
        </r>
      </text>
    </comment>
    <comment ref="M329" authorId="0" shapeId="0" xr:uid="{8AF90F5D-7A03-45F8-9AB0-21F84B738016}">
      <text>
        <r>
          <rPr>
            <b/>
            <sz val="9"/>
            <color indexed="81"/>
            <rFont val="Tahoma"/>
            <charset val="178"/>
          </rPr>
          <t>Akram Pc:</t>
        </r>
        <r>
          <rPr>
            <sz val="9"/>
            <color indexed="81"/>
            <rFont val="Tahoma"/>
            <charset val="178"/>
          </rPr>
          <t xml:space="preserve">
الالية تطفي اثناء السير - كهرباء + الفرامل  - تهريب زيت </t>
        </r>
      </text>
    </comment>
    <comment ref="N329" authorId="0" shapeId="0" xr:uid="{5ACADAB9-9847-46F3-B6A0-E19F045E00FD}">
      <text>
        <r>
          <rPr>
            <b/>
            <sz val="9"/>
            <color indexed="81"/>
            <rFont val="Tahoma"/>
            <family val="2"/>
          </rPr>
          <t>Akram Pc:</t>
        </r>
        <r>
          <rPr>
            <sz val="9"/>
            <color indexed="81"/>
            <rFont val="Tahoma"/>
            <family val="2"/>
          </rPr>
          <t xml:space="preserve">
19-7-1447 - 22-1-1448</t>
        </r>
      </text>
    </comment>
    <comment ref="O329" authorId="0" shapeId="0" xr:uid="{37CB6380-55C7-4A3E-A4A2-C51467792E2E}">
      <text>
        <r>
          <rPr>
            <b/>
            <sz val="9"/>
            <color indexed="81"/>
            <rFont val="Tahoma"/>
            <family val="2"/>
          </rPr>
          <t>Akram Pc:</t>
        </r>
        <r>
          <rPr>
            <sz val="9"/>
            <color indexed="81"/>
            <rFont val="Tahoma"/>
            <family val="2"/>
          </rPr>
          <t xml:space="preserve">
21-1-1448</t>
        </r>
      </text>
    </comment>
    <comment ref="O334" authorId="0" shapeId="0" xr:uid="{B6A91360-F518-4860-A533-777264319995}">
      <text>
        <r>
          <rPr>
            <b/>
            <sz val="9"/>
            <color indexed="81"/>
            <rFont val="Tahoma"/>
            <family val="2"/>
          </rPr>
          <t>Akram Pc:</t>
        </r>
        <r>
          <rPr>
            <sz val="9"/>
            <color indexed="81"/>
            <rFont val="Tahoma"/>
            <family val="2"/>
          </rPr>
          <t xml:space="preserve">
20-10-1447</t>
        </r>
      </text>
    </comment>
    <comment ref="M337" authorId="0" shapeId="0" xr:uid="{955C856F-0088-4C42-8396-E413927BB8EB}">
      <text>
        <r>
          <rPr>
            <b/>
            <sz val="9"/>
            <color indexed="81"/>
            <rFont val="Tahoma"/>
            <charset val="178"/>
          </rPr>
          <t>Akram Pc:</t>
        </r>
        <r>
          <rPr>
            <sz val="9"/>
            <color indexed="81"/>
            <rFont val="Tahoma"/>
            <charset val="178"/>
          </rPr>
          <t xml:space="preserve">
تهريب زيت الدركسون  واقمشة</t>
        </r>
      </text>
    </comment>
    <comment ref="N337" authorId="0" shapeId="0" xr:uid="{7259873E-21FF-4C24-9C24-9EAC4845036B}">
      <text>
        <r>
          <rPr>
            <b/>
            <sz val="9"/>
            <color indexed="81"/>
            <rFont val="Tahoma"/>
            <charset val="178"/>
          </rPr>
          <t>Akram Pc:</t>
        </r>
        <r>
          <rPr>
            <sz val="9"/>
            <color indexed="81"/>
            <rFont val="Tahoma"/>
            <charset val="178"/>
          </rPr>
          <t xml:space="preserve">
1-8-1447</t>
        </r>
      </text>
    </comment>
    <comment ref="N338" authorId="0" shapeId="0" xr:uid="{BF3E06F3-54FD-414F-8DA8-3AC312DB7D3F}">
      <text>
        <r>
          <rPr>
            <b/>
            <sz val="9"/>
            <color indexed="81"/>
            <rFont val="Tahoma"/>
            <charset val="178"/>
          </rPr>
          <t>Akram Pc:</t>
        </r>
        <r>
          <rPr>
            <sz val="9"/>
            <color indexed="81"/>
            <rFont val="Tahoma"/>
            <charset val="178"/>
          </rPr>
          <t xml:space="preserve">
27-9-1447 - 27-12-1447</t>
        </r>
      </text>
    </comment>
    <comment ref="O338" authorId="0" shapeId="0" xr:uid="{29EF38D1-49B9-4D44-AB16-C47D6F5E6997}">
      <text>
        <r>
          <rPr>
            <b/>
            <sz val="9"/>
            <color indexed="81"/>
            <rFont val="Tahoma"/>
            <charset val="178"/>
          </rPr>
          <t>Akram Pc:</t>
        </r>
        <r>
          <rPr>
            <sz val="9"/>
            <color indexed="81"/>
            <rFont val="Tahoma"/>
            <charset val="178"/>
          </rPr>
          <t xml:space="preserve">
7-12-1447 - 28-12-1447</t>
        </r>
      </text>
    </comment>
    <comment ref="M340" authorId="0" shapeId="0" xr:uid="{E49B25F0-889A-4992-8CC1-02DF5A2322F2}">
      <text>
        <r>
          <rPr>
            <b/>
            <sz val="9"/>
            <color indexed="81"/>
            <rFont val="Tahoma"/>
            <family val="2"/>
          </rPr>
          <t>Akram Pc:</t>
        </r>
        <r>
          <rPr>
            <sz val="9"/>
            <color indexed="81"/>
            <rFont val="Tahoma"/>
            <family val="2"/>
          </rPr>
          <t xml:space="preserve">
تهريب هواء + الباكم يفوت + اقمشة وموزع - الجربوكس </t>
        </r>
      </text>
    </comment>
    <comment ref="N340" authorId="0" shapeId="0" xr:uid="{5B631ACE-64BA-433D-8A1C-9F3FAED4F9E6}">
      <text>
        <r>
          <rPr>
            <b/>
            <sz val="9"/>
            <color indexed="81"/>
            <rFont val="Tahoma"/>
            <charset val="178"/>
          </rPr>
          <t>Akram Pc:</t>
        </r>
        <r>
          <rPr>
            <sz val="9"/>
            <color indexed="81"/>
            <rFont val="Tahoma"/>
            <charset val="178"/>
          </rPr>
          <t xml:space="preserve">
20-11-1447</t>
        </r>
      </text>
    </comment>
    <comment ref="M342" authorId="0" shapeId="0" xr:uid="{BD0EF8C6-2CD7-4BFF-8BD6-67A28126C7CB}">
      <text>
        <r>
          <rPr>
            <b/>
            <sz val="9"/>
            <color indexed="81"/>
            <rFont val="Tahoma"/>
            <charset val="178"/>
          </rPr>
          <t>Akram Pc:</t>
        </r>
        <r>
          <rPr>
            <sz val="9"/>
            <color indexed="81"/>
            <rFont val="Tahoma"/>
            <charset val="178"/>
          </rPr>
          <t xml:space="preserve">
اعطال متعددة + ارتفاع حرارة</t>
        </r>
      </text>
    </comment>
    <comment ref="N342" authorId="0" shapeId="0" xr:uid="{E8895B54-7143-44A3-9B68-9DC755BBB705}">
      <text>
        <r>
          <rPr>
            <b/>
            <sz val="9"/>
            <color indexed="81"/>
            <rFont val="Tahoma"/>
            <charset val="178"/>
          </rPr>
          <t>Akram Pc:</t>
        </r>
        <r>
          <rPr>
            <sz val="9"/>
            <color indexed="81"/>
            <rFont val="Tahoma"/>
            <charset val="178"/>
          </rPr>
          <t xml:space="preserve">
9-8-1447</t>
        </r>
      </text>
    </comment>
    <comment ref="N343" authorId="0" shapeId="0" xr:uid="{B7309C2C-1A18-4C61-9F7A-E9CE354058FC}">
      <text>
        <r>
          <rPr>
            <b/>
            <sz val="9"/>
            <color indexed="81"/>
            <rFont val="Tahoma"/>
            <charset val="178"/>
          </rPr>
          <t>Akram Pc:</t>
        </r>
        <r>
          <rPr>
            <sz val="9"/>
            <color indexed="81"/>
            <rFont val="Tahoma"/>
            <charset val="178"/>
          </rPr>
          <t xml:space="preserve">
17-12-1447</t>
        </r>
      </text>
    </comment>
    <comment ref="M346" authorId="0" shapeId="0" xr:uid="{831A6685-D8A1-4F4E-81D9-442D8581C7C9}">
      <text>
        <r>
          <rPr>
            <b/>
            <sz val="9"/>
            <color indexed="81"/>
            <rFont val="Tahoma"/>
            <charset val="178"/>
          </rPr>
          <t>Akram Pc:</t>
        </r>
        <r>
          <rPr>
            <sz val="9"/>
            <color indexed="81"/>
            <rFont val="Tahoma"/>
            <charset val="178"/>
          </rPr>
          <t xml:space="preserve">
عطل بالذراع + الانارة الامامية</t>
        </r>
      </text>
    </comment>
    <comment ref="N346" authorId="0" shapeId="0" xr:uid="{3019DCB5-8FE2-4B50-9FB9-B3CF77A4A685}">
      <text>
        <r>
          <rPr>
            <b/>
            <sz val="9"/>
            <color indexed="81"/>
            <rFont val="Tahoma"/>
            <charset val="178"/>
          </rPr>
          <t>Akram Pc:</t>
        </r>
        <r>
          <rPr>
            <sz val="9"/>
            <color indexed="81"/>
            <rFont val="Tahoma"/>
            <charset val="178"/>
          </rPr>
          <t xml:space="preserve">
1-10-1447</t>
        </r>
      </text>
    </comment>
    <comment ref="B350" authorId="0" shapeId="0" xr:uid="{D52B6BF6-0237-4BE2-A6F0-770EB680AA57}">
      <text>
        <r>
          <rPr>
            <b/>
            <sz val="9"/>
            <color indexed="81"/>
            <rFont val="Tahoma"/>
            <family val="2"/>
          </rPr>
          <t>Akram Pc:</t>
        </r>
        <r>
          <rPr>
            <sz val="9"/>
            <color indexed="81"/>
            <rFont val="Tahoma"/>
            <family val="2"/>
          </rPr>
          <t xml:space="preserve">
الحرايق الصناعية</t>
        </r>
      </text>
    </comment>
    <comment ref="M398" authorId="0" shapeId="0" xr:uid="{31832C31-C124-4B13-981B-039618281774}">
      <text>
        <r>
          <rPr>
            <b/>
            <sz val="9"/>
            <color indexed="81"/>
            <rFont val="Tahoma"/>
            <family val="2"/>
          </rPr>
          <t>Akram Pc:</t>
        </r>
        <r>
          <rPr>
            <sz val="9"/>
            <color indexed="81"/>
            <rFont val="Tahoma"/>
            <family val="2"/>
          </rPr>
          <t xml:space="preserve">
عطل ميكانيكي - بنشر ثلاث كفرات</t>
        </r>
      </text>
    </comment>
    <comment ref="N398" authorId="0" shapeId="0" xr:uid="{51071DFB-FFFD-4273-9CA4-2AA1ACA8011E}">
      <text>
        <r>
          <rPr>
            <b/>
            <sz val="9"/>
            <color indexed="81"/>
            <rFont val="Tahoma"/>
            <charset val="178"/>
          </rPr>
          <t>Akram Pc:</t>
        </r>
        <r>
          <rPr>
            <sz val="9"/>
            <color indexed="81"/>
            <rFont val="Tahoma"/>
            <charset val="178"/>
          </rPr>
          <t xml:space="preserve">
13-9-1447</t>
        </r>
      </text>
    </comment>
    <comment ref="O400" authorId="0" shapeId="0" xr:uid="{E4B151CA-207C-4859-A1A5-4850EA32352A}">
      <text>
        <r>
          <rPr>
            <b/>
            <sz val="9"/>
            <color indexed="81"/>
            <rFont val="Tahoma"/>
            <charset val="178"/>
          </rPr>
          <t>Akram Pc:</t>
        </r>
        <r>
          <rPr>
            <sz val="9"/>
            <color indexed="81"/>
            <rFont val="Tahoma"/>
            <charset val="178"/>
          </rPr>
          <t xml:space="preserve">
7-10-1447</t>
        </r>
      </text>
    </comment>
    <comment ref="M402" authorId="0" shapeId="0" xr:uid="{355E9243-4619-498E-B640-F6B477132EC1}">
      <text>
        <r>
          <rPr>
            <b/>
            <sz val="9"/>
            <color indexed="81"/>
            <rFont val="Tahoma"/>
            <charset val="178"/>
          </rPr>
          <t>Akram Pc:</t>
        </r>
        <r>
          <rPr>
            <sz val="9"/>
            <color indexed="81"/>
            <rFont val="Tahoma"/>
            <charset val="178"/>
          </rPr>
          <t xml:space="preserve">
خلل فني</t>
        </r>
      </text>
    </comment>
    <comment ref="N402" authorId="0" shapeId="0" xr:uid="{2AA05DA9-AC42-4D3F-8849-7B128F7383B7}">
      <text>
        <r>
          <rPr>
            <b/>
            <sz val="9"/>
            <color indexed="81"/>
            <rFont val="Tahoma"/>
            <charset val="178"/>
          </rPr>
          <t>Akram Pc:</t>
        </r>
        <r>
          <rPr>
            <sz val="9"/>
            <color indexed="81"/>
            <rFont val="Tahoma"/>
            <charset val="178"/>
          </rPr>
          <t xml:space="preserve">
1-5-1447</t>
        </r>
      </text>
    </comment>
    <comment ref="M403" authorId="0" shapeId="0" xr:uid="{23155FD3-5B92-4319-A79E-DB57A9F7F981}">
      <text>
        <r>
          <rPr>
            <b/>
            <sz val="9"/>
            <color indexed="81"/>
            <rFont val="Tahoma"/>
            <charset val="178"/>
          </rPr>
          <t>Akram Pc:</t>
        </r>
        <r>
          <rPr>
            <sz val="9"/>
            <color indexed="81"/>
            <rFont val="Tahoma"/>
            <charset val="178"/>
          </rPr>
          <t xml:space="preserve">
علبة الكلتش والبواكم</t>
        </r>
      </text>
    </comment>
    <comment ref="N403" authorId="0" shapeId="0" xr:uid="{A0AD1F0F-98D4-4A26-8B19-34162B488E3D}">
      <text>
        <r>
          <rPr>
            <b/>
            <sz val="9"/>
            <color indexed="81"/>
            <rFont val="Tahoma"/>
            <charset val="178"/>
          </rPr>
          <t>Akram Pc:</t>
        </r>
        <r>
          <rPr>
            <sz val="9"/>
            <color indexed="81"/>
            <rFont val="Tahoma"/>
            <charset val="178"/>
          </rPr>
          <t xml:space="preserve">
16-8-1447 </t>
        </r>
      </text>
    </comment>
    <comment ref="M405" authorId="0" shapeId="0" xr:uid="{CD454416-ABB6-43EA-B0DD-5A54FEF3509D}">
      <text>
        <r>
          <rPr>
            <b/>
            <sz val="9"/>
            <color indexed="81"/>
            <rFont val="Tahoma"/>
            <charset val="178"/>
          </rPr>
          <t>Akram Pc:</t>
        </r>
        <r>
          <rPr>
            <sz val="9"/>
            <color indexed="81"/>
            <rFont val="Tahoma"/>
            <charset val="178"/>
          </rPr>
          <t xml:space="preserve">
مسامير الكفر + بنشر</t>
        </r>
      </text>
    </comment>
    <comment ref="N405" authorId="0" shapeId="0" xr:uid="{07127016-EA7D-4376-B679-34AB75F5D109}">
      <text>
        <r>
          <rPr>
            <b/>
            <sz val="9"/>
            <color indexed="81"/>
            <rFont val="Tahoma"/>
            <charset val="178"/>
          </rPr>
          <t>Akram Pc:</t>
        </r>
        <r>
          <rPr>
            <sz val="9"/>
            <color indexed="81"/>
            <rFont val="Tahoma"/>
            <charset val="178"/>
          </rPr>
          <t xml:space="preserve">
29-9-1447</t>
        </r>
      </text>
    </comment>
    <comment ref="N406" authorId="0" shapeId="0" xr:uid="{718CECC6-28A8-4D5F-BA60-F4B08A399A99}">
      <text>
        <r>
          <rPr>
            <b/>
            <sz val="9"/>
            <color indexed="81"/>
            <rFont val="Tahoma"/>
            <charset val="178"/>
          </rPr>
          <t>Akram Pc:</t>
        </r>
        <r>
          <rPr>
            <sz val="9"/>
            <color indexed="81"/>
            <rFont val="Tahoma"/>
            <charset val="178"/>
          </rPr>
          <t xml:space="preserve">
30-9-1447</t>
        </r>
      </text>
    </comment>
    <comment ref="I407" authorId="0" shapeId="0" xr:uid="{D37917F9-D7AB-4C40-8522-C56CC8CE7B91}">
      <text>
        <r>
          <rPr>
            <b/>
            <sz val="9"/>
            <color indexed="81"/>
            <rFont val="Tahoma"/>
            <family val="2"/>
          </rPr>
          <t>Akram Pc:</t>
        </r>
        <r>
          <rPr>
            <sz val="9"/>
            <color indexed="81"/>
            <rFont val="Tahoma"/>
            <family val="2"/>
          </rPr>
          <t xml:space="preserve">
الصفا</t>
        </r>
      </text>
    </comment>
    <comment ref="M407" authorId="0" shapeId="0" xr:uid="{985E7499-CFD1-4A40-BA14-F627B602BD49}">
      <text>
        <r>
          <rPr>
            <b/>
            <sz val="9"/>
            <color indexed="81"/>
            <rFont val="Tahoma"/>
            <charset val="178"/>
          </rPr>
          <t>Akram Pc:</t>
        </r>
        <r>
          <rPr>
            <sz val="9"/>
            <color indexed="81"/>
            <rFont val="Tahoma"/>
            <charset val="178"/>
          </rPr>
          <t xml:space="preserve">
تحتاج برمجة + التماس كهربائي يؤدي لفصل الكهرباء تماما - البطاريات تالفة</t>
        </r>
      </text>
    </comment>
    <comment ref="N407" authorId="0" shapeId="0" xr:uid="{0C8CC35E-1F9E-4D71-8D86-B1CB7227A771}">
      <text>
        <r>
          <rPr>
            <b/>
            <sz val="9"/>
            <color indexed="81"/>
            <rFont val="Tahoma"/>
            <charset val="178"/>
          </rPr>
          <t>Akram Pc:</t>
        </r>
        <r>
          <rPr>
            <sz val="9"/>
            <color indexed="81"/>
            <rFont val="Tahoma"/>
            <charset val="178"/>
          </rPr>
          <t xml:space="preserve">
17-10-1447 + 27-10-1447 - 26-11-1447</t>
        </r>
      </text>
    </comment>
    <comment ref="O407" authorId="0" shapeId="0" xr:uid="{F22444A6-2D12-4F72-ABCC-9A76EB93EC92}">
      <text>
        <r>
          <rPr>
            <b/>
            <sz val="9"/>
            <color indexed="81"/>
            <rFont val="Tahoma"/>
            <charset val="178"/>
          </rPr>
          <t>Akram Pc:</t>
        </r>
        <r>
          <rPr>
            <sz val="9"/>
            <color indexed="81"/>
            <rFont val="Tahoma"/>
            <charset val="178"/>
          </rPr>
          <t xml:space="preserve">
21-10-1447 + 27-10-1447</t>
        </r>
      </text>
    </comment>
    <comment ref="O410" authorId="0" shapeId="0" xr:uid="{AD03D105-A2E1-4930-8A77-7BBFCCB592E9}">
      <text>
        <r>
          <rPr>
            <b/>
            <sz val="9"/>
            <color indexed="81"/>
            <rFont val="Tahoma"/>
            <family val="2"/>
          </rPr>
          <t>Akram Pc:</t>
        </r>
        <r>
          <rPr>
            <sz val="9"/>
            <color indexed="81"/>
            <rFont val="Tahoma"/>
            <family val="2"/>
          </rPr>
          <t xml:space="preserve">
11-10-1447</t>
        </r>
      </text>
    </comment>
    <comment ref="M411" authorId="0" shapeId="0" xr:uid="{D4B0D70A-B76F-4740-A9C4-C99D9E7B1DAE}">
      <text>
        <r>
          <rPr>
            <b/>
            <sz val="9"/>
            <color indexed="81"/>
            <rFont val="Tahoma"/>
            <charset val="178"/>
          </rPr>
          <t>Akram Pc:</t>
        </r>
        <r>
          <rPr>
            <sz val="9"/>
            <color indexed="81"/>
            <rFont val="Tahoma"/>
            <charset val="178"/>
          </rPr>
          <t xml:space="preserve">
ليات الدركسون</t>
        </r>
      </text>
    </comment>
    <comment ref="N411" authorId="0" shapeId="0" xr:uid="{30E3B88A-9D54-47F3-9FBA-E5598D1A69AD}">
      <text>
        <r>
          <rPr>
            <b/>
            <sz val="9"/>
            <color indexed="81"/>
            <rFont val="Tahoma"/>
            <charset val="178"/>
          </rPr>
          <t>Akram Pc:</t>
        </r>
        <r>
          <rPr>
            <sz val="9"/>
            <color indexed="81"/>
            <rFont val="Tahoma"/>
            <charset val="178"/>
          </rPr>
          <t xml:space="preserve">
11-10-1447</t>
        </r>
      </text>
    </comment>
    <comment ref="M413" authorId="0" shapeId="0" xr:uid="{EF6ED92A-84BE-46EE-8DE9-CA1A2DABB809}">
      <text>
        <r>
          <rPr>
            <b/>
            <sz val="9"/>
            <color indexed="81"/>
            <rFont val="Tahoma"/>
            <charset val="178"/>
          </rPr>
          <t>Akram Pc:</t>
        </r>
        <r>
          <rPr>
            <sz val="9"/>
            <color indexed="81"/>
            <rFont val="Tahoma"/>
            <charset val="178"/>
          </rPr>
          <t xml:space="preserve">
تلف احد الكفرات الخلفية</t>
        </r>
      </text>
    </comment>
    <comment ref="N413" authorId="0" shapeId="0" xr:uid="{7CA9EECC-4A23-4DBD-87CF-8A6AAAC21AEA}">
      <text>
        <r>
          <rPr>
            <b/>
            <sz val="9"/>
            <color indexed="81"/>
            <rFont val="Tahoma"/>
            <charset val="178"/>
          </rPr>
          <t>Akram Pc:</t>
        </r>
        <r>
          <rPr>
            <sz val="9"/>
            <color indexed="81"/>
            <rFont val="Tahoma"/>
            <charset val="178"/>
          </rPr>
          <t xml:space="preserve">
13-10-1447</t>
        </r>
      </text>
    </comment>
    <comment ref="M414" authorId="0" shapeId="0" xr:uid="{09DA5F76-E7CD-46CA-9077-B3CEE4E65316}">
      <text>
        <r>
          <rPr>
            <b/>
            <sz val="9"/>
            <color indexed="81"/>
            <rFont val="Tahoma"/>
            <charset val="178"/>
          </rPr>
          <t>Akram Pc:</t>
        </r>
        <r>
          <rPr>
            <sz val="9"/>
            <color indexed="81"/>
            <rFont val="Tahoma"/>
            <charset val="178"/>
          </rPr>
          <t xml:space="preserve">
مساحات + مكيف</t>
        </r>
      </text>
    </comment>
    <comment ref="N414" authorId="0" shapeId="0" xr:uid="{D6B49385-C54F-41ED-8302-7E540FB79A83}">
      <text>
        <r>
          <rPr>
            <b/>
            <sz val="9"/>
            <color indexed="81"/>
            <rFont val="Tahoma"/>
            <charset val="178"/>
          </rPr>
          <t>Akram Pc:</t>
        </r>
        <r>
          <rPr>
            <sz val="9"/>
            <color indexed="81"/>
            <rFont val="Tahoma"/>
            <charset val="178"/>
          </rPr>
          <t xml:space="preserve">
13-10-1447</t>
        </r>
      </text>
    </comment>
    <comment ref="M417" authorId="0" shapeId="0" xr:uid="{3D551E59-17E4-41D8-8A2C-DE951B3ECDFF}">
      <text>
        <r>
          <rPr>
            <b/>
            <sz val="9"/>
            <color indexed="81"/>
            <rFont val="Tahoma"/>
            <charset val="178"/>
          </rPr>
          <t>Akram Pc:</t>
        </r>
        <r>
          <rPr>
            <sz val="9"/>
            <color indexed="81"/>
            <rFont val="Tahoma"/>
            <charset val="178"/>
          </rPr>
          <t xml:space="preserve">
اعطال متعددة</t>
        </r>
      </text>
    </comment>
    <comment ref="N417" authorId="0" shapeId="0" xr:uid="{DF4DDAC3-8E13-4AFE-9016-60138EF8F098}">
      <text>
        <r>
          <rPr>
            <b/>
            <sz val="9"/>
            <color indexed="81"/>
            <rFont val="Tahoma"/>
            <charset val="178"/>
          </rPr>
          <t>Akram Pc:</t>
        </r>
        <r>
          <rPr>
            <sz val="9"/>
            <color indexed="81"/>
            <rFont val="Tahoma"/>
            <charset val="178"/>
          </rPr>
          <t xml:space="preserve">
14-4-1447</t>
        </r>
      </text>
    </comment>
    <comment ref="O423" authorId="0" shapeId="0" xr:uid="{15255C6A-D7E4-4A00-A0E0-8747D56CD952}">
      <text>
        <r>
          <rPr>
            <b/>
            <sz val="9"/>
            <color indexed="81"/>
            <rFont val="Tahoma"/>
            <charset val="178"/>
          </rPr>
          <t>Akram Pc:</t>
        </r>
        <r>
          <rPr>
            <sz val="9"/>
            <color indexed="81"/>
            <rFont val="Tahoma"/>
            <charset val="178"/>
          </rPr>
          <t xml:space="preserve">
9-3-1447</t>
        </r>
      </text>
    </comment>
    <comment ref="M425" authorId="0" shapeId="0" xr:uid="{C4DD8E62-C61E-4C53-9CE4-EA7F8786F447}">
      <text>
        <r>
          <rPr>
            <b/>
            <sz val="9"/>
            <color indexed="81"/>
            <rFont val="Tahoma"/>
            <charset val="178"/>
          </rPr>
          <t>Akram Pc:</t>
        </r>
        <r>
          <rPr>
            <sz val="9"/>
            <color indexed="81"/>
            <rFont val="Tahoma"/>
            <charset val="178"/>
          </rPr>
          <t xml:space="preserve">
لي ساعة المضخة</t>
        </r>
      </text>
    </comment>
    <comment ref="N425" authorId="0" shapeId="0" xr:uid="{8D599E46-73A1-4039-AD44-C94F8AFC4F96}">
      <text>
        <r>
          <rPr>
            <b/>
            <sz val="9"/>
            <color indexed="81"/>
            <rFont val="Tahoma"/>
            <charset val="178"/>
          </rPr>
          <t>Akram Pc:</t>
        </r>
        <r>
          <rPr>
            <sz val="9"/>
            <color indexed="81"/>
            <rFont val="Tahoma"/>
            <charset val="178"/>
          </rPr>
          <t xml:space="preserve">
25-10-1447</t>
        </r>
      </text>
    </comment>
    <comment ref="M426" authorId="0" shapeId="0" xr:uid="{9E71C527-8011-45CB-949B-EF3693F3FCCA}">
      <text>
        <r>
          <rPr>
            <b/>
            <sz val="9"/>
            <color indexed="81"/>
            <rFont val="Tahoma"/>
            <charset val="178"/>
          </rPr>
          <t>Akram Pc:</t>
        </r>
        <r>
          <rPr>
            <sz val="9"/>
            <color indexed="81"/>
            <rFont val="Tahoma"/>
            <charset val="178"/>
          </rPr>
          <t xml:space="preserve">
تهريب بنزين من التانكي </t>
        </r>
      </text>
    </comment>
    <comment ref="N426" authorId="0" shapeId="0" xr:uid="{5D2BF0B9-DE88-41A4-936A-42660EB38614}">
      <text>
        <r>
          <rPr>
            <b/>
            <sz val="9"/>
            <color indexed="81"/>
            <rFont val="Tahoma"/>
            <charset val="178"/>
          </rPr>
          <t>Akram Pc:</t>
        </r>
        <r>
          <rPr>
            <sz val="9"/>
            <color indexed="81"/>
            <rFont val="Tahoma"/>
            <charset val="178"/>
          </rPr>
          <t xml:space="preserve">
26-10-1447</t>
        </r>
      </text>
    </comment>
    <comment ref="M427" authorId="0" shapeId="0" xr:uid="{8BA60689-A6CB-4FC9-8215-34D7D7AD58DE}">
      <text>
        <r>
          <rPr>
            <b/>
            <sz val="9"/>
            <color indexed="81"/>
            <rFont val="Tahoma"/>
            <family val="2"/>
          </rPr>
          <t>Akram Pc:</t>
        </r>
        <r>
          <rPr>
            <sz val="9"/>
            <color indexed="81"/>
            <rFont val="Tahoma"/>
            <family val="2"/>
          </rPr>
          <t xml:space="preserve">
عطل في الكمبيوتر</t>
        </r>
      </text>
    </comment>
    <comment ref="N427" authorId="0" shapeId="0" xr:uid="{A7EC228D-7624-4320-A455-D6806D3A97F0}">
      <text>
        <r>
          <rPr>
            <b/>
            <sz val="9"/>
            <color indexed="81"/>
            <rFont val="Tahoma"/>
            <family val="2"/>
          </rPr>
          <t>Akram Pc:</t>
        </r>
        <r>
          <rPr>
            <sz val="9"/>
            <color indexed="81"/>
            <rFont val="Tahoma"/>
            <family val="2"/>
          </rPr>
          <t xml:space="preserve">
28-10-1447</t>
        </r>
      </text>
    </comment>
    <comment ref="N429" authorId="0" shapeId="0" xr:uid="{3FEDDBF6-9CC4-4B52-A897-C04EC4F75F52}">
      <text>
        <r>
          <rPr>
            <b/>
            <sz val="9"/>
            <color indexed="81"/>
            <rFont val="Tahoma"/>
            <charset val="178"/>
          </rPr>
          <t>Akram Pc:</t>
        </r>
        <r>
          <rPr>
            <sz val="9"/>
            <color indexed="81"/>
            <rFont val="Tahoma"/>
            <charset val="178"/>
          </rPr>
          <t xml:space="preserve">
5-11-1447</t>
        </r>
      </text>
    </comment>
    <comment ref="N433" authorId="0" shapeId="0" xr:uid="{DB07E486-10B6-4329-9E79-6544C3EA01C5}">
      <text>
        <r>
          <rPr>
            <b/>
            <sz val="9"/>
            <color indexed="81"/>
            <rFont val="Tahoma"/>
            <charset val="178"/>
          </rPr>
          <t>Akram Pc:</t>
        </r>
        <r>
          <rPr>
            <sz val="9"/>
            <color indexed="81"/>
            <rFont val="Tahoma"/>
            <charset val="178"/>
          </rPr>
          <t xml:space="preserve">
23-11-1447</t>
        </r>
      </text>
    </comment>
    <comment ref="O433" authorId="0" shapeId="0" xr:uid="{A6A004A5-AC8D-4B33-AF86-58E81FEA3419}">
      <text>
        <r>
          <rPr>
            <b/>
            <sz val="9"/>
            <color indexed="81"/>
            <rFont val="Tahoma"/>
            <family val="2"/>
          </rPr>
          <t>Akram Pc:</t>
        </r>
        <r>
          <rPr>
            <sz val="9"/>
            <color indexed="81"/>
            <rFont val="Tahoma"/>
            <family val="2"/>
          </rPr>
          <t xml:space="preserve">
3-12-1447</t>
        </r>
      </text>
    </comment>
    <comment ref="M436" authorId="0" shapeId="0" xr:uid="{718F4A9C-E101-4E37-90FB-A47F74E09060}">
      <text>
        <r>
          <rPr>
            <b/>
            <sz val="9"/>
            <color indexed="81"/>
            <rFont val="Tahoma"/>
            <family val="2"/>
          </rPr>
          <t>Akram Pc:</t>
        </r>
        <r>
          <rPr>
            <sz val="9"/>
            <color indexed="81"/>
            <rFont val="Tahoma"/>
            <family val="2"/>
          </rPr>
          <t xml:space="preserve">
صحن دسك وكلتش</t>
        </r>
      </text>
    </comment>
    <comment ref="N436" authorId="0" shapeId="0" xr:uid="{B9F795FA-A186-48F9-8A00-CEE70DC199A8}">
      <text>
        <r>
          <rPr>
            <b/>
            <sz val="9"/>
            <color indexed="81"/>
            <rFont val="Tahoma"/>
            <family val="2"/>
          </rPr>
          <t>Akram Pc:</t>
        </r>
        <r>
          <rPr>
            <sz val="9"/>
            <color indexed="81"/>
            <rFont val="Tahoma"/>
            <family val="2"/>
          </rPr>
          <t xml:space="preserve">
1-8-1447</t>
        </r>
      </text>
    </comment>
    <comment ref="N440" authorId="0" shapeId="0" xr:uid="{0A1E1CF1-2FC2-48E2-AC37-E6965C6303CE}">
      <text>
        <r>
          <rPr>
            <b/>
            <sz val="9"/>
            <color indexed="81"/>
            <rFont val="Tahoma"/>
            <charset val="178"/>
          </rPr>
          <t>Akram Pc:</t>
        </r>
        <r>
          <rPr>
            <sz val="9"/>
            <color indexed="81"/>
            <rFont val="Tahoma"/>
            <charset val="178"/>
          </rPr>
          <t xml:space="preserve">
16-12-1447</t>
        </r>
      </text>
    </comment>
    <comment ref="N442" authorId="0" shapeId="0" xr:uid="{65A326DE-50B1-4BCA-A621-DAB30B254115}">
      <text>
        <r>
          <rPr>
            <b/>
            <sz val="9"/>
            <color indexed="81"/>
            <rFont val="Tahoma"/>
            <charset val="178"/>
          </rPr>
          <t>Akram Pc:</t>
        </r>
        <r>
          <rPr>
            <sz val="9"/>
            <color indexed="81"/>
            <rFont val="Tahoma"/>
            <charset val="178"/>
          </rPr>
          <t xml:space="preserve">
23-12-1447</t>
        </r>
      </text>
    </comment>
    <comment ref="M445" authorId="0" shapeId="0" xr:uid="{9C5510D0-A843-4984-AA36-5C5D7B1F1124}">
      <text>
        <r>
          <rPr>
            <b/>
            <sz val="9"/>
            <color indexed="81"/>
            <rFont val="Tahoma"/>
            <family val="2"/>
          </rPr>
          <t>Akram Pc:</t>
        </r>
        <r>
          <rPr>
            <sz val="9"/>
            <color indexed="81"/>
            <rFont val="Tahoma"/>
            <family val="2"/>
          </rPr>
          <t xml:space="preserve">
سير مكينة </t>
        </r>
      </text>
    </comment>
    <comment ref="O450" authorId="0" shapeId="0" xr:uid="{0BBF0EC5-F42D-46DD-8684-E07C337403B7}">
      <text>
        <r>
          <rPr>
            <b/>
            <sz val="9"/>
            <color indexed="81"/>
            <rFont val="Tahoma"/>
            <charset val="178"/>
          </rPr>
          <t>Akram Pc:</t>
        </r>
        <r>
          <rPr>
            <sz val="9"/>
            <color indexed="81"/>
            <rFont val="Tahoma"/>
            <charset val="178"/>
          </rPr>
          <t xml:space="preserve">
15-1-1448</t>
        </r>
      </text>
    </comment>
    <comment ref="M452" authorId="0" shapeId="0" xr:uid="{E40B1189-5797-4853-955E-DCFEC7D54AA2}">
      <text>
        <r>
          <rPr>
            <b/>
            <sz val="9"/>
            <color indexed="81"/>
            <rFont val="Tahoma"/>
            <family val="2"/>
          </rPr>
          <t>Akram Pc:</t>
        </r>
        <r>
          <rPr>
            <sz val="9"/>
            <color indexed="81"/>
            <rFont val="Tahoma"/>
            <family val="2"/>
          </rPr>
          <t xml:space="preserve">
سير مكينة + تقطيع اثناء التشغيل</t>
        </r>
      </text>
    </comment>
    <comment ref="O452" authorId="0" shapeId="0" xr:uid="{BEF703AB-6AFA-4F7E-8C9C-241B7B076562}">
      <text>
        <r>
          <rPr>
            <b/>
            <sz val="9"/>
            <color indexed="81"/>
            <rFont val="Tahoma"/>
            <family val="2"/>
          </rPr>
          <t>Akram Pc:</t>
        </r>
        <r>
          <rPr>
            <sz val="9"/>
            <color indexed="81"/>
            <rFont val="Tahoma"/>
            <family val="2"/>
          </rPr>
          <t xml:space="preserve">
3-1-1448</t>
        </r>
      </text>
    </comment>
    <comment ref="M566" authorId="0" shapeId="0" xr:uid="{EBDC4107-F23B-4337-BD4A-E82A323681B6}">
      <text>
        <r>
          <rPr>
            <b/>
            <sz val="9"/>
            <color indexed="81"/>
            <rFont val="Tahoma"/>
            <family val="2"/>
          </rPr>
          <t>Akram Pc:</t>
        </r>
        <r>
          <rPr>
            <sz val="9"/>
            <color indexed="81"/>
            <rFont val="Tahoma"/>
            <family val="2"/>
          </rPr>
          <t xml:space="preserve">
سلف</t>
        </r>
      </text>
    </comment>
    <comment ref="N566" authorId="0" shapeId="0" xr:uid="{781B6915-1ACB-4C9D-823F-B66B5E708EF2}">
      <text>
        <r>
          <rPr>
            <b/>
            <sz val="9"/>
            <color indexed="81"/>
            <rFont val="Tahoma"/>
            <family val="2"/>
          </rPr>
          <t>Akram Pc:</t>
        </r>
        <r>
          <rPr>
            <sz val="9"/>
            <color indexed="81"/>
            <rFont val="Tahoma"/>
            <family val="2"/>
          </rPr>
          <t xml:space="preserve">
3-6-1447</t>
        </r>
      </text>
    </comment>
    <comment ref="O567" authorId="0" shapeId="0" xr:uid="{3BF2C0F2-F7B4-41BA-8E7A-A245090F2B20}">
      <text>
        <r>
          <rPr>
            <b/>
            <sz val="9"/>
            <color indexed="81"/>
            <rFont val="Tahoma"/>
            <family val="2"/>
          </rPr>
          <t>Akram Pc:</t>
        </r>
        <r>
          <rPr>
            <sz val="9"/>
            <color indexed="81"/>
            <rFont val="Tahoma"/>
            <family val="2"/>
          </rPr>
          <t xml:space="preserve">
16-8-1447</t>
        </r>
      </text>
    </comment>
    <comment ref="M570" authorId="0" shapeId="0" xr:uid="{307BBFBA-BCBC-45D0-8753-DCF53171FB5D}">
      <text>
        <r>
          <rPr>
            <b/>
            <sz val="9"/>
            <color indexed="81"/>
            <rFont val="Tahoma"/>
            <charset val="178"/>
          </rPr>
          <t>Akram Pc:</t>
        </r>
        <r>
          <rPr>
            <sz val="9"/>
            <color indexed="81"/>
            <rFont val="Tahoma"/>
            <charset val="178"/>
          </rPr>
          <t xml:space="preserve">
عطل في الاقمشة والهوبات</t>
        </r>
      </text>
    </comment>
    <comment ref="N570" authorId="0" shapeId="0" xr:uid="{46857307-50A1-43BA-80D4-05A10B9297EA}">
      <text>
        <r>
          <rPr>
            <b/>
            <sz val="9"/>
            <color indexed="81"/>
            <rFont val="Tahoma"/>
            <charset val="178"/>
          </rPr>
          <t>Akram Pc:</t>
        </r>
        <r>
          <rPr>
            <sz val="9"/>
            <color indexed="81"/>
            <rFont val="Tahoma"/>
            <charset val="178"/>
          </rPr>
          <t xml:space="preserve">
29-8-1447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Akram Pc</author>
  </authors>
  <commentList>
    <comment ref="Q46" authorId="0" shapeId="0" xr:uid="{C51C3246-DCFE-425A-82D1-2A4F741A400D}">
      <text>
        <r>
          <rPr>
            <b/>
            <sz val="9"/>
            <color indexed="81"/>
            <rFont val="Tahoma"/>
            <charset val="178"/>
          </rPr>
          <t>Akram Pc:</t>
        </r>
        <r>
          <rPr>
            <sz val="9"/>
            <color indexed="81"/>
            <rFont val="Tahoma"/>
            <charset val="178"/>
          </rPr>
          <t xml:space="preserve">
20-10-1447</t>
        </r>
      </text>
    </comment>
    <comment ref="Q48" authorId="0" shapeId="0" xr:uid="{A2E48CED-DE61-455A-8E3D-1C2479389CC9}">
      <text>
        <r>
          <rPr>
            <b/>
            <sz val="9"/>
            <color indexed="81"/>
            <rFont val="Tahoma"/>
            <family val="2"/>
          </rPr>
          <t>Akram Pc:</t>
        </r>
        <r>
          <rPr>
            <sz val="9"/>
            <color indexed="81"/>
            <rFont val="Tahoma"/>
            <family val="2"/>
          </rPr>
          <t xml:space="preserve">
16-9-1447</t>
        </r>
      </text>
    </comment>
    <comment ref="Q49" authorId="0" shapeId="0" xr:uid="{B4F87FB5-A028-4A9D-B8B8-E1F9BC41636C}">
      <text>
        <r>
          <rPr>
            <b/>
            <sz val="9"/>
            <color indexed="81"/>
            <rFont val="Tahoma"/>
            <family val="2"/>
          </rPr>
          <t>Akram Pc:</t>
        </r>
        <r>
          <rPr>
            <sz val="9"/>
            <color indexed="81"/>
            <rFont val="Tahoma"/>
            <family val="2"/>
          </rPr>
          <t xml:space="preserve">
20-10-1447</t>
        </r>
      </text>
    </comment>
    <comment ref="P54" authorId="0" shapeId="0" xr:uid="{04A8C43F-AB8D-4D3F-A292-D8AA03ECD38B}">
      <text>
        <r>
          <rPr>
            <b/>
            <sz val="9"/>
            <color indexed="81"/>
            <rFont val="Tahoma"/>
            <family val="2"/>
          </rPr>
          <t>Akram Pc:</t>
        </r>
        <r>
          <rPr>
            <sz val="9"/>
            <color indexed="81"/>
            <rFont val="Tahoma"/>
            <family val="2"/>
          </rPr>
          <t xml:space="preserve">
3-11-1447</t>
        </r>
      </text>
    </comment>
    <comment ref="Q54" authorId="0" shapeId="0" xr:uid="{EA8B3326-32CE-4957-BC53-89D5D3A883EB}">
      <text>
        <r>
          <rPr>
            <b/>
            <sz val="9"/>
            <color indexed="81"/>
            <rFont val="Tahoma"/>
            <charset val="178"/>
          </rPr>
          <t>Akram Pc:</t>
        </r>
        <r>
          <rPr>
            <sz val="9"/>
            <color indexed="81"/>
            <rFont val="Tahoma"/>
            <charset val="178"/>
          </rPr>
          <t xml:space="preserve">
30-5-1447</t>
        </r>
      </text>
    </comment>
    <comment ref="O68" authorId="0" shapeId="0" xr:uid="{32282CFF-2751-49B2-9D4B-503AC00A1393}">
      <text>
        <r>
          <rPr>
            <b/>
            <sz val="9"/>
            <color indexed="81"/>
            <rFont val="Tahoma"/>
            <charset val="178"/>
          </rPr>
          <t>Akram Pc:</t>
        </r>
        <r>
          <rPr>
            <sz val="9"/>
            <color indexed="81"/>
            <rFont val="Tahoma"/>
            <charset val="178"/>
          </rPr>
          <t xml:space="preserve">
عطل بالسلف</t>
        </r>
      </text>
    </comment>
    <comment ref="P68" authorId="0" shapeId="0" xr:uid="{4CA3EFED-54EA-4479-80EB-F9D87BFF20B3}">
      <text>
        <r>
          <rPr>
            <b/>
            <sz val="9"/>
            <color indexed="81"/>
            <rFont val="Tahoma"/>
            <family val="2"/>
          </rPr>
          <t>Akram Pc:</t>
        </r>
        <r>
          <rPr>
            <sz val="9"/>
            <color indexed="81"/>
            <rFont val="Tahoma"/>
            <family val="2"/>
          </rPr>
          <t xml:space="preserve">
29-8-1446</t>
        </r>
      </text>
    </comment>
    <comment ref="O78" authorId="0" shapeId="0" xr:uid="{BAD23D23-4C91-451B-8AA1-6A56355A1FB4}">
      <text>
        <r>
          <rPr>
            <b/>
            <sz val="9"/>
            <color indexed="81"/>
            <rFont val="Tahoma"/>
            <charset val="178"/>
          </rPr>
          <t>Akram Pc:</t>
        </r>
        <r>
          <rPr>
            <sz val="9"/>
            <color indexed="81"/>
            <rFont val="Tahoma"/>
            <charset val="178"/>
          </rPr>
          <t xml:space="preserve">
عطل مبرد القير + الفرامل</t>
        </r>
      </text>
    </comment>
    <comment ref="P78" authorId="0" shapeId="0" xr:uid="{006B35C2-675F-470E-A285-0318C55701E6}">
      <text>
        <r>
          <rPr>
            <b/>
            <sz val="9"/>
            <color indexed="81"/>
            <rFont val="Tahoma"/>
            <charset val="178"/>
          </rPr>
          <t>Akram Pc:</t>
        </r>
        <r>
          <rPr>
            <sz val="9"/>
            <color indexed="81"/>
            <rFont val="Tahoma"/>
            <charset val="178"/>
          </rPr>
          <t xml:space="preserve">
7-11-1446</t>
        </r>
      </text>
    </comment>
    <comment ref="O79" authorId="0" shapeId="0" xr:uid="{2732A663-A4D2-4547-83B0-AA5B2598CF19}">
      <text>
        <r>
          <rPr>
            <b/>
            <sz val="9"/>
            <color indexed="81"/>
            <rFont val="Tahoma"/>
            <family val="2"/>
          </rPr>
          <t>Akram Pc:</t>
        </r>
        <r>
          <rPr>
            <sz val="9"/>
            <color indexed="81"/>
            <rFont val="Tahoma"/>
            <family val="2"/>
          </rPr>
          <t xml:space="preserve">
عطل بالمكينة</t>
        </r>
      </text>
    </comment>
    <comment ref="P79" authorId="0" shapeId="0" xr:uid="{98F92A93-FD89-49E1-89BE-574335E4BD3E}">
      <text>
        <r>
          <rPr>
            <b/>
            <sz val="9"/>
            <color indexed="81"/>
            <rFont val="Tahoma"/>
            <family val="2"/>
          </rPr>
          <t>Akram Pc:</t>
        </r>
        <r>
          <rPr>
            <sz val="9"/>
            <color indexed="81"/>
            <rFont val="Tahoma"/>
            <family val="2"/>
          </rPr>
          <t xml:space="preserve">
16-4-1443</t>
        </r>
      </text>
    </comment>
    <comment ref="O88" authorId="0" shapeId="0" xr:uid="{1ECB8A2F-9825-4D73-B478-F2FA7016BB9A}">
      <text>
        <r>
          <rPr>
            <b/>
            <sz val="9"/>
            <color indexed="81"/>
            <rFont val="Tahoma"/>
            <charset val="178"/>
          </rPr>
          <t>Akram Pc:</t>
        </r>
        <r>
          <rPr>
            <sz val="9"/>
            <color indexed="81"/>
            <rFont val="Tahoma"/>
            <charset val="178"/>
          </rPr>
          <t xml:space="preserve">
صوت في الاذرعة الامامية</t>
        </r>
      </text>
    </comment>
    <comment ref="P88" authorId="0" shapeId="0" xr:uid="{7EC9ABC0-F8AC-4F4F-8814-E2C8F5E679F9}">
      <text>
        <r>
          <rPr>
            <b/>
            <sz val="9"/>
            <color indexed="81"/>
            <rFont val="Tahoma"/>
            <charset val="178"/>
          </rPr>
          <t>Akram Pc:</t>
        </r>
        <r>
          <rPr>
            <sz val="9"/>
            <color indexed="81"/>
            <rFont val="Tahoma"/>
            <charset val="178"/>
          </rPr>
          <t xml:space="preserve">
17-7-1447</t>
        </r>
      </text>
    </comment>
    <comment ref="Q88" authorId="0" shapeId="0" xr:uid="{35B7DBE2-735E-4983-BD96-C9A614E45737}">
      <text>
        <r>
          <rPr>
            <b/>
            <sz val="9"/>
            <color indexed="81"/>
            <rFont val="Tahoma"/>
            <charset val="178"/>
          </rPr>
          <t>Akram Pc:</t>
        </r>
        <r>
          <rPr>
            <sz val="9"/>
            <color indexed="81"/>
            <rFont val="Tahoma"/>
            <charset val="178"/>
          </rPr>
          <t xml:space="preserve">
5-11-1447</t>
        </r>
      </text>
    </comment>
    <comment ref="O89" authorId="0" shapeId="0" xr:uid="{2CE18A20-2DB4-4FA0-AB6B-DE8A772D5019}">
      <text>
        <r>
          <rPr>
            <b/>
            <sz val="9"/>
            <color indexed="81"/>
            <rFont val="Tahoma"/>
            <charset val="178"/>
          </rPr>
          <t>Akram Pc:</t>
        </r>
        <r>
          <rPr>
            <sz val="9"/>
            <color indexed="81"/>
            <rFont val="Tahoma"/>
            <charset val="178"/>
          </rPr>
          <t xml:space="preserve">
بطاريات</t>
        </r>
      </text>
    </comment>
    <comment ref="P89" authorId="0" shapeId="0" xr:uid="{8A094E38-CEC5-4CBA-B655-5ED3C78AB0A0}">
      <text>
        <r>
          <rPr>
            <b/>
            <sz val="9"/>
            <color indexed="81"/>
            <rFont val="Tahoma"/>
            <charset val="178"/>
          </rPr>
          <t>Akram Pc:</t>
        </r>
        <r>
          <rPr>
            <sz val="9"/>
            <color indexed="81"/>
            <rFont val="Tahoma"/>
            <charset val="178"/>
          </rPr>
          <t xml:space="preserve">
9-3-1447</t>
        </r>
      </text>
    </comment>
    <comment ref="O106" authorId="0" shapeId="0" xr:uid="{6059A26A-B188-4130-95CA-A50E2F1DDF87}">
      <text>
        <r>
          <rPr>
            <b/>
            <sz val="9"/>
            <color indexed="81"/>
            <rFont val="Tahoma"/>
            <family val="2"/>
          </rPr>
          <t>Akram Pc:</t>
        </r>
        <r>
          <rPr>
            <sz val="9"/>
            <color indexed="81"/>
            <rFont val="Tahoma"/>
            <family val="2"/>
          </rPr>
          <t xml:space="preserve">
تهريب خزانات الهواء + بنشر الكفر الخلفي + عدم تجاوب القير للنمر</t>
        </r>
      </text>
    </comment>
    <comment ref="P106" authorId="0" shapeId="0" xr:uid="{FB59F7EA-3038-4AA9-9E47-3D20B4099864}">
      <text>
        <r>
          <rPr>
            <b/>
            <sz val="9"/>
            <color indexed="81"/>
            <rFont val="Tahoma"/>
            <family val="2"/>
          </rPr>
          <t>Akram Pc:</t>
        </r>
        <r>
          <rPr>
            <sz val="9"/>
            <color indexed="81"/>
            <rFont val="Tahoma"/>
            <family val="2"/>
          </rPr>
          <t xml:space="preserve">
23-2-1447 - 16-12-1447 + 28-12-1447</t>
        </r>
      </text>
    </comment>
    <comment ref="Q106" authorId="0" shapeId="0" xr:uid="{ECB11356-D311-430C-8118-C0E80C8CACA0}">
      <text>
        <r>
          <rPr>
            <b/>
            <sz val="9"/>
            <color indexed="81"/>
            <rFont val="Tahoma"/>
            <charset val="178"/>
          </rPr>
          <t>Akram Pc:</t>
        </r>
        <r>
          <rPr>
            <sz val="9"/>
            <color indexed="81"/>
            <rFont val="Tahoma"/>
            <charset val="178"/>
          </rPr>
          <t xml:space="preserve">
13-11-1447 + 18-12-1447</t>
        </r>
      </text>
    </comment>
    <comment ref="O114" authorId="0" shapeId="0" xr:uid="{911C4C27-A789-4B8A-9B59-44BD7A0A5C9B}">
      <text>
        <r>
          <rPr>
            <b/>
            <sz val="9"/>
            <color indexed="81"/>
            <rFont val="Tahoma"/>
            <charset val="178"/>
          </rPr>
          <t>Akram Pc:</t>
        </r>
        <r>
          <rPr>
            <sz val="9"/>
            <color indexed="81"/>
            <rFont val="Tahoma"/>
            <charset val="178"/>
          </rPr>
          <t xml:space="preserve">
الالية تطفي اثناء السير - كهرباء + الفرامل  - تهريب زيت </t>
        </r>
      </text>
    </comment>
    <comment ref="P114" authorId="0" shapeId="0" xr:uid="{774DA5FA-00F4-4334-B132-86BEB7B302FB}">
      <text>
        <r>
          <rPr>
            <b/>
            <sz val="9"/>
            <color indexed="81"/>
            <rFont val="Tahoma"/>
            <family val="2"/>
          </rPr>
          <t>Akram Pc:</t>
        </r>
        <r>
          <rPr>
            <sz val="9"/>
            <color indexed="81"/>
            <rFont val="Tahoma"/>
            <family val="2"/>
          </rPr>
          <t xml:space="preserve">
19-7-1447 - 22-1-1448</t>
        </r>
      </text>
    </comment>
    <comment ref="Q114" authorId="0" shapeId="0" xr:uid="{F2252F12-8E6C-42D2-B454-A58F7BE1A1E6}">
      <text>
        <r>
          <rPr>
            <b/>
            <sz val="9"/>
            <color indexed="81"/>
            <rFont val="Tahoma"/>
            <family val="2"/>
          </rPr>
          <t>Akram Pc:</t>
        </r>
        <r>
          <rPr>
            <sz val="9"/>
            <color indexed="81"/>
            <rFont val="Tahoma"/>
            <family val="2"/>
          </rPr>
          <t xml:space="preserve">
21-1-1448</t>
        </r>
      </text>
    </comment>
    <comment ref="O115" authorId="0" shapeId="0" xr:uid="{2AFDF43B-B8C3-48E5-A067-27E9707865D3}">
      <text>
        <r>
          <rPr>
            <b/>
            <sz val="9"/>
            <color indexed="81"/>
            <rFont val="Tahoma"/>
            <charset val="178"/>
          </rPr>
          <t>Akram Pc:</t>
        </r>
        <r>
          <rPr>
            <sz val="9"/>
            <color indexed="81"/>
            <rFont val="Tahoma"/>
            <charset val="178"/>
          </rPr>
          <t xml:space="preserve">
عطل بالقير</t>
        </r>
      </text>
    </comment>
    <comment ref="P115" authorId="0" shapeId="0" xr:uid="{14616ADE-F431-42DE-9F13-4F8824E305FF}">
      <text>
        <r>
          <rPr>
            <b/>
            <sz val="9"/>
            <color indexed="81"/>
            <rFont val="Tahoma"/>
            <charset val="178"/>
          </rPr>
          <t>Akram Pc:</t>
        </r>
        <r>
          <rPr>
            <sz val="9"/>
            <color indexed="81"/>
            <rFont val="Tahoma"/>
            <charset val="178"/>
          </rPr>
          <t xml:space="preserve">
22-9-1447</t>
        </r>
      </text>
    </comment>
    <comment ref="O121" authorId="0" shapeId="0" xr:uid="{FF2667DC-4C6B-4D49-84DC-B4F7ACC5DD46}">
      <text>
        <r>
          <rPr>
            <b/>
            <sz val="9"/>
            <color indexed="81"/>
            <rFont val="Tahoma"/>
            <charset val="178"/>
          </rPr>
          <t>Akram Pc:</t>
        </r>
        <r>
          <rPr>
            <sz val="9"/>
            <color indexed="81"/>
            <rFont val="Tahoma"/>
            <charset val="178"/>
          </rPr>
          <t xml:space="preserve">
تحتاج برمجة + التماس كهربائي يؤدي لفصل الكهرباء تماما - البطاريات تالفة</t>
        </r>
      </text>
    </comment>
    <comment ref="P121" authorId="0" shapeId="0" xr:uid="{54144B83-E27A-4EE0-85B8-E50B461BF5B6}">
      <text>
        <r>
          <rPr>
            <b/>
            <sz val="9"/>
            <color indexed="81"/>
            <rFont val="Tahoma"/>
            <charset val="178"/>
          </rPr>
          <t>Akram Pc:</t>
        </r>
        <r>
          <rPr>
            <sz val="9"/>
            <color indexed="81"/>
            <rFont val="Tahoma"/>
            <charset val="178"/>
          </rPr>
          <t xml:space="preserve">
17-10-1447 + 27-10-1447 - 26-11-1447</t>
        </r>
      </text>
    </comment>
    <comment ref="Q121" authorId="0" shapeId="0" xr:uid="{7E574056-9BD4-4236-BA2B-A86F4863A01B}">
      <text>
        <r>
          <rPr>
            <b/>
            <sz val="9"/>
            <color indexed="81"/>
            <rFont val="Tahoma"/>
            <charset val="178"/>
          </rPr>
          <t>Akram Pc:</t>
        </r>
        <r>
          <rPr>
            <sz val="9"/>
            <color indexed="81"/>
            <rFont val="Tahoma"/>
            <charset val="178"/>
          </rPr>
          <t xml:space="preserve">
21-10-1447 + 27-10-1447</t>
        </r>
      </text>
    </comment>
    <comment ref="O124" authorId="0" shapeId="0" xr:uid="{C49EA0D4-6F49-423C-AB91-9F3CCDB9D843}">
      <text>
        <r>
          <rPr>
            <b/>
            <sz val="9"/>
            <color indexed="81"/>
            <rFont val="Tahoma"/>
            <charset val="178"/>
          </rPr>
          <t>Akram Pc:</t>
        </r>
        <r>
          <rPr>
            <sz val="9"/>
            <color indexed="81"/>
            <rFont val="Tahoma"/>
            <charset val="178"/>
          </rPr>
          <t xml:space="preserve">
عطل في الباكم والدركسون</t>
        </r>
      </text>
    </comment>
    <comment ref="P124" authorId="0" shapeId="0" xr:uid="{061F7D31-60A8-4965-8C1E-EB821321A4D8}">
      <text>
        <r>
          <rPr>
            <b/>
            <sz val="9"/>
            <color indexed="81"/>
            <rFont val="Tahoma"/>
            <charset val="178"/>
          </rPr>
          <t>Akram Pc:</t>
        </r>
        <r>
          <rPr>
            <sz val="9"/>
            <color indexed="81"/>
            <rFont val="Tahoma"/>
            <charset val="178"/>
          </rPr>
          <t xml:space="preserve">
21-2-1446</t>
        </r>
      </text>
    </comment>
    <comment ref="O127" authorId="0" shapeId="0" xr:uid="{9F9AD123-0192-431A-BDAC-E37CC60B2FEE}">
      <text>
        <r>
          <rPr>
            <b/>
            <sz val="9"/>
            <color indexed="81"/>
            <rFont val="Tahoma"/>
            <charset val="178"/>
          </rPr>
          <t>Akram Pc:</t>
        </r>
        <r>
          <rPr>
            <sz val="9"/>
            <color indexed="81"/>
            <rFont val="Tahoma"/>
            <charset val="178"/>
          </rPr>
          <t xml:space="preserve">
بنشر</t>
        </r>
      </text>
    </comment>
    <comment ref="P127" authorId="0" shapeId="0" xr:uid="{EF03C223-435E-4265-8E44-10949A0090CA}">
      <text>
        <r>
          <rPr>
            <b/>
            <sz val="9"/>
            <color indexed="81"/>
            <rFont val="Tahoma"/>
            <charset val="178"/>
          </rPr>
          <t>Akram Pc:</t>
        </r>
        <r>
          <rPr>
            <sz val="9"/>
            <color indexed="81"/>
            <rFont val="Tahoma"/>
            <charset val="178"/>
          </rPr>
          <t xml:space="preserve">
23-10-1447</t>
        </r>
      </text>
    </comment>
    <comment ref="Q127" authorId="0" shapeId="0" xr:uid="{AAD3D27E-74A7-4518-B00C-1FE931BA473E}">
      <text>
        <r>
          <rPr>
            <b/>
            <sz val="9"/>
            <color indexed="81"/>
            <rFont val="Tahoma"/>
            <charset val="178"/>
          </rPr>
          <t>Akram Pc:</t>
        </r>
        <r>
          <rPr>
            <sz val="9"/>
            <color indexed="81"/>
            <rFont val="Tahoma"/>
            <charset val="178"/>
          </rPr>
          <t xml:space="preserve">
19-10-1447 + 19-10-1447</t>
        </r>
      </text>
    </comment>
    <comment ref="Q128" authorId="0" shapeId="0" xr:uid="{9688E492-B139-412B-8EA4-CBC5B63B3FC8}">
      <text>
        <r>
          <rPr>
            <b/>
            <sz val="9"/>
            <color indexed="81"/>
            <rFont val="Tahoma"/>
            <charset val="178"/>
          </rPr>
          <t>Akram Pc:</t>
        </r>
        <r>
          <rPr>
            <sz val="9"/>
            <color indexed="81"/>
            <rFont val="Tahoma"/>
            <charset val="178"/>
          </rPr>
          <t xml:space="preserve">
21-9-1447</t>
        </r>
      </text>
    </comment>
    <comment ref="O130" authorId="0" shapeId="0" xr:uid="{87C01C56-880A-467C-8ECE-CA1ED1E1519C}">
      <text>
        <r>
          <rPr>
            <b/>
            <sz val="9"/>
            <color indexed="81"/>
            <rFont val="Tahoma"/>
            <charset val="178"/>
          </rPr>
          <t>Akram Pc:</t>
        </r>
        <r>
          <rPr>
            <sz val="9"/>
            <color indexed="81"/>
            <rFont val="Tahoma"/>
            <charset val="178"/>
          </rPr>
          <t xml:space="preserve">
عطل بالدينمو</t>
        </r>
      </text>
    </comment>
    <comment ref="P130" authorId="0" shapeId="0" xr:uid="{D17790D0-CEB4-4131-929B-FEDB5099D2AC}">
      <text>
        <r>
          <rPr>
            <b/>
            <sz val="9"/>
            <color indexed="81"/>
            <rFont val="Tahoma"/>
            <charset val="178"/>
          </rPr>
          <t>Akram Pc:</t>
        </r>
        <r>
          <rPr>
            <sz val="9"/>
            <color indexed="81"/>
            <rFont val="Tahoma"/>
            <charset val="178"/>
          </rPr>
          <t xml:space="preserve">
5-10-1447</t>
        </r>
      </text>
    </comment>
    <comment ref="Q130" authorId="0" shapeId="0" xr:uid="{2646520C-63CB-4AA2-A762-89334111D58B}">
      <text>
        <r>
          <rPr>
            <b/>
            <sz val="9"/>
            <color indexed="81"/>
            <rFont val="Tahoma"/>
            <charset val="178"/>
          </rPr>
          <t>Akram Pc:</t>
        </r>
        <r>
          <rPr>
            <sz val="9"/>
            <color indexed="81"/>
            <rFont val="Tahoma"/>
            <charset val="178"/>
          </rPr>
          <t xml:space="preserve">
13-9-1447 + 24-10-1447</t>
        </r>
      </text>
    </comment>
    <comment ref="Q135" authorId="0" shapeId="0" xr:uid="{2DE841B8-203C-4354-A618-2CAE7EAD9279}">
      <text>
        <r>
          <rPr>
            <b/>
            <sz val="9"/>
            <color indexed="81"/>
            <rFont val="Tahoma"/>
            <charset val="178"/>
          </rPr>
          <t>Akram Pc:</t>
        </r>
        <r>
          <rPr>
            <sz val="9"/>
            <color indexed="81"/>
            <rFont val="Tahoma"/>
            <charset val="178"/>
          </rPr>
          <t xml:space="preserve">
7-10-1447</t>
        </r>
      </text>
    </comment>
    <comment ref="O137" authorId="0" shapeId="0" xr:uid="{D84E1331-2B4E-4808-9FBE-BA10FA11E788}">
      <text>
        <r>
          <rPr>
            <b/>
            <sz val="9"/>
            <color indexed="81"/>
            <rFont val="Tahoma"/>
            <charset val="178"/>
          </rPr>
          <t>Akram Pc:</t>
        </r>
        <r>
          <rPr>
            <sz val="9"/>
            <color indexed="81"/>
            <rFont val="Tahoma"/>
            <charset val="178"/>
          </rPr>
          <t xml:space="preserve">
عطل في الهوبات </t>
        </r>
      </text>
    </comment>
    <comment ref="P137" authorId="0" shapeId="0" xr:uid="{D00EC0F1-6C7A-4DE8-8BFD-BB6197CAB791}">
      <text>
        <r>
          <rPr>
            <b/>
            <sz val="9"/>
            <color indexed="81"/>
            <rFont val="Tahoma"/>
            <family val="2"/>
          </rPr>
          <t>Akram Pc:</t>
        </r>
        <r>
          <rPr>
            <sz val="9"/>
            <color indexed="81"/>
            <rFont val="Tahoma"/>
            <family val="2"/>
          </rPr>
          <t xml:space="preserve">
28-1-1446</t>
        </r>
      </text>
    </comment>
    <comment ref="O138" authorId="0" shapeId="0" xr:uid="{4AFDF905-95EF-49E3-95C3-828C54ED4DD1}">
      <text>
        <r>
          <rPr>
            <b/>
            <sz val="9"/>
            <color indexed="81"/>
            <rFont val="Tahoma"/>
            <charset val="178"/>
          </rPr>
          <t>Akram Pc:</t>
        </r>
        <r>
          <rPr>
            <sz val="9"/>
            <color indexed="81"/>
            <rFont val="Tahoma"/>
            <charset val="178"/>
          </rPr>
          <t xml:space="preserve">
اعطال متنوعه</t>
        </r>
      </text>
    </comment>
    <comment ref="P138" authorId="0" shapeId="0" xr:uid="{7D3A5BDD-12BB-46EF-91E2-010B33774507}">
      <text>
        <r>
          <rPr>
            <b/>
            <sz val="9"/>
            <color indexed="81"/>
            <rFont val="Tahoma"/>
            <charset val="178"/>
          </rPr>
          <t>Akram Pc:</t>
        </r>
        <r>
          <rPr>
            <sz val="9"/>
            <color indexed="81"/>
            <rFont val="Tahoma"/>
            <charset val="178"/>
          </rPr>
          <t xml:space="preserve">
23-4-1447</t>
        </r>
      </text>
    </comment>
    <comment ref="O143" authorId="0" shapeId="0" xr:uid="{C80E57A2-A953-4783-8165-2EBA26886AC9}">
      <text>
        <r>
          <rPr>
            <b/>
            <sz val="9"/>
            <color indexed="81"/>
            <rFont val="Tahoma"/>
            <charset val="178"/>
          </rPr>
          <t>Akram Pc:</t>
        </r>
        <r>
          <rPr>
            <sz val="9"/>
            <color indexed="81"/>
            <rFont val="Tahoma"/>
            <charset val="178"/>
          </rPr>
          <t xml:space="preserve">
مساعدات + الرديتر</t>
        </r>
      </text>
    </comment>
    <comment ref="P143" authorId="0" shapeId="0" xr:uid="{AAFA956C-CCBD-443C-8B0B-185299C01281}">
      <text>
        <r>
          <rPr>
            <b/>
            <sz val="9"/>
            <color indexed="81"/>
            <rFont val="Tahoma"/>
            <charset val="178"/>
          </rPr>
          <t>Akram Pc:</t>
        </r>
        <r>
          <rPr>
            <sz val="9"/>
            <color indexed="81"/>
            <rFont val="Tahoma"/>
            <charset val="178"/>
          </rPr>
          <t xml:space="preserve">
2-11-1447</t>
        </r>
      </text>
    </comment>
    <comment ref="Q143" authorId="0" shapeId="0" xr:uid="{FDF9ED78-8056-46E8-B69D-42E68CEECFEA}">
      <text>
        <r>
          <rPr>
            <b/>
            <sz val="9"/>
            <color indexed="81"/>
            <rFont val="Tahoma"/>
            <charset val="178"/>
          </rPr>
          <t>Akram Pc:</t>
        </r>
        <r>
          <rPr>
            <sz val="9"/>
            <color indexed="81"/>
            <rFont val="Tahoma"/>
            <charset val="178"/>
          </rPr>
          <t xml:space="preserve">
22-8-1447</t>
        </r>
      </text>
    </comment>
    <comment ref="O145" authorId="0" shapeId="0" xr:uid="{C0883409-08D2-420B-8633-CCBA0ED7AB0C}">
      <text>
        <r>
          <rPr>
            <b/>
            <sz val="9"/>
            <color indexed="81"/>
            <rFont val="Tahoma"/>
            <charset val="178"/>
          </rPr>
          <t>Akram Pc:</t>
        </r>
        <r>
          <rPr>
            <sz val="9"/>
            <color indexed="81"/>
            <rFont val="Tahoma"/>
            <charset val="178"/>
          </rPr>
          <t xml:space="preserve">
تهريب ماء الرديتر + تهريب موية الاديتر</t>
        </r>
      </text>
    </comment>
    <comment ref="P145" authorId="0" shapeId="0" xr:uid="{3FB8C2A9-7CEE-45F0-8A07-B3A18AEA6E02}">
      <text>
        <r>
          <rPr>
            <b/>
            <sz val="9"/>
            <color indexed="81"/>
            <rFont val="Tahoma"/>
            <charset val="178"/>
          </rPr>
          <t>Akram Pc:</t>
        </r>
        <r>
          <rPr>
            <sz val="9"/>
            <color indexed="81"/>
            <rFont val="Tahoma"/>
            <charset val="178"/>
          </rPr>
          <t xml:space="preserve">
5-5-1447 + 2-11-1447 + 8-11-1447</t>
        </r>
      </text>
    </comment>
    <comment ref="Q145" authorId="0" shapeId="0" xr:uid="{CFA401B4-E772-4828-B54E-C38B9A754509}">
      <text>
        <r>
          <rPr>
            <b/>
            <sz val="9"/>
            <color indexed="81"/>
            <rFont val="Tahoma"/>
            <charset val="178"/>
          </rPr>
          <t>Akram Pc:</t>
        </r>
        <r>
          <rPr>
            <sz val="9"/>
            <color indexed="81"/>
            <rFont val="Tahoma"/>
            <charset val="178"/>
          </rPr>
          <t xml:space="preserve">
8-5-1447</t>
        </r>
      </text>
    </comment>
    <comment ref="O147" authorId="0" shapeId="0" xr:uid="{DBD59DB3-67D8-47D7-A9BA-19C3E6CDCEA2}">
      <text>
        <r>
          <rPr>
            <b/>
            <sz val="9"/>
            <color indexed="81"/>
            <rFont val="Tahoma"/>
            <charset val="178"/>
          </rPr>
          <t>Akram Pc:</t>
        </r>
        <r>
          <rPr>
            <sz val="9"/>
            <color indexed="81"/>
            <rFont val="Tahoma"/>
            <charset val="178"/>
          </rPr>
          <t xml:space="preserve">
تهريب من المكينة</t>
        </r>
      </text>
    </comment>
    <comment ref="P147" authorId="0" shapeId="0" xr:uid="{863736F3-66CF-4EA8-BF47-F79F29718BFB}">
      <text>
        <r>
          <rPr>
            <b/>
            <sz val="9"/>
            <color indexed="81"/>
            <rFont val="Tahoma"/>
            <charset val="178"/>
          </rPr>
          <t>Akram Pc:</t>
        </r>
        <r>
          <rPr>
            <sz val="9"/>
            <color indexed="81"/>
            <rFont val="Tahoma"/>
            <charset val="178"/>
          </rPr>
          <t xml:space="preserve">
8-9-1447</t>
        </r>
      </text>
    </comment>
    <comment ref="O149" authorId="0" shapeId="0" xr:uid="{3827B390-CE4C-4E2E-9C35-A8494A2B09D5}">
      <text>
        <r>
          <rPr>
            <b/>
            <sz val="9"/>
            <color indexed="81"/>
            <rFont val="Tahoma"/>
            <family val="2"/>
          </rPr>
          <t>Akram Pc:</t>
        </r>
        <r>
          <rPr>
            <sz val="9"/>
            <color indexed="81"/>
            <rFont val="Tahoma"/>
            <family val="2"/>
          </rPr>
          <t xml:space="preserve">
تعليق بالدعسه</t>
        </r>
      </text>
    </comment>
    <comment ref="P149" authorId="0" shapeId="0" xr:uid="{B9E3E83E-69DD-4C32-8CEE-FDB2F37E1E0C}">
      <text>
        <r>
          <rPr>
            <b/>
            <sz val="9"/>
            <color indexed="81"/>
            <rFont val="Tahoma"/>
            <family val="2"/>
          </rPr>
          <t>Akram Pc:</t>
        </r>
        <r>
          <rPr>
            <sz val="9"/>
            <color indexed="81"/>
            <rFont val="Tahoma"/>
            <family val="2"/>
          </rPr>
          <t xml:space="preserve">
13-6-1447</t>
        </r>
      </text>
    </comment>
    <comment ref="O160" authorId="0" shapeId="0" xr:uid="{B2561C68-EECF-45D9-8EE6-D8E71E22EA6A}">
      <text>
        <r>
          <rPr>
            <b/>
            <sz val="9"/>
            <color indexed="81"/>
            <rFont val="Tahoma"/>
            <charset val="178"/>
          </rPr>
          <t>Akram Pc:</t>
        </r>
        <r>
          <rPr>
            <sz val="9"/>
            <color indexed="81"/>
            <rFont val="Tahoma"/>
            <charset val="178"/>
          </rPr>
          <t xml:space="preserve">
عطل بلف هواء الفرامل</t>
        </r>
      </text>
    </comment>
    <comment ref="P160" authorId="0" shapeId="0" xr:uid="{43F4B75E-7F2E-4711-BC57-8E41F5CE3716}">
      <text>
        <r>
          <rPr>
            <b/>
            <sz val="9"/>
            <color indexed="81"/>
            <rFont val="Tahoma"/>
            <charset val="178"/>
          </rPr>
          <t>Akram Pc:</t>
        </r>
        <r>
          <rPr>
            <sz val="9"/>
            <color indexed="81"/>
            <rFont val="Tahoma"/>
            <charset val="178"/>
          </rPr>
          <t xml:space="preserve">
7-4-1447</t>
        </r>
      </text>
    </comment>
    <comment ref="O164" authorId="0" shapeId="0" xr:uid="{FCE8370A-39A7-4095-A6C4-6B9441602D4A}">
      <text>
        <r>
          <rPr>
            <b/>
            <sz val="9"/>
            <color indexed="81"/>
            <rFont val="Tahoma"/>
            <charset val="178"/>
          </rPr>
          <t>Akram Pc:</t>
        </r>
        <r>
          <rPr>
            <sz val="9"/>
            <color indexed="81"/>
            <rFont val="Tahoma"/>
            <charset val="178"/>
          </rPr>
          <t xml:space="preserve">
عطل باكم الفرامل الامامي + عدم تعبأة هواء</t>
        </r>
      </text>
    </comment>
    <comment ref="P164" authorId="0" shapeId="0" xr:uid="{ED6E35C9-ED5F-4134-860C-D846C3DD8336}">
      <text>
        <r>
          <rPr>
            <b/>
            <sz val="9"/>
            <color indexed="81"/>
            <rFont val="Tahoma"/>
            <charset val="178"/>
          </rPr>
          <t>Akram Pc:</t>
        </r>
        <r>
          <rPr>
            <sz val="9"/>
            <color indexed="81"/>
            <rFont val="Tahoma"/>
            <charset val="178"/>
          </rPr>
          <t xml:space="preserve">
22-1-1446</t>
        </r>
      </text>
    </comment>
    <comment ref="P166" authorId="0" shapeId="0" xr:uid="{F9617D2D-9973-43D1-B501-41B555FA1460}">
      <text>
        <r>
          <rPr>
            <b/>
            <sz val="9"/>
            <color indexed="81"/>
            <rFont val="Tahoma"/>
            <charset val="178"/>
          </rPr>
          <t>Akram Pc:</t>
        </r>
        <r>
          <rPr>
            <sz val="9"/>
            <color indexed="81"/>
            <rFont val="Tahoma"/>
            <charset val="178"/>
          </rPr>
          <t xml:space="preserve">
14-12-1447</t>
        </r>
      </text>
    </comment>
    <comment ref="Q174" authorId="0" shapeId="0" xr:uid="{23F487F1-CB5B-4CFD-815A-B7B63467475E}">
      <text>
        <r>
          <rPr>
            <b/>
            <sz val="9"/>
            <color indexed="81"/>
            <rFont val="Tahoma"/>
            <charset val="178"/>
          </rPr>
          <t>Akram Pc:</t>
        </r>
        <r>
          <rPr>
            <sz val="9"/>
            <color indexed="81"/>
            <rFont val="Tahoma"/>
            <charset val="178"/>
          </rPr>
          <t xml:space="preserve">
9-9-1447</t>
        </r>
      </text>
    </comment>
    <comment ref="O176" authorId="0" shapeId="0" xr:uid="{DD268E8D-59C1-44FA-8E53-D48C91956D7E}">
      <text>
        <r>
          <rPr>
            <b/>
            <sz val="9"/>
            <color indexed="81"/>
            <rFont val="Tahoma"/>
            <charset val="178"/>
          </rPr>
          <t>Akram Pc:</t>
        </r>
        <r>
          <rPr>
            <sz val="9"/>
            <color indexed="81"/>
            <rFont val="Tahoma"/>
            <charset val="178"/>
          </rPr>
          <t xml:space="preserve">
مساحات + مكيف</t>
        </r>
      </text>
    </comment>
    <comment ref="P176" authorId="0" shapeId="0" xr:uid="{EE4AF4F2-D3CD-4E05-AF37-CF8776C4EE08}">
      <text>
        <r>
          <rPr>
            <b/>
            <sz val="9"/>
            <color indexed="81"/>
            <rFont val="Tahoma"/>
            <charset val="178"/>
          </rPr>
          <t>Akram Pc:</t>
        </r>
        <r>
          <rPr>
            <sz val="9"/>
            <color indexed="81"/>
            <rFont val="Tahoma"/>
            <charset val="178"/>
          </rPr>
          <t xml:space="preserve">
13-10-1447</t>
        </r>
      </text>
    </comment>
    <comment ref="O178" authorId="0" shapeId="0" xr:uid="{C4E73602-19E7-487D-AF8D-9AF391E79037}">
      <text>
        <r>
          <rPr>
            <b/>
            <sz val="9"/>
            <color indexed="81"/>
            <rFont val="Tahoma"/>
            <charset val="178"/>
          </rPr>
          <t>Akram Pc:</t>
        </r>
        <r>
          <rPr>
            <sz val="9"/>
            <color indexed="81"/>
            <rFont val="Tahoma"/>
            <charset val="178"/>
          </rPr>
          <t xml:space="preserve">
باب السائق والراكب لاتغلق </t>
        </r>
      </text>
    </comment>
    <comment ref="P178" authorId="0" shapeId="0" xr:uid="{2448B1B1-B986-4D7D-8881-C372757AD962}">
      <text>
        <r>
          <rPr>
            <b/>
            <sz val="9"/>
            <color indexed="81"/>
            <rFont val="Tahoma"/>
            <charset val="178"/>
          </rPr>
          <t>Akram Pc:</t>
        </r>
        <r>
          <rPr>
            <sz val="9"/>
            <color indexed="81"/>
            <rFont val="Tahoma"/>
            <charset val="178"/>
          </rPr>
          <t xml:space="preserve">
26-11-1447</t>
        </r>
      </text>
    </comment>
    <comment ref="Q178" authorId="0" shapeId="0" xr:uid="{B11D47D3-6AC5-46B0-8B6D-436A4EEDD985}">
      <text>
        <r>
          <rPr>
            <b/>
            <sz val="9"/>
            <color indexed="81"/>
            <rFont val="Tahoma"/>
            <charset val="178"/>
          </rPr>
          <t>Akram Pc:</t>
        </r>
        <r>
          <rPr>
            <sz val="9"/>
            <color indexed="81"/>
            <rFont val="Tahoma"/>
            <charset val="178"/>
          </rPr>
          <t xml:space="preserve">
21-5-1447 + 26-11-1447</t>
        </r>
      </text>
    </comment>
    <comment ref="O186" authorId="0" shapeId="0" xr:uid="{20577CF7-3D8D-4AA3-A460-539D4E419CF1}">
      <text>
        <r>
          <rPr>
            <b/>
            <sz val="9"/>
            <color indexed="81"/>
            <rFont val="Tahoma"/>
            <charset val="178"/>
          </rPr>
          <t>Akram Pc:</t>
        </r>
        <r>
          <rPr>
            <sz val="9"/>
            <color indexed="81"/>
            <rFont val="Tahoma"/>
            <charset val="178"/>
          </rPr>
          <t xml:space="preserve">
تسريب كهرباء</t>
        </r>
      </text>
    </comment>
    <comment ref="P186" authorId="0" shapeId="0" xr:uid="{05F14369-560B-4868-9189-8F2A51795700}">
      <text>
        <r>
          <rPr>
            <b/>
            <sz val="9"/>
            <color indexed="81"/>
            <rFont val="Tahoma"/>
            <charset val="178"/>
          </rPr>
          <t>Akram Pc:</t>
        </r>
        <r>
          <rPr>
            <sz val="9"/>
            <color indexed="81"/>
            <rFont val="Tahoma"/>
            <charset val="178"/>
          </rPr>
          <t xml:space="preserve">
1-1-1448</t>
        </r>
      </text>
    </comment>
    <comment ref="Q186" authorId="0" shapeId="0" xr:uid="{E1908836-A2A4-480D-8DAC-B69CAD86664E}">
      <text>
        <r>
          <rPr>
            <b/>
            <sz val="9"/>
            <color indexed="81"/>
            <rFont val="Tahoma"/>
            <family val="2"/>
          </rPr>
          <t>Akram Pc:</t>
        </r>
        <r>
          <rPr>
            <sz val="9"/>
            <color indexed="81"/>
            <rFont val="Tahoma"/>
            <family val="2"/>
          </rPr>
          <t xml:space="preserve">
22-5-1447</t>
        </r>
      </text>
    </comment>
    <comment ref="O206" authorId="0" shapeId="0" xr:uid="{03D2F1B8-DAB6-435D-B93F-DA85011896F2}">
      <text>
        <r>
          <rPr>
            <b/>
            <sz val="9"/>
            <color indexed="81"/>
            <rFont val="Tahoma"/>
            <charset val="178"/>
          </rPr>
          <t>Akram Pc:</t>
        </r>
        <r>
          <rPr>
            <sz val="9"/>
            <color indexed="81"/>
            <rFont val="Tahoma"/>
            <charset val="178"/>
          </rPr>
          <t xml:space="preserve">
عطل بالذراع + الانارة الامامية</t>
        </r>
      </text>
    </comment>
    <comment ref="P206" authorId="0" shapeId="0" xr:uid="{BFBBD329-7161-4B08-9765-0398F374E6EB}">
      <text>
        <r>
          <rPr>
            <b/>
            <sz val="9"/>
            <color indexed="81"/>
            <rFont val="Tahoma"/>
            <charset val="178"/>
          </rPr>
          <t>Akram Pc:</t>
        </r>
        <r>
          <rPr>
            <sz val="9"/>
            <color indexed="81"/>
            <rFont val="Tahoma"/>
            <charset val="178"/>
          </rPr>
          <t xml:space="preserve">
1-10-1447</t>
        </r>
      </text>
    </comment>
    <comment ref="O218" authorId="0" shapeId="0" xr:uid="{191F23CC-89FF-48F5-9513-D02D8A863E80}">
      <text>
        <r>
          <rPr>
            <b/>
            <sz val="9"/>
            <color indexed="81"/>
            <rFont val="Tahoma"/>
            <family val="2"/>
          </rPr>
          <t>Akram Pc:</t>
        </r>
        <r>
          <rPr>
            <sz val="9"/>
            <color indexed="81"/>
            <rFont val="Tahoma"/>
            <family val="2"/>
          </rPr>
          <t xml:space="preserve">
سير مكينة </t>
        </r>
      </text>
    </comment>
    <comment ref="O222" authorId="0" shapeId="0" xr:uid="{5820134F-4575-4D5E-B1D3-A96C9D046406}">
      <text>
        <r>
          <rPr>
            <b/>
            <sz val="9"/>
            <color indexed="81"/>
            <rFont val="Tahoma"/>
            <charset val="178"/>
          </rPr>
          <t>Akram Pc:</t>
        </r>
        <r>
          <rPr>
            <sz val="9"/>
            <color indexed="81"/>
            <rFont val="Tahoma"/>
            <charset val="178"/>
          </rPr>
          <t xml:space="preserve">
ضعف بالفرامل</t>
        </r>
      </text>
    </comment>
    <comment ref="P222" authorId="0" shapeId="0" xr:uid="{FBBB480A-8F26-46E6-97BF-27EB309E4C23}">
      <text>
        <r>
          <rPr>
            <b/>
            <sz val="9"/>
            <color indexed="81"/>
            <rFont val="Tahoma"/>
            <charset val="178"/>
          </rPr>
          <t>Akram Pc:</t>
        </r>
        <r>
          <rPr>
            <sz val="9"/>
            <color indexed="81"/>
            <rFont val="Tahoma"/>
            <charset val="178"/>
          </rPr>
          <t xml:space="preserve">
12-8-1447</t>
        </r>
      </text>
    </comment>
    <comment ref="P228" authorId="0" shapeId="0" xr:uid="{52866304-A447-48BB-852B-659A1D87E526}">
      <text>
        <r>
          <rPr>
            <b/>
            <sz val="9"/>
            <color indexed="81"/>
            <rFont val="Tahoma"/>
            <charset val="178"/>
          </rPr>
          <t>Akram Pc:</t>
        </r>
        <r>
          <rPr>
            <sz val="9"/>
            <color indexed="81"/>
            <rFont val="Tahoma"/>
            <charset val="178"/>
          </rPr>
          <t xml:space="preserve">
17-12-1447</t>
        </r>
      </text>
    </comment>
    <comment ref="O229" authorId="0" shapeId="0" xr:uid="{DC75B17B-E51A-439E-8F08-8D622583C5B2}">
      <text>
        <r>
          <rPr>
            <b/>
            <sz val="9"/>
            <color indexed="81"/>
            <rFont val="Tahoma"/>
            <charset val="178"/>
          </rPr>
          <t>Akram Pc:</t>
        </r>
        <r>
          <rPr>
            <sz val="9"/>
            <color indexed="81"/>
            <rFont val="Tahoma"/>
            <charset val="178"/>
          </rPr>
          <t xml:space="preserve">
بطارية</t>
        </r>
      </text>
    </comment>
    <comment ref="P229" authorId="0" shapeId="0" xr:uid="{E95D35B1-B6C1-413C-81D7-4946A84DB403}">
      <text>
        <r>
          <rPr>
            <b/>
            <sz val="9"/>
            <color indexed="81"/>
            <rFont val="Tahoma"/>
            <charset val="178"/>
          </rPr>
          <t>Akram Pc:</t>
        </r>
        <r>
          <rPr>
            <sz val="9"/>
            <color indexed="81"/>
            <rFont val="Tahoma"/>
            <charset val="178"/>
          </rPr>
          <t xml:space="preserve">
25-11-1447</t>
        </r>
      </text>
    </comment>
    <comment ref="Q229" authorId="0" shapeId="0" xr:uid="{4EEFF4D4-09E4-4115-88EF-444F63002AAE}">
      <text>
        <r>
          <rPr>
            <b/>
            <sz val="9"/>
            <color indexed="81"/>
            <rFont val="Tahoma"/>
            <family val="2"/>
          </rPr>
          <t>Akram Pc:</t>
        </r>
        <r>
          <rPr>
            <sz val="9"/>
            <color indexed="81"/>
            <rFont val="Tahoma"/>
            <family val="2"/>
          </rPr>
          <t xml:space="preserve">
6-10-1447</t>
        </r>
      </text>
    </comment>
    <comment ref="Q236" authorId="0" shapeId="0" xr:uid="{4CE17905-BBEB-41EB-B0F1-0B6D2484BA27}">
      <text>
        <r>
          <rPr>
            <b/>
            <sz val="9"/>
            <color indexed="81"/>
            <rFont val="Tahoma"/>
            <charset val="178"/>
          </rPr>
          <t>Akram Pc:</t>
        </r>
        <r>
          <rPr>
            <sz val="9"/>
            <color indexed="81"/>
            <rFont val="Tahoma"/>
            <charset val="178"/>
          </rPr>
          <t xml:space="preserve">
7-10-1447</t>
        </r>
      </text>
    </comment>
    <comment ref="Q238" authorId="0" shapeId="0" xr:uid="{A3991D43-CC5A-479B-B216-C02BDF73F367}">
      <text>
        <r>
          <rPr>
            <b/>
            <sz val="9"/>
            <color indexed="81"/>
            <rFont val="Tahoma"/>
            <charset val="178"/>
          </rPr>
          <t>Akram Pc:</t>
        </r>
        <r>
          <rPr>
            <sz val="9"/>
            <color indexed="81"/>
            <rFont val="Tahoma"/>
            <charset val="178"/>
          </rPr>
          <t xml:space="preserve">
15-1-1448</t>
        </r>
      </text>
    </comment>
    <comment ref="P272" authorId="0" shapeId="0" xr:uid="{ABAD4AAC-2C95-4F37-B4FB-F2F318A96E2E}">
      <text>
        <r>
          <rPr>
            <b/>
            <sz val="9"/>
            <color indexed="81"/>
            <rFont val="Tahoma"/>
            <charset val="178"/>
          </rPr>
          <t>Akram Pc:</t>
        </r>
        <r>
          <rPr>
            <sz val="9"/>
            <color indexed="81"/>
            <rFont val="Tahoma"/>
            <charset val="178"/>
          </rPr>
          <t xml:space="preserve">
16-12-1447</t>
        </r>
      </text>
    </comment>
    <comment ref="S321" authorId="0" shapeId="0" xr:uid="{8EC126D3-4FEF-441C-B829-42C1CCDAC49F}">
      <text>
        <r>
          <rPr>
            <b/>
            <sz val="9"/>
            <color indexed="81"/>
            <rFont val="Tahoma"/>
            <charset val="178"/>
          </rPr>
          <t>Akram Pc:</t>
        </r>
        <r>
          <rPr>
            <sz val="9"/>
            <color indexed="81"/>
            <rFont val="Tahoma"/>
            <charset val="178"/>
          </rPr>
          <t xml:space="preserve">
الجهة المتسببة بالعطل التحقيق</t>
        </r>
      </text>
    </comment>
    <comment ref="O336" authorId="0" shapeId="0" xr:uid="{B29E6F1B-A227-4C17-A9A1-899BF0CEA9DD}">
      <text>
        <r>
          <rPr>
            <b/>
            <sz val="9"/>
            <color indexed="81"/>
            <rFont val="Tahoma"/>
            <family val="2"/>
          </rPr>
          <t>Akram Pc:</t>
        </r>
        <r>
          <rPr>
            <sz val="9"/>
            <color indexed="81"/>
            <rFont val="Tahoma"/>
            <family val="2"/>
          </rPr>
          <t xml:space="preserve">
سير مكينة + تقطيع اثناء التشغيل</t>
        </r>
      </text>
    </comment>
    <comment ref="Q336" authorId="0" shapeId="0" xr:uid="{FF299B63-F470-4B20-AE7D-42D1DF6FCCBE}">
      <text>
        <r>
          <rPr>
            <b/>
            <sz val="9"/>
            <color indexed="81"/>
            <rFont val="Tahoma"/>
            <family val="2"/>
          </rPr>
          <t>Akram Pc:</t>
        </r>
        <r>
          <rPr>
            <sz val="9"/>
            <color indexed="81"/>
            <rFont val="Tahoma"/>
            <family val="2"/>
          </rPr>
          <t xml:space="preserve">
3-1-1448</t>
        </r>
      </text>
    </comment>
    <comment ref="O342" authorId="0" shapeId="0" xr:uid="{2414B109-BFF1-465C-BA5B-55AD9A9A88E6}">
      <text>
        <r>
          <rPr>
            <b/>
            <sz val="9"/>
            <color indexed="81"/>
            <rFont val="Tahoma"/>
            <charset val="178"/>
          </rPr>
          <t>Akram Pc:</t>
        </r>
        <r>
          <rPr>
            <sz val="9"/>
            <color indexed="81"/>
            <rFont val="Tahoma"/>
            <charset val="178"/>
          </rPr>
          <t xml:space="preserve">
اعطال متعددة + ارتفاع حرارة</t>
        </r>
      </text>
    </comment>
    <comment ref="P342" authorId="0" shapeId="0" xr:uid="{083B53AC-BC4A-4836-8908-7DCDBAAF9DEC}">
      <text>
        <r>
          <rPr>
            <b/>
            <sz val="9"/>
            <color indexed="81"/>
            <rFont val="Tahoma"/>
            <charset val="178"/>
          </rPr>
          <t>Akram Pc:</t>
        </r>
        <r>
          <rPr>
            <sz val="9"/>
            <color indexed="81"/>
            <rFont val="Tahoma"/>
            <charset val="178"/>
          </rPr>
          <t xml:space="preserve">
9-8-1447</t>
        </r>
      </text>
    </comment>
    <comment ref="O351" authorId="0" shapeId="0" xr:uid="{10F19F75-520C-42B0-B687-BDF7C6929EBE}">
      <text>
        <r>
          <rPr>
            <b/>
            <sz val="9"/>
            <color indexed="81"/>
            <rFont val="Tahoma"/>
            <charset val="178"/>
          </rPr>
          <t>Akram Pc:</t>
        </r>
        <r>
          <rPr>
            <sz val="9"/>
            <color indexed="81"/>
            <rFont val="Tahoma"/>
            <charset val="178"/>
          </rPr>
          <t xml:space="preserve">
لا يقبل التعشيق</t>
        </r>
      </text>
    </comment>
    <comment ref="P351" authorId="0" shapeId="0" xr:uid="{4EAEE05B-9E26-4C0D-91E0-A18ABD8FC545}">
      <text>
        <r>
          <rPr>
            <b/>
            <sz val="9"/>
            <color indexed="81"/>
            <rFont val="Tahoma"/>
            <charset val="178"/>
          </rPr>
          <t>Akram Pc:</t>
        </r>
        <r>
          <rPr>
            <sz val="9"/>
            <color indexed="81"/>
            <rFont val="Tahoma"/>
            <charset val="178"/>
          </rPr>
          <t xml:space="preserve">
23-7-1447</t>
        </r>
      </text>
    </comment>
    <comment ref="Q352" authorId="0" shapeId="0" xr:uid="{D7BDDE45-2648-4958-8CCE-D9F86A563434}">
      <text>
        <r>
          <rPr>
            <b/>
            <sz val="9"/>
            <color indexed="81"/>
            <rFont val="Tahoma"/>
            <family val="2"/>
          </rPr>
          <t>Akram Pc:</t>
        </r>
        <r>
          <rPr>
            <sz val="9"/>
            <color indexed="81"/>
            <rFont val="Tahoma"/>
            <family val="2"/>
          </rPr>
          <t xml:space="preserve">
10-11-1447</t>
        </r>
      </text>
    </comment>
    <comment ref="O353" authorId="0" shapeId="0" xr:uid="{664A2756-EE71-4053-8812-B6981255E29A}">
      <text>
        <r>
          <rPr>
            <b/>
            <sz val="9"/>
            <color indexed="81"/>
            <rFont val="Tahoma"/>
            <charset val="178"/>
          </rPr>
          <t>Akram Pc:</t>
        </r>
        <r>
          <rPr>
            <sz val="9"/>
            <color indexed="81"/>
            <rFont val="Tahoma"/>
            <charset val="178"/>
          </rPr>
          <t xml:space="preserve">
عطل بالمحرك</t>
        </r>
      </text>
    </comment>
    <comment ref="P353" authorId="0" shapeId="0" xr:uid="{71936B3C-E0F3-45A5-92CB-8290F38C6358}">
      <text>
        <r>
          <rPr>
            <b/>
            <sz val="9"/>
            <color indexed="81"/>
            <rFont val="Tahoma"/>
            <charset val="178"/>
          </rPr>
          <t>Akram Pc:</t>
        </r>
        <r>
          <rPr>
            <sz val="9"/>
            <color indexed="81"/>
            <rFont val="Tahoma"/>
            <charset val="178"/>
          </rPr>
          <t xml:space="preserve">
2-7-1447</t>
        </r>
      </text>
    </comment>
    <comment ref="Q356" authorId="0" shapeId="0" xr:uid="{38CEBCC0-C946-484B-A99F-2C6FFF02E574}">
      <text>
        <r>
          <rPr>
            <b/>
            <sz val="9"/>
            <color indexed="81"/>
            <rFont val="Tahoma"/>
            <family val="2"/>
          </rPr>
          <t>Akram Pc:</t>
        </r>
        <r>
          <rPr>
            <sz val="9"/>
            <color indexed="81"/>
            <rFont val="Tahoma"/>
            <family val="2"/>
          </rPr>
          <t xml:space="preserve">
10-11-11447</t>
        </r>
      </text>
    </comment>
    <comment ref="O357" authorId="0" shapeId="0" xr:uid="{E39A7DF8-A01B-4996-A541-1D04A7BA7123}">
      <text>
        <r>
          <rPr>
            <b/>
            <sz val="9"/>
            <color indexed="81"/>
            <rFont val="Tahoma"/>
            <charset val="178"/>
          </rPr>
          <t>Akram Pc:</t>
        </r>
        <r>
          <rPr>
            <sz val="9"/>
            <color indexed="81"/>
            <rFont val="Tahoma"/>
            <charset val="178"/>
          </rPr>
          <t xml:space="preserve">
ارتفاع درجة الحرارة</t>
        </r>
      </text>
    </comment>
    <comment ref="P357" authorId="0" shapeId="0" xr:uid="{1BB5A36F-31A8-4465-9C36-F805A307431F}">
      <text>
        <r>
          <rPr>
            <b/>
            <sz val="9"/>
            <color indexed="81"/>
            <rFont val="Tahoma"/>
            <charset val="178"/>
          </rPr>
          <t>Akram Pc:</t>
        </r>
        <r>
          <rPr>
            <sz val="9"/>
            <color indexed="81"/>
            <rFont val="Tahoma"/>
            <charset val="178"/>
          </rPr>
          <t xml:space="preserve">
18-12-1446</t>
        </r>
      </text>
    </comment>
    <comment ref="Q358" authorId="0" shapeId="0" xr:uid="{65E424E3-624C-4470-82E7-ECA319EE56CD}">
      <text>
        <r>
          <rPr>
            <b/>
            <sz val="9"/>
            <color indexed="81"/>
            <rFont val="Tahoma"/>
            <family val="2"/>
          </rPr>
          <t>Akram Pc:</t>
        </r>
        <r>
          <rPr>
            <sz val="9"/>
            <color indexed="81"/>
            <rFont val="Tahoma"/>
            <family val="2"/>
          </rPr>
          <t xml:space="preserve">
27-9-1447</t>
        </r>
      </text>
    </comment>
    <comment ref="O367" authorId="0" shapeId="0" xr:uid="{434F169F-DBF1-47BB-B589-62EE9E58D4D5}">
      <text>
        <r>
          <rPr>
            <b/>
            <sz val="9"/>
            <color indexed="81"/>
            <rFont val="Tahoma"/>
            <family val="2"/>
          </rPr>
          <t>Akram Pc:</t>
        </r>
        <r>
          <rPr>
            <sz val="9"/>
            <color indexed="81"/>
            <rFont val="Tahoma"/>
            <family val="2"/>
          </rPr>
          <t xml:space="preserve">
صحن دسك وكلتش</t>
        </r>
      </text>
    </comment>
    <comment ref="P367" authorId="0" shapeId="0" xr:uid="{501C9F57-8E1F-4384-9640-C1B054804ACD}">
      <text>
        <r>
          <rPr>
            <b/>
            <sz val="9"/>
            <color indexed="81"/>
            <rFont val="Tahoma"/>
            <family val="2"/>
          </rPr>
          <t>Akram Pc:</t>
        </r>
        <r>
          <rPr>
            <sz val="9"/>
            <color indexed="81"/>
            <rFont val="Tahoma"/>
            <family val="2"/>
          </rPr>
          <t xml:space="preserve">
1-8-1447</t>
        </r>
      </text>
    </comment>
    <comment ref="O370" authorId="0" shapeId="0" xr:uid="{E60142EA-E542-4752-B038-746B29DAC456}">
      <text>
        <r>
          <rPr>
            <b/>
            <sz val="9"/>
            <color indexed="81"/>
            <rFont val="Tahoma"/>
            <charset val="178"/>
          </rPr>
          <t>Akram Pc:</t>
        </r>
        <r>
          <rPr>
            <sz val="9"/>
            <color indexed="81"/>
            <rFont val="Tahoma"/>
            <charset val="178"/>
          </rPr>
          <t xml:space="preserve">
علبة الكلتش والبواكم</t>
        </r>
      </text>
    </comment>
    <comment ref="P370" authorId="0" shapeId="0" xr:uid="{5A72E39F-B52A-4116-96FA-CC34D5E8DFCC}">
      <text>
        <r>
          <rPr>
            <b/>
            <sz val="9"/>
            <color indexed="81"/>
            <rFont val="Tahoma"/>
            <charset val="178"/>
          </rPr>
          <t>Akram Pc:</t>
        </r>
        <r>
          <rPr>
            <sz val="9"/>
            <color indexed="81"/>
            <rFont val="Tahoma"/>
            <charset val="178"/>
          </rPr>
          <t xml:space="preserve">
16-8-1447 </t>
        </r>
      </text>
    </comment>
    <comment ref="O373" authorId="0" shapeId="0" xr:uid="{C206A987-779C-4D18-80B9-B113C6E17195}">
      <text>
        <r>
          <rPr>
            <b/>
            <sz val="9"/>
            <color indexed="81"/>
            <rFont val="Tahoma"/>
            <charset val="178"/>
          </rPr>
          <t>Akram Pc:</t>
        </r>
        <r>
          <rPr>
            <sz val="9"/>
            <color indexed="81"/>
            <rFont val="Tahoma"/>
            <charset val="178"/>
          </rPr>
          <t xml:space="preserve">
عطل بالاقمشه والفرامل والهوبات</t>
        </r>
      </text>
    </comment>
    <comment ref="P373" authorId="0" shapeId="0" xr:uid="{2FC48270-A4A9-4901-B57A-3323C2F8FFE1}">
      <text>
        <r>
          <rPr>
            <b/>
            <sz val="9"/>
            <color indexed="81"/>
            <rFont val="Tahoma"/>
            <charset val="178"/>
          </rPr>
          <t>Akram Pc:</t>
        </r>
        <r>
          <rPr>
            <sz val="9"/>
            <color indexed="81"/>
            <rFont val="Tahoma"/>
            <charset val="178"/>
          </rPr>
          <t xml:space="preserve">
29-10-1447</t>
        </r>
      </text>
    </comment>
    <comment ref="Q373" authorId="0" shapeId="0" xr:uid="{1647E5CC-BBE6-4417-8336-2168BE6D5E0E}">
      <text>
        <r>
          <rPr>
            <b/>
            <sz val="9"/>
            <color indexed="81"/>
            <rFont val="Tahoma"/>
            <charset val="178"/>
          </rPr>
          <t>Akram Pc:</t>
        </r>
        <r>
          <rPr>
            <sz val="9"/>
            <color indexed="81"/>
            <rFont val="Tahoma"/>
            <charset val="178"/>
          </rPr>
          <t xml:space="preserve">
10-6-1447</t>
        </r>
      </text>
    </comment>
    <comment ref="O375" authorId="0" shapeId="0" xr:uid="{368707CD-5903-4FE9-802B-773EC5BFF993}">
      <text>
        <r>
          <rPr>
            <b/>
            <sz val="9"/>
            <color indexed="81"/>
            <rFont val="Tahoma"/>
            <charset val="178"/>
          </rPr>
          <t>Akram Pc:</t>
        </r>
        <r>
          <rPr>
            <sz val="9"/>
            <color indexed="81"/>
            <rFont val="Tahoma"/>
            <charset val="178"/>
          </rPr>
          <t xml:space="preserve">
تهريب بنزين من التانكي </t>
        </r>
      </text>
    </comment>
    <comment ref="P375" authorId="0" shapeId="0" xr:uid="{34DFB1E3-8B30-485B-89DB-05EAC4F3A9AD}">
      <text>
        <r>
          <rPr>
            <b/>
            <sz val="9"/>
            <color indexed="81"/>
            <rFont val="Tahoma"/>
            <charset val="178"/>
          </rPr>
          <t>Akram Pc:</t>
        </r>
        <r>
          <rPr>
            <sz val="9"/>
            <color indexed="81"/>
            <rFont val="Tahoma"/>
            <charset val="178"/>
          </rPr>
          <t xml:space="preserve">
26-10-1447</t>
        </r>
      </text>
    </comment>
    <comment ref="Q377" authorId="0" shapeId="0" xr:uid="{76D9C00D-BFF4-47CF-8831-FC6841F2CB3C}">
      <text>
        <r>
          <rPr>
            <b/>
            <sz val="9"/>
            <color indexed="81"/>
            <rFont val="Tahoma"/>
            <charset val="178"/>
          </rPr>
          <t>Akram Pc:</t>
        </r>
        <r>
          <rPr>
            <sz val="9"/>
            <color indexed="81"/>
            <rFont val="Tahoma"/>
            <charset val="178"/>
          </rPr>
          <t xml:space="preserve">
17-10-1447</t>
        </r>
      </text>
    </comment>
    <comment ref="O389" authorId="0" shapeId="0" xr:uid="{75EAA46A-A178-46C1-A415-F823440D0289}">
      <text>
        <r>
          <rPr>
            <b/>
            <sz val="9"/>
            <color indexed="81"/>
            <rFont val="Tahoma"/>
            <charset val="178"/>
          </rPr>
          <t>Akram Pc:</t>
        </r>
        <r>
          <rPr>
            <sz val="9"/>
            <color indexed="81"/>
            <rFont val="Tahoma"/>
            <charset val="178"/>
          </rPr>
          <t xml:space="preserve">
عطل بالفرامل ودبة الشكمان</t>
        </r>
      </text>
    </comment>
    <comment ref="P389" authorId="0" shapeId="0" xr:uid="{CC97B7D3-8AA0-4FFD-B35B-B39F4B75AAF4}">
      <text>
        <r>
          <rPr>
            <b/>
            <sz val="9"/>
            <color indexed="81"/>
            <rFont val="Tahoma"/>
            <charset val="178"/>
          </rPr>
          <t>Akram Pc:</t>
        </r>
        <r>
          <rPr>
            <sz val="9"/>
            <color indexed="81"/>
            <rFont val="Tahoma"/>
            <charset val="178"/>
          </rPr>
          <t xml:space="preserve">
16-7-1447</t>
        </r>
      </text>
    </comment>
    <comment ref="O397" authorId="0" shapeId="0" xr:uid="{1DFF79E0-52EE-4173-8E80-DC69934026FA}">
      <text>
        <r>
          <rPr>
            <b/>
            <sz val="9"/>
            <color indexed="81"/>
            <rFont val="Tahoma"/>
            <charset val="178"/>
          </rPr>
          <t>Akram Pc:</t>
        </r>
        <r>
          <rPr>
            <sz val="9"/>
            <color indexed="81"/>
            <rFont val="Tahoma"/>
            <charset val="178"/>
          </rPr>
          <t xml:space="preserve">
عطل في بستم ذراع اللوبد</t>
        </r>
      </text>
    </comment>
    <comment ref="P397" authorId="0" shapeId="0" xr:uid="{104C94BC-B045-4748-9FAE-06C5B20C05E0}">
      <text>
        <r>
          <rPr>
            <b/>
            <sz val="9"/>
            <color indexed="81"/>
            <rFont val="Tahoma"/>
            <charset val="178"/>
          </rPr>
          <t>Akram Pc:</t>
        </r>
        <r>
          <rPr>
            <sz val="9"/>
            <color indexed="81"/>
            <rFont val="Tahoma"/>
            <charset val="178"/>
          </rPr>
          <t xml:space="preserve">
4-3-1447</t>
        </r>
      </text>
    </comment>
    <comment ref="O399" authorId="0" shapeId="0" xr:uid="{857E9B83-C062-4F9D-BE71-2756F8D92B0F}">
      <text>
        <r>
          <rPr>
            <b/>
            <sz val="9"/>
            <color indexed="81"/>
            <rFont val="Tahoma"/>
            <family val="2"/>
          </rPr>
          <t>Akram Pc:</t>
        </r>
        <r>
          <rPr>
            <sz val="9"/>
            <color indexed="81"/>
            <rFont val="Tahoma"/>
            <family val="2"/>
          </rPr>
          <t xml:space="preserve">
الجربوكس </t>
        </r>
      </text>
    </comment>
    <comment ref="P399" authorId="0" shapeId="0" xr:uid="{004DC462-9767-4121-A898-95BBEF454713}">
      <text>
        <r>
          <rPr>
            <b/>
            <sz val="9"/>
            <color indexed="81"/>
            <rFont val="Tahoma"/>
            <family val="2"/>
          </rPr>
          <t>Akram Pc:</t>
        </r>
        <r>
          <rPr>
            <sz val="9"/>
            <color indexed="81"/>
            <rFont val="Tahoma"/>
            <family val="2"/>
          </rPr>
          <t xml:space="preserve">
14-11-1447</t>
        </r>
      </text>
    </comment>
    <comment ref="Q400" authorId="0" shapeId="0" xr:uid="{3BC854BD-36DC-4CC2-81BA-EBAFB81F584D}">
      <text>
        <r>
          <rPr>
            <b/>
            <sz val="9"/>
            <color indexed="81"/>
            <rFont val="Tahoma"/>
            <charset val="178"/>
          </rPr>
          <t>Akram Pc:</t>
        </r>
        <r>
          <rPr>
            <sz val="9"/>
            <color indexed="81"/>
            <rFont val="Tahoma"/>
            <charset val="178"/>
          </rPr>
          <t xml:space="preserve">
29-7-1447</t>
        </r>
      </text>
    </comment>
    <comment ref="O406" authorId="0" shapeId="0" xr:uid="{2977AE9D-8EE5-490A-892D-6571C804E48B}">
      <text>
        <r>
          <rPr>
            <b/>
            <sz val="9"/>
            <color indexed="81"/>
            <rFont val="Tahoma"/>
            <family val="2"/>
          </rPr>
          <t>Akram Pc:</t>
        </r>
        <r>
          <rPr>
            <sz val="9"/>
            <color indexed="81"/>
            <rFont val="Tahoma"/>
            <family val="2"/>
          </rPr>
          <t xml:space="preserve">
عطل في الكمبيوتر</t>
        </r>
      </text>
    </comment>
    <comment ref="P406" authorId="0" shapeId="0" xr:uid="{AFDD50CB-E255-40D2-BD6A-08B050E5397C}">
      <text>
        <r>
          <rPr>
            <b/>
            <sz val="9"/>
            <color indexed="81"/>
            <rFont val="Tahoma"/>
            <family val="2"/>
          </rPr>
          <t>Akram Pc:</t>
        </r>
        <r>
          <rPr>
            <sz val="9"/>
            <color indexed="81"/>
            <rFont val="Tahoma"/>
            <family val="2"/>
          </rPr>
          <t xml:space="preserve">
28-10-1447</t>
        </r>
      </text>
    </comment>
    <comment ref="O410" authorId="0" shapeId="0" xr:uid="{9EEB29DB-AC3C-4154-B975-D51AD99CCB42}">
      <text>
        <r>
          <rPr>
            <b/>
            <sz val="9"/>
            <color indexed="81"/>
            <rFont val="Tahoma"/>
            <family val="2"/>
          </rPr>
          <t>Akram Pc:</t>
        </r>
        <r>
          <rPr>
            <sz val="9"/>
            <color indexed="81"/>
            <rFont val="Tahoma"/>
            <family val="2"/>
          </rPr>
          <t xml:space="preserve">
تنسيم داخل الطبلون</t>
        </r>
      </text>
    </comment>
    <comment ref="P410" authorId="0" shapeId="0" xr:uid="{021A7B6C-8497-427C-8929-95A7357EBE17}">
      <text>
        <r>
          <rPr>
            <b/>
            <sz val="9"/>
            <color indexed="81"/>
            <rFont val="Tahoma"/>
            <family val="2"/>
          </rPr>
          <t>Akram Pc:</t>
        </r>
        <r>
          <rPr>
            <sz val="9"/>
            <color indexed="81"/>
            <rFont val="Tahoma"/>
            <family val="2"/>
          </rPr>
          <t xml:space="preserve">
14-8-1447</t>
        </r>
      </text>
    </comment>
    <comment ref="O411" authorId="0" shapeId="0" xr:uid="{BB7F1BAA-4CF5-44C4-BC04-AFAAC693550E}">
      <text>
        <r>
          <rPr>
            <b/>
            <sz val="9"/>
            <color indexed="81"/>
            <rFont val="Tahoma"/>
            <family val="2"/>
          </rPr>
          <t>Akram Pc:</t>
        </r>
        <r>
          <rPr>
            <sz val="9"/>
            <color indexed="81"/>
            <rFont val="Tahoma"/>
            <family val="2"/>
          </rPr>
          <t xml:space="preserve">
تهريب في خرطوم زيت المضخة + حساس السلم</t>
        </r>
      </text>
    </comment>
    <comment ref="P411" authorId="0" shapeId="0" xr:uid="{2C30D79B-C65A-4B85-8B42-15C3EDDE3518}">
      <text>
        <r>
          <rPr>
            <b/>
            <sz val="9"/>
            <color indexed="81"/>
            <rFont val="Tahoma"/>
            <family val="2"/>
          </rPr>
          <t>Akram Pc:</t>
        </r>
        <r>
          <rPr>
            <sz val="9"/>
            <color indexed="81"/>
            <rFont val="Tahoma"/>
            <family val="2"/>
          </rPr>
          <t xml:space="preserve">
12-10-1447</t>
        </r>
      </text>
    </comment>
    <comment ref="P433" authorId="0" shapeId="0" xr:uid="{CEA3D387-9510-497E-B573-B62BAD3C0091}">
      <text>
        <r>
          <rPr>
            <b/>
            <sz val="9"/>
            <color indexed="81"/>
            <rFont val="Tahoma"/>
            <family val="2"/>
          </rPr>
          <t>Akram Pc:</t>
        </r>
        <r>
          <rPr>
            <sz val="9"/>
            <color indexed="81"/>
            <rFont val="Tahoma"/>
            <family val="2"/>
          </rPr>
          <t xml:space="preserve">
2-7-1447</t>
        </r>
      </text>
    </comment>
    <comment ref="P441" authorId="0" shapeId="0" xr:uid="{6CCDB281-895B-47C0-B6F4-F6720501E9CE}">
      <text>
        <r>
          <rPr>
            <b/>
            <sz val="9"/>
            <color indexed="81"/>
            <rFont val="Tahoma"/>
            <charset val="178"/>
          </rPr>
          <t>Akram Pc:</t>
        </r>
        <r>
          <rPr>
            <sz val="9"/>
            <color indexed="81"/>
            <rFont val="Tahoma"/>
            <charset val="178"/>
          </rPr>
          <t xml:space="preserve">
5-11-1447</t>
        </r>
      </text>
    </comment>
    <comment ref="P451" authorId="0" shapeId="0" xr:uid="{70B9FF22-830D-4EE4-A159-1F50C0E26471}">
      <text>
        <r>
          <rPr>
            <b/>
            <sz val="9"/>
            <color indexed="81"/>
            <rFont val="Tahoma"/>
            <charset val="178"/>
          </rPr>
          <t>Akram Pc:</t>
        </r>
        <r>
          <rPr>
            <sz val="9"/>
            <color indexed="81"/>
            <rFont val="Tahoma"/>
            <charset val="178"/>
          </rPr>
          <t xml:space="preserve">
23-11-1447</t>
        </r>
      </text>
    </comment>
    <comment ref="Q451" authorId="0" shapeId="0" xr:uid="{B26ABA80-10E6-4E5E-B738-865097455117}">
      <text>
        <r>
          <rPr>
            <b/>
            <sz val="9"/>
            <color indexed="81"/>
            <rFont val="Tahoma"/>
            <family val="2"/>
          </rPr>
          <t>Akram Pc:</t>
        </r>
        <r>
          <rPr>
            <sz val="9"/>
            <color indexed="81"/>
            <rFont val="Tahoma"/>
            <family val="2"/>
          </rPr>
          <t xml:space="preserve">
3-12-1447</t>
        </r>
      </text>
    </comment>
    <comment ref="O464" authorId="0" shapeId="0" xr:uid="{1FCC922E-1D51-4156-B411-9B0BB7E12C3F}">
      <text>
        <r>
          <rPr>
            <b/>
            <sz val="9"/>
            <color indexed="81"/>
            <rFont val="Tahoma"/>
            <charset val="178"/>
          </rPr>
          <t>Akram Pc:</t>
        </r>
        <r>
          <rPr>
            <sz val="9"/>
            <color indexed="81"/>
            <rFont val="Tahoma"/>
            <charset val="178"/>
          </rPr>
          <t xml:space="preserve">
بلف الهواء</t>
        </r>
      </text>
    </comment>
    <comment ref="P464" authorId="0" shapeId="0" xr:uid="{A513B003-1C86-41C1-8525-C00D7C5864CF}">
      <text>
        <r>
          <rPr>
            <b/>
            <sz val="9"/>
            <color indexed="81"/>
            <rFont val="Tahoma"/>
            <charset val="178"/>
          </rPr>
          <t>Akram Pc:</t>
        </r>
        <r>
          <rPr>
            <sz val="9"/>
            <color indexed="81"/>
            <rFont val="Tahoma"/>
            <charset val="178"/>
          </rPr>
          <t xml:space="preserve">
24-10-1447</t>
        </r>
      </text>
    </comment>
    <comment ref="Q464" authorId="0" shapeId="0" xr:uid="{9EFF6D03-BE9A-4458-98E0-C7354F67FE10}">
      <text>
        <r>
          <rPr>
            <b/>
            <sz val="9"/>
            <color indexed="81"/>
            <rFont val="Tahoma"/>
            <charset val="178"/>
          </rPr>
          <t>Akram Pc:</t>
        </r>
        <r>
          <rPr>
            <sz val="9"/>
            <color indexed="81"/>
            <rFont val="Tahoma"/>
            <charset val="178"/>
          </rPr>
          <t xml:space="preserve">
20-10-1447</t>
        </r>
      </text>
    </comment>
    <comment ref="O470" authorId="0" shapeId="0" xr:uid="{6126ABBF-0B4D-4B28-8D3C-DB0F3D4FF430}">
      <text>
        <r>
          <rPr>
            <b/>
            <sz val="9"/>
            <color indexed="81"/>
            <rFont val="Tahoma"/>
            <charset val="178"/>
          </rPr>
          <t>Akram Pc:</t>
        </r>
        <r>
          <rPr>
            <sz val="9"/>
            <color indexed="81"/>
            <rFont val="Tahoma"/>
            <charset val="178"/>
          </rPr>
          <t xml:space="preserve">
قاعدة البوم</t>
        </r>
      </text>
    </comment>
    <comment ref="P470" authorId="0" shapeId="0" xr:uid="{972A0628-29CA-4C0E-8DB7-3911C6EE7481}">
      <text>
        <r>
          <rPr>
            <b/>
            <sz val="9"/>
            <color indexed="81"/>
            <rFont val="Tahoma"/>
            <charset val="178"/>
          </rPr>
          <t>Akram Pc:</t>
        </r>
        <r>
          <rPr>
            <sz val="9"/>
            <color indexed="81"/>
            <rFont val="Tahoma"/>
            <charset val="178"/>
          </rPr>
          <t xml:space="preserve">
24-7-1447</t>
        </r>
      </text>
    </comment>
    <comment ref="O477" authorId="0" shapeId="0" xr:uid="{C22481BA-CD71-4B3F-A7CC-2318D1363A69}">
      <text>
        <r>
          <rPr>
            <b/>
            <sz val="9"/>
            <color indexed="81"/>
            <rFont val="Tahoma"/>
            <charset val="178"/>
          </rPr>
          <t>Akram Pc:</t>
        </r>
        <r>
          <rPr>
            <sz val="9"/>
            <color indexed="81"/>
            <rFont val="Tahoma"/>
            <charset val="178"/>
          </rPr>
          <t xml:space="preserve">
بنسات الدنقل+الفرامل+عداد الديزل - كفرات متهالكة</t>
        </r>
      </text>
    </comment>
    <comment ref="P477" authorId="0" shapeId="0" xr:uid="{FA45BFDC-3180-41F2-B84D-F391AE256BA3}">
      <text>
        <r>
          <rPr>
            <b/>
            <sz val="9"/>
            <color indexed="81"/>
            <rFont val="Tahoma"/>
            <charset val="178"/>
          </rPr>
          <t>Akram Pc:</t>
        </r>
        <r>
          <rPr>
            <sz val="9"/>
            <color indexed="81"/>
            <rFont val="Tahoma"/>
            <charset val="178"/>
          </rPr>
          <t xml:space="preserve">
29-5-1447 - 5-12-1447</t>
        </r>
      </text>
    </comment>
    <comment ref="Q477" authorId="0" shapeId="0" xr:uid="{46154033-659B-4ECA-AF35-D3E24C797DAB}">
      <text>
        <r>
          <rPr>
            <b/>
            <sz val="9"/>
            <color indexed="81"/>
            <rFont val="Tahoma"/>
            <charset val="178"/>
          </rPr>
          <t>Akram Pc:</t>
        </r>
        <r>
          <rPr>
            <sz val="9"/>
            <color indexed="81"/>
            <rFont val="Tahoma"/>
            <charset val="178"/>
          </rPr>
          <t xml:space="preserve">
5-12-1447 - </t>
        </r>
      </text>
    </comment>
    <comment ref="Q479" authorId="0" shapeId="0" xr:uid="{C77107F4-0E3C-4F98-9FCF-DE2EDAFBC2AB}">
      <text>
        <r>
          <rPr>
            <b/>
            <sz val="9"/>
            <color indexed="81"/>
            <rFont val="Tahoma"/>
            <charset val="178"/>
          </rPr>
          <t>Akram Pc:</t>
        </r>
        <r>
          <rPr>
            <sz val="9"/>
            <color indexed="81"/>
            <rFont val="Tahoma"/>
            <charset val="178"/>
          </rPr>
          <t xml:space="preserve">
22-9-1447</t>
        </r>
      </text>
    </comment>
    <comment ref="O481" authorId="0" shapeId="0" xr:uid="{AB00BF54-C459-4140-A111-DF964BB9CE68}">
      <text>
        <r>
          <rPr>
            <b/>
            <sz val="9"/>
            <color indexed="81"/>
            <rFont val="Tahoma"/>
            <charset val="178"/>
          </rPr>
          <t>Akram Pc:</t>
        </r>
        <r>
          <rPr>
            <sz val="9"/>
            <color indexed="81"/>
            <rFont val="Tahoma"/>
            <charset val="178"/>
          </rPr>
          <t xml:space="preserve">
انفجار الكفر وحدوث تلفيات واعطال </t>
        </r>
      </text>
    </comment>
    <comment ref="P481" authorId="0" shapeId="0" xr:uid="{18D10CD9-24C2-420D-A396-8FEB028E6A40}">
      <text>
        <r>
          <rPr>
            <b/>
            <sz val="9"/>
            <color indexed="81"/>
            <rFont val="Tahoma"/>
            <charset val="178"/>
          </rPr>
          <t>Akram Pc:</t>
        </r>
        <r>
          <rPr>
            <sz val="9"/>
            <color indexed="81"/>
            <rFont val="Tahoma"/>
            <charset val="178"/>
          </rPr>
          <t xml:space="preserve">
انفجار الكفر وحدوث تلفيات واعطال </t>
        </r>
      </text>
    </comment>
    <comment ref="Q483" authorId="0" shapeId="0" xr:uid="{74A1E4C9-5B25-4BDE-84B7-371CBA842B65}">
      <text>
        <r>
          <rPr>
            <b/>
            <sz val="9"/>
            <color indexed="81"/>
            <rFont val="Tahoma"/>
            <family val="2"/>
          </rPr>
          <t>Akram Pc:</t>
        </r>
        <r>
          <rPr>
            <sz val="9"/>
            <color indexed="81"/>
            <rFont val="Tahoma"/>
            <family val="2"/>
          </rPr>
          <t xml:space="preserve">
18-10-1447</t>
        </r>
      </text>
    </comment>
    <comment ref="O485" authorId="0" shapeId="0" xr:uid="{C4A4109C-96C8-4B6C-9132-3D49A6F4C250}">
      <text>
        <r>
          <rPr>
            <b/>
            <sz val="9"/>
            <color indexed="81"/>
            <rFont val="Tahoma"/>
            <charset val="178"/>
          </rPr>
          <t>Akram Pc:</t>
        </r>
        <r>
          <rPr>
            <sz val="9"/>
            <color indexed="81"/>
            <rFont val="Tahoma"/>
            <charset val="178"/>
          </rPr>
          <t xml:space="preserve">
</t>
        </r>
        <r>
          <rPr>
            <b/>
            <sz val="9"/>
            <color indexed="81"/>
            <rFont val="Tahoma"/>
            <family val="2"/>
          </rPr>
          <t>المضخة</t>
        </r>
      </text>
    </comment>
    <comment ref="O486" authorId="0" shapeId="0" xr:uid="{1AE6B26D-94F9-403D-A0A9-D91FDAC471C3}">
      <text>
        <r>
          <rPr>
            <b/>
            <sz val="9"/>
            <color indexed="81"/>
            <rFont val="Tahoma"/>
            <charset val="178"/>
          </rPr>
          <t>Akram Pc:</t>
        </r>
        <r>
          <rPr>
            <sz val="9"/>
            <color indexed="81"/>
            <rFont val="Tahoma"/>
            <charset val="178"/>
          </rPr>
          <t xml:space="preserve">
كسر في محبس المياه الايسر</t>
        </r>
      </text>
    </comment>
    <comment ref="P486" authorId="0" shapeId="0" xr:uid="{EB8E08D1-3BB3-4089-BCF5-6455A9B25039}">
      <text>
        <r>
          <rPr>
            <b/>
            <sz val="9"/>
            <color indexed="81"/>
            <rFont val="Tahoma"/>
            <charset val="178"/>
          </rPr>
          <t>Akram Pc:</t>
        </r>
        <r>
          <rPr>
            <sz val="9"/>
            <color indexed="81"/>
            <rFont val="Tahoma"/>
            <charset val="178"/>
          </rPr>
          <t xml:space="preserve">
29-10-1447</t>
        </r>
      </text>
    </comment>
    <comment ref="Q486" authorId="0" shapeId="0" xr:uid="{4F983506-6B60-4AC4-9748-18483B3E6AFE}">
      <text>
        <r>
          <rPr>
            <b/>
            <sz val="9"/>
            <color indexed="81"/>
            <rFont val="Tahoma"/>
            <charset val="178"/>
          </rPr>
          <t>Akram Pc:</t>
        </r>
        <r>
          <rPr>
            <sz val="9"/>
            <color indexed="81"/>
            <rFont val="Tahoma"/>
            <charset val="178"/>
          </rPr>
          <t xml:space="preserve">
25-6-1447 - 3-11-1447</t>
        </r>
      </text>
    </comment>
    <comment ref="O487" authorId="0" shapeId="0" xr:uid="{420294CE-B6B6-40FC-8CA1-0CB2E7520631}">
      <text>
        <r>
          <rPr>
            <b/>
            <sz val="9"/>
            <color indexed="81"/>
            <rFont val="Tahoma"/>
            <family val="2"/>
          </rPr>
          <t>Akram Pc:</t>
        </r>
        <r>
          <rPr>
            <sz val="9"/>
            <color indexed="81"/>
            <rFont val="Tahoma"/>
            <family val="2"/>
          </rPr>
          <t xml:space="preserve">
تهريب بالتانكي + تهريب المضخة + صدأ</t>
        </r>
      </text>
    </comment>
    <comment ref="Q488" authorId="0" shapeId="0" xr:uid="{812392A2-39D1-4813-9E3D-9069E9D04DF3}">
      <text>
        <r>
          <rPr>
            <b/>
            <sz val="9"/>
            <color indexed="81"/>
            <rFont val="Tahoma"/>
            <charset val="178"/>
          </rPr>
          <t>Akram Pc:</t>
        </r>
        <r>
          <rPr>
            <sz val="9"/>
            <color indexed="81"/>
            <rFont val="Tahoma"/>
            <charset val="178"/>
          </rPr>
          <t xml:space="preserve">
24-8-1447</t>
        </r>
      </text>
    </comment>
    <comment ref="O497" authorId="0" shapeId="0" xr:uid="{9EF7CFB2-8DC4-499D-9FDD-D112C1A28824}">
      <text>
        <r>
          <rPr>
            <b/>
            <sz val="9"/>
            <color indexed="81"/>
            <rFont val="Tahoma"/>
            <charset val="178"/>
          </rPr>
          <t>Akram Pc:</t>
        </r>
        <r>
          <rPr>
            <sz val="9"/>
            <color indexed="81"/>
            <rFont val="Tahoma"/>
            <charset val="178"/>
          </rPr>
          <t xml:space="preserve">
بنشر</t>
        </r>
      </text>
    </comment>
    <comment ref="P497" authorId="0" shapeId="0" xr:uid="{F12A4293-938F-40A0-89DB-69FB429AA559}">
      <text>
        <r>
          <rPr>
            <b/>
            <sz val="9"/>
            <color indexed="81"/>
            <rFont val="Tahoma"/>
            <charset val="178"/>
          </rPr>
          <t>Akram Pc:</t>
        </r>
        <r>
          <rPr>
            <sz val="9"/>
            <color indexed="81"/>
            <rFont val="Tahoma"/>
            <charset val="178"/>
          </rPr>
          <t xml:space="preserve">
23-10-1447 - 18-11-1447 - 5-1-1448</t>
        </r>
      </text>
    </comment>
    <comment ref="Q497" authorId="0" shapeId="0" xr:uid="{6C781F44-A1C1-45AE-9B65-2CA270D6C391}">
      <text>
        <r>
          <rPr>
            <b/>
            <sz val="9"/>
            <color indexed="81"/>
            <rFont val="Tahoma"/>
            <family val="2"/>
          </rPr>
          <t>Akram Pc:</t>
        </r>
        <r>
          <rPr>
            <sz val="9"/>
            <color indexed="81"/>
            <rFont val="Tahoma"/>
            <family val="2"/>
          </rPr>
          <t xml:space="preserve">
23-10-1447 - 21-11-1447 - 11-1-1448</t>
        </r>
      </text>
    </comment>
    <comment ref="Q502" authorId="0" shapeId="0" xr:uid="{6210202F-A1D7-49D3-96F5-861E96A26496}">
      <text>
        <r>
          <rPr>
            <b/>
            <sz val="9"/>
            <color indexed="81"/>
            <rFont val="Tahoma"/>
            <charset val="178"/>
          </rPr>
          <t>Akram Pc:</t>
        </r>
        <r>
          <rPr>
            <sz val="9"/>
            <color indexed="81"/>
            <rFont val="Tahoma"/>
            <charset val="178"/>
          </rPr>
          <t xml:space="preserve">
8-7-1447 - 12-11-1447</t>
        </r>
      </text>
    </comment>
    <comment ref="O505" authorId="0" shapeId="0" xr:uid="{B48A8389-7551-4A77-8CBC-A1E28C12B340}">
      <text>
        <r>
          <rPr>
            <b/>
            <sz val="9"/>
            <color indexed="81"/>
            <rFont val="Tahoma"/>
            <family val="2"/>
          </rPr>
          <t>Akram Pc:</t>
        </r>
        <r>
          <rPr>
            <sz val="9"/>
            <color indexed="81"/>
            <rFont val="Tahoma"/>
            <family val="2"/>
          </rPr>
          <t xml:space="preserve">
الهوبات والاقمشة</t>
        </r>
      </text>
    </comment>
    <comment ref="P505" authorId="0" shapeId="0" xr:uid="{F6EFE953-3ADA-4C9B-94A7-3D70AA83E89B}">
      <text>
        <r>
          <rPr>
            <b/>
            <sz val="9"/>
            <color indexed="81"/>
            <rFont val="Tahoma"/>
            <family val="2"/>
          </rPr>
          <t>Akram Pc:</t>
        </r>
        <r>
          <rPr>
            <sz val="9"/>
            <color indexed="81"/>
            <rFont val="Tahoma"/>
            <family val="2"/>
          </rPr>
          <t xml:space="preserve">
2-12-1447</t>
        </r>
      </text>
    </comment>
    <comment ref="Q505" authorId="0" shapeId="0" xr:uid="{2576218F-DE4C-41FF-91DB-D8A12823AC28}">
      <text>
        <r>
          <rPr>
            <b/>
            <sz val="9"/>
            <color indexed="81"/>
            <rFont val="Tahoma"/>
            <family val="2"/>
          </rPr>
          <t>Akram Pc:</t>
        </r>
        <r>
          <rPr>
            <sz val="9"/>
            <color indexed="81"/>
            <rFont val="Tahoma"/>
            <family val="2"/>
          </rPr>
          <t xml:space="preserve">
23-8-1447</t>
        </r>
      </text>
    </comment>
    <comment ref="P506" authorId="0" shapeId="0" xr:uid="{7225AB60-0E92-47D2-8C21-86F66633FC20}">
      <text>
        <r>
          <rPr>
            <b/>
            <sz val="9"/>
            <color indexed="81"/>
            <rFont val="Tahoma"/>
            <family val="2"/>
          </rPr>
          <t>Akram Pc:</t>
        </r>
        <r>
          <rPr>
            <sz val="9"/>
            <color indexed="81"/>
            <rFont val="Tahoma"/>
            <family val="2"/>
          </rPr>
          <t xml:space="preserve">
26-11-1447</t>
        </r>
      </text>
    </comment>
    <comment ref="Q506" authorId="0" shapeId="0" xr:uid="{156C0AEB-856E-4AF2-B1AF-D454A4F34401}">
      <text>
        <r>
          <rPr>
            <b/>
            <sz val="9"/>
            <color indexed="81"/>
            <rFont val="Tahoma"/>
            <family val="2"/>
          </rPr>
          <t>Akram Pc:</t>
        </r>
        <r>
          <rPr>
            <sz val="9"/>
            <color indexed="81"/>
            <rFont val="Tahoma"/>
            <family val="2"/>
          </rPr>
          <t xml:space="preserve">
21-10-1447</t>
        </r>
      </text>
    </comment>
    <comment ref="O514" authorId="0" shapeId="0" xr:uid="{3A292A4D-ADAB-4140-9B68-A0401B7F9207}">
      <text>
        <r>
          <rPr>
            <b/>
            <sz val="9"/>
            <color indexed="81"/>
            <rFont val="Tahoma"/>
            <charset val="178"/>
          </rPr>
          <t>Akram Pc:</t>
        </r>
        <r>
          <rPr>
            <sz val="9"/>
            <color indexed="81"/>
            <rFont val="Tahoma"/>
            <charset val="178"/>
          </rPr>
          <t xml:space="preserve">
صوت  في سير المكينة</t>
        </r>
      </text>
    </comment>
    <comment ref="P514" authorId="0" shapeId="0" xr:uid="{126B4CF0-440B-4D68-8AAF-190FAFB16C7F}">
      <text>
        <r>
          <rPr>
            <b/>
            <sz val="9"/>
            <color indexed="81"/>
            <rFont val="Tahoma"/>
            <charset val="178"/>
          </rPr>
          <t>Akram Pc:</t>
        </r>
        <r>
          <rPr>
            <sz val="9"/>
            <color indexed="81"/>
            <rFont val="Tahoma"/>
            <charset val="178"/>
          </rPr>
          <t xml:space="preserve">
2-12-1447 + 4-12-1447</t>
        </r>
      </text>
    </comment>
    <comment ref="Q514" authorId="0" shapeId="0" xr:uid="{73AECF17-C3A2-440D-BEA7-839167E27EFC}">
      <text>
        <r>
          <rPr>
            <b/>
            <sz val="9"/>
            <color indexed="81"/>
            <rFont val="Tahoma"/>
            <charset val="178"/>
          </rPr>
          <t>Akram Pc:</t>
        </r>
        <r>
          <rPr>
            <sz val="9"/>
            <color indexed="81"/>
            <rFont val="Tahoma"/>
            <charset val="178"/>
          </rPr>
          <t xml:space="preserve">
9-9-1447 + 3-12-1447</t>
        </r>
      </text>
    </comment>
    <comment ref="O516" authorId="0" shapeId="0" xr:uid="{6D0E5E70-A8E2-4F9A-BA23-6E456F813B41}">
      <text>
        <r>
          <rPr>
            <b/>
            <sz val="9"/>
            <color indexed="81"/>
            <rFont val="Tahoma"/>
            <charset val="178"/>
          </rPr>
          <t>Akram Pc:</t>
        </r>
        <r>
          <rPr>
            <sz val="9"/>
            <color indexed="81"/>
            <rFont val="Tahoma"/>
            <charset val="178"/>
          </rPr>
          <t xml:space="preserve">
السفتي لايعمل</t>
        </r>
      </text>
    </comment>
    <comment ref="P516" authorId="0" shapeId="0" xr:uid="{A7202833-E224-47AC-8A8B-1AAB92027E76}">
      <text>
        <r>
          <rPr>
            <b/>
            <sz val="9"/>
            <color indexed="81"/>
            <rFont val="Tahoma"/>
            <charset val="178"/>
          </rPr>
          <t>Akram Pc:</t>
        </r>
        <r>
          <rPr>
            <sz val="9"/>
            <color indexed="81"/>
            <rFont val="Tahoma"/>
            <charset val="178"/>
          </rPr>
          <t xml:space="preserve">
24-10-1447</t>
        </r>
      </text>
    </comment>
    <comment ref="O517" authorId="0" shapeId="0" xr:uid="{DDF468B8-3D6B-4427-A4C2-695F7BEAE2A4}">
      <text>
        <r>
          <rPr>
            <b/>
            <sz val="9"/>
            <color indexed="81"/>
            <rFont val="Tahoma"/>
            <charset val="178"/>
          </rPr>
          <t>Akram Pc:</t>
        </r>
        <r>
          <rPr>
            <sz val="9"/>
            <color indexed="81"/>
            <rFont val="Tahoma"/>
            <charset val="178"/>
          </rPr>
          <t xml:space="preserve">
مسامير الكفر + بنشر</t>
        </r>
      </text>
    </comment>
    <comment ref="P517" authorId="0" shapeId="0" xr:uid="{5E857529-AEE2-43CB-BB6B-3E38740694A7}">
      <text>
        <r>
          <rPr>
            <b/>
            <sz val="9"/>
            <color indexed="81"/>
            <rFont val="Tahoma"/>
            <charset val="178"/>
          </rPr>
          <t>Akram Pc:</t>
        </r>
        <r>
          <rPr>
            <sz val="9"/>
            <color indexed="81"/>
            <rFont val="Tahoma"/>
            <charset val="178"/>
          </rPr>
          <t xml:space="preserve">
29-9-1447</t>
        </r>
      </text>
    </comment>
    <comment ref="Q519" authorId="0" shapeId="0" xr:uid="{E69961FA-4B12-4071-A281-17660DF8699D}">
      <text>
        <r>
          <rPr>
            <b/>
            <sz val="9"/>
            <color indexed="81"/>
            <rFont val="Tahoma"/>
            <family val="2"/>
          </rPr>
          <t>Akram Pc:</t>
        </r>
        <r>
          <rPr>
            <sz val="9"/>
            <color indexed="81"/>
            <rFont val="Tahoma"/>
            <family val="2"/>
          </rPr>
          <t xml:space="preserve">
17-10-1447</t>
        </r>
      </text>
    </comment>
    <comment ref="Q521" authorId="0" shapeId="0" xr:uid="{78D072F4-7700-42F3-9089-D83D1E94EF59}">
      <text>
        <r>
          <rPr>
            <b/>
            <sz val="9"/>
            <color indexed="81"/>
            <rFont val="Tahoma"/>
            <charset val="178"/>
          </rPr>
          <t>Akram Pc:</t>
        </r>
        <r>
          <rPr>
            <sz val="9"/>
            <color indexed="81"/>
            <rFont val="Tahoma"/>
            <charset val="178"/>
          </rPr>
          <t xml:space="preserve">
9-3-1447</t>
        </r>
      </text>
    </comment>
    <comment ref="Q523" authorId="0" shapeId="0" xr:uid="{31E4209C-BE38-41C1-9AD3-EB3D079F4503}">
      <text>
        <r>
          <rPr>
            <b/>
            <sz val="9"/>
            <color indexed="81"/>
            <rFont val="Tahoma"/>
            <family val="2"/>
          </rPr>
          <t>Akram Pc:</t>
        </r>
        <r>
          <rPr>
            <sz val="9"/>
            <color indexed="81"/>
            <rFont val="Tahoma"/>
            <family val="2"/>
          </rPr>
          <t xml:space="preserve">
16-8-1447</t>
        </r>
      </text>
    </comment>
    <comment ref="O526" authorId="0" shapeId="0" xr:uid="{AE58BD73-648D-491B-A812-DDF3BC7BF652}">
      <text>
        <r>
          <rPr>
            <b/>
            <sz val="9"/>
            <color indexed="81"/>
            <rFont val="Tahoma"/>
            <charset val="178"/>
          </rPr>
          <t>Akram Pc:</t>
        </r>
        <r>
          <rPr>
            <sz val="9"/>
            <color indexed="81"/>
            <rFont val="Tahoma"/>
            <charset val="178"/>
          </rPr>
          <t xml:space="preserve">
عطل في الاقمشة والهوبات</t>
        </r>
      </text>
    </comment>
    <comment ref="P526" authorId="0" shapeId="0" xr:uid="{4BB86FF3-AEB8-4514-BE5A-E0BE9BCB4F37}">
      <text>
        <r>
          <rPr>
            <b/>
            <sz val="9"/>
            <color indexed="81"/>
            <rFont val="Tahoma"/>
            <charset val="178"/>
          </rPr>
          <t>Akram Pc:</t>
        </r>
        <r>
          <rPr>
            <sz val="9"/>
            <color indexed="81"/>
            <rFont val="Tahoma"/>
            <charset val="178"/>
          </rPr>
          <t xml:space="preserve">
29-8-1447</t>
        </r>
      </text>
    </comment>
    <comment ref="P528" authorId="0" shapeId="0" xr:uid="{398879D2-07CD-4793-A51F-FCF998B3C2DB}">
      <text>
        <r>
          <rPr>
            <b/>
            <sz val="9"/>
            <color indexed="81"/>
            <rFont val="Tahoma"/>
            <charset val="178"/>
          </rPr>
          <t>Akram Pc:</t>
        </r>
        <r>
          <rPr>
            <sz val="9"/>
            <color indexed="81"/>
            <rFont val="Tahoma"/>
            <charset val="178"/>
          </rPr>
          <t xml:space="preserve">
30-9-1447</t>
        </r>
      </text>
    </comment>
    <comment ref="O530" authorId="0" shapeId="0" xr:uid="{BE2C0C8B-D8A1-4EA0-B3B8-92581E8E4BE9}">
      <text>
        <r>
          <rPr>
            <b/>
            <sz val="9"/>
            <color indexed="81"/>
            <rFont val="Tahoma"/>
            <family val="2"/>
          </rPr>
          <t>Akram Pc:</t>
        </r>
        <r>
          <rPr>
            <sz val="9"/>
            <color indexed="81"/>
            <rFont val="Tahoma"/>
            <family val="2"/>
          </rPr>
          <t xml:space="preserve">
عطل ميكانيكي - بنشر ثلاث كفرات</t>
        </r>
      </text>
    </comment>
    <comment ref="P530" authorId="0" shapeId="0" xr:uid="{7FAAF909-D563-4933-A02F-C50A04D5F987}">
      <text>
        <r>
          <rPr>
            <b/>
            <sz val="9"/>
            <color indexed="81"/>
            <rFont val="Tahoma"/>
            <charset val="178"/>
          </rPr>
          <t>Akram Pc:</t>
        </r>
        <r>
          <rPr>
            <sz val="9"/>
            <color indexed="81"/>
            <rFont val="Tahoma"/>
            <charset val="178"/>
          </rPr>
          <t xml:space="preserve">
13-9-1447</t>
        </r>
      </text>
    </comment>
    <comment ref="O532" authorId="0" shapeId="0" xr:uid="{E0E1AF45-0F0A-4085-83AC-CEA250C58C17}">
      <text>
        <r>
          <rPr>
            <b/>
            <sz val="9"/>
            <color indexed="81"/>
            <rFont val="Tahoma"/>
            <charset val="178"/>
          </rPr>
          <t>Akram Pc:</t>
        </r>
        <r>
          <rPr>
            <sz val="9"/>
            <color indexed="81"/>
            <rFont val="Tahoma"/>
            <charset val="178"/>
          </rPr>
          <t xml:space="preserve">
كفرات</t>
        </r>
      </text>
    </comment>
    <comment ref="P532" authorId="0" shapeId="0" xr:uid="{5B1F21ED-1C8A-4505-9446-A719A0226611}">
      <text>
        <r>
          <rPr>
            <b/>
            <sz val="9"/>
            <color indexed="81"/>
            <rFont val="Tahoma"/>
            <charset val="178"/>
          </rPr>
          <t>Akram Pc:</t>
        </r>
        <r>
          <rPr>
            <sz val="9"/>
            <color indexed="81"/>
            <rFont val="Tahoma"/>
            <charset val="178"/>
          </rPr>
          <t xml:space="preserve">
3-9-1447</t>
        </r>
      </text>
    </comment>
    <comment ref="Q532" authorId="0" shapeId="0" xr:uid="{F90EBBA1-2201-4708-80D1-C70306F382E8}">
      <text>
        <r>
          <rPr>
            <b/>
            <sz val="9"/>
            <color indexed="81"/>
            <rFont val="Tahoma"/>
            <charset val="178"/>
          </rPr>
          <t>Akram Pc:</t>
        </r>
        <r>
          <rPr>
            <sz val="9"/>
            <color indexed="81"/>
            <rFont val="Tahoma"/>
            <charset val="178"/>
          </rPr>
          <t xml:space="preserve">
2-9-1447</t>
        </r>
      </text>
    </comment>
    <comment ref="Q533" authorId="0" shapeId="0" xr:uid="{ABEB1E90-DF43-417A-80D3-F12937866280}">
      <text>
        <r>
          <rPr>
            <b/>
            <sz val="9"/>
            <color indexed="81"/>
            <rFont val="Tahoma"/>
            <family val="2"/>
          </rPr>
          <t>Akram Pc:</t>
        </r>
        <r>
          <rPr>
            <sz val="9"/>
            <color indexed="81"/>
            <rFont val="Tahoma"/>
            <family val="2"/>
          </rPr>
          <t xml:space="preserve">
17-10-1447</t>
        </r>
      </text>
    </comment>
    <comment ref="Q535" authorId="0" shapeId="0" xr:uid="{C05303C4-8F97-4CA7-BCBE-9205CDAE401A}">
      <text>
        <r>
          <rPr>
            <b/>
            <sz val="9"/>
            <color indexed="81"/>
            <rFont val="Tahoma"/>
            <charset val="178"/>
          </rPr>
          <t>Akram Pc:</t>
        </r>
        <r>
          <rPr>
            <sz val="9"/>
            <color indexed="81"/>
            <rFont val="Tahoma"/>
            <charset val="178"/>
          </rPr>
          <t xml:space="preserve">
23-8-1447</t>
        </r>
      </text>
    </comment>
    <comment ref="O537" authorId="0" shapeId="0" xr:uid="{74294CCA-9763-43A1-9F1B-2CD58EBBE172}">
      <text>
        <r>
          <rPr>
            <b/>
            <sz val="9"/>
            <color indexed="81"/>
            <rFont val="Tahoma"/>
            <charset val="178"/>
          </rPr>
          <t>Akram Pc:</t>
        </r>
        <r>
          <rPr>
            <sz val="9"/>
            <color indexed="81"/>
            <rFont val="Tahoma"/>
            <charset val="178"/>
          </rPr>
          <t xml:space="preserve">
عطل بالجير</t>
        </r>
      </text>
    </comment>
    <comment ref="P537" authorId="0" shapeId="0" xr:uid="{7367981E-5E98-4705-A3C9-7149E63BB815}">
      <text>
        <r>
          <rPr>
            <b/>
            <sz val="9"/>
            <color indexed="81"/>
            <rFont val="Tahoma"/>
            <charset val="178"/>
          </rPr>
          <t>Akram Pc:</t>
        </r>
        <r>
          <rPr>
            <sz val="9"/>
            <color indexed="81"/>
            <rFont val="Tahoma"/>
            <charset val="178"/>
          </rPr>
          <t xml:space="preserve">
10-10-1446</t>
        </r>
      </text>
    </comment>
    <comment ref="Q538" authorId="0" shapeId="0" xr:uid="{AECE7DF9-AF15-4A3F-B028-465564B8FE7B}">
      <text>
        <r>
          <rPr>
            <b/>
            <sz val="9"/>
            <color indexed="81"/>
            <rFont val="Tahoma"/>
            <family val="2"/>
          </rPr>
          <t>Akram Pc:</t>
        </r>
        <r>
          <rPr>
            <sz val="9"/>
            <color indexed="81"/>
            <rFont val="Tahoma"/>
            <family val="2"/>
          </rPr>
          <t xml:space="preserve">
16-8-1447 + 7-10-1447 + 13-10-1447 - 14-10-1447</t>
        </r>
      </text>
    </comment>
    <comment ref="O539" authorId="0" shapeId="0" xr:uid="{D674EAA8-6564-4AB9-971C-0D6248534200}">
      <text>
        <r>
          <rPr>
            <b/>
            <sz val="9"/>
            <color indexed="81"/>
            <rFont val="Tahoma"/>
            <charset val="178"/>
          </rPr>
          <t>Akram Pc:</t>
        </r>
        <r>
          <rPr>
            <sz val="9"/>
            <color indexed="81"/>
            <rFont val="Tahoma"/>
            <charset val="178"/>
          </rPr>
          <t xml:space="preserve">
تحتاج تركيب كفرات</t>
        </r>
      </text>
    </comment>
    <comment ref="P539" authorId="0" shapeId="0" xr:uid="{35FE2F67-1866-4681-BF8F-8B6318EC666D}">
      <text>
        <r>
          <rPr>
            <b/>
            <sz val="9"/>
            <color indexed="81"/>
            <rFont val="Tahoma"/>
            <charset val="178"/>
          </rPr>
          <t>Akram Pc:</t>
        </r>
        <r>
          <rPr>
            <sz val="9"/>
            <color indexed="81"/>
            <rFont val="Tahoma"/>
            <charset val="178"/>
          </rPr>
          <t xml:space="preserve">
19-10-1447</t>
        </r>
      </text>
    </comment>
    <comment ref="Q543" authorId="0" shapeId="0" xr:uid="{1548BCA0-1047-4715-8BA5-AC9339F9DC8A}">
      <text>
        <r>
          <rPr>
            <b/>
            <sz val="9"/>
            <color indexed="81"/>
            <rFont val="Tahoma"/>
            <family val="2"/>
          </rPr>
          <t>Akram Pc:</t>
        </r>
        <r>
          <rPr>
            <sz val="9"/>
            <color indexed="81"/>
            <rFont val="Tahoma"/>
            <family val="2"/>
          </rPr>
          <t xml:space="preserve">
17-10-1447</t>
        </r>
      </text>
    </comment>
    <comment ref="P544" authorId="0" shapeId="0" xr:uid="{53BBF4BF-268A-4449-AB11-CAF2D05C2872}">
      <text>
        <r>
          <rPr>
            <b/>
            <sz val="9"/>
            <color indexed="81"/>
            <rFont val="Tahoma"/>
            <charset val="178"/>
          </rPr>
          <t>Akram Pc:</t>
        </r>
        <r>
          <rPr>
            <sz val="9"/>
            <color indexed="81"/>
            <rFont val="Tahoma"/>
            <charset val="178"/>
          </rPr>
          <t xml:space="preserve">
23-12-1447</t>
        </r>
      </text>
    </comment>
    <comment ref="Q548" authorId="0" shapeId="0" xr:uid="{0581B741-AC76-47EB-978C-146CA0855A05}">
      <text>
        <r>
          <rPr>
            <b/>
            <sz val="9"/>
            <color indexed="81"/>
            <rFont val="Tahoma"/>
            <family val="2"/>
          </rPr>
          <t>Akram Pc:</t>
        </r>
        <r>
          <rPr>
            <sz val="9"/>
            <color indexed="81"/>
            <rFont val="Tahoma"/>
            <family val="2"/>
          </rPr>
          <t xml:space="preserve">
15-9-1447</t>
        </r>
      </text>
    </comment>
    <comment ref="P549" authorId="0" shapeId="0" xr:uid="{EEA68E83-AE05-4579-ADE9-4687D738B89F}">
      <text>
        <r>
          <rPr>
            <b/>
            <sz val="9"/>
            <color indexed="81"/>
            <rFont val="Tahoma"/>
            <charset val="178"/>
          </rPr>
          <t>Akram Pc:</t>
        </r>
        <r>
          <rPr>
            <sz val="9"/>
            <color indexed="81"/>
            <rFont val="Tahoma"/>
            <charset val="178"/>
          </rPr>
          <t xml:space="preserve">
15-10-1446</t>
        </r>
      </text>
    </comment>
    <comment ref="Q550" authorId="0" shapeId="0" xr:uid="{4C6AF137-B28B-4B6C-B865-8DB447D64AA7}">
      <text>
        <r>
          <rPr>
            <b/>
            <sz val="9"/>
            <color indexed="81"/>
            <rFont val="Tahoma"/>
            <family val="2"/>
          </rPr>
          <t>Akram Pc:</t>
        </r>
        <r>
          <rPr>
            <sz val="9"/>
            <color indexed="81"/>
            <rFont val="Tahoma"/>
            <family val="2"/>
          </rPr>
          <t xml:space="preserve">
28-8-1447</t>
        </r>
      </text>
    </comment>
    <comment ref="O553" authorId="0" shapeId="0" xr:uid="{87A9C402-27C1-4DDC-B434-E4B12CAEB30A}">
      <text>
        <r>
          <rPr>
            <b/>
            <sz val="9"/>
            <color indexed="81"/>
            <rFont val="Tahoma"/>
            <charset val="178"/>
          </rPr>
          <t>Akram Pc:</t>
        </r>
        <r>
          <rPr>
            <sz val="9"/>
            <color indexed="81"/>
            <rFont val="Tahoma"/>
            <charset val="178"/>
          </rPr>
          <t xml:space="preserve">
جربوكس</t>
        </r>
      </text>
    </comment>
    <comment ref="P553" authorId="0" shapeId="0" xr:uid="{01721FF9-4535-40E9-BB86-0F46C3841A2E}">
      <text>
        <r>
          <rPr>
            <b/>
            <sz val="9"/>
            <color indexed="81"/>
            <rFont val="Tahoma"/>
            <charset val="178"/>
          </rPr>
          <t>Akram Pc:</t>
        </r>
        <r>
          <rPr>
            <sz val="9"/>
            <color indexed="81"/>
            <rFont val="Tahoma"/>
            <charset val="178"/>
          </rPr>
          <t xml:space="preserve">
21-10-1447</t>
        </r>
      </text>
    </comment>
    <comment ref="Q553" authorId="0" shapeId="0" xr:uid="{608C5E95-56F1-44DC-9EF1-3F9B78459A64}">
      <text>
        <r>
          <rPr>
            <b/>
            <sz val="9"/>
            <color indexed="81"/>
            <rFont val="Tahoma"/>
            <charset val="178"/>
          </rPr>
          <t>Akram Pc:</t>
        </r>
        <r>
          <rPr>
            <sz val="9"/>
            <color indexed="81"/>
            <rFont val="Tahoma"/>
            <charset val="178"/>
          </rPr>
          <t xml:space="preserve">
2-9-1447</t>
        </r>
      </text>
    </comment>
    <comment ref="Q554" authorId="0" shapeId="0" xr:uid="{288004B1-5EA3-4B62-A293-B21153F59CDB}">
      <text>
        <r>
          <rPr>
            <b/>
            <sz val="9"/>
            <color indexed="81"/>
            <rFont val="Tahoma"/>
            <family val="2"/>
          </rPr>
          <t>Akram Pc:</t>
        </r>
        <r>
          <rPr>
            <sz val="9"/>
            <color indexed="81"/>
            <rFont val="Tahoma"/>
            <family val="2"/>
          </rPr>
          <t xml:space="preserve">
29-7-1477</t>
        </r>
      </text>
    </comment>
    <comment ref="O558" authorId="0" shapeId="0" xr:uid="{2A197DA1-21E6-4D91-827F-B07061FB8F9A}">
      <text>
        <r>
          <rPr>
            <b/>
            <sz val="9"/>
            <color indexed="81"/>
            <rFont val="Tahoma"/>
            <charset val="178"/>
          </rPr>
          <t>Akram Pc:</t>
        </r>
        <r>
          <rPr>
            <sz val="9"/>
            <color indexed="81"/>
            <rFont val="Tahoma"/>
            <charset val="178"/>
          </rPr>
          <t xml:space="preserve">
تهريب ديزل من ماسورة البستم</t>
        </r>
      </text>
    </comment>
    <comment ref="P558" authorId="0" shapeId="0" xr:uid="{05B12C51-DEEB-476B-8F80-204DEB019D82}">
      <text>
        <r>
          <rPr>
            <b/>
            <sz val="9"/>
            <color indexed="81"/>
            <rFont val="Tahoma"/>
            <charset val="178"/>
          </rPr>
          <t>Akram Pc:</t>
        </r>
        <r>
          <rPr>
            <sz val="9"/>
            <color indexed="81"/>
            <rFont val="Tahoma"/>
            <charset val="178"/>
          </rPr>
          <t xml:space="preserve">
27-9-1447 - 27-12-1447 - 4-1-1448</t>
        </r>
      </text>
    </comment>
    <comment ref="Q558" authorId="0" shapeId="0" xr:uid="{3F4E7DEB-8422-4AF9-AF20-01A483E57B3A}">
      <text>
        <r>
          <rPr>
            <b/>
            <sz val="9"/>
            <color indexed="81"/>
            <rFont val="Tahoma"/>
            <charset val="178"/>
          </rPr>
          <t>Akram Pc:</t>
        </r>
        <r>
          <rPr>
            <sz val="9"/>
            <color indexed="81"/>
            <rFont val="Tahoma"/>
            <charset val="178"/>
          </rPr>
          <t xml:space="preserve">
7-12-1447 - 28-12-1447</t>
        </r>
      </text>
    </comment>
    <comment ref="O559" authorId="0" shapeId="0" xr:uid="{EEF5CE9D-FB30-44EB-A91D-0D2F67B7B881}">
      <text>
        <r>
          <rPr>
            <b/>
            <sz val="9"/>
            <color indexed="81"/>
            <rFont val="Tahoma"/>
            <family val="2"/>
          </rPr>
          <t>Akram Pc:</t>
        </r>
        <r>
          <rPr>
            <sz val="9"/>
            <color indexed="81"/>
            <rFont val="Tahoma"/>
            <family val="2"/>
          </rPr>
          <t xml:space="preserve">
تهريب هواء + الباكم يفوت + اقمشة وموزع - الجربوكس </t>
        </r>
      </text>
    </comment>
    <comment ref="P559" authorId="0" shapeId="0" xr:uid="{75498F56-2347-406C-9274-B3AAF8368E93}">
      <text>
        <r>
          <rPr>
            <b/>
            <sz val="9"/>
            <color indexed="81"/>
            <rFont val="Tahoma"/>
            <charset val="178"/>
          </rPr>
          <t>Akram Pc:</t>
        </r>
        <r>
          <rPr>
            <sz val="9"/>
            <color indexed="81"/>
            <rFont val="Tahoma"/>
            <charset val="178"/>
          </rPr>
          <t xml:space="preserve">
20-11-1447</t>
        </r>
      </text>
    </comment>
    <comment ref="O563" authorId="0" shapeId="0" xr:uid="{86F5603F-33B3-4658-9FAD-74CADA73D19A}">
      <text>
        <r>
          <rPr>
            <b/>
            <sz val="9"/>
            <color indexed="81"/>
            <rFont val="Tahoma"/>
            <charset val="178"/>
          </rPr>
          <t>Akram Pc:</t>
        </r>
        <r>
          <rPr>
            <sz val="9"/>
            <color indexed="81"/>
            <rFont val="Tahoma"/>
            <charset val="178"/>
          </rPr>
          <t xml:space="preserve">
برمجة</t>
        </r>
      </text>
    </comment>
    <comment ref="P563" authorId="0" shapeId="0" xr:uid="{30908E88-07F8-4D23-A0DA-2A1FDFD3DC95}">
      <text>
        <r>
          <rPr>
            <b/>
            <sz val="9"/>
            <color indexed="81"/>
            <rFont val="Tahoma"/>
            <charset val="178"/>
          </rPr>
          <t>Akram Pc:</t>
        </r>
        <r>
          <rPr>
            <sz val="9"/>
            <color indexed="81"/>
            <rFont val="Tahoma"/>
            <charset val="178"/>
          </rPr>
          <t xml:space="preserve">
29-9-1447</t>
        </r>
      </text>
    </comment>
    <comment ref="Q563" authorId="0" shapeId="0" xr:uid="{5CC9CC1F-F613-4080-947C-C1E38884051B}">
      <text>
        <r>
          <rPr>
            <b/>
            <sz val="9"/>
            <color indexed="81"/>
            <rFont val="Tahoma"/>
            <charset val="178"/>
          </rPr>
          <t>Akram Pc:</t>
        </r>
        <r>
          <rPr>
            <sz val="9"/>
            <color indexed="81"/>
            <rFont val="Tahoma"/>
            <charset val="178"/>
          </rPr>
          <t xml:space="preserve">
28-9-1447 + 22-10-1447 + 20-11-1447</t>
        </r>
      </text>
    </comment>
    <comment ref="Q564" authorId="0" shapeId="0" xr:uid="{BD986F0C-97A8-4CE4-B239-56758DD472AF}">
      <text>
        <r>
          <rPr>
            <b/>
            <sz val="9"/>
            <color indexed="81"/>
            <rFont val="Tahoma"/>
            <charset val="178"/>
          </rPr>
          <t>Akram Pc:</t>
        </r>
        <r>
          <rPr>
            <sz val="9"/>
            <color indexed="81"/>
            <rFont val="Tahoma"/>
            <charset val="178"/>
          </rPr>
          <t xml:space="preserve">
29-8-1447</t>
        </r>
      </text>
    </comment>
    <comment ref="O580" authorId="0" shapeId="0" xr:uid="{67594E55-D94A-41BE-8CC2-2FA5C8F37137}">
      <text>
        <r>
          <rPr>
            <b/>
            <sz val="9"/>
            <color indexed="81"/>
            <rFont val="Tahoma"/>
            <charset val="178"/>
          </rPr>
          <t>Akram Pc:</t>
        </r>
        <r>
          <rPr>
            <sz val="9"/>
            <color indexed="81"/>
            <rFont val="Tahoma"/>
            <charset val="178"/>
          </rPr>
          <t xml:space="preserve">
لي ساعة المضخة</t>
        </r>
      </text>
    </comment>
    <comment ref="P580" authorId="0" shapeId="0" xr:uid="{13F49BCE-19E3-4974-9615-586652D20954}">
      <text>
        <r>
          <rPr>
            <b/>
            <sz val="9"/>
            <color indexed="81"/>
            <rFont val="Tahoma"/>
            <charset val="178"/>
          </rPr>
          <t>Akram Pc:</t>
        </r>
        <r>
          <rPr>
            <sz val="9"/>
            <color indexed="81"/>
            <rFont val="Tahoma"/>
            <charset val="178"/>
          </rPr>
          <t xml:space="preserve">
25-10-1447</t>
        </r>
      </text>
    </comment>
    <comment ref="O590" authorId="0" shapeId="0" xr:uid="{B35F51AC-C568-4BFE-8638-9B08FAA30B7A}">
      <text>
        <r>
          <rPr>
            <b/>
            <sz val="9"/>
            <color indexed="81"/>
            <rFont val="Tahoma"/>
            <family val="2"/>
          </rPr>
          <t>Akram Pc:</t>
        </r>
        <r>
          <rPr>
            <sz val="9"/>
            <color indexed="81"/>
            <rFont val="Tahoma"/>
            <family val="2"/>
          </rPr>
          <t xml:space="preserve">
عدة اعطال (عصا القير)</t>
        </r>
      </text>
    </comment>
    <comment ref="P590" authorId="0" shapeId="0" xr:uid="{8CA5AE89-A41F-4D94-ACC2-ECD78B93D792}">
      <text>
        <r>
          <rPr>
            <b/>
            <sz val="9"/>
            <color indexed="81"/>
            <rFont val="Tahoma"/>
            <family val="2"/>
          </rPr>
          <t>Akram Pc:</t>
        </r>
        <r>
          <rPr>
            <sz val="9"/>
            <color indexed="81"/>
            <rFont val="Tahoma"/>
            <family val="2"/>
          </rPr>
          <t xml:space="preserve">
8-4-1447</t>
        </r>
      </text>
    </comment>
    <comment ref="O592" authorId="0" shapeId="0" xr:uid="{55F11B4A-44D2-4BCA-97F7-EB8C89746A36}">
      <text>
        <r>
          <rPr>
            <b/>
            <sz val="9"/>
            <color indexed="81"/>
            <rFont val="Tahoma"/>
            <family val="2"/>
          </rPr>
          <t>Akram Pc:</t>
        </r>
        <r>
          <rPr>
            <sz val="9"/>
            <color indexed="81"/>
            <rFont val="Tahoma"/>
            <family val="2"/>
          </rPr>
          <t xml:space="preserve">
تهريب بالتانكي </t>
        </r>
      </text>
    </comment>
    <comment ref="O615" authorId="0" shapeId="0" xr:uid="{4327DC41-631E-4F4B-8BC4-4FA0143E654B}">
      <text>
        <r>
          <rPr>
            <b/>
            <sz val="9"/>
            <color indexed="81"/>
            <rFont val="Tahoma"/>
            <family val="2"/>
          </rPr>
          <t>Akram Pc:</t>
        </r>
        <r>
          <rPr>
            <sz val="9"/>
            <color indexed="81"/>
            <rFont val="Tahoma"/>
            <family val="2"/>
          </rPr>
          <t xml:space="preserve">
الدينمو</t>
        </r>
      </text>
    </comment>
    <comment ref="P615" authorId="0" shapeId="0" xr:uid="{CB4A8CD6-4A31-4989-9E57-5BB14B322DEC}">
      <text>
        <r>
          <rPr>
            <b/>
            <sz val="9"/>
            <color indexed="81"/>
            <rFont val="Tahoma"/>
            <family val="2"/>
          </rPr>
          <t>Akram Pc:</t>
        </r>
        <r>
          <rPr>
            <sz val="9"/>
            <color indexed="81"/>
            <rFont val="Tahoma"/>
            <family val="2"/>
          </rPr>
          <t xml:space="preserve">
24-8-1447</t>
        </r>
      </text>
    </comment>
    <comment ref="P617" authorId="0" shapeId="0" xr:uid="{2AD3CEF5-2E34-4DED-B747-A0DB1AFF12EE}">
      <text>
        <r>
          <rPr>
            <b/>
            <sz val="9"/>
            <color indexed="81"/>
            <rFont val="Tahoma"/>
            <charset val="178"/>
          </rPr>
          <t>Akram Pc:</t>
        </r>
        <r>
          <rPr>
            <sz val="9"/>
            <color indexed="81"/>
            <rFont val="Tahoma"/>
            <charset val="178"/>
          </rPr>
          <t xml:space="preserve">
29-11-1447</t>
        </r>
      </text>
    </comment>
    <comment ref="Q617" authorId="0" shapeId="0" xr:uid="{6A9F4C91-6793-45BA-BE57-75C0E1E94D21}">
      <text>
        <r>
          <rPr>
            <b/>
            <sz val="9"/>
            <color indexed="81"/>
            <rFont val="Tahoma"/>
            <charset val="178"/>
          </rPr>
          <t>Akram Pc:</t>
        </r>
        <r>
          <rPr>
            <sz val="9"/>
            <color indexed="81"/>
            <rFont val="Tahoma"/>
            <charset val="178"/>
          </rPr>
          <t xml:space="preserve">
13-6-1447</t>
        </r>
      </text>
    </comment>
    <comment ref="Q619" authorId="0" shapeId="0" xr:uid="{9F76339B-0798-44E4-B0D2-E445B8D9B6C8}">
      <text>
        <r>
          <rPr>
            <b/>
            <sz val="9"/>
            <color indexed="81"/>
            <rFont val="Tahoma"/>
            <family val="2"/>
          </rPr>
          <t>Akram Pc:</t>
        </r>
        <r>
          <rPr>
            <sz val="9"/>
            <color indexed="81"/>
            <rFont val="Tahoma"/>
            <family val="2"/>
          </rPr>
          <t xml:space="preserve">
20-10-1447</t>
        </r>
      </text>
    </comment>
    <comment ref="Q621" authorId="0" shapeId="0" xr:uid="{B36D7E92-28C0-4860-B6B4-BE9CB788D98A}">
      <text>
        <r>
          <rPr>
            <b/>
            <sz val="9"/>
            <color indexed="81"/>
            <rFont val="Tahoma"/>
            <family val="2"/>
          </rPr>
          <t>Akram Pc:</t>
        </r>
        <r>
          <rPr>
            <sz val="9"/>
            <color indexed="81"/>
            <rFont val="Tahoma"/>
            <family val="2"/>
          </rPr>
          <t xml:space="preserve">
11-10-1447</t>
        </r>
      </text>
    </comment>
    <comment ref="Q625" authorId="0" shapeId="0" xr:uid="{2B7DD4B4-52B6-40F4-ADCE-C8430A51E9C1}">
      <text>
        <r>
          <rPr>
            <b/>
            <sz val="9"/>
            <color indexed="81"/>
            <rFont val="Tahoma"/>
            <charset val="178"/>
          </rPr>
          <t>Akram Pc:</t>
        </r>
        <r>
          <rPr>
            <sz val="9"/>
            <color indexed="81"/>
            <rFont val="Tahoma"/>
            <charset val="178"/>
          </rPr>
          <t xml:space="preserve">
7-9-1447</t>
        </r>
      </text>
    </comment>
    <comment ref="N626" authorId="0" shapeId="0" xr:uid="{69514653-3356-4505-A538-55E44BC37950}">
      <text>
        <r>
          <rPr>
            <b/>
            <sz val="9"/>
            <color indexed="81"/>
            <rFont val="Tahoma"/>
            <charset val="178"/>
          </rPr>
          <t>Akram Pc:</t>
        </r>
        <r>
          <rPr>
            <sz val="9"/>
            <color indexed="81"/>
            <rFont val="Tahoma"/>
            <charset val="178"/>
          </rPr>
          <t xml:space="preserve">
مضخات</t>
        </r>
      </text>
    </comment>
    <comment ref="O626" authorId="0" shapeId="0" xr:uid="{4B6D5CE6-2451-4401-B027-08F0E0EE839E}">
      <text>
        <r>
          <rPr>
            <b/>
            <sz val="9"/>
            <color indexed="81"/>
            <rFont val="Tahoma"/>
            <charset val="178"/>
          </rPr>
          <t>Akram Pc:</t>
        </r>
        <r>
          <rPr>
            <sz val="9"/>
            <color indexed="81"/>
            <rFont val="Tahoma"/>
            <charset val="178"/>
          </rPr>
          <t xml:space="preserve">
عطل في علبة الدركسون والانارة الامامية + تهريب بالمضخة + عطل بالمضخه</t>
        </r>
      </text>
    </comment>
    <comment ref="P626" authorId="0" shapeId="0" xr:uid="{6EBC9728-0B45-438D-AF3E-C05974958E91}">
      <text>
        <r>
          <rPr>
            <b/>
            <sz val="9"/>
            <color indexed="81"/>
            <rFont val="Tahoma"/>
            <charset val="178"/>
          </rPr>
          <t>Akram Pc:</t>
        </r>
        <r>
          <rPr>
            <sz val="9"/>
            <color indexed="81"/>
            <rFont val="Tahoma"/>
            <charset val="178"/>
          </rPr>
          <t xml:space="preserve">
18-7-1447 + 23-11-1447</t>
        </r>
      </text>
    </comment>
    <comment ref="Q626" authorId="0" shapeId="0" xr:uid="{51ACB063-E385-4BC6-B663-0F407DAC30B1}">
      <text>
        <r>
          <rPr>
            <b/>
            <sz val="9"/>
            <color indexed="81"/>
            <rFont val="Tahoma"/>
            <family val="2"/>
          </rPr>
          <t>Akram Pc:</t>
        </r>
        <r>
          <rPr>
            <sz val="9"/>
            <color indexed="81"/>
            <rFont val="Tahoma"/>
            <family val="2"/>
          </rPr>
          <t xml:space="preserve">
17-11-1447</t>
        </r>
      </text>
    </comment>
    <comment ref="O637" authorId="0" shapeId="0" xr:uid="{B4239B0D-BA92-4BDF-8625-48C0287FFC22}">
      <text>
        <r>
          <rPr>
            <b/>
            <sz val="9"/>
            <color indexed="81"/>
            <rFont val="Tahoma"/>
            <charset val="178"/>
          </rPr>
          <t>Akram Pc:</t>
        </r>
        <r>
          <rPr>
            <sz val="9"/>
            <color indexed="81"/>
            <rFont val="Tahoma"/>
            <charset val="178"/>
          </rPr>
          <t xml:space="preserve">
بطاريات</t>
        </r>
      </text>
    </comment>
    <comment ref="P637" authorId="0" shapeId="0" xr:uid="{B8AB277D-7BBC-48E5-B1B9-72A5798F3257}">
      <text>
        <r>
          <rPr>
            <b/>
            <sz val="9"/>
            <color indexed="81"/>
            <rFont val="Tahoma"/>
            <charset val="178"/>
          </rPr>
          <t>Akram Pc:</t>
        </r>
        <r>
          <rPr>
            <sz val="9"/>
            <color indexed="81"/>
            <rFont val="Tahoma"/>
            <charset val="178"/>
          </rPr>
          <t xml:space="preserve">
5-12-1447</t>
        </r>
      </text>
    </comment>
    <comment ref="Q637" authorId="0" shapeId="0" xr:uid="{DD943DD1-25E8-4144-9523-108FAC9E1AFF}">
      <text>
        <r>
          <rPr>
            <b/>
            <sz val="9"/>
            <color indexed="81"/>
            <rFont val="Tahoma"/>
            <family val="2"/>
          </rPr>
          <t>Akram Pc:</t>
        </r>
        <r>
          <rPr>
            <sz val="9"/>
            <color indexed="81"/>
            <rFont val="Tahoma"/>
            <family val="2"/>
          </rPr>
          <t xml:space="preserve">
24-8-1447</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Akram Pc</author>
  </authors>
  <commentList>
    <comment ref="J16" authorId="0" shapeId="0" xr:uid="{CD018E75-865C-4750-93FD-FB4BBE8471BB}">
      <text>
        <r>
          <rPr>
            <b/>
            <sz val="9"/>
            <color indexed="81"/>
            <rFont val="Tahoma"/>
            <family val="2"/>
          </rPr>
          <t>Akram Pc:</t>
        </r>
        <r>
          <rPr>
            <sz val="9"/>
            <color indexed="81"/>
            <rFont val="Tahoma"/>
            <family val="2"/>
          </rPr>
          <t xml:space="preserve">
خطاب للشؤون الفنية </t>
        </r>
      </text>
    </comment>
    <comment ref="D18" authorId="0" shapeId="0" xr:uid="{85EA8FA9-4F86-4451-8829-8EBC608BDAD4}">
      <text>
        <r>
          <rPr>
            <b/>
            <sz val="9"/>
            <color indexed="81"/>
            <rFont val="Tahoma"/>
            <family val="2"/>
          </rPr>
          <t>Akram Pc:</t>
        </r>
        <r>
          <rPr>
            <sz val="9"/>
            <color indexed="81"/>
            <rFont val="Tahoma"/>
            <family val="2"/>
          </rPr>
          <t xml:space="preserve">
ميكانيكي</t>
        </r>
      </text>
    </comment>
    <comment ref="J19" authorId="0" shapeId="0" xr:uid="{368964B2-7285-491C-9613-58ADB2D904D6}">
      <text>
        <r>
          <rPr>
            <b/>
            <sz val="9"/>
            <color indexed="81"/>
            <rFont val="Tahoma"/>
            <family val="2"/>
          </rPr>
          <t>Akram Pc:</t>
        </r>
        <r>
          <rPr>
            <sz val="9"/>
            <color indexed="81"/>
            <rFont val="Tahoma"/>
            <family val="2"/>
          </rPr>
          <t xml:space="preserve">
28-8-1447</t>
        </r>
      </text>
    </comment>
    <comment ref="D21" authorId="0" shapeId="0" xr:uid="{398E01BF-300F-45EE-B9A0-07C814B5BC7C}">
      <text>
        <r>
          <rPr>
            <b/>
            <sz val="9"/>
            <color indexed="81"/>
            <rFont val="Tahoma"/>
            <family val="2"/>
          </rPr>
          <t>Akram Pc:</t>
        </r>
        <r>
          <rPr>
            <sz val="9"/>
            <color indexed="81"/>
            <rFont val="Tahoma"/>
            <family val="2"/>
          </rPr>
          <t xml:space="preserve">
ميكانيكي</t>
        </r>
      </text>
    </comment>
    <comment ref="D41" authorId="0" shapeId="0" xr:uid="{058211AC-A04E-4E6C-B905-7D9F32B38CA9}">
      <text>
        <r>
          <rPr>
            <b/>
            <sz val="9"/>
            <color indexed="81"/>
            <rFont val="Tahoma"/>
            <family val="2"/>
          </rPr>
          <t>Akram Pc:</t>
        </r>
        <r>
          <rPr>
            <sz val="9"/>
            <color indexed="81"/>
            <rFont val="Tahoma"/>
            <family val="2"/>
          </rPr>
          <t xml:space="preserve">
ميكانيكي</t>
        </r>
      </text>
    </comment>
    <comment ref="D42" authorId="0" shapeId="0" xr:uid="{2FC220E3-8618-4FDA-A50D-1A6B0FD9CE66}">
      <text>
        <r>
          <rPr>
            <b/>
            <sz val="9"/>
            <color indexed="81"/>
            <rFont val="Tahoma"/>
            <family val="2"/>
          </rPr>
          <t>Akram Pc:</t>
        </r>
        <r>
          <rPr>
            <sz val="9"/>
            <color indexed="81"/>
            <rFont val="Tahoma"/>
            <family val="2"/>
          </rPr>
          <t xml:space="preserve">
ميكانيكي</t>
        </r>
      </text>
    </comment>
    <comment ref="D49" authorId="0" shapeId="0" xr:uid="{7C1F6A04-7D18-494B-BCAD-94B2DDBC7BD9}">
      <text>
        <r>
          <rPr>
            <b/>
            <sz val="9"/>
            <color indexed="81"/>
            <rFont val="Tahoma"/>
            <family val="2"/>
          </rPr>
          <t>Akram Pc:</t>
        </r>
        <r>
          <rPr>
            <sz val="9"/>
            <color indexed="81"/>
            <rFont val="Tahoma"/>
            <family val="2"/>
          </rPr>
          <t xml:space="preserve">
كفرات</t>
        </r>
      </text>
    </comment>
    <comment ref="D61" authorId="0" shapeId="0" xr:uid="{C32E86AF-2552-421B-B0BB-769CCA02B7C2}">
      <text>
        <r>
          <rPr>
            <b/>
            <sz val="9"/>
            <color indexed="81"/>
            <rFont val="Tahoma"/>
            <family val="2"/>
          </rPr>
          <t>Akram Pc:</t>
        </r>
        <r>
          <rPr>
            <sz val="9"/>
            <color indexed="81"/>
            <rFont val="Tahoma"/>
            <family val="2"/>
          </rPr>
          <t xml:space="preserve">
ميكانيكي</t>
        </r>
      </text>
    </comment>
    <comment ref="D83" authorId="0" shapeId="0" xr:uid="{1A3B1FE9-F907-400B-B389-63C81CD715D4}">
      <text>
        <r>
          <rPr>
            <b/>
            <sz val="9"/>
            <color indexed="81"/>
            <rFont val="Tahoma"/>
            <family val="2"/>
          </rPr>
          <t>Akram Pc:</t>
        </r>
        <r>
          <rPr>
            <sz val="9"/>
            <color indexed="81"/>
            <rFont val="Tahoma"/>
            <family val="2"/>
          </rPr>
          <t xml:space="preserve">
ميكانيكي</t>
        </r>
      </text>
    </comment>
    <comment ref="D90" authorId="0" shapeId="0" xr:uid="{21E25801-2AFD-451A-89FC-6FD9DFCD1367}">
      <text>
        <r>
          <rPr>
            <b/>
            <sz val="9"/>
            <color indexed="81"/>
            <rFont val="Tahoma"/>
            <family val="2"/>
          </rPr>
          <t>Akram Pc:</t>
        </r>
        <r>
          <rPr>
            <sz val="9"/>
            <color indexed="81"/>
            <rFont val="Tahoma"/>
            <family val="2"/>
          </rPr>
          <t xml:space="preserve">
أخرى</t>
        </r>
      </text>
    </comment>
    <comment ref="D97" authorId="0" shapeId="0" xr:uid="{D059E341-F866-4023-9D6C-B5951D3EF2D1}">
      <text>
        <r>
          <rPr>
            <b/>
            <sz val="9"/>
            <color indexed="81"/>
            <rFont val="Tahoma"/>
            <family val="2"/>
          </rPr>
          <t>Akram Pc:</t>
        </r>
        <r>
          <rPr>
            <sz val="9"/>
            <color indexed="81"/>
            <rFont val="Tahoma"/>
            <family val="2"/>
          </rPr>
          <t xml:space="preserve">
ميكانيكي</t>
        </r>
      </text>
    </comment>
    <comment ref="D107" authorId="0" shapeId="0" xr:uid="{C3CA55CF-52B6-44F0-A068-5F441E00602C}">
      <text>
        <r>
          <rPr>
            <b/>
            <sz val="9"/>
            <color indexed="81"/>
            <rFont val="Tahoma"/>
            <family val="2"/>
          </rPr>
          <t>Akram Pc:</t>
        </r>
        <r>
          <rPr>
            <sz val="9"/>
            <color indexed="81"/>
            <rFont val="Tahoma"/>
            <family val="2"/>
          </rPr>
          <t xml:space="preserve">
ميكانيكي</t>
        </r>
      </text>
    </comment>
    <comment ref="D136" authorId="0" shapeId="0" xr:uid="{DA5AB26B-86E1-4F06-AF48-6DCE4EE80EA0}">
      <text>
        <r>
          <rPr>
            <b/>
            <sz val="9"/>
            <color indexed="81"/>
            <rFont val="Tahoma"/>
            <family val="2"/>
          </rPr>
          <t>Akram Pc:</t>
        </r>
        <r>
          <rPr>
            <sz val="9"/>
            <color indexed="81"/>
            <rFont val="Tahoma"/>
            <family val="2"/>
          </rPr>
          <t xml:space="preserve">
مضخات</t>
        </r>
      </text>
    </comment>
    <comment ref="D176" authorId="0" shapeId="0" xr:uid="{2D63AFD4-8E1C-4C71-A91D-AC3264DC6086}">
      <text>
        <r>
          <rPr>
            <b/>
            <sz val="9"/>
            <color indexed="81"/>
            <rFont val="Tahoma"/>
            <family val="2"/>
          </rPr>
          <t>Akram Pc:</t>
        </r>
        <r>
          <rPr>
            <sz val="9"/>
            <color indexed="81"/>
            <rFont val="Tahoma"/>
            <family val="2"/>
          </rPr>
          <t xml:space="preserve">
ميكانيكي</t>
        </r>
      </text>
    </comment>
    <comment ref="D182" authorId="0" shapeId="0" xr:uid="{F114F39E-4B86-4BCC-B3EB-23BE775EDC80}">
      <text>
        <r>
          <rPr>
            <b/>
            <sz val="9"/>
            <color indexed="81"/>
            <rFont val="Tahoma"/>
            <family val="2"/>
          </rPr>
          <t>Akram Pc:</t>
        </r>
        <r>
          <rPr>
            <sz val="9"/>
            <color indexed="81"/>
            <rFont val="Tahoma"/>
            <family val="2"/>
          </rPr>
          <t xml:space="preserve">
كفرات</t>
        </r>
      </text>
    </comment>
    <comment ref="D184" authorId="0" shapeId="0" xr:uid="{C8802712-D8B6-44A4-9390-64CAB2981129}">
      <text>
        <r>
          <rPr>
            <b/>
            <sz val="9"/>
            <color indexed="81"/>
            <rFont val="Tahoma"/>
            <family val="2"/>
          </rPr>
          <t>Akram Pc:</t>
        </r>
        <r>
          <rPr>
            <sz val="9"/>
            <color indexed="81"/>
            <rFont val="Tahoma"/>
            <family val="2"/>
          </rPr>
          <t xml:space="preserve">
كهربائي</t>
        </r>
      </text>
    </comment>
    <comment ref="D191" authorId="0" shapeId="0" xr:uid="{3BC27C28-1A59-4A19-A6FE-5613D324F90F}">
      <text>
        <r>
          <rPr>
            <b/>
            <sz val="9"/>
            <color indexed="81"/>
            <rFont val="Tahoma"/>
            <family val="2"/>
          </rPr>
          <t>Akram Pc:</t>
        </r>
        <r>
          <rPr>
            <sz val="9"/>
            <color indexed="81"/>
            <rFont val="Tahoma"/>
            <family val="2"/>
          </rPr>
          <t xml:space="preserve">
مضخات</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Akram Pc</author>
  </authors>
  <commentList>
    <comment ref="L4" authorId="0" shapeId="0" xr:uid="{FA750D7B-A5F8-41DD-881A-19809B0735DA}">
      <text>
        <r>
          <rPr>
            <b/>
            <sz val="9"/>
            <color indexed="81"/>
            <rFont val="Tahoma"/>
            <family val="2"/>
          </rPr>
          <t>Akram Pc:</t>
        </r>
        <r>
          <rPr>
            <sz val="9"/>
            <color indexed="81"/>
            <rFont val="Tahoma"/>
            <family val="2"/>
          </rPr>
          <t xml:space="preserve">
كفرات</t>
        </r>
      </text>
    </comment>
    <comment ref="M4" authorId="0" shapeId="0" xr:uid="{5BB34221-0C40-4BE2-931F-A9AA0D471681}">
      <text>
        <r>
          <rPr>
            <b/>
            <sz val="9"/>
            <color indexed="81"/>
            <rFont val="Tahoma"/>
            <family val="2"/>
          </rPr>
          <t>Akram Pc:</t>
        </r>
        <r>
          <rPr>
            <sz val="9"/>
            <color indexed="81"/>
            <rFont val="Tahoma"/>
            <family val="2"/>
          </rPr>
          <t xml:space="preserve">
بنشر</t>
        </r>
      </text>
    </comment>
    <comment ref="L12" authorId="0" shapeId="0" xr:uid="{7D6F7D9C-D620-4250-B4EC-539AB9F1946C}">
      <text>
        <r>
          <rPr>
            <b/>
            <sz val="9"/>
            <color indexed="81"/>
            <rFont val="Tahoma"/>
            <family val="2"/>
          </rPr>
          <t>Akram Pc:</t>
        </r>
        <r>
          <rPr>
            <sz val="9"/>
            <color indexed="81"/>
            <rFont val="Tahoma"/>
            <family val="2"/>
          </rPr>
          <t xml:space="preserve">
ميكانيكي</t>
        </r>
      </text>
    </comment>
    <comment ref="M12" authorId="0" shapeId="0" xr:uid="{FFC9B629-C162-411C-AB47-C07D1608A8C4}">
      <text>
        <r>
          <rPr>
            <b/>
            <sz val="9"/>
            <color indexed="81"/>
            <rFont val="Tahoma"/>
            <family val="2"/>
          </rPr>
          <t>Akram Pc:</t>
        </r>
        <r>
          <rPr>
            <sz val="9"/>
            <color indexed="81"/>
            <rFont val="Tahoma"/>
            <family val="2"/>
          </rPr>
          <t xml:space="preserve">
تهريب مياه من المكينة</t>
        </r>
      </text>
    </comment>
    <comment ref="L15" authorId="0" shapeId="0" xr:uid="{77CC6203-2AB9-4E62-A887-805FDC985334}">
      <text>
        <r>
          <rPr>
            <b/>
            <sz val="9"/>
            <color indexed="81"/>
            <rFont val="Tahoma"/>
            <family val="2"/>
          </rPr>
          <t>Akram Pc:</t>
        </r>
        <r>
          <rPr>
            <sz val="9"/>
            <color indexed="81"/>
            <rFont val="Tahoma"/>
            <family val="2"/>
          </rPr>
          <t xml:space="preserve">
ميكانيكي</t>
        </r>
      </text>
    </comment>
    <comment ref="M15" authorId="0" shapeId="0" xr:uid="{BF7033A9-9F05-4C8A-AAFC-A9D8B1B13F99}">
      <text>
        <r>
          <rPr>
            <b/>
            <sz val="9"/>
            <color indexed="81"/>
            <rFont val="Tahoma"/>
            <family val="2"/>
          </rPr>
          <t>Akram Pc:</t>
        </r>
        <r>
          <rPr>
            <sz val="9"/>
            <color indexed="81"/>
            <rFont val="Tahoma"/>
            <family val="2"/>
          </rPr>
          <t xml:space="preserve">
تهريب زيت في ليات البساتم</t>
        </r>
      </text>
    </comment>
    <comment ref="N15" authorId="0" shapeId="0" xr:uid="{1AAC15DA-CE7F-4E76-AC4E-5B1FE57EAD0B}">
      <text>
        <r>
          <rPr>
            <b/>
            <sz val="9"/>
            <color indexed="81"/>
            <rFont val="Tahoma"/>
            <family val="2"/>
          </rPr>
          <t>Akram Pc:</t>
        </r>
        <r>
          <rPr>
            <sz val="9"/>
            <color indexed="81"/>
            <rFont val="Tahoma"/>
            <family val="2"/>
          </rPr>
          <t xml:space="preserve">
8-4-1447</t>
        </r>
      </text>
    </comment>
    <comment ref="L37" authorId="0" shapeId="0" xr:uid="{1197861B-3084-48C2-8967-A39388605035}">
      <text>
        <r>
          <rPr>
            <b/>
            <sz val="9"/>
            <color indexed="81"/>
            <rFont val="Tahoma"/>
            <family val="2"/>
          </rPr>
          <t>Akram Pc:</t>
        </r>
        <r>
          <rPr>
            <sz val="9"/>
            <color indexed="81"/>
            <rFont val="Tahoma"/>
            <family val="2"/>
          </rPr>
          <t xml:space="preserve">
ميكانيكي</t>
        </r>
      </text>
    </comment>
    <comment ref="M37" authorId="0" shapeId="0" xr:uid="{20A4377E-8241-4F3D-B3EC-6173B2B503AA}">
      <text>
        <r>
          <rPr>
            <b/>
            <sz val="9"/>
            <color indexed="81"/>
            <rFont val="Tahoma"/>
            <family val="2"/>
          </rPr>
          <t>Akram Pc:</t>
        </r>
        <r>
          <rPr>
            <sz val="9"/>
            <color indexed="81"/>
            <rFont val="Tahoma"/>
            <family val="2"/>
          </rPr>
          <t xml:space="preserve">
عطل الباكم البديل من شعبة الإسكان</t>
        </r>
      </text>
    </comment>
    <comment ref="L38" authorId="0" shapeId="0" xr:uid="{D3140AA2-9DDA-41D9-A734-4DB6C4AEDE27}">
      <text>
        <r>
          <rPr>
            <b/>
            <sz val="9"/>
            <color indexed="81"/>
            <rFont val="Tahoma"/>
            <family val="2"/>
          </rPr>
          <t>Akram Pc:</t>
        </r>
        <r>
          <rPr>
            <sz val="9"/>
            <color indexed="81"/>
            <rFont val="Tahoma"/>
            <family val="2"/>
          </rPr>
          <t xml:space="preserve">
ميكانيكي</t>
        </r>
      </text>
    </comment>
    <comment ref="M38" authorId="0" shapeId="0" xr:uid="{19B2FFC0-4945-4396-8154-32B8FD841AE1}">
      <text>
        <r>
          <rPr>
            <b/>
            <sz val="9"/>
            <color indexed="81"/>
            <rFont val="Tahoma"/>
            <family val="2"/>
          </rPr>
          <t>Akram Pc:</t>
        </r>
        <r>
          <rPr>
            <sz val="9"/>
            <color indexed="81"/>
            <rFont val="Tahoma"/>
            <family val="2"/>
          </rPr>
          <t xml:space="preserve">
عطل بالمكينة</t>
        </r>
      </text>
    </comment>
    <comment ref="Q38" authorId="0" shapeId="0" xr:uid="{AA1C9EB0-386E-44F7-B311-432BB06B26CE}">
      <text>
        <r>
          <rPr>
            <b/>
            <sz val="9"/>
            <color indexed="81"/>
            <rFont val="Tahoma"/>
            <family val="2"/>
          </rPr>
          <t>Akram Pc:</t>
        </r>
        <r>
          <rPr>
            <sz val="9"/>
            <color indexed="81"/>
            <rFont val="Tahoma"/>
            <family val="2"/>
          </rPr>
          <t xml:space="preserve">
جنوب 4</t>
        </r>
      </text>
    </comment>
    <comment ref="L47" authorId="0" shapeId="0" xr:uid="{904C77A8-4694-4E32-9A51-D45C9CFBA3CA}">
      <text>
        <r>
          <rPr>
            <b/>
            <sz val="9"/>
            <color indexed="81"/>
            <rFont val="Tahoma"/>
            <family val="2"/>
          </rPr>
          <t>Akram Pc:</t>
        </r>
        <r>
          <rPr>
            <sz val="9"/>
            <color indexed="81"/>
            <rFont val="Tahoma"/>
            <family val="2"/>
          </rPr>
          <t xml:space="preserve">
كفرات</t>
        </r>
      </text>
    </comment>
    <comment ref="M47" authorId="0" shapeId="0" xr:uid="{402ED3DF-BF8E-4202-B1E2-FB375E6391BC}">
      <text>
        <r>
          <rPr>
            <b/>
            <sz val="9"/>
            <color indexed="81"/>
            <rFont val="Tahoma"/>
            <family val="2"/>
          </rPr>
          <t>Akram Pc:</t>
        </r>
        <r>
          <rPr>
            <sz val="9"/>
            <color indexed="81"/>
            <rFont val="Tahoma"/>
            <family val="2"/>
          </rPr>
          <t xml:space="preserve">
كفر تالف</t>
        </r>
      </text>
    </comment>
    <comment ref="L61" authorId="0" shapeId="0" xr:uid="{405BB58A-184B-4CD2-A956-CDF49ACA38BB}">
      <text>
        <r>
          <rPr>
            <b/>
            <sz val="9"/>
            <color indexed="81"/>
            <rFont val="Tahoma"/>
            <family val="2"/>
          </rPr>
          <t>Akram Pc:</t>
        </r>
        <r>
          <rPr>
            <sz val="9"/>
            <color indexed="81"/>
            <rFont val="Tahoma"/>
            <family val="2"/>
          </rPr>
          <t xml:space="preserve">
ميكانيكي</t>
        </r>
      </text>
    </comment>
    <comment ref="M61" authorId="0" shapeId="0" xr:uid="{26C0A564-334A-4153-A020-4420DEDC2F41}">
      <text>
        <r>
          <rPr>
            <b/>
            <sz val="9"/>
            <color indexed="81"/>
            <rFont val="Tahoma"/>
            <family val="2"/>
          </rPr>
          <t>Akram Pc:</t>
        </r>
        <r>
          <rPr>
            <sz val="9"/>
            <color indexed="81"/>
            <rFont val="Tahoma"/>
            <family val="2"/>
          </rPr>
          <t xml:space="preserve">
تهريب ديزل</t>
        </r>
      </text>
    </comment>
    <comment ref="N61" authorId="0" shapeId="0" xr:uid="{90B618FB-265C-45ED-B5FB-837703C9451D}">
      <text>
        <r>
          <rPr>
            <b/>
            <sz val="9"/>
            <color indexed="81"/>
            <rFont val="Tahoma"/>
            <family val="2"/>
          </rPr>
          <t>Akram Pc:</t>
        </r>
        <r>
          <rPr>
            <sz val="9"/>
            <color indexed="81"/>
            <rFont val="Tahoma"/>
            <family val="2"/>
          </rPr>
          <t xml:space="preserve">
29-7-1446</t>
        </r>
      </text>
    </comment>
    <comment ref="L83" authorId="0" shapeId="0" xr:uid="{84D05B6A-845B-4A61-8166-5EFF14038782}">
      <text>
        <r>
          <rPr>
            <b/>
            <sz val="9"/>
            <color indexed="81"/>
            <rFont val="Tahoma"/>
            <family val="2"/>
          </rPr>
          <t>Akram Pc:</t>
        </r>
        <r>
          <rPr>
            <sz val="9"/>
            <color indexed="81"/>
            <rFont val="Tahoma"/>
            <family val="2"/>
          </rPr>
          <t xml:space="preserve">
ميكانيكي</t>
        </r>
      </text>
    </comment>
    <comment ref="M83" authorId="0" shapeId="0" xr:uid="{736285DE-649A-468F-A79B-294ABC62B933}">
      <text>
        <r>
          <rPr>
            <b/>
            <sz val="9"/>
            <color indexed="81"/>
            <rFont val="Tahoma"/>
            <family val="2"/>
          </rPr>
          <t>Akram Pc:</t>
        </r>
        <r>
          <rPr>
            <sz val="9"/>
            <color indexed="81"/>
            <rFont val="Tahoma"/>
            <family val="2"/>
          </rPr>
          <t xml:space="preserve">
عطل في بلف  الفرامل والهواء</t>
        </r>
      </text>
    </comment>
    <comment ref="N83" authorId="0" shapeId="0" xr:uid="{E522FCF1-6D26-4ADD-A005-90562849C92D}">
      <text>
        <r>
          <rPr>
            <b/>
            <sz val="9"/>
            <color indexed="81"/>
            <rFont val="Tahoma"/>
            <family val="2"/>
          </rPr>
          <t>Akram Pc:</t>
        </r>
        <r>
          <rPr>
            <sz val="9"/>
            <color indexed="81"/>
            <rFont val="Tahoma"/>
            <family val="2"/>
          </rPr>
          <t xml:space="preserve">
26-3-1447</t>
        </r>
      </text>
    </comment>
    <comment ref="L90" authorId="0" shapeId="0" xr:uid="{E84E08FF-F0F4-475B-80B0-B915E6FB121D}">
      <text>
        <r>
          <rPr>
            <b/>
            <sz val="9"/>
            <color indexed="81"/>
            <rFont val="Tahoma"/>
            <family val="2"/>
          </rPr>
          <t>Akram Pc:</t>
        </r>
        <r>
          <rPr>
            <sz val="9"/>
            <color indexed="81"/>
            <rFont val="Tahoma"/>
            <family val="2"/>
          </rPr>
          <t xml:space="preserve">
أخرى</t>
        </r>
      </text>
    </comment>
    <comment ref="M90" authorId="0" shapeId="0" xr:uid="{B35803F4-EF32-4C5E-BD55-0928799C5C34}">
      <text>
        <r>
          <rPr>
            <b/>
            <sz val="9"/>
            <color indexed="81"/>
            <rFont val="Tahoma"/>
            <family val="2"/>
          </rPr>
          <t>Akram Pc:</t>
        </r>
        <r>
          <rPr>
            <sz val="9"/>
            <color indexed="81"/>
            <rFont val="Tahoma"/>
            <family val="2"/>
          </rPr>
          <t xml:space="preserve">
فحص شامل + السلةعطلانة</t>
        </r>
      </text>
    </comment>
    <comment ref="L97" authorId="0" shapeId="0" xr:uid="{42AEE430-36DD-4529-AADF-B4CFAB9A15A9}">
      <text>
        <r>
          <rPr>
            <b/>
            <sz val="9"/>
            <color indexed="81"/>
            <rFont val="Tahoma"/>
            <family val="2"/>
          </rPr>
          <t>Akram Pc:</t>
        </r>
        <r>
          <rPr>
            <sz val="9"/>
            <color indexed="81"/>
            <rFont val="Tahoma"/>
            <family val="2"/>
          </rPr>
          <t xml:space="preserve">
ميكانيكي</t>
        </r>
      </text>
    </comment>
    <comment ref="M97" authorId="0" shapeId="0" xr:uid="{18DF7EF9-B6A2-4B4B-9065-011EBF4AA5D0}">
      <text>
        <r>
          <rPr>
            <b/>
            <sz val="9"/>
            <color indexed="81"/>
            <rFont val="Tahoma"/>
            <family val="2"/>
          </rPr>
          <t>Akram Pc:</t>
        </r>
        <r>
          <rPr>
            <sz val="9"/>
            <color indexed="81"/>
            <rFont val="Tahoma"/>
            <family val="2"/>
          </rPr>
          <t xml:space="preserve">
تعبئة الهواء</t>
        </r>
      </text>
    </comment>
    <comment ref="L107" authorId="0" shapeId="0" xr:uid="{1A5F4211-EEE3-4E39-81C5-A5EA9ED4B8A0}">
      <text>
        <r>
          <rPr>
            <b/>
            <sz val="9"/>
            <color indexed="81"/>
            <rFont val="Tahoma"/>
            <family val="2"/>
          </rPr>
          <t>Akram Pc:</t>
        </r>
        <r>
          <rPr>
            <sz val="9"/>
            <color indexed="81"/>
            <rFont val="Tahoma"/>
            <family val="2"/>
          </rPr>
          <t xml:space="preserve">
ميكانيكي</t>
        </r>
      </text>
    </comment>
    <comment ref="M107" authorId="0" shapeId="0" xr:uid="{3423A7C4-F4B9-4C12-9995-7DA306F7B564}">
      <text>
        <r>
          <rPr>
            <b/>
            <sz val="9"/>
            <color indexed="81"/>
            <rFont val="Tahoma"/>
            <family val="2"/>
          </rPr>
          <t>Akram Pc:</t>
        </r>
        <r>
          <rPr>
            <sz val="9"/>
            <color indexed="81"/>
            <rFont val="Tahoma"/>
            <family val="2"/>
          </rPr>
          <t xml:space="preserve">
عطل في البواكم الخلفية وبنشر </t>
        </r>
      </text>
    </comment>
    <comment ref="L136" authorId="0" shapeId="0" xr:uid="{6C13AD23-D55F-44AF-903B-6F4F758D5497}">
      <text>
        <r>
          <rPr>
            <b/>
            <sz val="9"/>
            <color indexed="81"/>
            <rFont val="Tahoma"/>
            <family val="2"/>
          </rPr>
          <t>Akram Pc:</t>
        </r>
        <r>
          <rPr>
            <sz val="9"/>
            <color indexed="81"/>
            <rFont val="Tahoma"/>
            <family val="2"/>
          </rPr>
          <t xml:space="preserve">
مضخات</t>
        </r>
      </text>
    </comment>
    <comment ref="M136" authorId="0" shapeId="0" xr:uid="{424AF6AD-01A8-4CA6-AF23-D5CAC8737727}">
      <text>
        <r>
          <rPr>
            <b/>
            <sz val="9"/>
            <color indexed="81"/>
            <rFont val="Tahoma"/>
            <family val="2"/>
          </rPr>
          <t>Akram Pc:</t>
        </r>
        <r>
          <rPr>
            <sz val="9"/>
            <color indexed="81"/>
            <rFont val="Tahoma"/>
            <family val="2"/>
          </rPr>
          <t xml:space="preserve">
تهريب مياه من المضخة</t>
        </r>
      </text>
    </comment>
    <comment ref="L176" authorId="0" shapeId="0" xr:uid="{303C3DE7-65B1-452D-99BE-E8BB67C97A16}">
      <text>
        <r>
          <rPr>
            <b/>
            <sz val="9"/>
            <color indexed="81"/>
            <rFont val="Tahoma"/>
            <family val="2"/>
          </rPr>
          <t>Akram Pc:</t>
        </r>
        <r>
          <rPr>
            <sz val="9"/>
            <color indexed="81"/>
            <rFont val="Tahoma"/>
            <family val="2"/>
          </rPr>
          <t xml:space="preserve">
ميكانيكي</t>
        </r>
      </text>
    </comment>
    <comment ref="M176" authorId="0" shapeId="0" xr:uid="{1F4214D6-2D9D-4742-9F33-8A56F923912F}">
      <text>
        <r>
          <rPr>
            <b/>
            <sz val="9"/>
            <color indexed="81"/>
            <rFont val="Tahoma"/>
            <family val="2"/>
          </rPr>
          <t>Akram Pc:</t>
        </r>
        <r>
          <rPr>
            <sz val="9"/>
            <color indexed="81"/>
            <rFont val="Tahoma"/>
            <family val="2"/>
          </rPr>
          <t xml:space="preserve">
السلم لايفرد + عطل حساس الميلان</t>
        </r>
      </text>
    </comment>
    <comment ref="Q176" authorId="0" shapeId="0" xr:uid="{D2AB3DBE-FA69-4E6E-9BD1-450836B8F212}">
      <text>
        <r>
          <rPr>
            <b/>
            <sz val="9"/>
            <color indexed="81"/>
            <rFont val="Tahoma"/>
            <family val="2"/>
          </rPr>
          <t>Akram Pc:</t>
        </r>
        <r>
          <rPr>
            <sz val="9"/>
            <color indexed="81"/>
            <rFont val="Tahoma"/>
            <family val="2"/>
          </rPr>
          <t xml:space="preserve">
بلد 5</t>
        </r>
      </text>
    </comment>
    <comment ref="L182" authorId="0" shapeId="0" xr:uid="{2ACC830A-0F33-4F64-A291-8649E7459221}">
      <text>
        <r>
          <rPr>
            <b/>
            <sz val="9"/>
            <color indexed="81"/>
            <rFont val="Tahoma"/>
            <family val="2"/>
          </rPr>
          <t>Akram Pc:</t>
        </r>
        <r>
          <rPr>
            <sz val="9"/>
            <color indexed="81"/>
            <rFont val="Tahoma"/>
            <family val="2"/>
          </rPr>
          <t xml:space="preserve">
كفرات</t>
        </r>
      </text>
    </comment>
    <comment ref="M182" authorId="0" shapeId="0" xr:uid="{76FCB8C6-9CEA-4952-BAAA-202412F4CD84}">
      <text>
        <r>
          <rPr>
            <b/>
            <sz val="9"/>
            <color indexed="81"/>
            <rFont val="Tahoma"/>
            <family val="2"/>
          </rPr>
          <t>Akram Pc:</t>
        </r>
        <r>
          <rPr>
            <sz val="9"/>
            <color indexed="81"/>
            <rFont val="Tahoma"/>
            <family val="2"/>
          </rPr>
          <t xml:space="preserve">
بنشر</t>
        </r>
      </text>
    </comment>
    <comment ref="L184" authorId="0" shapeId="0" xr:uid="{7DB4045E-5433-41B9-BAB6-AA8E86BB5579}">
      <text>
        <r>
          <rPr>
            <b/>
            <sz val="9"/>
            <color indexed="81"/>
            <rFont val="Tahoma"/>
            <family val="2"/>
          </rPr>
          <t>Akram Pc:</t>
        </r>
        <r>
          <rPr>
            <sz val="9"/>
            <color indexed="81"/>
            <rFont val="Tahoma"/>
            <family val="2"/>
          </rPr>
          <t xml:space="preserve">
كهربائي</t>
        </r>
      </text>
    </comment>
    <comment ref="M184" authorId="0" shapeId="0" xr:uid="{B9D9A841-7287-4038-8DEE-162A60CDA15E}">
      <text>
        <r>
          <rPr>
            <b/>
            <sz val="9"/>
            <color indexed="81"/>
            <rFont val="Tahoma"/>
            <family val="2"/>
          </rPr>
          <t>Akram Pc:</t>
        </r>
        <r>
          <rPr>
            <sz val="9"/>
            <color indexed="81"/>
            <rFont val="Tahoma"/>
            <family val="2"/>
          </rPr>
          <t xml:space="preserve">
تهريب كهرباء وعطل في الدينمو</t>
        </r>
      </text>
    </comment>
    <comment ref="Q184" authorId="0" shapeId="0" xr:uid="{19F16D64-FEB4-4A99-BA9D-2133DD6CAC0A}">
      <text>
        <r>
          <rPr>
            <b/>
            <sz val="9"/>
            <color indexed="81"/>
            <rFont val="Tahoma"/>
            <family val="2"/>
          </rPr>
          <t>Akram Pc:</t>
        </r>
        <r>
          <rPr>
            <sz val="9"/>
            <color indexed="81"/>
            <rFont val="Tahoma"/>
            <family val="2"/>
          </rPr>
          <t xml:space="preserve">
صفا 5</t>
        </r>
      </text>
    </comment>
    <comment ref="L191" authorId="0" shapeId="0" xr:uid="{D813735B-6334-4A02-BEC5-0B039F7E4B62}">
      <text>
        <r>
          <rPr>
            <b/>
            <sz val="9"/>
            <color indexed="81"/>
            <rFont val="Tahoma"/>
            <family val="2"/>
          </rPr>
          <t>Akram Pc:</t>
        </r>
        <r>
          <rPr>
            <sz val="9"/>
            <color indexed="81"/>
            <rFont val="Tahoma"/>
            <family val="2"/>
          </rPr>
          <t xml:space="preserve">
مضخات</t>
        </r>
      </text>
    </comment>
    <comment ref="M191" authorId="0" shapeId="0" xr:uid="{6A4FACD6-2CC4-4E58-BA96-8DD5F0944D73}">
      <text>
        <r>
          <rPr>
            <b/>
            <sz val="9"/>
            <color indexed="81"/>
            <rFont val="Tahoma"/>
            <family val="2"/>
          </rPr>
          <t>Akram Pc:</t>
        </r>
        <r>
          <rPr>
            <sz val="9"/>
            <color indexed="81"/>
            <rFont val="Tahoma"/>
            <family val="2"/>
          </rPr>
          <t xml:space="preserve">
عطل بالمضخة</t>
        </r>
      </text>
    </comment>
    <comment ref="N191" authorId="0" shapeId="0" xr:uid="{7AF5D578-53AC-45CB-AAFB-29BE5D9ECD0A}">
      <text>
        <r>
          <rPr>
            <b/>
            <sz val="9"/>
            <color indexed="81"/>
            <rFont val="Tahoma"/>
            <family val="2"/>
          </rPr>
          <t>Akram Pc:</t>
        </r>
        <r>
          <rPr>
            <sz val="9"/>
            <color indexed="81"/>
            <rFont val="Tahoma"/>
            <family val="2"/>
          </rPr>
          <t xml:space="preserve">
11-4-1447</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F4F676-BC2D-4BEE-BFA6-3B4B33FE9D74}" keepAlive="1" name="ThisWorkbookDataModel" description="نموذج البيانات"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0000000}" name="اتصال" type="4" refreshedVersion="4" minRefreshableVersion="1" background="1" saveData="1">
    <webPr sourceData="1" parsePre="1" consecutive="1" xl2000="1" url="http://10.16.19.109/reports/rwservlet?report=C:\ADMINS\FMB\CAR_OHDA_DETAIL2_MOD1.rdf&amp;OWNERCAT=99&amp;OWNERID=30200013&amp;userid=STKB/STKB@CVD&amp;destype=cache&amp;desformat=xm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<sst xmlns="http://schemas.openxmlformats.org/spreadsheetml/2006/main" count="27178" uniqueCount="2735">
  <si>
    <t>الإدارة العامة للدفاع المدني بمحافظة جدة/مديرية منطقة مكة المكرمة</t>
  </si>
  <si>
    <t>ادارة  العمليات</t>
  </si>
  <si>
    <t>سيارة صالون رسميه شفرليت</t>
  </si>
  <si>
    <t>ب ع ص 2226</t>
  </si>
  <si>
    <t>رسمية - اخضر</t>
  </si>
  <si>
    <t>صالون</t>
  </si>
  <si>
    <t>1GNSK6E01BR240713</t>
  </si>
  <si>
    <t>سيارة جيب 4 باب تويوتا مدني</t>
  </si>
  <si>
    <t>ب ك ك 7525</t>
  </si>
  <si>
    <t>ابيض - مدنية</t>
  </si>
  <si>
    <t>جيب</t>
  </si>
  <si>
    <t>JTMDU09J1B4042622</t>
  </si>
  <si>
    <t>شعبة الشؤون الفنية</t>
  </si>
  <si>
    <t>سيارة جيب 4 باب نيسان رسمي</t>
  </si>
  <si>
    <t>ا ع ا 9365</t>
  </si>
  <si>
    <t>باترول 4 باب</t>
  </si>
  <si>
    <t>jn6by11y45x507233</t>
  </si>
  <si>
    <t>سيارة جيب شاص تويوتا رسمي</t>
  </si>
  <si>
    <t>ا ن ح 4752</t>
  </si>
  <si>
    <t>رسمية - اصفر</t>
  </si>
  <si>
    <t>بكب غمارة</t>
  </si>
  <si>
    <t>JTFLU71JXD4310745</t>
  </si>
  <si>
    <t>سيارة ونيت مصندق تويوتا رسمي</t>
  </si>
  <si>
    <t>ا د ه 3702</t>
  </si>
  <si>
    <t>أ ح و 6691</t>
  </si>
  <si>
    <t>MR0AX12G880018159</t>
  </si>
  <si>
    <t>ا ر ح 5046</t>
  </si>
  <si>
    <t>MR0AX12GX90022814</t>
  </si>
  <si>
    <t>إدارة الشؤون الإدارية</t>
  </si>
  <si>
    <t>سيارة جيب 4 باب ديهاتسو رسمي</t>
  </si>
  <si>
    <t>ب ق د 3882</t>
  </si>
  <si>
    <t>JD2GJ5226B1121079</t>
  </si>
  <si>
    <t>سيارة ونيت (بيك أب) شفرليت رسمي</t>
  </si>
  <si>
    <t>ص س ع 576</t>
  </si>
  <si>
    <t>MPADL34P56H562883</t>
  </si>
  <si>
    <t>الدفاع المدني/مديرية منطقة مكة المكرمة/الإدارة العامة للدفاع المدني بمحافظة جدة</t>
  </si>
  <si>
    <t>مركز التدخل في المواد الخطرة بالميناء</t>
  </si>
  <si>
    <t>ا ن ل 6409</t>
  </si>
  <si>
    <t>JN6BY11Y89X518144</t>
  </si>
  <si>
    <t>مركز التدخل في المواد الخطرة ببريمان</t>
  </si>
  <si>
    <t>شاحنة مخصصة لأعمال التطهير</t>
  </si>
  <si>
    <t>ا ه و 7367</t>
  </si>
  <si>
    <t>شاحنة</t>
  </si>
  <si>
    <t>WDB9301635L779819</t>
  </si>
  <si>
    <t>سيارة خفيفة للتدخل في الحوادث الصناعية والمواد الخطرة</t>
  </si>
  <si>
    <t>ا و م 4965</t>
  </si>
  <si>
    <t>WDAX01931EN149807</t>
  </si>
  <si>
    <t>ا ن ل 6440</t>
  </si>
  <si>
    <t>JN6BY11Y39X518147</t>
  </si>
  <si>
    <t>مركز الدفاع المدني بذهبان</t>
  </si>
  <si>
    <t>سيارة اطفاء كبيره روزنباور</t>
  </si>
  <si>
    <t>ا ه د 1273</t>
  </si>
  <si>
    <t>سيارة اطفاء</t>
  </si>
  <si>
    <t>54F2AA503DWE10188</t>
  </si>
  <si>
    <t>وايت سكس مرسيدس بمضخه وقاذف</t>
  </si>
  <si>
    <t>أ ن ط 2504</t>
  </si>
  <si>
    <t>صهريج سكس</t>
  </si>
  <si>
    <t>WDAKHAAA8DL716859</t>
  </si>
  <si>
    <t>مركز الدفاع المدني بمخطط الرحيلي</t>
  </si>
  <si>
    <t>54F2AA50XCWE10025</t>
  </si>
  <si>
    <t>WDAKHAAA0CL632520</t>
  </si>
  <si>
    <t>مركز الدفاع المدني بالروضة</t>
  </si>
  <si>
    <t>ا و س 7247</t>
  </si>
  <si>
    <t>54F2AA503DWE10336</t>
  </si>
  <si>
    <t>سيارات انقاذ كبيرة فورد</t>
  </si>
  <si>
    <t>ا ب م 7402</t>
  </si>
  <si>
    <t>اب اف 350</t>
  </si>
  <si>
    <t>1FDWW37Y48EB05401</t>
  </si>
  <si>
    <t>ا و س 7019</t>
  </si>
  <si>
    <t>WDAKHAAA1EL830249</t>
  </si>
  <si>
    <t>ا ك ى 8251</t>
  </si>
  <si>
    <t>WDAKHAAA9BL560389</t>
  </si>
  <si>
    <t>مركز الدفاع المدني بالفيصلية</t>
  </si>
  <si>
    <t>ا و س 7235</t>
  </si>
  <si>
    <t>54F2AA500DWE10343</t>
  </si>
  <si>
    <t>ا و ع 4791</t>
  </si>
  <si>
    <t>WDAKHAAA7EL836041</t>
  </si>
  <si>
    <t>مركز الدفاع المدني بالأندلس</t>
  </si>
  <si>
    <t>ا و م 7633</t>
  </si>
  <si>
    <t>54F2AA506EWE10641</t>
  </si>
  <si>
    <t>أ ن ب 3911</t>
  </si>
  <si>
    <t>WDAKHAAA5DL713403</t>
  </si>
  <si>
    <t>مركز الدفاع المدني بالصفا</t>
  </si>
  <si>
    <t>ا و س 7553</t>
  </si>
  <si>
    <t>54F2AA50XDWE10267</t>
  </si>
  <si>
    <t>ب ا ق 1436</t>
  </si>
  <si>
    <t>WDAKHAAA1FL946682</t>
  </si>
  <si>
    <t>ب ح ل 3161</t>
  </si>
  <si>
    <t>WDAKHAAA4G0038827</t>
  </si>
  <si>
    <t>مركز الدفاع المدني بالسالمية</t>
  </si>
  <si>
    <t>ا ه س 2233</t>
  </si>
  <si>
    <t>54F2AA508DWE10221</t>
  </si>
  <si>
    <t>أ ن ط 2496</t>
  </si>
  <si>
    <t>WDAKHAAA5DL716852</t>
  </si>
  <si>
    <t>ا ه س 2260</t>
  </si>
  <si>
    <t>WDAKHAAAXDL758319</t>
  </si>
  <si>
    <t>سيارة جيب 2 باب نيسان رسمي</t>
  </si>
  <si>
    <t>ي أ ل 48</t>
  </si>
  <si>
    <t>JN8BY14Y68X536465</t>
  </si>
  <si>
    <t>مركز الدفاع المدني بالألفية</t>
  </si>
  <si>
    <t>ا ن ل 4630</t>
  </si>
  <si>
    <t>54F2AA507CWE10127</t>
  </si>
  <si>
    <t>وايت عادي مرسيدس بمضخة وقاذف</t>
  </si>
  <si>
    <t>أ ص م 3747</t>
  </si>
  <si>
    <t>صهريج عادي</t>
  </si>
  <si>
    <t>أ ن ع 8482</t>
  </si>
  <si>
    <t>WDAKAAA4DL732525</t>
  </si>
  <si>
    <t>مركز الدفاع المدني ببريمان</t>
  </si>
  <si>
    <t>ب ا ق 5756</t>
  </si>
  <si>
    <t>54F2AA508FWE11078</t>
  </si>
  <si>
    <t>أ م ب 1858</t>
  </si>
  <si>
    <t>WDAKHAAA5CL633727</t>
  </si>
  <si>
    <t>مركز الدفاع المدني بالحمدانية</t>
  </si>
  <si>
    <t>54F2AA500CWE10034</t>
  </si>
  <si>
    <t>وايت عادي اكتروس بمضخه وقاذف</t>
  </si>
  <si>
    <t>س و ح 361</t>
  </si>
  <si>
    <t>WDB9500131K798212</t>
  </si>
  <si>
    <t>WDAKHAAA9CL631866</t>
  </si>
  <si>
    <t>مركز الدفاع المدني بالحرزات الشرقي</t>
  </si>
  <si>
    <t>ا ن و 5242</t>
  </si>
  <si>
    <t>54F2AA502DWE10165</t>
  </si>
  <si>
    <t>ا د م 2611</t>
  </si>
  <si>
    <t>ب ح ل 3070</t>
  </si>
  <si>
    <t>WDAKHAAA2G0038034</t>
  </si>
  <si>
    <t>م ن ى 683</t>
  </si>
  <si>
    <t>JN6BY11Y55X507080</t>
  </si>
  <si>
    <t>مركز الدفاع المدني بالمحاميد</t>
  </si>
  <si>
    <t>ا ن ط 2404</t>
  </si>
  <si>
    <t>54F2AA506CWE10037</t>
  </si>
  <si>
    <t>ا م ك 4421</t>
  </si>
  <si>
    <t>WDAKHAAA8CL671632</t>
  </si>
  <si>
    <t>مركز الدفاع المدني بالسنابل</t>
  </si>
  <si>
    <t>ا ص م 3544</t>
  </si>
  <si>
    <t>44KFT42894WZ20430</t>
  </si>
  <si>
    <t>ا ص م 3875</t>
  </si>
  <si>
    <t>44KFT428XAWZ21758</t>
  </si>
  <si>
    <t>سيارات انقاذ صغيرة فورد</t>
  </si>
  <si>
    <t>ا ع ك 7739</t>
  </si>
  <si>
    <t>1FD8W3H67DEB64460</t>
  </si>
  <si>
    <t>ا ن ع 8479</t>
  </si>
  <si>
    <t>WDAKHAAA6DL710655</t>
  </si>
  <si>
    <t>ع ص و 884</t>
  </si>
  <si>
    <t>JN8BY15Y21X462157</t>
  </si>
  <si>
    <t>مركز الدفاع المدني بالصناعية الثانية</t>
  </si>
  <si>
    <t>ا ه س 2217</t>
  </si>
  <si>
    <t>54F2AA503DWE10207</t>
  </si>
  <si>
    <t>ا ن ط 2503</t>
  </si>
  <si>
    <t>WDAKHAAA0DL716855</t>
  </si>
  <si>
    <t>مركز الدفاع المدني بطريق الساحل</t>
  </si>
  <si>
    <t>ا ن ط 2403</t>
  </si>
  <si>
    <t>54F2AA501CWE10043</t>
  </si>
  <si>
    <t>ب ا د 8343</t>
  </si>
  <si>
    <t>WDAKHAAA2FL921404</t>
  </si>
  <si>
    <t>مركز الدفاع المدني بالكورنيش الجنوبي</t>
  </si>
  <si>
    <t>ا ن ط 2406</t>
  </si>
  <si>
    <t>54F2AA50XCWE10039</t>
  </si>
  <si>
    <t>ب ا د 8783</t>
  </si>
  <si>
    <t>1FD8W3H62FEB41171</t>
  </si>
  <si>
    <t>وايت عادي مرسيدس بمضخة</t>
  </si>
  <si>
    <t>ا د م 2805</t>
  </si>
  <si>
    <t>WDB34600155750633</t>
  </si>
  <si>
    <t>ا د م 2815</t>
  </si>
  <si>
    <t>ا م ب 5814</t>
  </si>
  <si>
    <t>WDAKHAAA1DL691819</t>
  </si>
  <si>
    <t>ا ن ط 2497</t>
  </si>
  <si>
    <t>WDAKHAAA7DL716853</t>
  </si>
  <si>
    <t>مركز الدفاع المدني بالحمراء</t>
  </si>
  <si>
    <t>ا و ع 4404</t>
  </si>
  <si>
    <t>54F2AA501EWE10370</t>
  </si>
  <si>
    <t>ب ب ا 2217</t>
  </si>
  <si>
    <t>1FD8W3H66FEB41108</t>
  </si>
  <si>
    <t>ح س ل 107</t>
  </si>
  <si>
    <t>WDB9500131K798003</t>
  </si>
  <si>
    <t>ا ن ط 2483</t>
  </si>
  <si>
    <t>WDAKHAAA7DL727268</t>
  </si>
  <si>
    <t>شعبة الموارد البشرية</t>
  </si>
  <si>
    <t>ى ط ل 447</t>
  </si>
  <si>
    <t>jn6by11y58x516656</t>
  </si>
  <si>
    <t>سيارة جيب 4 باب تويوتا رسمي</t>
  </si>
  <si>
    <t>ح ا ص 1931</t>
  </si>
  <si>
    <t>JTMJU09J8D4072597</t>
  </si>
  <si>
    <t>المكتب</t>
  </si>
  <si>
    <t>ح ى ر 4923</t>
  </si>
  <si>
    <t>تاهو</t>
  </si>
  <si>
    <t>1GNSK7ECXGR206146</t>
  </si>
  <si>
    <t>ح ا ص 1845</t>
  </si>
  <si>
    <t>JTMJU09J9D4072737</t>
  </si>
  <si>
    <t>مركز الدفاع المدني بدرة العروس</t>
  </si>
  <si>
    <t>ا ن و 5250</t>
  </si>
  <si>
    <t>54F2AA500DWE10178</t>
  </si>
  <si>
    <t>ا و م 7670</t>
  </si>
  <si>
    <t>WDAKHAAA0EL867373</t>
  </si>
  <si>
    <t>مركز الدفاع المدني بحى السلامة</t>
  </si>
  <si>
    <t>ا ص م 3834</t>
  </si>
  <si>
    <t>44KFT4288AWZ21757</t>
  </si>
  <si>
    <t>ر ص س 200</t>
  </si>
  <si>
    <t>ا و س 7036</t>
  </si>
  <si>
    <t>WDAKHAAA3EL799084</t>
  </si>
  <si>
    <t>مركز الدفاع المدني بحى الحرازات الشمالي</t>
  </si>
  <si>
    <t>ا ن ل 4628</t>
  </si>
  <si>
    <t>54F2AA504CWE10134</t>
  </si>
  <si>
    <t>ا ن ب 3896</t>
  </si>
  <si>
    <t>WDAKHAAA6DL715791</t>
  </si>
  <si>
    <t>ب ح ل 3138</t>
  </si>
  <si>
    <t>WDAKHAAA6G0038036</t>
  </si>
  <si>
    <t>مركز الدفاع المدني بحى النخيل</t>
  </si>
  <si>
    <t>ا و س 7259</t>
  </si>
  <si>
    <t>54F2AA509DWE10325</t>
  </si>
  <si>
    <t>ا و س 7042</t>
  </si>
  <si>
    <t>WDAKHAAA2EL797195</t>
  </si>
  <si>
    <t>وايت سكس اكتروس بمضخه وقاذف</t>
  </si>
  <si>
    <t>ا ر ا 7192</t>
  </si>
  <si>
    <t>WDAKHCAB59L380244</t>
  </si>
  <si>
    <t>ه ا ب 647</t>
  </si>
  <si>
    <t>JN8BY14Y75X521226</t>
  </si>
  <si>
    <t>مركز الدفاع المدني بابحرالشمالية</t>
  </si>
  <si>
    <t>ا ه د 1272</t>
  </si>
  <si>
    <t>54F2AA508DWE10185</t>
  </si>
  <si>
    <t>ا ى ن 2716</t>
  </si>
  <si>
    <t>WDAKHAAA8FL902839</t>
  </si>
  <si>
    <t>مركز الدفاع المدني بحى المنار</t>
  </si>
  <si>
    <t>ا ه د 1274</t>
  </si>
  <si>
    <t>54F2AA503DWE10191</t>
  </si>
  <si>
    <t>أ م ن 8199</t>
  </si>
  <si>
    <t>1FD8W3H65CEB64472</t>
  </si>
  <si>
    <t>ا و م 2878</t>
  </si>
  <si>
    <t>WDAKHAAA4EL857560</t>
  </si>
  <si>
    <t>ق ك ك 493</t>
  </si>
  <si>
    <t>JN8BY14Y52X445548</t>
  </si>
  <si>
    <t>مركز الدفاع المدني بقصر الجزيرة بثول</t>
  </si>
  <si>
    <t>سيارة اطفاء وانقاذ مزدوجه مرسيدس</t>
  </si>
  <si>
    <t>ا م ب 9496</t>
  </si>
  <si>
    <t>WDAYHCAA3CL616897</t>
  </si>
  <si>
    <t>س ى ط 435</t>
  </si>
  <si>
    <t>WDB9300141K843650</t>
  </si>
  <si>
    <t>ص ل ع 255</t>
  </si>
  <si>
    <t>فان</t>
  </si>
  <si>
    <t>1FDWW37Y16EC99611</t>
  </si>
  <si>
    <t>ا ى ن 2713</t>
  </si>
  <si>
    <t>WDAKHAAA5FL900997</t>
  </si>
  <si>
    <t>مركز الدفاع المدني بالبحارة بثول</t>
  </si>
  <si>
    <t>ا و س 7266</t>
  </si>
  <si>
    <t>54F2AA508DWE10297</t>
  </si>
  <si>
    <t>ا ن ط 2420</t>
  </si>
  <si>
    <t>1FD8W3H64CEB64480</t>
  </si>
  <si>
    <t>سيارة اسعاف صالون جمس</t>
  </si>
  <si>
    <t>و ص ر 276</t>
  </si>
  <si>
    <t>لم يسجل</t>
  </si>
  <si>
    <t>1GKFK16T06J174136</t>
  </si>
  <si>
    <t>WDB34600152728951</t>
  </si>
  <si>
    <t>ا ه س 8336</t>
  </si>
  <si>
    <t>WDAKHAAA7DL772825</t>
  </si>
  <si>
    <t>ا ص م 3347</t>
  </si>
  <si>
    <t>WDB9301635L108402</t>
  </si>
  <si>
    <t>ص ه م 268</t>
  </si>
  <si>
    <t>WDB9301635L162534</t>
  </si>
  <si>
    <t>ب ق م 3412</t>
  </si>
  <si>
    <t>JTMDU09J2B4040688</t>
  </si>
  <si>
    <t>ن ى م 701</t>
  </si>
  <si>
    <t>JN6BY11Y96X511070</t>
  </si>
  <si>
    <t>ح م ح 4348</t>
  </si>
  <si>
    <t>يتريوس</t>
  </si>
  <si>
    <t>JD2GJ5224G3012874</t>
  </si>
  <si>
    <t>ادارة  العمليات/الإدارة العامة للدفاع المدني بمحافظة جدة</t>
  </si>
  <si>
    <t>شعبة التحقيق</t>
  </si>
  <si>
    <t>سيارة جيب 2 باب تويوتا رسمي</t>
  </si>
  <si>
    <t>أ ه س 2818</t>
  </si>
  <si>
    <t>JTEFJ71J630002827</t>
  </si>
  <si>
    <t>ح ا ص 1955</t>
  </si>
  <si>
    <t>JTMJU09J1D4071579</t>
  </si>
  <si>
    <t>قسم الدعم والإسناد الأول</t>
  </si>
  <si>
    <t>سيارة اطفاء كبيره فورد</t>
  </si>
  <si>
    <t>ا ر ل 2031</t>
  </si>
  <si>
    <t>1FDXW47F12EC32090</t>
  </si>
  <si>
    <t>س د ق 485</t>
  </si>
  <si>
    <t>44KFT42804WZ20266</t>
  </si>
  <si>
    <t>ا و م 2889</t>
  </si>
  <si>
    <t>54F2AA500EWE10621</t>
  </si>
  <si>
    <t>ب ا د 8239</t>
  </si>
  <si>
    <t>54F2AA501FWE11052</t>
  </si>
  <si>
    <t>ا ى ن 6494</t>
  </si>
  <si>
    <t>54F2AA507FWE11010</t>
  </si>
  <si>
    <t>ا ح ع 3196</t>
  </si>
  <si>
    <t>1FDWW37Y78EB05408</t>
  </si>
  <si>
    <t>ا ص م 3845</t>
  </si>
  <si>
    <t>1FDWW3HY6AEA69487</t>
  </si>
  <si>
    <t>ا ع ك 7732</t>
  </si>
  <si>
    <t>1FD8W3H63DEB64553</t>
  </si>
  <si>
    <t>ب ب ا 2174</t>
  </si>
  <si>
    <t>1FD8W3H64FEB41074</t>
  </si>
  <si>
    <t>سيارة سلالم 28 متر</t>
  </si>
  <si>
    <t>أ ص م 3546</t>
  </si>
  <si>
    <t>WJMA1VRM004313301</t>
  </si>
  <si>
    <t>سيارة سلالم 52 متر</t>
  </si>
  <si>
    <t>ا ر ر 9193</t>
  </si>
  <si>
    <t>WJME2NST20C185158</t>
  </si>
  <si>
    <t>سيارة سنوركل</t>
  </si>
  <si>
    <t>ح ا ب 750</t>
  </si>
  <si>
    <t>4EN3AAA82W1008818</t>
  </si>
  <si>
    <t>سيارة قيادة عمليات ميدانية افيكو</t>
  </si>
  <si>
    <t>ب ا ص 5056</t>
  </si>
  <si>
    <t>ZCF1TMD8D2611929</t>
  </si>
  <si>
    <t>سيارة انارة</t>
  </si>
  <si>
    <t>ا م م 1074</t>
  </si>
  <si>
    <t>اف 450</t>
  </si>
  <si>
    <t>1FDTF4HY1CEB64437</t>
  </si>
  <si>
    <t>ب ب ا 5823</t>
  </si>
  <si>
    <t>1FDTF4HY3FEB64234</t>
  </si>
  <si>
    <t>سيارة بمروحة لدفع الهواء وطرد الدخان</t>
  </si>
  <si>
    <t>ا ل ط 1006</t>
  </si>
  <si>
    <t>1fduf5ht2bec59229</t>
  </si>
  <si>
    <t>سيارة فان افيكو رسمي للتجهيزات الفنية لوحدة الغواصين</t>
  </si>
  <si>
    <t>ا ك ب 4812</t>
  </si>
  <si>
    <t>ZCFC50AD4B5836876</t>
  </si>
  <si>
    <t>سيارة تعبئة اجهزة التنفس مرسيدس</t>
  </si>
  <si>
    <t>ا م ط 4142</t>
  </si>
  <si>
    <t>1fvacycs8chbu9888</t>
  </si>
  <si>
    <t>شاحنة لأعمال التدخل والانقاذ في حوادث الزلازل</t>
  </si>
  <si>
    <t>أ ص م 3985</t>
  </si>
  <si>
    <t>WDAJ01933BN141645</t>
  </si>
  <si>
    <t>ص ى ع 924</t>
  </si>
  <si>
    <t>zcfc5090005612684</t>
  </si>
  <si>
    <t>سيارة شفرليت رسمية للأخلاء الطبي</t>
  </si>
  <si>
    <t>ب ح و 4377</t>
  </si>
  <si>
    <t>شفروليت سلفرادو</t>
  </si>
  <si>
    <t>1GCPY9EH3KZ276844</t>
  </si>
  <si>
    <t>WDB34600155905228</t>
  </si>
  <si>
    <t>س ق ه 681</t>
  </si>
  <si>
    <t>WDB9300131K919555</t>
  </si>
  <si>
    <t>س ق ه 426</t>
  </si>
  <si>
    <t>wdb9300131k918229</t>
  </si>
  <si>
    <t>ب ا د 8349</t>
  </si>
  <si>
    <t>WDAKHAAA1FL930224</t>
  </si>
  <si>
    <t>ب ا ق 5850</t>
  </si>
  <si>
    <t>WDAKHAAA2FL935545</t>
  </si>
  <si>
    <t>ب ح ق 7141</t>
  </si>
  <si>
    <t>WDAKHAAA3G0006113</t>
  </si>
  <si>
    <t>ب ا ق 5860</t>
  </si>
  <si>
    <t>WDAKHAAA7FL946069</t>
  </si>
  <si>
    <t>ب ح ق 7138</t>
  </si>
  <si>
    <t>WDAKHAAA8G0005037</t>
  </si>
  <si>
    <t>ا ك ى 8250</t>
  </si>
  <si>
    <t>WDAKHAAA9BL560179</t>
  </si>
  <si>
    <t>ا ك ى 1592</t>
  </si>
  <si>
    <t>WDAKHAAA9BL566712</t>
  </si>
  <si>
    <t>ب ح ق 7117</t>
  </si>
  <si>
    <t>WDAKHAAA9G0000140</t>
  </si>
  <si>
    <t>ا ر ا 7190</t>
  </si>
  <si>
    <t>WDAKHCABX9L372950</t>
  </si>
  <si>
    <t>رافعة 50 طن</t>
  </si>
  <si>
    <t>ا ق ى 7557</t>
  </si>
  <si>
    <t>كرين</t>
  </si>
  <si>
    <t>JTX4255A660DC0024</t>
  </si>
  <si>
    <t>رافعة شوكية</t>
  </si>
  <si>
    <t>ا ا ك 5156</t>
  </si>
  <si>
    <t>رافعة تلسكوبيه</t>
  </si>
  <si>
    <t>غراف شيول كبير</t>
  </si>
  <si>
    <t>ا ح ب 1779</t>
  </si>
  <si>
    <t>شيول</t>
  </si>
  <si>
    <t>CAT0980HKJMS04267</t>
  </si>
  <si>
    <t>جرافة تركتر كبير</t>
  </si>
  <si>
    <t>ا س ق 2410</t>
  </si>
  <si>
    <t>تريكتر</t>
  </si>
  <si>
    <t>48W14586</t>
  </si>
  <si>
    <t>حفار ودقاق بوكلين</t>
  </si>
  <si>
    <t>ا ب ح 6452</t>
  </si>
  <si>
    <t>200L35354</t>
  </si>
  <si>
    <t>حواس</t>
  </si>
  <si>
    <t>ا ق ى 7559</t>
  </si>
  <si>
    <t>N6M430345</t>
  </si>
  <si>
    <t>تيدر نقل محروقات صناعه وطنيه</t>
  </si>
  <si>
    <t>ا ك ل 2362</t>
  </si>
  <si>
    <t>JAMLP3457B7P02403</t>
  </si>
  <si>
    <t>ى ا ل 472</t>
  </si>
  <si>
    <t>JN8BY14Y18X536423</t>
  </si>
  <si>
    <t>ق ه ه 205</t>
  </si>
  <si>
    <t>غير مخصصة</t>
  </si>
  <si>
    <t>باترول 2 باب</t>
  </si>
  <si>
    <t>jn8by14y22x445684</t>
  </si>
  <si>
    <t>ح ا ص 8260</t>
  </si>
  <si>
    <t>JTMJU09J8D4072566</t>
  </si>
  <si>
    <t>ب ر ق 2086</t>
  </si>
  <si>
    <t>JN8FY15Y1AX581559</t>
  </si>
  <si>
    <t>ا ح ك 4846</t>
  </si>
  <si>
    <t>جيب بكب</t>
  </si>
  <si>
    <t>JTFLJ1J188016304</t>
  </si>
  <si>
    <t>ا ص ط 4840</t>
  </si>
  <si>
    <t>jtflj71j698018387</t>
  </si>
  <si>
    <t>سيارة ونيت (بيك أب) جمس رسمي</t>
  </si>
  <si>
    <t>ص ع س 432</t>
  </si>
  <si>
    <t>1gtek14v76e216225</t>
  </si>
  <si>
    <t>سيارة لوري عادي مرسيدس</t>
  </si>
  <si>
    <t>ر ص س 723</t>
  </si>
  <si>
    <t>رسمية - زيتي</t>
  </si>
  <si>
    <t>لوري</t>
  </si>
  <si>
    <t>سيارة رآس تريلا سكس افيكو</t>
  </si>
  <si>
    <t>ب د ق 3654</t>
  </si>
  <si>
    <t>تريلا</t>
  </si>
  <si>
    <t>WJMS3TSE7JC386908</t>
  </si>
  <si>
    <t>سيارة رآس تريلا سكس فولفو</t>
  </si>
  <si>
    <t>ب ا ص 9514</t>
  </si>
  <si>
    <t>YV2RSW0D6F0930183</t>
  </si>
  <si>
    <t>سيارة قلاب عادي مرسيدس</t>
  </si>
  <si>
    <t>سيارة نقل سطحة ايسوزو</t>
  </si>
  <si>
    <t>ا ر ل 1875</t>
  </si>
  <si>
    <t>JALK6A13957100181</t>
  </si>
  <si>
    <t>سيارة نقل عفش ايسوزو</t>
  </si>
  <si>
    <t>ا ح ن 5467</t>
  </si>
  <si>
    <t>دينا</t>
  </si>
  <si>
    <t>JAMLP34GX87P10005</t>
  </si>
  <si>
    <t>سيارة نقل ثلاجة ايسوزو</t>
  </si>
  <si>
    <t>ا ط ا 3095</t>
  </si>
  <si>
    <t>JAMKP34H597P04523</t>
  </si>
  <si>
    <t>سيارة ونش سحب مرسيدس سكس</t>
  </si>
  <si>
    <t>ب ا د 4513</t>
  </si>
  <si>
    <t>ونش</t>
  </si>
  <si>
    <t>WDASHAAA3FL921086</t>
  </si>
  <si>
    <t>ا ل ط 1122</t>
  </si>
  <si>
    <t>WDASHAAA4BL590254</t>
  </si>
  <si>
    <t>ا ع ك 7362</t>
  </si>
  <si>
    <t>WDASHAAA7DL778589</t>
  </si>
  <si>
    <t>دراجة نارية ياماها 250</t>
  </si>
  <si>
    <t>ص ا  661</t>
  </si>
  <si>
    <t>دراجة نارية</t>
  </si>
  <si>
    <t>JYA4TN00000014030</t>
  </si>
  <si>
    <t>إدارة السلامة</t>
  </si>
  <si>
    <t>ب ق م 7027</t>
  </si>
  <si>
    <t>JTMDU09JB4040605</t>
  </si>
  <si>
    <t>ب ل ط 3883</t>
  </si>
  <si>
    <t>JN8FY15Y4CX590307</t>
  </si>
  <si>
    <t>شعبة الدفاع المدني الميدانية بالمروة</t>
  </si>
  <si>
    <t>سيارة اسعاف فان جمس</t>
  </si>
  <si>
    <t>ا ه ب 4098</t>
  </si>
  <si>
    <t>رسمية - اصفر وابيض</t>
  </si>
  <si>
    <t>1GTW78CG2C1195465</t>
  </si>
  <si>
    <t>سيارة سلالم 30 متر</t>
  </si>
  <si>
    <t>ب ا د 8473</t>
  </si>
  <si>
    <t>WDAYHCAA2FL910554</t>
  </si>
  <si>
    <t>سيارة جمس رسمي لنقل اسطوانات التنفس</t>
  </si>
  <si>
    <t>ا ق س 1679</t>
  </si>
  <si>
    <t>بكب غمارتين</t>
  </si>
  <si>
    <t>1gt3kzbg0af107697</t>
  </si>
  <si>
    <t>ا د م 2203</t>
  </si>
  <si>
    <t>أ ل ح 9004</t>
  </si>
  <si>
    <t>JN8BY14Y69X539559</t>
  </si>
  <si>
    <t>ا ن ل 6413</t>
  </si>
  <si>
    <t>JN6BY11YX9X518095</t>
  </si>
  <si>
    <t>ب ر ق 2013</t>
  </si>
  <si>
    <t>JN8FY15Y1AX581304</t>
  </si>
  <si>
    <t>ب ل ع 5075</t>
  </si>
  <si>
    <t>JN8FY15Y3CX590282</t>
  </si>
  <si>
    <t>أ ر ل 4459</t>
  </si>
  <si>
    <t>1GTEK14V26E221235</t>
  </si>
  <si>
    <t>شعبة الدفاع المدني الميدانية بأبحر</t>
  </si>
  <si>
    <t>سيارة سلالم 32 متر</t>
  </si>
  <si>
    <t>ا ص م 3047</t>
  </si>
  <si>
    <t>WDAYHCAA8AL480005</t>
  </si>
  <si>
    <t>ب ق ل 6487</t>
  </si>
  <si>
    <t>JTMDU09J2B4040304</t>
  </si>
  <si>
    <t>أ م ط 6561</t>
  </si>
  <si>
    <t>JN8BY15Y56X510175</t>
  </si>
  <si>
    <t>ب ل ع 5074</t>
  </si>
  <si>
    <t>JN8FY15Y5CX590140</t>
  </si>
  <si>
    <t>ا ع ل 7432</t>
  </si>
  <si>
    <t>JTFLU73J3A4511881</t>
  </si>
  <si>
    <t>شعبة الدفاع المدني الميدانية بالحمدانية</t>
  </si>
  <si>
    <t>سيارة اسعاف صالون فورد</t>
  </si>
  <si>
    <t>أ ح ن 6662</t>
  </si>
  <si>
    <t>1fmnu41s64eb04093</t>
  </si>
  <si>
    <t>ب ا ق 1802</t>
  </si>
  <si>
    <t>WDAYHCAA8FL911305</t>
  </si>
  <si>
    <t>ك ب ص 194</t>
  </si>
  <si>
    <t>JN8BY14Y12X446440</t>
  </si>
  <si>
    <t>ه و د 189</t>
  </si>
  <si>
    <t>JN8BY14Y45X521068</t>
  </si>
  <si>
    <t>ا ل ع 1091</t>
  </si>
  <si>
    <t>JN8BY14YX9X539595</t>
  </si>
  <si>
    <t>ب ق م 3263</t>
  </si>
  <si>
    <t>JTMDU09J3B4040361</t>
  </si>
  <si>
    <t>ب ق م 3822</t>
  </si>
  <si>
    <t>JTMDU09J7B4040931</t>
  </si>
  <si>
    <t>أ ط ع 6677</t>
  </si>
  <si>
    <t>JBY8BY15YX2XY8000Y</t>
  </si>
  <si>
    <t>ا ص ط 5111</t>
  </si>
  <si>
    <t>JTFLJ71J298018130</t>
  </si>
  <si>
    <t>شعبة الدفاع المدني الميدانية بالشاطئ</t>
  </si>
  <si>
    <t>ب ب ا 5913</t>
  </si>
  <si>
    <t>54F2AA500FWE11141</t>
  </si>
  <si>
    <t>ا ه ب 4099</t>
  </si>
  <si>
    <t>1GTW78CG8C1192215</t>
  </si>
  <si>
    <t>ا ا ر 4625</t>
  </si>
  <si>
    <t>WJME2NST20C184936</t>
  </si>
  <si>
    <t>ب ح ل 3087</t>
  </si>
  <si>
    <t>WDAKHAAA3G0039225</t>
  </si>
  <si>
    <t>ا ل ع 1060</t>
  </si>
  <si>
    <t>JN8BY14Y29X539588</t>
  </si>
  <si>
    <t>م ن ى 827</t>
  </si>
  <si>
    <t>JN8BY14Y35X520333</t>
  </si>
  <si>
    <t>ح ا ص 8337</t>
  </si>
  <si>
    <t>JTMJU09J0D4070181</t>
  </si>
  <si>
    <t>ح ب ك 3872</t>
  </si>
  <si>
    <t>JTMJU09J0D4074747</t>
  </si>
  <si>
    <t>ب ل ع 5287</t>
  </si>
  <si>
    <t>JN8FY15YXCX590196</t>
  </si>
  <si>
    <t>ا ر ل 4461</t>
  </si>
  <si>
    <t>1GTEK14VX6E213996</t>
  </si>
  <si>
    <t>دراجة نارية ياماها 900</t>
  </si>
  <si>
    <t>ل ا  3585</t>
  </si>
  <si>
    <t>JYARN84Y0PA000314</t>
  </si>
  <si>
    <t>شعبة الدفاع المدني الميدانية بالعزيزية</t>
  </si>
  <si>
    <t>ب ا ق 1510</t>
  </si>
  <si>
    <t>1FD8W3H69FEB41068</t>
  </si>
  <si>
    <t>ا ه ب 4251</t>
  </si>
  <si>
    <t>1GTW78CG0C1193679</t>
  </si>
  <si>
    <t>ص ه ط 219</t>
  </si>
  <si>
    <t>WJMA1VRM004312828</t>
  </si>
  <si>
    <t>ا و ن 9695</t>
  </si>
  <si>
    <t>JTEFJ71J330003532</t>
  </si>
  <si>
    <t>ق ص ن 956</t>
  </si>
  <si>
    <t>JN8BY14Y62X445610</t>
  </si>
  <si>
    <t>ح ب ك 3869</t>
  </si>
  <si>
    <t>JTMJU09J4D4074380</t>
  </si>
  <si>
    <t>ح ا ص 6676</t>
  </si>
  <si>
    <t>JTMJU09J9D4071474</t>
  </si>
  <si>
    <t>ا ن ل 6428</t>
  </si>
  <si>
    <t>JN6BY11Y79X518118</t>
  </si>
  <si>
    <t>ا ن ل 6448</t>
  </si>
  <si>
    <t>JN6BY11Y99X518136</t>
  </si>
  <si>
    <t>ب ر ق 2588</t>
  </si>
  <si>
    <t>JN8FY15YXAX581298</t>
  </si>
  <si>
    <t>ح ن ب 9768</t>
  </si>
  <si>
    <t>JD2GJ5223G3013109</t>
  </si>
  <si>
    <t>أ ح ك 4833</t>
  </si>
  <si>
    <t>JTFLJ71JX88016351</t>
  </si>
  <si>
    <t>شعبة الدفاع المدني الميدانية بالجامعة</t>
  </si>
  <si>
    <t>ا ه ب 4029</t>
  </si>
  <si>
    <t>1GTW78CG5C1197663</t>
  </si>
  <si>
    <t>أ م ن 7531</t>
  </si>
  <si>
    <t>WDAYHCAA8CL676030</t>
  </si>
  <si>
    <t>أ ل ح 9797</t>
  </si>
  <si>
    <t>JN8BY14Y09X539685</t>
  </si>
  <si>
    <t>ح ا ص 8140</t>
  </si>
  <si>
    <t>JTMJU09J9D4072155</t>
  </si>
  <si>
    <t>ا ع ا 9362</t>
  </si>
  <si>
    <t>JN17AS761Z0400608</t>
  </si>
  <si>
    <t>م ن ى 672</t>
  </si>
  <si>
    <t>JN6BY11Y45X507085</t>
  </si>
  <si>
    <t>ب ل ع 5289</t>
  </si>
  <si>
    <t>JN8FY15Y9CX590299</t>
  </si>
  <si>
    <t>سيارة ونيت (بيك أب) نيسان رسمي</t>
  </si>
  <si>
    <t>ا ر ر 6371</t>
  </si>
  <si>
    <t>jn6by1sy02a501308</t>
  </si>
  <si>
    <t>شعبة الدفاع المدني الميدانية بالإسكان الجنوبي</t>
  </si>
  <si>
    <t>ب ل ص 9475</t>
  </si>
  <si>
    <t>3GKFK16T05G272258</t>
  </si>
  <si>
    <t>ا م ن 7536</t>
  </si>
  <si>
    <t>WDAYHCAA2CL672703</t>
  </si>
  <si>
    <t>ا د م 2617</t>
  </si>
  <si>
    <t>ا ه س 2816</t>
  </si>
  <si>
    <t>JTEFJ71J330003336</t>
  </si>
  <si>
    <t>ا م ط 6540</t>
  </si>
  <si>
    <t>JN8BY14Y06X525619</t>
  </si>
  <si>
    <t>ح ا ص 1801</t>
  </si>
  <si>
    <t>JTMJU09J0D4072819</t>
  </si>
  <si>
    <t>ح ا ص 1839</t>
  </si>
  <si>
    <t>JTMJU09J4D4073049</t>
  </si>
  <si>
    <t>ا ط م 8910</t>
  </si>
  <si>
    <t>MR0AX12G990023887</t>
  </si>
  <si>
    <t>شعبة الدفاع المدني الميدانية بالبغدادية</t>
  </si>
  <si>
    <t>سيارة سلالم 56 متر</t>
  </si>
  <si>
    <t>أ ك ي 8267</t>
  </si>
  <si>
    <t>اكتروس</t>
  </si>
  <si>
    <t>WDB9301451L434755</t>
  </si>
  <si>
    <t>ي أ ل 930</t>
  </si>
  <si>
    <t>JN8BY14Y88X536418</t>
  </si>
  <si>
    <t>ا ع ا 9360</t>
  </si>
  <si>
    <t>JN8BY15Y62X480131</t>
  </si>
  <si>
    <t>ب ر ك 1092</t>
  </si>
  <si>
    <t>JN8FY15Y0AX581293</t>
  </si>
  <si>
    <t>ا ط م 8599</t>
  </si>
  <si>
    <t>MR0AX12G690029579</t>
  </si>
  <si>
    <t>ل ا  3586</t>
  </si>
  <si>
    <t>JYARN84Y1PA000306</t>
  </si>
  <si>
    <t>شعبة الدفاع المدني الميدانية بالخزام</t>
  </si>
  <si>
    <t>سيارة اسعاف فان فورد</t>
  </si>
  <si>
    <t>ا د ن 5244</t>
  </si>
  <si>
    <t>1FDSS34P98DB11903</t>
  </si>
  <si>
    <t>ب ا د 8505</t>
  </si>
  <si>
    <t>WDAYHCAA6FL910556</t>
  </si>
  <si>
    <t>ا ه ع 9736</t>
  </si>
  <si>
    <t>1GT019CG6DF238481</t>
  </si>
  <si>
    <t>JN8BY14Y78X536474</t>
  </si>
  <si>
    <t>ح ا ص 6683</t>
  </si>
  <si>
    <t>JTMJU09J4D4072225</t>
  </si>
  <si>
    <t>JN6BY11Y39X518178</t>
  </si>
  <si>
    <t>أ ن ل 6442</t>
  </si>
  <si>
    <t>JN6BY11Y39X518181</t>
  </si>
  <si>
    <t>ى ا ل 698</t>
  </si>
  <si>
    <t>JN6BY11Y58X516527</t>
  </si>
  <si>
    <t>أ س ل 6378</t>
  </si>
  <si>
    <t>1GTEK14V05E247556</t>
  </si>
  <si>
    <t>3GTEK14V86G231132</t>
  </si>
  <si>
    <t>شعبة الدفاع المدني الميدانية بالصناعية</t>
  </si>
  <si>
    <t>أ ق ي 2545</t>
  </si>
  <si>
    <t>44KFT64819WZ21491</t>
  </si>
  <si>
    <t>عربة للحرائق الصناعية مع برج تلسكوبي</t>
  </si>
  <si>
    <t>ب ص ا 2622</t>
  </si>
  <si>
    <t>YV2XS02D7MA869886</t>
  </si>
  <si>
    <t>ل م ل 265</t>
  </si>
  <si>
    <t>jtefj71j830003445</t>
  </si>
  <si>
    <t>ا ل ح 9008</t>
  </si>
  <si>
    <t>JN8BY14Y79X539540</t>
  </si>
  <si>
    <t>ا ا ر 7549</t>
  </si>
  <si>
    <t>JN8BY14Y98X536895</t>
  </si>
  <si>
    <t>ح ب ك 3857</t>
  </si>
  <si>
    <t>JTMJU09JXD4074139</t>
  </si>
  <si>
    <t>ا ع ل 7710</t>
  </si>
  <si>
    <t>JTFLU73JXA4512736</t>
  </si>
  <si>
    <t>شعبة الدفاع المدني الميدانية بالساحل الجنوبي</t>
  </si>
  <si>
    <t>سيارة اطفاء حرائق صناعية روزنباور</t>
  </si>
  <si>
    <t>ا ق ى 2546</t>
  </si>
  <si>
    <t>44KFT64849WZ21498</t>
  </si>
  <si>
    <t>ا ا ر 7610</t>
  </si>
  <si>
    <t>JN8BY14Y38X536861</t>
  </si>
  <si>
    <t>ا م ط 6567</t>
  </si>
  <si>
    <t>JN8BY14Y46X526868</t>
  </si>
  <si>
    <t>ب ق م 3255</t>
  </si>
  <si>
    <t>JTMDU09J0B4040415</t>
  </si>
  <si>
    <t>ن ى م 736</t>
  </si>
  <si>
    <t>JN6BY11YX6X510803</t>
  </si>
  <si>
    <t>ر د و 16</t>
  </si>
  <si>
    <t>JN6AD21S62X073711</t>
  </si>
  <si>
    <t>قسم الدعم والإسناد الثاني</t>
  </si>
  <si>
    <t>ا ص م 3859</t>
  </si>
  <si>
    <t>44KFT4281AWZ21745</t>
  </si>
  <si>
    <t>ا ص م 3910</t>
  </si>
  <si>
    <t>44KFT4281AWZ21759</t>
  </si>
  <si>
    <t>ا ص م 3537</t>
  </si>
  <si>
    <t>44KFT42846WZ20824</t>
  </si>
  <si>
    <t>ا ص م 3907</t>
  </si>
  <si>
    <t>44KFT4284AWZ21741</t>
  </si>
  <si>
    <t>ا ن ط 2415</t>
  </si>
  <si>
    <t>1FD8W3H6XCEB64502</t>
  </si>
  <si>
    <t>س س ق 642</t>
  </si>
  <si>
    <t>1FDWW37S23EC54071</t>
  </si>
  <si>
    <t>1FDWW37Y28EB05381</t>
  </si>
  <si>
    <t>ا ح ع 3209</t>
  </si>
  <si>
    <t>1FDWW37Y58EB05374</t>
  </si>
  <si>
    <t>ا ك ع 1641</t>
  </si>
  <si>
    <t>WJMAIVRM004312280</t>
  </si>
  <si>
    <t>سيارة غرفة عمليات ميدانية</t>
  </si>
  <si>
    <t>ا ص م 3816</t>
  </si>
  <si>
    <t>ب ا ق 1832</t>
  </si>
  <si>
    <t>1FDTF4HY5FEB64249</t>
  </si>
  <si>
    <t>ا ص م 3133</t>
  </si>
  <si>
    <t>1gd3k2bk6af119036</t>
  </si>
  <si>
    <t>ا ع ل 3235</t>
  </si>
  <si>
    <t>ZCFC50A21A5805438</t>
  </si>
  <si>
    <t>أ ص م 3992</t>
  </si>
  <si>
    <t>WDJA01932BN141507</t>
  </si>
  <si>
    <t>سيارة شفروليه رسمي لنقل اسطوانات التنفس</t>
  </si>
  <si>
    <t>ب ا ق 2303</t>
  </si>
  <si>
    <t>1GCOC9EG0FZ513433</t>
  </si>
  <si>
    <t>ا د م 2609</t>
  </si>
  <si>
    <t>ا د م 2814</t>
  </si>
  <si>
    <t>ا د م 3118</t>
  </si>
  <si>
    <t>ا ق ى 7533</t>
  </si>
  <si>
    <t>ا د م 2607</t>
  </si>
  <si>
    <t>ا د م 2208</t>
  </si>
  <si>
    <t>ا د م 2206</t>
  </si>
  <si>
    <t>د ن ل 713</t>
  </si>
  <si>
    <t>أ د م 4908</t>
  </si>
  <si>
    <t>WDB9500135K739995</t>
  </si>
  <si>
    <t>س ق ه 393</t>
  </si>
  <si>
    <t>WDB9300131K913344</t>
  </si>
  <si>
    <t>أ ن ب 3894</t>
  </si>
  <si>
    <t>WDAKHAAA2DL713777</t>
  </si>
  <si>
    <t>ا م ب 1859</t>
  </si>
  <si>
    <t>WDAKHAAA4CL633461</t>
  </si>
  <si>
    <t>WDAKHAAA7BL566711</t>
  </si>
  <si>
    <t>رافعة 160 طن</t>
  </si>
  <si>
    <t>ا ق ى 7558</t>
  </si>
  <si>
    <t>WFN5RUDR172029185</t>
  </si>
  <si>
    <t>غراف شيول وسط</t>
  </si>
  <si>
    <t>ا د ط 6360</t>
  </si>
  <si>
    <t>90C51506</t>
  </si>
  <si>
    <t>ا ع ا 9361</t>
  </si>
  <si>
    <t>JN8BY14Y1YX430859</t>
  </si>
  <si>
    <t>ي ط ل 276</t>
  </si>
  <si>
    <t>JN8BY14Y38X536701</t>
  </si>
  <si>
    <t>ب ر ك 1095</t>
  </si>
  <si>
    <t>ى ط ل 622</t>
  </si>
  <si>
    <t>jn6by38x516672</t>
  </si>
  <si>
    <t>ا ح ك 4168</t>
  </si>
  <si>
    <t>jtflj71j788016534</t>
  </si>
  <si>
    <t>ا ص ط 5186</t>
  </si>
  <si>
    <t>jtflj71jx98018182</t>
  </si>
  <si>
    <t>ا ق ى 2947</t>
  </si>
  <si>
    <t>1GT229CG6BZ133604</t>
  </si>
  <si>
    <t>أ د ح 5005</t>
  </si>
  <si>
    <t>1GTEK19C98Z251027</t>
  </si>
  <si>
    <t>سيارة فان مصندق جمس رسمي</t>
  </si>
  <si>
    <t>ا ه د 6188</t>
  </si>
  <si>
    <t>1GTW78CG0D1123987</t>
  </si>
  <si>
    <t>سيارة لوري سكس مرسيدس</t>
  </si>
  <si>
    <t>ا ر ر 6372</t>
  </si>
  <si>
    <t>رسمية - غير مخصصة</t>
  </si>
  <si>
    <t>ب د ق 3664</t>
  </si>
  <si>
    <t>WJMS3TSE5JC386499</t>
  </si>
  <si>
    <t>سيارة رآس تريلا سكس مان</t>
  </si>
  <si>
    <t>ا ن د 4774</t>
  </si>
  <si>
    <t>WMA26WZZ6DM613818</t>
  </si>
  <si>
    <t>VIN025814</t>
  </si>
  <si>
    <t>ب ح ق 7112</t>
  </si>
  <si>
    <t>WDASHAAA9G0043070</t>
  </si>
  <si>
    <t>شعبة الموارد البشرية/الإدارة العامة للدفاع المدني بمحافظة جدة</t>
  </si>
  <si>
    <t>قسم تطوير الموارد البشرية</t>
  </si>
  <si>
    <t>عربة روبوت اطفاء بملحقاتها</t>
  </si>
  <si>
    <t>PC81JL00023</t>
  </si>
  <si>
    <t>ه أ ب 629</t>
  </si>
  <si>
    <t>JN8BY14Y65X521105</t>
  </si>
  <si>
    <t>ص ا ط 257</t>
  </si>
  <si>
    <t>3GTEK14V86G230000</t>
  </si>
  <si>
    <t>إدارة الشؤون الإدارية/الإدارة العامة للدفاع المدني بمحافظة جدة</t>
  </si>
  <si>
    <t>شعبة التموين والمستودعات</t>
  </si>
  <si>
    <t>ح ع ب 5678</t>
  </si>
  <si>
    <t>JN8FY1JY3FX005856</t>
  </si>
  <si>
    <t>ح ع ب 5575</t>
  </si>
  <si>
    <t>JN8FY1JY4FX006059</t>
  </si>
  <si>
    <t>ح ا ص 8038</t>
  </si>
  <si>
    <t>JTMJU09J9D4072690</t>
  </si>
  <si>
    <t>ح ب ك 3873</t>
  </si>
  <si>
    <t>JTMJU09J9D4074357</t>
  </si>
  <si>
    <t>ا ن د 2205</t>
  </si>
  <si>
    <t>JTFLU71J6D4310886</t>
  </si>
  <si>
    <t>ص س ع 452</t>
  </si>
  <si>
    <t>MPADL34P36H540848</t>
  </si>
  <si>
    <t>سيارة حافلة ( اتوبيس ) كبيرة رسمية هونداي</t>
  </si>
  <si>
    <t>ا ى ن 6829</t>
  </si>
  <si>
    <t>حافلة</t>
  </si>
  <si>
    <t>KMJKG18B5FC912155</t>
  </si>
  <si>
    <t>مركز الدفاع المدني بإسكان الشرفية</t>
  </si>
  <si>
    <t>ا ى ن 2795</t>
  </si>
  <si>
    <t>54F2AA508FWE11002</t>
  </si>
  <si>
    <t>أ ن ط 2482</t>
  </si>
  <si>
    <t>WDAKHAAA0DL719092</t>
  </si>
  <si>
    <t>مركز الدفاع المدني بالبغدادية</t>
  </si>
  <si>
    <t>ا ص م 3857</t>
  </si>
  <si>
    <t>44KFT4287AWZ21782</t>
  </si>
  <si>
    <t>ا و س 7038</t>
  </si>
  <si>
    <t>WDAKHAAA2EL792238</t>
  </si>
  <si>
    <t>ب ح ق 7105</t>
  </si>
  <si>
    <t>WDAKHAAA6G0000144</t>
  </si>
  <si>
    <t>مركز الدفاع المدني بالخاسكية</t>
  </si>
  <si>
    <t>ب ب ق 2256</t>
  </si>
  <si>
    <t>54F2AA50XFWE11194</t>
  </si>
  <si>
    <t>أ د م 4903</t>
  </si>
  <si>
    <t>WDB9500135K76011</t>
  </si>
  <si>
    <t>ا ه س 8359</t>
  </si>
  <si>
    <t>WDAKHAAA1DL764543</t>
  </si>
  <si>
    <t>مركز الدفاع المدني بباب مكة</t>
  </si>
  <si>
    <t>ب د ب 8021</t>
  </si>
  <si>
    <t>54F2AA500GWE11383</t>
  </si>
  <si>
    <t>أ د م 4909</t>
  </si>
  <si>
    <t>WDB9500135K760137</t>
  </si>
  <si>
    <t>مركز الدفاع المدني بحي مشرفة</t>
  </si>
  <si>
    <t>ا و م 7638</t>
  </si>
  <si>
    <t>54F2AA500EWE10652</t>
  </si>
  <si>
    <t>ا و م 2858</t>
  </si>
  <si>
    <t>WDAKHAAA4EL854870</t>
  </si>
  <si>
    <t>مركز الدفاع المدني بالنزهة</t>
  </si>
  <si>
    <t>أ ص م 3916</t>
  </si>
  <si>
    <t>44KFT4288AWZ21774</t>
  </si>
  <si>
    <t>ا ن ط 2419</t>
  </si>
  <si>
    <t>1FD8W3H67CEB64487</t>
  </si>
  <si>
    <t>WDB9500135K760166</t>
  </si>
  <si>
    <t>مركز الدفاع المدني بالربوة</t>
  </si>
  <si>
    <t>أ ص م 3207</t>
  </si>
  <si>
    <t>44KFT428XAWZ21792</t>
  </si>
  <si>
    <t>ا ن ط 2412</t>
  </si>
  <si>
    <t>1FD8W3H63CEB64499</t>
  </si>
  <si>
    <t>ا ه س 6583</t>
  </si>
  <si>
    <t>WDAKHAAA3DL772417</t>
  </si>
  <si>
    <t>أ ر أ 7175</t>
  </si>
  <si>
    <t>WDAKHCABX9L372947</t>
  </si>
  <si>
    <t>ق ص ن 865</t>
  </si>
  <si>
    <t>JN8BY14Y52X445601</t>
  </si>
  <si>
    <t>مركز الدفاع المدني بحى بني مالك</t>
  </si>
  <si>
    <t>ا ن ل 1469</t>
  </si>
  <si>
    <t>54F2AA503CWE10125</t>
  </si>
  <si>
    <t>ا ه م 1420</t>
  </si>
  <si>
    <t>WDAKHAAA5EL788653</t>
  </si>
  <si>
    <t>مركز الدفاع المدني بالسامر</t>
  </si>
  <si>
    <t>أ ص م 3941</t>
  </si>
  <si>
    <t>44KFT4286AWZ21773</t>
  </si>
  <si>
    <t>أ ل ط 1995</t>
  </si>
  <si>
    <t>WDAKHAAAXCL599137</t>
  </si>
  <si>
    <t>ص ل ا 596</t>
  </si>
  <si>
    <t>WDB9301635L016108</t>
  </si>
  <si>
    <t>ا ن ل 6579</t>
  </si>
  <si>
    <t>JN6BY11Y19X518230</t>
  </si>
  <si>
    <t>مركز الدفاع المدني بالمحمدية</t>
  </si>
  <si>
    <t>ب ا د 8252</t>
  </si>
  <si>
    <t>54F2AA502FWE11058</t>
  </si>
  <si>
    <t>ب ا د 8359</t>
  </si>
  <si>
    <t>WDAKHAAA2FL906983</t>
  </si>
  <si>
    <t>مركز الدفاع المدني بأبحر الجنوبية</t>
  </si>
  <si>
    <t>ا و م 2884</t>
  </si>
  <si>
    <t>54F2AA504EWE10623</t>
  </si>
  <si>
    <t>ا ى ن 6642</t>
  </si>
  <si>
    <t>WDAKHAAA4FL905916</t>
  </si>
  <si>
    <t>ا و م 2866</t>
  </si>
  <si>
    <t>WDAKHAAA5EL851640</t>
  </si>
  <si>
    <t>مركز الدفاع المدني بالشاطئ</t>
  </si>
  <si>
    <t>ا ع ك 7441</t>
  </si>
  <si>
    <t>54F2AA509DWE10289</t>
  </si>
  <si>
    <t>ا ن ع 8503</t>
  </si>
  <si>
    <t>WDAKHAAA3DL708264</t>
  </si>
  <si>
    <t>ب ح ق 7103</t>
  </si>
  <si>
    <t>WDAKHAAA4G0028122</t>
  </si>
  <si>
    <t>مركز الدفاع المدني بالجامعة</t>
  </si>
  <si>
    <t>ا و س 7261</t>
  </si>
  <si>
    <t>54F2AA508DWE10302</t>
  </si>
  <si>
    <t>ب ا د 8450</t>
  </si>
  <si>
    <t>1FD8W3H68FEB41109</t>
  </si>
  <si>
    <t>أ ك ي 8255</t>
  </si>
  <si>
    <t>WDAKHAAA5BL560180</t>
  </si>
  <si>
    <t>مركز الدفاع المدني بالروابي</t>
  </si>
  <si>
    <t>ا ن ل 4619</t>
  </si>
  <si>
    <t>54F2AA500DWE10147</t>
  </si>
  <si>
    <t>ب ا د 8362</t>
  </si>
  <si>
    <t>WDAKHAAA1FL914556</t>
  </si>
  <si>
    <t>ا م ط 4147</t>
  </si>
  <si>
    <t>WDAKHAAA5CL631864</t>
  </si>
  <si>
    <t>مركز الدفاع المدني بالأسكان الجنوبي</t>
  </si>
  <si>
    <t>ا ى ن 6521</t>
  </si>
  <si>
    <t>54F2AA501FWE11018</t>
  </si>
  <si>
    <t>ب ا ق 5918</t>
  </si>
  <si>
    <t>1FD8W3H65FEB41200</t>
  </si>
  <si>
    <t>ا ى ن 6670</t>
  </si>
  <si>
    <t>WDAKHAAA8FL906227</t>
  </si>
  <si>
    <t>مركز الدفاع المدني بقويزة</t>
  </si>
  <si>
    <t>ا ه س 2235</t>
  </si>
  <si>
    <t>54F2AA506DWE10203</t>
  </si>
  <si>
    <t>ب ح ى 8041</t>
  </si>
  <si>
    <t>1FD8W3H69HEC25328</t>
  </si>
  <si>
    <t>ا ق ى 7541</t>
  </si>
  <si>
    <t>ا ى ن 2709</t>
  </si>
  <si>
    <t>WDAKHAAA4FL899342</t>
  </si>
  <si>
    <t>مركز الدفاع المدني بأم السلم</t>
  </si>
  <si>
    <t>ب ا ق 5871</t>
  </si>
  <si>
    <t>54F2AA507FWE11086</t>
  </si>
  <si>
    <t>ا و م 2872</t>
  </si>
  <si>
    <t>WDAKHAAA7EL858766</t>
  </si>
  <si>
    <t>مركز الدفاع المدني بالخزام</t>
  </si>
  <si>
    <t>ب ا د 8241</t>
  </si>
  <si>
    <t>54F2AA505FWE11054</t>
  </si>
  <si>
    <t>ب ح ى 8048</t>
  </si>
  <si>
    <t>1FD8W3H65HEC25343</t>
  </si>
  <si>
    <t>ا ه م 1425</t>
  </si>
  <si>
    <t>WDAKHAAA2EL799237</t>
  </si>
  <si>
    <t>مركز الدفاع المدني بحي الرياض</t>
  </si>
  <si>
    <t>ا ع ك 7450</t>
  </si>
  <si>
    <t>54F2AA507DWE10274</t>
  </si>
  <si>
    <t>س ح ط 156</t>
  </si>
  <si>
    <t>WDB9500131K814822</t>
  </si>
  <si>
    <t>ا ن ع 7207</t>
  </si>
  <si>
    <t>WDAKHAAA3DL739059</t>
  </si>
  <si>
    <t>مركز الدفاع المدني ببترومين</t>
  </si>
  <si>
    <t>سيارة اطفاء صغيرة فورد</t>
  </si>
  <si>
    <t>1FDXW47P54EB32425</t>
  </si>
  <si>
    <t>ا د م 2214</t>
  </si>
  <si>
    <t>WDB34600152728889</t>
  </si>
  <si>
    <t>ا ر ح 8875</t>
  </si>
  <si>
    <t>WDAKHCAB69L381113</t>
  </si>
  <si>
    <t>ا ع ا 9363</t>
  </si>
  <si>
    <t>JN6BY11Y85X507090</t>
  </si>
  <si>
    <t>مركز الدفاع المدني بحي البوادي</t>
  </si>
  <si>
    <t>1FDXW47P43EC54014</t>
  </si>
  <si>
    <t>ا ى ن 2715</t>
  </si>
  <si>
    <t>WDAKHAAA5FL901700</t>
  </si>
  <si>
    <t>مركز الدفاع المدني بالاسواق الشعبية</t>
  </si>
  <si>
    <t>ا و م 7634</t>
  </si>
  <si>
    <t>54F2AA506EWE10638</t>
  </si>
  <si>
    <t>ا ص م 3618</t>
  </si>
  <si>
    <t>ا و م 4089</t>
  </si>
  <si>
    <t>WDAKHAAA0EL861766</t>
  </si>
  <si>
    <t>مركز الدفاع المدني بالصناعية</t>
  </si>
  <si>
    <t>ب ا د 8272</t>
  </si>
  <si>
    <t>54F2AA503FWE11036</t>
  </si>
  <si>
    <t>ا ى ن 6676</t>
  </si>
  <si>
    <t>WDAKHAAA0FL905914</t>
  </si>
  <si>
    <t>ب ا د 8319</t>
  </si>
  <si>
    <t>WDAKHAAAXFL918184</t>
  </si>
  <si>
    <t>م ن ى 182</t>
  </si>
  <si>
    <t>JN8BY14Y95X520398</t>
  </si>
  <si>
    <t>مركز الدفاع المدني بالمستودعات</t>
  </si>
  <si>
    <t>ا ى ن 2788</t>
  </si>
  <si>
    <t>54F2AA502EWE10703</t>
  </si>
  <si>
    <t>ا ل ط 1977</t>
  </si>
  <si>
    <t>WDAKHAAA8CL599136</t>
  </si>
  <si>
    <t>مركز الدفاع المدني بالمرحلة الاولى</t>
  </si>
  <si>
    <t>ا ى ن 2762</t>
  </si>
  <si>
    <t>54F2AA505FWE11006</t>
  </si>
  <si>
    <t>ا ك ى 1595</t>
  </si>
  <si>
    <t>WDAKHAAA2BL566714</t>
  </si>
  <si>
    <t>ا ر ل 1036</t>
  </si>
  <si>
    <t>WDB9301635L016110</t>
  </si>
  <si>
    <t>مركز الدفاع المدني بالخمرة</t>
  </si>
  <si>
    <t>ا و س 7262</t>
  </si>
  <si>
    <t>54F2AA503DWE10305</t>
  </si>
  <si>
    <t>ا و م 7674</t>
  </si>
  <si>
    <t>WDAKHAAA5EL866669</t>
  </si>
  <si>
    <t>مركز الدفاع المدني بالعزيزية</t>
  </si>
  <si>
    <t>ا ن ل 1471</t>
  </si>
  <si>
    <t>54F2AA503CWE10108</t>
  </si>
  <si>
    <t>ا ك ى 1598</t>
  </si>
  <si>
    <t>WDAKHAAA4BL565872</t>
  </si>
  <si>
    <t>ا ه س 8369</t>
  </si>
  <si>
    <t>WDAKHAAA7DL766569</t>
  </si>
  <si>
    <t>مركز الدفاع المدني بقصر السلام</t>
  </si>
  <si>
    <t>ا و س 7263</t>
  </si>
  <si>
    <t>54F2AA509DWE10308</t>
  </si>
  <si>
    <t>ب ا ق 1443</t>
  </si>
  <si>
    <t>WDAKHAAA2FL946674</t>
  </si>
  <si>
    <t>مركز الدفاع المدني بالخالدية</t>
  </si>
  <si>
    <t>ا م ط 4949</t>
  </si>
  <si>
    <t>54F2AA500CWE10082</t>
  </si>
  <si>
    <t>عربة اطفاء مطورة (15)م3 مجهزة بمضخة وقاذف للمباني</t>
  </si>
  <si>
    <t>ب س ع 2827</t>
  </si>
  <si>
    <t>YV2XS02D3MA869545</t>
  </si>
  <si>
    <t>ا م ب 1872</t>
  </si>
  <si>
    <t>WDAKHAAA0CL632999</t>
  </si>
  <si>
    <t>مركز الدفاع المدني بالرحاب</t>
  </si>
  <si>
    <t>ا و س 7237</t>
  </si>
  <si>
    <t>54F2AA501DWE10318</t>
  </si>
  <si>
    <t>ا ه س 8367</t>
  </si>
  <si>
    <t>WDAKHAAA0DL765733</t>
  </si>
  <si>
    <t>مركز الدفاع المدني بحي النهضة</t>
  </si>
  <si>
    <t>1FD8W3H61CEB64484</t>
  </si>
  <si>
    <t>ا ه س 8371</t>
  </si>
  <si>
    <t>WDAKHAAAXDL768039</t>
  </si>
  <si>
    <t>شعبة المراجعة الداخلية</t>
  </si>
  <si>
    <t>ح ا ص 8294</t>
  </si>
  <si>
    <t>JTMJU09J8D4071904</t>
  </si>
  <si>
    <t>المديرية العامة للدفاع المدني للمواسم/الدفاع المدني/مديرية منطقة مكة المكرمة</t>
  </si>
  <si>
    <t>مركز السلامة الميدانية بالمروة</t>
  </si>
  <si>
    <t>د ل ر 5272</t>
  </si>
  <si>
    <t>باترول</t>
  </si>
  <si>
    <t>JN8FY1JY4LX018837</t>
  </si>
  <si>
    <t>ب ق م 3406</t>
  </si>
  <si>
    <t>JTMDU09J2B4040805</t>
  </si>
  <si>
    <t>ح م ح 4428</t>
  </si>
  <si>
    <t>JD2GJ5222G3012887</t>
  </si>
  <si>
    <t>ح م ح 4282</t>
  </si>
  <si>
    <t>JD2GJ5223G3013756</t>
  </si>
  <si>
    <t>ح م ح 4137</t>
  </si>
  <si>
    <t>JD2GJ5224G3013166</t>
  </si>
  <si>
    <t>ح ن ب 9060</t>
  </si>
  <si>
    <t>JD2GJ5224G3013636</t>
  </si>
  <si>
    <t>ح ل ه 6965</t>
  </si>
  <si>
    <t>JD2GJ522XG3013401</t>
  </si>
  <si>
    <t>ص ا  286</t>
  </si>
  <si>
    <t>JYA4TN00000014139</t>
  </si>
  <si>
    <t>ق ب  579</t>
  </si>
  <si>
    <t>JYA4TN00000014297</t>
  </si>
  <si>
    <t>ح ح  933</t>
  </si>
  <si>
    <t>JYA4TN0023A014417</t>
  </si>
  <si>
    <t>مركز الدفاع المدني بحي النسيم</t>
  </si>
  <si>
    <t>ب ب ا 5040</t>
  </si>
  <si>
    <t>54F2AA509FWE11154</t>
  </si>
  <si>
    <t>ب ب ا 5669</t>
  </si>
  <si>
    <t>WDAKHAAA3FL913845</t>
  </si>
  <si>
    <t>مركز الدفاع المدني بحي المنتزهات</t>
  </si>
  <si>
    <t>ا و م 2890</t>
  </si>
  <si>
    <t>54F2AA501EWE10627</t>
  </si>
  <si>
    <t>ا د م 2616</t>
  </si>
  <si>
    <t>WDB34600152728988</t>
  </si>
  <si>
    <t>ب ب ا 2185</t>
  </si>
  <si>
    <t>WDAKHAAA0FL947418</t>
  </si>
  <si>
    <t>مركز الدفاع المدني بحي الوزيرية</t>
  </si>
  <si>
    <t>ب ب ا 5992</t>
  </si>
  <si>
    <t>54F2AA501FWE11116</t>
  </si>
  <si>
    <t>ب ا ق 1438</t>
  </si>
  <si>
    <t>WDAKHAAA6FL946676</t>
  </si>
  <si>
    <t>ب ح ل 3085</t>
  </si>
  <si>
    <t>WDAKHAAA7G0039227</t>
  </si>
  <si>
    <t>مركز السلامة الميدانية بأبحر</t>
  </si>
  <si>
    <t>د ق ه 2619</t>
  </si>
  <si>
    <t>JN8FY1JY8LX018758</t>
  </si>
  <si>
    <t>ح م ح 4265</t>
  </si>
  <si>
    <t>JD2GJ5220G3013715</t>
  </si>
  <si>
    <t>ح م ح 4167</t>
  </si>
  <si>
    <t>JD2GJ5225G3012401</t>
  </si>
  <si>
    <t>ح ل ه 6941</t>
  </si>
  <si>
    <t>JD2GJ5225G3013516</t>
  </si>
  <si>
    <t>ح م ح 4176</t>
  </si>
  <si>
    <t>JD2GJ5228G3012554</t>
  </si>
  <si>
    <t>ح م ح 4314</t>
  </si>
  <si>
    <t>JD2GJ522XG3012488</t>
  </si>
  <si>
    <t>ح ح  692</t>
  </si>
  <si>
    <t>JYA4TN0043A014497</t>
  </si>
  <si>
    <t>دراجة نارية مزودة بجهاز اطفاء بالرغوة يدوي متنقل نوع BMW</t>
  </si>
  <si>
    <t>ه ح  564</t>
  </si>
  <si>
    <t>WB104300CZW52145</t>
  </si>
  <si>
    <t>دراجة نارية ذات 4 كفرات مزودة بجهاز اطفاء بالرغوة كبير</t>
  </si>
  <si>
    <t>WR9KLM1PN3MH</t>
  </si>
  <si>
    <t>مركز السلامة الميدانية بالحمدانية</t>
  </si>
  <si>
    <t>د ك ن 1873</t>
  </si>
  <si>
    <t>JN8FY1JY8LX018775</t>
  </si>
  <si>
    <t>ب ق م 3410</t>
  </si>
  <si>
    <t>JTMDU09J8B4041103</t>
  </si>
  <si>
    <t>ح م ح 4426</t>
  </si>
  <si>
    <t>JD2GJ5221G3012492</t>
  </si>
  <si>
    <t>ح م ح 4315</t>
  </si>
  <si>
    <t>JD2GJ522XG3012507</t>
  </si>
  <si>
    <t>ح م ح 4412</t>
  </si>
  <si>
    <t>JD2GJ522XG3012829</t>
  </si>
  <si>
    <t>ح م ح 4317</t>
  </si>
  <si>
    <t>JD2GJ522XG3012958</t>
  </si>
  <si>
    <t>ص ا  194</t>
  </si>
  <si>
    <t>JYA4TN00000014036</t>
  </si>
  <si>
    <t>ق ب  688</t>
  </si>
  <si>
    <t>JYA4TN00000014152</t>
  </si>
  <si>
    <t>ص ا  133</t>
  </si>
  <si>
    <t>JYA4TN00000014272</t>
  </si>
  <si>
    <t>مركز السلامة الميدانية بالشاطئ</t>
  </si>
  <si>
    <t>د ق ه 2645</t>
  </si>
  <si>
    <t>JN8FY1JY9LX018784</t>
  </si>
  <si>
    <t>ب ق م 3283</t>
  </si>
  <si>
    <t>JTMDU09J3B4040540</t>
  </si>
  <si>
    <t>ح م ح 4274</t>
  </si>
  <si>
    <t>JD2GJ5221G3013433</t>
  </si>
  <si>
    <t>ح م ح 4497</t>
  </si>
  <si>
    <t>JD2GJ5221G3013660</t>
  </si>
  <si>
    <t>ح م ح 4498</t>
  </si>
  <si>
    <t>JD2GJ5225G3013242</t>
  </si>
  <si>
    <t>ح م ح 4084</t>
  </si>
  <si>
    <t>JD2GJ5226G3012360</t>
  </si>
  <si>
    <t>ح ن ب 9052</t>
  </si>
  <si>
    <t>JD2GJ5227G3013159</t>
  </si>
  <si>
    <t>ص ا  263</t>
  </si>
  <si>
    <t>JYA4TN00000014227</t>
  </si>
  <si>
    <t>ق ب  657</t>
  </si>
  <si>
    <t>JYA4TN00000014279</t>
  </si>
  <si>
    <t>دراجة نارية (4*4) للبحث والانقاذ</t>
  </si>
  <si>
    <t>JKAVFDG14FB508540</t>
  </si>
  <si>
    <t>JKAVFDG19FB508551</t>
  </si>
  <si>
    <t>مركز السلامة الميدانية بالعزيزية</t>
  </si>
  <si>
    <t>د ك ن 1870</t>
  </si>
  <si>
    <t>JN8FY1JY7LX018833</t>
  </si>
  <si>
    <t>ب ق م 3231</t>
  </si>
  <si>
    <t>JTMDU09J3B4040411</t>
  </si>
  <si>
    <t>ح ل ه 6934</t>
  </si>
  <si>
    <t>JD2GJ5222G3013179</t>
  </si>
  <si>
    <t>ح ل ه 6939</t>
  </si>
  <si>
    <t>JD2GJ5224G3013328</t>
  </si>
  <si>
    <t>ح م ح 4103</t>
  </si>
  <si>
    <t>JD2GJ5226G3013122</t>
  </si>
  <si>
    <t>ح م ح 4465</t>
  </si>
  <si>
    <t>JD2GJ5227G3012982</t>
  </si>
  <si>
    <t>ح ن ب 9080</t>
  </si>
  <si>
    <t>JD2GJ5229G3013728</t>
  </si>
  <si>
    <t>ص ا  451</t>
  </si>
  <si>
    <t>JYA4TN00000013926</t>
  </si>
  <si>
    <t>ق ب  670</t>
  </si>
  <si>
    <t>JYA4TN00000014123</t>
  </si>
  <si>
    <t>ق ب  675</t>
  </si>
  <si>
    <t>JYA4TN00000014161</t>
  </si>
  <si>
    <t>مركز السلامة الميدانية بالجامعة</t>
  </si>
  <si>
    <t>د ك ن 1877</t>
  </si>
  <si>
    <t>JN8FY1JY5LX018796</t>
  </si>
  <si>
    <t>ح ا ص 1965</t>
  </si>
  <si>
    <t>JTMJU09J8D4072700</t>
  </si>
  <si>
    <t>ح ن ب 9068</t>
  </si>
  <si>
    <t>JD2GJ5221G3013495</t>
  </si>
  <si>
    <t>ح م ح 4330</t>
  </si>
  <si>
    <t>JD2GJ5224G3012745</t>
  </si>
  <si>
    <t>ح م ح 4229</t>
  </si>
  <si>
    <t>JD2GJ5225G3013600</t>
  </si>
  <si>
    <t>ح م ح 4468</t>
  </si>
  <si>
    <t>JD2GJ5228G3012795</t>
  </si>
  <si>
    <t>ق ب  615</t>
  </si>
  <si>
    <t>JYA4TN00000014032</t>
  </si>
  <si>
    <t>ق ب  613</t>
  </si>
  <si>
    <t>JYA4TN00000014052</t>
  </si>
  <si>
    <t>ص ا  647</t>
  </si>
  <si>
    <t>JYA4TN00000014145</t>
  </si>
  <si>
    <t>مركز السلامة الميدانية بالإسكان الجنوبي</t>
  </si>
  <si>
    <t>د ك ن 1882</t>
  </si>
  <si>
    <t>JN8FY1JY0LX018771</t>
  </si>
  <si>
    <t>أ ك ح 9352</t>
  </si>
  <si>
    <t>JN8BY15Y52X480072</t>
  </si>
  <si>
    <t>ح ل ه 6972</t>
  </si>
  <si>
    <t>JD2GJ5221G3013450</t>
  </si>
  <si>
    <t>ح م ح 4192</t>
  </si>
  <si>
    <t>JD2GJ5223G3013014</t>
  </si>
  <si>
    <t>ح م ح 4189</t>
  </si>
  <si>
    <t>JD2GJ5227G3012500</t>
  </si>
  <si>
    <t>ح ن ب 9074</t>
  </si>
  <si>
    <t>JD2GJ5227G3013078</t>
  </si>
  <si>
    <t>ص ا  159</t>
  </si>
  <si>
    <t>JYA4TN00000014185</t>
  </si>
  <si>
    <t>ح ح  919</t>
  </si>
  <si>
    <t>JYA4TN0073A014493</t>
  </si>
  <si>
    <t>ح ح  654</t>
  </si>
  <si>
    <t>JYA4TN00X3A014567</t>
  </si>
  <si>
    <t>مركز السلامة الميدانية بالبغدادية</t>
  </si>
  <si>
    <t>د ق ه 2647</t>
  </si>
  <si>
    <t>JN8FY1JY0LX018785</t>
  </si>
  <si>
    <t>ب ر ك 1089</t>
  </si>
  <si>
    <t>JN8FY15Y4AX581314</t>
  </si>
  <si>
    <t>ح ل ه 6927</t>
  </si>
  <si>
    <t>JD2GJ5220G3013133</t>
  </si>
  <si>
    <t>ح م ح 4169</t>
  </si>
  <si>
    <t>JD2GJ5225G3013001</t>
  </si>
  <si>
    <t>ح م ح 4305</t>
  </si>
  <si>
    <t>JD2GJ5226G3012956</t>
  </si>
  <si>
    <t>ح م ح 4215</t>
  </si>
  <si>
    <t>JD2GJ5228G3013557</t>
  </si>
  <si>
    <t>ق ب  605</t>
  </si>
  <si>
    <t>JYA4TN00000014064</t>
  </si>
  <si>
    <t>ه ح  565</t>
  </si>
  <si>
    <t>WB104300XCZW46665</t>
  </si>
  <si>
    <t>WR9KLM1PN3MX</t>
  </si>
  <si>
    <t>مركز السلامة الميدانية بالخزام</t>
  </si>
  <si>
    <t>د ك ن 1871</t>
  </si>
  <si>
    <t>JN8FY1JY1LX018746</t>
  </si>
  <si>
    <t>ب ق ل 5954</t>
  </si>
  <si>
    <t>JTMDU09J9B4040056</t>
  </si>
  <si>
    <t>ح م ح 4264</t>
  </si>
  <si>
    <t>JD2GJ5221G3013173</t>
  </si>
  <si>
    <t>ح م ح 4170</t>
  </si>
  <si>
    <t>JD2GJ5225G3013015</t>
  </si>
  <si>
    <t>ح ن ب 9064</t>
  </si>
  <si>
    <t>JD2GJ5226G3013198</t>
  </si>
  <si>
    <t>ح ن ب 9077</t>
  </si>
  <si>
    <t>JD2GJ5229G3013213</t>
  </si>
  <si>
    <t>ص ا  179</t>
  </si>
  <si>
    <t>JYA4TN00000014225</t>
  </si>
  <si>
    <t>ق ب  678</t>
  </si>
  <si>
    <t>JYA4TN00000014301</t>
  </si>
  <si>
    <t>ق ب  639</t>
  </si>
  <si>
    <t>JYA4TN00000014302</t>
  </si>
  <si>
    <t>مركز السلامة الميدانية بالصناعية</t>
  </si>
  <si>
    <t>ب ق م 3402</t>
  </si>
  <si>
    <t>JTMDU09J1B4041119</t>
  </si>
  <si>
    <t>ح م ح 4236</t>
  </si>
  <si>
    <t>JD2GJ5222G3013098</t>
  </si>
  <si>
    <t>ح م ح 4163</t>
  </si>
  <si>
    <t>JD2GJ5224G3012986</t>
  </si>
  <si>
    <t>ح م ح 4081</t>
  </si>
  <si>
    <t>JD2GJ5226G3012794</t>
  </si>
  <si>
    <t>ح م ح 4079</t>
  </si>
  <si>
    <t>JD2GJ5227G3012528</t>
  </si>
  <si>
    <t>ص ا  238</t>
  </si>
  <si>
    <t>JYA4TN00000014207</t>
  </si>
  <si>
    <t>ه ب  723</t>
  </si>
  <si>
    <t>JYA4TN0033A014572</t>
  </si>
  <si>
    <t>مركز السلامة الميدانية بالساحل الجنوبي</t>
  </si>
  <si>
    <t>د ق ه 2621</t>
  </si>
  <si>
    <t>JN8FY1JY1LX018830</t>
  </si>
  <si>
    <t>ب ل ط 3933</t>
  </si>
  <si>
    <t>JN8FY15Y5CX590235</t>
  </si>
  <si>
    <t>ح م ح 4337</t>
  </si>
  <si>
    <t>JD2GJ5227G3012531</t>
  </si>
  <si>
    <t>ح م ح 4148</t>
  </si>
  <si>
    <t>JD2GJ5228G3013106</t>
  </si>
  <si>
    <t>ح م ح 4433</t>
  </si>
  <si>
    <t>JD2GJ5229G3012904</t>
  </si>
  <si>
    <t>ح م ح 4184</t>
  </si>
  <si>
    <t>JD2GJ522XG3012393</t>
  </si>
  <si>
    <t>ص ا  178</t>
  </si>
  <si>
    <t>JYA4TN00000014182</t>
  </si>
  <si>
    <t>ص ا  156</t>
  </si>
  <si>
    <t>JYA4TN00000014210</t>
  </si>
  <si>
    <t>ص ا  175</t>
  </si>
  <si>
    <t>JYA4TN00000014215</t>
  </si>
  <si>
    <t>مركز السلامة الميدانية بالسالمية</t>
  </si>
  <si>
    <t>د ل ر 5262</t>
  </si>
  <si>
    <t>JN8FY1JY2LX018819</t>
  </si>
  <si>
    <t>ب ر ح 4843</t>
  </si>
  <si>
    <t>JN8FY15Y0AX581553</t>
  </si>
  <si>
    <t>ح م ح 4096</t>
  </si>
  <si>
    <t>JD2GJ5220G3012421</t>
  </si>
  <si>
    <t>ح م ح 4415</t>
  </si>
  <si>
    <t>JD2GJ5220G3013021</t>
  </si>
  <si>
    <t>ح م ح 4320</t>
  </si>
  <si>
    <t>JD2GJ5222G3012579</t>
  </si>
  <si>
    <t>ح م ح 4124</t>
  </si>
  <si>
    <t>JD2GJ5229G3013616</t>
  </si>
  <si>
    <t>ح م ح 4243</t>
  </si>
  <si>
    <t>JD2GJ522XG3013429</t>
  </si>
  <si>
    <t>ق ب  628</t>
  </si>
  <si>
    <t>JYA4TN00000014283</t>
  </si>
  <si>
    <t>ص ا  605</t>
  </si>
  <si>
    <t>JYA4TN0000013903</t>
  </si>
  <si>
    <t>ه ب  769</t>
  </si>
  <si>
    <t>JYA4TN0013A014392</t>
  </si>
  <si>
    <t>مركز التدخل في المواد الخطرة بالصناعية</t>
  </si>
  <si>
    <t>شاحنة التدخل في المواد الصناعية والمواد الخطرة</t>
  </si>
  <si>
    <t>س ب ى 705</t>
  </si>
  <si>
    <t>WDB9301635K985692</t>
  </si>
  <si>
    <t>عربة التطهير</t>
  </si>
  <si>
    <t>ا ق س 6823</t>
  </si>
  <si>
    <t>YV2XS02D4MA876732</t>
  </si>
  <si>
    <t>سيارة فورد رسمية لنقل التجهيزات الفنية لفرق المواد الخطرة</t>
  </si>
  <si>
    <t>ب س ا 6369</t>
  </si>
  <si>
    <t>1FDBF2B60KEF45587</t>
  </si>
  <si>
    <t>ى م ل 624</t>
  </si>
  <si>
    <t>JN6BY11Y18X516699</t>
  </si>
  <si>
    <t>ب ر ح 4842</t>
  </si>
  <si>
    <t>JN8FY15Y0AX581567</t>
  </si>
  <si>
    <t>سيارة فان مصندق افيكو رسمي مزودة بروبوت للتدخل في المواد الخطرة</t>
  </si>
  <si>
    <t>ا ن و 1933</t>
  </si>
  <si>
    <t>ZCFC50AD2D5941113</t>
  </si>
  <si>
    <t>سيارة حافلة ( اتوبيس ) صغير نيسان</t>
  </si>
  <si>
    <t>ا ر ر 6375</t>
  </si>
  <si>
    <t>jn6aw12s12z005341</t>
  </si>
  <si>
    <t>شعبة الدفاع المدني الميدانية بالسالمية</t>
  </si>
  <si>
    <t>ا د م 2212</t>
  </si>
  <si>
    <t>WDB34600152728925</t>
  </si>
  <si>
    <t>ب ق م 7190</t>
  </si>
  <si>
    <t>سيارة جيب شاص نيسان رسمي</t>
  </si>
  <si>
    <t>JN6BY15Y62A501314</t>
  </si>
  <si>
    <t>قسم الدعم والإسناد الثالث</t>
  </si>
  <si>
    <t>سيارة اطفاء كبيره مرسيدس</t>
  </si>
  <si>
    <t>س ا ب 513</t>
  </si>
  <si>
    <t>أ ص م 3974</t>
  </si>
  <si>
    <t>44KFT4281AWZ21793</t>
  </si>
  <si>
    <t>ا ص م 3545</t>
  </si>
  <si>
    <t>44KFT42826WZ20806</t>
  </si>
  <si>
    <t>أ ص م 3932</t>
  </si>
  <si>
    <t>44KFT4282AWZ21771</t>
  </si>
  <si>
    <t>س س ص 808</t>
  </si>
  <si>
    <t>44KFT42853WZ19922</t>
  </si>
  <si>
    <t>ا ص م 3838</t>
  </si>
  <si>
    <t>44KFT4287AWZ21801</t>
  </si>
  <si>
    <t>44KFT42883WZ20126</t>
  </si>
  <si>
    <t>ا ب ه 9570</t>
  </si>
  <si>
    <t>44kft42893wz20135</t>
  </si>
  <si>
    <t>ا و س 7260</t>
  </si>
  <si>
    <t>54F2AA501DWE10299</t>
  </si>
  <si>
    <t>ا ى ن 6503</t>
  </si>
  <si>
    <t>54F2AA501EWE10692</t>
  </si>
  <si>
    <t>ا ع ك 7448</t>
  </si>
  <si>
    <t>54F2AA507DWE10288</t>
  </si>
  <si>
    <t>ا ر ل 2032</t>
  </si>
  <si>
    <t>1FDXW47F42EC40118</t>
  </si>
  <si>
    <t>أ ر ل 2033</t>
  </si>
  <si>
    <t>1FDXW47F82EC63093</t>
  </si>
  <si>
    <t>أ ر ل 1850</t>
  </si>
  <si>
    <t>1FDXW47P33EC54019</t>
  </si>
  <si>
    <t>س س ه 560</t>
  </si>
  <si>
    <t>1FDXW47P54EC84043</t>
  </si>
  <si>
    <t>1FDXW4TP84EB32418</t>
  </si>
  <si>
    <t>س ل ى 226</t>
  </si>
  <si>
    <t>WDB9300143K949693</t>
  </si>
  <si>
    <t>أ ن ب 3286</t>
  </si>
  <si>
    <t>54F2AA507CWE10032</t>
  </si>
  <si>
    <t>ا ن ع 8552</t>
  </si>
  <si>
    <t>54F2AA50XCWE10106</t>
  </si>
  <si>
    <t>سيارات انقاذ كبيرة جمس</t>
  </si>
  <si>
    <t>1FDWW37Y98EB05376</t>
  </si>
  <si>
    <t>ا ح ع 3212</t>
  </si>
  <si>
    <t>1FDWW37YX8EB05399</t>
  </si>
  <si>
    <t>ص و ع 284</t>
  </si>
  <si>
    <t>1GDJK33U96F153606</t>
  </si>
  <si>
    <t>ا ص م 3631</t>
  </si>
  <si>
    <t>1FDWW37S53EC54047</t>
  </si>
  <si>
    <t>س س ق 249</t>
  </si>
  <si>
    <t>1FDWW37S63EC54073</t>
  </si>
  <si>
    <t>ص ر ك 285</t>
  </si>
  <si>
    <t>1FDWW37Y27EA42734</t>
  </si>
  <si>
    <t>ا ح ع 3224</t>
  </si>
  <si>
    <t>1FDWW37Y48EB05382</t>
  </si>
  <si>
    <t>ا ب م 7388</t>
  </si>
  <si>
    <t>1FDWW37Y88EB05353</t>
  </si>
  <si>
    <t>1FDWW37Y88EB05370</t>
  </si>
  <si>
    <t>ص ل ع 404</t>
  </si>
  <si>
    <t>1FDWW37YX6EC99655</t>
  </si>
  <si>
    <t>د س ا 420</t>
  </si>
  <si>
    <t>LFDWW37S42EC63112</t>
  </si>
  <si>
    <t>ب ا د 8440</t>
  </si>
  <si>
    <t>1FD8W3H6XFEB41189</t>
  </si>
  <si>
    <t>1GKFK16T36J177919</t>
  </si>
  <si>
    <t>و ع ح 619</t>
  </si>
  <si>
    <t>1Gkfk16t36j176505</t>
  </si>
  <si>
    <t>ه د ب 284</t>
  </si>
  <si>
    <t>3GKFK16T95G271948</t>
  </si>
  <si>
    <t>ا د ن 8075</t>
  </si>
  <si>
    <t>1FDSS34P38DB11914</t>
  </si>
  <si>
    <t>ا د ن 5361</t>
  </si>
  <si>
    <t>1FDSS34p38DB11900</t>
  </si>
  <si>
    <t>ا د ن 5238</t>
  </si>
  <si>
    <t>1fDSS34p78db11916</t>
  </si>
  <si>
    <t>ب ح ن 213</t>
  </si>
  <si>
    <t>4P1GT02S9WA000835</t>
  </si>
  <si>
    <t>ب م م 335</t>
  </si>
  <si>
    <t>4EN3AAA81W1008812</t>
  </si>
  <si>
    <t>1FDTF4HY1CEB64423</t>
  </si>
  <si>
    <t>ا م ب 1198</t>
  </si>
  <si>
    <t>1FDTF4HY7BEC59227</t>
  </si>
  <si>
    <t>ب ا ق 1842</t>
  </si>
  <si>
    <t>1FDTF4HY7FEB64284</t>
  </si>
  <si>
    <t>ب ا ق 1840</t>
  </si>
  <si>
    <t>1FDTF4HY8FEB64309</t>
  </si>
  <si>
    <t>ا ه م 2404</t>
  </si>
  <si>
    <t>1FDTF4HY9DEB65160</t>
  </si>
  <si>
    <t>ا ل ط 1018</t>
  </si>
  <si>
    <t>1fdtf4hy0bec59117</t>
  </si>
  <si>
    <t>ا ل ط 1017</t>
  </si>
  <si>
    <t>1fdtf4hy2bec59121</t>
  </si>
  <si>
    <t>ا ل ط 1015</t>
  </si>
  <si>
    <t>1fdtf4hy5bec59114</t>
  </si>
  <si>
    <t>ا ل ط 6396</t>
  </si>
  <si>
    <t>1fdtf4hy5bec59128</t>
  </si>
  <si>
    <t>ا ل ط 1009</t>
  </si>
  <si>
    <t>1fdtf4hy6bec59123</t>
  </si>
  <si>
    <t>ب ا ح 2731</t>
  </si>
  <si>
    <t>ZCFC50AY6FD540305</t>
  </si>
  <si>
    <t>ب ا ق 2320</t>
  </si>
  <si>
    <t>1GCOC9EG9FZ513348</t>
  </si>
  <si>
    <t>ا د م 2209</t>
  </si>
  <si>
    <t>ر ص س 609</t>
  </si>
  <si>
    <t>ا ص م 3746</t>
  </si>
  <si>
    <t>ر ص س 615</t>
  </si>
  <si>
    <t>أ ق ي 7543</t>
  </si>
  <si>
    <t>ا ق ى 7540</t>
  </si>
  <si>
    <t>د ن ل 656</t>
  </si>
  <si>
    <t>ا د م 3140</t>
  </si>
  <si>
    <t>ا ق ى 7538</t>
  </si>
  <si>
    <t>ا ص م 3999</t>
  </si>
  <si>
    <t>34603L55025355</t>
  </si>
  <si>
    <t>ا ص م 3611</t>
  </si>
  <si>
    <t>3463L55023683</t>
  </si>
  <si>
    <t>أ ق ي 7539</t>
  </si>
  <si>
    <t>ص ك س 35</t>
  </si>
  <si>
    <t>WDB34300155900033</t>
  </si>
  <si>
    <t>WDB9500131K797526</t>
  </si>
  <si>
    <t>س و ح 662</t>
  </si>
  <si>
    <t>WDB9500131K799363</t>
  </si>
  <si>
    <t>ا ر ر 6610</t>
  </si>
  <si>
    <t>wdb6560115k333208</t>
  </si>
  <si>
    <t>د ع ب 499</t>
  </si>
  <si>
    <t>wdb9500131k798353</t>
  </si>
  <si>
    <t>ا ر ر 6613</t>
  </si>
  <si>
    <t>ا ر ر 6612</t>
  </si>
  <si>
    <t>ا ص م 3800</t>
  </si>
  <si>
    <t>ر ص س 605</t>
  </si>
  <si>
    <t>ا د م 3126</t>
  </si>
  <si>
    <t>ا ن ب 3885</t>
  </si>
  <si>
    <t>WDAKHAAA3DL714811</t>
  </si>
  <si>
    <t>أ ن ط 2502</t>
  </si>
  <si>
    <t>WDAKHAAA6DL716861</t>
  </si>
  <si>
    <t>ب ح ح 6276</t>
  </si>
  <si>
    <t>WDAKHAAA9GL983559</t>
  </si>
  <si>
    <t>ص ل ا 197</t>
  </si>
  <si>
    <t>WDB9301635L015690</t>
  </si>
  <si>
    <t>أ د م 4920</t>
  </si>
  <si>
    <t>WDB9500135K765118</t>
  </si>
  <si>
    <t>ا ر ا 7181</t>
  </si>
  <si>
    <t>WDAJHCAB69L377675</t>
  </si>
  <si>
    <t>ا ر ا 7095</t>
  </si>
  <si>
    <t>WDAKHCAB49L381014</t>
  </si>
  <si>
    <t>WDAKHCAB69L381015</t>
  </si>
  <si>
    <t>ا ر ا 7722</t>
  </si>
  <si>
    <t>WDAKHCAB89L381016</t>
  </si>
  <si>
    <t>WDB9301635L020761</t>
  </si>
  <si>
    <t>ا ر ل 1009</t>
  </si>
  <si>
    <t>WDB9301635L020794</t>
  </si>
  <si>
    <t>ا س ق 2409</t>
  </si>
  <si>
    <t>ا س ق 2412</t>
  </si>
  <si>
    <t>ا د ع 2018</t>
  </si>
  <si>
    <t>90C51512</t>
  </si>
  <si>
    <t>وايت ماء سقيا سكس مان</t>
  </si>
  <si>
    <t>ا ى ن 3851</t>
  </si>
  <si>
    <t>صهريج سكس (32) م2</t>
  </si>
  <si>
    <t>RS076WZZ1FD008479</t>
  </si>
  <si>
    <t>ا ى ن 3866</t>
  </si>
  <si>
    <t>RS076WZZ5FD008467</t>
  </si>
  <si>
    <t>ا ى ن 3859</t>
  </si>
  <si>
    <t>RS076WZZ7FD008471</t>
  </si>
  <si>
    <t>ا ى ن 3860</t>
  </si>
  <si>
    <t>RS076WZZ9FD008472</t>
  </si>
  <si>
    <t>ا ى ن 3852</t>
  </si>
  <si>
    <t>RS076WZZXFD008481</t>
  </si>
  <si>
    <t>سيارة صغيرة رسمية شفرليت</t>
  </si>
  <si>
    <t>ق د ا 294</t>
  </si>
  <si>
    <t>كابرس</t>
  </si>
  <si>
    <t>6g1hk53f62l798995</t>
  </si>
  <si>
    <t>ا ع ا 9366</t>
  </si>
  <si>
    <t>6g1hk53fx2l801428</t>
  </si>
  <si>
    <t>ه أ ب 635</t>
  </si>
  <si>
    <t>JN6BY11Y16X511158</t>
  </si>
  <si>
    <t>ا ن ل 6561</t>
  </si>
  <si>
    <t>JN6BY11Y69X518210</t>
  </si>
  <si>
    <t>ا ن ل 6589</t>
  </si>
  <si>
    <t>JN6BY11Y69X518272</t>
  </si>
  <si>
    <t>ا م ط 6562</t>
  </si>
  <si>
    <t>JN8BY15Y36X510157</t>
  </si>
  <si>
    <t>س ق ع 638</t>
  </si>
  <si>
    <t>jn6by15y43a501927</t>
  </si>
  <si>
    <t>ر ل ص 23</t>
  </si>
  <si>
    <t>jn6by1sy12a500961</t>
  </si>
  <si>
    <t>ا ق س 1685</t>
  </si>
  <si>
    <t>1gt3kzbg0af106520</t>
  </si>
  <si>
    <t>ا ح و 5225</t>
  </si>
  <si>
    <t>1gtek19c58z228067</t>
  </si>
  <si>
    <t>سيارة رآس تريلا سكس مرسيدس</t>
  </si>
  <si>
    <t>ر ص س 601</t>
  </si>
  <si>
    <t>ب د ق 3669</t>
  </si>
  <si>
    <t>WJMS3TSE5JC386907</t>
  </si>
  <si>
    <t>ب د ق 3659</t>
  </si>
  <si>
    <t>WJMS3TSE7JC386763</t>
  </si>
  <si>
    <t>VIN025815</t>
  </si>
  <si>
    <t>VIN925943</t>
  </si>
  <si>
    <t>مركز الدفاع المدني بالمروة</t>
  </si>
  <si>
    <t>ا ع ك 7576</t>
  </si>
  <si>
    <t>54F2AA501DWE10271</t>
  </si>
  <si>
    <t>أ ك ي 8454</t>
  </si>
  <si>
    <t>WDAKHAAA4BL564463</t>
  </si>
  <si>
    <t>WDAKHAAA9DL719091</t>
  </si>
  <si>
    <t>مركز الدفاع المدني بحي التيسير</t>
  </si>
  <si>
    <t>ب ب ا 5997</t>
  </si>
  <si>
    <t>54F2AA50XFWE11129</t>
  </si>
  <si>
    <t>ب ب ا 2192</t>
  </si>
  <si>
    <t>WDAKHAAA5FL947365</t>
  </si>
  <si>
    <t>الجهة عام</t>
  </si>
  <si>
    <t>نوع السيارة تفصيلي</t>
  </si>
  <si>
    <t>رقم اللوحة كامل</t>
  </si>
  <si>
    <t xml:space="preserve">الموديل </t>
  </si>
  <si>
    <t>اللون</t>
  </si>
  <si>
    <t>نوع السيارة عام</t>
  </si>
  <si>
    <t xml:space="preserve">رقم الشاصية </t>
  </si>
  <si>
    <t xml:space="preserve">رقم الصنف </t>
  </si>
  <si>
    <t>أ ن ب 3281</t>
  </si>
  <si>
    <t>ا م ط 4146</t>
  </si>
  <si>
    <t xml:space="preserve">ا ن ط 2401 </t>
  </si>
  <si>
    <t>ا م ب 1241</t>
  </si>
  <si>
    <t>ى ا ل 917</t>
  </si>
  <si>
    <t>ا ن ل 6414</t>
  </si>
  <si>
    <t>ا ر ل 4471</t>
  </si>
  <si>
    <t>ا ح ع 3182</t>
  </si>
  <si>
    <t>ا ك ى 1593</t>
  </si>
  <si>
    <t>ا د م 4907</t>
  </si>
  <si>
    <t>س ا ط 363</t>
  </si>
  <si>
    <t>ا ب م 7403</t>
  </si>
  <si>
    <t>ا ب م 7397</t>
  </si>
  <si>
    <t>و ص ر 7154</t>
  </si>
  <si>
    <t>ا ن ط 2479</t>
  </si>
  <si>
    <t>ا د م 2605</t>
  </si>
  <si>
    <t>ا د م 2832</t>
  </si>
  <si>
    <t>ا ر ل 1804</t>
  </si>
  <si>
    <t>ا ر ل 1580</t>
  </si>
  <si>
    <t>ا ر ل 1571</t>
  </si>
  <si>
    <t>بدون</t>
  </si>
  <si>
    <t>ا ر ل 1870</t>
  </si>
  <si>
    <t>ا ر ل 1863</t>
  </si>
  <si>
    <t>ا م ن 8209</t>
  </si>
  <si>
    <t xml:space="preserve">بدون </t>
  </si>
  <si>
    <t>ا ر ل 2735</t>
  </si>
  <si>
    <t>ا ر ل 1868</t>
  </si>
  <si>
    <t>ا م ك 4028</t>
  </si>
  <si>
    <t>ا ق ى 7542</t>
  </si>
  <si>
    <t>ا ق ى 7537</t>
  </si>
  <si>
    <t>س و ح 661</t>
  </si>
  <si>
    <t>ا ر ا 7183</t>
  </si>
  <si>
    <t>ا ر ل 1010</t>
  </si>
  <si>
    <t>ا ر ل 1570</t>
  </si>
  <si>
    <t>ا ر ل 1574</t>
  </si>
  <si>
    <t>شعبة الحمدانية</t>
  </si>
  <si>
    <t>شعبة الحمدانية / مركز الحمدانية</t>
  </si>
  <si>
    <t>شعبة الحمدانية / مركز مخطط الرحيلي</t>
  </si>
  <si>
    <t xml:space="preserve">شعبة الحمدانية / مركز بريمان </t>
  </si>
  <si>
    <t>شعبة الحمدانية / مركز حي الرياض</t>
  </si>
  <si>
    <t>شعبة الحمدانية / مركز ذهبان</t>
  </si>
  <si>
    <t>شعبة العزيزية</t>
  </si>
  <si>
    <t>شعبة العزيزية / مركز الرحاب</t>
  </si>
  <si>
    <t>شعبة العزيزية / مركز بني مالك</t>
  </si>
  <si>
    <t>شعبة العزيزية / مركز النسيم</t>
  </si>
  <si>
    <t>شعبة العزيزية / مركز حي مشرفة</t>
  </si>
  <si>
    <t>شعبة أبحر</t>
  </si>
  <si>
    <t>شعبة أبحر / مركز أبحر الجنوبية</t>
  </si>
  <si>
    <t>شعبة أبحر / مركز أبحر الشمالية</t>
  </si>
  <si>
    <t>شعبة أبحر / مركز المحمدية</t>
  </si>
  <si>
    <t>شعبة أبحر / مركز درة العروس</t>
  </si>
  <si>
    <t xml:space="preserve">شعبة البغدادية </t>
  </si>
  <si>
    <t>شعبة البغدادية / مركز البغدادية</t>
  </si>
  <si>
    <t>شعبة البغدادية / مركز الحمراء</t>
  </si>
  <si>
    <t>شعبة البغدادية / مركز باب مكة</t>
  </si>
  <si>
    <t>شعبة البغدادية / مركز الأندلس</t>
  </si>
  <si>
    <t>شعبة البغدادية / مركز إسكان الشرفية</t>
  </si>
  <si>
    <t>شعبة الإسكان الجنوبي</t>
  </si>
  <si>
    <t>شعبة الاسكان / مركز الإسكان الجنوبي</t>
  </si>
  <si>
    <t>شعبة الاسكان / مركز أم السلم</t>
  </si>
  <si>
    <t>شعبة الاسكان / مركز الحرازات الشرقي</t>
  </si>
  <si>
    <t>شعبة الاسكان / مركز المحاميد</t>
  </si>
  <si>
    <t xml:space="preserve">شعبة الصناعية </t>
  </si>
  <si>
    <t>شعبة الصناعية / مركز المرحلة الأولى</t>
  </si>
  <si>
    <t>شعبة الصناعية / مركز الصناعية الثانية</t>
  </si>
  <si>
    <t>شعبة الصناعية / مركز الأسواق الشعبية</t>
  </si>
  <si>
    <t>شعبة الصناعية / مركز السنابل</t>
  </si>
  <si>
    <t xml:space="preserve">شعبة الصناعية / مركز الصناعية الثانية </t>
  </si>
  <si>
    <t>شعبة الصناعية / مركز طريق الساحل</t>
  </si>
  <si>
    <t>شعبة الصناعية / مركز الكورنيش الجنوبي</t>
  </si>
  <si>
    <t>شعبة المروة</t>
  </si>
  <si>
    <t>شعبة المروة / مركز المروة</t>
  </si>
  <si>
    <t>شعبة المروة / مركز الربوة</t>
  </si>
  <si>
    <t>شعبة المروة / مركز النزهة</t>
  </si>
  <si>
    <t>شعبة المروة / مركز الفيصلية</t>
  </si>
  <si>
    <t>شعبة المروة / مركز الصفا</t>
  </si>
  <si>
    <t>شعبة المروة / مركز حي البوادي</t>
  </si>
  <si>
    <t>شعبة خزام</t>
  </si>
  <si>
    <t>شعبة خزام / مركز خزام</t>
  </si>
  <si>
    <t>شعبة خزام / مركز الوزيرية</t>
  </si>
  <si>
    <t>شعبة خزام / مركز بترومين</t>
  </si>
  <si>
    <t>شعبة خزام / مركز الخاسكية</t>
  </si>
  <si>
    <t>شعبة الشاطئ</t>
  </si>
  <si>
    <t>شعبة الشاطئ / مركز الشاطئ</t>
  </si>
  <si>
    <t>شعبة الشاطئ / مركز الخالدية</t>
  </si>
  <si>
    <t>شعبة الشاطئ / مركز قصر السلام</t>
  </si>
  <si>
    <t>شعبة الشاطئ / مركز النهضة</t>
  </si>
  <si>
    <t>شعبة الشاطئ / مركز الروضة</t>
  </si>
  <si>
    <t>شعبة الشاطئ / مركز حي السلامة</t>
  </si>
  <si>
    <t>شعبة السالمية</t>
  </si>
  <si>
    <t>شعبة السالمية / مركز السالمية</t>
  </si>
  <si>
    <t>شعبة السالمية / مركز المنار</t>
  </si>
  <si>
    <t>شعبة السالمية / مركز السامر</t>
  </si>
  <si>
    <t>شعبة السالمية / مركز النخيل</t>
  </si>
  <si>
    <t>شعبة السالمية / مركز التيسير</t>
  </si>
  <si>
    <t>شعبة الجامعة</t>
  </si>
  <si>
    <t>شعبة الجامعة / مركز الجامعة</t>
  </si>
  <si>
    <t>شعبة الجامعة / مركز الروابي</t>
  </si>
  <si>
    <t>شعبة الجامعة / مركز قويزة</t>
  </si>
  <si>
    <t>شعبة الجامعة / مركز الحرازات الشمالي</t>
  </si>
  <si>
    <t>شعبة الجامعة / مركز المنتزهات</t>
  </si>
  <si>
    <t>شعبة الساحل الجنوبي</t>
  </si>
  <si>
    <t>شعبة الساحل / مركز المستودعات</t>
  </si>
  <si>
    <t>شعبة الساحل / مركز الخمرة</t>
  </si>
  <si>
    <t xml:space="preserve">شعبة الساحل / مركز الصناعية الثانية </t>
  </si>
  <si>
    <t>شعبة الساحل / مركز طريق الساحل</t>
  </si>
  <si>
    <t>شعبة الساحل / مركز الكورنيش الجنوبي</t>
  </si>
  <si>
    <t>مركز ثول</t>
  </si>
  <si>
    <t>مركز الدعم والاسناد الأول والثاني والثالث</t>
  </si>
  <si>
    <t>شعبة الاسكان / مركز الألفية</t>
  </si>
  <si>
    <t xml:space="preserve">الحالة الفنية </t>
  </si>
  <si>
    <t>صالحة</t>
  </si>
  <si>
    <t>عطلانة</t>
  </si>
  <si>
    <t xml:space="preserve">الصيانة المركزية </t>
  </si>
  <si>
    <t>الجهة تفصيلي (تنطيق الاوراكل)</t>
  </si>
  <si>
    <t xml:space="preserve">سيارة اطفاء وانقاذ مزدوجة كومندر </t>
  </si>
  <si>
    <t>صدر قرار الرجيع</t>
  </si>
  <si>
    <t>تحت إجراءات الرجيع</t>
  </si>
  <si>
    <t>شعبة العزيزية / مركز العزيزية</t>
  </si>
  <si>
    <t>إدارة العمليات</t>
  </si>
  <si>
    <t>الشؤون الفنية</t>
  </si>
  <si>
    <t xml:space="preserve">الشؤون الإدارية </t>
  </si>
  <si>
    <t>المراجعة الداخلية</t>
  </si>
  <si>
    <t>حادث مروري</t>
  </si>
  <si>
    <t>مركز الدفاع المدني بحي السلامة</t>
  </si>
  <si>
    <t>قسم الدعم والاسناد الثالث</t>
  </si>
  <si>
    <t>قسم الدعم والاسناد الأول</t>
  </si>
  <si>
    <t>نوع العطل</t>
  </si>
  <si>
    <t>ميكانيكي</t>
  </si>
  <si>
    <t>كهربائي</t>
  </si>
  <si>
    <t>تجديد ودهان</t>
  </si>
  <si>
    <t>مضخات</t>
  </si>
  <si>
    <t>تبريد وتكييف</t>
  </si>
  <si>
    <t>خلل فني</t>
  </si>
  <si>
    <t>برمجة</t>
  </si>
  <si>
    <t>أخرى</t>
  </si>
  <si>
    <t>وصف العطل</t>
  </si>
  <si>
    <t>تهريب في زيت الذراع الايسر</t>
  </si>
  <si>
    <t>19-11-1441</t>
  </si>
  <si>
    <t>اسلاك الظفيرة +تغيير الكفرات</t>
  </si>
  <si>
    <t>24-2-1445</t>
  </si>
  <si>
    <t>1-9-1445</t>
  </si>
  <si>
    <t>عطل حساس العمود الايسر</t>
  </si>
  <si>
    <t>6-4-1446</t>
  </si>
  <si>
    <t>الادراج +السفتي +الونان+الفرامل</t>
  </si>
  <si>
    <t>5-8-1444</t>
  </si>
  <si>
    <t>الادارج الجانبية</t>
  </si>
  <si>
    <t>10-2-1445</t>
  </si>
  <si>
    <t>عطل في الفرامل</t>
  </si>
  <si>
    <t>23-2-1447</t>
  </si>
  <si>
    <t>بواكم الهواء</t>
  </si>
  <si>
    <t>6-2-1447</t>
  </si>
  <si>
    <t>طرمبة الديزل</t>
  </si>
  <si>
    <t>15-1-1445</t>
  </si>
  <si>
    <t>الغمارة لاترتفع</t>
  </si>
  <si>
    <t>1-3-1446</t>
  </si>
  <si>
    <t>خلل في عصا القير</t>
  </si>
  <si>
    <t>18-5-1446</t>
  </si>
  <si>
    <t>ذراع الشيال</t>
  </si>
  <si>
    <t>16-6-1446</t>
  </si>
  <si>
    <t>عطل في الهوبات والكفرات</t>
  </si>
  <si>
    <t>28-1-1446</t>
  </si>
  <si>
    <t>تهريب ديزل</t>
  </si>
  <si>
    <t>عطل في الحساسات</t>
  </si>
  <si>
    <t>5-1-1447</t>
  </si>
  <si>
    <t>عطل في الكليبر</t>
  </si>
  <si>
    <t>5-1-1446</t>
  </si>
  <si>
    <t>عطل في علبة الدركسون</t>
  </si>
  <si>
    <t>9-1-1447</t>
  </si>
  <si>
    <t>عطل في البرايمر</t>
  </si>
  <si>
    <t>28-1-1447</t>
  </si>
  <si>
    <t>بنشر كفر امامي يسار</t>
  </si>
  <si>
    <t>29-1-1447</t>
  </si>
  <si>
    <t>اعطال متعددة</t>
  </si>
  <si>
    <t>2-2-1447</t>
  </si>
  <si>
    <t>التماس كهربائي في السيارة</t>
  </si>
  <si>
    <t>9-2-1447</t>
  </si>
  <si>
    <t>بطاريات</t>
  </si>
  <si>
    <t>13-2-1447</t>
  </si>
  <si>
    <t>كفرات</t>
  </si>
  <si>
    <t>صيانة شاملة</t>
  </si>
  <si>
    <t>17-2-1447</t>
  </si>
  <si>
    <t>رصاصات الواير</t>
  </si>
  <si>
    <t>24-2-1447</t>
  </si>
  <si>
    <t>عطل في بستم ذراع اللوبد</t>
  </si>
  <si>
    <t>4-3-1447</t>
  </si>
  <si>
    <t>مضخة وتجديد</t>
  </si>
  <si>
    <t>8-4-1447</t>
  </si>
  <si>
    <t>ضعف كتش</t>
  </si>
  <si>
    <t>عدة اعطال</t>
  </si>
  <si>
    <t>مفتاح المضخة</t>
  </si>
  <si>
    <t>بطارية</t>
  </si>
  <si>
    <t>اعطال كهربائية</t>
  </si>
  <si>
    <t>16-4-1447</t>
  </si>
  <si>
    <t>سحب كهرباء وبطارية</t>
  </si>
  <si>
    <t>23-4-1447</t>
  </si>
  <si>
    <t>اعطال متنوعه</t>
  </si>
  <si>
    <t>ملاحظات</t>
  </si>
  <si>
    <t>لايوجد بديل</t>
  </si>
  <si>
    <t>بديل من شعبة غرب</t>
  </si>
  <si>
    <t>عطل في الكهرباء</t>
  </si>
  <si>
    <t>8-2-1445</t>
  </si>
  <si>
    <t>الموقع الالية الحالي</t>
  </si>
  <si>
    <t>عطل في المكينة</t>
  </si>
  <si>
    <t>24-7-1446</t>
  </si>
  <si>
    <t>يوجد بيل من الشعبة</t>
  </si>
  <si>
    <t>19-12-1446</t>
  </si>
  <si>
    <t>جهة العطل</t>
  </si>
  <si>
    <t>تهريب زيت المكينة</t>
  </si>
  <si>
    <t>22-11-1446</t>
  </si>
  <si>
    <t>عطل بالتعشيق</t>
  </si>
  <si>
    <t>10-1-1447</t>
  </si>
  <si>
    <t>عطل في المحبس المغذي للمضخة</t>
  </si>
  <si>
    <t>الجهة الاسناد</t>
  </si>
  <si>
    <t>4-5-1447</t>
  </si>
  <si>
    <t>بديل من الاسناد --خزام 2</t>
  </si>
  <si>
    <t>خزام 2</t>
  </si>
  <si>
    <t>الجهة الاسناد--إسكان 3</t>
  </si>
  <si>
    <t>عطل في السست الامامية</t>
  </si>
  <si>
    <t>1-5-1447</t>
  </si>
  <si>
    <t>إسكان 4</t>
  </si>
  <si>
    <t>المضخة المساعدات</t>
  </si>
  <si>
    <t>9-11-1445</t>
  </si>
  <si>
    <t>بديل انقاذ فورد من الشعبة</t>
  </si>
  <si>
    <t>شرق 3</t>
  </si>
  <si>
    <t>ورشة خارجية</t>
  </si>
  <si>
    <t>ش الانامل</t>
  </si>
  <si>
    <t>ش روزنباور</t>
  </si>
  <si>
    <t>تأخير في التشغيل</t>
  </si>
  <si>
    <t>29-5-1446</t>
  </si>
  <si>
    <t>بديل من الشعبة</t>
  </si>
  <si>
    <t>عطل في الجربوكس</t>
  </si>
  <si>
    <t>22-6-1446</t>
  </si>
  <si>
    <t>شرق4</t>
  </si>
  <si>
    <t>شرق 4</t>
  </si>
  <si>
    <t>شمال 1</t>
  </si>
  <si>
    <t>شمال2</t>
  </si>
  <si>
    <t>شمال 3</t>
  </si>
  <si>
    <t>شمال 4</t>
  </si>
  <si>
    <t>شمال 5</t>
  </si>
  <si>
    <t>ابحر 1</t>
  </si>
  <si>
    <t>ابحر 2</t>
  </si>
  <si>
    <t>ابحر 3</t>
  </si>
  <si>
    <t>ابحر 4</t>
  </si>
  <si>
    <t>ابحر 5</t>
  </si>
  <si>
    <t>غرب 1</t>
  </si>
  <si>
    <t>غرب 2</t>
  </si>
  <si>
    <t>غرب 3</t>
  </si>
  <si>
    <t>غرب 4</t>
  </si>
  <si>
    <t>مجد 1</t>
  </si>
  <si>
    <t>مجد 2</t>
  </si>
  <si>
    <t>مجد 3</t>
  </si>
  <si>
    <t>مجد 3ب</t>
  </si>
  <si>
    <t>وسط 1</t>
  </si>
  <si>
    <t>وسط 2</t>
  </si>
  <si>
    <t>وسط 3</t>
  </si>
  <si>
    <t>وسط 4</t>
  </si>
  <si>
    <t>وسط 5</t>
  </si>
  <si>
    <t>صفا 1</t>
  </si>
  <si>
    <t>صفا 2</t>
  </si>
  <si>
    <t>صفا 3</t>
  </si>
  <si>
    <t>صفا 4</t>
  </si>
  <si>
    <t>صفا 5</t>
  </si>
  <si>
    <t>بلد 1</t>
  </si>
  <si>
    <t>بلد 2</t>
  </si>
  <si>
    <t>بلد 3</t>
  </si>
  <si>
    <t>بلد 4</t>
  </si>
  <si>
    <t>بلد 5</t>
  </si>
  <si>
    <t>سالمية 1</t>
  </si>
  <si>
    <t>سالمية 2</t>
  </si>
  <si>
    <t>سالمية 3</t>
  </si>
  <si>
    <t>سالمية 4</t>
  </si>
  <si>
    <t>سالمية 5</t>
  </si>
  <si>
    <t>شرق 1</t>
  </si>
  <si>
    <t>شرق 2</t>
  </si>
  <si>
    <t>شرق 5</t>
  </si>
  <si>
    <t>إسكان 1</t>
  </si>
  <si>
    <t>إسكان 2</t>
  </si>
  <si>
    <t>إسكان 3</t>
  </si>
  <si>
    <t>إسكان 5</t>
  </si>
  <si>
    <t>صناعية 1</t>
  </si>
  <si>
    <t>صناعية 2</t>
  </si>
  <si>
    <t>صناعية 3</t>
  </si>
  <si>
    <t>صناعية 4</t>
  </si>
  <si>
    <t>صناعية 5</t>
  </si>
  <si>
    <t>خزام 1</t>
  </si>
  <si>
    <t>خزام 3</t>
  </si>
  <si>
    <t>خزام 4</t>
  </si>
  <si>
    <t>خزام 5</t>
  </si>
  <si>
    <t xml:space="preserve">جنوب 1 </t>
  </si>
  <si>
    <t>جنوب 2</t>
  </si>
  <si>
    <t>جنوب 3</t>
  </si>
  <si>
    <t>جنوب 4</t>
  </si>
  <si>
    <t>جنوب 5</t>
  </si>
  <si>
    <t>ثول</t>
  </si>
  <si>
    <t>ارتفاع درجة الحرارة</t>
  </si>
  <si>
    <t>1-1-1446</t>
  </si>
  <si>
    <t>عطل بالدركسون</t>
  </si>
  <si>
    <t>27-2-1447</t>
  </si>
  <si>
    <t>9-3-1447</t>
  </si>
  <si>
    <t>عطل في غطاء الهوب الامامي</t>
  </si>
  <si>
    <t>5-5-1447</t>
  </si>
  <si>
    <t>اعطال ميكانيكية وكهرباء</t>
  </si>
  <si>
    <t>25-10-1445</t>
  </si>
  <si>
    <t>عطل في الكيبر الامامي مصلب</t>
  </si>
  <si>
    <t>15-12-1446</t>
  </si>
  <si>
    <t>بواكم+هوبات +اقمشة+مضخة</t>
  </si>
  <si>
    <t>تهريب بالمضخة</t>
  </si>
  <si>
    <t>22-3-1447</t>
  </si>
  <si>
    <t>كسر عامود المضخة</t>
  </si>
  <si>
    <t>16-3-1447</t>
  </si>
  <si>
    <t>22-2-1447</t>
  </si>
  <si>
    <t>تتابع من شعبة العزيزية</t>
  </si>
  <si>
    <t>لايقبل دعسه ويحتاج الى برمجه</t>
  </si>
  <si>
    <t>27-4-1447</t>
  </si>
  <si>
    <t>29-4-1447</t>
  </si>
  <si>
    <t>طرمبة المويه + الرديتر+الكفر الخلفي</t>
  </si>
  <si>
    <t>27-1-1447</t>
  </si>
  <si>
    <t>اعطال متعددة+صدأ بالتانكي</t>
  </si>
  <si>
    <t>تهريب زيت +عطل في الكلبرات الخلفية</t>
  </si>
  <si>
    <t>10-4-1447</t>
  </si>
  <si>
    <t>سيرالمكينه + كمبروسرالمكيف</t>
  </si>
  <si>
    <t>17-4-1447</t>
  </si>
  <si>
    <t xml:space="preserve">عطل بلف الغطاس </t>
  </si>
  <si>
    <t>30-4-1447</t>
  </si>
  <si>
    <t>البديل جيب من الشعبة</t>
  </si>
  <si>
    <t>عطل باكم الفرامل الامامي + عدم تعبأة هواء</t>
  </si>
  <si>
    <t>22-1-1446</t>
  </si>
  <si>
    <t>عطل في السلف</t>
  </si>
  <si>
    <t>29-8-1446</t>
  </si>
  <si>
    <t>تهريب زيت بستم الغمارة +كفرات</t>
  </si>
  <si>
    <t>16-12-1446</t>
  </si>
  <si>
    <t>12-3-1446</t>
  </si>
  <si>
    <t>تتابع من شعبة الجامعة -الجهة الاسناد</t>
  </si>
  <si>
    <t>التماس كهربائي في الكابينة</t>
  </si>
  <si>
    <t>30-1-1447</t>
  </si>
  <si>
    <t>بلف الفرامل</t>
  </si>
  <si>
    <t>4-2-1447</t>
  </si>
  <si>
    <t>عطل في الكلتش + عطل بالتعشيق</t>
  </si>
  <si>
    <t>عطل بلف هواء الفرامل</t>
  </si>
  <si>
    <t>7-4-1447</t>
  </si>
  <si>
    <t>عدم تغيير النمر + لمبة القير</t>
  </si>
  <si>
    <t>28-3-1447</t>
  </si>
  <si>
    <t>2-12-1445</t>
  </si>
  <si>
    <t>الجهة شعبة خزام</t>
  </si>
  <si>
    <t>عطل في الباكم والدركسون</t>
  </si>
  <si>
    <t>21-2-1446</t>
  </si>
  <si>
    <t>عطل في الجيربوكس</t>
  </si>
  <si>
    <t>18-2-1446</t>
  </si>
  <si>
    <t>عطل مبرد القير + الفرامل</t>
  </si>
  <si>
    <t>7-11-1446</t>
  </si>
  <si>
    <t>تهريب زيت من فلنجة الكفر الخلفي الأيمن</t>
  </si>
  <si>
    <t>صوت في المكينة + دخان ابيض من الشكمان</t>
  </si>
  <si>
    <t>11-1-1447</t>
  </si>
  <si>
    <t>تهريب في قربة الماء وليات الرديتر</t>
  </si>
  <si>
    <t>3-2-1447</t>
  </si>
  <si>
    <t>تهريب خزانات الهواء</t>
  </si>
  <si>
    <t>19-3-1447</t>
  </si>
  <si>
    <t>خلط ماء مع الزيت</t>
  </si>
  <si>
    <t>تهريب هواء</t>
  </si>
  <si>
    <t>30-3-1447</t>
  </si>
  <si>
    <t>تنسيم هواء الجلنط - دودة الدركسون</t>
  </si>
  <si>
    <t>3-4-1447</t>
  </si>
  <si>
    <t>12-4-1447</t>
  </si>
  <si>
    <t>تهريب خزان الماء</t>
  </si>
  <si>
    <t>21-9-1445</t>
  </si>
  <si>
    <t>عطل في الدينمو</t>
  </si>
  <si>
    <t>2-9-1446</t>
  </si>
  <si>
    <t>الحماية - تدخل الإسكان</t>
  </si>
  <si>
    <t>الحماية - تدخل الصفا</t>
  </si>
  <si>
    <t>صعوبة بالتعشيق ولايقبل التبديل</t>
  </si>
  <si>
    <t>21-5-1446</t>
  </si>
  <si>
    <t xml:space="preserve">خلط مويه مع الزيت </t>
  </si>
  <si>
    <t>9-7-1446</t>
  </si>
  <si>
    <t>عطل الباكم الخلفي</t>
  </si>
  <si>
    <t>9-10-1446</t>
  </si>
  <si>
    <t>22-10-1446</t>
  </si>
  <si>
    <t>كسر في الفلتر والرفرف</t>
  </si>
  <si>
    <t>الاسناد</t>
  </si>
  <si>
    <t>تعليق بالتعشيق</t>
  </si>
  <si>
    <t>15-3-1447</t>
  </si>
  <si>
    <t xml:space="preserve">عطل في بلف الجير + تحبيل الكفر </t>
  </si>
  <si>
    <t>22-4-1447</t>
  </si>
  <si>
    <t>برمجة مضخة</t>
  </si>
  <si>
    <t>عطل ميكانيكي</t>
  </si>
  <si>
    <t>9-6-1445</t>
  </si>
  <si>
    <t>عطل في السلة</t>
  </si>
  <si>
    <t>27-7-1446</t>
  </si>
  <si>
    <t>10-10-1446</t>
  </si>
  <si>
    <t>8-1-1447</t>
  </si>
  <si>
    <t>ضعف في الفرامل</t>
  </si>
  <si>
    <t>13-201447</t>
  </si>
  <si>
    <t>ضعف في المضخة</t>
  </si>
  <si>
    <t>16-2-1447</t>
  </si>
  <si>
    <t>بديل من غرب 2</t>
  </si>
  <si>
    <t>عطل في كمبروسر الهواء</t>
  </si>
  <si>
    <t>29-2-1447</t>
  </si>
  <si>
    <t>عطل في سير المكينة</t>
  </si>
  <si>
    <t>28-2-1445</t>
  </si>
  <si>
    <t>تهريب بلف الغطاس</t>
  </si>
  <si>
    <t>3-4-1446</t>
  </si>
  <si>
    <t>15-10-1446</t>
  </si>
  <si>
    <t>المضخة والمؤشرات للماء والرغاوي لاتعمل</t>
  </si>
  <si>
    <t>24-12-1445</t>
  </si>
  <si>
    <t>عطل في الادراج</t>
  </si>
  <si>
    <t>19-4-1446</t>
  </si>
  <si>
    <t>عطل في القير</t>
  </si>
  <si>
    <t>5-8-1446</t>
  </si>
  <si>
    <t xml:space="preserve">يوجد بديل  من الشعبة </t>
  </si>
  <si>
    <t>عطل بالجربوكس</t>
  </si>
  <si>
    <t>12-8-1446</t>
  </si>
  <si>
    <t>عطل في الكلتش</t>
  </si>
  <si>
    <t>9-11-1446</t>
  </si>
  <si>
    <t>تهريب بالرديتر</t>
  </si>
  <si>
    <t>ارتفاع حرارة المحرك</t>
  </si>
  <si>
    <t>يوجد بديل من  شعبة السالمية</t>
  </si>
  <si>
    <t>عطل في طرمبة البزين</t>
  </si>
  <si>
    <t>25-4-1447</t>
  </si>
  <si>
    <t>1-7-1439</t>
  </si>
  <si>
    <t>25-11-1442</t>
  </si>
  <si>
    <t>يوجد بديل من الاسناد</t>
  </si>
  <si>
    <t xml:space="preserve">عطل بالمضخة وتهريب زيوت </t>
  </si>
  <si>
    <t>7-12-1446</t>
  </si>
  <si>
    <t>عطل الاقمشة وهوبات و بلف الدعسة</t>
  </si>
  <si>
    <t>27-12-1446</t>
  </si>
  <si>
    <t>تهريب ماء من المضخة</t>
  </si>
  <si>
    <t>7-1-1447</t>
  </si>
  <si>
    <t>29-8-1439</t>
  </si>
  <si>
    <t>عطل بالمكينة</t>
  </si>
  <si>
    <t>16-4-1443</t>
  </si>
  <si>
    <t>دودة الدركسون + 6 كفرات</t>
  </si>
  <si>
    <t>22-9-1444</t>
  </si>
  <si>
    <t xml:space="preserve">بديل من الاسناد </t>
  </si>
  <si>
    <t>مايعشق ريوس</t>
  </si>
  <si>
    <t>14-4-1447</t>
  </si>
  <si>
    <t>تهريب في لي الهواء</t>
  </si>
  <si>
    <t>كسر بالجلنط</t>
  </si>
  <si>
    <t>20-4-1447</t>
  </si>
  <si>
    <t>عطل بالجيربوكس</t>
  </si>
  <si>
    <t>26-2-1445</t>
  </si>
  <si>
    <t>بديل من ثول</t>
  </si>
  <si>
    <t>26-11-1446</t>
  </si>
  <si>
    <t>عطل في مفتاح البودرة</t>
  </si>
  <si>
    <t>7-4-1445</t>
  </si>
  <si>
    <t>اعطال بالمكينة</t>
  </si>
  <si>
    <t>21-4-1445</t>
  </si>
  <si>
    <t>18-12-1446</t>
  </si>
  <si>
    <t>تهريب مياه الرديتر + طقم كفرات</t>
  </si>
  <si>
    <t>تهريب زيت من علبة الدركسون</t>
  </si>
  <si>
    <t>عطل في الكربريتر + المكيف</t>
  </si>
  <si>
    <t>20-4-1446</t>
  </si>
  <si>
    <t>الفرامل</t>
  </si>
  <si>
    <t>18-10-1446</t>
  </si>
  <si>
    <t>طرمبة بزين</t>
  </si>
  <si>
    <t>11-5-1446</t>
  </si>
  <si>
    <t>تفتفه ورجه واحمرار بالشكمان</t>
  </si>
  <si>
    <t>10-7-1446</t>
  </si>
  <si>
    <t>13-4-1447</t>
  </si>
  <si>
    <t>تهريب في ماء الرديتر</t>
  </si>
  <si>
    <t>3-9-1446</t>
  </si>
  <si>
    <t>عطل بالكلتش</t>
  </si>
  <si>
    <t>صحن الكلتش</t>
  </si>
  <si>
    <t>1-1-1447</t>
  </si>
  <si>
    <t>ارتفاع الحرارة</t>
  </si>
  <si>
    <t>26-1-1447</t>
  </si>
  <si>
    <t>لمبة الزيت</t>
  </si>
  <si>
    <t>26-10-1446</t>
  </si>
  <si>
    <t>لا يقبل التعشيق</t>
  </si>
  <si>
    <t>بديل من  الشعبة</t>
  </si>
  <si>
    <t>يطفئ فجأة</t>
  </si>
  <si>
    <t>23-12-1446</t>
  </si>
  <si>
    <t>قطع سير المكينة</t>
  </si>
  <si>
    <t>مروحة التبريد</t>
  </si>
  <si>
    <t>تعمل</t>
  </si>
  <si>
    <t xml:space="preserve">تم الإصلاح </t>
  </si>
  <si>
    <t>عطلانه</t>
  </si>
  <si>
    <t>تم الاصلاح</t>
  </si>
  <si>
    <t>تم اصلاح العطل بتاريخ 8-5-1447 بالشعبة</t>
  </si>
  <si>
    <t>تم الإصلاح بتاريخ 9-5-1447</t>
  </si>
  <si>
    <t>تم اصلاح عطل الدينمو والبطاريات بتاريخ 10-5-1447</t>
  </si>
  <si>
    <t>تم اصلاح عطل الباكم بتاريخ 10-5-1447</t>
  </si>
  <si>
    <t>11-5-1447</t>
  </si>
  <si>
    <t>تهريب زيت من باكم الفرامل</t>
  </si>
  <si>
    <t>التكايات</t>
  </si>
  <si>
    <t>تم اصلاح عطل الكفرات بتاريخ 12-5-1447</t>
  </si>
  <si>
    <t>12-5-1447</t>
  </si>
  <si>
    <t xml:space="preserve">تم استلام الالية من الصيانة 12-5-1447 واتضح استمرار الأعطال </t>
  </si>
  <si>
    <t>تم الإصلاح بتاريخ 12-5-1447</t>
  </si>
  <si>
    <t>تهريب ماء الرديتر وارتفاع  درجة الحرارة</t>
  </si>
  <si>
    <t>تم الإصلاح بتاريخ  12-5-1447</t>
  </si>
  <si>
    <t>تم الإصلاح بتاريخ  12-5-1447 والتسليم للاسناد</t>
  </si>
  <si>
    <t>تم الإصلاح  بتاريخ 12-5-1447</t>
  </si>
  <si>
    <t>تم الإصلاح بتاريخ 13-5-1447</t>
  </si>
  <si>
    <t>تاريخ العطل</t>
  </si>
  <si>
    <t>تاريخ الإصلاح</t>
  </si>
  <si>
    <t>13-5-1447</t>
  </si>
  <si>
    <t>10-5-1447</t>
  </si>
  <si>
    <t>9-5-1447</t>
  </si>
  <si>
    <t xml:space="preserve">12-5-1447 </t>
  </si>
  <si>
    <t>8-5-1447</t>
  </si>
  <si>
    <t>25-5-1443</t>
  </si>
  <si>
    <t>1-3-1447</t>
  </si>
  <si>
    <t>24-7-1445</t>
  </si>
  <si>
    <t>23-1-1447</t>
  </si>
  <si>
    <t>اعطال متنوعة</t>
  </si>
  <si>
    <t>22-12-1442</t>
  </si>
  <si>
    <t>27-5-1442</t>
  </si>
  <si>
    <t>14-5-1447</t>
  </si>
  <si>
    <t>6-9-1447</t>
  </si>
  <si>
    <t>عدم نزول البوم + كهرباء</t>
  </si>
  <si>
    <t>بلف الدعسه + تهريب زيت الدركسون + تهريب زيت الرافعه بالفنغر + تهريب زيت من الذراع ونش ماسترلقيت</t>
  </si>
  <si>
    <t>تتواجد في بغلف</t>
  </si>
  <si>
    <t xml:space="preserve">حرارة + تهريب مياه + سمكرة </t>
  </si>
  <si>
    <t>2-9-1445</t>
  </si>
  <si>
    <t>20-10-1442</t>
  </si>
  <si>
    <t>7-12-1442</t>
  </si>
  <si>
    <t>28-2-1440</t>
  </si>
  <si>
    <t>المضخة + اعطال ميكانيكية</t>
  </si>
  <si>
    <t>24-4-1444</t>
  </si>
  <si>
    <t>18-6-1445</t>
  </si>
  <si>
    <t>عطل كهربائي</t>
  </si>
  <si>
    <t>17-4-1446</t>
  </si>
  <si>
    <t>26-2-1447</t>
  </si>
  <si>
    <t>المضخة + يحتاج الى تجديد</t>
  </si>
  <si>
    <t>30-3-1442</t>
  </si>
  <si>
    <t>تهريب لي الهواء</t>
  </si>
  <si>
    <t>13-5-1445</t>
  </si>
  <si>
    <t>تهريب زيوت</t>
  </si>
  <si>
    <t>11-8-1443</t>
  </si>
  <si>
    <t>الادراج الجانبية</t>
  </si>
  <si>
    <t>الادراج</t>
  </si>
  <si>
    <t>25-2-1443</t>
  </si>
  <si>
    <t>13-3-1446</t>
  </si>
  <si>
    <t>يحتاج الى غيار الغمارة وتجديد التانكي</t>
  </si>
  <si>
    <t>3-6-1442</t>
  </si>
  <si>
    <t>18-2-1447</t>
  </si>
  <si>
    <t>رجه في السيارة</t>
  </si>
  <si>
    <t>5-3-1446</t>
  </si>
  <si>
    <t>7-9-1444</t>
  </si>
  <si>
    <t>14-3-1445</t>
  </si>
  <si>
    <t>15-5-1447</t>
  </si>
  <si>
    <t xml:space="preserve">تم اصلاح عطل الكفرات </t>
  </si>
  <si>
    <t>16-5-1447</t>
  </si>
  <si>
    <t>18-5-1447</t>
  </si>
  <si>
    <t>تم الإصلاح من قبل الشعبة</t>
  </si>
  <si>
    <t>تهريب زيت الدركسون</t>
  </si>
  <si>
    <t>19-5-1447</t>
  </si>
  <si>
    <t xml:space="preserve">باب المضخة الخلفي </t>
  </si>
  <si>
    <t>20-5-1447</t>
  </si>
  <si>
    <t>ملاحظة</t>
  </si>
  <si>
    <t>المركز</t>
  </si>
  <si>
    <t>مركز غرب 1 ( الشاطئ )</t>
  </si>
  <si>
    <t>مركز غرب 2 ( الخالدية )</t>
  </si>
  <si>
    <t>مركز غرب 3 ( الروضة )</t>
  </si>
  <si>
    <t>مركز غرب 4 ( النهضة )</t>
  </si>
  <si>
    <t>مركز مجد 1 ( قصر السلام )</t>
  </si>
  <si>
    <t>مركز مجد 3</t>
  </si>
  <si>
    <t>مركز مجد 3ب</t>
  </si>
  <si>
    <t>مركز شمال 1 ( الحمدانية )</t>
  </si>
  <si>
    <t>مركز شمال 2 ( بريمان )</t>
  </si>
  <si>
    <t>مركز شمال 3 ( الرحيلي )</t>
  </si>
  <si>
    <t>مركز شمال 4 ( الرياض )</t>
  </si>
  <si>
    <t>مركز شمال 5 ( ذهبان )</t>
  </si>
  <si>
    <t>مركز وسط 1 ( الرحاب )</t>
  </si>
  <si>
    <t>مركز وسط 2 ( العزيزية )</t>
  </si>
  <si>
    <t>مركز وسط 3 ( النسيم )</t>
  </si>
  <si>
    <t>مركز وسط 4 ( بني مالك )</t>
  </si>
  <si>
    <t>مركز وسط 5 ( الاندلس )</t>
  </si>
  <si>
    <t>مركز صفا 1 ( المروة )</t>
  </si>
  <si>
    <t>مركز صفا 2 ( النزهة )</t>
  </si>
  <si>
    <t>مركز صفا 3 ( الربوة )</t>
  </si>
  <si>
    <t>مركز صفا 4 ( الصفا )</t>
  </si>
  <si>
    <t>مركز صفا 5 ( الفيصلية )</t>
  </si>
  <si>
    <t>شعبة ابحر</t>
  </si>
  <si>
    <t>مركز ابحر 1 ( ابحر الجنوبية )</t>
  </si>
  <si>
    <t>مركز ابحر 2 ( ابحر الشمالية )</t>
  </si>
  <si>
    <t>مركز ابحر 3 ( المحمدية )</t>
  </si>
  <si>
    <t>مركز ابحر 4 ( درة العروس )</t>
  </si>
  <si>
    <t>مركز سالمية 1 ( السالمية )</t>
  </si>
  <si>
    <t>مركز سالمية 2 ( النخيل )</t>
  </si>
  <si>
    <t>مركز سالمية 3</t>
  </si>
  <si>
    <t>مركز سالمية 4 ( السامر )</t>
  </si>
  <si>
    <t>مركز سالمية 5 ( المنار )</t>
  </si>
  <si>
    <t>مركز شرق 1 ( الجامعة )</t>
  </si>
  <si>
    <t>مركز شرق 2 ( الروابي )</t>
  </si>
  <si>
    <t>مركز شرق 3 ( قويزة )</t>
  </si>
  <si>
    <t>مركز شرق 4 ( المنتزهات )</t>
  </si>
  <si>
    <t>مركز شرق 5 ( الحرزات الشمالي )</t>
  </si>
  <si>
    <t>شعبة الصناعية</t>
  </si>
  <si>
    <t>مركز صناعية 1 ( الصناعية )</t>
  </si>
  <si>
    <t>مركز صناعية 2 ( المرحلة الاولى )</t>
  </si>
  <si>
    <t>مركز صناعية 3 ( الاسواق الشعبية )</t>
  </si>
  <si>
    <t>مركز صناعية 5 ( السنابل )</t>
  </si>
  <si>
    <t>مركز خزام 1 ( خزام )</t>
  </si>
  <si>
    <t>مركز خزام 2 ( مدائن الفهد )</t>
  </si>
  <si>
    <t>مركز خزام 3 ( الكندرة )</t>
  </si>
  <si>
    <t>مركز خزام 4 ( المصفاة )</t>
  </si>
  <si>
    <t>مركز بترومين</t>
  </si>
  <si>
    <t>شعبة البغدادية</t>
  </si>
  <si>
    <t>مركز بلد 1 ( الحمراء )</t>
  </si>
  <si>
    <t>مركز بلد 2 ( البغدادية )</t>
  </si>
  <si>
    <t>مركز بلد 3 ( باب مكة )</t>
  </si>
  <si>
    <t>مركز بلد 4 ( الخاسكية )</t>
  </si>
  <si>
    <t>مركز بلد 5 ( الشرفية )</t>
  </si>
  <si>
    <t>مركز جنوب 1 ( الكورنيش )</t>
  </si>
  <si>
    <t>مركز جنوب 2 ( الصناعية الثانية )</t>
  </si>
  <si>
    <t>مركز جنوب 3 ( طريق الساحل )</t>
  </si>
  <si>
    <t>مركز جنوب 4 ( الخمرة )</t>
  </si>
  <si>
    <t>مركز جنوب 5 ( المستودعات )</t>
  </si>
  <si>
    <t>شعبة الاسكان</t>
  </si>
  <si>
    <t>مركز اسكان 1 ( الاسكان الجنوبي )</t>
  </si>
  <si>
    <t>مركز اسكان 2 ( ام السلم )</t>
  </si>
  <si>
    <t>مركز اسكان 3 ( الالفية )</t>
  </si>
  <si>
    <t>مركز اسكان 4 ( الحزرات الشرقي )</t>
  </si>
  <si>
    <t>مركز اسكان 5 ( المحاميد )</t>
  </si>
  <si>
    <t>مركز ثول الخارجي</t>
  </si>
  <si>
    <t>مركز مجد 2 ( الجزيرة )</t>
  </si>
  <si>
    <t>قسم الاسناد الاول والثاني والثالث</t>
  </si>
  <si>
    <t>مدة العطل (بالايام)</t>
  </si>
  <si>
    <t>السنة</t>
  </si>
  <si>
    <t>الشهر</t>
  </si>
  <si>
    <t>الأسبوع</t>
  </si>
  <si>
    <t>ادخال  بيانات الاليات</t>
  </si>
  <si>
    <t>اليوم</t>
  </si>
  <si>
    <t>الكل</t>
  </si>
  <si>
    <t>رقم الصنف</t>
  </si>
  <si>
    <t>الاسبوع</t>
  </si>
  <si>
    <t>جدول احصائي لحالة المركبات</t>
  </si>
  <si>
    <t>نوع السيارة</t>
  </si>
  <si>
    <t>عدد التكرار</t>
  </si>
  <si>
    <t>تعمل بوجود ملاحظات</t>
  </si>
  <si>
    <t>22-5-1447</t>
  </si>
  <si>
    <t>تهريب زيت دركسون من العلبه</t>
  </si>
  <si>
    <t>25-5-1447</t>
  </si>
  <si>
    <t>ملاحظة في الالية  مع استمرار عملها في مركز شمال 5</t>
  </si>
  <si>
    <t xml:space="preserve">عطل في الهوبات </t>
  </si>
  <si>
    <t>القماش ماسك في الهوب الخلفي يمين (فرامل)</t>
  </si>
  <si>
    <t xml:space="preserve">صدأ وتآكل داخل الخزان </t>
  </si>
  <si>
    <t>28-5-1447</t>
  </si>
  <si>
    <t xml:space="preserve">سيارة اطفاء وانقاذ مزدوجة روزنباور </t>
  </si>
  <si>
    <t>تاريخ الرفع 28-5-1447</t>
  </si>
  <si>
    <t>تعمل مع وجود الملاحظة</t>
  </si>
  <si>
    <t xml:space="preserve">وايت سكس مرسيدس بمضخه وقاذف </t>
  </si>
  <si>
    <t>29-5-1447</t>
  </si>
  <si>
    <t>تأخر تبديل نمر+المضخة لاتعمل+الغمارة تحتاج تثبيت</t>
  </si>
  <si>
    <t>تعطل الالية بعد الاستلام من الصيانة خلال يوم واحد</t>
  </si>
  <si>
    <t>1-6-1447</t>
  </si>
  <si>
    <t>ظهور العطل بعد اصلاح عطل البواكم</t>
  </si>
  <si>
    <t>أ ق ى 2545</t>
  </si>
  <si>
    <t>ا ق ى 2545</t>
  </si>
  <si>
    <t>وايت سكس مرسيدس بمضخه وقاذف ( مباني عالية )</t>
  </si>
  <si>
    <t>عربة اطفاء مطورة (15)م3 مجهزة بمضخة وقاذف ( مباني عالية )</t>
  </si>
  <si>
    <t>32 متر</t>
  </si>
  <si>
    <t>رجيييييع</t>
  </si>
  <si>
    <t>عطل بالفرامل</t>
  </si>
  <si>
    <t>4-6-1447</t>
  </si>
  <si>
    <t>باب الادراج وطقم كفرات</t>
  </si>
  <si>
    <t>تهريب من علبة الدركسون</t>
  </si>
  <si>
    <t>5-6-1447</t>
  </si>
  <si>
    <t>9-6-1447</t>
  </si>
  <si>
    <t>10-6-1447</t>
  </si>
  <si>
    <t>ا ع ك 7553</t>
  </si>
  <si>
    <t>تم الإصلاح</t>
  </si>
  <si>
    <t>12-6-1447</t>
  </si>
  <si>
    <t>2-4-1442</t>
  </si>
  <si>
    <t>13-6-1447</t>
  </si>
  <si>
    <t>عامود الانارة الأيمن</t>
  </si>
  <si>
    <t>تعليق بالدعسه</t>
  </si>
  <si>
    <t>16-6-1447</t>
  </si>
  <si>
    <t>الكلتش</t>
  </si>
  <si>
    <t>18-6-1447</t>
  </si>
  <si>
    <t>التسليم وتحرك الالية</t>
  </si>
  <si>
    <t>س س أ 4201</t>
  </si>
  <si>
    <t>19-6-1447</t>
  </si>
  <si>
    <t>20-6-1447</t>
  </si>
  <si>
    <t>23-6-1447</t>
  </si>
  <si>
    <t>12-4-1446</t>
  </si>
  <si>
    <t>17-2-1441</t>
  </si>
  <si>
    <t>24-6-1447</t>
  </si>
  <si>
    <t>التعشيق</t>
  </si>
  <si>
    <t>25-6-1447</t>
  </si>
  <si>
    <t>26-6-1447</t>
  </si>
  <si>
    <t>1-7-1447</t>
  </si>
  <si>
    <t>مركز جنوب 5 المستودعات</t>
  </si>
  <si>
    <t>حساس التكايه  الخلفيه اليمنى</t>
  </si>
  <si>
    <t>عطل بالمحرك</t>
  </si>
  <si>
    <t>2-7-1447</t>
  </si>
  <si>
    <t>متعطل ومسلم للتموين</t>
  </si>
  <si>
    <t>لدى التموين متعطل</t>
  </si>
  <si>
    <t>لجنة المخالفات مع الخثلان</t>
  </si>
  <si>
    <t>لجاهزة بوجود ملاحظات ولا ا تتحرك الا بأمر مدير الإدارة ومدير العمليات</t>
  </si>
  <si>
    <t>متعطله  بالتموين</t>
  </si>
  <si>
    <t>لدى التموين</t>
  </si>
  <si>
    <t xml:space="preserve">اعطال متعددة </t>
  </si>
  <si>
    <t>عطل بالدينمو</t>
  </si>
  <si>
    <t>الحماية المدنية العجلاني</t>
  </si>
  <si>
    <t>مساند لدى  المروة</t>
  </si>
  <si>
    <t>متوقف بالإدارة</t>
  </si>
  <si>
    <t xml:space="preserve">التدريب على راس العمل  المقدم فيصل المنصور </t>
  </si>
  <si>
    <t>جيب ضابط خفر في شعبة الشاطئ</t>
  </si>
  <si>
    <t>العمليات / العقيد ماجد القاضي</t>
  </si>
  <si>
    <t>مخصص للمهمات وحازم وهمام (مسلم حاليا مع شعبة العلاقات)</t>
  </si>
  <si>
    <t>لدى الشؤون الإدارية</t>
  </si>
  <si>
    <t>4-7-1447</t>
  </si>
  <si>
    <t>ضعف بالفرامل</t>
  </si>
  <si>
    <t>جنوب 1</t>
  </si>
  <si>
    <t>في الاقمشه والهوبات الكفر الأيمن</t>
  </si>
  <si>
    <t>9-7-1447</t>
  </si>
  <si>
    <t>تم تسليمه للاسناد من وسط 5</t>
  </si>
  <si>
    <t>تهريب بالتانكي + تهريب المضخة + صدأ</t>
  </si>
  <si>
    <t>11-7-1447</t>
  </si>
  <si>
    <t>16-7-1447</t>
  </si>
  <si>
    <t>البساتم</t>
  </si>
  <si>
    <t>ليست الية نوعية حسب الإفادة عربة تجهيزات فنية</t>
  </si>
  <si>
    <t>مركز التدخل  بالمواد الخطرة بالاسكان</t>
  </si>
  <si>
    <t>عطل بالهوبات + ضعف في المضخة</t>
  </si>
  <si>
    <t>بيرس</t>
  </si>
  <si>
    <t>سيارة سلالم 28 متر (بيرس)</t>
  </si>
  <si>
    <t>19-7-1447</t>
  </si>
  <si>
    <t>23-7-1447</t>
  </si>
  <si>
    <t>جيب ضابط الخفر</t>
  </si>
  <si>
    <t>25-7-1447</t>
  </si>
  <si>
    <t>26-7-1447</t>
  </si>
  <si>
    <t>28-7-1447</t>
  </si>
  <si>
    <t>29-7-1447</t>
  </si>
  <si>
    <t xml:space="preserve"> ( سلالم الطائف)</t>
  </si>
  <si>
    <t>( سلالم الطائف)</t>
  </si>
  <si>
    <t>1-8-1447</t>
  </si>
  <si>
    <t>قسم الدعم والاسناد</t>
  </si>
  <si>
    <t>3-8-1447</t>
  </si>
  <si>
    <t>قسم التدريب على راس العمل</t>
  </si>
  <si>
    <t>متواجد لدى قسم التدريب على راس العمل</t>
  </si>
  <si>
    <t>عطل بالقيربوكس</t>
  </si>
  <si>
    <t>6-8-1447</t>
  </si>
  <si>
    <t>7-8-1447</t>
  </si>
  <si>
    <t>9-8-1447</t>
  </si>
  <si>
    <t>تم الإبلاغ عن العطل بخطاب</t>
  </si>
  <si>
    <t>اعطال متعدده</t>
  </si>
  <si>
    <t>10-8-1447</t>
  </si>
  <si>
    <t>12-8-1447</t>
  </si>
  <si>
    <t>لم يتم رفع عطله بالقروب</t>
  </si>
  <si>
    <t>13-8-1447</t>
  </si>
  <si>
    <t>13-8-1448</t>
  </si>
  <si>
    <t>تهريب زيت  الدفرنس</t>
  </si>
  <si>
    <t>14-8-1447</t>
  </si>
  <si>
    <t>تهريب المضخة والمحابس</t>
  </si>
  <si>
    <t>16-8-1447</t>
  </si>
  <si>
    <t>16-8-1448</t>
  </si>
  <si>
    <t>طلبت للصيانة ولم ترفع متعطلة بقروب الأعطال 17-8-1447</t>
  </si>
  <si>
    <t>طلبت للصيانة ولم ترفع بقروب  الأعطال 17-8-1447</t>
  </si>
  <si>
    <t>17-8-1447</t>
  </si>
  <si>
    <t xml:space="preserve">تهريب بالتانكي </t>
  </si>
  <si>
    <t>20-8-1447</t>
  </si>
  <si>
    <t>طلبت للصيانة ولم ترفع بقروب  الأعطال 20-8-1447</t>
  </si>
  <si>
    <t>مسامير الجنزير</t>
  </si>
  <si>
    <t>21-8-1447</t>
  </si>
  <si>
    <t>تهريب من علبة الدركسون + بطاريات</t>
  </si>
  <si>
    <t>جربوكس</t>
  </si>
  <si>
    <t xml:space="preserve">دودة الدركسون </t>
  </si>
  <si>
    <t>كلتش</t>
  </si>
  <si>
    <t>22-8-1447</t>
  </si>
  <si>
    <t>23-8-1447</t>
  </si>
  <si>
    <t>24-8-1447</t>
  </si>
  <si>
    <t>23-8-1448</t>
  </si>
  <si>
    <t>قطع في هواء الخاص بالبريك</t>
  </si>
  <si>
    <t>طلبت للصيانة بتاريخ 24-8-1447 بدون عطل مرفوع</t>
  </si>
  <si>
    <t>خلل في العامود الايسر</t>
  </si>
  <si>
    <t>عصا القير وتنسيم هواء من احد الخزانات</t>
  </si>
  <si>
    <t>جيربوكس</t>
  </si>
  <si>
    <t>25-8-1447</t>
  </si>
  <si>
    <t>تم طلب الالية للصيانة بتاريخ 27-8-1447 بدون ان ترفع متعطله</t>
  </si>
  <si>
    <t>طلبت للصيانة بتاريخ 27-8-1447 بدون ان ترفع متعطله</t>
  </si>
  <si>
    <t>تم طلبه للصيانة  مرة أخرى بتاريخ 27-8-1447 ولم يرفع متعطل</t>
  </si>
  <si>
    <t>27-8-1447</t>
  </si>
  <si>
    <t xml:space="preserve">طلبت للصيانة يوم الاثنين بتاريخ 28-8-1447 </t>
  </si>
  <si>
    <t>لا تعمل</t>
  </si>
  <si>
    <t>تاريخ ادارج العطل وليس تاريخ العطل نفسه</t>
  </si>
  <si>
    <t>جاري العمل على الإصلاح</t>
  </si>
  <si>
    <t>الاجراء حسب الصيانة المركزية</t>
  </si>
  <si>
    <t>بانتظار ترسية المنافسة</t>
  </si>
  <si>
    <t xml:space="preserve">غير مدرج في بيان الأعطال </t>
  </si>
  <si>
    <t>إجراءات الإحالة للرجيع</t>
  </si>
  <si>
    <t>تم الإصلاح وبحاجة تشخيص جديد</t>
  </si>
  <si>
    <t xml:space="preserve">تم الإصلاح  </t>
  </si>
  <si>
    <t>إجراءات الامر المستديم 198</t>
  </si>
  <si>
    <t>جاري الكشف والتشخيص</t>
  </si>
  <si>
    <t>28-8-1447</t>
  </si>
  <si>
    <t>29-8-1447</t>
  </si>
  <si>
    <t>1-9-1447</t>
  </si>
  <si>
    <t>تحتاج الى صيانة</t>
  </si>
  <si>
    <t>2-9-1447</t>
  </si>
  <si>
    <t>عطل بالمكيف</t>
  </si>
  <si>
    <t xml:space="preserve">عطل في المكيف </t>
  </si>
  <si>
    <t>جيب الحماية المدنية</t>
  </si>
  <si>
    <t>عطل جديد في نفس يوم الاصلاح</t>
  </si>
  <si>
    <t>متوقف ومهمل</t>
  </si>
  <si>
    <t>4-9-1447</t>
  </si>
  <si>
    <t>5-9-1447</t>
  </si>
  <si>
    <t>تعمل انقاذ فقط المضخة عطلانة</t>
  </si>
  <si>
    <t>7-9-1447</t>
  </si>
  <si>
    <t>8-9-1447</t>
  </si>
  <si>
    <t>9-9-1447</t>
  </si>
  <si>
    <t>تهريب زيت المكينة وتحتاج طقم كفرات</t>
  </si>
  <si>
    <t>صوت في البكرات</t>
  </si>
  <si>
    <t xml:space="preserve">الفرامل  </t>
  </si>
  <si>
    <t>10-9-1447</t>
  </si>
  <si>
    <t>فرامل</t>
  </si>
  <si>
    <t>خزانات الهواء + حساس كهرباء +اقمشة فرامل</t>
  </si>
  <si>
    <t>12-9-1447</t>
  </si>
  <si>
    <t>15-9-1447</t>
  </si>
  <si>
    <t>موزع الباكم</t>
  </si>
  <si>
    <t>تعمل انقاذ خفيف صفا 2</t>
  </si>
  <si>
    <t>تلف افياش الانوار + عطل في تماتيك المراوح + ماس بالانوار</t>
  </si>
  <si>
    <t xml:space="preserve">سيارة الملاية </t>
  </si>
  <si>
    <t>انهيارات البلد</t>
  </si>
  <si>
    <t>20-9-1447</t>
  </si>
  <si>
    <t>لاتقبل دعسة الديزل</t>
  </si>
  <si>
    <t>21-9-1447</t>
  </si>
  <si>
    <t>ارتفاع حرارة</t>
  </si>
  <si>
    <t xml:space="preserve">صدأ وتآكل داخل الخزان  </t>
  </si>
  <si>
    <t>22-9-1447</t>
  </si>
  <si>
    <t>الاقمشة والهوبات</t>
  </si>
  <si>
    <t xml:space="preserve">جميع الجهات من غير تكرار </t>
  </si>
  <si>
    <t>تهريب هواء وثقل بالفرامل</t>
  </si>
  <si>
    <t>متواجد لدى الشركة للصيانة</t>
  </si>
  <si>
    <t>عطل بالماكينة</t>
  </si>
  <si>
    <t xml:space="preserve">عطل بالدينمو </t>
  </si>
  <si>
    <t>بطارية + اقمشة + فرامل + كفرات</t>
  </si>
  <si>
    <t xml:space="preserve">بطارية </t>
  </si>
  <si>
    <t>1-8-1446</t>
  </si>
  <si>
    <t>1-4-1447</t>
  </si>
  <si>
    <t>12-1-1447</t>
  </si>
  <si>
    <t>مكيف متعطل</t>
  </si>
  <si>
    <t>حادث مروري  19-7-1446</t>
  </si>
  <si>
    <t>علبة الدركسون والمساحات والاطارات والمكيف</t>
  </si>
  <si>
    <t>صعوبة تحريك الدركسون واصوات بالمكينة</t>
  </si>
  <si>
    <t>البطارية والمساحات والكفرات والتكييف</t>
  </si>
  <si>
    <t>احيلت للرجيع بتاريخ 26-7-1446 قرار رقم 247523</t>
  </si>
  <si>
    <t>احيلت للرجيع بتاريخ 3-4-1447 رقم 60</t>
  </si>
  <si>
    <t>23-9-1446</t>
  </si>
  <si>
    <t>تاريخ تقريبي</t>
  </si>
  <si>
    <t>ارتفاع درجة الحرارة  + باكم + علبة الكلتش</t>
  </si>
  <si>
    <t>المكيف</t>
  </si>
  <si>
    <t>كثرة الملاحظات وقدم الموديل</t>
  </si>
  <si>
    <t>عطل بالمكيف وتغيير كفرات</t>
  </si>
  <si>
    <t xml:space="preserve">بطارية + كفرات </t>
  </si>
  <si>
    <t>بطارية + كفرات + السفتي لايعمل</t>
  </si>
  <si>
    <t>حادث مروري + كفرات + بطارية</t>
  </si>
  <si>
    <t>كلتش + عوامة بنزين + كفرات + تهريب زيوت</t>
  </si>
  <si>
    <t>كفرات + المكيف</t>
  </si>
  <si>
    <t>المكينة</t>
  </si>
  <si>
    <t>بطارية + إطارات</t>
  </si>
  <si>
    <t>عطل بالتكييف + إطارات</t>
  </si>
  <si>
    <t>مصور غرب</t>
  </si>
  <si>
    <t>الدينمو + كفرات</t>
  </si>
  <si>
    <t>بطارية + كفرات +مكيف</t>
  </si>
  <si>
    <t>عطل كهربائي +بطارية +كفرات+مكيف</t>
  </si>
  <si>
    <t>بطارية + كفرات + مكيف</t>
  </si>
  <si>
    <t>بطارية +اقمشة+كومبرسر</t>
  </si>
  <si>
    <t>اقمشة +كومبرسر+تغيير زيوت</t>
  </si>
  <si>
    <t>بطارية +المكيف+امشة</t>
  </si>
  <si>
    <t>26-4-1446</t>
  </si>
  <si>
    <t>10-2-1446</t>
  </si>
  <si>
    <t>عطل بالكلتش والكفرات</t>
  </si>
  <si>
    <t>حوش الستين</t>
  </si>
  <si>
    <t>بحاجة الى دهان كامل</t>
  </si>
  <si>
    <t>دهان  وكفرات</t>
  </si>
  <si>
    <t>15-1-1446</t>
  </si>
  <si>
    <t>ممنوع من السير باللون الأخضر من الامن والحماية</t>
  </si>
  <si>
    <t>حوش الرجيع</t>
  </si>
  <si>
    <t>26-9-1447</t>
  </si>
  <si>
    <t>تدخل الصفا</t>
  </si>
  <si>
    <t>جيب الشرطة العسكرية</t>
  </si>
  <si>
    <t>جيب مدير الموارد</t>
  </si>
  <si>
    <t xml:space="preserve">تم سحبه الى التموين بتوجيه سعادة مدير الإدارة </t>
  </si>
  <si>
    <t>تهريب ديزل من ماسورة البستم</t>
  </si>
  <si>
    <t xml:space="preserve">مكلف في مهمة مجد 3 (داخل قصر السلام) </t>
  </si>
  <si>
    <t>6-10-1447</t>
  </si>
  <si>
    <t>انقطاع السير وتهريب الماء</t>
  </si>
  <si>
    <t>تهريب الديزل وذراع الدركسون</t>
  </si>
  <si>
    <t>10-10-1447</t>
  </si>
  <si>
    <t>تهريب هواء في الأسطوانة وعطل بالكلتش</t>
  </si>
  <si>
    <t>مجد 3 قصر السلام</t>
  </si>
  <si>
    <t>11-10-1447</t>
  </si>
  <si>
    <t>جيب التدخل السريع المروة</t>
  </si>
  <si>
    <t>جيب التدخل السريع الساحل الجنوبي</t>
  </si>
  <si>
    <t>مسلم لشعبة السالمية (جيب التدخل السريع بالسالمية)</t>
  </si>
  <si>
    <t>جيب التدخل السريع ابحر نقلت بقرار مدير الإدارة الى شعبة ابحر</t>
  </si>
  <si>
    <t>مسلمة لشعبة الصناعية (جيب التدخل السريع الصناعية)</t>
  </si>
  <si>
    <t>جيب التدخل السريع البغدادية تغيير الرديتر والمكيف والفرامل والسفتي عطلان والاقمشة</t>
  </si>
  <si>
    <t>جيب التدخل السريع الحمدانية</t>
  </si>
  <si>
    <t>كمامات الصفا</t>
  </si>
  <si>
    <t>جيب التدخل السريع  العزيزية</t>
  </si>
  <si>
    <t>التدخل  السريع الإسكان الجنوبي</t>
  </si>
  <si>
    <t>التدخل السريع شعبة الشاطئ</t>
  </si>
  <si>
    <t>جيب التدخل السريع الجامعة</t>
  </si>
  <si>
    <t>جيب التدخل السريع خزام سلمت لشعبة خزام</t>
  </si>
  <si>
    <t>طلبت للصيانة بتاريخ 12-10-1447 ولم ترفع متعطله</t>
  </si>
  <si>
    <t>12-10-1447</t>
  </si>
  <si>
    <t>تم تسليمها لشعبة البغدادية بتاريخ 12-10-1447</t>
  </si>
  <si>
    <t>طرمبة المويه</t>
  </si>
  <si>
    <t>طلبت للصيانة بتاريخ 13-10-1447 ولم ترفع متعطله</t>
  </si>
  <si>
    <t>طلبت للصيانة بتاريخ 13-10-1447</t>
  </si>
  <si>
    <t>طلبت للصيانة بتاريخ 13-10-1447+جيب سريع وسط</t>
  </si>
  <si>
    <t>13-10-1447</t>
  </si>
  <si>
    <t>تم استلامها من الصيانة والكفر مبنشر - مركز بترومين</t>
  </si>
  <si>
    <t xml:space="preserve">جيربوكس </t>
  </si>
  <si>
    <t>سلامة الحمدانية</t>
  </si>
  <si>
    <t>للبريد واعمال إدارية</t>
  </si>
  <si>
    <t>رجيع وتالفة من قبل عام 1436</t>
  </si>
  <si>
    <t>1-1-1436</t>
  </si>
  <si>
    <t xml:space="preserve">تالفة </t>
  </si>
  <si>
    <t>14-10-1447</t>
  </si>
  <si>
    <t>هوبات + باكم + تهريب الكليبر</t>
  </si>
  <si>
    <t>اقمشة + هوبات+مقصات</t>
  </si>
  <si>
    <t xml:space="preserve">مصور شمال + تم تسليمه لادارة خليص </t>
  </si>
  <si>
    <t>جمس طفايات البودرة</t>
  </si>
  <si>
    <t>17-10-1447</t>
  </si>
  <si>
    <t>طلبت للصيانة بتاريخ 13-10-1447 ولم ترفع متعطله + كانت تعمل بملاحظات</t>
  </si>
  <si>
    <t xml:space="preserve">مطلوبة للصيانة 17-10-1447 </t>
  </si>
  <si>
    <t>طلبت للصيانة بتاريخ 17-10-1447 ولم ترفع متعطله</t>
  </si>
  <si>
    <t>طلبت للصيانة ولم ترفع متعطله 17-10-1447</t>
  </si>
  <si>
    <t xml:space="preserve"> ضعف في المضخة</t>
  </si>
  <si>
    <t>بستم  تثبيت قاعدة الارجل الخلفية للانارة</t>
  </si>
  <si>
    <t>18-10-1447</t>
  </si>
  <si>
    <t xml:space="preserve">بنشر </t>
  </si>
  <si>
    <t>19-10-1447</t>
  </si>
  <si>
    <t>طلبت للصيانة بتاريخ  19-10-1447</t>
  </si>
  <si>
    <t>طلبت للصيانة بتاريخ 19-10-1447</t>
  </si>
  <si>
    <t>20-10-1447</t>
  </si>
  <si>
    <t>طلبت للصيانة بتاريخ 19-10-1447 ولم ترفع متعطله - تم الاستلام 20-10-1447</t>
  </si>
  <si>
    <t>طلبت للصيانة ولم ترفع متعطله 19-10-1447 - تم الاستلام 20-10-1447</t>
  </si>
  <si>
    <t>طلبت للصيانة بتاريخ 21-10-1447</t>
  </si>
  <si>
    <t>طلبت للصيانة بتاريخ 21-10-1447  ولم ترفع متعطله</t>
  </si>
  <si>
    <t>طلبت للصيانه ولم ترفع متعطلة 21-10-1447</t>
  </si>
  <si>
    <t>طلبت للصيانة بتاريخ 21-10-1447 ولم ترفع متعطله</t>
  </si>
  <si>
    <t>مصور شمال - طلبت للصيانه ولم ترفع متعطله 21-10-1447</t>
  </si>
  <si>
    <t>طلبت للصيانة بتاريخ 21-10-1447 بدون ان ترفع متعطله</t>
  </si>
  <si>
    <t>تم طلب الالية للصيانة بتاريخ 21-10-1447 بدون ان ترفع متعطله</t>
  </si>
  <si>
    <t>مركز سلامة الساحل الجنوبي - طلبت للصيانة بتاريخ 21-10-1447</t>
  </si>
  <si>
    <t>تم الإبلاغ عن العطل بخطاب + تم التحديث بالتعميم + جيب المصور</t>
  </si>
  <si>
    <t>21-10-1447</t>
  </si>
  <si>
    <t>غرب 3 الروضة</t>
  </si>
  <si>
    <t>معاودة تعطل الالية بعد  3 أيام من الإصلاح</t>
  </si>
  <si>
    <t>معاودة تعطل الالية بعد  يوم واحد  من الإصلاح</t>
  </si>
  <si>
    <t>معاودة تعطل الالية بعد  15 يوم  من الإصلاح</t>
  </si>
  <si>
    <t>طلبت للصيانة بتاريخ 19-10-1447 تم اصلاح عطل ومتبقي عطل اخر</t>
  </si>
  <si>
    <t>22-10-1447</t>
  </si>
  <si>
    <t>السفتي لايعمل</t>
  </si>
  <si>
    <t>24-10-1447</t>
  </si>
  <si>
    <t>طلبت للصيانة بتاريخ 24-10-1447 ولم ترفع متعطله</t>
  </si>
  <si>
    <t>طلبت للصيانة بتاريخ 24-10-1447</t>
  </si>
  <si>
    <t>تم اصلاح عطل بالسفتي بتاريخ 24-10-1447</t>
  </si>
  <si>
    <t>فصله بالعشيق</t>
  </si>
  <si>
    <t>انهيارات البلد - معاودة التعطل بعد  4 أيام من الإصلاح</t>
  </si>
  <si>
    <t>25-10-1447</t>
  </si>
  <si>
    <t>متعطل ومسلم للتموين - تم الاشعار بالإصلاح 25-10-1447 الساعه 11.30</t>
  </si>
  <si>
    <t>تم الاشعار بالإصلاح 25-10-1447</t>
  </si>
  <si>
    <t>تهريب ماء</t>
  </si>
  <si>
    <t>26-10-1447</t>
  </si>
  <si>
    <t>طلبت للصيانة بتاريخ 13-10-1447 ولم ترفع متعطلة - لم يتم الاستلام لعدم اصلاح العطل في تاريخ 26-10-1447</t>
  </si>
  <si>
    <t>تهريب هواء والبواكم</t>
  </si>
  <si>
    <t>جيب يعمل انقاذ خفيف شمال 2</t>
  </si>
  <si>
    <t>طلبت للصيانة بتاريخ 28-10-1447 ولم ترفع متعطله</t>
  </si>
  <si>
    <t>طلبت للصيانة ولم ترفع متعطله 28-10-1447</t>
  </si>
  <si>
    <t>تم استلامها من الصيانه واتضح بوجود اعطال لم يتم إصلاحها - طلبت للصيانة بتاريخ 28-10-1447</t>
  </si>
  <si>
    <t>28-10-1447</t>
  </si>
  <si>
    <t>المضخة عطلانة + عطل بالفرامل</t>
  </si>
  <si>
    <t>29-10-1447</t>
  </si>
  <si>
    <t>تم الاصلا ح من قبل الفرقة</t>
  </si>
  <si>
    <t>لايقبل التعشيق</t>
  </si>
  <si>
    <t>1-10-1447</t>
  </si>
  <si>
    <t>1-11-1447</t>
  </si>
  <si>
    <t>تحتاج طقم كلتش + فحمات</t>
  </si>
  <si>
    <t>2-11-1447</t>
  </si>
  <si>
    <t>معاودة تعطل الالية بعد  12 يوم الإصلاح السابق</t>
  </si>
  <si>
    <t>3-11-1447</t>
  </si>
  <si>
    <t>4-11-1447</t>
  </si>
  <si>
    <t>تهريب هواء من لي مقعد السائق</t>
  </si>
  <si>
    <t>تم طلب الالية للصيانة بتاريخ 4-11-1447 بدون ان ترفع متعطله</t>
  </si>
  <si>
    <t>تم الإصلاح من قبل الفرقة</t>
  </si>
  <si>
    <t>تم الإصلاح من قبل المركز</t>
  </si>
  <si>
    <t>5-11-1447</t>
  </si>
  <si>
    <t xml:space="preserve">حوش  النهضة الرجيع </t>
  </si>
  <si>
    <t>كسر في بوم الرفع</t>
  </si>
  <si>
    <t>تعمل انقاذ فقط المضخة عطلانة - طلبت للصيانة بتاريخ 6-11-1447</t>
  </si>
  <si>
    <t>معاودة تعطل الالية بعد  3 أيام من الإصلاح - طلبت للصيانة بتاريخ 6-11-1447</t>
  </si>
  <si>
    <t>طلبت للصيانة بتاريخ 6-11-1447 ولم ترفع متعطله</t>
  </si>
  <si>
    <t>تم الإصلاح من قبل الشعبة - طلبت للصيانة بتاريخ 6-11-1447 ولم ترفع متعطله</t>
  </si>
  <si>
    <t>6-11-1447</t>
  </si>
  <si>
    <t>يتبع لسلامة الجامعة</t>
  </si>
  <si>
    <t>سلامة الجامعة</t>
  </si>
  <si>
    <t>فلاتر ديزل + خرطوش محرك خلفي+تشحيم+لي ديزل</t>
  </si>
  <si>
    <t>انقطاع الكهرباء عن السلة</t>
  </si>
  <si>
    <t>8-11-1447</t>
  </si>
  <si>
    <t>بنشر كفر</t>
  </si>
  <si>
    <t>تعطلت الالية وهي في استلام التحقيق + مسلمة لشعبة خزام</t>
  </si>
  <si>
    <t>9-11-1447</t>
  </si>
  <si>
    <t>10-11-1447</t>
  </si>
  <si>
    <t>متعطل ومسلم للتموين - تم اصلاح بعض الأعطال ولم يتم اصلاح العطل الأساسي</t>
  </si>
  <si>
    <t>تهريب من ماسورة الخزان</t>
  </si>
  <si>
    <t>11-11-1447</t>
  </si>
  <si>
    <t>معاملتها لدى مراقبة المخزون بالمديرية</t>
  </si>
  <si>
    <t>حادث مروري قديم</t>
  </si>
  <si>
    <t>بدون إجراءات</t>
  </si>
  <si>
    <t>لدى الشؤون الإدارية العقيد محمد</t>
  </si>
  <si>
    <t>لدى مركز سلامة  الصناعية</t>
  </si>
  <si>
    <t>حوش النهضة</t>
  </si>
  <si>
    <t>حادث مروري بدون إجراءات</t>
  </si>
  <si>
    <t>القير</t>
  </si>
  <si>
    <t>معاودة تعطل الالية بنفس العطل السابق القير  بعد 13 يوم من الإصلاح السابق</t>
  </si>
  <si>
    <t>معاودة التعطل  خلال فترة الضمان</t>
  </si>
  <si>
    <t>12-11-1447</t>
  </si>
  <si>
    <t>طلبت للصيانة 12-11-1447</t>
  </si>
  <si>
    <t>في شرق 5 - طلبت للصيانة بتاريخ 12-11-1447</t>
  </si>
  <si>
    <t>لم الاستلام لوجود اعطال لم يتم إصلاحها 12-11-1447</t>
  </si>
  <si>
    <t>لدى شعبة العزيزية - مصور وسط</t>
  </si>
  <si>
    <t>مصور الإسكان</t>
  </si>
  <si>
    <t>الكفرات والمساحات - مصور الصفا</t>
  </si>
  <si>
    <t>مصور الشاطئ</t>
  </si>
  <si>
    <t>مصور الساحل الجنوبي</t>
  </si>
  <si>
    <t>تغيير لمبات كشافات البرج</t>
  </si>
  <si>
    <t>معاودة تعطل الالية بعد  18 أيام من الإصلاح السابق- طلبت للصيانة بتاريخ 6-11-1447 ولم ترفع متعطله</t>
  </si>
  <si>
    <t>عطل بلف الديزل الراجع</t>
  </si>
  <si>
    <t>تهريب علبة الدركسون - السفتي - النور الامامي</t>
  </si>
  <si>
    <t>13-11-1447</t>
  </si>
  <si>
    <t>الادراج الخلفية</t>
  </si>
  <si>
    <t xml:space="preserve">تم تغيير الزيوت بتاريخ 13-11-1447 </t>
  </si>
  <si>
    <t>تهريب رديتر</t>
  </si>
  <si>
    <t>15-11-1447</t>
  </si>
  <si>
    <t>طلبت للصيانة بتاريخ 16-11-1447</t>
  </si>
  <si>
    <t>سيارة رآس تريلا سكس افيكو (صهريج)</t>
  </si>
  <si>
    <t>وايت ماء سقيا سكس مان (صهريج)</t>
  </si>
  <si>
    <t>16-11-1447</t>
  </si>
  <si>
    <t>تم الاستلام واتضح وجود العطل الجديد بنفس اليوم - طلبت للصيانة بتاريخ 17-11-1447 ولم ترفع متعطله</t>
  </si>
  <si>
    <t>عطل  في زر التشغيل  - الكهرباء</t>
  </si>
  <si>
    <t>17-11-1447</t>
  </si>
  <si>
    <t>تهريب هواء في باكم الفرامل</t>
  </si>
  <si>
    <t>18-11-1447</t>
  </si>
  <si>
    <t>المكيف + قزاز الأبواب</t>
  </si>
  <si>
    <t>الحماية - تدخل الإسكان - تم اصلاح جزء من الأعطال (الدينمو)</t>
  </si>
  <si>
    <t>19-11-1447</t>
  </si>
  <si>
    <t>20-11-1447</t>
  </si>
  <si>
    <t>21-11-1447</t>
  </si>
  <si>
    <t>23-11-1447</t>
  </si>
  <si>
    <t xml:space="preserve">عطل بالقير </t>
  </si>
  <si>
    <t>انقاذ خفيف صناعية 2</t>
  </si>
  <si>
    <t>الرديتر</t>
  </si>
  <si>
    <t xml:space="preserve">طلبت للصيانة بتاريخ 23-11-1447 </t>
  </si>
  <si>
    <t xml:space="preserve">الفرامل </t>
  </si>
  <si>
    <t xml:space="preserve">أعطال متعددة </t>
  </si>
  <si>
    <t xml:space="preserve">تأمين الغمارة + الفرامل + حذفيه اثناء استخدام الفرمل + تهريب زيت الدركسون + يد باب الراكب + وزن الجزء الخلفي + خلط ماء مع الرغوة </t>
  </si>
  <si>
    <t>طلبت للصيانة بتاريخ  12-11-1447 - عند الاستلام بتاريخ 24-11-1447 اتضح وجود بنشر ثلاث كفرات  ولم يتم الاستلام</t>
  </si>
  <si>
    <t>24-11-1447</t>
  </si>
  <si>
    <t>بنشر</t>
  </si>
  <si>
    <t xml:space="preserve">ارتفاع  في الحرارة </t>
  </si>
  <si>
    <t>25-11-1447</t>
  </si>
  <si>
    <t>تهريب بنزين من التانكي + عطل العوامه</t>
  </si>
  <si>
    <t>تم تغيير الاقمشة واتضح وجود التماس كهربائي بالماكينة</t>
  </si>
  <si>
    <t>باكم الفرامل</t>
  </si>
  <si>
    <t>طلبت للصيانة بتاريخ 12-11-1447 - تم اصلاح ارتفاع الحرارة واتضح وجود عطل في باكم الفرامل</t>
  </si>
  <si>
    <t>اعطال في الاذرعة والرمانات</t>
  </si>
  <si>
    <t>طلبت للصيانة بتاريخ 12-11-1447 - تم اصلاح عطل الجربوكس واتضح وجود عطل بالاذرعة والرمانات</t>
  </si>
  <si>
    <t>طلبت للصيانة بتاريخ  19-10-1447 - تاريخ ابلاغ الإصلاح 25-11-1447</t>
  </si>
  <si>
    <t>سلامة الإسكان</t>
  </si>
  <si>
    <t>ضعف في دفع المضخة</t>
  </si>
  <si>
    <t>تعطل لدى شعبة العزيزية - طلبت للصيانة بتاريخ 24-10-1447 تم الإبلاغ عن عطل ضعف المضخة بتاريخ 25-11-1447 بعد اصلاح عطل الجربوكس</t>
  </si>
  <si>
    <t>عطل في طفاية التشغيل</t>
  </si>
  <si>
    <t>26-11-1447</t>
  </si>
  <si>
    <t xml:space="preserve">طلبت للصيانة بتاريخ 17-10-1447  - معاودة تعطل الالية بعد يومين من الاستلام + معودة العطل للمرة الثانية بعد الإصلاح بعد 6 أيام الإصلاح - معاودة التعطل للمرة الثالثة بعد يوم من الاصلاح  </t>
  </si>
  <si>
    <t>تم الإصلاح ذاتيا من الفرقة</t>
  </si>
  <si>
    <t>خلل في الكهرباء</t>
  </si>
  <si>
    <t>27-11-1447</t>
  </si>
  <si>
    <t xml:space="preserve"> متواجدة بغرب 1       32 متر </t>
  </si>
  <si>
    <t>سلمت لابحر من الشاطئ</t>
  </si>
  <si>
    <t>28-11-1447</t>
  </si>
  <si>
    <t>سير المكينة</t>
  </si>
  <si>
    <t>29-11-1447</t>
  </si>
  <si>
    <t xml:space="preserve">تدخل الصناعية </t>
  </si>
  <si>
    <t xml:space="preserve">نظام نقل الحركة </t>
  </si>
  <si>
    <t>30-11-1447</t>
  </si>
  <si>
    <t>1-12-1447</t>
  </si>
  <si>
    <t>معاودة  تعطل الالية بعد 6 أيام بنفس العطل تقريبا</t>
  </si>
  <si>
    <t>تهريب هواء من الباكم (الفرامل)</t>
  </si>
  <si>
    <t>اللوبد  - معاودة التعطل بعد الإصلاح الأول بتاريخ 10-11-1447 أي بعد 20 يوم خلال مدة الضمان</t>
  </si>
  <si>
    <t>2-12-1447</t>
  </si>
  <si>
    <t>بنشر كفرين</t>
  </si>
  <si>
    <t>صوت  في سير المكينة</t>
  </si>
  <si>
    <t xml:space="preserve">قفل البكرة + بواكم + حساس فحمة الفرامل+مكينة زجاج يسار </t>
  </si>
  <si>
    <t>الالية لاتشتغل</t>
  </si>
  <si>
    <t>3-12-1447</t>
  </si>
  <si>
    <t>فرامل +تهريب  زيت المكينة</t>
  </si>
  <si>
    <t>4-12-1447</t>
  </si>
  <si>
    <t>5-12-1447</t>
  </si>
  <si>
    <t xml:space="preserve">تم استلام الالية بعد اصلاح العطل السابق واتضح بان الكفرات متهالكة </t>
  </si>
  <si>
    <t>6-12-1447</t>
  </si>
  <si>
    <t>صحن  الكلتش + المضخه عطلانة</t>
  </si>
  <si>
    <t>معاودة تعطل الالية بعد 8 أيام من الإصلاح</t>
  </si>
  <si>
    <t>8-12-1447</t>
  </si>
  <si>
    <t>تهريب بالاديتر</t>
  </si>
  <si>
    <t>تهريب ماء من المضخه</t>
  </si>
  <si>
    <t>القير مايعشق للريوس</t>
  </si>
  <si>
    <t>بطارية + مكيف + تجديد دهان + تهريب بالمحرك ( سريع وسط )</t>
  </si>
  <si>
    <t>شريحة الديزل</t>
  </si>
  <si>
    <t>المروحة</t>
  </si>
  <si>
    <t>13-12-1447</t>
  </si>
  <si>
    <t>تهريب من المضخة</t>
  </si>
  <si>
    <t>14-12-1447</t>
  </si>
  <si>
    <t>السلف</t>
  </si>
  <si>
    <t>18-12-1447</t>
  </si>
  <si>
    <t>جيب مصور خزام</t>
  </si>
  <si>
    <t>16-12-1447</t>
  </si>
  <si>
    <t>جيب ضابط خفر شرق</t>
  </si>
  <si>
    <t>17-12-1447</t>
  </si>
  <si>
    <t>أصوات بالهوبات</t>
  </si>
  <si>
    <t>عاود نفس العطل بعد حوالي الشهر من الإصلاح السابق</t>
  </si>
  <si>
    <t>حرارة وخرطوش</t>
  </si>
  <si>
    <t>20-12-1447</t>
  </si>
  <si>
    <t>الحماية - تدخل الصفا - طلبت للصيانة بتاريخ 22-12-1447</t>
  </si>
  <si>
    <t>سلم الى بلد 2 - طلبت للصيانة بتاريخ 22-12-1447 ولم ترفع متعطله</t>
  </si>
  <si>
    <t>امبيرات عداد الطبلون</t>
  </si>
  <si>
    <t>22-12-1447</t>
  </si>
  <si>
    <t xml:space="preserve">تدخل الصناعية -- تم طلب الالية للصيانة بتاريخ 27-8-1447 بدون ان ترفع متعطله - تاريخ الإصلاح هو تاريخ الإبلاغ </t>
  </si>
  <si>
    <t>23-12-1447</t>
  </si>
  <si>
    <t>تهريب ليات الرديتر</t>
  </si>
  <si>
    <t>الالية عند التحقيق - تم طلب الالية للصيانة بتاريخ 27-8-1447 بدون ان ترفع متعطله</t>
  </si>
  <si>
    <t>التموين (مهام -حازم)</t>
  </si>
  <si>
    <t>مسلمة  لادارة العمليات (العقيد مجاهد)</t>
  </si>
  <si>
    <t xml:space="preserve">لم يتم الاستلام بتاريخ 24-12-1447 لوجود نفس العطل </t>
  </si>
  <si>
    <t>25-12-1447</t>
  </si>
  <si>
    <t>طلبت للصيانة بتاريخ 25-12-1447 ولم ترفع متعطله</t>
  </si>
  <si>
    <t>الدسك والصحن والحذاف</t>
  </si>
  <si>
    <t>قاطرة المحروقات الاسناد</t>
  </si>
  <si>
    <t>البواكم</t>
  </si>
  <si>
    <t>معاودة عطل البواكم في نفس الشهر</t>
  </si>
  <si>
    <t>تم اصلاح العطل السابق وتبقى تغيير للكفرات - مع مصور شمال</t>
  </si>
  <si>
    <t>27-12-1447</t>
  </si>
  <si>
    <t>28-12-1447</t>
  </si>
  <si>
    <t>اتضح وجود اعطال جديدة بعد الاستلام  بتاريخ 28-12-1447</t>
  </si>
  <si>
    <t>تهريب ديزل + وتهريب من المضخة</t>
  </si>
  <si>
    <t xml:space="preserve">تهريب تانكي الماء </t>
  </si>
  <si>
    <t>استلمت واتضح بوجود تهريب بتانكي الماء  بتاريخ 28-12-1447</t>
  </si>
  <si>
    <t>السفتي والتجهيزات  الأمنية</t>
  </si>
  <si>
    <t>29-12-1447</t>
  </si>
  <si>
    <t>لم يتم الاستلام بتاريخ 22-12-1447 لوجود عطل جديد - تاريخ الإصلاح هو تاريخ التبلغ بانه تم اصلاح العطل السابق</t>
  </si>
  <si>
    <t>طلبت لشركة روزنباور بتاريخ 9-11-1447 ولم ترفع متعطله - معاودة التعطل بعد يوم واحد من الإصلاح السابق</t>
  </si>
  <si>
    <t>عطل بالدركسون والاذرعة</t>
  </si>
  <si>
    <t>برمجة المضخة</t>
  </si>
  <si>
    <t>ليات الهواء - المكيف</t>
  </si>
  <si>
    <t>تدخل بريمان</t>
  </si>
  <si>
    <t>كويلات البطارية</t>
  </si>
  <si>
    <t>تسريب فريون والمكيف لايعمل</t>
  </si>
  <si>
    <t>دراجة نارية ياماها 900 (ثلاث كفرات)</t>
  </si>
  <si>
    <t>ق ب 3657</t>
  </si>
  <si>
    <t>ق ب 3658</t>
  </si>
  <si>
    <t>JYARN84Y5PA000325</t>
  </si>
  <si>
    <t>JYARN84Y6PA000317</t>
  </si>
  <si>
    <t>2-1-1448</t>
  </si>
  <si>
    <t>تسريب كهرباء</t>
  </si>
  <si>
    <t>1-1-1448</t>
  </si>
  <si>
    <t>طلبت للصيانة بتاريخ 2-1-1448 ولم ترفع متعطله</t>
  </si>
  <si>
    <t>طلبت للصيانة  بتاريخ 2-1-1448 ولم ترفع متعطله</t>
  </si>
  <si>
    <t>ليات القير</t>
  </si>
  <si>
    <t>3-1-1448</t>
  </si>
  <si>
    <t>معاودة العطل بعد يوم واحد</t>
  </si>
  <si>
    <t>عند الاستلام اتضح حاجة الالية لبطارية ولايوجد بطاريات بالصيانة</t>
  </si>
  <si>
    <t>تهريب مويه من محبس الخزان</t>
  </si>
  <si>
    <t xml:space="preserve">صهريج ابحر - تم الاستلام بتاريخ 3-1-1448 ومازالت الالية متعطلة </t>
  </si>
  <si>
    <t>4-1-1448</t>
  </si>
  <si>
    <t>تعمل تغطية بشكل مؤقت في صناعية 3 بالملاحظات ولم يتم إصلاحها من الصيانة</t>
  </si>
  <si>
    <t>6-1-1448</t>
  </si>
  <si>
    <t>كومبرسر تعبأة الهواء</t>
  </si>
  <si>
    <t>تم طلب الالية بتاريخ 7-1-1448 ولم ترفع متعطله</t>
  </si>
  <si>
    <t>طلبت للصيانة بتاريخ 8-1-1448  ولم ترفع متعطله</t>
  </si>
  <si>
    <t>مساعدات + تغيير مقصات</t>
  </si>
  <si>
    <t>7-1-1448</t>
  </si>
  <si>
    <t>8-1-1448</t>
  </si>
  <si>
    <t>سلم للتدريب</t>
  </si>
  <si>
    <t>9-1-1448</t>
  </si>
  <si>
    <t>10-1-1448</t>
  </si>
  <si>
    <t>مسلم لادارة السلامة ( العقيد مجاهد ) - الان موجود مع تدخل الصفا (المواد الخطرة)</t>
  </si>
  <si>
    <t>11-1-1448</t>
  </si>
  <si>
    <t>جلدة موزع بلف الهواء</t>
  </si>
  <si>
    <t>اتضح وجود عطل جديد عند استلام الالية بتاريخ  20-11-1447 معاودة تعطل الالية بعد الإصلاح بفترة قصيرة</t>
  </si>
  <si>
    <t>ضعف ضغط المضخة</t>
  </si>
  <si>
    <t>التماس كهربائي</t>
  </si>
  <si>
    <t>طلبت للصيانة بتاريخ 13-1-1448 ولم ترفع متعطله</t>
  </si>
  <si>
    <t>اصلاح ذاتي للبنشر من قبل الشعبة للمرة الثالثة - طلبت للصيانة بتاريخ 13-1-1448 ولم ترفع متعطله</t>
  </si>
  <si>
    <t>طلبت للصيانة ولم ترفع متعطلة بقروب الأعطال 13-1-1448</t>
  </si>
  <si>
    <t>13-1-1448</t>
  </si>
  <si>
    <t>15-6-1446</t>
  </si>
  <si>
    <t>سلم للاسناد ومن الاسناد سلم للحمايةالمدنية نقيب مهند حجازي</t>
  </si>
  <si>
    <t xml:space="preserve"> كسر بالرفرف الخلفي</t>
  </si>
  <si>
    <t xml:space="preserve">تهريب بالمضخة </t>
  </si>
  <si>
    <t>14-1-1448</t>
  </si>
  <si>
    <t>بعد الإصلاح بيوم واحد تم معاودة عطل الالية كفرات</t>
  </si>
  <si>
    <t>سير وخرطوش رديتر</t>
  </si>
  <si>
    <t>تم الإبلاغ عن العطل بخطاب + تم التحديث بالتعميم + جيب المصور - معاودة نفس العطل تقريبا  خلال 20 يوم فقط فترة الضمان</t>
  </si>
  <si>
    <t>المضخة</t>
  </si>
  <si>
    <t>15-1-1448</t>
  </si>
  <si>
    <t>البوابة يطفي ويشتغل</t>
  </si>
  <si>
    <t xml:space="preserve">عطل حساس القير </t>
  </si>
  <si>
    <t>عطل فني</t>
  </si>
  <si>
    <t>16-1-1448</t>
  </si>
  <si>
    <t xml:space="preserve"> كابينة المضخة + الاداراج الجانبية</t>
  </si>
  <si>
    <t>17-1-1448</t>
  </si>
  <si>
    <t>تلفيات بنشر</t>
  </si>
  <si>
    <t>مايعبي هواء</t>
  </si>
  <si>
    <t>19-1-1448</t>
  </si>
  <si>
    <t xml:space="preserve">بنشر + تلف الجنط + كسر قربة الهواء </t>
  </si>
  <si>
    <t>20-1-1448</t>
  </si>
  <si>
    <t xml:space="preserve">حدوث تلفيات بسبب البنشر </t>
  </si>
  <si>
    <t>10-12-1447</t>
  </si>
  <si>
    <t xml:space="preserve">تواريخ تقريبية </t>
  </si>
  <si>
    <t>طلبت للصيانة بتاريخ 20-1-1448 ولم ترفع متعطله</t>
  </si>
  <si>
    <t>ماتعشق - فصلة جميع العدادات</t>
  </si>
  <si>
    <t>لدى التموين - تاريخ اصلاح تقريبي</t>
  </si>
  <si>
    <t>بطارية بتاريخ 21-1-1448</t>
  </si>
  <si>
    <t>21-1-1448</t>
  </si>
  <si>
    <t>ارتجاج وحذفه + الانوار + الكفرات + والمكيف</t>
  </si>
  <si>
    <t>7-4-1444</t>
  </si>
  <si>
    <t>سعيد العمري</t>
  </si>
  <si>
    <t>تم انهاء الإجراءات المالية بتاريخ 7-1-1448</t>
  </si>
  <si>
    <t>19-7-1446</t>
  </si>
  <si>
    <t>18-11-1442</t>
  </si>
  <si>
    <t>حادث مروري مع المقدم خالد البلوي بتاريخ 6-11-1447</t>
  </si>
  <si>
    <t>1-8-1439</t>
  </si>
  <si>
    <t>عليه حادث مروري بتاريخ 16-4-1446</t>
  </si>
  <si>
    <t>غرب 2  - تم طلبه للصيانة بتاريخ 13-10-1447 - مسجل عليه حادث مروري بتاريخ 26-5-1444</t>
  </si>
  <si>
    <t>27-4-1446</t>
  </si>
  <si>
    <t>29-8-1441</t>
  </si>
  <si>
    <t>17-6-1445</t>
  </si>
  <si>
    <t>يوجد عليها حادث بتاريخ 25-12-1445 وتم إصلاحه</t>
  </si>
  <si>
    <t>تعمل انقاذ فقط</t>
  </si>
  <si>
    <t>22-1-1448</t>
  </si>
  <si>
    <t>قطع في واير قفل الدفرنس</t>
  </si>
  <si>
    <t>23-1-1448</t>
  </si>
  <si>
    <t>عطل في طرمبات السله</t>
  </si>
  <si>
    <t>تعليق في السله اثناء الفرد</t>
  </si>
  <si>
    <t>تهريب بالجربوكس</t>
  </si>
  <si>
    <t>استلمت متعطله تهريب بالجربوكس بعد اصلاح العطل السابق</t>
  </si>
  <si>
    <t>24-1-1448</t>
  </si>
  <si>
    <t>الباكم</t>
  </si>
  <si>
    <t>تعطل خلال نفس يوم الاستلام</t>
  </si>
  <si>
    <t>اقمشة  ومقصات والونان</t>
  </si>
  <si>
    <t>تم الاستلام واتضح وجود عطل جديد بنفس يوم الاستلام</t>
  </si>
  <si>
    <t>انقاذ مائي</t>
  </si>
  <si>
    <t>يعمل تغذية فقط</t>
  </si>
  <si>
    <t xml:space="preserve">تهريب من علبة الدركسون </t>
  </si>
  <si>
    <t>تهريب في تانكي البنزين</t>
  </si>
  <si>
    <t>26-1-1448</t>
  </si>
  <si>
    <t>تهريب ماء من خرطوم السلم</t>
  </si>
  <si>
    <t>27-1-1448</t>
  </si>
  <si>
    <t>طلبت للصيانة بتاريخ 13-10-1447 - معاودة التعطل   بعد 9 أيام من الإصلاح السابق - تم تسجيل حادث مروري على الالية بتاريخ 27-1-1448</t>
  </si>
  <si>
    <t>متواجد بمجد 1 القصر - تعمل انقاذ فقط</t>
  </si>
  <si>
    <t>ارتفاع  درجة الحرارة وانقطاع السير</t>
  </si>
  <si>
    <t>28-1-1448</t>
  </si>
  <si>
    <t>تهريب زيت من علبة الكلتش</t>
  </si>
  <si>
    <t>29-1-1448</t>
  </si>
  <si>
    <t>الانوار الامامية عطلانة</t>
  </si>
  <si>
    <t xml:space="preserve">تم اصلاح عطل الكهرباء بتاريخ 23-11-1447 </t>
  </si>
  <si>
    <t>الفرامل وخزان الهواء</t>
  </si>
  <si>
    <t>1-2-1448</t>
  </si>
  <si>
    <t>تهريب زيت من المكينة وعطل دعست البنزين</t>
  </si>
  <si>
    <t>الرديتر + طرمبة المويه</t>
  </si>
  <si>
    <t>2-2-1448</t>
  </si>
  <si>
    <t>انقاذ خفيف شمال 4</t>
  </si>
  <si>
    <t>لدى الصيانة المركزية</t>
  </si>
  <si>
    <t>العقيد ماجد القاضي</t>
  </si>
  <si>
    <t xml:space="preserve">تعمل </t>
  </si>
  <si>
    <t>تلف احد كفرات الراس</t>
  </si>
  <si>
    <t>تهريب من المضخة والمكينة</t>
  </si>
  <si>
    <t>3-2-1448</t>
  </si>
  <si>
    <t>تهريب في علبة الدركسون</t>
  </si>
  <si>
    <t>4-2-1448</t>
  </si>
  <si>
    <t>تعمل انقاذ فقط المضخة عطلانة   - تم الإصلاح الذاتي من قبل الشعبة</t>
  </si>
  <si>
    <t>بنشر كفر خلفي</t>
  </si>
  <si>
    <t>تهريب زيت الهيدروليك</t>
  </si>
  <si>
    <t>5-2-1448</t>
  </si>
  <si>
    <t>تعمل انقاذ فقط - تم الإصلاح ذاتيا من الشعبة</t>
  </si>
  <si>
    <t>قماش خلفي يسار</t>
  </si>
  <si>
    <t xml:space="preserve">انقطاع السير </t>
  </si>
  <si>
    <t>مصور الصفا - والقارب</t>
  </si>
  <si>
    <t>الكفرات تالفة</t>
  </si>
  <si>
    <t>جيب اداري</t>
  </si>
  <si>
    <t>تم تفعليه برغم من الأعطال حتى يتم طلب الالية للإصلاح</t>
  </si>
  <si>
    <t>عليها حادث بتاريخ 8-9-1445 - طلبت للصيانة بتاريخ 6-2-1448</t>
  </si>
  <si>
    <t>طلبت للصيانة بتاريخ 6-2-1448</t>
  </si>
  <si>
    <t>طلبت للصيانة بتاريخ 6-2-1448 ولم ترفع متعطله</t>
  </si>
  <si>
    <t>6-2-1448</t>
  </si>
  <si>
    <t>تهريب ليات الهيدروليك</t>
  </si>
  <si>
    <t>تحت التجهيز والتسليم</t>
  </si>
  <si>
    <t>اصلاح جزئي</t>
  </si>
  <si>
    <t>صحن الكلتش + الفرامل</t>
  </si>
  <si>
    <t>7-2-1448</t>
  </si>
  <si>
    <t>اسناد رغاوي الصناعية - ملاحظة بالانوار الخلفية</t>
  </si>
  <si>
    <t>طلبت للتجهيزات الأمنية بتاريخ 8-2-1448</t>
  </si>
  <si>
    <t>لم يتم الاستلام بعد اصلاح العطل السابق لوجود عطل بدودة الركسون</t>
  </si>
  <si>
    <t>تم الإصلاح في نفس اليوم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</si>
</sst>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d/mm/yyyy"/>
  </numFmts>
  <fonts count="18" x14ac:knownFonts="1">
    <font>
      <sz val="11"/>
      <color theme="1"/>
      <name val="Calibri"/>
      <family val="2"/>
      <charset val="178"/>
      <scheme val="minor"/>
    </font>
    <font>
      <sz val="14"/>
      <color theme="1"/>
      <name val="Mohammad Bold Normal"/>
      <charset val="178"/>
    </font>
    <font>
      <sz val="11"/>
      <color theme="1"/>
      <name val="Mohammad Bold Normal"/>
      <charset val="178"/>
    </font>
    <font>
      <sz val="9"/>
      <color indexed="81"/>
      <name val="Tahoma"/>
      <family val="2"/>
    </font>
    <font>
      <b/>
      <sz val="9"/>
      <color indexed="81"/>
      <name val="Tahoma"/>
      <family val="2"/>
    </font>
    <font>
      <b/>
      <sz val="14"/>
      <color theme="0"/>
      <name val="Mohammad Bold Normal"/>
      <charset val="178"/>
    </font>
    <font>
      <sz val="11"/>
      <color theme="0"/>
      <name val="Calibri"/>
      <family val="2"/>
      <charset val="178"/>
      <scheme val="minor"/>
    </font>
    <font>
      <b/>
      <sz val="14"/>
      <color theme="0"/>
      <name val="Calibri"/>
      <family val="2"/>
      <scheme val="minor"/>
    </font>
    <font>
      <b/>
      <sz val="28"/>
      <color theme="0"/>
      <name val="Frutiger LT Arabic 55 Roman"/>
    </font>
    <font>
      <b/>
      <sz val="16"/>
      <color theme="0"/>
      <name val="Calibri"/>
      <family val="2"/>
      <scheme val="minor"/>
    </font>
    <font>
      <b/>
      <sz val="18"/>
      <color theme="0"/>
      <name val="Calibri"/>
      <family val="2"/>
      <scheme val="minor"/>
    </font>
    <font>
      <b/>
      <sz val="48"/>
      <color theme="0"/>
      <name val="Frutiger LT Arabic 55 Roman"/>
    </font>
    <font>
      <sz val="11"/>
      <color rgb="FFFF0000"/>
      <name val="Mohammad Bold Normal"/>
      <charset val="178"/>
    </font>
    <font>
      <b/>
      <sz val="11"/>
      <color theme="0"/>
      <name val="Calibri"/>
      <family val="2"/>
      <charset val="178"/>
      <scheme val="minor"/>
    </font>
    <font>
      <sz val="11"/>
      <name val="Mohammad Bold Normal"/>
      <charset val="178"/>
    </font>
    <font>
      <sz val="9"/>
      <color indexed="81"/>
      <name val="Tahoma"/>
      <charset val="178"/>
    </font>
    <font>
      <b/>
      <sz val="9"/>
      <color indexed="81"/>
      <name val="Tahoma"/>
      <charset val="178"/>
    </font>
    <font>
      <sz val="11"/>
      <color theme="1"/>
      <name val="mohammad bold art 1"/>
      <charset val="178"/>
    </font>
  </fonts>
  <fills count="40">
    <fill>
      <patternFill patternType="none"/>
    </fill>
    <fill>
      <patternFill patternType="gray125"/>
    </fill>
    <fill>
      <patternFill patternType="solid">
        <fgColor theme="3"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indexed="64"/>
      </patternFill>
    </fill>
    <fill>
      <patternFill patternType="solid">
        <fgColor theme="3"/>
        <bgColor indexed="64"/>
      </patternFill>
    </fill>
    <fill>
      <patternFill patternType="solid">
        <fgColor theme="4" tint="0.39997558519241921"/>
        <bgColor indexed="64"/>
      </patternFill>
    </fill>
    <fill>
      <patternFill patternType="solid">
        <fgColor theme="3"/>
        <bgColor theme="4"/>
      </patternFill>
    </fill>
    <fill>
      <patternFill patternType="solid">
        <fgColor theme="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00B050"/>
        <bgColor theme="4" tint="0.59999389629810485"/>
      </patternFill>
    </fill>
    <fill>
      <patternFill patternType="solid">
        <fgColor theme="6" tint="0.59999389629810485"/>
        <bgColor indexed="64"/>
      </patternFill>
    </fill>
    <fill>
      <patternFill patternType="solid">
        <fgColor theme="7" tint="0.79998168889431442"/>
        <bgColor indexed="64"/>
      </patternFill>
    </fill>
    <fill>
      <patternFill patternType="solid">
        <fgColor rgb="FF00B050"/>
        <bgColor theme="4" tint="0.79998168889431442"/>
      </patternFill>
    </fill>
    <fill>
      <patternFill patternType="solid">
        <fgColor theme="5" tint="0.59999389629810485"/>
        <bgColor indexed="64"/>
      </patternFill>
    </fill>
    <fill>
      <patternFill patternType="solid">
        <fgColor rgb="FFFF0000"/>
        <bgColor theme="4" tint="0.59999389629810485"/>
      </patternFill>
    </fill>
    <fill>
      <patternFill patternType="solid">
        <fgColor theme="3" tint="0.79998168889431442"/>
        <bgColor theme="4" tint="0.59999389629810485"/>
      </patternFill>
    </fill>
    <fill>
      <patternFill patternType="solid">
        <fgColor rgb="FF228307"/>
        <bgColor indexed="64"/>
      </patternFill>
    </fill>
    <fill>
      <patternFill patternType="solid">
        <fgColor theme="5" tint="-0.499984740745262"/>
        <bgColor indexed="64"/>
      </patternFill>
    </fill>
    <fill>
      <patternFill patternType="solid">
        <fgColor theme="4" tint="0.79998168889431442"/>
        <bgColor indexed="64"/>
      </patternFill>
    </fill>
    <fill>
      <patternFill patternType="solid">
        <fgColor rgb="FFFF0000"/>
        <bgColor theme="4" tint="0.79998168889431442"/>
      </patternFill>
    </fill>
    <fill>
      <patternFill patternType="solid">
        <fgColor theme="7" tint="0.39997558519241921"/>
        <bgColor indexed="64"/>
      </patternFill>
    </fill>
    <fill>
      <patternFill patternType="solid">
        <fgColor theme="3" tint="0.79998168889431442"/>
        <bgColor theme="4" tint="0.79998168889431442"/>
      </patternFill>
    </fill>
    <fill>
      <patternFill patternType="solid">
        <fgColor theme="8" tint="0.59999389629810485"/>
        <bgColor indexed="64"/>
      </patternFill>
    </fill>
    <fill>
      <patternFill patternType="solid">
        <fgColor theme="6" tint="-0.499984740745262"/>
        <bgColor indexed="64"/>
      </patternFill>
    </fill>
    <fill>
      <patternFill patternType="solid">
        <fgColor rgb="FFFF33CC"/>
        <bgColor indexed="64"/>
      </patternFill>
    </fill>
    <fill>
      <patternFill patternType="solid">
        <fgColor rgb="FF339966"/>
        <bgColor indexed="64"/>
      </patternFill>
    </fill>
    <fill>
      <patternFill patternType="solid">
        <fgColor rgb="FFCC00FF"/>
        <bgColor indexed="64"/>
      </patternFill>
    </fill>
    <fill>
      <patternFill patternType="solid">
        <fgColor rgb="FF33CCCC"/>
        <bgColor indexed="64"/>
      </patternFill>
    </fill>
    <fill>
      <patternFill patternType="solid">
        <fgColor rgb="FF00FFCC"/>
        <bgColor indexed="64"/>
      </patternFill>
    </fill>
    <fill>
      <patternFill patternType="solid">
        <fgColor theme="9"/>
        <bgColor indexed="64"/>
      </patternFill>
    </fill>
    <fill>
      <patternFill patternType="solid">
        <fgColor theme="4" tint="0.59999389629810485"/>
        <bgColor indexed="64"/>
      </patternFill>
    </fill>
    <fill>
      <patternFill patternType="solid">
        <fgColor rgb="FFC0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diagonal/>
    </border>
    <border>
      <left style="thin">
        <color indexed="64"/>
      </left>
      <right/>
      <top style="thin">
        <color indexed="64"/>
      </top>
      <bottom style="thin">
        <color indexed="64"/>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style="thin">
        <color theme="0"/>
      </left>
      <right/>
      <top style="thin">
        <color theme="0"/>
      </top>
      <bottom style="thin">
        <color theme="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4" tint="0.39997558519241921"/>
      </left>
      <right/>
      <top style="thick">
        <color theme="0"/>
      </top>
      <bottom style="thin">
        <color theme="4" tint="0.39997558519241921"/>
      </bottom>
      <diagonal/>
    </border>
    <border>
      <left style="thin">
        <color theme="0"/>
      </left>
      <right/>
      <top style="thin">
        <color theme="0"/>
      </top>
      <bottom style="thin">
        <color theme="4" tint="0.39997558519241921"/>
      </bottom>
      <diagonal/>
    </border>
    <border>
      <left style="thin">
        <color theme="0"/>
      </left>
      <right style="thin">
        <color theme="4" tint="0.39997558519241921"/>
      </right>
      <top style="thin">
        <color theme="0"/>
      </top>
      <bottom style="thin">
        <color theme="4" tint="0.39997558519241921"/>
      </bottom>
      <diagonal/>
    </border>
    <border>
      <left style="thin">
        <color theme="4" tint="0.39997558519241921"/>
      </left>
      <right/>
      <top style="thick">
        <color theme="0"/>
      </top>
      <bottom/>
      <diagonal/>
    </border>
    <border>
      <left style="thin">
        <color theme="0"/>
      </left>
      <right style="thin">
        <color theme="4" tint="0.39997558519241921"/>
      </right>
      <top style="thick">
        <color theme="0"/>
      </top>
      <bottom/>
      <diagonal/>
    </border>
    <border>
      <left style="thin">
        <color theme="0"/>
      </left>
      <right style="thin">
        <color theme="4" tint="0.39997558519241921"/>
      </right>
      <top style="thin">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thin">
        <color theme="0"/>
      </bottom>
      <diagonal/>
    </border>
    <border>
      <left style="medium">
        <color theme="0"/>
      </left>
      <right style="medium">
        <color theme="0"/>
      </right>
      <top style="thin">
        <color theme="0"/>
      </top>
      <bottom style="medium">
        <color theme="0"/>
      </bottom>
      <diagonal/>
    </border>
    <border>
      <left style="medium">
        <color theme="0"/>
      </left>
      <right/>
      <top/>
      <bottom/>
      <diagonal/>
    </border>
    <border>
      <left style="medium">
        <color theme="0"/>
      </left>
      <right/>
      <top/>
      <bottom style="thin">
        <color theme="4" tint="0.39997558519241921"/>
      </bottom>
      <diagonal/>
    </border>
    <border>
      <left/>
      <right/>
      <top/>
      <bottom style="thin">
        <color theme="4" tint="0.39997558519241921"/>
      </bottom>
      <diagonal/>
    </border>
    <border>
      <left style="thin">
        <color theme="0"/>
      </left>
      <right/>
      <top style="thick">
        <color theme="0"/>
      </top>
      <bottom style="thin">
        <color theme="4" tint="0.39997558519241921"/>
      </bottom>
      <diagonal/>
    </border>
    <border>
      <left style="thin">
        <color theme="0"/>
      </left>
      <right style="thin">
        <color theme="4" tint="0.39997558519241921"/>
      </right>
      <top style="thick">
        <color theme="0"/>
      </top>
      <bottom style="thin">
        <color theme="4" tint="0.39997558519241921"/>
      </bottom>
      <diagonal/>
    </border>
    <border>
      <left style="thin">
        <color theme="4" tint="0.39997558519241921"/>
      </left>
      <right/>
      <top style="thin">
        <color theme="4" tint="0.39997558519241921"/>
      </top>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textRotation="90" readingOrder="1"/>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 fillId="0" borderId="11" xfId="0" applyFont="1" applyBorder="1" applyAlignment="1">
      <alignment horizontal="center" vertical="center"/>
    </xf>
    <xf numFmtId="0" fontId="2" fillId="0" borderId="3" xfId="0" applyFont="1" applyBorder="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5" fillId="6" borderId="4" xfId="0" applyFont="1" applyFill="1" applyBorder="1" applyAlignment="1">
      <alignment horizontal="center" vertical="center"/>
    </xf>
    <xf numFmtId="0" fontId="0" fillId="7" borderId="6" xfId="0" applyFill="1" applyBorder="1" applyAlignment="1">
      <alignment horizontal="center" vertical="center"/>
    </xf>
    <xf numFmtId="14" fontId="0" fillId="7" borderId="6" xfId="0" applyNumberFormat="1" applyFill="1" applyBorder="1" applyAlignment="1">
      <alignment horizontal="center" vertical="center"/>
    </xf>
    <xf numFmtId="0" fontId="0" fillId="8" borderId="2" xfId="0" applyFill="1" applyBorder="1" applyAlignment="1">
      <alignment horizontal="center" vertical="center"/>
    </xf>
    <xf numFmtId="14" fontId="0" fillId="8" borderId="2" xfId="0" applyNumberFormat="1" applyFill="1" applyBorder="1" applyAlignment="1">
      <alignment horizontal="center" vertical="center"/>
    </xf>
    <xf numFmtId="0" fontId="0" fillId="7" borderId="2" xfId="0" applyFill="1" applyBorder="1" applyAlignment="1">
      <alignment horizontal="center" vertical="center"/>
    </xf>
    <xf numFmtId="14" fontId="0" fillId="7" borderId="2" xfId="0" applyNumberFormat="1" applyFill="1" applyBorder="1" applyAlignment="1">
      <alignment horizontal="center" vertical="center"/>
    </xf>
    <xf numFmtId="0" fontId="6" fillId="8" borderId="20" xfId="0" applyFont="1" applyFill="1" applyBorder="1" applyAlignment="1">
      <alignment horizontal="center" vertical="center"/>
    </xf>
    <xf numFmtId="0" fontId="6" fillId="7" borderId="20" xfId="0" applyFont="1" applyFill="1" applyBorder="1" applyAlignment="1">
      <alignment horizontal="center" vertical="center"/>
    </xf>
    <xf numFmtId="0" fontId="0" fillId="8" borderId="16" xfId="0" applyFill="1" applyBorder="1" applyAlignment="1">
      <alignment horizontal="center" vertical="center"/>
    </xf>
    <xf numFmtId="0" fontId="6" fillId="8" borderId="17" xfId="0" applyFont="1" applyFill="1" applyBorder="1" applyAlignment="1">
      <alignment horizontal="center" vertical="center"/>
    </xf>
    <xf numFmtId="0" fontId="5" fillId="10" borderId="0" xfId="0" applyFont="1" applyFill="1" applyAlignment="1">
      <alignment horizontal="center" vertical="center"/>
    </xf>
    <xf numFmtId="0" fontId="5" fillId="10" borderId="4" xfId="0" applyFont="1" applyFill="1" applyBorder="1" applyAlignment="1">
      <alignment horizontal="center" vertical="center"/>
    </xf>
    <xf numFmtId="1" fontId="0" fillId="7" borderId="18" xfId="0" applyNumberFormat="1" applyFill="1" applyBorder="1" applyAlignment="1">
      <alignment horizontal="center" vertical="center"/>
    </xf>
    <xf numFmtId="1" fontId="0" fillId="7" borderId="15" xfId="0" applyNumberFormat="1" applyFill="1" applyBorder="1" applyAlignment="1">
      <alignment horizontal="center" vertical="center"/>
    </xf>
    <xf numFmtId="14" fontId="0" fillId="0" borderId="0" xfId="0" applyNumberFormat="1" applyAlignment="1">
      <alignment horizontal="center" vertical="center"/>
    </xf>
    <xf numFmtId="14" fontId="0" fillId="8" borderId="16" xfId="0" applyNumberFormat="1" applyFill="1" applyBorder="1" applyAlignment="1">
      <alignment horizontal="center" vertical="center"/>
    </xf>
    <xf numFmtId="0" fontId="9" fillId="10" borderId="7" xfId="0" applyFont="1" applyFill="1" applyBorder="1" applyAlignment="1">
      <alignment horizontal="center" vertical="center"/>
    </xf>
    <xf numFmtId="0" fontId="2" fillId="8" borderId="1" xfId="0" applyFont="1" applyFill="1" applyBorder="1" applyAlignment="1">
      <alignment horizontal="center" vertical="center"/>
    </xf>
    <xf numFmtId="0" fontId="5" fillId="10" borderId="29" xfId="0" applyFont="1" applyFill="1" applyBorder="1" applyAlignment="1">
      <alignment horizontal="center" vertical="center"/>
    </xf>
    <xf numFmtId="0" fontId="0" fillId="7" borderId="19" xfId="0" applyFill="1" applyBorder="1" applyAlignment="1">
      <alignment horizontal="center" vertical="center"/>
    </xf>
    <xf numFmtId="0" fontId="0" fillId="7" borderId="27" xfId="0" applyFill="1" applyBorder="1" applyAlignment="1">
      <alignment horizontal="center" vertical="center"/>
    </xf>
    <xf numFmtId="14" fontId="0" fillId="7" borderId="27" xfId="0" applyNumberFormat="1" applyFill="1" applyBorder="1" applyAlignment="1">
      <alignment horizontal="center" vertical="center"/>
    </xf>
    <xf numFmtId="0" fontId="0" fillId="7" borderId="28" xfId="0" applyFill="1" applyBorder="1" applyAlignment="1">
      <alignment horizontal="center" vertical="center"/>
    </xf>
    <xf numFmtId="0" fontId="0" fillId="7" borderId="5" xfId="0" applyFill="1" applyBorder="1" applyAlignment="1">
      <alignment horizontal="center" vertical="center"/>
    </xf>
    <xf numFmtId="14" fontId="5" fillId="6" borderId="4" xfId="0" applyNumberFormat="1" applyFont="1" applyFill="1" applyBorder="1" applyAlignment="1">
      <alignment horizontal="center" vertical="center"/>
    </xf>
    <xf numFmtId="0" fontId="10" fillId="11" borderId="21" xfId="0" applyFont="1" applyFill="1" applyBorder="1" applyAlignment="1" applyProtection="1">
      <alignment horizontal="center" vertical="center"/>
      <protection locked="0"/>
    </xf>
    <xf numFmtId="0" fontId="10" fillId="11" borderId="22" xfId="0" applyFont="1" applyFill="1" applyBorder="1" applyAlignment="1" applyProtection="1">
      <alignment horizontal="center" vertical="center"/>
      <protection locked="0"/>
    </xf>
    <xf numFmtId="0" fontId="10" fillId="11" borderId="23" xfId="0" applyFont="1" applyFill="1" applyBorder="1" applyAlignment="1" applyProtection="1">
      <alignment horizontal="center" vertical="center"/>
      <protection locked="0"/>
    </xf>
    <xf numFmtId="0" fontId="2" fillId="13" borderId="0" xfId="0" applyFont="1" applyFill="1"/>
    <xf numFmtId="0" fontId="2" fillId="13" borderId="0" xfId="0" applyFont="1" applyFill="1" applyAlignment="1">
      <alignment horizontal="center" vertical="center"/>
    </xf>
    <xf numFmtId="0" fontId="2" fillId="14" borderId="1" xfId="0" applyFont="1" applyFill="1" applyBorder="1" applyAlignment="1">
      <alignment horizontal="center" vertical="center"/>
    </xf>
    <xf numFmtId="1" fontId="2" fillId="14" borderId="1" xfId="0" applyNumberFormat="1" applyFont="1" applyFill="1" applyBorder="1" applyAlignment="1">
      <alignment horizontal="center" vertical="center"/>
    </xf>
    <xf numFmtId="0" fontId="1" fillId="15" borderId="1" xfId="0" applyFont="1" applyFill="1" applyBorder="1" applyAlignment="1">
      <alignment horizontal="center" vertical="center"/>
    </xf>
    <xf numFmtId="0" fontId="2" fillId="13"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2" borderId="1" xfId="0" applyFont="1" applyFill="1" applyBorder="1" applyAlignment="1">
      <alignment horizontal="center" vertical="center"/>
    </xf>
    <xf numFmtId="0" fontId="7" fillId="12" borderId="1" xfId="0" applyFont="1" applyFill="1" applyBorder="1" applyAlignment="1">
      <alignment horizontal="center" vertical="center"/>
    </xf>
    <xf numFmtId="14" fontId="0" fillId="7" borderId="1" xfId="0" applyNumberFormat="1"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1" fontId="2" fillId="7" borderId="1" xfId="0" applyNumberFormat="1" applyFont="1" applyFill="1" applyBorder="1" applyAlignment="1">
      <alignment horizontal="center" vertical="center"/>
    </xf>
    <xf numFmtId="1" fontId="2" fillId="8" borderId="1" xfId="0" applyNumberFormat="1" applyFont="1" applyFill="1" applyBorder="1" applyAlignment="1">
      <alignment horizontal="center" vertical="center"/>
    </xf>
    <xf numFmtId="14" fontId="0" fillId="8" borderId="1" xfId="0" applyNumberFormat="1" applyFill="1" applyBorder="1" applyAlignment="1">
      <alignment horizontal="center" vertical="center"/>
    </xf>
    <xf numFmtId="0" fontId="2" fillId="16" borderId="1" xfId="0" applyFont="1" applyFill="1" applyBorder="1" applyAlignment="1">
      <alignment horizontal="center" vertical="center"/>
    </xf>
    <xf numFmtId="0" fontId="0" fillId="17" borderId="1" xfId="0" applyFill="1" applyBorder="1" applyAlignment="1">
      <alignment horizontal="center" vertical="center"/>
    </xf>
    <xf numFmtId="0" fontId="12" fillId="0" borderId="1" xfId="0" applyFont="1" applyBorder="1" applyAlignment="1">
      <alignment horizontal="center" vertical="center"/>
    </xf>
    <xf numFmtId="1" fontId="12" fillId="0" borderId="1" xfId="0" applyNumberFormat="1" applyFont="1" applyBorder="1" applyAlignment="1">
      <alignment horizontal="center" vertical="center"/>
    </xf>
    <xf numFmtId="1" fontId="2" fillId="18" borderId="1" xfId="0" applyNumberFormat="1" applyFont="1" applyFill="1" applyBorder="1" applyAlignment="1">
      <alignment horizontal="center" vertical="center"/>
    </xf>
    <xf numFmtId="1" fontId="2" fillId="19" borderId="1" xfId="0" applyNumberFormat="1" applyFont="1" applyFill="1" applyBorder="1" applyAlignment="1">
      <alignment horizontal="center" vertical="center"/>
    </xf>
    <xf numFmtId="1" fontId="2" fillId="7" borderId="12" xfId="0" applyNumberFormat="1" applyFont="1" applyFill="1" applyBorder="1" applyAlignment="1">
      <alignment horizontal="center" vertical="center"/>
    </xf>
    <xf numFmtId="0" fontId="0" fillId="7" borderId="13" xfId="0" applyFill="1" applyBorder="1" applyAlignment="1">
      <alignment horizontal="center" vertical="center"/>
    </xf>
    <xf numFmtId="1" fontId="0" fillId="7" borderId="13" xfId="0" applyNumberFormat="1" applyFill="1" applyBorder="1" applyAlignment="1">
      <alignment horizontal="center" vertical="center"/>
    </xf>
    <xf numFmtId="0" fontId="0" fillId="7" borderId="14" xfId="0" applyFill="1" applyBorder="1" applyAlignment="1">
      <alignment horizontal="center" vertical="center"/>
    </xf>
    <xf numFmtId="0" fontId="0" fillId="20" borderId="1" xfId="0" applyFill="1" applyBorder="1" applyAlignment="1">
      <alignment horizontal="center" vertical="center"/>
    </xf>
    <xf numFmtId="0" fontId="2" fillId="7" borderId="1" xfId="0" applyFont="1" applyFill="1" applyBorder="1" applyAlignment="1">
      <alignment horizontal="center" vertical="center"/>
    </xf>
    <xf numFmtId="0" fontId="0" fillId="17" borderId="13" xfId="0" applyFill="1" applyBorder="1" applyAlignment="1">
      <alignment horizontal="center" vertical="center"/>
    </xf>
    <xf numFmtId="0" fontId="2" fillId="21" borderId="1" xfId="0" applyFont="1" applyFill="1" applyBorder="1" applyAlignment="1">
      <alignment horizontal="center" vertical="center"/>
    </xf>
    <xf numFmtId="0" fontId="12" fillId="21" borderId="1" xfId="0" applyFont="1" applyFill="1" applyBorder="1" applyAlignment="1">
      <alignment horizontal="center" vertical="center"/>
    </xf>
    <xf numFmtId="0" fontId="0" fillId="22" borderId="1" xfId="0" applyFill="1" applyBorder="1" applyAlignment="1">
      <alignment horizontal="center" vertical="center"/>
    </xf>
    <xf numFmtId="0" fontId="13" fillId="6" borderId="1" xfId="0" applyFont="1" applyFill="1" applyBorder="1" applyAlignment="1">
      <alignment horizontal="center" vertical="center"/>
    </xf>
    <xf numFmtId="0" fontId="13" fillId="6" borderId="3" xfId="0" applyFont="1" applyFill="1" applyBorder="1" applyAlignment="1">
      <alignment horizontal="center" vertical="center"/>
    </xf>
    <xf numFmtId="0" fontId="0" fillId="8" borderId="3" xfId="0" applyFill="1" applyBorder="1" applyAlignment="1">
      <alignment horizontal="center" vertical="center"/>
    </xf>
    <xf numFmtId="0" fontId="12" fillId="2" borderId="1" xfId="0" applyFont="1" applyFill="1" applyBorder="1" applyAlignment="1">
      <alignment horizontal="center" vertical="center"/>
    </xf>
    <xf numFmtId="0" fontId="2" fillId="24" borderId="1" xfId="0" applyFont="1" applyFill="1" applyBorder="1" applyAlignment="1">
      <alignment horizontal="center" vertical="center"/>
    </xf>
    <xf numFmtId="0" fontId="2" fillId="25" borderId="1" xfId="0" applyFont="1" applyFill="1" applyBorder="1" applyAlignment="1">
      <alignment horizontal="center" vertical="center"/>
    </xf>
    <xf numFmtId="0" fontId="2" fillId="26" borderId="1" xfId="0" applyFont="1" applyFill="1" applyBorder="1" applyAlignment="1">
      <alignment horizontal="center" vertical="center"/>
    </xf>
    <xf numFmtId="0" fontId="0" fillId="27" borderId="1" xfId="0" applyFill="1" applyBorder="1" applyAlignment="1">
      <alignment horizontal="center" vertical="center"/>
    </xf>
    <xf numFmtId="0" fontId="2" fillId="28" borderId="1" xfId="0" applyFont="1" applyFill="1" applyBorder="1" applyAlignment="1">
      <alignment horizontal="center" vertical="center"/>
    </xf>
    <xf numFmtId="0" fontId="0" fillId="29" borderId="1" xfId="0" applyFill="1" applyBorder="1" applyAlignment="1">
      <alignment horizontal="center" vertical="center"/>
    </xf>
    <xf numFmtId="0" fontId="2" fillId="30" borderId="1" xfId="0" applyFont="1" applyFill="1" applyBorder="1" applyAlignment="1">
      <alignment horizontal="center" vertical="center"/>
    </xf>
    <xf numFmtId="0" fontId="2" fillId="31" borderId="1" xfId="0" applyFont="1" applyFill="1" applyBorder="1" applyAlignment="1">
      <alignment horizontal="center" vertical="center"/>
    </xf>
    <xf numFmtId="0" fontId="2" fillId="32" borderId="1" xfId="0" applyFont="1" applyFill="1" applyBorder="1" applyAlignment="1">
      <alignment horizontal="center" vertical="center"/>
    </xf>
    <xf numFmtId="0" fontId="0" fillId="23" borderId="13" xfId="0" applyFill="1" applyBorder="1" applyAlignment="1">
      <alignment horizontal="center" vertical="center"/>
    </xf>
    <xf numFmtId="0" fontId="2" fillId="33" borderId="1" xfId="0" applyFont="1" applyFill="1" applyBorder="1" applyAlignment="1">
      <alignment horizontal="center" vertical="center"/>
    </xf>
    <xf numFmtId="1" fontId="2" fillId="34" borderId="1" xfId="0" applyNumberFormat="1" applyFont="1" applyFill="1" applyBorder="1" applyAlignment="1">
      <alignment horizontal="center" vertical="center"/>
    </xf>
    <xf numFmtId="0" fontId="2" fillId="35" borderId="1" xfId="0" applyFont="1" applyFill="1" applyBorder="1" applyAlignment="1">
      <alignment horizontal="center" vertical="center"/>
    </xf>
    <xf numFmtId="0" fontId="0" fillId="8" borderId="13" xfId="0" applyFill="1" applyBorder="1" applyAlignment="1">
      <alignment horizontal="center" vertical="center"/>
    </xf>
    <xf numFmtId="0" fontId="1" fillId="36" borderId="1" xfId="0" applyFont="1" applyFill="1" applyBorder="1" applyAlignment="1">
      <alignment horizontal="center" vertical="center"/>
    </xf>
    <xf numFmtId="0" fontId="2" fillId="36" borderId="1" xfId="0" applyFont="1" applyFill="1" applyBorder="1" applyAlignment="1">
      <alignment horizontal="center" vertical="center"/>
    </xf>
    <xf numFmtId="0" fontId="12" fillId="36" borderId="1" xfId="0" applyFont="1" applyFill="1" applyBorder="1" applyAlignment="1">
      <alignment horizontal="center" vertical="center"/>
    </xf>
    <xf numFmtId="0" fontId="14" fillId="36" borderId="1" xfId="0" applyFont="1" applyFill="1" applyBorder="1" applyAlignment="1">
      <alignment horizontal="center" vertical="center"/>
    </xf>
    <xf numFmtId="0" fontId="2" fillId="36" borderId="0" xfId="0" applyFont="1" applyFill="1"/>
    <xf numFmtId="165" fontId="0" fillId="7" borderId="13" xfId="0" applyNumberFormat="1" applyFill="1" applyBorder="1" applyAlignment="1">
      <alignment horizontal="center" vertical="center"/>
    </xf>
    <xf numFmtId="0" fontId="2" fillId="19" borderId="1" xfId="0" applyFont="1" applyFill="1" applyBorder="1" applyAlignment="1">
      <alignment horizontal="center" vertical="center"/>
    </xf>
    <xf numFmtId="0" fontId="14" fillId="0" borderId="1" xfId="0" applyFont="1" applyBorder="1" applyAlignment="1">
      <alignment horizontal="center" vertical="center"/>
    </xf>
    <xf numFmtId="0" fontId="2" fillId="37" borderId="0" xfId="0" applyFont="1" applyFill="1" applyAlignment="1">
      <alignment horizontal="center" vertical="center"/>
    </xf>
    <xf numFmtId="0" fontId="2" fillId="38" borderId="1" xfId="0" applyFont="1" applyFill="1" applyBorder="1" applyAlignment="1">
      <alignment horizontal="center" vertical="center"/>
    </xf>
    <xf numFmtId="0" fontId="14" fillId="3" borderId="1" xfId="0" applyFont="1" applyFill="1" applyBorder="1" applyAlignment="1">
      <alignment horizontal="center" vertical="center"/>
    </xf>
    <xf numFmtId="0" fontId="12" fillId="19" borderId="1" xfId="0" applyFont="1" applyFill="1" applyBorder="1" applyAlignment="1">
      <alignment horizontal="center" vertical="center"/>
    </xf>
    <xf numFmtId="0" fontId="2" fillId="36" borderId="0" xfId="0" applyFont="1" applyFill="1" applyAlignment="1">
      <alignment horizontal="center" vertical="center"/>
    </xf>
    <xf numFmtId="0" fontId="2" fillId="2" borderId="0" xfId="0" applyFont="1" applyFill="1" applyAlignment="1">
      <alignment horizontal="center" vertical="center"/>
    </xf>
    <xf numFmtId="1" fontId="2" fillId="0" borderId="13" xfId="0" applyNumberFormat="1" applyFont="1" applyBorder="1" applyAlignment="1">
      <alignment horizontal="center" vertical="center"/>
    </xf>
    <xf numFmtId="0" fontId="2" fillId="0" borderId="13" xfId="0" applyFont="1" applyBorder="1" applyAlignment="1">
      <alignment horizontal="center" vertical="center"/>
    </xf>
    <xf numFmtId="0" fontId="2" fillId="36" borderId="1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 xfId="0" applyFont="1" applyFill="1" applyBorder="1"/>
    <xf numFmtId="0" fontId="2" fillId="39" borderId="1" xfId="0" applyFont="1" applyFill="1" applyBorder="1" applyAlignment="1">
      <alignment horizontal="center" vertical="center"/>
    </xf>
    <xf numFmtId="0" fontId="17" fillId="0" borderId="1" xfId="0" applyFont="1" applyBorder="1" applyAlignment="1">
      <alignment horizontal="center" vertical="center"/>
    </xf>
    <xf numFmtId="0" fontId="8" fillId="9" borderId="1" xfId="0" applyFont="1" applyFill="1" applyBorder="1" applyAlignment="1">
      <alignment horizontal="center" vertical="center"/>
    </xf>
    <xf numFmtId="0" fontId="11" fillId="10" borderId="24" xfId="0" applyFont="1" applyFill="1" applyBorder="1" applyAlignment="1">
      <alignment horizontal="center" vertical="center"/>
    </xf>
    <xf numFmtId="0" fontId="11" fillId="10" borderId="0" xfId="0" applyFont="1" applyFill="1" applyAlignment="1">
      <alignment horizontal="center" vertical="center"/>
    </xf>
    <xf numFmtId="0" fontId="11" fillId="10" borderId="25" xfId="0" applyFont="1" applyFill="1" applyBorder="1" applyAlignment="1">
      <alignment horizontal="center" vertical="center"/>
    </xf>
    <xf numFmtId="0" fontId="11" fillId="10" borderId="26" xfId="0" applyFont="1" applyFill="1" applyBorder="1" applyAlignment="1">
      <alignment horizontal="center" vertical="center"/>
    </xf>
  </cellXfs>
  <cellStyles count="1">
    <cellStyle name="عادي" xfId="0" builtinId="0"/>
  </cellStyles>
  <dxfs count="87">
    <dxf>
      <fill>
        <patternFill>
          <bgColor theme="9" tint="0.79998168889431442"/>
        </patternFill>
      </fill>
    </dxf>
    <dxf>
      <fill>
        <patternFill>
          <bgColor theme="6" tint="0.79998168889431442"/>
        </patternFill>
      </fill>
    </dxf>
    <dxf>
      <fill>
        <patternFill>
          <bgColor rgb="FF92D050"/>
        </patternFill>
      </fill>
    </dxf>
    <dxf>
      <fill>
        <patternFill>
          <bgColor rgb="FFFFFF00"/>
        </patternFill>
      </fill>
    </dxf>
    <dxf>
      <fill>
        <patternFill>
          <bgColor theme="6" tint="0.39994506668294322"/>
        </patternFill>
      </fill>
    </dxf>
    <dxf>
      <fill>
        <patternFill>
          <bgColor theme="9" tint="0.39994506668294322"/>
        </patternFill>
      </fill>
    </dxf>
    <dxf>
      <fill>
        <patternFill>
          <bgColor theme="5" tint="0.39994506668294322"/>
        </patternFill>
      </fill>
    </dxf>
    <dxf>
      <fill>
        <patternFill>
          <bgColor rgb="FFC00000"/>
        </patternFill>
      </fill>
    </dxf>
    <dxf>
      <fill>
        <patternFill>
          <bgColor theme="7" tint="0.79998168889431442"/>
        </patternFill>
      </fill>
    </dxf>
    <dxf>
      <fill>
        <patternFill>
          <bgColor theme="2" tint="-9.9948118533890809E-2"/>
        </patternFill>
      </fill>
    </dxf>
    <dxf>
      <font>
        <b/>
        <i val="0"/>
        <color theme="0"/>
      </font>
      <fill>
        <patternFill>
          <bgColor rgb="FF00B050"/>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border>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numFmt numFmtId="165" formatCode="dd/mm/yyyy"/>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numFmt numFmtId="165" formatCode="dd/mm/yyyy"/>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ck">
          <color theme="0"/>
        </top>
        <bottom/>
        <vertical/>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right/>
        <top style="thick">
          <color theme="0"/>
        </top>
        <bottom/>
        <vertical/>
        <horizontal/>
      </border>
    </dxf>
    <dxf>
      <border outline="0">
        <left style="thin">
          <color theme="0"/>
        </left>
        <right style="thin">
          <color theme="4" tint="0.39997558519241921"/>
        </right>
        <top style="thin">
          <color theme="4" tint="0.39997558519241921"/>
        </top>
        <bottom style="thick">
          <color theme="0"/>
        </bottom>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4"/>
        <color theme="0"/>
        <name val="Mohammad Bold Normal"/>
        <charset val="178"/>
        <scheme val="none"/>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numFmt numFmtId="165" formatCode="dd/mm/yyyy"/>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none">
          <fgColor theme="4" tint="0.59999389629810485"/>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Mohammad Bold Normal"/>
        <charset val="178"/>
        <scheme val="none"/>
      </font>
      <numFmt numFmtId="1" formatCode="0"/>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78"/>
        <scheme val="minor"/>
      </font>
      <fill>
        <patternFill patternType="solid">
          <fgColor theme="4" tint="0.59999389629810485"/>
          <bgColor theme="4"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4"/>
        <color theme="0"/>
        <name val="Mohammad Bold Normal"/>
        <charset val="178"/>
        <scheme val="none"/>
      </font>
      <fill>
        <patternFill patternType="solid">
          <fgColor theme="4"/>
          <bgColor theme="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z val="14"/>
        <color theme="0"/>
        <name val="Frutiger LT Arabic 55 Roman"/>
        <scheme val="none"/>
      </font>
      <fill>
        <patternFill>
          <bgColor theme="3"/>
        </patternFill>
      </fill>
      <border>
        <bottom style="thin">
          <color theme="4"/>
        </bottom>
        <vertical/>
        <horizontal/>
      </border>
    </dxf>
    <dxf>
      <font>
        <color theme="1"/>
      </font>
      <fill>
        <patternFill>
          <bgColor theme="4"/>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1C76189A-DB66-4B43-BF18-433B499439E1}">
      <tableStyleElement type="wholeTable" dxfId="86"/>
      <tableStyleElement type="headerRow" dxfId="85"/>
    </tableStyle>
  </tableStyles>
  <colors>
    <mruColors>
      <color rgb="FF00FFCC"/>
      <color rgb="FF00CCFF"/>
      <color rgb="FF33CCCC"/>
      <color rgb="FFCC00FF"/>
      <color rgb="FF339966"/>
      <color rgb="FFFF33CC"/>
      <color rgb="FF22830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14"/>
            <color rgb="FF002060"/>
            <name val="Frutiger LT Arabic 55 Roman"/>
            <scheme val="none"/>
          </font>
          <fill>
            <patternFill patternType="solid">
              <fgColor theme="4"/>
              <bgColor theme="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5.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5.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9.xml"/><Relationship Id="rId23" Type="http://schemas.microsoft.com/office/2007/relationships/slicerCache" Target="slicerCaches/slicerCache17.xml"/><Relationship Id="rId28" Type="http://schemas.openxmlformats.org/officeDocument/2006/relationships/sheetMetadata" Target="metadata.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07/relationships/slicerCache" Target="slicerCaches/slicerCache16.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9"/>
            <c:invertIfNegative val="0"/>
            <c:bubble3D val="0"/>
            <c:extLst>
              <c:ext xmlns:c16="http://schemas.microsoft.com/office/drawing/2014/chart" uri="{C3380CC4-5D6E-409C-BE32-E72D297353CC}">
                <c16:uniqueId val="{00000000-18BF-4A81-B02B-4CABD9279A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'قوائم منسدلة'!$M$1:$V$1</c:f>
              <c:strCache>
                <c:ptCount val="10"/>
                <c:pt idx="0">
                  <c:v>ميكانيكي</c:v>
                </c:pt>
                <c:pt idx="1">
                  <c:v>بطاريات</c:v>
                </c:pt>
                <c:pt idx="2">
                  <c:v>كهربائي</c:v>
                </c:pt>
                <c:pt idx="3">
                  <c:v>مضخات</c:v>
                </c:pt>
                <c:pt idx="4">
                  <c:v>أخرى</c:v>
                </c:pt>
                <c:pt idx="5">
                  <c:v>برمجة</c:v>
                </c:pt>
                <c:pt idx="6">
                  <c:v>كفرات</c:v>
                </c:pt>
                <c:pt idx="7">
                  <c:v>خلل فني</c:v>
                </c:pt>
                <c:pt idx="8">
                  <c:v>تجديد ودهان</c:v>
                </c:pt>
                <c:pt idx="9">
                  <c:v>حادث مروري</c:v>
                </c:pt>
              </c:strCache>
            </c:strRef>
          </c:cat>
          <c:val>
            <c:numRef>
              <c:f>'قوائم منسدلة'!$M$2:$V$2</c:f>
              <c:numCache>
                <c:formatCode>General</c:formatCode>
                <c:ptCount val="10"/>
                <c:pt idx="0">
                  <c:v>100</c:v>
                </c:pt>
                <c:pt idx="1">
                  <c:v>8</c:v>
                </c:pt>
                <c:pt idx="2">
                  <c:v>21</c:v>
                </c:pt>
                <c:pt idx="3">
                  <c:v>11</c:v>
                </c:pt>
                <c:pt idx="4">
                  <c:v>156</c:v>
                </c:pt>
                <c:pt idx="5">
                  <c:v>1</c:v>
                </c:pt>
                <c:pt idx="6">
                  <c:v>10</c:v>
                </c:pt>
                <c:pt idx="7">
                  <c:v>42</c:v>
                </c:pt>
                <c:pt idx="8">
                  <c:v>2</c:v>
                </c:pt>
                <c:pt idx="9">
                  <c:v>16</c:v>
                </c:pt>
              </c:numCache>
            </c:numRef>
          </c:val>
          <c:extLst>
            <c:ext xmlns:c16="http://schemas.microsoft.com/office/drawing/2014/chart" uri="{C3380CC4-5D6E-409C-BE32-E72D297353CC}">
              <c16:uniqueId val="{00000000-B3BE-46ED-A994-7C06F2056FEE}"/>
            </c:ext>
          </c:extLst>
        </c:ser>
        <c:dLbls>
          <c:dLblPos val="inEnd"/>
          <c:showLegendKey val="0"/>
          <c:showVal val="1"/>
          <c:showCatName val="0"/>
          <c:showSerName val="0"/>
          <c:showPercent val="0"/>
          <c:showBubbleSize val="0"/>
        </c:dLbls>
        <c:gapWidth val="100"/>
        <c:overlap val="-24"/>
        <c:axId val="1379880575"/>
        <c:axId val="1379881535"/>
      </c:barChart>
      <c:catAx>
        <c:axId val="1379880575"/>
        <c:scaling>
          <c:orientation val="maxMin"/>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2"/>
                </a:solidFill>
                <a:latin typeface="Frutiger LT Arabic 55 Roman" panose="01000000000000000000" pitchFamily="2" charset="-78"/>
                <a:ea typeface="+mn-ea"/>
                <a:cs typeface="Frutiger LT Arabic 55 Roman" panose="01000000000000000000" pitchFamily="2" charset="-78"/>
              </a:defRPr>
            </a:pPr>
            <a:endParaRPr lang="ar-SA"/>
          </a:p>
        </c:txPr>
        <c:crossAx val="1379881535"/>
        <c:crosses val="autoZero"/>
        <c:auto val="1"/>
        <c:lblAlgn val="ctr"/>
        <c:lblOffset val="100"/>
        <c:noMultiLvlLbl val="0"/>
      </c:catAx>
      <c:valAx>
        <c:axId val="1379881535"/>
        <c:scaling>
          <c:orientation val="minMax"/>
        </c:scaling>
        <c:delete val="1"/>
        <c:axPos val="r"/>
        <c:numFmt formatCode="General" sourceLinked="1"/>
        <c:majorTickMark val="none"/>
        <c:minorTickMark val="none"/>
        <c:tickLblPos val="nextTo"/>
        <c:crossAx val="13798805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ar-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'قوائم منسدلة'!$I$1:$L$1</c:f>
              <c:strCache>
                <c:ptCount val="4"/>
                <c:pt idx="0">
                  <c:v>عطلانة</c:v>
                </c:pt>
                <c:pt idx="1">
                  <c:v>تم الاصلاح</c:v>
                </c:pt>
                <c:pt idx="2">
                  <c:v>تحت إجراءات الرجيع</c:v>
                </c:pt>
                <c:pt idx="3">
                  <c:v>صدر قرار الرجيع</c:v>
                </c:pt>
              </c:strCache>
            </c:strRef>
          </c:cat>
          <c:val>
            <c:numRef>
              <c:f>'قوائم منسدلة'!$I$2:$L$2</c:f>
              <c:numCache>
                <c:formatCode>General</c:formatCode>
                <c:ptCount val="4"/>
                <c:pt idx="0">
                  <c:v>199</c:v>
                </c:pt>
                <c:pt idx="1">
                  <c:v>168</c:v>
                </c:pt>
                <c:pt idx="2">
                  <c:v>23</c:v>
                </c:pt>
                <c:pt idx="3">
                  <c:v>58</c:v>
                </c:pt>
              </c:numCache>
            </c:numRef>
          </c:val>
          <c:extLst>
            <c:ext xmlns:c16="http://schemas.microsoft.com/office/drawing/2014/chart" uri="{C3380CC4-5D6E-409C-BE32-E72D297353CC}">
              <c16:uniqueId val="{00000000-3097-4315-B0FA-FB29CF645363}"/>
            </c:ext>
          </c:extLst>
        </c:ser>
        <c:dLbls>
          <c:dLblPos val="ctr"/>
          <c:showLegendKey val="0"/>
          <c:showVal val="1"/>
          <c:showCatName val="0"/>
          <c:showSerName val="0"/>
          <c:showPercent val="0"/>
          <c:showBubbleSize val="0"/>
        </c:dLbls>
        <c:gapWidth val="100"/>
        <c:overlap val="-24"/>
        <c:axId val="1237060815"/>
        <c:axId val="1237058895"/>
      </c:barChart>
      <c:catAx>
        <c:axId val="1237060815"/>
        <c:scaling>
          <c:orientation val="maxMin"/>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ar-SA"/>
          </a:p>
        </c:txPr>
        <c:crossAx val="1237058895"/>
        <c:crosses val="autoZero"/>
        <c:auto val="1"/>
        <c:lblAlgn val="ctr"/>
        <c:lblOffset val="100"/>
        <c:noMultiLvlLbl val="0"/>
      </c:catAx>
      <c:valAx>
        <c:axId val="1237058895"/>
        <c:scaling>
          <c:orientation val="minMax"/>
        </c:scaling>
        <c:delete val="1"/>
        <c:axPos val="r"/>
        <c:numFmt formatCode="General" sourceLinked="1"/>
        <c:majorTickMark val="out"/>
        <c:minorTickMark val="none"/>
        <c:tickLblPos val="nextTo"/>
        <c:crossAx val="1237060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50"/>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2"/>
                </a:solidFill>
                <a:latin typeface="Frutiger LT Arabic 55 Roman" panose="01000000000000000000" pitchFamily="2" charset="-78"/>
                <a:ea typeface="+mn-ea"/>
                <a:cs typeface="Frutiger LT Arabic 55 Roman" panose="01000000000000000000" pitchFamily="2" charset="-78"/>
              </a:defRPr>
            </a:pPr>
            <a:r>
              <a:rPr lang="ar-SA">
                <a:solidFill>
                  <a:schemeClr val="tx2"/>
                </a:solidFill>
                <a:latin typeface="Frutiger LT Arabic 55 Roman" panose="01000000000000000000" pitchFamily="2" charset="-78"/>
                <a:cs typeface="Frutiger LT Arabic 55 Roman" panose="01000000000000000000" pitchFamily="2" charset="-78"/>
              </a:rPr>
              <a:t>الأليات الاكثر تعرضا للأعطال</a:t>
            </a:r>
            <a:endParaRPr lang="en-US">
              <a:solidFill>
                <a:schemeClr val="tx2"/>
              </a:solidFill>
              <a:latin typeface="Frutiger LT Arabic 55 Roman" panose="01000000000000000000" pitchFamily="2" charset="-78"/>
              <a:cs typeface="Frutiger LT Arabic 55 Roman" panose="01000000000000000000" pitchFamily="2" charset="-78"/>
            </a:endParaRPr>
          </a:p>
        </c:rich>
      </c:tx>
      <c:layout>
        <c:manualLayout>
          <c:xMode val="edge"/>
          <c:yMode val="edge"/>
          <c:x val="0.2735357531744688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Frutiger LT Arabic 55 Roman" panose="01000000000000000000" pitchFamily="2" charset="-78"/>
              <a:ea typeface="+mn-ea"/>
              <a:cs typeface="Frutiger LT Arabic 55 Roman" panose="01000000000000000000" pitchFamily="2" charset="-78"/>
            </a:defRPr>
          </a:pPr>
          <a:endParaRPr lang="en-US"/>
        </a:p>
      </c:txPr>
    </c:title>
    <c:autoTitleDeleted val="0"/>
    <c:plotArea>
      <c:layout/>
      <c:pieChart>
        <c:varyColors val="1"/>
        <c:ser>
          <c:idx val="0"/>
          <c:order val="0"/>
          <c:spPr>
            <a:effectLst>
              <a:outerShdw blurRad="50800" dist="38100" dir="8100000" algn="tr" rotWithShape="0">
                <a:prstClr val="black">
                  <a:alpha val="40000"/>
                </a:prstClr>
              </a:outerShdw>
            </a:effectLst>
          </c:spPr>
          <c:dPt>
            <c:idx val="0"/>
            <c:bubble3D val="0"/>
            <c:spPr>
              <a:solidFill>
                <a:srgbClr val="FFC00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DB5-4BBD-BA41-5AFDD92551D7}"/>
              </c:ext>
            </c:extLst>
          </c:dPt>
          <c:dPt>
            <c:idx val="1"/>
            <c:bubble3D val="0"/>
            <c:spPr>
              <a:solidFill>
                <a:srgbClr val="FF000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DB5-4BBD-BA41-5AFDD92551D7}"/>
              </c:ext>
            </c:extLst>
          </c:dPt>
          <c:dPt>
            <c:idx val="2"/>
            <c:bubble3D val="0"/>
            <c:spPr>
              <a:solidFill>
                <a:srgbClr val="92D05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DB5-4BBD-BA41-5AFDD92551D7}"/>
              </c:ext>
            </c:extLst>
          </c:dPt>
          <c:dPt>
            <c:idx val="3"/>
            <c:bubble3D val="0"/>
            <c:spPr>
              <a:solidFill>
                <a:srgbClr val="7030A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2DB5-4BBD-BA41-5AFDD92551D7}"/>
              </c:ext>
            </c:extLst>
          </c:dPt>
          <c:dPt>
            <c:idx val="4"/>
            <c:bubble3D val="0"/>
            <c:spPr>
              <a:solidFill>
                <a:srgbClr val="00B0F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9-2DB5-4BBD-BA41-5AFDD92551D7}"/>
              </c:ext>
            </c:extLst>
          </c:dPt>
          <c:dLbls>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ar-SA"/>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'قوائم منسدلة'!$I$6:$I$10</c:f>
              <c:strCache>
                <c:ptCount val="5"/>
                <c:pt idx="0">
                  <c:v>وايت سكس مرسيدس بمضخه وقاذف</c:v>
                </c:pt>
                <c:pt idx="1">
                  <c:v>وايت عادي مرسيدس بمضخة وقاذف</c:v>
                </c:pt>
                <c:pt idx="2">
                  <c:v>دراجة نارية ياماها 250</c:v>
                </c:pt>
                <c:pt idx="3">
                  <c:v>سيارة جيب 4 باب نيسان رسمي</c:v>
                </c:pt>
                <c:pt idx="4">
                  <c:v>سيارة اطفاء وانقاذ مزدوجة كومندر </c:v>
                </c:pt>
              </c:strCache>
            </c:strRef>
          </c:cat>
          <c:val>
            <c:numRef>
              <c:f>'قوائم منسدلة'!$J$6:$J$10</c:f>
              <c:numCache>
                <c:formatCode>General</c:formatCode>
                <c:ptCount val="5"/>
                <c:pt idx="0">
                  <c:v>75</c:v>
                </c:pt>
                <c:pt idx="1">
                  <c:v>34</c:v>
                </c:pt>
                <c:pt idx="2">
                  <c:v>31</c:v>
                </c:pt>
                <c:pt idx="3">
                  <c:v>27</c:v>
                </c:pt>
                <c:pt idx="4">
                  <c:v>28</c:v>
                </c:pt>
              </c:numCache>
            </c:numRef>
          </c:val>
          <c:extLst>
            <c:ext xmlns:c16="http://schemas.microsoft.com/office/drawing/2014/chart" uri="{C3380CC4-5D6E-409C-BE32-E72D297353CC}">
              <c16:uniqueId val="{0000000A-2DB5-4BBD-BA41-5AFDD92551D7}"/>
            </c:ext>
          </c:extLst>
        </c:ser>
        <c:dLbls>
          <c:dLblPos val="ctr"/>
          <c:showLegendKey val="0"/>
          <c:showVal val="0"/>
          <c:showCatName val="0"/>
          <c:showSerName val="0"/>
          <c:showPercent val="0"/>
          <c:showBubbleSize val="0"/>
          <c:showLeaderLines val="0"/>
        </c:dLbls>
        <c:firstSliceAng val="36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2"/>
                </a:solidFill>
                <a:latin typeface="Frutiger LT Arabic 55 Roman" panose="01000000000000000000" pitchFamily="2" charset="-78"/>
                <a:ea typeface="+mn-ea"/>
                <a:cs typeface="Frutiger LT Arabic 55 Roman" panose="01000000000000000000" pitchFamily="2" charset="-78"/>
              </a:defRPr>
            </a:pPr>
            <a:r>
              <a:rPr lang="ar-SA" sz="1800" b="1">
                <a:solidFill>
                  <a:schemeClr val="tx2"/>
                </a:solidFill>
                <a:latin typeface="Frutiger LT Arabic 55 Roman" panose="01000000000000000000" pitchFamily="2" charset="-78"/>
                <a:cs typeface="Frutiger LT Arabic 55 Roman" panose="01000000000000000000" pitchFamily="2" charset="-78"/>
              </a:rPr>
              <a:t>جهات</a:t>
            </a:r>
            <a:r>
              <a:rPr lang="ar-SA" sz="1800" b="1" baseline="0">
                <a:solidFill>
                  <a:schemeClr val="tx2"/>
                </a:solidFill>
                <a:latin typeface="Frutiger LT Arabic 55 Roman" panose="01000000000000000000" pitchFamily="2" charset="-78"/>
                <a:cs typeface="Frutiger LT Arabic 55 Roman" panose="01000000000000000000" pitchFamily="2" charset="-78"/>
              </a:rPr>
              <a:t> الاعطال الاكثر اعطالا</a:t>
            </a:r>
            <a:endParaRPr lang="en-US" sz="1800" b="1">
              <a:solidFill>
                <a:schemeClr val="tx2"/>
              </a:solidFill>
              <a:latin typeface="Frutiger LT Arabic 55 Roman" panose="01000000000000000000" pitchFamily="2" charset="-78"/>
              <a:cs typeface="Frutiger LT Arabic 55 Roman" panose="01000000000000000000" pitchFamily="2" charset="-78"/>
            </a:endParaRPr>
          </a:p>
        </c:rich>
      </c:tx>
      <c:layout>
        <c:manualLayout>
          <c:xMode val="edge"/>
          <c:yMode val="edge"/>
          <c:x val="0.24008076337354226"/>
          <c:y val="1.8487391695910065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2"/>
              </a:solidFill>
              <a:latin typeface="Frutiger LT Arabic 55 Roman" panose="01000000000000000000" pitchFamily="2" charset="-78"/>
              <a:ea typeface="+mn-ea"/>
              <a:cs typeface="Frutiger LT Arabic 55 Roman" panose="01000000000000000000" pitchFamily="2" charset="-78"/>
            </a:defRPr>
          </a:pPr>
          <a:endParaRPr lang="en-US"/>
        </a:p>
      </c:txPr>
    </c:title>
    <c:autoTitleDeleted val="0"/>
    <c:plotArea>
      <c:layout>
        <c:manualLayout>
          <c:layoutTarget val="inner"/>
          <c:xMode val="edge"/>
          <c:yMode val="edge"/>
          <c:x val="3.6876421394328264E-2"/>
          <c:y val="0.17171296296296296"/>
          <c:w val="0.50636596821085722"/>
          <c:h val="0.72088764946048411"/>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'قوائم منسدلة'!$N$5:$N$7</c:f>
              <c:strCache>
                <c:ptCount val="3"/>
                <c:pt idx="0">
                  <c:v>ادارة  العمليات/الإدارة العامة للدفاع المدني بمحافظة جدة</c:v>
                </c:pt>
                <c:pt idx="1">
                  <c:v>قسم الدعم والإسناد الثالث</c:v>
                </c:pt>
                <c:pt idx="2">
                  <c:v>قسم الاسناد الاول والثاني والثالث</c:v>
                </c:pt>
              </c:strCache>
            </c:strRef>
          </c:cat>
          <c:val>
            <c:numRef>
              <c:f>'قوائم منسدلة'!$O$5:$O$7</c:f>
              <c:numCache>
                <c:formatCode>General</c:formatCode>
                <c:ptCount val="3"/>
                <c:pt idx="0">
                  <c:v>232</c:v>
                </c:pt>
                <c:pt idx="1">
                  <c:v>96</c:v>
                </c:pt>
                <c:pt idx="2">
                  <c:v>134</c:v>
                </c:pt>
              </c:numCache>
            </c:numRef>
          </c:val>
          <c:extLst>
            <c:ext xmlns:c16="http://schemas.microsoft.com/office/drawing/2014/chart" uri="{C3380CC4-5D6E-409C-BE32-E72D297353CC}">
              <c16:uniqueId val="{00000000-4A6E-4EC5-972E-360351166E1C}"/>
            </c:ext>
          </c:extLst>
        </c:ser>
        <c:dLbls>
          <c:dLblPos val="ctr"/>
          <c:showLegendKey val="0"/>
          <c:showVal val="1"/>
          <c:showCatName val="0"/>
          <c:showSerName val="0"/>
          <c:showPercent val="0"/>
          <c:showBubbleSize val="0"/>
        </c:dLbls>
        <c:gapWidth val="182"/>
        <c:axId val="1232813632"/>
        <c:axId val="1232830432"/>
      </c:barChart>
      <c:catAx>
        <c:axId val="123281363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Frutiger LT Arabic 55 Roman" panose="01000000000000000000" pitchFamily="2" charset="-78"/>
                <a:ea typeface="+mn-ea"/>
                <a:cs typeface="Frutiger LT Arabic 55 Roman" panose="01000000000000000000" pitchFamily="2" charset="-78"/>
              </a:defRPr>
            </a:pPr>
            <a:endParaRPr lang="ar-SA"/>
          </a:p>
        </c:txPr>
        <c:crossAx val="1232830432"/>
        <c:crosses val="autoZero"/>
        <c:auto val="1"/>
        <c:lblAlgn val="ctr"/>
        <c:lblOffset val="100"/>
        <c:noMultiLvlLbl val="0"/>
      </c:catAx>
      <c:valAx>
        <c:axId val="1232830432"/>
        <c:scaling>
          <c:orientation val="maxMin"/>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32813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19</xdr:col>
      <xdr:colOff>0</xdr:colOff>
      <xdr:row>7</xdr:row>
      <xdr:rowOff>476250</xdr:rowOff>
    </xdr:to>
    <xdr:sp macro="" textlink="">
      <xdr:nvSpPr>
        <xdr:cNvPr id="2" name="Rectangle: Rounded Corners 1">
          <a:extLst>
            <a:ext uri="{FF2B5EF4-FFF2-40B4-BE49-F238E27FC236}">
              <a16:creationId xmlns:a16="http://schemas.microsoft.com/office/drawing/2014/main" id="{6C411812-D152-9294-8551-0468F22425D0}"/>
            </a:ext>
          </a:extLst>
        </xdr:cNvPr>
        <xdr:cNvSpPr/>
      </xdr:nvSpPr>
      <xdr:spPr>
        <a:xfrm>
          <a:off x="10020640179" y="1"/>
          <a:ext cx="21553714" cy="4558392"/>
        </a:xfrm>
        <a:prstGeom prst="roundRect">
          <a:avLst>
            <a:gd name="adj" fmla="val 0"/>
          </a:avLst>
        </a:prstGeom>
        <a:solidFill>
          <a:schemeClr val="tx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rtl="1"/>
          <a:endParaRPr lang="en-US" sz="1100"/>
        </a:p>
      </xdr:txBody>
    </xdr:sp>
    <xdr:clientData/>
  </xdr:twoCellAnchor>
  <xdr:twoCellAnchor>
    <xdr:from>
      <xdr:col>8</xdr:col>
      <xdr:colOff>1150938</xdr:colOff>
      <xdr:row>0</xdr:row>
      <xdr:rowOff>64344</xdr:rowOff>
    </xdr:from>
    <xdr:to>
      <xdr:col>15</xdr:col>
      <xdr:colOff>290862</xdr:colOff>
      <xdr:row>7</xdr:row>
      <xdr:rowOff>397717</xdr:rowOff>
    </xdr:to>
    <xdr:grpSp>
      <xdr:nvGrpSpPr>
        <xdr:cNvPr id="13" name="Group 12">
          <a:extLst>
            <a:ext uri="{FF2B5EF4-FFF2-40B4-BE49-F238E27FC236}">
              <a16:creationId xmlns:a16="http://schemas.microsoft.com/office/drawing/2014/main" id="{52BBD445-2804-F125-D32F-147D57EC9742}"/>
            </a:ext>
          </a:extLst>
        </xdr:cNvPr>
        <xdr:cNvGrpSpPr/>
      </xdr:nvGrpSpPr>
      <xdr:grpSpPr>
        <a:xfrm>
          <a:off x="10187757996" y="64344"/>
          <a:ext cx="13431311" cy="4376638"/>
          <a:chOff x="9927720902" y="805517"/>
          <a:chExt cx="7194945" cy="3666901"/>
        </a:xfrm>
      </xdr:grpSpPr>
      <xdr:sp macro="" textlink="">
        <xdr:nvSpPr>
          <xdr:cNvPr id="6" name="Rectangle: Rounded Corners 5">
            <a:extLst>
              <a:ext uri="{FF2B5EF4-FFF2-40B4-BE49-F238E27FC236}">
                <a16:creationId xmlns:a16="http://schemas.microsoft.com/office/drawing/2014/main" id="{C4980F30-AE3F-B39B-932C-AF9C0D029720}"/>
              </a:ext>
            </a:extLst>
          </xdr:cNvPr>
          <xdr:cNvSpPr/>
        </xdr:nvSpPr>
        <xdr:spPr>
          <a:xfrm>
            <a:off x="9928270387" y="805517"/>
            <a:ext cx="6137716" cy="3666901"/>
          </a:xfrm>
          <a:prstGeom prst="roundRect">
            <a:avLst>
              <a:gd name="adj" fmla="val 212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rtl="1"/>
            <a:endParaRPr lang="en-US" sz="1100"/>
          </a:p>
        </xdr:txBody>
      </xdr:sp>
      <xdr:graphicFrame macro="">
        <xdr:nvGraphicFramePr>
          <xdr:cNvPr id="5" name="Chart 4">
            <a:extLst>
              <a:ext uri="{FF2B5EF4-FFF2-40B4-BE49-F238E27FC236}">
                <a16:creationId xmlns:a16="http://schemas.microsoft.com/office/drawing/2014/main" id="{69030419-B31A-4C11-B762-CA6CFDFD9C20}"/>
              </a:ext>
            </a:extLst>
          </xdr:cNvPr>
          <xdr:cNvGraphicFramePr>
            <a:graphicFrameLocks/>
          </xdr:cNvGraphicFramePr>
        </xdr:nvGraphicFramePr>
        <xdr:xfrm>
          <a:off x="9927720902" y="1051689"/>
          <a:ext cx="7194945" cy="325521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TextBox 6">
            <a:extLst>
              <a:ext uri="{FF2B5EF4-FFF2-40B4-BE49-F238E27FC236}">
                <a16:creationId xmlns:a16="http://schemas.microsoft.com/office/drawing/2014/main" id="{D4D555F8-3CE1-632D-1FAB-BC229CB34BA6}"/>
              </a:ext>
            </a:extLst>
          </xdr:cNvPr>
          <xdr:cNvSpPr txBox="1"/>
        </xdr:nvSpPr>
        <xdr:spPr>
          <a:xfrm>
            <a:off x="9928532127" y="805517"/>
            <a:ext cx="5556541" cy="617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1" eaLnBrk="1" fontAlgn="auto" latinLnBrk="0" hangingPunct="1">
              <a:lnSpc>
                <a:spcPct val="100000"/>
              </a:lnSpc>
              <a:spcBef>
                <a:spcPts val="0"/>
              </a:spcBef>
              <a:spcAft>
                <a:spcPts val="0"/>
              </a:spcAft>
              <a:buClrTx/>
              <a:buSzTx/>
              <a:buFontTx/>
              <a:buNone/>
              <a:tabLst/>
              <a:defRPr/>
            </a:pPr>
            <a:r>
              <a:rPr lang="ar-SA" sz="1800" b="1" i="0" baseline="0">
                <a:solidFill>
                  <a:schemeClr val="tx2"/>
                </a:solidFill>
                <a:effectLst/>
                <a:latin typeface="Frutiger LT Arabic 55 Roman" panose="01000000000000000000" pitchFamily="2" charset="-78"/>
                <a:ea typeface="+mn-ea"/>
                <a:cs typeface="Frutiger LT Arabic 55 Roman" panose="01000000000000000000" pitchFamily="2" charset="-78"/>
              </a:rPr>
              <a:t>احصائيات انواع اعطال المركبات</a:t>
            </a:r>
            <a:endParaRPr lang="en-US" sz="1800">
              <a:solidFill>
                <a:schemeClr val="tx2"/>
              </a:solidFill>
              <a:effectLst/>
              <a:latin typeface="Frutiger LT Arabic 55 Roman" panose="01000000000000000000" pitchFamily="2" charset="-78"/>
              <a:cs typeface="Frutiger LT Arabic 55 Roman" panose="01000000000000000000" pitchFamily="2" charset="-78"/>
            </a:endParaRPr>
          </a:p>
        </xdr:txBody>
      </xdr:sp>
    </xdr:grpSp>
    <xdr:clientData/>
  </xdr:twoCellAnchor>
  <xdr:twoCellAnchor>
    <xdr:from>
      <xdr:col>7</xdr:col>
      <xdr:colOff>1130623</xdr:colOff>
      <xdr:row>0</xdr:row>
      <xdr:rowOff>64344</xdr:rowOff>
    </xdr:from>
    <xdr:to>
      <xdr:col>8</xdr:col>
      <xdr:colOff>1696470</xdr:colOff>
      <xdr:row>7</xdr:row>
      <xdr:rowOff>397717</xdr:rowOff>
    </xdr:to>
    <xdr:grpSp>
      <xdr:nvGrpSpPr>
        <xdr:cNvPr id="16" name="Group 15">
          <a:extLst>
            <a:ext uri="{FF2B5EF4-FFF2-40B4-BE49-F238E27FC236}">
              <a16:creationId xmlns:a16="http://schemas.microsoft.com/office/drawing/2014/main" id="{B8416424-9F4A-3463-2546-FA4136BE99E1}"/>
            </a:ext>
          </a:extLst>
        </xdr:cNvPr>
        <xdr:cNvGrpSpPr/>
      </xdr:nvGrpSpPr>
      <xdr:grpSpPr>
        <a:xfrm>
          <a:off x="10200643775" y="64344"/>
          <a:ext cx="4889031" cy="4376638"/>
          <a:chOff x="9932618757" y="40532"/>
          <a:chExt cx="4618302" cy="4472418"/>
        </a:xfrm>
      </xdr:grpSpPr>
      <xdr:sp macro="" textlink="">
        <xdr:nvSpPr>
          <xdr:cNvPr id="3" name="Rectangle: Rounded Corners 2">
            <a:extLst>
              <a:ext uri="{FF2B5EF4-FFF2-40B4-BE49-F238E27FC236}">
                <a16:creationId xmlns:a16="http://schemas.microsoft.com/office/drawing/2014/main" id="{1DE6EC2E-70EB-EC44-1A5D-7826C13050C3}"/>
              </a:ext>
            </a:extLst>
          </xdr:cNvPr>
          <xdr:cNvSpPr/>
        </xdr:nvSpPr>
        <xdr:spPr>
          <a:xfrm>
            <a:off x="9932654300" y="40532"/>
            <a:ext cx="4537030" cy="4472418"/>
          </a:xfrm>
          <a:prstGeom prst="roundRect">
            <a:avLst>
              <a:gd name="adj" fmla="val 212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rtl="1"/>
            <a:endParaRPr lang="en-US" sz="1100"/>
          </a:p>
        </xdr:txBody>
      </xdr:sp>
      <xdr:graphicFrame macro="">
        <xdr:nvGraphicFramePr>
          <xdr:cNvPr id="4" name="Chart 3">
            <a:extLst>
              <a:ext uri="{FF2B5EF4-FFF2-40B4-BE49-F238E27FC236}">
                <a16:creationId xmlns:a16="http://schemas.microsoft.com/office/drawing/2014/main" id="{D35A5CBA-A7AE-4CAE-9119-4E60EC9BCABA}"/>
              </a:ext>
            </a:extLst>
          </xdr:cNvPr>
          <xdr:cNvGraphicFramePr>
            <a:graphicFrameLocks/>
          </xdr:cNvGraphicFramePr>
        </xdr:nvGraphicFramePr>
        <xdr:xfrm>
          <a:off x="9932618757" y="263093"/>
          <a:ext cx="4618302" cy="371121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4FD7E103-4570-1733-ED78-D7CED1293904}"/>
              </a:ext>
            </a:extLst>
          </xdr:cNvPr>
          <xdr:cNvSpPr txBox="1"/>
        </xdr:nvSpPr>
        <xdr:spPr>
          <a:xfrm>
            <a:off x="9933449530" y="112238"/>
            <a:ext cx="2917831" cy="610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1" eaLnBrk="1" fontAlgn="auto" latinLnBrk="0" hangingPunct="1">
              <a:lnSpc>
                <a:spcPct val="100000"/>
              </a:lnSpc>
              <a:spcBef>
                <a:spcPts val="0"/>
              </a:spcBef>
              <a:spcAft>
                <a:spcPts val="0"/>
              </a:spcAft>
              <a:buClrTx/>
              <a:buSzTx/>
              <a:buFontTx/>
              <a:buNone/>
              <a:tabLst/>
              <a:defRPr/>
            </a:pPr>
            <a:r>
              <a:rPr lang="ar-SA" sz="1800" b="1" i="0" baseline="0">
                <a:solidFill>
                  <a:schemeClr val="tx2"/>
                </a:solidFill>
                <a:effectLst/>
                <a:latin typeface="Frutiger LT Arabic 55 Roman" panose="01000000000000000000" pitchFamily="2" charset="-78"/>
                <a:ea typeface="+mn-ea"/>
                <a:cs typeface="Frutiger LT Arabic 55 Roman" panose="01000000000000000000" pitchFamily="2" charset="-78"/>
              </a:rPr>
              <a:t>الحالة الفنية للمركبات</a:t>
            </a:r>
            <a:r>
              <a:rPr lang="en-US" sz="1800" b="1" i="0" baseline="0">
                <a:solidFill>
                  <a:schemeClr val="tx2"/>
                </a:solidFill>
                <a:effectLst/>
                <a:latin typeface="Frutiger LT Arabic 55 Roman" panose="01000000000000000000" pitchFamily="2" charset="-78"/>
                <a:ea typeface="+mn-ea"/>
                <a:cs typeface="Frutiger LT Arabic 55 Roman" panose="01000000000000000000" pitchFamily="2" charset="-78"/>
              </a:rPr>
              <a:t> </a:t>
            </a:r>
            <a:endParaRPr lang="en-US" sz="1800">
              <a:solidFill>
                <a:schemeClr val="tx2"/>
              </a:solidFill>
              <a:effectLst/>
              <a:latin typeface="Frutiger LT Arabic 55 Roman" panose="01000000000000000000" pitchFamily="2" charset="-78"/>
              <a:cs typeface="Frutiger LT Arabic 55 Roman" panose="01000000000000000000" pitchFamily="2" charset="-78"/>
            </a:endParaRPr>
          </a:p>
        </xdr:txBody>
      </xdr:sp>
    </xdr:grpSp>
    <xdr:clientData/>
  </xdr:twoCellAnchor>
  <xdr:twoCellAnchor>
    <xdr:from>
      <xdr:col>13</xdr:col>
      <xdr:colOff>764874</xdr:colOff>
      <xdr:row>0</xdr:row>
      <xdr:rowOff>64344</xdr:rowOff>
    </xdr:from>
    <xdr:to>
      <xdr:col>20</xdr:col>
      <xdr:colOff>53906</xdr:colOff>
      <xdr:row>7</xdr:row>
      <xdr:rowOff>397717</xdr:rowOff>
    </xdr:to>
    <xdr:grpSp>
      <xdr:nvGrpSpPr>
        <xdr:cNvPr id="14" name="Group 13">
          <a:extLst>
            <a:ext uri="{FF2B5EF4-FFF2-40B4-BE49-F238E27FC236}">
              <a16:creationId xmlns:a16="http://schemas.microsoft.com/office/drawing/2014/main" id="{831CC3B0-11F5-4E3F-3E74-134CA012F84A}"/>
            </a:ext>
          </a:extLst>
        </xdr:cNvPr>
        <xdr:cNvGrpSpPr/>
      </xdr:nvGrpSpPr>
      <xdr:grpSpPr>
        <a:xfrm>
          <a:off x="10179022013" y="64344"/>
          <a:ext cx="10423562" cy="4376638"/>
          <a:chOff x="9921118269" y="858583"/>
          <a:chExt cx="6516258" cy="3613835"/>
        </a:xfrm>
      </xdr:grpSpPr>
      <xdr:sp macro="" textlink="">
        <xdr:nvSpPr>
          <xdr:cNvPr id="12" name="Rectangle: Rounded Corners 11">
            <a:extLst>
              <a:ext uri="{FF2B5EF4-FFF2-40B4-BE49-F238E27FC236}">
                <a16:creationId xmlns:a16="http://schemas.microsoft.com/office/drawing/2014/main" id="{3D039CDC-D578-D08D-FB6E-3CFA5856D039}"/>
              </a:ext>
            </a:extLst>
          </xdr:cNvPr>
          <xdr:cNvSpPr/>
        </xdr:nvSpPr>
        <xdr:spPr>
          <a:xfrm>
            <a:off x="9921902538" y="858583"/>
            <a:ext cx="4931216" cy="3613835"/>
          </a:xfrm>
          <a:prstGeom prst="roundRect">
            <a:avLst>
              <a:gd name="adj" fmla="val 212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rtl="1"/>
            <a:endParaRPr lang="en-US" sz="1100"/>
          </a:p>
        </xdr:txBody>
      </xdr:sp>
      <xdr:graphicFrame macro="">
        <xdr:nvGraphicFramePr>
          <xdr:cNvPr id="11" name="Chart 10">
            <a:extLst>
              <a:ext uri="{FF2B5EF4-FFF2-40B4-BE49-F238E27FC236}">
                <a16:creationId xmlns:a16="http://schemas.microsoft.com/office/drawing/2014/main" id="{7A6B9079-EF6B-48C1-BF69-4E414A9D499D}"/>
              </a:ext>
            </a:extLst>
          </xdr:cNvPr>
          <xdr:cNvGraphicFramePr>
            <a:graphicFrameLocks/>
          </xdr:cNvGraphicFramePr>
        </xdr:nvGraphicFramePr>
        <xdr:xfrm>
          <a:off x="9921118269" y="865909"/>
          <a:ext cx="6516258" cy="348438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872837</xdr:colOff>
      <xdr:row>0</xdr:row>
      <xdr:rowOff>64344</xdr:rowOff>
    </xdr:from>
    <xdr:to>
      <xdr:col>7</xdr:col>
      <xdr:colOff>1121539</xdr:colOff>
      <xdr:row>7</xdr:row>
      <xdr:rowOff>397717</xdr:rowOff>
    </xdr:to>
    <xdr:grpSp>
      <xdr:nvGrpSpPr>
        <xdr:cNvPr id="18" name="Group 17">
          <a:extLst>
            <a:ext uri="{FF2B5EF4-FFF2-40B4-BE49-F238E27FC236}">
              <a16:creationId xmlns:a16="http://schemas.microsoft.com/office/drawing/2014/main" id="{E57DDE92-60CB-1836-5786-FE4ADCBCB2E1}"/>
            </a:ext>
          </a:extLst>
        </xdr:cNvPr>
        <xdr:cNvGrpSpPr/>
      </xdr:nvGrpSpPr>
      <xdr:grpSpPr>
        <a:xfrm>
          <a:off x="10205541890" y="64344"/>
          <a:ext cx="6344702" cy="4376638"/>
          <a:chOff x="9937260935" y="40532"/>
          <a:chExt cx="5782656" cy="4472418"/>
        </a:xfrm>
      </xdr:grpSpPr>
      <xdr:sp macro="" textlink="">
        <xdr:nvSpPr>
          <xdr:cNvPr id="15" name="Rectangle: Rounded Corners 14">
            <a:extLst>
              <a:ext uri="{FF2B5EF4-FFF2-40B4-BE49-F238E27FC236}">
                <a16:creationId xmlns:a16="http://schemas.microsoft.com/office/drawing/2014/main" id="{F92E134E-D4F3-74FD-2682-3EC3C8AB6EAE}"/>
              </a:ext>
            </a:extLst>
          </xdr:cNvPr>
          <xdr:cNvSpPr/>
        </xdr:nvSpPr>
        <xdr:spPr>
          <a:xfrm>
            <a:off x="9937260935" y="40532"/>
            <a:ext cx="5782655" cy="4472418"/>
          </a:xfrm>
          <a:prstGeom prst="roundRect">
            <a:avLst>
              <a:gd name="adj" fmla="val 2122"/>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rtl="1"/>
            <a:endParaRPr lang="en-US" sz="1100"/>
          </a:p>
        </xdr:txBody>
      </xdr:sp>
      <xdr:graphicFrame macro="">
        <xdr:nvGraphicFramePr>
          <xdr:cNvPr id="17" name="Chart 16">
            <a:extLst>
              <a:ext uri="{FF2B5EF4-FFF2-40B4-BE49-F238E27FC236}">
                <a16:creationId xmlns:a16="http://schemas.microsoft.com/office/drawing/2014/main" id="{4AC6E701-80B8-4A67-9396-8DF8481E9198}"/>
              </a:ext>
            </a:extLst>
          </xdr:cNvPr>
          <xdr:cNvGraphicFramePr>
            <a:graphicFrameLocks/>
          </xdr:cNvGraphicFramePr>
        </xdr:nvGraphicFramePr>
        <xdr:xfrm>
          <a:off x="9937293955" y="69272"/>
          <a:ext cx="5749636" cy="412172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0</xdr:col>
      <xdr:colOff>71439</xdr:colOff>
      <xdr:row>1</xdr:row>
      <xdr:rowOff>333375</xdr:rowOff>
    </xdr:from>
    <xdr:to>
      <xdr:col>1</xdr:col>
      <xdr:colOff>2729346</xdr:colOff>
      <xdr:row>4</xdr:row>
      <xdr:rowOff>261944</xdr:rowOff>
    </xdr:to>
    <mc:AlternateContent xmlns:mc="http://schemas.openxmlformats.org/markup-compatibility/2006" xmlns:sle15="http://schemas.microsoft.com/office/drawing/2012/slicer">
      <mc:Choice Requires="sle15">
        <xdr:graphicFrame macro="">
          <xdr:nvGraphicFramePr>
            <xdr:cNvPr id="19" name="نوع السيارة تفصيلي">
              <a:extLst>
                <a:ext uri="{FF2B5EF4-FFF2-40B4-BE49-F238E27FC236}">
                  <a16:creationId xmlns:a16="http://schemas.microsoft.com/office/drawing/2014/main" id="{F269D1FC-B989-DE36-490E-0D7FF0C2D81B}"/>
                </a:ext>
              </a:extLst>
            </xdr:cNvPr>
            <xdr:cNvGraphicFramePr/>
          </xdr:nvGraphicFramePr>
          <xdr:xfrm>
            <a:off x="0" y="0"/>
            <a:ext cx="0" cy="0"/>
          </xdr:xfrm>
          <a:graphic>
            <a:graphicData uri="http://schemas.microsoft.com/office/drawing/2010/slicer">
              <sle:slicer xmlns:sle="http://schemas.microsoft.com/office/drawing/2010/slicer" name="نوع السيارة تفصيلي"/>
            </a:graphicData>
          </a:graphic>
        </xdr:graphicFrame>
      </mc:Choice>
      <mc:Fallback xmlns="">
        <xdr:sp macro="" textlink="">
          <xdr:nvSpPr>
            <xdr:cNvPr id="0" name=""/>
            <xdr:cNvSpPr>
              <a:spLocks noTextEdit="1"/>
            </xdr:cNvSpPr>
          </xdr:nvSpPr>
          <xdr:spPr>
            <a:xfrm>
              <a:off x="9941211471" y="939511"/>
              <a:ext cx="3475181" cy="174697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80960</xdr:colOff>
      <xdr:row>4</xdr:row>
      <xdr:rowOff>285750</xdr:rowOff>
    </xdr:from>
    <xdr:to>
      <xdr:col>1</xdr:col>
      <xdr:colOff>2757054</xdr:colOff>
      <xdr:row>7</xdr:row>
      <xdr:rowOff>380999</xdr:rowOff>
    </xdr:to>
    <mc:AlternateContent xmlns:mc="http://schemas.openxmlformats.org/markup-compatibility/2006" xmlns:sle15="http://schemas.microsoft.com/office/drawing/2012/slicer">
      <mc:Choice Requires="sle15">
        <xdr:graphicFrame macro="">
          <xdr:nvGraphicFramePr>
            <xdr:cNvPr id="20" name="الحالة الفنية ">
              <a:extLst>
                <a:ext uri="{FF2B5EF4-FFF2-40B4-BE49-F238E27FC236}">
                  <a16:creationId xmlns:a16="http://schemas.microsoft.com/office/drawing/2014/main" id="{FBF9170F-E99B-6269-4E1A-C59958E2F47D}"/>
                </a:ext>
              </a:extLst>
            </xdr:cNvPr>
            <xdr:cNvGraphicFramePr/>
          </xdr:nvGraphicFramePr>
          <xdr:xfrm>
            <a:off x="0" y="0"/>
            <a:ext cx="0" cy="0"/>
          </xdr:xfrm>
          <a:graphic>
            <a:graphicData uri="http://schemas.microsoft.com/office/drawing/2010/slicer">
              <sle:slicer xmlns:sle="http://schemas.microsoft.com/office/drawing/2010/slicer" name="الحالة الفنية "/>
            </a:graphicData>
          </a:graphic>
        </xdr:graphicFrame>
      </mc:Choice>
      <mc:Fallback xmlns="">
        <xdr:sp macro="" textlink="">
          <xdr:nvSpPr>
            <xdr:cNvPr id="0" name=""/>
            <xdr:cNvSpPr>
              <a:spLocks noTextEdit="1"/>
            </xdr:cNvSpPr>
          </xdr:nvSpPr>
          <xdr:spPr>
            <a:xfrm>
              <a:off x="9941187660" y="2710295"/>
              <a:ext cx="3489470" cy="18097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95249</xdr:colOff>
      <xdr:row>0</xdr:row>
      <xdr:rowOff>71438</xdr:rowOff>
    </xdr:from>
    <xdr:to>
      <xdr:col>2</xdr:col>
      <xdr:colOff>845127</xdr:colOff>
      <xdr:row>1</xdr:row>
      <xdr:rowOff>285750</xdr:rowOff>
    </xdr:to>
    <xdr:sp macro="" textlink="">
      <xdr:nvSpPr>
        <xdr:cNvPr id="21" name="Rectangle: Rounded Corners 20">
          <a:extLst>
            <a:ext uri="{FF2B5EF4-FFF2-40B4-BE49-F238E27FC236}">
              <a16:creationId xmlns:a16="http://schemas.microsoft.com/office/drawing/2014/main" id="{46CB0EC8-D2D4-7EA1-E295-58AEEC1DFC4A}"/>
            </a:ext>
          </a:extLst>
        </xdr:cNvPr>
        <xdr:cNvSpPr/>
      </xdr:nvSpPr>
      <xdr:spPr>
        <a:xfrm>
          <a:off x="10226067710" y="71438"/>
          <a:ext cx="3603914" cy="810057"/>
        </a:xfrm>
        <a:prstGeom prst="roundRect">
          <a:avLst/>
        </a:prstGeom>
        <a:solidFill>
          <a:schemeClr val="tx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r" rtl="1"/>
          <a:r>
            <a:rPr lang="ar-SA" sz="2400">
              <a:latin typeface="Frutiger LT Arabic 55 Roman" panose="01000000000000000000" pitchFamily="2" charset="-78"/>
              <a:cs typeface="Frutiger LT Arabic 55 Roman" panose="01000000000000000000" pitchFamily="2" charset="-78"/>
            </a:rPr>
            <a:t> البحث</a:t>
          </a:r>
          <a:endParaRPr lang="en-US" sz="2400">
            <a:latin typeface="Frutiger LT Arabic 55 Roman" panose="01000000000000000000" pitchFamily="2" charset="-78"/>
            <a:cs typeface="Frutiger LT Arabic 55 Roman" panose="01000000000000000000" pitchFamily="2" charset="-78"/>
          </a:endParaRPr>
        </a:p>
      </xdr:txBody>
    </xdr:sp>
    <xdr:clientData/>
  </xdr:twoCellAnchor>
  <xdr:twoCellAnchor editAs="oneCell">
    <xdr:from>
      <xdr:col>1</xdr:col>
      <xdr:colOff>1647391</xdr:colOff>
      <xdr:row>0</xdr:row>
      <xdr:rowOff>190499</xdr:rowOff>
    </xdr:from>
    <xdr:to>
      <xdr:col>1</xdr:col>
      <xdr:colOff>2356138</xdr:colOff>
      <xdr:row>1</xdr:row>
      <xdr:rowOff>238124</xdr:rowOff>
    </xdr:to>
    <xdr:pic>
      <xdr:nvPicPr>
        <xdr:cNvPr id="23" name="Graphic 22" descr="Magnifying glass with solid fill">
          <a:extLst>
            <a:ext uri="{FF2B5EF4-FFF2-40B4-BE49-F238E27FC236}">
              <a16:creationId xmlns:a16="http://schemas.microsoft.com/office/drawing/2014/main" id="{AC28A30B-DBA1-7BF3-3CD4-D81601160D5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41324762" y="190499"/>
          <a:ext cx="642938" cy="653761"/>
        </a:xfrm>
        <a:prstGeom prst="rect">
          <a:avLst/>
        </a:prstGeom>
      </xdr:spPr>
    </xdr:pic>
    <xdr:clientData/>
  </xdr:twoCellAnchor>
  <xdr:twoCellAnchor editAs="absolute">
    <xdr:from>
      <xdr:col>31</xdr:col>
      <xdr:colOff>351479</xdr:colOff>
      <xdr:row>0</xdr:row>
      <xdr:rowOff>65115</xdr:rowOff>
    </xdr:from>
    <xdr:to>
      <xdr:col>34</xdr:col>
      <xdr:colOff>309915</xdr:colOff>
      <xdr:row>4</xdr:row>
      <xdr:rowOff>149108</xdr:rowOff>
    </xdr:to>
    <mc:AlternateContent xmlns:mc="http://schemas.openxmlformats.org/markup-compatibility/2006" xmlns:sle15="http://schemas.microsoft.com/office/drawing/2012/slicer">
      <mc:Choice Requires="sle15">
        <xdr:graphicFrame macro="">
          <xdr:nvGraphicFramePr>
            <xdr:cNvPr id="10" name="نوع السيارة تفصيلي 1">
              <a:extLst>
                <a:ext uri="{FF2B5EF4-FFF2-40B4-BE49-F238E27FC236}">
                  <a16:creationId xmlns:a16="http://schemas.microsoft.com/office/drawing/2014/main" id="{94779A2B-4862-4874-94C4-49725E1B9085}"/>
                </a:ext>
              </a:extLst>
            </xdr:cNvPr>
            <xdr:cNvGraphicFramePr/>
          </xdr:nvGraphicFramePr>
          <xdr:xfrm>
            <a:off x="0" y="0"/>
            <a:ext cx="0" cy="0"/>
          </xdr:xfrm>
          <a:graphic>
            <a:graphicData uri="http://schemas.microsoft.com/office/drawing/2010/slicer">
              <sle:slicer xmlns:sle="http://schemas.microsoft.com/office/drawing/2010/slicer" name="نوع السيارة تفصيلي 1"/>
            </a:graphicData>
          </a:graphic>
        </xdr:graphicFrame>
      </mc:Choice>
      <mc:Fallback xmlns="">
        <xdr:sp macro="" textlink="">
          <xdr:nvSpPr>
            <xdr:cNvPr id="0" name=""/>
            <xdr:cNvSpPr>
              <a:spLocks noTextEdit="1"/>
            </xdr:cNvSpPr>
          </xdr:nvSpPr>
          <xdr:spPr>
            <a:xfrm>
              <a:off x="10193171903" y="65115"/>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34</xdr:col>
      <xdr:colOff>437377</xdr:colOff>
      <xdr:row>0</xdr:row>
      <xdr:rowOff>74121</xdr:rowOff>
    </xdr:from>
    <xdr:to>
      <xdr:col>37</xdr:col>
      <xdr:colOff>395814</xdr:colOff>
      <xdr:row>4</xdr:row>
      <xdr:rowOff>158114</xdr:rowOff>
    </xdr:to>
    <mc:AlternateContent xmlns:mc="http://schemas.openxmlformats.org/markup-compatibility/2006" xmlns:sle15="http://schemas.microsoft.com/office/drawing/2012/slicer">
      <mc:Choice Requires="sle15">
        <xdr:graphicFrame macro="">
          <xdr:nvGraphicFramePr>
            <xdr:cNvPr id="22" name="رقم اللوحة كامل">
              <a:extLst>
                <a:ext uri="{FF2B5EF4-FFF2-40B4-BE49-F238E27FC236}">
                  <a16:creationId xmlns:a16="http://schemas.microsoft.com/office/drawing/2014/main" id="{2CF6E6C1-7680-B518-6CCD-2B732D755587}"/>
                </a:ext>
              </a:extLst>
            </xdr:cNvPr>
            <xdr:cNvGraphicFramePr/>
          </xdr:nvGraphicFramePr>
          <xdr:xfrm>
            <a:off x="0" y="0"/>
            <a:ext cx="0" cy="0"/>
          </xdr:xfrm>
          <a:graphic>
            <a:graphicData uri="http://schemas.microsoft.com/office/drawing/2010/slicer">
              <sle:slicer xmlns:sle="http://schemas.microsoft.com/office/drawing/2010/slicer" name="رقم اللوحة كامل"/>
            </a:graphicData>
          </a:graphic>
        </xdr:graphicFrame>
      </mc:Choice>
      <mc:Fallback xmlns="">
        <xdr:sp macro="" textlink="">
          <xdr:nvSpPr>
            <xdr:cNvPr id="0" name=""/>
            <xdr:cNvSpPr>
              <a:spLocks noTextEdit="1"/>
            </xdr:cNvSpPr>
          </xdr:nvSpPr>
          <xdr:spPr>
            <a:xfrm>
              <a:off x="10191215641" y="74121"/>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34</xdr:col>
      <xdr:colOff>446382</xdr:colOff>
      <xdr:row>4</xdr:row>
      <xdr:rowOff>263236</xdr:rowOff>
    </xdr:from>
    <xdr:to>
      <xdr:col>37</xdr:col>
      <xdr:colOff>404819</xdr:colOff>
      <xdr:row>9</xdr:row>
      <xdr:rowOff>42429</xdr:rowOff>
    </xdr:to>
    <mc:AlternateContent xmlns:mc="http://schemas.openxmlformats.org/markup-compatibility/2006" xmlns:sle15="http://schemas.microsoft.com/office/drawing/2012/slicer">
      <mc:Choice Requires="sle15">
        <xdr:graphicFrame macro="">
          <xdr:nvGraphicFramePr>
            <xdr:cNvPr id="24" name="الموديل ">
              <a:extLst>
                <a:ext uri="{FF2B5EF4-FFF2-40B4-BE49-F238E27FC236}">
                  <a16:creationId xmlns:a16="http://schemas.microsoft.com/office/drawing/2014/main" id="{D659DEBA-F4A1-CEB1-C7C6-124EC876B925}"/>
                </a:ext>
              </a:extLst>
            </xdr:cNvPr>
            <xdr:cNvGraphicFramePr/>
          </xdr:nvGraphicFramePr>
          <xdr:xfrm>
            <a:off x="0" y="0"/>
            <a:ext cx="0" cy="0"/>
          </xdr:xfrm>
          <a:graphic>
            <a:graphicData uri="http://schemas.microsoft.com/office/drawing/2010/slicer">
              <sle:slicer xmlns:sle="http://schemas.microsoft.com/office/drawing/2010/slicer" name="الموديل "/>
            </a:graphicData>
          </a:graphic>
        </xdr:graphicFrame>
      </mc:Choice>
      <mc:Fallback xmlns="">
        <xdr:sp macro="" textlink="">
          <xdr:nvSpPr>
            <xdr:cNvPr id="0" name=""/>
            <xdr:cNvSpPr>
              <a:spLocks noTextEdit="1"/>
            </xdr:cNvSpPr>
          </xdr:nvSpPr>
          <xdr:spPr>
            <a:xfrm>
              <a:off x="10191206636" y="2646218"/>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31</xdr:col>
      <xdr:colOff>413825</xdr:colOff>
      <xdr:row>4</xdr:row>
      <xdr:rowOff>175259</xdr:rowOff>
    </xdr:from>
    <xdr:to>
      <xdr:col>34</xdr:col>
      <xdr:colOff>372261</xdr:colOff>
      <xdr:row>8</xdr:row>
      <xdr:rowOff>453216</xdr:rowOff>
    </xdr:to>
    <mc:AlternateContent xmlns:mc="http://schemas.openxmlformats.org/markup-compatibility/2006" xmlns:sle15="http://schemas.microsoft.com/office/drawing/2012/slicer">
      <mc:Choice Requires="sle15">
        <xdr:graphicFrame macro="">
          <xdr:nvGraphicFramePr>
            <xdr:cNvPr id="25" name="اللون">
              <a:extLst>
                <a:ext uri="{FF2B5EF4-FFF2-40B4-BE49-F238E27FC236}">
                  <a16:creationId xmlns:a16="http://schemas.microsoft.com/office/drawing/2014/main" id="{BC6D7F39-A275-3532-A83C-48F772E31B55}"/>
                </a:ext>
              </a:extLst>
            </xdr:cNvPr>
            <xdr:cNvGraphicFramePr/>
          </xdr:nvGraphicFramePr>
          <xdr:xfrm>
            <a:off x="0" y="0"/>
            <a:ext cx="0" cy="0"/>
          </xdr:xfrm>
          <a:graphic>
            <a:graphicData uri="http://schemas.microsoft.com/office/drawing/2010/slicer">
              <sle:slicer xmlns:sle="http://schemas.microsoft.com/office/drawing/2010/slicer" name="اللون"/>
            </a:graphicData>
          </a:graphic>
        </xdr:graphicFrame>
      </mc:Choice>
      <mc:Fallback xmlns="">
        <xdr:sp macro="" textlink="">
          <xdr:nvSpPr>
            <xdr:cNvPr id="0" name=""/>
            <xdr:cNvSpPr>
              <a:spLocks noTextEdit="1"/>
            </xdr:cNvSpPr>
          </xdr:nvSpPr>
          <xdr:spPr>
            <a:xfrm>
              <a:off x="10193109557" y="2558241"/>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31</xdr:col>
      <xdr:colOff>408974</xdr:colOff>
      <xdr:row>9</xdr:row>
      <xdr:rowOff>45718</xdr:rowOff>
    </xdr:from>
    <xdr:to>
      <xdr:col>34</xdr:col>
      <xdr:colOff>367410</xdr:colOff>
      <xdr:row>14</xdr:row>
      <xdr:rowOff>323675</xdr:rowOff>
    </xdr:to>
    <mc:AlternateContent xmlns:mc="http://schemas.openxmlformats.org/markup-compatibility/2006" xmlns:sle15="http://schemas.microsoft.com/office/drawing/2012/slicer">
      <mc:Choice Requires="sle15">
        <xdr:graphicFrame macro="">
          <xdr:nvGraphicFramePr>
            <xdr:cNvPr id="26" name="نوع السيارة عام">
              <a:extLst>
                <a:ext uri="{FF2B5EF4-FFF2-40B4-BE49-F238E27FC236}">
                  <a16:creationId xmlns:a16="http://schemas.microsoft.com/office/drawing/2014/main" id="{E0154A54-97E3-F593-8D4F-71525D810FA2}"/>
                </a:ext>
              </a:extLst>
            </xdr:cNvPr>
            <xdr:cNvGraphicFramePr/>
          </xdr:nvGraphicFramePr>
          <xdr:xfrm>
            <a:off x="0" y="0"/>
            <a:ext cx="0" cy="0"/>
          </xdr:xfrm>
          <a:graphic>
            <a:graphicData uri="http://schemas.microsoft.com/office/drawing/2010/slicer">
              <sle:slicer xmlns:sle="http://schemas.microsoft.com/office/drawing/2010/slicer" name="نوع السيارة عام"/>
            </a:graphicData>
          </a:graphic>
        </xdr:graphicFrame>
      </mc:Choice>
      <mc:Fallback xmlns="">
        <xdr:sp macro="" textlink="">
          <xdr:nvSpPr>
            <xdr:cNvPr id="0" name=""/>
            <xdr:cNvSpPr>
              <a:spLocks noTextEdit="1"/>
            </xdr:cNvSpPr>
          </xdr:nvSpPr>
          <xdr:spPr>
            <a:xfrm>
              <a:off x="10193114408" y="5116482"/>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19</xdr:col>
      <xdr:colOff>140961</xdr:colOff>
      <xdr:row>9</xdr:row>
      <xdr:rowOff>96288</xdr:rowOff>
    </xdr:from>
    <xdr:to>
      <xdr:col>22</xdr:col>
      <xdr:colOff>99397</xdr:colOff>
      <xdr:row>15</xdr:row>
      <xdr:rowOff>27882</xdr:rowOff>
    </xdr:to>
    <mc:AlternateContent xmlns:mc="http://schemas.openxmlformats.org/markup-compatibility/2006" xmlns:sle15="http://schemas.microsoft.com/office/drawing/2012/slicer">
      <mc:Choice Requires="sle15">
        <xdr:graphicFrame macro="">
          <xdr:nvGraphicFramePr>
            <xdr:cNvPr id="27" name="رقم الشاصية ">
              <a:extLst>
                <a:ext uri="{FF2B5EF4-FFF2-40B4-BE49-F238E27FC236}">
                  <a16:creationId xmlns:a16="http://schemas.microsoft.com/office/drawing/2014/main" id="{CF2D1DC2-3291-1452-BD6D-6C0469FFB7C4}"/>
                </a:ext>
              </a:extLst>
            </xdr:cNvPr>
            <xdr:cNvGraphicFramePr/>
          </xdr:nvGraphicFramePr>
          <xdr:xfrm>
            <a:off x="0" y="0"/>
            <a:ext cx="0" cy="0"/>
          </xdr:xfrm>
          <a:graphic>
            <a:graphicData uri="http://schemas.microsoft.com/office/drawing/2010/slicer">
              <sle:slicer xmlns:sle="http://schemas.microsoft.com/office/drawing/2010/slicer" name="رقم الشاصية "/>
            </a:graphicData>
          </a:graphic>
        </xdr:graphicFrame>
      </mc:Choice>
      <mc:Fallback xmlns="">
        <xdr:sp macro="" textlink="">
          <xdr:nvSpPr>
            <xdr:cNvPr id="0" name=""/>
            <xdr:cNvSpPr>
              <a:spLocks noTextEdit="1"/>
            </xdr:cNvSpPr>
          </xdr:nvSpPr>
          <xdr:spPr>
            <a:xfrm>
              <a:off x="10200863876" y="5167052"/>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19</xdr:col>
      <xdr:colOff>163805</xdr:colOff>
      <xdr:row>4</xdr:row>
      <xdr:rowOff>229981</xdr:rowOff>
    </xdr:from>
    <xdr:to>
      <xdr:col>22</xdr:col>
      <xdr:colOff>122241</xdr:colOff>
      <xdr:row>9</xdr:row>
      <xdr:rowOff>9174</xdr:rowOff>
    </xdr:to>
    <mc:AlternateContent xmlns:mc="http://schemas.openxmlformats.org/markup-compatibility/2006" xmlns:sle15="http://schemas.microsoft.com/office/drawing/2012/slicer">
      <mc:Choice Requires="sle15">
        <xdr:graphicFrame macro="">
          <xdr:nvGraphicFramePr>
            <xdr:cNvPr id="28" name="الجهة عام">
              <a:extLst>
                <a:ext uri="{FF2B5EF4-FFF2-40B4-BE49-F238E27FC236}">
                  <a16:creationId xmlns:a16="http://schemas.microsoft.com/office/drawing/2014/main" id="{57828D70-67AE-203E-19CB-2AD1CD566661}"/>
                </a:ext>
              </a:extLst>
            </xdr:cNvPr>
            <xdr:cNvGraphicFramePr/>
          </xdr:nvGraphicFramePr>
          <xdr:xfrm>
            <a:off x="0" y="0"/>
            <a:ext cx="0" cy="0"/>
          </xdr:xfrm>
          <a:graphic>
            <a:graphicData uri="http://schemas.microsoft.com/office/drawing/2010/slicer">
              <sle:slicer xmlns:sle="http://schemas.microsoft.com/office/drawing/2010/slicer" name="الجهة عام"/>
            </a:graphicData>
          </a:graphic>
        </xdr:graphicFrame>
      </mc:Choice>
      <mc:Fallback xmlns="">
        <xdr:sp macro="" textlink="">
          <xdr:nvSpPr>
            <xdr:cNvPr id="0" name=""/>
            <xdr:cNvSpPr>
              <a:spLocks noTextEdit="1"/>
            </xdr:cNvSpPr>
          </xdr:nvSpPr>
          <xdr:spPr>
            <a:xfrm>
              <a:off x="10200841032" y="2612963"/>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19</xdr:col>
      <xdr:colOff>158972</xdr:colOff>
      <xdr:row>0</xdr:row>
      <xdr:rowOff>45026</xdr:rowOff>
    </xdr:from>
    <xdr:to>
      <xdr:col>22</xdr:col>
      <xdr:colOff>117408</xdr:colOff>
      <xdr:row>4</xdr:row>
      <xdr:rowOff>129019</xdr:rowOff>
    </xdr:to>
    <mc:AlternateContent xmlns:mc="http://schemas.openxmlformats.org/markup-compatibility/2006" xmlns:sle15="http://schemas.microsoft.com/office/drawing/2012/slicer">
      <mc:Choice Requires="sle15">
        <xdr:graphicFrame macro="">
          <xdr:nvGraphicFramePr>
            <xdr:cNvPr id="29" name="الجهة تفصيلي (تنطيق الاوراكل)">
              <a:extLst>
                <a:ext uri="{FF2B5EF4-FFF2-40B4-BE49-F238E27FC236}">
                  <a16:creationId xmlns:a16="http://schemas.microsoft.com/office/drawing/2014/main" id="{4D6FBDA4-2DC1-CD10-CC98-94BE5E708774}"/>
                </a:ext>
              </a:extLst>
            </xdr:cNvPr>
            <xdr:cNvGraphicFramePr/>
          </xdr:nvGraphicFramePr>
          <xdr:xfrm>
            <a:off x="0" y="0"/>
            <a:ext cx="0" cy="0"/>
          </xdr:xfrm>
          <a:graphic>
            <a:graphicData uri="http://schemas.microsoft.com/office/drawing/2010/slicer">
              <sle:slicer xmlns:sle="http://schemas.microsoft.com/office/drawing/2010/slicer" name="الجهة تفصيلي (تنطيق الاوراكل)"/>
            </a:graphicData>
          </a:graphic>
        </xdr:graphicFrame>
      </mc:Choice>
      <mc:Fallback xmlns="">
        <xdr:sp macro="" textlink="">
          <xdr:nvSpPr>
            <xdr:cNvPr id="0" name=""/>
            <xdr:cNvSpPr>
              <a:spLocks noTextEdit="1"/>
            </xdr:cNvSpPr>
          </xdr:nvSpPr>
          <xdr:spPr>
            <a:xfrm>
              <a:off x="10200845865" y="45026"/>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28</xdr:col>
      <xdr:colOff>320377</xdr:colOff>
      <xdr:row>0</xdr:row>
      <xdr:rowOff>40179</xdr:rowOff>
    </xdr:from>
    <xdr:to>
      <xdr:col>31</xdr:col>
      <xdr:colOff>278813</xdr:colOff>
      <xdr:row>4</xdr:row>
      <xdr:rowOff>124172</xdr:rowOff>
    </xdr:to>
    <mc:AlternateContent xmlns:mc="http://schemas.openxmlformats.org/markup-compatibility/2006" xmlns:sle15="http://schemas.microsoft.com/office/drawing/2012/slicer">
      <mc:Choice Requires="sle15">
        <xdr:graphicFrame macro="">
          <xdr:nvGraphicFramePr>
            <xdr:cNvPr id="30" name="الموقع الالية الحالي">
              <a:extLst>
                <a:ext uri="{FF2B5EF4-FFF2-40B4-BE49-F238E27FC236}">
                  <a16:creationId xmlns:a16="http://schemas.microsoft.com/office/drawing/2014/main" id="{93FE220B-4982-D356-BA7E-32B3605C24ED}"/>
                </a:ext>
              </a:extLst>
            </xdr:cNvPr>
            <xdr:cNvGraphicFramePr/>
          </xdr:nvGraphicFramePr>
          <xdr:xfrm>
            <a:off x="0" y="0"/>
            <a:ext cx="0" cy="0"/>
          </xdr:xfrm>
          <a:graphic>
            <a:graphicData uri="http://schemas.microsoft.com/office/drawing/2010/slicer">
              <sle:slicer xmlns:sle="http://schemas.microsoft.com/office/drawing/2010/slicer" name="الموقع الالية الحالي"/>
            </a:graphicData>
          </a:graphic>
        </xdr:graphicFrame>
      </mc:Choice>
      <mc:Fallback xmlns="">
        <xdr:sp macro="" textlink="">
          <xdr:nvSpPr>
            <xdr:cNvPr id="0" name=""/>
            <xdr:cNvSpPr>
              <a:spLocks noTextEdit="1"/>
            </xdr:cNvSpPr>
          </xdr:nvSpPr>
          <xdr:spPr>
            <a:xfrm>
              <a:off x="10195073369" y="40179"/>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28</xdr:col>
      <xdr:colOff>329383</xdr:colOff>
      <xdr:row>4</xdr:row>
      <xdr:rowOff>201584</xdr:rowOff>
    </xdr:from>
    <xdr:to>
      <xdr:col>31</xdr:col>
      <xdr:colOff>287819</xdr:colOff>
      <xdr:row>9</xdr:row>
      <xdr:rowOff>10618</xdr:rowOff>
    </xdr:to>
    <mc:AlternateContent xmlns:mc="http://schemas.openxmlformats.org/markup-compatibility/2006" xmlns:sle15="http://schemas.microsoft.com/office/drawing/2012/slicer">
      <mc:Choice Requires="sle15">
        <xdr:graphicFrame macro="">
          <xdr:nvGraphicFramePr>
            <xdr:cNvPr id="31" name="الحالة الفنية  1">
              <a:extLst>
                <a:ext uri="{FF2B5EF4-FFF2-40B4-BE49-F238E27FC236}">
                  <a16:creationId xmlns:a16="http://schemas.microsoft.com/office/drawing/2014/main" id="{8849409F-F48F-DECD-0E7C-E77813995614}"/>
                </a:ext>
              </a:extLst>
            </xdr:cNvPr>
            <xdr:cNvGraphicFramePr/>
          </xdr:nvGraphicFramePr>
          <xdr:xfrm>
            <a:off x="0" y="0"/>
            <a:ext cx="0" cy="0"/>
          </xdr:xfrm>
          <a:graphic>
            <a:graphicData uri="http://schemas.microsoft.com/office/drawing/2010/slicer">
              <sle:slicer xmlns:sle="http://schemas.microsoft.com/office/drawing/2010/slicer" name="الحالة الفنية  1"/>
            </a:graphicData>
          </a:graphic>
        </xdr:graphicFrame>
      </mc:Choice>
      <mc:Fallback xmlns="">
        <xdr:sp macro="" textlink="">
          <xdr:nvSpPr>
            <xdr:cNvPr id="0" name=""/>
            <xdr:cNvSpPr>
              <a:spLocks noTextEdit="1"/>
            </xdr:cNvSpPr>
          </xdr:nvSpPr>
          <xdr:spPr>
            <a:xfrm>
              <a:off x="10195064363" y="2584566"/>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28</xdr:col>
      <xdr:colOff>324534</xdr:colOff>
      <xdr:row>9</xdr:row>
      <xdr:rowOff>72043</xdr:rowOff>
    </xdr:from>
    <xdr:to>
      <xdr:col>31</xdr:col>
      <xdr:colOff>282970</xdr:colOff>
      <xdr:row>15</xdr:row>
      <xdr:rowOff>0</xdr:rowOff>
    </xdr:to>
    <mc:AlternateContent xmlns:mc="http://schemas.openxmlformats.org/markup-compatibility/2006" xmlns:sle15="http://schemas.microsoft.com/office/drawing/2012/slicer">
      <mc:Choice Requires="sle15">
        <xdr:graphicFrame macro="">
          <xdr:nvGraphicFramePr>
            <xdr:cNvPr id="32" name="نوع العطل">
              <a:extLst>
                <a:ext uri="{FF2B5EF4-FFF2-40B4-BE49-F238E27FC236}">
                  <a16:creationId xmlns:a16="http://schemas.microsoft.com/office/drawing/2014/main" id="{4F3055B0-E4D4-1D93-6025-CB161D805D96}"/>
                </a:ext>
              </a:extLst>
            </xdr:cNvPr>
            <xdr:cNvGraphicFramePr/>
          </xdr:nvGraphicFramePr>
          <xdr:xfrm>
            <a:off x="0" y="0"/>
            <a:ext cx="0" cy="0"/>
          </xdr:xfrm>
          <a:graphic>
            <a:graphicData uri="http://schemas.microsoft.com/office/drawing/2010/slicer">
              <sle:slicer xmlns:sle="http://schemas.microsoft.com/office/drawing/2010/slicer" name="نوع العطل"/>
            </a:graphicData>
          </a:graphic>
        </xdr:graphicFrame>
      </mc:Choice>
      <mc:Fallback xmlns="">
        <xdr:sp macro="" textlink="">
          <xdr:nvSpPr>
            <xdr:cNvPr id="0" name=""/>
            <xdr:cNvSpPr>
              <a:spLocks noTextEdit="1"/>
            </xdr:cNvSpPr>
          </xdr:nvSpPr>
          <xdr:spPr>
            <a:xfrm>
              <a:off x="10195069212" y="5142807"/>
              <a:ext cx="1828800" cy="2463338"/>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22</xdr:col>
      <xdr:colOff>167284</xdr:colOff>
      <xdr:row>9</xdr:row>
      <xdr:rowOff>81049</xdr:rowOff>
    </xdr:from>
    <xdr:to>
      <xdr:col>25</xdr:col>
      <xdr:colOff>125720</xdr:colOff>
      <xdr:row>15</xdr:row>
      <xdr:rowOff>0</xdr:rowOff>
    </xdr:to>
    <mc:AlternateContent xmlns:mc="http://schemas.openxmlformats.org/markup-compatibility/2006" xmlns:sle15="http://schemas.microsoft.com/office/drawing/2012/slicer">
      <mc:Choice Requires="sle15">
        <xdr:graphicFrame macro="">
          <xdr:nvGraphicFramePr>
            <xdr:cNvPr id="33" name="وصف العطل">
              <a:extLst>
                <a:ext uri="{FF2B5EF4-FFF2-40B4-BE49-F238E27FC236}">
                  <a16:creationId xmlns:a16="http://schemas.microsoft.com/office/drawing/2014/main" id="{41D9B900-B1B3-9FCE-7A72-CA98DECDC8A8}"/>
                </a:ext>
              </a:extLst>
            </xdr:cNvPr>
            <xdr:cNvGraphicFramePr/>
          </xdr:nvGraphicFramePr>
          <xdr:xfrm>
            <a:off x="0" y="0"/>
            <a:ext cx="0" cy="0"/>
          </xdr:xfrm>
          <a:graphic>
            <a:graphicData uri="http://schemas.microsoft.com/office/drawing/2010/slicer">
              <sle:slicer xmlns:sle="http://schemas.microsoft.com/office/drawing/2010/slicer" name="وصف العطل"/>
            </a:graphicData>
          </a:graphic>
        </xdr:graphicFrame>
      </mc:Choice>
      <mc:Fallback xmlns="">
        <xdr:sp macro="" textlink="">
          <xdr:nvSpPr>
            <xdr:cNvPr id="0" name=""/>
            <xdr:cNvSpPr>
              <a:spLocks noTextEdit="1"/>
            </xdr:cNvSpPr>
          </xdr:nvSpPr>
          <xdr:spPr>
            <a:xfrm>
              <a:off x="10198967189" y="5151813"/>
              <a:ext cx="1828800" cy="2454332"/>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25</xdr:col>
      <xdr:colOff>245562</xdr:colOff>
      <xdr:row>9</xdr:row>
      <xdr:rowOff>90054</xdr:rowOff>
    </xdr:from>
    <xdr:to>
      <xdr:col>28</xdr:col>
      <xdr:colOff>203999</xdr:colOff>
      <xdr:row>15</xdr:row>
      <xdr:rowOff>21648</xdr:rowOff>
    </xdr:to>
    <mc:AlternateContent xmlns:mc="http://schemas.openxmlformats.org/markup-compatibility/2006" xmlns:sle15="http://schemas.microsoft.com/office/drawing/2012/slicer">
      <mc:Choice Requires="sle15">
        <xdr:graphicFrame macro="">
          <xdr:nvGraphicFramePr>
            <xdr:cNvPr id="34" name="تاريخ العطل">
              <a:extLst>
                <a:ext uri="{FF2B5EF4-FFF2-40B4-BE49-F238E27FC236}">
                  <a16:creationId xmlns:a16="http://schemas.microsoft.com/office/drawing/2014/main" id="{041C39CE-FAF4-1149-58B2-53B0E1F26EDC}"/>
                </a:ext>
              </a:extLst>
            </xdr:cNvPr>
            <xdr:cNvGraphicFramePr/>
          </xdr:nvGraphicFramePr>
          <xdr:xfrm>
            <a:off x="0" y="0"/>
            <a:ext cx="0" cy="0"/>
          </xdr:xfrm>
          <a:graphic>
            <a:graphicData uri="http://schemas.microsoft.com/office/drawing/2010/slicer">
              <sle:slicer xmlns:sle="http://schemas.microsoft.com/office/drawing/2010/slicer" name="تاريخ العطل"/>
            </a:graphicData>
          </a:graphic>
        </xdr:graphicFrame>
      </mc:Choice>
      <mc:Fallback xmlns="">
        <xdr:sp macro="" textlink="">
          <xdr:nvSpPr>
            <xdr:cNvPr id="0" name=""/>
            <xdr:cNvSpPr>
              <a:spLocks noTextEdit="1"/>
            </xdr:cNvSpPr>
          </xdr:nvSpPr>
          <xdr:spPr>
            <a:xfrm>
              <a:off x="10197018547" y="5160818"/>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22</xdr:col>
      <xdr:colOff>171441</xdr:colOff>
      <xdr:row>4</xdr:row>
      <xdr:rowOff>168333</xdr:rowOff>
    </xdr:from>
    <xdr:to>
      <xdr:col>25</xdr:col>
      <xdr:colOff>129877</xdr:colOff>
      <xdr:row>8</xdr:row>
      <xdr:rowOff>446290</xdr:rowOff>
    </xdr:to>
    <mc:AlternateContent xmlns:mc="http://schemas.openxmlformats.org/markup-compatibility/2006" xmlns:sle15="http://schemas.microsoft.com/office/drawing/2012/slicer">
      <mc:Choice Requires="sle15">
        <xdr:graphicFrame macro="">
          <xdr:nvGraphicFramePr>
            <xdr:cNvPr id="35" name="تاريخ الإصلاح">
              <a:extLst>
                <a:ext uri="{FF2B5EF4-FFF2-40B4-BE49-F238E27FC236}">
                  <a16:creationId xmlns:a16="http://schemas.microsoft.com/office/drawing/2014/main" id="{F0A9D3E1-15E8-D8F1-F415-598CE164EA07}"/>
                </a:ext>
              </a:extLst>
            </xdr:cNvPr>
            <xdr:cNvGraphicFramePr/>
          </xdr:nvGraphicFramePr>
          <xdr:xfrm>
            <a:off x="0" y="0"/>
            <a:ext cx="0" cy="0"/>
          </xdr:xfrm>
          <a:graphic>
            <a:graphicData uri="http://schemas.microsoft.com/office/drawing/2010/slicer">
              <sle:slicer xmlns:sle="http://schemas.microsoft.com/office/drawing/2010/slicer" name="تاريخ الإصلاح"/>
            </a:graphicData>
          </a:graphic>
        </xdr:graphicFrame>
      </mc:Choice>
      <mc:Fallback xmlns="">
        <xdr:sp macro="" textlink="">
          <xdr:nvSpPr>
            <xdr:cNvPr id="0" name=""/>
            <xdr:cNvSpPr>
              <a:spLocks noTextEdit="1"/>
            </xdr:cNvSpPr>
          </xdr:nvSpPr>
          <xdr:spPr>
            <a:xfrm>
              <a:off x="10198963032" y="2551315"/>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22</xdr:col>
      <xdr:colOff>180447</xdr:colOff>
      <xdr:row>0</xdr:row>
      <xdr:rowOff>38793</xdr:rowOff>
    </xdr:from>
    <xdr:to>
      <xdr:col>25</xdr:col>
      <xdr:colOff>138883</xdr:colOff>
      <xdr:row>4</xdr:row>
      <xdr:rowOff>122786</xdr:rowOff>
    </xdr:to>
    <mc:AlternateContent xmlns:mc="http://schemas.openxmlformats.org/markup-compatibility/2006" xmlns:sle15="http://schemas.microsoft.com/office/drawing/2012/slicer">
      <mc:Choice Requires="sle15">
        <xdr:graphicFrame macro="">
          <xdr:nvGraphicFramePr>
            <xdr:cNvPr id="36" name="جهة العطل">
              <a:extLst>
                <a:ext uri="{FF2B5EF4-FFF2-40B4-BE49-F238E27FC236}">
                  <a16:creationId xmlns:a16="http://schemas.microsoft.com/office/drawing/2014/main" id="{A399C695-8864-27E9-13E8-B526FBE9BB04}"/>
                </a:ext>
              </a:extLst>
            </xdr:cNvPr>
            <xdr:cNvGraphicFramePr/>
          </xdr:nvGraphicFramePr>
          <xdr:xfrm>
            <a:off x="0" y="0"/>
            <a:ext cx="0" cy="0"/>
          </xdr:xfrm>
          <a:graphic>
            <a:graphicData uri="http://schemas.microsoft.com/office/drawing/2010/slicer">
              <sle:slicer xmlns:sle="http://schemas.microsoft.com/office/drawing/2010/slicer" name="جهة العطل"/>
            </a:graphicData>
          </a:graphic>
        </xdr:graphicFrame>
      </mc:Choice>
      <mc:Fallback xmlns="">
        <xdr:sp macro="" textlink="">
          <xdr:nvSpPr>
            <xdr:cNvPr id="0" name=""/>
            <xdr:cNvSpPr>
              <a:spLocks noTextEdit="1"/>
            </xdr:cNvSpPr>
          </xdr:nvSpPr>
          <xdr:spPr>
            <a:xfrm>
              <a:off x="10198954026" y="38793"/>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25</xdr:col>
      <xdr:colOff>244869</xdr:colOff>
      <xdr:row>4</xdr:row>
      <xdr:rowOff>172488</xdr:rowOff>
    </xdr:from>
    <xdr:to>
      <xdr:col>28</xdr:col>
      <xdr:colOff>203306</xdr:colOff>
      <xdr:row>8</xdr:row>
      <xdr:rowOff>450445</xdr:rowOff>
    </xdr:to>
    <mc:AlternateContent xmlns:mc="http://schemas.openxmlformats.org/markup-compatibility/2006" xmlns:sle15="http://schemas.microsoft.com/office/drawing/2012/slicer">
      <mc:Choice Requires="sle15">
        <xdr:graphicFrame macro="">
          <xdr:nvGraphicFramePr>
            <xdr:cNvPr id="37" name="المركز">
              <a:extLst>
                <a:ext uri="{FF2B5EF4-FFF2-40B4-BE49-F238E27FC236}">
                  <a16:creationId xmlns:a16="http://schemas.microsoft.com/office/drawing/2014/main" id="{A7E284AE-F388-D1F0-E747-172177B28966}"/>
                </a:ext>
              </a:extLst>
            </xdr:cNvPr>
            <xdr:cNvGraphicFramePr/>
          </xdr:nvGraphicFramePr>
          <xdr:xfrm>
            <a:off x="0" y="0"/>
            <a:ext cx="0" cy="0"/>
          </xdr:xfrm>
          <a:graphic>
            <a:graphicData uri="http://schemas.microsoft.com/office/drawing/2010/slicer">
              <sle:slicer xmlns:sle="http://schemas.microsoft.com/office/drawing/2010/slicer" name="المركز"/>
            </a:graphicData>
          </a:graphic>
        </xdr:graphicFrame>
      </mc:Choice>
      <mc:Fallback xmlns="">
        <xdr:sp macro="" textlink="">
          <xdr:nvSpPr>
            <xdr:cNvPr id="0" name=""/>
            <xdr:cNvSpPr>
              <a:spLocks noTextEdit="1"/>
            </xdr:cNvSpPr>
          </xdr:nvSpPr>
          <xdr:spPr>
            <a:xfrm>
              <a:off x="10197019240" y="2555470"/>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25</xdr:col>
      <xdr:colOff>240020</xdr:colOff>
      <xdr:row>0</xdr:row>
      <xdr:rowOff>15240</xdr:rowOff>
    </xdr:from>
    <xdr:to>
      <xdr:col>28</xdr:col>
      <xdr:colOff>198457</xdr:colOff>
      <xdr:row>4</xdr:row>
      <xdr:rowOff>99233</xdr:rowOff>
    </xdr:to>
    <mc:AlternateContent xmlns:mc="http://schemas.openxmlformats.org/markup-compatibility/2006" xmlns:sle15="http://schemas.microsoft.com/office/drawing/2012/slicer">
      <mc:Choice Requires="sle15">
        <xdr:graphicFrame macro="">
          <xdr:nvGraphicFramePr>
            <xdr:cNvPr id="38" name="مدة العطل (بالايام)">
              <a:extLst>
                <a:ext uri="{FF2B5EF4-FFF2-40B4-BE49-F238E27FC236}">
                  <a16:creationId xmlns:a16="http://schemas.microsoft.com/office/drawing/2014/main" id="{E6D491BD-C8BE-C12A-2CF0-A7ED5C1A1F78}"/>
                </a:ext>
              </a:extLst>
            </xdr:cNvPr>
            <xdr:cNvGraphicFramePr/>
          </xdr:nvGraphicFramePr>
          <xdr:xfrm>
            <a:off x="0" y="0"/>
            <a:ext cx="0" cy="0"/>
          </xdr:xfrm>
          <a:graphic>
            <a:graphicData uri="http://schemas.microsoft.com/office/drawing/2010/slicer">
              <sle:slicer xmlns:sle="http://schemas.microsoft.com/office/drawing/2010/slicer" name="مدة العطل (بالايام)"/>
            </a:graphicData>
          </a:graphic>
        </xdr:graphicFrame>
      </mc:Choice>
      <mc:Fallback xmlns="">
        <xdr:sp macro="" textlink="">
          <xdr:nvSpPr>
            <xdr:cNvPr id="0" name=""/>
            <xdr:cNvSpPr>
              <a:spLocks noTextEdit="1"/>
            </xdr:cNvSpPr>
          </xdr:nvSpPr>
          <xdr:spPr>
            <a:xfrm>
              <a:off x="10197024089" y="15240"/>
              <a:ext cx="1828800" cy="2466975"/>
            </a:xfrm>
            <a:prstGeom prst="rect">
              <a:avLst/>
            </a:prstGeom>
            <a:solidFill>
              <a:prstClr val="white"/>
            </a:solidFill>
            <a:ln w="1">
              <a:solidFill>
                <a:prstClr val="green"/>
              </a:solidFill>
            </a:ln>
          </xdr:spPr>
          <xdr:txBody>
            <a:bodyPr vertOverflow="clip" horzOverflow="clip"/>
            <a:lstStyle/>
            <a:p>
              <a:r>
                <a:rPr lang="en-US"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سيارة_تفصيلي" xr10:uid="{C64411CB-1D01-456A-BD90-86A016E0F2DC}" sourceName="نوع السيارة تفصيلي">
  <extLst>
    <x:ext xmlns:x15="http://schemas.microsoft.com/office/spreadsheetml/2010/11/main" uri="{2F2917AC-EB37-4324-AD4E-5DD8C200BD13}">
      <x15:tableSlicerCache tableId="7"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_الفنية" xr10:uid="{FCC5DFE3-38EC-40A2-9B3B-15C07A757DE7}" sourceName="الحالة الفنية ">
  <extLst>
    <x:ext xmlns:x15="http://schemas.microsoft.com/office/spreadsheetml/2010/11/main" uri="{2F2917AC-EB37-4324-AD4E-5DD8C200BD13}">
      <x15:tableSlicerCache tableId="7"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رقم_اللوحة_كامل" xr10:uid="{92608DD9-6804-4B9F-89D8-3D1406D7C4EF}" sourceName="رقم اللوحة كامل">
  <extLst>
    <x:ext xmlns:x15="http://schemas.microsoft.com/office/spreadsheetml/2010/11/main" uri="{2F2917AC-EB37-4324-AD4E-5DD8C200BD13}">
      <x15:tableSlicerCache tableId="7"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وديل" xr10:uid="{EB5CF14E-1049-4307-9665-89AC7B7A80AF}" sourceName="الموديل ">
  <extLst>
    <x:ext xmlns:x15="http://schemas.microsoft.com/office/spreadsheetml/2010/11/main" uri="{2F2917AC-EB37-4324-AD4E-5DD8C200BD13}">
      <x15:tableSlicerCache tableId="7"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لون" xr10:uid="{4BD85448-5FD7-4194-9ACB-142961B9FCF3}" sourceName="اللون">
  <extLst>
    <x:ext xmlns:x15="http://schemas.microsoft.com/office/spreadsheetml/2010/11/main" uri="{2F2917AC-EB37-4324-AD4E-5DD8C200BD13}">
      <x15:tableSlicerCache tableId="7"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نوع_السيارة_عام" xr10:uid="{E9005587-774B-4143-B8F2-1374345372E4}" sourceName="نوع السيارة عام">
  <extLst>
    <x:ext xmlns:x15="http://schemas.microsoft.com/office/spreadsheetml/2010/11/main" uri="{2F2917AC-EB37-4324-AD4E-5DD8C200BD13}">
      <x15:tableSlicerCache tableId="7"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رقم_الشاصية" xr10:uid="{DDD0DE02-1FF5-4E16-A042-CF06645CF4C8}" sourceName="رقم الشاصية ">
  <extLst>
    <x:ext xmlns:x15="http://schemas.microsoft.com/office/spreadsheetml/2010/11/main" uri="{2F2917AC-EB37-4324-AD4E-5DD8C200BD13}">
      <x15:tableSlicerCache tableId="7" column="6"/>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جهة_عام" xr10:uid="{BA60306D-5E56-4856-8E7A-A6E16E2E0AFC}" sourceName="الجهة عام">
  <extLst>
    <x:ext xmlns:x15="http://schemas.microsoft.com/office/spreadsheetml/2010/11/main" uri="{2F2917AC-EB37-4324-AD4E-5DD8C200BD13}">
      <x15:tableSlicerCache tableId="7" column="7"/>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جهة_تفصيلي__تنطيق_الاوراكل" xr10:uid="{BFD85E35-758C-401C-AA0A-1F7ED8EFB970}" sourceName="الجهة تفصيلي (تنطيق الاوراكل)">
  <extLst>
    <x:ext xmlns:x15="http://schemas.microsoft.com/office/spreadsheetml/2010/11/main" uri="{2F2917AC-EB37-4324-AD4E-5DD8C200BD13}">
      <x15:tableSlicerCache tableId="7" column="8"/>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وقع_الالية_الحالي" xr10:uid="{59A3774C-840D-4FC7-BF73-AB9BA9CC42F0}" sourceName="الموقع الالية الحالي">
  <extLst>
    <x:ext xmlns:x15="http://schemas.microsoft.com/office/spreadsheetml/2010/11/main" uri="{2F2917AC-EB37-4324-AD4E-5DD8C200BD13}">
      <x15:tableSlicerCache tableId="7" column="9"/>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نوع_العطل" xr10:uid="{694380FB-715B-4CD9-BC64-8E558DD3CAD8}" sourceName="نوع العطل">
  <extLst>
    <x:ext xmlns:x15="http://schemas.microsoft.com/office/spreadsheetml/2010/11/main" uri="{2F2917AC-EB37-4324-AD4E-5DD8C200BD13}">
      <x15:tableSlicerCache tableId="7" column="11"/>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وصف_العطل" xr10:uid="{E6EE707C-BC05-4765-BABA-AC3897A49B58}" sourceName="وصف العطل">
  <extLst>
    <x:ext xmlns:x15="http://schemas.microsoft.com/office/spreadsheetml/2010/11/main" uri="{2F2917AC-EB37-4324-AD4E-5DD8C200BD13}">
      <x15:tableSlicerCache tableId="7" column="12"/>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تاريخ_العطل" xr10:uid="{5EAFCD0D-9B85-4FF2-94CF-7A929CC243F4}" sourceName="تاريخ العطل">
  <extLst>
    <x:ext xmlns:x15="http://schemas.microsoft.com/office/spreadsheetml/2010/11/main" uri="{2F2917AC-EB37-4324-AD4E-5DD8C200BD13}">
      <x15:tableSlicerCache tableId="7" column="13"/>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تاريخ_الإصلاح" xr10:uid="{04B5EB89-19AC-483B-A1ED-EA783EED8045}" sourceName="تاريخ الإصلاح">
  <extLst>
    <x:ext xmlns:x15="http://schemas.microsoft.com/office/spreadsheetml/2010/11/main" uri="{2F2917AC-EB37-4324-AD4E-5DD8C200BD13}">
      <x15:tableSlicerCache tableId="7" column="14"/>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جهة_العطل" xr10:uid="{B7E08FA2-1985-4A39-9510-3FB791F787A1}" sourceName="جهة العطل">
  <extLst>
    <x:ext xmlns:x15="http://schemas.microsoft.com/office/spreadsheetml/2010/11/main" uri="{2F2917AC-EB37-4324-AD4E-5DD8C200BD13}">
      <x15:tableSlicerCache tableId="7" column="15"/>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ركز" xr10:uid="{4C1C4D5E-C1B5-4CBB-B373-1B6376978552}" sourceName="المركز">
  <extLst>
    <x:ext xmlns:x15="http://schemas.microsoft.com/office/spreadsheetml/2010/11/main" uri="{2F2917AC-EB37-4324-AD4E-5DD8C200BD13}">
      <x15:tableSlicerCache tableId="7" column="16"/>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مدة_العطل__بالايام" xr10:uid="{57CA259D-561F-4EC5-BE21-ADAEFB9ECC64}" sourceName="مدة العطل (بالايام)">
  <extLst>
    <x:ext xmlns:x15="http://schemas.microsoft.com/office/spreadsheetml/2010/11/main" uri="{2F2917AC-EB37-4324-AD4E-5DD8C200BD13}">
      <x15:tableSlicerCache tableId="7" column="1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سيارة تفصيلي" xr10:uid="{72057743-2CC7-4DC0-94C1-49A9BA63B87B}" cache="Slicer_نوع_السيارة_تفصيلي" caption="نوع السيارة تفصيلي" startItem="8" columnCount="2" style="SlicerStyleDark1 2" rowHeight="324000"/>
  <slicer name="نوع السيارة تفصيلي 1" xr10:uid="{B91B677C-FDDD-4BA0-B758-1817DA366DCB}" cache="Slicer_نوع_السيارة_تفصيلي" caption="نوع السيارة تفصيلي" startItem="26" rowHeight="234950"/>
  <slicer name="الحالة الفنية " xr10:uid="{7EC0D46B-4D87-49F1-8554-7C0807EBB097}" cache="Slicer_الحالة_الفنية" caption="الحالة الفنية " columnCount="2" style="SlicerStyleDark1 2" rowHeight="241300"/>
  <slicer name="الحالة الفنية  1" xr10:uid="{35DC30F1-157E-40F8-9097-CA66F856637E}" cache="Slicer_الحالة_الفنية" caption="الحالة الفنية " style="SlicerStyleLight2" rowHeight="234950"/>
  <slicer name="رقم اللوحة كامل" xr10:uid="{E09068A9-B43D-4B24-8708-03F34E7ED15B}" cache="مقسم_طريقة_العرض_رقم_اللوحة_كامل" caption="رقم اللوحة كامل" rowHeight="234950"/>
  <slicer name="الموديل " xr10:uid="{832B6F38-CEC6-4E6B-A5C4-44CB32542864}" cache="مقسم_طريقة_العرض_الموديل" caption="الموديل " rowHeight="234950"/>
  <slicer name="اللون" xr10:uid="{C53393A8-7529-402E-8CB6-6B0BC6D2E192}" cache="مقسم_طريقة_العرض_اللون" caption="اللون" rowHeight="234950"/>
  <slicer name="نوع السيارة عام" xr10:uid="{B402FD32-8573-4CF6-A360-5AFD57822AC2}" cache="مقسم_طريقة_العرض_نوع_السيارة_عام" caption="نوع السيارة عام" rowHeight="234950"/>
  <slicer name="رقم الشاصية " xr10:uid="{6CA60361-9567-4FF1-AC6C-34C69CF65816}" cache="مقسم_طريقة_العرض_رقم_الشاصية" caption="رقم الشاصية " rowHeight="234950"/>
  <slicer name="الجهة عام" xr10:uid="{7EF1BBC8-02D0-4603-BD92-46FE26C277B4}" cache="مقسم_طريقة_العرض_الجهة_عام" caption="الجهة عام" rowHeight="234950"/>
  <slicer name="الجهة تفصيلي (تنطيق الاوراكل)" xr10:uid="{D8EAE39F-5C46-42F5-97C0-7E1E7449C863}" cache="مقسم_طريقة_العرض_الجهة_تفصيلي__تنطيق_الاوراكل" caption="الجهة تفصيلي (تنطيق الاوراكل)" rowHeight="234950"/>
  <slicer name="الموقع الالية الحالي" xr10:uid="{44C27BBA-DEC8-4A94-9752-5B82485BA7AA}" cache="مقسم_طريقة_العرض_الموقع_الالية_الحالي" caption="الموقع الالية الحالي" rowHeight="234950"/>
  <slicer name="نوع العطل" xr10:uid="{461C67E5-A4FB-4D0F-84B9-716774B9F292}" cache="مقسم_طريقة_العرض_نوع_العطل" caption="نوع العطل" rowHeight="234950"/>
  <slicer name="وصف العطل" xr10:uid="{13FFBFED-6FE8-4D32-A279-7757FB210FEB}" cache="مقسم_طريقة_العرض_وصف_العطل" caption="وصف العطل" rowHeight="234950"/>
  <slicer name="تاريخ العطل" xr10:uid="{20383D98-81DF-4060-92F3-AA0CA4F682A6}" cache="مقسم_طريقة_العرض_تاريخ_العطل" caption="تاريخ العطل" rowHeight="234950"/>
  <slicer name="تاريخ الإصلاح" xr10:uid="{D6014584-1F4B-47B1-9A01-B3A8FCFC52CF}" cache="مقسم_طريقة_العرض_تاريخ_الإصلاح" caption="تاريخ الإصلاح" rowHeight="234950"/>
  <slicer name="جهة العطل" xr10:uid="{382E7B99-E50D-46D1-A71C-1EC96216A3B2}" cache="مقسم_طريقة_العرض_جهة_العطل" caption="جهة العطل" startItem="5" rowHeight="234950"/>
  <slicer name="المركز" xr10:uid="{A7F25AF5-51DF-40E6-A9DF-E7DC11F2B11C}" cache="مقسم_طريقة_العرض_المركز" caption="المركز" rowHeight="234950"/>
  <slicer name="مدة العطل (بالايام)" xr10:uid="{B28C074F-DC55-4253-ACF8-DA52BCC77702}" cache="مقسم_طريقة_العرض_مدة_العطل__بالايام" caption="مدة العطل (بالايام)"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6014F7-1DD6-4306-BDE6-2E71188A2A87}" name="Table8" displayName="Table8" ref="A2:R1164" totalsRowShown="0" headerRowDxfId="84" dataDxfId="83">
  <autoFilter ref="A2:R1164" xr:uid="{D56014F7-1DD6-4306-BDE6-2E71188A2A87}">
    <filterColumn colId="2">
      <filters>
        <filter val="ع ص و 884"/>
      </filters>
    </filterColumn>
  </autoFilter>
  <tableColumns count="18">
    <tableColumn id="1" xr3:uid="{E1E98209-3ACF-481A-9173-F41261FC1C1C}" name="رقم الصنف" dataDxfId="82"/>
    <tableColumn id="2" xr3:uid="{5CA4DB69-83D3-4CB3-8FB2-EF11A1B88012}" name="نوع السيارة تفصيلي" dataDxfId="81"/>
    <tableColumn id="3" xr3:uid="{0284E675-CC23-4C27-986D-7A2EEA4085F3}" name="رقم اللوحة كامل" dataDxfId="80"/>
    <tableColumn id="4" xr3:uid="{54C6BB14-F43D-45D4-BEA4-879127A4734F}" name="الموديل " dataDxfId="79"/>
    <tableColumn id="5" xr3:uid="{D40835F1-3D0E-467E-9AA6-D2BECCBCF3ED}" name="اللون" dataDxfId="78"/>
    <tableColumn id="6" xr3:uid="{5337B100-E3AA-4864-B8C0-F786E353F81F}" name="نوع السيارة عام" dataDxfId="77"/>
    <tableColumn id="7" xr3:uid="{B6E4F196-3595-43E6-BA0E-AFE4FE796293}" name="رقم الشاصية " dataDxfId="76"/>
    <tableColumn id="8" xr3:uid="{BC6FFB60-C012-4E6F-AFFF-94D9FFFC666F}" name="الجهة عام" dataDxfId="75"/>
    <tableColumn id="9" xr3:uid="{2B928DD4-847D-4B5A-94F9-1D5802783769}" name="الجهة تفصيلي (تنطيق الاوراكل)" dataDxfId="74"/>
    <tableColumn id="10" xr3:uid="{0AA7559A-27AC-40E3-9F7C-C50492941D11}" name="الموقع الالية الحالي" dataDxfId="73"/>
    <tableColumn id="11" xr3:uid="{F9089A09-1DEF-4996-89CA-BA5DA0D6D5C7}" name="الحالة الفنية " dataDxfId="72"/>
    <tableColumn id="12" xr3:uid="{864D3266-FFD9-4A85-9CA9-EF0D67319373}" name="نوع العطل" dataDxfId="71"/>
    <tableColumn id="13" xr3:uid="{38ED9E9C-D7C7-4028-A6F8-DB076270AD5A}" name="وصف العطل" dataDxfId="70"/>
    <tableColumn id="14" xr3:uid="{EAE44BAB-8220-4FF7-B300-298CFB06BBF5}" name="تاريخ العطل" dataDxfId="69"/>
    <tableColumn id="15" xr3:uid="{BFF610A1-D511-4B7A-83ED-E7F65AEFCC2B}" name="تاريخ الإصلاح" dataDxfId="68"/>
    <tableColumn id="16" xr3:uid="{E53033FB-680B-4995-8550-D631D34CF7A8}" name="جهة العطل" dataDxfId="67"/>
    <tableColumn id="17" xr3:uid="{FBBE8605-0E8F-4DCE-B4E1-760BE680951D}" name="المركز" dataDxfId="66"/>
    <tableColumn id="18" xr3:uid="{07313041-D50A-497C-8CDB-5923D09C7C65}" name="ملاحظة" dataDxfId="6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4A45F8-2AF9-4EDC-B602-0B5ECE18522D}" name="Table7" displayName="Table7" ref="B12:S565" totalsRowShown="0" headerRowDxfId="64" dataDxfId="63" tableBorderDxfId="62">
  <autoFilter ref="B12:S565" xr:uid="{6B4A45F8-2AF9-4EDC-B602-0B5ECE1852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47EE94D6-A90F-43A4-B12B-0E452301E995}" name="نوع السيارة تفصيلي" dataDxfId="61">
      <calculatedColumnFormula array="1">IF(
   OR(A13="", $B$9="", $B$10="", $B$11=""),
   "",
   _xlfn.LET(
      _xlpm.result,
      IFERROR(
         _xlfn.XLOOKUP(
            1,
            (Table8[رقم الصنف]=A13) *
            (IF($B$9="الكل",1, YEAR('ادخال البيانات'!$N$3:$N$1164) = VALUE($B$9))) *
            (IF($B$10="الكل",1, MONTH('ادخال البيانات'!$N$3:$N$1164) = VALUE($B$10))) *
            (IF($B$11="الكل",1, INT((DAY('ادخال البيانات'!$N$3:$N$1164) - 1) / 7) + 1 = VALUE($B$11))),
            'ادخال البيانات'!$B$3:$B$1164
         ),
         ""
      ),
      IF(_xlpm.result="", "", _xlpm.result)
   )
)</calculatedColumnFormula>
    </tableColumn>
    <tableColumn id="2" xr3:uid="{BF3AA94E-8FBF-440A-AFB5-6B001BC0B3AE}" name="رقم اللوحة كامل" dataDxfId="60">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البيانات'!$N$3:$N$1164)-1)/7)+1 = VALUE($B$11))),
            'ادخال البيانات'!$C$3:$C$1164
         ),
         ""
      ),
      IF(_xlpm.result="", "", _xlpm.result)
   )
)</calculatedColumnFormula>
    </tableColumn>
    <tableColumn id="3" xr3:uid="{A16893A4-DD2B-49B0-9B10-DFA496086FEB}" name="الموديل " dataDxfId="59">
      <calculatedColumnFormula array="1">IF(
   OR(A13="", $B$9="", $B$10="", $B$11=""),
   "",
   _xlfn.LET(
      _xlpm.result,
      IFERROR(
         _xlfn.XLOOKUP(
            1,
            (Table8[رقم الصنف]=A13) *
            (IF($B$9="الكل",1, YEAR('ادخال البيانات'!$N$3:$N$1164)=VALUE($B$9))) *
            (IF($B$10="الكل",1, MONTH('ادخال البيانات'!$N$3:$N$1164)=VALUE($B$10))) *
            (IF($B$11="الكل",1, INT((DAY('ادخال البيانات'!$N$3:$N$1164)-1)/7)+1 = VALUE($B$11))),
            'ادخال البيانات'!$D$3:$D$1164
         ),
         ""
      ),
      IF(_xlpm.result="", "", _xlpm.result)
   )
)</calculatedColumnFormula>
    </tableColumn>
    <tableColumn id="4" xr3:uid="{20FD1416-C99F-49DB-8C6A-373270C72FED}" name="اللون" dataDxfId="58">
      <calculatedColumnFormula array="1">IF(
   A13="",
   "",
   _xlfn.LET(
      _xlpm.result,
      IFERROR(
         _xlfn.XLOOKUP(
            1,
            (Table8[رقم الصنف]=A13) *
            (IF($B$9="الكل",1, YEAR('ادخال البيانات'!$N$3:$N$1164)=VALUE($B$9))) *
            (IF($B$10="الكل",1, MONTH('ادخال البيانات'!$N$3:$N$1164)=VALUE($B$10))) *
            (IF($B$11="الكل",1, INT((DAY('ادخال البيانات'!$N$3:$N$1164)-1)/7)+1 = VALUE($B$11))),
            'ادخال البيانات'!$E$3:$E$1164
         ),
         ""
      ),
      IF(_xlpm.result="", "", _xlpm.result)
   )
)</calculatedColumnFormula>
    </tableColumn>
    <tableColumn id="5" xr3:uid="{3AEAFA36-F9DB-42D1-AF32-36B751BF67B7}" name="نوع السيارة عام" dataDxfId="57">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البيانات'!$N$3:$N$1164)-1)/7)+1 = VALUE($B$11))),
            'ادخال البيانات'!$F$3:$F$1164
         ),
         ""
      ),
      IF(_xlpm.result="", "", _xlpm.result)
   )
)</calculatedColumnFormula>
    </tableColumn>
    <tableColumn id="6" xr3:uid="{DA27C637-B2AB-4186-A38A-EF0F551CB1C5}" name="رقم الشاصية " dataDxfId="56">
      <calculatedColumnFormula array="1">IF(
   A13="",
   "",
   _xlfn.LET(
      _xlpm.result,
      IFERROR(
         _xlfn.XLOOKUP(
            1,
            (Table8[رقم الصنف]=A13) *
            (IF($B$9="الكل",1, YEAR('ادخال البيانات'!$N$3:$N$1164)=VALUE($B$9))) *
            (IF($B$10="الكل",1, MONTH('ادخال البيانات'!$N$3:$N$1164)=VALUE($B$10))) *
            (IF($B$11="الكل",1, INT((DAY('ادخال البيانات'!$N$3:$N$1164)-1)/7)+1 = VALUE($B$11))),
            'ادخال البيانات'!$G$3:$G$1164
         ),
         ""
      ),
      IF(_xlpm.result="", "", _xlpm.result)
   )
)</calculatedColumnFormula>
    </tableColumn>
    <tableColumn id="7" xr3:uid="{748858B9-9950-489B-9052-7219A3428E62}" name="الجهة عام" dataDxfId="55">
      <calculatedColumnFormula array="1">IF(
   A13="",
   "",
   _xlfn.LET(
      _xlpm.result,
      IFERROR(
         _xlfn.XLOOKUP(
            1,
            (Table8[رقم الصنف]=A13) *
            (IF($B$9="الكل",1, YEAR('ادخال البيانات'!$N$3:$N$1164)=VALUE($B$9))) *
            (IF($B$10="الكل",1, MONTH('ادخال البيانات'!$N$3:$N$1164)=VALUE($B$10))) *
            (IF($B$11="الكل",1, INT((DAY('ادخال البيانات'!$N$3:$N$1164)-1)/7)+1 = VALUE($B$11))),
            'ادخال البيانات'!$H$3:$H$1164
         ),
         ""
      ),
      IF(_xlpm.result="", "", _xlpm.result)
   )
)</calculatedColumnFormula>
    </tableColumn>
    <tableColumn id="8" xr3:uid="{B664A806-B8AC-453A-ACE2-0722E85353FB}" name="الجهة تفصيلي (تنطيق الاوراكل)" dataDxfId="54">
      <calculatedColumnFormula array="1">IF(
   A13="",
   "",
   _xlfn.LET(
      _xlpm.result,
      IFERROR(
         _xlfn.XLOOKUP(
            1,
            (Table8[رقم الصنف]=A13) *
            (IF($B$9="الكل",1, YEAR('ادخال البيانات'!$N$3:$N$1164)=VALUE($B$9))) *
            (IF($B$10="الكل",1, MONTH('ادخال البيانات'!$N$3:$N$1164)=VALUE($B$10))) *
            (IF($B$11="الكل",1, INT((DAY('ادخال البيانات'!$N$3:$N$1164)-1)/7)+1 = VALUE($B$11))),
            'ادخال البيانات'!$I$3:$I$1164
         ),
         ""
      ),
      IF(_xlpm.result="", "", _xlpm.result)
   )
)</calculatedColumnFormula>
    </tableColumn>
    <tableColumn id="9" xr3:uid="{3D832CE0-6215-4628-91C6-CED44A92FFCD}" name="الموقع الالية الحالي" dataDxfId="53">
      <calculatedColumnFormula array="1">IF(
   A13="",
   "",
   _xlfn.LET(
      _xlpm.result,
      IFERROR(
         _xlfn.XLOOKUP(
            1,
            (Table8[رقم الصنف]=A13) *
            (IF($B$9="الكل",1, YEAR('ادخال البيانات'!$N$3:$N$1164)=VALUE($B$9))) *
            (IF($B$10="الكل",1, MONTH('ادخال البيانات'!$N$3:$N$1164)=VALUE($B$10))) *
            (IF($B$11="الكل",1, INT((DAY('ادخال البيانات'!$N$3:$N$1164)-1)/7)+1 = VALUE($B$11))),
            'ادخال البيانات'!$J$3:$J$1164
         ),
         ""
      ),
      IF(_xlpm.result="", "", _xlpm.result)
   )
)</calculatedColumnFormula>
    </tableColumn>
    <tableColumn id="10" xr3:uid="{9AC888F0-F7F6-410E-BC74-A01E046F78D5}" name="الحالة الفنية " dataDxfId="52">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'ادخال البيانات'!$K$3:$K$1164
         ),
         ""
      ),
      IF(_xlpm.result="", "", _xlpm.result)
   )
)</calculatedColumnFormula>
    </tableColumn>
    <tableColumn id="11" xr3:uid="{166374A4-3737-4CFB-AB9A-48CE3ED0E7A3}" name="نوع العطل" dataDxfId="51">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'ادخال البيانات'!$L$3:$L$1164
         ),
         ""
      ),
      IF(_xlpm.result="", "", _xlpm.result)
   )
)</calculatedColumnFormula>
    </tableColumn>
    <tableColumn id="12" xr3:uid="{9E3985FA-116E-4250-A82D-045D05154250}" name="وصف العطل" dataDxfId="50">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'ادخال البيانات'!$M$3:$M$1164
         ),
         ""
      ),
      IF(_xlpm.result="", "", _xlpm.result)
   )
)</calculatedColumnFormula>
    </tableColumn>
    <tableColumn id="13" xr3:uid="{9FA0181A-6731-4D66-B5E0-6B4F128A129C}" name="تاريخ العطل" dataDxfId="49">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'ادخال البيانات'!$N$3:$N$1164
         ),
         ""
      ),
      IF(_xlpm.result="", "", _xlpm.result)
   )
)</calculatedColumnFormula>
    </tableColumn>
    <tableColumn id="14" xr3:uid="{FDC24BE2-18D1-4A21-8969-F00B05B6B0DC}" name="تاريخ الإصلاح" dataDxfId="48">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'ادخال البيانات'!$O$3:$O$1164
         ),
         ""
      ),
      IF(_xlpm.result="", "", _xlpm.result)
   )
)</calculatedColumnFormula>
    </tableColumn>
    <tableColumn id="15" xr3:uid="{3DA5D050-7349-404F-BCB4-63A5780EC049}" name="جهة العطل" dataDxfId="47">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Table8[جهة العطل]
         ),
         ""
      ),
      IF(_xlpm.result="", "", _xlpm.result)
   )
)</calculatedColumnFormula>
    </tableColumn>
    <tableColumn id="16" xr3:uid="{BCD00505-ACCB-4A46-98DD-E3ED8253D857}" name="المركز" dataDxfId="46">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Table8[المركز]
         ),
         ""
      ),
      IF(_xlpm.result="", "", _xlpm.result)
   )
)</calculatedColumnFormula>
    </tableColumn>
    <tableColumn id="17" xr3:uid="{2A13B2C5-95D2-4A8A-A4DF-9B9CBBC48EC7}" name="ملاحظة" dataDxfId="45">
      <calculatedColumnFormula array="1">IF(
   A13="",
   "",
   _xlfn.LET(
      _xlpm.result,
      IFERROR(
         _xlfn.XLOOKUP(
            1,
            (Table8[رقم الصنف]=A13) *
            (IF($B$9="الكل",1, YEAR('ادخال البيانات'!$N$3:$N$1164) = VALUE($B$9))) *
            (IF($B$10="الكل",1, MONTH('ادخال البيانات'!$N$3:$N$1164) = VALUE($B$10))) *
            (IF($B$11="الكل",1, INT((DAY('ادخال البيانات'!$N$3:$N$1164) - 1) / 7) + 1 = VALUE($B$11))),
            Table8[ملاحظة]
         ),
         ""
      ),
      IF(_xlpm.result="", "", _xlpm.result)
   )
)</calculatedColumnFormula>
    </tableColumn>
    <tableColumn id="18" xr3:uid="{CEC10D2D-47C9-4D8B-9BCB-C0E4EFE8FAC7}" name="مدة العطل (بالايام)" dataDxfId="44">
      <calculatedColumnFormula>IF(
   OR(K13="تم الاصلاح", O13&lt;&gt;""),
   "تم الاصلاح",
   IF(N13="", "", TODAY()-N13)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7E0095-E234-4846-8DD6-AAAC2365E07F}" name="Table3" displayName="Table3" ref="F2:S9" totalsRowShown="0" headerRowDxfId="43" dataDxfId="41" headerRowBorderDxfId="42" tableBorderDxfId="40" totalsRowBorderDxfId="39">
  <autoFilter ref="F2:S9" xr:uid="{457E0095-E234-4846-8DD6-AAAC2365E0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482F5B34-85DB-43E1-B5FA-4B51F3FCF8D9}" name="شعبة الشاطئ" dataDxfId="38"/>
    <tableColumn id="2" xr3:uid="{78F2AC1C-C92C-4DAD-BF39-258DB232AC3F}" name="شعبة الحمدانية" dataDxfId="37"/>
    <tableColumn id="3" xr3:uid="{93B50665-8602-4E8F-A405-D49EAA0CBCAD}" name="شعبة العزيزية" dataDxfId="36"/>
    <tableColumn id="4" xr3:uid="{D525E2D4-CE23-42DC-A271-3C161D33D99D}" name="شعبة المروة" dataDxfId="35"/>
    <tableColumn id="5" xr3:uid="{62D68A2D-616A-4EBB-8237-C6EF188F6961}" name="شعبة ابحر" dataDxfId="34"/>
    <tableColumn id="6" xr3:uid="{9AF9F187-1A13-4806-8EEB-E7D6FBF4C3B6}" name="شعبة السالمية" dataDxfId="33"/>
    <tableColumn id="7" xr3:uid="{58266A83-497D-4046-900C-2CCA52B018B4}" name="شعبة الجامعة" dataDxfId="32"/>
    <tableColumn id="8" xr3:uid="{EE7911D2-B965-43B3-BA15-5E7F30098147}" name="شعبة الصناعية" dataDxfId="31"/>
    <tableColumn id="9" xr3:uid="{85629AF1-AC36-45EF-B3FC-88F8BE3FEEEB}" name="شعبة خزام" dataDxfId="30"/>
    <tableColumn id="10" xr3:uid="{680E48D2-BD91-4209-98F5-2846C855C954}" name="شعبة البغدادية" dataDxfId="29"/>
    <tableColumn id="11" xr3:uid="{4FA3C34B-2254-43F8-8D7A-FD6BFDEBAD47}" name="شعبة الساحل الجنوبي" dataDxfId="28"/>
    <tableColumn id="12" xr3:uid="{283A9C07-731E-46B4-8CB8-B180BED46742}" name="شعبة الاسكان" dataDxfId="27"/>
    <tableColumn id="13" xr3:uid="{1D55BE41-65FB-4D52-BFF9-F4DE357323F5}" name="مركز ثول الخارجي" dataDxfId="26"/>
    <tableColumn id="14" xr3:uid="{55BF6C98-8303-4CB5-94AC-25D85BCE18FF}" name="قسم الاسناد الاول والثاني والثالث"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0E60BD-8968-4DAC-9540-5907CF3D9768}" name="Table4" displayName="Table4" ref="B1:D88" totalsRowShown="0" headerRowDxfId="24" dataDxfId="22" headerRowBorderDxfId="23" tableBorderDxfId="21" totalsRowBorderDxfId="20">
  <autoFilter ref="B1:D88" xr:uid="{FE0E60BD-8968-4DAC-9540-5907CF3D9768}">
    <filterColumn colId="0" hiddenButton="1"/>
    <filterColumn colId="1" hiddenButton="1"/>
    <filterColumn colId="2" hiddenButton="1"/>
  </autoFilter>
  <tableColumns count="3">
    <tableColumn id="1" xr3:uid="{35385F92-90FD-4956-8A17-74DBE3E1C335}" name="الموقع الالية الحالي" dataDxfId="19"/>
    <tableColumn id="2" xr3:uid="{AC3BEBF1-792F-4241-ABE5-0073DA8157EA}" name="الحالة الفنية " dataDxfId="18"/>
    <tableColumn id="3" xr3:uid="{57AB64A6-5E70-4C1B-B569-0BAB67E7457C}" name="نوع العطل"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4EC04E-F911-4827-B918-2A05A1C204DF}" name="Table6" displayName="Table6" ref="A1:D64" totalsRowShown="0" headerRowDxfId="16" dataDxfId="15">
  <autoFilter ref="A1:D64" xr:uid="{804EC04E-F911-4827-B918-2A05A1C204DF}">
    <filterColumn colId="0" hiddenButton="1"/>
    <filterColumn colId="1" hiddenButton="1"/>
    <filterColumn colId="2" hiddenButton="1"/>
    <filterColumn colId="3" hiddenButton="1"/>
  </autoFilter>
  <tableColumns count="4">
    <tableColumn id="1" xr3:uid="{AFC3FB48-4E5F-48E6-9949-EA48AA26A317}" name="السنة" dataDxfId="14"/>
    <tableColumn id="2" xr3:uid="{767902D9-032E-4430-B5E6-044AD8C90D27}" name="الشهر" dataDxfId="13"/>
    <tableColumn id="3" xr3:uid="{A19C1772-B371-4F90-82C8-0C762DF10DA1}" name="الأسبوع" dataDxfId="12"/>
    <tableColumn id="4" xr3:uid="{A37B5B02-FD9F-4080-BA56-DC0C00B58FC5}" name="اليوم" dataDxfId="1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microsoft.com/office/2007/relationships/slicer" Target="../slicers/slicer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4.v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8991-CE82-48DD-8DA1-F3CE9A709282}">
  <dimension ref="A1:R1188"/>
  <sheetViews>
    <sheetView rightToLeft="1" view="pageBreakPreview" zoomScale="64" zoomScaleNormal="66" zoomScaleSheetLayoutView="70" workbookViewId="0">
      <selection activeCell="C324" sqref="C324"/>
    </sheetView>
  </sheetViews>
  <sheetFormatPr defaultColWidth="9.109375" defaultRowHeight="14.4" x14ac:dyDescent="0.3"/>
  <cols>
    <col min="1" max="1" width="14.109375" style="14" bestFit="1" customWidth="1"/>
    <col min="2" max="2" width="24.33203125" style="14" bestFit="1" customWidth="1"/>
    <col min="3" max="3" width="9.21875" style="14" bestFit="1" customWidth="1"/>
    <col min="4" max="4" width="5.33203125" style="14" bestFit="1" customWidth="1"/>
    <col min="5" max="5" width="10.21875" style="14" bestFit="1" customWidth="1"/>
    <col min="6" max="6" width="8.44140625" style="14" bestFit="1" customWidth="1"/>
    <col min="7" max="7" width="19.77734375" style="14" bestFit="1" customWidth="1"/>
    <col min="8" max="8" width="38.33203125" style="14" bestFit="1" customWidth="1"/>
    <col min="9" max="9" width="17.77734375" style="14" bestFit="1" customWidth="1"/>
    <col min="10" max="10" width="32.6640625" style="14" bestFit="1" customWidth="1"/>
    <col min="11" max="11" width="18.21875" style="14" bestFit="1" customWidth="1"/>
    <col min="12" max="12" width="13" style="14" bestFit="1" customWidth="1"/>
    <col min="13" max="13" width="41" style="14" customWidth="1"/>
    <col min="14" max="14" width="15.88671875" style="14" bestFit="1" customWidth="1"/>
    <col min="15" max="15" width="17.44140625" style="14" bestFit="1" customWidth="1"/>
    <col min="16" max="16" width="26.44140625" style="14" bestFit="1" customWidth="1"/>
    <col min="17" max="17" width="26" style="14" bestFit="1" customWidth="1"/>
    <col min="18" max="18" width="49.44140625" style="14" bestFit="1" customWidth="1"/>
    <col min="19" max="16384" width="9.109375" style="14"/>
  </cols>
  <sheetData>
    <row r="1" spans="1:18" ht="39" customHeight="1" x14ac:dyDescent="0.3">
      <c r="A1" s="125" t="s">
        <v>2058</v>
      </c>
      <c r="B1" s="125"/>
      <c r="C1" s="125"/>
      <c r="D1" s="125"/>
      <c r="E1" s="125"/>
      <c r="F1" s="125"/>
      <c r="G1" s="125"/>
      <c r="H1" s="125"/>
      <c r="I1" s="125"/>
      <c r="J1" s="125"/>
      <c r="K1" s="125"/>
      <c r="L1" s="125"/>
      <c r="M1" s="125"/>
      <c r="N1" s="125"/>
      <c r="O1" s="125"/>
      <c r="P1" s="125"/>
      <c r="Q1" s="125"/>
      <c r="R1" s="125"/>
    </row>
    <row r="2" spans="1:18" ht="39" customHeight="1" x14ac:dyDescent="0.3">
      <c r="A2" s="61" t="s">
        <v>2061</v>
      </c>
      <c r="B2" s="61" t="s">
        <v>1429</v>
      </c>
      <c r="C2" s="61" t="s">
        <v>1430</v>
      </c>
      <c r="D2" s="61" t="s">
        <v>1431</v>
      </c>
      <c r="E2" s="61" t="s">
        <v>1432</v>
      </c>
      <c r="F2" s="61" t="s">
        <v>1433</v>
      </c>
      <c r="G2" s="61" t="s">
        <v>1434</v>
      </c>
      <c r="H2" s="61" t="s">
        <v>1428</v>
      </c>
      <c r="I2" s="61" t="s">
        <v>1550</v>
      </c>
      <c r="J2" s="62" t="s">
        <v>1638</v>
      </c>
      <c r="K2" s="62" t="s">
        <v>1546</v>
      </c>
      <c r="L2" s="62" t="s">
        <v>1563</v>
      </c>
      <c r="M2" s="62" t="s">
        <v>1572</v>
      </c>
      <c r="N2" s="62" t="s">
        <v>1929</v>
      </c>
      <c r="O2" s="62" t="s">
        <v>1930</v>
      </c>
      <c r="P2" s="62" t="s">
        <v>1643</v>
      </c>
      <c r="Q2" s="62" t="s">
        <v>1986</v>
      </c>
      <c r="R2" s="63" t="s">
        <v>1985</v>
      </c>
    </row>
    <row r="3" spans="1:18" ht="27.75" hidden="1" customHeight="1" x14ac:dyDescent="0.3">
      <c r="A3" s="8">
        <v>1101700010006</v>
      </c>
      <c r="B3" s="7" t="s">
        <v>1551</v>
      </c>
      <c r="C3" s="7" t="s">
        <v>761</v>
      </c>
      <c r="D3" s="7">
        <v>2016</v>
      </c>
      <c r="E3" s="7" t="s">
        <v>19</v>
      </c>
      <c r="F3" s="7" t="s">
        <v>52</v>
      </c>
      <c r="G3" s="8" t="s">
        <v>762</v>
      </c>
      <c r="H3" s="7" t="s">
        <v>35</v>
      </c>
      <c r="I3" s="7" t="s">
        <v>760</v>
      </c>
      <c r="J3" s="2" t="s">
        <v>1487</v>
      </c>
      <c r="K3" s="11" t="s">
        <v>1912</v>
      </c>
      <c r="L3" s="2" t="s">
        <v>1565</v>
      </c>
      <c r="M3" s="2" t="s">
        <v>1956</v>
      </c>
      <c r="N3" s="2" t="s">
        <v>2448</v>
      </c>
      <c r="O3" s="2" t="s">
        <v>2474</v>
      </c>
      <c r="P3" s="2" t="s">
        <v>2034</v>
      </c>
      <c r="Q3" s="65" t="s">
        <v>2037</v>
      </c>
      <c r="R3" s="2"/>
    </row>
    <row r="4" spans="1:18" ht="27.75" hidden="1" customHeight="1" x14ac:dyDescent="0.3">
      <c r="A4" s="8">
        <v>1101700010006</v>
      </c>
      <c r="B4" s="7" t="s">
        <v>1551</v>
      </c>
      <c r="C4" s="7" t="s">
        <v>754</v>
      </c>
      <c r="D4" s="7">
        <v>2015</v>
      </c>
      <c r="E4" s="7" t="s">
        <v>19</v>
      </c>
      <c r="F4" s="7" t="s">
        <v>52</v>
      </c>
      <c r="G4" s="8" t="s">
        <v>755</v>
      </c>
      <c r="H4" s="7" t="s">
        <v>35</v>
      </c>
      <c r="I4" s="7" t="s">
        <v>753</v>
      </c>
      <c r="J4" s="2" t="s">
        <v>1513</v>
      </c>
      <c r="K4" s="11" t="s">
        <v>1912</v>
      </c>
      <c r="L4" s="2"/>
      <c r="M4" s="2"/>
      <c r="N4" s="2"/>
      <c r="O4" s="2" t="s">
        <v>2412</v>
      </c>
      <c r="P4" s="2" t="s">
        <v>1513</v>
      </c>
      <c r="Q4" s="66" t="s">
        <v>2030</v>
      </c>
      <c r="R4" s="2"/>
    </row>
    <row r="5" spans="1:18" ht="27.75" hidden="1" customHeight="1" x14ac:dyDescent="0.3">
      <c r="A5" s="8">
        <v>1104700020001</v>
      </c>
      <c r="B5" s="7" t="s">
        <v>431</v>
      </c>
      <c r="C5" s="7" t="s">
        <v>535</v>
      </c>
      <c r="D5" s="7">
        <v>2012</v>
      </c>
      <c r="E5" s="7" t="s">
        <v>433</v>
      </c>
      <c r="F5" s="7" t="s">
        <v>236</v>
      </c>
      <c r="G5" s="8" t="s">
        <v>536</v>
      </c>
      <c r="H5" s="7" t="s">
        <v>263</v>
      </c>
      <c r="I5" s="7" t="s">
        <v>534</v>
      </c>
      <c r="J5" s="2" t="s">
        <v>1531</v>
      </c>
      <c r="K5" s="11" t="s">
        <v>1912</v>
      </c>
      <c r="L5" s="2"/>
      <c r="M5" s="2" t="s">
        <v>1613</v>
      </c>
      <c r="N5" s="2" t="s">
        <v>1735</v>
      </c>
      <c r="O5" s="2" t="s">
        <v>2425</v>
      </c>
      <c r="P5" s="2" t="s">
        <v>1531</v>
      </c>
      <c r="Q5" s="65" t="s">
        <v>2019</v>
      </c>
      <c r="R5" s="2"/>
    </row>
    <row r="6" spans="1:18" ht="27.75" hidden="1" customHeight="1" x14ac:dyDescent="0.3">
      <c r="A6" s="8">
        <v>1106700020003</v>
      </c>
      <c r="B6" s="7" t="s">
        <v>54</v>
      </c>
      <c r="C6" s="7" t="s">
        <v>918</v>
      </c>
      <c r="D6" s="7">
        <v>2013</v>
      </c>
      <c r="E6" s="7" t="s">
        <v>19</v>
      </c>
      <c r="F6" s="7" t="s">
        <v>56</v>
      </c>
      <c r="G6" s="8" t="s">
        <v>919</v>
      </c>
      <c r="H6" s="7" t="s">
        <v>35</v>
      </c>
      <c r="I6" s="7" t="s">
        <v>913</v>
      </c>
      <c r="J6" s="2" t="s">
        <v>1477</v>
      </c>
      <c r="K6" s="11" t="s">
        <v>1912</v>
      </c>
      <c r="L6" s="2" t="s">
        <v>1571</v>
      </c>
      <c r="M6" s="2" t="s">
        <v>2524</v>
      </c>
      <c r="N6" s="2" t="s">
        <v>2521</v>
      </c>
      <c r="O6" s="2" t="s">
        <v>2534</v>
      </c>
      <c r="P6" s="2" t="s">
        <v>1477</v>
      </c>
      <c r="Q6" s="66" t="s">
        <v>2000</v>
      </c>
      <c r="R6" s="2"/>
    </row>
    <row r="7" spans="1:18" ht="27.75" hidden="1" customHeight="1" x14ac:dyDescent="0.3">
      <c r="A7" s="8">
        <v>1105700080001</v>
      </c>
      <c r="B7" s="7" t="s">
        <v>302</v>
      </c>
      <c r="C7" s="7" t="s">
        <v>1315</v>
      </c>
      <c r="D7" s="7">
        <v>2011</v>
      </c>
      <c r="E7" s="7" t="s">
        <v>19</v>
      </c>
      <c r="F7" s="7" t="s">
        <v>304</v>
      </c>
      <c r="G7" s="8" t="s">
        <v>1316</v>
      </c>
      <c r="H7" s="7" t="s">
        <v>263</v>
      </c>
      <c r="I7" s="7" t="s">
        <v>1225</v>
      </c>
      <c r="J7" s="2" t="s">
        <v>1544</v>
      </c>
      <c r="K7" s="11" t="s">
        <v>1912</v>
      </c>
      <c r="L7" s="2" t="s">
        <v>1565</v>
      </c>
      <c r="M7" s="2" t="s">
        <v>1611</v>
      </c>
      <c r="N7" s="2" t="s">
        <v>1612</v>
      </c>
      <c r="O7" s="2" t="s">
        <v>2477</v>
      </c>
      <c r="P7" s="2" t="s">
        <v>2053</v>
      </c>
      <c r="Q7" s="65"/>
      <c r="R7" s="2"/>
    </row>
    <row r="8" spans="1:18" ht="27.75" hidden="1" customHeight="1" x14ac:dyDescent="0.3">
      <c r="A8" s="8">
        <v>1106700010003</v>
      </c>
      <c r="B8" s="7" t="s">
        <v>102</v>
      </c>
      <c r="C8" s="7" t="s">
        <v>670</v>
      </c>
      <c r="D8" s="7">
        <v>1989</v>
      </c>
      <c r="E8" s="7" t="s">
        <v>19</v>
      </c>
      <c r="F8" s="7" t="s">
        <v>104</v>
      </c>
      <c r="G8" s="8">
        <v>40402055346001</v>
      </c>
      <c r="H8" s="7" t="s">
        <v>263</v>
      </c>
      <c r="I8" s="7" t="s">
        <v>632</v>
      </c>
      <c r="J8" s="2" t="s">
        <v>1544</v>
      </c>
      <c r="K8" s="11" t="s">
        <v>1912</v>
      </c>
      <c r="L8" s="2"/>
      <c r="M8" s="2"/>
      <c r="N8" s="2"/>
      <c r="O8" s="2" t="s">
        <v>2251</v>
      </c>
      <c r="P8" s="2" t="s">
        <v>2053</v>
      </c>
      <c r="Q8" s="66"/>
      <c r="R8" s="2"/>
    </row>
    <row r="9" spans="1:18" ht="27.75" hidden="1" customHeight="1" x14ac:dyDescent="0.3">
      <c r="A9" s="8">
        <v>1204700030001</v>
      </c>
      <c r="B9" s="7" t="s">
        <v>17</v>
      </c>
      <c r="C9" s="7" t="s">
        <v>616</v>
      </c>
      <c r="D9" s="7">
        <v>2010</v>
      </c>
      <c r="E9" s="7" t="s">
        <v>19</v>
      </c>
      <c r="F9" s="7" t="s">
        <v>384</v>
      </c>
      <c r="G9" s="8" t="s">
        <v>617</v>
      </c>
      <c r="H9" s="7" t="s">
        <v>263</v>
      </c>
      <c r="I9" s="7" t="s">
        <v>602</v>
      </c>
      <c r="J9" s="2" t="s">
        <v>1498</v>
      </c>
      <c r="K9" s="11" t="s">
        <v>1912</v>
      </c>
      <c r="L9" s="2"/>
      <c r="M9" s="2"/>
      <c r="N9" s="10"/>
      <c r="O9" s="64" t="s">
        <v>2170</v>
      </c>
      <c r="P9" s="2" t="s">
        <v>2024</v>
      </c>
      <c r="Q9" s="65" t="s">
        <v>2025</v>
      </c>
      <c r="R9" s="2"/>
    </row>
    <row r="10" spans="1:18" ht="27.75" hidden="1" customHeight="1" x14ac:dyDescent="0.3">
      <c r="A10" s="8">
        <v>1101700010006</v>
      </c>
      <c r="B10" s="7" t="s">
        <v>1551</v>
      </c>
      <c r="C10" s="7" t="s">
        <v>855</v>
      </c>
      <c r="D10" s="7">
        <v>2015</v>
      </c>
      <c r="E10" s="7" t="s">
        <v>19</v>
      </c>
      <c r="F10" s="7" t="s">
        <v>52</v>
      </c>
      <c r="G10" s="8" t="s">
        <v>856</v>
      </c>
      <c r="H10" s="7" t="s">
        <v>35</v>
      </c>
      <c r="I10" s="7" t="s">
        <v>854</v>
      </c>
      <c r="J10" s="2" t="s">
        <v>1506</v>
      </c>
      <c r="K10" s="11" t="s">
        <v>1912</v>
      </c>
      <c r="L10" s="2" t="s">
        <v>1559</v>
      </c>
      <c r="M10" s="2" t="s">
        <v>1559</v>
      </c>
      <c r="N10" s="2" t="s">
        <v>1779</v>
      </c>
      <c r="O10" s="2" t="s">
        <v>2694</v>
      </c>
      <c r="P10" s="2" t="s">
        <v>1506</v>
      </c>
      <c r="Q10" s="66" t="s">
        <v>2005</v>
      </c>
      <c r="R10" s="2" t="s">
        <v>1780</v>
      </c>
    </row>
    <row r="11" spans="1:18" ht="27.75" hidden="1" customHeight="1" x14ac:dyDescent="0.3">
      <c r="A11" s="8">
        <v>1106700010003</v>
      </c>
      <c r="B11" s="7" t="s">
        <v>102</v>
      </c>
      <c r="C11" s="7" t="s">
        <v>195</v>
      </c>
      <c r="D11" s="7">
        <v>1981</v>
      </c>
      <c r="E11" s="7" t="s">
        <v>19</v>
      </c>
      <c r="F11" s="7" t="s">
        <v>104</v>
      </c>
      <c r="G11" s="8">
        <v>34631154808228</v>
      </c>
      <c r="H11" s="7" t="s">
        <v>35</v>
      </c>
      <c r="I11" s="7" t="s">
        <v>1562</v>
      </c>
      <c r="J11" s="2" t="s">
        <v>1544</v>
      </c>
      <c r="K11" s="2" t="s">
        <v>1548</v>
      </c>
      <c r="L11" s="2" t="s">
        <v>1567</v>
      </c>
      <c r="M11" s="2" t="s">
        <v>1622</v>
      </c>
      <c r="N11" s="2" t="s">
        <v>1623</v>
      </c>
      <c r="O11" s="65"/>
      <c r="P11" s="2" t="s">
        <v>1477</v>
      </c>
      <c r="Q11" s="65" t="s">
        <v>2003</v>
      </c>
      <c r="R11" s="2" t="s">
        <v>1477</v>
      </c>
    </row>
    <row r="12" spans="1:18" ht="27.75" hidden="1" customHeight="1" x14ac:dyDescent="0.3">
      <c r="A12" s="8">
        <v>1303700010001</v>
      </c>
      <c r="B12" s="7" t="s">
        <v>421</v>
      </c>
      <c r="C12" s="7" t="s">
        <v>422</v>
      </c>
      <c r="D12" s="7">
        <v>2010</v>
      </c>
      <c r="E12" s="7" t="s">
        <v>4</v>
      </c>
      <c r="F12" s="7" t="s">
        <v>423</v>
      </c>
      <c r="G12" s="8" t="s">
        <v>424</v>
      </c>
      <c r="H12" s="7" t="s">
        <v>263</v>
      </c>
      <c r="I12" s="7" t="s">
        <v>270</v>
      </c>
      <c r="J12" s="2" t="s">
        <v>1544</v>
      </c>
      <c r="K12" s="11" t="s">
        <v>1912</v>
      </c>
      <c r="L12" s="2"/>
      <c r="M12" s="2"/>
      <c r="N12" s="2"/>
      <c r="O12" s="66" t="s">
        <v>2165</v>
      </c>
      <c r="P12" s="2" t="s">
        <v>2053</v>
      </c>
      <c r="Q12" s="66"/>
      <c r="R12" s="2"/>
    </row>
    <row r="13" spans="1:18" ht="27.75" hidden="1" customHeight="1" x14ac:dyDescent="0.3">
      <c r="A13" s="8">
        <v>1101700010006</v>
      </c>
      <c r="B13" s="7" t="s">
        <v>50</v>
      </c>
      <c r="C13" s="7" t="s">
        <v>637</v>
      </c>
      <c r="D13" s="7">
        <v>2006</v>
      </c>
      <c r="E13" s="7" t="s">
        <v>19</v>
      </c>
      <c r="F13" s="7" t="s">
        <v>52</v>
      </c>
      <c r="G13" s="8" t="s">
        <v>638</v>
      </c>
      <c r="H13" s="7" t="s">
        <v>263</v>
      </c>
      <c r="I13" s="7" t="s">
        <v>632</v>
      </c>
      <c r="J13" s="2" t="s">
        <v>1544</v>
      </c>
      <c r="K13" s="2" t="s">
        <v>1548</v>
      </c>
      <c r="L13" s="2" t="s">
        <v>1567</v>
      </c>
      <c r="M13" s="2" t="s">
        <v>1626</v>
      </c>
      <c r="N13" s="2" t="s">
        <v>1623</v>
      </c>
      <c r="O13" s="65"/>
      <c r="P13" s="2" t="s">
        <v>2053</v>
      </c>
      <c r="Q13" s="65"/>
      <c r="R13" s="2"/>
    </row>
    <row r="14" spans="1:18" ht="27.75" hidden="1" customHeight="1" x14ac:dyDescent="0.3">
      <c r="A14" s="8">
        <v>1106700010010</v>
      </c>
      <c r="B14" s="7" t="s">
        <v>114</v>
      </c>
      <c r="C14" s="7" t="s">
        <v>673</v>
      </c>
      <c r="D14" s="7">
        <v>2004</v>
      </c>
      <c r="E14" s="7" t="s">
        <v>19</v>
      </c>
      <c r="F14" s="7" t="s">
        <v>56</v>
      </c>
      <c r="G14" s="8" t="s">
        <v>674</v>
      </c>
      <c r="H14" s="7" t="s">
        <v>263</v>
      </c>
      <c r="I14" s="7" t="s">
        <v>632</v>
      </c>
      <c r="J14" s="2" t="s">
        <v>1549</v>
      </c>
      <c r="K14" s="2" t="s">
        <v>1548</v>
      </c>
      <c r="L14" s="2" t="s">
        <v>1571</v>
      </c>
      <c r="M14" s="2" t="s">
        <v>2575</v>
      </c>
      <c r="N14" s="9" t="s">
        <v>2573</v>
      </c>
      <c r="O14" s="2" t="s">
        <v>2572</v>
      </c>
      <c r="P14" s="2" t="s">
        <v>2053</v>
      </c>
      <c r="Q14" s="66"/>
      <c r="R14" s="2"/>
    </row>
    <row r="15" spans="1:18" ht="27.75" hidden="1" customHeight="1" x14ac:dyDescent="0.3">
      <c r="A15" s="8">
        <v>1106700020003</v>
      </c>
      <c r="B15" s="7" t="s">
        <v>54</v>
      </c>
      <c r="C15" s="7" t="s">
        <v>768</v>
      </c>
      <c r="D15" s="7">
        <v>2014</v>
      </c>
      <c r="E15" s="7" t="s">
        <v>19</v>
      </c>
      <c r="F15" s="7" t="s">
        <v>52</v>
      </c>
      <c r="G15" s="8" t="s">
        <v>769</v>
      </c>
      <c r="H15" s="7" t="s">
        <v>35</v>
      </c>
      <c r="I15" s="7" t="s">
        <v>765</v>
      </c>
      <c r="J15" s="2" t="s">
        <v>1518</v>
      </c>
      <c r="K15" s="11" t="s">
        <v>1912</v>
      </c>
      <c r="L15" s="2" t="s">
        <v>1564</v>
      </c>
      <c r="M15" s="2" t="s">
        <v>1842</v>
      </c>
      <c r="N15" s="2" t="s">
        <v>2474</v>
      </c>
      <c r="O15" s="2" t="s">
        <v>2526</v>
      </c>
      <c r="P15" s="2" t="s">
        <v>1518</v>
      </c>
      <c r="Q15" s="65" t="s">
        <v>1988</v>
      </c>
      <c r="R15" s="2"/>
    </row>
    <row r="16" spans="1:18" ht="27.75" hidden="1" customHeight="1" x14ac:dyDescent="0.3">
      <c r="A16" s="8">
        <v>1106700020010</v>
      </c>
      <c r="B16" s="7" t="s">
        <v>210</v>
      </c>
      <c r="C16" s="7" t="s">
        <v>1467</v>
      </c>
      <c r="D16" s="7">
        <v>2009</v>
      </c>
      <c r="E16" s="7" t="s">
        <v>19</v>
      </c>
      <c r="F16" s="7" t="s">
        <v>56</v>
      </c>
      <c r="G16" s="8" t="s">
        <v>1365</v>
      </c>
      <c r="H16" s="7" t="s">
        <v>263</v>
      </c>
      <c r="I16" s="7" t="s">
        <v>1225</v>
      </c>
      <c r="J16" s="2" t="s">
        <v>1471</v>
      </c>
      <c r="K16" s="2" t="s">
        <v>1548</v>
      </c>
      <c r="L16" s="2" t="s">
        <v>1564</v>
      </c>
      <c r="M16" s="2" t="s">
        <v>2406</v>
      </c>
      <c r="N16" s="9" t="s">
        <v>2407</v>
      </c>
      <c r="O16" s="2"/>
      <c r="P16" s="2" t="s">
        <v>1471</v>
      </c>
      <c r="Q16" s="66" t="s">
        <v>1994</v>
      </c>
      <c r="R16" s="2"/>
    </row>
    <row r="17" spans="1:18" ht="27.75" hidden="1" customHeight="1" x14ac:dyDescent="0.3">
      <c r="A17" s="8">
        <v>1101700020004</v>
      </c>
      <c r="B17" s="7" t="s">
        <v>869</v>
      </c>
      <c r="C17" s="7" t="s">
        <v>1458</v>
      </c>
      <c r="D17" s="7">
        <v>2003</v>
      </c>
      <c r="E17" s="7" t="s">
        <v>19</v>
      </c>
      <c r="F17" s="7" t="s">
        <v>52</v>
      </c>
      <c r="G17" s="8" t="s">
        <v>878</v>
      </c>
      <c r="H17" s="7" t="s">
        <v>35</v>
      </c>
      <c r="I17" s="7" t="s">
        <v>877</v>
      </c>
      <c r="J17" s="2" t="s">
        <v>1549</v>
      </c>
      <c r="K17" s="9" t="s">
        <v>1553</v>
      </c>
      <c r="L17" s="2" t="s">
        <v>1565</v>
      </c>
      <c r="M17" s="2" t="s">
        <v>1636</v>
      </c>
      <c r="N17" s="10" t="s">
        <v>1637</v>
      </c>
      <c r="O17" s="65"/>
      <c r="P17" s="2" t="s">
        <v>2045</v>
      </c>
      <c r="Q17" s="65" t="s">
        <v>2046</v>
      </c>
      <c r="R17" s="2" t="s">
        <v>1651</v>
      </c>
    </row>
    <row r="18" spans="1:18" ht="27.75" hidden="1" customHeight="1" x14ac:dyDescent="0.3">
      <c r="A18" s="8">
        <v>1106700020003</v>
      </c>
      <c r="B18" s="7" t="s">
        <v>54</v>
      </c>
      <c r="C18" s="7" t="s">
        <v>816</v>
      </c>
      <c r="D18" s="7">
        <v>2013</v>
      </c>
      <c r="E18" s="7" t="s">
        <v>19</v>
      </c>
      <c r="F18" s="7" t="s">
        <v>56</v>
      </c>
      <c r="G18" s="8" t="s">
        <v>817</v>
      </c>
      <c r="H18" s="7" t="s">
        <v>35</v>
      </c>
      <c r="I18" s="7" t="s">
        <v>813</v>
      </c>
      <c r="J18" s="2" t="s">
        <v>1518</v>
      </c>
      <c r="K18" s="2" t="s">
        <v>1548</v>
      </c>
      <c r="L18" s="2" t="s">
        <v>1571</v>
      </c>
      <c r="M18" s="2" t="s">
        <v>2459</v>
      </c>
      <c r="N18" s="9" t="s">
        <v>2448</v>
      </c>
      <c r="O18" s="2" t="s">
        <v>2360</v>
      </c>
      <c r="P18" s="2" t="s">
        <v>1518</v>
      </c>
      <c r="Q18" s="66" t="s">
        <v>1987</v>
      </c>
      <c r="R18" s="2"/>
    </row>
    <row r="19" spans="1:18" ht="27.75" hidden="1" customHeight="1" x14ac:dyDescent="0.3">
      <c r="A19" s="8">
        <v>1204700030001</v>
      </c>
      <c r="B19" s="7" t="s">
        <v>17</v>
      </c>
      <c r="C19" s="7" t="s">
        <v>386</v>
      </c>
      <c r="D19" s="7">
        <v>2009</v>
      </c>
      <c r="E19" s="7" t="s">
        <v>19</v>
      </c>
      <c r="F19" s="7" t="s">
        <v>384</v>
      </c>
      <c r="G19" s="8" t="s">
        <v>387</v>
      </c>
      <c r="H19" s="7" t="s">
        <v>263</v>
      </c>
      <c r="I19" s="7" t="s">
        <v>270</v>
      </c>
      <c r="J19" s="2" t="s">
        <v>1544</v>
      </c>
      <c r="K19" s="2" t="s">
        <v>1548</v>
      </c>
      <c r="L19" s="2" t="s">
        <v>1571</v>
      </c>
      <c r="M19" s="2" t="s">
        <v>1878</v>
      </c>
      <c r="N19" s="10" t="s">
        <v>1879</v>
      </c>
      <c r="O19" s="65"/>
      <c r="P19" s="2" t="s">
        <v>2053</v>
      </c>
      <c r="Q19" s="65"/>
      <c r="R19" s="2"/>
    </row>
    <row r="20" spans="1:18" ht="27.75" hidden="1" customHeight="1" x14ac:dyDescent="0.3">
      <c r="A20" s="8">
        <v>1106700020003</v>
      </c>
      <c r="B20" s="7" t="s">
        <v>54</v>
      </c>
      <c r="C20" s="7" t="s">
        <v>911</v>
      </c>
      <c r="D20" s="7">
        <v>2014</v>
      </c>
      <c r="E20" s="7" t="s">
        <v>19</v>
      </c>
      <c r="F20" s="7" t="s">
        <v>52</v>
      </c>
      <c r="G20" s="8" t="s">
        <v>912</v>
      </c>
      <c r="H20" s="7" t="s">
        <v>35</v>
      </c>
      <c r="I20" s="7" t="s">
        <v>908</v>
      </c>
      <c r="J20" s="2" t="s">
        <v>1537</v>
      </c>
      <c r="K20" s="2" t="s">
        <v>1548</v>
      </c>
      <c r="L20" s="2" t="s">
        <v>1565</v>
      </c>
      <c r="M20" s="2" t="s">
        <v>2507</v>
      </c>
      <c r="N20" s="2" t="s">
        <v>2615</v>
      </c>
      <c r="O20" s="2" t="s">
        <v>2508</v>
      </c>
      <c r="P20" s="2" t="s">
        <v>1537</v>
      </c>
      <c r="Q20" s="66" t="s">
        <v>2043</v>
      </c>
      <c r="R20" s="2"/>
    </row>
    <row r="21" spans="1:18" ht="27.75" hidden="1" customHeight="1" x14ac:dyDescent="0.3">
      <c r="A21" s="8">
        <v>1102700010004</v>
      </c>
      <c r="B21" s="7" t="s">
        <v>64</v>
      </c>
      <c r="C21" s="7" t="s">
        <v>773</v>
      </c>
      <c r="D21" s="7">
        <v>2012</v>
      </c>
      <c r="E21" s="7" t="s">
        <v>19</v>
      </c>
      <c r="F21" s="7" t="s">
        <v>66</v>
      </c>
      <c r="G21" s="8" t="s">
        <v>774</v>
      </c>
      <c r="H21" s="7" t="s">
        <v>35</v>
      </c>
      <c r="I21" s="7" t="s">
        <v>770</v>
      </c>
      <c r="J21" s="2" t="s">
        <v>1506</v>
      </c>
      <c r="K21" s="2" t="s">
        <v>1548</v>
      </c>
      <c r="L21" s="2" t="s">
        <v>1571</v>
      </c>
      <c r="M21" s="2" t="s">
        <v>2685</v>
      </c>
      <c r="N21" s="123" t="s">
        <v>2686</v>
      </c>
      <c r="O21" s="2" t="s">
        <v>2565</v>
      </c>
      <c r="P21" s="2" t="s">
        <v>1506</v>
      </c>
      <c r="Q21" s="65" t="s">
        <v>2005</v>
      </c>
      <c r="R21" s="2"/>
    </row>
    <row r="22" spans="1:18" ht="27.75" hidden="1" customHeight="1" x14ac:dyDescent="0.3">
      <c r="A22" s="8">
        <v>1105700080001</v>
      </c>
      <c r="B22" s="7" t="s">
        <v>302</v>
      </c>
      <c r="C22" s="7" t="s">
        <v>652</v>
      </c>
      <c r="D22" s="7">
        <v>2015</v>
      </c>
      <c r="E22" s="7" t="s">
        <v>19</v>
      </c>
      <c r="F22" s="7" t="s">
        <v>304</v>
      </c>
      <c r="G22" s="8" t="s">
        <v>653</v>
      </c>
      <c r="H22" s="7" t="s">
        <v>263</v>
      </c>
      <c r="I22" s="7" t="s">
        <v>632</v>
      </c>
      <c r="J22" s="2" t="s">
        <v>1544</v>
      </c>
      <c r="K22" s="2" t="s">
        <v>2066</v>
      </c>
      <c r="L22" s="2" t="s">
        <v>1565</v>
      </c>
      <c r="M22" s="2" t="s">
        <v>2637</v>
      </c>
      <c r="N22" s="2" t="s">
        <v>1579</v>
      </c>
      <c r="O22" s="2"/>
      <c r="P22" s="2" t="s">
        <v>2053</v>
      </c>
      <c r="Q22" s="66"/>
      <c r="R22" s="2"/>
    </row>
    <row r="23" spans="1:18" ht="27.75" hidden="1" customHeight="1" x14ac:dyDescent="0.3">
      <c r="A23" s="8">
        <v>1106700020003</v>
      </c>
      <c r="B23" s="7" t="s">
        <v>54</v>
      </c>
      <c r="C23" s="7" t="s">
        <v>1353</v>
      </c>
      <c r="D23" s="7">
        <v>2013</v>
      </c>
      <c r="E23" s="7" t="s">
        <v>19</v>
      </c>
      <c r="F23" s="7" t="s">
        <v>56</v>
      </c>
      <c r="G23" s="8" t="s">
        <v>1354</v>
      </c>
      <c r="H23" s="7" t="s">
        <v>263</v>
      </c>
      <c r="I23" s="7" t="s">
        <v>1225</v>
      </c>
      <c r="J23" s="2" t="s">
        <v>1544</v>
      </c>
      <c r="K23" s="11" t="s">
        <v>1912</v>
      </c>
      <c r="L23" s="2" t="s">
        <v>1564</v>
      </c>
      <c r="M23" s="2" t="s">
        <v>1586</v>
      </c>
      <c r="N23" s="2" t="s">
        <v>1587</v>
      </c>
      <c r="O23" s="2" t="s">
        <v>2516</v>
      </c>
      <c r="P23" s="2" t="s">
        <v>2053</v>
      </c>
      <c r="Q23" s="65"/>
      <c r="R23" s="2"/>
    </row>
    <row r="24" spans="1:18" ht="27.75" hidden="1" customHeight="1" x14ac:dyDescent="0.3">
      <c r="A24" s="8">
        <v>1204700010003</v>
      </c>
      <c r="B24" s="7" t="s">
        <v>96</v>
      </c>
      <c r="C24" s="7" t="s">
        <v>475</v>
      </c>
      <c r="D24" s="7">
        <v>2009</v>
      </c>
      <c r="E24" s="7" t="s">
        <v>19</v>
      </c>
      <c r="F24" s="7" t="s">
        <v>10</v>
      </c>
      <c r="G24" s="8" t="s">
        <v>476</v>
      </c>
      <c r="H24" s="7" t="s">
        <v>263</v>
      </c>
      <c r="I24" s="7" t="s">
        <v>465</v>
      </c>
      <c r="J24" s="2" t="s">
        <v>1471</v>
      </c>
      <c r="K24" s="2" t="s">
        <v>1548</v>
      </c>
      <c r="L24" s="2" t="s">
        <v>1571</v>
      </c>
      <c r="M24" s="2" t="s">
        <v>1731</v>
      </c>
      <c r="N24" s="10" t="s">
        <v>1843</v>
      </c>
      <c r="O24" s="66"/>
      <c r="P24" s="2" t="s">
        <v>1471</v>
      </c>
      <c r="Q24" s="66" t="s">
        <v>1994</v>
      </c>
      <c r="R24" s="2" t="s">
        <v>1666</v>
      </c>
    </row>
    <row r="25" spans="1:18" ht="27.75" hidden="1" customHeight="1" x14ac:dyDescent="0.3">
      <c r="A25" s="8">
        <v>1106700020003</v>
      </c>
      <c r="B25" s="7" t="s">
        <v>54</v>
      </c>
      <c r="C25" s="7" t="s">
        <v>884</v>
      </c>
      <c r="D25" s="7">
        <v>1983</v>
      </c>
      <c r="E25" s="7" t="s">
        <v>19</v>
      </c>
      <c r="F25" s="7" t="s">
        <v>56</v>
      </c>
      <c r="G25" s="8">
        <v>3430154805270</v>
      </c>
      <c r="H25" s="7" t="s">
        <v>35</v>
      </c>
      <c r="I25" s="7" t="s">
        <v>881</v>
      </c>
      <c r="J25" s="2" t="s">
        <v>1498</v>
      </c>
      <c r="K25" s="11" t="s">
        <v>1912</v>
      </c>
      <c r="L25" s="2" t="s">
        <v>1564</v>
      </c>
      <c r="M25" s="2" t="s">
        <v>1842</v>
      </c>
      <c r="N25" s="2" t="s">
        <v>1843</v>
      </c>
      <c r="O25" s="2" t="s">
        <v>2677</v>
      </c>
      <c r="P25" s="2" t="s">
        <v>2024</v>
      </c>
      <c r="Q25" s="65" t="s">
        <v>2027</v>
      </c>
      <c r="R25" s="2" t="s">
        <v>1844</v>
      </c>
    </row>
    <row r="26" spans="1:18" ht="27.75" hidden="1" customHeight="1" x14ac:dyDescent="0.3">
      <c r="A26" s="8">
        <v>1102700010004</v>
      </c>
      <c r="B26" s="7" t="s">
        <v>64</v>
      </c>
      <c r="C26" s="7" t="s">
        <v>646</v>
      </c>
      <c r="D26" s="7">
        <v>2008</v>
      </c>
      <c r="E26" s="7" t="s">
        <v>19</v>
      </c>
      <c r="F26" s="7" t="s">
        <v>42</v>
      </c>
      <c r="G26" s="8" t="s">
        <v>647</v>
      </c>
      <c r="H26" s="7" t="s">
        <v>263</v>
      </c>
      <c r="I26" s="7" t="s">
        <v>632</v>
      </c>
      <c r="J26" s="2" t="s">
        <v>1544</v>
      </c>
      <c r="K26" s="2" t="s">
        <v>1548</v>
      </c>
      <c r="L26" s="2" t="s">
        <v>1571</v>
      </c>
      <c r="M26" s="2" t="s">
        <v>1580</v>
      </c>
      <c r="N26" s="10" t="s">
        <v>1581</v>
      </c>
      <c r="O26" s="66"/>
      <c r="P26" s="2" t="s">
        <v>2053</v>
      </c>
      <c r="Q26" s="66"/>
      <c r="R26" s="2"/>
    </row>
    <row r="27" spans="1:18" ht="27.75" hidden="1" customHeight="1" x14ac:dyDescent="0.3">
      <c r="A27" s="58">
        <v>1105700010001</v>
      </c>
      <c r="B27" s="57" t="s">
        <v>290</v>
      </c>
      <c r="C27" s="57" t="s">
        <v>648</v>
      </c>
      <c r="D27" s="57">
        <v>2006</v>
      </c>
      <c r="E27" s="57" t="s">
        <v>19</v>
      </c>
      <c r="F27" s="57" t="s">
        <v>355</v>
      </c>
      <c r="G27" s="58" t="s">
        <v>649</v>
      </c>
      <c r="H27" s="57" t="s">
        <v>263</v>
      </c>
      <c r="I27" s="57" t="s">
        <v>632</v>
      </c>
      <c r="J27" s="57" t="s">
        <v>1544</v>
      </c>
      <c r="K27" s="11" t="s">
        <v>1912</v>
      </c>
      <c r="L27" s="57" t="s">
        <v>1571</v>
      </c>
      <c r="M27" s="57" t="s">
        <v>2173</v>
      </c>
      <c r="N27" s="2" t="s">
        <v>2593</v>
      </c>
      <c r="O27" s="57" t="s">
        <v>2635</v>
      </c>
      <c r="P27" s="57" t="s">
        <v>1518</v>
      </c>
      <c r="Q27" s="65" t="s">
        <v>1987</v>
      </c>
      <c r="R27" s="57" t="s">
        <v>2161</v>
      </c>
    </row>
    <row r="28" spans="1:18" ht="27.75" hidden="1" customHeight="1" x14ac:dyDescent="0.3">
      <c r="A28" s="8">
        <v>1106700020003</v>
      </c>
      <c r="B28" s="7" t="s">
        <v>54</v>
      </c>
      <c r="C28" s="7" t="s">
        <v>1359</v>
      </c>
      <c r="D28" s="7">
        <v>2003</v>
      </c>
      <c r="E28" s="7" t="s">
        <v>19</v>
      </c>
      <c r="F28" s="7" t="s">
        <v>56</v>
      </c>
      <c r="G28" s="8" t="s">
        <v>1360</v>
      </c>
      <c r="H28" s="7" t="s">
        <v>263</v>
      </c>
      <c r="I28" s="7" t="s">
        <v>1225</v>
      </c>
      <c r="J28" s="2" t="s">
        <v>1544</v>
      </c>
      <c r="K28" s="2" t="s">
        <v>1548</v>
      </c>
      <c r="L28" s="2" t="s">
        <v>1569</v>
      </c>
      <c r="M28" s="2" t="s">
        <v>2203</v>
      </c>
      <c r="N28" s="10" t="s">
        <v>2198</v>
      </c>
      <c r="O28" s="66"/>
      <c r="P28" s="2" t="s">
        <v>2053</v>
      </c>
      <c r="Q28" s="66"/>
      <c r="R28" s="2"/>
    </row>
    <row r="29" spans="1:18" ht="27.75" hidden="1" customHeight="1" x14ac:dyDescent="0.3">
      <c r="A29" s="8">
        <v>1104700010001</v>
      </c>
      <c r="B29" s="7" t="s">
        <v>245</v>
      </c>
      <c r="C29" s="7" t="s">
        <v>553</v>
      </c>
      <c r="D29" s="7">
        <v>2005</v>
      </c>
      <c r="E29" s="7" t="s">
        <v>19</v>
      </c>
      <c r="F29" s="7" t="s">
        <v>5</v>
      </c>
      <c r="G29" s="8" t="s">
        <v>554</v>
      </c>
      <c r="H29" s="7" t="s">
        <v>263</v>
      </c>
      <c r="I29" s="7" t="s">
        <v>552</v>
      </c>
      <c r="J29" s="2" t="s">
        <v>1493</v>
      </c>
      <c r="K29" s="11" t="s">
        <v>1912</v>
      </c>
      <c r="L29" s="2"/>
      <c r="M29" s="2" t="s">
        <v>1613</v>
      </c>
      <c r="N29" s="2" t="s">
        <v>1650</v>
      </c>
      <c r="O29" s="2" t="s">
        <v>2418</v>
      </c>
      <c r="P29" s="2" t="s">
        <v>2045</v>
      </c>
      <c r="Q29" s="65" t="s">
        <v>2046</v>
      </c>
      <c r="R29" s="2"/>
    </row>
    <row r="30" spans="1:18" ht="27.75" hidden="1" customHeight="1" x14ac:dyDescent="0.3">
      <c r="A30" s="8">
        <v>1106700020003</v>
      </c>
      <c r="B30" s="7" t="s">
        <v>54</v>
      </c>
      <c r="C30" s="7" t="s">
        <v>675</v>
      </c>
      <c r="D30" s="7">
        <v>2013</v>
      </c>
      <c r="E30" s="7" t="s">
        <v>19</v>
      </c>
      <c r="F30" s="7" t="s">
        <v>56</v>
      </c>
      <c r="G30" s="8" t="s">
        <v>676</v>
      </c>
      <c r="H30" s="7" t="s">
        <v>263</v>
      </c>
      <c r="I30" s="7" t="s">
        <v>632</v>
      </c>
      <c r="J30" s="2" t="s">
        <v>1471</v>
      </c>
      <c r="K30" s="2" t="s">
        <v>1548</v>
      </c>
      <c r="L30" s="2" t="s">
        <v>1571</v>
      </c>
      <c r="M30" s="2" t="s">
        <v>1813</v>
      </c>
      <c r="N30" s="2" t="s">
        <v>1621</v>
      </c>
      <c r="O30" s="66"/>
      <c r="P30" s="2" t="s">
        <v>1471</v>
      </c>
      <c r="Q30" s="66" t="s">
        <v>1998</v>
      </c>
      <c r="R30" s="2" t="s">
        <v>1814</v>
      </c>
    </row>
    <row r="31" spans="1:18" ht="27.75" hidden="1" customHeight="1" x14ac:dyDescent="0.3">
      <c r="A31" s="8">
        <v>1207700040006</v>
      </c>
      <c r="B31" s="7" t="s">
        <v>709</v>
      </c>
      <c r="C31" s="7" t="s">
        <v>710</v>
      </c>
      <c r="D31" s="7">
        <v>2013</v>
      </c>
      <c r="E31" s="7" t="s">
        <v>19</v>
      </c>
      <c r="F31" s="7" t="s">
        <v>397</v>
      </c>
      <c r="G31" s="8" t="s">
        <v>711</v>
      </c>
      <c r="H31" s="7" t="s">
        <v>263</v>
      </c>
      <c r="I31" s="7" t="s">
        <v>632</v>
      </c>
      <c r="J31" s="2" t="s">
        <v>1544</v>
      </c>
      <c r="K31" s="2" t="s">
        <v>1548</v>
      </c>
      <c r="L31" s="2" t="s">
        <v>1564</v>
      </c>
      <c r="M31" s="2" t="s">
        <v>2519</v>
      </c>
      <c r="N31" s="9" t="s">
        <v>2517</v>
      </c>
      <c r="O31" s="2" t="s">
        <v>2434</v>
      </c>
      <c r="P31" s="2" t="s">
        <v>2053</v>
      </c>
      <c r="Q31" s="65"/>
      <c r="R31" s="2"/>
    </row>
    <row r="32" spans="1:18" ht="27.75" hidden="1" customHeight="1" x14ac:dyDescent="0.3">
      <c r="A32" s="8">
        <v>1204700010003</v>
      </c>
      <c r="B32" s="7" t="s">
        <v>96</v>
      </c>
      <c r="C32" s="7" t="s">
        <v>560</v>
      </c>
      <c r="D32" s="7">
        <v>2006</v>
      </c>
      <c r="E32" s="7" t="s">
        <v>19</v>
      </c>
      <c r="F32" s="7" t="s">
        <v>10</v>
      </c>
      <c r="G32" s="8" t="s">
        <v>561</v>
      </c>
      <c r="H32" s="7" t="s">
        <v>263</v>
      </c>
      <c r="I32" s="7" t="s">
        <v>552</v>
      </c>
      <c r="J32" s="2" t="s">
        <v>1493</v>
      </c>
      <c r="K32" s="2" t="s">
        <v>1548</v>
      </c>
      <c r="L32" s="2" t="s">
        <v>1564</v>
      </c>
      <c r="M32" s="2" t="s">
        <v>1894</v>
      </c>
      <c r="N32" s="10" t="s">
        <v>1895</v>
      </c>
      <c r="O32" s="66"/>
      <c r="P32" s="2" t="s">
        <v>2045</v>
      </c>
      <c r="Q32" s="66" t="s">
        <v>2046</v>
      </c>
      <c r="R32" s="2"/>
    </row>
    <row r="33" spans="1:18" ht="27.75" hidden="1" customHeight="1" x14ac:dyDescent="0.3">
      <c r="A33" s="8">
        <v>1106700010003</v>
      </c>
      <c r="B33" s="7" t="s">
        <v>102</v>
      </c>
      <c r="C33" s="7" t="s">
        <v>442</v>
      </c>
      <c r="D33" s="7">
        <v>1989</v>
      </c>
      <c r="E33" s="7" t="s">
        <v>19</v>
      </c>
      <c r="F33" s="7" t="s">
        <v>104</v>
      </c>
      <c r="G33" s="8">
        <v>34600155410132</v>
      </c>
      <c r="H33" s="7" t="s">
        <v>263</v>
      </c>
      <c r="I33" s="7" t="s">
        <v>430</v>
      </c>
      <c r="J33" s="2" t="s">
        <v>1506</v>
      </c>
      <c r="K33" s="11" t="s">
        <v>1912</v>
      </c>
      <c r="L33" s="2" t="s">
        <v>1569</v>
      </c>
      <c r="M33" s="2" t="s">
        <v>2259</v>
      </c>
      <c r="N33" s="2" t="s">
        <v>2256</v>
      </c>
      <c r="O33" s="2" t="s">
        <v>2641</v>
      </c>
      <c r="P33" s="2" t="s">
        <v>1471</v>
      </c>
      <c r="Q33" s="65" t="s">
        <v>1996</v>
      </c>
      <c r="R33" s="2"/>
    </row>
    <row r="34" spans="1:18" ht="27.75" hidden="1" customHeight="1" x14ac:dyDescent="0.3">
      <c r="A34" s="8">
        <v>1201700020002</v>
      </c>
      <c r="B34" s="7" t="s">
        <v>1375</v>
      </c>
      <c r="C34" s="7" t="s">
        <v>1385</v>
      </c>
      <c r="D34" s="7">
        <v>2015</v>
      </c>
      <c r="E34" s="7" t="s">
        <v>19</v>
      </c>
      <c r="F34" s="7" t="s">
        <v>1377</v>
      </c>
      <c r="G34" s="8" t="s">
        <v>1386</v>
      </c>
      <c r="H34" s="7" t="s">
        <v>263</v>
      </c>
      <c r="I34" s="7" t="s">
        <v>1225</v>
      </c>
      <c r="J34" s="2" t="s">
        <v>1482</v>
      </c>
      <c r="K34" s="2" t="s">
        <v>1548</v>
      </c>
      <c r="L34" s="2" t="s">
        <v>1571</v>
      </c>
      <c r="M34" s="2" t="s">
        <v>1835</v>
      </c>
      <c r="N34" s="10" t="s">
        <v>1836</v>
      </c>
      <c r="O34" s="66"/>
      <c r="P34" s="2" t="s">
        <v>2009</v>
      </c>
      <c r="Q34" s="66" t="s">
        <v>2010</v>
      </c>
      <c r="R34" s="2" t="s">
        <v>1814</v>
      </c>
    </row>
    <row r="35" spans="1:18" ht="27.75" hidden="1" customHeight="1" x14ac:dyDescent="0.3">
      <c r="A35" s="8">
        <v>1204700010003</v>
      </c>
      <c r="B35" s="7" t="s">
        <v>96</v>
      </c>
      <c r="C35" s="7" t="s">
        <v>494</v>
      </c>
      <c r="D35" s="7">
        <v>2009</v>
      </c>
      <c r="E35" s="7" t="s">
        <v>19</v>
      </c>
      <c r="F35" s="7" t="s">
        <v>10</v>
      </c>
      <c r="G35" s="8" t="s">
        <v>495</v>
      </c>
      <c r="H35" s="7" t="s">
        <v>263</v>
      </c>
      <c r="I35" s="7" t="s">
        <v>485</v>
      </c>
      <c r="J35" s="2" t="s">
        <v>1518</v>
      </c>
      <c r="K35" s="11" t="s">
        <v>1912</v>
      </c>
      <c r="L35" s="2"/>
      <c r="M35" s="2"/>
      <c r="N35" s="2"/>
      <c r="O35" s="65" t="s">
        <v>2169</v>
      </c>
      <c r="P35" s="2" t="s">
        <v>1518</v>
      </c>
      <c r="Q35" s="65" t="s">
        <v>1987</v>
      </c>
      <c r="R35" s="2"/>
    </row>
    <row r="36" spans="1:18" ht="27.75" hidden="1" customHeight="1" x14ac:dyDescent="0.3">
      <c r="A36" s="8">
        <v>1106700020003</v>
      </c>
      <c r="B36" s="7" t="s">
        <v>54</v>
      </c>
      <c r="C36" s="7" t="s">
        <v>781</v>
      </c>
      <c r="D36" s="7">
        <v>2013</v>
      </c>
      <c r="E36" s="7" t="s">
        <v>19</v>
      </c>
      <c r="F36" s="7" t="s">
        <v>56</v>
      </c>
      <c r="G36" s="8" t="s">
        <v>782</v>
      </c>
      <c r="H36" s="7" t="s">
        <v>35</v>
      </c>
      <c r="I36" s="7" t="s">
        <v>776</v>
      </c>
      <c r="J36" s="2" t="s">
        <v>1506</v>
      </c>
      <c r="K36" s="11" t="s">
        <v>1912</v>
      </c>
      <c r="L36" s="2"/>
      <c r="M36" s="2"/>
      <c r="N36" s="2"/>
      <c r="O36" s="66" t="s">
        <v>2177</v>
      </c>
      <c r="P36" s="2" t="s">
        <v>1506</v>
      </c>
      <c r="Q36" s="66" t="s">
        <v>2006</v>
      </c>
      <c r="R36" s="2"/>
    </row>
    <row r="37" spans="1:18" ht="27.75" hidden="1" customHeight="1" x14ac:dyDescent="0.3">
      <c r="A37" s="8">
        <v>1105700100001</v>
      </c>
      <c r="B37" s="7" t="s">
        <v>311</v>
      </c>
      <c r="C37" s="7" t="s">
        <v>1319</v>
      </c>
      <c r="D37" s="7">
        <v>2015</v>
      </c>
      <c r="E37" s="7" t="s">
        <v>19</v>
      </c>
      <c r="F37" s="7" t="s">
        <v>236</v>
      </c>
      <c r="G37" s="8" t="s">
        <v>1320</v>
      </c>
      <c r="H37" s="7" t="s">
        <v>263</v>
      </c>
      <c r="I37" s="7" t="s">
        <v>1225</v>
      </c>
      <c r="J37" s="2" t="s">
        <v>1487</v>
      </c>
      <c r="K37" s="11" t="s">
        <v>1912</v>
      </c>
      <c r="L37" s="2"/>
      <c r="M37" s="2"/>
      <c r="N37" s="2"/>
      <c r="O37" s="65" t="s">
        <v>2177</v>
      </c>
      <c r="P37" s="2" t="s">
        <v>2034</v>
      </c>
      <c r="Q37" s="65" t="s">
        <v>2035</v>
      </c>
      <c r="R37" s="2"/>
    </row>
    <row r="38" spans="1:18" ht="27.75" hidden="1" customHeight="1" x14ac:dyDescent="0.3">
      <c r="A38" s="8">
        <v>1106700020003</v>
      </c>
      <c r="B38" s="7" t="s">
        <v>54</v>
      </c>
      <c r="C38" s="7" t="s">
        <v>1450</v>
      </c>
      <c r="D38" s="7">
        <v>2013</v>
      </c>
      <c r="E38" s="7" t="s">
        <v>19</v>
      </c>
      <c r="F38" s="7" t="s">
        <v>56</v>
      </c>
      <c r="G38" s="8" t="s">
        <v>1422</v>
      </c>
      <c r="H38" s="7" t="s">
        <v>35</v>
      </c>
      <c r="I38" s="7" t="s">
        <v>1417</v>
      </c>
      <c r="J38" s="2" t="s">
        <v>1506</v>
      </c>
      <c r="K38" s="11" t="s">
        <v>1912</v>
      </c>
      <c r="L38" s="2" t="s">
        <v>1564</v>
      </c>
      <c r="M38" s="2" t="s">
        <v>1795</v>
      </c>
      <c r="N38" s="2" t="s">
        <v>1796</v>
      </c>
      <c r="O38" s="2" t="s">
        <v>2670</v>
      </c>
      <c r="P38" s="2" t="s">
        <v>1506</v>
      </c>
      <c r="Q38" s="66" t="s">
        <v>2008</v>
      </c>
      <c r="R38" s="2"/>
    </row>
    <row r="39" spans="1:18" ht="27.75" hidden="1" customHeight="1" x14ac:dyDescent="0.3">
      <c r="A39" s="8">
        <v>1104700020001</v>
      </c>
      <c r="B39" s="7" t="s">
        <v>431</v>
      </c>
      <c r="C39" s="7" t="s">
        <v>512</v>
      </c>
      <c r="D39" s="7">
        <v>2012</v>
      </c>
      <c r="E39" s="7" t="s">
        <v>433</v>
      </c>
      <c r="F39" s="7" t="s">
        <v>236</v>
      </c>
      <c r="G39" s="8" t="s">
        <v>513</v>
      </c>
      <c r="H39" s="7" t="s">
        <v>263</v>
      </c>
      <c r="I39" s="7" t="s">
        <v>509</v>
      </c>
      <c r="J39" s="2" t="s">
        <v>1477</v>
      </c>
      <c r="K39" s="2" t="s">
        <v>1548</v>
      </c>
      <c r="L39" s="2" t="s">
        <v>1565</v>
      </c>
      <c r="M39" s="2" t="s">
        <v>1770</v>
      </c>
      <c r="N39" s="2" t="s">
        <v>1771</v>
      </c>
      <c r="O39" s="65"/>
      <c r="P39" s="2" t="s">
        <v>1477</v>
      </c>
      <c r="Q39" s="65" t="s">
        <v>1999</v>
      </c>
      <c r="R39" s="2"/>
    </row>
    <row r="40" spans="1:18" ht="27.75" hidden="1" customHeight="1" x14ac:dyDescent="0.3">
      <c r="A40" s="8">
        <v>1102700010004</v>
      </c>
      <c r="B40" s="7" t="s">
        <v>64</v>
      </c>
      <c r="C40" s="7" t="s">
        <v>284</v>
      </c>
      <c r="D40" s="7">
        <v>2010</v>
      </c>
      <c r="E40" s="7" t="s">
        <v>19</v>
      </c>
      <c r="F40" s="7" t="s">
        <v>42</v>
      </c>
      <c r="G40" s="8" t="s">
        <v>285</v>
      </c>
      <c r="H40" s="7" t="s">
        <v>263</v>
      </c>
      <c r="I40" s="7" t="s">
        <v>270</v>
      </c>
      <c r="J40" s="2" t="s">
        <v>1544</v>
      </c>
      <c r="K40" s="2" t="s">
        <v>1548</v>
      </c>
      <c r="L40" s="2" t="s">
        <v>1565</v>
      </c>
      <c r="M40" s="2" t="s">
        <v>1764</v>
      </c>
      <c r="N40" s="2" t="s">
        <v>2654</v>
      </c>
      <c r="O40" s="2" t="s">
        <v>2646</v>
      </c>
      <c r="P40" s="2" t="s">
        <v>1477</v>
      </c>
      <c r="Q40" s="66" t="s">
        <v>2000</v>
      </c>
      <c r="R40" s="2"/>
    </row>
    <row r="41" spans="1:18" ht="27.75" hidden="1" customHeight="1" x14ac:dyDescent="0.3">
      <c r="A41" s="8">
        <v>1106700020003</v>
      </c>
      <c r="B41" s="7" t="s">
        <v>54</v>
      </c>
      <c r="C41" s="7" t="s">
        <v>92</v>
      </c>
      <c r="D41" s="7">
        <v>2013</v>
      </c>
      <c r="E41" s="7" t="s">
        <v>19</v>
      </c>
      <c r="F41" s="7" t="s">
        <v>56</v>
      </c>
      <c r="G41" s="8" t="s">
        <v>93</v>
      </c>
      <c r="H41" s="7" t="s">
        <v>35</v>
      </c>
      <c r="I41" s="7" t="s">
        <v>89</v>
      </c>
      <c r="J41" s="2" t="s">
        <v>1544</v>
      </c>
      <c r="K41" s="2" t="s">
        <v>1548</v>
      </c>
      <c r="L41" s="2" t="s">
        <v>1559</v>
      </c>
      <c r="M41" s="2" t="s">
        <v>1559</v>
      </c>
      <c r="N41" s="10" t="s">
        <v>1863</v>
      </c>
      <c r="O41" s="65"/>
      <c r="P41" s="2" t="s">
        <v>1525</v>
      </c>
      <c r="Q41" s="65" t="s">
        <v>2014</v>
      </c>
      <c r="R41" s="2"/>
    </row>
    <row r="42" spans="1:18" ht="27.75" hidden="1" customHeight="1" x14ac:dyDescent="0.3">
      <c r="A42" s="8">
        <v>1105700100001</v>
      </c>
      <c r="B42" s="7" t="s">
        <v>311</v>
      </c>
      <c r="C42" s="7" t="s">
        <v>312</v>
      </c>
      <c r="D42" s="7">
        <v>2010</v>
      </c>
      <c r="E42" s="7" t="s">
        <v>19</v>
      </c>
      <c r="F42" s="7" t="s">
        <v>236</v>
      </c>
      <c r="G42" s="8" t="s">
        <v>313</v>
      </c>
      <c r="H42" s="7" t="s">
        <v>263</v>
      </c>
      <c r="I42" s="7" t="s">
        <v>270</v>
      </c>
      <c r="J42" s="2" t="s">
        <v>1661</v>
      </c>
      <c r="K42" s="2" t="s">
        <v>1548</v>
      </c>
      <c r="L42" s="2" t="s">
        <v>1571</v>
      </c>
      <c r="M42" s="2" t="s">
        <v>1664</v>
      </c>
      <c r="N42" s="10" t="s">
        <v>1665</v>
      </c>
      <c r="O42" s="66"/>
      <c r="P42" s="2" t="s">
        <v>1531</v>
      </c>
      <c r="Q42" s="66" t="s">
        <v>2019</v>
      </c>
      <c r="R42" s="2" t="s">
        <v>1666</v>
      </c>
    </row>
    <row r="43" spans="1:18" ht="27.75" hidden="1" customHeight="1" x14ac:dyDescent="0.3">
      <c r="A43" s="8">
        <v>1105700150001</v>
      </c>
      <c r="B43" s="7" t="s">
        <v>317</v>
      </c>
      <c r="C43" s="7" t="s">
        <v>658</v>
      </c>
      <c r="D43" s="7">
        <v>2010</v>
      </c>
      <c r="E43" s="7" t="s">
        <v>19</v>
      </c>
      <c r="F43" s="7" t="s">
        <v>42</v>
      </c>
      <c r="G43" s="8" t="s">
        <v>659</v>
      </c>
      <c r="H43" s="7" t="s">
        <v>263</v>
      </c>
      <c r="I43" s="7" t="s">
        <v>632</v>
      </c>
      <c r="J43" s="2" t="s">
        <v>1487</v>
      </c>
      <c r="K43" s="11" t="s">
        <v>1912</v>
      </c>
      <c r="L43" s="2"/>
      <c r="M43" s="2"/>
      <c r="N43" s="2"/>
      <c r="O43" s="2" t="s">
        <v>2395</v>
      </c>
      <c r="P43" s="2" t="s">
        <v>2034</v>
      </c>
      <c r="Q43" s="65" t="s">
        <v>2035</v>
      </c>
      <c r="R43" s="2" t="s">
        <v>2250</v>
      </c>
    </row>
    <row r="44" spans="1:18" ht="27.75" hidden="1" customHeight="1" x14ac:dyDescent="0.3">
      <c r="A44" s="8">
        <v>1205700030009</v>
      </c>
      <c r="B44" s="7" t="s">
        <v>1213</v>
      </c>
      <c r="C44" s="7" t="s">
        <v>1214</v>
      </c>
      <c r="D44" s="7">
        <v>2013</v>
      </c>
      <c r="E44" s="7" t="s">
        <v>19</v>
      </c>
      <c r="F44" s="7" t="s">
        <v>236</v>
      </c>
      <c r="G44" s="8" t="s">
        <v>1215</v>
      </c>
      <c r="H44" s="7" t="s">
        <v>35</v>
      </c>
      <c r="I44" s="7" t="s">
        <v>1199</v>
      </c>
      <c r="J44" s="2" t="s">
        <v>1493</v>
      </c>
      <c r="K44" s="11" t="s">
        <v>1912</v>
      </c>
      <c r="L44" s="2" t="s">
        <v>1571</v>
      </c>
      <c r="M44" s="2" t="s">
        <v>2475</v>
      </c>
      <c r="N44" s="2" t="s">
        <v>1803</v>
      </c>
      <c r="O44" s="2" t="s">
        <v>2508</v>
      </c>
      <c r="P44" s="2" t="s">
        <v>2045</v>
      </c>
      <c r="Q44" s="66" t="s">
        <v>2046</v>
      </c>
      <c r="R44" s="2" t="s">
        <v>1804</v>
      </c>
    </row>
    <row r="45" spans="1:18" ht="27.75" hidden="1" customHeight="1" x14ac:dyDescent="0.3">
      <c r="A45" s="8">
        <v>1106700010003</v>
      </c>
      <c r="B45" s="7" t="s">
        <v>102</v>
      </c>
      <c r="C45" s="7" t="s">
        <v>666</v>
      </c>
      <c r="D45" s="7">
        <v>1988</v>
      </c>
      <c r="E45" s="7" t="s">
        <v>19</v>
      </c>
      <c r="F45" s="7" t="s">
        <v>104</v>
      </c>
      <c r="G45" s="8">
        <v>33208955346001</v>
      </c>
      <c r="H45" s="7" t="s">
        <v>263</v>
      </c>
      <c r="I45" s="7" t="s">
        <v>632</v>
      </c>
      <c r="J45" s="2" t="s">
        <v>1544</v>
      </c>
      <c r="K45" s="2" t="s">
        <v>1548</v>
      </c>
      <c r="L45" s="2" t="s">
        <v>1571</v>
      </c>
      <c r="M45" s="2" t="s">
        <v>1609</v>
      </c>
      <c r="N45" s="123" t="s">
        <v>2639</v>
      </c>
      <c r="O45" s="2" t="s">
        <v>2251</v>
      </c>
      <c r="P45" s="2" t="s">
        <v>2045</v>
      </c>
      <c r="Q45" s="65" t="s">
        <v>2048</v>
      </c>
      <c r="R45" s="2" t="s">
        <v>1653</v>
      </c>
    </row>
    <row r="46" spans="1:18" ht="27.75" hidden="1" customHeight="1" x14ac:dyDescent="0.3">
      <c r="A46" s="8">
        <v>1108700020001</v>
      </c>
      <c r="B46" s="7" t="s">
        <v>683</v>
      </c>
      <c r="C46" s="7" t="s">
        <v>1373</v>
      </c>
      <c r="D46" s="7">
        <v>2015</v>
      </c>
      <c r="E46" s="7" t="s">
        <v>19</v>
      </c>
      <c r="F46" s="7" t="s">
        <v>358</v>
      </c>
      <c r="G46" s="8" t="s">
        <v>1374</v>
      </c>
      <c r="H46" s="7" t="s">
        <v>263</v>
      </c>
      <c r="I46" s="7" t="s">
        <v>1225</v>
      </c>
      <c r="J46" s="2" t="s">
        <v>1544</v>
      </c>
      <c r="K46" s="11" t="s">
        <v>1912</v>
      </c>
      <c r="L46" s="2"/>
      <c r="M46" s="2"/>
      <c r="N46" s="2"/>
      <c r="O46" s="2" t="s">
        <v>2365</v>
      </c>
      <c r="P46" s="2" t="s">
        <v>2053</v>
      </c>
      <c r="Q46" s="66"/>
      <c r="R46" s="2"/>
    </row>
    <row r="47" spans="1:18" ht="27.75" hidden="1" customHeight="1" x14ac:dyDescent="0.3">
      <c r="A47" s="8">
        <v>1204700020009</v>
      </c>
      <c r="B47" s="7" t="s">
        <v>29</v>
      </c>
      <c r="C47" s="7" t="s">
        <v>1185</v>
      </c>
      <c r="D47" s="7">
        <v>2016</v>
      </c>
      <c r="E47" s="7" t="s">
        <v>19</v>
      </c>
      <c r="F47" s="7" t="s">
        <v>261</v>
      </c>
      <c r="G47" s="8" t="s">
        <v>1186</v>
      </c>
      <c r="H47" s="7" t="s">
        <v>945</v>
      </c>
      <c r="I47" s="7" t="s">
        <v>1178</v>
      </c>
      <c r="J47" s="2" t="s">
        <v>1477</v>
      </c>
      <c r="K47" s="2" t="s">
        <v>1548</v>
      </c>
      <c r="L47" s="2" t="s">
        <v>1564</v>
      </c>
      <c r="M47" s="2" t="s">
        <v>1777</v>
      </c>
      <c r="N47" s="2" t="s">
        <v>1778</v>
      </c>
      <c r="O47" s="65"/>
      <c r="P47" s="2" t="s">
        <v>1477</v>
      </c>
      <c r="Q47" s="65" t="s">
        <v>1999</v>
      </c>
      <c r="R47" s="2"/>
    </row>
    <row r="48" spans="1:18" ht="27.75" hidden="1" customHeight="1" x14ac:dyDescent="0.3">
      <c r="A48" s="8">
        <v>1105700010002</v>
      </c>
      <c r="B48" s="7" t="s">
        <v>293</v>
      </c>
      <c r="C48" s="7" t="s">
        <v>490</v>
      </c>
      <c r="D48" s="7">
        <v>2008</v>
      </c>
      <c r="E48" s="7" t="s">
        <v>19</v>
      </c>
      <c r="F48" s="7" t="s">
        <v>42</v>
      </c>
      <c r="G48" s="8" t="s">
        <v>491</v>
      </c>
      <c r="H48" s="7" t="s">
        <v>263</v>
      </c>
      <c r="I48" s="7" t="s">
        <v>485</v>
      </c>
      <c r="J48" s="2" t="s">
        <v>1518</v>
      </c>
      <c r="K48" s="2" t="s">
        <v>1548</v>
      </c>
      <c r="L48" s="2" t="s">
        <v>1564</v>
      </c>
      <c r="M48" s="2" t="s">
        <v>1822</v>
      </c>
      <c r="N48" s="10" t="s">
        <v>1823</v>
      </c>
      <c r="O48" s="66"/>
      <c r="P48" s="2" t="s">
        <v>1518</v>
      </c>
      <c r="Q48" s="66" t="s">
        <v>1987</v>
      </c>
      <c r="R48" s="2"/>
    </row>
    <row r="49" spans="1:18" ht="27.75" hidden="1" customHeight="1" x14ac:dyDescent="0.3">
      <c r="A49" s="8">
        <v>1106700020003</v>
      </c>
      <c r="B49" s="7" t="s">
        <v>54</v>
      </c>
      <c r="C49" s="7" t="s">
        <v>1444</v>
      </c>
      <c r="D49" s="7">
        <v>2011</v>
      </c>
      <c r="E49" s="7" t="s">
        <v>19</v>
      </c>
      <c r="F49" s="7" t="s">
        <v>56</v>
      </c>
      <c r="G49" s="8" t="s">
        <v>679</v>
      </c>
      <c r="H49" s="7" t="s">
        <v>263</v>
      </c>
      <c r="I49" s="7" t="s">
        <v>632</v>
      </c>
      <c r="J49" s="2" t="s">
        <v>1544</v>
      </c>
      <c r="K49" s="11" t="s">
        <v>1912</v>
      </c>
      <c r="L49" s="2" t="s">
        <v>1565</v>
      </c>
      <c r="M49" s="2" t="s">
        <v>2525</v>
      </c>
      <c r="N49" s="2" t="s">
        <v>2526</v>
      </c>
      <c r="O49" s="2" t="s">
        <v>2630</v>
      </c>
      <c r="P49" s="2" t="s">
        <v>2053</v>
      </c>
      <c r="Q49" s="65"/>
      <c r="R49" s="2"/>
    </row>
    <row r="50" spans="1:18" ht="27.75" hidden="1" customHeight="1" x14ac:dyDescent="0.3">
      <c r="A50" s="8">
        <v>1106700020003</v>
      </c>
      <c r="B50" s="7" t="s">
        <v>54</v>
      </c>
      <c r="C50" s="7" t="s">
        <v>885</v>
      </c>
      <c r="D50" s="7">
        <v>2014</v>
      </c>
      <c r="E50" s="7" t="s">
        <v>19</v>
      </c>
      <c r="F50" s="7" t="s">
        <v>56</v>
      </c>
      <c r="G50" s="8" t="s">
        <v>886</v>
      </c>
      <c r="H50" s="7" t="s">
        <v>35</v>
      </c>
      <c r="I50" s="7" t="s">
        <v>881</v>
      </c>
      <c r="J50" s="2" t="s">
        <v>1498</v>
      </c>
      <c r="K50" s="11" t="s">
        <v>1912</v>
      </c>
      <c r="L50" s="2" t="s">
        <v>1571</v>
      </c>
      <c r="M50" s="2" t="s">
        <v>2640</v>
      </c>
      <c r="N50" s="2" t="s">
        <v>2639</v>
      </c>
      <c r="O50" s="2" t="s">
        <v>2692</v>
      </c>
      <c r="P50" s="2" t="s">
        <v>2024</v>
      </c>
      <c r="Q50" s="66" t="s">
        <v>2025</v>
      </c>
      <c r="R50" s="2"/>
    </row>
    <row r="51" spans="1:18" ht="27.75" hidden="1" customHeight="1" x14ac:dyDescent="0.3">
      <c r="A51" s="8">
        <v>1106700020003</v>
      </c>
      <c r="B51" s="7" t="s">
        <v>54</v>
      </c>
      <c r="C51" s="7" t="s">
        <v>201</v>
      </c>
      <c r="D51" s="7">
        <v>2013</v>
      </c>
      <c r="E51" s="7" t="s">
        <v>19</v>
      </c>
      <c r="F51" s="7" t="s">
        <v>56</v>
      </c>
      <c r="G51" s="8" t="s">
        <v>202</v>
      </c>
      <c r="H51" s="7" t="s">
        <v>35</v>
      </c>
      <c r="I51" s="7" t="s">
        <v>198</v>
      </c>
      <c r="J51" s="2" t="s">
        <v>1531</v>
      </c>
      <c r="K51" s="11" t="s">
        <v>1912</v>
      </c>
      <c r="L51" s="2" t="s">
        <v>1571</v>
      </c>
      <c r="M51" s="2" t="s">
        <v>2394</v>
      </c>
      <c r="N51" s="2" t="s">
        <v>2395</v>
      </c>
      <c r="O51" s="2" t="s">
        <v>2625</v>
      </c>
      <c r="P51" s="2" t="s">
        <v>1531</v>
      </c>
      <c r="Q51" s="65" t="s">
        <v>2019</v>
      </c>
      <c r="R51" s="2"/>
    </row>
    <row r="52" spans="1:18" ht="27.75" hidden="1" customHeight="1" x14ac:dyDescent="0.3">
      <c r="A52" s="8">
        <v>1106700010002</v>
      </c>
      <c r="B52" s="7" t="s">
        <v>158</v>
      </c>
      <c r="C52" s="7" t="s">
        <v>159</v>
      </c>
      <c r="D52" s="7">
        <v>1992</v>
      </c>
      <c r="E52" s="7" t="s">
        <v>19</v>
      </c>
      <c r="F52" s="7" t="s">
        <v>104</v>
      </c>
      <c r="G52" s="8" t="s">
        <v>160</v>
      </c>
      <c r="H52" s="7" t="s">
        <v>35</v>
      </c>
      <c r="I52" s="7" t="s">
        <v>153</v>
      </c>
      <c r="J52" s="2" t="s">
        <v>1537</v>
      </c>
      <c r="K52" s="11" t="s">
        <v>1912</v>
      </c>
      <c r="L52" s="2" t="s">
        <v>1564</v>
      </c>
      <c r="M52" s="2" t="s">
        <v>1842</v>
      </c>
      <c r="N52" s="2" t="s">
        <v>2235</v>
      </c>
      <c r="O52" s="2" t="s">
        <v>2528</v>
      </c>
      <c r="P52" s="2" t="s">
        <v>1537</v>
      </c>
      <c r="Q52" s="66" t="s">
        <v>2043</v>
      </c>
      <c r="R52" s="2"/>
    </row>
    <row r="53" spans="1:18" ht="27.75" hidden="1" customHeight="1" x14ac:dyDescent="0.3">
      <c r="A53" s="8">
        <v>1106700010003</v>
      </c>
      <c r="B53" s="7" t="s">
        <v>102</v>
      </c>
      <c r="C53" s="7" t="s">
        <v>1452</v>
      </c>
      <c r="D53" s="7">
        <v>1992</v>
      </c>
      <c r="E53" s="7" t="s">
        <v>19</v>
      </c>
      <c r="F53" s="7" t="s">
        <v>104</v>
      </c>
      <c r="G53" s="8" t="s">
        <v>326</v>
      </c>
      <c r="H53" s="7" t="s">
        <v>263</v>
      </c>
      <c r="I53" s="7" t="s">
        <v>270</v>
      </c>
      <c r="J53" s="2" t="s">
        <v>1487</v>
      </c>
      <c r="K53" s="11" t="s">
        <v>1912</v>
      </c>
      <c r="L53" s="2"/>
      <c r="M53" s="2" t="s">
        <v>2181</v>
      </c>
      <c r="N53" s="2" t="s">
        <v>2177</v>
      </c>
      <c r="O53" s="2" t="s">
        <v>2413</v>
      </c>
      <c r="P53" s="2" t="s">
        <v>2034</v>
      </c>
      <c r="Q53" s="65" t="s">
        <v>2036</v>
      </c>
      <c r="R53" s="2"/>
    </row>
    <row r="54" spans="1:18" ht="27.75" hidden="1" customHeight="1" x14ac:dyDescent="0.3">
      <c r="A54" s="8">
        <v>1106700020003</v>
      </c>
      <c r="B54" s="7" t="s">
        <v>54</v>
      </c>
      <c r="C54" s="7" t="s">
        <v>146</v>
      </c>
      <c r="D54" s="7">
        <v>2013</v>
      </c>
      <c r="E54" s="7" t="s">
        <v>19</v>
      </c>
      <c r="F54" s="7" t="s">
        <v>56</v>
      </c>
      <c r="G54" s="8" t="s">
        <v>147</v>
      </c>
      <c r="H54" s="7" t="s">
        <v>35</v>
      </c>
      <c r="I54" s="7" t="s">
        <v>143</v>
      </c>
      <c r="J54" s="2" t="s">
        <v>1537</v>
      </c>
      <c r="K54" s="2" t="s">
        <v>1548</v>
      </c>
      <c r="L54" s="2" t="s">
        <v>1564</v>
      </c>
      <c r="M54" s="2" t="s">
        <v>1887</v>
      </c>
      <c r="N54" s="9" t="s">
        <v>2517</v>
      </c>
      <c r="O54" s="2" t="s">
        <v>2091</v>
      </c>
      <c r="P54" s="2" t="s">
        <v>1537</v>
      </c>
      <c r="Q54" s="66" t="s">
        <v>2041</v>
      </c>
      <c r="R54" s="2"/>
    </row>
    <row r="55" spans="1:18" ht="27.75" hidden="1" customHeight="1" x14ac:dyDescent="0.3">
      <c r="A55" s="8">
        <v>1102700010004</v>
      </c>
      <c r="B55" s="7" t="s">
        <v>64</v>
      </c>
      <c r="C55" s="7" t="s">
        <v>235</v>
      </c>
      <c r="D55" s="7">
        <v>2006</v>
      </c>
      <c r="E55" s="7" t="s">
        <v>19</v>
      </c>
      <c r="F55" s="7" t="s">
        <v>236</v>
      </c>
      <c r="G55" s="8" t="s">
        <v>237</v>
      </c>
      <c r="H55" s="7" t="s">
        <v>35</v>
      </c>
      <c r="I55" s="7" t="s">
        <v>229</v>
      </c>
      <c r="J55" s="2" t="s">
        <v>1662</v>
      </c>
      <c r="K55" s="2" t="s">
        <v>1548</v>
      </c>
      <c r="L55" s="2" t="s">
        <v>1564</v>
      </c>
      <c r="M55" s="2" t="s">
        <v>1874</v>
      </c>
      <c r="N55" s="10" t="s">
        <v>1875</v>
      </c>
      <c r="O55" s="65"/>
      <c r="P55" s="2" t="s">
        <v>2051</v>
      </c>
      <c r="Q55" s="65" t="s">
        <v>2052</v>
      </c>
      <c r="R55" s="2" t="s">
        <v>1876</v>
      </c>
    </row>
    <row r="56" spans="1:18" ht="27.75" hidden="1" customHeight="1" x14ac:dyDescent="0.3">
      <c r="A56" s="8">
        <v>1204700020003</v>
      </c>
      <c r="B56" s="7" t="s">
        <v>13</v>
      </c>
      <c r="C56" s="7" t="s">
        <v>799</v>
      </c>
      <c r="D56" s="7">
        <v>2009</v>
      </c>
      <c r="E56" s="7" t="s">
        <v>19</v>
      </c>
      <c r="F56" s="7" t="s">
        <v>10</v>
      </c>
      <c r="G56" s="8" t="s">
        <v>800</v>
      </c>
      <c r="H56" s="7" t="s">
        <v>35</v>
      </c>
      <c r="I56" s="7" t="s">
        <v>792</v>
      </c>
      <c r="J56" s="2" t="s">
        <v>1525</v>
      </c>
      <c r="K56" s="11" t="s">
        <v>1912</v>
      </c>
      <c r="L56" s="2"/>
      <c r="M56" s="2"/>
      <c r="N56" s="2"/>
      <c r="O56" s="2" t="s">
        <v>2224</v>
      </c>
      <c r="P56" s="2" t="s">
        <v>1525</v>
      </c>
      <c r="Q56" s="66" t="s">
        <v>2017</v>
      </c>
      <c r="R56" s="2"/>
    </row>
    <row r="57" spans="1:18" ht="27.75" hidden="1" customHeight="1" x14ac:dyDescent="0.3">
      <c r="A57" s="8">
        <v>1106700020010</v>
      </c>
      <c r="B57" s="7" t="s">
        <v>210</v>
      </c>
      <c r="C57" s="7" t="s">
        <v>254</v>
      </c>
      <c r="D57" s="7">
        <v>2007</v>
      </c>
      <c r="E57" s="7" t="s">
        <v>19</v>
      </c>
      <c r="F57" s="7" t="s">
        <v>104</v>
      </c>
      <c r="G57" s="8" t="s">
        <v>255</v>
      </c>
      <c r="H57" s="7" t="s">
        <v>0</v>
      </c>
      <c r="I57" s="7" t="s">
        <v>240</v>
      </c>
      <c r="J57" s="2" t="s">
        <v>1543</v>
      </c>
      <c r="K57" s="2" t="s">
        <v>1548</v>
      </c>
      <c r="L57" s="2" t="s">
        <v>1564</v>
      </c>
      <c r="M57" s="2" t="s">
        <v>2532</v>
      </c>
      <c r="N57" s="9" t="s">
        <v>2531</v>
      </c>
      <c r="O57" s="2" t="s">
        <v>2511</v>
      </c>
      <c r="P57" s="2" t="s">
        <v>2051</v>
      </c>
      <c r="Q57" s="65" t="s">
        <v>1543</v>
      </c>
      <c r="R57" s="2"/>
    </row>
    <row r="58" spans="1:18" ht="27.75" hidden="1" customHeight="1" x14ac:dyDescent="0.3">
      <c r="A58" s="8">
        <v>1204700020003</v>
      </c>
      <c r="B58" s="7" t="s">
        <v>13</v>
      </c>
      <c r="C58" s="7" t="s">
        <v>543</v>
      </c>
      <c r="D58" s="7">
        <v>1998</v>
      </c>
      <c r="E58" s="7" t="s">
        <v>4</v>
      </c>
      <c r="F58" s="7" t="s">
        <v>10</v>
      </c>
      <c r="G58" s="8" t="s">
        <v>544</v>
      </c>
      <c r="H58" s="7" t="s">
        <v>263</v>
      </c>
      <c r="I58" s="7" t="s">
        <v>534</v>
      </c>
      <c r="J58" s="2" t="s">
        <v>1531</v>
      </c>
      <c r="K58" s="9" t="s">
        <v>1552</v>
      </c>
      <c r="L58" s="2" t="s">
        <v>1571</v>
      </c>
      <c r="M58" s="2" t="s">
        <v>1905</v>
      </c>
      <c r="N58" s="10" t="s">
        <v>1877</v>
      </c>
      <c r="O58" s="66"/>
      <c r="P58" s="2" t="s">
        <v>1531</v>
      </c>
      <c r="Q58" s="66" t="s">
        <v>2019</v>
      </c>
      <c r="R58" s="2"/>
    </row>
    <row r="59" spans="1:18" ht="27.75" hidden="1" customHeight="1" x14ac:dyDescent="0.3">
      <c r="A59" s="8">
        <v>1204700020009</v>
      </c>
      <c r="B59" s="7" t="s">
        <v>29</v>
      </c>
      <c r="C59" s="7" t="s">
        <v>1136</v>
      </c>
      <c r="D59" s="7">
        <v>2016</v>
      </c>
      <c r="E59" s="7" t="s">
        <v>19</v>
      </c>
      <c r="F59" s="7" t="s">
        <v>261</v>
      </c>
      <c r="G59" s="8" t="s">
        <v>1137</v>
      </c>
      <c r="H59" s="7" t="s">
        <v>945</v>
      </c>
      <c r="I59" s="7" t="s">
        <v>1125</v>
      </c>
      <c r="J59" s="2" t="s">
        <v>1549</v>
      </c>
      <c r="K59" s="2" t="s">
        <v>1548</v>
      </c>
      <c r="L59" s="2" t="s">
        <v>1571</v>
      </c>
      <c r="M59" s="2" t="s">
        <v>1901</v>
      </c>
      <c r="N59" s="10" t="s">
        <v>1902</v>
      </c>
      <c r="O59" s="65"/>
      <c r="P59" s="2" t="s">
        <v>1513</v>
      </c>
      <c r="Q59" s="65" t="s">
        <v>2029</v>
      </c>
      <c r="R59" s="2"/>
    </row>
    <row r="60" spans="1:18" ht="27.75" hidden="1" customHeight="1" x14ac:dyDescent="0.3">
      <c r="A60" s="8">
        <v>1204700010003</v>
      </c>
      <c r="B60" s="7" t="s">
        <v>96</v>
      </c>
      <c r="C60" s="7" t="s">
        <v>610</v>
      </c>
      <c r="D60" s="7">
        <v>2009</v>
      </c>
      <c r="E60" s="7" t="s">
        <v>19</v>
      </c>
      <c r="F60" s="7" t="s">
        <v>10</v>
      </c>
      <c r="G60" s="8" t="s">
        <v>611</v>
      </c>
      <c r="H60" s="7" t="s">
        <v>263</v>
      </c>
      <c r="I60" s="7" t="s">
        <v>602</v>
      </c>
      <c r="J60" s="2" t="s">
        <v>1498</v>
      </c>
      <c r="K60" s="11" t="s">
        <v>1912</v>
      </c>
      <c r="L60" s="2"/>
      <c r="M60" s="2"/>
      <c r="N60" s="2"/>
      <c r="O60" s="66" t="s">
        <v>2154</v>
      </c>
      <c r="P60" s="2" t="s">
        <v>2024</v>
      </c>
      <c r="Q60" s="66" t="s">
        <v>2025</v>
      </c>
      <c r="R60" s="2"/>
    </row>
    <row r="61" spans="1:18" ht="27.75" hidden="1" customHeight="1" x14ac:dyDescent="0.3">
      <c r="A61" s="8">
        <v>1106700020003</v>
      </c>
      <c r="B61" s="7" t="s">
        <v>54</v>
      </c>
      <c r="C61" s="7" t="s">
        <v>151</v>
      </c>
      <c r="D61" s="7">
        <v>2015</v>
      </c>
      <c r="E61" s="7" t="s">
        <v>19</v>
      </c>
      <c r="F61" s="7" t="s">
        <v>56</v>
      </c>
      <c r="G61" s="8" t="s">
        <v>152</v>
      </c>
      <c r="H61" s="7" t="s">
        <v>35</v>
      </c>
      <c r="I61" s="7" t="s">
        <v>148</v>
      </c>
      <c r="J61" s="2" t="s">
        <v>1537</v>
      </c>
      <c r="K61" s="2" t="s">
        <v>1548</v>
      </c>
      <c r="L61" s="2" t="s">
        <v>1559</v>
      </c>
      <c r="M61" s="2" t="s">
        <v>1559</v>
      </c>
      <c r="N61" s="10" t="s">
        <v>1855</v>
      </c>
      <c r="O61" s="65"/>
      <c r="P61" s="2" t="s">
        <v>1537</v>
      </c>
      <c r="Q61" s="65" t="s">
        <v>2040</v>
      </c>
      <c r="R61" s="2" t="s">
        <v>1856</v>
      </c>
    </row>
    <row r="62" spans="1:18" ht="27.75" hidden="1" customHeight="1" x14ac:dyDescent="0.3">
      <c r="A62" s="8">
        <v>1104700020004</v>
      </c>
      <c r="B62" s="7" t="s">
        <v>584</v>
      </c>
      <c r="C62" s="7" t="s">
        <v>585</v>
      </c>
      <c r="D62" s="7">
        <v>2008</v>
      </c>
      <c r="E62" s="7" t="s">
        <v>19</v>
      </c>
      <c r="F62" s="7" t="s">
        <v>236</v>
      </c>
      <c r="G62" s="8" t="s">
        <v>586</v>
      </c>
      <c r="H62" s="7" t="s">
        <v>263</v>
      </c>
      <c r="I62" s="7" t="s">
        <v>583</v>
      </c>
      <c r="J62" s="2" t="s">
        <v>1544</v>
      </c>
      <c r="K62" s="9" t="s">
        <v>1552</v>
      </c>
      <c r="L62" s="2" t="s">
        <v>1564</v>
      </c>
      <c r="M62" s="2" t="s">
        <v>1738</v>
      </c>
      <c r="N62" s="10" t="s">
        <v>1739</v>
      </c>
      <c r="O62" s="66"/>
      <c r="P62" s="2" t="s">
        <v>1513</v>
      </c>
      <c r="Q62" s="66" t="s">
        <v>2029</v>
      </c>
      <c r="R62" s="2" t="s">
        <v>1649</v>
      </c>
    </row>
    <row r="63" spans="1:18" ht="27.75" hidden="1" customHeight="1" x14ac:dyDescent="0.3">
      <c r="A63" s="8">
        <v>1102700020004</v>
      </c>
      <c r="B63" s="7" t="s">
        <v>136</v>
      </c>
      <c r="C63" s="7" t="s">
        <v>837</v>
      </c>
      <c r="D63" s="7">
        <v>2015</v>
      </c>
      <c r="E63" s="7" t="s">
        <v>19</v>
      </c>
      <c r="F63" s="7" t="s">
        <v>66</v>
      </c>
      <c r="G63" s="8" t="s">
        <v>838</v>
      </c>
      <c r="H63" s="7" t="s">
        <v>35</v>
      </c>
      <c r="I63" s="7" t="s">
        <v>834</v>
      </c>
      <c r="J63" s="2" t="s">
        <v>1493</v>
      </c>
      <c r="K63" s="11" t="s">
        <v>1912</v>
      </c>
      <c r="L63" s="2" t="s">
        <v>1571</v>
      </c>
      <c r="M63" s="2" t="s">
        <v>2394</v>
      </c>
      <c r="N63" s="2" t="s">
        <v>2672</v>
      </c>
      <c r="O63" s="2" t="s">
        <v>2677</v>
      </c>
      <c r="P63" s="2" t="s">
        <v>2045</v>
      </c>
      <c r="Q63" s="65" t="s">
        <v>2046</v>
      </c>
      <c r="R63" s="2"/>
    </row>
    <row r="64" spans="1:18" ht="27.75" hidden="1" customHeight="1" x14ac:dyDescent="0.3">
      <c r="A64" s="8">
        <v>1107700010001</v>
      </c>
      <c r="B64" s="7" t="s">
        <v>349</v>
      </c>
      <c r="C64" s="7" t="s">
        <v>350</v>
      </c>
      <c r="D64" s="7">
        <v>2006</v>
      </c>
      <c r="E64" s="7" t="s">
        <v>19</v>
      </c>
      <c r="F64" s="7" t="s">
        <v>351</v>
      </c>
      <c r="G64" s="8" t="s">
        <v>352</v>
      </c>
      <c r="H64" s="7" t="s">
        <v>263</v>
      </c>
      <c r="I64" s="7" t="s">
        <v>270</v>
      </c>
      <c r="J64" s="2" t="s">
        <v>1544</v>
      </c>
      <c r="K64" s="2" t="s">
        <v>1548</v>
      </c>
      <c r="L64" s="2" t="s">
        <v>1571</v>
      </c>
      <c r="M64" s="2" t="s">
        <v>2409</v>
      </c>
      <c r="N64" s="9" t="s">
        <v>2410</v>
      </c>
      <c r="O64" s="2"/>
      <c r="P64" s="2" t="s">
        <v>2053</v>
      </c>
      <c r="Q64" s="66"/>
      <c r="R64" s="2"/>
    </row>
    <row r="65" spans="1:18" ht="27.75" hidden="1" customHeight="1" x14ac:dyDescent="0.3">
      <c r="A65" s="8">
        <v>1104700020004</v>
      </c>
      <c r="B65" s="7" t="s">
        <v>584</v>
      </c>
      <c r="C65" s="7" t="s">
        <v>1292</v>
      </c>
      <c r="D65" s="7">
        <v>2008</v>
      </c>
      <c r="E65" s="7" t="s">
        <v>19</v>
      </c>
      <c r="F65" s="7" t="s">
        <v>236</v>
      </c>
      <c r="G65" s="8" t="s">
        <v>1293</v>
      </c>
      <c r="H65" s="7" t="s">
        <v>263</v>
      </c>
      <c r="I65" s="7" t="s">
        <v>1225</v>
      </c>
      <c r="J65" s="2" t="s">
        <v>1544</v>
      </c>
      <c r="K65" s="2" t="s">
        <v>1548</v>
      </c>
      <c r="L65" s="2" t="s">
        <v>1565</v>
      </c>
      <c r="M65" s="2" t="s">
        <v>1575</v>
      </c>
      <c r="N65" s="10" t="s">
        <v>1576</v>
      </c>
      <c r="O65" s="65"/>
      <c r="P65" s="2" t="s">
        <v>2053</v>
      </c>
      <c r="Q65" s="65"/>
      <c r="R65" s="2"/>
    </row>
    <row r="66" spans="1:18" ht="27.75" hidden="1" customHeight="1" x14ac:dyDescent="0.3">
      <c r="A66" s="8">
        <v>1101700010006</v>
      </c>
      <c r="B66" s="7" t="s">
        <v>1551</v>
      </c>
      <c r="C66" s="7" t="s">
        <v>807</v>
      </c>
      <c r="D66" s="7">
        <v>2014</v>
      </c>
      <c r="E66" s="7" t="s">
        <v>19</v>
      </c>
      <c r="F66" s="7" t="s">
        <v>52</v>
      </c>
      <c r="G66" s="8" t="s">
        <v>808</v>
      </c>
      <c r="H66" s="7" t="s">
        <v>35</v>
      </c>
      <c r="I66" s="7" t="s">
        <v>806</v>
      </c>
      <c r="J66" s="2" t="s">
        <v>1482</v>
      </c>
      <c r="K66" s="2" t="s">
        <v>1548</v>
      </c>
      <c r="L66" s="2" t="s">
        <v>1559</v>
      </c>
      <c r="M66" s="2" t="s">
        <v>1559</v>
      </c>
      <c r="N66" s="10" t="s">
        <v>1834</v>
      </c>
      <c r="O66" s="65"/>
      <c r="P66" s="2" t="s">
        <v>2009</v>
      </c>
      <c r="Q66" s="65" t="s">
        <v>2010</v>
      </c>
      <c r="R66" s="2"/>
    </row>
    <row r="67" spans="1:18" ht="27.75" hidden="1" customHeight="1" x14ac:dyDescent="0.3">
      <c r="A67" s="8">
        <v>1104700020004</v>
      </c>
      <c r="B67" s="7" t="s">
        <v>584</v>
      </c>
      <c r="C67" s="7" t="s">
        <v>1290</v>
      </c>
      <c r="D67" s="7">
        <v>2008</v>
      </c>
      <c r="E67" s="7" t="s">
        <v>19</v>
      </c>
      <c r="F67" s="7" t="s">
        <v>236</v>
      </c>
      <c r="G67" s="8" t="s">
        <v>1291</v>
      </c>
      <c r="H67" s="7" t="s">
        <v>263</v>
      </c>
      <c r="I67" s="7" t="s">
        <v>1225</v>
      </c>
      <c r="J67" s="2" t="s">
        <v>1544</v>
      </c>
      <c r="K67" s="2" t="s">
        <v>1548</v>
      </c>
      <c r="L67" s="2" t="s">
        <v>1613</v>
      </c>
      <c r="M67" s="2" t="s">
        <v>1630</v>
      </c>
      <c r="N67" s="2" t="s">
        <v>1631</v>
      </c>
      <c r="O67" s="66"/>
      <c r="P67" s="2" t="s">
        <v>2053</v>
      </c>
      <c r="Q67" s="66"/>
      <c r="R67" s="2"/>
    </row>
    <row r="68" spans="1:18" ht="27.75" hidden="1" customHeight="1" x14ac:dyDescent="0.3">
      <c r="A68" s="8">
        <v>1101700010006</v>
      </c>
      <c r="B68" s="7" t="s">
        <v>1551</v>
      </c>
      <c r="C68" s="7" t="s">
        <v>1243</v>
      </c>
      <c r="D68" s="7">
        <v>2014</v>
      </c>
      <c r="E68" s="7" t="s">
        <v>19</v>
      </c>
      <c r="F68" s="7" t="s">
        <v>52</v>
      </c>
      <c r="G68" s="8" t="s">
        <v>1244</v>
      </c>
      <c r="H68" s="7" t="s">
        <v>263</v>
      </c>
      <c r="I68" s="7" t="s">
        <v>1225</v>
      </c>
      <c r="J68" s="2" t="s">
        <v>1544</v>
      </c>
      <c r="K68" s="11" t="s">
        <v>1912</v>
      </c>
      <c r="L68" s="2" t="s">
        <v>1571</v>
      </c>
      <c r="M68" s="2" t="s">
        <v>1632</v>
      </c>
      <c r="N68" s="2" t="s">
        <v>1631</v>
      </c>
      <c r="O68" s="2" t="s">
        <v>2692</v>
      </c>
      <c r="P68" s="2" t="s">
        <v>2053</v>
      </c>
      <c r="Q68" s="65"/>
      <c r="R68" s="2"/>
    </row>
    <row r="69" spans="1:18" ht="27.75" hidden="1" customHeight="1" x14ac:dyDescent="0.3">
      <c r="A69" s="8">
        <v>1106700020010</v>
      </c>
      <c r="B69" s="7" t="s">
        <v>210</v>
      </c>
      <c r="C69" s="7" t="s">
        <v>1366</v>
      </c>
      <c r="D69" s="7">
        <v>2009</v>
      </c>
      <c r="E69" s="7" t="s">
        <v>19</v>
      </c>
      <c r="F69" s="7" t="s">
        <v>52</v>
      </c>
      <c r="G69" s="8" t="s">
        <v>1367</v>
      </c>
      <c r="H69" s="7" t="s">
        <v>263</v>
      </c>
      <c r="I69" s="7" t="s">
        <v>1225</v>
      </c>
      <c r="J69" s="2" t="s">
        <v>1482</v>
      </c>
      <c r="K69" s="2" t="s">
        <v>1548</v>
      </c>
      <c r="L69" s="2" t="s">
        <v>1564</v>
      </c>
      <c r="M69" s="2" t="s">
        <v>2105</v>
      </c>
      <c r="N69" s="9" t="s">
        <v>2413</v>
      </c>
      <c r="O69" s="2" t="s">
        <v>2348</v>
      </c>
      <c r="P69" s="2" t="s">
        <v>2053</v>
      </c>
      <c r="Q69" s="66"/>
      <c r="R69" s="2"/>
    </row>
    <row r="70" spans="1:18" ht="27.75" hidden="1" customHeight="1" x14ac:dyDescent="0.3">
      <c r="A70" s="8">
        <v>1204700010003</v>
      </c>
      <c r="B70" s="7" t="s">
        <v>96</v>
      </c>
      <c r="C70" s="7" t="s">
        <v>539</v>
      </c>
      <c r="D70" s="7">
        <v>2009</v>
      </c>
      <c r="E70" s="7" t="s">
        <v>19</v>
      </c>
      <c r="F70" s="7" t="s">
        <v>10</v>
      </c>
      <c r="G70" s="8" t="s">
        <v>540</v>
      </c>
      <c r="H70" s="7" t="s">
        <v>263</v>
      </c>
      <c r="I70" s="7" t="s">
        <v>534</v>
      </c>
      <c r="J70" s="110" t="s">
        <v>1531</v>
      </c>
      <c r="K70" s="2" t="s">
        <v>1548</v>
      </c>
      <c r="L70" s="2" t="s">
        <v>1571</v>
      </c>
      <c r="M70" s="2" t="s">
        <v>1731</v>
      </c>
      <c r="N70" s="9" t="s">
        <v>2547</v>
      </c>
      <c r="O70" s="2" t="s">
        <v>2114</v>
      </c>
      <c r="P70" s="2" t="s">
        <v>1531</v>
      </c>
      <c r="Q70" s="65" t="s">
        <v>2019</v>
      </c>
      <c r="R70" s="2"/>
    </row>
    <row r="71" spans="1:18" ht="27.75" hidden="1" customHeight="1" x14ac:dyDescent="0.3">
      <c r="A71" s="8">
        <v>1101700010006</v>
      </c>
      <c r="B71" s="7" t="s">
        <v>1551</v>
      </c>
      <c r="C71" s="7" t="s">
        <v>882</v>
      </c>
      <c r="D71" s="7">
        <v>2014</v>
      </c>
      <c r="E71" s="7" t="s">
        <v>19</v>
      </c>
      <c r="F71" s="7" t="s">
        <v>52</v>
      </c>
      <c r="G71" s="8" t="s">
        <v>883</v>
      </c>
      <c r="H71" s="7" t="s">
        <v>35</v>
      </c>
      <c r="I71" s="7" t="s">
        <v>881</v>
      </c>
      <c r="J71" s="2" t="s">
        <v>1498</v>
      </c>
      <c r="K71" s="2" t="s">
        <v>1548</v>
      </c>
      <c r="L71" s="2" t="s">
        <v>1564</v>
      </c>
      <c r="M71" s="2" t="s">
        <v>1850</v>
      </c>
      <c r="N71" s="10" t="s">
        <v>1767</v>
      </c>
      <c r="O71" s="66"/>
      <c r="P71" s="2" t="s">
        <v>2024</v>
      </c>
      <c r="Q71" s="66" t="s">
        <v>2026</v>
      </c>
      <c r="R71" s="2"/>
    </row>
    <row r="72" spans="1:18" ht="27.75" hidden="1" customHeight="1" x14ac:dyDescent="0.3">
      <c r="A72" s="8">
        <v>1102700020004</v>
      </c>
      <c r="B72" s="7" t="s">
        <v>136</v>
      </c>
      <c r="C72" s="7" t="s">
        <v>823</v>
      </c>
      <c r="D72" s="7">
        <v>2015</v>
      </c>
      <c r="E72" s="7" t="s">
        <v>19</v>
      </c>
      <c r="F72" s="7" t="s">
        <v>66</v>
      </c>
      <c r="G72" s="8" t="s">
        <v>824</v>
      </c>
      <c r="H72" s="7" t="s">
        <v>35</v>
      </c>
      <c r="I72" s="7" t="s">
        <v>820</v>
      </c>
      <c r="J72" s="2" t="s">
        <v>1531</v>
      </c>
      <c r="K72" s="2" t="s">
        <v>1548</v>
      </c>
      <c r="L72" s="2" t="s">
        <v>1564</v>
      </c>
      <c r="M72" s="2" t="s">
        <v>1667</v>
      </c>
      <c r="N72" s="10" t="s">
        <v>1668</v>
      </c>
      <c r="O72" s="65"/>
      <c r="P72" s="2" t="s">
        <v>1531</v>
      </c>
      <c r="Q72" s="65" t="s">
        <v>2022</v>
      </c>
      <c r="R72" s="2" t="s">
        <v>1669</v>
      </c>
    </row>
    <row r="73" spans="1:18" ht="27.75" hidden="1" customHeight="1" x14ac:dyDescent="0.3">
      <c r="A73" s="8">
        <v>1106700020003</v>
      </c>
      <c r="B73" s="7" t="s">
        <v>54</v>
      </c>
      <c r="C73" s="7" t="s">
        <v>866</v>
      </c>
      <c r="D73" s="7">
        <v>2013</v>
      </c>
      <c r="E73" s="7" t="s">
        <v>19</v>
      </c>
      <c r="F73" s="7" t="s">
        <v>56</v>
      </c>
      <c r="G73" s="8" t="s">
        <v>867</v>
      </c>
      <c r="H73" s="7" t="s">
        <v>35</v>
      </c>
      <c r="I73" s="7" t="s">
        <v>861</v>
      </c>
      <c r="J73" s="2" t="s">
        <v>1471</v>
      </c>
      <c r="K73" s="11" t="s">
        <v>1912</v>
      </c>
      <c r="L73" s="2" t="s">
        <v>1564</v>
      </c>
      <c r="M73" s="2" t="s">
        <v>2397</v>
      </c>
      <c r="N73" s="2" t="s">
        <v>2395</v>
      </c>
      <c r="O73" s="2" t="s">
        <v>2625</v>
      </c>
      <c r="P73" s="2" t="s">
        <v>1471</v>
      </c>
      <c r="Q73" s="66" t="s">
        <v>1997</v>
      </c>
      <c r="R73" s="2"/>
    </row>
    <row r="74" spans="1:18" ht="27.75" hidden="1" customHeight="1" x14ac:dyDescent="0.3">
      <c r="A74" s="8">
        <v>1106700020010</v>
      </c>
      <c r="B74" s="7" t="s">
        <v>210</v>
      </c>
      <c r="C74" s="7" t="s">
        <v>873</v>
      </c>
      <c r="D74" s="7">
        <v>2009</v>
      </c>
      <c r="E74" s="7" t="s">
        <v>19</v>
      </c>
      <c r="F74" s="7" t="s">
        <v>52</v>
      </c>
      <c r="G74" s="8" t="s">
        <v>874</v>
      </c>
      <c r="H74" s="7" t="s">
        <v>35</v>
      </c>
      <c r="I74" s="7" t="s">
        <v>868</v>
      </c>
      <c r="J74" s="2" t="s">
        <v>1513</v>
      </c>
      <c r="K74" s="11" t="s">
        <v>1912</v>
      </c>
      <c r="L74" s="2" t="s">
        <v>1564</v>
      </c>
      <c r="M74" s="2" t="s">
        <v>2481</v>
      </c>
      <c r="N74" s="2" t="s">
        <v>2480</v>
      </c>
      <c r="O74" s="2" t="s">
        <v>2630</v>
      </c>
      <c r="P74" s="2" t="s">
        <v>1513</v>
      </c>
      <c r="Q74" s="65" t="s">
        <v>2029</v>
      </c>
      <c r="R74" s="2"/>
    </row>
    <row r="75" spans="1:18" ht="27.75" hidden="1" customHeight="1" x14ac:dyDescent="0.3">
      <c r="A75" s="8">
        <v>1106700020003</v>
      </c>
      <c r="B75" s="7" t="s">
        <v>54</v>
      </c>
      <c r="C75" s="7" t="s">
        <v>859</v>
      </c>
      <c r="D75" s="7">
        <v>2014</v>
      </c>
      <c r="E75" s="7" t="s">
        <v>19</v>
      </c>
      <c r="F75" s="7" t="s">
        <v>56</v>
      </c>
      <c r="G75" s="8" t="s">
        <v>860</v>
      </c>
      <c r="H75" s="7" t="s">
        <v>35</v>
      </c>
      <c r="I75" s="7" t="s">
        <v>854</v>
      </c>
      <c r="J75" s="2" t="s">
        <v>1513</v>
      </c>
      <c r="K75" s="2" t="s">
        <v>1548</v>
      </c>
      <c r="L75" s="2" t="s">
        <v>1571</v>
      </c>
      <c r="M75" s="2" t="s">
        <v>2462</v>
      </c>
      <c r="N75" s="9" t="s">
        <v>2461</v>
      </c>
      <c r="O75" s="2" t="s">
        <v>2448</v>
      </c>
      <c r="P75" s="2" t="s">
        <v>1513</v>
      </c>
      <c r="Q75" s="66" t="s">
        <v>2029</v>
      </c>
      <c r="R75" s="2"/>
    </row>
    <row r="76" spans="1:18" ht="27.75" hidden="1" customHeight="1" x14ac:dyDescent="0.3">
      <c r="A76" s="8">
        <v>1207700050001</v>
      </c>
      <c r="B76" s="7" t="s">
        <v>402</v>
      </c>
      <c r="C76" s="7" t="s">
        <v>1455</v>
      </c>
      <c r="D76" s="7">
        <v>1983</v>
      </c>
      <c r="E76" s="7" t="s">
        <v>19</v>
      </c>
      <c r="F76" s="7" t="s">
        <v>42</v>
      </c>
      <c r="G76" s="8" t="s">
        <v>712</v>
      </c>
      <c r="H76" s="7" t="s">
        <v>263</v>
      </c>
      <c r="I76" s="7" t="s">
        <v>632</v>
      </c>
      <c r="J76" s="2" t="s">
        <v>1544</v>
      </c>
      <c r="K76" s="2" t="s">
        <v>1548</v>
      </c>
      <c r="L76" s="2" t="s">
        <v>1571</v>
      </c>
      <c r="M76" s="2" t="s">
        <v>1609</v>
      </c>
      <c r="N76" s="2" t="s">
        <v>1610</v>
      </c>
      <c r="O76" s="65"/>
      <c r="P76" s="2" t="s">
        <v>2053</v>
      </c>
      <c r="Q76" s="65"/>
      <c r="R76" s="2"/>
    </row>
    <row r="77" spans="1:18" ht="27.75" hidden="1" customHeight="1" x14ac:dyDescent="0.3">
      <c r="A77" s="8">
        <v>1204700010003</v>
      </c>
      <c r="B77" s="7" t="s">
        <v>96</v>
      </c>
      <c r="C77" s="7" t="s">
        <v>785</v>
      </c>
      <c r="D77" s="7">
        <v>2002</v>
      </c>
      <c r="E77" s="7" t="s">
        <v>4</v>
      </c>
      <c r="F77" s="7" t="s">
        <v>15</v>
      </c>
      <c r="G77" s="8" t="s">
        <v>786</v>
      </c>
      <c r="H77" s="7" t="s">
        <v>35</v>
      </c>
      <c r="I77" s="7" t="s">
        <v>776</v>
      </c>
      <c r="J77" s="2" t="s">
        <v>1506</v>
      </c>
      <c r="K77" s="2" t="s">
        <v>1548</v>
      </c>
      <c r="L77" s="2" t="s">
        <v>1559</v>
      </c>
      <c r="M77" s="2" t="s">
        <v>1559</v>
      </c>
      <c r="N77" s="2" t="s">
        <v>1610</v>
      </c>
      <c r="O77" s="66"/>
      <c r="P77" s="2" t="s">
        <v>1506</v>
      </c>
      <c r="Q77" s="66" t="s">
        <v>2004</v>
      </c>
      <c r="R77" s="2"/>
    </row>
    <row r="78" spans="1:18" ht="27.75" hidden="1" customHeight="1" x14ac:dyDescent="0.3">
      <c r="A78" s="8">
        <v>1207700050001</v>
      </c>
      <c r="B78" s="7" t="s">
        <v>402</v>
      </c>
      <c r="C78" s="7" t="s">
        <v>1470</v>
      </c>
      <c r="D78" s="7">
        <v>1983</v>
      </c>
      <c r="E78" s="7" t="s">
        <v>19</v>
      </c>
      <c r="F78" s="7" t="s">
        <v>42</v>
      </c>
      <c r="G78" s="8" t="s">
        <v>1416</v>
      </c>
      <c r="H78" s="7" t="s">
        <v>263</v>
      </c>
      <c r="I78" s="7" t="s">
        <v>1225</v>
      </c>
      <c r="J78" s="2" t="s">
        <v>1544</v>
      </c>
      <c r="K78" s="11" t="s">
        <v>1912</v>
      </c>
      <c r="L78" s="2" t="s">
        <v>1571</v>
      </c>
      <c r="M78" s="2" t="s">
        <v>1609</v>
      </c>
      <c r="N78" s="2" t="s">
        <v>1610</v>
      </c>
      <c r="O78" s="2" t="s">
        <v>2625</v>
      </c>
      <c r="P78" s="2" t="s">
        <v>2053</v>
      </c>
      <c r="Q78" s="65"/>
      <c r="R78" s="2"/>
    </row>
    <row r="79" spans="1:18" ht="27.75" hidden="1" customHeight="1" x14ac:dyDescent="0.3">
      <c r="A79" s="8">
        <v>1101700010006</v>
      </c>
      <c r="B79" s="7" t="s">
        <v>1551</v>
      </c>
      <c r="C79" s="7" t="s">
        <v>167</v>
      </c>
      <c r="D79" s="7">
        <v>2014</v>
      </c>
      <c r="E79" s="7" t="s">
        <v>19</v>
      </c>
      <c r="F79" s="7" t="s">
        <v>52</v>
      </c>
      <c r="G79" s="8" t="s">
        <v>168</v>
      </c>
      <c r="H79" s="7" t="s">
        <v>35</v>
      </c>
      <c r="I79" s="7" t="s">
        <v>166</v>
      </c>
      <c r="J79" s="2" t="s">
        <v>1471</v>
      </c>
      <c r="K79" s="2" t="s">
        <v>1548</v>
      </c>
      <c r="L79" s="2" t="s">
        <v>1564</v>
      </c>
      <c r="M79" s="2" t="s">
        <v>2550</v>
      </c>
      <c r="N79" s="9" t="s">
        <v>2549</v>
      </c>
      <c r="O79" s="2" t="s">
        <v>2385</v>
      </c>
      <c r="P79" s="2" t="s">
        <v>1471</v>
      </c>
      <c r="Q79" s="66" t="s">
        <v>1995</v>
      </c>
      <c r="R79" s="2"/>
    </row>
    <row r="80" spans="1:18" ht="27.75" hidden="1" customHeight="1" x14ac:dyDescent="0.3">
      <c r="A80" s="8">
        <v>1106700010010</v>
      </c>
      <c r="B80" s="7" t="s">
        <v>114</v>
      </c>
      <c r="C80" s="7" t="s">
        <v>864</v>
      </c>
      <c r="D80" s="7">
        <v>2003</v>
      </c>
      <c r="E80" s="7" t="s">
        <v>19</v>
      </c>
      <c r="F80" s="7" t="s">
        <v>104</v>
      </c>
      <c r="G80" s="8" t="s">
        <v>865</v>
      </c>
      <c r="H80" s="7" t="s">
        <v>35</v>
      </c>
      <c r="I80" s="7" t="s">
        <v>861</v>
      </c>
      <c r="J80" s="2" t="s">
        <v>1471</v>
      </c>
      <c r="K80" s="2" t="s">
        <v>1548</v>
      </c>
      <c r="L80" s="2" t="s">
        <v>1564</v>
      </c>
      <c r="M80" s="2" t="s">
        <v>1584</v>
      </c>
      <c r="N80" s="10" t="s">
        <v>1812</v>
      </c>
      <c r="O80" s="65"/>
      <c r="P80" s="2" t="s">
        <v>1471</v>
      </c>
      <c r="Q80" s="65" t="s">
        <v>1996</v>
      </c>
      <c r="R80" s="2"/>
    </row>
    <row r="81" spans="1:18" ht="27.75" hidden="1" customHeight="1" x14ac:dyDescent="0.3">
      <c r="A81" s="8">
        <v>1105700150004</v>
      </c>
      <c r="B81" s="7" t="s">
        <v>40</v>
      </c>
      <c r="C81" s="7" t="s">
        <v>41</v>
      </c>
      <c r="D81" s="7">
        <v>2014</v>
      </c>
      <c r="E81" s="7" t="s">
        <v>19</v>
      </c>
      <c r="F81" s="7" t="s">
        <v>42</v>
      </c>
      <c r="G81" s="8" t="s">
        <v>43</v>
      </c>
      <c r="H81" s="7" t="s">
        <v>35</v>
      </c>
      <c r="I81" s="7" t="s">
        <v>39</v>
      </c>
      <c r="J81" s="2" t="s">
        <v>1506</v>
      </c>
      <c r="K81" s="11" t="s">
        <v>1912</v>
      </c>
      <c r="L81" s="2" t="s">
        <v>1571</v>
      </c>
      <c r="M81" s="2" t="s">
        <v>1800</v>
      </c>
      <c r="N81" s="2" t="s">
        <v>1801</v>
      </c>
      <c r="O81" s="2" t="s">
        <v>2508</v>
      </c>
      <c r="P81" s="2" t="s">
        <v>1506</v>
      </c>
      <c r="Q81" s="66" t="s">
        <v>2004</v>
      </c>
      <c r="R81" s="2" t="s">
        <v>1805</v>
      </c>
    </row>
    <row r="82" spans="1:18" ht="27.75" hidden="1" customHeight="1" x14ac:dyDescent="0.3">
      <c r="A82" s="8">
        <v>1106700020003</v>
      </c>
      <c r="B82" s="7" t="s">
        <v>54</v>
      </c>
      <c r="C82" s="7" t="s">
        <v>1437</v>
      </c>
      <c r="D82" s="7">
        <v>2012</v>
      </c>
      <c r="E82" s="7" t="s">
        <v>19</v>
      </c>
      <c r="F82" s="7" t="s">
        <v>56</v>
      </c>
      <c r="G82" s="8" t="s">
        <v>60</v>
      </c>
      <c r="H82" s="7" t="s">
        <v>35</v>
      </c>
      <c r="I82" s="7" t="s">
        <v>58</v>
      </c>
      <c r="J82" s="2" t="s">
        <v>1471</v>
      </c>
      <c r="K82" s="2" t="s">
        <v>1548</v>
      </c>
      <c r="L82" s="2" t="s">
        <v>1564</v>
      </c>
      <c r="M82" s="2" t="s">
        <v>2130</v>
      </c>
      <c r="N82" s="10" t="s">
        <v>1807</v>
      </c>
      <c r="O82" s="65"/>
      <c r="P82" s="2" t="s">
        <v>1471</v>
      </c>
      <c r="Q82" s="65" t="s">
        <v>1996</v>
      </c>
      <c r="R82" s="2"/>
    </row>
    <row r="83" spans="1:18" ht="27.75" hidden="1" customHeight="1" x14ac:dyDescent="0.3">
      <c r="A83" s="8">
        <v>1204700010003</v>
      </c>
      <c r="B83" s="7" t="s">
        <v>96</v>
      </c>
      <c r="C83" s="7" t="s">
        <v>686</v>
      </c>
      <c r="D83" s="7">
        <v>2000</v>
      </c>
      <c r="E83" s="7" t="s">
        <v>4</v>
      </c>
      <c r="F83" s="7" t="s">
        <v>10</v>
      </c>
      <c r="G83" s="8" t="s">
        <v>687</v>
      </c>
      <c r="H83" s="7" t="s">
        <v>263</v>
      </c>
      <c r="I83" s="7" t="s">
        <v>632</v>
      </c>
      <c r="J83" s="2" t="s">
        <v>1544</v>
      </c>
      <c r="K83" s="2" t="s">
        <v>1548</v>
      </c>
      <c r="L83" s="2" t="s">
        <v>1564</v>
      </c>
      <c r="M83" s="2" t="s">
        <v>1880</v>
      </c>
      <c r="N83" s="10" t="s">
        <v>1881</v>
      </c>
      <c r="O83" s="66"/>
      <c r="P83" s="2" t="s">
        <v>2053</v>
      </c>
      <c r="Q83" s="66"/>
      <c r="R83" s="2"/>
    </row>
    <row r="84" spans="1:18" ht="27.75" hidden="1" customHeight="1" x14ac:dyDescent="0.3">
      <c r="A84" s="8">
        <v>1106700010003</v>
      </c>
      <c r="B84" s="7" t="s">
        <v>102</v>
      </c>
      <c r="C84" s="7" t="s">
        <v>669</v>
      </c>
      <c r="D84" s="7">
        <v>1989</v>
      </c>
      <c r="E84" s="7" t="s">
        <v>19</v>
      </c>
      <c r="F84" s="7" t="s">
        <v>104</v>
      </c>
      <c r="G84" s="8">
        <v>34600155417060</v>
      </c>
      <c r="H84" s="7" t="s">
        <v>263</v>
      </c>
      <c r="I84" s="7" t="s">
        <v>632</v>
      </c>
      <c r="J84" s="2" t="s">
        <v>1544</v>
      </c>
      <c r="K84" s="2" t="s">
        <v>1548</v>
      </c>
      <c r="L84" s="2" t="s">
        <v>1571</v>
      </c>
      <c r="M84" s="2" t="s">
        <v>2519</v>
      </c>
      <c r="N84" s="9" t="s">
        <v>2528</v>
      </c>
      <c r="O84" s="2" t="s">
        <v>1944</v>
      </c>
      <c r="P84" s="2" t="s">
        <v>1506</v>
      </c>
      <c r="Q84" s="65" t="s">
        <v>2008</v>
      </c>
      <c r="R84" s="2"/>
    </row>
    <row r="85" spans="1:18" ht="27.75" hidden="1" customHeight="1" x14ac:dyDescent="0.3">
      <c r="A85" s="8">
        <v>1204700010003</v>
      </c>
      <c r="B85" s="7" t="s">
        <v>96</v>
      </c>
      <c r="C85" s="7" t="s">
        <v>471</v>
      </c>
      <c r="D85" s="7">
        <v>2002</v>
      </c>
      <c r="E85" s="7" t="s">
        <v>4</v>
      </c>
      <c r="F85" s="7" t="s">
        <v>10</v>
      </c>
      <c r="G85" s="8" t="s">
        <v>472</v>
      </c>
      <c r="H85" s="7" t="s">
        <v>263</v>
      </c>
      <c r="I85" s="7" t="s">
        <v>465</v>
      </c>
      <c r="J85" s="110" t="s">
        <v>1471</v>
      </c>
      <c r="K85" s="11" t="s">
        <v>1912</v>
      </c>
      <c r="L85" s="2" t="s">
        <v>1615</v>
      </c>
      <c r="M85" s="2" t="s">
        <v>1615</v>
      </c>
      <c r="N85" s="2" t="s">
        <v>2469</v>
      </c>
      <c r="O85" s="2" t="s">
        <v>2565</v>
      </c>
      <c r="P85" s="2" t="s">
        <v>1471</v>
      </c>
      <c r="Q85" s="66" t="s">
        <v>1994</v>
      </c>
      <c r="R85" s="2"/>
    </row>
    <row r="86" spans="1:18" ht="27.75" hidden="1" customHeight="1" x14ac:dyDescent="0.3">
      <c r="A86" s="8">
        <v>1106700020003</v>
      </c>
      <c r="B86" s="7" t="s">
        <v>54</v>
      </c>
      <c r="C86" s="7" t="s">
        <v>904</v>
      </c>
      <c r="D86" s="7">
        <v>2011</v>
      </c>
      <c r="E86" s="7" t="s">
        <v>19</v>
      </c>
      <c r="F86" s="7" t="s">
        <v>56</v>
      </c>
      <c r="G86" s="8" t="s">
        <v>905</v>
      </c>
      <c r="H86" s="7" t="s">
        <v>35</v>
      </c>
      <c r="I86" s="7" t="s">
        <v>901</v>
      </c>
      <c r="J86" s="2" t="s">
        <v>1498</v>
      </c>
      <c r="K86" s="2" t="s">
        <v>1548</v>
      </c>
      <c r="L86" s="2" t="s">
        <v>1571</v>
      </c>
      <c r="M86" s="2" t="s">
        <v>1840</v>
      </c>
      <c r="N86" s="10" t="s">
        <v>1841</v>
      </c>
      <c r="O86" s="65"/>
      <c r="P86" s="2" t="s">
        <v>2024</v>
      </c>
      <c r="Q86" s="65" t="s">
        <v>2026</v>
      </c>
      <c r="R86" s="2"/>
    </row>
    <row r="87" spans="1:18" ht="27.75" hidden="1" customHeight="1" x14ac:dyDescent="0.3">
      <c r="A87" s="8">
        <v>1102700010004</v>
      </c>
      <c r="B87" s="7" t="s">
        <v>64</v>
      </c>
      <c r="C87" s="7" t="s">
        <v>779</v>
      </c>
      <c r="D87" s="7">
        <v>2012</v>
      </c>
      <c r="E87" s="7" t="s">
        <v>19</v>
      </c>
      <c r="F87" s="7" t="s">
        <v>66</v>
      </c>
      <c r="G87" s="8" t="s">
        <v>780</v>
      </c>
      <c r="H87" s="7" t="s">
        <v>35</v>
      </c>
      <c r="I87" s="7" t="s">
        <v>776</v>
      </c>
      <c r="J87" s="2" t="s">
        <v>1506</v>
      </c>
      <c r="K87" s="2" t="s">
        <v>1548</v>
      </c>
      <c r="L87" s="2" t="s">
        <v>1571</v>
      </c>
      <c r="M87" s="2" t="s">
        <v>2314</v>
      </c>
      <c r="N87" s="2" t="s">
        <v>2313</v>
      </c>
      <c r="O87" s="66"/>
      <c r="P87" s="2" t="s">
        <v>1506</v>
      </c>
      <c r="Q87" s="66" t="s">
        <v>2006</v>
      </c>
      <c r="R87" s="2"/>
    </row>
    <row r="88" spans="1:18" ht="27.75" hidden="1" customHeight="1" x14ac:dyDescent="0.3">
      <c r="A88" s="8">
        <v>1106700020003</v>
      </c>
      <c r="B88" s="7" t="s">
        <v>54</v>
      </c>
      <c r="C88" s="7" t="s">
        <v>940</v>
      </c>
      <c r="D88" s="7">
        <v>2013</v>
      </c>
      <c r="E88" s="7" t="s">
        <v>19</v>
      </c>
      <c r="F88" s="7" t="s">
        <v>56</v>
      </c>
      <c r="G88" s="8" t="s">
        <v>941</v>
      </c>
      <c r="H88" s="7" t="s">
        <v>35</v>
      </c>
      <c r="I88" s="7" t="s">
        <v>938</v>
      </c>
      <c r="J88" s="2" t="s">
        <v>1518</v>
      </c>
      <c r="K88" s="11" t="s">
        <v>1912</v>
      </c>
      <c r="L88" s="2"/>
      <c r="M88" s="2"/>
      <c r="N88" s="2"/>
      <c r="O88" s="65" t="s">
        <v>2183</v>
      </c>
      <c r="P88" s="2" t="s">
        <v>1518</v>
      </c>
      <c r="Q88" s="65" t="s">
        <v>1990</v>
      </c>
      <c r="R88" s="2"/>
    </row>
    <row r="89" spans="1:18" ht="27.75" hidden="1" customHeight="1" x14ac:dyDescent="0.3">
      <c r="A89" s="8">
        <v>1204700020003</v>
      </c>
      <c r="B89" s="7" t="s">
        <v>13</v>
      </c>
      <c r="C89" s="7" t="s">
        <v>1397</v>
      </c>
      <c r="D89" s="7">
        <v>2009</v>
      </c>
      <c r="E89" s="7" t="s">
        <v>19</v>
      </c>
      <c r="F89" s="7" t="s">
        <v>10</v>
      </c>
      <c r="G89" s="8" t="s">
        <v>1398</v>
      </c>
      <c r="H89" s="7" t="s">
        <v>263</v>
      </c>
      <c r="I89" s="7" t="s">
        <v>1225</v>
      </c>
      <c r="J89" s="2" t="s">
        <v>1544</v>
      </c>
      <c r="K89" s="2" t="s">
        <v>1548</v>
      </c>
      <c r="L89" s="2" t="s">
        <v>1564</v>
      </c>
      <c r="M89" s="2" t="s">
        <v>1884</v>
      </c>
      <c r="N89" s="2" t="s">
        <v>1793</v>
      </c>
      <c r="O89" s="66"/>
      <c r="P89" s="2" t="s">
        <v>2053</v>
      </c>
      <c r="Q89" s="66"/>
      <c r="R89" s="2"/>
    </row>
    <row r="90" spans="1:18" ht="27.75" hidden="1" customHeight="1" x14ac:dyDescent="0.3">
      <c r="A90" s="8">
        <v>1105700080001</v>
      </c>
      <c r="B90" s="7" t="s">
        <v>302</v>
      </c>
      <c r="C90" s="7" t="s">
        <v>654</v>
      </c>
      <c r="D90" s="7">
        <v>2010</v>
      </c>
      <c r="E90" s="7" t="s">
        <v>19</v>
      </c>
      <c r="F90" s="7" t="s">
        <v>20</v>
      </c>
      <c r="G90" s="8" t="s">
        <v>655</v>
      </c>
      <c r="H90" s="7" t="s">
        <v>263</v>
      </c>
      <c r="I90" s="7" t="s">
        <v>632</v>
      </c>
      <c r="J90" s="2" t="s">
        <v>1544</v>
      </c>
      <c r="K90" s="2" t="s">
        <v>1548</v>
      </c>
      <c r="L90" s="2" t="s">
        <v>1559</v>
      </c>
      <c r="M90" s="2" t="s">
        <v>1559</v>
      </c>
      <c r="N90" s="10" t="s">
        <v>1577</v>
      </c>
      <c r="O90" s="65"/>
      <c r="P90" s="2" t="s">
        <v>2053</v>
      </c>
      <c r="Q90" s="65"/>
      <c r="R90" s="2"/>
    </row>
    <row r="91" spans="1:18" ht="27.75" hidden="1" customHeight="1" x14ac:dyDescent="0.3">
      <c r="A91" s="8">
        <v>1204700010003</v>
      </c>
      <c r="B91" s="7" t="s">
        <v>96</v>
      </c>
      <c r="C91" s="7" t="s">
        <v>373</v>
      </c>
      <c r="D91" s="7">
        <v>2008</v>
      </c>
      <c r="E91" s="7" t="s">
        <v>19</v>
      </c>
      <c r="F91" s="7" t="s">
        <v>10</v>
      </c>
      <c r="G91" s="8" t="s">
        <v>374</v>
      </c>
      <c r="H91" s="7" t="s">
        <v>263</v>
      </c>
      <c r="I91" s="7" t="s">
        <v>270</v>
      </c>
      <c r="J91" s="2" t="s">
        <v>1544</v>
      </c>
      <c r="K91" s="11" t="s">
        <v>1912</v>
      </c>
      <c r="L91" s="2"/>
      <c r="M91" s="2"/>
      <c r="N91" s="10"/>
      <c r="O91" s="66" t="s">
        <v>2197</v>
      </c>
      <c r="P91" s="2" t="s">
        <v>2053</v>
      </c>
      <c r="Q91" s="66"/>
      <c r="R91" s="2"/>
    </row>
    <row r="92" spans="1:18" ht="27.75" hidden="1" customHeight="1" x14ac:dyDescent="0.3">
      <c r="A92" s="8">
        <v>1107700010002</v>
      </c>
      <c r="B92" s="7" t="s">
        <v>680</v>
      </c>
      <c r="C92" s="7" t="s">
        <v>681</v>
      </c>
      <c r="D92" s="7">
        <v>2007</v>
      </c>
      <c r="E92" s="7" t="s">
        <v>19</v>
      </c>
      <c r="F92" s="7" t="s">
        <v>351</v>
      </c>
      <c r="G92" s="8" t="s">
        <v>682</v>
      </c>
      <c r="H92" s="7" t="s">
        <v>263</v>
      </c>
      <c r="I92" s="7" t="s">
        <v>632</v>
      </c>
      <c r="J92" s="2" t="s">
        <v>1544</v>
      </c>
      <c r="K92" s="2" t="s">
        <v>1548</v>
      </c>
      <c r="L92" s="2" t="s">
        <v>1564</v>
      </c>
      <c r="M92" s="2" t="s">
        <v>1573</v>
      </c>
      <c r="N92" s="10" t="s">
        <v>1574</v>
      </c>
      <c r="O92" s="65"/>
      <c r="P92" s="2" t="s">
        <v>2053</v>
      </c>
      <c r="Q92" s="65"/>
      <c r="R92" s="2"/>
    </row>
    <row r="93" spans="1:18" ht="27.75" hidden="1" customHeight="1" x14ac:dyDescent="0.3">
      <c r="A93" s="8">
        <v>1106700020010</v>
      </c>
      <c r="B93" s="7" t="s">
        <v>210</v>
      </c>
      <c r="C93" s="7" t="s">
        <v>1363</v>
      </c>
      <c r="D93" s="7">
        <v>2009</v>
      </c>
      <c r="E93" s="7" t="s">
        <v>19</v>
      </c>
      <c r="F93" s="7" t="s">
        <v>52</v>
      </c>
      <c r="G93" s="8" t="s">
        <v>1364</v>
      </c>
      <c r="H93" s="7" t="s">
        <v>263</v>
      </c>
      <c r="I93" s="7" t="s">
        <v>1225</v>
      </c>
      <c r="J93" s="2" t="s">
        <v>1477</v>
      </c>
      <c r="K93" s="2" t="s">
        <v>1548</v>
      </c>
      <c r="L93" s="2" t="s">
        <v>1564</v>
      </c>
      <c r="M93" s="2" t="s">
        <v>2168</v>
      </c>
      <c r="N93" s="2" t="s">
        <v>2165</v>
      </c>
      <c r="O93" s="66"/>
      <c r="P93" s="2" t="s">
        <v>1477</v>
      </c>
      <c r="Q93" s="66" t="s">
        <v>1999</v>
      </c>
      <c r="R93" s="2"/>
    </row>
    <row r="94" spans="1:18" ht="27.75" hidden="1" customHeight="1" x14ac:dyDescent="0.3">
      <c r="A94" s="8">
        <v>1102700020004</v>
      </c>
      <c r="B94" s="7" t="s">
        <v>136</v>
      </c>
      <c r="C94" s="7" t="s">
        <v>510</v>
      </c>
      <c r="D94" s="7">
        <v>2015</v>
      </c>
      <c r="E94" s="7" t="s">
        <v>19</v>
      </c>
      <c r="F94" s="7" t="s">
        <v>66</v>
      </c>
      <c r="G94" s="8" t="s">
        <v>511</v>
      </c>
      <c r="H94" s="7" t="s">
        <v>263</v>
      </c>
      <c r="I94" s="7" t="s">
        <v>509</v>
      </c>
      <c r="J94" s="2" t="s">
        <v>1549</v>
      </c>
      <c r="K94" s="2" t="s">
        <v>1548</v>
      </c>
      <c r="L94" s="2" t="s">
        <v>1564</v>
      </c>
      <c r="M94" s="2" t="s">
        <v>1783</v>
      </c>
      <c r="N94" s="10" t="s">
        <v>1784</v>
      </c>
      <c r="O94" s="65"/>
      <c r="P94" s="2" t="s">
        <v>1506</v>
      </c>
      <c r="Q94" s="65" t="s">
        <v>2005</v>
      </c>
      <c r="R94" s="2" t="s">
        <v>1477</v>
      </c>
    </row>
    <row r="95" spans="1:18" ht="27.75" hidden="1" customHeight="1" x14ac:dyDescent="0.3">
      <c r="A95" s="8">
        <v>1204700020003</v>
      </c>
      <c r="B95" s="7" t="s">
        <v>13</v>
      </c>
      <c r="C95" s="7" t="s">
        <v>691</v>
      </c>
      <c r="D95" s="7">
        <v>2008</v>
      </c>
      <c r="E95" s="7" t="s">
        <v>19</v>
      </c>
      <c r="F95" s="7" t="s">
        <v>15</v>
      </c>
      <c r="G95" s="8" t="s">
        <v>692</v>
      </c>
      <c r="H95" s="7" t="s">
        <v>263</v>
      </c>
      <c r="I95" s="7" t="s">
        <v>632</v>
      </c>
      <c r="J95" s="2" t="s">
        <v>1544</v>
      </c>
      <c r="K95" s="11" t="s">
        <v>1912</v>
      </c>
      <c r="L95" s="2"/>
      <c r="M95" s="2"/>
      <c r="N95" s="2"/>
      <c r="O95" s="2" t="s">
        <v>2391</v>
      </c>
      <c r="P95" s="2" t="s">
        <v>2053</v>
      </c>
      <c r="Q95" s="66"/>
      <c r="R95" s="2"/>
    </row>
    <row r="96" spans="1:18" ht="27.75" hidden="1" customHeight="1" x14ac:dyDescent="0.3">
      <c r="A96" s="8">
        <v>1204700020003</v>
      </c>
      <c r="B96" s="7" t="s">
        <v>13</v>
      </c>
      <c r="C96" s="7" t="s">
        <v>526</v>
      </c>
      <c r="D96" s="7">
        <v>2009</v>
      </c>
      <c r="E96" s="7" t="s">
        <v>19</v>
      </c>
      <c r="F96" s="7" t="s">
        <v>10</v>
      </c>
      <c r="G96" s="8" t="s">
        <v>527</v>
      </c>
      <c r="H96" s="7" t="s">
        <v>263</v>
      </c>
      <c r="I96" s="7" t="s">
        <v>509</v>
      </c>
      <c r="J96" s="2" t="s">
        <v>1477</v>
      </c>
      <c r="K96" s="2" t="s">
        <v>1912</v>
      </c>
      <c r="L96" s="2"/>
      <c r="M96" s="2"/>
      <c r="N96" s="10"/>
      <c r="O96" s="65" t="s">
        <v>2196</v>
      </c>
      <c r="P96" s="2" t="s">
        <v>1477</v>
      </c>
      <c r="Q96" s="65" t="s">
        <v>1999</v>
      </c>
      <c r="R96" s="2"/>
    </row>
    <row r="97" spans="1:18" ht="27.75" hidden="1" customHeight="1" x14ac:dyDescent="0.3">
      <c r="A97" s="8">
        <v>1105700140001</v>
      </c>
      <c r="B97" s="7" t="s">
        <v>314</v>
      </c>
      <c r="C97" s="7" t="s">
        <v>315</v>
      </c>
      <c r="D97" s="7">
        <v>2012</v>
      </c>
      <c r="E97" s="7" t="s">
        <v>19</v>
      </c>
      <c r="F97" s="7" t="s">
        <v>42</v>
      </c>
      <c r="G97" s="8" t="s">
        <v>316</v>
      </c>
      <c r="H97" s="7" t="s">
        <v>263</v>
      </c>
      <c r="I97" s="7" t="s">
        <v>270</v>
      </c>
      <c r="J97" s="2" t="s">
        <v>1544</v>
      </c>
      <c r="K97" s="2" t="s">
        <v>1548</v>
      </c>
      <c r="L97" s="2" t="s">
        <v>1571</v>
      </c>
      <c r="M97" s="2" t="s">
        <v>1616</v>
      </c>
      <c r="N97" s="2" t="s">
        <v>1617</v>
      </c>
      <c r="O97" s="66"/>
      <c r="P97" s="2" t="s">
        <v>2053</v>
      </c>
      <c r="Q97" s="66"/>
      <c r="R97" s="2"/>
    </row>
    <row r="98" spans="1:18" ht="27.75" hidden="1" customHeight="1" x14ac:dyDescent="0.3">
      <c r="A98" s="8">
        <v>1106700020003</v>
      </c>
      <c r="B98" s="7" t="s">
        <v>54</v>
      </c>
      <c r="C98" s="7" t="s">
        <v>164</v>
      </c>
      <c r="D98" s="7">
        <v>2013</v>
      </c>
      <c r="E98" s="7" t="s">
        <v>19</v>
      </c>
      <c r="F98" s="7" t="s">
        <v>56</v>
      </c>
      <c r="G98" s="8" t="s">
        <v>165</v>
      </c>
      <c r="H98" s="7" t="s">
        <v>35</v>
      </c>
      <c r="I98" s="7" t="s">
        <v>153</v>
      </c>
      <c r="J98" s="2" t="s">
        <v>1537</v>
      </c>
      <c r="K98" s="2" t="s">
        <v>1548</v>
      </c>
      <c r="L98" s="2" t="s">
        <v>1559</v>
      </c>
      <c r="M98" s="2" t="s">
        <v>1559</v>
      </c>
      <c r="N98" s="10" t="s">
        <v>1854</v>
      </c>
      <c r="O98" s="65"/>
      <c r="P98" s="2" t="s">
        <v>1537</v>
      </c>
      <c r="Q98" s="65" t="s">
        <v>2040</v>
      </c>
      <c r="R98" s="2"/>
    </row>
    <row r="99" spans="1:18" ht="27.75" hidden="1" customHeight="1" x14ac:dyDescent="0.3">
      <c r="A99" s="8">
        <v>1106700020003</v>
      </c>
      <c r="B99" s="7" t="s">
        <v>54</v>
      </c>
      <c r="C99" s="7" t="s">
        <v>341</v>
      </c>
      <c r="D99" s="7">
        <v>2011</v>
      </c>
      <c r="E99" s="7" t="s">
        <v>19</v>
      </c>
      <c r="F99" s="7" t="s">
        <v>56</v>
      </c>
      <c r="G99" s="8" t="s">
        <v>342</v>
      </c>
      <c r="H99" s="7" t="s">
        <v>263</v>
      </c>
      <c r="I99" s="7" t="s">
        <v>270</v>
      </c>
      <c r="J99" s="2" t="s">
        <v>1544</v>
      </c>
      <c r="K99" s="2" t="s">
        <v>1548</v>
      </c>
      <c r="L99" s="2" t="s">
        <v>1564</v>
      </c>
      <c r="M99" s="2" t="s">
        <v>1594</v>
      </c>
      <c r="N99" s="10" t="s">
        <v>1595</v>
      </c>
      <c r="O99" s="66"/>
      <c r="P99" s="2" t="s">
        <v>2053</v>
      </c>
      <c r="Q99" s="66"/>
      <c r="R99" s="2"/>
    </row>
    <row r="100" spans="1:18" ht="27.75" hidden="1" customHeight="1" x14ac:dyDescent="0.3">
      <c r="A100" s="8">
        <v>1104700010001</v>
      </c>
      <c r="B100" s="7" t="s">
        <v>245</v>
      </c>
      <c r="C100" s="7" t="s">
        <v>246</v>
      </c>
      <c r="D100" s="7">
        <v>2006</v>
      </c>
      <c r="E100" s="7" t="s">
        <v>19</v>
      </c>
      <c r="F100" s="7" t="s">
        <v>247</v>
      </c>
      <c r="G100" s="8" t="s">
        <v>248</v>
      </c>
      <c r="H100" s="7" t="s">
        <v>0</v>
      </c>
      <c r="I100" s="7" t="s">
        <v>240</v>
      </c>
      <c r="J100" s="2" t="s">
        <v>1543</v>
      </c>
      <c r="K100" s="9" t="s">
        <v>1553</v>
      </c>
      <c r="L100" s="2" t="s">
        <v>1565</v>
      </c>
      <c r="M100" s="2" t="s">
        <v>1628</v>
      </c>
      <c r="N100" s="2" t="s">
        <v>1629</v>
      </c>
      <c r="O100" s="65"/>
      <c r="P100" s="2" t="s">
        <v>2051</v>
      </c>
      <c r="Q100" s="65"/>
      <c r="R100" s="2" t="s">
        <v>1543</v>
      </c>
    </row>
    <row r="101" spans="1:18" ht="27.75" hidden="1" customHeight="1" x14ac:dyDescent="0.3">
      <c r="A101" s="8">
        <v>1102700010004</v>
      </c>
      <c r="B101" s="7" t="s">
        <v>64</v>
      </c>
      <c r="C101" s="7" t="s">
        <v>223</v>
      </c>
      <c r="D101" s="7">
        <v>2012</v>
      </c>
      <c r="E101" s="7" t="s">
        <v>19</v>
      </c>
      <c r="F101" s="7" t="s">
        <v>42</v>
      </c>
      <c r="G101" s="8" t="s">
        <v>224</v>
      </c>
      <c r="H101" s="7" t="s">
        <v>35</v>
      </c>
      <c r="I101" s="7" t="s">
        <v>220</v>
      </c>
      <c r="J101" s="2" t="s">
        <v>1549</v>
      </c>
      <c r="K101" s="2" t="s">
        <v>1548</v>
      </c>
      <c r="L101" s="2" t="s">
        <v>1564</v>
      </c>
      <c r="M101" s="2" t="s">
        <v>1864</v>
      </c>
      <c r="N101" s="10" t="s">
        <v>1865</v>
      </c>
      <c r="O101" s="66"/>
      <c r="P101" s="2" t="s">
        <v>1525</v>
      </c>
      <c r="Q101" s="66" t="s">
        <v>2018</v>
      </c>
      <c r="R101" s="2"/>
    </row>
    <row r="102" spans="1:18" ht="27.75" hidden="1" customHeight="1" x14ac:dyDescent="0.3">
      <c r="A102" s="8">
        <v>1106700010003</v>
      </c>
      <c r="B102" s="7" t="s">
        <v>102</v>
      </c>
      <c r="C102" s="7" t="s">
        <v>671</v>
      </c>
      <c r="D102" s="7">
        <v>2002</v>
      </c>
      <c r="E102" s="7" t="s">
        <v>19</v>
      </c>
      <c r="F102" s="7" t="s">
        <v>104</v>
      </c>
      <c r="G102" s="8" t="s">
        <v>672</v>
      </c>
      <c r="H102" s="7" t="s">
        <v>263</v>
      </c>
      <c r="I102" s="7" t="s">
        <v>632</v>
      </c>
      <c r="J102" s="2" t="s">
        <v>1537</v>
      </c>
      <c r="K102" s="2" t="s">
        <v>1548</v>
      </c>
      <c r="L102" s="2" t="s">
        <v>1564</v>
      </c>
      <c r="M102" s="2" t="s">
        <v>2515</v>
      </c>
      <c r="N102" s="9" t="s">
        <v>2521</v>
      </c>
      <c r="O102" s="2" t="s">
        <v>2516</v>
      </c>
      <c r="P102" s="2" t="s">
        <v>1537</v>
      </c>
      <c r="Q102" s="65" t="s">
        <v>2040</v>
      </c>
      <c r="R102" s="2"/>
    </row>
    <row r="103" spans="1:18" ht="27.75" hidden="1" customHeight="1" x14ac:dyDescent="0.3">
      <c r="A103" s="8">
        <v>1106700010010</v>
      </c>
      <c r="B103" s="7" t="s">
        <v>114</v>
      </c>
      <c r="C103" s="7" t="s">
        <v>763</v>
      </c>
      <c r="D103" s="7">
        <v>2002</v>
      </c>
      <c r="E103" s="7" t="s">
        <v>19</v>
      </c>
      <c r="F103" s="7" t="s">
        <v>52</v>
      </c>
      <c r="G103" s="8" t="s">
        <v>764</v>
      </c>
      <c r="H103" s="7" t="s">
        <v>35</v>
      </c>
      <c r="I103" s="7" t="s">
        <v>760</v>
      </c>
      <c r="J103" s="2" t="s">
        <v>1487</v>
      </c>
      <c r="K103" s="2" t="s">
        <v>1548</v>
      </c>
      <c r="L103" s="2" t="s">
        <v>1571</v>
      </c>
      <c r="M103" s="2" t="s">
        <v>1754</v>
      </c>
      <c r="N103" s="2" t="s">
        <v>1746</v>
      </c>
      <c r="O103" s="66"/>
      <c r="P103" s="2" t="s">
        <v>2034</v>
      </c>
      <c r="Q103" s="66" t="s">
        <v>2037</v>
      </c>
      <c r="R103" s="2"/>
    </row>
    <row r="104" spans="1:18" ht="27.75" hidden="1" customHeight="1" x14ac:dyDescent="0.3">
      <c r="A104" s="8">
        <v>1106700020003</v>
      </c>
      <c r="B104" s="7" t="s">
        <v>54</v>
      </c>
      <c r="C104" s="7" t="s">
        <v>818</v>
      </c>
      <c r="D104" s="7">
        <v>2016</v>
      </c>
      <c r="E104" s="7" t="s">
        <v>19</v>
      </c>
      <c r="F104" s="7" t="s">
        <v>56</v>
      </c>
      <c r="G104" s="8" t="s">
        <v>819</v>
      </c>
      <c r="H104" s="7" t="s">
        <v>35</v>
      </c>
      <c r="I104" s="7" t="s">
        <v>813</v>
      </c>
      <c r="J104" s="2" t="s">
        <v>1518</v>
      </c>
      <c r="K104" s="2" t="s">
        <v>1548</v>
      </c>
      <c r="L104" s="2" t="s">
        <v>1567</v>
      </c>
      <c r="M104" s="2" t="s">
        <v>2151</v>
      </c>
      <c r="N104" s="2" t="s">
        <v>1829</v>
      </c>
      <c r="O104" s="65"/>
      <c r="P104" s="2" t="s">
        <v>1518</v>
      </c>
      <c r="Q104" s="65" t="s">
        <v>1987</v>
      </c>
      <c r="R104" s="2" t="s">
        <v>1830</v>
      </c>
    </row>
    <row r="105" spans="1:18" ht="27.75" hidden="1" customHeight="1" x14ac:dyDescent="0.3">
      <c r="A105" s="8">
        <v>1101700010006</v>
      </c>
      <c r="B105" s="7" t="s">
        <v>1551</v>
      </c>
      <c r="C105" s="7" t="s">
        <v>814</v>
      </c>
      <c r="D105" s="7">
        <v>2013</v>
      </c>
      <c r="E105" s="7" t="s">
        <v>19</v>
      </c>
      <c r="F105" s="7" t="s">
        <v>52</v>
      </c>
      <c r="G105" s="8" t="s">
        <v>815</v>
      </c>
      <c r="H105" s="7" t="s">
        <v>35</v>
      </c>
      <c r="I105" s="7" t="s">
        <v>813</v>
      </c>
      <c r="J105" s="2" t="s">
        <v>1518</v>
      </c>
      <c r="K105" s="11" t="s">
        <v>1912</v>
      </c>
      <c r="L105" s="2" t="s">
        <v>1570</v>
      </c>
      <c r="M105" s="2" t="s">
        <v>2583</v>
      </c>
      <c r="N105" s="2" t="s">
        <v>2579</v>
      </c>
      <c r="O105" s="2" t="s">
        <v>2593</v>
      </c>
      <c r="P105" s="2" t="s">
        <v>1518</v>
      </c>
      <c r="Q105" s="66" t="s">
        <v>1987</v>
      </c>
      <c r="R105" s="2"/>
    </row>
    <row r="106" spans="1:18" ht="27.75" hidden="1" customHeight="1" x14ac:dyDescent="0.3">
      <c r="A106" s="8">
        <v>1106700020003</v>
      </c>
      <c r="B106" s="7" t="s">
        <v>54</v>
      </c>
      <c r="C106" s="7" t="s">
        <v>916</v>
      </c>
      <c r="D106" s="7">
        <v>2011</v>
      </c>
      <c r="E106" s="7" t="s">
        <v>19</v>
      </c>
      <c r="F106" s="7" t="s">
        <v>56</v>
      </c>
      <c r="G106" s="8" t="s">
        <v>917</v>
      </c>
      <c r="H106" s="7" t="s">
        <v>35</v>
      </c>
      <c r="I106" s="7" t="s">
        <v>913</v>
      </c>
      <c r="J106" s="2" t="s">
        <v>1477</v>
      </c>
      <c r="K106" s="11" t="s">
        <v>1912</v>
      </c>
      <c r="L106" s="2" t="s">
        <v>1571</v>
      </c>
      <c r="M106" s="2" t="s">
        <v>2486</v>
      </c>
      <c r="N106" s="2" t="s">
        <v>2480</v>
      </c>
      <c r="O106" s="2" t="s">
        <v>2504</v>
      </c>
      <c r="P106" s="2" t="s">
        <v>1477</v>
      </c>
      <c r="Q106" s="65" t="s">
        <v>2000</v>
      </c>
      <c r="R106" s="2"/>
    </row>
    <row r="107" spans="1:18" ht="27.75" hidden="1" customHeight="1" x14ac:dyDescent="0.3">
      <c r="A107" s="8">
        <v>1106700020003</v>
      </c>
      <c r="B107" s="7" t="s">
        <v>54</v>
      </c>
      <c r="C107" s="7" t="s">
        <v>110</v>
      </c>
      <c r="D107" s="7">
        <v>2012</v>
      </c>
      <c r="E107" s="7" t="s">
        <v>19</v>
      </c>
      <c r="F107" s="7" t="s">
        <v>56</v>
      </c>
      <c r="G107" s="8" t="s">
        <v>111</v>
      </c>
      <c r="H107" s="7" t="s">
        <v>35</v>
      </c>
      <c r="I107" s="7" t="s">
        <v>107</v>
      </c>
      <c r="J107" s="2" t="s">
        <v>1471</v>
      </c>
      <c r="K107" s="11" t="s">
        <v>1912</v>
      </c>
      <c r="L107" s="2" t="s">
        <v>1564</v>
      </c>
      <c r="M107" s="2" t="s">
        <v>1815</v>
      </c>
      <c r="N107" s="2" t="s">
        <v>1816</v>
      </c>
      <c r="O107" s="2" t="s">
        <v>2448</v>
      </c>
      <c r="P107" s="2" t="s">
        <v>1471</v>
      </c>
      <c r="Q107" s="66" t="s">
        <v>1995</v>
      </c>
      <c r="R107" s="2"/>
    </row>
    <row r="108" spans="1:18" ht="27.75" hidden="1" customHeight="1" x14ac:dyDescent="0.3">
      <c r="A108" s="8">
        <v>1204700020009</v>
      </c>
      <c r="B108" s="7" t="s">
        <v>29</v>
      </c>
      <c r="C108" s="7" t="s">
        <v>1183</v>
      </c>
      <c r="D108" s="7">
        <v>2016</v>
      </c>
      <c r="E108" s="7" t="s">
        <v>19</v>
      </c>
      <c r="F108" s="7" t="s">
        <v>261</v>
      </c>
      <c r="G108" s="8" t="s">
        <v>1184</v>
      </c>
      <c r="H108" s="7" t="s">
        <v>945</v>
      </c>
      <c r="I108" s="7" t="s">
        <v>1178</v>
      </c>
      <c r="J108" s="2" t="s">
        <v>1477</v>
      </c>
      <c r="K108" s="2" t="s">
        <v>1548</v>
      </c>
      <c r="L108" s="2" t="s">
        <v>1564</v>
      </c>
      <c r="M108" s="2" t="s">
        <v>2257</v>
      </c>
      <c r="N108" s="2" t="s">
        <v>2256</v>
      </c>
      <c r="O108" s="65"/>
      <c r="P108" s="2" t="s">
        <v>1477</v>
      </c>
      <c r="Q108" s="65" t="s">
        <v>1999</v>
      </c>
      <c r="R108" s="2"/>
    </row>
    <row r="109" spans="1:18" ht="27.75" hidden="1" customHeight="1" x14ac:dyDescent="0.3">
      <c r="A109" s="8">
        <v>1106700020003</v>
      </c>
      <c r="B109" s="7" t="s">
        <v>54</v>
      </c>
      <c r="C109" s="7" t="s">
        <v>196</v>
      </c>
      <c r="D109" s="7">
        <v>2014</v>
      </c>
      <c r="E109" s="7" t="s">
        <v>19</v>
      </c>
      <c r="F109" s="7" t="s">
        <v>56</v>
      </c>
      <c r="G109" s="8" t="s">
        <v>197</v>
      </c>
      <c r="H109" s="7" t="s">
        <v>35</v>
      </c>
      <c r="I109" s="7" t="s">
        <v>192</v>
      </c>
      <c r="J109" s="2" t="s">
        <v>1513</v>
      </c>
      <c r="K109" s="11" t="s">
        <v>1912</v>
      </c>
      <c r="L109" s="2"/>
      <c r="M109" s="2"/>
      <c r="N109" s="9"/>
      <c r="O109" s="66" t="s">
        <v>2235</v>
      </c>
      <c r="P109" s="2" t="s">
        <v>1513</v>
      </c>
      <c r="Q109" s="66" t="s">
        <v>2032</v>
      </c>
      <c r="R109" s="2"/>
    </row>
    <row r="110" spans="1:18" ht="27.75" hidden="1" customHeight="1" x14ac:dyDescent="0.3">
      <c r="A110" s="8">
        <v>1101700010006</v>
      </c>
      <c r="B110" s="7" t="s">
        <v>1551</v>
      </c>
      <c r="C110" s="7" t="s">
        <v>862</v>
      </c>
      <c r="D110" s="7">
        <v>2013</v>
      </c>
      <c r="E110" s="7" t="s">
        <v>19</v>
      </c>
      <c r="F110" s="7" t="s">
        <v>52</v>
      </c>
      <c r="G110" s="8" t="s">
        <v>863</v>
      </c>
      <c r="H110" s="7" t="s">
        <v>35</v>
      </c>
      <c r="I110" s="7" t="s">
        <v>861</v>
      </c>
      <c r="J110" s="2" t="s">
        <v>1549</v>
      </c>
      <c r="K110" s="2" t="s">
        <v>1548</v>
      </c>
      <c r="L110" s="2" t="s">
        <v>1564</v>
      </c>
      <c r="M110" s="2" t="s">
        <v>1810</v>
      </c>
      <c r="N110" s="10" t="s">
        <v>1811</v>
      </c>
      <c r="O110" s="65"/>
      <c r="P110" s="2" t="s">
        <v>1471</v>
      </c>
      <c r="Q110" s="65" t="s">
        <v>1997</v>
      </c>
      <c r="R110" s="2"/>
    </row>
    <row r="111" spans="1:18" ht="27.75" hidden="1" customHeight="1" x14ac:dyDescent="0.3">
      <c r="A111" s="8">
        <v>1106700010003</v>
      </c>
      <c r="B111" s="7" t="s">
        <v>102</v>
      </c>
      <c r="C111" s="7" t="s">
        <v>871</v>
      </c>
      <c r="D111" s="7">
        <v>1991</v>
      </c>
      <c r="E111" s="7" t="s">
        <v>19</v>
      </c>
      <c r="F111" s="7" t="s">
        <v>104</v>
      </c>
      <c r="G111" s="8" t="s">
        <v>872</v>
      </c>
      <c r="H111" s="7" t="s">
        <v>35</v>
      </c>
      <c r="I111" s="7" t="s">
        <v>868</v>
      </c>
      <c r="J111" s="2" t="s">
        <v>1513</v>
      </c>
      <c r="K111" s="2" t="s">
        <v>1548</v>
      </c>
      <c r="L111" s="2" t="s">
        <v>1571</v>
      </c>
      <c r="M111" s="2" t="s">
        <v>2503</v>
      </c>
      <c r="N111" s="9" t="s">
        <v>2504</v>
      </c>
      <c r="O111" s="2" t="s">
        <v>2492</v>
      </c>
      <c r="P111" s="2" t="s">
        <v>1513</v>
      </c>
      <c r="Q111" s="66" t="s">
        <v>2032</v>
      </c>
      <c r="R111" s="2"/>
    </row>
    <row r="112" spans="1:18" ht="27.75" hidden="1" customHeight="1" x14ac:dyDescent="0.3">
      <c r="A112" s="8">
        <v>1105700150004</v>
      </c>
      <c r="B112" s="7" t="s">
        <v>40</v>
      </c>
      <c r="C112" s="7" t="s">
        <v>320</v>
      </c>
      <c r="D112" s="7">
        <v>2006</v>
      </c>
      <c r="E112" s="7" t="s">
        <v>19</v>
      </c>
      <c r="F112" s="7" t="s">
        <v>42</v>
      </c>
      <c r="G112" s="8" t="s">
        <v>321</v>
      </c>
      <c r="H112" s="7" t="s">
        <v>263</v>
      </c>
      <c r="I112" s="7" t="s">
        <v>270</v>
      </c>
      <c r="J112" s="2" t="s">
        <v>1544</v>
      </c>
      <c r="K112" s="2" t="s">
        <v>1548</v>
      </c>
      <c r="L112" s="2" t="s">
        <v>1564</v>
      </c>
      <c r="M112" s="2" t="s">
        <v>1588</v>
      </c>
      <c r="N112" s="10" t="s">
        <v>1589</v>
      </c>
      <c r="O112" s="65"/>
      <c r="P112" s="2" t="s">
        <v>2053</v>
      </c>
      <c r="Q112" s="65"/>
      <c r="R112" s="2"/>
    </row>
    <row r="113" spans="1:18" ht="27.75" hidden="1" customHeight="1" x14ac:dyDescent="0.3">
      <c r="A113" s="8">
        <v>1106700020003</v>
      </c>
      <c r="B113" s="7" t="s">
        <v>54</v>
      </c>
      <c r="C113" s="7" t="s">
        <v>811</v>
      </c>
      <c r="D113" s="7">
        <v>2014</v>
      </c>
      <c r="E113" s="7" t="s">
        <v>19</v>
      </c>
      <c r="F113" s="7" t="s">
        <v>52</v>
      </c>
      <c r="G113" s="8" t="s">
        <v>812</v>
      </c>
      <c r="H113" s="7" t="s">
        <v>35</v>
      </c>
      <c r="I113" s="7" t="s">
        <v>806</v>
      </c>
      <c r="J113" s="2" t="s">
        <v>1482</v>
      </c>
      <c r="K113" s="2" t="s">
        <v>1548</v>
      </c>
      <c r="L113" s="2" t="s">
        <v>1564</v>
      </c>
      <c r="M113" s="2" t="s">
        <v>2389</v>
      </c>
      <c r="N113" s="123" t="s">
        <v>2630</v>
      </c>
      <c r="O113" s="2" t="s">
        <v>2625</v>
      </c>
      <c r="P113" s="2" t="s">
        <v>2009</v>
      </c>
      <c r="Q113" s="66" t="s">
        <v>2012</v>
      </c>
      <c r="R113" s="2"/>
    </row>
    <row r="114" spans="1:18" ht="27.75" hidden="1" customHeight="1" x14ac:dyDescent="0.3">
      <c r="A114" s="8">
        <v>1101700010006</v>
      </c>
      <c r="B114" s="7" t="s">
        <v>50</v>
      </c>
      <c r="C114" s="7" t="s">
        <v>2085</v>
      </c>
      <c r="D114" s="7">
        <v>2009</v>
      </c>
      <c r="E114" s="7" t="s">
        <v>19</v>
      </c>
      <c r="F114" s="7" t="s">
        <v>52</v>
      </c>
      <c r="G114" s="8" t="s">
        <v>604</v>
      </c>
      <c r="H114" s="7" t="s">
        <v>263</v>
      </c>
      <c r="I114" s="7" t="s">
        <v>602</v>
      </c>
      <c r="J114" s="2" t="s">
        <v>1663</v>
      </c>
      <c r="K114" s="2" t="s">
        <v>1548</v>
      </c>
      <c r="L114" s="2" t="s">
        <v>1567</v>
      </c>
      <c r="M114" s="2" t="s">
        <v>1838</v>
      </c>
      <c r="N114" s="2" t="s">
        <v>1943</v>
      </c>
      <c r="O114" s="65"/>
      <c r="P114" s="2" t="s">
        <v>2024</v>
      </c>
      <c r="Q114" s="65" t="s">
        <v>2025</v>
      </c>
      <c r="R114" s="2"/>
    </row>
    <row r="115" spans="1:18" ht="27.75" hidden="1" customHeight="1" x14ac:dyDescent="0.3">
      <c r="A115" s="8">
        <v>1101700040006</v>
      </c>
      <c r="B115" s="7" t="s">
        <v>605</v>
      </c>
      <c r="C115" s="7" t="s">
        <v>606</v>
      </c>
      <c r="D115" s="7">
        <v>2021</v>
      </c>
      <c r="E115" s="7" t="s">
        <v>19</v>
      </c>
      <c r="F115" s="7" t="s">
        <v>42</v>
      </c>
      <c r="G115" s="8" t="s">
        <v>607</v>
      </c>
      <c r="H115" s="7" t="s">
        <v>263</v>
      </c>
      <c r="I115" s="7" t="s">
        <v>602</v>
      </c>
      <c r="J115" s="2" t="s">
        <v>1498</v>
      </c>
      <c r="K115" s="11" t="s">
        <v>1912</v>
      </c>
      <c r="L115" s="2"/>
      <c r="M115" s="2"/>
      <c r="N115" s="2"/>
      <c r="O115" s="2" t="s">
        <v>2377</v>
      </c>
      <c r="P115" s="2" t="s">
        <v>2024</v>
      </c>
      <c r="Q115" s="66" t="s">
        <v>2025</v>
      </c>
      <c r="R115" s="2"/>
    </row>
    <row r="116" spans="1:18" ht="27.75" hidden="1" customHeight="1" x14ac:dyDescent="0.3">
      <c r="A116" s="8">
        <v>1106700020003</v>
      </c>
      <c r="B116" s="7" t="s">
        <v>54</v>
      </c>
      <c r="C116" s="7" t="s">
        <v>225</v>
      </c>
      <c r="D116" s="7">
        <v>2014</v>
      </c>
      <c r="E116" s="7" t="s">
        <v>19</v>
      </c>
      <c r="F116" s="7" t="s">
        <v>56</v>
      </c>
      <c r="G116" s="8" t="s">
        <v>226</v>
      </c>
      <c r="H116" s="7" t="s">
        <v>35</v>
      </c>
      <c r="I116" s="7" t="s">
        <v>220</v>
      </c>
      <c r="J116" s="2" t="s">
        <v>1525</v>
      </c>
      <c r="K116" s="11" t="s">
        <v>1912</v>
      </c>
      <c r="L116" s="2" t="s">
        <v>1615</v>
      </c>
      <c r="M116" s="2" t="s">
        <v>2490</v>
      </c>
      <c r="N116" s="2" t="s">
        <v>2489</v>
      </c>
      <c r="O116" s="2" t="s">
        <v>2526</v>
      </c>
      <c r="P116" s="2" t="s">
        <v>1525</v>
      </c>
      <c r="Q116" s="65" t="s">
        <v>2018</v>
      </c>
      <c r="R116" s="2"/>
    </row>
    <row r="117" spans="1:18" ht="27.75" hidden="1" customHeight="1" x14ac:dyDescent="0.3">
      <c r="A117" s="8">
        <v>1209700010004</v>
      </c>
      <c r="B117" s="7" t="s">
        <v>413</v>
      </c>
      <c r="C117" s="7" t="s">
        <v>419</v>
      </c>
      <c r="D117" s="7">
        <v>2013</v>
      </c>
      <c r="E117" s="7" t="s">
        <v>19</v>
      </c>
      <c r="F117" s="7" t="s">
        <v>415</v>
      </c>
      <c r="G117" s="8" t="s">
        <v>420</v>
      </c>
      <c r="H117" s="7" t="s">
        <v>263</v>
      </c>
      <c r="I117" s="7" t="s">
        <v>270</v>
      </c>
      <c r="J117" s="2" t="s">
        <v>1544</v>
      </c>
      <c r="K117" s="11" t="s">
        <v>1912</v>
      </c>
      <c r="L117" s="2"/>
      <c r="M117" s="2"/>
      <c r="N117" s="2"/>
      <c r="O117" s="66" t="s">
        <v>2160</v>
      </c>
      <c r="P117" s="2" t="s">
        <v>2053</v>
      </c>
      <c r="Q117" s="66"/>
      <c r="R117" s="2" t="s">
        <v>1947</v>
      </c>
    </row>
    <row r="118" spans="1:18" ht="27.75" hidden="1" customHeight="1" x14ac:dyDescent="0.3">
      <c r="A118" s="8">
        <v>1205700010001</v>
      </c>
      <c r="B118" s="7" t="s">
        <v>388</v>
      </c>
      <c r="C118" s="7" t="s">
        <v>504</v>
      </c>
      <c r="D118" s="7">
        <v>2006</v>
      </c>
      <c r="E118" s="7" t="s">
        <v>19</v>
      </c>
      <c r="F118" s="7" t="s">
        <v>20</v>
      </c>
      <c r="G118" s="8" t="s">
        <v>505</v>
      </c>
      <c r="H118" s="7" t="s">
        <v>263</v>
      </c>
      <c r="I118" s="7" t="s">
        <v>485</v>
      </c>
      <c r="J118" s="2" t="s">
        <v>1518</v>
      </c>
      <c r="K118" s="11" t="s">
        <v>1912</v>
      </c>
      <c r="L118" s="2"/>
      <c r="M118" s="2"/>
      <c r="N118" s="2"/>
      <c r="O118" s="65" t="s">
        <v>2117</v>
      </c>
      <c r="P118" s="2" t="s">
        <v>1518</v>
      </c>
      <c r="Q118" s="65" t="s">
        <v>1987</v>
      </c>
      <c r="R118" s="2"/>
    </row>
    <row r="119" spans="1:18" ht="27.75" hidden="1" customHeight="1" x14ac:dyDescent="0.3">
      <c r="A119" s="8">
        <v>1204700020003</v>
      </c>
      <c r="B119" s="7" t="s">
        <v>13</v>
      </c>
      <c r="C119" s="7" t="s">
        <v>528</v>
      </c>
      <c r="D119" s="7">
        <v>2010</v>
      </c>
      <c r="E119" s="7" t="s">
        <v>19</v>
      </c>
      <c r="F119" s="7" t="s">
        <v>10</v>
      </c>
      <c r="G119" s="8" t="s">
        <v>529</v>
      </c>
      <c r="H119" s="7" t="s">
        <v>263</v>
      </c>
      <c r="I119" s="7" t="s">
        <v>509</v>
      </c>
      <c r="J119" s="110" t="s">
        <v>1477</v>
      </c>
      <c r="K119" s="11" t="s">
        <v>1912</v>
      </c>
      <c r="L119" s="2"/>
      <c r="M119" s="2"/>
      <c r="N119" s="2"/>
      <c r="O119" s="2" t="s">
        <v>2340</v>
      </c>
      <c r="P119" s="2" t="s">
        <v>1477</v>
      </c>
      <c r="Q119" s="66" t="s">
        <v>1999</v>
      </c>
      <c r="R119" s="2"/>
    </row>
    <row r="120" spans="1:18" ht="27.75" hidden="1" customHeight="1" x14ac:dyDescent="0.3">
      <c r="A120" s="8">
        <v>1207700050001</v>
      </c>
      <c r="B120" s="7" t="s">
        <v>402</v>
      </c>
      <c r="C120" s="7" t="s">
        <v>1454</v>
      </c>
      <c r="D120" s="7">
        <v>1983</v>
      </c>
      <c r="E120" s="7" t="s">
        <v>19</v>
      </c>
      <c r="F120" s="7" t="s">
        <v>42</v>
      </c>
      <c r="G120" s="8">
        <v>3460315525822</v>
      </c>
      <c r="H120" s="7" t="s">
        <v>263</v>
      </c>
      <c r="I120" s="7" t="s">
        <v>270</v>
      </c>
      <c r="J120" s="2" t="s">
        <v>1544</v>
      </c>
      <c r="K120" s="2" t="s">
        <v>1548</v>
      </c>
      <c r="L120" s="2" t="s">
        <v>1613</v>
      </c>
      <c r="M120" s="2" t="s">
        <v>1613</v>
      </c>
      <c r="N120" s="2" t="s">
        <v>1614</v>
      </c>
      <c r="O120" s="65"/>
      <c r="P120" s="2" t="s">
        <v>2053</v>
      </c>
      <c r="Q120" s="65"/>
      <c r="R120" s="2"/>
    </row>
    <row r="121" spans="1:18" ht="27.75" hidden="1" customHeight="1" x14ac:dyDescent="0.3">
      <c r="A121" s="8">
        <v>1102700010004</v>
      </c>
      <c r="B121" s="7" t="s">
        <v>64</v>
      </c>
      <c r="C121" s="7" t="s">
        <v>1459</v>
      </c>
      <c r="D121" s="7">
        <v>2012</v>
      </c>
      <c r="E121" s="7" t="s">
        <v>19</v>
      </c>
      <c r="F121" s="7" t="s">
        <v>52</v>
      </c>
      <c r="G121" s="8" t="s">
        <v>939</v>
      </c>
      <c r="H121" s="7" t="s">
        <v>35</v>
      </c>
      <c r="I121" s="7" t="s">
        <v>938</v>
      </c>
      <c r="J121" s="2" t="s">
        <v>1549</v>
      </c>
      <c r="K121" s="2" t="s">
        <v>1548</v>
      </c>
      <c r="L121" s="2" t="s">
        <v>1564</v>
      </c>
      <c r="M121" s="2" t="s">
        <v>1826</v>
      </c>
      <c r="N121" s="2" t="s">
        <v>1827</v>
      </c>
      <c r="O121" s="66"/>
      <c r="P121" s="2" t="s">
        <v>1518</v>
      </c>
      <c r="Q121" s="66" t="s">
        <v>1989</v>
      </c>
      <c r="R121" s="2"/>
    </row>
    <row r="122" spans="1:18" ht="27.75" hidden="1" customHeight="1" x14ac:dyDescent="0.3">
      <c r="A122" s="8">
        <v>1204700010003</v>
      </c>
      <c r="B122" s="7" t="s">
        <v>96</v>
      </c>
      <c r="C122" s="7" t="s">
        <v>213</v>
      </c>
      <c r="D122" s="7">
        <v>2005</v>
      </c>
      <c r="E122" s="7" t="s">
        <v>4</v>
      </c>
      <c r="F122" s="7" t="s">
        <v>10</v>
      </c>
      <c r="G122" s="8" t="s">
        <v>214</v>
      </c>
      <c r="H122" s="7" t="s">
        <v>35</v>
      </c>
      <c r="I122" s="7" t="s">
        <v>205</v>
      </c>
      <c r="J122" s="110" t="s">
        <v>1525</v>
      </c>
      <c r="K122" s="11" t="s">
        <v>1912</v>
      </c>
      <c r="L122" s="2"/>
      <c r="M122" s="2"/>
      <c r="N122" s="10"/>
      <c r="O122" s="2" t="s">
        <v>2385</v>
      </c>
      <c r="P122" s="2" t="s">
        <v>1525</v>
      </c>
      <c r="Q122" s="65" t="s">
        <v>2015</v>
      </c>
      <c r="R122" s="2"/>
    </row>
    <row r="123" spans="1:18" ht="27.75" hidden="1" customHeight="1" x14ac:dyDescent="0.3">
      <c r="A123" s="8">
        <v>1106700020010</v>
      </c>
      <c r="B123" s="7" t="s">
        <v>210</v>
      </c>
      <c r="C123" s="7" t="s">
        <v>906</v>
      </c>
      <c r="D123" s="7">
        <v>2006</v>
      </c>
      <c r="E123" s="7" t="s">
        <v>19</v>
      </c>
      <c r="F123" s="7" t="s">
        <v>571</v>
      </c>
      <c r="G123" s="8" t="s">
        <v>907</v>
      </c>
      <c r="H123" s="7" t="s">
        <v>35</v>
      </c>
      <c r="I123" s="7" t="s">
        <v>901</v>
      </c>
      <c r="J123" s="2" t="s">
        <v>1549</v>
      </c>
      <c r="K123" s="2" t="s">
        <v>1548</v>
      </c>
      <c r="L123" s="2" t="s">
        <v>1564</v>
      </c>
      <c r="M123" s="2" t="s">
        <v>1845</v>
      </c>
      <c r="N123" s="10" t="s">
        <v>1846</v>
      </c>
      <c r="O123" s="66"/>
      <c r="P123" s="2" t="s">
        <v>2024</v>
      </c>
      <c r="Q123" s="66" t="s">
        <v>2026</v>
      </c>
      <c r="R123" s="2"/>
    </row>
    <row r="124" spans="1:18" ht="27.75" hidden="1" customHeight="1" x14ac:dyDescent="0.3">
      <c r="A124" s="8">
        <v>1101700010006</v>
      </c>
      <c r="B124" s="7" t="s">
        <v>1551</v>
      </c>
      <c r="C124" s="7" t="s">
        <v>934</v>
      </c>
      <c r="D124" s="7">
        <v>2013</v>
      </c>
      <c r="E124" s="7" t="s">
        <v>19</v>
      </c>
      <c r="F124" s="7" t="s">
        <v>52</v>
      </c>
      <c r="G124" s="8" t="s">
        <v>935</v>
      </c>
      <c r="H124" s="7" t="s">
        <v>35</v>
      </c>
      <c r="I124" s="7" t="s">
        <v>933</v>
      </c>
      <c r="J124" s="2" t="s">
        <v>1477</v>
      </c>
      <c r="K124" s="2" t="s">
        <v>1548</v>
      </c>
      <c r="L124" s="2" t="s">
        <v>1564</v>
      </c>
      <c r="M124" s="2" t="s">
        <v>2697</v>
      </c>
      <c r="N124" s="2" t="s">
        <v>2698</v>
      </c>
      <c r="O124" s="2" t="s">
        <v>2698</v>
      </c>
      <c r="P124" s="2" t="s">
        <v>1477</v>
      </c>
      <c r="Q124" s="65" t="s">
        <v>1999</v>
      </c>
      <c r="R124" s="2"/>
    </row>
    <row r="125" spans="1:18" ht="27.75" hidden="1" customHeight="1" x14ac:dyDescent="0.3">
      <c r="A125" s="8">
        <v>1106700010003</v>
      </c>
      <c r="B125" s="7" t="s">
        <v>102</v>
      </c>
      <c r="C125" s="7" t="s">
        <v>664</v>
      </c>
      <c r="D125" s="7">
        <v>1991</v>
      </c>
      <c r="E125" s="7" t="s">
        <v>19</v>
      </c>
      <c r="F125" s="7" t="s">
        <v>104</v>
      </c>
      <c r="G125" s="8">
        <v>34600152717359</v>
      </c>
      <c r="H125" s="7" t="s">
        <v>263</v>
      </c>
      <c r="I125" s="7" t="s">
        <v>632</v>
      </c>
      <c r="J125" s="2" t="s">
        <v>1518</v>
      </c>
      <c r="K125" s="2" t="s">
        <v>1548</v>
      </c>
      <c r="L125" s="2" t="s">
        <v>1559</v>
      </c>
      <c r="M125" s="2" t="s">
        <v>1559</v>
      </c>
      <c r="N125" s="2" t="s">
        <v>1921</v>
      </c>
      <c r="O125" s="66"/>
      <c r="P125" s="2" t="s">
        <v>1518</v>
      </c>
      <c r="Q125" s="66" t="s">
        <v>1988</v>
      </c>
      <c r="R125" s="2"/>
    </row>
    <row r="126" spans="1:18" ht="27.75" hidden="1" customHeight="1" x14ac:dyDescent="0.3">
      <c r="A126" s="8">
        <v>1101700010006</v>
      </c>
      <c r="B126" s="7" t="s">
        <v>1551</v>
      </c>
      <c r="C126" s="7" t="s">
        <v>51</v>
      </c>
      <c r="D126" s="7">
        <v>2013</v>
      </c>
      <c r="E126" s="7" t="s">
        <v>19</v>
      </c>
      <c r="F126" s="7" t="s">
        <v>52</v>
      </c>
      <c r="G126" s="8" t="s">
        <v>53</v>
      </c>
      <c r="H126" s="7" t="s">
        <v>35</v>
      </c>
      <c r="I126" s="7" t="s">
        <v>49</v>
      </c>
      <c r="J126" s="2" t="s">
        <v>1471</v>
      </c>
      <c r="K126" s="11" t="s">
        <v>1912</v>
      </c>
      <c r="L126" s="2"/>
      <c r="M126" s="2"/>
      <c r="N126" s="2"/>
      <c r="O126" s="65" t="s">
        <v>2118</v>
      </c>
      <c r="P126" s="2" t="s">
        <v>1471</v>
      </c>
      <c r="Q126" s="65" t="s">
        <v>1998</v>
      </c>
      <c r="R126" s="2"/>
    </row>
    <row r="127" spans="1:18" ht="27.75" hidden="1" customHeight="1" x14ac:dyDescent="0.3">
      <c r="A127" s="8">
        <v>1102700010004</v>
      </c>
      <c r="B127" s="7" t="s">
        <v>64</v>
      </c>
      <c r="C127" s="7" t="s">
        <v>243</v>
      </c>
      <c r="D127" s="7">
        <v>2012</v>
      </c>
      <c r="E127" s="7" t="s">
        <v>19</v>
      </c>
      <c r="F127" s="7" t="s">
        <v>66</v>
      </c>
      <c r="G127" s="8" t="s">
        <v>244</v>
      </c>
      <c r="H127" s="7" t="s">
        <v>0</v>
      </c>
      <c r="I127" s="7" t="s">
        <v>240</v>
      </c>
      <c r="J127" s="2" t="s">
        <v>1543</v>
      </c>
      <c r="K127" s="11" t="s">
        <v>1912</v>
      </c>
      <c r="L127" s="2" t="s">
        <v>1564</v>
      </c>
      <c r="M127" s="2" t="s">
        <v>1918</v>
      </c>
      <c r="N127" s="2" t="s">
        <v>1917</v>
      </c>
      <c r="O127" s="2" t="s">
        <v>2448</v>
      </c>
      <c r="P127" s="2" t="s">
        <v>2051</v>
      </c>
      <c r="Q127" s="66"/>
      <c r="R127" s="2"/>
    </row>
    <row r="128" spans="1:18" ht="27.75" hidden="1" customHeight="1" x14ac:dyDescent="0.3">
      <c r="A128" s="8">
        <v>1204700020002</v>
      </c>
      <c r="B128" s="7" t="s">
        <v>178</v>
      </c>
      <c r="C128" s="7" t="s">
        <v>479</v>
      </c>
      <c r="D128" s="7">
        <v>2011</v>
      </c>
      <c r="E128" s="7" t="s">
        <v>19</v>
      </c>
      <c r="F128" s="7" t="s">
        <v>10</v>
      </c>
      <c r="G128" s="8" t="s">
        <v>480</v>
      </c>
      <c r="H128" s="7" t="s">
        <v>263</v>
      </c>
      <c r="I128" s="7" t="s">
        <v>465</v>
      </c>
      <c r="J128" s="2" t="s">
        <v>1471</v>
      </c>
      <c r="K128" s="11" t="s">
        <v>1912</v>
      </c>
      <c r="L128" s="2"/>
      <c r="M128" s="2"/>
      <c r="N128" s="2"/>
      <c r="O128" s="65" t="s">
        <v>2180</v>
      </c>
      <c r="P128" s="2" t="s">
        <v>1471</v>
      </c>
      <c r="Q128" s="65" t="s">
        <v>1994</v>
      </c>
      <c r="R128" s="2"/>
    </row>
    <row r="129" spans="1:18" ht="27.75" hidden="1" customHeight="1" x14ac:dyDescent="0.3">
      <c r="A129" s="8">
        <v>1105700010001</v>
      </c>
      <c r="B129" s="7" t="s">
        <v>290</v>
      </c>
      <c r="C129" s="7" t="s">
        <v>514</v>
      </c>
      <c r="D129" s="7">
        <v>2006</v>
      </c>
      <c r="E129" s="7" t="s">
        <v>19</v>
      </c>
      <c r="F129" s="7" t="s">
        <v>42</v>
      </c>
      <c r="G129" s="8" t="s">
        <v>515</v>
      </c>
      <c r="H129" s="7" t="s">
        <v>263</v>
      </c>
      <c r="I129" s="7" t="s">
        <v>509</v>
      </c>
      <c r="J129" s="2" t="s">
        <v>1477</v>
      </c>
      <c r="K129" s="2" t="s">
        <v>1548</v>
      </c>
      <c r="L129" s="2" t="s">
        <v>1564</v>
      </c>
      <c r="M129" s="2" t="s">
        <v>2671</v>
      </c>
      <c r="N129" s="2" t="s">
        <v>2670</v>
      </c>
      <c r="O129" s="2" t="s">
        <v>2474</v>
      </c>
      <c r="P129" s="2" t="s">
        <v>1477</v>
      </c>
      <c r="Q129" s="66" t="s">
        <v>1999</v>
      </c>
      <c r="R129" s="2"/>
    </row>
    <row r="130" spans="1:18" ht="27.75" hidden="1" customHeight="1" x14ac:dyDescent="0.3">
      <c r="A130" s="8">
        <v>1204700020003</v>
      </c>
      <c r="B130" s="7" t="s">
        <v>13</v>
      </c>
      <c r="C130" s="7" t="s">
        <v>445</v>
      </c>
      <c r="D130" s="7">
        <v>2009</v>
      </c>
      <c r="E130" s="7" t="s">
        <v>19</v>
      </c>
      <c r="F130" s="7" t="s">
        <v>10</v>
      </c>
      <c r="G130" s="8" t="s">
        <v>446</v>
      </c>
      <c r="H130" s="7" t="s">
        <v>263</v>
      </c>
      <c r="I130" s="7" t="s">
        <v>430</v>
      </c>
      <c r="J130" s="2" t="s">
        <v>1506</v>
      </c>
      <c r="K130" s="11" t="s">
        <v>1912</v>
      </c>
      <c r="L130" s="2"/>
      <c r="M130" s="2"/>
      <c r="N130" s="10"/>
      <c r="O130" s="65" t="s">
        <v>2199</v>
      </c>
      <c r="P130" s="2" t="s">
        <v>1506</v>
      </c>
      <c r="Q130" s="65" t="s">
        <v>2004</v>
      </c>
      <c r="R130" s="2"/>
    </row>
    <row r="131" spans="1:18" ht="27.75" hidden="1" customHeight="1" x14ac:dyDescent="0.3">
      <c r="A131" s="8">
        <v>1204700010003</v>
      </c>
      <c r="B131" s="7" t="s">
        <v>96</v>
      </c>
      <c r="C131" s="7" t="s">
        <v>97</v>
      </c>
      <c r="D131" s="7">
        <v>2008</v>
      </c>
      <c r="E131" s="7" t="s">
        <v>19</v>
      </c>
      <c r="F131" s="7" t="s">
        <v>10</v>
      </c>
      <c r="G131" s="8" t="s">
        <v>98</v>
      </c>
      <c r="H131" s="7" t="s">
        <v>35</v>
      </c>
      <c r="I131" s="7" t="s">
        <v>89</v>
      </c>
      <c r="J131" s="110" t="s">
        <v>1525</v>
      </c>
      <c r="K131" s="2" t="s">
        <v>2066</v>
      </c>
      <c r="L131" s="2" t="s">
        <v>1571</v>
      </c>
      <c r="M131" s="2" t="s">
        <v>2460</v>
      </c>
      <c r="N131" s="2" t="s">
        <v>2461</v>
      </c>
      <c r="O131" s="57" t="s">
        <v>2448</v>
      </c>
      <c r="P131" s="2" t="s">
        <v>1525</v>
      </c>
      <c r="Q131" s="66" t="s">
        <v>2014</v>
      </c>
      <c r="R131" s="2"/>
    </row>
    <row r="132" spans="1:18" ht="27.75" hidden="1" customHeight="1" x14ac:dyDescent="0.3">
      <c r="A132" s="8">
        <v>1106700010003</v>
      </c>
      <c r="B132" s="7" t="s">
        <v>102</v>
      </c>
      <c r="C132" s="7" t="s">
        <v>846</v>
      </c>
      <c r="D132" s="7">
        <v>1991</v>
      </c>
      <c r="E132" s="7" t="s">
        <v>19</v>
      </c>
      <c r="F132" s="7" t="s">
        <v>104</v>
      </c>
      <c r="G132" s="8">
        <v>55503855346001</v>
      </c>
      <c r="H132" s="7" t="s">
        <v>35</v>
      </c>
      <c r="I132" s="7" t="s">
        <v>841</v>
      </c>
      <c r="J132" s="2" t="s">
        <v>1531</v>
      </c>
      <c r="K132" s="2" t="s">
        <v>1548</v>
      </c>
      <c r="L132" s="2" t="s">
        <v>1571</v>
      </c>
      <c r="M132" s="2" t="s">
        <v>2254</v>
      </c>
      <c r="N132" s="10" t="s">
        <v>2253</v>
      </c>
      <c r="O132" s="65"/>
      <c r="P132" s="2" t="s">
        <v>1531</v>
      </c>
      <c r="Q132" s="65" t="s">
        <v>2022</v>
      </c>
      <c r="R132" s="2"/>
    </row>
    <row r="133" spans="1:18" ht="27.75" hidden="1" customHeight="1" x14ac:dyDescent="0.3">
      <c r="A133" s="8">
        <v>1101700010006</v>
      </c>
      <c r="B133" s="7" t="s">
        <v>1551</v>
      </c>
      <c r="C133" s="7" t="s">
        <v>73</v>
      </c>
      <c r="D133" s="7">
        <v>2013</v>
      </c>
      <c r="E133" s="7" t="s">
        <v>19</v>
      </c>
      <c r="F133" s="7" t="s">
        <v>52</v>
      </c>
      <c r="G133" s="8" t="s">
        <v>74</v>
      </c>
      <c r="H133" s="7" t="s">
        <v>35</v>
      </c>
      <c r="I133" s="7" t="s">
        <v>72</v>
      </c>
      <c r="J133" s="2" t="s">
        <v>1506</v>
      </c>
      <c r="K133" s="11" t="s">
        <v>1912</v>
      </c>
      <c r="L133" s="2"/>
      <c r="M133" s="2"/>
      <c r="N133" s="2"/>
      <c r="O133" s="2" t="s">
        <v>2319</v>
      </c>
      <c r="P133" s="2" t="s">
        <v>1506</v>
      </c>
      <c r="Q133" s="66" t="s">
        <v>2008</v>
      </c>
      <c r="R133" s="2"/>
    </row>
    <row r="134" spans="1:18" ht="27.75" hidden="1" customHeight="1" x14ac:dyDescent="0.3">
      <c r="A134" s="8">
        <v>1204700010002</v>
      </c>
      <c r="B134" s="7" t="s">
        <v>265</v>
      </c>
      <c r="C134" s="7" t="s">
        <v>516</v>
      </c>
      <c r="D134" s="7">
        <v>2003</v>
      </c>
      <c r="E134" s="7" t="s">
        <v>4</v>
      </c>
      <c r="F134" s="7" t="s">
        <v>10</v>
      </c>
      <c r="G134" s="8" t="s">
        <v>517</v>
      </c>
      <c r="H134" s="7" t="s">
        <v>263</v>
      </c>
      <c r="I134" s="7" t="s">
        <v>509</v>
      </c>
      <c r="J134" s="2" t="s">
        <v>1477</v>
      </c>
      <c r="K134" s="2" t="s">
        <v>1548</v>
      </c>
      <c r="L134" s="2" t="s">
        <v>1564</v>
      </c>
      <c r="M134" s="2" t="s">
        <v>2142</v>
      </c>
      <c r="N134" s="10" t="s">
        <v>2143</v>
      </c>
      <c r="O134" s="65"/>
      <c r="P134" s="2" t="s">
        <v>1477</v>
      </c>
      <c r="Q134" s="65" t="s">
        <v>1999</v>
      </c>
      <c r="R134" s="2"/>
    </row>
    <row r="135" spans="1:18" ht="27.75" hidden="1" customHeight="1" x14ac:dyDescent="0.3">
      <c r="A135" s="8">
        <v>1204700010003</v>
      </c>
      <c r="B135" s="7" t="s">
        <v>96</v>
      </c>
      <c r="C135" s="7" t="s">
        <v>573</v>
      </c>
      <c r="D135" s="7">
        <v>2008</v>
      </c>
      <c r="E135" s="7" t="s">
        <v>19</v>
      </c>
      <c r="F135" s="7" t="s">
        <v>10</v>
      </c>
      <c r="G135" s="8" t="s">
        <v>574</v>
      </c>
      <c r="H135" s="7" t="s">
        <v>263</v>
      </c>
      <c r="I135" s="7" t="s">
        <v>568</v>
      </c>
      <c r="J135" s="110" t="s">
        <v>1487</v>
      </c>
      <c r="K135" s="2" t="s">
        <v>1548</v>
      </c>
      <c r="L135" s="2" t="s">
        <v>1571</v>
      </c>
      <c r="M135" s="2" t="s">
        <v>2560</v>
      </c>
      <c r="N135" s="9" t="s">
        <v>2559</v>
      </c>
      <c r="O135" s="2" t="s">
        <v>2222</v>
      </c>
      <c r="P135" s="2" t="s">
        <v>2034</v>
      </c>
      <c r="Q135" s="66" t="s">
        <v>2035</v>
      </c>
      <c r="R135" s="2"/>
    </row>
    <row r="136" spans="1:18" ht="27.75" hidden="1" customHeight="1" x14ac:dyDescent="0.3">
      <c r="A136" s="8">
        <v>1102700010004</v>
      </c>
      <c r="B136" s="7" t="s">
        <v>64</v>
      </c>
      <c r="C136" s="7" t="s">
        <v>1448</v>
      </c>
      <c r="D136" s="7">
        <v>2008</v>
      </c>
      <c r="E136" s="7" t="s">
        <v>19</v>
      </c>
      <c r="F136" s="7" t="s">
        <v>440</v>
      </c>
      <c r="G136" s="8" t="s">
        <v>1278</v>
      </c>
      <c r="H136" s="7" t="s">
        <v>263</v>
      </c>
      <c r="I136" s="7" t="s">
        <v>1225</v>
      </c>
      <c r="J136" s="2" t="s">
        <v>1544</v>
      </c>
      <c r="K136" s="2" t="s">
        <v>1548</v>
      </c>
      <c r="L136" s="2" t="s">
        <v>1571</v>
      </c>
      <c r="M136" s="2" t="s">
        <v>1582</v>
      </c>
      <c r="N136" s="10" t="s">
        <v>1583</v>
      </c>
      <c r="O136" s="65"/>
      <c r="P136" s="2" t="s">
        <v>2053</v>
      </c>
      <c r="Q136" s="65"/>
      <c r="R136" s="2"/>
    </row>
    <row r="137" spans="1:18" ht="27.75" hidden="1" customHeight="1" x14ac:dyDescent="0.3">
      <c r="A137" s="8">
        <v>1106700020010</v>
      </c>
      <c r="B137" s="7" t="s">
        <v>210</v>
      </c>
      <c r="C137" s="7" t="s">
        <v>783</v>
      </c>
      <c r="D137" s="7">
        <v>2009</v>
      </c>
      <c r="E137" s="7" t="s">
        <v>19</v>
      </c>
      <c r="F137" s="7" t="s">
        <v>56</v>
      </c>
      <c r="G137" s="8" t="s">
        <v>784</v>
      </c>
      <c r="H137" s="7" t="s">
        <v>35</v>
      </c>
      <c r="I137" s="7" t="s">
        <v>776</v>
      </c>
      <c r="J137" s="2" t="s">
        <v>1506</v>
      </c>
      <c r="K137" s="2" t="s">
        <v>1548</v>
      </c>
      <c r="L137" s="2" t="s">
        <v>1615</v>
      </c>
      <c r="M137" s="2" t="s">
        <v>2361</v>
      </c>
      <c r="N137" s="9" t="s">
        <v>2526</v>
      </c>
      <c r="O137" s="2" t="s">
        <v>2180</v>
      </c>
      <c r="P137" s="2" t="s">
        <v>1506</v>
      </c>
      <c r="Q137" s="66" t="s">
        <v>2008</v>
      </c>
      <c r="R137" s="2"/>
    </row>
    <row r="138" spans="1:18" ht="27.75" hidden="1" customHeight="1" x14ac:dyDescent="0.3">
      <c r="A138" s="8">
        <v>1204700010003</v>
      </c>
      <c r="B138" s="7" t="s">
        <v>96</v>
      </c>
      <c r="C138" s="7" t="s">
        <v>894</v>
      </c>
      <c r="D138" s="7">
        <v>2005</v>
      </c>
      <c r="E138" s="7" t="s">
        <v>19</v>
      </c>
      <c r="F138" s="7" t="s">
        <v>10</v>
      </c>
      <c r="G138" s="8" t="s">
        <v>895</v>
      </c>
      <c r="H138" s="7" t="s">
        <v>35</v>
      </c>
      <c r="I138" s="7" t="s">
        <v>887</v>
      </c>
      <c r="J138" s="110" t="s">
        <v>1498</v>
      </c>
      <c r="K138" s="11" t="s">
        <v>1912</v>
      </c>
      <c r="L138" s="2" t="s">
        <v>1564</v>
      </c>
      <c r="M138" s="2" t="s">
        <v>1903</v>
      </c>
      <c r="N138" s="2" t="s">
        <v>1647</v>
      </c>
      <c r="O138" s="2" t="s">
        <v>2474</v>
      </c>
      <c r="P138" s="2" t="s">
        <v>2024</v>
      </c>
      <c r="Q138" s="65" t="s">
        <v>2025</v>
      </c>
      <c r="R138" s="2" t="s">
        <v>1904</v>
      </c>
    </row>
    <row r="139" spans="1:18" ht="27.75" hidden="1" customHeight="1" x14ac:dyDescent="0.3">
      <c r="A139" s="8">
        <v>1106700020003</v>
      </c>
      <c r="B139" s="7" t="s">
        <v>54</v>
      </c>
      <c r="C139" s="7" t="s">
        <v>825</v>
      </c>
      <c r="D139" s="7">
        <v>2011</v>
      </c>
      <c r="E139" s="7" t="s">
        <v>19</v>
      </c>
      <c r="F139" s="7" t="s">
        <v>56</v>
      </c>
      <c r="G139" s="8" t="s">
        <v>826</v>
      </c>
      <c r="H139" s="7" t="s">
        <v>35</v>
      </c>
      <c r="I139" s="7" t="s">
        <v>820</v>
      </c>
      <c r="J139" s="2" t="s">
        <v>1531</v>
      </c>
      <c r="K139" s="11" t="s">
        <v>1912</v>
      </c>
      <c r="L139" s="2" t="s">
        <v>1564</v>
      </c>
      <c r="M139" s="2" t="s">
        <v>2497</v>
      </c>
      <c r="N139" s="2" t="s">
        <v>2253</v>
      </c>
      <c r="O139" s="2" t="s">
        <v>2625</v>
      </c>
      <c r="P139" s="2" t="s">
        <v>1531</v>
      </c>
      <c r="Q139" s="66" t="s">
        <v>2019</v>
      </c>
      <c r="R139" s="2"/>
    </row>
    <row r="140" spans="1:18" ht="27.75" hidden="1" customHeight="1" x14ac:dyDescent="0.3">
      <c r="A140" s="8">
        <v>1106700020003</v>
      </c>
      <c r="B140" s="7" t="s">
        <v>54</v>
      </c>
      <c r="C140" s="7" t="s">
        <v>75</v>
      </c>
      <c r="D140" s="7">
        <v>2014</v>
      </c>
      <c r="E140" s="7" t="s">
        <v>19</v>
      </c>
      <c r="F140" s="7" t="s">
        <v>56</v>
      </c>
      <c r="G140" s="8" t="s">
        <v>76</v>
      </c>
      <c r="H140" s="7" t="s">
        <v>35</v>
      </c>
      <c r="I140" s="7" t="s">
        <v>72</v>
      </c>
      <c r="J140" s="2" t="s">
        <v>1506</v>
      </c>
      <c r="K140" s="11" t="s">
        <v>1912</v>
      </c>
      <c r="L140" s="2"/>
      <c r="M140" s="2"/>
      <c r="N140" s="2"/>
      <c r="O140" s="65" t="s">
        <v>2222</v>
      </c>
      <c r="P140" s="2" t="s">
        <v>1506</v>
      </c>
      <c r="Q140" s="65" t="s">
        <v>2008</v>
      </c>
      <c r="R140" s="2"/>
    </row>
    <row r="141" spans="1:18" ht="27.75" hidden="1" customHeight="1" x14ac:dyDescent="0.3">
      <c r="A141" s="8">
        <v>1101700010006</v>
      </c>
      <c r="B141" s="7" t="s">
        <v>1551</v>
      </c>
      <c r="C141" s="7" t="s">
        <v>62</v>
      </c>
      <c r="D141" s="7">
        <v>2013</v>
      </c>
      <c r="E141" s="7" t="s">
        <v>19</v>
      </c>
      <c r="F141" s="7" t="s">
        <v>52</v>
      </c>
      <c r="G141" s="8" t="s">
        <v>63</v>
      </c>
      <c r="H141" s="7" t="s">
        <v>35</v>
      </c>
      <c r="I141" s="7" t="s">
        <v>61</v>
      </c>
      <c r="J141" s="2" t="s">
        <v>1549</v>
      </c>
      <c r="K141" s="2" t="s">
        <v>1548</v>
      </c>
      <c r="L141" s="2" t="s">
        <v>1564</v>
      </c>
      <c r="M141" s="2" t="s">
        <v>1831</v>
      </c>
      <c r="N141" s="2" t="s">
        <v>1832</v>
      </c>
      <c r="O141" s="66"/>
      <c r="P141" s="2" t="s">
        <v>1518</v>
      </c>
      <c r="Q141" s="66" t="s">
        <v>1991</v>
      </c>
      <c r="R141" s="2"/>
    </row>
    <row r="142" spans="1:18" ht="27.75" hidden="1" customHeight="1" x14ac:dyDescent="0.3">
      <c r="A142" s="8">
        <v>1101700010006</v>
      </c>
      <c r="B142" s="7" t="s">
        <v>1551</v>
      </c>
      <c r="C142" s="7" t="s">
        <v>1245</v>
      </c>
      <c r="D142" s="7">
        <v>2013</v>
      </c>
      <c r="E142" s="7" t="s">
        <v>19</v>
      </c>
      <c r="F142" s="7" t="s">
        <v>52</v>
      </c>
      <c r="G142" s="8" t="s">
        <v>1246</v>
      </c>
      <c r="H142" s="7" t="s">
        <v>263</v>
      </c>
      <c r="I142" s="7" t="s">
        <v>1225</v>
      </c>
      <c r="J142" s="2" t="s">
        <v>1471</v>
      </c>
      <c r="K142" s="2" t="s">
        <v>1548</v>
      </c>
      <c r="L142" s="2" t="s">
        <v>1564</v>
      </c>
      <c r="M142" s="2" t="s">
        <v>2071</v>
      </c>
      <c r="N142" s="9" t="s">
        <v>2517</v>
      </c>
      <c r="O142" s="2" t="s">
        <v>2489</v>
      </c>
      <c r="P142" s="2" t="s">
        <v>2053</v>
      </c>
      <c r="Q142" s="65"/>
      <c r="R142" s="2"/>
    </row>
    <row r="143" spans="1:18" ht="27.75" hidden="1" customHeight="1" x14ac:dyDescent="0.3">
      <c r="A143" s="8">
        <v>1101700010006</v>
      </c>
      <c r="B143" s="7" t="s">
        <v>1551</v>
      </c>
      <c r="C143" s="7" t="s">
        <v>119</v>
      </c>
      <c r="D143" s="7">
        <v>2013</v>
      </c>
      <c r="E143" s="7" t="s">
        <v>19</v>
      </c>
      <c r="F143" s="7" t="s">
        <v>52</v>
      </c>
      <c r="G143" s="8" t="s">
        <v>120</v>
      </c>
      <c r="H143" s="7" t="s">
        <v>35</v>
      </c>
      <c r="I143" s="7" t="s">
        <v>118</v>
      </c>
      <c r="J143" s="2" t="s">
        <v>1493</v>
      </c>
      <c r="K143" s="2" t="s">
        <v>1548</v>
      </c>
      <c r="L143" s="2" t="s">
        <v>1564</v>
      </c>
      <c r="M143" s="2" t="s">
        <v>1654</v>
      </c>
      <c r="N143" s="2" t="s">
        <v>1655</v>
      </c>
      <c r="O143" s="66"/>
      <c r="P143" s="2" t="s">
        <v>2045</v>
      </c>
      <c r="Q143" s="66" t="s">
        <v>2046</v>
      </c>
      <c r="R143" s="2" t="s">
        <v>1656</v>
      </c>
    </row>
    <row r="144" spans="1:18" ht="27.75" hidden="1" customHeight="1" x14ac:dyDescent="0.3">
      <c r="A144" s="8">
        <v>1101700010006</v>
      </c>
      <c r="B144" s="7" t="s">
        <v>1551</v>
      </c>
      <c r="C144" s="7" t="s">
        <v>221</v>
      </c>
      <c r="D144" s="7">
        <v>2013</v>
      </c>
      <c r="E144" s="7" t="s">
        <v>19</v>
      </c>
      <c r="F144" s="7" t="s">
        <v>52</v>
      </c>
      <c r="G144" s="8" t="s">
        <v>222</v>
      </c>
      <c r="H144" s="7" t="s">
        <v>35</v>
      </c>
      <c r="I144" s="7" t="s">
        <v>220</v>
      </c>
      <c r="J144" s="2" t="s">
        <v>1525</v>
      </c>
      <c r="K144" s="2" t="s">
        <v>2066</v>
      </c>
      <c r="L144" s="2"/>
      <c r="M144" s="2" t="s">
        <v>2542</v>
      </c>
      <c r="N144" s="2" t="s">
        <v>2543</v>
      </c>
      <c r="O144" s="2" t="s">
        <v>2188</v>
      </c>
      <c r="P144" s="2" t="s">
        <v>1525</v>
      </c>
      <c r="Q144" s="65" t="s">
        <v>2018</v>
      </c>
      <c r="R144" s="2"/>
    </row>
    <row r="145" spans="1:18" ht="27.75" hidden="1" customHeight="1" x14ac:dyDescent="0.3">
      <c r="A145" s="8">
        <v>1204700020003</v>
      </c>
      <c r="B145" s="7" t="s">
        <v>13</v>
      </c>
      <c r="C145" s="7" t="s">
        <v>124</v>
      </c>
      <c r="D145" s="7">
        <v>2005</v>
      </c>
      <c r="E145" s="7" t="s">
        <v>4</v>
      </c>
      <c r="F145" s="7" t="s">
        <v>5</v>
      </c>
      <c r="G145" s="8" t="s">
        <v>125</v>
      </c>
      <c r="H145" s="7" t="s">
        <v>35</v>
      </c>
      <c r="I145" s="7" t="s">
        <v>118</v>
      </c>
      <c r="J145" s="2" t="s">
        <v>1493</v>
      </c>
      <c r="K145" s="11" t="s">
        <v>1912</v>
      </c>
      <c r="L145" s="2"/>
      <c r="M145" s="2"/>
      <c r="N145" s="2"/>
      <c r="O145" s="66" t="s">
        <v>2198</v>
      </c>
      <c r="P145" s="2" t="s">
        <v>2045</v>
      </c>
      <c r="Q145" s="66" t="s">
        <v>2049</v>
      </c>
      <c r="R145" s="2"/>
    </row>
    <row r="146" spans="1:18" ht="27.75" hidden="1" customHeight="1" x14ac:dyDescent="0.3">
      <c r="A146" s="8">
        <v>1101700010006</v>
      </c>
      <c r="B146" s="7" t="s">
        <v>1551</v>
      </c>
      <c r="C146" s="7" t="s">
        <v>2097</v>
      </c>
      <c r="D146" s="7">
        <v>2013</v>
      </c>
      <c r="E146" s="7" t="s">
        <v>19</v>
      </c>
      <c r="F146" s="7" t="s">
        <v>52</v>
      </c>
      <c r="G146" s="8" t="s">
        <v>84</v>
      </c>
      <c r="H146" s="7" t="s">
        <v>35</v>
      </c>
      <c r="I146" s="7" t="s">
        <v>82</v>
      </c>
      <c r="J146" s="2" t="s">
        <v>1506</v>
      </c>
      <c r="K146" s="2" t="s">
        <v>1548</v>
      </c>
      <c r="L146" s="2" t="s">
        <v>1571</v>
      </c>
      <c r="M146" s="2" t="s">
        <v>2315</v>
      </c>
      <c r="N146" s="9" t="s">
        <v>2316</v>
      </c>
      <c r="O146" s="2"/>
      <c r="P146" s="2" t="s">
        <v>1506</v>
      </c>
      <c r="Q146" s="65" t="s">
        <v>2007</v>
      </c>
      <c r="R146" s="2"/>
    </row>
    <row r="147" spans="1:18" ht="27.75" hidden="1" customHeight="1" x14ac:dyDescent="0.3">
      <c r="A147" s="8">
        <v>1106700020003</v>
      </c>
      <c r="B147" s="7" t="s">
        <v>54</v>
      </c>
      <c r="C147" s="7" t="s">
        <v>129</v>
      </c>
      <c r="D147" s="7">
        <v>2012</v>
      </c>
      <c r="E147" s="7" t="s">
        <v>19</v>
      </c>
      <c r="F147" s="7" t="s">
        <v>56</v>
      </c>
      <c r="G147" s="8" t="s">
        <v>130</v>
      </c>
      <c r="H147" s="7" t="s">
        <v>35</v>
      </c>
      <c r="I147" s="7" t="s">
        <v>126</v>
      </c>
      <c r="J147" s="2" t="s">
        <v>1493</v>
      </c>
      <c r="K147" s="11" t="s">
        <v>1912</v>
      </c>
      <c r="L147" s="2"/>
      <c r="M147" s="2"/>
      <c r="N147" s="2"/>
      <c r="O147" s="2" t="s">
        <v>2412</v>
      </c>
      <c r="P147" s="2" t="s">
        <v>2045</v>
      </c>
      <c r="Q147" s="66" t="s">
        <v>2050</v>
      </c>
      <c r="R147" s="2"/>
    </row>
    <row r="148" spans="1:18" ht="27.75" hidden="1" customHeight="1" x14ac:dyDescent="0.3">
      <c r="A148" s="8">
        <v>1101700030006</v>
      </c>
      <c r="B148" s="7" t="s">
        <v>1551</v>
      </c>
      <c r="C148" s="7" t="s">
        <v>1436</v>
      </c>
      <c r="D148" s="7">
        <v>2012</v>
      </c>
      <c r="E148" s="7" t="s">
        <v>19</v>
      </c>
      <c r="F148" s="7" t="s">
        <v>52</v>
      </c>
      <c r="G148" s="8" t="s">
        <v>59</v>
      </c>
      <c r="H148" s="7" t="s">
        <v>35</v>
      </c>
      <c r="I148" s="7" t="s">
        <v>58</v>
      </c>
      <c r="J148" s="2" t="s">
        <v>1471</v>
      </c>
      <c r="K148" s="2" t="s">
        <v>1548</v>
      </c>
      <c r="L148" s="2" t="s">
        <v>1564</v>
      </c>
      <c r="M148" s="2" t="s">
        <v>1808</v>
      </c>
      <c r="N148" s="10" t="s">
        <v>1809</v>
      </c>
      <c r="O148" s="65"/>
      <c r="P148" s="2" t="s">
        <v>1471</v>
      </c>
      <c r="Q148" s="65" t="s">
        <v>1996</v>
      </c>
      <c r="R148" s="2" t="s">
        <v>1922</v>
      </c>
    </row>
    <row r="149" spans="1:18" ht="27.75" hidden="1" customHeight="1" x14ac:dyDescent="0.3">
      <c r="A149" s="8">
        <v>1101700030006</v>
      </c>
      <c r="B149" s="7" t="s">
        <v>1551</v>
      </c>
      <c r="C149" s="7" t="s">
        <v>154</v>
      </c>
      <c r="D149" s="7">
        <v>2012</v>
      </c>
      <c r="E149" s="7" t="s">
        <v>19</v>
      </c>
      <c r="F149" s="7" t="s">
        <v>52</v>
      </c>
      <c r="G149" s="8" t="s">
        <v>155</v>
      </c>
      <c r="H149" s="7" t="s">
        <v>35</v>
      </c>
      <c r="I149" s="7" t="s">
        <v>153</v>
      </c>
      <c r="J149" s="2" t="s">
        <v>1537</v>
      </c>
      <c r="K149" s="2" t="s">
        <v>1548</v>
      </c>
      <c r="L149" s="2" t="s">
        <v>1564</v>
      </c>
      <c r="M149" s="2" t="s">
        <v>2080</v>
      </c>
      <c r="N149" s="2" t="s">
        <v>2079</v>
      </c>
      <c r="O149" s="66"/>
      <c r="P149" s="2" t="s">
        <v>1537</v>
      </c>
      <c r="Q149" s="66" t="s">
        <v>2040</v>
      </c>
      <c r="R149" s="2" t="s">
        <v>2081</v>
      </c>
    </row>
    <row r="150" spans="1:18" ht="27.75" hidden="1" customHeight="1" x14ac:dyDescent="0.3">
      <c r="A150" s="8">
        <v>1101700010006</v>
      </c>
      <c r="B150" s="7" t="s">
        <v>1551</v>
      </c>
      <c r="C150" s="7" t="s">
        <v>788</v>
      </c>
      <c r="D150" s="7">
        <v>2012</v>
      </c>
      <c r="E150" s="7" t="s">
        <v>19</v>
      </c>
      <c r="F150" s="7" t="s">
        <v>52</v>
      </c>
      <c r="G150" s="8" t="s">
        <v>789</v>
      </c>
      <c r="H150" s="7" t="s">
        <v>35</v>
      </c>
      <c r="I150" s="7" t="s">
        <v>787</v>
      </c>
      <c r="J150" s="2" t="s">
        <v>1477</v>
      </c>
      <c r="K150" s="2" t="s">
        <v>1548</v>
      </c>
      <c r="L150" s="2" t="s">
        <v>1571</v>
      </c>
      <c r="M150" s="2" t="s">
        <v>2243</v>
      </c>
      <c r="N150" s="9" t="s">
        <v>2244</v>
      </c>
      <c r="O150" s="65"/>
      <c r="P150" s="2" t="s">
        <v>1477</v>
      </c>
      <c r="Q150" s="65" t="s">
        <v>2002</v>
      </c>
      <c r="R150" s="2"/>
    </row>
    <row r="151" spans="1:18" ht="27.75" hidden="1" customHeight="1" x14ac:dyDescent="0.3">
      <c r="A151" s="8">
        <v>1101700010006</v>
      </c>
      <c r="B151" s="7" t="s">
        <v>1551</v>
      </c>
      <c r="C151" s="7" t="s">
        <v>914</v>
      </c>
      <c r="D151" s="7">
        <v>2012</v>
      </c>
      <c r="E151" s="7" t="s">
        <v>19</v>
      </c>
      <c r="F151" s="7" t="s">
        <v>52</v>
      </c>
      <c r="G151" s="8" t="s">
        <v>915</v>
      </c>
      <c r="H151" s="7" t="s">
        <v>35</v>
      </c>
      <c r="I151" s="7" t="s">
        <v>913</v>
      </c>
      <c r="J151" s="2" t="s">
        <v>1477</v>
      </c>
      <c r="K151" s="2" t="s">
        <v>1548</v>
      </c>
      <c r="L151" s="2" t="s">
        <v>1565</v>
      </c>
      <c r="M151" s="2" t="s">
        <v>2578</v>
      </c>
      <c r="N151" s="9" t="s">
        <v>2557</v>
      </c>
      <c r="O151" s="2" t="s">
        <v>2579</v>
      </c>
      <c r="P151" s="2" t="s">
        <v>1477</v>
      </c>
      <c r="Q151" s="66" t="s">
        <v>2000</v>
      </c>
      <c r="R151" s="2"/>
    </row>
    <row r="152" spans="1:18" ht="27.75" hidden="1" customHeight="1" x14ac:dyDescent="0.3">
      <c r="A152" s="8">
        <v>1101700030006</v>
      </c>
      <c r="B152" s="7" t="s">
        <v>1551</v>
      </c>
      <c r="C152" s="7" t="s">
        <v>1258</v>
      </c>
      <c r="D152" s="7">
        <v>2012</v>
      </c>
      <c r="E152" s="7" t="s">
        <v>19</v>
      </c>
      <c r="F152" s="7" t="s">
        <v>52</v>
      </c>
      <c r="G152" s="8" t="s">
        <v>1259</v>
      </c>
      <c r="H152" s="7" t="s">
        <v>263</v>
      </c>
      <c r="I152" s="7" t="s">
        <v>1225</v>
      </c>
      <c r="J152" s="2" t="s">
        <v>1544</v>
      </c>
      <c r="K152" s="2" t="s">
        <v>1548</v>
      </c>
      <c r="L152" s="2" t="s">
        <v>1564</v>
      </c>
      <c r="M152" s="2" t="s">
        <v>1590</v>
      </c>
      <c r="N152" s="10" t="s">
        <v>1591</v>
      </c>
      <c r="O152" s="65"/>
      <c r="P152" s="2" t="s">
        <v>2053</v>
      </c>
      <c r="Q152" s="65"/>
      <c r="R152" s="2"/>
    </row>
    <row r="153" spans="1:18" ht="27.75" hidden="1" customHeight="1" x14ac:dyDescent="0.3">
      <c r="A153" s="8">
        <v>1101700010006</v>
      </c>
      <c r="B153" s="7" t="s">
        <v>1551</v>
      </c>
      <c r="C153" s="7" t="s">
        <v>199</v>
      </c>
      <c r="D153" s="7">
        <v>2012</v>
      </c>
      <c r="E153" s="7" t="s">
        <v>19</v>
      </c>
      <c r="F153" s="7" t="s">
        <v>52</v>
      </c>
      <c r="G153" s="8" t="s">
        <v>200</v>
      </c>
      <c r="H153" s="7" t="s">
        <v>35</v>
      </c>
      <c r="I153" s="7" t="s">
        <v>198</v>
      </c>
      <c r="J153" s="2" t="s">
        <v>1531</v>
      </c>
      <c r="K153" s="11" t="s">
        <v>1912</v>
      </c>
      <c r="L153" s="2" t="s">
        <v>1569</v>
      </c>
      <c r="M153" s="2" t="s">
        <v>2252</v>
      </c>
      <c r="N153" s="2" t="s">
        <v>2253</v>
      </c>
      <c r="O153" s="2" t="s">
        <v>2479</v>
      </c>
      <c r="P153" s="2" t="s">
        <v>1531</v>
      </c>
      <c r="Q153" s="66" t="s">
        <v>2023</v>
      </c>
      <c r="R153" s="2"/>
    </row>
    <row r="154" spans="1:18" ht="27.75" hidden="1" customHeight="1" x14ac:dyDescent="0.3">
      <c r="A154" s="8">
        <v>1102700020004</v>
      </c>
      <c r="B154" s="7" t="s">
        <v>136</v>
      </c>
      <c r="C154" s="7" t="s">
        <v>844</v>
      </c>
      <c r="D154" s="7">
        <v>2017</v>
      </c>
      <c r="E154" s="7" t="s">
        <v>19</v>
      </c>
      <c r="F154" s="7" t="s">
        <v>66</v>
      </c>
      <c r="G154" s="8" t="s">
        <v>845</v>
      </c>
      <c r="H154" s="7" t="s">
        <v>35</v>
      </c>
      <c r="I154" s="7" t="s">
        <v>841</v>
      </c>
      <c r="J154" s="2" t="s">
        <v>1531</v>
      </c>
      <c r="K154" s="2" t="s">
        <v>1548</v>
      </c>
      <c r="L154" s="2" t="s">
        <v>1564</v>
      </c>
      <c r="M154" s="2" t="s">
        <v>2068</v>
      </c>
      <c r="N154" s="2" t="s">
        <v>2067</v>
      </c>
      <c r="O154" s="65"/>
      <c r="P154" s="2" t="s">
        <v>1531</v>
      </c>
      <c r="Q154" s="65" t="s">
        <v>2021</v>
      </c>
      <c r="R154" s="2"/>
    </row>
    <row r="155" spans="1:18" ht="27.75" hidden="1" customHeight="1" x14ac:dyDescent="0.3">
      <c r="A155" s="8">
        <v>1101700010006</v>
      </c>
      <c r="B155" s="7" t="s">
        <v>50</v>
      </c>
      <c r="C155" s="7" t="s">
        <v>1236</v>
      </c>
      <c r="D155" s="7">
        <v>2010</v>
      </c>
      <c r="E155" s="7" t="s">
        <v>19</v>
      </c>
      <c r="F155" s="7" t="s">
        <v>52</v>
      </c>
      <c r="G155" s="8" t="s">
        <v>1237</v>
      </c>
      <c r="H155" s="7" t="s">
        <v>263</v>
      </c>
      <c r="I155" s="7" t="s">
        <v>1225</v>
      </c>
      <c r="J155" s="2" t="s">
        <v>1544</v>
      </c>
      <c r="K155" s="2" t="s">
        <v>1548</v>
      </c>
      <c r="L155" s="2" t="s">
        <v>1567</v>
      </c>
      <c r="M155" s="2" t="s">
        <v>1605</v>
      </c>
      <c r="N155" s="2" t="s">
        <v>1606</v>
      </c>
      <c r="O155" s="66"/>
      <c r="P155" s="2" t="s">
        <v>2053</v>
      </c>
      <c r="Q155" s="66"/>
      <c r="R155" s="2"/>
    </row>
    <row r="156" spans="1:18" ht="27.75" hidden="1" customHeight="1" x14ac:dyDescent="0.3">
      <c r="A156" s="8">
        <v>1101700010006</v>
      </c>
      <c r="B156" s="7" t="s">
        <v>50</v>
      </c>
      <c r="C156" s="7" t="s">
        <v>633</v>
      </c>
      <c r="D156" s="7">
        <v>2010</v>
      </c>
      <c r="E156" s="7" t="s">
        <v>19</v>
      </c>
      <c r="F156" s="7" t="s">
        <v>52</v>
      </c>
      <c r="G156" s="8" t="s">
        <v>634</v>
      </c>
      <c r="H156" s="7" t="s">
        <v>263</v>
      </c>
      <c r="I156" s="7" t="s">
        <v>632</v>
      </c>
      <c r="J156" s="2" t="s">
        <v>1506</v>
      </c>
      <c r="K156" s="2" t="s">
        <v>1548</v>
      </c>
      <c r="L156" s="2" t="s">
        <v>1564</v>
      </c>
      <c r="M156" s="2" t="s">
        <v>2090</v>
      </c>
      <c r="N156" s="9" t="s">
        <v>2579</v>
      </c>
      <c r="O156" s="2" t="s">
        <v>2573</v>
      </c>
      <c r="P156" s="2" t="s">
        <v>1506</v>
      </c>
      <c r="Q156" s="65" t="s">
        <v>2006</v>
      </c>
      <c r="R156" s="2"/>
    </row>
    <row r="157" spans="1:18" ht="27.75" hidden="1" customHeight="1" x14ac:dyDescent="0.3">
      <c r="A157" s="8">
        <v>1101700010006</v>
      </c>
      <c r="B157" s="7" t="s">
        <v>50</v>
      </c>
      <c r="C157" s="7" t="s">
        <v>793</v>
      </c>
      <c r="D157" s="7">
        <v>2010</v>
      </c>
      <c r="E157" s="7" t="s">
        <v>19</v>
      </c>
      <c r="F157" s="7" t="s">
        <v>52</v>
      </c>
      <c r="G157" s="8" t="s">
        <v>794</v>
      </c>
      <c r="H157" s="7" t="s">
        <v>35</v>
      </c>
      <c r="I157" s="7" t="s">
        <v>792</v>
      </c>
      <c r="J157" s="2" t="s">
        <v>1549</v>
      </c>
      <c r="K157" s="2" t="s">
        <v>1548</v>
      </c>
      <c r="L157" s="2" t="s">
        <v>1564</v>
      </c>
      <c r="M157" s="2" t="s">
        <v>1866</v>
      </c>
      <c r="N157" s="10" t="s">
        <v>1867</v>
      </c>
      <c r="O157" s="66"/>
      <c r="P157" s="2" t="s">
        <v>1525</v>
      </c>
      <c r="Q157" s="66" t="s">
        <v>2017</v>
      </c>
      <c r="R157" s="2" t="s">
        <v>1868</v>
      </c>
    </row>
    <row r="158" spans="1:18" ht="27.75" hidden="1" customHeight="1" x14ac:dyDescent="0.3">
      <c r="A158" s="8">
        <v>1101700010006</v>
      </c>
      <c r="B158" s="7" t="s">
        <v>50</v>
      </c>
      <c r="C158" s="7" t="s">
        <v>771</v>
      </c>
      <c r="D158" s="7">
        <v>2010</v>
      </c>
      <c r="E158" s="7" t="s">
        <v>19</v>
      </c>
      <c r="F158" s="7" t="s">
        <v>52</v>
      </c>
      <c r="G158" s="8" t="s">
        <v>772</v>
      </c>
      <c r="H158" s="7" t="s">
        <v>35</v>
      </c>
      <c r="I158" s="7" t="s">
        <v>770</v>
      </c>
      <c r="J158" s="2" t="s">
        <v>1506</v>
      </c>
      <c r="K158" s="2" t="s">
        <v>1548</v>
      </c>
      <c r="L158" s="2" t="s">
        <v>1564</v>
      </c>
      <c r="M158" s="2" t="s">
        <v>2699</v>
      </c>
      <c r="N158" s="2" t="s">
        <v>2698</v>
      </c>
      <c r="O158" s="2" t="s">
        <v>2612</v>
      </c>
      <c r="P158" s="2" t="s">
        <v>1506</v>
      </c>
      <c r="Q158" s="65" t="s">
        <v>2005</v>
      </c>
      <c r="R158" s="2"/>
    </row>
    <row r="159" spans="1:18" ht="27.75" hidden="1" customHeight="1" x14ac:dyDescent="0.3">
      <c r="A159" s="8">
        <v>1101700010006</v>
      </c>
      <c r="B159" s="7" t="s">
        <v>50</v>
      </c>
      <c r="C159" s="7" t="s">
        <v>777</v>
      </c>
      <c r="D159" s="7">
        <v>2010</v>
      </c>
      <c r="E159" s="7" t="s">
        <v>19</v>
      </c>
      <c r="F159" s="7" t="s">
        <v>52</v>
      </c>
      <c r="G159" s="8" t="s">
        <v>778</v>
      </c>
      <c r="H159" s="7" t="s">
        <v>35</v>
      </c>
      <c r="I159" s="7" t="s">
        <v>776</v>
      </c>
      <c r="J159" s="2" t="s">
        <v>1663</v>
      </c>
      <c r="K159" s="2" t="s">
        <v>1548</v>
      </c>
      <c r="L159" s="2" t="s">
        <v>1564</v>
      </c>
      <c r="M159" s="2" t="s">
        <v>1783</v>
      </c>
      <c r="N159" s="2" t="s">
        <v>1793</v>
      </c>
      <c r="O159" s="66"/>
      <c r="P159" s="2" t="s">
        <v>1506</v>
      </c>
      <c r="Q159" s="66" t="s">
        <v>2005</v>
      </c>
      <c r="R159" s="2"/>
    </row>
    <row r="160" spans="1:18" ht="27.75" hidden="1" customHeight="1" x14ac:dyDescent="0.3">
      <c r="A160" s="8">
        <v>1101700010006</v>
      </c>
      <c r="B160" s="7" t="s">
        <v>50</v>
      </c>
      <c r="C160" s="7" t="s">
        <v>747</v>
      </c>
      <c r="D160" s="7">
        <v>2010</v>
      </c>
      <c r="E160" s="7" t="s">
        <v>19</v>
      </c>
      <c r="F160" s="7" t="s">
        <v>52</v>
      </c>
      <c r="G160" s="8" t="s">
        <v>748</v>
      </c>
      <c r="H160" s="7" t="s">
        <v>35</v>
      </c>
      <c r="I160" s="7" t="s">
        <v>746</v>
      </c>
      <c r="J160" s="2" t="s">
        <v>1487</v>
      </c>
      <c r="K160" s="11" t="s">
        <v>1912</v>
      </c>
      <c r="L160" s="2"/>
      <c r="M160" s="2"/>
      <c r="N160" s="2"/>
      <c r="O160" s="2" t="s">
        <v>2377</v>
      </c>
      <c r="P160" s="2" t="s">
        <v>2034</v>
      </c>
      <c r="Q160" s="65" t="s">
        <v>2036</v>
      </c>
      <c r="R160" s="2"/>
    </row>
    <row r="161" spans="1:18" ht="27.75" hidden="1" customHeight="1" x14ac:dyDescent="0.3">
      <c r="A161" s="8">
        <v>1106700020003</v>
      </c>
      <c r="B161" s="7" t="s">
        <v>54</v>
      </c>
      <c r="C161" s="7" t="s">
        <v>85</v>
      </c>
      <c r="D161" s="7">
        <v>2015</v>
      </c>
      <c r="E161" s="7" t="s">
        <v>19</v>
      </c>
      <c r="F161" s="7" t="s">
        <v>56</v>
      </c>
      <c r="G161" s="8" t="s">
        <v>86</v>
      </c>
      <c r="H161" s="7" t="s">
        <v>35</v>
      </c>
      <c r="I161" s="7" t="s">
        <v>82</v>
      </c>
      <c r="J161" s="2" t="s">
        <v>1506</v>
      </c>
      <c r="K161" s="11" t="s">
        <v>1912</v>
      </c>
      <c r="L161" s="66"/>
      <c r="M161" s="66"/>
      <c r="N161" s="2"/>
      <c r="O161" s="2" t="s">
        <v>2191</v>
      </c>
      <c r="P161" s="2" t="s">
        <v>1506</v>
      </c>
      <c r="Q161" s="66" t="s">
        <v>2007</v>
      </c>
      <c r="R161" s="66"/>
    </row>
    <row r="162" spans="1:18" ht="27.75" hidden="1" customHeight="1" x14ac:dyDescent="0.3">
      <c r="A162" s="8">
        <v>1105700010006</v>
      </c>
      <c r="B162" s="7" t="s">
        <v>454</v>
      </c>
      <c r="C162" s="7" t="s">
        <v>455</v>
      </c>
      <c r="D162" s="7">
        <v>2010</v>
      </c>
      <c r="E162" s="7" t="s">
        <v>19</v>
      </c>
      <c r="F162" s="7" t="s">
        <v>52</v>
      </c>
      <c r="G162" s="8" t="s">
        <v>456</v>
      </c>
      <c r="H162" s="7" t="s">
        <v>263</v>
      </c>
      <c r="I162" s="7" t="s">
        <v>453</v>
      </c>
      <c r="J162" s="2" t="s">
        <v>1482</v>
      </c>
      <c r="K162" s="11" t="s">
        <v>1912</v>
      </c>
      <c r="L162" s="2"/>
      <c r="M162" s="2" t="s">
        <v>2120</v>
      </c>
      <c r="N162" s="2" t="s">
        <v>2118</v>
      </c>
      <c r="O162" s="2" t="s">
        <v>2425</v>
      </c>
      <c r="P162" s="2" t="s">
        <v>2009</v>
      </c>
      <c r="Q162" s="65" t="s">
        <v>2010</v>
      </c>
      <c r="R162" s="65"/>
    </row>
    <row r="163" spans="1:18" ht="27.75" hidden="1" customHeight="1" x14ac:dyDescent="0.3">
      <c r="A163" s="8">
        <v>1106700020003</v>
      </c>
      <c r="B163" s="7" t="s">
        <v>54</v>
      </c>
      <c r="C163" s="7" t="s">
        <v>331</v>
      </c>
      <c r="D163" s="7">
        <v>2015</v>
      </c>
      <c r="E163" s="7" t="s">
        <v>19</v>
      </c>
      <c r="F163" s="7" t="s">
        <v>56</v>
      </c>
      <c r="G163" s="8" t="s">
        <v>332</v>
      </c>
      <c r="H163" s="7" t="s">
        <v>263</v>
      </c>
      <c r="I163" s="7" t="s">
        <v>1560</v>
      </c>
      <c r="J163" s="2" t="s">
        <v>1477</v>
      </c>
      <c r="K163" s="11" t="s">
        <v>1912</v>
      </c>
      <c r="L163" s="2" t="s">
        <v>1571</v>
      </c>
      <c r="M163" s="2" t="s">
        <v>2586</v>
      </c>
      <c r="N163" s="2" t="s">
        <v>1898</v>
      </c>
      <c r="O163" s="2" t="s">
        <v>2593</v>
      </c>
      <c r="P163" s="2" t="s">
        <v>1477</v>
      </c>
      <c r="Q163" s="66" t="s">
        <v>2003</v>
      </c>
      <c r="R163" s="66"/>
    </row>
    <row r="164" spans="1:18" ht="27.75" hidden="1" customHeight="1" x14ac:dyDescent="0.3">
      <c r="A164" s="8">
        <v>1106700010003</v>
      </c>
      <c r="B164" s="7" t="s">
        <v>102</v>
      </c>
      <c r="C164" s="7" t="s">
        <v>1220</v>
      </c>
      <c r="D164" s="7">
        <v>1991</v>
      </c>
      <c r="E164" s="7" t="s">
        <v>19</v>
      </c>
      <c r="F164" s="7" t="s">
        <v>104</v>
      </c>
      <c r="G164" s="8" t="s">
        <v>1221</v>
      </c>
      <c r="H164" s="7" t="s">
        <v>263</v>
      </c>
      <c r="I164" s="7" t="s">
        <v>1219</v>
      </c>
      <c r="J164" s="2" t="s">
        <v>1525</v>
      </c>
      <c r="K164" s="2" t="s">
        <v>1548</v>
      </c>
      <c r="L164" s="2" t="s">
        <v>1564</v>
      </c>
      <c r="M164" s="2" t="s">
        <v>2406</v>
      </c>
      <c r="N164" s="9" t="s">
        <v>2534</v>
      </c>
      <c r="O164" s="2" t="s">
        <v>2469</v>
      </c>
      <c r="P164" s="2" t="s">
        <v>1525</v>
      </c>
      <c r="Q164" s="65" t="s">
        <v>2018</v>
      </c>
      <c r="R164" s="65"/>
    </row>
    <row r="165" spans="1:18" ht="27.75" hidden="1" customHeight="1" x14ac:dyDescent="0.3">
      <c r="A165" s="8">
        <v>1105700090001</v>
      </c>
      <c r="B165" s="7" t="s">
        <v>308</v>
      </c>
      <c r="C165" s="7" t="s">
        <v>309</v>
      </c>
      <c r="D165" s="7">
        <v>2011</v>
      </c>
      <c r="E165" s="7" t="s">
        <v>19</v>
      </c>
      <c r="F165" s="7" t="s">
        <v>66</v>
      </c>
      <c r="G165" s="8" t="s">
        <v>310</v>
      </c>
      <c r="H165" s="7" t="s">
        <v>263</v>
      </c>
      <c r="I165" s="7" t="s">
        <v>270</v>
      </c>
      <c r="J165" s="2" t="s">
        <v>1544</v>
      </c>
      <c r="K165" s="11" t="s">
        <v>1912</v>
      </c>
      <c r="L165" s="2" t="s">
        <v>1571</v>
      </c>
      <c r="M165" s="2" t="s">
        <v>2428</v>
      </c>
      <c r="N165" s="2" t="s">
        <v>2425</v>
      </c>
      <c r="O165" s="2" t="s">
        <v>2448</v>
      </c>
      <c r="P165" s="2" t="s">
        <v>2053</v>
      </c>
      <c r="Q165" s="66"/>
      <c r="R165" s="66"/>
    </row>
    <row r="166" spans="1:18" ht="27.75" hidden="1" customHeight="1" x14ac:dyDescent="0.3">
      <c r="A166" s="8">
        <v>1101700010006</v>
      </c>
      <c r="B166" s="7" t="s">
        <v>1551</v>
      </c>
      <c r="C166" s="7" t="s">
        <v>974</v>
      </c>
      <c r="D166" s="7">
        <v>2014</v>
      </c>
      <c r="E166" s="7" t="s">
        <v>19</v>
      </c>
      <c r="F166" s="7" t="s">
        <v>52</v>
      </c>
      <c r="G166" s="8" t="s">
        <v>975</v>
      </c>
      <c r="H166" s="7" t="s">
        <v>35</v>
      </c>
      <c r="I166" s="7" t="s">
        <v>973</v>
      </c>
      <c r="J166" s="2" t="s">
        <v>1471</v>
      </c>
      <c r="K166" s="2" t="s">
        <v>1548</v>
      </c>
      <c r="L166" s="2" t="s">
        <v>1564</v>
      </c>
      <c r="M166" s="2" t="s">
        <v>2240</v>
      </c>
      <c r="N166" s="2" t="s">
        <v>2553</v>
      </c>
      <c r="O166" s="2" t="s">
        <v>2513</v>
      </c>
      <c r="P166" s="2" t="s">
        <v>1471</v>
      </c>
      <c r="Q166" s="65" t="s">
        <v>1994</v>
      </c>
      <c r="R166" s="65"/>
    </row>
    <row r="167" spans="1:18" ht="27.75" hidden="1" customHeight="1" x14ac:dyDescent="0.3">
      <c r="A167" s="8">
        <v>1105700010002</v>
      </c>
      <c r="B167" s="7" t="s">
        <v>293</v>
      </c>
      <c r="C167" s="7" t="s">
        <v>294</v>
      </c>
      <c r="D167" s="7">
        <v>2008</v>
      </c>
      <c r="E167" s="7" t="s">
        <v>19</v>
      </c>
      <c r="F167" s="7" t="s">
        <v>42</v>
      </c>
      <c r="G167" s="8" t="s">
        <v>295</v>
      </c>
      <c r="H167" s="7" t="s">
        <v>263</v>
      </c>
      <c r="I167" s="7" t="s">
        <v>270</v>
      </c>
      <c r="J167" s="2" t="s">
        <v>1549</v>
      </c>
      <c r="K167" s="2" t="s">
        <v>1548</v>
      </c>
      <c r="L167" s="2" t="s">
        <v>1571</v>
      </c>
      <c r="M167" s="2" t="s">
        <v>1609</v>
      </c>
      <c r="N167" s="123" t="s">
        <v>2614</v>
      </c>
      <c r="O167" s="2" t="s">
        <v>2565</v>
      </c>
      <c r="P167" s="2" t="s">
        <v>2053</v>
      </c>
      <c r="Q167" s="66"/>
      <c r="R167" s="66"/>
    </row>
    <row r="168" spans="1:18" ht="27.75" hidden="1" customHeight="1" x14ac:dyDescent="0.3">
      <c r="A168" s="8">
        <v>1209700010004</v>
      </c>
      <c r="B168" s="7" t="s">
        <v>413</v>
      </c>
      <c r="C168" s="7" t="s">
        <v>414</v>
      </c>
      <c r="D168" s="7">
        <v>2015</v>
      </c>
      <c r="E168" s="7" t="s">
        <v>19</v>
      </c>
      <c r="F168" s="7" t="s">
        <v>415</v>
      </c>
      <c r="G168" s="8" t="s">
        <v>416</v>
      </c>
      <c r="H168" s="7" t="s">
        <v>263</v>
      </c>
      <c r="I168" s="7" t="s">
        <v>270</v>
      </c>
      <c r="J168" s="2" t="s">
        <v>1556</v>
      </c>
      <c r="K168" s="11" t="s">
        <v>1912</v>
      </c>
      <c r="L168" s="65"/>
      <c r="M168" s="65"/>
      <c r="N168" s="2"/>
      <c r="O168" s="2" t="s">
        <v>1976</v>
      </c>
      <c r="P168" s="2" t="s">
        <v>2053</v>
      </c>
      <c r="Q168" s="65"/>
      <c r="R168" s="65"/>
    </row>
    <row r="169" spans="1:18" ht="27.75" hidden="1" customHeight="1" x14ac:dyDescent="0.3">
      <c r="A169" s="8">
        <v>1105700030001</v>
      </c>
      <c r="B169" s="7" t="s">
        <v>650</v>
      </c>
      <c r="C169" s="7" t="s">
        <v>651</v>
      </c>
      <c r="D169" s="7">
        <v>1982</v>
      </c>
      <c r="E169" s="7" t="s">
        <v>19</v>
      </c>
      <c r="F169" s="7" t="s">
        <v>104</v>
      </c>
      <c r="G169" s="8">
        <v>343603155023285</v>
      </c>
      <c r="H169" s="7" t="s">
        <v>263</v>
      </c>
      <c r="I169" s="7" t="s">
        <v>632</v>
      </c>
      <c r="J169" s="2" t="s">
        <v>1544</v>
      </c>
      <c r="K169" s="11" t="s">
        <v>1912</v>
      </c>
      <c r="L169" s="66"/>
      <c r="M169" s="66"/>
      <c r="N169" s="10" t="s">
        <v>1938</v>
      </c>
      <c r="O169" s="2" t="s">
        <v>1921</v>
      </c>
      <c r="P169" s="2" t="s">
        <v>2053</v>
      </c>
      <c r="Q169" s="66"/>
      <c r="R169" s="66"/>
    </row>
    <row r="170" spans="1:18" ht="27.75" hidden="1" customHeight="1" x14ac:dyDescent="0.3">
      <c r="A170" s="8">
        <v>1106700020003</v>
      </c>
      <c r="B170" s="7" t="s">
        <v>54</v>
      </c>
      <c r="C170" s="7" t="s">
        <v>931</v>
      </c>
      <c r="D170" s="7">
        <v>2012</v>
      </c>
      <c r="E170" s="7" t="s">
        <v>19</v>
      </c>
      <c r="F170" s="7" t="s">
        <v>56</v>
      </c>
      <c r="G170" s="8" t="s">
        <v>932</v>
      </c>
      <c r="H170" s="7" t="s">
        <v>35</v>
      </c>
      <c r="I170" s="7" t="s">
        <v>925</v>
      </c>
      <c r="J170" s="2" t="s">
        <v>1518</v>
      </c>
      <c r="K170" s="2" t="s">
        <v>1548</v>
      </c>
      <c r="L170" s="2" t="s">
        <v>1571</v>
      </c>
      <c r="M170" s="2" t="s">
        <v>2569</v>
      </c>
      <c r="N170" s="2" t="s">
        <v>2565</v>
      </c>
      <c r="O170" s="2" t="s">
        <v>2528</v>
      </c>
      <c r="P170" s="2" t="s">
        <v>1518</v>
      </c>
      <c r="Q170" s="65" t="s">
        <v>1988</v>
      </c>
      <c r="R170" s="2" t="s">
        <v>2083</v>
      </c>
    </row>
    <row r="171" spans="1:18" ht="27.75" hidden="1" customHeight="1" x14ac:dyDescent="0.3">
      <c r="A171" s="8">
        <v>1106700020010</v>
      </c>
      <c r="B171" s="7" t="s">
        <v>210</v>
      </c>
      <c r="C171" s="7" t="s">
        <v>1361</v>
      </c>
      <c r="D171" s="7">
        <v>2009</v>
      </c>
      <c r="E171" s="7" t="s">
        <v>19</v>
      </c>
      <c r="F171" s="7" t="s">
        <v>52</v>
      </c>
      <c r="G171" s="8" t="s">
        <v>1362</v>
      </c>
      <c r="H171" s="7" t="s">
        <v>263</v>
      </c>
      <c r="I171" s="7" t="s">
        <v>1225</v>
      </c>
      <c r="J171" s="2" t="s">
        <v>1471</v>
      </c>
      <c r="K171" s="11" t="s">
        <v>1912</v>
      </c>
      <c r="L171" s="2" t="s">
        <v>1571</v>
      </c>
      <c r="M171" s="2" t="s">
        <v>2643</v>
      </c>
      <c r="N171" s="2" t="s">
        <v>2644</v>
      </c>
      <c r="O171" s="2" t="s">
        <v>2677</v>
      </c>
      <c r="P171" s="2" t="s">
        <v>1471</v>
      </c>
      <c r="Q171" s="66" t="s">
        <v>1994</v>
      </c>
      <c r="R171" s="66"/>
    </row>
    <row r="172" spans="1:18" ht="27.75" hidden="1" customHeight="1" x14ac:dyDescent="0.3">
      <c r="A172" s="8">
        <v>1101700010006</v>
      </c>
      <c r="B172" s="7" t="s">
        <v>1551</v>
      </c>
      <c r="C172" s="7" t="s">
        <v>842</v>
      </c>
      <c r="D172" s="7">
        <v>2013</v>
      </c>
      <c r="E172" s="7" t="s">
        <v>19</v>
      </c>
      <c r="F172" s="7" t="s">
        <v>52</v>
      </c>
      <c r="G172" s="8" t="s">
        <v>843</v>
      </c>
      <c r="H172" s="7" t="s">
        <v>35</v>
      </c>
      <c r="I172" s="7" t="s">
        <v>841</v>
      </c>
      <c r="J172" s="2" t="s">
        <v>1531</v>
      </c>
      <c r="K172" s="11" t="s">
        <v>1912</v>
      </c>
      <c r="L172" s="2" t="s">
        <v>1565</v>
      </c>
      <c r="M172" s="2" t="s">
        <v>2594</v>
      </c>
      <c r="N172" s="2" t="s">
        <v>2595</v>
      </c>
      <c r="O172" s="2" t="s">
        <v>2604</v>
      </c>
      <c r="P172" s="2" t="s">
        <v>1531</v>
      </c>
      <c r="Q172" s="65" t="s">
        <v>2019</v>
      </c>
      <c r="R172" s="65"/>
    </row>
    <row r="173" spans="1:18" ht="27.75" hidden="1" customHeight="1" x14ac:dyDescent="0.3">
      <c r="A173" s="8">
        <v>1106700020003</v>
      </c>
      <c r="B173" s="7" t="s">
        <v>54</v>
      </c>
      <c r="C173" s="7" t="s">
        <v>936</v>
      </c>
      <c r="D173" s="7">
        <v>2013</v>
      </c>
      <c r="E173" s="7" t="s">
        <v>19</v>
      </c>
      <c r="F173" s="7" t="s">
        <v>56</v>
      </c>
      <c r="G173" s="8" t="s">
        <v>937</v>
      </c>
      <c r="H173" s="7" t="s">
        <v>35</v>
      </c>
      <c r="I173" s="7" t="s">
        <v>933</v>
      </c>
      <c r="J173" s="2" t="s">
        <v>1477</v>
      </c>
      <c r="K173" s="2" t="s">
        <v>1548</v>
      </c>
      <c r="L173" s="2" t="s">
        <v>1571</v>
      </c>
      <c r="M173" s="2" t="s">
        <v>1609</v>
      </c>
      <c r="N173" s="9" t="s">
        <v>2593</v>
      </c>
      <c r="O173" s="2" t="s">
        <v>2353</v>
      </c>
      <c r="P173" s="2" t="s">
        <v>1477</v>
      </c>
      <c r="Q173" s="66" t="s">
        <v>1999</v>
      </c>
      <c r="R173" s="66"/>
    </row>
    <row r="174" spans="1:18" ht="27.75" hidden="1" customHeight="1" x14ac:dyDescent="0.3">
      <c r="A174" s="8">
        <v>1105700010005</v>
      </c>
      <c r="B174" s="7" t="s">
        <v>569</v>
      </c>
      <c r="C174" s="7" t="s">
        <v>570</v>
      </c>
      <c r="D174" s="7">
        <v>2009</v>
      </c>
      <c r="E174" s="7" t="s">
        <v>19</v>
      </c>
      <c r="F174" s="7" t="s">
        <v>571</v>
      </c>
      <c r="G174" s="8" t="s">
        <v>572</v>
      </c>
      <c r="H174" s="7" t="s">
        <v>263</v>
      </c>
      <c r="I174" s="7" t="s">
        <v>568</v>
      </c>
      <c r="J174" s="2" t="s">
        <v>1549</v>
      </c>
      <c r="K174" s="2" t="s">
        <v>1548</v>
      </c>
      <c r="L174" s="2" t="s">
        <v>1571</v>
      </c>
      <c r="M174" s="2" t="s">
        <v>2674</v>
      </c>
      <c r="N174" s="2" t="s">
        <v>2672</v>
      </c>
      <c r="O174" s="2" t="s">
        <v>2547</v>
      </c>
      <c r="P174" s="2" t="s">
        <v>2034</v>
      </c>
      <c r="Q174" s="65" t="s">
        <v>2039</v>
      </c>
      <c r="R174" s="65"/>
    </row>
    <row r="175" spans="1:18" ht="27.75" hidden="1" customHeight="1" x14ac:dyDescent="0.3">
      <c r="A175" s="8">
        <v>1101700010006</v>
      </c>
      <c r="B175" s="7" t="s">
        <v>1551</v>
      </c>
      <c r="C175" s="7" t="s">
        <v>90</v>
      </c>
      <c r="D175" s="7">
        <v>2013</v>
      </c>
      <c r="E175" s="7" t="s">
        <v>19</v>
      </c>
      <c r="F175" s="7" t="s">
        <v>52</v>
      </c>
      <c r="G175" s="8" t="s">
        <v>91</v>
      </c>
      <c r="H175" s="7" t="s">
        <v>35</v>
      </c>
      <c r="I175" s="7" t="s">
        <v>89</v>
      </c>
      <c r="J175" s="2" t="s">
        <v>1525</v>
      </c>
      <c r="K175" s="2" t="s">
        <v>1548</v>
      </c>
      <c r="L175" s="2" t="s">
        <v>1571</v>
      </c>
      <c r="M175" s="2" t="s">
        <v>2643</v>
      </c>
      <c r="N175" s="2" t="s">
        <v>2528</v>
      </c>
      <c r="O175" s="2" t="s">
        <v>2383</v>
      </c>
      <c r="P175" s="2" t="s">
        <v>1525</v>
      </c>
      <c r="Q175" s="66" t="s">
        <v>2014</v>
      </c>
      <c r="R175" s="66"/>
    </row>
    <row r="176" spans="1:18" ht="27.75" hidden="1" customHeight="1" x14ac:dyDescent="0.3">
      <c r="A176" s="8">
        <v>1106700010003</v>
      </c>
      <c r="B176" s="7" t="s">
        <v>102</v>
      </c>
      <c r="C176" s="7" t="s">
        <v>665</v>
      </c>
      <c r="D176" s="7">
        <v>1993</v>
      </c>
      <c r="E176" s="7" t="s">
        <v>19</v>
      </c>
      <c r="F176" s="7" t="s">
        <v>104</v>
      </c>
      <c r="G176" s="8">
        <v>2592</v>
      </c>
      <c r="H176" s="7" t="s">
        <v>263</v>
      </c>
      <c r="I176" s="7" t="s">
        <v>632</v>
      </c>
      <c r="J176" s="2" t="s">
        <v>1544</v>
      </c>
      <c r="K176" s="11" t="s">
        <v>1912</v>
      </c>
      <c r="L176" s="65"/>
      <c r="M176" s="2"/>
      <c r="N176" s="2"/>
      <c r="O176" s="2" t="s">
        <v>2235</v>
      </c>
      <c r="P176" s="2" t="s">
        <v>2045</v>
      </c>
      <c r="Q176" s="65" t="s">
        <v>2046</v>
      </c>
      <c r="R176" s="65"/>
    </row>
    <row r="177" spans="1:18" ht="27.75" hidden="1" customHeight="1" x14ac:dyDescent="0.3">
      <c r="A177" s="8">
        <v>1106700020003</v>
      </c>
      <c r="B177" s="7" t="s">
        <v>54</v>
      </c>
      <c r="C177" s="7" t="s">
        <v>879</v>
      </c>
      <c r="D177" s="7">
        <v>2015</v>
      </c>
      <c r="E177" s="7" t="s">
        <v>19</v>
      </c>
      <c r="F177" s="7" t="s">
        <v>56</v>
      </c>
      <c r="G177" s="8" t="s">
        <v>880</v>
      </c>
      <c r="H177" s="7" t="s">
        <v>35</v>
      </c>
      <c r="I177" s="7" t="s">
        <v>877</v>
      </c>
      <c r="J177" s="2" t="s">
        <v>1506</v>
      </c>
      <c r="K177" s="11" t="s">
        <v>1912</v>
      </c>
      <c r="L177" s="66"/>
      <c r="M177" s="66"/>
      <c r="N177" s="2" t="s">
        <v>1799</v>
      </c>
      <c r="O177" s="2" t="s">
        <v>1932</v>
      </c>
      <c r="P177" s="2" t="s">
        <v>1506</v>
      </c>
      <c r="Q177" s="66" t="s">
        <v>2008</v>
      </c>
      <c r="R177" s="66"/>
    </row>
    <row r="178" spans="1:18" ht="27.75" hidden="1" customHeight="1" x14ac:dyDescent="0.3">
      <c r="A178" s="8">
        <v>1101700010006</v>
      </c>
      <c r="B178" s="7" t="s">
        <v>1551</v>
      </c>
      <c r="C178" s="7" t="s">
        <v>909</v>
      </c>
      <c r="D178" s="7">
        <v>2013</v>
      </c>
      <c r="E178" s="7" t="s">
        <v>19</v>
      </c>
      <c r="F178" s="7" t="s">
        <v>52</v>
      </c>
      <c r="G178" s="8" t="s">
        <v>910</v>
      </c>
      <c r="H178" s="7" t="s">
        <v>35</v>
      </c>
      <c r="I178" s="7" t="s">
        <v>908</v>
      </c>
      <c r="J178" s="2" t="s">
        <v>1537</v>
      </c>
      <c r="K178" s="2" t="s">
        <v>1548</v>
      </c>
      <c r="L178" s="2" t="s">
        <v>1571</v>
      </c>
      <c r="M178" s="2" t="s">
        <v>2540</v>
      </c>
      <c r="N178" s="9" t="s">
        <v>2541</v>
      </c>
      <c r="O178" s="2" t="s">
        <v>2433</v>
      </c>
      <c r="P178" s="2" t="s">
        <v>1537</v>
      </c>
      <c r="Q178" s="65" t="s">
        <v>2043</v>
      </c>
      <c r="R178" s="65"/>
    </row>
    <row r="179" spans="1:18" ht="27.75" hidden="1" customHeight="1" x14ac:dyDescent="0.3">
      <c r="A179" s="8">
        <v>1106700010010</v>
      </c>
      <c r="B179" s="7" t="s">
        <v>114</v>
      </c>
      <c r="C179" s="7" t="s">
        <v>756</v>
      </c>
      <c r="D179" s="7">
        <v>2002</v>
      </c>
      <c r="E179" s="7" t="s">
        <v>19</v>
      </c>
      <c r="F179" s="7" t="s">
        <v>104</v>
      </c>
      <c r="G179" s="8" t="s">
        <v>757</v>
      </c>
      <c r="H179" s="7" t="s">
        <v>35</v>
      </c>
      <c r="I179" s="7" t="s">
        <v>753</v>
      </c>
      <c r="J179" s="2" t="s">
        <v>1513</v>
      </c>
      <c r="K179" s="2" t="s">
        <v>1548</v>
      </c>
      <c r="L179" s="66" t="s">
        <v>1571</v>
      </c>
      <c r="M179" s="2" t="s">
        <v>2187</v>
      </c>
      <c r="N179" s="2" t="s">
        <v>2186</v>
      </c>
      <c r="O179" s="2"/>
      <c r="P179" s="2" t="s">
        <v>1513</v>
      </c>
      <c r="Q179" s="66" t="s">
        <v>2032</v>
      </c>
      <c r="R179" s="66"/>
    </row>
    <row r="180" spans="1:18" ht="27.75" hidden="1" customHeight="1" x14ac:dyDescent="0.3">
      <c r="A180" s="8">
        <v>1106700020003</v>
      </c>
      <c r="B180" s="7" t="s">
        <v>54</v>
      </c>
      <c r="C180" s="7" t="s">
        <v>162</v>
      </c>
      <c r="D180" s="7">
        <v>2013</v>
      </c>
      <c r="E180" s="7" t="s">
        <v>19</v>
      </c>
      <c r="F180" s="7" t="s">
        <v>56</v>
      </c>
      <c r="G180" s="8" t="s">
        <v>163</v>
      </c>
      <c r="H180" s="7" t="s">
        <v>35</v>
      </c>
      <c r="I180" s="7" t="s">
        <v>153</v>
      </c>
      <c r="J180" s="2" t="s">
        <v>1537</v>
      </c>
      <c r="K180" s="2" t="s">
        <v>1548</v>
      </c>
      <c r="L180" s="2" t="s">
        <v>1564</v>
      </c>
      <c r="M180" s="2" t="s">
        <v>2350</v>
      </c>
      <c r="N180" s="9" t="s">
        <v>2348</v>
      </c>
      <c r="O180" s="2"/>
      <c r="P180" s="2" t="s">
        <v>1537</v>
      </c>
      <c r="Q180" s="65" t="s">
        <v>2040</v>
      </c>
      <c r="R180" s="65"/>
    </row>
    <row r="181" spans="1:18" ht="27.75" hidden="1" customHeight="1" x14ac:dyDescent="0.3">
      <c r="A181" s="8">
        <v>1101700010005</v>
      </c>
      <c r="B181" s="7" t="s">
        <v>1226</v>
      </c>
      <c r="C181" s="7" t="s">
        <v>1227</v>
      </c>
      <c r="D181" s="7">
        <v>1983</v>
      </c>
      <c r="E181" s="7" t="s">
        <v>19</v>
      </c>
      <c r="F181" s="7" t="s">
        <v>52</v>
      </c>
      <c r="G181" s="8">
        <v>14943943</v>
      </c>
      <c r="H181" s="7" t="s">
        <v>263</v>
      </c>
      <c r="I181" s="7" t="s">
        <v>1225</v>
      </c>
      <c r="J181" s="2" t="s">
        <v>1544</v>
      </c>
      <c r="K181" s="9" t="s">
        <v>1552</v>
      </c>
      <c r="L181" s="2" t="s">
        <v>1571</v>
      </c>
      <c r="M181" s="2" t="s">
        <v>1609</v>
      </c>
      <c r="N181" s="2"/>
      <c r="O181" s="66"/>
      <c r="P181" s="2" t="s">
        <v>2053</v>
      </c>
      <c r="Q181" s="66"/>
      <c r="R181" s="2"/>
    </row>
    <row r="182" spans="1:18" ht="27.75" hidden="1" customHeight="1" x14ac:dyDescent="0.3">
      <c r="A182" s="8">
        <v>1101700010006</v>
      </c>
      <c r="B182" s="7" t="s">
        <v>50</v>
      </c>
      <c r="C182" s="7" t="s">
        <v>274</v>
      </c>
      <c r="D182" s="7">
        <v>2004</v>
      </c>
      <c r="E182" s="7" t="s">
        <v>19</v>
      </c>
      <c r="F182" s="7" t="s">
        <v>52</v>
      </c>
      <c r="G182" s="8" t="s">
        <v>275</v>
      </c>
      <c r="H182" s="7" t="s">
        <v>263</v>
      </c>
      <c r="I182" s="7" t="s">
        <v>270</v>
      </c>
      <c r="J182" s="2" t="s">
        <v>1544</v>
      </c>
      <c r="K182" s="9" t="s">
        <v>1552</v>
      </c>
      <c r="L182" s="2" t="s">
        <v>1571</v>
      </c>
      <c r="M182" s="2" t="s">
        <v>1609</v>
      </c>
      <c r="N182" s="2"/>
      <c r="O182" s="65"/>
      <c r="P182" s="2" t="s">
        <v>2053</v>
      </c>
      <c r="Q182" s="65"/>
      <c r="R182" s="2"/>
    </row>
    <row r="183" spans="1:18" ht="27.75" hidden="1" customHeight="1" x14ac:dyDescent="0.3">
      <c r="A183" s="8">
        <v>1101700010006</v>
      </c>
      <c r="B183" s="7" t="s">
        <v>50</v>
      </c>
      <c r="C183" s="7" t="s">
        <v>1228</v>
      </c>
      <c r="D183" s="7">
        <v>2010</v>
      </c>
      <c r="E183" s="7" t="s">
        <v>19</v>
      </c>
      <c r="F183" s="7" t="s">
        <v>52</v>
      </c>
      <c r="G183" s="8" t="s">
        <v>1229</v>
      </c>
      <c r="H183" s="7" t="s">
        <v>263</v>
      </c>
      <c r="I183" s="7" t="s">
        <v>1225</v>
      </c>
      <c r="J183" s="2" t="s">
        <v>1544</v>
      </c>
      <c r="K183" s="9" t="s">
        <v>1552</v>
      </c>
      <c r="L183" s="2" t="s">
        <v>1571</v>
      </c>
      <c r="M183" s="2" t="s">
        <v>1609</v>
      </c>
      <c r="N183" s="2"/>
      <c r="O183" s="66"/>
      <c r="P183" s="2" t="s">
        <v>2053</v>
      </c>
      <c r="Q183" s="66"/>
      <c r="R183" s="2"/>
    </row>
    <row r="184" spans="1:18" ht="27.75" hidden="1" customHeight="1" x14ac:dyDescent="0.3">
      <c r="A184" s="8">
        <v>1101700010006</v>
      </c>
      <c r="B184" s="7" t="s">
        <v>50</v>
      </c>
      <c r="C184" s="7" t="s">
        <v>1230</v>
      </c>
      <c r="D184" s="7">
        <v>2006</v>
      </c>
      <c r="E184" s="7" t="s">
        <v>19</v>
      </c>
      <c r="F184" s="7" t="s">
        <v>52</v>
      </c>
      <c r="G184" s="8" t="s">
        <v>1231</v>
      </c>
      <c r="H184" s="7" t="s">
        <v>263</v>
      </c>
      <c r="I184" s="7" t="s">
        <v>1225</v>
      </c>
      <c r="J184" s="2" t="s">
        <v>1544</v>
      </c>
      <c r="K184" s="9" t="s">
        <v>1552</v>
      </c>
      <c r="L184" s="2" t="s">
        <v>1571</v>
      </c>
      <c r="M184" s="2" t="s">
        <v>1609</v>
      </c>
      <c r="N184" s="2"/>
      <c r="O184" s="65"/>
      <c r="P184" s="2" t="s">
        <v>2053</v>
      </c>
      <c r="Q184" s="65"/>
      <c r="R184" s="2"/>
    </row>
    <row r="185" spans="1:18" ht="27.75" hidden="1" customHeight="1" x14ac:dyDescent="0.3">
      <c r="A185" s="8">
        <v>1101700020004</v>
      </c>
      <c r="B185" s="7" t="s">
        <v>869</v>
      </c>
      <c r="C185" s="7" t="s">
        <v>1251</v>
      </c>
      <c r="D185" s="7">
        <v>2003</v>
      </c>
      <c r="E185" s="7" t="s">
        <v>19</v>
      </c>
      <c r="F185" s="7" t="s">
        <v>52</v>
      </c>
      <c r="G185" s="8" t="s">
        <v>1252</v>
      </c>
      <c r="H185" s="7" t="s">
        <v>263</v>
      </c>
      <c r="I185" s="7" t="s">
        <v>1225</v>
      </c>
      <c r="J185" s="2" t="s">
        <v>1544</v>
      </c>
      <c r="K185" s="9" t="s">
        <v>1553</v>
      </c>
      <c r="L185" s="2" t="s">
        <v>1571</v>
      </c>
      <c r="M185" s="2" t="s">
        <v>1972</v>
      </c>
      <c r="N185" s="2" t="s">
        <v>1825</v>
      </c>
      <c r="O185" s="66"/>
      <c r="P185" s="2" t="s">
        <v>2053</v>
      </c>
      <c r="Q185" s="66"/>
      <c r="R185" s="2"/>
    </row>
    <row r="186" spans="1:18" ht="27.75" hidden="1" customHeight="1" x14ac:dyDescent="0.3">
      <c r="A186" s="8">
        <v>1105700020001</v>
      </c>
      <c r="B186" s="7" t="s">
        <v>296</v>
      </c>
      <c r="C186" s="7" t="s">
        <v>297</v>
      </c>
      <c r="D186" s="7">
        <v>1998</v>
      </c>
      <c r="E186" s="7" t="s">
        <v>19</v>
      </c>
      <c r="F186" s="7" t="s">
        <v>42</v>
      </c>
      <c r="G186" s="8" t="s">
        <v>298</v>
      </c>
      <c r="H186" s="7" t="s">
        <v>263</v>
      </c>
      <c r="I186" s="7" t="s">
        <v>270</v>
      </c>
      <c r="J186" s="2" t="s">
        <v>1544</v>
      </c>
      <c r="K186" s="9" t="s">
        <v>1553</v>
      </c>
      <c r="L186" s="2" t="s">
        <v>1571</v>
      </c>
      <c r="M186" s="2" t="s">
        <v>1609</v>
      </c>
      <c r="N186" s="2" t="s">
        <v>1974</v>
      </c>
      <c r="O186" s="65"/>
      <c r="P186" s="2" t="s">
        <v>2053</v>
      </c>
      <c r="Q186" s="65"/>
      <c r="R186" s="2"/>
    </row>
    <row r="187" spans="1:18" ht="27.75" hidden="1" customHeight="1" x14ac:dyDescent="0.3">
      <c r="A187" s="8">
        <v>1106700010003</v>
      </c>
      <c r="B187" s="7" t="s">
        <v>102</v>
      </c>
      <c r="C187" s="7" t="s">
        <v>976</v>
      </c>
      <c r="D187" s="7">
        <v>1991</v>
      </c>
      <c r="E187" s="7" t="s">
        <v>19</v>
      </c>
      <c r="F187" s="7" t="s">
        <v>104</v>
      </c>
      <c r="G187" s="8" t="s">
        <v>977</v>
      </c>
      <c r="H187" s="7" t="s">
        <v>35</v>
      </c>
      <c r="I187" s="7" t="s">
        <v>973</v>
      </c>
      <c r="J187" s="2" t="s">
        <v>1531</v>
      </c>
      <c r="K187" s="9" t="s">
        <v>1552</v>
      </c>
      <c r="L187" s="2" t="s">
        <v>1571</v>
      </c>
      <c r="M187" s="2" t="s">
        <v>1940</v>
      </c>
      <c r="N187" s="2" t="s">
        <v>1951</v>
      </c>
      <c r="O187" s="66"/>
      <c r="P187" s="2" t="s">
        <v>1531</v>
      </c>
      <c r="Q187" s="66" t="s">
        <v>2023</v>
      </c>
      <c r="R187" s="2"/>
    </row>
    <row r="188" spans="1:18" ht="27.75" hidden="1" customHeight="1" x14ac:dyDescent="0.3">
      <c r="A188" s="8">
        <v>1101700020004</v>
      </c>
      <c r="B188" s="7" t="s">
        <v>869</v>
      </c>
      <c r="C188" s="7" t="s">
        <v>1462</v>
      </c>
      <c r="D188" s="7">
        <v>2004</v>
      </c>
      <c r="E188" s="7" t="s">
        <v>19</v>
      </c>
      <c r="F188" s="7" t="s">
        <v>52</v>
      </c>
      <c r="G188" s="8" t="s">
        <v>1255</v>
      </c>
      <c r="H188" s="7" t="s">
        <v>263</v>
      </c>
      <c r="I188" s="7" t="s">
        <v>1225</v>
      </c>
      <c r="J188" s="2" t="s">
        <v>1544</v>
      </c>
      <c r="K188" s="9" t="s">
        <v>1552</v>
      </c>
      <c r="L188" s="2" t="s">
        <v>1571</v>
      </c>
      <c r="M188" s="2" t="s">
        <v>1940</v>
      </c>
      <c r="N188" s="2" t="s">
        <v>1944</v>
      </c>
      <c r="O188" s="65"/>
      <c r="P188" s="2" t="s">
        <v>2053</v>
      </c>
      <c r="Q188" s="65"/>
      <c r="R188" s="2"/>
    </row>
    <row r="189" spans="1:18" ht="27.75" hidden="1" customHeight="1" x14ac:dyDescent="0.3">
      <c r="A189" s="8">
        <v>1101700010006</v>
      </c>
      <c r="B189" s="7" t="s">
        <v>50</v>
      </c>
      <c r="C189" s="7" t="s">
        <v>1234</v>
      </c>
      <c r="D189" s="7">
        <v>2003</v>
      </c>
      <c r="E189" s="7" t="s">
        <v>19</v>
      </c>
      <c r="F189" s="7" t="s">
        <v>52</v>
      </c>
      <c r="G189" s="8" t="s">
        <v>1235</v>
      </c>
      <c r="H189" s="7" t="s">
        <v>263</v>
      </c>
      <c r="I189" s="7" t="s">
        <v>1225</v>
      </c>
      <c r="J189" s="2" t="s">
        <v>1544</v>
      </c>
      <c r="K189" s="9" t="s">
        <v>1552</v>
      </c>
      <c r="L189" s="2" t="s">
        <v>1571</v>
      </c>
      <c r="M189" s="2" t="s">
        <v>1609</v>
      </c>
      <c r="N189" s="2"/>
      <c r="O189" s="66"/>
      <c r="P189" s="2" t="s">
        <v>2053</v>
      </c>
      <c r="Q189" s="66"/>
      <c r="R189" s="2"/>
    </row>
    <row r="190" spans="1:18" ht="27.75" hidden="1" customHeight="1" x14ac:dyDescent="0.3">
      <c r="A190" s="8">
        <v>1101700010006</v>
      </c>
      <c r="B190" s="7" t="s">
        <v>50</v>
      </c>
      <c r="C190" s="7" t="s">
        <v>1446</v>
      </c>
      <c r="D190" s="7">
        <v>2003</v>
      </c>
      <c r="E190" s="7" t="s">
        <v>19</v>
      </c>
      <c r="F190" s="7" t="s">
        <v>52</v>
      </c>
      <c r="G190" s="8" t="s">
        <v>1238</v>
      </c>
      <c r="H190" s="7" t="s">
        <v>263</v>
      </c>
      <c r="I190" s="7" t="s">
        <v>1225</v>
      </c>
      <c r="J190" s="2" t="s">
        <v>1544</v>
      </c>
      <c r="K190" s="9" t="s">
        <v>1553</v>
      </c>
      <c r="L190" s="2" t="s">
        <v>1567</v>
      </c>
      <c r="M190" s="2" t="s">
        <v>1959</v>
      </c>
      <c r="N190" s="2" t="s">
        <v>1960</v>
      </c>
      <c r="O190" s="65"/>
      <c r="P190" s="2" t="s">
        <v>2053</v>
      </c>
      <c r="Q190" s="65"/>
      <c r="R190" s="2"/>
    </row>
    <row r="191" spans="1:18" ht="27.75" hidden="1" customHeight="1" x14ac:dyDescent="0.3">
      <c r="A191" s="8">
        <v>1106700010010</v>
      </c>
      <c r="B191" s="7" t="s">
        <v>114</v>
      </c>
      <c r="C191" s="7" t="s">
        <v>327</v>
      </c>
      <c r="D191" s="7">
        <v>2005</v>
      </c>
      <c r="E191" s="7" t="s">
        <v>19</v>
      </c>
      <c r="F191" s="7" t="s">
        <v>104</v>
      </c>
      <c r="G191" s="8" t="s">
        <v>328</v>
      </c>
      <c r="H191" s="7" t="s">
        <v>263</v>
      </c>
      <c r="I191" s="7" t="s">
        <v>270</v>
      </c>
      <c r="J191" s="2" t="s">
        <v>1544</v>
      </c>
      <c r="K191" s="9" t="s">
        <v>1553</v>
      </c>
      <c r="L191" s="2" t="s">
        <v>1566</v>
      </c>
      <c r="M191" s="2" t="s">
        <v>1969</v>
      </c>
      <c r="N191" s="2" t="s">
        <v>1970</v>
      </c>
      <c r="O191" s="66"/>
      <c r="P191" s="2" t="s">
        <v>2053</v>
      </c>
      <c r="Q191" s="66"/>
      <c r="R191" s="2"/>
    </row>
    <row r="192" spans="1:18" ht="27.75" hidden="1" customHeight="1" x14ac:dyDescent="0.3">
      <c r="A192" s="8">
        <v>1101700010006</v>
      </c>
      <c r="B192" s="7" t="s">
        <v>50</v>
      </c>
      <c r="C192" s="7" t="s">
        <v>193</v>
      </c>
      <c r="D192" s="7">
        <v>2010</v>
      </c>
      <c r="E192" s="7" t="s">
        <v>19</v>
      </c>
      <c r="F192" s="7" t="s">
        <v>52</v>
      </c>
      <c r="G192" s="8" t="s">
        <v>194</v>
      </c>
      <c r="H192" s="7" t="s">
        <v>35</v>
      </c>
      <c r="I192" s="7" t="s">
        <v>1561</v>
      </c>
      <c r="J192" s="2" t="s">
        <v>1544</v>
      </c>
      <c r="K192" s="11" t="s">
        <v>1912</v>
      </c>
      <c r="L192" s="2" t="s">
        <v>1559</v>
      </c>
      <c r="M192" s="2" t="s">
        <v>1559</v>
      </c>
      <c r="N192" s="2" t="s">
        <v>1768</v>
      </c>
      <c r="O192" s="2" t="s">
        <v>2694</v>
      </c>
      <c r="P192" s="2" t="s">
        <v>1477</v>
      </c>
      <c r="Q192" s="65" t="s">
        <v>2003</v>
      </c>
      <c r="R192" s="2" t="s">
        <v>1769</v>
      </c>
    </row>
    <row r="193" spans="1:18" ht="27.75" hidden="1" customHeight="1" x14ac:dyDescent="0.3">
      <c r="A193" s="8">
        <v>1101700010006</v>
      </c>
      <c r="B193" s="7" t="s">
        <v>50</v>
      </c>
      <c r="C193" s="7" t="s">
        <v>1239</v>
      </c>
      <c r="D193" s="7">
        <v>2003</v>
      </c>
      <c r="E193" s="7" t="s">
        <v>19</v>
      </c>
      <c r="F193" s="7" t="s">
        <v>42</v>
      </c>
      <c r="G193" s="8" t="s">
        <v>1240</v>
      </c>
      <c r="H193" s="7" t="s">
        <v>263</v>
      </c>
      <c r="I193" s="7" t="s">
        <v>1225</v>
      </c>
      <c r="J193" s="2" t="s">
        <v>1544</v>
      </c>
      <c r="K193" s="9" t="s">
        <v>1552</v>
      </c>
      <c r="L193" s="2" t="s">
        <v>1571</v>
      </c>
      <c r="M193" s="2" t="s">
        <v>1609</v>
      </c>
      <c r="N193" s="2"/>
      <c r="O193" s="66"/>
      <c r="P193" s="2" t="s">
        <v>2053</v>
      </c>
      <c r="Q193" s="66"/>
      <c r="R193" s="2"/>
    </row>
    <row r="194" spans="1:18" ht="27.75" hidden="1" customHeight="1" x14ac:dyDescent="0.3">
      <c r="A194" s="8">
        <v>1102700010004</v>
      </c>
      <c r="B194" s="7" t="s">
        <v>64</v>
      </c>
      <c r="C194" s="7" t="s">
        <v>1276</v>
      </c>
      <c r="D194" s="7">
        <v>2008</v>
      </c>
      <c r="E194" s="7" t="s">
        <v>19</v>
      </c>
      <c r="F194" s="7" t="s">
        <v>42</v>
      </c>
      <c r="G194" s="8" t="s">
        <v>1277</v>
      </c>
      <c r="H194" s="7" t="s">
        <v>263</v>
      </c>
      <c r="I194" s="7" t="s">
        <v>1225</v>
      </c>
      <c r="J194" s="2" t="s">
        <v>1544</v>
      </c>
      <c r="K194" s="9" t="s">
        <v>1553</v>
      </c>
      <c r="L194" s="2" t="s">
        <v>1564</v>
      </c>
      <c r="M194" s="2" t="s">
        <v>1948</v>
      </c>
      <c r="N194" s="2" t="s">
        <v>1949</v>
      </c>
      <c r="O194" s="65"/>
      <c r="P194" s="2" t="s">
        <v>2053</v>
      </c>
      <c r="Q194" s="65"/>
      <c r="R194" s="2"/>
    </row>
    <row r="195" spans="1:18" ht="27.75" hidden="1" customHeight="1" x14ac:dyDescent="0.3">
      <c r="A195" s="8">
        <v>1101700010006</v>
      </c>
      <c r="B195" s="7" t="s">
        <v>50</v>
      </c>
      <c r="C195" s="7" t="s">
        <v>132</v>
      </c>
      <c r="D195" s="7">
        <v>2004</v>
      </c>
      <c r="E195" s="7" t="s">
        <v>19</v>
      </c>
      <c r="F195" s="7" t="s">
        <v>52</v>
      </c>
      <c r="G195" s="8" t="s">
        <v>133</v>
      </c>
      <c r="H195" s="7" t="s">
        <v>35</v>
      </c>
      <c r="I195" s="7" t="s">
        <v>131</v>
      </c>
      <c r="J195" s="2" t="s">
        <v>1544</v>
      </c>
      <c r="K195" s="9" t="s">
        <v>1552</v>
      </c>
      <c r="L195" s="2" t="s">
        <v>1564</v>
      </c>
      <c r="M195" s="2" t="s">
        <v>1588</v>
      </c>
      <c r="N195" s="2" t="s">
        <v>1973</v>
      </c>
      <c r="O195" s="66"/>
      <c r="P195" s="2" t="s">
        <v>2053</v>
      </c>
      <c r="Q195" s="66"/>
      <c r="R195" s="2"/>
    </row>
    <row r="196" spans="1:18" ht="27.75" hidden="1" customHeight="1" x14ac:dyDescent="0.3">
      <c r="A196" s="8">
        <v>1108700020001</v>
      </c>
      <c r="B196" s="7" t="s">
        <v>683</v>
      </c>
      <c r="C196" s="7" t="s">
        <v>1371</v>
      </c>
      <c r="D196" s="7">
        <v>1980</v>
      </c>
      <c r="E196" s="7" t="s">
        <v>19</v>
      </c>
      <c r="F196" s="7" t="s">
        <v>358</v>
      </c>
      <c r="G196" s="8">
        <v>1359</v>
      </c>
      <c r="H196" s="7" t="s">
        <v>263</v>
      </c>
      <c r="I196" s="7" t="s">
        <v>1225</v>
      </c>
      <c r="J196" s="2" t="s">
        <v>1544</v>
      </c>
      <c r="K196" s="9" t="s">
        <v>1552</v>
      </c>
      <c r="L196" s="2" t="s">
        <v>1571</v>
      </c>
      <c r="M196" s="2" t="s">
        <v>1940</v>
      </c>
      <c r="N196" s="2" t="s">
        <v>1942</v>
      </c>
      <c r="O196" s="65"/>
      <c r="P196" s="2" t="s">
        <v>2053</v>
      </c>
      <c r="Q196" s="65"/>
      <c r="R196" s="2"/>
    </row>
    <row r="197" spans="1:18" ht="27.75" hidden="1" customHeight="1" x14ac:dyDescent="0.3">
      <c r="A197" s="8">
        <v>1108700020001</v>
      </c>
      <c r="B197" s="7" t="s">
        <v>683</v>
      </c>
      <c r="C197" s="7" t="s">
        <v>1372</v>
      </c>
      <c r="D197" s="7">
        <v>1980</v>
      </c>
      <c r="E197" s="7" t="s">
        <v>19</v>
      </c>
      <c r="F197" s="7" t="s">
        <v>358</v>
      </c>
      <c r="G197" s="8">
        <v>60474</v>
      </c>
      <c r="H197" s="7" t="s">
        <v>263</v>
      </c>
      <c r="I197" s="7" t="s">
        <v>1225</v>
      </c>
      <c r="J197" s="2" t="s">
        <v>1476</v>
      </c>
      <c r="K197" s="9" t="s">
        <v>1552</v>
      </c>
      <c r="L197" s="2" t="s">
        <v>1571</v>
      </c>
      <c r="M197" s="2" t="s">
        <v>1940</v>
      </c>
      <c r="N197" s="2" t="s">
        <v>1942</v>
      </c>
      <c r="O197" s="66"/>
      <c r="P197" s="2" t="s">
        <v>2053</v>
      </c>
      <c r="Q197" s="66"/>
      <c r="R197" s="2"/>
    </row>
    <row r="198" spans="1:18" ht="27.75" hidden="1" customHeight="1" x14ac:dyDescent="0.3">
      <c r="A198" s="8">
        <v>1106700010003</v>
      </c>
      <c r="B198" s="7" t="s">
        <v>102</v>
      </c>
      <c r="C198" s="7" t="s">
        <v>161</v>
      </c>
      <c r="D198" s="7">
        <v>1992</v>
      </c>
      <c r="E198" s="7" t="s">
        <v>19</v>
      </c>
      <c r="F198" s="7" t="s">
        <v>104</v>
      </c>
      <c r="G198" s="8">
        <v>34600155905199</v>
      </c>
      <c r="H198" s="7" t="s">
        <v>35</v>
      </c>
      <c r="I198" s="7" t="s">
        <v>153</v>
      </c>
      <c r="J198" s="2" t="s">
        <v>1537</v>
      </c>
      <c r="K198" s="9" t="s">
        <v>1552</v>
      </c>
      <c r="L198" s="2" t="s">
        <v>1571</v>
      </c>
      <c r="M198" s="2" t="s">
        <v>1940</v>
      </c>
      <c r="N198" s="2" t="s">
        <v>1958</v>
      </c>
      <c r="O198" s="65"/>
      <c r="P198" s="2" t="s">
        <v>1537</v>
      </c>
      <c r="Q198" s="65" t="s">
        <v>2040</v>
      </c>
      <c r="R198" s="2"/>
    </row>
    <row r="199" spans="1:18" ht="27.75" hidden="1" customHeight="1" x14ac:dyDescent="0.3">
      <c r="A199" s="8">
        <v>1102700010004</v>
      </c>
      <c r="B199" s="7" t="s">
        <v>64</v>
      </c>
      <c r="C199" s="7" t="s">
        <v>1443</v>
      </c>
      <c r="D199" s="7">
        <v>2008</v>
      </c>
      <c r="E199" s="7" t="s">
        <v>19</v>
      </c>
      <c r="F199" s="7" t="s">
        <v>42</v>
      </c>
      <c r="G199" s="8" t="s">
        <v>645</v>
      </c>
      <c r="H199" s="7" t="s">
        <v>263</v>
      </c>
      <c r="I199" s="7" t="s">
        <v>632</v>
      </c>
      <c r="J199" s="2" t="s">
        <v>1544</v>
      </c>
      <c r="K199" s="9" t="s">
        <v>1553</v>
      </c>
      <c r="L199" s="2" t="s">
        <v>1571</v>
      </c>
      <c r="M199" s="2" t="s">
        <v>1966</v>
      </c>
      <c r="N199" s="2" t="s">
        <v>1967</v>
      </c>
      <c r="O199" s="66"/>
      <c r="P199" s="2" t="s">
        <v>2053</v>
      </c>
      <c r="Q199" s="66"/>
      <c r="R199" s="2"/>
    </row>
    <row r="200" spans="1:18" ht="27.75" hidden="1" customHeight="1" x14ac:dyDescent="0.3">
      <c r="A200" s="8">
        <v>1106700010010</v>
      </c>
      <c r="B200" s="7" t="s">
        <v>114</v>
      </c>
      <c r="C200" s="7" t="s">
        <v>171</v>
      </c>
      <c r="D200" s="7">
        <v>2003</v>
      </c>
      <c r="E200" s="7" t="s">
        <v>19</v>
      </c>
      <c r="F200" s="7" t="s">
        <v>104</v>
      </c>
      <c r="G200" s="8" t="s">
        <v>172</v>
      </c>
      <c r="H200" s="7" t="s">
        <v>35</v>
      </c>
      <c r="I200" s="7" t="s">
        <v>166</v>
      </c>
      <c r="J200" s="2" t="s">
        <v>1487</v>
      </c>
      <c r="K200" s="9" t="s">
        <v>1552</v>
      </c>
      <c r="L200" s="2" t="s">
        <v>1567</v>
      </c>
      <c r="M200" s="2" t="s">
        <v>1953</v>
      </c>
      <c r="N200" s="2" t="s">
        <v>1954</v>
      </c>
      <c r="O200" s="65"/>
      <c r="P200" s="2" t="s">
        <v>2034</v>
      </c>
      <c r="Q200" s="65" t="s">
        <v>2035</v>
      </c>
      <c r="R200" s="2"/>
    </row>
    <row r="201" spans="1:18" ht="27.75" hidden="1" customHeight="1" x14ac:dyDescent="0.3">
      <c r="A201" s="8">
        <v>1106700020003</v>
      </c>
      <c r="B201" s="7" t="s">
        <v>54</v>
      </c>
      <c r="C201" s="7" t="s">
        <v>1349</v>
      </c>
      <c r="D201" s="7">
        <v>1983</v>
      </c>
      <c r="E201" s="7" t="s">
        <v>19</v>
      </c>
      <c r="F201" s="7" t="s">
        <v>56</v>
      </c>
      <c r="G201" s="8">
        <v>34303154942627</v>
      </c>
      <c r="H201" s="7" t="s">
        <v>263</v>
      </c>
      <c r="I201" s="7" t="s">
        <v>1225</v>
      </c>
      <c r="J201" s="2" t="s">
        <v>1544</v>
      </c>
      <c r="K201" s="9" t="s">
        <v>1552</v>
      </c>
      <c r="L201" s="2" t="s">
        <v>1571</v>
      </c>
      <c r="M201" s="2" t="s">
        <v>1940</v>
      </c>
      <c r="N201" s="2" t="s">
        <v>1941</v>
      </c>
      <c r="O201" s="66"/>
      <c r="P201" s="2" t="s">
        <v>2053</v>
      </c>
      <c r="Q201" s="66"/>
      <c r="R201" s="2"/>
    </row>
    <row r="202" spans="1:18" ht="27.75" hidden="1" customHeight="1" x14ac:dyDescent="0.3">
      <c r="A202" s="8">
        <v>1106700010003</v>
      </c>
      <c r="B202" s="7" t="s">
        <v>102</v>
      </c>
      <c r="C202" s="7" t="s">
        <v>103</v>
      </c>
      <c r="D202" s="7">
        <v>1983</v>
      </c>
      <c r="E202" s="7" t="s">
        <v>19</v>
      </c>
      <c r="F202" s="7" t="s">
        <v>104</v>
      </c>
      <c r="G202" s="8">
        <v>34303154941458</v>
      </c>
      <c r="H202" s="7" t="s">
        <v>35</v>
      </c>
      <c r="I202" s="7" t="s">
        <v>99</v>
      </c>
      <c r="J202" s="2" t="s">
        <v>1493</v>
      </c>
      <c r="K202" s="11" t="s">
        <v>1912</v>
      </c>
      <c r="L202" s="2"/>
      <c r="M202" s="2"/>
      <c r="N202" s="10"/>
      <c r="O202" s="2" t="s">
        <v>2365</v>
      </c>
      <c r="P202" s="2" t="s">
        <v>2045</v>
      </c>
      <c r="Q202" s="65" t="s">
        <v>2049</v>
      </c>
      <c r="R202" s="2"/>
    </row>
    <row r="203" spans="1:18" ht="27.75" hidden="1" customHeight="1" x14ac:dyDescent="0.3">
      <c r="A203" s="8">
        <v>1204700030002</v>
      </c>
      <c r="B203" s="7" t="s">
        <v>1223</v>
      </c>
      <c r="C203" s="7" t="s">
        <v>1403</v>
      </c>
      <c r="D203" s="7">
        <v>2002</v>
      </c>
      <c r="E203" s="7" t="s">
        <v>19</v>
      </c>
      <c r="F203" s="7" t="s">
        <v>384</v>
      </c>
      <c r="G203" s="8" t="s">
        <v>1404</v>
      </c>
      <c r="H203" s="7" t="s">
        <v>263</v>
      </c>
      <c r="I203" s="7" t="s">
        <v>1225</v>
      </c>
      <c r="J203" s="2" t="s">
        <v>1544</v>
      </c>
      <c r="K203" s="9" t="s">
        <v>1553</v>
      </c>
      <c r="L203" s="2" t="s">
        <v>1564</v>
      </c>
      <c r="M203" s="2" t="s">
        <v>1639</v>
      </c>
      <c r="N203" s="2" t="s">
        <v>1881</v>
      </c>
      <c r="O203" s="66"/>
      <c r="P203" s="2" t="s">
        <v>2053</v>
      </c>
      <c r="Q203" s="66"/>
      <c r="R203" s="2"/>
    </row>
    <row r="204" spans="1:18" ht="27.75" hidden="1" customHeight="1" x14ac:dyDescent="0.3">
      <c r="A204" s="8">
        <v>1105700010006</v>
      </c>
      <c r="B204" s="7" t="s">
        <v>454</v>
      </c>
      <c r="C204" s="7" t="s">
        <v>537</v>
      </c>
      <c r="D204" s="7">
        <v>2012</v>
      </c>
      <c r="E204" s="7" t="s">
        <v>19</v>
      </c>
      <c r="F204" s="7" t="s">
        <v>42</v>
      </c>
      <c r="G204" s="8" t="s">
        <v>538</v>
      </c>
      <c r="H204" s="7" t="s">
        <v>263</v>
      </c>
      <c r="I204" s="7" t="s">
        <v>534</v>
      </c>
      <c r="J204" s="2" t="s">
        <v>1663</v>
      </c>
      <c r="K204" s="9" t="s">
        <v>1553</v>
      </c>
      <c r="L204" s="2" t="s">
        <v>1559</v>
      </c>
      <c r="M204" s="2" t="s">
        <v>1559</v>
      </c>
      <c r="N204" s="2" t="s">
        <v>1950</v>
      </c>
      <c r="O204" s="65"/>
      <c r="P204" s="2" t="s">
        <v>1531</v>
      </c>
      <c r="Q204" s="65" t="s">
        <v>2020</v>
      </c>
      <c r="R204" s="2"/>
    </row>
    <row r="205" spans="1:18" ht="27.75" hidden="1" customHeight="1" x14ac:dyDescent="0.3">
      <c r="A205" s="8">
        <v>1101700020004</v>
      </c>
      <c r="B205" s="7" t="s">
        <v>869</v>
      </c>
      <c r="C205" s="7" t="s">
        <v>1247</v>
      </c>
      <c r="D205" s="7">
        <v>2002</v>
      </c>
      <c r="E205" s="7" t="s">
        <v>19</v>
      </c>
      <c r="F205" s="7" t="s">
        <v>52</v>
      </c>
      <c r="G205" s="8" t="s">
        <v>1248</v>
      </c>
      <c r="H205" s="7" t="s">
        <v>263</v>
      </c>
      <c r="I205" s="7" t="s">
        <v>1225</v>
      </c>
      <c r="J205" s="2" t="s">
        <v>1549</v>
      </c>
      <c r="K205" s="9" t="s">
        <v>1553</v>
      </c>
      <c r="L205" s="2" t="s">
        <v>1571</v>
      </c>
      <c r="M205" s="2" t="s">
        <v>1598</v>
      </c>
      <c r="N205" s="2" t="s">
        <v>1955</v>
      </c>
      <c r="O205" s="66"/>
      <c r="P205" s="2" t="s">
        <v>1513</v>
      </c>
      <c r="Q205" s="66" t="s">
        <v>2030</v>
      </c>
      <c r="R205" s="2"/>
    </row>
    <row r="206" spans="1:18" ht="27.75" hidden="1" customHeight="1" x14ac:dyDescent="0.3">
      <c r="A206" s="8">
        <v>1101700020004</v>
      </c>
      <c r="B206" s="7" t="s">
        <v>869</v>
      </c>
      <c r="C206" s="7" t="s">
        <v>1249</v>
      </c>
      <c r="D206" s="7">
        <v>2002</v>
      </c>
      <c r="E206" s="7" t="s">
        <v>19</v>
      </c>
      <c r="F206" s="7" t="s">
        <v>52</v>
      </c>
      <c r="G206" s="8" t="s">
        <v>1250</v>
      </c>
      <c r="H206" s="7" t="s">
        <v>263</v>
      </c>
      <c r="I206" s="7" t="s">
        <v>1225</v>
      </c>
      <c r="J206" s="2" t="s">
        <v>1544</v>
      </c>
      <c r="K206" s="9" t="s">
        <v>1552</v>
      </c>
      <c r="L206" s="2" t="s">
        <v>1571</v>
      </c>
      <c r="M206" s="2" t="s">
        <v>1609</v>
      </c>
      <c r="N206" s="2" t="s">
        <v>1971</v>
      </c>
      <c r="O206" s="65"/>
      <c r="P206" s="2" t="s">
        <v>2053</v>
      </c>
      <c r="Q206" s="65"/>
      <c r="R206" s="2"/>
    </row>
    <row r="207" spans="1:18" ht="27.75" hidden="1" customHeight="1" x14ac:dyDescent="0.3">
      <c r="A207" s="8">
        <v>1101700020004</v>
      </c>
      <c r="B207" s="7" t="s">
        <v>869</v>
      </c>
      <c r="C207" s="7" t="s">
        <v>1457</v>
      </c>
      <c r="D207" s="7">
        <v>2004</v>
      </c>
      <c r="E207" s="7" t="s">
        <v>19</v>
      </c>
      <c r="F207" s="7" t="s">
        <v>52</v>
      </c>
      <c r="G207" s="8" t="s">
        <v>870</v>
      </c>
      <c r="H207" s="7" t="s">
        <v>35</v>
      </c>
      <c r="I207" s="7" t="s">
        <v>868</v>
      </c>
      <c r="J207" s="2" t="s">
        <v>1549</v>
      </c>
      <c r="K207" s="9" t="s">
        <v>1552</v>
      </c>
      <c r="L207" s="2" t="s">
        <v>1565</v>
      </c>
      <c r="M207" s="2" t="s">
        <v>1956</v>
      </c>
      <c r="N207" s="2" t="s">
        <v>1957</v>
      </c>
      <c r="O207" s="66"/>
      <c r="P207" s="2" t="s">
        <v>2024</v>
      </c>
      <c r="Q207" s="66" t="s">
        <v>2025</v>
      </c>
      <c r="R207" s="2"/>
    </row>
    <row r="208" spans="1:18" ht="27.75" hidden="1" customHeight="1" x14ac:dyDescent="0.3">
      <c r="A208" s="8">
        <v>1105700010001</v>
      </c>
      <c r="B208" s="7" t="s">
        <v>290</v>
      </c>
      <c r="C208" s="7" t="s">
        <v>1296</v>
      </c>
      <c r="D208" s="7">
        <v>1998</v>
      </c>
      <c r="E208" s="7" t="s">
        <v>19</v>
      </c>
      <c r="F208" s="7" t="s">
        <v>42</v>
      </c>
      <c r="G208" s="8" t="s">
        <v>1297</v>
      </c>
      <c r="H208" s="7" t="s">
        <v>263</v>
      </c>
      <c r="I208" s="7" t="s">
        <v>1225</v>
      </c>
      <c r="J208" s="2" t="s">
        <v>1544</v>
      </c>
      <c r="K208" s="9" t="s">
        <v>1553</v>
      </c>
      <c r="L208" s="2" t="s">
        <v>1571</v>
      </c>
      <c r="M208" s="2" t="s">
        <v>1609</v>
      </c>
      <c r="N208" s="2" t="s">
        <v>1975</v>
      </c>
      <c r="O208" s="65"/>
      <c r="P208" s="2" t="s">
        <v>2053</v>
      </c>
      <c r="Q208" s="65"/>
      <c r="R208" s="2"/>
    </row>
    <row r="209" spans="1:18" ht="27.75" hidden="1" customHeight="1" x14ac:dyDescent="0.3">
      <c r="A209" s="8">
        <v>1102700010004</v>
      </c>
      <c r="B209" s="7" t="s">
        <v>64</v>
      </c>
      <c r="C209" s="7" t="s">
        <v>641</v>
      </c>
      <c r="D209" s="7">
        <v>2012</v>
      </c>
      <c r="E209" s="7" t="s">
        <v>19</v>
      </c>
      <c r="F209" s="7" t="s">
        <v>66</v>
      </c>
      <c r="G209" s="8" t="s">
        <v>642</v>
      </c>
      <c r="H209" s="7" t="s">
        <v>263</v>
      </c>
      <c r="I209" s="7" t="s">
        <v>632</v>
      </c>
      <c r="J209" s="2" t="s">
        <v>1544</v>
      </c>
      <c r="K209" s="9" t="s">
        <v>1552</v>
      </c>
      <c r="L209" s="2" t="s">
        <v>1564</v>
      </c>
      <c r="M209" s="2" t="s">
        <v>1794</v>
      </c>
      <c r="N209" s="2" t="s">
        <v>1968</v>
      </c>
      <c r="O209" s="66"/>
      <c r="P209" s="2" t="s">
        <v>2053</v>
      </c>
      <c r="Q209" s="66"/>
      <c r="R209" s="2"/>
    </row>
    <row r="210" spans="1:18" ht="27.75" hidden="1" customHeight="1" x14ac:dyDescent="0.3">
      <c r="A210" s="8">
        <v>1101700010004</v>
      </c>
      <c r="B210" s="7" t="s">
        <v>271</v>
      </c>
      <c r="C210" s="7" t="s">
        <v>272</v>
      </c>
      <c r="D210" s="7">
        <v>2002</v>
      </c>
      <c r="E210" s="7" t="s">
        <v>19</v>
      </c>
      <c r="F210" s="7" t="s">
        <v>52</v>
      </c>
      <c r="G210" s="8" t="s">
        <v>273</v>
      </c>
      <c r="H210" s="7" t="s">
        <v>263</v>
      </c>
      <c r="I210" s="7" t="s">
        <v>270</v>
      </c>
      <c r="J210" s="2" t="s">
        <v>1544</v>
      </c>
      <c r="K210" s="9" t="s">
        <v>1553</v>
      </c>
      <c r="L210" s="2" t="s">
        <v>1571</v>
      </c>
      <c r="M210" s="2" t="s">
        <v>1963</v>
      </c>
      <c r="N210" s="2" t="s">
        <v>1964</v>
      </c>
      <c r="O210" s="65"/>
      <c r="P210" s="2" t="s">
        <v>2053</v>
      </c>
      <c r="Q210" s="65"/>
      <c r="R210" s="2"/>
    </row>
    <row r="211" spans="1:18" ht="27.75" hidden="1" customHeight="1" x14ac:dyDescent="0.3">
      <c r="A211" s="8">
        <v>1102700010004</v>
      </c>
      <c r="B211" s="7" t="s">
        <v>64</v>
      </c>
      <c r="C211" s="7" t="s">
        <v>643</v>
      </c>
      <c r="D211" s="7">
        <v>2003</v>
      </c>
      <c r="E211" s="7" t="s">
        <v>19</v>
      </c>
      <c r="F211" s="7" t="s">
        <v>42</v>
      </c>
      <c r="G211" s="8" t="s">
        <v>644</v>
      </c>
      <c r="H211" s="7" t="s">
        <v>263</v>
      </c>
      <c r="I211" s="7" t="s">
        <v>632</v>
      </c>
      <c r="J211" s="2" t="s">
        <v>1544</v>
      </c>
      <c r="K211" s="9" t="s">
        <v>1553</v>
      </c>
      <c r="L211" s="2" t="s">
        <v>1571</v>
      </c>
      <c r="M211" s="2" t="s">
        <v>1965</v>
      </c>
      <c r="N211" s="2" t="s">
        <v>1583</v>
      </c>
      <c r="O211" s="66"/>
      <c r="P211" s="2" t="s">
        <v>2053</v>
      </c>
      <c r="Q211" s="66"/>
      <c r="R211" s="2"/>
    </row>
    <row r="212" spans="1:18" ht="27.75" hidden="1" customHeight="1" x14ac:dyDescent="0.3">
      <c r="A212" s="8">
        <v>1106700020003</v>
      </c>
      <c r="B212" s="7" t="s">
        <v>54</v>
      </c>
      <c r="C212" s="7" t="s">
        <v>347</v>
      </c>
      <c r="D212" s="7">
        <v>2009</v>
      </c>
      <c r="E212" s="7" t="s">
        <v>19</v>
      </c>
      <c r="F212" s="7" t="s">
        <v>56</v>
      </c>
      <c r="G212" s="8" t="s">
        <v>348</v>
      </c>
      <c r="H212" s="7" t="s">
        <v>263</v>
      </c>
      <c r="I212" s="7" t="s">
        <v>270</v>
      </c>
      <c r="J212" s="2" t="s">
        <v>1544</v>
      </c>
      <c r="K212" s="9" t="s">
        <v>1552</v>
      </c>
      <c r="L212" s="2" t="s">
        <v>1571</v>
      </c>
      <c r="M212" s="2" t="s">
        <v>1609</v>
      </c>
      <c r="N212" s="2"/>
      <c r="O212" s="65"/>
      <c r="P212" s="2" t="s">
        <v>2053</v>
      </c>
      <c r="Q212" s="65"/>
      <c r="R212" s="2"/>
    </row>
    <row r="213" spans="1:18" ht="27.75" hidden="1" customHeight="1" x14ac:dyDescent="0.3">
      <c r="A213" s="8">
        <v>1204700020003</v>
      </c>
      <c r="B213" s="7" t="s">
        <v>13</v>
      </c>
      <c r="C213" s="7" t="s">
        <v>690</v>
      </c>
      <c r="D213" s="7">
        <v>2010</v>
      </c>
      <c r="E213" s="7" t="s">
        <v>19</v>
      </c>
      <c r="F213" s="7" t="s">
        <v>10</v>
      </c>
      <c r="G213" s="8">
        <v>581324</v>
      </c>
      <c r="H213" s="7" t="s">
        <v>263</v>
      </c>
      <c r="I213" s="7" t="s">
        <v>632</v>
      </c>
      <c r="J213" s="2" t="s">
        <v>1544</v>
      </c>
      <c r="K213" s="9" t="s">
        <v>1552</v>
      </c>
      <c r="L213" s="2" t="s">
        <v>1559</v>
      </c>
      <c r="M213" s="2" t="s">
        <v>1559</v>
      </c>
      <c r="N213" s="2"/>
      <c r="O213" s="66"/>
      <c r="P213" s="2" t="s">
        <v>2053</v>
      </c>
      <c r="Q213" s="66"/>
      <c r="R213" s="2"/>
    </row>
    <row r="214" spans="1:18" ht="27.75" hidden="1" customHeight="1" x14ac:dyDescent="0.3">
      <c r="A214" s="8">
        <v>1101700010006</v>
      </c>
      <c r="B214" s="7" t="s">
        <v>1551</v>
      </c>
      <c r="C214" s="7" t="s">
        <v>280</v>
      </c>
      <c r="D214" s="7">
        <v>2015</v>
      </c>
      <c r="E214" s="7" t="s">
        <v>19</v>
      </c>
      <c r="F214" s="7" t="s">
        <v>52</v>
      </c>
      <c r="G214" s="8" t="s">
        <v>281</v>
      </c>
      <c r="H214" s="7" t="s">
        <v>263</v>
      </c>
      <c r="I214" s="7" t="s">
        <v>270</v>
      </c>
      <c r="J214" s="2" t="s">
        <v>1506</v>
      </c>
      <c r="K214" s="9" t="s">
        <v>1548</v>
      </c>
      <c r="L214" s="2" t="s">
        <v>1564</v>
      </c>
      <c r="M214" s="2" t="s">
        <v>2072</v>
      </c>
      <c r="N214" s="2" t="s">
        <v>2069</v>
      </c>
      <c r="O214" s="65"/>
      <c r="P214" s="2" t="s">
        <v>1506</v>
      </c>
      <c r="Q214" s="65" t="s">
        <v>2004</v>
      </c>
      <c r="R214" s="2"/>
    </row>
    <row r="215" spans="1:18" ht="27.75" hidden="1" customHeight="1" x14ac:dyDescent="0.3">
      <c r="A215" s="8">
        <v>1102700010001</v>
      </c>
      <c r="B215" s="7" t="s">
        <v>1262</v>
      </c>
      <c r="C215" s="7" t="s">
        <v>1447</v>
      </c>
      <c r="D215" s="7">
        <v>2008</v>
      </c>
      <c r="E215" s="7" t="s">
        <v>19</v>
      </c>
      <c r="F215" s="7" t="s">
        <v>42</v>
      </c>
      <c r="G215" s="8" t="s">
        <v>1263</v>
      </c>
      <c r="H215" s="7" t="s">
        <v>263</v>
      </c>
      <c r="I215" s="7" t="s">
        <v>1225</v>
      </c>
      <c r="J215" s="2" t="s">
        <v>1544</v>
      </c>
      <c r="K215" s="9" t="s">
        <v>1552</v>
      </c>
      <c r="L215" s="2" t="s">
        <v>1571</v>
      </c>
      <c r="M215" s="2" t="s">
        <v>1609</v>
      </c>
      <c r="N215" s="2"/>
      <c r="O215" s="66"/>
      <c r="P215" s="2" t="s">
        <v>2053</v>
      </c>
      <c r="Q215" s="66"/>
      <c r="R215" s="2"/>
    </row>
    <row r="216" spans="1:18" ht="27.75" hidden="1" customHeight="1" x14ac:dyDescent="0.3">
      <c r="A216" s="8">
        <v>1102700010001</v>
      </c>
      <c r="B216" s="7" t="s">
        <v>1262</v>
      </c>
      <c r="C216" s="7" t="s">
        <v>1264</v>
      </c>
      <c r="D216" s="7">
        <v>2008</v>
      </c>
      <c r="E216" s="7" t="s">
        <v>19</v>
      </c>
      <c r="F216" s="7" t="s">
        <v>42</v>
      </c>
      <c r="G216" s="8" t="s">
        <v>1265</v>
      </c>
      <c r="H216" s="7" t="s">
        <v>263</v>
      </c>
      <c r="I216" s="7" t="s">
        <v>1225</v>
      </c>
      <c r="J216" s="2" t="s">
        <v>1544</v>
      </c>
      <c r="K216" s="9" t="s">
        <v>1552</v>
      </c>
      <c r="L216" s="2" t="s">
        <v>1571</v>
      </c>
      <c r="M216" s="2" t="s">
        <v>1609</v>
      </c>
      <c r="N216" s="2"/>
      <c r="O216" s="65"/>
      <c r="P216" s="2" t="s">
        <v>2053</v>
      </c>
      <c r="Q216" s="65"/>
      <c r="R216" s="2"/>
    </row>
    <row r="217" spans="1:18" ht="27.75" hidden="1" customHeight="1" x14ac:dyDescent="0.3">
      <c r="A217" s="8">
        <v>1102700010004</v>
      </c>
      <c r="B217" s="7" t="s">
        <v>64</v>
      </c>
      <c r="C217" s="7" t="s">
        <v>1268</v>
      </c>
      <c r="D217" s="7">
        <v>2003</v>
      </c>
      <c r="E217" s="7" t="s">
        <v>19</v>
      </c>
      <c r="F217" s="7" t="s">
        <v>42</v>
      </c>
      <c r="G217" s="8" t="s">
        <v>1269</v>
      </c>
      <c r="H217" s="7" t="s">
        <v>263</v>
      </c>
      <c r="I217" s="7" t="s">
        <v>1225</v>
      </c>
      <c r="J217" s="2" t="s">
        <v>1544</v>
      </c>
      <c r="K217" s="9" t="s">
        <v>1552</v>
      </c>
      <c r="L217" s="2" t="s">
        <v>1571</v>
      </c>
      <c r="M217" s="2" t="s">
        <v>1609</v>
      </c>
      <c r="N217" s="2"/>
      <c r="O217" s="66"/>
      <c r="P217" s="2" t="s">
        <v>2053</v>
      </c>
      <c r="Q217" s="66"/>
      <c r="R217" s="2"/>
    </row>
    <row r="218" spans="1:18" ht="27.75" hidden="1" customHeight="1" x14ac:dyDescent="0.3">
      <c r="A218" s="8">
        <v>1102700010004</v>
      </c>
      <c r="B218" s="7" t="s">
        <v>64</v>
      </c>
      <c r="C218" s="7" t="s">
        <v>1270</v>
      </c>
      <c r="D218" s="7">
        <v>2003</v>
      </c>
      <c r="E218" s="7" t="s">
        <v>19</v>
      </c>
      <c r="F218" s="7" t="s">
        <v>42</v>
      </c>
      <c r="G218" s="8" t="s">
        <v>1271</v>
      </c>
      <c r="H218" s="7" t="s">
        <v>263</v>
      </c>
      <c r="I218" s="7" t="s">
        <v>1225</v>
      </c>
      <c r="J218" s="2" t="s">
        <v>1544</v>
      </c>
      <c r="K218" s="9" t="s">
        <v>1552</v>
      </c>
      <c r="L218" s="2" t="s">
        <v>1571</v>
      </c>
      <c r="M218" s="2" t="s">
        <v>1609</v>
      </c>
      <c r="N218" s="2"/>
      <c r="O218" s="65"/>
      <c r="P218" s="2" t="s">
        <v>2053</v>
      </c>
      <c r="Q218" s="65"/>
      <c r="R218" s="2"/>
    </row>
    <row r="219" spans="1:18" ht="27.75" hidden="1" customHeight="1" x14ac:dyDescent="0.3">
      <c r="A219" s="8">
        <v>1102700010004</v>
      </c>
      <c r="B219" s="7" t="s">
        <v>64</v>
      </c>
      <c r="C219" s="7" t="s">
        <v>1272</v>
      </c>
      <c r="D219" s="7">
        <v>2007</v>
      </c>
      <c r="E219" s="7" t="s">
        <v>19</v>
      </c>
      <c r="F219" s="7" t="s">
        <v>42</v>
      </c>
      <c r="G219" s="8" t="s">
        <v>1273</v>
      </c>
      <c r="H219" s="7" t="s">
        <v>263</v>
      </c>
      <c r="I219" s="7" t="s">
        <v>1225</v>
      </c>
      <c r="J219" s="2" t="s">
        <v>1544</v>
      </c>
      <c r="K219" s="9" t="s">
        <v>1552</v>
      </c>
      <c r="L219" s="2" t="s">
        <v>1571</v>
      </c>
      <c r="M219" s="2" t="s">
        <v>1609</v>
      </c>
      <c r="N219" s="2"/>
      <c r="O219" s="66"/>
      <c r="P219" s="2" t="s">
        <v>2053</v>
      </c>
      <c r="Q219" s="66"/>
      <c r="R219" s="2"/>
    </row>
    <row r="220" spans="1:18" ht="27.75" hidden="1" customHeight="1" x14ac:dyDescent="0.3">
      <c r="A220" s="8">
        <v>1102700010004</v>
      </c>
      <c r="B220" s="7" t="s">
        <v>64</v>
      </c>
      <c r="C220" s="7" t="s">
        <v>1274</v>
      </c>
      <c r="D220" s="7">
        <v>2008</v>
      </c>
      <c r="E220" s="7" t="s">
        <v>19</v>
      </c>
      <c r="F220" s="7" t="s">
        <v>42</v>
      </c>
      <c r="G220" s="8" t="s">
        <v>1275</v>
      </c>
      <c r="H220" s="7" t="s">
        <v>263</v>
      </c>
      <c r="I220" s="7" t="s">
        <v>1225</v>
      </c>
      <c r="J220" s="2" t="s">
        <v>1544</v>
      </c>
      <c r="K220" s="9" t="s">
        <v>1552</v>
      </c>
      <c r="L220" s="2" t="s">
        <v>1571</v>
      </c>
      <c r="M220" s="2" t="s">
        <v>1609</v>
      </c>
      <c r="N220" s="2"/>
      <c r="O220" s="65"/>
      <c r="P220" s="2" t="s">
        <v>2053</v>
      </c>
      <c r="Q220" s="65"/>
      <c r="R220" s="2"/>
    </row>
    <row r="221" spans="1:18" ht="27.75" hidden="1" customHeight="1" x14ac:dyDescent="0.3">
      <c r="A221" s="8">
        <v>1102700010004</v>
      </c>
      <c r="B221" s="7" t="s">
        <v>64</v>
      </c>
      <c r="C221" s="7" t="s">
        <v>1279</v>
      </c>
      <c r="D221" s="7">
        <v>2006</v>
      </c>
      <c r="E221" s="7" t="s">
        <v>19</v>
      </c>
      <c r="F221" s="7" t="s">
        <v>42</v>
      </c>
      <c r="G221" s="8" t="s">
        <v>1280</v>
      </c>
      <c r="H221" s="7" t="s">
        <v>263</v>
      </c>
      <c r="I221" s="7" t="s">
        <v>1225</v>
      </c>
      <c r="J221" s="2" t="s">
        <v>1544</v>
      </c>
      <c r="K221" s="9" t="s">
        <v>1552</v>
      </c>
      <c r="L221" s="2" t="s">
        <v>1571</v>
      </c>
      <c r="M221" s="2" t="s">
        <v>1609</v>
      </c>
      <c r="N221" s="2"/>
      <c r="O221" s="66"/>
      <c r="P221" s="2" t="s">
        <v>2053</v>
      </c>
      <c r="Q221" s="66"/>
      <c r="R221" s="2"/>
    </row>
    <row r="222" spans="1:18" ht="27.75" hidden="1" customHeight="1" x14ac:dyDescent="0.3">
      <c r="A222" s="8">
        <v>1104700010001</v>
      </c>
      <c r="B222" s="7" t="s">
        <v>245</v>
      </c>
      <c r="C222" s="7" t="s">
        <v>1286</v>
      </c>
      <c r="D222" s="7">
        <v>2006</v>
      </c>
      <c r="E222" s="7" t="s">
        <v>19</v>
      </c>
      <c r="F222" s="7" t="s">
        <v>5</v>
      </c>
      <c r="G222" s="8" t="s">
        <v>1287</v>
      </c>
      <c r="H222" s="7" t="s">
        <v>263</v>
      </c>
      <c r="I222" s="7" t="s">
        <v>1225</v>
      </c>
      <c r="J222" s="2" t="s">
        <v>1544</v>
      </c>
      <c r="K222" s="9" t="s">
        <v>1552</v>
      </c>
      <c r="L222" s="2" t="s">
        <v>1571</v>
      </c>
      <c r="M222" s="2" t="s">
        <v>1609</v>
      </c>
      <c r="N222" s="2"/>
      <c r="O222" s="65"/>
      <c r="P222" s="2" t="s">
        <v>2053</v>
      </c>
      <c r="Q222" s="65"/>
      <c r="R222" s="2"/>
    </row>
    <row r="223" spans="1:18" ht="27.75" hidden="1" customHeight="1" x14ac:dyDescent="0.3">
      <c r="A223" s="8">
        <v>1104700010001</v>
      </c>
      <c r="B223" s="7" t="s">
        <v>245</v>
      </c>
      <c r="C223" s="7" t="s">
        <v>1288</v>
      </c>
      <c r="D223" s="7">
        <v>2005</v>
      </c>
      <c r="E223" s="7" t="s">
        <v>19</v>
      </c>
      <c r="F223" s="7" t="s">
        <v>236</v>
      </c>
      <c r="G223" s="8" t="s">
        <v>1289</v>
      </c>
      <c r="H223" s="7" t="s">
        <v>263</v>
      </c>
      <c r="I223" s="7" t="s">
        <v>1225</v>
      </c>
      <c r="J223" s="2" t="s">
        <v>1544</v>
      </c>
      <c r="K223" s="9" t="s">
        <v>1552</v>
      </c>
      <c r="L223" s="2" t="s">
        <v>1571</v>
      </c>
      <c r="M223" s="2" t="s">
        <v>1609</v>
      </c>
      <c r="N223" s="2"/>
      <c r="O223" s="66"/>
      <c r="P223" s="2" t="s">
        <v>2053</v>
      </c>
      <c r="Q223" s="66"/>
      <c r="R223" s="2"/>
    </row>
    <row r="224" spans="1:18" ht="27.75" hidden="1" customHeight="1" x14ac:dyDescent="0.3">
      <c r="A224" s="8">
        <v>1104700020004</v>
      </c>
      <c r="B224" s="7" t="s">
        <v>584</v>
      </c>
      <c r="C224" s="7" t="s">
        <v>1294</v>
      </c>
      <c r="D224" s="7">
        <v>2008</v>
      </c>
      <c r="E224" s="7" t="s">
        <v>19</v>
      </c>
      <c r="F224" s="7" t="s">
        <v>236</v>
      </c>
      <c r="G224" s="8" t="s">
        <v>1295</v>
      </c>
      <c r="H224" s="7" t="s">
        <v>263</v>
      </c>
      <c r="I224" s="7" t="s">
        <v>1225</v>
      </c>
      <c r="J224" s="2" t="s">
        <v>1544</v>
      </c>
      <c r="K224" s="9" t="s">
        <v>1552</v>
      </c>
      <c r="L224" s="2" t="s">
        <v>1571</v>
      </c>
      <c r="M224" s="2" t="s">
        <v>1609</v>
      </c>
      <c r="N224" s="2"/>
      <c r="O224" s="65"/>
      <c r="P224" s="2" t="s">
        <v>2053</v>
      </c>
      <c r="Q224" s="65"/>
      <c r="R224" s="2"/>
    </row>
    <row r="225" spans="1:18" ht="27.75" hidden="1" customHeight="1" x14ac:dyDescent="0.3">
      <c r="A225" s="8">
        <v>1105700020001</v>
      </c>
      <c r="B225" s="7" t="s">
        <v>296</v>
      </c>
      <c r="C225" s="7" t="s">
        <v>1298</v>
      </c>
      <c r="D225" s="7">
        <v>1998</v>
      </c>
      <c r="E225" s="7" t="s">
        <v>19</v>
      </c>
      <c r="F225" s="7" t="s">
        <v>236</v>
      </c>
      <c r="G225" s="8" t="s">
        <v>1299</v>
      </c>
      <c r="H225" s="7" t="s">
        <v>263</v>
      </c>
      <c r="I225" s="7" t="s">
        <v>1225</v>
      </c>
      <c r="J225" s="2" t="s">
        <v>1544</v>
      </c>
      <c r="K225" s="9" t="s">
        <v>1552</v>
      </c>
      <c r="L225" s="2" t="s">
        <v>1571</v>
      </c>
      <c r="M225" s="2" t="s">
        <v>1609</v>
      </c>
      <c r="N225" s="2"/>
      <c r="O225" s="66"/>
      <c r="P225" s="2" t="s">
        <v>2053</v>
      </c>
      <c r="Q225" s="66"/>
      <c r="R225" s="2"/>
    </row>
    <row r="226" spans="1:18" ht="27.75" hidden="1" customHeight="1" x14ac:dyDescent="0.3">
      <c r="A226" s="8">
        <v>1105700080001</v>
      </c>
      <c r="B226" s="7" t="s">
        <v>302</v>
      </c>
      <c r="C226" s="7" t="s">
        <v>1463</v>
      </c>
      <c r="D226" s="7">
        <v>2012</v>
      </c>
      <c r="E226" s="7" t="s">
        <v>19</v>
      </c>
      <c r="F226" s="7" t="s">
        <v>304</v>
      </c>
      <c r="G226" s="8" t="s">
        <v>1300</v>
      </c>
      <c r="H226" s="7" t="s">
        <v>263</v>
      </c>
      <c r="I226" s="7" t="s">
        <v>1225</v>
      </c>
      <c r="J226" s="2" t="s">
        <v>1544</v>
      </c>
      <c r="K226" s="9" t="s">
        <v>1552</v>
      </c>
      <c r="L226" s="2" t="s">
        <v>1571</v>
      </c>
      <c r="M226" s="2" t="s">
        <v>1609</v>
      </c>
      <c r="N226" s="2"/>
      <c r="O226" s="65"/>
      <c r="P226" s="2" t="s">
        <v>2053</v>
      </c>
      <c r="Q226" s="65"/>
      <c r="R226" s="2"/>
    </row>
    <row r="227" spans="1:18" ht="27.75" hidden="1" customHeight="1" x14ac:dyDescent="0.3">
      <c r="A227" s="8">
        <v>1106700010003</v>
      </c>
      <c r="B227" s="7" t="s">
        <v>102</v>
      </c>
      <c r="C227" s="7" t="s">
        <v>1323</v>
      </c>
      <c r="D227" s="7">
        <v>1989</v>
      </c>
      <c r="E227" s="7" t="s">
        <v>19</v>
      </c>
      <c r="F227" s="7" t="s">
        <v>104</v>
      </c>
      <c r="G227" s="8">
        <v>346001417089</v>
      </c>
      <c r="H227" s="7" t="s">
        <v>263</v>
      </c>
      <c r="I227" s="7" t="s">
        <v>1225</v>
      </c>
      <c r="J227" s="2" t="s">
        <v>1544</v>
      </c>
      <c r="K227" s="9" t="s">
        <v>1552</v>
      </c>
      <c r="L227" s="2" t="s">
        <v>1571</v>
      </c>
      <c r="M227" s="2" t="s">
        <v>1609</v>
      </c>
      <c r="N227" s="2"/>
      <c r="O227" s="66"/>
      <c r="P227" s="2" t="s">
        <v>2053</v>
      </c>
      <c r="Q227" s="66"/>
      <c r="R227" s="2"/>
    </row>
    <row r="228" spans="1:18" ht="27.75" hidden="1" customHeight="1" x14ac:dyDescent="0.3">
      <c r="A228" s="8">
        <v>1106700010003</v>
      </c>
      <c r="B228" s="7" t="s">
        <v>102</v>
      </c>
      <c r="C228" s="7" t="s">
        <v>1324</v>
      </c>
      <c r="D228" s="7">
        <v>1983</v>
      </c>
      <c r="E228" s="7" t="s">
        <v>19</v>
      </c>
      <c r="F228" s="7" t="s">
        <v>104</v>
      </c>
      <c r="G228" s="8">
        <v>34603154914465</v>
      </c>
      <c r="H228" s="7" t="s">
        <v>263</v>
      </c>
      <c r="I228" s="7" t="s">
        <v>1225</v>
      </c>
      <c r="J228" s="2" t="s">
        <v>1544</v>
      </c>
      <c r="K228" s="9" t="s">
        <v>1552</v>
      </c>
      <c r="L228" s="2" t="s">
        <v>1571</v>
      </c>
      <c r="M228" s="2" t="s">
        <v>1609</v>
      </c>
      <c r="N228" s="2"/>
      <c r="O228" s="65"/>
      <c r="P228" s="2" t="s">
        <v>2053</v>
      </c>
      <c r="Q228" s="65"/>
      <c r="R228" s="2"/>
    </row>
    <row r="229" spans="1:18" ht="27.75" hidden="1" customHeight="1" x14ac:dyDescent="0.3">
      <c r="A229" s="8">
        <v>1106700010003</v>
      </c>
      <c r="B229" s="7" t="s">
        <v>102</v>
      </c>
      <c r="C229" s="7" t="s">
        <v>1326</v>
      </c>
      <c r="D229" s="7">
        <v>1982</v>
      </c>
      <c r="E229" s="7" t="s">
        <v>19</v>
      </c>
      <c r="F229" s="7" t="s">
        <v>104</v>
      </c>
      <c r="G229" s="8">
        <v>3403155025828</v>
      </c>
      <c r="H229" s="7" t="s">
        <v>263</v>
      </c>
      <c r="I229" s="7" t="s">
        <v>1225</v>
      </c>
      <c r="J229" s="2" t="s">
        <v>1544</v>
      </c>
      <c r="K229" s="9" t="s">
        <v>1552</v>
      </c>
      <c r="L229" s="2" t="s">
        <v>1571</v>
      </c>
      <c r="M229" s="2" t="s">
        <v>1609</v>
      </c>
      <c r="N229" s="2"/>
      <c r="O229" s="66"/>
      <c r="P229" s="2" t="s">
        <v>2053</v>
      </c>
      <c r="Q229" s="66"/>
      <c r="R229" s="2"/>
    </row>
    <row r="230" spans="1:18" ht="27.75" hidden="1" customHeight="1" x14ac:dyDescent="0.3">
      <c r="A230" s="8">
        <v>1106700010003</v>
      </c>
      <c r="B230" s="7" t="s">
        <v>102</v>
      </c>
      <c r="C230" s="7" t="s">
        <v>1327</v>
      </c>
      <c r="D230" s="7">
        <v>1988</v>
      </c>
      <c r="E230" s="7" t="s">
        <v>19</v>
      </c>
      <c r="F230" s="7" t="s">
        <v>104</v>
      </c>
      <c r="G230" s="8">
        <v>34600155361082</v>
      </c>
      <c r="H230" s="7" t="s">
        <v>263</v>
      </c>
      <c r="I230" s="7" t="s">
        <v>1225</v>
      </c>
      <c r="J230" s="2" t="s">
        <v>1544</v>
      </c>
      <c r="K230" s="9" t="s">
        <v>1552</v>
      </c>
      <c r="L230" s="2" t="s">
        <v>1571</v>
      </c>
      <c r="M230" s="2" t="s">
        <v>1609</v>
      </c>
      <c r="N230" s="2"/>
      <c r="O230" s="65"/>
      <c r="P230" s="2" t="s">
        <v>2053</v>
      </c>
      <c r="Q230" s="65"/>
      <c r="R230" s="2"/>
    </row>
    <row r="231" spans="1:18" ht="27.75" hidden="1" customHeight="1" x14ac:dyDescent="0.3">
      <c r="A231" s="8">
        <v>1106700010003</v>
      </c>
      <c r="B231" s="7" t="s">
        <v>102</v>
      </c>
      <c r="C231" s="7" t="s">
        <v>1328</v>
      </c>
      <c r="D231" s="7">
        <v>1989</v>
      </c>
      <c r="E231" s="7" t="s">
        <v>19</v>
      </c>
      <c r="F231" s="7" t="s">
        <v>104</v>
      </c>
      <c r="G231" s="8">
        <v>34600155417059</v>
      </c>
      <c r="H231" s="7" t="s">
        <v>263</v>
      </c>
      <c r="I231" s="7" t="s">
        <v>1225</v>
      </c>
      <c r="J231" s="2" t="s">
        <v>1544</v>
      </c>
      <c r="K231" s="9" t="s">
        <v>1552</v>
      </c>
      <c r="L231" s="2" t="s">
        <v>1571</v>
      </c>
      <c r="M231" s="2" t="s">
        <v>1609</v>
      </c>
      <c r="N231" s="2"/>
      <c r="O231" s="66"/>
      <c r="P231" s="2" t="s">
        <v>2053</v>
      </c>
      <c r="Q231" s="66"/>
      <c r="R231" s="2"/>
    </row>
    <row r="232" spans="1:18" ht="27.75" hidden="1" customHeight="1" x14ac:dyDescent="0.3">
      <c r="A232" s="8">
        <v>1106700010003</v>
      </c>
      <c r="B232" s="7" t="s">
        <v>102</v>
      </c>
      <c r="C232" s="7" t="s">
        <v>1329</v>
      </c>
      <c r="D232" s="7">
        <v>1989</v>
      </c>
      <c r="E232" s="7" t="s">
        <v>19</v>
      </c>
      <c r="F232" s="7" t="s">
        <v>104</v>
      </c>
      <c r="G232" s="8">
        <v>34600155424078</v>
      </c>
      <c r="H232" s="7" t="s">
        <v>263</v>
      </c>
      <c r="I232" s="7" t="s">
        <v>1225</v>
      </c>
      <c r="J232" s="2" t="s">
        <v>1544</v>
      </c>
      <c r="K232" s="9" t="s">
        <v>1552</v>
      </c>
      <c r="L232" s="2" t="s">
        <v>1571</v>
      </c>
      <c r="M232" s="2" t="s">
        <v>1609</v>
      </c>
      <c r="N232" s="2"/>
      <c r="O232" s="65"/>
      <c r="P232" s="2" t="s">
        <v>2053</v>
      </c>
      <c r="Q232" s="65"/>
      <c r="R232" s="2"/>
    </row>
    <row r="233" spans="1:18" ht="27.75" hidden="1" customHeight="1" x14ac:dyDescent="0.3">
      <c r="A233" s="8">
        <v>1106700010003</v>
      </c>
      <c r="B233" s="7" t="s">
        <v>102</v>
      </c>
      <c r="C233" s="7" t="s">
        <v>1330</v>
      </c>
      <c r="D233" s="7">
        <v>1990</v>
      </c>
      <c r="E233" s="7" t="s">
        <v>19</v>
      </c>
      <c r="F233" s="7" t="s">
        <v>104</v>
      </c>
      <c r="G233" s="8">
        <v>34600155505125</v>
      </c>
      <c r="H233" s="7" t="s">
        <v>263</v>
      </c>
      <c r="I233" s="7" t="s">
        <v>1225</v>
      </c>
      <c r="J233" s="2" t="s">
        <v>1544</v>
      </c>
      <c r="K233" s="9" t="s">
        <v>1552</v>
      </c>
      <c r="L233" s="2" t="s">
        <v>1571</v>
      </c>
      <c r="M233" s="2" t="s">
        <v>1609</v>
      </c>
      <c r="N233" s="2"/>
      <c r="O233" s="66"/>
      <c r="P233" s="2" t="s">
        <v>2053</v>
      </c>
      <c r="Q233" s="66"/>
      <c r="R233" s="2"/>
    </row>
    <row r="234" spans="1:18" ht="27.75" hidden="1" customHeight="1" x14ac:dyDescent="0.3">
      <c r="A234" s="8">
        <v>1106700010003</v>
      </c>
      <c r="B234" s="7" t="s">
        <v>102</v>
      </c>
      <c r="C234" s="7" t="s">
        <v>1331</v>
      </c>
      <c r="D234" s="7">
        <v>1989</v>
      </c>
      <c r="E234" s="7" t="s">
        <v>19</v>
      </c>
      <c r="F234" s="7" t="s">
        <v>104</v>
      </c>
      <c r="G234" s="8">
        <v>3460315502549</v>
      </c>
      <c r="H234" s="7" t="s">
        <v>263</v>
      </c>
      <c r="I234" s="7" t="s">
        <v>1225</v>
      </c>
      <c r="J234" s="2" t="s">
        <v>1544</v>
      </c>
      <c r="K234" s="9" t="s">
        <v>1552</v>
      </c>
      <c r="L234" s="2" t="s">
        <v>1571</v>
      </c>
      <c r="M234" s="2" t="s">
        <v>1609</v>
      </c>
      <c r="N234" s="2"/>
      <c r="O234" s="65"/>
      <c r="P234" s="2" t="s">
        <v>2053</v>
      </c>
      <c r="Q234" s="65"/>
      <c r="R234" s="2"/>
    </row>
    <row r="235" spans="1:18" ht="27.75" hidden="1" customHeight="1" x14ac:dyDescent="0.3">
      <c r="A235" s="8">
        <v>1106700010003</v>
      </c>
      <c r="B235" s="7" t="s">
        <v>102</v>
      </c>
      <c r="C235" s="7" t="s">
        <v>1332</v>
      </c>
      <c r="D235" s="7">
        <v>1983</v>
      </c>
      <c r="E235" s="7" t="s">
        <v>19</v>
      </c>
      <c r="F235" s="7" t="s">
        <v>104</v>
      </c>
      <c r="G235" s="8" t="s">
        <v>1333</v>
      </c>
      <c r="H235" s="7" t="s">
        <v>263</v>
      </c>
      <c r="I235" s="7" t="s">
        <v>1225</v>
      </c>
      <c r="J235" s="2" t="s">
        <v>1544</v>
      </c>
      <c r="K235" s="9" t="s">
        <v>1552</v>
      </c>
      <c r="L235" s="2" t="s">
        <v>1571</v>
      </c>
      <c r="M235" s="2" t="s">
        <v>1609</v>
      </c>
      <c r="N235" s="2"/>
      <c r="O235" s="66"/>
      <c r="P235" s="2" t="s">
        <v>2053</v>
      </c>
      <c r="Q235" s="66"/>
      <c r="R235" s="2"/>
    </row>
    <row r="236" spans="1:18" ht="27.75" hidden="1" customHeight="1" x14ac:dyDescent="0.3">
      <c r="A236" s="8">
        <v>1106700010003</v>
      </c>
      <c r="B236" s="7" t="s">
        <v>102</v>
      </c>
      <c r="C236" s="7" t="s">
        <v>1334</v>
      </c>
      <c r="D236" s="7">
        <v>1983</v>
      </c>
      <c r="E236" s="7" t="s">
        <v>19</v>
      </c>
      <c r="F236" s="7" t="s">
        <v>104</v>
      </c>
      <c r="G236" s="8" t="s">
        <v>1335</v>
      </c>
      <c r="H236" s="7" t="s">
        <v>263</v>
      </c>
      <c r="I236" s="7" t="s">
        <v>1225</v>
      </c>
      <c r="J236" s="2" t="s">
        <v>1544</v>
      </c>
      <c r="K236" s="9" t="s">
        <v>1552</v>
      </c>
      <c r="L236" s="2" t="s">
        <v>1571</v>
      </c>
      <c r="M236" s="2" t="s">
        <v>1609</v>
      </c>
      <c r="N236" s="2"/>
      <c r="O236" s="65"/>
      <c r="P236" s="2" t="s">
        <v>2053</v>
      </c>
      <c r="Q236" s="65"/>
      <c r="R236" s="2"/>
    </row>
    <row r="237" spans="1:18" ht="27.75" hidden="1" customHeight="1" x14ac:dyDescent="0.3">
      <c r="A237" s="8">
        <v>1106700010003</v>
      </c>
      <c r="B237" s="7" t="s">
        <v>102</v>
      </c>
      <c r="C237" s="7" t="s">
        <v>1464</v>
      </c>
      <c r="D237" s="7">
        <v>1989</v>
      </c>
      <c r="E237" s="7" t="s">
        <v>19</v>
      </c>
      <c r="F237" s="7" t="s">
        <v>104</v>
      </c>
      <c r="G237" s="8">
        <v>38671055346001</v>
      </c>
      <c r="H237" s="7" t="s">
        <v>263</v>
      </c>
      <c r="I237" s="7" t="s">
        <v>1225</v>
      </c>
      <c r="J237" s="2" t="s">
        <v>1544</v>
      </c>
      <c r="K237" s="9" t="s">
        <v>1552</v>
      </c>
      <c r="L237" s="2" t="s">
        <v>1571</v>
      </c>
      <c r="M237" s="2" t="s">
        <v>1609</v>
      </c>
      <c r="N237" s="2"/>
      <c r="O237" s="66"/>
      <c r="P237" s="2" t="s">
        <v>2053</v>
      </c>
      <c r="Q237" s="66"/>
      <c r="R237" s="2"/>
    </row>
    <row r="238" spans="1:18" ht="27.75" hidden="1" customHeight="1" x14ac:dyDescent="0.3">
      <c r="A238" s="8">
        <v>1106700010003</v>
      </c>
      <c r="B238" s="7" t="s">
        <v>102</v>
      </c>
      <c r="C238" s="7" t="s">
        <v>1336</v>
      </c>
      <c r="D238" s="7">
        <v>1989</v>
      </c>
      <c r="E238" s="7" t="s">
        <v>19</v>
      </c>
      <c r="F238" s="7" t="s">
        <v>104</v>
      </c>
      <c r="G238" s="8">
        <v>42405655346001</v>
      </c>
      <c r="H238" s="7" t="s">
        <v>263</v>
      </c>
      <c r="I238" s="7" t="s">
        <v>1225</v>
      </c>
      <c r="J238" s="2" t="s">
        <v>1544</v>
      </c>
      <c r="K238" s="9" t="s">
        <v>1552</v>
      </c>
      <c r="L238" s="2" t="s">
        <v>1571</v>
      </c>
      <c r="M238" s="2" t="s">
        <v>1609</v>
      </c>
      <c r="N238" s="2"/>
      <c r="O238" s="65"/>
      <c r="P238" s="2" t="s">
        <v>2053</v>
      </c>
      <c r="Q238" s="65"/>
      <c r="R238" s="2"/>
    </row>
    <row r="239" spans="1:18" ht="27.75" hidden="1" customHeight="1" x14ac:dyDescent="0.3">
      <c r="A239" s="8">
        <v>1106700010003</v>
      </c>
      <c r="B239" s="7" t="s">
        <v>102</v>
      </c>
      <c r="C239" s="7" t="s">
        <v>1337</v>
      </c>
      <c r="D239" s="7">
        <v>1981</v>
      </c>
      <c r="E239" s="7" t="s">
        <v>19</v>
      </c>
      <c r="F239" s="7" t="s">
        <v>104</v>
      </c>
      <c r="G239" s="8">
        <v>634631156798605</v>
      </c>
      <c r="H239" s="7" t="s">
        <v>263</v>
      </c>
      <c r="I239" s="7" t="s">
        <v>1225</v>
      </c>
      <c r="J239" s="2" t="s">
        <v>1544</v>
      </c>
      <c r="K239" s="9" t="s">
        <v>1552</v>
      </c>
      <c r="L239" s="2" t="s">
        <v>1571</v>
      </c>
      <c r="M239" s="2" t="s">
        <v>1609</v>
      </c>
      <c r="N239" s="2"/>
      <c r="O239" s="66"/>
      <c r="P239" s="2" t="s">
        <v>2053</v>
      </c>
      <c r="Q239" s="66"/>
      <c r="R239" s="2"/>
    </row>
    <row r="240" spans="1:18" ht="27.75" hidden="1" customHeight="1" x14ac:dyDescent="0.3">
      <c r="A240" s="8">
        <v>1106700010010</v>
      </c>
      <c r="B240" s="7" t="s">
        <v>114</v>
      </c>
      <c r="C240" s="7" t="s">
        <v>1466</v>
      </c>
      <c r="D240" s="7">
        <v>2003</v>
      </c>
      <c r="E240" s="7" t="s">
        <v>19</v>
      </c>
      <c r="F240" s="7" t="s">
        <v>571</v>
      </c>
      <c r="G240" s="8" t="s">
        <v>1339</v>
      </c>
      <c r="H240" s="7" t="s">
        <v>263</v>
      </c>
      <c r="I240" s="7" t="s">
        <v>1225</v>
      </c>
      <c r="J240" s="2" t="s">
        <v>1544</v>
      </c>
      <c r="K240" s="9" t="s">
        <v>1552</v>
      </c>
      <c r="L240" s="2" t="s">
        <v>1571</v>
      </c>
      <c r="M240" s="2" t="s">
        <v>1609</v>
      </c>
      <c r="N240" s="2"/>
      <c r="O240" s="65"/>
      <c r="P240" s="2" t="s">
        <v>2053</v>
      </c>
      <c r="Q240" s="65"/>
      <c r="R240" s="2"/>
    </row>
    <row r="241" spans="1:18" ht="27.75" hidden="1" customHeight="1" x14ac:dyDescent="0.3">
      <c r="A241" s="8">
        <v>1106700010010</v>
      </c>
      <c r="B241" s="7" t="s">
        <v>114</v>
      </c>
      <c r="C241" s="7" t="s">
        <v>1340</v>
      </c>
      <c r="D241" s="7">
        <v>2003</v>
      </c>
      <c r="E241" s="7" t="s">
        <v>19</v>
      </c>
      <c r="F241" s="7" t="s">
        <v>104</v>
      </c>
      <c r="G241" s="8" t="s">
        <v>1341</v>
      </c>
      <c r="H241" s="7" t="s">
        <v>263</v>
      </c>
      <c r="I241" s="7" t="s">
        <v>1225</v>
      </c>
      <c r="J241" s="2" t="s">
        <v>1544</v>
      </c>
      <c r="K241" s="9" t="s">
        <v>1552</v>
      </c>
      <c r="L241" s="2"/>
      <c r="M241" s="2" t="s">
        <v>1609</v>
      </c>
      <c r="N241" s="2"/>
      <c r="O241" s="66"/>
      <c r="P241" s="2" t="s">
        <v>2053</v>
      </c>
      <c r="Q241" s="66"/>
      <c r="R241" s="2"/>
    </row>
    <row r="242" spans="1:18" ht="27.75" hidden="1" customHeight="1" x14ac:dyDescent="0.3">
      <c r="A242" s="8">
        <v>1106700010010</v>
      </c>
      <c r="B242" s="7" t="s">
        <v>114</v>
      </c>
      <c r="C242" s="7" t="s">
        <v>1342</v>
      </c>
      <c r="D242" s="7">
        <v>1998</v>
      </c>
      <c r="E242" s="7" t="s">
        <v>19</v>
      </c>
      <c r="F242" s="7" t="s">
        <v>104</v>
      </c>
      <c r="G242" s="8" t="s">
        <v>1343</v>
      </c>
      <c r="H242" s="7" t="s">
        <v>263</v>
      </c>
      <c r="I242" s="7" t="s">
        <v>1225</v>
      </c>
      <c r="J242" s="2" t="s">
        <v>1544</v>
      </c>
      <c r="K242" s="9" t="s">
        <v>1552</v>
      </c>
      <c r="L242" s="2" t="s">
        <v>1571</v>
      </c>
      <c r="M242" s="2" t="s">
        <v>1609</v>
      </c>
      <c r="N242" s="2"/>
      <c r="O242" s="65"/>
      <c r="P242" s="2" t="s">
        <v>2053</v>
      </c>
      <c r="Q242" s="65"/>
      <c r="R242" s="2"/>
    </row>
    <row r="243" spans="1:18" ht="27.75" hidden="1" customHeight="1" x14ac:dyDescent="0.3">
      <c r="A243" s="8">
        <v>1106700010010</v>
      </c>
      <c r="B243" s="7" t="s">
        <v>114</v>
      </c>
      <c r="C243" s="7" t="s">
        <v>1344</v>
      </c>
      <c r="D243" s="7">
        <v>2003</v>
      </c>
      <c r="E243" s="7" t="s">
        <v>19</v>
      </c>
      <c r="F243" s="7" t="s">
        <v>104</v>
      </c>
      <c r="G243" s="8" t="s">
        <v>1345</v>
      </c>
      <c r="H243" s="7" t="s">
        <v>263</v>
      </c>
      <c r="I243" s="7" t="s">
        <v>1225</v>
      </c>
      <c r="J243" s="2" t="s">
        <v>1544</v>
      </c>
      <c r="K243" s="9" t="s">
        <v>1552</v>
      </c>
      <c r="L243" s="2" t="s">
        <v>1571</v>
      </c>
      <c r="M243" s="2" t="s">
        <v>1609</v>
      </c>
      <c r="N243" s="2"/>
      <c r="O243" s="66"/>
      <c r="P243" s="2" t="s">
        <v>2053</v>
      </c>
      <c r="Q243" s="66"/>
      <c r="R243" s="2"/>
    </row>
    <row r="244" spans="1:18" ht="27.75" hidden="1" customHeight="1" x14ac:dyDescent="0.3">
      <c r="A244" s="8">
        <v>1106700020003</v>
      </c>
      <c r="B244" s="7" t="s">
        <v>54</v>
      </c>
      <c r="C244" s="7" t="s">
        <v>1346</v>
      </c>
      <c r="D244" s="7">
        <v>1983</v>
      </c>
      <c r="E244" s="7" t="s">
        <v>19</v>
      </c>
      <c r="F244" s="7" t="s">
        <v>56</v>
      </c>
      <c r="G244" s="8">
        <v>343031540941074</v>
      </c>
      <c r="H244" s="7" t="s">
        <v>263</v>
      </c>
      <c r="I244" s="7" t="s">
        <v>1225</v>
      </c>
      <c r="J244" s="2" t="s">
        <v>1544</v>
      </c>
      <c r="K244" s="9" t="s">
        <v>1552</v>
      </c>
      <c r="L244" s="2" t="s">
        <v>1571</v>
      </c>
      <c r="M244" s="2" t="s">
        <v>1609</v>
      </c>
      <c r="N244" s="2"/>
      <c r="O244" s="65"/>
      <c r="P244" s="2" t="s">
        <v>2053</v>
      </c>
      <c r="Q244" s="65"/>
      <c r="R244" s="2"/>
    </row>
    <row r="245" spans="1:18" ht="27.75" hidden="1" customHeight="1" x14ac:dyDescent="0.3">
      <c r="A245" s="8">
        <v>1106700020003</v>
      </c>
      <c r="B245" s="7" t="s">
        <v>54</v>
      </c>
      <c r="C245" s="7" t="s">
        <v>1347</v>
      </c>
      <c r="D245" s="7">
        <v>1983</v>
      </c>
      <c r="E245" s="7" t="s">
        <v>19</v>
      </c>
      <c r="F245" s="7" t="s">
        <v>56</v>
      </c>
      <c r="G245" s="8">
        <v>3430315491460</v>
      </c>
      <c r="H245" s="7" t="s">
        <v>263</v>
      </c>
      <c r="I245" s="7" t="s">
        <v>1225</v>
      </c>
      <c r="J245" s="2" t="s">
        <v>1544</v>
      </c>
      <c r="K245" s="9" t="s">
        <v>1552</v>
      </c>
      <c r="L245" s="2" t="s">
        <v>1571</v>
      </c>
      <c r="M245" s="2" t="s">
        <v>1609</v>
      </c>
      <c r="N245" s="2"/>
      <c r="O245" s="66"/>
      <c r="P245" s="2" t="s">
        <v>2053</v>
      </c>
      <c r="Q245" s="66"/>
      <c r="R245" s="2"/>
    </row>
    <row r="246" spans="1:18" ht="27.75" hidden="1" customHeight="1" x14ac:dyDescent="0.3">
      <c r="A246" s="8">
        <v>1106700020003</v>
      </c>
      <c r="B246" s="7" t="s">
        <v>54</v>
      </c>
      <c r="C246" s="7" t="s">
        <v>1348</v>
      </c>
      <c r="D246" s="7">
        <v>1983</v>
      </c>
      <c r="E246" s="7" t="s">
        <v>19</v>
      </c>
      <c r="F246" s="7" t="s">
        <v>56</v>
      </c>
      <c r="G246" s="8">
        <v>34303154941459</v>
      </c>
      <c r="H246" s="7" t="s">
        <v>263</v>
      </c>
      <c r="I246" s="7" t="s">
        <v>1225</v>
      </c>
      <c r="J246" s="2" t="s">
        <v>1544</v>
      </c>
      <c r="K246" s="9" t="s">
        <v>1552</v>
      </c>
      <c r="L246" s="2" t="s">
        <v>1571</v>
      </c>
      <c r="M246" s="2" t="s">
        <v>1609</v>
      </c>
      <c r="N246" s="2"/>
      <c r="O246" s="65"/>
      <c r="P246" s="2" t="s">
        <v>2053</v>
      </c>
      <c r="Q246" s="65"/>
      <c r="R246" s="2"/>
    </row>
    <row r="247" spans="1:18" ht="27.75" hidden="1" customHeight="1" x14ac:dyDescent="0.3">
      <c r="A247" s="8">
        <v>1106700020003</v>
      </c>
      <c r="B247" s="7" t="s">
        <v>54</v>
      </c>
      <c r="C247" s="7" t="s">
        <v>1350</v>
      </c>
      <c r="D247" s="7">
        <v>1993</v>
      </c>
      <c r="E247" s="7" t="s">
        <v>19</v>
      </c>
      <c r="F247" s="7" t="s">
        <v>104</v>
      </c>
      <c r="G247" s="8">
        <v>34600155951192</v>
      </c>
      <c r="H247" s="7" t="s">
        <v>263</v>
      </c>
      <c r="I247" s="7" t="s">
        <v>1225</v>
      </c>
      <c r="J247" s="2" t="s">
        <v>1544</v>
      </c>
      <c r="K247" s="9" t="s">
        <v>1552</v>
      </c>
      <c r="L247" s="2" t="s">
        <v>1571</v>
      </c>
      <c r="M247" s="2" t="s">
        <v>1609</v>
      </c>
      <c r="N247" s="2"/>
      <c r="O247" s="66"/>
      <c r="P247" s="2" t="s">
        <v>2053</v>
      </c>
      <c r="Q247" s="66"/>
      <c r="R247" s="2"/>
    </row>
    <row r="248" spans="1:18" ht="27.75" hidden="1" customHeight="1" x14ac:dyDescent="0.3">
      <c r="A248" s="8">
        <v>1106700020003</v>
      </c>
      <c r="B248" s="7" t="s">
        <v>54</v>
      </c>
      <c r="C248" s="7" t="s">
        <v>1351</v>
      </c>
      <c r="D248" s="7">
        <v>2013</v>
      </c>
      <c r="E248" s="7" t="s">
        <v>19</v>
      </c>
      <c r="F248" s="7" t="s">
        <v>56</v>
      </c>
      <c r="G248" s="8" t="s">
        <v>1352</v>
      </c>
      <c r="H248" s="7" t="s">
        <v>263</v>
      </c>
      <c r="I248" s="7" t="s">
        <v>1225</v>
      </c>
      <c r="J248" s="2" t="s">
        <v>1544</v>
      </c>
      <c r="K248" s="9" t="s">
        <v>1552</v>
      </c>
      <c r="L248" s="2" t="s">
        <v>1559</v>
      </c>
      <c r="M248" s="2" t="s">
        <v>1559</v>
      </c>
      <c r="N248" s="2"/>
      <c r="O248" s="65"/>
      <c r="P248" s="2" t="s">
        <v>2053</v>
      </c>
      <c r="Q248" s="65"/>
      <c r="R248" s="2"/>
    </row>
    <row r="249" spans="1:18" ht="27.75" hidden="1" customHeight="1" x14ac:dyDescent="0.3">
      <c r="A249" s="8">
        <v>1106700020003</v>
      </c>
      <c r="B249" s="7" t="s">
        <v>54</v>
      </c>
      <c r="C249" s="7" t="s">
        <v>1357</v>
      </c>
      <c r="D249" s="7">
        <v>2006</v>
      </c>
      <c r="E249" s="7" t="s">
        <v>19</v>
      </c>
      <c r="F249" s="7" t="s">
        <v>56</v>
      </c>
      <c r="G249" s="8" t="s">
        <v>1358</v>
      </c>
      <c r="H249" s="7" t="s">
        <v>263</v>
      </c>
      <c r="I249" s="7" t="s">
        <v>1225</v>
      </c>
      <c r="J249" s="2" t="s">
        <v>1544</v>
      </c>
      <c r="K249" s="9" t="s">
        <v>1552</v>
      </c>
      <c r="L249" s="2" t="s">
        <v>1571</v>
      </c>
      <c r="M249" s="2" t="s">
        <v>1609</v>
      </c>
      <c r="N249" s="2"/>
      <c r="O249" s="66"/>
      <c r="P249" s="2" t="s">
        <v>2053</v>
      </c>
      <c r="Q249" s="66"/>
      <c r="R249" s="2"/>
    </row>
    <row r="250" spans="1:18" ht="27.75" hidden="1" customHeight="1" x14ac:dyDescent="0.3">
      <c r="A250" s="8">
        <v>1202700010001</v>
      </c>
      <c r="B250" s="7" t="s">
        <v>1387</v>
      </c>
      <c r="C250" s="7" t="s">
        <v>1391</v>
      </c>
      <c r="D250" s="7">
        <v>2002</v>
      </c>
      <c r="E250" s="7" t="s">
        <v>4</v>
      </c>
      <c r="F250" s="7" t="s">
        <v>1389</v>
      </c>
      <c r="G250" s="8" t="s">
        <v>1392</v>
      </c>
      <c r="H250" s="7" t="s">
        <v>263</v>
      </c>
      <c r="I250" s="7" t="s">
        <v>1225</v>
      </c>
      <c r="J250" s="2" t="s">
        <v>1544</v>
      </c>
      <c r="K250" s="9" t="s">
        <v>1552</v>
      </c>
      <c r="L250" s="2" t="s">
        <v>1571</v>
      </c>
      <c r="M250" s="2" t="s">
        <v>1609</v>
      </c>
      <c r="N250" s="2"/>
      <c r="O250" s="65"/>
      <c r="P250" s="2" t="s">
        <v>2053</v>
      </c>
      <c r="Q250" s="65"/>
      <c r="R250" s="2"/>
    </row>
    <row r="251" spans="1:18" ht="27.75" hidden="1" customHeight="1" x14ac:dyDescent="0.3">
      <c r="A251" s="8">
        <v>1207700040001</v>
      </c>
      <c r="B251" s="7" t="s">
        <v>1409</v>
      </c>
      <c r="C251" s="7" t="s">
        <v>1410</v>
      </c>
      <c r="D251" s="7">
        <v>1981</v>
      </c>
      <c r="E251" s="7" t="s">
        <v>19</v>
      </c>
      <c r="F251" s="7" t="s">
        <v>397</v>
      </c>
      <c r="G251" s="8">
        <v>34301454800927</v>
      </c>
      <c r="H251" s="7" t="s">
        <v>263</v>
      </c>
      <c r="I251" s="7" t="s">
        <v>1225</v>
      </c>
      <c r="J251" s="2" t="s">
        <v>1544</v>
      </c>
      <c r="K251" s="9" t="s">
        <v>1552</v>
      </c>
      <c r="L251" s="2" t="s">
        <v>1571</v>
      </c>
      <c r="M251" s="2" t="s">
        <v>1609</v>
      </c>
      <c r="N251" s="2"/>
      <c r="O251" s="66"/>
      <c r="P251" s="2" t="s">
        <v>2053</v>
      </c>
      <c r="Q251" s="66"/>
      <c r="R251" s="2"/>
    </row>
    <row r="252" spans="1:18" ht="27.75" hidden="1" customHeight="1" x14ac:dyDescent="0.3">
      <c r="A252" s="8">
        <v>1101700030005</v>
      </c>
      <c r="B252" s="7" t="s">
        <v>230</v>
      </c>
      <c r="C252" s="7" t="s">
        <v>233</v>
      </c>
      <c r="D252" s="7">
        <v>2003</v>
      </c>
      <c r="E252" s="7" t="s">
        <v>19</v>
      </c>
      <c r="F252" s="7" t="s">
        <v>52</v>
      </c>
      <c r="G252" s="8" t="s">
        <v>234</v>
      </c>
      <c r="H252" s="7" t="s">
        <v>35</v>
      </c>
      <c r="I252" s="7" t="s">
        <v>229</v>
      </c>
      <c r="J252" s="2" t="s">
        <v>1543</v>
      </c>
      <c r="K252" s="9" t="s">
        <v>1553</v>
      </c>
      <c r="L252" s="2" t="s">
        <v>1571</v>
      </c>
      <c r="M252" s="2" t="s">
        <v>1609</v>
      </c>
      <c r="N252" s="2" t="s">
        <v>1952</v>
      </c>
      <c r="O252" s="65"/>
      <c r="P252" s="2" t="s">
        <v>2051</v>
      </c>
      <c r="Q252" s="65" t="s">
        <v>2052</v>
      </c>
      <c r="R252" s="2"/>
    </row>
    <row r="253" spans="1:18" ht="27.75" hidden="1" customHeight="1" x14ac:dyDescent="0.3">
      <c r="A253" s="8">
        <v>1101700030005</v>
      </c>
      <c r="B253" s="7" t="s">
        <v>230</v>
      </c>
      <c r="C253" s="7" t="s">
        <v>1256</v>
      </c>
      <c r="D253" s="7">
        <v>2004</v>
      </c>
      <c r="E253" s="7" t="s">
        <v>19</v>
      </c>
      <c r="F253" s="7" t="s">
        <v>42</v>
      </c>
      <c r="G253" s="8" t="s">
        <v>1257</v>
      </c>
      <c r="H253" s="7" t="s">
        <v>263</v>
      </c>
      <c r="I253" s="7" t="s">
        <v>1225</v>
      </c>
      <c r="J253" s="2" t="s">
        <v>1544</v>
      </c>
      <c r="K253" s="9" t="s">
        <v>1553</v>
      </c>
      <c r="L253" s="2" t="s">
        <v>1571</v>
      </c>
      <c r="M253" s="2" t="s">
        <v>1961</v>
      </c>
      <c r="N253" s="2" t="s">
        <v>1962</v>
      </c>
      <c r="O253" s="66"/>
      <c r="P253" s="2" t="s">
        <v>2053</v>
      </c>
      <c r="Q253" s="66"/>
      <c r="R253" s="2"/>
    </row>
    <row r="254" spans="1:18" ht="27.75" hidden="1" customHeight="1" x14ac:dyDescent="0.3">
      <c r="A254" s="8">
        <v>1102700020004</v>
      </c>
      <c r="B254" s="7" t="s">
        <v>136</v>
      </c>
      <c r="C254" s="7" t="s">
        <v>857</v>
      </c>
      <c r="D254" s="7">
        <v>2017</v>
      </c>
      <c r="E254" s="7" t="s">
        <v>19</v>
      </c>
      <c r="F254" s="7" t="s">
        <v>66</v>
      </c>
      <c r="G254" s="8" t="s">
        <v>858</v>
      </c>
      <c r="H254" s="7" t="s">
        <v>35</v>
      </c>
      <c r="I254" s="7" t="s">
        <v>854</v>
      </c>
      <c r="J254" s="2" t="s">
        <v>1513</v>
      </c>
      <c r="K254" s="2" t="s">
        <v>1548</v>
      </c>
      <c r="L254" s="2" t="s">
        <v>1564</v>
      </c>
      <c r="M254" s="2" t="s">
        <v>1887</v>
      </c>
      <c r="N254" s="9" t="s">
        <v>2479</v>
      </c>
      <c r="O254" s="2" t="s">
        <v>2472</v>
      </c>
      <c r="P254" s="65" t="s">
        <v>1513</v>
      </c>
      <c r="Q254" s="65" t="s">
        <v>2029</v>
      </c>
      <c r="R254" s="65"/>
    </row>
    <row r="255" spans="1:18" ht="27.75" hidden="1" customHeight="1" x14ac:dyDescent="0.3">
      <c r="A255" s="8">
        <v>1201700020002</v>
      </c>
      <c r="B255" s="7" t="s">
        <v>1375</v>
      </c>
      <c r="C255" s="7" t="s">
        <v>1379</v>
      </c>
      <c r="D255" s="7">
        <v>2015</v>
      </c>
      <c r="E255" s="7" t="s">
        <v>19</v>
      </c>
      <c r="F255" s="7" t="s">
        <v>1377</v>
      </c>
      <c r="G255" s="8" t="s">
        <v>1380</v>
      </c>
      <c r="H255" s="7" t="s">
        <v>263</v>
      </c>
      <c r="I255" s="7" t="s">
        <v>1225</v>
      </c>
      <c r="J255" s="66" t="s">
        <v>1498</v>
      </c>
      <c r="K255" s="66" t="s">
        <v>2066</v>
      </c>
      <c r="L255" s="66" t="s">
        <v>1566</v>
      </c>
      <c r="M255" s="66" t="s">
        <v>2073</v>
      </c>
      <c r="N255" s="69" t="s">
        <v>2074</v>
      </c>
      <c r="O255" s="66"/>
      <c r="P255" s="66" t="s">
        <v>2024</v>
      </c>
      <c r="Q255" s="66" t="s">
        <v>2025</v>
      </c>
      <c r="R255" s="66" t="s">
        <v>2077</v>
      </c>
    </row>
    <row r="256" spans="1:18" ht="27.75" hidden="1" customHeight="1" x14ac:dyDescent="0.3">
      <c r="A256" s="8">
        <v>1106700020003</v>
      </c>
      <c r="B256" s="7" t="s">
        <v>54</v>
      </c>
      <c r="C256" s="7" t="s">
        <v>1439</v>
      </c>
      <c r="D256" s="7">
        <v>2012</v>
      </c>
      <c r="E256" s="7" t="s">
        <v>19</v>
      </c>
      <c r="F256" s="7" t="s">
        <v>56</v>
      </c>
      <c r="G256" s="8" t="s">
        <v>117</v>
      </c>
      <c r="H256" s="7" t="s">
        <v>35</v>
      </c>
      <c r="I256" s="7" t="s">
        <v>112</v>
      </c>
      <c r="J256" s="65" t="s">
        <v>1471</v>
      </c>
      <c r="K256" s="71" t="s">
        <v>1912</v>
      </c>
      <c r="L256" s="65"/>
      <c r="M256" s="65"/>
      <c r="N256" s="64"/>
      <c r="O256" s="65" t="s">
        <v>2160</v>
      </c>
      <c r="P256" s="65" t="s">
        <v>1471</v>
      </c>
      <c r="Q256" s="65" t="s">
        <v>1998</v>
      </c>
      <c r="R256" s="65"/>
    </row>
    <row r="257" spans="1:18" ht="27.75" hidden="1" customHeight="1" x14ac:dyDescent="0.3">
      <c r="A257" s="8">
        <v>1106700020010</v>
      </c>
      <c r="B257" s="7" t="s">
        <v>210</v>
      </c>
      <c r="C257" s="7" t="s">
        <v>211</v>
      </c>
      <c r="D257" s="7">
        <v>2009</v>
      </c>
      <c r="E257" s="7" t="s">
        <v>19</v>
      </c>
      <c r="F257" s="7" t="s">
        <v>52</v>
      </c>
      <c r="G257" s="8" t="s">
        <v>212</v>
      </c>
      <c r="H257" s="7" t="s">
        <v>35</v>
      </c>
      <c r="I257" s="7" t="s">
        <v>205</v>
      </c>
      <c r="J257" s="2" t="s">
        <v>1525</v>
      </c>
      <c r="K257" s="11" t="s">
        <v>1912</v>
      </c>
      <c r="L257" s="2" t="s">
        <v>1567</v>
      </c>
      <c r="M257" s="2" t="s">
        <v>2536</v>
      </c>
      <c r="N257" s="2" t="s">
        <v>2534</v>
      </c>
      <c r="O257" s="2" t="s">
        <v>2694</v>
      </c>
      <c r="P257" s="66" t="s">
        <v>1525</v>
      </c>
      <c r="Q257" s="66" t="s">
        <v>2018</v>
      </c>
      <c r="R257" s="66"/>
    </row>
    <row r="258" spans="1:18" ht="27.75" hidden="1" customHeight="1" x14ac:dyDescent="0.3">
      <c r="A258" s="8">
        <v>1106700020003</v>
      </c>
      <c r="B258" s="7" t="s">
        <v>54</v>
      </c>
      <c r="C258" s="7" t="s">
        <v>758</v>
      </c>
      <c r="D258" s="70">
        <v>2013</v>
      </c>
      <c r="E258" s="7" t="s">
        <v>19</v>
      </c>
      <c r="F258" s="7" t="s">
        <v>56</v>
      </c>
      <c r="G258" s="8" t="s">
        <v>759</v>
      </c>
      <c r="H258" s="7" t="s">
        <v>35</v>
      </c>
      <c r="I258" s="7" t="s">
        <v>753</v>
      </c>
      <c r="J258" s="65" t="s">
        <v>1513</v>
      </c>
      <c r="K258" s="71" t="s">
        <v>1912</v>
      </c>
      <c r="L258" s="65"/>
      <c r="M258" s="2"/>
      <c r="N258" s="2"/>
      <c r="O258" s="65" t="s">
        <v>2223</v>
      </c>
      <c r="P258" s="65" t="s">
        <v>1513</v>
      </c>
      <c r="Q258" s="65" t="s">
        <v>2030</v>
      </c>
      <c r="R258" s="65"/>
    </row>
    <row r="259" spans="1:18" ht="27.75" hidden="1" customHeight="1" x14ac:dyDescent="0.3">
      <c r="A259" s="8">
        <v>1106700010010</v>
      </c>
      <c r="B259" s="7" t="s">
        <v>114</v>
      </c>
      <c r="C259" s="7" t="s">
        <v>329</v>
      </c>
      <c r="D259" s="7">
        <v>2005</v>
      </c>
      <c r="E259" s="7" t="s">
        <v>19</v>
      </c>
      <c r="F259" s="7" t="s">
        <v>104</v>
      </c>
      <c r="G259" s="8" t="s">
        <v>330</v>
      </c>
      <c r="H259" s="7" t="s">
        <v>263</v>
      </c>
      <c r="I259" s="7" t="s">
        <v>270</v>
      </c>
      <c r="J259" s="2" t="s">
        <v>1498</v>
      </c>
      <c r="K259" s="2" t="s">
        <v>1912</v>
      </c>
      <c r="L259" s="2" t="s">
        <v>1571</v>
      </c>
      <c r="M259" s="2" t="s">
        <v>2436</v>
      </c>
      <c r="N259" s="2" t="s">
        <v>2437</v>
      </c>
      <c r="O259" s="2" t="s">
        <v>2448</v>
      </c>
      <c r="P259" s="66" t="s">
        <v>2024</v>
      </c>
      <c r="Q259" s="66" t="s">
        <v>2025</v>
      </c>
      <c r="R259" s="66"/>
    </row>
    <row r="260" spans="1:18" ht="27.75" hidden="1" customHeight="1" x14ac:dyDescent="0.3">
      <c r="A260" s="58">
        <v>1106700020003</v>
      </c>
      <c r="B260" s="7" t="s">
        <v>54</v>
      </c>
      <c r="C260" s="7" t="s">
        <v>744</v>
      </c>
      <c r="D260" s="70">
        <v>2013</v>
      </c>
      <c r="E260" s="7" t="s">
        <v>19</v>
      </c>
      <c r="F260" s="7" t="s">
        <v>56</v>
      </c>
      <c r="G260" s="8" t="s">
        <v>745</v>
      </c>
      <c r="H260" s="7" t="s">
        <v>35</v>
      </c>
      <c r="I260" s="7" t="s">
        <v>741</v>
      </c>
      <c r="J260" s="2" t="s">
        <v>1487</v>
      </c>
      <c r="K260" s="11" t="s">
        <v>1912</v>
      </c>
      <c r="L260" s="2" t="s">
        <v>1564</v>
      </c>
      <c r="M260" s="2" t="s">
        <v>2537</v>
      </c>
      <c r="N260" s="2" t="s">
        <v>2534</v>
      </c>
      <c r="O260" s="2" t="s">
        <v>2606</v>
      </c>
      <c r="P260" s="65" t="s">
        <v>2034</v>
      </c>
      <c r="Q260" s="65" t="s">
        <v>2039</v>
      </c>
      <c r="R260" s="65"/>
    </row>
    <row r="261" spans="1:18" ht="27.75" hidden="1" customHeight="1" x14ac:dyDescent="0.3">
      <c r="A261" s="8">
        <v>1105700160002</v>
      </c>
      <c r="B261" s="7" t="s">
        <v>660</v>
      </c>
      <c r="C261" s="7" t="s">
        <v>661</v>
      </c>
      <c r="D261" s="7">
        <v>2015</v>
      </c>
      <c r="E261" s="7" t="s">
        <v>19</v>
      </c>
      <c r="F261" s="7" t="s">
        <v>20</v>
      </c>
      <c r="G261" s="8" t="s">
        <v>662</v>
      </c>
      <c r="H261" s="7" t="s">
        <v>263</v>
      </c>
      <c r="I261" s="7" t="s">
        <v>632</v>
      </c>
      <c r="J261" s="2" t="s">
        <v>1544</v>
      </c>
      <c r="K261" s="11" t="s">
        <v>1912</v>
      </c>
      <c r="L261" s="2" t="s">
        <v>1571</v>
      </c>
      <c r="M261" s="2" t="s">
        <v>2092</v>
      </c>
      <c r="N261" s="2" t="s">
        <v>2091</v>
      </c>
      <c r="O261" s="2" t="s">
        <v>2549</v>
      </c>
      <c r="P261" s="66" t="s">
        <v>2053</v>
      </c>
      <c r="Q261" s="66"/>
      <c r="R261" s="66"/>
    </row>
    <row r="262" spans="1:18" ht="27.75" hidden="1" customHeight="1" x14ac:dyDescent="0.3">
      <c r="A262" s="8">
        <v>1101700010006</v>
      </c>
      <c r="B262" s="7" t="s">
        <v>50</v>
      </c>
      <c r="C262" s="7" t="s">
        <v>635</v>
      </c>
      <c r="D262" s="7">
        <v>2010</v>
      </c>
      <c r="E262" s="7" t="s">
        <v>19</v>
      </c>
      <c r="F262" s="7" t="s">
        <v>52</v>
      </c>
      <c r="G262" s="8" t="s">
        <v>636</v>
      </c>
      <c r="H262" s="7" t="s">
        <v>263</v>
      </c>
      <c r="I262" s="7" t="s">
        <v>632</v>
      </c>
      <c r="J262" s="65" t="s">
        <v>1525</v>
      </c>
      <c r="K262" s="65" t="s">
        <v>1548</v>
      </c>
      <c r="L262" s="65" t="s">
        <v>1564</v>
      </c>
      <c r="M262" s="65" t="s">
        <v>2093</v>
      </c>
      <c r="N262" s="64" t="s">
        <v>2094</v>
      </c>
      <c r="O262" s="65"/>
      <c r="P262" s="65" t="s">
        <v>1525</v>
      </c>
      <c r="Q262" s="65" t="s">
        <v>2016</v>
      </c>
      <c r="R262" s="65"/>
    </row>
    <row r="263" spans="1:18" ht="27.75" hidden="1" customHeight="1" x14ac:dyDescent="0.3">
      <c r="A263" s="58">
        <v>1106700020003</v>
      </c>
      <c r="B263" s="7" t="s">
        <v>54</v>
      </c>
      <c r="C263" s="7" t="s">
        <v>190</v>
      </c>
      <c r="D263" s="70">
        <v>2014</v>
      </c>
      <c r="E263" s="7" t="s">
        <v>19</v>
      </c>
      <c r="F263" s="7" t="s">
        <v>52</v>
      </c>
      <c r="G263" s="8" t="s">
        <v>191</v>
      </c>
      <c r="H263" s="7" t="s">
        <v>35</v>
      </c>
      <c r="I263" s="7" t="s">
        <v>187</v>
      </c>
      <c r="J263" s="2" t="s">
        <v>1549</v>
      </c>
      <c r="K263" s="2" t="s">
        <v>1548</v>
      </c>
      <c r="L263" s="2" t="s">
        <v>1567</v>
      </c>
      <c r="M263" s="2" t="s">
        <v>2634</v>
      </c>
      <c r="N263" s="2" t="s">
        <v>2630</v>
      </c>
      <c r="O263" s="2" t="s">
        <v>2095</v>
      </c>
      <c r="P263" s="65" t="s">
        <v>2009</v>
      </c>
      <c r="Q263" s="65" t="s">
        <v>2013</v>
      </c>
      <c r="R263" s="65"/>
    </row>
    <row r="264" spans="1:18" ht="27.75" hidden="1" customHeight="1" x14ac:dyDescent="0.3">
      <c r="A264" s="8">
        <v>1204700020009</v>
      </c>
      <c r="B264" s="7" t="s">
        <v>29</v>
      </c>
      <c r="C264" s="7" t="s">
        <v>1039</v>
      </c>
      <c r="D264" s="7">
        <v>2016</v>
      </c>
      <c r="E264" s="7" t="s">
        <v>19</v>
      </c>
      <c r="F264" s="7" t="s">
        <v>261</v>
      </c>
      <c r="G264" s="8" t="s">
        <v>1040</v>
      </c>
      <c r="H264" s="7" t="s">
        <v>945</v>
      </c>
      <c r="I264" s="7" t="s">
        <v>1026</v>
      </c>
      <c r="J264" s="66" t="s">
        <v>1518</v>
      </c>
      <c r="K264" s="80" t="s">
        <v>1912</v>
      </c>
      <c r="L264" s="66"/>
      <c r="M264" s="2"/>
      <c r="N264" s="69"/>
      <c r="O264" s="66" t="s">
        <v>2096</v>
      </c>
      <c r="P264" s="66" t="s">
        <v>1518</v>
      </c>
      <c r="Q264" s="66" t="s">
        <v>1987</v>
      </c>
      <c r="R264" s="66"/>
    </row>
    <row r="265" spans="1:18" ht="27.75" hidden="1" customHeight="1" x14ac:dyDescent="0.3">
      <c r="A265" s="58">
        <v>1106700020003</v>
      </c>
      <c r="B265" s="7" t="s">
        <v>54</v>
      </c>
      <c r="C265" s="7" t="s">
        <v>87</v>
      </c>
      <c r="D265" s="70">
        <v>2016</v>
      </c>
      <c r="E265" s="7" t="s">
        <v>19</v>
      </c>
      <c r="F265" s="7" t="s">
        <v>56</v>
      </c>
      <c r="G265" s="8" t="s">
        <v>88</v>
      </c>
      <c r="H265" s="7" t="s">
        <v>35</v>
      </c>
      <c r="I265" s="7" t="s">
        <v>82</v>
      </c>
      <c r="J265" s="2" t="s">
        <v>1506</v>
      </c>
      <c r="K265" s="11" t="s">
        <v>1912</v>
      </c>
      <c r="L265" s="2" t="s">
        <v>1571</v>
      </c>
      <c r="M265" s="2" t="s">
        <v>2523</v>
      </c>
      <c r="N265" s="2" t="s">
        <v>2528</v>
      </c>
      <c r="O265" s="2" t="s">
        <v>2528</v>
      </c>
      <c r="P265" s="65" t="s">
        <v>1506</v>
      </c>
      <c r="Q265" s="65" t="s">
        <v>2004</v>
      </c>
      <c r="R265" s="65"/>
    </row>
    <row r="266" spans="1:18" ht="27.75" hidden="1" customHeight="1" x14ac:dyDescent="0.3">
      <c r="A266" s="8">
        <v>1204700020003</v>
      </c>
      <c r="B266" s="7" t="s">
        <v>13</v>
      </c>
      <c r="C266" s="7" t="s">
        <v>875</v>
      </c>
      <c r="D266" s="7">
        <v>2005</v>
      </c>
      <c r="E266" s="7" t="s">
        <v>4</v>
      </c>
      <c r="F266" s="7" t="s">
        <v>10</v>
      </c>
      <c r="G266" s="8" t="s">
        <v>876</v>
      </c>
      <c r="H266" s="7" t="s">
        <v>35</v>
      </c>
      <c r="I266" s="7" t="s">
        <v>868</v>
      </c>
      <c r="J266" s="66" t="s">
        <v>1506</v>
      </c>
      <c r="K266" s="11" t="s">
        <v>1912</v>
      </c>
      <c r="L266" s="2"/>
      <c r="M266" s="2"/>
      <c r="N266" s="2"/>
      <c r="O266" s="2" t="s">
        <v>2404</v>
      </c>
      <c r="P266" s="66" t="s">
        <v>1506</v>
      </c>
      <c r="Q266" s="66" t="s">
        <v>2005</v>
      </c>
      <c r="R266" s="66"/>
    </row>
    <row r="267" spans="1:18" ht="27.75" hidden="1" customHeight="1" x14ac:dyDescent="0.3">
      <c r="A267" s="8">
        <v>1101700010006</v>
      </c>
      <c r="B267" s="7" t="s">
        <v>50</v>
      </c>
      <c r="C267" s="7" t="s">
        <v>134</v>
      </c>
      <c r="D267" s="7">
        <v>2010</v>
      </c>
      <c r="E267" s="7" t="s">
        <v>19</v>
      </c>
      <c r="F267" s="7" t="s">
        <v>52</v>
      </c>
      <c r="G267" s="8" t="s">
        <v>135</v>
      </c>
      <c r="H267" s="7" t="s">
        <v>35</v>
      </c>
      <c r="I267" s="7" t="s">
        <v>131</v>
      </c>
      <c r="J267" s="2" t="s">
        <v>1498</v>
      </c>
      <c r="K267" s="65" t="s">
        <v>1548</v>
      </c>
      <c r="L267" s="65" t="s">
        <v>1564</v>
      </c>
      <c r="M267" s="2" t="s">
        <v>1849</v>
      </c>
      <c r="N267" s="2" t="s">
        <v>1741</v>
      </c>
      <c r="O267" s="65"/>
      <c r="P267" s="65" t="s">
        <v>2024</v>
      </c>
      <c r="Q267" s="65" t="s">
        <v>2028</v>
      </c>
      <c r="R267" s="65"/>
    </row>
    <row r="268" spans="1:18" ht="27.75" hidden="1" customHeight="1" x14ac:dyDescent="0.3">
      <c r="A268" s="58">
        <v>1106700020003</v>
      </c>
      <c r="B268" s="7" t="s">
        <v>54</v>
      </c>
      <c r="C268" s="7" t="s">
        <v>70</v>
      </c>
      <c r="D268" s="70">
        <v>2011</v>
      </c>
      <c r="E268" s="7" t="s">
        <v>19</v>
      </c>
      <c r="F268" s="7" t="s">
        <v>56</v>
      </c>
      <c r="G268" s="8" t="s">
        <v>71</v>
      </c>
      <c r="H268" s="7" t="s">
        <v>35</v>
      </c>
      <c r="I268" s="7" t="s">
        <v>61</v>
      </c>
      <c r="J268" s="2" t="s">
        <v>1471</v>
      </c>
      <c r="K268" s="2" t="s">
        <v>2066</v>
      </c>
      <c r="L268" s="2" t="s">
        <v>1564</v>
      </c>
      <c r="M268" s="2" t="s">
        <v>2445</v>
      </c>
      <c r="N268" s="9" t="s">
        <v>2437</v>
      </c>
      <c r="O268" s="2" t="s">
        <v>2448</v>
      </c>
      <c r="P268" s="66" t="s">
        <v>1471</v>
      </c>
      <c r="Q268" s="66" t="s">
        <v>1994</v>
      </c>
      <c r="R268" s="66"/>
    </row>
    <row r="269" spans="1:18" ht="27.75" hidden="1" customHeight="1" x14ac:dyDescent="0.3">
      <c r="A269" s="8">
        <v>1106700010003</v>
      </c>
      <c r="B269" s="7" t="s">
        <v>102</v>
      </c>
      <c r="C269" s="7" t="s">
        <v>1325</v>
      </c>
      <c r="D269" s="7">
        <v>1983</v>
      </c>
      <c r="E269" s="7" t="s">
        <v>19</v>
      </c>
      <c r="F269" s="7" t="s">
        <v>104</v>
      </c>
      <c r="G269" s="8">
        <v>34603155025357</v>
      </c>
      <c r="H269" s="7" t="s">
        <v>263</v>
      </c>
      <c r="I269" s="7" t="s">
        <v>1225</v>
      </c>
      <c r="J269" s="65" t="s">
        <v>1544</v>
      </c>
      <c r="K269" s="85" t="s">
        <v>1553</v>
      </c>
      <c r="L269" s="65" t="s">
        <v>1571</v>
      </c>
      <c r="M269" s="65" t="s">
        <v>1609</v>
      </c>
      <c r="N269" s="64" t="s">
        <v>2099</v>
      </c>
      <c r="O269" s="65"/>
      <c r="P269" s="65" t="s">
        <v>2053</v>
      </c>
      <c r="Q269" s="65"/>
      <c r="R269" s="65"/>
    </row>
    <row r="270" spans="1:18" ht="27.75" hidden="1" customHeight="1" x14ac:dyDescent="0.3">
      <c r="A270" s="58">
        <v>1106700020003</v>
      </c>
      <c r="B270" s="7" t="s">
        <v>54</v>
      </c>
      <c r="C270" s="7" t="s">
        <v>250</v>
      </c>
      <c r="D270" s="70">
        <v>2013</v>
      </c>
      <c r="E270" s="7" t="s">
        <v>19</v>
      </c>
      <c r="F270" s="7" t="s">
        <v>56</v>
      </c>
      <c r="G270" s="8" t="s">
        <v>251</v>
      </c>
      <c r="H270" s="7" t="s">
        <v>0</v>
      </c>
      <c r="I270" s="7" t="s">
        <v>240</v>
      </c>
      <c r="J270" s="66" t="s">
        <v>1544</v>
      </c>
      <c r="K270" s="66" t="s">
        <v>1548</v>
      </c>
      <c r="L270" s="66" t="s">
        <v>1559</v>
      </c>
      <c r="M270" s="66" t="s">
        <v>1559</v>
      </c>
      <c r="N270" s="69" t="s">
        <v>2100</v>
      </c>
      <c r="O270" s="66"/>
      <c r="P270" s="66" t="s">
        <v>2051</v>
      </c>
      <c r="Q270" s="66" t="s">
        <v>1543</v>
      </c>
      <c r="R270" s="66"/>
    </row>
    <row r="271" spans="1:18" ht="27.75" hidden="1" customHeight="1" x14ac:dyDescent="0.3">
      <c r="A271" s="8">
        <v>1106700010003</v>
      </c>
      <c r="B271" s="7" t="s">
        <v>102</v>
      </c>
      <c r="C271" s="7" t="s">
        <v>1451</v>
      </c>
      <c r="D271" s="7">
        <v>1991</v>
      </c>
      <c r="E271" s="7" t="s">
        <v>19</v>
      </c>
      <c r="F271" s="7" t="s">
        <v>104</v>
      </c>
      <c r="G271" s="8" t="s">
        <v>249</v>
      </c>
      <c r="H271" s="7" t="s">
        <v>0</v>
      </c>
      <c r="I271" s="7" t="s">
        <v>240</v>
      </c>
      <c r="J271" s="65" t="s">
        <v>1543</v>
      </c>
      <c r="K271" s="71" t="s">
        <v>1912</v>
      </c>
      <c r="L271" s="65"/>
      <c r="M271" s="65"/>
      <c r="N271" s="64"/>
      <c r="O271" s="65" t="s">
        <v>2101</v>
      </c>
      <c r="P271" s="65" t="s">
        <v>2051</v>
      </c>
      <c r="Q271" s="65" t="s">
        <v>1543</v>
      </c>
      <c r="R271" s="65"/>
    </row>
    <row r="272" spans="1:18" ht="27.75" hidden="1" customHeight="1" x14ac:dyDescent="0.3">
      <c r="A272" s="58">
        <v>1106700020003</v>
      </c>
      <c r="B272" s="7" t="s">
        <v>54</v>
      </c>
      <c r="C272" s="7" t="s">
        <v>122</v>
      </c>
      <c r="D272" s="70">
        <v>2016</v>
      </c>
      <c r="E272" s="7" t="s">
        <v>19</v>
      </c>
      <c r="F272" s="7" t="s">
        <v>56</v>
      </c>
      <c r="G272" s="8" t="s">
        <v>123</v>
      </c>
      <c r="H272" s="7" t="s">
        <v>35</v>
      </c>
      <c r="I272" s="7" t="s">
        <v>118</v>
      </c>
      <c r="J272" s="2" t="s">
        <v>1493</v>
      </c>
      <c r="K272" s="11" t="s">
        <v>1912</v>
      </c>
      <c r="L272" s="2" t="s">
        <v>1571</v>
      </c>
      <c r="M272" s="2" t="s">
        <v>2628</v>
      </c>
      <c r="N272" s="2" t="s">
        <v>2408</v>
      </c>
      <c r="O272" s="2" t="s">
        <v>2639</v>
      </c>
      <c r="P272" s="66" t="s">
        <v>2045</v>
      </c>
      <c r="Q272" s="66" t="s">
        <v>2049</v>
      </c>
      <c r="R272" s="66"/>
    </row>
    <row r="273" spans="1:18" ht="27.75" hidden="1" customHeight="1" x14ac:dyDescent="0.3">
      <c r="A273" s="8">
        <v>1105700080001</v>
      </c>
      <c r="B273" s="7" t="s">
        <v>302</v>
      </c>
      <c r="C273" s="7" t="s">
        <v>1311</v>
      </c>
      <c r="D273" s="7">
        <v>2011</v>
      </c>
      <c r="E273" s="7" t="s">
        <v>19</v>
      </c>
      <c r="F273" s="7" t="s">
        <v>304</v>
      </c>
      <c r="G273" s="8" t="s">
        <v>1312</v>
      </c>
      <c r="H273" s="7" t="s">
        <v>263</v>
      </c>
      <c r="I273" s="7" t="s">
        <v>1225</v>
      </c>
      <c r="J273" s="2" t="s">
        <v>1544</v>
      </c>
      <c r="K273" s="11" t="s">
        <v>1912</v>
      </c>
      <c r="L273" s="2" t="s">
        <v>1569</v>
      </c>
      <c r="M273" s="2" t="s">
        <v>2102</v>
      </c>
      <c r="N273" s="2" t="s">
        <v>2101</v>
      </c>
      <c r="O273" s="2" t="s">
        <v>2448</v>
      </c>
      <c r="P273" s="65" t="s">
        <v>2053</v>
      </c>
      <c r="Q273" s="65"/>
      <c r="R273" s="65"/>
    </row>
    <row r="274" spans="1:18" ht="27.75" hidden="1" customHeight="1" x14ac:dyDescent="0.3">
      <c r="A274" s="75">
        <v>1101700010006</v>
      </c>
      <c r="B274" s="7" t="s">
        <v>2075</v>
      </c>
      <c r="C274" s="7" t="s">
        <v>216</v>
      </c>
      <c r="D274" s="7">
        <v>2013</v>
      </c>
      <c r="E274" s="7" t="s">
        <v>19</v>
      </c>
      <c r="F274" s="7" t="s">
        <v>52</v>
      </c>
      <c r="G274" s="8" t="s">
        <v>217</v>
      </c>
      <c r="H274" s="7" t="s">
        <v>35</v>
      </c>
      <c r="I274" s="7" t="s">
        <v>215</v>
      </c>
      <c r="J274" s="2" t="s">
        <v>1482</v>
      </c>
      <c r="K274" s="11" t="s">
        <v>1912</v>
      </c>
      <c r="L274" s="2" t="s">
        <v>1569</v>
      </c>
      <c r="M274" s="2" t="s">
        <v>2103</v>
      </c>
      <c r="N274" s="2" t="s">
        <v>2101</v>
      </c>
      <c r="O274" s="2" t="s">
        <v>2626</v>
      </c>
      <c r="P274" s="66" t="s">
        <v>2009</v>
      </c>
      <c r="Q274" s="66" t="s">
        <v>2011</v>
      </c>
      <c r="R274" s="66"/>
    </row>
    <row r="275" spans="1:18" ht="27.75" hidden="1" customHeight="1" x14ac:dyDescent="0.3">
      <c r="A275" s="8">
        <v>1204700010003</v>
      </c>
      <c r="B275" s="7" t="s">
        <v>96</v>
      </c>
      <c r="C275" s="7" t="s">
        <v>473</v>
      </c>
      <c r="D275" s="7">
        <v>2005</v>
      </c>
      <c r="E275" s="7" t="s">
        <v>4</v>
      </c>
      <c r="F275" s="7" t="s">
        <v>10</v>
      </c>
      <c r="G275" s="8" t="s">
        <v>474</v>
      </c>
      <c r="H275" s="7" t="s">
        <v>263</v>
      </c>
      <c r="I275" s="7" t="s">
        <v>465</v>
      </c>
      <c r="J275" s="65" t="s">
        <v>1471</v>
      </c>
      <c r="K275" s="65" t="s">
        <v>1548</v>
      </c>
      <c r="L275" s="65" t="s">
        <v>1564</v>
      </c>
      <c r="M275" s="65" t="s">
        <v>2105</v>
      </c>
      <c r="N275" s="64" t="s">
        <v>2104</v>
      </c>
      <c r="O275" s="65"/>
      <c r="P275" s="65" t="s">
        <v>1471</v>
      </c>
      <c r="Q275" s="65" t="s">
        <v>1994</v>
      </c>
      <c r="R275" s="65"/>
    </row>
    <row r="276" spans="1:18" ht="27.75" hidden="1" customHeight="1" x14ac:dyDescent="0.3">
      <c r="A276" s="8">
        <v>1104700010004</v>
      </c>
      <c r="B276" s="7" t="s">
        <v>466</v>
      </c>
      <c r="C276" s="7" t="s">
        <v>467</v>
      </c>
      <c r="D276" s="7">
        <v>2004</v>
      </c>
      <c r="E276" s="7" t="s">
        <v>19</v>
      </c>
      <c r="F276" s="7" t="s">
        <v>5</v>
      </c>
      <c r="G276" s="8" t="s">
        <v>468</v>
      </c>
      <c r="H276" s="7" t="s">
        <v>263</v>
      </c>
      <c r="I276" s="7" t="s">
        <v>465</v>
      </c>
      <c r="J276" s="2" t="s">
        <v>1471</v>
      </c>
      <c r="K276" s="11" t="s">
        <v>1912</v>
      </c>
      <c r="L276" s="2" t="s">
        <v>1571</v>
      </c>
      <c r="M276" s="2" t="s">
        <v>1731</v>
      </c>
      <c r="N276" s="2" t="s">
        <v>2565</v>
      </c>
      <c r="O276" s="2" t="s">
        <v>2641</v>
      </c>
      <c r="P276" s="66" t="s">
        <v>1471</v>
      </c>
      <c r="Q276" s="66" t="s">
        <v>1996</v>
      </c>
      <c r="R276" s="66"/>
    </row>
    <row r="277" spans="1:18" ht="27.75" hidden="1" customHeight="1" x14ac:dyDescent="0.3">
      <c r="A277" s="58">
        <v>1106700020003</v>
      </c>
      <c r="B277" s="7" t="s">
        <v>54</v>
      </c>
      <c r="C277" s="7" t="s">
        <v>105</v>
      </c>
      <c r="D277" s="70">
        <v>2013</v>
      </c>
      <c r="E277" s="7" t="s">
        <v>19</v>
      </c>
      <c r="F277" s="7" t="s">
        <v>56</v>
      </c>
      <c r="G277" s="8" t="s">
        <v>106</v>
      </c>
      <c r="H277" s="7" t="s">
        <v>35</v>
      </c>
      <c r="I277" s="7" t="s">
        <v>99</v>
      </c>
      <c r="J277" s="2" t="s">
        <v>1493</v>
      </c>
      <c r="K277" s="2" t="s">
        <v>1548</v>
      </c>
      <c r="L277" s="2" t="s">
        <v>1615</v>
      </c>
      <c r="M277" s="2" t="s">
        <v>2645</v>
      </c>
      <c r="N277" s="2" t="s">
        <v>2646</v>
      </c>
      <c r="O277" s="2" t="s">
        <v>2196</v>
      </c>
      <c r="P277" s="65" t="s">
        <v>2045</v>
      </c>
      <c r="Q277" s="65" t="s">
        <v>2048</v>
      </c>
      <c r="R277" s="65"/>
    </row>
    <row r="278" spans="1:18" ht="27.75" hidden="1" customHeight="1" x14ac:dyDescent="0.3">
      <c r="A278" s="75">
        <v>1101700010006</v>
      </c>
      <c r="B278" s="7" t="s">
        <v>2075</v>
      </c>
      <c r="C278" s="7" t="s">
        <v>1418</v>
      </c>
      <c r="D278" s="7">
        <v>2013</v>
      </c>
      <c r="E278" s="7" t="s">
        <v>19</v>
      </c>
      <c r="F278" s="7" t="s">
        <v>52</v>
      </c>
      <c r="G278" s="8" t="s">
        <v>1419</v>
      </c>
      <c r="H278" s="7" t="s">
        <v>35</v>
      </c>
      <c r="I278" s="7" t="s">
        <v>1417</v>
      </c>
      <c r="J278" s="2" t="s">
        <v>1506</v>
      </c>
      <c r="K278" s="2" t="s">
        <v>1548</v>
      </c>
      <c r="L278" s="2" t="s">
        <v>1564</v>
      </c>
      <c r="M278" s="2" t="s">
        <v>2240</v>
      </c>
      <c r="N278" s="9" t="s">
        <v>2448</v>
      </c>
      <c r="O278" s="2" t="s">
        <v>2109</v>
      </c>
      <c r="P278" s="66" t="s">
        <v>1506</v>
      </c>
      <c r="Q278" s="66" t="s">
        <v>2004</v>
      </c>
      <c r="R278" s="66"/>
    </row>
    <row r="279" spans="1:18" ht="27.75" hidden="1" customHeight="1" x14ac:dyDescent="0.3">
      <c r="A279" s="8">
        <v>1106700020010</v>
      </c>
      <c r="B279" s="7" t="s">
        <v>210</v>
      </c>
      <c r="C279" s="7" t="s">
        <v>1468</v>
      </c>
      <c r="D279" s="7">
        <v>2006</v>
      </c>
      <c r="E279" s="7" t="s">
        <v>19</v>
      </c>
      <c r="F279" s="7" t="s">
        <v>104</v>
      </c>
      <c r="G279" s="8" t="s">
        <v>1368</v>
      </c>
      <c r="H279" s="7" t="s">
        <v>263</v>
      </c>
      <c r="I279" s="7" t="s">
        <v>1225</v>
      </c>
      <c r="J279" s="2" t="s">
        <v>1544</v>
      </c>
      <c r="K279" s="11" t="s">
        <v>1912</v>
      </c>
      <c r="L279" s="2" t="s">
        <v>1571</v>
      </c>
      <c r="M279" s="2" t="s">
        <v>2638</v>
      </c>
      <c r="N279" s="2" t="s">
        <v>2635</v>
      </c>
      <c r="O279" s="2" t="s">
        <v>2654</v>
      </c>
      <c r="P279" s="65" t="s">
        <v>1525</v>
      </c>
      <c r="Q279" s="65" t="s">
        <v>2014</v>
      </c>
      <c r="R279" s="65"/>
    </row>
    <row r="280" spans="1:18" ht="27.75" hidden="1" customHeight="1" x14ac:dyDescent="0.3">
      <c r="A280" s="75">
        <v>1101700010006</v>
      </c>
      <c r="B280" s="7" t="s">
        <v>2075</v>
      </c>
      <c r="C280" s="7" t="s">
        <v>276</v>
      </c>
      <c r="D280" s="7">
        <v>2014</v>
      </c>
      <c r="E280" s="7" t="s">
        <v>19</v>
      </c>
      <c r="F280" s="7" t="s">
        <v>52</v>
      </c>
      <c r="G280" s="8" t="s">
        <v>277</v>
      </c>
      <c r="H280" s="7" t="s">
        <v>263</v>
      </c>
      <c r="I280" s="7" t="s">
        <v>270</v>
      </c>
      <c r="J280" s="66" t="s">
        <v>1482</v>
      </c>
      <c r="K280" s="80" t="s">
        <v>1912</v>
      </c>
      <c r="L280" s="66"/>
      <c r="M280" s="2"/>
      <c r="N280" s="2"/>
      <c r="O280" s="66" t="s">
        <v>2157</v>
      </c>
      <c r="P280" s="66" t="s">
        <v>2009</v>
      </c>
      <c r="Q280" s="66" t="s">
        <v>2010</v>
      </c>
      <c r="R280" s="66"/>
    </row>
    <row r="281" spans="1:18" ht="27.75" hidden="1" customHeight="1" x14ac:dyDescent="0.3">
      <c r="A281" s="75">
        <v>1101700010006</v>
      </c>
      <c r="B281" s="7" t="s">
        <v>2075</v>
      </c>
      <c r="C281" s="7" t="s">
        <v>802</v>
      </c>
      <c r="D281" s="7">
        <v>2015</v>
      </c>
      <c r="E281" s="7" t="s">
        <v>19</v>
      </c>
      <c r="F281" s="7" t="s">
        <v>52</v>
      </c>
      <c r="G281" s="8" t="s">
        <v>803</v>
      </c>
      <c r="H281" s="7" t="s">
        <v>35</v>
      </c>
      <c r="I281" s="7" t="s">
        <v>801</v>
      </c>
      <c r="J281" s="65" t="s">
        <v>1482</v>
      </c>
      <c r="K281" s="71" t="s">
        <v>1912</v>
      </c>
      <c r="L281" s="66"/>
      <c r="M281" s="2"/>
      <c r="N281" s="2"/>
      <c r="O281" s="65" t="s">
        <v>2139</v>
      </c>
      <c r="P281" s="65" t="s">
        <v>2009</v>
      </c>
      <c r="Q281" s="65" t="s">
        <v>2012</v>
      </c>
      <c r="R281" s="65"/>
    </row>
    <row r="282" spans="1:18" ht="27.75" hidden="1" customHeight="1" x14ac:dyDescent="0.3">
      <c r="A282" s="8">
        <v>1105700100001</v>
      </c>
      <c r="B282" s="7" t="s">
        <v>311</v>
      </c>
      <c r="C282" s="7" t="s">
        <v>656</v>
      </c>
      <c r="D282" s="7">
        <v>2010</v>
      </c>
      <c r="E282" s="7" t="s">
        <v>19</v>
      </c>
      <c r="F282" s="7" t="s">
        <v>236</v>
      </c>
      <c r="G282" s="8" t="s">
        <v>657</v>
      </c>
      <c r="H282" s="7" t="s">
        <v>263</v>
      </c>
      <c r="I282" s="7" t="s">
        <v>632</v>
      </c>
      <c r="J282" s="66" t="s">
        <v>1482</v>
      </c>
      <c r="K282" s="80" t="s">
        <v>1912</v>
      </c>
      <c r="L282" s="66"/>
      <c r="M282" s="2"/>
      <c r="N282" s="2"/>
      <c r="O282" s="66" t="s">
        <v>2109</v>
      </c>
      <c r="P282" s="66" t="s">
        <v>2009</v>
      </c>
      <c r="Q282" s="66" t="s">
        <v>2011</v>
      </c>
      <c r="R282" s="66"/>
    </row>
    <row r="283" spans="1:18" ht="27.75" hidden="1" customHeight="1" x14ac:dyDescent="0.3">
      <c r="A283" s="8">
        <v>1102700010004</v>
      </c>
      <c r="B283" s="7" t="s">
        <v>64</v>
      </c>
      <c r="C283" s="7" t="s">
        <v>1281</v>
      </c>
      <c r="D283" s="7">
        <v>2002</v>
      </c>
      <c r="E283" s="7" t="s">
        <v>19</v>
      </c>
      <c r="F283" s="7" t="s">
        <v>42</v>
      </c>
      <c r="G283" s="8" t="s">
        <v>1282</v>
      </c>
      <c r="H283" s="7" t="s">
        <v>263</v>
      </c>
      <c r="I283" s="7" t="s">
        <v>1225</v>
      </c>
      <c r="J283" s="65" t="s">
        <v>1544</v>
      </c>
      <c r="K283" s="85" t="s">
        <v>1553</v>
      </c>
      <c r="L283" s="65" t="s">
        <v>1571</v>
      </c>
      <c r="M283" s="65" t="s">
        <v>1609</v>
      </c>
      <c r="N283" s="64" t="s">
        <v>2106</v>
      </c>
      <c r="O283" s="65"/>
      <c r="P283" s="65" t="s">
        <v>2053</v>
      </c>
      <c r="Q283" s="65"/>
      <c r="R283" s="65"/>
    </row>
    <row r="284" spans="1:18" ht="27.75" hidden="1" customHeight="1" x14ac:dyDescent="0.3">
      <c r="A284" s="8">
        <v>1101700020004</v>
      </c>
      <c r="B284" s="7" t="s">
        <v>869</v>
      </c>
      <c r="C284" s="7" t="s">
        <v>1253</v>
      </c>
      <c r="D284" s="7">
        <v>2004</v>
      </c>
      <c r="E284" s="7" t="s">
        <v>19</v>
      </c>
      <c r="F284" s="7" t="s">
        <v>52</v>
      </c>
      <c r="G284" s="8" t="s">
        <v>1254</v>
      </c>
      <c r="H284" s="7" t="s">
        <v>263</v>
      </c>
      <c r="I284" s="7" t="s">
        <v>1225</v>
      </c>
      <c r="J284" s="66" t="s">
        <v>1549</v>
      </c>
      <c r="K284" s="93" t="s">
        <v>1553</v>
      </c>
      <c r="L284" s="66" t="s">
        <v>1571</v>
      </c>
      <c r="M284" s="66" t="s">
        <v>1609</v>
      </c>
      <c r="N284" s="69" t="s">
        <v>2109</v>
      </c>
      <c r="O284" s="66"/>
      <c r="P284" s="66" t="s">
        <v>2053</v>
      </c>
      <c r="Q284" s="66"/>
      <c r="R284" s="66"/>
    </row>
    <row r="285" spans="1:18" ht="27.75" hidden="1" customHeight="1" x14ac:dyDescent="0.3">
      <c r="A285" s="8">
        <v>1102700010001</v>
      </c>
      <c r="B285" s="7" t="s">
        <v>1262</v>
      </c>
      <c r="C285" s="7" t="s">
        <v>1266</v>
      </c>
      <c r="D285" s="7">
        <v>2006</v>
      </c>
      <c r="E285" s="7" t="s">
        <v>19</v>
      </c>
      <c r="F285" s="7" t="s">
        <v>42</v>
      </c>
      <c r="G285" s="8" t="s">
        <v>1267</v>
      </c>
      <c r="H285" s="7" t="s">
        <v>263</v>
      </c>
      <c r="I285" s="7" t="s">
        <v>1225</v>
      </c>
      <c r="J285" s="65" t="s">
        <v>1544</v>
      </c>
      <c r="K285" s="85" t="s">
        <v>1553</v>
      </c>
      <c r="L285" s="65" t="s">
        <v>1571</v>
      </c>
      <c r="M285" s="65" t="s">
        <v>1609</v>
      </c>
      <c r="N285" s="64" t="s">
        <v>2109</v>
      </c>
      <c r="O285" s="65"/>
      <c r="P285" s="65" t="s">
        <v>2053</v>
      </c>
      <c r="Q285" s="65"/>
      <c r="R285" s="65"/>
    </row>
    <row r="286" spans="1:18" ht="27.75" hidden="1" customHeight="1" x14ac:dyDescent="0.3">
      <c r="A286" s="8">
        <v>1204700030001</v>
      </c>
      <c r="B286" s="7" t="s">
        <v>17</v>
      </c>
      <c r="C286" s="7" t="s">
        <v>383</v>
      </c>
      <c r="D286" s="7">
        <v>2008</v>
      </c>
      <c r="E286" s="7" t="s">
        <v>19</v>
      </c>
      <c r="F286" s="7" t="s">
        <v>384</v>
      </c>
      <c r="G286" s="8" t="s">
        <v>385</v>
      </c>
      <c r="H286" s="7" t="s">
        <v>263</v>
      </c>
      <c r="I286" s="7" t="s">
        <v>270</v>
      </c>
      <c r="J286" s="66" t="s">
        <v>1544</v>
      </c>
      <c r="K286" s="80" t="s">
        <v>1912</v>
      </c>
      <c r="L286" s="66"/>
      <c r="M286" s="66"/>
      <c r="N286" s="64"/>
      <c r="O286" s="66" t="s">
        <v>2116</v>
      </c>
      <c r="P286" s="66" t="s">
        <v>2053</v>
      </c>
      <c r="Q286" s="66"/>
      <c r="R286" s="66"/>
    </row>
    <row r="287" spans="1:18" ht="27.75" hidden="1" customHeight="1" x14ac:dyDescent="0.3">
      <c r="A287" s="75">
        <v>1101700010006</v>
      </c>
      <c r="B287" s="7" t="s">
        <v>2075</v>
      </c>
      <c r="C287" s="7" t="s">
        <v>835</v>
      </c>
      <c r="D287" s="7">
        <v>2015</v>
      </c>
      <c r="E287" s="7" t="s">
        <v>19</v>
      </c>
      <c r="F287" s="7" t="s">
        <v>52</v>
      </c>
      <c r="G287" s="8" t="s">
        <v>836</v>
      </c>
      <c r="H287" s="7" t="s">
        <v>35</v>
      </c>
      <c r="I287" s="7" t="s">
        <v>834</v>
      </c>
      <c r="J287" s="65" t="s">
        <v>1493</v>
      </c>
      <c r="K287" s="65" t="s">
        <v>1548</v>
      </c>
      <c r="L287" s="65" t="s">
        <v>1569</v>
      </c>
      <c r="M287" s="65" t="s">
        <v>2090</v>
      </c>
      <c r="N287" s="64" t="s">
        <v>2110</v>
      </c>
      <c r="O287" s="65"/>
      <c r="P287" s="65" t="s">
        <v>2045</v>
      </c>
      <c r="Q287" s="65" t="s">
        <v>2046</v>
      </c>
      <c r="R287" s="65"/>
    </row>
    <row r="288" spans="1:18" ht="27.75" hidden="1" customHeight="1" x14ac:dyDescent="0.3">
      <c r="A288" s="8">
        <v>1102700010004</v>
      </c>
      <c r="B288" s="7" t="s">
        <v>64</v>
      </c>
      <c r="C288" s="7" t="s">
        <v>282</v>
      </c>
      <c r="D288" s="7">
        <v>2008</v>
      </c>
      <c r="E288" s="7" t="s">
        <v>19</v>
      </c>
      <c r="F288" s="7" t="s">
        <v>66</v>
      </c>
      <c r="G288" s="8" t="s">
        <v>283</v>
      </c>
      <c r="H288" s="7" t="s">
        <v>263</v>
      </c>
      <c r="I288" s="7" t="s">
        <v>270</v>
      </c>
      <c r="J288" s="66" t="s">
        <v>1549</v>
      </c>
      <c r="K288" s="66" t="s">
        <v>1548</v>
      </c>
      <c r="L288" s="66" t="s">
        <v>1571</v>
      </c>
      <c r="M288" s="66" t="s">
        <v>1609</v>
      </c>
      <c r="N288" s="69" t="s">
        <v>2110</v>
      </c>
      <c r="O288" s="66"/>
      <c r="P288" s="66" t="s">
        <v>1525</v>
      </c>
      <c r="Q288" s="66" t="s">
        <v>2018</v>
      </c>
      <c r="R288" s="66"/>
    </row>
    <row r="289" spans="1:18" ht="27.75" hidden="1" customHeight="1" x14ac:dyDescent="0.3">
      <c r="A289" s="8">
        <v>1204700020003</v>
      </c>
      <c r="B289" s="7" t="s">
        <v>13</v>
      </c>
      <c r="C289" s="92" t="s">
        <v>545</v>
      </c>
      <c r="D289" s="7">
        <v>2005</v>
      </c>
      <c r="E289" s="7" t="s">
        <v>4</v>
      </c>
      <c r="F289" s="7" t="s">
        <v>5</v>
      </c>
      <c r="G289" s="8" t="s">
        <v>546</v>
      </c>
      <c r="H289" s="7" t="s">
        <v>263</v>
      </c>
      <c r="I289" s="7" t="s">
        <v>534</v>
      </c>
      <c r="J289" s="65" t="s">
        <v>1531</v>
      </c>
      <c r="K289" s="71" t="s">
        <v>1912</v>
      </c>
      <c r="L289" s="65"/>
      <c r="M289" s="2"/>
      <c r="N289" s="2"/>
      <c r="O289" s="65" t="s">
        <v>2188</v>
      </c>
      <c r="P289" s="65" t="s">
        <v>1531</v>
      </c>
      <c r="Q289" s="65" t="s">
        <v>2021</v>
      </c>
      <c r="R289" s="65"/>
    </row>
    <row r="290" spans="1:18" ht="27.75" hidden="1" customHeight="1" x14ac:dyDescent="0.3">
      <c r="A290" s="58">
        <v>1106700020003</v>
      </c>
      <c r="B290" s="7" t="s">
        <v>54</v>
      </c>
      <c r="C290" s="7" t="s">
        <v>139</v>
      </c>
      <c r="D290" s="70">
        <v>2013</v>
      </c>
      <c r="E290" s="7" t="s">
        <v>19</v>
      </c>
      <c r="F290" s="7" t="s">
        <v>56</v>
      </c>
      <c r="G290" s="8" t="s">
        <v>140</v>
      </c>
      <c r="H290" s="7" t="s">
        <v>35</v>
      </c>
      <c r="I290" s="7" t="s">
        <v>131</v>
      </c>
      <c r="J290" s="66" t="s">
        <v>1498</v>
      </c>
      <c r="K290" s="66" t="s">
        <v>1548</v>
      </c>
      <c r="L290" s="66" t="s">
        <v>1564</v>
      </c>
      <c r="M290" s="66" t="s">
        <v>2115</v>
      </c>
      <c r="N290" s="69" t="s">
        <v>2114</v>
      </c>
      <c r="O290" s="66"/>
      <c r="P290" s="66" t="s">
        <v>2024</v>
      </c>
      <c r="Q290" s="66" t="s">
        <v>2028</v>
      </c>
      <c r="R290" s="66"/>
    </row>
    <row r="291" spans="1:18" ht="27.75" hidden="1" customHeight="1" x14ac:dyDescent="0.3">
      <c r="A291" s="75">
        <v>1101700010006</v>
      </c>
      <c r="B291" s="7" t="s">
        <v>2075</v>
      </c>
      <c r="C291" s="7" t="s">
        <v>1241</v>
      </c>
      <c r="D291" s="7">
        <v>2013</v>
      </c>
      <c r="E291" s="7" t="s">
        <v>19</v>
      </c>
      <c r="F291" s="7" t="s">
        <v>52</v>
      </c>
      <c r="G291" s="8" t="s">
        <v>1242</v>
      </c>
      <c r="H291" s="7" t="s">
        <v>263</v>
      </c>
      <c r="I291" s="7" t="s">
        <v>1225</v>
      </c>
      <c r="J291" s="2" t="s">
        <v>1544</v>
      </c>
      <c r="K291" s="2" t="s">
        <v>1548</v>
      </c>
      <c r="L291" s="2" t="s">
        <v>1571</v>
      </c>
      <c r="M291" s="2" t="s">
        <v>1632</v>
      </c>
      <c r="N291" s="2" t="s">
        <v>2672</v>
      </c>
      <c r="O291" s="2" t="s">
        <v>2114</v>
      </c>
      <c r="P291" s="65" t="s">
        <v>1477</v>
      </c>
      <c r="Q291" s="65" t="s">
        <v>1999</v>
      </c>
      <c r="R291" s="65"/>
    </row>
    <row r="292" spans="1:18" ht="27.75" hidden="1" customHeight="1" x14ac:dyDescent="0.3">
      <c r="A292" s="8">
        <v>1105700080001</v>
      </c>
      <c r="B292" s="7" t="s">
        <v>302</v>
      </c>
      <c r="C292" s="7" t="s">
        <v>1317</v>
      </c>
      <c r="D292" s="7">
        <v>2011</v>
      </c>
      <c r="E292" s="7" t="s">
        <v>19</v>
      </c>
      <c r="F292" s="7" t="s">
        <v>304</v>
      </c>
      <c r="G292" s="8" t="s">
        <v>1318</v>
      </c>
      <c r="H292" s="7" t="s">
        <v>263</v>
      </c>
      <c r="I292" s="7" t="s">
        <v>1225</v>
      </c>
      <c r="J292" s="66" t="s">
        <v>1544</v>
      </c>
      <c r="K292" s="80" t="s">
        <v>1912</v>
      </c>
      <c r="L292" s="66"/>
      <c r="M292" s="2"/>
      <c r="N292" s="2"/>
      <c r="O292" s="66" t="s">
        <v>2209</v>
      </c>
      <c r="P292" s="66" t="s">
        <v>2053</v>
      </c>
      <c r="Q292" s="66"/>
      <c r="R292" s="66"/>
    </row>
    <row r="293" spans="1:18" ht="27.75" hidden="1" customHeight="1" x14ac:dyDescent="0.3">
      <c r="A293" s="8">
        <v>1202700010001</v>
      </c>
      <c r="B293" s="7" t="s">
        <v>1387</v>
      </c>
      <c r="C293" s="7" t="s">
        <v>1388</v>
      </c>
      <c r="D293" s="7">
        <v>2002</v>
      </c>
      <c r="E293" s="7" t="s">
        <v>4</v>
      </c>
      <c r="F293" s="7" t="s">
        <v>1389</v>
      </c>
      <c r="G293" s="8" t="s">
        <v>1390</v>
      </c>
      <c r="H293" s="7" t="s">
        <v>263</v>
      </c>
      <c r="I293" s="7" t="s">
        <v>1225</v>
      </c>
      <c r="J293" s="65" t="s">
        <v>1544</v>
      </c>
      <c r="K293" s="85" t="s">
        <v>1553</v>
      </c>
      <c r="L293" s="65" t="s">
        <v>1571</v>
      </c>
      <c r="M293" s="65" t="s">
        <v>1609</v>
      </c>
      <c r="N293" s="64" t="s">
        <v>2116</v>
      </c>
      <c r="O293" s="65"/>
      <c r="P293" s="65" t="s">
        <v>2053</v>
      </c>
      <c r="Q293" s="65"/>
      <c r="R293" s="65"/>
    </row>
    <row r="294" spans="1:18" ht="27.75" hidden="1" customHeight="1" x14ac:dyDescent="0.3">
      <c r="A294" s="8">
        <v>1204700020003</v>
      </c>
      <c r="B294" s="7" t="s">
        <v>13</v>
      </c>
      <c r="C294" s="7" t="s">
        <v>1209</v>
      </c>
      <c r="D294" s="7">
        <v>2008</v>
      </c>
      <c r="E294" s="7" t="s">
        <v>19</v>
      </c>
      <c r="F294" s="7" t="s">
        <v>10</v>
      </c>
      <c r="G294" s="8" t="s">
        <v>1210</v>
      </c>
      <c r="H294" s="7" t="s">
        <v>35</v>
      </c>
      <c r="I294" s="7" t="s">
        <v>1199</v>
      </c>
      <c r="J294" s="110" t="s">
        <v>1498</v>
      </c>
      <c r="K294" s="11" t="s">
        <v>1912</v>
      </c>
      <c r="L294" s="2" t="s">
        <v>1564</v>
      </c>
      <c r="M294" s="2" t="s">
        <v>2512</v>
      </c>
      <c r="N294" s="2" t="s">
        <v>2513</v>
      </c>
      <c r="O294" s="2" t="s">
        <v>2635</v>
      </c>
      <c r="P294" s="66" t="s">
        <v>2024</v>
      </c>
      <c r="Q294" s="66" t="s">
        <v>2025</v>
      </c>
      <c r="R294" s="66"/>
    </row>
    <row r="295" spans="1:18" ht="27.75" hidden="1" customHeight="1" x14ac:dyDescent="0.3">
      <c r="A295" s="8">
        <v>1204700020003</v>
      </c>
      <c r="B295" s="7" t="s">
        <v>13</v>
      </c>
      <c r="C295" s="90" t="s">
        <v>575</v>
      </c>
      <c r="D295" s="7">
        <v>2002</v>
      </c>
      <c r="E295" s="7" t="s">
        <v>4</v>
      </c>
      <c r="F295" s="7" t="s">
        <v>10</v>
      </c>
      <c r="G295" s="8" t="s">
        <v>576</v>
      </c>
      <c r="H295" s="7" t="s">
        <v>263</v>
      </c>
      <c r="I295" s="7" t="s">
        <v>568</v>
      </c>
      <c r="J295" s="65" t="s">
        <v>1487</v>
      </c>
      <c r="K295" s="71" t="s">
        <v>1912</v>
      </c>
      <c r="L295" s="65"/>
      <c r="M295" s="2"/>
      <c r="N295" s="2"/>
      <c r="O295" s="2" t="s">
        <v>2353</v>
      </c>
      <c r="P295" s="65" t="s">
        <v>2034</v>
      </c>
      <c r="Q295" s="65" t="s">
        <v>2035</v>
      </c>
      <c r="R295" s="65"/>
    </row>
    <row r="296" spans="1:18" ht="27.75" hidden="1" customHeight="1" x14ac:dyDescent="0.3">
      <c r="A296" s="58">
        <v>1106700020003</v>
      </c>
      <c r="B296" s="7" t="s">
        <v>54</v>
      </c>
      <c r="C296" s="7" t="s">
        <v>208</v>
      </c>
      <c r="D296" s="70">
        <v>2014</v>
      </c>
      <c r="E296" s="7" t="s">
        <v>19</v>
      </c>
      <c r="F296" s="7" t="s">
        <v>56</v>
      </c>
      <c r="G296" s="8" t="s">
        <v>209</v>
      </c>
      <c r="H296" s="7" t="s">
        <v>35</v>
      </c>
      <c r="I296" s="7" t="s">
        <v>205</v>
      </c>
      <c r="J296" s="66" t="s">
        <v>1525</v>
      </c>
      <c r="K296" s="80" t="s">
        <v>1912</v>
      </c>
      <c r="L296" s="66"/>
      <c r="M296" s="66"/>
      <c r="N296" s="69"/>
      <c r="O296" s="66" t="s">
        <v>2177</v>
      </c>
      <c r="P296" s="66" t="s">
        <v>1525</v>
      </c>
      <c r="Q296" s="66" t="s">
        <v>2015</v>
      </c>
      <c r="R296" s="66"/>
    </row>
    <row r="297" spans="1:18" ht="27.75" hidden="1" customHeight="1" x14ac:dyDescent="0.3">
      <c r="A297" s="58">
        <v>1106700020003</v>
      </c>
      <c r="B297" s="7" t="s">
        <v>54</v>
      </c>
      <c r="C297" s="7" t="s">
        <v>899</v>
      </c>
      <c r="D297" s="70">
        <v>2012</v>
      </c>
      <c r="E297" s="7" t="s">
        <v>19</v>
      </c>
      <c r="F297" s="7" t="s">
        <v>56</v>
      </c>
      <c r="G297" s="8" t="s">
        <v>900</v>
      </c>
      <c r="H297" s="7" t="s">
        <v>35</v>
      </c>
      <c r="I297" s="7" t="s">
        <v>896</v>
      </c>
      <c r="J297" s="65" t="s">
        <v>1537</v>
      </c>
      <c r="K297" s="71" t="s">
        <v>1912</v>
      </c>
      <c r="L297" s="65"/>
      <c r="M297" s="65"/>
      <c r="N297" s="64"/>
      <c r="O297" s="65" t="s">
        <v>2205</v>
      </c>
      <c r="P297" s="65" t="s">
        <v>1537</v>
      </c>
      <c r="Q297" s="65" t="s">
        <v>2044</v>
      </c>
      <c r="R297" s="65"/>
    </row>
    <row r="298" spans="1:18" ht="27.75" hidden="1" customHeight="1" x14ac:dyDescent="0.3">
      <c r="A298" s="8">
        <v>1106700020010</v>
      </c>
      <c r="B298" s="7" t="s">
        <v>210</v>
      </c>
      <c r="C298" s="7" t="s">
        <v>797</v>
      </c>
      <c r="D298" s="7">
        <v>2006</v>
      </c>
      <c r="E298" s="7" t="s">
        <v>19</v>
      </c>
      <c r="F298" s="7" t="s">
        <v>56</v>
      </c>
      <c r="G298" s="8" t="s">
        <v>798</v>
      </c>
      <c r="H298" s="7" t="s">
        <v>35</v>
      </c>
      <c r="I298" s="7" t="s">
        <v>792</v>
      </c>
      <c r="J298" s="66" t="s">
        <v>1498</v>
      </c>
      <c r="K298" s="95" t="s">
        <v>1548</v>
      </c>
      <c r="L298" s="66" t="s">
        <v>1571</v>
      </c>
      <c r="M298" s="2" t="s">
        <v>2145</v>
      </c>
      <c r="N298" s="2" t="s">
        <v>2146</v>
      </c>
      <c r="O298" s="66"/>
      <c r="P298" s="66" t="s">
        <v>2024</v>
      </c>
      <c r="Q298" s="66" t="s">
        <v>2027</v>
      </c>
      <c r="R298" s="66"/>
    </row>
    <row r="299" spans="1:18" ht="27.75" hidden="1" customHeight="1" x14ac:dyDescent="0.3">
      <c r="A299" s="8">
        <v>1204700020003</v>
      </c>
      <c r="B299" s="7" t="s">
        <v>13</v>
      </c>
      <c r="C299" s="94" t="s">
        <v>1399</v>
      </c>
      <c r="D299" s="7">
        <v>2006</v>
      </c>
      <c r="E299" s="7" t="s">
        <v>19</v>
      </c>
      <c r="F299" s="7" t="s">
        <v>10</v>
      </c>
      <c r="G299" s="8" t="s">
        <v>1400</v>
      </c>
      <c r="H299" s="7" t="s">
        <v>263</v>
      </c>
      <c r="I299" s="7" t="s">
        <v>1225</v>
      </c>
      <c r="J299" s="65" t="s">
        <v>1544</v>
      </c>
      <c r="K299" s="65" t="s">
        <v>1548</v>
      </c>
      <c r="L299" s="65" t="s">
        <v>1564</v>
      </c>
      <c r="M299" s="65" t="s">
        <v>2121</v>
      </c>
      <c r="N299" s="64" t="s">
        <v>2122</v>
      </c>
      <c r="O299" s="65"/>
      <c r="P299" s="65" t="s">
        <v>2053</v>
      </c>
      <c r="Q299" s="65"/>
      <c r="R299" s="65" t="s">
        <v>2124</v>
      </c>
    </row>
    <row r="300" spans="1:18" ht="27.75" hidden="1" customHeight="1" x14ac:dyDescent="0.3">
      <c r="A300" s="8">
        <v>1204700020003</v>
      </c>
      <c r="B300" s="7" t="s">
        <v>13</v>
      </c>
      <c r="C300" s="90" t="s">
        <v>1395</v>
      </c>
      <c r="D300" s="7">
        <v>2009</v>
      </c>
      <c r="E300" s="7" t="s">
        <v>19</v>
      </c>
      <c r="F300" s="7" t="s">
        <v>10</v>
      </c>
      <c r="G300" s="8" t="s">
        <v>1396</v>
      </c>
      <c r="H300" s="7" t="s">
        <v>263</v>
      </c>
      <c r="I300" s="7" t="s">
        <v>1225</v>
      </c>
      <c r="J300" s="65" t="s">
        <v>1544</v>
      </c>
      <c r="K300" s="11" t="s">
        <v>1912</v>
      </c>
      <c r="L300" s="2"/>
      <c r="M300" s="2"/>
      <c r="N300" s="2"/>
      <c r="O300" s="2" t="s">
        <v>2391</v>
      </c>
      <c r="P300" s="65" t="s">
        <v>2053</v>
      </c>
      <c r="Q300" s="65"/>
      <c r="R300" s="65" t="s">
        <v>2124</v>
      </c>
    </row>
    <row r="301" spans="1:18" ht="27.75" hidden="1" customHeight="1" x14ac:dyDescent="0.3">
      <c r="A301" s="8">
        <v>1204700020003</v>
      </c>
      <c r="B301" s="7" t="s">
        <v>13</v>
      </c>
      <c r="C301" s="7" t="s">
        <v>14</v>
      </c>
      <c r="D301" s="7">
        <v>2005</v>
      </c>
      <c r="E301" s="7" t="s">
        <v>4</v>
      </c>
      <c r="F301" s="7" t="s">
        <v>15</v>
      </c>
      <c r="G301" s="8" t="s">
        <v>16</v>
      </c>
      <c r="H301" s="7" t="s">
        <v>0</v>
      </c>
      <c r="I301" s="7" t="s">
        <v>12</v>
      </c>
      <c r="J301" s="65" t="s">
        <v>1544</v>
      </c>
      <c r="K301" s="65" t="s">
        <v>1548</v>
      </c>
      <c r="L301" s="65" t="s">
        <v>1564</v>
      </c>
      <c r="M301" s="65" t="s">
        <v>2121</v>
      </c>
      <c r="N301" s="64" t="s">
        <v>2122</v>
      </c>
      <c r="O301" s="65"/>
      <c r="P301" s="65" t="s">
        <v>2053</v>
      </c>
      <c r="Q301" s="65"/>
      <c r="R301" s="65" t="s">
        <v>2124</v>
      </c>
    </row>
    <row r="302" spans="1:18" ht="27.75" hidden="1" customHeight="1" x14ac:dyDescent="0.3">
      <c r="A302" s="8">
        <v>1204700020003</v>
      </c>
      <c r="B302" s="7" t="s">
        <v>13</v>
      </c>
      <c r="C302" s="94" t="s">
        <v>1393</v>
      </c>
      <c r="D302" s="7">
        <v>2006</v>
      </c>
      <c r="E302" s="7" t="s">
        <v>19</v>
      </c>
      <c r="F302" s="7" t="s">
        <v>10</v>
      </c>
      <c r="G302" s="8" t="s">
        <v>1394</v>
      </c>
      <c r="H302" s="7" t="s">
        <v>263</v>
      </c>
      <c r="I302" s="7" t="s">
        <v>1225</v>
      </c>
      <c r="J302" s="65" t="s">
        <v>1544</v>
      </c>
      <c r="K302" s="65" t="s">
        <v>1548</v>
      </c>
      <c r="L302" s="65" t="s">
        <v>1564</v>
      </c>
      <c r="M302" s="65" t="s">
        <v>2121</v>
      </c>
      <c r="N302" s="64" t="s">
        <v>2122</v>
      </c>
      <c r="O302" s="65"/>
      <c r="P302" s="65" t="s">
        <v>2053</v>
      </c>
      <c r="Q302" s="65"/>
      <c r="R302" s="65" t="s">
        <v>2124</v>
      </c>
    </row>
    <row r="303" spans="1:18" ht="27.75" hidden="1" customHeight="1" x14ac:dyDescent="0.3">
      <c r="A303" s="8">
        <v>1106700010003</v>
      </c>
      <c r="B303" s="7" t="s">
        <v>102</v>
      </c>
      <c r="C303" s="7" t="s">
        <v>668</v>
      </c>
      <c r="D303" s="7">
        <v>1989</v>
      </c>
      <c r="E303" s="7" t="s">
        <v>19</v>
      </c>
      <c r="F303" s="7" t="s">
        <v>104</v>
      </c>
      <c r="G303" s="8">
        <v>34600155386726</v>
      </c>
      <c r="H303" s="7" t="s">
        <v>263</v>
      </c>
      <c r="I303" s="7" t="s">
        <v>632</v>
      </c>
      <c r="J303" s="2" t="s">
        <v>1544</v>
      </c>
      <c r="K303" s="11" t="s">
        <v>2098</v>
      </c>
      <c r="L303" s="2"/>
      <c r="M303" s="2"/>
      <c r="N303" s="2"/>
      <c r="O303" s="2" t="s">
        <v>2362</v>
      </c>
      <c r="P303" s="66" t="s">
        <v>1518</v>
      </c>
      <c r="Q303" s="66" t="s">
        <v>1988</v>
      </c>
      <c r="R303" s="66"/>
    </row>
    <row r="304" spans="1:18" ht="27.75" hidden="1" customHeight="1" x14ac:dyDescent="0.3">
      <c r="A304" s="8">
        <v>1204700030001</v>
      </c>
      <c r="B304" s="7" t="s">
        <v>17</v>
      </c>
      <c r="C304" s="7" t="s">
        <v>733</v>
      </c>
      <c r="D304" s="7">
        <v>2013</v>
      </c>
      <c r="E304" s="7" t="s">
        <v>19</v>
      </c>
      <c r="F304" s="7" t="s">
        <v>20</v>
      </c>
      <c r="G304" s="8" t="s">
        <v>734</v>
      </c>
      <c r="H304" s="7" t="s">
        <v>723</v>
      </c>
      <c r="I304" s="7" t="s">
        <v>724</v>
      </c>
      <c r="J304" s="110" t="s">
        <v>1557</v>
      </c>
      <c r="K304" s="11" t="s">
        <v>1912</v>
      </c>
      <c r="L304" s="2" t="s">
        <v>1571</v>
      </c>
      <c r="M304" s="2" t="s">
        <v>1609</v>
      </c>
      <c r="N304" s="2" t="s">
        <v>2122</v>
      </c>
      <c r="O304" s="2" t="s">
        <v>2434</v>
      </c>
      <c r="P304" s="65"/>
      <c r="Q304" s="65"/>
      <c r="R304" s="65" t="s">
        <v>2124</v>
      </c>
    </row>
    <row r="305" spans="1:18" ht="27.75" hidden="1" customHeight="1" x14ac:dyDescent="0.3">
      <c r="A305" s="8">
        <v>1208700040004</v>
      </c>
      <c r="B305" s="7" t="s">
        <v>410</v>
      </c>
      <c r="C305" s="7" t="s">
        <v>411</v>
      </c>
      <c r="D305" s="7">
        <v>2009</v>
      </c>
      <c r="E305" s="7" t="s">
        <v>19</v>
      </c>
      <c r="F305" s="7" t="s">
        <v>42</v>
      </c>
      <c r="G305" s="8" t="s">
        <v>412</v>
      </c>
      <c r="H305" s="7" t="s">
        <v>263</v>
      </c>
      <c r="I305" s="7" t="s">
        <v>270</v>
      </c>
      <c r="J305" s="66" t="s">
        <v>1557</v>
      </c>
      <c r="K305" s="66" t="s">
        <v>1548</v>
      </c>
      <c r="L305" s="66" t="s">
        <v>1571</v>
      </c>
      <c r="M305" s="66" t="s">
        <v>1609</v>
      </c>
      <c r="N305" s="69" t="s">
        <v>2122</v>
      </c>
      <c r="O305" s="66"/>
      <c r="P305" s="66"/>
      <c r="Q305" s="66"/>
      <c r="R305" s="65" t="s">
        <v>2124</v>
      </c>
    </row>
    <row r="306" spans="1:18" ht="27.75" hidden="1" customHeight="1" x14ac:dyDescent="0.3">
      <c r="A306" s="8">
        <v>1208700030004</v>
      </c>
      <c r="B306" s="7" t="s">
        <v>406</v>
      </c>
      <c r="C306" s="7" t="s">
        <v>407</v>
      </c>
      <c r="D306" s="7">
        <v>2008</v>
      </c>
      <c r="E306" s="7" t="s">
        <v>19</v>
      </c>
      <c r="F306" s="7" t="s">
        <v>408</v>
      </c>
      <c r="G306" s="8" t="s">
        <v>409</v>
      </c>
      <c r="H306" s="7" t="s">
        <v>263</v>
      </c>
      <c r="I306" s="7" t="s">
        <v>270</v>
      </c>
      <c r="J306" s="65" t="s">
        <v>1557</v>
      </c>
      <c r="K306" s="11" t="s">
        <v>1912</v>
      </c>
      <c r="L306" s="2" t="s">
        <v>1571</v>
      </c>
      <c r="M306" s="2" t="s">
        <v>1609</v>
      </c>
      <c r="N306" s="2" t="s">
        <v>2122</v>
      </c>
      <c r="O306" s="2" t="s">
        <v>2434</v>
      </c>
      <c r="P306" s="65"/>
      <c r="Q306" s="65"/>
      <c r="R306" s="65" t="s">
        <v>2124</v>
      </c>
    </row>
    <row r="307" spans="1:18" ht="27.75" hidden="1" customHeight="1" x14ac:dyDescent="0.3">
      <c r="A307" s="8">
        <v>1205700010002</v>
      </c>
      <c r="B307" s="7" t="s">
        <v>32</v>
      </c>
      <c r="C307" s="7" t="s">
        <v>735</v>
      </c>
      <c r="D307" s="7">
        <v>2006</v>
      </c>
      <c r="E307" s="7" t="s">
        <v>4</v>
      </c>
      <c r="F307" s="7" t="s">
        <v>20</v>
      </c>
      <c r="G307" s="8" t="s">
        <v>736</v>
      </c>
      <c r="H307" s="7" t="s">
        <v>723</v>
      </c>
      <c r="I307" s="7" t="s">
        <v>724</v>
      </c>
      <c r="J307" s="66" t="s">
        <v>1557</v>
      </c>
      <c r="K307" s="66" t="s">
        <v>1548</v>
      </c>
      <c r="L307" s="66" t="s">
        <v>1571</v>
      </c>
      <c r="M307" s="66" t="s">
        <v>1609</v>
      </c>
      <c r="N307" s="69" t="s">
        <v>2122</v>
      </c>
      <c r="O307" s="66"/>
      <c r="P307" s="66"/>
      <c r="Q307" s="66"/>
      <c r="R307" s="65" t="s">
        <v>2124</v>
      </c>
    </row>
    <row r="308" spans="1:18" ht="27.75" hidden="1" customHeight="1" x14ac:dyDescent="0.3">
      <c r="A308" s="8">
        <v>1205700030007</v>
      </c>
      <c r="B308" s="7" t="s">
        <v>701</v>
      </c>
      <c r="C308" s="7" t="s">
        <v>702</v>
      </c>
      <c r="D308" s="7">
        <v>2013</v>
      </c>
      <c r="E308" s="7" t="s">
        <v>9</v>
      </c>
      <c r="F308" s="7" t="s">
        <v>236</v>
      </c>
      <c r="G308" s="8" t="s">
        <v>703</v>
      </c>
      <c r="H308" s="7" t="s">
        <v>263</v>
      </c>
      <c r="I308" s="7" t="s">
        <v>632</v>
      </c>
      <c r="J308" s="65" t="s">
        <v>1557</v>
      </c>
      <c r="K308" s="65" t="s">
        <v>1548</v>
      </c>
      <c r="L308" s="65" t="s">
        <v>1571</v>
      </c>
      <c r="M308" s="65" t="s">
        <v>1609</v>
      </c>
      <c r="N308" s="64" t="s">
        <v>2122</v>
      </c>
      <c r="O308" s="65"/>
      <c r="P308" s="65"/>
      <c r="Q308" s="65"/>
      <c r="R308" s="65" t="s">
        <v>2124</v>
      </c>
    </row>
    <row r="309" spans="1:18" ht="27.75" hidden="1" customHeight="1" x14ac:dyDescent="0.3">
      <c r="A309" s="8">
        <v>1207700010001</v>
      </c>
      <c r="B309" s="7" t="s">
        <v>391</v>
      </c>
      <c r="C309" s="7" t="s">
        <v>392</v>
      </c>
      <c r="D309" s="7">
        <v>1981</v>
      </c>
      <c r="E309" s="7" t="s">
        <v>393</v>
      </c>
      <c r="F309" s="7" t="s">
        <v>394</v>
      </c>
      <c r="G309" s="8">
        <v>34631154799996</v>
      </c>
      <c r="H309" s="7" t="s">
        <v>263</v>
      </c>
      <c r="I309" s="7" t="s">
        <v>270</v>
      </c>
      <c r="J309" s="66" t="s">
        <v>1557</v>
      </c>
      <c r="K309" s="66" t="s">
        <v>1548</v>
      </c>
      <c r="L309" s="66" t="s">
        <v>1571</v>
      </c>
      <c r="M309" s="66" t="s">
        <v>1609</v>
      </c>
      <c r="N309" s="69" t="s">
        <v>2122</v>
      </c>
      <c r="O309" s="66"/>
      <c r="P309" s="66"/>
      <c r="Q309" s="66"/>
      <c r="R309" s="66" t="s">
        <v>2124</v>
      </c>
    </row>
    <row r="310" spans="1:18" ht="27.75" hidden="1" customHeight="1" x14ac:dyDescent="0.3">
      <c r="A310" s="8">
        <v>1207700010001</v>
      </c>
      <c r="B310" s="7" t="s">
        <v>391</v>
      </c>
      <c r="C310" s="7" t="s">
        <v>1453</v>
      </c>
      <c r="D310" s="7">
        <v>1989</v>
      </c>
      <c r="E310" s="7" t="s">
        <v>393</v>
      </c>
      <c r="F310" s="7" t="s">
        <v>394</v>
      </c>
      <c r="G310" s="8">
        <v>43700855346031</v>
      </c>
      <c r="H310" s="7" t="s">
        <v>263</v>
      </c>
      <c r="I310" s="7" t="s">
        <v>270</v>
      </c>
      <c r="J310" s="65" t="s">
        <v>1557</v>
      </c>
      <c r="K310" s="65" t="s">
        <v>1548</v>
      </c>
      <c r="L310" s="65" t="s">
        <v>1571</v>
      </c>
      <c r="M310" s="65" t="s">
        <v>1609</v>
      </c>
      <c r="N310" s="64" t="s">
        <v>2122</v>
      </c>
      <c r="O310" s="65"/>
      <c r="P310" s="65"/>
      <c r="Q310" s="65"/>
      <c r="R310" s="65" t="s">
        <v>2124</v>
      </c>
    </row>
    <row r="311" spans="1:18" ht="27.75" hidden="1" customHeight="1" x14ac:dyDescent="0.3">
      <c r="A311" s="8">
        <v>1207700020001</v>
      </c>
      <c r="B311" s="7" t="s">
        <v>704</v>
      </c>
      <c r="C311" s="7" t="s">
        <v>705</v>
      </c>
      <c r="D311" s="7">
        <v>1989</v>
      </c>
      <c r="E311" s="7" t="s">
        <v>706</v>
      </c>
      <c r="F311" s="7" t="s">
        <v>104</v>
      </c>
      <c r="G311" s="8">
        <v>39904755346001</v>
      </c>
      <c r="H311" s="7" t="s">
        <v>263</v>
      </c>
      <c r="I311" s="7" t="s">
        <v>632</v>
      </c>
      <c r="J311" s="66" t="s">
        <v>1557</v>
      </c>
      <c r="K311" s="11" t="s">
        <v>1912</v>
      </c>
      <c r="L311" s="2" t="s">
        <v>1571</v>
      </c>
      <c r="M311" s="2" t="s">
        <v>2129</v>
      </c>
      <c r="N311" s="2" t="s">
        <v>2122</v>
      </c>
      <c r="O311" s="2" t="s">
        <v>2434</v>
      </c>
      <c r="P311" s="66"/>
      <c r="Q311" s="66"/>
      <c r="R311" s="66" t="s">
        <v>2124</v>
      </c>
    </row>
    <row r="312" spans="1:18" ht="27.75" hidden="1" customHeight="1" x14ac:dyDescent="0.3">
      <c r="A312" s="75">
        <v>1101700010006</v>
      </c>
      <c r="B312" s="7" t="s">
        <v>2075</v>
      </c>
      <c r="C312" s="7" t="s">
        <v>108</v>
      </c>
      <c r="D312" s="7">
        <v>2015</v>
      </c>
      <c r="E312" s="7" t="s">
        <v>19</v>
      </c>
      <c r="F312" s="7" t="s">
        <v>52</v>
      </c>
      <c r="G312" s="8" t="s">
        <v>109</v>
      </c>
      <c r="H312" s="7" t="s">
        <v>35</v>
      </c>
      <c r="I312" s="7" t="s">
        <v>107</v>
      </c>
      <c r="J312" s="65" t="s">
        <v>1471</v>
      </c>
      <c r="K312" s="65" t="s">
        <v>1548</v>
      </c>
      <c r="L312" s="65" t="s">
        <v>1564</v>
      </c>
      <c r="M312" s="65" t="s">
        <v>2140</v>
      </c>
      <c r="N312" s="64" t="s">
        <v>2139</v>
      </c>
      <c r="O312" s="65"/>
      <c r="P312" s="65" t="s">
        <v>1471</v>
      </c>
      <c r="Q312" s="65" t="s">
        <v>1995</v>
      </c>
      <c r="R312" s="65"/>
    </row>
    <row r="313" spans="1:18" ht="27.75" hidden="1" customHeight="1" x14ac:dyDescent="0.3">
      <c r="A313" s="75">
        <v>1101700010006</v>
      </c>
      <c r="B313" s="7" t="s">
        <v>2075</v>
      </c>
      <c r="C313" s="7" t="s">
        <v>742</v>
      </c>
      <c r="D313" s="7">
        <v>2015</v>
      </c>
      <c r="E313" s="7" t="s">
        <v>19</v>
      </c>
      <c r="F313" s="7" t="s">
        <v>52</v>
      </c>
      <c r="G313" s="8" t="s">
        <v>743</v>
      </c>
      <c r="H313" s="7" t="s">
        <v>35</v>
      </c>
      <c r="I313" s="7" t="s">
        <v>741</v>
      </c>
      <c r="J313" s="2" t="s">
        <v>1487</v>
      </c>
      <c r="K313" s="11" t="s">
        <v>1912</v>
      </c>
      <c r="L313" s="2" t="s">
        <v>1565</v>
      </c>
      <c r="M313" s="2" t="s">
        <v>2471</v>
      </c>
      <c r="N313" s="2" t="s">
        <v>2472</v>
      </c>
      <c r="O313" s="2" t="s">
        <v>2478</v>
      </c>
      <c r="P313" s="66" t="s">
        <v>2034</v>
      </c>
      <c r="Q313" s="66" t="s">
        <v>2039</v>
      </c>
      <c r="R313" s="66"/>
    </row>
    <row r="314" spans="1:18" ht="27.75" hidden="1" customHeight="1" x14ac:dyDescent="0.3">
      <c r="A314" s="8">
        <v>1201700020002</v>
      </c>
      <c r="B314" s="7" t="s">
        <v>1375</v>
      </c>
      <c r="C314" s="7" t="s">
        <v>1381</v>
      </c>
      <c r="D314" s="7">
        <v>2015</v>
      </c>
      <c r="E314" s="7" t="s">
        <v>19</v>
      </c>
      <c r="F314" s="7" t="s">
        <v>1377</v>
      </c>
      <c r="G314" s="8" t="s">
        <v>1382</v>
      </c>
      <c r="H314" s="7" t="s">
        <v>263</v>
      </c>
      <c r="I314" s="7" t="s">
        <v>1225</v>
      </c>
      <c r="J314" s="2" t="s">
        <v>1537</v>
      </c>
      <c r="K314" s="11" t="s">
        <v>1912</v>
      </c>
      <c r="L314" s="2" t="s">
        <v>1613</v>
      </c>
      <c r="M314" s="2" t="s">
        <v>1613</v>
      </c>
      <c r="N314" s="2" t="s">
        <v>2529</v>
      </c>
      <c r="O314" s="2" t="s">
        <v>2534</v>
      </c>
      <c r="P314" s="65" t="s">
        <v>1537</v>
      </c>
      <c r="Q314" s="65" t="s">
        <v>2040</v>
      </c>
      <c r="R314" s="65"/>
    </row>
    <row r="315" spans="1:18" ht="27.75" hidden="1" customHeight="1" x14ac:dyDescent="0.3">
      <c r="A315" s="8">
        <v>1207700040004</v>
      </c>
      <c r="B315" s="7" t="s">
        <v>395</v>
      </c>
      <c r="C315" s="7" t="s">
        <v>1411</v>
      </c>
      <c r="D315" s="7">
        <v>2018</v>
      </c>
      <c r="E315" s="7" t="s">
        <v>19</v>
      </c>
      <c r="F315" s="7" t="s">
        <v>397</v>
      </c>
      <c r="G315" s="8" t="s">
        <v>1412</v>
      </c>
      <c r="H315" s="7" t="s">
        <v>263</v>
      </c>
      <c r="I315" s="7" t="s">
        <v>1225</v>
      </c>
      <c r="J315" s="66" t="s">
        <v>1498</v>
      </c>
      <c r="K315" s="80" t="s">
        <v>1912</v>
      </c>
      <c r="L315" s="66"/>
      <c r="M315" s="2"/>
      <c r="N315" s="2"/>
      <c r="O315" s="66" t="s">
        <v>2245</v>
      </c>
      <c r="P315" s="66" t="s">
        <v>2024</v>
      </c>
      <c r="Q315" s="66" t="s">
        <v>2025</v>
      </c>
      <c r="R315" s="66"/>
    </row>
    <row r="316" spans="1:18" ht="27.75" hidden="1" customHeight="1" x14ac:dyDescent="0.3">
      <c r="A316" s="8">
        <v>1206700030002</v>
      </c>
      <c r="B316" s="7" t="s">
        <v>1216</v>
      </c>
      <c r="C316" s="7" t="s">
        <v>1217</v>
      </c>
      <c r="D316" s="7">
        <v>2002</v>
      </c>
      <c r="E316" s="7" t="s">
        <v>4</v>
      </c>
      <c r="F316" s="7" t="s">
        <v>739</v>
      </c>
      <c r="G316" s="8" t="s">
        <v>1218</v>
      </c>
      <c r="H316" s="7" t="s">
        <v>35</v>
      </c>
      <c r="I316" s="7" t="s">
        <v>1199</v>
      </c>
      <c r="J316" s="65" t="s">
        <v>1544</v>
      </c>
      <c r="K316" s="11" t="s">
        <v>2098</v>
      </c>
      <c r="L316" s="2"/>
      <c r="M316" s="2"/>
      <c r="N316" s="2"/>
      <c r="O316" s="2" t="s">
        <v>2385</v>
      </c>
      <c r="P316" s="65" t="s">
        <v>2053</v>
      </c>
      <c r="Q316" s="65"/>
      <c r="R316" s="65"/>
    </row>
    <row r="317" spans="1:18" ht="27.75" hidden="1" customHeight="1" x14ac:dyDescent="0.3">
      <c r="A317" s="74">
        <v>1105700150003</v>
      </c>
      <c r="B317" s="7" t="s">
        <v>1200</v>
      </c>
      <c r="C317" s="7" t="s">
        <v>1201</v>
      </c>
      <c r="D317" s="7">
        <v>2005</v>
      </c>
      <c r="E317" s="7" t="s">
        <v>19</v>
      </c>
      <c r="F317" s="7" t="s">
        <v>42</v>
      </c>
      <c r="G317" s="8" t="s">
        <v>1202</v>
      </c>
      <c r="H317" s="7" t="s">
        <v>35</v>
      </c>
      <c r="I317" s="7" t="s">
        <v>1199</v>
      </c>
      <c r="J317" s="2" t="s">
        <v>1493</v>
      </c>
      <c r="K317" s="11" t="s">
        <v>1912</v>
      </c>
      <c r="L317" s="2"/>
      <c r="M317" s="2" t="s">
        <v>2148</v>
      </c>
      <c r="N317" s="2" t="s">
        <v>2147</v>
      </c>
      <c r="O317" s="2" t="s">
        <v>2413</v>
      </c>
      <c r="P317" s="66" t="s">
        <v>2045</v>
      </c>
      <c r="Q317" s="66" t="s">
        <v>2046</v>
      </c>
      <c r="R317" s="66"/>
    </row>
    <row r="318" spans="1:18" ht="27.75" hidden="1" customHeight="1" x14ac:dyDescent="0.3">
      <c r="A318" s="74">
        <v>1105700010004</v>
      </c>
      <c r="B318" s="83" t="s">
        <v>454</v>
      </c>
      <c r="C318" s="7" t="s">
        <v>469</v>
      </c>
      <c r="D318" s="7">
        <v>2015</v>
      </c>
      <c r="E318" s="7" t="s">
        <v>19</v>
      </c>
      <c r="F318" s="7" t="s">
        <v>42</v>
      </c>
      <c r="G318" s="8" t="s">
        <v>470</v>
      </c>
      <c r="H318" s="7" t="s">
        <v>263</v>
      </c>
      <c r="I318" s="7" t="s">
        <v>465</v>
      </c>
      <c r="J318" s="2" t="s">
        <v>1487</v>
      </c>
      <c r="K318" s="11" t="s">
        <v>1912</v>
      </c>
      <c r="L318" s="2" t="s">
        <v>1565</v>
      </c>
      <c r="M318" s="2" t="s">
        <v>2429</v>
      </c>
      <c r="N318" s="2" t="s">
        <v>2430</v>
      </c>
      <c r="O318" s="2" t="s">
        <v>2433</v>
      </c>
      <c r="P318" s="65" t="s">
        <v>2034</v>
      </c>
      <c r="Q318" s="65" t="s">
        <v>2039</v>
      </c>
      <c r="R318" s="65"/>
    </row>
    <row r="319" spans="1:18" ht="27.75" hidden="1" customHeight="1" x14ac:dyDescent="0.3">
      <c r="A319" s="58">
        <v>1106700020003</v>
      </c>
      <c r="B319" s="7" t="s">
        <v>54</v>
      </c>
      <c r="C319" s="7" t="s">
        <v>749</v>
      </c>
      <c r="D319" s="70">
        <v>2014</v>
      </c>
      <c r="E319" s="7" t="s">
        <v>19</v>
      </c>
      <c r="F319" s="7" t="s">
        <v>56</v>
      </c>
      <c r="G319" s="8" t="s">
        <v>750</v>
      </c>
      <c r="H319" s="7" t="s">
        <v>35</v>
      </c>
      <c r="I319" s="7" t="s">
        <v>746</v>
      </c>
      <c r="J319" s="66" t="s">
        <v>1487</v>
      </c>
      <c r="K319" s="11" t="s">
        <v>1912</v>
      </c>
      <c r="L319" s="2"/>
      <c r="M319" s="2"/>
      <c r="N319" s="2"/>
      <c r="O319" s="2" t="s">
        <v>2395</v>
      </c>
      <c r="P319" s="66" t="s">
        <v>2034</v>
      </c>
      <c r="Q319" s="66" t="s">
        <v>2036</v>
      </c>
      <c r="R319" s="66"/>
    </row>
    <row r="320" spans="1:18" ht="27.75" hidden="1" customHeight="1" x14ac:dyDescent="0.3">
      <c r="A320" s="8">
        <v>1101700010006</v>
      </c>
      <c r="B320" s="7" t="s">
        <v>50</v>
      </c>
      <c r="C320" s="7" t="s">
        <v>1232</v>
      </c>
      <c r="D320" s="7">
        <v>2010</v>
      </c>
      <c r="E320" s="7" t="s">
        <v>19</v>
      </c>
      <c r="F320" s="7" t="s">
        <v>52</v>
      </c>
      <c r="G320" s="8" t="s">
        <v>1233</v>
      </c>
      <c r="H320" s="7" t="s">
        <v>263</v>
      </c>
      <c r="I320" s="7" t="s">
        <v>1225</v>
      </c>
      <c r="J320" s="2" t="s">
        <v>1471</v>
      </c>
      <c r="K320" s="2" t="s">
        <v>1548</v>
      </c>
      <c r="L320" s="2" t="s">
        <v>1565</v>
      </c>
      <c r="M320" s="2" t="s">
        <v>2695</v>
      </c>
      <c r="N320" s="2" t="s">
        <v>2694</v>
      </c>
      <c r="O320" s="2" t="s">
        <v>2672</v>
      </c>
      <c r="P320" s="65" t="s">
        <v>1471</v>
      </c>
      <c r="Q320" s="65" t="s">
        <v>1995</v>
      </c>
      <c r="R320" s="65"/>
    </row>
    <row r="321" spans="1:18" ht="27.75" hidden="1" customHeight="1" x14ac:dyDescent="0.3">
      <c r="A321" s="58">
        <v>1106700020003</v>
      </c>
      <c r="B321" s="7" t="s">
        <v>54</v>
      </c>
      <c r="C321" s="7" t="s">
        <v>830</v>
      </c>
      <c r="D321" s="70">
        <v>2015</v>
      </c>
      <c r="E321" s="7" t="s">
        <v>19</v>
      </c>
      <c r="F321" s="7" t="s">
        <v>56</v>
      </c>
      <c r="G321" s="8" t="s">
        <v>831</v>
      </c>
      <c r="H321" s="7" t="s">
        <v>35</v>
      </c>
      <c r="I321" s="7" t="s">
        <v>827</v>
      </c>
      <c r="J321" s="66" t="s">
        <v>1531</v>
      </c>
      <c r="K321" s="80" t="s">
        <v>1912</v>
      </c>
      <c r="L321" s="66"/>
      <c r="M321" s="2"/>
      <c r="N321" s="2"/>
      <c r="O321" s="66" t="s">
        <v>2158</v>
      </c>
      <c r="P321" s="66" t="s">
        <v>1531</v>
      </c>
      <c r="Q321" s="66" t="s">
        <v>2020</v>
      </c>
      <c r="R321" s="66"/>
    </row>
    <row r="322" spans="1:18" ht="27.75" hidden="1" customHeight="1" x14ac:dyDescent="0.3">
      <c r="A322" s="8">
        <v>1204700020003</v>
      </c>
      <c r="B322" s="7" t="s">
        <v>13</v>
      </c>
      <c r="C322" s="90" t="s">
        <v>447</v>
      </c>
      <c r="D322" s="7">
        <v>2010</v>
      </c>
      <c r="E322" s="7" t="s">
        <v>19</v>
      </c>
      <c r="F322" s="96" t="s">
        <v>5</v>
      </c>
      <c r="G322" s="8" t="s">
        <v>448</v>
      </c>
      <c r="H322" s="7" t="s">
        <v>263</v>
      </c>
      <c r="I322" s="7" t="s">
        <v>430</v>
      </c>
      <c r="J322" s="110" t="s">
        <v>1506</v>
      </c>
      <c r="K322" s="11" t="s">
        <v>1912</v>
      </c>
      <c r="L322" s="2"/>
      <c r="M322" s="2" t="s">
        <v>1903</v>
      </c>
      <c r="N322" s="2" t="s">
        <v>2155</v>
      </c>
      <c r="O322" s="2" t="s">
        <v>2433</v>
      </c>
      <c r="P322" s="65" t="s">
        <v>1506</v>
      </c>
      <c r="Q322" s="65" t="s">
        <v>2004</v>
      </c>
      <c r="R322" s="2" t="s">
        <v>2156</v>
      </c>
    </row>
    <row r="323" spans="1:18" ht="27.75" hidden="1" customHeight="1" x14ac:dyDescent="0.3">
      <c r="A323" s="8">
        <v>1102700020004</v>
      </c>
      <c r="B323" s="7" t="s">
        <v>136</v>
      </c>
      <c r="C323" s="7" t="s">
        <v>286</v>
      </c>
      <c r="D323" s="7">
        <v>2013</v>
      </c>
      <c r="E323" s="7" t="s">
        <v>19</v>
      </c>
      <c r="F323" s="7" t="s">
        <v>66</v>
      </c>
      <c r="G323" s="8" t="s">
        <v>287</v>
      </c>
      <c r="H323" s="7" t="s">
        <v>263</v>
      </c>
      <c r="I323" s="7" t="s">
        <v>270</v>
      </c>
      <c r="J323" s="66" t="s">
        <v>1549</v>
      </c>
      <c r="K323" s="66" t="s">
        <v>1548</v>
      </c>
      <c r="L323" s="66" t="s">
        <v>1564</v>
      </c>
      <c r="M323" s="66" t="s">
        <v>2090</v>
      </c>
      <c r="N323" s="69" t="s">
        <v>2159</v>
      </c>
      <c r="O323" s="66"/>
      <c r="P323" s="66" t="s">
        <v>1471</v>
      </c>
      <c r="Q323" s="66" t="s">
        <v>1994</v>
      </c>
      <c r="R323" s="66"/>
    </row>
    <row r="324" spans="1:18" ht="27.75" customHeight="1" x14ac:dyDescent="0.3">
      <c r="A324" s="8">
        <v>1204700020003</v>
      </c>
      <c r="B324" s="7" t="s">
        <v>13</v>
      </c>
      <c r="C324" s="7" t="s">
        <v>141</v>
      </c>
      <c r="D324" s="7">
        <v>2001</v>
      </c>
      <c r="E324" s="91" t="s">
        <v>19</v>
      </c>
      <c r="F324" s="96" t="s">
        <v>10</v>
      </c>
      <c r="G324" s="8" t="s">
        <v>142</v>
      </c>
      <c r="H324" s="7" t="s">
        <v>35</v>
      </c>
      <c r="I324" s="7" t="s">
        <v>131</v>
      </c>
      <c r="J324" s="110" t="s">
        <v>1498</v>
      </c>
      <c r="K324" s="2" t="s">
        <v>1548</v>
      </c>
      <c r="L324" s="2" t="s">
        <v>1571</v>
      </c>
      <c r="M324" s="2" t="s">
        <v>2700</v>
      </c>
      <c r="N324" s="2" t="s">
        <v>2701</v>
      </c>
      <c r="O324" s="2" t="s">
        <v>2635</v>
      </c>
      <c r="P324" s="65" t="s">
        <v>2024</v>
      </c>
      <c r="Q324" s="65" t="s">
        <v>2028</v>
      </c>
      <c r="R324" s="65"/>
    </row>
    <row r="325" spans="1:18" ht="27.75" hidden="1" customHeight="1" x14ac:dyDescent="0.3">
      <c r="A325" s="8">
        <v>1102700020004</v>
      </c>
      <c r="B325" s="7" t="s">
        <v>136</v>
      </c>
      <c r="C325" s="7" t="s">
        <v>137</v>
      </c>
      <c r="D325" s="7">
        <v>2013</v>
      </c>
      <c r="E325" s="7" t="s">
        <v>19</v>
      </c>
      <c r="F325" s="7" t="s">
        <v>66</v>
      </c>
      <c r="G325" s="8" t="s">
        <v>138</v>
      </c>
      <c r="H325" s="7" t="s">
        <v>35</v>
      </c>
      <c r="I325" s="7" t="s">
        <v>131</v>
      </c>
      <c r="J325" s="2" t="s">
        <v>1498</v>
      </c>
      <c r="K325" s="11" t="s">
        <v>1912</v>
      </c>
      <c r="L325" s="2" t="s">
        <v>1571</v>
      </c>
      <c r="M325" s="2" t="s">
        <v>2483</v>
      </c>
      <c r="N325" s="2" t="s">
        <v>2480</v>
      </c>
      <c r="O325" s="2" t="s">
        <v>2492</v>
      </c>
      <c r="P325" s="66" t="s">
        <v>2024</v>
      </c>
      <c r="Q325" s="66" t="s">
        <v>2028</v>
      </c>
      <c r="R325" s="66"/>
    </row>
    <row r="326" spans="1:18" ht="27.75" hidden="1" customHeight="1" x14ac:dyDescent="0.3">
      <c r="A326" s="8">
        <v>1204700030001</v>
      </c>
      <c r="B326" s="7" t="s">
        <v>17</v>
      </c>
      <c r="C326" s="7" t="s">
        <v>695</v>
      </c>
      <c r="D326" s="7">
        <v>2009</v>
      </c>
      <c r="E326" s="7" t="s">
        <v>19</v>
      </c>
      <c r="F326" s="97" t="s">
        <v>384</v>
      </c>
      <c r="G326" s="8" t="s">
        <v>696</v>
      </c>
      <c r="H326" s="7" t="s">
        <v>263</v>
      </c>
      <c r="I326" s="7" t="s">
        <v>632</v>
      </c>
      <c r="J326" s="65" t="s">
        <v>1544</v>
      </c>
      <c r="K326" s="71" t="s">
        <v>1912</v>
      </c>
      <c r="L326" s="65"/>
      <c r="M326" s="65"/>
      <c r="N326" s="64"/>
      <c r="O326" s="65" t="s">
        <v>2169</v>
      </c>
      <c r="P326" s="65" t="s">
        <v>2053</v>
      </c>
      <c r="Q326" s="65"/>
      <c r="R326" s="65"/>
    </row>
    <row r="327" spans="1:18" ht="27.75" hidden="1" customHeight="1" x14ac:dyDescent="0.3">
      <c r="A327" s="8">
        <v>1204700020009</v>
      </c>
      <c r="B327" s="7" t="s">
        <v>29</v>
      </c>
      <c r="C327" s="7" t="s">
        <v>1191</v>
      </c>
      <c r="D327" s="7">
        <v>2016</v>
      </c>
      <c r="E327" s="7" t="s">
        <v>19</v>
      </c>
      <c r="F327" s="7" t="s">
        <v>261</v>
      </c>
      <c r="G327" s="8" t="s">
        <v>1192</v>
      </c>
      <c r="H327" s="7" t="s">
        <v>945</v>
      </c>
      <c r="I327" s="7" t="s">
        <v>1178</v>
      </c>
      <c r="J327" s="110" t="s">
        <v>1477</v>
      </c>
      <c r="K327" s="2" t="s">
        <v>1548</v>
      </c>
      <c r="L327" s="2" t="s">
        <v>1559</v>
      </c>
      <c r="M327" s="2" t="s">
        <v>1559</v>
      </c>
      <c r="N327" s="9" t="s">
        <v>2508</v>
      </c>
      <c r="O327" s="2" t="s">
        <v>2340</v>
      </c>
      <c r="P327" s="66" t="s">
        <v>1477</v>
      </c>
      <c r="Q327" s="66" t="s">
        <v>1999</v>
      </c>
      <c r="R327" s="66"/>
    </row>
    <row r="328" spans="1:18" ht="27.75" hidden="1" customHeight="1" x14ac:dyDescent="0.3">
      <c r="A328" s="74">
        <v>1209700010004</v>
      </c>
      <c r="B328" s="7" t="s">
        <v>413</v>
      </c>
      <c r="C328" s="7" t="s">
        <v>713</v>
      </c>
      <c r="D328" s="7">
        <v>2016</v>
      </c>
      <c r="E328" s="7" t="s">
        <v>19</v>
      </c>
      <c r="F328" s="7" t="s">
        <v>415</v>
      </c>
      <c r="G328" s="8" t="s">
        <v>714</v>
      </c>
      <c r="H328" s="7" t="s">
        <v>263</v>
      </c>
      <c r="I328" s="7" t="s">
        <v>632</v>
      </c>
      <c r="J328" s="65" t="s">
        <v>1544</v>
      </c>
      <c r="K328" s="11" t="s">
        <v>1912</v>
      </c>
      <c r="L328" s="2"/>
      <c r="M328" s="2"/>
      <c r="N328" s="2"/>
      <c r="O328" s="2" t="s">
        <v>2306</v>
      </c>
      <c r="P328" s="65" t="s">
        <v>2053</v>
      </c>
      <c r="Q328" s="65"/>
      <c r="R328" s="65"/>
    </row>
    <row r="329" spans="1:18" ht="27.75" hidden="1" customHeight="1" x14ac:dyDescent="0.3">
      <c r="A329" s="58">
        <v>1106700020003</v>
      </c>
      <c r="B329" s="7" t="s">
        <v>54</v>
      </c>
      <c r="C329" s="7" t="s">
        <v>978</v>
      </c>
      <c r="D329" s="70">
        <v>2015</v>
      </c>
      <c r="E329" s="7" t="s">
        <v>19</v>
      </c>
      <c r="F329" s="7" t="s">
        <v>56</v>
      </c>
      <c r="G329" s="8" t="s">
        <v>979</v>
      </c>
      <c r="H329" s="7" t="s">
        <v>35</v>
      </c>
      <c r="I329" s="7" t="s">
        <v>973</v>
      </c>
      <c r="J329" s="2" t="s">
        <v>1531</v>
      </c>
      <c r="K329" s="11" t="s">
        <v>1912</v>
      </c>
      <c r="L329" s="2" t="s">
        <v>1571</v>
      </c>
      <c r="M329" s="2" t="s">
        <v>2311</v>
      </c>
      <c r="N329" s="2" t="s">
        <v>2604</v>
      </c>
      <c r="O329" s="2" t="s">
        <v>2612</v>
      </c>
      <c r="P329" s="66" t="s">
        <v>1531</v>
      </c>
      <c r="Q329" s="66" t="s">
        <v>2022</v>
      </c>
      <c r="R329" s="66"/>
    </row>
    <row r="330" spans="1:18" ht="27.75" hidden="1" customHeight="1" x14ac:dyDescent="0.3">
      <c r="A330" s="8">
        <v>1204700010003</v>
      </c>
      <c r="B330" s="7" t="s">
        <v>96</v>
      </c>
      <c r="C330" s="90" t="s">
        <v>443</v>
      </c>
      <c r="D330" s="7">
        <v>2009</v>
      </c>
      <c r="E330" s="7" t="s">
        <v>19</v>
      </c>
      <c r="F330" s="96" t="s">
        <v>10</v>
      </c>
      <c r="G330" s="8" t="s">
        <v>444</v>
      </c>
      <c r="H330" s="7" t="s">
        <v>263</v>
      </c>
      <c r="I330" s="7" t="s">
        <v>430</v>
      </c>
      <c r="J330" s="110" t="s">
        <v>1506</v>
      </c>
      <c r="K330" s="2" t="s">
        <v>1548</v>
      </c>
      <c r="L330" s="2" t="s">
        <v>1613</v>
      </c>
      <c r="M330" s="2" t="s">
        <v>1627</v>
      </c>
      <c r="N330" s="9" t="s">
        <v>2492</v>
      </c>
      <c r="O330" s="2" t="s">
        <v>2313</v>
      </c>
      <c r="P330" s="65" t="s">
        <v>1506</v>
      </c>
      <c r="Q330" s="65" t="s">
        <v>2004</v>
      </c>
      <c r="R330" s="65"/>
    </row>
    <row r="331" spans="1:18" ht="27.75" hidden="1" customHeight="1" x14ac:dyDescent="0.3">
      <c r="A331" s="58">
        <v>1106700020003</v>
      </c>
      <c r="B331" s="7" t="s">
        <v>54</v>
      </c>
      <c r="C331" s="7" t="s">
        <v>55</v>
      </c>
      <c r="D331" s="70">
        <v>2013</v>
      </c>
      <c r="E331" s="7" t="s">
        <v>19</v>
      </c>
      <c r="F331" s="7" t="s">
        <v>56</v>
      </c>
      <c r="G331" s="8" t="s">
        <v>57</v>
      </c>
      <c r="H331" s="7" t="s">
        <v>35</v>
      </c>
      <c r="I331" s="7" t="s">
        <v>49</v>
      </c>
      <c r="J331" s="2" t="s">
        <v>1471</v>
      </c>
      <c r="K331" s="2" t="s">
        <v>1548</v>
      </c>
      <c r="L331" s="2" t="s">
        <v>1571</v>
      </c>
      <c r="M331" s="2" t="s">
        <v>2618</v>
      </c>
      <c r="N331" s="123" t="s">
        <v>2617</v>
      </c>
      <c r="O331" s="2" t="s">
        <v>2606</v>
      </c>
      <c r="P331" s="66" t="s">
        <v>1471</v>
      </c>
      <c r="Q331" s="66" t="s">
        <v>1994</v>
      </c>
      <c r="R331" s="66"/>
    </row>
    <row r="332" spans="1:18" ht="27.75" hidden="1" customHeight="1" x14ac:dyDescent="0.3">
      <c r="A332" s="8">
        <v>1106700020010</v>
      </c>
      <c r="B332" s="7" t="s">
        <v>210</v>
      </c>
      <c r="C332" s="7" t="s">
        <v>1369</v>
      </c>
      <c r="D332" s="7">
        <v>2006</v>
      </c>
      <c r="E332" s="7" t="s">
        <v>19</v>
      </c>
      <c r="F332" s="7" t="s">
        <v>571</v>
      </c>
      <c r="G332" s="8" t="s">
        <v>1370</v>
      </c>
      <c r="H332" s="7" t="s">
        <v>263</v>
      </c>
      <c r="I332" s="7" t="s">
        <v>1225</v>
      </c>
      <c r="J332" s="2" t="s">
        <v>1537</v>
      </c>
      <c r="K332" s="11" t="s">
        <v>1912</v>
      </c>
      <c r="L332" s="2" t="s">
        <v>1564</v>
      </c>
      <c r="M332" s="2" t="s">
        <v>1874</v>
      </c>
      <c r="N332" s="2" t="s">
        <v>2169</v>
      </c>
      <c r="O332" s="2" t="s">
        <v>2599</v>
      </c>
      <c r="P332" s="65" t="s">
        <v>2045</v>
      </c>
      <c r="Q332" s="65" t="s">
        <v>2048</v>
      </c>
      <c r="R332" s="65"/>
    </row>
    <row r="333" spans="1:18" ht="27.75" hidden="1" customHeight="1" x14ac:dyDescent="0.3">
      <c r="A333" s="8">
        <v>1204700020003</v>
      </c>
      <c r="B333" s="7" t="s">
        <v>13</v>
      </c>
      <c r="C333" s="90" t="s">
        <v>524</v>
      </c>
      <c r="D333" s="7">
        <v>2009</v>
      </c>
      <c r="E333" s="7" t="s">
        <v>19</v>
      </c>
      <c r="F333" s="96" t="s">
        <v>10</v>
      </c>
      <c r="G333" s="8" t="s">
        <v>525</v>
      </c>
      <c r="H333" s="7" t="s">
        <v>263</v>
      </c>
      <c r="I333" s="7" t="s">
        <v>509</v>
      </c>
      <c r="J333" s="110" t="s">
        <v>1477</v>
      </c>
      <c r="K333" s="2" t="s">
        <v>1548</v>
      </c>
      <c r="L333" s="2" t="s">
        <v>1571</v>
      </c>
      <c r="M333" s="2" t="s">
        <v>2632</v>
      </c>
      <c r="N333" s="123" t="s">
        <v>2630</v>
      </c>
      <c r="O333" s="2" t="s">
        <v>2565</v>
      </c>
      <c r="P333" s="66" t="s">
        <v>1477</v>
      </c>
      <c r="Q333" s="66" t="s">
        <v>1999</v>
      </c>
      <c r="R333" s="2" t="s">
        <v>2376</v>
      </c>
    </row>
    <row r="334" spans="1:18" ht="27.75" hidden="1" customHeight="1" x14ac:dyDescent="0.3">
      <c r="A334" s="8">
        <v>1204700010003</v>
      </c>
      <c r="B334" s="7" t="s">
        <v>96</v>
      </c>
      <c r="C334" s="90" t="s">
        <v>518</v>
      </c>
      <c r="D334" s="7">
        <v>2002</v>
      </c>
      <c r="E334" s="7" t="s">
        <v>4</v>
      </c>
      <c r="F334" s="96" t="s">
        <v>15</v>
      </c>
      <c r="G334" s="8" t="s">
        <v>519</v>
      </c>
      <c r="H334" s="7" t="s">
        <v>263</v>
      </c>
      <c r="I334" s="7" t="s">
        <v>509</v>
      </c>
      <c r="J334" s="110" t="s">
        <v>1477</v>
      </c>
      <c r="K334" s="2" t="s">
        <v>1548</v>
      </c>
      <c r="L334" s="2" t="s">
        <v>1571</v>
      </c>
      <c r="M334" s="2" t="s">
        <v>2394</v>
      </c>
      <c r="N334" s="9" t="s">
        <v>2545</v>
      </c>
      <c r="O334" s="2" t="s">
        <v>2549</v>
      </c>
      <c r="P334" s="65" t="s">
        <v>1477</v>
      </c>
      <c r="Q334" s="65" t="s">
        <v>1999</v>
      </c>
      <c r="R334" s="65"/>
    </row>
    <row r="335" spans="1:18" ht="27.75" hidden="1" customHeight="1" x14ac:dyDescent="0.3">
      <c r="A335" s="8">
        <v>1204700030001</v>
      </c>
      <c r="B335" s="7" t="s">
        <v>17</v>
      </c>
      <c r="C335" s="7" t="s">
        <v>532</v>
      </c>
      <c r="D335" s="7">
        <v>2008</v>
      </c>
      <c r="E335" s="7" t="s">
        <v>19</v>
      </c>
      <c r="F335" s="97" t="s">
        <v>20</v>
      </c>
      <c r="G335" s="8" t="s">
        <v>533</v>
      </c>
      <c r="H335" s="7" t="s">
        <v>263</v>
      </c>
      <c r="I335" s="7" t="s">
        <v>509</v>
      </c>
      <c r="J335" s="66" t="s">
        <v>1477</v>
      </c>
      <c r="K335" s="66" t="s">
        <v>1548</v>
      </c>
      <c r="L335" s="66" t="s">
        <v>1571</v>
      </c>
      <c r="M335" s="66" t="s">
        <v>1609</v>
      </c>
      <c r="N335" s="69" t="s">
        <v>2171</v>
      </c>
      <c r="O335" s="66"/>
      <c r="P335" s="66" t="s">
        <v>1477</v>
      </c>
      <c r="Q335" s="66" t="s">
        <v>1999</v>
      </c>
      <c r="R335" s="66"/>
    </row>
    <row r="336" spans="1:18" ht="27.75" hidden="1" customHeight="1" x14ac:dyDescent="0.3">
      <c r="A336" s="8">
        <v>1106700020010</v>
      </c>
      <c r="B336" s="7" t="s">
        <v>210</v>
      </c>
      <c r="C336" s="7" t="s">
        <v>252</v>
      </c>
      <c r="D336" s="7">
        <v>2007</v>
      </c>
      <c r="E336" s="7" t="s">
        <v>19</v>
      </c>
      <c r="F336" s="7" t="s">
        <v>56</v>
      </c>
      <c r="G336" s="8" t="s">
        <v>253</v>
      </c>
      <c r="H336" s="7" t="s">
        <v>0</v>
      </c>
      <c r="I336" s="7" t="s">
        <v>240</v>
      </c>
      <c r="J336" s="65" t="s">
        <v>1543</v>
      </c>
      <c r="K336" s="65" t="s">
        <v>1548</v>
      </c>
      <c r="L336" s="65" t="s">
        <v>1571</v>
      </c>
      <c r="M336" s="65" t="s">
        <v>1609</v>
      </c>
      <c r="N336" s="64" t="s">
        <v>2174</v>
      </c>
      <c r="O336" s="65"/>
      <c r="P336" s="65" t="s">
        <v>2051</v>
      </c>
      <c r="Q336" s="65" t="s">
        <v>1543</v>
      </c>
      <c r="R336" s="65"/>
    </row>
    <row r="337" spans="1:18" ht="27.75" hidden="1" customHeight="1" x14ac:dyDescent="0.3">
      <c r="A337" s="8">
        <v>1105700160001</v>
      </c>
      <c r="B337" s="7" t="s">
        <v>438</v>
      </c>
      <c r="C337" s="7" t="s">
        <v>589</v>
      </c>
      <c r="D337" s="7">
        <v>2013</v>
      </c>
      <c r="E337" s="7" t="s">
        <v>19</v>
      </c>
      <c r="F337" s="97" t="s">
        <v>20</v>
      </c>
      <c r="G337" s="8" t="s">
        <v>590</v>
      </c>
      <c r="H337" s="7" t="s">
        <v>263</v>
      </c>
      <c r="I337" s="7" t="s">
        <v>583</v>
      </c>
      <c r="J337" s="2" t="s">
        <v>1513</v>
      </c>
      <c r="K337" s="11" t="s">
        <v>1912</v>
      </c>
      <c r="L337" s="2"/>
      <c r="M337" s="2"/>
      <c r="N337" s="2"/>
      <c r="O337" s="2" t="s">
        <v>2377</v>
      </c>
      <c r="P337" s="66" t="s">
        <v>1513</v>
      </c>
      <c r="Q337" s="66" t="s">
        <v>2029</v>
      </c>
      <c r="R337" s="66"/>
    </row>
    <row r="338" spans="1:18" ht="27.75" hidden="1" customHeight="1" x14ac:dyDescent="0.3">
      <c r="A338" s="58">
        <v>1106700020003</v>
      </c>
      <c r="B338" s="7" t="s">
        <v>54</v>
      </c>
      <c r="C338" s="7" t="s">
        <v>343</v>
      </c>
      <c r="D338" s="70">
        <v>2011</v>
      </c>
      <c r="E338" s="7" t="s">
        <v>19</v>
      </c>
      <c r="F338" s="7" t="s">
        <v>56</v>
      </c>
      <c r="G338" s="8" t="s">
        <v>344</v>
      </c>
      <c r="H338" s="7" t="s">
        <v>263</v>
      </c>
      <c r="I338" s="7" t="s">
        <v>270</v>
      </c>
      <c r="J338" s="2" t="s">
        <v>1544</v>
      </c>
      <c r="K338" s="11" t="s">
        <v>1912</v>
      </c>
      <c r="L338" s="2"/>
      <c r="M338" s="2" t="s">
        <v>2195</v>
      </c>
      <c r="N338" s="2" t="s">
        <v>2174</v>
      </c>
      <c r="O338" s="2" t="s">
        <v>2418</v>
      </c>
      <c r="P338" s="65" t="s">
        <v>1477</v>
      </c>
      <c r="Q338" s="65" t="s">
        <v>1999</v>
      </c>
      <c r="R338" s="65"/>
    </row>
    <row r="339" spans="1:18" ht="27.75" hidden="1" customHeight="1" x14ac:dyDescent="0.3">
      <c r="A339" s="75">
        <v>1101700010006</v>
      </c>
      <c r="B339" s="7" t="s">
        <v>2075</v>
      </c>
      <c r="C339" s="7" t="s">
        <v>821</v>
      </c>
      <c r="D339" s="7">
        <v>2013</v>
      </c>
      <c r="E339" s="7" t="s">
        <v>19</v>
      </c>
      <c r="F339" s="7" t="s">
        <v>52</v>
      </c>
      <c r="G339" s="8" t="s">
        <v>822</v>
      </c>
      <c r="H339" s="7" t="s">
        <v>35</v>
      </c>
      <c r="I339" s="7" t="s">
        <v>820</v>
      </c>
      <c r="J339" s="66" t="s">
        <v>1531</v>
      </c>
      <c r="K339" s="80" t="s">
        <v>1912</v>
      </c>
      <c r="L339" s="66"/>
      <c r="M339" s="2"/>
      <c r="N339" s="2"/>
      <c r="O339" s="66" t="s">
        <v>2177</v>
      </c>
      <c r="P339" s="66" t="s">
        <v>1531</v>
      </c>
      <c r="Q339" s="66" t="s">
        <v>2019</v>
      </c>
      <c r="R339" s="66"/>
    </row>
    <row r="340" spans="1:18" ht="27.75" hidden="1" customHeight="1" x14ac:dyDescent="0.3">
      <c r="A340" s="8">
        <v>1106700010003</v>
      </c>
      <c r="B340" s="7" t="s">
        <v>102</v>
      </c>
      <c r="C340" s="7" t="s">
        <v>1445</v>
      </c>
      <c r="D340" s="7">
        <v>2002</v>
      </c>
      <c r="E340" s="7" t="s">
        <v>19</v>
      </c>
      <c r="F340" s="7" t="s">
        <v>104</v>
      </c>
      <c r="G340" s="8" t="s">
        <v>775</v>
      </c>
      <c r="H340" s="7" t="s">
        <v>35</v>
      </c>
      <c r="I340" s="7" t="s">
        <v>770</v>
      </c>
      <c r="J340" s="65" t="s">
        <v>1506</v>
      </c>
      <c r="K340" s="71" t="s">
        <v>1912</v>
      </c>
      <c r="L340" s="2"/>
      <c r="M340" s="2"/>
      <c r="N340" s="2"/>
      <c r="O340" s="65" t="s">
        <v>2197</v>
      </c>
      <c r="P340" s="65" t="s">
        <v>1506</v>
      </c>
      <c r="Q340" s="65" t="s">
        <v>2005</v>
      </c>
      <c r="R340" s="65"/>
    </row>
    <row r="341" spans="1:18" ht="27.75" hidden="1" customHeight="1" x14ac:dyDescent="0.3">
      <c r="A341" s="74">
        <v>1101700040008</v>
      </c>
      <c r="B341" s="7" t="s">
        <v>619</v>
      </c>
      <c r="C341" s="7" t="s">
        <v>620</v>
      </c>
      <c r="D341" s="7">
        <v>2010</v>
      </c>
      <c r="E341" s="7" t="s">
        <v>19</v>
      </c>
      <c r="F341" s="7" t="s">
        <v>52</v>
      </c>
      <c r="G341" s="8" t="s">
        <v>621</v>
      </c>
      <c r="H341" s="7" t="s">
        <v>263</v>
      </c>
      <c r="I341" s="7" t="s">
        <v>618</v>
      </c>
      <c r="J341" s="66" t="s">
        <v>1537</v>
      </c>
      <c r="K341" s="80" t="s">
        <v>1912</v>
      </c>
      <c r="L341" s="66"/>
      <c r="M341" s="66"/>
      <c r="N341" s="69"/>
      <c r="O341" s="66" t="s">
        <v>2197</v>
      </c>
      <c r="P341" s="66" t="s">
        <v>1537</v>
      </c>
      <c r="Q341" s="66" t="s">
        <v>2040</v>
      </c>
      <c r="R341" s="66"/>
    </row>
    <row r="342" spans="1:18" ht="27.75" hidden="1" customHeight="1" x14ac:dyDescent="0.3">
      <c r="A342" s="8">
        <v>1105700080001</v>
      </c>
      <c r="B342" s="7" t="s">
        <v>302</v>
      </c>
      <c r="C342" s="7" t="s">
        <v>1309</v>
      </c>
      <c r="D342" s="7">
        <v>2011</v>
      </c>
      <c r="E342" s="7" t="s">
        <v>19</v>
      </c>
      <c r="F342" s="7" t="s">
        <v>304</v>
      </c>
      <c r="G342" s="8" t="s">
        <v>1310</v>
      </c>
      <c r="H342" s="7" t="s">
        <v>263</v>
      </c>
      <c r="I342" s="7" t="s">
        <v>1225</v>
      </c>
      <c r="J342" s="65" t="s">
        <v>1544</v>
      </c>
      <c r="K342" s="71" t="s">
        <v>1912</v>
      </c>
      <c r="L342" s="65"/>
      <c r="M342" s="2"/>
      <c r="N342" s="2"/>
      <c r="O342" s="65" t="s">
        <v>2196</v>
      </c>
      <c r="P342" s="65" t="s">
        <v>2053</v>
      </c>
      <c r="Q342" s="65"/>
      <c r="R342" s="65"/>
    </row>
    <row r="343" spans="1:18" ht="27.75" hidden="1" customHeight="1" x14ac:dyDescent="0.3">
      <c r="A343" s="8">
        <v>1109700010001</v>
      </c>
      <c r="B343" s="98" t="s">
        <v>360</v>
      </c>
      <c r="C343" s="7" t="s">
        <v>361</v>
      </c>
      <c r="D343" s="7">
        <v>1976</v>
      </c>
      <c r="E343" s="7" t="s">
        <v>19</v>
      </c>
      <c r="F343" s="7" t="s">
        <v>362</v>
      </c>
      <c r="G343" s="8" t="s">
        <v>363</v>
      </c>
      <c r="H343" s="7" t="s">
        <v>263</v>
      </c>
      <c r="I343" s="7" t="s">
        <v>270</v>
      </c>
      <c r="J343" s="66" t="s">
        <v>1544</v>
      </c>
      <c r="K343" s="66" t="s">
        <v>1548</v>
      </c>
      <c r="L343" s="66" t="s">
        <v>1564</v>
      </c>
      <c r="M343" s="2" t="s">
        <v>2190</v>
      </c>
      <c r="N343" s="2" t="s">
        <v>2188</v>
      </c>
      <c r="O343" s="66"/>
      <c r="P343" s="66" t="s">
        <v>2053</v>
      </c>
      <c r="Q343" s="66"/>
      <c r="R343" s="66"/>
    </row>
    <row r="344" spans="1:18" ht="27.75" hidden="1" customHeight="1" x14ac:dyDescent="0.3">
      <c r="A344" s="75">
        <v>1101700010006</v>
      </c>
      <c r="B344" s="7" t="s">
        <v>2075</v>
      </c>
      <c r="C344" s="7" t="s">
        <v>241</v>
      </c>
      <c r="D344" s="7">
        <v>2013</v>
      </c>
      <c r="E344" s="7" t="s">
        <v>19</v>
      </c>
      <c r="F344" s="7" t="s">
        <v>52</v>
      </c>
      <c r="G344" s="8" t="s">
        <v>242</v>
      </c>
      <c r="H344" s="7" t="s">
        <v>0</v>
      </c>
      <c r="I344" s="7" t="s">
        <v>240</v>
      </c>
      <c r="J344" s="2" t="s">
        <v>1543</v>
      </c>
      <c r="K344" s="11" t="s">
        <v>1912</v>
      </c>
      <c r="L344" s="2" t="s">
        <v>1571</v>
      </c>
      <c r="M344" s="2" t="s">
        <v>2200</v>
      </c>
      <c r="N344" s="2" t="s">
        <v>2197</v>
      </c>
      <c r="O344" s="2" t="s">
        <v>2448</v>
      </c>
      <c r="P344" s="65" t="s">
        <v>2051</v>
      </c>
      <c r="Q344" s="65" t="s">
        <v>1543</v>
      </c>
      <c r="R344" s="65"/>
    </row>
    <row r="345" spans="1:18" ht="27.75" hidden="1" customHeight="1" x14ac:dyDescent="0.3">
      <c r="A345" s="8">
        <v>1105700080001</v>
      </c>
      <c r="B345" s="7" t="s">
        <v>302</v>
      </c>
      <c r="C345" s="7" t="s">
        <v>1303</v>
      </c>
      <c r="D345" s="7">
        <v>2015</v>
      </c>
      <c r="E345" s="7" t="s">
        <v>19</v>
      </c>
      <c r="F345" s="7" t="s">
        <v>304</v>
      </c>
      <c r="G345" s="8" t="s">
        <v>1304</v>
      </c>
      <c r="H345" s="7" t="s">
        <v>263</v>
      </c>
      <c r="I345" s="7" t="s">
        <v>1225</v>
      </c>
      <c r="J345" s="2" t="s">
        <v>1544</v>
      </c>
      <c r="K345" s="11" t="s">
        <v>1912</v>
      </c>
      <c r="L345" s="2" t="s">
        <v>1564</v>
      </c>
      <c r="M345" s="2" t="s">
        <v>2202</v>
      </c>
      <c r="N345" s="2" t="s">
        <v>2198</v>
      </c>
      <c r="O345" s="2" t="s">
        <v>2615</v>
      </c>
      <c r="P345" s="66" t="s">
        <v>2053</v>
      </c>
      <c r="Q345" s="66"/>
      <c r="R345" s="66"/>
    </row>
    <row r="346" spans="1:18" ht="27.75" hidden="1" customHeight="1" x14ac:dyDescent="0.3">
      <c r="A346" s="8">
        <v>1204700020009</v>
      </c>
      <c r="B346" s="7" t="s">
        <v>29</v>
      </c>
      <c r="C346" s="7" t="s">
        <v>1099</v>
      </c>
      <c r="D346" s="7">
        <v>2016</v>
      </c>
      <c r="E346" s="7" t="s">
        <v>19</v>
      </c>
      <c r="F346" s="7" t="s">
        <v>261</v>
      </c>
      <c r="G346" s="8" t="s">
        <v>1100</v>
      </c>
      <c r="H346" s="7" t="s">
        <v>945</v>
      </c>
      <c r="I346" s="7" t="s">
        <v>1088</v>
      </c>
      <c r="J346" s="65" t="s">
        <v>1493</v>
      </c>
      <c r="K346" s="71" t="s">
        <v>1912</v>
      </c>
      <c r="L346" s="2"/>
      <c r="M346" s="2"/>
      <c r="N346" s="2"/>
      <c r="O346" s="65" t="s">
        <v>2233</v>
      </c>
      <c r="P346" s="65" t="s">
        <v>2045</v>
      </c>
      <c r="Q346" s="65" t="s">
        <v>2046</v>
      </c>
      <c r="R346" s="65"/>
    </row>
    <row r="347" spans="1:18" ht="27.75" hidden="1" customHeight="1" x14ac:dyDescent="0.3">
      <c r="A347" s="74">
        <v>1105700150012</v>
      </c>
      <c r="B347" s="7" t="s">
        <v>1203</v>
      </c>
      <c r="C347" s="7" t="s">
        <v>1204</v>
      </c>
      <c r="D347" s="7">
        <v>2021</v>
      </c>
      <c r="E347" s="7" t="s">
        <v>19</v>
      </c>
      <c r="F347" s="97" t="s">
        <v>42</v>
      </c>
      <c r="G347" s="101" t="s">
        <v>1205</v>
      </c>
      <c r="H347" s="7" t="s">
        <v>35</v>
      </c>
      <c r="I347" s="7" t="s">
        <v>1199</v>
      </c>
      <c r="J347" s="66" t="s">
        <v>1493</v>
      </c>
      <c r="K347" s="80" t="s">
        <v>1912</v>
      </c>
      <c r="L347" s="66"/>
      <c r="M347" s="2"/>
      <c r="N347" s="2"/>
      <c r="O347" s="66" t="s">
        <v>2222</v>
      </c>
      <c r="P347" s="66" t="s">
        <v>2045</v>
      </c>
      <c r="Q347" s="66" t="s">
        <v>2046</v>
      </c>
      <c r="R347" s="2" t="s">
        <v>2210</v>
      </c>
    </row>
    <row r="348" spans="1:18" ht="27.75" hidden="1" customHeight="1" x14ac:dyDescent="0.3">
      <c r="A348" s="8">
        <v>1303700010001</v>
      </c>
      <c r="B348" s="102" t="s">
        <v>421</v>
      </c>
      <c r="C348" s="7" t="s">
        <v>962</v>
      </c>
      <c r="D348" s="7">
        <v>2010</v>
      </c>
      <c r="E348" s="7" t="s">
        <v>4</v>
      </c>
      <c r="F348" s="7" t="s">
        <v>423</v>
      </c>
      <c r="G348" s="8" t="s">
        <v>963</v>
      </c>
      <c r="H348" s="7" t="s">
        <v>945</v>
      </c>
      <c r="I348" s="7" t="s">
        <v>946</v>
      </c>
      <c r="J348" s="2" t="s">
        <v>1506</v>
      </c>
      <c r="K348" s="2" t="s">
        <v>1548</v>
      </c>
      <c r="L348" s="2" t="s">
        <v>1569</v>
      </c>
      <c r="M348" s="2" t="s">
        <v>2211</v>
      </c>
      <c r="N348" s="2" t="s">
        <v>2163</v>
      </c>
      <c r="O348" s="65"/>
      <c r="P348" s="65"/>
      <c r="Q348" s="65"/>
      <c r="R348" s="2" t="s">
        <v>2212</v>
      </c>
    </row>
    <row r="349" spans="1:18" ht="27.75" hidden="1" customHeight="1" x14ac:dyDescent="0.3">
      <c r="A349" s="8">
        <v>1303700010001</v>
      </c>
      <c r="B349" s="102" t="s">
        <v>421</v>
      </c>
      <c r="C349" s="7" t="s">
        <v>964</v>
      </c>
      <c r="D349" s="7">
        <v>2010</v>
      </c>
      <c r="E349" s="7" t="s">
        <v>4</v>
      </c>
      <c r="F349" s="7" t="s">
        <v>423</v>
      </c>
      <c r="G349" s="8" t="s">
        <v>965</v>
      </c>
      <c r="H349" s="7" t="s">
        <v>945</v>
      </c>
      <c r="I349" s="7" t="s">
        <v>946</v>
      </c>
      <c r="J349" s="2" t="s">
        <v>1506</v>
      </c>
      <c r="K349" s="2" t="s">
        <v>1548</v>
      </c>
      <c r="L349" s="2" t="s">
        <v>1569</v>
      </c>
      <c r="M349" s="2" t="s">
        <v>2211</v>
      </c>
      <c r="N349" s="2" t="s">
        <v>2163</v>
      </c>
      <c r="O349" s="66"/>
      <c r="P349" s="66"/>
      <c r="Q349" s="66"/>
      <c r="R349" s="2" t="s">
        <v>2212</v>
      </c>
    </row>
    <row r="350" spans="1:18" ht="27.75" hidden="1" customHeight="1" x14ac:dyDescent="0.3">
      <c r="A350" s="8">
        <v>1303700010001</v>
      </c>
      <c r="B350" s="102" t="s">
        <v>421</v>
      </c>
      <c r="C350" s="7" t="s">
        <v>966</v>
      </c>
      <c r="D350" s="7">
        <v>2011</v>
      </c>
      <c r="E350" s="7" t="s">
        <v>4</v>
      </c>
      <c r="F350" s="7" t="s">
        <v>423</v>
      </c>
      <c r="G350" s="8" t="s">
        <v>967</v>
      </c>
      <c r="H350" s="7" t="s">
        <v>945</v>
      </c>
      <c r="I350" s="7" t="s">
        <v>946</v>
      </c>
      <c r="J350" s="2" t="s">
        <v>1506</v>
      </c>
      <c r="K350" s="2" t="s">
        <v>1548</v>
      </c>
      <c r="L350" s="2" t="s">
        <v>1569</v>
      </c>
      <c r="M350" s="2" t="s">
        <v>2211</v>
      </c>
      <c r="N350" s="2" t="s">
        <v>2163</v>
      </c>
      <c r="O350" s="65"/>
      <c r="P350" s="65"/>
      <c r="Q350" s="65"/>
      <c r="R350" s="2" t="s">
        <v>2212</v>
      </c>
    </row>
    <row r="351" spans="1:18" ht="27.75" hidden="1" customHeight="1" x14ac:dyDescent="0.3">
      <c r="A351" s="8">
        <v>1303700010001</v>
      </c>
      <c r="B351" s="102" t="s">
        <v>421</v>
      </c>
      <c r="C351" s="7" t="s">
        <v>1000</v>
      </c>
      <c r="D351" s="7">
        <v>2011</v>
      </c>
      <c r="E351" s="7" t="s">
        <v>4</v>
      </c>
      <c r="F351" s="7" t="s">
        <v>423</v>
      </c>
      <c r="G351" s="8" t="s">
        <v>1001</v>
      </c>
      <c r="H351" s="7" t="s">
        <v>945</v>
      </c>
      <c r="I351" s="7" t="s">
        <v>987</v>
      </c>
      <c r="J351" s="2" t="s">
        <v>1482</v>
      </c>
      <c r="K351" s="2" t="s">
        <v>1548</v>
      </c>
      <c r="L351" s="2" t="s">
        <v>1569</v>
      </c>
      <c r="M351" s="2" t="s">
        <v>2211</v>
      </c>
      <c r="N351" s="2" t="s">
        <v>2163</v>
      </c>
      <c r="O351" s="66"/>
      <c r="P351" s="66"/>
      <c r="Q351" s="66"/>
      <c r="R351" s="2" t="s">
        <v>2212</v>
      </c>
    </row>
    <row r="352" spans="1:18" ht="27.75" hidden="1" customHeight="1" x14ac:dyDescent="0.3">
      <c r="A352" s="8">
        <v>1306700010001</v>
      </c>
      <c r="B352" s="102" t="s">
        <v>1002</v>
      </c>
      <c r="C352" s="7" t="s">
        <v>1003</v>
      </c>
      <c r="D352" s="7">
        <v>2012</v>
      </c>
      <c r="E352" s="7" t="s">
        <v>19</v>
      </c>
      <c r="F352" s="7" t="s">
        <v>423</v>
      </c>
      <c r="G352" s="8" t="s">
        <v>1004</v>
      </c>
      <c r="H352" s="7" t="s">
        <v>945</v>
      </c>
      <c r="I352" s="7" t="s">
        <v>987</v>
      </c>
      <c r="J352" s="2" t="s">
        <v>1482</v>
      </c>
      <c r="K352" s="2" t="s">
        <v>1548</v>
      </c>
      <c r="L352" s="2" t="s">
        <v>1569</v>
      </c>
      <c r="M352" s="2" t="s">
        <v>2211</v>
      </c>
      <c r="N352" s="2" t="s">
        <v>2163</v>
      </c>
      <c r="O352" s="65"/>
      <c r="P352" s="65"/>
      <c r="Q352" s="65"/>
      <c r="R352" s="2" t="s">
        <v>2212</v>
      </c>
    </row>
    <row r="353" spans="1:18" ht="27.75" hidden="1" customHeight="1" x14ac:dyDescent="0.3">
      <c r="A353" s="8">
        <v>1306700010002</v>
      </c>
      <c r="B353" s="102" t="s">
        <v>1005</v>
      </c>
      <c r="C353" s="7" t="s">
        <v>1456</v>
      </c>
      <c r="D353" s="7">
        <v>2013</v>
      </c>
      <c r="E353" s="7" t="s">
        <v>19</v>
      </c>
      <c r="F353" s="7" t="s">
        <v>423</v>
      </c>
      <c r="G353" s="8" t="s">
        <v>1006</v>
      </c>
      <c r="H353" s="7" t="s">
        <v>945</v>
      </c>
      <c r="I353" s="7" t="s">
        <v>987</v>
      </c>
      <c r="J353" s="2" t="s">
        <v>1482</v>
      </c>
      <c r="K353" s="2" t="s">
        <v>1548</v>
      </c>
      <c r="L353" s="2" t="s">
        <v>1569</v>
      </c>
      <c r="M353" s="2" t="s">
        <v>2211</v>
      </c>
      <c r="N353" s="2" t="s">
        <v>2163</v>
      </c>
      <c r="O353" s="66"/>
      <c r="P353" s="66"/>
      <c r="Q353" s="66"/>
      <c r="R353" s="2" t="s">
        <v>2212</v>
      </c>
    </row>
    <row r="354" spans="1:18" ht="27.75" hidden="1" customHeight="1" x14ac:dyDescent="0.3">
      <c r="A354" s="8">
        <v>1303700010001</v>
      </c>
      <c r="B354" s="102" t="s">
        <v>421</v>
      </c>
      <c r="C354" s="7" t="s">
        <v>1020</v>
      </c>
      <c r="D354" s="7">
        <v>2010</v>
      </c>
      <c r="E354" s="7" t="s">
        <v>4</v>
      </c>
      <c r="F354" s="7" t="s">
        <v>423</v>
      </c>
      <c r="G354" s="8" t="s">
        <v>1021</v>
      </c>
      <c r="H354" s="7" t="s">
        <v>945</v>
      </c>
      <c r="I354" s="7" t="s">
        <v>1007</v>
      </c>
      <c r="J354" s="2" t="s">
        <v>1471</v>
      </c>
      <c r="K354" s="2" t="s">
        <v>1548</v>
      </c>
      <c r="L354" s="2" t="s">
        <v>1569</v>
      </c>
      <c r="M354" s="2" t="s">
        <v>2211</v>
      </c>
      <c r="N354" s="2" t="s">
        <v>2163</v>
      </c>
      <c r="O354" s="65"/>
      <c r="P354" s="65"/>
      <c r="Q354" s="65"/>
      <c r="R354" s="2" t="s">
        <v>2212</v>
      </c>
    </row>
    <row r="355" spans="1:18" ht="27.75" hidden="1" customHeight="1" x14ac:dyDescent="0.3">
      <c r="A355" s="8">
        <v>1303700010001</v>
      </c>
      <c r="B355" s="102" t="s">
        <v>421</v>
      </c>
      <c r="C355" s="7" t="s">
        <v>1022</v>
      </c>
      <c r="D355" s="7">
        <v>2010</v>
      </c>
      <c r="E355" s="7" t="s">
        <v>4</v>
      </c>
      <c r="F355" s="7" t="s">
        <v>423</v>
      </c>
      <c r="G355" s="8" t="s">
        <v>1023</v>
      </c>
      <c r="H355" s="7" t="s">
        <v>945</v>
      </c>
      <c r="I355" s="7" t="s">
        <v>1007</v>
      </c>
      <c r="J355" s="2" t="s">
        <v>1471</v>
      </c>
      <c r="K355" s="2" t="s">
        <v>1548</v>
      </c>
      <c r="L355" s="2" t="s">
        <v>1569</v>
      </c>
      <c r="M355" s="2" t="s">
        <v>2211</v>
      </c>
      <c r="N355" s="2" t="s">
        <v>2163</v>
      </c>
      <c r="O355" s="66"/>
      <c r="P355" s="66"/>
      <c r="Q355" s="66"/>
      <c r="R355" s="2" t="s">
        <v>2212</v>
      </c>
    </row>
    <row r="356" spans="1:18" ht="27.75" hidden="1" customHeight="1" x14ac:dyDescent="0.3">
      <c r="A356" s="8">
        <v>1303700010001</v>
      </c>
      <c r="B356" s="102" t="s">
        <v>421</v>
      </c>
      <c r="C356" s="7" t="s">
        <v>1024</v>
      </c>
      <c r="D356" s="7">
        <v>2010</v>
      </c>
      <c r="E356" s="7" t="s">
        <v>4</v>
      </c>
      <c r="F356" s="7" t="s">
        <v>423</v>
      </c>
      <c r="G356" s="8" t="s">
        <v>1025</v>
      </c>
      <c r="H356" s="7" t="s">
        <v>945</v>
      </c>
      <c r="I356" s="7" t="s">
        <v>1007</v>
      </c>
      <c r="J356" s="2" t="s">
        <v>1471</v>
      </c>
      <c r="K356" s="2" t="s">
        <v>1548</v>
      </c>
      <c r="L356" s="2" t="s">
        <v>1569</v>
      </c>
      <c r="M356" s="2" t="s">
        <v>2211</v>
      </c>
      <c r="N356" s="2" t="s">
        <v>2163</v>
      </c>
      <c r="O356" s="65"/>
      <c r="P356" s="65"/>
      <c r="Q356" s="65"/>
      <c r="R356" s="2" t="s">
        <v>2212</v>
      </c>
    </row>
    <row r="357" spans="1:18" ht="27.75" hidden="1" customHeight="1" x14ac:dyDescent="0.3">
      <c r="A357" s="8">
        <v>1303700010001</v>
      </c>
      <c r="B357" s="102" t="s">
        <v>421</v>
      </c>
      <c r="C357" s="7" t="s">
        <v>1041</v>
      </c>
      <c r="D357" s="7">
        <v>2010</v>
      </c>
      <c r="E357" s="7" t="s">
        <v>4</v>
      </c>
      <c r="F357" s="7" t="s">
        <v>423</v>
      </c>
      <c r="G357" s="8" t="s">
        <v>1042</v>
      </c>
      <c r="H357" s="7" t="s">
        <v>945</v>
      </c>
      <c r="I357" s="7" t="s">
        <v>1026</v>
      </c>
      <c r="J357" s="2" t="s">
        <v>1518</v>
      </c>
      <c r="K357" s="2" t="s">
        <v>1548</v>
      </c>
      <c r="L357" s="2" t="s">
        <v>1569</v>
      </c>
      <c r="M357" s="2" t="s">
        <v>2211</v>
      </c>
      <c r="N357" s="2" t="s">
        <v>2163</v>
      </c>
      <c r="O357" s="66"/>
      <c r="P357" s="66"/>
      <c r="Q357" s="66"/>
      <c r="R357" s="2" t="s">
        <v>2212</v>
      </c>
    </row>
    <row r="358" spans="1:18" ht="27.75" hidden="1" customHeight="1" x14ac:dyDescent="0.3">
      <c r="A358" s="8">
        <v>1303700010001</v>
      </c>
      <c r="B358" s="102" t="s">
        <v>421</v>
      </c>
      <c r="C358" s="7" t="s">
        <v>1043</v>
      </c>
      <c r="D358" s="7">
        <v>2010</v>
      </c>
      <c r="E358" s="7" t="s">
        <v>4</v>
      </c>
      <c r="F358" s="7" t="s">
        <v>423</v>
      </c>
      <c r="G358" s="8" t="s">
        <v>1044</v>
      </c>
      <c r="H358" s="7" t="s">
        <v>945</v>
      </c>
      <c r="I358" s="7" t="s">
        <v>1026</v>
      </c>
      <c r="J358" s="2" t="s">
        <v>1518</v>
      </c>
      <c r="K358" s="2" t="s">
        <v>1548</v>
      </c>
      <c r="L358" s="2" t="s">
        <v>1569</v>
      </c>
      <c r="M358" s="2" t="s">
        <v>2211</v>
      </c>
      <c r="N358" s="2" t="s">
        <v>2163</v>
      </c>
      <c r="O358" s="65"/>
      <c r="P358" s="65"/>
      <c r="Q358" s="65"/>
      <c r="R358" s="2" t="s">
        <v>2212</v>
      </c>
    </row>
    <row r="359" spans="1:18" ht="27.75" hidden="1" customHeight="1" x14ac:dyDescent="0.3">
      <c r="A359" s="8">
        <v>1306700020001</v>
      </c>
      <c r="B359" s="102" t="s">
        <v>1045</v>
      </c>
      <c r="C359" s="7" t="s">
        <v>1456</v>
      </c>
      <c r="D359" s="7"/>
      <c r="E359" s="7" t="s">
        <v>376</v>
      </c>
      <c r="F359" s="7" t="s">
        <v>247</v>
      </c>
      <c r="G359" s="8" t="s">
        <v>1046</v>
      </c>
      <c r="H359" s="7" t="s">
        <v>945</v>
      </c>
      <c r="I359" s="7" t="s">
        <v>1026</v>
      </c>
      <c r="J359" s="2" t="s">
        <v>1518</v>
      </c>
      <c r="K359" s="2" t="s">
        <v>1548</v>
      </c>
      <c r="L359" s="2" t="s">
        <v>1569</v>
      </c>
      <c r="M359" s="2" t="s">
        <v>2211</v>
      </c>
      <c r="N359" s="2" t="s">
        <v>2163</v>
      </c>
      <c r="O359" s="66"/>
      <c r="P359" s="66"/>
      <c r="Q359" s="66"/>
      <c r="R359" s="2" t="s">
        <v>2212</v>
      </c>
    </row>
    <row r="360" spans="1:18" ht="27.75" hidden="1" customHeight="1" x14ac:dyDescent="0.3">
      <c r="A360" s="8">
        <v>1306700020001</v>
      </c>
      <c r="B360" s="102" t="s">
        <v>1045</v>
      </c>
      <c r="C360" s="7" t="s">
        <v>1456</v>
      </c>
      <c r="D360" s="7"/>
      <c r="E360" s="7" t="s">
        <v>376</v>
      </c>
      <c r="F360" s="7" t="s">
        <v>247</v>
      </c>
      <c r="G360" s="8" t="s">
        <v>1047</v>
      </c>
      <c r="H360" s="7" t="s">
        <v>945</v>
      </c>
      <c r="I360" s="7" t="s">
        <v>1026</v>
      </c>
      <c r="J360" s="2" t="s">
        <v>1518</v>
      </c>
      <c r="K360" s="2" t="s">
        <v>1548</v>
      </c>
      <c r="L360" s="2" t="s">
        <v>1569</v>
      </c>
      <c r="M360" s="2" t="s">
        <v>2211</v>
      </c>
      <c r="N360" s="2" t="s">
        <v>2163</v>
      </c>
      <c r="O360" s="65"/>
      <c r="P360" s="65"/>
      <c r="Q360" s="65"/>
      <c r="R360" s="2" t="s">
        <v>2212</v>
      </c>
    </row>
    <row r="361" spans="1:18" ht="27.75" hidden="1" customHeight="1" x14ac:dyDescent="0.3">
      <c r="A361" s="8">
        <v>1303700010001</v>
      </c>
      <c r="B361" s="102" t="s">
        <v>421</v>
      </c>
      <c r="C361" s="7" t="s">
        <v>1063</v>
      </c>
      <c r="D361" s="7">
        <v>2010</v>
      </c>
      <c r="E361" s="7" t="s">
        <v>4</v>
      </c>
      <c r="F361" s="7" t="s">
        <v>423</v>
      </c>
      <c r="G361" s="8" t="s">
        <v>1064</v>
      </c>
      <c r="H361" s="7" t="s">
        <v>945</v>
      </c>
      <c r="I361" s="7" t="s">
        <v>1048</v>
      </c>
      <c r="J361" s="2" t="s">
        <v>1477</v>
      </c>
      <c r="K361" s="2" t="s">
        <v>1548</v>
      </c>
      <c r="L361" s="2" t="s">
        <v>1569</v>
      </c>
      <c r="M361" s="2" t="s">
        <v>2211</v>
      </c>
      <c r="N361" s="2" t="s">
        <v>2163</v>
      </c>
      <c r="O361" s="66"/>
      <c r="P361" s="66"/>
      <c r="Q361" s="66"/>
      <c r="R361" s="2" t="s">
        <v>2212</v>
      </c>
    </row>
    <row r="362" spans="1:18" ht="27.75" hidden="1" customHeight="1" x14ac:dyDescent="0.3">
      <c r="A362" s="8">
        <v>1303700010001</v>
      </c>
      <c r="B362" s="102" t="s">
        <v>421</v>
      </c>
      <c r="C362" s="7" t="s">
        <v>1065</v>
      </c>
      <c r="D362" s="7">
        <v>2010</v>
      </c>
      <c r="E362" s="7" t="s">
        <v>4</v>
      </c>
      <c r="F362" s="7" t="s">
        <v>423</v>
      </c>
      <c r="G362" s="8" t="s">
        <v>1066</v>
      </c>
      <c r="H362" s="7" t="s">
        <v>945</v>
      </c>
      <c r="I362" s="7" t="s">
        <v>1048</v>
      </c>
      <c r="J362" s="2" t="s">
        <v>1477</v>
      </c>
      <c r="K362" s="2" t="s">
        <v>1548</v>
      </c>
      <c r="L362" s="2" t="s">
        <v>1569</v>
      </c>
      <c r="M362" s="2" t="s">
        <v>2211</v>
      </c>
      <c r="N362" s="2" t="s">
        <v>2163</v>
      </c>
      <c r="O362" s="65"/>
      <c r="P362" s="65"/>
      <c r="Q362" s="65"/>
      <c r="R362" s="2" t="s">
        <v>2212</v>
      </c>
    </row>
    <row r="363" spans="1:18" ht="27.75" hidden="1" customHeight="1" x14ac:dyDescent="0.3">
      <c r="A363" s="8">
        <v>1303700010001</v>
      </c>
      <c r="B363" s="102" t="s">
        <v>421</v>
      </c>
      <c r="C363" s="7" t="s">
        <v>1067</v>
      </c>
      <c r="D363" s="7">
        <v>2010</v>
      </c>
      <c r="E363" s="7" t="s">
        <v>4</v>
      </c>
      <c r="F363" s="7" t="s">
        <v>423</v>
      </c>
      <c r="G363" s="8" t="s">
        <v>1068</v>
      </c>
      <c r="H363" s="7" t="s">
        <v>945</v>
      </c>
      <c r="I363" s="7" t="s">
        <v>1048</v>
      </c>
      <c r="J363" s="2" t="s">
        <v>1477</v>
      </c>
      <c r="K363" s="2" t="s">
        <v>1548</v>
      </c>
      <c r="L363" s="2" t="s">
        <v>1569</v>
      </c>
      <c r="M363" s="2" t="s">
        <v>2211</v>
      </c>
      <c r="N363" s="2" t="s">
        <v>2163</v>
      </c>
      <c r="O363" s="66"/>
      <c r="P363" s="66"/>
      <c r="Q363" s="66"/>
      <c r="R363" s="2" t="s">
        <v>2212</v>
      </c>
    </row>
    <row r="364" spans="1:18" ht="27.75" hidden="1" customHeight="1" x14ac:dyDescent="0.3">
      <c r="A364" s="8">
        <v>1303700010001</v>
      </c>
      <c r="B364" s="102" t="s">
        <v>421</v>
      </c>
      <c r="C364" s="7" t="s">
        <v>1082</v>
      </c>
      <c r="D364" s="7">
        <v>2010</v>
      </c>
      <c r="E364" s="7" t="s">
        <v>4</v>
      </c>
      <c r="F364" s="7" t="s">
        <v>423</v>
      </c>
      <c r="G364" s="8" t="s">
        <v>1083</v>
      </c>
      <c r="H364" s="7" t="s">
        <v>945</v>
      </c>
      <c r="I364" s="7" t="s">
        <v>1069</v>
      </c>
      <c r="J364" s="2" t="s">
        <v>1531</v>
      </c>
      <c r="K364" s="2" t="s">
        <v>1548</v>
      </c>
      <c r="L364" s="2" t="s">
        <v>1569</v>
      </c>
      <c r="M364" s="2" t="s">
        <v>2211</v>
      </c>
      <c r="N364" s="2" t="s">
        <v>2163</v>
      </c>
      <c r="O364" s="65"/>
      <c r="P364" s="65"/>
      <c r="Q364" s="65"/>
      <c r="R364" s="2" t="s">
        <v>2212</v>
      </c>
    </row>
    <row r="365" spans="1:18" ht="27.75" hidden="1" customHeight="1" x14ac:dyDescent="0.3">
      <c r="A365" s="8">
        <v>1303700010001</v>
      </c>
      <c r="B365" s="102" t="s">
        <v>421</v>
      </c>
      <c r="C365" s="7" t="s">
        <v>1084</v>
      </c>
      <c r="D365" s="7">
        <v>2010</v>
      </c>
      <c r="E365" s="7" t="s">
        <v>4</v>
      </c>
      <c r="F365" s="7" t="s">
        <v>423</v>
      </c>
      <c r="G365" s="8" t="s">
        <v>1085</v>
      </c>
      <c r="H365" s="7" t="s">
        <v>945</v>
      </c>
      <c r="I365" s="7" t="s">
        <v>1069</v>
      </c>
      <c r="J365" s="2" t="s">
        <v>1531</v>
      </c>
      <c r="K365" s="2" t="s">
        <v>1548</v>
      </c>
      <c r="L365" s="2" t="s">
        <v>1569</v>
      </c>
      <c r="M365" s="2" t="s">
        <v>2211</v>
      </c>
      <c r="N365" s="2" t="s">
        <v>2163</v>
      </c>
      <c r="O365" s="66"/>
      <c r="P365" s="66"/>
      <c r="Q365" s="66"/>
      <c r="R365" s="2" t="s">
        <v>2212</v>
      </c>
    </row>
    <row r="366" spans="1:18" ht="27.75" hidden="1" customHeight="1" x14ac:dyDescent="0.3">
      <c r="A366" s="8">
        <v>1303700010001</v>
      </c>
      <c r="B366" s="102" t="s">
        <v>421</v>
      </c>
      <c r="C366" s="7" t="s">
        <v>1086</v>
      </c>
      <c r="D366" s="7">
        <v>2010</v>
      </c>
      <c r="E366" s="7" t="s">
        <v>4</v>
      </c>
      <c r="F366" s="7" t="s">
        <v>423</v>
      </c>
      <c r="G366" s="8" t="s">
        <v>1087</v>
      </c>
      <c r="H366" s="7" t="s">
        <v>945</v>
      </c>
      <c r="I366" s="7" t="s">
        <v>1069</v>
      </c>
      <c r="J366" s="2" t="s">
        <v>1531</v>
      </c>
      <c r="K366" s="2" t="s">
        <v>1548</v>
      </c>
      <c r="L366" s="2" t="s">
        <v>1569</v>
      </c>
      <c r="M366" s="2" t="s">
        <v>2211</v>
      </c>
      <c r="N366" s="2" t="s">
        <v>2163</v>
      </c>
      <c r="O366" s="65"/>
      <c r="P366" s="65"/>
      <c r="Q366" s="65"/>
      <c r="R366" s="2" t="s">
        <v>2212</v>
      </c>
    </row>
    <row r="367" spans="1:18" ht="27.75" hidden="1" customHeight="1" x14ac:dyDescent="0.3">
      <c r="A367" s="8">
        <v>1303700010001</v>
      </c>
      <c r="B367" s="102" t="s">
        <v>421</v>
      </c>
      <c r="C367" s="7" t="s">
        <v>1101</v>
      </c>
      <c r="D367" s="7">
        <v>2010</v>
      </c>
      <c r="E367" s="7" t="s">
        <v>4</v>
      </c>
      <c r="F367" s="7" t="s">
        <v>423</v>
      </c>
      <c r="G367" s="8" t="s">
        <v>1102</v>
      </c>
      <c r="H367" s="7" t="s">
        <v>945</v>
      </c>
      <c r="I367" s="7" t="s">
        <v>1088</v>
      </c>
      <c r="J367" s="2" t="s">
        <v>1493</v>
      </c>
      <c r="K367" s="2" t="s">
        <v>1548</v>
      </c>
      <c r="L367" s="2" t="s">
        <v>1569</v>
      </c>
      <c r="M367" s="2" t="s">
        <v>2211</v>
      </c>
      <c r="N367" s="2" t="s">
        <v>2163</v>
      </c>
      <c r="O367" s="66"/>
      <c r="P367" s="66"/>
      <c r="Q367" s="66"/>
      <c r="R367" s="2" t="s">
        <v>2212</v>
      </c>
    </row>
    <row r="368" spans="1:18" ht="27.75" hidden="1" customHeight="1" x14ac:dyDescent="0.3">
      <c r="A368" s="8">
        <v>1303700010001</v>
      </c>
      <c r="B368" s="102" t="s">
        <v>421</v>
      </c>
      <c r="C368" s="7" t="s">
        <v>1103</v>
      </c>
      <c r="D368" s="7">
        <v>2011</v>
      </c>
      <c r="E368" s="7" t="s">
        <v>4</v>
      </c>
      <c r="F368" s="7" t="s">
        <v>423</v>
      </c>
      <c r="G368" s="8" t="s">
        <v>1104</v>
      </c>
      <c r="H368" s="7" t="s">
        <v>945</v>
      </c>
      <c r="I368" s="7" t="s">
        <v>1088</v>
      </c>
      <c r="J368" s="2" t="s">
        <v>1493</v>
      </c>
      <c r="K368" s="2" t="s">
        <v>1548</v>
      </c>
      <c r="L368" s="2" t="s">
        <v>1569</v>
      </c>
      <c r="M368" s="2" t="s">
        <v>2211</v>
      </c>
      <c r="N368" s="2" t="s">
        <v>2163</v>
      </c>
      <c r="O368" s="65"/>
      <c r="P368" s="65"/>
      <c r="Q368" s="65"/>
      <c r="R368" s="2" t="s">
        <v>2212</v>
      </c>
    </row>
    <row r="369" spans="1:18" ht="27.75" hidden="1" customHeight="1" x14ac:dyDescent="0.3">
      <c r="A369" s="8">
        <v>1303700010001</v>
      </c>
      <c r="B369" s="102" t="s">
        <v>421</v>
      </c>
      <c r="C369" s="7" t="s">
        <v>1105</v>
      </c>
      <c r="D369" s="7">
        <v>2011</v>
      </c>
      <c r="E369" s="7" t="s">
        <v>4</v>
      </c>
      <c r="F369" s="7" t="s">
        <v>423</v>
      </c>
      <c r="G369" s="8" t="s">
        <v>1106</v>
      </c>
      <c r="H369" s="7" t="s">
        <v>945</v>
      </c>
      <c r="I369" s="7" t="s">
        <v>1088</v>
      </c>
      <c r="J369" s="2" t="s">
        <v>1493</v>
      </c>
      <c r="K369" s="2" t="s">
        <v>1548</v>
      </c>
      <c r="L369" s="2" t="s">
        <v>1569</v>
      </c>
      <c r="M369" s="2" t="s">
        <v>2211</v>
      </c>
      <c r="N369" s="2" t="s">
        <v>2163</v>
      </c>
      <c r="O369" s="66"/>
      <c r="P369" s="66"/>
      <c r="Q369" s="66"/>
      <c r="R369" s="2" t="s">
        <v>2212</v>
      </c>
    </row>
    <row r="370" spans="1:18" ht="27.75" hidden="1" customHeight="1" x14ac:dyDescent="0.3">
      <c r="A370" s="8">
        <v>1303700010001</v>
      </c>
      <c r="B370" s="102" t="s">
        <v>421</v>
      </c>
      <c r="C370" s="7" t="s">
        <v>1120</v>
      </c>
      <c r="D370" s="7">
        <v>2010</v>
      </c>
      <c r="E370" s="7" t="s">
        <v>4</v>
      </c>
      <c r="F370" s="7" t="s">
        <v>423</v>
      </c>
      <c r="G370" s="8" t="s">
        <v>1121</v>
      </c>
      <c r="H370" s="7" t="s">
        <v>945</v>
      </c>
      <c r="I370" s="7" t="s">
        <v>1107</v>
      </c>
      <c r="J370" s="2" t="s">
        <v>1487</v>
      </c>
      <c r="K370" s="2" t="s">
        <v>1548</v>
      </c>
      <c r="L370" s="2" t="s">
        <v>1569</v>
      </c>
      <c r="M370" s="2" t="s">
        <v>2211</v>
      </c>
      <c r="N370" s="2" t="s">
        <v>2163</v>
      </c>
      <c r="O370" s="65"/>
      <c r="P370" s="65"/>
      <c r="Q370" s="65"/>
      <c r="R370" s="2" t="s">
        <v>2212</v>
      </c>
    </row>
    <row r="371" spans="1:18" ht="27.75" hidden="1" customHeight="1" x14ac:dyDescent="0.3">
      <c r="A371" s="8">
        <v>1306700010001</v>
      </c>
      <c r="B371" s="102" t="s">
        <v>1002</v>
      </c>
      <c r="C371" s="7" t="s">
        <v>1122</v>
      </c>
      <c r="D371" s="7">
        <v>2012</v>
      </c>
      <c r="E371" s="7" t="s">
        <v>19</v>
      </c>
      <c r="F371" s="7" t="s">
        <v>423</v>
      </c>
      <c r="G371" s="8" t="s">
        <v>1123</v>
      </c>
      <c r="H371" s="7" t="s">
        <v>945</v>
      </c>
      <c r="I371" s="7" t="s">
        <v>1107</v>
      </c>
      <c r="J371" s="2" t="s">
        <v>1487</v>
      </c>
      <c r="K371" s="2" t="s">
        <v>1548</v>
      </c>
      <c r="L371" s="2" t="s">
        <v>1569</v>
      </c>
      <c r="M371" s="2" t="s">
        <v>2211</v>
      </c>
      <c r="N371" s="2" t="s">
        <v>2163</v>
      </c>
      <c r="O371" s="66"/>
      <c r="P371" s="66"/>
      <c r="Q371" s="66"/>
      <c r="R371" s="2" t="s">
        <v>2212</v>
      </c>
    </row>
    <row r="372" spans="1:18" ht="27.75" hidden="1" customHeight="1" x14ac:dyDescent="0.3">
      <c r="A372" s="8">
        <v>1306700010002</v>
      </c>
      <c r="B372" s="102" t="s">
        <v>1005</v>
      </c>
      <c r="C372" s="7" t="s">
        <v>1460</v>
      </c>
      <c r="D372" s="7">
        <v>2013</v>
      </c>
      <c r="E372" s="7" t="s">
        <v>19</v>
      </c>
      <c r="F372" s="7" t="s">
        <v>423</v>
      </c>
      <c r="G372" s="8" t="s">
        <v>1124</v>
      </c>
      <c r="H372" s="7" t="s">
        <v>945</v>
      </c>
      <c r="I372" s="7" t="s">
        <v>1107</v>
      </c>
      <c r="J372" s="2" t="s">
        <v>1487</v>
      </c>
      <c r="K372" s="2" t="s">
        <v>1548</v>
      </c>
      <c r="L372" s="2" t="s">
        <v>1569</v>
      </c>
      <c r="M372" s="2" t="s">
        <v>2211</v>
      </c>
      <c r="N372" s="2" t="s">
        <v>2163</v>
      </c>
      <c r="O372" s="65"/>
      <c r="P372" s="65"/>
      <c r="Q372" s="65"/>
      <c r="R372" s="2" t="s">
        <v>2212</v>
      </c>
    </row>
    <row r="373" spans="1:18" ht="27.75" hidden="1" customHeight="1" x14ac:dyDescent="0.3">
      <c r="A373" s="8">
        <v>1303700010001</v>
      </c>
      <c r="B373" s="102" t="s">
        <v>421</v>
      </c>
      <c r="C373" s="7" t="s">
        <v>1138</v>
      </c>
      <c r="D373" s="7">
        <v>2010</v>
      </c>
      <c r="E373" s="7" t="s">
        <v>4</v>
      </c>
      <c r="F373" s="7" t="s">
        <v>423</v>
      </c>
      <c r="G373" s="8" t="s">
        <v>1139</v>
      </c>
      <c r="H373" s="7" t="s">
        <v>945</v>
      </c>
      <c r="I373" s="7" t="s">
        <v>1125</v>
      </c>
      <c r="J373" s="2" t="s">
        <v>1513</v>
      </c>
      <c r="K373" s="2" t="s">
        <v>1548</v>
      </c>
      <c r="L373" s="2" t="s">
        <v>1569</v>
      </c>
      <c r="M373" s="2" t="s">
        <v>2211</v>
      </c>
      <c r="N373" s="2" t="s">
        <v>2163</v>
      </c>
      <c r="O373" s="66"/>
      <c r="P373" s="66"/>
      <c r="Q373" s="66"/>
      <c r="R373" s="2" t="s">
        <v>2212</v>
      </c>
    </row>
    <row r="374" spans="1:18" ht="27.75" hidden="1" customHeight="1" x14ac:dyDescent="0.3">
      <c r="A374" s="8">
        <v>1303700010001</v>
      </c>
      <c r="B374" s="102" t="s">
        <v>421</v>
      </c>
      <c r="C374" s="7" t="s">
        <v>1140</v>
      </c>
      <c r="D374" s="7">
        <v>2010</v>
      </c>
      <c r="E374" s="7" t="s">
        <v>4</v>
      </c>
      <c r="F374" s="7" t="s">
        <v>423</v>
      </c>
      <c r="G374" s="8" t="s">
        <v>1141</v>
      </c>
      <c r="H374" s="7" t="s">
        <v>945</v>
      </c>
      <c r="I374" s="7" t="s">
        <v>1125</v>
      </c>
      <c r="J374" s="2" t="s">
        <v>1513</v>
      </c>
      <c r="K374" s="2" t="s">
        <v>1548</v>
      </c>
      <c r="L374" s="2" t="s">
        <v>1569</v>
      </c>
      <c r="M374" s="2" t="s">
        <v>2211</v>
      </c>
      <c r="N374" s="2" t="s">
        <v>2163</v>
      </c>
      <c r="O374" s="65"/>
      <c r="P374" s="65"/>
      <c r="Q374" s="65"/>
      <c r="R374" s="2" t="s">
        <v>2212</v>
      </c>
    </row>
    <row r="375" spans="1:18" ht="27.75" hidden="1" customHeight="1" x14ac:dyDescent="0.3">
      <c r="A375" s="8">
        <v>1303700010001</v>
      </c>
      <c r="B375" s="102" t="s">
        <v>421</v>
      </c>
      <c r="C375" s="7" t="s">
        <v>1142</v>
      </c>
      <c r="D375" s="7">
        <v>2010</v>
      </c>
      <c r="E375" s="7" t="s">
        <v>4</v>
      </c>
      <c r="F375" s="7" t="s">
        <v>423</v>
      </c>
      <c r="G375" s="8" t="s">
        <v>1143</v>
      </c>
      <c r="H375" s="7" t="s">
        <v>945</v>
      </c>
      <c r="I375" s="7" t="s">
        <v>1125</v>
      </c>
      <c r="J375" s="2" t="s">
        <v>1513</v>
      </c>
      <c r="K375" s="2" t="s">
        <v>1548</v>
      </c>
      <c r="L375" s="2" t="s">
        <v>1569</v>
      </c>
      <c r="M375" s="2" t="s">
        <v>2211</v>
      </c>
      <c r="N375" s="2" t="s">
        <v>2163</v>
      </c>
      <c r="O375" s="66"/>
      <c r="P375" s="66"/>
      <c r="Q375" s="66"/>
      <c r="R375" s="2" t="s">
        <v>2212</v>
      </c>
    </row>
    <row r="376" spans="1:18" ht="27.75" hidden="1" customHeight="1" x14ac:dyDescent="0.3">
      <c r="A376" s="8">
        <v>1303700010001</v>
      </c>
      <c r="B376" s="102" t="s">
        <v>421</v>
      </c>
      <c r="C376" s="7" t="s">
        <v>1155</v>
      </c>
      <c r="D376" s="7">
        <v>2010</v>
      </c>
      <c r="E376" s="7" t="s">
        <v>4</v>
      </c>
      <c r="F376" s="7" t="s">
        <v>423</v>
      </c>
      <c r="G376" s="8" t="s">
        <v>1156</v>
      </c>
      <c r="H376" s="7" t="s">
        <v>945</v>
      </c>
      <c r="I376" s="7" t="s">
        <v>1144</v>
      </c>
      <c r="J376" s="2" t="s">
        <v>1498</v>
      </c>
      <c r="K376" s="11" t="s">
        <v>1912</v>
      </c>
      <c r="L376" s="2"/>
      <c r="M376" s="2"/>
      <c r="N376" s="2"/>
      <c r="O376" s="65" t="s">
        <v>2236</v>
      </c>
      <c r="P376" s="65" t="s">
        <v>2024</v>
      </c>
      <c r="Q376" s="65" t="s">
        <v>2025</v>
      </c>
      <c r="R376" s="2"/>
    </row>
    <row r="377" spans="1:18" ht="27.75" hidden="1" customHeight="1" x14ac:dyDescent="0.3">
      <c r="A377" s="8">
        <v>1303700010001</v>
      </c>
      <c r="B377" s="102" t="s">
        <v>421</v>
      </c>
      <c r="C377" s="7" t="s">
        <v>1157</v>
      </c>
      <c r="D377" s="7">
        <v>2011</v>
      </c>
      <c r="E377" s="7" t="s">
        <v>4</v>
      </c>
      <c r="F377" s="7" t="s">
        <v>423</v>
      </c>
      <c r="G377" s="8" t="s">
        <v>1158</v>
      </c>
      <c r="H377" s="7" t="s">
        <v>945</v>
      </c>
      <c r="I377" s="7" t="s">
        <v>1144</v>
      </c>
      <c r="J377" s="2" t="s">
        <v>1498</v>
      </c>
      <c r="K377" s="2" t="s">
        <v>1548</v>
      </c>
      <c r="L377" s="2" t="s">
        <v>1569</v>
      </c>
      <c r="M377" s="2" t="s">
        <v>2211</v>
      </c>
      <c r="N377" s="2" t="s">
        <v>2163</v>
      </c>
      <c r="O377" s="66"/>
      <c r="P377" s="66"/>
      <c r="Q377" s="66"/>
      <c r="R377" s="2" t="s">
        <v>2212</v>
      </c>
    </row>
    <row r="378" spans="1:18" ht="27.75" hidden="1" customHeight="1" x14ac:dyDescent="0.3">
      <c r="A378" s="8">
        <v>1303700010001</v>
      </c>
      <c r="B378" s="102" t="s">
        <v>421</v>
      </c>
      <c r="C378" s="7" t="s">
        <v>1172</v>
      </c>
      <c r="D378" s="7">
        <v>2010</v>
      </c>
      <c r="E378" s="7" t="s">
        <v>4</v>
      </c>
      <c r="F378" s="7" t="s">
        <v>423</v>
      </c>
      <c r="G378" s="8" t="s">
        <v>1173</v>
      </c>
      <c r="H378" s="7" t="s">
        <v>945</v>
      </c>
      <c r="I378" s="7" t="s">
        <v>1159</v>
      </c>
      <c r="J378" s="2" t="s">
        <v>1537</v>
      </c>
      <c r="K378" s="2" t="s">
        <v>1548</v>
      </c>
      <c r="L378" s="2" t="s">
        <v>1569</v>
      </c>
      <c r="M378" s="2" t="s">
        <v>2211</v>
      </c>
      <c r="N378" s="2" t="s">
        <v>2163</v>
      </c>
      <c r="O378" s="65"/>
      <c r="P378" s="65"/>
      <c r="Q378" s="65"/>
      <c r="R378" s="2" t="s">
        <v>2212</v>
      </c>
    </row>
    <row r="379" spans="1:18" ht="27.75" hidden="1" customHeight="1" x14ac:dyDescent="0.3">
      <c r="A379" s="8">
        <v>1303700010001</v>
      </c>
      <c r="B379" s="102" t="s">
        <v>421</v>
      </c>
      <c r="C379" s="7" t="s">
        <v>1174</v>
      </c>
      <c r="D379" s="7">
        <v>2010</v>
      </c>
      <c r="E379" s="7" t="s">
        <v>4</v>
      </c>
      <c r="F379" s="7" t="s">
        <v>423</v>
      </c>
      <c r="G379" s="8" t="s">
        <v>1175</v>
      </c>
      <c r="H379" s="7" t="s">
        <v>945</v>
      </c>
      <c r="I379" s="7" t="s">
        <v>1159</v>
      </c>
      <c r="J379" s="2" t="s">
        <v>1537</v>
      </c>
      <c r="K379" s="2" t="s">
        <v>1548</v>
      </c>
      <c r="L379" s="2" t="s">
        <v>1569</v>
      </c>
      <c r="M379" s="2" t="s">
        <v>2211</v>
      </c>
      <c r="N379" s="2" t="s">
        <v>2163</v>
      </c>
      <c r="O379" s="66"/>
      <c r="P379" s="66"/>
      <c r="Q379" s="66"/>
      <c r="R379" s="2" t="s">
        <v>2212</v>
      </c>
    </row>
    <row r="380" spans="1:18" ht="27.75" hidden="1" customHeight="1" x14ac:dyDescent="0.3">
      <c r="A380" s="8">
        <v>1303700010001</v>
      </c>
      <c r="B380" s="102" t="s">
        <v>421</v>
      </c>
      <c r="C380" s="7" t="s">
        <v>1176</v>
      </c>
      <c r="D380" s="7">
        <v>2010</v>
      </c>
      <c r="E380" s="7" t="s">
        <v>4</v>
      </c>
      <c r="F380" s="7" t="s">
        <v>423</v>
      </c>
      <c r="G380" s="8" t="s">
        <v>1177</v>
      </c>
      <c r="H380" s="7" t="s">
        <v>945</v>
      </c>
      <c r="I380" s="7" t="s">
        <v>1159</v>
      </c>
      <c r="J380" s="2" t="s">
        <v>1537</v>
      </c>
      <c r="K380" s="2" t="s">
        <v>1548</v>
      </c>
      <c r="L380" s="2" t="s">
        <v>1569</v>
      </c>
      <c r="M380" s="2" t="s">
        <v>2211</v>
      </c>
      <c r="N380" s="2" t="s">
        <v>2163</v>
      </c>
      <c r="O380" s="65"/>
      <c r="P380" s="65"/>
      <c r="Q380" s="65"/>
      <c r="R380" s="2" t="s">
        <v>2212</v>
      </c>
    </row>
    <row r="381" spans="1:18" ht="27.75" hidden="1" customHeight="1" x14ac:dyDescent="0.3">
      <c r="A381" s="8">
        <v>1303700010001</v>
      </c>
      <c r="B381" s="102" t="s">
        <v>421</v>
      </c>
      <c r="C381" s="7" t="s">
        <v>1193</v>
      </c>
      <c r="D381" s="7">
        <v>2010</v>
      </c>
      <c r="E381" s="7" t="s">
        <v>4</v>
      </c>
      <c r="F381" s="7" t="s">
        <v>423</v>
      </c>
      <c r="G381" s="8" t="s">
        <v>1194</v>
      </c>
      <c r="H381" s="7" t="s">
        <v>945</v>
      </c>
      <c r="I381" s="7" t="s">
        <v>1178</v>
      </c>
      <c r="J381" s="2" t="s">
        <v>1525</v>
      </c>
      <c r="K381" s="2" t="s">
        <v>1548</v>
      </c>
      <c r="L381" s="2" t="s">
        <v>1569</v>
      </c>
      <c r="M381" s="2" t="s">
        <v>2211</v>
      </c>
      <c r="N381" s="2" t="s">
        <v>2163</v>
      </c>
      <c r="O381" s="66"/>
      <c r="P381" s="66"/>
      <c r="Q381" s="66"/>
      <c r="R381" s="2" t="s">
        <v>2212</v>
      </c>
    </row>
    <row r="382" spans="1:18" ht="27.75" hidden="1" customHeight="1" x14ac:dyDescent="0.3">
      <c r="A382" s="8">
        <v>1303700010001</v>
      </c>
      <c r="B382" s="102" t="s">
        <v>421</v>
      </c>
      <c r="C382" s="7" t="s">
        <v>1195</v>
      </c>
      <c r="D382" s="7">
        <v>2010</v>
      </c>
      <c r="E382" s="7" t="s">
        <v>4</v>
      </c>
      <c r="F382" s="7" t="s">
        <v>423</v>
      </c>
      <c r="G382" s="8" t="s">
        <v>1196</v>
      </c>
      <c r="H382" s="7" t="s">
        <v>945</v>
      </c>
      <c r="I382" s="7" t="s">
        <v>1178</v>
      </c>
      <c r="J382" s="2" t="s">
        <v>1525</v>
      </c>
      <c r="K382" s="2" t="s">
        <v>1548</v>
      </c>
      <c r="L382" s="2" t="s">
        <v>1569</v>
      </c>
      <c r="M382" s="2" t="s">
        <v>2211</v>
      </c>
      <c r="N382" s="2" t="s">
        <v>2163</v>
      </c>
      <c r="O382" s="65"/>
      <c r="P382" s="65"/>
      <c r="Q382" s="65"/>
      <c r="R382" s="2" t="s">
        <v>2212</v>
      </c>
    </row>
    <row r="383" spans="1:18" ht="27.75" hidden="1" customHeight="1" x14ac:dyDescent="0.3">
      <c r="A383" s="8">
        <v>1303700010001</v>
      </c>
      <c r="B383" s="102" t="s">
        <v>421</v>
      </c>
      <c r="C383" s="7" t="s">
        <v>1197</v>
      </c>
      <c r="D383" s="7">
        <v>2011</v>
      </c>
      <c r="E383" s="7" t="s">
        <v>4</v>
      </c>
      <c r="F383" s="7" t="s">
        <v>423</v>
      </c>
      <c r="G383" s="8" t="s">
        <v>1198</v>
      </c>
      <c r="H383" s="7" t="s">
        <v>945</v>
      </c>
      <c r="I383" s="7" t="s">
        <v>1178</v>
      </c>
      <c r="J383" s="2" t="s">
        <v>1525</v>
      </c>
      <c r="K383" s="2" t="s">
        <v>1548</v>
      </c>
      <c r="L383" s="2" t="s">
        <v>1569</v>
      </c>
      <c r="M383" s="2" t="s">
        <v>2211</v>
      </c>
      <c r="N383" s="2" t="s">
        <v>2163</v>
      </c>
      <c r="O383" s="66"/>
      <c r="P383" s="66"/>
      <c r="Q383" s="66"/>
      <c r="R383" s="2" t="s">
        <v>2212</v>
      </c>
    </row>
    <row r="384" spans="1:18" ht="27.75" hidden="1" customHeight="1" x14ac:dyDescent="0.3">
      <c r="A384" s="8">
        <v>1204700010003</v>
      </c>
      <c r="B384" s="7" t="s">
        <v>96</v>
      </c>
      <c r="C384" s="90" t="s">
        <v>612</v>
      </c>
      <c r="D384" s="7">
        <v>2008</v>
      </c>
      <c r="E384" s="7" t="s">
        <v>19</v>
      </c>
      <c r="F384" s="96" t="s">
        <v>10</v>
      </c>
      <c r="G384" s="8" t="s">
        <v>613</v>
      </c>
      <c r="H384" s="7" t="s">
        <v>263</v>
      </c>
      <c r="I384" s="7" t="s">
        <v>602</v>
      </c>
      <c r="J384" s="65" t="s">
        <v>1498</v>
      </c>
      <c r="K384" s="11" t="s">
        <v>1912</v>
      </c>
      <c r="L384" s="2"/>
      <c r="M384" s="2"/>
      <c r="N384" s="2"/>
      <c r="O384" s="65" t="s">
        <v>2245</v>
      </c>
      <c r="P384" s="65" t="s">
        <v>2024</v>
      </c>
      <c r="Q384" s="65" t="s">
        <v>2025</v>
      </c>
      <c r="R384" s="65"/>
    </row>
    <row r="385" spans="1:18" ht="27.75" hidden="1" customHeight="1" x14ac:dyDescent="0.3">
      <c r="A385" s="8">
        <v>1204700020009</v>
      </c>
      <c r="B385" s="7" t="s">
        <v>29</v>
      </c>
      <c r="C385" s="7" t="s">
        <v>1093</v>
      </c>
      <c r="D385" s="7">
        <v>2016</v>
      </c>
      <c r="E385" s="7" t="s">
        <v>19</v>
      </c>
      <c r="F385" s="7" t="s">
        <v>261</v>
      </c>
      <c r="G385" s="8" t="s">
        <v>1094</v>
      </c>
      <c r="H385" s="7" t="s">
        <v>945</v>
      </c>
      <c r="I385" s="7" t="s">
        <v>1088</v>
      </c>
      <c r="J385" s="2" t="s">
        <v>1493</v>
      </c>
      <c r="K385" s="11" t="s">
        <v>1912</v>
      </c>
      <c r="L385" s="66"/>
      <c r="M385" s="66"/>
      <c r="N385" s="69"/>
      <c r="O385" s="2" t="s">
        <v>2232</v>
      </c>
      <c r="P385" s="2"/>
      <c r="Q385" s="66"/>
      <c r="R385" s="2" t="s">
        <v>2207</v>
      </c>
    </row>
    <row r="386" spans="1:18" ht="27.75" hidden="1" customHeight="1" x14ac:dyDescent="0.3">
      <c r="A386" s="8">
        <v>1204700020009</v>
      </c>
      <c r="B386" s="7" t="s">
        <v>29</v>
      </c>
      <c r="C386" s="7" t="s">
        <v>1097</v>
      </c>
      <c r="D386" s="7">
        <v>2016</v>
      </c>
      <c r="E386" s="7" t="s">
        <v>19</v>
      </c>
      <c r="F386" s="7" t="s">
        <v>261</v>
      </c>
      <c r="G386" s="8" t="s">
        <v>1098</v>
      </c>
      <c r="H386" s="7" t="s">
        <v>945</v>
      </c>
      <c r="I386" s="7" t="s">
        <v>1088</v>
      </c>
      <c r="J386" s="2" t="s">
        <v>1493</v>
      </c>
      <c r="K386" s="11" t="s">
        <v>1912</v>
      </c>
      <c r="L386" s="65"/>
      <c r="M386" s="65"/>
      <c r="N386" s="64"/>
      <c r="O386" s="2" t="s">
        <v>2232</v>
      </c>
      <c r="P386" s="65"/>
      <c r="Q386" s="65"/>
      <c r="R386" s="2" t="s">
        <v>2206</v>
      </c>
    </row>
    <row r="387" spans="1:18" ht="27.75" hidden="1" customHeight="1" x14ac:dyDescent="0.3">
      <c r="A387" s="58">
        <v>1106700020003</v>
      </c>
      <c r="B387" s="7" t="s">
        <v>54</v>
      </c>
      <c r="C387" s="7" t="s">
        <v>832</v>
      </c>
      <c r="D387" s="70">
        <v>2012</v>
      </c>
      <c r="E387" s="7" t="s">
        <v>19</v>
      </c>
      <c r="F387" s="7" t="s">
        <v>56</v>
      </c>
      <c r="G387" s="8" t="s">
        <v>833</v>
      </c>
      <c r="H387" s="7" t="s">
        <v>35</v>
      </c>
      <c r="I387" s="7" t="s">
        <v>827</v>
      </c>
      <c r="J387" s="2" t="s">
        <v>1531</v>
      </c>
      <c r="K387" s="2" t="s">
        <v>1548</v>
      </c>
      <c r="L387" s="2" t="s">
        <v>1615</v>
      </c>
      <c r="M387" s="2" t="s">
        <v>2490</v>
      </c>
      <c r="N387" s="2" t="s">
        <v>2541</v>
      </c>
      <c r="O387" s="2" t="s">
        <v>2233</v>
      </c>
      <c r="P387" s="66" t="s">
        <v>1531</v>
      </c>
      <c r="Q387" s="66" t="s">
        <v>2020</v>
      </c>
      <c r="R387" s="66"/>
    </row>
    <row r="388" spans="1:18" ht="27.75" hidden="1" customHeight="1" x14ac:dyDescent="0.3">
      <c r="A388" s="75">
        <v>1101700010006</v>
      </c>
      <c r="B388" s="7" t="s">
        <v>2075</v>
      </c>
      <c r="C388" s="7" t="s">
        <v>100</v>
      </c>
      <c r="D388" s="7">
        <v>2012</v>
      </c>
      <c r="E388" s="7" t="s">
        <v>19</v>
      </c>
      <c r="F388" s="7" t="s">
        <v>52</v>
      </c>
      <c r="G388" s="8" t="s">
        <v>101</v>
      </c>
      <c r="H388" s="7" t="s">
        <v>35</v>
      </c>
      <c r="I388" s="7" t="s">
        <v>99</v>
      </c>
      <c r="J388" s="2" t="s">
        <v>1493</v>
      </c>
      <c r="K388" s="2" t="s">
        <v>1548</v>
      </c>
      <c r="L388" s="2" t="s">
        <v>1567</v>
      </c>
      <c r="M388" s="2" t="s">
        <v>2403</v>
      </c>
      <c r="N388" s="9" t="s">
        <v>2402</v>
      </c>
      <c r="O388" s="65"/>
      <c r="P388" s="65" t="s">
        <v>2045</v>
      </c>
      <c r="Q388" s="65" t="s">
        <v>2048</v>
      </c>
      <c r="R388" s="2" t="s">
        <v>2234</v>
      </c>
    </row>
    <row r="389" spans="1:18" ht="27.75" hidden="1" customHeight="1" x14ac:dyDescent="0.3">
      <c r="A389" s="74">
        <v>1105700150001</v>
      </c>
      <c r="B389" s="7" t="s">
        <v>317</v>
      </c>
      <c r="C389" s="7" t="s">
        <v>318</v>
      </c>
      <c r="D389" s="7">
        <v>2010</v>
      </c>
      <c r="E389" s="7" t="s">
        <v>19</v>
      </c>
      <c r="F389" s="97" t="s">
        <v>42</v>
      </c>
      <c r="G389" s="101" t="s">
        <v>319</v>
      </c>
      <c r="H389" s="7" t="s">
        <v>263</v>
      </c>
      <c r="I389" s="7" t="s">
        <v>270</v>
      </c>
      <c r="J389" s="66" t="s">
        <v>1544</v>
      </c>
      <c r="K389" s="2" t="s">
        <v>1548</v>
      </c>
      <c r="L389" s="2" t="s">
        <v>1571</v>
      </c>
      <c r="M389" s="2" t="s">
        <v>2238</v>
      </c>
      <c r="N389" s="9" t="s">
        <v>2237</v>
      </c>
      <c r="O389" s="66"/>
      <c r="P389" s="66" t="s">
        <v>2053</v>
      </c>
      <c r="Q389" s="66"/>
      <c r="R389" s="66"/>
    </row>
    <row r="390" spans="1:18" ht="27.75" hidden="1" customHeight="1" x14ac:dyDescent="0.3">
      <c r="A390" s="8">
        <v>1102700020004</v>
      </c>
      <c r="B390" s="7" t="s">
        <v>136</v>
      </c>
      <c r="C390" s="7" t="s">
        <v>1283</v>
      </c>
      <c r="D390" s="7">
        <v>2015</v>
      </c>
      <c r="E390" s="7" t="s">
        <v>19</v>
      </c>
      <c r="F390" s="7" t="s">
        <v>66</v>
      </c>
      <c r="G390" s="8" t="s">
        <v>1284</v>
      </c>
      <c r="H390" s="7" t="s">
        <v>263</v>
      </c>
      <c r="I390" s="7" t="s">
        <v>1225</v>
      </c>
      <c r="J390" s="65" t="s">
        <v>1544</v>
      </c>
      <c r="K390" s="65" t="s">
        <v>1548</v>
      </c>
      <c r="L390" s="2" t="s">
        <v>1564</v>
      </c>
      <c r="M390" s="2" t="s">
        <v>2239</v>
      </c>
      <c r="N390" s="9" t="s">
        <v>2237</v>
      </c>
      <c r="O390" s="65"/>
      <c r="P390" s="65" t="s">
        <v>2053</v>
      </c>
      <c r="Q390" s="65"/>
      <c r="R390" s="65"/>
    </row>
    <row r="391" spans="1:18" ht="27.75" hidden="1" customHeight="1" x14ac:dyDescent="0.3">
      <c r="A391" s="75">
        <v>1101700010006</v>
      </c>
      <c r="B391" s="7" t="s">
        <v>2075</v>
      </c>
      <c r="C391" s="7" t="s">
        <v>902</v>
      </c>
      <c r="D391" s="7">
        <v>2015</v>
      </c>
      <c r="E391" s="7" t="s">
        <v>19</v>
      </c>
      <c r="F391" s="7" t="s">
        <v>52</v>
      </c>
      <c r="G391" s="8" t="s">
        <v>903</v>
      </c>
      <c r="H391" s="7" t="s">
        <v>35</v>
      </c>
      <c r="I391" s="7" t="s">
        <v>901</v>
      </c>
      <c r="J391" s="66" t="s">
        <v>1498</v>
      </c>
      <c r="K391" s="66" t="s">
        <v>1548</v>
      </c>
      <c r="L391" s="66" t="s">
        <v>1564</v>
      </c>
      <c r="M391" s="66" t="s">
        <v>2242</v>
      </c>
      <c r="N391" s="69" t="s">
        <v>2241</v>
      </c>
      <c r="O391" s="66"/>
      <c r="P391" s="66" t="s">
        <v>2024</v>
      </c>
      <c r="Q391" s="66" t="s">
        <v>2028</v>
      </c>
      <c r="R391" s="66"/>
    </row>
    <row r="392" spans="1:18" ht="27.75" hidden="1" customHeight="1" x14ac:dyDescent="0.3">
      <c r="A392" s="58">
        <v>1106700020003</v>
      </c>
      <c r="B392" s="7" t="s">
        <v>54</v>
      </c>
      <c r="C392" s="7" t="s">
        <v>795</v>
      </c>
      <c r="D392" s="70">
        <v>2012</v>
      </c>
      <c r="E392" s="7" t="s">
        <v>19</v>
      </c>
      <c r="F392" s="7" t="s">
        <v>56</v>
      </c>
      <c r="G392" s="8" t="s">
        <v>796</v>
      </c>
      <c r="H392" s="7" t="s">
        <v>35</v>
      </c>
      <c r="I392" s="7" t="s">
        <v>792</v>
      </c>
      <c r="J392" s="2" t="s">
        <v>1525</v>
      </c>
      <c r="K392" s="2" t="s">
        <v>1548</v>
      </c>
      <c r="L392" s="2" t="s">
        <v>1564</v>
      </c>
      <c r="M392" s="2" t="s">
        <v>2693</v>
      </c>
      <c r="N392" s="2" t="s">
        <v>2694</v>
      </c>
      <c r="O392" s="2" t="s">
        <v>2489</v>
      </c>
      <c r="P392" s="65" t="s">
        <v>1525</v>
      </c>
      <c r="Q392" s="65" t="s">
        <v>2017</v>
      </c>
      <c r="R392" s="65"/>
    </row>
    <row r="393" spans="1:18" ht="27.75" hidden="1" customHeight="1" x14ac:dyDescent="0.3">
      <c r="A393" s="8">
        <v>1106700010010</v>
      </c>
      <c r="B393" s="7" t="s">
        <v>114</v>
      </c>
      <c r="C393" s="7" t="s">
        <v>115</v>
      </c>
      <c r="D393" s="7">
        <v>2003</v>
      </c>
      <c r="E393" s="7" t="s">
        <v>19</v>
      </c>
      <c r="F393" s="7" t="s">
        <v>104</v>
      </c>
      <c r="G393" s="8" t="s">
        <v>116</v>
      </c>
      <c r="H393" s="7" t="s">
        <v>35</v>
      </c>
      <c r="I393" s="7" t="s">
        <v>112</v>
      </c>
      <c r="J393" s="66" t="s">
        <v>1471</v>
      </c>
      <c r="K393" s="66" t="s">
        <v>1548</v>
      </c>
      <c r="L393" s="66" t="s">
        <v>1564</v>
      </c>
      <c r="M393" s="2" t="s">
        <v>2246</v>
      </c>
      <c r="N393" s="9" t="s">
        <v>2245</v>
      </c>
      <c r="O393" s="66"/>
      <c r="P393" s="66" t="s">
        <v>1471</v>
      </c>
      <c r="Q393" s="66" t="s">
        <v>1996</v>
      </c>
      <c r="R393" s="66"/>
    </row>
    <row r="394" spans="1:18" ht="27.75" hidden="1" customHeight="1" x14ac:dyDescent="0.3">
      <c r="A394" s="8">
        <v>1205700010001</v>
      </c>
      <c r="B394" s="7" t="s">
        <v>388</v>
      </c>
      <c r="C394" s="7" t="s">
        <v>699</v>
      </c>
      <c r="D394" s="7">
        <v>2008</v>
      </c>
      <c r="E394" s="7" t="s">
        <v>19</v>
      </c>
      <c r="F394" s="97" t="s">
        <v>20</v>
      </c>
      <c r="G394" s="101" t="s">
        <v>700</v>
      </c>
      <c r="H394" s="7" t="s">
        <v>263</v>
      </c>
      <c r="I394" s="7" t="s">
        <v>632</v>
      </c>
      <c r="J394" s="65" t="s">
        <v>1544</v>
      </c>
      <c r="K394" s="11" t="s">
        <v>1912</v>
      </c>
      <c r="L394" s="2"/>
      <c r="M394" s="2" t="s">
        <v>2248</v>
      </c>
      <c r="N394" s="2" t="s">
        <v>2245</v>
      </c>
      <c r="O394" s="2" t="s">
        <v>2418</v>
      </c>
      <c r="P394" s="65" t="s">
        <v>2053</v>
      </c>
      <c r="Q394" s="65"/>
      <c r="R394" s="2" t="s">
        <v>2249</v>
      </c>
    </row>
    <row r="395" spans="1:18" ht="27.75" hidden="1" customHeight="1" x14ac:dyDescent="0.3">
      <c r="A395" s="8">
        <v>1204700010003</v>
      </c>
      <c r="B395" s="7" t="s">
        <v>96</v>
      </c>
      <c r="C395" s="90" t="s">
        <v>688</v>
      </c>
      <c r="D395" s="7">
        <v>2008</v>
      </c>
      <c r="E395" s="7" t="s">
        <v>19</v>
      </c>
      <c r="F395" s="96" t="s">
        <v>10</v>
      </c>
      <c r="G395" s="8" t="s">
        <v>689</v>
      </c>
      <c r="H395" s="7" t="s">
        <v>263</v>
      </c>
      <c r="I395" s="7" t="s">
        <v>632</v>
      </c>
      <c r="J395" s="110" t="s">
        <v>1506</v>
      </c>
      <c r="K395" s="11" t="s">
        <v>1912</v>
      </c>
      <c r="L395" s="2" t="s">
        <v>1613</v>
      </c>
      <c r="M395" s="2" t="s">
        <v>1627</v>
      </c>
      <c r="N395" s="2" t="s">
        <v>2504</v>
      </c>
      <c r="O395" s="2" t="s">
        <v>2508</v>
      </c>
      <c r="P395" s="66" t="s">
        <v>1506</v>
      </c>
      <c r="Q395" s="66" t="s">
        <v>2004</v>
      </c>
      <c r="R395" s="2" t="s">
        <v>2132</v>
      </c>
    </row>
    <row r="396" spans="1:18" ht="27.75" hidden="1" customHeight="1" x14ac:dyDescent="0.3">
      <c r="A396" s="8">
        <v>1106700010003</v>
      </c>
      <c r="B396" s="7" t="s">
        <v>102</v>
      </c>
      <c r="C396" s="7" t="s">
        <v>1465</v>
      </c>
      <c r="D396" s="7">
        <v>1992</v>
      </c>
      <c r="E396" s="7" t="s">
        <v>19</v>
      </c>
      <c r="F396" s="7" t="s">
        <v>104</v>
      </c>
      <c r="G396" s="8" t="s">
        <v>1338</v>
      </c>
      <c r="H396" s="7" t="s">
        <v>263</v>
      </c>
      <c r="I396" s="7" t="s">
        <v>1225</v>
      </c>
      <c r="J396" s="65" t="s">
        <v>1544</v>
      </c>
      <c r="K396" s="2" t="s">
        <v>1548</v>
      </c>
      <c r="L396" s="2" t="s">
        <v>1571</v>
      </c>
      <c r="M396" s="2" t="s">
        <v>1644</v>
      </c>
      <c r="N396" s="9" t="s">
        <v>2251</v>
      </c>
      <c r="O396" s="65"/>
      <c r="P396" s="65" t="s">
        <v>2053</v>
      </c>
      <c r="Q396" s="65"/>
      <c r="R396" s="65"/>
    </row>
    <row r="397" spans="1:18" ht="27.75" hidden="1" customHeight="1" x14ac:dyDescent="0.3">
      <c r="A397" s="8">
        <v>1101700010009</v>
      </c>
      <c r="B397" s="7" t="s">
        <v>717</v>
      </c>
      <c r="C397" s="7" t="s">
        <v>1456</v>
      </c>
      <c r="D397" s="7" t="s">
        <v>1456</v>
      </c>
      <c r="E397" s="7" t="s">
        <v>376</v>
      </c>
      <c r="F397" s="97" t="s">
        <v>247</v>
      </c>
      <c r="G397" s="101" t="s">
        <v>718</v>
      </c>
      <c r="H397" s="7" t="s">
        <v>715</v>
      </c>
      <c r="I397" s="7" t="s">
        <v>716</v>
      </c>
      <c r="J397" s="2" t="s">
        <v>1544</v>
      </c>
      <c r="K397" s="11" t="s">
        <v>1912</v>
      </c>
      <c r="L397" s="2"/>
      <c r="M397" s="2"/>
      <c r="N397" s="2"/>
      <c r="O397" s="2" t="s">
        <v>2360</v>
      </c>
      <c r="P397" s="66" t="s">
        <v>2053</v>
      </c>
      <c r="Q397" s="66"/>
      <c r="R397" s="66" t="s">
        <v>2260</v>
      </c>
    </row>
    <row r="398" spans="1:18" ht="27.75" hidden="1" customHeight="1" x14ac:dyDescent="0.3">
      <c r="A398" s="8">
        <v>1204700020003</v>
      </c>
      <c r="B398" s="7" t="s">
        <v>13</v>
      </c>
      <c r="C398" s="7" t="s">
        <v>1110</v>
      </c>
      <c r="D398" s="110">
        <v>2010</v>
      </c>
      <c r="E398" s="7" t="s">
        <v>19</v>
      </c>
      <c r="F398" s="96" t="s">
        <v>10</v>
      </c>
      <c r="G398" s="8" t="s">
        <v>1111</v>
      </c>
      <c r="H398" s="7" t="s">
        <v>945</v>
      </c>
      <c r="I398" s="7" t="s">
        <v>1107</v>
      </c>
      <c r="J398" s="110" t="s">
        <v>1525</v>
      </c>
      <c r="K398" s="2" t="s">
        <v>1548</v>
      </c>
      <c r="L398" s="2" t="s">
        <v>1564</v>
      </c>
      <c r="M398" s="2" t="s">
        <v>2464</v>
      </c>
      <c r="N398" s="9" t="s">
        <v>2465</v>
      </c>
      <c r="O398" s="2" t="s">
        <v>2365</v>
      </c>
      <c r="P398" s="65" t="s">
        <v>1525</v>
      </c>
      <c r="Q398" s="65" t="s">
        <v>2014</v>
      </c>
      <c r="R398" s="65"/>
    </row>
    <row r="399" spans="1:18" ht="27.75" hidden="1" customHeight="1" x14ac:dyDescent="0.3">
      <c r="A399" s="8">
        <v>1204700020003</v>
      </c>
      <c r="B399" s="7" t="s">
        <v>13</v>
      </c>
      <c r="C399" s="90" t="s">
        <v>47</v>
      </c>
      <c r="D399" s="110">
        <v>2009</v>
      </c>
      <c r="E399" s="7" t="s">
        <v>19</v>
      </c>
      <c r="F399" s="96" t="s">
        <v>10</v>
      </c>
      <c r="G399" s="8" t="s">
        <v>48</v>
      </c>
      <c r="H399" s="7" t="s">
        <v>35</v>
      </c>
      <c r="I399" s="7" t="s">
        <v>39</v>
      </c>
      <c r="J399" s="110" t="s">
        <v>1506</v>
      </c>
      <c r="K399" s="2" t="s">
        <v>1548</v>
      </c>
      <c r="L399" s="2" t="s">
        <v>1564</v>
      </c>
      <c r="M399" s="2" t="s">
        <v>1897</v>
      </c>
      <c r="N399" s="2" t="s">
        <v>2306</v>
      </c>
      <c r="O399" s="66"/>
      <c r="P399" s="66" t="s">
        <v>1506</v>
      </c>
      <c r="Q399" s="66" t="s">
        <v>2004</v>
      </c>
      <c r="R399" s="66"/>
    </row>
    <row r="400" spans="1:18" ht="27.75" hidden="1" customHeight="1" x14ac:dyDescent="0.3">
      <c r="A400" s="58">
        <v>1106700020003</v>
      </c>
      <c r="B400" s="7" t="s">
        <v>54</v>
      </c>
      <c r="C400" s="7" t="s">
        <v>839</v>
      </c>
      <c r="D400" s="70">
        <v>2015</v>
      </c>
      <c r="E400" s="7" t="s">
        <v>19</v>
      </c>
      <c r="F400" s="7" t="s">
        <v>56</v>
      </c>
      <c r="G400" s="8" t="s">
        <v>840</v>
      </c>
      <c r="H400" s="7" t="s">
        <v>35</v>
      </c>
      <c r="I400" s="7" t="s">
        <v>834</v>
      </c>
      <c r="J400" s="2" t="s">
        <v>1493</v>
      </c>
      <c r="K400" s="11" t="s">
        <v>1912</v>
      </c>
      <c r="L400" s="2" t="s">
        <v>1615</v>
      </c>
      <c r="M400" s="2" t="s">
        <v>2431</v>
      </c>
      <c r="N400" s="2" t="s">
        <v>2425</v>
      </c>
      <c r="O400" s="2" t="s">
        <v>2448</v>
      </c>
      <c r="P400" s="65" t="s">
        <v>2045</v>
      </c>
      <c r="Q400" s="65" t="s">
        <v>2046</v>
      </c>
      <c r="R400" s="65"/>
    </row>
    <row r="401" spans="1:18" ht="27.75" hidden="1" customHeight="1" x14ac:dyDescent="0.3">
      <c r="A401" s="58">
        <v>1106700020003</v>
      </c>
      <c r="B401" s="7" t="s">
        <v>54</v>
      </c>
      <c r="C401" s="7" t="s">
        <v>94</v>
      </c>
      <c r="D401" s="70">
        <v>2013</v>
      </c>
      <c r="E401" s="7" t="s">
        <v>19</v>
      </c>
      <c r="F401" s="7" t="s">
        <v>56</v>
      </c>
      <c r="G401" s="8" t="s">
        <v>95</v>
      </c>
      <c r="H401" s="7" t="s">
        <v>35</v>
      </c>
      <c r="I401" s="7" t="s">
        <v>89</v>
      </c>
      <c r="J401" s="2" t="s">
        <v>1525</v>
      </c>
      <c r="K401" s="11" t="s">
        <v>1912</v>
      </c>
      <c r="L401" s="2" t="s">
        <v>1564</v>
      </c>
      <c r="M401" s="2" t="s">
        <v>1897</v>
      </c>
      <c r="N401" s="2" t="s">
        <v>2528</v>
      </c>
      <c r="O401" s="2" t="s">
        <v>2648</v>
      </c>
      <c r="P401" s="66" t="s">
        <v>1525</v>
      </c>
      <c r="Q401" s="66" t="s">
        <v>2014</v>
      </c>
      <c r="R401" s="66"/>
    </row>
    <row r="402" spans="1:18" ht="27.75" hidden="1" customHeight="1" x14ac:dyDescent="0.3">
      <c r="A402" s="8">
        <v>1101700010006</v>
      </c>
      <c r="B402" s="7" t="s">
        <v>50</v>
      </c>
      <c r="C402" s="7" t="s">
        <v>639</v>
      </c>
      <c r="D402" s="7">
        <v>2010</v>
      </c>
      <c r="E402" s="7" t="s">
        <v>19</v>
      </c>
      <c r="F402" s="7" t="s">
        <v>52</v>
      </c>
      <c r="G402" s="8" t="s">
        <v>640</v>
      </c>
      <c r="H402" s="7" t="s">
        <v>263</v>
      </c>
      <c r="I402" s="7" t="s">
        <v>632</v>
      </c>
      <c r="J402" s="2" t="s">
        <v>1506</v>
      </c>
      <c r="K402" s="2" t="s">
        <v>1548</v>
      </c>
      <c r="L402" s="2" t="s">
        <v>1564</v>
      </c>
      <c r="M402" s="2" t="s">
        <v>2651</v>
      </c>
      <c r="N402" s="2" t="s">
        <v>2646</v>
      </c>
      <c r="O402" s="2" t="s">
        <v>2504</v>
      </c>
      <c r="P402" s="65" t="s">
        <v>1506</v>
      </c>
      <c r="Q402" s="65" t="s">
        <v>2007</v>
      </c>
      <c r="R402" s="65"/>
    </row>
    <row r="403" spans="1:18" ht="27.75" hidden="1" customHeight="1" x14ac:dyDescent="0.3">
      <c r="A403" s="58">
        <v>1106700020003</v>
      </c>
      <c r="B403" s="7" t="s">
        <v>54</v>
      </c>
      <c r="C403" s="7" t="s">
        <v>492</v>
      </c>
      <c r="D403" s="70">
        <v>2016</v>
      </c>
      <c r="E403" s="7" t="s">
        <v>19</v>
      </c>
      <c r="F403" s="7" t="s">
        <v>56</v>
      </c>
      <c r="G403" s="8" t="s">
        <v>493</v>
      </c>
      <c r="H403" s="7" t="s">
        <v>263</v>
      </c>
      <c r="I403" s="7" t="s">
        <v>485</v>
      </c>
      <c r="J403" s="2" t="s">
        <v>1518</v>
      </c>
      <c r="K403" s="11" t="s">
        <v>1912</v>
      </c>
      <c r="L403" s="2" t="s">
        <v>1571</v>
      </c>
      <c r="M403" s="2" t="s">
        <v>2317</v>
      </c>
      <c r="N403" s="2" t="s">
        <v>2316</v>
      </c>
      <c r="O403" s="2" t="s">
        <v>2434</v>
      </c>
      <c r="P403" s="66" t="s">
        <v>1518</v>
      </c>
      <c r="Q403" s="66" t="s">
        <v>1992</v>
      </c>
      <c r="R403" s="66"/>
    </row>
    <row r="404" spans="1:18" ht="27.75" hidden="1" customHeight="1" x14ac:dyDescent="0.3">
      <c r="A404" s="8">
        <v>1205700010001</v>
      </c>
      <c r="B404" s="7" t="s">
        <v>388</v>
      </c>
      <c r="C404" s="7" t="s">
        <v>1442</v>
      </c>
      <c r="D404" s="110">
        <v>2006</v>
      </c>
      <c r="E404" s="7" t="s">
        <v>19</v>
      </c>
      <c r="F404" s="97" t="s">
        <v>20</v>
      </c>
      <c r="G404" s="101" t="s">
        <v>601</v>
      </c>
      <c r="H404" s="7" t="s">
        <v>263</v>
      </c>
      <c r="I404" s="7" t="s">
        <v>583</v>
      </c>
      <c r="J404" s="65" t="s">
        <v>1544</v>
      </c>
      <c r="K404" s="9" t="s">
        <v>1553</v>
      </c>
      <c r="L404" s="2" t="s">
        <v>1571</v>
      </c>
      <c r="M404" s="2" t="s">
        <v>1609</v>
      </c>
      <c r="N404" s="2" t="s">
        <v>2163</v>
      </c>
      <c r="O404" s="65"/>
      <c r="P404" s="65" t="s">
        <v>1513</v>
      </c>
      <c r="Q404" s="65" t="s">
        <v>2029</v>
      </c>
      <c r="R404" s="2" t="s">
        <v>2300</v>
      </c>
    </row>
    <row r="405" spans="1:18" ht="27.75" hidden="1" customHeight="1" x14ac:dyDescent="0.3">
      <c r="A405" s="8">
        <v>1106700010003</v>
      </c>
      <c r="B405" s="7" t="s">
        <v>102</v>
      </c>
      <c r="C405" s="7" t="s">
        <v>121</v>
      </c>
      <c r="D405" s="7">
        <v>1991</v>
      </c>
      <c r="E405" s="7" t="s">
        <v>19</v>
      </c>
      <c r="F405" s="7" t="s">
        <v>104</v>
      </c>
      <c r="G405" s="8">
        <v>34600152728919</v>
      </c>
      <c r="H405" s="7" t="s">
        <v>35</v>
      </c>
      <c r="I405" s="7" t="s">
        <v>118</v>
      </c>
      <c r="J405" s="2" t="s">
        <v>1487</v>
      </c>
      <c r="K405" s="11" t="s">
        <v>1912</v>
      </c>
      <c r="L405" s="2" t="s">
        <v>1571</v>
      </c>
      <c r="M405" s="2" t="s">
        <v>2394</v>
      </c>
      <c r="N405" s="2" t="s">
        <v>2545</v>
      </c>
      <c r="O405" s="2" t="s">
        <v>2545</v>
      </c>
      <c r="P405" s="66" t="s">
        <v>2045</v>
      </c>
      <c r="Q405" s="66" t="s">
        <v>2046</v>
      </c>
      <c r="R405" s="66"/>
    </row>
    <row r="406" spans="1:18" ht="27.75" hidden="1" customHeight="1" x14ac:dyDescent="0.3">
      <c r="A406" s="8">
        <v>1105700160001</v>
      </c>
      <c r="B406" s="7" t="s">
        <v>438</v>
      </c>
      <c r="C406" s="7" t="s">
        <v>439</v>
      </c>
      <c r="D406" s="7">
        <v>2010</v>
      </c>
      <c r="E406" s="7" t="s">
        <v>19</v>
      </c>
      <c r="F406" s="97" t="s">
        <v>440</v>
      </c>
      <c r="G406" s="101" t="s">
        <v>441</v>
      </c>
      <c r="H406" s="7" t="s">
        <v>263</v>
      </c>
      <c r="I406" s="7" t="s">
        <v>430</v>
      </c>
      <c r="J406" s="65" t="s">
        <v>1506</v>
      </c>
      <c r="K406" s="11" t="s">
        <v>1912</v>
      </c>
      <c r="L406" s="2"/>
      <c r="M406" s="2"/>
      <c r="N406" s="2"/>
      <c r="O406" s="2" t="s">
        <v>2319</v>
      </c>
      <c r="P406" s="65" t="s">
        <v>1506</v>
      </c>
      <c r="Q406" s="65" t="s">
        <v>2006</v>
      </c>
      <c r="R406" s="65" t="s">
        <v>2327</v>
      </c>
    </row>
    <row r="407" spans="1:18" ht="27.75" hidden="1" customHeight="1" x14ac:dyDescent="0.3">
      <c r="A407" s="75">
        <v>1101700010006</v>
      </c>
      <c r="B407" s="7" t="s">
        <v>2075</v>
      </c>
      <c r="C407" s="7" t="s">
        <v>888</v>
      </c>
      <c r="D407" s="7">
        <v>2015</v>
      </c>
      <c r="E407" s="7" t="s">
        <v>19</v>
      </c>
      <c r="F407" s="7" t="s">
        <v>52</v>
      </c>
      <c r="G407" s="8" t="s">
        <v>889</v>
      </c>
      <c r="H407" s="7" t="s">
        <v>35</v>
      </c>
      <c r="I407" s="7" t="s">
        <v>887</v>
      </c>
      <c r="J407" s="66" t="s">
        <v>1498</v>
      </c>
      <c r="K407" s="2" t="s">
        <v>1548</v>
      </c>
      <c r="L407" s="2" t="s">
        <v>1564</v>
      </c>
      <c r="M407" s="2" t="s">
        <v>2336</v>
      </c>
      <c r="N407" s="9" t="s">
        <v>2334</v>
      </c>
      <c r="O407" s="66"/>
      <c r="P407" s="66" t="s">
        <v>2024</v>
      </c>
      <c r="Q407" s="66" t="s">
        <v>2028</v>
      </c>
      <c r="R407" s="66"/>
    </row>
    <row r="408" spans="1:18" ht="27.75" hidden="1" customHeight="1" x14ac:dyDescent="0.3">
      <c r="A408" s="58">
        <v>1106700020003</v>
      </c>
      <c r="B408" s="7" t="s">
        <v>54</v>
      </c>
      <c r="C408" s="7" t="s">
        <v>335</v>
      </c>
      <c r="D408" s="70">
        <v>2016</v>
      </c>
      <c r="E408" s="7" t="s">
        <v>19</v>
      </c>
      <c r="F408" s="7" t="s">
        <v>56</v>
      </c>
      <c r="G408" s="8" t="s">
        <v>336</v>
      </c>
      <c r="H408" s="7" t="s">
        <v>263</v>
      </c>
      <c r="I408" s="7" t="s">
        <v>270</v>
      </c>
      <c r="J408" s="65" t="s">
        <v>1537</v>
      </c>
      <c r="K408" s="11" t="s">
        <v>1912</v>
      </c>
      <c r="L408" s="2"/>
      <c r="M408" s="2"/>
      <c r="N408" s="2"/>
      <c r="O408" s="2" t="s">
        <v>2340</v>
      </c>
      <c r="P408" s="65" t="s">
        <v>1537</v>
      </c>
      <c r="Q408" s="65" t="s">
        <v>2042</v>
      </c>
      <c r="R408" s="65"/>
    </row>
    <row r="409" spans="1:18" ht="27.75" hidden="1" customHeight="1" x14ac:dyDescent="0.3">
      <c r="A409" s="75">
        <v>1101700010006</v>
      </c>
      <c r="B409" s="7" t="s">
        <v>2075</v>
      </c>
      <c r="C409" s="7" t="s">
        <v>969</v>
      </c>
      <c r="D409" s="7">
        <v>2015</v>
      </c>
      <c r="E409" s="7" t="s">
        <v>19</v>
      </c>
      <c r="F409" s="7" t="s">
        <v>52</v>
      </c>
      <c r="G409" s="8" t="s">
        <v>970</v>
      </c>
      <c r="H409" s="7" t="s">
        <v>35</v>
      </c>
      <c r="I409" s="7" t="s">
        <v>968</v>
      </c>
      <c r="J409" s="2" t="s">
        <v>1477</v>
      </c>
      <c r="K409" s="11" t="s">
        <v>1912</v>
      </c>
      <c r="L409" s="2"/>
      <c r="M409" s="2"/>
      <c r="N409" s="2"/>
      <c r="O409" s="2" t="s">
        <v>2402</v>
      </c>
      <c r="P409" s="66" t="s">
        <v>1477</v>
      </c>
      <c r="Q409" s="66" t="s">
        <v>2001</v>
      </c>
      <c r="R409" s="66"/>
    </row>
    <row r="410" spans="1:18" ht="27.75" hidden="1" customHeight="1" x14ac:dyDescent="0.3">
      <c r="A410" s="8">
        <v>1204700020009</v>
      </c>
      <c r="B410" s="7" t="s">
        <v>29</v>
      </c>
      <c r="C410" s="7" t="s">
        <v>1012</v>
      </c>
      <c r="D410" s="110">
        <v>2016</v>
      </c>
      <c r="E410" s="7" t="s">
        <v>19</v>
      </c>
      <c r="F410" s="7" t="s">
        <v>261</v>
      </c>
      <c r="G410" s="8" t="s">
        <v>1013</v>
      </c>
      <c r="H410" s="7" t="s">
        <v>945</v>
      </c>
      <c r="I410" s="7" t="s">
        <v>1007</v>
      </c>
      <c r="J410" s="110" t="s">
        <v>1471</v>
      </c>
      <c r="K410" s="2" t="s">
        <v>1548</v>
      </c>
      <c r="L410" s="2" t="s">
        <v>1564</v>
      </c>
      <c r="M410" s="2" t="s">
        <v>2342</v>
      </c>
      <c r="N410" s="2" t="s">
        <v>2298</v>
      </c>
      <c r="O410" s="65"/>
      <c r="P410" s="65" t="s">
        <v>1471</v>
      </c>
      <c r="Q410" s="65" t="s">
        <v>1994</v>
      </c>
      <c r="R410" s="65" t="s">
        <v>2343</v>
      </c>
    </row>
    <row r="411" spans="1:18" ht="27.75" hidden="1" customHeight="1" x14ac:dyDescent="0.3">
      <c r="A411" s="8">
        <v>1102700010004</v>
      </c>
      <c r="B411" s="7" t="s">
        <v>64</v>
      </c>
      <c r="C411" s="7" t="s">
        <v>65</v>
      </c>
      <c r="D411" s="7">
        <v>2008</v>
      </c>
      <c r="E411" s="7" t="s">
        <v>19</v>
      </c>
      <c r="F411" s="7" t="s">
        <v>66</v>
      </c>
      <c r="G411" s="101" t="s">
        <v>67</v>
      </c>
      <c r="H411" s="7" t="s">
        <v>35</v>
      </c>
      <c r="I411" s="7" t="s">
        <v>61</v>
      </c>
      <c r="J411" s="66" t="s">
        <v>1544</v>
      </c>
      <c r="K411" s="9" t="s">
        <v>1553</v>
      </c>
      <c r="L411" s="2" t="s">
        <v>1559</v>
      </c>
      <c r="M411" s="2" t="s">
        <v>2345</v>
      </c>
      <c r="N411" s="2" t="s">
        <v>2346</v>
      </c>
      <c r="O411" s="66"/>
      <c r="P411" s="66" t="s">
        <v>1518</v>
      </c>
      <c r="Q411" s="66" t="s">
        <v>1987</v>
      </c>
      <c r="R411" s="66"/>
    </row>
    <row r="412" spans="1:18" ht="27.75" hidden="1" customHeight="1" x14ac:dyDescent="0.3">
      <c r="A412" s="8">
        <v>1204700020003</v>
      </c>
      <c r="B412" s="7" t="s">
        <v>13</v>
      </c>
      <c r="C412" s="7" t="s">
        <v>449</v>
      </c>
      <c r="D412" s="110">
        <v>2012</v>
      </c>
      <c r="E412" s="91" t="s">
        <v>19</v>
      </c>
      <c r="F412" s="96" t="s">
        <v>10</v>
      </c>
      <c r="G412" s="8" t="s">
        <v>450</v>
      </c>
      <c r="H412" s="7" t="s">
        <v>263</v>
      </c>
      <c r="I412" s="7" t="s">
        <v>430</v>
      </c>
      <c r="J412" s="65" t="s">
        <v>1506</v>
      </c>
      <c r="K412" s="11" t="s">
        <v>1912</v>
      </c>
      <c r="L412" s="2"/>
      <c r="M412" s="2"/>
      <c r="N412" s="2"/>
      <c r="O412" s="2" t="s">
        <v>2348</v>
      </c>
      <c r="P412" s="65" t="s">
        <v>1506</v>
      </c>
      <c r="Q412" s="65" t="s">
        <v>2004</v>
      </c>
      <c r="R412" s="65"/>
    </row>
    <row r="413" spans="1:18" ht="27.75" hidden="1" customHeight="1" x14ac:dyDescent="0.3">
      <c r="A413" s="8">
        <v>1204700020002</v>
      </c>
      <c r="B413" s="7" t="s">
        <v>178</v>
      </c>
      <c r="C413" s="7" t="s">
        <v>1051</v>
      </c>
      <c r="D413" s="110">
        <v>2011</v>
      </c>
      <c r="E413" s="7" t="s">
        <v>19</v>
      </c>
      <c r="F413" s="96" t="s">
        <v>10</v>
      </c>
      <c r="G413" s="8" t="s">
        <v>1052</v>
      </c>
      <c r="H413" s="7" t="s">
        <v>945</v>
      </c>
      <c r="I413" s="7" t="s">
        <v>1048</v>
      </c>
      <c r="J413" s="7" t="s">
        <v>1482</v>
      </c>
      <c r="K413" s="11" t="s">
        <v>1912</v>
      </c>
      <c r="L413" s="2" t="s">
        <v>1564</v>
      </c>
      <c r="M413" s="2" t="s">
        <v>2349</v>
      </c>
      <c r="N413" s="2" t="s">
        <v>2348</v>
      </c>
      <c r="O413" s="2" t="s">
        <v>2565</v>
      </c>
      <c r="P413" s="66" t="s">
        <v>2009</v>
      </c>
      <c r="Q413" s="66" t="s">
        <v>2010</v>
      </c>
      <c r="R413" s="66"/>
    </row>
    <row r="414" spans="1:18" ht="27.75" hidden="1" customHeight="1" x14ac:dyDescent="0.3">
      <c r="A414" s="8">
        <v>1205700010001</v>
      </c>
      <c r="B414" s="7" t="s">
        <v>388</v>
      </c>
      <c r="C414" s="7" t="s">
        <v>389</v>
      </c>
      <c r="D414" s="110">
        <v>2006</v>
      </c>
      <c r="E414" s="7" t="s">
        <v>19</v>
      </c>
      <c r="F414" s="97" t="s">
        <v>20</v>
      </c>
      <c r="G414" s="101" t="s">
        <v>390</v>
      </c>
      <c r="H414" s="7" t="s">
        <v>263</v>
      </c>
      <c r="I414" s="7" t="s">
        <v>270</v>
      </c>
      <c r="J414" s="65" t="s">
        <v>1544</v>
      </c>
      <c r="K414" s="2" t="s">
        <v>1548</v>
      </c>
      <c r="L414" s="2" t="s">
        <v>1564</v>
      </c>
      <c r="M414" s="2" t="s">
        <v>2105</v>
      </c>
      <c r="N414" s="9" t="s">
        <v>2348</v>
      </c>
      <c r="O414" s="65"/>
      <c r="P414" s="65" t="s">
        <v>2053</v>
      </c>
      <c r="Q414" s="65"/>
      <c r="R414" s="2" t="s">
        <v>2352</v>
      </c>
    </row>
    <row r="415" spans="1:18" ht="27.75" hidden="1" customHeight="1" x14ac:dyDescent="0.3">
      <c r="A415" s="8">
        <v>1204700030001</v>
      </c>
      <c r="B415" s="7" t="s">
        <v>17</v>
      </c>
      <c r="C415" s="7" t="s">
        <v>483</v>
      </c>
      <c r="D415" s="110">
        <v>2009</v>
      </c>
      <c r="E415" s="7" t="s">
        <v>19</v>
      </c>
      <c r="F415" s="97" t="s">
        <v>384</v>
      </c>
      <c r="G415" s="101" t="s">
        <v>484</v>
      </c>
      <c r="H415" s="7" t="s">
        <v>263</v>
      </c>
      <c r="I415" s="7" t="s">
        <v>465</v>
      </c>
      <c r="J415" s="110" t="s">
        <v>1471</v>
      </c>
      <c r="K415" s="2" t="s">
        <v>1548</v>
      </c>
      <c r="L415" s="2" t="s">
        <v>1564</v>
      </c>
      <c r="M415" s="2" t="s">
        <v>1896</v>
      </c>
      <c r="N415" s="9" t="s">
        <v>2412</v>
      </c>
      <c r="O415" s="2"/>
      <c r="P415" s="66" t="s">
        <v>1471</v>
      </c>
      <c r="Q415" s="66" t="s">
        <v>1994</v>
      </c>
      <c r="R415" s="66"/>
    </row>
    <row r="416" spans="1:18" ht="27.75" hidden="1" customHeight="1" x14ac:dyDescent="0.3">
      <c r="A416" s="8">
        <v>1105700080001</v>
      </c>
      <c r="B416" s="7" t="s">
        <v>302</v>
      </c>
      <c r="C416" s="7" t="s">
        <v>303</v>
      </c>
      <c r="D416" s="7">
        <v>2012</v>
      </c>
      <c r="E416" s="7" t="s">
        <v>19</v>
      </c>
      <c r="F416" s="7" t="s">
        <v>304</v>
      </c>
      <c r="G416" s="8" t="s">
        <v>305</v>
      </c>
      <c r="H416" s="7" t="s">
        <v>263</v>
      </c>
      <c r="I416" s="7" t="s">
        <v>270</v>
      </c>
      <c r="J416" s="65" t="s">
        <v>1544</v>
      </c>
      <c r="K416" s="2" t="s">
        <v>1548</v>
      </c>
      <c r="L416" s="2" t="s">
        <v>1564</v>
      </c>
      <c r="M416" s="2" t="s">
        <v>2359</v>
      </c>
      <c r="N416" s="9" t="s">
        <v>2353</v>
      </c>
      <c r="O416" s="65"/>
      <c r="P416" s="65" t="s">
        <v>2053</v>
      </c>
      <c r="Q416" s="65"/>
      <c r="R416" s="65"/>
    </row>
    <row r="417" spans="1:18" ht="27.75" hidden="1" customHeight="1" x14ac:dyDescent="0.3">
      <c r="A417" s="58">
        <v>1106700020003</v>
      </c>
      <c r="B417" s="7" t="s">
        <v>54</v>
      </c>
      <c r="C417" s="7" t="s">
        <v>218</v>
      </c>
      <c r="D417" s="70">
        <v>2015</v>
      </c>
      <c r="E417" s="7" t="s">
        <v>19</v>
      </c>
      <c r="F417" s="7" t="s">
        <v>56</v>
      </c>
      <c r="G417" s="8" t="s">
        <v>219</v>
      </c>
      <c r="H417" s="7" t="s">
        <v>35</v>
      </c>
      <c r="I417" s="7" t="s">
        <v>215</v>
      </c>
      <c r="J417" s="2" t="s">
        <v>1482</v>
      </c>
      <c r="K417" s="11" t="s">
        <v>1912</v>
      </c>
      <c r="L417" s="2" t="s">
        <v>1615</v>
      </c>
      <c r="M417" s="2" t="s">
        <v>2361</v>
      </c>
      <c r="N417" s="2" t="s">
        <v>2360</v>
      </c>
      <c r="O417" s="2" t="s">
        <v>2413</v>
      </c>
      <c r="P417" s="66" t="s">
        <v>2009</v>
      </c>
      <c r="Q417" s="66" t="s">
        <v>2011</v>
      </c>
      <c r="R417" s="66"/>
    </row>
    <row r="418" spans="1:18" ht="27.75" hidden="1" customHeight="1" x14ac:dyDescent="0.3">
      <c r="A418" s="58">
        <v>1106700020003</v>
      </c>
      <c r="B418" s="7" t="s">
        <v>54</v>
      </c>
      <c r="C418" s="7" t="s">
        <v>804</v>
      </c>
      <c r="D418" s="70">
        <v>2015</v>
      </c>
      <c r="E418" s="7" t="s">
        <v>19</v>
      </c>
      <c r="F418" s="7" t="s">
        <v>56</v>
      </c>
      <c r="G418" s="8" t="s">
        <v>805</v>
      </c>
      <c r="H418" s="7" t="s">
        <v>35</v>
      </c>
      <c r="I418" s="7" t="s">
        <v>801</v>
      </c>
      <c r="J418" s="2" t="s">
        <v>1482</v>
      </c>
      <c r="K418" s="11" t="s">
        <v>1912</v>
      </c>
      <c r="L418" s="2" t="s">
        <v>1615</v>
      </c>
      <c r="M418" s="2" t="s">
        <v>2522</v>
      </c>
      <c r="N418" s="2" t="s">
        <v>2521</v>
      </c>
      <c r="O418" s="2" t="s">
        <v>2526</v>
      </c>
      <c r="P418" s="65" t="s">
        <v>2009</v>
      </c>
      <c r="Q418" s="65" t="s">
        <v>2012</v>
      </c>
      <c r="R418" s="65"/>
    </row>
    <row r="419" spans="1:18" ht="27.75" hidden="1" customHeight="1" x14ac:dyDescent="0.3">
      <c r="A419" s="58">
        <v>1106700020003</v>
      </c>
      <c r="B419" s="7" t="s">
        <v>54</v>
      </c>
      <c r="C419" s="7" t="s">
        <v>890</v>
      </c>
      <c r="D419" s="70">
        <v>2015</v>
      </c>
      <c r="E419" s="7" t="s">
        <v>19</v>
      </c>
      <c r="F419" s="7" t="s">
        <v>56</v>
      </c>
      <c r="G419" s="8" t="s">
        <v>891</v>
      </c>
      <c r="H419" s="7" t="s">
        <v>35</v>
      </c>
      <c r="I419" s="7" t="s">
        <v>887</v>
      </c>
      <c r="J419" s="2" t="s">
        <v>1498</v>
      </c>
      <c r="K419" s="2" t="s">
        <v>2066</v>
      </c>
      <c r="L419" s="2" t="s">
        <v>1565</v>
      </c>
      <c r="M419" s="2" t="s">
        <v>2384</v>
      </c>
      <c r="N419" s="2" t="s">
        <v>2385</v>
      </c>
      <c r="O419" s="66"/>
      <c r="P419" s="66" t="s">
        <v>2024</v>
      </c>
      <c r="Q419" s="66" t="s">
        <v>2025</v>
      </c>
      <c r="R419" s="66"/>
    </row>
    <row r="420" spans="1:18" ht="27.75" hidden="1" customHeight="1" x14ac:dyDescent="0.3">
      <c r="A420" s="58">
        <v>1106700020003</v>
      </c>
      <c r="B420" s="7" t="s">
        <v>2078</v>
      </c>
      <c r="C420" s="7" t="s">
        <v>892</v>
      </c>
      <c r="D420" s="70">
        <v>2015</v>
      </c>
      <c r="E420" s="7" t="s">
        <v>19</v>
      </c>
      <c r="F420" s="7" t="s">
        <v>56</v>
      </c>
      <c r="G420" s="8" t="s">
        <v>893</v>
      </c>
      <c r="H420" s="7" t="s">
        <v>35</v>
      </c>
      <c r="I420" s="7" t="s">
        <v>887</v>
      </c>
      <c r="J420" s="2" t="s">
        <v>1498</v>
      </c>
      <c r="K420" s="11" t="s">
        <v>1912</v>
      </c>
      <c r="L420" s="2"/>
      <c r="M420" s="2"/>
      <c r="N420" s="2"/>
      <c r="O420" s="2" t="s">
        <v>2395</v>
      </c>
      <c r="P420" s="65" t="s">
        <v>2024</v>
      </c>
      <c r="Q420" s="65" t="s">
        <v>2026</v>
      </c>
      <c r="R420" s="65"/>
    </row>
    <row r="421" spans="1:18" ht="27.75" hidden="1" customHeight="1" x14ac:dyDescent="0.3">
      <c r="A421" s="8">
        <v>1204700020003</v>
      </c>
      <c r="B421" s="7" t="s">
        <v>13</v>
      </c>
      <c r="C421" s="7" t="s">
        <v>1181</v>
      </c>
      <c r="D421" s="110">
        <v>2010</v>
      </c>
      <c r="E421" s="7" t="s">
        <v>19</v>
      </c>
      <c r="F421" s="96" t="s">
        <v>10</v>
      </c>
      <c r="G421" s="8" t="s">
        <v>1182</v>
      </c>
      <c r="H421" s="7" t="s">
        <v>945</v>
      </c>
      <c r="I421" s="7" t="s">
        <v>1178</v>
      </c>
      <c r="J421" s="110" t="s">
        <v>1537</v>
      </c>
      <c r="K421" s="2" t="s">
        <v>1548</v>
      </c>
      <c r="L421" s="2" t="s">
        <v>1571</v>
      </c>
      <c r="M421" s="2" t="s">
        <v>2493</v>
      </c>
      <c r="N421" s="9" t="s">
        <v>2492</v>
      </c>
      <c r="O421" s="2" t="s">
        <v>2395</v>
      </c>
      <c r="P421" s="66" t="s">
        <v>1537</v>
      </c>
      <c r="Q421" s="66" t="s">
        <v>2044</v>
      </c>
      <c r="R421" s="66"/>
    </row>
    <row r="422" spans="1:18" ht="27.75" hidden="1" customHeight="1" x14ac:dyDescent="0.3">
      <c r="A422" s="74">
        <v>1105700010004</v>
      </c>
      <c r="B422" s="83" t="s">
        <v>454</v>
      </c>
      <c r="C422" s="7" t="s">
        <v>587</v>
      </c>
      <c r="D422" s="7">
        <v>2015</v>
      </c>
      <c r="E422" s="7" t="s">
        <v>19</v>
      </c>
      <c r="F422" s="7" t="s">
        <v>42</v>
      </c>
      <c r="G422" s="8" t="s">
        <v>588</v>
      </c>
      <c r="H422" s="7" t="s">
        <v>263</v>
      </c>
      <c r="I422" s="7" t="s">
        <v>583</v>
      </c>
      <c r="J422" s="2" t="s">
        <v>1518</v>
      </c>
      <c r="K422" s="2" t="s">
        <v>1548</v>
      </c>
      <c r="L422" s="2" t="s">
        <v>1569</v>
      </c>
      <c r="M422" s="2" t="s">
        <v>2673</v>
      </c>
      <c r="N422" s="2" t="s">
        <v>2672</v>
      </c>
      <c r="O422" s="2" t="s">
        <v>2508</v>
      </c>
      <c r="P422" s="65" t="s">
        <v>1518</v>
      </c>
      <c r="Q422" s="65" t="s">
        <v>1987</v>
      </c>
      <c r="R422" s="65"/>
    </row>
    <row r="423" spans="1:18" ht="27.75" hidden="1" customHeight="1" x14ac:dyDescent="0.3">
      <c r="A423" s="75">
        <v>1101700030005</v>
      </c>
      <c r="B423" s="7" t="s">
        <v>230</v>
      </c>
      <c r="C423" s="7" t="s">
        <v>231</v>
      </c>
      <c r="D423" s="7">
        <v>2012</v>
      </c>
      <c r="E423" s="7" t="s">
        <v>19</v>
      </c>
      <c r="F423" s="7" t="s">
        <v>52</v>
      </c>
      <c r="G423" s="58" t="s">
        <v>232</v>
      </c>
      <c r="H423" s="7" t="s">
        <v>35</v>
      </c>
      <c r="I423" s="7" t="s">
        <v>229</v>
      </c>
      <c r="J423" s="2" t="s">
        <v>1543</v>
      </c>
      <c r="K423" s="11" t="s">
        <v>1912</v>
      </c>
      <c r="L423" s="2"/>
      <c r="M423" s="2" t="s">
        <v>2414</v>
      </c>
      <c r="N423" s="2" t="s">
        <v>2413</v>
      </c>
      <c r="O423" s="2" t="s">
        <v>2413</v>
      </c>
      <c r="P423" s="66" t="s">
        <v>2051</v>
      </c>
      <c r="Q423" s="66" t="s">
        <v>1543</v>
      </c>
      <c r="R423" s="66"/>
    </row>
    <row r="424" spans="1:18" ht="27.75" hidden="1" customHeight="1" x14ac:dyDescent="0.3">
      <c r="A424" s="74">
        <v>1209700010004</v>
      </c>
      <c r="B424" s="7" t="s">
        <v>413</v>
      </c>
      <c r="C424" s="7" t="s">
        <v>417</v>
      </c>
      <c r="D424" s="7">
        <v>2011</v>
      </c>
      <c r="E424" s="7" t="s">
        <v>19</v>
      </c>
      <c r="F424" s="7" t="s">
        <v>415</v>
      </c>
      <c r="G424" s="8" t="s">
        <v>418</v>
      </c>
      <c r="H424" s="7" t="s">
        <v>263</v>
      </c>
      <c r="I424" s="7" t="s">
        <v>270</v>
      </c>
      <c r="J424" s="2" t="s">
        <v>1544</v>
      </c>
      <c r="K424" s="2" t="s">
        <v>1548</v>
      </c>
      <c r="L424" s="2" t="s">
        <v>1571</v>
      </c>
      <c r="M424" s="2" t="s">
        <v>2420</v>
      </c>
      <c r="N424" s="9" t="s">
        <v>2545</v>
      </c>
      <c r="O424" s="2" t="s">
        <v>2448</v>
      </c>
      <c r="P424" s="65" t="s">
        <v>2053</v>
      </c>
      <c r="Q424" s="65"/>
      <c r="R424" s="65"/>
    </row>
    <row r="425" spans="1:18" ht="27.75" hidden="1" customHeight="1" x14ac:dyDescent="0.3">
      <c r="A425" s="8">
        <v>1204700020009</v>
      </c>
      <c r="B425" s="7" t="s">
        <v>29</v>
      </c>
      <c r="C425" s="7" t="s">
        <v>1080</v>
      </c>
      <c r="D425" s="110">
        <v>2016</v>
      </c>
      <c r="E425" s="7" t="s">
        <v>19</v>
      </c>
      <c r="F425" s="7" t="s">
        <v>261</v>
      </c>
      <c r="G425" s="8" t="s">
        <v>1081</v>
      </c>
      <c r="H425" s="7" t="s">
        <v>945</v>
      </c>
      <c r="I425" s="113" t="s">
        <v>1069</v>
      </c>
      <c r="J425" s="110" t="s">
        <v>1531</v>
      </c>
      <c r="K425" s="11" t="s">
        <v>1912</v>
      </c>
      <c r="L425" s="2"/>
      <c r="M425" s="2" t="s">
        <v>2280</v>
      </c>
      <c r="N425" s="2" t="s">
        <v>2163</v>
      </c>
      <c r="O425" s="2" t="s">
        <v>2425</v>
      </c>
      <c r="P425" s="66" t="s">
        <v>1531</v>
      </c>
      <c r="Q425" s="66"/>
      <c r="R425" s="66" t="s">
        <v>2427</v>
      </c>
    </row>
    <row r="426" spans="1:18" ht="27.75" hidden="1" customHeight="1" x14ac:dyDescent="0.3">
      <c r="A426" s="8">
        <v>1105700080001</v>
      </c>
      <c r="B426" s="7" t="s">
        <v>302</v>
      </c>
      <c r="C426" s="7" t="s">
        <v>306</v>
      </c>
      <c r="D426" s="7">
        <v>2015</v>
      </c>
      <c r="E426" s="7" t="s">
        <v>19</v>
      </c>
      <c r="F426" s="7" t="s">
        <v>304</v>
      </c>
      <c r="G426" s="8" t="s">
        <v>307</v>
      </c>
      <c r="H426" s="7" t="s">
        <v>263</v>
      </c>
      <c r="I426" s="7" t="s">
        <v>270</v>
      </c>
      <c r="J426" s="2" t="s">
        <v>1544</v>
      </c>
      <c r="K426" s="11" t="s">
        <v>1912</v>
      </c>
      <c r="L426" s="2" t="s">
        <v>1565</v>
      </c>
      <c r="M426" s="2" t="s">
        <v>2457</v>
      </c>
      <c r="N426" s="2" t="s">
        <v>2448</v>
      </c>
      <c r="O426" s="2" t="s">
        <v>2474</v>
      </c>
      <c r="P426" s="65" t="s">
        <v>2053</v>
      </c>
      <c r="Q426" s="65"/>
      <c r="R426" s="65"/>
    </row>
    <row r="427" spans="1:18" ht="27.75" hidden="1" customHeight="1" x14ac:dyDescent="0.3">
      <c r="A427" s="75">
        <v>1101700010006</v>
      </c>
      <c r="B427" s="7" t="s">
        <v>2075</v>
      </c>
      <c r="C427" s="7" t="s">
        <v>206</v>
      </c>
      <c r="D427" s="7">
        <v>2013</v>
      </c>
      <c r="E427" s="7" t="s">
        <v>19</v>
      </c>
      <c r="F427" s="7" t="s">
        <v>52</v>
      </c>
      <c r="G427" s="8" t="s">
        <v>207</v>
      </c>
      <c r="H427" s="7" t="s">
        <v>35</v>
      </c>
      <c r="I427" s="7" t="s">
        <v>205</v>
      </c>
      <c r="J427" s="2" t="s">
        <v>1525</v>
      </c>
      <c r="K427" s="2" t="s">
        <v>1548</v>
      </c>
      <c r="L427" s="2" t="s">
        <v>1571</v>
      </c>
      <c r="M427" s="2" t="s">
        <v>2473</v>
      </c>
      <c r="N427" s="9" t="s">
        <v>2472</v>
      </c>
      <c r="O427" s="66"/>
      <c r="P427" s="66" t="s">
        <v>1525</v>
      </c>
      <c r="Q427" s="66" t="s">
        <v>2015</v>
      </c>
      <c r="R427" s="66"/>
    </row>
    <row r="428" spans="1:18" ht="27.75" hidden="1" customHeight="1" x14ac:dyDescent="0.3">
      <c r="A428" s="8">
        <v>1205700010001</v>
      </c>
      <c r="B428" s="7" t="s">
        <v>388</v>
      </c>
      <c r="C428" s="7" t="s">
        <v>1405</v>
      </c>
      <c r="D428" s="110">
        <v>2010</v>
      </c>
      <c r="E428" s="7" t="s">
        <v>19</v>
      </c>
      <c r="F428" s="97" t="s">
        <v>20</v>
      </c>
      <c r="G428" s="101" t="s">
        <v>1406</v>
      </c>
      <c r="H428" s="7" t="s">
        <v>263</v>
      </c>
      <c r="I428" s="7" t="s">
        <v>1225</v>
      </c>
      <c r="J428" s="110" t="s">
        <v>1544</v>
      </c>
      <c r="K428" s="11" t="s">
        <v>1912</v>
      </c>
      <c r="L428" s="2" t="s">
        <v>1571</v>
      </c>
      <c r="M428" s="2" t="s">
        <v>2610</v>
      </c>
      <c r="N428" s="2" t="s">
        <v>2611</v>
      </c>
      <c r="O428" s="2" t="s">
        <v>2615</v>
      </c>
      <c r="P428" s="65" t="s">
        <v>2053</v>
      </c>
      <c r="Q428" s="65"/>
      <c r="R428" s="65"/>
    </row>
    <row r="429" spans="1:18" ht="27.75" hidden="1" customHeight="1" x14ac:dyDescent="0.3">
      <c r="A429" s="8">
        <v>1204700010003</v>
      </c>
      <c r="B429" s="7" t="s">
        <v>96</v>
      </c>
      <c r="C429" s="90" t="s">
        <v>622</v>
      </c>
      <c r="D429" s="110">
        <v>2008</v>
      </c>
      <c r="E429" s="7" t="s">
        <v>19</v>
      </c>
      <c r="F429" s="96" t="s">
        <v>10</v>
      </c>
      <c r="G429" s="8" t="s">
        <v>623</v>
      </c>
      <c r="H429" s="7" t="s">
        <v>263</v>
      </c>
      <c r="I429" s="7" t="s">
        <v>618</v>
      </c>
      <c r="J429" s="110" t="s">
        <v>1537</v>
      </c>
      <c r="K429" s="2" t="s">
        <v>1548</v>
      </c>
      <c r="L429" s="2" t="s">
        <v>1571</v>
      </c>
      <c r="M429" s="2" t="s">
        <v>2491</v>
      </c>
      <c r="N429" s="9" t="s">
        <v>2489</v>
      </c>
      <c r="O429" s="66"/>
      <c r="P429" s="66" t="s">
        <v>1537</v>
      </c>
      <c r="Q429" s="66" t="s">
        <v>2040</v>
      </c>
      <c r="R429" s="66"/>
    </row>
    <row r="430" spans="1:18" ht="27.75" hidden="1" customHeight="1" x14ac:dyDescent="0.3">
      <c r="A430" s="8">
        <v>1205700010001</v>
      </c>
      <c r="B430" s="7" t="s">
        <v>388</v>
      </c>
      <c r="C430" s="7" t="s">
        <v>599</v>
      </c>
      <c r="D430" s="110">
        <v>2005</v>
      </c>
      <c r="E430" s="7" t="s">
        <v>19</v>
      </c>
      <c r="F430" s="97" t="s">
        <v>20</v>
      </c>
      <c r="G430" s="101" t="s">
        <v>600</v>
      </c>
      <c r="H430" s="111" t="s">
        <v>263</v>
      </c>
      <c r="I430" s="7" t="s">
        <v>583</v>
      </c>
      <c r="J430" s="110" t="s">
        <v>1513</v>
      </c>
      <c r="K430" s="11" t="s">
        <v>1912</v>
      </c>
      <c r="L430" s="2" t="s">
        <v>1564</v>
      </c>
      <c r="M430" s="2" t="s">
        <v>2299</v>
      </c>
      <c r="N430" s="2" t="s">
        <v>1893</v>
      </c>
      <c r="O430" s="2" t="s">
        <v>2492</v>
      </c>
      <c r="P430" s="65" t="s">
        <v>1513</v>
      </c>
      <c r="Q430" s="65" t="s">
        <v>2029</v>
      </c>
      <c r="R430" s="65"/>
    </row>
    <row r="431" spans="1:18" ht="27.75" hidden="1" customHeight="1" x14ac:dyDescent="0.3">
      <c r="A431" s="8">
        <v>1204700020003</v>
      </c>
      <c r="B431" s="7" t="s">
        <v>13</v>
      </c>
      <c r="C431" s="7" t="s">
        <v>1091</v>
      </c>
      <c r="D431" s="110">
        <v>2002</v>
      </c>
      <c r="E431" s="7" t="s">
        <v>19</v>
      </c>
      <c r="F431" s="96" t="s">
        <v>10</v>
      </c>
      <c r="G431" s="8" t="s">
        <v>1092</v>
      </c>
      <c r="H431" s="111" t="s">
        <v>945</v>
      </c>
      <c r="I431" s="7" t="s">
        <v>1088</v>
      </c>
      <c r="J431" s="110" t="s">
        <v>1493</v>
      </c>
      <c r="K431" s="2" t="s">
        <v>1548</v>
      </c>
      <c r="L431" s="2" t="s">
        <v>1565</v>
      </c>
      <c r="M431" s="2" t="s">
        <v>2556</v>
      </c>
      <c r="N431" s="9" t="s">
        <v>2557</v>
      </c>
      <c r="O431" s="2" t="s">
        <v>2492</v>
      </c>
      <c r="P431" s="66"/>
      <c r="Q431" s="66"/>
      <c r="R431" s="66" t="s">
        <v>2500</v>
      </c>
    </row>
    <row r="432" spans="1:18" ht="27.75" hidden="1" customHeight="1" x14ac:dyDescent="0.3">
      <c r="A432" s="58">
        <v>1106700020003</v>
      </c>
      <c r="B432" s="7" t="s">
        <v>54</v>
      </c>
      <c r="C432" s="7" t="s">
        <v>971</v>
      </c>
      <c r="D432" s="70">
        <v>2015</v>
      </c>
      <c r="E432" s="7" t="s">
        <v>19</v>
      </c>
      <c r="F432" s="7" t="s">
        <v>56</v>
      </c>
      <c r="G432" s="8" t="s">
        <v>972</v>
      </c>
      <c r="H432" s="7" t="s">
        <v>35</v>
      </c>
      <c r="I432" s="7" t="s">
        <v>968</v>
      </c>
      <c r="J432" s="2" t="s">
        <v>1477</v>
      </c>
      <c r="K432" s="11" t="s">
        <v>1912</v>
      </c>
      <c r="L432" s="2" t="s">
        <v>1615</v>
      </c>
      <c r="M432" s="2" t="s">
        <v>2490</v>
      </c>
      <c r="N432" s="2" t="s">
        <v>2504</v>
      </c>
      <c r="O432" s="2" t="s">
        <v>2504</v>
      </c>
      <c r="P432" s="65" t="s">
        <v>1477</v>
      </c>
      <c r="Q432" s="65" t="s">
        <v>2001</v>
      </c>
      <c r="R432" s="65"/>
    </row>
    <row r="433" spans="1:18" ht="27.75" hidden="1" customHeight="1" x14ac:dyDescent="0.3">
      <c r="A433" s="8">
        <v>1204700020003</v>
      </c>
      <c r="B433" s="7" t="s">
        <v>13</v>
      </c>
      <c r="C433" s="90" t="s">
        <v>258</v>
      </c>
      <c r="D433" s="110">
        <v>2006</v>
      </c>
      <c r="E433" s="7" t="s">
        <v>4</v>
      </c>
      <c r="F433" s="96" t="s">
        <v>10</v>
      </c>
      <c r="G433" s="8" t="s">
        <v>259</v>
      </c>
      <c r="H433" s="7" t="s">
        <v>0</v>
      </c>
      <c r="I433" s="7" t="s">
        <v>240</v>
      </c>
      <c r="J433" s="110" t="s">
        <v>1543</v>
      </c>
      <c r="K433" s="2" t="s">
        <v>1548</v>
      </c>
      <c r="L433" s="2" t="s">
        <v>1564</v>
      </c>
      <c r="M433" s="2" t="s">
        <v>2527</v>
      </c>
      <c r="N433" s="9" t="s">
        <v>2526</v>
      </c>
      <c r="O433" s="66"/>
      <c r="P433" s="66" t="s">
        <v>2051</v>
      </c>
      <c r="Q433" s="66"/>
      <c r="R433" s="66"/>
    </row>
    <row r="434" spans="1:18" ht="27.75" hidden="1" customHeight="1" x14ac:dyDescent="0.3">
      <c r="A434" s="8">
        <v>1204700020002</v>
      </c>
      <c r="B434" s="7" t="s">
        <v>178</v>
      </c>
      <c r="C434" s="90" t="s">
        <v>520</v>
      </c>
      <c r="D434" s="110">
        <v>2013</v>
      </c>
      <c r="E434" s="7" t="s">
        <v>19</v>
      </c>
      <c r="F434" s="96" t="s">
        <v>10</v>
      </c>
      <c r="G434" s="8" t="s">
        <v>521</v>
      </c>
      <c r="H434" s="7" t="s">
        <v>263</v>
      </c>
      <c r="I434" s="7" t="s">
        <v>509</v>
      </c>
      <c r="J434" s="110" t="s">
        <v>1477</v>
      </c>
      <c r="K434" s="11" t="s">
        <v>1912</v>
      </c>
      <c r="L434" s="2" t="s">
        <v>1571</v>
      </c>
      <c r="M434" s="2" t="s">
        <v>2535</v>
      </c>
      <c r="N434" s="2" t="s">
        <v>2534</v>
      </c>
      <c r="O434" s="2" t="s">
        <v>2615</v>
      </c>
      <c r="P434" s="65" t="s">
        <v>1477</v>
      </c>
      <c r="Q434" s="65" t="s">
        <v>1999</v>
      </c>
      <c r="R434" s="65"/>
    </row>
    <row r="435" spans="1:18" ht="27.75" hidden="1" customHeight="1" x14ac:dyDescent="0.3">
      <c r="A435" s="75">
        <v>1101700030006</v>
      </c>
      <c r="B435" s="7" t="s">
        <v>2075</v>
      </c>
      <c r="C435" s="7" t="s">
        <v>1260</v>
      </c>
      <c r="D435" s="7">
        <v>2012</v>
      </c>
      <c r="E435" s="7" t="s">
        <v>19</v>
      </c>
      <c r="F435" s="7" t="s">
        <v>52</v>
      </c>
      <c r="G435" s="8" t="s">
        <v>1261</v>
      </c>
      <c r="H435" s="7" t="s">
        <v>263</v>
      </c>
      <c r="I435" s="7" t="s">
        <v>1560</v>
      </c>
      <c r="J435" s="2" t="s">
        <v>1477</v>
      </c>
      <c r="K435" s="11" t="s">
        <v>1912</v>
      </c>
      <c r="L435" s="2" t="s">
        <v>1571</v>
      </c>
      <c r="M435" s="2" t="s">
        <v>2539</v>
      </c>
      <c r="N435" s="2" t="s">
        <v>2534</v>
      </c>
      <c r="O435" s="2" t="s">
        <v>2534</v>
      </c>
      <c r="P435" s="66" t="s">
        <v>1477</v>
      </c>
      <c r="Q435" s="66" t="s">
        <v>2003</v>
      </c>
      <c r="R435" s="66"/>
    </row>
    <row r="436" spans="1:18" ht="27.75" hidden="1" customHeight="1" x14ac:dyDescent="0.3">
      <c r="A436" s="8">
        <v>1204700020003</v>
      </c>
      <c r="B436" s="7" t="s">
        <v>13</v>
      </c>
      <c r="C436" s="90" t="s">
        <v>595</v>
      </c>
      <c r="D436" s="110">
        <v>2009</v>
      </c>
      <c r="E436" s="7" t="s">
        <v>19</v>
      </c>
      <c r="F436" s="96" t="s">
        <v>10</v>
      </c>
      <c r="G436" s="8" t="s">
        <v>596</v>
      </c>
      <c r="H436" s="7" t="s">
        <v>263</v>
      </c>
      <c r="I436" s="7" t="s">
        <v>583</v>
      </c>
      <c r="J436" s="110" t="s">
        <v>1513</v>
      </c>
      <c r="K436" s="11" t="s">
        <v>1912</v>
      </c>
      <c r="L436" s="2" t="s">
        <v>1565</v>
      </c>
      <c r="M436" s="2" t="s">
        <v>2544</v>
      </c>
      <c r="N436" s="2" t="s">
        <v>2545</v>
      </c>
      <c r="O436" s="2" t="s">
        <v>2549</v>
      </c>
      <c r="P436" s="65" t="s">
        <v>1513</v>
      </c>
      <c r="Q436" s="65" t="s">
        <v>2029</v>
      </c>
      <c r="R436" s="65"/>
    </row>
    <row r="437" spans="1:18" ht="27.75" hidden="1" customHeight="1" x14ac:dyDescent="0.3">
      <c r="A437" s="8">
        <v>1204700020002</v>
      </c>
      <c r="B437" s="7" t="s">
        <v>178</v>
      </c>
      <c r="C437" s="7" t="s">
        <v>1128</v>
      </c>
      <c r="D437" s="110">
        <v>2011</v>
      </c>
      <c r="E437" s="7" t="s">
        <v>19</v>
      </c>
      <c r="F437" s="96" t="s">
        <v>10</v>
      </c>
      <c r="G437" s="8" t="s">
        <v>1129</v>
      </c>
      <c r="H437" s="7" t="s">
        <v>945</v>
      </c>
      <c r="I437" s="7" t="s">
        <v>1125</v>
      </c>
      <c r="J437" s="7" t="s">
        <v>1531</v>
      </c>
      <c r="K437" s="2" t="s">
        <v>1548</v>
      </c>
      <c r="L437" s="2" t="s">
        <v>1615</v>
      </c>
      <c r="M437" s="2" t="s">
        <v>2490</v>
      </c>
      <c r="N437" s="2" t="s">
        <v>2635</v>
      </c>
      <c r="O437" s="2" t="s">
        <v>2549</v>
      </c>
      <c r="P437" s="66" t="s">
        <v>1531</v>
      </c>
      <c r="Q437" s="66" t="s">
        <v>2019</v>
      </c>
      <c r="R437" s="66"/>
    </row>
    <row r="438" spans="1:18" ht="27.75" hidden="1" customHeight="1" x14ac:dyDescent="0.3">
      <c r="A438" s="8">
        <v>1204700010003</v>
      </c>
      <c r="B438" s="7" t="s">
        <v>96</v>
      </c>
      <c r="C438" s="90" t="s">
        <v>227</v>
      </c>
      <c r="D438" s="110">
        <v>2002</v>
      </c>
      <c r="E438" s="7" t="s">
        <v>19</v>
      </c>
      <c r="F438" s="96" t="s">
        <v>10</v>
      </c>
      <c r="G438" s="8" t="s">
        <v>228</v>
      </c>
      <c r="H438" s="7" t="s">
        <v>35</v>
      </c>
      <c r="I438" s="7" t="s">
        <v>220</v>
      </c>
      <c r="J438" s="110" t="s">
        <v>1525</v>
      </c>
      <c r="K438" s="2" t="s">
        <v>1548</v>
      </c>
      <c r="L438" s="2" t="s">
        <v>1571</v>
      </c>
      <c r="M438" s="2" t="s">
        <v>2552</v>
      </c>
      <c r="N438" s="9" t="s">
        <v>2553</v>
      </c>
      <c r="O438" s="2"/>
      <c r="P438" s="65" t="s">
        <v>1525</v>
      </c>
      <c r="Q438" s="65" t="s">
        <v>2018</v>
      </c>
      <c r="R438" s="65"/>
    </row>
    <row r="439" spans="1:18" ht="27.75" hidden="1" customHeight="1" x14ac:dyDescent="0.3">
      <c r="A439" s="58">
        <v>1106700020003</v>
      </c>
      <c r="B439" s="7" t="s">
        <v>54</v>
      </c>
      <c r="C439" s="7" t="s">
        <v>790</v>
      </c>
      <c r="D439" s="70">
        <v>2014</v>
      </c>
      <c r="E439" s="7" t="s">
        <v>19</v>
      </c>
      <c r="F439" s="7" t="s">
        <v>56</v>
      </c>
      <c r="G439" s="8" t="s">
        <v>791</v>
      </c>
      <c r="H439" s="7" t="s">
        <v>35</v>
      </c>
      <c r="I439" s="7" t="s">
        <v>787</v>
      </c>
      <c r="J439" s="2" t="s">
        <v>1477</v>
      </c>
      <c r="K439" s="2" t="s">
        <v>1548</v>
      </c>
      <c r="L439" s="2" t="s">
        <v>1564</v>
      </c>
      <c r="M439" s="2" t="s">
        <v>2598</v>
      </c>
      <c r="N439" s="9" t="s">
        <v>2599</v>
      </c>
      <c r="O439" s="2" t="s">
        <v>2593</v>
      </c>
      <c r="P439" s="66" t="s">
        <v>1477</v>
      </c>
      <c r="Q439" s="66" t="s">
        <v>2002</v>
      </c>
      <c r="R439" s="66"/>
    </row>
    <row r="440" spans="1:18" ht="27.75" hidden="1" customHeight="1" x14ac:dyDescent="0.3">
      <c r="A440" s="8">
        <v>1112700020001</v>
      </c>
      <c r="B440" s="98" t="s">
        <v>370</v>
      </c>
      <c r="C440" s="7" t="s">
        <v>371</v>
      </c>
      <c r="D440" s="7">
        <v>2011</v>
      </c>
      <c r="E440" s="7" t="s">
        <v>19</v>
      </c>
      <c r="F440" s="97" t="s">
        <v>42</v>
      </c>
      <c r="G440" s="8" t="s">
        <v>372</v>
      </c>
      <c r="H440" s="7" t="s">
        <v>263</v>
      </c>
      <c r="I440" s="7" t="s">
        <v>270</v>
      </c>
      <c r="J440" s="2" t="s">
        <v>1544</v>
      </c>
      <c r="K440" s="2" t="s">
        <v>1548</v>
      </c>
      <c r="L440" s="2" t="s">
        <v>1564</v>
      </c>
      <c r="M440" s="2" t="s">
        <v>2567</v>
      </c>
      <c r="N440" s="9" t="s">
        <v>2565</v>
      </c>
      <c r="O440" s="2"/>
      <c r="P440" s="65" t="s">
        <v>2053</v>
      </c>
      <c r="Q440" s="65"/>
      <c r="R440" s="65"/>
    </row>
    <row r="441" spans="1:18" ht="27.75" hidden="1" customHeight="1" x14ac:dyDescent="0.3">
      <c r="A441" s="74">
        <v>1105700150011</v>
      </c>
      <c r="B441" s="7" t="s">
        <v>44</v>
      </c>
      <c r="C441" s="7" t="s">
        <v>45</v>
      </c>
      <c r="D441" s="7">
        <v>2014</v>
      </c>
      <c r="E441" s="7" t="s">
        <v>19</v>
      </c>
      <c r="F441" s="97" t="s">
        <v>42</v>
      </c>
      <c r="G441" s="101" t="s">
        <v>46</v>
      </c>
      <c r="H441" s="7" t="s">
        <v>35</v>
      </c>
      <c r="I441" s="7" t="s">
        <v>39</v>
      </c>
      <c r="J441" s="2" t="s">
        <v>1506</v>
      </c>
      <c r="K441" s="11" t="s">
        <v>1912</v>
      </c>
      <c r="L441" s="2" t="s">
        <v>1571</v>
      </c>
      <c r="M441" s="2" t="s">
        <v>2584</v>
      </c>
      <c r="N441" s="2" t="s">
        <v>1898</v>
      </c>
      <c r="O441" s="2" t="s">
        <v>2639</v>
      </c>
      <c r="P441" s="66" t="s">
        <v>1506</v>
      </c>
      <c r="Q441" s="66" t="s">
        <v>2006</v>
      </c>
      <c r="R441" s="66"/>
    </row>
    <row r="442" spans="1:18" ht="27.75" hidden="1" customHeight="1" x14ac:dyDescent="0.3">
      <c r="A442" s="8">
        <v>1204700010003</v>
      </c>
      <c r="B442" s="7" t="s">
        <v>96</v>
      </c>
      <c r="C442" s="7" t="s">
        <v>624</v>
      </c>
      <c r="D442" s="110">
        <v>2006</v>
      </c>
      <c r="E442" s="91" t="s">
        <v>19</v>
      </c>
      <c r="F442" s="96" t="s">
        <v>10</v>
      </c>
      <c r="G442" s="8" t="s">
        <v>625</v>
      </c>
      <c r="H442" s="111" t="s">
        <v>263</v>
      </c>
      <c r="I442" s="7" t="s">
        <v>618</v>
      </c>
      <c r="J442" s="110" t="s">
        <v>1537</v>
      </c>
      <c r="K442" s="11" t="s">
        <v>1912</v>
      </c>
      <c r="L442" s="2" t="s">
        <v>1613</v>
      </c>
      <c r="M442" s="2" t="s">
        <v>1627</v>
      </c>
      <c r="N442" s="2" t="s">
        <v>1853</v>
      </c>
      <c r="O442" s="2" t="s">
        <v>1647</v>
      </c>
      <c r="P442" s="65" t="s">
        <v>1537</v>
      </c>
      <c r="Q442" s="65" t="s">
        <v>2040</v>
      </c>
      <c r="R442" s="65"/>
    </row>
    <row r="443" spans="1:18" ht="27.75" hidden="1" customHeight="1" x14ac:dyDescent="0.3">
      <c r="A443" s="75">
        <v>1101700010006</v>
      </c>
      <c r="B443" s="7" t="s">
        <v>2075</v>
      </c>
      <c r="C443" s="7" t="s">
        <v>144</v>
      </c>
      <c r="D443" s="7">
        <v>2013</v>
      </c>
      <c r="E443" s="7" t="s">
        <v>19</v>
      </c>
      <c r="F443" s="7" t="s">
        <v>52</v>
      </c>
      <c r="G443" s="8" t="s">
        <v>145</v>
      </c>
      <c r="H443" s="7" t="s">
        <v>35</v>
      </c>
      <c r="I443" s="7" t="s">
        <v>143</v>
      </c>
      <c r="J443" s="2" t="s">
        <v>1537</v>
      </c>
      <c r="K443" s="11" t="s">
        <v>1912</v>
      </c>
      <c r="L443" s="2" t="s">
        <v>1613</v>
      </c>
      <c r="M443" s="2" t="s">
        <v>1613</v>
      </c>
      <c r="N443" s="2" t="s">
        <v>2617</v>
      </c>
      <c r="O443" s="2" t="s">
        <v>2625</v>
      </c>
      <c r="P443" s="66" t="s">
        <v>1537</v>
      </c>
      <c r="Q443" s="66" t="s">
        <v>2041</v>
      </c>
      <c r="R443" s="66"/>
    </row>
    <row r="444" spans="1:18" ht="27.75" hidden="1" customHeight="1" x14ac:dyDescent="0.3">
      <c r="A444" s="75">
        <v>1101700010006</v>
      </c>
      <c r="B444" s="7" t="s">
        <v>2075</v>
      </c>
      <c r="C444" s="7" t="s">
        <v>921</v>
      </c>
      <c r="D444" s="7">
        <v>2013</v>
      </c>
      <c r="E444" s="7" t="s">
        <v>19</v>
      </c>
      <c r="F444" s="7" t="s">
        <v>52</v>
      </c>
      <c r="G444" s="8" t="s">
        <v>922</v>
      </c>
      <c r="H444" s="7" t="s">
        <v>35</v>
      </c>
      <c r="I444" s="7" t="s">
        <v>920</v>
      </c>
      <c r="J444" s="2" t="s">
        <v>1518</v>
      </c>
      <c r="K444" s="11" t="s">
        <v>1912</v>
      </c>
      <c r="L444" s="2" t="s">
        <v>1565</v>
      </c>
      <c r="M444" s="2" t="s">
        <v>2621</v>
      </c>
      <c r="N444" s="2" t="s">
        <v>2617</v>
      </c>
      <c r="O444" s="2" t="s">
        <v>2625</v>
      </c>
      <c r="P444" s="65" t="s">
        <v>1518</v>
      </c>
      <c r="Q444" s="65" t="s">
        <v>1989</v>
      </c>
      <c r="R444" s="65"/>
    </row>
    <row r="445" spans="1:18" ht="27.75" hidden="1" customHeight="1" x14ac:dyDescent="0.3">
      <c r="A445" s="8">
        <v>1204700010003</v>
      </c>
      <c r="B445" s="7" t="s">
        <v>96</v>
      </c>
      <c r="C445" s="7" t="s">
        <v>1108</v>
      </c>
      <c r="D445" s="110">
        <v>2020</v>
      </c>
      <c r="E445" s="7" t="s">
        <v>19</v>
      </c>
      <c r="F445" s="96" t="s">
        <v>377</v>
      </c>
      <c r="G445" s="8" t="s">
        <v>1109</v>
      </c>
      <c r="H445" s="7" t="s">
        <v>945</v>
      </c>
      <c r="I445" s="7" t="s">
        <v>1107</v>
      </c>
      <c r="J445" s="110" t="s">
        <v>1544</v>
      </c>
      <c r="K445" s="11" t="s">
        <v>1912</v>
      </c>
      <c r="L445" s="2" t="s">
        <v>1559</v>
      </c>
      <c r="M445" s="2" t="s">
        <v>1559</v>
      </c>
      <c r="N445" s="2" t="s">
        <v>1655</v>
      </c>
      <c r="O445" s="2" t="s">
        <v>2698</v>
      </c>
      <c r="P445" s="66" t="s">
        <v>2053</v>
      </c>
      <c r="Q445" s="66"/>
      <c r="R445" s="66"/>
    </row>
    <row r="446" spans="1:18" ht="27.75" hidden="1" customHeight="1" x14ac:dyDescent="0.3">
      <c r="A446" s="58">
        <v>1106700020003</v>
      </c>
      <c r="B446" s="7" t="s">
        <v>54</v>
      </c>
      <c r="C446" s="7" t="s">
        <v>983</v>
      </c>
      <c r="D446" s="70">
        <v>2015</v>
      </c>
      <c r="E446" s="7" t="s">
        <v>19</v>
      </c>
      <c r="F446" s="7" t="s">
        <v>56</v>
      </c>
      <c r="G446" s="8" t="s">
        <v>984</v>
      </c>
      <c r="H446" s="7" t="s">
        <v>35</v>
      </c>
      <c r="I446" s="7" t="s">
        <v>980</v>
      </c>
      <c r="J446" s="2" t="s">
        <v>1513</v>
      </c>
      <c r="K446" s="2" t="s">
        <v>2066</v>
      </c>
      <c r="L446" s="2" t="s">
        <v>1567</v>
      </c>
      <c r="M446" s="2" t="s">
        <v>2629</v>
      </c>
      <c r="N446" s="2" t="s">
        <v>2625</v>
      </c>
      <c r="O446" s="2" t="s">
        <v>2677</v>
      </c>
      <c r="P446" s="65" t="s">
        <v>1513</v>
      </c>
      <c r="Q446" s="65" t="s">
        <v>2029</v>
      </c>
      <c r="R446" s="65"/>
    </row>
    <row r="447" spans="1:18" ht="27.75" hidden="1" customHeight="1" x14ac:dyDescent="0.3">
      <c r="A447" s="58">
        <v>1106700020003</v>
      </c>
      <c r="B447" s="7" t="s">
        <v>54</v>
      </c>
      <c r="C447" s="7" t="s">
        <v>80</v>
      </c>
      <c r="D447" s="70">
        <v>2013</v>
      </c>
      <c r="E447" s="7" t="s">
        <v>19</v>
      </c>
      <c r="F447" s="7" t="s">
        <v>56</v>
      </c>
      <c r="G447" s="8" t="s">
        <v>81</v>
      </c>
      <c r="H447" s="7" t="s">
        <v>35</v>
      </c>
      <c r="I447" s="7" t="s">
        <v>77</v>
      </c>
      <c r="J447" s="2" t="s">
        <v>1487</v>
      </c>
      <c r="K447" s="11" t="s">
        <v>1912</v>
      </c>
      <c r="L447" s="2" t="s">
        <v>1564</v>
      </c>
      <c r="M447" s="2" t="s">
        <v>2445</v>
      </c>
      <c r="N447" s="2" t="s">
        <v>2630</v>
      </c>
      <c r="O447" s="2" t="s">
        <v>2641</v>
      </c>
      <c r="P447" s="66" t="s">
        <v>2034</v>
      </c>
      <c r="Q447" s="66" t="s">
        <v>2038</v>
      </c>
      <c r="R447" s="66"/>
    </row>
    <row r="448" spans="1:18" ht="27.75" hidden="1" customHeight="1" x14ac:dyDescent="0.3">
      <c r="A448" s="8">
        <v>1204700010002</v>
      </c>
      <c r="B448" s="7" t="s">
        <v>265</v>
      </c>
      <c r="C448" s="91" t="s">
        <v>266</v>
      </c>
      <c r="D448" s="110">
        <v>2003</v>
      </c>
      <c r="E448" s="7" t="s">
        <v>19</v>
      </c>
      <c r="F448" s="96" t="s">
        <v>10</v>
      </c>
      <c r="G448" s="8" t="s">
        <v>267</v>
      </c>
      <c r="H448" s="111" t="s">
        <v>263</v>
      </c>
      <c r="I448" s="7" t="s">
        <v>264</v>
      </c>
      <c r="J448" s="110" t="s">
        <v>1555</v>
      </c>
      <c r="K448" s="11" t="s">
        <v>1912</v>
      </c>
      <c r="L448" s="2" t="s">
        <v>1571</v>
      </c>
      <c r="M448" s="2" t="s">
        <v>1609</v>
      </c>
      <c r="N448" s="2" t="s">
        <v>2111</v>
      </c>
      <c r="O448" s="2" t="s">
        <v>2615</v>
      </c>
      <c r="P448" s="65"/>
      <c r="Q448" s="65"/>
      <c r="R448" s="65"/>
    </row>
    <row r="449" spans="1:18" ht="27.75" hidden="1" customHeight="1" x14ac:dyDescent="0.3">
      <c r="A449" s="8">
        <v>1204700020003</v>
      </c>
      <c r="B449" s="7" t="s">
        <v>13</v>
      </c>
      <c r="C449" s="7" t="s">
        <v>628</v>
      </c>
      <c r="D449" s="110">
        <v>2006</v>
      </c>
      <c r="E449" s="91" t="s">
        <v>19</v>
      </c>
      <c r="F449" s="96" t="s">
        <v>10</v>
      </c>
      <c r="G449" s="8" t="s">
        <v>629</v>
      </c>
      <c r="H449" s="111" t="s">
        <v>263</v>
      </c>
      <c r="I449" s="7" t="s">
        <v>618</v>
      </c>
      <c r="J449" s="110" t="s">
        <v>1537</v>
      </c>
      <c r="K449" s="11" t="s">
        <v>1912</v>
      </c>
      <c r="L449" s="2" t="s">
        <v>1613</v>
      </c>
      <c r="M449" s="2" t="s">
        <v>1627</v>
      </c>
      <c r="N449" s="2" t="s">
        <v>2599</v>
      </c>
      <c r="O449" s="2" t="s">
        <v>2641</v>
      </c>
      <c r="P449" s="66" t="s">
        <v>1537</v>
      </c>
      <c r="Q449" s="66" t="s">
        <v>2040</v>
      </c>
      <c r="R449" s="66"/>
    </row>
    <row r="450" spans="1:18" ht="27.75" hidden="1" customHeight="1" x14ac:dyDescent="0.3">
      <c r="A450" s="58">
        <v>1106700020003</v>
      </c>
      <c r="B450" s="7" t="s">
        <v>54</v>
      </c>
      <c r="C450" s="7" t="s">
        <v>333</v>
      </c>
      <c r="D450" s="70">
        <v>2015</v>
      </c>
      <c r="E450" s="7" t="s">
        <v>19</v>
      </c>
      <c r="F450" s="7" t="s">
        <v>56</v>
      </c>
      <c r="G450" s="8" t="s">
        <v>334</v>
      </c>
      <c r="H450" s="7" t="s">
        <v>263</v>
      </c>
      <c r="I450" s="7" t="s">
        <v>270</v>
      </c>
      <c r="J450" s="2" t="s">
        <v>1487</v>
      </c>
      <c r="K450" s="11" t="s">
        <v>1912</v>
      </c>
      <c r="L450" s="2" t="s">
        <v>1615</v>
      </c>
      <c r="M450" s="2" t="s">
        <v>2642</v>
      </c>
      <c r="N450" s="2" t="s">
        <v>2641</v>
      </c>
      <c r="O450" s="2" t="s">
        <v>2672</v>
      </c>
      <c r="P450" s="65" t="s">
        <v>2034</v>
      </c>
      <c r="Q450" s="65" t="s">
        <v>2037</v>
      </c>
      <c r="R450" s="65"/>
    </row>
    <row r="451" spans="1:18" ht="27.75" hidden="1" customHeight="1" x14ac:dyDescent="0.3">
      <c r="A451" s="8">
        <v>1102700020004</v>
      </c>
      <c r="B451" s="7" t="s">
        <v>136</v>
      </c>
      <c r="C451" s="7" t="s">
        <v>169</v>
      </c>
      <c r="D451" s="7">
        <v>2015</v>
      </c>
      <c r="E451" s="7" t="s">
        <v>19</v>
      </c>
      <c r="F451" s="7" t="s">
        <v>66</v>
      </c>
      <c r="G451" s="8" t="s">
        <v>170</v>
      </c>
      <c r="H451" s="7" t="s">
        <v>35</v>
      </c>
      <c r="I451" s="7" t="s">
        <v>166</v>
      </c>
      <c r="J451" s="2" t="s">
        <v>1471</v>
      </c>
      <c r="K451" s="2" t="s">
        <v>1548</v>
      </c>
      <c r="L451" s="2" t="s">
        <v>1571</v>
      </c>
      <c r="M451" s="2" t="s">
        <v>2684</v>
      </c>
      <c r="N451" s="2" t="s">
        <v>2677</v>
      </c>
      <c r="O451" s="2"/>
      <c r="P451" s="66" t="s">
        <v>1471</v>
      </c>
      <c r="Q451" s="66" t="s">
        <v>1994</v>
      </c>
      <c r="R451" s="66"/>
    </row>
    <row r="452" spans="1:18" ht="27.75" hidden="1" customHeight="1" x14ac:dyDescent="0.3">
      <c r="A452" s="75">
        <v>1101700010006</v>
      </c>
      <c r="B452" s="7" t="s">
        <v>2075</v>
      </c>
      <c r="C452" s="7" t="s">
        <v>828</v>
      </c>
      <c r="D452" s="7">
        <v>2013</v>
      </c>
      <c r="E452" s="7" t="s">
        <v>19</v>
      </c>
      <c r="F452" s="7" t="s">
        <v>52</v>
      </c>
      <c r="G452" s="8" t="s">
        <v>829</v>
      </c>
      <c r="H452" s="7" t="s">
        <v>35</v>
      </c>
      <c r="I452" s="7" t="s">
        <v>827</v>
      </c>
      <c r="J452" s="2" t="s">
        <v>1531</v>
      </c>
      <c r="K452" s="2" t="s">
        <v>1548</v>
      </c>
      <c r="L452" s="2" t="s">
        <v>1571</v>
      </c>
      <c r="M452" s="2" t="s">
        <v>2691</v>
      </c>
      <c r="N452" s="2" t="s">
        <v>2688</v>
      </c>
      <c r="O452" s="2"/>
      <c r="P452" s="65" t="s">
        <v>1531</v>
      </c>
      <c r="Q452" s="65" t="s">
        <v>2020</v>
      </c>
      <c r="R452" s="65"/>
    </row>
    <row r="453" spans="1:18" ht="27.75" hidden="1" customHeight="1" x14ac:dyDescent="0.3">
      <c r="A453" s="68"/>
      <c r="C453" s="66"/>
      <c r="D453" s="66"/>
      <c r="E453" s="66"/>
      <c r="F453" s="66"/>
      <c r="G453" s="66"/>
      <c r="H453" s="66"/>
      <c r="I453" s="66"/>
      <c r="J453" s="66"/>
      <c r="K453" s="66"/>
      <c r="L453" s="66"/>
      <c r="M453" s="66"/>
      <c r="N453" s="69"/>
      <c r="O453" s="66"/>
      <c r="P453" s="66"/>
      <c r="Q453" s="66"/>
      <c r="R453" s="66"/>
    </row>
    <row r="454" spans="1:18" ht="27.75" hidden="1" customHeight="1" x14ac:dyDescent="0.3">
      <c r="A454" s="67"/>
      <c r="C454" s="65"/>
      <c r="D454" s="65"/>
      <c r="E454" s="65"/>
      <c r="F454" s="65"/>
      <c r="G454" s="65"/>
      <c r="H454" s="65"/>
      <c r="I454" s="65"/>
      <c r="J454" s="65"/>
      <c r="K454" s="65"/>
      <c r="L454" s="65"/>
      <c r="M454" s="65"/>
      <c r="N454" s="64"/>
      <c r="O454" s="65"/>
      <c r="P454" s="65"/>
      <c r="Q454" s="65"/>
      <c r="R454" s="65"/>
    </row>
    <row r="455" spans="1:18" ht="27.75" hidden="1" customHeight="1" x14ac:dyDescent="0.3">
      <c r="A455" s="68"/>
      <c r="C455" s="66"/>
      <c r="D455" s="66"/>
      <c r="E455" s="66"/>
      <c r="F455" s="66"/>
      <c r="G455" s="66"/>
      <c r="H455" s="66"/>
      <c r="I455" s="66"/>
      <c r="J455" s="66"/>
      <c r="K455" s="66"/>
      <c r="L455" s="66"/>
      <c r="M455" s="66"/>
      <c r="N455" s="69"/>
      <c r="O455" s="66"/>
      <c r="P455" s="66"/>
      <c r="Q455" s="66"/>
      <c r="R455" s="66"/>
    </row>
    <row r="456" spans="1:18" ht="27.75" hidden="1" customHeight="1" x14ac:dyDescent="0.3">
      <c r="A456" s="67"/>
      <c r="C456" s="65"/>
      <c r="D456" s="65"/>
      <c r="E456" s="65"/>
      <c r="F456" s="65"/>
      <c r="G456" s="65"/>
      <c r="H456" s="65"/>
      <c r="I456" s="65"/>
      <c r="J456" s="65"/>
      <c r="K456" s="65"/>
      <c r="L456" s="65"/>
      <c r="M456" s="65"/>
      <c r="N456" s="64"/>
      <c r="O456" s="65"/>
      <c r="P456" s="65"/>
      <c r="Q456" s="65"/>
      <c r="R456" s="65"/>
    </row>
    <row r="457" spans="1:18" ht="27.75" hidden="1" customHeight="1" x14ac:dyDescent="0.3">
      <c r="A457" s="68"/>
      <c r="C457" s="66"/>
      <c r="D457" s="66"/>
      <c r="E457" s="66"/>
      <c r="F457" s="66"/>
      <c r="G457" s="66"/>
      <c r="H457" s="66"/>
      <c r="I457" s="66"/>
      <c r="J457" s="66"/>
      <c r="K457" s="66"/>
      <c r="L457" s="66"/>
      <c r="M457" s="66"/>
      <c r="N457" s="69"/>
      <c r="O457" s="66"/>
      <c r="P457" s="66"/>
      <c r="Q457" s="66"/>
      <c r="R457" s="66"/>
    </row>
    <row r="458" spans="1:18" ht="27.75" hidden="1" customHeight="1" x14ac:dyDescent="0.3">
      <c r="A458" s="67"/>
      <c r="C458" s="65"/>
      <c r="D458" s="65"/>
      <c r="E458" s="65"/>
      <c r="F458" s="65"/>
      <c r="G458" s="65"/>
      <c r="H458" s="65"/>
      <c r="I458" s="65"/>
      <c r="J458" s="65"/>
      <c r="K458" s="65"/>
      <c r="L458" s="65"/>
      <c r="M458" s="65"/>
      <c r="N458" s="64"/>
      <c r="O458" s="65"/>
      <c r="P458" s="65"/>
      <c r="Q458" s="65"/>
      <c r="R458" s="65"/>
    </row>
    <row r="459" spans="1:18" ht="27.75" hidden="1" customHeight="1" x14ac:dyDescent="0.3">
      <c r="A459" s="68"/>
      <c r="C459" s="66"/>
      <c r="D459" s="66"/>
      <c r="E459" s="66"/>
      <c r="F459" s="66"/>
      <c r="G459" s="66"/>
      <c r="H459" s="66"/>
      <c r="I459" s="66"/>
      <c r="J459" s="66"/>
      <c r="K459" s="66"/>
      <c r="L459" s="66"/>
      <c r="M459" s="66"/>
      <c r="N459" s="69"/>
      <c r="O459" s="66"/>
      <c r="P459" s="66"/>
      <c r="Q459" s="66"/>
      <c r="R459" s="66"/>
    </row>
    <row r="460" spans="1:18" ht="27.75" hidden="1" customHeight="1" x14ac:dyDescent="0.3">
      <c r="A460" s="67"/>
      <c r="C460" s="65"/>
      <c r="D460" s="65"/>
      <c r="E460" s="65"/>
      <c r="F460" s="65"/>
      <c r="G460" s="65"/>
      <c r="H460" s="65"/>
      <c r="I460" s="65"/>
      <c r="J460" s="65"/>
      <c r="K460" s="65"/>
      <c r="L460" s="65"/>
      <c r="M460" s="65"/>
      <c r="N460" s="64"/>
      <c r="O460" s="65"/>
      <c r="P460" s="65"/>
      <c r="Q460" s="65"/>
      <c r="R460" s="65"/>
    </row>
    <row r="461" spans="1:18" ht="27.75" hidden="1" customHeight="1" x14ac:dyDescent="0.3">
      <c r="A461" s="68"/>
      <c r="C461" s="66"/>
      <c r="D461" s="66"/>
      <c r="E461" s="66"/>
      <c r="F461" s="66"/>
      <c r="G461" s="66"/>
      <c r="H461" s="66"/>
      <c r="I461" s="66"/>
      <c r="J461" s="66"/>
      <c r="K461" s="66"/>
      <c r="L461" s="66"/>
      <c r="M461" s="66"/>
      <c r="N461" s="69"/>
      <c r="O461" s="66"/>
      <c r="P461" s="66"/>
      <c r="Q461" s="66"/>
      <c r="R461" s="66"/>
    </row>
    <row r="462" spans="1:18" ht="27.75" hidden="1" customHeight="1" x14ac:dyDescent="0.3">
      <c r="A462" s="67"/>
      <c r="C462" s="65"/>
      <c r="D462" s="65"/>
      <c r="E462" s="65"/>
      <c r="F462" s="65"/>
      <c r="G462" s="65"/>
      <c r="H462" s="65"/>
      <c r="I462" s="65"/>
      <c r="J462" s="65"/>
      <c r="K462" s="65"/>
      <c r="L462" s="65"/>
      <c r="M462" s="65"/>
      <c r="N462" s="64"/>
      <c r="O462" s="65"/>
      <c r="P462" s="65"/>
      <c r="Q462" s="65"/>
      <c r="R462" s="65"/>
    </row>
    <row r="463" spans="1:18" ht="27.75" hidden="1" customHeight="1" x14ac:dyDescent="0.3">
      <c r="A463" s="68"/>
      <c r="C463" s="66"/>
      <c r="D463" s="66"/>
      <c r="E463" s="66"/>
      <c r="F463" s="66"/>
      <c r="G463" s="66"/>
      <c r="H463" s="66"/>
      <c r="I463" s="66"/>
      <c r="J463" s="66"/>
      <c r="K463" s="66"/>
      <c r="L463" s="66"/>
      <c r="M463" s="66"/>
      <c r="N463" s="69"/>
      <c r="O463" s="66"/>
      <c r="P463" s="66"/>
      <c r="Q463" s="66"/>
      <c r="R463" s="66"/>
    </row>
    <row r="464" spans="1:18" ht="27.75" hidden="1" customHeight="1" x14ac:dyDescent="0.3">
      <c r="A464" s="67"/>
      <c r="C464" s="65"/>
      <c r="D464" s="65"/>
      <c r="E464" s="65"/>
      <c r="F464" s="65"/>
      <c r="G464" s="65"/>
      <c r="H464" s="65"/>
      <c r="I464" s="65"/>
      <c r="J464" s="65"/>
      <c r="K464" s="65"/>
      <c r="L464" s="65"/>
      <c r="M464" s="65"/>
      <c r="N464" s="64"/>
      <c r="O464" s="65"/>
      <c r="P464" s="65"/>
      <c r="Q464" s="65"/>
      <c r="R464" s="65"/>
    </row>
    <row r="465" spans="1:18" ht="27.75" hidden="1" customHeight="1" x14ac:dyDescent="0.3">
      <c r="A465" s="68"/>
      <c r="C465" s="66"/>
      <c r="D465" s="66"/>
      <c r="E465" s="66"/>
      <c r="F465" s="66"/>
      <c r="G465" s="66"/>
      <c r="H465" s="66"/>
      <c r="I465" s="66"/>
      <c r="J465" s="66"/>
      <c r="K465" s="66"/>
      <c r="L465" s="66"/>
      <c r="M465" s="66"/>
      <c r="N465" s="69"/>
      <c r="O465" s="66"/>
      <c r="P465" s="66"/>
      <c r="Q465" s="66"/>
      <c r="R465" s="66"/>
    </row>
    <row r="466" spans="1:18" ht="27.75" hidden="1" customHeight="1" x14ac:dyDescent="0.3">
      <c r="A466" s="67"/>
      <c r="C466" s="65"/>
      <c r="D466" s="65"/>
      <c r="E466" s="65"/>
      <c r="F466" s="65"/>
      <c r="G466" s="65"/>
      <c r="H466" s="65"/>
      <c r="I466" s="65"/>
      <c r="J466" s="65"/>
      <c r="K466" s="65"/>
      <c r="L466" s="65"/>
      <c r="M466" s="65"/>
      <c r="N466" s="64"/>
      <c r="O466" s="65"/>
      <c r="P466" s="65"/>
      <c r="Q466" s="65"/>
      <c r="R466" s="65"/>
    </row>
    <row r="467" spans="1:18" ht="27.75" hidden="1" customHeight="1" x14ac:dyDescent="0.3">
      <c r="A467" s="68"/>
      <c r="C467" s="66"/>
      <c r="D467" s="66"/>
      <c r="E467" s="66"/>
      <c r="F467" s="66"/>
      <c r="G467" s="66"/>
      <c r="H467" s="66"/>
      <c r="I467" s="66"/>
      <c r="J467" s="66"/>
      <c r="K467" s="66"/>
      <c r="L467" s="66"/>
      <c r="M467" s="66"/>
      <c r="N467" s="69"/>
      <c r="O467" s="66"/>
      <c r="P467" s="66"/>
      <c r="Q467" s="66"/>
      <c r="R467" s="66"/>
    </row>
    <row r="468" spans="1:18" ht="27.75" hidden="1" customHeight="1" x14ac:dyDescent="0.3">
      <c r="A468" s="67"/>
      <c r="C468" s="65"/>
      <c r="D468" s="65"/>
      <c r="E468" s="65"/>
      <c r="F468" s="65"/>
      <c r="G468" s="65"/>
      <c r="H468" s="65"/>
      <c r="I468" s="65"/>
      <c r="J468" s="65"/>
      <c r="K468" s="65"/>
      <c r="L468" s="65"/>
      <c r="M468" s="65"/>
      <c r="N468" s="64"/>
      <c r="O468" s="65"/>
      <c r="P468" s="65"/>
      <c r="Q468" s="65"/>
      <c r="R468" s="65"/>
    </row>
    <row r="469" spans="1:18" ht="27.75" hidden="1" customHeight="1" x14ac:dyDescent="0.3">
      <c r="A469" s="68"/>
      <c r="C469" s="66"/>
      <c r="D469" s="66"/>
      <c r="E469" s="66"/>
      <c r="F469" s="66"/>
      <c r="G469" s="66"/>
      <c r="H469" s="66"/>
      <c r="I469" s="66"/>
      <c r="J469" s="66"/>
      <c r="K469" s="66"/>
      <c r="L469" s="66"/>
      <c r="M469" s="66"/>
      <c r="N469" s="69"/>
      <c r="O469" s="66"/>
      <c r="P469" s="66"/>
      <c r="Q469" s="66"/>
      <c r="R469" s="66"/>
    </row>
    <row r="470" spans="1:18" ht="27.75" hidden="1" customHeight="1" x14ac:dyDescent="0.3">
      <c r="A470" s="67"/>
      <c r="C470" s="65"/>
      <c r="D470" s="65"/>
      <c r="E470" s="65"/>
      <c r="F470" s="65"/>
      <c r="G470" s="65"/>
      <c r="H470" s="65"/>
      <c r="I470" s="65"/>
      <c r="J470" s="65"/>
      <c r="K470" s="65"/>
      <c r="L470" s="65"/>
      <c r="M470" s="65"/>
      <c r="N470" s="64"/>
      <c r="O470" s="65"/>
      <c r="P470" s="65"/>
      <c r="Q470" s="65"/>
      <c r="R470" s="65"/>
    </row>
    <row r="471" spans="1:18" ht="27.75" hidden="1" customHeight="1" x14ac:dyDescent="0.3">
      <c r="A471" s="68"/>
      <c r="C471" s="66"/>
      <c r="D471" s="66"/>
      <c r="E471" s="66"/>
      <c r="F471" s="66"/>
      <c r="G471" s="66"/>
      <c r="H471" s="66"/>
      <c r="I471" s="66"/>
      <c r="J471" s="66"/>
      <c r="K471" s="66"/>
      <c r="L471" s="66"/>
      <c r="M471" s="66"/>
      <c r="N471" s="69"/>
      <c r="O471" s="66"/>
      <c r="P471" s="66"/>
      <c r="Q471" s="66"/>
      <c r="R471" s="66"/>
    </row>
    <row r="472" spans="1:18" ht="27.75" hidden="1" customHeight="1" x14ac:dyDescent="0.3">
      <c r="A472" s="67"/>
      <c r="C472" s="65"/>
      <c r="D472" s="65"/>
      <c r="E472" s="65"/>
      <c r="F472" s="65"/>
      <c r="G472" s="65"/>
      <c r="H472" s="65"/>
      <c r="I472" s="65"/>
      <c r="J472" s="65"/>
      <c r="K472" s="65"/>
      <c r="L472" s="65"/>
      <c r="M472" s="65"/>
      <c r="N472" s="64"/>
      <c r="O472" s="65"/>
      <c r="P472" s="65"/>
      <c r="Q472" s="65"/>
      <c r="R472" s="65"/>
    </row>
    <row r="473" spans="1:18" ht="27.75" hidden="1" customHeight="1" x14ac:dyDescent="0.3">
      <c r="A473" s="68"/>
      <c r="C473" s="66"/>
      <c r="D473" s="66"/>
      <c r="E473" s="66"/>
      <c r="F473" s="66"/>
      <c r="G473" s="66"/>
      <c r="H473" s="66"/>
      <c r="I473" s="66"/>
      <c r="J473" s="66"/>
      <c r="K473" s="66"/>
      <c r="L473" s="66"/>
      <c r="M473" s="66"/>
      <c r="N473" s="69"/>
      <c r="O473" s="66"/>
      <c r="P473" s="66"/>
      <c r="Q473" s="66"/>
      <c r="R473" s="66"/>
    </row>
    <row r="474" spans="1:18" ht="27.75" hidden="1" customHeight="1" x14ac:dyDescent="0.3">
      <c r="A474" s="67"/>
      <c r="C474" s="65"/>
      <c r="D474" s="65"/>
      <c r="E474" s="65"/>
      <c r="F474" s="65"/>
      <c r="G474" s="65"/>
      <c r="H474" s="65"/>
      <c r="I474" s="65"/>
      <c r="J474" s="65"/>
      <c r="K474" s="65"/>
      <c r="L474" s="65"/>
      <c r="M474" s="65"/>
      <c r="N474" s="64"/>
      <c r="O474" s="65"/>
      <c r="P474" s="65"/>
      <c r="Q474" s="65"/>
      <c r="R474" s="65"/>
    </row>
    <row r="475" spans="1:18" ht="27.75" hidden="1" customHeight="1" x14ac:dyDescent="0.3">
      <c r="A475" s="68"/>
      <c r="C475" s="66"/>
      <c r="D475" s="66"/>
      <c r="E475" s="66"/>
      <c r="F475" s="66"/>
      <c r="G475" s="66"/>
      <c r="H475" s="66"/>
      <c r="I475" s="66"/>
      <c r="J475" s="66"/>
      <c r="K475" s="66"/>
      <c r="L475" s="66"/>
      <c r="M475" s="66"/>
      <c r="N475" s="69"/>
      <c r="O475" s="66"/>
      <c r="P475" s="66"/>
      <c r="Q475" s="66"/>
      <c r="R475" s="66"/>
    </row>
    <row r="476" spans="1:18" ht="27.75" hidden="1" customHeight="1" x14ac:dyDescent="0.3">
      <c r="A476" s="67"/>
      <c r="C476" s="65"/>
      <c r="D476" s="65"/>
      <c r="E476" s="65"/>
      <c r="F476" s="65"/>
      <c r="G476" s="65"/>
      <c r="H476" s="65"/>
      <c r="I476" s="65"/>
      <c r="J476" s="65"/>
      <c r="K476" s="65"/>
      <c r="L476" s="65"/>
      <c r="M476" s="65"/>
      <c r="N476" s="64"/>
      <c r="O476" s="65"/>
      <c r="P476" s="65"/>
      <c r="Q476" s="65"/>
      <c r="R476" s="65"/>
    </row>
    <row r="477" spans="1:18" ht="27.75" hidden="1" customHeight="1" x14ac:dyDescent="0.3">
      <c r="A477" s="68"/>
      <c r="C477" s="66"/>
      <c r="D477" s="66"/>
      <c r="E477" s="66"/>
      <c r="F477" s="66"/>
      <c r="G477" s="66"/>
      <c r="H477" s="66"/>
      <c r="I477" s="66"/>
      <c r="J477" s="66"/>
      <c r="K477" s="66"/>
      <c r="L477" s="66"/>
      <c r="M477" s="66"/>
      <c r="N477" s="69"/>
      <c r="O477" s="66"/>
      <c r="P477" s="66"/>
      <c r="Q477" s="66"/>
      <c r="R477" s="66"/>
    </row>
    <row r="478" spans="1:18" ht="27.75" hidden="1" customHeight="1" x14ac:dyDescent="0.3">
      <c r="A478" s="67"/>
      <c r="C478" s="65"/>
      <c r="D478" s="65"/>
      <c r="E478" s="65"/>
      <c r="F478" s="65"/>
      <c r="G478" s="65"/>
      <c r="H478" s="65"/>
      <c r="I478" s="65"/>
      <c r="J478" s="65"/>
      <c r="K478" s="65"/>
      <c r="L478" s="65"/>
      <c r="M478" s="65"/>
      <c r="N478" s="64"/>
      <c r="O478" s="65"/>
      <c r="P478" s="65"/>
      <c r="Q478" s="65"/>
      <c r="R478" s="65"/>
    </row>
    <row r="479" spans="1:18" ht="27.75" hidden="1" customHeight="1" x14ac:dyDescent="0.3">
      <c r="A479" s="68"/>
      <c r="C479" s="66"/>
      <c r="D479" s="66"/>
      <c r="E479" s="66"/>
      <c r="F479" s="66"/>
      <c r="G479" s="66"/>
      <c r="H479" s="66"/>
      <c r="I479" s="66"/>
      <c r="J479" s="66"/>
      <c r="K479" s="66"/>
      <c r="L479" s="66"/>
      <c r="M479" s="66"/>
      <c r="N479" s="69"/>
      <c r="O479" s="66"/>
      <c r="P479" s="66"/>
      <c r="Q479" s="66"/>
      <c r="R479" s="66"/>
    </row>
    <row r="480" spans="1:18" ht="27.75" hidden="1" customHeight="1" x14ac:dyDescent="0.3">
      <c r="A480" s="67"/>
      <c r="C480" s="65"/>
      <c r="D480" s="65"/>
      <c r="E480" s="65"/>
      <c r="F480" s="65"/>
      <c r="G480" s="65"/>
      <c r="H480" s="65"/>
      <c r="I480" s="65"/>
      <c r="J480" s="65"/>
      <c r="K480" s="65"/>
      <c r="L480" s="65"/>
      <c r="M480" s="65"/>
      <c r="N480" s="64"/>
      <c r="O480" s="65"/>
      <c r="P480" s="65"/>
      <c r="Q480" s="65"/>
      <c r="R480" s="65"/>
    </row>
    <row r="481" spans="1:18" ht="27.75" hidden="1" customHeight="1" x14ac:dyDescent="0.3">
      <c r="A481" s="68"/>
      <c r="C481" s="66"/>
      <c r="D481" s="66"/>
      <c r="E481" s="66"/>
      <c r="F481" s="66"/>
      <c r="G481" s="66"/>
      <c r="H481" s="66"/>
      <c r="I481" s="66"/>
      <c r="J481" s="66"/>
      <c r="K481" s="66"/>
      <c r="L481" s="66"/>
      <c r="M481" s="66"/>
      <c r="N481" s="69"/>
      <c r="O481" s="66"/>
      <c r="P481" s="66"/>
      <c r="Q481" s="66"/>
      <c r="R481" s="66"/>
    </row>
    <row r="482" spans="1:18" ht="27.75" hidden="1" customHeight="1" x14ac:dyDescent="0.3">
      <c r="A482" s="67"/>
      <c r="C482" s="65"/>
      <c r="D482" s="65"/>
      <c r="E482" s="65"/>
      <c r="F482" s="65"/>
      <c r="G482" s="65"/>
      <c r="H482" s="65"/>
      <c r="I482" s="65"/>
      <c r="J482" s="65"/>
      <c r="K482" s="65"/>
      <c r="L482" s="65"/>
      <c r="M482" s="65"/>
      <c r="N482" s="64"/>
      <c r="O482" s="65"/>
      <c r="P482" s="65"/>
      <c r="Q482" s="65"/>
      <c r="R482" s="65"/>
    </row>
    <row r="483" spans="1:18" ht="27.75" hidden="1" customHeight="1" x14ac:dyDescent="0.3">
      <c r="A483" s="68"/>
      <c r="C483" s="66"/>
      <c r="D483" s="66"/>
      <c r="E483" s="66"/>
      <c r="F483" s="66"/>
      <c r="G483" s="66"/>
      <c r="H483" s="66"/>
      <c r="I483" s="66"/>
      <c r="J483" s="66"/>
      <c r="K483" s="66"/>
      <c r="L483" s="66"/>
      <c r="M483" s="66"/>
      <c r="N483" s="69"/>
      <c r="O483" s="66"/>
      <c r="P483" s="66"/>
      <c r="Q483" s="66"/>
      <c r="R483" s="66"/>
    </row>
    <row r="484" spans="1:18" ht="27.75" hidden="1" customHeight="1" x14ac:dyDescent="0.3">
      <c r="A484" s="67"/>
      <c r="C484" s="65"/>
      <c r="D484" s="65"/>
      <c r="E484" s="65"/>
      <c r="F484" s="65"/>
      <c r="G484" s="65"/>
      <c r="H484" s="65"/>
      <c r="I484" s="65"/>
      <c r="J484" s="65"/>
      <c r="K484" s="65"/>
      <c r="L484" s="65"/>
      <c r="M484" s="65"/>
      <c r="N484" s="64"/>
      <c r="O484" s="65"/>
      <c r="P484" s="65"/>
      <c r="Q484" s="65"/>
      <c r="R484" s="65"/>
    </row>
    <row r="485" spans="1:18" ht="27.75" hidden="1" customHeight="1" x14ac:dyDescent="0.3">
      <c r="A485" s="68"/>
      <c r="C485" s="66"/>
      <c r="D485" s="66"/>
      <c r="E485" s="66"/>
      <c r="F485" s="66"/>
      <c r="G485" s="66"/>
      <c r="H485" s="66"/>
      <c r="I485" s="66"/>
      <c r="J485" s="66"/>
      <c r="K485" s="66"/>
      <c r="L485" s="66"/>
      <c r="M485" s="66"/>
      <c r="N485" s="69"/>
      <c r="O485" s="66"/>
      <c r="P485" s="66"/>
      <c r="Q485" s="66"/>
      <c r="R485" s="66"/>
    </row>
    <row r="486" spans="1:18" ht="27.75" hidden="1" customHeight="1" x14ac:dyDescent="0.3">
      <c r="A486" s="67"/>
      <c r="C486" s="65"/>
      <c r="D486" s="65"/>
      <c r="E486" s="65"/>
      <c r="F486" s="65"/>
      <c r="G486" s="65"/>
      <c r="H486" s="65"/>
      <c r="I486" s="65"/>
      <c r="J486" s="65"/>
      <c r="K486" s="65"/>
      <c r="L486" s="65"/>
      <c r="M486" s="65"/>
      <c r="N486" s="64"/>
      <c r="O486" s="65"/>
      <c r="P486" s="65"/>
      <c r="Q486" s="65"/>
      <c r="R486" s="65"/>
    </row>
    <row r="487" spans="1:18" ht="27.75" hidden="1" customHeight="1" x14ac:dyDescent="0.3">
      <c r="A487" s="68"/>
      <c r="C487" s="66"/>
      <c r="D487" s="66"/>
      <c r="E487" s="66"/>
      <c r="F487" s="66"/>
      <c r="G487" s="66"/>
      <c r="H487" s="66"/>
      <c r="I487" s="66"/>
      <c r="J487" s="66"/>
      <c r="K487" s="66"/>
      <c r="L487" s="66"/>
      <c r="M487" s="66"/>
      <c r="N487" s="69"/>
      <c r="O487" s="66"/>
      <c r="P487" s="66"/>
      <c r="Q487" s="66"/>
      <c r="R487" s="66"/>
    </row>
    <row r="488" spans="1:18" ht="27.75" hidden="1" customHeight="1" x14ac:dyDescent="0.3">
      <c r="A488" s="67"/>
      <c r="C488" s="65"/>
      <c r="D488" s="65"/>
      <c r="E488" s="65"/>
      <c r="F488" s="65"/>
      <c r="G488" s="65"/>
      <c r="H488" s="65"/>
      <c r="I488" s="65"/>
      <c r="J488" s="65"/>
      <c r="K488" s="65"/>
      <c r="L488" s="65"/>
      <c r="M488" s="65"/>
      <c r="N488" s="64"/>
      <c r="O488" s="65"/>
      <c r="P488" s="65"/>
      <c r="Q488" s="65"/>
      <c r="R488" s="65"/>
    </row>
    <row r="489" spans="1:18" ht="27.75" hidden="1" customHeight="1" x14ac:dyDescent="0.3">
      <c r="A489" s="68"/>
      <c r="C489" s="66"/>
      <c r="D489" s="66"/>
      <c r="E489" s="66"/>
      <c r="F489" s="66"/>
      <c r="G489" s="66"/>
      <c r="H489" s="66"/>
      <c r="I489" s="66"/>
      <c r="J489" s="66"/>
      <c r="K489" s="66"/>
      <c r="L489" s="66"/>
      <c r="M489" s="66"/>
      <c r="N489" s="69"/>
      <c r="O489" s="66"/>
      <c r="P489" s="66"/>
      <c r="Q489" s="66"/>
      <c r="R489" s="66"/>
    </row>
    <row r="490" spans="1:18" ht="27.75" hidden="1" customHeight="1" x14ac:dyDescent="0.3">
      <c r="A490" s="67"/>
      <c r="C490" s="65"/>
      <c r="D490" s="65"/>
      <c r="E490" s="65"/>
      <c r="F490" s="65"/>
      <c r="G490" s="65"/>
      <c r="H490" s="65"/>
      <c r="I490" s="65"/>
      <c r="J490" s="65"/>
      <c r="K490" s="65"/>
      <c r="L490" s="65"/>
      <c r="M490" s="65"/>
      <c r="N490" s="64"/>
      <c r="O490" s="65"/>
      <c r="P490" s="65"/>
      <c r="Q490" s="65"/>
      <c r="R490" s="65"/>
    </row>
    <row r="491" spans="1:18" ht="27.75" hidden="1" customHeight="1" x14ac:dyDescent="0.3">
      <c r="A491" s="68"/>
      <c r="C491" s="66"/>
      <c r="D491" s="66"/>
      <c r="E491" s="66"/>
      <c r="F491" s="66"/>
      <c r="G491" s="66"/>
      <c r="H491" s="66"/>
      <c r="I491" s="66"/>
      <c r="J491" s="66"/>
      <c r="K491" s="66"/>
      <c r="L491" s="66"/>
      <c r="M491" s="66"/>
      <c r="N491" s="69"/>
      <c r="O491" s="66"/>
      <c r="P491" s="66"/>
      <c r="Q491" s="66"/>
      <c r="R491" s="66"/>
    </row>
    <row r="492" spans="1:18" ht="27.75" hidden="1" customHeight="1" x14ac:dyDescent="0.3">
      <c r="A492" s="67"/>
      <c r="C492" s="65"/>
      <c r="D492" s="65"/>
      <c r="E492" s="65"/>
      <c r="F492" s="65"/>
      <c r="G492" s="65"/>
      <c r="H492" s="65"/>
      <c r="I492" s="65"/>
      <c r="J492" s="65"/>
      <c r="K492" s="65"/>
      <c r="L492" s="65"/>
      <c r="M492" s="65"/>
      <c r="N492" s="64"/>
      <c r="O492" s="65"/>
      <c r="P492" s="65"/>
      <c r="Q492" s="65"/>
      <c r="R492" s="65"/>
    </row>
    <row r="493" spans="1:18" ht="27.75" hidden="1" customHeight="1" x14ac:dyDescent="0.3">
      <c r="A493" s="68"/>
      <c r="C493" s="66"/>
      <c r="D493" s="66"/>
      <c r="E493" s="66"/>
      <c r="F493" s="66"/>
      <c r="G493" s="66"/>
      <c r="H493" s="66"/>
      <c r="I493" s="66"/>
      <c r="J493" s="66"/>
      <c r="K493" s="66"/>
      <c r="L493" s="66"/>
      <c r="M493" s="66"/>
      <c r="N493" s="69"/>
      <c r="O493" s="66"/>
      <c r="P493" s="66"/>
      <c r="Q493" s="66"/>
      <c r="R493" s="66"/>
    </row>
    <row r="494" spans="1:18" ht="27.75" hidden="1" customHeight="1" x14ac:dyDescent="0.3">
      <c r="A494" s="67"/>
      <c r="C494" s="65"/>
      <c r="D494" s="65"/>
      <c r="E494" s="65"/>
      <c r="F494" s="65"/>
      <c r="G494" s="65"/>
      <c r="H494" s="65"/>
      <c r="I494" s="65"/>
      <c r="J494" s="65"/>
      <c r="K494" s="65"/>
      <c r="L494" s="65"/>
      <c r="M494" s="65"/>
      <c r="N494" s="64"/>
      <c r="O494" s="65"/>
      <c r="P494" s="65"/>
      <c r="Q494" s="65"/>
      <c r="R494" s="65"/>
    </row>
    <row r="495" spans="1:18" ht="27.75" hidden="1" customHeight="1" x14ac:dyDescent="0.3">
      <c r="A495" s="68"/>
      <c r="C495" s="66"/>
      <c r="D495" s="66"/>
      <c r="E495" s="66"/>
      <c r="F495" s="66"/>
      <c r="G495" s="66"/>
      <c r="H495" s="66"/>
      <c r="I495" s="66"/>
      <c r="J495" s="66"/>
      <c r="K495" s="66"/>
      <c r="L495" s="66"/>
      <c r="M495" s="66"/>
      <c r="N495" s="69"/>
      <c r="O495" s="66"/>
      <c r="P495" s="66"/>
      <c r="Q495" s="66"/>
      <c r="R495" s="66"/>
    </row>
    <row r="496" spans="1:18" ht="27.75" hidden="1" customHeight="1" x14ac:dyDescent="0.3">
      <c r="A496" s="67"/>
      <c r="C496" s="65"/>
      <c r="D496" s="65"/>
      <c r="E496" s="65"/>
      <c r="F496" s="65"/>
      <c r="G496" s="65"/>
      <c r="H496" s="65"/>
      <c r="I496" s="65"/>
      <c r="J496" s="65"/>
      <c r="K496" s="65"/>
      <c r="L496" s="65"/>
      <c r="M496" s="65"/>
      <c r="N496" s="64"/>
      <c r="O496" s="65"/>
      <c r="P496" s="65"/>
      <c r="Q496" s="65"/>
      <c r="R496" s="65"/>
    </row>
    <row r="497" spans="1:18" ht="27.75" hidden="1" customHeight="1" x14ac:dyDescent="0.3">
      <c r="A497" s="68"/>
      <c r="C497" s="66"/>
      <c r="D497" s="66"/>
      <c r="E497" s="66"/>
      <c r="F497" s="66"/>
      <c r="G497" s="66"/>
      <c r="H497" s="66"/>
      <c r="I497" s="66"/>
      <c r="J497" s="66"/>
      <c r="K497" s="66"/>
      <c r="L497" s="66"/>
      <c r="M497" s="66"/>
      <c r="N497" s="69"/>
      <c r="O497" s="66"/>
      <c r="P497" s="66"/>
      <c r="Q497" s="66"/>
      <c r="R497" s="66"/>
    </row>
    <row r="498" spans="1:18" ht="27.75" hidden="1" customHeight="1" x14ac:dyDescent="0.3">
      <c r="A498" s="67"/>
      <c r="C498" s="65"/>
      <c r="D498" s="65"/>
      <c r="E498" s="65"/>
      <c r="F498" s="65"/>
      <c r="G498" s="65"/>
      <c r="H498" s="65"/>
      <c r="I498" s="65"/>
      <c r="J498" s="65"/>
      <c r="K498" s="65"/>
      <c r="L498" s="65"/>
      <c r="M498" s="65"/>
      <c r="N498" s="64"/>
      <c r="O498" s="65"/>
      <c r="P498" s="65"/>
      <c r="Q498" s="65"/>
      <c r="R498" s="65"/>
    </row>
    <row r="499" spans="1:18" ht="27.75" hidden="1" customHeight="1" x14ac:dyDescent="0.3">
      <c r="A499" s="68"/>
      <c r="C499" s="66"/>
      <c r="D499" s="66"/>
      <c r="E499" s="66"/>
      <c r="F499" s="66"/>
      <c r="G499" s="66"/>
      <c r="H499" s="66"/>
      <c r="I499" s="66"/>
      <c r="J499" s="66"/>
      <c r="K499" s="66"/>
      <c r="L499" s="66"/>
      <c r="M499" s="66"/>
      <c r="N499" s="69"/>
      <c r="O499" s="66"/>
      <c r="P499" s="66"/>
      <c r="Q499" s="66"/>
      <c r="R499" s="66"/>
    </row>
    <row r="500" spans="1:18" ht="27.75" hidden="1" customHeight="1" x14ac:dyDescent="0.3">
      <c r="A500" s="67"/>
      <c r="C500" s="65"/>
      <c r="D500" s="65"/>
      <c r="E500" s="65"/>
      <c r="F500" s="65"/>
      <c r="G500" s="65"/>
      <c r="H500" s="65"/>
      <c r="I500" s="65"/>
      <c r="J500" s="65"/>
      <c r="K500" s="65"/>
      <c r="L500" s="65"/>
      <c r="M500" s="65"/>
      <c r="N500" s="64"/>
      <c r="O500" s="65"/>
      <c r="P500" s="65"/>
      <c r="Q500" s="65"/>
      <c r="R500" s="65"/>
    </row>
    <row r="501" spans="1:18" ht="27.75" hidden="1" customHeight="1" x14ac:dyDescent="0.3">
      <c r="A501" s="68"/>
      <c r="C501" s="66"/>
      <c r="D501" s="66"/>
      <c r="E501" s="66"/>
      <c r="F501" s="66"/>
      <c r="G501" s="66"/>
      <c r="H501" s="66"/>
      <c r="I501" s="66"/>
      <c r="J501" s="66"/>
      <c r="K501" s="66"/>
      <c r="L501" s="66"/>
      <c r="M501" s="66"/>
      <c r="N501" s="69"/>
      <c r="O501" s="66"/>
      <c r="P501" s="66"/>
      <c r="Q501" s="66"/>
      <c r="R501" s="66"/>
    </row>
    <row r="502" spans="1:18" ht="27.75" hidden="1" customHeight="1" x14ac:dyDescent="0.3">
      <c r="A502" s="67"/>
      <c r="C502" s="65"/>
      <c r="D502" s="65"/>
      <c r="E502" s="65"/>
      <c r="F502" s="65"/>
      <c r="G502" s="65"/>
      <c r="H502" s="65"/>
      <c r="I502" s="65"/>
      <c r="J502" s="65"/>
      <c r="K502" s="65"/>
      <c r="L502" s="65"/>
      <c r="M502" s="65"/>
      <c r="N502" s="64"/>
      <c r="O502" s="65"/>
      <c r="P502" s="65"/>
      <c r="Q502" s="65"/>
      <c r="R502" s="65"/>
    </row>
    <row r="503" spans="1:18" ht="27.75" hidden="1" customHeight="1" x14ac:dyDescent="0.3">
      <c r="A503" s="68"/>
      <c r="C503" s="66"/>
      <c r="D503" s="66"/>
      <c r="E503" s="66"/>
      <c r="F503" s="66"/>
      <c r="G503" s="66"/>
      <c r="H503" s="66"/>
      <c r="I503" s="66"/>
      <c r="J503" s="66"/>
      <c r="K503" s="66"/>
      <c r="L503" s="66"/>
      <c r="M503" s="66"/>
      <c r="N503" s="69"/>
      <c r="O503" s="66"/>
      <c r="P503" s="66"/>
      <c r="Q503" s="66"/>
      <c r="R503" s="66"/>
    </row>
    <row r="504" spans="1:18" ht="27.75" hidden="1" customHeight="1" x14ac:dyDescent="0.3">
      <c r="A504" s="67"/>
      <c r="C504" s="65"/>
      <c r="D504" s="65"/>
      <c r="E504" s="65"/>
      <c r="F504" s="65"/>
      <c r="G504" s="65"/>
      <c r="H504" s="65"/>
      <c r="I504" s="65"/>
      <c r="J504" s="65"/>
      <c r="K504" s="65"/>
      <c r="L504" s="65"/>
      <c r="M504" s="65"/>
      <c r="N504" s="64"/>
      <c r="O504" s="65"/>
      <c r="P504" s="65"/>
      <c r="Q504" s="65"/>
      <c r="R504" s="65"/>
    </row>
    <row r="505" spans="1:18" ht="27.75" hidden="1" customHeight="1" x14ac:dyDescent="0.3">
      <c r="A505" s="68"/>
      <c r="C505" s="66"/>
      <c r="D505" s="66"/>
      <c r="E505" s="66"/>
      <c r="F505" s="66"/>
      <c r="G505" s="66"/>
      <c r="H505" s="66"/>
      <c r="I505" s="66"/>
      <c r="J505" s="66"/>
      <c r="K505" s="66"/>
      <c r="L505" s="66"/>
      <c r="M505" s="66"/>
      <c r="N505" s="69"/>
      <c r="O505" s="66"/>
      <c r="P505" s="66"/>
      <c r="Q505" s="66"/>
      <c r="R505" s="66"/>
    </row>
    <row r="506" spans="1:18" ht="27.75" hidden="1" customHeight="1" x14ac:dyDescent="0.3">
      <c r="A506" s="67"/>
      <c r="C506" s="65"/>
      <c r="D506" s="65"/>
      <c r="E506" s="65"/>
      <c r="F506" s="65"/>
      <c r="G506" s="65"/>
      <c r="H506" s="65"/>
      <c r="I506" s="65"/>
      <c r="J506" s="65"/>
      <c r="K506" s="65"/>
      <c r="L506" s="65"/>
      <c r="M506" s="65"/>
      <c r="N506" s="64"/>
      <c r="O506" s="65"/>
      <c r="P506" s="65"/>
      <c r="Q506" s="65"/>
      <c r="R506" s="65"/>
    </row>
    <row r="507" spans="1:18" ht="27.75" hidden="1" customHeight="1" x14ac:dyDescent="0.3">
      <c r="A507" s="68"/>
      <c r="C507" s="66"/>
      <c r="D507" s="66"/>
      <c r="E507" s="66"/>
      <c r="F507" s="66"/>
      <c r="G507" s="66"/>
      <c r="H507" s="66"/>
      <c r="I507" s="66"/>
      <c r="J507" s="66"/>
      <c r="K507" s="66"/>
      <c r="L507" s="66"/>
      <c r="M507" s="66"/>
      <c r="N507" s="69"/>
      <c r="O507" s="66"/>
      <c r="P507" s="66"/>
      <c r="Q507" s="66"/>
      <c r="R507" s="66"/>
    </row>
    <row r="508" spans="1:18" ht="27.75" hidden="1" customHeight="1" x14ac:dyDescent="0.3">
      <c r="A508" s="67"/>
      <c r="C508" s="65"/>
      <c r="D508" s="65"/>
      <c r="E508" s="65"/>
      <c r="F508" s="65"/>
      <c r="G508" s="65"/>
      <c r="H508" s="65"/>
      <c r="I508" s="65"/>
      <c r="J508" s="65"/>
      <c r="K508" s="65"/>
      <c r="L508" s="65"/>
      <c r="M508" s="65"/>
      <c r="N508" s="64"/>
      <c r="O508" s="65"/>
      <c r="P508" s="65"/>
      <c r="Q508" s="65"/>
      <c r="R508" s="65"/>
    </row>
    <row r="509" spans="1:18" ht="27.75" hidden="1" customHeight="1" x14ac:dyDescent="0.3">
      <c r="A509" s="68"/>
      <c r="C509" s="66"/>
      <c r="D509" s="66"/>
      <c r="E509" s="66"/>
      <c r="F509" s="66"/>
      <c r="G509" s="66"/>
      <c r="H509" s="66"/>
      <c r="I509" s="66"/>
      <c r="J509" s="66"/>
      <c r="K509" s="66"/>
      <c r="L509" s="66"/>
      <c r="M509" s="66"/>
      <c r="N509" s="69"/>
      <c r="O509" s="66"/>
      <c r="P509" s="66"/>
      <c r="Q509" s="66"/>
      <c r="R509" s="66"/>
    </row>
    <row r="510" spans="1:18" ht="27.75" hidden="1" customHeight="1" x14ac:dyDescent="0.3">
      <c r="A510" s="67"/>
      <c r="C510" s="65"/>
      <c r="D510" s="65"/>
      <c r="E510" s="65"/>
      <c r="F510" s="65"/>
      <c r="G510" s="65"/>
      <c r="H510" s="65"/>
      <c r="I510" s="65"/>
      <c r="J510" s="65"/>
      <c r="K510" s="65"/>
      <c r="L510" s="65"/>
      <c r="M510" s="65"/>
      <c r="N510" s="64"/>
      <c r="O510" s="65"/>
      <c r="P510" s="65"/>
      <c r="Q510" s="65"/>
      <c r="R510" s="65"/>
    </row>
    <row r="511" spans="1:18" ht="27.75" hidden="1" customHeight="1" x14ac:dyDescent="0.3">
      <c r="A511" s="68"/>
      <c r="C511" s="66"/>
      <c r="D511" s="66"/>
      <c r="E511" s="66"/>
      <c r="F511" s="66"/>
      <c r="G511" s="66"/>
      <c r="H511" s="66"/>
      <c r="I511" s="66"/>
      <c r="J511" s="66"/>
      <c r="K511" s="66"/>
      <c r="L511" s="66"/>
      <c r="M511" s="66"/>
      <c r="N511" s="69"/>
      <c r="O511" s="66"/>
      <c r="P511" s="66"/>
      <c r="Q511" s="66"/>
      <c r="R511" s="66"/>
    </row>
    <row r="512" spans="1:18" ht="27.75" hidden="1" customHeight="1" x14ac:dyDescent="0.3">
      <c r="A512" s="67"/>
      <c r="C512" s="65"/>
      <c r="D512" s="65"/>
      <c r="E512" s="65"/>
      <c r="F512" s="65"/>
      <c r="G512" s="65"/>
      <c r="H512" s="65"/>
      <c r="I512" s="65"/>
      <c r="J512" s="65"/>
      <c r="K512" s="65"/>
      <c r="L512" s="65"/>
      <c r="M512" s="65"/>
      <c r="N512" s="64"/>
      <c r="O512" s="65"/>
      <c r="P512" s="65"/>
      <c r="Q512" s="65"/>
      <c r="R512" s="65"/>
    </row>
    <row r="513" spans="1:18" ht="27.75" hidden="1" customHeight="1" x14ac:dyDescent="0.3">
      <c r="A513" s="68"/>
      <c r="C513" s="66"/>
      <c r="D513" s="66"/>
      <c r="E513" s="66"/>
      <c r="F513" s="66"/>
      <c r="G513" s="66"/>
      <c r="H513" s="66"/>
      <c r="I513" s="66"/>
      <c r="J513" s="66"/>
      <c r="K513" s="66"/>
      <c r="L513" s="66"/>
      <c r="M513" s="66"/>
      <c r="N513" s="69"/>
      <c r="O513" s="66"/>
      <c r="P513" s="66"/>
      <c r="Q513" s="66"/>
      <c r="R513" s="66"/>
    </row>
    <row r="514" spans="1:18" ht="27.75" hidden="1" customHeight="1" x14ac:dyDescent="0.3">
      <c r="A514" s="67"/>
      <c r="C514" s="65"/>
      <c r="D514" s="65"/>
      <c r="E514" s="65"/>
      <c r="F514" s="65"/>
      <c r="G514" s="65"/>
      <c r="H514" s="65"/>
      <c r="I514" s="65"/>
      <c r="J514" s="65"/>
      <c r="K514" s="65"/>
      <c r="L514" s="65"/>
      <c r="M514" s="65"/>
      <c r="N514" s="64"/>
      <c r="O514" s="65"/>
      <c r="P514" s="65"/>
      <c r="Q514" s="65"/>
      <c r="R514" s="65"/>
    </row>
    <row r="515" spans="1:18" ht="27.75" hidden="1" customHeight="1" x14ac:dyDescent="0.3">
      <c r="A515" s="68"/>
      <c r="C515" s="66"/>
      <c r="D515" s="66"/>
      <c r="E515" s="66"/>
      <c r="F515" s="66"/>
      <c r="G515" s="66"/>
      <c r="H515" s="66"/>
      <c r="I515" s="66"/>
      <c r="J515" s="66"/>
      <c r="K515" s="66"/>
      <c r="L515" s="66"/>
      <c r="M515" s="66"/>
      <c r="N515" s="69"/>
      <c r="O515" s="66"/>
      <c r="P515" s="66"/>
      <c r="Q515" s="66"/>
      <c r="R515" s="66"/>
    </row>
    <row r="516" spans="1:18" ht="27.75" hidden="1" customHeight="1" x14ac:dyDescent="0.3">
      <c r="A516" s="67"/>
      <c r="C516" s="65"/>
      <c r="D516" s="65"/>
      <c r="E516" s="65"/>
      <c r="F516" s="65"/>
      <c r="G516" s="65"/>
      <c r="H516" s="65"/>
      <c r="I516" s="65"/>
      <c r="J516" s="65"/>
      <c r="K516" s="65"/>
      <c r="L516" s="65"/>
      <c r="M516" s="65"/>
      <c r="N516" s="64"/>
      <c r="O516" s="65"/>
      <c r="P516" s="65"/>
      <c r="Q516" s="65"/>
      <c r="R516" s="65"/>
    </row>
    <row r="517" spans="1:18" ht="27.75" hidden="1" customHeight="1" x14ac:dyDescent="0.3">
      <c r="A517" s="68"/>
      <c r="C517" s="66"/>
      <c r="D517" s="66"/>
      <c r="E517" s="66"/>
      <c r="F517" s="66"/>
      <c r="G517" s="66"/>
      <c r="H517" s="66"/>
      <c r="I517" s="66"/>
      <c r="J517" s="66"/>
      <c r="K517" s="66"/>
      <c r="L517" s="66"/>
      <c r="M517" s="66"/>
      <c r="N517" s="69"/>
      <c r="O517" s="66"/>
      <c r="P517" s="66"/>
      <c r="Q517" s="66"/>
      <c r="R517" s="66"/>
    </row>
    <row r="518" spans="1:18" ht="27.75" hidden="1" customHeight="1" x14ac:dyDescent="0.3">
      <c r="A518" s="67"/>
      <c r="C518" s="65"/>
      <c r="D518" s="65"/>
      <c r="E518" s="65"/>
      <c r="F518" s="65"/>
      <c r="G518" s="65"/>
      <c r="H518" s="65"/>
      <c r="I518" s="65"/>
      <c r="J518" s="65"/>
      <c r="K518" s="65"/>
      <c r="L518" s="65"/>
      <c r="M518" s="65"/>
      <c r="N518" s="64"/>
      <c r="O518" s="65"/>
      <c r="P518" s="65"/>
      <c r="Q518" s="65"/>
      <c r="R518" s="65"/>
    </row>
    <row r="519" spans="1:18" ht="27.75" hidden="1" customHeight="1" x14ac:dyDescent="0.3">
      <c r="A519" s="68"/>
      <c r="C519" s="66"/>
      <c r="D519" s="66"/>
      <c r="E519" s="66"/>
      <c r="F519" s="66"/>
      <c r="G519" s="66"/>
      <c r="H519" s="66"/>
      <c r="I519" s="66"/>
      <c r="J519" s="66"/>
      <c r="K519" s="66"/>
      <c r="L519" s="66"/>
      <c r="M519" s="66"/>
      <c r="N519" s="69"/>
      <c r="O519" s="66"/>
      <c r="P519" s="66"/>
      <c r="Q519" s="66"/>
      <c r="R519" s="66"/>
    </row>
    <row r="520" spans="1:18" ht="27.75" hidden="1" customHeight="1" x14ac:dyDescent="0.3">
      <c r="A520" s="67"/>
      <c r="C520" s="65"/>
      <c r="D520" s="65"/>
      <c r="E520" s="65"/>
      <c r="F520" s="65"/>
      <c r="G520" s="65"/>
      <c r="H520" s="65"/>
      <c r="I520" s="65"/>
      <c r="J520" s="65"/>
      <c r="K520" s="65"/>
      <c r="L520" s="65"/>
      <c r="M520" s="65"/>
      <c r="N520" s="64"/>
      <c r="O520" s="65"/>
      <c r="P520" s="65"/>
      <c r="Q520" s="65"/>
      <c r="R520" s="65"/>
    </row>
    <row r="521" spans="1:18" ht="27.75" hidden="1" customHeight="1" x14ac:dyDescent="0.3">
      <c r="A521" s="68"/>
      <c r="C521" s="66"/>
      <c r="D521" s="66"/>
      <c r="E521" s="66"/>
      <c r="F521" s="66"/>
      <c r="G521" s="66"/>
      <c r="H521" s="66"/>
      <c r="I521" s="66"/>
      <c r="J521" s="66"/>
      <c r="K521" s="66"/>
      <c r="L521" s="66"/>
      <c r="M521" s="66"/>
      <c r="N521" s="69"/>
      <c r="O521" s="66"/>
      <c r="P521" s="66"/>
      <c r="Q521" s="66"/>
      <c r="R521" s="66"/>
    </row>
    <row r="522" spans="1:18" ht="27.75" hidden="1" customHeight="1" x14ac:dyDescent="0.3">
      <c r="A522" s="67"/>
      <c r="C522" s="65"/>
      <c r="D522" s="65"/>
      <c r="E522" s="65"/>
      <c r="F522" s="65"/>
      <c r="G522" s="65"/>
      <c r="H522" s="65"/>
      <c r="I522" s="65"/>
      <c r="J522" s="65"/>
      <c r="K522" s="65"/>
      <c r="L522" s="65"/>
      <c r="M522" s="65"/>
      <c r="N522" s="64"/>
      <c r="O522" s="65"/>
      <c r="P522" s="65"/>
      <c r="Q522" s="65"/>
      <c r="R522" s="65"/>
    </row>
    <row r="523" spans="1:18" ht="27.75" hidden="1" customHeight="1" x14ac:dyDescent="0.3">
      <c r="A523" s="68"/>
      <c r="C523" s="66"/>
      <c r="D523" s="66"/>
      <c r="E523" s="66"/>
      <c r="F523" s="66"/>
      <c r="G523" s="66"/>
      <c r="H523" s="66"/>
      <c r="I523" s="66"/>
      <c r="J523" s="66"/>
      <c r="K523" s="66"/>
      <c r="L523" s="66"/>
      <c r="M523" s="66"/>
      <c r="N523" s="69"/>
      <c r="O523" s="66"/>
      <c r="P523" s="66"/>
      <c r="Q523" s="66"/>
      <c r="R523" s="66"/>
    </row>
    <row r="524" spans="1:18" ht="27.75" hidden="1" customHeight="1" x14ac:dyDescent="0.3">
      <c r="A524" s="67"/>
      <c r="C524" s="65"/>
      <c r="D524" s="65"/>
      <c r="E524" s="65"/>
      <c r="F524" s="65"/>
      <c r="G524" s="65"/>
      <c r="H524" s="65"/>
      <c r="I524" s="65"/>
      <c r="J524" s="65"/>
      <c r="K524" s="65"/>
      <c r="L524" s="65"/>
      <c r="M524" s="65"/>
      <c r="N524" s="64"/>
      <c r="O524" s="65"/>
      <c r="P524" s="65"/>
      <c r="Q524" s="65"/>
      <c r="R524" s="65"/>
    </row>
    <row r="525" spans="1:18" ht="27.75" hidden="1" customHeight="1" x14ac:dyDescent="0.3">
      <c r="A525" s="68"/>
      <c r="C525" s="66"/>
      <c r="D525" s="66"/>
      <c r="E525" s="66"/>
      <c r="F525" s="66"/>
      <c r="G525" s="66"/>
      <c r="H525" s="66"/>
      <c r="I525" s="66"/>
      <c r="J525" s="66"/>
      <c r="K525" s="66"/>
      <c r="L525" s="66"/>
      <c r="M525" s="66"/>
      <c r="N525" s="69"/>
      <c r="O525" s="66"/>
      <c r="P525" s="66"/>
      <c r="Q525" s="66"/>
      <c r="R525" s="66"/>
    </row>
    <row r="526" spans="1:18" ht="27.75" hidden="1" customHeight="1" x14ac:dyDescent="0.3">
      <c r="A526" s="67"/>
      <c r="C526" s="65"/>
      <c r="D526" s="65"/>
      <c r="E526" s="65"/>
      <c r="F526" s="65"/>
      <c r="G526" s="65"/>
      <c r="H526" s="65"/>
      <c r="I526" s="65"/>
      <c r="J526" s="65"/>
      <c r="K526" s="65"/>
      <c r="L526" s="65"/>
      <c r="M526" s="65"/>
      <c r="N526" s="64"/>
      <c r="O526" s="65"/>
      <c r="P526" s="65"/>
      <c r="Q526" s="65"/>
      <c r="R526" s="65"/>
    </row>
    <row r="527" spans="1:18" ht="27.75" hidden="1" customHeight="1" x14ac:dyDescent="0.3">
      <c r="A527" s="68"/>
      <c r="C527" s="66"/>
      <c r="D527" s="66"/>
      <c r="E527" s="66"/>
      <c r="F527" s="66"/>
      <c r="G527" s="66"/>
      <c r="H527" s="66"/>
      <c r="I527" s="66"/>
      <c r="J527" s="66"/>
      <c r="K527" s="66"/>
      <c r="L527" s="66"/>
      <c r="M527" s="66"/>
      <c r="N527" s="69"/>
      <c r="O527" s="66"/>
      <c r="P527" s="66"/>
      <c r="Q527" s="66"/>
      <c r="R527" s="66"/>
    </row>
    <row r="528" spans="1:18" ht="27.75" hidden="1" customHeight="1" x14ac:dyDescent="0.3">
      <c r="A528" s="67"/>
      <c r="C528" s="65"/>
      <c r="D528" s="65"/>
      <c r="E528" s="65"/>
      <c r="F528" s="65"/>
      <c r="G528" s="65"/>
      <c r="H528" s="65"/>
      <c r="I528" s="65"/>
      <c r="J528" s="65"/>
      <c r="K528" s="65"/>
      <c r="L528" s="65"/>
      <c r="M528" s="65"/>
      <c r="N528" s="64"/>
      <c r="O528" s="65"/>
      <c r="P528" s="65"/>
      <c r="Q528" s="65"/>
      <c r="R528" s="65"/>
    </row>
    <row r="529" spans="1:18" ht="27.75" hidden="1" customHeight="1" x14ac:dyDescent="0.3">
      <c r="A529" s="68"/>
      <c r="C529" s="66"/>
      <c r="D529" s="66"/>
      <c r="E529" s="66"/>
      <c r="F529" s="66"/>
      <c r="G529" s="66"/>
      <c r="H529" s="66"/>
      <c r="I529" s="66"/>
      <c r="J529" s="66"/>
      <c r="K529" s="66"/>
      <c r="L529" s="66"/>
      <c r="M529" s="66"/>
      <c r="N529" s="69"/>
      <c r="O529" s="66"/>
      <c r="P529" s="66"/>
      <c r="Q529" s="66"/>
      <c r="R529" s="66"/>
    </row>
    <row r="530" spans="1:18" ht="27.75" hidden="1" customHeight="1" x14ac:dyDescent="0.3">
      <c r="A530" s="67"/>
      <c r="C530" s="65"/>
      <c r="D530" s="65"/>
      <c r="E530" s="65"/>
      <c r="F530" s="65"/>
      <c r="G530" s="65"/>
      <c r="H530" s="65"/>
      <c r="I530" s="65"/>
      <c r="J530" s="65"/>
      <c r="K530" s="65"/>
      <c r="L530" s="65"/>
      <c r="M530" s="65"/>
      <c r="N530" s="64"/>
      <c r="O530" s="65"/>
      <c r="P530" s="65"/>
      <c r="Q530" s="65"/>
      <c r="R530" s="65"/>
    </row>
    <row r="531" spans="1:18" ht="27.75" hidden="1" customHeight="1" x14ac:dyDescent="0.3">
      <c r="A531" s="68"/>
      <c r="C531" s="66"/>
      <c r="D531" s="66"/>
      <c r="E531" s="66"/>
      <c r="F531" s="66"/>
      <c r="G531" s="66"/>
      <c r="H531" s="66"/>
      <c r="I531" s="66"/>
      <c r="J531" s="66"/>
      <c r="K531" s="66"/>
      <c r="L531" s="66"/>
      <c r="M531" s="66"/>
      <c r="N531" s="69"/>
      <c r="O531" s="66"/>
      <c r="P531" s="66"/>
      <c r="Q531" s="66"/>
      <c r="R531" s="66"/>
    </row>
    <row r="532" spans="1:18" ht="27.75" hidden="1" customHeight="1" x14ac:dyDescent="0.3">
      <c r="A532" s="67"/>
      <c r="C532" s="65"/>
      <c r="D532" s="65"/>
      <c r="E532" s="65"/>
      <c r="F532" s="65"/>
      <c r="G532" s="65"/>
      <c r="H532" s="65"/>
      <c r="I532" s="65"/>
      <c r="J532" s="65"/>
      <c r="K532" s="65"/>
      <c r="L532" s="65"/>
      <c r="M532" s="65"/>
      <c r="N532" s="64"/>
      <c r="O532" s="65"/>
      <c r="P532" s="65"/>
      <c r="Q532" s="65"/>
      <c r="R532" s="65"/>
    </row>
    <row r="533" spans="1:18" ht="27.75" hidden="1" customHeight="1" x14ac:dyDescent="0.3">
      <c r="A533" s="68"/>
      <c r="C533" s="66"/>
      <c r="D533" s="66"/>
      <c r="E533" s="66"/>
      <c r="F533" s="66"/>
      <c r="G533" s="66"/>
      <c r="H533" s="66"/>
      <c r="I533" s="66"/>
      <c r="J533" s="66"/>
      <c r="K533" s="66"/>
      <c r="L533" s="66"/>
      <c r="M533" s="66"/>
      <c r="N533" s="69"/>
      <c r="O533" s="66"/>
      <c r="P533" s="66"/>
      <c r="Q533" s="66"/>
      <c r="R533" s="66"/>
    </row>
    <row r="534" spans="1:18" ht="27.75" hidden="1" customHeight="1" x14ac:dyDescent="0.3">
      <c r="A534" s="67"/>
      <c r="C534" s="65"/>
      <c r="D534" s="65"/>
      <c r="E534" s="65"/>
      <c r="F534" s="65"/>
      <c r="G534" s="65"/>
      <c r="H534" s="65"/>
      <c r="I534" s="65"/>
      <c r="J534" s="65"/>
      <c r="K534" s="65"/>
      <c r="L534" s="65"/>
      <c r="M534" s="65"/>
      <c r="N534" s="64"/>
      <c r="O534" s="65"/>
      <c r="P534" s="65"/>
      <c r="Q534" s="65"/>
      <c r="R534" s="65"/>
    </row>
    <row r="535" spans="1:18" ht="27.75" hidden="1" customHeight="1" x14ac:dyDescent="0.3">
      <c r="A535" s="68"/>
      <c r="C535" s="66"/>
      <c r="D535" s="66"/>
      <c r="E535" s="66"/>
      <c r="F535" s="66"/>
      <c r="G535" s="66"/>
      <c r="H535" s="66"/>
      <c r="I535" s="66"/>
      <c r="J535" s="66"/>
      <c r="K535" s="66"/>
      <c r="L535" s="66"/>
      <c r="M535" s="66"/>
      <c r="N535" s="69"/>
      <c r="O535" s="66"/>
      <c r="P535" s="66"/>
      <c r="Q535" s="66"/>
      <c r="R535" s="66"/>
    </row>
    <row r="536" spans="1:18" ht="27.75" hidden="1" customHeight="1" x14ac:dyDescent="0.3">
      <c r="A536" s="67"/>
      <c r="C536" s="65"/>
      <c r="D536" s="65"/>
      <c r="E536" s="65"/>
      <c r="F536" s="65"/>
      <c r="G536" s="65"/>
      <c r="H536" s="65"/>
      <c r="I536" s="65"/>
      <c r="J536" s="65"/>
      <c r="K536" s="65"/>
      <c r="L536" s="65"/>
      <c r="M536" s="65"/>
      <c r="N536" s="64"/>
      <c r="O536" s="65"/>
      <c r="P536" s="65"/>
      <c r="Q536" s="65"/>
      <c r="R536" s="65"/>
    </row>
    <row r="537" spans="1:18" ht="27.75" hidden="1" customHeight="1" x14ac:dyDescent="0.3">
      <c r="A537" s="68"/>
      <c r="C537" s="66"/>
      <c r="D537" s="66"/>
      <c r="E537" s="66"/>
      <c r="F537" s="66"/>
      <c r="G537" s="66"/>
      <c r="H537" s="66"/>
      <c r="I537" s="66"/>
      <c r="J537" s="66"/>
      <c r="K537" s="66"/>
      <c r="L537" s="66"/>
      <c r="M537" s="66"/>
      <c r="N537" s="69"/>
      <c r="O537" s="66"/>
      <c r="P537" s="66"/>
      <c r="Q537" s="66"/>
      <c r="R537" s="66"/>
    </row>
    <row r="538" spans="1:18" ht="27.75" hidden="1" customHeight="1" x14ac:dyDescent="0.3">
      <c r="A538" s="67"/>
      <c r="C538" s="65"/>
      <c r="D538" s="65"/>
      <c r="E538" s="65"/>
      <c r="F538" s="65"/>
      <c r="G538" s="65"/>
      <c r="H538" s="65"/>
      <c r="I538" s="65"/>
      <c r="J538" s="65"/>
      <c r="K538" s="65"/>
      <c r="L538" s="65"/>
      <c r="M538" s="65"/>
      <c r="N538" s="64"/>
      <c r="O538" s="65"/>
      <c r="P538" s="65"/>
      <c r="Q538" s="65"/>
      <c r="R538" s="65"/>
    </row>
    <row r="539" spans="1:18" ht="27.75" hidden="1" customHeight="1" x14ac:dyDescent="0.3">
      <c r="A539" s="68"/>
      <c r="C539" s="66"/>
      <c r="D539" s="66"/>
      <c r="E539" s="66"/>
      <c r="F539" s="66"/>
      <c r="G539" s="66"/>
      <c r="H539" s="66"/>
      <c r="I539" s="66"/>
      <c r="J539" s="66"/>
      <c r="K539" s="66"/>
      <c r="L539" s="66"/>
      <c r="M539" s="66"/>
      <c r="N539" s="69"/>
      <c r="O539" s="66"/>
      <c r="P539" s="66"/>
      <c r="Q539" s="66"/>
      <c r="R539" s="66"/>
    </row>
    <row r="540" spans="1:18" ht="27.75" hidden="1" customHeight="1" x14ac:dyDescent="0.3">
      <c r="A540" s="67"/>
      <c r="C540" s="65"/>
      <c r="D540" s="65"/>
      <c r="E540" s="65"/>
      <c r="F540" s="65"/>
      <c r="G540" s="65"/>
      <c r="H540" s="65"/>
      <c r="I540" s="65"/>
      <c r="J540" s="65"/>
      <c r="K540" s="65"/>
      <c r="L540" s="65"/>
      <c r="M540" s="65"/>
      <c r="N540" s="64"/>
      <c r="O540" s="65"/>
      <c r="P540" s="65"/>
      <c r="Q540" s="65"/>
      <c r="R540" s="65"/>
    </row>
    <row r="541" spans="1:18" ht="27.75" hidden="1" customHeight="1" x14ac:dyDescent="0.3">
      <c r="A541" s="68"/>
      <c r="C541" s="66"/>
      <c r="D541" s="66"/>
      <c r="E541" s="66"/>
      <c r="F541" s="66"/>
      <c r="G541" s="66"/>
      <c r="H541" s="66"/>
      <c r="I541" s="66"/>
      <c r="J541" s="66"/>
      <c r="K541" s="66"/>
      <c r="L541" s="66"/>
      <c r="M541" s="66"/>
      <c r="N541" s="69"/>
      <c r="O541" s="66"/>
      <c r="P541" s="66"/>
      <c r="Q541" s="66"/>
      <c r="R541" s="66"/>
    </row>
    <row r="542" spans="1:18" ht="27.75" hidden="1" customHeight="1" x14ac:dyDescent="0.3">
      <c r="A542" s="67"/>
      <c r="C542" s="65"/>
      <c r="D542" s="65"/>
      <c r="E542" s="65"/>
      <c r="F542" s="65"/>
      <c r="G542" s="65"/>
      <c r="H542" s="65"/>
      <c r="I542" s="65"/>
      <c r="J542" s="65"/>
      <c r="K542" s="65"/>
      <c r="L542" s="65"/>
      <c r="M542" s="65"/>
      <c r="N542" s="64"/>
      <c r="O542" s="65"/>
      <c r="P542" s="65"/>
      <c r="Q542" s="65"/>
      <c r="R542" s="65"/>
    </row>
    <row r="543" spans="1:18" ht="27.75" hidden="1" customHeight="1" x14ac:dyDescent="0.3">
      <c r="A543" s="68"/>
      <c r="C543" s="66"/>
      <c r="D543" s="66"/>
      <c r="E543" s="66"/>
      <c r="F543" s="66"/>
      <c r="G543" s="66"/>
      <c r="H543" s="66"/>
      <c r="I543" s="66"/>
      <c r="J543" s="66"/>
      <c r="K543" s="66"/>
      <c r="L543" s="66"/>
      <c r="M543" s="66"/>
      <c r="N543" s="69"/>
      <c r="O543" s="66"/>
      <c r="P543" s="66"/>
      <c r="Q543" s="66"/>
      <c r="R543" s="66"/>
    </row>
    <row r="544" spans="1:18" ht="27.75" hidden="1" customHeight="1" x14ac:dyDescent="0.3">
      <c r="A544" s="67"/>
      <c r="C544" s="65"/>
      <c r="D544" s="65"/>
      <c r="E544" s="65"/>
      <c r="F544" s="65"/>
      <c r="G544" s="65"/>
      <c r="H544" s="65"/>
      <c r="I544" s="65"/>
      <c r="J544" s="65"/>
      <c r="K544" s="65"/>
      <c r="L544" s="65"/>
      <c r="M544" s="65"/>
      <c r="N544" s="64"/>
      <c r="O544" s="65"/>
      <c r="P544" s="65"/>
      <c r="Q544" s="65"/>
      <c r="R544" s="65"/>
    </row>
    <row r="545" spans="1:18" ht="27.75" hidden="1" customHeight="1" x14ac:dyDescent="0.3">
      <c r="A545" s="68"/>
      <c r="C545" s="66"/>
      <c r="D545" s="66"/>
      <c r="E545" s="66"/>
      <c r="F545" s="66"/>
      <c r="G545" s="66"/>
      <c r="H545" s="66"/>
      <c r="I545" s="66"/>
      <c r="J545" s="66"/>
      <c r="K545" s="66"/>
      <c r="L545" s="66"/>
      <c r="M545" s="66"/>
      <c r="N545" s="69"/>
      <c r="O545" s="66"/>
      <c r="P545" s="66"/>
      <c r="Q545" s="66"/>
      <c r="R545" s="66"/>
    </row>
    <row r="546" spans="1:18" ht="27.75" hidden="1" customHeight="1" x14ac:dyDescent="0.3">
      <c r="A546" s="67"/>
      <c r="C546" s="65"/>
      <c r="D546" s="65"/>
      <c r="E546" s="65"/>
      <c r="F546" s="65"/>
      <c r="G546" s="65"/>
      <c r="H546" s="65"/>
      <c r="I546" s="65"/>
      <c r="J546" s="65"/>
      <c r="K546" s="65"/>
      <c r="L546" s="65"/>
      <c r="M546" s="65"/>
      <c r="N546" s="64"/>
      <c r="O546" s="65"/>
      <c r="P546" s="65"/>
      <c r="Q546" s="65"/>
      <c r="R546" s="65"/>
    </row>
    <row r="547" spans="1:18" ht="27.75" hidden="1" customHeight="1" x14ac:dyDescent="0.3">
      <c r="A547" s="68"/>
      <c r="C547" s="66"/>
      <c r="D547" s="66"/>
      <c r="E547" s="66"/>
      <c r="F547" s="66"/>
      <c r="G547" s="66"/>
      <c r="H547" s="66"/>
      <c r="I547" s="66"/>
      <c r="J547" s="66"/>
      <c r="K547" s="66"/>
      <c r="L547" s="66"/>
      <c r="M547" s="66"/>
      <c r="N547" s="69"/>
      <c r="O547" s="66"/>
      <c r="P547" s="66"/>
      <c r="Q547" s="66"/>
      <c r="R547" s="66"/>
    </row>
    <row r="548" spans="1:18" ht="27.75" hidden="1" customHeight="1" x14ac:dyDescent="0.3">
      <c r="A548" s="67"/>
      <c r="C548" s="65"/>
      <c r="D548" s="65"/>
      <c r="E548" s="65"/>
      <c r="F548" s="65"/>
      <c r="G548" s="65"/>
      <c r="H548" s="65"/>
      <c r="I548" s="65"/>
      <c r="J548" s="65"/>
      <c r="K548" s="65"/>
      <c r="L548" s="65"/>
      <c r="M548" s="65"/>
      <c r="N548" s="64"/>
      <c r="O548" s="65"/>
      <c r="P548" s="65"/>
      <c r="Q548" s="65"/>
      <c r="R548" s="65"/>
    </row>
    <row r="549" spans="1:18" ht="27.75" hidden="1" customHeight="1" x14ac:dyDescent="0.3">
      <c r="A549" s="68"/>
      <c r="C549" s="66"/>
      <c r="D549" s="66"/>
      <c r="E549" s="66"/>
      <c r="F549" s="66"/>
      <c r="G549" s="66"/>
      <c r="H549" s="66"/>
      <c r="I549" s="66"/>
      <c r="J549" s="66"/>
      <c r="K549" s="66"/>
      <c r="L549" s="66"/>
      <c r="M549" s="66"/>
      <c r="N549" s="69"/>
      <c r="O549" s="66"/>
      <c r="P549" s="66"/>
      <c r="Q549" s="66"/>
      <c r="R549" s="66"/>
    </row>
    <row r="550" spans="1:18" ht="27.75" hidden="1" customHeight="1" x14ac:dyDescent="0.3">
      <c r="A550" s="67"/>
      <c r="C550" s="65"/>
      <c r="D550" s="65"/>
      <c r="E550" s="65"/>
      <c r="F550" s="65"/>
      <c r="G550" s="65"/>
      <c r="H550" s="65"/>
      <c r="I550" s="65"/>
      <c r="J550" s="65"/>
      <c r="K550" s="65"/>
      <c r="L550" s="65"/>
      <c r="M550" s="65"/>
      <c r="N550" s="64"/>
      <c r="O550" s="65"/>
      <c r="P550" s="65"/>
      <c r="Q550" s="65"/>
      <c r="R550" s="65"/>
    </row>
    <row r="551" spans="1:18" ht="27.75" hidden="1" customHeight="1" x14ac:dyDescent="0.3">
      <c r="A551" s="68"/>
      <c r="C551" s="66"/>
      <c r="D551" s="66"/>
      <c r="E551" s="66"/>
      <c r="F551" s="66"/>
      <c r="G551" s="66"/>
      <c r="H551" s="66"/>
      <c r="I551" s="66"/>
      <c r="J551" s="66"/>
      <c r="K551" s="66"/>
      <c r="L551" s="66"/>
      <c r="M551" s="66"/>
      <c r="N551" s="69"/>
      <c r="O551" s="66"/>
      <c r="P551" s="66"/>
      <c r="Q551" s="66"/>
      <c r="R551" s="66"/>
    </row>
    <row r="552" spans="1:18" ht="27.75" hidden="1" customHeight="1" x14ac:dyDescent="0.3">
      <c r="A552" s="67"/>
      <c r="C552" s="65"/>
      <c r="D552" s="65"/>
      <c r="E552" s="65"/>
      <c r="F552" s="65"/>
      <c r="G552" s="65"/>
      <c r="H552" s="65"/>
      <c r="I552" s="65"/>
      <c r="J552" s="65"/>
      <c r="K552" s="65"/>
      <c r="L552" s="65"/>
      <c r="M552" s="65"/>
      <c r="N552" s="64"/>
      <c r="O552" s="65"/>
      <c r="P552" s="65"/>
      <c r="Q552" s="65"/>
      <c r="R552" s="65"/>
    </row>
    <row r="553" spans="1:18" ht="27.75" hidden="1" customHeight="1" x14ac:dyDescent="0.3">
      <c r="A553" s="68"/>
      <c r="C553" s="66"/>
      <c r="D553" s="66"/>
      <c r="E553" s="66"/>
      <c r="F553" s="66"/>
      <c r="G553" s="66"/>
      <c r="H553" s="66"/>
      <c r="I553" s="66"/>
      <c r="J553" s="66"/>
      <c r="K553" s="66"/>
      <c r="L553" s="66"/>
      <c r="M553" s="66"/>
      <c r="N553" s="69"/>
      <c r="O553" s="66"/>
      <c r="P553" s="66"/>
      <c r="Q553" s="66"/>
      <c r="R553" s="66"/>
    </row>
    <row r="554" spans="1:18" ht="27.75" hidden="1" customHeight="1" x14ac:dyDescent="0.3">
      <c r="A554" s="67"/>
      <c r="C554" s="65"/>
      <c r="D554" s="65"/>
      <c r="E554" s="65"/>
      <c r="F554" s="65"/>
      <c r="G554" s="65"/>
      <c r="H554" s="65"/>
      <c r="I554" s="65"/>
      <c r="J554" s="65"/>
      <c r="K554" s="65"/>
      <c r="L554" s="65"/>
      <c r="M554" s="65"/>
      <c r="N554" s="64"/>
      <c r="O554" s="65"/>
      <c r="P554" s="65"/>
      <c r="Q554" s="65"/>
      <c r="R554" s="65"/>
    </row>
    <row r="555" spans="1:18" ht="27.75" hidden="1" customHeight="1" x14ac:dyDescent="0.3">
      <c r="A555" s="68"/>
      <c r="C555" s="66"/>
      <c r="D555" s="66"/>
      <c r="E555" s="66"/>
      <c r="F555" s="66"/>
      <c r="G555" s="66"/>
      <c r="H555" s="66"/>
      <c r="I555" s="66"/>
      <c r="J555" s="66"/>
      <c r="K555" s="66"/>
      <c r="L555" s="66"/>
      <c r="M555" s="66"/>
      <c r="N555" s="69"/>
      <c r="O555" s="66"/>
      <c r="P555" s="66"/>
      <c r="Q555" s="66"/>
      <c r="R555" s="66"/>
    </row>
    <row r="556" spans="1:18" ht="27.75" hidden="1" customHeight="1" x14ac:dyDescent="0.3">
      <c r="A556" s="67"/>
      <c r="C556" s="65"/>
      <c r="D556" s="65"/>
      <c r="E556" s="65"/>
      <c r="F556" s="65"/>
      <c r="G556" s="65"/>
      <c r="H556" s="65"/>
      <c r="I556" s="65"/>
      <c r="J556" s="65"/>
      <c r="K556" s="65"/>
      <c r="L556" s="65"/>
      <c r="M556" s="65"/>
      <c r="N556" s="64"/>
      <c r="O556" s="65"/>
      <c r="P556" s="65"/>
      <c r="Q556" s="65"/>
      <c r="R556" s="65"/>
    </row>
    <row r="557" spans="1:18" ht="27.75" hidden="1" customHeight="1" x14ac:dyDescent="0.3">
      <c r="A557" s="68"/>
      <c r="C557" s="66"/>
      <c r="D557" s="66"/>
      <c r="E557" s="66"/>
      <c r="F557" s="66"/>
      <c r="G557" s="66"/>
      <c r="H557" s="66"/>
      <c r="I557" s="66"/>
      <c r="J557" s="66"/>
      <c r="K557" s="66"/>
      <c r="L557" s="66"/>
      <c r="M557" s="66"/>
      <c r="N557" s="69"/>
      <c r="O557" s="66"/>
      <c r="P557" s="66"/>
      <c r="Q557" s="66"/>
      <c r="R557" s="66"/>
    </row>
    <row r="558" spans="1:18" ht="27.75" hidden="1" customHeight="1" x14ac:dyDescent="0.3">
      <c r="A558" s="67"/>
      <c r="C558" s="65"/>
      <c r="D558" s="65"/>
      <c r="E558" s="65"/>
      <c r="F558" s="65"/>
      <c r="G558" s="65"/>
      <c r="H558" s="65"/>
      <c r="I558" s="65"/>
      <c r="J558" s="65"/>
      <c r="K558" s="65"/>
      <c r="L558" s="65"/>
      <c r="M558" s="65"/>
      <c r="N558" s="64"/>
      <c r="O558" s="65"/>
      <c r="P558" s="65"/>
      <c r="Q558" s="65"/>
      <c r="R558" s="65"/>
    </row>
    <row r="559" spans="1:18" ht="27.75" hidden="1" customHeight="1" x14ac:dyDescent="0.3">
      <c r="A559" s="68"/>
      <c r="C559" s="66"/>
      <c r="D559" s="66"/>
      <c r="E559" s="66"/>
      <c r="F559" s="66"/>
      <c r="G559" s="66"/>
      <c r="H559" s="66"/>
      <c r="I559" s="66"/>
      <c r="J559" s="66"/>
      <c r="K559" s="66"/>
      <c r="L559" s="66"/>
      <c r="M559" s="66"/>
      <c r="N559" s="69"/>
      <c r="O559" s="66"/>
      <c r="P559" s="66"/>
      <c r="Q559" s="66"/>
      <c r="R559" s="66"/>
    </row>
    <row r="560" spans="1:18" ht="27.75" hidden="1" customHeight="1" x14ac:dyDescent="0.3">
      <c r="A560" s="67"/>
      <c r="C560" s="65"/>
      <c r="D560" s="65"/>
      <c r="E560" s="65"/>
      <c r="F560" s="65"/>
      <c r="G560" s="65"/>
      <c r="H560" s="65"/>
      <c r="I560" s="65"/>
      <c r="J560" s="65"/>
      <c r="K560" s="65"/>
      <c r="L560" s="65"/>
      <c r="M560" s="65"/>
      <c r="N560" s="64"/>
      <c r="O560" s="65"/>
      <c r="P560" s="65"/>
      <c r="Q560" s="65"/>
      <c r="R560" s="65"/>
    </row>
    <row r="561" spans="1:18" ht="27.75" hidden="1" customHeight="1" x14ac:dyDescent="0.3">
      <c r="A561" s="68"/>
      <c r="C561" s="66"/>
      <c r="D561" s="66"/>
      <c r="E561" s="66"/>
      <c r="F561" s="66"/>
      <c r="G561" s="66"/>
      <c r="H561" s="66"/>
      <c r="I561" s="66"/>
      <c r="J561" s="66"/>
      <c r="K561" s="66"/>
      <c r="L561" s="66"/>
      <c r="M561" s="66"/>
      <c r="N561" s="69"/>
      <c r="O561" s="66"/>
      <c r="P561" s="66"/>
      <c r="Q561" s="66"/>
      <c r="R561" s="66"/>
    </row>
    <row r="562" spans="1:18" ht="27.75" hidden="1" customHeight="1" x14ac:dyDescent="0.3">
      <c r="A562" s="67"/>
      <c r="C562" s="65"/>
      <c r="D562" s="65"/>
      <c r="E562" s="65"/>
      <c r="F562" s="65"/>
      <c r="G562" s="65"/>
      <c r="H562" s="65"/>
      <c r="I562" s="65"/>
      <c r="J562" s="65"/>
      <c r="K562" s="65"/>
      <c r="L562" s="65"/>
      <c r="M562" s="65"/>
      <c r="N562" s="64"/>
      <c r="O562" s="65"/>
      <c r="P562" s="65"/>
      <c r="Q562" s="65"/>
      <c r="R562" s="65"/>
    </row>
    <row r="563" spans="1:18" ht="27.75" hidden="1" customHeight="1" x14ac:dyDescent="0.3">
      <c r="A563" s="68"/>
      <c r="C563" s="66"/>
      <c r="D563" s="66"/>
      <c r="E563" s="66"/>
      <c r="F563" s="66"/>
      <c r="G563" s="66"/>
      <c r="H563" s="66"/>
      <c r="I563" s="66"/>
      <c r="J563" s="66"/>
      <c r="K563" s="66"/>
      <c r="L563" s="66"/>
      <c r="M563" s="66"/>
      <c r="N563" s="69"/>
      <c r="O563" s="66"/>
      <c r="P563" s="66"/>
      <c r="Q563" s="66"/>
      <c r="R563" s="66"/>
    </row>
    <row r="564" spans="1:18" ht="27.75" hidden="1" customHeight="1" x14ac:dyDescent="0.3">
      <c r="A564" s="67"/>
      <c r="C564" s="65"/>
      <c r="D564" s="65"/>
      <c r="E564" s="65"/>
      <c r="F564" s="65"/>
      <c r="G564" s="65"/>
      <c r="H564" s="65"/>
      <c r="I564" s="65"/>
      <c r="J564" s="65"/>
      <c r="K564" s="65"/>
      <c r="L564" s="65"/>
      <c r="M564" s="65"/>
      <c r="N564" s="64"/>
      <c r="O564" s="65"/>
      <c r="P564" s="65"/>
      <c r="Q564" s="65"/>
      <c r="R564" s="65"/>
    </row>
    <row r="565" spans="1:18" ht="27.75" hidden="1" customHeight="1" x14ac:dyDescent="0.3">
      <c r="A565" s="68"/>
      <c r="C565" s="66"/>
      <c r="D565" s="66"/>
      <c r="E565" s="66"/>
      <c r="F565" s="66"/>
      <c r="G565" s="66"/>
      <c r="H565" s="66"/>
      <c r="I565" s="66"/>
      <c r="J565" s="66"/>
      <c r="K565" s="66"/>
      <c r="L565" s="66"/>
      <c r="M565" s="66"/>
      <c r="N565" s="69"/>
      <c r="O565" s="66"/>
      <c r="P565" s="66"/>
      <c r="Q565" s="66"/>
      <c r="R565" s="66"/>
    </row>
    <row r="566" spans="1:18" ht="27.75" hidden="1" customHeight="1" x14ac:dyDescent="0.3">
      <c r="A566" s="67"/>
      <c r="C566" s="65"/>
      <c r="D566" s="65"/>
      <c r="E566" s="65"/>
      <c r="F566" s="65"/>
      <c r="G566" s="65"/>
      <c r="H566" s="65"/>
      <c r="I566" s="65"/>
      <c r="J566" s="65"/>
      <c r="K566" s="65"/>
      <c r="L566" s="65"/>
      <c r="M566" s="65"/>
      <c r="N566" s="64"/>
      <c r="O566" s="65"/>
      <c r="P566" s="65"/>
      <c r="Q566" s="65"/>
      <c r="R566" s="65"/>
    </row>
    <row r="567" spans="1:18" ht="27.75" hidden="1" customHeight="1" x14ac:dyDescent="0.3">
      <c r="A567" s="68"/>
      <c r="C567" s="66"/>
      <c r="D567" s="66"/>
      <c r="E567" s="66"/>
      <c r="F567" s="66"/>
      <c r="G567" s="66"/>
      <c r="H567" s="66"/>
      <c r="I567" s="66"/>
      <c r="J567" s="66"/>
      <c r="K567" s="66"/>
      <c r="L567" s="66"/>
      <c r="M567" s="66"/>
      <c r="N567" s="69"/>
      <c r="O567" s="66"/>
      <c r="P567" s="66"/>
      <c r="Q567" s="66"/>
      <c r="R567" s="66"/>
    </row>
    <row r="568" spans="1:18" ht="27.75" hidden="1" customHeight="1" x14ac:dyDescent="0.3">
      <c r="A568" s="67"/>
      <c r="C568" s="65"/>
      <c r="D568" s="65"/>
      <c r="E568" s="65"/>
      <c r="F568" s="65"/>
      <c r="G568" s="65"/>
      <c r="H568" s="65"/>
      <c r="I568" s="65"/>
      <c r="J568" s="65"/>
      <c r="K568" s="65"/>
      <c r="L568" s="65"/>
      <c r="M568" s="65"/>
      <c r="N568" s="64"/>
      <c r="O568" s="65"/>
      <c r="P568" s="65"/>
      <c r="Q568" s="65"/>
      <c r="R568" s="65"/>
    </row>
    <row r="569" spans="1:18" ht="27.75" hidden="1" customHeight="1" x14ac:dyDescent="0.3">
      <c r="A569" s="68"/>
      <c r="C569" s="66"/>
      <c r="D569" s="66"/>
      <c r="E569" s="66"/>
      <c r="F569" s="66"/>
      <c r="G569" s="66"/>
      <c r="H569" s="66"/>
      <c r="I569" s="66"/>
      <c r="J569" s="66"/>
      <c r="K569" s="66"/>
      <c r="L569" s="66"/>
      <c r="M569" s="66"/>
      <c r="N569" s="69"/>
      <c r="O569" s="66"/>
      <c r="P569" s="66"/>
      <c r="Q569" s="66"/>
      <c r="R569" s="66"/>
    </row>
    <row r="570" spans="1:18" ht="27.75" hidden="1" customHeight="1" x14ac:dyDescent="0.3">
      <c r="A570" s="67"/>
      <c r="C570" s="65"/>
      <c r="D570" s="65"/>
      <c r="E570" s="65"/>
      <c r="F570" s="65"/>
      <c r="G570" s="65"/>
      <c r="H570" s="65"/>
      <c r="I570" s="65"/>
      <c r="J570" s="65"/>
      <c r="K570" s="65"/>
      <c r="L570" s="65"/>
      <c r="M570" s="65"/>
      <c r="N570" s="64"/>
      <c r="O570" s="65"/>
      <c r="P570" s="65"/>
      <c r="Q570" s="65"/>
      <c r="R570" s="65"/>
    </row>
    <row r="571" spans="1:18" ht="27.75" hidden="1" customHeight="1" x14ac:dyDescent="0.3">
      <c r="A571" s="68"/>
      <c r="C571" s="66"/>
      <c r="D571" s="66"/>
      <c r="E571" s="66"/>
      <c r="F571" s="66"/>
      <c r="G571" s="66"/>
      <c r="H571" s="66"/>
      <c r="I571" s="66"/>
      <c r="J571" s="66"/>
      <c r="K571" s="66"/>
      <c r="L571" s="66"/>
      <c r="M571" s="66"/>
      <c r="N571" s="69"/>
      <c r="O571" s="66"/>
      <c r="P571" s="66"/>
      <c r="Q571" s="66"/>
      <c r="R571" s="66"/>
    </row>
    <row r="572" spans="1:18" ht="27.75" hidden="1" customHeight="1" x14ac:dyDescent="0.3">
      <c r="A572" s="67"/>
      <c r="C572" s="65"/>
      <c r="D572" s="65"/>
      <c r="E572" s="65"/>
      <c r="F572" s="65"/>
      <c r="G572" s="65"/>
      <c r="H572" s="65"/>
      <c r="I572" s="65"/>
      <c r="J572" s="65"/>
      <c r="K572" s="65"/>
      <c r="L572" s="65"/>
      <c r="M572" s="65"/>
      <c r="N572" s="64"/>
      <c r="O572" s="65"/>
      <c r="P572" s="65"/>
      <c r="Q572" s="65"/>
      <c r="R572" s="65"/>
    </row>
    <row r="573" spans="1:18" ht="27.75" hidden="1" customHeight="1" x14ac:dyDescent="0.3">
      <c r="A573" s="68"/>
      <c r="C573" s="66"/>
      <c r="D573" s="66"/>
      <c r="E573" s="66"/>
      <c r="F573" s="66"/>
      <c r="G573" s="66"/>
      <c r="H573" s="66"/>
      <c r="I573" s="66"/>
      <c r="J573" s="66"/>
      <c r="K573" s="66"/>
      <c r="L573" s="66"/>
      <c r="M573" s="66"/>
      <c r="N573" s="69"/>
      <c r="O573" s="66"/>
      <c r="P573" s="66"/>
      <c r="Q573" s="66"/>
      <c r="R573" s="66"/>
    </row>
    <row r="574" spans="1:18" ht="27.75" hidden="1" customHeight="1" x14ac:dyDescent="0.3">
      <c r="A574" s="67"/>
      <c r="C574" s="65"/>
      <c r="D574" s="65"/>
      <c r="E574" s="65"/>
      <c r="F574" s="65"/>
      <c r="G574" s="65"/>
      <c r="H574" s="65"/>
      <c r="I574" s="65"/>
      <c r="J574" s="65"/>
      <c r="K574" s="65"/>
      <c r="L574" s="65"/>
      <c r="M574" s="65"/>
      <c r="N574" s="64"/>
      <c r="O574" s="65"/>
      <c r="P574" s="65"/>
      <c r="Q574" s="65"/>
      <c r="R574" s="65"/>
    </row>
    <row r="575" spans="1:18" ht="27.75" hidden="1" customHeight="1" x14ac:dyDescent="0.3">
      <c r="A575" s="68"/>
      <c r="C575" s="66"/>
      <c r="D575" s="66"/>
      <c r="E575" s="66"/>
      <c r="F575" s="66"/>
      <c r="G575" s="66"/>
      <c r="H575" s="66"/>
      <c r="I575" s="66"/>
      <c r="J575" s="66"/>
      <c r="K575" s="66"/>
      <c r="L575" s="66"/>
      <c r="M575" s="66"/>
      <c r="N575" s="69"/>
      <c r="O575" s="66"/>
      <c r="P575" s="66"/>
      <c r="Q575" s="66"/>
      <c r="R575" s="66"/>
    </row>
    <row r="576" spans="1:18" ht="27.75" hidden="1" customHeight="1" x14ac:dyDescent="0.3">
      <c r="A576" s="67"/>
      <c r="C576" s="65"/>
      <c r="D576" s="65"/>
      <c r="E576" s="65"/>
      <c r="F576" s="65"/>
      <c r="G576" s="65"/>
      <c r="H576" s="65"/>
      <c r="I576" s="65"/>
      <c r="J576" s="65"/>
      <c r="K576" s="65"/>
      <c r="L576" s="65"/>
      <c r="M576" s="65"/>
      <c r="N576" s="64"/>
      <c r="O576" s="65"/>
      <c r="P576" s="65"/>
      <c r="Q576" s="65"/>
      <c r="R576" s="65"/>
    </row>
    <row r="577" spans="1:18" ht="27.75" hidden="1" customHeight="1" x14ac:dyDescent="0.3">
      <c r="A577" s="68"/>
      <c r="C577" s="66"/>
      <c r="D577" s="66"/>
      <c r="E577" s="66"/>
      <c r="F577" s="66"/>
      <c r="G577" s="66"/>
      <c r="H577" s="66"/>
      <c r="I577" s="66"/>
      <c r="J577" s="66"/>
      <c r="K577" s="66"/>
      <c r="L577" s="66"/>
      <c r="M577" s="66"/>
      <c r="N577" s="69"/>
      <c r="O577" s="66"/>
      <c r="P577" s="66"/>
      <c r="Q577" s="66"/>
      <c r="R577" s="66"/>
    </row>
    <row r="578" spans="1:18" ht="27.75" hidden="1" customHeight="1" x14ac:dyDescent="0.3">
      <c r="A578" s="67"/>
      <c r="C578" s="65"/>
      <c r="D578" s="65"/>
      <c r="E578" s="65"/>
      <c r="F578" s="65"/>
      <c r="G578" s="65"/>
      <c r="H578" s="65"/>
      <c r="I578" s="65"/>
      <c r="J578" s="65"/>
      <c r="K578" s="65"/>
      <c r="L578" s="65"/>
      <c r="M578" s="65"/>
      <c r="N578" s="64"/>
      <c r="O578" s="65"/>
      <c r="P578" s="65"/>
      <c r="Q578" s="65"/>
      <c r="R578" s="65"/>
    </row>
    <row r="579" spans="1:18" ht="27.75" hidden="1" customHeight="1" x14ac:dyDescent="0.3">
      <c r="A579" s="68"/>
      <c r="C579" s="66"/>
      <c r="D579" s="66"/>
      <c r="E579" s="66"/>
      <c r="F579" s="66"/>
      <c r="G579" s="66"/>
      <c r="H579" s="66"/>
      <c r="I579" s="66"/>
      <c r="J579" s="66"/>
      <c r="K579" s="66"/>
      <c r="L579" s="66"/>
      <c r="M579" s="66"/>
      <c r="N579" s="69"/>
      <c r="O579" s="66"/>
      <c r="P579" s="66"/>
      <c r="Q579" s="66"/>
      <c r="R579" s="66"/>
    </row>
    <row r="580" spans="1:18" ht="27.75" hidden="1" customHeight="1" x14ac:dyDescent="0.3">
      <c r="A580" s="67"/>
      <c r="C580" s="65"/>
      <c r="D580" s="65"/>
      <c r="E580" s="65"/>
      <c r="F580" s="65"/>
      <c r="G580" s="65"/>
      <c r="H580" s="65"/>
      <c r="I580" s="65"/>
      <c r="J580" s="65"/>
      <c r="K580" s="65"/>
      <c r="L580" s="65"/>
      <c r="M580" s="65"/>
      <c r="N580" s="64"/>
      <c r="O580" s="65"/>
      <c r="P580" s="65"/>
      <c r="Q580" s="65"/>
      <c r="R580" s="65"/>
    </row>
    <row r="581" spans="1:18" ht="27.75" hidden="1" customHeight="1" x14ac:dyDescent="0.3">
      <c r="A581" s="68"/>
      <c r="C581" s="66"/>
      <c r="D581" s="66"/>
      <c r="E581" s="66"/>
      <c r="F581" s="66"/>
      <c r="G581" s="66"/>
      <c r="H581" s="66"/>
      <c r="I581" s="66"/>
      <c r="J581" s="66"/>
      <c r="K581" s="66"/>
      <c r="L581" s="66"/>
      <c r="M581" s="66"/>
      <c r="N581" s="69"/>
      <c r="O581" s="66"/>
      <c r="P581" s="66"/>
      <c r="Q581" s="66"/>
      <c r="R581" s="66"/>
    </row>
    <row r="582" spans="1:18" ht="27.75" hidden="1" customHeight="1" x14ac:dyDescent="0.3">
      <c r="A582" s="67"/>
      <c r="C582" s="65"/>
      <c r="D582" s="65"/>
      <c r="E582" s="65"/>
      <c r="F582" s="65"/>
      <c r="G582" s="65"/>
      <c r="H582" s="65"/>
      <c r="I582" s="65"/>
      <c r="J582" s="65"/>
      <c r="K582" s="65"/>
      <c r="L582" s="65"/>
      <c r="M582" s="65"/>
      <c r="N582" s="64"/>
      <c r="O582" s="65"/>
      <c r="P582" s="65"/>
      <c r="Q582" s="65"/>
      <c r="R582" s="65"/>
    </row>
    <row r="583" spans="1:18" ht="27.75" hidden="1" customHeight="1" x14ac:dyDescent="0.3">
      <c r="A583" s="68"/>
      <c r="C583" s="66"/>
      <c r="D583" s="66"/>
      <c r="E583" s="66"/>
      <c r="F583" s="66"/>
      <c r="G583" s="66"/>
      <c r="H583" s="66"/>
      <c r="I583" s="66"/>
      <c r="J583" s="66"/>
      <c r="K583" s="66"/>
      <c r="L583" s="66"/>
      <c r="M583" s="66"/>
      <c r="N583" s="69"/>
      <c r="O583" s="66"/>
      <c r="P583" s="66"/>
      <c r="Q583" s="66"/>
      <c r="R583" s="66"/>
    </row>
    <row r="584" spans="1:18" ht="27.75" hidden="1" customHeight="1" x14ac:dyDescent="0.3">
      <c r="A584" s="67"/>
      <c r="C584" s="65"/>
      <c r="D584" s="65"/>
      <c r="E584" s="65"/>
      <c r="F584" s="65"/>
      <c r="G584" s="65"/>
      <c r="H584" s="65"/>
      <c r="I584" s="65"/>
      <c r="J584" s="65"/>
      <c r="K584" s="65"/>
      <c r="L584" s="65"/>
      <c r="M584" s="65"/>
      <c r="N584" s="64"/>
      <c r="O584" s="65"/>
      <c r="P584" s="65"/>
      <c r="Q584" s="65"/>
      <c r="R584" s="65"/>
    </row>
    <row r="585" spans="1:18" ht="27.75" hidden="1" customHeight="1" x14ac:dyDescent="0.3">
      <c r="A585" s="68"/>
      <c r="C585" s="66"/>
      <c r="D585" s="66"/>
      <c r="E585" s="66"/>
      <c r="F585" s="66"/>
      <c r="G585" s="66"/>
      <c r="H585" s="66"/>
      <c r="I585" s="66"/>
      <c r="J585" s="66"/>
      <c r="K585" s="66"/>
      <c r="L585" s="66"/>
      <c r="M585" s="66"/>
      <c r="N585" s="69"/>
      <c r="O585" s="66"/>
      <c r="P585" s="66"/>
      <c r="Q585" s="66"/>
      <c r="R585" s="66"/>
    </row>
    <row r="586" spans="1:18" ht="27.75" hidden="1" customHeight="1" x14ac:dyDescent="0.3">
      <c r="A586" s="67"/>
      <c r="C586" s="65"/>
      <c r="D586" s="65"/>
      <c r="E586" s="65"/>
      <c r="F586" s="65"/>
      <c r="G586" s="65"/>
      <c r="H586" s="65"/>
      <c r="I586" s="65"/>
      <c r="J586" s="65"/>
      <c r="K586" s="65"/>
      <c r="L586" s="65"/>
      <c r="M586" s="65"/>
      <c r="N586" s="64"/>
      <c r="O586" s="65"/>
      <c r="P586" s="65"/>
      <c r="Q586" s="65"/>
      <c r="R586" s="65"/>
    </row>
    <row r="587" spans="1:18" ht="27.75" hidden="1" customHeight="1" x14ac:dyDescent="0.3">
      <c r="A587" s="68"/>
      <c r="C587" s="66"/>
      <c r="D587" s="66"/>
      <c r="E587" s="66"/>
      <c r="F587" s="66"/>
      <c r="G587" s="66"/>
      <c r="H587" s="66"/>
      <c r="I587" s="66"/>
      <c r="J587" s="66"/>
      <c r="K587" s="66"/>
      <c r="L587" s="66"/>
      <c r="M587" s="66"/>
      <c r="N587" s="69"/>
      <c r="O587" s="66"/>
      <c r="P587" s="66"/>
      <c r="Q587" s="66"/>
      <c r="R587" s="66"/>
    </row>
    <row r="588" spans="1:18" ht="27.75" hidden="1" customHeight="1" x14ac:dyDescent="0.3">
      <c r="A588" s="67"/>
      <c r="C588" s="65"/>
      <c r="D588" s="65"/>
      <c r="E588" s="65"/>
      <c r="F588" s="65"/>
      <c r="G588" s="65"/>
      <c r="H588" s="65"/>
      <c r="I588" s="65"/>
      <c r="J588" s="65"/>
      <c r="K588" s="65"/>
      <c r="L588" s="65"/>
      <c r="M588" s="65"/>
      <c r="N588" s="64"/>
      <c r="O588" s="65"/>
      <c r="P588" s="65"/>
      <c r="Q588" s="65"/>
      <c r="R588" s="65"/>
    </row>
    <row r="589" spans="1:18" ht="27.75" hidden="1" customHeight="1" x14ac:dyDescent="0.3">
      <c r="A589" s="68"/>
      <c r="C589" s="66"/>
      <c r="D589" s="66"/>
      <c r="E589" s="66"/>
      <c r="F589" s="66"/>
      <c r="G589" s="66"/>
      <c r="H589" s="66"/>
      <c r="I589" s="66"/>
      <c r="J589" s="66"/>
      <c r="K589" s="66"/>
      <c r="L589" s="66"/>
      <c r="M589" s="66"/>
      <c r="N589" s="69"/>
      <c r="O589" s="66"/>
      <c r="P589" s="66"/>
      <c r="Q589" s="66"/>
      <c r="R589" s="66"/>
    </row>
    <row r="590" spans="1:18" ht="27.75" hidden="1" customHeight="1" x14ac:dyDescent="0.3">
      <c r="A590" s="67"/>
      <c r="C590" s="65"/>
      <c r="D590" s="65"/>
      <c r="E590" s="65"/>
      <c r="F590" s="65"/>
      <c r="G590" s="65"/>
      <c r="H590" s="65"/>
      <c r="I590" s="65"/>
      <c r="J590" s="65"/>
      <c r="K590" s="65"/>
      <c r="L590" s="65"/>
      <c r="M590" s="65"/>
      <c r="N590" s="64"/>
      <c r="O590" s="65"/>
      <c r="P590" s="65"/>
      <c r="Q590" s="65"/>
      <c r="R590" s="65"/>
    </row>
    <row r="591" spans="1:18" ht="27.75" hidden="1" customHeight="1" x14ac:dyDescent="0.3">
      <c r="A591" s="68"/>
      <c r="C591" s="66"/>
      <c r="D591" s="66"/>
      <c r="E591" s="66"/>
      <c r="F591" s="66"/>
      <c r="G591" s="66"/>
      <c r="H591" s="66"/>
      <c r="I591" s="66"/>
      <c r="J591" s="66"/>
      <c r="K591" s="66"/>
      <c r="L591" s="66"/>
      <c r="M591" s="66"/>
      <c r="N591" s="69"/>
      <c r="O591" s="66"/>
      <c r="P591" s="66"/>
      <c r="Q591" s="66"/>
      <c r="R591" s="66"/>
    </row>
    <row r="592" spans="1:18" ht="27.75" hidden="1" customHeight="1" x14ac:dyDescent="0.3">
      <c r="A592" s="67"/>
      <c r="C592" s="65"/>
      <c r="D592" s="65"/>
      <c r="E592" s="65"/>
      <c r="F592" s="65"/>
      <c r="G592" s="65"/>
      <c r="H592" s="65"/>
      <c r="I592" s="65"/>
      <c r="J592" s="65"/>
      <c r="K592" s="65"/>
      <c r="L592" s="65"/>
      <c r="M592" s="65"/>
      <c r="N592" s="64"/>
      <c r="O592" s="65"/>
      <c r="P592" s="65"/>
      <c r="Q592" s="65"/>
      <c r="R592" s="65"/>
    </row>
    <row r="593" spans="1:18" ht="27.75" hidden="1" customHeight="1" x14ac:dyDescent="0.3">
      <c r="A593" s="68"/>
      <c r="C593" s="66"/>
      <c r="D593" s="66"/>
      <c r="E593" s="66"/>
      <c r="F593" s="66"/>
      <c r="G593" s="66"/>
      <c r="H593" s="66"/>
      <c r="I593" s="66"/>
      <c r="J593" s="66"/>
      <c r="K593" s="66"/>
      <c r="L593" s="66"/>
      <c r="M593" s="66"/>
      <c r="N593" s="69"/>
      <c r="O593" s="66"/>
      <c r="P593" s="66"/>
      <c r="Q593" s="66"/>
      <c r="R593" s="66"/>
    </row>
    <row r="594" spans="1:18" ht="27.75" hidden="1" customHeight="1" x14ac:dyDescent="0.3">
      <c r="A594" s="67"/>
      <c r="C594" s="65"/>
      <c r="D594" s="65"/>
      <c r="E594" s="65"/>
      <c r="F594" s="65"/>
      <c r="G594" s="65"/>
      <c r="H594" s="65"/>
      <c r="I594" s="65"/>
      <c r="J594" s="65"/>
      <c r="K594" s="65"/>
      <c r="L594" s="65"/>
      <c r="M594" s="65"/>
      <c r="N594" s="64"/>
      <c r="O594" s="65"/>
      <c r="P594" s="65"/>
      <c r="Q594" s="65"/>
      <c r="R594" s="65"/>
    </row>
    <row r="595" spans="1:18" ht="27.75" hidden="1" customHeight="1" x14ac:dyDescent="0.3">
      <c r="A595" s="68"/>
      <c r="C595" s="66"/>
      <c r="D595" s="66"/>
      <c r="E595" s="66"/>
      <c r="F595" s="66"/>
      <c r="G595" s="66"/>
      <c r="H595" s="66"/>
      <c r="I595" s="66"/>
      <c r="J595" s="66"/>
      <c r="K595" s="66"/>
      <c r="L595" s="66"/>
      <c r="M595" s="66"/>
      <c r="N595" s="69"/>
      <c r="O595" s="66"/>
      <c r="P595" s="66"/>
      <c r="Q595" s="66"/>
      <c r="R595" s="66"/>
    </row>
    <row r="596" spans="1:18" ht="27.75" hidden="1" customHeight="1" x14ac:dyDescent="0.3">
      <c r="A596" s="67"/>
      <c r="C596" s="65"/>
      <c r="D596" s="65"/>
      <c r="E596" s="65"/>
      <c r="F596" s="65"/>
      <c r="G596" s="65"/>
      <c r="H596" s="65"/>
      <c r="I596" s="65"/>
      <c r="J596" s="65"/>
      <c r="K596" s="65"/>
      <c r="L596" s="65"/>
      <c r="M596" s="65"/>
      <c r="N596" s="64"/>
      <c r="O596" s="65"/>
      <c r="P596" s="65"/>
      <c r="Q596" s="65"/>
      <c r="R596" s="65"/>
    </row>
    <row r="597" spans="1:18" ht="27.75" hidden="1" customHeight="1" x14ac:dyDescent="0.3">
      <c r="A597" s="68"/>
      <c r="C597" s="66"/>
      <c r="D597" s="66"/>
      <c r="E597" s="66"/>
      <c r="F597" s="66"/>
      <c r="G597" s="66"/>
      <c r="H597" s="66"/>
      <c r="I597" s="66"/>
      <c r="J597" s="66"/>
      <c r="K597" s="66"/>
      <c r="L597" s="66"/>
      <c r="M597" s="66"/>
      <c r="N597" s="69"/>
      <c r="O597" s="66"/>
      <c r="P597" s="66"/>
      <c r="Q597" s="66"/>
      <c r="R597" s="66"/>
    </row>
    <row r="598" spans="1:18" ht="27.75" hidden="1" customHeight="1" x14ac:dyDescent="0.3">
      <c r="A598" s="67"/>
      <c r="C598" s="65"/>
      <c r="D598" s="65"/>
      <c r="E598" s="65"/>
      <c r="F598" s="65"/>
      <c r="G598" s="65"/>
      <c r="H598" s="65"/>
      <c r="I598" s="65"/>
      <c r="J598" s="65"/>
      <c r="K598" s="65"/>
      <c r="L598" s="65"/>
      <c r="M598" s="65"/>
      <c r="N598" s="64"/>
      <c r="O598" s="65"/>
      <c r="P598" s="65"/>
      <c r="Q598" s="65"/>
      <c r="R598" s="65"/>
    </row>
    <row r="599" spans="1:18" ht="27.75" hidden="1" customHeight="1" x14ac:dyDescent="0.3">
      <c r="A599" s="68"/>
      <c r="C599" s="66"/>
      <c r="D599" s="66"/>
      <c r="E599" s="66"/>
      <c r="F599" s="66"/>
      <c r="G599" s="66"/>
      <c r="H599" s="66"/>
      <c r="I599" s="66"/>
      <c r="J599" s="66"/>
      <c r="K599" s="66"/>
      <c r="L599" s="66"/>
      <c r="M599" s="66"/>
      <c r="N599" s="69"/>
      <c r="O599" s="66"/>
      <c r="P599" s="66"/>
      <c r="Q599" s="66"/>
      <c r="R599" s="66"/>
    </row>
    <row r="600" spans="1:18" ht="27.75" hidden="1" customHeight="1" x14ac:dyDescent="0.3">
      <c r="A600" s="67"/>
      <c r="C600" s="65"/>
      <c r="D600" s="65"/>
      <c r="E600" s="65"/>
      <c r="F600" s="65"/>
      <c r="G600" s="65"/>
      <c r="H600" s="65"/>
      <c r="I600" s="65"/>
      <c r="J600" s="65"/>
      <c r="K600" s="65"/>
      <c r="L600" s="65"/>
      <c r="M600" s="65"/>
      <c r="N600" s="64"/>
      <c r="O600" s="65"/>
      <c r="P600" s="65"/>
      <c r="Q600" s="65"/>
      <c r="R600" s="65"/>
    </row>
    <row r="601" spans="1:18" ht="27.75" hidden="1" customHeight="1" x14ac:dyDescent="0.3">
      <c r="A601" s="68"/>
      <c r="C601" s="66"/>
      <c r="D601" s="66"/>
      <c r="E601" s="66"/>
      <c r="F601" s="66"/>
      <c r="G601" s="66"/>
      <c r="H601" s="66"/>
      <c r="I601" s="66"/>
      <c r="J601" s="66"/>
      <c r="K601" s="66"/>
      <c r="L601" s="66"/>
      <c r="M601" s="66"/>
      <c r="N601" s="69"/>
      <c r="O601" s="66"/>
      <c r="P601" s="66"/>
      <c r="Q601" s="66"/>
      <c r="R601" s="66"/>
    </row>
    <row r="602" spans="1:18" ht="27.75" hidden="1" customHeight="1" x14ac:dyDescent="0.3">
      <c r="A602" s="67"/>
      <c r="C602" s="65"/>
      <c r="D602" s="65"/>
      <c r="E602" s="65"/>
      <c r="F602" s="65"/>
      <c r="G602" s="65"/>
      <c r="H602" s="65"/>
      <c r="I602" s="65"/>
      <c r="J602" s="65"/>
      <c r="K602" s="65"/>
      <c r="L602" s="65"/>
      <c r="M602" s="65"/>
      <c r="N602" s="64"/>
      <c r="O602" s="65"/>
      <c r="P602" s="65"/>
      <c r="Q602" s="65"/>
      <c r="R602" s="65"/>
    </row>
    <row r="603" spans="1:18" ht="27.75" hidden="1" customHeight="1" x14ac:dyDescent="0.3">
      <c r="A603" s="68"/>
      <c r="C603" s="66"/>
      <c r="D603" s="66"/>
      <c r="E603" s="66"/>
      <c r="F603" s="66"/>
      <c r="G603" s="66"/>
      <c r="H603" s="66"/>
      <c r="I603" s="66"/>
      <c r="J603" s="66"/>
      <c r="K603" s="66"/>
      <c r="L603" s="66"/>
      <c r="M603" s="66"/>
      <c r="N603" s="69"/>
      <c r="O603" s="66"/>
      <c r="P603" s="66"/>
      <c r="Q603" s="66"/>
      <c r="R603" s="66"/>
    </row>
    <row r="604" spans="1:18" ht="27.75" hidden="1" customHeight="1" x14ac:dyDescent="0.3">
      <c r="A604" s="67"/>
      <c r="C604" s="65"/>
      <c r="D604" s="65"/>
      <c r="E604" s="65"/>
      <c r="F604" s="65"/>
      <c r="G604" s="65"/>
      <c r="H604" s="65"/>
      <c r="I604" s="65"/>
      <c r="J604" s="65"/>
      <c r="K604" s="65"/>
      <c r="L604" s="65"/>
      <c r="M604" s="65"/>
      <c r="N604" s="64"/>
      <c r="O604" s="65"/>
      <c r="P604" s="65"/>
      <c r="Q604" s="65"/>
      <c r="R604" s="65"/>
    </row>
    <row r="605" spans="1:18" ht="27.75" hidden="1" customHeight="1" x14ac:dyDescent="0.3">
      <c r="A605" s="68"/>
      <c r="C605" s="66"/>
      <c r="D605" s="66"/>
      <c r="E605" s="66"/>
      <c r="F605" s="66"/>
      <c r="G605" s="66"/>
      <c r="H605" s="66"/>
      <c r="I605" s="66"/>
      <c r="J605" s="66"/>
      <c r="K605" s="66"/>
      <c r="L605" s="66"/>
      <c r="M605" s="66"/>
      <c r="N605" s="69"/>
      <c r="O605" s="66"/>
      <c r="P605" s="66"/>
      <c r="Q605" s="66"/>
      <c r="R605" s="66"/>
    </row>
    <row r="606" spans="1:18" ht="27.75" hidden="1" customHeight="1" x14ac:dyDescent="0.3">
      <c r="A606" s="67"/>
      <c r="C606" s="65"/>
      <c r="D606" s="65"/>
      <c r="E606" s="65"/>
      <c r="F606" s="65"/>
      <c r="G606" s="65"/>
      <c r="H606" s="65"/>
      <c r="I606" s="65"/>
      <c r="J606" s="65"/>
      <c r="K606" s="65"/>
      <c r="L606" s="65"/>
      <c r="M606" s="65"/>
      <c r="N606" s="64"/>
      <c r="O606" s="65"/>
      <c r="P606" s="65"/>
      <c r="Q606" s="65"/>
      <c r="R606" s="65"/>
    </row>
    <row r="607" spans="1:18" ht="27.75" hidden="1" customHeight="1" x14ac:dyDescent="0.3">
      <c r="A607" s="68"/>
      <c r="C607" s="66"/>
      <c r="D607" s="66"/>
      <c r="E607" s="66"/>
      <c r="F607" s="66"/>
      <c r="G607" s="66"/>
      <c r="H607" s="66"/>
      <c r="I607" s="66"/>
      <c r="J607" s="66"/>
      <c r="K607" s="66"/>
      <c r="L607" s="66"/>
      <c r="M607" s="66"/>
      <c r="N607" s="69"/>
      <c r="O607" s="66"/>
      <c r="P607" s="66"/>
      <c r="Q607" s="66"/>
      <c r="R607" s="66"/>
    </row>
    <row r="608" spans="1:18" ht="27.75" hidden="1" customHeight="1" x14ac:dyDescent="0.3">
      <c r="A608" s="67"/>
      <c r="C608" s="65"/>
      <c r="D608" s="65"/>
      <c r="E608" s="65"/>
      <c r="F608" s="65"/>
      <c r="G608" s="65"/>
      <c r="H608" s="65"/>
      <c r="I608" s="65"/>
      <c r="J608" s="65"/>
      <c r="K608" s="65"/>
      <c r="L608" s="65"/>
      <c r="M608" s="65"/>
      <c r="N608" s="64"/>
      <c r="O608" s="65"/>
      <c r="P608" s="65"/>
      <c r="Q608" s="65"/>
      <c r="R608" s="65"/>
    </row>
    <row r="609" spans="1:18" ht="27.75" hidden="1" customHeight="1" x14ac:dyDescent="0.3">
      <c r="A609" s="68"/>
      <c r="C609" s="66"/>
      <c r="D609" s="66"/>
      <c r="E609" s="66"/>
      <c r="F609" s="66"/>
      <c r="G609" s="66"/>
      <c r="H609" s="66"/>
      <c r="I609" s="66"/>
      <c r="J609" s="66"/>
      <c r="K609" s="66"/>
      <c r="L609" s="66"/>
      <c r="M609" s="66"/>
      <c r="N609" s="69"/>
      <c r="O609" s="66"/>
      <c r="P609" s="66"/>
      <c r="Q609" s="66"/>
      <c r="R609" s="66"/>
    </row>
    <row r="610" spans="1:18" ht="27.75" hidden="1" customHeight="1" x14ac:dyDescent="0.3">
      <c r="A610" s="67"/>
      <c r="C610" s="65"/>
      <c r="D610" s="65"/>
      <c r="E610" s="65"/>
      <c r="F610" s="65"/>
      <c r="G610" s="65"/>
      <c r="H610" s="65"/>
      <c r="I610" s="65"/>
      <c r="J610" s="65"/>
      <c r="K610" s="65"/>
      <c r="L610" s="65"/>
      <c r="M610" s="65"/>
      <c r="N610" s="64"/>
      <c r="O610" s="65"/>
      <c r="P610" s="65"/>
      <c r="Q610" s="65"/>
      <c r="R610" s="65"/>
    </row>
    <row r="611" spans="1:18" ht="27.75" hidden="1" customHeight="1" x14ac:dyDescent="0.3">
      <c r="A611" s="68"/>
      <c r="C611" s="66"/>
      <c r="D611" s="66"/>
      <c r="E611" s="66"/>
      <c r="F611" s="66"/>
      <c r="G611" s="66"/>
      <c r="H611" s="66"/>
      <c r="I611" s="66"/>
      <c r="J611" s="66"/>
      <c r="K611" s="66"/>
      <c r="L611" s="66"/>
      <c r="M611" s="66"/>
      <c r="N611" s="69"/>
      <c r="O611" s="66"/>
      <c r="P611" s="66"/>
      <c r="Q611" s="66"/>
      <c r="R611" s="66"/>
    </row>
    <row r="612" spans="1:18" ht="27.75" hidden="1" customHeight="1" x14ac:dyDescent="0.3">
      <c r="A612" s="67"/>
      <c r="C612" s="65"/>
      <c r="D612" s="65"/>
      <c r="E612" s="65"/>
      <c r="F612" s="65"/>
      <c r="G612" s="65"/>
      <c r="H612" s="65"/>
      <c r="I612" s="65"/>
      <c r="J612" s="65"/>
      <c r="K612" s="65"/>
      <c r="L612" s="65"/>
      <c r="M612" s="65"/>
      <c r="N612" s="64"/>
      <c r="O612" s="65"/>
      <c r="P612" s="65"/>
      <c r="Q612" s="65"/>
      <c r="R612" s="65"/>
    </row>
    <row r="613" spans="1:18" ht="27.75" hidden="1" customHeight="1" x14ac:dyDescent="0.3">
      <c r="A613" s="68"/>
      <c r="C613" s="66"/>
      <c r="D613" s="66"/>
      <c r="E613" s="66"/>
      <c r="F613" s="66"/>
      <c r="G613" s="66"/>
      <c r="H613" s="66"/>
      <c r="I613" s="66"/>
      <c r="J613" s="66"/>
      <c r="K613" s="66"/>
      <c r="L613" s="66"/>
      <c r="M613" s="66"/>
      <c r="N613" s="69"/>
      <c r="O613" s="66"/>
      <c r="P613" s="66"/>
      <c r="Q613" s="66"/>
      <c r="R613" s="66"/>
    </row>
    <row r="614" spans="1:18" ht="27.75" hidden="1" customHeight="1" x14ac:dyDescent="0.3">
      <c r="A614" s="67"/>
      <c r="C614" s="65"/>
      <c r="D614" s="65"/>
      <c r="E614" s="65"/>
      <c r="F614" s="65"/>
      <c r="G614" s="65"/>
      <c r="H614" s="65"/>
      <c r="I614" s="65"/>
      <c r="J614" s="65"/>
      <c r="K614" s="65"/>
      <c r="L614" s="65"/>
      <c r="M614" s="65"/>
      <c r="N614" s="64"/>
      <c r="O614" s="65"/>
      <c r="P614" s="65"/>
      <c r="Q614" s="65"/>
      <c r="R614" s="65"/>
    </row>
    <row r="615" spans="1:18" ht="27.75" hidden="1" customHeight="1" x14ac:dyDescent="0.3">
      <c r="A615" s="68"/>
      <c r="C615" s="66"/>
      <c r="D615" s="66"/>
      <c r="E615" s="66"/>
      <c r="F615" s="66"/>
      <c r="G615" s="66"/>
      <c r="H615" s="66"/>
      <c r="I615" s="66"/>
      <c r="J615" s="66"/>
      <c r="K615" s="66"/>
      <c r="L615" s="66"/>
      <c r="M615" s="66"/>
      <c r="N615" s="69"/>
      <c r="O615" s="66"/>
      <c r="P615" s="66"/>
      <c r="Q615" s="66"/>
      <c r="R615" s="66"/>
    </row>
    <row r="616" spans="1:18" ht="27.75" hidden="1" customHeight="1" x14ac:dyDescent="0.3">
      <c r="A616" s="67"/>
      <c r="C616" s="65"/>
      <c r="D616" s="65"/>
      <c r="E616" s="65"/>
      <c r="F616" s="65"/>
      <c r="G616" s="65"/>
      <c r="H616" s="65"/>
      <c r="I616" s="65"/>
      <c r="J616" s="65"/>
      <c r="K616" s="65"/>
      <c r="L616" s="65"/>
      <c r="M616" s="65"/>
      <c r="N616" s="64"/>
      <c r="O616" s="65"/>
      <c r="P616" s="65"/>
      <c r="Q616" s="65"/>
      <c r="R616" s="65"/>
    </row>
    <row r="617" spans="1:18" ht="27.75" hidden="1" customHeight="1" x14ac:dyDescent="0.3">
      <c r="A617" s="68"/>
      <c r="C617" s="66"/>
      <c r="D617" s="66"/>
      <c r="E617" s="66"/>
      <c r="F617" s="66"/>
      <c r="G617" s="66"/>
      <c r="H617" s="66"/>
      <c r="I617" s="66"/>
      <c r="J617" s="66"/>
      <c r="K617" s="66"/>
      <c r="L617" s="66"/>
      <c r="M617" s="66"/>
      <c r="N617" s="69"/>
      <c r="O617" s="66"/>
      <c r="P617" s="66"/>
      <c r="Q617" s="66"/>
      <c r="R617" s="66"/>
    </row>
    <row r="618" spans="1:18" ht="27.75" hidden="1" customHeight="1" x14ac:dyDescent="0.3">
      <c r="A618" s="67"/>
      <c r="C618" s="65"/>
      <c r="D618" s="65"/>
      <c r="E618" s="65"/>
      <c r="F618" s="65"/>
      <c r="G618" s="65"/>
      <c r="H618" s="65"/>
      <c r="I618" s="65"/>
      <c r="J618" s="65"/>
      <c r="K618" s="65"/>
      <c r="L618" s="65"/>
      <c r="M618" s="65"/>
      <c r="N618" s="64"/>
      <c r="O618" s="65"/>
      <c r="P618" s="65"/>
      <c r="Q618" s="65"/>
      <c r="R618" s="65"/>
    </row>
    <row r="619" spans="1:18" ht="27.75" hidden="1" customHeight="1" x14ac:dyDescent="0.3">
      <c r="A619" s="68"/>
      <c r="C619" s="66"/>
      <c r="D619" s="66"/>
      <c r="E619" s="66"/>
      <c r="F619" s="66"/>
      <c r="G619" s="66"/>
      <c r="H619" s="66"/>
      <c r="I619" s="66"/>
      <c r="J619" s="66"/>
      <c r="K619" s="66"/>
      <c r="L619" s="66"/>
      <c r="M619" s="66"/>
      <c r="N619" s="69"/>
      <c r="O619" s="66"/>
      <c r="P619" s="66"/>
      <c r="Q619" s="66"/>
      <c r="R619" s="66"/>
    </row>
    <row r="620" spans="1:18" ht="27.75" hidden="1" customHeight="1" x14ac:dyDescent="0.3">
      <c r="A620" s="67"/>
      <c r="C620" s="65"/>
      <c r="D620" s="65"/>
      <c r="E620" s="65"/>
      <c r="F620" s="65"/>
      <c r="G620" s="65"/>
      <c r="H620" s="65"/>
      <c r="I620" s="65"/>
      <c r="J620" s="65"/>
      <c r="K620" s="65"/>
      <c r="L620" s="65"/>
      <c r="M620" s="65"/>
      <c r="N620" s="64"/>
      <c r="O620" s="65"/>
      <c r="P620" s="65"/>
      <c r="Q620" s="65"/>
      <c r="R620" s="65"/>
    </row>
    <row r="621" spans="1:18" ht="27.75" hidden="1" customHeight="1" x14ac:dyDescent="0.3">
      <c r="A621" s="68"/>
      <c r="C621" s="66"/>
      <c r="D621" s="66"/>
      <c r="E621" s="66"/>
      <c r="F621" s="66"/>
      <c r="G621" s="66"/>
      <c r="H621" s="66"/>
      <c r="I621" s="66"/>
      <c r="J621" s="66"/>
      <c r="K621" s="66"/>
      <c r="L621" s="66"/>
      <c r="M621" s="66"/>
      <c r="N621" s="69"/>
      <c r="O621" s="66"/>
      <c r="P621" s="66"/>
      <c r="Q621" s="66"/>
      <c r="R621" s="66"/>
    </row>
    <row r="622" spans="1:18" ht="27.75" hidden="1" customHeight="1" x14ac:dyDescent="0.3">
      <c r="A622" s="67"/>
      <c r="C622" s="65"/>
      <c r="D622" s="65"/>
      <c r="E622" s="65"/>
      <c r="F622" s="65"/>
      <c r="G622" s="65"/>
      <c r="H622" s="65"/>
      <c r="I622" s="65"/>
      <c r="J622" s="65"/>
      <c r="K622" s="65"/>
      <c r="L622" s="65"/>
      <c r="M622" s="65"/>
      <c r="N622" s="64"/>
      <c r="O622" s="65"/>
      <c r="P622" s="65"/>
      <c r="Q622" s="65"/>
      <c r="R622" s="65"/>
    </row>
    <row r="623" spans="1:18" ht="27.75" hidden="1" customHeight="1" x14ac:dyDescent="0.3">
      <c r="A623" s="68"/>
      <c r="C623" s="66"/>
      <c r="D623" s="66"/>
      <c r="E623" s="66"/>
      <c r="F623" s="66"/>
      <c r="G623" s="66"/>
      <c r="H623" s="66"/>
      <c r="I623" s="66"/>
      <c r="J623" s="66"/>
      <c r="K623" s="66"/>
      <c r="L623" s="66"/>
      <c r="M623" s="66"/>
      <c r="N623" s="69"/>
      <c r="O623" s="66"/>
      <c r="P623" s="66"/>
      <c r="Q623" s="66"/>
      <c r="R623" s="66"/>
    </row>
    <row r="624" spans="1:18" ht="27.75" hidden="1" customHeight="1" x14ac:dyDescent="0.3">
      <c r="A624" s="67"/>
      <c r="C624" s="65"/>
      <c r="D624" s="65"/>
      <c r="E624" s="65"/>
      <c r="F624" s="65"/>
      <c r="G624" s="65"/>
      <c r="H624" s="65"/>
      <c r="I624" s="65"/>
      <c r="J624" s="65"/>
      <c r="K624" s="65"/>
      <c r="L624" s="65"/>
      <c r="M624" s="65"/>
      <c r="N624" s="64"/>
      <c r="O624" s="65"/>
      <c r="P624" s="65"/>
      <c r="Q624" s="65"/>
      <c r="R624" s="65"/>
    </row>
    <row r="625" spans="1:18" ht="27.75" hidden="1" customHeight="1" x14ac:dyDescent="0.3">
      <c r="A625" s="68"/>
      <c r="C625" s="66"/>
      <c r="D625" s="66"/>
      <c r="E625" s="66"/>
      <c r="F625" s="66"/>
      <c r="G625" s="66"/>
      <c r="H625" s="66"/>
      <c r="I625" s="66"/>
      <c r="J625" s="66"/>
      <c r="K625" s="66"/>
      <c r="L625" s="66"/>
      <c r="M625" s="66"/>
      <c r="N625" s="69"/>
      <c r="O625" s="66"/>
      <c r="P625" s="66"/>
      <c r="Q625" s="66"/>
      <c r="R625" s="66"/>
    </row>
    <row r="626" spans="1:18" ht="27.75" hidden="1" customHeight="1" x14ac:dyDescent="0.3">
      <c r="A626" s="67"/>
      <c r="C626" s="65"/>
      <c r="D626" s="65"/>
      <c r="E626" s="65"/>
      <c r="F626" s="65"/>
      <c r="G626" s="65"/>
      <c r="H626" s="65"/>
      <c r="I626" s="65"/>
      <c r="J626" s="65"/>
      <c r="K626" s="65"/>
      <c r="L626" s="65"/>
      <c r="M626" s="65"/>
      <c r="N626" s="64"/>
      <c r="O626" s="65"/>
      <c r="P626" s="65"/>
      <c r="Q626" s="65"/>
      <c r="R626" s="65"/>
    </row>
    <row r="627" spans="1:18" ht="27.75" hidden="1" customHeight="1" x14ac:dyDescent="0.3">
      <c r="A627" s="68"/>
      <c r="C627" s="66"/>
      <c r="D627" s="66"/>
      <c r="E627" s="66"/>
      <c r="F627" s="66"/>
      <c r="G627" s="66"/>
      <c r="H627" s="66"/>
      <c r="I627" s="66"/>
      <c r="J627" s="66"/>
      <c r="K627" s="66"/>
      <c r="L627" s="66"/>
      <c r="M627" s="66"/>
      <c r="N627" s="69"/>
      <c r="O627" s="66"/>
      <c r="P627" s="66"/>
      <c r="Q627" s="66"/>
      <c r="R627" s="66"/>
    </row>
    <row r="628" spans="1:18" ht="27.75" hidden="1" customHeight="1" x14ac:dyDescent="0.3">
      <c r="A628" s="67"/>
      <c r="C628" s="65"/>
      <c r="D628" s="65"/>
      <c r="E628" s="65"/>
      <c r="F628" s="65"/>
      <c r="G628" s="65"/>
      <c r="H628" s="65"/>
      <c r="I628" s="65"/>
      <c r="J628" s="65"/>
      <c r="K628" s="65"/>
      <c r="L628" s="65"/>
      <c r="M628" s="65"/>
      <c r="N628" s="64"/>
      <c r="O628" s="65"/>
      <c r="P628" s="65"/>
      <c r="Q628" s="65"/>
      <c r="R628" s="65"/>
    </row>
    <row r="629" spans="1:18" ht="27.75" hidden="1" customHeight="1" x14ac:dyDescent="0.3">
      <c r="A629" s="68"/>
      <c r="C629" s="66"/>
      <c r="D629" s="66"/>
      <c r="E629" s="66"/>
      <c r="F629" s="66"/>
      <c r="G629" s="66"/>
      <c r="H629" s="66"/>
      <c r="I629" s="66"/>
      <c r="J629" s="66"/>
      <c r="K629" s="66"/>
      <c r="L629" s="66"/>
      <c r="M629" s="66"/>
      <c r="N629" s="69"/>
      <c r="O629" s="66"/>
      <c r="P629" s="66"/>
      <c r="Q629" s="66"/>
      <c r="R629" s="66"/>
    </row>
    <row r="630" spans="1:18" ht="27.75" hidden="1" customHeight="1" x14ac:dyDescent="0.3">
      <c r="A630" s="67"/>
      <c r="C630" s="65"/>
      <c r="D630" s="65"/>
      <c r="E630" s="65"/>
      <c r="F630" s="65"/>
      <c r="G630" s="65"/>
      <c r="H630" s="65"/>
      <c r="I630" s="65"/>
      <c r="J630" s="65"/>
      <c r="K630" s="65"/>
      <c r="L630" s="65"/>
      <c r="M630" s="65"/>
      <c r="N630" s="64"/>
      <c r="O630" s="65"/>
      <c r="P630" s="65"/>
      <c r="Q630" s="65"/>
      <c r="R630" s="65"/>
    </row>
    <row r="631" spans="1:18" ht="27.75" hidden="1" customHeight="1" x14ac:dyDescent="0.3">
      <c r="A631" s="68"/>
      <c r="C631" s="66"/>
      <c r="D631" s="66"/>
      <c r="E631" s="66"/>
      <c r="F631" s="66"/>
      <c r="G631" s="66"/>
      <c r="H631" s="66"/>
      <c r="I631" s="66"/>
      <c r="J631" s="66"/>
      <c r="K631" s="66"/>
      <c r="L631" s="66"/>
      <c r="M631" s="66"/>
      <c r="N631" s="69"/>
      <c r="O631" s="66"/>
      <c r="P631" s="66"/>
      <c r="Q631" s="66"/>
      <c r="R631" s="66"/>
    </row>
    <row r="632" spans="1:18" ht="27.75" hidden="1" customHeight="1" x14ac:dyDescent="0.3">
      <c r="A632" s="67"/>
      <c r="C632" s="65"/>
      <c r="D632" s="65"/>
      <c r="E632" s="65"/>
      <c r="F632" s="65"/>
      <c r="G632" s="65"/>
      <c r="H632" s="65"/>
      <c r="I632" s="65"/>
      <c r="J632" s="65"/>
      <c r="K632" s="65"/>
      <c r="L632" s="65"/>
      <c r="M632" s="65"/>
      <c r="N632" s="64"/>
      <c r="O632" s="65"/>
      <c r="P632" s="65"/>
      <c r="Q632" s="65"/>
      <c r="R632" s="65"/>
    </row>
    <row r="633" spans="1:18" ht="27.75" hidden="1" customHeight="1" x14ac:dyDescent="0.3">
      <c r="A633" s="68"/>
      <c r="C633" s="66"/>
      <c r="D633" s="66"/>
      <c r="E633" s="66"/>
      <c r="F633" s="66"/>
      <c r="G633" s="66"/>
      <c r="H633" s="66"/>
      <c r="I633" s="66"/>
      <c r="J633" s="66"/>
      <c r="K633" s="66"/>
      <c r="L633" s="66"/>
      <c r="M633" s="66"/>
      <c r="N633" s="69"/>
      <c r="O633" s="66"/>
      <c r="P633" s="66"/>
      <c r="Q633" s="66"/>
      <c r="R633" s="66"/>
    </row>
    <row r="634" spans="1:18" ht="27.75" hidden="1" customHeight="1" x14ac:dyDescent="0.3">
      <c r="A634" s="67"/>
      <c r="C634" s="65"/>
      <c r="D634" s="65"/>
      <c r="E634" s="65"/>
      <c r="F634" s="65"/>
      <c r="G634" s="65"/>
      <c r="H634" s="65"/>
      <c r="I634" s="65"/>
      <c r="J634" s="65"/>
      <c r="K634" s="65"/>
      <c r="L634" s="65"/>
      <c r="M634" s="65"/>
      <c r="N634" s="64"/>
      <c r="O634" s="65"/>
      <c r="P634" s="65"/>
      <c r="Q634" s="65"/>
      <c r="R634" s="65"/>
    </row>
    <row r="635" spans="1:18" ht="27.75" hidden="1" customHeight="1" x14ac:dyDescent="0.3">
      <c r="A635" s="68"/>
      <c r="C635" s="66"/>
      <c r="D635" s="66"/>
      <c r="E635" s="66"/>
      <c r="F635" s="66"/>
      <c r="G635" s="66"/>
      <c r="H635" s="66"/>
      <c r="I635" s="66"/>
      <c r="J635" s="66"/>
      <c r="K635" s="66"/>
      <c r="L635" s="66"/>
      <c r="M635" s="66"/>
      <c r="N635" s="69"/>
      <c r="O635" s="66"/>
      <c r="P635" s="66"/>
      <c r="Q635" s="66"/>
      <c r="R635" s="66"/>
    </row>
    <row r="636" spans="1:18" ht="27.75" hidden="1" customHeight="1" x14ac:dyDescent="0.3">
      <c r="A636" s="67"/>
      <c r="C636" s="65"/>
      <c r="D636" s="65"/>
      <c r="E636" s="65"/>
      <c r="F636" s="65"/>
      <c r="G636" s="65"/>
      <c r="H636" s="65"/>
      <c r="I636" s="65"/>
      <c r="J636" s="65"/>
      <c r="K636" s="65"/>
      <c r="L636" s="65"/>
      <c r="M636" s="65"/>
      <c r="N636" s="64"/>
      <c r="O636" s="65"/>
      <c r="P636" s="65"/>
      <c r="Q636" s="65"/>
      <c r="R636" s="65"/>
    </row>
    <row r="637" spans="1:18" ht="27.75" hidden="1" customHeight="1" x14ac:dyDescent="0.3">
      <c r="A637" s="68"/>
      <c r="C637" s="66"/>
      <c r="D637" s="66"/>
      <c r="E637" s="66"/>
      <c r="F637" s="66"/>
      <c r="G637" s="66"/>
      <c r="H637" s="66"/>
      <c r="I637" s="66"/>
      <c r="J637" s="66"/>
      <c r="K637" s="66"/>
      <c r="L637" s="66"/>
      <c r="M637" s="66"/>
      <c r="N637" s="69"/>
      <c r="O637" s="66"/>
      <c r="P637" s="66"/>
      <c r="Q637" s="66"/>
      <c r="R637" s="66"/>
    </row>
    <row r="638" spans="1:18" ht="27.75" hidden="1" customHeight="1" x14ac:dyDescent="0.3">
      <c r="A638" s="67"/>
      <c r="C638" s="65"/>
      <c r="D638" s="65"/>
      <c r="E638" s="65"/>
      <c r="F638" s="65"/>
      <c r="G638" s="65"/>
      <c r="H638" s="65"/>
      <c r="I638" s="65"/>
      <c r="J638" s="65"/>
      <c r="K638" s="65"/>
      <c r="L638" s="65"/>
      <c r="M638" s="65"/>
      <c r="N638" s="64"/>
      <c r="O638" s="65"/>
      <c r="P638" s="65"/>
      <c r="Q638" s="65"/>
      <c r="R638" s="65"/>
    </row>
    <row r="639" spans="1:18" ht="27.75" hidden="1" customHeight="1" x14ac:dyDescent="0.3">
      <c r="A639" s="68"/>
      <c r="C639" s="66"/>
      <c r="D639" s="66"/>
      <c r="E639" s="66"/>
      <c r="F639" s="66"/>
      <c r="G639" s="66"/>
      <c r="H639" s="66"/>
      <c r="I639" s="66"/>
      <c r="J639" s="66"/>
      <c r="K639" s="66"/>
      <c r="L639" s="66"/>
      <c r="M639" s="66"/>
      <c r="N639" s="69"/>
      <c r="O639" s="66"/>
      <c r="P639" s="66"/>
      <c r="Q639" s="66"/>
      <c r="R639" s="66"/>
    </row>
    <row r="640" spans="1:18" ht="27.75" hidden="1" customHeight="1" x14ac:dyDescent="0.3">
      <c r="A640" s="67"/>
      <c r="C640" s="65"/>
      <c r="D640" s="65"/>
      <c r="E640" s="65"/>
      <c r="F640" s="65"/>
      <c r="G640" s="65"/>
      <c r="H640" s="65"/>
      <c r="I640" s="65"/>
      <c r="J640" s="65"/>
      <c r="K640" s="65"/>
      <c r="L640" s="65"/>
      <c r="M640" s="65"/>
      <c r="N640" s="64"/>
      <c r="O640" s="65"/>
      <c r="P640" s="65"/>
      <c r="Q640" s="65"/>
      <c r="R640" s="65"/>
    </row>
    <row r="641" spans="1:18" ht="27.75" hidden="1" customHeight="1" x14ac:dyDescent="0.3">
      <c r="A641" s="68"/>
      <c r="C641" s="66"/>
      <c r="D641" s="66"/>
      <c r="E641" s="66"/>
      <c r="F641" s="66"/>
      <c r="G641" s="66"/>
      <c r="H641" s="66"/>
      <c r="I641" s="66"/>
      <c r="J641" s="66"/>
      <c r="K641" s="66"/>
      <c r="L641" s="66"/>
      <c r="M641" s="66"/>
      <c r="N641" s="69"/>
      <c r="O641" s="66"/>
      <c r="P641" s="66"/>
      <c r="Q641" s="66"/>
      <c r="R641" s="66"/>
    </row>
    <row r="642" spans="1:18" ht="16.8" hidden="1" x14ac:dyDescent="0.3">
      <c r="A642" s="67"/>
      <c r="C642" s="65"/>
      <c r="D642" s="65"/>
      <c r="E642" s="65"/>
      <c r="F642" s="65"/>
      <c r="G642" s="65"/>
      <c r="H642" s="65"/>
      <c r="I642" s="65"/>
      <c r="J642" s="65"/>
      <c r="K642" s="65"/>
      <c r="L642" s="65"/>
      <c r="M642" s="65"/>
      <c r="N642" s="64"/>
      <c r="O642" s="65"/>
      <c r="P642" s="65"/>
      <c r="Q642" s="65"/>
      <c r="R642" s="65"/>
    </row>
    <row r="643" spans="1:18" ht="16.8" hidden="1" x14ac:dyDescent="0.3">
      <c r="A643" s="68"/>
      <c r="C643" s="66"/>
      <c r="D643" s="66"/>
      <c r="E643" s="66"/>
      <c r="F643" s="66"/>
      <c r="G643" s="66"/>
      <c r="H643" s="66"/>
      <c r="I643" s="66"/>
      <c r="J643" s="66"/>
      <c r="K643" s="66"/>
      <c r="L643" s="66"/>
      <c r="M643" s="66"/>
      <c r="N643" s="69"/>
      <c r="O643" s="66"/>
      <c r="P643" s="66"/>
      <c r="Q643" s="66"/>
      <c r="R643" s="66"/>
    </row>
    <row r="644" spans="1:18" ht="16.8" hidden="1" x14ac:dyDescent="0.3">
      <c r="A644" s="67"/>
      <c r="C644" s="65"/>
      <c r="D644" s="65"/>
      <c r="E644" s="65"/>
      <c r="F644" s="65"/>
      <c r="G644" s="65"/>
      <c r="H644" s="65"/>
      <c r="I644" s="65"/>
      <c r="J644" s="65"/>
      <c r="K644" s="65"/>
      <c r="L644" s="65"/>
      <c r="M644" s="65"/>
      <c r="N644" s="64"/>
      <c r="O644" s="65"/>
      <c r="P644" s="65"/>
      <c r="Q644" s="65"/>
      <c r="R644" s="65"/>
    </row>
    <row r="645" spans="1:18" ht="16.8" hidden="1" x14ac:dyDescent="0.3">
      <c r="A645" s="68"/>
      <c r="C645" s="66"/>
      <c r="D645" s="66"/>
      <c r="E645" s="66"/>
      <c r="F645" s="66"/>
      <c r="G645" s="66"/>
      <c r="H645" s="66"/>
      <c r="I645" s="66"/>
      <c r="J645" s="66"/>
      <c r="K645" s="66"/>
      <c r="L645" s="66"/>
      <c r="M645" s="66"/>
      <c r="N645" s="69"/>
      <c r="O645" s="66"/>
      <c r="P645" s="66"/>
      <c r="Q645" s="66"/>
      <c r="R645" s="66"/>
    </row>
    <row r="646" spans="1:18" ht="16.8" hidden="1" x14ac:dyDescent="0.3">
      <c r="A646" s="67"/>
      <c r="C646" s="65"/>
      <c r="D646" s="65"/>
      <c r="E646" s="65"/>
      <c r="F646" s="65"/>
      <c r="G646" s="65"/>
      <c r="H646" s="65"/>
      <c r="I646" s="65"/>
      <c r="J646" s="65"/>
      <c r="K646" s="65"/>
      <c r="L646" s="65"/>
      <c r="M646" s="65"/>
      <c r="N646" s="64"/>
      <c r="O646" s="65"/>
      <c r="P646" s="65"/>
      <c r="Q646" s="65"/>
      <c r="R646" s="65"/>
    </row>
    <row r="647" spans="1:18" ht="16.8" hidden="1" x14ac:dyDescent="0.3">
      <c r="A647" s="68"/>
      <c r="C647" s="66"/>
      <c r="D647" s="66"/>
      <c r="E647" s="66"/>
      <c r="F647" s="66"/>
      <c r="G647" s="66"/>
      <c r="H647" s="66"/>
      <c r="I647" s="66"/>
      <c r="J647" s="66"/>
      <c r="K647" s="66"/>
      <c r="L647" s="66"/>
      <c r="M647" s="66"/>
      <c r="N647" s="69"/>
      <c r="O647" s="66"/>
      <c r="P647" s="66"/>
      <c r="Q647" s="66"/>
      <c r="R647" s="66"/>
    </row>
    <row r="648" spans="1:18" ht="16.8" hidden="1" x14ac:dyDescent="0.3">
      <c r="A648" s="67"/>
      <c r="C648" s="65"/>
      <c r="D648" s="65"/>
      <c r="E648" s="65"/>
      <c r="F648" s="65"/>
      <c r="G648" s="65"/>
      <c r="H648" s="65"/>
      <c r="I648" s="65"/>
      <c r="J648" s="65"/>
      <c r="K648" s="65"/>
      <c r="L648" s="65"/>
      <c r="M648" s="65"/>
      <c r="N648" s="64"/>
      <c r="O648" s="65"/>
      <c r="P648" s="65"/>
      <c r="Q648" s="65"/>
      <c r="R648" s="65"/>
    </row>
    <row r="649" spans="1:18" ht="16.8" hidden="1" x14ac:dyDescent="0.3">
      <c r="A649" s="68"/>
      <c r="C649" s="66"/>
      <c r="D649" s="66"/>
      <c r="E649" s="66"/>
      <c r="F649" s="66"/>
      <c r="G649" s="66"/>
      <c r="H649" s="66"/>
      <c r="I649" s="66"/>
      <c r="J649" s="66"/>
      <c r="K649" s="66"/>
      <c r="L649" s="66"/>
      <c r="M649" s="66"/>
      <c r="N649" s="69"/>
      <c r="O649" s="66"/>
      <c r="P649" s="66"/>
      <c r="Q649" s="66"/>
      <c r="R649" s="66"/>
    </row>
    <row r="650" spans="1:18" ht="16.8" hidden="1" x14ac:dyDescent="0.3">
      <c r="A650" s="67"/>
      <c r="C650" s="65"/>
      <c r="D650" s="65"/>
      <c r="E650" s="65"/>
      <c r="F650" s="65"/>
      <c r="G650" s="65"/>
      <c r="H650" s="65"/>
      <c r="I650" s="65"/>
      <c r="J650" s="65"/>
      <c r="K650" s="65"/>
      <c r="L650" s="65"/>
      <c r="M650" s="65"/>
      <c r="N650" s="64"/>
      <c r="O650" s="65"/>
      <c r="P650" s="65"/>
      <c r="Q650" s="65"/>
      <c r="R650" s="65"/>
    </row>
    <row r="651" spans="1:18" ht="16.8" hidden="1" x14ac:dyDescent="0.3">
      <c r="A651" s="68"/>
      <c r="C651" s="66"/>
      <c r="D651" s="66"/>
      <c r="E651" s="66"/>
      <c r="F651" s="66"/>
      <c r="G651" s="66"/>
      <c r="H651" s="66"/>
      <c r="I651" s="66"/>
      <c r="J651" s="66"/>
      <c r="K651" s="66"/>
      <c r="L651" s="66"/>
      <c r="M651" s="66"/>
      <c r="N651" s="69"/>
      <c r="O651" s="66"/>
      <c r="P651" s="66"/>
      <c r="Q651" s="66"/>
      <c r="R651" s="66"/>
    </row>
    <row r="652" spans="1:18" ht="16.8" hidden="1" x14ac:dyDescent="0.3">
      <c r="A652" s="67"/>
      <c r="C652" s="65"/>
      <c r="D652" s="65"/>
      <c r="E652" s="65"/>
      <c r="F652" s="65"/>
      <c r="G652" s="65"/>
      <c r="H652" s="65"/>
      <c r="I652" s="65"/>
      <c r="J652" s="65"/>
      <c r="K652" s="65"/>
      <c r="L652" s="65"/>
      <c r="M652" s="65"/>
      <c r="N652" s="64"/>
      <c r="O652" s="65"/>
      <c r="P652" s="65"/>
      <c r="Q652" s="65"/>
      <c r="R652" s="65"/>
    </row>
    <row r="653" spans="1:18" ht="16.8" hidden="1" x14ac:dyDescent="0.3">
      <c r="A653" s="68"/>
      <c r="C653" s="66"/>
      <c r="D653" s="66"/>
      <c r="E653" s="66"/>
      <c r="F653" s="66"/>
      <c r="G653" s="66"/>
      <c r="H653" s="66"/>
      <c r="I653" s="66"/>
      <c r="J653" s="66"/>
      <c r="K653" s="66"/>
      <c r="L653" s="66"/>
      <c r="M653" s="66"/>
      <c r="N653" s="69"/>
      <c r="O653" s="66"/>
      <c r="P653" s="66"/>
      <c r="Q653" s="66"/>
      <c r="R653" s="66"/>
    </row>
    <row r="654" spans="1:18" ht="16.8" hidden="1" x14ac:dyDescent="0.3">
      <c r="A654" s="67"/>
      <c r="C654" s="65"/>
      <c r="D654" s="65"/>
      <c r="E654" s="65"/>
      <c r="F654" s="65"/>
      <c r="G654" s="65"/>
      <c r="H654" s="65"/>
      <c r="I654" s="65"/>
      <c r="J654" s="65"/>
      <c r="K654" s="65"/>
      <c r="L654" s="65"/>
      <c r="M654" s="65"/>
      <c r="N654" s="64"/>
      <c r="O654" s="65"/>
      <c r="P654" s="65"/>
      <c r="Q654" s="65"/>
      <c r="R654" s="65"/>
    </row>
    <row r="655" spans="1:18" ht="16.8" hidden="1" x14ac:dyDescent="0.3">
      <c r="A655" s="68"/>
      <c r="C655" s="66"/>
      <c r="D655" s="66"/>
      <c r="E655" s="66"/>
      <c r="F655" s="66"/>
      <c r="G655" s="66"/>
      <c r="H655" s="66"/>
      <c r="I655" s="66"/>
      <c r="J655" s="66"/>
      <c r="K655" s="66"/>
      <c r="L655" s="66"/>
      <c r="M655" s="66"/>
      <c r="N655" s="69"/>
      <c r="O655" s="66"/>
      <c r="P655" s="66"/>
      <c r="Q655" s="66"/>
      <c r="R655" s="66"/>
    </row>
    <row r="656" spans="1:18" ht="16.8" hidden="1" x14ac:dyDescent="0.3">
      <c r="A656" s="67"/>
      <c r="C656" s="65"/>
      <c r="D656" s="65"/>
      <c r="E656" s="65"/>
      <c r="F656" s="65"/>
      <c r="G656" s="65"/>
      <c r="H656" s="65"/>
      <c r="I656" s="65"/>
      <c r="J656" s="65"/>
      <c r="K656" s="65"/>
      <c r="L656" s="65"/>
      <c r="M656" s="65"/>
      <c r="N656" s="64"/>
      <c r="O656" s="65"/>
      <c r="P656" s="65"/>
      <c r="Q656" s="65"/>
      <c r="R656" s="65"/>
    </row>
    <row r="657" spans="1:18" ht="16.8" hidden="1" x14ac:dyDescent="0.3">
      <c r="A657" s="68"/>
      <c r="C657" s="66"/>
      <c r="D657" s="66"/>
      <c r="E657" s="66"/>
      <c r="F657" s="66"/>
      <c r="G657" s="66"/>
      <c r="H657" s="66"/>
      <c r="I657" s="66"/>
      <c r="J657" s="66"/>
      <c r="K657" s="66"/>
      <c r="L657" s="66"/>
      <c r="M657" s="66"/>
      <c r="N657" s="69"/>
      <c r="O657" s="66"/>
      <c r="P657" s="66"/>
      <c r="Q657" s="66"/>
      <c r="R657" s="66"/>
    </row>
    <row r="658" spans="1:18" ht="16.8" hidden="1" x14ac:dyDescent="0.3">
      <c r="A658" s="67"/>
      <c r="C658" s="65"/>
      <c r="D658" s="65"/>
      <c r="E658" s="65"/>
      <c r="F658" s="65"/>
      <c r="G658" s="65"/>
      <c r="H658" s="65"/>
      <c r="I658" s="65"/>
      <c r="J658" s="65"/>
      <c r="K658" s="65"/>
      <c r="L658" s="65"/>
      <c r="M658" s="65"/>
      <c r="N658" s="64"/>
      <c r="O658" s="65"/>
      <c r="P658" s="65"/>
      <c r="Q658" s="65"/>
      <c r="R658" s="65"/>
    </row>
    <row r="659" spans="1:18" ht="16.8" hidden="1" x14ac:dyDescent="0.3">
      <c r="A659" s="68"/>
      <c r="C659" s="66"/>
      <c r="D659" s="66"/>
      <c r="E659" s="66"/>
      <c r="F659" s="66"/>
      <c r="G659" s="66"/>
      <c r="H659" s="66"/>
      <c r="I659" s="66"/>
      <c r="J659" s="66"/>
      <c r="K659" s="66"/>
      <c r="L659" s="66"/>
      <c r="M659" s="66"/>
      <c r="N659" s="69"/>
      <c r="O659" s="66"/>
      <c r="P659" s="66"/>
      <c r="Q659" s="66"/>
      <c r="R659" s="66"/>
    </row>
    <row r="660" spans="1:18" ht="16.8" hidden="1" x14ac:dyDescent="0.3">
      <c r="A660" s="67"/>
      <c r="C660" s="65"/>
      <c r="D660" s="65"/>
      <c r="E660" s="65"/>
      <c r="F660" s="65"/>
      <c r="G660" s="65"/>
      <c r="H660" s="65"/>
      <c r="I660" s="65"/>
      <c r="J660" s="65"/>
      <c r="K660" s="65"/>
      <c r="L660" s="65"/>
      <c r="M660" s="65"/>
      <c r="N660" s="64"/>
      <c r="O660" s="65"/>
      <c r="P660" s="65"/>
      <c r="Q660" s="65"/>
      <c r="R660" s="65"/>
    </row>
    <row r="661" spans="1:18" ht="16.8" hidden="1" x14ac:dyDescent="0.3">
      <c r="A661" s="68"/>
      <c r="C661" s="66"/>
      <c r="D661" s="66"/>
      <c r="E661" s="66"/>
      <c r="F661" s="66"/>
      <c r="G661" s="66"/>
      <c r="H661" s="66"/>
      <c r="I661" s="66"/>
      <c r="J661" s="66"/>
      <c r="K661" s="66"/>
      <c r="L661" s="66"/>
      <c r="M661" s="66"/>
      <c r="N661" s="69"/>
      <c r="O661" s="66"/>
      <c r="P661" s="66"/>
      <c r="Q661" s="66"/>
      <c r="R661" s="66"/>
    </row>
    <row r="662" spans="1:18" ht="16.8" hidden="1" x14ac:dyDescent="0.3">
      <c r="A662" s="67"/>
      <c r="C662" s="65"/>
      <c r="D662" s="65"/>
      <c r="E662" s="65"/>
      <c r="F662" s="65"/>
      <c r="G662" s="65"/>
      <c r="H662" s="65"/>
      <c r="I662" s="65"/>
      <c r="J662" s="65"/>
      <c r="K662" s="65"/>
      <c r="L662" s="65"/>
      <c r="M662" s="65"/>
      <c r="N662" s="64"/>
      <c r="O662" s="65"/>
      <c r="P662" s="65"/>
      <c r="Q662" s="65"/>
      <c r="R662" s="65"/>
    </row>
    <row r="663" spans="1:18" ht="16.8" hidden="1" x14ac:dyDescent="0.3">
      <c r="A663" s="68"/>
      <c r="C663" s="66"/>
      <c r="D663" s="66"/>
      <c r="E663" s="66"/>
      <c r="F663" s="66"/>
      <c r="G663" s="66"/>
      <c r="H663" s="66"/>
      <c r="I663" s="66"/>
      <c r="J663" s="66"/>
      <c r="K663" s="66"/>
      <c r="L663" s="66"/>
      <c r="M663" s="66"/>
      <c r="N663" s="69"/>
      <c r="O663" s="66"/>
      <c r="P663" s="66"/>
      <c r="Q663" s="66"/>
      <c r="R663" s="66"/>
    </row>
    <row r="664" spans="1:18" ht="16.8" hidden="1" x14ac:dyDescent="0.3">
      <c r="A664" s="67"/>
      <c r="C664" s="65"/>
      <c r="D664" s="65"/>
      <c r="E664" s="65"/>
      <c r="F664" s="65"/>
      <c r="G664" s="65"/>
      <c r="H664" s="65"/>
      <c r="I664" s="65"/>
      <c r="J664" s="65"/>
      <c r="K664" s="65"/>
      <c r="L664" s="65"/>
      <c r="M664" s="65"/>
      <c r="N664" s="64"/>
      <c r="O664" s="65"/>
      <c r="P664" s="65"/>
      <c r="Q664" s="65"/>
      <c r="R664" s="65"/>
    </row>
    <row r="665" spans="1:18" ht="16.8" hidden="1" x14ac:dyDescent="0.3">
      <c r="A665" s="68"/>
      <c r="C665" s="66"/>
      <c r="D665" s="66"/>
      <c r="E665" s="66"/>
      <c r="F665" s="66"/>
      <c r="G665" s="66"/>
      <c r="H665" s="66"/>
      <c r="I665" s="66"/>
      <c r="J665" s="66"/>
      <c r="K665" s="66"/>
      <c r="L665" s="66"/>
      <c r="M665" s="66"/>
      <c r="N665" s="69"/>
      <c r="O665" s="66"/>
      <c r="P665" s="66"/>
      <c r="Q665" s="66"/>
      <c r="R665" s="66"/>
    </row>
    <row r="666" spans="1:18" ht="16.8" hidden="1" x14ac:dyDescent="0.3">
      <c r="A666" s="67"/>
      <c r="C666" s="65"/>
      <c r="D666" s="65"/>
      <c r="E666" s="65"/>
      <c r="F666" s="65"/>
      <c r="G666" s="65"/>
      <c r="H666" s="65"/>
      <c r="I666" s="65"/>
      <c r="J666" s="65"/>
      <c r="K666" s="65"/>
      <c r="L666" s="65"/>
      <c r="M666" s="65"/>
      <c r="N666" s="64"/>
      <c r="O666" s="65"/>
      <c r="P666" s="65"/>
      <c r="Q666" s="65"/>
      <c r="R666" s="65"/>
    </row>
    <row r="667" spans="1:18" ht="16.8" hidden="1" x14ac:dyDescent="0.3">
      <c r="A667" s="68"/>
      <c r="C667" s="66"/>
      <c r="D667" s="66"/>
      <c r="E667" s="66"/>
      <c r="F667" s="66"/>
      <c r="G667" s="66"/>
      <c r="H667" s="66"/>
      <c r="I667" s="66"/>
      <c r="J667" s="66"/>
      <c r="K667" s="66"/>
      <c r="L667" s="66"/>
      <c r="M667" s="66"/>
      <c r="N667" s="69"/>
      <c r="O667" s="66"/>
      <c r="P667" s="66"/>
      <c r="Q667" s="66"/>
      <c r="R667" s="66"/>
    </row>
    <row r="668" spans="1:18" ht="16.8" hidden="1" x14ac:dyDescent="0.3">
      <c r="A668" s="67"/>
      <c r="C668" s="65"/>
      <c r="D668" s="65"/>
      <c r="E668" s="65"/>
      <c r="F668" s="65"/>
      <c r="G668" s="65"/>
      <c r="H668" s="65"/>
      <c r="I668" s="65"/>
      <c r="J668" s="65"/>
      <c r="K668" s="65"/>
      <c r="L668" s="65"/>
      <c r="M668" s="65"/>
      <c r="N668" s="64"/>
      <c r="O668" s="65"/>
      <c r="P668" s="65"/>
      <c r="Q668" s="65"/>
      <c r="R668" s="65"/>
    </row>
    <row r="669" spans="1:18" ht="16.8" hidden="1" x14ac:dyDescent="0.3">
      <c r="A669" s="68"/>
      <c r="C669" s="66"/>
      <c r="D669" s="66"/>
      <c r="E669" s="66"/>
      <c r="F669" s="66"/>
      <c r="G669" s="66"/>
      <c r="H669" s="66"/>
      <c r="I669" s="66"/>
      <c r="J669" s="66"/>
      <c r="K669" s="66"/>
      <c r="L669" s="66"/>
      <c r="M669" s="66"/>
      <c r="N669" s="69"/>
      <c r="O669" s="66"/>
      <c r="P669" s="66"/>
      <c r="Q669" s="66"/>
      <c r="R669" s="66"/>
    </row>
    <row r="670" spans="1:18" ht="16.8" hidden="1" x14ac:dyDescent="0.3">
      <c r="A670" s="67"/>
      <c r="C670" s="65"/>
      <c r="D670" s="65"/>
      <c r="E670" s="65"/>
      <c r="F670" s="65"/>
      <c r="G670" s="65"/>
      <c r="H670" s="65"/>
      <c r="I670" s="65"/>
      <c r="J670" s="65"/>
      <c r="K670" s="65"/>
      <c r="L670" s="65"/>
      <c r="M670" s="65"/>
      <c r="N670" s="64"/>
      <c r="O670" s="65"/>
      <c r="P670" s="65"/>
      <c r="Q670" s="65"/>
      <c r="R670" s="65"/>
    </row>
    <row r="671" spans="1:18" ht="16.8" hidden="1" x14ac:dyDescent="0.3">
      <c r="A671" s="68"/>
      <c r="C671" s="66"/>
      <c r="D671" s="66"/>
      <c r="E671" s="66"/>
      <c r="F671" s="66"/>
      <c r="G671" s="66"/>
      <c r="H671" s="66"/>
      <c r="I671" s="66"/>
      <c r="J671" s="66"/>
      <c r="K671" s="66"/>
      <c r="L671" s="66"/>
      <c r="M671" s="66"/>
      <c r="N671" s="69"/>
      <c r="O671" s="66"/>
      <c r="P671" s="66"/>
      <c r="Q671" s="66"/>
      <c r="R671" s="66"/>
    </row>
    <row r="672" spans="1:18" ht="16.8" hidden="1" x14ac:dyDescent="0.3">
      <c r="A672" s="67"/>
      <c r="C672" s="65"/>
      <c r="D672" s="65"/>
      <c r="E672" s="65"/>
      <c r="F672" s="65"/>
      <c r="G672" s="65"/>
      <c r="H672" s="65"/>
      <c r="I672" s="65"/>
      <c r="J672" s="65"/>
      <c r="K672" s="65"/>
      <c r="L672" s="65"/>
      <c r="M672" s="65"/>
      <c r="N672" s="64"/>
      <c r="O672" s="65"/>
      <c r="P672" s="65"/>
      <c r="Q672" s="65"/>
      <c r="R672" s="65"/>
    </row>
    <row r="673" spans="1:18" ht="16.8" hidden="1" x14ac:dyDescent="0.3">
      <c r="A673" s="68"/>
      <c r="C673" s="66"/>
      <c r="D673" s="66"/>
      <c r="E673" s="66"/>
      <c r="F673" s="66"/>
      <c r="G673" s="66"/>
      <c r="H673" s="66"/>
      <c r="I673" s="66"/>
      <c r="J673" s="66"/>
      <c r="K673" s="66"/>
      <c r="L673" s="66"/>
      <c r="M673" s="66"/>
      <c r="N673" s="69"/>
      <c r="O673" s="66"/>
      <c r="P673" s="66"/>
      <c r="Q673" s="66"/>
      <c r="R673" s="66"/>
    </row>
    <row r="674" spans="1:18" ht="16.8" hidden="1" x14ac:dyDescent="0.3">
      <c r="A674" s="67"/>
      <c r="C674" s="65"/>
      <c r="D674" s="65"/>
      <c r="E674" s="65"/>
      <c r="F674" s="65"/>
      <c r="G674" s="65"/>
      <c r="H674" s="65"/>
      <c r="I674" s="65"/>
      <c r="J674" s="65"/>
      <c r="K674" s="65"/>
      <c r="L674" s="65"/>
      <c r="M674" s="65"/>
      <c r="N674" s="64"/>
      <c r="O674" s="65"/>
      <c r="P674" s="65"/>
      <c r="Q674" s="65"/>
      <c r="R674" s="65"/>
    </row>
    <row r="675" spans="1:18" ht="16.8" hidden="1" x14ac:dyDescent="0.3">
      <c r="A675" s="68"/>
      <c r="C675" s="66"/>
      <c r="D675" s="66"/>
      <c r="E675" s="66"/>
      <c r="F675" s="66"/>
      <c r="G675" s="66"/>
      <c r="H675" s="66"/>
      <c r="I675" s="66"/>
      <c r="J675" s="66"/>
      <c r="K675" s="66"/>
      <c r="L675" s="66"/>
      <c r="M675" s="66"/>
      <c r="N675" s="69"/>
      <c r="O675" s="66"/>
      <c r="P675" s="66"/>
      <c r="Q675" s="66"/>
      <c r="R675" s="66"/>
    </row>
    <row r="676" spans="1:18" ht="16.8" hidden="1" x14ac:dyDescent="0.3">
      <c r="A676" s="67"/>
      <c r="C676" s="65"/>
      <c r="D676" s="65"/>
      <c r="E676" s="65"/>
      <c r="F676" s="65"/>
      <c r="G676" s="65"/>
      <c r="H676" s="65"/>
      <c r="I676" s="65"/>
      <c r="J676" s="65"/>
      <c r="K676" s="65"/>
      <c r="L676" s="65"/>
      <c r="M676" s="65"/>
      <c r="N676" s="64"/>
      <c r="O676" s="65"/>
      <c r="P676" s="65"/>
      <c r="Q676" s="65"/>
      <c r="R676" s="65"/>
    </row>
    <row r="677" spans="1:18" ht="16.8" hidden="1" x14ac:dyDescent="0.3">
      <c r="A677" s="68"/>
      <c r="C677" s="66"/>
      <c r="D677" s="66"/>
      <c r="E677" s="66"/>
      <c r="F677" s="66"/>
      <c r="G677" s="66"/>
      <c r="H677" s="66"/>
      <c r="I677" s="66"/>
      <c r="J677" s="66"/>
      <c r="K677" s="66"/>
      <c r="L677" s="66"/>
      <c r="M677" s="66"/>
      <c r="N677" s="69"/>
      <c r="O677" s="66"/>
      <c r="P677" s="66"/>
      <c r="Q677" s="66"/>
      <c r="R677" s="66"/>
    </row>
    <row r="678" spans="1:18" ht="16.8" hidden="1" x14ac:dyDescent="0.3">
      <c r="A678" s="67"/>
      <c r="C678" s="65"/>
      <c r="D678" s="65"/>
      <c r="E678" s="65"/>
      <c r="F678" s="65"/>
      <c r="G678" s="65"/>
      <c r="H678" s="65"/>
      <c r="I678" s="65"/>
      <c r="J678" s="65"/>
      <c r="K678" s="65"/>
      <c r="L678" s="65"/>
      <c r="M678" s="65"/>
      <c r="N678" s="64"/>
      <c r="O678" s="65"/>
      <c r="P678" s="65"/>
      <c r="Q678" s="65"/>
      <c r="R678" s="65"/>
    </row>
    <row r="679" spans="1:18" ht="16.8" hidden="1" x14ac:dyDescent="0.3">
      <c r="A679" s="68"/>
      <c r="C679" s="66"/>
      <c r="D679" s="66"/>
      <c r="E679" s="66"/>
      <c r="F679" s="66"/>
      <c r="G679" s="66"/>
      <c r="H679" s="66"/>
      <c r="I679" s="66"/>
      <c r="J679" s="66"/>
      <c r="K679" s="66"/>
      <c r="L679" s="66"/>
      <c r="M679" s="66"/>
      <c r="N679" s="69"/>
      <c r="O679" s="66"/>
      <c r="P679" s="66"/>
      <c r="Q679" s="66"/>
      <c r="R679" s="66"/>
    </row>
    <row r="680" spans="1:18" ht="16.8" hidden="1" x14ac:dyDescent="0.3">
      <c r="A680" s="67"/>
      <c r="C680" s="65"/>
      <c r="D680" s="65"/>
      <c r="E680" s="65"/>
      <c r="F680" s="65"/>
      <c r="G680" s="65"/>
      <c r="H680" s="65"/>
      <c r="I680" s="65"/>
      <c r="J680" s="65"/>
      <c r="K680" s="65"/>
      <c r="L680" s="65"/>
      <c r="M680" s="65"/>
      <c r="N680" s="64"/>
      <c r="O680" s="65"/>
      <c r="P680" s="65"/>
      <c r="Q680" s="65"/>
      <c r="R680" s="65"/>
    </row>
    <row r="681" spans="1:18" ht="16.8" hidden="1" x14ac:dyDescent="0.3">
      <c r="A681" s="68"/>
      <c r="C681" s="66"/>
      <c r="D681" s="66"/>
      <c r="E681" s="66"/>
      <c r="F681" s="66"/>
      <c r="G681" s="66"/>
      <c r="H681" s="66"/>
      <c r="I681" s="66"/>
      <c r="J681" s="66"/>
      <c r="K681" s="66"/>
      <c r="L681" s="66"/>
      <c r="M681" s="66"/>
      <c r="N681" s="69"/>
      <c r="O681" s="66"/>
      <c r="P681" s="66"/>
      <c r="Q681" s="66"/>
      <c r="R681" s="66"/>
    </row>
    <row r="682" spans="1:18" ht="16.8" hidden="1" x14ac:dyDescent="0.3">
      <c r="A682" s="67"/>
      <c r="C682" s="65"/>
      <c r="D682" s="65"/>
      <c r="E682" s="65"/>
      <c r="F682" s="65"/>
      <c r="G682" s="65"/>
      <c r="H682" s="65"/>
      <c r="I682" s="65"/>
      <c r="J682" s="65"/>
      <c r="K682" s="65"/>
      <c r="L682" s="65"/>
      <c r="M682" s="65"/>
      <c r="N682" s="64"/>
      <c r="O682" s="65"/>
      <c r="P682" s="65"/>
      <c r="Q682" s="65"/>
      <c r="R682" s="65"/>
    </row>
    <row r="683" spans="1:18" ht="16.8" hidden="1" x14ac:dyDescent="0.3">
      <c r="A683" s="68"/>
      <c r="C683" s="66"/>
      <c r="D683" s="66"/>
      <c r="E683" s="66"/>
      <c r="F683" s="66"/>
      <c r="G683" s="66"/>
      <c r="H683" s="66"/>
      <c r="I683" s="66"/>
      <c r="J683" s="66"/>
      <c r="K683" s="66"/>
      <c r="L683" s="66"/>
      <c r="M683" s="66"/>
      <c r="N683" s="69"/>
      <c r="O683" s="66"/>
      <c r="P683" s="66"/>
      <c r="Q683" s="66"/>
      <c r="R683" s="66"/>
    </row>
    <row r="684" spans="1:18" ht="16.8" hidden="1" x14ac:dyDescent="0.3">
      <c r="A684" s="67"/>
      <c r="C684" s="65"/>
      <c r="D684" s="65"/>
      <c r="E684" s="65"/>
      <c r="F684" s="65"/>
      <c r="G684" s="65"/>
      <c r="H684" s="65"/>
      <c r="I684" s="65"/>
      <c r="J684" s="65"/>
      <c r="K684" s="65"/>
      <c r="L684" s="65"/>
      <c r="M684" s="65"/>
      <c r="N684" s="64"/>
      <c r="O684" s="65"/>
      <c r="P684" s="65"/>
      <c r="Q684" s="65"/>
      <c r="R684" s="65"/>
    </row>
    <row r="685" spans="1:18" ht="16.8" hidden="1" x14ac:dyDescent="0.3">
      <c r="A685" s="68"/>
      <c r="C685" s="66"/>
      <c r="D685" s="66"/>
      <c r="E685" s="66"/>
      <c r="F685" s="66"/>
      <c r="G685" s="66"/>
      <c r="H685" s="66"/>
      <c r="I685" s="66"/>
      <c r="J685" s="66"/>
      <c r="K685" s="66"/>
      <c r="L685" s="66"/>
      <c r="M685" s="66"/>
      <c r="N685" s="69"/>
      <c r="O685" s="66"/>
      <c r="P685" s="66"/>
      <c r="Q685" s="66"/>
      <c r="R685" s="66"/>
    </row>
    <row r="686" spans="1:18" ht="16.8" hidden="1" x14ac:dyDescent="0.3">
      <c r="A686" s="67"/>
      <c r="C686" s="65"/>
      <c r="D686" s="65"/>
      <c r="E686" s="65"/>
      <c r="F686" s="65"/>
      <c r="G686" s="65"/>
      <c r="H686" s="65"/>
      <c r="I686" s="65"/>
      <c r="J686" s="65"/>
      <c r="K686" s="65"/>
      <c r="L686" s="65"/>
      <c r="M686" s="65"/>
      <c r="N686" s="64"/>
      <c r="O686" s="65"/>
      <c r="P686" s="65"/>
      <c r="Q686" s="65"/>
      <c r="R686" s="65"/>
    </row>
    <row r="687" spans="1:18" ht="16.8" hidden="1" x14ac:dyDescent="0.3">
      <c r="A687" s="68"/>
      <c r="C687" s="66"/>
      <c r="D687" s="66"/>
      <c r="E687" s="66"/>
      <c r="F687" s="66"/>
      <c r="G687" s="66"/>
      <c r="H687" s="66"/>
      <c r="I687" s="66"/>
      <c r="J687" s="66"/>
      <c r="K687" s="66"/>
      <c r="L687" s="66"/>
      <c r="M687" s="66"/>
      <c r="N687" s="69"/>
      <c r="O687" s="66"/>
      <c r="P687" s="66"/>
      <c r="Q687" s="66"/>
      <c r="R687" s="66"/>
    </row>
    <row r="688" spans="1:18" ht="16.8" hidden="1" x14ac:dyDescent="0.3">
      <c r="A688" s="67"/>
      <c r="C688" s="65"/>
      <c r="D688" s="65"/>
      <c r="E688" s="65"/>
      <c r="F688" s="65"/>
      <c r="G688" s="65"/>
      <c r="H688" s="65"/>
      <c r="I688" s="65"/>
      <c r="J688" s="65"/>
      <c r="K688" s="65"/>
      <c r="L688" s="65"/>
      <c r="M688" s="65"/>
      <c r="N688" s="64"/>
      <c r="O688" s="65"/>
      <c r="P688" s="65"/>
      <c r="Q688" s="65"/>
      <c r="R688" s="65"/>
    </row>
    <row r="689" spans="1:18" ht="16.8" hidden="1" x14ac:dyDescent="0.3">
      <c r="A689" s="68"/>
      <c r="C689" s="66"/>
      <c r="D689" s="66"/>
      <c r="E689" s="66"/>
      <c r="F689" s="66"/>
      <c r="G689" s="66"/>
      <c r="H689" s="66"/>
      <c r="I689" s="66"/>
      <c r="J689" s="66"/>
      <c r="K689" s="66"/>
      <c r="L689" s="66"/>
      <c r="M689" s="66"/>
      <c r="N689" s="69"/>
      <c r="O689" s="66"/>
      <c r="P689" s="66"/>
      <c r="Q689" s="66"/>
      <c r="R689" s="66"/>
    </row>
    <row r="690" spans="1:18" ht="16.8" hidden="1" x14ac:dyDescent="0.3">
      <c r="A690" s="67"/>
      <c r="C690" s="65"/>
      <c r="D690" s="65"/>
      <c r="E690" s="65"/>
      <c r="F690" s="65"/>
      <c r="G690" s="65"/>
      <c r="H690" s="65"/>
      <c r="I690" s="65"/>
      <c r="J690" s="65"/>
      <c r="K690" s="65"/>
      <c r="L690" s="65"/>
      <c r="M690" s="65"/>
      <c r="N690" s="64"/>
      <c r="O690" s="65"/>
      <c r="P690" s="65"/>
      <c r="Q690" s="65"/>
      <c r="R690" s="65"/>
    </row>
    <row r="691" spans="1:18" ht="16.8" hidden="1" x14ac:dyDescent="0.3">
      <c r="A691" s="68"/>
      <c r="C691" s="66"/>
      <c r="D691" s="66"/>
      <c r="E691" s="66"/>
      <c r="F691" s="66"/>
      <c r="G691" s="66"/>
      <c r="H691" s="66"/>
      <c r="I691" s="66"/>
      <c r="J691" s="66"/>
      <c r="K691" s="66"/>
      <c r="L691" s="66"/>
      <c r="M691" s="66"/>
      <c r="N691" s="69"/>
      <c r="O691" s="66"/>
      <c r="P691" s="66"/>
      <c r="Q691" s="66"/>
      <c r="R691" s="66"/>
    </row>
    <row r="692" spans="1:18" ht="16.8" hidden="1" x14ac:dyDescent="0.3">
      <c r="A692" s="67"/>
      <c r="C692" s="65"/>
      <c r="D692" s="65"/>
      <c r="E692" s="65"/>
      <c r="F692" s="65"/>
      <c r="G692" s="65"/>
      <c r="H692" s="65"/>
      <c r="I692" s="65"/>
      <c r="J692" s="65"/>
      <c r="K692" s="65"/>
      <c r="L692" s="65"/>
      <c r="M692" s="65"/>
      <c r="N692" s="64"/>
      <c r="O692" s="65"/>
      <c r="P692" s="65"/>
      <c r="Q692" s="65"/>
      <c r="R692" s="65"/>
    </row>
    <row r="693" spans="1:18" ht="16.8" hidden="1" x14ac:dyDescent="0.3">
      <c r="A693" s="68"/>
      <c r="C693" s="66"/>
      <c r="D693" s="66"/>
      <c r="E693" s="66"/>
      <c r="F693" s="66"/>
      <c r="G693" s="66"/>
      <c r="H693" s="66"/>
      <c r="I693" s="66"/>
      <c r="J693" s="66"/>
      <c r="K693" s="66"/>
      <c r="L693" s="66"/>
      <c r="M693" s="66"/>
      <c r="N693" s="69"/>
      <c r="O693" s="66"/>
      <c r="P693" s="66"/>
      <c r="Q693" s="66"/>
      <c r="R693" s="66"/>
    </row>
    <row r="694" spans="1:18" ht="16.8" hidden="1" x14ac:dyDescent="0.3">
      <c r="A694" s="67"/>
      <c r="C694" s="65"/>
      <c r="D694" s="65"/>
      <c r="E694" s="65"/>
      <c r="F694" s="65"/>
      <c r="G694" s="65"/>
      <c r="H694" s="65"/>
      <c r="I694" s="65"/>
      <c r="J694" s="65"/>
      <c r="K694" s="65"/>
      <c r="L694" s="65"/>
      <c r="M694" s="65"/>
      <c r="N694" s="64"/>
      <c r="O694" s="65"/>
      <c r="P694" s="65"/>
      <c r="Q694" s="65"/>
      <c r="R694" s="65"/>
    </row>
    <row r="695" spans="1:18" ht="16.8" hidden="1" x14ac:dyDescent="0.3">
      <c r="A695" s="68"/>
      <c r="C695" s="66"/>
      <c r="D695" s="66"/>
      <c r="E695" s="66"/>
      <c r="F695" s="66"/>
      <c r="G695" s="66"/>
      <c r="H695" s="66"/>
      <c r="I695" s="66"/>
      <c r="J695" s="66"/>
      <c r="K695" s="66"/>
      <c r="L695" s="66"/>
      <c r="M695" s="66"/>
      <c r="N695" s="69"/>
      <c r="O695" s="66"/>
      <c r="P695" s="66"/>
      <c r="Q695" s="66"/>
      <c r="R695" s="66"/>
    </row>
    <row r="696" spans="1:18" ht="16.8" hidden="1" x14ac:dyDescent="0.3">
      <c r="A696" s="67"/>
      <c r="C696" s="65"/>
      <c r="D696" s="65"/>
      <c r="E696" s="65"/>
      <c r="F696" s="65"/>
      <c r="G696" s="65"/>
      <c r="H696" s="65"/>
      <c r="I696" s="65"/>
      <c r="J696" s="65"/>
      <c r="K696" s="65"/>
      <c r="L696" s="65"/>
      <c r="M696" s="65"/>
      <c r="N696" s="64"/>
      <c r="O696" s="65"/>
      <c r="P696" s="65"/>
      <c r="Q696" s="65"/>
      <c r="R696" s="65"/>
    </row>
    <row r="697" spans="1:18" ht="16.8" hidden="1" x14ac:dyDescent="0.3">
      <c r="A697" s="68"/>
      <c r="C697" s="66"/>
      <c r="D697" s="66"/>
      <c r="E697" s="66"/>
      <c r="F697" s="66"/>
      <c r="G697" s="66"/>
      <c r="H697" s="66"/>
      <c r="I697" s="66"/>
      <c r="J697" s="66"/>
      <c r="K697" s="66"/>
      <c r="L697" s="66"/>
      <c r="M697" s="66"/>
      <c r="N697" s="69"/>
      <c r="O697" s="66"/>
      <c r="P697" s="66"/>
      <c r="Q697" s="66"/>
      <c r="R697" s="66"/>
    </row>
    <row r="698" spans="1:18" ht="16.8" hidden="1" x14ac:dyDescent="0.3">
      <c r="A698" s="67"/>
      <c r="C698" s="65"/>
      <c r="D698" s="65"/>
      <c r="E698" s="65"/>
      <c r="F698" s="65"/>
      <c r="G698" s="65"/>
      <c r="H698" s="65"/>
      <c r="I698" s="65"/>
      <c r="J698" s="65"/>
      <c r="K698" s="65"/>
      <c r="L698" s="65"/>
      <c r="M698" s="65"/>
      <c r="N698" s="64"/>
      <c r="O698" s="65"/>
      <c r="P698" s="65"/>
      <c r="Q698" s="65"/>
      <c r="R698" s="65"/>
    </row>
    <row r="699" spans="1:18" ht="16.8" hidden="1" x14ac:dyDescent="0.3">
      <c r="A699" s="68"/>
      <c r="C699" s="66"/>
      <c r="D699" s="66"/>
      <c r="E699" s="66"/>
      <c r="F699" s="66"/>
      <c r="G699" s="66"/>
      <c r="H699" s="66"/>
      <c r="I699" s="66"/>
      <c r="J699" s="66"/>
      <c r="K699" s="66"/>
      <c r="L699" s="66"/>
      <c r="M699" s="66"/>
      <c r="N699" s="69"/>
      <c r="O699" s="66"/>
      <c r="P699" s="66"/>
      <c r="Q699" s="66"/>
      <c r="R699" s="66"/>
    </row>
    <row r="700" spans="1:18" ht="16.8" hidden="1" x14ac:dyDescent="0.3">
      <c r="A700" s="67"/>
      <c r="C700" s="65"/>
      <c r="D700" s="65"/>
      <c r="E700" s="65"/>
      <c r="F700" s="65"/>
      <c r="G700" s="65"/>
      <c r="H700" s="65"/>
      <c r="I700" s="65"/>
      <c r="J700" s="65"/>
      <c r="K700" s="65"/>
      <c r="L700" s="65"/>
      <c r="M700" s="65"/>
      <c r="N700" s="64"/>
      <c r="O700" s="65"/>
      <c r="P700" s="65"/>
      <c r="Q700" s="65"/>
      <c r="R700" s="65"/>
    </row>
    <row r="701" spans="1:18" ht="16.8" hidden="1" x14ac:dyDescent="0.3">
      <c r="A701" s="68"/>
      <c r="C701" s="66"/>
      <c r="D701" s="66"/>
      <c r="E701" s="66"/>
      <c r="F701" s="66"/>
      <c r="G701" s="66"/>
      <c r="H701" s="66"/>
      <c r="I701" s="66"/>
      <c r="J701" s="66"/>
      <c r="K701" s="66"/>
      <c r="L701" s="66"/>
      <c r="M701" s="66"/>
      <c r="N701" s="69"/>
      <c r="O701" s="66"/>
      <c r="P701" s="66"/>
      <c r="Q701" s="66"/>
      <c r="R701" s="66"/>
    </row>
    <row r="702" spans="1:18" ht="16.8" hidden="1" x14ac:dyDescent="0.3">
      <c r="A702" s="67"/>
      <c r="C702" s="65"/>
      <c r="D702" s="65"/>
      <c r="E702" s="65"/>
      <c r="F702" s="65"/>
      <c r="G702" s="65"/>
      <c r="H702" s="65"/>
      <c r="I702" s="65"/>
      <c r="J702" s="65"/>
      <c r="K702" s="65"/>
      <c r="L702" s="65"/>
      <c r="M702" s="65"/>
      <c r="N702" s="64"/>
      <c r="O702" s="65"/>
      <c r="P702" s="65"/>
      <c r="Q702" s="65"/>
      <c r="R702" s="65"/>
    </row>
    <row r="703" spans="1:18" ht="16.8" hidden="1" x14ac:dyDescent="0.3">
      <c r="A703" s="68"/>
      <c r="C703" s="66"/>
      <c r="D703" s="66"/>
      <c r="E703" s="66"/>
      <c r="F703" s="66"/>
      <c r="G703" s="66"/>
      <c r="H703" s="66"/>
      <c r="I703" s="66"/>
      <c r="J703" s="66"/>
      <c r="K703" s="66"/>
      <c r="L703" s="66"/>
      <c r="M703" s="66"/>
      <c r="N703" s="69"/>
      <c r="O703" s="66"/>
      <c r="P703" s="66"/>
      <c r="Q703" s="66"/>
      <c r="R703" s="66"/>
    </row>
    <row r="704" spans="1:18" ht="16.8" hidden="1" x14ac:dyDescent="0.3">
      <c r="A704" s="67"/>
      <c r="C704" s="65"/>
      <c r="D704" s="65"/>
      <c r="E704" s="65"/>
      <c r="F704" s="65"/>
      <c r="G704" s="65"/>
      <c r="H704" s="65"/>
      <c r="I704" s="65"/>
      <c r="J704" s="65"/>
      <c r="K704" s="65"/>
      <c r="L704" s="65"/>
      <c r="M704" s="65"/>
      <c r="N704" s="64"/>
      <c r="O704" s="65"/>
      <c r="P704" s="65"/>
      <c r="Q704" s="65"/>
      <c r="R704" s="65"/>
    </row>
    <row r="705" spans="1:18" ht="16.8" hidden="1" x14ac:dyDescent="0.3">
      <c r="A705" s="68"/>
      <c r="C705" s="66"/>
      <c r="D705" s="66"/>
      <c r="E705" s="66"/>
      <c r="F705" s="66"/>
      <c r="G705" s="66"/>
      <c r="H705" s="66"/>
      <c r="I705" s="66"/>
      <c r="J705" s="66"/>
      <c r="K705" s="66"/>
      <c r="L705" s="66"/>
      <c r="M705" s="66"/>
      <c r="N705" s="69"/>
      <c r="O705" s="66"/>
      <c r="P705" s="66"/>
      <c r="Q705" s="66"/>
      <c r="R705" s="66"/>
    </row>
    <row r="706" spans="1:18" ht="16.8" hidden="1" x14ac:dyDescent="0.3">
      <c r="A706" s="67"/>
      <c r="C706" s="65"/>
      <c r="D706" s="65"/>
      <c r="E706" s="65"/>
      <c r="F706" s="65"/>
      <c r="G706" s="65"/>
      <c r="H706" s="65"/>
      <c r="I706" s="65"/>
      <c r="J706" s="65"/>
      <c r="K706" s="65"/>
      <c r="L706" s="65"/>
      <c r="M706" s="65"/>
      <c r="N706" s="64"/>
      <c r="O706" s="65"/>
      <c r="P706" s="65"/>
      <c r="Q706" s="65"/>
      <c r="R706" s="65"/>
    </row>
    <row r="707" spans="1:18" ht="16.8" hidden="1" x14ac:dyDescent="0.3">
      <c r="A707" s="68"/>
      <c r="C707" s="66"/>
      <c r="D707" s="66"/>
      <c r="E707" s="66"/>
      <c r="F707" s="66"/>
      <c r="G707" s="66"/>
      <c r="H707" s="66"/>
      <c r="I707" s="66"/>
      <c r="J707" s="66"/>
      <c r="K707" s="66"/>
      <c r="L707" s="66"/>
      <c r="M707" s="66"/>
      <c r="N707" s="69"/>
      <c r="O707" s="66"/>
      <c r="P707" s="66"/>
      <c r="Q707" s="66"/>
      <c r="R707" s="66"/>
    </row>
    <row r="708" spans="1:18" ht="16.8" hidden="1" x14ac:dyDescent="0.3">
      <c r="A708" s="67"/>
      <c r="C708" s="65"/>
      <c r="D708" s="65"/>
      <c r="E708" s="65"/>
      <c r="F708" s="65"/>
      <c r="G708" s="65"/>
      <c r="H708" s="65"/>
      <c r="I708" s="65"/>
      <c r="J708" s="65"/>
      <c r="K708" s="65"/>
      <c r="L708" s="65"/>
      <c r="M708" s="65"/>
      <c r="N708" s="64"/>
      <c r="O708" s="65"/>
      <c r="P708" s="65"/>
      <c r="Q708" s="65"/>
      <c r="R708" s="65"/>
    </row>
    <row r="709" spans="1:18" ht="16.8" hidden="1" x14ac:dyDescent="0.3">
      <c r="A709" s="68"/>
      <c r="C709" s="66"/>
      <c r="D709" s="66"/>
      <c r="E709" s="66"/>
      <c r="F709" s="66"/>
      <c r="G709" s="66"/>
      <c r="H709" s="66"/>
      <c r="I709" s="66"/>
      <c r="J709" s="66"/>
      <c r="K709" s="66"/>
      <c r="L709" s="66"/>
      <c r="M709" s="66"/>
      <c r="N709" s="69"/>
      <c r="O709" s="66"/>
      <c r="P709" s="66"/>
      <c r="Q709" s="66"/>
      <c r="R709" s="66"/>
    </row>
    <row r="710" spans="1:18" ht="16.8" hidden="1" x14ac:dyDescent="0.3">
      <c r="A710" s="67"/>
      <c r="C710" s="65"/>
      <c r="D710" s="65"/>
      <c r="E710" s="65"/>
      <c r="F710" s="65"/>
      <c r="G710" s="65"/>
      <c r="H710" s="65"/>
      <c r="I710" s="65"/>
      <c r="J710" s="65"/>
      <c r="K710" s="65"/>
      <c r="L710" s="65"/>
      <c r="M710" s="65"/>
      <c r="N710" s="64"/>
      <c r="O710" s="65"/>
      <c r="P710" s="65"/>
      <c r="Q710" s="65"/>
      <c r="R710" s="65"/>
    </row>
    <row r="711" spans="1:18" ht="16.8" hidden="1" x14ac:dyDescent="0.3">
      <c r="A711" s="68"/>
      <c r="C711" s="66"/>
      <c r="D711" s="66"/>
      <c r="E711" s="66"/>
      <c r="F711" s="66"/>
      <c r="G711" s="66"/>
      <c r="H711" s="66"/>
      <c r="I711" s="66"/>
      <c r="J711" s="66"/>
      <c r="K711" s="66"/>
      <c r="L711" s="66"/>
      <c r="M711" s="66"/>
      <c r="N711" s="69"/>
      <c r="O711" s="66"/>
      <c r="P711" s="66"/>
      <c r="Q711" s="66"/>
      <c r="R711" s="66"/>
    </row>
    <row r="712" spans="1:18" ht="16.8" hidden="1" x14ac:dyDescent="0.3">
      <c r="A712" s="67"/>
      <c r="C712" s="65"/>
      <c r="D712" s="65"/>
      <c r="E712" s="65"/>
      <c r="F712" s="65"/>
      <c r="G712" s="65"/>
      <c r="H712" s="65"/>
      <c r="I712" s="65"/>
      <c r="J712" s="65"/>
      <c r="K712" s="65"/>
      <c r="L712" s="65"/>
      <c r="M712" s="65"/>
      <c r="N712" s="64"/>
      <c r="O712" s="65"/>
      <c r="P712" s="65"/>
      <c r="Q712" s="65"/>
      <c r="R712" s="65"/>
    </row>
    <row r="713" spans="1:18" ht="16.8" hidden="1" x14ac:dyDescent="0.3">
      <c r="A713" s="68"/>
      <c r="C713" s="66"/>
      <c r="D713" s="66"/>
      <c r="E713" s="66"/>
      <c r="F713" s="66"/>
      <c r="G713" s="66"/>
      <c r="H713" s="66"/>
      <c r="I713" s="66"/>
      <c r="J713" s="66"/>
      <c r="K713" s="66"/>
      <c r="L713" s="66"/>
      <c r="M713" s="66"/>
      <c r="N713" s="69"/>
      <c r="O713" s="66"/>
      <c r="P713" s="66"/>
      <c r="Q713" s="66"/>
      <c r="R713" s="66"/>
    </row>
    <row r="714" spans="1:18" ht="16.8" hidden="1" x14ac:dyDescent="0.3">
      <c r="A714" s="67"/>
      <c r="C714" s="65"/>
      <c r="D714" s="65"/>
      <c r="E714" s="65"/>
      <c r="F714" s="65"/>
      <c r="G714" s="65"/>
      <c r="H714" s="65"/>
      <c r="I714" s="65"/>
      <c r="J714" s="65"/>
      <c r="K714" s="65"/>
      <c r="L714" s="65"/>
      <c r="M714" s="65"/>
      <c r="N714" s="64"/>
      <c r="O714" s="65"/>
      <c r="P714" s="65"/>
      <c r="Q714" s="65"/>
      <c r="R714" s="65"/>
    </row>
    <row r="715" spans="1:18" ht="16.8" hidden="1" x14ac:dyDescent="0.3">
      <c r="A715" s="68"/>
      <c r="C715" s="66"/>
      <c r="D715" s="66"/>
      <c r="E715" s="66"/>
      <c r="F715" s="66"/>
      <c r="G715" s="66"/>
      <c r="H715" s="66"/>
      <c r="I715" s="66"/>
      <c r="J715" s="66"/>
      <c r="K715" s="66"/>
      <c r="L715" s="66"/>
      <c r="M715" s="66"/>
      <c r="N715" s="69"/>
      <c r="O715" s="66"/>
      <c r="P715" s="66"/>
      <c r="Q715" s="66"/>
      <c r="R715" s="66"/>
    </row>
    <row r="716" spans="1:18" ht="16.8" hidden="1" x14ac:dyDescent="0.3">
      <c r="A716" s="67"/>
      <c r="C716" s="65"/>
      <c r="D716" s="65"/>
      <c r="E716" s="65"/>
      <c r="F716" s="65"/>
      <c r="G716" s="65"/>
      <c r="H716" s="65"/>
      <c r="I716" s="65"/>
      <c r="J716" s="65"/>
      <c r="K716" s="65"/>
      <c r="L716" s="65"/>
      <c r="M716" s="65"/>
      <c r="N716" s="64"/>
      <c r="O716" s="65"/>
      <c r="P716" s="65"/>
      <c r="Q716" s="65"/>
      <c r="R716" s="65"/>
    </row>
    <row r="717" spans="1:18" ht="16.8" hidden="1" x14ac:dyDescent="0.3">
      <c r="A717" s="68"/>
      <c r="C717" s="66"/>
      <c r="D717" s="66"/>
      <c r="E717" s="66"/>
      <c r="F717" s="66"/>
      <c r="G717" s="66"/>
      <c r="H717" s="66"/>
      <c r="I717" s="66"/>
      <c r="J717" s="66"/>
      <c r="K717" s="66"/>
      <c r="L717" s="66"/>
      <c r="M717" s="66"/>
      <c r="N717" s="69"/>
      <c r="O717" s="66"/>
      <c r="P717" s="66"/>
      <c r="Q717" s="66"/>
      <c r="R717" s="66"/>
    </row>
    <row r="718" spans="1:18" ht="16.8" hidden="1" x14ac:dyDescent="0.3">
      <c r="A718" s="67"/>
      <c r="C718" s="65"/>
      <c r="D718" s="65"/>
      <c r="E718" s="65"/>
      <c r="F718" s="65"/>
      <c r="G718" s="65"/>
      <c r="H718" s="65"/>
      <c r="I718" s="65"/>
      <c r="J718" s="65"/>
      <c r="K718" s="65"/>
      <c r="L718" s="65"/>
      <c r="M718" s="65"/>
      <c r="N718" s="64"/>
      <c r="O718" s="65"/>
      <c r="P718" s="65"/>
      <c r="Q718" s="65"/>
      <c r="R718" s="65"/>
    </row>
    <row r="719" spans="1:18" ht="16.8" hidden="1" x14ac:dyDescent="0.3">
      <c r="A719" s="68"/>
      <c r="C719" s="66"/>
      <c r="D719" s="66"/>
      <c r="E719" s="66"/>
      <c r="F719" s="66"/>
      <c r="G719" s="66"/>
      <c r="H719" s="66"/>
      <c r="I719" s="66"/>
      <c r="J719" s="66"/>
      <c r="K719" s="66"/>
      <c r="L719" s="66"/>
      <c r="M719" s="66"/>
      <c r="N719" s="69"/>
      <c r="O719" s="66"/>
      <c r="P719" s="66"/>
      <c r="Q719" s="66"/>
      <c r="R719" s="66"/>
    </row>
    <row r="720" spans="1:18" ht="16.8" hidden="1" x14ac:dyDescent="0.3">
      <c r="A720" s="67"/>
      <c r="C720" s="65"/>
      <c r="D720" s="65"/>
      <c r="E720" s="65"/>
      <c r="F720" s="65"/>
      <c r="G720" s="65"/>
      <c r="H720" s="65"/>
      <c r="I720" s="65"/>
      <c r="J720" s="65"/>
      <c r="K720" s="65"/>
      <c r="L720" s="65"/>
      <c r="M720" s="65"/>
      <c r="N720" s="64"/>
      <c r="O720" s="65"/>
      <c r="P720" s="65"/>
      <c r="Q720" s="65"/>
      <c r="R720" s="65"/>
    </row>
    <row r="721" spans="1:18" ht="16.8" hidden="1" x14ac:dyDescent="0.3">
      <c r="A721" s="68"/>
      <c r="C721" s="66"/>
      <c r="D721" s="66"/>
      <c r="E721" s="66"/>
      <c r="F721" s="66"/>
      <c r="G721" s="66"/>
      <c r="H721" s="66"/>
      <c r="I721" s="66"/>
      <c r="J721" s="66"/>
      <c r="K721" s="66"/>
      <c r="L721" s="66"/>
      <c r="M721" s="66"/>
      <c r="N721" s="69"/>
      <c r="O721" s="66"/>
      <c r="P721" s="66"/>
      <c r="Q721" s="66"/>
      <c r="R721" s="66"/>
    </row>
    <row r="722" spans="1:18" ht="16.8" hidden="1" x14ac:dyDescent="0.3">
      <c r="A722" s="67"/>
      <c r="C722" s="65"/>
      <c r="D722" s="65"/>
      <c r="E722" s="65"/>
      <c r="F722" s="65"/>
      <c r="G722" s="65"/>
      <c r="H722" s="65"/>
      <c r="I722" s="65"/>
      <c r="J722" s="65"/>
      <c r="K722" s="65"/>
      <c r="L722" s="65"/>
      <c r="M722" s="65"/>
      <c r="N722" s="64"/>
      <c r="O722" s="65"/>
      <c r="P722" s="65"/>
      <c r="Q722" s="65"/>
      <c r="R722" s="65"/>
    </row>
    <row r="723" spans="1:18" ht="16.8" hidden="1" x14ac:dyDescent="0.3">
      <c r="A723" s="68"/>
      <c r="C723" s="66"/>
      <c r="D723" s="66"/>
      <c r="E723" s="66"/>
      <c r="F723" s="66"/>
      <c r="G723" s="66"/>
      <c r="H723" s="66"/>
      <c r="I723" s="66"/>
      <c r="J723" s="66"/>
      <c r="K723" s="66"/>
      <c r="L723" s="66"/>
      <c r="M723" s="66"/>
      <c r="N723" s="69"/>
      <c r="O723" s="66"/>
      <c r="P723" s="66"/>
      <c r="Q723" s="66"/>
      <c r="R723" s="66"/>
    </row>
    <row r="724" spans="1:18" ht="16.8" hidden="1" x14ac:dyDescent="0.3">
      <c r="A724" s="67"/>
      <c r="C724" s="65"/>
      <c r="D724" s="65"/>
      <c r="E724" s="65"/>
      <c r="F724" s="65"/>
      <c r="G724" s="65"/>
      <c r="H724" s="65"/>
      <c r="I724" s="65"/>
      <c r="J724" s="65"/>
      <c r="K724" s="65"/>
      <c r="L724" s="65"/>
      <c r="M724" s="65"/>
      <c r="N724" s="64"/>
      <c r="O724" s="65"/>
      <c r="P724" s="65"/>
      <c r="Q724" s="65"/>
      <c r="R724" s="65"/>
    </row>
    <row r="725" spans="1:18" ht="16.8" hidden="1" x14ac:dyDescent="0.3">
      <c r="A725" s="68"/>
      <c r="C725" s="66"/>
      <c r="D725" s="66"/>
      <c r="E725" s="66"/>
      <c r="F725" s="66"/>
      <c r="G725" s="66"/>
      <c r="H725" s="66"/>
      <c r="I725" s="66"/>
      <c r="J725" s="66"/>
      <c r="K725" s="66"/>
      <c r="L725" s="66"/>
      <c r="M725" s="66"/>
      <c r="N725" s="69"/>
      <c r="O725" s="66"/>
      <c r="P725" s="66"/>
      <c r="Q725" s="66"/>
      <c r="R725" s="66"/>
    </row>
    <row r="726" spans="1:18" ht="16.8" hidden="1" x14ac:dyDescent="0.3">
      <c r="A726" s="67"/>
      <c r="C726" s="65"/>
      <c r="D726" s="65"/>
      <c r="E726" s="65"/>
      <c r="F726" s="65"/>
      <c r="G726" s="65"/>
      <c r="H726" s="65"/>
      <c r="I726" s="65"/>
      <c r="J726" s="65"/>
      <c r="K726" s="65"/>
      <c r="L726" s="65"/>
      <c r="M726" s="65"/>
      <c r="N726" s="64"/>
      <c r="O726" s="65"/>
      <c r="P726" s="65"/>
      <c r="Q726" s="65"/>
      <c r="R726" s="65"/>
    </row>
    <row r="727" spans="1:18" ht="16.8" hidden="1" x14ac:dyDescent="0.3">
      <c r="A727" s="68"/>
      <c r="C727" s="66"/>
      <c r="D727" s="66"/>
      <c r="E727" s="66"/>
      <c r="F727" s="66"/>
      <c r="G727" s="66"/>
      <c r="H727" s="66"/>
      <c r="I727" s="66"/>
      <c r="J727" s="66"/>
      <c r="K727" s="66"/>
      <c r="L727" s="66"/>
      <c r="M727" s="66"/>
      <c r="N727" s="69"/>
      <c r="O727" s="66"/>
      <c r="P727" s="66"/>
      <c r="Q727" s="66"/>
      <c r="R727" s="66"/>
    </row>
    <row r="728" spans="1:18" ht="16.8" hidden="1" x14ac:dyDescent="0.3">
      <c r="A728" s="67"/>
      <c r="C728" s="65"/>
      <c r="D728" s="65"/>
      <c r="E728" s="65"/>
      <c r="F728" s="65"/>
      <c r="G728" s="65"/>
      <c r="H728" s="65"/>
      <c r="I728" s="65"/>
      <c r="J728" s="65"/>
      <c r="K728" s="65"/>
      <c r="L728" s="65"/>
      <c r="M728" s="65"/>
      <c r="N728" s="64"/>
      <c r="O728" s="65"/>
      <c r="P728" s="65"/>
      <c r="Q728" s="65"/>
      <c r="R728" s="65"/>
    </row>
    <row r="729" spans="1:18" ht="16.8" hidden="1" x14ac:dyDescent="0.3">
      <c r="A729" s="68"/>
      <c r="C729" s="66"/>
      <c r="D729" s="66"/>
      <c r="E729" s="66"/>
      <c r="F729" s="66"/>
      <c r="G729" s="66"/>
      <c r="H729" s="66"/>
      <c r="I729" s="66"/>
      <c r="J729" s="66"/>
      <c r="K729" s="66"/>
      <c r="L729" s="66"/>
      <c r="M729" s="66"/>
      <c r="N729" s="69"/>
      <c r="O729" s="66"/>
      <c r="P729" s="66"/>
      <c r="Q729" s="66"/>
      <c r="R729" s="66"/>
    </row>
    <row r="730" spans="1:18" ht="16.8" hidden="1" x14ac:dyDescent="0.3">
      <c r="A730" s="67"/>
      <c r="C730" s="65"/>
      <c r="D730" s="65"/>
      <c r="E730" s="65"/>
      <c r="F730" s="65"/>
      <c r="G730" s="65"/>
      <c r="H730" s="65"/>
      <c r="I730" s="65"/>
      <c r="J730" s="65"/>
      <c r="K730" s="65"/>
      <c r="L730" s="65"/>
      <c r="M730" s="65"/>
      <c r="N730" s="64"/>
      <c r="O730" s="65"/>
      <c r="P730" s="65"/>
      <c r="Q730" s="65"/>
      <c r="R730" s="65"/>
    </row>
    <row r="731" spans="1:18" ht="16.8" hidden="1" x14ac:dyDescent="0.3">
      <c r="A731" s="68"/>
      <c r="C731" s="66"/>
      <c r="D731" s="66"/>
      <c r="E731" s="66"/>
      <c r="F731" s="66"/>
      <c r="G731" s="66"/>
      <c r="H731" s="66"/>
      <c r="I731" s="66"/>
      <c r="J731" s="66"/>
      <c r="K731" s="66"/>
      <c r="L731" s="66"/>
      <c r="M731" s="66"/>
      <c r="N731" s="69"/>
      <c r="O731" s="66"/>
      <c r="P731" s="66"/>
      <c r="Q731" s="66"/>
      <c r="R731" s="66"/>
    </row>
    <row r="732" spans="1:18" ht="16.8" hidden="1" x14ac:dyDescent="0.3">
      <c r="A732" s="67"/>
      <c r="C732" s="65"/>
      <c r="D732" s="65"/>
      <c r="E732" s="65"/>
      <c r="F732" s="65"/>
      <c r="G732" s="65"/>
      <c r="H732" s="65"/>
      <c r="I732" s="65"/>
      <c r="J732" s="65"/>
      <c r="K732" s="65"/>
      <c r="L732" s="65"/>
      <c r="M732" s="65"/>
      <c r="N732" s="64"/>
      <c r="O732" s="65"/>
      <c r="P732" s="65"/>
      <c r="Q732" s="65"/>
      <c r="R732" s="65"/>
    </row>
    <row r="733" spans="1:18" ht="16.8" hidden="1" x14ac:dyDescent="0.3">
      <c r="A733" s="68"/>
      <c r="C733" s="66"/>
      <c r="D733" s="66"/>
      <c r="E733" s="66"/>
      <c r="F733" s="66"/>
      <c r="G733" s="66"/>
      <c r="H733" s="66"/>
      <c r="I733" s="66"/>
      <c r="J733" s="66"/>
      <c r="K733" s="66"/>
      <c r="L733" s="66"/>
      <c r="M733" s="66"/>
      <c r="N733" s="69"/>
      <c r="O733" s="66"/>
      <c r="P733" s="66"/>
      <c r="Q733" s="66"/>
      <c r="R733" s="66"/>
    </row>
    <row r="734" spans="1:18" ht="16.8" hidden="1" x14ac:dyDescent="0.3">
      <c r="A734" s="67"/>
      <c r="C734" s="65"/>
      <c r="D734" s="65"/>
      <c r="E734" s="65"/>
      <c r="F734" s="65"/>
      <c r="G734" s="65"/>
      <c r="H734" s="65"/>
      <c r="I734" s="65"/>
      <c r="J734" s="65"/>
      <c r="K734" s="65"/>
      <c r="L734" s="65"/>
      <c r="M734" s="65"/>
      <c r="N734" s="64"/>
      <c r="O734" s="65"/>
      <c r="P734" s="65"/>
      <c r="Q734" s="65"/>
      <c r="R734" s="65"/>
    </row>
    <row r="735" spans="1:18" ht="16.8" hidden="1" x14ac:dyDescent="0.3">
      <c r="A735" s="68"/>
      <c r="C735" s="66"/>
      <c r="D735" s="66"/>
      <c r="E735" s="66"/>
      <c r="F735" s="66"/>
      <c r="G735" s="66"/>
      <c r="H735" s="66"/>
      <c r="I735" s="66"/>
      <c r="J735" s="66"/>
      <c r="K735" s="66"/>
      <c r="L735" s="66"/>
      <c r="M735" s="66"/>
      <c r="N735" s="69"/>
      <c r="O735" s="66"/>
      <c r="P735" s="66"/>
      <c r="Q735" s="66"/>
      <c r="R735" s="66"/>
    </row>
    <row r="736" spans="1:18" ht="16.8" hidden="1" x14ac:dyDescent="0.3">
      <c r="A736" s="67"/>
      <c r="C736" s="65"/>
      <c r="D736" s="65"/>
      <c r="E736" s="65"/>
      <c r="F736" s="65"/>
      <c r="G736" s="65"/>
      <c r="H736" s="65"/>
      <c r="I736" s="65"/>
      <c r="J736" s="65"/>
      <c r="K736" s="65"/>
      <c r="L736" s="65"/>
      <c r="M736" s="65"/>
      <c r="N736" s="64"/>
      <c r="O736" s="65"/>
      <c r="P736" s="65"/>
      <c r="Q736" s="65"/>
      <c r="R736" s="65"/>
    </row>
    <row r="737" spans="1:18" ht="16.8" hidden="1" x14ac:dyDescent="0.3">
      <c r="A737" s="68"/>
      <c r="C737" s="66"/>
      <c r="D737" s="66"/>
      <c r="E737" s="66"/>
      <c r="F737" s="66"/>
      <c r="G737" s="66"/>
      <c r="H737" s="66"/>
      <c r="I737" s="66"/>
      <c r="J737" s="66"/>
      <c r="K737" s="66"/>
      <c r="L737" s="66"/>
      <c r="M737" s="66"/>
      <c r="N737" s="69"/>
      <c r="O737" s="66"/>
      <c r="P737" s="66"/>
      <c r="Q737" s="66"/>
      <c r="R737" s="66"/>
    </row>
    <row r="738" spans="1:18" ht="16.8" hidden="1" x14ac:dyDescent="0.3">
      <c r="A738" s="67"/>
      <c r="C738" s="65"/>
      <c r="D738" s="65"/>
      <c r="E738" s="65"/>
      <c r="F738" s="65"/>
      <c r="G738" s="65"/>
      <c r="H738" s="65"/>
      <c r="I738" s="65"/>
      <c r="J738" s="65"/>
      <c r="K738" s="65"/>
      <c r="L738" s="65"/>
      <c r="M738" s="65"/>
      <c r="N738" s="64"/>
      <c r="O738" s="65"/>
      <c r="P738" s="65"/>
      <c r="Q738" s="65"/>
      <c r="R738" s="65"/>
    </row>
    <row r="739" spans="1:18" ht="16.8" hidden="1" x14ac:dyDescent="0.3">
      <c r="A739" s="68"/>
      <c r="C739" s="66"/>
      <c r="D739" s="66"/>
      <c r="E739" s="66"/>
      <c r="F739" s="66"/>
      <c r="G739" s="66"/>
      <c r="H739" s="66"/>
      <c r="I739" s="66"/>
      <c r="J739" s="66"/>
      <c r="K739" s="66"/>
      <c r="L739" s="66"/>
      <c r="M739" s="66"/>
      <c r="N739" s="69"/>
      <c r="O739" s="66"/>
      <c r="P739" s="66"/>
      <c r="Q739" s="66"/>
      <c r="R739" s="66"/>
    </row>
    <row r="740" spans="1:18" ht="16.8" hidden="1" x14ac:dyDescent="0.3">
      <c r="A740" s="67"/>
      <c r="C740" s="65"/>
      <c r="D740" s="65"/>
      <c r="E740" s="65"/>
      <c r="F740" s="65"/>
      <c r="G740" s="65"/>
      <c r="H740" s="65"/>
      <c r="I740" s="65"/>
      <c r="J740" s="65"/>
      <c r="K740" s="65"/>
      <c r="L740" s="65"/>
      <c r="M740" s="65"/>
      <c r="N740" s="64"/>
      <c r="O740" s="65"/>
      <c r="P740" s="65"/>
      <c r="Q740" s="65"/>
      <c r="R740" s="65"/>
    </row>
    <row r="741" spans="1:18" ht="16.8" hidden="1" x14ac:dyDescent="0.3">
      <c r="A741" s="68"/>
      <c r="C741" s="66"/>
      <c r="D741" s="66"/>
      <c r="E741" s="66"/>
      <c r="F741" s="66"/>
      <c r="G741" s="66"/>
      <c r="H741" s="66"/>
      <c r="I741" s="66"/>
      <c r="J741" s="66"/>
      <c r="K741" s="66"/>
      <c r="L741" s="66"/>
      <c r="M741" s="66"/>
      <c r="N741" s="69"/>
      <c r="O741" s="66"/>
      <c r="P741" s="66"/>
      <c r="Q741" s="66"/>
      <c r="R741" s="66"/>
    </row>
    <row r="742" spans="1:18" ht="16.8" hidden="1" x14ac:dyDescent="0.3">
      <c r="A742" s="67"/>
      <c r="C742" s="65"/>
      <c r="D742" s="65"/>
      <c r="E742" s="65"/>
      <c r="F742" s="65"/>
      <c r="G742" s="65"/>
      <c r="H742" s="65"/>
      <c r="I742" s="65"/>
      <c r="J742" s="65"/>
      <c r="K742" s="65"/>
      <c r="L742" s="65"/>
      <c r="M742" s="65"/>
      <c r="N742" s="64"/>
      <c r="O742" s="65"/>
      <c r="P742" s="65"/>
      <c r="Q742" s="65"/>
      <c r="R742" s="65"/>
    </row>
    <row r="743" spans="1:18" ht="16.8" hidden="1" x14ac:dyDescent="0.3">
      <c r="A743" s="68"/>
      <c r="C743" s="66"/>
      <c r="D743" s="66"/>
      <c r="E743" s="66"/>
      <c r="F743" s="66"/>
      <c r="G743" s="66"/>
      <c r="H743" s="66"/>
      <c r="I743" s="66"/>
      <c r="J743" s="66"/>
      <c r="K743" s="66"/>
      <c r="L743" s="66"/>
      <c r="M743" s="66"/>
      <c r="N743" s="69"/>
      <c r="O743" s="66"/>
      <c r="P743" s="66"/>
      <c r="Q743" s="66"/>
      <c r="R743" s="66"/>
    </row>
    <row r="744" spans="1:18" ht="16.8" hidden="1" x14ac:dyDescent="0.3">
      <c r="A744" s="67"/>
      <c r="C744" s="65"/>
      <c r="D744" s="65"/>
      <c r="E744" s="65"/>
      <c r="F744" s="65"/>
      <c r="G744" s="65"/>
      <c r="H744" s="65"/>
      <c r="I744" s="65"/>
      <c r="J744" s="65"/>
      <c r="K744" s="65"/>
      <c r="L744" s="65"/>
      <c r="M744" s="65"/>
      <c r="N744" s="64"/>
      <c r="O744" s="65"/>
      <c r="P744" s="65"/>
      <c r="Q744" s="65"/>
      <c r="R744" s="65"/>
    </row>
    <row r="745" spans="1:18" ht="16.8" hidden="1" x14ac:dyDescent="0.3">
      <c r="A745" s="68"/>
      <c r="C745" s="66"/>
      <c r="D745" s="66"/>
      <c r="E745" s="66"/>
      <c r="F745" s="66"/>
      <c r="G745" s="66"/>
      <c r="H745" s="66"/>
      <c r="I745" s="66"/>
      <c r="J745" s="66"/>
      <c r="K745" s="66"/>
      <c r="L745" s="66"/>
      <c r="M745" s="66"/>
      <c r="N745" s="69"/>
      <c r="O745" s="66"/>
      <c r="P745" s="66"/>
      <c r="Q745" s="66"/>
      <c r="R745" s="66"/>
    </row>
    <row r="746" spans="1:18" ht="16.8" hidden="1" x14ac:dyDescent="0.3">
      <c r="A746" s="67"/>
      <c r="C746" s="65"/>
      <c r="D746" s="65"/>
      <c r="E746" s="65"/>
      <c r="F746" s="65"/>
      <c r="G746" s="65"/>
      <c r="H746" s="65"/>
      <c r="I746" s="65"/>
      <c r="J746" s="65"/>
      <c r="K746" s="65"/>
      <c r="L746" s="65"/>
      <c r="M746" s="65"/>
      <c r="N746" s="64"/>
      <c r="O746" s="65"/>
      <c r="P746" s="65"/>
      <c r="Q746" s="65"/>
      <c r="R746" s="65"/>
    </row>
    <row r="747" spans="1:18" ht="16.8" hidden="1" x14ac:dyDescent="0.3">
      <c r="A747" s="68"/>
      <c r="C747" s="66"/>
      <c r="D747" s="66"/>
      <c r="E747" s="66"/>
      <c r="F747" s="66"/>
      <c r="G747" s="66"/>
      <c r="H747" s="66"/>
      <c r="I747" s="66"/>
      <c r="J747" s="66"/>
      <c r="K747" s="66"/>
      <c r="L747" s="66"/>
      <c r="M747" s="66"/>
      <c r="N747" s="69"/>
      <c r="O747" s="66"/>
      <c r="P747" s="66"/>
      <c r="Q747" s="66"/>
      <c r="R747" s="66"/>
    </row>
    <row r="748" spans="1:18" ht="16.8" hidden="1" x14ac:dyDescent="0.3">
      <c r="A748" s="67"/>
      <c r="C748" s="65"/>
      <c r="D748" s="65"/>
      <c r="E748" s="65"/>
      <c r="F748" s="65"/>
      <c r="G748" s="65"/>
      <c r="H748" s="65"/>
      <c r="I748" s="65"/>
      <c r="J748" s="65"/>
      <c r="K748" s="65"/>
      <c r="L748" s="65"/>
      <c r="M748" s="65"/>
      <c r="N748" s="64"/>
      <c r="O748" s="65"/>
      <c r="P748" s="65"/>
      <c r="Q748" s="65"/>
      <c r="R748" s="65"/>
    </row>
    <row r="749" spans="1:18" ht="16.8" hidden="1" x14ac:dyDescent="0.3">
      <c r="A749" s="68"/>
      <c r="C749" s="66"/>
      <c r="D749" s="66"/>
      <c r="E749" s="66"/>
      <c r="F749" s="66"/>
      <c r="G749" s="66"/>
      <c r="H749" s="66"/>
      <c r="I749" s="66"/>
      <c r="J749" s="66"/>
      <c r="K749" s="66"/>
      <c r="L749" s="66"/>
      <c r="M749" s="66"/>
      <c r="N749" s="69"/>
      <c r="O749" s="66"/>
      <c r="P749" s="66"/>
      <c r="Q749" s="66"/>
      <c r="R749" s="66"/>
    </row>
    <row r="750" spans="1:18" ht="16.8" hidden="1" x14ac:dyDescent="0.3">
      <c r="A750" s="67"/>
      <c r="C750" s="65"/>
      <c r="D750" s="65"/>
      <c r="E750" s="65"/>
      <c r="F750" s="65"/>
      <c r="G750" s="65"/>
      <c r="H750" s="65"/>
      <c r="I750" s="65"/>
      <c r="J750" s="65"/>
      <c r="K750" s="65"/>
      <c r="L750" s="65"/>
      <c r="M750" s="65"/>
      <c r="N750" s="64"/>
      <c r="O750" s="65"/>
      <c r="P750" s="65"/>
      <c r="Q750" s="65"/>
      <c r="R750" s="65"/>
    </row>
    <row r="751" spans="1:18" ht="16.8" hidden="1" x14ac:dyDescent="0.3">
      <c r="A751" s="68"/>
      <c r="C751" s="66"/>
      <c r="D751" s="66"/>
      <c r="E751" s="66"/>
      <c r="F751" s="66"/>
      <c r="G751" s="66"/>
      <c r="H751" s="66"/>
      <c r="I751" s="66"/>
      <c r="J751" s="66"/>
      <c r="K751" s="66"/>
      <c r="L751" s="66"/>
      <c r="M751" s="66"/>
      <c r="N751" s="69"/>
      <c r="O751" s="66"/>
      <c r="P751" s="66"/>
      <c r="Q751" s="66"/>
      <c r="R751" s="66"/>
    </row>
    <row r="752" spans="1:18" ht="16.8" hidden="1" x14ac:dyDescent="0.3">
      <c r="A752" s="67"/>
      <c r="C752" s="65"/>
      <c r="D752" s="65"/>
      <c r="E752" s="65"/>
      <c r="F752" s="65"/>
      <c r="G752" s="65"/>
      <c r="H752" s="65"/>
      <c r="I752" s="65"/>
      <c r="J752" s="65"/>
      <c r="K752" s="65"/>
      <c r="L752" s="65"/>
      <c r="M752" s="65"/>
      <c r="N752" s="64"/>
      <c r="O752" s="65"/>
      <c r="P752" s="65"/>
      <c r="Q752" s="65"/>
      <c r="R752" s="65"/>
    </row>
    <row r="753" spans="1:18" ht="16.8" hidden="1" x14ac:dyDescent="0.3">
      <c r="A753" s="68"/>
      <c r="C753" s="66"/>
      <c r="D753" s="66"/>
      <c r="E753" s="66"/>
      <c r="F753" s="66"/>
      <c r="G753" s="66"/>
      <c r="H753" s="66"/>
      <c r="I753" s="66"/>
      <c r="J753" s="66"/>
      <c r="K753" s="66"/>
      <c r="L753" s="66"/>
      <c r="M753" s="66"/>
      <c r="N753" s="69"/>
      <c r="O753" s="66"/>
      <c r="P753" s="66"/>
      <c r="Q753" s="66"/>
      <c r="R753" s="66"/>
    </row>
    <row r="754" spans="1:18" ht="16.8" hidden="1" x14ac:dyDescent="0.3">
      <c r="A754" s="67"/>
      <c r="C754" s="65"/>
      <c r="D754" s="65"/>
      <c r="E754" s="65"/>
      <c r="F754" s="65"/>
      <c r="G754" s="65"/>
      <c r="H754" s="65"/>
      <c r="I754" s="65"/>
      <c r="J754" s="65"/>
      <c r="K754" s="65"/>
      <c r="L754" s="65"/>
      <c r="M754" s="65"/>
      <c r="N754" s="64"/>
      <c r="O754" s="65"/>
      <c r="P754" s="65"/>
      <c r="Q754" s="65"/>
      <c r="R754" s="65"/>
    </row>
    <row r="755" spans="1:18" ht="16.8" hidden="1" x14ac:dyDescent="0.3">
      <c r="A755" s="68"/>
      <c r="C755" s="66"/>
      <c r="D755" s="66"/>
      <c r="E755" s="66"/>
      <c r="F755" s="66"/>
      <c r="G755" s="66"/>
      <c r="H755" s="66"/>
      <c r="I755" s="66"/>
      <c r="J755" s="66"/>
      <c r="K755" s="66"/>
      <c r="L755" s="66"/>
      <c r="M755" s="66"/>
      <c r="N755" s="69"/>
      <c r="O755" s="66"/>
      <c r="P755" s="66"/>
      <c r="Q755" s="66"/>
      <c r="R755" s="66"/>
    </row>
    <row r="756" spans="1:18" ht="16.8" hidden="1" x14ac:dyDescent="0.3">
      <c r="A756" s="67"/>
      <c r="C756" s="65"/>
      <c r="D756" s="65"/>
      <c r="E756" s="65"/>
      <c r="F756" s="65"/>
      <c r="G756" s="65"/>
      <c r="H756" s="65"/>
      <c r="I756" s="65"/>
      <c r="J756" s="65"/>
      <c r="K756" s="65"/>
      <c r="L756" s="65"/>
      <c r="M756" s="65"/>
      <c r="N756" s="64"/>
      <c r="O756" s="65"/>
      <c r="P756" s="65"/>
      <c r="Q756" s="65"/>
      <c r="R756" s="65"/>
    </row>
    <row r="757" spans="1:18" ht="16.8" hidden="1" x14ac:dyDescent="0.3">
      <c r="A757" s="68"/>
      <c r="C757" s="66"/>
      <c r="D757" s="66"/>
      <c r="E757" s="66"/>
      <c r="F757" s="66"/>
      <c r="G757" s="66"/>
      <c r="H757" s="66"/>
      <c r="I757" s="66"/>
      <c r="J757" s="66"/>
      <c r="K757" s="66"/>
      <c r="L757" s="66"/>
      <c r="M757" s="66"/>
      <c r="N757" s="69"/>
      <c r="O757" s="66"/>
      <c r="P757" s="66"/>
      <c r="Q757" s="66"/>
      <c r="R757" s="66"/>
    </row>
    <row r="758" spans="1:18" ht="16.8" hidden="1" x14ac:dyDescent="0.3">
      <c r="A758" s="67"/>
      <c r="C758" s="65"/>
      <c r="D758" s="65"/>
      <c r="E758" s="65"/>
      <c r="F758" s="65"/>
      <c r="G758" s="65"/>
      <c r="H758" s="65"/>
      <c r="I758" s="65"/>
      <c r="J758" s="65"/>
      <c r="K758" s="65"/>
      <c r="L758" s="65"/>
      <c r="M758" s="65"/>
      <c r="N758" s="64"/>
      <c r="O758" s="65"/>
      <c r="P758" s="65"/>
      <c r="Q758" s="65"/>
      <c r="R758" s="65"/>
    </row>
    <row r="759" spans="1:18" ht="16.8" hidden="1" x14ac:dyDescent="0.3">
      <c r="A759" s="68"/>
      <c r="C759" s="66"/>
      <c r="D759" s="66"/>
      <c r="E759" s="66"/>
      <c r="F759" s="66"/>
      <c r="G759" s="66"/>
      <c r="H759" s="66"/>
      <c r="I759" s="66"/>
      <c r="J759" s="66"/>
      <c r="K759" s="66"/>
      <c r="L759" s="66"/>
      <c r="M759" s="66"/>
      <c r="N759" s="69"/>
      <c r="O759" s="66"/>
      <c r="P759" s="66"/>
      <c r="Q759" s="66"/>
      <c r="R759" s="66"/>
    </row>
    <row r="760" spans="1:18" ht="16.8" hidden="1" x14ac:dyDescent="0.3">
      <c r="A760" s="67"/>
      <c r="C760" s="65"/>
      <c r="D760" s="65"/>
      <c r="E760" s="65"/>
      <c r="F760" s="65"/>
      <c r="G760" s="65"/>
      <c r="H760" s="65"/>
      <c r="I760" s="65"/>
      <c r="J760" s="65"/>
      <c r="K760" s="65"/>
      <c r="L760" s="65"/>
      <c r="M760" s="65"/>
      <c r="N760" s="64"/>
      <c r="O760" s="65"/>
      <c r="P760" s="65"/>
      <c r="Q760" s="65"/>
      <c r="R760" s="65"/>
    </row>
    <row r="761" spans="1:18" ht="16.8" hidden="1" x14ac:dyDescent="0.3">
      <c r="A761" s="68"/>
      <c r="C761" s="66"/>
      <c r="D761" s="66"/>
      <c r="E761" s="66"/>
      <c r="F761" s="66"/>
      <c r="G761" s="66"/>
      <c r="H761" s="66"/>
      <c r="I761" s="66"/>
      <c r="J761" s="66"/>
      <c r="K761" s="66"/>
      <c r="L761" s="66"/>
      <c r="M761" s="66"/>
      <c r="N761" s="69"/>
      <c r="O761" s="66"/>
      <c r="P761" s="66"/>
      <c r="Q761" s="66"/>
      <c r="R761" s="66"/>
    </row>
    <row r="762" spans="1:18" ht="16.8" hidden="1" x14ac:dyDescent="0.3">
      <c r="A762" s="67"/>
      <c r="C762" s="65"/>
      <c r="D762" s="65"/>
      <c r="E762" s="65"/>
      <c r="F762" s="65"/>
      <c r="G762" s="65"/>
      <c r="H762" s="65"/>
      <c r="I762" s="65"/>
      <c r="J762" s="65"/>
      <c r="K762" s="65"/>
      <c r="L762" s="65"/>
      <c r="M762" s="65"/>
      <c r="N762" s="64"/>
      <c r="O762" s="65"/>
      <c r="P762" s="65"/>
      <c r="Q762" s="65"/>
      <c r="R762" s="65"/>
    </row>
    <row r="763" spans="1:18" ht="16.8" hidden="1" x14ac:dyDescent="0.3">
      <c r="A763" s="68"/>
      <c r="C763" s="66"/>
      <c r="D763" s="66"/>
      <c r="E763" s="66"/>
      <c r="F763" s="66"/>
      <c r="G763" s="66"/>
      <c r="H763" s="66"/>
      <c r="I763" s="66"/>
      <c r="J763" s="66"/>
      <c r="K763" s="66"/>
      <c r="L763" s="66"/>
      <c r="M763" s="66"/>
      <c r="N763" s="69"/>
      <c r="O763" s="66"/>
      <c r="P763" s="66"/>
      <c r="Q763" s="66"/>
      <c r="R763" s="66"/>
    </row>
    <row r="764" spans="1:18" ht="16.8" hidden="1" x14ac:dyDescent="0.3">
      <c r="A764" s="67"/>
      <c r="C764" s="65"/>
      <c r="D764" s="65"/>
      <c r="E764" s="65"/>
      <c r="F764" s="65"/>
      <c r="G764" s="65"/>
      <c r="H764" s="65"/>
      <c r="I764" s="65"/>
      <c r="J764" s="65"/>
      <c r="K764" s="65"/>
      <c r="L764" s="65"/>
      <c r="M764" s="65"/>
      <c r="N764" s="64"/>
      <c r="O764" s="65"/>
      <c r="P764" s="65"/>
      <c r="Q764" s="65"/>
      <c r="R764" s="65"/>
    </row>
    <row r="765" spans="1:18" ht="16.8" hidden="1" x14ac:dyDescent="0.3">
      <c r="A765" s="68"/>
      <c r="C765" s="66"/>
      <c r="D765" s="66"/>
      <c r="E765" s="66"/>
      <c r="F765" s="66"/>
      <c r="G765" s="66"/>
      <c r="H765" s="66"/>
      <c r="I765" s="66"/>
      <c r="J765" s="66"/>
      <c r="K765" s="66"/>
      <c r="L765" s="66"/>
      <c r="M765" s="66"/>
      <c r="N765" s="69"/>
      <c r="O765" s="66"/>
      <c r="P765" s="66"/>
      <c r="Q765" s="66"/>
      <c r="R765" s="66"/>
    </row>
    <row r="766" spans="1:18" ht="16.8" hidden="1" x14ac:dyDescent="0.3">
      <c r="A766" s="67"/>
      <c r="C766" s="65"/>
      <c r="D766" s="65"/>
      <c r="E766" s="65"/>
      <c r="F766" s="65"/>
      <c r="G766" s="65"/>
      <c r="H766" s="65"/>
      <c r="I766" s="65"/>
      <c r="J766" s="65"/>
      <c r="K766" s="65"/>
      <c r="L766" s="65"/>
      <c r="M766" s="65"/>
      <c r="N766" s="64"/>
      <c r="O766" s="65"/>
      <c r="P766" s="65"/>
      <c r="Q766" s="65"/>
      <c r="R766" s="65"/>
    </row>
    <row r="767" spans="1:18" ht="16.8" hidden="1" x14ac:dyDescent="0.3">
      <c r="A767" s="68"/>
      <c r="C767" s="66"/>
      <c r="D767" s="66"/>
      <c r="E767" s="66"/>
      <c r="F767" s="66"/>
      <c r="G767" s="66"/>
      <c r="H767" s="66"/>
      <c r="I767" s="66"/>
      <c r="J767" s="66"/>
      <c r="K767" s="66"/>
      <c r="L767" s="66"/>
      <c r="M767" s="66"/>
      <c r="N767" s="69"/>
      <c r="O767" s="66"/>
      <c r="P767" s="66"/>
      <c r="Q767" s="66"/>
      <c r="R767" s="66"/>
    </row>
    <row r="768" spans="1:18" ht="16.8" hidden="1" x14ac:dyDescent="0.3">
      <c r="A768" s="67"/>
      <c r="C768" s="65"/>
      <c r="D768" s="65"/>
      <c r="E768" s="65"/>
      <c r="F768" s="65"/>
      <c r="G768" s="65"/>
      <c r="H768" s="65"/>
      <c r="I768" s="65"/>
      <c r="J768" s="65"/>
      <c r="K768" s="65"/>
      <c r="L768" s="65"/>
      <c r="M768" s="65"/>
      <c r="N768" s="64"/>
      <c r="O768" s="65"/>
      <c r="P768" s="65"/>
      <c r="Q768" s="65"/>
      <c r="R768" s="65"/>
    </row>
    <row r="769" spans="1:18" ht="16.8" hidden="1" x14ac:dyDescent="0.3">
      <c r="A769" s="68"/>
      <c r="C769" s="66"/>
      <c r="D769" s="66"/>
      <c r="E769" s="66"/>
      <c r="F769" s="66"/>
      <c r="G769" s="66"/>
      <c r="H769" s="66"/>
      <c r="I769" s="66"/>
      <c r="J769" s="66"/>
      <c r="K769" s="66"/>
      <c r="L769" s="66"/>
      <c r="M769" s="66"/>
      <c r="N769" s="69"/>
      <c r="O769" s="66"/>
      <c r="P769" s="66"/>
      <c r="Q769" s="66"/>
      <c r="R769" s="66"/>
    </row>
    <row r="770" spans="1:18" ht="16.8" hidden="1" x14ac:dyDescent="0.3">
      <c r="A770" s="67"/>
      <c r="C770" s="65"/>
      <c r="D770" s="65"/>
      <c r="E770" s="65"/>
      <c r="F770" s="65"/>
      <c r="G770" s="65"/>
      <c r="H770" s="65"/>
      <c r="I770" s="65"/>
      <c r="J770" s="65"/>
      <c r="K770" s="65"/>
      <c r="L770" s="65"/>
      <c r="M770" s="65"/>
      <c r="N770" s="64"/>
      <c r="O770" s="65"/>
      <c r="P770" s="65"/>
      <c r="Q770" s="65"/>
      <c r="R770" s="65"/>
    </row>
    <row r="771" spans="1:18" ht="16.8" hidden="1" x14ac:dyDescent="0.3">
      <c r="A771" s="68"/>
      <c r="C771" s="66"/>
      <c r="D771" s="66"/>
      <c r="E771" s="66"/>
      <c r="F771" s="66"/>
      <c r="G771" s="66"/>
      <c r="H771" s="66"/>
      <c r="I771" s="66"/>
      <c r="J771" s="66"/>
      <c r="K771" s="66"/>
      <c r="L771" s="66"/>
      <c r="M771" s="66"/>
      <c r="N771" s="69"/>
      <c r="O771" s="66"/>
      <c r="P771" s="66"/>
      <c r="Q771" s="66"/>
      <c r="R771" s="66"/>
    </row>
    <row r="772" spans="1:18" ht="16.8" hidden="1" x14ac:dyDescent="0.3">
      <c r="A772" s="67"/>
      <c r="C772" s="65"/>
      <c r="D772" s="65"/>
      <c r="E772" s="65"/>
      <c r="F772" s="65"/>
      <c r="G772" s="65"/>
      <c r="H772" s="65"/>
      <c r="I772" s="65"/>
      <c r="J772" s="65"/>
      <c r="K772" s="65"/>
      <c r="L772" s="65"/>
      <c r="M772" s="65"/>
      <c r="N772" s="64"/>
      <c r="O772" s="65"/>
      <c r="P772" s="65"/>
      <c r="Q772" s="65"/>
      <c r="R772" s="65"/>
    </row>
    <row r="773" spans="1:18" ht="16.8" hidden="1" x14ac:dyDescent="0.3">
      <c r="A773" s="68"/>
      <c r="C773" s="66"/>
      <c r="D773" s="66"/>
      <c r="E773" s="66"/>
      <c r="F773" s="66"/>
      <c r="G773" s="66"/>
      <c r="H773" s="66"/>
      <c r="I773" s="66"/>
      <c r="J773" s="66"/>
      <c r="K773" s="66"/>
      <c r="L773" s="66"/>
      <c r="M773" s="66"/>
      <c r="N773" s="69"/>
      <c r="O773" s="66"/>
      <c r="P773" s="66"/>
      <c r="Q773" s="66"/>
      <c r="R773" s="66"/>
    </row>
    <row r="774" spans="1:18" ht="16.8" hidden="1" x14ac:dyDescent="0.3">
      <c r="A774" s="67"/>
      <c r="C774" s="65"/>
      <c r="D774" s="65"/>
      <c r="E774" s="65"/>
      <c r="F774" s="65"/>
      <c r="G774" s="65"/>
      <c r="H774" s="65"/>
      <c r="I774" s="65"/>
      <c r="J774" s="65"/>
      <c r="K774" s="65"/>
      <c r="L774" s="65"/>
      <c r="M774" s="65"/>
      <c r="N774" s="64"/>
      <c r="O774" s="65"/>
      <c r="P774" s="65"/>
      <c r="Q774" s="65"/>
      <c r="R774" s="65"/>
    </row>
    <row r="775" spans="1:18" ht="16.8" hidden="1" x14ac:dyDescent="0.3">
      <c r="A775" s="68"/>
      <c r="C775" s="66"/>
      <c r="D775" s="66"/>
      <c r="E775" s="66"/>
      <c r="F775" s="66"/>
      <c r="G775" s="66"/>
      <c r="H775" s="66"/>
      <c r="I775" s="66"/>
      <c r="J775" s="66"/>
      <c r="K775" s="66"/>
      <c r="L775" s="66"/>
      <c r="M775" s="66"/>
      <c r="N775" s="69"/>
      <c r="O775" s="66"/>
      <c r="P775" s="66"/>
      <c r="Q775" s="66"/>
      <c r="R775" s="66"/>
    </row>
    <row r="776" spans="1:18" ht="16.8" hidden="1" x14ac:dyDescent="0.3">
      <c r="A776" s="67"/>
      <c r="C776" s="65"/>
      <c r="D776" s="65"/>
      <c r="E776" s="65"/>
      <c r="F776" s="65"/>
      <c r="G776" s="65"/>
      <c r="H776" s="65"/>
      <c r="I776" s="65"/>
      <c r="J776" s="65"/>
      <c r="K776" s="65"/>
      <c r="L776" s="65"/>
      <c r="M776" s="65"/>
      <c r="N776" s="64"/>
      <c r="O776" s="65"/>
      <c r="P776" s="65"/>
      <c r="Q776" s="65"/>
      <c r="R776" s="65"/>
    </row>
    <row r="777" spans="1:18" ht="16.8" hidden="1" x14ac:dyDescent="0.3">
      <c r="A777" s="68"/>
      <c r="C777" s="66"/>
      <c r="D777" s="66"/>
      <c r="E777" s="66"/>
      <c r="F777" s="66"/>
      <c r="G777" s="66"/>
      <c r="H777" s="66"/>
      <c r="I777" s="66"/>
      <c r="J777" s="66"/>
      <c r="K777" s="66"/>
      <c r="L777" s="66"/>
      <c r="M777" s="66"/>
      <c r="N777" s="69"/>
      <c r="O777" s="66"/>
      <c r="P777" s="66"/>
      <c r="Q777" s="66"/>
      <c r="R777" s="66"/>
    </row>
    <row r="778" spans="1:18" ht="16.8" hidden="1" x14ac:dyDescent="0.3">
      <c r="A778" s="67"/>
      <c r="C778" s="65"/>
      <c r="D778" s="65"/>
      <c r="E778" s="65"/>
      <c r="F778" s="65"/>
      <c r="G778" s="65"/>
      <c r="H778" s="65"/>
      <c r="I778" s="65"/>
      <c r="J778" s="65"/>
      <c r="K778" s="65"/>
      <c r="L778" s="65"/>
      <c r="M778" s="65"/>
      <c r="N778" s="64"/>
      <c r="O778" s="65"/>
      <c r="P778" s="65"/>
      <c r="Q778" s="65"/>
      <c r="R778" s="65"/>
    </row>
    <row r="779" spans="1:18" ht="16.8" hidden="1" x14ac:dyDescent="0.3">
      <c r="A779" s="68"/>
      <c r="C779" s="66"/>
      <c r="D779" s="66"/>
      <c r="E779" s="66"/>
      <c r="F779" s="66"/>
      <c r="G779" s="66"/>
      <c r="H779" s="66"/>
      <c r="I779" s="66"/>
      <c r="J779" s="66"/>
      <c r="K779" s="66"/>
      <c r="L779" s="66"/>
      <c r="M779" s="66"/>
      <c r="N779" s="69"/>
      <c r="O779" s="66"/>
      <c r="P779" s="66"/>
      <c r="Q779" s="66"/>
      <c r="R779" s="66"/>
    </row>
    <row r="780" spans="1:18" ht="16.8" hidden="1" x14ac:dyDescent="0.3">
      <c r="A780" s="67"/>
      <c r="C780" s="65"/>
      <c r="D780" s="65"/>
      <c r="E780" s="65"/>
      <c r="F780" s="65"/>
      <c r="G780" s="65"/>
      <c r="H780" s="65"/>
      <c r="I780" s="65"/>
      <c r="J780" s="65"/>
      <c r="K780" s="65"/>
      <c r="L780" s="65"/>
      <c r="M780" s="65"/>
      <c r="N780" s="64"/>
      <c r="O780" s="65"/>
      <c r="P780" s="65"/>
      <c r="Q780" s="65"/>
      <c r="R780" s="65"/>
    </row>
    <row r="781" spans="1:18" ht="16.8" hidden="1" x14ac:dyDescent="0.3">
      <c r="A781" s="68"/>
      <c r="C781" s="66"/>
      <c r="D781" s="66"/>
      <c r="E781" s="66"/>
      <c r="F781" s="66"/>
      <c r="G781" s="66"/>
      <c r="H781" s="66"/>
      <c r="I781" s="66"/>
      <c r="J781" s="66"/>
      <c r="K781" s="66"/>
      <c r="L781" s="66"/>
      <c r="M781" s="66"/>
      <c r="N781" s="69"/>
      <c r="O781" s="66"/>
      <c r="P781" s="66"/>
      <c r="Q781" s="66"/>
      <c r="R781" s="66"/>
    </row>
    <row r="782" spans="1:18" ht="16.8" hidden="1" x14ac:dyDescent="0.3">
      <c r="A782" s="67"/>
      <c r="C782" s="65"/>
      <c r="D782" s="65"/>
      <c r="E782" s="65"/>
      <c r="F782" s="65"/>
      <c r="G782" s="65"/>
      <c r="H782" s="65"/>
      <c r="I782" s="65"/>
      <c r="J782" s="65"/>
      <c r="K782" s="65"/>
      <c r="L782" s="65"/>
      <c r="M782" s="65"/>
      <c r="N782" s="64"/>
      <c r="O782" s="65"/>
      <c r="P782" s="65"/>
      <c r="Q782" s="65"/>
      <c r="R782" s="65"/>
    </row>
    <row r="783" spans="1:18" ht="16.8" hidden="1" x14ac:dyDescent="0.3">
      <c r="A783" s="68"/>
      <c r="C783" s="66"/>
      <c r="D783" s="66"/>
      <c r="E783" s="66"/>
      <c r="F783" s="66"/>
      <c r="G783" s="66"/>
      <c r="H783" s="66"/>
      <c r="I783" s="66"/>
      <c r="J783" s="66"/>
      <c r="K783" s="66"/>
      <c r="L783" s="66"/>
      <c r="M783" s="66"/>
      <c r="N783" s="69"/>
      <c r="O783" s="66"/>
      <c r="P783" s="66"/>
      <c r="Q783" s="66"/>
      <c r="R783" s="66"/>
    </row>
    <row r="784" spans="1:18" ht="16.8" hidden="1" x14ac:dyDescent="0.3">
      <c r="A784" s="67"/>
      <c r="C784" s="65"/>
      <c r="D784" s="65"/>
      <c r="E784" s="65"/>
      <c r="F784" s="65"/>
      <c r="G784" s="65"/>
      <c r="H784" s="65"/>
      <c r="I784" s="65"/>
      <c r="J784" s="65"/>
      <c r="K784" s="65"/>
      <c r="L784" s="65"/>
      <c r="M784" s="65"/>
      <c r="N784" s="64"/>
      <c r="O784" s="65"/>
      <c r="P784" s="65"/>
      <c r="Q784" s="65"/>
      <c r="R784" s="65"/>
    </row>
    <row r="785" spans="1:18" ht="16.8" hidden="1" x14ac:dyDescent="0.3">
      <c r="A785" s="68"/>
      <c r="C785" s="66"/>
      <c r="D785" s="66"/>
      <c r="E785" s="66"/>
      <c r="F785" s="66"/>
      <c r="G785" s="66"/>
      <c r="H785" s="66"/>
      <c r="I785" s="66"/>
      <c r="J785" s="66"/>
      <c r="K785" s="66"/>
      <c r="L785" s="66"/>
      <c r="M785" s="66"/>
      <c r="N785" s="69"/>
      <c r="O785" s="66"/>
      <c r="P785" s="66"/>
      <c r="Q785" s="66"/>
      <c r="R785" s="66"/>
    </row>
    <row r="786" spans="1:18" ht="16.8" hidden="1" x14ac:dyDescent="0.3">
      <c r="A786" s="67"/>
      <c r="C786" s="65"/>
      <c r="D786" s="65"/>
      <c r="E786" s="65"/>
      <c r="F786" s="65"/>
      <c r="G786" s="65"/>
      <c r="H786" s="65"/>
      <c r="I786" s="65"/>
      <c r="J786" s="65"/>
      <c r="K786" s="65"/>
      <c r="L786" s="65"/>
      <c r="M786" s="65"/>
      <c r="N786" s="64"/>
      <c r="O786" s="65"/>
      <c r="P786" s="65"/>
      <c r="Q786" s="65"/>
      <c r="R786" s="65"/>
    </row>
    <row r="787" spans="1:18" ht="16.8" hidden="1" x14ac:dyDescent="0.3">
      <c r="A787" s="68"/>
      <c r="C787" s="66"/>
      <c r="D787" s="66"/>
      <c r="E787" s="66"/>
      <c r="F787" s="66"/>
      <c r="G787" s="66"/>
      <c r="H787" s="66"/>
      <c r="I787" s="66"/>
      <c r="J787" s="66"/>
      <c r="K787" s="66"/>
      <c r="L787" s="66"/>
      <c r="M787" s="66"/>
      <c r="N787" s="69"/>
      <c r="O787" s="66"/>
      <c r="P787" s="66"/>
      <c r="Q787" s="66"/>
      <c r="R787" s="66"/>
    </row>
    <row r="788" spans="1:18" ht="16.8" hidden="1" x14ac:dyDescent="0.3">
      <c r="A788" s="67"/>
      <c r="C788" s="65"/>
      <c r="D788" s="65"/>
      <c r="E788" s="65"/>
      <c r="F788" s="65"/>
      <c r="G788" s="65"/>
      <c r="H788" s="65"/>
      <c r="I788" s="65"/>
      <c r="J788" s="65"/>
      <c r="K788" s="65"/>
      <c r="L788" s="65"/>
      <c r="M788" s="65"/>
      <c r="N788" s="64"/>
      <c r="O788" s="65"/>
      <c r="P788" s="65"/>
      <c r="Q788" s="65"/>
      <c r="R788" s="65"/>
    </row>
    <row r="789" spans="1:18" ht="16.8" hidden="1" x14ac:dyDescent="0.3">
      <c r="A789" s="68"/>
      <c r="C789" s="66"/>
      <c r="D789" s="66"/>
      <c r="E789" s="66"/>
      <c r="F789" s="66"/>
      <c r="G789" s="66"/>
      <c r="H789" s="66"/>
      <c r="I789" s="66"/>
      <c r="J789" s="66"/>
      <c r="K789" s="66"/>
      <c r="L789" s="66"/>
      <c r="M789" s="66"/>
      <c r="N789" s="69"/>
      <c r="O789" s="66"/>
      <c r="P789" s="66"/>
      <c r="Q789" s="66"/>
      <c r="R789" s="66"/>
    </row>
    <row r="790" spans="1:18" ht="16.8" hidden="1" x14ac:dyDescent="0.3">
      <c r="A790" s="67"/>
      <c r="C790" s="65"/>
      <c r="D790" s="65"/>
      <c r="E790" s="65"/>
      <c r="F790" s="65"/>
      <c r="G790" s="65"/>
      <c r="H790" s="65"/>
      <c r="I790" s="65"/>
      <c r="J790" s="65"/>
      <c r="K790" s="65"/>
      <c r="L790" s="65"/>
      <c r="M790" s="65"/>
      <c r="N790" s="64"/>
      <c r="O790" s="65"/>
      <c r="P790" s="65"/>
      <c r="Q790" s="65"/>
      <c r="R790" s="65"/>
    </row>
    <row r="791" spans="1:18" ht="16.8" hidden="1" x14ac:dyDescent="0.3">
      <c r="A791" s="68"/>
      <c r="C791" s="66"/>
      <c r="D791" s="66"/>
      <c r="E791" s="66"/>
      <c r="F791" s="66"/>
      <c r="G791" s="66"/>
      <c r="H791" s="66"/>
      <c r="I791" s="66"/>
      <c r="J791" s="66"/>
      <c r="K791" s="66"/>
      <c r="L791" s="66"/>
      <c r="M791" s="66"/>
      <c r="N791" s="69"/>
      <c r="O791" s="66"/>
      <c r="P791" s="66"/>
      <c r="Q791" s="66"/>
      <c r="R791" s="66"/>
    </row>
    <row r="792" spans="1:18" ht="16.8" hidden="1" x14ac:dyDescent="0.3">
      <c r="A792" s="67"/>
      <c r="C792" s="65"/>
      <c r="D792" s="65"/>
      <c r="E792" s="65"/>
      <c r="F792" s="65"/>
      <c r="G792" s="65"/>
      <c r="H792" s="65"/>
      <c r="I792" s="65"/>
      <c r="J792" s="65"/>
      <c r="K792" s="65"/>
      <c r="L792" s="65"/>
      <c r="M792" s="65"/>
      <c r="N792" s="64"/>
      <c r="O792" s="65"/>
      <c r="P792" s="65"/>
      <c r="Q792" s="65"/>
      <c r="R792" s="65"/>
    </row>
    <row r="793" spans="1:18" ht="16.8" hidden="1" x14ac:dyDescent="0.3">
      <c r="A793" s="68"/>
      <c r="C793" s="66"/>
      <c r="D793" s="66"/>
      <c r="E793" s="66"/>
      <c r="F793" s="66"/>
      <c r="G793" s="66"/>
      <c r="H793" s="66"/>
      <c r="I793" s="66"/>
      <c r="J793" s="66"/>
      <c r="K793" s="66"/>
      <c r="L793" s="66"/>
      <c r="M793" s="66"/>
      <c r="N793" s="69"/>
      <c r="O793" s="66"/>
      <c r="P793" s="66"/>
      <c r="Q793" s="66"/>
      <c r="R793" s="66"/>
    </row>
    <row r="794" spans="1:18" ht="16.8" hidden="1" x14ac:dyDescent="0.3">
      <c r="A794" s="67"/>
      <c r="C794" s="65"/>
      <c r="D794" s="65"/>
      <c r="E794" s="65"/>
      <c r="F794" s="65"/>
      <c r="G794" s="65"/>
      <c r="H794" s="65"/>
      <c r="I794" s="65"/>
      <c r="J794" s="65"/>
      <c r="K794" s="65"/>
      <c r="L794" s="65"/>
      <c r="M794" s="65"/>
      <c r="N794" s="64"/>
      <c r="O794" s="65"/>
      <c r="P794" s="65"/>
      <c r="Q794" s="65"/>
      <c r="R794" s="65"/>
    </row>
    <row r="795" spans="1:18" ht="16.8" hidden="1" x14ac:dyDescent="0.3">
      <c r="A795" s="68"/>
      <c r="C795" s="66"/>
      <c r="D795" s="66"/>
      <c r="E795" s="66"/>
      <c r="F795" s="66"/>
      <c r="G795" s="66"/>
      <c r="H795" s="66"/>
      <c r="I795" s="66"/>
      <c r="J795" s="66"/>
      <c r="K795" s="66"/>
      <c r="L795" s="66"/>
      <c r="M795" s="66"/>
      <c r="N795" s="69"/>
      <c r="O795" s="66"/>
      <c r="P795" s="66"/>
      <c r="Q795" s="66"/>
      <c r="R795" s="66"/>
    </row>
    <row r="796" spans="1:18" ht="16.8" hidden="1" x14ac:dyDescent="0.3">
      <c r="A796" s="67"/>
      <c r="C796" s="65"/>
      <c r="D796" s="65"/>
      <c r="E796" s="65"/>
      <c r="F796" s="65"/>
      <c r="G796" s="65"/>
      <c r="H796" s="65"/>
      <c r="I796" s="65"/>
      <c r="J796" s="65"/>
      <c r="K796" s="65"/>
      <c r="L796" s="65"/>
      <c r="M796" s="65"/>
      <c r="N796" s="64"/>
      <c r="O796" s="65"/>
      <c r="P796" s="65"/>
      <c r="Q796" s="65"/>
      <c r="R796" s="65"/>
    </row>
    <row r="797" spans="1:18" ht="16.8" hidden="1" x14ac:dyDescent="0.3">
      <c r="A797" s="68"/>
      <c r="C797" s="66"/>
      <c r="D797" s="66"/>
      <c r="E797" s="66"/>
      <c r="F797" s="66"/>
      <c r="G797" s="66"/>
      <c r="H797" s="66"/>
      <c r="I797" s="66"/>
      <c r="J797" s="66"/>
      <c r="K797" s="66"/>
      <c r="L797" s="66"/>
      <c r="M797" s="66"/>
      <c r="N797" s="69"/>
      <c r="O797" s="66"/>
      <c r="P797" s="66"/>
      <c r="Q797" s="66"/>
      <c r="R797" s="66"/>
    </row>
    <row r="798" spans="1:18" ht="16.8" hidden="1" x14ac:dyDescent="0.3">
      <c r="A798" s="67"/>
      <c r="C798" s="65"/>
      <c r="D798" s="65"/>
      <c r="E798" s="65"/>
      <c r="F798" s="65"/>
      <c r="G798" s="65"/>
      <c r="H798" s="65"/>
      <c r="I798" s="65"/>
      <c r="J798" s="65"/>
      <c r="K798" s="65"/>
      <c r="L798" s="65"/>
      <c r="M798" s="65"/>
      <c r="N798" s="64"/>
      <c r="O798" s="65"/>
      <c r="P798" s="65"/>
      <c r="Q798" s="65"/>
      <c r="R798" s="65"/>
    </row>
    <row r="799" spans="1:18" ht="16.8" hidden="1" x14ac:dyDescent="0.3">
      <c r="A799" s="68"/>
      <c r="C799" s="66"/>
      <c r="D799" s="66"/>
      <c r="E799" s="66"/>
      <c r="F799" s="66"/>
      <c r="G799" s="66"/>
      <c r="H799" s="66"/>
      <c r="I799" s="66"/>
      <c r="J799" s="66"/>
      <c r="K799" s="66"/>
      <c r="L799" s="66"/>
      <c r="M799" s="66"/>
      <c r="N799" s="69"/>
      <c r="O799" s="66"/>
      <c r="P799" s="66"/>
      <c r="Q799" s="66"/>
      <c r="R799" s="66"/>
    </row>
    <row r="800" spans="1:18" ht="16.8" hidden="1" x14ac:dyDescent="0.3">
      <c r="A800" s="67"/>
      <c r="C800" s="65"/>
      <c r="D800" s="65"/>
      <c r="E800" s="65"/>
      <c r="F800" s="65"/>
      <c r="G800" s="65"/>
      <c r="H800" s="65"/>
      <c r="I800" s="65"/>
      <c r="J800" s="65"/>
      <c r="K800" s="65"/>
      <c r="L800" s="65"/>
      <c r="M800" s="65"/>
      <c r="N800" s="64"/>
      <c r="O800" s="65"/>
      <c r="P800" s="65"/>
      <c r="Q800" s="65"/>
      <c r="R800" s="65"/>
    </row>
    <row r="801" spans="1:18" ht="16.8" hidden="1" x14ac:dyDescent="0.3">
      <c r="A801" s="68"/>
      <c r="C801" s="66"/>
      <c r="D801" s="66"/>
      <c r="E801" s="66"/>
      <c r="F801" s="66"/>
      <c r="G801" s="66"/>
      <c r="H801" s="66"/>
      <c r="I801" s="66"/>
      <c r="J801" s="66"/>
      <c r="K801" s="66"/>
      <c r="L801" s="66"/>
      <c r="M801" s="66"/>
      <c r="N801" s="69"/>
      <c r="O801" s="66"/>
      <c r="P801" s="66"/>
      <c r="Q801" s="66"/>
      <c r="R801" s="66"/>
    </row>
    <row r="802" spans="1:18" ht="16.8" hidden="1" x14ac:dyDescent="0.3">
      <c r="A802" s="67"/>
      <c r="C802" s="65"/>
      <c r="D802" s="65"/>
      <c r="E802" s="65"/>
      <c r="F802" s="65"/>
      <c r="G802" s="65"/>
      <c r="H802" s="65"/>
      <c r="I802" s="65"/>
      <c r="J802" s="65"/>
      <c r="K802" s="65"/>
      <c r="L802" s="65"/>
      <c r="M802" s="65"/>
      <c r="N802" s="64"/>
      <c r="O802" s="65"/>
      <c r="P802" s="65"/>
      <c r="Q802" s="65"/>
      <c r="R802" s="65"/>
    </row>
    <row r="803" spans="1:18" ht="16.8" hidden="1" x14ac:dyDescent="0.3">
      <c r="A803" s="68"/>
      <c r="C803" s="66"/>
      <c r="D803" s="66"/>
      <c r="E803" s="66"/>
      <c r="F803" s="66"/>
      <c r="G803" s="66"/>
      <c r="H803" s="66"/>
      <c r="I803" s="66"/>
      <c r="J803" s="66"/>
      <c r="K803" s="66"/>
      <c r="L803" s="66"/>
      <c r="M803" s="66"/>
      <c r="N803" s="69"/>
      <c r="O803" s="66"/>
      <c r="P803" s="66"/>
      <c r="Q803" s="66"/>
      <c r="R803" s="66"/>
    </row>
    <row r="804" spans="1:18" ht="16.8" hidden="1" x14ac:dyDescent="0.3">
      <c r="A804" s="67"/>
      <c r="C804" s="65"/>
      <c r="D804" s="65"/>
      <c r="E804" s="65"/>
      <c r="F804" s="65"/>
      <c r="G804" s="65"/>
      <c r="H804" s="65"/>
      <c r="I804" s="65"/>
      <c r="J804" s="65"/>
      <c r="K804" s="65"/>
      <c r="L804" s="65"/>
      <c r="M804" s="65"/>
      <c r="N804" s="64"/>
      <c r="O804" s="65"/>
      <c r="P804" s="65"/>
      <c r="Q804" s="65"/>
      <c r="R804" s="65"/>
    </row>
    <row r="805" spans="1:18" ht="16.8" hidden="1" x14ac:dyDescent="0.3">
      <c r="A805" s="68"/>
      <c r="C805" s="66"/>
      <c r="D805" s="66"/>
      <c r="E805" s="66"/>
      <c r="F805" s="66"/>
      <c r="G805" s="66"/>
      <c r="H805" s="66"/>
      <c r="I805" s="66"/>
      <c r="J805" s="66"/>
      <c r="K805" s="66"/>
      <c r="L805" s="66"/>
      <c r="M805" s="66"/>
      <c r="N805" s="69"/>
      <c r="O805" s="66"/>
      <c r="P805" s="66"/>
      <c r="Q805" s="66"/>
      <c r="R805" s="66"/>
    </row>
    <row r="806" spans="1:18" ht="16.8" hidden="1" x14ac:dyDescent="0.3">
      <c r="A806" s="67"/>
      <c r="C806" s="65"/>
      <c r="D806" s="65"/>
      <c r="E806" s="65"/>
      <c r="F806" s="65"/>
      <c r="G806" s="65"/>
      <c r="H806" s="65"/>
      <c r="I806" s="65"/>
      <c r="J806" s="65"/>
      <c r="K806" s="65"/>
      <c r="L806" s="65"/>
      <c r="M806" s="65"/>
      <c r="N806" s="64"/>
      <c r="O806" s="65"/>
      <c r="P806" s="65"/>
      <c r="Q806" s="65"/>
      <c r="R806" s="65"/>
    </row>
    <row r="807" spans="1:18" ht="16.8" hidden="1" x14ac:dyDescent="0.3">
      <c r="A807" s="68"/>
      <c r="C807" s="66"/>
      <c r="D807" s="66"/>
      <c r="E807" s="66"/>
      <c r="F807" s="66"/>
      <c r="G807" s="66"/>
      <c r="H807" s="66"/>
      <c r="I807" s="66"/>
      <c r="J807" s="66"/>
      <c r="K807" s="66"/>
      <c r="L807" s="66"/>
      <c r="M807" s="66"/>
      <c r="N807" s="69"/>
      <c r="O807" s="66"/>
      <c r="P807" s="66"/>
      <c r="Q807" s="66"/>
      <c r="R807" s="66"/>
    </row>
    <row r="808" spans="1:18" ht="16.8" hidden="1" x14ac:dyDescent="0.3">
      <c r="A808" s="67"/>
      <c r="C808" s="65"/>
      <c r="D808" s="65"/>
      <c r="E808" s="65"/>
      <c r="F808" s="65"/>
      <c r="G808" s="65"/>
      <c r="H808" s="65"/>
      <c r="I808" s="65"/>
      <c r="J808" s="65"/>
      <c r="K808" s="65"/>
      <c r="L808" s="65"/>
      <c r="M808" s="65"/>
      <c r="N808" s="64"/>
      <c r="O808" s="65"/>
      <c r="P808" s="65"/>
      <c r="Q808" s="65"/>
      <c r="R808" s="65"/>
    </row>
    <row r="809" spans="1:18" ht="16.8" hidden="1" x14ac:dyDescent="0.3">
      <c r="A809" s="68"/>
      <c r="C809" s="66"/>
      <c r="D809" s="66"/>
      <c r="E809" s="66"/>
      <c r="F809" s="66"/>
      <c r="G809" s="66"/>
      <c r="H809" s="66"/>
      <c r="I809" s="66"/>
      <c r="J809" s="66"/>
      <c r="K809" s="66"/>
      <c r="L809" s="66"/>
      <c r="M809" s="66"/>
      <c r="N809" s="69"/>
      <c r="O809" s="66"/>
      <c r="P809" s="66"/>
      <c r="Q809" s="66"/>
      <c r="R809" s="66"/>
    </row>
    <row r="810" spans="1:18" ht="16.8" hidden="1" x14ac:dyDescent="0.3">
      <c r="A810" s="67"/>
      <c r="C810" s="65"/>
      <c r="D810" s="65"/>
      <c r="E810" s="65"/>
      <c r="F810" s="65"/>
      <c r="G810" s="65"/>
      <c r="H810" s="65"/>
      <c r="I810" s="65"/>
      <c r="J810" s="65"/>
      <c r="K810" s="65"/>
      <c r="L810" s="65"/>
      <c r="M810" s="65"/>
      <c r="N810" s="64"/>
      <c r="O810" s="65"/>
      <c r="P810" s="65"/>
      <c r="Q810" s="65"/>
      <c r="R810" s="65"/>
    </row>
    <row r="811" spans="1:18" ht="16.8" hidden="1" x14ac:dyDescent="0.3">
      <c r="A811" s="68"/>
      <c r="C811" s="66"/>
      <c r="D811" s="66"/>
      <c r="E811" s="66"/>
      <c r="F811" s="66"/>
      <c r="G811" s="66"/>
      <c r="H811" s="66"/>
      <c r="I811" s="66"/>
      <c r="J811" s="66"/>
      <c r="K811" s="66"/>
      <c r="L811" s="66"/>
      <c r="M811" s="66"/>
      <c r="N811" s="69"/>
      <c r="O811" s="66"/>
      <c r="P811" s="66"/>
      <c r="Q811" s="66"/>
      <c r="R811" s="66"/>
    </row>
    <row r="812" spans="1:18" ht="16.8" hidden="1" x14ac:dyDescent="0.3">
      <c r="A812" s="67"/>
      <c r="C812" s="65"/>
      <c r="D812" s="65"/>
      <c r="E812" s="65"/>
      <c r="F812" s="65"/>
      <c r="G812" s="65"/>
      <c r="H812" s="65"/>
      <c r="I812" s="65"/>
      <c r="J812" s="65"/>
      <c r="K812" s="65"/>
      <c r="L812" s="65"/>
      <c r="M812" s="65"/>
      <c r="N812" s="64"/>
      <c r="O812" s="65"/>
      <c r="P812" s="65"/>
      <c r="Q812" s="65"/>
      <c r="R812" s="65"/>
    </row>
    <row r="813" spans="1:18" ht="16.8" hidden="1" x14ac:dyDescent="0.3">
      <c r="A813" s="68"/>
      <c r="C813" s="66"/>
      <c r="D813" s="66"/>
      <c r="E813" s="66"/>
      <c r="F813" s="66"/>
      <c r="G813" s="66"/>
      <c r="H813" s="66"/>
      <c r="I813" s="66"/>
      <c r="J813" s="66"/>
      <c r="K813" s="66"/>
      <c r="L813" s="66"/>
      <c r="M813" s="66"/>
      <c r="N813" s="69"/>
      <c r="O813" s="66"/>
      <c r="P813" s="66"/>
      <c r="Q813" s="66"/>
      <c r="R813" s="66"/>
    </row>
    <row r="814" spans="1:18" ht="16.8" hidden="1" x14ac:dyDescent="0.3">
      <c r="A814" s="67"/>
      <c r="C814" s="65"/>
      <c r="D814" s="65"/>
      <c r="E814" s="65"/>
      <c r="F814" s="65"/>
      <c r="G814" s="65"/>
      <c r="H814" s="65"/>
      <c r="I814" s="65"/>
      <c r="J814" s="65"/>
      <c r="K814" s="65"/>
      <c r="L814" s="65"/>
      <c r="M814" s="65"/>
      <c r="N814" s="64"/>
      <c r="O814" s="65"/>
      <c r="P814" s="65"/>
      <c r="Q814" s="65"/>
      <c r="R814" s="65"/>
    </row>
    <row r="815" spans="1:18" ht="16.8" hidden="1" x14ac:dyDescent="0.3">
      <c r="A815" s="68"/>
      <c r="C815" s="66"/>
      <c r="D815" s="66"/>
      <c r="E815" s="66"/>
      <c r="F815" s="66"/>
      <c r="G815" s="66"/>
      <c r="H815" s="66"/>
      <c r="I815" s="66"/>
      <c r="J815" s="66"/>
      <c r="K815" s="66"/>
      <c r="L815" s="66"/>
      <c r="M815" s="66"/>
      <c r="N815" s="69"/>
      <c r="O815" s="66"/>
      <c r="P815" s="66"/>
      <c r="Q815" s="66"/>
      <c r="R815" s="66"/>
    </row>
    <row r="816" spans="1:18" ht="16.8" hidden="1" x14ac:dyDescent="0.3">
      <c r="A816" s="67"/>
      <c r="C816" s="65"/>
      <c r="D816" s="65"/>
      <c r="E816" s="65"/>
      <c r="F816" s="65"/>
      <c r="G816" s="65"/>
      <c r="H816" s="65"/>
      <c r="I816" s="65"/>
      <c r="J816" s="65"/>
      <c r="K816" s="65"/>
      <c r="L816" s="65"/>
      <c r="M816" s="65"/>
      <c r="N816" s="64"/>
      <c r="O816" s="65"/>
      <c r="P816" s="65"/>
      <c r="Q816" s="65"/>
      <c r="R816" s="65"/>
    </row>
    <row r="817" spans="1:18" ht="16.8" hidden="1" x14ac:dyDescent="0.3">
      <c r="A817" s="68"/>
      <c r="C817" s="66"/>
      <c r="D817" s="66"/>
      <c r="E817" s="66"/>
      <c r="F817" s="66"/>
      <c r="G817" s="66"/>
      <c r="H817" s="66"/>
      <c r="I817" s="66"/>
      <c r="J817" s="66"/>
      <c r="K817" s="66"/>
      <c r="L817" s="66"/>
      <c r="M817" s="66"/>
      <c r="N817" s="69"/>
      <c r="O817" s="66"/>
      <c r="P817" s="66"/>
      <c r="Q817" s="66"/>
      <c r="R817" s="66"/>
    </row>
    <row r="818" spans="1:18" ht="16.8" hidden="1" x14ac:dyDescent="0.3">
      <c r="A818" s="67"/>
      <c r="C818" s="65"/>
      <c r="D818" s="65"/>
      <c r="E818" s="65"/>
      <c r="F818" s="65"/>
      <c r="G818" s="65"/>
      <c r="H818" s="65"/>
      <c r="I818" s="65"/>
      <c r="J818" s="65"/>
      <c r="K818" s="65"/>
      <c r="L818" s="65"/>
      <c r="M818" s="65"/>
      <c r="N818" s="64"/>
      <c r="O818" s="65"/>
      <c r="P818" s="65"/>
      <c r="Q818" s="65"/>
      <c r="R818" s="65"/>
    </row>
    <row r="819" spans="1:18" ht="16.8" hidden="1" x14ac:dyDescent="0.3">
      <c r="A819" s="68"/>
      <c r="C819" s="66"/>
      <c r="D819" s="66"/>
      <c r="E819" s="66"/>
      <c r="F819" s="66"/>
      <c r="G819" s="66"/>
      <c r="H819" s="66"/>
      <c r="I819" s="66"/>
      <c r="J819" s="66"/>
      <c r="K819" s="66"/>
      <c r="L819" s="66"/>
      <c r="M819" s="66"/>
      <c r="N819" s="69"/>
      <c r="O819" s="66"/>
      <c r="P819" s="66"/>
      <c r="Q819" s="66"/>
      <c r="R819" s="66"/>
    </row>
    <row r="820" spans="1:18" ht="16.8" hidden="1" x14ac:dyDescent="0.3">
      <c r="A820" s="67"/>
      <c r="C820" s="65"/>
      <c r="D820" s="65"/>
      <c r="E820" s="65"/>
      <c r="F820" s="65"/>
      <c r="G820" s="65"/>
      <c r="H820" s="65"/>
      <c r="I820" s="65"/>
      <c r="J820" s="65"/>
      <c r="K820" s="65"/>
      <c r="L820" s="65"/>
      <c r="M820" s="65"/>
      <c r="N820" s="64"/>
      <c r="O820" s="65"/>
      <c r="P820" s="65"/>
      <c r="Q820" s="65"/>
      <c r="R820" s="65"/>
    </row>
    <row r="821" spans="1:18" ht="16.8" hidden="1" x14ac:dyDescent="0.3">
      <c r="A821" s="68"/>
      <c r="C821" s="66"/>
      <c r="D821" s="66"/>
      <c r="E821" s="66"/>
      <c r="F821" s="66"/>
      <c r="G821" s="66"/>
      <c r="H821" s="66"/>
      <c r="I821" s="66"/>
      <c r="J821" s="66"/>
      <c r="K821" s="66"/>
      <c r="L821" s="66"/>
      <c r="M821" s="66"/>
      <c r="N821" s="69"/>
      <c r="O821" s="66"/>
      <c r="P821" s="66"/>
      <c r="Q821" s="66"/>
      <c r="R821" s="66"/>
    </row>
    <row r="822" spans="1:18" ht="16.8" hidden="1" x14ac:dyDescent="0.3">
      <c r="A822" s="67"/>
      <c r="C822" s="65"/>
      <c r="D822" s="65"/>
      <c r="E822" s="65"/>
      <c r="F822" s="65"/>
      <c r="G822" s="65"/>
      <c r="H822" s="65"/>
      <c r="I822" s="65"/>
      <c r="J822" s="65"/>
      <c r="K822" s="65"/>
      <c r="L822" s="65"/>
      <c r="M822" s="65"/>
      <c r="N822" s="64"/>
      <c r="O822" s="65"/>
      <c r="P822" s="65"/>
      <c r="Q822" s="65"/>
      <c r="R822" s="65"/>
    </row>
    <row r="823" spans="1:18" ht="16.8" hidden="1" x14ac:dyDescent="0.3">
      <c r="A823" s="68"/>
      <c r="C823" s="66"/>
      <c r="D823" s="66"/>
      <c r="E823" s="66"/>
      <c r="F823" s="66"/>
      <c r="G823" s="66"/>
      <c r="H823" s="66"/>
      <c r="I823" s="66"/>
      <c r="J823" s="66"/>
      <c r="K823" s="66"/>
      <c r="L823" s="66"/>
      <c r="M823" s="66"/>
      <c r="N823" s="69"/>
      <c r="O823" s="66"/>
      <c r="P823" s="66"/>
      <c r="Q823" s="66"/>
      <c r="R823" s="66"/>
    </row>
    <row r="824" spans="1:18" ht="16.8" hidden="1" x14ac:dyDescent="0.3">
      <c r="A824" s="67"/>
      <c r="C824" s="65"/>
      <c r="D824" s="65"/>
      <c r="E824" s="65"/>
      <c r="F824" s="65"/>
      <c r="G824" s="65"/>
      <c r="H824" s="65"/>
      <c r="I824" s="65"/>
      <c r="J824" s="65"/>
      <c r="K824" s="65"/>
      <c r="L824" s="65"/>
      <c r="M824" s="65"/>
      <c r="N824" s="64"/>
      <c r="O824" s="65"/>
      <c r="P824" s="65"/>
      <c r="Q824" s="65"/>
      <c r="R824" s="65"/>
    </row>
    <row r="825" spans="1:18" ht="16.8" hidden="1" x14ac:dyDescent="0.3">
      <c r="A825" s="68"/>
      <c r="C825" s="66"/>
      <c r="D825" s="66"/>
      <c r="E825" s="66"/>
      <c r="F825" s="66"/>
      <c r="G825" s="66"/>
      <c r="H825" s="66"/>
      <c r="I825" s="66"/>
      <c r="J825" s="66"/>
      <c r="K825" s="66"/>
      <c r="L825" s="66"/>
      <c r="M825" s="66"/>
      <c r="N825" s="69"/>
      <c r="O825" s="66"/>
      <c r="P825" s="66"/>
      <c r="Q825" s="66"/>
      <c r="R825" s="66"/>
    </row>
    <row r="826" spans="1:18" ht="16.8" hidden="1" x14ac:dyDescent="0.3">
      <c r="A826" s="67"/>
      <c r="C826" s="65"/>
      <c r="D826" s="65"/>
      <c r="E826" s="65"/>
      <c r="F826" s="65"/>
      <c r="G826" s="65"/>
      <c r="H826" s="65"/>
      <c r="I826" s="65"/>
      <c r="J826" s="65"/>
      <c r="K826" s="65"/>
      <c r="L826" s="65"/>
      <c r="M826" s="65"/>
      <c r="N826" s="64"/>
      <c r="O826" s="65"/>
      <c r="P826" s="65"/>
      <c r="Q826" s="65"/>
      <c r="R826" s="65"/>
    </row>
    <row r="827" spans="1:18" ht="16.8" hidden="1" x14ac:dyDescent="0.3">
      <c r="A827" s="68"/>
      <c r="C827" s="66"/>
      <c r="D827" s="66"/>
      <c r="E827" s="66"/>
      <c r="F827" s="66"/>
      <c r="G827" s="66"/>
      <c r="H827" s="66"/>
      <c r="I827" s="66"/>
      <c r="J827" s="66"/>
      <c r="K827" s="66"/>
      <c r="L827" s="66"/>
      <c r="M827" s="66"/>
      <c r="N827" s="69"/>
      <c r="O827" s="66"/>
      <c r="P827" s="66"/>
      <c r="Q827" s="66"/>
      <c r="R827" s="66"/>
    </row>
    <row r="828" spans="1:18" ht="16.8" hidden="1" x14ac:dyDescent="0.3">
      <c r="A828" s="67"/>
      <c r="C828" s="65"/>
      <c r="D828" s="65"/>
      <c r="E828" s="65"/>
      <c r="F828" s="65"/>
      <c r="G828" s="65"/>
      <c r="H828" s="65"/>
      <c r="I828" s="65"/>
      <c r="J828" s="65"/>
      <c r="K828" s="65"/>
      <c r="L828" s="65"/>
      <c r="M828" s="65"/>
      <c r="N828" s="64"/>
      <c r="O828" s="65"/>
      <c r="P828" s="65"/>
      <c r="Q828" s="65"/>
      <c r="R828" s="65"/>
    </row>
    <row r="829" spans="1:18" ht="16.8" hidden="1" x14ac:dyDescent="0.3">
      <c r="A829" s="68"/>
      <c r="C829" s="66"/>
      <c r="D829" s="66"/>
      <c r="E829" s="66"/>
      <c r="F829" s="66"/>
      <c r="G829" s="66"/>
      <c r="H829" s="66"/>
      <c r="I829" s="66"/>
      <c r="J829" s="66"/>
      <c r="K829" s="66"/>
      <c r="L829" s="66"/>
      <c r="M829" s="66"/>
      <c r="N829" s="69"/>
      <c r="O829" s="66"/>
      <c r="P829" s="66"/>
      <c r="Q829" s="66"/>
      <c r="R829" s="66"/>
    </row>
    <row r="830" spans="1:18" ht="16.8" hidden="1" x14ac:dyDescent="0.3">
      <c r="A830" s="67"/>
      <c r="C830" s="65"/>
      <c r="D830" s="65"/>
      <c r="E830" s="65"/>
      <c r="F830" s="65"/>
      <c r="G830" s="65"/>
      <c r="H830" s="65"/>
      <c r="I830" s="65"/>
      <c r="J830" s="65"/>
      <c r="K830" s="65"/>
      <c r="L830" s="65"/>
      <c r="M830" s="65"/>
      <c r="N830" s="64"/>
      <c r="O830" s="65"/>
      <c r="P830" s="65"/>
      <c r="Q830" s="65"/>
      <c r="R830" s="65"/>
    </row>
    <row r="831" spans="1:18" ht="16.8" hidden="1" x14ac:dyDescent="0.3">
      <c r="A831" s="68"/>
      <c r="C831" s="66"/>
      <c r="D831" s="66"/>
      <c r="E831" s="66"/>
      <c r="F831" s="66"/>
      <c r="G831" s="66"/>
      <c r="H831" s="66"/>
      <c r="I831" s="66"/>
      <c r="J831" s="66"/>
      <c r="K831" s="66"/>
      <c r="L831" s="66"/>
      <c r="M831" s="66"/>
      <c r="N831" s="69"/>
      <c r="O831" s="66"/>
      <c r="P831" s="66"/>
      <c r="Q831" s="66"/>
      <c r="R831" s="66"/>
    </row>
    <row r="832" spans="1:18" ht="16.8" hidden="1" x14ac:dyDescent="0.3">
      <c r="A832" s="67"/>
      <c r="C832" s="65"/>
      <c r="D832" s="65"/>
      <c r="E832" s="65"/>
      <c r="F832" s="65"/>
      <c r="G832" s="65"/>
      <c r="H832" s="65"/>
      <c r="I832" s="65"/>
      <c r="J832" s="65"/>
      <c r="K832" s="65"/>
      <c r="L832" s="65"/>
      <c r="M832" s="65"/>
      <c r="N832" s="64"/>
      <c r="O832" s="65"/>
      <c r="P832" s="65"/>
      <c r="Q832" s="65"/>
      <c r="R832" s="65"/>
    </row>
    <row r="833" spans="1:18" ht="16.8" hidden="1" x14ac:dyDescent="0.3">
      <c r="A833" s="68"/>
      <c r="C833" s="66"/>
      <c r="D833" s="66"/>
      <c r="E833" s="66"/>
      <c r="F833" s="66"/>
      <c r="G833" s="66"/>
      <c r="H833" s="66"/>
      <c r="I833" s="66"/>
      <c r="J833" s="66"/>
      <c r="K833" s="66"/>
      <c r="L833" s="66"/>
      <c r="M833" s="66"/>
      <c r="N833" s="69"/>
      <c r="O833" s="66"/>
      <c r="P833" s="66"/>
      <c r="Q833" s="66"/>
      <c r="R833" s="66"/>
    </row>
    <row r="834" spans="1:18" ht="16.8" hidden="1" x14ac:dyDescent="0.3">
      <c r="A834" s="67"/>
      <c r="C834" s="65"/>
      <c r="D834" s="65"/>
      <c r="E834" s="65"/>
      <c r="F834" s="65"/>
      <c r="G834" s="65"/>
      <c r="H834" s="65"/>
      <c r="I834" s="65"/>
      <c r="J834" s="65"/>
      <c r="K834" s="65"/>
      <c r="L834" s="65"/>
      <c r="M834" s="65"/>
      <c r="N834" s="64"/>
      <c r="O834" s="65"/>
      <c r="P834" s="65"/>
      <c r="Q834" s="65"/>
      <c r="R834" s="65"/>
    </row>
    <row r="835" spans="1:18" ht="16.8" hidden="1" x14ac:dyDescent="0.3">
      <c r="A835" s="68"/>
      <c r="C835" s="66"/>
      <c r="D835" s="66"/>
      <c r="E835" s="66"/>
      <c r="F835" s="66"/>
      <c r="G835" s="66"/>
      <c r="H835" s="66"/>
      <c r="I835" s="66"/>
      <c r="J835" s="66"/>
      <c r="K835" s="66"/>
      <c r="L835" s="66"/>
      <c r="M835" s="66"/>
      <c r="N835" s="69"/>
      <c r="O835" s="66"/>
      <c r="P835" s="66"/>
      <c r="Q835" s="66"/>
      <c r="R835" s="66"/>
    </row>
    <row r="836" spans="1:18" ht="16.8" hidden="1" x14ac:dyDescent="0.3">
      <c r="A836" s="67"/>
      <c r="C836" s="65"/>
      <c r="D836" s="65"/>
      <c r="E836" s="65"/>
      <c r="F836" s="65"/>
      <c r="G836" s="65"/>
      <c r="H836" s="65"/>
      <c r="I836" s="65"/>
      <c r="J836" s="65"/>
      <c r="K836" s="65"/>
      <c r="L836" s="65"/>
      <c r="M836" s="65"/>
      <c r="N836" s="64"/>
      <c r="O836" s="65"/>
      <c r="P836" s="65"/>
      <c r="Q836" s="65"/>
      <c r="R836" s="65"/>
    </row>
    <row r="837" spans="1:18" ht="16.8" hidden="1" x14ac:dyDescent="0.3">
      <c r="A837" s="68"/>
      <c r="C837" s="66"/>
      <c r="D837" s="66"/>
      <c r="E837" s="66"/>
      <c r="F837" s="66"/>
      <c r="G837" s="66"/>
      <c r="H837" s="66"/>
      <c r="I837" s="66"/>
      <c r="J837" s="66"/>
      <c r="K837" s="66"/>
      <c r="L837" s="66"/>
      <c r="M837" s="66"/>
      <c r="N837" s="69"/>
      <c r="O837" s="66"/>
      <c r="P837" s="66"/>
      <c r="Q837" s="66"/>
      <c r="R837" s="66"/>
    </row>
    <row r="838" spans="1:18" ht="16.8" hidden="1" x14ac:dyDescent="0.3">
      <c r="A838" s="67"/>
      <c r="C838" s="65"/>
      <c r="D838" s="65"/>
      <c r="E838" s="65"/>
      <c r="F838" s="65"/>
      <c r="G838" s="65"/>
      <c r="H838" s="65"/>
      <c r="I838" s="65"/>
      <c r="J838" s="65"/>
      <c r="K838" s="65"/>
      <c r="L838" s="65"/>
      <c r="M838" s="65"/>
      <c r="N838" s="64"/>
      <c r="O838" s="65"/>
      <c r="P838" s="65"/>
      <c r="Q838" s="65"/>
      <c r="R838" s="65"/>
    </row>
    <row r="839" spans="1:18" ht="16.8" hidden="1" x14ac:dyDescent="0.3">
      <c r="A839" s="68"/>
      <c r="C839" s="66"/>
      <c r="D839" s="66"/>
      <c r="E839" s="66"/>
      <c r="F839" s="66"/>
      <c r="G839" s="66"/>
      <c r="H839" s="66"/>
      <c r="I839" s="66"/>
      <c r="J839" s="66"/>
      <c r="K839" s="66"/>
      <c r="L839" s="66"/>
      <c r="M839" s="66"/>
      <c r="N839" s="69"/>
      <c r="O839" s="66"/>
      <c r="P839" s="66"/>
      <c r="Q839" s="66"/>
      <c r="R839" s="66"/>
    </row>
    <row r="840" spans="1:18" ht="16.8" hidden="1" x14ac:dyDescent="0.3">
      <c r="A840" s="67"/>
      <c r="C840" s="65"/>
      <c r="D840" s="65"/>
      <c r="E840" s="65"/>
      <c r="F840" s="65"/>
      <c r="G840" s="65"/>
      <c r="H840" s="65"/>
      <c r="I840" s="65"/>
      <c r="J840" s="65"/>
      <c r="K840" s="65"/>
      <c r="L840" s="65"/>
      <c r="M840" s="65"/>
      <c r="N840" s="64"/>
      <c r="O840" s="65"/>
      <c r="P840" s="65"/>
      <c r="Q840" s="65"/>
      <c r="R840" s="65"/>
    </row>
    <row r="841" spans="1:18" ht="16.8" hidden="1" x14ac:dyDescent="0.3">
      <c r="A841" s="68"/>
      <c r="C841" s="66"/>
      <c r="D841" s="66"/>
      <c r="E841" s="66"/>
      <c r="F841" s="66"/>
      <c r="G841" s="66"/>
      <c r="H841" s="66"/>
      <c r="I841" s="66"/>
      <c r="J841" s="66"/>
      <c r="K841" s="66"/>
      <c r="L841" s="66"/>
      <c r="M841" s="66"/>
      <c r="N841" s="69"/>
      <c r="O841" s="66"/>
      <c r="P841" s="66"/>
      <c r="Q841" s="66"/>
      <c r="R841" s="66"/>
    </row>
    <row r="842" spans="1:18" ht="16.8" hidden="1" x14ac:dyDescent="0.3">
      <c r="A842" s="67"/>
      <c r="C842" s="65"/>
      <c r="D842" s="65"/>
      <c r="E842" s="65"/>
      <c r="F842" s="65"/>
      <c r="G842" s="65"/>
      <c r="H842" s="65"/>
      <c r="I842" s="65"/>
      <c r="J842" s="65"/>
      <c r="K842" s="65"/>
      <c r="L842" s="65"/>
      <c r="M842" s="65"/>
      <c r="N842" s="64"/>
      <c r="O842" s="65"/>
      <c r="P842" s="65"/>
      <c r="Q842" s="65"/>
      <c r="R842" s="65"/>
    </row>
    <row r="843" spans="1:18" ht="16.8" hidden="1" x14ac:dyDescent="0.3">
      <c r="A843" s="68"/>
      <c r="C843" s="66"/>
      <c r="D843" s="66"/>
      <c r="E843" s="66"/>
      <c r="F843" s="66"/>
      <c r="G843" s="66"/>
      <c r="H843" s="66"/>
      <c r="I843" s="66"/>
      <c r="J843" s="66"/>
      <c r="K843" s="66"/>
      <c r="L843" s="66"/>
      <c r="M843" s="66"/>
      <c r="N843" s="69"/>
      <c r="O843" s="66"/>
      <c r="P843" s="66"/>
      <c r="Q843" s="66"/>
      <c r="R843" s="66"/>
    </row>
    <row r="844" spans="1:18" ht="16.8" hidden="1" x14ac:dyDescent="0.3">
      <c r="A844" s="67"/>
      <c r="C844" s="65"/>
      <c r="D844" s="65"/>
      <c r="E844" s="65"/>
      <c r="F844" s="65"/>
      <c r="G844" s="65"/>
      <c r="H844" s="65"/>
      <c r="I844" s="65"/>
      <c r="J844" s="65"/>
      <c r="K844" s="65"/>
      <c r="L844" s="65"/>
      <c r="M844" s="65"/>
      <c r="N844" s="64"/>
      <c r="O844" s="65"/>
      <c r="P844" s="65"/>
      <c r="Q844" s="65"/>
      <c r="R844" s="65"/>
    </row>
    <row r="845" spans="1:18" ht="16.8" hidden="1" x14ac:dyDescent="0.3">
      <c r="A845" s="68"/>
      <c r="C845" s="66"/>
      <c r="D845" s="66"/>
      <c r="E845" s="66"/>
      <c r="F845" s="66"/>
      <c r="G845" s="66"/>
      <c r="H845" s="66"/>
      <c r="I845" s="66"/>
      <c r="J845" s="66"/>
      <c r="K845" s="66"/>
      <c r="L845" s="66"/>
      <c r="M845" s="66"/>
      <c r="N845" s="69"/>
      <c r="O845" s="66"/>
      <c r="P845" s="66"/>
      <c r="Q845" s="66"/>
      <c r="R845" s="66"/>
    </row>
    <row r="846" spans="1:18" ht="16.8" hidden="1" x14ac:dyDescent="0.3">
      <c r="A846" s="67"/>
      <c r="C846" s="65"/>
      <c r="D846" s="65"/>
      <c r="E846" s="65"/>
      <c r="F846" s="65"/>
      <c r="G846" s="65"/>
      <c r="H846" s="65"/>
      <c r="I846" s="65"/>
      <c r="J846" s="65"/>
      <c r="K846" s="65"/>
      <c r="L846" s="65"/>
      <c r="M846" s="65"/>
      <c r="N846" s="64"/>
      <c r="O846" s="65"/>
      <c r="P846" s="65"/>
      <c r="Q846" s="65"/>
      <c r="R846" s="65"/>
    </row>
    <row r="847" spans="1:18" ht="16.8" hidden="1" x14ac:dyDescent="0.3">
      <c r="A847" s="68"/>
      <c r="C847" s="66"/>
      <c r="D847" s="66"/>
      <c r="E847" s="66"/>
      <c r="F847" s="66"/>
      <c r="G847" s="66"/>
      <c r="H847" s="66"/>
      <c r="I847" s="66"/>
      <c r="J847" s="66"/>
      <c r="K847" s="66"/>
      <c r="L847" s="66"/>
      <c r="M847" s="66"/>
      <c r="N847" s="69"/>
      <c r="O847" s="66"/>
      <c r="P847" s="66"/>
      <c r="Q847" s="66"/>
      <c r="R847" s="66"/>
    </row>
    <row r="848" spans="1:18" ht="16.8" hidden="1" x14ac:dyDescent="0.3">
      <c r="A848" s="67"/>
      <c r="C848" s="65"/>
      <c r="D848" s="65"/>
      <c r="E848" s="65"/>
      <c r="F848" s="65"/>
      <c r="G848" s="65"/>
      <c r="H848" s="65"/>
      <c r="I848" s="65"/>
      <c r="J848" s="65"/>
      <c r="K848" s="65"/>
      <c r="L848" s="65"/>
      <c r="M848" s="65"/>
      <c r="N848" s="64"/>
      <c r="O848" s="65"/>
      <c r="P848" s="65"/>
      <c r="Q848" s="65"/>
      <c r="R848" s="65"/>
    </row>
    <row r="849" spans="1:18" ht="16.8" hidden="1" x14ac:dyDescent="0.3">
      <c r="A849" s="68"/>
      <c r="C849" s="66"/>
      <c r="D849" s="66"/>
      <c r="E849" s="66"/>
      <c r="F849" s="66"/>
      <c r="G849" s="66"/>
      <c r="H849" s="66"/>
      <c r="I849" s="66"/>
      <c r="J849" s="66"/>
      <c r="K849" s="66"/>
      <c r="L849" s="66"/>
      <c r="M849" s="66"/>
      <c r="N849" s="69"/>
      <c r="O849" s="66"/>
      <c r="P849" s="66"/>
      <c r="Q849" s="66"/>
      <c r="R849" s="66"/>
    </row>
    <row r="850" spans="1:18" ht="16.8" hidden="1" x14ac:dyDescent="0.3">
      <c r="A850" s="67"/>
      <c r="C850" s="65"/>
      <c r="D850" s="65"/>
      <c r="E850" s="65"/>
      <c r="F850" s="65"/>
      <c r="G850" s="65"/>
      <c r="H850" s="65"/>
      <c r="I850" s="65"/>
      <c r="J850" s="65"/>
      <c r="K850" s="65"/>
      <c r="L850" s="65"/>
      <c r="M850" s="65"/>
      <c r="N850" s="64"/>
      <c r="O850" s="65"/>
      <c r="P850" s="65"/>
      <c r="Q850" s="65"/>
      <c r="R850" s="65"/>
    </row>
    <row r="851" spans="1:18" ht="16.8" hidden="1" x14ac:dyDescent="0.3">
      <c r="A851" s="68"/>
      <c r="C851" s="66"/>
      <c r="D851" s="66"/>
      <c r="E851" s="66"/>
      <c r="F851" s="66"/>
      <c r="G851" s="66"/>
      <c r="H851" s="66"/>
      <c r="I851" s="66"/>
      <c r="J851" s="66"/>
      <c r="K851" s="66"/>
      <c r="L851" s="66"/>
      <c r="M851" s="66"/>
      <c r="N851" s="69"/>
      <c r="O851" s="66"/>
      <c r="P851" s="66"/>
      <c r="Q851" s="66"/>
      <c r="R851" s="66"/>
    </row>
    <row r="852" spans="1:18" ht="16.8" hidden="1" x14ac:dyDescent="0.3">
      <c r="A852" s="67"/>
      <c r="C852" s="65"/>
      <c r="D852" s="65"/>
      <c r="E852" s="65"/>
      <c r="F852" s="65"/>
      <c r="G852" s="65"/>
      <c r="H852" s="65"/>
      <c r="I852" s="65"/>
      <c r="J852" s="65"/>
      <c r="K852" s="65"/>
      <c r="L852" s="65"/>
      <c r="M852" s="65"/>
      <c r="N852" s="64"/>
      <c r="O852" s="65"/>
      <c r="P852" s="65"/>
      <c r="Q852" s="65"/>
      <c r="R852" s="65"/>
    </row>
    <row r="853" spans="1:18" ht="16.8" hidden="1" x14ac:dyDescent="0.3">
      <c r="A853" s="68"/>
      <c r="C853" s="66"/>
      <c r="D853" s="66"/>
      <c r="E853" s="66"/>
      <c r="F853" s="66"/>
      <c r="G853" s="66"/>
      <c r="H853" s="66"/>
      <c r="I853" s="66"/>
      <c r="J853" s="66"/>
      <c r="K853" s="66"/>
      <c r="L853" s="66"/>
      <c r="M853" s="66"/>
      <c r="N853" s="69"/>
      <c r="O853" s="66"/>
      <c r="P853" s="66"/>
      <c r="Q853" s="66"/>
      <c r="R853" s="66"/>
    </row>
    <row r="854" spans="1:18" ht="16.8" hidden="1" x14ac:dyDescent="0.3">
      <c r="A854" s="67"/>
      <c r="C854" s="65"/>
      <c r="D854" s="65"/>
      <c r="E854" s="65"/>
      <c r="F854" s="65"/>
      <c r="G854" s="65"/>
      <c r="H854" s="65"/>
      <c r="I854" s="65"/>
      <c r="J854" s="65"/>
      <c r="K854" s="65"/>
      <c r="L854" s="65"/>
      <c r="M854" s="65"/>
      <c r="N854" s="64"/>
      <c r="O854" s="65"/>
      <c r="P854" s="65"/>
      <c r="Q854" s="65"/>
      <c r="R854" s="65"/>
    </row>
    <row r="855" spans="1:18" ht="16.8" hidden="1" x14ac:dyDescent="0.3">
      <c r="A855" s="68"/>
      <c r="C855" s="66"/>
      <c r="D855" s="66"/>
      <c r="E855" s="66"/>
      <c r="F855" s="66"/>
      <c r="G855" s="66"/>
      <c r="H855" s="66"/>
      <c r="I855" s="66"/>
      <c r="J855" s="66"/>
      <c r="K855" s="66"/>
      <c r="L855" s="66"/>
      <c r="M855" s="66"/>
      <c r="N855" s="69"/>
      <c r="O855" s="66"/>
      <c r="P855" s="66"/>
      <c r="Q855" s="66"/>
      <c r="R855" s="66"/>
    </row>
    <row r="856" spans="1:18" ht="16.8" hidden="1" x14ac:dyDescent="0.3">
      <c r="A856" s="67"/>
      <c r="C856" s="65"/>
      <c r="D856" s="65"/>
      <c r="E856" s="65"/>
      <c r="F856" s="65"/>
      <c r="G856" s="65"/>
      <c r="H856" s="65"/>
      <c r="I856" s="65"/>
      <c r="J856" s="65"/>
      <c r="K856" s="65"/>
      <c r="L856" s="65"/>
      <c r="M856" s="65"/>
      <c r="N856" s="64"/>
      <c r="O856" s="65"/>
      <c r="P856" s="65"/>
      <c r="Q856" s="65"/>
      <c r="R856" s="65"/>
    </row>
    <row r="857" spans="1:18" ht="16.8" hidden="1" x14ac:dyDescent="0.3">
      <c r="A857" s="68"/>
      <c r="C857" s="66"/>
      <c r="D857" s="66"/>
      <c r="E857" s="66"/>
      <c r="F857" s="66"/>
      <c r="G857" s="66"/>
      <c r="H857" s="66"/>
      <c r="I857" s="66"/>
      <c r="J857" s="66"/>
      <c r="K857" s="66"/>
      <c r="L857" s="66"/>
      <c r="M857" s="66"/>
      <c r="N857" s="69"/>
      <c r="O857" s="66"/>
      <c r="P857" s="66"/>
      <c r="Q857" s="66"/>
      <c r="R857" s="66"/>
    </row>
    <row r="858" spans="1:18" ht="16.8" hidden="1" x14ac:dyDescent="0.3">
      <c r="A858" s="67"/>
      <c r="C858" s="65"/>
      <c r="D858" s="65"/>
      <c r="E858" s="65"/>
      <c r="F858" s="65"/>
      <c r="G858" s="65"/>
      <c r="H858" s="65"/>
      <c r="I858" s="65"/>
      <c r="J858" s="65"/>
      <c r="K858" s="65"/>
      <c r="L858" s="65"/>
      <c r="M858" s="65"/>
      <c r="N858" s="64"/>
      <c r="O858" s="65"/>
      <c r="P858" s="65"/>
      <c r="Q858" s="65"/>
      <c r="R858" s="65"/>
    </row>
    <row r="859" spans="1:18" ht="16.8" hidden="1" x14ac:dyDescent="0.3">
      <c r="A859" s="68"/>
      <c r="C859" s="66"/>
      <c r="D859" s="66"/>
      <c r="E859" s="66"/>
      <c r="F859" s="66"/>
      <c r="G859" s="66"/>
      <c r="H859" s="66"/>
      <c r="I859" s="66"/>
      <c r="J859" s="66"/>
      <c r="K859" s="66"/>
      <c r="L859" s="66"/>
      <c r="M859" s="66"/>
      <c r="N859" s="69"/>
      <c r="O859" s="66"/>
      <c r="P859" s="66"/>
      <c r="Q859" s="66"/>
      <c r="R859" s="66"/>
    </row>
    <row r="860" spans="1:18" ht="16.8" hidden="1" x14ac:dyDescent="0.3">
      <c r="A860" s="67"/>
      <c r="C860" s="65"/>
      <c r="D860" s="65"/>
      <c r="E860" s="65"/>
      <c r="F860" s="65"/>
      <c r="G860" s="65"/>
      <c r="H860" s="65"/>
      <c r="I860" s="65"/>
      <c r="J860" s="65"/>
      <c r="K860" s="65"/>
      <c r="L860" s="65"/>
      <c r="M860" s="65"/>
      <c r="N860" s="64"/>
      <c r="O860" s="65"/>
      <c r="P860" s="65"/>
      <c r="Q860" s="65"/>
      <c r="R860" s="65"/>
    </row>
    <row r="861" spans="1:18" ht="16.8" hidden="1" x14ac:dyDescent="0.3">
      <c r="A861" s="68"/>
      <c r="C861" s="66"/>
      <c r="D861" s="66"/>
      <c r="E861" s="66"/>
      <c r="F861" s="66"/>
      <c r="G861" s="66"/>
      <c r="H861" s="66"/>
      <c r="I861" s="66"/>
      <c r="J861" s="66"/>
      <c r="K861" s="66"/>
      <c r="L861" s="66"/>
      <c r="M861" s="66"/>
      <c r="N861" s="69"/>
      <c r="O861" s="66"/>
      <c r="P861" s="66"/>
      <c r="Q861" s="66"/>
      <c r="R861" s="66"/>
    </row>
    <row r="862" spans="1:18" ht="16.8" hidden="1" x14ac:dyDescent="0.3">
      <c r="A862" s="67"/>
      <c r="C862" s="65"/>
      <c r="D862" s="65"/>
      <c r="E862" s="65"/>
      <c r="F862" s="65"/>
      <c r="G862" s="65"/>
      <c r="H862" s="65"/>
      <c r="I862" s="65"/>
      <c r="J862" s="65"/>
      <c r="K862" s="65"/>
      <c r="L862" s="65"/>
      <c r="M862" s="65"/>
      <c r="N862" s="64"/>
      <c r="O862" s="65"/>
      <c r="P862" s="65"/>
      <c r="Q862" s="65"/>
      <c r="R862" s="65"/>
    </row>
    <row r="863" spans="1:18" ht="16.8" hidden="1" x14ac:dyDescent="0.3">
      <c r="A863" s="68"/>
      <c r="C863" s="66"/>
      <c r="D863" s="66"/>
      <c r="E863" s="66"/>
      <c r="F863" s="66"/>
      <c r="G863" s="66"/>
      <c r="H863" s="66"/>
      <c r="I863" s="66"/>
      <c r="J863" s="66"/>
      <c r="K863" s="66"/>
      <c r="L863" s="66"/>
      <c r="M863" s="66"/>
      <c r="N863" s="69"/>
      <c r="O863" s="66"/>
      <c r="P863" s="66"/>
      <c r="Q863" s="66"/>
      <c r="R863" s="66"/>
    </row>
    <row r="864" spans="1:18" ht="16.8" hidden="1" x14ac:dyDescent="0.3">
      <c r="A864" s="67"/>
      <c r="C864" s="65"/>
      <c r="D864" s="65"/>
      <c r="E864" s="65"/>
      <c r="F864" s="65"/>
      <c r="G864" s="65"/>
      <c r="H864" s="65"/>
      <c r="I864" s="65"/>
      <c r="J864" s="65"/>
      <c r="K864" s="65"/>
      <c r="L864" s="65"/>
      <c r="M864" s="65"/>
      <c r="N864" s="64"/>
      <c r="O864" s="65"/>
      <c r="P864" s="65"/>
      <c r="Q864" s="65"/>
      <c r="R864" s="65"/>
    </row>
    <row r="865" spans="1:18" ht="16.8" hidden="1" x14ac:dyDescent="0.3">
      <c r="A865" s="68"/>
      <c r="C865" s="66"/>
      <c r="D865" s="66"/>
      <c r="E865" s="66"/>
      <c r="F865" s="66"/>
      <c r="G865" s="66"/>
      <c r="H865" s="66"/>
      <c r="I865" s="66"/>
      <c r="J865" s="66"/>
      <c r="K865" s="66"/>
      <c r="L865" s="66"/>
      <c r="M865" s="66"/>
      <c r="N865" s="69"/>
      <c r="O865" s="66"/>
      <c r="P865" s="66"/>
      <c r="Q865" s="66"/>
      <c r="R865" s="66"/>
    </row>
    <row r="866" spans="1:18" ht="16.8" hidden="1" x14ac:dyDescent="0.3">
      <c r="A866" s="67"/>
      <c r="C866" s="65"/>
      <c r="D866" s="65"/>
      <c r="E866" s="65"/>
      <c r="F866" s="65"/>
      <c r="G866" s="65"/>
      <c r="H866" s="65"/>
      <c r="I866" s="65"/>
      <c r="J866" s="65"/>
      <c r="K866" s="65"/>
      <c r="L866" s="65"/>
      <c r="M866" s="65"/>
      <c r="N866" s="64"/>
      <c r="O866" s="65"/>
      <c r="P866" s="65"/>
      <c r="Q866" s="65"/>
      <c r="R866" s="65"/>
    </row>
    <row r="867" spans="1:18" ht="16.8" hidden="1" x14ac:dyDescent="0.3">
      <c r="A867" s="68"/>
      <c r="C867" s="66"/>
      <c r="D867" s="66"/>
      <c r="E867" s="66"/>
      <c r="F867" s="66"/>
      <c r="G867" s="66"/>
      <c r="H867" s="66"/>
      <c r="I867" s="66"/>
      <c r="J867" s="66"/>
      <c r="K867" s="66"/>
      <c r="L867" s="66"/>
      <c r="M867" s="66"/>
      <c r="N867" s="69"/>
      <c r="O867" s="66"/>
      <c r="P867" s="66"/>
      <c r="Q867" s="66"/>
      <c r="R867" s="66"/>
    </row>
    <row r="868" spans="1:18" ht="16.8" hidden="1" x14ac:dyDescent="0.3">
      <c r="A868" s="67"/>
      <c r="C868" s="65"/>
      <c r="D868" s="65"/>
      <c r="E868" s="65"/>
      <c r="F868" s="65"/>
      <c r="G868" s="65"/>
      <c r="H868" s="65"/>
      <c r="I868" s="65"/>
      <c r="J868" s="65"/>
      <c r="K868" s="65"/>
      <c r="L868" s="65"/>
      <c r="M868" s="65"/>
      <c r="N868" s="64"/>
      <c r="O868" s="65"/>
      <c r="P868" s="65"/>
      <c r="Q868" s="65"/>
      <c r="R868" s="65"/>
    </row>
    <row r="869" spans="1:18" ht="16.8" hidden="1" x14ac:dyDescent="0.3">
      <c r="A869" s="68"/>
      <c r="C869" s="66"/>
      <c r="D869" s="66"/>
      <c r="E869" s="66"/>
      <c r="F869" s="66"/>
      <c r="G869" s="66"/>
      <c r="H869" s="66"/>
      <c r="I869" s="66"/>
      <c r="J869" s="66"/>
      <c r="K869" s="66"/>
      <c r="L869" s="66"/>
      <c r="M869" s="66"/>
      <c r="N869" s="69"/>
      <c r="O869" s="66"/>
      <c r="P869" s="66"/>
      <c r="Q869" s="66"/>
      <c r="R869" s="66"/>
    </row>
    <row r="870" spans="1:18" ht="16.8" hidden="1" x14ac:dyDescent="0.3">
      <c r="A870" s="67"/>
      <c r="C870" s="65"/>
      <c r="D870" s="65"/>
      <c r="E870" s="65"/>
      <c r="F870" s="65"/>
      <c r="G870" s="65"/>
      <c r="H870" s="65"/>
      <c r="I870" s="65"/>
      <c r="J870" s="65"/>
      <c r="K870" s="65"/>
      <c r="L870" s="65"/>
      <c r="M870" s="65"/>
      <c r="N870" s="64"/>
      <c r="O870" s="65"/>
      <c r="P870" s="65"/>
      <c r="Q870" s="65"/>
      <c r="R870" s="65"/>
    </row>
    <row r="871" spans="1:18" ht="16.8" hidden="1" x14ac:dyDescent="0.3">
      <c r="A871" s="68"/>
      <c r="C871" s="66"/>
      <c r="D871" s="66"/>
      <c r="E871" s="66"/>
      <c r="F871" s="66"/>
      <c r="G871" s="66"/>
      <c r="H871" s="66"/>
      <c r="I871" s="66"/>
      <c r="J871" s="66"/>
      <c r="K871" s="66"/>
      <c r="L871" s="66"/>
      <c r="M871" s="66"/>
      <c r="N871" s="69"/>
      <c r="O871" s="66"/>
      <c r="P871" s="66"/>
      <c r="Q871" s="66"/>
      <c r="R871" s="66"/>
    </row>
    <row r="872" spans="1:18" ht="16.8" hidden="1" x14ac:dyDescent="0.3">
      <c r="A872" s="67"/>
      <c r="C872" s="65"/>
      <c r="D872" s="65"/>
      <c r="E872" s="65"/>
      <c r="F872" s="65"/>
      <c r="G872" s="65"/>
      <c r="H872" s="65"/>
      <c r="I872" s="65"/>
      <c r="J872" s="65"/>
      <c r="K872" s="65"/>
      <c r="L872" s="65"/>
      <c r="M872" s="65"/>
      <c r="N872" s="64"/>
      <c r="O872" s="65"/>
      <c r="P872" s="65"/>
      <c r="Q872" s="65"/>
      <c r="R872" s="65"/>
    </row>
    <row r="873" spans="1:18" ht="16.8" hidden="1" x14ac:dyDescent="0.3">
      <c r="A873" s="68"/>
      <c r="C873" s="66"/>
      <c r="D873" s="66"/>
      <c r="E873" s="66"/>
      <c r="F873" s="66"/>
      <c r="G873" s="66"/>
      <c r="H873" s="66"/>
      <c r="I873" s="66"/>
      <c r="J873" s="66"/>
      <c r="K873" s="66"/>
      <c r="L873" s="66"/>
      <c r="M873" s="66"/>
      <c r="N873" s="69"/>
      <c r="O873" s="66"/>
      <c r="P873" s="66"/>
      <c r="Q873" s="66"/>
      <c r="R873" s="66"/>
    </row>
    <row r="874" spans="1:18" ht="16.8" hidden="1" x14ac:dyDescent="0.3">
      <c r="A874" s="67"/>
      <c r="C874" s="65"/>
      <c r="D874" s="65"/>
      <c r="E874" s="65"/>
      <c r="F874" s="65"/>
      <c r="G874" s="65"/>
      <c r="H874" s="65"/>
      <c r="I874" s="65"/>
      <c r="J874" s="65"/>
      <c r="K874" s="65"/>
      <c r="L874" s="65"/>
      <c r="M874" s="65"/>
      <c r="N874" s="64"/>
      <c r="O874" s="65"/>
      <c r="P874" s="65"/>
      <c r="Q874" s="65"/>
      <c r="R874" s="65"/>
    </row>
    <row r="875" spans="1:18" ht="16.8" hidden="1" x14ac:dyDescent="0.3">
      <c r="A875" s="68"/>
      <c r="C875" s="66"/>
      <c r="D875" s="66"/>
      <c r="E875" s="66"/>
      <c r="F875" s="66"/>
      <c r="G875" s="66"/>
      <c r="H875" s="66"/>
      <c r="I875" s="66"/>
      <c r="J875" s="66"/>
      <c r="K875" s="66"/>
      <c r="L875" s="66"/>
      <c r="M875" s="66"/>
      <c r="N875" s="69"/>
      <c r="O875" s="66"/>
      <c r="P875" s="66"/>
      <c r="Q875" s="66"/>
      <c r="R875" s="66"/>
    </row>
    <row r="876" spans="1:18" ht="16.8" hidden="1" x14ac:dyDescent="0.3">
      <c r="A876" s="67"/>
      <c r="C876" s="65"/>
      <c r="D876" s="65"/>
      <c r="E876" s="65"/>
      <c r="F876" s="65"/>
      <c r="G876" s="65"/>
      <c r="H876" s="65"/>
      <c r="I876" s="65"/>
      <c r="J876" s="65"/>
      <c r="K876" s="65"/>
      <c r="L876" s="65"/>
      <c r="M876" s="65"/>
      <c r="N876" s="64"/>
      <c r="O876" s="65"/>
      <c r="P876" s="65"/>
      <c r="Q876" s="65"/>
      <c r="R876" s="65"/>
    </row>
    <row r="877" spans="1:18" ht="16.8" hidden="1" x14ac:dyDescent="0.3">
      <c r="A877" s="68"/>
      <c r="C877" s="66"/>
      <c r="D877" s="66"/>
      <c r="E877" s="66"/>
      <c r="F877" s="66"/>
      <c r="G877" s="66"/>
      <c r="H877" s="66"/>
      <c r="I877" s="66"/>
      <c r="J877" s="66"/>
      <c r="K877" s="66"/>
      <c r="L877" s="66"/>
      <c r="M877" s="66"/>
      <c r="N877" s="69"/>
      <c r="O877" s="66"/>
      <c r="P877" s="66"/>
      <c r="Q877" s="66"/>
      <c r="R877" s="66"/>
    </row>
    <row r="878" spans="1:18" ht="16.8" hidden="1" x14ac:dyDescent="0.3">
      <c r="A878" s="67"/>
      <c r="C878" s="65"/>
      <c r="D878" s="65"/>
      <c r="E878" s="65"/>
      <c r="F878" s="65"/>
      <c r="G878" s="65"/>
      <c r="H878" s="65"/>
      <c r="I878" s="65"/>
      <c r="J878" s="65"/>
      <c r="K878" s="65"/>
      <c r="L878" s="65"/>
      <c r="M878" s="65"/>
      <c r="N878" s="64"/>
      <c r="O878" s="65"/>
      <c r="P878" s="65"/>
      <c r="Q878" s="65"/>
      <c r="R878" s="65"/>
    </row>
    <row r="879" spans="1:18" ht="16.8" hidden="1" x14ac:dyDescent="0.3">
      <c r="A879" s="68"/>
      <c r="C879" s="66"/>
      <c r="D879" s="66"/>
      <c r="E879" s="66"/>
      <c r="F879" s="66"/>
      <c r="G879" s="66"/>
      <c r="H879" s="66"/>
      <c r="I879" s="66"/>
      <c r="J879" s="66"/>
      <c r="K879" s="66"/>
      <c r="L879" s="66"/>
      <c r="M879" s="66"/>
      <c r="N879" s="69"/>
      <c r="O879" s="66"/>
      <c r="P879" s="66"/>
      <c r="Q879" s="66"/>
      <c r="R879" s="66"/>
    </row>
    <row r="880" spans="1:18" ht="16.8" hidden="1" x14ac:dyDescent="0.3">
      <c r="A880" s="67"/>
      <c r="C880" s="65"/>
      <c r="D880" s="65"/>
      <c r="E880" s="65"/>
      <c r="F880" s="65"/>
      <c r="G880" s="65"/>
      <c r="H880" s="65"/>
      <c r="I880" s="65"/>
      <c r="J880" s="65"/>
      <c r="K880" s="65"/>
      <c r="L880" s="65"/>
      <c r="M880" s="65"/>
      <c r="N880" s="64"/>
      <c r="O880" s="65"/>
      <c r="P880" s="65"/>
      <c r="Q880" s="65"/>
      <c r="R880" s="65"/>
    </row>
    <row r="881" spans="1:18" ht="16.8" hidden="1" x14ac:dyDescent="0.3">
      <c r="A881" s="68"/>
      <c r="C881" s="66"/>
      <c r="D881" s="66"/>
      <c r="E881" s="66"/>
      <c r="F881" s="66"/>
      <c r="G881" s="66"/>
      <c r="H881" s="66"/>
      <c r="I881" s="66"/>
      <c r="J881" s="66"/>
      <c r="K881" s="66"/>
      <c r="L881" s="66"/>
      <c r="M881" s="66"/>
      <c r="N881" s="69"/>
      <c r="O881" s="66"/>
      <c r="P881" s="66"/>
      <c r="Q881" s="66"/>
      <c r="R881" s="66"/>
    </row>
    <row r="882" spans="1:18" ht="16.8" hidden="1" x14ac:dyDescent="0.3">
      <c r="A882" s="67"/>
      <c r="C882" s="65"/>
      <c r="D882" s="65"/>
      <c r="E882" s="65"/>
      <c r="F882" s="65"/>
      <c r="G882" s="65"/>
      <c r="H882" s="65"/>
      <c r="I882" s="65"/>
      <c r="J882" s="65"/>
      <c r="K882" s="65"/>
      <c r="L882" s="65"/>
      <c r="M882" s="65"/>
      <c r="N882" s="64"/>
      <c r="O882" s="65"/>
      <c r="P882" s="65"/>
      <c r="Q882" s="65"/>
      <c r="R882" s="65"/>
    </row>
    <row r="883" spans="1:18" ht="16.8" hidden="1" x14ac:dyDescent="0.3">
      <c r="A883" s="68"/>
      <c r="C883" s="66"/>
      <c r="D883" s="66"/>
      <c r="E883" s="66"/>
      <c r="F883" s="66"/>
      <c r="G883" s="66"/>
      <c r="H883" s="66"/>
      <c r="I883" s="66"/>
      <c r="J883" s="66"/>
      <c r="K883" s="66"/>
      <c r="L883" s="66"/>
      <c r="M883" s="66"/>
      <c r="N883" s="69"/>
      <c r="O883" s="66"/>
      <c r="P883" s="66"/>
      <c r="Q883" s="66"/>
      <c r="R883" s="66"/>
    </row>
    <row r="884" spans="1:18" ht="16.8" hidden="1" x14ac:dyDescent="0.3">
      <c r="A884" s="67"/>
      <c r="C884" s="65"/>
      <c r="D884" s="65"/>
      <c r="E884" s="65"/>
      <c r="F884" s="65"/>
      <c r="G884" s="65"/>
      <c r="H884" s="65"/>
      <c r="I884" s="65"/>
      <c r="J884" s="65"/>
      <c r="K884" s="65"/>
      <c r="L884" s="65"/>
      <c r="M884" s="65"/>
      <c r="N884" s="64"/>
      <c r="O884" s="65"/>
      <c r="P884" s="65"/>
      <c r="Q884" s="65"/>
      <c r="R884" s="65"/>
    </row>
    <row r="885" spans="1:18" ht="16.8" hidden="1" x14ac:dyDescent="0.3">
      <c r="A885" s="68"/>
      <c r="C885" s="66"/>
      <c r="D885" s="66"/>
      <c r="E885" s="66"/>
      <c r="F885" s="66"/>
      <c r="G885" s="66"/>
      <c r="H885" s="66"/>
      <c r="I885" s="66"/>
      <c r="J885" s="66"/>
      <c r="K885" s="66"/>
      <c r="L885" s="66"/>
      <c r="M885" s="66"/>
      <c r="N885" s="69"/>
      <c r="O885" s="66"/>
      <c r="P885" s="66"/>
      <c r="Q885" s="66"/>
      <c r="R885" s="66"/>
    </row>
    <row r="886" spans="1:18" ht="16.8" hidden="1" x14ac:dyDescent="0.3">
      <c r="A886" s="67"/>
      <c r="C886" s="65"/>
      <c r="D886" s="65"/>
      <c r="E886" s="65"/>
      <c r="F886" s="65"/>
      <c r="G886" s="65"/>
      <c r="H886" s="65"/>
      <c r="I886" s="65"/>
      <c r="J886" s="65"/>
      <c r="K886" s="65"/>
      <c r="L886" s="65"/>
      <c r="M886" s="65"/>
      <c r="N886" s="64"/>
      <c r="O886" s="65"/>
      <c r="P886" s="65"/>
      <c r="Q886" s="65"/>
      <c r="R886" s="65"/>
    </row>
    <row r="887" spans="1:18" ht="16.8" hidden="1" x14ac:dyDescent="0.3">
      <c r="A887" s="68"/>
      <c r="C887" s="66"/>
      <c r="D887" s="66"/>
      <c r="E887" s="66"/>
      <c r="F887" s="66"/>
      <c r="G887" s="66"/>
      <c r="H887" s="66"/>
      <c r="I887" s="66"/>
      <c r="J887" s="66"/>
      <c r="K887" s="66"/>
      <c r="L887" s="66"/>
      <c r="M887" s="66"/>
      <c r="N887" s="69"/>
      <c r="O887" s="66"/>
      <c r="P887" s="66"/>
      <c r="Q887" s="66"/>
      <c r="R887" s="66"/>
    </row>
    <row r="888" spans="1:18" ht="16.8" hidden="1" x14ac:dyDescent="0.3">
      <c r="A888" s="67"/>
      <c r="C888" s="65"/>
      <c r="D888" s="65"/>
      <c r="E888" s="65"/>
      <c r="F888" s="65"/>
      <c r="G888" s="65"/>
      <c r="H888" s="65"/>
      <c r="I888" s="65"/>
      <c r="J888" s="65"/>
      <c r="K888" s="65"/>
      <c r="L888" s="65"/>
      <c r="M888" s="65"/>
      <c r="N888" s="64"/>
      <c r="O888" s="65"/>
      <c r="P888" s="65"/>
      <c r="Q888" s="65"/>
      <c r="R888" s="65"/>
    </row>
    <row r="889" spans="1:18" ht="16.8" hidden="1" x14ac:dyDescent="0.3">
      <c r="A889" s="68"/>
      <c r="C889" s="66"/>
      <c r="D889" s="66"/>
      <c r="E889" s="66"/>
      <c r="F889" s="66"/>
      <c r="G889" s="66"/>
      <c r="H889" s="66"/>
      <c r="I889" s="66"/>
      <c r="J889" s="66"/>
      <c r="K889" s="66"/>
      <c r="L889" s="66"/>
      <c r="M889" s="66"/>
      <c r="N889" s="69"/>
      <c r="O889" s="66"/>
      <c r="P889" s="66"/>
      <c r="Q889" s="66"/>
      <c r="R889" s="66"/>
    </row>
    <row r="890" spans="1:18" ht="16.8" hidden="1" x14ac:dyDescent="0.3">
      <c r="A890" s="67"/>
      <c r="C890" s="65"/>
      <c r="D890" s="65"/>
      <c r="E890" s="65"/>
      <c r="F890" s="65"/>
      <c r="G890" s="65"/>
      <c r="H890" s="65"/>
      <c r="I890" s="65"/>
      <c r="J890" s="65"/>
      <c r="K890" s="65"/>
      <c r="L890" s="65"/>
      <c r="M890" s="65"/>
      <c r="N890" s="64"/>
      <c r="O890" s="65"/>
      <c r="P890" s="65"/>
      <c r="Q890" s="65"/>
      <c r="R890" s="65"/>
    </row>
    <row r="891" spans="1:18" ht="16.8" hidden="1" x14ac:dyDescent="0.3">
      <c r="A891" s="68"/>
      <c r="C891" s="66"/>
      <c r="D891" s="66"/>
      <c r="E891" s="66"/>
      <c r="F891" s="66"/>
      <c r="G891" s="66"/>
      <c r="H891" s="66"/>
      <c r="I891" s="66"/>
      <c r="J891" s="66"/>
      <c r="K891" s="66"/>
      <c r="L891" s="66"/>
      <c r="M891" s="66"/>
      <c r="N891" s="69"/>
      <c r="O891" s="66"/>
      <c r="P891" s="66"/>
      <c r="Q891" s="66"/>
      <c r="R891" s="66"/>
    </row>
    <row r="892" spans="1:18" ht="16.8" hidden="1" x14ac:dyDescent="0.3">
      <c r="A892" s="67"/>
      <c r="C892" s="65"/>
      <c r="D892" s="65"/>
      <c r="E892" s="65"/>
      <c r="F892" s="65"/>
      <c r="G892" s="65"/>
      <c r="H892" s="65"/>
      <c r="I892" s="65"/>
      <c r="J892" s="65"/>
      <c r="K892" s="65"/>
      <c r="L892" s="65"/>
      <c r="M892" s="65"/>
      <c r="N892" s="64"/>
      <c r="O892" s="65"/>
      <c r="P892" s="65"/>
      <c r="Q892" s="65"/>
      <c r="R892" s="65"/>
    </row>
    <row r="893" spans="1:18" ht="16.8" hidden="1" x14ac:dyDescent="0.3">
      <c r="A893" s="68"/>
      <c r="C893" s="66"/>
      <c r="D893" s="66"/>
      <c r="E893" s="66"/>
      <c r="F893" s="66"/>
      <c r="G893" s="66"/>
      <c r="H893" s="66"/>
      <c r="I893" s="66"/>
      <c r="J893" s="66"/>
      <c r="K893" s="66"/>
      <c r="L893" s="66"/>
      <c r="M893" s="66"/>
      <c r="N893" s="69"/>
      <c r="O893" s="66"/>
      <c r="P893" s="66"/>
      <c r="Q893" s="66"/>
      <c r="R893" s="66"/>
    </row>
    <row r="894" spans="1:18" ht="16.8" hidden="1" x14ac:dyDescent="0.3">
      <c r="A894" s="67"/>
      <c r="C894" s="65"/>
      <c r="D894" s="65"/>
      <c r="E894" s="65"/>
      <c r="F894" s="65"/>
      <c r="G894" s="65"/>
      <c r="H894" s="65"/>
      <c r="I894" s="65"/>
      <c r="J894" s="65"/>
      <c r="K894" s="65"/>
      <c r="L894" s="65"/>
      <c r="M894" s="65"/>
      <c r="N894" s="64"/>
      <c r="O894" s="65"/>
      <c r="P894" s="65"/>
      <c r="Q894" s="65"/>
      <c r="R894" s="65"/>
    </row>
    <row r="895" spans="1:18" ht="16.8" hidden="1" x14ac:dyDescent="0.3">
      <c r="A895" s="68"/>
      <c r="C895" s="66"/>
      <c r="D895" s="66"/>
      <c r="E895" s="66"/>
      <c r="F895" s="66"/>
      <c r="G895" s="66"/>
      <c r="H895" s="66"/>
      <c r="I895" s="66"/>
      <c r="J895" s="66"/>
      <c r="K895" s="66"/>
      <c r="L895" s="66"/>
      <c r="M895" s="66"/>
      <c r="N895" s="69"/>
      <c r="O895" s="66"/>
      <c r="P895" s="66"/>
      <c r="Q895" s="66"/>
      <c r="R895" s="66"/>
    </row>
    <row r="896" spans="1:18" ht="16.8" hidden="1" x14ac:dyDescent="0.3">
      <c r="A896" s="67"/>
      <c r="C896" s="65"/>
      <c r="D896" s="65"/>
      <c r="E896" s="65"/>
      <c r="F896" s="65"/>
      <c r="G896" s="65"/>
      <c r="H896" s="65"/>
      <c r="I896" s="65"/>
      <c r="J896" s="65"/>
      <c r="K896" s="65"/>
      <c r="L896" s="65"/>
      <c r="M896" s="65"/>
      <c r="N896" s="64"/>
      <c r="O896" s="65"/>
      <c r="P896" s="65"/>
      <c r="Q896" s="65"/>
      <c r="R896" s="65"/>
    </row>
    <row r="897" spans="1:18" ht="16.8" hidden="1" x14ac:dyDescent="0.3">
      <c r="A897" s="68"/>
      <c r="C897" s="66"/>
      <c r="D897" s="66"/>
      <c r="E897" s="66"/>
      <c r="F897" s="66"/>
      <c r="G897" s="66"/>
      <c r="H897" s="66"/>
      <c r="I897" s="66"/>
      <c r="J897" s="66"/>
      <c r="K897" s="66"/>
      <c r="L897" s="66"/>
      <c r="M897" s="66"/>
      <c r="N897" s="69"/>
      <c r="O897" s="66"/>
      <c r="P897" s="66"/>
      <c r="Q897" s="66"/>
      <c r="R897" s="66"/>
    </row>
    <row r="898" spans="1:18" ht="16.8" hidden="1" x14ac:dyDescent="0.3">
      <c r="A898" s="67"/>
      <c r="C898" s="65"/>
      <c r="D898" s="65"/>
      <c r="E898" s="65"/>
      <c r="F898" s="65"/>
      <c r="G898" s="65"/>
      <c r="H898" s="65"/>
      <c r="I898" s="65"/>
      <c r="J898" s="65"/>
      <c r="K898" s="65"/>
      <c r="L898" s="65"/>
      <c r="M898" s="65"/>
      <c r="N898" s="64"/>
      <c r="O898" s="65"/>
      <c r="P898" s="65"/>
      <c r="Q898" s="65"/>
      <c r="R898" s="65"/>
    </row>
    <row r="899" spans="1:18" ht="16.8" hidden="1" x14ac:dyDescent="0.3">
      <c r="A899" s="68"/>
      <c r="C899" s="66"/>
      <c r="D899" s="66"/>
      <c r="E899" s="66"/>
      <c r="F899" s="66"/>
      <c r="G899" s="66"/>
      <c r="H899" s="66"/>
      <c r="I899" s="66"/>
      <c r="J899" s="66"/>
      <c r="K899" s="66"/>
      <c r="L899" s="66"/>
      <c r="M899" s="66"/>
      <c r="N899" s="69"/>
      <c r="O899" s="66"/>
      <c r="P899" s="66"/>
      <c r="Q899" s="66"/>
      <c r="R899" s="66"/>
    </row>
    <row r="900" spans="1:18" ht="16.8" hidden="1" x14ac:dyDescent="0.3">
      <c r="A900" s="67"/>
      <c r="C900" s="65"/>
      <c r="D900" s="65"/>
      <c r="E900" s="65"/>
      <c r="F900" s="65"/>
      <c r="G900" s="65"/>
      <c r="H900" s="65"/>
      <c r="I900" s="65"/>
      <c r="J900" s="65"/>
      <c r="K900" s="65"/>
      <c r="L900" s="65"/>
      <c r="M900" s="65"/>
      <c r="N900" s="64"/>
      <c r="O900" s="65"/>
      <c r="P900" s="65"/>
      <c r="Q900" s="65"/>
      <c r="R900" s="65"/>
    </row>
    <row r="901" spans="1:18" ht="16.8" hidden="1" x14ac:dyDescent="0.3">
      <c r="A901" s="68"/>
      <c r="C901" s="66"/>
      <c r="D901" s="66"/>
      <c r="E901" s="66"/>
      <c r="F901" s="66"/>
      <c r="G901" s="66"/>
      <c r="H901" s="66"/>
      <c r="I901" s="66"/>
      <c r="J901" s="66"/>
      <c r="K901" s="66"/>
      <c r="L901" s="66"/>
      <c r="M901" s="66"/>
      <c r="N901" s="69"/>
      <c r="O901" s="66"/>
      <c r="P901" s="66"/>
      <c r="Q901" s="66"/>
      <c r="R901" s="66"/>
    </row>
    <row r="902" spans="1:18" ht="16.8" hidden="1" x14ac:dyDescent="0.3">
      <c r="A902" s="67"/>
      <c r="C902" s="65"/>
      <c r="D902" s="65"/>
      <c r="E902" s="65"/>
      <c r="F902" s="65"/>
      <c r="G902" s="65"/>
      <c r="H902" s="65"/>
      <c r="I902" s="65"/>
      <c r="J902" s="65"/>
      <c r="K902" s="65"/>
      <c r="L902" s="65"/>
      <c r="M902" s="65"/>
      <c r="N902" s="64"/>
      <c r="O902" s="65"/>
      <c r="P902" s="65"/>
      <c r="Q902" s="65"/>
      <c r="R902" s="65"/>
    </row>
    <row r="903" spans="1:18" ht="16.8" hidden="1" x14ac:dyDescent="0.3">
      <c r="A903" s="68"/>
      <c r="C903" s="66"/>
      <c r="D903" s="66"/>
      <c r="E903" s="66"/>
      <c r="F903" s="66"/>
      <c r="G903" s="66"/>
      <c r="H903" s="66"/>
      <c r="I903" s="66"/>
      <c r="J903" s="66"/>
      <c r="K903" s="66"/>
      <c r="L903" s="66"/>
      <c r="M903" s="66"/>
      <c r="N903" s="69"/>
      <c r="O903" s="66"/>
      <c r="P903" s="66"/>
      <c r="Q903" s="66"/>
      <c r="R903" s="66"/>
    </row>
    <row r="904" spans="1:18" ht="16.8" hidden="1" x14ac:dyDescent="0.3">
      <c r="A904" s="67"/>
      <c r="C904" s="65"/>
      <c r="D904" s="65"/>
      <c r="E904" s="65"/>
      <c r="F904" s="65"/>
      <c r="G904" s="65"/>
      <c r="H904" s="65"/>
      <c r="I904" s="65"/>
      <c r="J904" s="65"/>
      <c r="K904" s="65"/>
      <c r="L904" s="65"/>
      <c r="M904" s="65"/>
      <c r="N904" s="64"/>
      <c r="O904" s="65"/>
      <c r="P904" s="65"/>
      <c r="Q904" s="65"/>
      <c r="R904" s="65"/>
    </row>
    <row r="905" spans="1:18" ht="16.8" hidden="1" x14ac:dyDescent="0.3">
      <c r="A905" s="68"/>
      <c r="C905" s="66"/>
      <c r="D905" s="66"/>
      <c r="E905" s="66"/>
      <c r="F905" s="66"/>
      <c r="G905" s="66"/>
      <c r="H905" s="66"/>
      <c r="I905" s="66"/>
      <c r="J905" s="66"/>
      <c r="K905" s="66"/>
      <c r="L905" s="66"/>
      <c r="M905" s="66"/>
      <c r="N905" s="69"/>
      <c r="O905" s="66"/>
      <c r="P905" s="66"/>
      <c r="Q905" s="66"/>
      <c r="R905" s="66"/>
    </row>
    <row r="906" spans="1:18" ht="16.8" hidden="1" x14ac:dyDescent="0.3">
      <c r="A906" s="67"/>
      <c r="C906" s="65"/>
      <c r="D906" s="65"/>
      <c r="E906" s="65"/>
      <c r="F906" s="65"/>
      <c r="G906" s="65"/>
      <c r="H906" s="65"/>
      <c r="I906" s="65"/>
      <c r="J906" s="65"/>
      <c r="K906" s="65"/>
      <c r="L906" s="65"/>
      <c r="M906" s="65"/>
      <c r="N906" s="64"/>
      <c r="O906" s="65"/>
      <c r="P906" s="65"/>
      <c r="Q906" s="65"/>
      <c r="R906" s="65"/>
    </row>
    <row r="907" spans="1:18" ht="16.8" hidden="1" x14ac:dyDescent="0.3">
      <c r="A907" s="68"/>
      <c r="C907" s="66"/>
      <c r="D907" s="66"/>
      <c r="E907" s="66"/>
      <c r="F907" s="66"/>
      <c r="G907" s="66"/>
      <c r="H907" s="66"/>
      <c r="I907" s="66"/>
      <c r="J907" s="66"/>
      <c r="K907" s="66"/>
      <c r="L907" s="66"/>
      <c r="M907" s="66"/>
      <c r="N907" s="69"/>
      <c r="O907" s="66"/>
      <c r="P907" s="66"/>
      <c r="Q907" s="66"/>
      <c r="R907" s="66"/>
    </row>
    <row r="908" spans="1:18" ht="16.8" hidden="1" x14ac:dyDescent="0.3">
      <c r="A908" s="67"/>
      <c r="C908" s="65"/>
      <c r="D908" s="65"/>
      <c r="E908" s="65"/>
      <c r="F908" s="65"/>
      <c r="G908" s="65"/>
      <c r="H908" s="65"/>
      <c r="I908" s="65"/>
      <c r="J908" s="65"/>
      <c r="K908" s="65"/>
      <c r="L908" s="65"/>
      <c r="M908" s="65"/>
      <c r="N908" s="64"/>
      <c r="O908" s="65"/>
      <c r="P908" s="65"/>
      <c r="Q908" s="65"/>
      <c r="R908" s="65"/>
    </row>
    <row r="909" spans="1:18" ht="16.8" hidden="1" x14ac:dyDescent="0.3">
      <c r="A909" s="68"/>
      <c r="C909" s="66"/>
      <c r="D909" s="66"/>
      <c r="E909" s="66"/>
      <c r="F909" s="66"/>
      <c r="G909" s="66"/>
      <c r="H909" s="66"/>
      <c r="I909" s="66"/>
      <c r="J909" s="66"/>
      <c r="K909" s="66"/>
      <c r="L909" s="66"/>
      <c r="M909" s="66"/>
      <c r="N909" s="69"/>
      <c r="O909" s="66"/>
      <c r="P909" s="66"/>
      <c r="Q909" s="66"/>
      <c r="R909" s="66"/>
    </row>
    <row r="910" spans="1:18" ht="16.8" hidden="1" x14ac:dyDescent="0.3">
      <c r="A910" s="67"/>
      <c r="C910" s="65"/>
      <c r="D910" s="65"/>
      <c r="E910" s="65"/>
      <c r="F910" s="65"/>
      <c r="G910" s="65"/>
      <c r="H910" s="65"/>
      <c r="I910" s="65"/>
      <c r="J910" s="65"/>
      <c r="K910" s="65"/>
      <c r="L910" s="65"/>
      <c r="M910" s="65"/>
      <c r="N910" s="64"/>
      <c r="O910" s="65"/>
      <c r="P910" s="65"/>
      <c r="Q910" s="65"/>
      <c r="R910" s="65"/>
    </row>
    <row r="911" spans="1:18" ht="16.8" hidden="1" x14ac:dyDescent="0.3">
      <c r="A911" s="68"/>
      <c r="C911" s="66"/>
      <c r="D911" s="66"/>
      <c r="E911" s="66"/>
      <c r="F911" s="66"/>
      <c r="G911" s="66"/>
      <c r="H911" s="66"/>
      <c r="I911" s="66"/>
      <c r="J911" s="66"/>
      <c r="K911" s="66"/>
      <c r="L911" s="66"/>
      <c r="M911" s="66"/>
      <c r="N911" s="69"/>
      <c r="O911" s="66"/>
      <c r="P911" s="66"/>
      <c r="Q911" s="66"/>
      <c r="R911" s="66"/>
    </row>
    <row r="912" spans="1:18" ht="16.8" hidden="1" x14ac:dyDescent="0.3">
      <c r="A912" s="67"/>
      <c r="C912" s="65"/>
      <c r="D912" s="65"/>
      <c r="E912" s="65"/>
      <c r="F912" s="65"/>
      <c r="G912" s="65"/>
      <c r="H912" s="65"/>
      <c r="I912" s="65"/>
      <c r="J912" s="65"/>
      <c r="K912" s="65"/>
      <c r="L912" s="65"/>
      <c r="M912" s="65"/>
      <c r="N912" s="64"/>
      <c r="O912" s="65"/>
      <c r="P912" s="65"/>
      <c r="Q912" s="65"/>
      <c r="R912" s="65"/>
    </row>
    <row r="913" spans="1:18" ht="16.8" hidden="1" x14ac:dyDescent="0.3">
      <c r="A913" s="68"/>
      <c r="C913" s="66"/>
      <c r="D913" s="66"/>
      <c r="E913" s="66"/>
      <c r="F913" s="66"/>
      <c r="G913" s="66"/>
      <c r="H913" s="66"/>
      <c r="I913" s="66"/>
      <c r="J913" s="66"/>
      <c r="K913" s="66"/>
      <c r="L913" s="66"/>
      <c r="M913" s="66"/>
      <c r="N913" s="69"/>
      <c r="O913" s="66"/>
      <c r="P913" s="66"/>
      <c r="Q913" s="66"/>
      <c r="R913" s="66"/>
    </row>
    <row r="914" spans="1:18" ht="16.8" hidden="1" x14ac:dyDescent="0.3">
      <c r="A914" s="67"/>
      <c r="C914" s="65"/>
      <c r="D914" s="65"/>
      <c r="E914" s="65"/>
      <c r="F914" s="65"/>
      <c r="G914" s="65"/>
      <c r="H914" s="65"/>
      <c r="I914" s="65"/>
      <c r="J914" s="65"/>
      <c r="K914" s="65"/>
      <c r="L914" s="65"/>
      <c r="M914" s="65"/>
      <c r="N914" s="64"/>
      <c r="O914" s="65"/>
      <c r="P914" s="65"/>
      <c r="Q914" s="65"/>
      <c r="R914" s="65"/>
    </row>
    <row r="915" spans="1:18" ht="16.8" hidden="1" x14ac:dyDescent="0.3">
      <c r="A915" s="68"/>
      <c r="C915" s="66"/>
      <c r="D915" s="66"/>
      <c r="E915" s="66"/>
      <c r="F915" s="66"/>
      <c r="G915" s="66"/>
      <c r="H915" s="66"/>
      <c r="I915" s="66"/>
      <c r="J915" s="66"/>
      <c r="K915" s="66"/>
      <c r="L915" s="66"/>
      <c r="M915" s="66"/>
      <c r="N915" s="69"/>
      <c r="O915" s="66"/>
      <c r="P915" s="66"/>
      <c r="Q915" s="66"/>
      <c r="R915" s="66"/>
    </row>
    <row r="916" spans="1:18" ht="16.8" hidden="1" x14ac:dyDescent="0.3">
      <c r="A916" s="67"/>
      <c r="C916" s="65"/>
      <c r="D916" s="65"/>
      <c r="E916" s="65"/>
      <c r="F916" s="65"/>
      <c r="G916" s="65"/>
      <c r="H916" s="65"/>
      <c r="I916" s="65"/>
      <c r="J916" s="65"/>
      <c r="K916" s="65"/>
      <c r="L916" s="65"/>
      <c r="M916" s="65"/>
      <c r="N916" s="64"/>
      <c r="O916" s="65"/>
      <c r="P916" s="65"/>
      <c r="Q916" s="65"/>
      <c r="R916" s="65"/>
    </row>
    <row r="917" spans="1:18" ht="16.8" hidden="1" x14ac:dyDescent="0.3">
      <c r="A917" s="68"/>
      <c r="C917" s="66"/>
      <c r="D917" s="66"/>
      <c r="E917" s="66"/>
      <c r="F917" s="66"/>
      <c r="G917" s="66"/>
      <c r="H917" s="66"/>
      <c r="I917" s="66"/>
      <c r="J917" s="66"/>
      <c r="K917" s="66"/>
      <c r="L917" s="66"/>
      <c r="M917" s="66"/>
      <c r="N917" s="69"/>
      <c r="O917" s="66"/>
      <c r="P917" s="66"/>
      <c r="Q917" s="66"/>
      <c r="R917" s="66"/>
    </row>
    <row r="918" spans="1:18" ht="16.8" hidden="1" x14ac:dyDescent="0.3">
      <c r="A918" s="67"/>
      <c r="C918" s="65"/>
      <c r="D918" s="65"/>
      <c r="E918" s="65"/>
      <c r="F918" s="65"/>
      <c r="G918" s="65"/>
      <c r="H918" s="65"/>
      <c r="I918" s="65"/>
      <c r="J918" s="65"/>
      <c r="K918" s="65"/>
      <c r="L918" s="65"/>
      <c r="M918" s="65"/>
      <c r="N918" s="64"/>
      <c r="O918" s="65"/>
      <c r="P918" s="65"/>
      <c r="Q918" s="65"/>
      <c r="R918" s="65"/>
    </row>
    <row r="919" spans="1:18" ht="16.8" hidden="1" x14ac:dyDescent="0.3">
      <c r="A919" s="68"/>
      <c r="C919" s="66"/>
      <c r="D919" s="66"/>
      <c r="E919" s="66"/>
      <c r="F919" s="66"/>
      <c r="G919" s="66"/>
      <c r="H919" s="66"/>
      <c r="I919" s="66"/>
      <c r="J919" s="66"/>
      <c r="K919" s="66"/>
      <c r="L919" s="66"/>
      <c r="M919" s="66"/>
      <c r="N919" s="69"/>
      <c r="O919" s="66"/>
      <c r="P919" s="66"/>
      <c r="Q919" s="66"/>
      <c r="R919" s="66"/>
    </row>
    <row r="920" spans="1:18" ht="16.8" hidden="1" x14ac:dyDescent="0.3">
      <c r="A920" s="67"/>
      <c r="C920" s="65"/>
      <c r="D920" s="65"/>
      <c r="E920" s="65"/>
      <c r="F920" s="65"/>
      <c r="G920" s="65"/>
      <c r="H920" s="65"/>
      <c r="I920" s="65"/>
      <c r="J920" s="65"/>
      <c r="K920" s="65"/>
      <c r="L920" s="65"/>
      <c r="M920" s="65"/>
      <c r="N920" s="64"/>
      <c r="O920" s="65"/>
      <c r="P920" s="65"/>
      <c r="Q920" s="65"/>
      <c r="R920" s="65"/>
    </row>
    <row r="921" spans="1:18" ht="16.8" hidden="1" x14ac:dyDescent="0.3">
      <c r="A921" s="68"/>
      <c r="C921" s="66"/>
      <c r="D921" s="66"/>
      <c r="E921" s="66"/>
      <c r="F921" s="66"/>
      <c r="G921" s="66"/>
      <c r="H921" s="66"/>
      <c r="I921" s="66"/>
      <c r="J921" s="66"/>
      <c r="K921" s="66"/>
      <c r="L921" s="66"/>
      <c r="M921" s="66"/>
      <c r="N921" s="69"/>
      <c r="O921" s="66"/>
      <c r="P921" s="66"/>
      <c r="Q921" s="66"/>
      <c r="R921" s="66"/>
    </row>
    <row r="922" spans="1:18" ht="16.8" hidden="1" x14ac:dyDescent="0.3">
      <c r="A922" s="67"/>
      <c r="C922" s="65"/>
      <c r="D922" s="65"/>
      <c r="E922" s="65"/>
      <c r="F922" s="65"/>
      <c r="G922" s="65"/>
      <c r="H922" s="65"/>
      <c r="I922" s="65"/>
      <c r="J922" s="65"/>
      <c r="K922" s="65"/>
      <c r="L922" s="65"/>
      <c r="M922" s="65"/>
      <c r="N922" s="64"/>
      <c r="O922" s="65"/>
      <c r="P922" s="65"/>
      <c r="Q922" s="65"/>
      <c r="R922" s="65"/>
    </row>
    <row r="923" spans="1:18" ht="16.8" hidden="1" x14ac:dyDescent="0.3">
      <c r="A923" s="68"/>
      <c r="C923" s="66"/>
      <c r="D923" s="66"/>
      <c r="E923" s="66"/>
      <c r="F923" s="66"/>
      <c r="G923" s="66"/>
      <c r="H923" s="66"/>
      <c r="I923" s="66"/>
      <c r="J923" s="66"/>
      <c r="K923" s="66"/>
      <c r="L923" s="66"/>
      <c r="M923" s="66"/>
      <c r="N923" s="69"/>
      <c r="O923" s="66"/>
      <c r="P923" s="66"/>
      <c r="Q923" s="66"/>
      <c r="R923" s="66"/>
    </row>
    <row r="924" spans="1:18" ht="16.8" hidden="1" x14ac:dyDescent="0.3">
      <c r="A924" s="67"/>
      <c r="C924" s="65"/>
      <c r="D924" s="65"/>
      <c r="E924" s="65"/>
      <c r="F924" s="65"/>
      <c r="G924" s="65"/>
      <c r="H924" s="65"/>
      <c r="I924" s="65"/>
      <c r="J924" s="65"/>
      <c r="K924" s="65"/>
      <c r="L924" s="65"/>
      <c r="M924" s="65"/>
      <c r="N924" s="64"/>
      <c r="O924" s="65"/>
      <c r="P924" s="65"/>
      <c r="Q924" s="65"/>
      <c r="R924" s="65"/>
    </row>
    <row r="925" spans="1:18" ht="16.8" hidden="1" x14ac:dyDescent="0.3">
      <c r="A925" s="68"/>
      <c r="C925" s="66"/>
      <c r="D925" s="66"/>
      <c r="E925" s="66"/>
      <c r="F925" s="66"/>
      <c r="G925" s="66"/>
      <c r="H925" s="66"/>
      <c r="I925" s="66"/>
      <c r="J925" s="66"/>
      <c r="K925" s="66"/>
      <c r="L925" s="66"/>
      <c r="M925" s="66"/>
      <c r="N925" s="69"/>
      <c r="O925" s="66"/>
      <c r="P925" s="66"/>
      <c r="Q925" s="66"/>
      <c r="R925" s="66"/>
    </row>
    <row r="926" spans="1:18" ht="16.8" hidden="1" x14ac:dyDescent="0.3">
      <c r="A926" s="67"/>
      <c r="C926" s="65"/>
      <c r="D926" s="65"/>
      <c r="E926" s="65"/>
      <c r="F926" s="65"/>
      <c r="G926" s="65"/>
      <c r="H926" s="65"/>
      <c r="I926" s="65"/>
      <c r="J926" s="65"/>
      <c r="K926" s="65"/>
      <c r="L926" s="65"/>
      <c r="M926" s="65"/>
      <c r="N926" s="64"/>
      <c r="O926" s="65"/>
      <c r="P926" s="65"/>
      <c r="Q926" s="65"/>
      <c r="R926" s="65"/>
    </row>
    <row r="927" spans="1:18" ht="16.8" hidden="1" x14ac:dyDescent="0.3">
      <c r="A927" s="68"/>
      <c r="C927" s="66"/>
      <c r="D927" s="66"/>
      <c r="E927" s="66"/>
      <c r="F927" s="66"/>
      <c r="G927" s="66"/>
      <c r="H927" s="66"/>
      <c r="I927" s="66"/>
      <c r="J927" s="66"/>
      <c r="K927" s="66"/>
      <c r="L927" s="66"/>
      <c r="M927" s="66"/>
      <c r="N927" s="69"/>
      <c r="O927" s="66"/>
      <c r="P927" s="66"/>
      <c r="Q927" s="66"/>
      <c r="R927" s="66"/>
    </row>
    <row r="928" spans="1:18" ht="16.8" hidden="1" x14ac:dyDescent="0.3">
      <c r="A928" s="67"/>
      <c r="C928" s="65"/>
      <c r="D928" s="65"/>
      <c r="E928" s="65"/>
      <c r="F928" s="65"/>
      <c r="G928" s="65"/>
      <c r="H928" s="65"/>
      <c r="I928" s="65"/>
      <c r="J928" s="65"/>
      <c r="K928" s="65"/>
      <c r="L928" s="65"/>
      <c r="M928" s="65"/>
      <c r="N928" s="64"/>
      <c r="O928" s="65"/>
      <c r="P928" s="65"/>
      <c r="Q928" s="65"/>
      <c r="R928" s="65"/>
    </row>
    <row r="929" spans="1:18" ht="16.8" hidden="1" x14ac:dyDescent="0.3">
      <c r="A929" s="68"/>
      <c r="C929" s="66"/>
      <c r="D929" s="66"/>
      <c r="E929" s="66"/>
      <c r="F929" s="66"/>
      <c r="G929" s="66"/>
      <c r="H929" s="66"/>
      <c r="I929" s="66"/>
      <c r="J929" s="66"/>
      <c r="K929" s="66"/>
      <c r="L929" s="66"/>
      <c r="M929" s="66"/>
      <c r="N929" s="69"/>
      <c r="O929" s="66"/>
      <c r="P929" s="66"/>
      <c r="Q929" s="66"/>
      <c r="R929" s="66"/>
    </row>
    <row r="930" spans="1:18" ht="16.8" hidden="1" x14ac:dyDescent="0.3">
      <c r="A930" s="67"/>
      <c r="C930" s="65"/>
      <c r="D930" s="65"/>
      <c r="E930" s="65"/>
      <c r="F930" s="65"/>
      <c r="G930" s="65"/>
      <c r="H930" s="65"/>
      <c r="I930" s="65"/>
      <c r="J930" s="65"/>
      <c r="K930" s="65"/>
      <c r="L930" s="65"/>
      <c r="M930" s="65"/>
      <c r="N930" s="64"/>
      <c r="O930" s="65"/>
      <c r="P930" s="65"/>
      <c r="Q930" s="65"/>
      <c r="R930" s="65"/>
    </row>
    <row r="931" spans="1:18" ht="16.8" hidden="1" x14ac:dyDescent="0.3">
      <c r="A931" s="68"/>
      <c r="C931" s="66"/>
      <c r="D931" s="66"/>
      <c r="E931" s="66"/>
      <c r="F931" s="66"/>
      <c r="G931" s="66"/>
      <c r="H931" s="66"/>
      <c r="I931" s="66"/>
      <c r="J931" s="66"/>
      <c r="K931" s="66"/>
      <c r="L931" s="66"/>
      <c r="M931" s="66"/>
      <c r="N931" s="69"/>
      <c r="O931" s="66"/>
      <c r="P931" s="66"/>
      <c r="Q931" s="66"/>
      <c r="R931" s="66"/>
    </row>
    <row r="932" spans="1:18" ht="16.8" hidden="1" x14ac:dyDescent="0.3">
      <c r="A932" s="67"/>
      <c r="C932" s="65"/>
      <c r="D932" s="65"/>
      <c r="E932" s="65"/>
      <c r="F932" s="65"/>
      <c r="G932" s="65"/>
      <c r="H932" s="65"/>
      <c r="I932" s="65"/>
      <c r="J932" s="65"/>
      <c r="K932" s="65"/>
      <c r="L932" s="65"/>
      <c r="M932" s="65"/>
      <c r="N932" s="64"/>
      <c r="O932" s="65"/>
      <c r="P932" s="65"/>
      <c r="Q932" s="65"/>
      <c r="R932" s="65"/>
    </row>
    <row r="933" spans="1:18" ht="16.8" hidden="1" x14ac:dyDescent="0.3">
      <c r="A933" s="68"/>
      <c r="C933" s="66"/>
      <c r="D933" s="66"/>
      <c r="E933" s="66"/>
      <c r="F933" s="66"/>
      <c r="G933" s="66"/>
      <c r="H933" s="66"/>
      <c r="I933" s="66"/>
      <c r="J933" s="66"/>
      <c r="K933" s="66"/>
      <c r="L933" s="66"/>
      <c r="M933" s="66"/>
      <c r="N933" s="69"/>
      <c r="O933" s="66"/>
      <c r="P933" s="66"/>
      <c r="Q933" s="66"/>
      <c r="R933" s="66"/>
    </row>
    <row r="934" spans="1:18" ht="16.8" hidden="1" x14ac:dyDescent="0.3">
      <c r="A934" s="67"/>
      <c r="C934" s="65"/>
      <c r="D934" s="65"/>
      <c r="E934" s="65"/>
      <c r="F934" s="65"/>
      <c r="G934" s="65"/>
      <c r="H934" s="65"/>
      <c r="I934" s="65"/>
      <c r="J934" s="65"/>
      <c r="K934" s="65"/>
      <c r="L934" s="65"/>
      <c r="M934" s="65"/>
      <c r="N934" s="64"/>
      <c r="O934" s="65"/>
      <c r="P934" s="65"/>
      <c r="Q934" s="65"/>
      <c r="R934" s="65"/>
    </row>
    <row r="935" spans="1:18" ht="16.8" hidden="1" x14ac:dyDescent="0.3">
      <c r="A935" s="68"/>
      <c r="C935" s="66"/>
      <c r="D935" s="66"/>
      <c r="E935" s="66"/>
      <c r="F935" s="66"/>
      <c r="G935" s="66"/>
      <c r="H935" s="66"/>
      <c r="I935" s="66"/>
      <c r="J935" s="66"/>
      <c r="K935" s="66"/>
      <c r="L935" s="66"/>
      <c r="M935" s="66"/>
      <c r="N935" s="69"/>
      <c r="O935" s="66"/>
      <c r="P935" s="66"/>
      <c r="Q935" s="66"/>
      <c r="R935" s="66"/>
    </row>
    <row r="936" spans="1:18" ht="16.8" hidden="1" x14ac:dyDescent="0.3">
      <c r="A936" s="67"/>
      <c r="C936" s="65"/>
      <c r="D936" s="65"/>
      <c r="E936" s="65"/>
      <c r="F936" s="65"/>
      <c r="G936" s="65"/>
      <c r="H936" s="65"/>
      <c r="I936" s="65"/>
      <c r="J936" s="65"/>
      <c r="K936" s="65"/>
      <c r="L936" s="65"/>
      <c r="M936" s="65"/>
      <c r="N936" s="64"/>
      <c r="O936" s="65"/>
      <c r="P936" s="65"/>
      <c r="Q936" s="65"/>
      <c r="R936" s="65"/>
    </row>
    <row r="937" spans="1:18" ht="16.8" hidden="1" x14ac:dyDescent="0.3">
      <c r="A937" s="68"/>
      <c r="C937" s="66"/>
      <c r="D937" s="66"/>
      <c r="E937" s="66"/>
      <c r="F937" s="66"/>
      <c r="G937" s="66"/>
      <c r="H937" s="66"/>
      <c r="I937" s="66"/>
      <c r="J937" s="66"/>
      <c r="K937" s="66"/>
      <c r="L937" s="66"/>
      <c r="M937" s="66"/>
      <c r="N937" s="69"/>
      <c r="O937" s="66"/>
      <c r="P937" s="66"/>
      <c r="Q937" s="66"/>
      <c r="R937" s="66"/>
    </row>
    <row r="938" spans="1:18" ht="16.8" hidden="1" x14ac:dyDescent="0.3">
      <c r="A938" s="67"/>
      <c r="C938" s="65"/>
      <c r="D938" s="65"/>
      <c r="E938" s="65"/>
      <c r="F938" s="65"/>
      <c r="G938" s="65"/>
      <c r="H938" s="65"/>
      <c r="I938" s="65"/>
      <c r="J938" s="65"/>
      <c r="K938" s="65"/>
      <c r="L938" s="65"/>
      <c r="M938" s="65"/>
      <c r="N938" s="64"/>
      <c r="O938" s="65"/>
      <c r="P938" s="65"/>
      <c r="Q938" s="65"/>
      <c r="R938" s="65"/>
    </row>
    <row r="939" spans="1:18" ht="16.8" hidden="1" x14ac:dyDescent="0.3">
      <c r="A939" s="68"/>
      <c r="C939" s="66"/>
      <c r="D939" s="66"/>
      <c r="E939" s="66"/>
      <c r="F939" s="66"/>
      <c r="G939" s="66"/>
      <c r="H939" s="66"/>
      <c r="I939" s="66"/>
      <c r="J939" s="66"/>
      <c r="K939" s="66"/>
      <c r="L939" s="66"/>
      <c r="M939" s="66"/>
      <c r="N939" s="69"/>
      <c r="O939" s="66"/>
      <c r="P939" s="66"/>
      <c r="Q939" s="66"/>
      <c r="R939" s="66"/>
    </row>
    <row r="940" spans="1:18" ht="16.8" hidden="1" x14ac:dyDescent="0.3">
      <c r="A940" s="67"/>
      <c r="C940" s="65"/>
      <c r="D940" s="65"/>
      <c r="E940" s="65"/>
      <c r="F940" s="65"/>
      <c r="G940" s="65"/>
      <c r="H940" s="65"/>
      <c r="I940" s="65"/>
      <c r="J940" s="65"/>
      <c r="K940" s="65"/>
      <c r="L940" s="65"/>
      <c r="M940" s="65"/>
      <c r="N940" s="64"/>
      <c r="O940" s="65"/>
      <c r="P940" s="65"/>
      <c r="Q940" s="65"/>
      <c r="R940" s="65"/>
    </row>
    <row r="941" spans="1:18" ht="16.8" hidden="1" x14ac:dyDescent="0.3">
      <c r="A941" s="68"/>
      <c r="C941" s="66"/>
      <c r="D941" s="66"/>
      <c r="E941" s="66"/>
      <c r="F941" s="66"/>
      <c r="G941" s="66"/>
      <c r="H941" s="66"/>
      <c r="I941" s="66"/>
      <c r="J941" s="66"/>
      <c r="K941" s="66"/>
      <c r="L941" s="66"/>
      <c r="M941" s="66"/>
      <c r="N941" s="69"/>
      <c r="O941" s="66"/>
      <c r="P941" s="66"/>
      <c r="Q941" s="66"/>
      <c r="R941" s="66"/>
    </row>
    <row r="942" spans="1:18" ht="16.8" hidden="1" x14ac:dyDescent="0.3">
      <c r="A942" s="67"/>
      <c r="C942" s="65"/>
      <c r="D942" s="65"/>
      <c r="E942" s="65"/>
      <c r="F942" s="65"/>
      <c r="G942" s="65"/>
      <c r="H942" s="65"/>
      <c r="I942" s="65"/>
      <c r="J942" s="65"/>
      <c r="K942" s="65"/>
      <c r="L942" s="65"/>
      <c r="M942" s="65"/>
      <c r="N942" s="64"/>
      <c r="O942" s="65"/>
      <c r="P942" s="65"/>
      <c r="Q942" s="65"/>
      <c r="R942" s="65"/>
    </row>
    <row r="943" spans="1:18" ht="16.8" hidden="1" x14ac:dyDescent="0.3">
      <c r="A943" s="68"/>
      <c r="C943" s="66"/>
      <c r="D943" s="66"/>
      <c r="E943" s="66"/>
      <c r="F943" s="66"/>
      <c r="G943" s="66"/>
      <c r="H943" s="66"/>
      <c r="I943" s="66"/>
      <c r="J943" s="66"/>
      <c r="K943" s="66"/>
      <c r="L943" s="66"/>
      <c r="M943" s="66"/>
      <c r="N943" s="69"/>
      <c r="O943" s="66"/>
      <c r="P943" s="66"/>
      <c r="Q943" s="66"/>
      <c r="R943" s="66"/>
    </row>
    <row r="944" spans="1:18" ht="16.8" hidden="1" x14ac:dyDescent="0.3">
      <c r="A944" s="67"/>
      <c r="C944" s="65"/>
      <c r="D944" s="65"/>
      <c r="E944" s="65"/>
      <c r="F944" s="65"/>
      <c r="G944" s="65"/>
      <c r="H944" s="65"/>
      <c r="I944" s="65"/>
      <c r="J944" s="65"/>
      <c r="K944" s="65"/>
      <c r="L944" s="65"/>
      <c r="M944" s="65"/>
      <c r="N944" s="64"/>
      <c r="O944" s="65"/>
      <c r="P944" s="65"/>
      <c r="Q944" s="65"/>
      <c r="R944" s="65"/>
    </row>
    <row r="945" spans="1:18" ht="16.8" hidden="1" x14ac:dyDescent="0.3">
      <c r="A945" s="68"/>
      <c r="C945" s="66"/>
      <c r="D945" s="66"/>
      <c r="E945" s="66"/>
      <c r="F945" s="66"/>
      <c r="G945" s="66"/>
      <c r="H945" s="66"/>
      <c r="I945" s="66"/>
      <c r="J945" s="66"/>
      <c r="K945" s="66"/>
      <c r="L945" s="66"/>
      <c r="M945" s="66"/>
      <c r="N945" s="69"/>
      <c r="O945" s="66"/>
      <c r="P945" s="66"/>
      <c r="Q945" s="66"/>
      <c r="R945" s="66"/>
    </row>
    <row r="946" spans="1:18" ht="16.8" hidden="1" x14ac:dyDescent="0.3">
      <c r="A946" s="67"/>
      <c r="C946" s="65"/>
      <c r="D946" s="65"/>
      <c r="E946" s="65"/>
      <c r="F946" s="65"/>
      <c r="G946" s="65"/>
      <c r="H946" s="65"/>
      <c r="I946" s="65"/>
      <c r="J946" s="65"/>
      <c r="K946" s="65"/>
      <c r="L946" s="65"/>
      <c r="M946" s="65"/>
      <c r="N946" s="64"/>
      <c r="O946" s="65"/>
      <c r="P946" s="65"/>
      <c r="Q946" s="65"/>
      <c r="R946" s="65"/>
    </row>
    <row r="947" spans="1:18" ht="16.8" hidden="1" x14ac:dyDescent="0.3">
      <c r="A947" s="68"/>
      <c r="C947" s="66"/>
      <c r="D947" s="66"/>
      <c r="E947" s="66"/>
      <c r="F947" s="66"/>
      <c r="G947" s="66"/>
      <c r="H947" s="66"/>
      <c r="I947" s="66"/>
      <c r="J947" s="66"/>
      <c r="K947" s="66"/>
      <c r="L947" s="66"/>
      <c r="M947" s="66"/>
      <c r="N947" s="69"/>
      <c r="O947" s="66"/>
      <c r="P947" s="66"/>
      <c r="Q947" s="66"/>
      <c r="R947" s="66"/>
    </row>
    <row r="948" spans="1:18" ht="16.8" hidden="1" x14ac:dyDescent="0.3">
      <c r="A948" s="67"/>
      <c r="C948" s="65"/>
      <c r="D948" s="65"/>
      <c r="E948" s="65"/>
      <c r="F948" s="65"/>
      <c r="G948" s="65"/>
      <c r="H948" s="65"/>
      <c r="I948" s="65"/>
      <c r="J948" s="65"/>
      <c r="K948" s="65"/>
      <c r="L948" s="65"/>
      <c r="M948" s="65"/>
      <c r="N948" s="64"/>
      <c r="O948" s="65"/>
      <c r="P948" s="65"/>
      <c r="Q948" s="65"/>
      <c r="R948" s="65"/>
    </row>
    <row r="949" spans="1:18" ht="16.8" hidden="1" x14ac:dyDescent="0.3">
      <c r="A949" s="68"/>
      <c r="C949" s="66"/>
      <c r="D949" s="66"/>
      <c r="E949" s="66"/>
      <c r="F949" s="66"/>
      <c r="G949" s="66"/>
      <c r="H949" s="66"/>
      <c r="I949" s="66"/>
      <c r="J949" s="66"/>
      <c r="K949" s="66"/>
      <c r="L949" s="66"/>
      <c r="M949" s="66"/>
      <c r="N949" s="69"/>
      <c r="O949" s="66"/>
      <c r="P949" s="66"/>
      <c r="Q949" s="66"/>
      <c r="R949" s="66"/>
    </row>
    <row r="950" spans="1:18" ht="16.8" hidden="1" x14ac:dyDescent="0.3">
      <c r="A950" s="67"/>
      <c r="C950" s="65"/>
      <c r="D950" s="65"/>
      <c r="E950" s="65"/>
      <c r="F950" s="65"/>
      <c r="G950" s="65"/>
      <c r="H950" s="65"/>
      <c r="I950" s="65"/>
      <c r="J950" s="65"/>
      <c r="K950" s="65"/>
      <c r="L950" s="65"/>
      <c r="M950" s="65"/>
      <c r="N950" s="64"/>
      <c r="O950" s="65"/>
      <c r="P950" s="65"/>
      <c r="Q950" s="65"/>
      <c r="R950" s="65"/>
    </row>
    <row r="951" spans="1:18" ht="16.8" hidden="1" x14ac:dyDescent="0.3">
      <c r="A951" s="68"/>
      <c r="C951" s="66"/>
      <c r="D951" s="66"/>
      <c r="E951" s="66"/>
      <c r="F951" s="66"/>
      <c r="G951" s="66"/>
      <c r="H951" s="66"/>
      <c r="I951" s="66"/>
      <c r="J951" s="66"/>
      <c r="K951" s="66"/>
      <c r="L951" s="66"/>
      <c r="M951" s="66"/>
      <c r="N951" s="69"/>
      <c r="O951" s="66"/>
      <c r="P951" s="66"/>
      <c r="Q951" s="66"/>
      <c r="R951" s="66"/>
    </row>
    <row r="952" spans="1:18" ht="16.8" hidden="1" x14ac:dyDescent="0.3">
      <c r="A952" s="67"/>
      <c r="C952" s="65"/>
      <c r="D952" s="65"/>
      <c r="E952" s="65"/>
      <c r="F952" s="65"/>
      <c r="G952" s="65"/>
      <c r="H952" s="65"/>
      <c r="I952" s="65"/>
      <c r="J952" s="65"/>
      <c r="K952" s="65"/>
      <c r="L952" s="65"/>
      <c r="M952" s="65"/>
      <c r="N952" s="64"/>
      <c r="O952" s="65"/>
      <c r="P952" s="65"/>
      <c r="Q952" s="65"/>
      <c r="R952" s="65"/>
    </row>
    <row r="953" spans="1:18" ht="16.8" hidden="1" x14ac:dyDescent="0.3">
      <c r="A953" s="68"/>
      <c r="C953" s="66"/>
      <c r="D953" s="66"/>
      <c r="E953" s="66"/>
      <c r="F953" s="66"/>
      <c r="G953" s="66"/>
      <c r="H953" s="66"/>
      <c r="I953" s="66"/>
      <c r="J953" s="66"/>
      <c r="K953" s="66"/>
      <c r="L953" s="66"/>
      <c r="M953" s="66"/>
      <c r="N953" s="69"/>
      <c r="O953" s="66"/>
      <c r="P953" s="66"/>
      <c r="Q953" s="66"/>
      <c r="R953" s="66"/>
    </row>
    <row r="954" spans="1:18" ht="16.8" hidden="1" x14ac:dyDescent="0.3">
      <c r="A954" s="67"/>
      <c r="C954" s="65"/>
      <c r="D954" s="65"/>
      <c r="E954" s="65"/>
      <c r="F954" s="65"/>
      <c r="G954" s="65"/>
      <c r="H954" s="65"/>
      <c r="I954" s="65"/>
      <c r="J954" s="65"/>
      <c r="K954" s="65"/>
      <c r="L954" s="65"/>
      <c r="M954" s="65"/>
      <c r="N954" s="64"/>
      <c r="O954" s="65"/>
      <c r="P954" s="65"/>
      <c r="Q954" s="65"/>
      <c r="R954" s="65"/>
    </row>
    <row r="955" spans="1:18" ht="16.8" hidden="1" x14ac:dyDescent="0.3">
      <c r="A955" s="68"/>
      <c r="C955" s="66"/>
      <c r="D955" s="66"/>
      <c r="E955" s="66"/>
      <c r="F955" s="66"/>
      <c r="G955" s="66"/>
      <c r="H955" s="66"/>
      <c r="I955" s="66"/>
      <c r="J955" s="66"/>
      <c r="K955" s="66"/>
      <c r="L955" s="66"/>
      <c r="M955" s="66"/>
      <c r="N955" s="69"/>
      <c r="O955" s="66"/>
      <c r="P955" s="66"/>
      <c r="Q955" s="66"/>
      <c r="R955" s="66"/>
    </row>
    <row r="956" spans="1:18" ht="16.8" hidden="1" x14ac:dyDescent="0.3">
      <c r="A956" s="67"/>
      <c r="C956" s="65"/>
      <c r="D956" s="65"/>
      <c r="E956" s="65"/>
      <c r="F956" s="65"/>
      <c r="G956" s="65"/>
      <c r="H956" s="65"/>
      <c r="I956" s="65"/>
      <c r="J956" s="65"/>
      <c r="K956" s="65"/>
      <c r="L956" s="65"/>
      <c r="M956" s="65"/>
      <c r="N956" s="64"/>
      <c r="O956" s="65"/>
      <c r="P956" s="65"/>
      <c r="Q956" s="65"/>
      <c r="R956" s="65"/>
    </row>
    <row r="957" spans="1:18" ht="16.8" hidden="1" x14ac:dyDescent="0.3">
      <c r="A957" s="68"/>
      <c r="C957" s="66"/>
      <c r="D957" s="66"/>
      <c r="E957" s="66"/>
      <c r="F957" s="66"/>
      <c r="G957" s="66"/>
      <c r="H957" s="66"/>
      <c r="I957" s="66"/>
      <c r="J957" s="66"/>
      <c r="K957" s="66"/>
      <c r="L957" s="66"/>
      <c r="M957" s="66"/>
      <c r="N957" s="69"/>
      <c r="O957" s="66"/>
      <c r="P957" s="66"/>
      <c r="Q957" s="66"/>
      <c r="R957" s="66"/>
    </row>
    <row r="958" spans="1:18" ht="16.8" hidden="1" x14ac:dyDescent="0.3">
      <c r="A958" s="67"/>
      <c r="C958" s="65"/>
      <c r="D958" s="65"/>
      <c r="E958" s="65"/>
      <c r="F958" s="65"/>
      <c r="G958" s="65"/>
      <c r="H958" s="65"/>
      <c r="I958" s="65"/>
      <c r="J958" s="65"/>
      <c r="K958" s="65"/>
      <c r="L958" s="65"/>
      <c r="M958" s="65"/>
      <c r="N958" s="64"/>
      <c r="O958" s="65"/>
      <c r="P958" s="65"/>
      <c r="Q958" s="65"/>
      <c r="R958" s="65"/>
    </row>
    <row r="959" spans="1:18" ht="16.8" hidden="1" x14ac:dyDescent="0.3">
      <c r="A959" s="68"/>
      <c r="C959" s="66"/>
      <c r="D959" s="66"/>
      <c r="E959" s="66"/>
      <c r="F959" s="66"/>
      <c r="G959" s="66"/>
      <c r="H959" s="66"/>
      <c r="I959" s="66"/>
      <c r="J959" s="66"/>
      <c r="K959" s="66"/>
      <c r="L959" s="66"/>
      <c r="M959" s="66"/>
      <c r="N959" s="69"/>
      <c r="O959" s="66"/>
      <c r="P959" s="66"/>
      <c r="Q959" s="66"/>
      <c r="R959" s="66"/>
    </row>
    <row r="960" spans="1:18" ht="16.8" hidden="1" x14ac:dyDescent="0.3">
      <c r="A960" s="67"/>
      <c r="C960" s="65"/>
      <c r="D960" s="65"/>
      <c r="E960" s="65"/>
      <c r="F960" s="65"/>
      <c r="G960" s="65"/>
      <c r="H960" s="65"/>
      <c r="I960" s="65"/>
      <c r="J960" s="65"/>
      <c r="K960" s="65"/>
      <c r="L960" s="65"/>
      <c r="M960" s="65"/>
      <c r="N960" s="64"/>
      <c r="O960" s="65"/>
      <c r="P960" s="65"/>
      <c r="Q960" s="65"/>
      <c r="R960" s="65"/>
    </row>
    <row r="961" spans="1:18" ht="16.8" hidden="1" x14ac:dyDescent="0.3">
      <c r="A961" s="68"/>
      <c r="C961" s="66"/>
      <c r="D961" s="66"/>
      <c r="E961" s="66"/>
      <c r="F961" s="66"/>
      <c r="G961" s="66"/>
      <c r="H961" s="66"/>
      <c r="I961" s="66"/>
      <c r="J961" s="66"/>
      <c r="K961" s="66"/>
      <c r="L961" s="66"/>
      <c r="M961" s="66"/>
      <c r="N961" s="69"/>
      <c r="O961" s="66"/>
      <c r="P961" s="66"/>
      <c r="Q961" s="66"/>
      <c r="R961" s="66"/>
    </row>
    <row r="962" spans="1:18" ht="16.8" hidden="1" x14ac:dyDescent="0.3">
      <c r="A962" s="67"/>
      <c r="C962" s="65"/>
      <c r="D962" s="65"/>
      <c r="E962" s="65"/>
      <c r="F962" s="65"/>
      <c r="G962" s="65"/>
      <c r="H962" s="65"/>
      <c r="I962" s="65"/>
      <c r="J962" s="65"/>
      <c r="K962" s="65"/>
      <c r="L962" s="65"/>
      <c r="M962" s="65"/>
      <c r="N962" s="64"/>
      <c r="O962" s="65"/>
      <c r="P962" s="65"/>
      <c r="Q962" s="65"/>
      <c r="R962" s="65"/>
    </row>
    <row r="963" spans="1:18" ht="16.8" hidden="1" x14ac:dyDescent="0.3">
      <c r="A963" s="68"/>
      <c r="C963" s="66"/>
      <c r="D963" s="66"/>
      <c r="E963" s="66"/>
      <c r="F963" s="66"/>
      <c r="G963" s="66"/>
      <c r="H963" s="66"/>
      <c r="I963" s="66"/>
      <c r="J963" s="66"/>
      <c r="K963" s="66"/>
      <c r="L963" s="66"/>
      <c r="M963" s="66"/>
      <c r="N963" s="69"/>
      <c r="O963" s="66"/>
      <c r="P963" s="66"/>
      <c r="Q963" s="66"/>
      <c r="R963" s="66"/>
    </row>
    <row r="964" spans="1:18" ht="16.8" hidden="1" x14ac:dyDescent="0.3">
      <c r="A964" s="67"/>
      <c r="C964" s="65"/>
      <c r="D964" s="65"/>
      <c r="E964" s="65"/>
      <c r="F964" s="65"/>
      <c r="G964" s="65"/>
      <c r="H964" s="65"/>
      <c r="I964" s="65"/>
      <c r="J964" s="65"/>
      <c r="K964" s="65"/>
      <c r="L964" s="65"/>
      <c r="M964" s="65"/>
      <c r="N964" s="64"/>
      <c r="O964" s="65"/>
      <c r="P964" s="65"/>
      <c r="Q964" s="65"/>
      <c r="R964" s="65"/>
    </row>
    <row r="965" spans="1:18" ht="16.8" hidden="1" x14ac:dyDescent="0.3">
      <c r="A965" s="68"/>
      <c r="C965" s="66"/>
      <c r="D965" s="66"/>
      <c r="E965" s="66"/>
      <c r="F965" s="66"/>
      <c r="G965" s="66"/>
      <c r="H965" s="66"/>
      <c r="I965" s="66"/>
      <c r="J965" s="66"/>
      <c r="K965" s="66"/>
      <c r="L965" s="66"/>
      <c r="M965" s="66"/>
      <c r="N965" s="69"/>
      <c r="O965" s="66"/>
      <c r="P965" s="66"/>
      <c r="Q965" s="66"/>
      <c r="R965" s="66"/>
    </row>
    <row r="966" spans="1:18" ht="16.8" hidden="1" x14ac:dyDescent="0.3">
      <c r="A966" s="67"/>
      <c r="C966" s="65"/>
      <c r="D966" s="65"/>
      <c r="E966" s="65"/>
      <c r="F966" s="65"/>
      <c r="G966" s="65"/>
      <c r="H966" s="65"/>
      <c r="I966" s="65"/>
      <c r="J966" s="65"/>
      <c r="K966" s="65"/>
      <c r="L966" s="65"/>
      <c r="M966" s="65"/>
      <c r="N966" s="64"/>
      <c r="O966" s="65"/>
      <c r="P966" s="65"/>
      <c r="Q966" s="65"/>
      <c r="R966" s="65"/>
    </row>
    <row r="967" spans="1:18" ht="16.8" hidden="1" x14ac:dyDescent="0.3">
      <c r="A967" s="68"/>
      <c r="C967" s="66"/>
      <c r="D967" s="66"/>
      <c r="E967" s="66"/>
      <c r="F967" s="66"/>
      <c r="G967" s="66"/>
      <c r="H967" s="66"/>
      <c r="I967" s="66"/>
      <c r="J967" s="66"/>
      <c r="K967" s="66"/>
      <c r="L967" s="66"/>
      <c r="M967" s="66"/>
      <c r="N967" s="69"/>
      <c r="O967" s="66"/>
      <c r="P967" s="66"/>
      <c r="Q967" s="66"/>
      <c r="R967" s="66"/>
    </row>
    <row r="968" spans="1:18" ht="16.8" hidden="1" x14ac:dyDescent="0.3">
      <c r="A968" s="67"/>
      <c r="C968" s="65"/>
      <c r="D968" s="65"/>
      <c r="E968" s="65"/>
      <c r="F968" s="65"/>
      <c r="G968" s="65"/>
      <c r="H968" s="65"/>
      <c r="I968" s="65"/>
      <c r="J968" s="65"/>
      <c r="K968" s="65"/>
      <c r="L968" s="65"/>
      <c r="M968" s="65"/>
      <c r="N968" s="64"/>
      <c r="O968" s="65"/>
      <c r="P968" s="65"/>
      <c r="Q968" s="65"/>
      <c r="R968" s="65"/>
    </row>
    <row r="969" spans="1:18" ht="16.8" hidden="1" x14ac:dyDescent="0.3">
      <c r="A969" s="68"/>
      <c r="C969" s="66"/>
      <c r="D969" s="66"/>
      <c r="E969" s="66"/>
      <c r="F969" s="66"/>
      <c r="G969" s="66"/>
      <c r="H969" s="66"/>
      <c r="I969" s="66"/>
      <c r="J969" s="66"/>
      <c r="K969" s="66"/>
      <c r="L969" s="66"/>
      <c r="M969" s="66"/>
      <c r="N969" s="69"/>
      <c r="O969" s="66"/>
      <c r="P969" s="66"/>
      <c r="Q969" s="66"/>
      <c r="R969" s="66"/>
    </row>
    <row r="970" spans="1:18" ht="16.8" hidden="1" x14ac:dyDescent="0.3">
      <c r="A970" s="67"/>
      <c r="C970" s="65"/>
      <c r="D970" s="65"/>
      <c r="E970" s="65"/>
      <c r="F970" s="65"/>
      <c r="G970" s="65"/>
      <c r="H970" s="65"/>
      <c r="I970" s="65"/>
      <c r="J970" s="65"/>
      <c r="K970" s="65"/>
      <c r="L970" s="65"/>
      <c r="M970" s="65"/>
      <c r="N970" s="64"/>
      <c r="O970" s="65"/>
      <c r="P970" s="65"/>
      <c r="Q970" s="65"/>
      <c r="R970" s="65"/>
    </row>
    <row r="971" spans="1:18" ht="16.8" hidden="1" x14ac:dyDescent="0.3">
      <c r="A971" s="68"/>
      <c r="C971" s="66"/>
      <c r="D971" s="66"/>
      <c r="E971" s="66"/>
      <c r="F971" s="66"/>
      <c r="G971" s="66"/>
      <c r="H971" s="66"/>
      <c r="I971" s="66"/>
      <c r="J971" s="66"/>
      <c r="K971" s="66"/>
      <c r="L971" s="66"/>
      <c r="M971" s="66"/>
      <c r="N971" s="69"/>
      <c r="O971" s="66"/>
      <c r="P971" s="66"/>
      <c r="Q971" s="66"/>
      <c r="R971" s="66"/>
    </row>
    <row r="972" spans="1:18" ht="16.8" hidden="1" x14ac:dyDescent="0.3">
      <c r="A972" s="67"/>
      <c r="C972" s="65"/>
      <c r="D972" s="65"/>
      <c r="E972" s="65"/>
      <c r="F972" s="65"/>
      <c r="G972" s="65"/>
      <c r="H972" s="65"/>
      <c r="I972" s="65"/>
      <c r="J972" s="65"/>
      <c r="K972" s="65"/>
      <c r="L972" s="65"/>
      <c r="M972" s="65"/>
      <c r="N972" s="64"/>
      <c r="O972" s="65"/>
      <c r="P972" s="65"/>
      <c r="Q972" s="65"/>
      <c r="R972" s="65"/>
    </row>
    <row r="973" spans="1:18" ht="16.8" hidden="1" x14ac:dyDescent="0.3">
      <c r="A973" s="68"/>
      <c r="C973" s="66"/>
      <c r="D973" s="66"/>
      <c r="E973" s="66"/>
      <c r="F973" s="66"/>
      <c r="G973" s="66"/>
      <c r="H973" s="66"/>
      <c r="I973" s="66"/>
      <c r="J973" s="66"/>
      <c r="K973" s="66"/>
      <c r="L973" s="66"/>
      <c r="M973" s="66"/>
      <c r="N973" s="69"/>
      <c r="O973" s="66"/>
      <c r="P973" s="66"/>
      <c r="Q973" s="66"/>
      <c r="R973" s="66"/>
    </row>
    <row r="974" spans="1:18" ht="16.8" hidden="1" x14ac:dyDescent="0.3">
      <c r="A974" s="67"/>
      <c r="C974" s="65"/>
      <c r="D974" s="65"/>
      <c r="E974" s="65"/>
      <c r="F974" s="65"/>
      <c r="G974" s="65"/>
      <c r="H974" s="65"/>
      <c r="I974" s="65"/>
      <c r="J974" s="65"/>
      <c r="K974" s="65"/>
      <c r="L974" s="65"/>
      <c r="M974" s="65"/>
      <c r="N974" s="64"/>
      <c r="O974" s="65"/>
      <c r="P974" s="65"/>
      <c r="Q974" s="65"/>
      <c r="R974" s="65"/>
    </row>
    <row r="975" spans="1:18" ht="16.8" hidden="1" x14ac:dyDescent="0.3">
      <c r="A975" s="68"/>
      <c r="C975" s="66"/>
      <c r="D975" s="66"/>
      <c r="E975" s="66"/>
      <c r="F975" s="66"/>
      <c r="G975" s="66"/>
      <c r="H975" s="66"/>
      <c r="I975" s="66"/>
      <c r="J975" s="66"/>
      <c r="K975" s="66"/>
      <c r="L975" s="66"/>
      <c r="M975" s="66"/>
      <c r="N975" s="69"/>
      <c r="O975" s="66"/>
      <c r="P975" s="66"/>
      <c r="Q975" s="66"/>
      <c r="R975" s="66"/>
    </row>
    <row r="976" spans="1:18" ht="16.8" hidden="1" x14ac:dyDescent="0.3">
      <c r="A976" s="67"/>
      <c r="C976" s="65"/>
      <c r="D976" s="65"/>
      <c r="E976" s="65"/>
      <c r="F976" s="65"/>
      <c r="G976" s="65"/>
      <c r="H976" s="65"/>
      <c r="I976" s="65"/>
      <c r="J976" s="65"/>
      <c r="K976" s="65"/>
      <c r="L976" s="65"/>
      <c r="M976" s="65"/>
      <c r="N976" s="64"/>
      <c r="O976" s="65"/>
      <c r="P976" s="65"/>
      <c r="Q976" s="65"/>
      <c r="R976" s="65"/>
    </row>
    <row r="977" spans="1:18" ht="16.8" hidden="1" x14ac:dyDescent="0.3">
      <c r="A977" s="68"/>
      <c r="C977" s="66"/>
      <c r="D977" s="66"/>
      <c r="E977" s="66"/>
      <c r="F977" s="66"/>
      <c r="G977" s="66"/>
      <c r="H977" s="66"/>
      <c r="I977" s="66"/>
      <c r="J977" s="66"/>
      <c r="K977" s="66"/>
      <c r="L977" s="66"/>
      <c r="M977" s="66"/>
      <c r="N977" s="69"/>
      <c r="O977" s="66"/>
      <c r="P977" s="66"/>
      <c r="Q977" s="66"/>
      <c r="R977" s="66"/>
    </row>
    <row r="978" spans="1:18" ht="16.8" hidden="1" x14ac:dyDescent="0.3">
      <c r="A978" s="67"/>
      <c r="C978" s="65"/>
      <c r="D978" s="65"/>
      <c r="E978" s="65"/>
      <c r="F978" s="65"/>
      <c r="G978" s="65"/>
      <c r="H978" s="65"/>
      <c r="I978" s="65"/>
      <c r="J978" s="65"/>
      <c r="K978" s="65"/>
      <c r="L978" s="65"/>
      <c r="M978" s="65"/>
      <c r="N978" s="64"/>
      <c r="O978" s="65"/>
      <c r="P978" s="65"/>
      <c r="Q978" s="65"/>
      <c r="R978" s="65"/>
    </row>
    <row r="979" spans="1:18" ht="16.8" hidden="1" x14ac:dyDescent="0.3">
      <c r="A979" s="68"/>
      <c r="C979" s="66"/>
      <c r="D979" s="66"/>
      <c r="E979" s="66"/>
      <c r="F979" s="66"/>
      <c r="G979" s="66"/>
      <c r="H979" s="66"/>
      <c r="I979" s="66"/>
      <c r="J979" s="66"/>
      <c r="K979" s="66"/>
      <c r="L979" s="66"/>
      <c r="M979" s="66"/>
      <c r="N979" s="69"/>
      <c r="O979" s="66"/>
      <c r="P979" s="66"/>
      <c r="Q979" s="66"/>
      <c r="R979" s="66"/>
    </row>
    <row r="980" spans="1:18" ht="16.8" hidden="1" x14ac:dyDescent="0.3">
      <c r="A980" s="67"/>
      <c r="C980" s="65"/>
      <c r="D980" s="65"/>
      <c r="E980" s="65"/>
      <c r="F980" s="65"/>
      <c r="G980" s="65"/>
      <c r="H980" s="65"/>
      <c r="I980" s="65"/>
      <c r="J980" s="65"/>
      <c r="K980" s="65"/>
      <c r="L980" s="65"/>
      <c r="M980" s="65"/>
      <c r="N980" s="64"/>
      <c r="O980" s="65"/>
      <c r="P980" s="65"/>
      <c r="Q980" s="65"/>
      <c r="R980" s="65"/>
    </row>
    <row r="981" spans="1:18" ht="16.8" hidden="1" x14ac:dyDescent="0.3">
      <c r="A981" s="68"/>
      <c r="C981" s="66"/>
      <c r="D981" s="66"/>
      <c r="E981" s="66"/>
      <c r="F981" s="66"/>
      <c r="G981" s="66"/>
      <c r="H981" s="66"/>
      <c r="I981" s="66"/>
      <c r="J981" s="66"/>
      <c r="K981" s="66"/>
      <c r="L981" s="66"/>
      <c r="M981" s="66"/>
      <c r="N981" s="69"/>
      <c r="O981" s="66"/>
      <c r="P981" s="66"/>
      <c r="Q981" s="66"/>
      <c r="R981" s="66"/>
    </row>
    <row r="982" spans="1:18" ht="16.8" hidden="1" x14ac:dyDescent="0.3">
      <c r="A982" s="67"/>
      <c r="C982" s="65"/>
      <c r="D982" s="65"/>
      <c r="E982" s="65"/>
      <c r="F982" s="65"/>
      <c r="G982" s="65"/>
      <c r="H982" s="65"/>
      <c r="I982" s="65"/>
      <c r="J982" s="65"/>
      <c r="K982" s="65"/>
      <c r="L982" s="65"/>
      <c r="M982" s="65"/>
      <c r="N982" s="64"/>
      <c r="O982" s="65"/>
      <c r="P982" s="65"/>
      <c r="Q982" s="65"/>
      <c r="R982" s="65"/>
    </row>
    <row r="983" spans="1:18" ht="16.8" hidden="1" x14ac:dyDescent="0.3">
      <c r="A983" s="68"/>
      <c r="C983" s="66"/>
      <c r="D983" s="66"/>
      <c r="E983" s="66"/>
      <c r="F983" s="66"/>
      <c r="G983" s="66"/>
      <c r="H983" s="66"/>
      <c r="I983" s="66"/>
      <c r="J983" s="66"/>
      <c r="K983" s="66"/>
      <c r="L983" s="66"/>
      <c r="M983" s="66"/>
      <c r="N983" s="69"/>
      <c r="O983" s="66"/>
      <c r="P983" s="66"/>
      <c r="Q983" s="66"/>
      <c r="R983" s="66"/>
    </row>
    <row r="984" spans="1:18" ht="16.8" hidden="1" x14ac:dyDescent="0.3">
      <c r="A984" s="67"/>
      <c r="C984" s="65"/>
      <c r="D984" s="65"/>
      <c r="E984" s="65"/>
      <c r="F984" s="65"/>
      <c r="G984" s="65"/>
      <c r="H984" s="65"/>
      <c r="I984" s="65"/>
      <c r="J984" s="65"/>
      <c r="K984" s="65"/>
      <c r="L984" s="65"/>
      <c r="M984" s="65"/>
      <c r="N984" s="64"/>
      <c r="O984" s="65"/>
      <c r="P984" s="65"/>
      <c r="Q984" s="65"/>
      <c r="R984" s="65"/>
    </row>
    <row r="985" spans="1:18" ht="16.8" hidden="1" x14ac:dyDescent="0.3">
      <c r="A985" s="68"/>
      <c r="C985" s="66"/>
      <c r="D985" s="66"/>
      <c r="E985" s="66"/>
      <c r="F985" s="66"/>
      <c r="G985" s="66"/>
      <c r="H985" s="66"/>
      <c r="I985" s="66"/>
      <c r="J985" s="66"/>
      <c r="K985" s="66"/>
      <c r="L985" s="66"/>
      <c r="M985" s="66"/>
      <c r="N985" s="69"/>
      <c r="O985" s="66"/>
      <c r="P985" s="66"/>
      <c r="Q985" s="66"/>
      <c r="R985" s="66"/>
    </row>
    <row r="986" spans="1:18" ht="16.8" hidden="1" x14ac:dyDescent="0.3">
      <c r="A986" s="67"/>
      <c r="C986" s="65"/>
      <c r="D986" s="65"/>
      <c r="E986" s="65"/>
      <c r="F986" s="65"/>
      <c r="G986" s="65"/>
      <c r="H986" s="65"/>
      <c r="I986" s="65"/>
      <c r="J986" s="65"/>
      <c r="K986" s="65"/>
      <c r="L986" s="65"/>
      <c r="M986" s="65"/>
      <c r="N986" s="64"/>
      <c r="O986" s="65"/>
      <c r="P986" s="65"/>
      <c r="Q986" s="65"/>
      <c r="R986" s="65"/>
    </row>
    <row r="987" spans="1:18" ht="16.8" hidden="1" x14ac:dyDescent="0.3">
      <c r="A987" s="68"/>
      <c r="C987" s="66"/>
      <c r="D987" s="66"/>
      <c r="E987" s="66"/>
      <c r="F987" s="66"/>
      <c r="G987" s="66"/>
      <c r="H987" s="66"/>
      <c r="I987" s="66"/>
      <c r="J987" s="66"/>
      <c r="K987" s="66"/>
      <c r="L987" s="66"/>
      <c r="M987" s="66"/>
      <c r="N987" s="69"/>
      <c r="O987" s="66"/>
      <c r="P987" s="66"/>
      <c r="Q987" s="66"/>
      <c r="R987" s="66"/>
    </row>
    <row r="988" spans="1:18" ht="16.8" hidden="1" x14ac:dyDescent="0.3">
      <c r="A988" s="67"/>
      <c r="C988" s="65"/>
      <c r="D988" s="65"/>
      <c r="E988" s="65"/>
      <c r="F988" s="65"/>
      <c r="G988" s="65"/>
      <c r="H988" s="65"/>
      <c r="I988" s="65"/>
      <c r="J988" s="65"/>
      <c r="K988" s="65"/>
      <c r="L988" s="65"/>
      <c r="M988" s="65"/>
      <c r="N988" s="64"/>
      <c r="O988" s="65"/>
      <c r="P988" s="65"/>
      <c r="Q988" s="65"/>
      <c r="R988" s="65"/>
    </row>
    <row r="989" spans="1:18" ht="16.8" hidden="1" x14ac:dyDescent="0.3">
      <c r="A989" s="68"/>
      <c r="C989" s="66"/>
      <c r="D989" s="66"/>
      <c r="E989" s="66"/>
      <c r="F989" s="66"/>
      <c r="G989" s="66"/>
      <c r="H989" s="66"/>
      <c r="I989" s="66"/>
      <c r="J989" s="66"/>
      <c r="K989" s="66"/>
      <c r="L989" s="66"/>
      <c r="M989" s="66"/>
      <c r="N989" s="69"/>
      <c r="O989" s="66"/>
      <c r="P989" s="66"/>
      <c r="Q989" s="66"/>
      <c r="R989" s="66"/>
    </row>
    <row r="990" spans="1:18" ht="16.8" hidden="1" x14ac:dyDescent="0.3">
      <c r="A990" s="67"/>
      <c r="C990" s="65"/>
      <c r="D990" s="65"/>
      <c r="E990" s="65"/>
      <c r="F990" s="65"/>
      <c r="G990" s="65"/>
      <c r="H990" s="65"/>
      <c r="I990" s="65"/>
      <c r="J990" s="65"/>
      <c r="K990" s="65"/>
      <c r="L990" s="65"/>
      <c r="M990" s="65"/>
      <c r="N990" s="64"/>
      <c r="O990" s="65"/>
      <c r="P990" s="65"/>
      <c r="Q990" s="65"/>
      <c r="R990" s="65"/>
    </row>
    <row r="991" spans="1:18" ht="16.8" hidden="1" x14ac:dyDescent="0.3">
      <c r="A991" s="68"/>
      <c r="C991" s="66"/>
      <c r="D991" s="66"/>
      <c r="E991" s="66"/>
      <c r="F991" s="66"/>
      <c r="G991" s="66"/>
      <c r="H991" s="66"/>
      <c r="I991" s="66"/>
      <c r="J991" s="66"/>
      <c r="K991" s="66"/>
      <c r="L991" s="66"/>
      <c r="M991" s="66"/>
      <c r="N991" s="69"/>
      <c r="O991" s="66"/>
      <c r="P991" s="66"/>
      <c r="Q991" s="66"/>
      <c r="R991" s="66"/>
    </row>
    <row r="992" spans="1:18" ht="16.8" hidden="1" x14ac:dyDescent="0.3">
      <c r="A992" s="67"/>
      <c r="C992" s="65"/>
      <c r="D992" s="65"/>
      <c r="E992" s="65"/>
      <c r="F992" s="65"/>
      <c r="G992" s="65"/>
      <c r="H992" s="65"/>
      <c r="I992" s="65"/>
      <c r="J992" s="65"/>
      <c r="K992" s="65"/>
      <c r="L992" s="65"/>
      <c r="M992" s="65"/>
      <c r="N992" s="64"/>
      <c r="O992" s="65"/>
      <c r="P992" s="65"/>
      <c r="Q992" s="65"/>
      <c r="R992" s="65"/>
    </row>
    <row r="993" spans="1:18" ht="16.8" hidden="1" x14ac:dyDescent="0.3">
      <c r="A993" s="68"/>
      <c r="C993" s="66"/>
      <c r="D993" s="66"/>
      <c r="E993" s="66"/>
      <c r="F993" s="66"/>
      <c r="G993" s="66"/>
      <c r="H993" s="66"/>
      <c r="I993" s="66"/>
      <c r="J993" s="66"/>
      <c r="K993" s="66"/>
      <c r="L993" s="66"/>
      <c r="M993" s="66"/>
      <c r="N993" s="69"/>
      <c r="O993" s="66"/>
      <c r="P993" s="66"/>
      <c r="Q993" s="66"/>
      <c r="R993" s="66"/>
    </row>
    <row r="994" spans="1:18" ht="16.8" hidden="1" x14ac:dyDescent="0.3">
      <c r="A994" s="67"/>
      <c r="C994" s="65"/>
      <c r="D994" s="65"/>
      <c r="E994" s="65"/>
      <c r="F994" s="65"/>
      <c r="G994" s="65"/>
      <c r="H994" s="65"/>
      <c r="I994" s="65"/>
      <c r="J994" s="65"/>
      <c r="K994" s="65"/>
      <c r="L994" s="65"/>
      <c r="M994" s="65"/>
      <c r="N994" s="64"/>
      <c r="O994" s="65"/>
      <c r="P994" s="65"/>
      <c r="Q994" s="65"/>
      <c r="R994" s="65"/>
    </row>
    <row r="995" spans="1:18" ht="16.8" hidden="1" x14ac:dyDescent="0.3">
      <c r="A995" s="68"/>
      <c r="C995" s="66"/>
      <c r="D995" s="66"/>
      <c r="E995" s="66"/>
      <c r="F995" s="66"/>
      <c r="G995" s="66"/>
      <c r="H995" s="66"/>
      <c r="I995" s="66"/>
      <c r="J995" s="66"/>
      <c r="K995" s="66"/>
      <c r="L995" s="66"/>
      <c r="M995" s="66"/>
      <c r="N995" s="69"/>
      <c r="O995" s="66"/>
      <c r="P995" s="66"/>
      <c r="Q995" s="66"/>
      <c r="R995" s="66"/>
    </row>
    <row r="996" spans="1:18" ht="16.8" hidden="1" x14ac:dyDescent="0.3">
      <c r="A996" s="67"/>
      <c r="C996" s="65"/>
      <c r="D996" s="65"/>
      <c r="E996" s="65"/>
      <c r="F996" s="65"/>
      <c r="G996" s="65"/>
      <c r="H996" s="65"/>
      <c r="I996" s="65"/>
      <c r="J996" s="65"/>
      <c r="K996" s="65"/>
      <c r="L996" s="65"/>
      <c r="M996" s="65"/>
      <c r="N996" s="64"/>
      <c r="O996" s="65"/>
      <c r="P996" s="65"/>
      <c r="Q996" s="65"/>
      <c r="R996" s="65"/>
    </row>
    <row r="997" spans="1:18" ht="16.8" hidden="1" x14ac:dyDescent="0.3">
      <c r="A997" s="68"/>
      <c r="C997" s="66"/>
      <c r="D997" s="66"/>
      <c r="E997" s="66"/>
      <c r="F997" s="66"/>
      <c r="G997" s="66"/>
      <c r="H997" s="66"/>
      <c r="I997" s="66"/>
      <c r="J997" s="66"/>
      <c r="K997" s="66"/>
      <c r="L997" s="66"/>
      <c r="M997" s="66"/>
      <c r="N997" s="69"/>
      <c r="O997" s="66"/>
      <c r="P997" s="66"/>
      <c r="Q997" s="66"/>
      <c r="R997" s="66"/>
    </row>
    <row r="998" spans="1:18" ht="16.8" hidden="1" x14ac:dyDescent="0.3">
      <c r="A998" s="67"/>
      <c r="C998" s="65"/>
      <c r="D998" s="65"/>
      <c r="E998" s="65"/>
      <c r="F998" s="65"/>
      <c r="G998" s="65"/>
      <c r="H998" s="65"/>
      <c r="I998" s="65"/>
      <c r="J998" s="65"/>
      <c r="K998" s="65"/>
      <c r="L998" s="65"/>
      <c r="M998" s="65"/>
      <c r="N998" s="64"/>
      <c r="O998" s="65"/>
      <c r="P998" s="65"/>
      <c r="Q998" s="65"/>
      <c r="R998" s="65"/>
    </row>
    <row r="999" spans="1:18" ht="16.8" hidden="1" x14ac:dyDescent="0.3">
      <c r="A999" s="68"/>
      <c r="C999" s="66"/>
      <c r="D999" s="66"/>
      <c r="E999" s="66"/>
      <c r="F999" s="66"/>
      <c r="G999" s="66"/>
      <c r="H999" s="66"/>
      <c r="I999" s="66"/>
      <c r="J999" s="66"/>
      <c r="K999" s="66"/>
      <c r="L999" s="66"/>
      <c r="M999" s="66"/>
      <c r="N999" s="69"/>
      <c r="O999" s="66"/>
      <c r="P999" s="66"/>
      <c r="Q999" s="66"/>
      <c r="R999" s="66"/>
    </row>
    <row r="1000" spans="1:18" ht="16.8" hidden="1" x14ac:dyDescent="0.3">
      <c r="A1000" s="67"/>
      <c r="C1000" s="65"/>
      <c r="D1000" s="65"/>
      <c r="E1000" s="65"/>
      <c r="F1000" s="65"/>
      <c r="G1000" s="65"/>
      <c r="H1000" s="65"/>
      <c r="I1000" s="65"/>
      <c r="J1000" s="65"/>
      <c r="K1000" s="65"/>
      <c r="L1000" s="65"/>
      <c r="M1000" s="65"/>
      <c r="N1000" s="64"/>
      <c r="O1000" s="65"/>
      <c r="P1000" s="65"/>
      <c r="Q1000" s="65"/>
      <c r="R1000" s="65"/>
    </row>
    <row r="1001" spans="1:18" ht="16.8" hidden="1" x14ac:dyDescent="0.3">
      <c r="A1001" s="68"/>
      <c r="C1001" s="66"/>
      <c r="D1001" s="66"/>
      <c r="E1001" s="66"/>
      <c r="F1001" s="66"/>
      <c r="G1001" s="66"/>
      <c r="H1001" s="66"/>
      <c r="I1001" s="66"/>
      <c r="J1001" s="66"/>
      <c r="K1001" s="66"/>
      <c r="L1001" s="66"/>
      <c r="M1001" s="66"/>
      <c r="N1001" s="69"/>
      <c r="O1001" s="66"/>
      <c r="P1001" s="66"/>
      <c r="Q1001" s="66"/>
      <c r="R1001" s="66"/>
    </row>
    <row r="1002" spans="1:18" ht="16.8" hidden="1" x14ac:dyDescent="0.3">
      <c r="A1002" s="67"/>
      <c r="C1002" s="65"/>
      <c r="D1002" s="65"/>
      <c r="E1002" s="65"/>
      <c r="F1002" s="65"/>
      <c r="G1002" s="65"/>
      <c r="H1002" s="65"/>
      <c r="I1002" s="65"/>
      <c r="J1002" s="65"/>
      <c r="K1002" s="65"/>
      <c r="L1002" s="65"/>
      <c r="M1002" s="65"/>
      <c r="N1002" s="64"/>
      <c r="O1002" s="65"/>
      <c r="P1002" s="65"/>
      <c r="Q1002" s="65"/>
      <c r="R1002" s="65"/>
    </row>
    <row r="1003" spans="1:18" ht="16.8" hidden="1" x14ac:dyDescent="0.3">
      <c r="A1003" s="68"/>
      <c r="C1003" s="66"/>
      <c r="D1003" s="66"/>
      <c r="E1003" s="66"/>
      <c r="F1003" s="66"/>
      <c r="G1003" s="66"/>
      <c r="H1003" s="66"/>
      <c r="I1003" s="66"/>
      <c r="J1003" s="66"/>
      <c r="K1003" s="66"/>
      <c r="L1003" s="66"/>
      <c r="M1003" s="66"/>
      <c r="N1003" s="69"/>
      <c r="O1003" s="66"/>
      <c r="P1003" s="66"/>
      <c r="Q1003" s="66"/>
      <c r="R1003" s="66"/>
    </row>
    <row r="1004" spans="1:18" ht="16.8" hidden="1" x14ac:dyDescent="0.3">
      <c r="A1004" s="67"/>
      <c r="C1004" s="65"/>
      <c r="D1004" s="65"/>
      <c r="E1004" s="65"/>
      <c r="F1004" s="65"/>
      <c r="G1004" s="65"/>
      <c r="H1004" s="65"/>
      <c r="I1004" s="65"/>
      <c r="J1004" s="65"/>
      <c r="K1004" s="65"/>
      <c r="L1004" s="65"/>
      <c r="M1004" s="65"/>
      <c r="N1004" s="64"/>
      <c r="O1004" s="65"/>
      <c r="P1004" s="65"/>
      <c r="Q1004" s="65"/>
      <c r="R1004" s="65"/>
    </row>
    <row r="1005" spans="1:18" ht="16.8" hidden="1" x14ac:dyDescent="0.3">
      <c r="A1005" s="68"/>
      <c r="C1005" s="66"/>
      <c r="D1005" s="66"/>
      <c r="E1005" s="66"/>
      <c r="F1005" s="66"/>
      <c r="G1005" s="66"/>
      <c r="H1005" s="66"/>
      <c r="I1005" s="66"/>
      <c r="J1005" s="66"/>
      <c r="K1005" s="66"/>
      <c r="L1005" s="66"/>
      <c r="M1005" s="66"/>
      <c r="N1005" s="69"/>
      <c r="O1005" s="66"/>
      <c r="P1005" s="66"/>
      <c r="Q1005" s="66"/>
      <c r="R1005" s="66"/>
    </row>
    <row r="1006" spans="1:18" ht="16.8" hidden="1" x14ac:dyDescent="0.3">
      <c r="A1006" s="67"/>
      <c r="C1006" s="65"/>
      <c r="D1006" s="65"/>
      <c r="E1006" s="65"/>
      <c r="F1006" s="65"/>
      <c r="G1006" s="65"/>
      <c r="H1006" s="65"/>
      <c r="I1006" s="65"/>
      <c r="J1006" s="65"/>
      <c r="K1006" s="65"/>
      <c r="L1006" s="65"/>
      <c r="M1006" s="65"/>
      <c r="N1006" s="64"/>
      <c r="O1006" s="65"/>
      <c r="P1006" s="65"/>
      <c r="Q1006" s="65"/>
      <c r="R1006" s="65"/>
    </row>
    <row r="1007" spans="1:18" ht="16.8" hidden="1" x14ac:dyDescent="0.3">
      <c r="A1007" s="68"/>
      <c r="C1007" s="66"/>
      <c r="D1007" s="66"/>
      <c r="E1007" s="66"/>
      <c r="F1007" s="66"/>
      <c r="G1007" s="66"/>
      <c r="H1007" s="66"/>
      <c r="I1007" s="66"/>
      <c r="J1007" s="66"/>
      <c r="K1007" s="66"/>
      <c r="L1007" s="66"/>
      <c r="M1007" s="66"/>
      <c r="N1007" s="69"/>
      <c r="O1007" s="66"/>
      <c r="P1007" s="66"/>
      <c r="Q1007" s="66"/>
      <c r="R1007" s="66"/>
    </row>
    <row r="1008" spans="1:18" ht="16.8" hidden="1" x14ac:dyDescent="0.3">
      <c r="A1008" s="67"/>
      <c r="C1008" s="65"/>
      <c r="D1008" s="65"/>
      <c r="E1008" s="65"/>
      <c r="F1008" s="65"/>
      <c r="G1008" s="65"/>
      <c r="H1008" s="65"/>
      <c r="I1008" s="65"/>
      <c r="J1008" s="65"/>
      <c r="K1008" s="65"/>
      <c r="L1008" s="65"/>
      <c r="M1008" s="65"/>
      <c r="N1008" s="64"/>
      <c r="O1008" s="65"/>
      <c r="P1008" s="65"/>
      <c r="Q1008" s="65"/>
      <c r="R1008" s="65"/>
    </row>
    <row r="1009" spans="1:18" ht="16.8" hidden="1" x14ac:dyDescent="0.3">
      <c r="A1009" s="68"/>
      <c r="C1009" s="66"/>
      <c r="D1009" s="66"/>
      <c r="E1009" s="66"/>
      <c r="F1009" s="66"/>
      <c r="G1009" s="66"/>
      <c r="H1009" s="66"/>
      <c r="I1009" s="66"/>
      <c r="J1009" s="66"/>
      <c r="K1009" s="66"/>
      <c r="L1009" s="66"/>
      <c r="M1009" s="66"/>
      <c r="N1009" s="69"/>
      <c r="O1009" s="66"/>
      <c r="P1009" s="66"/>
      <c r="Q1009" s="66"/>
      <c r="R1009" s="66"/>
    </row>
    <row r="1010" spans="1:18" ht="16.8" hidden="1" x14ac:dyDescent="0.3">
      <c r="A1010" s="67"/>
      <c r="C1010" s="65"/>
      <c r="D1010" s="65"/>
      <c r="E1010" s="65"/>
      <c r="F1010" s="65"/>
      <c r="G1010" s="65"/>
      <c r="H1010" s="65"/>
      <c r="I1010" s="65"/>
      <c r="J1010" s="65"/>
      <c r="K1010" s="65"/>
      <c r="L1010" s="65"/>
      <c r="M1010" s="65"/>
      <c r="N1010" s="64"/>
      <c r="O1010" s="65"/>
      <c r="P1010" s="65"/>
      <c r="Q1010" s="65"/>
      <c r="R1010" s="65"/>
    </row>
    <row r="1011" spans="1:18" ht="16.8" hidden="1" x14ac:dyDescent="0.3">
      <c r="A1011" s="68"/>
      <c r="C1011" s="66"/>
      <c r="D1011" s="66"/>
      <c r="E1011" s="66"/>
      <c r="F1011" s="66"/>
      <c r="G1011" s="66"/>
      <c r="H1011" s="66"/>
      <c r="I1011" s="66"/>
      <c r="J1011" s="66"/>
      <c r="K1011" s="66"/>
      <c r="L1011" s="66"/>
      <c r="M1011" s="66"/>
      <c r="N1011" s="69"/>
      <c r="O1011" s="66"/>
      <c r="P1011" s="66"/>
      <c r="Q1011" s="66"/>
      <c r="R1011" s="66"/>
    </row>
    <row r="1012" spans="1:18" ht="16.8" hidden="1" x14ac:dyDescent="0.3">
      <c r="A1012" s="67"/>
      <c r="C1012" s="65"/>
      <c r="D1012" s="65"/>
      <c r="E1012" s="65"/>
      <c r="F1012" s="65"/>
      <c r="G1012" s="65"/>
      <c r="H1012" s="65"/>
      <c r="I1012" s="65"/>
      <c r="J1012" s="65"/>
      <c r="K1012" s="65"/>
      <c r="L1012" s="65"/>
      <c r="M1012" s="65"/>
      <c r="N1012" s="64"/>
      <c r="O1012" s="65"/>
      <c r="P1012" s="65"/>
      <c r="Q1012" s="65"/>
      <c r="R1012" s="65"/>
    </row>
    <row r="1013" spans="1:18" ht="16.8" hidden="1" x14ac:dyDescent="0.3">
      <c r="A1013" s="68"/>
      <c r="C1013" s="66"/>
      <c r="D1013" s="66"/>
      <c r="E1013" s="66"/>
      <c r="F1013" s="66"/>
      <c r="G1013" s="66"/>
      <c r="H1013" s="66"/>
      <c r="I1013" s="66"/>
      <c r="J1013" s="66"/>
      <c r="K1013" s="66"/>
      <c r="L1013" s="66"/>
      <c r="M1013" s="66"/>
      <c r="N1013" s="69"/>
      <c r="O1013" s="66"/>
      <c r="P1013" s="66"/>
      <c r="Q1013" s="66"/>
      <c r="R1013" s="66"/>
    </row>
    <row r="1014" spans="1:18" ht="16.8" hidden="1" x14ac:dyDescent="0.3">
      <c r="A1014" s="67"/>
      <c r="C1014" s="65"/>
      <c r="D1014" s="65"/>
      <c r="E1014" s="65"/>
      <c r="F1014" s="65"/>
      <c r="G1014" s="65"/>
      <c r="H1014" s="65"/>
      <c r="I1014" s="65"/>
      <c r="J1014" s="65"/>
      <c r="K1014" s="65"/>
      <c r="L1014" s="65"/>
      <c r="M1014" s="65"/>
      <c r="N1014" s="64"/>
      <c r="O1014" s="65"/>
      <c r="P1014" s="65"/>
      <c r="Q1014" s="65"/>
      <c r="R1014" s="65"/>
    </row>
    <row r="1015" spans="1:18" ht="16.8" hidden="1" x14ac:dyDescent="0.3">
      <c r="A1015" s="68"/>
      <c r="C1015" s="66"/>
      <c r="D1015" s="66"/>
      <c r="E1015" s="66"/>
      <c r="F1015" s="66"/>
      <c r="G1015" s="66"/>
      <c r="H1015" s="66"/>
      <c r="I1015" s="66"/>
      <c r="J1015" s="66"/>
      <c r="K1015" s="66"/>
      <c r="L1015" s="66"/>
      <c r="M1015" s="66"/>
      <c r="N1015" s="69"/>
      <c r="O1015" s="66"/>
      <c r="P1015" s="66"/>
      <c r="Q1015" s="66"/>
      <c r="R1015" s="66"/>
    </row>
    <row r="1016" spans="1:18" ht="16.8" hidden="1" x14ac:dyDescent="0.3">
      <c r="A1016" s="67"/>
      <c r="C1016" s="65"/>
      <c r="D1016" s="65"/>
      <c r="E1016" s="65"/>
      <c r="F1016" s="65"/>
      <c r="G1016" s="65"/>
      <c r="H1016" s="65"/>
      <c r="I1016" s="65"/>
      <c r="J1016" s="65"/>
      <c r="K1016" s="65"/>
      <c r="L1016" s="65"/>
      <c r="M1016" s="65"/>
      <c r="N1016" s="64"/>
      <c r="O1016" s="65"/>
      <c r="P1016" s="65"/>
      <c r="Q1016" s="65"/>
      <c r="R1016" s="65"/>
    </row>
    <row r="1017" spans="1:18" ht="16.8" hidden="1" x14ac:dyDescent="0.3">
      <c r="A1017" s="68"/>
      <c r="C1017" s="66"/>
      <c r="D1017" s="66"/>
      <c r="E1017" s="66"/>
      <c r="F1017" s="66"/>
      <c r="G1017" s="66"/>
      <c r="H1017" s="66"/>
      <c r="I1017" s="66"/>
      <c r="J1017" s="66"/>
      <c r="K1017" s="66"/>
      <c r="L1017" s="66"/>
      <c r="M1017" s="66"/>
      <c r="N1017" s="69"/>
      <c r="O1017" s="66"/>
      <c r="P1017" s="66"/>
      <c r="Q1017" s="66"/>
      <c r="R1017" s="66"/>
    </row>
    <row r="1018" spans="1:18" ht="16.8" hidden="1" x14ac:dyDescent="0.3">
      <c r="A1018" s="67"/>
      <c r="C1018" s="65"/>
      <c r="D1018" s="65"/>
      <c r="E1018" s="65"/>
      <c r="F1018" s="65"/>
      <c r="G1018" s="65"/>
      <c r="H1018" s="65"/>
      <c r="I1018" s="65"/>
      <c r="J1018" s="65"/>
      <c r="K1018" s="65"/>
      <c r="L1018" s="65"/>
      <c r="M1018" s="65"/>
      <c r="N1018" s="64"/>
      <c r="O1018" s="65"/>
      <c r="P1018" s="65"/>
      <c r="Q1018" s="65"/>
      <c r="R1018" s="65"/>
    </row>
    <row r="1019" spans="1:18" ht="16.8" hidden="1" x14ac:dyDescent="0.3">
      <c r="A1019" s="68"/>
      <c r="C1019" s="66"/>
      <c r="D1019" s="66"/>
      <c r="E1019" s="66"/>
      <c r="F1019" s="66"/>
      <c r="G1019" s="66"/>
      <c r="H1019" s="66"/>
      <c r="I1019" s="66"/>
      <c r="J1019" s="66"/>
      <c r="K1019" s="66"/>
      <c r="L1019" s="66"/>
      <c r="M1019" s="66"/>
      <c r="N1019" s="69"/>
      <c r="O1019" s="66"/>
      <c r="P1019" s="66"/>
      <c r="Q1019" s="66"/>
      <c r="R1019" s="66"/>
    </row>
    <row r="1020" spans="1:18" ht="16.8" hidden="1" x14ac:dyDescent="0.3">
      <c r="A1020" s="67"/>
      <c r="C1020" s="65"/>
      <c r="D1020" s="65"/>
      <c r="E1020" s="65"/>
      <c r="F1020" s="65"/>
      <c r="G1020" s="65"/>
      <c r="H1020" s="65"/>
      <c r="I1020" s="65"/>
      <c r="J1020" s="65"/>
      <c r="K1020" s="65"/>
      <c r="L1020" s="65"/>
      <c r="M1020" s="65"/>
      <c r="N1020" s="64"/>
      <c r="O1020" s="65"/>
      <c r="P1020" s="65"/>
      <c r="Q1020" s="65"/>
      <c r="R1020" s="65"/>
    </row>
    <row r="1021" spans="1:18" ht="16.8" hidden="1" x14ac:dyDescent="0.3">
      <c r="A1021" s="68"/>
      <c r="C1021" s="66"/>
      <c r="D1021" s="66"/>
      <c r="E1021" s="66"/>
      <c r="F1021" s="66"/>
      <c r="G1021" s="66"/>
      <c r="H1021" s="66"/>
      <c r="I1021" s="66"/>
      <c r="J1021" s="66"/>
      <c r="K1021" s="66"/>
      <c r="L1021" s="66"/>
      <c r="M1021" s="66"/>
      <c r="N1021" s="69"/>
      <c r="O1021" s="66"/>
      <c r="P1021" s="66"/>
      <c r="Q1021" s="66"/>
      <c r="R1021" s="66"/>
    </row>
    <row r="1022" spans="1:18" ht="16.8" hidden="1" x14ac:dyDescent="0.3">
      <c r="A1022" s="67"/>
      <c r="C1022" s="65"/>
      <c r="D1022" s="65"/>
      <c r="E1022" s="65"/>
      <c r="F1022" s="65"/>
      <c r="G1022" s="65"/>
      <c r="H1022" s="65"/>
      <c r="I1022" s="65"/>
      <c r="J1022" s="65"/>
      <c r="K1022" s="65"/>
      <c r="L1022" s="65"/>
      <c r="M1022" s="65"/>
      <c r="N1022" s="64"/>
      <c r="O1022" s="65"/>
      <c r="P1022" s="65"/>
      <c r="Q1022" s="65"/>
      <c r="R1022" s="65"/>
    </row>
    <row r="1023" spans="1:18" ht="16.8" hidden="1" x14ac:dyDescent="0.3">
      <c r="A1023" s="68"/>
      <c r="C1023" s="66"/>
      <c r="D1023" s="66"/>
      <c r="E1023" s="66"/>
      <c r="F1023" s="66"/>
      <c r="G1023" s="66"/>
      <c r="H1023" s="66"/>
      <c r="I1023" s="66"/>
      <c r="J1023" s="66"/>
      <c r="K1023" s="66"/>
      <c r="L1023" s="66"/>
      <c r="M1023" s="66"/>
      <c r="N1023" s="69"/>
      <c r="O1023" s="66"/>
      <c r="P1023" s="66"/>
      <c r="Q1023" s="66"/>
      <c r="R1023" s="66"/>
    </row>
    <row r="1024" spans="1:18" ht="16.8" hidden="1" x14ac:dyDescent="0.3">
      <c r="A1024" s="67"/>
      <c r="C1024" s="65"/>
      <c r="D1024" s="65"/>
      <c r="E1024" s="65"/>
      <c r="F1024" s="65"/>
      <c r="G1024" s="65"/>
      <c r="H1024" s="65"/>
      <c r="I1024" s="65"/>
      <c r="J1024" s="65"/>
      <c r="K1024" s="65"/>
      <c r="L1024" s="65"/>
      <c r="M1024" s="65"/>
      <c r="N1024" s="64"/>
      <c r="O1024" s="65"/>
      <c r="P1024" s="65"/>
      <c r="Q1024" s="65"/>
      <c r="R1024" s="65"/>
    </row>
    <row r="1025" spans="1:18" ht="16.8" hidden="1" x14ac:dyDescent="0.3">
      <c r="A1025" s="68"/>
      <c r="C1025" s="66"/>
      <c r="D1025" s="66"/>
      <c r="E1025" s="66"/>
      <c r="F1025" s="66"/>
      <c r="G1025" s="66"/>
      <c r="H1025" s="66"/>
      <c r="I1025" s="66"/>
      <c r="J1025" s="66"/>
      <c r="K1025" s="66"/>
      <c r="L1025" s="66"/>
      <c r="M1025" s="66"/>
      <c r="N1025" s="69"/>
      <c r="O1025" s="66"/>
      <c r="P1025" s="66"/>
      <c r="Q1025" s="66"/>
      <c r="R1025" s="66"/>
    </row>
    <row r="1026" spans="1:18" ht="16.8" hidden="1" x14ac:dyDescent="0.3">
      <c r="A1026" s="67"/>
      <c r="C1026" s="65"/>
      <c r="D1026" s="65"/>
      <c r="E1026" s="65"/>
      <c r="F1026" s="65"/>
      <c r="G1026" s="65"/>
      <c r="H1026" s="65"/>
      <c r="I1026" s="65"/>
      <c r="J1026" s="65"/>
      <c r="K1026" s="65"/>
      <c r="L1026" s="65"/>
      <c r="M1026" s="65"/>
      <c r="N1026" s="64"/>
      <c r="O1026" s="65"/>
      <c r="P1026" s="65"/>
      <c r="Q1026" s="65"/>
      <c r="R1026" s="65"/>
    </row>
    <row r="1027" spans="1:18" ht="16.8" hidden="1" x14ac:dyDescent="0.3">
      <c r="A1027" s="68"/>
      <c r="C1027" s="66"/>
      <c r="D1027" s="66"/>
      <c r="E1027" s="66"/>
      <c r="F1027" s="66"/>
      <c r="G1027" s="66"/>
      <c r="H1027" s="66"/>
      <c r="I1027" s="66"/>
      <c r="J1027" s="66"/>
      <c r="K1027" s="66"/>
      <c r="L1027" s="66"/>
      <c r="M1027" s="66"/>
      <c r="N1027" s="69"/>
      <c r="O1027" s="66"/>
      <c r="P1027" s="66"/>
      <c r="Q1027" s="66"/>
      <c r="R1027" s="66"/>
    </row>
    <row r="1028" spans="1:18" ht="16.8" hidden="1" x14ac:dyDescent="0.3">
      <c r="A1028" s="67"/>
      <c r="C1028" s="65"/>
      <c r="D1028" s="65"/>
      <c r="E1028" s="65"/>
      <c r="F1028" s="65"/>
      <c r="G1028" s="65"/>
      <c r="H1028" s="65"/>
      <c r="I1028" s="65"/>
      <c r="J1028" s="65"/>
      <c r="K1028" s="65"/>
      <c r="L1028" s="65"/>
      <c r="M1028" s="65"/>
      <c r="N1028" s="64"/>
      <c r="O1028" s="65"/>
      <c r="P1028" s="65"/>
      <c r="Q1028" s="65"/>
      <c r="R1028" s="65"/>
    </row>
    <row r="1029" spans="1:18" ht="16.8" hidden="1" x14ac:dyDescent="0.3">
      <c r="A1029" s="68"/>
      <c r="C1029" s="66"/>
      <c r="D1029" s="66"/>
      <c r="E1029" s="66"/>
      <c r="F1029" s="66"/>
      <c r="G1029" s="66"/>
      <c r="H1029" s="66"/>
      <c r="I1029" s="66"/>
      <c r="J1029" s="66"/>
      <c r="K1029" s="66"/>
      <c r="L1029" s="66"/>
      <c r="M1029" s="66"/>
      <c r="N1029" s="69"/>
      <c r="O1029" s="66"/>
      <c r="P1029" s="66"/>
      <c r="Q1029" s="66"/>
      <c r="R1029" s="66"/>
    </row>
    <row r="1030" spans="1:18" ht="16.8" hidden="1" x14ac:dyDescent="0.3">
      <c r="A1030" s="67"/>
      <c r="C1030" s="65"/>
      <c r="D1030" s="65"/>
      <c r="E1030" s="65"/>
      <c r="F1030" s="65"/>
      <c r="G1030" s="65"/>
      <c r="H1030" s="65"/>
      <c r="I1030" s="65"/>
      <c r="J1030" s="65"/>
      <c r="K1030" s="65"/>
      <c r="L1030" s="65"/>
      <c r="M1030" s="65"/>
      <c r="N1030" s="64"/>
      <c r="O1030" s="65"/>
      <c r="P1030" s="65"/>
      <c r="Q1030" s="65"/>
      <c r="R1030" s="65"/>
    </row>
    <row r="1031" spans="1:18" ht="16.8" hidden="1" x14ac:dyDescent="0.3">
      <c r="A1031" s="68"/>
      <c r="C1031" s="66"/>
      <c r="D1031" s="66"/>
      <c r="E1031" s="66"/>
      <c r="F1031" s="66"/>
      <c r="G1031" s="66"/>
      <c r="H1031" s="66"/>
      <c r="I1031" s="66"/>
      <c r="J1031" s="66"/>
      <c r="K1031" s="66"/>
      <c r="L1031" s="66"/>
      <c r="M1031" s="66"/>
      <c r="N1031" s="69"/>
      <c r="O1031" s="66"/>
      <c r="P1031" s="66"/>
      <c r="Q1031" s="66"/>
      <c r="R1031" s="66"/>
    </row>
    <row r="1032" spans="1:18" ht="16.8" hidden="1" x14ac:dyDescent="0.3">
      <c r="A1032" s="67"/>
      <c r="C1032" s="65"/>
      <c r="D1032" s="65"/>
      <c r="E1032" s="65"/>
      <c r="F1032" s="65"/>
      <c r="G1032" s="65"/>
      <c r="H1032" s="65"/>
      <c r="I1032" s="65"/>
      <c r="J1032" s="65"/>
      <c r="K1032" s="65"/>
      <c r="L1032" s="65"/>
      <c r="M1032" s="65"/>
      <c r="N1032" s="64"/>
      <c r="O1032" s="65"/>
      <c r="P1032" s="65"/>
      <c r="Q1032" s="65"/>
      <c r="R1032" s="65"/>
    </row>
    <row r="1033" spans="1:18" ht="16.8" hidden="1" x14ac:dyDescent="0.3">
      <c r="A1033" s="68"/>
      <c r="C1033" s="66"/>
      <c r="D1033" s="66"/>
      <c r="E1033" s="66"/>
      <c r="F1033" s="66"/>
      <c r="G1033" s="66"/>
      <c r="H1033" s="66"/>
      <c r="I1033" s="66"/>
      <c r="J1033" s="66"/>
      <c r="K1033" s="66"/>
      <c r="L1033" s="66"/>
      <c r="M1033" s="66"/>
      <c r="N1033" s="69"/>
      <c r="O1033" s="66"/>
      <c r="P1033" s="66"/>
      <c r="Q1033" s="66"/>
      <c r="R1033" s="66"/>
    </row>
    <row r="1034" spans="1:18" ht="16.8" hidden="1" x14ac:dyDescent="0.3">
      <c r="A1034" s="67"/>
      <c r="C1034" s="65"/>
      <c r="D1034" s="65"/>
      <c r="E1034" s="65"/>
      <c r="F1034" s="65"/>
      <c r="G1034" s="65"/>
      <c r="H1034" s="65"/>
      <c r="I1034" s="65"/>
      <c r="J1034" s="65"/>
      <c r="K1034" s="65"/>
      <c r="L1034" s="65"/>
      <c r="M1034" s="65"/>
      <c r="N1034" s="64"/>
      <c r="O1034" s="65"/>
      <c r="P1034" s="65"/>
      <c r="Q1034" s="65"/>
      <c r="R1034" s="65"/>
    </row>
    <row r="1035" spans="1:18" ht="16.8" hidden="1" x14ac:dyDescent="0.3">
      <c r="A1035" s="68"/>
      <c r="C1035" s="66"/>
      <c r="D1035" s="66"/>
      <c r="E1035" s="66"/>
      <c r="F1035" s="66"/>
      <c r="G1035" s="66"/>
      <c r="H1035" s="66"/>
      <c r="I1035" s="66"/>
      <c r="J1035" s="66"/>
      <c r="K1035" s="66"/>
      <c r="L1035" s="66"/>
      <c r="M1035" s="66"/>
      <c r="N1035" s="69"/>
      <c r="O1035" s="66"/>
      <c r="P1035" s="66"/>
      <c r="Q1035" s="66"/>
      <c r="R1035" s="66"/>
    </row>
    <row r="1036" spans="1:18" ht="16.8" hidden="1" x14ac:dyDescent="0.3">
      <c r="A1036" s="67"/>
      <c r="C1036" s="65"/>
      <c r="D1036" s="65"/>
      <c r="E1036" s="65"/>
      <c r="F1036" s="65"/>
      <c r="G1036" s="65"/>
      <c r="H1036" s="65"/>
      <c r="I1036" s="65"/>
      <c r="J1036" s="65"/>
      <c r="K1036" s="65"/>
      <c r="L1036" s="65"/>
      <c r="M1036" s="65"/>
      <c r="N1036" s="64"/>
      <c r="O1036" s="65"/>
      <c r="P1036" s="65"/>
      <c r="Q1036" s="65"/>
      <c r="R1036" s="65"/>
    </row>
    <row r="1037" spans="1:18" ht="16.8" hidden="1" x14ac:dyDescent="0.3">
      <c r="A1037" s="68"/>
      <c r="C1037" s="66"/>
      <c r="D1037" s="66"/>
      <c r="E1037" s="66"/>
      <c r="F1037" s="66"/>
      <c r="G1037" s="66"/>
      <c r="H1037" s="66"/>
      <c r="I1037" s="66"/>
      <c r="J1037" s="66"/>
      <c r="K1037" s="66"/>
      <c r="L1037" s="66"/>
      <c r="M1037" s="66"/>
      <c r="N1037" s="69"/>
      <c r="O1037" s="66"/>
      <c r="P1037" s="66"/>
      <c r="Q1037" s="66"/>
      <c r="R1037" s="66"/>
    </row>
    <row r="1038" spans="1:18" ht="16.8" hidden="1" x14ac:dyDescent="0.3">
      <c r="A1038" s="67"/>
      <c r="C1038" s="65"/>
      <c r="D1038" s="65"/>
      <c r="E1038" s="65"/>
      <c r="F1038" s="65"/>
      <c r="G1038" s="65"/>
      <c r="H1038" s="65"/>
      <c r="I1038" s="65"/>
      <c r="J1038" s="65"/>
      <c r="K1038" s="65"/>
      <c r="L1038" s="65"/>
      <c r="M1038" s="65"/>
      <c r="N1038" s="64"/>
      <c r="O1038" s="65"/>
      <c r="P1038" s="65"/>
      <c r="Q1038" s="65"/>
      <c r="R1038" s="65"/>
    </row>
    <row r="1039" spans="1:18" ht="16.8" hidden="1" x14ac:dyDescent="0.3">
      <c r="A1039" s="68"/>
      <c r="C1039" s="66"/>
      <c r="D1039" s="66"/>
      <c r="E1039" s="66"/>
      <c r="F1039" s="66"/>
      <c r="G1039" s="66"/>
      <c r="H1039" s="66"/>
      <c r="I1039" s="66"/>
      <c r="J1039" s="66"/>
      <c r="K1039" s="66"/>
      <c r="L1039" s="66"/>
      <c r="M1039" s="66"/>
      <c r="N1039" s="69"/>
      <c r="O1039" s="66"/>
      <c r="P1039" s="66"/>
      <c r="Q1039" s="66"/>
      <c r="R1039" s="66"/>
    </row>
    <row r="1040" spans="1:18" ht="16.8" hidden="1" x14ac:dyDescent="0.3">
      <c r="A1040" s="67"/>
      <c r="C1040" s="65"/>
      <c r="D1040" s="65"/>
      <c r="E1040" s="65"/>
      <c r="F1040" s="65"/>
      <c r="G1040" s="65"/>
      <c r="H1040" s="65"/>
      <c r="I1040" s="65"/>
      <c r="J1040" s="65"/>
      <c r="K1040" s="65"/>
      <c r="L1040" s="65"/>
      <c r="M1040" s="65"/>
      <c r="N1040" s="64"/>
      <c r="O1040" s="65"/>
      <c r="P1040" s="65"/>
      <c r="Q1040" s="65"/>
      <c r="R1040" s="65"/>
    </row>
    <row r="1041" spans="1:18" ht="16.8" hidden="1" x14ac:dyDescent="0.3">
      <c r="A1041" s="68"/>
      <c r="C1041" s="66"/>
      <c r="D1041" s="66"/>
      <c r="E1041" s="66"/>
      <c r="F1041" s="66"/>
      <c r="G1041" s="66"/>
      <c r="H1041" s="66"/>
      <c r="I1041" s="66"/>
      <c r="J1041" s="66"/>
      <c r="K1041" s="66"/>
      <c r="L1041" s="66"/>
      <c r="M1041" s="66"/>
      <c r="N1041" s="69"/>
      <c r="O1041" s="66"/>
      <c r="P1041" s="66"/>
      <c r="Q1041" s="66"/>
      <c r="R1041" s="66"/>
    </row>
    <row r="1042" spans="1:18" ht="16.8" hidden="1" x14ac:dyDescent="0.3">
      <c r="A1042" s="67"/>
      <c r="C1042" s="65"/>
      <c r="D1042" s="65"/>
      <c r="E1042" s="65"/>
      <c r="F1042" s="65"/>
      <c r="G1042" s="65"/>
      <c r="H1042" s="65"/>
      <c r="I1042" s="65"/>
      <c r="J1042" s="65"/>
      <c r="K1042" s="65"/>
      <c r="L1042" s="65"/>
      <c r="M1042" s="65"/>
      <c r="N1042" s="64"/>
      <c r="O1042" s="65"/>
      <c r="P1042" s="65"/>
      <c r="Q1042" s="65"/>
      <c r="R1042" s="65"/>
    </row>
    <row r="1043" spans="1:18" ht="16.8" hidden="1" x14ac:dyDescent="0.3">
      <c r="A1043" s="68"/>
      <c r="C1043" s="66"/>
      <c r="D1043" s="66"/>
      <c r="E1043" s="66"/>
      <c r="F1043" s="66"/>
      <c r="G1043" s="66"/>
      <c r="H1043" s="66"/>
      <c r="I1043" s="66"/>
      <c r="J1043" s="66"/>
      <c r="K1043" s="66"/>
      <c r="L1043" s="66"/>
      <c r="M1043" s="66"/>
      <c r="N1043" s="69"/>
      <c r="O1043" s="66"/>
      <c r="P1043" s="66"/>
      <c r="Q1043" s="66"/>
      <c r="R1043" s="66"/>
    </row>
    <row r="1044" spans="1:18" ht="16.8" hidden="1" x14ac:dyDescent="0.3">
      <c r="A1044" s="67"/>
      <c r="C1044" s="65"/>
      <c r="D1044" s="65"/>
      <c r="E1044" s="65"/>
      <c r="F1044" s="65"/>
      <c r="G1044" s="65"/>
      <c r="H1044" s="65"/>
      <c r="I1044" s="65"/>
      <c r="J1044" s="65"/>
      <c r="K1044" s="65"/>
      <c r="L1044" s="65"/>
      <c r="M1044" s="65"/>
      <c r="N1044" s="64"/>
      <c r="O1044" s="65"/>
      <c r="P1044" s="65"/>
      <c r="Q1044" s="65"/>
      <c r="R1044" s="65"/>
    </row>
    <row r="1045" spans="1:18" ht="16.8" hidden="1" x14ac:dyDescent="0.3">
      <c r="A1045" s="68"/>
      <c r="C1045" s="66"/>
      <c r="D1045" s="66"/>
      <c r="E1045" s="66"/>
      <c r="F1045" s="66"/>
      <c r="G1045" s="66"/>
      <c r="H1045" s="66"/>
      <c r="I1045" s="66"/>
      <c r="J1045" s="66"/>
      <c r="K1045" s="66"/>
      <c r="L1045" s="66"/>
      <c r="M1045" s="66"/>
      <c r="N1045" s="69"/>
      <c r="O1045" s="66"/>
      <c r="P1045" s="66"/>
      <c r="Q1045" s="66"/>
      <c r="R1045" s="66"/>
    </row>
    <row r="1046" spans="1:18" ht="16.8" hidden="1" x14ac:dyDescent="0.3">
      <c r="A1046" s="67"/>
      <c r="C1046" s="65"/>
      <c r="D1046" s="65"/>
      <c r="E1046" s="65"/>
      <c r="F1046" s="65"/>
      <c r="G1046" s="65"/>
      <c r="H1046" s="65"/>
      <c r="I1046" s="65"/>
      <c r="J1046" s="65"/>
      <c r="K1046" s="65"/>
      <c r="L1046" s="65"/>
      <c r="M1046" s="65"/>
      <c r="N1046" s="64"/>
      <c r="O1046" s="65"/>
      <c r="P1046" s="65"/>
      <c r="Q1046" s="65"/>
      <c r="R1046" s="65"/>
    </row>
    <row r="1047" spans="1:18" ht="16.8" hidden="1" x14ac:dyDescent="0.3">
      <c r="A1047" s="68"/>
      <c r="C1047" s="66"/>
      <c r="D1047" s="66"/>
      <c r="E1047" s="66"/>
      <c r="F1047" s="66"/>
      <c r="G1047" s="66"/>
      <c r="H1047" s="66"/>
      <c r="I1047" s="66"/>
      <c r="J1047" s="66"/>
      <c r="K1047" s="66"/>
      <c r="L1047" s="66"/>
      <c r="M1047" s="66"/>
      <c r="N1047" s="69"/>
      <c r="O1047" s="66"/>
      <c r="P1047" s="66"/>
      <c r="Q1047" s="66"/>
      <c r="R1047" s="66"/>
    </row>
    <row r="1048" spans="1:18" ht="16.8" hidden="1" x14ac:dyDescent="0.3">
      <c r="A1048" s="67"/>
      <c r="C1048" s="65"/>
      <c r="D1048" s="65"/>
      <c r="E1048" s="65"/>
      <c r="F1048" s="65"/>
      <c r="G1048" s="65"/>
      <c r="H1048" s="65"/>
      <c r="I1048" s="65"/>
      <c r="J1048" s="65"/>
      <c r="K1048" s="65"/>
      <c r="L1048" s="65"/>
      <c r="M1048" s="65"/>
      <c r="N1048" s="64"/>
      <c r="O1048" s="65"/>
      <c r="P1048" s="65"/>
      <c r="Q1048" s="65"/>
      <c r="R1048" s="65"/>
    </row>
    <row r="1049" spans="1:18" ht="16.8" hidden="1" x14ac:dyDescent="0.3">
      <c r="A1049" s="68"/>
      <c r="C1049" s="66"/>
      <c r="D1049" s="66"/>
      <c r="E1049" s="66"/>
      <c r="F1049" s="66"/>
      <c r="G1049" s="66"/>
      <c r="H1049" s="66"/>
      <c r="I1049" s="66"/>
      <c r="J1049" s="66"/>
      <c r="K1049" s="66"/>
      <c r="L1049" s="66"/>
      <c r="M1049" s="66"/>
      <c r="N1049" s="69"/>
      <c r="O1049" s="66"/>
      <c r="P1049" s="66"/>
      <c r="Q1049" s="66"/>
      <c r="R1049" s="66"/>
    </row>
    <row r="1050" spans="1:18" ht="16.8" hidden="1" x14ac:dyDescent="0.3">
      <c r="A1050" s="67"/>
      <c r="C1050" s="65"/>
      <c r="D1050" s="65"/>
      <c r="E1050" s="65"/>
      <c r="F1050" s="65"/>
      <c r="G1050" s="65"/>
      <c r="H1050" s="65"/>
      <c r="I1050" s="65"/>
      <c r="J1050" s="65"/>
      <c r="K1050" s="65"/>
      <c r="L1050" s="65"/>
      <c r="M1050" s="65"/>
      <c r="N1050" s="64"/>
      <c r="O1050" s="65"/>
      <c r="P1050" s="65"/>
      <c r="Q1050" s="65"/>
      <c r="R1050" s="65"/>
    </row>
    <row r="1051" spans="1:18" ht="16.8" hidden="1" x14ac:dyDescent="0.3">
      <c r="A1051" s="68"/>
      <c r="C1051" s="66"/>
      <c r="D1051" s="66"/>
      <c r="E1051" s="66"/>
      <c r="F1051" s="66"/>
      <c r="G1051" s="66"/>
      <c r="H1051" s="66"/>
      <c r="I1051" s="66"/>
      <c r="J1051" s="66"/>
      <c r="K1051" s="66"/>
      <c r="L1051" s="66"/>
      <c r="M1051" s="66"/>
      <c r="N1051" s="69"/>
      <c r="O1051" s="66"/>
      <c r="P1051" s="66"/>
      <c r="Q1051" s="66"/>
      <c r="R1051" s="66"/>
    </row>
    <row r="1052" spans="1:18" ht="16.8" hidden="1" x14ac:dyDescent="0.3">
      <c r="A1052" s="67"/>
      <c r="C1052" s="65"/>
      <c r="D1052" s="65"/>
      <c r="E1052" s="65"/>
      <c r="F1052" s="65"/>
      <c r="G1052" s="65"/>
      <c r="H1052" s="65"/>
      <c r="I1052" s="65"/>
      <c r="J1052" s="65"/>
      <c r="K1052" s="65"/>
      <c r="L1052" s="65"/>
      <c r="M1052" s="65"/>
      <c r="N1052" s="64"/>
      <c r="O1052" s="65"/>
      <c r="P1052" s="65"/>
      <c r="Q1052" s="65"/>
      <c r="R1052" s="65"/>
    </row>
    <row r="1053" spans="1:18" ht="16.8" hidden="1" x14ac:dyDescent="0.3">
      <c r="A1053" s="68"/>
      <c r="C1053" s="66"/>
      <c r="D1053" s="66"/>
      <c r="E1053" s="66"/>
      <c r="F1053" s="66"/>
      <c r="G1053" s="66"/>
      <c r="H1053" s="66"/>
      <c r="I1053" s="66"/>
      <c r="J1053" s="66"/>
      <c r="K1053" s="66"/>
      <c r="L1053" s="66"/>
      <c r="M1053" s="66"/>
      <c r="N1053" s="69"/>
      <c r="O1053" s="66"/>
      <c r="P1053" s="66"/>
      <c r="Q1053" s="66"/>
      <c r="R1053" s="66"/>
    </row>
    <row r="1054" spans="1:18" ht="16.8" hidden="1" x14ac:dyDescent="0.3">
      <c r="A1054" s="67"/>
      <c r="C1054" s="65"/>
      <c r="D1054" s="65"/>
      <c r="E1054" s="65"/>
      <c r="F1054" s="65"/>
      <c r="G1054" s="65"/>
      <c r="H1054" s="65"/>
      <c r="I1054" s="65"/>
      <c r="J1054" s="65"/>
      <c r="K1054" s="65"/>
      <c r="L1054" s="65"/>
      <c r="M1054" s="65"/>
      <c r="N1054" s="64"/>
      <c r="O1054" s="65"/>
      <c r="P1054" s="65"/>
      <c r="Q1054" s="65"/>
      <c r="R1054" s="65"/>
    </row>
    <row r="1055" spans="1:18" ht="16.8" hidden="1" x14ac:dyDescent="0.3">
      <c r="A1055" s="68"/>
      <c r="C1055" s="66"/>
      <c r="D1055" s="66"/>
      <c r="E1055" s="66"/>
      <c r="F1055" s="66"/>
      <c r="G1055" s="66"/>
      <c r="H1055" s="66"/>
      <c r="I1055" s="66"/>
      <c r="J1055" s="66"/>
      <c r="K1055" s="66"/>
      <c r="L1055" s="66"/>
      <c r="M1055" s="66"/>
      <c r="N1055" s="69"/>
      <c r="O1055" s="66"/>
      <c r="P1055" s="66"/>
      <c r="Q1055" s="66"/>
      <c r="R1055" s="66"/>
    </row>
    <row r="1056" spans="1:18" ht="16.8" hidden="1" x14ac:dyDescent="0.3">
      <c r="A1056" s="67"/>
      <c r="C1056" s="65"/>
      <c r="D1056" s="65"/>
      <c r="E1056" s="65"/>
      <c r="F1056" s="65"/>
      <c r="G1056" s="65"/>
      <c r="H1056" s="65"/>
      <c r="I1056" s="65"/>
      <c r="J1056" s="65"/>
      <c r="K1056" s="65"/>
      <c r="L1056" s="65"/>
      <c r="M1056" s="65"/>
      <c r="N1056" s="64"/>
      <c r="O1056" s="65"/>
      <c r="P1056" s="65"/>
      <c r="Q1056" s="65"/>
      <c r="R1056" s="65"/>
    </row>
    <row r="1057" spans="1:18" ht="16.8" hidden="1" x14ac:dyDescent="0.3">
      <c r="A1057" s="68"/>
      <c r="C1057" s="66"/>
      <c r="D1057" s="66"/>
      <c r="E1057" s="66"/>
      <c r="F1057" s="66"/>
      <c r="G1057" s="66"/>
      <c r="H1057" s="66"/>
      <c r="I1057" s="66"/>
      <c r="J1057" s="66"/>
      <c r="K1057" s="66"/>
      <c r="L1057" s="66"/>
      <c r="M1057" s="66"/>
      <c r="N1057" s="69"/>
      <c r="O1057" s="66"/>
      <c r="P1057" s="66"/>
      <c r="Q1057" s="66"/>
      <c r="R1057" s="66"/>
    </row>
    <row r="1058" spans="1:18" ht="16.8" hidden="1" x14ac:dyDescent="0.3">
      <c r="A1058" s="67"/>
      <c r="C1058" s="65"/>
      <c r="D1058" s="65"/>
      <c r="E1058" s="65"/>
      <c r="F1058" s="65"/>
      <c r="G1058" s="65"/>
      <c r="H1058" s="65"/>
      <c r="I1058" s="65"/>
      <c r="J1058" s="65"/>
      <c r="K1058" s="65"/>
      <c r="L1058" s="65"/>
      <c r="M1058" s="65"/>
      <c r="N1058" s="64"/>
      <c r="O1058" s="65"/>
      <c r="P1058" s="65"/>
      <c r="Q1058" s="65"/>
      <c r="R1058" s="65"/>
    </row>
    <row r="1059" spans="1:18" ht="16.8" hidden="1" x14ac:dyDescent="0.3">
      <c r="A1059" s="68"/>
      <c r="C1059" s="66"/>
      <c r="D1059" s="66"/>
      <c r="E1059" s="66"/>
      <c r="F1059" s="66"/>
      <c r="G1059" s="66"/>
      <c r="H1059" s="66"/>
      <c r="I1059" s="66"/>
      <c r="J1059" s="66"/>
      <c r="K1059" s="66"/>
      <c r="L1059" s="66"/>
      <c r="M1059" s="66"/>
      <c r="N1059" s="69"/>
      <c r="O1059" s="66"/>
      <c r="P1059" s="66"/>
      <c r="Q1059" s="66"/>
      <c r="R1059" s="66"/>
    </row>
    <row r="1060" spans="1:18" ht="16.8" hidden="1" x14ac:dyDescent="0.3">
      <c r="A1060" s="67"/>
      <c r="C1060" s="65"/>
      <c r="D1060" s="65"/>
      <c r="E1060" s="65"/>
      <c r="F1060" s="65"/>
      <c r="G1060" s="65"/>
      <c r="H1060" s="65"/>
      <c r="I1060" s="65"/>
      <c r="J1060" s="65"/>
      <c r="K1060" s="65"/>
      <c r="L1060" s="65"/>
      <c r="M1060" s="65"/>
      <c r="N1060" s="64"/>
      <c r="O1060" s="65"/>
      <c r="P1060" s="65"/>
      <c r="Q1060" s="65"/>
      <c r="R1060" s="65"/>
    </row>
    <row r="1061" spans="1:18" ht="16.8" hidden="1" x14ac:dyDescent="0.3">
      <c r="A1061" s="68"/>
      <c r="C1061" s="66"/>
      <c r="D1061" s="66"/>
      <c r="E1061" s="66"/>
      <c r="F1061" s="66"/>
      <c r="G1061" s="66"/>
      <c r="H1061" s="66"/>
      <c r="I1061" s="66"/>
      <c r="J1061" s="66"/>
      <c r="K1061" s="66"/>
      <c r="L1061" s="66"/>
      <c r="M1061" s="66"/>
      <c r="N1061" s="69"/>
      <c r="O1061" s="66"/>
      <c r="P1061" s="66"/>
      <c r="Q1061" s="66"/>
      <c r="R1061" s="66"/>
    </row>
    <row r="1062" spans="1:18" ht="16.8" hidden="1" x14ac:dyDescent="0.3">
      <c r="A1062" s="67"/>
      <c r="C1062" s="65"/>
      <c r="D1062" s="65"/>
      <c r="E1062" s="65"/>
      <c r="F1062" s="65"/>
      <c r="G1062" s="65"/>
      <c r="H1062" s="65"/>
      <c r="I1062" s="65"/>
      <c r="J1062" s="65"/>
      <c r="K1062" s="65"/>
      <c r="L1062" s="65"/>
      <c r="M1062" s="65"/>
      <c r="N1062" s="64"/>
      <c r="O1062" s="65"/>
      <c r="P1062" s="65"/>
      <c r="Q1062" s="65"/>
      <c r="R1062" s="65"/>
    </row>
    <row r="1063" spans="1:18" ht="16.8" hidden="1" x14ac:dyDescent="0.3">
      <c r="A1063" s="68"/>
      <c r="C1063" s="66"/>
      <c r="D1063" s="66"/>
      <c r="E1063" s="66"/>
      <c r="F1063" s="66"/>
      <c r="G1063" s="66"/>
      <c r="H1063" s="66"/>
      <c r="I1063" s="66"/>
      <c r="J1063" s="66"/>
      <c r="K1063" s="66"/>
      <c r="L1063" s="66"/>
      <c r="M1063" s="66"/>
      <c r="N1063" s="69"/>
      <c r="O1063" s="66"/>
      <c r="P1063" s="66"/>
      <c r="Q1063" s="66"/>
      <c r="R1063" s="66"/>
    </row>
    <row r="1064" spans="1:18" ht="16.8" hidden="1" x14ac:dyDescent="0.3">
      <c r="A1064" s="67"/>
      <c r="C1064" s="65"/>
      <c r="D1064" s="65"/>
      <c r="E1064" s="65"/>
      <c r="F1064" s="65"/>
      <c r="G1064" s="65"/>
      <c r="H1064" s="65"/>
      <c r="I1064" s="65"/>
      <c r="J1064" s="65"/>
      <c r="K1064" s="65"/>
      <c r="L1064" s="65"/>
      <c r="M1064" s="65"/>
      <c r="N1064" s="64"/>
      <c r="O1064" s="65"/>
      <c r="P1064" s="65"/>
      <c r="Q1064" s="65"/>
      <c r="R1064" s="65"/>
    </row>
    <row r="1065" spans="1:18" ht="16.8" hidden="1" x14ac:dyDescent="0.3">
      <c r="A1065" s="68"/>
      <c r="C1065" s="66"/>
      <c r="D1065" s="66"/>
      <c r="E1065" s="66"/>
      <c r="F1065" s="66"/>
      <c r="G1065" s="66"/>
      <c r="H1065" s="66"/>
      <c r="I1065" s="66"/>
      <c r="J1065" s="66"/>
      <c r="K1065" s="66"/>
      <c r="L1065" s="66"/>
      <c r="M1065" s="66"/>
      <c r="N1065" s="69"/>
      <c r="O1065" s="66"/>
      <c r="P1065" s="66"/>
      <c r="Q1065" s="66"/>
      <c r="R1065" s="66"/>
    </row>
    <row r="1066" spans="1:18" ht="16.8" hidden="1" x14ac:dyDescent="0.3">
      <c r="A1066" s="67"/>
      <c r="C1066" s="65"/>
      <c r="D1066" s="65"/>
      <c r="E1066" s="65"/>
      <c r="F1066" s="65"/>
      <c r="G1066" s="65"/>
      <c r="H1066" s="65"/>
      <c r="I1066" s="65"/>
      <c r="J1066" s="65"/>
      <c r="K1066" s="65"/>
      <c r="L1066" s="65"/>
      <c r="M1066" s="65"/>
      <c r="N1066" s="64"/>
      <c r="O1066" s="65"/>
      <c r="P1066" s="65"/>
      <c r="Q1066" s="65"/>
      <c r="R1066" s="65"/>
    </row>
    <row r="1067" spans="1:18" ht="16.8" hidden="1" x14ac:dyDescent="0.3">
      <c r="A1067" s="68"/>
      <c r="C1067" s="66"/>
      <c r="D1067" s="66"/>
      <c r="E1067" s="66"/>
      <c r="F1067" s="66"/>
      <c r="G1067" s="66"/>
      <c r="H1067" s="66"/>
      <c r="I1067" s="66"/>
      <c r="J1067" s="66"/>
      <c r="K1067" s="66"/>
      <c r="L1067" s="66"/>
      <c r="M1067" s="66"/>
      <c r="N1067" s="69"/>
      <c r="O1067" s="66"/>
      <c r="P1067" s="66"/>
      <c r="Q1067" s="66"/>
      <c r="R1067" s="66"/>
    </row>
    <row r="1068" spans="1:18" ht="16.8" hidden="1" x14ac:dyDescent="0.3">
      <c r="A1068" s="67"/>
      <c r="C1068" s="65"/>
      <c r="D1068" s="65"/>
      <c r="E1068" s="65"/>
      <c r="F1068" s="65"/>
      <c r="G1068" s="65"/>
      <c r="H1068" s="65"/>
      <c r="I1068" s="65"/>
      <c r="J1068" s="65"/>
      <c r="K1068" s="65"/>
      <c r="L1068" s="65"/>
      <c r="M1068" s="65"/>
      <c r="N1068" s="64"/>
      <c r="O1068" s="65"/>
      <c r="P1068" s="65"/>
      <c r="Q1068" s="65"/>
      <c r="R1068" s="65"/>
    </row>
    <row r="1069" spans="1:18" ht="16.8" hidden="1" x14ac:dyDescent="0.3">
      <c r="A1069" s="68"/>
      <c r="C1069" s="66"/>
      <c r="D1069" s="66"/>
      <c r="E1069" s="66"/>
      <c r="F1069" s="66"/>
      <c r="G1069" s="66"/>
      <c r="H1069" s="66"/>
      <c r="I1069" s="66"/>
      <c r="J1069" s="66"/>
      <c r="K1069" s="66"/>
      <c r="L1069" s="66"/>
      <c r="M1069" s="66"/>
      <c r="N1069" s="69"/>
      <c r="O1069" s="66"/>
      <c r="P1069" s="66"/>
      <c r="Q1069" s="66"/>
      <c r="R1069" s="66"/>
    </row>
    <row r="1070" spans="1:18" ht="16.8" hidden="1" x14ac:dyDescent="0.3">
      <c r="A1070" s="67"/>
      <c r="C1070" s="65"/>
      <c r="D1070" s="65"/>
      <c r="E1070" s="65"/>
      <c r="F1070" s="65"/>
      <c r="G1070" s="65"/>
      <c r="H1070" s="65"/>
      <c r="I1070" s="65"/>
      <c r="J1070" s="65"/>
      <c r="K1070" s="65"/>
      <c r="L1070" s="65"/>
      <c r="M1070" s="65"/>
      <c r="N1070" s="64"/>
      <c r="O1070" s="65"/>
      <c r="P1070" s="65"/>
      <c r="Q1070" s="65"/>
      <c r="R1070" s="65"/>
    </row>
    <row r="1071" spans="1:18" ht="16.8" hidden="1" x14ac:dyDescent="0.3">
      <c r="A1071" s="68"/>
      <c r="C1071" s="66"/>
      <c r="D1071" s="66"/>
      <c r="E1071" s="66"/>
      <c r="F1071" s="66"/>
      <c r="G1071" s="66"/>
      <c r="H1071" s="66"/>
      <c r="I1071" s="66"/>
      <c r="J1071" s="66"/>
      <c r="K1071" s="66"/>
      <c r="L1071" s="66"/>
      <c r="M1071" s="66"/>
      <c r="N1071" s="69"/>
      <c r="O1071" s="66"/>
      <c r="P1071" s="66"/>
      <c r="Q1071" s="66"/>
      <c r="R1071" s="66"/>
    </row>
    <row r="1072" spans="1:18" ht="16.8" hidden="1" x14ac:dyDescent="0.3">
      <c r="A1072" s="67"/>
      <c r="C1072" s="65"/>
      <c r="D1072" s="65"/>
      <c r="E1072" s="65"/>
      <c r="F1072" s="65"/>
      <c r="G1072" s="65"/>
      <c r="H1072" s="65"/>
      <c r="I1072" s="65"/>
      <c r="J1072" s="65"/>
      <c r="K1072" s="65"/>
      <c r="L1072" s="65"/>
      <c r="M1072" s="65"/>
      <c r="N1072" s="64"/>
      <c r="O1072" s="65"/>
      <c r="P1072" s="65"/>
      <c r="Q1072" s="65"/>
      <c r="R1072" s="65"/>
    </row>
    <row r="1073" spans="1:18" ht="16.8" hidden="1" x14ac:dyDescent="0.3">
      <c r="A1073" s="68"/>
      <c r="C1073" s="66"/>
      <c r="D1073" s="66"/>
      <c r="E1073" s="66"/>
      <c r="F1073" s="66"/>
      <c r="G1073" s="66"/>
      <c r="H1073" s="66"/>
      <c r="I1073" s="66"/>
      <c r="J1073" s="66"/>
      <c r="K1073" s="66"/>
      <c r="L1073" s="66"/>
      <c r="M1073" s="66"/>
      <c r="N1073" s="69"/>
      <c r="O1073" s="66"/>
      <c r="P1073" s="66"/>
      <c r="Q1073" s="66"/>
      <c r="R1073" s="66"/>
    </row>
    <row r="1074" spans="1:18" ht="16.8" hidden="1" x14ac:dyDescent="0.3">
      <c r="A1074" s="67"/>
      <c r="C1074" s="65"/>
      <c r="D1074" s="65"/>
      <c r="E1074" s="65"/>
      <c r="F1074" s="65"/>
      <c r="G1074" s="65"/>
      <c r="H1074" s="65"/>
      <c r="I1074" s="65"/>
      <c r="J1074" s="65"/>
      <c r="K1074" s="65"/>
      <c r="L1074" s="65"/>
      <c r="M1074" s="65"/>
      <c r="N1074" s="64"/>
      <c r="O1074" s="65"/>
      <c r="P1074" s="65"/>
      <c r="Q1074" s="65"/>
      <c r="R1074" s="65"/>
    </row>
    <row r="1075" spans="1:18" ht="16.8" hidden="1" x14ac:dyDescent="0.3">
      <c r="A1075" s="68"/>
      <c r="C1075" s="66"/>
      <c r="D1075" s="66"/>
      <c r="E1075" s="66"/>
      <c r="F1075" s="66"/>
      <c r="G1075" s="66"/>
      <c r="H1075" s="66"/>
      <c r="I1075" s="66"/>
      <c r="J1075" s="66"/>
      <c r="K1075" s="66"/>
      <c r="L1075" s="66"/>
      <c r="M1075" s="66"/>
      <c r="N1075" s="69"/>
      <c r="O1075" s="66"/>
      <c r="P1075" s="66"/>
      <c r="Q1075" s="66"/>
      <c r="R1075" s="66"/>
    </row>
    <row r="1076" spans="1:18" ht="16.8" hidden="1" x14ac:dyDescent="0.3">
      <c r="A1076" s="67"/>
      <c r="C1076" s="65"/>
      <c r="D1076" s="65"/>
      <c r="E1076" s="65"/>
      <c r="F1076" s="65"/>
      <c r="G1076" s="65"/>
      <c r="H1076" s="65"/>
      <c r="I1076" s="65"/>
      <c r="J1076" s="65"/>
      <c r="K1076" s="65"/>
      <c r="L1076" s="65"/>
      <c r="M1076" s="65"/>
      <c r="N1076" s="64"/>
      <c r="O1076" s="65"/>
      <c r="P1076" s="65"/>
      <c r="Q1076" s="65"/>
      <c r="R1076" s="65"/>
    </row>
    <row r="1077" spans="1:18" ht="16.8" hidden="1" x14ac:dyDescent="0.3">
      <c r="A1077" s="68"/>
      <c r="C1077" s="66"/>
      <c r="D1077" s="66"/>
      <c r="E1077" s="66"/>
      <c r="F1077" s="66"/>
      <c r="G1077" s="66"/>
      <c r="H1077" s="66"/>
      <c r="I1077" s="66"/>
      <c r="J1077" s="66"/>
      <c r="K1077" s="66"/>
      <c r="L1077" s="66"/>
      <c r="M1077" s="66"/>
      <c r="N1077" s="69"/>
      <c r="O1077" s="66"/>
      <c r="P1077" s="66"/>
      <c r="Q1077" s="66"/>
      <c r="R1077" s="66"/>
    </row>
    <row r="1078" spans="1:18" ht="16.8" hidden="1" x14ac:dyDescent="0.3">
      <c r="A1078" s="67"/>
      <c r="C1078" s="65"/>
      <c r="D1078" s="65"/>
      <c r="E1078" s="65"/>
      <c r="F1078" s="65"/>
      <c r="G1078" s="65"/>
      <c r="H1078" s="65"/>
      <c r="I1078" s="65"/>
      <c r="J1078" s="65"/>
      <c r="K1078" s="65"/>
      <c r="L1078" s="65"/>
      <c r="M1078" s="65"/>
      <c r="N1078" s="64"/>
      <c r="O1078" s="65"/>
      <c r="P1078" s="65"/>
      <c r="Q1078" s="65"/>
      <c r="R1078" s="65"/>
    </row>
    <row r="1079" spans="1:18" ht="16.8" hidden="1" x14ac:dyDescent="0.3">
      <c r="A1079" s="68"/>
      <c r="C1079" s="66"/>
      <c r="D1079" s="66"/>
      <c r="E1079" s="66"/>
      <c r="F1079" s="66"/>
      <c r="G1079" s="66"/>
      <c r="H1079" s="66"/>
      <c r="I1079" s="66"/>
      <c r="J1079" s="66"/>
      <c r="K1079" s="66"/>
      <c r="L1079" s="66"/>
      <c r="M1079" s="66"/>
      <c r="N1079" s="69"/>
      <c r="O1079" s="66"/>
      <c r="P1079" s="66"/>
      <c r="Q1079" s="66"/>
      <c r="R1079" s="66"/>
    </row>
    <row r="1080" spans="1:18" ht="16.8" hidden="1" x14ac:dyDescent="0.3">
      <c r="A1080" s="67"/>
      <c r="C1080" s="65"/>
      <c r="D1080" s="65"/>
      <c r="E1080" s="65"/>
      <c r="F1080" s="65"/>
      <c r="G1080" s="65"/>
      <c r="H1080" s="65"/>
      <c r="I1080" s="65"/>
      <c r="J1080" s="65"/>
      <c r="K1080" s="65"/>
      <c r="L1080" s="65"/>
      <c r="M1080" s="65"/>
      <c r="N1080" s="64"/>
      <c r="O1080" s="65"/>
      <c r="P1080" s="65"/>
      <c r="Q1080" s="65"/>
      <c r="R1080" s="65"/>
    </row>
    <row r="1081" spans="1:18" ht="16.8" hidden="1" x14ac:dyDescent="0.3">
      <c r="A1081" s="68"/>
      <c r="C1081" s="66"/>
      <c r="D1081" s="66"/>
      <c r="E1081" s="66"/>
      <c r="F1081" s="66"/>
      <c r="G1081" s="66"/>
      <c r="H1081" s="66"/>
      <c r="I1081" s="66"/>
      <c r="J1081" s="66"/>
      <c r="K1081" s="66"/>
      <c r="L1081" s="66"/>
      <c r="M1081" s="66"/>
      <c r="N1081" s="69"/>
      <c r="O1081" s="66"/>
      <c r="P1081" s="66"/>
      <c r="Q1081" s="66"/>
      <c r="R1081" s="66"/>
    </row>
    <row r="1082" spans="1:18" ht="16.8" hidden="1" x14ac:dyDescent="0.3">
      <c r="A1082" s="67"/>
      <c r="C1082" s="65"/>
      <c r="D1082" s="65"/>
      <c r="E1082" s="65"/>
      <c r="F1082" s="65"/>
      <c r="G1082" s="65"/>
      <c r="H1082" s="65"/>
      <c r="I1082" s="65"/>
      <c r="J1082" s="65"/>
      <c r="K1082" s="65"/>
      <c r="L1082" s="65"/>
      <c r="M1082" s="65"/>
      <c r="N1082" s="64"/>
      <c r="O1082" s="65"/>
      <c r="P1082" s="65"/>
      <c r="Q1082" s="65"/>
      <c r="R1082" s="65"/>
    </row>
    <row r="1083" spans="1:18" ht="16.8" hidden="1" x14ac:dyDescent="0.3">
      <c r="A1083" s="68"/>
      <c r="C1083" s="66"/>
      <c r="D1083" s="66"/>
      <c r="E1083" s="66"/>
      <c r="F1083" s="66"/>
      <c r="G1083" s="66"/>
      <c r="H1083" s="66"/>
      <c r="I1083" s="66"/>
      <c r="J1083" s="66"/>
      <c r="K1083" s="66"/>
      <c r="L1083" s="66"/>
      <c r="M1083" s="66"/>
      <c r="N1083" s="69"/>
      <c r="O1083" s="66"/>
      <c r="P1083" s="66"/>
      <c r="Q1083" s="66"/>
      <c r="R1083" s="66"/>
    </row>
    <row r="1084" spans="1:18" ht="16.8" hidden="1" x14ac:dyDescent="0.3">
      <c r="A1084" s="67"/>
      <c r="C1084" s="65"/>
      <c r="D1084" s="65"/>
      <c r="E1084" s="65"/>
      <c r="F1084" s="65"/>
      <c r="G1084" s="65"/>
      <c r="H1084" s="65"/>
      <c r="I1084" s="65"/>
      <c r="J1084" s="65"/>
      <c r="K1084" s="65"/>
      <c r="L1084" s="65"/>
      <c r="M1084" s="65"/>
      <c r="N1084" s="64"/>
      <c r="O1084" s="65"/>
      <c r="P1084" s="65"/>
      <c r="Q1084" s="65"/>
      <c r="R1084" s="65"/>
    </row>
    <row r="1085" spans="1:18" ht="16.8" hidden="1" x14ac:dyDescent="0.3">
      <c r="A1085" s="68"/>
      <c r="C1085" s="66"/>
      <c r="D1085" s="66"/>
      <c r="E1085" s="66"/>
      <c r="F1085" s="66"/>
      <c r="G1085" s="66"/>
      <c r="H1085" s="66"/>
      <c r="I1085" s="66"/>
      <c r="J1085" s="66"/>
      <c r="K1085" s="66"/>
      <c r="L1085" s="66"/>
      <c r="M1085" s="66"/>
      <c r="N1085" s="69"/>
      <c r="O1085" s="66"/>
      <c r="P1085" s="66"/>
      <c r="Q1085" s="66"/>
      <c r="R1085" s="66"/>
    </row>
    <row r="1086" spans="1:18" ht="16.8" hidden="1" x14ac:dyDescent="0.3">
      <c r="A1086" s="67"/>
      <c r="C1086" s="65"/>
      <c r="D1086" s="65"/>
      <c r="E1086" s="65"/>
      <c r="F1086" s="65"/>
      <c r="G1086" s="65"/>
      <c r="H1086" s="65"/>
      <c r="I1086" s="65"/>
      <c r="J1086" s="65"/>
      <c r="K1086" s="65"/>
      <c r="L1086" s="65"/>
      <c r="M1086" s="65"/>
      <c r="N1086" s="64"/>
      <c r="O1086" s="65"/>
      <c r="P1086" s="65"/>
      <c r="Q1086" s="65"/>
      <c r="R1086" s="65"/>
    </row>
    <row r="1087" spans="1:18" ht="16.8" hidden="1" x14ac:dyDescent="0.3">
      <c r="A1087" s="68"/>
      <c r="C1087" s="66"/>
      <c r="D1087" s="66"/>
      <c r="E1087" s="66"/>
      <c r="F1087" s="66"/>
      <c r="G1087" s="66"/>
      <c r="H1087" s="66"/>
      <c r="I1087" s="66"/>
      <c r="J1087" s="66"/>
      <c r="K1087" s="66"/>
      <c r="L1087" s="66"/>
      <c r="M1087" s="66"/>
      <c r="N1087" s="69"/>
      <c r="O1087" s="66"/>
      <c r="P1087" s="66"/>
      <c r="Q1087" s="66"/>
      <c r="R1087" s="66"/>
    </row>
    <row r="1088" spans="1:18" ht="16.8" hidden="1" x14ac:dyDescent="0.3">
      <c r="A1088" s="67"/>
      <c r="C1088" s="65"/>
      <c r="D1088" s="65"/>
      <c r="E1088" s="65"/>
      <c r="F1088" s="65"/>
      <c r="G1088" s="65"/>
      <c r="H1088" s="65"/>
      <c r="I1088" s="65"/>
      <c r="J1088" s="65"/>
      <c r="K1088" s="65"/>
      <c r="L1088" s="65"/>
      <c r="M1088" s="65"/>
      <c r="N1088" s="64"/>
      <c r="O1088" s="65"/>
      <c r="P1088" s="65"/>
      <c r="Q1088" s="65"/>
      <c r="R1088" s="65"/>
    </row>
    <row r="1089" spans="1:18" ht="16.8" hidden="1" x14ac:dyDescent="0.3">
      <c r="A1089" s="68"/>
      <c r="C1089" s="66"/>
      <c r="D1089" s="66"/>
      <c r="E1089" s="66"/>
      <c r="F1089" s="66"/>
      <c r="G1089" s="66"/>
      <c r="H1089" s="66"/>
      <c r="I1089" s="66"/>
      <c r="J1089" s="66"/>
      <c r="K1089" s="66"/>
      <c r="L1089" s="66"/>
      <c r="M1089" s="66"/>
      <c r="N1089" s="69"/>
      <c r="O1089" s="66"/>
      <c r="P1089" s="66"/>
      <c r="Q1089" s="66"/>
      <c r="R1089" s="66"/>
    </row>
    <row r="1090" spans="1:18" ht="16.8" hidden="1" x14ac:dyDescent="0.3">
      <c r="A1090" s="67"/>
      <c r="C1090" s="65"/>
      <c r="D1090" s="65"/>
      <c r="E1090" s="65"/>
      <c r="F1090" s="65"/>
      <c r="G1090" s="65"/>
      <c r="H1090" s="65"/>
      <c r="I1090" s="65"/>
      <c r="J1090" s="65"/>
      <c r="K1090" s="65"/>
      <c r="L1090" s="65"/>
      <c r="M1090" s="65"/>
      <c r="N1090" s="64"/>
      <c r="O1090" s="65"/>
      <c r="P1090" s="65"/>
      <c r="Q1090" s="65"/>
      <c r="R1090" s="65"/>
    </row>
    <row r="1091" spans="1:18" ht="16.8" hidden="1" x14ac:dyDescent="0.3">
      <c r="A1091" s="68"/>
      <c r="C1091" s="66"/>
      <c r="D1091" s="66"/>
      <c r="E1091" s="66"/>
      <c r="F1091" s="66"/>
      <c r="G1091" s="66"/>
      <c r="H1091" s="66"/>
      <c r="I1091" s="66"/>
      <c r="J1091" s="66"/>
      <c r="K1091" s="66"/>
      <c r="L1091" s="66"/>
      <c r="M1091" s="66"/>
      <c r="N1091" s="69"/>
      <c r="O1091" s="66"/>
      <c r="P1091" s="66"/>
      <c r="Q1091" s="66"/>
      <c r="R1091" s="66"/>
    </row>
    <row r="1092" spans="1:18" ht="16.8" hidden="1" x14ac:dyDescent="0.3">
      <c r="A1092" s="67"/>
      <c r="C1092" s="65"/>
      <c r="D1092" s="65"/>
      <c r="E1092" s="65"/>
      <c r="F1092" s="65"/>
      <c r="G1092" s="65"/>
      <c r="H1092" s="65"/>
      <c r="I1092" s="65"/>
      <c r="J1092" s="65"/>
      <c r="K1092" s="65"/>
      <c r="L1092" s="65"/>
      <c r="M1092" s="65"/>
      <c r="N1092" s="64"/>
      <c r="O1092" s="65"/>
      <c r="P1092" s="65"/>
      <c r="Q1092" s="65"/>
      <c r="R1092" s="65"/>
    </row>
    <row r="1093" spans="1:18" ht="16.8" hidden="1" x14ac:dyDescent="0.3">
      <c r="A1093" s="68"/>
      <c r="C1093" s="66"/>
      <c r="D1093" s="66"/>
      <c r="E1093" s="66"/>
      <c r="F1093" s="66"/>
      <c r="G1093" s="66"/>
      <c r="H1093" s="66"/>
      <c r="I1093" s="66"/>
      <c r="J1093" s="66"/>
      <c r="K1093" s="66"/>
      <c r="L1093" s="66"/>
      <c r="M1093" s="66"/>
      <c r="N1093" s="69"/>
      <c r="O1093" s="66"/>
      <c r="P1093" s="66"/>
      <c r="Q1093" s="66"/>
      <c r="R1093" s="66"/>
    </row>
    <row r="1094" spans="1:18" ht="16.8" hidden="1" x14ac:dyDescent="0.3">
      <c r="A1094" s="67"/>
      <c r="C1094" s="65"/>
      <c r="D1094" s="65"/>
      <c r="E1094" s="65"/>
      <c r="F1094" s="65"/>
      <c r="G1094" s="65"/>
      <c r="H1094" s="65"/>
      <c r="I1094" s="65"/>
      <c r="J1094" s="65"/>
      <c r="K1094" s="65"/>
      <c r="L1094" s="65"/>
      <c r="M1094" s="65"/>
      <c r="N1094" s="64"/>
      <c r="O1094" s="65"/>
      <c r="P1094" s="65"/>
      <c r="Q1094" s="65"/>
      <c r="R1094" s="65"/>
    </row>
    <row r="1095" spans="1:18" ht="16.8" hidden="1" x14ac:dyDescent="0.3">
      <c r="A1095" s="68"/>
      <c r="C1095" s="66"/>
      <c r="D1095" s="66"/>
      <c r="E1095" s="66"/>
      <c r="F1095" s="66"/>
      <c r="G1095" s="66"/>
      <c r="H1095" s="66"/>
      <c r="I1095" s="66"/>
      <c r="J1095" s="66"/>
      <c r="K1095" s="66"/>
      <c r="L1095" s="66"/>
      <c r="M1095" s="66"/>
      <c r="N1095" s="69"/>
      <c r="O1095" s="66"/>
      <c r="P1095" s="66"/>
      <c r="Q1095" s="66"/>
      <c r="R1095" s="66"/>
    </row>
    <row r="1096" spans="1:18" ht="16.8" hidden="1" x14ac:dyDescent="0.3">
      <c r="A1096" s="67"/>
      <c r="C1096" s="65"/>
      <c r="D1096" s="65"/>
      <c r="E1096" s="65"/>
      <c r="F1096" s="65"/>
      <c r="G1096" s="65"/>
      <c r="H1096" s="65"/>
      <c r="I1096" s="65"/>
      <c r="J1096" s="65"/>
      <c r="K1096" s="65"/>
      <c r="L1096" s="65"/>
      <c r="M1096" s="65"/>
      <c r="N1096" s="64"/>
      <c r="O1096" s="65"/>
      <c r="P1096" s="65"/>
      <c r="Q1096" s="65"/>
      <c r="R1096" s="65"/>
    </row>
    <row r="1097" spans="1:18" ht="16.8" hidden="1" x14ac:dyDescent="0.3">
      <c r="A1097" s="68"/>
      <c r="C1097" s="66"/>
      <c r="D1097" s="66"/>
      <c r="E1097" s="66"/>
      <c r="F1097" s="66"/>
      <c r="G1097" s="66"/>
      <c r="H1097" s="66"/>
      <c r="I1097" s="66"/>
      <c r="J1097" s="66"/>
      <c r="K1097" s="66"/>
      <c r="L1097" s="66"/>
      <c r="M1097" s="66"/>
      <c r="N1097" s="69"/>
      <c r="O1097" s="66"/>
      <c r="P1097" s="66"/>
      <c r="Q1097" s="66"/>
      <c r="R1097" s="66"/>
    </row>
    <row r="1098" spans="1:18" ht="16.8" hidden="1" x14ac:dyDescent="0.3">
      <c r="A1098" s="67"/>
      <c r="C1098" s="65"/>
      <c r="D1098" s="65"/>
      <c r="E1098" s="65"/>
      <c r="F1098" s="65"/>
      <c r="G1098" s="65"/>
      <c r="H1098" s="65"/>
      <c r="I1098" s="65"/>
      <c r="J1098" s="65"/>
      <c r="K1098" s="65"/>
      <c r="L1098" s="65"/>
      <c r="M1098" s="65"/>
      <c r="N1098" s="64"/>
      <c r="O1098" s="65"/>
      <c r="P1098" s="65"/>
      <c r="Q1098" s="65"/>
      <c r="R1098" s="65"/>
    </row>
    <row r="1099" spans="1:18" ht="16.8" hidden="1" x14ac:dyDescent="0.3">
      <c r="A1099" s="68"/>
      <c r="C1099" s="66"/>
      <c r="D1099" s="66"/>
      <c r="E1099" s="66"/>
      <c r="F1099" s="66"/>
      <c r="G1099" s="66"/>
      <c r="H1099" s="66"/>
      <c r="I1099" s="66"/>
      <c r="J1099" s="66"/>
      <c r="K1099" s="66"/>
      <c r="L1099" s="66"/>
      <c r="M1099" s="66"/>
      <c r="N1099" s="69"/>
      <c r="O1099" s="66"/>
      <c r="P1099" s="66"/>
      <c r="Q1099" s="66"/>
      <c r="R1099" s="66"/>
    </row>
    <row r="1100" spans="1:18" ht="16.8" hidden="1" x14ac:dyDescent="0.3">
      <c r="A1100" s="67"/>
      <c r="C1100" s="65"/>
      <c r="D1100" s="65"/>
      <c r="E1100" s="65"/>
      <c r="F1100" s="65"/>
      <c r="G1100" s="65"/>
      <c r="H1100" s="65"/>
      <c r="I1100" s="65"/>
      <c r="J1100" s="65"/>
      <c r="K1100" s="65"/>
      <c r="L1100" s="65"/>
      <c r="M1100" s="65"/>
      <c r="N1100" s="64"/>
      <c r="O1100" s="65"/>
      <c r="P1100" s="65"/>
      <c r="Q1100" s="65"/>
      <c r="R1100" s="65"/>
    </row>
    <row r="1101" spans="1:18" ht="16.8" hidden="1" x14ac:dyDescent="0.3">
      <c r="A1101" s="68"/>
      <c r="C1101" s="66"/>
      <c r="D1101" s="66"/>
      <c r="E1101" s="66"/>
      <c r="F1101" s="66"/>
      <c r="G1101" s="66"/>
      <c r="H1101" s="66"/>
      <c r="I1101" s="66"/>
      <c r="J1101" s="66"/>
      <c r="K1101" s="66"/>
      <c r="L1101" s="66"/>
      <c r="M1101" s="66"/>
      <c r="N1101" s="69"/>
      <c r="O1101" s="66"/>
      <c r="P1101" s="66"/>
      <c r="Q1101" s="66"/>
      <c r="R1101" s="66"/>
    </row>
    <row r="1102" spans="1:18" ht="16.8" hidden="1" x14ac:dyDescent="0.3">
      <c r="A1102" s="67"/>
      <c r="C1102" s="65"/>
      <c r="D1102" s="65"/>
      <c r="E1102" s="65"/>
      <c r="F1102" s="65"/>
      <c r="G1102" s="65"/>
      <c r="H1102" s="65"/>
      <c r="I1102" s="65"/>
      <c r="J1102" s="65"/>
      <c r="K1102" s="65"/>
      <c r="L1102" s="65"/>
      <c r="M1102" s="65"/>
      <c r="N1102" s="64"/>
      <c r="O1102" s="65"/>
      <c r="P1102" s="65"/>
      <c r="Q1102" s="65"/>
      <c r="R1102" s="65"/>
    </row>
    <row r="1103" spans="1:18" ht="16.8" hidden="1" x14ac:dyDescent="0.3">
      <c r="A1103" s="68"/>
      <c r="C1103" s="66"/>
      <c r="D1103" s="66"/>
      <c r="E1103" s="66"/>
      <c r="F1103" s="66"/>
      <c r="G1103" s="66"/>
      <c r="H1103" s="66"/>
      <c r="I1103" s="66"/>
      <c r="J1103" s="66"/>
      <c r="K1103" s="66"/>
      <c r="L1103" s="66"/>
      <c r="M1103" s="66"/>
      <c r="N1103" s="69"/>
      <c r="O1103" s="66"/>
      <c r="P1103" s="66"/>
      <c r="Q1103" s="66"/>
      <c r="R1103" s="66"/>
    </row>
    <row r="1104" spans="1:18" ht="16.8" hidden="1" x14ac:dyDescent="0.3">
      <c r="A1104" s="67"/>
      <c r="C1104" s="65"/>
      <c r="D1104" s="65"/>
      <c r="E1104" s="65"/>
      <c r="F1104" s="65"/>
      <c r="G1104" s="65"/>
      <c r="H1104" s="65"/>
      <c r="I1104" s="65"/>
      <c r="J1104" s="65"/>
      <c r="K1104" s="65"/>
      <c r="L1104" s="65"/>
      <c r="M1104" s="65"/>
      <c r="N1104" s="64"/>
      <c r="O1104" s="65"/>
      <c r="P1104" s="65"/>
      <c r="Q1104" s="65"/>
      <c r="R1104" s="65"/>
    </row>
    <row r="1105" spans="1:18" ht="16.8" hidden="1" x14ac:dyDescent="0.3">
      <c r="A1105" s="68"/>
      <c r="C1105" s="66"/>
      <c r="D1105" s="66"/>
      <c r="E1105" s="66"/>
      <c r="F1105" s="66"/>
      <c r="G1105" s="66"/>
      <c r="H1105" s="66"/>
      <c r="I1105" s="66"/>
      <c r="J1105" s="66"/>
      <c r="K1105" s="66"/>
      <c r="L1105" s="66"/>
      <c r="M1105" s="66"/>
      <c r="N1105" s="69"/>
      <c r="O1105" s="66"/>
      <c r="P1105" s="66"/>
      <c r="Q1105" s="66"/>
      <c r="R1105" s="66"/>
    </row>
    <row r="1106" spans="1:18" ht="16.8" hidden="1" x14ac:dyDescent="0.3">
      <c r="A1106" s="67"/>
      <c r="C1106" s="65"/>
      <c r="D1106" s="65"/>
      <c r="E1106" s="65"/>
      <c r="F1106" s="65"/>
      <c r="G1106" s="65"/>
      <c r="H1106" s="65"/>
      <c r="I1106" s="65"/>
      <c r="J1106" s="65"/>
      <c r="K1106" s="65"/>
      <c r="L1106" s="65"/>
      <c r="M1106" s="65"/>
      <c r="N1106" s="64"/>
      <c r="O1106" s="65"/>
      <c r="P1106" s="65"/>
      <c r="Q1106" s="65"/>
      <c r="R1106" s="65"/>
    </row>
    <row r="1107" spans="1:18" ht="16.8" hidden="1" x14ac:dyDescent="0.3">
      <c r="A1107" s="68"/>
      <c r="C1107" s="66"/>
      <c r="D1107" s="66"/>
      <c r="E1107" s="66"/>
      <c r="F1107" s="66"/>
      <c r="G1107" s="66"/>
      <c r="H1107" s="66"/>
      <c r="I1107" s="66"/>
      <c r="J1107" s="66"/>
      <c r="K1107" s="66"/>
      <c r="L1107" s="66"/>
      <c r="M1107" s="66"/>
      <c r="N1107" s="69"/>
      <c r="O1107" s="66"/>
      <c r="P1107" s="66"/>
      <c r="Q1107" s="66"/>
      <c r="R1107" s="66"/>
    </row>
    <row r="1108" spans="1:18" ht="16.8" hidden="1" x14ac:dyDescent="0.3">
      <c r="A1108" s="67"/>
      <c r="C1108" s="65"/>
      <c r="D1108" s="65"/>
      <c r="E1108" s="65"/>
      <c r="F1108" s="65"/>
      <c r="G1108" s="65"/>
      <c r="H1108" s="65"/>
      <c r="I1108" s="65"/>
      <c r="J1108" s="65"/>
      <c r="K1108" s="65"/>
      <c r="L1108" s="65"/>
      <c r="M1108" s="65"/>
      <c r="N1108" s="64"/>
      <c r="O1108" s="65"/>
      <c r="P1108" s="65"/>
      <c r="Q1108" s="65"/>
      <c r="R1108" s="65"/>
    </row>
    <row r="1109" spans="1:18" ht="16.8" hidden="1" x14ac:dyDescent="0.3">
      <c r="A1109" s="68"/>
      <c r="C1109" s="66"/>
      <c r="D1109" s="66"/>
      <c r="E1109" s="66"/>
      <c r="F1109" s="66"/>
      <c r="G1109" s="66"/>
      <c r="H1109" s="66"/>
      <c r="I1109" s="66"/>
      <c r="J1109" s="66"/>
      <c r="K1109" s="66"/>
      <c r="L1109" s="66"/>
      <c r="M1109" s="66"/>
      <c r="N1109" s="69"/>
      <c r="O1109" s="66"/>
      <c r="P1109" s="66"/>
      <c r="Q1109" s="66"/>
      <c r="R1109" s="66"/>
    </row>
    <row r="1110" spans="1:18" ht="16.8" hidden="1" x14ac:dyDescent="0.3">
      <c r="A1110" s="67"/>
      <c r="C1110" s="65"/>
      <c r="D1110" s="65"/>
      <c r="E1110" s="65"/>
      <c r="F1110" s="65"/>
      <c r="G1110" s="65"/>
      <c r="H1110" s="65"/>
      <c r="I1110" s="65"/>
      <c r="J1110" s="65"/>
      <c r="K1110" s="65"/>
      <c r="L1110" s="65"/>
      <c r="M1110" s="65"/>
      <c r="N1110" s="64"/>
      <c r="O1110" s="65"/>
      <c r="P1110" s="65"/>
      <c r="Q1110" s="65"/>
      <c r="R1110" s="65"/>
    </row>
    <row r="1111" spans="1:18" ht="16.8" hidden="1" x14ac:dyDescent="0.3">
      <c r="A1111" s="68"/>
      <c r="C1111" s="66"/>
      <c r="D1111" s="66"/>
      <c r="E1111" s="66"/>
      <c r="F1111" s="66"/>
      <c r="G1111" s="66"/>
      <c r="H1111" s="66"/>
      <c r="I1111" s="66"/>
      <c r="J1111" s="66"/>
      <c r="K1111" s="66"/>
      <c r="L1111" s="66"/>
      <c r="M1111" s="66"/>
      <c r="N1111" s="69"/>
      <c r="O1111" s="66"/>
      <c r="P1111" s="66"/>
      <c r="Q1111" s="66"/>
      <c r="R1111" s="66"/>
    </row>
    <row r="1112" spans="1:18" ht="16.8" hidden="1" x14ac:dyDescent="0.3">
      <c r="A1112" s="67"/>
      <c r="C1112" s="65"/>
      <c r="D1112" s="65"/>
      <c r="E1112" s="65"/>
      <c r="F1112" s="65"/>
      <c r="G1112" s="65"/>
      <c r="H1112" s="65"/>
      <c r="I1112" s="65"/>
      <c r="J1112" s="65"/>
      <c r="K1112" s="65"/>
      <c r="L1112" s="65"/>
      <c r="M1112" s="65"/>
      <c r="N1112" s="64"/>
      <c r="O1112" s="65"/>
      <c r="P1112" s="65"/>
      <c r="Q1112" s="65"/>
      <c r="R1112" s="65"/>
    </row>
    <row r="1113" spans="1:18" ht="16.8" hidden="1" x14ac:dyDescent="0.3">
      <c r="A1113" s="68"/>
      <c r="C1113" s="66"/>
      <c r="D1113" s="66"/>
      <c r="E1113" s="66"/>
      <c r="F1113" s="66"/>
      <c r="G1113" s="66"/>
      <c r="H1113" s="66"/>
      <c r="I1113" s="66"/>
      <c r="J1113" s="66"/>
      <c r="K1113" s="66"/>
      <c r="L1113" s="66"/>
      <c r="M1113" s="66"/>
      <c r="N1113" s="69"/>
      <c r="O1113" s="66"/>
      <c r="P1113" s="66"/>
      <c r="Q1113" s="66"/>
      <c r="R1113" s="66"/>
    </row>
    <row r="1114" spans="1:18" ht="16.8" hidden="1" x14ac:dyDescent="0.3">
      <c r="A1114" s="67"/>
      <c r="C1114" s="65"/>
      <c r="D1114" s="65"/>
      <c r="E1114" s="65"/>
      <c r="F1114" s="65"/>
      <c r="G1114" s="65"/>
      <c r="H1114" s="65"/>
      <c r="I1114" s="65"/>
      <c r="J1114" s="65"/>
      <c r="K1114" s="65"/>
      <c r="L1114" s="65"/>
      <c r="M1114" s="65"/>
      <c r="N1114" s="64"/>
      <c r="O1114" s="65"/>
      <c r="P1114" s="65"/>
      <c r="Q1114" s="65"/>
      <c r="R1114" s="65"/>
    </row>
    <row r="1115" spans="1:18" ht="16.8" hidden="1" x14ac:dyDescent="0.3">
      <c r="A1115" s="68"/>
      <c r="C1115" s="66"/>
      <c r="D1115" s="66"/>
      <c r="E1115" s="66"/>
      <c r="F1115" s="66"/>
      <c r="G1115" s="66"/>
      <c r="H1115" s="66"/>
      <c r="I1115" s="66"/>
      <c r="J1115" s="66"/>
      <c r="K1115" s="66"/>
      <c r="L1115" s="66"/>
      <c r="M1115" s="66"/>
      <c r="N1115" s="69"/>
      <c r="O1115" s="66"/>
      <c r="P1115" s="66"/>
      <c r="Q1115" s="66"/>
      <c r="R1115" s="66"/>
    </row>
    <row r="1116" spans="1:18" ht="16.8" hidden="1" x14ac:dyDescent="0.3">
      <c r="A1116" s="67"/>
      <c r="C1116" s="65"/>
      <c r="D1116" s="65"/>
      <c r="E1116" s="65"/>
      <c r="F1116" s="65"/>
      <c r="G1116" s="65"/>
      <c r="H1116" s="65"/>
      <c r="I1116" s="65"/>
      <c r="J1116" s="65"/>
      <c r="K1116" s="65"/>
      <c r="L1116" s="65"/>
      <c r="M1116" s="65"/>
      <c r="N1116" s="64"/>
      <c r="O1116" s="65"/>
      <c r="P1116" s="65"/>
      <c r="Q1116" s="65"/>
      <c r="R1116" s="65"/>
    </row>
    <row r="1117" spans="1:18" ht="16.8" hidden="1" x14ac:dyDescent="0.3">
      <c r="A1117" s="68"/>
      <c r="C1117" s="66"/>
      <c r="D1117" s="66"/>
      <c r="E1117" s="66"/>
      <c r="F1117" s="66"/>
      <c r="G1117" s="66"/>
      <c r="H1117" s="66"/>
      <c r="I1117" s="66"/>
      <c r="J1117" s="66"/>
      <c r="K1117" s="66"/>
      <c r="L1117" s="66"/>
      <c r="M1117" s="66"/>
      <c r="N1117" s="69"/>
      <c r="O1117" s="66"/>
      <c r="P1117" s="66"/>
      <c r="Q1117" s="66"/>
      <c r="R1117" s="66"/>
    </row>
    <row r="1118" spans="1:18" ht="16.8" hidden="1" x14ac:dyDescent="0.3">
      <c r="A1118" s="67"/>
      <c r="C1118" s="65"/>
      <c r="D1118" s="65"/>
      <c r="E1118" s="65"/>
      <c r="F1118" s="65"/>
      <c r="G1118" s="65"/>
      <c r="H1118" s="65"/>
      <c r="I1118" s="65"/>
      <c r="J1118" s="65"/>
      <c r="K1118" s="65"/>
      <c r="L1118" s="65"/>
      <c r="M1118" s="65"/>
      <c r="N1118" s="64"/>
      <c r="O1118" s="65"/>
      <c r="P1118" s="65"/>
      <c r="Q1118" s="65"/>
      <c r="R1118" s="65"/>
    </row>
    <row r="1119" spans="1:18" ht="16.8" hidden="1" x14ac:dyDescent="0.3">
      <c r="A1119" s="68"/>
      <c r="C1119" s="66"/>
      <c r="D1119" s="66"/>
      <c r="E1119" s="66"/>
      <c r="F1119" s="66"/>
      <c r="G1119" s="66"/>
      <c r="H1119" s="66"/>
      <c r="I1119" s="66"/>
      <c r="J1119" s="66"/>
      <c r="K1119" s="66"/>
      <c r="L1119" s="66"/>
      <c r="M1119" s="66"/>
      <c r="N1119" s="69"/>
      <c r="O1119" s="66"/>
      <c r="P1119" s="66"/>
      <c r="Q1119" s="66"/>
      <c r="R1119" s="66"/>
    </row>
    <row r="1120" spans="1:18" ht="16.8" hidden="1" x14ac:dyDescent="0.3">
      <c r="A1120" s="67"/>
      <c r="C1120" s="65"/>
      <c r="D1120" s="65"/>
      <c r="E1120" s="65"/>
      <c r="F1120" s="65"/>
      <c r="G1120" s="65"/>
      <c r="H1120" s="65"/>
      <c r="I1120" s="65"/>
      <c r="J1120" s="65"/>
      <c r="K1120" s="65"/>
      <c r="L1120" s="65"/>
      <c r="M1120" s="65"/>
      <c r="N1120" s="64"/>
      <c r="O1120" s="65"/>
      <c r="P1120" s="65"/>
      <c r="Q1120" s="65"/>
      <c r="R1120" s="65"/>
    </row>
    <row r="1121" spans="1:18" ht="16.8" hidden="1" x14ac:dyDescent="0.3">
      <c r="A1121" s="68"/>
      <c r="C1121" s="66"/>
      <c r="D1121" s="66"/>
      <c r="E1121" s="66"/>
      <c r="F1121" s="66"/>
      <c r="G1121" s="66"/>
      <c r="H1121" s="66"/>
      <c r="I1121" s="66"/>
      <c r="J1121" s="66"/>
      <c r="K1121" s="66"/>
      <c r="L1121" s="66"/>
      <c r="M1121" s="66"/>
      <c r="N1121" s="69"/>
      <c r="O1121" s="66"/>
      <c r="P1121" s="66"/>
      <c r="Q1121" s="66"/>
      <c r="R1121" s="66"/>
    </row>
    <row r="1122" spans="1:18" ht="16.8" hidden="1" x14ac:dyDescent="0.3">
      <c r="A1122" s="67"/>
      <c r="C1122" s="65"/>
      <c r="D1122" s="65"/>
      <c r="E1122" s="65"/>
      <c r="F1122" s="65"/>
      <c r="G1122" s="65"/>
      <c r="H1122" s="65"/>
      <c r="I1122" s="65"/>
      <c r="J1122" s="65"/>
      <c r="K1122" s="65"/>
      <c r="L1122" s="65"/>
      <c r="M1122" s="65"/>
      <c r="N1122" s="64"/>
      <c r="O1122" s="65"/>
      <c r="P1122" s="65"/>
      <c r="Q1122" s="65"/>
      <c r="R1122" s="65"/>
    </row>
    <row r="1123" spans="1:18" ht="16.8" hidden="1" x14ac:dyDescent="0.3">
      <c r="A1123" s="68"/>
      <c r="C1123" s="66"/>
      <c r="D1123" s="66"/>
      <c r="E1123" s="66"/>
      <c r="F1123" s="66"/>
      <c r="G1123" s="66"/>
      <c r="H1123" s="66"/>
      <c r="I1123" s="66"/>
      <c r="J1123" s="66"/>
      <c r="K1123" s="66"/>
      <c r="L1123" s="66"/>
      <c r="M1123" s="66"/>
      <c r="N1123" s="69"/>
      <c r="O1123" s="66"/>
      <c r="P1123" s="66"/>
      <c r="Q1123" s="66"/>
      <c r="R1123" s="66"/>
    </row>
    <row r="1124" spans="1:18" ht="16.8" hidden="1" x14ac:dyDescent="0.3">
      <c r="A1124" s="67"/>
      <c r="C1124" s="65"/>
      <c r="D1124" s="65"/>
      <c r="E1124" s="65"/>
      <c r="F1124" s="65"/>
      <c r="G1124" s="65"/>
      <c r="H1124" s="65"/>
      <c r="I1124" s="65"/>
      <c r="J1124" s="65"/>
      <c r="K1124" s="65"/>
      <c r="L1124" s="65"/>
      <c r="M1124" s="65"/>
      <c r="N1124" s="64"/>
      <c r="O1124" s="65"/>
      <c r="P1124" s="65"/>
      <c r="Q1124" s="65"/>
      <c r="R1124" s="65"/>
    </row>
    <row r="1125" spans="1:18" ht="16.8" hidden="1" x14ac:dyDescent="0.3">
      <c r="A1125" s="68"/>
      <c r="C1125" s="66"/>
      <c r="D1125" s="66"/>
      <c r="E1125" s="66"/>
      <c r="F1125" s="66"/>
      <c r="G1125" s="66"/>
      <c r="H1125" s="66"/>
      <c r="I1125" s="66"/>
      <c r="J1125" s="66"/>
      <c r="K1125" s="66"/>
      <c r="L1125" s="66"/>
      <c r="M1125" s="66"/>
      <c r="N1125" s="69"/>
      <c r="O1125" s="66"/>
      <c r="P1125" s="66"/>
      <c r="Q1125" s="66"/>
      <c r="R1125" s="66"/>
    </row>
    <row r="1126" spans="1:18" ht="16.8" hidden="1" x14ac:dyDescent="0.3">
      <c r="A1126" s="67"/>
      <c r="C1126" s="65"/>
      <c r="D1126" s="65"/>
      <c r="E1126" s="65"/>
      <c r="F1126" s="65"/>
      <c r="G1126" s="65"/>
      <c r="H1126" s="65"/>
      <c r="I1126" s="65"/>
      <c r="J1126" s="65"/>
      <c r="K1126" s="65"/>
      <c r="L1126" s="65"/>
      <c r="M1126" s="65"/>
      <c r="N1126" s="64"/>
      <c r="O1126" s="65"/>
      <c r="P1126" s="65"/>
      <c r="Q1126" s="65"/>
      <c r="R1126" s="65"/>
    </row>
    <row r="1127" spans="1:18" ht="16.8" hidden="1" x14ac:dyDescent="0.3">
      <c r="A1127" s="68"/>
      <c r="C1127" s="66"/>
      <c r="D1127" s="66"/>
      <c r="E1127" s="66"/>
      <c r="F1127" s="66"/>
      <c r="G1127" s="66"/>
      <c r="H1127" s="66"/>
      <c r="I1127" s="66"/>
      <c r="J1127" s="66"/>
      <c r="K1127" s="66"/>
      <c r="L1127" s="66"/>
      <c r="M1127" s="66"/>
      <c r="N1127" s="69"/>
      <c r="O1127" s="66"/>
      <c r="P1127" s="66"/>
      <c r="Q1127" s="66"/>
      <c r="R1127" s="66"/>
    </row>
    <row r="1128" spans="1:18" ht="16.8" hidden="1" x14ac:dyDescent="0.3">
      <c r="A1128" s="67"/>
      <c r="C1128" s="65"/>
      <c r="D1128" s="65"/>
      <c r="E1128" s="65"/>
      <c r="F1128" s="65"/>
      <c r="G1128" s="65"/>
      <c r="H1128" s="65"/>
      <c r="I1128" s="65"/>
      <c r="J1128" s="65"/>
      <c r="K1128" s="65"/>
      <c r="L1128" s="65"/>
      <c r="M1128" s="65"/>
      <c r="N1128" s="64"/>
      <c r="O1128" s="65"/>
      <c r="P1128" s="65"/>
      <c r="Q1128" s="65"/>
      <c r="R1128" s="65"/>
    </row>
    <row r="1129" spans="1:18" ht="16.8" hidden="1" x14ac:dyDescent="0.3">
      <c r="A1129" s="68"/>
      <c r="C1129" s="66"/>
      <c r="D1129" s="66"/>
      <c r="E1129" s="66"/>
      <c r="F1129" s="66"/>
      <c r="G1129" s="66"/>
      <c r="H1129" s="66"/>
      <c r="I1129" s="66"/>
      <c r="J1129" s="66"/>
      <c r="K1129" s="66"/>
      <c r="L1129" s="66"/>
      <c r="M1129" s="66"/>
      <c r="N1129" s="69"/>
      <c r="O1129" s="66"/>
      <c r="P1129" s="66"/>
      <c r="Q1129" s="66"/>
      <c r="R1129" s="66"/>
    </row>
    <row r="1130" spans="1:18" ht="16.8" hidden="1" x14ac:dyDescent="0.3">
      <c r="A1130" s="67"/>
      <c r="C1130" s="65"/>
      <c r="D1130" s="65"/>
      <c r="E1130" s="65"/>
      <c r="F1130" s="65"/>
      <c r="G1130" s="65"/>
      <c r="H1130" s="65"/>
      <c r="I1130" s="65"/>
      <c r="J1130" s="65"/>
      <c r="K1130" s="65"/>
      <c r="L1130" s="65"/>
      <c r="M1130" s="65"/>
      <c r="N1130" s="64"/>
      <c r="O1130" s="65"/>
      <c r="P1130" s="65"/>
      <c r="Q1130" s="65"/>
      <c r="R1130" s="65"/>
    </row>
    <row r="1131" spans="1:18" ht="16.8" hidden="1" x14ac:dyDescent="0.3">
      <c r="A1131" s="68"/>
      <c r="C1131" s="66"/>
      <c r="D1131" s="66"/>
      <c r="E1131" s="66"/>
      <c r="F1131" s="66"/>
      <c r="G1131" s="66"/>
      <c r="H1131" s="66"/>
      <c r="I1131" s="66"/>
      <c r="J1131" s="66"/>
      <c r="K1131" s="66"/>
      <c r="L1131" s="66"/>
      <c r="M1131" s="66"/>
      <c r="N1131" s="69"/>
      <c r="O1131" s="66"/>
      <c r="P1131" s="66"/>
      <c r="Q1131" s="66"/>
      <c r="R1131" s="66"/>
    </row>
    <row r="1132" spans="1:18" ht="16.8" hidden="1" x14ac:dyDescent="0.3">
      <c r="A1132" s="67"/>
      <c r="C1132" s="65"/>
      <c r="D1132" s="65"/>
      <c r="E1132" s="65"/>
      <c r="F1132" s="65"/>
      <c r="G1132" s="65"/>
      <c r="H1132" s="65"/>
      <c r="I1132" s="65"/>
      <c r="J1132" s="65"/>
      <c r="K1132" s="65"/>
      <c r="L1132" s="65"/>
      <c r="M1132" s="65"/>
      <c r="N1132" s="64"/>
      <c r="O1132" s="65"/>
      <c r="P1132" s="65"/>
      <c r="Q1132" s="65"/>
      <c r="R1132" s="65"/>
    </row>
    <row r="1133" spans="1:18" ht="16.8" hidden="1" x14ac:dyDescent="0.3">
      <c r="A1133" s="68"/>
      <c r="C1133" s="66"/>
      <c r="D1133" s="66"/>
      <c r="E1133" s="66"/>
      <c r="F1133" s="66"/>
      <c r="G1133" s="66"/>
      <c r="H1133" s="66"/>
      <c r="I1133" s="66"/>
      <c r="J1133" s="66"/>
      <c r="K1133" s="66"/>
      <c r="L1133" s="66"/>
      <c r="M1133" s="66"/>
      <c r="N1133" s="69"/>
      <c r="O1133" s="66"/>
      <c r="P1133" s="66"/>
      <c r="Q1133" s="66"/>
      <c r="R1133" s="66"/>
    </row>
    <row r="1134" spans="1:18" ht="16.8" hidden="1" x14ac:dyDescent="0.3">
      <c r="A1134" s="67"/>
      <c r="C1134" s="65"/>
      <c r="D1134" s="65"/>
      <c r="E1134" s="65"/>
      <c r="F1134" s="65"/>
      <c r="G1134" s="65"/>
      <c r="H1134" s="65"/>
      <c r="I1134" s="65"/>
      <c r="J1134" s="65"/>
      <c r="K1134" s="65"/>
      <c r="L1134" s="65"/>
      <c r="M1134" s="65"/>
      <c r="N1134" s="64"/>
      <c r="O1134" s="65"/>
      <c r="P1134" s="65"/>
      <c r="Q1134" s="65"/>
      <c r="R1134" s="65"/>
    </row>
    <row r="1135" spans="1:18" ht="16.8" hidden="1" x14ac:dyDescent="0.3">
      <c r="A1135" s="68"/>
      <c r="C1135" s="66"/>
      <c r="D1135" s="66"/>
      <c r="E1135" s="66"/>
      <c r="F1135" s="66"/>
      <c r="G1135" s="66"/>
      <c r="H1135" s="66"/>
      <c r="I1135" s="66"/>
      <c r="J1135" s="66"/>
      <c r="K1135" s="66"/>
      <c r="L1135" s="66"/>
      <c r="M1135" s="66"/>
      <c r="N1135" s="69"/>
      <c r="O1135" s="66"/>
      <c r="P1135" s="66"/>
      <c r="Q1135" s="66"/>
      <c r="R1135" s="66"/>
    </row>
    <row r="1136" spans="1:18" ht="16.8" hidden="1" x14ac:dyDescent="0.3">
      <c r="A1136" s="67"/>
      <c r="C1136" s="65"/>
      <c r="D1136" s="65"/>
      <c r="E1136" s="65"/>
      <c r="F1136" s="65"/>
      <c r="G1136" s="65"/>
      <c r="H1136" s="65"/>
      <c r="I1136" s="65"/>
      <c r="J1136" s="65"/>
      <c r="K1136" s="65"/>
      <c r="L1136" s="65"/>
      <c r="M1136" s="65"/>
      <c r="N1136" s="64"/>
      <c r="O1136" s="65"/>
      <c r="P1136" s="65"/>
      <c r="Q1136" s="65"/>
      <c r="R1136" s="65"/>
    </row>
    <row r="1137" spans="1:18" ht="16.8" hidden="1" x14ac:dyDescent="0.3">
      <c r="A1137" s="68"/>
      <c r="C1137" s="66"/>
      <c r="D1137" s="66"/>
      <c r="E1137" s="66"/>
      <c r="F1137" s="66"/>
      <c r="G1137" s="66"/>
      <c r="H1137" s="66"/>
      <c r="I1137" s="66"/>
      <c r="J1137" s="66"/>
      <c r="K1137" s="66"/>
      <c r="L1137" s="66"/>
      <c r="M1137" s="66"/>
      <c r="N1137" s="69"/>
      <c r="O1137" s="66"/>
      <c r="P1137" s="66"/>
      <c r="Q1137" s="66"/>
      <c r="R1137" s="66"/>
    </row>
    <row r="1138" spans="1:18" ht="16.8" hidden="1" x14ac:dyDescent="0.3">
      <c r="A1138" s="67"/>
      <c r="C1138" s="65"/>
      <c r="D1138" s="65"/>
      <c r="E1138" s="65"/>
      <c r="F1138" s="65"/>
      <c r="G1138" s="65"/>
      <c r="H1138" s="65"/>
      <c r="I1138" s="65"/>
      <c r="J1138" s="65"/>
      <c r="K1138" s="65"/>
      <c r="L1138" s="65"/>
      <c r="M1138" s="65"/>
      <c r="N1138" s="64"/>
      <c r="O1138" s="65"/>
      <c r="P1138" s="65"/>
      <c r="Q1138" s="65"/>
      <c r="R1138" s="65"/>
    </row>
    <row r="1139" spans="1:18" ht="16.8" hidden="1" x14ac:dyDescent="0.3">
      <c r="A1139" s="68"/>
      <c r="C1139" s="66"/>
      <c r="D1139" s="66"/>
      <c r="E1139" s="66"/>
      <c r="F1139" s="66"/>
      <c r="G1139" s="66"/>
      <c r="H1139" s="66"/>
      <c r="I1139" s="66"/>
      <c r="J1139" s="66"/>
      <c r="K1139" s="66"/>
      <c r="L1139" s="66"/>
      <c r="M1139" s="66"/>
      <c r="N1139" s="69"/>
      <c r="O1139" s="66"/>
      <c r="P1139" s="66"/>
      <c r="Q1139" s="66"/>
      <c r="R1139" s="66"/>
    </row>
    <row r="1140" spans="1:18" ht="16.8" hidden="1" x14ac:dyDescent="0.3">
      <c r="A1140" s="67"/>
      <c r="C1140" s="65"/>
      <c r="D1140" s="65"/>
      <c r="E1140" s="65"/>
      <c r="F1140" s="65"/>
      <c r="G1140" s="65"/>
      <c r="H1140" s="65"/>
      <c r="I1140" s="65"/>
      <c r="J1140" s="65"/>
      <c r="K1140" s="65"/>
      <c r="L1140" s="65"/>
      <c r="M1140" s="65"/>
      <c r="N1140" s="64"/>
      <c r="O1140" s="65"/>
      <c r="P1140" s="65"/>
      <c r="Q1140" s="65"/>
      <c r="R1140" s="65"/>
    </row>
    <row r="1141" spans="1:18" ht="16.8" hidden="1" x14ac:dyDescent="0.3">
      <c r="A1141" s="68"/>
      <c r="C1141" s="66"/>
      <c r="D1141" s="66"/>
      <c r="E1141" s="66"/>
      <c r="F1141" s="66"/>
      <c r="G1141" s="66"/>
      <c r="H1141" s="66"/>
      <c r="I1141" s="66"/>
      <c r="J1141" s="66"/>
      <c r="K1141" s="66"/>
      <c r="L1141" s="66"/>
      <c r="M1141" s="66"/>
      <c r="N1141" s="69"/>
      <c r="O1141" s="66"/>
      <c r="P1141" s="66"/>
      <c r="Q1141" s="66"/>
      <c r="R1141" s="66"/>
    </row>
    <row r="1142" spans="1:18" ht="16.8" hidden="1" x14ac:dyDescent="0.3">
      <c r="A1142" s="67"/>
      <c r="C1142" s="65"/>
      <c r="D1142" s="65"/>
      <c r="E1142" s="65"/>
      <c r="F1142" s="65"/>
      <c r="G1142" s="65"/>
      <c r="H1142" s="65"/>
      <c r="I1142" s="65"/>
      <c r="J1142" s="65"/>
      <c r="K1142" s="65"/>
      <c r="L1142" s="65"/>
      <c r="M1142" s="65"/>
      <c r="N1142" s="64"/>
      <c r="O1142" s="65"/>
      <c r="P1142" s="65"/>
      <c r="Q1142" s="65"/>
      <c r="R1142" s="65"/>
    </row>
    <row r="1143" spans="1:18" ht="16.8" hidden="1" x14ac:dyDescent="0.3">
      <c r="A1143" s="68"/>
      <c r="C1143" s="66"/>
      <c r="D1143" s="66"/>
      <c r="E1143" s="66"/>
      <c r="F1143" s="66"/>
      <c r="G1143" s="66"/>
      <c r="H1143" s="66"/>
      <c r="I1143" s="66"/>
      <c r="J1143" s="66"/>
      <c r="K1143" s="66"/>
      <c r="L1143" s="66"/>
      <c r="M1143" s="66"/>
      <c r="N1143" s="69"/>
      <c r="O1143" s="66"/>
      <c r="P1143" s="66"/>
      <c r="Q1143" s="66"/>
      <c r="R1143" s="66"/>
    </row>
    <row r="1144" spans="1:18" ht="16.8" hidden="1" x14ac:dyDescent="0.3">
      <c r="A1144" s="67"/>
      <c r="C1144" s="65"/>
      <c r="D1144" s="65"/>
      <c r="E1144" s="65"/>
      <c r="F1144" s="65"/>
      <c r="G1144" s="65"/>
      <c r="H1144" s="65"/>
      <c r="I1144" s="65"/>
      <c r="J1144" s="65"/>
      <c r="K1144" s="65"/>
      <c r="L1144" s="65"/>
      <c r="M1144" s="65"/>
      <c r="N1144" s="64"/>
      <c r="O1144" s="65"/>
      <c r="P1144" s="65"/>
      <c r="Q1144" s="65"/>
      <c r="R1144" s="65"/>
    </row>
    <row r="1145" spans="1:18" ht="16.8" hidden="1" x14ac:dyDescent="0.3">
      <c r="A1145" s="68"/>
      <c r="C1145" s="66"/>
      <c r="D1145" s="66"/>
      <c r="E1145" s="66"/>
      <c r="F1145" s="66"/>
      <c r="G1145" s="66"/>
      <c r="H1145" s="66"/>
      <c r="I1145" s="66"/>
      <c r="J1145" s="66"/>
      <c r="K1145" s="66"/>
      <c r="L1145" s="66"/>
      <c r="M1145" s="66"/>
      <c r="N1145" s="69"/>
      <c r="O1145" s="66"/>
      <c r="P1145" s="66"/>
      <c r="Q1145" s="66"/>
      <c r="R1145" s="66"/>
    </row>
    <row r="1146" spans="1:18" ht="16.8" hidden="1" x14ac:dyDescent="0.3">
      <c r="A1146" s="67"/>
      <c r="C1146" s="65"/>
      <c r="D1146" s="65"/>
      <c r="E1146" s="65"/>
      <c r="F1146" s="65"/>
      <c r="G1146" s="65"/>
      <c r="H1146" s="65"/>
      <c r="I1146" s="65"/>
      <c r="J1146" s="65"/>
      <c r="K1146" s="65"/>
      <c r="L1146" s="65"/>
      <c r="M1146" s="65"/>
      <c r="N1146" s="64"/>
      <c r="O1146" s="65"/>
      <c r="P1146" s="65"/>
      <c r="Q1146" s="65"/>
      <c r="R1146" s="65"/>
    </row>
    <row r="1147" spans="1:18" ht="16.8" hidden="1" x14ac:dyDescent="0.3">
      <c r="A1147" s="68"/>
      <c r="C1147" s="66"/>
      <c r="D1147" s="66"/>
      <c r="E1147" s="66"/>
      <c r="F1147" s="66"/>
      <c r="G1147" s="66"/>
      <c r="H1147" s="66"/>
      <c r="I1147" s="66"/>
      <c r="J1147" s="66"/>
      <c r="K1147" s="66"/>
      <c r="L1147" s="66"/>
      <c r="M1147" s="66"/>
      <c r="N1147" s="69"/>
      <c r="O1147" s="66"/>
      <c r="P1147" s="66"/>
      <c r="Q1147" s="66"/>
      <c r="R1147" s="66"/>
    </row>
    <row r="1148" spans="1:18" ht="16.8" hidden="1" x14ac:dyDescent="0.3">
      <c r="A1148" s="67"/>
      <c r="C1148" s="65"/>
      <c r="D1148" s="65"/>
      <c r="E1148" s="65"/>
      <c r="F1148" s="65"/>
      <c r="G1148" s="65"/>
      <c r="H1148" s="65"/>
      <c r="I1148" s="65"/>
      <c r="J1148" s="65"/>
      <c r="K1148" s="65"/>
      <c r="L1148" s="65"/>
      <c r="M1148" s="65"/>
      <c r="N1148" s="64"/>
      <c r="O1148" s="65"/>
      <c r="P1148" s="65"/>
      <c r="Q1148" s="65"/>
      <c r="R1148" s="65"/>
    </row>
    <row r="1149" spans="1:18" ht="16.8" hidden="1" x14ac:dyDescent="0.3">
      <c r="A1149" s="68"/>
      <c r="C1149" s="66"/>
      <c r="D1149" s="66"/>
      <c r="E1149" s="66"/>
      <c r="F1149" s="66"/>
      <c r="G1149" s="66"/>
      <c r="H1149" s="66"/>
      <c r="I1149" s="66"/>
      <c r="J1149" s="66"/>
      <c r="K1149" s="66"/>
      <c r="L1149" s="66"/>
      <c r="M1149" s="66"/>
      <c r="N1149" s="69"/>
      <c r="O1149" s="66"/>
      <c r="P1149" s="66"/>
      <c r="Q1149" s="66"/>
      <c r="R1149" s="66"/>
    </row>
    <row r="1150" spans="1:18" ht="16.8" hidden="1" x14ac:dyDescent="0.3">
      <c r="A1150" s="67"/>
      <c r="C1150" s="65"/>
      <c r="D1150" s="65"/>
      <c r="E1150" s="65"/>
      <c r="F1150" s="65"/>
      <c r="G1150" s="65"/>
      <c r="H1150" s="65"/>
      <c r="I1150" s="65"/>
      <c r="J1150" s="65"/>
      <c r="K1150" s="65"/>
      <c r="L1150" s="65"/>
      <c r="M1150" s="65"/>
      <c r="N1150" s="64"/>
      <c r="O1150" s="65"/>
      <c r="P1150" s="65"/>
      <c r="Q1150" s="65"/>
      <c r="R1150" s="65"/>
    </row>
    <row r="1151" spans="1:18" ht="16.8" hidden="1" x14ac:dyDescent="0.3">
      <c r="A1151" s="68"/>
      <c r="C1151" s="66"/>
      <c r="D1151" s="66"/>
      <c r="E1151" s="66"/>
      <c r="F1151" s="66"/>
      <c r="G1151" s="66"/>
      <c r="H1151" s="66"/>
      <c r="I1151" s="66"/>
      <c r="J1151" s="66"/>
      <c r="K1151" s="66"/>
      <c r="L1151" s="66"/>
      <c r="M1151" s="66"/>
      <c r="N1151" s="69"/>
      <c r="O1151" s="66"/>
      <c r="P1151" s="66"/>
      <c r="Q1151" s="66"/>
      <c r="R1151" s="66"/>
    </row>
    <row r="1152" spans="1:18" ht="16.8" hidden="1" x14ac:dyDescent="0.3">
      <c r="A1152" s="67"/>
      <c r="C1152" s="65"/>
      <c r="D1152" s="65"/>
      <c r="E1152" s="65"/>
      <c r="F1152" s="65"/>
      <c r="G1152" s="65"/>
      <c r="H1152" s="65"/>
      <c r="I1152" s="65"/>
      <c r="J1152" s="65"/>
      <c r="K1152" s="65"/>
      <c r="L1152" s="65"/>
      <c r="M1152" s="65"/>
      <c r="N1152" s="64"/>
      <c r="O1152" s="65"/>
      <c r="P1152" s="65"/>
      <c r="Q1152" s="65"/>
      <c r="R1152" s="65"/>
    </row>
    <row r="1153" spans="1:18" ht="16.8" hidden="1" x14ac:dyDescent="0.3">
      <c r="A1153" s="68"/>
      <c r="C1153" s="66"/>
      <c r="D1153" s="66"/>
      <c r="E1153" s="66"/>
      <c r="F1153" s="66"/>
      <c r="G1153" s="66"/>
      <c r="H1153" s="66"/>
      <c r="I1153" s="66"/>
      <c r="J1153" s="66"/>
      <c r="K1153" s="66"/>
      <c r="L1153" s="66"/>
      <c r="M1153" s="66"/>
      <c r="N1153" s="69"/>
      <c r="O1153" s="66"/>
      <c r="P1153" s="66"/>
      <c r="Q1153" s="66"/>
      <c r="R1153" s="66"/>
    </row>
    <row r="1154" spans="1:18" ht="16.8" hidden="1" x14ac:dyDescent="0.3">
      <c r="A1154" s="67"/>
      <c r="C1154" s="65"/>
      <c r="D1154" s="65"/>
      <c r="E1154" s="65"/>
      <c r="F1154" s="65"/>
      <c r="G1154" s="65"/>
      <c r="H1154" s="65"/>
      <c r="I1154" s="65"/>
      <c r="J1154" s="65"/>
      <c r="K1154" s="65"/>
      <c r="L1154" s="65"/>
      <c r="M1154" s="65"/>
      <c r="N1154" s="64"/>
      <c r="O1154" s="65"/>
      <c r="P1154" s="65"/>
      <c r="Q1154" s="65"/>
      <c r="R1154" s="65"/>
    </row>
    <row r="1155" spans="1:18" ht="16.8" hidden="1" x14ac:dyDescent="0.3">
      <c r="A1155" s="68"/>
      <c r="C1155" s="66"/>
      <c r="D1155" s="66"/>
      <c r="E1155" s="66"/>
      <c r="F1155" s="66"/>
      <c r="G1155" s="66"/>
      <c r="H1155" s="66"/>
      <c r="I1155" s="66"/>
      <c r="J1155" s="66"/>
      <c r="K1155" s="66"/>
      <c r="L1155" s="66"/>
      <c r="M1155" s="66"/>
      <c r="N1155" s="69"/>
      <c r="O1155" s="66"/>
      <c r="P1155" s="66"/>
      <c r="Q1155" s="66"/>
      <c r="R1155" s="66"/>
    </row>
    <row r="1156" spans="1:18" ht="16.8" hidden="1" x14ac:dyDescent="0.3">
      <c r="A1156" s="67"/>
      <c r="C1156" s="65"/>
      <c r="D1156" s="65"/>
      <c r="E1156" s="65"/>
      <c r="F1156" s="65"/>
      <c r="G1156" s="65"/>
      <c r="H1156" s="65"/>
      <c r="I1156" s="65"/>
      <c r="J1156" s="65"/>
      <c r="K1156" s="65"/>
      <c r="L1156" s="65"/>
      <c r="M1156" s="65"/>
      <c r="N1156" s="64"/>
      <c r="O1156" s="65"/>
      <c r="P1156" s="65"/>
      <c r="Q1156" s="65"/>
      <c r="R1156" s="65"/>
    </row>
    <row r="1157" spans="1:18" ht="16.8" hidden="1" x14ac:dyDescent="0.3">
      <c r="A1157" s="68"/>
      <c r="C1157" s="66"/>
      <c r="D1157" s="66"/>
      <c r="E1157" s="66"/>
      <c r="F1157" s="66"/>
      <c r="G1157" s="66"/>
      <c r="H1157" s="66"/>
      <c r="I1157" s="66"/>
      <c r="J1157" s="66"/>
      <c r="K1157" s="66"/>
      <c r="L1157" s="66"/>
      <c r="M1157" s="66"/>
      <c r="N1157" s="69"/>
      <c r="O1157" s="66"/>
      <c r="P1157" s="66"/>
      <c r="Q1157" s="66"/>
      <c r="R1157" s="66"/>
    </row>
    <row r="1158" spans="1:18" ht="16.8" hidden="1" x14ac:dyDescent="0.3">
      <c r="A1158" s="67"/>
      <c r="C1158" s="65"/>
      <c r="D1158" s="65"/>
      <c r="E1158" s="65"/>
      <c r="F1158" s="65"/>
      <c r="G1158" s="65"/>
      <c r="H1158" s="65"/>
      <c r="I1158" s="65"/>
      <c r="J1158" s="65"/>
      <c r="K1158" s="65"/>
      <c r="L1158" s="65"/>
      <c r="M1158" s="65"/>
      <c r="N1158" s="64"/>
      <c r="O1158" s="65"/>
      <c r="P1158" s="65"/>
      <c r="Q1158" s="65"/>
      <c r="R1158" s="65"/>
    </row>
    <row r="1159" spans="1:18" ht="16.8" hidden="1" x14ac:dyDescent="0.3">
      <c r="A1159" s="76">
        <v>1101700010006</v>
      </c>
      <c r="B1159" s="17" t="s">
        <v>2075</v>
      </c>
      <c r="C1159" s="77" t="s">
        <v>278</v>
      </c>
      <c r="D1159" s="77">
        <v>2015</v>
      </c>
      <c r="E1159" s="77" t="s">
        <v>19</v>
      </c>
      <c r="F1159" s="77" t="s">
        <v>52</v>
      </c>
      <c r="G1159" s="78" t="s">
        <v>279</v>
      </c>
      <c r="H1159" s="77" t="s">
        <v>263</v>
      </c>
      <c r="I1159" s="77" t="s">
        <v>270</v>
      </c>
      <c r="J1159" s="77" t="s">
        <v>1471</v>
      </c>
      <c r="K1159" s="99" t="s">
        <v>1548</v>
      </c>
      <c r="L1159" s="77" t="s">
        <v>1564</v>
      </c>
      <c r="M1159" s="2" t="s">
        <v>2179</v>
      </c>
      <c r="N1159" s="2" t="s">
        <v>2180</v>
      </c>
      <c r="O1159" s="77"/>
      <c r="P1159" s="77" t="s">
        <v>1471</v>
      </c>
      <c r="Q1159" s="77" t="s">
        <v>1994</v>
      </c>
      <c r="R1159" s="79"/>
    </row>
    <row r="1160" spans="1:18" ht="16.8" hidden="1" x14ac:dyDescent="0.3">
      <c r="A1160" s="76">
        <v>1101700010006</v>
      </c>
      <c r="B1160" s="17" t="s">
        <v>2075</v>
      </c>
      <c r="C1160" s="77" t="s">
        <v>1424</v>
      </c>
      <c r="D1160" s="77">
        <v>2015</v>
      </c>
      <c r="E1160" s="77" t="s">
        <v>19</v>
      </c>
      <c r="F1160" s="77" t="s">
        <v>52</v>
      </c>
      <c r="G1160" s="78" t="s">
        <v>1425</v>
      </c>
      <c r="H1160" s="77" t="s">
        <v>35</v>
      </c>
      <c r="I1160" s="77" t="s">
        <v>1423</v>
      </c>
      <c r="J1160" s="77" t="s">
        <v>1525</v>
      </c>
      <c r="K1160" s="82" t="s">
        <v>1912</v>
      </c>
      <c r="L1160" s="77"/>
      <c r="M1160" s="2"/>
      <c r="N1160" s="2"/>
      <c r="O1160" s="77" t="s">
        <v>2165</v>
      </c>
      <c r="P1160" s="77" t="s">
        <v>1525</v>
      </c>
      <c r="Q1160" s="77" t="s">
        <v>2017</v>
      </c>
      <c r="R1160" s="79"/>
    </row>
    <row r="1161" spans="1:18" ht="16.8" hidden="1" x14ac:dyDescent="0.3">
      <c r="A1161" s="76">
        <v>1106700020003</v>
      </c>
      <c r="B1161" s="17" t="s">
        <v>54</v>
      </c>
      <c r="C1161" s="77" t="s">
        <v>68</v>
      </c>
      <c r="D1161" s="70">
        <v>2014</v>
      </c>
      <c r="E1161" s="7" t="s">
        <v>19</v>
      </c>
      <c r="F1161" s="7" t="s">
        <v>56</v>
      </c>
      <c r="G1161" s="8" t="s">
        <v>69</v>
      </c>
      <c r="H1161" s="7" t="s">
        <v>35</v>
      </c>
      <c r="I1161" s="7" t="s">
        <v>61</v>
      </c>
      <c r="J1161" s="77" t="s">
        <v>1518</v>
      </c>
      <c r="K1161" s="11" t="s">
        <v>1912</v>
      </c>
      <c r="L1161" s="2"/>
      <c r="M1161" s="2"/>
      <c r="N1161" s="2"/>
      <c r="O1161" s="2" t="s">
        <v>2391</v>
      </c>
      <c r="P1161" s="66" t="s">
        <v>1518</v>
      </c>
      <c r="Q1161" s="66" t="s">
        <v>1991</v>
      </c>
      <c r="R1161" s="79"/>
    </row>
    <row r="1162" spans="1:18" ht="16.8" hidden="1" x14ac:dyDescent="0.3">
      <c r="A1162" s="76">
        <v>1204700020003</v>
      </c>
      <c r="B1162" s="17" t="s">
        <v>13</v>
      </c>
      <c r="C1162" s="77" t="s">
        <v>459</v>
      </c>
      <c r="D1162" s="7">
        <v>2006</v>
      </c>
      <c r="E1162" s="7" t="s">
        <v>19</v>
      </c>
      <c r="F1162" s="96" t="s">
        <v>10</v>
      </c>
      <c r="G1162" s="8" t="s">
        <v>460</v>
      </c>
      <c r="H1162" s="7" t="s">
        <v>263</v>
      </c>
      <c r="I1162" s="7" t="s">
        <v>453</v>
      </c>
      <c r="J1162" s="110" t="s">
        <v>1482</v>
      </c>
      <c r="K1162" s="2" t="s">
        <v>1548</v>
      </c>
      <c r="L1162" s="2" t="s">
        <v>1571</v>
      </c>
      <c r="M1162" s="2" t="s">
        <v>1731</v>
      </c>
      <c r="N1162" s="2" t="s">
        <v>2692</v>
      </c>
      <c r="O1162" s="2" t="s">
        <v>2224</v>
      </c>
      <c r="P1162" s="77" t="s">
        <v>2009</v>
      </c>
      <c r="Q1162" s="77" t="s">
        <v>2012</v>
      </c>
      <c r="R1162" s="79"/>
    </row>
    <row r="1163" spans="1:18" ht="16.8" hidden="1" x14ac:dyDescent="0.3">
      <c r="A1163" s="76">
        <v>1204700020003</v>
      </c>
      <c r="B1163" s="17" t="s">
        <v>13</v>
      </c>
      <c r="C1163" s="77" t="s">
        <v>37</v>
      </c>
      <c r="D1163" s="7">
        <v>2009</v>
      </c>
      <c r="E1163" s="7" t="s">
        <v>19</v>
      </c>
      <c r="F1163" s="96" t="s">
        <v>10</v>
      </c>
      <c r="G1163" s="8" t="s">
        <v>38</v>
      </c>
      <c r="H1163" s="7" t="s">
        <v>35</v>
      </c>
      <c r="I1163" s="7" t="s">
        <v>36</v>
      </c>
      <c r="J1163" s="77" t="s">
        <v>1493</v>
      </c>
      <c r="K1163" s="82" t="s">
        <v>1912</v>
      </c>
      <c r="L1163" s="77" t="s">
        <v>1571</v>
      </c>
      <c r="M1163" s="77" t="s">
        <v>2228</v>
      </c>
      <c r="N1163" s="109"/>
      <c r="O1163" s="77" t="s">
        <v>2226</v>
      </c>
      <c r="P1163" s="77" t="s">
        <v>2045</v>
      </c>
      <c r="Q1163" s="77" t="s">
        <v>2046</v>
      </c>
      <c r="R1163" s="79" t="s">
        <v>2229</v>
      </c>
    </row>
    <row r="1164" spans="1:18" ht="16.8" hidden="1" x14ac:dyDescent="0.3">
      <c r="A1164" s="76">
        <v>1105700010001</v>
      </c>
      <c r="B1164" s="17" t="s">
        <v>290</v>
      </c>
      <c r="C1164" s="77" t="s">
        <v>291</v>
      </c>
      <c r="D1164" s="77">
        <v>2006</v>
      </c>
      <c r="E1164" s="77" t="s">
        <v>19</v>
      </c>
      <c r="F1164" s="77" t="s">
        <v>42</v>
      </c>
      <c r="G1164" s="78" t="s">
        <v>292</v>
      </c>
      <c r="H1164" s="77" t="s">
        <v>263</v>
      </c>
      <c r="I1164" s="77" t="s">
        <v>270</v>
      </c>
      <c r="J1164" s="77" t="s">
        <v>1544</v>
      </c>
      <c r="K1164" s="82" t="s">
        <v>1912</v>
      </c>
      <c r="L1164" s="77"/>
      <c r="M1164" s="77"/>
      <c r="N1164" s="109"/>
      <c r="O1164" s="77" t="s">
        <v>2235</v>
      </c>
      <c r="P1164" s="77" t="s">
        <v>2053</v>
      </c>
      <c r="Q1164" s="77"/>
      <c r="R1164" s="79"/>
    </row>
    <row r="1165" spans="1:18" x14ac:dyDescent="0.3">
      <c r="P1165" s="66"/>
      <c r="Q1165" s="66"/>
    </row>
    <row r="1166" spans="1:18" x14ac:dyDescent="0.3">
      <c r="P1166" s="66"/>
      <c r="Q1166" s="66"/>
    </row>
    <row r="1167" spans="1:18" x14ac:dyDescent="0.3">
      <c r="P1167" s="66"/>
      <c r="Q1167" s="66"/>
    </row>
    <row r="1168" spans="1:18" x14ac:dyDescent="0.3">
      <c r="P1168" s="66"/>
      <c r="Q1168" s="66"/>
    </row>
    <row r="1169" spans="16:17" x14ac:dyDescent="0.3">
      <c r="P1169" s="66"/>
      <c r="Q1169" s="66"/>
    </row>
    <row r="1170" spans="16:17" x14ac:dyDescent="0.3">
      <c r="P1170" s="66"/>
      <c r="Q1170" s="66"/>
    </row>
    <row r="1171" spans="16:17" x14ac:dyDescent="0.3">
      <c r="P1171" s="66"/>
      <c r="Q1171" s="66"/>
    </row>
    <row r="1172" spans="16:17" x14ac:dyDescent="0.3">
      <c r="P1172" s="66"/>
      <c r="Q1172" s="66"/>
    </row>
    <row r="1173" spans="16:17" x14ac:dyDescent="0.3">
      <c r="P1173" s="66"/>
      <c r="Q1173" s="66"/>
    </row>
    <row r="1174" spans="16:17" x14ac:dyDescent="0.3">
      <c r="P1174" s="66"/>
      <c r="Q1174" s="66"/>
    </row>
    <row r="1175" spans="16:17" x14ac:dyDescent="0.3">
      <c r="P1175" s="66"/>
      <c r="Q1175" s="66"/>
    </row>
    <row r="1176" spans="16:17" x14ac:dyDescent="0.3">
      <c r="P1176" s="66"/>
      <c r="Q1176" s="66"/>
    </row>
    <row r="1177" spans="16:17" x14ac:dyDescent="0.3">
      <c r="P1177" s="66"/>
      <c r="Q1177" s="66"/>
    </row>
    <row r="1178" spans="16:17" x14ac:dyDescent="0.3">
      <c r="P1178" s="66"/>
      <c r="Q1178" s="66"/>
    </row>
    <row r="1179" spans="16:17" x14ac:dyDescent="0.3">
      <c r="P1179" s="66"/>
      <c r="Q1179" s="66"/>
    </row>
    <row r="1180" spans="16:17" x14ac:dyDescent="0.3">
      <c r="P1180" s="66"/>
      <c r="Q1180" s="66"/>
    </row>
    <row r="1181" spans="16:17" x14ac:dyDescent="0.3">
      <c r="P1181" s="66"/>
      <c r="Q1181" s="66"/>
    </row>
    <row r="1182" spans="16:17" x14ac:dyDescent="0.3">
      <c r="P1182" s="66"/>
      <c r="Q1182" s="66"/>
    </row>
    <row r="1183" spans="16:17" x14ac:dyDescent="0.3">
      <c r="P1183" s="66"/>
      <c r="Q1183" s="66"/>
    </row>
    <row r="1184" spans="16:17" x14ac:dyDescent="0.3">
      <c r="P1184" s="66"/>
      <c r="Q1184" s="66"/>
    </row>
    <row r="1185" spans="16:17" x14ac:dyDescent="0.3">
      <c r="P1185" s="66"/>
      <c r="Q1185" s="66"/>
    </row>
    <row r="1186" spans="16:17" x14ac:dyDescent="0.3">
      <c r="P1186" s="66"/>
      <c r="Q1186" s="66"/>
    </row>
    <row r="1187" spans="16:17" x14ac:dyDescent="0.3">
      <c r="P1187" s="66"/>
      <c r="Q1187" s="66"/>
    </row>
    <row r="1188" spans="16:17" x14ac:dyDescent="0.3">
      <c r="P1188" s="66"/>
      <c r="Q1188" s="66"/>
    </row>
  </sheetData>
  <mergeCells count="1">
    <mergeCell ref="A1:R1"/>
  </mergeCells>
  <dataValidations count="2">
    <dataValidation type="list" allowBlank="1" showInputMessage="1" showErrorMessage="1" sqref="P751:P1158" xr:uid="{F1D87DCB-5AFB-4F5D-A4A1-450105177457}">
      <formula1>"شعبة الشاطئ,شعبة الحمدانية,شعبة العزيزية,شعبة المروة,شعبة ابحر,شعبة السالمية,شعبة الجامعة,شعبة الصناعية,شعبة خزام,شعبة البغدادية,شعبة الساحل الجنوبي,شعبة الاسكان,مركز ثول الخارجي,قسم الاسناد الاول والثاني والثالث"</formula1>
    </dataValidation>
    <dataValidation type="list" allowBlank="1" showInputMessage="1" showErrorMessage="1" sqref="Q3:Q1188" xr:uid="{9C62D2FC-A114-4513-B613-3C76497B1351}">
      <formula1>INDIRECT(SUBSTITUTE($P3," ","_"))</formula1>
    </dataValidation>
  </dataValidations>
  <pageMargins left="0.7" right="0.7" top="0.75" bottom="0.75" header="0.3" footer="0.3"/>
  <pageSetup scale="95" orientation="portrait" r:id="rId1"/>
  <rowBreaks count="2" manualBreakCount="2">
    <brk id="286" max="17" man="1"/>
    <brk id="312" max="17" man="1"/>
  </rowBreaks>
  <ignoredErrors>
    <ignoredError sqref="K2:L2" listDataValidation="1"/>
  </ignoredErrors>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2CB6265F-5816-4A03-BDA7-32992C5F670E}">
          <x14:formula1>
            <xm:f>الاعدادت!$B$2:$B$85</xm:f>
          </x14:formula1>
          <xm:sqref>J1:J1048576</xm:sqref>
        </x14:dataValidation>
        <x14:dataValidation type="list" allowBlank="1" showInputMessage="1" showErrorMessage="1" xr:uid="{83849117-9780-42CB-A19C-7B876CD05266}">
          <x14:formula1>
            <xm:f>الاعدادت!$F$2:$S$2</xm:f>
          </x14:formula1>
          <xm:sqref>P1161:P1188 P3:P384 P386:P750</xm:sqref>
        </x14:dataValidation>
        <x14:dataValidation type="list" allowBlank="1" showInputMessage="1" showErrorMessage="1" xr:uid="{485AF40F-66FA-4CDF-A549-4E7EC6FA8462}">
          <x14:formula1>
            <xm:f>الاعدادت!$D$2:$D$11</xm:f>
          </x14:formula1>
          <xm:sqref>L1:L1048576</xm:sqref>
        </x14:dataValidation>
        <x14:dataValidation type="list" allowBlank="1" showInputMessage="1" showErrorMessage="1" xr:uid="{2798F36E-07FB-4559-9814-AB56CBFF7906}">
          <x14:formula1>
            <xm:f>الاعدادت!$C$2:$C$6</xm:f>
          </x14:formula1>
          <xm:sqref>K1:K1048576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25FB-9EDA-4CF0-82BB-AD0C49A5D080}">
  <dimension ref="A1:S1780"/>
  <sheetViews>
    <sheetView rightToLeft="1" view="pageBreakPreview" topLeftCell="B319" zoomScale="49" zoomScaleNormal="50" zoomScaleSheetLayoutView="55" workbookViewId="0">
      <selection activeCell="J333" sqref="J333:O333"/>
    </sheetView>
  </sheetViews>
  <sheetFormatPr defaultColWidth="9.109375" defaultRowHeight="14.4" x14ac:dyDescent="0.3"/>
  <cols>
    <col min="1" max="1" width="14.6640625" style="24" bestFit="1" customWidth="1"/>
    <col min="2" max="2" width="51.21875" style="12" bestFit="1" customWidth="1"/>
    <col min="3" max="3" width="19.6640625" style="12" bestFit="1" customWidth="1"/>
    <col min="4" max="4" width="9.44140625" style="12" bestFit="1" customWidth="1"/>
    <col min="5" max="5" width="16.44140625" style="12" bestFit="1" customWidth="1"/>
    <col min="6" max="6" width="18.44140625" style="12" bestFit="1" customWidth="1"/>
    <col min="7" max="7" width="24.77734375" style="12" bestFit="1" customWidth="1"/>
    <col min="8" max="8" width="63.109375" style="12" bestFit="1" customWidth="1"/>
    <col min="9" max="9" width="37.6640625" style="12" bestFit="1" customWidth="1"/>
    <col min="10" max="10" width="31.44140625" style="12" bestFit="1" customWidth="1"/>
    <col min="11" max="11" width="16.88671875" style="12" bestFit="1" customWidth="1"/>
    <col min="12" max="12" width="12.6640625" style="12" bestFit="1" customWidth="1"/>
    <col min="13" max="13" width="78.33203125" style="12" bestFit="1" customWidth="1"/>
    <col min="14" max="14" width="14.88671875" style="12" bestFit="1" customWidth="1"/>
    <col min="15" max="15" width="16.44140625" style="41" bestFit="1" customWidth="1"/>
    <col min="16" max="16" width="26" style="12" bestFit="1" customWidth="1"/>
    <col min="17" max="17" width="25" style="12" bestFit="1" customWidth="1"/>
    <col min="18" max="18" width="47.21875" style="12" bestFit="1" customWidth="1"/>
    <col min="19" max="19" width="23.5546875" style="12" bestFit="1" customWidth="1"/>
    <col min="20" max="16384" width="9.109375" style="12"/>
  </cols>
  <sheetData>
    <row r="1" spans="1:19" ht="47.25" customHeight="1" x14ac:dyDescent="0.3">
      <c r="A1" s="12"/>
    </row>
    <row r="2" spans="1:19" ht="47.25" customHeight="1" x14ac:dyDescent="0.3">
      <c r="A2" s="12"/>
    </row>
    <row r="3" spans="1:19" ht="47.25" customHeight="1" x14ac:dyDescent="0.3">
      <c r="A3" s="12"/>
    </row>
    <row r="4" spans="1:19" ht="47.25" customHeight="1" x14ac:dyDescent="0.3">
      <c r="A4" s="12"/>
    </row>
    <row r="5" spans="1:19" ht="47.25" customHeight="1" x14ac:dyDescent="0.3">
      <c r="A5" s="12"/>
    </row>
    <row r="6" spans="1:19" ht="47.25" customHeight="1" x14ac:dyDescent="0.3">
      <c r="A6" s="12"/>
    </row>
    <row r="7" spans="1:19" ht="39" customHeight="1" x14ac:dyDescent="0.3">
      <c r="A7" s="12"/>
    </row>
    <row r="8" spans="1:19" ht="39" customHeight="1" thickBot="1" x14ac:dyDescent="0.35">
      <c r="A8" s="12"/>
    </row>
    <row r="9" spans="1:19" ht="39" customHeight="1" x14ac:dyDescent="0.3">
      <c r="A9" s="43" t="s">
        <v>2055</v>
      </c>
      <c r="B9" s="52" t="s">
        <v>2060</v>
      </c>
      <c r="C9" s="126" t="s">
        <v>2063</v>
      </c>
      <c r="D9" s="127"/>
      <c r="E9" s="127"/>
      <c r="F9" s="127"/>
      <c r="G9" s="127"/>
      <c r="H9" s="127"/>
      <c r="I9" s="127"/>
      <c r="J9" s="127"/>
      <c r="K9" s="127"/>
      <c r="L9" s="127"/>
      <c r="M9" s="127"/>
      <c r="N9" s="127"/>
      <c r="O9" s="127"/>
      <c r="P9" s="127"/>
      <c r="Q9" s="127"/>
      <c r="R9" s="127"/>
      <c r="S9" s="127"/>
    </row>
    <row r="10" spans="1:19" ht="39" customHeight="1" x14ac:dyDescent="0.3">
      <c r="A10" s="43" t="s">
        <v>2056</v>
      </c>
      <c r="B10" s="53" t="s">
        <v>2060</v>
      </c>
      <c r="C10" s="126"/>
      <c r="D10" s="127"/>
      <c r="E10" s="127"/>
      <c r="F10" s="127"/>
      <c r="G10" s="127"/>
      <c r="H10" s="127"/>
      <c r="I10" s="127"/>
      <c r="J10" s="127"/>
      <c r="K10" s="127"/>
      <c r="L10" s="127"/>
      <c r="M10" s="127"/>
      <c r="N10" s="127"/>
      <c r="O10" s="127"/>
      <c r="P10" s="127"/>
      <c r="Q10" s="127"/>
      <c r="R10" s="127"/>
      <c r="S10" s="127"/>
    </row>
    <row r="11" spans="1:19" ht="39" customHeight="1" thickBot="1" x14ac:dyDescent="0.35">
      <c r="A11" s="43" t="s">
        <v>2062</v>
      </c>
      <c r="B11" s="54" t="s">
        <v>2060</v>
      </c>
      <c r="C11" s="128"/>
      <c r="D11" s="129"/>
      <c r="E11" s="129"/>
      <c r="F11" s="129"/>
      <c r="G11" s="129"/>
      <c r="H11" s="129"/>
      <c r="I11" s="129"/>
      <c r="J11" s="129"/>
      <c r="K11" s="129"/>
      <c r="L11" s="129"/>
      <c r="M11" s="129"/>
      <c r="N11" s="129"/>
      <c r="O11" s="129"/>
      <c r="P11" s="129"/>
      <c r="Q11" s="129"/>
      <c r="R11" s="129"/>
      <c r="S11" s="129"/>
    </row>
    <row r="12" spans="1:19" ht="39" customHeight="1" thickBot="1" x14ac:dyDescent="0.35">
      <c r="A12" s="45" t="s">
        <v>2061</v>
      </c>
      <c r="B12" s="37" t="s">
        <v>1429</v>
      </c>
      <c r="C12" s="38" t="s">
        <v>1430</v>
      </c>
      <c r="D12" s="38" t="s">
        <v>1431</v>
      </c>
      <c r="E12" s="38" t="s">
        <v>1432</v>
      </c>
      <c r="F12" s="38" t="s">
        <v>1433</v>
      </c>
      <c r="G12" s="38" t="s">
        <v>1434</v>
      </c>
      <c r="H12" s="38" t="s">
        <v>1428</v>
      </c>
      <c r="I12" s="38" t="s">
        <v>1550</v>
      </c>
      <c r="J12" s="26" t="s">
        <v>1638</v>
      </c>
      <c r="K12" s="26" t="s">
        <v>1546</v>
      </c>
      <c r="L12" s="26" t="s">
        <v>1563</v>
      </c>
      <c r="M12" s="26" t="s">
        <v>1572</v>
      </c>
      <c r="N12" s="26" t="s">
        <v>1929</v>
      </c>
      <c r="O12" s="51" t="s">
        <v>1930</v>
      </c>
      <c r="P12" s="26" t="s">
        <v>1643</v>
      </c>
      <c r="Q12" s="26" t="s">
        <v>1986</v>
      </c>
      <c r="R12" s="26" t="s">
        <v>1985</v>
      </c>
      <c r="S12" s="26" t="s">
        <v>2054</v>
      </c>
    </row>
    <row r="13" spans="1:19" ht="27.75" customHeight="1" thickTop="1" thickBot="1" x14ac:dyDescent="0.35">
      <c r="A13" s="8">
        <v>1101700010006</v>
      </c>
      <c r="B13" s="7" t="s">
        <v>1551</v>
      </c>
      <c r="C13" s="7" t="s">
        <v>761</v>
      </c>
      <c r="D13" s="7">
        <v>2016</v>
      </c>
      <c r="E13" s="7" t="s">
        <v>19</v>
      </c>
      <c r="F13" s="7" t="s">
        <v>52</v>
      </c>
      <c r="G13" s="8" t="s">
        <v>762</v>
      </c>
      <c r="H13" s="7" t="s">
        <v>35</v>
      </c>
      <c r="I13" s="7" t="s">
        <v>760</v>
      </c>
      <c r="J13" s="2" t="s">
        <v>1487</v>
      </c>
      <c r="K13" s="11" t="s">
        <v>1912</v>
      </c>
      <c r="L13" s="2" t="s">
        <v>1565</v>
      </c>
      <c r="M13" s="2" t="s">
        <v>1956</v>
      </c>
      <c r="N13" s="2" t="s">
        <v>2448</v>
      </c>
      <c r="O13" s="2" t="s">
        <v>2474</v>
      </c>
      <c r="P13" s="2" t="s">
        <v>2034</v>
      </c>
      <c r="Q13" s="65" t="s">
        <v>2037</v>
      </c>
      <c r="R13" s="2"/>
      <c r="S13" s="27" t="str">
        <f t="shared" ref="S13:S74" ca="1" si="0">IF(
   OR(K13="تم الاصلاح", O13&lt;&gt;""),
   "تم الاصلاح",
   IF(N13="", "", TODAY()-N13)
)</f>
        <v>تم الاصلاح</v>
      </c>
    </row>
    <row r="14" spans="1:19" ht="27.75" customHeight="1" thickTop="1" thickBot="1" x14ac:dyDescent="0.35">
      <c r="A14" s="8">
        <v>1101700010006</v>
      </c>
      <c r="B14" s="7" t="s">
        <v>1551</v>
      </c>
      <c r="C14" s="7" t="s">
        <v>754</v>
      </c>
      <c r="D14" s="7">
        <v>2015</v>
      </c>
      <c r="E14" s="7" t="s">
        <v>19</v>
      </c>
      <c r="F14" s="7" t="s">
        <v>52</v>
      </c>
      <c r="G14" s="8" t="s">
        <v>755</v>
      </c>
      <c r="H14" s="7" t="s">
        <v>35</v>
      </c>
      <c r="I14" s="7" t="s">
        <v>753</v>
      </c>
      <c r="J14" s="2" t="s">
        <v>1513</v>
      </c>
      <c r="K14" s="11" t="s">
        <v>1912</v>
      </c>
      <c r="L14" s="2"/>
      <c r="M14" s="2"/>
      <c r="N14" s="2"/>
      <c r="O14" s="2" t="s">
        <v>2412</v>
      </c>
      <c r="P14" s="2" t="s">
        <v>1513</v>
      </c>
      <c r="Q14" s="66" t="s">
        <v>2030</v>
      </c>
      <c r="R14" s="2" t="s">
        <v>1634</v>
      </c>
      <c r="S14" s="27" t="str">
        <f t="shared" ca="1" si="0"/>
        <v>تم الاصلاح</v>
      </c>
    </row>
    <row r="15" spans="1:19" ht="27.75" customHeight="1" thickTop="1" thickBot="1" x14ac:dyDescent="0.35">
      <c r="A15" s="8">
        <v>1104700020001</v>
      </c>
      <c r="B15" s="7" t="s">
        <v>431</v>
      </c>
      <c r="C15" s="7" t="s">
        <v>535</v>
      </c>
      <c r="D15" s="7">
        <v>2012</v>
      </c>
      <c r="E15" s="7" t="s">
        <v>433</v>
      </c>
      <c r="F15" s="7" t="s">
        <v>236</v>
      </c>
      <c r="G15" s="8" t="s">
        <v>536</v>
      </c>
      <c r="H15" s="7" t="s">
        <v>263</v>
      </c>
      <c r="I15" s="7" t="s">
        <v>534</v>
      </c>
      <c r="J15" s="2" t="s">
        <v>1531</v>
      </c>
      <c r="K15" s="11" t="s">
        <v>1912</v>
      </c>
      <c r="L15" s="2"/>
      <c r="M15" s="2" t="s">
        <v>1613</v>
      </c>
      <c r="N15" s="2" t="s">
        <v>1735</v>
      </c>
      <c r="O15" s="2" t="s">
        <v>2425</v>
      </c>
      <c r="P15" s="2" t="s">
        <v>1531</v>
      </c>
      <c r="Q15" s="65" t="s">
        <v>2019</v>
      </c>
      <c r="R15" s="2"/>
      <c r="S15" s="27" t="str">
        <f t="shared" ca="1" si="0"/>
        <v>تم الاصلاح</v>
      </c>
    </row>
    <row r="16" spans="1:19" ht="27.75" customHeight="1" thickTop="1" thickBot="1" x14ac:dyDescent="0.35">
      <c r="A16" s="8">
        <v>1106700020003</v>
      </c>
      <c r="B16" s="7" t="s">
        <v>54</v>
      </c>
      <c r="C16" s="7" t="s">
        <v>918</v>
      </c>
      <c r="D16" s="7">
        <v>2013</v>
      </c>
      <c r="E16" s="7" t="s">
        <v>19</v>
      </c>
      <c r="F16" s="7" t="s">
        <v>56</v>
      </c>
      <c r="G16" s="8" t="s">
        <v>919</v>
      </c>
      <c r="H16" s="7" t="s">
        <v>35</v>
      </c>
      <c r="I16" s="7" t="s">
        <v>913</v>
      </c>
      <c r="J16" s="2" t="s">
        <v>1477</v>
      </c>
      <c r="K16" s="11" t="s">
        <v>1912</v>
      </c>
      <c r="L16" s="2" t="s">
        <v>1571</v>
      </c>
      <c r="M16" s="2" t="s">
        <v>2524</v>
      </c>
      <c r="N16" s="2" t="s">
        <v>2521</v>
      </c>
      <c r="O16" s="2" t="s">
        <v>2534</v>
      </c>
      <c r="P16" s="2" t="s">
        <v>1477</v>
      </c>
      <c r="Q16" s="66" t="s">
        <v>2000</v>
      </c>
      <c r="R16" s="2"/>
      <c r="S16" s="27" t="str">
        <f t="shared" ca="1" si="0"/>
        <v>تم الاصلاح</v>
      </c>
    </row>
    <row r="17" spans="1:19" ht="27.75" customHeight="1" thickTop="1" thickBot="1" x14ac:dyDescent="0.35">
      <c r="A17" s="8">
        <v>1105700080001</v>
      </c>
      <c r="B17" s="7" t="s">
        <v>302</v>
      </c>
      <c r="C17" s="7" t="s">
        <v>1315</v>
      </c>
      <c r="D17" s="7">
        <v>2011</v>
      </c>
      <c r="E17" s="7" t="s">
        <v>19</v>
      </c>
      <c r="F17" s="7" t="s">
        <v>304</v>
      </c>
      <c r="G17" s="8" t="s">
        <v>1316</v>
      </c>
      <c r="H17" s="7" t="s">
        <v>263</v>
      </c>
      <c r="I17" s="7" t="s">
        <v>1225</v>
      </c>
      <c r="J17" s="2" t="s">
        <v>1544</v>
      </c>
      <c r="K17" s="11" t="s">
        <v>1912</v>
      </c>
      <c r="L17" s="2" t="s">
        <v>1565</v>
      </c>
      <c r="M17" s="2" t="s">
        <v>1611</v>
      </c>
      <c r="N17" s="2" t="s">
        <v>1612</v>
      </c>
      <c r="O17" s="2" t="s">
        <v>2477</v>
      </c>
      <c r="P17" s="2" t="s">
        <v>2053</v>
      </c>
      <c r="Q17" s="65"/>
      <c r="R17" s="2"/>
      <c r="S17" s="27" t="str">
        <f t="shared" ca="1" si="0"/>
        <v>تم الاصلاح</v>
      </c>
    </row>
    <row r="18" spans="1:19" ht="27.75" customHeight="1" thickTop="1" thickBot="1" x14ac:dyDescent="0.35">
      <c r="A18" s="8">
        <v>1106700010003</v>
      </c>
      <c r="B18" s="7" t="s">
        <v>102</v>
      </c>
      <c r="C18" s="7" t="s">
        <v>670</v>
      </c>
      <c r="D18" s="7">
        <v>1989</v>
      </c>
      <c r="E18" s="7" t="s">
        <v>19</v>
      </c>
      <c r="F18" s="7" t="s">
        <v>104</v>
      </c>
      <c r="G18" s="8">
        <v>40402055346001</v>
      </c>
      <c r="H18" s="7" t="s">
        <v>263</v>
      </c>
      <c r="I18" s="7" t="s">
        <v>632</v>
      </c>
      <c r="J18" s="2" t="s">
        <v>1544</v>
      </c>
      <c r="K18" s="11" t="s">
        <v>1912</v>
      </c>
      <c r="L18" s="2"/>
      <c r="M18" s="2"/>
      <c r="N18" s="2"/>
      <c r="O18" s="2" t="s">
        <v>2251</v>
      </c>
      <c r="P18" s="2" t="s">
        <v>2053</v>
      </c>
      <c r="Q18" s="66"/>
      <c r="R18" s="2"/>
      <c r="S18" s="27" t="str">
        <f t="shared" ca="1" si="0"/>
        <v>تم الاصلاح</v>
      </c>
    </row>
    <row r="19" spans="1:19" ht="27.75" customHeight="1" thickTop="1" thickBot="1" x14ac:dyDescent="0.35">
      <c r="A19" s="8">
        <v>1204700030001</v>
      </c>
      <c r="B19" s="7" t="s">
        <v>17</v>
      </c>
      <c r="C19" s="7" t="s">
        <v>616</v>
      </c>
      <c r="D19" s="7">
        <v>2010</v>
      </c>
      <c r="E19" s="7" t="s">
        <v>19</v>
      </c>
      <c r="F19" s="7" t="s">
        <v>384</v>
      </c>
      <c r="G19" s="8" t="s">
        <v>617</v>
      </c>
      <c r="H19" s="7" t="s">
        <v>263</v>
      </c>
      <c r="I19" s="7" t="s">
        <v>602</v>
      </c>
      <c r="J19" s="2" t="s">
        <v>1498</v>
      </c>
      <c r="K19" s="11" t="s">
        <v>1912</v>
      </c>
      <c r="L19" s="2"/>
      <c r="M19" s="2"/>
      <c r="N19" s="10"/>
      <c r="O19" s="64" t="s">
        <v>2170</v>
      </c>
      <c r="P19" s="2" t="s">
        <v>2024</v>
      </c>
      <c r="Q19" s="65" t="s">
        <v>2025</v>
      </c>
      <c r="R19" s="2"/>
      <c r="S19" s="27" t="str">
        <f t="shared" ca="1" si="0"/>
        <v>تم الاصلاح</v>
      </c>
    </row>
    <row r="20" spans="1:19" ht="27.75" customHeight="1" thickTop="1" thickBot="1" x14ac:dyDescent="0.35">
      <c r="A20" s="8">
        <v>1101700010006</v>
      </c>
      <c r="B20" s="7" t="s">
        <v>1551</v>
      </c>
      <c r="C20" s="7" t="s">
        <v>855</v>
      </c>
      <c r="D20" s="7">
        <v>2015</v>
      </c>
      <c r="E20" s="7" t="s">
        <v>19</v>
      </c>
      <c r="F20" s="7" t="s">
        <v>52</v>
      </c>
      <c r="G20" s="8" t="s">
        <v>856</v>
      </c>
      <c r="H20" s="7" t="s">
        <v>35</v>
      </c>
      <c r="I20" s="7" t="s">
        <v>854</v>
      </c>
      <c r="J20" s="2" t="s">
        <v>1506</v>
      </c>
      <c r="K20" s="11" t="s">
        <v>1912</v>
      </c>
      <c r="L20" s="2" t="s">
        <v>1559</v>
      </c>
      <c r="M20" s="2" t="s">
        <v>1559</v>
      </c>
      <c r="N20" s="2" t="s">
        <v>1779</v>
      </c>
      <c r="O20" s="2" t="s">
        <v>2694</v>
      </c>
      <c r="P20" s="2" t="s">
        <v>1506</v>
      </c>
      <c r="Q20" s="66" t="s">
        <v>2005</v>
      </c>
      <c r="R20" s="2" t="s">
        <v>1780</v>
      </c>
      <c r="S20" s="27" t="str">
        <f t="shared" ca="1" si="0"/>
        <v>تم الاصلاح</v>
      </c>
    </row>
    <row r="21" spans="1:19" ht="27.75" customHeight="1" thickTop="1" thickBot="1" x14ac:dyDescent="0.35">
      <c r="A21" s="8">
        <v>1106700010003</v>
      </c>
      <c r="B21" s="7" t="s">
        <v>102</v>
      </c>
      <c r="C21" s="7" t="s">
        <v>195</v>
      </c>
      <c r="D21" s="7">
        <v>1981</v>
      </c>
      <c r="E21" s="7" t="s">
        <v>19</v>
      </c>
      <c r="F21" s="7" t="s">
        <v>104</v>
      </c>
      <c r="G21" s="8">
        <v>34631154808228</v>
      </c>
      <c r="H21" s="7" t="s">
        <v>35</v>
      </c>
      <c r="I21" s="7" t="s">
        <v>1562</v>
      </c>
      <c r="J21" s="2" t="s">
        <v>1544</v>
      </c>
      <c r="K21" s="2" t="s">
        <v>1548</v>
      </c>
      <c r="L21" s="2" t="s">
        <v>1567</v>
      </c>
      <c r="M21" s="2" t="s">
        <v>1622</v>
      </c>
      <c r="N21" s="2" t="s">
        <v>1623</v>
      </c>
      <c r="O21" s="65"/>
      <c r="P21" s="2" t="s">
        <v>1477</v>
      </c>
      <c r="Q21" s="65" t="s">
        <v>2003</v>
      </c>
      <c r="R21" s="2" t="s">
        <v>1477</v>
      </c>
      <c r="S21" s="27" t="e">
        <f t="shared" ca="1" si="0"/>
        <v>#VALUE!</v>
      </c>
    </row>
    <row r="22" spans="1:19" ht="27.75" customHeight="1" thickTop="1" thickBot="1" x14ac:dyDescent="0.35">
      <c r="A22" s="8">
        <v>1303700010001</v>
      </c>
      <c r="B22" s="7" t="s">
        <v>421</v>
      </c>
      <c r="C22" s="7" t="s">
        <v>422</v>
      </c>
      <c r="D22" s="7">
        <v>2010</v>
      </c>
      <c r="E22" s="7" t="s">
        <v>4</v>
      </c>
      <c r="F22" s="7" t="s">
        <v>423</v>
      </c>
      <c r="G22" s="8" t="s">
        <v>424</v>
      </c>
      <c r="H22" s="7" t="s">
        <v>263</v>
      </c>
      <c r="I22" s="7" t="s">
        <v>270</v>
      </c>
      <c r="J22" s="2" t="s">
        <v>1544</v>
      </c>
      <c r="K22" s="11" t="s">
        <v>1912</v>
      </c>
      <c r="L22" s="2"/>
      <c r="M22" s="2"/>
      <c r="N22" s="2"/>
      <c r="O22" s="66" t="s">
        <v>2165</v>
      </c>
      <c r="P22" s="2" t="s">
        <v>2053</v>
      </c>
      <c r="Q22" s="66"/>
      <c r="R22" s="2"/>
      <c r="S22" s="27" t="str">
        <f t="shared" ca="1" si="0"/>
        <v>تم الاصلاح</v>
      </c>
    </row>
    <row r="23" spans="1:19" ht="27.75" customHeight="1" thickTop="1" thickBot="1" x14ac:dyDescent="0.35">
      <c r="A23" s="8">
        <v>1101700010006</v>
      </c>
      <c r="B23" s="7" t="s">
        <v>50</v>
      </c>
      <c r="C23" s="7" t="s">
        <v>637</v>
      </c>
      <c r="D23" s="7">
        <v>2006</v>
      </c>
      <c r="E23" s="7" t="s">
        <v>19</v>
      </c>
      <c r="F23" s="7" t="s">
        <v>52</v>
      </c>
      <c r="G23" s="8" t="s">
        <v>638</v>
      </c>
      <c r="H23" s="7" t="s">
        <v>263</v>
      </c>
      <c r="I23" s="7" t="s">
        <v>632</v>
      </c>
      <c r="J23" s="2" t="s">
        <v>1544</v>
      </c>
      <c r="K23" s="2" t="s">
        <v>1548</v>
      </c>
      <c r="L23" s="2" t="s">
        <v>1567</v>
      </c>
      <c r="M23" s="2" t="s">
        <v>1626</v>
      </c>
      <c r="N23" s="2" t="s">
        <v>1623</v>
      </c>
      <c r="O23" s="65"/>
      <c r="P23" s="2" t="s">
        <v>2053</v>
      </c>
      <c r="Q23" s="65"/>
      <c r="R23" s="2"/>
      <c r="S23" s="27" t="e">
        <f t="shared" ca="1" si="0"/>
        <v>#VALUE!</v>
      </c>
    </row>
    <row r="24" spans="1:19" ht="27.75" customHeight="1" thickTop="1" thickBot="1" x14ac:dyDescent="0.35">
      <c r="A24" s="8">
        <v>1106700010010</v>
      </c>
      <c r="B24" s="7" t="s">
        <v>114</v>
      </c>
      <c r="C24" s="7" t="s">
        <v>673</v>
      </c>
      <c r="D24" s="7">
        <v>2004</v>
      </c>
      <c r="E24" s="7" t="s">
        <v>19</v>
      </c>
      <c r="F24" s="7" t="s">
        <v>56</v>
      </c>
      <c r="G24" s="8" t="s">
        <v>674</v>
      </c>
      <c r="H24" s="7" t="s">
        <v>263</v>
      </c>
      <c r="I24" s="7" t="s">
        <v>632</v>
      </c>
      <c r="J24" s="2" t="s">
        <v>1549</v>
      </c>
      <c r="K24" s="2" t="s">
        <v>1548</v>
      </c>
      <c r="L24" s="2" t="s">
        <v>1571</v>
      </c>
      <c r="M24" s="2" t="s">
        <v>2575</v>
      </c>
      <c r="N24" s="9" t="s">
        <v>2573</v>
      </c>
      <c r="O24" s="2" t="s">
        <v>2572</v>
      </c>
      <c r="P24" s="2" t="s">
        <v>2053</v>
      </c>
      <c r="Q24" s="66"/>
      <c r="R24" s="2"/>
      <c r="S24" s="27" t="str">
        <f t="shared" ca="1" si="0"/>
        <v>تم الاصلاح</v>
      </c>
    </row>
    <row r="25" spans="1:19" ht="27.75" customHeight="1" thickTop="1" thickBot="1" x14ac:dyDescent="0.35">
      <c r="A25" s="8">
        <v>1106700020003</v>
      </c>
      <c r="B25" s="7" t="s">
        <v>54</v>
      </c>
      <c r="C25" s="7" t="s">
        <v>768</v>
      </c>
      <c r="D25" s="7">
        <v>2014</v>
      </c>
      <c r="E25" s="7" t="s">
        <v>19</v>
      </c>
      <c r="F25" s="7" t="s">
        <v>52</v>
      </c>
      <c r="G25" s="8" t="s">
        <v>769</v>
      </c>
      <c r="H25" s="7" t="s">
        <v>35</v>
      </c>
      <c r="I25" s="7" t="s">
        <v>765</v>
      </c>
      <c r="J25" s="2" t="s">
        <v>1518</v>
      </c>
      <c r="K25" s="11" t="s">
        <v>1912</v>
      </c>
      <c r="L25" s="2" t="s">
        <v>1564</v>
      </c>
      <c r="M25" s="2" t="s">
        <v>1842</v>
      </c>
      <c r="N25" s="2" t="s">
        <v>2474</v>
      </c>
      <c r="O25" s="2" t="s">
        <v>2526</v>
      </c>
      <c r="P25" s="2" t="s">
        <v>1518</v>
      </c>
      <c r="Q25" s="65" t="s">
        <v>1988</v>
      </c>
      <c r="R25" s="2"/>
      <c r="S25" s="27" t="str">
        <f t="shared" ca="1" si="0"/>
        <v>تم الاصلاح</v>
      </c>
    </row>
    <row r="26" spans="1:19" ht="27.75" customHeight="1" thickTop="1" thickBot="1" x14ac:dyDescent="0.35">
      <c r="A26" s="8">
        <v>1106700020010</v>
      </c>
      <c r="B26" s="7" t="s">
        <v>210</v>
      </c>
      <c r="C26" s="7" t="s">
        <v>1467</v>
      </c>
      <c r="D26" s="7">
        <v>2009</v>
      </c>
      <c r="E26" s="7" t="s">
        <v>19</v>
      </c>
      <c r="F26" s="7" t="s">
        <v>56</v>
      </c>
      <c r="G26" s="8" t="s">
        <v>1365</v>
      </c>
      <c r="H26" s="7" t="s">
        <v>263</v>
      </c>
      <c r="I26" s="7" t="s">
        <v>1225</v>
      </c>
      <c r="J26" s="2" t="s">
        <v>1471</v>
      </c>
      <c r="K26" s="2" t="s">
        <v>1548</v>
      </c>
      <c r="L26" s="2" t="s">
        <v>1564</v>
      </c>
      <c r="M26" s="2" t="s">
        <v>2406</v>
      </c>
      <c r="N26" s="9" t="s">
        <v>2407</v>
      </c>
      <c r="O26" s="2"/>
      <c r="P26" s="2" t="s">
        <v>1471</v>
      </c>
      <c r="Q26" s="66" t="s">
        <v>1994</v>
      </c>
      <c r="R26" s="2"/>
      <c r="S26" s="27" t="e">
        <f t="shared" ca="1" si="0"/>
        <v>#VALUE!</v>
      </c>
    </row>
    <row r="27" spans="1:19" ht="27.75" customHeight="1" thickTop="1" thickBot="1" x14ac:dyDescent="0.35">
      <c r="A27" s="8">
        <v>1101700020004</v>
      </c>
      <c r="B27" s="7" t="s">
        <v>869</v>
      </c>
      <c r="C27" s="7" t="s">
        <v>1458</v>
      </c>
      <c r="D27" s="7">
        <v>2003</v>
      </c>
      <c r="E27" s="7" t="s">
        <v>19</v>
      </c>
      <c r="F27" s="7" t="s">
        <v>52</v>
      </c>
      <c r="G27" s="8" t="s">
        <v>878</v>
      </c>
      <c r="H27" s="7" t="s">
        <v>35</v>
      </c>
      <c r="I27" s="7" t="s">
        <v>877</v>
      </c>
      <c r="J27" s="2" t="s">
        <v>1549</v>
      </c>
      <c r="K27" s="9" t="s">
        <v>1553</v>
      </c>
      <c r="L27" s="2" t="s">
        <v>1565</v>
      </c>
      <c r="M27" s="2" t="s">
        <v>1636</v>
      </c>
      <c r="N27" s="10" t="s">
        <v>1637</v>
      </c>
      <c r="O27" s="65"/>
      <c r="P27" s="2" t="s">
        <v>2045</v>
      </c>
      <c r="Q27" s="65" t="s">
        <v>2046</v>
      </c>
      <c r="R27" s="2" t="s">
        <v>1651</v>
      </c>
      <c r="S27" s="27" t="e">
        <f t="shared" ca="1" si="0"/>
        <v>#VALUE!</v>
      </c>
    </row>
    <row r="28" spans="1:19" ht="27.75" customHeight="1" thickTop="1" thickBot="1" x14ac:dyDescent="0.35">
      <c r="A28" s="8">
        <v>1204700030001</v>
      </c>
      <c r="B28" s="7" t="s">
        <v>17</v>
      </c>
      <c r="C28" s="7" t="s">
        <v>386</v>
      </c>
      <c r="D28" s="7">
        <v>2009</v>
      </c>
      <c r="E28" s="7" t="s">
        <v>19</v>
      </c>
      <c r="F28" s="7" t="s">
        <v>384</v>
      </c>
      <c r="G28" s="8" t="s">
        <v>387</v>
      </c>
      <c r="H28" s="7" t="s">
        <v>263</v>
      </c>
      <c r="I28" s="7" t="s">
        <v>270</v>
      </c>
      <c r="J28" s="2" t="s">
        <v>1544</v>
      </c>
      <c r="K28" s="2" t="s">
        <v>1548</v>
      </c>
      <c r="L28" s="2" t="s">
        <v>1571</v>
      </c>
      <c r="M28" s="2" t="s">
        <v>1878</v>
      </c>
      <c r="N28" s="10" t="s">
        <v>1879</v>
      </c>
      <c r="O28" s="65"/>
      <c r="P28" s="2" t="s">
        <v>2053</v>
      </c>
      <c r="Q28" s="65"/>
      <c r="R28" s="2"/>
      <c r="S28" s="27" t="e">
        <f t="shared" ca="1" si="0"/>
        <v>#VALUE!</v>
      </c>
    </row>
    <row r="29" spans="1:19" ht="27.75" customHeight="1" thickTop="1" thickBot="1" x14ac:dyDescent="0.35">
      <c r="A29" s="8">
        <v>1106700020003</v>
      </c>
      <c r="B29" s="7" t="s">
        <v>54</v>
      </c>
      <c r="C29" s="7" t="s">
        <v>911</v>
      </c>
      <c r="D29" s="7">
        <v>2014</v>
      </c>
      <c r="E29" s="7" t="s">
        <v>19</v>
      </c>
      <c r="F29" s="7" t="s">
        <v>52</v>
      </c>
      <c r="G29" s="8" t="s">
        <v>912</v>
      </c>
      <c r="H29" s="7" t="s">
        <v>35</v>
      </c>
      <c r="I29" s="7" t="s">
        <v>908</v>
      </c>
      <c r="J29" s="2" t="s">
        <v>1537</v>
      </c>
      <c r="K29" s="2" t="s">
        <v>1548</v>
      </c>
      <c r="L29" s="2" t="s">
        <v>1565</v>
      </c>
      <c r="M29" s="2" t="s">
        <v>2507</v>
      </c>
      <c r="N29" s="2" t="s">
        <v>2615</v>
      </c>
      <c r="O29" s="2" t="s">
        <v>2508</v>
      </c>
      <c r="P29" s="2" t="s">
        <v>1537</v>
      </c>
      <c r="Q29" s="66" t="s">
        <v>2043</v>
      </c>
      <c r="R29" s="2"/>
      <c r="S29" s="27" t="str">
        <f t="shared" ca="1" si="0"/>
        <v>تم الاصلاح</v>
      </c>
    </row>
    <row r="30" spans="1:19" ht="27.75" customHeight="1" thickTop="1" thickBot="1" x14ac:dyDescent="0.35">
      <c r="A30" s="8">
        <v>1102700010004</v>
      </c>
      <c r="B30" s="7" t="s">
        <v>64</v>
      </c>
      <c r="C30" s="7" t="s">
        <v>773</v>
      </c>
      <c r="D30" s="7">
        <v>2012</v>
      </c>
      <c r="E30" s="7" t="s">
        <v>19</v>
      </c>
      <c r="F30" s="7" t="s">
        <v>66</v>
      </c>
      <c r="G30" s="8" t="s">
        <v>774</v>
      </c>
      <c r="H30" s="7" t="s">
        <v>35</v>
      </c>
      <c r="I30" s="7" t="s">
        <v>770</v>
      </c>
      <c r="J30" s="2" t="s">
        <v>1506</v>
      </c>
      <c r="K30" s="2" t="s">
        <v>1548</v>
      </c>
      <c r="L30" s="2" t="s">
        <v>1571</v>
      </c>
      <c r="M30" s="2" t="s">
        <v>2685</v>
      </c>
      <c r="N30" s="123" t="s">
        <v>2686</v>
      </c>
      <c r="O30" s="2" t="s">
        <v>2565</v>
      </c>
      <c r="P30" s="2" t="s">
        <v>1506</v>
      </c>
      <c r="Q30" s="65" t="s">
        <v>2005</v>
      </c>
      <c r="R30" s="2"/>
      <c r="S30" s="27" t="str">
        <f t="shared" ca="1" si="0"/>
        <v>تم الاصلاح</v>
      </c>
    </row>
    <row r="31" spans="1:19" ht="27.75" customHeight="1" thickTop="1" thickBot="1" x14ac:dyDescent="0.35">
      <c r="A31" s="8">
        <v>1105700080001</v>
      </c>
      <c r="B31" s="7" t="s">
        <v>302</v>
      </c>
      <c r="C31" s="7" t="s">
        <v>652</v>
      </c>
      <c r="D31" s="7">
        <v>2015</v>
      </c>
      <c r="E31" s="7" t="s">
        <v>19</v>
      </c>
      <c r="F31" s="7" t="s">
        <v>304</v>
      </c>
      <c r="G31" s="8" t="s">
        <v>653</v>
      </c>
      <c r="H31" s="7" t="s">
        <v>263</v>
      </c>
      <c r="I31" s="7" t="s">
        <v>632</v>
      </c>
      <c r="J31" s="2" t="s">
        <v>1544</v>
      </c>
      <c r="K31" s="2" t="s">
        <v>2066</v>
      </c>
      <c r="L31" s="2" t="s">
        <v>1565</v>
      </c>
      <c r="M31" s="2" t="s">
        <v>2637</v>
      </c>
      <c r="N31" s="2" t="s">
        <v>1579</v>
      </c>
      <c r="O31" s="2"/>
      <c r="P31" s="2" t="s">
        <v>2053</v>
      </c>
      <c r="Q31" s="66"/>
      <c r="R31" s="2"/>
      <c r="S31" s="27" t="e">
        <f t="shared" ca="1" si="0"/>
        <v>#VALUE!</v>
      </c>
    </row>
    <row r="32" spans="1:19" ht="27.75" customHeight="1" thickTop="1" thickBot="1" x14ac:dyDescent="0.35">
      <c r="A32" s="8">
        <v>1106700020003</v>
      </c>
      <c r="B32" s="7" t="s">
        <v>54</v>
      </c>
      <c r="C32" s="7" t="s">
        <v>1353</v>
      </c>
      <c r="D32" s="7">
        <v>2013</v>
      </c>
      <c r="E32" s="7" t="s">
        <v>19</v>
      </c>
      <c r="F32" s="7" t="s">
        <v>56</v>
      </c>
      <c r="G32" s="8" t="s">
        <v>1354</v>
      </c>
      <c r="H32" s="7" t="s">
        <v>263</v>
      </c>
      <c r="I32" s="7" t="s">
        <v>1225</v>
      </c>
      <c r="J32" s="2" t="s">
        <v>1544</v>
      </c>
      <c r="K32" s="11" t="s">
        <v>1912</v>
      </c>
      <c r="L32" s="2" t="s">
        <v>1564</v>
      </c>
      <c r="M32" s="2" t="s">
        <v>1586</v>
      </c>
      <c r="N32" s="2" t="s">
        <v>1587</v>
      </c>
      <c r="O32" s="2" t="s">
        <v>2516</v>
      </c>
      <c r="P32" s="2" t="s">
        <v>2053</v>
      </c>
      <c r="Q32" s="65"/>
      <c r="R32" s="2"/>
      <c r="S32" s="27" t="str">
        <f t="shared" ca="1" si="0"/>
        <v>تم الاصلاح</v>
      </c>
    </row>
    <row r="33" spans="1:19" ht="27.75" customHeight="1" thickTop="1" thickBot="1" x14ac:dyDescent="0.35">
      <c r="A33" s="8">
        <v>1204700010003</v>
      </c>
      <c r="B33" s="7" t="s">
        <v>96</v>
      </c>
      <c r="C33" s="7" t="s">
        <v>475</v>
      </c>
      <c r="D33" s="7">
        <v>2009</v>
      </c>
      <c r="E33" s="7" t="s">
        <v>19</v>
      </c>
      <c r="F33" s="7" t="s">
        <v>10</v>
      </c>
      <c r="G33" s="8" t="s">
        <v>476</v>
      </c>
      <c r="H33" s="7" t="s">
        <v>263</v>
      </c>
      <c r="I33" s="7" t="s">
        <v>465</v>
      </c>
      <c r="J33" s="2" t="s">
        <v>1471</v>
      </c>
      <c r="K33" s="2" t="s">
        <v>1548</v>
      </c>
      <c r="L33" s="2" t="s">
        <v>1571</v>
      </c>
      <c r="M33" s="2" t="s">
        <v>1731</v>
      </c>
      <c r="N33" s="10" t="s">
        <v>1843</v>
      </c>
      <c r="O33" s="66"/>
      <c r="P33" s="2" t="s">
        <v>1471</v>
      </c>
      <c r="Q33" s="66" t="s">
        <v>1994</v>
      </c>
      <c r="R33" s="2" t="s">
        <v>1666</v>
      </c>
      <c r="S33" s="27" t="e">
        <f t="shared" ca="1" si="0"/>
        <v>#VALUE!</v>
      </c>
    </row>
    <row r="34" spans="1:19" ht="27.75" customHeight="1" thickTop="1" thickBot="1" x14ac:dyDescent="0.35">
      <c r="A34" s="8">
        <v>1106700020003</v>
      </c>
      <c r="B34" s="7" t="s">
        <v>54</v>
      </c>
      <c r="C34" s="7" t="s">
        <v>884</v>
      </c>
      <c r="D34" s="7">
        <v>1983</v>
      </c>
      <c r="E34" s="7" t="s">
        <v>19</v>
      </c>
      <c r="F34" s="7" t="s">
        <v>56</v>
      </c>
      <c r="G34" s="8">
        <v>3430154805270</v>
      </c>
      <c r="H34" s="7" t="s">
        <v>35</v>
      </c>
      <c r="I34" s="7" t="s">
        <v>881</v>
      </c>
      <c r="J34" s="2" t="s">
        <v>1498</v>
      </c>
      <c r="K34" s="11" t="s">
        <v>1912</v>
      </c>
      <c r="L34" s="2" t="s">
        <v>1564</v>
      </c>
      <c r="M34" s="2" t="s">
        <v>1842</v>
      </c>
      <c r="N34" s="2" t="s">
        <v>1843</v>
      </c>
      <c r="O34" s="2" t="s">
        <v>2677</v>
      </c>
      <c r="P34" s="2" t="s">
        <v>2024</v>
      </c>
      <c r="Q34" s="65" t="s">
        <v>2027</v>
      </c>
      <c r="R34" s="2" t="s">
        <v>1844</v>
      </c>
      <c r="S34" s="27" t="str">
        <f t="shared" ca="1" si="0"/>
        <v>تم الاصلاح</v>
      </c>
    </row>
    <row r="35" spans="1:19" ht="27.75" customHeight="1" thickTop="1" thickBot="1" x14ac:dyDescent="0.35">
      <c r="A35" s="8">
        <v>1102700010004</v>
      </c>
      <c r="B35" s="7" t="s">
        <v>64</v>
      </c>
      <c r="C35" s="7" t="s">
        <v>646</v>
      </c>
      <c r="D35" s="7">
        <v>2008</v>
      </c>
      <c r="E35" s="7" t="s">
        <v>19</v>
      </c>
      <c r="F35" s="7" t="s">
        <v>42</v>
      </c>
      <c r="G35" s="8" t="s">
        <v>647</v>
      </c>
      <c r="H35" s="7" t="s">
        <v>263</v>
      </c>
      <c r="I35" s="7" t="s">
        <v>632</v>
      </c>
      <c r="J35" s="2" t="s">
        <v>1544</v>
      </c>
      <c r="K35" s="2" t="s">
        <v>1548</v>
      </c>
      <c r="L35" s="2" t="s">
        <v>1571</v>
      </c>
      <c r="M35" s="2" t="s">
        <v>1580</v>
      </c>
      <c r="N35" s="10" t="s">
        <v>1581</v>
      </c>
      <c r="O35" s="66"/>
      <c r="P35" s="2" t="s">
        <v>2053</v>
      </c>
      <c r="Q35" s="66"/>
      <c r="R35" s="2"/>
      <c r="S35" s="27" t="e">
        <f t="shared" ca="1" si="0"/>
        <v>#VALUE!</v>
      </c>
    </row>
    <row r="36" spans="1:19" ht="27.75" customHeight="1" thickTop="1" thickBot="1" x14ac:dyDescent="0.35">
      <c r="A36" s="58">
        <v>1105700010001</v>
      </c>
      <c r="B36" s="57" t="s">
        <v>290</v>
      </c>
      <c r="C36" s="57" t="s">
        <v>648</v>
      </c>
      <c r="D36" s="57">
        <v>2006</v>
      </c>
      <c r="E36" s="57" t="s">
        <v>19</v>
      </c>
      <c r="F36" s="57" t="s">
        <v>355</v>
      </c>
      <c r="G36" s="58" t="s">
        <v>649</v>
      </c>
      <c r="H36" s="57" t="s">
        <v>263</v>
      </c>
      <c r="I36" s="57" t="s">
        <v>632</v>
      </c>
      <c r="J36" s="57" t="s">
        <v>1544</v>
      </c>
      <c r="K36" s="11" t="s">
        <v>1912</v>
      </c>
      <c r="L36" s="57" t="s">
        <v>1571</v>
      </c>
      <c r="M36" s="57" t="s">
        <v>2173</v>
      </c>
      <c r="N36" s="2" t="s">
        <v>2593</v>
      </c>
      <c r="O36" s="57" t="s">
        <v>2635</v>
      </c>
      <c r="P36" s="57" t="s">
        <v>1518</v>
      </c>
      <c r="Q36" s="65" t="s">
        <v>1987</v>
      </c>
      <c r="R36" s="57" t="s">
        <v>2162</v>
      </c>
      <c r="S36" s="27" t="str">
        <f t="shared" ca="1" si="0"/>
        <v>تم الاصلاح</v>
      </c>
    </row>
    <row r="37" spans="1:19" ht="27.75" customHeight="1" thickTop="1" thickBot="1" x14ac:dyDescent="0.35">
      <c r="A37" s="8">
        <v>1106700020003</v>
      </c>
      <c r="B37" s="7" t="s">
        <v>54</v>
      </c>
      <c r="C37" s="7" t="s">
        <v>1359</v>
      </c>
      <c r="D37" s="7">
        <v>2003</v>
      </c>
      <c r="E37" s="7" t="s">
        <v>19</v>
      </c>
      <c r="F37" s="7" t="s">
        <v>56</v>
      </c>
      <c r="G37" s="8" t="s">
        <v>1360</v>
      </c>
      <c r="H37" s="7" t="s">
        <v>263</v>
      </c>
      <c r="I37" s="7" t="s">
        <v>1225</v>
      </c>
      <c r="J37" s="2" t="s">
        <v>1544</v>
      </c>
      <c r="K37" s="2" t="s">
        <v>1548</v>
      </c>
      <c r="L37" s="2" t="s">
        <v>1569</v>
      </c>
      <c r="M37" s="2" t="s">
        <v>2203</v>
      </c>
      <c r="N37" s="10" t="s">
        <v>2198</v>
      </c>
      <c r="O37" s="66"/>
      <c r="P37" s="2" t="s">
        <v>2053</v>
      </c>
      <c r="Q37" s="66"/>
      <c r="R37" s="2"/>
      <c r="S37" s="27" t="e">
        <f t="shared" ca="1" si="0"/>
        <v>#VALUE!</v>
      </c>
    </row>
    <row r="38" spans="1:19" ht="27.75" customHeight="1" thickTop="1" thickBot="1" x14ac:dyDescent="0.35">
      <c r="A38" s="8">
        <v>1104700010001</v>
      </c>
      <c r="B38" s="7" t="s">
        <v>245</v>
      </c>
      <c r="C38" s="7" t="s">
        <v>553</v>
      </c>
      <c r="D38" s="7">
        <v>2005</v>
      </c>
      <c r="E38" s="7" t="s">
        <v>19</v>
      </c>
      <c r="F38" s="7" t="s">
        <v>5</v>
      </c>
      <c r="G38" s="8" t="s">
        <v>554</v>
      </c>
      <c r="H38" s="7" t="s">
        <v>263</v>
      </c>
      <c r="I38" s="7" t="s">
        <v>552</v>
      </c>
      <c r="J38" s="2" t="s">
        <v>1493</v>
      </c>
      <c r="K38" s="11" t="s">
        <v>1912</v>
      </c>
      <c r="L38" s="2"/>
      <c r="M38" s="2" t="s">
        <v>1613</v>
      </c>
      <c r="N38" s="2" t="s">
        <v>1650</v>
      </c>
      <c r="O38" s="2" t="s">
        <v>2418</v>
      </c>
      <c r="P38" s="2" t="s">
        <v>2045</v>
      </c>
      <c r="Q38" s="65" t="s">
        <v>2046</v>
      </c>
      <c r="R38" s="2"/>
      <c r="S38" s="27" t="str">
        <f t="shared" ca="1" si="0"/>
        <v>تم الاصلاح</v>
      </c>
    </row>
    <row r="39" spans="1:19" ht="27.75" customHeight="1" thickTop="1" thickBot="1" x14ac:dyDescent="0.35">
      <c r="A39" s="8">
        <v>1106700020003</v>
      </c>
      <c r="B39" s="7" t="s">
        <v>54</v>
      </c>
      <c r="C39" s="7" t="s">
        <v>675</v>
      </c>
      <c r="D39" s="7">
        <v>2013</v>
      </c>
      <c r="E39" s="7" t="s">
        <v>19</v>
      </c>
      <c r="F39" s="7" t="s">
        <v>56</v>
      </c>
      <c r="G39" s="8" t="s">
        <v>676</v>
      </c>
      <c r="H39" s="7" t="s">
        <v>263</v>
      </c>
      <c r="I39" s="7" t="s">
        <v>632</v>
      </c>
      <c r="J39" s="2" t="s">
        <v>1471</v>
      </c>
      <c r="K39" s="2" t="s">
        <v>1548</v>
      </c>
      <c r="L39" s="2" t="s">
        <v>1571</v>
      </c>
      <c r="M39" s="2" t="s">
        <v>1813</v>
      </c>
      <c r="N39" s="2" t="s">
        <v>1621</v>
      </c>
      <c r="O39" s="66"/>
      <c r="P39" s="2" t="s">
        <v>1471</v>
      </c>
      <c r="Q39" s="66" t="s">
        <v>1998</v>
      </c>
      <c r="R39" s="2" t="s">
        <v>1814</v>
      </c>
      <c r="S39" s="27" t="e">
        <f t="shared" ca="1" si="0"/>
        <v>#VALUE!</v>
      </c>
    </row>
    <row r="40" spans="1:19" ht="27.75" customHeight="1" thickTop="1" thickBot="1" x14ac:dyDescent="0.35">
      <c r="A40" s="8">
        <v>1207700040006</v>
      </c>
      <c r="B40" s="7" t="s">
        <v>709</v>
      </c>
      <c r="C40" s="7" t="s">
        <v>710</v>
      </c>
      <c r="D40" s="7">
        <v>2013</v>
      </c>
      <c r="E40" s="7" t="s">
        <v>19</v>
      </c>
      <c r="F40" s="7" t="s">
        <v>397</v>
      </c>
      <c r="G40" s="8" t="s">
        <v>711</v>
      </c>
      <c r="H40" s="7" t="s">
        <v>263</v>
      </c>
      <c r="I40" s="7" t="s">
        <v>632</v>
      </c>
      <c r="J40" s="2" t="s">
        <v>1544</v>
      </c>
      <c r="K40" s="2" t="s">
        <v>1548</v>
      </c>
      <c r="L40" s="2" t="s">
        <v>1564</v>
      </c>
      <c r="M40" s="2" t="s">
        <v>2519</v>
      </c>
      <c r="N40" s="9" t="s">
        <v>2517</v>
      </c>
      <c r="O40" s="2" t="s">
        <v>2434</v>
      </c>
      <c r="P40" s="2" t="s">
        <v>2053</v>
      </c>
      <c r="Q40" s="65"/>
      <c r="R40" s="2"/>
      <c r="S40" s="27" t="str">
        <f t="shared" ca="1" si="0"/>
        <v>تم الاصلاح</v>
      </c>
    </row>
    <row r="41" spans="1:19" ht="27.75" customHeight="1" thickTop="1" thickBot="1" x14ac:dyDescent="0.35">
      <c r="A41" s="8">
        <v>1204700010003</v>
      </c>
      <c r="B41" s="7" t="s">
        <v>96</v>
      </c>
      <c r="C41" s="7" t="s">
        <v>560</v>
      </c>
      <c r="D41" s="7">
        <v>2006</v>
      </c>
      <c r="E41" s="7" t="s">
        <v>19</v>
      </c>
      <c r="F41" s="7" t="s">
        <v>10</v>
      </c>
      <c r="G41" s="8" t="s">
        <v>561</v>
      </c>
      <c r="H41" s="7" t="s">
        <v>263</v>
      </c>
      <c r="I41" s="7" t="s">
        <v>552</v>
      </c>
      <c r="J41" s="2" t="s">
        <v>1493</v>
      </c>
      <c r="K41" s="2" t="s">
        <v>1548</v>
      </c>
      <c r="L41" s="2" t="s">
        <v>1564</v>
      </c>
      <c r="M41" s="2" t="s">
        <v>1894</v>
      </c>
      <c r="N41" s="10" t="s">
        <v>1895</v>
      </c>
      <c r="O41" s="66"/>
      <c r="P41" s="2" t="s">
        <v>2045</v>
      </c>
      <c r="Q41" s="66" t="s">
        <v>2046</v>
      </c>
      <c r="R41" s="2"/>
      <c r="S41" s="27" t="e">
        <f t="shared" ca="1" si="0"/>
        <v>#VALUE!</v>
      </c>
    </row>
    <row r="42" spans="1:19" ht="27.75" customHeight="1" thickTop="1" thickBot="1" x14ac:dyDescent="0.35">
      <c r="A42" s="8">
        <v>1106700010003</v>
      </c>
      <c r="B42" s="7" t="s">
        <v>102</v>
      </c>
      <c r="C42" s="7" t="s">
        <v>442</v>
      </c>
      <c r="D42" s="7">
        <v>1989</v>
      </c>
      <c r="E42" s="7" t="s">
        <v>19</v>
      </c>
      <c r="F42" s="7" t="s">
        <v>104</v>
      </c>
      <c r="G42" s="8">
        <v>34600155410132</v>
      </c>
      <c r="H42" s="7" t="s">
        <v>263</v>
      </c>
      <c r="I42" s="7" t="s">
        <v>430</v>
      </c>
      <c r="J42" s="2" t="s">
        <v>1506</v>
      </c>
      <c r="K42" s="11" t="s">
        <v>1912</v>
      </c>
      <c r="L42" s="2" t="s">
        <v>1569</v>
      </c>
      <c r="M42" s="2" t="s">
        <v>2259</v>
      </c>
      <c r="N42" s="2" t="s">
        <v>2256</v>
      </c>
      <c r="O42" s="2" t="s">
        <v>2641</v>
      </c>
      <c r="P42" s="2" t="s">
        <v>1471</v>
      </c>
      <c r="Q42" s="65" t="s">
        <v>1996</v>
      </c>
      <c r="R42" s="2"/>
      <c r="S42" s="27" t="str">
        <f t="shared" ca="1" si="0"/>
        <v>تم الاصلاح</v>
      </c>
    </row>
    <row r="43" spans="1:19" ht="27.75" customHeight="1" thickTop="1" thickBot="1" x14ac:dyDescent="0.35">
      <c r="A43" s="8">
        <v>1201700020002</v>
      </c>
      <c r="B43" s="7" t="s">
        <v>1375</v>
      </c>
      <c r="C43" s="7" t="s">
        <v>1385</v>
      </c>
      <c r="D43" s="7">
        <v>2015</v>
      </c>
      <c r="E43" s="7" t="s">
        <v>19</v>
      </c>
      <c r="F43" s="7" t="s">
        <v>1377</v>
      </c>
      <c r="G43" s="8" t="s">
        <v>1386</v>
      </c>
      <c r="H43" s="7" t="s">
        <v>263</v>
      </c>
      <c r="I43" s="7" t="s">
        <v>1225</v>
      </c>
      <c r="J43" s="2" t="s">
        <v>1482</v>
      </c>
      <c r="K43" s="2" t="s">
        <v>1548</v>
      </c>
      <c r="L43" s="2" t="s">
        <v>1571</v>
      </c>
      <c r="M43" s="2" t="s">
        <v>1835</v>
      </c>
      <c r="N43" s="10" t="s">
        <v>1836</v>
      </c>
      <c r="O43" s="66"/>
      <c r="P43" s="2" t="s">
        <v>2009</v>
      </c>
      <c r="Q43" s="66" t="s">
        <v>2010</v>
      </c>
      <c r="R43" s="2" t="s">
        <v>1814</v>
      </c>
      <c r="S43" s="27" t="e">
        <f t="shared" ca="1" si="0"/>
        <v>#VALUE!</v>
      </c>
    </row>
    <row r="44" spans="1:19" ht="27.75" customHeight="1" thickTop="1" thickBot="1" x14ac:dyDescent="0.35">
      <c r="A44" s="8">
        <v>1204700010003</v>
      </c>
      <c r="B44" s="7" t="s">
        <v>96</v>
      </c>
      <c r="C44" s="7" t="s">
        <v>494</v>
      </c>
      <c r="D44" s="7">
        <v>2009</v>
      </c>
      <c r="E44" s="7" t="s">
        <v>19</v>
      </c>
      <c r="F44" s="7" t="s">
        <v>10</v>
      </c>
      <c r="G44" s="8" t="s">
        <v>495</v>
      </c>
      <c r="H44" s="7" t="s">
        <v>263</v>
      </c>
      <c r="I44" s="7" t="s">
        <v>485</v>
      </c>
      <c r="J44" s="2" t="s">
        <v>1518</v>
      </c>
      <c r="K44" s="11" t="s">
        <v>1912</v>
      </c>
      <c r="L44" s="2"/>
      <c r="M44" s="2"/>
      <c r="N44" s="2"/>
      <c r="O44" s="65" t="s">
        <v>2169</v>
      </c>
      <c r="P44" s="2" t="s">
        <v>1518</v>
      </c>
      <c r="Q44" s="65" t="s">
        <v>1987</v>
      </c>
      <c r="R44" s="2"/>
      <c r="S44" s="27" t="str">
        <f t="shared" ca="1" si="0"/>
        <v>تم الاصلاح</v>
      </c>
    </row>
    <row r="45" spans="1:19" ht="27.75" customHeight="1" thickTop="1" thickBot="1" x14ac:dyDescent="0.35">
      <c r="A45" s="8">
        <v>1106700020003</v>
      </c>
      <c r="B45" s="7" t="s">
        <v>54</v>
      </c>
      <c r="C45" s="7" t="s">
        <v>781</v>
      </c>
      <c r="D45" s="7">
        <v>2013</v>
      </c>
      <c r="E45" s="7" t="s">
        <v>19</v>
      </c>
      <c r="F45" s="7" t="s">
        <v>56</v>
      </c>
      <c r="G45" s="8" t="s">
        <v>782</v>
      </c>
      <c r="H45" s="7" t="s">
        <v>35</v>
      </c>
      <c r="I45" s="7" t="s">
        <v>776</v>
      </c>
      <c r="J45" s="2" t="s">
        <v>1506</v>
      </c>
      <c r="K45" s="11" t="s">
        <v>1912</v>
      </c>
      <c r="L45" s="2"/>
      <c r="M45" s="2"/>
      <c r="N45" s="2"/>
      <c r="O45" s="66" t="s">
        <v>2177</v>
      </c>
      <c r="P45" s="2" t="s">
        <v>1506</v>
      </c>
      <c r="Q45" s="66" t="s">
        <v>2006</v>
      </c>
      <c r="R45" s="2"/>
      <c r="S45" s="27" t="str">
        <f t="shared" ca="1" si="0"/>
        <v>تم الاصلاح</v>
      </c>
    </row>
    <row r="46" spans="1:19" ht="27.75" customHeight="1" thickTop="1" thickBot="1" x14ac:dyDescent="0.35">
      <c r="A46" s="8">
        <v>1105700100001</v>
      </c>
      <c r="B46" s="7" t="s">
        <v>311</v>
      </c>
      <c r="C46" s="7" t="s">
        <v>1319</v>
      </c>
      <c r="D46" s="7">
        <v>2015</v>
      </c>
      <c r="E46" s="7" t="s">
        <v>19</v>
      </c>
      <c r="F46" s="7" t="s">
        <v>236</v>
      </c>
      <c r="G46" s="8" t="s">
        <v>1320</v>
      </c>
      <c r="H46" s="7" t="s">
        <v>263</v>
      </c>
      <c r="I46" s="7" t="s">
        <v>1225</v>
      </c>
      <c r="J46" s="2" t="s">
        <v>1487</v>
      </c>
      <c r="K46" s="11" t="s">
        <v>1912</v>
      </c>
      <c r="L46" s="2"/>
      <c r="M46" s="2"/>
      <c r="N46" s="2"/>
      <c r="O46" s="65" t="s">
        <v>2178</v>
      </c>
      <c r="P46" s="2" t="s">
        <v>2034</v>
      </c>
      <c r="Q46" s="65" t="s">
        <v>2035</v>
      </c>
      <c r="R46" s="2"/>
      <c r="S46" s="27" t="str">
        <f t="shared" ca="1" si="0"/>
        <v>تم الاصلاح</v>
      </c>
    </row>
    <row r="47" spans="1:19" ht="27.75" customHeight="1" thickTop="1" thickBot="1" x14ac:dyDescent="0.35">
      <c r="A47" s="8">
        <v>1106700020003</v>
      </c>
      <c r="B47" s="7" t="s">
        <v>54</v>
      </c>
      <c r="C47" s="7" t="s">
        <v>1450</v>
      </c>
      <c r="D47" s="7">
        <v>2013</v>
      </c>
      <c r="E47" s="7" t="s">
        <v>19</v>
      </c>
      <c r="F47" s="7" t="s">
        <v>56</v>
      </c>
      <c r="G47" s="8" t="s">
        <v>1422</v>
      </c>
      <c r="H47" s="7" t="s">
        <v>35</v>
      </c>
      <c r="I47" s="7" t="s">
        <v>1417</v>
      </c>
      <c r="J47" s="2" t="s">
        <v>1506</v>
      </c>
      <c r="K47" s="11" t="s">
        <v>1912</v>
      </c>
      <c r="L47" s="2" t="s">
        <v>1564</v>
      </c>
      <c r="M47" s="2" t="s">
        <v>1795</v>
      </c>
      <c r="N47" s="2" t="s">
        <v>1796</v>
      </c>
      <c r="O47" s="2" t="s">
        <v>2670</v>
      </c>
      <c r="P47" s="2" t="s">
        <v>1506</v>
      </c>
      <c r="Q47" s="66" t="s">
        <v>2008</v>
      </c>
      <c r="R47" s="2"/>
      <c r="S47" s="27" t="str">
        <f t="shared" ca="1" si="0"/>
        <v>تم الاصلاح</v>
      </c>
    </row>
    <row r="48" spans="1:19" ht="27.75" customHeight="1" thickTop="1" thickBot="1" x14ac:dyDescent="0.35">
      <c r="A48" s="8">
        <v>1104700020001</v>
      </c>
      <c r="B48" s="7" t="s">
        <v>431</v>
      </c>
      <c r="C48" s="7" t="s">
        <v>512</v>
      </c>
      <c r="D48" s="7">
        <v>2012</v>
      </c>
      <c r="E48" s="7" t="s">
        <v>433</v>
      </c>
      <c r="F48" s="7" t="s">
        <v>236</v>
      </c>
      <c r="G48" s="8" t="s">
        <v>513</v>
      </c>
      <c r="H48" s="7" t="s">
        <v>263</v>
      </c>
      <c r="I48" s="7" t="s">
        <v>509</v>
      </c>
      <c r="J48" s="2" t="s">
        <v>1477</v>
      </c>
      <c r="K48" s="2" t="s">
        <v>1548</v>
      </c>
      <c r="L48" s="2" t="s">
        <v>1565</v>
      </c>
      <c r="M48" s="2" t="s">
        <v>1770</v>
      </c>
      <c r="N48" s="2" t="s">
        <v>1771</v>
      </c>
      <c r="O48" s="65"/>
      <c r="P48" s="2" t="s">
        <v>1477</v>
      </c>
      <c r="Q48" s="65" t="s">
        <v>1999</v>
      </c>
      <c r="R48" s="2"/>
      <c r="S48" s="27" t="e">
        <f t="shared" ca="1" si="0"/>
        <v>#VALUE!</v>
      </c>
    </row>
    <row r="49" spans="1:19" ht="27.75" customHeight="1" thickTop="1" thickBot="1" x14ac:dyDescent="0.35">
      <c r="A49" s="8">
        <v>1102700010004</v>
      </c>
      <c r="B49" s="7" t="s">
        <v>64</v>
      </c>
      <c r="C49" s="7" t="s">
        <v>284</v>
      </c>
      <c r="D49" s="7">
        <v>2010</v>
      </c>
      <c r="E49" s="7" t="s">
        <v>19</v>
      </c>
      <c r="F49" s="7" t="s">
        <v>42</v>
      </c>
      <c r="G49" s="8" t="s">
        <v>285</v>
      </c>
      <c r="H49" s="7" t="s">
        <v>263</v>
      </c>
      <c r="I49" s="7" t="s">
        <v>270</v>
      </c>
      <c r="J49" s="2" t="s">
        <v>1544</v>
      </c>
      <c r="K49" s="2" t="s">
        <v>1548</v>
      </c>
      <c r="L49" s="2" t="s">
        <v>1565</v>
      </c>
      <c r="M49" s="2" t="s">
        <v>1764</v>
      </c>
      <c r="N49" s="2" t="s">
        <v>2654</v>
      </c>
      <c r="O49" s="2" t="s">
        <v>2646</v>
      </c>
      <c r="P49" s="2" t="s">
        <v>1477</v>
      </c>
      <c r="Q49" s="66" t="s">
        <v>2000</v>
      </c>
      <c r="R49" s="2"/>
      <c r="S49" s="27" t="str">
        <f t="shared" ca="1" si="0"/>
        <v>تم الاصلاح</v>
      </c>
    </row>
    <row r="50" spans="1:19" ht="27.75" customHeight="1" thickTop="1" thickBot="1" x14ac:dyDescent="0.35">
      <c r="A50" s="8">
        <v>1106700020003</v>
      </c>
      <c r="B50" s="7" t="s">
        <v>54</v>
      </c>
      <c r="C50" s="7" t="s">
        <v>92</v>
      </c>
      <c r="D50" s="7">
        <v>2013</v>
      </c>
      <c r="E50" s="7" t="s">
        <v>19</v>
      </c>
      <c r="F50" s="7" t="s">
        <v>56</v>
      </c>
      <c r="G50" s="8" t="s">
        <v>93</v>
      </c>
      <c r="H50" s="7" t="s">
        <v>35</v>
      </c>
      <c r="I50" s="7" t="s">
        <v>89</v>
      </c>
      <c r="J50" s="2" t="s">
        <v>1544</v>
      </c>
      <c r="K50" s="2" t="s">
        <v>1548</v>
      </c>
      <c r="L50" s="2" t="s">
        <v>1559</v>
      </c>
      <c r="M50" s="2" t="s">
        <v>1559</v>
      </c>
      <c r="N50" s="10" t="s">
        <v>1863</v>
      </c>
      <c r="O50" s="65"/>
      <c r="P50" s="2" t="s">
        <v>1525</v>
      </c>
      <c r="Q50" s="65" t="s">
        <v>2014</v>
      </c>
      <c r="R50" s="2"/>
      <c r="S50" s="27" t="e">
        <f t="shared" ca="1" si="0"/>
        <v>#VALUE!</v>
      </c>
    </row>
    <row r="51" spans="1:19" ht="27.75" customHeight="1" thickTop="1" thickBot="1" x14ac:dyDescent="0.35">
      <c r="A51" s="8">
        <v>1105700100001</v>
      </c>
      <c r="B51" s="7" t="s">
        <v>311</v>
      </c>
      <c r="C51" s="7" t="s">
        <v>312</v>
      </c>
      <c r="D51" s="7">
        <v>2010</v>
      </c>
      <c r="E51" s="7" t="s">
        <v>19</v>
      </c>
      <c r="F51" s="7" t="s">
        <v>236</v>
      </c>
      <c r="G51" s="8" t="s">
        <v>313</v>
      </c>
      <c r="H51" s="7" t="s">
        <v>263</v>
      </c>
      <c r="I51" s="7" t="s">
        <v>270</v>
      </c>
      <c r="J51" s="2" t="s">
        <v>1661</v>
      </c>
      <c r="K51" s="2" t="s">
        <v>1548</v>
      </c>
      <c r="L51" s="2" t="s">
        <v>1571</v>
      </c>
      <c r="M51" s="2" t="s">
        <v>1664</v>
      </c>
      <c r="N51" s="10" t="s">
        <v>1665</v>
      </c>
      <c r="O51" s="66"/>
      <c r="P51" s="2" t="s">
        <v>1531</v>
      </c>
      <c r="Q51" s="66" t="s">
        <v>2019</v>
      </c>
      <c r="R51" s="2" t="s">
        <v>1666</v>
      </c>
      <c r="S51" s="27" t="e">
        <f t="shared" ca="1" si="0"/>
        <v>#VALUE!</v>
      </c>
    </row>
    <row r="52" spans="1:19" ht="27.75" customHeight="1" thickTop="1" thickBot="1" x14ac:dyDescent="0.35">
      <c r="A52" s="8">
        <v>1105700150001</v>
      </c>
      <c r="B52" s="7" t="s">
        <v>317</v>
      </c>
      <c r="C52" s="7" t="s">
        <v>658</v>
      </c>
      <c r="D52" s="7">
        <v>2010</v>
      </c>
      <c r="E52" s="7" t="s">
        <v>19</v>
      </c>
      <c r="F52" s="7" t="s">
        <v>42</v>
      </c>
      <c r="G52" s="8" t="s">
        <v>659</v>
      </c>
      <c r="H52" s="7" t="s">
        <v>263</v>
      </c>
      <c r="I52" s="7" t="s">
        <v>632</v>
      </c>
      <c r="J52" s="2" t="s">
        <v>1487</v>
      </c>
      <c r="K52" s="11" t="s">
        <v>1912</v>
      </c>
      <c r="L52" s="2"/>
      <c r="M52" s="2"/>
      <c r="N52" s="2"/>
      <c r="O52" s="2" t="s">
        <v>2395</v>
      </c>
      <c r="P52" s="2" t="s">
        <v>2034</v>
      </c>
      <c r="Q52" s="65" t="s">
        <v>2035</v>
      </c>
      <c r="R52" s="2" t="s">
        <v>2250</v>
      </c>
      <c r="S52" s="27" t="str">
        <f t="shared" ca="1" si="0"/>
        <v>تم الاصلاح</v>
      </c>
    </row>
    <row r="53" spans="1:19" ht="27.75" customHeight="1" thickTop="1" thickBot="1" x14ac:dyDescent="0.35">
      <c r="A53" s="8">
        <v>1205700030009</v>
      </c>
      <c r="B53" s="7" t="s">
        <v>1213</v>
      </c>
      <c r="C53" s="7" t="s">
        <v>1214</v>
      </c>
      <c r="D53" s="7">
        <v>2013</v>
      </c>
      <c r="E53" s="7" t="s">
        <v>19</v>
      </c>
      <c r="F53" s="7" t="s">
        <v>236</v>
      </c>
      <c r="G53" s="8" t="s">
        <v>1215</v>
      </c>
      <c r="H53" s="7" t="s">
        <v>35</v>
      </c>
      <c r="I53" s="7" t="s">
        <v>1199</v>
      </c>
      <c r="J53" s="2" t="s">
        <v>1493</v>
      </c>
      <c r="K53" s="11" t="s">
        <v>1912</v>
      </c>
      <c r="L53" s="2" t="s">
        <v>1571</v>
      </c>
      <c r="M53" s="2" t="s">
        <v>2475</v>
      </c>
      <c r="N53" s="2" t="s">
        <v>1803</v>
      </c>
      <c r="O53" s="2" t="s">
        <v>2508</v>
      </c>
      <c r="P53" s="2" t="s">
        <v>2045</v>
      </c>
      <c r="Q53" s="66" t="s">
        <v>2046</v>
      </c>
      <c r="R53" s="2" t="s">
        <v>1804</v>
      </c>
      <c r="S53" s="27" t="str">
        <f t="shared" ca="1" si="0"/>
        <v>تم الاصلاح</v>
      </c>
    </row>
    <row r="54" spans="1:19" ht="27.75" customHeight="1" thickTop="1" thickBot="1" x14ac:dyDescent="0.35">
      <c r="A54" s="8">
        <v>1106700010003</v>
      </c>
      <c r="B54" s="7" t="s">
        <v>102</v>
      </c>
      <c r="C54" s="7" t="s">
        <v>666</v>
      </c>
      <c r="D54" s="7">
        <v>1988</v>
      </c>
      <c r="E54" s="7" t="s">
        <v>19</v>
      </c>
      <c r="F54" s="7" t="s">
        <v>104</v>
      </c>
      <c r="G54" s="8">
        <v>33208955346001</v>
      </c>
      <c r="H54" s="7" t="s">
        <v>263</v>
      </c>
      <c r="I54" s="7" t="s">
        <v>632</v>
      </c>
      <c r="J54" s="2" t="s">
        <v>1544</v>
      </c>
      <c r="K54" s="2" t="s">
        <v>1548</v>
      </c>
      <c r="L54" s="2" t="s">
        <v>1571</v>
      </c>
      <c r="M54" s="2" t="s">
        <v>1609</v>
      </c>
      <c r="N54" s="123" t="s">
        <v>2639</v>
      </c>
      <c r="O54" s="2" t="s">
        <v>2251</v>
      </c>
      <c r="P54" s="2" t="s">
        <v>2045</v>
      </c>
      <c r="Q54" s="65" t="s">
        <v>2048</v>
      </c>
      <c r="R54" s="2" t="s">
        <v>1653</v>
      </c>
      <c r="S54" s="27" t="str">
        <f t="shared" ca="1" si="0"/>
        <v>تم الاصلاح</v>
      </c>
    </row>
    <row r="55" spans="1:19" ht="27.75" customHeight="1" thickTop="1" thickBot="1" x14ac:dyDescent="0.35">
      <c r="A55" s="8">
        <v>1108700020001</v>
      </c>
      <c r="B55" s="7" t="s">
        <v>683</v>
      </c>
      <c r="C55" s="7" t="s">
        <v>1373</v>
      </c>
      <c r="D55" s="7">
        <v>2015</v>
      </c>
      <c r="E55" s="7" t="s">
        <v>19</v>
      </c>
      <c r="F55" s="7" t="s">
        <v>358</v>
      </c>
      <c r="G55" s="8" t="s">
        <v>1374</v>
      </c>
      <c r="H55" s="7" t="s">
        <v>263</v>
      </c>
      <c r="I55" s="7" t="s">
        <v>1225</v>
      </c>
      <c r="J55" s="2" t="s">
        <v>1544</v>
      </c>
      <c r="K55" s="11" t="s">
        <v>1912</v>
      </c>
      <c r="L55" s="2"/>
      <c r="M55" s="2"/>
      <c r="N55" s="2"/>
      <c r="O55" s="2" t="s">
        <v>2365</v>
      </c>
      <c r="P55" s="2" t="s">
        <v>2053</v>
      </c>
      <c r="Q55" s="66"/>
      <c r="R55" s="2"/>
      <c r="S55" s="27" t="str">
        <f t="shared" ca="1" si="0"/>
        <v>تم الاصلاح</v>
      </c>
    </row>
    <row r="56" spans="1:19" ht="27.75" customHeight="1" thickTop="1" thickBot="1" x14ac:dyDescent="0.35">
      <c r="A56" s="8">
        <v>1204700020009</v>
      </c>
      <c r="B56" s="7" t="s">
        <v>29</v>
      </c>
      <c r="C56" s="7" t="s">
        <v>1185</v>
      </c>
      <c r="D56" s="7">
        <v>2016</v>
      </c>
      <c r="E56" s="7" t="s">
        <v>19</v>
      </c>
      <c r="F56" s="7" t="s">
        <v>261</v>
      </c>
      <c r="G56" s="8" t="s">
        <v>1186</v>
      </c>
      <c r="H56" s="7" t="s">
        <v>945</v>
      </c>
      <c r="I56" s="7" t="s">
        <v>1178</v>
      </c>
      <c r="J56" s="2" t="s">
        <v>1477</v>
      </c>
      <c r="K56" s="2" t="s">
        <v>1548</v>
      </c>
      <c r="L56" s="2" t="s">
        <v>1564</v>
      </c>
      <c r="M56" s="2" t="s">
        <v>1777</v>
      </c>
      <c r="N56" s="2" t="s">
        <v>1778</v>
      </c>
      <c r="O56" s="65"/>
      <c r="P56" s="2" t="s">
        <v>1477</v>
      </c>
      <c r="Q56" s="65" t="s">
        <v>1999</v>
      </c>
      <c r="R56" s="2"/>
      <c r="S56" s="27" t="e">
        <f t="shared" ca="1" si="0"/>
        <v>#VALUE!</v>
      </c>
    </row>
    <row r="57" spans="1:19" ht="27.75" customHeight="1" thickTop="1" thickBot="1" x14ac:dyDescent="0.35">
      <c r="A57" s="8">
        <v>1105700010002</v>
      </c>
      <c r="B57" s="7" t="s">
        <v>293</v>
      </c>
      <c r="C57" s="7" t="s">
        <v>490</v>
      </c>
      <c r="D57" s="7">
        <v>2008</v>
      </c>
      <c r="E57" s="7" t="s">
        <v>19</v>
      </c>
      <c r="F57" s="7" t="s">
        <v>42</v>
      </c>
      <c r="G57" s="8" t="s">
        <v>491</v>
      </c>
      <c r="H57" s="7" t="s">
        <v>263</v>
      </c>
      <c r="I57" s="7" t="s">
        <v>485</v>
      </c>
      <c r="J57" s="2" t="s">
        <v>1518</v>
      </c>
      <c r="K57" s="2" t="s">
        <v>1548</v>
      </c>
      <c r="L57" s="2" t="s">
        <v>1564</v>
      </c>
      <c r="M57" s="2" t="s">
        <v>1822</v>
      </c>
      <c r="N57" s="10" t="s">
        <v>1823</v>
      </c>
      <c r="O57" s="66"/>
      <c r="P57" s="2" t="s">
        <v>1518</v>
      </c>
      <c r="Q57" s="66" t="s">
        <v>1987</v>
      </c>
      <c r="R57" s="2"/>
      <c r="S57" s="27" t="e">
        <f t="shared" ca="1" si="0"/>
        <v>#VALUE!</v>
      </c>
    </row>
    <row r="58" spans="1:19" ht="27.75" customHeight="1" thickTop="1" thickBot="1" x14ac:dyDescent="0.35">
      <c r="A58" s="8">
        <v>1106700020003</v>
      </c>
      <c r="B58" s="7" t="s">
        <v>54</v>
      </c>
      <c r="C58" s="7" t="s">
        <v>1444</v>
      </c>
      <c r="D58" s="7">
        <v>2011</v>
      </c>
      <c r="E58" s="7" t="s">
        <v>19</v>
      </c>
      <c r="F58" s="7" t="s">
        <v>56</v>
      </c>
      <c r="G58" s="8" t="s">
        <v>679</v>
      </c>
      <c r="H58" s="7" t="s">
        <v>263</v>
      </c>
      <c r="I58" s="7" t="s">
        <v>632</v>
      </c>
      <c r="J58" s="2" t="s">
        <v>1544</v>
      </c>
      <c r="K58" s="11" t="s">
        <v>1912</v>
      </c>
      <c r="L58" s="2" t="s">
        <v>1565</v>
      </c>
      <c r="M58" s="2" t="s">
        <v>2525</v>
      </c>
      <c r="N58" s="2" t="s">
        <v>2526</v>
      </c>
      <c r="O58" s="2" t="s">
        <v>2630</v>
      </c>
      <c r="P58" s="2" t="s">
        <v>2053</v>
      </c>
      <c r="Q58" s="65"/>
      <c r="R58" s="2"/>
      <c r="S58" s="27" t="str">
        <f t="shared" ca="1" si="0"/>
        <v>تم الاصلاح</v>
      </c>
    </row>
    <row r="59" spans="1:19" ht="27.75" customHeight="1" thickTop="1" thickBot="1" x14ac:dyDescent="0.35">
      <c r="A59" s="8">
        <v>1106700020003</v>
      </c>
      <c r="B59" s="7" t="s">
        <v>54</v>
      </c>
      <c r="C59" s="7" t="s">
        <v>885</v>
      </c>
      <c r="D59" s="7">
        <v>2014</v>
      </c>
      <c r="E59" s="7" t="s">
        <v>19</v>
      </c>
      <c r="F59" s="7" t="s">
        <v>56</v>
      </c>
      <c r="G59" s="8" t="s">
        <v>886</v>
      </c>
      <c r="H59" s="7" t="s">
        <v>35</v>
      </c>
      <c r="I59" s="7" t="s">
        <v>881</v>
      </c>
      <c r="J59" s="2" t="s">
        <v>1498</v>
      </c>
      <c r="K59" s="11" t="s">
        <v>1912</v>
      </c>
      <c r="L59" s="2" t="s">
        <v>1571</v>
      </c>
      <c r="M59" s="2" t="s">
        <v>2640</v>
      </c>
      <c r="N59" s="2" t="s">
        <v>2639</v>
      </c>
      <c r="O59" s="2" t="s">
        <v>2692</v>
      </c>
      <c r="P59" s="2" t="s">
        <v>2024</v>
      </c>
      <c r="Q59" s="66" t="s">
        <v>2025</v>
      </c>
      <c r="R59" s="2"/>
      <c r="S59" s="27" t="str">
        <f t="shared" ca="1" si="0"/>
        <v>تم الاصلاح</v>
      </c>
    </row>
    <row r="60" spans="1:19" ht="27.75" customHeight="1" thickTop="1" thickBot="1" x14ac:dyDescent="0.35">
      <c r="A60" s="8">
        <v>1106700020003</v>
      </c>
      <c r="B60" s="7" t="s">
        <v>54</v>
      </c>
      <c r="C60" s="7" t="s">
        <v>201</v>
      </c>
      <c r="D60" s="7">
        <v>2013</v>
      </c>
      <c r="E60" s="7" t="s">
        <v>19</v>
      </c>
      <c r="F60" s="7" t="s">
        <v>56</v>
      </c>
      <c r="G60" s="8" t="s">
        <v>202</v>
      </c>
      <c r="H60" s="7" t="s">
        <v>35</v>
      </c>
      <c r="I60" s="7" t="s">
        <v>198</v>
      </c>
      <c r="J60" s="2" t="s">
        <v>1531</v>
      </c>
      <c r="K60" s="11" t="s">
        <v>1912</v>
      </c>
      <c r="L60" s="2" t="s">
        <v>1571</v>
      </c>
      <c r="M60" s="2" t="s">
        <v>2394</v>
      </c>
      <c r="N60" s="2" t="s">
        <v>2395</v>
      </c>
      <c r="O60" s="2" t="s">
        <v>2625</v>
      </c>
      <c r="P60" s="2" t="s">
        <v>1531</v>
      </c>
      <c r="Q60" s="65" t="s">
        <v>2019</v>
      </c>
      <c r="R60" s="2"/>
      <c r="S60" s="27" t="str">
        <f t="shared" ca="1" si="0"/>
        <v>تم الاصلاح</v>
      </c>
    </row>
    <row r="61" spans="1:19" ht="27.75" customHeight="1" thickTop="1" thickBot="1" x14ac:dyDescent="0.35">
      <c r="A61" s="8">
        <v>1106700010002</v>
      </c>
      <c r="B61" s="7" t="s">
        <v>158</v>
      </c>
      <c r="C61" s="7" t="s">
        <v>159</v>
      </c>
      <c r="D61" s="7">
        <v>1992</v>
      </c>
      <c r="E61" s="7" t="s">
        <v>19</v>
      </c>
      <c r="F61" s="7" t="s">
        <v>104</v>
      </c>
      <c r="G61" s="8" t="s">
        <v>160</v>
      </c>
      <c r="H61" s="7" t="s">
        <v>35</v>
      </c>
      <c r="I61" s="7" t="s">
        <v>153</v>
      </c>
      <c r="J61" s="2" t="s">
        <v>1537</v>
      </c>
      <c r="K61" s="11" t="s">
        <v>1912</v>
      </c>
      <c r="L61" s="2" t="s">
        <v>1564</v>
      </c>
      <c r="M61" s="2" t="s">
        <v>1842</v>
      </c>
      <c r="N61" s="2" t="s">
        <v>2235</v>
      </c>
      <c r="O61" s="2" t="s">
        <v>2528</v>
      </c>
      <c r="P61" s="2" t="s">
        <v>1537</v>
      </c>
      <c r="Q61" s="66" t="s">
        <v>2043</v>
      </c>
      <c r="R61" s="2"/>
      <c r="S61" s="27" t="str">
        <f t="shared" ca="1" si="0"/>
        <v>تم الاصلاح</v>
      </c>
    </row>
    <row r="62" spans="1:19" ht="27.75" customHeight="1" thickTop="1" thickBot="1" x14ac:dyDescent="0.35">
      <c r="A62" s="8">
        <v>1106700010003</v>
      </c>
      <c r="B62" s="7" t="s">
        <v>102</v>
      </c>
      <c r="C62" s="7" t="s">
        <v>1452</v>
      </c>
      <c r="D62" s="7">
        <v>1992</v>
      </c>
      <c r="E62" s="7" t="s">
        <v>19</v>
      </c>
      <c r="F62" s="7" t="s">
        <v>104</v>
      </c>
      <c r="G62" s="8" t="s">
        <v>326</v>
      </c>
      <c r="H62" s="7" t="s">
        <v>263</v>
      </c>
      <c r="I62" s="7" t="s">
        <v>270</v>
      </c>
      <c r="J62" s="2" t="s">
        <v>1487</v>
      </c>
      <c r="K62" s="11" t="s">
        <v>1912</v>
      </c>
      <c r="L62" s="2"/>
      <c r="M62" s="2" t="s">
        <v>2181</v>
      </c>
      <c r="N62" s="2" t="s">
        <v>2177</v>
      </c>
      <c r="O62" s="2" t="s">
        <v>2413</v>
      </c>
      <c r="P62" s="2" t="s">
        <v>2034</v>
      </c>
      <c r="Q62" s="65" t="s">
        <v>2036</v>
      </c>
      <c r="R62" s="2"/>
      <c r="S62" s="27" t="str">
        <f t="shared" ca="1" si="0"/>
        <v>تم الاصلاح</v>
      </c>
    </row>
    <row r="63" spans="1:19" ht="27.75" customHeight="1" thickTop="1" thickBot="1" x14ac:dyDescent="0.35">
      <c r="A63" s="8">
        <v>1106700020003</v>
      </c>
      <c r="B63" s="7" t="s">
        <v>54</v>
      </c>
      <c r="C63" s="7" t="s">
        <v>146</v>
      </c>
      <c r="D63" s="7">
        <v>2013</v>
      </c>
      <c r="E63" s="7" t="s">
        <v>19</v>
      </c>
      <c r="F63" s="7" t="s">
        <v>56</v>
      </c>
      <c r="G63" s="8" t="s">
        <v>147</v>
      </c>
      <c r="H63" s="7" t="s">
        <v>35</v>
      </c>
      <c r="I63" s="7" t="s">
        <v>143</v>
      </c>
      <c r="J63" s="2" t="s">
        <v>1537</v>
      </c>
      <c r="K63" s="2" t="s">
        <v>1548</v>
      </c>
      <c r="L63" s="2" t="s">
        <v>1564</v>
      </c>
      <c r="M63" s="2" t="s">
        <v>1887</v>
      </c>
      <c r="N63" s="9" t="s">
        <v>2517</v>
      </c>
      <c r="O63" s="2" t="s">
        <v>2091</v>
      </c>
      <c r="P63" s="2" t="s">
        <v>1537</v>
      </c>
      <c r="Q63" s="66" t="s">
        <v>2041</v>
      </c>
      <c r="R63" s="2"/>
      <c r="S63" s="27" t="str">
        <f t="shared" ca="1" si="0"/>
        <v>تم الاصلاح</v>
      </c>
    </row>
    <row r="64" spans="1:19" ht="27.75" customHeight="1" thickTop="1" thickBot="1" x14ac:dyDescent="0.35">
      <c r="A64" s="8">
        <v>1102700010004</v>
      </c>
      <c r="B64" s="7" t="s">
        <v>64</v>
      </c>
      <c r="C64" s="7" t="s">
        <v>235</v>
      </c>
      <c r="D64" s="7">
        <v>2006</v>
      </c>
      <c r="E64" s="7" t="s">
        <v>19</v>
      </c>
      <c r="F64" s="7" t="s">
        <v>236</v>
      </c>
      <c r="G64" s="8" t="s">
        <v>237</v>
      </c>
      <c r="H64" s="7" t="s">
        <v>35</v>
      </c>
      <c r="I64" s="7" t="s">
        <v>229</v>
      </c>
      <c r="J64" s="2" t="s">
        <v>1662</v>
      </c>
      <c r="K64" s="2" t="s">
        <v>1548</v>
      </c>
      <c r="L64" s="2" t="s">
        <v>1564</v>
      </c>
      <c r="M64" s="2" t="s">
        <v>1874</v>
      </c>
      <c r="N64" s="10" t="s">
        <v>1875</v>
      </c>
      <c r="O64" s="65"/>
      <c r="P64" s="2" t="s">
        <v>2051</v>
      </c>
      <c r="Q64" s="65" t="s">
        <v>2052</v>
      </c>
      <c r="R64" s="2" t="s">
        <v>1876</v>
      </c>
      <c r="S64" s="27" t="e">
        <f t="shared" ca="1" si="0"/>
        <v>#VALUE!</v>
      </c>
    </row>
    <row r="65" spans="1:19" ht="27.75" customHeight="1" thickTop="1" thickBot="1" x14ac:dyDescent="0.35">
      <c r="A65" s="8">
        <v>1204700020003</v>
      </c>
      <c r="B65" s="7" t="s">
        <v>13</v>
      </c>
      <c r="C65" s="7" t="s">
        <v>799</v>
      </c>
      <c r="D65" s="7">
        <v>2009</v>
      </c>
      <c r="E65" s="7" t="s">
        <v>19</v>
      </c>
      <c r="F65" s="7" t="s">
        <v>10</v>
      </c>
      <c r="G65" s="8" t="s">
        <v>800</v>
      </c>
      <c r="H65" s="7" t="s">
        <v>35</v>
      </c>
      <c r="I65" s="7" t="s">
        <v>792</v>
      </c>
      <c r="J65" s="2" t="s">
        <v>1525</v>
      </c>
      <c r="K65" s="11" t="s">
        <v>1912</v>
      </c>
      <c r="L65" s="2"/>
      <c r="M65" s="2"/>
      <c r="N65" s="2"/>
      <c r="O65" s="2" t="s">
        <v>2224</v>
      </c>
      <c r="P65" s="2" t="s">
        <v>1525</v>
      </c>
      <c r="Q65" s="66" t="s">
        <v>2017</v>
      </c>
      <c r="R65" s="2"/>
      <c r="S65" s="27" t="str">
        <f t="shared" ca="1" si="0"/>
        <v>تم الاصلاح</v>
      </c>
    </row>
    <row r="66" spans="1:19" ht="27.75" customHeight="1" thickTop="1" thickBot="1" x14ac:dyDescent="0.35">
      <c r="A66" s="8">
        <v>1106700020010</v>
      </c>
      <c r="B66" s="7" t="s">
        <v>210</v>
      </c>
      <c r="C66" s="7" t="s">
        <v>254</v>
      </c>
      <c r="D66" s="7">
        <v>2007</v>
      </c>
      <c r="E66" s="7" t="s">
        <v>19</v>
      </c>
      <c r="F66" s="7" t="s">
        <v>104</v>
      </c>
      <c r="G66" s="8" t="s">
        <v>255</v>
      </c>
      <c r="H66" s="7" t="s">
        <v>0</v>
      </c>
      <c r="I66" s="7" t="s">
        <v>240</v>
      </c>
      <c r="J66" s="2" t="s">
        <v>1543</v>
      </c>
      <c r="K66" s="2" t="s">
        <v>1548</v>
      </c>
      <c r="L66" s="2" t="s">
        <v>1564</v>
      </c>
      <c r="M66" s="2" t="s">
        <v>2532</v>
      </c>
      <c r="N66" s="9" t="s">
        <v>2531</v>
      </c>
      <c r="O66" s="2" t="s">
        <v>2511</v>
      </c>
      <c r="P66" s="2" t="s">
        <v>2051</v>
      </c>
      <c r="Q66" s="65"/>
      <c r="R66" s="2"/>
      <c r="S66" s="27" t="str">
        <f t="shared" ca="1" si="0"/>
        <v>تم الاصلاح</v>
      </c>
    </row>
    <row r="67" spans="1:19" ht="27.75" customHeight="1" thickTop="1" thickBot="1" x14ac:dyDescent="0.35">
      <c r="A67" s="8">
        <v>1204700020003</v>
      </c>
      <c r="B67" s="7" t="s">
        <v>13</v>
      </c>
      <c r="C67" s="7" t="s">
        <v>543</v>
      </c>
      <c r="D67" s="7">
        <v>1998</v>
      </c>
      <c r="E67" s="7" t="s">
        <v>4</v>
      </c>
      <c r="F67" s="7" t="s">
        <v>10</v>
      </c>
      <c r="G67" s="8" t="s">
        <v>544</v>
      </c>
      <c r="H67" s="7" t="s">
        <v>263</v>
      </c>
      <c r="I67" s="7" t="s">
        <v>534</v>
      </c>
      <c r="J67" s="2" t="s">
        <v>1531</v>
      </c>
      <c r="K67" s="9" t="s">
        <v>1552</v>
      </c>
      <c r="L67" s="2" t="s">
        <v>1571</v>
      </c>
      <c r="M67" s="2" t="s">
        <v>1905</v>
      </c>
      <c r="N67" s="10" t="s">
        <v>1877</v>
      </c>
      <c r="O67" s="66"/>
      <c r="P67" s="2" t="s">
        <v>1531</v>
      </c>
      <c r="Q67" s="66" t="s">
        <v>2019</v>
      </c>
      <c r="R67" s="2"/>
      <c r="S67" s="27" t="e">
        <f t="shared" ca="1" si="0"/>
        <v>#VALUE!</v>
      </c>
    </row>
    <row r="68" spans="1:19" ht="27.75" customHeight="1" thickTop="1" thickBot="1" x14ac:dyDescent="0.35">
      <c r="A68" s="8">
        <v>1204700020009</v>
      </c>
      <c r="B68" s="7" t="s">
        <v>29</v>
      </c>
      <c r="C68" s="7" t="s">
        <v>1136</v>
      </c>
      <c r="D68" s="7">
        <v>2016</v>
      </c>
      <c r="E68" s="7" t="s">
        <v>19</v>
      </c>
      <c r="F68" s="7" t="s">
        <v>261</v>
      </c>
      <c r="G68" s="8" t="s">
        <v>1137</v>
      </c>
      <c r="H68" s="7" t="s">
        <v>945</v>
      </c>
      <c r="I68" s="7" t="s">
        <v>1125</v>
      </c>
      <c r="J68" s="2" t="s">
        <v>1549</v>
      </c>
      <c r="K68" s="2" t="s">
        <v>1548</v>
      </c>
      <c r="L68" s="2" t="s">
        <v>1571</v>
      </c>
      <c r="M68" s="2" t="s">
        <v>1901</v>
      </c>
      <c r="N68" s="10" t="s">
        <v>1902</v>
      </c>
      <c r="O68" s="65"/>
      <c r="P68" s="2" t="s">
        <v>1513</v>
      </c>
      <c r="Q68" s="65" t="s">
        <v>2029</v>
      </c>
      <c r="R68" s="2"/>
      <c r="S68" s="27" t="e">
        <f t="shared" ca="1" si="0"/>
        <v>#VALUE!</v>
      </c>
    </row>
    <row r="69" spans="1:19" ht="27.75" customHeight="1" thickTop="1" thickBot="1" x14ac:dyDescent="0.35">
      <c r="A69" s="8">
        <v>1204700010003</v>
      </c>
      <c r="B69" s="7" t="s">
        <v>96</v>
      </c>
      <c r="C69" s="7" t="s">
        <v>610</v>
      </c>
      <c r="D69" s="7">
        <v>2009</v>
      </c>
      <c r="E69" s="7" t="s">
        <v>19</v>
      </c>
      <c r="F69" s="7" t="s">
        <v>10</v>
      </c>
      <c r="G69" s="8" t="s">
        <v>611</v>
      </c>
      <c r="H69" s="7" t="s">
        <v>263</v>
      </c>
      <c r="I69" s="7" t="s">
        <v>602</v>
      </c>
      <c r="J69" s="2" t="s">
        <v>1498</v>
      </c>
      <c r="K69" s="11" t="s">
        <v>1912</v>
      </c>
      <c r="L69" s="2"/>
      <c r="M69" s="2"/>
      <c r="N69" s="2"/>
      <c r="O69" s="66" t="s">
        <v>2154</v>
      </c>
      <c r="P69" s="2" t="s">
        <v>2024</v>
      </c>
      <c r="Q69" s="66" t="s">
        <v>2025</v>
      </c>
      <c r="R69" s="2"/>
      <c r="S69" s="27" t="str">
        <f t="shared" ca="1" si="0"/>
        <v>تم الاصلاح</v>
      </c>
    </row>
    <row r="70" spans="1:19" ht="27.75" customHeight="1" thickTop="1" thickBot="1" x14ac:dyDescent="0.35">
      <c r="A70" s="8">
        <v>1106700020003</v>
      </c>
      <c r="B70" s="7" t="s">
        <v>54</v>
      </c>
      <c r="C70" s="7" t="s">
        <v>151</v>
      </c>
      <c r="D70" s="7">
        <v>2015</v>
      </c>
      <c r="E70" s="7" t="s">
        <v>19</v>
      </c>
      <c r="F70" s="7" t="s">
        <v>56</v>
      </c>
      <c r="G70" s="8" t="s">
        <v>152</v>
      </c>
      <c r="H70" s="7" t="s">
        <v>35</v>
      </c>
      <c r="I70" s="7" t="s">
        <v>148</v>
      </c>
      <c r="J70" s="2" t="s">
        <v>1537</v>
      </c>
      <c r="K70" s="2" t="s">
        <v>1548</v>
      </c>
      <c r="L70" s="2" t="s">
        <v>1559</v>
      </c>
      <c r="M70" s="2" t="s">
        <v>1559</v>
      </c>
      <c r="N70" s="10" t="s">
        <v>1855</v>
      </c>
      <c r="O70" s="65"/>
      <c r="P70" s="2" t="s">
        <v>1537</v>
      </c>
      <c r="Q70" s="65" t="s">
        <v>2040</v>
      </c>
      <c r="R70" s="2" t="s">
        <v>1856</v>
      </c>
      <c r="S70" s="27" t="e">
        <f t="shared" ca="1" si="0"/>
        <v>#VALUE!</v>
      </c>
    </row>
    <row r="71" spans="1:19" ht="27.75" customHeight="1" thickTop="1" thickBot="1" x14ac:dyDescent="0.35">
      <c r="A71" s="8">
        <v>1104700020004</v>
      </c>
      <c r="B71" s="7" t="s">
        <v>584</v>
      </c>
      <c r="C71" s="7" t="s">
        <v>585</v>
      </c>
      <c r="D71" s="7">
        <v>2008</v>
      </c>
      <c r="E71" s="7" t="s">
        <v>19</v>
      </c>
      <c r="F71" s="7" t="s">
        <v>236</v>
      </c>
      <c r="G71" s="8" t="s">
        <v>586</v>
      </c>
      <c r="H71" s="7" t="s">
        <v>263</v>
      </c>
      <c r="I71" s="7" t="s">
        <v>583</v>
      </c>
      <c r="J71" s="2" t="s">
        <v>1544</v>
      </c>
      <c r="K71" s="9" t="s">
        <v>1552</v>
      </c>
      <c r="L71" s="2" t="s">
        <v>1564</v>
      </c>
      <c r="M71" s="2" t="s">
        <v>1738</v>
      </c>
      <c r="N71" s="10" t="s">
        <v>1739</v>
      </c>
      <c r="O71" s="66"/>
      <c r="P71" s="2" t="s">
        <v>1513</v>
      </c>
      <c r="Q71" s="66" t="s">
        <v>2029</v>
      </c>
      <c r="R71" s="2" t="s">
        <v>1649</v>
      </c>
      <c r="S71" s="27" t="e">
        <f t="shared" ca="1" si="0"/>
        <v>#VALUE!</v>
      </c>
    </row>
    <row r="72" spans="1:19" ht="27.75" customHeight="1" thickTop="1" thickBot="1" x14ac:dyDescent="0.35">
      <c r="A72" s="8">
        <v>1102700020004</v>
      </c>
      <c r="B72" s="7" t="s">
        <v>136</v>
      </c>
      <c r="C72" s="7" t="s">
        <v>837</v>
      </c>
      <c r="D72" s="7">
        <v>2015</v>
      </c>
      <c r="E72" s="7" t="s">
        <v>19</v>
      </c>
      <c r="F72" s="7" t="s">
        <v>66</v>
      </c>
      <c r="G72" s="8" t="s">
        <v>838</v>
      </c>
      <c r="H72" s="7" t="s">
        <v>35</v>
      </c>
      <c r="I72" s="7" t="s">
        <v>834</v>
      </c>
      <c r="J72" s="2" t="s">
        <v>1493</v>
      </c>
      <c r="K72" s="11" t="s">
        <v>1912</v>
      </c>
      <c r="L72" s="2" t="s">
        <v>1571</v>
      </c>
      <c r="M72" s="2" t="s">
        <v>2394</v>
      </c>
      <c r="N72" s="2" t="s">
        <v>2672</v>
      </c>
      <c r="O72" s="2" t="s">
        <v>2677</v>
      </c>
      <c r="P72" s="2" t="s">
        <v>2045</v>
      </c>
      <c r="Q72" s="65" t="s">
        <v>2046</v>
      </c>
      <c r="R72" s="2"/>
      <c r="S72" s="27" t="str">
        <f t="shared" ca="1" si="0"/>
        <v>تم الاصلاح</v>
      </c>
    </row>
    <row r="73" spans="1:19" ht="27.75" customHeight="1" thickTop="1" thickBot="1" x14ac:dyDescent="0.35">
      <c r="A73" s="8">
        <v>1107700010001</v>
      </c>
      <c r="B73" s="7" t="s">
        <v>349</v>
      </c>
      <c r="C73" s="7" t="s">
        <v>350</v>
      </c>
      <c r="D73" s="7">
        <v>2006</v>
      </c>
      <c r="E73" s="7" t="s">
        <v>19</v>
      </c>
      <c r="F73" s="7" t="s">
        <v>351</v>
      </c>
      <c r="G73" s="8" t="s">
        <v>352</v>
      </c>
      <c r="H73" s="7" t="s">
        <v>263</v>
      </c>
      <c r="I73" s="7" t="s">
        <v>270</v>
      </c>
      <c r="J73" s="2" t="s">
        <v>1544</v>
      </c>
      <c r="K73" s="2" t="s">
        <v>1548</v>
      </c>
      <c r="L73" s="2" t="s">
        <v>1571</v>
      </c>
      <c r="M73" s="2" t="s">
        <v>2409</v>
      </c>
      <c r="N73" s="9" t="s">
        <v>2410</v>
      </c>
      <c r="O73" s="2"/>
      <c r="P73" s="2" t="s">
        <v>2053</v>
      </c>
      <c r="Q73" s="66"/>
      <c r="R73" s="2"/>
      <c r="S73" s="27" t="e">
        <f t="shared" ca="1" si="0"/>
        <v>#VALUE!</v>
      </c>
    </row>
    <row r="74" spans="1:19" ht="27.75" customHeight="1" thickTop="1" thickBot="1" x14ac:dyDescent="0.35">
      <c r="A74" s="8">
        <v>1104700020004</v>
      </c>
      <c r="B74" s="7" t="s">
        <v>584</v>
      </c>
      <c r="C74" s="7" t="s">
        <v>1292</v>
      </c>
      <c r="D74" s="7">
        <v>2008</v>
      </c>
      <c r="E74" s="7" t="s">
        <v>19</v>
      </c>
      <c r="F74" s="7" t="s">
        <v>236</v>
      </c>
      <c r="G74" s="8" t="s">
        <v>1293</v>
      </c>
      <c r="H74" s="7" t="s">
        <v>263</v>
      </c>
      <c r="I74" s="7" t="s">
        <v>1225</v>
      </c>
      <c r="J74" s="2" t="s">
        <v>1544</v>
      </c>
      <c r="K74" s="2" t="s">
        <v>1548</v>
      </c>
      <c r="L74" s="2" t="s">
        <v>1565</v>
      </c>
      <c r="M74" s="2" t="s">
        <v>1575</v>
      </c>
      <c r="N74" s="10" t="s">
        <v>1576</v>
      </c>
      <c r="O74" s="65"/>
      <c r="P74" s="2" t="s">
        <v>2053</v>
      </c>
      <c r="Q74" s="65"/>
      <c r="R74" s="2"/>
      <c r="S74" s="27" t="e">
        <f t="shared" ca="1" si="0"/>
        <v>#VALUE!</v>
      </c>
    </row>
    <row r="75" spans="1:19" ht="27.75" customHeight="1" thickTop="1" thickBot="1" x14ac:dyDescent="0.35">
      <c r="A75" s="8">
        <v>1101700010006</v>
      </c>
      <c r="B75" s="7" t="s">
        <v>1551</v>
      </c>
      <c r="C75" s="7" t="s">
        <v>807</v>
      </c>
      <c r="D75" s="7">
        <v>2014</v>
      </c>
      <c r="E75" s="7" t="s">
        <v>19</v>
      </c>
      <c r="F75" s="7" t="s">
        <v>52</v>
      </c>
      <c r="G75" s="8" t="s">
        <v>808</v>
      </c>
      <c r="H75" s="7" t="s">
        <v>35</v>
      </c>
      <c r="I75" s="7" t="s">
        <v>806</v>
      </c>
      <c r="J75" s="2" t="s">
        <v>1482</v>
      </c>
      <c r="K75" s="2" t="s">
        <v>1548</v>
      </c>
      <c r="L75" s="2" t="s">
        <v>1559</v>
      </c>
      <c r="M75" s="2" t="s">
        <v>1559</v>
      </c>
      <c r="N75" s="10" t="s">
        <v>1834</v>
      </c>
      <c r="O75" s="65"/>
      <c r="P75" s="2" t="s">
        <v>2009</v>
      </c>
      <c r="Q75" s="65" t="s">
        <v>2010</v>
      </c>
      <c r="R75" s="2"/>
      <c r="S75" s="27" t="e">
        <f t="shared" ref="S75:S138" ca="1" si="1">IF(
   OR(K75="تم الاصلاح", O75&lt;&gt;""),
   "تم الاصلاح",
   IF(N75="", "", TODAY()-N75)
)</f>
        <v>#VALUE!</v>
      </c>
    </row>
    <row r="76" spans="1:19" ht="27.75" customHeight="1" thickTop="1" thickBot="1" x14ac:dyDescent="0.35">
      <c r="A76" s="8">
        <v>1104700020004</v>
      </c>
      <c r="B76" s="7" t="s">
        <v>584</v>
      </c>
      <c r="C76" s="7" t="s">
        <v>1290</v>
      </c>
      <c r="D76" s="7">
        <v>2008</v>
      </c>
      <c r="E76" s="7" t="s">
        <v>19</v>
      </c>
      <c r="F76" s="7" t="s">
        <v>236</v>
      </c>
      <c r="G76" s="8" t="s">
        <v>1291</v>
      </c>
      <c r="H76" s="7" t="s">
        <v>263</v>
      </c>
      <c r="I76" s="7" t="s">
        <v>1225</v>
      </c>
      <c r="J76" s="2" t="s">
        <v>1544</v>
      </c>
      <c r="K76" s="2" t="s">
        <v>1548</v>
      </c>
      <c r="L76" s="2" t="s">
        <v>1613</v>
      </c>
      <c r="M76" s="2" t="s">
        <v>1630</v>
      </c>
      <c r="N76" s="2" t="s">
        <v>1631</v>
      </c>
      <c r="O76" s="66"/>
      <c r="P76" s="2" t="s">
        <v>2053</v>
      </c>
      <c r="Q76" s="66"/>
      <c r="R76" s="2"/>
      <c r="S76" s="27" t="e">
        <f t="shared" ca="1" si="1"/>
        <v>#VALUE!</v>
      </c>
    </row>
    <row r="77" spans="1:19" ht="27.75" customHeight="1" thickTop="1" thickBot="1" x14ac:dyDescent="0.35">
      <c r="A77" s="8">
        <v>1101700010006</v>
      </c>
      <c r="B77" s="7" t="s">
        <v>1551</v>
      </c>
      <c r="C77" s="7" t="s">
        <v>1243</v>
      </c>
      <c r="D77" s="7">
        <v>2014</v>
      </c>
      <c r="E77" s="7" t="s">
        <v>19</v>
      </c>
      <c r="F77" s="7" t="s">
        <v>52</v>
      </c>
      <c r="G77" s="8" t="s">
        <v>1244</v>
      </c>
      <c r="H77" s="7" t="s">
        <v>263</v>
      </c>
      <c r="I77" s="7" t="s">
        <v>1225</v>
      </c>
      <c r="J77" s="2" t="s">
        <v>1544</v>
      </c>
      <c r="K77" s="11" t="s">
        <v>1912</v>
      </c>
      <c r="L77" s="2" t="s">
        <v>1571</v>
      </c>
      <c r="M77" s="2" t="s">
        <v>1632</v>
      </c>
      <c r="N77" s="2" t="s">
        <v>1631</v>
      </c>
      <c r="O77" s="2" t="s">
        <v>2692</v>
      </c>
      <c r="P77" s="2" t="s">
        <v>2053</v>
      </c>
      <c r="Q77" s="65"/>
      <c r="R77" s="2"/>
      <c r="S77" s="27" t="str">
        <f t="shared" ca="1" si="1"/>
        <v>تم الاصلاح</v>
      </c>
    </row>
    <row r="78" spans="1:19" ht="27.75" customHeight="1" thickTop="1" thickBot="1" x14ac:dyDescent="0.35">
      <c r="A78" s="8">
        <v>1106700020010</v>
      </c>
      <c r="B78" s="7" t="s">
        <v>210</v>
      </c>
      <c r="C78" s="7" t="s">
        <v>1366</v>
      </c>
      <c r="D78" s="7">
        <v>2009</v>
      </c>
      <c r="E78" s="7" t="s">
        <v>19</v>
      </c>
      <c r="F78" s="7" t="s">
        <v>52</v>
      </c>
      <c r="G78" s="8" t="s">
        <v>1367</v>
      </c>
      <c r="H78" s="7" t="s">
        <v>263</v>
      </c>
      <c r="I78" s="7" t="s">
        <v>1225</v>
      </c>
      <c r="J78" s="2" t="s">
        <v>1482</v>
      </c>
      <c r="K78" s="2" t="s">
        <v>1548</v>
      </c>
      <c r="L78" s="2" t="s">
        <v>1564</v>
      </c>
      <c r="M78" s="2" t="s">
        <v>2105</v>
      </c>
      <c r="N78" s="9" t="s">
        <v>2413</v>
      </c>
      <c r="O78" s="2" t="s">
        <v>2348</v>
      </c>
      <c r="P78" s="2" t="s">
        <v>2053</v>
      </c>
      <c r="Q78" s="66"/>
      <c r="R78" s="2"/>
      <c r="S78" s="27" t="str">
        <f t="shared" ca="1" si="1"/>
        <v>تم الاصلاح</v>
      </c>
    </row>
    <row r="79" spans="1:19" ht="27.75" customHeight="1" thickTop="1" thickBot="1" x14ac:dyDescent="0.35">
      <c r="A79" s="8">
        <v>1204700010003</v>
      </c>
      <c r="B79" s="7" t="s">
        <v>96</v>
      </c>
      <c r="C79" s="7" t="s">
        <v>539</v>
      </c>
      <c r="D79" s="7">
        <v>2009</v>
      </c>
      <c r="E79" s="7" t="s">
        <v>19</v>
      </c>
      <c r="F79" s="7" t="s">
        <v>10</v>
      </c>
      <c r="G79" s="8" t="s">
        <v>540</v>
      </c>
      <c r="H79" s="7" t="s">
        <v>263</v>
      </c>
      <c r="I79" s="7" t="s">
        <v>534</v>
      </c>
      <c r="J79" s="110" t="s">
        <v>1531</v>
      </c>
      <c r="K79" s="2" t="s">
        <v>1548</v>
      </c>
      <c r="L79" s="2" t="s">
        <v>1571</v>
      </c>
      <c r="M79" s="2" t="s">
        <v>1731</v>
      </c>
      <c r="N79" s="9" t="s">
        <v>2547</v>
      </c>
      <c r="O79" s="2" t="s">
        <v>2114</v>
      </c>
      <c r="P79" s="2" t="s">
        <v>1531</v>
      </c>
      <c r="Q79" s="65" t="s">
        <v>2019</v>
      </c>
      <c r="R79" s="2"/>
      <c r="S79" s="27" t="str">
        <f t="shared" ca="1" si="1"/>
        <v>تم الاصلاح</v>
      </c>
    </row>
    <row r="80" spans="1:19" ht="27.75" customHeight="1" thickTop="1" thickBot="1" x14ac:dyDescent="0.35">
      <c r="A80" s="8">
        <v>1101700010006</v>
      </c>
      <c r="B80" s="7" t="s">
        <v>1551</v>
      </c>
      <c r="C80" s="7" t="s">
        <v>882</v>
      </c>
      <c r="D80" s="7">
        <v>2014</v>
      </c>
      <c r="E80" s="7" t="s">
        <v>19</v>
      </c>
      <c r="F80" s="7" t="s">
        <v>52</v>
      </c>
      <c r="G80" s="8" t="s">
        <v>883</v>
      </c>
      <c r="H80" s="7" t="s">
        <v>35</v>
      </c>
      <c r="I80" s="7" t="s">
        <v>881</v>
      </c>
      <c r="J80" s="2" t="s">
        <v>1498</v>
      </c>
      <c r="K80" s="2" t="s">
        <v>1548</v>
      </c>
      <c r="L80" s="2" t="s">
        <v>1564</v>
      </c>
      <c r="M80" s="2" t="s">
        <v>1850</v>
      </c>
      <c r="N80" s="10" t="s">
        <v>1767</v>
      </c>
      <c r="O80" s="66"/>
      <c r="P80" s="2" t="s">
        <v>2024</v>
      </c>
      <c r="Q80" s="66" t="s">
        <v>2026</v>
      </c>
      <c r="R80" s="2"/>
      <c r="S80" s="27" t="e">
        <f t="shared" ca="1" si="1"/>
        <v>#VALUE!</v>
      </c>
    </row>
    <row r="81" spans="1:19" ht="27.75" customHeight="1" thickTop="1" thickBot="1" x14ac:dyDescent="0.35">
      <c r="A81" s="8">
        <v>1102700020004</v>
      </c>
      <c r="B81" s="7" t="s">
        <v>136</v>
      </c>
      <c r="C81" s="7" t="s">
        <v>823</v>
      </c>
      <c r="D81" s="7">
        <v>2015</v>
      </c>
      <c r="E81" s="7" t="s">
        <v>19</v>
      </c>
      <c r="F81" s="7" t="s">
        <v>66</v>
      </c>
      <c r="G81" s="8" t="s">
        <v>824</v>
      </c>
      <c r="H81" s="7" t="s">
        <v>35</v>
      </c>
      <c r="I81" s="7" t="s">
        <v>820</v>
      </c>
      <c r="J81" s="2" t="s">
        <v>1531</v>
      </c>
      <c r="K81" s="2" t="s">
        <v>1548</v>
      </c>
      <c r="L81" s="2" t="s">
        <v>1564</v>
      </c>
      <c r="M81" s="2" t="s">
        <v>1667</v>
      </c>
      <c r="N81" s="10" t="s">
        <v>1668</v>
      </c>
      <c r="O81" s="65"/>
      <c r="P81" s="2" t="s">
        <v>1531</v>
      </c>
      <c r="Q81" s="65" t="s">
        <v>2022</v>
      </c>
      <c r="R81" s="2" t="s">
        <v>1669</v>
      </c>
      <c r="S81" s="27" t="e">
        <f t="shared" ca="1" si="1"/>
        <v>#VALUE!</v>
      </c>
    </row>
    <row r="82" spans="1:19" ht="27.75" customHeight="1" thickTop="1" thickBot="1" x14ac:dyDescent="0.35">
      <c r="A82" s="8">
        <v>1106700020003</v>
      </c>
      <c r="B82" s="7" t="s">
        <v>54</v>
      </c>
      <c r="C82" s="7" t="s">
        <v>866</v>
      </c>
      <c r="D82" s="7">
        <v>2013</v>
      </c>
      <c r="E82" s="7" t="s">
        <v>19</v>
      </c>
      <c r="F82" s="7" t="s">
        <v>56</v>
      </c>
      <c r="G82" s="8" t="s">
        <v>867</v>
      </c>
      <c r="H82" s="7" t="s">
        <v>35</v>
      </c>
      <c r="I82" s="7" t="s">
        <v>861</v>
      </c>
      <c r="J82" s="2" t="s">
        <v>1471</v>
      </c>
      <c r="K82" s="11" t="s">
        <v>1912</v>
      </c>
      <c r="L82" s="2" t="s">
        <v>1564</v>
      </c>
      <c r="M82" s="2" t="s">
        <v>2397</v>
      </c>
      <c r="N82" s="2" t="s">
        <v>2395</v>
      </c>
      <c r="O82" s="2" t="s">
        <v>2625</v>
      </c>
      <c r="P82" s="2" t="s">
        <v>1471</v>
      </c>
      <c r="Q82" s="66" t="s">
        <v>1997</v>
      </c>
      <c r="R82" s="2"/>
      <c r="S82" s="27" t="str">
        <f t="shared" ca="1" si="1"/>
        <v>تم الاصلاح</v>
      </c>
    </row>
    <row r="83" spans="1:19" ht="27.75" customHeight="1" thickTop="1" thickBot="1" x14ac:dyDescent="0.35">
      <c r="A83" s="8">
        <v>1106700020010</v>
      </c>
      <c r="B83" s="7" t="s">
        <v>210</v>
      </c>
      <c r="C83" s="7" t="s">
        <v>873</v>
      </c>
      <c r="D83" s="7">
        <v>2009</v>
      </c>
      <c r="E83" s="7" t="s">
        <v>19</v>
      </c>
      <c r="F83" s="7" t="s">
        <v>52</v>
      </c>
      <c r="G83" s="8" t="s">
        <v>874</v>
      </c>
      <c r="H83" s="7" t="s">
        <v>35</v>
      </c>
      <c r="I83" s="7" t="s">
        <v>868</v>
      </c>
      <c r="J83" s="2" t="s">
        <v>1513</v>
      </c>
      <c r="K83" s="11" t="s">
        <v>1912</v>
      </c>
      <c r="L83" s="2" t="s">
        <v>1564</v>
      </c>
      <c r="M83" s="2" t="s">
        <v>2481</v>
      </c>
      <c r="N83" s="2" t="s">
        <v>2480</v>
      </c>
      <c r="O83" s="2" t="s">
        <v>2630</v>
      </c>
      <c r="P83" s="2" t="s">
        <v>1513</v>
      </c>
      <c r="Q83" s="65" t="s">
        <v>2029</v>
      </c>
      <c r="R83" s="2"/>
      <c r="S83" s="27" t="str">
        <f t="shared" ca="1" si="1"/>
        <v>تم الاصلاح</v>
      </c>
    </row>
    <row r="84" spans="1:19" ht="27.75" customHeight="1" thickTop="1" thickBot="1" x14ac:dyDescent="0.35">
      <c r="A84" s="8">
        <v>1106700020003</v>
      </c>
      <c r="B84" s="7" t="s">
        <v>54</v>
      </c>
      <c r="C84" s="7" t="s">
        <v>859</v>
      </c>
      <c r="D84" s="7">
        <v>2014</v>
      </c>
      <c r="E84" s="7" t="s">
        <v>19</v>
      </c>
      <c r="F84" s="7" t="s">
        <v>56</v>
      </c>
      <c r="G84" s="8" t="s">
        <v>860</v>
      </c>
      <c r="H84" s="7" t="s">
        <v>35</v>
      </c>
      <c r="I84" s="7" t="s">
        <v>854</v>
      </c>
      <c r="J84" s="2" t="s">
        <v>1513</v>
      </c>
      <c r="K84" s="2" t="s">
        <v>1548</v>
      </c>
      <c r="L84" s="2" t="s">
        <v>1571</v>
      </c>
      <c r="M84" s="2" t="s">
        <v>2462</v>
      </c>
      <c r="N84" s="9" t="s">
        <v>2461</v>
      </c>
      <c r="O84" s="2" t="s">
        <v>2448</v>
      </c>
      <c r="P84" s="2" t="s">
        <v>1513</v>
      </c>
      <c r="Q84" s="66" t="s">
        <v>2029</v>
      </c>
      <c r="R84" s="2"/>
      <c r="S84" s="27" t="str">
        <f t="shared" ca="1" si="1"/>
        <v>تم الاصلاح</v>
      </c>
    </row>
    <row r="85" spans="1:19" ht="27.75" customHeight="1" thickTop="1" thickBot="1" x14ac:dyDescent="0.35">
      <c r="A85" s="8">
        <v>1207700050001</v>
      </c>
      <c r="B85" s="7" t="s">
        <v>402</v>
      </c>
      <c r="C85" s="7" t="s">
        <v>1455</v>
      </c>
      <c r="D85" s="7">
        <v>1983</v>
      </c>
      <c r="E85" s="7" t="s">
        <v>19</v>
      </c>
      <c r="F85" s="7" t="s">
        <v>42</v>
      </c>
      <c r="G85" s="8" t="s">
        <v>712</v>
      </c>
      <c r="H85" s="7" t="s">
        <v>263</v>
      </c>
      <c r="I85" s="7" t="s">
        <v>632</v>
      </c>
      <c r="J85" s="2" t="s">
        <v>1544</v>
      </c>
      <c r="K85" s="2" t="s">
        <v>1548</v>
      </c>
      <c r="L85" s="2" t="s">
        <v>1571</v>
      </c>
      <c r="M85" s="2" t="s">
        <v>1609</v>
      </c>
      <c r="N85" s="2" t="s">
        <v>1610</v>
      </c>
      <c r="O85" s="65"/>
      <c r="P85" s="2" t="s">
        <v>2053</v>
      </c>
      <c r="Q85" s="65"/>
      <c r="R85" s="2"/>
      <c r="S85" s="27" t="e">
        <f t="shared" ca="1" si="1"/>
        <v>#VALUE!</v>
      </c>
    </row>
    <row r="86" spans="1:19" ht="27.75" customHeight="1" thickTop="1" thickBot="1" x14ac:dyDescent="0.35">
      <c r="A86" s="8">
        <v>1204700010003</v>
      </c>
      <c r="B86" s="7" t="s">
        <v>96</v>
      </c>
      <c r="C86" s="7" t="s">
        <v>785</v>
      </c>
      <c r="D86" s="7">
        <v>2002</v>
      </c>
      <c r="E86" s="7" t="s">
        <v>4</v>
      </c>
      <c r="F86" s="7" t="s">
        <v>15</v>
      </c>
      <c r="G86" s="8" t="s">
        <v>786</v>
      </c>
      <c r="H86" s="7" t="s">
        <v>35</v>
      </c>
      <c r="I86" s="7" t="s">
        <v>776</v>
      </c>
      <c r="J86" s="2" t="s">
        <v>1506</v>
      </c>
      <c r="K86" s="2" t="s">
        <v>1548</v>
      </c>
      <c r="L86" s="2" t="s">
        <v>1559</v>
      </c>
      <c r="M86" s="2" t="s">
        <v>1559</v>
      </c>
      <c r="N86" s="2" t="s">
        <v>1610</v>
      </c>
      <c r="O86" s="66"/>
      <c r="P86" s="2" t="s">
        <v>1506</v>
      </c>
      <c r="Q86" s="66" t="s">
        <v>2004</v>
      </c>
      <c r="R86" s="2"/>
      <c r="S86" s="27" t="e">
        <f t="shared" ca="1" si="1"/>
        <v>#VALUE!</v>
      </c>
    </row>
    <row r="87" spans="1:19" ht="27.75" customHeight="1" thickTop="1" thickBot="1" x14ac:dyDescent="0.35">
      <c r="A87" s="8">
        <v>1207700050001</v>
      </c>
      <c r="B87" s="7" t="s">
        <v>402</v>
      </c>
      <c r="C87" s="7" t="s">
        <v>1470</v>
      </c>
      <c r="D87" s="7">
        <v>1983</v>
      </c>
      <c r="E87" s="7" t="s">
        <v>19</v>
      </c>
      <c r="F87" s="7" t="s">
        <v>42</v>
      </c>
      <c r="G87" s="8" t="s">
        <v>1416</v>
      </c>
      <c r="H87" s="7" t="s">
        <v>263</v>
      </c>
      <c r="I87" s="7" t="s">
        <v>1225</v>
      </c>
      <c r="J87" s="2" t="s">
        <v>1544</v>
      </c>
      <c r="K87" s="11" t="s">
        <v>1912</v>
      </c>
      <c r="L87" s="2" t="s">
        <v>1571</v>
      </c>
      <c r="M87" s="2" t="s">
        <v>1609</v>
      </c>
      <c r="N87" s="2" t="s">
        <v>1610</v>
      </c>
      <c r="O87" s="2" t="s">
        <v>2625</v>
      </c>
      <c r="P87" s="2" t="s">
        <v>2053</v>
      </c>
      <c r="Q87" s="65"/>
      <c r="R87" s="2"/>
      <c r="S87" s="27" t="str">
        <f t="shared" ca="1" si="1"/>
        <v>تم الاصلاح</v>
      </c>
    </row>
    <row r="88" spans="1:19" ht="27.75" customHeight="1" thickTop="1" thickBot="1" x14ac:dyDescent="0.35">
      <c r="A88" s="8">
        <v>1101700010006</v>
      </c>
      <c r="B88" s="7" t="s">
        <v>1551</v>
      </c>
      <c r="C88" s="7" t="s">
        <v>167</v>
      </c>
      <c r="D88" s="7">
        <v>2014</v>
      </c>
      <c r="E88" s="7" t="s">
        <v>19</v>
      </c>
      <c r="F88" s="7" t="s">
        <v>52</v>
      </c>
      <c r="G88" s="8" t="s">
        <v>168</v>
      </c>
      <c r="H88" s="7" t="s">
        <v>35</v>
      </c>
      <c r="I88" s="7" t="s">
        <v>166</v>
      </c>
      <c r="J88" s="2" t="s">
        <v>1471</v>
      </c>
      <c r="K88" s="2" t="s">
        <v>1548</v>
      </c>
      <c r="L88" s="2" t="s">
        <v>1564</v>
      </c>
      <c r="M88" s="2" t="s">
        <v>2550</v>
      </c>
      <c r="N88" s="9" t="s">
        <v>2549</v>
      </c>
      <c r="O88" s="2" t="s">
        <v>2385</v>
      </c>
      <c r="P88" s="2" t="s">
        <v>2034</v>
      </c>
      <c r="Q88" s="66" t="s">
        <v>2037</v>
      </c>
      <c r="R88" s="2"/>
      <c r="S88" s="27" t="str">
        <f t="shared" ca="1" si="1"/>
        <v>تم الاصلاح</v>
      </c>
    </row>
    <row r="89" spans="1:19" ht="27.75" customHeight="1" thickTop="1" thickBot="1" x14ac:dyDescent="0.35">
      <c r="A89" s="8">
        <v>1106700010010</v>
      </c>
      <c r="B89" s="7" t="s">
        <v>114</v>
      </c>
      <c r="C89" s="7" t="s">
        <v>864</v>
      </c>
      <c r="D89" s="7">
        <v>2003</v>
      </c>
      <c r="E89" s="7" t="s">
        <v>19</v>
      </c>
      <c r="F89" s="7" t="s">
        <v>104</v>
      </c>
      <c r="G89" s="8" t="s">
        <v>865</v>
      </c>
      <c r="H89" s="7" t="s">
        <v>35</v>
      </c>
      <c r="I89" s="7" t="s">
        <v>861</v>
      </c>
      <c r="J89" s="2" t="s">
        <v>1471</v>
      </c>
      <c r="K89" s="2" t="s">
        <v>1548</v>
      </c>
      <c r="L89" s="2" t="s">
        <v>1564</v>
      </c>
      <c r="M89" s="2" t="s">
        <v>1584</v>
      </c>
      <c r="N89" s="10" t="s">
        <v>1812</v>
      </c>
      <c r="O89" s="65"/>
      <c r="P89" s="2" t="s">
        <v>1471</v>
      </c>
      <c r="Q89" s="65" t="s">
        <v>1996</v>
      </c>
      <c r="R89" s="2"/>
      <c r="S89" s="27" t="e">
        <f t="shared" ca="1" si="1"/>
        <v>#VALUE!</v>
      </c>
    </row>
    <row r="90" spans="1:19" ht="27.75" customHeight="1" thickTop="1" thickBot="1" x14ac:dyDescent="0.35">
      <c r="A90" s="8">
        <v>1105700150004</v>
      </c>
      <c r="B90" s="7" t="s">
        <v>40</v>
      </c>
      <c r="C90" s="7" t="s">
        <v>41</v>
      </c>
      <c r="D90" s="7">
        <v>2014</v>
      </c>
      <c r="E90" s="7" t="s">
        <v>19</v>
      </c>
      <c r="F90" s="7" t="s">
        <v>42</v>
      </c>
      <c r="G90" s="8" t="s">
        <v>43</v>
      </c>
      <c r="H90" s="7" t="s">
        <v>35</v>
      </c>
      <c r="I90" s="7" t="s">
        <v>39</v>
      </c>
      <c r="J90" s="2" t="s">
        <v>1506</v>
      </c>
      <c r="K90" s="11" t="s">
        <v>1912</v>
      </c>
      <c r="L90" s="2" t="s">
        <v>1571</v>
      </c>
      <c r="M90" s="2" t="s">
        <v>1800</v>
      </c>
      <c r="N90" s="2" t="s">
        <v>1801</v>
      </c>
      <c r="O90" s="2" t="s">
        <v>2508</v>
      </c>
      <c r="P90" s="2" t="s">
        <v>1506</v>
      </c>
      <c r="Q90" s="66" t="s">
        <v>2004</v>
      </c>
      <c r="R90" s="2" t="s">
        <v>1805</v>
      </c>
      <c r="S90" s="27" t="str">
        <f t="shared" ca="1" si="1"/>
        <v>تم الاصلاح</v>
      </c>
    </row>
    <row r="91" spans="1:19" ht="27.75" customHeight="1" thickTop="1" thickBot="1" x14ac:dyDescent="0.35">
      <c r="A91" s="8">
        <v>1106700020003</v>
      </c>
      <c r="B91" s="7" t="s">
        <v>54</v>
      </c>
      <c r="C91" s="7" t="s">
        <v>1437</v>
      </c>
      <c r="D91" s="7">
        <v>2012</v>
      </c>
      <c r="E91" s="7" t="s">
        <v>19</v>
      </c>
      <c r="F91" s="7" t="s">
        <v>56</v>
      </c>
      <c r="G91" s="8" t="s">
        <v>60</v>
      </c>
      <c r="H91" s="7" t="s">
        <v>35</v>
      </c>
      <c r="I91" s="7" t="s">
        <v>58</v>
      </c>
      <c r="J91" s="2" t="s">
        <v>1471</v>
      </c>
      <c r="K91" s="2" t="s">
        <v>1548</v>
      </c>
      <c r="L91" s="2" t="s">
        <v>1564</v>
      </c>
      <c r="M91" s="2" t="s">
        <v>2130</v>
      </c>
      <c r="N91" s="10" t="s">
        <v>1807</v>
      </c>
      <c r="O91" s="65"/>
      <c r="P91" s="2" t="s">
        <v>1471</v>
      </c>
      <c r="Q91" s="65" t="s">
        <v>1996</v>
      </c>
      <c r="R91" s="2"/>
      <c r="S91" s="27" t="e">
        <f t="shared" ca="1" si="1"/>
        <v>#VALUE!</v>
      </c>
    </row>
    <row r="92" spans="1:19" ht="27.75" customHeight="1" thickTop="1" thickBot="1" x14ac:dyDescent="0.35">
      <c r="A92" s="8">
        <v>1204700010003</v>
      </c>
      <c r="B92" s="7" t="s">
        <v>96</v>
      </c>
      <c r="C92" s="7" t="s">
        <v>686</v>
      </c>
      <c r="D92" s="7">
        <v>2000</v>
      </c>
      <c r="E92" s="7" t="s">
        <v>4</v>
      </c>
      <c r="F92" s="7" t="s">
        <v>10</v>
      </c>
      <c r="G92" s="8" t="s">
        <v>687</v>
      </c>
      <c r="H92" s="7" t="s">
        <v>263</v>
      </c>
      <c r="I92" s="7" t="s">
        <v>632</v>
      </c>
      <c r="J92" s="2" t="s">
        <v>1544</v>
      </c>
      <c r="K92" s="2" t="s">
        <v>1548</v>
      </c>
      <c r="L92" s="2" t="s">
        <v>1564</v>
      </c>
      <c r="M92" s="2" t="s">
        <v>1880</v>
      </c>
      <c r="N92" s="10" t="s">
        <v>1881</v>
      </c>
      <c r="O92" s="66"/>
      <c r="P92" s="2" t="s">
        <v>2053</v>
      </c>
      <c r="Q92" s="66"/>
      <c r="R92" s="2"/>
      <c r="S92" s="27" t="e">
        <f t="shared" ca="1" si="1"/>
        <v>#VALUE!</v>
      </c>
    </row>
    <row r="93" spans="1:19" ht="27.75" customHeight="1" thickTop="1" thickBot="1" x14ac:dyDescent="0.35">
      <c r="A93" s="8">
        <v>1106700010003</v>
      </c>
      <c r="B93" s="7" t="s">
        <v>102</v>
      </c>
      <c r="C93" s="7" t="s">
        <v>669</v>
      </c>
      <c r="D93" s="7">
        <v>1989</v>
      </c>
      <c r="E93" s="7" t="s">
        <v>19</v>
      </c>
      <c r="F93" s="7" t="s">
        <v>104</v>
      </c>
      <c r="G93" s="8">
        <v>34600155417060</v>
      </c>
      <c r="H93" s="7" t="s">
        <v>263</v>
      </c>
      <c r="I93" s="7" t="s">
        <v>632</v>
      </c>
      <c r="J93" s="2" t="s">
        <v>1544</v>
      </c>
      <c r="K93" s="2" t="s">
        <v>1548</v>
      </c>
      <c r="L93" s="2" t="s">
        <v>1571</v>
      </c>
      <c r="M93" s="2" t="s">
        <v>2519</v>
      </c>
      <c r="N93" s="9" t="s">
        <v>2528</v>
      </c>
      <c r="O93" s="2" t="s">
        <v>1944</v>
      </c>
      <c r="P93" s="2" t="s">
        <v>1506</v>
      </c>
      <c r="Q93" s="65" t="s">
        <v>2008</v>
      </c>
      <c r="R93" s="2"/>
      <c r="S93" s="27" t="str">
        <f t="shared" ca="1" si="1"/>
        <v>تم الاصلاح</v>
      </c>
    </row>
    <row r="94" spans="1:19" ht="27.75" customHeight="1" thickTop="1" thickBot="1" x14ac:dyDescent="0.35">
      <c r="A94" s="8">
        <v>1204700010003</v>
      </c>
      <c r="B94" s="7" t="s">
        <v>96</v>
      </c>
      <c r="C94" s="7" t="s">
        <v>471</v>
      </c>
      <c r="D94" s="7">
        <v>2002</v>
      </c>
      <c r="E94" s="7" t="s">
        <v>4</v>
      </c>
      <c r="F94" s="7" t="s">
        <v>10</v>
      </c>
      <c r="G94" s="8" t="s">
        <v>472</v>
      </c>
      <c r="H94" s="7" t="s">
        <v>263</v>
      </c>
      <c r="I94" s="7" t="s">
        <v>465</v>
      </c>
      <c r="J94" s="110" t="s">
        <v>1471</v>
      </c>
      <c r="K94" s="11" t="s">
        <v>1912</v>
      </c>
      <c r="L94" s="2" t="s">
        <v>1615</v>
      </c>
      <c r="M94" s="2" t="s">
        <v>1615</v>
      </c>
      <c r="N94" s="2" t="s">
        <v>2469</v>
      </c>
      <c r="O94" s="2" t="s">
        <v>2565</v>
      </c>
      <c r="P94" s="2" t="s">
        <v>1471</v>
      </c>
      <c r="Q94" s="66" t="s">
        <v>1994</v>
      </c>
      <c r="R94" s="2"/>
      <c r="S94" s="27" t="str">
        <f t="shared" ca="1" si="1"/>
        <v>تم الاصلاح</v>
      </c>
    </row>
    <row r="95" spans="1:19" ht="27.75" customHeight="1" thickTop="1" thickBot="1" x14ac:dyDescent="0.35">
      <c r="A95" s="8">
        <v>1106700020003</v>
      </c>
      <c r="B95" s="7" t="s">
        <v>54</v>
      </c>
      <c r="C95" s="7" t="s">
        <v>904</v>
      </c>
      <c r="D95" s="7">
        <v>2011</v>
      </c>
      <c r="E95" s="7" t="s">
        <v>19</v>
      </c>
      <c r="F95" s="7" t="s">
        <v>56</v>
      </c>
      <c r="G95" s="8" t="s">
        <v>905</v>
      </c>
      <c r="H95" s="7" t="s">
        <v>35</v>
      </c>
      <c r="I95" s="7" t="s">
        <v>901</v>
      </c>
      <c r="J95" s="2" t="s">
        <v>1498</v>
      </c>
      <c r="K95" s="2" t="s">
        <v>1548</v>
      </c>
      <c r="L95" s="2" t="s">
        <v>1571</v>
      </c>
      <c r="M95" s="2" t="s">
        <v>1840</v>
      </c>
      <c r="N95" s="10" t="s">
        <v>1841</v>
      </c>
      <c r="O95" s="65"/>
      <c r="P95" s="2" t="s">
        <v>2024</v>
      </c>
      <c r="Q95" s="65" t="s">
        <v>2026</v>
      </c>
      <c r="R95" s="2"/>
      <c r="S95" s="27" t="e">
        <f t="shared" ca="1" si="1"/>
        <v>#VALUE!</v>
      </c>
    </row>
    <row r="96" spans="1:19" ht="27.75" customHeight="1" thickTop="1" thickBot="1" x14ac:dyDescent="0.35">
      <c r="A96" s="8">
        <v>1102700010004</v>
      </c>
      <c r="B96" s="7" t="s">
        <v>64</v>
      </c>
      <c r="C96" s="7" t="s">
        <v>779</v>
      </c>
      <c r="D96" s="7">
        <v>2012</v>
      </c>
      <c r="E96" s="7" t="s">
        <v>19</v>
      </c>
      <c r="F96" s="7" t="s">
        <v>66</v>
      </c>
      <c r="G96" s="8" t="s">
        <v>780</v>
      </c>
      <c r="H96" s="7" t="s">
        <v>35</v>
      </c>
      <c r="I96" s="7" t="s">
        <v>776</v>
      </c>
      <c r="J96" s="2" t="s">
        <v>1506</v>
      </c>
      <c r="K96" s="2" t="s">
        <v>1548</v>
      </c>
      <c r="L96" s="2" t="s">
        <v>1571</v>
      </c>
      <c r="M96" s="2" t="s">
        <v>2314</v>
      </c>
      <c r="N96" s="2" t="s">
        <v>2313</v>
      </c>
      <c r="O96" s="66"/>
      <c r="P96" s="2" t="s">
        <v>1506</v>
      </c>
      <c r="Q96" s="66" t="s">
        <v>2006</v>
      </c>
      <c r="R96" s="2"/>
      <c r="S96" s="27" t="e">
        <f t="shared" ca="1" si="1"/>
        <v>#VALUE!</v>
      </c>
    </row>
    <row r="97" spans="1:19" ht="27.75" customHeight="1" thickTop="1" thickBot="1" x14ac:dyDescent="0.35">
      <c r="A97" s="8">
        <v>1106700020003</v>
      </c>
      <c r="B97" s="7" t="s">
        <v>54</v>
      </c>
      <c r="C97" s="7" t="s">
        <v>940</v>
      </c>
      <c r="D97" s="7">
        <v>2013</v>
      </c>
      <c r="E97" s="7" t="s">
        <v>19</v>
      </c>
      <c r="F97" s="7" t="s">
        <v>56</v>
      </c>
      <c r="G97" s="8" t="s">
        <v>941</v>
      </c>
      <c r="H97" s="7" t="s">
        <v>35</v>
      </c>
      <c r="I97" s="7" t="s">
        <v>938</v>
      </c>
      <c r="J97" s="2" t="s">
        <v>1518</v>
      </c>
      <c r="K97" s="11" t="s">
        <v>1912</v>
      </c>
      <c r="L97" s="2"/>
      <c r="M97" s="2"/>
      <c r="N97" s="2"/>
      <c r="O97" s="65" t="s">
        <v>2182</v>
      </c>
      <c r="P97" s="2" t="s">
        <v>1518</v>
      </c>
      <c r="Q97" s="65" t="s">
        <v>1990</v>
      </c>
      <c r="R97" s="2"/>
      <c r="S97" s="27" t="str">
        <f t="shared" ca="1" si="1"/>
        <v>تم الاصلاح</v>
      </c>
    </row>
    <row r="98" spans="1:19" ht="27.75" customHeight="1" thickTop="1" thickBot="1" x14ac:dyDescent="0.35">
      <c r="A98" s="8">
        <v>1204700020003</v>
      </c>
      <c r="B98" s="7" t="s">
        <v>13</v>
      </c>
      <c r="C98" s="7" t="s">
        <v>1397</v>
      </c>
      <c r="D98" s="7">
        <v>2009</v>
      </c>
      <c r="E98" s="7" t="s">
        <v>19</v>
      </c>
      <c r="F98" s="7" t="s">
        <v>10</v>
      </c>
      <c r="G98" s="8" t="s">
        <v>1398</v>
      </c>
      <c r="H98" s="7" t="s">
        <v>263</v>
      </c>
      <c r="I98" s="7" t="s">
        <v>1225</v>
      </c>
      <c r="J98" s="2" t="s">
        <v>1544</v>
      </c>
      <c r="K98" s="2" t="s">
        <v>1548</v>
      </c>
      <c r="L98" s="2" t="s">
        <v>1564</v>
      </c>
      <c r="M98" s="2" t="s">
        <v>1884</v>
      </c>
      <c r="N98" s="2" t="s">
        <v>1793</v>
      </c>
      <c r="O98" s="66"/>
      <c r="P98" s="2" t="s">
        <v>2053</v>
      </c>
      <c r="Q98" s="66"/>
      <c r="R98" s="2"/>
      <c r="S98" s="27" t="e">
        <f t="shared" ca="1" si="1"/>
        <v>#VALUE!</v>
      </c>
    </row>
    <row r="99" spans="1:19" ht="27.75" customHeight="1" thickTop="1" thickBot="1" x14ac:dyDescent="0.35">
      <c r="A99" s="8">
        <v>1105700080001</v>
      </c>
      <c r="B99" s="7" t="s">
        <v>302</v>
      </c>
      <c r="C99" s="7" t="s">
        <v>654</v>
      </c>
      <c r="D99" s="7">
        <v>2010</v>
      </c>
      <c r="E99" s="7" t="s">
        <v>19</v>
      </c>
      <c r="F99" s="7" t="s">
        <v>20</v>
      </c>
      <c r="G99" s="8" t="s">
        <v>655</v>
      </c>
      <c r="H99" s="7" t="s">
        <v>263</v>
      </c>
      <c r="I99" s="7" t="s">
        <v>632</v>
      </c>
      <c r="J99" s="2" t="s">
        <v>1544</v>
      </c>
      <c r="K99" s="2" t="s">
        <v>1548</v>
      </c>
      <c r="L99" s="2" t="s">
        <v>1559</v>
      </c>
      <c r="M99" s="2" t="s">
        <v>1559</v>
      </c>
      <c r="N99" s="10" t="s">
        <v>1577</v>
      </c>
      <c r="O99" s="65"/>
      <c r="P99" s="2" t="s">
        <v>2053</v>
      </c>
      <c r="Q99" s="65"/>
      <c r="R99" s="2"/>
      <c r="S99" s="27" t="e">
        <f t="shared" ca="1" si="1"/>
        <v>#VALUE!</v>
      </c>
    </row>
    <row r="100" spans="1:19" ht="27.75" customHeight="1" thickTop="1" thickBot="1" x14ac:dyDescent="0.35">
      <c r="A100" s="8">
        <v>1204700010003</v>
      </c>
      <c r="B100" s="7" t="s">
        <v>96</v>
      </c>
      <c r="C100" s="7" t="s">
        <v>373</v>
      </c>
      <c r="D100" s="7">
        <v>2008</v>
      </c>
      <c r="E100" s="7" t="s">
        <v>19</v>
      </c>
      <c r="F100" s="7" t="s">
        <v>10</v>
      </c>
      <c r="G100" s="8" t="s">
        <v>374</v>
      </c>
      <c r="H100" s="7" t="s">
        <v>263</v>
      </c>
      <c r="I100" s="7" t="s">
        <v>270</v>
      </c>
      <c r="J100" s="2" t="s">
        <v>1544</v>
      </c>
      <c r="K100" s="11" t="s">
        <v>1912</v>
      </c>
      <c r="L100" s="2"/>
      <c r="M100" s="2"/>
      <c r="N100" s="10"/>
      <c r="O100" s="66" t="s">
        <v>2197</v>
      </c>
      <c r="P100" s="2" t="s">
        <v>2053</v>
      </c>
      <c r="Q100" s="66"/>
      <c r="R100" s="2"/>
      <c r="S100" s="27" t="str">
        <f t="shared" ca="1" si="1"/>
        <v>تم الاصلاح</v>
      </c>
    </row>
    <row r="101" spans="1:19" ht="27.75" customHeight="1" thickTop="1" thickBot="1" x14ac:dyDescent="0.35">
      <c r="A101" s="8">
        <v>1107700010002</v>
      </c>
      <c r="B101" s="7" t="s">
        <v>680</v>
      </c>
      <c r="C101" s="7" t="s">
        <v>681</v>
      </c>
      <c r="D101" s="7">
        <v>2007</v>
      </c>
      <c r="E101" s="7" t="s">
        <v>19</v>
      </c>
      <c r="F101" s="7" t="s">
        <v>351</v>
      </c>
      <c r="G101" s="8" t="s">
        <v>682</v>
      </c>
      <c r="H101" s="7" t="s">
        <v>263</v>
      </c>
      <c r="I101" s="7" t="s">
        <v>632</v>
      </c>
      <c r="J101" s="2" t="s">
        <v>1544</v>
      </c>
      <c r="K101" s="2" t="s">
        <v>1548</v>
      </c>
      <c r="L101" s="2" t="s">
        <v>1564</v>
      </c>
      <c r="M101" s="2" t="s">
        <v>1573</v>
      </c>
      <c r="N101" s="10" t="s">
        <v>1574</v>
      </c>
      <c r="O101" s="65"/>
      <c r="P101" s="2" t="s">
        <v>2053</v>
      </c>
      <c r="Q101" s="65"/>
      <c r="R101" s="2"/>
      <c r="S101" s="27" t="e">
        <f t="shared" ca="1" si="1"/>
        <v>#VALUE!</v>
      </c>
    </row>
    <row r="102" spans="1:19" ht="27.75" customHeight="1" thickTop="1" thickBot="1" x14ac:dyDescent="0.35">
      <c r="A102" s="8">
        <v>1106700020010</v>
      </c>
      <c r="B102" s="7" t="s">
        <v>210</v>
      </c>
      <c r="C102" s="7" t="s">
        <v>1363</v>
      </c>
      <c r="D102" s="7">
        <v>2009</v>
      </c>
      <c r="E102" s="7" t="s">
        <v>19</v>
      </c>
      <c r="F102" s="7" t="s">
        <v>52</v>
      </c>
      <c r="G102" s="8" t="s">
        <v>1364</v>
      </c>
      <c r="H102" s="7" t="s">
        <v>263</v>
      </c>
      <c r="I102" s="7" t="s">
        <v>1225</v>
      </c>
      <c r="J102" s="2" t="s">
        <v>1477</v>
      </c>
      <c r="K102" s="2" t="s">
        <v>1548</v>
      </c>
      <c r="L102" s="2" t="s">
        <v>1564</v>
      </c>
      <c r="M102" s="2" t="s">
        <v>2168</v>
      </c>
      <c r="N102" s="2" t="s">
        <v>2165</v>
      </c>
      <c r="O102" s="66"/>
      <c r="P102" s="2" t="s">
        <v>1477</v>
      </c>
      <c r="Q102" s="66" t="s">
        <v>1999</v>
      </c>
      <c r="R102" s="2"/>
      <c r="S102" s="27" t="e">
        <f t="shared" ca="1" si="1"/>
        <v>#VALUE!</v>
      </c>
    </row>
    <row r="103" spans="1:19" ht="27.75" customHeight="1" thickTop="1" thickBot="1" x14ac:dyDescent="0.35">
      <c r="A103" s="8">
        <v>1102700020004</v>
      </c>
      <c r="B103" s="7" t="s">
        <v>136</v>
      </c>
      <c r="C103" s="7" t="s">
        <v>510</v>
      </c>
      <c r="D103" s="7">
        <v>2015</v>
      </c>
      <c r="E103" s="7" t="s">
        <v>19</v>
      </c>
      <c r="F103" s="7" t="s">
        <v>66</v>
      </c>
      <c r="G103" s="8" t="s">
        <v>511</v>
      </c>
      <c r="H103" s="7" t="s">
        <v>263</v>
      </c>
      <c r="I103" s="7" t="s">
        <v>509</v>
      </c>
      <c r="J103" s="2" t="s">
        <v>1549</v>
      </c>
      <c r="K103" s="2" t="s">
        <v>1548</v>
      </c>
      <c r="L103" s="2" t="s">
        <v>1564</v>
      </c>
      <c r="M103" s="2" t="s">
        <v>1783</v>
      </c>
      <c r="N103" s="10" t="s">
        <v>1784</v>
      </c>
      <c r="O103" s="65"/>
      <c r="P103" s="2" t="s">
        <v>1506</v>
      </c>
      <c r="Q103" s="65" t="s">
        <v>2005</v>
      </c>
      <c r="R103" s="2" t="s">
        <v>1477</v>
      </c>
      <c r="S103" s="27" t="e">
        <f t="shared" ca="1" si="1"/>
        <v>#VALUE!</v>
      </c>
    </row>
    <row r="104" spans="1:19" ht="27.75" customHeight="1" thickTop="1" thickBot="1" x14ac:dyDescent="0.35">
      <c r="A104" s="8">
        <v>1204700020003</v>
      </c>
      <c r="B104" s="7" t="s">
        <v>13</v>
      </c>
      <c r="C104" s="7" t="s">
        <v>691</v>
      </c>
      <c r="D104" s="7">
        <v>2008</v>
      </c>
      <c r="E104" s="7" t="s">
        <v>19</v>
      </c>
      <c r="F104" s="7" t="s">
        <v>15</v>
      </c>
      <c r="G104" s="8" t="s">
        <v>692</v>
      </c>
      <c r="H104" s="7" t="s">
        <v>263</v>
      </c>
      <c r="I104" s="7" t="s">
        <v>632</v>
      </c>
      <c r="J104" s="2" t="s">
        <v>1544</v>
      </c>
      <c r="K104" s="11" t="s">
        <v>1912</v>
      </c>
      <c r="L104" s="2"/>
      <c r="M104" s="2"/>
      <c r="N104" s="2"/>
      <c r="O104" s="2" t="s">
        <v>2391</v>
      </c>
      <c r="P104" s="2" t="s">
        <v>2053</v>
      </c>
      <c r="Q104" s="66"/>
      <c r="R104" s="2"/>
      <c r="S104" s="27" t="str">
        <f t="shared" ca="1" si="1"/>
        <v>تم الاصلاح</v>
      </c>
    </row>
    <row r="105" spans="1:19" ht="27.75" customHeight="1" thickTop="1" thickBot="1" x14ac:dyDescent="0.35">
      <c r="A105" s="8">
        <v>1204700020003</v>
      </c>
      <c r="B105" s="7" t="s">
        <v>13</v>
      </c>
      <c r="C105" s="7" t="s">
        <v>526</v>
      </c>
      <c r="D105" s="7">
        <v>2009</v>
      </c>
      <c r="E105" s="7" t="s">
        <v>19</v>
      </c>
      <c r="F105" s="7" t="s">
        <v>10</v>
      </c>
      <c r="G105" s="8" t="s">
        <v>527</v>
      </c>
      <c r="H105" s="7" t="s">
        <v>263</v>
      </c>
      <c r="I105" s="7" t="s">
        <v>509</v>
      </c>
      <c r="J105" s="2" t="s">
        <v>1477</v>
      </c>
      <c r="K105" s="11" t="s">
        <v>1912</v>
      </c>
      <c r="L105" s="2"/>
      <c r="M105" s="2"/>
      <c r="N105" s="10"/>
      <c r="O105" s="65" t="s">
        <v>2196</v>
      </c>
      <c r="P105" s="2" t="s">
        <v>1477</v>
      </c>
      <c r="Q105" s="65" t="s">
        <v>1999</v>
      </c>
      <c r="R105" s="2"/>
      <c r="S105" s="27" t="str">
        <f t="shared" ca="1" si="1"/>
        <v>تم الاصلاح</v>
      </c>
    </row>
    <row r="106" spans="1:19" ht="27.75" customHeight="1" thickTop="1" thickBot="1" x14ac:dyDescent="0.35">
      <c r="A106" s="8">
        <v>1105700140001</v>
      </c>
      <c r="B106" s="7" t="s">
        <v>314</v>
      </c>
      <c r="C106" s="7" t="s">
        <v>315</v>
      </c>
      <c r="D106" s="7">
        <v>2012</v>
      </c>
      <c r="E106" s="7" t="s">
        <v>19</v>
      </c>
      <c r="F106" s="7" t="s">
        <v>42</v>
      </c>
      <c r="G106" s="8" t="s">
        <v>316</v>
      </c>
      <c r="H106" s="7" t="s">
        <v>263</v>
      </c>
      <c r="I106" s="7" t="s">
        <v>270</v>
      </c>
      <c r="J106" s="2" t="s">
        <v>1544</v>
      </c>
      <c r="K106" s="2" t="s">
        <v>1548</v>
      </c>
      <c r="L106" s="2" t="s">
        <v>1571</v>
      </c>
      <c r="M106" s="2" t="s">
        <v>1616</v>
      </c>
      <c r="N106" s="2" t="s">
        <v>1617</v>
      </c>
      <c r="O106" s="66"/>
      <c r="P106" s="2" t="s">
        <v>2053</v>
      </c>
      <c r="Q106" s="66"/>
      <c r="R106" s="2"/>
      <c r="S106" s="27" t="e">
        <f t="shared" ca="1" si="1"/>
        <v>#VALUE!</v>
      </c>
    </row>
    <row r="107" spans="1:19" ht="27.75" customHeight="1" thickTop="1" thickBot="1" x14ac:dyDescent="0.35">
      <c r="A107" s="8">
        <v>1106700020003</v>
      </c>
      <c r="B107" s="7" t="s">
        <v>54</v>
      </c>
      <c r="C107" s="7" t="s">
        <v>164</v>
      </c>
      <c r="D107" s="7">
        <v>2013</v>
      </c>
      <c r="E107" s="7" t="s">
        <v>19</v>
      </c>
      <c r="F107" s="7" t="s">
        <v>56</v>
      </c>
      <c r="G107" s="8" t="s">
        <v>165</v>
      </c>
      <c r="H107" s="7" t="s">
        <v>35</v>
      </c>
      <c r="I107" s="7" t="s">
        <v>153</v>
      </c>
      <c r="J107" s="2" t="s">
        <v>1537</v>
      </c>
      <c r="K107" s="2" t="s">
        <v>1548</v>
      </c>
      <c r="L107" s="2" t="s">
        <v>1559</v>
      </c>
      <c r="M107" s="2" t="s">
        <v>1559</v>
      </c>
      <c r="N107" s="10" t="s">
        <v>1854</v>
      </c>
      <c r="O107" s="65"/>
      <c r="P107" s="2" t="s">
        <v>1537</v>
      </c>
      <c r="Q107" s="65" t="s">
        <v>2040</v>
      </c>
      <c r="R107" s="2"/>
      <c r="S107" s="27" t="e">
        <f t="shared" ca="1" si="1"/>
        <v>#VALUE!</v>
      </c>
    </row>
    <row r="108" spans="1:19" ht="27.75" customHeight="1" thickTop="1" thickBot="1" x14ac:dyDescent="0.35">
      <c r="A108" s="8">
        <v>1106700020003</v>
      </c>
      <c r="B108" s="7" t="s">
        <v>54</v>
      </c>
      <c r="C108" s="7" t="s">
        <v>341</v>
      </c>
      <c r="D108" s="7">
        <v>2011</v>
      </c>
      <c r="E108" s="7" t="s">
        <v>19</v>
      </c>
      <c r="F108" s="7" t="s">
        <v>56</v>
      </c>
      <c r="G108" s="8" t="s">
        <v>342</v>
      </c>
      <c r="H108" s="7" t="s">
        <v>263</v>
      </c>
      <c r="I108" s="7" t="s">
        <v>270</v>
      </c>
      <c r="J108" s="2" t="s">
        <v>1544</v>
      </c>
      <c r="K108" s="2" t="s">
        <v>1548</v>
      </c>
      <c r="L108" s="2" t="s">
        <v>1564</v>
      </c>
      <c r="M108" s="2" t="s">
        <v>1594</v>
      </c>
      <c r="N108" s="10" t="s">
        <v>1595</v>
      </c>
      <c r="O108" s="66"/>
      <c r="P108" s="2" t="s">
        <v>2053</v>
      </c>
      <c r="Q108" s="66"/>
      <c r="R108" s="2"/>
      <c r="S108" s="27" t="e">
        <f t="shared" ca="1" si="1"/>
        <v>#VALUE!</v>
      </c>
    </row>
    <row r="109" spans="1:19" ht="27.75" customHeight="1" thickTop="1" thickBot="1" x14ac:dyDescent="0.35">
      <c r="A109" s="8">
        <v>1104700010001</v>
      </c>
      <c r="B109" s="7" t="s">
        <v>245</v>
      </c>
      <c r="C109" s="7" t="s">
        <v>246</v>
      </c>
      <c r="D109" s="7">
        <v>2006</v>
      </c>
      <c r="E109" s="7" t="s">
        <v>19</v>
      </c>
      <c r="F109" s="7" t="s">
        <v>247</v>
      </c>
      <c r="G109" s="8" t="s">
        <v>248</v>
      </c>
      <c r="H109" s="7" t="s">
        <v>0</v>
      </c>
      <c r="I109" s="7" t="s">
        <v>240</v>
      </c>
      <c r="J109" s="2" t="s">
        <v>1543</v>
      </c>
      <c r="K109" s="9" t="s">
        <v>1553</v>
      </c>
      <c r="L109" s="2" t="s">
        <v>1565</v>
      </c>
      <c r="M109" s="2" t="s">
        <v>1628</v>
      </c>
      <c r="N109" s="2" t="s">
        <v>1629</v>
      </c>
      <c r="O109" s="65"/>
      <c r="P109" s="2" t="s">
        <v>2051</v>
      </c>
      <c r="Q109" s="65"/>
      <c r="R109" s="2" t="s">
        <v>1543</v>
      </c>
      <c r="S109" s="27" t="e">
        <f t="shared" ca="1" si="1"/>
        <v>#VALUE!</v>
      </c>
    </row>
    <row r="110" spans="1:19" ht="27.75" customHeight="1" thickTop="1" thickBot="1" x14ac:dyDescent="0.35">
      <c r="A110" s="8">
        <v>1102700010004</v>
      </c>
      <c r="B110" s="7" t="s">
        <v>64</v>
      </c>
      <c r="C110" s="7" t="s">
        <v>223</v>
      </c>
      <c r="D110" s="7">
        <v>2012</v>
      </c>
      <c r="E110" s="7" t="s">
        <v>19</v>
      </c>
      <c r="F110" s="7" t="s">
        <v>42</v>
      </c>
      <c r="G110" s="8" t="s">
        <v>224</v>
      </c>
      <c r="H110" s="7" t="s">
        <v>35</v>
      </c>
      <c r="I110" s="7" t="s">
        <v>220</v>
      </c>
      <c r="J110" s="2" t="s">
        <v>1549</v>
      </c>
      <c r="K110" s="2" t="s">
        <v>1548</v>
      </c>
      <c r="L110" s="2" t="s">
        <v>1564</v>
      </c>
      <c r="M110" s="2" t="s">
        <v>1864</v>
      </c>
      <c r="N110" s="10" t="s">
        <v>1865</v>
      </c>
      <c r="O110" s="66"/>
      <c r="P110" s="2" t="s">
        <v>1525</v>
      </c>
      <c r="Q110" s="66" t="s">
        <v>2018</v>
      </c>
      <c r="R110" s="2"/>
      <c r="S110" s="27" t="e">
        <f t="shared" ca="1" si="1"/>
        <v>#VALUE!</v>
      </c>
    </row>
    <row r="111" spans="1:19" ht="27.75" customHeight="1" thickTop="1" thickBot="1" x14ac:dyDescent="0.35">
      <c r="A111" s="8">
        <v>1106700010003</v>
      </c>
      <c r="B111" s="7" t="s">
        <v>102</v>
      </c>
      <c r="C111" s="7" t="s">
        <v>671</v>
      </c>
      <c r="D111" s="7">
        <v>2002</v>
      </c>
      <c r="E111" s="7" t="s">
        <v>19</v>
      </c>
      <c r="F111" s="7" t="s">
        <v>104</v>
      </c>
      <c r="G111" s="8" t="s">
        <v>672</v>
      </c>
      <c r="H111" s="7" t="s">
        <v>263</v>
      </c>
      <c r="I111" s="7" t="s">
        <v>632</v>
      </c>
      <c r="J111" s="2" t="s">
        <v>1537</v>
      </c>
      <c r="K111" s="2" t="s">
        <v>1548</v>
      </c>
      <c r="L111" s="2" t="s">
        <v>1564</v>
      </c>
      <c r="M111" s="2" t="s">
        <v>2515</v>
      </c>
      <c r="N111" s="9" t="s">
        <v>2521</v>
      </c>
      <c r="O111" s="2" t="s">
        <v>2516</v>
      </c>
      <c r="P111" s="2" t="s">
        <v>1513</v>
      </c>
      <c r="Q111" s="65" t="s">
        <v>2032</v>
      </c>
      <c r="R111" s="2"/>
      <c r="S111" s="27" t="str">
        <f t="shared" ca="1" si="1"/>
        <v>تم الاصلاح</v>
      </c>
    </row>
    <row r="112" spans="1:19" ht="27.75" customHeight="1" thickTop="1" thickBot="1" x14ac:dyDescent="0.35">
      <c r="A112" s="8">
        <v>1106700010010</v>
      </c>
      <c r="B112" s="7" t="s">
        <v>114</v>
      </c>
      <c r="C112" s="7" t="s">
        <v>763</v>
      </c>
      <c r="D112" s="7">
        <v>2002</v>
      </c>
      <c r="E112" s="7" t="s">
        <v>19</v>
      </c>
      <c r="F112" s="7" t="s">
        <v>52</v>
      </c>
      <c r="G112" s="8" t="s">
        <v>764</v>
      </c>
      <c r="H112" s="7" t="s">
        <v>35</v>
      </c>
      <c r="I112" s="7" t="s">
        <v>760</v>
      </c>
      <c r="J112" s="2" t="s">
        <v>1487</v>
      </c>
      <c r="K112" s="2" t="s">
        <v>1548</v>
      </c>
      <c r="L112" s="2" t="s">
        <v>1571</v>
      </c>
      <c r="M112" s="2" t="s">
        <v>1754</v>
      </c>
      <c r="N112" s="2" t="s">
        <v>1746</v>
      </c>
      <c r="O112" s="66"/>
      <c r="P112" s="2" t="s">
        <v>2034</v>
      </c>
      <c r="Q112" s="66" t="s">
        <v>2037</v>
      </c>
      <c r="R112" s="2"/>
      <c r="S112" s="27" t="e">
        <f t="shared" ca="1" si="1"/>
        <v>#VALUE!</v>
      </c>
    </row>
    <row r="113" spans="1:19" ht="27.75" customHeight="1" thickTop="1" thickBot="1" x14ac:dyDescent="0.35">
      <c r="A113" s="8">
        <v>1106700020003</v>
      </c>
      <c r="B113" s="7" t="s">
        <v>54</v>
      </c>
      <c r="C113" s="7" t="s">
        <v>818</v>
      </c>
      <c r="D113" s="7">
        <v>2016</v>
      </c>
      <c r="E113" s="7" t="s">
        <v>19</v>
      </c>
      <c r="F113" s="7" t="s">
        <v>56</v>
      </c>
      <c r="G113" s="8" t="s">
        <v>819</v>
      </c>
      <c r="H113" s="7" t="s">
        <v>35</v>
      </c>
      <c r="I113" s="7" t="s">
        <v>813</v>
      </c>
      <c r="J113" s="2" t="s">
        <v>1518</v>
      </c>
      <c r="K113" s="2" t="s">
        <v>1548</v>
      </c>
      <c r="L113" s="2" t="s">
        <v>1567</v>
      </c>
      <c r="M113" s="2" t="s">
        <v>2151</v>
      </c>
      <c r="N113" s="2" t="s">
        <v>1829</v>
      </c>
      <c r="O113" s="65"/>
      <c r="P113" s="2" t="s">
        <v>1518</v>
      </c>
      <c r="Q113" s="65" t="s">
        <v>1987</v>
      </c>
      <c r="R113" s="2" t="s">
        <v>1830</v>
      </c>
      <c r="S113" s="27" t="e">
        <f t="shared" ca="1" si="1"/>
        <v>#VALUE!</v>
      </c>
    </row>
    <row r="114" spans="1:19" ht="27.75" customHeight="1" thickTop="1" thickBot="1" x14ac:dyDescent="0.35">
      <c r="A114" s="8">
        <v>1101700010006</v>
      </c>
      <c r="B114" s="7" t="s">
        <v>1551</v>
      </c>
      <c r="C114" s="7" t="s">
        <v>814</v>
      </c>
      <c r="D114" s="7">
        <v>2013</v>
      </c>
      <c r="E114" s="7" t="s">
        <v>19</v>
      </c>
      <c r="F114" s="7" t="s">
        <v>52</v>
      </c>
      <c r="G114" s="8" t="s">
        <v>815</v>
      </c>
      <c r="H114" s="7" t="s">
        <v>35</v>
      </c>
      <c r="I114" s="7" t="s">
        <v>813</v>
      </c>
      <c r="J114" s="2" t="s">
        <v>1518</v>
      </c>
      <c r="K114" s="11" t="s">
        <v>1912</v>
      </c>
      <c r="L114" s="2" t="s">
        <v>1570</v>
      </c>
      <c r="M114" s="2" t="s">
        <v>2583</v>
      </c>
      <c r="N114" s="2" t="s">
        <v>2579</v>
      </c>
      <c r="O114" s="2" t="s">
        <v>2593</v>
      </c>
      <c r="P114" s="2" t="s">
        <v>1518</v>
      </c>
      <c r="Q114" s="66" t="s">
        <v>1987</v>
      </c>
      <c r="R114" s="2" t="s">
        <v>1666</v>
      </c>
      <c r="S114" s="27" t="str">
        <f t="shared" ca="1" si="1"/>
        <v>تم الاصلاح</v>
      </c>
    </row>
    <row r="115" spans="1:19" ht="27.75" customHeight="1" thickTop="1" thickBot="1" x14ac:dyDescent="0.35">
      <c r="A115" s="8">
        <v>1106700020003</v>
      </c>
      <c r="B115" s="7" t="s">
        <v>54</v>
      </c>
      <c r="C115" s="7" t="s">
        <v>916</v>
      </c>
      <c r="D115" s="7">
        <v>2011</v>
      </c>
      <c r="E115" s="7" t="s">
        <v>19</v>
      </c>
      <c r="F115" s="7" t="s">
        <v>56</v>
      </c>
      <c r="G115" s="8" t="s">
        <v>917</v>
      </c>
      <c r="H115" s="7" t="s">
        <v>35</v>
      </c>
      <c r="I115" s="7" t="s">
        <v>913</v>
      </c>
      <c r="J115" s="2" t="s">
        <v>1477</v>
      </c>
      <c r="K115" s="11" t="s">
        <v>1912</v>
      </c>
      <c r="L115" s="2" t="s">
        <v>1571</v>
      </c>
      <c r="M115" s="2" t="s">
        <v>2486</v>
      </c>
      <c r="N115" s="2" t="s">
        <v>2480</v>
      </c>
      <c r="O115" s="2" t="s">
        <v>2504</v>
      </c>
      <c r="P115" s="2" t="s">
        <v>1477</v>
      </c>
      <c r="Q115" s="65" t="s">
        <v>2000</v>
      </c>
      <c r="R115" s="2"/>
      <c r="S115" s="27" t="str">
        <f t="shared" ca="1" si="1"/>
        <v>تم الاصلاح</v>
      </c>
    </row>
    <row r="116" spans="1:19" ht="27.75" customHeight="1" thickTop="1" thickBot="1" x14ac:dyDescent="0.35">
      <c r="A116" s="8">
        <v>1106700020003</v>
      </c>
      <c r="B116" s="7" t="s">
        <v>54</v>
      </c>
      <c r="C116" s="7" t="s">
        <v>110</v>
      </c>
      <c r="D116" s="7">
        <v>2012</v>
      </c>
      <c r="E116" s="7" t="s">
        <v>19</v>
      </c>
      <c r="F116" s="7" t="s">
        <v>56</v>
      </c>
      <c r="G116" s="8" t="s">
        <v>111</v>
      </c>
      <c r="H116" s="7" t="s">
        <v>35</v>
      </c>
      <c r="I116" s="7" t="s">
        <v>107</v>
      </c>
      <c r="J116" s="2" t="s">
        <v>1471</v>
      </c>
      <c r="K116" s="11" t="s">
        <v>1912</v>
      </c>
      <c r="L116" s="2" t="s">
        <v>1564</v>
      </c>
      <c r="M116" s="2" t="s">
        <v>1815</v>
      </c>
      <c r="N116" s="2" t="s">
        <v>1816</v>
      </c>
      <c r="O116" s="2" t="s">
        <v>2448</v>
      </c>
      <c r="P116" s="2" t="s">
        <v>1471</v>
      </c>
      <c r="Q116" s="66" t="s">
        <v>1995</v>
      </c>
      <c r="R116" s="2"/>
      <c r="S116" s="27" t="str">
        <f t="shared" ca="1" si="1"/>
        <v>تم الاصلاح</v>
      </c>
    </row>
    <row r="117" spans="1:19" ht="27.75" customHeight="1" thickTop="1" thickBot="1" x14ac:dyDescent="0.35">
      <c r="A117" s="8">
        <v>1204700020009</v>
      </c>
      <c r="B117" s="7" t="s">
        <v>29</v>
      </c>
      <c r="C117" s="7" t="s">
        <v>1183</v>
      </c>
      <c r="D117" s="7">
        <v>2016</v>
      </c>
      <c r="E117" s="7" t="s">
        <v>19</v>
      </c>
      <c r="F117" s="7" t="s">
        <v>261</v>
      </c>
      <c r="G117" s="8" t="s">
        <v>1184</v>
      </c>
      <c r="H117" s="7" t="s">
        <v>945</v>
      </c>
      <c r="I117" s="7" t="s">
        <v>1178</v>
      </c>
      <c r="J117" s="2" t="s">
        <v>1477</v>
      </c>
      <c r="K117" s="2" t="s">
        <v>1548</v>
      </c>
      <c r="L117" s="2" t="s">
        <v>1564</v>
      </c>
      <c r="M117" s="2" t="s">
        <v>2257</v>
      </c>
      <c r="N117" s="2" t="s">
        <v>2256</v>
      </c>
      <c r="O117" s="65"/>
      <c r="P117" s="2" t="s">
        <v>1477</v>
      </c>
      <c r="Q117" s="65" t="s">
        <v>1999</v>
      </c>
      <c r="R117" s="2"/>
      <c r="S117" s="27" t="e">
        <f t="shared" ca="1" si="1"/>
        <v>#VALUE!</v>
      </c>
    </row>
    <row r="118" spans="1:19" ht="27.75" customHeight="1" thickTop="1" thickBot="1" x14ac:dyDescent="0.35">
      <c r="A118" s="8">
        <v>1106700020003</v>
      </c>
      <c r="B118" s="7" t="s">
        <v>54</v>
      </c>
      <c r="C118" s="7" t="s">
        <v>196</v>
      </c>
      <c r="D118" s="7">
        <v>2014</v>
      </c>
      <c r="E118" s="7" t="s">
        <v>19</v>
      </c>
      <c r="F118" s="7" t="s">
        <v>56</v>
      </c>
      <c r="G118" s="8" t="s">
        <v>197</v>
      </c>
      <c r="H118" s="7" t="s">
        <v>35</v>
      </c>
      <c r="I118" s="7" t="s">
        <v>192</v>
      </c>
      <c r="J118" s="2" t="s">
        <v>1513</v>
      </c>
      <c r="K118" s="11" t="s">
        <v>1912</v>
      </c>
      <c r="L118" s="2"/>
      <c r="M118" s="2"/>
      <c r="N118" s="9"/>
      <c r="O118" s="66" t="s">
        <v>2235</v>
      </c>
      <c r="P118" s="2" t="s">
        <v>1513</v>
      </c>
      <c r="Q118" s="66" t="s">
        <v>2032</v>
      </c>
      <c r="R118" s="2"/>
      <c r="S118" s="27" t="str">
        <f t="shared" ca="1" si="1"/>
        <v>تم الاصلاح</v>
      </c>
    </row>
    <row r="119" spans="1:19" ht="27.75" customHeight="1" thickTop="1" thickBot="1" x14ac:dyDescent="0.35">
      <c r="A119" s="8">
        <v>1101700010006</v>
      </c>
      <c r="B119" s="7" t="s">
        <v>1551</v>
      </c>
      <c r="C119" s="7" t="s">
        <v>862</v>
      </c>
      <c r="D119" s="7">
        <v>2013</v>
      </c>
      <c r="E119" s="7" t="s">
        <v>19</v>
      </c>
      <c r="F119" s="7" t="s">
        <v>52</v>
      </c>
      <c r="G119" s="8" t="s">
        <v>863</v>
      </c>
      <c r="H119" s="7" t="s">
        <v>35</v>
      </c>
      <c r="I119" s="7" t="s">
        <v>861</v>
      </c>
      <c r="J119" s="2" t="s">
        <v>1549</v>
      </c>
      <c r="K119" s="2" t="s">
        <v>1548</v>
      </c>
      <c r="L119" s="2" t="s">
        <v>1564</v>
      </c>
      <c r="M119" s="2" t="s">
        <v>1810</v>
      </c>
      <c r="N119" s="10" t="s">
        <v>1811</v>
      </c>
      <c r="O119" s="65"/>
      <c r="P119" s="2" t="s">
        <v>1471</v>
      </c>
      <c r="Q119" s="65" t="s">
        <v>1997</v>
      </c>
      <c r="R119" s="2"/>
      <c r="S119" s="27" t="e">
        <f t="shared" ca="1" si="1"/>
        <v>#VALUE!</v>
      </c>
    </row>
    <row r="120" spans="1:19" ht="27.75" customHeight="1" thickTop="1" thickBot="1" x14ac:dyDescent="0.35">
      <c r="A120" s="8">
        <v>1106700010003</v>
      </c>
      <c r="B120" s="7" t="s">
        <v>102</v>
      </c>
      <c r="C120" s="7" t="s">
        <v>871</v>
      </c>
      <c r="D120" s="7">
        <v>1991</v>
      </c>
      <c r="E120" s="7" t="s">
        <v>19</v>
      </c>
      <c r="F120" s="7" t="s">
        <v>104</v>
      </c>
      <c r="G120" s="8" t="s">
        <v>872</v>
      </c>
      <c r="H120" s="7" t="s">
        <v>35</v>
      </c>
      <c r="I120" s="7" t="s">
        <v>868</v>
      </c>
      <c r="J120" s="2" t="s">
        <v>1513</v>
      </c>
      <c r="K120" s="2" t="s">
        <v>1548</v>
      </c>
      <c r="L120" s="2" t="s">
        <v>1571</v>
      </c>
      <c r="M120" s="2" t="s">
        <v>2503</v>
      </c>
      <c r="N120" s="9" t="s">
        <v>2504</v>
      </c>
      <c r="O120" s="2" t="s">
        <v>2492</v>
      </c>
      <c r="P120" s="2" t="s">
        <v>1513</v>
      </c>
      <c r="Q120" s="66" t="s">
        <v>2032</v>
      </c>
      <c r="R120" s="2"/>
      <c r="S120" s="27" t="str">
        <f t="shared" ca="1" si="1"/>
        <v>تم الاصلاح</v>
      </c>
    </row>
    <row r="121" spans="1:19" ht="27.75" customHeight="1" thickTop="1" thickBot="1" x14ac:dyDescent="0.35">
      <c r="A121" s="8">
        <v>1105700150004</v>
      </c>
      <c r="B121" s="7" t="s">
        <v>40</v>
      </c>
      <c r="C121" s="7" t="s">
        <v>320</v>
      </c>
      <c r="D121" s="7">
        <v>2006</v>
      </c>
      <c r="E121" s="7" t="s">
        <v>19</v>
      </c>
      <c r="F121" s="7" t="s">
        <v>42</v>
      </c>
      <c r="G121" s="8" t="s">
        <v>321</v>
      </c>
      <c r="H121" s="7" t="s">
        <v>263</v>
      </c>
      <c r="I121" s="7" t="s">
        <v>270</v>
      </c>
      <c r="J121" s="2" t="s">
        <v>1544</v>
      </c>
      <c r="K121" s="2" t="s">
        <v>1548</v>
      </c>
      <c r="L121" s="2" t="s">
        <v>1564</v>
      </c>
      <c r="M121" s="2" t="s">
        <v>1588</v>
      </c>
      <c r="N121" s="10" t="s">
        <v>1589</v>
      </c>
      <c r="O121" s="65"/>
      <c r="P121" s="2" t="s">
        <v>2053</v>
      </c>
      <c r="Q121" s="65"/>
      <c r="R121" s="2"/>
      <c r="S121" s="27" t="e">
        <f t="shared" ca="1" si="1"/>
        <v>#VALUE!</v>
      </c>
    </row>
    <row r="122" spans="1:19" ht="27.75" customHeight="1" thickTop="1" thickBot="1" x14ac:dyDescent="0.35">
      <c r="A122" s="8">
        <v>1106700020003</v>
      </c>
      <c r="B122" s="7" t="s">
        <v>54</v>
      </c>
      <c r="C122" s="7" t="s">
        <v>811</v>
      </c>
      <c r="D122" s="7">
        <v>2014</v>
      </c>
      <c r="E122" s="7" t="s">
        <v>19</v>
      </c>
      <c r="F122" s="7" t="s">
        <v>52</v>
      </c>
      <c r="G122" s="8" t="s">
        <v>812</v>
      </c>
      <c r="H122" s="7" t="s">
        <v>35</v>
      </c>
      <c r="I122" s="7" t="s">
        <v>806</v>
      </c>
      <c r="J122" s="2" t="s">
        <v>1482</v>
      </c>
      <c r="K122" s="2" t="s">
        <v>1548</v>
      </c>
      <c r="L122" s="2" t="s">
        <v>1564</v>
      </c>
      <c r="M122" s="2" t="s">
        <v>2389</v>
      </c>
      <c r="N122" s="123" t="s">
        <v>2630</v>
      </c>
      <c r="O122" s="2" t="s">
        <v>2625</v>
      </c>
      <c r="P122" s="2" t="s">
        <v>2009</v>
      </c>
      <c r="Q122" s="66" t="s">
        <v>2012</v>
      </c>
      <c r="R122" s="2"/>
      <c r="S122" s="27" t="str">
        <f t="shared" ca="1" si="1"/>
        <v>تم الاصلاح</v>
      </c>
    </row>
    <row r="123" spans="1:19" ht="27.75" customHeight="1" thickTop="1" thickBot="1" x14ac:dyDescent="0.35">
      <c r="A123" s="8">
        <v>1101700010006</v>
      </c>
      <c r="B123" s="7" t="s">
        <v>50</v>
      </c>
      <c r="C123" s="7" t="s">
        <v>2084</v>
      </c>
      <c r="D123" s="7">
        <v>2009</v>
      </c>
      <c r="E123" s="7" t="s">
        <v>19</v>
      </c>
      <c r="F123" s="7" t="s">
        <v>52</v>
      </c>
      <c r="G123" s="8" t="s">
        <v>604</v>
      </c>
      <c r="H123" s="7" t="s">
        <v>263</v>
      </c>
      <c r="I123" s="7" t="s">
        <v>602</v>
      </c>
      <c r="J123" s="2" t="s">
        <v>1663</v>
      </c>
      <c r="K123" s="2" t="s">
        <v>1548</v>
      </c>
      <c r="L123" s="2" t="s">
        <v>1567</v>
      </c>
      <c r="M123" s="2" t="s">
        <v>1838</v>
      </c>
      <c r="N123" s="2" t="s">
        <v>1943</v>
      </c>
      <c r="O123" s="65"/>
      <c r="P123" s="2" t="s">
        <v>2024</v>
      </c>
      <c r="Q123" s="65" t="s">
        <v>2025</v>
      </c>
      <c r="R123" s="2"/>
      <c r="S123" s="27" t="e">
        <f t="shared" ca="1" si="1"/>
        <v>#VALUE!</v>
      </c>
    </row>
    <row r="124" spans="1:19" ht="27.75" customHeight="1" thickTop="1" thickBot="1" x14ac:dyDescent="0.35">
      <c r="A124" s="8">
        <v>1101700040006</v>
      </c>
      <c r="B124" s="7" t="s">
        <v>605</v>
      </c>
      <c r="C124" s="7" t="s">
        <v>606</v>
      </c>
      <c r="D124" s="7">
        <v>2021</v>
      </c>
      <c r="E124" s="7" t="s">
        <v>19</v>
      </c>
      <c r="F124" s="7" t="s">
        <v>42</v>
      </c>
      <c r="G124" s="8" t="s">
        <v>607</v>
      </c>
      <c r="H124" s="7" t="s">
        <v>263</v>
      </c>
      <c r="I124" s="7" t="s">
        <v>602</v>
      </c>
      <c r="J124" s="2" t="s">
        <v>1498</v>
      </c>
      <c r="K124" s="11" t="s">
        <v>1912</v>
      </c>
      <c r="L124" s="2"/>
      <c r="M124" s="2"/>
      <c r="N124" s="2"/>
      <c r="O124" s="2" t="s">
        <v>2377</v>
      </c>
      <c r="P124" s="2" t="s">
        <v>2024</v>
      </c>
      <c r="Q124" s="66" t="s">
        <v>2025</v>
      </c>
      <c r="R124" s="2"/>
      <c r="S124" s="27" t="str">
        <f t="shared" ca="1" si="1"/>
        <v>تم الاصلاح</v>
      </c>
    </row>
    <row r="125" spans="1:19" ht="27.75" customHeight="1" thickTop="1" thickBot="1" x14ac:dyDescent="0.35">
      <c r="A125" s="8">
        <v>1106700020003</v>
      </c>
      <c r="B125" s="7" t="s">
        <v>54</v>
      </c>
      <c r="C125" s="7" t="s">
        <v>225</v>
      </c>
      <c r="D125" s="7">
        <v>2014</v>
      </c>
      <c r="E125" s="7" t="s">
        <v>19</v>
      </c>
      <c r="F125" s="7" t="s">
        <v>56</v>
      </c>
      <c r="G125" s="8" t="s">
        <v>226</v>
      </c>
      <c r="H125" s="7" t="s">
        <v>35</v>
      </c>
      <c r="I125" s="7" t="s">
        <v>220</v>
      </c>
      <c r="J125" s="2" t="s">
        <v>1525</v>
      </c>
      <c r="K125" s="11" t="s">
        <v>1912</v>
      </c>
      <c r="L125" s="2" t="s">
        <v>1615</v>
      </c>
      <c r="M125" s="2" t="s">
        <v>2490</v>
      </c>
      <c r="N125" s="2" t="s">
        <v>2489</v>
      </c>
      <c r="O125" s="2" t="s">
        <v>2526</v>
      </c>
      <c r="P125" s="2" t="s">
        <v>1525</v>
      </c>
      <c r="Q125" s="65" t="s">
        <v>2018</v>
      </c>
      <c r="R125" s="2"/>
      <c r="S125" s="27" t="str">
        <f t="shared" ca="1" si="1"/>
        <v>تم الاصلاح</v>
      </c>
    </row>
    <row r="126" spans="1:19" ht="27.75" customHeight="1" thickTop="1" thickBot="1" x14ac:dyDescent="0.35">
      <c r="A126" s="8">
        <v>1209700010004</v>
      </c>
      <c r="B126" s="7" t="s">
        <v>413</v>
      </c>
      <c r="C126" s="7" t="s">
        <v>419</v>
      </c>
      <c r="D126" s="7">
        <v>2013</v>
      </c>
      <c r="E126" s="7" t="s">
        <v>19</v>
      </c>
      <c r="F126" s="7" t="s">
        <v>415</v>
      </c>
      <c r="G126" s="8" t="s">
        <v>420</v>
      </c>
      <c r="H126" s="7" t="s">
        <v>263</v>
      </c>
      <c r="I126" s="7" t="s">
        <v>270</v>
      </c>
      <c r="J126" s="2" t="s">
        <v>1544</v>
      </c>
      <c r="K126" s="11" t="s">
        <v>1912</v>
      </c>
      <c r="L126" s="2"/>
      <c r="M126" s="2"/>
      <c r="N126" s="2"/>
      <c r="O126" s="66" t="s">
        <v>2160</v>
      </c>
      <c r="P126" s="2" t="s">
        <v>2053</v>
      </c>
      <c r="Q126" s="66"/>
      <c r="R126" s="2" t="s">
        <v>1947</v>
      </c>
      <c r="S126" s="27" t="str">
        <f t="shared" ca="1" si="1"/>
        <v>تم الاصلاح</v>
      </c>
    </row>
    <row r="127" spans="1:19" ht="27.75" customHeight="1" thickTop="1" thickBot="1" x14ac:dyDescent="0.35">
      <c r="A127" s="8">
        <v>1205700010001</v>
      </c>
      <c r="B127" s="7" t="s">
        <v>388</v>
      </c>
      <c r="C127" s="7" t="s">
        <v>504</v>
      </c>
      <c r="D127" s="7">
        <v>2006</v>
      </c>
      <c r="E127" s="7" t="s">
        <v>19</v>
      </c>
      <c r="F127" s="7" t="s">
        <v>20</v>
      </c>
      <c r="G127" s="8" t="s">
        <v>505</v>
      </c>
      <c r="H127" s="7" t="s">
        <v>263</v>
      </c>
      <c r="I127" s="7" t="s">
        <v>485</v>
      </c>
      <c r="J127" s="2" t="s">
        <v>1518</v>
      </c>
      <c r="K127" s="11" t="s">
        <v>1912</v>
      </c>
      <c r="L127" s="2"/>
      <c r="M127" s="2"/>
      <c r="N127" s="2"/>
      <c r="O127" s="65" t="s">
        <v>2117</v>
      </c>
      <c r="P127" s="2" t="s">
        <v>1518</v>
      </c>
      <c r="Q127" s="65" t="s">
        <v>1987</v>
      </c>
      <c r="R127" s="2"/>
      <c r="S127" s="27" t="str">
        <f t="shared" ca="1" si="1"/>
        <v>تم الاصلاح</v>
      </c>
    </row>
    <row r="128" spans="1:19" ht="27.75" customHeight="1" thickTop="1" thickBot="1" x14ac:dyDescent="0.35">
      <c r="A128" s="8">
        <v>1204700020003</v>
      </c>
      <c r="B128" s="7" t="s">
        <v>13</v>
      </c>
      <c r="C128" s="7" t="s">
        <v>528</v>
      </c>
      <c r="D128" s="7">
        <v>2010</v>
      </c>
      <c r="E128" s="7" t="s">
        <v>19</v>
      </c>
      <c r="F128" s="7" t="s">
        <v>10</v>
      </c>
      <c r="G128" s="8" t="s">
        <v>529</v>
      </c>
      <c r="H128" s="7" t="s">
        <v>263</v>
      </c>
      <c r="I128" s="7" t="s">
        <v>509</v>
      </c>
      <c r="J128" s="110" t="s">
        <v>1477</v>
      </c>
      <c r="K128" s="11" t="s">
        <v>1912</v>
      </c>
      <c r="L128" s="2"/>
      <c r="M128" s="2"/>
      <c r="N128" s="2"/>
      <c r="O128" s="2" t="s">
        <v>2340</v>
      </c>
      <c r="P128" s="2" t="s">
        <v>1477</v>
      </c>
      <c r="Q128" s="66" t="s">
        <v>1999</v>
      </c>
      <c r="R128" s="2"/>
      <c r="S128" s="27" t="str">
        <f t="shared" ca="1" si="1"/>
        <v>تم الاصلاح</v>
      </c>
    </row>
    <row r="129" spans="1:19" ht="27.75" customHeight="1" thickTop="1" thickBot="1" x14ac:dyDescent="0.35">
      <c r="A129" s="8">
        <v>1207700050001</v>
      </c>
      <c r="B129" s="7" t="s">
        <v>402</v>
      </c>
      <c r="C129" s="7" t="s">
        <v>1454</v>
      </c>
      <c r="D129" s="7">
        <v>1983</v>
      </c>
      <c r="E129" s="7" t="s">
        <v>19</v>
      </c>
      <c r="F129" s="7" t="s">
        <v>42</v>
      </c>
      <c r="G129" s="8">
        <v>3460315525822</v>
      </c>
      <c r="H129" s="7" t="s">
        <v>263</v>
      </c>
      <c r="I129" s="7" t="s">
        <v>270</v>
      </c>
      <c r="J129" s="2" t="s">
        <v>1544</v>
      </c>
      <c r="K129" s="2" t="s">
        <v>1548</v>
      </c>
      <c r="L129" s="2" t="s">
        <v>1613</v>
      </c>
      <c r="M129" s="2" t="s">
        <v>1613</v>
      </c>
      <c r="N129" s="2" t="s">
        <v>1614</v>
      </c>
      <c r="O129" s="65"/>
      <c r="P129" s="2" t="s">
        <v>2053</v>
      </c>
      <c r="Q129" s="65"/>
      <c r="R129" s="2"/>
      <c r="S129" s="27" t="e">
        <f t="shared" ca="1" si="1"/>
        <v>#VALUE!</v>
      </c>
    </row>
    <row r="130" spans="1:19" ht="27.75" customHeight="1" thickTop="1" thickBot="1" x14ac:dyDescent="0.35">
      <c r="A130" s="8">
        <v>1102700010004</v>
      </c>
      <c r="B130" s="7" t="s">
        <v>64</v>
      </c>
      <c r="C130" s="7" t="s">
        <v>1459</v>
      </c>
      <c r="D130" s="7">
        <v>2012</v>
      </c>
      <c r="E130" s="7" t="s">
        <v>19</v>
      </c>
      <c r="F130" s="7" t="s">
        <v>52</v>
      </c>
      <c r="G130" s="8" t="s">
        <v>939</v>
      </c>
      <c r="H130" s="7" t="s">
        <v>35</v>
      </c>
      <c r="I130" s="7" t="s">
        <v>938</v>
      </c>
      <c r="J130" s="2" t="s">
        <v>1549</v>
      </c>
      <c r="K130" s="2" t="s">
        <v>1548</v>
      </c>
      <c r="L130" s="2" t="s">
        <v>1564</v>
      </c>
      <c r="M130" s="2" t="s">
        <v>1826</v>
      </c>
      <c r="N130" s="2" t="s">
        <v>1827</v>
      </c>
      <c r="O130" s="66"/>
      <c r="P130" s="2" t="s">
        <v>1518</v>
      </c>
      <c r="Q130" s="66" t="s">
        <v>1989</v>
      </c>
      <c r="R130" s="2"/>
      <c r="S130" s="27" t="e">
        <f t="shared" ca="1" si="1"/>
        <v>#VALUE!</v>
      </c>
    </row>
    <row r="131" spans="1:19" ht="27.75" customHeight="1" thickTop="1" thickBot="1" x14ac:dyDescent="0.35">
      <c r="A131" s="8">
        <v>1204700010003</v>
      </c>
      <c r="B131" s="7" t="s">
        <v>96</v>
      </c>
      <c r="C131" s="7" t="s">
        <v>213</v>
      </c>
      <c r="D131" s="7">
        <v>2005</v>
      </c>
      <c r="E131" s="7" t="s">
        <v>4</v>
      </c>
      <c r="F131" s="7" t="s">
        <v>10</v>
      </c>
      <c r="G131" s="8" t="s">
        <v>214</v>
      </c>
      <c r="H131" s="7" t="s">
        <v>35</v>
      </c>
      <c r="I131" s="7" t="s">
        <v>205</v>
      </c>
      <c r="J131" s="110" t="s">
        <v>1525</v>
      </c>
      <c r="K131" s="11" t="s">
        <v>1912</v>
      </c>
      <c r="L131" s="2"/>
      <c r="M131" s="2"/>
      <c r="N131" s="10"/>
      <c r="O131" s="2" t="s">
        <v>2385</v>
      </c>
      <c r="P131" s="2" t="s">
        <v>1525</v>
      </c>
      <c r="Q131" s="65" t="s">
        <v>2015</v>
      </c>
      <c r="R131" s="2"/>
      <c r="S131" s="27" t="str">
        <f t="shared" ca="1" si="1"/>
        <v>تم الاصلاح</v>
      </c>
    </row>
    <row r="132" spans="1:19" ht="27.75" customHeight="1" thickTop="1" thickBot="1" x14ac:dyDescent="0.35">
      <c r="A132" s="8">
        <v>1106700020010</v>
      </c>
      <c r="B132" s="7" t="s">
        <v>210</v>
      </c>
      <c r="C132" s="7" t="s">
        <v>906</v>
      </c>
      <c r="D132" s="7">
        <v>2006</v>
      </c>
      <c r="E132" s="7" t="s">
        <v>19</v>
      </c>
      <c r="F132" s="7" t="s">
        <v>571</v>
      </c>
      <c r="G132" s="8" t="s">
        <v>907</v>
      </c>
      <c r="H132" s="7" t="s">
        <v>35</v>
      </c>
      <c r="I132" s="7" t="s">
        <v>901</v>
      </c>
      <c r="J132" s="2" t="s">
        <v>1549</v>
      </c>
      <c r="K132" s="2" t="s">
        <v>1548</v>
      </c>
      <c r="L132" s="2" t="s">
        <v>1564</v>
      </c>
      <c r="M132" s="2" t="s">
        <v>1845</v>
      </c>
      <c r="N132" s="10" t="s">
        <v>1846</v>
      </c>
      <c r="O132" s="66"/>
      <c r="P132" s="2" t="s">
        <v>2024</v>
      </c>
      <c r="Q132" s="66" t="s">
        <v>2026</v>
      </c>
      <c r="R132" s="2"/>
      <c r="S132" s="27" t="e">
        <f t="shared" ca="1" si="1"/>
        <v>#VALUE!</v>
      </c>
    </row>
    <row r="133" spans="1:19" ht="27.75" customHeight="1" thickTop="1" thickBot="1" x14ac:dyDescent="0.35">
      <c r="A133" s="8">
        <v>1101700010006</v>
      </c>
      <c r="B133" s="7" t="s">
        <v>1551</v>
      </c>
      <c r="C133" s="7" t="s">
        <v>934</v>
      </c>
      <c r="D133" s="7">
        <v>2013</v>
      </c>
      <c r="E133" s="7" t="s">
        <v>19</v>
      </c>
      <c r="F133" s="7" t="s">
        <v>52</v>
      </c>
      <c r="G133" s="8" t="s">
        <v>935</v>
      </c>
      <c r="H133" s="7" t="s">
        <v>35</v>
      </c>
      <c r="I133" s="7" t="s">
        <v>933</v>
      </c>
      <c r="J133" s="2" t="s">
        <v>1477</v>
      </c>
      <c r="K133" s="2" t="s">
        <v>1548</v>
      </c>
      <c r="L133" s="2" t="s">
        <v>1564</v>
      </c>
      <c r="M133" s="2" t="s">
        <v>2697</v>
      </c>
      <c r="N133" s="2" t="s">
        <v>2698</v>
      </c>
      <c r="O133" s="2" t="s">
        <v>2698</v>
      </c>
      <c r="P133" s="2" t="s">
        <v>1477</v>
      </c>
      <c r="Q133" s="65" t="s">
        <v>1999</v>
      </c>
      <c r="R133" s="2"/>
      <c r="S133" s="27" t="str">
        <f t="shared" ca="1" si="1"/>
        <v>تم الاصلاح</v>
      </c>
    </row>
    <row r="134" spans="1:19" ht="27.75" customHeight="1" thickTop="1" thickBot="1" x14ac:dyDescent="0.35">
      <c r="A134" s="8">
        <v>1106700010003</v>
      </c>
      <c r="B134" s="7" t="s">
        <v>102</v>
      </c>
      <c r="C134" s="7" t="s">
        <v>664</v>
      </c>
      <c r="D134" s="7">
        <v>1991</v>
      </c>
      <c r="E134" s="7" t="s">
        <v>19</v>
      </c>
      <c r="F134" s="7" t="s">
        <v>104</v>
      </c>
      <c r="G134" s="8">
        <v>34600152717359</v>
      </c>
      <c r="H134" s="7" t="s">
        <v>263</v>
      </c>
      <c r="I134" s="7" t="s">
        <v>632</v>
      </c>
      <c r="J134" s="2" t="s">
        <v>1518</v>
      </c>
      <c r="K134" s="2" t="s">
        <v>1548</v>
      </c>
      <c r="L134" s="2" t="s">
        <v>1559</v>
      </c>
      <c r="M134" s="2" t="s">
        <v>1559</v>
      </c>
      <c r="N134" s="2" t="s">
        <v>1921</v>
      </c>
      <c r="O134" s="66"/>
      <c r="P134" s="2" t="s">
        <v>1518</v>
      </c>
      <c r="Q134" s="66" t="s">
        <v>1988</v>
      </c>
      <c r="R134" s="2"/>
      <c r="S134" s="27" t="e">
        <f t="shared" ca="1" si="1"/>
        <v>#VALUE!</v>
      </c>
    </row>
    <row r="135" spans="1:19" ht="27.75" customHeight="1" thickTop="1" thickBot="1" x14ac:dyDescent="0.35">
      <c r="A135" s="8">
        <v>1101700010006</v>
      </c>
      <c r="B135" s="7" t="s">
        <v>1551</v>
      </c>
      <c r="C135" s="7" t="s">
        <v>51</v>
      </c>
      <c r="D135" s="7">
        <v>2013</v>
      </c>
      <c r="E135" s="7" t="s">
        <v>19</v>
      </c>
      <c r="F135" s="7" t="s">
        <v>52</v>
      </c>
      <c r="G135" s="8" t="s">
        <v>53</v>
      </c>
      <c r="H135" s="7" t="s">
        <v>35</v>
      </c>
      <c r="I135" s="7" t="s">
        <v>49</v>
      </c>
      <c r="J135" s="2" t="s">
        <v>1471</v>
      </c>
      <c r="K135" s="11" t="s">
        <v>1912</v>
      </c>
      <c r="L135" s="2"/>
      <c r="M135" s="2"/>
      <c r="N135" s="2"/>
      <c r="O135" s="65" t="s">
        <v>2118</v>
      </c>
      <c r="P135" s="2" t="s">
        <v>1471</v>
      </c>
      <c r="Q135" s="65" t="s">
        <v>1998</v>
      </c>
      <c r="R135" s="2"/>
      <c r="S135" s="27" t="str">
        <f t="shared" ca="1" si="1"/>
        <v>تم الاصلاح</v>
      </c>
    </row>
    <row r="136" spans="1:19" ht="27.75" customHeight="1" thickTop="1" thickBot="1" x14ac:dyDescent="0.35">
      <c r="A136" s="8">
        <v>1102700010004</v>
      </c>
      <c r="B136" s="7" t="s">
        <v>64</v>
      </c>
      <c r="C136" s="7" t="s">
        <v>243</v>
      </c>
      <c r="D136" s="7">
        <v>2012</v>
      </c>
      <c r="E136" s="7" t="s">
        <v>19</v>
      </c>
      <c r="F136" s="7" t="s">
        <v>66</v>
      </c>
      <c r="G136" s="8" t="s">
        <v>244</v>
      </c>
      <c r="H136" s="7" t="s">
        <v>0</v>
      </c>
      <c r="I136" s="7" t="s">
        <v>240</v>
      </c>
      <c r="J136" s="2" t="s">
        <v>1543</v>
      </c>
      <c r="K136" s="11" t="s">
        <v>1912</v>
      </c>
      <c r="L136" s="2" t="s">
        <v>1564</v>
      </c>
      <c r="M136" s="2" t="s">
        <v>1918</v>
      </c>
      <c r="N136" s="2" t="s">
        <v>1917</v>
      </c>
      <c r="O136" s="2" t="s">
        <v>2448</v>
      </c>
      <c r="P136" s="2" t="s">
        <v>2051</v>
      </c>
      <c r="Q136" s="66"/>
      <c r="R136" s="2"/>
      <c r="S136" s="27" t="str">
        <f t="shared" ca="1" si="1"/>
        <v>تم الاصلاح</v>
      </c>
    </row>
    <row r="137" spans="1:19" ht="27.75" customHeight="1" thickTop="1" thickBot="1" x14ac:dyDescent="0.35">
      <c r="A137" s="8">
        <v>1204700020002</v>
      </c>
      <c r="B137" s="7" t="s">
        <v>178</v>
      </c>
      <c r="C137" s="7" t="s">
        <v>479</v>
      </c>
      <c r="D137" s="7">
        <v>2011</v>
      </c>
      <c r="E137" s="7" t="s">
        <v>19</v>
      </c>
      <c r="F137" s="7" t="s">
        <v>10</v>
      </c>
      <c r="G137" s="8" t="s">
        <v>480</v>
      </c>
      <c r="H137" s="7" t="s">
        <v>263</v>
      </c>
      <c r="I137" s="7" t="s">
        <v>465</v>
      </c>
      <c r="J137" s="2" t="s">
        <v>1471</v>
      </c>
      <c r="K137" s="11" t="s">
        <v>1912</v>
      </c>
      <c r="L137" s="2"/>
      <c r="M137" s="2"/>
      <c r="N137" s="2"/>
      <c r="O137" s="65" t="s">
        <v>2180</v>
      </c>
      <c r="P137" s="2" t="s">
        <v>1471</v>
      </c>
      <c r="Q137" s="65" t="s">
        <v>1994</v>
      </c>
      <c r="R137" s="2"/>
      <c r="S137" s="27" t="str">
        <f t="shared" ca="1" si="1"/>
        <v>تم الاصلاح</v>
      </c>
    </row>
    <row r="138" spans="1:19" ht="27.75" customHeight="1" thickTop="1" thickBot="1" x14ac:dyDescent="0.35">
      <c r="A138" s="8">
        <v>1105700010001</v>
      </c>
      <c r="B138" s="7" t="s">
        <v>290</v>
      </c>
      <c r="C138" s="7" t="s">
        <v>514</v>
      </c>
      <c r="D138" s="7">
        <v>2006</v>
      </c>
      <c r="E138" s="7" t="s">
        <v>19</v>
      </c>
      <c r="F138" s="7" t="s">
        <v>42</v>
      </c>
      <c r="G138" s="8" t="s">
        <v>515</v>
      </c>
      <c r="H138" s="7" t="s">
        <v>263</v>
      </c>
      <c r="I138" s="7" t="s">
        <v>509</v>
      </c>
      <c r="J138" s="2" t="s">
        <v>1477</v>
      </c>
      <c r="K138" s="2" t="s">
        <v>1548</v>
      </c>
      <c r="L138" s="2" t="s">
        <v>1564</v>
      </c>
      <c r="M138" s="2" t="s">
        <v>2671</v>
      </c>
      <c r="N138" s="2" t="s">
        <v>2670</v>
      </c>
      <c r="O138" s="2" t="s">
        <v>2474</v>
      </c>
      <c r="P138" s="2" t="s">
        <v>1477</v>
      </c>
      <c r="Q138" s="66" t="s">
        <v>1999</v>
      </c>
      <c r="R138" s="2"/>
      <c r="S138" s="27" t="str">
        <f t="shared" ca="1" si="1"/>
        <v>تم الاصلاح</v>
      </c>
    </row>
    <row r="139" spans="1:19" ht="27.75" customHeight="1" thickTop="1" thickBot="1" x14ac:dyDescent="0.35">
      <c r="A139" s="8">
        <v>1204700020003</v>
      </c>
      <c r="B139" s="7" t="s">
        <v>13</v>
      </c>
      <c r="C139" s="7" t="s">
        <v>445</v>
      </c>
      <c r="D139" s="7">
        <v>2009</v>
      </c>
      <c r="E139" s="7" t="s">
        <v>19</v>
      </c>
      <c r="F139" s="7" t="s">
        <v>10</v>
      </c>
      <c r="G139" s="8" t="s">
        <v>446</v>
      </c>
      <c r="H139" s="7" t="s">
        <v>263</v>
      </c>
      <c r="I139" s="7" t="s">
        <v>430</v>
      </c>
      <c r="J139" s="2" t="s">
        <v>1506</v>
      </c>
      <c r="K139" s="11" t="s">
        <v>1912</v>
      </c>
      <c r="L139" s="2"/>
      <c r="M139" s="2"/>
      <c r="N139" s="10"/>
      <c r="O139" s="65" t="s">
        <v>2197</v>
      </c>
      <c r="P139" s="2" t="s">
        <v>1506</v>
      </c>
      <c r="Q139" s="65" t="s">
        <v>2004</v>
      </c>
      <c r="R139" s="2"/>
      <c r="S139" s="27" t="str">
        <f t="shared" ref="S139:S202" ca="1" si="2">IF(
   OR(K139="تم الاصلاح", O139&lt;&gt;""),
   "تم الاصلاح",
   IF(N139="", "", TODAY()-N139)
)</f>
        <v>تم الاصلاح</v>
      </c>
    </row>
    <row r="140" spans="1:19" ht="27.75" customHeight="1" thickTop="1" thickBot="1" x14ac:dyDescent="0.35">
      <c r="A140" s="8">
        <v>1204700010003</v>
      </c>
      <c r="B140" s="7" t="s">
        <v>96</v>
      </c>
      <c r="C140" s="7" t="s">
        <v>97</v>
      </c>
      <c r="D140" s="7">
        <v>2008</v>
      </c>
      <c r="E140" s="7" t="s">
        <v>19</v>
      </c>
      <c r="F140" s="7" t="s">
        <v>10</v>
      </c>
      <c r="G140" s="8" t="s">
        <v>98</v>
      </c>
      <c r="H140" s="7" t="s">
        <v>35</v>
      </c>
      <c r="I140" s="7" t="s">
        <v>89</v>
      </c>
      <c r="J140" s="110" t="s">
        <v>1525</v>
      </c>
      <c r="K140" s="2" t="s">
        <v>2066</v>
      </c>
      <c r="L140" s="2" t="s">
        <v>1571</v>
      </c>
      <c r="M140" s="2" t="s">
        <v>2460</v>
      </c>
      <c r="N140" s="2" t="s">
        <v>2461</v>
      </c>
      <c r="O140" s="57" t="s">
        <v>2448</v>
      </c>
      <c r="P140" s="2" t="s">
        <v>1525</v>
      </c>
      <c r="Q140" s="66" t="s">
        <v>2015</v>
      </c>
      <c r="R140" s="2"/>
      <c r="S140" s="27" t="str">
        <f t="shared" ca="1" si="2"/>
        <v>تم الاصلاح</v>
      </c>
    </row>
    <row r="141" spans="1:19" ht="27.75" customHeight="1" thickTop="1" thickBot="1" x14ac:dyDescent="0.35">
      <c r="A141" s="8">
        <v>1106700010003</v>
      </c>
      <c r="B141" s="7" t="s">
        <v>102</v>
      </c>
      <c r="C141" s="7" t="s">
        <v>846</v>
      </c>
      <c r="D141" s="7">
        <v>1991</v>
      </c>
      <c r="E141" s="7" t="s">
        <v>19</v>
      </c>
      <c r="F141" s="7" t="s">
        <v>104</v>
      </c>
      <c r="G141" s="8">
        <v>55503855346001</v>
      </c>
      <c r="H141" s="7" t="s">
        <v>35</v>
      </c>
      <c r="I141" s="7" t="s">
        <v>841</v>
      </c>
      <c r="J141" s="2" t="s">
        <v>1531</v>
      </c>
      <c r="K141" s="2" t="s">
        <v>1548</v>
      </c>
      <c r="L141" s="2" t="s">
        <v>1571</v>
      </c>
      <c r="M141" s="2" t="s">
        <v>2254</v>
      </c>
      <c r="N141" s="10" t="s">
        <v>2253</v>
      </c>
      <c r="O141" s="65"/>
      <c r="P141" s="2" t="s">
        <v>1531</v>
      </c>
      <c r="Q141" s="65" t="s">
        <v>2022</v>
      </c>
      <c r="R141" s="2"/>
      <c r="S141" s="27" t="e">
        <f t="shared" ca="1" si="2"/>
        <v>#VALUE!</v>
      </c>
    </row>
    <row r="142" spans="1:19" ht="27.75" customHeight="1" thickTop="1" thickBot="1" x14ac:dyDescent="0.35">
      <c r="A142" s="8">
        <v>1101700010006</v>
      </c>
      <c r="B142" s="7" t="s">
        <v>1551</v>
      </c>
      <c r="C142" s="7" t="s">
        <v>73</v>
      </c>
      <c r="D142" s="7">
        <v>2013</v>
      </c>
      <c r="E142" s="7" t="s">
        <v>19</v>
      </c>
      <c r="F142" s="7" t="s">
        <v>52</v>
      </c>
      <c r="G142" s="8" t="s">
        <v>74</v>
      </c>
      <c r="H142" s="7" t="s">
        <v>35</v>
      </c>
      <c r="I142" s="7" t="s">
        <v>72</v>
      </c>
      <c r="J142" s="2" t="s">
        <v>1506</v>
      </c>
      <c r="K142" s="11" t="s">
        <v>1912</v>
      </c>
      <c r="L142" s="2"/>
      <c r="M142" s="2"/>
      <c r="N142" s="2"/>
      <c r="O142" s="2" t="s">
        <v>2319</v>
      </c>
      <c r="P142" s="2" t="s">
        <v>1506</v>
      </c>
      <c r="Q142" s="66" t="s">
        <v>2008</v>
      </c>
      <c r="R142" s="2"/>
      <c r="S142" s="27" t="str">
        <f t="shared" ca="1" si="2"/>
        <v>تم الاصلاح</v>
      </c>
    </row>
    <row r="143" spans="1:19" ht="27.75" customHeight="1" thickTop="1" thickBot="1" x14ac:dyDescent="0.35">
      <c r="A143" s="8">
        <v>1204700010002</v>
      </c>
      <c r="B143" s="7" t="s">
        <v>265</v>
      </c>
      <c r="C143" s="7" t="s">
        <v>516</v>
      </c>
      <c r="D143" s="7">
        <v>2003</v>
      </c>
      <c r="E143" s="7" t="s">
        <v>4</v>
      </c>
      <c r="F143" s="7" t="s">
        <v>10</v>
      </c>
      <c r="G143" s="8" t="s">
        <v>517</v>
      </c>
      <c r="H143" s="7" t="s">
        <v>263</v>
      </c>
      <c r="I143" s="7" t="s">
        <v>509</v>
      </c>
      <c r="J143" s="2" t="s">
        <v>1477</v>
      </c>
      <c r="K143" s="2" t="s">
        <v>1548</v>
      </c>
      <c r="L143" s="2" t="s">
        <v>1564</v>
      </c>
      <c r="M143" s="2" t="s">
        <v>2142</v>
      </c>
      <c r="N143" s="10" t="s">
        <v>2143</v>
      </c>
      <c r="O143" s="65"/>
      <c r="P143" s="2" t="s">
        <v>1477</v>
      </c>
      <c r="Q143" s="65" t="s">
        <v>1999</v>
      </c>
      <c r="R143" s="2"/>
      <c r="S143" s="27" t="e">
        <f t="shared" ca="1" si="2"/>
        <v>#VALUE!</v>
      </c>
    </row>
    <row r="144" spans="1:19" ht="27.75" customHeight="1" thickTop="1" thickBot="1" x14ac:dyDescent="0.35">
      <c r="A144" s="8">
        <v>1204700010003</v>
      </c>
      <c r="B144" s="7" t="s">
        <v>96</v>
      </c>
      <c r="C144" s="7" t="s">
        <v>573</v>
      </c>
      <c r="D144" s="7">
        <v>2008</v>
      </c>
      <c r="E144" s="7" t="s">
        <v>19</v>
      </c>
      <c r="F144" s="7" t="s">
        <v>10</v>
      </c>
      <c r="G144" s="8" t="s">
        <v>574</v>
      </c>
      <c r="H144" s="7" t="s">
        <v>263</v>
      </c>
      <c r="I144" s="7" t="s">
        <v>568</v>
      </c>
      <c r="J144" s="110" t="s">
        <v>1487</v>
      </c>
      <c r="K144" s="2" t="s">
        <v>1548</v>
      </c>
      <c r="L144" s="2" t="s">
        <v>1571</v>
      </c>
      <c r="M144" s="2" t="s">
        <v>2560</v>
      </c>
      <c r="N144" s="9" t="s">
        <v>2559</v>
      </c>
      <c r="O144" s="2" t="s">
        <v>2222</v>
      </c>
      <c r="P144" s="2" t="s">
        <v>2034</v>
      </c>
      <c r="Q144" s="66" t="s">
        <v>2035</v>
      </c>
      <c r="R144" s="2"/>
      <c r="S144" s="27" t="str">
        <f t="shared" ca="1" si="2"/>
        <v>تم الاصلاح</v>
      </c>
    </row>
    <row r="145" spans="1:19" ht="27.75" customHeight="1" thickTop="1" thickBot="1" x14ac:dyDescent="0.35">
      <c r="A145" s="8">
        <v>1102700010004</v>
      </c>
      <c r="B145" s="7" t="s">
        <v>64</v>
      </c>
      <c r="C145" s="7" t="s">
        <v>1448</v>
      </c>
      <c r="D145" s="7">
        <v>2008</v>
      </c>
      <c r="E145" s="7" t="s">
        <v>19</v>
      </c>
      <c r="F145" s="7" t="s">
        <v>440</v>
      </c>
      <c r="G145" s="8" t="s">
        <v>1278</v>
      </c>
      <c r="H145" s="7" t="s">
        <v>263</v>
      </c>
      <c r="I145" s="7" t="s">
        <v>1225</v>
      </c>
      <c r="J145" s="2" t="s">
        <v>1544</v>
      </c>
      <c r="K145" s="2" t="s">
        <v>1548</v>
      </c>
      <c r="L145" s="2" t="s">
        <v>1571</v>
      </c>
      <c r="M145" s="2" t="s">
        <v>1582</v>
      </c>
      <c r="N145" s="10" t="s">
        <v>1583</v>
      </c>
      <c r="O145" s="65"/>
      <c r="P145" s="2" t="s">
        <v>2053</v>
      </c>
      <c r="Q145" s="65"/>
      <c r="R145" s="2"/>
      <c r="S145" s="27" t="e">
        <f t="shared" ca="1" si="2"/>
        <v>#VALUE!</v>
      </c>
    </row>
    <row r="146" spans="1:19" ht="27.75" customHeight="1" thickTop="1" thickBot="1" x14ac:dyDescent="0.35">
      <c r="A146" s="8">
        <v>1106700020010</v>
      </c>
      <c r="B146" s="7" t="s">
        <v>210</v>
      </c>
      <c r="C146" s="7" t="s">
        <v>783</v>
      </c>
      <c r="D146" s="7">
        <v>2009</v>
      </c>
      <c r="E146" s="7" t="s">
        <v>19</v>
      </c>
      <c r="F146" s="7" t="s">
        <v>56</v>
      </c>
      <c r="G146" s="8" t="s">
        <v>784</v>
      </c>
      <c r="H146" s="7" t="s">
        <v>35</v>
      </c>
      <c r="I146" s="7" t="s">
        <v>776</v>
      </c>
      <c r="J146" s="2" t="s">
        <v>1506</v>
      </c>
      <c r="K146" s="2" t="s">
        <v>1548</v>
      </c>
      <c r="L146" s="2" t="s">
        <v>1615</v>
      </c>
      <c r="M146" s="2" t="s">
        <v>2361</v>
      </c>
      <c r="N146" s="9" t="s">
        <v>2526</v>
      </c>
      <c r="O146" s="2" t="s">
        <v>2180</v>
      </c>
      <c r="P146" s="2" t="s">
        <v>2045</v>
      </c>
      <c r="Q146" s="66" t="s">
        <v>2046</v>
      </c>
      <c r="R146" s="2" t="s">
        <v>1649</v>
      </c>
      <c r="S146" s="27" t="str">
        <f t="shared" ca="1" si="2"/>
        <v>تم الاصلاح</v>
      </c>
    </row>
    <row r="147" spans="1:19" ht="27.75" customHeight="1" thickTop="1" thickBot="1" x14ac:dyDescent="0.35">
      <c r="A147" s="8">
        <v>1204700010003</v>
      </c>
      <c r="B147" s="7" t="s">
        <v>96</v>
      </c>
      <c r="C147" s="7" t="s">
        <v>894</v>
      </c>
      <c r="D147" s="7">
        <v>2005</v>
      </c>
      <c r="E147" s="7" t="s">
        <v>19</v>
      </c>
      <c r="F147" s="7" t="s">
        <v>10</v>
      </c>
      <c r="G147" s="8" t="s">
        <v>895</v>
      </c>
      <c r="H147" s="7" t="s">
        <v>35</v>
      </c>
      <c r="I147" s="7" t="s">
        <v>887</v>
      </c>
      <c r="J147" s="110" t="s">
        <v>1498</v>
      </c>
      <c r="K147" s="11" t="s">
        <v>1912</v>
      </c>
      <c r="L147" s="2" t="s">
        <v>1564</v>
      </c>
      <c r="M147" s="2" t="s">
        <v>1903</v>
      </c>
      <c r="N147" s="2" t="s">
        <v>1647</v>
      </c>
      <c r="O147" s="2" t="s">
        <v>2474</v>
      </c>
      <c r="P147" s="2" t="s">
        <v>2024</v>
      </c>
      <c r="Q147" s="65" t="s">
        <v>2025</v>
      </c>
      <c r="R147" s="2" t="s">
        <v>1904</v>
      </c>
      <c r="S147" s="27" t="str">
        <f t="shared" ca="1" si="2"/>
        <v>تم الاصلاح</v>
      </c>
    </row>
    <row r="148" spans="1:19" ht="27.75" customHeight="1" thickTop="1" thickBot="1" x14ac:dyDescent="0.35">
      <c r="A148" s="8">
        <v>1106700020003</v>
      </c>
      <c r="B148" s="7" t="s">
        <v>54</v>
      </c>
      <c r="C148" s="7" t="s">
        <v>825</v>
      </c>
      <c r="D148" s="7">
        <v>2011</v>
      </c>
      <c r="E148" s="7" t="s">
        <v>19</v>
      </c>
      <c r="F148" s="7" t="s">
        <v>56</v>
      </c>
      <c r="G148" s="8" t="s">
        <v>826</v>
      </c>
      <c r="H148" s="7" t="s">
        <v>35</v>
      </c>
      <c r="I148" s="7" t="s">
        <v>820</v>
      </c>
      <c r="J148" s="2" t="s">
        <v>1531</v>
      </c>
      <c r="K148" s="11" t="s">
        <v>1912</v>
      </c>
      <c r="L148" s="2" t="s">
        <v>1564</v>
      </c>
      <c r="M148" s="2" t="s">
        <v>2497</v>
      </c>
      <c r="N148" s="2" t="s">
        <v>2253</v>
      </c>
      <c r="O148" s="2" t="s">
        <v>2625</v>
      </c>
      <c r="P148" s="2" t="s">
        <v>1531</v>
      </c>
      <c r="Q148" s="66" t="s">
        <v>2019</v>
      </c>
      <c r="R148" s="2"/>
      <c r="S148" s="27" t="str">
        <f t="shared" ca="1" si="2"/>
        <v>تم الاصلاح</v>
      </c>
    </row>
    <row r="149" spans="1:19" ht="27.75" customHeight="1" thickTop="1" thickBot="1" x14ac:dyDescent="0.35">
      <c r="A149" s="8">
        <v>1106700020003</v>
      </c>
      <c r="B149" s="7" t="s">
        <v>54</v>
      </c>
      <c r="C149" s="7" t="s">
        <v>75</v>
      </c>
      <c r="D149" s="7">
        <v>2014</v>
      </c>
      <c r="E149" s="7" t="s">
        <v>19</v>
      </c>
      <c r="F149" s="7" t="s">
        <v>56</v>
      </c>
      <c r="G149" s="8" t="s">
        <v>76</v>
      </c>
      <c r="H149" s="7" t="s">
        <v>35</v>
      </c>
      <c r="I149" s="7" t="s">
        <v>72</v>
      </c>
      <c r="J149" s="2" t="s">
        <v>1506</v>
      </c>
      <c r="K149" s="11" t="s">
        <v>1912</v>
      </c>
      <c r="L149" s="2"/>
      <c r="M149" s="2"/>
      <c r="N149" s="2"/>
      <c r="O149" s="65" t="s">
        <v>2222</v>
      </c>
      <c r="P149" s="2" t="s">
        <v>1506</v>
      </c>
      <c r="Q149" s="65" t="s">
        <v>2008</v>
      </c>
      <c r="R149" s="2"/>
      <c r="S149" s="27" t="str">
        <f t="shared" ca="1" si="2"/>
        <v>تم الاصلاح</v>
      </c>
    </row>
    <row r="150" spans="1:19" ht="27.75" customHeight="1" thickTop="1" thickBot="1" x14ac:dyDescent="0.35">
      <c r="A150" s="8">
        <v>1101700010006</v>
      </c>
      <c r="B150" s="7" t="s">
        <v>1551</v>
      </c>
      <c r="C150" s="7" t="s">
        <v>62</v>
      </c>
      <c r="D150" s="7">
        <v>2013</v>
      </c>
      <c r="E150" s="7" t="s">
        <v>19</v>
      </c>
      <c r="F150" s="7" t="s">
        <v>52</v>
      </c>
      <c r="G150" s="8" t="s">
        <v>63</v>
      </c>
      <c r="H150" s="7" t="s">
        <v>35</v>
      </c>
      <c r="I150" s="7" t="s">
        <v>61</v>
      </c>
      <c r="J150" s="2" t="s">
        <v>1549</v>
      </c>
      <c r="K150" s="2" t="s">
        <v>1548</v>
      </c>
      <c r="L150" s="2" t="s">
        <v>1564</v>
      </c>
      <c r="M150" s="2" t="s">
        <v>1831</v>
      </c>
      <c r="N150" s="2" t="s">
        <v>1832</v>
      </c>
      <c r="O150" s="66"/>
      <c r="P150" s="2" t="s">
        <v>1518</v>
      </c>
      <c r="Q150" s="66" t="s">
        <v>1991</v>
      </c>
      <c r="R150" s="2"/>
      <c r="S150" s="27" t="e">
        <f t="shared" ca="1" si="2"/>
        <v>#VALUE!</v>
      </c>
    </row>
    <row r="151" spans="1:19" ht="27.75" customHeight="1" thickTop="1" thickBot="1" x14ac:dyDescent="0.35">
      <c r="A151" s="8">
        <v>1101700010006</v>
      </c>
      <c r="B151" s="7" t="s">
        <v>1551</v>
      </c>
      <c r="C151" s="7" t="s">
        <v>1245</v>
      </c>
      <c r="D151" s="7">
        <v>2013</v>
      </c>
      <c r="E151" s="7" t="s">
        <v>19</v>
      </c>
      <c r="F151" s="7" t="s">
        <v>52</v>
      </c>
      <c r="G151" s="8" t="s">
        <v>1246</v>
      </c>
      <c r="H151" s="7" t="s">
        <v>263</v>
      </c>
      <c r="I151" s="7" t="s">
        <v>1225</v>
      </c>
      <c r="J151" s="2" t="s">
        <v>1471</v>
      </c>
      <c r="K151" s="2" t="s">
        <v>1548</v>
      </c>
      <c r="L151" s="2" t="s">
        <v>1564</v>
      </c>
      <c r="M151" s="2" t="s">
        <v>2071</v>
      </c>
      <c r="N151" s="9" t="s">
        <v>2517</v>
      </c>
      <c r="O151" s="2" t="s">
        <v>2489</v>
      </c>
      <c r="P151" s="2" t="s">
        <v>2053</v>
      </c>
      <c r="Q151" s="65"/>
      <c r="R151" s="2"/>
      <c r="S151" s="27" t="str">
        <f t="shared" ca="1" si="2"/>
        <v>تم الاصلاح</v>
      </c>
    </row>
    <row r="152" spans="1:19" ht="27.75" customHeight="1" thickTop="1" thickBot="1" x14ac:dyDescent="0.35">
      <c r="A152" s="8">
        <v>1101700010006</v>
      </c>
      <c r="B152" s="7" t="s">
        <v>1551</v>
      </c>
      <c r="C152" s="7" t="s">
        <v>119</v>
      </c>
      <c r="D152" s="7">
        <v>2013</v>
      </c>
      <c r="E152" s="7" t="s">
        <v>19</v>
      </c>
      <c r="F152" s="7" t="s">
        <v>52</v>
      </c>
      <c r="G152" s="8" t="s">
        <v>120</v>
      </c>
      <c r="H152" s="7" t="s">
        <v>35</v>
      </c>
      <c r="I152" s="7" t="s">
        <v>118</v>
      </c>
      <c r="J152" s="2" t="s">
        <v>1493</v>
      </c>
      <c r="K152" s="2" t="s">
        <v>1548</v>
      </c>
      <c r="L152" s="2" t="s">
        <v>1564</v>
      </c>
      <c r="M152" s="2" t="s">
        <v>1654</v>
      </c>
      <c r="N152" s="2" t="s">
        <v>1655</v>
      </c>
      <c r="O152" s="66"/>
      <c r="P152" s="2" t="s">
        <v>2045</v>
      </c>
      <c r="Q152" s="66" t="s">
        <v>2046</v>
      </c>
      <c r="R152" s="2" t="s">
        <v>1656</v>
      </c>
      <c r="S152" s="27" t="e">
        <f t="shared" ca="1" si="2"/>
        <v>#VALUE!</v>
      </c>
    </row>
    <row r="153" spans="1:19" ht="27.75" customHeight="1" thickTop="1" thickBot="1" x14ac:dyDescent="0.35">
      <c r="A153" s="8">
        <v>1101700010006</v>
      </c>
      <c r="B153" s="7" t="s">
        <v>1551</v>
      </c>
      <c r="C153" s="7" t="s">
        <v>221</v>
      </c>
      <c r="D153" s="7">
        <v>2013</v>
      </c>
      <c r="E153" s="7" t="s">
        <v>19</v>
      </c>
      <c r="F153" s="7" t="s">
        <v>52</v>
      </c>
      <c r="G153" s="8" t="s">
        <v>222</v>
      </c>
      <c r="H153" s="7" t="s">
        <v>35</v>
      </c>
      <c r="I153" s="7" t="s">
        <v>220</v>
      </c>
      <c r="J153" s="2" t="s">
        <v>1525</v>
      </c>
      <c r="K153" s="2" t="s">
        <v>2066</v>
      </c>
      <c r="L153" s="2"/>
      <c r="M153" s="2" t="s">
        <v>2542</v>
      </c>
      <c r="N153" s="2" t="s">
        <v>2543</v>
      </c>
      <c r="O153" s="2" t="s">
        <v>2188</v>
      </c>
      <c r="P153" s="2" t="s">
        <v>1525</v>
      </c>
      <c r="Q153" s="65" t="s">
        <v>2018</v>
      </c>
      <c r="R153" s="2"/>
      <c r="S153" s="27" t="str">
        <f t="shared" ca="1" si="2"/>
        <v>تم الاصلاح</v>
      </c>
    </row>
    <row r="154" spans="1:19" ht="27.75" customHeight="1" thickTop="1" thickBot="1" x14ac:dyDescent="0.35">
      <c r="A154" s="8">
        <v>1204700020003</v>
      </c>
      <c r="B154" s="7" t="s">
        <v>13</v>
      </c>
      <c r="C154" s="7" t="s">
        <v>124</v>
      </c>
      <c r="D154" s="7">
        <v>2005</v>
      </c>
      <c r="E154" s="7" t="s">
        <v>4</v>
      </c>
      <c r="F154" s="7" t="s">
        <v>5</v>
      </c>
      <c r="G154" s="8" t="s">
        <v>125</v>
      </c>
      <c r="H154" s="7" t="s">
        <v>35</v>
      </c>
      <c r="I154" s="7" t="s">
        <v>118</v>
      </c>
      <c r="J154" s="2" t="s">
        <v>1493</v>
      </c>
      <c r="K154" s="11" t="s">
        <v>1912</v>
      </c>
      <c r="L154" s="2"/>
      <c r="M154" s="2"/>
      <c r="N154" s="2"/>
      <c r="O154" s="66" t="s">
        <v>2198</v>
      </c>
      <c r="P154" s="2" t="s">
        <v>2045</v>
      </c>
      <c r="Q154" s="66" t="s">
        <v>2049</v>
      </c>
      <c r="R154" s="2"/>
      <c r="S154" s="27" t="str">
        <f t="shared" ca="1" si="2"/>
        <v>تم الاصلاح</v>
      </c>
    </row>
    <row r="155" spans="1:19" ht="27.75" customHeight="1" thickTop="1" thickBot="1" x14ac:dyDescent="0.35">
      <c r="A155" s="8">
        <v>1101700010006</v>
      </c>
      <c r="B155" s="7" t="s">
        <v>1551</v>
      </c>
      <c r="C155" s="7" t="s">
        <v>2097</v>
      </c>
      <c r="D155" s="7">
        <v>2013</v>
      </c>
      <c r="E155" s="7" t="s">
        <v>19</v>
      </c>
      <c r="F155" s="7" t="s">
        <v>52</v>
      </c>
      <c r="G155" s="8" t="s">
        <v>84</v>
      </c>
      <c r="H155" s="7" t="s">
        <v>35</v>
      </c>
      <c r="I155" s="7" t="s">
        <v>82</v>
      </c>
      <c r="J155" s="2" t="s">
        <v>1506</v>
      </c>
      <c r="K155" s="2" t="s">
        <v>1548</v>
      </c>
      <c r="L155" s="2" t="s">
        <v>1571</v>
      </c>
      <c r="M155" s="2" t="s">
        <v>2315</v>
      </c>
      <c r="N155" s="9" t="s">
        <v>2316</v>
      </c>
      <c r="O155" s="2"/>
      <c r="P155" s="2" t="s">
        <v>1506</v>
      </c>
      <c r="Q155" s="65" t="s">
        <v>2007</v>
      </c>
      <c r="R155" s="2"/>
      <c r="S155" s="27" t="e">
        <f t="shared" ca="1" si="2"/>
        <v>#VALUE!</v>
      </c>
    </row>
    <row r="156" spans="1:19" ht="27.75" customHeight="1" thickTop="1" thickBot="1" x14ac:dyDescent="0.35">
      <c r="A156" s="8">
        <v>1106700020003</v>
      </c>
      <c r="B156" s="7" t="s">
        <v>54</v>
      </c>
      <c r="C156" s="7" t="s">
        <v>129</v>
      </c>
      <c r="D156" s="7">
        <v>2012</v>
      </c>
      <c r="E156" s="7" t="s">
        <v>19</v>
      </c>
      <c r="F156" s="7" t="s">
        <v>56</v>
      </c>
      <c r="G156" s="8" t="s">
        <v>130</v>
      </c>
      <c r="H156" s="7" t="s">
        <v>35</v>
      </c>
      <c r="I156" s="7" t="s">
        <v>126</v>
      </c>
      <c r="J156" s="2" t="s">
        <v>1493</v>
      </c>
      <c r="K156" s="11" t="s">
        <v>1912</v>
      </c>
      <c r="L156" s="2"/>
      <c r="M156" s="2"/>
      <c r="N156" s="2"/>
      <c r="O156" s="2" t="s">
        <v>2412</v>
      </c>
      <c r="P156" s="2" t="s">
        <v>2045</v>
      </c>
      <c r="Q156" s="66" t="s">
        <v>2050</v>
      </c>
      <c r="R156" s="2"/>
      <c r="S156" s="27" t="str">
        <f t="shared" ca="1" si="2"/>
        <v>تم الاصلاح</v>
      </c>
    </row>
    <row r="157" spans="1:19" ht="27.75" customHeight="1" thickTop="1" thickBot="1" x14ac:dyDescent="0.35">
      <c r="A157" s="8">
        <v>1101700030006</v>
      </c>
      <c r="B157" s="7" t="s">
        <v>1551</v>
      </c>
      <c r="C157" s="7" t="s">
        <v>1436</v>
      </c>
      <c r="D157" s="7">
        <v>2012</v>
      </c>
      <c r="E157" s="7" t="s">
        <v>19</v>
      </c>
      <c r="F157" s="7" t="s">
        <v>52</v>
      </c>
      <c r="G157" s="8" t="s">
        <v>59</v>
      </c>
      <c r="H157" s="7" t="s">
        <v>35</v>
      </c>
      <c r="I157" s="7" t="s">
        <v>58</v>
      </c>
      <c r="J157" s="2" t="s">
        <v>1471</v>
      </c>
      <c r="K157" s="2" t="s">
        <v>1548</v>
      </c>
      <c r="L157" s="2" t="s">
        <v>1564</v>
      </c>
      <c r="M157" s="2" t="s">
        <v>1808</v>
      </c>
      <c r="N157" s="10" t="s">
        <v>1809</v>
      </c>
      <c r="O157" s="65"/>
      <c r="P157" s="2" t="s">
        <v>1471</v>
      </c>
      <c r="Q157" s="65" t="s">
        <v>1996</v>
      </c>
      <c r="R157" s="2" t="s">
        <v>1922</v>
      </c>
      <c r="S157" s="27" t="e">
        <f t="shared" ca="1" si="2"/>
        <v>#VALUE!</v>
      </c>
    </row>
    <row r="158" spans="1:19" ht="27.75" customHeight="1" thickTop="1" thickBot="1" x14ac:dyDescent="0.35">
      <c r="A158" s="8">
        <v>1101700030006</v>
      </c>
      <c r="B158" s="7" t="s">
        <v>1551</v>
      </c>
      <c r="C158" s="7" t="s">
        <v>154</v>
      </c>
      <c r="D158" s="7">
        <v>2012</v>
      </c>
      <c r="E158" s="7" t="s">
        <v>19</v>
      </c>
      <c r="F158" s="7" t="s">
        <v>52</v>
      </c>
      <c r="G158" s="8" t="s">
        <v>155</v>
      </c>
      <c r="H158" s="7" t="s">
        <v>35</v>
      </c>
      <c r="I158" s="7" t="s">
        <v>153</v>
      </c>
      <c r="J158" s="2" t="s">
        <v>1537</v>
      </c>
      <c r="K158" s="2" t="s">
        <v>1548</v>
      </c>
      <c r="L158" s="2" t="s">
        <v>1564</v>
      </c>
      <c r="M158" s="2" t="s">
        <v>2080</v>
      </c>
      <c r="N158" s="2" t="s">
        <v>2079</v>
      </c>
      <c r="O158" s="66"/>
      <c r="P158" s="2" t="s">
        <v>1537</v>
      </c>
      <c r="Q158" s="66" t="s">
        <v>2040</v>
      </c>
      <c r="R158" s="2" t="s">
        <v>2081</v>
      </c>
      <c r="S158" s="27" t="e">
        <f t="shared" ca="1" si="2"/>
        <v>#VALUE!</v>
      </c>
    </row>
    <row r="159" spans="1:19" ht="27.75" customHeight="1" thickTop="1" thickBot="1" x14ac:dyDescent="0.35">
      <c r="A159" s="8">
        <v>1101700010006</v>
      </c>
      <c r="B159" s="7" t="s">
        <v>1551</v>
      </c>
      <c r="C159" s="7" t="s">
        <v>788</v>
      </c>
      <c r="D159" s="7">
        <v>2012</v>
      </c>
      <c r="E159" s="7" t="s">
        <v>19</v>
      </c>
      <c r="F159" s="7" t="s">
        <v>52</v>
      </c>
      <c r="G159" s="8" t="s">
        <v>789</v>
      </c>
      <c r="H159" s="7" t="s">
        <v>35</v>
      </c>
      <c r="I159" s="7" t="s">
        <v>787</v>
      </c>
      <c r="J159" s="2" t="s">
        <v>1477</v>
      </c>
      <c r="K159" s="2" t="s">
        <v>1548</v>
      </c>
      <c r="L159" s="2" t="s">
        <v>1571</v>
      </c>
      <c r="M159" s="2" t="s">
        <v>2243</v>
      </c>
      <c r="N159" s="9" t="s">
        <v>2244</v>
      </c>
      <c r="O159" s="65"/>
      <c r="P159" s="2" t="s">
        <v>1477</v>
      </c>
      <c r="Q159" s="65" t="s">
        <v>2002</v>
      </c>
      <c r="R159" s="2"/>
      <c r="S159" s="27" t="e">
        <f t="shared" ca="1" si="2"/>
        <v>#VALUE!</v>
      </c>
    </row>
    <row r="160" spans="1:19" ht="27.75" customHeight="1" thickTop="1" thickBot="1" x14ac:dyDescent="0.35">
      <c r="A160" s="8">
        <v>1101700010006</v>
      </c>
      <c r="B160" s="7" t="s">
        <v>1551</v>
      </c>
      <c r="C160" s="7" t="s">
        <v>914</v>
      </c>
      <c r="D160" s="7">
        <v>2012</v>
      </c>
      <c r="E160" s="7" t="s">
        <v>19</v>
      </c>
      <c r="F160" s="7" t="s">
        <v>52</v>
      </c>
      <c r="G160" s="8" t="s">
        <v>915</v>
      </c>
      <c r="H160" s="7" t="s">
        <v>35</v>
      </c>
      <c r="I160" s="7" t="s">
        <v>913</v>
      </c>
      <c r="J160" s="2" t="s">
        <v>1477</v>
      </c>
      <c r="K160" s="2" t="s">
        <v>1548</v>
      </c>
      <c r="L160" s="2" t="s">
        <v>1565</v>
      </c>
      <c r="M160" s="2" t="s">
        <v>2578</v>
      </c>
      <c r="N160" s="9" t="s">
        <v>2557</v>
      </c>
      <c r="O160" s="2" t="s">
        <v>2579</v>
      </c>
      <c r="P160" s="2" t="s">
        <v>1477</v>
      </c>
      <c r="Q160" s="66" t="s">
        <v>2000</v>
      </c>
      <c r="R160" s="2"/>
      <c r="S160" s="27" t="str">
        <f t="shared" ca="1" si="2"/>
        <v>تم الاصلاح</v>
      </c>
    </row>
    <row r="161" spans="1:19" ht="27.75" customHeight="1" thickTop="1" thickBot="1" x14ac:dyDescent="0.35">
      <c r="A161" s="8">
        <v>1101700030006</v>
      </c>
      <c r="B161" s="7" t="s">
        <v>1551</v>
      </c>
      <c r="C161" s="7" t="s">
        <v>1258</v>
      </c>
      <c r="D161" s="7">
        <v>2012</v>
      </c>
      <c r="E161" s="7" t="s">
        <v>19</v>
      </c>
      <c r="F161" s="7" t="s">
        <v>52</v>
      </c>
      <c r="G161" s="8" t="s">
        <v>1259</v>
      </c>
      <c r="H161" s="7" t="s">
        <v>263</v>
      </c>
      <c r="I161" s="7" t="s">
        <v>1225</v>
      </c>
      <c r="J161" s="2" t="s">
        <v>1544</v>
      </c>
      <c r="K161" s="2" t="s">
        <v>1548</v>
      </c>
      <c r="L161" s="2" t="s">
        <v>1564</v>
      </c>
      <c r="M161" s="2" t="s">
        <v>1590</v>
      </c>
      <c r="N161" s="10" t="s">
        <v>1591</v>
      </c>
      <c r="O161" s="65"/>
      <c r="P161" s="2" t="s">
        <v>2053</v>
      </c>
      <c r="Q161" s="65"/>
      <c r="R161" s="2"/>
      <c r="S161" s="27" t="e">
        <f t="shared" ca="1" si="2"/>
        <v>#VALUE!</v>
      </c>
    </row>
    <row r="162" spans="1:19" ht="27.75" customHeight="1" thickTop="1" thickBot="1" x14ac:dyDescent="0.35">
      <c r="A162" s="8">
        <v>1101700010006</v>
      </c>
      <c r="B162" s="7" t="s">
        <v>1551</v>
      </c>
      <c r="C162" s="7" t="s">
        <v>199</v>
      </c>
      <c r="D162" s="7">
        <v>2012</v>
      </c>
      <c r="E162" s="7" t="s">
        <v>19</v>
      </c>
      <c r="F162" s="7" t="s">
        <v>52</v>
      </c>
      <c r="G162" s="8" t="s">
        <v>200</v>
      </c>
      <c r="H162" s="7" t="s">
        <v>35</v>
      </c>
      <c r="I162" s="7" t="s">
        <v>198</v>
      </c>
      <c r="J162" s="2" t="s">
        <v>1531</v>
      </c>
      <c r="K162" s="11" t="s">
        <v>1912</v>
      </c>
      <c r="L162" s="2" t="s">
        <v>1569</v>
      </c>
      <c r="M162" s="2" t="s">
        <v>2252</v>
      </c>
      <c r="N162" s="2" t="s">
        <v>2253</v>
      </c>
      <c r="O162" s="2" t="s">
        <v>2479</v>
      </c>
      <c r="P162" s="2" t="s">
        <v>1531</v>
      </c>
      <c r="Q162" s="66" t="s">
        <v>2023</v>
      </c>
      <c r="R162" s="2"/>
      <c r="S162" s="27" t="str">
        <f t="shared" ca="1" si="2"/>
        <v>تم الاصلاح</v>
      </c>
    </row>
    <row r="163" spans="1:19" ht="27.75" customHeight="1" thickTop="1" thickBot="1" x14ac:dyDescent="0.35">
      <c r="A163" s="8">
        <v>1102700020004</v>
      </c>
      <c r="B163" s="7" t="s">
        <v>136</v>
      </c>
      <c r="C163" s="7" t="s">
        <v>844</v>
      </c>
      <c r="D163" s="7">
        <v>2017</v>
      </c>
      <c r="E163" s="7" t="s">
        <v>19</v>
      </c>
      <c r="F163" s="7" t="s">
        <v>66</v>
      </c>
      <c r="G163" s="8" t="s">
        <v>845</v>
      </c>
      <c r="H163" s="7" t="s">
        <v>35</v>
      </c>
      <c r="I163" s="7" t="s">
        <v>841</v>
      </c>
      <c r="J163" s="2" t="s">
        <v>1531</v>
      </c>
      <c r="K163" s="2" t="s">
        <v>1548</v>
      </c>
      <c r="L163" s="2" t="s">
        <v>1564</v>
      </c>
      <c r="M163" s="2" t="s">
        <v>2068</v>
      </c>
      <c r="N163" s="2" t="s">
        <v>2067</v>
      </c>
      <c r="O163" s="65"/>
      <c r="P163" s="2" t="s">
        <v>1531</v>
      </c>
      <c r="Q163" s="65" t="s">
        <v>2021</v>
      </c>
      <c r="R163" s="2"/>
      <c r="S163" s="27" t="e">
        <f t="shared" ca="1" si="2"/>
        <v>#VALUE!</v>
      </c>
    </row>
    <row r="164" spans="1:19" ht="27.75" customHeight="1" thickTop="1" thickBot="1" x14ac:dyDescent="0.35">
      <c r="A164" s="8">
        <v>1101700010006</v>
      </c>
      <c r="B164" s="7" t="s">
        <v>50</v>
      </c>
      <c r="C164" s="7" t="s">
        <v>1236</v>
      </c>
      <c r="D164" s="7">
        <v>2010</v>
      </c>
      <c r="E164" s="7" t="s">
        <v>19</v>
      </c>
      <c r="F164" s="7" t="s">
        <v>52</v>
      </c>
      <c r="G164" s="8" t="s">
        <v>1237</v>
      </c>
      <c r="H164" s="7" t="s">
        <v>263</v>
      </c>
      <c r="I164" s="7" t="s">
        <v>1225</v>
      </c>
      <c r="J164" s="2" t="s">
        <v>1544</v>
      </c>
      <c r="K164" s="2" t="s">
        <v>1548</v>
      </c>
      <c r="L164" s="2" t="s">
        <v>1567</v>
      </c>
      <c r="M164" s="2" t="s">
        <v>1605</v>
      </c>
      <c r="N164" s="2" t="s">
        <v>1606</v>
      </c>
      <c r="O164" s="66"/>
      <c r="P164" s="2" t="s">
        <v>2053</v>
      </c>
      <c r="Q164" s="66"/>
      <c r="R164" s="2"/>
      <c r="S164" s="27" t="e">
        <f t="shared" ca="1" si="2"/>
        <v>#VALUE!</v>
      </c>
    </row>
    <row r="165" spans="1:19" ht="27.75" customHeight="1" thickTop="1" thickBot="1" x14ac:dyDescent="0.35">
      <c r="A165" s="8">
        <v>1101700010006</v>
      </c>
      <c r="B165" s="7" t="s">
        <v>50</v>
      </c>
      <c r="C165" s="7" t="s">
        <v>633</v>
      </c>
      <c r="D165" s="7">
        <v>2010</v>
      </c>
      <c r="E165" s="7" t="s">
        <v>19</v>
      </c>
      <c r="F165" s="7" t="s">
        <v>52</v>
      </c>
      <c r="G165" s="8" t="s">
        <v>634</v>
      </c>
      <c r="H165" s="7" t="s">
        <v>263</v>
      </c>
      <c r="I165" s="7" t="s">
        <v>632</v>
      </c>
      <c r="J165" s="2" t="s">
        <v>1506</v>
      </c>
      <c r="K165" s="2" t="s">
        <v>1548</v>
      </c>
      <c r="L165" s="2" t="s">
        <v>1564</v>
      </c>
      <c r="M165" s="2" t="s">
        <v>2090</v>
      </c>
      <c r="N165" s="9" t="s">
        <v>2579</v>
      </c>
      <c r="O165" s="2" t="s">
        <v>2573</v>
      </c>
      <c r="P165" s="2" t="s">
        <v>1506</v>
      </c>
      <c r="Q165" s="65" t="s">
        <v>2006</v>
      </c>
      <c r="R165" s="2"/>
      <c r="S165" s="27" t="str">
        <f t="shared" ca="1" si="2"/>
        <v>تم الاصلاح</v>
      </c>
    </row>
    <row r="166" spans="1:19" ht="27.75" customHeight="1" thickTop="1" thickBot="1" x14ac:dyDescent="0.35">
      <c r="A166" s="8">
        <v>1101700010006</v>
      </c>
      <c r="B166" s="7" t="s">
        <v>50</v>
      </c>
      <c r="C166" s="7" t="s">
        <v>793</v>
      </c>
      <c r="D166" s="7">
        <v>2010</v>
      </c>
      <c r="E166" s="7" t="s">
        <v>19</v>
      </c>
      <c r="F166" s="7" t="s">
        <v>52</v>
      </c>
      <c r="G166" s="8" t="s">
        <v>794</v>
      </c>
      <c r="H166" s="7" t="s">
        <v>35</v>
      </c>
      <c r="I166" s="7" t="s">
        <v>792</v>
      </c>
      <c r="J166" s="2" t="s">
        <v>1549</v>
      </c>
      <c r="K166" s="2" t="s">
        <v>1548</v>
      </c>
      <c r="L166" s="2" t="s">
        <v>1564</v>
      </c>
      <c r="M166" s="2" t="s">
        <v>1866</v>
      </c>
      <c r="N166" s="10" t="s">
        <v>1867</v>
      </c>
      <c r="O166" s="66"/>
      <c r="P166" s="2" t="s">
        <v>1525</v>
      </c>
      <c r="Q166" s="66" t="s">
        <v>2017</v>
      </c>
      <c r="R166" s="2" t="s">
        <v>1868</v>
      </c>
      <c r="S166" s="27" t="e">
        <f t="shared" ca="1" si="2"/>
        <v>#VALUE!</v>
      </c>
    </row>
    <row r="167" spans="1:19" ht="27.75" customHeight="1" thickTop="1" thickBot="1" x14ac:dyDescent="0.35">
      <c r="A167" s="8">
        <v>1101700010006</v>
      </c>
      <c r="B167" s="7" t="s">
        <v>50</v>
      </c>
      <c r="C167" s="7" t="s">
        <v>771</v>
      </c>
      <c r="D167" s="7">
        <v>2010</v>
      </c>
      <c r="E167" s="7" t="s">
        <v>19</v>
      </c>
      <c r="F167" s="7" t="s">
        <v>52</v>
      </c>
      <c r="G167" s="8" t="s">
        <v>772</v>
      </c>
      <c r="H167" s="7" t="s">
        <v>35</v>
      </c>
      <c r="I167" s="7" t="s">
        <v>770</v>
      </c>
      <c r="J167" s="2" t="s">
        <v>1506</v>
      </c>
      <c r="K167" s="2" t="s">
        <v>1548</v>
      </c>
      <c r="L167" s="2" t="s">
        <v>1564</v>
      </c>
      <c r="M167" s="2" t="s">
        <v>2699</v>
      </c>
      <c r="N167" s="2" t="s">
        <v>2698</v>
      </c>
      <c r="O167" s="2" t="s">
        <v>2612</v>
      </c>
      <c r="P167" s="2" t="s">
        <v>1506</v>
      </c>
      <c r="Q167" s="65" t="s">
        <v>2005</v>
      </c>
      <c r="R167" s="2"/>
      <c r="S167" s="27" t="str">
        <f t="shared" ca="1" si="2"/>
        <v>تم الاصلاح</v>
      </c>
    </row>
    <row r="168" spans="1:19" ht="27.75" customHeight="1" thickTop="1" thickBot="1" x14ac:dyDescent="0.35">
      <c r="A168" s="8">
        <v>1101700010006</v>
      </c>
      <c r="B168" s="7" t="s">
        <v>50</v>
      </c>
      <c r="C168" s="7" t="s">
        <v>777</v>
      </c>
      <c r="D168" s="7">
        <v>2010</v>
      </c>
      <c r="E168" s="7" t="s">
        <v>19</v>
      </c>
      <c r="F168" s="7" t="s">
        <v>52</v>
      </c>
      <c r="G168" s="8" t="s">
        <v>778</v>
      </c>
      <c r="H168" s="7" t="s">
        <v>35</v>
      </c>
      <c r="I168" s="7" t="s">
        <v>776</v>
      </c>
      <c r="J168" s="2" t="s">
        <v>1663</v>
      </c>
      <c r="K168" s="2" t="s">
        <v>1548</v>
      </c>
      <c r="L168" s="2" t="s">
        <v>1564</v>
      </c>
      <c r="M168" s="2" t="s">
        <v>1783</v>
      </c>
      <c r="N168" s="2" t="s">
        <v>1793</v>
      </c>
      <c r="O168" s="66"/>
      <c r="P168" s="2" t="s">
        <v>1506</v>
      </c>
      <c r="Q168" s="66" t="s">
        <v>2005</v>
      </c>
      <c r="R168" s="2"/>
      <c r="S168" s="27" t="e">
        <f t="shared" ca="1" si="2"/>
        <v>#VALUE!</v>
      </c>
    </row>
    <row r="169" spans="1:19" ht="27.75" customHeight="1" thickTop="1" thickBot="1" x14ac:dyDescent="0.35">
      <c r="A169" s="8">
        <v>1101700010006</v>
      </c>
      <c r="B169" s="7" t="s">
        <v>50</v>
      </c>
      <c r="C169" s="7" t="s">
        <v>747</v>
      </c>
      <c r="D169" s="7">
        <v>2010</v>
      </c>
      <c r="E169" s="7" t="s">
        <v>19</v>
      </c>
      <c r="F169" s="7" t="s">
        <v>52</v>
      </c>
      <c r="G169" s="8" t="s">
        <v>748</v>
      </c>
      <c r="H169" s="7" t="s">
        <v>35</v>
      </c>
      <c r="I169" s="7" t="s">
        <v>746</v>
      </c>
      <c r="J169" s="2" t="s">
        <v>1487</v>
      </c>
      <c r="K169" s="11" t="s">
        <v>1912</v>
      </c>
      <c r="L169" s="2"/>
      <c r="M169" s="2"/>
      <c r="N169" s="2"/>
      <c r="O169" s="2" t="s">
        <v>2377</v>
      </c>
      <c r="P169" s="2" t="s">
        <v>2034</v>
      </c>
      <c r="Q169" s="65" t="s">
        <v>2036</v>
      </c>
      <c r="R169" s="2"/>
      <c r="S169" s="27" t="str">
        <f t="shared" ca="1" si="2"/>
        <v>تم الاصلاح</v>
      </c>
    </row>
    <row r="170" spans="1:19" ht="27.75" customHeight="1" thickTop="1" thickBot="1" x14ac:dyDescent="0.35">
      <c r="A170" s="8">
        <v>1106700020003</v>
      </c>
      <c r="B170" s="7" t="s">
        <v>54</v>
      </c>
      <c r="C170" s="7" t="s">
        <v>85</v>
      </c>
      <c r="D170" s="7">
        <v>2015</v>
      </c>
      <c r="E170" s="7" t="s">
        <v>19</v>
      </c>
      <c r="F170" s="7" t="s">
        <v>56</v>
      </c>
      <c r="G170" s="8" t="s">
        <v>86</v>
      </c>
      <c r="H170" s="7" t="s">
        <v>35</v>
      </c>
      <c r="I170" s="7" t="s">
        <v>82</v>
      </c>
      <c r="J170" s="2" t="s">
        <v>1506</v>
      </c>
      <c r="K170" s="11" t="s">
        <v>1912</v>
      </c>
      <c r="L170" s="66"/>
      <c r="M170" s="66"/>
      <c r="N170" s="2"/>
      <c r="O170" s="2" t="s">
        <v>2191</v>
      </c>
      <c r="P170" s="2" t="s">
        <v>1506</v>
      </c>
      <c r="Q170" s="66" t="s">
        <v>2007</v>
      </c>
      <c r="R170" s="66"/>
      <c r="S170" s="27" t="str">
        <f t="shared" ca="1" si="2"/>
        <v>تم الاصلاح</v>
      </c>
    </row>
    <row r="171" spans="1:19" ht="27.75" customHeight="1" thickTop="1" thickBot="1" x14ac:dyDescent="0.35">
      <c r="A171" s="8">
        <v>1105700010006</v>
      </c>
      <c r="B171" s="7" t="s">
        <v>454</v>
      </c>
      <c r="C171" s="7" t="s">
        <v>455</v>
      </c>
      <c r="D171" s="7">
        <v>2010</v>
      </c>
      <c r="E171" s="7" t="s">
        <v>19</v>
      </c>
      <c r="F171" s="7" t="s">
        <v>52</v>
      </c>
      <c r="G171" s="8" t="s">
        <v>456</v>
      </c>
      <c r="H171" s="7" t="s">
        <v>263</v>
      </c>
      <c r="I171" s="7" t="s">
        <v>453</v>
      </c>
      <c r="J171" s="2" t="s">
        <v>1482</v>
      </c>
      <c r="K171" s="11" t="s">
        <v>1912</v>
      </c>
      <c r="L171" s="2"/>
      <c r="M171" s="2" t="s">
        <v>2120</v>
      </c>
      <c r="N171" s="2" t="s">
        <v>2118</v>
      </c>
      <c r="O171" s="2" t="s">
        <v>2425</v>
      </c>
      <c r="P171" s="2" t="s">
        <v>2009</v>
      </c>
      <c r="Q171" s="65" t="s">
        <v>2010</v>
      </c>
      <c r="R171" s="65"/>
      <c r="S171" s="27" t="str">
        <f t="shared" ca="1" si="2"/>
        <v>تم الاصلاح</v>
      </c>
    </row>
    <row r="172" spans="1:19" ht="27.75" customHeight="1" thickTop="1" thickBot="1" x14ac:dyDescent="0.35">
      <c r="A172" s="8">
        <v>1106700020003</v>
      </c>
      <c r="B172" s="7" t="s">
        <v>54</v>
      </c>
      <c r="C172" s="7" t="s">
        <v>331</v>
      </c>
      <c r="D172" s="7">
        <v>2015</v>
      </c>
      <c r="E172" s="7" t="s">
        <v>19</v>
      </c>
      <c r="F172" s="7" t="s">
        <v>56</v>
      </c>
      <c r="G172" s="8" t="s">
        <v>332</v>
      </c>
      <c r="H172" s="7" t="s">
        <v>263</v>
      </c>
      <c r="I172" s="7" t="s">
        <v>1560</v>
      </c>
      <c r="J172" s="2" t="s">
        <v>1477</v>
      </c>
      <c r="K172" s="11" t="s">
        <v>1912</v>
      </c>
      <c r="L172" s="2" t="s">
        <v>1571</v>
      </c>
      <c r="M172" s="2" t="s">
        <v>2586</v>
      </c>
      <c r="N172" s="2" t="s">
        <v>1898</v>
      </c>
      <c r="O172" s="2" t="s">
        <v>2593</v>
      </c>
      <c r="P172" s="2" t="s">
        <v>1477</v>
      </c>
      <c r="Q172" s="66" t="s">
        <v>2003</v>
      </c>
      <c r="R172" s="66"/>
      <c r="S172" s="27" t="str">
        <f t="shared" ca="1" si="2"/>
        <v>تم الاصلاح</v>
      </c>
    </row>
    <row r="173" spans="1:19" ht="27.75" customHeight="1" thickTop="1" thickBot="1" x14ac:dyDescent="0.35">
      <c r="A173" s="8">
        <v>1106700010003</v>
      </c>
      <c r="B173" s="7" t="s">
        <v>102</v>
      </c>
      <c r="C173" s="7" t="s">
        <v>1220</v>
      </c>
      <c r="D173" s="7">
        <v>1991</v>
      </c>
      <c r="E173" s="7" t="s">
        <v>19</v>
      </c>
      <c r="F173" s="7" t="s">
        <v>104</v>
      </c>
      <c r="G173" s="8" t="s">
        <v>1221</v>
      </c>
      <c r="H173" s="7" t="s">
        <v>263</v>
      </c>
      <c r="I173" s="7" t="s">
        <v>1219</v>
      </c>
      <c r="J173" s="2" t="s">
        <v>1525</v>
      </c>
      <c r="K173" s="2" t="s">
        <v>1548</v>
      </c>
      <c r="L173" s="2" t="s">
        <v>1564</v>
      </c>
      <c r="M173" s="2" t="s">
        <v>2406</v>
      </c>
      <c r="N173" s="9" t="s">
        <v>2534</v>
      </c>
      <c r="O173" s="2" t="s">
        <v>2469</v>
      </c>
      <c r="P173" s="2" t="s">
        <v>1525</v>
      </c>
      <c r="Q173" s="65" t="s">
        <v>2018</v>
      </c>
      <c r="R173" s="65"/>
      <c r="S173" s="27" t="str">
        <f t="shared" ca="1" si="2"/>
        <v>تم الاصلاح</v>
      </c>
    </row>
    <row r="174" spans="1:19" ht="27.75" customHeight="1" thickTop="1" thickBot="1" x14ac:dyDescent="0.35">
      <c r="A174" s="8">
        <v>1105700090001</v>
      </c>
      <c r="B174" s="7" t="s">
        <v>308</v>
      </c>
      <c r="C174" s="7" t="s">
        <v>309</v>
      </c>
      <c r="D174" s="7">
        <v>2011</v>
      </c>
      <c r="E174" s="7" t="s">
        <v>19</v>
      </c>
      <c r="F174" s="7" t="s">
        <v>66</v>
      </c>
      <c r="G174" s="8" t="s">
        <v>310</v>
      </c>
      <c r="H174" s="7" t="s">
        <v>263</v>
      </c>
      <c r="I174" s="7" t="s">
        <v>270</v>
      </c>
      <c r="J174" s="2" t="s">
        <v>1471</v>
      </c>
      <c r="K174" s="11" t="s">
        <v>1912</v>
      </c>
      <c r="L174" s="2" t="s">
        <v>1571</v>
      </c>
      <c r="M174" s="2" t="s">
        <v>2485</v>
      </c>
      <c r="N174" s="2" t="s">
        <v>2154</v>
      </c>
      <c r="O174" s="2" t="s">
        <v>2504</v>
      </c>
      <c r="P174" s="2" t="s">
        <v>2053</v>
      </c>
      <c r="Q174" s="66"/>
      <c r="R174" s="66"/>
      <c r="S174" s="27" t="str">
        <f t="shared" ca="1" si="2"/>
        <v>تم الاصلاح</v>
      </c>
    </row>
    <row r="175" spans="1:19" ht="27.75" customHeight="1" thickTop="1" thickBot="1" x14ac:dyDescent="0.35">
      <c r="A175" s="8">
        <v>1101700010006</v>
      </c>
      <c r="B175" s="7" t="s">
        <v>1551</v>
      </c>
      <c r="C175" s="7" t="s">
        <v>974</v>
      </c>
      <c r="D175" s="7">
        <v>2014</v>
      </c>
      <c r="E175" s="7" t="s">
        <v>19</v>
      </c>
      <c r="F175" s="7" t="s">
        <v>52</v>
      </c>
      <c r="G175" s="8" t="s">
        <v>975</v>
      </c>
      <c r="H175" s="7" t="s">
        <v>35</v>
      </c>
      <c r="I175" s="7" t="s">
        <v>973</v>
      </c>
      <c r="J175" s="2" t="s">
        <v>1471</v>
      </c>
      <c r="K175" s="2" t="s">
        <v>1548</v>
      </c>
      <c r="L175" s="2" t="s">
        <v>1564</v>
      </c>
      <c r="M175" s="2" t="s">
        <v>2240</v>
      </c>
      <c r="N175" s="2" t="s">
        <v>2553</v>
      </c>
      <c r="O175" s="2" t="s">
        <v>2513</v>
      </c>
      <c r="P175" s="2" t="s">
        <v>1531</v>
      </c>
      <c r="Q175" s="65" t="s">
        <v>2022</v>
      </c>
      <c r="R175" s="65"/>
      <c r="S175" s="27" t="str">
        <f t="shared" ca="1" si="2"/>
        <v>تم الاصلاح</v>
      </c>
    </row>
    <row r="176" spans="1:19" ht="27.75" customHeight="1" thickTop="1" thickBot="1" x14ac:dyDescent="0.35">
      <c r="A176" s="8">
        <v>1105700010002</v>
      </c>
      <c r="B176" s="7" t="s">
        <v>293</v>
      </c>
      <c r="C176" s="7" t="s">
        <v>294</v>
      </c>
      <c r="D176" s="7">
        <v>2008</v>
      </c>
      <c r="E176" s="7" t="s">
        <v>19</v>
      </c>
      <c r="F176" s="7" t="s">
        <v>42</v>
      </c>
      <c r="G176" s="8" t="s">
        <v>295</v>
      </c>
      <c r="H176" s="7" t="s">
        <v>263</v>
      </c>
      <c r="I176" s="7" t="s">
        <v>270</v>
      </c>
      <c r="J176" s="2" t="s">
        <v>1549</v>
      </c>
      <c r="K176" s="2" t="s">
        <v>1548</v>
      </c>
      <c r="L176" s="2" t="s">
        <v>1571</v>
      </c>
      <c r="M176" s="2" t="s">
        <v>1609</v>
      </c>
      <c r="N176" s="123" t="s">
        <v>2614</v>
      </c>
      <c r="O176" s="2" t="s">
        <v>2565</v>
      </c>
      <c r="P176" s="2" t="s">
        <v>2053</v>
      </c>
      <c r="Q176" s="66"/>
      <c r="R176" s="66"/>
      <c r="S176" s="27" t="str">
        <f t="shared" ca="1" si="2"/>
        <v>تم الاصلاح</v>
      </c>
    </row>
    <row r="177" spans="1:19" ht="27.75" customHeight="1" thickTop="1" thickBot="1" x14ac:dyDescent="0.35">
      <c r="A177" s="8">
        <v>1209700010004</v>
      </c>
      <c r="B177" s="7" t="s">
        <v>413</v>
      </c>
      <c r="C177" s="7" t="s">
        <v>414</v>
      </c>
      <c r="D177" s="7">
        <v>2015</v>
      </c>
      <c r="E177" s="7" t="s">
        <v>19</v>
      </c>
      <c r="F177" s="7" t="s">
        <v>415</v>
      </c>
      <c r="G177" s="8" t="s">
        <v>416</v>
      </c>
      <c r="H177" s="7" t="s">
        <v>263</v>
      </c>
      <c r="I177" s="7" t="s">
        <v>270</v>
      </c>
      <c r="J177" s="2" t="s">
        <v>1556</v>
      </c>
      <c r="K177" s="11" t="s">
        <v>1912</v>
      </c>
      <c r="L177" s="65"/>
      <c r="M177" s="65"/>
      <c r="N177" s="2"/>
      <c r="O177" s="2" t="s">
        <v>1976</v>
      </c>
      <c r="P177" s="2" t="s">
        <v>2053</v>
      </c>
      <c r="Q177" s="65"/>
      <c r="R177" s="65"/>
      <c r="S177" s="27" t="str">
        <f t="shared" ca="1" si="2"/>
        <v>تم الاصلاح</v>
      </c>
    </row>
    <row r="178" spans="1:19" ht="27.75" customHeight="1" thickTop="1" thickBot="1" x14ac:dyDescent="0.35">
      <c r="A178" s="8">
        <v>1105700030001</v>
      </c>
      <c r="B178" s="7" t="s">
        <v>650</v>
      </c>
      <c r="C178" s="7" t="s">
        <v>651</v>
      </c>
      <c r="D178" s="7">
        <v>1982</v>
      </c>
      <c r="E178" s="7" t="s">
        <v>19</v>
      </c>
      <c r="F178" s="7" t="s">
        <v>104</v>
      </c>
      <c r="G178" s="8">
        <v>343603155023285</v>
      </c>
      <c r="H178" s="7" t="s">
        <v>263</v>
      </c>
      <c r="I178" s="7" t="s">
        <v>632</v>
      </c>
      <c r="J178" s="2" t="s">
        <v>1544</v>
      </c>
      <c r="K178" s="11" t="s">
        <v>1912</v>
      </c>
      <c r="L178" s="66"/>
      <c r="M178" s="66"/>
      <c r="N178" s="10" t="s">
        <v>1938</v>
      </c>
      <c r="O178" s="2" t="s">
        <v>1921</v>
      </c>
      <c r="P178" s="2" t="s">
        <v>2053</v>
      </c>
      <c r="Q178" s="66"/>
      <c r="R178" s="66"/>
      <c r="S178" s="27" t="str">
        <f t="shared" ca="1" si="2"/>
        <v>تم الاصلاح</v>
      </c>
    </row>
    <row r="179" spans="1:19" ht="27.75" customHeight="1" thickTop="1" thickBot="1" x14ac:dyDescent="0.35">
      <c r="A179" s="8">
        <v>1106700020003</v>
      </c>
      <c r="B179" s="7" t="s">
        <v>54</v>
      </c>
      <c r="C179" s="7" t="s">
        <v>931</v>
      </c>
      <c r="D179" s="7">
        <v>2012</v>
      </c>
      <c r="E179" s="7" t="s">
        <v>19</v>
      </c>
      <c r="F179" s="7" t="s">
        <v>56</v>
      </c>
      <c r="G179" s="8" t="s">
        <v>932</v>
      </c>
      <c r="H179" s="7" t="s">
        <v>35</v>
      </c>
      <c r="I179" s="7" t="s">
        <v>925</v>
      </c>
      <c r="J179" s="2" t="s">
        <v>1518</v>
      </c>
      <c r="K179" s="2" t="s">
        <v>1548</v>
      </c>
      <c r="L179" s="2" t="s">
        <v>1571</v>
      </c>
      <c r="M179" s="2" t="s">
        <v>2569</v>
      </c>
      <c r="N179" s="2" t="s">
        <v>2565</v>
      </c>
      <c r="O179" s="2" t="s">
        <v>2528</v>
      </c>
      <c r="P179" s="2" t="s">
        <v>1518</v>
      </c>
      <c r="Q179" s="65" t="s">
        <v>1988</v>
      </c>
      <c r="R179" s="2" t="s">
        <v>2083</v>
      </c>
      <c r="S179" s="27" t="str">
        <f t="shared" ca="1" si="2"/>
        <v>تم الاصلاح</v>
      </c>
    </row>
    <row r="180" spans="1:19" ht="27.75" customHeight="1" thickTop="1" thickBot="1" x14ac:dyDescent="0.35">
      <c r="A180" s="8">
        <v>1106700020010</v>
      </c>
      <c r="B180" s="7" t="s">
        <v>210</v>
      </c>
      <c r="C180" s="7" t="s">
        <v>1361</v>
      </c>
      <c r="D180" s="7">
        <v>2009</v>
      </c>
      <c r="E180" s="7" t="s">
        <v>19</v>
      </c>
      <c r="F180" s="7" t="s">
        <v>52</v>
      </c>
      <c r="G180" s="8" t="s">
        <v>1362</v>
      </c>
      <c r="H180" s="7" t="s">
        <v>263</v>
      </c>
      <c r="I180" s="7" t="s">
        <v>1225</v>
      </c>
      <c r="J180" s="2" t="s">
        <v>1471</v>
      </c>
      <c r="K180" s="11" t="s">
        <v>1912</v>
      </c>
      <c r="L180" s="2" t="s">
        <v>1571</v>
      </c>
      <c r="M180" s="2" t="s">
        <v>2643</v>
      </c>
      <c r="N180" s="2" t="s">
        <v>2644</v>
      </c>
      <c r="O180" s="2" t="s">
        <v>2677</v>
      </c>
      <c r="P180" s="2" t="s">
        <v>1471</v>
      </c>
      <c r="Q180" s="66" t="s">
        <v>1994</v>
      </c>
      <c r="R180" s="66"/>
      <c r="S180" s="27" t="str">
        <f t="shared" ca="1" si="2"/>
        <v>تم الاصلاح</v>
      </c>
    </row>
    <row r="181" spans="1:19" ht="27.75" customHeight="1" thickTop="1" thickBot="1" x14ac:dyDescent="0.35">
      <c r="A181" s="8">
        <v>1101700010006</v>
      </c>
      <c r="B181" s="7" t="s">
        <v>1551</v>
      </c>
      <c r="C181" s="7" t="s">
        <v>842</v>
      </c>
      <c r="D181" s="7">
        <v>2013</v>
      </c>
      <c r="E181" s="7" t="s">
        <v>19</v>
      </c>
      <c r="F181" s="7" t="s">
        <v>52</v>
      </c>
      <c r="G181" s="8" t="s">
        <v>843</v>
      </c>
      <c r="H181" s="7" t="s">
        <v>35</v>
      </c>
      <c r="I181" s="7" t="s">
        <v>841</v>
      </c>
      <c r="J181" s="2" t="s">
        <v>1531</v>
      </c>
      <c r="K181" s="11" t="s">
        <v>1912</v>
      </c>
      <c r="L181" s="2" t="s">
        <v>1565</v>
      </c>
      <c r="M181" s="2" t="s">
        <v>2594</v>
      </c>
      <c r="N181" s="2" t="s">
        <v>2595</v>
      </c>
      <c r="O181" s="2" t="s">
        <v>2604</v>
      </c>
      <c r="P181" s="2" t="s">
        <v>1531</v>
      </c>
      <c r="Q181" s="65" t="s">
        <v>2019</v>
      </c>
      <c r="R181" s="65"/>
      <c r="S181" s="27" t="str">
        <f t="shared" ca="1" si="2"/>
        <v>تم الاصلاح</v>
      </c>
    </row>
    <row r="182" spans="1:19" ht="27.75" customHeight="1" thickTop="1" thickBot="1" x14ac:dyDescent="0.35">
      <c r="A182" s="8">
        <v>1106700020003</v>
      </c>
      <c r="B182" s="7" t="s">
        <v>54</v>
      </c>
      <c r="C182" s="7" t="s">
        <v>936</v>
      </c>
      <c r="D182" s="7">
        <v>2013</v>
      </c>
      <c r="E182" s="7" t="s">
        <v>19</v>
      </c>
      <c r="F182" s="7" t="s">
        <v>56</v>
      </c>
      <c r="G182" s="8" t="s">
        <v>937</v>
      </c>
      <c r="H182" s="7" t="s">
        <v>35</v>
      </c>
      <c r="I182" s="7" t="s">
        <v>933</v>
      </c>
      <c r="J182" s="2" t="s">
        <v>1477</v>
      </c>
      <c r="K182" s="2" t="s">
        <v>1548</v>
      </c>
      <c r="L182" s="2" t="s">
        <v>1571</v>
      </c>
      <c r="M182" s="2" t="s">
        <v>1609</v>
      </c>
      <c r="N182" s="9" t="s">
        <v>2593</v>
      </c>
      <c r="O182" s="2" t="s">
        <v>2353</v>
      </c>
      <c r="P182" s="2" t="s">
        <v>1477</v>
      </c>
      <c r="Q182" s="66" t="s">
        <v>1999</v>
      </c>
      <c r="R182" s="66"/>
      <c r="S182" s="27" t="str">
        <f t="shared" ca="1" si="2"/>
        <v>تم الاصلاح</v>
      </c>
    </row>
    <row r="183" spans="1:19" ht="27.75" customHeight="1" thickTop="1" thickBot="1" x14ac:dyDescent="0.35">
      <c r="A183" s="8">
        <v>1105700010005</v>
      </c>
      <c r="B183" s="7" t="s">
        <v>569</v>
      </c>
      <c r="C183" s="7" t="s">
        <v>570</v>
      </c>
      <c r="D183" s="7">
        <v>2009</v>
      </c>
      <c r="E183" s="7" t="s">
        <v>19</v>
      </c>
      <c r="F183" s="7" t="s">
        <v>571</v>
      </c>
      <c r="G183" s="8" t="s">
        <v>572</v>
      </c>
      <c r="H183" s="7" t="s">
        <v>263</v>
      </c>
      <c r="I183" s="7" t="s">
        <v>568</v>
      </c>
      <c r="J183" s="2" t="s">
        <v>1549</v>
      </c>
      <c r="K183" s="2" t="s">
        <v>1548</v>
      </c>
      <c r="L183" s="2" t="s">
        <v>1571</v>
      </c>
      <c r="M183" s="2" t="s">
        <v>2674</v>
      </c>
      <c r="N183" s="2" t="s">
        <v>2672</v>
      </c>
      <c r="O183" s="2" t="s">
        <v>2547</v>
      </c>
      <c r="P183" s="2" t="s">
        <v>2034</v>
      </c>
      <c r="Q183" s="65" t="s">
        <v>2039</v>
      </c>
      <c r="R183" s="65"/>
      <c r="S183" s="27" t="str">
        <f t="shared" ca="1" si="2"/>
        <v>تم الاصلاح</v>
      </c>
    </row>
    <row r="184" spans="1:19" ht="27.75" customHeight="1" thickTop="1" thickBot="1" x14ac:dyDescent="0.35">
      <c r="A184" s="8">
        <v>1101700010006</v>
      </c>
      <c r="B184" s="7" t="s">
        <v>1551</v>
      </c>
      <c r="C184" s="7" t="s">
        <v>90</v>
      </c>
      <c r="D184" s="7">
        <v>2013</v>
      </c>
      <c r="E184" s="7" t="s">
        <v>19</v>
      </c>
      <c r="F184" s="7" t="s">
        <v>52</v>
      </c>
      <c r="G184" s="8" t="s">
        <v>91</v>
      </c>
      <c r="H184" s="7" t="s">
        <v>35</v>
      </c>
      <c r="I184" s="7" t="s">
        <v>89</v>
      </c>
      <c r="J184" s="2" t="s">
        <v>1525</v>
      </c>
      <c r="K184" s="2" t="s">
        <v>1548</v>
      </c>
      <c r="L184" s="2" t="s">
        <v>1571</v>
      </c>
      <c r="M184" s="2" t="s">
        <v>2643</v>
      </c>
      <c r="N184" s="2" t="s">
        <v>2528</v>
      </c>
      <c r="O184" s="2" t="s">
        <v>2383</v>
      </c>
      <c r="P184" s="2" t="s">
        <v>1525</v>
      </c>
      <c r="Q184" s="66" t="s">
        <v>2014</v>
      </c>
      <c r="R184" s="66"/>
      <c r="S184" s="27" t="str">
        <f t="shared" ca="1" si="2"/>
        <v>تم الاصلاح</v>
      </c>
    </row>
    <row r="185" spans="1:19" ht="27.75" customHeight="1" thickTop="1" thickBot="1" x14ac:dyDescent="0.35">
      <c r="A185" s="8">
        <v>1106700010003</v>
      </c>
      <c r="B185" s="7" t="s">
        <v>102</v>
      </c>
      <c r="C185" s="7" t="s">
        <v>665</v>
      </c>
      <c r="D185" s="7">
        <v>1993</v>
      </c>
      <c r="E185" s="7" t="s">
        <v>19</v>
      </c>
      <c r="F185" s="7" t="s">
        <v>104</v>
      </c>
      <c r="G185" s="8">
        <v>2592</v>
      </c>
      <c r="H185" s="7" t="s">
        <v>263</v>
      </c>
      <c r="I185" s="7" t="s">
        <v>632</v>
      </c>
      <c r="J185" s="2" t="s">
        <v>1544</v>
      </c>
      <c r="K185" s="11" t="s">
        <v>1912</v>
      </c>
      <c r="L185" s="65"/>
      <c r="M185" s="2"/>
      <c r="N185" s="2"/>
      <c r="O185" s="2" t="s">
        <v>2235</v>
      </c>
      <c r="P185" s="2" t="s">
        <v>2045</v>
      </c>
      <c r="Q185" s="65" t="s">
        <v>2046</v>
      </c>
      <c r="R185" s="65"/>
      <c r="S185" s="27" t="str">
        <f t="shared" ca="1" si="2"/>
        <v>تم الاصلاح</v>
      </c>
    </row>
    <row r="186" spans="1:19" ht="27.75" customHeight="1" thickTop="1" thickBot="1" x14ac:dyDescent="0.35">
      <c r="A186" s="8">
        <v>1106700020003</v>
      </c>
      <c r="B186" s="7" t="s">
        <v>54</v>
      </c>
      <c r="C186" s="7" t="s">
        <v>879</v>
      </c>
      <c r="D186" s="7">
        <v>2015</v>
      </c>
      <c r="E186" s="7" t="s">
        <v>19</v>
      </c>
      <c r="F186" s="7" t="s">
        <v>56</v>
      </c>
      <c r="G186" s="8" t="s">
        <v>880</v>
      </c>
      <c r="H186" s="7" t="s">
        <v>35</v>
      </c>
      <c r="I186" s="7" t="s">
        <v>877</v>
      </c>
      <c r="J186" s="2" t="s">
        <v>1506</v>
      </c>
      <c r="K186" s="11" t="s">
        <v>1912</v>
      </c>
      <c r="L186" s="66"/>
      <c r="M186" s="66"/>
      <c r="N186" s="2" t="s">
        <v>1799</v>
      </c>
      <c r="O186" s="2" t="s">
        <v>1932</v>
      </c>
      <c r="P186" s="2" t="s">
        <v>1506</v>
      </c>
      <c r="Q186" s="66" t="s">
        <v>2008</v>
      </c>
      <c r="R186" s="66"/>
      <c r="S186" s="27" t="str">
        <f t="shared" ca="1" si="2"/>
        <v>تم الاصلاح</v>
      </c>
    </row>
    <row r="187" spans="1:19" ht="27.75" customHeight="1" thickTop="1" thickBot="1" x14ac:dyDescent="0.35">
      <c r="A187" s="8">
        <v>1101700010006</v>
      </c>
      <c r="B187" s="7" t="s">
        <v>1551</v>
      </c>
      <c r="C187" s="7" t="s">
        <v>909</v>
      </c>
      <c r="D187" s="7">
        <v>2013</v>
      </c>
      <c r="E187" s="7" t="s">
        <v>19</v>
      </c>
      <c r="F187" s="7" t="s">
        <v>52</v>
      </c>
      <c r="G187" s="8" t="s">
        <v>910</v>
      </c>
      <c r="H187" s="7" t="s">
        <v>35</v>
      </c>
      <c r="I187" s="7" t="s">
        <v>908</v>
      </c>
      <c r="J187" s="2" t="s">
        <v>1537</v>
      </c>
      <c r="K187" s="2" t="s">
        <v>1548</v>
      </c>
      <c r="L187" s="2" t="s">
        <v>1571</v>
      </c>
      <c r="M187" s="2" t="s">
        <v>2540</v>
      </c>
      <c r="N187" s="9" t="s">
        <v>2541</v>
      </c>
      <c r="O187" s="2" t="s">
        <v>2433</v>
      </c>
      <c r="P187" s="2" t="s">
        <v>1537</v>
      </c>
      <c r="Q187" s="65" t="s">
        <v>2043</v>
      </c>
      <c r="R187" s="65"/>
      <c r="S187" s="27" t="str">
        <f t="shared" ca="1" si="2"/>
        <v>تم الاصلاح</v>
      </c>
    </row>
    <row r="188" spans="1:19" ht="27.75" customHeight="1" thickTop="1" thickBot="1" x14ac:dyDescent="0.35">
      <c r="A188" s="8">
        <v>1106700010010</v>
      </c>
      <c r="B188" s="7" t="s">
        <v>114</v>
      </c>
      <c r="C188" s="7" t="s">
        <v>756</v>
      </c>
      <c r="D188" s="7">
        <v>2002</v>
      </c>
      <c r="E188" s="7" t="s">
        <v>19</v>
      </c>
      <c r="F188" s="7" t="s">
        <v>104</v>
      </c>
      <c r="G188" s="8" t="s">
        <v>757</v>
      </c>
      <c r="H188" s="7" t="s">
        <v>35</v>
      </c>
      <c r="I188" s="7" t="s">
        <v>753</v>
      </c>
      <c r="J188" s="2" t="s">
        <v>1513</v>
      </c>
      <c r="K188" s="2" t="s">
        <v>1548</v>
      </c>
      <c r="L188" s="66" t="s">
        <v>1571</v>
      </c>
      <c r="M188" s="2" t="s">
        <v>2187</v>
      </c>
      <c r="N188" s="2" t="s">
        <v>2186</v>
      </c>
      <c r="O188" s="2"/>
      <c r="P188" s="2" t="s">
        <v>1513</v>
      </c>
      <c r="Q188" s="66" t="s">
        <v>2032</v>
      </c>
      <c r="R188" s="66"/>
      <c r="S188" s="27" t="e">
        <f t="shared" ca="1" si="2"/>
        <v>#VALUE!</v>
      </c>
    </row>
    <row r="189" spans="1:19" ht="27.75" customHeight="1" thickTop="1" thickBot="1" x14ac:dyDescent="0.35">
      <c r="A189" s="8">
        <v>1106700020003</v>
      </c>
      <c r="B189" s="7" t="s">
        <v>54</v>
      </c>
      <c r="C189" s="7" t="s">
        <v>162</v>
      </c>
      <c r="D189" s="7">
        <v>2013</v>
      </c>
      <c r="E189" s="7" t="s">
        <v>19</v>
      </c>
      <c r="F189" s="7" t="s">
        <v>56</v>
      </c>
      <c r="G189" s="8" t="s">
        <v>163</v>
      </c>
      <c r="H189" s="7" t="s">
        <v>35</v>
      </c>
      <c r="I189" s="7" t="s">
        <v>153</v>
      </c>
      <c r="J189" s="2" t="s">
        <v>1537</v>
      </c>
      <c r="K189" s="2" t="s">
        <v>1548</v>
      </c>
      <c r="L189" s="2" t="s">
        <v>1564</v>
      </c>
      <c r="M189" s="2" t="s">
        <v>2350</v>
      </c>
      <c r="N189" s="9" t="s">
        <v>2348</v>
      </c>
      <c r="O189" s="2"/>
      <c r="P189" s="2" t="s">
        <v>1537</v>
      </c>
      <c r="Q189" s="65" t="s">
        <v>2040</v>
      </c>
      <c r="R189" s="65"/>
      <c r="S189" s="27" t="e">
        <f t="shared" ca="1" si="2"/>
        <v>#VALUE!</v>
      </c>
    </row>
    <row r="190" spans="1:19" ht="27.75" customHeight="1" thickTop="1" thickBot="1" x14ac:dyDescent="0.35">
      <c r="A190" s="8">
        <v>1101700010005</v>
      </c>
      <c r="B190" s="7" t="s">
        <v>1226</v>
      </c>
      <c r="C190" s="7" t="s">
        <v>1227</v>
      </c>
      <c r="D190" s="7">
        <v>1983</v>
      </c>
      <c r="E190" s="7" t="s">
        <v>19</v>
      </c>
      <c r="F190" s="7" t="s">
        <v>52</v>
      </c>
      <c r="G190" s="8">
        <v>14943943</v>
      </c>
      <c r="H190" s="7" t="s">
        <v>263</v>
      </c>
      <c r="I190" s="7" t="s">
        <v>1225</v>
      </c>
      <c r="J190" s="2" t="s">
        <v>1544</v>
      </c>
      <c r="K190" s="9" t="s">
        <v>1552</v>
      </c>
      <c r="L190" s="2" t="s">
        <v>1571</v>
      </c>
      <c r="M190" s="2" t="s">
        <v>1609</v>
      </c>
      <c r="N190" s="2"/>
      <c r="O190" s="66"/>
      <c r="P190" s="2" t="s">
        <v>2053</v>
      </c>
      <c r="Q190" s="66"/>
      <c r="R190" s="2"/>
      <c r="S190" s="27" t="str">
        <f t="shared" ca="1" si="2"/>
        <v/>
      </c>
    </row>
    <row r="191" spans="1:19" ht="27.75" customHeight="1" thickTop="1" thickBot="1" x14ac:dyDescent="0.35">
      <c r="A191" s="8">
        <v>1101700010006</v>
      </c>
      <c r="B191" s="7" t="s">
        <v>50</v>
      </c>
      <c r="C191" s="7" t="s">
        <v>274</v>
      </c>
      <c r="D191" s="7">
        <v>2004</v>
      </c>
      <c r="E191" s="7" t="s">
        <v>19</v>
      </c>
      <c r="F191" s="7" t="s">
        <v>52</v>
      </c>
      <c r="G191" s="8" t="s">
        <v>275</v>
      </c>
      <c r="H191" s="7" t="s">
        <v>263</v>
      </c>
      <c r="I191" s="7" t="s">
        <v>270</v>
      </c>
      <c r="J191" s="2" t="s">
        <v>1544</v>
      </c>
      <c r="K191" s="9" t="s">
        <v>1552</v>
      </c>
      <c r="L191" s="2" t="s">
        <v>1571</v>
      </c>
      <c r="M191" s="2" t="s">
        <v>1609</v>
      </c>
      <c r="N191" s="2"/>
      <c r="O191" s="65"/>
      <c r="P191" s="2" t="s">
        <v>2053</v>
      </c>
      <c r="Q191" s="65"/>
      <c r="R191" s="2"/>
      <c r="S191" s="27" t="str">
        <f t="shared" ca="1" si="2"/>
        <v/>
      </c>
    </row>
    <row r="192" spans="1:19" ht="27.75" customHeight="1" thickTop="1" thickBot="1" x14ac:dyDescent="0.35">
      <c r="A192" s="8">
        <v>1101700010006</v>
      </c>
      <c r="B192" s="7" t="s">
        <v>50</v>
      </c>
      <c r="C192" s="7" t="s">
        <v>1228</v>
      </c>
      <c r="D192" s="7">
        <v>2010</v>
      </c>
      <c r="E192" s="7" t="s">
        <v>19</v>
      </c>
      <c r="F192" s="7" t="s">
        <v>52</v>
      </c>
      <c r="G192" s="8" t="s">
        <v>1229</v>
      </c>
      <c r="H192" s="7" t="s">
        <v>263</v>
      </c>
      <c r="I192" s="7" t="s">
        <v>1225</v>
      </c>
      <c r="J192" s="2" t="s">
        <v>1544</v>
      </c>
      <c r="K192" s="9" t="s">
        <v>1552</v>
      </c>
      <c r="L192" s="2" t="s">
        <v>1571</v>
      </c>
      <c r="M192" s="2" t="s">
        <v>1609</v>
      </c>
      <c r="N192" s="2"/>
      <c r="O192" s="66"/>
      <c r="P192" s="2" t="s">
        <v>2053</v>
      </c>
      <c r="Q192" s="66"/>
      <c r="R192" s="2"/>
      <c r="S192" s="27" t="str">
        <f t="shared" ca="1" si="2"/>
        <v/>
      </c>
    </row>
    <row r="193" spans="1:19" ht="27.75" customHeight="1" thickTop="1" thickBot="1" x14ac:dyDescent="0.35">
      <c r="A193" s="8">
        <v>1101700010006</v>
      </c>
      <c r="B193" s="7" t="s">
        <v>50</v>
      </c>
      <c r="C193" s="7" t="s">
        <v>1230</v>
      </c>
      <c r="D193" s="7">
        <v>2006</v>
      </c>
      <c r="E193" s="7" t="s">
        <v>19</v>
      </c>
      <c r="F193" s="7" t="s">
        <v>52</v>
      </c>
      <c r="G193" s="8" t="s">
        <v>1231</v>
      </c>
      <c r="H193" s="7" t="s">
        <v>263</v>
      </c>
      <c r="I193" s="7" t="s">
        <v>1225</v>
      </c>
      <c r="J193" s="2" t="s">
        <v>1544</v>
      </c>
      <c r="K193" s="9" t="s">
        <v>1552</v>
      </c>
      <c r="L193" s="2" t="s">
        <v>1571</v>
      </c>
      <c r="M193" s="2" t="s">
        <v>1609</v>
      </c>
      <c r="N193" s="2"/>
      <c r="O193" s="65"/>
      <c r="P193" s="2" t="s">
        <v>2053</v>
      </c>
      <c r="Q193" s="65"/>
      <c r="R193" s="2"/>
      <c r="S193" s="27" t="str">
        <f t="shared" ca="1" si="2"/>
        <v/>
      </c>
    </row>
    <row r="194" spans="1:19" ht="27.75" customHeight="1" thickTop="1" thickBot="1" x14ac:dyDescent="0.35">
      <c r="A194" s="8">
        <v>1101700020004</v>
      </c>
      <c r="B194" s="7" t="s">
        <v>869</v>
      </c>
      <c r="C194" s="7" t="s">
        <v>1251</v>
      </c>
      <c r="D194" s="7">
        <v>2003</v>
      </c>
      <c r="E194" s="7" t="s">
        <v>19</v>
      </c>
      <c r="F194" s="7" t="s">
        <v>52</v>
      </c>
      <c r="G194" s="8" t="s">
        <v>1252</v>
      </c>
      <c r="H194" s="7" t="s">
        <v>263</v>
      </c>
      <c r="I194" s="7" t="s">
        <v>1225</v>
      </c>
      <c r="J194" s="2" t="s">
        <v>1544</v>
      </c>
      <c r="K194" s="9" t="s">
        <v>1553</v>
      </c>
      <c r="L194" s="2" t="s">
        <v>1571</v>
      </c>
      <c r="M194" s="2" t="s">
        <v>1972</v>
      </c>
      <c r="N194" s="2" t="s">
        <v>1825</v>
      </c>
      <c r="O194" s="66"/>
      <c r="P194" s="2" t="s">
        <v>2053</v>
      </c>
      <c r="Q194" s="66"/>
      <c r="R194" s="2"/>
      <c r="S194" s="27" t="e">
        <f t="shared" ca="1" si="2"/>
        <v>#VALUE!</v>
      </c>
    </row>
    <row r="195" spans="1:19" ht="27.75" customHeight="1" thickTop="1" thickBot="1" x14ac:dyDescent="0.35">
      <c r="A195" s="8">
        <v>1105700020001</v>
      </c>
      <c r="B195" s="7" t="s">
        <v>296</v>
      </c>
      <c r="C195" s="7" t="s">
        <v>297</v>
      </c>
      <c r="D195" s="7">
        <v>1998</v>
      </c>
      <c r="E195" s="7" t="s">
        <v>19</v>
      </c>
      <c r="F195" s="7" t="s">
        <v>42</v>
      </c>
      <c r="G195" s="8" t="s">
        <v>298</v>
      </c>
      <c r="H195" s="7" t="s">
        <v>263</v>
      </c>
      <c r="I195" s="7" t="s">
        <v>270</v>
      </c>
      <c r="J195" s="2" t="s">
        <v>1544</v>
      </c>
      <c r="K195" s="9" t="s">
        <v>1553</v>
      </c>
      <c r="L195" s="2" t="s">
        <v>1571</v>
      </c>
      <c r="M195" s="2" t="s">
        <v>1609</v>
      </c>
      <c r="N195" s="2" t="s">
        <v>1974</v>
      </c>
      <c r="O195" s="65"/>
      <c r="P195" s="2" t="s">
        <v>2053</v>
      </c>
      <c r="Q195" s="65"/>
      <c r="R195" s="2"/>
      <c r="S195" s="27" t="e">
        <f t="shared" ca="1" si="2"/>
        <v>#VALUE!</v>
      </c>
    </row>
    <row r="196" spans="1:19" ht="27.75" customHeight="1" thickTop="1" thickBot="1" x14ac:dyDescent="0.35">
      <c r="A196" s="8">
        <v>1106700010003</v>
      </c>
      <c r="B196" s="7" t="s">
        <v>102</v>
      </c>
      <c r="C196" s="7" t="s">
        <v>976</v>
      </c>
      <c r="D196" s="7">
        <v>1991</v>
      </c>
      <c r="E196" s="7" t="s">
        <v>19</v>
      </c>
      <c r="F196" s="7" t="s">
        <v>104</v>
      </c>
      <c r="G196" s="8" t="s">
        <v>977</v>
      </c>
      <c r="H196" s="7" t="s">
        <v>35</v>
      </c>
      <c r="I196" s="7" t="s">
        <v>973</v>
      </c>
      <c r="J196" s="2" t="s">
        <v>1531</v>
      </c>
      <c r="K196" s="9" t="s">
        <v>1552</v>
      </c>
      <c r="L196" s="2" t="s">
        <v>1571</v>
      </c>
      <c r="M196" s="2" t="s">
        <v>1940</v>
      </c>
      <c r="N196" s="2" t="s">
        <v>1951</v>
      </c>
      <c r="O196" s="66"/>
      <c r="P196" s="2" t="s">
        <v>1531</v>
      </c>
      <c r="Q196" s="66" t="s">
        <v>2023</v>
      </c>
      <c r="R196" s="2"/>
      <c r="S196" s="27" t="e">
        <f t="shared" ca="1" si="2"/>
        <v>#VALUE!</v>
      </c>
    </row>
    <row r="197" spans="1:19" ht="27.75" customHeight="1" thickTop="1" thickBot="1" x14ac:dyDescent="0.35">
      <c r="A197" s="8">
        <v>1101700020004</v>
      </c>
      <c r="B197" s="7" t="s">
        <v>869</v>
      </c>
      <c r="C197" s="7" t="s">
        <v>1462</v>
      </c>
      <c r="D197" s="7">
        <v>2004</v>
      </c>
      <c r="E197" s="7" t="s">
        <v>19</v>
      </c>
      <c r="F197" s="7" t="s">
        <v>52</v>
      </c>
      <c r="G197" s="8" t="s">
        <v>1255</v>
      </c>
      <c r="H197" s="7" t="s">
        <v>263</v>
      </c>
      <c r="I197" s="7" t="s">
        <v>1225</v>
      </c>
      <c r="J197" s="2" t="s">
        <v>1544</v>
      </c>
      <c r="K197" s="9" t="s">
        <v>1552</v>
      </c>
      <c r="L197" s="2" t="s">
        <v>1571</v>
      </c>
      <c r="M197" s="2" t="s">
        <v>1940</v>
      </c>
      <c r="N197" s="2" t="s">
        <v>1944</v>
      </c>
      <c r="O197" s="65"/>
      <c r="P197" s="2" t="s">
        <v>2053</v>
      </c>
      <c r="Q197" s="65"/>
      <c r="R197" s="2"/>
      <c r="S197" s="27" t="e">
        <f t="shared" ca="1" si="2"/>
        <v>#VALUE!</v>
      </c>
    </row>
    <row r="198" spans="1:19" ht="27.75" customHeight="1" thickTop="1" thickBot="1" x14ac:dyDescent="0.35">
      <c r="A198" s="8">
        <v>1101700010006</v>
      </c>
      <c r="B198" s="7" t="s">
        <v>50</v>
      </c>
      <c r="C198" s="7" t="s">
        <v>1234</v>
      </c>
      <c r="D198" s="7">
        <v>2003</v>
      </c>
      <c r="E198" s="7" t="s">
        <v>19</v>
      </c>
      <c r="F198" s="7" t="s">
        <v>52</v>
      </c>
      <c r="G198" s="8" t="s">
        <v>1235</v>
      </c>
      <c r="H198" s="7" t="s">
        <v>263</v>
      </c>
      <c r="I198" s="7" t="s">
        <v>1225</v>
      </c>
      <c r="J198" s="2" t="s">
        <v>1544</v>
      </c>
      <c r="K198" s="9" t="s">
        <v>1552</v>
      </c>
      <c r="L198" s="2" t="s">
        <v>1571</v>
      </c>
      <c r="M198" s="2" t="s">
        <v>1609</v>
      </c>
      <c r="N198" s="2"/>
      <c r="O198" s="66"/>
      <c r="P198" s="2" t="s">
        <v>2053</v>
      </c>
      <c r="Q198" s="66"/>
      <c r="R198" s="2"/>
      <c r="S198" s="27" t="str">
        <f t="shared" ca="1" si="2"/>
        <v/>
      </c>
    </row>
    <row r="199" spans="1:19" ht="27.75" customHeight="1" thickTop="1" thickBot="1" x14ac:dyDescent="0.35">
      <c r="A199" s="8">
        <v>1101700010006</v>
      </c>
      <c r="B199" s="7" t="s">
        <v>50</v>
      </c>
      <c r="C199" s="7" t="s">
        <v>1446</v>
      </c>
      <c r="D199" s="7">
        <v>2003</v>
      </c>
      <c r="E199" s="7" t="s">
        <v>19</v>
      </c>
      <c r="F199" s="7" t="s">
        <v>52</v>
      </c>
      <c r="G199" s="8" t="s">
        <v>1238</v>
      </c>
      <c r="H199" s="7" t="s">
        <v>263</v>
      </c>
      <c r="I199" s="7" t="s">
        <v>1225</v>
      </c>
      <c r="J199" s="2" t="s">
        <v>1544</v>
      </c>
      <c r="K199" s="9" t="s">
        <v>1553</v>
      </c>
      <c r="L199" s="2" t="s">
        <v>1567</v>
      </c>
      <c r="M199" s="2" t="s">
        <v>1959</v>
      </c>
      <c r="N199" s="2" t="s">
        <v>1960</v>
      </c>
      <c r="O199" s="65"/>
      <c r="P199" s="2" t="s">
        <v>2053</v>
      </c>
      <c r="Q199" s="65"/>
      <c r="R199" s="2"/>
      <c r="S199" s="27" t="e">
        <f t="shared" ca="1" si="2"/>
        <v>#VALUE!</v>
      </c>
    </row>
    <row r="200" spans="1:19" ht="27.75" customHeight="1" thickTop="1" thickBot="1" x14ac:dyDescent="0.35">
      <c r="A200" s="8">
        <v>1106700010010</v>
      </c>
      <c r="B200" s="7" t="s">
        <v>114</v>
      </c>
      <c r="C200" s="7" t="s">
        <v>327</v>
      </c>
      <c r="D200" s="7">
        <v>2005</v>
      </c>
      <c r="E200" s="7" t="s">
        <v>19</v>
      </c>
      <c r="F200" s="7" t="s">
        <v>104</v>
      </c>
      <c r="G200" s="8" t="s">
        <v>328</v>
      </c>
      <c r="H200" s="7" t="s">
        <v>263</v>
      </c>
      <c r="I200" s="7" t="s">
        <v>270</v>
      </c>
      <c r="J200" s="2" t="s">
        <v>1544</v>
      </c>
      <c r="K200" s="9" t="s">
        <v>1553</v>
      </c>
      <c r="L200" s="2" t="s">
        <v>1566</v>
      </c>
      <c r="M200" s="2" t="s">
        <v>1969</v>
      </c>
      <c r="N200" s="2" t="s">
        <v>1970</v>
      </c>
      <c r="O200" s="66"/>
      <c r="P200" s="2" t="s">
        <v>2053</v>
      </c>
      <c r="Q200" s="66"/>
      <c r="R200" s="2"/>
      <c r="S200" s="27" t="e">
        <f t="shared" ca="1" si="2"/>
        <v>#VALUE!</v>
      </c>
    </row>
    <row r="201" spans="1:19" ht="27.75" customHeight="1" thickTop="1" thickBot="1" x14ac:dyDescent="0.35">
      <c r="A201" s="8">
        <v>1101700010006</v>
      </c>
      <c r="B201" s="7" t="s">
        <v>50</v>
      </c>
      <c r="C201" s="7" t="s">
        <v>193</v>
      </c>
      <c r="D201" s="7">
        <v>2010</v>
      </c>
      <c r="E201" s="7" t="s">
        <v>19</v>
      </c>
      <c r="F201" s="7" t="s">
        <v>52</v>
      </c>
      <c r="G201" s="8" t="s">
        <v>194</v>
      </c>
      <c r="H201" s="7" t="s">
        <v>35</v>
      </c>
      <c r="I201" s="7" t="s">
        <v>1561</v>
      </c>
      <c r="J201" s="2" t="s">
        <v>1544</v>
      </c>
      <c r="K201" s="11" t="s">
        <v>1912</v>
      </c>
      <c r="L201" s="2" t="s">
        <v>1559</v>
      </c>
      <c r="M201" s="2" t="s">
        <v>1559</v>
      </c>
      <c r="N201" s="2" t="s">
        <v>1768</v>
      </c>
      <c r="O201" s="2" t="s">
        <v>2694</v>
      </c>
      <c r="P201" s="2" t="s">
        <v>1477</v>
      </c>
      <c r="Q201" s="65" t="s">
        <v>2003</v>
      </c>
      <c r="R201" s="2" t="s">
        <v>1769</v>
      </c>
      <c r="S201" s="27" t="str">
        <f t="shared" ca="1" si="2"/>
        <v>تم الاصلاح</v>
      </c>
    </row>
    <row r="202" spans="1:19" ht="27.75" customHeight="1" thickTop="1" thickBot="1" x14ac:dyDescent="0.35">
      <c r="A202" s="8">
        <v>1101700010006</v>
      </c>
      <c r="B202" s="7" t="s">
        <v>50</v>
      </c>
      <c r="C202" s="7" t="s">
        <v>1239</v>
      </c>
      <c r="D202" s="7">
        <v>2003</v>
      </c>
      <c r="E202" s="7" t="s">
        <v>19</v>
      </c>
      <c r="F202" s="7" t="s">
        <v>42</v>
      </c>
      <c r="G202" s="8" t="s">
        <v>1240</v>
      </c>
      <c r="H202" s="7" t="s">
        <v>263</v>
      </c>
      <c r="I202" s="7" t="s">
        <v>1225</v>
      </c>
      <c r="J202" s="2" t="s">
        <v>1544</v>
      </c>
      <c r="K202" s="9" t="s">
        <v>1552</v>
      </c>
      <c r="L202" s="2" t="s">
        <v>1571</v>
      </c>
      <c r="M202" s="2" t="s">
        <v>1609</v>
      </c>
      <c r="N202" s="2"/>
      <c r="O202" s="66"/>
      <c r="P202" s="2" t="s">
        <v>2053</v>
      </c>
      <c r="Q202" s="66"/>
      <c r="R202" s="2"/>
      <c r="S202" s="27" t="str">
        <f t="shared" ca="1" si="2"/>
        <v/>
      </c>
    </row>
    <row r="203" spans="1:19" ht="27.75" customHeight="1" thickTop="1" thickBot="1" x14ac:dyDescent="0.35">
      <c r="A203" s="8">
        <v>1102700010004</v>
      </c>
      <c r="B203" s="7" t="s">
        <v>64</v>
      </c>
      <c r="C203" s="7" t="s">
        <v>1276</v>
      </c>
      <c r="D203" s="7">
        <v>2008</v>
      </c>
      <c r="E203" s="7" t="s">
        <v>19</v>
      </c>
      <c r="F203" s="7" t="s">
        <v>42</v>
      </c>
      <c r="G203" s="8" t="s">
        <v>1277</v>
      </c>
      <c r="H203" s="7" t="s">
        <v>263</v>
      </c>
      <c r="I203" s="7" t="s">
        <v>1225</v>
      </c>
      <c r="J203" s="2" t="s">
        <v>1544</v>
      </c>
      <c r="K203" s="9" t="s">
        <v>1553</v>
      </c>
      <c r="L203" s="2" t="s">
        <v>1564</v>
      </c>
      <c r="M203" s="2" t="s">
        <v>1948</v>
      </c>
      <c r="N203" s="2" t="s">
        <v>1949</v>
      </c>
      <c r="O203" s="65"/>
      <c r="P203" s="2" t="s">
        <v>2053</v>
      </c>
      <c r="Q203" s="65"/>
      <c r="R203" s="2"/>
      <c r="S203" s="27" t="e">
        <f t="shared" ref="S203:S266" ca="1" si="3">IF(
   OR(K203="تم الاصلاح", O203&lt;&gt;""),
   "تم الاصلاح",
   IF(N203="", "", TODAY()-N203)
)</f>
        <v>#VALUE!</v>
      </c>
    </row>
    <row r="204" spans="1:19" ht="27.75" customHeight="1" thickTop="1" thickBot="1" x14ac:dyDescent="0.35">
      <c r="A204" s="8">
        <v>1101700010006</v>
      </c>
      <c r="B204" s="7" t="s">
        <v>50</v>
      </c>
      <c r="C204" s="7" t="s">
        <v>132</v>
      </c>
      <c r="D204" s="7">
        <v>2004</v>
      </c>
      <c r="E204" s="7" t="s">
        <v>19</v>
      </c>
      <c r="F204" s="7" t="s">
        <v>52</v>
      </c>
      <c r="G204" s="8" t="s">
        <v>133</v>
      </c>
      <c r="H204" s="7" t="s">
        <v>35</v>
      </c>
      <c r="I204" s="7" t="s">
        <v>131</v>
      </c>
      <c r="J204" s="2" t="s">
        <v>1544</v>
      </c>
      <c r="K204" s="9" t="s">
        <v>1552</v>
      </c>
      <c r="L204" s="2" t="s">
        <v>1564</v>
      </c>
      <c r="M204" s="2" t="s">
        <v>1588</v>
      </c>
      <c r="N204" s="2" t="s">
        <v>1973</v>
      </c>
      <c r="O204" s="66"/>
      <c r="P204" s="2" t="s">
        <v>2053</v>
      </c>
      <c r="Q204" s="66"/>
      <c r="R204" s="2"/>
      <c r="S204" s="27" t="e">
        <f t="shared" ca="1" si="3"/>
        <v>#VALUE!</v>
      </c>
    </row>
    <row r="205" spans="1:19" ht="27.75" customHeight="1" thickTop="1" thickBot="1" x14ac:dyDescent="0.35">
      <c r="A205" s="8">
        <v>1108700020001</v>
      </c>
      <c r="B205" s="7" t="s">
        <v>683</v>
      </c>
      <c r="C205" s="7" t="s">
        <v>1371</v>
      </c>
      <c r="D205" s="7">
        <v>1980</v>
      </c>
      <c r="E205" s="7" t="s">
        <v>19</v>
      </c>
      <c r="F205" s="7" t="s">
        <v>358</v>
      </c>
      <c r="G205" s="8">
        <v>1359</v>
      </c>
      <c r="H205" s="7" t="s">
        <v>263</v>
      </c>
      <c r="I205" s="7" t="s">
        <v>1225</v>
      </c>
      <c r="J205" s="2" t="s">
        <v>1544</v>
      </c>
      <c r="K205" s="9" t="s">
        <v>1552</v>
      </c>
      <c r="L205" s="2" t="s">
        <v>1571</v>
      </c>
      <c r="M205" s="2" t="s">
        <v>1940</v>
      </c>
      <c r="N205" s="2" t="s">
        <v>1942</v>
      </c>
      <c r="O205" s="65"/>
      <c r="P205" s="2" t="s">
        <v>2053</v>
      </c>
      <c r="Q205" s="65"/>
      <c r="R205" s="2"/>
      <c r="S205" s="27" t="e">
        <f t="shared" ca="1" si="3"/>
        <v>#VALUE!</v>
      </c>
    </row>
    <row r="206" spans="1:19" ht="27.75" customHeight="1" thickTop="1" thickBot="1" x14ac:dyDescent="0.35">
      <c r="A206" s="8">
        <v>1108700020001</v>
      </c>
      <c r="B206" s="7" t="s">
        <v>683</v>
      </c>
      <c r="C206" s="7" t="s">
        <v>1372</v>
      </c>
      <c r="D206" s="7">
        <v>1980</v>
      </c>
      <c r="E206" s="7" t="s">
        <v>19</v>
      </c>
      <c r="F206" s="7" t="s">
        <v>358</v>
      </c>
      <c r="G206" s="8">
        <v>60474</v>
      </c>
      <c r="H206" s="7" t="s">
        <v>263</v>
      </c>
      <c r="I206" s="7" t="s">
        <v>1225</v>
      </c>
      <c r="J206" s="2" t="s">
        <v>1476</v>
      </c>
      <c r="K206" s="9" t="s">
        <v>1552</v>
      </c>
      <c r="L206" s="2" t="s">
        <v>1571</v>
      </c>
      <c r="M206" s="2" t="s">
        <v>1940</v>
      </c>
      <c r="N206" s="2" t="s">
        <v>1942</v>
      </c>
      <c r="O206" s="66"/>
      <c r="P206" s="2" t="s">
        <v>2053</v>
      </c>
      <c r="Q206" s="66"/>
      <c r="R206" s="2"/>
      <c r="S206" s="27" t="e">
        <f t="shared" ca="1" si="3"/>
        <v>#VALUE!</v>
      </c>
    </row>
    <row r="207" spans="1:19" ht="27.75" customHeight="1" thickTop="1" thickBot="1" x14ac:dyDescent="0.35">
      <c r="A207" s="8">
        <v>1106700010003</v>
      </c>
      <c r="B207" s="7" t="s">
        <v>102</v>
      </c>
      <c r="C207" s="7" t="s">
        <v>161</v>
      </c>
      <c r="D207" s="7">
        <v>1992</v>
      </c>
      <c r="E207" s="7" t="s">
        <v>19</v>
      </c>
      <c r="F207" s="7" t="s">
        <v>104</v>
      </c>
      <c r="G207" s="8">
        <v>34600155905199</v>
      </c>
      <c r="H207" s="7" t="s">
        <v>35</v>
      </c>
      <c r="I207" s="7" t="s">
        <v>153</v>
      </c>
      <c r="J207" s="2" t="s">
        <v>1537</v>
      </c>
      <c r="K207" s="9" t="s">
        <v>1552</v>
      </c>
      <c r="L207" s="2" t="s">
        <v>1571</v>
      </c>
      <c r="M207" s="2" t="s">
        <v>1940</v>
      </c>
      <c r="N207" s="2" t="s">
        <v>1958</v>
      </c>
      <c r="O207" s="65"/>
      <c r="P207" s="2" t="s">
        <v>1537</v>
      </c>
      <c r="Q207" s="65" t="s">
        <v>2040</v>
      </c>
      <c r="R207" s="2"/>
      <c r="S207" s="27" t="e">
        <f t="shared" ca="1" si="3"/>
        <v>#VALUE!</v>
      </c>
    </row>
    <row r="208" spans="1:19" ht="27.75" customHeight="1" thickTop="1" thickBot="1" x14ac:dyDescent="0.35">
      <c r="A208" s="8">
        <v>1102700010004</v>
      </c>
      <c r="B208" s="7" t="s">
        <v>64</v>
      </c>
      <c r="C208" s="7" t="s">
        <v>1443</v>
      </c>
      <c r="D208" s="7">
        <v>2008</v>
      </c>
      <c r="E208" s="7" t="s">
        <v>19</v>
      </c>
      <c r="F208" s="7" t="s">
        <v>42</v>
      </c>
      <c r="G208" s="8" t="s">
        <v>645</v>
      </c>
      <c r="H208" s="7" t="s">
        <v>263</v>
      </c>
      <c r="I208" s="7" t="s">
        <v>632</v>
      </c>
      <c r="J208" s="2" t="s">
        <v>1544</v>
      </c>
      <c r="K208" s="9" t="s">
        <v>1553</v>
      </c>
      <c r="L208" s="2" t="s">
        <v>1571</v>
      </c>
      <c r="M208" s="2" t="s">
        <v>1966</v>
      </c>
      <c r="N208" s="2" t="s">
        <v>1967</v>
      </c>
      <c r="O208" s="66"/>
      <c r="P208" s="2" t="s">
        <v>2053</v>
      </c>
      <c r="Q208" s="66"/>
      <c r="R208" s="2"/>
      <c r="S208" s="27" t="e">
        <f t="shared" ca="1" si="3"/>
        <v>#VALUE!</v>
      </c>
    </row>
    <row r="209" spans="1:19" ht="27.75" customHeight="1" thickTop="1" thickBot="1" x14ac:dyDescent="0.35">
      <c r="A209" s="8">
        <v>1106700010010</v>
      </c>
      <c r="B209" s="7" t="s">
        <v>114</v>
      </c>
      <c r="C209" s="7" t="s">
        <v>171</v>
      </c>
      <c r="D209" s="7">
        <v>2003</v>
      </c>
      <c r="E209" s="7" t="s">
        <v>19</v>
      </c>
      <c r="F209" s="7" t="s">
        <v>104</v>
      </c>
      <c r="G209" s="8" t="s">
        <v>172</v>
      </c>
      <c r="H209" s="7" t="s">
        <v>35</v>
      </c>
      <c r="I209" s="7" t="s">
        <v>166</v>
      </c>
      <c r="J209" s="2" t="s">
        <v>1487</v>
      </c>
      <c r="K209" s="9" t="s">
        <v>1552</v>
      </c>
      <c r="L209" s="2" t="s">
        <v>1567</v>
      </c>
      <c r="M209" s="2" t="s">
        <v>1953</v>
      </c>
      <c r="N209" s="2" t="s">
        <v>1954</v>
      </c>
      <c r="O209" s="65"/>
      <c r="P209" s="2" t="s">
        <v>2034</v>
      </c>
      <c r="Q209" s="65" t="s">
        <v>2035</v>
      </c>
      <c r="R209" s="2"/>
      <c r="S209" s="27" t="e">
        <f t="shared" ca="1" si="3"/>
        <v>#VALUE!</v>
      </c>
    </row>
    <row r="210" spans="1:19" ht="27.75" customHeight="1" thickTop="1" thickBot="1" x14ac:dyDescent="0.35">
      <c r="A210" s="8">
        <v>1106700020003</v>
      </c>
      <c r="B210" s="7" t="s">
        <v>54</v>
      </c>
      <c r="C210" s="7" t="s">
        <v>1349</v>
      </c>
      <c r="D210" s="7">
        <v>1983</v>
      </c>
      <c r="E210" s="7" t="s">
        <v>19</v>
      </c>
      <c r="F210" s="7" t="s">
        <v>56</v>
      </c>
      <c r="G210" s="8">
        <v>34303154942627</v>
      </c>
      <c r="H210" s="7" t="s">
        <v>263</v>
      </c>
      <c r="I210" s="7" t="s">
        <v>1225</v>
      </c>
      <c r="J210" s="2" t="s">
        <v>1544</v>
      </c>
      <c r="K210" s="9" t="s">
        <v>1552</v>
      </c>
      <c r="L210" s="2" t="s">
        <v>1571</v>
      </c>
      <c r="M210" s="2" t="s">
        <v>1940</v>
      </c>
      <c r="N210" s="2" t="s">
        <v>1941</v>
      </c>
      <c r="O210" s="66"/>
      <c r="P210" s="2" t="s">
        <v>2053</v>
      </c>
      <c r="Q210" s="66"/>
      <c r="R210" s="2"/>
      <c r="S210" s="27" t="e">
        <f t="shared" ca="1" si="3"/>
        <v>#VALUE!</v>
      </c>
    </row>
    <row r="211" spans="1:19" ht="27.75" customHeight="1" thickTop="1" thickBot="1" x14ac:dyDescent="0.35">
      <c r="A211" s="8">
        <v>1106700010003</v>
      </c>
      <c r="B211" s="7" t="s">
        <v>102</v>
      </c>
      <c r="C211" s="7" t="s">
        <v>103</v>
      </c>
      <c r="D211" s="7">
        <v>1983</v>
      </c>
      <c r="E211" s="7" t="s">
        <v>19</v>
      </c>
      <c r="F211" s="7" t="s">
        <v>104</v>
      </c>
      <c r="G211" s="8">
        <v>34303154941458</v>
      </c>
      <c r="H211" s="7" t="s">
        <v>35</v>
      </c>
      <c r="I211" s="7" t="s">
        <v>99</v>
      </c>
      <c r="J211" s="2" t="s">
        <v>1493</v>
      </c>
      <c r="K211" s="11" t="s">
        <v>1912</v>
      </c>
      <c r="L211" s="2"/>
      <c r="M211" s="2"/>
      <c r="N211" s="10"/>
      <c r="O211" s="2" t="s">
        <v>2365</v>
      </c>
      <c r="P211" s="2" t="s">
        <v>2045</v>
      </c>
      <c r="Q211" s="65" t="s">
        <v>2049</v>
      </c>
      <c r="R211" s="2"/>
      <c r="S211" s="27" t="str">
        <f t="shared" ca="1" si="3"/>
        <v>تم الاصلاح</v>
      </c>
    </row>
    <row r="212" spans="1:19" ht="27.75" customHeight="1" thickTop="1" thickBot="1" x14ac:dyDescent="0.35">
      <c r="A212" s="8">
        <v>1204700030002</v>
      </c>
      <c r="B212" s="7" t="s">
        <v>1223</v>
      </c>
      <c r="C212" s="7" t="s">
        <v>1403</v>
      </c>
      <c r="D212" s="7">
        <v>2002</v>
      </c>
      <c r="E212" s="7" t="s">
        <v>19</v>
      </c>
      <c r="F212" s="7" t="s">
        <v>384</v>
      </c>
      <c r="G212" s="8" t="s">
        <v>1404</v>
      </c>
      <c r="H212" s="7" t="s">
        <v>263</v>
      </c>
      <c r="I212" s="7" t="s">
        <v>1225</v>
      </c>
      <c r="J212" s="2" t="s">
        <v>1544</v>
      </c>
      <c r="K212" s="9" t="s">
        <v>1553</v>
      </c>
      <c r="L212" s="2" t="s">
        <v>1564</v>
      </c>
      <c r="M212" s="2" t="s">
        <v>1639</v>
      </c>
      <c r="N212" s="2" t="s">
        <v>1881</v>
      </c>
      <c r="O212" s="66"/>
      <c r="P212" s="2" t="s">
        <v>2053</v>
      </c>
      <c r="Q212" s="66"/>
      <c r="R212" s="2"/>
      <c r="S212" s="27" t="e">
        <f t="shared" ca="1" si="3"/>
        <v>#VALUE!</v>
      </c>
    </row>
    <row r="213" spans="1:19" ht="27.75" customHeight="1" thickTop="1" thickBot="1" x14ac:dyDescent="0.35">
      <c r="A213" s="8">
        <v>1105700010006</v>
      </c>
      <c r="B213" s="7" t="s">
        <v>454</v>
      </c>
      <c r="C213" s="7" t="s">
        <v>537</v>
      </c>
      <c r="D213" s="7">
        <v>2012</v>
      </c>
      <c r="E213" s="7" t="s">
        <v>19</v>
      </c>
      <c r="F213" s="7" t="s">
        <v>42</v>
      </c>
      <c r="G213" s="8" t="s">
        <v>538</v>
      </c>
      <c r="H213" s="7" t="s">
        <v>263</v>
      </c>
      <c r="I213" s="7" t="s">
        <v>534</v>
      </c>
      <c r="J213" s="2" t="s">
        <v>1663</v>
      </c>
      <c r="K213" s="9" t="s">
        <v>1553</v>
      </c>
      <c r="L213" s="2" t="s">
        <v>1559</v>
      </c>
      <c r="M213" s="2" t="s">
        <v>1559</v>
      </c>
      <c r="N213" s="2" t="s">
        <v>1950</v>
      </c>
      <c r="O213" s="65"/>
      <c r="P213" s="2" t="s">
        <v>1531</v>
      </c>
      <c r="Q213" s="65" t="s">
        <v>2020</v>
      </c>
      <c r="R213" s="2"/>
      <c r="S213" s="27" t="e">
        <f t="shared" ca="1" si="3"/>
        <v>#VALUE!</v>
      </c>
    </row>
    <row r="214" spans="1:19" ht="27.75" customHeight="1" thickTop="1" thickBot="1" x14ac:dyDescent="0.35">
      <c r="A214" s="8">
        <v>1101700020004</v>
      </c>
      <c r="B214" s="7" t="s">
        <v>869</v>
      </c>
      <c r="C214" s="7" t="s">
        <v>1247</v>
      </c>
      <c r="D214" s="7">
        <v>2002</v>
      </c>
      <c r="E214" s="7" t="s">
        <v>19</v>
      </c>
      <c r="F214" s="7" t="s">
        <v>52</v>
      </c>
      <c r="G214" s="8" t="s">
        <v>1248</v>
      </c>
      <c r="H214" s="7" t="s">
        <v>263</v>
      </c>
      <c r="I214" s="7" t="s">
        <v>1225</v>
      </c>
      <c r="J214" s="2" t="s">
        <v>1549</v>
      </c>
      <c r="K214" s="9" t="s">
        <v>1553</v>
      </c>
      <c r="L214" s="2" t="s">
        <v>1571</v>
      </c>
      <c r="M214" s="2" t="s">
        <v>1598</v>
      </c>
      <c r="N214" s="2" t="s">
        <v>1955</v>
      </c>
      <c r="O214" s="66"/>
      <c r="P214" s="2" t="s">
        <v>1513</v>
      </c>
      <c r="Q214" s="66" t="s">
        <v>2030</v>
      </c>
      <c r="R214" s="2"/>
      <c r="S214" s="27" t="e">
        <f t="shared" ca="1" si="3"/>
        <v>#VALUE!</v>
      </c>
    </row>
    <row r="215" spans="1:19" ht="27.75" customHeight="1" thickTop="1" thickBot="1" x14ac:dyDescent="0.35">
      <c r="A215" s="8">
        <v>1101700020004</v>
      </c>
      <c r="B215" s="7" t="s">
        <v>869</v>
      </c>
      <c r="C215" s="7" t="s">
        <v>1249</v>
      </c>
      <c r="D215" s="7">
        <v>2002</v>
      </c>
      <c r="E215" s="7" t="s">
        <v>19</v>
      </c>
      <c r="F215" s="7" t="s">
        <v>52</v>
      </c>
      <c r="G215" s="8" t="s">
        <v>1250</v>
      </c>
      <c r="H215" s="7" t="s">
        <v>263</v>
      </c>
      <c r="I215" s="7" t="s">
        <v>1225</v>
      </c>
      <c r="J215" s="2" t="s">
        <v>1544</v>
      </c>
      <c r="K215" s="9" t="s">
        <v>1552</v>
      </c>
      <c r="L215" s="2" t="s">
        <v>1571</v>
      </c>
      <c r="M215" s="2" t="s">
        <v>1609</v>
      </c>
      <c r="N215" s="2" t="s">
        <v>1971</v>
      </c>
      <c r="O215" s="65"/>
      <c r="P215" s="2" t="s">
        <v>2053</v>
      </c>
      <c r="Q215" s="65"/>
      <c r="R215" s="2"/>
      <c r="S215" s="27" t="e">
        <f t="shared" ca="1" si="3"/>
        <v>#VALUE!</v>
      </c>
    </row>
    <row r="216" spans="1:19" ht="27.75" customHeight="1" thickTop="1" thickBot="1" x14ac:dyDescent="0.35">
      <c r="A216" s="8">
        <v>1101700020004</v>
      </c>
      <c r="B216" s="7" t="s">
        <v>869</v>
      </c>
      <c r="C216" s="7" t="s">
        <v>1457</v>
      </c>
      <c r="D216" s="7">
        <v>2004</v>
      </c>
      <c r="E216" s="7" t="s">
        <v>19</v>
      </c>
      <c r="F216" s="7" t="s">
        <v>52</v>
      </c>
      <c r="G216" s="8" t="s">
        <v>870</v>
      </c>
      <c r="H216" s="7" t="s">
        <v>35</v>
      </c>
      <c r="I216" s="7" t="s">
        <v>868</v>
      </c>
      <c r="J216" s="2" t="s">
        <v>1549</v>
      </c>
      <c r="K216" s="9" t="s">
        <v>1552</v>
      </c>
      <c r="L216" s="2" t="s">
        <v>1565</v>
      </c>
      <c r="M216" s="2" t="s">
        <v>1956</v>
      </c>
      <c r="N216" s="2" t="s">
        <v>1957</v>
      </c>
      <c r="O216" s="66"/>
      <c r="P216" s="2" t="s">
        <v>2024</v>
      </c>
      <c r="Q216" s="66" t="s">
        <v>2025</v>
      </c>
      <c r="R216" s="2"/>
      <c r="S216" s="27" t="e">
        <f t="shared" ca="1" si="3"/>
        <v>#VALUE!</v>
      </c>
    </row>
    <row r="217" spans="1:19" ht="27.75" customHeight="1" thickTop="1" thickBot="1" x14ac:dyDescent="0.35">
      <c r="A217" s="8">
        <v>1105700010001</v>
      </c>
      <c r="B217" s="7" t="s">
        <v>290</v>
      </c>
      <c r="C217" s="7" t="s">
        <v>1296</v>
      </c>
      <c r="D217" s="7">
        <v>1998</v>
      </c>
      <c r="E217" s="7" t="s">
        <v>19</v>
      </c>
      <c r="F217" s="7" t="s">
        <v>42</v>
      </c>
      <c r="G217" s="8" t="s">
        <v>1297</v>
      </c>
      <c r="H217" s="7" t="s">
        <v>263</v>
      </c>
      <c r="I217" s="7" t="s">
        <v>1225</v>
      </c>
      <c r="J217" s="2" t="s">
        <v>1544</v>
      </c>
      <c r="K217" s="9" t="s">
        <v>1553</v>
      </c>
      <c r="L217" s="2" t="s">
        <v>1571</v>
      </c>
      <c r="M217" s="2" t="s">
        <v>1609</v>
      </c>
      <c r="N217" s="2" t="s">
        <v>1975</v>
      </c>
      <c r="O217" s="65"/>
      <c r="P217" s="2" t="s">
        <v>2053</v>
      </c>
      <c r="Q217" s="65"/>
      <c r="R217" s="2"/>
      <c r="S217" s="27" t="e">
        <f t="shared" ca="1" si="3"/>
        <v>#VALUE!</v>
      </c>
    </row>
    <row r="218" spans="1:19" ht="27.75" customHeight="1" thickTop="1" thickBot="1" x14ac:dyDescent="0.35">
      <c r="A218" s="8">
        <v>1102700010004</v>
      </c>
      <c r="B218" s="7" t="s">
        <v>64</v>
      </c>
      <c r="C218" s="7" t="s">
        <v>641</v>
      </c>
      <c r="D218" s="7">
        <v>2012</v>
      </c>
      <c r="E218" s="7" t="s">
        <v>19</v>
      </c>
      <c r="F218" s="7" t="s">
        <v>66</v>
      </c>
      <c r="G218" s="8" t="s">
        <v>642</v>
      </c>
      <c r="H218" s="7" t="s">
        <v>263</v>
      </c>
      <c r="I218" s="7" t="s">
        <v>632</v>
      </c>
      <c r="J218" s="2" t="s">
        <v>1544</v>
      </c>
      <c r="K218" s="9" t="s">
        <v>1552</v>
      </c>
      <c r="L218" s="2" t="s">
        <v>1564</v>
      </c>
      <c r="M218" s="2" t="s">
        <v>1794</v>
      </c>
      <c r="N218" s="2" t="s">
        <v>1968</v>
      </c>
      <c r="O218" s="66"/>
      <c r="P218" s="2" t="s">
        <v>2053</v>
      </c>
      <c r="Q218" s="66"/>
      <c r="R218" s="2"/>
      <c r="S218" s="27" t="e">
        <f t="shared" ca="1" si="3"/>
        <v>#VALUE!</v>
      </c>
    </row>
    <row r="219" spans="1:19" ht="27.75" customHeight="1" thickTop="1" thickBot="1" x14ac:dyDescent="0.35">
      <c r="A219" s="8">
        <v>1101700010004</v>
      </c>
      <c r="B219" s="7" t="s">
        <v>271</v>
      </c>
      <c r="C219" s="7" t="s">
        <v>272</v>
      </c>
      <c r="D219" s="7">
        <v>2002</v>
      </c>
      <c r="E219" s="7" t="s">
        <v>19</v>
      </c>
      <c r="F219" s="7" t="s">
        <v>52</v>
      </c>
      <c r="G219" s="8" t="s">
        <v>273</v>
      </c>
      <c r="H219" s="7" t="s">
        <v>263</v>
      </c>
      <c r="I219" s="7" t="s">
        <v>270</v>
      </c>
      <c r="J219" s="2" t="s">
        <v>1544</v>
      </c>
      <c r="K219" s="9" t="s">
        <v>1553</v>
      </c>
      <c r="L219" s="2" t="s">
        <v>1571</v>
      </c>
      <c r="M219" s="2" t="s">
        <v>1963</v>
      </c>
      <c r="N219" s="2" t="s">
        <v>1964</v>
      </c>
      <c r="O219" s="65"/>
      <c r="P219" s="2" t="s">
        <v>2053</v>
      </c>
      <c r="Q219" s="65"/>
      <c r="R219" s="2"/>
      <c r="S219" s="27" t="e">
        <f t="shared" ca="1" si="3"/>
        <v>#VALUE!</v>
      </c>
    </row>
    <row r="220" spans="1:19" ht="27.75" customHeight="1" thickTop="1" thickBot="1" x14ac:dyDescent="0.35">
      <c r="A220" s="8">
        <v>1102700010004</v>
      </c>
      <c r="B220" s="7" t="s">
        <v>64</v>
      </c>
      <c r="C220" s="7" t="s">
        <v>643</v>
      </c>
      <c r="D220" s="7">
        <v>2003</v>
      </c>
      <c r="E220" s="7" t="s">
        <v>19</v>
      </c>
      <c r="F220" s="7" t="s">
        <v>42</v>
      </c>
      <c r="G220" s="8" t="s">
        <v>644</v>
      </c>
      <c r="H220" s="7" t="s">
        <v>263</v>
      </c>
      <c r="I220" s="7" t="s">
        <v>632</v>
      </c>
      <c r="J220" s="2" t="s">
        <v>1544</v>
      </c>
      <c r="K220" s="9" t="s">
        <v>1553</v>
      </c>
      <c r="L220" s="2" t="s">
        <v>1571</v>
      </c>
      <c r="M220" s="2" t="s">
        <v>1965</v>
      </c>
      <c r="N220" s="2" t="s">
        <v>1583</v>
      </c>
      <c r="O220" s="66"/>
      <c r="P220" s="2" t="s">
        <v>2053</v>
      </c>
      <c r="Q220" s="66"/>
      <c r="R220" s="2"/>
      <c r="S220" s="27" t="e">
        <f t="shared" ca="1" si="3"/>
        <v>#VALUE!</v>
      </c>
    </row>
    <row r="221" spans="1:19" ht="27.75" customHeight="1" thickTop="1" thickBot="1" x14ac:dyDescent="0.35">
      <c r="A221" s="8">
        <v>1106700020003</v>
      </c>
      <c r="B221" s="7" t="s">
        <v>54</v>
      </c>
      <c r="C221" s="7" t="s">
        <v>347</v>
      </c>
      <c r="D221" s="7">
        <v>2009</v>
      </c>
      <c r="E221" s="7" t="s">
        <v>19</v>
      </c>
      <c r="F221" s="7" t="s">
        <v>56</v>
      </c>
      <c r="G221" s="8" t="s">
        <v>348</v>
      </c>
      <c r="H221" s="7" t="s">
        <v>263</v>
      </c>
      <c r="I221" s="7" t="s">
        <v>270</v>
      </c>
      <c r="J221" s="2" t="s">
        <v>1544</v>
      </c>
      <c r="K221" s="9" t="s">
        <v>1552</v>
      </c>
      <c r="L221" s="2" t="s">
        <v>1571</v>
      </c>
      <c r="M221" s="2" t="s">
        <v>1609</v>
      </c>
      <c r="N221" s="2"/>
      <c r="O221" s="65"/>
      <c r="P221" s="2" t="s">
        <v>2053</v>
      </c>
      <c r="Q221" s="65"/>
      <c r="R221" s="2"/>
      <c r="S221" s="27" t="str">
        <f t="shared" ca="1" si="3"/>
        <v/>
      </c>
    </row>
    <row r="222" spans="1:19" ht="27.75" customHeight="1" thickTop="1" thickBot="1" x14ac:dyDescent="0.35">
      <c r="A222" s="8">
        <v>1204700020003</v>
      </c>
      <c r="B222" s="7" t="s">
        <v>13</v>
      </c>
      <c r="C222" s="7" t="s">
        <v>690</v>
      </c>
      <c r="D222" s="7">
        <v>2010</v>
      </c>
      <c r="E222" s="7" t="s">
        <v>19</v>
      </c>
      <c r="F222" s="7" t="s">
        <v>10</v>
      </c>
      <c r="G222" s="8">
        <v>581324</v>
      </c>
      <c r="H222" s="7" t="s">
        <v>263</v>
      </c>
      <c r="I222" s="7" t="s">
        <v>632</v>
      </c>
      <c r="J222" s="2" t="s">
        <v>1544</v>
      </c>
      <c r="K222" s="9" t="s">
        <v>1552</v>
      </c>
      <c r="L222" s="2" t="s">
        <v>1559</v>
      </c>
      <c r="M222" s="2" t="s">
        <v>1559</v>
      </c>
      <c r="N222" s="2"/>
      <c r="O222" s="66"/>
      <c r="P222" s="2" t="s">
        <v>2053</v>
      </c>
      <c r="Q222" s="66"/>
      <c r="R222" s="2"/>
      <c r="S222" s="27" t="str">
        <f t="shared" ca="1" si="3"/>
        <v/>
      </c>
    </row>
    <row r="223" spans="1:19" ht="27.75" customHeight="1" thickTop="1" thickBot="1" x14ac:dyDescent="0.35">
      <c r="A223" s="8">
        <v>1101700010006</v>
      </c>
      <c r="B223" s="7" t="s">
        <v>1551</v>
      </c>
      <c r="C223" s="7" t="s">
        <v>280</v>
      </c>
      <c r="D223" s="7">
        <v>2015</v>
      </c>
      <c r="E223" s="7" t="s">
        <v>19</v>
      </c>
      <c r="F223" s="7" t="s">
        <v>52</v>
      </c>
      <c r="G223" s="8" t="s">
        <v>281</v>
      </c>
      <c r="H223" s="7" t="s">
        <v>263</v>
      </c>
      <c r="I223" s="7" t="s">
        <v>270</v>
      </c>
      <c r="J223" s="2" t="s">
        <v>1506</v>
      </c>
      <c r="K223" s="2" t="s">
        <v>1548</v>
      </c>
      <c r="L223" s="2" t="s">
        <v>1564</v>
      </c>
      <c r="M223" s="2" t="s">
        <v>2072</v>
      </c>
      <c r="N223" s="2" t="s">
        <v>2069</v>
      </c>
      <c r="O223" s="65"/>
      <c r="P223" s="2" t="s">
        <v>1506</v>
      </c>
      <c r="Q223" s="65" t="s">
        <v>2004</v>
      </c>
      <c r="R223" s="2"/>
      <c r="S223" s="27" t="e">
        <f t="shared" ca="1" si="3"/>
        <v>#VALUE!</v>
      </c>
    </row>
    <row r="224" spans="1:19" ht="27.75" customHeight="1" thickTop="1" thickBot="1" x14ac:dyDescent="0.35">
      <c r="A224" s="8">
        <v>1102700010001</v>
      </c>
      <c r="B224" s="7" t="s">
        <v>1262</v>
      </c>
      <c r="C224" s="7" t="s">
        <v>1447</v>
      </c>
      <c r="D224" s="7">
        <v>2008</v>
      </c>
      <c r="E224" s="7" t="s">
        <v>19</v>
      </c>
      <c r="F224" s="7" t="s">
        <v>42</v>
      </c>
      <c r="G224" s="8" t="s">
        <v>1263</v>
      </c>
      <c r="H224" s="7" t="s">
        <v>263</v>
      </c>
      <c r="I224" s="7" t="s">
        <v>1225</v>
      </c>
      <c r="J224" s="2" t="s">
        <v>1544</v>
      </c>
      <c r="K224" s="9" t="s">
        <v>1552</v>
      </c>
      <c r="L224" s="2" t="s">
        <v>1571</v>
      </c>
      <c r="M224" s="2" t="s">
        <v>1609</v>
      </c>
      <c r="N224" s="2"/>
      <c r="O224" s="66"/>
      <c r="P224" s="2" t="s">
        <v>2053</v>
      </c>
      <c r="Q224" s="66"/>
      <c r="R224" s="2"/>
      <c r="S224" s="27" t="str">
        <f t="shared" ca="1" si="3"/>
        <v/>
      </c>
    </row>
    <row r="225" spans="1:19" ht="27.75" customHeight="1" thickTop="1" thickBot="1" x14ac:dyDescent="0.35">
      <c r="A225" s="8">
        <v>1102700010001</v>
      </c>
      <c r="B225" s="7" t="s">
        <v>1262</v>
      </c>
      <c r="C225" s="7" t="s">
        <v>1264</v>
      </c>
      <c r="D225" s="7">
        <v>2008</v>
      </c>
      <c r="E225" s="7" t="s">
        <v>19</v>
      </c>
      <c r="F225" s="7" t="s">
        <v>42</v>
      </c>
      <c r="G225" s="8" t="s">
        <v>1265</v>
      </c>
      <c r="H225" s="7" t="s">
        <v>263</v>
      </c>
      <c r="I225" s="7" t="s">
        <v>1225</v>
      </c>
      <c r="J225" s="2" t="s">
        <v>1544</v>
      </c>
      <c r="K225" s="9" t="s">
        <v>1552</v>
      </c>
      <c r="L225" s="2" t="s">
        <v>1571</v>
      </c>
      <c r="M225" s="2" t="s">
        <v>1609</v>
      </c>
      <c r="N225" s="2"/>
      <c r="O225" s="65"/>
      <c r="P225" s="2" t="s">
        <v>2053</v>
      </c>
      <c r="Q225" s="65"/>
      <c r="R225" s="2"/>
      <c r="S225" s="27" t="str">
        <f t="shared" ca="1" si="3"/>
        <v/>
      </c>
    </row>
    <row r="226" spans="1:19" ht="27.75" customHeight="1" thickTop="1" thickBot="1" x14ac:dyDescent="0.35">
      <c r="A226" s="8">
        <v>1102700010004</v>
      </c>
      <c r="B226" s="7" t="s">
        <v>64</v>
      </c>
      <c r="C226" s="7" t="s">
        <v>1268</v>
      </c>
      <c r="D226" s="7">
        <v>2003</v>
      </c>
      <c r="E226" s="7" t="s">
        <v>19</v>
      </c>
      <c r="F226" s="7" t="s">
        <v>42</v>
      </c>
      <c r="G226" s="8" t="s">
        <v>1269</v>
      </c>
      <c r="H226" s="7" t="s">
        <v>263</v>
      </c>
      <c r="I226" s="7" t="s">
        <v>1225</v>
      </c>
      <c r="J226" s="2" t="s">
        <v>1544</v>
      </c>
      <c r="K226" s="9" t="s">
        <v>1552</v>
      </c>
      <c r="L226" s="2" t="s">
        <v>1571</v>
      </c>
      <c r="M226" s="2" t="s">
        <v>1609</v>
      </c>
      <c r="N226" s="2"/>
      <c r="O226" s="66"/>
      <c r="P226" s="2" t="s">
        <v>2053</v>
      </c>
      <c r="Q226" s="66"/>
      <c r="R226" s="2"/>
      <c r="S226" s="27" t="str">
        <f t="shared" ca="1" si="3"/>
        <v/>
      </c>
    </row>
    <row r="227" spans="1:19" ht="27.75" customHeight="1" thickTop="1" thickBot="1" x14ac:dyDescent="0.35">
      <c r="A227" s="8">
        <v>1102700010004</v>
      </c>
      <c r="B227" s="7" t="s">
        <v>64</v>
      </c>
      <c r="C227" s="7" t="s">
        <v>1270</v>
      </c>
      <c r="D227" s="7">
        <v>2003</v>
      </c>
      <c r="E227" s="7" t="s">
        <v>19</v>
      </c>
      <c r="F227" s="7" t="s">
        <v>42</v>
      </c>
      <c r="G227" s="8" t="s">
        <v>1271</v>
      </c>
      <c r="H227" s="7" t="s">
        <v>263</v>
      </c>
      <c r="I227" s="7" t="s">
        <v>1225</v>
      </c>
      <c r="J227" s="2" t="s">
        <v>1544</v>
      </c>
      <c r="K227" s="9" t="s">
        <v>1552</v>
      </c>
      <c r="L227" s="2" t="s">
        <v>1571</v>
      </c>
      <c r="M227" s="2" t="s">
        <v>1609</v>
      </c>
      <c r="N227" s="2"/>
      <c r="O227" s="65"/>
      <c r="P227" s="2" t="s">
        <v>2053</v>
      </c>
      <c r="Q227" s="65"/>
      <c r="R227" s="2"/>
      <c r="S227" s="27" t="str">
        <f t="shared" ca="1" si="3"/>
        <v/>
      </c>
    </row>
    <row r="228" spans="1:19" ht="27.75" customHeight="1" thickTop="1" thickBot="1" x14ac:dyDescent="0.35">
      <c r="A228" s="8">
        <v>1102700010004</v>
      </c>
      <c r="B228" s="7" t="s">
        <v>64</v>
      </c>
      <c r="C228" s="7" t="s">
        <v>1272</v>
      </c>
      <c r="D228" s="7">
        <v>2007</v>
      </c>
      <c r="E228" s="7" t="s">
        <v>19</v>
      </c>
      <c r="F228" s="7" t="s">
        <v>42</v>
      </c>
      <c r="G228" s="8" t="s">
        <v>1273</v>
      </c>
      <c r="H228" s="7" t="s">
        <v>263</v>
      </c>
      <c r="I228" s="7" t="s">
        <v>1225</v>
      </c>
      <c r="J228" s="2" t="s">
        <v>1544</v>
      </c>
      <c r="K228" s="9" t="s">
        <v>1552</v>
      </c>
      <c r="L228" s="2" t="s">
        <v>1571</v>
      </c>
      <c r="M228" s="2" t="s">
        <v>1609</v>
      </c>
      <c r="N228" s="2"/>
      <c r="O228" s="66"/>
      <c r="P228" s="2" t="s">
        <v>2053</v>
      </c>
      <c r="Q228" s="66"/>
      <c r="R228" s="2"/>
      <c r="S228" s="27" t="str">
        <f t="shared" ca="1" si="3"/>
        <v/>
      </c>
    </row>
    <row r="229" spans="1:19" ht="27.75" customHeight="1" thickTop="1" thickBot="1" x14ac:dyDescent="0.35">
      <c r="A229" s="8">
        <v>1102700010004</v>
      </c>
      <c r="B229" s="7" t="s">
        <v>64</v>
      </c>
      <c r="C229" s="7" t="s">
        <v>1274</v>
      </c>
      <c r="D229" s="7">
        <v>2008</v>
      </c>
      <c r="E229" s="7" t="s">
        <v>19</v>
      </c>
      <c r="F229" s="7" t="s">
        <v>42</v>
      </c>
      <c r="G229" s="8" t="s">
        <v>1275</v>
      </c>
      <c r="H229" s="7" t="s">
        <v>263</v>
      </c>
      <c r="I229" s="7" t="s">
        <v>1225</v>
      </c>
      <c r="J229" s="2" t="s">
        <v>1544</v>
      </c>
      <c r="K229" s="9" t="s">
        <v>1552</v>
      </c>
      <c r="L229" s="2" t="s">
        <v>1571</v>
      </c>
      <c r="M229" s="2" t="s">
        <v>1609</v>
      </c>
      <c r="N229" s="2"/>
      <c r="O229" s="65"/>
      <c r="P229" s="2" t="s">
        <v>2053</v>
      </c>
      <c r="Q229" s="65"/>
      <c r="R229" s="2"/>
      <c r="S229" s="27" t="str">
        <f t="shared" ca="1" si="3"/>
        <v/>
      </c>
    </row>
    <row r="230" spans="1:19" ht="27.75" customHeight="1" thickTop="1" thickBot="1" x14ac:dyDescent="0.35">
      <c r="A230" s="8">
        <v>1102700010004</v>
      </c>
      <c r="B230" s="7" t="s">
        <v>64</v>
      </c>
      <c r="C230" s="7" t="s">
        <v>1279</v>
      </c>
      <c r="D230" s="7">
        <v>2006</v>
      </c>
      <c r="E230" s="7" t="s">
        <v>19</v>
      </c>
      <c r="F230" s="7" t="s">
        <v>42</v>
      </c>
      <c r="G230" s="8" t="s">
        <v>1280</v>
      </c>
      <c r="H230" s="7" t="s">
        <v>263</v>
      </c>
      <c r="I230" s="7" t="s">
        <v>1225</v>
      </c>
      <c r="J230" s="2" t="s">
        <v>1544</v>
      </c>
      <c r="K230" s="9" t="s">
        <v>1552</v>
      </c>
      <c r="L230" s="2" t="s">
        <v>1571</v>
      </c>
      <c r="M230" s="2" t="s">
        <v>1609</v>
      </c>
      <c r="N230" s="2"/>
      <c r="O230" s="66"/>
      <c r="P230" s="2" t="s">
        <v>2053</v>
      </c>
      <c r="Q230" s="66"/>
      <c r="R230" s="2"/>
      <c r="S230" s="27" t="str">
        <f t="shared" ca="1" si="3"/>
        <v/>
      </c>
    </row>
    <row r="231" spans="1:19" ht="27.75" customHeight="1" thickTop="1" thickBot="1" x14ac:dyDescent="0.35">
      <c r="A231" s="8">
        <v>1104700010001</v>
      </c>
      <c r="B231" s="7" t="s">
        <v>245</v>
      </c>
      <c r="C231" s="7" t="s">
        <v>1286</v>
      </c>
      <c r="D231" s="7">
        <v>2006</v>
      </c>
      <c r="E231" s="7" t="s">
        <v>19</v>
      </c>
      <c r="F231" s="7" t="s">
        <v>5</v>
      </c>
      <c r="G231" s="8" t="s">
        <v>1287</v>
      </c>
      <c r="H231" s="7" t="s">
        <v>263</v>
      </c>
      <c r="I231" s="7" t="s">
        <v>1225</v>
      </c>
      <c r="J231" s="2" t="s">
        <v>1544</v>
      </c>
      <c r="K231" s="9" t="s">
        <v>1552</v>
      </c>
      <c r="L231" s="2" t="s">
        <v>1571</v>
      </c>
      <c r="M231" s="2" t="s">
        <v>1609</v>
      </c>
      <c r="N231" s="2"/>
      <c r="O231" s="65"/>
      <c r="P231" s="2" t="s">
        <v>2053</v>
      </c>
      <c r="Q231" s="65"/>
      <c r="R231" s="2"/>
      <c r="S231" s="27" t="str">
        <f t="shared" ca="1" si="3"/>
        <v/>
      </c>
    </row>
    <row r="232" spans="1:19" ht="27.75" customHeight="1" thickTop="1" thickBot="1" x14ac:dyDescent="0.35">
      <c r="A232" s="8">
        <v>1104700010001</v>
      </c>
      <c r="B232" s="7" t="s">
        <v>245</v>
      </c>
      <c r="C232" s="7" t="s">
        <v>1288</v>
      </c>
      <c r="D232" s="7">
        <v>2005</v>
      </c>
      <c r="E232" s="7" t="s">
        <v>19</v>
      </c>
      <c r="F232" s="7" t="s">
        <v>236</v>
      </c>
      <c r="G232" s="8" t="s">
        <v>1289</v>
      </c>
      <c r="H232" s="7" t="s">
        <v>263</v>
      </c>
      <c r="I232" s="7" t="s">
        <v>1225</v>
      </c>
      <c r="J232" s="2" t="s">
        <v>1544</v>
      </c>
      <c r="K232" s="9" t="s">
        <v>1552</v>
      </c>
      <c r="L232" s="2" t="s">
        <v>1571</v>
      </c>
      <c r="M232" s="2" t="s">
        <v>1609</v>
      </c>
      <c r="N232" s="2"/>
      <c r="O232" s="66"/>
      <c r="P232" s="2" t="s">
        <v>2053</v>
      </c>
      <c r="Q232" s="66"/>
      <c r="R232" s="2"/>
      <c r="S232" s="27" t="str">
        <f t="shared" ca="1" si="3"/>
        <v/>
      </c>
    </row>
    <row r="233" spans="1:19" ht="27.75" customHeight="1" thickTop="1" thickBot="1" x14ac:dyDescent="0.35">
      <c r="A233" s="8">
        <v>1104700020004</v>
      </c>
      <c r="B233" s="7" t="s">
        <v>584</v>
      </c>
      <c r="C233" s="7" t="s">
        <v>1294</v>
      </c>
      <c r="D233" s="7">
        <v>2008</v>
      </c>
      <c r="E233" s="7" t="s">
        <v>19</v>
      </c>
      <c r="F233" s="7" t="s">
        <v>236</v>
      </c>
      <c r="G233" s="8" t="s">
        <v>1295</v>
      </c>
      <c r="H233" s="7" t="s">
        <v>263</v>
      </c>
      <c r="I233" s="7" t="s">
        <v>1225</v>
      </c>
      <c r="J233" s="2" t="s">
        <v>1544</v>
      </c>
      <c r="K233" s="9" t="s">
        <v>1552</v>
      </c>
      <c r="L233" s="2" t="s">
        <v>1571</v>
      </c>
      <c r="M233" s="2" t="s">
        <v>1609</v>
      </c>
      <c r="N233" s="2"/>
      <c r="O233" s="65"/>
      <c r="P233" s="2" t="s">
        <v>2053</v>
      </c>
      <c r="Q233" s="65"/>
      <c r="R233" s="2"/>
      <c r="S233" s="27" t="str">
        <f t="shared" ca="1" si="3"/>
        <v/>
      </c>
    </row>
    <row r="234" spans="1:19" ht="27.75" customHeight="1" thickTop="1" thickBot="1" x14ac:dyDescent="0.35">
      <c r="A234" s="8">
        <v>1105700020001</v>
      </c>
      <c r="B234" s="7" t="s">
        <v>296</v>
      </c>
      <c r="C234" s="7" t="s">
        <v>1298</v>
      </c>
      <c r="D234" s="7">
        <v>1998</v>
      </c>
      <c r="E234" s="7" t="s">
        <v>19</v>
      </c>
      <c r="F234" s="7" t="s">
        <v>236</v>
      </c>
      <c r="G234" s="8" t="s">
        <v>1299</v>
      </c>
      <c r="H234" s="7" t="s">
        <v>263</v>
      </c>
      <c r="I234" s="7" t="s">
        <v>1225</v>
      </c>
      <c r="J234" s="2" t="s">
        <v>1544</v>
      </c>
      <c r="K234" s="9" t="s">
        <v>1552</v>
      </c>
      <c r="L234" s="2" t="s">
        <v>1571</v>
      </c>
      <c r="M234" s="2" t="s">
        <v>1609</v>
      </c>
      <c r="N234" s="2"/>
      <c r="O234" s="66"/>
      <c r="P234" s="2" t="s">
        <v>2053</v>
      </c>
      <c r="Q234" s="66"/>
      <c r="R234" s="2"/>
      <c r="S234" s="27" t="str">
        <f t="shared" ca="1" si="3"/>
        <v/>
      </c>
    </row>
    <row r="235" spans="1:19" ht="27.75" customHeight="1" thickTop="1" thickBot="1" x14ac:dyDescent="0.35">
      <c r="A235" s="8">
        <v>1105700080001</v>
      </c>
      <c r="B235" s="7" t="s">
        <v>302</v>
      </c>
      <c r="C235" s="7" t="s">
        <v>1463</v>
      </c>
      <c r="D235" s="7">
        <v>2012</v>
      </c>
      <c r="E235" s="7" t="s">
        <v>19</v>
      </c>
      <c r="F235" s="7" t="s">
        <v>304</v>
      </c>
      <c r="G235" s="8" t="s">
        <v>1300</v>
      </c>
      <c r="H235" s="7" t="s">
        <v>263</v>
      </c>
      <c r="I235" s="7" t="s">
        <v>1225</v>
      </c>
      <c r="J235" s="2" t="s">
        <v>1544</v>
      </c>
      <c r="K235" s="9" t="s">
        <v>1552</v>
      </c>
      <c r="L235" s="2" t="s">
        <v>1571</v>
      </c>
      <c r="M235" s="2" t="s">
        <v>1609</v>
      </c>
      <c r="N235" s="2"/>
      <c r="O235" s="65"/>
      <c r="P235" s="2" t="s">
        <v>2053</v>
      </c>
      <c r="Q235" s="65"/>
      <c r="R235" s="2"/>
      <c r="S235" s="27" t="str">
        <f t="shared" ca="1" si="3"/>
        <v/>
      </c>
    </row>
    <row r="236" spans="1:19" ht="27.75" customHeight="1" thickTop="1" thickBot="1" x14ac:dyDescent="0.35">
      <c r="A236" s="8">
        <v>1106700010003</v>
      </c>
      <c r="B236" s="7" t="s">
        <v>102</v>
      </c>
      <c r="C236" s="7" t="s">
        <v>1323</v>
      </c>
      <c r="D236" s="7">
        <v>1989</v>
      </c>
      <c r="E236" s="7" t="s">
        <v>19</v>
      </c>
      <c r="F236" s="7" t="s">
        <v>104</v>
      </c>
      <c r="G236" s="8">
        <v>346001417089</v>
      </c>
      <c r="H236" s="7" t="s">
        <v>263</v>
      </c>
      <c r="I236" s="7" t="s">
        <v>1225</v>
      </c>
      <c r="J236" s="2" t="s">
        <v>1544</v>
      </c>
      <c r="K236" s="9" t="s">
        <v>1552</v>
      </c>
      <c r="L236" s="2" t="s">
        <v>1571</v>
      </c>
      <c r="M236" s="2" t="s">
        <v>1609</v>
      </c>
      <c r="N236" s="2"/>
      <c r="O236" s="66"/>
      <c r="P236" s="2" t="s">
        <v>2053</v>
      </c>
      <c r="Q236" s="66"/>
      <c r="R236" s="2"/>
      <c r="S236" s="27" t="str">
        <f t="shared" ca="1" si="3"/>
        <v/>
      </c>
    </row>
    <row r="237" spans="1:19" ht="27.75" customHeight="1" thickTop="1" thickBot="1" x14ac:dyDescent="0.35">
      <c r="A237" s="8">
        <v>1106700010003</v>
      </c>
      <c r="B237" s="7" t="s">
        <v>102</v>
      </c>
      <c r="C237" s="7" t="s">
        <v>1324</v>
      </c>
      <c r="D237" s="7">
        <v>1983</v>
      </c>
      <c r="E237" s="7" t="s">
        <v>19</v>
      </c>
      <c r="F237" s="7" t="s">
        <v>104</v>
      </c>
      <c r="G237" s="8">
        <v>34603154914465</v>
      </c>
      <c r="H237" s="7" t="s">
        <v>263</v>
      </c>
      <c r="I237" s="7" t="s">
        <v>1225</v>
      </c>
      <c r="J237" s="2" t="s">
        <v>1544</v>
      </c>
      <c r="K237" s="9" t="s">
        <v>1552</v>
      </c>
      <c r="L237" s="2" t="s">
        <v>1571</v>
      </c>
      <c r="M237" s="2" t="s">
        <v>1609</v>
      </c>
      <c r="N237" s="2"/>
      <c r="O237" s="65"/>
      <c r="P237" s="2" t="s">
        <v>2053</v>
      </c>
      <c r="Q237" s="65"/>
      <c r="R237" s="2"/>
      <c r="S237" s="27" t="str">
        <f t="shared" ca="1" si="3"/>
        <v/>
      </c>
    </row>
    <row r="238" spans="1:19" ht="27.75" customHeight="1" thickTop="1" thickBot="1" x14ac:dyDescent="0.35">
      <c r="A238" s="8">
        <v>1106700010003</v>
      </c>
      <c r="B238" s="7" t="s">
        <v>102</v>
      </c>
      <c r="C238" s="7" t="s">
        <v>1326</v>
      </c>
      <c r="D238" s="7">
        <v>1982</v>
      </c>
      <c r="E238" s="7" t="s">
        <v>19</v>
      </c>
      <c r="F238" s="7" t="s">
        <v>104</v>
      </c>
      <c r="G238" s="8">
        <v>3403155025828</v>
      </c>
      <c r="H238" s="7" t="s">
        <v>263</v>
      </c>
      <c r="I238" s="7" t="s">
        <v>1225</v>
      </c>
      <c r="J238" s="2" t="s">
        <v>1544</v>
      </c>
      <c r="K238" s="9" t="s">
        <v>1552</v>
      </c>
      <c r="L238" s="2" t="s">
        <v>1571</v>
      </c>
      <c r="M238" s="2" t="s">
        <v>1609</v>
      </c>
      <c r="N238" s="2"/>
      <c r="O238" s="66"/>
      <c r="P238" s="2" t="s">
        <v>2053</v>
      </c>
      <c r="Q238" s="66"/>
      <c r="R238" s="2"/>
      <c r="S238" s="27" t="str">
        <f t="shared" ca="1" si="3"/>
        <v/>
      </c>
    </row>
    <row r="239" spans="1:19" ht="27.75" customHeight="1" thickTop="1" thickBot="1" x14ac:dyDescent="0.35">
      <c r="A239" s="8">
        <v>1106700010003</v>
      </c>
      <c r="B239" s="7" t="s">
        <v>102</v>
      </c>
      <c r="C239" s="7" t="s">
        <v>1327</v>
      </c>
      <c r="D239" s="7">
        <v>1988</v>
      </c>
      <c r="E239" s="7" t="s">
        <v>19</v>
      </c>
      <c r="F239" s="7" t="s">
        <v>104</v>
      </c>
      <c r="G239" s="8">
        <v>34600155361082</v>
      </c>
      <c r="H239" s="7" t="s">
        <v>263</v>
      </c>
      <c r="I239" s="7" t="s">
        <v>1225</v>
      </c>
      <c r="J239" s="2" t="s">
        <v>1544</v>
      </c>
      <c r="K239" s="9" t="s">
        <v>1552</v>
      </c>
      <c r="L239" s="2" t="s">
        <v>1571</v>
      </c>
      <c r="M239" s="2" t="s">
        <v>1609</v>
      </c>
      <c r="N239" s="2"/>
      <c r="O239" s="65"/>
      <c r="P239" s="2" t="s">
        <v>2053</v>
      </c>
      <c r="Q239" s="65"/>
      <c r="R239" s="2"/>
      <c r="S239" s="27" t="str">
        <f t="shared" ca="1" si="3"/>
        <v/>
      </c>
    </row>
    <row r="240" spans="1:19" ht="27.75" customHeight="1" thickTop="1" thickBot="1" x14ac:dyDescent="0.35">
      <c r="A240" s="8">
        <v>1106700010003</v>
      </c>
      <c r="B240" s="7" t="s">
        <v>102</v>
      </c>
      <c r="C240" s="7" t="s">
        <v>1328</v>
      </c>
      <c r="D240" s="7">
        <v>1989</v>
      </c>
      <c r="E240" s="7" t="s">
        <v>19</v>
      </c>
      <c r="F240" s="7" t="s">
        <v>104</v>
      </c>
      <c r="G240" s="8">
        <v>34600155417059</v>
      </c>
      <c r="H240" s="7" t="s">
        <v>263</v>
      </c>
      <c r="I240" s="7" t="s">
        <v>1225</v>
      </c>
      <c r="J240" s="2" t="s">
        <v>1544</v>
      </c>
      <c r="K240" s="9" t="s">
        <v>1552</v>
      </c>
      <c r="L240" s="2" t="s">
        <v>1571</v>
      </c>
      <c r="M240" s="2" t="s">
        <v>1609</v>
      </c>
      <c r="N240" s="2"/>
      <c r="O240" s="66"/>
      <c r="P240" s="2" t="s">
        <v>2053</v>
      </c>
      <c r="Q240" s="66"/>
      <c r="R240" s="2"/>
      <c r="S240" s="27" t="str">
        <f t="shared" ca="1" si="3"/>
        <v/>
      </c>
    </row>
    <row r="241" spans="1:19" ht="27.75" customHeight="1" thickTop="1" thickBot="1" x14ac:dyDescent="0.35">
      <c r="A241" s="8">
        <v>1106700010003</v>
      </c>
      <c r="B241" s="7" t="s">
        <v>102</v>
      </c>
      <c r="C241" s="7" t="s">
        <v>1329</v>
      </c>
      <c r="D241" s="7">
        <v>1989</v>
      </c>
      <c r="E241" s="7" t="s">
        <v>19</v>
      </c>
      <c r="F241" s="7" t="s">
        <v>104</v>
      </c>
      <c r="G241" s="8">
        <v>34600155424078</v>
      </c>
      <c r="H241" s="7" t="s">
        <v>263</v>
      </c>
      <c r="I241" s="7" t="s">
        <v>1225</v>
      </c>
      <c r="J241" s="2" t="s">
        <v>1544</v>
      </c>
      <c r="K241" s="9" t="s">
        <v>1552</v>
      </c>
      <c r="L241" s="2" t="s">
        <v>1571</v>
      </c>
      <c r="M241" s="2" t="s">
        <v>1609</v>
      </c>
      <c r="N241" s="2"/>
      <c r="O241" s="65"/>
      <c r="P241" s="2" t="s">
        <v>2053</v>
      </c>
      <c r="Q241" s="65"/>
      <c r="R241" s="2"/>
      <c r="S241" s="27" t="str">
        <f t="shared" ca="1" si="3"/>
        <v/>
      </c>
    </row>
    <row r="242" spans="1:19" ht="27.75" customHeight="1" thickTop="1" thickBot="1" x14ac:dyDescent="0.35">
      <c r="A242" s="8">
        <v>1106700010003</v>
      </c>
      <c r="B242" s="7" t="s">
        <v>102</v>
      </c>
      <c r="C242" s="7" t="s">
        <v>1330</v>
      </c>
      <c r="D242" s="7">
        <v>1990</v>
      </c>
      <c r="E242" s="7" t="s">
        <v>19</v>
      </c>
      <c r="F242" s="7" t="s">
        <v>104</v>
      </c>
      <c r="G242" s="8">
        <v>34600155505125</v>
      </c>
      <c r="H242" s="7" t="s">
        <v>263</v>
      </c>
      <c r="I242" s="7" t="s">
        <v>1225</v>
      </c>
      <c r="J242" s="2" t="s">
        <v>1544</v>
      </c>
      <c r="K242" s="9" t="s">
        <v>1552</v>
      </c>
      <c r="L242" s="2" t="s">
        <v>1571</v>
      </c>
      <c r="M242" s="2" t="s">
        <v>1609</v>
      </c>
      <c r="N242" s="2"/>
      <c r="O242" s="66"/>
      <c r="P242" s="2" t="s">
        <v>2053</v>
      </c>
      <c r="Q242" s="66"/>
      <c r="R242" s="2"/>
      <c r="S242" s="27" t="str">
        <f t="shared" ca="1" si="3"/>
        <v/>
      </c>
    </row>
    <row r="243" spans="1:19" ht="27.75" customHeight="1" thickTop="1" thickBot="1" x14ac:dyDescent="0.35">
      <c r="A243" s="8">
        <v>1106700010003</v>
      </c>
      <c r="B243" s="7" t="s">
        <v>102</v>
      </c>
      <c r="C243" s="7" t="s">
        <v>1331</v>
      </c>
      <c r="D243" s="7">
        <v>1989</v>
      </c>
      <c r="E243" s="7" t="s">
        <v>19</v>
      </c>
      <c r="F243" s="7" t="s">
        <v>104</v>
      </c>
      <c r="G243" s="8">
        <v>3460315502549</v>
      </c>
      <c r="H243" s="7" t="s">
        <v>263</v>
      </c>
      <c r="I243" s="7" t="s">
        <v>1225</v>
      </c>
      <c r="J243" s="2" t="s">
        <v>1544</v>
      </c>
      <c r="K243" s="9" t="s">
        <v>1552</v>
      </c>
      <c r="L243" s="2" t="s">
        <v>1571</v>
      </c>
      <c r="M243" s="2" t="s">
        <v>1609</v>
      </c>
      <c r="N243" s="2"/>
      <c r="O243" s="65"/>
      <c r="P243" s="2" t="s">
        <v>2053</v>
      </c>
      <c r="Q243" s="65"/>
      <c r="R243" s="2"/>
      <c r="S243" s="27" t="str">
        <f t="shared" ca="1" si="3"/>
        <v/>
      </c>
    </row>
    <row r="244" spans="1:19" ht="27.75" customHeight="1" thickTop="1" thickBot="1" x14ac:dyDescent="0.35">
      <c r="A244" s="8">
        <v>1106700010003</v>
      </c>
      <c r="B244" s="7" t="s">
        <v>102</v>
      </c>
      <c r="C244" s="7" t="s">
        <v>1332</v>
      </c>
      <c r="D244" s="7">
        <v>1983</v>
      </c>
      <c r="E244" s="7" t="s">
        <v>19</v>
      </c>
      <c r="F244" s="7" t="s">
        <v>104</v>
      </c>
      <c r="G244" s="8" t="s">
        <v>1333</v>
      </c>
      <c r="H244" s="7" t="s">
        <v>263</v>
      </c>
      <c r="I244" s="7" t="s">
        <v>1225</v>
      </c>
      <c r="J244" s="2" t="s">
        <v>1544</v>
      </c>
      <c r="K244" s="9" t="s">
        <v>1552</v>
      </c>
      <c r="L244" s="2" t="s">
        <v>1571</v>
      </c>
      <c r="M244" s="2" t="s">
        <v>1609</v>
      </c>
      <c r="N244" s="2"/>
      <c r="O244" s="66"/>
      <c r="P244" s="2" t="s">
        <v>2053</v>
      </c>
      <c r="Q244" s="66"/>
      <c r="R244" s="2"/>
      <c r="S244" s="27" t="str">
        <f t="shared" ca="1" si="3"/>
        <v/>
      </c>
    </row>
    <row r="245" spans="1:19" ht="27.75" customHeight="1" thickTop="1" thickBot="1" x14ac:dyDescent="0.35">
      <c r="A245" s="8">
        <v>1106700010003</v>
      </c>
      <c r="B245" s="7" t="s">
        <v>102</v>
      </c>
      <c r="C245" s="7" t="s">
        <v>1334</v>
      </c>
      <c r="D245" s="7">
        <v>1983</v>
      </c>
      <c r="E245" s="7" t="s">
        <v>19</v>
      </c>
      <c r="F245" s="7" t="s">
        <v>104</v>
      </c>
      <c r="G245" s="8" t="s">
        <v>1335</v>
      </c>
      <c r="H245" s="7" t="s">
        <v>263</v>
      </c>
      <c r="I245" s="7" t="s">
        <v>1225</v>
      </c>
      <c r="J245" s="2" t="s">
        <v>1544</v>
      </c>
      <c r="K245" s="9" t="s">
        <v>1552</v>
      </c>
      <c r="L245" s="2" t="s">
        <v>1571</v>
      </c>
      <c r="M245" s="2" t="s">
        <v>1609</v>
      </c>
      <c r="N245" s="2"/>
      <c r="O245" s="65"/>
      <c r="P245" s="2" t="s">
        <v>2053</v>
      </c>
      <c r="Q245" s="65"/>
      <c r="R245" s="2"/>
      <c r="S245" s="27" t="str">
        <f t="shared" ca="1" si="3"/>
        <v/>
      </c>
    </row>
    <row r="246" spans="1:19" ht="27.75" customHeight="1" thickTop="1" thickBot="1" x14ac:dyDescent="0.35">
      <c r="A246" s="8">
        <v>1106700010003</v>
      </c>
      <c r="B246" s="7" t="s">
        <v>102</v>
      </c>
      <c r="C246" s="7" t="s">
        <v>1464</v>
      </c>
      <c r="D246" s="7">
        <v>1989</v>
      </c>
      <c r="E246" s="7" t="s">
        <v>19</v>
      </c>
      <c r="F246" s="7" t="s">
        <v>104</v>
      </c>
      <c r="G246" s="8">
        <v>38671055346001</v>
      </c>
      <c r="H246" s="7" t="s">
        <v>263</v>
      </c>
      <c r="I246" s="7" t="s">
        <v>1225</v>
      </c>
      <c r="J246" s="2" t="s">
        <v>1544</v>
      </c>
      <c r="K246" s="9" t="s">
        <v>1552</v>
      </c>
      <c r="L246" s="2" t="s">
        <v>1571</v>
      </c>
      <c r="M246" s="2" t="s">
        <v>1609</v>
      </c>
      <c r="N246" s="2"/>
      <c r="O246" s="66"/>
      <c r="P246" s="2" t="s">
        <v>2053</v>
      </c>
      <c r="Q246" s="66"/>
      <c r="R246" s="2"/>
      <c r="S246" s="27" t="str">
        <f t="shared" ca="1" si="3"/>
        <v/>
      </c>
    </row>
    <row r="247" spans="1:19" ht="27.75" customHeight="1" thickTop="1" thickBot="1" x14ac:dyDescent="0.35">
      <c r="A247" s="8">
        <v>1106700010003</v>
      </c>
      <c r="B247" s="7" t="s">
        <v>102</v>
      </c>
      <c r="C247" s="7" t="s">
        <v>1336</v>
      </c>
      <c r="D247" s="7">
        <v>1989</v>
      </c>
      <c r="E247" s="7" t="s">
        <v>19</v>
      </c>
      <c r="F247" s="7" t="s">
        <v>104</v>
      </c>
      <c r="G247" s="8">
        <v>42405655346001</v>
      </c>
      <c r="H247" s="7" t="s">
        <v>263</v>
      </c>
      <c r="I247" s="7" t="s">
        <v>1225</v>
      </c>
      <c r="J247" s="2" t="s">
        <v>1544</v>
      </c>
      <c r="K247" s="9" t="s">
        <v>1552</v>
      </c>
      <c r="L247" s="2" t="s">
        <v>1571</v>
      </c>
      <c r="M247" s="2" t="s">
        <v>1609</v>
      </c>
      <c r="N247" s="2"/>
      <c r="O247" s="65"/>
      <c r="P247" s="2" t="s">
        <v>2053</v>
      </c>
      <c r="Q247" s="65"/>
      <c r="R247" s="2"/>
      <c r="S247" s="27" t="str">
        <f t="shared" ca="1" si="3"/>
        <v/>
      </c>
    </row>
    <row r="248" spans="1:19" ht="27.75" customHeight="1" thickTop="1" thickBot="1" x14ac:dyDescent="0.35">
      <c r="A248" s="8">
        <v>1106700010003</v>
      </c>
      <c r="B248" s="7" t="s">
        <v>102</v>
      </c>
      <c r="C248" s="7" t="s">
        <v>1337</v>
      </c>
      <c r="D248" s="7">
        <v>1981</v>
      </c>
      <c r="E248" s="7" t="s">
        <v>19</v>
      </c>
      <c r="F248" s="7" t="s">
        <v>104</v>
      </c>
      <c r="G248" s="8">
        <v>634631156798605</v>
      </c>
      <c r="H248" s="7" t="s">
        <v>263</v>
      </c>
      <c r="I248" s="7" t="s">
        <v>1225</v>
      </c>
      <c r="J248" s="2" t="s">
        <v>1544</v>
      </c>
      <c r="K248" s="9" t="s">
        <v>1552</v>
      </c>
      <c r="L248" s="2" t="s">
        <v>1571</v>
      </c>
      <c r="M248" s="2" t="s">
        <v>1609</v>
      </c>
      <c r="N248" s="2"/>
      <c r="O248" s="66"/>
      <c r="P248" s="2" t="s">
        <v>2053</v>
      </c>
      <c r="Q248" s="66"/>
      <c r="R248" s="2"/>
      <c r="S248" s="27" t="str">
        <f t="shared" ca="1" si="3"/>
        <v/>
      </c>
    </row>
    <row r="249" spans="1:19" ht="27.75" customHeight="1" thickTop="1" thickBot="1" x14ac:dyDescent="0.35">
      <c r="A249" s="8">
        <v>1106700010010</v>
      </c>
      <c r="B249" s="7" t="s">
        <v>114</v>
      </c>
      <c r="C249" s="7" t="s">
        <v>1466</v>
      </c>
      <c r="D249" s="7">
        <v>2003</v>
      </c>
      <c r="E249" s="7" t="s">
        <v>19</v>
      </c>
      <c r="F249" s="7" t="s">
        <v>571</v>
      </c>
      <c r="G249" s="8" t="s">
        <v>1339</v>
      </c>
      <c r="H249" s="7" t="s">
        <v>263</v>
      </c>
      <c r="I249" s="7" t="s">
        <v>1225</v>
      </c>
      <c r="J249" s="2" t="s">
        <v>1544</v>
      </c>
      <c r="K249" s="9" t="s">
        <v>1552</v>
      </c>
      <c r="L249" s="2" t="s">
        <v>1571</v>
      </c>
      <c r="M249" s="2" t="s">
        <v>1609</v>
      </c>
      <c r="N249" s="2"/>
      <c r="O249" s="65"/>
      <c r="P249" s="2" t="s">
        <v>2053</v>
      </c>
      <c r="Q249" s="65"/>
      <c r="R249" s="2"/>
      <c r="S249" s="27" t="str">
        <f t="shared" ca="1" si="3"/>
        <v/>
      </c>
    </row>
    <row r="250" spans="1:19" ht="27.75" customHeight="1" thickTop="1" thickBot="1" x14ac:dyDescent="0.35">
      <c r="A250" s="8">
        <v>1106700010010</v>
      </c>
      <c r="B250" s="7" t="s">
        <v>114</v>
      </c>
      <c r="C250" s="7" t="s">
        <v>1340</v>
      </c>
      <c r="D250" s="7">
        <v>2003</v>
      </c>
      <c r="E250" s="7" t="s">
        <v>19</v>
      </c>
      <c r="F250" s="7" t="s">
        <v>104</v>
      </c>
      <c r="G250" s="8" t="s">
        <v>1341</v>
      </c>
      <c r="H250" s="7" t="s">
        <v>263</v>
      </c>
      <c r="I250" s="7" t="s">
        <v>1225</v>
      </c>
      <c r="J250" s="2" t="s">
        <v>1544</v>
      </c>
      <c r="K250" s="9" t="s">
        <v>1552</v>
      </c>
      <c r="L250" s="2"/>
      <c r="M250" s="2" t="s">
        <v>1609</v>
      </c>
      <c r="N250" s="2"/>
      <c r="O250" s="66"/>
      <c r="P250" s="2" t="s">
        <v>2053</v>
      </c>
      <c r="Q250" s="66"/>
      <c r="R250" s="2"/>
      <c r="S250" s="27" t="str">
        <f t="shared" ca="1" si="3"/>
        <v/>
      </c>
    </row>
    <row r="251" spans="1:19" ht="27.75" customHeight="1" thickTop="1" thickBot="1" x14ac:dyDescent="0.35">
      <c r="A251" s="8">
        <v>1106700010010</v>
      </c>
      <c r="B251" s="7" t="s">
        <v>114</v>
      </c>
      <c r="C251" s="7" t="s">
        <v>1342</v>
      </c>
      <c r="D251" s="7">
        <v>1998</v>
      </c>
      <c r="E251" s="7" t="s">
        <v>19</v>
      </c>
      <c r="F251" s="7" t="s">
        <v>104</v>
      </c>
      <c r="G251" s="8" t="s">
        <v>1343</v>
      </c>
      <c r="H251" s="7" t="s">
        <v>263</v>
      </c>
      <c r="I251" s="7" t="s">
        <v>1225</v>
      </c>
      <c r="J251" s="2" t="s">
        <v>1544</v>
      </c>
      <c r="K251" s="9" t="s">
        <v>1552</v>
      </c>
      <c r="L251" s="2" t="s">
        <v>1571</v>
      </c>
      <c r="M251" s="2" t="s">
        <v>1609</v>
      </c>
      <c r="N251" s="2"/>
      <c r="O251" s="65"/>
      <c r="P251" s="2" t="s">
        <v>2053</v>
      </c>
      <c r="Q251" s="65"/>
      <c r="R251" s="2"/>
      <c r="S251" s="27" t="str">
        <f t="shared" ca="1" si="3"/>
        <v/>
      </c>
    </row>
    <row r="252" spans="1:19" ht="27.75" customHeight="1" thickTop="1" thickBot="1" x14ac:dyDescent="0.35">
      <c r="A252" s="8">
        <v>1106700010010</v>
      </c>
      <c r="B252" s="7" t="s">
        <v>114</v>
      </c>
      <c r="C252" s="7" t="s">
        <v>1344</v>
      </c>
      <c r="D252" s="7">
        <v>2003</v>
      </c>
      <c r="E252" s="7" t="s">
        <v>19</v>
      </c>
      <c r="F252" s="7" t="s">
        <v>104</v>
      </c>
      <c r="G252" s="8" t="s">
        <v>1345</v>
      </c>
      <c r="H252" s="7" t="s">
        <v>263</v>
      </c>
      <c r="I252" s="7" t="s">
        <v>1225</v>
      </c>
      <c r="J252" s="2" t="s">
        <v>1544</v>
      </c>
      <c r="K252" s="9" t="s">
        <v>1552</v>
      </c>
      <c r="L252" s="2" t="s">
        <v>1571</v>
      </c>
      <c r="M252" s="2" t="s">
        <v>1609</v>
      </c>
      <c r="N252" s="2"/>
      <c r="O252" s="66"/>
      <c r="P252" s="2" t="s">
        <v>2053</v>
      </c>
      <c r="Q252" s="66"/>
      <c r="R252" s="2"/>
      <c r="S252" s="27" t="str">
        <f t="shared" ca="1" si="3"/>
        <v/>
      </c>
    </row>
    <row r="253" spans="1:19" ht="27.75" customHeight="1" thickTop="1" thickBot="1" x14ac:dyDescent="0.35">
      <c r="A253" s="8">
        <v>1106700020003</v>
      </c>
      <c r="B253" s="7" t="s">
        <v>54</v>
      </c>
      <c r="C253" s="7" t="s">
        <v>1346</v>
      </c>
      <c r="D253" s="7">
        <v>1983</v>
      </c>
      <c r="E253" s="7" t="s">
        <v>19</v>
      </c>
      <c r="F253" s="7" t="s">
        <v>56</v>
      </c>
      <c r="G253" s="8">
        <v>343031540941074</v>
      </c>
      <c r="H253" s="7" t="s">
        <v>263</v>
      </c>
      <c r="I253" s="7" t="s">
        <v>1225</v>
      </c>
      <c r="J253" s="2" t="s">
        <v>1544</v>
      </c>
      <c r="K253" s="9" t="s">
        <v>1552</v>
      </c>
      <c r="L253" s="2" t="s">
        <v>1571</v>
      </c>
      <c r="M253" s="2" t="s">
        <v>1609</v>
      </c>
      <c r="N253" s="2"/>
      <c r="O253" s="65"/>
      <c r="P253" s="2" t="s">
        <v>2053</v>
      </c>
      <c r="Q253" s="65"/>
      <c r="R253" s="2"/>
      <c r="S253" s="27" t="str">
        <f t="shared" ca="1" si="3"/>
        <v/>
      </c>
    </row>
    <row r="254" spans="1:19" ht="27.75" customHeight="1" thickTop="1" thickBot="1" x14ac:dyDescent="0.35">
      <c r="A254" s="8">
        <v>1106700020003</v>
      </c>
      <c r="B254" s="7" t="s">
        <v>54</v>
      </c>
      <c r="C254" s="7" t="s">
        <v>1347</v>
      </c>
      <c r="D254" s="7">
        <v>1983</v>
      </c>
      <c r="E254" s="7" t="s">
        <v>19</v>
      </c>
      <c r="F254" s="7" t="s">
        <v>56</v>
      </c>
      <c r="G254" s="8">
        <v>3430315491460</v>
      </c>
      <c r="H254" s="7" t="s">
        <v>263</v>
      </c>
      <c r="I254" s="7" t="s">
        <v>1225</v>
      </c>
      <c r="J254" s="2" t="s">
        <v>1544</v>
      </c>
      <c r="K254" s="9" t="s">
        <v>1552</v>
      </c>
      <c r="L254" s="2" t="s">
        <v>1571</v>
      </c>
      <c r="M254" s="2" t="s">
        <v>1609</v>
      </c>
      <c r="N254" s="2"/>
      <c r="O254" s="66"/>
      <c r="P254" s="2" t="s">
        <v>2053</v>
      </c>
      <c r="Q254" s="66"/>
      <c r="R254" s="2"/>
      <c r="S254" s="27" t="str">
        <f t="shared" ca="1" si="3"/>
        <v/>
      </c>
    </row>
    <row r="255" spans="1:19" ht="27.75" customHeight="1" thickTop="1" thickBot="1" x14ac:dyDescent="0.35">
      <c r="A255" s="8">
        <v>1106700020003</v>
      </c>
      <c r="B255" s="7" t="s">
        <v>54</v>
      </c>
      <c r="C255" s="7" t="s">
        <v>1348</v>
      </c>
      <c r="D255" s="7">
        <v>1983</v>
      </c>
      <c r="E255" s="7" t="s">
        <v>19</v>
      </c>
      <c r="F255" s="7" t="s">
        <v>56</v>
      </c>
      <c r="G255" s="8">
        <v>34303154941459</v>
      </c>
      <c r="H255" s="7" t="s">
        <v>263</v>
      </c>
      <c r="I255" s="7" t="s">
        <v>1225</v>
      </c>
      <c r="J255" s="2" t="s">
        <v>1544</v>
      </c>
      <c r="K255" s="9" t="s">
        <v>1552</v>
      </c>
      <c r="L255" s="2" t="s">
        <v>1571</v>
      </c>
      <c r="M255" s="2" t="s">
        <v>1609</v>
      </c>
      <c r="N255" s="2"/>
      <c r="O255" s="65"/>
      <c r="P255" s="2" t="s">
        <v>2053</v>
      </c>
      <c r="Q255" s="65"/>
      <c r="R255" s="2"/>
      <c r="S255" s="27" t="str">
        <f t="shared" ca="1" si="3"/>
        <v/>
      </c>
    </row>
    <row r="256" spans="1:19" ht="27.75" customHeight="1" thickTop="1" thickBot="1" x14ac:dyDescent="0.35">
      <c r="A256" s="8">
        <v>1106700020003</v>
      </c>
      <c r="B256" s="7" t="s">
        <v>54</v>
      </c>
      <c r="C256" s="7" t="s">
        <v>1350</v>
      </c>
      <c r="D256" s="7">
        <v>1993</v>
      </c>
      <c r="E256" s="7" t="s">
        <v>19</v>
      </c>
      <c r="F256" s="7" t="s">
        <v>104</v>
      </c>
      <c r="G256" s="8">
        <v>34600155951192</v>
      </c>
      <c r="H256" s="7" t="s">
        <v>263</v>
      </c>
      <c r="I256" s="7" t="s">
        <v>1225</v>
      </c>
      <c r="J256" s="2" t="s">
        <v>1544</v>
      </c>
      <c r="K256" s="9" t="s">
        <v>1552</v>
      </c>
      <c r="L256" s="2" t="s">
        <v>1571</v>
      </c>
      <c r="M256" s="2" t="s">
        <v>1609</v>
      </c>
      <c r="N256" s="2"/>
      <c r="O256" s="66"/>
      <c r="P256" s="2" t="s">
        <v>2053</v>
      </c>
      <c r="Q256" s="66"/>
      <c r="R256" s="2"/>
      <c r="S256" s="27" t="str">
        <f t="shared" ca="1" si="3"/>
        <v/>
      </c>
    </row>
    <row r="257" spans="1:19" ht="27.75" customHeight="1" thickTop="1" thickBot="1" x14ac:dyDescent="0.35">
      <c r="A257" s="8">
        <v>1106700020003</v>
      </c>
      <c r="B257" s="7" t="s">
        <v>54</v>
      </c>
      <c r="C257" s="7" t="s">
        <v>1351</v>
      </c>
      <c r="D257" s="7">
        <v>2013</v>
      </c>
      <c r="E257" s="7" t="s">
        <v>19</v>
      </c>
      <c r="F257" s="7" t="s">
        <v>56</v>
      </c>
      <c r="G257" s="8" t="s">
        <v>1352</v>
      </c>
      <c r="H257" s="7" t="s">
        <v>263</v>
      </c>
      <c r="I257" s="7" t="s">
        <v>1225</v>
      </c>
      <c r="J257" s="2" t="s">
        <v>1544</v>
      </c>
      <c r="K257" s="9" t="s">
        <v>1552</v>
      </c>
      <c r="L257" s="2" t="s">
        <v>1559</v>
      </c>
      <c r="M257" s="2" t="s">
        <v>1559</v>
      </c>
      <c r="N257" s="2"/>
      <c r="O257" s="65"/>
      <c r="P257" s="2" t="s">
        <v>2053</v>
      </c>
      <c r="Q257" s="65"/>
      <c r="R257" s="2"/>
      <c r="S257" s="27" t="str">
        <f t="shared" ca="1" si="3"/>
        <v/>
      </c>
    </row>
    <row r="258" spans="1:19" ht="27.75" customHeight="1" thickTop="1" thickBot="1" x14ac:dyDescent="0.35">
      <c r="A258" s="8">
        <v>1106700020003</v>
      </c>
      <c r="B258" s="7" t="s">
        <v>54</v>
      </c>
      <c r="C258" s="7" t="s">
        <v>1357</v>
      </c>
      <c r="D258" s="7">
        <v>2006</v>
      </c>
      <c r="E258" s="7" t="s">
        <v>19</v>
      </c>
      <c r="F258" s="7" t="s">
        <v>56</v>
      </c>
      <c r="G258" s="8" t="s">
        <v>1358</v>
      </c>
      <c r="H258" s="7" t="s">
        <v>263</v>
      </c>
      <c r="I258" s="7" t="s">
        <v>1225</v>
      </c>
      <c r="J258" s="2" t="s">
        <v>1544</v>
      </c>
      <c r="K258" s="9" t="s">
        <v>1552</v>
      </c>
      <c r="L258" s="2" t="s">
        <v>1571</v>
      </c>
      <c r="M258" s="2" t="s">
        <v>1609</v>
      </c>
      <c r="N258" s="2"/>
      <c r="O258" s="66"/>
      <c r="P258" s="2" t="s">
        <v>2053</v>
      </c>
      <c r="Q258" s="66"/>
      <c r="R258" s="2"/>
      <c r="S258" s="27" t="str">
        <f t="shared" ca="1" si="3"/>
        <v/>
      </c>
    </row>
    <row r="259" spans="1:19" ht="27.75" customHeight="1" thickTop="1" thickBot="1" x14ac:dyDescent="0.35">
      <c r="A259" s="8">
        <v>1202700010001</v>
      </c>
      <c r="B259" s="7" t="s">
        <v>1387</v>
      </c>
      <c r="C259" s="7" t="s">
        <v>1391</v>
      </c>
      <c r="D259" s="7">
        <v>2002</v>
      </c>
      <c r="E259" s="7" t="s">
        <v>4</v>
      </c>
      <c r="F259" s="7" t="s">
        <v>1389</v>
      </c>
      <c r="G259" s="8" t="s">
        <v>1392</v>
      </c>
      <c r="H259" s="7" t="s">
        <v>263</v>
      </c>
      <c r="I259" s="7" t="s">
        <v>1225</v>
      </c>
      <c r="J259" s="2" t="s">
        <v>1544</v>
      </c>
      <c r="K259" s="9" t="s">
        <v>1552</v>
      </c>
      <c r="L259" s="2" t="s">
        <v>1571</v>
      </c>
      <c r="M259" s="2" t="s">
        <v>1609</v>
      </c>
      <c r="N259" s="2"/>
      <c r="O259" s="65"/>
      <c r="P259" s="2" t="s">
        <v>2053</v>
      </c>
      <c r="Q259" s="65"/>
      <c r="R259" s="2"/>
      <c r="S259" s="27" t="str">
        <f t="shared" ca="1" si="3"/>
        <v/>
      </c>
    </row>
    <row r="260" spans="1:19" ht="27.75" customHeight="1" thickTop="1" thickBot="1" x14ac:dyDescent="0.35">
      <c r="A260" s="8">
        <v>1207700040001</v>
      </c>
      <c r="B260" s="7" t="s">
        <v>1409</v>
      </c>
      <c r="C260" s="7" t="s">
        <v>1410</v>
      </c>
      <c r="D260" s="7">
        <v>1981</v>
      </c>
      <c r="E260" s="7" t="s">
        <v>19</v>
      </c>
      <c r="F260" s="7" t="s">
        <v>397</v>
      </c>
      <c r="G260" s="8">
        <v>34301454800927</v>
      </c>
      <c r="H260" s="7" t="s">
        <v>263</v>
      </c>
      <c r="I260" s="7" t="s">
        <v>1225</v>
      </c>
      <c r="J260" s="2" t="s">
        <v>1544</v>
      </c>
      <c r="K260" s="9" t="s">
        <v>1552</v>
      </c>
      <c r="L260" s="2" t="s">
        <v>1571</v>
      </c>
      <c r="M260" s="2" t="s">
        <v>1609</v>
      </c>
      <c r="N260" s="2"/>
      <c r="O260" s="66"/>
      <c r="P260" s="2" t="s">
        <v>2053</v>
      </c>
      <c r="Q260" s="66"/>
      <c r="R260" s="2"/>
      <c r="S260" s="27" t="str">
        <f t="shared" ca="1" si="3"/>
        <v/>
      </c>
    </row>
    <row r="261" spans="1:19" ht="27.75" customHeight="1" thickTop="1" thickBot="1" x14ac:dyDescent="0.35">
      <c r="A261" s="8">
        <v>1101700030005</v>
      </c>
      <c r="B261" s="7" t="s">
        <v>230</v>
      </c>
      <c r="C261" s="7" t="s">
        <v>233</v>
      </c>
      <c r="D261" s="7">
        <v>2003</v>
      </c>
      <c r="E261" s="7" t="s">
        <v>19</v>
      </c>
      <c r="F261" s="7" t="s">
        <v>52</v>
      </c>
      <c r="G261" s="8" t="s">
        <v>234</v>
      </c>
      <c r="H261" s="7" t="s">
        <v>35</v>
      </c>
      <c r="I261" s="7" t="s">
        <v>229</v>
      </c>
      <c r="J261" s="2" t="s">
        <v>1543</v>
      </c>
      <c r="K261" s="9" t="s">
        <v>1553</v>
      </c>
      <c r="L261" s="2" t="s">
        <v>1571</v>
      </c>
      <c r="M261" s="2" t="s">
        <v>1609</v>
      </c>
      <c r="N261" s="2" t="s">
        <v>1952</v>
      </c>
      <c r="O261" s="65"/>
      <c r="P261" s="2" t="s">
        <v>2051</v>
      </c>
      <c r="Q261" s="65" t="s">
        <v>2052</v>
      </c>
      <c r="R261" s="2"/>
      <c r="S261" s="27" t="e">
        <f t="shared" ca="1" si="3"/>
        <v>#VALUE!</v>
      </c>
    </row>
    <row r="262" spans="1:19" ht="27.75" customHeight="1" thickTop="1" thickBot="1" x14ac:dyDescent="0.35">
      <c r="A262" s="8">
        <v>1101700030005</v>
      </c>
      <c r="B262" s="7" t="s">
        <v>230</v>
      </c>
      <c r="C262" s="7" t="s">
        <v>1256</v>
      </c>
      <c r="D262" s="7">
        <v>2004</v>
      </c>
      <c r="E262" s="7" t="s">
        <v>19</v>
      </c>
      <c r="F262" s="7" t="s">
        <v>42</v>
      </c>
      <c r="G262" s="8" t="s">
        <v>1257</v>
      </c>
      <c r="H262" s="7" t="s">
        <v>263</v>
      </c>
      <c r="I262" s="7" t="s">
        <v>1225</v>
      </c>
      <c r="J262" s="2" t="s">
        <v>1544</v>
      </c>
      <c r="K262" s="9" t="s">
        <v>1553</v>
      </c>
      <c r="L262" s="2" t="s">
        <v>1571</v>
      </c>
      <c r="M262" s="2" t="s">
        <v>1961</v>
      </c>
      <c r="N262" s="2" t="s">
        <v>1962</v>
      </c>
      <c r="O262" s="66"/>
      <c r="P262" s="2" t="s">
        <v>2053</v>
      </c>
      <c r="Q262" s="66"/>
      <c r="R262" s="2"/>
      <c r="S262" s="27" t="e">
        <f t="shared" ca="1" si="3"/>
        <v>#VALUE!</v>
      </c>
    </row>
    <row r="263" spans="1:19" ht="27.75" customHeight="1" thickTop="1" thickBot="1" x14ac:dyDescent="0.35">
      <c r="A263" s="8">
        <v>1102700020004</v>
      </c>
      <c r="B263" s="7" t="s">
        <v>136</v>
      </c>
      <c r="C263" s="7" t="s">
        <v>857</v>
      </c>
      <c r="D263" s="7">
        <v>2017</v>
      </c>
      <c r="E263" s="7" t="s">
        <v>19</v>
      </c>
      <c r="F263" s="7" t="s">
        <v>66</v>
      </c>
      <c r="G263" s="8" t="s">
        <v>858</v>
      </c>
      <c r="H263" s="7" t="s">
        <v>35</v>
      </c>
      <c r="I263" s="7" t="s">
        <v>854</v>
      </c>
      <c r="J263" s="2" t="s">
        <v>1513</v>
      </c>
      <c r="K263" s="2" t="s">
        <v>1548</v>
      </c>
      <c r="L263" s="2" t="s">
        <v>1564</v>
      </c>
      <c r="M263" s="2" t="s">
        <v>1887</v>
      </c>
      <c r="N263" s="9" t="s">
        <v>2479</v>
      </c>
      <c r="O263" s="2" t="s">
        <v>2472</v>
      </c>
      <c r="P263" s="65" t="s">
        <v>1513</v>
      </c>
      <c r="Q263" s="65" t="s">
        <v>2029</v>
      </c>
      <c r="R263" s="65"/>
      <c r="S263" s="27" t="str">
        <f t="shared" ca="1" si="3"/>
        <v>تم الاصلاح</v>
      </c>
    </row>
    <row r="264" spans="1:19" ht="27.75" customHeight="1" thickTop="1" thickBot="1" x14ac:dyDescent="0.35">
      <c r="A264" s="8">
        <v>1201700020002</v>
      </c>
      <c r="B264" s="7" t="s">
        <v>1375</v>
      </c>
      <c r="C264" s="7" t="s">
        <v>1379</v>
      </c>
      <c r="D264" s="7">
        <v>2015</v>
      </c>
      <c r="E264" s="7" t="s">
        <v>19</v>
      </c>
      <c r="F264" s="7" t="s">
        <v>1377</v>
      </c>
      <c r="G264" s="8" t="s">
        <v>1380</v>
      </c>
      <c r="H264" s="7" t="s">
        <v>263</v>
      </c>
      <c r="I264" s="7" t="s">
        <v>1225</v>
      </c>
      <c r="J264" s="66" t="s">
        <v>1498</v>
      </c>
      <c r="K264" s="66" t="s">
        <v>2066</v>
      </c>
      <c r="L264" s="66" t="s">
        <v>1566</v>
      </c>
      <c r="M264" s="66" t="s">
        <v>2073</v>
      </c>
      <c r="N264" s="69" t="s">
        <v>2074</v>
      </c>
      <c r="O264" s="66"/>
      <c r="P264" s="66" t="s">
        <v>2024</v>
      </c>
      <c r="Q264" s="66" t="s">
        <v>2025</v>
      </c>
      <c r="R264" s="27"/>
      <c r="S264" s="27" t="e">
        <f t="shared" ca="1" si="3"/>
        <v>#VALUE!</v>
      </c>
    </row>
    <row r="265" spans="1:19" ht="27.75" customHeight="1" thickTop="1" thickBot="1" x14ac:dyDescent="0.35">
      <c r="A265" s="8">
        <v>1106700020003</v>
      </c>
      <c r="B265" s="7" t="s">
        <v>54</v>
      </c>
      <c r="C265" s="7" t="s">
        <v>1439</v>
      </c>
      <c r="D265" s="7">
        <v>2012</v>
      </c>
      <c r="E265" s="7" t="s">
        <v>19</v>
      </c>
      <c r="F265" s="7" t="s">
        <v>56</v>
      </c>
      <c r="G265" s="8" t="s">
        <v>117</v>
      </c>
      <c r="H265" s="7" t="s">
        <v>35</v>
      </c>
      <c r="I265" s="7" t="s">
        <v>112</v>
      </c>
      <c r="J265" s="65" t="s">
        <v>1471</v>
      </c>
      <c r="K265" s="71" t="s">
        <v>1912</v>
      </c>
      <c r="L265" s="65"/>
      <c r="M265" s="65"/>
      <c r="N265" s="64"/>
      <c r="O265" s="65" t="s">
        <v>2160</v>
      </c>
      <c r="P265" s="65" t="s">
        <v>1471</v>
      </c>
      <c r="Q265" s="65" t="s">
        <v>1998</v>
      </c>
      <c r="R265" s="27"/>
      <c r="S265" s="27" t="str">
        <f t="shared" ca="1" si="3"/>
        <v>تم الاصلاح</v>
      </c>
    </row>
    <row r="266" spans="1:19" ht="27.75" customHeight="1" thickTop="1" thickBot="1" x14ac:dyDescent="0.35">
      <c r="A266" s="8">
        <v>1106700020010</v>
      </c>
      <c r="B266" s="7" t="s">
        <v>210</v>
      </c>
      <c r="C266" s="7" t="s">
        <v>211</v>
      </c>
      <c r="D266" s="7">
        <v>2009</v>
      </c>
      <c r="E266" s="7" t="s">
        <v>19</v>
      </c>
      <c r="F266" s="7" t="s">
        <v>52</v>
      </c>
      <c r="G266" s="8" t="s">
        <v>212</v>
      </c>
      <c r="H266" s="7" t="s">
        <v>35</v>
      </c>
      <c r="I266" s="7" t="s">
        <v>205</v>
      </c>
      <c r="J266" s="2" t="s">
        <v>1525</v>
      </c>
      <c r="K266" s="11" t="s">
        <v>1912</v>
      </c>
      <c r="L266" s="2" t="s">
        <v>1567</v>
      </c>
      <c r="M266" s="2" t="s">
        <v>2536</v>
      </c>
      <c r="N266" s="2" t="s">
        <v>2534</v>
      </c>
      <c r="O266" s="2" t="s">
        <v>2694</v>
      </c>
      <c r="P266" s="66" t="s">
        <v>1525</v>
      </c>
      <c r="Q266" s="66" t="s">
        <v>2018</v>
      </c>
      <c r="R266" s="66"/>
      <c r="S266" s="27" t="str">
        <f t="shared" ca="1" si="3"/>
        <v>تم الاصلاح</v>
      </c>
    </row>
    <row r="267" spans="1:19" ht="27.75" customHeight="1" thickTop="1" thickBot="1" x14ac:dyDescent="0.35">
      <c r="A267" s="8">
        <v>1106700020003</v>
      </c>
      <c r="B267" s="7" t="s">
        <v>54</v>
      </c>
      <c r="C267" s="7" t="s">
        <v>758</v>
      </c>
      <c r="D267" s="70">
        <v>2013</v>
      </c>
      <c r="E267" s="7" t="s">
        <v>19</v>
      </c>
      <c r="F267" s="7" t="s">
        <v>56</v>
      </c>
      <c r="G267" s="8" t="s">
        <v>759</v>
      </c>
      <c r="H267" s="7" t="s">
        <v>35</v>
      </c>
      <c r="I267" s="7" t="s">
        <v>753</v>
      </c>
      <c r="J267" s="65" t="s">
        <v>1513</v>
      </c>
      <c r="K267" s="71" t="s">
        <v>1912</v>
      </c>
      <c r="L267" s="65"/>
      <c r="M267" s="2"/>
      <c r="N267" s="2"/>
      <c r="O267" s="65" t="s">
        <v>2223</v>
      </c>
      <c r="P267" s="65" t="s">
        <v>1513</v>
      </c>
      <c r="Q267" s="65" t="s">
        <v>2030</v>
      </c>
      <c r="R267" s="65"/>
      <c r="S267" s="27" t="str">
        <f t="shared" ref="S267:S330" ca="1" si="4">IF(
   OR(K267="تم الاصلاح", O267&lt;&gt;""),
   "تم الاصلاح",
   IF(N267="", "", TODAY()-N267)
)</f>
        <v>تم الاصلاح</v>
      </c>
    </row>
    <row r="268" spans="1:19" ht="27.75" customHeight="1" thickTop="1" thickBot="1" x14ac:dyDescent="0.35">
      <c r="A268" s="8">
        <v>1106700010010</v>
      </c>
      <c r="B268" s="7" t="s">
        <v>114</v>
      </c>
      <c r="C268" s="7" t="s">
        <v>329</v>
      </c>
      <c r="D268" s="7">
        <v>2005</v>
      </c>
      <c r="E268" s="7" t="s">
        <v>19</v>
      </c>
      <c r="F268" s="7" t="s">
        <v>104</v>
      </c>
      <c r="G268" s="8" t="s">
        <v>330</v>
      </c>
      <c r="H268" s="7" t="s">
        <v>263</v>
      </c>
      <c r="I268" s="7" t="s">
        <v>270</v>
      </c>
      <c r="J268" s="2" t="s">
        <v>1498</v>
      </c>
      <c r="K268" s="11" t="s">
        <v>1912</v>
      </c>
      <c r="L268" s="2" t="s">
        <v>1571</v>
      </c>
      <c r="M268" s="2" t="s">
        <v>2436</v>
      </c>
      <c r="N268" s="2"/>
      <c r="O268" s="2" t="s">
        <v>2448</v>
      </c>
      <c r="P268" s="66" t="s">
        <v>2024</v>
      </c>
      <c r="Q268" s="66" t="s">
        <v>2025</v>
      </c>
      <c r="R268" s="66"/>
      <c r="S268" s="27" t="str">
        <f t="shared" ca="1" si="4"/>
        <v>تم الاصلاح</v>
      </c>
    </row>
    <row r="269" spans="1:19" ht="27.75" customHeight="1" thickTop="1" thickBot="1" x14ac:dyDescent="0.35">
      <c r="A269" s="76">
        <v>1101700010006</v>
      </c>
      <c r="B269" s="17" t="s">
        <v>2075</v>
      </c>
      <c r="C269" s="77" t="s">
        <v>1424</v>
      </c>
      <c r="D269" s="77">
        <v>2015</v>
      </c>
      <c r="E269" s="77" t="s">
        <v>19</v>
      </c>
      <c r="F269" s="77" t="s">
        <v>52</v>
      </c>
      <c r="G269" s="78" t="s">
        <v>1425</v>
      </c>
      <c r="H269" s="77" t="s">
        <v>35</v>
      </c>
      <c r="I269" s="77" t="s">
        <v>1423</v>
      </c>
      <c r="J269" s="77" t="s">
        <v>1525</v>
      </c>
      <c r="K269" s="82" t="s">
        <v>1912</v>
      </c>
      <c r="L269" s="77"/>
      <c r="M269" s="2"/>
      <c r="N269" s="2"/>
      <c r="O269" s="77" t="s">
        <v>2165</v>
      </c>
      <c r="P269" s="77" t="s">
        <v>1525</v>
      </c>
      <c r="Q269" s="77" t="s">
        <v>2017</v>
      </c>
      <c r="R269" s="27"/>
      <c r="S269" s="27" t="str">
        <f t="shared" ca="1" si="4"/>
        <v>تم الاصلاح</v>
      </c>
    </row>
    <row r="270" spans="1:19" ht="27.75" customHeight="1" thickTop="1" thickBot="1" x14ac:dyDescent="0.35">
      <c r="A270" s="8">
        <v>1101700010006</v>
      </c>
      <c r="B270" s="7" t="s">
        <v>50</v>
      </c>
      <c r="C270" s="7" t="s">
        <v>635</v>
      </c>
      <c r="D270" s="7">
        <v>2010</v>
      </c>
      <c r="E270" s="7" t="s">
        <v>19</v>
      </c>
      <c r="F270" s="7" t="s">
        <v>52</v>
      </c>
      <c r="G270" s="8" t="s">
        <v>636</v>
      </c>
      <c r="H270" s="7" t="s">
        <v>263</v>
      </c>
      <c r="I270" s="7" t="s">
        <v>632</v>
      </c>
      <c r="J270" s="65" t="s">
        <v>1525</v>
      </c>
      <c r="K270" s="65" t="s">
        <v>1548</v>
      </c>
      <c r="L270" s="65" t="s">
        <v>1564</v>
      </c>
      <c r="M270" s="65" t="s">
        <v>2093</v>
      </c>
      <c r="N270" s="64" t="s">
        <v>2094</v>
      </c>
      <c r="O270" s="65"/>
      <c r="P270" s="65" t="s">
        <v>1525</v>
      </c>
      <c r="Q270" s="65" t="s">
        <v>2016</v>
      </c>
      <c r="R270" s="65"/>
      <c r="S270" s="27" t="e">
        <f t="shared" ca="1" si="4"/>
        <v>#VALUE!</v>
      </c>
    </row>
    <row r="271" spans="1:19" ht="27.75" customHeight="1" thickTop="1" thickBot="1" x14ac:dyDescent="0.35">
      <c r="A271" s="74">
        <v>1105700010001</v>
      </c>
      <c r="B271" s="7" t="s">
        <v>290</v>
      </c>
      <c r="C271" s="7" t="s">
        <v>291</v>
      </c>
      <c r="D271" s="7">
        <v>2006</v>
      </c>
      <c r="E271" s="7" t="s">
        <v>19</v>
      </c>
      <c r="F271" s="7" t="s">
        <v>42</v>
      </c>
      <c r="G271" s="8" t="s">
        <v>292</v>
      </c>
      <c r="H271" s="7" t="s">
        <v>263</v>
      </c>
      <c r="I271" s="7" t="s">
        <v>270</v>
      </c>
      <c r="J271" s="66" t="s">
        <v>1544</v>
      </c>
      <c r="K271" s="80" t="s">
        <v>1912</v>
      </c>
      <c r="L271" s="66"/>
      <c r="M271" s="2"/>
      <c r="N271" s="9"/>
      <c r="O271" s="66" t="s">
        <v>2235</v>
      </c>
      <c r="P271" s="66" t="s">
        <v>2053</v>
      </c>
      <c r="Q271" s="66"/>
      <c r="R271" s="2" t="s">
        <v>2230</v>
      </c>
      <c r="S271" s="27" t="str">
        <f t="shared" ca="1" si="4"/>
        <v>تم الاصلاح</v>
      </c>
    </row>
    <row r="272" spans="1:19" ht="27.75" customHeight="1" thickTop="1" thickBot="1" x14ac:dyDescent="0.35">
      <c r="A272" s="58">
        <v>1106700020003</v>
      </c>
      <c r="B272" s="7" t="s">
        <v>54</v>
      </c>
      <c r="C272" s="7" t="s">
        <v>190</v>
      </c>
      <c r="D272" s="70">
        <v>2014</v>
      </c>
      <c r="E272" s="7" t="s">
        <v>19</v>
      </c>
      <c r="F272" s="7" t="s">
        <v>52</v>
      </c>
      <c r="G272" s="8" t="s">
        <v>191</v>
      </c>
      <c r="H272" s="7" t="s">
        <v>35</v>
      </c>
      <c r="I272" s="7" t="s">
        <v>187</v>
      </c>
      <c r="J272" s="2" t="s">
        <v>1549</v>
      </c>
      <c r="K272" s="2" t="s">
        <v>1548</v>
      </c>
      <c r="L272" s="2" t="s">
        <v>1567</v>
      </c>
      <c r="M272" s="2" t="s">
        <v>2634</v>
      </c>
      <c r="N272" s="2" t="s">
        <v>2630</v>
      </c>
      <c r="O272" s="2" t="s">
        <v>2095</v>
      </c>
      <c r="P272" s="65" t="s">
        <v>2009</v>
      </c>
      <c r="Q272" s="65" t="s">
        <v>2013</v>
      </c>
      <c r="R272" s="65"/>
      <c r="S272" s="27" t="str">
        <f t="shared" ca="1" si="4"/>
        <v>تم الاصلاح</v>
      </c>
    </row>
    <row r="273" spans="1:19" ht="27.75" customHeight="1" thickTop="1" thickBot="1" x14ac:dyDescent="0.35">
      <c r="A273" s="8">
        <v>1204700020009</v>
      </c>
      <c r="B273" s="7" t="s">
        <v>29</v>
      </c>
      <c r="C273" s="7" t="s">
        <v>1039</v>
      </c>
      <c r="D273" s="7">
        <v>2016</v>
      </c>
      <c r="E273" s="7" t="s">
        <v>19</v>
      </c>
      <c r="F273" s="7" t="s">
        <v>261</v>
      </c>
      <c r="G273" s="8" t="s">
        <v>1040</v>
      </c>
      <c r="H273" s="7" t="s">
        <v>945</v>
      </c>
      <c r="I273" s="7" t="s">
        <v>1026</v>
      </c>
      <c r="J273" s="66" t="s">
        <v>1518</v>
      </c>
      <c r="K273" s="80" t="s">
        <v>1912</v>
      </c>
      <c r="L273" s="66"/>
      <c r="M273" s="2"/>
      <c r="N273" s="69"/>
      <c r="O273" s="66" t="s">
        <v>2096</v>
      </c>
      <c r="P273" s="66" t="s">
        <v>1518</v>
      </c>
      <c r="Q273" s="66" t="s">
        <v>1987</v>
      </c>
      <c r="R273" s="66"/>
      <c r="S273" s="27" t="str">
        <f t="shared" ca="1" si="4"/>
        <v>تم الاصلاح</v>
      </c>
    </row>
    <row r="274" spans="1:19" ht="27.75" customHeight="1" thickTop="1" thickBot="1" x14ac:dyDescent="0.35">
      <c r="A274" s="58">
        <v>1106700020003</v>
      </c>
      <c r="B274" s="7" t="s">
        <v>54</v>
      </c>
      <c r="C274" s="7" t="s">
        <v>87</v>
      </c>
      <c r="D274" s="70">
        <v>2016</v>
      </c>
      <c r="E274" s="7" t="s">
        <v>19</v>
      </c>
      <c r="F274" s="7" t="s">
        <v>56</v>
      </c>
      <c r="G274" s="8" t="s">
        <v>88</v>
      </c>
      <c r="H274" s="7" t="s">
        <v>35</v>
      </c>
      <c r="I274" s="7" t="s">
        <v>82</v>
      </c>
      <c r="J274" s="2" t="s">
        <v>1506</v>
      </c>
      <c r="K274" s="11" t="s">
        <v>1912</v>
      </c>
      <c r="L274" s="2" t="s">
        <v>1571</v>
      </c>
      <c r="M274" s="2" t="s">
        <v>2523</v>
      </c>
      <c r="N274" s="2" t="s">
        <v>2528</v>
      </c>
      <c r="O274" s="2" t="s">
        <v>2528</v>
      </c>
      <c r="P274" s="65" t="s">
        <v>1506</v>
      </c>
      <c r="Q274" s="65" t="s">
        <v>2004</v>
      </c>
      <c r="R274" s="65"/>
      <c r="S274" s="27" t="str">
        <f t="shared" ca="1" si="4"/>
        <v>تم الاصلاح</v>
      </c>
    </row>
    <row r="275" spans="1:19" ht="27.75" customHeight="1" thickTop="1" thickBot="1" x14ac:dyDescent="0.35">
      <c r="A275" s="8">
        <v>1204700020003</v>
      </c>
      <c r="B275" s="7" t="s">
        <v>13</v>
      </c>
      <c r="C275" s="7" t="s">
        <v>875</v>
      </c>
      <c r="D275" s="7">
        <v>2005</v>
      </c>
      <c r="E275" s="7" t="s">
        <v>4</v>
      </c>
      <c r="F275" s="7" t="s">
        <v>10</v>
      </c>
      <c r="G275" s="8" t="s">
        <v>876</v>
      </c>
      <c r="H275" s="7" t="s">
        <v>35</v>
      </c>
      <c r="I275" s="7" t="s">
        <v>868</v>
      </c>
      <c r="J275" s="66" t="s">
        <v>1506</v>
      </c>
      <c r="K275" s="11" t="s">
        <v>1912</v>
      </c>
      <c r="L275" s="2"/>
      <c r="M275" s="2"/>
      <c r="N275" s="2"/>
      <c r="O275" s="2" t="s">
        <v>2404</v>
      </c>
      <c r="P275" s="66" t="s">
        <v>1506</v>
      </c>
      <c r="Q275" s="66" t="s">
        <v>2005</v>
      </c>
      <c r="R275" s="66"/>
      <c r="S275" s="27" t="str">
        <f t="shared" ca="1" si="4"/>
        <v>تم الاصلاح</v>
      </c>
    </row>
    <row r="276" spans="1:19" ht="27.75" customHeight="1" thickTop="1" thickBot="1" x14ac:dyDescent="0.35">
      <c r="A276" s="8">
        <v>1101700010006</v>
      </c>
      <c r="B276" s="7" t="s">
        <v>50</v>
      </c>
      <c r="C276" s="7" t="s">
        <v>134</v>
      </c>
      <c r="D276" s="7">
        <v>2010</v>
      </c>
      <c r="E276" s="7" t="s">
        <v>19</v>
      </c>
      <c r="F276" s="7" t="s">
        <v>52</v>
      </c>
      <c r="G276" s="8" t="s">
        <v>135</v>
      </c>
      <c r="H276" s="7" t="s">
        <v>35</v>
      </c>
      <c r="I276" s="7" t="s">
        <v>131</v>
      </c>
      <c r="J276" s="2" t="s">
        <v>1498</v>
      </c>
      <c r="K276" s="65" t="s">
        <v>1548</v>
      </c>
      <c r="L276" s="65" t="s">
        <v>1564</v>
      </c>
      <c r="M276" s="2" t="s">
        <v>1849</v>
      </c>
      <c r="N276" s="2" t="s">
        <v>1741</v>
      </c>
      <c r="O276" s="65"/>
      <c r="P276" s="65" t="s">
        <v>2024</v>
      </c>
      <c r="Q276" s="65" t="s">
        <v>2028</v>
      </c>
      <c r="R276" s="65"/>
      <c r="S276" s="27" t="e">
        <f t="shared" ca="1" si="4"/>
        <v>#VALUE!</v>
      </c>
    </row>
    <row r="277" spans="1:19" ht="27.75" customHeight="1" thickTop="1" thickBot="1" x14ac:dyDescent="0.35">
      <c r="A277" s="58">
        <v>1106700020003</v>
      </c>
      <c r="B277" s="7" t="s">
        <v>54</v>
      </c>
      <c r="C277" s="7" t="s">
        <v>70</v>
      </c>
      <c r="D277" s="70">
        <v>2011</v>
      </c>
      <c r="E277" s="7" t="s">
        <v>19</v>
      </c>
      <c r="F277" s="7" t="s">
        <v>56</v>
      </c>
      <c r="G277" s="8" t="s">
        <v>71</v>
      </c>
      <c r="H277" s="7" t="s">
        <v>35</v>
      </c>
      <c r="I277" s="7" t="s">
        <v>61</v>
      </c>
      <c r="J277" s="2" t="s">
        <v>1471</v>
      </c>
      <c r="K277" s="2" t="s">
        <v>2066</v>
      </c>
      <c r="L277" s="2" t="s">
        <v>1564</v>
      </c>
      <c r="M277" s="2" t="s">
        <v>2445</v>
      </c>
      <c r="N277" s="9" t="s">
        <v>2437</v>
      </c>
      <c r="O277" s="2" t="s">
        <v>2448</v>
      </c>
      <c r="P277" s="66" t="s">
        <v>1471</v>
      </c>
      <c r="Q277" s="66" t="s">
        <v>1994</v>
      </c>
      <c r="R277" s="66"/>
      <c r="S277" s="27" t="str">
        <f t="shared" ca="1" si="4"/>
        <v>تم الاصلاح</v>
      </c>
    </row>
    <row r="278" spans="1:19" ht="27.75" customHeight="1" thickTop="1" thickBot="1" x14ac:dyDescent="0.35">
      <c r="A278" s="8">
        <v>1106700010003</v>
      </c>
      <c r="B278" s="7" t="s">
        <v>102</v>
      </c>
      <c r="C278" s="7" t="s">
        <v>1325</v>
      </c>
      <c r="D278" s="7">
        <v>1983</v>
      </c>
      <c r="E278" s="7" t="s">
        <v>19</v>
      </c>
      <c r="F278" s="7" t="s">
        <v>104</v>
      </c>
      <c r="G278" s="8">
        <v>34603155025357</v>
      </c>
      <c r="H278" s="7" t="s">
        <v>263</v>
      </c>
      <c r="I278" s="7" t="s">
        <v>1225</v>
      </c>
      <c r="J278" s="65" t="s">
        <v>1544</v>
      </c>
      <c r="K278" s="85" t="s">
        <v>1553</v>
      </c>
      <c r="L278" s="65" t="s">
        <v>1571</v>
      </c>
      <c r="M278" s="65" t="s">
        <v>1609</v>
      </c>
      <c r="N278" s="64" t="s">
        <v>2099</v>
      </c>
      <c r="O278" s="65"/>
      <c r="P278" s="65" t="s">
        <v>2053</v>
      </c>
      <c r="Q278" s="65"/>
      <c r="R278" s="65"/>
      <c r="S278" s="27" t="e">
        <f t="shared" ca="1" si="4"/>
        <v>#VALUE!</v>
      </c>
    </row>
    <row r="279" spans="1:19" ht="27.75" customHeight="1" thickTop="1" thickBot="1" x14ac:dyDescent="0.35">
      <c r="A279" s="58">
        <v>1106700020003</v>
      </c>
      <c r="B279" s="7" t="s">
        <v>54</v>
      </c>
      <c r="C279" s="7" t="s">
        <v>250</v>
      </c>
      <c r="D279" s="70">
        <v>2013</v>
      </c>
      <c r="E279" s="7" t="s">
        <v>19</v>
      </c>
      <c r="F279" s="7" t="s">
        <v>56</v>
      </c>
      <c r="G279" s="8" t="s">
        <v>251</v>
      </c>
      <c r="H279" s="7" t="s">
        <v>0</v>
      </c>
      <c r="I279" s="7" t="s">
        <v>240</v>
      </c>
      <c r="J279" s="66" t="s">
        <v>1544</v>
      </c>
      <c r="K279" s="66" t="s">
        <v>1548</v>
      </c>
      <c r="L279" s="66" t="s">
        <v>1559</v>
      </c>
      <c r="M279" s="66" t="s">
        <v>1559</v>
      </c>
      <c r="N279" s="69" t="s">
        <v>2100</v>
      </c>
      <c r="O279" s="66"/>
      <c r="P279" s="66" t="s">
        <v>2051</v>
      </c>
      <c r="Q279" s="66" t="s">
        <v>1543</v>
      </c>
      <c r="R279" s="66"/>
      <c r="S279" s="27" t="e">
        <f t="shared" ca="1" si="4"/>
        <v>#VALUE!</v>
      </c>
    </row>
    <row r="280" spans="1:19" ht="27.75" customHeight="1" thickTop="1" thickBot="1" x14ac:dyDescent="0.35">
      <c r="A280" s="8">
        <v>1106700010003</v>
      </c>
      <c r="B280" s="7" t="s">
        <v>102</v>
      </c>
      <c r="C280" s="7" t="s">
        <v>1451</v>
      </c>
      <c r="D280" s="7">
        <v>1991</v>
      </c>
      <c r="E280" s="7" t="s">
        <v>19</v>
      </c>
      <c r="F280" s="7" t="s">
        <v>104</v>
      </c>
      <c r="G280" s="8" t="s">
        <v>249</v>
      </c>
      <c r="H280" s="7" t="s">
        <v>0</v>
      </c>
      <c r="I280" s="7" t="s">
        <v>240</v>
      </c>
      <c r="J280" s="65" t="s">
        <v>1543</v>
      </c>
      <c r="K280" s="71" t="s">
        <v>1912</v>
      </c>
      <c r="L280" s="65"/>
      <c r="M280" s="65"/>
      <c r="N280" s="64"/>
      <c r="O280" s="65" t="s">
        <v>2101</v>
      </c>
      <c r="P280" s="65" t="s">
        <v>2051</v>
      </c>
      <c r="Q280" s="65" t="s">
        <v>1543</v>
      </c>
      <c r="R280" s="65"/>
      <c r="S280" s="27" t="str">
        <f t="shared" ca="1" si="4"/>
        <v>تم الاصلاح</v>
      </c>
    </row>
    <row r="281" spans="1:19" ht="27.75" customHeight="1" thickTop="1" thickBot="1" x14ac:dyDescent="0.35">
      <c r="A281" s="58">
        <v>1106700020003</v>
      </c>
      <c r="B281" s="7" t="s">
        <v>54</v>
      </c>
      <c r="C281" s="7" t="s">
        <v>122</v>
      </c>
      <c r="D281" s="70">
        <v>2016</v>
      </c>
      <c r="E281" s="7" t="s">
        <v>19</v>
      </c>
      <c r="F281" s="7" t="s">
        <v>56</v>
      </c>
      <c r="G281" s="8" t="s">
        <v>123</v>
      </c>
      <c r="H281" s="7" t="s">
        <v>35</v>
      </c>
      <c r="I281" s="7" t="s">
        <v>118</v>
      </c>
      <c r="J281" s="2" t="s">
        <v>1493</v>
      </c>
      <c r="K281" s="11" t="s">
        <v>1912</v>
      </c>
      <c r="L281" s="2" t="s">
        <v>1571</v>
      </c>
      <c r="M281" s="2" t="s">
        <v>2628</v>
      </c>
      <c r="N281" s="2" t="s">
        <v>2408</v>
      </c>
      <c r="O281" s="2" t="s">
        <v>2639</v>
      </c>
      <c r="P281" s="66" t="s">
        <v>2045</v>
      </c>
      <c r="Q281" s="66" t="s">
        <v>2049</v>
      </c>
      <c r="R281" s="66"/>
      <c r="S281" s="27" t="str">
        <f t="shared" ca="1" si="4"/>
        <v>تم الاصلاح</v>
      </c>
    </row>
    <row r="282" spans="1:19" ht="27.75" customHeight="1" thickTop="1" thickBot="1" x14ac:dyDescent="0.35">
      <c r="A282" s="8">
        <v>1105700080001</v>
      </c>
      <c r="B282" s="7" t="s">
        <v>302</v>
      </c>
      <c r="C282" s="7" t="s">
        <v>1311</v>
      </c>
      <c r="D282" s="7">
        <v>2011</v>
      </c>
      <c r="E282" s="7" t="s">
        <v>19</v>
      </c>
      <c r="F282" s="7" t="s">
        <v>304</v>
      </c>
      <c r="G282" s="8" t="s">
        <v>1312</v>
      </c>
      <c r="H282" s="7" t="s">
        <v>263</v>
      </c>
      <c r="I282" s="7" t="s">
        <v>1225</v>
      </c>
      <c r="J282" s="2" t="s">
        <v>1544</v>
      </c>
      <c r="K282" s="11" t="s">
        <v>1912</v>
      </c>
      <c r="L282" s="2" t="s">
        <v>1569</v>
      </c>
      <c r="M282" s="2" t="s">
        <v>2102</v>
      </c>
      <c r="N282" s="2" t="s">
        <v>2101</v>
      </c>
      <c r="O282" s="2" t="s">
        <v>2448</v>
      </c>
      <c r="P282" s="65" t="s">
        <v>2053</v>
      </c>
      <c r="Q282" s="65"/>
      <c r="R282" s="65"/>
      <c r="S282" s="27" t="str">
        <f t="shared" ca="1" si="4"/>
        <v>تم الاصلاح</v>
      </c>
    </row>
    <row r="283" spans="1:19" ht="27.75" customHeight="1" thickTop="1" thickBot="1" x14ac:dyDescent="0.35">
      <c r="A283" s="75">
        <v>1101700010006</v>
      </c>
      <c r="B283" s="7" t="s">
        <v>2075</v>
      </c>
      <c r="C283" s="7" t="s">
        <v>216</v>
      </c>
      <c r="D283" s="7">
        <v>2013</v>
      </c>
      <c r="E283" s="7" t="s">
        <v>19</v>
      </c>
      <c r="F283" s="7" t="s">
        <v>52</v>
      </c>
      <c r="G283" s="8" t="s">
        <v>217</v>
      </c>
      <c r="H283" s="7" t="s">
        <v>35</v>
      </c>
      <c r="I283" s="7" t="s">
        <v>215</v>
      </c>
      <c r="J283" s="2" t="s">
        <v>1482</v>
      </c>
      <c r="K283" s="11" t="s">
        <v>1912</v>
      </c>
      <c r="L283" s="2" t="s">
        <v>1569</v>
      </c>
      <c r="M283" s="2" t="s">
        <v>2103</v>
      </c>
      <c r="N283" s="2" t="s">
        <v>2101</v>
      </c>
      <c r="O283" s="2" t="s">
        <v>2626</v>
      </c>
      <c r="P283" s="66" t="s">
        <v>2009</v>
      </c>
      <c r="Q283" s="66" t="s">
        <v>2011</v>
      </c>
      <c r="R283" s="66"/>
      <c r="S283" s="27" t="str">
        <f t="shared" ca="1" si="4"/>
        <v>تم الاصلاح</v>
      </c>
    </row>
    <row r="284" spans="1:19" ht="27.75" customHeight="1" thickTop="1" thickBot="1" x14ac:dyDescent="0.35">
      <c r="A284" s="8">
        <v>1204700010003</v>
      </c>
      <c r="B284" s="7" t="s">
        <v>96</v>
      </c>
      <c r="C284" s="7" t="s">
        <v>473</v>
      </c>
      <c r="D284" s="7">
        <v>2005</v>
      </c>
      <c r="E284" s="7" t="s">
        <v>4</v>
      </c>
      <c r="F284" s="7" t="s">
        <v>10</v>
      </c>
      <c r="G284" s="8" t="s">
        <v>474</v>
      </c>
      <c r="H284" s="7" t="s">
        <v>263</v>
      </c>
      <c r="I284" s="7" t="s">
        <v>465</v>
      </c>
      <c r="J284" s="65" t="s">
        <v>1471</v>
      </c>
      <c r="K284" s="65" t="s">
        <v>1548</v>
      </c>
      <c r="L284" s="65" t="s">
        <v>1564</v>
      </c>
      <c r="M284" s="65" t="s">
        <v>2105</v>
      </c>
      <c r="N284" s="64" t="s">
        <v>2104</v>
      </c>
      <c r="O284" s="65"/>
      <c r="P284" s="65" t="s">
        <v>1471</v>
      </c>
      <c r="Q284" s="65" t="s">
        <v>1994</v>
      </c>
      <c r="R284" s="65"/>
      <c r="S284" s="27" t="e">
        <f t="shared" ca="1" si="4"/>
        <v>#VALUE!</v>
      </c>
    </row>
    <row r="285" spans="1:19" ht="27.75" customHeight="1" thickTop="1" thickBot="1" x14ac:dyDescent="0.35">
      <c r="A285" s="8">
        <v>1104700010004</v>
      </c>
      <c r="B285" s="7" t="s">
        <v>466</v>
      </c>
      <c r="C285" s="7" t="s">
        <v>467</v>
      </c>
      <c r="D285" s="7">
        <v>2004</v>
      </c>
      <c r="E285" s="7" t="s">
        <v>19</v>
      </c>
      <c r="F285" s="7" t="s">
        <v>5</v>
      </c>
      <c r="G285" s="8" t="s">
        <v>468</v>
      </c>
      <c r="H285" s="7" t="s">
        <v>263</v>
      </c>
      <c r="I285" s="7" t="s">
        <v>465</v>
      </c>
      <c r="J285" s="2" t="s">
        <v>1471</v>
      </c>
      <c r="K285" s="11" t="s">
        <v>1912</v>
      </c>
      <c r="L285" s="2" t="s">
        <v>1571</v>
      </c>
      <c r="M285" s="2" t="s">
        <v>1731</v>
      </c>
      <c r="N285" s="2" t="s">
        <v>2565</v>
      </c>
      <c r="O285" s="2" t="s">
        <v>2641</v>
      </c>
      <c r="P285" s="66" t="s">
        <v>1471</v>
      </c>
      <c r="Q285" s="66" t="s">
        <v>1996</v>
      </c>
      <c r="R285" s="66"/>
      <c r="S285" s="27" t="str">
        <f t="shared" ca="1" si="4"/>
        <v>تم الاصلاح</v>
      </c>
    </row>
    <row r="286" spans="1:19" ht="27.75" customHeight="1" thickTop="1" thickBot="1" x14ac:dyDescent="0.35">
      <c r="A286" s="58">
        <v>1106700020003</v>
      </c>
      <c r="B286" s="7" t="s">
        <v>54</v>
      </c>
      <c r="C286" s="7" t="s">
        <v>105</v>
      </c>
      <c r="D286" s="70">
        <v>2013</v>
      </c>
      <c r="E286" s="7" t="s">
        <v>19</v>
      </c>
      <c r="F286" s="7" t="s">
        <v>56</v>
      </c>
      <c r="G286" s="8" t="s">
        <v>106</v>
      </c>
      <c r="H286" s="7" t="s">
        <v>35</v>
      </c>
      <c r="I286" s="7" t="s">
        <v>99</v>
      </c>
      <c r="J286" s="2" t="s">
        <v>1493</v>
      </c>
      <c r="K286" s="2" t="s">
        <v>1548</v>
      </c>
      <c r="L286" s="2" t="s">
        <v>1615</v>
      </c>
      <c r="M286" s="2" t="s">
        <v>2645</v>
      </c>
      <c r="N286" s="2" t="s">
        <v>2646</v>
      </c>
      <c r="O286" s="2" t="s">
        <v>2196</v>
      </c>
      <c r="P286" s="65" t="s">
        <v>2045</v>
      </c>
      <c r="Q286" s="65" t="s">
        <v>2048</v>
      </c>
      <c r="R286" s="65"/>
      <c r="S286" s="27" t="str">
        <f t="shared" ca="1" si="4"/>
        <v>تم الاصلاح</v>
      </c>
    </row>
    <row r="287" spans="1:19" ht="27.75" customHeight="1" thickTop="1" thickBot="1" x14ac:dyDescent="0.35">
      <c r="A287" s="75">
        <v>1101700010006</v>
      </c>
      <c r="B287" s="7" t="s">
        <v>2075</v>
      </c>
      <c r="C287" s="7" t="s">
        <v>1418</v>
      </c>
      <c r="D287" s="7">
        <v>2013</v>
      </c>
      <c r="E287" s="7" t="s">
        <v>19</v>
      </c>
      <c r="F287" s="7" t="s">
        <v>52</v>
      </c>
      <c r="G287" s="8" t="s">
        <v>1419</v>
      </c>
      <c r="H287" s="7" t="s">
        <v>35</v>
      </c>
      <c r="I287" s="7" t="s">
        <v>1417</v>
      </c>
      <c r="J287" s="2" t="s">
        <v>1506</v>
      </c>
      <c r="K287" s="2" t="s">
        <v>1548</v>
      </c>
      <c r="L287" s="2" t="s">
        <v>1564</v>
      </c>
      <c r="M287" s="2" t="s">
        <v>2240</v>
      </c>
      <c r="N287" s="9" t="s">
        <v>2448</v>
      </c>
      <c r="O287" s="2" t="s">
        <v>2109</v>
      </c>
      <c r="P287" s="66" t="s">
        <v>1506</v>
      </c>
      <c r="Q287" s="66" t="s">
        <v>2004</v>
      </c>
      <c r="R287" s="66"/>
      <c r="S287" s="27" t="str">
        <f t="shared" ca="1" si="4"/>
        <v>تم الاصلاح</v>
      </c>
    </row>
    <row r="288" spans="1:19" ht="27.75" customHeight="1" thickTop="1" thickBot="1" x14ac:dyDescent="0.35">
      <c r="A288" s="8">
        <v>1106700020010</v>
      </c>
      <c r="B288" s="7" t="s">
        <v>210</v>
      </c>
      <c r="C288" s="7" t="s">
        <v>1468</v>
      </c>
      <c r="D288" s="7">
        <v>2006</v>
      </c>
      <c r="E288" s="7" t="s">
        <v>19</v>
      </c>
      <c r="F288" s="7" t="s">
        <v>104</v>
      </c>
      <c r="G288" s="8" t="s">
        <v>1368</v>
      </c>
      <c r="H288" s="7" t="s">
        <v>263</v>
      </c>
      <c r="I288" s="7" t="s">
        <v>1225</v>
      </c>
      <c r="J288" s="2" t="s">
        <v>1544</v>
      </c>
      <c r="K288" s="11" t="s">
        <v>1912</v>
      </c>
      <c r="L288" s="2" t="s">
        <v>1571</v>
      </c>
      <c r="M288" s="2" t="s">
        <v>2638</v>
      </c>
      <c r="N288" s="2" t="s">
        <v>2635</v>
      </c>
      <c r="O288" s="2" t="s">
        <v>2654</v>
      </c>
      <c r="P288" s="65" t="s">
        <v>1525</v>
      </c>
      <c r="Q288" s="65" t="s">
        <v>2014</v>
      </c>
      <c r="R288" s="65"/>
      <c r="S288" s="27" t="str">
        <f t="shared" ca="1" si="4"/>
        <v>تم الاصلاح</v>
      </c>
    </row>
    <row r="289" spans="1:19" ht="27.75" customHeight="1" thickTop="1" thickBot="1" x14ac:dyDescent="0.35">
      <c r="A289" s="75">
        <v>1101700010006</v>
      </c>
      <c r="B289" s="7" t="s">
        <v>2075</v>
      </c>
      <c r="C289" s="7" t="s">
        <v>276</v>
      </c>
      <c r="D289" s="7">
        <v>2014</v>
      </c>
      <c r="E289" s="7" t="s">
        <v>19</v>
      </c>
      <c r="F289" s="7" t="s">
        <v>52</v>
      </c>
      <c r="G289" s="8" t="s">
        <v>277</v>
      </c>
      <c r="H289" s="7" t="s">
        <v>263</v>
      </c>
      <c r="I289" s="7" t="s">
        <v>270</v>
      </c>
      <c r="J289" s="66" t="s">
        <v>1482</v>
      </c>
      <c r="K289" s="80" t="s">
        <v>1912</v>
      </c>
      <c r="L289" s="66"/>
      <c r="M289" s="2"/>
      <c r="N289" s="2"/>
      <c r="O289" s="66" t="s">
        <v>2157</v>
      </c>
      <c r="P289" s="66" t="s">
        <v>2009</v>
      </c>
      <c r="Q289" s="66" t="s">
        <v>2010</v>
      </c>
      <c r="R289" s="66"/>
      <c r="S289" s="27" t="str">
        <f t="shared" ca="1" si="4"/>
        <v>تم الاصلاح</v>
      </c>
    </row>
    <row r="290" spans="1:19" ht="27.75" customHeight="1" thickTop="1" thickBot="1" x14ac:dyDescent="0.35">
      <c r="A290" s="75">
        <v>1101700010006</v>
      </c>
      <c r="B290" s="7" t="s">
        <v>2075</v>
      </c>
      <c r="C290" s="7" t="s">
        <v>802</v>
      </c>
      <c r="D290" s="7">
        <v>2015</v>
      </c>
      <c r="E290" s="7" t="s">
        <v>19</v>
      </c>
      <c r="F290" s="7" t="s">
        <v>52</v>
      </c>
      <c r="G290" s="8" t="s">
        <v>803</v>
      </c>
      <c r="H290" s="7" t="s">
        <v>35</v>
      </c>
      <c r="I290" s="7" t="s">
        <v>801</v>
      </c>
      <c r="J290" s="65" t="s">
        <v>1482</v>
      </c>
      <c r="K290" s="71" t="s">
        <v>1912</v>
      </c>
      <c r="L290" s="66"/>
      <c r="M290" s="2"/>
      <c r="N290" s="2"/>
      <c r="O290" s="65" t="s">
        <v>2139</v>
      </c>
      <c r="P290" s="65" t="s">
        <v>2009</v>
      </c>
      <c r="Q290" s="65" t="s">
        <v>2012</v>
      </c>
      <c r="R290" s="65"/>
      <c r="S290" s="27" t="str">
        <f t="shared" ca="1" si="4"/>
        <v>تم الاصلاح</v>
      </c>
    </row>
    <row r="291" spans="1:19" ht="27.75" customHeight="1" thickTop="1" thickBot="1" x14ac:dyDescent="0.35">
      <c r="A291" s="8">
        <v>1105700100001</v>
      </c>
      <c r="B291" s="7" t="s">
        <v>311</v>
      </c>
      <c r="C291" s="7" t="s">
        <v>656</v>
      </c>
      <c r="D291" s="7">
        <v>2010</v>
      </c>
      <c r="E291" s="7" t="s">
        <v>19</v>
      </c>
      <c r="F291" s="7" t="s">
        <v>236</v>
      </c>
      <c r="G291" s="8" t="s">
        <v>657</v>
      </c>
      <c r="H291" s="7" t="s">
        <v>263</v>
      </c>
      <c r="I291" s="7" t="s">
        <v>632</v>
      </c>
      <c r="J291" s="66" t="s">
        <v>1482</v>
      </c>
      <c r="K291" s="80" t="s">
        <v>1912</v>
      </c>
      <c r="L291" s="66"/>
      <c r="M291" s="2"/>
      <c r="N291" s="2"/>
      <c r="O291" s="66" t="s">
        <v>2109</v>
      </c>
      <c r="P291" s="66" t="s">
        <v>2009</v>
      </c>
      <c r="Q291" s="66" t="s">
        <v>2011</v>
      </c>
      <c r="R291" s="66"/>
      <c r="S291" s="27" t="str">
        <f t="shared" ca="1" si="4"/>
        <v>تم الاصلاح</v>
      </c>
    </row>
    <row r="292" spans="1:19" ht="27.75" customHeight="1" thickTop="1" thickBot="1" x14ac:dyDescent="0.35">
      <c r="A292" s="8">
        <v>1102700010004</v>
      </c>
      <c r="B292" s="7" t="s">
        <v>64</v>
      </c>
      <c r="C292" s="7" t="s">
        <v>1281</v>
      </c>
      <c r="D292" s="7">
        <v>2002</v>
      </c>
      <c r="E292" s="7" t="s">
        <v>19</v>
      </c>
      <c r="F292" s="7" t="s">
        <v>42</v>
      </c>
      <c r="G292" s="8" t="s">
        <v>1282</v>
      </c>
      <c r="H292" s="7" t="s">
        <v>263</v>
      </c>
      <c r="I292" s="7" t="s">
        <v>1225</v>
      </c>
      <c r="J292" s="65" t="s">
        <v>1544</v>
      </c>
      <c r="K292" s="85" t="s">
        <v>1553</v>
      </c>
      <c r="L292" s="65" t="s">
        <v>1571</v>
      </c>
      <c r="M292" s="65" t="s">
        <v>1609</v>
      </c>
      <c r="N292" s="64" t="s">
        <v>2106</v>
      </c>
      <c r="O292" s="65"/>
      <c r="P292" s="65" t="s">
        <v>2053</v>
      </c>
      <c r="Q292" s="65"/>
      <c r="R292" s="65"/>
      <c r="S292" s="27" t="e">
        <f t="shared" ca="1" si="4"/>
        <v>#VALUE!</v>
      </c>
    </row>
    <row r="293" spans="1:19" ht="27.75" customHeight="1" thickTop="1" thickBot="1" x14ac:dyDescent="0.35">
      <c r="A293" s="8">
        <v>1101700020004</v>
      </c>
      <c r="B293" s="7" t="s">
        <v>869</v>
      </c>
      <c r="C293" s="7" t="s">
        <v>1253</v>
      </c>
      <c r="D293" s="7">
        <v>2004</v>
      </c>
      <c r="E293" s="7" t="s">
        <v>19</v>
      </c>
      <c r="F293" s="7" t="s">
        <v>52</v>
      </c>
      <c r="G293" s="8" t="s">
        <v>1254</v>
      </c>
      <c r="H293" s="7" t="s">
        <v>263</v>
      </c>
      <c r="I293" s="7" t="s">
        <v>1225</v>
      </c>
      <c r="J293" s="66" t="s">
        <v>1549</v>
      </c>
      <c r="K293" s="93" t="s">
        <v>1553</v>
      </c>
      <c r="L293" s="66" t="s">
        <v>1571</v>
      </c>
      <c r="M293" s="66" t="s">
        <v>1609</v>
      </c>
      <c r="N293" s="69" t="s">
        <v>2109</v>
      </c>
      <c r="O293" s="66"/>
      <c r="P293" s="66" t="s">
        <v>2053</v>
      </c>
      <c r="Q293" s="66"/>
      <c r="R293" s="66"/>
      <c r="S293" s="27" t="e">
        <f t="shared" ca="1" si="4"/>
        <v>#VALUE!</v>
      </c>
    </row>
    <row r="294" spans="1:19" ht="27.75" customHeight="1" thickTop="1" thickBot="1" x14ac:dyDescent="0.35">
      <c r="A294" s="8">
        <v>1102700010001</v>
      </c>
      <c r="B294" s="7" t="s">
        <v>1262</v>
      </c>
      <c r="C294" s="7" t="s">
        <v>1266</v>
      </c>
      <c r="D294" s="7">
        <v>2006</v>
      </c>
      <c r="E294" s="7" t="s">
        <v>19</v>
      </c>
      <c r="F294" s="7" t="s">
        <v>42</v>
      </c>
      <c r="G294" s="8" t="s">
        <v>1267</v>
      </c>
      <c r="H294" s="7" t="s">
        <v>263</v>
      </c>
      <c r="I294" s="7" t="s">
        <v>1225</v>
      </c>
      <c r="J294" s="65" t="s">
        <v>1544</v>
      </c>
      <c r="K294" s="85" t="s">
        <v>1553</v>
      </c>
      <c r="L294" s="65" t="s">
        <v>1571</v>
      </c>
      <c r="M294" s="65" t="s">
        <v>1609</v>
      </c>
      <c r="N294" s="64" t="s">
        <v>2109</v>
      </c>
      <c r="O294" s="65"/>
      <c r="P294" s="65" t="s">
        <v>2053</v>
      </c>
      <c r="Q294" s="65"/>
      <c r="R294" s="65"/>
      <c r="S294" s="27" t="e">
        <f t="shared" ca="1" si="4"/>
        <v>#VALUE!</v>
      </c>
    </row>
    <row r="295" spans="1:19" ht="27.75" customHeight="1" thickTop="1" thickBot="1" x14ac:dyDescent="0.35">
      <c r="A295" s="8">
        <v>1204700030001</v>
      </c>
      <c r="B295" s="7" t="s">
        <v>17</v>
      </c>
      <c r="C295" s="7" t="s">
        <v>383</v>
      </c>
      <c r="D295" s="7">
        <v>2008</v>
      </c>
      <c r="E295" s="7" t="s">
        <v>19</v>
      </c>
      <c r="F295" s="7" t="s">
        <v>384</v>
      </c>
      <c r="G295" s="8" t="s">
        <v>385</v>
      </c>
      <c r="H295" s="7" t="s">
        <v>263</v>
      </c>
      <c r="I295" s="7" t="s">
        <v>270</v>
      </c>
      <c r="J295" s="66" t="s">
        <v>1544</v>
      </c>
      <c r="K295" s="80" t="s">
        <v>1912</v>
      </c>
      <c r="L295" s="66"/>
      <c r="M295" s="66"/>
      <c r="N295" s="64"/>
      <c r="O295" s="66" t="s">
        <v>2116</v>
      </c>
      <c r="P295" s="66" t="s">
        <v>2053</v>
      </c>
      <c r="Q295" s="66"/>
      <c r="R295" s="66"/>
      <c r="S295" s="27" t="str">
        <f t="shared" ca="1" si="4"/>
        <v>تم الاصلاح</v>
      </c>
    </row>
    <row r="296" spans="1:19" ht="27.75" customHeight="1" thickTop="1" thickBot="1" x14ac:dyDescent="0.35">
      <c r="A296" s="75">
        <v>1101700010006</v>
      </c>
      <c r="B296" s="7" t="s">
        <v>2075</v>
      </c>
      <c r="C296" s="7" t="s">
        <v>835</v>
      </c>
      <c r="D296" s="7">
        <v>2015</v>
      </c>
      <c r="E296" s="7" t="s">
        <v>19</v>
      </c>
      <c r="F296" s="7" t="s">
        <v>52</v>
      </c>
      <c r="G296" s="8" t="s">
        <v>836</v>
      </c>
      <c r="H296" s="7" t="s">
        <v>35</v>
      </c>
      <c r="I296" s="7" t="s">
        <v>834</v>
      </c>
      <c r="J296" s="65" t="s">
        <v>1493</v>
      </c>
      <c r="K296" s="65" t="s">
        <v>1548</v>
      </c>
      <c r="L296" s="65" t="s">
        <v>1569</v>
      </c>
      <c r="M296" s="65" t="s">
        <v>2090</v>
      </c>
      <c r="N296" s="64" t="s">
        <v>2110</v>
      </c>
      <c r="O296" s="65"/>
      <c r="P296" s="65" t="s">
        <v>2045</v>
      </c>
      <c r="Q296" s="65" t="s">
        <v>2046</v>
      </c>
      <c r="R296" s="65"/>
      <c r="S296" s="27" t="e">
        <f t="shared" ca="1" si="4"/>
        <v>#VALUE!</v>
      </c>
    </row>
    <row r="297" spans="1:19" ht="27.75" customHeight="1" thickTop="1" thickBot="1" x14ac:dyDescent="0.35">
      <c r="A297" s="8">
        <v>1102700010004</v>
      </c>
      <c r="B297" s="7" t="s">
        <v>64</v>
      </c>
      <c r="C297" s="7" t="s">
        <v>282</v>
      </c>
      <c r="D297" s="7">
        <v>2008</v>
      </c>
      <c r="E297" s="7" t="s">
        <v>19</v>
      </c>
      <c r="F297" s="7" t="s">
        <v>66</v>
      </c>
      <c r="G297" s="8" t="s">
        <v>283</v>
      </c>
      <c r="H297" s="7" t="s">
        <v>263</v>
      </c>
      <c r="I297" s="7" t="s">
        <v>270</v>
      </c>
      <c r="J297" s="66" t="s">
        <v>1549</v>
      </c>
      <c r="K297" s="66" t="s">
        <v>1548</v>
      </c>
      <c r="L297" s="66" t="s">
        <v>1571</v>
      </c>
      <c r="M297" s="66" t="s">
        <v>1609</v>
      </c>
      <c r="N297" s="69" t="s">
        <v>2110</v>
      </c>
      <c r="O297" s="66"/>
      <c r="P297" s="66" t="s">
        <v>1525</v>
      </c>
      <c r="Q297" s="66" t="s">
        <v>2018</v>
      </c>
      <c r="R297" s="27" t="str" cm="1">
        <f t="array" ref="R297">IF(
   A297="",
   "",
   _xlfn.LET(
      _xlpm.result,
      IFERROR(
         _xlfn.XLOOKUP(
            1,
            (Table8[رقم الصنف]=A297) *
            (IF($B$9="الكل",1, YEAR('ادخال البيانات'!$N$3:$N$1164) = VALUE($B$9))) *
            (IF($B$10="الكل",1, MONTH('ادخال البيانات'!$N$3:$N$1164) = VALUE($B$10))) *
            (IF($B$11="الكل",1, INT((DAY('ادخال البيانات'!$N$3:$N$1164) - 1) / 7) + 1 = VALUE($B$11))),
            Table8[ملاحظة]
         ),
         ""
      ),
      IF(_xlpm.result="", "", _xlpm.result)
   )
)</f>
        <v/>
      </c>
      <c r="S297" s="27" t="e">
        <f t="shared" ca="1" si="4"/>
        <v>#VALUE!</v>
      </c>
    </row>
    <row r="298" spans="1:19" ht="27.75" customHeight="1" thickTop="1" thickBot="1" x14ac:dyDescent="0.35">
      <c r="A298" s="8">
        <v>1204700020003</v>
      </c>
      <c r="B298" s="7" t="s">
        <v>13</v>
      </c>
      <c r="C298" s="92" t="s">
        <v>545</v>
      </c>
      <c r="D298" s="7">
        <v>2005</v>
      </c>
      <c r="E298" s="7" t="s">
        <v>4</v>
      </c>
      <c r="F298" s="7" t="s">
        <v>5</v>
      </c>
      <c r="G298" s="8" t="s">
        <v>546</v>
      </c>
      <c r="H298" s="7" t="s">
        <v>263</v>
      </c>
      <c r="I298" s="7" t="s">
        <v>534</v>
      </c>
      <c r="J298" s="65" t="s">
        <v>1531</v>
      </c>
      <c r="K298" s="71" t="s">
        <v>1912</v>
      </c>
      <c r="L298" s="65"/>
      <c r="M298" s="2"/>
      <c r="N298" s="2"/>
      <c r="O298" s="65" t="s">
        <v>2188</v>
      </c>
      <c r="P298" s="65" t="s">
        <v>1531</v>
      </c>
      <c r="Q298" s="65" t="s">
        <v>2021</v>
      </c>
      <c r="R298" s="65"/>
      <c r="S298" s="27" t="str">
        <f t="shared" ca="1" si="4"/>
        <v>تم الاصلاح</v>
      </c>
    </row>
    <row r="299" spans="1:19" ht="27.75" customHeight="1" thickTop="1" thickBot="1" x14ac:dyDescent="0.35">
      <c r="A299" s="58">
        <v>1106700020003</v>
      </c>
      <c r="B299" s="7" t="s">
        <v>54</v>
      </c>
      <c r="C299" s="7" t="s">
        <v>139</v>
      </c>
      <c r="D299" s="70">
        <v>2013</v>
      </c>
      <c r="E299" s="7" t="s">
        <v>19</v>
      </c>
      <c r="F299" s="7" t="s">
        <v>56</v>
      </c>
      <c r="G299" s="8" t="s">
        <v>140</v>
      </c>
      <c r="H299" s="7" t="s">
        <v>35</v>
      </c>
      <c r="I299" s="7" t="s">
        <v>131</v>
      </c>
      <c r="J299" s="66" t="s">
        <v>1498</v>
      </c>
      <c r="K299" s="66" t="s">
        <v>1548</v>
      </c>
      <c r="L299" s="66" t="s">
        <v>1564</v>
      </c>
      <c r="M299" s="66" t="s">
        <v>2115</v>
      </c>
      <c r="N299" s="69" t="s">
        <v>2114</v>
      </c>
      <c r="O299" s="66"/>
      <c r="P299" s="66" t="s">
        <v>2024</v>
      </c>
      <c r="Q299" s="66" t="s">
        <v>2028</v>
      </c>
      <c r="R299" s="66"/>
      <c r="S299" s="27" t="e">
        <f t="shared" ca="1" si="4"/>
        <v>#VALUE!</v>
      </c>
    </row>
    <row r="300" spans="1:19" ht="27.75" customHeight="1" thickTop="1" thickBot="1" x14ac:dyDescent="0.35">
      <c r="A300" s="75">
        <v>1101700010006</v>
      </c>
      <c r="B300" s="7" t="s">
        <v>2075</v>
      </c>
      <c r="C300" s="7" t="s">
        <v>1241</v>
      </c>
      <c r="D300" s="7">
        <v>2013</v>
      </c>
      <c r="E300" s="7" t="s">
        <v>19</v>
      </c>
      <c r="F300" s="7" t="s">
        <v>52</v>
      </c>
      <c r="G300" s="8" t="s">
        <v>1242</v>
      </c>
      <c r="H300" s="7" t="s">
        <v>263</v>
      </c>
      <c r="I300" s="7" t="s">
        <v>1225</v>
      </c>
      <c r="J300" s="2" t="s">
        <v>1544</v>
      </c>
      <c r="K300" s="2" t="s">
        <v>1548</v>
      </c>
      <c r="L300" s="2" t="s">
        <v>1571</v>
      </c>
      <c r="M300" s="2" t="s">
        <v>1632</v>
      </c>
      <c r="N300" s="2" t="s">
        <v>2672</v>
      </c>
      <c r="O300" s="2" t="s">
        <v>2114</v>
      </c>
      <c r="P300" s="65" t="s">
        <v>1477</v>
      </c>
      <c r="Q300" s="65" t="s">
        <v>1999</v>
      </c>
      <c r="R300" s="65"/>
      <c r="S300" s="27" t="str">
        <f t="shared" ca="1" si="4"/>
        <v>تم الاصلاح</v>
      </c>
    </row>
    <row r="301" spans="1:19" ht="27.75" customHeight="1" thickTop="1" thickBot="1" x14ac:dyDescent="0.35">
      <c r="A301" s="8">
        <v>1105700080001</v>
      </c>
      <c r="B301" s="7" t="s">
        <v>302</v>
      </c>
      <c r="C301" s="7" t="s">
        <v>1317</v>
      </c>
      <c r="D301" s="7">
        <v>2011</v>
      </c>
      <c r="E301" s="7" t="s">
        <v>19</v>
      </c>
      <c r="F301" s="7" t="s">
        <v>304</v>
      </c>
      <c r="G301" s="8" t="s">
        <v>1318</v>
      </c>
      <c r="H301" s="7" t="s">
        <v>263</v>
      </c>
      <c r="I301" s="7" t="s">
        <v>1225</v>
      </c>
      <c r="J301" s="66" t="s">
        <v>1544</v>
      </c>
      <c r="K301" s="80" t="s">
        <v>1912</v>
      </c>
      <c r="L301" s="66"/>
      <c r="M301" s="2"/>
      <c r="N301" s="2"/>
      <c r="O301" s="66" t="s">
        <v>2209</v>
      </c>
      <c r="P301" s="66" t="s">
        <v>2053</v>
      </c>
      <c r="Q301" s="66"/>
      <c r="R301" s="66"/>
      <c r="S301" s="27" t="str">
        <f t="shared" ca="1" si="4"/>
        <v>تم الاصلاح</v>
      </c>
    </row>
    <row r="302" spans="1:19" ht="27.75" customHeight="1" thickTop="1" thickBot="1" x14ac:dyDescent="0.35">
      <c r="A302" s="8">
        <v>1202700010001</v>
      </c>
      <c r="B302" s="7" t="s">
        <v>1387</v>
      </c>
      <c r="C302" s="7" t="s">
        <v>1388</v>
      </c>
      <c r="D302" s="7">
        <v>2002</v>
      </c>
      <c r="E302" s="7" t="s">
        <v>4</v>
      </c>
      <c r="F302" s="7" t="s">
        <v>1389</v>
      </c>
      <c r="G302" s="8" t="s">
        <v>1390</v>
      </c>
      <c r="H302" s="7" t="s">
        <v>263</v>
      </c>
      <c r="I302" s="7" t="s">
        <v>1225</v>
      </c>
      <c r="J302" s="65" t="s">
        <v>1544</v>
      </c>
      <c r="K302" s="85" t="s">
        <v>1553</v>
      </c>
      <c r="L302" s="65" t="s">
        <v>1571</v>
      </c>
      <c r="M302" s="65" t="s">
        <v>1609</v>
      </c>
      <c r="N302" s="64" t="s">
        <v>2116</v>
      </c>
      <c r="O302" s="65"/>
      <c r="P302" s="65" t="s">
        <v>2053</v>
      </c>
      <c r="Q302" s="65"/>
      <c r="R302" s="65"/>
      <c r="S302" s="27" t="e">
        <f t="shared" ca="1" si="4"/>
        <v>#VALUE!</v>
      </c>
    </row>
    <row r="303" spans="1:19" ht="27.75" customHeight="1" thickTop="1" thickBot="1" x14ac:dyDescent="0.35">
      <c r="A303" s="8">
        <v>1204700020003</v>
      </c>
      <c r="B303" s="7" t="s">
        <v>13</v>
      </c>
      <c r="C303" s="7" t="s">
        <v>1209</v>
      </c>
      <c r="D303" s="7">
        <v>2008</v>
      </c>
      <c r="E303" s="7" t="s">
        <v>19</v>
      </c>
      <c r="F303" s="7" t="s">
        <v>10</v>
      </c>
      <c r="G303" s="8" t="s">
        <v>1210</v>
      </c>
      <c r="H303" s="7" t="s">
        <v>35</v>
      </c>
      <c r="I303" s="7" t="s">
        <v>1199</v>
      </c>
      <c r="J303" s="110" t="s">
        <v>1498</v>
      </c>
      <c r="K303" s="11" t="s">
        <v>1912</v>
      </c>
      <c r="L303" s="2" t="s">
        <v>1564</v>
      </c>
      <c r="M303" s="2" t="s">
        <v>2512</v>
      </c>
      <c r="N303" s="2" t="s">
        <v>2513</v>
      </c>
      <c r="O303" s="2" t="s">
        <v>2635</v>
      </c>
      <c r="P303" s="66" t="s">
        <v>2024</v>
      </c>
      <c r="Q303" s="66" t="s">
        <v>2025</v>
      </c>
      <c r="R303" s="66"/>
      <c r="S303" s="27" t="str">
        <f t="shared" ca="1" si="4"/>
        <v>تم الاصلاح</v>
      </c>
    </row>
    <row r="304" spans="1:19" ht="27.75" customHeight="1" thickTop="1" thickBot="1" x14ac:dyDescent="0.35">
      <c r="A304" s="8">
        <v>1204700020003</v>
      </c>
      <c r="B304" s="7" t="s">
        <v>13</v>
      </c>
      <c r="C304" s="90" t="s">
        <v>575</v>
      </c>
      <c r="D304" s="7">
        <v>2002</v>
      </c>
      <c r="E304" s="7" t="s">
        <v>4</v>
      </c>
      <c r="F304" s="7" t="s">
        <v>10</v>
      </c>
      <c r="G304" s="8" t="s">
        <v>576</v>
      </c>
      <c r="H304" s="7" t="s">
        <v>263</v>
      </c>
      <c r="I304" s="7" t="s">
        <v>568</v>
      </c>
      <c r="J304" s="65" t="s">
        <v>1487</v>
      </c>
      <c r="K304" s="71" t="s">
        <v>1912</v>
      </c>
      <c r="L304" s="65"/>
      <c r="M304" s="2"/>
      <c r="N304" s="2"/>
      <c r="O304" s="2" t="s">
        <v>2353</v>
      </c>
      <c r="P304" s="65" t="s">
        <v>2034</v>
      </c>
      <c r="Q304" s="65" t="s">
        <v>2035</v>
      </c>
      <c r="R304" s="65"/>
      <c r="S304" s="27" t="str">
        <f t="shared" ca="1" si="4"/>
        <v>تم الاصلاح</v>
      </c>
    </row>
    <row r="305" spans="1:19" ht="27.75" customHeight="1" thickTop="1" thickBot="1" x14ac:dyDescent="0.35">
      <c r="A305" s="58">
        <v>1106700020003</v>
      </c>
      <c r="B305" s="7" t="s">
        <v>54</v>
      </c>
      <c r="C305" s="7" t="s">
        <v>208</v>
      </c>
      <c r="D305" s="70">
        <v>2014</v>
      </c>
      <c r="E305" s="7" t="s">
        <v>19</v>
      </c>
      <c r="F305" s="7" t="s">
        <v>56</v>
      </c>
      <c r="G305" s="8" t="s">
        <v>209</v>
      </c>
      <c r="H305" s="7" t="s">
        <v>35</v>
      </c>
      <c r="I305" s="7" t="s">
        <v>205</v>
      </c>
      <c r="J305" s="66" t="s">
        <v>1525</v>
      </c>
      <c r="K305" s="80" t="s">
        <v>1912</v>
      </c>
      <c r="L305" s="66"/>
      <c r="M305" s="66"/>
      <c r="N305" s="69"/>
      <c r="O305" s="66" t="s">
        <v>2177</v>
      </c>
      <c r="P305" s="66" t="s">
        <v>1525</v>
      </c>
      <c r="Q305" s="66" t="s">
        <v>2015</v>
      </c>
      <c r="R305" s="66"/>
      <c r="S305" s="27" t="str">
        <f t="shared" ca="1" si="4"/>
        <v>تم الاصلاح</v>
      </c>
    </row>
    <row r="306" spans="1:19" ht="27.75" customHeight="1" thickTop="1" thickBot="1" x14ac:dyDescent="0.35">
      <c r="A306" s="58">
        <v>1106700020003</v>
      </c>
      <c r="B306" s="7" t="s">
        <v>54</v>
      </c>
      <c r="C306" s="7" t="s">
        <v>899</v>
      </c>
      <c r="D306" s="70">
        <v>2012</v>
      </c>
      <c r="E306" s="7" t="s">
        <v>19</v>
      </c>
      <c r="F306" s="7" t="s">
        <v>56</v>
      </c>
      <c r="G306" s="8" t="s">
        <v>900</v>
      </c>
      <c r="H306" s="7" t="s">
        <v>35</v>
      </c>
      <c r="I306" s="7" t="s">
        <v>896</v>
      </c>
      <c r="J306" s="65" t="s">
        <v>1537</v>
      </c>
      <c r="K306" s="71" t="s">
        <v>1912</v>
      </c>
      <c r="L306" s="65"/>
      <c r="M306" s="65"/>
      <c r="N306" s="64"/>
      <c r="O306" s="65" t="s">
        <v>2205</v>
      </c>
      <c r="P306" s="65" t="s">
        <v>1537</v>
      </c>
      <c r="Q306" s="65" t="s">
        <v>2044</v>
      </c>
      <c r="R306" s="65"/>
      <c r="S306" s="27" t="str">
        <f t="shared" ca="1" si="4"/>
        <v>تم الاصلاح</v>
      </c>
    </row>
    <row r="307" spans="1:19" ht="27.75" customHeight="1" thickTop="1" thickBot="1" x14ac:dyDescent="0.35">
      <c r="A307" s="8">
        <v>1106700020010</v>
      </c>
      <c r="B307" s="7" t="s">
        <v>210</v>
      </c>
      <c r="C307" s="7" t="s">
        <v>797</v>
      </c>
      <c r="D307" s="7">
        <v>2006</v>
      </c>
      <c r="E307" s="7" t="s">
        <v>19</v>
      </c>
      <c r="F307" s="7" t="s">
        <v>56</v>
      </c>
      <c r="G307" s="8" t="s">
        <v>798</v>
      </c>
      <c r="H307" s="7" t="s">
        <v>35</v>
      </c>
      <c r="I307" s="7" t="s">
        <v>792</v>
      </c>
      <c r="J307" s="66" t="s">
        <v>1498</v>
      </c>
      <c r="K307" s="95" t="s">
        <v>1548</v>
      </c>
      <c r="L307" s="66" t="s">
        <v>1571</v>
      </c>
      <c r="M307" s="2" t="s">
        <v>2145</v>
      </c>
      <c r="N307" s="2" t="s">
        <v>2146</v>
      </c>
      <c r="O307" s="66"/>
      <c r="P307" s="66" t="s">
        <v>2024</v>
      </c>
      <c r="Q307" s="66" t="s">
        <v>2027</v>
      </c>
      <c r="R307" s="66"/>
      <c r="S307" s="27" t="e">
        <f t="shared" ca="1" si="4"/>
        <v>#VALUE!</v>
      </c>
    </row>
    <row r="308" spans="1:19" ht="27.75" customHeight="1" thickTop="1" thickBot="1" x14ac:dyDescent="0.35">
      <c r="A308" s="8">
        <v>1204700020003</v>
      </c>
      <c r="B308" s="7" t="s">
        <v>13</v>
      </c>
      <c r="C308" s="94" t="s">
        <v>1393</v>
      </c>
      <c r="D308" s="7">
        <v>2006</v>
      </c>
      <c r="E308" s="7" t="s">
        <v>19</v>
      </c>
      <c r="F308" s="7" t="s">
        <v>10</v>
      </c>
      <c r="G308" s="8" t="s">
        <v>1394</v>
      </c>
      <c r="H308" s="7" t="s">
        <v>263</v>
      </c>
      <c r="I308" s="7" t="s">
        <v>1225</v>
      </c>
      <c r="J308" s="65" t="s">
        <v>1544</v>
      </c>
      <c r="K308" s="65" t="s">
        <v>1548</v>
      </c>
      <c r="L308" s="65" t="s">
        <v>1564</v>
      </c>
      <c r="M308" s="65" t="s">
        <v>2121</v>
      </c>
      <c r="N308" s="64" t="s">
        <v>2122</v>
      </c>
      <c r="O308" s="65"/>
      <c r="P308" s="65" t="s">
        <v>2053</v>
      </c>
      <c r="Q308" s="65"/>
      <c r="R308" s="65" t="s">
        <v>2124</v>
      </c>
      <c r="S308" s="27" t="e">
        <f t="shared" ca="1" si="4"/>
        <v>#VALUE!</v>
      </c>
    </row>
    <row r="309" spans="1:19" ht="27.75" customHeight="1" thickTop="1" thickBot="1" x14ac:dyDescent="0.35">
      <c r="A309" s="8">
        <v>1204700020003</v>
      </c>
      <c r="B309" s="7" t="s">
        <v>13</v>
      </c>
      <c r="C309" s="94" t="s">
        <v>1399</v>
      </c>
      <c r="D309" s="7">
        <v>2006</v>
      </c>
      <c r="E309" s="7" t="s">
        <v>19</v>
      </c>
      <c r="F309" s="7" t="s">
        <v>10</v>
      </c>
      <c r="G309" s="8" t="s">
        <v>1400</v>
      </c>
      <c r="H309" s="7" t="s">
        <v>263</v>
      </c>
      <c r="I309" s="7" t="s">
        <v>1225</v>
      </c>
      <c r="J309" s="65" t="s">
        <v>1544</v>
      </c>
      <c r="K309" s="65" t="s">
        <v>1548</v>
      </c>
      <c r="L309" s="65" t="s">
        <v>1564</v>
      </c>
      <c r="M309" s="65" t="s">
        <v>2121</v>
      </c>
      <c r="N309" s="64" t="s">
        <v>2122</v>
      </c>
      <c r="O309" s="65"/>
      <c r="P309" s="65" t="s">
        <v>2053</v>
      </c>
      <c r="Q309" s="65"/>
      <c r="R309" s="65" t="s">
        <v>2124</v>
      </c>
      <c r="S309" s="27" t="e">
        <f t="shared" ca="1" si="4"/>
        <v>#VALUE!</v>
      </c>
    </row>
    <row r="310" spans="1:19" ht="27.75" customHeight="1" thickTop="1" thickBot="1" x14ac:dyDescent="0.35">
      <c r="A310" s="8">
        <v>1204700020003</v>
      </c>
      <c r="B310" s="7" t="s">
        <v>13</v>
      </c>
      <c r="C310" s="90" t="s">
        <v>1395</v>
      </c>
      <c r="D310" s="7">
        <v>2009</v>
      </c>
      <c r="E310" s="7" t="s">
        <v>19</v>
      </c>
      <c r="F310" s="7" t="s">
        <v>10</v>
      </c>
      <c r="G310" s="8" t="s">
        <v>1396</v>
      </c>
      <c r="H310" s="7" t="s">
        <v>263</v>
      </c>
      <c r="I310" s="7" t="s">
        <v>1225</v>
      </c>
      <c r="J310" s="65" t="s">
        <v>1544</v>
      </c>
      <c r="K310" s="11" t="s">
        <v>1912</v>
      </c>
      <c r="L310" s="2"/>
      <c r="M310" s="2"/>
      <c r="N310" s="2"/>
      <c r="O310" s="2" t="s">
        <v>2391</v>
      </c>
      <c r="P310" s="65" t="s">
        <v>2053</v>
      </c>
      <c r="Q310" s="65"/>
      <c r="R310" s="65" t="s">
        <v>2124</v>
      </c>
      <c r="S310" s="27" t="str">
        <f t="shared" ca="1" si="4"/>
        <v>تم الاصلاح</v>
      </c>
    </row>
    <row r="311" spans="1:19" ht="27.75" customHeight="1" thickTop="1" thickBot="1" x14ac:dyDescent="0.35">
      <c r="A311" s="8">
        <v>1204700020003</v>
      </c>
      <c r="B311" s="7" t="s">
        <v>13</v>
      </c>
      <c r="C311" s="7" t="s">
        <v>14</v>
      </c>
      <c r="D311" s="7">
        <v>2005</v>
      </c>
      <c r="E311" s="7" t="s">
        <v>4</v>
      </c>
      <c r="F311" s="7" t="s">
        <v>15</v>
      </c>
      <c r="G311" s="8" t="s">
        <v>16</v>
      </c>
      <c r="H311" s="7" t="s">
        <v>0</v>
      </c>
      <c r="I311" s="7" t="s">
        <v>12</v>
      </c>
      <c r="J311" s="65" t="s">
        <v>1544</v>
      </c>
      <c r="K311" s="65" t="s">
        <v>1548</v>
      </c>
      <c r="L311" s="65" t="s">
        <v>1564</v>
      </c>
      <c r="M311" s="65" t="s">
        <v>2121</v>
      </c>
      <c r="N311" s="64" t="s">
        <v>2122</v>
      </c>
      <c r="O311" s="65"/>
      <c r="P311" s="65" t="s">
        <v>2053</v>
      </c>
      <c r="Q311" s="65"/>
      <c r="R311" s="65" t="s">
        <v>2124</v>
      </c>
      <c r="S311" s="27" t="e">
        <f t="shared" ca="1" si="4"/>
        <v>#VALUE!</v>
      </c>
    </row>
    <row r="312" spans="1:19" ht="27.75" customHeight="1" thickTop="1" thickBot="1" x14ac:dyDescent="0.35">
      <c r="A312" s="8">
        <v>1106700010003</v>
      </c>
      <c r="B312" s="7" t="s">
        <v>102</v>
      </c>
      <c r="C312" s="7" t="s">
        <v>668</v>
      </c>
      <c r="D312" s="7">
        <v>1989</v>
      </c>
      <c r="E312" s="7" t="s">
        <v>19</v>
      </c>
      <c r="F312" s="7" t="s">
        <v>104</v>
      </c>
      <c r="G312" s="8">
        <v>34600155386726</v>
      </c>
      <c r="H312" s="7" t="s">
        <v>263</v>
      </c>
      <c r="I312" s="7" t="s">
        <v>632</v>
      </c>
      <c r="J312" s="66" t="s">
        <v>1518</v>
      </c>
      <c r="K312" s="80" t="s">
        <v>1912</v>
      </c>
      <c r="L312" s="66"/>
      <c r="M312" s="2"/>
      <c r="N312" s="2"/>
      <c r="O312" s="66" t="s">
        <v>2139</v>
      </c>
      <c r="P312" s="66" t="s">
        <v>1518</v>
      </c>
      <c r="Q312" s="66" t="s">
        <v>1988</v>
      </c>
      <c r="R312" s="66"/>
      <c r="S312" s="27" t="str">
        <f t="shared" ca="1" si="4"/>
        <v>تم الاصلاح</v>
      </c>
    </row>
    <row r="313" spans="1:19" ht="27.75" customHeight="1" thickTop="1" thickBot="1" x14ac:dyDescent="0.35">
      <c r="A313" s="8">
        <v>1204700030001</v>
      </c>
      <c r="B313" s="7" t="s">
        <v>17</v>
      </c>
      <c r="C313" s="7" t="s">
        <v>733</v>
      </c>
      <c r="D313" s="7">
        <v>2013</v>
      </c>
      <c r="E313" s="7" t="s">
        <v>19</v>
      </c>
      <c r="F313" s="7" t="s">
        <v>20</v>
      </c>
      <c r="G313" s="8" t="s">
        <v>734</v>
      </c>
      <c r="H313" s="7" t="s">
        <v>723</v>
      </c>
      <c r="I313" s="7" t="s">
        <v>724</v>
      </c>
      <c r="J313" s="110" t="s">
        <v>1557</v>
      </c>
      <c r="K313" s="11" t="s">
        <v>1912</v>
      </c>
      <c r="L313" s="2" t="s">
        <v>1571</v>
      </c>
      <c r="M313" s="2" t="s">
        <v>1609</v>
      </c>
      <c r="N313" s="2" t="s">
        <v>2122</v>
      </c>
      <c r="O313" s="2" t="s">
        <v>2434</v>
      </c>
      <c r="P313" s="65"/>
      <c r="Q313" s="65"/>
      <c r="R313" s="65" t="s">
        <v>2124</v>
      </c>
      <c r="S313" s="27" t="str">
        <f t="shared" ca="1" si="4"/>
        <v>تم الاصلاح</v>
      </c>
    </row>
    <row r="314" spans="1:19" ht="27.75" customHeight="1" thickTop="1" thickBot="1" x14ac:dyDescent="0.35">
      <c r="A314" s="8">
        <v>1208700040004</v>
      </c>
      <c r="B314" s="7" t="s">
        <v>410</v>
      </c>
      <c r="C314" s="7" t="s">
        <v>411</v>
      </c>
      <c r="D314" s="7">
        <v>2009</v>
      </c>
      <c r="E314" s="7" t="s">
        <v>19</v>
      </c>
      <c r="F314" s="7" t="s">
        <v>42</v>
      </c>
      <c r="G314" s="8" t="s">
        <v>412</v>
      </c>
      <c r="H314" s="7" t="s">
        <v>263</v>
      </c>
      <c r="I314" s="7" t="s">
        <v>270</v>
      </c>
      <c r="J314" s="66" t="s">
        <v>1557</v>
      </c>
      <c r="K314" s="66" t="s">
        <v>1548</v>
      </c>
      <c r="L314" s="66" t="s">
        <v>1571</v>
      </c>
      <c r="M314" s="66" t="s">
        <v>1609</v>
      </c>
      <c r="N314" s="69" t="s">
        <v>2122</v>
      </c>
      <c r="O314" s="66"/>
      <c r="P314" s="66"/>
      <c r="Q314" s="66"/>
      <c r="R314" s="65" t="s">
        <v>2124</v>
      </c>
      <c r="S314" s="27" t="e">
        <f t="shared" ca="1" si="4"/>
        <v>#VALUE!</v>
      </c>
    </row>
    <row r="315" spans="1:19" ht="27.75" customHeight="1" thickTop="1" thickBot="1" x14ac:dyDescent="0.35">
      <c r="A315" s="8">
        <v>1208700030004</v>
      </c>
      <c r="B315" s="7" t="s">
        <v>406</v>
      </c>
      <c r="C315" s="7" t="s">
        <v>407</v>
      </c>
      <c r="D315" s="7">
        <v>2008</v>
      </c>
      <c r="E315" s="7" t="s">
        <v>19</v>
      </c>
      <c r="F315" s="7" t="s">
        <v>408</v>
      </c>
      <c r="G315" s="8" t="s">
        <v>409</v>
      </c>
      <c r="H315" s="7" t="s">
        <v>263</v>
      </c>
      <c r="I315" s="7" t="s">
        <v>270</v>
      </c>
      <c r="J315" s="65" t="s">
        <v>1557</v>
      </c>
      <c r="K315" s="11" t="s">
        <v>1912</v>
      </c>
      <c r="L315" s="2" t="s">
        <v>1571</v>
      </c>
      <c r="M315" s="2" t="s">
        <v>1609</v>
      </c>
      <c r="N315" s="2" t="s">
        <v>2122</v>
      </c>
      <c r="O315" s="2" t="s">
        <v>2434</v>
      </c>
      <c r="P315" s="65"/>
      <c r="Q315" s="65"/>
      <c r="R315" s="65" t="s">
        <v>2124</v>
      </c>
      <c r="S315" s="27" t="str">
        <f t="shared" ca="1" si="4"/>
        <v>تم الاصلاح</v>
      </c>
    </row>
    <row r="316" spans="1:19" ht="27.75" customHeight="1" thickTop="1" thickBot="1" x14ac:dyDescent="0.35">
      <c r="A316" s="8">
        <v>1205700010002</v>
      </c>
      <c r="B316" s="7" t="s">
        <v>32</v>
      </c>
      <c r="C316" s="7" t="s">
        <v>735</v>
      </c>
      <c r="D316" s="7">
        <v>2006</v>
      </c>
      <c r="E316" s="7" t="s">
        <v>4</v>
      </c>
      <c r="F316" s="7" t="s">
        <v>20</v>
      </c>
      <c r="G316" s="8" t="s">
        <v>736</v>
      </c>
      <c r="H316" s="7" t="s">
        <v>723</v>
      </c>
      <c r="I316" s="7" t="s">
        <v>724</v>
      </c>
      <c r="J316" s="66" t="s">
        <v>1557</v>
      </c>
      <c r="K316" s="66" t="s">
        <v>1548</v>
      </c>
      <c r="L316" s="66" t="s">
        <v>1571</v>
      </c>
      <c r="M316" s="66" t="s">
        <v>1609</v>
      </c>
      <c r="N316" s="69" t="s">
        <v>2122</v>
      </c>
      <c r="O316" s="66"/>
      <c r="P316" s="66"/>
      <c r="Q316" s="66"/>
      <c r="R316" s="65" t="s">
        <v>2124</v>
      </c>
      <c r="S316" s="27" t="e">
        <f t="shared" ca="1" si="4"/>
        <v>#VALUE!</v>
      </c>
    </row>
    <row r="317" spans="1:19" ht="27.75" customHeight="1" thickTop="1" thickBot="1" x14ac:dyDescent="0.35">
      <c r="A317" s="8">
        <v>1205700030007</v>
      </c>
      <c r="B317" s="7" t="s">
        <v>701</v>
      </c>
      <c r="C317" s="7" t="s">
        <v>702</v>
      </c>
      <c r="D317" s="7">
        <v>2013</v>
      </c>
      <c r="E317" s="7" t="s">
        <v>9</v>
      </c>
      <c r="F317" s="7" t="s">
        <v>236</v>
      </c>
      <c r="G317" s="8" t="s">
        <v>703</v>
      </c>
      <c r="H317" s="7" t="s">
        <v>263</v>
      </c>
      <c r="I317" s="7" t="s">
        <v>632</v>
      </c>
      <c r="J317" s="65" t="s">
        <v>1557</v>
      </c>
      <c r="K317" s="65" t="s">
        <v>1548</v>
      </c>
      <c r="L317" s="65" t="s">
        <v>1571</v>
      </c>
      <c r="M317" s="65" t="s">
        <v>1609</v>
      </c>
      <c r="N317" s="64" t="s">
        <v>2122</v>
      </c>
      <c r="O317" s="65"/>
      <c r="P317" s="65"/>
      <c r="Q317" s="65"/>
      <c r="R317" s="65" t="s">
        <v>2124</v>
      </c>
      <c r="S317" s="27" t="e">
        <f t="shared" ca="1" si="4"/>
        <v>#VALUE!</v>
      </c>
    </row>
    <row r="318" spans="1:19" ht="27.75" customHeight="1" thickTop="1" thickBot="1" x14ac:dyDescent="0.35">
      <c r="A318" s="8">
        <v>1207700010001</v>
      </c>
      <c r="B318" s="7" t="s">
        <v>391</v>
      </c>
      <c r="C318" s="7" t="s">
        <v>392</v>
      </c>
      <c r="D318" s="7">
        <v>1981</v>
      </c>
      <c r="E318" s="7" t="s">
        <v>393</v>
      </c>
      <c r="F318" s="7" t="s">
        <v>394</v>
      </c>
      <c r="G318" s="8">
        <v>34631154799996</v>
      </c>
      <c r="H318" s="7" t="s">
        <v>263</v>
      </c>
      <c r="I318" s="7" t="s">
        <v>270</v>
      </c>
      <c r="J318" s="66" t="s">
        <v>1557</v>
      </c>
      <c r="K318" s="66" t="s">
        <v>1548</v>
      </c>
      <c r="L318" s="66" t="s">
        <v>1571</v>
      </c>
      <c r="M318" s="66" t="s">
        <v>1609</v>
      </c>
      <c r="N318" s="69" t="s">
        <v>2122</v>
      </c>
      <c r="O318" s="66"/>
      <c r="P318" s="66"/>
      <c r="Q318" s="66"/>
      <c r="R318" s="66" t="s">
        <v>2124</v>
      </c>
      <c r="S318" s="27" t="e">
        <f t="shared" ca="1" si="4"/>
        <v>#VALUE!</v>
      </c>
    </row>
    <row r="319" spans="1:19" ht="27.75" customHeight="1" thickTop="1" thickBot="1" x14ac:dyDescent="0.35">
      <c r="A319" s="8">
        <v>1207700010001</v>
      </c>
      <c r="B319" s="7" t="s">
        <v>391</v>
      </c>
      <c r="C319" s="7" t="s">
        <v>1453</v>
      </c>
      <c r="D319" s="7">
        <v>1989</v>
      </c>
      <c r="E319" s="7" t="s">
        <v>393</v>
      </c>
      <c r="F319" s="7" t="s">
        <v>394</v>
      </c>
      <c r="G319" s="8">
        <v>43700855346031</v>
      </c>
      <c r="H319" s="7" t="s">
        <v>263</v>
      </c>
      <c r="I319" s="7" t="s">
        <v>270</v>
      </c>
      <c r="J319" s="65" t="s">
        <v>1557</v>
      </c>
      <c r="K319" s="65" t="s">
        <v>1548</v>
      </c>
      <c r="L319" s="65" t="s">
        <v>1571</v>
      </c>
      <c r="M319" s="65" t="s">
        <v>1609</v>
      </c>
      <c r="N319" s="64" t="s">
        <v>2122</v>
      </c>
      <c r="O319" s="65"/>
      <c r="P319" s="65"/>
      <c r="Q319" s="65"/>
      <c r="R319" s="65" t="s">
        <v>2124</v>
      </c>
      <c r="S319" s="27" t="e">
        <f t="shared" ca="1" si="4"/>
        <v>#VALUE!</v>
      </c>
    </row>
    <row r="320" spans="1:19" ht="27.75" customHeight="1" thickTop="1" thickBot="1" x14ac:dyDescent="0.35">
      <c r="A320" s="8">
        <v>1207700020001</v>
      </c>
      <c r="B320" s="7" t="s">
        <v>704</v>
      </c>
      <c r="C320" s="7" t="s">
        <v>705</v>
      </c>
      <c r="D320" s="7">
        <v>1989</v>
      </c>
      <c r="E320" s="7" t="s">
        <v>706</v>
      </c>
      <c r="F320" s="7" t="s">
        <v>104</v>
      </c>
      <c r="G320" s="8">
        <v>39904755346001</v>
      </c>
      <c r="H320" s="7" t="s">
        <v>263</v>
      </c>
      <c r="I320" s="7" t="s">
        <v>632</v>
      </c>
      <c r="J320" s="66" t="s">
        <v>1557</v>
      </c>
      <c r="K320" s="11" t="s">
        <v>1912</v>
      </c>
      <c r="L320" s="2" t="s">
        <v>1571</v>
      </c>
      <c r="M320" s="2" t="s">
        <v>2129</v>
      </c>
      <c r="N320" s="2" t="s">
        <v>2122</v>
      </c>
      <c r="O320" s="2" t="s">
        <v>2434</v>
      </c>
      <c r="P320" s="66"/>
      <c r="Q320" s="66"/>
      <c r="R320" s="66" t="s">
        <v>2124</v>
      </c>
      <c r="S320" s="27" t="str">
        <f t="shared" ca="1" si="4"/>
        <v>تم الاصلاح</v>
      </c>
    </row>
    <row r="321" spans="1:19" ht="27.75" customHeight="1" thickTop="1" thickBot="1" x14ac:dyDescent="0.35">
      <c r="A321" s="75">
        <v>1101700010006</v>
      </c>
      <c r="B321" s="7" t="s">
        <v>2075</v>
      </c>
      <c r="C321" s="7" t="s">
        <v>108</v>
      </c>
      <c r="D321" s="7">
        <v>2015</v>
      </c>
      <c r="E321" s="7" t="s">
        <v>19</v>
      </c>
      <c r="F321" s="7" t="s">
        <v>52</v>
      </c>
      <c r="G321" s="8" t="s">
        <v>109</v>
      </c>
      <c r="H321" s="7" t="s">
        <v>35</v>
      </c>
      <c r="I321" s="7" t="s">
        <v>107</v>
      </c>
      <c r="J321" s="65" t="s">
        <v>1471</v>
      </c>
      <c r="K321" s="65" t="s">
        <v>1548</v>
      </c>
      <c r="L321" s="65" t="s">
        <v>1564</v>
      </c>
      <c r="M321" s="65" t="s">
        <v>2140</v>
      </c>
      <c r="N321" s="64" t="s">
        <v>2139</v>
      </c>
      <c r="O321" s="65"/>
      <c r="P321" s="65" t="s">
        <v>1471</v>
      </c>
      <c r="Q321" s="65" t="s">
        <v>1995</v>
      </c>
      <c r="R321" s="65"/>
      <c r="S321" s="27" t="e">
        <f t="shared" ca="1" si="4"/>
        <v>#VALUE!</v>
      </c>
    </row>
    <row r="322" spans="1:19" ht="27.75" customHeight="1" thickTop="1" thickBot="1" x14ac:dyDescent="0.35">
      <c r="A322" s="75">
        <v>1101700010006</v>
      </c>
      <c r="B322" s="7" t="s">
        <v>2075</v>
      </c>
      <c r="C322" s="7" t="s">
        <v>742</v>
      </c>
      <c r="D322" s="7">
        <v>2015</v>
      </c>
      <c r="E322" s="7" t="s">
        <v>19</v>
      </c>
      <c r="F322" s="7" t="s">
        <v>52</v>
      </c>
      <c r="G322" s="8" t="s">
        <v>743</v>
      </c>
      <c r="H322" s="7" t="s">
        <v>35</v>
      </c>
      <c r="I322" s="7" t="s">
        <v>741</v>
      </c>
      <c r="J322" s="2" t="s">
        <v>1487</v>
      </c>
      <c r="K322" s="11" t="s">
        <v>1912</v>
      </c>
      <c r="L322" s="2" t="s">
        <v>1565</v>
      </c>
      <c r="M322" s="2" t="s">
        <v>2471</v>
      </c>
      <c r="N322" s="2" t="s">
        <v>2472</v>
      </c>
      <c r="O322" s="2" t="s">
        <v>2478</v>
      </c>
      <c r="P322" s="66" t="s">
        <v>2034</v>
      </c>
      <c r="Q322" s="66" t="s">
        <v>2039</v>
      </c>
      <c r="R322" s="66"/>
      <c r="S322" s="27" t="str">
        <f t="shared" ca="1" si="4"/>
        <v>تم الاصلاح</v>
      </c>
    </row>
    <row r="323" spans="1:19" ht="27.75" customHeight="1" thickTop="1" thickBot="1" x14ac:dyDescent="0.35">
      <c r="A323" s="8">
        <v>1201700020002</v>
      </c>
      <c r="B323" s="7" t="s">
        <v>1375</v>
      </c>
      <c r="C323" s="7" t="s">
        <v>1381</v>
      </c>
      <c r="D323" s="7">
        <v>2015</v>
      </c>
      <c r="E323" s="7" t="s">
        <v>19</v>
      </c>
      <c r="F323" s="7" t="s">
        <v>1377</v>
      </c>
      <c r="G323" s="8" t="s">
        <v>1382</v>
      </c>
      <c r="H323" s="7" t="s">
        <v>263</v>
      </c>
      <c r="I323" s="7" t="s">
        <v>1225</v>
      </c>
      <c r="J323" s="2" t="s">
        <v>1537</v>
      </c>
      <c r="K323" s="11" t="s">
        <v>1912</v>
      </c>
      <c r="L323" s="2" t="s">
        <v>1613</v>
      </c>
      <c r="M323" s="2" t="s">
        <v>1613</v>
      </c>
      <c r="N323" s="2" t="s">
        <v>2529</v>
      </c>
      <c r="O323" s="2" t="s">
        <v>2534</v>
      </c>
      <c r="P323" s="65" t="s">
        <v>1537</v>
      </c>
      <c r="Q323" s="65" t="s">
        <v>2040</v>
      </c>
      <c r="R323" s="65"/>
      <c r="S323" s="27" t="str">
        <f t="shared" ca="1" si="4"/>
        <v>تم الاصلاح</v>
      </c>
    </row>
    <row r="324" spans="1:19" ht="27.75" customHeight="1" thickTop="1" thickBot="1" x14ac:dyDescent="0.35">
      <c r="A324" s="8">
        <v>1207700040004</v>
      </c>
      <c r="B324" s="7" t="s">
        <v>395</v>
      </c>
      <c r="C324" s="7" t="s">
        <v>1411</v>
      </c>
      <c r="D324" s="7">
        <v>2018</v>
      </c>
      <c r="E324" s="7" t="s">
        <v>19</v>
      </c>
      <c r="F324" s="7" t="s">
        <v>397</v>
      </c>
      <c r="G324" s="8" t="s">
        <v>1412</v>
      </c>
      <c r="H324" s="7" t="s">
        <v>263</v>
      </c>
      <c r="I324" s="7" t="s">
        <v>1225</v>
      </c>
      <c r="J324" s="66" t="s">
        <v>1498</v>
      </c>
      <c r="K324" s="80" t="s">
        <v>1912</v>
      </c>
      <c r="L324" s="66"/>
      <c r="M324" s="2"/>
      <c r="N324" s="2"/>
      <c r="O324" s="66" t="s">
        <v>2245</v>
      </c>
      <c r="P324" s="66" t="s">
        <v>2024</v>
      </c>
      <c r="Q324" s="66" t="s">
        <v>2025</v>
      </c>
      <c r="R324" s="66"/>
      <c r="S324" s="27" t="str">
        <f t="shared" ca="1" si="4"/>
        <v>تم الاصلاح</v>
      </c>
    </row>
    <row r="325" spans="1:19" ht="27.75" customHeight="1" thickTop="1" thickBot="1" x14ac:dyDescent="0.35">
      <c r="A325" s="8">
        <v>1206700030002</v>
      </c>
      <c r="B325" s="7" t="s">
        <v>1216</v>
      </c>
      <c r="C325" s="7" t="s">
        <v>1217</v>
      </c>
      <c r="D325" s="7">
        <v>2002</v>
      </c>
      <c r="E325" s="7" t="s">
        <v>4</v>
      </c>
      <c r="F325" s="7" t="s">
        <v>739</v>
      </c>
      <c r="G325" s="8" t="s">
        <v>1218</v>
      </c>
      <c r="H325" s="7" t="s">
        <v>35</v>
      </c>
      <c r="I325" s="7" t="s">
        <v>1199</v>
      </c>
      <c r="J325" s="65" t="s">
        <v>1544</v>
      </c>
      <c r="K325" s="11" t="s">
        <v>2098</v>
      </c>
      <c r="L325" s="2"/>
      <c r="M325" s="2"/>
      <c r="N325" s="2"/>
      <c r="O325" s="2" t="s">
        <v>2385</v>
      </c>
      <c r="P325" s="65" t="s">
        <v>2053</v>
      </c>
      <c r="Q325" s="65"/>
      <c r="R325" s="65"/>
      <c r="S325" s="27" t="str">
        <f t="shared" ca="1" si="4"/>
        <v>تم الاصلاح</v>
      </c>
    </row>
    <row r="326" spans="1:19" ht="27.75" customHeight="1" thickTop="1" thickBot="1" x14ac:dyDescent="0.35">
      <c r="A326" s="74">
        <v>1105700150003</v>
      </c>
      <c r="B326" s="7" t="s">
        <v>1200</v>
      </c>
      <c r="C326" s="7" t="s">
        <v>1201</v>
      </c>
      <c r="D326" s="7">
        <v>2005</v>
      </c>
      <c r="E326" s="7" t="s">
        <v>19</v>
      </c>
      <c r="F326" s="7" t="s">
        <v>42</v>
      </c>
      <c r="G326" s="8" t="s">
        <v>1202</v>
      </c>
      <c r="H326" s="7" t="s">
        <v>35</v>
      </c>
      <c r="I326" s="7" t="s">
        <v>1199</v>
      </c>
      <c r="J326" s="2" t="s">
        <v>1493</v>
      </c>
      <c r="K326" s="11" t="s">
        <v>1912</v>
      </c>
      <c r="L326" s="2"/>
      <c r="M326" s="2" t="s">
        <v>2148</v>
      </c>
      <c r="N326" s="2" t="s">
        <v>2147</v>
      </c>
      <c r="O326" s="2" t="s">
        <v>2413</v>
      </c>
      <c r="P326" s="66" t="s">
        <v>2045</v>
      </c>
      <c r="Q326" s="66" t="s">
        <v>2046</v>
      </c>
      <c r="R326" s="66"/>
      <c r="S326" s="27" t="str">
        <f t="shared" ca="1" si="4"/>
        <v>تم الاصلاح</v>
      </c>
    </row>
    <row r="327" spans="1:19" ht="27.75" customHeight="1" thickTop="1" thickBot="1" x14ac:dyDescent="0.35">
      <c r="A327" s="74">
        <v>1105700010004</v>
      </c>
      <c r="B327" s="83" t="s">
        <v>454</v>
      </c>
      <c r="C327" s="7" t="s">
        <v>469</v>
      </c>
      <c r="D327" s="7">
        <v>2015</v>
      </c>
      <c r="E327" s="7" t="s">
        <v>19</v>
      </c>
      <c r="F327" s="7" t="s">
        <v>42</v>
      </c>
      <c r="G327" s="8" t="s">
        <v>470</v>
      </c>
      <c r="H327" s="7" t="s">
        <v>263</v>
      </c>
      <c r="I327" s="7" t="s">
        <v>465</v>
      </c>
      <c r="J327" s="2" t="s">
        <v>1487</v>
      </c>
      <c r="K327" s="11" t="s">
        <v>1912</v>
      </c>
      <c r="L327" s="2" t="s">
        <v>1565</v>
      </c>
      <c r="M327" s="2" t="s">
        <v>2429</v>
      </c>
      <c r="N327" s="2" t="s">
        <v>2430</v>
      </c>
      <c r="O327" s="2" t="s">
        <v>2433</v>
      </c>
      <c r="P327" s="65" t="s">
        <v>2034</v>
      </c>
      <c r="Q327" s="65" t="s">
        <v>2039</v>
      </c>
      <c r="R327" s="27" t="str" cm="1">
        <f t="array" ref="R327">IF(
   A327="",
   "",
   _xlfn.LET(
      _xlpm.result,
      IFERROR(
         _xlfn.XLOOKUP(
            1,
            (Table8[رقم الصنف]=A327) *
            (IF($B$9="الكل",1, YEAR('ادخال البيانات'!$N$3:$N$1164) = VALUE($B$9))) *
            (IF($B$10="الكل",1, MONTH('ادخال البيانات'!$N$3:$N$1164) = VALUE($B$10))) *
            (IF($B$11="الكل",1, INT((DAY('ادخال البيانات'!$N$3:$N$1164) - 1) / 7) + 1 = VALUE($B$11))),
            Table8[ملاحظة]
         ),
         ""
      ),
      IF(_xlpm.result="", "", _xlpm.result)
   )
)</f>
        <v/>
      </c>
      <c r="S327" s="27" t="str">
        <f t="shared" ca="1" si="4"/>
        <v>تم الاصلاح</v>
      </c>
    </row>
    <row r="328" spans="1:19" ht="27.75" customHeight="1" thickTop="1" thickBot="1" x14ac:dyDescent="0.35">
      <c r="A328" s="58">
        <v>1106700020003</v>
      </c>
      <c r="B328" s="7" t="s">
        <v>54</v>
      </c>
      <c r="C328" s="7" t="s">
        <v>749</v>
      </c>
      <c r="D328" s="70">
        <v>2014</v>
      </c>
      <c r="E328" s="7" t="s">
        <v>19</v>
      </c>
      <c r="F328" s="7" t="s">
        <v>56</v>
      </c>
      <c r="G328" s="8" t="s">
        <v>750</v>
      </c>
      <c r="H328" s="7" t="s">
        <v>35</v>
      </c>
      <c r="I328" s="7" t="s">
        <v>746</v>
      </c>
      <c r="J328" s="66" t="s">
        <v>1487</v>
      </c>
      <c r="K328" s="11" t="s">
        <v>1912</v>
      </c>
      <c r="L328" s="2"/>
      <c r="M328" s="2"/>
      <c r="N328" s="2"/>
      <c r="O328" s="2" t="s">
        <v>2395</v>
      </c>
      <c r="P328" s="66" t="s">
        <v>2034</v>
      </c>
      <c r="Q328" s="66" t="s">
        <v>2036</v>
      </c>
      <c r="R328" s="66"/>
      <c r="S328" s="27" t="str">
        <f t="shared" ca="1" si="4"/>
        <v>تم الاصلاح</v>
      </c>
    </row>
    <row r="329" spans="1:19" ht="27.75" customHeight="1" thickTop="1" thickBot="1" x14ac:dyDescent="0.35">
      <c r="A329" s="8">
        <v>1101700010006</v>
      </c>
      <c r="B329" s="7" t="s">
        <v>50</v>
      </c>
      <c r="C329" s="7" t="s">
        <v>1232</v>
      </c>
      <c r="D329" s="7">
        <v>2010</v>
      </c>
      <c r="E329" s="7" t="s">
        <v>19</v>
      </c>
      <c r="F329" s="7" t="s">
        <v>52</v>
      </c>
      <c r="G329" s="8" t="s">
        <v>1233</v>
      </c>
      <c r="H329" s="7" t="s">
        <v>263</v>
      </c>
      <c r="I329" s="7" t="s">
        <v>1225</v>
      </c>
      <c r="J329" s="2" t="s">
        <v>1471</v>
      </c>
      <c r="K329" s="2" t="s">
        <v>1548</v>
      </c>
      <c r="L329" s="2" t="s">
        <v>1565</v>
      </c>
      <c r="M329" s="2" t="s">
        <v>2695</v>
      </c>
      <c r="N329" s="2" t="s">
        <v>2694</v>
      </c>
      <c r="O329" s="2" t="s">
        <v>2672</v>
      </c>
      <c r="P329" s="65" t="s">
        <v>1471</v>
      </c>
      <c r="Q329" s="65" t="s">
        <v>1995</v>
      </c>
      <c r="R329" s="65"/>
      <c r="S329" s="27" t="str">
        <f t="shared" ca="1" si="4"/>
        <v>تم الاصلاح</v>
      </c>
    </row>
    <row r="330" spans="1:19" ht="27.75" customHeight="1" thickTop="1" thickBot="1" x14ac:dyDescent="0.35">
      <c r="A330" s="58">
        <v>1106700020003</v>
      </c>
      <c r="B330" s="7" t="s">
        <v>54</v>
      </c>
      <c r="C330" s="7" t="s">
        <v>830</v>
      </c>
      <c r="D330" s="70">
        <v>2015</v>
      </c>
      <c r="E330" s="7" t="s">
        <v>19</v>
      </c>
      <c r="F330" s="7" t="s">
        <v>56</v>
      </c>
      <c r="G330" s="8" t="s">
        <v>831</v>
      </c>
      <c r="H330" s="7" t="s">
        <v>35</v>
      </c>
      <c r="I330" s="7" t="s">
        <v>827</v>
      </c>
      <c r="J330" s="66" t="s">
        <v>1531</v>
      </c>
      <c r="K330" s="80" t="s">
        <v>1912</v>
      </c>
      <c r="L330" s="66"/>
      <c r="M330" s="2"/>
      <c r="N330" s="2"/>
      <c r="O330" s="66" t="s">
        <v>2158</v>
      </c>
      <c r="P330" s="66" t="s">
        <v>1531</v>
      </c>
      <c r="Q330" s="66" t="s">
        <v>2020</v>
      </c>
      <c r="R330" s="66"/>
      <c r="S330" s="27" t="str">
        <f t="shared" ca="1" si="4"/>
        <v>تم الاصلاح</v>
      </c>
    </row>
    <row r="331" spans="1:19" ht="27.75" customHeight="1" thickTop="1" thickBot="1" x14ac:dyDescent="0.35">
      <c r="A331" s="8">
        <v>1204700020003</v>
      </c>
      <c r="B331" s="7" t="s">
        <v>13</v>
      </c>
      <c r="C331" s="90" t="s">
        <v>447</v>
      </c>
      <c r="D331" s="7">
        <v>2010</v>
      </c>
      <c r="E331" s="7" t="s">
        <v>19</v>
      </c>
      <c r="F331" s="96" t="s">
        <v>5</v>
      </c>
      <c r="G331" s="8" t="s">
        <v>448</v>
      </c>
      <c r="H331" s="7" t="s">
        <v>263</v>
      </c>
      <c r="I331" s="7" t="s">
        <v>430</v>
      </c>
      <c r="J331" s="110" t="s">
        <v>1506</v>
      </c>
      <c r="K331" s="11" t="s">
        <v>1912</v>
      </c>
      <c r="L331" s="2"/>
      <c r="M331" s="2" t="s">
        <v>1903</v>
      </c>
      <c r="N331" s="2" t="s">
        <v>2155</v>
      </c>
      <c r="O331" s="2" t="s">
        <v>2433</v>
      </c>
      <c r="P331" s="65" t="s">
        <v>1506</v>
      </c>
      <c r="Q331" s="65" t="s">
        <v>2004</v>
      </c>
      <c r="R331" s="2" t="s">
        <v>2156</v>
      </c>
      <c r="S331" s="27" t="str">
        <f t="shared" ref="S331:S394" ca="1" si="5">IF(
   OR(K331="تم الاصلاح", O331&lt;&gt;""),
   "تم الاصلاح",
   IF(N331="", "", TODAY()-N331)
)</f>
        <v>تم الاصلاح</v>
      </c>
    </row>
    <row r="332" spans="1:19" ht="27.75" customHeight="1" thickTop="1" thickBot="1" x14ac:dyDescent="0.35">
      <c r="A332" s="8">
        <v>1102700020004</v>
      </c>
      <c r="B332" s="7" t="s">
        <v>136</v>
      </c>
      <c r="C332" s="7" t="s">
        <v>286</v>
      </c>
      <c r="D332" s="7">
        <v>2013</v>
      </c>
      <c r="E332" s="7" t="s">
        <v>19</v>
      </c>
      <c r="F332" s="7" t="s">
        <v>66</v>
      </c>
      <c r="G332" s="8" t="s">
        <v>287</v>
      </c>
      <c r="H332" s="7" t="s">
        <v>263</v>
      </c>
      <c r="I332" s="7" t="s">
        <v>270</v>
      </c>
      <c r="J332" s="66" t="s">
        <v>1549</v>
      </c>
      <c r="K332" s="66" t="s">
        <v>1548</v>
      </c>
      <c r="L332" s="66" t="s">
        <v>1564</v>
      </c>
      <c r="M332" s="66" t="s">
        <v>2090</v>
      </c>
      <c r="N332" s="69" t="s">
        <v>2159</v>
      </c>
      <c r="O332" s="66"/>
      <c r="P332" s="66" t="s">
        <v>1471</v>
      </c>
      <c r="Q332" s="66" t="s">
        <v>1994</v>
      </c>
      <c r="R332" s="66"/>
      <c r="S332" s="27" t="e">
        <f t="shared" ca="1" si="5"/>
        <v>#VALUE!</v>
      </c>
    </row>
    <row r="333" spans="1:19" ht="27.75" customHeight="1" thickTop="1" thickBot="1" x14ac:dyDescent="0.35">
      <c r="A333" s="8">
        <v>1204700020003</v>
      </c>
      <c r="B333" s="7" t="s">
        <v>13</v>
      </c>
      <c r="C333" s="7" t="s">
        <v>141</v>
      </c>
      <c r="D333" s="7">
        <v>2001</v>
      </c>
      <c r="E333" s="91" t="s">
        <v>19</v>
      </c>
      <c r="F333" s="96" t="s">
        <v>10</v>
      </c>
      <c r="G333" s="8" t="s">
        <v>142</v>
      </c>
      <c r="H333" s="7" t="s">
        <v>35</v>
      </c>
      <c r="I333" s="7" t="s">
        <v>131</v>
      </c>
      <c r="J333" s="110" t="s">
        <v>1498</v>
      </c>
      <c r="K333" s="2" t="s">
        <v>1548</v>
      </c>
      <c r="L333" s="2" t="s">
        <v>1571</v>
      </c>
      <c r="M333" s="2" t="s">
        <v>2700</v>
      </c>
      <c r="N333" s="2" t="s">
        <v>2701</v>
      </c>
      <c r="O333" s="2" t="s">
        <v>2635</v>
      </c>
      <c r="P333" s="65" t="s">
        <v>2024</v>
      </c>
      <c r="Q333" s="65" t="s">
        <v>2028</v>
      </c>
      <c r="R333" s="65"/>
      <c r="S333" s="27" t="str">
        <f t="shared" ca="1" si="5"/>
        <v>تم الاصلاح</v>
      </c>
    </row>
    <row r="334" spans="1:19" ht="27.75" customHeight="1" thickTop="1" thickBot="1" x14ac:dyDescent="0.35">
      <c r="A334" s="8">
        <v>1102700020004</v>
      </c>
      <c r="B334" s="7" t="s">
        <v>136</v>
      </c>
      <c r="C334" s="7" t="s">
        <v>137</v>
      </c>
      <c r="D334" s="7">
        <v>2013</v>
      </c>
      <c r="E334" s="7" t="s">
        <v>19</v>
      </c>
      <c r="F334" s="7" t="s">
        <v>66</v>
      </c>
      <c r="G334" s="8" t="s">
        <v>138</v>
      </c>
      <c r="H334" s="7" t="s">
        <v>35</v>
      </c>
      <c r="I334" s="7" t="s">
        <v>131</v>
      </c>
      <c r="J334" s="2" t="s">
        <v>1498</v>
      </c>
      <c r="K334" s="11" t="s">
        <v>1912</v>
      </c>
      <c r="L334" s="2" t="s">
        <v>1571</v>
      </c>
      <c r="M334" s="2" t="s">
        <v>2483</v>
      </c>
      <c r="N334" s="2" t="s">
        <v>2480</v>
      </c>
      <c r="O334" s="2" t="s">
        <v>2492</v>
      </c>
      <c r="P334" s="66" t="s">
        <v>2024</v>
      </c>
      <c r="Q334" s="66" t="s">
        <v>2028</v>
      </c>
      <c r="R334" s="66"/>
      <c r="S334" s="27" t="str">
        <f t="shared" ca="1" si="5"/>
        <v>تم الاصلاح</v>
      </c>
    </row>
    <row r="335" spans="1:19" ht="27.75" customHeight="1" thickTop="1" thickBot="1" x14ac:dyDescent="0.35">
      <c r="A335" s="8">
        <v>1204700030001</v>
      </c>
      <c r="B335" s="7" t="s">
        <v>17</v>
      </c>
      <c r="C335" s="7" t="s">
        <v>695</v>
      </c>
      <c r="D335" s="7">
        <v>2009</v>
      </c>
      <c r="E335" s="7" t="s">
        <v>19</v>
      </c>
      <c r="F335" s="97" t="s">
        <v>384</v>
      </c>
      <c r="G335" s="8" t="s">
        <v>696</v>
      </c>
      <c r="H335" s="7" t="s">
        <v>263</v>
      </c>
      <c r="I335" s="7" t="s">
        <v>632</v>
      </c>
      <c r="J335" s="65" t="s">
        <v>1544</v>
      </c>
      <c r="K335" s="71" t="s">
        <v>1912</v>
      </c>
      <c r="L335" s="65"/>
      <c r="M335" s="65"/>
      <c r="N335" s="64"/>
      <c r="O335" s="65" t="s">
        <v>2169</v>
      </c>
      <c r="P335" s="65" t="s">
        <v>2053</v>
      </c>
      <c r="Q335" s="65"/>
      <c r="R335" s="65"/>
      <c r="S335" s="27" t="str">
        <f t="shared" ca="1" si="5"/>
        <v>تم الاصلاح</v>
      </c>
    </row>
    <row r="336" spans="1:19" ht="27.75" customHeight="1" thickTop="1" thickBot="1" x14ac:dyDescent="0.35">
      <c r="A336" s="8">
        <v>1204700020009</v>
      </c>
      <c r="B336" s="7" t="s">
        <v>29</v>
      </c>
      <c r="C336" s="7" t="s">
        <v>1191</v>
      </c>
      <c r="D336" s="7">
        <v>2016</v>
      </c>
      <c r="E336" s="7" t="s">
        <v>19</v>
      </c>
      <c r="F336" s="7" t="s">
        <v>261</v>
      </c>
      <c r="G336" s="8" t="s">
        <v>1192</v>
      </c>
      <c r="H336" s="7" t="s">
        <v>945</v>
      </c>
      <c r="I336" s="7" t="s">
        <v>1178</v>
      </c>
      <c r="J336" s="110" t="s">
        <v>1477</v>
      </c>
      <c r="K336" s="2" t="s">
        <v>1548</v>
      </c>
      <c r="L336" s="2" t="s">
        <v>1559</v>
      </c>
      <c r="M336" s="2" t="s">
        <v>1559</v>
      </c>
      <c r="N336" s="9" t="s">
        <v>2508</v>
      </c>
      <c r="O336" s="2" t="s">
        <v>2340</v>
      </c>
      <c r="P336" s="66" t="s">
        <v>1525</v>
      </c>
      <c r="Q336" s="66" t="s">
        <v>2014</v>
      </c>
      <c r="R336" s="66"/>
      <c r="S336" s="27" t="str">
        <f t="shared" ca="1" si="5"/>
        <v>تم الاصلاح</v>
      </c>
    </row>
    <row r="337" spans="1:19" ht="27.75" customHeight="1" thickTop="1" thickBot="1" x14ac:dyDescent="0.35">
      <c r="A337" s="74">
        <v>1209700010004</v>
      </c>
      <c r="B337" s="7" t="s">
        <v>413</v>
      </c>
      <c r="C337" s="7" t="s">
        <v>713</v>
      </c>
      <c r="D337" s="7">
        <v>2016</v>
      </c>
      <c r="E337" s="7" t="s">
        <v>19</v>
      </c>
      <c r="F337" s="7" t="s">
        <v>415</v>
      </c>
      <c r="G337" s="8" t="s">
        <v>714</v>
      </c>
      <c r="H337" s="7" t="s">
        <v>263</v>
      </c>
      <c r="I337" s="7" t="s">
        <v>632</v>
      </c>
      <c r="J337" s="65" t="s">
        <v>1544</v>
      </c>
      <c r="K337" s="11" t="s">
        <v>1912</v>
      </c>
      <c r="L337" s="2"/>
      <c r="M337" s="2"/>
      <c r="N337" s="2"/>
      <c r="O337" s="2" t="s">
        <v>2306</v>
      </c>
      <c r="P337" s="65" t="s">
        <v>2053</v>
      </c>
      <c r="Q337" s="65"/>
      <c r="R337" s="65"/>
      <c r="S337" s="27" t="str">
        <f t="shared" ca="1" si="5"/>
        <v>تم الاصلاح</v>
      </c>
    </row>
    <row r="338" spans="1:19" ht="27.75" customHeight="1" thickTop="1" thickBot="1" x14ac:dyDescent="0.35">
      <c r="A338" s="58">
        <v>1106700020003</v>
      </c>
      <c r="B338" s="7" t="s">
        <v>54</v>
      </c>
      <c r="C338" s="7" t="s">
        <v>978</v>
      </c>
      <c r="D338" s="70">
        <v>2015</v>
      </c>
      <c r="E338" s="7" t="s">
        <v>19</v>
      </c>
      <c r="F338" s="7" t="s">
        <v>56</v>
      </c>
      <c r="G338" s="8" t="s">
        <v>979</v>
      </c>
      <c r="H338" s="7" t="s">
        <v>35</v>
      </c>
      <c r="I338" s="7" t="s">
        <v>973</v>
      </c>
      <c r="J338" s="2" t="s">
        <v>1531</v>
      </c>
      <c r="K338" s="11" t="s">
        <v>1912</v>
      </c>
      <c r="L338" s="2" t="s">
        <v>1571</v>
      </c>
      <c r="M338" s="2" t="s">
        <v>2311</v>
      </c>
      <c r="N338" s="2" t="s">
        <v>2604</v>
      </c>
      <c r="O338" s="2" t="s">
        <v>2612</v>
      </c>
      <c r="P338" s="66" t="s">
        <v>1531</v>
      </c>
      <c r="Q338" s="66" t="s">
        <v>2022</v>
      </c>
      <c r="R338" s="66"/>
      <c r="S338" s="27" t="str">
        <f t="shared" ca="1" si="5"/>
        <v>تم الاصلاح</v>
      </c>
    </row>
    <row r="339" spans="1:19" ht="27.75" customHeight="1" thickTop="1" thickBot="1" x14ac:dyDescent="0.35">
      <c r="A339" s="8">
        <v>1204700010003</v>
      </c>
      <c r="B339" s="7" t="s">
        <v>96</v>
      </c>
      <c r="C339" s="90" t="s">
        <v>443</v>
      </c>
      <c r="D339" s="7">
        <v>2009</v>
      </c>
      <c r="E339" s="7" t="s">
        <v>19</v>
      </c>
      <c r="F339" s="96" t="s">
        <v>10</v>
      </c>
      <c r="G339" s="8" t="s">
        <v>444</v>
      </c>
      <c r="H339" s="7" t="s">
        <v>263</v>
      </c>
      <c r="I339" s="7" t="s">
        <v>430</v>
      </c>
      <c r="J339" s="110" t="s">
        <v>1506</v>
      </c>
      <c r="K339" s="2" t="s">
        <v>1548</v>
      </c>
      <c r="L339" s="2" t="s">
        <v>1613</v>
      </c>
      <c r="M339" s="2" t="s">
        <v>1627</v>
      </c>
      <c r="N339" s="9" t="s">
        <v>2492</v>
      </c>
      <c r="O339" s="2" t="s">
        <v>2313</v>
      </c>
      <c r="P339" s="65" t="s">
        <v>1506</v>
      </c>
      <c r="Q339" s="65" t="s">
        <v>2004</v>
      </c>
      <c r="R339" s="65"/>
      <c r="S339" s="27" t="str">
        <f t="shared" ca="1" si="5"/>
        <v>تم الاصلاح</v>
      </c>
    </row>
    <row r="340" spans="1:19" ht="27.75" customHeight="1" thickTop="1" thickBot="1" x14ac:dyDescent="0.35">
      <c r="A340" s="58">
        <v>1106700020003</v>
      </c>
      <c r="B340" s="7" t="s">
        <v>54</v>
      </c>
      <c r="C340" s="7" t="s">
        <v>55</v>
      </c>
      <c r="D340" s="70">
        <v>2013</v>
      </c>
      <c r="E340" s="7" t="s">
        <v>19</v>
      </c>
      <c r="F340" s="7" t="s">
        <v>56</v>
      </c>
      <c r="G340" s="8" t="s">
        <v>57</v>
      </c>
      <c r="H340" s="7" t="s">
        <v>35</v>
      </c>
      <c r="I340" s="7" t="s">
        <v>49</v>
      </c>
      <c r="J340" s="2" t="s">
        <v>1471</v>
      </c>
      <c r="K340" s="2" t="s">
        <v>1548</v>
      </c>
      <c r="L340" s="2" t="s">
        <v>1571</v>
      </c>
      <c r="M340" s="2" t="s">
        <v>2618</v>
      </c>
      <c r="N340" s="123" t="s">
        <v>2617</v>
      </c>
      <c r="O340" s="2" t="s">
        <v>2606</v>
      </c>
      <c r="P340" s="66" t="s">
        <v>1471</v>
      </c>
      <c r="Q340" s="66" t="s">
        <v>1994</v>
      </c>
      <c r="R340" s="66"/>
      <c r="S340" s="27" t="str">
        <f t="shared" ca="1" si="5"/>
        <v>تم الاصلاح</v>
      </c>
    </row>
    <row r="341" spans="1:19" ht="27.75" customHeight="1" thickTop="1" thickBot="1" x14ac:dyDescent="0.35">
      <c r="A341" s="8">
        <v>1106700020010</v>
      </c>
      <c r="B341" s="7" t="s">
        <v>210</v>
      </c>
      <c r="C341" s="7" t="s">
        <v>1369</v>
      </c>
      <c r="D341" s="7">
        <v>2006</v>
      </c>
      <c r="E341" s="7" t="s">
        <v>19</v>
      </c>
      <c r="F341" s="7" t="s">
        <v>571</v>
      </c>
      <c r="G341" s="8" t="s">
        <v>1370</v>
      </c>
      <c r="H341" s="7" t="s">
        <v>263</v>
      </c>
      <c r="I341" s="7" t="s">
        <v>1225</v>
      </c>
      <c r="J341" s="2" t="s">
        <v>1537</v>
      </c>
      <c r="K341" s="11" t="s">
        <v>1912</v>
      </c>
      <c r="L341" s="2" t="s">
        <v>1564</v>
      </c>
      <c r="M341" s="2" t="s">
        <v>1874</v>
      </c>
      <c r="N341" s="2" t="s">
        <v>2169</v>
      </c>
      <c r="O341" s="2" t="s">
        <v>2599</v>
      </c>
      <c r="P341" s="65" t="s">
        <v>2045</v>
      </c>
      <c r="Q341" s="65" t="s">
        <v>2048</v>
      </c>
      <c r="R341" s="65"/>
      <c r="S341" s="27" t="str">
        <f t="shared" ca="1" si="5"/>
        <v>تم الاصلاح</v>
      </c>
    </row>
    <row r="342" spans="1:19" ht="27.75" customHeight="1" thickTop="1" thickBot="1" x14ac:dyDescent="0.35">
      <c r="A342" s="8">
        <v>1204700020003</v>
      </c>
      <c r="B342" s="7" t="s">
        <v>13</v>
      </c>
      <c r="C342" s="90" t="s">
        <v>524</v>
      </c>
      <c r="D342" s="7">
        <v>2009</v>
      </c>
      <c r="E342" s="7" t="s">
        <v>19</v>
      </c>
      <c r="F342" s="96" t="s">
        <v>10</v>
      </c>
      <c r="G342" s="8" t="s">
        <v>525</v>
      </c>
      <c r="H342" s="7" t="s">
        <v>263</v>
      </c>
      <c r="I342" s="7" t="s">
        <v>509</v>
      </c>
      <c r="J342" s="110" t="s">
        <v>1477</v>
      </c>
      <c r="K342" s="2" t="s">
        <v>1548</v>
      </c>
      <c r="L342" s="2" t="s">
        <v>1571</v>
      </c>
      <c r="M342" s="2" t="s">
        <v>2632</v>
      </c>
      <c r="N342" s="123" t="s">
        <v>2630</v>
      </c>
      <c r="O342" s="2" t="s">
        <v>2565</v>
      </c>
      <c r="P342" s="66" t="s">
        <v>1477</v>
      </c>
      <c r="Q342" s="66" t="s">
        <v>1999</v>
      </c>
      <c r="R342" s="66"/>
      <c r="S342" s="27" t="str">
        <f t="shared" ca="1" si="5"/>
        <v>تم الاصلاح</v>
      </c>
    </row>
    <row r="343" spans="1:19" ht="27.75" customHeight="1" thickTop="1" thickBot="1" x14ac:dyDescent="0.35">
      <c r="A343" s="8">
        <v>1204700010003</v>
      </c>
      <c r="B343" s="7" t="s">
        <v>96</v>
      </c>
      <c r="C343" s="90" t="s">
        <v>518</v>
      </c>
      <c r="D343" s="7">
        <v>2002</v>
      </c>
      <c r="E343" s="7" t="s">
        <v>4</v>
      </c>
      <c r="F343" s="96" t="s">
        <v>15</v>
      </c>
      <c r="G343" s="8" t="s">
        <v>519</v>
      </c>
      <c r="H343" s="7" t="s">
        <v>263</v>
      </c>
      <c r="I343" s="7" t="s">
        <v>509</v>
      </c>
      <c r="J343" s="110" t="s">
        <v>1477</v>
      </c>
      <c r="K343" s="2" t="s">
        <v>1548</v>
      </c>
      <c r="L343" s="2" t="s">
        <v>1571</v>
      </c>
      <c r="M343" s="2" t="s">
        <v>2394</v>
      </c>
      <c r="N343" s="9" t="s">
        <v>2545</v>
      </c>
      <c r="O343" s="2" t="s">
        <v>2549</v>
      </c>
      <c r="P343" s="65" t="s">
        <v>1477</v>
      </c>
      <c r="Q343" s="65" t="s">
        <v>1999</v>
      </c>
      <c r="R343" s="65"/>
      <c r="S343" s="27" t="str">
        <f t="shared" ca="1" si="5"/>
        <v>تم الاصلاح</v>
      </c>
    </row>
    <row r="344" spans="1:19" ht="27.75" customHeight="1" thickTop="1" thickBot="1" x14ac:dyDescent="0.35">
      <c r="A344" s="8">
        <v>1204700030001</v>
      </c>
      <c r="B344" s="7" t="s">
        <v>17</v>
      </c>
      <c r="C344" s="7" t="s">
        <v>532</v>
      </c>
      <c r="D344" s="7">
        <v>2008</v>
      </c>
      <c r="E344" s="7" t="s">
        <v>19</v>
      </c>
      <c r="F344" s="97" t="s">
        <v>20</v>
      </c>
      <c r="G344" s="8" t="s">
        <v>533</v>
      </c>
      <c r="H344" s="7" t="s">
        <v>263</v>
      </c>
      <c r="I344" s="7" t="s">
        <v>509</v>
      </c>
      <c r="J344" s="66" t="s">
        <v>1477</v>
      </c>
      <c r="K344" s="66" t="s">
        <v>1548</v>
      </c>
      <c r="L344" s="66" t="s">
        <v>1571</v>
      </c>
      <c r="M344" s="66" t="s">
        <v>1609</v>
      </c>
      <c r="N344" s="69" t="s">
        <v>2171</v>
      </c>
      <c r="O344" s="66"/>
      <c r="P344" s="66" t="s">
        <v>1477</v>
      </c>
      <c r="Q344" s="66" t="s">
        <v>1999</v>
      </c>
      <c r="R344" s="66"/>
      <c r="S344" s="27" t="e">
        <f t="shared" ca="1" si="5"/>
        <v>#VALUE!</v>
      </c>
    </row>
    <row r="345" spans="1:19" ht="27.75" customHeight="1" thickTop="1" thickBot="1" x14ac:dyDescent="0.35">
      <c r="A345" s="8">
        <v>1106700020010</v>
      </c>
      <c r="B345" s="7" t="s">
        <v>210</v>
      </c>
      <c r="C345" s="7" t="s">
        <v>252</v>
      </c>
      <c r="D345" s="7">
        <v>2007</v>
      </c>
      <c r="E345" s="7" t="s">
        <v>19</v>
      </c>
      <c r="F345" s="7" t="s">
        <v>56</v>
      </c>
      <c r="G345" s="8" t="s">
        <v>253</v>
      </c>
      <c r="H345" s="7" t="s">
        <v>0</v>
      </c>
      <c r="I345" s="7" t="s">
        <v>240</v>
      </c>
      <c r="J345" s="65" t="s">
        <v>1543</v>
      </c>
      <c r="K345" s="65" t="s">
        <v>1548</v>
      </c>
      <c r="L345" s="65" t="s">
        <v>1571</v>
      </c>
      <c r="M345" s="65" t="s">
        <v>1609</v>
      </c>
      <c r="N345" s="64" t="s">
        <v>2174</v>
      </c>
      <c r="O345" s="65"/>
      <c r="P345" s="65" t="s">
        <v>2051</v>
      </c>
      <c r="Q345" s="65" t="s">
        <v>1543</v>
      </c>
      <c r="R345" s="65"/>
      <c r="S345" s="27" t="e">
        <f t="shared" ca="1" si="5"/>
        <v>#VALUE!</v>
      </c>
    </row>
    <row r="346" spans="1:19" ht="27.75" customHeight="1" thickTop="1" thickBot="1" x14ac:dyDescent="0.35">
      <c r="A346" s="8">
        <v>1105700160001</v>
      </c>
      <c r="B346" s="7" t="s">
        <v>438</v>
      </c>
      <c r="C346" s="7" t="s">
        <v>589</v>
      </c>
      <c r="D346" s="7">
        <v>2013</v>
      </c>
      <c r="E346" s="7" t="s">
        <v>19</v>
      </c>
      <c r="F346" s="97" t="s">
        <v>20</v>
      </c>
      <c r="G346" s="8" t="s">
        <v>590</v>
      </c>
      <c r="H346" s="7" t="s">
        <v>263</v>
      </c>
      <c r="I346" s="7" t="s">
        <v>583</v>
      </c>
      <c r="J346" s="2" t="s">
        <v>1513</v>
      </c>
      <c r="K346" s="11" t="s">
        <v>1912</v>
      </c>
      <c r="L346" s="2"/>
      <c r="M346" s="2"/>
      <c r="N346" s="2"/>
      <c r="O346" s="2" t="s">
        <v>2377</v>
      </c>
      <c r="P346" s="66" t="s">
        <v>1513</v>
      </c>
      <c r="Q346" s="66" t="s">
        <v>2029</v>
      </c>
      <c r="R346" s="66"/>
      <c r="S346" s="27" t="str">
        <f t="shared" ca="1" si="5"/>
        <v>تم الاصلاح</v>
      </c>
    </row>
    <row r="347" spans="1:19" ht="27.75" customHeight="1" thickTop="1" thickBot="1" x14ac:dyDescent="0.35">
      <c r="A347" s="58">
        <v>1106700020003</v>
      </c>
      <c r="B347" s="7" t="s">
        <v>54</v>
      </c>
      <c r="C347" s="7" t="s">
        <v>343</v>
      </c>
      <c r="D347" s="70">
        <v>2011</v>
      </c>
      <c r="E347" s="7" t="s">
        <v>19</v>
      </c>
      <c r="F347" s="7" t="s">
        <v>56</v>
      </c>
      <c r="G347" s="8" t="s">
        <v>344</v>
      </c>
      <c r="H347" s="7" t="s">
        <v>263</v>
      </c>
      <c r="I347" s="7" t="s">
        <v>270</v>
      </c>
      <c r="J347" s="2" t="s">
        <v>1544</v>
      </c>
      <c r="K347" s="11" t="s">
        <v>1912</v>
      </c>
      <c r="L347" s="2"/>
      <c r="M347" s="2" t="s">
        <v>2195</v>
      </c>
      <c r="N347" s="2" t="s">
        <v>2174</v>
      </c>
      <c r="O347" s="2" t="s">
        <v>2418</v>
      </c>
      <c r="P347" s="65" t="s">
        <v>1477</v>
      </c>
      <c r="Q347" s="65" t="s">
        <v>1999</v>
      </c>
      <c r="R347" s="65"/>
      <c r="S347" s="27" t="str">
        <f t="shared" ca="1" si="5"/>
        <v>تم الاصلاح</v>
      </c>
    </row>
    <row r="348" spans="1:19" ht="27.75" customHeight="1" thickTop="1" thickBot="1" x14ac:dyDescent="0.35">
      <c r="A348" s="75">
        <v>1101700010006</v>
      </c>
      <c r="B348" s="7" t="s">
        <v>2075</v>
      </c>
      <c r="C348" s="7" t="s">
        <v>821</v>
      </c>
      <c r="D348" s="7">
        <v>2013</v>
      </c>
      <c r="E348" s="7" t="s">
        <v>19</v>
      </c>
      <c r="F348" s="7" t="s">
        <v>52</v>
      </c>
      <c r="G348" s="8" t="s">
        <v>822</v>
      </c>
      <c r="H348" s="7" t="s">
        <v>35</v>
      </c>
      <c r="I348" s="7" t="s">
        <v>820</v>
      </c>
      <c r="J348" s="66" t="s">
        <v>1531</v>
      </c>
      <c r="K348" s="66"/>
      <c r="L348" s="66"/>
      <c r="M348" s="2"/>
      <c r="N348" s="2"/>
      <c r="O348" s="66" t="s">
        <v>2175</v>
      </c>
      <c r="P348" s="66" t="s">
        <v>1531</v>
      </c>
      <c r="Q348" s="66" t="s">
        <v>2019</v>
      </c>
      <c r="R348" s="66"/>
      <c r="S348" s="27" t="str">
        <f t="shared" ca="1" si="5"/>
        <v>تم الاصلاح</v>
      </c>
    </row>
    <row r="349" spans="1:19" ht="27.75" customHeight="1" thickTop="1" thickBot="1" x14ac:dyDescent="0.35">
      <c r="A349" s="8">
        <v>1106700010003</v>
      </c>
      <c r="B349" s="7" t="s">
        <v>102</v>
      </c>
      <c r="C349" s="7" t="s">
        <v>1445</v>
      </c>
      <c r="D349" s="7">
        <v>2002</v>
      </c>
      <c r="E349" s="7" t="s">
        <v>19</v>
      </c>
      <c r="F349" s="7" t="s">
        <v>104</v>
      </c>
      <c r="G349" s="8" t="s">
        <v>775</v>
      </c>
      <c r="H349" s="7" t="s">
        <v>35</v>
      </c>
      <c r="I349" s="7" t="s">
        <v>770</v>
      </c>
      <c r="J349" s="65" t="s">
        <v>1506</v>
      </c>
      <c r="K349" s="71" t="s">
        <v>1912</v>
      </c>
      <c r="L349" s="2"/>
      <c r="M349" s="2"/>
      <c r="N349" s="2"/>
      <c r="O349" s="65" t="s">
        <v>2197</v>
      </c>
      <c r="P349" s="65" t="s">
        <v>1506</v>
      </c>
      <c r="Q349" s="65" t="s">
        <v>2005</v>
      </c>
      <c r="R349" s="65"/>
      <c r="S349" s="27" t="str">
        <f t="shared" ca="1" si="5"/>
        <v>تم الاصلاح</v>
      </c>
    </row>
    <row r="350" spans="1:19" ht="27.75" customHeight="1" thickTop="1" thickBot="1" x14ac:dyDescent="0.35">
      <c r="A350" s="74">
        <v>1101700040008</v>
      </c>
      <c r="B350" s="7" t="s">
        <v>619</v>
      </c>
      <c r="C350" s="7" t="s">
        <v>620</v>
      </c>
      <c r="D350" s="7">
        <v>2010</v>
      </c>
      <c r="E350" s="7" t="s">
        <v>19</v>
      </c>
      <c r="F350" s="7" t="s">
        <v>52</v>
      </c>
      <c r="G350" s="8" t="s">
        <v>621</v>
      </c>
      <c r="H350" s="7" t="s">
        <v>263</v>
      </c>
      <c r="I350" s="7" t="s">
        <v>618</v>
      </c>
      <c r="J350" s="66" t="s">
        <v>1537</v>
      </c>
      <c r="K350" s="80" t="s">
        <v>1912</v>
      </c>
      <c r="L350" s="66"/>
      <c r="M350" s="66"/>
      <c r="N350" s="69"/>
      <c r="O350" s="66" t="s">
        <v>2197</v>
      </c>
      <c r="P350" s="66" t="s">
        <v>1537</v>
      </c>
      <c r="Q350" s="66" t="s">
        <v>2040</v>
      </c>
      <c r="R350" s="66"/>
      <c r="S350" s="27" t="str">
        <f t="shared" ca="1" si="5"/>
        <v>تم الاصلاح</v>
      </c>
    </row>
    <row r="351" spans="1:19" ht="27.75" customHeight="1" thickTop="1" thickBot="1" x14ac:dyDescent="0.35">
      <c r="A351" s="8">
        <v>1105700080001</v>
      </c>
      <c r="B351" s="7" t="s">
        <v>302</v>
      </c>
      <c r="C351" s="7" t="s">
        <v>1309</v>
      </c>
      <c r="D351" s="7">
        <v>2011</v>
      </c>
      <c r="E351" s="7" t="s">
        <v>19</v>
      </c>
      <c r="F351" s="7" t="s">
        <v>304</v>
      </c>
      <c r="G351" s="8" t="s">
        <v>1310</v>
      </c>
      <c r="H351" s="7" t="s">
        <v>263</v>
      </c>
      <c r="I351" s="7" t="s">
        <v>1225</v>
      </c>
      <c r="J351" s="65" t="s">
        <v>1544</v>
      </c>
      <c r="K351" s="71" t="s">
        <v>1912</v>
      </c>
      <c r="L351" s="65"/>
      <c r="M351" s="2"/>
      <c r="N351" s="2"/>
      <c r="O351" s="65" t="s">
        <v>2196</v>
      </c>
      <c r="P351" s="65" t="s">
        <v>2053</v>
      </c>
      <c r="Q351" s="65"/>
      <c r="R351" s="65"/>
      <c r="S351" s="27" t="str">
        <f t="shared" ca="1" si="5"/>
        <v>تم الاصلاح</v>
      </c>
    </row>
    <row r="352" spans="1:19" ht="27.75" customHeight="1" thickTop="1" thickBot="1" x14ac:dyDescent="0.35">
      <c r="A352" s="8">
        <v>1109700010001</v>
      </c>
      <c r="B352" s="98" t="s">
        <v>360</v>
      </c>
      <c r="C352" s="7" t="s">
        <v>361</v>
      </c>
      <c r="D352" s="7">
        <v>1976</v>
      </c>
      <c r="E352" s="7" t="s">
        <v>19</v>
      </c>
      <c r="F352" s="7" t="s">
        <v>362</v>
      </c>
      <c r="G352" s="8" t="s">
        <v>363</v>
      </c>
      <c r="H352" s="7" t="s">
        <v>263</v>
      </c>
      <c r="I352" s="7" t="s">
        <v>270</v>
      </c>
      <c r="J352" s="66" t="s">
        <v>1544</v>
      </c>
      <c r="K352" s="66" t="s">
        <v>1548</v>
      </c>
      <c r="L352" s="66" t="s">
        <v>1564</v>
      </c>
      <c r="M352" s="2" t="s">
        <v>2190</v>
      </c>
      <c r="N352" s="2" t="s">
        <v>2188</v>
      </c>
      <c r="O352" s="66"/>
      <c r="P352" s="66" t="s">
        <v>2053</v>
      </c>
      <c r="Q352" s="66"/>
      <c r="R352" s="66"/>
      <c r="S352" s="27" t="e">
        <f t="shared" ca="1" si="5"/>
        <v>#VALUE!</v>
      </c>
    </row>
    <row r="353" spans="1:19" ht="27.75" customHeight="1" thickTop="1" thickBot="1" x14ac:dyDescent="0.35">
      <c r="A353" s="75">
        <v>1101700010006</v>
      </c>
      <c r="B353" s="7" t="s">
        <v>2075</v>
      </c>
      <c r="C353" s="7" t="s">
        <v>241</v>
      </c>
      <c r="D353" s="7">
        <v>2013</v>
      </c>
      <c r="E353" s="7" t="s">
        <v>19</v>
      </c>
      <c r="F353" s="7" t="s">
        <v>52</v>
      </c>
      <c r="G353" s="8" t="s">
        <v>242</v>
      </c>
      <c r="H353" s="7" t="s">
        <v>0</v>
      </c>
      <c r="I353" s="7" t="s">
        <v>240</v>
      </c>
      <c r="J353" s="2" t="s">
        <v>1543</v>
      </c>
      <c r="K353" s="11" t="s">
        <v>1912</v>
      </c>
      <c r="L353" s="2" t="s">
        <v>1571</v>
      </c>
      <c r="M353" s="2" t="s">
        <v>2200</v>
      </c>
      <c r="N353" s="2" t="s">
        <v>2197</v>
      </c>
      <c r="O353" s="2" t="s">
        <v>2448</v>
      </c>
      <c r="P353" s="65" t="s">
        <v>2051</v>
      </c>
      <c r="Q353" s="65" t="s">
        <v>1543</v>
      </c>
      <c r="R353" s="65"/>
      <c r="S353" s="27" t="str">
        <f t="shared" ca="1" si="5"/>
        <v>تم الاصلاح</v>
      </c>
    </row>
    <row r="354" spans="1:19" ht="27.75" customHeight="1" thickTop="1" thickBot="1" x14ac:dyDescent="0.35">
      <c r="A354" s="8">
        <v>1105700080001</v>
      </c>
      <c r="B354" s="7" t="s">
        <v>302</v>
      </c>
      <c r="C354" s="7" t="s">
        <v>1303</v>
      </c>
      <c r="D354" s="7">
        <v>2015</v>
      </c>
      <c r="E354" s="7" t="s">
        <v>19</v>
      </c>
      <c r="F354" s="7" t="s">
        <v>304</v>
      </c>
      <c r="G354" s="8" t="s">
        <v>1304</v>
      </c>
      <c r="H354" s="7" t="s">
        <v>263</v>
      </c>
      <c r="I354" s="7" t="s">
        <v>1225</v>
      </c>
      <c r="J354" s="2" t="s">
        <v>1544</v>
      </c>
      <c r="K354" s="11" t="s">
        <v>1912</v>
      </c>
      <c r="L354" s="2" t="s">
        <v>1564</v>
      </c>
      <c r="M354" s="2" t="s">
        <v>2202</v>
      </c>
      <c r="N354" s="2" t="s">
        <v>2198</v>
      </c>
      <c r="O354" s="2" t="s">
        <v>2615</v>
      </c>
      <c r="P354" s="66" t="s">
        <v>2053</v>
      </c>
      <c r="Q354" s="66"/>
      <c r="R354" s="66"/>
      <c r="S354" s="27" t="str">
        <f t="shared" ca="1" si="5"/>
        <v>تم الاصلاح</v>
      </c>
    </row>
    <row r="355" spans="1:19" ht="27.75" customHeight="1" thickTop="1" thickBot="1" x14ac:dyDescent="0.35">
      <c r="A355" s="8">
        <v>1204700020009</v>
      </c>
      <c r="B355" s="7" t="s">
        <v>29</v>
      </c>
      <c r="C355" s="7" t="s">
        <v>1099</v>
      </c>
      <c r="D355" s="7">
        <v>2016</v>
      </c>
      <c r="E355" s="7" t="s">
        <v>19</v>
      </c>
      <c r="F355" s="7" t="s">
        <v>261</v>
      </c>
      <c r="G355" s="8" t="s">
        <v>1100</v>
      </c>
      <c r="H355" s="7" t="s">
        <v>945</v>
      </c>
      <c r="I355" s="7" t="s">
        <v>1088</v>
      </c>
      <c r="J355" s="65" t="s">
        <v>1493</v>
      </c>
      <c r="K355" s="71" t="s">
        <v>1912</v>
      </c>
      <c r="L355" s="2"/>
      <c r="M355" s="2"/>
      <c r="N355" s="2"/>
      <c r="O355" s="65" t="s">
        <v>2233</v>
      </c>
      <c r="P355" s="65" t="s">
        <v>2045</v>
      </c>
      <c r="Q355" s="65" t="s">
        <v>2046</v>
      </c>
      <c r="R355" s="65"/>
      <c r="S355" s="27" t="str">
        <f t="shared" ca="1" si="5"/>
        <v>تم الاصلاح</v>
      </c>
    </row>
    <row r="356" spans="1:19" ht="27.75" customHeight="1" thickTop="1" thickBot="1" x14ac:dyDescent="0.35">
      <c r="A356" s="74">
        <v>1105700150012</v>
      </c>
      <c r="B356" s="7" t="s">
        <v>1203</v>
      </c>
      <c r="C356" s="7" t="s">
        <v>1204</v>
      </c>
      <c r="D356" s="7">
        <v>2021</v>
      </c>
      <c r="E356" s="7" t="s">
        <v>19</v>
      </c>
      <c r="F356" s="97" t="s">
        <v>42</v>
      </c>
      <c r="G356" s="101" t="s">
        <v>1205</v>
      </c>
      <c r="H356" s="7" t="s">
        <v>35</v>
      </c>
      <c r="I356" s="7" t="s">
        <v>1199</v>
      </c>
      <c r="J356" s="66" t="s">
        <v>1493</v>
      </c>
      <c r="K356" s="80" t="s">
        <v>1912</v>
      </c>
      <c r="L356" s="66"/>
      <c r="M356" s="2"/>
      <c r="N356" s="2"/>
      <c r="O356" s="66" t="s">
        <v>2222</v>
      </c>
      <c r="P356" s="66" t="s">
        <v>2045</v>
      </c>
      <c r="Q356" s="66" t="s">
        <v>2046</v>
      </c>
      <c r="R356" s="2" t="s">
        <v>2210</v>
      </c>
      <c r="S356" s="27" t="str">
        <f t="shared" ca="1" si="5"/>
        <v>تم الاصلاح</v>
      </c>
    </row>
    <row r="357" spans="1:19" ht="27.75" customHeight="1" thickTop="1" thickBot="1" x14ac:dyDescent="0.35">
      <c r="A357" s="8">
        <v>1303700010001</v>
      </c>
      <c r="B357" s="102" t="s">
        <v>421</v>
      </c>
      <c r="C357" s="7" t="s">
        <v>962</v>
      </c>
      <c r="D357" s="7">
        <v>2010</v>
      </c>
      <c r="E357" s="7" t="s">
        <v>4</v>
      </c>
      <c r="F357" s="7" t="s">
        <v>423</v>
      </c>
      <c r="G357" s="8" t="s">
        <v>963</v>
      </c>
      <c r="H357" s="7" t="s">
        <v>945</v>
      </c>
      <c r="I357" s="7" t="s">
        <v>946</v>
      </c>
      <c r="J357" s="2" t="s">
        <v>1506</v>
      </c>
      <c r="K357" s="2" t="s">
        <v>1548</v>
      </c>
      <c r="L357" s="2" t="s">
        <v>1569</v>
      </c>
      <c r="M357" s="2" t="s">
        <v>2211</v>
      </c>
      <c r="N357" s="2" t="s">
        <v>2163</v>
      </c>
      <c r="O357" s="65"/>
      <c r="P357" s="65"/>
      <c r="Q357" s="65"/>
      <c r="R357" s="2" t="s">
        <v>2212</v>
      </c>
      <c r="S357" s="27" t="e">
        <f t="shared" ca="1" si="5"/>
        <v>#VALUE!</v>
      </c>
    </row>
    <row r="358" spans="1:19" ht="27.75" customHeight="1" thickTop="1" thickBot="1" x14ac:dyDescent="0.35">
      <c r="A358" s="8">
        <v>1303700010001</v>
      </c>
      <c r="B358" s="102" t="s">
        <v>421</v>
      </c>
      <c r="C358" s="7" t="s">
        <v>964</v>
      </c>
      <c r="D358" s="7">
        <v>2010</v>
      </c>
      <c r="E358" s="7" t="s">
        <v>4</v>
      </c>
      <c r="F358" s="7" t="s">
        <v>423</v>
      </c>
      <c r="G358" s="8" t="s">
        <v>965</v>
      </c>
      <c r="H358" s="7" t="s">
        <v>945</v>
      </c>
      <c r="I358" s="7" t="s">
        <v>946</v>
      </c>
      <c r="J358" s="2" t="s">
        <v>1506</v>
      </c>
      <c r="K358" s="2" t="s">
        <v>1548</v>
      </c>
      <c r="L358" s="2" t="s">
        <v>1569</v>
      </c>
      <c r="M358" s="2" t="s">
        <v>2211</v>
      </c>
      <c r="N358" s="2" t="s">
        <v>2163</v>
      </c>
      <c r="O358" s="66"/>
      <c r="P358" s="66"/>
      <c r="Q358" s="66"/>
      <c r="R358" s="2" t="s">
        <v>2212</v>
      </c>
      <c r="S358" s="27" t="e">
        <f t="shared" ca="1" si="5"/>
        <v>#VALUE!</v>
      </c>
    </row>
    <row r="359" spans="1:19" ht="27.75" customHeight="1" thickTop="1" thickBot="1" x14ac:dyDescent="0.35">
      <c r="A359" s="8">
        <v>1303700010001</v>
      </c>
      <c r="B359" s="102" t="s">
        <v>421</v>
      </c>
      <c r="C359" s="7" t="s">
        <v>966</v>
      </c>
      <c r="D359" s="7">
        <v>2011</v>
      </c>
      <c r="E359" s="7" t="s">
        <v>4</v>
      </c>
      <c r="F359" s="7" t="s">
        <v>423</v>
      </c>
      <c r="G359" s="8" t="s">
        <v>967</v>
      </c>
      <c r="H359" s="7" t="s">
        <v>945</v>
      </c>
      <c r="I359" s="7" t="s">
        <v>946</v>
      </c>
      <c r="J359" s="2" t="s">
        <v>1506</v>
      </c>
      <c r="K359" s="2" t="s">
        <v>1548</v>
      </c>
      <c r="L359" s="2" t="s">
        <v>1569</v>
      </c>
      <c r="M359" s="2" t="s">
        <v>2211</v>
      </c>
      <c r="N359" s="2" t="s">
        <v>2163</v>
      </c>
      <c r="O359" s="65"/>
      <c r="P359" s="65"/>
      <c r="Q359" s="65"/>
      <c r="R359" s="2" t="s">
        <v>2212</v>
      </c>
      <c r="S359" s="27" t="e">
        <f t="shared" ca="1" si="5"/>
        <v>#VALUE!</v>
      </c>
    </row>
    <row r="360" spans="1:19" ht="27.75" customHeight="1" thickTop="1" thickBot="1" x14ac:dyDescent="0.35">
      <c r="A360" s="8">
        <v>1303700010001</v>
      </c>
      <c r="B360" s="102" t="s">
        <v>421</v>
      </c>
      <c r="C360" s="7" t="s">
        <v>1000</v>
      </c>
      <c r="D360" s="7">
        <v>2011</v>
      </c>
      <c r="E360" s="7" t="s">
        <v>4</v>
      </c>
      <c r="F360" s="7" t="s">
        <v>423</v>
      </c>
      <c r="G360" s="8" t="s">
        <v>1001</v>
      </c>
      <c r="H360" s="7" t="s">
        <v>945</v>
      </c>
      <c r="I360" s="7" t="s">
        <v>987</v>
      </c>
      <c r="J360" s="2" t="s">
        <v>1482</v>
      </c>
      <c r="K360" s="2" t="s">
        <v>1548</v>
      </c>
      <c r="L360" s="2" t="s">
        <v>1569</v>
      </c>
      <c r="M360" s="2" t="s">
        <v>2211</v>
      </c>
      <c r="N360" s="2" t="s">
        <v>2163</v>
      </c>
      <c r="O360" s="66"/>
      <c r="P360" s="66"/>
      <c r="Q360" s="66"/>
      <c r="R360" s="2" t="s">
        <v>2212</v>
      </c>
      <c r="S360" s="27" t="e">
        <f t="shared" ca="1" si="5"/>
        <v>#VALUE!</v>
      </c>
    </row>
    <row r="361" spans="1:19" ht="27.75" customHeight="1" thickTop="1" thickBot="1" x14ac:dyDescent="0.35">
      <c r="A361" s="8">
        <v>1306700010001</v>
      </c>
      <c r="B361" s="102" t="s">
        <v>1002</v>
      </c>
      <c r="C361" s="7" t="s">
        <v>1003</v>
      </c>
      <c r="D361" s="7">
        <v>2012</v>
      </c>
      <c r="E361" s="7" t="s">
        <v>19</v>
      </c>
      <c r="F361" s="7" t="s">
        <v>423</v>
      </c>
      <c r="G361" s="8" t="s">
        <v>1004</v>
      </c>
      <c r="H361" s="7" t="s">
        <v>945</v>
      </c>
      <c r="I361" s="7" t="s">
        <v>987</v>
      </c>
      <c r="J361" s="2" t="s">
        <v>1482</v>
      </c>
      <c r="K361" s="2" t="s">
        <v>1548</v>
      </c>
      <c r="L361" s="2" t="s">
        <v>1569</v>
      </c>
      <c r="M361" s="2" t="s">
        <v>2211</v>
      </c>
      <c r="N361" s="2" t="s">
        <v>2163</v>
      </c>
      <c r="O361" s="65"/>
      <c r="P361" s="65"/>
      <c r="Q361" s="65"/>
      <c r="R361" s="2" t="s">
        <v>2212</v>
      </c>
      <c r="S361" s="27" t="e">
        <f t="shared" ca="1" si="5"/>
        <v>#VALUE!</v>
      </c>
    </row>
    <row r="362" spans="1:19" ht="27.75" customHeight="1" thickTop="1" thickBot="1" x14ac:dyDescent="0.35">
      <c r="A362" s="8">
        <v>1306700010002</v>
      </c>
      <c r="B362" s="102" t="s">
        <v>1005</v>
      </c>
      <c r="C362" s="7" t="s">
        <v>1456</v>
      </c>
      <c r="D362" s="7">
        <v>2013</v>
      </c>
      <c r="E362" s="7" t="s">
        <v>19</v>
      </c>
      <c r="F362" s="7" t="s">
        <v>423</v>
      </c>
      <c r="G362" s="8" t="s">
        <v>1006</v>
      </c>
      <c r="H362" s="7" t="s">
        <v>945</v>
      </c>
      <c r="I362" s="7" t="s">
        <v>987</v>
      </c>
      <c r="J362" s="2" t="s">
        <v>1482</v>
      </c>
      <c r="K362" s="2" t="s">
        <v>1548</v>
      </c>
      <c r="L362" s="2" t="s">
        <v>1569</v>
      </c>
      <c r="M362" s="2" t="s">
        <v>2211</v>
      </c>
      <c r="N362" s="2" t="s">
        <v>2163</v>
      </c>
      <c r="O362" s="66"/>
      <c r="P362" s="66"/>
      <c r="Q362" s="66"/>
      <c r="R362" s="2" t="s">
        <v>2212</v>
      </c>
      <c r="S362" s="27" t="e">
        <f t="shared" ca="1" si="5"/>
        <v>#VALUE!</v>
      </c>
    </row>
    <row r="363" spans="1:19" ht="27.75" customHeight="1" thickTop="1" thickBot="1" x14ac:dyDescent="0.35">
      <c r="A363" s="8">
        <v>1303700010001</v>
      </c>
      <c r="B363" s="102" t="s">
        <v>421</v>
      </c>
      <c r="C363" s="7" t="s">
        <v>1020</v>
      </c>
      <c r="D363" s="7">
        <v>2010</v>
      </c>
      <c r="E363" s="7" t="s">
        <v>4</v>
      </c>
      <c r="F363" s="7" t="s">
        <v>423</v>
      </c>
      <c r="G363" s="8" t="s">
        <v>1021</v>
      </c>
      <c r="H363" s="7" t="s">
        <v>945</v>
      </c>
      <c r="I363" s="7" t="s">
        <v>1007</v>
      </c>
      <c r="J363" s="2" t="s">
        <v>1471</v>
      </c>
      <c r="K363" s="2" t="s">
        <v>1548</v>
      </c>
      <c r="L363" s="2" t="s">
        <v>1569</v>
      </c>
      <c r="M363" s="2" t="s">
        <v>2211</v>
      </c>
      <c r="N363" s="2" t="s">
        <v>2163</v>
      </c>
      <c r="O363" s="65"/>
      <c r="P363" s="65"/>
      <c r="Q363" s="65"/>
      <c r="R363" s="2" t="s">
        <v>2212</v>
      </c>
      <c r="S363" s="27" t="e">
        <f t="shared" ca="1" si="5"/>
        <v>#VALUE!</v>
      </c>
    </row>
    <row r="364" spans="1:19" ht="27.75" customHeight="1" thickTop="1" thickBot="1" x14ac:dyDescent="0.35">
      <c r="A364" s="8">
        <v>1303700010001</v>
      </c>
      <c r="B364" s="102" t="s">
        <v>421</v>
      </c>
      <c r="C364" s="7" t="s">
        <v>1022</v>
      </c>
      <c r="D364" s="7">
        <v>2010</v>
      </c>
      <c r="E364" s="7" t="s">
        <v>4</v>
      </c>
      <c r="F364" s="7" t="s">
        <v>423</v>
      </c>
      <c r="G364" s="8" t="s">
        <v>1023</v>
      </c>
      <c r="H364" s="7" t="s">
        <v>945</v>
      </c>
      <c r="I364" s="7" t="s">
        <v>1007</v>
      </c>
      <c r="J364" s="2" t="s">
        <v>1471</v>
      </c>
      <c r="K364" s="2" t="s">
        <v>1548</v>
      </c>
      <c r="L364" s="2" t="s">
        <v>1569</v>
      </c>
      <c r="M364" s="2" t="s">
        <v>2211</v>
      </c>
      <c r="N364" s="2" t="s">
        <v>2163</v>
      </c>
      <c r="O364" s="66"/>
      <c r="P364" s="66"/>
      <c r="Q364" s="66"/>
      <c r="R364" s="2" t="s">
        <v>2212</v>
      </c>
      <c r="S364" s="27" t="e">
        <f t="shared" ca="1" si="5"/>
        <v>#VALUE!</v>
      </c>
    </row>
    <row r="365" spans="1:19" ht="27.75" customHeight="1" thickTop="1" thickBot="1" x14ac:dyDescent="0.35">
      <c r="A365" s="8">
        <v>1303700010001</v>
      </c>
      <c r="B365" s="102" t="s">
        <v>421</v>
      </c>
      <c r="C365" s="7" t="s">
        <v>1024</v>
      </c>
      <c r="D365" s="7">
        <v>2010</v>
      </c>
      <c r="E365" s="7" t="s">
        <v>4</v>
      </c>
      <c r="F365" s="7" t="s">
        <v>423</v>
      </c>
      <c r="G365" s="8" t="s">
        <v>1025</v>
      </c>
      <c r="H365" s="7" t="s">
        <v>945</v>
      </c>
      <c r="I365" s="7" t="s">
        <v>1007</v>
      </c>
      <c r="J365" s="2" t="s">
        <v>1471</v>
      </c>
      <c r="K365" s="2" t="s">
        <v>1548</v>
      </c>
      <c r="L365" s="2" t="s">
        <v>1569</v>
      </c>
      <c r="M365" s="2" t="s">
        <v>2211</v>
      </c>
      <c r="N365" s="2" t="s">
        <v>2163</v>
      </c>
      <c r="O365" s="65"/>
      <c r="P365" s="65"/>
      <c r="Q365" s="65"/>
      <c r="R365" s="2" t="s">
        <v>2212</v>
      </c>
      <c r="S365" s="27" t="e">
        <f t="shared" ca="1" si="5"/>
        <v>#VALUE!</v>
      </c>
    </row>
    <row r="366" spans="1:19" ht="27.75" customHeight="1" thickTop="1" thickBot="1" x14ac:dyDescent="0.35">
      <c r="A366" s="8">
        <v>1303700010001</v>
      </c>
      <c r="B366" s="102" t="s">
        <v>421</v>
      </c>
      <c r="C366" s="7" t="s">
        <v>1041</v>
      </c>
      <c r="D366" s="7">
        <v>2010</v>
      </c>
      <c r="E366" s="7" t="s">
        <v>4</v>
      </c>
      <c r="F366" s="7" t="s">
        <v>423</v>
      </c>
      <c r="G366" s="8" t="s">
        <v>1042</v>
      </c>
      <c r="H366" s="7" t="s">
        <v>945</v>
      </c>
      <c r="I366" s="7" t="s">
        <v>1026</v>
      </c>
      <c r="J366" s="2" t="s">
        <v>1518</v>
      </c>
      <c r="K366" s="2" t="s">
        <v>1548</v>
      </c>
      <c r="L366" s="2" t="s">
        <v>1569</v>
      </c>
      <c r="M366" s="2" t="s">
        <v>2211</v>
      </c>
      <c r="N366" s="2" t="s">
        <v>2163</v>
      </c>
      <c r="O366" s="66"/>
      <c r="P366" s="66"/>
      <c r="Q366" s="66"/>
      <c r="R366" s="2" t="s">
        <v>2212</v>
      </c>
      <c r="S366" s="27" t="e">
        <f t="shared" ca="1" si="5"/>
        <v>#VALUE!</v>
      </c>
    </row>
    <row r="367" spans="1:19" ht="27.75" customHeight="1" thickTop="1" thickBot="1" x14ac:dyDescent="0.35">
      <c r="A367" s="8">
        <v>1303700010001</v>
      </c>
      <c r="B367" s="102" t="s">
        <v>421</v>
      </c>
      <c r="C367" s="7" t="s">
        <v>1043</v>
      </c>
      <c r="D367" s="7">
        <v>2010</v>
      </c>
      <c r="E367" s="7" t="s">
        <v>4</v>
      </c>
      <c r="F367" s="7" t="s">
        <v>423</v>
      </c>
      <c r="G367" s="8" t="s">
        <v>1044</v>
      </c>
      <c r="H367" s="7" t="s">
        <v>945</v>
      </c>
      <c r="I367" s="7" t="s">
        <v>1026</v>
      </c>
      <c r="J367" s="2" t="s">
        <v>1518</v>
      </c>
      <c r="K367" s="2" t="s">
        <v>1548</v>
      </c>
      <c r="L367" s="2" t="s">
        <v>1569</v>
      </c>
      <c r="M367" s="2" t="s">
        <v>2211</v>
      </c>
      <c r="N367" s="2" t="s">
        <v>2163</v>
      </c>
      <c r="O367" s="65"/>
      <c r="P367" s="65"/>
      <c r="Q367" s="65"/>
      <c r="R367" s="2" t="s">
        <v>2212</v>
      </c>
      <c r="S367" s="27" t="e">
        <f t="shared" ca="1" si="5"/>
        <v>#VALUE!</v>
      </c>
    </row>
    <row r="368" spans="1:19" ht="27.75" customHeight="1" thickTop="1" thickBot="1" x14ac:dyDescent="0.35">
      <c r="A368" s="8">
        <v>1306700020001</v>
      </c>
      <c r="B368" s="102" t="s">
        <v>1045</v>
      </c>
      <c r="C368" s="7" t="s">
        <v>1456</v>
      </c>
      <c r="D368" s="7"/>
      <c r="E368" s="7" t="s">
        <v>376</v>
      </c>
      <c r="F368" s="7" t="s">
        <v>247</v>
      </c>
      <c r="G368" s="8" t="s">
        <v>1046</v>
      </c>
      <c r="H368" s="7" t="s">
        <v>945</v>
      </c>
      <c r="I368" s="7" t="s">
        <v>1026</v>
      </c>
      <c r="J368" s="2" t="s">
        <v>1518</v>
      </c>
      <c r="K368" s="2" t="s">
        <v>1548</v>
      </c>
      <c r="L368" s="2" t="s">
        <v>1569</v>
      </c>
      <c r="M368" s="2" t="s">
        <v>2211</v>
      </c>
      <c r="N368" s="2" t="s">
        <v>2163</v>
      </c>
      <c r="O368" s="66"/>
      <c r="P368" s="66"/>
      <c r="Q368" s="66"/>
      <c r="R368" s="2" t="s">
        <v>2212</v>
      </c>
      <c r="S368" s="27" t="e">
        <f t="shared" ca="1" si="5"/>
        <v>#VALUE!</v>
      </c>
    </row>
    <row r="369" spans="1:19" ht="27.75" customHeight="1" thickTop="1" thickBot="1" x14ac:dyDescent="0.35">
      <c r="A369" s="8">
        <v>1306700020001</v>
      </c>
      <c r="B369" s="102" t="s">
        <v>1045</v>
      </c>
      <c r="C369" s="7" t="s">
        <v>1456</v>
      </c>
      <c r="D369" s="7"/>
      <c r="E369" s="7" t="s">
        <v>376</v>
      </c>
      <c r="F369" s="7" t="s">
        <v>247</v>
      </c>
      <c r="G369" s="8" t="s">
        <v>1047</v>
      </c>
      <c r="H369" s="7" t="s">
        <v>945</v>
      </c>
      <c r="I369" s="7" t="s">
        <v>1026</v>
      </c>
      <c r="J369" s="2" t="s">
        <v>1518</v>
      </c>
      <c r="K369" s="2" t="s">
        <v>1548</v>
      </c>
      <c r="L369" s="2" t="s">
        <v>1569</v>
      </c>
      <c r="M369" s="2" t="s">
        <v>2211</v>
      </c>
      <c r="N369" s="2" t="s">
        <v>2163</v>
      </c>
      <c r="O369" s="65"/>
      <c r="P369" s="65"/>
      <c r="Q369" s="65"/>
      <c r="R369" s="2" t="s">
        <v>2212</v>
      </c>
      <c r="S369" s="27" t="e">
        <f t="shared" ca="1" si="5"/>
        <v>#VALUE!</v>
      </c>
    </row>
    <row r="370" spans="1:19" ht="27.75" customHeight="1" thickTop="1" thickBot="1" x14ac:dyDescent="0.35">
      <c r="A370" s="8">
        <v>1303700010001</v>
      </c>
      <c r="B370" s="102" t="s">
        <v>421</v>
      </c>
      <c r="C370" s="7" t="s">
        <v>1063</v>
      </c>
      <c r="D370" s="7">
        <v>2010</v>
      </c>
      <c r="E370" s="7" t="s">
        <v>4</v>
      </c>
      <c r="F370" s="7" t="s">
        <v>423</v>
      </c>
      <c r="G370" s="8" t="s">
        <v>1064</v>
      </c>
      <c r="H370" s="7" t="s">
        <v>945</v>
      </c>
      <c r="I370" s="7" t="s">
        <v>1048</v>
      </c>
      <c r="J370" s="2" t="s">
        <v>1477</v>
      </c>
      <c r="K370" s="2" t="s">
        <v>1548</v>
      </c>
      <c r="L370" s="2" t="s">
        <v>1569</v>
      </c>
      <c r="M370" s="2" t="s">
        <v>2211</v>
      </c>
      <c r="N370" s="2" t="s">
        <v>2163</v>
      </c>
      <c r="O370" s="66"/>
      <c r="P370" s="66"/>
      <c r="Q370" s="66"/>
      <c r="R370" s="2" t="s">
        <v>2212</v>
      </c>
      <c r="S370" s="27" t="e">
        <f t="shared" ca="1" si="5"/>
        <v>#VALUE!</v>
      </c>
    </row>
    <row r="371" spans="1:19" ht="27.75" customHeight="1" thickTop="1" thickBot="1" x14ac:dyDescent="0.35">
      <c r="A371" s="8">
        <v>1303700010001</v>
      </c>
      <c r="B371" s="102" t="s">
        <v>421</v>
      </c>
      <c r="C371" s="7" t="s">
        <v>1065</v>
      </c>
      <c r="D371" s="7">
        <v>2010</v>
      </c>
      <c r="E371" s="7" t="s">
        <v>4</v>
      </c>
      <c r="F371" s="7" t="s">
        <v>423</v>
      </c>
      <c r="G371" s="8" t="s">
        <v>1066</v>
      </c>
      <c r="H371" s="7" t="s">
        <v>945</v>
      </c>
      <c r="I371" s="7" t="s">
        <v>1048</v>
      </c>
      <c r="J371" s="2" t="s">
        <v>1477</v>
      </c>
      <c r="K371" s="2" t="s">
        <v>1548</v>
      </c>
      <c r="L371" s="2" t="s">
        <v>1569</v>
      </c>
      <c r="M371" s="2" t="s">
        <v>2211</v>
      </c>
      <c r="N371" s="2" t="s">
        <v>2163</v>
      </c>
      <c r="O371" s="65"/>
      <c r="P371" s="65"/>
      <c r="Q371" s="65"/>
      <c r="R371" s="2" t="s">
        <v>2212</v>
      </c>
      <c r="S371" s="27" t="e">
        <f t="shared" ca="1" si="5"/>
        <v>#VALUE!</v>
      </c>
    </row>
    <row r="372" spans="1:19" ht="27.75" customHeight="1" thickTop="1" thickBot="1" x14ac:dyDescent="0.35">
      <c r="A372" s="8">
        <v>1303700010001</v>
      </c>
      <c r="B372" s="102" t="s">
        <v>421</v>
      </c>
      <c r="C372" s="7" t="s">
        <v>1067</v>
      </c>
      <c r="D372" s="7">
        <v>2010</v>
      </c>
      <c r="E372" s="7" t="s">
        <v>4</v>
      </c>
      <c r="F372" s="7" t="s">
        <v>423</v>
      </c>
      <c r="G372" s="8" t="s">
        <v>1068</v>
      </c>
      <c r="H372" s="7" t="s">
        <v>945</v>
      </c>
      <c r="I372" s="7" t="s">
        <v>1048</v>
      </c>
      <c r="J372" s="2" t="s">
        <v>1477</v>
      </c>
      <c r="K372" s="2" t="s">
        <v>1548</v>
      </c>
      <c r="L372" s="2" t="s">
        <v>1569</v>
      </c>
      <c r="M372" s="2" t="s">
        <v>2211</v>
      </c>
      <c r="N372" s="2" t="s">
        <v>2163</v>
      </c>
      <c r="O372" s="66"/>
      <c r="P372" s="66"/>
      <c r="Q372" s="66"/>
      <c r="R372" s="2" t="s">
        <v>2212</v>
      </c>
      <c r="S372" s="27" t="e">
        <f t="shared" ca="1" si="5"/>
        <v>#VALUE!</v>
      </c>
    </row>
    <row r="373" spans="1:19" ht="27.75" customHeight="1" thickTop="1" thickBot="1" x14ac:dyDescent="0.35">
      <c r="A373" s="8">
        <v>1303700010001</v>
      </c>
      <c r="B373" s="102" t="s">
        <v>421</v>
      </c>
      <c r="C373" s="7" t="s">
        <v>1082</v>
      </c>
      <c r="D373" s="7">
        <v>2010</v>
      </c>
      <c r="E373" s="7" t="s">
        <v>4</v>
      </c>
      <c r="F373" s="7" t="s">
        <v>423</v>
      </c>
      <c r="G373" s="8" t="s">
        <v>1083</v>
      </c>
      <c r="H373" s="7" t="s">
        <v>945</v>
      </c>
      <c r="I373" s="7" t="s">
        <v>1069</v>
      </c>
      <c r="J373" s="2" t="s">
        <v>1531</v>
      </c>
      <c r="K373" s="2" t="s">
        <v>1548</v>
      </c>
      <c r="L373" s="2" t="s">
        <v>1569</v>
      </c>
      <c r="M373" s="2" t="s">
        <v>2211</v>
      </c>
      <c r="N373" s="2" t="s">
        <v>2163</v>
      </c>
      <c r="O373" s="65"/>
      <c r="P373" s="65"/>
      <c r="Q373" s="65"/>
      <c r="R373" s="2" t="s">
        <v>2212</v>
      </c>
      <c r="S373" s="27" t="e">
        <f t="shared" ca="1" si="5"/>
        <v>#VALUE!</v>
      </c>
    </row>
    <row r="374" spans="1:19" ht="27.75" customHeight="1" thickTop="1" thickBot="1" x14ac:dyDescent="0.35">
      <c r="A374" s="8">
        <v>1303700010001</v>
      </c>
      <c r="B374" s="102" t="s">
        <v>421</v>
      </c>
      <c r="C374" s="7" t="s">
        <v>1084</v>
      </c>
      <c r="D374" s="7">
        <v>2010</v>
      </c>
      <c r="E374" s="7" t="s">
        <v>4</v>
      </c>
      <c r="F374" s="7" t="s">
        <v>423</v>
      </c>
      <c r="G374" s="8" t="s">
        <v>1085</v>
      </c>
      <c r="H374" s="7" t="s">
        <v>945</v>
      </c>
      <c r="I374" s="7" t="s">
        <v>1069</v>
      </c>
      <c r="J374" s="2" t="s">
        <v>1531</v>
      </c>
      <c r="K374" s="2" t="s">
        <v>1548</v>
      </c>
      <c r="L374" s="2" t="s">
        <v>1569</v>
      </c>
      <c r="M374" s="2" t="s">
        <v>2211</v>
      </c>
      <c r="N374" s="2" t="s">
        <v>2163</v>
      </c>
      <c r="O374" s="66"/>
      <c r="P374" s="66"/>
      <c r="Q374" s="66"/>
      <c r="R374" s="2" t="s">
        <v>2212</v>
      </c>
      <c r="S374" s="27" t="e">
        <f t="shared" ca="1" si="5"/>
        <v>#VALUE!</v>
      </c>
    </row>
    <row r="375" spans="1:19" ht="27.75" customHeight="1" thickTop="1" thickBot="1" x14ac:dyDescent="0.35">
      <c r="A375" s="8">
        <v>1303700010001</v>
      </c>
      <c r="B375" s="102" t="s">
        <v>421</v>
      </c>
      <c r="C375" s="7" t="s">
        <v>1086</v>
      </c>
      <c r="D375" s="7">
        <v>2010</v>
      </c>
      <c r="E375" s="7" t="s">
        <v>4</v>
      </c>
      <c r="F375" s="7" t="s">
        <v>423</v>
      </c>
      <c r="G375" s="8" t="s">
        <v>1087</v>
      </c>
      <c r="H375" s="7" t="s">
        <v>945</v>
      </c>
      <c r="I375" s="7" t="s">
        <v>1069</v>
      </c>
      <c r="J375" s="2" t="s">
        <v>1531</v>
      </c>
      <c r="K375" s="2" t="s">
        <v>1548</v>
      </c>
      <c r="L375" s="2" t="s">
        <v>1569</v>
      </c>
      <c r="M375" s="2" t="s">
        <v>2211</v>
      </c>
      <c r="N375" s="2" t="s">
        <v>2163</v>
      </c>
      <c r="O375" s="65"/>
      <c r="P375" s="65"/>
      <c r="Q375" s="65"/>
      <c r="R375" s="2" t="s">
        <v>2212</v>
      </c>
      <c r="S375" s="27" t="e">
        <f t="shared" ca="1" si="5"/>
        <v>#VALUE!</v>
      </c>
    </row>
    <row r="376" spans="1:19" ht="27.75" customHeight="1" thickTop="1" thickBot="1" x14ac:dyDescent="0.35">
      <c r="A376" s="8">
        <v>1303700010001</v>
      </c>
      <c r="B376" s="102" t="s">
        <v>421</v>
      </c>
      <c r="C376" s="7" t="s">
        <v>1101</v>
      </c>
      <c r="D376" s="7">
        <v>2010</v>
      </c>
      <c r="E376" s="7" t="s">
        <v>4</v>
      </c>
      <c r="F376" s="7" t="s">
        <v>423</v>
      </c>
      <c r="G376" s="8" t="s">
        <v>1102</v>
      </c>
      <c r="H376" s="7" t="s">
        <v>945</v>
      </c>
      <c r="I376" s="7" t="s">
        <v>1088</v>
      </c>
      <c r="J376" s="2" t="s">
        <v>1493</v>
      </c>
      <c r="K376" s="2" t="s">
        <v>1548</v>
      </c>
      <c r="L376" s="2" t="s">
        <v>1569</v>
      </c>
      <c r="M376" s="2" t="s">
        <v>2211</v>
      </c>
      <c r="N376" s="2" t="s">
        <v>2163</v>
      </c>
      <c r="O376" s="66"/>
      <c r="P376" s="66"/>
      <c r="Q376" s="66"/>
      <c r="R376" s="2" t="s">
        <v>2212</v>
      </c>
      <c r="S376" s="27" t="e">
        <f t="shared" ca="1" si="5"/>
        <v>#VALUE!</v>
      </c>
    </row>
    <row r="377" spans="1:19" ht="27.75" customHeight="1" thickTop="1" thickBot="1" x14ac:dyDescent="0.35">
      <c r="A377" s="8">
        <v>1303700010001</v>
      </c>
      <c r="B377" s="102" t="s">
        <v>421</v>
      </c>
      <c r="C377" s="7" t="s">
        <v>1103</v>
      </c>
      <c r="D377" s="7">
        <v>2011</v>
      </c>
      <c r="E377" s="7" t="s">
        <v>4</v>
      </c>
      <c r="F377" s="7" t="s">
        <v>423</v>
      </c>
      <c r="G377" s="8" t="s">
        <v>1104</v>
      </c>
      <c r="H377" s="7" t="s">
        <v>945</v>
      </c>
      <c r="I377" s="7" t="s">
        <v>1088</v>
      </c>
      <c r="J377" s="2" t="s">
        <v>1493</v>
      </c>
      <c r="K377" s="2" t="s">
        <v>1548</v>
      </c>
      <c r="L377" s="2" t="s">
        <v>1569</v>
      </c>
      <c r="M377" s="2" t="s">
        <v>2211</v>
      </c>
      <c r="N377" s="2" t="s">
        <v>2163</v>
      </c>
      <c r="O377" s="65"/>
      <c r="P377" s="65"/>
      <c r="Q377" s="65"/>
      <c r="R377" s="2" t="s">
        <v>2212</v>
      </c>
      <c r="S377" s="27" t="e">
        <f t="shared" ca="1" si="5"/>
        <v>#VALUE!</v>
      </c>
    </row>
    <row r="378" spans="1:19" ht="27.75" customHeight="1" thickTop="1" thickBot="1" x14ac:dyDescent="0.35">
      <c r="A378" s="8">
        <v>1303700010001</v>
      </c>
      <c r="B378" s="102" t="s">
        <v>421</v>
      </c>
      <c r="C378" s="7" t="s">
        <v>1105</v>
      </c>
      <c r="D378" s="7">
        <v>2011</v>
      </c>
      <c r="E378" s="7" t="s">
        <v>4</v>
      </c>
      <c r="F378" s="7" t="s">
        <v>423</v>
      </c>
      <c r="G378" s="8" t="s">
        <v>1106</v>
      </c>
      <c r="H378" s="7" t="s">
        <v>945</v>
      </c>
      <c r="I378" s="7" t="s">
        <v>1088</v>
      </c>
      <c r="J378" s="2" t="s">
        <v>1493</v>
      </c>
      <c r="K378" s="2" t="s">
        <v>1548</v>
      </c>
      <c r="L378" s="2" t="s">
        <v>1569</v>
      </c>
      <c r="M378" s="2" t="s">
        <v>2211</v>
      </c>
      <c r="N378" s="2" t="s">
        <v>2163</v>
      </c>
      <c r="O378" s="66"/>
      <c r="P378" s="66"/>
      <c r="Q378" s="66"/>
      <c r="R378" s="2" t="s">
        <v>2212</v>
      </c>
      <c r="S378" s="27" t="e">
        <f t="shared" ca="1" si="5"/>
        <v>#VALUE!</v>
      </c>
    </row>
    <row r="379" spans="1:19" ht="27.75" customHeight="1" thickTop="1" thickBot="1" x14ac:dyDescent="0.35">
      <c r="A379" s="8">
        <v>1303700010001</v>
      </c>
      <c r="B379" s="102" t="s">
        <v>421</v>
      </c>
      <c r="C379" s="7" t="s">
        <v>1120</v>
      </c>
      <c r="D379" s="7">
        <v>2010</v>
      </c>
      <c r="E379" s="7" t="s">
        <v>4</v>
      </c>
      <c r="F379" s="7" t="s">
        <v>423</v>
      </c>
      <c r="G379" s="8" t="s">
        <v>1121</v>
      </c>
      <c r="H379" s="7" t="s">
        <v>945</v>
      </c>
      <c r="I379" s="7" t="s">
        <v>1107</v>
      </c>
      <c r="J379" s="2" t="s">
        <v>1487</v>
      </c>
      <c r="K379" s="2" t="s">
        <v>1548</v>
      </c>
      <c r="L379" s="2" t="s">
        <v>1569</v>
      </c>
      <c r="M379" s="2" t="s">
        <v>2211</v>
      </c>
      <c r="N379" s="2" t="s">
        <v>2163</v>
      </c>
      <c r="O379" s="65"/>
      <c r="P379" s="65"/>
      <c r="Q379" s="65"/>
      <c r="R379" s="2" t="s">
        <v>2212</v>
      </c>
      <c r="S379" s="27" t="e">
        <f t="shared" ca="1" si="5"/>
        <v>#VALUE!</v>
      </c>
    </row>
    <row r="380" spans="1:19" ht="27.75" customHeight="1" thickTop="1" thickBot="1" x14ac:dyDescent="0.35">
      <c r="A380" s="8">
        <v>1306700010001</v>
      </c>
      <c r="B380" s="102" t="s">
        <v>1002</v>
      </c>
      <c r="C380" s="7" t="s">
        <v>1122</v>
      </c>
      <c r="D380" s="7">
        <v>2012</v>
      </c>
      <c r="E380" s="7" t="s">
        <v>19</v>
      </c>
      <c r="F380" s="7" t="s">
        <v>423</v>
      </c>
      <c r="G380" s="8" t="s">
        <v>1123</v>
      </c>
      <c r="H380" s="7" t="s">
        <v>945</v>
      </c>
      <c r="I380" s="7" t="s">
        <v>1107</v>
      </c>
      <c r="J380" s="2" t="s">
        <v>1487</v>
      </c>
      <c r="K380" s="2" t="s">
        <v>1548</v>
      </c>
      <c r="L380" s="2" t="s">
        <v>1569</v>
      </c>
      <c r="M380" s="2" t="s">
        <v>2211</v>
      </c>
      <c r="N380" s="2" t="s">
        <v>2163</v>
      </c>
      <c r="O380" s="66"/>
      <c r="P380" s="66"/>
      <c r="Q380" s="66"/>
      <c r="R380" s="2" t="s">
        <v>2212</v>
      </c>
      <c r="S380" s="27" t="e">
        <f t="shared" ca="1" si="5"/>
        <v>#VALUE!</v>
      </c>
    </row>
    <row r="381" spans="1:19" ht="27.75" customHeight="1" thickTop="1" thickBot="1" x14ac:dyDescent="0.35">
      <c r="A381" s="8">
        <v>1306700010002</v>
      </c>
      <c r="B381" s="102" t="s">
        <v>1005</v>
      </c>
      <c r="C381" s="7" t="s">
        <v>1460</v>
      </c>
      <c r="D381" s="7">
        <v>2013</v>
      </c>
      <c r="E381" s="7" t="s">
        <v>19</v>
      </c>
      <c r="F381" s="7" t="s">
        <v>423</v>
      </c>
      <c r="G381" s="8" t="s">
        <v>1124</v>
      </c>
      <c r="H381" s="7" t="s">
        <v>945</v>
      </c>
      <c r="I381" s="7" t="s">
        <v>1107</v>
      </c>
      <c r="J381" s="2" t="s">
        <v>1487</v>
      </c>
      <c r="K381" s="2" t="s">
        <v>1548</v>
      </c>
      <c r="L381" s="2" t="s">
        <v>1569</v>
      </c>
      <c r="M381" s="2" t="s">
        <v>2211</v>
      </c>
      <c r="N381" s="2" t="s">
        <v>2163</v>
      </c>
      <c r="O381" s="65"/>
      <c r="P381" s="65"/>
      <c r="Q381" s="65"/>
      <c r="R381" s="2" t="s">
        <v>2212</v>
      </c>
      <c r="S381" s="27" t="e">
        <f t="shared" ca="1" si="5"/>
        <v>#VALUE!</v>
      </c>
    </row>
    <row r="382" spans="1:19" ht="27.75" customHeight="1" thickTop="1" thickBot="1" x14ac:dyDescent="0.35">
      <c r="A382" s="8">
        <v>1303700010001</v>
      </c>
      <c r="B382" s="102" t="s">
        <v>421</v>
      </c>
      <c r="C382" s="7" t="s">
        <v>1138</v>
      </c>
      <c r="D382" s="7">
        <v>2010</v>
      </c>
      <c r="E382" s="7" t="s">
        <v>4</v>
      </c>
      <c r="F382" s="7" t="s">
        <v>423</v>
      </c>
      <c r="G382" s="8" t="s">
        <v>1139</v>
      </c>
      <c r="H382" s="7" t="s">
        <v>945</v>
      </c>
      <c r="I382" s="7" t="s">
        <v>1125</v>
      </c>
      <c r="J382" s="2" t="s">
        <v>1513</v>
      </c>
      <c r="K382" s="2" t="s">
        <v>1548</v>
      </c>
      <c r="L382" s="2" t="s">
        <v>1569</v>
      </c>
      <c r="M382" s="2" t="s">
        <v>2211</v>
      </c>
      <c r="N382" s="2" t="s">
        <v>2163</v>
      </c>
      <c r="O382" s="66"/>
      <c r="P382" s="66"/>
      <c r="Q382" s="66"/>
      <c r="R382" s="2" t="s">
        <v>2212</v>
      </c>
      <c r="S382" s="27" t="e">
        <f t="shared" ca="1" si="5"/>
        <v>#VALUE!</v>
      </c>
    </row>
    <row r="383" spans="1:19" ht="27.75" customHeight="1" thickTop="1" thickBot="1" x14ac:dyDescent="0.35">
      <c r="A383" s="8">
        <v>1303700010001</v>
      </c>
      <c r="B383" s="102" t="s">
        <v>421</v>
      </c>
      <c r="C383" s="7" t="s">
        <v>1140</v>
      </c>
      <c r="D383" s="7">
        <v>2010</v>
      </c>
      <c r="E383" s="7" t="s">
        <v>4</v>
      </c>
      <c r="F383" s="7" t="s">
        <v>423</v>
      </c>
      <c r="G383" s="8" t="s">
        <v>1141</v>
      </c>
      <c r="H383" s="7" t="s">
        <v>945</v>
      </c>
      <c r="I383" s="7" t="s">
        <v>1125</v>
      </c>
      <c r="J383" s="2" t="s">
        <v>1513</v>
      </c>
      <c r="K383" s="2" t="s">
        <v>1548</v>
      </c>
      <c r="L383" s="2" t="s">
        <v>1569</v>
      </c>
      <c r="M383" s="2" t="s">
        <v>2211</v>
      </c>
      <c r="N383" s="2" t="s">
        <v>2163</v>
      </c>
      <c r="O383" s="65"/>
      <c r="P383" s="65"/>
      <c r="Q383" s="65"/>
      <c r="R383" s="2" t="s">
        <v>2212</v>
      </c>
      <c r="S383" s="27" t="e">
        <f t="shared" ca="1" si="5"/>
        <v>#VALUE!</v>
      </c>
    </row>
    <row r="384" spans="1:19" ht="27.75" customHeight="1" thickTop="1" thickBot="1" x14ac:dyDescent="0.35">
      <c r="A384" s="8">
        <v>1303700010001</v>
      </c>
      <c r="B384" s="102" t="s">
        <v>421</v>
      </c>
      <c r="C384" s="7" t="s">
        <v>1142</v>
      </c>
      <c r="D384" s="7">
        <v>2010</v>
      </c>
      <c r="E384" s="7" t="s">
        <v>4</v>
      </c>
      <c r="F384" s="7" t="s">
        <v>423</v>
      </c>
      <c r="G384" s="8" t="s">
        <v>1143</v>
      </c>
      <c r="H384" s="7" t="s">
        <v>945</v>
      </c>
      <c r="I384" s="7" t="s">
        <v>1125</v>
      </c>
      <c r="J384" s="2" t="s">
        <v>1513</v>
      </c>
      <c r="K384" s="2" t="s">
        <v>1548</v>
      </c>
      <c r="L384" s="2" t="s">
        <v>1569</v>
      </c>
      <c r="M384" s="2" t="s">
        <v>2211</v>
      </c>
      <c r="N384" s="2" t="s">
        <v>2163</v>
      </c>
      <c r="O384" s="66"/>
      <c r="P384" s="66"/>
      <c r="Q384" s="66"/>
      <c r="R384" s="2" t="s">
        <v>2212</v>
      </c>
      <c r="S384" s="27" t="e">
        <f t="shared" ca="1" si="5"/>
        <v>#VALUE!</v>
      </c>
    </row>
    <row r="385" spans="1:19" ht="27.75" customHeight="1" thickTop="1" thickBot="1" x14ac:dyDescent="0.35">
      <c r="A385" s="8">
        <v>1303700010001</v>
      </c>
      <c r="B385" s="102" t="s">
        <v>421</v>
      </c>
      <c r="C385" s="7" t="s">
        <v>1155</v>
      </c>
      <c r="D385" s="7">
        <v>2010</v>
      </c>
      <c r="E385" s="7" t="s">
        <v>4</v>
      </c>
      <c r="F385" s="7" t="s">
        <v>423</v>
      </c>
      <c r="G385" s="8" t="s">
        <v>1156</v>
      </c>
      <c r="H385" s="7" t="s">
        <v>945</v>
      </c>
      <c r="I385" s="7" t="s">
        <v>1144</v>
      </c>
      <c r="J385" s="2" t="s">
        <v>1498</v>
      </c>
      <c r="K385" s="11" t="s">
        <v>1912</v>
      </c>
      <c r="L385" s="2"/>
      <c r="M385" s="2"/>
      <c r="N385" s="2"/>
      <c r="O385" s="65" t="s">
        <v>2236</v>
      </c>
      <c r="P385" s="65"/>
      <c r="Q385" s="65"/>
      <c r="R385" s="2" t="s">
        <v>2212</v>
      </c>
      <c r="S385" s="27" t="str">
        <f t="shared" ca="1" si="5"/>
        <v>تم الاصلاح</v>
      </c>
    </row>
    <row r="386" spans="1:19" ht="27.75" customHeight="1" thickTop="1" thickBot="1" x14ac:dyDescent="0.35">
      <c r="A386" s="8">
        <v>1303700010001</v>
      </c>
      <c r="B386" s="102" t="s">
        <v>421</v>
      </c>
      <c r="C386" s="7" t="s">
        <v>1157</v>
      </c>
      <c r="D386" s="7">
        <v>2011</v>
      </c>
      <c r="E386" s="7" t="s">
        <v>4</v>
      </c>
      <c r="F386" s="7" t="s">
        <v>423</v>
      </c>
      <c r="G386" s="8" t="s">
        <v>1158</v>
      </c>
      <c r="H386" s="7" t="s">
        <v>945</v>
      </c>
      <c r="I386" s="7" t="s">
        <v>1144</v>
      </c>
      <c r="J386" s="2" t="s">
        <v>1498</v>
      </c>
      <c r="K386" s="2" t="s">
        <v>1548</v>
      </c>
      <c r="L386" s="2" t="s">
        <v>1569</v>
      </c>
      <c r="M386" s="2" t="s">
        <v>2211</v>
      </c>
      <c r="N386" s="2" t="s">
        <v>2163</v>
      </c>
      <c r="O386" s="66"/>
      <c r="P386" s="66"/>
      <c r="Q386" s="66"/>
      <c r="R386" s="2" t="s">
        <v>2212</v>
      </c>
      <c r="S386" s="27" t="e">
        <f t="shared" ca="1" si="5"/>
        <v>#VALUE!</v>
      </c>
    </row>
    <row r="387" spans="1:19" ht="27.75" customHeight="1" thickTop="1" thickBot="1" x14ac:dyDescent="0.35">
      <c r="A387" s="8">
        <v>1303700010001</v>
      </c>
      <c r="B387" s="102" t="s">
        <v>421</v>
      </c>
      <c r="C387" s="7" t="s">
        <v>1172</v>
      </c>
      <c r="D387" s="7">
        <v>2010</v>
      </c>
      <c r="E387" s="7" t="s">
        <v>4</v>
      </c>
      <c r="F387" s="7" t="s">
        <v>423</v>
      </c>
      <c r="G387" s="8" t="s">
        <v>1173</v>
      </c>
      <c r="H387" s="7" t="s">
        <v>945</v>
      </c>
      <c r="I387" s="7" t="s">
        <v>1159</v>
      </c>
      <c r="J387" s="2" t="s">
        <v>1537</v>
      </c>
      <c r="K387" s="2" t="s">
        <v>1548</v>
      </c>
      <c r="L387" s="2" t="s">
        <v>1569</v>
      </c>
      <c r="M387" s="2" t="s">
        <v>2211</v>
      </c>
      <c r="N387" s="2" t="s">
        <v>2163</v>
      </c>
      <c r="O387" s="65"/>
      <c r="P387" s="65"/>
      <c r="Q387" s="65"/>
      <c r="R387" s="2" t="s">
        <v>2212</v>
      </c>
      <c r="S387" s="27" t="e">
        <f t="shared" ca="1" si="5"/>
        <v>#VALUE!</v>
      </c>
    </row>
    <row r="388" spans="1:19" ht="27.75" customHeight="1" thickTop="1" thickBot="1" x14ac:dyDescent="0.35">
      <c r="A388" s="8">
        <v>1303700010001</v>
      </c>
      <c r="B388" s="102" t="s">
        <v>421</v>
      </c>
      <c r="C388" s="7" t="s">
        <v>1174</v>
      </c>
      <c r="D388" s="7">
        <v>2010</v>
      </c>
      <c r="E388" s="7" t="s">
        <v>4</v>
      </c>
      <c r="F388" s="7" t="s">
        <v>423</v>
      </c>
      <c r="G388" s="8" t="s">
        <v>1175</v>
      </c>
      <c r="H388" s="7" t="s">
        <v>945</v>
      </c>
      <c r="I388" s="7" t="s">
        <v>1159</v>
      </c>
      <c r="J388" s="2" t="s">
        <v>1537</v>
      </c>
      <c r="K388" s="2" t="s">
        <v>1548</v>
      </c>
      <c r="L388" s="2" t="s">
        <v>1569</v>
      </c>
      <c r="M388" s="2" t="s">
        <v>2211</v>
      </c>
      <c r="N388" s="2" t="s">
        <v>2163</v>
      </c>
      <c r="O388" s="66"/>
      <c r="P388" s="66"/>
      <c r="Q388" s="66"/>
      <c r="R388" s="2" t="s">
        <v>2212</v>
      </c>
      <c r="S388" s="27" t="e">
        <f t="shared" ca="1" si="5"/>
        <v>#VALUE!</v>
      </c>
    </row>
    <row r="389" spans="1:19" ht="27.75" customHeight="1" thickTop="1" thickBot="1" x14ac:dyDescent="0.35">
      <c r="A389" s="8">
        <v>1303700010001</v>
      </c>
      <c r="B389" s="102" t="s">
        <v>421</v>
      </c>
      <c r="C389" s="7" t="s">
        <v>1176</v>
      </c>
      <c r="D389" s="7">
        <v>2010</v>
      </c>
      <c r="E389" s="7" t="s">
        <v>4</v>
      </c>
      <c r="F389" s="7" t="s">
        <v>423</v>
      </c>
      <c r="G389" s="8" t="s">
        <v>1177</v>
      </c>
      <c r="H389" s="7" t="s">
        <v>945</v>
      </c>
      <c r="I389" s="7" t="s">
        <v>1159</v>
      </c>
      <c r="J389" s="2" t="s">
        <v>1537</v>
      </c>
      <c r="K389" s="2" t="s">
        <v>1548</v>
      </c>
      <c r="L389" s="2" t="s">
        <v>1569</v>
      </c>
      <c r="M389" s="2" t="s">
        <v>2211</v>
      </c>
      <c r="N389" s="2" t="s">
        <v>2163</v>
      </c>
      <c r="O389" s="65"/>
      <c r="P389" s="65"/>
      <c r="Q389" s="65"/>
      <c r="R389" s="2" t="s">
        <v>2212</v>
      </c>
      <c r="S389" s="27" t="e">
        <f t="shared" ca="1" si="5"/>
        <v>#VALUE!</v>
      </c>
    </row>
    <row r="390" spans="1:19" ht="27.75" customHeight="1" thickTop="1" thickBot="1" x14ac:dyDescent="0.35">
      <c r="A390" s="8">
        <v>1303700010001</v>
      </c>
      <c r="B390" s="102" t="s">
        <v>421</v>
      </c>
      <c r="C390" s="7" t="s">
        <v>1193</v>
      </c>
      <c r="D390" s="7">
        <v>2010</v>
      </c>
      <c r="E390" s="7" t="s">
        <v>4</v>
      </c>
      <c r="F390" s="7" t="s">
        <v>423</v>
      </c>
      <c r="G390" s="8" t="s">
        <v>1194</v>
      </c>
      <c r="H390" s="7" t="s">
        <v>945</v>
      </c>
      <c r="I390" s="7" t="s">
        <v>1178</v>
      </c>
      <c r="J390" s="2" t="s">
        <v>1525</v>
      </c>
      <c r="K390" s="2" t="s">
        <v>1548</v>
      </c>
      <c r="L390" s="2" t="s">
        <v>1569</v>
      </c>
      <c r="M390" s="2" t="s">
        <v>2211</v>
      </c>
      <c r="N390" s="2" t="s">
        <v>2163</v>
      </c>
      <c r="O390" s="66"/>
      <c r="P390" s="66"/>
      <c r="Q390" s="66"/>
      <c r="R390" s="2" t="s">
        <v>2212</v>
      </c>
      <c r="S390" s="27" t="e">
        <f t="shared" ca="1" si="5"/>
        <v>#VALUE!</v>
      </c>
    </row>
    <row r="391" spans="1:19" ht="27.75" customHeight="1" thickTop="1" thickBot="1" x14ac:dyDescent="0.35">
      <c r="A391" s="8">
        <v>1303700010001</v>
      </c>
      <c r="B391" s="102" t="s">
        <v>421</v>
      </c>
      <c r="C391" s="7" t="s">
        <v>1195</v>
      </c>
      <c r="D391" s="7">
        <v>2010</v>
      </c>
      <c r="E391" s="7" t="s">
        <v>4</v>
      </c>
      <c r="F391" s="7" t="s">
        <v>423</v>
      </c>
      <c r="G391" s="8" t="s">
        <v>1196</v>
      </c>
      <c r="H391" s="7" t="s">
        <v>945</v>
      </c>
      <c r="I391" s="7" t="s">
        <v>1178</v>
      </c>
      <c r="J391" s="2" t="s">
        <v>1525</v>
      </c>
      <c r="K391" s="2" t="s">
        <v>1548</v>
      </c>
      <c r="L391" s="2" t="s">
        <v>1569</v>
      </c>
      <c r="M391" s="2" t="s">
        <v>2211</v>
      </c>
      <c r="N391" s="2" t="s">
        <v>2163</v>
      </c>
      <c r="O391" s="65"/>
      <c r="P391" s="65"/>
      <c r="Q391" s="65"/>
      <c r="R391" s="2" t="s">
        <v>2212</v>
      </c>
      <c r="S391" s="27" t="e">
        <f t="shared" ca="1" si="5"/>
        <v>#VALUE!</v>
      </c>
    </row>
    <row r="392" spans="1:19" ht="27.75" customHeight="1" thickTop="1" thickBot="1" x14ac:dyDescent="0.35">
      <c r="A392" s="8">
        <v>1303700010001</v>
      </c>
      <c r="B392" s="102" t="s">
        <v>421</v>
      </c>
      <c r="C392" s="7" t="s">
        <v>1197</v>
      </c>
      <c r="D392" s="7">
        <v>2011</v>
      </c>
      <c r="E392" s="7" t="s">
        <v>4</v>
      </c>
      <c r="F392" s="7" t="s">
        <v>423</v>
      </c>
      <c r="G392" s="8" t="s">
        <v>1198</v>
      </c>
      <c r="H392" s="7" t="s">
        <v>945</v>
      </c>
      <c r="I392" s="7" t="s">
        <v>1178</v>
      </c>
      <c r="J392" s="2" t="s">
        <v>1525</v>
      </c>
      <c r="K392" s="2" t="s">
        <v>1548</v>
      </c>
      <c r="L392" s="2" t="s">
        <v>1569</v>
      </c>
      <c r="M392" s="2" t="s">
        <v>2211</v>
      </c>
      <c r="N392" s="2" t="s">
        <v>2163</v>
      </c>
      <c r="O392" s="66"/>
      <c r="P392" s="66"/>
      <c r="Q392" s="66"/>
      <c r="R392" s="2" t="s">
        <v>2212</v>
      </c>
      <c r="S392" s="27" t="e">
        <f t="shared" ca="1" si="5"/>
        <v>#VALUE!</v>
      </c>
    </row>
    <row r="393" spans="1:19" ht="27.75" customHeight="1" thickTop="1" thickBot="1" x14ac:dyDescent="0.35">
      <c r="A393" s="58">
        <v>1106700020003</v>
      </c>
      <c r="B393" s="7" t="s">
        <v>54</v>
      </c>
      <c r="C393" s="7" t="s">
        <v>832</v>
      </c>
      <c r="D393" s="70">
        <v>2012</v>
      </c>
      <c r="E393" s="7" t="s">
        <v>19</v>
      </c>
      <c r="F393" s="7" t="s">
        <v>56</v>
      </c>
      <c r="G393" s="8" t="s">
        <v>833</v>
      </c>
      <c r="H393" s="7" t="s">
        <v>35</v>
      </c>
      <c r="I393" s="7" t="s">
        <v>827</v>
      </c>
      <c r="J393" s="2" t="s">
        <v>1531</v>
      </c>
      <c r="K393" s="2" t="s">
        <v>1548</v>
      </c>
      <c r="L393" s="2" t="s">
        <v>1615</v>
      </c>
      <c r="M393" s="2" t="s">
        <v>2490</v>
      </c>
      <c r="N393" s="2" t="s">
        <v>2541</v>
      </c>
      <c r="O393" s="2" t="s">
        <v>2233</v>
      </c>
      <c r="P393" s="66" t="s">
        <v>1531</v>
      </c>
      <c r="Q393" s="66" t="s">
        <v>2020</v>
      </c>
      <c r="R393" s="66"/>
      <c r="S393" s="27" t="str">
        <f t="shared" ca="1" si="5"/>
        <v>تم الاصلاح</v>
      </c>
    </row>
    <row r="394" spans="1:19" ht="27.75" customHeight="1" thickTop="1" thickBot="1" x14ac:dyDescent="0.35">
      <c r="A394" s="75">
        <v>1101700010006</v>
      </c>
      <c r="B394" s="7" t="s">
        <v>2075</v>
      </c>
      <c r="C394" s="7" t="s">
        <v>100</v>
      </c>
      <c r="D394" s="7">
        <v>2012</v>
      </c>
      <c r="E394" s="7" t="s">
        <v>19</v>
      </c>
      <c r="F394" s="7" t="s">
        <v>52</v>
      </c>
      <c r="G394" s="8" t="s">
        <v>101</v>
      </c>
      <c r="H394" s="7" t="s">
        <v>35</v>
      </c>
      <c r="I394" s="7" t="s">
        <v>99</v>
      </c>
      <c r="J394" s="2" t="s">
        <v>1493</v>
      </c>
      <c r="K394" s="2" t="s">
        <v>1548</v>
      </c>
      <c r="L394" s="2" t="s">
        <v>1567</v>
      </c>
      <c r="M394" s="2" t="s">
        <v>2403</v>
      </c>
      <c r="N394" s="9" t="s">
        <v>2402</v>
      </c>
      <c r="O394" s="65"/>
      <c r="P394" s="65" t="s">
        <v>2045</v>
      </c>
      <c r="Q394" s="65" t="s">
        <v>2048</v>
      </c>
      <c r="R394" s="2" t="s">
        <v>2234</v>
      </c>
      <c r="S394" s="27" t="e">
        <f t="shared" ca="1" si="5"/>
        <v>#VALUE!</v>
      </c>
    </row>
    <row r="395" spans="1:19" ht="27.75" customHeight="1" thickTop="1" thickBot="1" x14ac:dyDescent="0.35">
      <c r="A395" s="74">
        <v>1105700150001</v>
      </c>
      <c r="B395" s="7" t="s">
        <v>317</v>
      </c>
      <c r="C395" s="7" t="s">
        <v>318</v>
      </c>
      <c r="D395" s="7">
        <v>2010</v>
      </c>
      <c r="E395" s="7" t="s">
        <v>19</v>
      </c>
      <c r="F395" s="97" t="s">
        <v>42</v>
      </c>
      <c r="G395" s="101" t="s">
        <v>319</v>
      </c>
      <c r="H395" s="7" t="s">
        <v>263</v>
      </c>
      <c r="I395" s="7" t="s">
        <v>270</v>
      </c>
      <c r="J395" s="66" t="s">
        <v>1544</v>
      </c>
      <c r="K395" s="2" t="s">
        <v>1548</v>
      </c>
      <c r="L395" s="2" t="s">
        <v>1571</v>
      </c>
      <c r="M395" s="2" t="s">
        <v>2238</v>
      </c>
      <c r="N395" s="9" t="s">
        <v>2237</v>
      </c>
      <c r="O395" s="66"/>
      <c r="P395" s="66" t="s">
        <v>2053</v>
      </c>
      <c r="Q395" s="66"/>
      <c r="R395" s="66"/>
      <c r="S395" s="27" t="e">
        <f t="shared" ref="S395:S458" ca="1" si="6">IF(
   OR(K395="تم الاصلاح", O395&lt;&gt;""),
   "تم الاصلاح",
   IF(N395="", "", TODAY()-N395)
)</f>
        <v>#VALUE!</v>
      </c>
    </row>
    <row r="396" spans="1:19" ht="27.75" customHeight="1" thickTop="1" thickBot="1" x14ac:dyDescent="0.35">
      <c r="A396" s="8">
        <v>1102700020004</v>
      </c>
      <c r="B396" s="7" t="s">
        <v>136</v>
      </c>
      <c r="C396" s="7" t="s">
        <v>1283</v>
      </c>
      <c r="D396" s="7">
        <v>2015</v>
      </c>
      <c r="E396" s="7" t="s">
        <v>19</v>
      </c>
      <c r="F396" s="7" t="s">
        <v>66</v>
      </c>
      <c r="G396" s="8" t="s">
        <v>1284</v>
      </c>
      <c r="H396" s="7" t="s">
        <v>263</v>
      </c>
      <c r="I396" s="7" t="s">
        <v>1225</v>
      </c>
      <c r="J396" s="65" t="s">
        <v>1544</v>
      </c>
      <c r="K396" s="65" t="s">
        <v>1548</v>
      </c>
      <c r="L396" s="2" t="s">
        <v>1564</v>
      </c>
      <c r="M396" s="2" t="s">
        <v>2239</v>
      </c>
      <c r="N396" s="9" t="s">
        <v>2237</v>
      </c>
      <c r="O396" s="65"/>
      <c r="P396" s="65" t="s">
        <v>2053</v>
      </c>
      <c r="Q396" s="65"/>
      <c r="R396" s="65"/>
      <c r="S396" s="27" t="e">
        <f t="shared" ca="1" si="6"/>
        <v>#VALUE!</v>
      </c>
    </row>
    <row r="397" spans="1:19" ht="27.75" customHeight="1" thickTop="1" thickBot="1" x14ac:dyDescent="0.35">
      <c r="A397" s="75">
        <v>1101700010006</v>
      </c>
      <c r="B397" s="7" t="s">
        <v>2075</v>
      </c>
      <c r="C397" s="7" t="s">
        <v>902</v>
      </c>
      <c r="D397" s="7">
        <v>2015</v>
      </c>
      <c r="E397" s="7" t="s">
        <v>19</v>
      </c>
      <c r="F397" s="7" t="s">
        <v>52</v>
      </c>
      <c r="G397" s="8" t="s">
        <v>903</v>
      </c>
      <c r="H397" s="7" t="s">
        <v>35</v>
      </c>
      <c r="I397" s="7" t="s">
        <v>901</v>
      </c>
      <c r="J397" s="66" t="s">
        <v>1498</v>
      </c>
      <c r="K397" s="66" t="s">
        <v>1548</v>
      </c>
      <c r="L397" s="66" t="s">
        <v>1564</v>
      </c>
      <c r="M397" s="66" t="s">
        <v>2242</v>
      </c>
      <c r="N397" s="69" t="s">
        <v>2241</v>
      </c>
      <c r="O397" s="66"/>
      <c r="P397" s="66" t="s">
        <v>2024</v>
      </c>
      <c r="Q397" s="66" t="s">
        <v>2028</v>
      </c>
      <c r="R397" s="66"/>
      <c r="S397" s="27" t="e">
        <f t="shared" ca="1" si="6"/>
        <v>#VALUE!</v>
      </c>
    </row>
    <row r="398" spans="1:19" ht="27.75" customHeight="1" thickTop="1" thickBot="1" x14ac:dyDescent="0.35">
      <c r="A398" s="58">
        <v>1106700020003</v>
      </c>
      <c r="B398" s="7" t="s">
        <v>54</v>
      </c>
      <c r="C398" s="7" t="s">
        <v>795</v>
      </c>
      <c r="D398" s="70">
        <v>2012</v>
      </c>
      <c r="E398" s="7" t="s">
        <v>19</v>
      </c>
      <c r="F398" s="7" t="s">
        <v>56</v>
      </c>
      <c r="G398" s="8" t="s">
        <v>796</v>
      </c>
      <c r="H398" s="7" t="s">
        <v>35</v>
      </c>
      <c r="I398" s="7" t="s">
        <v>792</v>
      </c>
      <c r="J398" s="2" t="s">
        <v>1525</v>
      </c>
      <c r="K398" s="2" t="s">
        <v>1548</v>
      </c>
      <c r="L398" s="2" t="s">
        <v>1564</v>
      </c>
      <c r="M398" s="2" t="s">
        <v>2693</v>
      </c>
      <c r="N398" s="2" t="s">
        <v>2694</v>
      </c>
      <c r="O398" s="2" t="s">
        <v>2489</v>
      </c>
      <c r="P398" s="65" t="s">
        <v>1525</v>
      </c>
      <c r="Q398" s="65" t="s">
        <v>2017</v>
      </c>
      <c r="R398" s="65"/>
      <c r="S398" s="27" t="str">
        <f t="shared" ca="1" si="6"/>
        <v>تم الاصلاح</v>
      </c>
    </row>
    <row r="399" spans="1:19" ht="27.75" customHeight="1" thickTop="1" thickBot="1" x14ac:dyDescent="0.35">
      <c r="A399" s="8">
        <v>1205700010001</v>
      </c>
      <c r="B399" s="7" t="s">
        <v>388</v>
      </c>
      <c r="C399" s="7" t="s">
        <v>699</v>
      </c>
      <c r="D399" s="7">
        <v>2008</v>
      </c>
      <c r="E399" s="7" t="s">
        <v>19</v>
      </c>
      <c r="F399" s="97" t="s">
        <v>20</v>
      </c>
      <c r="G399" s="101" t="s">
        <v>700</v>
      </c>
      <c r="H399" s="7" t="s">
        <v>263</v>
      </c>
      <c r="I399" s="7" t="s">
        <v>632</v>
      </c>
      <c r="J399" s="65" t="s">
        <v>1544</v>
      </c>
      <c r="K399" s="11" t="s">
        <v>1912</v>
      </c>
      <c r="L399" s="2"/>
      <c r="M399" s="2" t="s">
        <v>2248</v>
      </c>
      <c r="N399" s="2" t="s">
        <v>2245</v>
      </c>
      <c r="O399" s="2" t="s">
        <v>2418</v>
      </c>
      <c r="P399" s="65" t="s">
        <v>2053</v>
      </c>
      <c r="Q399" s="65"/>
      <c r="R399" s="2" t="s">
        <v>2249</v>
      </c>
      <c r="S399" s="27" t="str">
        <f t="shared" ca="1" si="6"/>
        <v>تم الاصلاح</v>
      </c>
    </row>
    <row r="400" spans="1:19" ht="27.75" customHeight="1" thickTop="1" thickBot="1" x14ac:dyDescent="0.35">
      <c r="A400" s="8">
        <v>1204700010003</v>
      </c>
      <c r="B400" s="7" t="s">
        <v>96</v>
      </c>
      <c r="C400" s="90" t="s">
        <v>688</v>
      </c>
      <c r="D400" s="7">
        <v>2008</v>
      </c>
      <c r="E400" s="7" t="s">
        <v>19</v>
      </c>
      <c r="F400" s="96" t="s">
        <v>10</v>
      </c>
      <c r="G400" s="8" t="s">
        <v>689</v>
      </c>
      <c r="H400" s="7" t="s">
        <v>263</v>
      </c>
      <c r="I400" s="7" t="s">
        <v>632</v>
      </c>
      <c r="J400" s="110" t="s">
        <v>1506</v>
      </c>
      <c r="K400" s="11" t="s">
        <v>1912</v>
      </c>
      <c r="L400" s="2" t="s">
        <v>1613</v>
      </c>
      <c r="M400" s="2" t="s">
        <v>1627</v>
      </c>
      <c r="N400" s="2" t="s">
        <v>2504</v>
      </c>
      <c r="O400" s="2" t="s">
        <v>2508</v>
      </c>
      <c r="P400" s="66" t="s">
        <v>1506</v>
      </c>
      <c r="Q400" s="66" t="s">
        <v>2004</v>
      </c>
      <c r="R400" s="2" t="s">
        <v>2132</v>
      </c>
      <c r="S400" s="27" t="str">
        <f t="shared" ca="1" si="6"/>
        <v>تم الاصلاح</v>
      </c>
    </row>
    <row r="401" spans="1:19" ht="27.75" customHeight="1" thickTop="1" thickBot="1" x14ac:dyDescent="0.35">
      <c r="A401" s="8">
        <v>1106700010003</v>
      </c>
      <c r="B401" s="7" t="s">
        <v>102</v>
      </c>
      <c r="C401" s="7" t="s">
        <v>1465</v>
      </c>
      <c r="D401" s="7">
        <v>1992</v>
      </c>
      <c r="E401" s="7" t="s">
        <v>19</v>
      </c>
      <c r="F401" s="7" t="s">
        <v>104</v>
      </c>
      <c r="G401" s="8" t="s">
        <v>1338</v>
      </c>
      <c r="H401" s="7" t="s">
        <v>263</v>
      </c>
      <c r="I401" s="7" t="s">
        <v>1225</v>
      </c>
      <c r="J401" s="65" t="s">
        <v>1544</v>
      </c>
      <c r="K401" s="2" t="s">
        <v>1548</v>
      </c>
      <c r="L401" s="2" t="s">
        <v>1571</v>
      </c>
      <c r="M401" s="2" t="s">
        <v>1644</v>
      </c>
      <c r="N401" s="9" t="s">
        <v>2251</v>
      </c>
      <c r="O401" s="65"/>
      <c r="P401" s="65" t="s">
        <v>2053</v>
      </c>
      <c r="Q401" s="65"/>
      <c r="R401" s="65"/>
      <c r="S401" s="27" t="e">
        <f t="shared" ca="1" si="6"/>
        <v>#VALUE!</v>
      </c>
    </row>
    <row r="402" spans="1:19" ht="27.75" customHeight="1" thickTop="1" thickBot="1" x14ac:dyDescent="0.35">
      <c r="A402" s="8">
        <v>1101700010009</v>
      </c>
      <c r="B402" s="7" t="s">
        <v>717</v>
      </c>
      <c r="C402" s="7" t="s">
        <v>1456</v>
      </c>
      <c r="D402" s="7" t="s">
        <v>1456</v>
      </c>
      <c r="E402" s="7" t="s">
        <v>376</v>
      </c>
      <c r="F402" s="97" t="s">
        <v>247</v>
      </c>
      <c r="G402" s="101" t="s">
        <v>718</v>
      </c>
      <c r="H402" s="7" t="s">
        <v>715</v>
      </c>
      <c r="I402" s="7" t="s">
        <v>716</v>
      </c>
      <c r="J402" s="2" t="s">
        <v>1544</v>
      </c>
      <c r="K402" s="11" t="s">
        <v>1912</v>
      </c>
      <c r="L402" s="2"/>
      <c r="M402" s="2"/>
      <c r="N402" s="2"/>
      <c r="O402" s="2" t="s">
        <v>2360</v>
      </c>
      <c r="P402" s="66" t="s">
        <v>2053</v>
      </c>
      <c r="Q402" s="66"/>
      <c r="R402" s="66" t="s">
        <v>2260</v>
      </c>
      <c r="S402" s="27" t="str">
        <f t="shared" ca="1" si="6"/>
        <v>تم الاصلاح</v>
      </c>
    </row>
    <row r="403" spans="1:19" ht="27.75" customHeight="1" thickTop="1" thickBot="1" x14ac:dyDescent="0.35">
      <c r="A403" s="8">
        <v>1204700020003</v>
      </c>
      <c r="B403" s="7" t="s">
        <v>13</v>
      </c>
      <c r="C403" s="7" t="s">
        <v>1110</v>
      </c>
      <c r="D403" s="110">
        <v>2010</v>
      </c>
      <c r="E403" s="7" t="s">
        <v>19</v>
      </c>
      <c r="F403" s="96" t="s">
        <v>10</v>
      </c>
      <c r="G403" s="8" t="s">
        <v>1111</v>
      </c>
      <c r="H403" s="7" t="s">
        <v>945</v>
      </c>
      <c r="I403" s="7" t="s">
        <v>1107</v>
      </c>
      <c r="J403" s="110" t="s">
        <v>1525</v>
      </c>
      <c r="K403" s="2" t="s">
        <v>1548</v>
      </c>
      <c r="L403" s="2" t="s">
        <v>1564</v>
      </c>
      <c r="M403" s="2" t="s">
        <v>2464</v>
      </c>
      <c r="N403" s="9" t="s">
        <v>2465</v>
      </c>
      <c r="O403" s="2" t="s">
        <v>2365</v>
      </c>
      <c r="P403" s="65" t="s">
        <v>1525</v>
      </c>
      <c r="Q403" s="65" t="s">
        <v>2014</v>
      </c>
      <c r="R403" s="65"/>
      <c r="S403" s="27" t="str">
        <f t="shared" ca="1" si="6"/>
        <v>تم الاصلاح</v>
      </c>
    </row>
    <row r="404" spans="1:19" ht="27.75" customHeight="1" thickTop="1" thickBot="1" x14ac:dyDescent="0.35">
      <c r="A404" s="8">
        <v>1204700020003</v>
      </c>
      <c r="B404" s="7" t="s">
        <v>13</v>
      </c>
      <c r="C404" s="90" t="s">
        <v>47</v>
      </c>
      <c r="D404" s="110">
        <v>2009</v>
      </c>
      <c r="E404" s="7" t="s">
        <v>19</v>
      </c>
      <c r="F404" s="96" t="s">
        <v>10</v>
      </c>
      <c r="G404" s="8" t="s">
        <v>48</v>
      </c>
      <c r="H404" s="7" t="s">
        <v>35</v>
      </c>
      <c r="I404" s="7" t="s">
        <v>39</v>
      </c>
      <c r="J404" s="110" t="s">
        <v>1506</v>
      </c>
      <c r="K404" s="2" t="s">
        <v>1548</v>
      </c>
      <c r="L404" s="2" t="s">
        <v>1564</v>
      </c>
      <c r="M404" s="2" t="s">
        <v>1897</v>
      </c>
      <c r="N404" s="2" t="s">
        <v>2306</v>
      </c>
      <c r="O404" s="66"/>
      <c r="P404" s="66" t="s">
        <v>1506</v>
      </c>
      <c r="Q404" s="66" t="s">
        <v>2004</v>
      </c>
      <c r="R404" s="66"/>
      <c r="S404" s="27" t="e">
        <f t="shared" ca="1" si="6"/>
        <v>#VALUE!</v>
      </c>
    </row>
    <row r="405" spans="1:19" ht="27.75" customHeight="1" thickTop="1" thickBot="1" x14ac:dyDescent="0.35">
      <c r="A405" s="58">
        <v>1106700020003</v>
      </c>
      <c r="B405" s="7" t="s">
        <v>54</v>
      </c>
      <c r="C405" s="7" t="s">
        <v>839</v>
      </c>
      <c r="D405" s="70">
        <v>2015</v>
      </c>
      <c r="E405" s="7" t="s">
        <v>19</v>
      </c>
      <c r="F405" s="7" t="s">
        <v>56</v>
      </c>
      <c r="G405" s="8" t="s">
        <v>840</v>
      </c>
      <c r="H405" s="7" t="s">
        <v>35</v>
      </c>
      <c r="I405" s="7" t="s">
        <v>834</v>
      </c>
      <c r="J405" s="2" t="s">
        <v>1493</v>
      </c>
      <c r="K405" s="11" t="s">
        <v>1912</v>
      </c>
      <c r="L405" s="2" t="s">
        <v>1615</v>
      </c>
      <c r="M405" s="2" t="s">
        <v>2431</v>
      </c>
      <c r="N405" s="2" t="s">
        <v>2425</v>
      </c>
      <c r="O405" s="2" t="s">
        <v>2448</v>
      </c>
      <c r="P405" s="65" t="s">
        <v>2045</v>
      </c>
      <c r="Q405" s="65" t="s">
        <v>2046</v>
      </c>
      <c r="R405" s="65"/>
      <c r="S405" s="27" t="str">
        <f t="shared" ca="1" si="6"/>
        <v>تم الاصلاح</v>
      </c>
    </row>
    <row r="406" spans="1:19" ht="27.75" customHeight="1" thickTop="1" thickBot="1" x14ac:dyDescent="0.35">
      <c r="A406" s="58">
        <v>1106700020003</v>
      </c>
      <c r="B406" s="7" t="s">
        <v>54</v>
      </c>
      <c r="C406" s="7" t="s">
        <v>94</v>
      </c>
      <c r="D406" s="70">
        <v>2013</v>
      </c>
      <c r="E406" s="7" t="s">
        <v>19</v>
      </c>
      <c r="F406" s="7" t="s">
        <v>56</v>
      </c>
      <c r="G406" s="8" t="s">
        <v>95</v>
      </c>
      <c r="H406" s="7" t="s">
        <v>35</v>
      </c>
      <c r="I406" s="7" t="s">
        <v>89</v>
      </c>
      <c r="J406" s="2" t="s">
        <v>1525</v>
      </c>
      <c r="K406" s="11" t="s">
        <v>1912</v>
      </c>
      <c r="L406" s="2" t="s">
        <v>1564</v>
      </c>
      <c r="M406" s="2" t="s">
        <v>1897</v>
      </c>
      <c r="N406" s="2" t="s">
        <v>2528</v>
      </c>
      <c r="O406" s="2" t="s">
        <v>2648</v>
      </c>
      <c r="P406" s="66" t="s">
        <v>1525</v>
      </c>
      <c r="Q406" s="66" t="s">
        <v>2014</v>
      </c>
      <c r="R406" s="66"/>
      <c r="S406" s="27" t="str">
        <f t="shared" ca="1" si="6"/>
        <v>تم الاصلاح</v>
      </c>
    </row>
    <row r="407" spans="1:19" ht="27.75" customHeight="1" thickTop="1" thickBot="1" x14ac:dyDescent="0.35">
      <c r="A407" s="8">
        <v>1101700010006</v>
      </c>
      <c r="B407" s="7" t="s">
        <v>50</v>
      </c>
      <c r="C407" s="7" t="s">
        <v>639</v>
      </c>
      <c r="D407" s="7">
        <v>2010</v>
      </c>
      <c r="E407" s="7" t="s">
        <v>19</v>
      </c>
      <c r="F407" s="7" t="s">
        <v>52</v>
      </c>
      <c r="G407" s="8" t="s">
        <v>640</v>
      </c>
      <c r="H407" s="7" t="s">
        <v>263</v>
      </c>
      <c r="I407" s="7" t="s">
        <v>632</v>
      </c>
      <c r="J407" s="2" t="s">
        <v>1506</v>
      </c>
      <c r="K407" s="2" t="s">
        <v>1548</v>
      </c>
      <c r="L407" s="2" t="s">
        <v>1564</v>
      </c>
      <c r="M407" s="2" t="s">
        <v>2651</v>
      </c>
      <c r="N407" s="2" t="s">
        <v>2646</v>
      </c>
      <c r="O407" s="2" t="s">
        <v>2504</v>
      </c>
      <c r="P407" s="65" t="s">
        <v>1506</v>
      </c>
      <c r="Q407" s="65" t="s">
        <v>2007</v>
      </c>
      <c r="R407" s="65"/>
      <c r="S407" s="27" t="str">
        <f t="shared" ca="1" si="6"/>
        <v>تم الاصلاح</v>
      </c>
    </row>
    <row r="408" spans="1:19" ht="27.75" customHeight="1" thickTop="1" thickBot="1" x14ac:dyDescent="0.35">
      <c r="A408" s="58">
        <v>1106700020003</v>
      </c>
      <c r="B408" s="7" t="s">
        <v>54</v>
      </c>
      <c r="C408" s="7" t="s">
        <v>492</v>
      </c>
      <c r="D408" s="70">
        <v>2016</v>
      </c>
      <c r="E408" s="7" t="s">
        <v>19</v>
      </c>
      <c r="F408" s="7" t="s">
        <v>56</v>
      </c>
      <c r="G408" s="8" t="s">
        <v>493</v>
      </c>
      <c r="H408" s="7" t="s">
        <v>263</v>
      </c>
      <c r="I408" s="7" t="s">
        <v>485</v>
      </c>
      <c r="J408" s="2" t="s">
        <v>1518</v>
      </c>
      <c r="K408" s="11" t="s">
        <v>1912</v>
      </c>
      <c r="L408" s="2" t="s">
        <v>1571</v>
      </c>
      <c r="M408" s="2" t="s">
        <v>2317</v>
      </c>
      <c r="N408" s="2" t="s">
        <v>2316</v>
      </c>
      <c r="O408" s="2" t="s">
        <v>2434</v>
      </c>
      <c r="P408" s="66" t="s">
        <v>1518</v>
      </c>
      <c r="Q408" s="66" t="s">
        <v>1992</v>
      </c>
      <c r="R408" s="66"/>
      <c r="S408" s="27" t="str">
        <f t="shared" ca="1" si="6"/>
        <v>تم الاصلاح</v>
      </c>
    </row>
    <row r="409" spans="1:19" ht="27.75" customHeight="1" thickTop="1" thickBot="1" x14ac:dyDescent="0.35">
      <c r="A409" s="8">
        <v>1205700010001</v>
      </c>
      <c r="B409" s="7" t="s">
        <v>388</v>
      </c>
      <c r="C409" s="7" t="s">
        <v>1442</v>
      </c>
      <c r="D409" s="110">
        <v>2006</v>
      </c>
      <c r="E409" s="7" t="s">
        <v>19</v>
      </c>
      <c r="F409" s="97" t="s">
        <v>20</v>
      </c>
      <c r="G409" s="101" t="s">
        <v>601</v>
      </c>
      <c r="H409" s="7" t="s">
        <v>263</v>
      </c>
      <c r="I409" s="7" t="s">
        <v>583</v>
      </c>
      <c r="J409" s="65" t="s">
        <v>1544</v>
      </c>
      <c r="K409" s="9" t="s">
        <v>1553</v>
      </c>
      <c r="L409" s="2" t="s">
        <v>1571</v>
      </c>
      <c r="M409" s="2" t="s">
        <v>1609</v>
      </c>
      <c r="N409" s="2" t="s">
        <v>2163</v>
      </c>
      <c r="O409" s="65"/>
      <c r="P409" s="65" t="s">
        <v>1513</v>
      </c>
      <c r="Q409" s="65" t="s">
        <v>2029</v>
      </c>
      <c r="R409" s="2" t="s">
        <v>2300</v>
      </c>
      <c r="S409" s="27" t="e">
        <f t="shared" ca="1" si="6"/>
        <v>#VALUE!</v>
      </c>
    </row>
    <row r="410" spans="1:19" ht="27.75" customHeight="1" thickTop="1" thickBot="1" x14ac:dyDescent="0.35">
      <c r="A410" s="8">
        <v>1106700010003</v>
      </c>
      <c r="B410" s="7" t="s">
        <v>102</v>
      </c>
      <c r="C410" s="7" t="s">
        <v>121</v>
      </c>
      <c r="D410" s="7">
        <v>1991</v>
      </c>
      <c r="E410" s="7" t="s">
        <v>19</v>
      </c>
      <c r="F410" s="7" t="s">
        <v>104</v>
      </c>
      <c r="G410" s="8">
        <v>34600152728919</v>
      </c>
      <c r="H410" s="7" t="s">
        <v>35</v>
      </c>
      <c r="I410" s="7" t="s">
        <v>118</v>
      </c>
      <c r="J410" s="2" t="s">
        <v>1487</v>
      </c>
      <c r="K410" s="11" t="s">
        <v>1912</v>
      </c>
      <c r="L410" s="2" t="s">
        <v>1571</v>
      </c>
      <c r="M410" s="2" t="s">
        <v>2394</v>
      </c>
      <c r="N410" s="2" t="s">
        <v>2545</v>
      </c>
      <c r="O410" s="2" t="s">
        <v>2545</v>
      </c>
      <c r="P410" s="66" t="s">
        <v>2045</v>
      </c>
      <c r="Q410" s="66" t="s">
        <v>2046</v>
      </c>
      <c r="R410" s="66"/>
      <c r="S410" s="27" t="str">
        <f t="shared" ca="1" si="6"/>
        <v>تم الاصلاح</v>
      </c>
    </row>
    <row r="411" spans="1:19" ht="27.75" customHeight="1" thickTop="1" thickBot="1" x14ac:dyDescent="0.35">
      <c r="A411" s="8">
        <v>1105700160001</v>
      </c>
      <c r="B411" s="7" t="s">
        <v>438</v>
      </c>
      <c r="C411" s="7" t="s">
        <v>439</v>
      </c>
      <c r="D411" s="7">
        <v>2010</v>
      </c>
      <c r="E411" s="7" t="s">
        <v>19</v>
      </c>
      <c r="F411" s="97" t="s">
        <v>440</v>
      </c>
      <c r="G411" s="101" t="s">
        <v>441</v>
      </c>
      <c r="H411" s="7" t="s">
        <v>263</v>
      </c>
      <c r="I411" s="7" t="s">
        <v>430</v>
      </c>
      <c r="J411" s="65" t="s">
        <v>1506</v>
      </c>
      <c r="K411" s="11" t="s">
        <v>1912</v>
      </c>
      <c r="L411" s="2"/>
      <c r="M411" s="2"/>
      <c r="N411" s="2"/>
      <c r="O411" s="2" t="s">
        <v>2319</v>
      </c>
      <c r="P411" s="65" t="s">
        <v>1506</v>
      </c>
      <c r="Q411" s="65" t="s">
        <v>2006</v>
      </c>
      <c r="R411" s="65" t="s">
        <v>2327</v>
      </c>
      <c r="S411" s="27" t="str">
        <f t="shared" ca="1" si="6"/>
        <v>تم الاصلاح</v>
      </c>
    </row>
    <row r="412" spans="1:19" ht="27.75" customHeight="1" thickTop="1" thickBot="1" x14ac:dyDescent="0.35">
      <c r="A412" s="75">
        <v>1101700010006</v>
      </c>
      <c r="B412" s="7" t="s">
        <v>2075</v>
      </c>
      <c r="C412" s="7" t="s">
        <v>888</v>
      </c>
      <c r="D412" s="7">
        <v>2015</v>
      </c>
      <c r="E412" s="7" t="s">
        <v>19</v>
      </c>
      <c r="F412" s="7" t="s">
        <v>52</v>
      </c>
      <c r="G412" s="8" t="s">
        <v>889</v>
      </c>
      <c r="H412" s="7" t="s">
        <v>35</v>
      </c>
      <c r="I412" s="7" t="s">
        <v>887</v>
      </c>
      <c r="J412" s="66" t="s">
        <v>1498</v>
      </c>
      <c r="K412" s="2" t="s">
        <v>1548</v>
      </c>
      <c r="L412" s="2" t="s">
        <v>1564</v>
      </c>
      <c r="M412" s="2" t="s">
        <v>2336</v>
      </c>
      <c r="N412" s="9" t="s">
        <v>2334</v>
      </c>
      <c r="O412" s="66"/>
      <c r="P412" s="66" t="s">
        <v>2024</v>
      </c>
      <c r="Q412" s="66" t="s">
        <v>2028</v>
      </c>
      <c r="R412" s="66"/>
      <c r="S412" s="27" t="e">
        <f t="shared" ca="1" si="6"/>
        <v>#VALUE!</v>
      </c>
    </row>
    <row r="413" spans="1:19" ht="27.75" customHeight="1" thickTop="1" thickBot="1" x14ac:dyDescent="0.35">
      <c r="A413" s="58">
        <v>1106700020003</v>
      </c>
      <c r="B413" s="7" t="s">
        <v>54</v>
      </c>
      <c r="C413" s="7" t="s">
        <v>335</v>
      </c>
      <c r="D413" s="70">
        <v>2016</v>
      </c>
      <c r="E413" s="7" t="s">
        <v>19</v>
      </c>
      <c r="F413" s="7" t="s">
        <v>56</v>
      </c>
      <c r="G413" s="8" t="s">
        <v>336</v>
      </c>
      <c r="H413" s="7" t="s">
        <v>263</v>
      </c>
      <c r="I413" s="7" t="s">
        <v>270</v>
      </c>
      <c r="J413" s="65" t="s">
        <v>1537</v>
      </c>
      <c r="K413" s="11" t="s">
        <v>1912</v>
      </c>
      <c r="L413" s="2"/>
      <c r="M413" s="2"/>
      <c r="N413" s="2"/>
      <c r="O413" s="2" t="s">
        <v>2340</v>
      </c>
      <c r="P413" s="65" t="s">
        <v>1537</v>
      </c>
      <c r="Q413" s="65" t="s">
        <v>2042</v>
      </c>
      <c r="R413" s="65"/>
      <c r="S413" s="27" t="str">
        <f t="shared" ca="1" si="6"/>
        <v>تم الاصلاح</v>
      </c>
    </row>
    <row r="414" spans="1:19" ht="27.75" customHeight="1" thickTop="1" thickBot="1" x14ac:dyDescent="0.35">
      <c r="A414" s="75">
        <v>1101700010006</v>
      </c>
      <c r="B414" s="7" t="s">
        <v>2075</v>
      </c>
      <c r="C414" s="7" t="s">
        <v>969</v>
      </c>
      <c r="D414" s="7">
        <v>2015</v>
      </c>
      <c r="E414" s="7" t="s">
        <v>19</v>
      </c>
      <c r="F414" s="7" t="s">
        <v>52</v>
      </c>
      <c r="G414" s="8" t="s">
        <v>970</v>
      </c>
      <c r="H414" s="7" t="s">
        <v>35</v>
      </c>
      <c r="I414" s="7" t="s">
        <v>968</v>
      </c>
      <c r="J414" s="2" t="s">
        <v>1477</v>
      </c>
      <c r="K414" s="11" t="s">
        <v>1912</v>
      </c>
      <c r="L414" s="2"/>
      <c r="M414" s="2"/>
      <c r="N414" s="2"/>
      <c r="O414" s="2" t="s">
        <v>2402</v>
      </c>
      <c r="P414" s="66" t="s">
        <v>1477</v>
      </c>
      <c r="Q414" s="66" t="s">
        <v>2001</v>
      </c>
      <c r="R414" s="66"/>
      <c r="S414" s="27" t="str">
        <f t="shared" ca="1" si="6"/>
        <v>تم الاصلاح</v>
      </c>
    </row>
    <row r="415" spans="1:19" ht="27.75" customHeight="1" thickTop="1" thickBot="1" x14ac:dyDescent="0.35">
      <c r="A415" s="8">
        <v>1204700020009</v>
      </c>
      <c r="B415" s="7" t="s">
        <v>29</v>
      </c>
      <c r="C415" s="7" t="s">
        <v>1012</v>
      </c>
      <c r="D415" s="110">
        <v>2016</v>
      </c>
      <c r="E415" s="7" t="s">
        <v>19</v>
      </c>
      <c r="F415" s="7" t="s">
        <v>261</v>
      </c>
      <c r="G415" s="8" t="s">
        <v>1013</v>
      </c>
      <c r="H415" s="7" t="s">
        <v>945</v>
      </c>
      <c r="I415" s="7" t="s">
        <v>1007</v>
      </c>
      <c r="J415" s="110" t="s">
        <v>1471</v>
      </c>
      <c r="K415" s="2" t="s">
        <v>1548</v>
      </c>
      <c r="L415" s="2" t="s">
        <v>1564</v>
      </c>
      <c r="M415" s="2" t="s">
        <v>2342</v>
      </c>
      <c r="N415" s="2" t="s">
        <v>2298</v>
      </c>
      <c r="O415" s="65"/>
      <c r="P415" s="65" t="s">
        <v>1471</v>
      </c>
      <c r="Q415" s="65" t="s">
        <v>1994</v>
      </c>
      <c r="R415" s="65" t="s">
        <v>2343</v>
      </c>
      <c r="S415" s="27" t="e">
        <f t="shared" ca="1" si="6"/>
        <v>#VALUE!</v>
      </c>
    </row>
    <row r="416" spans="1:19" ht="27.75" customHeight="1" thickTop="1" thickBot="1" x14ac:dyDescent="0.35">
      <c r="A416" s="8">
        <v>1102700010004</v>
      </c>
      <c r="B416" s="7" t="s">
        <v>64</v>
      </c>
      <c r="C416" s="7" t="s">
        <v>65</v>
      </c>
      <c r="D416" s="7">
        <v>2008</v>
      </c>
      <c r="E416" s="7" t="s">
        <v>19</v>
      </c>
      <c r="F416" s="7" t="s">
        <v>66</v>
      </c>
      <c r="G416" s="101" t="s">
        <v>67</v>
      </c>
      <c r="H416" s="7" t="s">
        <v>35</v>
      </c>
      <c r="I416" s="7" t="s">
        <v>61</v>
      </c>
      <c r="J416" s="66" t="s">
        <v>1544</v>
      </c>
      <c r="K416" s="9" t="s">
        <v>1553</v>
      </c>
      <c r="L416" s="2" t="s">
        <v>1559</v>
      </c>
      <c r="M416" s="2" t="s">
        <v>2345</v>
      </c>
      <c r="N416" s="2" t="s">
        <v>2346</v>
      </c>
      <c r="O416" s="66"/>
      <c r="P416" s="66" t="s">
        <v>1518</v>
      </c>
      <c r="Q416" s="66" t="s">
        <v>1987</v>
      </c>
      <c r="R416" s="66"/>
      <c r="S416" s="27" t="e">
        <f t="shared" ca="1" si="6"/>
        <v>#VALUE!</v>
      </c>
    </row>
    <row r="417" spans="1:19" ht="27.75" customHeight="1" thickTop="1" thickBot="1" x14ac:dyDescent="0.35">
      <c r="A417" s="8">
        <v>1204700020003</v>
      </c>
      <c r="B417" s="7" t="s">
        <v>13</v>
      </c>
      <c r="C417" s="7" t="s">
        <v>449</v>
      </c>
      <c r="D417" s="110">
        <v>2012</v>
      </c>
      <c r="E417" s="91" t="s">
        <v>19</v>
      </c>
      <c r="F417" s="96" t="s">
        <v>10</v>
      </c>
      <c r="G417" s="8" t="s">
        <v>450</v>
      </c>
      <c r="H417" s="7" t="s">
        <v>263</v>
      </c>
      <c r="I417" s="7" t="s">
        <v>430</v>
      </c>
      <c r="J417" s="65" t="s">
        <v>1506</v>
      </c>
      <c r="K417" s="11" t="s">
        <v>1912</v>
      </c>
      <c r="L417" s="2"/>
      <c r="M417" s="2"/>
      <c r="N417" s="2"/>
      <c r="O417" s="2" t="s">
        <v>2348</v>
      </c>
      <c r="P417" s="65" t="s">
        <v>1506</v>
      </c>
      <c r="Q417" s="65" t="s">
        <v>2004</v>
      </c>
      <c r="R417" s="65"/>
      <c r="S417" s="27" t="str">
        <f t="shared" ca="1" si="6"/>
        <v>تم الاصلاح</v>
      </c>
    </row>
    <row r="418" spans="1:19" ht="27.75" customHeight="1" thickTop="1" thickBot="1" x14ac:dyDescent="0.35">
      <c r="A418" s="8">
        <v>1204700020002</v>
      </c>
      <c r="B418" s="7" t="s">
        <v>178</v>
      </c>
      <c r="C418" s="7" t="s">
        <v>1051</v>
      </c>
      <c r="D418" s="110">
        <v>2011</v>
      </c>
      <c r="E418" s="7" t="s">
        <v>19</v>
      </c>
      <c r="F418" s="96" t="s">
        <v>10</v>
      </c>
      <c r="G418" s="8" t="s">
        <v>1052</v>
      </c>
      <c r="H418" s="7" t="s">
        <v>945</v>
      </c>
      <c r="I418" s="7" t="s">
        <v>1048</v>
      </c>
      <c r="J418" s="7" t="s">
        <v>1482</v>
      </c>
      <c r="K418" s="11" t="s">
        <v>1912</v>
      </c>
      <c r="L418" s="2" t="s">
        <v>1564</v>
      </c>
      <c r="M418" s="2" t="s">
        <v>2349</v>
      </c>
      <c r="N418" s="2" t="s">
        <v>2348</v>
      </c>
      <c r="O418" s="2" t="s">
        <v>2565</v>
      </c>
      <c r="P418" s="66" t="s">
        <v>2009</v>
      </c>
      <c r="Q418" s="66" t="s">
        <v>2010</v>
      </c>
      <c r="R418" s="66"/>
      <c r="S418" s="27" t="str">
        <f t="shared" ca="1" si="6"/>
        <v>تم الاصلاح</v>
      </c>
    </row>
    <row r="419" spans="1:19" ht="27.75" customHeight="1" thickTop="1" thickBot="1" x14ac:dyDescent="0.35">
      <c r="A419" s="8">
        <v>1205700010001</v>
      </c>
      <c r="B419" s="7" t="s">
        <v>388</v>
      </c>
      <c r="C419" s="7" t="s">
        <v>389</v>
      </c>
      <c r="D419" s="110">
        <v>2006</v>
      </c>
      <c r="E419" s="7" t="s">
        <v>19</v>
      </c>
      <c r="F419" s="97" t="s">
        <v>20</v>
      </c>
      <c r="G419" s="101" t="s">
        <v>390</v>
      </c>
      <c r="H419" s="7" t="s">
        <v>263</v>
      </c>
      <c r="I419" s="7" t="s">
        <v>270</v>
      </c>
      <c r="J419" s="65" t="s">
        <v>1544</v>
      </c>
      <c r="K419" s="2" t="s">
        <v>1548</v>
      </c>
      <c r="L419" s="2" t="s">
        <v>1564</v>
      </c>
      <c r="M419" s="2" t="s">
        <v>2105</v>
      </c>
      <c r="N419" s="9" t="s">
        <v>2348</v>
      </c>
      <c r="O419" s="65"/>
      <c r="P419" s="65" t="s">
        <v>2053</v>
      </c>
      <c r="Q419" s="65"/>
      <c r="R419" s="2" t="s">
        <v>2352</v>
      </c>
      <c r="S419" s="27" t="e">
        <f t="shared" ca="1" si="6"/>
        <v>#VALUE!</v>
      </c>
    </row>
    <row r="420" spans="1:19" ht="27.75" customHeight="1" thickTop="1" thickBot="1" x14ac:dyDescent="0.35">
      <c r="A420" s="8">
        <v>1204700030001</v>
      </c>
      <c r="B420" s="7" t="s">
        <v>17</v>
      </c>
      <c r="C420" s="7" t="s">
        <v>483</v>
      </c>
      <c r="D420" s="110">
        <v>2009</v>
      </c>
      <c r="E420" s="7" t="s">
        <v>19</v>
      </c>
      <c r="F420" s="97" t="s">
        <v>384</v>
      </c>
      <c r="G420" s="101" t="s">
        <v>484</v>
      </c>
      <c r="H420" s="7" t="s">
        <v>263</v>
      </c>
      <c r="I420" s="7" t="s">
        <v>465</v>
      </c>
      <c r="J420" s="110" t="s">
        <v>1471</v>
      </c>
      <c r="K420" s="2" t="s">
        <v>1548</v>
      </c>
      <c r="L420" s="2" t="s">
        <v>1564</v>
      </c>
      <c r="M420" s="2" t="s">
        <v>1896</v>
      </c>
      <c r="N420" s="9" t="s">
        <v>2412</v>
      </c>
      <c r="O420" s="2"/>
      <c r="P420" s="66" t="s">
        <v>1471</v>
      </c>
      <c r="Q420" s="66" t="s">
        <v>1994</v>
      </c>
      <c r="R420" s="66"/>
      <c r="S420" s="27" t="e">
        <f t="shared" ca="1" si="6"/>
        <v>#VALUE!</v>
      </c>
    </row>
    <row r="421" spans="1:19" ht="27.75" customHeight="1" thickTop="1" thickBot="1" x14ac:dyDescent="0.35">
      <c r="A421" s="8">
        <v>1105700080001</v>
      </c>
      <c r="B421" s="7" t="s">
        <v>302</v>
      </c>
      <c r="C421" s="7" t="s">
        <v>303</v>
      </c>
      <c r="D421" s="7">
        <v>2012</v>
      </c>
      <c r="E421" s="7" t="s">
        <v>19</v>
      </c>
      <c r="F421" s="7" t="s">
        <v>304</v>
      </c>
      <c r="G421" s="8" t="s">
        <v>305</v>
      </c>
      <c r="H421" s="7" t="s">
        <v>263</v>
      </c>
      <c r="I421" s="7" t="s">
        <v>270</v>
      </c>
      <c r="J421" s="65" t="s">
        <v>1544</v>
      </c>
      <c r="K421" s="2" t="s">
        <v>1548</v>
      </c>
      <c r="L421" s="2" t="s">
        <v>1564</v>
      </c>
      <c r="M421" s="2" t="s">
        <v>2359</v>
      </c>
      <c r="N421" s="9" t="s">
        <v>2353</v>
      </c>
      <c r="O421" s="65"/>
      <c r="P421" s="65" t="s">
        <v>2053</v>
      </c>
      <c r="Q421" s="65"/>
      <c r="R421" s="65"/>
      <c r="S421" s="27" t="e">
        <f t="shared" ca="1" si="6"/>
        <v>#VALUE!</v>
      </c>
    </row>
    <row r="422" spans="1:19" ht="27.75" customHeight="1" thickTop="1" thickBot="1" x14ac:dyDescent="0.35">
      <c r="A422" s="58">
        <v>1106700020003</v>
      </c>
      <c r="B422" s="7" t="s">
        <v>54</v>
      </c>
      <c r="C422" s="7" t="s">
        <v>218</v>
      </c>
      <c r="D422" s="70">
        <v>2015</v>
      </c>
      <c r="E422" s="7" t="s">
        <v>19</v>
      </c>
      <c r="F422" s="7" t="s">
        <v>56</v>
      </c>
      <c r="G422" s="8" t="s">
        <v>219</v>
      </c>
      <c r="H422" s="7" t="s">
        <v>35</v>
      </c>
      <c r="I422" s="7" t="s">
        <v>215</v>
      </c>
      <c r="J422" s="2" t="s">
        <v>1482</v>
      </c>
      <c r="K422" s="11" t="s">
        <v>1912</v>
      </c>
      <c r="L422" s="2" t="s">
        <v>1615</v>
      </c>
      <c r="M422" s="2" t="s">
        <v>2361</v>
      </c>
      <c r="N422" s="2" t="s">
        <v>2360</v>
      </c>
      <c r="O422" s="2" t="s">
        <v>2413</v>
      </c>
      <c r="P422" s="66" t="s">
        <v>2009</v>
      </c>
      <c r="Q422" s="66" t="s">
        <v>2011</v>
      </c>
      <c r="R422" s="66"/>
      <c r="S422" s="27" t="str">
        <f t="shared" ca="1" si="6"/>
        <v>تم الاصلاح</v>
      </c>
    </row>
    <row r="423" spans="1:19" ht="27.75" customHeight="1" thickTop="1" thickBot="1" x14ac:dyDescent="0.35">
      <c r="A423" s="58">
        <v>1106700020003</v>
      </c>
      <c r="B423" s="7" t="s">
        <v>54</v>
      </c>
      <c r="C423" s="7" t="s">
        <v>804</v>
      </c>
      <c r="D423" s="70">
        <v>2015</v>
      </c>
      <c r="E423" s="7" t="s">
        <v>19</v>
      </c>
      <c r="F423" s="7" t="s">
        <v>56</v>
      </c>
      <c r="G423" s="8" t="s">
        <v>805</v>
      </c>
      <c r="H423" s="7" t="s">
        <v>35</v>
      </c>
      <c r="I423" s="7" t="s">
        <v>801</v>
      </c>
      <c r="J423" s="2" t="s">
        <v>1482</v>
      </c>
      <c r="K423" s="11" t="s">
        <v>1912</v>
      </c>
      <c r="L423" s="2" t="s">
        <v>1615</v>
      </c>
      <c r="M423" s="2" t="s">
        <v>2522</v>
      </c>
      <c r="N423" s="2" t="s">
        <v>2521</v>
      </c>
      <c r="O423" s="2" t="s">
        <v>2526</v>
      </c>
      <c r="P423" s="65" t="s">
        <v>2009</v>
      </c>
      <c r="Q423" s="65" t="s">
        <v>2012</v>
      </c>
      <c r="R423" s="65"/>
      <c r="S423" s="27" t="str">
        <f t="shared" ca="1" si="6"/>
        <v>تم الاصلاح</v>
      </c>
    </row>
    <row r="424" spans="1:19" ht="27.75" customHeight="1" thickTop="1" thickBot="1" x14ac:dyDescent="0.35">
      <c r="A424" s="58">
        <v>1106700020003</v>
      </c>
      <c r="B424" s="7" t="s">
        <v>54</v>
      </c>
      <c r="C424" s="7" t="s">
        <v>890</v>
      </c>
      <c r="D424" s="70">
        <v>2015</v>
      </c>
      <c r="E424" s="7" t="s">
        <v>19</v>
      </c>
      <c r="F424" s="7" t="s">
        <v>56</v>
      </c>
      <c r="G424" s="8" t="s">
        <v>891</v>
      </c>
      <c r="H424" s="7" t="s">
        <v>35</v>
      </c>
      <c r="I424" s="7" t="s">
        <v>887</v>
      </c>
      <c r="J424" s="2" t="s">
        <v>1498</v>
      </c>
      <c r="K424" s="2" t="s">
        <v>2066</v>
      </c>
      <c r="L424" s="2" t="s">
        <v>1565</v>
      </c>
      <c r="M424" s="2" t="s">
        <v>2384</v>
      </c>
      <c r="N424" s="2" t="s">
        <v>2385</v>
      </c>
      <c r="O424" s="66"/>
      <c r="P424" s="66" t="s">
        <v>2024</v>
      </c>
      <c r="Q424" s="66" t="s">
        <v>2025</v>
      </c>
      <c r="R424" s="66"/>
      <c r="S424" s="27" t="e">
        <f t="shared" ca="1" si="6"/>
        <v>#VALUE!</v>
      </c>
    </row>
    <row r="425" spans="1:19" ht="27.75" customHeight="1" thickTop="1" thickBot="1" x14ac:dyDescent="0.35">
      <c r="A425" s="58">
        <v>1106700020003</v>
      </c>
      <c r="B425" s="7" t="s">
        <v>2078</v>
      </c>
      <c r="C425" s="7" t="s">
        <v>892</v>
      </c>
      <c r="D425" s="70">
        <v>2015</v>
      </c>
      <c r="E425" s="7" t="s">
        <v>19</v>
      </c>
      <c r="F425" s="7" t="s">
        <v>56</v>
      </c>
      <c r="G425" s="8" t="s">
        <v>893</v>
      </c>
      <c r="H425" s="7" t="s">
        <v>35</v>
      </c>
      <c r="I425" s="7" t="s">
        <v>887</v>
      </c>
      <c r="J425" s="2" t="s">
        <v>1498</v>
      </c>
      <c r="K425" s="11" t="s">
        <v>1912</v>
      </c>
      <c r="L425" s="2"/>
      <c r="M425" s="2"/>
      <c r="N425" s="2"/>
      <c r="O425" s="2" t="s">
        <v>2395</v>
      </c>
      <c r="P425" s="65" t="s">
        <v>2024</v>
      </c>
      <c r="Q425" s="65" t="s">
        <v>2026</v>
      </c>
      <c r="R425" s="65"/>
      <c r="S425" s="27" t="str">
        <f t="shared" ca="1" si="6"/>
        <v>تم الاصلاح</v>
      </c>
    </row>
    <row r="426" spans="1:19" ht="27.75" customHeight="1" thickTop="1" thickBot="1" x14ac:dyDescent="0.35">
      <c r="A426" s="8">
        <v>1204700020003</v>
      </c>
      <c r="B426" s="7" t="s">
        <v>13</v>
      </c>
      <c r="C426" s="7" t="s">
        <v>1181</v>
      </c>
      <c r="D426" s="110">
        <v>2010</v>
      </c>
      <c r="E426" s="7" t="s">
        <v>19</v>
      </c>
      <c r="F426" s="96" t="s">
        <v>10</v>
      </c>
      <c r="G426" s="8" t="s">
        <v>1182</v>
      </c>
      <c r="H426" s="7" t="s">
        <v>945</v>
      </c>
      <c r="I426" s="7" t="s">
        <v>1178</v>
      </c>
      <c r="J426" s="110" t="s">
        <v>1537</v>
      </c>
      <c r="K426" s="2" t="s">
        <v>1548</v>
      </c>
      <c r="L426" s="2" t="s">
        <v>1571</v>
      </c>
      <c r="M426" s="2" t="s">
        <v>2493</v>
      </c>
      <c r="N426" s="9" t="s">
        <v>2492</v>
      </c>
      <c r="O426" s="2" t="s">
        <v>2395</v>
      </c>
      <c r="P426" s="66" t="s">
        <v>1537</v>
      </c>
      <c r="Q426" s="66" t="s">
        <v>2044</v>
      </c>
      <c r="R426" s="66"/>
      <c r="S426" s="27" t="str">
        <f t="shared" ca="1" si="6"/>
        <v>تم الاصلاح</v>
      </c>
    </row>
    <row r="427" spans="1:19" ht="27.75" customHeight="1" thickTop="1" thickBot="1" x14ac:dyDescent="0.35">
      <c r="A427" s="74">
        <v>1105700010004</v>
      </c>
      <c r="B427" s="83" t="s">
        <v>454</v>
      </c>
      <c r="C427" s="7" t="s">
        <v>587</v>
      </c>
      <c r="D427" s="7">
        <v>2015</v>
      </c>
      <c r="E427" s="7" t="s">
        <v>19</v>
      </c>
      <c r="F427" s="7" t="s">
        <v>42</v>
      </c>
      <c r="G427" s="8" t="s">
        <v>588</v>
      </c>
      <c r="H427" s="7" t="s">
        <v>263</v>
      </c>
      <c r="I427" s="7" t="s">
        <v>583</v>
      </c>
      <c r="J427" s="2" t="s">
        <v>1518</v>
      </c>
      <c r="K427" s="2" t="s">
        <v>1548</v>
      </c>
      <c r="L427" s="2" t="s">
        <v>1569</v>
      </c>
      <c r="M427" s="2" t="s">
        <v>2673</v>
      </c>
      <c r="N427" s="2" t="s">
        <v>2672</v>
      </c>
      <c r="O427" s="2" t="s">
        <v>2508</v>
      </c>
      <c r="P427" s="65" t="s">
        <v>1518</v>
      </c>
      <c r="Q427" s="65" t="s">
        <v>1987</v>
      </c>
      <c r="R427" s="65"/>
      <c r="S427" s="27" t="str">
        <f t="shared" ca="1" si="6"/>
        <v>تم الاصلاح</v>
      </c>
    </row>
    <row r="428" spans="1:19" ht="27.75" customHeight="1" thickTop="1" thickBot="1" x14ac:dyDescent="0.35">
      <c r="A428" s="75">
        <v>1101700030005</v>
      </c>
      <c r="B428" s="7" t="s">
        <v>230</v>
      </c>
      <c r="C428" s="7" t="s">
        <v>231</v>
      </c>
      <c r="D428" s="7">
        <v>2012</v>
      </c>
      <c r="E428" s="7" t="s">
        <v>19</v>
      </c>
      <c r="F428" s="7" t="s">
        <v>52</v>
      </c>
      <c r="G428" s="58" t="s">
        <v>232</v>
      </c>
      <c r="H428" s="7" t="s">
        <v>35</v>
      </c>
      <c r="I428" s="7" t="s">
        <v>229</v>
      </c>
      <c r="J428" s="2" t="s">
        <v>1543</v>
      </c>
      <c r="K428" s="11" t="s">
        <v>1912</v>
      </c>
      <c r="L428" s="2"/>
      <c r="M428" s="2" t="s">
        <v>2414</v>
      </c>
      <c r="N428" s="2" t="s">
        <v>2413</v>
      </c>
      <c r="O428" s="2" t="s">
        <v>2413</v>
      </c>
      <c r="P428" s="66" t="s">
        <v>2051</v>
      </c>
      <c r="Q428" s="66" t="s">
        <v>1543</v>
      </c>
      <c r="R428" s="66"/>
      <c r="S428" s="27" t="str">
        <f t="shared" ca="1" si="6"/>
        <v>تم الاصلاح</v>
      </c>
    </row>
    <row r="429" spans="1:19" ht="27.75" customHeight="1" thickTop="1" thickBot="1" x14ac:dyDescent="0.35">
      <c r="A429" s="74">
        <v>1209700010004</v>
      </c>
      <c r="B429" s="7" t="s">
        <v>413</v>
      </c>
      <c r="C429" s="7" t="s">
        <v>417</v>
      </c>
      <c r="D429" s="7">
        <v>2011</v>
      </c>
      <c r="E429" s="7" t="s">
        <v>19</v>
      </c>
      <c r="F429" s="7" t="s">
        <v>415</v>
      </c>
      <c r="G429" s="8" t="s">
        <v>418</v>
      </c>
      <c r="H429" s="7" t="s">
        <v>263</v>
      </c>
      <c r="I429" s="7" t="s">
        <v>270</v>
      </c>
      <c r="J429" s="2" t="s">
        <v>1544</v>
      </c>
      <c r="K429" s="2" t="s">
        <v>1548</v>
      </c>
      <c r="L429" s="2" t="s">
        <v>1571</v>
      </c>
      <c r="M429" s="2" t="s">
        <v>2420</v>
      </c>
      <c r="N429" s="9" t="s">
        <v>2545</v>
      </c>
      <c r="O429" s="2" t="s">
        <v>2448</v>
      </c>
      <c r="P429" s="65" t="s">
        <v>2053</v>
      </c>
      <c r="Q429" s="65"/>
      <c r="R429" s="65"/>
      <c r="S429" s="27" t="str">
        <f t="shared" ca="1" si="6"/>
        <v>تم الاصلاح</v>
      </c>
    </row>
    <row r="430" spans="1:19" ht="27.75" customHeight="1" thickTop="1" thickBot="1" x14ac:dyDescent="0.35">
      <c r="A430" s="8">
        <v>1204700020009</v>
      </c>
      <c r="B430" s="7" t="s">
        <v>29</v>
      </c>
      <c r="C430" s="7" t="s">
        <v>1080</v>
      </c>
      <c r="D430" s="110">
        <v>2016</v>
      </c>
      <c r="E430" s="7" t="s">
        <v>19</v>
      </c>
      <c r="F430" s="7" t="s">
        <v>261</v>
      </c>
      <c r="G430" s="8" t="s">
        <v>1081</v>
      </c>
      <c r="H430" s="7" t="s">
        <v>945</v>
      </c>
      <c r="I430" s="113" t="s">
        <v>1069</v>
      </c>
      <c r="J430" s="110" t="s">
        <v>1531</v>
      </c>
      <c r="K430" s="11" t="s">
        <v>1912</v>
      </c>
      <c r="L430" s="2"/>
      <c r="M430" s="2" t="s">
        <v>2280</v>
      </c>
      <c r="N430" s="2" t="s">
        <v>2163</v>
      </c>
      <c r="O430" s="2" t="s">
        <v>2425</v>
      </c>
      <c r="P430" s="66" t="s">
        <v>1531</v>
      </c>
      <c r="Q430" s="66"/>
      <c r="R430" s="66" t="s">
        <v>2427</v>
      </c>
      <c r="S430" s="27" t="str">
        <f t="shared" ca="1" si="6"/>
        <v>تم الاصلاح</v>
      </c>
    </row>
    <row r="431" spans="1:19" ht="27.75" customHeight="1" thickTop="1" thickBot="1" x14ac:dyDescent="0.35">
      <c r="A431" s="8">
        <v>1105700080001</v>
      </c>
      <c r="B431" s="7" t="s">
        <v>302</v>
      </c>
      <c r="C431" s="7" t="s">
        <v>306</v>
      </c>
      <c r="D431" s="7">
        <v>2015</v>
      </c>
      <c r="E431" s="7" t="s">
        <v>19</v>
      </c>
      <c r="F431" s="7" t="s">
        <v>304</v>
      </c>
      <c r="G431" s="8" t="s">
        <v>307</v>
      </c>
      <c r="H431" s="7" t="s">
        <v>263</v>
      </c>
      <c r="I431" s="7" t="s">
        <v>270</v>
      </c>
      <c r="J431" s="2" t="s">
        <v>1544</v>
      </c>
      <c r="K431" s="11" t="s">
        <v>1912</v>
      </c>
      <c r="L431" s="2" t="s">
        <v>1565</v>
      </c>
      <c r="M431" s="2" t="s">
        <v>2457</v>
      </c>
      <c r="N431" s="2" t="s">
        <v>2448</v>
      </c>
      <c r="O431" s="2" t="s">
        <v>2474</v>
      </c>
      <c r="P431" s="65" t="s">
        <v>2053</v>
      </c>
      <c r="Q431" s="65"/>
      <c r="R431" s="65"/>
      <c r="S431" s="27" t="str">
        <f t="shared" ca="1" si="6"/>
        <v>تم الاصلاح</v>
      </c>
    </row>
    <row r="432" spans="1:19" ht="27.75" customHeight="1" thickTop="1" thickBot="1" x14ac:dyDescent="0.35">
      <c r="A432" s="75">
        <v>1101700010006</v>
      </c>
      <c r="B432" s="7" t="s">
        <v>2075</v>
      </c>
      <c r="C432" s="7" t="s">
        <v>206</v>
      </c>
      <c r="D432" s="7">
        <v>2013</v>
      </c>
      <c r="E432" s="7" t="s">
        <v>19</v>
      </c>
      <c r="F432" s="7" t="s">
        <v>52</v>
      </c>
      <c r="G432" s="8" t="s">
        <v>207</v>
      </c>
      <c r="H432" s="7" t="s">
        <v>35</v>
      </c>
      <c r="I432" s="7" t="s">
        <v>205</v>
      </c>
      <c r="J432" s="2" t="s">
        <v>1525</v>
      </c>
      <c r="K432" s="2" t="s">
        <v>1548</v>
      </c>
      <c r="L432" s="2" t="s">
        <v>1571</v>
      </c>
      <c r="M432" s="2" t="s">
        <v>2473</v>
      </c>
      <c r="N432" s="9" t="s">
        <v>2472</v>
      </c>
      <c r="O432" s="66"/>
      <c r="P432" s="66" t="s">
        <v>1525</v>
      </c>
      <c r="Q432" s="66" t="s">
        <v>2015</v>
      </c>
      <c r="R432" s="66"/>
      <c r="S432" s="27" t="e">
        <f t="shared" ca="1" si="6"/>
        <v>#VALUE!</v>
      </c>
    </row>
    <row r="433" spans="1:19" ht="27.75" customHeight="1" thickTop="1" thickBot="1" x14ac:dyDescent="0.35">
      <c r="A433" s="8">
        <v>1205700010001</v>
      </c>
      <c r="B433" s="7" t="s">
        <v>388</v>
      </c>
      <c r="C433" s="7" t="s">
        <v>1405</v>
      </c>
      <c r="D433" s="110">
        <v>2010</v>
      </c>
      <c r="E433" s="7" t="s">
        <v>19</v>
      </c>
      <c r="F433" s="97" t="s">
        <v>20</v>
      </c>
      <c r="G433" s="101" t="s">
        <v>1406</v>
      </c>
      <c r="H433" s="7" t="s">
        <v>263</v>
      </c>
      <c r="I433" s="7" t="s">
        <v>1225</v>
      </c>
      <c r="J433" s="110" t="s">
        <v>1544</v>
      </c>
      <c r="K433" s="11" t="s">
        <v>1912</v>
      </c>
      <c r="L433" s="2" t="s">
        <v>1571</v>
      </c>
      <c r="M433" s="2" t="s">
        <v>2610</v>
      </c>
      <c r="N433" s="2" t="s">
        <v>2611</v>
      </c>
      <c r="O433" s="2" t="s">
        <v>2615</v>
      </c>
      <c r="P433" s="65" t="s">
        <v>2053</v>
      </c>
      <c r="Q433" s="65"/>
      <c r="R433" s="65"/>
      <c r="S433" s="27" t="str">
        <f t="shared" ca="1" si="6"/>
        <v>تم الاصلاح</v>
      </c>
    </row>
    <row r="434" spans="1:19" ht="27.75" customHeight="1" thickTop="1" thickBot="1" x14ac:dyDescent="0.35">
      <c r="A434" s="8">
        <v>1204700010003</v>
      </c>
      <c r="B434" s="7" t="s">
        <v>96</v>
      </c>
      <c r="C434" s="90" t="s">
        <v>622</v>
      </c>
      <c r="D434" s="110">
        <v>2008</v>
      </c>
      <c r="E434" s="7" t="s">
        <v>19</v>
      </c>
      <c r="F434" s="96" t="s">
        <v>10</v>
      </c>
      <c r="G434" s="8" t="s">
        <v>623</v>
      </c>
      <c r="H434" s="7" t="s">
        <v>263</v>
      </c>
      <c r="I434" s="7" t="s">
        <v>618</v>
      </c>
      <c r="J434" s="110" t="s">
        <v>1537</v>
      </c>
      <c r="K434" s="2" t="s">
        <v>1548</v>
      </c>
      <c r="L434" s="2" t="s">
        <v>1571</v>
      </c>
      <c r="M434" s="2" t="s">
        <v>2491</v>
      </c>
      <c r="N434" s="9" t="s">
        <v>2489</v>
      </c>
      <c r="O434" s="66"/>
      <c r="P434" s="66" t="s">
        <v>1537</v>
      </c>
      <c r="Q434" s="66" t="s">
        <v>2040</v>
      </c>
      <c r="R434" s="66"/>
      <c r="S434" s="27" t="e">
        <f t="shared" ca="1" si="6"/>
        <v>#VALUE!</v>
      </c>
    </row>
    <row r="435" spans="1:19" ht="27.75" customHeight="1" thickTop="1" thickBot="1" x14ac:dyDescent="0.35">
      <c r="A435" s="8">
        <v>1205700010001</v>
      </c>
      <c r="B435" s="7" t="s">
        <v>388</v>
      </c>
      <c r="C435" s="7" t="s">
        <v>599</v>
      </c>
      <c r="D435" s="110">
        <v>2005</v>
      </c>
      <c r="E435" s="7" t="s">
        <v>19</v>
      </c>
      <c r="F435" s="97" t="s">
        <v>20</v>
      </c>
      <c r="G435" s="101" t="s">
        <v>600</v>
      </c>
      <c r="H435" s="111" t="s">
        <v>263</v>
      </c>
      <c r="I435" s="7" t="s">
        <v>583</v>
      </c>
      <c r="J435" s="110" t="s">
        <v>1513</v>
      </c>
      <c r="K435" s="11" t="s">
        <v>1912</v>
      </c>
      <c r="L435" s="2" t="s">
        <v>1564</v>
      </c>
      <c r="M435" s="2" t="s">
        <v>2299</v>
      </c>
      <c r="N435" s="2" t="s">
        <v>1893</v>
      </c>
      <c r="O435" s="2" t="s">
        <v>2492</v>
      </c>
      <c r="P435" s="65" t="s">
        <v>1513</v>
      </c>
      <c r="Q435" s="65" t="s">
        <v>2029</v>
      </c>
      <c r="R435" s="65"/>
      <c r="S435" s="27" t="str">
        <f t="shared" ca="1" si="6"/>
        <v>تم الاصلاح</v>
      </c>
    </row>
    <row r="436" spans="1:19" ht="27.75" customHeight="1" thickTop="1" thickBot="1" x14ac:dyDescent="0.35">
      <c r="A436" s="8">
        <v>1204700020003</v>
      </c>
      <c r="B436" s="7" t="s">
        <v>13</v>
      </c>
      <c r="C436" s="7" t="s">
        <v>1091</v>
      </c>
      <c r="D436" s="110">
        <v>2002</v>
      </c>
      <c r="E436" s="7" t="s">
        <v>19</v>
      </c>
      <c r="F436" s="96" t="s">
        <v>10</v>
      </c>
      <c r="G436" s="8" t="s">
        <v>1092</v>
      </c>
      <c r="H436" s="111" t="s">
        <v>945</v>
      </c>
      <c r="I436" s="7" t="s">
        <v>1088</v>
      </c>
      <c r="J436" s="110" t="s">
        <v>1493</v>
      </c>
      <c r="K436" s="2" t="s">
        <v>1548</v>
      </c>
      <c r="L436" s="2" t="s">
        <v>1565</v>
      </c>
      <c r="M436" s="2" t="s">
        <v>2556</v>
      </c>
      <c r="N436" s="9" t="s">
        <v>2557</v>
      </c>
      <c r="O436" s="2" t="s">
        <v>2492</v>
      </c>
      <c r="P436" s="66"/>
      <c r="Q436" s="66"/>
      <c r="R436" s="66" t="s">
        <v>2500</v>
      </c>
      <c r="S436" s="27" t="str">
        <f t="shared" ca="1" si="6"/>
        <v>تم الاصلاح</v>
      </c>
    </row>
    <row r="437" spans="1:19" ht="27.75" customHeight="1" thickTop="1" thickBot="1" x14ac:dyDescent="0.35">
      <c r="A437" s="58">
        <v>1106700020003</v>
      </c>
      <c r="B437" s="7" t="s">
        <v>54</v>
      </c>
      <c r="C437" s="7" t="s">
        <v>971</v>
      </c>
      <c r="D437" s="70">
        <v>2015</v>
      </c>
      <c r="E437" s="7" t="s">
        <v>19</v>
      </c>
      <c r="F437" s="7" t="s">
        <v>56</v>
      </c>
      <c r="G437" s="8" t="s">
        <v>972</v>
      </c>
      <c r="H437" s="7" t="s">
        <v>35</v>
      </c>
      <c r="I437" s="7" t="s">
        <v>968</v>
      </c>
      <c r="J437" s="2" t="s">
        <v>1506</v>
      </c>
      <c r="K437" s="11" t="s">
        <v>1912</v>
      </c>
      <c r="L437" s="2" t="s">
        <v>1564</v>
      </c>
      <c r="M437" s="2" t="s">
        <v>1781</v>
      </c>
      <c r="N437" s="2" t="s">
        <v>1782</v>
      </c>
      <c r="O437" s="2" t="s">
        <v>2612</v>
      </c>
      <c r="P437" s="65" t="s">
        <v>1477</v>
      </c>
      <c r="Q437" s="65" t="s">
        <v>2001</v>
      </c>
      <c r="R437" s="65"/>
      <c r="S437" s="27" t="str">
        <f t="shared" ca="1" si="6"/>
        <v>تم الاصلاح</v>
      </c>
    </row>
    <row r="438" spans="1:19" ht="27.75" customHeight="1" thickTop="1" thickBot="1" x14ac:dyDescent="0.35">
      <c r="A438" s="8">
        <v>1204700020002</v>
      </c>
      <c r="B438" s="7" t="s">
        <v>178</v>
      </c>
      <c r="C438" s="90" t="s">
        <v>520</v>
      </c>
      <c r="D438" s="110">
        <v>2013</v>
      </c>
      <c r="E438" s="7" t="s">
        <v>19</v>
      </c>
      <c r="F438" s="96" t="s">
        <v>10</v>
      </c>
      <c r="G438" s="8" t="s">
        <v>521</v>
      </c>
      <c r="H438" s="7" t="s">
        <v>263</v>
      </c>
      <c r="I438" s="7" t="s">
        <v>509</v>
      </c>
      <c r="J438" s="110" t="s">
        <v>1477</v>
      </c>
      <c r="K438" s="11" t="s">
        <v>1912</v>
      </c>
      <c r="L438" s="2" t="s">
        <v>1571</v>
      </c>
      <c r="M438" s="2" t="s">
        <v>2535</v>
      </c>
      <c r="N438" s="2" t="s">
        <v>2534</v>
      </c>
      <c r="O438" s="2" t="s">
        <v>2615</v>
      </c>
      <c r="P438" s="65" t="s">
        <v>1477</v>
      </c>
      <c r="Q438" s="65" t="s">
        <v>1999</v>
      </c>
      <c r="R438" s="65"/>
      <c r="S438" s="27" t="str">
        <f t="shared" ca="1" si="6"/>
        <v>تم الاصلاح</v>
      </c>
    </row>
    <row r="439" spans="1:19" ht="27.75" customHeight="1" thickTop="1" thickBot="1" x14ac:dyDescent="0.35">
      <c r="A439" s="8">
        <v>1204700020003</v>
      </c>
      <c r="B439" s="7" t="s">
        <v>13</v>
      </c>
      <c r="C439" s="90" t="s">
        <v>595</v>
      </c>
      <c r="D439" s="110">
        <v>2009</v>
      </c>
      <c r="E439" s="7" t="s">
        <v>19</v>
      </c>
      <c r="F439" s="96" t="s">
        <v>10</v>
      </c>
      <c r="G439" s="8" t="s">
        <v>596</v>
      </c>
      <c r="H439" s="7" t="s">
        <v>263</v>
      </c>
      <c r="I439" s="7" t="s">
        <v>583</v>
      </c>
      <c r="J439" s="110" t="s">
        <v>1513</v>
      </c>
      <c r="K439" s="11" t="s">
        <v>1912</v>
      </c>
      <c r="L439" s="2" t="s">
        <v>1565</v>
      </c>
      <c r="M439" s="2" t="s">
        <v>2544</v>
      </c>
      <c r="N439" s="2" t="s">
        <v>2545</v>
      </c>
      <c r="O439" s="2" t="s">
        <v>2549</v>
      </c>
      <c r="P439" s="65" t="s">
        <v>1513</v>
      </c>
      <c r="Q439" s="65" t="s">
        <v>2029</v>
      </c>
      <c r="R439" s="65"/>
      <c r="S439" s="27" t="str">
        <f t="shared" ca="1" si="6"/>
        <v>تم الاصلاح</v>
      </c>
    </row>
    <row r="440" spans="1:19" ht="27.75" customHeight="1" thickTop="1" thickBot="1" x14ac:dyDescent="0.35">
      <c r="A440" s="8">
        <v>1204700020002</v>
      </c>
      <c r="B440" s="7" t="s">
        <v>178</v>
      </c>
      <c r="C440" s="7" t="s">
        <v>1128</v>
      </c>
      <c r="D440" s="110">
        <v>2011</v>
      </c>
      <c r="E440" s="7" t="s">
        <v>19</v>
      </c>
      <c r="F440" s="96" t="s">
        <v>10</v>
      </c>
      <c r="G440" s="8" t="s">
        <v>1129</v>
      </c>
      <c r="H440" s="7" t="s">
        <v>945</v>
      </c>
      <c r="I440" s="7" t="s">
        <v>1125</v>
      </c>
      <c r="J440" s="7" t="s">
        <v>1531</v>
      </c>
      <c r="K440" s="2" t="s">
        <v>1548</v>
      </c>
      <c r="L440" s="2" t="s">
        <v>1615</v>
      </c>
      <c r="M440" s="2" t="s">
        <v>2490</v>
      </c>
      <c r="N440" s="2" t="s">
        <v>2635</v>
      </c>
      <c r="O440" s="2" t="s">
        <v>2549</v>
      </c>
      <c r="P440" s="66" t="s">
        <v>1531</v>
      </c>
      <c r="Q440" s="66" t="s">
        <v>2019</v>
      </c>
      <c r="R440" s="66"/>
      <c r="S440" s="27" t="str">
        <f t="shared" ca="1" si="6"/>
        <v>تم الاصلاح</v>
      </c>
    </row>
    <row r="441" spans="1:19" ht="27.75" customHeight="1" thickTop="1" thickBot="1" x14ac:dyDescent="0.35">
      <c r="A441" s="8">
        <v>1204700010003</v>
      </c>
      <c r="B441" s="7" t="s">
        <v>96</v>
      </c>
      <c r="C441" s="90" t="s">
        <v>227</v>
      </c>
      <c r="D441" s="110">
        <v>2002</v>
      </c>
      <c r="E441" s="7" t="s">
        <v>19</v>
      </c>
      <c r="F441" s="96" t="s">
        <v>10</v>
      </c>
      <c r="G441" s="8" t="s">
        <v>228</v>
      </c>
      <c r="H441" s="7" t="s">
        <v>35</v>
      </c>
      <c r="I441" s="7" t="s">
        <v>220</v>
      </c>
      <c r="J441" s="110" t="s">
        <v>1525</v>
      </c>
      <c r="K441" s="2" t="s">
        <v>1548</v>
      </c>
      <c r="L441" s="2" t="s">
        <v>1571</v>
      </c>
      <c r="M441" s="2" t="s">
        <v>2552</v>
      </c>
      <c r="N441" s="9" t="s">
        <v>2553</v>
      </c>
      <c r="O441" s="2"/>
      <c r="P441" s="65" t="s">
        <v>1525</v>
      </c>
      <c r="Q441" s="65" t="s">
        <v>2018</v>
      </c>
      <c r="R441" s="65"/>
      <c r="S441" s="27" t="e">
        <f t="shared" ca="1" si="6"/>
        <v>#VALUE!</v>
      </c>
    </row>
    <row r="442" spans="1:19" ht="27.75" customHeight="1" thickTop="1" thickBot="1" x14ac:dyDescent="0.35">
      <c r="A442" s="58">
        <v>1106700020003</v>
      </c>
      <c r="B442" s="7" t="s">
        <v>54</v>
      </c>
      <c r="C442" s="7" t="s">
        <v>790</v>
      </c>
      <c r="D442" s="70">
        <v>2014</v>
      </c>
      <c r="E442" s="7" t="s">
        <v>19</v>
      </c>
      <c r="F442" s="7" t="s">
        <v>56</v>
      </c>
      <c r="G442" s="8" t="s">
        <v>791</v>
      </c>
      <c r="H442" s="7" t="s">
        <v>35</v>
      </c>
      <c r="I442" s="7" t="s">
        <v>787</v>
      </c>
      <c r="J442" s="2" t="s">
        <v>1477</v>
      </c>
      <c r="K442" s="2" t="s">
        <v>1548</v>
      </c>
      <c r="L442" s="2" t="s">
        <v>1564</v>
      </c>
      <c r="M442" s="2" t="s">
        <v>2598</v>
      </c>
      <c r="N442" s="9" t="s">
        <v>2599</v>
      </c>
      <c r="O442" s="2" t="s">
        <v>2593</v>
      </c>
      <c r="P442" s="66" t="s">
        <v>1477</v>
      </c>
      <c r="Q442" s="66" t="s">
        <v>2002</v>
      </c>
      <c r="R442" s="66"/>
      <c r="S442" s="27" t="str">
        <f t="shared" ca="1" si="6"/>
        <v>تم الاصلاح</v>
      </c>
    </row>
    <row r="443" spans="1:19" ht="27.75" customHeight="1" thickTop="1" thickBot="1" x14ac:dyDescent="0.35">
      <c r="A443" s="8">
        <v>1112700020001</v>
      </c>
      <c r="B443" s="98" t="s">
        <v>370</v>
      </c>
      <c r="C443" s="7" t="s">
        <v>371</v>
      </c>
      <c r="D443" s="7">
        <v>2011</v>
      </c>
      <c r="E443" s="7" t="s">
        <v>19</v>
      </c>
      <c r="F443" s="97" t="s">
        <v>42</v>
      </c>
      <c r="G443" s="8" t="s">
        <v>372</v>
      </c>
      <c r="H443" s="7" t="s">
        <v>263</v>
      </c>
      <c r="I443" s="7" t="s">
        <v>270</v>
      </c>
      <c r="J443" s="2" t="s">
        <v>1544</v>
      </c>
      <c r="K443" s="2" t="s">
        <v>1548</v>
      </c>
      <c r="L443" s="2" t="s">
        <v>1564</v>
      </c>
      <c r="M443" s="2" t="s">
        <v>2567</v>
      </c>
      <c r="N443" s="9" t="s">
        <v>2565</v>
      </c>
      <c r="O443" s="2"/>
      <c r="P443" s="65" t="s">
        <v>2053</v>
      </c>
      <c r="Q443" s="65"/>
      <c r="R443" s="65"/>
      <c r="S443" s="27" t="e">
        <f t="shared" ca="1" si="6"/>
        <v>#VALUE!</v>
      </c>
    </row>
    <row r="444" spans="1:19" ht="27.75" customHeight="1" thickTop="1" thickBot="1" x14ac:dyDescent="0.35">
      <c r="A444" s="74">
        <v>1105700150011</v>
      </c>
      <c r="B444" s="7" t="s">
        <v>44</v>
      </c>
      <c r="C444" s="7" t="s">
        <v>45</v>
      </c>
      <c r="D444" s="7">
        <v>2014</v>
      </c>
      <c r="E444" s="7" t="s">
        <v>19</v>
      </c>
      <c r="F444" s="97" t="s">
        <v>42</v>
      </c>
      <c r="G444" s="101" t="s">
        <v>46</v>
      </c>
      <c r="H444" s="7" t="s">
        <v>35</v>
      </c>
      <c r="I444" s="7" t="s">
        <v>39</v>
      </c>
      <c r="J444" s="2" t="s">
        <v>1506</v>
      </c>
      <c r="K444" s="11" t="s">
        <v>1912</v>
      </c>
      <c r="L444" s="2" t="s">
        <v>1571</v>
      </c>
      <c r="M444" s="2" t="s">
        <v>2584</v>
      </c>
      <c r="N444" s="2" t="s">
        <v>1898</v>
      </c>
      <c r="O444" s="2" t="s">
        <v>2639</v>
      </c>
      <c r="P444" s="66" t="s">
        <v>1506</v>
      </c>
      <c r="Q444" s="66" t="s">
        <v>2006</v>
      </c>
      <c r="R444" s="66"/>
      <c r="S444" s="27" t="str">
        <f t="shared" ca="1" si="6"/>
        <v>تم الاصلاح</v>
      </c>
    </row>
    <row r="445" spans="1:19" ht="27.75" customHeight="1" thickTop="1" thickBot="1" x14ac:dyDescent="0.35">
      <c r="A445" s="8">
        <v>1204700010003</v>
      </c>
      <c r="B445" s="7" t="s">
        <v>96</v>
      </c>
      <c r="C445" s="7" t="s">
        <v>624</v>
      </c>
      <c r="D445" s="110">
        <v>2006</v>
      </c>
      <c r="E445" s="91" t="s">
        <v>19</v>
      </c>
      <c r="F445" s="96" t="s">
        <v>10</v>
      </c>
      <c r="G445" s="8" t="s">
        <v>625</v>
      </c>
      <c r="H445" s="111" t="s">
        <v>263</v>
      </c>
      <c r="I445" s="7" t="s">
        <v>618</v>
      </c>
      <c r="J445" s="110" t="s">
        <v>1537</v>
      </c>
      <c r="K445" s="11" t="s">
        <v>1912</v>
      </c>
      <c r="L445" s="2" t="s">
        <v>1613</v>
      </c>
      <c r="M445" s="2" t="s">
        <v>1627</v>
      </c>
      <c r="N445" s="2" t="s">
        <v>1853</v>
      </c>
      <c r="O445" s="2" t="s">
        <v>1647</v>
      </c>
      <c r="P445" s="65" t="s">
        <v>1537</v>
      </c>
      <c r="Q445" s="65" t="s">
        <v>2040</v>
      </c>
      <c r="R445" s="65"/>
      <c r="S445" s="27" t="str">
        <f t="shared" ca="1" si="6"/>
        <v>تم الاصلاح</v>
      </c>
    </row>
    <row r="446" spans="1:19" ht="27.75" customHeight="1" thickTop="1" thickBot="1" x14ac:dyDescent="0.35">
      <c r="A446" s="75">
        <v>1101700010006</v>
      </c>
      <c r="B446" s="7" t="s">
        <v>2075</v>
      </c>
      <c r="C446" s="7" t="s">
        <v>144</v>
      </c>
      <c r="D446" s="7">
        <v>2013</v>
      </c>
      <c r="E446" s="7" t="s">
        <v>19</v>
      </c>
      <c r="F446" s="7" t="s">
        <v>52</v>
      </c>
      <c r="G446" s="8" t="s">
        <v>145</v>
      </c>
      <c r="H446" s="7" t="s">
        <v>35</v>
      </c>
      <c r="I446" s="7" t="s">
        <v>143</v>
      </c>
      <c r="J446" s="2" t="s">
        <v>1537</v>
      </c>
      <c r="K446" s="11" t="s">
        <v>1912</v>
      </c>
      <c r="L446" s="2" t="s">
        <v>1613</v>
      </c>
      <c r="M446" s="2" t="s">
        <v>1613</v>
      </c>
      <c r="N446" s="2" t="s">
        <v>2617</v>
      </c>
      <c r="O446" s="2" t="s">
        <v>2625</v>
      </c>
      <c r="P446" s="66" t="s">
        <v>1537</v>
      </c>
      <c r="Q446" s="66" t="s">
        <v>2041</v>
      </c>
      <c r="R446" s="66"/>
      <c r="S446" s="27" t="str">
        <f t="shared" ca="1" si="6"/>
        <v>تم الاصلاح</v>
      </c>
    </row>
    <row r="447" spans="1:19" ht="27.75" customHeight="1" thickTop="1" thickBot="1" x14ac:dyDescent="0.35">
      <c r="A447" s="75">
        <v>1101700010006</v>
      </c>
      <c r="B447" s="7" t="s">
        <v>2075</v>
      </c>
      <c r="C447" s="7" t="s">
        <v>921</v>
      </c>
      <c r="D447" s="7">
        <v>2013</v>
      </c>
      <c r="E447" s="7" t="s">
        <v>19</v>
      </c>
      <c r="F447" s="7" t="s">
        <v>52</v>
      </c>
      <c r="G447" s="8" t="s">
        <v>922</v>
      </c>
      <c r="H447" s="7" t="s">
        <v>35</v>
      </c>
      <c r="I447" s="7" t="s">
        <v>920</v>
      </c>
      <c r="J447" s="2" t="s">
        <v>1518</v>
      </c>
      <c r="K447" s="11" t="s">
        <v>1912</v>
      </c>
      <c r="L447" s="2" t="s">
        <v>1565</v>
      </c>
      <c r="M447" s="2" t="s">
        <v>2621</v>
      </c>
      <c r="N447" s="2" t="s">
        <v>2617</v>
      </c>
      <c r="O447" s="2" t="s">
        <v>2625</v>
      </c>
      <c r="P447" s="65" t="s">
        <v>1518</v>
      </c>
      <c r="Q447" s="65" t="s">
        <v>1989</v>
      </c>
      <c r="R447" s="65"/>
      <c r="S447" s="27" t="str">
        <f t="shared" ca="1" si="6"/>
        <v>تم الاصلاح</v>
      </c>
    </row>
    <row r="448" spans="1:19" ht="27.75" customHeight="1" thickTop="1" thickBot="1" x14ac:dyDescent="0.35">
      <c r="A448" s="58">
        <v>1106700020003</v>
      </c>
      <c r="B448" s="7" t="s">
        <v>54</v>
      </c>
      <c r="C448" s="7" t="s">
        <v>983</v>
      </c>
      <c r="D448" s="70">
        <v>2015</v>
      </c>
      <c r="E448" s="7" t="s">
        <v>19</v>
      </c>
      <c r="F448" s="7" t="s">
        <v>56</v>
      </c>
      <c r="G448" s="8" t="s">
        <v>984</v>
      </c>
      <c r="H448" s="7" t="s">
        <v>35</v>
      </c>
      <c r="I448" s="7" t="s">
        <v>980</v>
      </c>
      <c r="J448" s="2" t="s">
        <v>1513</v>
      </c>
      <c r="K448" s="2" t="s">
        <v>2066</v>
      </c>
      <c r="L448" s="2" t="s">
        <v>1567</v>
      </c>
      <c r="M448" s="2" t="s">
        <v>2629</v>
      </c>
      <c r="N448" s="2" t="s">
        <v>2625</v>
      </c>
      <c r="O448" s="2" t="s">
        <v>2677</v>
      </c>
      <c r="P448" s="65" t="s">
        <v>1513</v>
      </c>
      <c r="Q448" s="65" t="s">
        <v>2029</v>
      </c>
      <c r="R448" s="65"/>
      <c r="S448" s="27" t="str">
        <f t="shared" ca="1" si="6"/>
        <v>تم الاصلاح</v>
      </c>
    </row>
    <row r="449" spans="1:19" ht="27.75" customHeight="1" thickTop="1" thickBot="1" x14ac:dyDescent="0.35">
      <c r="A449" s="58">
        <v>1106700020003</v>
      </c>
      <c r="B449" s="7" t="s">
        <v>54</v>
      </c>
      <c r="C449" s="7" t="s">
        <v>80</v>
      </c>
      <c r="D449" s="70">
        <v>2013</v>
      </c>
      <c r="E449" s="7" t="s">
        <v>19</v>
      </c>
      <c r="F449" s="7" t="s">
        <v>56</v>
      </c>
      <c r="G449" s="8" t="s">
        <v>81</v>
      </c>
      <c r="H449" s="7" t="s">
        <v>35</v>
      </c>
      <c r="I449" s="7" t="s">
        <v>77</v>
      </c>
      <c r="J449" s="2" t="s">
        <v>1487</v>
      </c>
      <c r="K449" s="11" t="s">
        <v>1912</v>
      </c>
      <c r="L449" s="2" t="s">
        <v>1564</v>
      </c>
      <c r="M449" s="2" t="s">
        <v>2445</v>
      </c>
      <c r="N449" s="2" t="s">
        <v>2630</v>
      </c>
      <c r="O449" s="2" t="s">
        <v>2641</v>
      </c>
      <c r="P449" s="66" t="s">
        <v>2034</v>
      </c>
      <c r="Q449" s="66" t="s">
        <v>2038</v>
      </c>
      <c r="R449" s="66"/>
      <c r="S449" s="27" t="str">
        <f t="shared" ca="1" si="6"/>
        <v>تم الاصلاح</v>
      </c>
    </row>
    <row r="450" spans="1:19" ht="27.75" customHeight="1" thickTop="1" thickBot="1" x14ac:dyDescent="0.35">
      <c r="A450" s="8">
        <v>1204700010003</v>
      </c>
      <c r="B450" s="7" t="s">
        <v>96</v>
      </c>
      <c r="C450" s="7" t="s">
        <v>1108</v>
      </c>
      <c r="D450" s="110">
        <v>2020</v>
      </c>
      <c r="E450" s="7" t="s">
        <v>19</v>
      </c>
      <c r="F450" s="96" t="s">
        <v>377</v>
      </c>
      <c r="G450" s="8" t="s">
        <v>1109</v>
      </c>
      <c r="H450" s="7" t="s">
        <v>945</v>
      </c>
      <c r="I450" s="7" t="s">
        <v>1107</v>
      </c>
      <c r="J450" s="110" t="s">
        <v>1544</v>
      </c>
      <c r="K450" s="11" t="s">
        <v>1912</v>
      </c>
      <c r="L450" s="2" t="s">
        <v>1559</v>
      </c>
      <c r="M450" s="2" t="s">
        <v>1559</v>
      </c>
      <c r="N450" s="2" t="s">
        <v>1655</v>
      </c>
      <c r="O450" s="2" t="s">
        <v>2698</v>
      </c>
      <c r="P450" s="66" t="s">
        <v>2053</v>
      </c>
      <c r="Q450" s="66"/>
      <c r="R450" s="66"/>
      <c r="S450" s="27" t="str">
        <f t="shared" ca="1" si="6"/>
        <v>تم الاصلاح</v>
      </c>
    </row>
    <row r="451" spans="1:19" ht="27.75" customHeight="1" thickTop="1" thickBot="1" x14ac:dyDescent="0.35">
      <c r="A451" s="8">
        <v>1204700010002</v>
      </c>
      <c r="B451" s="7" t="s">
        <v>265</v>
      </c>
      <c r="C451" s="91" t="s">
        <v>266</v>
      </c>
      <c r="D451" s="110">
        <v>2003</v>
      </c>
      <c r="E451" s="7" t="s">
        <v>19</v>
      </c>
      <c r="F451" s="96" t="s">
        <v>10</v>
      </c>
      <c r="G451" s="8" t="s">
        <v>267</v>
      </c>
      <c r="H451" s="111" t="s">
        <v>263</v>
      </c>
      <c r="I451" s="7" t="s">
        <v>264</v>
      </c>
      <c r="J451" s="110" t="s">
        <v>1555</v>
      </c>
      <c r="K451" s="11" t="s">
        <v>1912</v>
      </c>
      <c r="L451" s="2" t="s">
        <v>1571</v>
      </c>
      <c r="M451" s="2" t="s">
        <v>1609</v>
      </c>
      <c r="N451" s="2" t="s">
        <v>2111</v>
      </c>
      <c r="O451" s="2" t="s">
        <v>2615</v>
      </c>
      <c r="P451" s="65"/>
      <c r="Q451" s="65"/>
      <c r="R451" s="65"/>
      <c r="S451" s="27" t="str">
        <f t="shared" ca="1" si="6"/>
        <v>تم الاصلاح</v>
      </c>
    </row>
    <row r="452" spans="1:19" ht="27.75" customHeight="1" thickTop="1" thickBot="1" x14ac:dyDescent="0.35">
      <c r="A452" s="8">
        <v>1204700020003</v>
      </c>
      <c r="B452" s="7" t="s">
        <v>13</v>
      </c>
      <c r="C452" s="7" t="s">
        <v>628</v>
      </c>
      <c r="D452" s="110">
        <v>2006</v>
      </c>
      <c r="E452" s="91" t="s">
        <v>19</v>
      </c>
      <c r="F452" s="96" t="s">
        <v>10</v>
      </c>
      <c r="G452" s="8" t="s">
        <v>629</v>
      </c>
      <c r="H452" s="111" t="s">
        <v>263</v>
      </c>
      <c r="I452" s="7" t="s">
        <v>618</v>
      </c>
      <c r="J452" s="110" t="s">
        <v>1537</v>
      </c>
      <c r="K452" s="11" t="s">
        <v>1912</v>
      </c>
      <c r="L452" s="2" t="s">
        <v>1613</v>
      </c>
      <c r="M452" s="2" t="s">
        <v>1627</v>
      </c>
      <c r="N452" s="2" t="s">
        <v>2599</v>
      </c>
      <c r="O452" s="2" t="s">
        <v>2641</v>
      </c>
      <c r="P452" s="66" t="s">
        <v>1537</v>
      </c>
      <c r="Q452" s="66" t="s">
        <v>2040</v>
      </c>
      <c r="R452" s="66"/>
      <c r="S452" s="27" t="str">
        <f t="shared" ca="1" si="6"/>
        <v>تم الاصلاح</v>
      </c>
    </row>
    <row r="453" spans="1:19" ht="27.75" customHeight="1" thickTop="1" thickBot="1" x14ac:dyDescent="0.35">
      <c r="A453" s="58">
        <v>1106700020003</v>
      </c>
      <c r="B453" s="7" t="s">
        <v>54</v>
      </c>
      <c r="C453" s="7" t="s">
        <v>333</v>
      </c>
      <c r="D453" s="70">
        <v>2015</v>
      </c>
      <c r="E453" s="7" t="s">
        <v>19</v>
      </c>
      <c r="F453" s="7" t="s">
        <v>56</v>
      </c>
      <c r="G453" s="8" t="s">
        <v>334</v>
      </c>
      <c r="H453" s="7" t="s">
        <v>263</v>
      </c>
      <c r="I453" s="7" t="s">
        <v>270</v>
      </c>
      <c r="J453" s="2" t="s">
        <v>1487</v>
      </c>
      <c r="K453" s="11" t="s">
        <v>1912</v>
      </c>
      <c r="L453" s="2" t="s">
        <v>1615</v>
      </c>
      <c r="M453" s="2" t="s">
        <v>2642</v>
      </c>
      <c r="N453" s="2" t="s">
        <v>2641</v>
      </c>
      <c r="O453" s="2" t="s">
        <v>2672</v>
      </c>
      <c r="P453" s="65" t="s">
        <v>2034</v>
      </c>
      <c r="Q453" s="65" t="s">
        <v>2037</v>
      </c>
      <c r="R453" s="65"/>
      <c r="S453" s="27" t="str">
        <f t="shared" ca="1" si="6"/>
        <v>تم الاصلاح</v>
      </c>
    </row>
    <row r="454" spans="1:19" ht="27.75" customHeight="1" thickTop="1" thickBot="1" x14ac:dyDescent="0.35">
      <c r="A454" s="8">
        <v>1102700020004</v>
      </c>
      <c r="B454" s="7" t="s">
        <v>136</v>
      </c>
      <c r="C454" s="7" t="s">
        <v>169</v>
      </c>
      <c r="D454" s="7">
        <v>2015</v>
      </c>
      <c r="E454" s="7" t="s">
        <v>19</v>
      </c>
      <c r="F454" s="7" t="s">
        <v>66</v>
      </c>
      <c r="G454" s="8" t="s">
        <v>170</v>
      </c>
      <c r="H454" s="7" t="s">
        <v>35</v>
      </c>
      <c r="I454" s="7" t="s">
        <v>166</v>
      </c>
      <c r="J454" s="2" t="s">
        <v>1471</v>
      </c>
      <c r="K454" s="2" t="s">
        <v>1548</v>
      </c>
      <c r="L454" s="2" t="s">
        <v>1571</v>
      </c>
      <c r="M454" s="2" t="s">
        <v>2684</v>
      </c>
      <c r="N454" s="2" t="s">
        <v>2677</v>
      </c>
      <c r="O454" s="2"/>
      <c r="P454" s="66" t="s">
        <v>1471</v>
      </c>
      <c r="Q454" s="66" t="s">
        <v>1994</v>
      </c>
      <c r="R454" s="66"/>
      <c r="S454" s="27" t="e">
        <f t="shared" ca="1" si="6"/>
        <v>#VALUE!</v>
      </c>
    </row>
    <row r="455" spans="1:19" ht="27.75" customHeight="1" thickTop="1" thickBot="1" x14ac:dyDescent="0.35">
      <c r="A455" s="75">
        <v>1101700010006</v>
      </c>
      <c r="B455" s="7" t="s">
        <v>2075</v>
      </c>
      <c r="C455" s="7" t="s">
        <v>828</v>
      </c>
      <c r="D455" s="7">
        <v>2013</v>
      </c>
      <c r="E455" s="7" t="s">
        <v>19</v>
      </c>
      <c r="F455" s="7" t="s">
        <v>52</v>
      </c>
      <c r="G455" s="8" t="s">
        <v>829</v>
      </c>
      <c r="H455" s="7" t="s">
        <v>35</v>
      </c>
      <c r="I455" s="7" t="s">
        <v>827</v>
      </c>
      <c r="J455" s="2" t="s">
        <v>1531</v>
      </c>
      <c r="K455" s="2" t="s">
        <v>1548</v>
      </c>
      <c r="L455" s="2" t="s">
        <v>1571</v>
      </c>
      <c r="M455" s="2" t="s">
        <v>2691</v>
      </c>
      <c r="N455" s="2" t="s">
        <v>2688</v>
      </c>
      <c r="O455" s="2"/>
      <c r="P455" s="65" t="s">
        <v>1531</v>
      </c>
      <c r="Q455" s="65" t="s">
        <v>2020</v>
      </c>
      <c r="R455" s="65"/>
      <c r="S455" s="27" t="e">
        <f t="shared" ca="1" si="6"/>
        <v>#VALUE!</v>
      </c>
    </row>
    <row r="456" spans="1:19" ht="27.75" customHeight="1" thickTop="1" thickBot="1" x14ac:dyDescent="0.35">
      <c r="A456" s="39"/>
      <c r="B456" s="50" t="str" cm="1">
        <f t="array" ref="B456">IF(
   OR(A456="", $B$9="", $B$10="", $B$11=""),
   "",
   _xlfn.LET(
      _xlpm.result,
      IFERROR(
         _xlfn.XLOOKUP(
            1,
            (Table8[رقم الصنف]=A456)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56" s="27" t="str" cm="1">
        <f t="array" ref="C456">IF(
   A456="",
   "",
   _xlfn.LET(
      _xlpm.result,
      IFERROR(
         _xlfn.XLOOKUP(
            1,
            (Table8[رقم الصنف]=A456) *
            (IF($B$9="الكل",1, YEAR('ادخال البيانات'!$N$3:$N$1164) = VALUE($B$9))) *
            (IF($B$10="الكل",1, MONTH('ادخال البيانات'!$N$3:$N$1164) = VALUE($B$10))) *
            (IF($B$11="الكل",1, INT((DAY('ادخال البيانات'!$N$3:$N$1164)-1)/7)+1 = VALUE($B$11))),
            'ادخال البيانات'!$C$3:$C$1164
         ),
         ""
      ),
      IF(_xlpm.result="", "", _xlpm.result)
   )
)</f>
        <v/>
      </c>
      <c r="D456" s="27" t="str" cm="1">
        <f t="array" ref="D456">IF(
   OR(A456="", $B$9="", $B$10="", $B$11=""),
   "",
   _xlfn.LET(
      _xlpm.result,
      IFERROR(
         _xlfn.XLOOKUP(
            1,
            (Table8[رقم الصنف]=A456) *
            (IF($B$9="الكل",1, YEAR('ادخال البيانات'!$N$3:$N$1164)=VALUE($B$9))) *
            (IF($B$10="الكل",1, MONTH('ادخال البيانات'!$N$3:$N$1164)=VALUE($B$10))) *
            (IF($B$11="الكل",1, INT((DAY('ادخال البيانات'!$N$3:$N$1164)-1)/7)+1 = VALUE($B$11))),
            'ادخال البيانات'!$D$3:$D$1164
         ),
         ""
      ),
      IF(_xlpm.result="", "", _xlpm.result)
   )
)</f>
        <v/>
      </c>
      <c r="E456" s="27" t="str" cm="1">
        <f t="array" ref="E456">IF(
   A456="",
   "",
   _xlfn.LET(
      _xlpm.result,
      IFERROR(
         _xlfn.XLOOKUP(
            1,
            (Table8[رقم الصنف]=A456) *
            (IF($B$9="الكل",1, YEAR('ادخال البيانات'!$N$3:$N$1164)=VALUE($B$9))) *
            (IF($B$10="الكل",1, MONTH('ادخال البيانات'!$N$3:$N$1164)=VALUE($B$10))) *
            (IF($B$11="الكل",1, INT((DAY('ادخال البيانات'!$N$3:$N$1164)-1)/7)+1 = VALUE($B$11))),
            'ادخال البيانات'!$E$3:$E$1164
         ),
         ""
      ),
      IF(_xlpm.result="", "", _xlpm.result)
   )
)</f>
        <v/>
      </c>
      <c r="F456" s="27" t="str" cm="1">
        <f t="array" ref="F456">IF(
   A456="",
   "",
   _xlfn.LET(
      _xlpm.result,
      IFERROR(
         _xlfn.XLOOKUP(
            1,
            (Table8[رقم الصنف]=A456) *
            (IF($B$9="الكل",1, YEAR('ادخال البيانات'!$N$3:$N$1164) = VALUE($B$9))) *
            (IF($B$10="الكل",1, MONTH('ادخال البيانات'!$N$3:$N$1164) = VALUE($B$10))) *
            (IF($B$11="الكل",1, INT((DAY('ادخال البيانات'!$N$3:$N$1164)-1)/7)+1 = VALUE($B$11))),
            'ادخال البيانات'!$F$3:$F$1164
         ),
         ""
      ),
      IF(_xlpm.result="", "", _xlpm.result)
   )
)</f>
        <v/>
      </c>
      <c r="G456" s="27" t="str" cm="1">
        <f t="array" ref="G456">IF(
   A456="",
   "",
   _xlfn.LET(
      _xlpm.result,
      IFERROR(
         _xlfn.XLOOKUP(
            1,
            (Table8[رقم الصنف]=A456) *
            (IF($B$9="الكل",1, YEAR('ادخال البيانات'!$N$3:$N$1164)=VALUE($B$9))) *
            (IF($B$10="الكل",1, MONTH('ادخال البيانات'!$N$3:$N$1164)=VALUE($B$10))) *
            (IF($B$11="الكل",1, INT((DAY('ادخال البيانات'!$N$3:$N$1164)-1)/7)+1 = VALUE($B$11))),
            'ادخال البيانات'!$G$3:$G$1164
         ),
         ""
      ),
      IF(_xlpm.result="", "", _xlpm.result)
   )
)</f>
        <v/>
      </c>
      <c r="H456" s="27" t="str" cm="1">
        <f t="array" ref="H456">IF(
   A456="",
   "",
   _xlfn.LET(
      _xlpm.result,
      IFERROR(
         _xlfn.XLOOKUP(
            1,
            (Table8[رقم الصنف]=A456) *
            (IF($B$9="الكل",1, YEAR('ادخال البيانات'!$N$3:$N$1164)=VALUE($B$9))) *
            (IF($B$10="الكل",1, MONTH('ادخال البيانات'!$N$3:$N$1164)=VALUE($B$10))) *
            (IF($B$11="الكل",1, INT((DAY('ادخال البيانات'!$N$3:$N$1164)-1)/7)+1 = VALUE($B$11))),
            'ادخال البيانات'!$H$3:$H$1164
         ),
         ""
      ),
      IF(_xlpm.result="", "", _xlpm.result)
   )
)</f>
        <v/>
      </c>
      <c r="I456" s="27" t="str" cm="1">
        <f t="array" ref="I456">IF(
   A456="",
   "",
   _xlfn.LET(
      _xlpm.result,
      IFERROR(
         _xlfn.XLOOKUP(
            1,
            (Table8[رقم الصنف]=A456) *
            (IF($B$9="الكل",1, YEAR('ادخال البيانات'!$N$3:$N$1164)=VALUE($B$9))) *
            (IF($B$10="الكل",1, MONTH('ادخال البيانات'!$N$3:$N$1164)=VALUE($B$10))) *
            (IF($B$11="الكل",1, INT((DAY('ادخال البيانات'!$N$3:$N$1164)-1)/7)+1 = VALUE($B$11))),
            'ادخال البيانات'!$I$3:$I$1164
         ),
         ""
      ),
      IF(_xlpm.result="", "", _xlpm.result)
   )
)</f>
        <v/>
      </c>
      <c r="J456" s="27" t="str" cm="1">
        <f t="array" ref="J456">IF(
   A456="",
   "",
   _xlfn.LET(
      _xlpm.result,
      IFERROR(
         _xlfn.XLOOKUP(
            1,
            (Table8[رقم الصنف]=A456) *
            (IF($B$9="الكل",1, YEAR('ادخال البيانات'!$N$3:$N$1164)=VALUE($B$9))) *
            (IF($B$10="الكل",1, MONTH('ادخال البيانات'!$N$3:$N$1164)=VALUE($B$10))) *
            (IF($B$11="الكل",1, INT((DAY('ادخال البيانات'!$N$3:$N$1164)-1)/7)+1 = VALUE($B$11))),
            'ادخال البيانات'!$J$3:$J$1164
         ),
         ""
      ),
      IF(_xlpm.result="", "", _xlpm.result)
   )
)</f>
        <v/>
      </c>
      <c r="K456" s="27" t="str" cm="1">
        <f t="array" ref="K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56" s="27" t="str" cm="1">
        <f t="array" ref="L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56" s="27" t="str" cm="1">
        <f t="array" ref="M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56" s="28" t="str" cm="1">
        <f t="array" ref="N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56" s="28" t="str" cm="1">
        <f t="array" ref="O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56" s="27" t="str" cm="1">
        <f t="array" ref="P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Table8[جهة العطل]
         ),
         ""
      ),
      IF(_xlpm.result="", "", _xlpm.result)
   )
)</f>
        <v/>
      </c>
      <c r="Q456" s="27" t="str" cm="1">
        <f t="array" ref="Q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Table8[المركز]
         ),
         ""
      ),
      IF(_xlpm.result="", "", _xlpm.result)
   )
)</f>
        <v/>
      </c>
      <c r="R456" s="27" t="str" cm="1">
        <f t="array" ref="R456">IF(
   A456="",
   "",
   _xlfn.LET(
      _xlpm.result,
      IFERROR(
         _xlfn.XLOOKUP(
            1,
            (Table8[رقم الصنف]=A456) *
            (IF($B$9="الكل",1, YEAR('ادخال البيانات'!$N$3:$N$1164) = VALUE($B$9))) *
            (IF($B$10="الكل",1, MONTH('ادخال البيانات'!$N$3:$N$1164) = VALUE($B$10))) *
            (IF($B$11="الكل",1, INT((DAY('ادخال البيانات'!$N$3:$N$1164) - 1) / 7) + 1 = VALUE($B$11))),
            Table8[ملاحظة]
         ),
         ""
      ),
      IF(_xlpm.result="", "", _xlpm.result)
   )
)</f>
        <v/>
      </c>
      <c r="S456" s="27" t="str">
        <f t="shared" ca="1" si="6"/>
        <v/>
      </c>
    </row>
    <row r="457" spans="1:19" ht="27.75" customHeight="1" thickTop="1" thickBot="1" x14ac:dyDescent="0.35">
      <c r="A457" s="39"/>
      <c r="B457" s="50" t="str" cm="1">
        <f t="array" ref="B457">IF(
   OR(A457="", $B$9="", $B$10="", $B$11=""),
   "",
   _xlfn.LET(
      _xlpm.result,
      IFERROR(
         _xlfn.XLOOKUP(
            1,
            (Table8[رقم الصنف]=A457)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57" s="27" t="str" cm="1">
        <f t="array" ref="C457">IF(
   A457="",
   "",
   _xlfn.LET(
      _xlpm.result,
      IFERROR(
         _xlfn.XLOOKUP(
            1,
            (Table8[رقم الصنف]=A457) *
            (IF($B$9="الكل",1, YEAR('ادخال البيانات'!$N$3:$N$1164) = VALUE($B$9))) *
            (IF($B$10="الكل",1, MONTH('ادخال البيانات'!$N$3:$N$1164) = VALUE($B$10))) *
            (IF($B$11="الكل",1, INT((DAY('ادخال البيانات'!$N$3:$N$1164)-1)/7)+1 = VALUE($B$11))),
            'ادخال البيانات'!$C$3:$C$1164
         ),
         ""
      ),
      IF(_xlpm.result="", "", _xlpm.result)
   )
)</f>
        <v/>
      </c>
      <c r="D457" s="27" t="str" cm="1">
        <f t="array" ref="D457">IF(
   OR(A457="", $B$9="", $B$10="", $B$11=""),
   "",
   _xlfn.LET(
      _xlpm.result,
      IFERROR(
         _xlfn.XLOOKUP(
            1,
            (Table8[رقم الصنف]=A457) *
            (IF($B$9="الكل",1, YEAR('ادخال البيانات'!$N$3:$N$1164)=VALUE($B$9))) *
            (IF($B$10="الكل",1, MONTH('ادخال البيانات'!$N$3:$N$1164)=VALUE($B$10))) *
            (IF($B$11="الكل",1, INT((DAY('ادخال البيانات'!$N$3:$N$1164)-1)/7)+1 = VALUE($B$11))),
            'ادخال البيانات'!$D$3:$D$1164
         ),
         ""
      ),
      IF(_xlpm.result="", "", _xlpm.result)
   )
)</f>
        <v/>
      </c>
      <c r="E457" s="27" t="str" cm="1">
        <f t="array" ref="E457">IF(
   A457="",
   "",
   _xlfn.LET(
      _xlpm.result,
      IFERROR(
         _xlfn.XLOOKUP(
            1,
            (Table8[رقم الصنف]=A457) *
            (IF($B$9="الكل",1, YEAR('ادخال البيانات'!$N$3:$N$1164)=VALUE($B$9))) *
            (IF($B$10="الكل",1, MONTH('ادخال البيانات'!$N$3:$N$1164)=VALUE($B$10))) *
            (IF($B$11="الكل",1, INT((DAY('ادخال البيانات'!$N$3:$N$1164)-1)/7)+1 = VALUE($B$11))),
            'ادخال البيانات'!$E$3:$E$1164
         ),
         ""
      ),
      IF(_xlpm.result="", "", _xlpm.result)
   )
)</f>
        <v/>
      </c>
      <c r="F457" s="27" t="str" cm="1">
        <f t="array" ref="F457">IF(
   A457="",
   "",
   _xlfn.LET(
      _xlpm.result,
      IFERROR(
         _xlfn.XLOOKUP(
            1,
            (Table8[رقم الصنف]=A457) *
            (IF($B$9="الكل",1, YEAR('ادخال البيانات'!$N$3:$N$1164) = VALUE($B$9))) *
            (IF($B$10="الكل",1, MONTH('ادخال البيانات'!$N$3:$N$1164) = VALUE($B$10))) *
            (IF($B$11="الكل",1, INT((DAY('ادخال البيانات'!$N$3:$N$1164)-1)/7)+1 = VALUE($B$11))),
            'ادخال البيانات'!$F$3:$F$1164
         ),
         ""
      ),
      IF(_xlpm.result="", "", _xlpm.result)
   )
)</f>
        <v/>
      </c>
      <c r="G457" s="27" t="str" cm="1">
        <f t="array" ref="G457">IF(
   A457="",
   "",
   _xlfn.LET(
      _xlpm.result,
      IFERROR(
         _xlfn.XLOOKUP(
            1,
            (Table8[رقم الصنف]=A457) *
            (IF($B$9="الكل",1, YEAR('ادخال البيانات'!$N$3:$N$1164)=VALUE($B$9))) *
            (IF($B$10="الكل",1, MONTH('ادخال البيانات'!$N$3:$N$1164)=VALUE($B$10))) *
            (IF($B$11="الكل",1, INT((DAY('ادخال البيانات'!$N$3:$N$1164)-1)/7)+1 = VALUE($B$11))),
            'ادخال البيانات'!$G$3:$G$1164
         ),
         ""
      ),
      IF(_xlpm.result="", "", _xlpm.result)
   )
)</f>
        <v/>
      </c>
      <c r="H457" s="27" t="str" cm="1">
        <f t="array" ref="H457">IF(
   A457="",
   "",
   _xlfn.LET(
      _xlpm.result,
      IFERROR(
         _xlfn.XLOOKUP(
            1,
            (Table8[رقم الصنف]=A457) *
            (IF($B$9="الكل",1, YEAR('ادخال البيانات'!$N$3:$N$1164)=VALUE($B$9))) *
            (IF($B$10="الكل",1, MONTH('ادخال البيانات'!$N$3:$N$1164)=VALUE($B$10))) *
            (IF($B$11="الكل",1, INT((DAY('ادخال البيانات'!$N$3:$N$1164)-1)/7)+1 = VALUE($B$11))),
            'ادخال البيانات'!$H$3:$H$1164
         ),
         ""
      ),
      IF(_xlpm.result="", "", _xlpm.result)
   )
)</f>
        <v/>
      </c>
      <c r="I457" s="27" t="str" cm="1">
        <f t="array" ref="I457">IF(
   A457="",
   "",
   _xlfn.LET(
      _xlpm.result,
      IFERROR(
         _xlfn.XLOOKUP(
            1,
            (Table8[رقم الصنف]=A457) *
            (IF($B$9="الكل",1, YEAR('ادخال البيانات'!$N$3:$N$1164)=VALUE($B$9))) *
            (IF($B$10="الكل",1, MONTH('ادخال البيانات'!$N$3:$N$1164)=VALUE($B$10))) *
            (IF($B$11="الكل",1, INT((DAY('ادخال البيانات'!$N$3:$N$1164)-1)/7)+1 = VALUE($B$11))),
            'ادخال البيانات'!$I$3:$I$1164
         ),
         ""
      ),
      IF(_xlpm.result="", "", _xlpm.result)
   )
)</f>
        <v/>
      </c>
      <c r="J457" s="27" t="str" cm="1">
        <f t="array" ref="J457">IF(
   A457="",
   "",
   _xlfn.LET(
      _xlpm.result,
      IFERROR(
         _xlfn.XLOOKUP(
            1,
            (Table8[رقم الصنف]=A457) *
            (IF($B$9="الكل",1, YEAR('ادخال البيانات'!$N$3:$N$1164)=VALUE($B$9))) *
            (IF($B$10="الكل",1, MONTH('ادخال البيانات'!$N$3:$N$1164)=VALUE($B$10))) *
            (IF($B$11="الكل",1, INT((DAY('ادخال البيانات'!$N$3:$N$1164)-1)/7)+1 = VALUE($B$11))),
            'ادخال البيانات'!$J$3:$J$1164
         ),
         ""
      ),
      IF(_xlpm.result="", "", _xlpm.result)
   )
)</f>
        <v/>
      </c>
      <c r="K457" s="27" t="str" cm="1">
        <f t="array" ref="K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57" s="27" t="str" cm="1">
        <f t="array" ref="L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57" s="27" t="str" cm="1">
        <f t="array" ref="M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57" s="28" t="str" cm="1">
        <f t="array" ref="N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57" s="28" t="str" cm="1">
        <f t="array" ref="O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57" s="27" t="str" cm="1">
        <f t="array" ref="P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Table8[جهة العطل]
         ),
         ""
      ),
      IF(_xlpm.result="", "", _xlpm.result)
   )
)</f>
        <v/>
      </c>
      <c r="Q457" s="27" t="str" cm="1">
        <f t="array" ref="Q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Table8[المركز]
         ),
         ""
      ),
      IF(_xlpm.result="", "", _xlpm.result)
   )
)</f>
        <v/>
      </c>
      <c r="R457" s="27" t="str" cm="1">
        <f t="array" ref="R457">IF(
   A457="",
   "",
   _xlfn.LET(
      _xlpm.result,
      IFERROR(
         _xlfn.XLOOKUP(
            1,
            (Table8[رقم الصنف]=A457) *
            (IF($B$9="الكل",1, YEAR('ادخال البيانات'!$N$3:$N$1164) = VALUE($B$9))) *
            (IF($B$10="الكل",1, MONTH('ادخال البيانات'!$N$3:$N$1164) = VALUE($B$10))) *
            (IF($B$11="الكل",1, INT((DAY('ادخال البيانات'!$N$3:$N$1164) - 1) / 7) + 1 = VALUE($B$11))),
            Table8[ملاحظة]
         ),
         ""
      ),
      IF(_xlpm.result="", "", _xlpm.result)
   )
)</f>
        <v/>
      </c>
      <c r="S457" s="27" t="str">
        <f t="shared" ca="1" si="6"/>
        <v/>
      </c>
    </row>
    <row r="458" spans="1:19" ht="27.75" customHeight="1" thickTop="1" thickBot="1" x14ac:dyDescent="0.35">
      <c r="A458" s="39"/>
      <c r="B458" s="50" t="str" cm="1">
        <f t="array" ref="B458">IF(
   OR(A458="", $B$9="", $B$10="", $B$11=""),
   "",
   _xlfn.LET(
      _xlpm.result,
      IFERROR(
         _xlfn.XLOOKUP(
            1,
            (Table8[رقم الصنف]=A458)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58" s="27" t="str" cm="1">
        <f t="array" ref="C458">IF(
   A458="",
   "",
   _xlfn.LET(
      _xlpm.result,
      IFERROR(
         _xlfn.XLOOKUP(
            1,
            (Table8[رقم الصنف]=A458) *
            (IF($B$9="الكل",1, YEAR('ادخال البيانات'!$N$3:$N$1164) = VALUE($B$9))) *
            (IF($B$10="الكل",1, MONTH('ادخال البيانات'!$N$3:$N$1164) = VALUE($B$10))) *
            (IF($B$11="الكل",1, INT((DAY('ادخال البيانات'!$N$3:$N$1164)-1)/7)+1 = VALUE($B$11))),
            'ادخال البيانات'!$C$3:$C$1164
         ),
         ""
      ),
      IF(_xlpm.result="", "", _xlpm.result)
   )
)</f>
        <v/>
      </c>
      <c r="D458" s="27" t="str" cm="1">
        <f t="array" ref="D458">IF(
   OR(A458="", $B$9="", $B$10="", $B$11=""),
   "",
   _xlfn.LET(
      _xlpm.result,
      IFERROR(
         _xlfn.XLOOKUP(
            1,
            (Table8[رقم الصنف]=A458) *
            (IF($B$9="الكل",1, YEAR('ادخال البيانات'!$N$3:$N$1164)=VALUE($B$9))) *
            (IF($B$10="الكل",1, MONTH('ادخال البيانات'!$N$3:$N$1164)=VALUE($B$10))) *
            (IF($B$11="الكل",1, INT((DAY('ادخال البيانات'!$N$3:$N$1164)-1)/7)+1 = VALUE($B$11))),
            'ادخال البيانات'!$D$3:$D$1164
         ),
         ""
      ),
      IF(_xlpm.result="", "", _xlpm.result)
   )
)</f>
        <v/>
      </c>
      <c r="E458" s="27" t="str" cm="1">
        <f t="array" ref="E458">IF(
   A458="",
   "",
   _xlfn.LET(
      _xlpm.result,
      IFERROR(
         _xlfn.XLOOKUP(
            1,
            (Table8[رقم الصنف]=A458) *
            (IF($B$9="الكل",1, YEAR('ادخال البيانات'!$N$3:$N$1164)=VALUE($B$9))) *
            (IF($B$10="الكل",1, MONTH('ادخال البيانات'!$N$3:$N$1164)=VALUE($B$10))) *
            (IF($B$11="الكل",1, INT((DAY('ادخال البيانات'!$N$3:$N$1164)-1)/7)+1 = VALUE($B$11))),
            'ادخال البيانات'!$E$3:$E$1164
         ),
         ""
      ),
      IF(_xlpm.result="", "", _xlpm.result)
   )
)</f>
        <v/>
      </c>
      <c r="F458" s="27" t="str" cm="1">
        <f t="array" ref="F458">IF(
   A458="",
   "",
   _xlfn.LET(
      _xlpm.result,
      IFERROR(
         _xlfn.XLOOKUP(
            1,
            (Table8[رقم الصنف]=A458) *
            (IF($B$9="الكل",1, YEAR('ادخال البيانات'!$N$3:$N$1164) = VALUE($B$9))) *
            (IF($B$10="الكل",1, MONTH('ادخال البيانات'!$N$3:$N$1164) = VALUE($B$10))) *
            (IF($B$11="الكل",1, INT((DAY('ادخال البيانات'!$N$3:$N$1164)-1)/7)+1 = VALUE($B$11))),
            'ادخال البيانات'!$F$3:$F$1164
         ),
         ""
      ),
      IF(_xlpm.result="", "", _xlpm.result)
   )
)</f>
        <v/>
      </c>
      <c r="G458" s="27" t="str" cm="1">
        <f t="array" ref="G458">IF(
   A458="",
   "",
   _xlfn.LET(
      _xlpm.result,
      IFERROR(
         _xlfn.XLOOKUP(
            1,
            (Table8[رقم الصنف]=A458) *
            (IF($B$9="الكل",1, YEAR('ادخال البيانات'!$N$3:$N$1164)=VALUE($B$9))) *
            (IF($B$10="الكل",1, MONTH('ادخال البيانات'!$N$3:$N$1164)=VALUE($B$10))) *
            (IF($B$11="الكل",1, INT((DAY('ادخال البيانات'!$N$3:$N$1164)-1)/7)+1 = VALUE($B$11))),
            'ادخال البيانات'!$G$3:$G$1164
         ),
         ""
      ),
      IF(_xlpm.result="", "", _xlpm.result)
   )
)</f>
        <v/>
      </c>
      <c r="H458" s="27" t="str" cm="1">
        <f t="array" ref="H458">IF(
   A458="",
   "",
   _xlfn.LET(
      _xlpm.result,
      IFERROR(
         _xlfn.XLOOKUP(
            1,
            (Table8[رقم الصنف]=A458) *
            (IF($B$9="الكل",1, YEAR('ادخال البيانات'!$N$3:$N$1164)=VALUE($B$9))) *
            (IF($B$10="الكل",1, MONTH('ادخال البيانات'!$N$3:$N$1164)=VALUE($B$10))) *
            (IF($B$11="الكل",1, INT((DAY('ادخال البيانات'!$N$3:$N$1164)-1)/7)+1 = VALUE($B$11))),
            'ادخال البيانات'!$H$3:$H$1164
         ),
         ""
      ),
      IF(_xlpm.result="", "", _xlpm.result)
   )
)</f>
        <v/>
      </c>
      <c r="I458" s="27" t="str" cm="1">
        <f t="array" ref="I458">IF(
   A458="",
   "",
   _xlfn.LET(
      _xlpm.result,
      IFERROR(
         _xlfn.XLOOKUP(
            1,
            (Table8[رقم الصنف]=A458) *
            (IF($B$9="الكل",1, YEAR('ادخال البيانات'!$N$3:$N$1164)=VALUE($B$9))) *
            (IF($B$10="الكل",1, MONTH('ادخال البيانات'!$N$3:$N$1164)=VALUE($B$10))) *
            (IF($B$11="الكل",1, INT((DAY('ادخال البيانات'!$N$3:$N$1164)-1)/7)+1 = VALUE($B$11))),
            'ادخال البيانات'!$I$3:$I$1164
         ),
         ""
      ),
      IF(_xlpm.result="", "", _xlpm.result)
   )
)</f>
        <v/>
      </c>
      <c r="J458" s="27" t="str" cm="1">
        <f t="array" ref="J458">IF(
   A458="",
   "",
   _xlfn.LET(
      _xlpm.result,
      IFERROR(
         _xlfn.XLOOKUP(
            1,
            (Table8[رقم الصنف]=A458) *
            (IF($B$9="الكل",1, YEAR('ادخال البيانات'!$N$3:$N$1164)=VALUE($B$9))) *
            (IF($B$10="الكل",1, MONTH('ادخال البيانات'!$N$3:$N$1164)=VALUE($B$10))) *
            (IF($B$11="الكل",1, INT((DAY('ادخال البيانات'!$N$3:$N$1164)-1)/7)+1 = VALUE($B$11))),
            'ادخال البيانات'!$J$3:$J$1164
         ),
         ""
      ),
      IF(_xlpm.result="", "", _xlpm.result)
   )
)</f>
        <v/>
      </c>
      <c r="K458" s="27" t="str" cm="1">
        <f t="array" ref="K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58" s="27" t="str" cm="1">
        <f t="array" ref="L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58" s="27" t="str" cm="1">
        <f t="array" ref="M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58" s="28" t="str" cm="1">
        <f t="array" ref="N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58" s="28" t="str" cm="1">
        <f t="array" ref="O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58" s="27" t="str" cm="1">
        <f t="array" ref="P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Table8[جهة العطل]
         ),
         ""
      ),
      IF(_xlpm.result="", "", _xlpm.result)
   )
)</f>
        <v/>
      </c>
      <c r="Q458" s="27" t="str" cm="1">
        <f t="array" ref="Q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Table8[المركز]
         ),
         ""
      ),
      IF(_xlpm.result="", "", _xlpm.result)
   )
)</f>
        <v/>
      </c>
      <c r="R458" s="27" t="str" cm="1">
        <f t="array" ref="R458">IF(
   A458="",
   "",
   _xlfn.LET(
      _xlpm.result,
      IFERROR(
         _xlfn.XLOOKUP(
            1,
            (Table8[رقم الصنف]=A458) *
            (IF($B$9="الكل",1, YEAR('ادخال البيانات'!$N$3:$N$1164) = VALUE($B$9))) *
            (IF($B$10="الكل",1, MONTH('ادخال البيانات'!$N$3:$N$1164) = VALUE($B$10))) *
            (IF($B$11="الكل",1, INT((DAY('ادخال البيانات'!$N$3:$N$1164) - 1) / 7) + 1 = VALUE($B$11))),
            Table8[ملاحظة]
         ),
         ""
      ),
      IF(_xlpm.result="", "", _xlpm.result)
   )
)</f>
        <v/>
      </c>
      <c r="S458" s="27" t="str">
        <f t="shared" ca="1" si="6"/>
        <v/>
      </c>
    </row>
    <row r="459" spans="1:19" ht="27.75" customHeight="1" thickTop="1" thickBot="1" x14ac:dyDescent="0.35">
      <c r="A459" s="39"/>
      <c r="B459" s="50" t="str" cm="1">
        <f t="array" ref="B459">IF(
   OR(A459="", $B$9="", $B$10="", $B$11=""),
   "",
   _xlfn.LET(
      _xlpm.result,
      IFERROR(
         _xlfn.XLOOKUP(
            1,
            (Table8[رقم الصنف]=A459)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59" s="27" t="str" cm="1">
        <f t="array" ref="C459">IF(
   A459="",
   "",
   _xlfn.LET(
      _xlpm.result,
      IFERROR(
         _xlfn.XLOOKUP(
            1,
            (Table8[رقم الصنف]=A459) *
            (IF($B$9="الكل",1, YEAR('ادخال البيانات'!$N$3:$N$1164) = VALUE($B$9))) *
            (IF($B$10="الكل",1, MONTH('ادخال البيانات'!$N$3:$N$1164) = VALUE($B$10))) *
            (IF($B$11="الكل",1, INT((DAY('ادخال البيانات'!$N$3:$N$1164)-1)/7)+1 = VALUE($B$11))),
            'ادخال البيانات'!$C$3:$C$1164
         ),
         ""
      ),
      IF(_xlpm.result="", "", _xlpm.result)
   )
)</f>
        <v/>
      </c>
      <c r="D459" s="27" t="str" cm="1">
        <f t="array" ref="D459">IF(
   OR(A459="", $B$9="", $B$10="", $B$11=""),
   "",
   _xlfn.LET(
      _xlpm.result,
      IFERROR(
         _xlfn.XLOOKUP(
            1,
            (Table8[رقم الصنف]=A459) *
            (IF($B$9="الكل",1, YEAR('ادخال البيانات'!$N$3:$N$1164)=VALUE($B$9))) *
            (IF($B$10="الكل",1, MONTH('ادخال البيانات'!$N$3:$N$1164)=VALUE($B$10))) *
            (IF($B$11="الكل",1, INT((DAY('ادخال البيانات'!$N$3:$N$1164)-1)/7)+1 = VALUE($B$11))),
            'ادخال البيانات'!$D$3:$D$1164
         ),
         ""
      ),
      IF(_xlpm.result="", "", _xlpm.result)
   )
)</f>
        <v/>
      </c>
      <c r="E459" s="27" t="str" cm="1">
        <f t="array" ref="E459">IF(
   A459="",
   "",
   _xlfn.LET(
      _xlpm.result,
      IFERROR(
         _xlfn.XLOOKUP(
            1,
            (Table8[رقم الصنف]=A459) *
            (IF($B$9="الكل",1, YEAR('ادخال البيانات'!$N$3:$N$1164)=VALUE($B$9))) *
            (IF($B$10="الكل",1, MONTH('ادخال البيانات'!$N$3:$N$1164)=VALUE($B$10))) *
            (IF($B$11="الكل",1, INT((DAY('ادخال البيانات'!$N$3:$N$1164)-1)/7)+1 = VALUE($B$11))),
            'ادخال البيانات'!$E$3:$E$1164
         ),
         ""
      ),
      IF(_xlpm.result="", "", _xlpm.result)
   )
)</f>
        <v/>
      </c>
      <c r="F459" s="27" t="str" cm="1">
        <f t="array" ref="F459">IF(
   A459="",
   "",
   _xlfn.LET(
      _xlpm.result,
      IFERROR(
         _xlfn.XLOOKUP(
            1,
            (Table8[رقم الصنف]=A459) *
            (IF($B$9="الكل",1, YEAR('ادخال البيانات'!$N$3:$N$1164) = VALUE($B$9))) *
            (IF($B$10="الكل",1, MONTH('ادخال البيانات'!$N$3:$N$1164) = VALUE($B$10))) *
            (IF($B$11="الكل",1, INT((DAY('ادخال البيانات'!$N$3:$N$1164)-1)/7)+1 = VALUE($B$11))),
            'ادخال البيانات'!$F$3:$F$1164
         ),
         ""
      ),
      IF(_xlpm.result="", "", _xlpm.result)
   )
)</f>
        <v/>
      </c>
      <c r="G459" s="27" t="str" cm="1">
        <f t="array" ref="G459">IF(
   A459="",
   "",
   _xlfn.LET(
      _xlpm.result,
      IFERROR(
         _xlfn.XLOOKUP(
            1,
            (Table8[رقم الصنف]=A459) *
            (IF($B$9="الكل",1, YEAR('ادخال البيانات'!$N$3:$N$1164)=VALUE($B$9))) *
            (IF($B$10="الكل",1, MONTH('ادخال البيانات'!$N$3:$N$1164)=VALUE($B$10))) *
            (IF($B$11="الكل",1, INT((DAY('ادخال البيانات'!$N$3:$N$1164)-1)/7)+1 = VALUE($B$11))),
            'ادخال البيانات'!$G$3:$G$1164
         ),
         ""
      ),
      IF(_xlpm.result="", "", _xlpm.result)
   )
)</f>
        <v/>
      </c>
      <c r="H459" s="27" t="str" cm="1">
        <f t="array" ref="H459">IF(
   A459="",
   "",
   _xlfn.LET(
      _xlpm.result,
      IFERROR(
         _xlfn.XLOOKUP(
            1,
            (Table8[رقم الصنف]=A459) *
            (IF($B$9="الكل",1, YEAR('ادخال البيانات'!$N$3:$N$1164)=VALUE($B$9))) *
            (IF($B$10="الكل",1, MONTH('ادخال البيانات'!$N$3:$N$1164)=VALUE($B$10))) *
            (IF($B$11="الكل",1, INT((DAY('ادخال البيانات'!$N$3:$N$1164)-1)/7)+1 = VALUE($B$11))),
            'ادخال البيانات'!$H$3:$H$1164
         ),
         ""
      ),
      IF(_xlpm.result="", "", _xlpm.result)
   )
)</f>
        <v/>
      </c>
      <c r="I459" s="27" t="str" cm="1">
        <f t="array" ref="I459">IF(
   A459="",
   "",
   _xlfn.LET(
      _xlpm.result,
      IFERROR(
         _xlfn.XLOOKUP(
            1,
            (Table8[رقم الصنف]=A459) *
            (IF($B$9="الكل",1, YEAR('ادخال البيانات'!$N$3:$N$1164)=VALUE($B$9))) *
            (IF($B$10="الكل",1, MONTH('ادخال البيانات'!$N$3:$N$1164)=VALUE($B$10))) *
            (IF($B$11="الكل",1, INT((DAY('ادخال البيانات'!$N$3:$N$1164)-1)/7)+1 = VALUE($B$11))),
            'ادخال البيانات'!$I$3:$I$1164
         ),
         ""
      ),
      IF(_xlpm.result="", "", _xlpm.result)
   )
)</f>
        <v/>
      </c>
      <c r="J459" s="27" t="str" cm="1">
        <f t="array" ref="J459">IF(
   A459="",
   "",
   _xlfn.LET(
      _xlpm.result,
      IFERROR(
         _xlfn.XLOOKUP(
            1,
            (Table8[رقم الصنف]=A459) *
            (IF($B$9="الكل",1, YEAR('ادخال البيانات'!$N$3:$N$1164)=VALUE($B$9))) *
            (IF($B$10="الكل",1, MONTH('ادخال البيانات'!$N$3:$N$1164)=VALUE($B$10))) *
            (IF($B$11="الكل",1, INT((DAY('ادخال البيانات'!$N$3:$N$1164)-1)/7)+1 = VALUE($B$11))),
            'ادخال البيانات'!$J$3:$J$1164
         ),
         ""
      ),
      IF(_xlpm.result="", "", _xlpm.result)
   )
)</f>
        <v/>
      </c>
      <c r="K459" s="27" t="str" cm="1">
        <f t="array" ref="K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59" s="27" t="str" cm="1">
        <f t="array" ref="L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59" s="27" t="str" cm="1">
        <f t="array" ref="M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59" s="28" t="str" cm="1">
        <f t="array" ref="N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59" s="28" t="str" cm="1">
        <f t="array" ref="O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59" s="27" t="str" cm="1">
        <f t="array" ref="P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Table8[جهة العطل]
         ),
         ""
      ),
      IF(_xlpm.result="", "", _xlpm.result)
   )
)</f>
        <v/>
      </c>
      <c r="Q459" s="27" t="str" cm="1">
        <f t="array" ref="Q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Table8[المركز]
         ),
         ""
      ),
      IF(_xlpm.result="", "", _xlpm.result)
   )
)</f>
        <v/>
      </c>
      <c r="R459" s="27" t="str" cm="1">
        <f t="array" ref="R459">IF(
   A459="",
   "",
   _xlfn.LET(
      _xlpm.result,
      IFERROR(
         _xlfn.XLOOKUP(
            1,
            (Table8[رقم الصنف]=A459) *
            (IF($B$9="الكل",1, YEAR('ادخال البيانات'!$N$3:$N$1164) = VALUE($B$9))) *
            (IF($B$10="الكل",1, MONTH('ادخال البيانات'!$N$3:$N$1164) = VALUE($B$10))) *
            (IF($B$11="الكل",1, INT((DAY('ادخال البيانات'!$N$3:$N$1164) - 1) / 7) + 1 = VALUE($B$11))),
            Table8[ملاحظة]
         ),
         ""
      ),
      IF(_xlpm.result="", "", _xlpm.result)
   )
)</f>
        <v/>
      </c>
      <c r="S459" s="27" t="str">
        <f t="shared" ref="S459:S522" ca="1" si="7">IF(
   OR(K459="تم الاصلاح", O459&lt;&gt;""),
   "تم الاصلاح",
   IF(N459="", "", TODAY()-N459)
)</f>
        <v/>
      </c>
    </row>
    <row r="460" spans="1:19" ht="27.75" customHeight="1" thickTop="1" thickBot="1" x14ac:dyDescent="0.35">
      <c r="A460" s="39"/>
      <c r="B460" s="50" t="str" cm="1">
        <f t="array" ref="B460">IF(
   OR(A460="", $B$9="", $B$10="", $B$11=""),
   "",
   _xlfn.LET(
      _xlpm.result,
      IFERROR(
         _xlfn.XLOOKUP(
            1,
            (Table8[رقم الصنف]=A460)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0" s="27" t="str" cm="1">
        <f t="array" ref="C460">IF(
   A460="",
   "",
   _xlfn.LET(
      _xlpm.result,
      IFERROR(
         _xlfn.XLOOKUP(
            1,
            (Table8[رقم الصنف]=A460) *
            (IF($B$9="الكل",1, YEAR('ادخال البيانات'!$N$3:$N$1164) = VALUE($B$9))) *
            (IF($B$10="الكل",1, MONTH('ادخال البيانات'!$N$3:$N$1164) = VALUE($B$10))) *
            (IF($B$11="الكل",1, INT((DAY('ادخال البيانات'!$N$3:$N$1164)-1)/7)+1 = VALUE($B$11))),
            'ادخال البيانات'!$C$3:$C$1164
         ),
         ""
      ),
      IF(_xlpm.result="", "", _xlpm.result)
   )
)</f>
        <v/>
      </c>
      <c r="D460" s="27" t="str" cm="1">
        <f t="array" ref="D460">IF(
   OR(A460="", $B$9="", $B$10="", $B$11=""),
   "",
   _xlfn.LET(
      _xlpm.result,
      IFERROR(
         _xlfn.XLOOKUP(
            1,
            (Table8[رقم الصنف]=A460) *
            (IF($B$9="الكل",1, YEAR('ادخال البيانات'!$N$3:$N$1164)=VALUE($B$9))) *
            (IF($B$10="الكل",1, MONTH('ادخال البيانات'!$N$3:$N$1164)=VALUE($B$10))) *
            (IF($B$11="الكل",1, INT((DAY('ادخال البيانات'!$N$3:$N$1164)-1)/7)+1 = VALUE($B$11))),
            'ادخال البيانات'!$D$3:$D$1164
         ),
         ""
      ),
      IF(_xlpm.result="", "", _xlpm.result)
   )
)</f>
        <v/>
      </c>
      <c r="E460" s="27" t="str" cm="1">
        <f t="array" ref="E460">IF(
   A460="",
   "",
   _xlfn.LET(
      _xlpm.result,
      IFERROR(
         _xlfn.XLOOKUP(
            1,
            (Table8[رقم الصنف]=A460) *
            (IF($B$9="الكل",1, YEAR('ادخال البيانات'!$N$3:$N$1164)=VALUE($B$9))) *
            (IF($B$10="الكل",1, MONTH('ادخال البيانات'!$N$3:$N$1164)=VALUE($B$10))) *
            (IF($B$11="الكل",1, INT((DAY('ادخال البيانات'!$N$3:$N$1164)-1)/7)+1 = VALUE($B$11))),
            'ادخال البيانات'!$E$3:$E$1164
         ),
         ""
      ),
      IF(_xlpm.result="", "", _xlpm.result)
   )
)</f>
        <v/>
      </c>
      <c r="F460" s="27" t="str" cm="1">
        <f t="array" ref="F460">IF(
   A460="",
   "",
   _xlfn.LET(
      _xlpm.result,
      IFERROR(
         _xlfn.XLOOKUP(
            1,
            (Table8[رقم الصنف]=A460) *
            (IF($B$9="الكل",1, YEAR('ادخال البيانات'!$N$3:$N$1164) = VALUE($B$9))) *
            (IF($B$10="الكل",1, MONTH('ادخال البيانات'!$N$3:$N$1164) = VALUE($B$10))) *
            (IF($B$11="الكل",1, INT((DAY('ادخال البيانات'!$N$3:$N$1164)-1)/7)+1 = VALUE($B$11))),
            'ادخال البيانات'!$F$3:$F$1164
         ),
         ""
      ),
      IF(_xlpm.result="", "", _xlpm.result)
   )
)</f>
        <v/>
      </c>
      <c r="G460" s="27" t="str" cm="1">
        <f t="array" ref="G460">IF(
   A460="",
   "",
   _xlfn.LET(
      _xlpm.result,
      IFERROR(
         _xlfn.XLOOKUP(
            1,
            (Table8[رقم الصنف]=A460) *
            (IF($B$9="الكل",1, YEAR('ادخال البيانات'!$N$3:$N$1164)=VALUE($B$9))) *
            (IF($B$10="الكل",1, MONTH('ادخال البيانات'!$N$3:$N$1164)=VALUE($B$10))) *
            (IF($B$11="الكل",1, INT((DAY('ادخال البيانات'!$N$3:$N$1164)-1)/7)+1 = VALUE($B$11))),
            'ادخال البيانات'!$G$3:$G$1164
         ),
         ""
      ),
      IF(_xlpm.result="", "", _xlpm.result)
   )
)</f>
        <v/>
      </c>
      <c r="H460" s="27" t="str" cm="1">
        <f t="array" ref="H460">IF(
   A460="",
   "",
   _xlfn.LET(
      _xlpm.result,
      IFERROR(
         _xlfn.XLOOKUP(
            1,
            (Table8[رقم الصنف]=A460) *
            (IF($B$9="الكل",1, YEAR('ادخال البيانات'!$N$3:$N$1164)=VALUE($B$9))) *
            (IF($B$10="الكل",1, MONTH('ادخال البيانات'!$N$3:$N$1164)=VALUE($B$10))) *
            (IF($B$11="الكل",1, INT((DAY('ادخال البيانات'!$N$3:$N$1164)-1)/7)+1 = VALUE($B$11))),
            'ادخال البيانات'!$H$3:$H$1164
         ),
         ""
      ),
      IF(_xlpm.result="", "", _xlpm.result)
   )
)</f>
        <v/>
      </c>
      <c r="I460" s="27" t="str" cm="1">
        <f t="array" ref="I460">IF(
   A460="",
   "",
   _xlfn.LET(
      _xlpm.result,
      IFERROR(
         _xlfn.XLOOKUP(
            1,
            (Table8[رقم الصنف]=A460) *
            (IF($B$9="الكل",1, YEAR('ادخال البيانات'!$N$3:$N$1164)=VALUE($B$9))) *
            (IF($B$10="الكل",1, MONTH('ادخال البيانات'!$N$3:$N$1164)=VALUE($B$10))) *
            (IF($B$11="الكل",1, INT((DAY('ادخال البيانات'!$N$3:$N$1164)-1)/7)+1 = VALUE($B$11))),
            'ادخال البيانات'!$I$3:$I$1164
         ),
         ""
      ),
      IF(_xlpm.result="", "", _xlpm.result)
   )
)</f>
        <v/>
      </c>
      <c r="J460" s="27" t="str" cm="1">
        <f t="array" ref="J460">IF(
   A460="",
   "",
   _xlfn.LET(
      _xlpm.result,
      IFERROR(
         _xlfn.XLOOKUP(
            1,
            (Table8[رقم الصنف]=A460) *
            (IF($B$9="الكل",1, YEAR('ادخال البيانات'!$N$3:$N$1164)=VALUE($B$9))) *
            (IF($B$10="الكل",1, MONTH('ادخال البيانات'!$N$3:$N$1164)=VALUE($B$10))) *
            (IF($B$11="الكل",1, INT((DAY('ادخال البيانات'!$N$3:$N$1164)-1)/7)+1 = VALUE($B$11))),
            'ادخال البيانات'!$J$3:$J$1164
         ),
         ""
      ),
      IF(_xlpm.result="", "", _xlpm.result)
   )
)</f>
        <v/>
      </c>
      <c r="K460" s="27" t="str" cm="1">
        <f t="array" ref="K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0" s="27" t="str" cm="1">
        <f t="array" ref="L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0" s="27" t="str" cm="1">
        <f t="array" ref="M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0" s="28" t="str" cm="1">
        <f t="array" ref="N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0" s="28" t="str" cm="1">
        <f t="array" ref="O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0" s="27" t="str" cm="1">
        <f t="array" ref="P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Table8[جهة العطل]
         ),
         ""
      ),
      IF(_xlpm.result="", "", _xlpm.result)
   )
)</f>
        <v/>
      </c>
      <c r="Q460" s="27" t="str" cm="1">
        <f t="array" ref="Q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Table8[المركز]
         ),
         ""
      ),
      IF(_xlpm.result="", "", _xlpm.result)
   )
)</f>
        <v/>
      </c>
      <c r="R460" s="27" t="str" cm="1">
        <f t="array" ref="R460">IF(
   A460="",
   "",
   _xlfn.LET(
      _xlpm.result,
      IFERROR(
         _xlfn.XLOOKUP(
            1,
            (Table8[رقم الصنف]=A460) *
            (IF($B$9="الكل",1, YEAR('ادخال البيانات'!$N$3:$N$1164) = VALUE($B$9))) *
            (IF($B$10="الكل",1, MONTH('ادخال البيانات'!$N$3:$N$1164) = VALUE($B$10))) *
            (IF($B$11="الكل",1, INT((DAY('ادخال البيانات'!$N$3:$N$1164) - 1) / 7) + 1 = VALUE($B$11))),
            Table8[ملاحظة]
         ),
         ""
      ),
      IF(_xlpm.result="", "", _xlpm.result)
   )
)</f>
        <v/>
      </c>
      <c r="S460" s="27" t="str">
        <f t="shared" ca="1" si="7"/>
        <v/>
      </c>
    </row>
    <row r="461" spans="1:19" ht="27.75" customHeight="1" thickTop="1" thickBot="1" x14ac:dyDescent="0.35">
      <c r="A461" s="39"/>
      <c r="B461" s="50" t="str" cm="1">
        <f t="array" ref="B461">IF(
   OR(A461="", $B$9="", $B$10="", $B$11=""),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1" s="27" t="str" cm="1">
        <f t="array" ref="C461">IF(
   A461="",
   "",
   _xlfn.LET(
      _xlpm.result,
      IFERROR(
         _xlfn.XLOOKUP(
            1,
            (Table8[رقم الصنف]=A461) *
            (IF($B$9="الكل",1, YEAR('ادخال البيانات'!$N$3:$N$1164) = VALUE($B$9))) *
            (IF($B$10="الكل",1, MONTH('ادخال البيانات'!$N$3:$N$1164) = VALUE($B$10))) *
            (IF($B$11="الكل",1, INT((DAY('ادخال البيانات'!$N$3:$N$1164)-1)/7)+1 = VALUE($B$11))),
            'ادخال البيانات'!$C$3:$C$1164
         ),
         ""
      ),
      IF(_xlpm.result="", "", _xlpm.result)
   )
)</f>
        <v/>
      </c>
      <c r="D461" s="27" t="str" cm="1">
        <f t="array" ref="D461">IF(
   OR(A461="", $B$9="", $B$10="", $B$11=""),
   "",
   _xlfn.LET(
      _xlpm.result,
      IFERROR(
         _xlfn.XLOOKUP(
            1,
            (Table8[رقم الصنف]=A461) *
            (IF($B$9="الكل",1, YEAR('ادخال البيانات'!$N$3:$N$1164)=VALUE($B$9))) *
            (IF($B$10="الكل",1, MONTH('ادخال البيانات'!$N$3:$N$1164)=VALUE($B$10))) *
            (IF($B$11="الكل",1, INT((DAY('ادخال البيانات'!$N$3:$N$1164)-1)/7)+1 = VALUE($B$11))),
            'ادخال البيانات'!$D$3:$D$1164
         ),
         ""
      ),
      IF(_xlpm.result="", "", _xlpm.result)
   )
)</f>
        <v/>
      </c>
      <c r="E461" s="27" t="str" cm="1">
        <f t="array" ref="E461">IF(
   A461="",
   "",
   _xlfn.LET(
      _xlpm.result,
      IFERROR(
         _xlfn.XLOOKUP(
            1,
            (Table8[رقم الصنف]=A461) *
            (IF($B$9="الكل",1, YEAR('ادخال البيانات'!$N$3:$N$1164)=VALUE($B$9))) *
            (IF($B$10="الكل",1, MONTH('ادخال البيانات'!$N$3:$N$1164)=VALUE($B$10))) *
            (IF($B$11="الكل",1, INT((DAY('ادخال البيانات'!$N$3:$N$1164)-1)/7)+1 = VALUE($B$11))),
            'ادخال البيانات'!$E$3:$E$1164
         ),
         ""
      ),
      IF(_xlpm.result="", "", _xlpm.result)
   )
)</f>
        <v/>
      </c>
      <c r="F461" s="27" t="str" cm="1">
        <f t="array" ref="F461">IF(
   A461="",
   "",
   _xlfn.LET(
      _xlpm.result,
      IFERROR(
         _xlfn.XLOOKUP(
            1,
            (Table8[رقم الصنف]=A461) *
            (IF($B$9="الكل",1, YEAR('ادخال البيانات'!$N$3:$N$1164) = VALUE($B$9))) *
            (IF($B$10="الكل",1, MONTH('ادخال البيانات'!$N$3:$N$1164) = VALUE($B$10))) *
            (IF($B$11="الكل",1, INT((DAY('ادخال البيانات'!$N$3:$N$1164)-1)/7)+1 = VALUE($B$11))),
            'ادخال البيانات'!$F$3:$F$1164
         ),
         ""
      ),
      IF(_xlpm.result="", "", _xlpm.result)
   )
)</f>
        <v/>
      </c>
      <c r="G461" s="27" t="str" cm="1">
        <f t="array" ref="G461">IF(
   A461="",
   "",
   _xlfn.LET(
      _xlpm.result,
      IFERROR(
         _xlfn.XLOOKUP(
            1,
            (Table8[رقم الصنف]=A461) *
            (IF($B$9="الكل",1, YEAR('ادخال البيانات'!$N$3:$N$1164)=VALUE($B$9))) *
            (IF($B$10="الكل",1, MONTH('ادخال البيانات'!$N$3:$N$1164)=VALUE($B$10))) *
            (IF($B$11="الكل",1, INT((DAY('ادخال البيانات'!$N$3:$N$1164)-1)/7)+1 = VALUE($B$11))),
            'ادخال البيانات'!$G$3:$G$1164
         ),
         ""
      ),
      IF(_xlpm.result="", "", _xlpm.result)
   )
)</f>
        <v/>
      </c>
      <c r="H461" s="27" t="str" cm="1">
        <f t="array" ref="H461">IF(
   A461="",
   "",
   _xlfn.LET(
      _xlpm.result,
      IFERROR(
         _xlfn.XLOOKUP(
            1,
            (Table8[رقم الصنف]=A461) *
            (IF($B$9="الكل",1, YEAR('ادخال البيانات'!$N$3:$N$1164)=VALUE($B$9))) *
            (IF($B$10="الكل",1, MONTH('ادخال البيانات'!$N$3:$N$1164)=VALUE($B$10))) *
            (IF($B$11="الكل",1, INT((DAY('ادخال البيانات'!$N$3:$N$1164)-1)/7)+1 = VALUE($B$11))),
            'ادخال البيانات'!$H$3:$H$1164
         ),
         ""
      ),
      IF(_xlpm.result="", "", _xlpm.result)
   )
)</f>
        <v/>
      </c>
      <c r="I461" s="27" t="str" cm="1">
        <f t="array" ref="I461">IF(
   A461="",
   "",
   _xlfn.LET(
      _xlpm.result,
      IFERROR(
         _xlfn.XLOOKUP(
            1,
            (Table8[رقم الصنف]=A461) *
            (IF($B$9="الكل",1, YEAR('ادخال البيانات'!$N$3:$N$1164)=VALUE($B$9))) *
            (IF($B$10="الكل",1, MONTH('ادخال البيانات'!$N$3:$N$1164)=VALUE($B$10))) *
            (IF($B$11="الكل",1, INT((DAY('ادخال البيانات'!$N$3:$N$1164)-1)/7)+1 = VALUE($B$11))),
            'ادخال البيانات'!$I$3:$I$1164
         ),
         ""
      ),
      IF(_xlpm.result="", "", _xlpm.result)
   )
)</f>
        <v/>
      </c>
      <c r="J461" s="27" t="str" cm="1">
        <f t="array" ref="J461">IF(
   A461="",
   "",
   _xlfn.LET(
      _xlpm.result,
      IFERROR(
         _xlfn.XLOOKUP(
            1,
            (Table8[رقم الصنف]=A461) *
            (IF($B$9="الكل",1, YEAR('ادخال البيانات'!$N$3:$N$1164)=VALUE($B$9))) *
            (IF($B$10="الكل",1, MONTH('ادخال البيانات'!$N$3:$N$1164)=VALUE($B$10))) *
            (IF($B$11="الكل",1, INT((DAY('ادخال البيانات'!$N$3:$N$1164)-1)/7)+1 = VALUE($B$11))),
            'ادخال البيانات'!$J$3:$J$1164
         ),
         ""
      ),
      IF(_xlpm.result="", "", _xlpm.result)
   )
)</f>
        <v/>
      </c>
      <c r="K461" s="27" t="str" cm="1">
        <f t="array" ref="K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1" s="27" t="str" cm="1">
        <f t="array" ref="L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1" s="27" t="str" cm="1">
        <f t="array" ref="M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1" s="28" t="str" cm="1">
        <f t="array" ref="N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1" s="28" t="str" cm="1">
        <f t="array" ref="O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1" s="27" t="str" cm="1">
        <f t="array" ref="P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Table8[جهة العطل]
         ),
         ""
      ),
      IF(_xlpm.result="", "", _xlpm.result)
   )
)</f>
        <v/>
      </c>
      <c r="Q461" s="27" t="str" cm="1">
        <f t="array" ref="Q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Table8[المركز]
         ),
         ""
      ),
      IF(_xlpm.result="", "", _xlpm.result)
   )
)</f>
        <v/>
      </c>
      <c r="R461" s="27" t="str" cm="1">
        <f t="array" ref="R461">IF(
   A461="",
   "",
   _xlfn.LET(
      _xlpm.result,
      IFERROR(
         _xlfn.XLOOKUP(
            1,
            (Table8[رقم الصنف]=A461) *
            (IF($B$9="الكل",1, YEAR('ادخال البيانات'!$N$3:$N$1164) = VALUE($B$9))) *
            (IF($B$10="الكل",1, MONTH('ادخال البيانات'!$N$3:$N$1164) = VALUE($B$10))) *
            (IF($B$11="الكل",1, INT((DAY('ادخال البيانات'!$N$3:$N$1164) - 1) / 7) + 1 = VALUE($B$11))),
            Table8[ملاحظة]
         ),
         ""
      ),
      IF(_xlpm.result="", "", _xlpm.result)
   )
)</f>
        <v/>
      </c>
      <c r="S461" s="27" t="str">
        <f t="shared" ca="1" si="7"/>
        <v/>
      </c>
    </row>
    <row r="462" spans="1:19" ht="27.75" customHeight="1" thickTop="1" thickBot="1" x14ac:dyDescent="0.35">
      <c r="A462" s="39"/>
      <c r="B462" s="50" t="str" cm="1">
        <f t="array" ref="B462">IF(
   OR(A462="", $B$9="", $B$10="", $B$11=""),
   "",
   _xlfn.LET(
      _xlpm.result,
      IFERROR(
         _xlfn.XLOOKUP(
            1,
            (Table8[رقم الصنف]=A462)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2" s="27" t="str" cm="1">
        <f t="array" ref="C462">IF(
   A462="",
   "",
   _xlfn.LET(
      _xlpm.result,
      IFERROR(
         _xlfn.XLOOKUP(
            1,
            (Table8[رقم الصنف]=A462) *
            (IF($B$9="الكل",1, YEAR('ادخال البيانات'!$N$3:$N$1164) = VALUE($B$9))) *
            (IF($B$10="الكل",1, MONTH('ادخال البيانات'!$N$3:$N$1164) = VALUE($B$10))) *
            (IF($B$11="الكل",1, INT((DAY('ادخال البيانات'!$N$3:$N$1164)-1)/7)+1 = VALUE($B$11))),
            'ادخال البيانات'!$C$3:$C$1164
         ),
         ""
      ),
      IF(_xlpm.result="", "", _xlpm.result)
   )
)</f>
        <v/>
      </c>
      <c r="D462" s="27" t="str" cm="1">
        <f t="array" ref="D462">IF(
   OR(A462="", $B$9="", $B$10="", $B$11=""),
   "",
   _xlfn.LET(
      _xlpm.result,
      IFERROR(
         _xlfn.XLOOKUP(
            1,
            (Table8[رقم الصنف]=A462) *
            (IF($B$9="الكل",1, YEAR('ادخال البيانات'!$N$3:$N$1164)=VALUE($B$9))) *
            (IF($B$10="الكل",1, MONTH('ادخال البيانات'!$N$3:$N$1164)=VALUE($B$10))) *
            (IF($B$11="الكل",1, INT((DAY('ادخال البيانات'!$N$3:$N$1164)-1)/7)+1 = VALUE($B$11))),
            'ادخال البيانات'!$D$3:$D$1164
         ),
         ""
      ),
      IF(_xlpm.result="", "", _xlpm.result)
   )
)</f>
        <v/>
      </c>
      <c r="E462" s="27" t="str" cm="1">
        <f t="array" ref="E462">IF(
   A462="",
   "",
   _xlfn.LET(
      _xlpm.result,
      IFERROR(
         _xlfn.XLOOKUP(
            1,
            (Table8[رقم الصنف]=A462) *
            (IF($B$9="الكل",1, YEAR('ادخال البيانات'!$N$3:$N$1164)=VALUE($B$9))) *
            (IF($B$10="الكل",1, MONTH('ادخال البيانات'!$N$3:$N$1164)=VALUE($B$10))) *
            (IF($B$11="الكل",1, INT((DAY('ادخال البيانات'!$N$3:$N$1164)-1)/7)+1 = VALUE($B$11))),
            'ادخال البيانات'!$E$3:$E$1164
         ),
         ""
      ),
      IF(_xlpm.result="", "", _xlpm.result)
   )
)</f>
        <v/>
      </c>
      <c r="F462" s="27" t="str" cm="1">
        <f t="array" ref="F462">IF(
   A462="",
   "",
   _xlfn.LET(
      _xlpm.result,
      IFERROR(
         _xlfn.XLOOKUP(
            1,
            (Table8[رقم الصنف]=A462) *
            (IF($B$9="الكل",1, YEAR('ادخال البيانات'!$N$3:$N$1164) = VALUE($B$9))) *
            (IF($B$10="الكل",1, MONTH('ادخال البيانات'!$N$3:$N$1164) = VALUE($B$10))) *
            (IF($B$11="الكل",1, INT((DAY('ادخال البيانات'!$N$3:$N$1164)-1)/7)+1 = VALUE($B$11))),
            'ادخال البيانات'!$F$3:$F$1164
         ),
         ""
      ),
      IF(_xlpm.result="", "", _xlpm.result)
   )
)</f>
        <v/>
      </c>
      <c r="G462" s="27" t="str" cm="1">
        <f t="array" ref="G462">IF(
   A462="",
   "",
   _xlfn.LET(
      _xlpm.result,
      IFERROR(
         _xlfn.XLOOKUP(
            1,
            (Table8[رقم الصنف]=A462) *
            (IF($B$9="الكل",1, YEAR('ادخال البيانات'!$N$3:$N$1164)=VALUE($B$9))) *
            (IF($B$10="الكل",1, MONTH('ادخال البيانات'!$N$3:$N$1164)=VALUE($B$10))) *
            (IF($B$11="الكل",1, INT((DAY('ادخال البيانات'!$N$3:$N$1164)-1)/7)+1 = VALUE($B$11))),
            'ادخال البيانات'!$G$3:$G$1164
         ),
         ""
      ),
      IF(_xlpm.result="", "", _xlpm.result)
   )
)</f>
        <v/>
      </c>
      <c r="H462" s="27" t="str" cm="1">
        <f t="array" ref="H462">IF(
   A462="",
   "",
   _xlfn.LET(
      _xlpm.result,
      IFERROR(
         _xlfn.XLOOKUP(
            1,
            (Table8[رقم الصنف]=A462) *
            (IF($B$9="الكل",1, YEAR('ادخال البيانات'!$N$3:$N$1164)=VALUE($B$9))) *
            (IF($B$10="الكل",1, MONTH('ادخال البيانات'!$N$3:$N$1164)=VALUE($B$10))) *
            (IF($B$11="الكل",1, INT((DAY('ادخال البيانات'!$N$3:$N$1164)-1)/7)+1 = VALUE($B$11))),
            'ادخال البيانات'!$H$3:$H$1164
         ),
         ""
      ),
      IF(_xlpm.result="", "", _xlpm.result)
   )
)</f>
        <v/>
      </c>
      <c r="I462" s="27" t="str" cm="1">
        <f t="array" ref="I462">IF(
   A462="",
   "",
   _xlfn.LET(
      _xlpm.result,
      IFERROR(
         _xlfn.XLOOKUP(
            1,
            (Table8[رقم الصنف]=A462) *
            (IF($B$9="الكل",1, YEAR('ادخال البيانات'!$N$3:$N$1164)=VALUE($B$9))) *
            (IF($B$10="الكل",1, MONTH('ادخال البيانات'!$N$3:$N$1164)=VALUE($B$10))) *
            (IF($B$11="الكل",1, INT((DAY('ادخال البيانات'!$N$3:$N$1164)-1)/7)+1 = VALUE($B$11))),
            'ادخال البيانات'!$I$3:$I$1164
         ),
         ""
      ),
      IF(_xlpm.result="", "", _xlpm.result)
   )
)</f>
        <v/>
      </c>
      <c r="J462" s="27" t="str" cm="1">
        <f t="array" ref="J462">IF(
   A462="",
   "",
   _xlfn.LET(
      _xlpm.result,
      IFERROR(
         _xlfn.XLOOKUP(
            1,
            (Table8[رقم الصنف]=A462) *
            (IF($B$9="الكل",1, YEAR('ادخال البيانات'!$N$3:$N$1164)=VALUE($B$9))) *
            (IF($B$10="الكل",1, MONTH('ادخال البيانات'!$N$3:$N$1164)=VALUE($B$10))) *
            (IF($B$11="الكل",1, INT((DAY('ادخال البيانات'!$N$3:$N$1164)-1)/7)+1 = VALUE($B$11))),
            'ادخال البيانات'!$J$3:$J$1164
         ),
         ""
      ),
      IF(_xlpm.result="", "", _xlpm.result)
   )
)</f>
        <v/>
      </c>
      <c r="K462" s="27" t="str" cm="1">
        <f t="array" ref="K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2" s="27" t="str" cm="1">
        <f t="array" ref="L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2" s="27" t="str" cm="1">
        <f t="array" ref="M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2" s="28" t="str" cm="1">
        <f t="array" ref="N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2" s="28" t="str" cm="1">
        <f t="array" ref="O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2" s="27" t="str" cm="1">
        <f t="array" ref="P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Table8[جهة العطل]
         ),
         ""
      ),
      IF(_xlpm.result="", "", _xlpm.result)
   )
)</f>
        <v/>
      </c>
      <c r="Q462" s="27" t="str" cm="1">
        <f t="array" ref="Q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Table8[المركز]
         ),
         ""
      ),
      IF(_xlpm.result="", "", _xlpm.result)
   )
)</f>
        <v/>
      </c>
      <c r="R462" s="27" t="str" cm="1">
        <f t="array" ref="R462">IF(
   A462="",
   "",
   _xlfn.LET(
      _xlpm.result,
      IFERROR(
         _xlfn.XLOOKUP(
            1,
            (Table8[رقم الصنف]=A462) *
            (IF($B$9="الكل",1, YEAR('ادخال البيانات'!$N$3:$N$1164) = VALUE($B$9))) *
            (IF($B$10="الكل",1, MONTH('ادخال البيانات'!$N$3:$N$1164) = VALUE($B$10))) *
            (IF($B$11="الكل",1, INT((DAY('ادخال البيانات'!$N$3:$N$1164) - 1) / 7) + 1 = VALUE($B$11))),
            Table8[ملاحظة]
         ),
         ""
      ),
      IF(_xlpm.result="", "", _xlpm.result)
   )
)</f>
        <v/>
      </c>
      <c r="S462" s="27" t="str">
        <f t="shared" ca="1" si="7"/>
        <v/>
      </c>
    </row>
    <row r="463" spans="1:19" ht="27.75" customHeight="1" thickTop="1" thickBot="1" x14ac:dyDescent="0.35">
      <c r="A463" s="39"/>
      <c r="B463" s="50" t="str" cm="1">
        <f t="array" ref="B463">IF(
   OR(A463="", $B$9="", $B$10="", $B$11=""),
   "",
   _xlfn.LET(
      _xlpm.result,
      IFERROR(
         _xlfn.XLOOKUP(
            1,
            (Table8[رقم الصنف]=A463)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3" s="27" t="str" cm="1">
        <f t="array" ref="C463">IF(
   A463="",
   "",
   _xlfn.LET(
      _xlpm.result,
      IFERROR(
         _xlfn.XLOOKUP(
            1,
            (Table8[رقم الصنف]=A463) *
            (IF($B$9="الكل",1, YEAR('ادخال البيانات'!$N$3:$N$1164) = VALUE($B$9))) *
            (IF($B$10="الكل",1, MONTH('ادخال البيانات'!$N$3:$N$1164) = VALUE($B$10))) *
            (IF($B$11="الكل",1, INT((DAY('ادخال البيانات'!$N$3:$N$1164)-1)/7)+1 = VALUE($B$11))),
            'ادخال البيانات'!$C$3:$C$1164
         ),
         ""
      ),
      IF(_xlpm.result="", "", _xlpm.result)
   )
)</f>
        <v/>
      </c>
      <c r="D463" s="27" t="str" cm="1">
        <f t="array" ref="D463">IF(
   OR(A463="", $B$9="", $B$10="", $B$11=""),
   "",
   _xlfn.LET(
      _xlpm.result,
      IFERROR(
         _xlfn.XLOOKUP(
            1,
            (Table8[رقم الصنف]=A463) *
            (IF($B$9="الكل",1, YEAR('ادخال البيانات'!$N$3:$N$1164)=VALUE($B$9))) *
            (IF($B$10="الكل",1, MONTH('ادخال البيانات'!$N$3:$N$1164)=VALUE($B$10))) *
            (IF($B$11="الكل",1, INT((DAY('ادخال البيانات'!$N$3:$N$1164)-1)/7)+1 = VALUE($B$11))),
            'ادخال البيانات'!$D$3:$D$1164
         ),
         ""
      ),
      IF(_xlpm.result="", "", _xlpm.result)
   )
)</f>
        <v/>
      </c>
      <c r="E463" s="27" t="str" cm="1">
        <f t="array" ref="E463">IF(
   A463="",
   "",
   _xlfn.LET(
      _xlpm.result,
      IFERROR(
         _xlfn.XLOOKUP(
            1,
            (Table8[رقم الصنف]=A463) *
            (IF($B$9="الكل",1, YEAR('ادخال البيانات'!$N$3:$N$1164)=VALUE($B$9))) *
            (IF($B$10="الكل",1, MONTH('ادخال البيانات'!$N$3:$N$1164)=VALUE($B$10))) *
            (IF($B$11="الكل",1, INT((DAY('ادخال البيانات'!$N$3:$N$1164)-1)/7)+1 = VALUE($B$11))),
            'ادخال البيانات'!$E$3:$E$1164
         ),
         ""
      ),
      IF(_xlpm.result="", "", _xlpm.result)
   )
)</f>
        <v/>
      </c>
      <c r="F463" s="27" t="str" cm="1">
        <f t="array" ref="F463">IF(
   A463="",
   "",
   _xlfn.LET(
      _xlpm.result,
      IFERROR(
         _xlfn.XLOOKUP(
            1,
            (Table8[رقم الصنف]=A463) *
            (IF($B$9="الكل",1, YEAR('ادخال البيانات'!$N$3:$N$1164) = VALUE($B$9))) *
            (IF($B$10="الكل",1, MONTH('ادخال البيانات'!$N$3:$N$1164) = VALUE($B$10))) *
            (IF($B$11="الكل",1, INT((DAY('ادخال البيانات'!$N$3:$N$1164)-1)/7)+1 = VALUE($B$11))),
            'ادخال البيانات'!$F$3:$F$1164
         ),
         ""
      ),
      IF(_xlpm.result="", "", _xlpm.result)
   )
)</f>
        <v/>
      </c>
      <c r="G463" s="27" t="str" cm="1">
        <f t="array" ref="G463">IF(
   A463="",
   "",
   _xlfn.LET(
      _xlpm.result,
      IFERROR(
         _xlfn.XLOOKUP(
            1,
            (Table8[رقم الصنف]=A463) *
            (IF($B$9="الكل",1, YEAR('ادخال البيانات'!$N$3:$N$1164)=VALUE($B$9))) *
            (IF($B$10="الكل",1, MONTH('ادخال البيانات'!$N$3:$N$1164)=VALUE($B$10))) *
            (IF($B$11="الكل",1, INT((DAY('ادخال البيانات'!$N$3:$N$1164)-1)/7)+1 = VALUE($B$11))),
            'ادخال البيانات'!$G$3:$G$1164
         ),
         ""
      ),
      IF(_xlpm.result="", "", _xlpm.result)
   )
)</f>
        <v/>
      </c>
      <c r="H463" s="27" t="str" cm="1">
        <f t="array" ref="H463">IF(
   A463="",
   "",
   _xlfn.LET(
      _xlpm.result,
      IFERROR(
         _xlfn.XLOOKUP(
            1,
            (Table8[رقم الصنف]=A463) *
            (IF($B$9="الكل",1, YEAR('ادخال البيانات'!$N$3:$N$1164)=VALUE($B$9))) *
            (IF($B$10="الكل",1, MONTH('ادخال البيانات'!$N$3:$N$1164)=VALUE($B$10))) *
            (IF($B$11="الكل",1, INT((DAY('ادخال البيانات'!$N$3:$N$1164)-1)/7)+1 = VALUE($B$11))),
            'ادخال البيانات'!$H$3:$H$1164
         ),
         ""
      ),
      IF(_xlpm.result="", "", _xlpm.result)
   )
)</f>
        <v/>
      </c>
      <c r="I463" s="27" t="str" cm="1">
        <f t="array" ref="I463">IF(
   A463="",
   "",
   _xlfn.LET(
      _xlpm.result,
      IFERROR(
         _xlfn.XLOOKUP(
            1,
            (Table8[رقم الصنف]=A463) *
            (IF($B$9="الكل",1, YEAR('ادخال البيانات'!$N$3:$N$1164)=VALUE($B$9))) *
            (IF($B$10="الكل",1, MONTH('ادخال البيانات'!$N$3:$N$1164)=VALUE($B$10))) *
            (IF($B$11="الكل",1, INT((DAY('ادخال البيانات'!$N$3:$N$1164)-1)/7)+1 = VALUE($B$11))),
            'ادخال البيانات'!$I$3:$I$1164
         ),
         ""
      ),
      IF(_xlpm.result="", "", _xlpm.result)
   )
)</f>
        <v/>
      </c>
      <c r="J463" s="27" t="str" cm="1">
        <f t="array" ref="J463">IF(
   A463="",
   "",
   _xlfn.LET(
      _xlpm.result,
      IFERROR(
         _xlfn.XLOOKUP(
            1,
            (Table8[رقم الصنف]=A463) *
            (IF($B$9="الكل",1, YEAR('ادخال البيانات'!$N$3:$N$1164)=VALUE($B$9))) *
            (IF($B$10="الكل",1, MONTH('ادخال البيانات'!$N$3:$N$1164)=VALUE($B$10))) *
            (IF($B$11="الكل",1, INT((DAY('ادخال البيانات'!$N$3:$N$1164)-1)/7)+1 = VALUE($B$11))),
            'ادخال البيانات'!$J$3:$J$1164
         ),
         ""
      ),
      IF(_xlpm.result="", "", _xlpm.result)
   )
)</f>
        <v/>
      </c>
      <c r="K463" s="27" t="str" cm="1">
        <f t="array" ref="K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3" s="27" t="str" cm="1">
        <f t="array" ref="L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3" s="27" t="str" cm="1">
        <f t="array" ref="M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3" s="28" t="str" cm="1">
        <f t="array" ref="N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3" s="28" t="str" cm="1">
        <f t="array" ref="O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3" s="27" t="str" cm="1">
        <f t="array" ref="P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Table8[جهة العطل]
         ),
         ""
      ),
      IF(_xlpm.result="", "", _xlpm.result)
   )
)</f>
        <v/>
      </c>
      <c r="Q463" s="27" t="str" cm="1">
        <f t="array" ref="Q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Table8[المركز]
         ),
         ""
      ),
      IF(_xlpm.result="", "", _xlpm.result)
   )
)</f>
        <v/>
      </c>
      <c r="R463" s="27" t="str" cm="1">
        <f t="array" ref="R463">IF(
   A463="",
   "",
   _xlfn.LET(
      _xlpm.result,
      IFERROR(
         _xlfn.XLOOKUP(
            1,
            (Table8[رقم الصنف]=A463) *
            (IF($B$9="الكل",1, YEAR('ادخال البيانات'!$N$3:$N$1164) = VALUE($B$9))) *
            (IF($B$10="الكل",1, MONTH('ادخال البيانات'!$N$3:$N$1164) = VALUE($B$10))) *
            (IF($B$11="الكل",1, INT((DAY('ادخال البيانات'!$N$3:$N$1164) - 1) / 7) + 1 = VALUE($B$11))),
            Table8[ملاحظة]
         ),
         ""
      ),
      IF(_xlpm.result="", "", _xlpm.result)
   )
)</f>
        <v/>
      </c>
      <c r="S463" s="27" t="str">
        <f t="shared" ca="1" si="7"/>
        <v/>
      </c>
    </row>
    <row r="464" spans="1:19" ht="27.75" customHeight="1" thickTop="1" thickBot="1" x14ac:dyDescent="0.35">
      <c r="A464" s="39"/>
      <c r="B464" s="50" t="str" cm="1">
        <f t="array" ref="B464">IF(
   OR(A464="", $B$9="", $B$10="", $B$11=""),
   "",
   _xlfn.LET(
      _xlpm.result,
      IFERROR(
         _xlfn.XLOOKUP(
            1,
            (Table8[رقم الصنف]=A464)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4" s="27" t="str" cm="1">
        <f t="array" ref="C464">IF(
   A464="",
   "",
   _xlfn.LET(
      _xlpm.result,
      IFERROR(
         _xlfn.XLOOKUP(
            1,
            (Table8[رقم الصنف]=A464) *
            (IF($B$9="الكل",1, YEAR('ادخال البيانات'!$N$3:$N$1164) = VALUE($B$9))) *
            (IF($B$10="الكل",1, MONTH('ادخال البيانات'!$N$3:$N$1164) = VALUE($B$10))) *
            (IF($B$11="الكل",1, INT((DAY('ادخال البيانات'!$N$3:$N$1164)-1)/7)+1 = VALUE($B$11))),
            'ادخال البيانات'!$C$3:$C$1164
         ),
         ""
      ),
      IF(_xlpm.result="", "", _xlpm.result)
   )
)</f>
        <v/>
      </c>
      <c r="D464" s="27" t="str" cm="1">
        <f t="array" ref="D464">IF(
   OR(A464="", $B$9="", $B$10="", $B$11=""),
   "",
   _xlfn.LET(
      _xlpm.result,
      IFERROR(
         _xlfn.XLOOKUP(
            1,
            (Table8[رقم الصنف]=A464) *
            (IF($B$9="الكل",1, YEAR('ادخال البيانات'!$N$3:$N$1164)=VALUE($B$9))) *
            (IF($B$10="الكل",1, MONTH('ادخال البيانات'!$N$3:$N$1164)=VALUE($B$10))) *
            (IF($B$11="الكل",1, INT((DAY('ادخال البيانات'!$N$3:$N$1164)-1)/7)+1 = VALUE($B$11))),
            'ادخال البيانات'!$D$3:$D$1164
         ),
         ""
      ),
      IF(_xlpm.result="", "", _xlpm.result)
   )
)</f>
        <v/>
      </c>
      <c r="E464" s="27" t="str" cm="1">
        <f t="array" ref="E464">IF(
   A464="",
   "",
   _xlfn.LET(
      _xlpm.result,
      IFERROR(
         _xlfn.XLOOKUP(
            1,
            (Table8[رقم الصنف]=A464) *
            (IF($B$9="الكل",1, YEAR('ادخال البيانات'!$N$3:$N$1164)=VALUE($B$9))) *
            (IF($B$10="الكل",1, MONTH('ادخال البيانات'!$N$3:$N$1164)=VALUE($B$10))) *
            (IF($B$11="الكل",1, INT((DAY('ادخال البيانات'!$N$3:$N$1164)-1)/7)+1 = VALUE($B$11))),
            'ادخال البيانات'!$E$3:$E$1164
         ),
         ""
      ),
      IF(_xlpm.result="", "", _xlpm.result)
   )
)</f>
        <v/>
      </c>
      <c r="F464" s="27" t="str" cm="1">
        <f t="array" ref="F464">IF(
   A464="",
   "",
   _xlfn.LET(
      _xlpm.result,
      IFERROR(
         _xlfn.XLOOKUP(
            1,
            (Table8[رقم الصنف]=A464) *
            (IF($B$9="الكل",1, YEAR('ادخال البيانات'!$N$3:$N$1164) = VALUE($B$9))) *
            (IF($B$10="الكل",1, MONTH('ادخال البيانات'!$N$3:$N$1164) = VALUE($B$10))) *
            (IF($B$11="الكل",1, INT((DAY('ادخال البيانات'!$N$3:$N$1164)-1)/7)+1 = VALUE($B$11))),
            'ادخال البيانات'!$F$3:$F$1164
         ),
         ""
      ),
      IF(_xlpm.result="", "", _xlpm.result)
   )
)</f>
        <v/>
      </c>
      <c r="G464" s="27" t="str" cm="1">
        <f t="array" ref="G464">IF(
   A464="",
   "",
   _xlfn.LET(
      _xlpm.result,
      IFERROR(
         _xlfn.XLOOKUP(
            1,
            (Table8[رقم الصنف]=A464) *
            (IF($B$9="الكل",1, YEAR('ادخال البيانات'!$N$3:$N$1164)=VALUE($B$9))) *
            (IF($B$10="الكل",1, MONTH('ادخال البيانات'!$N$3:$N$1164)=VALUE($B$10))) *
            (IF($B$11="الكل",1, INT((DAY('ادخال البيانات'!$N$3:$N$1164)-1)/7)+1 = VALUE($B$11))),
            'ادخال البيانات'!$G$3:$G$1164
         ),
         ""
      ),
      IF(_xlpm.result="", "", _xlpm.result)
   )
)</f>
        <v/>
      </c>
      <c r="H464" s="27" t="str" cm="1">
        <f t="array" ref="H464">IF(
   A464="",
   "",
   _xlfn.LET(
      _xlpm.result,
      IFERROR(
         _xlfn.XLOOKUP(
            1,
            (Table8[رقم الصنف]=A464) *
            (IF($B$9="الكل",1, YEAR('ادخال البيانات'!$N$3:$N$1164)=VALUE($B$9))) *
            (IF($B$10="الكل",1, MONTH('ادخال البيانات'!$N$3:$N$1164)=VALUE($B$10))) *
            (IF($B$11="الكل",1, INT((DAY('ادخال البيانات'!$N$3:$N$1164)-1)/7)+1 = VALUE($B$11))),
            'ادخال البيانات'!$H$3:$H$1164
         ),
         ""
      ),
      IF(_xlpm.result="", "", _xlpm.result)
   )
)</f>
        <v/>
      </c>
      <c r="I464" s="27" t="str" cm="1">
        <f t="array" ref="I464">IF(
   A464="",
   "",
   _xlfn.LET(
      _xlpm.result,
      IFERROR(
         _xlfn.XLOOKUP(
            1,
            (Table8[رقم الصنف]=A464) *
            (IF($B$9="الكل",1, YEAR('ادخال البيانات'!$N$3:$N$1164)=VALUE($B$9))) *
            (IF($B$10="الكل",1, MONTH('ادخال البيانات'!$N$3:$N$1164)=VALUE($B$10))) *
            (IF($B$11="الكل",1, INT((DAY('ادخال البيانات'!$N$3:$N$1164)-1)/7)+1 = VALUE($B$11))),
            'ادخال البيانات'!$I$3:$I$1164
         ),
         ""
      ),
      IF(_xlpm.result="", "", _xlpm.result)
   )
)</f>
        <v/>
      </c>
      <c r="J464" s="27" t="str" cm="1">
        <f t="array" ref="J464">IF(
   A464="",
   "",
   _xlfn.LET(
      _xlpm.result,
      IFERROR(
         _xlfn.XLOOKUP(
            1,
            (Table8[رقم الصنف]=A464) *
            (IF($B$9="الكل",1, YEAR('ادخال البيانات'!$N$3:$N$1164)=VALUE($B$9))) *
            (IF($B$10="الكل",1, MONTH('ادخال البيانات'!$N$3:$N$1164)=VALUE($B$10))) *
            (IF($B$11="الكل",1, INT((DAY('ادخال البيانات'!$N$3:$N$1164)-1)/7)+1 = VALUE($B$11))),
            'ادخال البيانات'!$J$3:$J$1164
         ),
         ""
      ),
      IF(_xlpm.result="", "", _xlpm.result)
   )
)</f>
        <v/>
      </c>
      <c r="K464" s="27" t="str" cm="1">
        <f t="array" ref="K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4" s="27" t="str" cm="1">
        <f t="array" ref="L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4" s="27" t="str" cm="1">
        <f t="array" ref="M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4" s="28" t="str" cm="1">
        <f t="array" ref="N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4" s="28" t="str" cm="1">
        <f t="array" ref="O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4" s="27" t="str" cm="1">
        <f t="array" ref="P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Table8[جهة العطل]
         ),
         ""
      ),
      IF(_xlpm.result="", "", _xlpm.result)
   )
)</f>
        <v/>
      </c>
      <c r="Q464" s="27" t="str" cm="1">
        <f t="array" ref="Q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Table8[المركز]
         ),
         ""
      ),
      IF(_xlpm.result="", "", _xlpm.result)
   )
)</f>
        <v/>
      </c>
      <c r="R464" s="27" t="str" cm="1">
        <f t="array" ref="R464">IF(
   A464="",
   "",
   _xlfn.LET(
      _xlpm.result,
      IFERROR(
         _xlfn.XLOOKUP(
            1,
            (Table8[رقم الصنف]=A464) *
            (IF($B$9="الكل",1, YEAR('ادخال البيانات'!$N$3:$N$1164) = VALUE($B$9))) *
            (IF($B$10="الكل",1, MONTH('ادخال البيانات'!$N$3:$N$1164) = VALUE($B$10))) *
            (IF($B$11="الكل",1, INT((DAY('ادخال البيانات'!$N$3:$N$1164) - 1) / 7) + 1 = VALUE($B$11))),
            Table8[ملاحظة]
         ),
         ""
      ),
      IF(_xlpm.result="", "", _xlpm.result)
   )
)</f>
        <v/>
      </c>
      <c r="S464" s="27" t="str">
        <f t="shared" ca="1" si="7"/>
        <v/>
      </c>
    </row>
    <row r="465" spans="1:19" ht="27.75" customHeight="1" thickTop="1" thickBot="1" x14ac:dyDescent="0.35">
      <c r="A465" s="39"/>
      <c r="B465" s="50" t="str" cm="1">
        <f t="array" ref="B465">IF(
   OR(A465="", $B$9="", $B$10="", $B$11=""),
   "",
   _xlfn.LET(
      _xlpm.result,
      IFERROR(
         _xlfn.XLOOKUP(
            1,
            (Table8[رقم الصنف]=A465)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5" s="27" t="str" cm="1">
        <f t="array" ref="C465">IF(
   A465="",
   "",
   _xlfn.LET(
      _xlpm.result,
      IFERROR(
         _xlfn.XLOOKUP(
            1,
            (Table8[رقم الصنف]=A465) *
            (IF($B$9="الكل",1, YEAR('ادخال البيانات'!$N$3:$N$1164) = VALUE($B$9))) *
            (IF($B$10="الكل",1, MONTH('ادخال البيانات'!$N$3:$N$1164) = VALUE($B$10))) *
            (IF($B$11="الكل",1, INT((DAY('ادخال البيانات'!$N$3:$N$1164)-1)/7)+1 = VALUE($B$11))),
            'ادخال البيانات'!$C$3:$C$1164
         ),
         ""
      ),
      IF(_xlpm.result="", "", _xlpm.result)
   )
)</f>
        <v/>
      </c>
      <c r="D465" s="27" t="str" cm="1">
        <f t="array" ref="D465">IF(
   OR(A465="", $B$9="", $B$10="", $B$11=""),
   "",
   _xlfn.LET(
      _xlpm.result,
      IFERROR(
         _xlfn.XLOOKUP(
            1,
            (Table8[رقم الصنف]=A465) *
            (IF($B$9="الكل",1, YEAR('ادخال البيانات'!$N$3:$N$1164)=VALUE($B$9))) *
            (IF($B$10="الكل",1, MONTH('ادخال البيانات'!$N$3:$N$1164)=VALUE($B$10))) *
            (IF($B$11="الكل",1, INT((DAY('ادخال البيانات'!$N$3:$N$1164)-1)/7)+1 = VALUE($B$11))),
            'ادخال البيانات'!$D$3:$D$1164
         ),
         ""
      ),
      IF(_xlpm.result="", "", _xlpm.result)
   )
)</f>
        <v/>
      </c>
      <c r="E465" s="27" t="str" cm="1">
        <f t="array" ref="E465">IF(
   A465="",
   "",
   _xlfn.LET(
      _xlpm.result,
      IFERROR(
         _xlfn.XLOOKUP(
            1,
            (Table8[رقم الصنف]=A465) *
            (IF($B$9="الكل",1, YEAR('ادخال البيانات'!$N$3:$N$1164)=VALUE($B$9))) *
            (IF($B$10="الكل",1, MONTH('ادخال البيانات'!$N$3:$N$1164)=VALUE($B$10))) *
            (IF($B$11="الكل",1, INT((DAY('ادخال البيانات'!$N$3:$N$1164)-1)/7)+1 = VALUE($B$11))),
            'ادخال البيانات'!$E$3:$E$1164
         ),
         ""
      ),
      IF(_xlpm.result="", "", _xlpm.result)
   )
)</f>
        <v/>
      </c>
      <c r="F465" s="27" t="str" cm="1">
        <f t="array" ref="F465">IF(
   A465="",
   "",
   _xlfn.LET(
      _xlpm.result,
      IFERROR(
         _xlfn.XLOOKUP(
            1,
            (Table8[رقم الصنف]=A465) *
            (IF($B$9="الكل",1, YEAR('ادخال البيانات'!$N$3:$N$1164) = VALUE($B$9))) *
            (IF($B$10="الكل",1, MONTH('ادخال البيانات'!$N$3:$N$1164) = VALUE($B$10))) *
            (IF($B$11="الكل",1, INT((DAY('ادخال البيانات'!$N$3:$N$1164)-1)/7)+1 = VALUE($B$11))),
            'ادخال البيانات'!$F$3:$F$1164
         ),
         ""
      ),
      IF(_xlpm.result="", "", _xlpm.result)
   )
)</f>
        <v/>
      </c>
      <c r="G465" s="27" t="str" cm="1">
        <f t="array" ref="G465">IF(
   A465="",
   "",
   _xlfn.LET(
      _xlpm.result,
      IFERROR(
         _xlfn.XLOOKUP(
            1,
            (Table8[رقم الصنف]=A465) *
            (IF($B$9="الكل",1, YEAR('ادخال البيانات'!$N$3:$N$1164)=VALUE($B$9))) *
            (IF($B$10="الكل",1, MONTH('ادخال البيانات'!$N$3:$N$1164)=VALUE($B$10))) *
            (IF($B$11="الكل",1, INT((DAY('ادخال البيانات'!$N$3:$N$1164)-1)/7)+1 = VALUE($B$11))),
            'ادخال البيانات'!$G$3:$G$1164
         ),
         ""
      ),
      IF(_xlpm.result="", "", _xlpm.result)
   )
)</f>
        <v/>
      </c>
      <c r="H465" s="27" t="str" cm="1">
        <f t="array" ref="H465">IF(
   A465="",
   "",
   _xlfn.LET(
      _xlpm.result,
      IFERROR(
         _xlfn.XLOOKUP(
            1,
            (Table8[رقم الصنف]=A465) *
            (IF($B$9="الكل",1, YEAR('ادخال البيانات'!$N$3:$N$1164)=VALUE($B$9))) *
            (IF($B$10="الكل",1, MONTH('ادخال البيانات'!$N$3:$N$1164)=VALUE($B$10))) *
            (IF($B$11="الكل",1, INT((DAY('ادخال البيانات'!$N$3:$N$1164)-1)/7)+1 = VALUE($B$11))),
            'ادخال البيانات'!$H$3:$H$1164
         ),
         ""
      ),
      IF(_xlpm.result="", "", _xlpm.result)
   )
)</f>
        <v/>
      </c>
      <c r="I465" s="27" t="str" cm="1">
        <f t="array" ref="I465">IF(
   A465="",
   "",
   _xlfn.LET(
      _xlpm.result,
      IFERROR(
         _xlfn.XLOOKUP(
            1,
            (Table8[رقم الصنف]=A465) *
            (IF($B$9="الكل",1, YEAR('ادخال البيانات'!$N$3:$N$1164)=VALUE($B$9))) *
            (IF($B$10="الكل",1, MONTH('ادخال البيانات'!$N$3:$N$1164)=VALUE($B$10))) *
            (IF($B$11="الكل",1, INT((DAY('ادخال البيانات'!$N$3:$N$1164)-1)/7)+1 = VALUE($B$11))),
            'ادخال البيانات'!$I$3:$I$1164
         ),
         ""
      ),
      IF(_xlpm.result="", "", _xlpm.result)
   )
)</f>
        <v/>
      </c>
      <c r="J465" s="27" t="str" cm="1">
        <f t="array" ref="J465">IF(
   A465="",
   "",
   _xlfn.LET(
      _xlpm.result,
      IFERROR(
         _xlfn.XLOOKUP(
            1,
            (Table8[رقم الصنف]=A465) *
            (IF($B$9="الكل",1, YEAR('ادخال البيانات'!$N$3:$N$1164)=VALUE($B$9))) *
            (IF($B$10="الكل",1, MONTH('ادخال البيانات'!$N$3:$N$1164)=VALUE($B$10))) *
            (IF($B$11="الكل",1, INT((DAY('ادخال البيانات'!$N$3:$N$1164)-1)/7)+1 = VALUE($B$11))),
            'ادخال البيانات'!$J$3:$J$1164
         ),
         ""
      ),
      IF(_xlpm.result="", "", _xlpm.result)
   )
)</f>
        <v/>
      </c>
      <c r="K465" s="27" t="str" cm="1">
        <f t="array" ref="K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5" s="27" t="str" cm="1">
        <f t="array" ref="L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5" s="27" t="str" cm="1">
        <f t="array" ref="M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5" s="28" t="str" cm="1">
        <f t="array" ref="N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5" s="28" t="str" cm="1">
        <f t="array" ref="O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5" s="27" t="str" cm="1">
        <f t="array" ref="P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Table8[جهة العطل]
         ),
         ""
      ),
      IF(_xlpm.result="", "", _xlpm.result)
   )
)</f>
        <v/>
      </c>
      <c r="Q465" s="27" t="str" cm="1">
        <f t="array" ref="Q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Table8[المركز]
         ),
         ""
      ),
      IF(_xlpm.result="", "", _xlpm.result)
   )
)</f>
        <v/>
      </c>
      <c r="R465" s="27" t="str" cm="1">
        <f t="array" ref="R465">IF(
   A465="",
   "",
   _xlfn.LET(
      _xlpm.result,
      IFERROR(
         _xlfn.XLOOKUP(
            1,
            (Table8[رقم الصنف]=A465) *
            (IF($B$9="الكل",1, YEAR('ادخال البيانات'!$N$3:$N$1164) = VALUE($B$9))) *
            (IF($B$10="الكل",1, MONTH('ادخال البيانات'!$N$3:$N$1164) = VALUE($B$10))) *
            (IF($B$11="الكل",1, INT((DAY('ادخال البيانات'!$N$3:$N$1164) - 1) / 7) + 1 = VALUE($B$11))),
            Table8[ملاحظة]
         ),
         ""
      ),
      IF(_xlpm.result="", "", _xlpm.result)
   )
)</f>
        <v/>
      </c>
      <c r="S465" s="27" t="str">
        <f t="shared" ca="1" si="7"/>
        <v/>
      </c>
    </row>
    <row r="466" spans="1:19" ht="27.75" customHeight="1" thickTop="1" thickBot="1" x14ac:dyDescent="0.35">
      <c r="A466" s="39"/>
      <c r="B466" s="50" t="str" cm="1">
        <f t="array" ref="B466">IF(
   OR(A466="", $B$9="", $B$10="", $B$11=""),
   "",
   _xlfn.LET(
      _xlpm.result,
      IFERROR(
         _xlfn.XLOOKUP(
            1,
            (Table8[رقم الصنف]=A466)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6" s="27" t="str" cm="1">
        <f t="array" ref="C466">IF(
   A466="",
   "",
   _xlfn.LET(
      _xlpm.result,
      IFERROR(
         _xlfn.XLOOKUP(
            1,
            (Table8[رقم الصنف]=A466) *
            (IF($B$9="الكل",1, YEAR('ادخال البيانات'!$N$3:$N$1164) = VALUE($B$9))) *
            (IF($B$10="الكل",1, MONTH('ادخال البيانات'!$N$3:$N$1164) = VALUE($B$10))) *
            (IF($B$11="الكل",1, INT((DAY('ادخال البيانات'!$N$3:$N$1164)-1)/7)+1 = VALUE($B$11))),
            'ادخال البيانات'!$C$3:$C$1164
         ),
         ""
      ),
      IF(_xlpm.result="", "", _xlpm.result)
   )
)</f>
        <v/>
      </c>
      <c r="D466" s="27" t="str" cm="1">
        <f t="array" ref="D466">IF(
   OR(A466="", $B$9="", $B$10="", $B$11=""),
   "",
   _xlfn.LET(
      _xlpm.result,
      IFERROR(
         _xlfn.XLOOKUP(
            1,
            (Table8[رقم الصنف]=A466) *
            (IF($B$9="الكل",1, YEAR('ادخال البيانات'!$N$3:$N$1164)=VALUE($B$9))) *
            (IF($B$10="الكل",1, MONTH('ادخال البيانات'!$N$3:$N$1164)=VALUE($B$10))) *
            (IF($B$11="الكل",1, INT((DAY('ادخال البيانات'!$N$3:$N$1164)-1)/7)+1 = VALUE($B$11))),
            'ادخال البيانات'!$D$3:$D$1164
         ),
         ""
      ),
      IF(_xlpm.result="", "", _xlpm.result)
   )
)</f>
        <v/>
      </c>
      <c r="E466" s="27" t="str" cm="1">
        <f t="array" ref="E466">IF(
   A466="",
   "",
   _xlfn.LET(
      _xlpm.result,
      IFERROR(
         _xlfn.XLOOKUP(
            1,
            (Table8[رقم الصنف]=A466) *
            (IF($B$9="الكل",1, YEAR('ادخال البيانات'!$N$3:$N$1164)=VALUE($B$9))) *
            (IF($B$10="الكل",1, MONTH('ادخال البيانات'!$N$3:$N$1164)=VALUE($B$10))) *
            (IF($B$11="الكل",1, INT((DAY('ادخال البيانات'!$N$3:$N$1164)-1)/7)+1 = VALUE($B$11))),
            'ادخال البيانات'!$E$3:$E$1164
         ),
         ""
      ),
      IF(_xlpm.result="", "", _xlpm.result)
   )
)</f>
        <v/>
      </c>
      <c r="F466" s="27" t="str" cm="1">
        <f t="array" ref="F466">IF(
   A466="",
   "",
   _xlfn.LET(
      _xlpm.result,
      IFERROR(
         _xlfn.XLOOKUP(
            1,
            (Table8[رقم الصنف]=A466) *
            (IF($B$9="الكل",1, YEAR('ادخال البيانات'!$N$3:$N$1164) = VALUE($B$9))) *
            (IF($B$10="الكل",1, MONTH('ادخال البيانات'!$N$3:$N$1164) = VALUE($B$10))) *
            (IF($B$11="الكل",1, INT((DAY('ادخال البيانات'!$N$3:$N$1164)-1)/7)+1 = VALUE($B$11))),
            'ادخال البيانات'!$F$3:$F$1164
         ),
         ""
      ),
      IF(_xlpm.result="", "", _xlpm.result)
   )
)</f>
        <v/>
      </c>
      <c r="G466" s="27" t="str" cm="1">
        <f t="array" ref="G466">IF(
   A466="",
   "",
   _xlfn.LET(
      _xlpm.result,
      IFERROR(
         _xlfn.XLOOKUP(
            1,
            (Table8[رقم الصنف]=A466) *
            (IF($B$9="الكل",1, YEAR('ادخال البيانات'!$N$3:$N$1164)=VALUE($B$9))) *
            (IF($B$10="الكل",1, MONTH('ادخال البيانات'!$N$3:$N$1164)=VALUE($B$10))) *
            (IF($B$11="الكل",1, INT((DAY('ادخال البيانات'!$N$3:$N$1164)-1)/7)+1 = VALUE($B$11))),
            'ادخال البيانات'!$G$3:$G$1164
         ),
         ""
      ),
      IF(_xlpm.result="", "", _xlpm.result)
   )
)</f>
        <v/>
      </c>
      <c r="H466" s="27" t="str" cm="1">
        <f t="array" ref="H466">IF(
   A466="",
   "",
   _xlfn.LET(
      _xlpm.result,
      IFERROR(
         _xlfn.XLOOKUP(
            1,
            (Table8[رقم الصنف]=A466) *
            (IF($B$9="الكل",1, YEAR('ادخال البيانات'!$N$3:$N$1164)=VALUE($B$9))) *
            (IF($B$10="الكل",1, MONTH('ادخال البيانات'!$N$3:$N$1164)=VALUE($B$10))) *
            (IF($B$11="الكل",1, INT((DAY('ادخال البيانات'!$N$3:$N$1164)-1)/7)+1 = VALUE($B$11))),
            'ادخال البيانات'!$H$3:$H$1164
         ),
         ""
      ),
      IF(_xlpm.result="", "", _xlpm.result)
   )
)</f>
        <v/>
      </c>
      <c r="I466" s="27" t="str" cm="1">
        <f t="array" ref="I466">IF(
   A466="",
   "",
   _xlfn.LET(
      _xlpm.result,
      IFERROR(
         _xlfn.XLOOKUP(
            1,
            (Table8[رقم الصنف]=A466) *
            (IF($B$9="الكل",1, YEAR('ادخال البيانات'!$N$3:$N$1164)=VALUE($B$9))) *
            (IF($B$10="الكل",1, MONTH('ادخال البيانات'!$N$3:$N$1164)=VALUE($B$10))) *
            (IF($B$11="الكل",1, INT((DAY('ادخال البيانات'!$N$3:$N$1164)-1)/7)+1 = VALUE($B$11))),
            'ادخال البيانات'!$I$3:$I$1164
         ),
         ""
      ),
      IF(_xlpm.result="", "", _xlpm.result)
   )
)</f>
        <v/>
      </c>
      <c r="J466" s="27" t="str" cm="1">
        <f t="array" ref="J466">IF(
   A466="",
   "",
   _xlfn.LET(
      _xlpm.result,
      IFERROR(
         _xlfn.XLOOKUP(
            1,
            (Table8[رقم الصنف]=A466) *
            (IF($B$9="الكل",1, YEAR('ادخال البيانات'!$N$3:$N$1164)=VALUE($B$9))) *
            (IF($B$10="الكل",1, MONTH('ادخال البيانات'!$N$3:$N$1164)=VALUE($B$10))) *
            (IF($B$11="الكل",1, INT((DAY('ادخال البيانات'!$N$3:$N$1164)-1)/7)+1 = VALUE($B$11))),
            'ادخال البيانات'!$J$3:$J$1164
         ),
         ""
      ),
      IF(_xlpm.result="", "", _xlpm.result)
   )
)</f>
        <v/>
      </c>
      <c r="K466" s="27" t="str" cm="1">
        <f t="array" ref="K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6" s="27" t="str" cm="1">
        <f t="array" ref="L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6" s="27" t="str" cm="1">
        <f t="array" ref="M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6" s="28" t="str" cm="1">
        <f t="array" ref="N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6" s="28" t="str" cm="1">
        <f t="array" ref="O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6" s="27" t="str" cm="1">
        <f t="array" ref="P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Table8[جهة العطل]
         ),
         ""
      ),
      IF(_xlpm.result="", "", _xlpm.result)
   )
)</f>
        <v/>
      </c>
      <c r="Q466" s="27" t="str" cm="1">
        <f t="array" ref="Q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Table8[المركز]
         ),
         ""
      ),
      IF(_xlpm.result="", "", _xlpm.result)
   )
)</f>
        <v/>
      </c>
      <c r="R466" s="27" t="str" cm="1">
        <f t="array" ref="R466">IF(
   A466="",
   "",
   _xlfn.LET(
      _xlpm.result,
      IFERROR(
         _xlfn.XLOOKUP(
            1,
            (Table8[رقم الصنف]=A466) *
            (IF($B$9="الكل",1, YEAR('ادخال البيانات'!$N$3:$N$1164) = VALUE($B$9))) *
            (IF($B$10="الكل",1, MONTH('ادخال البيانات'!$N$3:$N$1164) = VALUE($B$10))) *
            (IF($B$11="الكل",1, INT((DAY('ادخال البيانات'!$N$3:$N$1164) - 1) / 7) + 1 = VALUE($B$11))),
            Table8[ملاحظة]
         ),
         ""
      ),
      IF(_xlpm.result="", "", _xlpm.result)
   )
)</f>
        <v/>
      </c>
      <c r="S466" s="27" t="str">
        <f t="shared" ca="1" si="7"/>
        <v/>
      </c>
    </row>
    <row r="467" spans="1:19" ht="27.75" customHeight="1" thickTop="1" thickBot="1" x14ac:dyDescent="0.35">
      <c r="A467" s="39"/>
      <c r="B467" s="50" t="str" cm="1">
        <f t="array" ref="B467">IF(
   OR(A467="", $B$9="", $B$10="", $B$11=""),
   "",
   _xlfn.LET(
      _xlpm.result,
      IFERROR(
         _xlfn.XLOOKUP(
            1,
            (Table8[رقم الصنف]=A467)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7" s="27" t="str" cm="1">
        <f t="array" ref="C467">IF(
   A467="",
   "",
   _xlfn.LET(
      _xlpm.result,
      IFERROR(
         _xlfn.XLOOKUP(
            1,
            (Table8[رقم الصنف]=A467) *
            (IF($B$9="الكل",1, YEAR('ادخال البيانات'!$N$3:$N$1164) = VALUE($B$9))) *
            (IF($B$10="الكل",1, MONTH('ادخال البيانات'!$N$3:$N$1164) = VALUE($B$10))) *
            (IF($B$11="الكل",1, INT((DAY('ادخال البيانات'!$N$3:$N$1164)-1)/7)+1 = VALUE($B$11))),
            'ادخال البيانات'!$C$3:$C$1164
         ),
         ""
      ),
      IF(_xlpm.result="", "", _xlpm.result)
   )
)</f>
        <v/>
      </c>
      <c r="D467" s="27" t="str" cm="1">
        <f t="array" ref="D467">IF(
   OR(A467="", $B$9="", $B$10="", $B$11=""),
   "",
   _xlfn.LET(
      _xlpm.result,
      IFERROR(
         _xlfn.XLOOKUP(
            1,
            (Table8[رقم الصنف]=A467) *
            (IF($B$9="الكل",1, YEAR('ادخال البيانات'!$N$3:$N$1164)=VALUE($B$9))) *
            (IF($B$10="الكل",1, MONTH('ادخال البيانات'!$N$3:$N$1164)=VALUE($B$10))) *
            (IF($B$11="الكل",1, INT((DAY('ادخال البيانات'!$N$3:$N$1164)-1)/7)+1 = VALUE($B$11))),
            'ادخال البيانات'!$D$3:$D$1164
         ),
         ""
      ),
      IF(_xlpm.result="", "", _xlpm.result)
   )
)</f>
        <v/>
      </c>
      <c r="E467" s="27" t="str" cm="1">
        <f t="array" ref="E467">IF(
   A467="",
   "",
   _xlfn.LET(
      _xlpm.result,
      IFERROR(
         _xlfn.XLOOKUP(
            1,
            (Table8[رقم الصنف]=A467) *
            (IF($B$9="الكل",1, YEAR('ادخال البيانات'!$N$3:$N$1164)=VALUE($B$9))) *
            (IF($B$10="الكل",1, MONTH('ادخال البيانات'!$N$3:$N$1164)=VALUE($B$10))) *
            (IF($B$11="الكل",1, INT((DAY('ادخال البيانات'!$N$3:$N$1164)-1)/7)+1 = VALUE($B$11))),
            'ادخال البيانات'!$E$3:$E$1164
         ),
         ""
      ),
      IF(_xlpm.result="", "", _xlpm.result)
   )
)</f>
        <v/>
      </c>
      <c r="F467" s="27" t="str" cm="1">
        <f t="array" ref="F467">IF(
   A467="",
   "",
   _xlfn.LET(
      _xlpm.result,
      IFERROR(
         _xlfn.XLOOKUP(
            1,
            (Table8[رقم الصنف]=A467) *
            (IF($B$9="الكل",1, YEAR('ادخال البيانات'!$N$3:$N$1164) = VALUE($B$9))) *
            (IF($B$10="الكل",1, MONTH('ادخال البيانات'!$N$3:$N$1164) = VALUE($B$10))) *
            (IF($B$11="الكل",1, INT((DAY('ادخال البيانات'!$N$3:$N$1164)-1)/7)+1 = VALUE($B$11))),
            'ادخال البيانات'!$F$3:$F$1164
         ),
         ""
      ),
      IF(_xlpm.result="", "", _xlpm.result)
   )
)</f>
        <v/>
      </c>
      <c r="G467" s="27" t="str" cm="1">
        <f t="array" ref="G467">IF(
   A467="",
   "",
   _xlfn.LET(
      _xlpm.result,
      IFERROR(
         _xlfn.XLOOKUP(
            1,
            (Table8[رقم الصنف]=A467) *
            (IF($B$9="الكل",1, YEAR('ادخال البيانات'!$N$3:$N$1164)=VALUE($B$9))) *
            (IF($B$10="الكل",1, MONTH('ادخال البيانات'!$N$3:$N$1164)=VALUE($B$10))) *
            (IF($B$11="الكل",1, INT((DAY('ادخال البيانات'!$N$3:$N$1164)-1)/7)+1 = VALUE($B$11))),
            'ادخال البيانات'!$G$3:$G$1164
         ),
         ""
      ),
      IF(_xlpm.result="", "", _xlpm.result)
   )
)</f>
        <v/>
      </c>
      <c r="H467" s="27" t="str" cm="1">
        <f t="array" ref="H467">IF(
   A467="",
   "",
   _xlfn.LET(
      _xlpm.result,
      IFERROR(
         _xlfn.XLOOKUP(
            1,
            (Table8[رقم الصنف]=A467) *
            (IF($B$9="الكل",1, YEAR('ادخال البيانات'!$N$3:$N$1164)=VALUE($B$9))) *
            (IF($B$10="الكل",1, MONTH('ادخال البيانات'!$N$3:$N$1164)=VALUE($B$10))) *
            (IF($B$11="الكل",1, INT((DAY('ادخال البيانات'!$N$3:$N$1164)-1)/7)+1 = VALUE($B$11))),
            'ادخال البيانات'!$H$3:$H$1164
         ),
         ""
      ),
      IF(_xlpm.result="", "", _xlpm.result)
   )
)</f>
        <v/>
      </c>
      <c r="I467" s="27" t="str" cm="1">
        <f t="array" ref="I467">IF(
   A467="",
   "",
   _xlfn.LET(
      _xlpm.result,
      IFERROR(
         _xlfn.XLOOKUP(
            1,
            (Table8[رقم الصنف]=A467) *
            (IF($B$9="الكل",1, YEAR('ادخال البيانات'!$N$3:$N$1164)=VALUE($B$9))) *
            (IF($B$10="الكل",1, MONTH('ادخال البيانات'!$N$3:$N$1164)=VALUE($B$10))) *
            (IF($B$11="الكل",1, INT((DAY('ادخال البيانات'!$N$3:$N$1164)-1)/7)+1 = VALUE($B$11))),
            'ادخال البيانات'!$I$3:$I$1164
         ),
         ""
      ),
      IF(_xlpm.result="", "", _xlpm.result)
   )
)</f>
        <v/>
      </c>
      <c r="J467" s="27" t="str" cm="1">
        <f t="array" ref="J467">IF(
   A467="",
   "",
   _xlfn.LET(
      _xlpm.result,
      IFERROR(
         _xlfn.XLOOKUP(
            1,
            (Table8[رقم الصنف]=A467) *
            (IF($B$9="الكل",1, YEAR('ادخال البيانات'!$N$3:$N$1164)=VALUE($B$9))) *
            (IF($B$10="الكل",1, MONTH('ادخال البيانات'!$N$3:$N$1164)=VALUE($B$10))) *
            (IF($B$11="الكل",1, INT((DAY('ادخال البيانات'!$N$3:$N$1164)-1)/7)+1 = VALUE($B$11))),
            'ادخال البيانات'!$J$3:$J$1164
         ),
         ""
      ),
      IF(_xlpm.result="", "", _xlpm.result)
   )
)</f>
        <v/>
      </c>
      <c r="K467" s="27" t="str" cm="1">
        <f t="array" ref="K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7" s="27" t="str" cm="1">
        <f t="array" ref="L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7" s="27" t="str" cm="1">
        <f t="array" ref="M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7" s="28" t="str" cm="1">
        <f t="array" ref="N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7" s="28" t="str" cm="1">
        <f t="array" ref="O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7" s="27" t="str" cm="1">
        <f t="array" ref="P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Table8[جهة العطل]
         ),
         ""
      ),
      IF(_xlpm.result="", "", _xlpm.result)
   )
)</f>
        <v/>
      </c>
      <c r="Q467" s="27" t="str" cm="1">
        <f t="array" ref="Q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Table8[المركز]
         ),
         ""
      ),
      IF(_xlpm.result="", "", _xlpm.result)
   )
)</f>
        <v/>
      </c>
      <c r="R467" s="27" t="str" cm="1">
        <f t="array" ref="R467">IF(
   A467="",
   "",
   _xlfn.LET(
      _xlpm.result,
      IFERROR(
         _xlfn.XLOOKUP(
            1,
            (Table8[رقم الصنف]=A467) *
            (IF($B$9="الكل",1, YEAR('ادخال البيانات'!$N$3:$N$1164) = VALUE($B$9))) *
            (IF($B$10="الكل",1, MONTH('ادخال البيانات'!$N$3:$N$1164) = VALUE($B$10))) *
            (IF($B$11="الكل",1, INT((DAY('ادخال البيانات'!$N$3:$N$1164) - 1) / 7) + 1 = VALUE($B$11))),
            Table8[ملاحظة]
         ),
         ""
      ),
      IF(_xlpm.result="", "", _xlpm.result)
   )
)</f>
        <v/>
      </c>
      <c r="S467" s="27" t="str">
        <f t="shared" ca="1" si="7"/>
        <v/>
      </c>
    </row>
    <row r="468" spans="1:19" ht="27.75" customHeight="1" thickTop="1" thickBot="1" x14ac:dyDescent="0.35">
      <c r="A468" s="39"/>
      <c r="B468" s="50" t="str" cm="1">
        <f t="array" ref="B468">IF(
   OR(A468="", $B$9="", $B$10="", $B$11=""),
   "",
   _xlfn.LET(
      _xlpm.result,
      IFERROR(
         _xlfn.XLOOKUP(
            1,
            (Table8[رقم الصنف]=A468)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8" s="27" t="str" cm="1">
        <f t="array" ref="C468">IF(
   A468="",
   "",
   _xlfn.LET(
      _xlpm.result,
      IFERROR(
         _xlfn.XLOOKUP(
            1,
            (Table8[رقم الصنف]=A468) *
            (IF($B$9="الكل",1, YEAR('ادخال البيانات'!$N$3:$N$1164) = VALUE($B$9))) *
            (IF($B$10="الكل",1, MONTH('ادخال البيانات'!$N$3:$N$1164) = VALUE($B$10))) *
            (IF($B$11="الكل",1, INT((DAY('ادخال البيانات'!$N$3:$N$1164)-1)/7)+1 = VALUE($B$11))),
            'ادخال البيانات'!$C$3:$C$1164
         ),
         ""
      ),
      IF(_xlpm.result="", "", _xlpm.result)
   )
)</f>
        <v/>
      </c>
      <c r="D468" s="27" t="str" cm="1">
        <f t="array" ref="D468">IF(
   OR(A468="", $B$9="", $B$10="", $B$11=""),
   "",
   _xlfn.LET(
      _xlpm.result,
      IFERROR(
         _xlfn.XLOOKUP(
            1,
            (Table8[رقم الصنف]=A468) *
            (IF($B$9="الكل",1, YEAR('ادخال البيانات'!$N$3:$N$1164)=VALUE($B$9))) *
            (IF($B$10="الكل",1, MONTH('ادخال البيانات'!$N$3:$N$1164)=VALUE($B$10))) *
            (IF($B$11="الكل",1, INT((DAY('ادخال البيانات'!$N$3:$N$1164)-1)/7)+1 = VALUE($B$11))),
            'ادخال البيانات'!$D$3:$D$1164
         ),
         ""
      ),
      IF(_xlpm.result="", "", _xlpm.result)
   )
)</f>
        <v/>
      </c>
      <c r="E468" s="27" t="str" cm="1">
        <f t="array" ref="E468">IF(
   A468="",
   "",
   _xlfn.LET(
      _xlpm.result,
      IFERROR(
         _xlfn.XLOOKUP(
            1,
            (Table8[رقم الصنف]=A468) *
            (IF($B$9="الكل",1, YEAR('ادخال البيانات'!$N$3:$N$1164)=VALUE($B$9))) *
            (IF($B$10="الكل",1, MONTH('ادخال البيانات'!$N$3:$N$1164)=VALUE($B$10))) *
            (IF($B$11="الكل",1, INT((DAY('ادخال البيانات'!$N$3:$N$1164)-1)/7)+1 = VALUE($B$11))),
            'ادخال البيانات'!$E$3:$E$1164
         ),
         ""
      ),
      IF(_xlpm.result="", "", _xlpm.result)
   )
)</f>
        <v/>
      </c>
      <c r="F468" s="27" t="str" cm="1">
        <f t="array" ref="F468">IF(
   A468="",
   "",
   _xlfn.LET(
      _xlpm.result,
      IFERROR(
         _xlfn.XLOOKUP(
            1,
            (Table8[رقم الصنف]=A468) *
            (IF($B$9="الكل",1, YEAR('ادخال البيانات'!$N$3:$N$1164) = VALUE($B$9))) *
            (IF($B$10="الكل",1, MONTH('ادخال البيانات'!$N$3:$N$1164) = VALUE($B$10))) *
            (IF($B$11="الكل",1, INT((DAY('ادخال البيانات'!$N$3:$N$1164)-1)/7)+1 = VALUE($B$11))),
            'ادخال البيانات'!$F$3:$F$1164
         ),
         ""
      ),
      IF(_xlpm.result="", "", _xlpm.result)
   )
)</f>
        <v/>
      </c>
      <c r="G468" s="27" t="str" cm="1">
        <f t="array" ref="G468">IF(
   A468="",
   "",
   _xlfn.LET(
      _xlpm.result,
      IFERROR(
         _xlfn.XLOOKUP(
            1,
            (Table8[رقم الصنف]=A468) *
            (IF($B$9="الكل",1, YEAR('ادخال البيانات'!$N$3:$N$1164)=VALUE($B$9))) *
            (IF($B$10="الكل",1, MONTH('ادخال البيانات'!$N$3:$N$1164)=VALUE($B$10))) *
            (IF($B$11="الكل",1, INT((DAY('ادخال البيانات'!$N$3:$N$1164)-1)/7)+1 = VALUE($B$11))),
            'ادخال البيانات'!$G$3:$G$1164
         ),
         ""
      ),
      IF(_xlpm.result="", "", _xlpm.result)
   )
)</f>
        <v/>
      </c>
      <c r="H468" s="27" t="str" cm="1">
        <f t="array" ref="H468">IF(
   A468="",
   "",
   _xlfn.LET(
      _xlpm.result,
      IFERROR(
         _xlfn.XLOOKUP(
            1,
            (Table8[رقم الصنف]=A468) *
            (IF($B$9="الكل",1, YEAR('ادخال البيانات'!$N$3:$N$1164)=VALUE($B$9))) *
            (IF($B$10="الكل",1, MONTH('ادخال البيانات'!$N$3:$N$1164)=VALUE($B$10))) *
            (IF($B$11="الكل",1, INT((DAY('ادخال البيانات'!$N$3:$N$1164)-1)/7)+1 = VALUE($B$11))),
            'ادخال البيانات'!$H$3:$H$1164
         ),
         ""
      ),
      IF(_xlpm.result="", "", _xlpm.result)
   )
)</f>
        <v/>
      </c>
      <c r="I468" s="27" t="str" cm="1">
        <f t="array" ref="I468">IF(
   A468="",
   "",
   _xlfn.LET(
      _xlpm.result,
      IFERROR(
         _xlfn.XLOOKUP(
            1,
            (Table8[رقم الصنف]=A468) *
            (IF($B$9="الكل",1, YEAR('ادخال البيانات'!$N$3:$N$1164)=VALUE($B$9))) *
            (IF($B$10="الكل",1, MONTH('ادخال البيانات'!$N$3:$N$1164)=VALUE($B$10))) *
            (IF($B$11="الكل",1, INT((DAY('ادخال البيانات'!$N$3:$N$1164)-1)/7)+1 = VALUE($B$11))),
            'ادخال البيانات'!$I$3:$I$1164
         ),
         ""
      ),
      IF(_xlpm.result="", "", _xlpm.result)
   )
)</f>
        <v/>
      </c>
      <c r="J468" s="27" t="str" cm="1">
        <f t="array" ref="J468">IF(
   A468="",
   "",
   _xlfn.LET(
      _xlpm.result,
      IFERROR(
         _xlfn.XLOOKUP(
            1,
            (Table8[رقم الصنف]=A468) *
            (IF($B$9="الكل",1, YEAR('ادخال البيانات'!$N$3:$N$1164)=VALUE($B$9))) *
            (IF($B$10="الكل",1, MONTH('ادخال البيانات'!$N$3:$N$1164)=VALUE($B$10))) *
            (IF($B$11="الكل",1, INT((DAY('ادخال البيانات'!$N$3:$N$1164)-1)/7)+1 = VALUE($B$11))),
            'ادخال البيانات'!$J$3:$J$1164
         ),
         ""
      ),
      IF(_xlpm.result="", "", _xlpm.result)
   )
)</f>
        <v/>
      </c>
      <c r="K468" s="27" t="str" cm="1">
        <f t="array" ref="K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8" s="27" t="str" cm="1">
        <f t="array" ref="L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8" s="27" t="str" cm="1">
        <f t="array" ref="M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8" s="28" t="str" cm="1">
        <f t="array" ref="N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8" s="28" t="str" cm="1">
        <f t="array" ref="O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8" s="27" t="str" cm="1">
        <f t="array" ref="P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Table8[جهة العطل]
         ),
         ""
      ),
      IF(_xlpm.result="", "", _xlpm.result)
   )
)</f>
        <v/>
      </c>
      <c r="Q468" s="27" t="str" cm="1">
        <f t="array" ref="Q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Table8[المركز]
         ),
         ""
      ),
      IF(_xlpm.result="", "", _xlpm.result)
   )
)</f>
        <v/>
      </c>
      <c r="R468" s="27" t="str" cm="1">
        <f t="array" ref="R468">IF(
   A468="",
   "",
   _xlfn.LET(
      _xlpm.result,
      IFERROR(
         _xlfn.XLOOKUP(
            1,
            (Table8[رقم الصنف]=A468) *
            (IF($B$9="الكل",1, YEAR('ادخال البيانات'!$N$3:$N$1164) = VALUE($B$9))) *
            (IF($B$10="الكل",1, MONTH('ادخال البيانات'!$N$3:$N$1164) = VALUE($B$10))) *
            (IF($B$11="الكل",1, INT((DAY('ادخال البيانات'!$N$3:$N$1164) - 1) / 7) + 1 = VALUE($B$11))),
            Table8[ملاحظة]
         ),
         ""
      ),
      IF(_xlpm.result="", "", _xlpm.result)
   )
)</f>
        <v/>
      </c>
      <c r="S468" s="27" t="str">
        <f t="shared" ca="1" si="7"/>
        <v/>
      </c>
    </row>
    <row r="469" spans="1:19" ht="27.75" customHeight="1" thickTop="1" thickBot="1" x14ac:dyDescent="0.35">
      <c r="A469" s="39"/>
      <c r="B469" s="50" t="str" cm="1">
        <f t="array" ref="B469">IF(
   OR(A469="", $B$9="", $B$10="", $B$11=""),
   "",
   _xlfn.LET(
      _xlpm.result,
      IFERROR(
         _xlfn.XLOOKUP(
            1,
            (Table8[رقم الصنف]=A469)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69" s="27" t="str" cm="1">
        <f t="array" ref="C469">IF(
   A469="",
   "",
   _xlfn.LET(
      _xlpm.result,
      IFERROR(
         _xlfn.XLOOKUP(
            1,
            (Table8[رقم الصنف]=A469) *
            (IF($B$9="الكل",1, YEAR('ادخال البيانات'!$N$3:$N$1164) = VALUE($B$9))) *
            (IF($B$10="الكل",1, MONTH('ادخال البيانات'!$N$3:$N$1164) = VALUE($B$10))) *
            (IF($B$11="الكل",1, INT((DAY('ادخال البيانات'!$N$3:$N$1164)-1)/7)+1 = VALUE($B$11))),
            'ادخال البيانات'!$C$3:$C$1164
         ),
         ""
      ),
      IF(_xlpm.result="", "", _xlpm.result)
   )
)</f>
        <v/>
      </c>
      <c r="D469" s="27" t="str" cm="1">
        <f t="array" ref="D469">IF(
   OR(A469="", $B$9="", $B$10="", $B$11=""),
   "",
   _xlfn.LET(
      _xlpm.result,
      IFERROR(
         _xlfn.XLOOKUP(
            1,
            (Table8[رقم الصنف]=A469) *
            (IF($B$9="الكل",1, YEAR('ادخال البيانات'!$N$3:$N$1164)=VALUE($B$9))) *
            (IF($B$10="الكل",1, MONTH('ادخال البيانات'!$N$3:$N$1164)=VALUE($B$10))) *
            (IF($B$11="الكل",1, INT((DAY('ادخال البيانات'!$N$3:$N$1164)-1)/7)+1 = VALUE($B$11))),
            'ادخال البيانات'!$D$3:$D$1164
         ),
         ""
      ),
      IF(_xlpm.result="", "", _xlpm.result)
   )
)</f>
        <v/>
      </c>
      <c r="E469" s="27" t="str" cm="1">
        <f t="array" ref="E469">IF(
   A469="",
   "",
   _xlfn.LET(
      _xlpm.result,
      IFERROR(
         _xlfn.XLOOKUP(
            1,
            (Table8[رقم الصنف]=A469) *
            (IF($B$9="الكل",1, YEAR('ادخال البيانات'!$N$3:$N$1164)=VALUE($B$9))) *
            (IF($B$10="الكل",1, MONTH('ادخال البيانات'!$N$3:$N$1164)=VALUE($B$10))) *
            (IF($B$11="الكل",1, INT((DAY('ادخال البيانات'!$N$3:$N$1164)-1)/7)+1 = VALUE($B$11))),
            'ادخال البيانات'!$E$3:$E$1164
         ),
         ""
      ),
      IF(_xlpm.result="", "", _xlpm.result)
   )
)</f>
        <v/>
      </c>
      <c r="F469" s="27" t="str" cm="1">
        <f t="array" ref="F469">IF(
   A469="",
   "",
   _xlfn.LET(
      _xlpm.result,
      IFERROR(
         _xlfn.XLOOKUP(
            1,
            (Table8[رقم الصنف]=A469) *
            (IF($B$9="الكل",1, YEAR('ادخال البيانات'!$N$3:$N$1164) = VALUE($B$9))) *
            (IF($B$10="الكل",1, MONTH('ادخال البيانات'!$N$3:$N$1164) = VALUE($B$10))) *
            (IF($B$11="الكل",1, INT((DAY('ادخال البيانات'!$N$3:$N$1164)-1)/7)+1 = VALUE($B$11))),
            'ادخال البيانات'!$F$3:$F$1164
         ),
         ""
      ),
      IF(_xlpm.result="", "", _xlpm.result)
   )
)</f>
        <v/>
      </c>
      <c r="G469" s="27" t="str" cm="1">
        <f t="array" ref="G469">IF(
   A469="",
   "",
   _xlfn.LET(
      _xlpm.result,
      IFERROR(
         _xlfn.XLOOKUP(
            1,
            (Table8[رقم الصنف]=A469) *
            (IF($B$9="الكل",1, YEAR('ادخال البيانات'!$N$3:$N$1164)=VALUE($B$9))) *
            (IF($B$10="الكل",1, MONTH('ادخال البيانات'!$N$3:$N$1164)=VALUE($B$10))) *
            (IF($B$11="الكل",1, INT((DAY('ادخال البيانات'!$N$3:$N$1164)-1)/7)+1 = VALUE($B$11))),
            'ادخال البيانات'!$G$3:$G$1164
         ),
         ""
      ),
      IF(_xlpm.result="", "", _xlpm.result)
   )
)</f>
        <v/>
      </c>
      <c r="H469" s="27" t="str" cm="1">
        <f t="array" ref="H469">IF(
   A469="",
   "",
   _xlfn.LET(
      _xlpm.result,
      IFERROR(
         _xlfn.XLOOKUP(
            1,
            (Table8[رقم الصنف]=A469) *
            (IF($B$9="الكل",1, YEAR('ادخال البيانات'!$N$3:$N$1164)=VALUE($B$9))) *
            (IF($B$10="الكل",1, MONTH('ادخال البيانات'!$N$3:$N$1164)=VALUE($B$10))) *
            (IF($B$11="الكل",1, INT((DAY('ادخال البيانات'!$N$3:$N$1164)-1)/7)+1 = VALUE($B$11))),
            'ادخال البيانات'!$H$3:$H$1164
         ),
         ""
      ),
      IF(_xlpm.result="", "", _xlpm.result)
   )
)</f>
        <v/>
      </c>
      <c r="I469" s="27" t="str" cm="1">
        <f t="array" ref="I469">IF(
   A469="",
   "",
   _xlfn.LET(
      _xlpm.result,
      IFERROR(
         _xlfn.XLOOKUP(
            1,
            (Table8[رقم الصنف]=A469) *
            (IF($B$9="الكل",1, YEAR('ادخال البيانات'!$N$3:$N$1164)=VALUE($B$9))) *
            (IF($B$10="الكل",1, MONTH('ادخال البيانات'!$N$3:$N$1164)=VALUE($B$10))) *
            (IF($B$11="الكل",1, INT((DAY('ادخال البيانات'!$N$3:$N$1164)-1)/7)+1 = VALUE($B$11))),
            'ادخال البيانات'!$I$3:$I$1164
         ),
         ""
      ),
      IF(_xlpm.result="", "", _xlpm.result)
   )
)</f>
        <v/>
      </c>
      <c r="J469" s="27" t="str" cm="1">
        <f t="array" ref="J469">IF(
   A469="",
   "",
   _xlfn.LET(
      _xlpm.result,
      IFERROR(
         _xlfn.XLOOKUP(
            1,
            (Table8[رقم الصنف]=A469) *
            (IF($B$9="الكل",1, YEAR('ادخال البيانات'!$N$3:$N$1164)=VALUE($B$9))) *
            (IF($B$10="الكل",1, MONTH('ادخال البيانات'!$N$3:$N$1164)=VALUE($B$10))) *
            (IF($B$11="الكل",1, INT((DAY('ادخال البيانات'!$N$3:$N$1164)-1)/7)+1 = VALUE($B$11))),
            'ادخال البيانات'!$J$3:$J$1164
         ),
         ""
      ),
      IF(_xlpm.result="", "", _xlpm.result)
   )
)</f>
        <v/>
      </c>
      <c r="K469" s="27" t="str" cm="1">
        <f t="array" ref="K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69" s="27" t="str" cm="1">
        <f t="array" ref="L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69" s="27" t="str" cm="1">
        <f t="array" ref="M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69" s="28" t="str" cm="1">
        <f t="array" ref="N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69" s="28" t="str" cm="1">
        <f t="array" ref="O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69" s="27" t="str" cm="1">
        <f t="array" ref="P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Table8[جهة العطل]
         ),
         ""
      ),
      IF(_xlpm.result="", "", _xlpm.result)
   )
)</f>
        <v/>
      </c>
      <c r="Q469" s="27" t="str" cm="1">
        <f t="array" ref="Q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Table8[المركز]
         ),
         ""
      ),
      IF(_xlpm.result="", "", _xlpm.result)
   )
)</f>
        <v/>
      </c>
      <c r="R469" s="27" t="str" cm="1">
        <f t="array" ref="R469">IF(
   A469="",
   "",
   _xlfn.LET(
      _xlpm.result,
      IFERROR(
         _xlfn.XLOOKUP(
            1,
            (Table8[رقم الصنف]=A469) *
            (IF($B$9="الكل",1, YEAR('ادخال البيانات'!$N$3:$N$1164) = VALUE($B$9))) *
            (IF($B$10="الكل",1, MONTH('ادخال البيانات'!$N$3:$N$1164) = VALUE($B$10))) *
            (IF($B$11="الكل",1, INT((DAY('ادخال البيانات'!$N$3:$N$1164) - 1) / 7) + 1 = VALUE($B$11))),
            Table8[ملاحظة]
         ),
         ""
      ),
      IF(_xlpm.result="", "", _xlpm.result)
   )
)</f>
        <v/>
      </c>
      <c r="S469" s="27" t="str">
        <f t="shared" ca="1" si="7"/>
        <v/>
      </c>
    </row>
    <row r="470" spans="1:19" ht="27.75" customHeight="1" thickTop="1" thickBot="1" x14ac:dyDescent="0.35">
      <c r="A470" s="39"/>
      <c r="B470" s="50" t="str" cm="1">
        <f t="array" ref="B470">IF(
   OR(A470="", $B$9="", $B$10="", $B$11=""),
   "",
   _xlfn.LET(
      _xlpm.result,
      IFERROR(
         _xlfn.XLOOKUP(
            1,
            (Table8[رقم الصنف]=A470)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0" s="27" t="str" cm="1">
        <f t="array" ref="C470">IF(
   A470="",
   "",
   _xlfn.LET(
      _xlpm.result,
      IFERROR(
         _xlfn.XLOOKUP(
            1,
            (Table8[رقم الصنف]=A470) *
            (IF($B$9="الكل",1, YEAR('ادخال البيانات'!$N$3:$N$1164) = VALUE($B$9))) *
            (IF($B$10="الكل",1, MONTH('ادخال البيانات'!$N$3:$N$1164) = VALUE($B$10))) *
            (IF($B$11="الكل",1, INT((DAY('ادخال البيانات'!$N$3:$N$1164)-1)/7)+1 = VALUE($B$11))),
            'ادخال البيانات'!$C$3:$C$1164
         ),
         ""
      ),
      IF(_xlpm.result="", "", _xlpm.result)
   )
)</f>
        <v/>
      </c>
      <c r="D470" s="27" t="str" cm="1">
        <f t="array" ref="D470">IF(
   OR(A470="", $B$9="", $B$10="", $B$11=""),
   "",
   _xlfn.LET(
      _xlpm.result,
      IFERROR(
         _xlfn.XLOOKUP(
            1,
            (Table8[رقم الصنف]=A470) *
            (IF($B$9="الكل",1, YEAR('ادخال البيانات'!$N$3:$N$1164)=VALUE($B$9))) *
            (IF($B$10="الكل",1, MONTH('ادخال البيانات'!$N$3:$N$1164)=VALUE($B$10))) *
            (IF($B$11="الكل",1, INT((DAY('ادخال البيانات'!$N$3:$N$1164)-1)/7)+1 = VALUE($B$11))),
            'ادخال البيانات'!$D$3:$D$1164
         ),
         ""
      ),
      IF(_xlpm.result="", "", _xlpm.result)
   )
)</f>
        <v/>
      </c>
      <c r="E470" s="27" t="str" cm="1">
        <f t="array" ref="E470">IF(
   A470="",
   "",
   _xlfn.LET(
      _xlpm.result,
      IFERROR(
         _xlfn.XLOOKUP(
            1,
            (Table8[رقم الصنف]=A470) *
            (IF($B$9="الكل",1, YEAR('ادخال البيانات'!$N$3:$N$1164)=VALUE($B$9))) *
            (IF($B$10="الكل",1, MONTH('ادخال البيانات'!$N$3:$N$1164)=VALUE($B$10))) *
            (IF($B$11="الكل",1, INT((DAY('ادخال البيانات'!$N$3:$N$1164)-1)/7)+1 = VALUE($B$11))),
            'ادخال البيانات'!$E$3:$E$1164
         ),
         ""
      ),
      IF(_xlpm.result="", "", _xlpm.result)
   )
)</f>
        <v/>
      </c>
      <c r="F470" s="27" t="str" cm="1">
        <f t="array" ref="F470">IF(
   A470="",
   "",
   _xlfn.LET(
      _xlpm.result,
      IFERROR(
         _xlfn.XLOOKUP(
            1,
            (Table8[رقم الصنف]=A470) *
            (IF($B$9="الكل",1, YEAR('ادخال البيانات'!$N$3:$N$1164) = VALUE($B$9))) *
            (IF($B$10="الكل",1, MONTH('ادخال البيانات'!$N$3:$N$1164) = VALUE($B$10))) *
            (IF($B$11="الكل",1, INT((DAY('ادخال البيانات'!$N$3:$N$1164)-1)/7)+1 = VALUE($B$11))),
            'ادخال البيانات'!$F$3:$F$1164
         ),
         ""
      ),
      IF(_xlpm.result="", "", _xlpm.result)
   )
)</f>
        <v/>
      </c>
      <c r="G470" s="27" t="str" cm="1">
        <f t="array" ref="G470">IF(
   A470="",
   "",
   _xlfn.LET(
      _xlpm.result,
      IFERROR(
         _xlfn.XLOOKUP(
            1,
            (Table8[رقم الصنف]=A470) *
            (IF($B$9="الكل",1, YEAR('ادخال البيانات'!$N$3:$N$1164)=VALUE($B$9))) *
            (IF($B$10="الكل",1, MONTH('ادخال البيانات'!$N$3:$N$1164)=VALUE($B$10))) *
            (IF($B$11="الكل",1, INT((DAY('ادخال البيانات'!$N$3:$N$1164)-1)/7)+1 = VALUE($B$11))),
            'ادخال البيانات'!$G$3:$G$1164
         ),
         ""
      ),
      IF(_xlpm.result="", "", _xlpm.result)
   )
)</f>
        <v/>
      </c>
      <c r="H470" s="27" t="str" cm="1">
        <f t="array" ref="H470">IF(
   A470="",
   "",
   _xlfn.LET(
      _xlpm.result,
      IFERROR(
         _xlfn.XLOOKUP(
            1,
            (Table8[رقم الصنف]=A470) *
            (IF($B$9="الكل",1, YEAR('ادخال البيانات'!$N$3:$N$1164)=VALUE($B$9))) *
            (IF($B$10="الكل",1, MONTH('ادخال البيانات'!$N$3:$N$1164)=VALUE($B$10))) *
            (IF($B$11="الكل",1, INT((DAY('ادخال البيانات'!$N$3:$N$1164)-1)/7)+1 = VALUE($B$11))),
            'ادخال البيانات'!$H$3:$H$1164
         ),
         ""
      ),
      IF(_xlpm.result="", "", _xlpm.result)
   )
)</f>
        <v/>
      </c>
      <c r="I470" s="27" t="str" cm="1">
        <f t="array" ref="I470">IF(
   A470="",
   "",
   _xlfn.LET(
      _xlpm.result,
      IFERROR(
         _xlfn.XLOOKUP(
            1,
            (Table8[رقم الصنف]=A470) *
            (IF($B$9="الكل",1, YEAR('ادخال البيانات'!$N$3:$N$1164)=VALUE($B$9))) *
            (IF($B$10="الكل",1, MONTH('ادخال البيانات'!$N$3:$N$1164)=VALUE($B$10))) *
            (IF($B$11="الكل",1, INT((DAY('ادخال البيانات'!$N$3:$N$1164)-1)/7)+1 = VALUE($B$11))),
            'ادخال البيانات'!$I$3:$I$1164
         ),
         ""
      ),
      IF(_xlpm.result="", "", _xlpm.result)
   )
)</f>
        <v/>
      </c>
      <c r="J470" s="27" t="str" cm="1">
        <f t="array" ref="J470">IF(
   A470="",
   "",
   _xlfn.LET(
      _xlpm.result,
      IFERROR(
         _xlfn.XLOOKUP(
            1,
            (Table8[رقم الصنف]=A470) *
            (IF($B$9="الكل",1, YEAR('ادخال البيانات'!$N$3:$N$1164)=VALUE($B$9))) *
            (IF($B$10="الكل",1, MONTH('ادخال البيانات'!$N$3:$N$1164)=VALUE($B$10))) *
            (IF($B$11="الكل",1, INT((DAY('ادخال البيانات'!$N$3:$N$1164)-1)/7)+1 = VALUE($B$11))),
            'ادخال البيانات'!$J$3:$J$1164
         ),
         ""
      ),
      IF(_xlpm.result="", "", _xlpm.result)
   )
)</f>
        <v/>
      </c>
      <c r="K470" s="27" t="str" cm="1">
        <f t="array" ref="K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0" s="27" t="str" cm="1">
        <f t="array" ref="L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0" s="27" t="str" cm="1">
        <f t="array" ref="M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0" s="28" t="str" cm="1">
        <f t="array" ref="N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0" s="28" t="str" cm="1">
        <f t="array" ref="O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0" s="27" t="str" cm="1">
        <f t="array" ref="P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Table8[جهة العطل]
         ),
         ""
      ),
      IF(_xlpm.result="", "", _xlpm.result)
   )
)</f>
        <v/>
      </c>
      <c r="Q470" s="27" t="str" cm="1">
        <f t="array" ref="Q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Table8[المركز]
         ),
         ""
      ),
      IF(_xlpm.result="", "", _xlpm.result)
   )
)</f>
        <v/>
      </c>
      <c r="R470" s="27" t="str" cm="1">
        <f t="array" ref="R470">IF(
   A470="",
   "",
   _xlfn.LET(
      _xlpm.result,
      IFERROR(
         _xlfn.XLOOKUP(
            1,
            (Table8[رقم الصنف]=A470) *
            (IF($B$9="الكل",1, YEAR('ادخال البيانات'!$N$3:$N$1164) = VALUE($B$9))) *
            (IF($B$10="الكل",1, MONTH('ادخال البيانات'!$N$3:$N$1164) = VALUE($B$10))) *
            (IF($B$11="الكل",1, INT((DAY('ادخال البيانات'!$N$3:$N$1164) - 1) / 7) + 1 = VALUE($B$11))),
            Table8[ملاحظة]
         ),
         ""
      ),
      IF(_xlpm.result="", "", _xlpm.result)
   )
)</f>
        <v/>
      </c>
      <c r="S470" s="27" t="str">
        <f t="shared" ca="1" si="7"/>
        <v/>
      </c>
    </row>
    <row r="471" spans="1:19" ht="27.75" customHeight="1" thickTop="1" thickBot="1" x14ac:dyDescent="0.35">
      <c r="A471" s="39"/>
      <c r="B471" s="50" t="str" cm="1">
        <f t="array" ref="B471">IF(
   OR(A471="", $B$9="", $B$10="", $B$11=""),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1" s="27" t="str" cm="1">
        <f t="array" ref="C471">IF(
   A471="",
   "",
   _xlfn.LET(
      _xlpm.result,
      IFERROR(
         _xlfn.XLOOKUP(
            1,
            (Table8[رقم الصنف]=A471) *
            (IF($B$9="الكل",1, YEAR('ادخال البيانات'!$N$3:$N$1164) = VALUE($B$9))) *
            (IF($B$10="الكل",1, MONTH('ادخال البيانات'!$N$3:$N$1164) = VALUE($B$10))) *
            (IF($B$11="الكل",1, INT((DAY('ادخال البيانات'!$N$3:$N$1164)-1)/7)+1 = VALUE($B$11))),
            'ادخال البيانات'!$C$3:$C$1164
         ),
         ""
      ),
      IF(_xlpm.result="", "", _xlpm.result)
   )
)</f>
        <v/>
      </c>
      <c r="D471" s="27" t="str" cm="1">
        <f t="array" ref="D471">IF(
   OR(A471="", $B$9="", $B$10="", $B$11=""),
   "",
   _xlfn.LET(
      _xlpm.result,
      IFERROR(
         _xlfn.XLOOKUP(
            1,
            (Table8[رقم الصنف]=A471) *
            (IF($B$9="الكل",1, YEAR('ادخال البيانات'!$N$3:$N$1164)=VALUE($B$9))) *
            (IF($B$10="الكل",1, MONTH('ادخال البيانات'!$N$3:$N$1164)=VALUE($B$10))) *
            (IF($B$11="الكل",1, INT((DAY('ادخال البيانات'!$N$3:$N$1164)-1)/7)+1 = VALUE($B$11))),
            'ادخال البيانات'!$D$3:$D$1164
         ),
         ""
      ),
      IF(_xlpm.result="", "", _xlpm.result)
   )
)</f>
        <v/>
      </c>
      <c r="E471" s="27" t="str" cm="1">
        <f t="array" ref="E471">IF(
   A471="",
   "",
   _xlfn.LET(
      _xlpm.result,
      IFERROR(
         _xlfn.XLOOKUP(
            1,
            (Table8[رقم الصنف]=A471) *
            (IF($B$9="الكل",1, YEAR('ادخال البيانات'!$N$3:$N$1164)=VALUE($B$9))) *
            (IF($B$10="الكل",1, MONTH('ادخال البيانات'!$N$3:$N$1164)=VALUE($B$10))) *
            (IF($B$11="الكل",1, INT((DAY('ادخال البيانات'!$N$3:$N$1164)-1)/7)+1 = VALUE($B$11))),
            'ادخال البيانات'!$E$3:$E$1164
         ),
         ""
      ),
      IF(_xlpm.result="", "", _xlpm.result)
   )
)</f>
        <v/>
      </c>
      <c r="F471" s="27" t="str" cm="1">
        <f t="array" ref="F471">IF(
   A471="",
   "",
   _xlfn.LET(
      _xlpm.result,
      IFERROR(
         _xlfn.XLOOKUP(
            1,
            (Table8[رقم الصنف]=A471) *
            (IF($B$9="الكل",1, YEAR('ادخال البيانات'!$N$3:$N$1164) = VALUE($B$9))) *
            (IF($B$10="الكل",1, MONTH('ادخال البيانات'!$N$3:$N$1164) = VALUE($B$10))) *
            (IF($B$11="الكل",1, INT((DAY('ادخال البيانات'!$N$3:$N$1164)-1)/7)+1 = VALUE($B$11))),
            'ادخال البيانات'!$F$3:$F$1164
         ),
         ""
      ),
      IF(_xlpm.result="", "", _xlpm.result)
   )
)</f>
        <v/>
      </c>
      <c r="G471" s="27" t="str" cm="1">
        <f t="array" ref="G471">IF(
   A471="",
   "",
   _xlfn.LET(
      _xlpm.result,
      IFERROR(
         _xlfn.XLOOKUP(
            1,
            (Table8[رقم الصنف]=A471) *
            (IF($B$9="الكل",1, YEAR('ادخال البيانات'!$N$3:$N$1164)=VALUE($B$9))) *
            (IF($B$10="الكل",1, MONTH('ادخال البيانات'!$N$3:$N$1164)=VALUE($B$10))) *
            (IF($B$11="الكل",1, INT((DAY('ادخال البيانات'!$N$3:$N$1164)-1)/7)+1 = VALUE($B$11))),
            'ادخال البيانات'!$G$3:$G$1164
         ),
         ""
      ),
      IF(_xlpm.result="", "", _xlpm.result)
   )
)</f>
        <v/>
      </c>
      <c r="H471" s="27" t="str" cm="1">
        <f t="array" ref="H471">IF(
   A471="",
   "",
   _xlfn.LET(
      _xlpm.result,
      IFERROR(
         _xlfn.XLOOKUP(
            1,
            (Table8[رقم الصنف]=A471) *
            (IF($B$9="الكل",1, YEAR('ادخال البيانات'!$N$3:$N$1164)=VALUE($B$9))) *
            (IF($B$10="الكل",1, MONTH('ادخال البيانات'!$N$3:$N$1164)=VALUE($B$10))) *
            (IF($B$11="الكل",1, INT((DAY('ادخال البيانات'!$N$3:$N$1164)-1)/7)+1 = VALUE($B$11))),
            'ادخال البيانات'!$H$3:$H$1164
         ),
         ""
      ),
      IF(_xlpm.result="", "", _xlpm.result)
   )
)</f>
        <v/>
      </c>
      <c r="I471" s="27" t="str" cm="1">
        <f t="array" ref="I471">IF(
   A471="",
   "",
   _xlfn.LET(
      _xlpm.result,
      IFERROR(
         _xlfn.XLOOKUP(
            1,
            (Table8[رقم الصنف]=A471) *
            (IF($B$9="الكل",1, YEAR('ادخال البيانات'!$N$3:$N$1164)=VALUE($B$9))) *
            (IF($B$10="الكل",1, MONTH('ادخال البيانات'!$N$3:$N$1164)=VALUE($B$10))) *
            (IF($B$11="الكل",1, INT((DAY('ادخال البيانات'!$N$3:$N$1164)-1)/7)+1 = VALUE($B$11))),
            'ادخال البيانات'!$I$3:$I$1164
         ),
         ""
      ),
      IF(_xlpm.result="", "", _xlpm.result)
   )
)</f>
        <v/>
      </c>
      <c r="J471" s="27" t="str" cm="1">
        <f t="array" ref="J471">IF(
   A471="",
   "",
   _xlfn.LET(
      _xlpm.result,
      IFERROR(
         _xlfn.XLOOKUP(
            1,
            (Table8[رقم الصنف]=A471) *
            (IF($B$9="الكل",1, YEAR('ادخال البيانات'!$N$3:$N$1164)=VALUE($B$9))) *
            (IF($B$10="الكل",1, MONTH('ادخال البيانات'!$N$3:$N$1164)=VALUE($B$10))) *
            (IF($B$11="الكل",1, INT((DAY('ادخال البيانات'!$N$3:$N$1164)-1)/7)+1 = VALUE($B$11))),
            'ادخال البيانات'!$J$3:$J$1164
         ),
         ""
      ),
      IF(_xlpm.result="", "", _xlpm.result)
   )
)</f>
        <v/>
      </c>
      <c r="K471" s="27" t="str" cm="1">
        <f t="array" ref="K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1" s="27" t="str" cm="1">
        <f t="array" ref="L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1" s="27" t="str" cm="1">
        <f t="array" ref="M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1" s="28" t="str" cm="1">
        <f t="array" ref="N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1" s="28" t="str" cm="1">
        <f t="array" ref="O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1" s="27" t="str" cm="1">
        <f t="array" ref="P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Table8[جهة العطل]
         ),
         ""
      ),
      IF(_xlpm.result="", "", _xlpm.result)
   )
)</f>
        <v/>
      </c>
      <c r="Q471" s="27" t="str" cm="1">
        <f t="array" ref="Q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Table8[المركز]
         ),
         ""
      ),
      IF(_xlpm.result="", "", _xlpm.result)
   )
)</f>
        <v/>
      </c>
      <c r="R471" s="27" t="str" cm="1">
        <f t="array" ref="R471">IF(
   A471="",
   "",
   _xlfn.LET(
      _xlpm.result,
      IFERROR(
         _xlfn.XLOOKUP(
            1,
            (Table8[رقم الصنف]=A471) *
            (IF($B$9="الكل",1, YEAR('ادخال البيانات'!$N$3:$N$1164) = VALUE($B$9))) *
            (IF($B$10="الكل",1, MONTH('ادخال البيانات'!$N$3:$N$1164) = VALUE($B$10))) *
            (IF($B$11="الكل",1, INT((DAY('ادخال البيانات'!$N$3:$N$1164) - 1) / 7) + 1 = VALUE($B$11))),
            Table8[ملاحظة]
         ),
         ""
      ),
      IF(_xlpm.result="", "", _xlpm.result)
   )
)</f>
        <v/>
      </c>
      <c r="S471" s="27" t="str">
        <f t="shared" ca="1" si="7"/>
        <v/>
      </c>
    </row>
    <row r="472" spans="1:19" ht="27.75" customHeight="1" thickTop="1" thickBot="1" x14ac:dyDescent="0.35">
      <c r="A472" s="39"/>
      <c r="B472" s="50" t="str" cm="1">
        <f t="array" ref="B472">IF(
   OR(A472="", $B$9="", $B$10="", $B$11=""),
   "",
   _xlfn.LET(
      _xlpm.result,
      IFERROR(
         _xlfn.XLOOKUP(
            1,
            (Table8[رقم الصنف]=A472)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2" s="27" t="str" cm="1">
        <f t="array" ref="C472">IF(
   A472="",
   "",
   _xlfn.LET(
      _xlpm.result,
      IFERROR(
         _xlfn.XLOOKUP(
            1,
            (Table8[رقم الصنف]=A472) *
            (IF($B$9="الكل",1, YEAR('ادخال البيانات'!$N$3:$N$1164) = VALUE($B$9))) *
            (IF($B$10="الكل",1, MONTH('ادخال البيانات'!$N$3:$N$1164) = VALUE($B$10))) *
            (IF($B$11="الكل",1, INT((DAY('ادخال البيانات'!$N$3:$N$1164)-1)/7)+1 = VALUE($B$11))),
            'ادخال البيانات'!$C$3:$C$1164
         ),
         ""
      ),
      IF(_xlpm.result="", "", _xlpm.result)
   )
)</f>
        <v/>
      </c>
      <c r="D472" s="27" t="str" cm="1">
        <f t="array" ref="D472">IF(
   OR(A472="", $B$9="", $B$10="", $B$11=""),
   "",
   _xlfn.LET(
      _xlpm.result,
      IFERROR(
         _xlfn.XLOOKUP(
            1,
            (Table8[رقم الصنف]=A472) *
            (IF($B$9="الكل",1, YEAR('ادخال البيانات'!$N$3:$N$1164)=VALUE($B$9))) *
            (IF($B$10="الكل",1, MONTH('ادخال البيانات'!$N$3:$N$1164)=VALUE($B$10))) *
            (IF($B$11="الكل",1, INT((DAY('ادخال البيانات'!$N$3:$N$1164)-1)/7)+1 = VALUE($B$11))),
            'ادخال البيانات'!$D$3:$D$1164
         ),
         ""
      ),
      IF(_xlpm.result="", "", _xlpm.result)
   )
)</f>
        <v/>
      </c>
      <c r="E472" s="27" t="str" cm="1">
        <f t="array" ref="E472">IF(
   A472="",
   "",
   _xlfn.LET(
      _xlpm.result,
      IFERROR(
         _xlfn.XLOOKUP(
            1,
            (Table8[رقم الصنف]=A472) *
            (IF($B$9="الكل",1, YEAR('ادخال البيانات'!$N$3:$N$1164)=VALUE($B$9))) *
            (IF($B$10="الكل",1, MONTH('ادخال البيانات'!$N$3:$N$1164)=VALUE($B$10))) *
            (IF($B$11="الكل",1, INT((DAY('ادخال البيانات'!$N$3:$N$1164)-1)/7)+1 = VALUE($B$11))),
            'ادخال البيانات'!$E$3:$E$1164
         ),
         ""
      ),
      IF(_xlpm.result="", "", _xlpm.result)
   )
)</f>
        <v/>
      </c>
      <c r="F472" s="27" t="str" cm="1">
        <f t="array" ref="F472">IF(
   A472="",
   "",
   _xlfn.LET(
      _xlpm.result,
      IFERROR(
         _xlfn.XLOOKUP(
            1,
            (Table8[رقم الصنف]=A472) *
            (IF($B$9="الكل",1, YEAR('ادخال البيانات'!$N$3:$N$1164) = VALUE($B$9))) *
            (IF($B$10="الكل",1, MONTH('ادخال البيانات'!$N$3:$N$1164) = VALUE($B$10))) *
            (IF($B$11="الكل",1, INT((DAY('ادخال البيانات'!$N$3:$N$1164)-1)/7)+1 = VALUE($B$11))),
            'ادخال البيانات'!$F$3:$F$1164
         ),
         ""
      ),
      IF(_xlpm.result="", "", _xlpm.result)
   )
)</f>
        <v/>
      </c>
      <c r="G472" s="27" t="str" cm="1">
        <f t="array" ref="G472">IF(
   A472="",
   "",
   _xlfn.LET(
      _xlpm.result,
      IFERROR(
         _xlfn.XLOOKUP(
            1,
            (Table8[رقم الصنف]=A472) *
            (IF($B$9="الكل",1, YEAR('ادخال البيانات'!$N$3:$N$1164)=VALUE($B$9))) *
            (IF($B$10="الكل",1, MONTH('ادخال البيانات'!$N$3:$N$1164)=VALUE($B$10))) *
            (IF($B$11="الكل",1, INT((DAY('ادخال البيانات'!$N$3:$N$1164)-1)/7)+1 = VALUE($B$11))),
            'ادخال البيانات'!$G$3:$G$1164
         ),
         ""
      ),
      IF(_xlpm.result="", "", _xlpm.result)
   )
)</f>
        <v/>
      </c>
      <c r="H472" s="27" t="str" cm="1">
        <f t="array" ref="H472">IF(
   A472="",
   "",
   _xlfn.LET(
      _xlpm.result,
      IFERROR(
         _xlfn.XLOOKUP(
            1,
            (Table8[رقم الصنف]=A472) *
            (IF($B$9="الكل",1, YEAR('ادخال البيانات'!$N$3:$N$1164)=VALUE($B$9))) *
            (IF($B$10="الكل",1, MONTH('ادخال البيانات'!$N$3:$N$1164)=VALUE($B$10))) *
            (IF($B$11="الكل",1, INT((DAY('ادخال البيانات'!$N$3:$N$1164)-1)/7)+1 = VALUE($B$11))),
            'ادخال البيانات'!$H$3:$H$1164
         ),
         ""
      ),
      IF(_xlpm.result="", "", _xlpm.result)
   )
)</f>
        <v/>
      </c>
      <c r="I472" s="27" t="str" cm="1">
        <f t="array" ref="I472">IF(
   A472="",
   "",
   _xlfn.LET(
      _xlpm.result,
      IFERROR(
         _xlfn.XLOOKUP(
            1,
            (Table8[رقم الصنف]=A472) *
            (IF($B$9="الكل",1, YEAR('ادخال البيانات'!$N$3:$N$1164)=VALUE($B$9))) *
            (IF($B$10="الكل",1, MONTH('ادخال البيانات'!$N$3:$N$1164)=VALUE($B$10))) *
            (IF($B$11="الكل",1, INT((DAY('ادخال البيانات'!$N$3:$N$1164)-1)/7)+1 = VALUE($B$11))),
            'ادخال البيانات'!$I$3:$I$1164
         ),
         ""
      ),
      IF(_xlpm.result="", "", _xlpm.result)
   )
)</f>
        <v/>
      </c>
      <c r="J472" s="27" t="str" cm="1">
        <f t="array" ref="J472">IF(
   A472="",
   "",
   _xlfn.LET(
      _xlpm.result,
      IFERROR(
         _xlfn.XLOOKUP(
            1,
            (Table8[رقم الصنف]=A472) *
            (IF($B$9="الكل",1, YEAR('ادخال البيانات'!$N$3:$N$1164)=VALUE($B$9))) *
            (IF($B$10="الكل",1, MONTH('ادخال البيانات'!$N$3:$N$1164)=VALUE($B$10))) *
            (IF($B$11="الكل",1, INT((DAY('ادخال البيانات'!$N$3:$N$1164)-1)/7)+1 = VALUE($B$11))),
            'ادخال البيانات'!$J$3:$J$1164
         ),
         ""
      ),
      IF(_xlpm.result="", "", _xlpm.result)
   )
)</f>
        <v/>
      </c>
      <c r="K472" s="27" t="str" cm="1">
        <f t="array" ref="K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2" s="27" t="str" cm="1">
        <f t="array" ref="L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2" s="27" t="str" cm="1">
        <f t="array" ref="M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2" s="28" t="str" cm="1">
        <f t="array" ref="N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2" s="28" t="str" cm="1">
        <f t="array" ref="O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2" s="27" t="str" cm="1">
        <f t="array" ref="P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Table8[جهة العطل]
         ),
         ""
      ),
      IF(_xlpm.result="", "", _xlpm.result)
   )
)</f>
        <v/>
      </c>
      <c r="Q472" s="27" t="str" cm="1">
        <f t="array" ref="Q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Table8[المركز]
         ),
         ""
      ),
      IF(_xlpm.result="", "", _xlpm.result)
   )
)</f>
        <v/>
      </c>
      <c r="R472" s="27" t="str" cm="1">
        <f t="array" ref="R472">IF(
   A472="",
   "",
   _xlfn.LET(
      _xlpm.result,
      IFERROR(
         _xlfn.XLOOKUP(
            1,
            (Table8[رقم الصنف]=A472) *
            (IF($B$9="الكل",1, YEAR('ادخال البيانات'!$N$3:$N$1164) = VALUE($B$9))) *
            (IF($B$10="الكل",1, MONTH('ادخال البيانات'!$N$3:$N$1164) = VALUE($B$10))) *
            (IF($B$11="الكل",1, INT((DAY('ادخال البيانات'!$N$3:$N$1164) - 1) / 7) + 1 = VALUE($B$11))),
            Table8[ملاحظة]
         ),
         ""
      ),
      IF(_xlpm.result="", "", _xlpm.result)
   )
)</f>
        <v/>
      </c>
      <c r="S472" s="27" t="str">
        <f t="shared" ca="1" si="7"/>
        <v/>
      </c>
    </row>
    <row r="473" spans="1:19" ht="27.75" customHeight="1" thickTop="1" thickBot="1" x14ac:dyDescent="0.35">
      <c r="A473" s="39"/>
      <c r="B473" s="50" t="str" cm="1">
        <f t="array" ref="B473">IF(
   OR(A473="", $B$9="", $B$10="", $B$11=""),
   "",
   _xlfn.LET(
      _xlpm.result,
      IFERROR(
         _xlfn.XLOOKUP(
            1,
            (Table8[رقم الصنف]=A473)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3" s="27" t="str" cm="1">
        <f t="array" ref="C473">IF(
   A473="",
   "",
   _xlfn.LET(
      _xlpm.result,
      IFERROR(
         _xlfn.XLOOKUP(
            1,
            (Table8[رقم الصنف]=A473) *
            (IF($B$9="الكل",1, YEAR('ادخال البيانات'!$N$3:$N$1164) = VALUE($B$9))) *
            (IF($B$10="الكل",1, MONTH('ادخال البيانات'!$N$3:$N$1164) = VALUE($B$10))) *
            (IF($B$11="الكل",1, INT((DAY('ادخال البيانات'!$N$3:$N$1164)-1)/7)+1 = VALUE($B$11))),
            'ادخال البيانات'!$C$3:$C$1164
         ),
         ""
      ),
      IF(_xlpm.result="", "", _xlpm.result)
   )
)</f>
        <v/>
      </c>
      <c r="D473" s="27" t="str" cm="1">
        <f t="array" ref="D473">IF(
   OR(A473="", $B$9="", $B$10="", $B$11=""),
   "",
   _xlfn.LET(
      _xlpm.result,
      IFERROR(
         _xlfn.XLOOKUP(
            1,
            (Table8[رقم الصنف]=A473) *
            (IF($B$9="الكل",1, YEAR('ادخال البيانات'!$N$3:$N$1164)=VALUE($B$9))) *
            (IF($B$10="الكل",1, MONTH('ادخال البيانات'!$N$3:$N$1164)=VALUE($B$10))) *
            (IF($B$11="الكل",1, INT((DAY('ادخال البيانات'!$N$3:$N$1164)-1)/7)+1 = VALUE($B$11))),
            'ادخال البيانات'!$D$3:$D$1164
         ),
         ""
      ),
      IF(_xlpm.result="", "", _xlpm.result)
   )
)</f>
        <v/>
      </c>
      <c r="E473" s="27" t="str" cm="1">
        <f t="array" ref="E473">IF(
   A473="",
   "",
   _xlfn.LET(
      _xlpm.result,
      IFERROR(
         _xlfn.XLOOKUP(
            1,
            (Table8[رقم الصنف]=A473) *
            (IF($B$9="الكل",1, YEAR('ادخال البيانات'!$N$3:$N$1164)=VALUE($B$9))) *
            (IF($B$10="الكل",1, MONTH('ادخال البيانات'!$N$3:$N$1164)=VALUE($B$10))) *
            (IF($B$11="الكل",1, INT((DAY('ادخال البيانات'!$N$3:$N$1164)-1)/7)+1 = VALUE($B$11))),
            'ادخال البيانات'!$E$3:$E$1164
         ),
         ""
      ),
      IF(_xlpm.result="", "", _xlpm.result)
   )
)</f>
        <v/>
      </c>
      <c r="F473" s="27" t="str" cm="1">
        <f t="array" ref="F473">IF(
   A473="",
   "",
   _xlfn.LET(
      _xlpm.result,
      IFERROR(
         _xlfn.XLOOKUP(
            1,
            (Table8[رقم الصنف]=A473) *
            (IF($B$9="الكل",1, YEAR('ادخال البيانات'!$N$3:$N$1164) = VALUE($B$9))) *
            (IF($B$10="الكل",1, MONTH('ادخال البيانات'!$N$3:$N$1164) = VALUE($B$10))) *
            (IF($B$11="الكل",1, INT((DAY('ادخال البيانات'!$N$3:$N$1164)-1)/7)+1 = VALUE($B$11))),
            'ادخال البيانات'!$F$3:$F$1164
         ),
         ""
      ),
      IF(_xlpm.result="", "", _xlpm.result)
   )
)</f>
        <v/>
      </c>
      <c r="G473" s="27" t="str" cm="1">
        <f t="array" ref="G473">IF(
   A473="",
   "",
   _xlfn.LET(
      _xlpm.result,
      IFERROR(
         _xlfn.XLOOKUP(
            1,
            (Table8[رقم الصنف]=A473) *
            (IF($B$9="الكل",1, YEAR('ادخال البيانات'!$N$3:$N$1164)=VALUE($B$9))) *
            (IF($B$10="الكل",1, MONTH('ادخال البيانات'!$N$3:$N$1164)=VALUE($B$10))) *
            (IF($B$11="الكل",1, INT((DAY('ادخال البيانات'!$N$3:$N$1164)-1)/7)+1 = VALUE($B$11))),
            'ادخال البيانات'!$G$3:$G$1164
         ),
         ""
      ),
      IF(_xlpm.result="", "", _xlpm.result)
   )
)</f>
        <v/>
      </c>
      <c r="H473" s="27" t="str" cm="1">
        <f t="array" ref="H473">IF(
   A473="",
   "",
   _xlfn.LET(
      _xlpm.result,
      IFERROR(
         _xlfn.XLOOKUP(
            1,
            (Table8[رقم الصنف]=A473) *
            (IF($B$9="الكل",1, YEAR('ادخال البيانات'!$N$3:$N$1164)=VALUE($B$9))) *
            (IF($B$10="الكل",1, MONTH('ادخال البيانات'!$N$3:$N$1164)=VALUE($B$10))) *
            (IF($B$11="الكل",1, INT((DAY('ادخال البيانات'!$N$3:$N$1164)-1)/7)+1 = VALUE($B$11))),
            'ادخال البيانات'!$H$3:$H$1164
         ),
         ""
      ),
      IF(_xlpm.result="", "", _xlpm.result)
   )
)</f>
        <v/>
      </c>
      <c r="I473" s="27" t="str" cm="1">
        <f t="array" ref="I473">IF(
   A473="",
   "",
   _xlfn.LET(
      _xlpm.result,
      IFERROR(
         _xlfn.XLOOKUP(
            1,
            (Table8[رقم الصنف]=A473) *
            (IF($B$9="الكل",1, YEAR('ادخال البيانات'!$N$3:$N$1164)=VALUE($B$9))) *
            (IF($B$10="الكل",1, MONTH('ادخال البيانات'!$N$3:$N$1164)=VALUE($B$10))) *
            (IF($B$11="الكل",1, INT((DAY('ادخال البيانات'!$N$3:$N$1164)-1)/7)+1 = VALUE($B$11))),
            'ادخال البيانات'!$I$3:$I$1164
         ),
         ""
      ),
      IF(_xlpm.result="", "", _xlpm.result)
   )
)</f>
        <v/>
      </c>
      <c r="J473" s="27" t="str" cm="1">
        <f t="array" ref="J473">IF(
   A473="",
   "",
   _xlfn.LET(
      _xlpm.result,
      IFERROR(
         _xlfn.XLOOKUP(
            1,
            (Table8[رقم الصنف]=A473) *
            (IF($B$9="الكل",1, YEAR('ادخال البيانات'!$N$3:$N$1164)=VALUE($B$9))) *
            (IF($B$10="الكل",1, MONTH('ادخال البيانات'!$N$3:$N$1164)=VALUE($B$10))) *
            (IF($B$11="الكل",1, INT((DAY('ادخال البيانات'!$N$3:$N$1164)-1)/7)+1 = VALUE($B$11))),
            'ادخال البيانات'!$J$3:$J$1164
         ),
         ""
      ),
      IF(_xlpm.result="", "", _xlpm.result)
   )
)</f>
        <v/>
      </c>
      <c r="K473" s="27" t="str" cm="1">
        <f t="array" ref="K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3" s="27" t="str" cm="1">
        <f t="array" ref="L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3" s="27" t="str" cm="1">
        <f t="array" ref="M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3" s="28" t="str" cm="1">
        <f t="array" ref="N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3" s="28" t="str" cm="1">
        <f t="array" ref="O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3" s="27" t="str" cm="1">
        <f t="array" ref="P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Table8[جهة العطل]
         ),
         ""
      ),
      IF(_xlpm.result="", "", _xlpm.result)
   )
)</f>
        <v/>
      </c>
      <c r="Q473" s="27" t="str" cm="1">
        <f t="array" ref="Q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Table8[المركز]
         ),
         ""
      ),
      IF(_xlpm.result="", "", _xlpm.result)
   )
)</f>
        <v/>
      </c>
      <c r="R473" s="27" t="str" cm="1">
        <f t="array" ref="R473">IF(
   A473="",
   "",
   _xlfn.LET(
      _xlpm.result,
      IFERROR(
         _xlfn.XLOOKUP(
            1,
            (Table8[رقم الصنف]=A473) *
            (IF($B$9="الكل",1, YEAR('ادخال البيانات'!$N$3:$N$1164) = VALUE($B$9))) *
            (IF($B$10="الكل",1, MONTH('ادخال البيانات'!$N$3:$N$1164) = VALUE($B$10))) *
            (IF($B$11="الكل",1, INT((DAY('ادخال البيانات'!$N$3:$N$1164) - 1) / 7) + 1 = VALUE($B$11))),
            Table8[ملاحظة]
         ),
         ""
      ),
      IF(_xlpm.result="", "", _xlpm.result)
   )
)</f>
        <v/>
      </c>
      <c r="S473" s="27" t="str">
        <f t="shared" ca="1" si="7"/>
        <v/>
      </c>
    </row>
    <row r="474" spans="1:19" ht="27.75" customHeight="1" thickTop="1" thickBot="1" x14ac:dyDescent="0.35">
      <c r="A474" s="39"/>
      <c r="B474" s="50" t="str" cm="1">
        <f t="array" ref="B474">IF(
   OR(A474="", $B$9="", $B$10="", $B$11=""),
   "",
   _xlfn.LET(
      _xlpm.result,
      IFERROR(
         _xlfn.XLOOKUP(
            1,
            (Table8[رقم الصنف]=A474)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4" s="27" t="str" cm="1">
        <f t="array" ref="C474">IF(
   A474="",
   "",
   _xlfn.LET(
      _xlpm.result,
      IFERROR(
         _xlfn.XLOOKUP(
            1,
            (Table8[رقم الصنف]=A474) *
            (IF($B$9="الكل",1, YEAR('ادخال البيانات'!$N$3:$N$1164) = VALUE($B$9))) *
            (IF($B$10="الكل",1, MONTH('ادخال البيانات'!$N$3:$N$1164) = VALUE($B$10))) *
            (IF($B$11="الكل",1, INT((DAY('ادخال البيانات'!$N$3:$N$1164)-1)/7)+1 = VALUE($B$11))),
            'ادخال البيانات'!$C$3:$C$1164
         ),
         ""
      ),
      IF(_xlpm.result="", "", _xlpm.result)
   )
)</f>
        <v/>
      </c>
      <c r="D474" s="27" t="str" cm="1">
        <f t="array" ref="D474">IF(
   OR(A474="", $B$9="", $B$10="", $B$11=""),
   "",
   _xlfn.LET(
      _xlpm.result,
      IFERROR(
         _xlfn.XLOOKUP(
            1,
            (Table8[رقم الصنف]=A474) *
            (IF($B$9="الكل",1, YEAR('ادخال البيانات'!$N$3:$N$1164)=VALUE($B$9))) *
            (IF($B$10="الكل",1, MONTH('ادخال البيانات'!$N$3:$N$1164)=VALUE($B$10))) *
            (IF($B$11="الكل",1, INT((DAY('ادخال البيانات'!$N$3:$N$1164)-1)/7)+1 = VALUE($B$11))),
            'ادخال البيانات'!$D$3:$D$1164
         ),
         ""
      ),
      IF(_xlpm.result="", "", _xlpm.result)
   )
)</f>
        <v/>
      </c>
      <c r="E474" s="27" t="str" cm="1">
        <f t="array" ref="E474">IF(
   A474="",
   "",
   _xlfn.LET(
      _xlpm.result,
      IFERROR(
         _xlfn.XLOOKUP(
            1,
            (Table8[رقم الصنف]=A474) *
            (IF($B$9="الكل",1, YEAR('ادخال البيانات'!$N$3:$N$1164)=VALUE($B$9))) *
            (IF($B$10="الكل",1, MONTH('ادخال البيانات'!$N$3:$N$1164)=VALUE($B$10))) *
            (IF($B$11="الكل",1, INT((DAY('ادخال البيانات'!$N$3:$N$1164)-1)/7)+1 = VALUE($B$11))),
            'ادخال البيانات'!$E$3:$E$1164
         ),
         ""
      ),
      IF(_xlpm.result="", "", _xlpm.result)
   )
)</f>
        <v/>
      </c>
      <c r="F474" s="27" t="str" cm="1">
        <f t="array" ref="F474">IF(
   A474="",
   "",
   _xlfn.LET(
      _xlpm.result,
      IFERROR(
         _xlfn.XLOOKUP(
            1,
            (Table8[رقم الصنف]=A474) *
            (IF($B$9="الكل",1, YEAR('ادخال البيانات'!$N$3:$N$1164) = VALUE($B$9))) *
            (IF($B$10="الكل",1, MONTH('ادخال البيانات'!$N$3:$N$1164) = VALUE($B$10))) *
            (IF($B$11="الكل",1, INT((DAY('ادخال البيانات'!$N$3:$N$1164)-1)/7)+1 = VALUE($B$11))),
            'ادخال البيانات'!$F$3:$F$1164
         ),
         ""
      ),
      IF(_xlpm.result="", "", _xlpm.result)
   )
)</f>
        <v/>
      </c>
      <c r="G474" s="27" t="str" cm="1">
        <f t="array" ref="G474">IF(
   A474="",
   "",
   _xlfn.LET(
      _xlpm.result,
      IFERROR(
         _xlfn.XLOOKUP(
            1,
            (Table8[رقم الصنف]=A474) *
            (IF($B$9="الكل",1, YEAR('ادخال البيانات'!$N$3:$N$1164)=VALUE($B$9))) *
            (IF($B$10="الكل",1, MONTH('ادخال البيانات'!$N$3:$N$1164)=VALUE($B$10))) *
            (IF($B$11="الكل",1, INT((DAY('ادخال البيانات'!$N$3:$N$1164)-1)/7)+1 = VALUE($B$11))),
            'ادخال البيانات'!$G$3:$G$1164
         ),
         ""
      ),
      IF(_xlpm.result="", "", _xlpm.result)
   )
)</f>
        <v/>
      </c>
      <c r="H474" s="27" t="str" cm="1">
        <f t="array" ref="H474">IF(
   A474="",
   "",
   _xlfn.LET(
      _xlpm.result,
      IFERROR(
         _xlfn.XLOOKUP(
            1,
            (Table8[رقم الصنف]=A474) *
            (IF($B$9="الكل",1, YEAR('ادخال البيانات'!$N$3:$N$1164)=VALUE($B$9))) *
            (IF($B$10="الكل",1, MONTH('ادخال البيانات'!$N$3:$N$1164)=VALUE($B$10))) *
            (IF($B$11="الكل",1, INT((DAY('ادخال البيانات'!$N$3:$N$1164)-1)/7)+1 = VALUE($B$11))),
            'ادخال البيانات'!$H$3:$H$1164
         ),
         ""
      ),
      IF(_xlpm.result="", "", _xlpm.result)
   )
)</f>
        <v/>
      </c>
      <c r="I474" s="27" t="str" cm="1">
        <f t="array" ref="I474">IF(
   A474="",
   "",
   _xlfn.LET(
      _xlpm.result,
      IFERROR(
         _xlfn.XLOOKUP(
            1,
            (Table8[رقم الصنف]=A474) *
            (IF($B$9="الكل",1, YEAR('ادخال البيانات'!$N$3:$N$1164)=VALUE($B$9))) *
            (IF($B$10="الكل",1, MONTH('ادخال البيانات'!$N$3:$N$1164)=VALUE($B$10))) *
            (IF($B$11="الكل",1, INT((DAY('ادخال البيانات'!$N$3:$N$1164)-1)/7)+1 = VALUE($B$11))),
            'ادخال البيانات'!$I$3:$I$1164
         ),
         ""
      ),
      IF(_xlpm.result="", "", _xlpm.result)
   )
)</f>
        <v/>
      </c>
      <c r="J474" s="27" t="str" cm="1">
        <f t="array" ref="J474">IF(
   A474="",
   "",
   _xlfn.LET(
      _xlpm.result,
      IFERROR(
         _xlfn.XLOOKUP(
            1,
            (Table8[رقم الصنف]=A474) *
            (IF($B$9="الكل",1, YEAR('ادخال البيانات'!$N$3:$N$1164)=VALUE($B$9))) *
            (IF($B$10="الكل",1, MONTH('ادخال البيانات'!$N$3:$N$1164)=VALUE($B$10))) *
            (IF($B$11="الكل",1, INT((DAY('ادخال البيانات'!$N$3:$N$1164)-1)/7)+1 = VALUE($B$11))),
            'ادخال البيانات'!$J$3:$J$1164
         ),
         ""
      ),
      IF(_xlpm.result="", "", _xlpm.result)
   )
)</f>
        <v/>
      </c>
      <c r="K474" s="27" t="str" cm="1">
        <f t="array" ref="K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4" s="27" t="str" cm="1">
        <f t="array" ref="L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4" s="27" t="str" cm="1">
        <f t="array" ref="M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4" s="28" t="str" cm="1">
        <f t="array" ref="N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4" s="28" t="str" cm="1">
        <f t="array" ref="O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4" s="27" t="str" cm="1">
        <f t="array" ref="P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Table8[جهة العطل]
         ),
         ""
      ),
      IF(_xlpm.result="", "", _xlpm.result)
   )
)</f>
        <v/>
      </c>
      <c r="Q474" s="27" t="str" cm="1">
        <f t="array" ref="Q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Table8[المركز]
         ),
         ""
      ),
      IF(_xlpm.result="", "", _xlpm.result)
   )
)</f>
        <v/>
      </c>
      <c r="R474" s="27" t="str" cm="1">
        <f t="array" ref="R474">IF(
   A474="",
   "",
   _xlfn.LET(
      _xlpm.result,
      IFERROR(
         _xlfn.XLOOKUP(
            1,
            (Table8[رقم الصنف]=A474) *
            (IF($B$9="الكل",1, YEAR('ادخال البيانات'!$N$3:$N$1164) = VALUE($B$9))) *
            (IF($B$10="الكل",1, MONTH('ادخال البيانات'!$N$3:$N$1164) = VALUE($B$10))) *
            (IF($B$11="الكل",1, INT((DAY('ادخال البيانات'!$N$3:$N$1164) - 1) / 7) + 1 = VALUE($B$11))),
            Table8[ملاحظة]
         ),
         ""
      ),
      IF(_xlpm.result="", "", _xlpm.result)
   )
)</f>
        <v/>
      </c>
      <c r="S474" s="27" t="str">
        <f t="shared" ca="1" si="7"/>
        <v/>
      </c>
    </row>
    <row r="475" spans="1:19" ht="27.75" customHeight="1" thickTop="1" thickBot="1" x14ac:dyDescent="0.35">
      <c r="A475" s="39"/>
      <c r="B475" s="50" t="str" cm="1">
        <f t="array" ref="B475">IF(
   OR(A475="", $B$9="", $B$10="", $B$11=""),
   "",
   _xlfn.LET(
      _xlpm.result,
      IFERROR(
         _xlfn.XLOOKUP(
            1,
            (Table8[رقم الصنف]=A475)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5" s="27" t="str" cm="1">
        <f t="array" ref="C475">IF(
   A475="",
   "",
   _xlfn.LET(
      _xlpm.result,
      IFERROR(
         _xlfn.XLOOKUP(
            1,
            (Table8[رقم الصنف]=A475) *
            (IF($B$9="الكل",1, YEAR('ادخال البيانات'!$N$3:$N$1164) = VALUE($B$9))) *
            (IF($B$10="الكل",1, MONTH('ادخال البيانات'!$N$3:$N$1164) = VALUE($B$10))) *
            (IF($B$11="الكل",1, INT((DAY('ادخال البيانات'!$N$3:$N$1164)-1)/7)+1 = VALUE($B$11))),
            'ادخال البيانات'!$C$3:$C$1164
         ),
         ""
      ),
      IF(_xlpm.result="", "", _xlpm.result)
   )
)</f>
        <v/>
      </c>
      <c r="D475" s="27" t="str" cm="1">
        <f t="array" ref="D475">IF(
   OR(A475="", $B$9="", $B$10="", $B$11=""),
   "",
   _xlfn.LET(
      _xlpm.result,
      IFERROR(
         _xlfn.XLOOKUP(
            1,
            (Table8[رقم الصنف]=A475) *
            (IF($B$9="الكل",1, YEAR('ادخال البيانات'!$N$3:$N$1164)=VALUE($B$9))) *
            (IF($B$10="الكل",1, MONTH('ادخال البيانات'!$N$3:$N$1164)=VALUE($B$10))) *
            (IF($B$11="الكل",1, INT((DAY('ادخال البيانات'!$N$3:$N$1164)-1)/7)+1 = VALUE($B$11))),
            'ادخال البيانات'!$D$3:$D$1164
         ),
         ""
      ),
      IF(_xlpm.result="", "", _xlpm.result)
   )
)</f>
        <v/>
      </c>
      <c r="E475" s="27" t="str" cm="1">
        <f t="array" ref="E475">IF(
   A475="",
   "",
   _xlfn.LET(
      _xlpm.result,
      IFERROR(
         _xlfn.XLOOKUP(
            1,
            (Table8[رقم الصنف]=A475) *
            (IF($B$9="الكل",1, YEAR('ادخال البيانات'!$N$3:$N$1164)=VALUE($B$9))) *
            (IF($B$10="الكل",1, MONTH('ادخال البيانات'!$N$3:$N$1164)=VALUE($B$10))) *
            (IF($B$11="الكل",1, INT((DAY('ادخال البيانات'!$N$3:$N$1164)-1)/7)+1 = VALUE($B$11))),
            'ادخال البيانات'!$E$3:$E$1164
         ),
         ""
      ),
      IF(_xlpm.result="", "", _xlpm.result)
   )
)</f>
        <v/>
      </c>
      <c r="F475" s="27" t="str" cm="1">
        <f t="array" ref="F475">IF(
   A475="",
   "",
   _xlfn.LET(
      _xlpm.result,
      IFERROR(
         _xlfn.XLOOKUP(
            1,
            (Table8[رقم الصنف]=A475) *
            (IF($B$9="الكل",1, YEAR('ادخال البيانات'!$N$3:$N$1164) = VALUE($B$9))) *
            (IF($B$10="الكل",1, MONTH('ادخال البيانات'!$N$3:$N$1164) = VALUE($B$10))) *
            (IF($B$11="الكل",1, INT((DAY('ادخال البيانات'!$N$3:$N$1164)-1)/7)+1 = VALUE($B$11))),
            'ادخال البيانات'!$F$3:$F$1164
         ),
         ""
      ),
      IF(_xlpm.result="", "", _xlpm.result)
   )
)</f>
        <v/>
      </c>
      <c r="G475" s="27" t="str" cm="1">
        <f t="array" ref="G475">IF(
   A475="",
   "",
   _xlfn.LET(
      _xlpm.result,
      IFERROR(
         _xlfn.XLOOKUP(
            1,
            (Table8[رقم الصنف]=A475) *
            (IF($B$9="الكل",1, YEAR('ادخال البيانات'!$N$3:$N$1164)=VALUE($B$9))) *
            (IF($B$10="الكل",1, MONTH('ادخال البيانات'!$N$3:$N$1164)=VALUE($B$10))) *
            (IF($B$11="الكل",1, INT((DAY('ادخال البيانات'!$N$3:$N$1164)-1)/7)+1 = VALUE($B$11))),
            'ادخال البيانات'!$G$3:$G$1164
         ),
         ""
      ),
      IF(_xlpm.result="", "", _xlpm.result)
   )
)</f>
        <v/>
      </c>
      <c r="H475" s="27" t="str" cm="1">
        <f t="array" ref="H475">IF(
   A475="",
   "",
   _xlfn.LET(
      _xlpm.result,
      IFERROR(
         _xlfn.XLOOKUP(
            1,
            (Table8[رقم الصنف]=A475) *
            (IF($B$9="الكل",1, YEAR('ادخال البيانات'!$N$3:$N$1164)=VALUE($B$9))) *
            (IF($B$10="الكل",1, MONTH('ادخال البيانات'!$N$3:$N$1164)=VALUE($B$10))) *
            (IF($B$11="الكل",1, INT((DAY('ادخال البيانات'!$N$3:$N$1164)-1)/7)+1 = VALUE($B$11))),
            'ادخال البيانات'!$H$3:$H$1164
         ),
         ""
      ),
      IF(_xlpm.result="", "", _xlpm.result)
   )
)</f>
        <v/>
      </c>
      <c r="I475" s="27" t="str" cm="1">
        <f t="array" ref="I475">IF(
   A475="",
   "",
   _xlfn.LET(
      _xlpm.result,
      IFERROR(
         _xlfn.XLOOKUP(
            1,
            (Table8[رقم الصنف]=A475) *
            (IF($B$9="الكل",1, YEAR('ادخال البيانات'!$N$3:$N$1164)=VALUE($B$9))) *
            (IF($B$10="الكل",1, MONTH('ادخال البيانات'!$N$3:$N$1164)=VALUE($B$10))) *
            (IF($B$11="الكل",1, INT((DAY('ادخال البيانات'!$N$3:$N$1164)-1)/7)+1 = VALUE($B$11))),
            'ادخال البيانات'!$I$3:$I$1164
         ),
         ""
      ),
      IF(_xlpm.result="", "", _xlpm.result)
   )
)</f>
        <v/>
      </c>
      <c r="J475" s="27" t="str" cm="1">
        <f t="array" ref="J475">IF(
   A475="",
   "",
   _xlfn.LET(
      _xlpm.result,
      IFERROR(
         _xlfn.XLOOKUP(
            1,
            (Table8[رقم الصنف]=A475) *
            (IF($B$9="الكل",1, YEAR('ادخال البيانات'!$N$3:$N$1164)=VALUE($B$9))) *
            (IF($B$10="الكل",1, MONTH('ادخال البيانات'!$N$3:$N$1164)=VALUE($B$10))) *
            (IF($B$11="الكل",1, INT((DAY('ادخال البيانات'!$N$3:$N$1164)-1)/7)+1 = VALUE($B$11))),
            'ادخال البيانات'!$J$3:$J$1164
         ),
         ""
      ),
      IF(_xlpm.result="", "", _xlpm.result)
   )
)</f>
        <v/>
      </c>
      <c r="K475" s="27" t="str" cm="1">
        <f t="array" ref="K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5" s="27" t="str" cm="1">
        <f t="array" ref="L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5" s="27" t="str" cm="1">
        <f t="array" ref="M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5" s="28" t="str" cm="1">
        <f t="array" ref="N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5" s="28" t="str" cm="1">
        <f t="array" ref="O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5" s="27" t="str" cm="1">
        <f t="array" ref="P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Table8[جهة العطل]
         ),
         ""
      ),
      IF(_xlpm.result="", "", _xlpm.result)
   )
)</f>
        <v/>
      </c>
      <c r="Q475" s="27" t="str" cm="1">
        <f t="array" ref="Q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Table8[المركز]
         ),
         ""
      ),
      IF(_xlpm.result="", "", _xlpm.result)
   )
)</f>
        <v/>
      </c>
      <c r="R475" s="27" t="str" cm="1">
        <f t="array" ref="R475">IF(
   A475="",
   "",
   _xlfn.LET(
      _xlpm.result,
      IFERROR(
         _xlfn.XLOOKUP(
            1,
            (Table8[رقم الصنف]=A475) *
            (IF($B$9="الكل",1, YEAR('ادخال البيانات'!$N$3:$N$1164) = VALUE($B$9))) *
            (IF($B$10="الكل",1, MONTH('ادخال البيانات'!$N$3:$N$1164) = VALUE($B$10))) *
            (IF($B$11="الكل",1, INT((DAY('ادخال البيانات'!$N$3:$N$1164) - 1) / 7) + 1 = VALUE($B$11))),
            Table8[ملاحظة]
         ),
         ""
      ),
      IF(_xlpm.result="", "", _xlpm.result)
   )
)</f>
        <v/>
      </c>
      <c r="S475" s="27" t="str">
        <f t="shared" ca="1" si="7"/>
        <v/>
      </c>
    </row>
    <row r="476" spans="1:19" ht="27.75" customHeight="1" thickTop="1" thickBot="1" x14ac:dyDescent="0.35">
      <c r="A476" s="39"/>
      <c r="B476" s="50" t="str" cm="1">
        <f t="array" ref="B476">IF(
   OR(A476="", $B$9="", $B$10="", $B$11=""),
   "",
   _xlfn.LET(
      _xlpm.result,
      IFERROR(
         _xlfn.XLOOKUP(
            1,
            (Table8[رقم الصنف]=A476)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6" s="27" t="str" cm="1">
        <f t="array" ref="C476">IF(
   A476="",
   "",
   _xlfn.LET(
      _xlpm.result,
      IFERROR(
         _xlfn.XLOOKUP(
            1,
            (Table8[رقم الصنف]=A476) *
            (IF($B$9="الكل",1, YEAR('ادخال البيانات'!$N$3:$N$1164) = VALUE($B$9))) *
            (IF($B$10="الكل",1, MONTH('ادخال البيانات'!$N$3:$N$1164) = VALUE($B$10))) *
            (IF($B$11="الكل",1, INT((DAY('ادخال البيانات'!$N$3:$N$1164)-1)/7)+1 = VALUE($B$11))),
            'ادخال البيانات'!$C$3:$C$1164
         ),
         ""
      ),
      IF(_xlpm.result="", "", _xlpm.result)
   )
)</f>
        <v/>
      </c>
      <c r="D476" s="27" t="str" cm="1">
        <f t="array" ref="D476">IF(
   OR(A476="", $B$9="", $B$10="", $B$11=""),
   "",
   _xlfn.LET(
      _xlpm.result,
      IFERROR(
         _xlfn.XLOOKUP(
            1,
            (Table8[رقم الصنف]=A476) *
            (IF($B$9="الكل",1, YEAR('ادخال البيانات'!$N$3:$N$1164)=VALUE($B$9))) *
            (IF($B$10="الكل",1, MONTH('ادخال البيانات'!$N$3:$N$1164)=VALUE($B$10))) *
            (IF($B$11="الكل",1, INT((DAY('ادخال البيانات'!$N$3:$N$1164)-1)/7)+1 = VALUE($B$11))),
            'ادخال البيانات'!$D$3:$D$1164
         ),
         ""
      ),
      IF(_xlpm.result="", "", _xlpm.result)
   )
)</f>
        <v/>
      </c>
      <c r="E476" s="27" t="str" cm="1">
        <f t="array" ref="E476">IF(
   A476="",
   "",
   _xlfn.LET(
      _xlpm.result,
      IFERROR(
         _xlfn.XLOOKUP(
            1,
            (Table8[رقم الصنف]=A476) *
            (IF($B$9="الكل",1, YEAR('ادخال البيانات'!$N$3:$N$1164)=VALUE($B$9))) *
            (IF($B$10="الكل",1, MONTH('ادخال البيانات'!$N$3:$N$1164)=VALUE($B$10))) *
            (IF($B$11="الكل",1, INT((DAY('ادخال البيانات'!$N$3:$N$1164)-1)/7)+1 = VALUE($B$11))),
            'ادخال البيانات'!$E$3:$E$1164
         ),
         ""
      ),
      IF(_xlpm.result="", "", _xlpm.result)
   )
)</f>
        <v/>
      </c>
      <c r="F476" s="27" t="str" cm="1">
        <f t="array" ref="F476">IF(
   A476="",
   "",
   _xlfn.LET(
      _xlpm.result,
      IFERROR(
         _xlfn.XLOOKUP(
            1,
            (Table8[رقم الصنف]=A476) *
            (IF($B$9="الكل",1, YEAR('ادخال البيانات'!$N$3:$N$1164) = VALUE($B$9))) *
            (IF($B$10="الكل",1, MONTH('ادخال البيانات'!$N$3:$N$1164) = VALUE($B$10))) *
            (IF($B$11="الكل",1, INT((DAY('ادخال البيانات'!$N$3:$N$1164)-1)/7)+1 = VALUE($B$11))),
            'ادخال البيانات'!$F$3:$F$1164
         ),
         ""
      ),
      IF(_xlpm.result="", "", _xlpm.result)
   )
)</f>
        <v/>
      </c>
      <c r="G476" s="27" t="str" cm="1">
        <f t="array" ref="G476">IF(
   A476="",
   "",
   _xlfn.LET(
      _xlpm.result,
      IFERROR(
         _xlfn.XLOOKUP(
            1,
            (Table8[رقم الصنف]=A476) *
            (IF($B$9="الكل",1, YEAR('ادخال البيانات'!$N$3:$N$1164)=VALUE($B$9))) *
            (IF($B$10="الكل",1, MONTH('ادخال البيانات'!$N$3:$N$1164)=VALUE($B$10))) *
            (IF($B$11="الكل",1, INT((DAY('ادخال البيانات'!$N$3:$N$1164)-1)/7)+1 = VALUE($B$11))),
            'ادخال البيانات'!$G$3:$G$1164
         ),
         ""
      ),
      IF(_xlpm.result="", "", _xlpm.result)
   )
)</f>
        <v/>
      </c>
      <c r="H476" s="27" t="str" cm="1">
        <f t="array" ref="H476">IF(
   A476="",
   "",
   _xlfn.LET(
      _xlpm.result,
      IFERROR(
         _xlfn.XLOOKUP(
            1,
            (Table8[رقم الصنف]=A476) *
            (IF($B$9="الكل",1, YEAR('ادخال البيانات'!$N$3:$N$1164)=VALUE($B$9))) *
            (IF($B$10="الكل",1, MONTH('ادخال البيانات'!$N$3:$N$1164)=VALUE($B$10))) *
            (IF($B$11="الكل",1, INT((DAY('ادخال البيانات'!$N$3:$N$1164)-1)/7)+1 = VALUE($B$11))),
            'ادخال البيانات'!$H$3:$H$1164
         ),
         ""
      ),
      IF(_xlpm.result="", "", _xlpm.result)
   )
)</f>
        <v/>
      </c>
      <c r="I476" s="27" t="str" cm="1">
        <f t="array" ref="I476">IF(
   A476="",
   "",
   _xlfn.LET(
      _xlpm.result,
      IFERROR(
         _xlfn.XLOOKUP(
            1,
            (Table8[رقم الصنف]=A476) *
            (IF($B$9="الكل",1, YEAR('ادخال البيانات'!$N$3:$N$1164)=VALUE($B$9))) *
            (IF($B$10="الكل",1, MONTH('ادخال البيانات'!$N$3:$N$1164)=VALUE($B$10))) *
            (IF($B$11="الكل",1, INT((DAY('ادخال البيانات'!$N$3:$N$1164)-1)/7)+1 = VALUE($B$11))),
            'ادخال البيانات'!$I$3:$I$1164
         ),
         ""
      ),
      IF(_xlpm.result="", "", _xlpm.result)
   )
)</f>
        <v/>
      </c>
      <c r="J476" s="27" t="str" cm="1">
        <f t="array" ref="J476">IF(
   A476="",
   "",
   _xlfn.LET(
      _xlpm.result,
      IFERROR(
         _xlfn.XLOOKUP(
            1,
            (Table8[رقم الصنف]=A476) *
            (IF($B$9="الكل",1, YEAR('ادخال البيانات'!$N$3:$N$1164)=VALUE($B$9))) *
            (IF($B$10="الكل",1, MONTH('ادخال البيانات'!$N$3:$N$1164)=VALUE($B$10))) *
            (IF($B$11="الكل",1, INT((DAY('ادخال البيانات'!$N$3:$N$1164)-1)/7)+1 = VALUE($B$11))),
            'ادخال البيانات'!$J$3:$J$1164
         ),
         ""
      ),
      IF(_xlpm.result="", "", _xlpm.result)
   )
)</f>
        <v/>
      </c>
      <c r="K476" s="27" t="str" cm="1">
        <f t="array" ref="K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6" s="27" t="str" cm="1">
        <f t="array" ref="L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6" s="27" t="str" cm="1">
        <f t="array" ref="M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6" s="28" t="str" cm="1">
        <f t="array" ref="N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6" s="28" t="str" cm="1">
        <f t="array" ref="O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6" s="27" t="str" cm="1">
        <f t="array" ref="P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Table8[جهة العطل]
         ),
         ""
      ),
      IF(_xlpm.result="", "", _xlpm.result)
   )
)</f>
        <v/>
      </c>
      <c r="Q476" s="27" t="str" cm="1">
        <f t="array" ref="Q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Table8[المركز]
         ),
         ""
      ),
      IF(_xlpm.result="", "", _xlpm.result)
   )
)</f>
        <v/>
      </c>
      <c r="R476" s="27" t="str" cm="1">
        <f t="array" ref="R476">IF(
   A476="",
   "",
   _xlfn.LET(
      _xlpm.result,
      IFERROR(
         _xlfn.XLOOKUP(
            1,
            (Table8[رقم الصنف]=A476) *
            (IF($B$9="الكل",1, YEAR('ادخال البيانات'!$N$3:$N$1164) = VALUE($B$9))) *
            (IF($B$10="الكل",1, MONTH('ادخال البيانات'!$N$3:$N$1164) = VALUE($B$10))) *
            (IF($B$11="الكل",1, INT((DAY('ادخال البيانات'!$N$3:$N$1164) - 1) / 7) + 1 = VALUE($B$11))),
            Table8[ملاحظة]
         ),
         ""
      ),
      IF(_xlpm.result="", "", _xlpm.result)
   )
)</f>
        <v/>
      </c>
      <c r="S476" s="27" t="str">
        <f t="shared" ca="1" si="7"/>
        <v/>
      </c>
    </row>
    <row r="477" spans="1:19" ht="27.75" customHeight="1" thickTop="1" thickBot="1" x14ac:dyDescent="0.35">
      <c r="A477" s="39"/>
      <c r="B477" s="50" t="str" cm="1">
        <f t="array" ref="B477">IF(
   OR(A477="", $B$9="", $B$10="", $B$11=""),
   "",
   _xlfn.LET(
      _xlpm.result,
      IFERROR(
         _xlfn.XLOOKUP(
            1,
            (Table8[رقم الصنف]=A477)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7" s="27" t="str" cm="1">
        <f t="array" ref="C477">IF(
   A477="",
   "",
   _xlfn.LET(
      _xlpm.result,
      IFERROR(
         _xlfn.XLOOKUP(
            1,
            (Table8[رقم الصنف]=A477) *
            (IF($B$9="الكل",1, YEAR('ادخال البيانات'!$N$3:$N$1164) = VALUE($B$9))) *
            (IF($B$10="الكل",1, MONTH('ادخال البيانات'!$N$3:$N$1164) = VALUE($B$10))) *
            (IF($B$11="الكل",1, INT((DAY('ادخال البيانات'!$N$3:$N$1164)-1)/7)+1 = VALUE($B$11))),
            'ادخال البيانات'!$C$3:$C$1164
         ),
         ""
      ),
      IF(_xlpm.result="", "", _xlpm.result)
   )
)</f>
        <v/>
      </c>
      <c r="D477" s="27" t="str" cm="1">
        <f t="array" ref="D477">IF(
   OR(A477="", $B$9="", $B$10="", $B$11=""),
   "",
   _xlfn.LET(
      _xlpm.result,
      IFERROR(
         _xlfn.XLOOKUP(
            1,
            (Table8[رقم الصنف]=A477) *
            (IF($B$9="الكل",1, YEAR('ادخال البيانات'!$N$3:$N$1164)=VALUE($B$9))) *
            (IF($B$10="الكل",1, MONTH('ادخال البيانات'!$N$3:$N$1164)=VALUE($B$10))) *
            (IF($B$11="الكل",1, INT((DAY('ادخال البيانات'!$N$3:$N$1164)-1)/7)+1 = VALUE($B$11))),
            'ادخال البيانات'!$D$3:$D$1164
         ),
         ""
      ),
      IF(_xlpm.result="", "", _xlpm.result)
   )
)</f>
        <v/>
      </c>
      <c r="E477" s="27" t="str" cm="1">
        <f t="array" ref="E477">IF(
   A477="",
   "",
   _xlfn.LET(
      _xlpm.result,
      IFERROR(
         _xlfn.XLOOKUP(
            1,
            (Table8[رقم الصنف]=A477) *
            (IF($B$9="الكل",1, YEAR('ادخال البيانات'!$N$3:$N$1164)=VALUE($B$9))) *
            (IF($B$10="الكل",1, MONTH('ادخال البيانات'!$N$3:$N$1164)=VALUE($B$10))) *
            (IF($B$11="الكل",1, INT((DAY('ادخال البيانات'!$N$3:$N$1164)-1)/7)+1 = VALUE($B$11))),
            'ادخال البيانات'!$E$3:$E$1164
         ),
         ""
      ),
      IF(_xlpm.result="", "", _xlpm.result)
   )
)</f>
        <v/>
      </c>
      <c r="F477" s="27" t="str" cm="1">
        <f t="array" ref="F477">IF(
   A477="",
   "",
   _xlfn.LET(
      _xlpm.result,
      IFERROR(
         _xlfn.XLOOKUP(
            1,
            (Table8[رقم الصنف]=A477) *
            (IF($B$9="الكل",1, YEAR('ادخال البيانات'!$N$3:$N$1164) = VALUE($B$9))) *
            (IF($B$10="الكل",1, MONTH('ادخال البيانات'!$N$3:$N$1164) = VALUE($B$10))) *
            (IF($B$11="الكل",1, INT((DAY('ادخال البيانات'!$N$3:$N$1164)-1)/7)+1 = VALUE($B$11))),
            'ادخال البيانات'!$F$3:$F$1164
         ),
         ""
      ),
      IF(_xlpm.result="", "", _xlpm.result)
   )
)</f>
        <v/>
      </c>
      <c r="G477" s="27" t="str" cm="1">
        <f t="array" ref="G477">IF(
   A477="",
   "",
   _xlfn.LET(
      _xlpm.result,
      IFERROR(
         _xlfn.XLOOKUP(
            1,
            (Table8[رقم الصنف]=A477) *
            (IF($B$9="الكل",1, YEAR('ادخال البيانات'!$N$3:$N$1164)=VALUE($B$9))) *
            (IF($B$10="الكل",1, MONTH('ادخال البيانات'!$N$3:$N$1164)=VALUE($B$10))) *
            (IF($B$11="الكل",1, INT((DAY('ادخال البيانات'!$N$3:$N$1164)-1)/7)+1 = VALUE($B$11))),
            'ادخال البيانات'!$G$3:$G$1164
         ),
         ""
      ),
      IF(_xlpm.result="", "", _xlpm.result)
   )
)</f>
        <v/>
      </c>
      <c r="H477" s="27" t="str" cm="1">
        <f t="array" ref="H477">IF(
   A477="",
   "",
   _xlfn.LET(
      _xlpm.result,
      IFERROR(
         _xlfn.XLOOKUP(
            1,
            (Table8[رقم الصنف]=A477) *
            (IF($B$9="الكل",1, YEAR('ادخال البيانات'!$N$3:$N$1164)=VALUE($B$9))) *
            (IF($B$10="الكل",1, MONTH('ادخال البيانات'!$N$3:$N$1164)=VALUE($B$10))) *
            (IF($B$11="الكل",1, INT((DAY('ادخال البيانات'!$N$3:$N$1164)-1)/7)+1 = VALUE($B$11))),
            'ادخال البيانات'!$H$3:$H$1164
         ),
         ""
      ),
      IF(_xlpm.result="", "", _xlpm.result)
   )
)</f>
        <v/>
      </c>
      <c r="I477" s="27" t="str" cm="1">
        <f t="array" ref="I477">IF(
   A477="",
   "",
   _xlfn.LET(
      _xlpm.result,
      IFERROR(
         _xlfn.XLOOKUP(
            1,
            (Table8[رقم الصنف]=A477) *
            (IF($B$9="الكل",1, YEAR('ادخال البيانات'!$N$3:$N$1164)=VALUE($B$9))) *
            (IF($B$10="الكل",1, MONTH('ادخال البيانات'!$N$3:$N$1164)=VALUE($B$10))) *
            (IF($B$11="الكل",1, INT((DAY('ادخال البيانات'!$N$3:$N$1164)-1)/7)+1 = VALUE($B$11))),
            'ادخال البيانات'!$I$3:$I$1164
         ),
         ""
      ),
      IF(_xlpm.result="", "", _xlpm.result)
   )
)</f>
        <v/>
      </c>
      <c r="J477" s="27" t="str" cm="1">
        <f t="array" ref="J477">IF(
   A477="",
   "",
   _xlfn.LET(
      _xlpm.result,
      IFERROR(
         _xlfn.XLOOKUP(
            1,
            (Table8[رقم الصنف]=A477) *
            (IF($B$9="الكل",1, YEAR('ادخال البيانات'!$N$3:$N$1164)=VALUE($B$9))) *
            (IF($B$10="الكل",1, MONTH('ادخال البيانات'!$N$3:$N$1164)=VALUE($B$10))) *
            (IF($B$11="الكل",1, INT((DAY('ادخال البيانات'!$N$3:$N$1164)-1)/7)+1 = VALUE($B$11))),
            'ادخال البيانات'!$J$3:$J$1164
         ),
         ""
      ),
      IF(_xlpm.result="", "", _xlpm.result)
   )
)</f>
        <v/>
      </c>
      <c r="K477" s="27" t="str" cm="1">
        <f t="array" ref="K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7" s="27" t="str" cm="1">
        <f t="array" ref="L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7" s="27" t="str" cm="1">
        <f t="array" ref="M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7" s="28" t="str" cm="1">
        <f t="array" ref="N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7" s="28" t="str" cm="1">
        <f t="array" ref="O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7" s="27" t="str" cm="1">
        <f t="array" ref="P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Table8[جهة العطل]
         ),
         ""
      ),
      IF(_xlpm.result="", "", _xlpm.result)
   )
)</f>
        <v/>
      </c>
      <c r="Q477" s="27" t="str" cm="1">
        <f t="array" ref="Q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Table8[المركز]
         ),
         ""
      ),
      IF(_xlpm.result="", "", _xlpm.result)
   )
)</f>
        <v/>
      </c>
      <c r="R477" s="27" t="str" cm="1">
        <f t="array" ref="R477">IF(
   A477="",
   "",
   _xlfn.LET(
      _xlpm.result,
      IFERROR(
         _xlfn.XLOOKUP(
            1,
            (Table8[رقم الصنف]=A477) *
            (IF($B$9="الكل",1, YEAR('ادخال البيانات'!$N$3:$N$1164) = VALUE($B$9))) *
            (IF($B$10="الكل",1, MONTH('ادخال البيانات'!$N$3:$N$1164) = VALUE($B$10))) *
            (IF($B$11="الكل",1, INT((DAY('ادخال البيانات'!$N$3:$N$1164) - 1) / 7) + 1 = VALUE($B$11))),
            Table8[ملاحظة]
         ),
         ""
      ),
      IF(_xlpm.result="", "", _xlpm.result)
   )
)</f>
        <v/>
      </c>
      <c r="S477" s="27" t="str">
        <f t="shared" ca="1" si="7"/>
        <v/>
      </c>
    </row>
    <row r="478" spans="1:19" ht="27.75" customHeight="1" thickTop="1" thickBot="1" x14ac:dyDescent="0.35">
      <c r="A478" s="39"/>
      <c r="B478" s="50" t="str" cm="1">
        <f t="array" ref="B478">IF(
   OR(A478="", $B$9="", $B$10="", $B$11=""),
   "",
   _xlfn.LET(
      _xlpm.result,
      IFERROR(
         _xlfn.XLOOKUP(
            1,
            (Table8[رقم الصنف]=A478)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8" s="27" t="str" cm="1">
        <f t="array" ref="C478">IF(
   A478="",
   "",
   _xlfn.LET(
      _xlpm.result,
      IFERROR(
         _xlfn.XLOOKUP(
            1,
            (Table8[رقم الصنف]=A478) *
            (IF($B$9="الكل",1, YEAR('ادخال البيانات'!$N$3:$N$1164) = VALUE($B$9))) *
            (IF($B$10="الكل",1, MONTH('ادخال البيانات'!$N$3:$N$1164) = VALUE($B$10))) *
            (IF($B$11="الكل",1, INT((DAY('ادخال البيانات'!$N$3:$N$1164)-1)/7)+1 = VALUE($B$11))),
            'ادخال البيانات'!$C$3:$C$1164
         ),
         ""
      ),
      IF(_xlpm.result="", "", _xlpm.result)
   )
)</f>
        <v/>
      </c>
      <c r="D478" s="27" t="str" cm="1">
        <f t="array" ref="D478">IF(
   OR(A478="", $B$9="", $B$10="", $B$11=""),
   "",
   _xlfn.LET(
      _xlpm.result,
      IFERROR(
         _xlfn.XLOOKUP(
            1,
            (Table8[رقم الصنف]=A478) *
            (IF($B$9="الكل",1, YEAR('ادخال البيانات'!$N$3:$N$1164)=VALUE($B$9))) *
            (IF($B$10="الكل",1, MONTH('ادخال البيانات'!$N$3:$N$1164)=VALUE($B$10))) *
            (IF($B$11="الكل",1, INT((DAY('ادخال البيانات'!$N$3:$N$1164)-1)/7)+1 = VALUE($B$11))),
            'ادخال البيانات'!$D$3:$D$1164
         ),
         ""
      ),
      IF(_xlpm.result="", "", _xlpm.result)
   )
)</f>
        <v/>
      </c>
      <c r="E478" s="27" t="str" cm="1">
        <f t="array" ref="E478">IF(
   A478="",
   "",
   _xlfn.LET(
      _xlpm.result,
      IFERROR(
         _xlfn.XLOOKUP(
            1,
            (Table8[رقم الصنف]=A478) *
            (IF($B$9="الكل",1, YEAR('ادخال البيانات'!$N$3:$N$1164)=VALUE($B$9))) *
            (IF($B$10="الكل",1, MONTH('ادخال البيانات'!$N$3:$N$1164)=VALUE($B$10))) *
            (IF($B$11="الكل",1, INT((DAY('ادخال البيانات'!$N$3:$N$1164)-1)/7)+1 = VALUE($B$11))),
            'ادخال البيانات'!$E$3:$E$1164
         ),
         ""
      ),
      IF(_xlpm.result="", "", _xlpm.result)
   )
)</f>
        <v/>
      </c>
      <c r="F478" s="27" t="str" cm="1">
        <f t="array" ref="F478">IF(
   A478="",
   "",
   _xlfn.LET(
      _xlpm.result,
      IFERROR(
         _xlfn.XLOOKUP(
            1,
            (Table8[رقم الصنف]=A478) *
            (IF($B$9="الكل",1, YEAR('ادخال البيانات'!$N$3:$N$1164) = VALUE($B$9))) *
            (IF($B$10="الكل",1, MONTH('ادخال البيانات'!$N$3:$N$1164) = VALUE($B$10))) *
            (IF($B$11="الكل",1, INT((DAY('ادخال البيانات'!$N$3:$N$1164)-1)/7)+1 = VALUE($B$11))),
            'ادخال البيانات'!$F$3:$F$1164
         ),
         ""
      ),
      IF(_xlpm.result="", "", _xlpm.result)
   )
)</f>
        <v/>
      </c>
      <c r="G478" s="27" t="str" cm="1">
        <f t="array" ref="G478">IF(
   A478="",
   "",
   _xlfn.LET(
      _xlpm.result,
      IFERROR(
         _xlfn.XLOOKUP(
            1,
            (Table8[رقم الصنف]=A478) *
            (IF($B$9="الكل",1, YEAR('ادخال البيانات'!$N$3:$N$1164)=VALUE($B$9))) *
            (IF($B$10="الكل",1, MONTH('ادخال البيانات'!$N$3:$N$1164)=VALUE($B$10))) *
            (IF($B$11="الكل",1, INT((DAY('ادخال البيانات'!$N$3:$N$1164)-1)/7)+1 = VALUE($B$11))),
            'ادخال البيانات'!$G$3:$G$1164
         ),
         ""
      ),
      IF(_xlpm.result="", "", _xlpm.result)
   )
)</f>
        <v/>
      </c>
      <c r="H478" s="27" t="str" cm="1">
        <f t="array" ref="H478">IF(
   A478="",
   "",
   _xlfn.LET(
      _xlpm.result,
      IFERROR(
         _xlfn.XLOOKUP(
            1,
            (Table8[رقم الصنف]=A478) *
            (IF($B$9="الكل",1, YEAR('ادخال البيانات'!$N$3:$N$1164)=VALUE($B$9))) *
            (IF($B$10="الكل",1, MONTH('ادخال البيانات'!$N$3:$N$1164)=VALUE($B$10))) *
            (IF($B$11="الكل",1, INT((DAY('ادخال البيانات'!$N$3:$N$1164)-1)/7)+1 = VALUE($B$11))),
            'ادخال البيانات'!$H$3:$H$1164
         ),
         ""
      ),
      IF(_xlpm.result="", "", _xlpm.result)
   )
)</f>
        <v/>
      </c>
      <c r="I478" s="27" t="str" cm="1">
        <f t="array" ref="I478">IF(
   A478="",
   "",
   _xlfn.LET(
      _xlpm.result,
      IFERROR(
         _xlfn.XLOOKUP(
            1,
            (Table8[رقم الصنف]=A478) *
            (IF($B$9="الكل",1, YEAR('ادخال البيانات'!$N$3:$N$1164)=VALUE($B$9))) *
            (IF($B$10="الكل",1, MONTH('ادخال البيانات'!$N$3:$N$1164)=VALUE($B$10))) *
            (IF($B$11="الكل",1, INT((DAY('ادخال البيانات'!$N$3:$N$1164)-1)/7)+1 = VALUE($B$11))),
            'ادخال البيانات'!$I$3:$I$1164
         ),
         ""
      ),
      IF(_xlpm.result="", "", _xlpm.result)
   )
)</f>
        <v/>
      </c>
      <c r="J478" s="27" t="str" cm="1">
        <f t="array" ref="J478">IF(
   A478="",
   "",
   _xlfn.LET(
      _xlpm.result,
      IFERROR(
         _xlfn.XLOOKUP(
            1,
            (Table8[رقم الصنف]=A478) *
            (IF($B$9="الكل",1, YEAR('ادخال البيانات'!$N$3:$N$1164)=VALUE($B$9))) *
            (IF($B$10="الكل",1, MONTH('ادخال البيانات'!$N$3:$N$1164)=VALUE($B$10))) *
            (IF($B$11="الكل",1, INT((DAY('ادخال البيانات'!$N$3:$N$1164)-1)/7)+1 = VALUE($B$11))),
            'ادخال البيانات'!$J$3:$J$1164
         ),
         ""
      ),
      IF(_xlpm.result="", "", _xlpm.result)
   )
)</f>
        <v/>
      </c>
      <c r="K478" s="27" t="str" cm="1">
        <f t="array" ref="K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8" s="27" t="str" cm="1">
        <f t="array" ref="L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8" s="27" t="str" cm="1">
        <f t="array" ref="M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8" s="28" t="str" cm="1">
        <f t="array" ref="N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8" s="28" t="str" cm="1">
        <f t="array" ref="O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8" s="27" t="str" cm="1">
        <f t="array" ref="P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Table8[جهة العطل]
         ),
         ""
      ),
      IF(_xlpm.result="", "", _xlpm.result)
   )
)</f>
        <v/>
      </c>
      <c r="Q478" s="27" t="str" cm="1">
        <f t="array" ref="Q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Table8[المركز]
         ),
         ""
      ),
      IF(_xlpm.result="", "", _xlpm.result)
   )
)</f>
        <v/>
      </c>
      <c r="R478" s="27" t="str" cm="1">
        <f t="array" ref="R478">IF(
   A478="",
   "",
   _xlfn.LET(
      _xlpm.result,
      IFERROR(
         _xlfn.XLOOKUP(
            1,
            (Table8[رقم الصنف]=A478) *
            (IF($B$9="الكل",1, YEAR('ادخال البيانات'!$N$3:$N$1164) = VALUE($B$9))) *
            (IF($B$10="الكل",1, MONTH('ادخال البيانات'!$N$3:$N$1164) = VALUE($B$10))) *
            (IF($B$11="الكل",1, INT((DAY('ادخال البيانات'!$N$3:$N$1164) - 1) / 7) + 1 = VALUE($B$11))),
            Table8[ملاحظة]
         ),
         ""
      ),
      IF(_xlpm.result="", "", _xlpm.result)
   )
)</f>
        <v/>
      </c>
      <c r="S478" s="27" t="str">
        <f t="shared" ca="1" si="7"/>
        <v/>
      </c>
    </row>
    <row r="479" spans="1:19" ht="27.75" customHeight="1" thickTop="1" thickBot="1" x14ac:dyDescent="0.35">
      <c r="A479" s="39"/>
      <c r="B479" s="50" t="str" cm="1">
        <f t="array" ref="B479">IF(
   OR(A479="", $B$9="", $B$10="", $B$11=""),
   "",
   _xlfn.LET(
      _xlpm.result,
      IFERROR(
         _xlfn.XLOOKUP(
            1,
            (Table8[رقم الصنف]=A479)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79" s="27" t="str" cm="1">
        <f t="array" ref="C479">IF(
   A479="",
   "",
   _xlfn.LET(
      _xlpm.result,
      IFERROR(
         _xlfn.XLOOKUP(
            1,
            (Table8[رقم الصنف]=A479) *
            (IF($B$9="الكل",1, YEAR('ادخال البيانات'!$N$3:$N$1164) = VALUE($B$9))) *
            (IF($B$10="الكل",1, MONTH('ادخال البيانات'!$N$3:$N$1164) = VALUE($B$10))) *
            (IF($B$11="الكل",1, INT((DAY('ادخال البيانات'!$N$3:$N$1164)-1)/7)+1 = VALUE($B$11))),
            'ادخال البيانات'!$C$3:$C$1164
         ),
         ""
      ),
      IF(_xlpm.result="", "", _xlpm.result)
   )
)</f>
        <v/>
      </c>
      <c r="D479" s="27" t="str" cm="1">
        <f t="array" ref="D479">IF(
   OR(A479="", $B$9="", $B$10="", $B$11=""),
   "",
   _xlfn.LET(
      _xlpm.result,
      IFERROR(
         _xlfn.XLOOKUP(
            1,
            (Table8[رقم الصنف]=A479) *
            (IF($B$9="الكل",1, YEAR('ادخال البيانات'!$N$3:$N$1164)=VALUE($B$9))) *
            (IF($B$10="الكل",1, MONTH('ادخال البيانات'!$N$3:$N$1164)=VALUE($B$10))) *
            (IF($B$11="الكل",1, INT((DAY('ادخال البيانات'!$N$3:$N$1164)-1)/7)+1 = VALUE($B$11))),
            'ادخال البيانات'!$D$3:$D$1164
         ),
         ""
      ),
      IF(_xlpm.result="", "", _xlpm.result)
   )
)</f>
        <v/>
      </c>
      <c r="E479" s="27" t="str" cm="1">
        <f t="array" ref="E479">IF(
   A479="",
   "",
   _xlfn.LET(
      _xlpm.result,
      IFERROR(
         _xlfn.XLOOKUP(
            1,
            (Table8[رقم الصنف]=A479) *
            (IF($B$9="الكل",1, YEAR('ادخال البيانات'!$N$3:$N$1164)=VALUE($B$9))) *
            (IF($B$10="الكل",1, MONTH('ادخال البيانات'!$N$3:$N$1164)=VALUE($B$10))) *
            (IF($B$11="الكل",1, INT((DAY('ادخال البيانات'!$N$3:$N$1164)-1)/7)+1 = VALUE($B$11))),
            'ادخال البيانات'!$E$3:$E$1164
         ),
         ""
      ),
      IF(_xlpm.result="", "", _xlpm.result)
   )
)</f>
        <v/>
      </c>
      <c r="F479" s="27" t="str" cm="1">
        <f t="array" ref="F479">IF(
   A479="",
   "",
   _xlfn.LET(
      _xlpm.result,
      IFERROR(
         _xlfn.XLOOKUP(
            1,
            (Table8[رقم الصنف]=A479) *
            (IF($B$9="الكل",1, YEAR('ادخال البيانات'!$N$3:$N$1164) = VALUE($B$9))) *
            (IF($B$10="الكل",1, MONTH('ادخال البيانات'!$N$3:$N$1164) = VALUE($B$10))) *
            (IF($B$11="الكل",1, INT((DAY('ادخال البيانات'!$N$3:$N$1164)-1)/7)+1 = VALUE($B$11))),
            'ادخال البيانات'!$F$3:$F$1164
         ),
         ""
      ),
      IF(_xlpm.result="", "", _xlpm.result)
   )
)</f>
        <v/>
      </c>
      <c r="G479" s="27" t="str" cm="1">
        <f t="array" ref="G479">IF(
   A479="",
   "",
   _xlfn.LET(
      _xlpm.result,
      IFERROR(
         _xlfn.XLOOKUP(
            1,
            (Table8[رقم الصنف]=A479) *
            (IF($B$9="الكل",1, YEAR('ادخال البيانات'!$N$3:$N$1164)=VALUE($B$9))) *
            (IF($B$10="الكل",1, MONTH('ادخال البيانات'!$N$3:$N$1164)=VALUE($B$10))) *
            (IF($B$11="الكل",1, INT((DAY('ادخال البيانات'!$N$3:$N$1164)-1)/7)+1 = VALUE($B$11))),
            'ادخال البيانات'!$G$3:$G$1164
         ),
         ""
      ),
      IF(_xlpm.result="", "", _xlpm.result)
   )
)</f>
        <v/>
      </c>
      <c r="H479" s="27" t="str" cm="1">
        <f t="array" ref="H479">IF(
   A479="",
   "",
   _xlfn.LET(
      _xlpm.result,
      IFERROR(
         _xlfn.XLOOKUP(
            1,
            (Table8[رقم الصنف]=A479) *
            (IF($B$9="الكل",1, YEAR('ادخال البيانات'!$N$3:$N$1164)=VALUE($B$9))) *
            (IF($B$10="الكل",1, MONTH('ادخال البيانات'!$N$3:$N$1164)=VALUE($B$10))) *
            (IF($B$11="الكل",1, INT((DAY('ادخال البيانات'!$N$3:$N$1164)-1)/7)+1 = VALUE($B$11))),
            'ادخال البيانات'!$H$3:$H$1164
         ),
         ""
      ),
      IF(_xlpm.result="", "", _xlpm.result)
   )
)</f>
        <v/>
      </c>
      <c r="I479" s="27" t="str" cm="1">
        <f t="array" ref="I479">IF(
   A479="",
   "",
   _xlfn.LET(
      _xlpm.result,
      IFERROR(
         _xlfn.XLOOKUP(
            1,
            (Table8[رقم الصنف]=A479) *
            (IF($B$9="الكل",1, YEAR('ادخال البيانات'!$N$3:$N$1164)=VALUE($B$9))) *
            (IF($B$10="الكل",1, MONTH('ادخال البيانات'!$N$3:$N$1164)=VALUE($B$10))) *
            (IF($B$11="الكل",1, INT((DAY('ادخال البيانات'!$N$3:$N$1164)-1)/7)+1 = VALUE($B$11))),
            'ادخال البيانات'!$I$3:$I$1164
         ),
         ""
      ),
      IF(_xlpm.result="", "", _xlpm.result)
   )
)</f>
        <v/>
      </c>
      <c r="J479" s="27" t="str" cm="1">
        <f t="array" ref="J479">IF(
   A479="",
   "",
   _xlfn.LET(
      _xlpm.result,
      IFERROR(
         _xlfn.XLOOKUP(
            1,
            (Table8[رقم الصنف]=A479) *
            (IF($B$9="الكل",1, YEAR('ادخال البيانات'!$N$3:$N$1164)=VALUE($B$9))) *
            (IF($B$10="الكل",1, MONTH('ادخال البيانات'!$N$3:$N$1164)=VALUE($B$10))) *
            (IF($B$11="الكل",1, INT((DAY('ادخال البيانات'!$N$3:$N$1164)-1)/7)+1 = VALUE($B$11))),
            'ادخال البيانات'!$J$3:$J$1164
         ),
         ""
      ),
      IF(_xlpm.result="", "", _xlpm.result)
   )
)</f>
        <v/>
      </c>
      <c r="K479" s="27" t="str" cm="1">
        <f t="array" ref="K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79" s="27" t="str" cm="1">
        <f t="array" ref="L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79" s="27" t="str" cm="1">
        <f t="array" ref="M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79" s="28" t="str" cm="1">
        <f t="array" ref="N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79" s="28" t="str" cm="1">
        <f t="array" ref="O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79" s="27" t="str" cm="1">
        <f t="array" ref="P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Table8[جهة العطل]
         ),
         ""
      ),
      IF(_xlpm.result="", "", _xlpm.result)
   )
)</f>
        <v/>
      </c>
      <c r="Q479" s="27" t="str" cm="1">
        <f t="array" ref="Q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Table8[المركز]
         ),
         ""
      ),
      IF(_xlpm.result="", "", _xlpm.result)
   )
)</f>
        <v/>
      </c>
      <c r="R479" s="27" t="str" cm="1">
        <f t="array" ref="R479">IF(
   A479="",
   "",
   _xlfn.LET(
      _xlpm.result,
      IFERROR(
         _xlfn.XLOOKUP(
            1,
            (Table8[رقم الصنف]=A479) *
            (IF($B$9="الكل",1, YEAR('ادخال البيانات'!$N$3:$N$1164) = VALUE($B$9))) *
            (IF($B$10="الكل",1, MONTH('ادخال البيانات'!$N$3:$N$1164) = VALUE($B$10))) *
            (IF($B$11="الكل",1, INT((DAY('ادخال البيانات'!$N$3:$N$1164) - 1) / 7) + 1 = VALUE($B$11))),
            Table8[ملاحظة]
         ),
         ""
      ),
      IF(_xlpm.result="", "", _xlpm.result)
   )
)</f>
        <v/>
      </c>
      <c r="S479" s="27" t="str">
        <f t="shared" ca="1" si="7"/>
        <v/>
      </c>
    </row>
    <row r="480" spans="1:19" ht="27.75" customHeight="1" thickTop="1" thickBot="1" x14ac:dyDescent="0.35">
      <c r="A480" s="39"/>
      <c r="B480" s="50" t="str" cm="1">
        <f t="array" ref="B480">IF(
   OR(A480="", $B$9="", $B$10="", $B$11=""),
   "",
   _xlfn.LET(
      _xlpm.result,
      IFERROR(
         _xlfn.XLOOKUP(
            1,
            (Table8[رقم الصنف]=A480)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0" s="27" t="str" cm="1">
        <f t="array" ref="C480">IF(
   A480="",
   "",
   _xlfn.LET(
      _xlpm.result,
      IFERROR(
         _xlfn.XLOOKUP(
            1,
            (Table8[رقم الصنف]=A480) *
            (IF($B$9="الكل",1, YEAR('ادخال البيانات'!$N$3:$N$1164) = VALUE($B$9))) *
            (IF($B$10="الكل",1, MONTH('ادخال البيانات'!$N$3:$N$1164) = VALUE($B$10))) *
            (IF($B$11="الكل",1, INT((DAY('ادخال البيانات'!$N$3:$N$1164)-1)/7)+1 = VALUE($B$11))),
            'ادخال البيانات'!$C$3:$C$1164
         ),
         ""
      ),
      IF(_xlpm.result="", "", _xlpm.result)
   )
)</f>
        <v/>
      </c>
      <c r="D480" s="27" t="str" cm="1">
        <f t="array" ref="D480">IF(
   OR(A480="", $B$9="", $B$10="", $B$11=""),
   "",
   _xlfn.LET(
      _xlpm.result,
      IFERROR(
         _xlfn.XLOOKUP(
            1,
            (Table8[رقم الصنف]=A480) *
            (IF($B$9="الكل",1, YEAR('ادخال البيانات'!$N$3:$N$1164)=VALUE($B$9))) *
            (IF($B$10="الكل",1, MONTH('ادخال البيانات'!$N$3:$N$1164)=VALUE($B$10))) *
            (IF($B$11="الكل",1, INT((DAY('ادخال البيانات'!$N$3:$N$1164)-1)/7)+1 = VALUE($B$11))),
            'ادخال البيانات'!$D$3:$D$1164
         ),
         ""
      ),
      IF(_xlpm.result="", "", _xlpm.result)
   )
)</f>
        <v/>
      </c>
      <c r="E480" s="27" t="str" cm="1">
        <f t="array" ref="E480">IF(
   A480="",
   "",
   _xlfn.LET(
      _xlpm.result,
      IFERROR(
         _xlfn.XLOOKUP(
            1,
            (Table8[رقم الصنف]=A480) *
            (IF($B$9="الكل",1, YEAR('ادخال البيانات'!$N$3:$N$1164)=VALUE($B$9))) *
            (IF($B$10="الكل",1, MONTH('ادخال البيانات'!$N$3:$N$1164)=VALUE($B$10))) *
            (IF($B$11="الكل",1, INT((DAY('ادخال البيانات'!$N$3:$N$1164)-1)/7)+1 = VALUE($B$11))),
            'ادخال البيانات'!$E$3:$E$1164
         ),
         ""
      ),
      IF(_xlpm.result="", "", _xlpm.result)
   )
)</f>
        <v/>
      </c>
      <c r="F480" s="27" t="str" cm="1">
        <f t="array" ref="F480">IF(
   A480="",
   "",
   _xlfn.LET(
      _xlpm.result,
      IFERROR(
         _xlfn.XLOOKUP(
            1,
            (Table8[رقم الصنف]=A480) *
            (IF($B$9="الكل",1, YEAR('ادخال البيانات'!$N$3:$N$1164) = VALUE($B$9))) *
            (IF($B$10="الكل",1, MONTH('ادخال البيانات'!$N$3:$N$1164) = VALUE($B$10))) *
            (IF($B$11="الكل",1, INT((DAY('ادخال البيانات'!$N$3:$N$1164)-1)/7)+1 = VALUE($B$11))),
            'ادخال البيانات'!$F$3:$F$1164
         ),
         ""
      ),
      IF(_xlpm.result="", "", _xlpm.result)
   )
)</f>
        <v/>
      </c>
      <c r="G480" s="27" t="str" cm="1">
        <f t="array" ref="G480">IF(
   A480="",
   "",
   _xlfn.LET(
      _xlpm.result,
      IFERROR(
         _xlfn.XLOOKUP(
            1,
            (Table8[رقم الصنف]=A480) *
            (IF($B$9="الكل",1, YEAR('ادخال البيانات'!$N$3:$N$1164)=VALUE($B$9))) *
            (IF($B$10="الكل",1, MONTH('ادخال البيانات'!$N$3:$N$1164)=VALUE($B$10))) *
            (IF($B$11="الكل",1, INT((DAY('ادخال البيانات'!$N$3:$N$1164)-1)/7)+1 = VALUE($B$11))),
            'ادخال البيانات'!$G$3:$G$1164
         ),
         ""
      ),
      IF(_xlpm.result="", "", _xlpm.result)
   )
)</f>
        <v/>
      </c>
      <c r="H480" s="27" t="str" cm="1">
        <f t="array" ref="H480">IF(
   A480="",
   "",
   _xlfn.LET(
      _xlpm.result,
      IFERROR(
         _xlfn.XLOOKUP(
            1,
            (Table8[رقم الصنف]=A480) *
            (IF($B$9="الكل",1, YEAR('ادخال البيانات'!$N$3:$N$1164)=VALUE($B$9))) *
            (IF($B$10="الكل",1, MONTH('ادخال البيانات'!$N$3:$N$1164)=VALUE($B$10))) *
            (IF($B$11="الكل",1, INT((DAY('ادخال البيانات'!$N$3:$N$1164)-1)/7)+1 = VALUE($B$11))),
            'ادخال البيانات'!$H$3:$H$1164
         ),
         ""
      ),
      IF(_xlpm.result="", "", _xlpm.result)
   )
)</f>
        <v/>
      </c>
      <c r="I480" s="27" t="str" cm="1">
        <f t="array" ref="I480">IF(
   A480="",
   "",
   _xlfn.LET(
      _xlpm.result,
      IFERROR(
         _xlfn.XLOOKUP(
            1,
            (Table8[رقم الصنف]=A480) *
            (IF($B$9="الكل",1, YEAR('ادخال البيانات'!$N$3:$N$1164)=VALUE($B$9))) *
            (IF($B$10="الكل",1, MONTH('ادخال البيانات'!$N$3:$N$1164)=VALUE($B$10))) *
            (IF($B$11="الكل",1, INT((DAY('ادخال البيانات'!$N$3:$N$1164)-1)/7)+1 = VALUE($B$11))),
            'ادخال البيانات'!$I$3:$I$1164
         ),
         ""
      ),
      IF(_xlpm.result="", "", _xlpm.result)
   )
)</f>
        <v/>
      </c>
      <c r="J480" s="27" t="str" cm="1">
        <f t="array" ref="J480">IF(
   A480="",
   "",
   _xlfn.LET(
      _xlpm.result,
      IFERROR(
         _xlfn.XLOOKUP(
            1,
            (Table8[رقم الصنف]=A480) *
            (IF($B$9="الكل",1, YEAR('ادخال البيانات'!$N$3:$N$1164)=VALUE($B$9))) *
            (IF($B$10="الكل",1, MONTH('ادخال البيانات'!$N$3:$N$1164)=VALUE($B$10))) *
            (IF($B$11="الكل",1, INT((DAY('ادخال البيانات'!$N$3:$N$1164)-1)/7)+1 = VALUE($B$11))),
            'ادخال البيانات'!$J$3:$J$1164
         ),
         ""
      ),
      IF(_xlpm.result="", "", _xlpm.result)
   )
)</f>
        <v/>
      </c>
      <c r="K480" s="27" t="str" cm="1">
        <f t="array" ref="K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0" s="27" t="str" cm="1">
        <f t="array" ref="L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0" s="27" t="str" cm="1">
        <f t="array" ref="M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0" s="28" t="str" cm="1">
        <f t="array" ref="N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0" s="28" t="str" cm="1">
        <f t="array" ref="O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0" s="27" t="str" cm="1">
        <f t="array" ref="P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Table8[جهة العطل]
         ),
         ""
      ),
      IF(_xlpm.result="", "", _xlpm.result)
   )
)</f>
        <v/>
      </c>
      <c r="Q480" s="27" t="str" cm="1">
        <f t="array" ref="Q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Table8[المركز]
         ),
         ""
      ),
      IF(_xlpm.result="", "", _xlpm.result)
   )
)</f>
        <v/>
      </c>
      <c r="R480" s="27" t="str" cm="1">
        <f t="array" ref="R480">IF(
   A480="",
   "",
   _xlfn.LET(
      _xlpm.result,
      IFERROR(
         _xlfn.XLOOKUP(
            1,
            (Table8[رقم الصنف]=A480) *
            (IF($B$9="الكل",1, YEAR('ادخال البيانات'!$N$3:$N$1164) = VALUE($B$9))) *
            (IF($B$10="الكل",1, MONTH('ادخال البيانات'!$N$3:$N$1164) = VALUE($B$10))) *
            (IF($B$11="الكل",1, INT((DAY('ادخال البيانات'!$N$3:$N$1164) - 1) / 7) + 1 = VALUE($B$11))),
            Table8[ملاحظة]
         ),
         ""
      ),
      IF(_xlpm.result="", "", _xlpm.result)
   )
)</f>
        <v/>
      </c>
      <c r="S480" s="27" t="str">
        <f t="shared" ca="1" si="7"/>
        <v/>
      </c>
    </row>
    <row r="481" spans="1:19" ht="27.75" customHeight="1" thickTop="1" thickBot="1" x14ac:dyDescent="0.35">
      <c r="A481" s="39"/>
      <c r="B481" s="50" t="str" cm="1">
        <f t="array" ref="B481">IF(
   OR(A481="", $B$9="", $B$10="", $B$11=""),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1" s="27" t="str" cm="1">
        <f t="array" ref="C481">IF(
   A481="",
   "",
   _xlfn.LET(
      _xlpm.result,
      IFERROR(
         _xlfn.XLOOKUP(
            1,
            (Table8[رقم الصنف]=A481) *
            (IF($B$9="الكل",1, YEAR('ادخال البيانات'!$N$3:$N$1164) = VALUE($B$9))) *
            (IF($B$10="الكل",1, MONTH('ادخال البيانات'!$N$3:$N$1164) = VALUE($B$10))) *
            (IF($B$11="الكل",1, INT((DAY('ادخال البيانات'!$N$3:$N$1164)-1)/7)+1 = VALUE($B$11))),
            'ادخال البيانات'!$C$3:$C$1164
         ),
         ""
      ),
      IF(_xlpm.result="", "", _xlpm.result)
   )
)</f>
        <v/>
      </c>
      <c r="D481" s="27" t="str" cm="1">
        <f t="array" ref="D481">IF(
   OR(A481="", $B$9="", $B$10="", $B$11=""),
   "",
   _xlfn.LET(
      _xlpm.result,
      IFERROR(
         _xlfn.XLOOKUP(
            1,
            (Table8[رقم الصنف]=A481) *
            (IF($B$9="الكل",1, YEAR('ادخال البيانات'!$N$3:$N$1164)=VALUE($B$9))) *
            (IF($B$10="الكل",1, MONTH('ادخال البيانات'!$N$3:$N$1164)=VALUE($B$10))) *
            (IF($B$11="الكل",1, INT((DAY('ادخال البيانات'!$N$3:$N$1164)-1)/7)+1 = VALUE($B$11))),
            'ادخال البيانات'!$D$3:$D$1164
         ),
         ""
      ),
      IF(_xlpm.result="", "", _xlpm.result)
   )
)</f>
        <v/>
      </c>
      <c r="E481" s="27" t="str" cm="1">
        <f t="array" ref="E481">IF(
   A481="",
   "",
   _xlfn.LET(
      _xlpm.result,
      IFERROR(
         _xlfn.XLOOKUP(
            1,
            (Table8[رقم الصنف]=A481) *
            (IF($B$9="الكل",1, YEAR('ادخال البيانات'!$N$3:$N$1164)=VALUE($B$9))) *
            (IF($B$10="الكل",1, MONTH('ادخال البيانات'!$N$3:$N$1164)=VALUE($B$10))) *
            (IF($B$11="الكل",1, INT((DAY('ادخال البيانات'!$N$3:$N$1164)-1)/7)+1 = VALUE($B$11))),
            'ادخال البيانات'!$E$3:$E$1164
         ),
         ""
      ),
      IF(_xlpm.result="", "", _xlpm.result)
   )
)</f>
        <v/>
      </c>
      <c r="F481" s="27" t="str" cm="1">
        <f t="array" ref="F481">IF(
   A481="",
   "",
   _xlfn.LET(
      _xlpm.result,
      IFERROR(
         _xlfn.XLOOKUP(
            1,
            (Table8[رقم الصنف]=A481) *
            (IF($B$9="الكل",1, YEAR('ادخال البيانات'!$N$3:$N$1164) = VALUE($B$9))) *
            (IF($B$10="الكل",1, MONTH('ادخال البيانات'!$N$3:$N$1164) = VALUE($B$10))) *
            (IF($B$11="الكل",1, INT((DAY('ادخال البيانات'!$N$3:$N$1164)-1)/7)+1 = VALUE($B$11))),
            'ادخال البيانات'!$F$3:$F$1164
         ),
         ""
      ),
      IF(_xlpm.result="", "", _xlpm.result)
   )
)</f>
        <v/>
      </c>
      <c r="G481" s="27" t="str" cm="1">
        <f t="array" ref="G481">IF(
   A481="",
   "",
   _xlfn.LET(
      _xlpm.result,
      IFERROR(
         _xlfn.XLOOKUP(
            1,
            (Table8[رقم الصنف]=A481) *
            (IF($B$9="الكل",1, YEAR('ادخال البيانات'!$N$3:$N$1164)=VALUE($B$9))) *
            (IF($B$10="الكل",1, MONTH('ادخال البيانات'!$N$3:$N$1164)=VALUE($B$10))) *
            (IF($B$11="الكل",1, INT((DAY('ادخال البيانات'!$N$3:$N$1164)-1)/7)+1 = VALUE($B$11))),
            'ادخال البيانات'!$G$3:$G$1164
         ),
         ""
      ),
      IF(_xlpm.result="", "", _xlpm.result)
   )
)</f>
        <v/>
      </c>
      <c r="H481" s="27" t="str" cm="1">
        <f t="array" ref="H481">IF(
   A481="",
   "",
   _xlfn.LET(
      _xlpm.result,
      IFERROR(
         _xlfn.XLOOKUP(
            1,
            (Table8[رقم الصنف]=A481) *
            (IF($B$9="الكل",1, YEAR('ادخال البيانات'!$N$3:$N$1164)=VALUE($B$9))) *
            (IF($B$10="الكل",1, MONTH('ادخال البيانات'!$N$3:$N$1164)=VALUE($B$10))) *
            (IF($B$11="الكل",1, INT((DAY('ادخال البيانات'!$N$3:$N$1164)-1)/7)+1 = VALUE($B$11))),
            'ادخال البيانات'!$H$3:$H$1164
         ),
         ""
      ),
      IF(_xlpm.result="", "", _xlpm.result)
   )
)</f>
        <v/>
      </c>
      <c r="I481" s="27" t="str" cm="1">
        <f t="array" ref="I481">IF(
   A481="",
   "",
   _xlfn.LET(
      _xlpm.result,
      IFERROR(
         _xlfn.XLOOKUP(
            1,
            (Table8[رقم الصنف]=A481) *
            (IF($B$9="الكل",1, YEAR('ادخال البيانات'!$N$3:$N$1164)=VALUE($B$9))) *
            (IF($B$10="الكل",1, MONTH('ادخال البيانات'!$N$3:$N$1164)=VALUE($B$10))) *
            (IF($B$11="الكل",1, INT((DAY('ادخال البيانات'!$N$3:$N$1164)-1)/7)+1 = VALUE($B$11))),
            'ادخال البيانات'!$I$3:$I$1164
         ),
         ""
      ),
      IF(_xlpm.result="", "", _xlpm.result)
   )
)</f>
        <v/>
      </c>
      <c r="J481" s="27" t="str" cm="1">
        <f t="array" ref="J481">IF(
   A481="",
   "",
   _xlfn.LET(
      _xlpm.result,
      IFERROR(
         _xlfn.XLOOKUP(
            1,
            (Table8[رقم الصنف]=A481) *
            (IF($B$9="الكل",1, YEAR('ادخال البيانات'!$N$3:$N$1164)=VALUE($B$9))) *
            (IF($B$10="الكل",1, MONTH('ادخال البيانات'!$N$3:$N$1164)=VALUE($B$10))) *
            (IF($B$11="الكل",1, INT((DAY('ادخال البيانات'!$N$3:$N$1164)-1)/7)+1 = VALUE($B$11))),
            'ادخال البيانات'!$J$3:$J$1164
         ),
         ""
      ),
      IF(_xlpm.result="", "", _xlpm.result)
   )
)</f>
        <v/>
      </c>
      <c r="K481" s="27" t="str" cm="1">
        <f t="array" ref="K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1" s="27" t="str" cm="1">
        <f t="array" ref="L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1" s="27" t="str" cm="1">
        <f t="array" ref="M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1" s="28" t="str" cm="1">
        <f t="array" ref="N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1" s="28" t="str" cm="1">
        <f t="array" ref="O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1" s="27" t="str" cm="1">
        <f t="array" ref="P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Table8[جهة العطل]
         ),
         ""
      ),
      IF(_xlpm.result="", "", _xlpm.result)
   )
)</f>
        <v/>
      </c>
      <c r="Q481" s="27" t="str" cm="1">
        <f t="array" ref="Q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Table8[المركز]
         ),
         ""
      ),
      IF(_xlpm.result="", "", _xlpm.result)
   )
)</f>
        <v/>
      </c>
      <c r="R481" s="27" t="str" cm="1">
        <f t="array" ref="R481">IF(
   A481="",
   "",
   _xlfn.LET(
      _xlpm.result,
      IFERROR(
         _xlfn.XLOOKUP(
            1,
            (Table8[رقم الصنف]=A481) *
            (IF($B$9="الكل",1, YEAR('ادخال البيانات'!$N$3:$N$1164) = VALUE($B$9))) *
            (IF($B$10="الكل",1, MONTH('ادخال البيانات'!$N$3:$N$1164) = VALUE($B$10))) *
            (IF($B$11="الكل",1, INT((DAY('ادخال البيانات'!$N$3:$N$1164) - 1) / 7) + 1 = VALUE($B$11))),
            Table8[ملاحظة]
         ),
         ""
      ),
      IF(_xlpm.result="", "", _xlpm.result)
   )
)</f>
        <v/>
      </c>
      <c r="S481" s="27" t="str">
        <f t="shared" ca="1" si="7"/>
        <v/>
      </c>
    </row>
    <row r="482" spans="1:19" ht="27.75" customHeight="1" thickTop="1" thickBot="1" x14ac:dyDescent="0.35">
      <c r="A482" s="39"/>
      <c r="B482" s="50" t="str" cm="1">
        <f t="array" ref="B482">IF(
   OR(A482="", $B$9="", $B$10="", $B$11=""),
   "",
   _xlfn.LET(
      _xlpm.result,
      IFERROR(
         _xlfn.XLOOKUP(
            1,
            (Table8[رقم الصنف]=A482)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2" s="27" t="str" cm="1">
        <f t="array" ref="C482">IF(
   A482="",
   "",
   _xlfn.LET(
      _xlpm.result,
      IFERROR(
         _xlfn.XLOOKUP(
            1,
            (Table8[رقم الصنف]=A482) *
            (IF($B$9="الكل",1, YEAR('ادخال البيانات'!$N$3:$N$1164) = VALUE($B$9))) *
            (IF($B$10="الكل",1, MONTH('ادخال البيانات'!$N$3:$N$1164) = VALUE($B$10))) *
            (IF($B$11="الكل",1, INT((DAY('ادخال البيانات'!$N$3:$N$1164)-1)/7)+1 = VALUE($B$11))),
            'ادخال البيانات'!$C$3:$C$1164
         ),
         ""
      ),
      IF(_xlpm.result="", "", _xlpm.result)
   )
)</f>
        <v/>
      </c>
      <c r="D482" s="27" t="str" cm="1">
        <f t="array" ref="D482">IF(
   OR(A482="", $B$9="", $B$10="", $B$11=""),
   "",
   _xlfn.LET(
      _xlpm.result,
      IFERROR(
         _xlfn.XLOOKUP(
            1,
            (Table8[رقم الصنف]=A482) *
            (IF($B$9="الكل",1, YEAR('ادخال البيانات'!$N$3:$N$1164)=VALUE($B$9))) *
            (IF($B$10="الكل",1, MONTH('ادخال البيانات'!$N$3:$N$1164)=VALUE($B$10))) *
            (IF($B$11="الكل",1, INT((DAY('ادخال البيانات'!$N$3:$N$1164)-1)/7)+1 = VALUE($B$11))),
            'ادخال البيانات'!$D$3:$D$1164
         ),
         ""
      ),
      IF(_xlpm.result="", "", _xlpm.result)
   )
)</f>
        <v/>
      </c>
      <c r="E482" s="27" t="str" cm="1">
        <f t="array" ref="E482">IF(
   A482="",
   "",
   _xlfn.LET(
      _xlpm.result,
      IFERROR(
         _xlfn.XLOOKUP(
            1,
            (Table8[رقم الصنف]=A482) *
            (IF($B$9="الكل",1, YEAR('ادخال البيانات'!$N$3:$N$1164)=VALUE($B$9))) *
            (IF($B$10="الكل",1, MONTH('ادخال البيانات'!$N$3:$N$1164)=VALUE($B$10))) *
            (IF($B$11="الكل",1, INT((DAY('ادخال البيانات'!$N$3:$N$1164)-1)/7)+1 = VALUE($B$11))),
            'ادخال البيانات'!$E$3:$E$1164
         ),
         ""
      ),
      IF(_xlpm.result="", "", _xlpm.result)
   )
)</f>
        <v/>
      </c>
      <c r="F482" s="27" t="str" cm="1">
        <f t="array" ref="F482">IF(
   A482="",
   "",
   _xlfn.LET(
      _xlpm.result,
      IFERROR(
         _xlfn.XLOOKUP(
            1,
            (Table8[رقم الصنف]=A482) *
            (IF($B$9="الكل",1, YEAR('ادخال البيانات'!$N$3:$N$1164) = VALUE($B$9))) *
            (IF($B$10="الكل",1, MONTH('ادخال البيانات'!$N$3:$N$1164) = VALUE($B$10))) *
            (IF($B$11="الكل",1, INT((DAY('ادخال البيانات'!$N$3:$N$1164)-1)/7)+1 = VALUE($B$11))),
            'ادخال البيانات'!$F$3:$F$1164
         ),
         ""
      ),
      IF(_xlpm.result="", "", _xlpm.result)
   )
)</f>
        <v/>
      </c>
      <c r="G482" s="27" t="str" cm="1">
        <f t="array" ref="G482">IF(
   A482="",
   "",
   _xlfn.LET(
      _xlpm.result,
      IFERROR(
         _xlfn.XLOOKUP(
            1,
            (Table8[رقم الصنف]=A482) *
            (IF($B$9="الكل",1, YEAR('ادخال البيانات'!$N$3:$N$1164)=VALUE($B$9))) *
            (IF($B$10="الكل",1, MONTH('ادخال البيانات'!$N$3:$N$1164)=VALUE($B$10))) *
            (IF($B$11="الكل",1, INT((DAY('ادخال البيانات'!$N$3:$N$1164)-1)/7)+1 = VALUE($B$11))),
            'ادخال البيانات'!$G$3:$G$1164
         ),
         ""
      ),
      IF(_xlpm.result="", "", _xlpm.result)
   )
)</f>
        <v/>
      </c>
      <c r="H482" s="27" t="str" cm="1">
        <f t="array" ref="H482">IF(
   A482="",
   "",
   _xlfn.LET(
      _xlpm.result,
      IFERROR(
         _xlfn.XLOOKUP(
            1,
            (Table8[رقم الصنف]=A482) *
            (IF($B$9="الكل",1, YEAR('ادخال البيانات'!$N$3:$N$1164)=VALUE($B$9))) *
            (IF($B$10="الكل",1, MONTH('ادخال البيانات'!$N$3:$N$1164)=VALUE($B$10))) *
            (IF($B$11="الكل",1, INT((DAY('ادخال البيانات'!$N$3:$N$1164)-1)/7)+1 = VALUE($B$11))),
            'ادخال البيانات'!$H$3:$H$1164
         ),
         ""
      ),
      IF(_xlpm.result="", "", _xlpm.result)
   )
)</f>
        <v/>
      </c>
      <c r="I482" s="27" t="str" cm="1">
        <f t="array" ref="I482">IF(
   A482="",
   "",
   _xlfn.LET(
      _xlpm.result,
      IFERROR(
         _xlfn.XLOOKUP(
            1,
            (Table8[رقم الصنف]=A482) *
            (IF($B$9="الكل",1, YEAR('ادخال البيانات'!$N$3:$N$1164)=VALUE($B$9))) *
            (IF($B$10="الكل",1, MONTH('ادخال البيانات'!$N$3:$N$1164)=VALUE($B$10))) *
            (IF($B$11="الكل",1, INT((DAY('ادخال البيانات'!$N$3:$N$1164)-1)/7)+1 = VALUE($B$11))),
            'ادخال البيانات'!$I$3:$I$1164
         ),
         ""
      ),
      IF(_xlpm.result="", "", _xlpm.result)
   )
)</f>
        <v/>
      </c>
      <c r="J482" s="27" t="str" cm="1">
        <f t="array" ref="J482">IF(
   A482="",
   "",
   _xlfn.LET(
      _xlpm.result,
      IFERROR(
         _xlfn.XLOOKUP(
            1,
            (Table8[رقم الصنف]=A482) *
            (IF($B$9="الكل",1, YEAR('ادخال البيانات'!$N$3:$N$1164)=VALUE($B$9))) *
            (IF($B$10="الكل",1, MONTH('ادخال البيانات'!$N$3:$N$1164)=VALUE($B$10))) *
            (IF($B$11="الكل",1, INT((DAY('ادخال البيانات'!$N$3:$N$1164)-1)/7)+1 = VALUE($B$11))),
            'ادخال البيانات'!$J$3:$J$1164
         ),
         ""
      ),
      IF(_xlpm.result="", "", _xlpm.result)
   )
)</f>
        <v/>
      </c>
      <c r="K482" s="27" t="str" cm="1">
        <f t="array" ref="K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2" s="27" t="str" cm="1">
        <f t="array" ref="L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2" s="27" t="str" cm="1">
        <f t="array" ref="M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2" s="28" t="str" cm="1">
        <f t="array" ref="N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2" s="28" t="str" cm="1">
        <f t="array" ref="O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2" s="27" t="str" cm="1">
        <f t="array" ref="P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Table8[جهة العطل]
         ),
         ""
      ),
      IF(_xlpm.result="", "", _xlpm.result)
   )
)</f>
        <v/>
      </c>
      <c r="Q482" s="27" t="str" cm="1">
        <f t="array" ref="Q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Table8[المركز]
         ),
         ""
      ),
      IF(_xlpm.result="", "", _xlpm.result)
   )
)</f>
        <v/>
      </c>
      <c r="R482" s="27" t="str" cm="1">
        <f t="array" ref="R482">IF(
   A482="",
   "",
   _xlfn.LET(
      _xlpm.result,
      IFERROR(
         _xlfn.XLOOKUP(
            1,
            (Table8[رقم الصنف]=A482) *
            (IF($B$9="الكل",1, YEAR('ادخال البيانات'!$N$3:$N$1164) = VALUE($B$9))) *
            (IF($B$10="الكل",1, MONTH('ادخال البيانات'!$N$3:$N$1164) = VALUE($B$10))) *
            (IF($B$11="الكل",1, INT((DAY('ادخال البيانات'!$N$3:$N$1164) - 1) / 7) + 1 = VALUE($B$11))),
            Table8[ملاحظة]
         ),
         ""
      ),
      IF(_xlpm.result="", "", _xlpm.result)
   )
)</f>
        <v/>
      </c>
      <c r="S482" s="27" t="str">
        <f t="shared" ca="1" si="7"/>
        <v/>
      </c>
    </row>
    <row r="483" spans="1:19" ht="27.75" customHeight="1" thickTop="1" thickBot="1" x14ac:dyDescent="0.35">
      <c r="A483" s="39"/>
      <c r="B483" s="50" t="str" cm="1">
        <f t="array" ref="B483">IF(
   OR(A483="", $B$9="", $B$10="", $B$11=""),
   "",
   _xlfn.LET(
      _xlpm.result,
      IFERROR(
         _xlfn.XLOOKUP(
            1,
            (Table8[رقم الصنف]=A483)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3" s="27" t="str" cm="1">
        <f t="array" ref="C483">IF(
   A483="",
   "",
   _xlfn.LET(
      _xlpm.result,
      IFERROR(
         _xlfn.XLOOKUP(
            1,
            (Table8[رقم الصنف]=A483) *
            (IF($B$9="الكل",1, YEAR('ادخال البيانات'!$N$3:$N$1164) = VALUE($B$9))) *
            (IF($B$10="الكل",1, MONTH('ادخال البيانات'!$N$3:$N$1164) = VALUE($B$10))) *
            (IF($B$11="الكل",1, INT((DAY('ادخال البيانات'!$N$3:$N$1164)-1)/7)+1 = VALUE($B$11))),
            'ادخال البيانات'!$C$3:$C$1164
         ),
         ""
      ),
      IF(_xlpm.result="", "", _xlpm.result)
   )
)</f>
        <v/>
      </c>
      <c r="D483" s="27" t="str" cm="1">
        <f t="array" ref="D483">IF(
   OR(A483="", $B$9="", $B$10="", $B$11=""),
   "",
   _xlfn.LET(
      _xlpm.result,
      IFERROR(
         _xlfn.XLOOKUP(
            1,
            (Table8[رقم الصنف]=A483) *
            (IF($B$9="الكل",1, YEAR('ادخال البيانات'!$N$3:$N$1164)=VALUE($B$9))) *
            (IF($B$10="الكل",1, MONTH('ادخال البيانات'!$N$3:$N$1164)=VALUE($B$10))) *
            (IF($B$11="الكل",1, INT((DAY('ادخال البيانات'!$N$3:$N$1164)-1)/7)+1 = VALUE($B$11))),
            'ادخال البيانات'!$D$3:$D$1164
         ),
         ""
      ),
      IF(_xlpm.result="", "", _xlpm.result)
   )
)</f>
        <v/>
      </c>
      <c r="E483" s="27" t="str" cm="1">
        <f t="array" ref="E483">IF(
   A483="",
   "",
   _xlfn.LET(
      _xlpm.result,
      IFERROR(
         _xlfn.XLOOKUP(
            1,
            (Table8[رقم الصنف]=A483) *
            (IF($B$9="الكل",1, YEAR('ادخال البيانات'!$N$3:$N$1164)=VALUE($B$9))) *
            (IF($B$10="الكل",1, MONTH('ادخال البيانات'!$N$3:$N$1164)=VALUE($B$10))) *
            (IF($B$11="الكل",1, INT((DAY('ادخال البيانات'!$N$3:$N$1164)-1)/7)+1 = VALUE($B$11))),
            'ادخال البيانات'!$E$3:$E$1164
         ),
         ""
      ),
      IF(_xlpm.result="", "", _xlpm.result)
   )
)</f>
        <v/>
      </c>
      <c r="F483" s="27" t="str" cm="1">
        <f t="array" ref="F483">IF(
   A483="",
   "",
   _xlfn.LET(
      _xlpm.result,
      IFERROR(
         _xlfn.XLOOKUP(
            1,
            (Table8[رقم الصنف]=A483) *
            (IF($B$9="الكل",1, YEAR('ادخال البيانات'!$N$3:$N$1164) = VALUE($B$9))) *
            (IF($B$10="الكل",1, MONTH('ادخال البيانات'!$N$3:$N$1164) = VALUE($B$10))) *
            (IF($B$11="الكل",1, INT((DAY('ادخال البيانات'!$N$3:$N$1164)-1)/7)+1 = VALUE($B$11))),
            'ادخال البيانات'!$F$3:$F$1164
         ),
         ""
      ),
      IF(_xlpm.result="", "", _xlpm.result)
   )
)</f>
        <v/>
      </c>
      <c r="G483" s="27" t="str" cm="1">
        <f t="array" ref="G483">IF(
   A483="",
   "",
   _xlfn.LET(
      _xlpm.result,
      IFERROR(
         _xlfn.XLOOKUP(
            1,
            (Table8[رقم الصنف]=A483) *
            (IF($B$9="الكل",1, YEAR('ادخال البيانات'!$N$3:$N$1164)=VALUE($B$9))) *
            (IF($B$10="الكل",1, MONTH('ادخال البيانات'!$N$3:$N$1164)=VALUE($B$10))) *
            (IF($B$11="الكل",1, INT((DAY('ادخال البيانات'!$N$3:$N$1164)-1)/7)+1 = VALUE($B$11))),
            'ادخال البيانات'!$G$3:$G$1164
         ),
         ""
      ),
      IF(_xlpm.result="", "", _xlpm.result)
   )
)</f>
        <v/>
      </c>
      <c r="H483" s="27" t="str" cm="1">
        <f t="array" ref="H483">IF(
   A483="",
   "",
   _xlfn.LET(
      _xlpm.result,
      IFERROR(
         _xlfn.XLOOKUP(
            1,
            (Table8[رقم الصنف]=A483) *
            (IF($B$9="الكل",1, YEAR('ادخال البيانات'!$N$3:$N$1164)=VALUE($B$9))) *
            (IF($B$10="الكل",1, MONTH('ادخال البيانات'!$N$3:$N$1164)=VALUE($B$10))) *
            (IF($B$11="الكل",1, INT((DAY('ادخال البيانات'!$N$3:$N$1164)-1)/7)+1 = VALUE($B$11))),
            'ادخال البيانات'!$H$3:$H$1164
         ),
         ""
      ),
      IF(_xlpm.result="", "", _xlpm.result)
   )
)</f>
        <v/>
      </c>
      <c r="I483" s="27" t="str" cm="1">
        <f t="array" ref="I483">IF(
   A483="",
   "",
   _xlfn.LET(
      _xlpm.result,
      IFERROR(
         _xlfn.XLOOKUP(
            1,
            (Table8[رقم الصنف]=A483) *
            (IF($B$9="الكل",1, YEAR('ادخال البيانات'!$N$3:$N$1164)=VALUE($B$9))) *
            (IF($B$10="الكل",1, MONTH('ادخال البيانات'!$N$3:$N$1164)=VALUE($B$10))) *
            (IF($B$11="الكل",1, INT((DAY('ادخال البيانات'!$N$3:$N$1164)-1)/7)+1 = VALUE($B$11))),
            'ادخال البيانات'!$I$3:$I$1164
         ),
         ""
      ),
      IF(_xlpm.result="", "", _xlpm.result)
   )
)</f>
        <v/>
      </c>
      <c r="J483" s="27" t="str" cm="1">
        <f t="array" ref="J483">IF(
   A483="",
   "",
   _xlfn.LET(
      _xlpm.result,
      IFERROR(
         _xlfn.XLOOKUP(
            1,
            (Table8[رقم الصنف]=A483) *
            (IF($B$9="الكل",1, YEAR('ادخال البيانات'!$N$3:$N$1164)=VALUE($B$9))) *
            (IF($B$10="الكل",1, MONTH('ادخال البيانات'!$N$3:$N$1164)=VALUE($B$10))) *
            (IF($B$11="الكل",1, INT((DAY('ادخال البيانات'!$N$3:$N$1164)-1)/7)+1 = VALUE($B$11))),
            'ادخال البيانات'!$J$3:$J$1164
         ),
         ""
      ),
      IF(_xlpm.result="", "", _xlpm.result)
   )
)</f>
        <v/>
      </c>
      <c r="K483" s="27" t="str" cm="1">
        <f t="array" ref="K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3" s="27" t="str" cm="1">
        <f t="array" ref="L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3" s="27" t="str" cm="1">
        <f t="array" ref="M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3" s="28" t="str" cm="1">
        <f t="array" ref="N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3" s="28" t="str" cm="1">
        <f t="array" ref="O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3" s="27" t="str" cm="1">
        <f t="array" ref="P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Table8[جهة العطل]
         ),
         ""
      ),
      IF(_xlpm.result="", "", _xlpm.result)
   )
)</f>
        <v/>
      </c>
      <c r="Q483" s="27" t="str" cm="1">
        <f t="array" ref="Q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Table8[المركز]
         ),
         ""
      ),
      IF(_xlpm.result="", "", _xlpm.result)
   )
)</f>
        <v/>
      </c>
      <c r="R483" s="27" t="str" cm="1">
        <f t="array" ref="R483">IF(
   A483="",
   "",
   _xlfn.LET(
      _xlpm.result,
      IFERROR(
         _xlfn.XLOOKUP(
            1,
            (Table8[رقم الصنف]=A483) *
            (IF($B$9="الكل",1, YEAR('ادخال البيانات'!$N$3:$N$1164) = VALUE($B$9))) *
            (IF($B$10="الكل",1, MONTH('ادخال البيانات'!$N$3:$N$1164) = VALUE($B$10))) *
            (IF($B$11="الكل",1, INT((DAY('ادخال البيانات'!$N$3:$N$1164) - 1) / 7) + 1 = VALUE($B$11))),
            Table8[ملاحظة]
         ),
         ""
      ),
      IF(_xlpm.result="", "", _xlpm.result)
   )
)</f>
        <v/>
      </c>
      <c r="S483" s="27" t="str">
        <f t="shared" ca="1" si="7"/>
        <v/>
      </c>
    </row>
    <row r="484" spans="1:19" ht="27.75" customHeight="1" thickTop="1" thickBot="1" x14ac:dyDescent="0.35">
      <c r="A484" s="39"/>
      <c r="B484" s="50" t="str" cm="1">
        <f t="array" ref="B484">IF(
   OR(A484="", $B$9="", $B$10="", $B$11=""),
   "",
   _xlfn.LET(
      _xlpm.result,
      IFERROR(
         _xlfn.XLOOKUP(
            1,
            (Table8[رقم الصنف]=A484)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4" s="27" t="str" cm="1">
        <f t="array" ref="C484">IF(
   A484="",
   "",
   _xlfn.LET(
      _xlpm.result,
      IFERROR(
         _xlfn.XLOOKUP(
            1,
            (Table8[رقم الصنف]=A484) *
            (IF($B$9="الكل",1, YEAR('ادخال البيانات'!$N$3:$N$1164) = VALUE($B$9))) *
            (IF($B$10="الكل",1, MONTH('ادخال البيانات'!$N$3:$N$1164) = VALUE($B$10))) *
            (IF($B$11="الكل",1, INT((DAY('ادخال البيانات'!$N$3:$N$1164)-1)/7)+1 = VALUE($B$11))),
            'ادخال البيانات'!$C$3:$C$1164
         ),
         ""
      ),
      IF(_xlpm.result="", "", _xlpm.result)
   )
)</f>
        <v/>
      </c>
      <c r="D484" s="27" t="str" cm="1">
        <f t="array" ref="D484">IF(
   OR(A484="", $B$9="", $B$10="", $B$11=""),
   "",
   _xlfn.LET(
      _xlpm.result,
      IFERROR(
         _xlfn.XLOOKUP(
            1,
            (Table8[رقم الصنف]=A484) *
            (IF($B$9="الكل",1, YEAR('ادخال البيانات'!$N$3:$N$1164)=VALUE($B$9))) *
            (IF($B$10="الكل",1, MONTH('ادخال البيانات'!$N$3:$N$1164)=VALUE($B$10))) *
            (IF($B$11="الكل",1, INT((DAY('ادخال البيانات'!$N$3:$N$1164)-1)/7)+1 = VALUE($B$11))),
            'ادخال البيانات'!$D$3:$D$1164
         ),
         ""
      ),
      IF(_xlpm.result="", "", _xlpm.result)
   )
)</f>
        <v/>
      </c>
      <c r="E484" s="27" t="str" cm="1">
        <f t="array" ref="E484">IF(
   A484="",
   "",
   _xlfn.LET(
      _xlpm.result,
      IFERROR(
         _xlfn.XLOOKUP(
            1,
            (Table8[رقم الصنف]=A484) *
            (IF($B$9="الكل",1, YEAR('ادخال البيانات'!$N$3:$N$1164)=VALUE($B$9))) *
            (IF($B$10="الكل",1, MONTH('ادخال البيانات'!$N$3:$N$1164)=VALUE($B$10))) *
            (IF($B$11="الكل",1, INT((DAY('ادخال البيانات'!$N$3:$N$1164)-1)/7)+1 = VALUE($B$11))),
            'ادخال البيانات'!$E$3:$E$1164
         ),
         ""
      ),
      IF(_xlpm.result="", "", _xlpm.result)
   )
)</f>
        <v/>
      </c>
      <c r="F484" s="27" t="str" cm="1">
        <f t="array" ref="F484">IF(
   A484="",
   "",
   _xlfn.LET(
      _xlpm.result,
      IFERROR(
         _xlfn.XLOOKUP(
            1,
            (Table8[رقم الصنف]=A484) *
            (IF($B$9="الكل",1, YEAR('ادخال البيانات'!$N$3:$N$1164) = VALUE($B$9))) *
            (IF($B$10="الكل",1, MONTH('ادخال البيانات'!$N$3:$N$1164) = VALUE($B$10))) *
            (IF($B$11="الكل",1, INT((DAY('ادخال البيانات'!$N$3:$N$1164)-1)/7)+1 = VALUE($B$11))),
            'ادخال البيانات'!$F$3:$F$1164
         ),
         ""
      ),
      IF(_xlpm.result="", "", _xlpm.result)
   )
)</f>
        <v/>
      </c>
      <c r="G484" s="27" t="str" cm="1">
        <f t="array" ref="G484">IF(
   A484="",
   "",
   _xlfn.LET(
      _xlpm.result,
      IFERROR(
         _xlfn.XLOOKUP(
            1,
            (Table8[رقم الصنف]=A484) *
            (IF($B$9="الكل",1, YEAR('ادخال البيانات'!$N$3:$N$1164)=VALUE($B$9))) *
            (IF($B$10="الكل",1, MONTH('ادخال البيانات'!$N$3:$N$1164)=VALUE($B$10))) *
            (IF($B$11="الكل",1, INT((DAY('ادخال البيانات'!$N$3:$N$1164)-1)/7)+1 = VALUE($B$11))),
            'ادخال البيانات'!$G$3:$G$1164
         ),
         ""
      ),
      IF(_xlpm.result="", "", _xlpm.result)
   )
)</f>
        <v/>
      </c>
      <c r="H484" s="27" t="str" cm="1">
        <f t="array" ref="H484">IF(
   A484="",
   "",
   _xlfn.LET(
      _xlpm.result,
      IFERROR(
         _xlfn.XLOOKUP(
            1,
            (Table8[رقم الصنف]=A484) *
            (IF($B$9="الكل",1, YEAR('ادخال البيانات'!$N$3:$N$1164)=VALUE($B$9))) *
            (IF($B$10="الكل",1, MONTH('ادخال البيانات'!$N$3:$N$1164)=VALUE($B$10))) *
            (IF($B$11="الكل",1, INT((DAY('ادخال البيانات'!$N$3:$N$1164)-1)/7)+1 = VALUE($B$11))),
            'ادخال البيانات'!$H$3:$H$1164
         ),
         ""
      ),
      IF(_xlpm.result="", "", _xlpm.result)
   )
)</f>
        <v/>
      </c>
      <c r="I484" s="27" t="str" cm="1">
        <f t="array" ref="I484">IF(
   A484="",
   "",
   _xlfn.LET(
      _xlpm.result,
      IFERROR(
         _xlfn.XLOOKUP(
            1,
            (Table8[رقم الصنف]=A484) *
            (IF($B$9="الكل",1, YEAR('ادخال البيانات'!$N$3:$N$1164)=VALUE($B$9))) *
            (IF($B$10="الكل",1, MONTH('ادخال البيانات'!$N$3:$N$1164)=VALUE($B$10))) *
            (IF($B$11="الكل",1, INT((DAY('ادخال البيانات'!$N$3:$N$1164)-1)/7)+1 = VALUE($B$11))),
            'ادخال البيانات'!$I$3:$I$1164
         ),
         ""
      ),
      IF(_xlpm.result="", "", _xlpm.result)
   )
)</f>
        <v/>
      </c>
      <c r="J484" s="27" t="str" cm="1">
        <f t="array" ref="J484">IF(
   A484="",
   "",
   _xlfn.LET(
      _xlpm.result,
      IFERROR(
         _xlfn.XLOOKUP(
            1,
            (Table8[رقم الصنف]=A484) *
            (IF($B$9="الكل",1, YEAR('ادخال البيانات'!$N$3:$N$1164)=VALUE($B$9))) *
            (IF($B$10="الكل",1, MONTH('ادخال البيانات'!$N$3:$N$1164)=VALUE($B$10))) *
            (IF($B$11="الكل",1, INT((DAY('ادخال البيانات'!$N$3:$N$1164)-1)/7)+1 = VALUE($B$11))),
            'ادخال البيانات'!$J$3:$J$1164
         ),
         ""
      ),
      IF(_xlpm.result="", "", _xlpm.result)
   )
)</f>
        <v/>
      </c>
      <c r="K484" s="27" t="str" cm="1">
        <f t="array" ref="K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4" s="27" t="str" cm="1">
        <f t="array" ref="L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4" s="27" t="str" cm="1">
        <f t="array" ref="M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4" s="28" t="str" cm="1">
        <f t="array" ref="N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4" s="28" t="str" cm="1">
        <f t="array" ref="O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4" s="27" t="str" cm="1">
        <f t="array" ref="P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Table8[جهة العطل]
         ),
         ""
      ),
      IF(_xlpm.result="", "", _xlpm.result)
   )
)</f>
        <v/>
      </c>
      <c r="Q484" s="27" t="str" cm="1">
        <f t="array" ref="Q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Table8[المركز]
         ),
         ""
      ),
      IF(_xlpm.result="", "", _xlpm.result)
   )
)</f>
        <v/>
      </c>
      <c r="R484" s="27" t="str" cm="1">
        <f t="array" ref="R484">IF(
   A484="",
   "",
   _xlfn.LET(
      _xlpm.result,
      IFERROR(
         _xlfn.XLOOKUP(
            1,
            (Table8[رقم الصنف]=A484) *
            (IF($B$9="الكل",1, YEAR('ادخال البيانات'!$N$3:$N$1164) = VALUE($B$9))) *
            (IF($B$10="الكل",1, MONTH('ادخال البيانات'!$N$3:$N$1164) = VALUE($B$10))) *
            (IF($B$11="الكل",1, INT((DAY('ادخال البيانات'!$N$3:$N$1164) - 1) / 7) + 1 = VALUE($B$11))),
            Table8[ملاحظة]
         ),
         ""
      ),
      IF(_xlpm.result="", "", _xlpm.result)
   )
)</f>
        <v/>
      </c>
      <c r="S484" s="27" t="str">
        <f t="shared" ca="1" si="7"/>
        <v/>
      </c>
    </row>
    <row r="485" spans="1:19" ht="27.75" customHeight="1" thickTop="1" thickBot="1" x14ac:dyDescent="0.35">
      <c r="A485" s="39"/>
      <c r="B485" s="50" t="str" cm="1">
        <f t="array" ref="B485">IF(
   OR(A485="", $B$9="", $B$10="", $B$11=""),
   "",
   _xlfn.LET(
      _xlpm.result,
      IFERROR(
         _xlfn.XLOOKUP(
            1,
            (Table8[رقم الصنف]=A485)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5" s="27" t="str" cm="1">
        <f t="array" ref="C485">IF(
   A485="",
   "",
   _xlfn.LET(
      _xlpm.result,
      IFERROR(
         _xlfn.XLOOKUP(
            1,
            (Table8[رقم الصنف]=A485) *
            (IF($B$9="الكل",1, YEAR('ادخال البيانات'!$N$3:$N$1164) = VALUE($B$9))) *
            (IF($B$10="الكل",1, MONTH('ادخال البيانات'!$N$3:$N$1164) = VALUE($B$10))) *
            (IF($B$11="الكل",1, INT((DAY('ادخال البيانات'!$N$3:$N$1164)-1)/7)+1 = VALUE($B$11))),
            'ادخال البيانات'!$C$3:$C$1164
         ),
         ""
      ),
      IF(_xlpm.result="", "", _xlpm.result)
   )
)</f>
        <v/>
      </c>
      <c r="D485" s="27" t="str" cm="1">
        <f t="array" ref="D485">IF(
   OR(A485="", $B$9="", $B$10="", $B$11=""),
   "",
   _xlfn.LET(
      _xlpm.result,
      IFERROR(
         _xlfn.XLOOKUP(
            1,
            (Table8[رقم الصنف]=A485) *
            (IF($B$9="الكل",1, YEAR('ادخال البيانات'!$N$3:$N$1164)=VALUE($B$9))) *
            (IF($B$10="الكل",1, MONTH('ادخال البيانات'!$N$3:$N$1164)=VALUE($B$10))) *
            (IF($B$11="الكل",1, INT((DAY('ادخال البيانات'!$N$3:$N$1164)-1)/7)+1 = VALUE($B$11))),
            'ادخال البيانات'!$D$3:$D$1164
         ),
         ""
      ),
      IF(_xlpm.result="", "", _xlpm.result)
   )
)</f>
        <v/>
      </c>
      <c r="E485" s="27" t="str" cm="1">
        <f t="array" ref="E485">IF(
   A485="",
   "",
   _xlfn.LET(
      _xlpm.result,
      IFERROR(
         _xlfn.XLOOKUP(
            1,
            (Table8[رقم الصنف]=A485) *
            (IF($B$9="الكل",1, YEAR('ادخال البيانات'!$N$3:$N$1164)=VALUE($B$9))) *
            (IF($B$10="الكل",1, MONTH('ادخال البيانات'!$N$3:$N$1164)=VALUE($B$10))) *
            (IF($B$11="الكل",1, INT((DAY('ادخال البيانات'!$N$3:$N$1164)-1)/7)+1 = VALUE($B$11))),
            'ادخال البيانات'!$E$3:$E$1164
         ),
         ""
      ),
      IF(_xlpm.result="", "", _xlpm.result)
   )
)</f>
        <v/>
      </c>
      <c r="F485" s="27" t="str" cm="1">
        <f t="array" ref="F485">IF(
   A485="",
   "",
   _xlfn.LET(
      _xlpm.result,
      IFERROR(
         _xlfn.XLOOKUP(
            1,
            (Table8[رقم الصنف]=A485) *
            (IF($B$9="الكل",1, YEAR('ادخال البيانات'!$N$3:$N$1164) = VALUE($B$9))) *
            (IF($B$10="الكل",1, MONTH('ادخال البيانات'!$N$3:$N$1164) = VALUE($B$10))) *
            (IF($B$11="الكل",1, INT((DAY('ادخال البيانات'!$N$3:$N$1164)-1)/7)+1 = VALUE($B$11))),
            'ادخال البيانات'!$F$3:$F$1164
         ),
         ""
      ),
      IF(_xlpm.result="", "", _xlpm.result)
   )
)</f>
        <v/>
      </c>
      <c r="G485" s="27" t="str" cm="1">
        <f t="array" ref="G485">IF(
   A485="",
   "",
   _xlfn.LET(
      _xlpm.result,
      IFERROR(
         _xlfn.XLOOKUP(
            1,
            (Table8[رقم الصنف]=A485) *
            (IF($B$9="الكل",1, YEAR('ادخال البيانات'!$N$3:$N$1164)=VALUE($B$9))) *
            (IF($B$10="الكل",1, MONTH('ادخال البيانات'!$N$3:$N$1164)=VALUE($B$10))) *
            (IF($B$11="الكل",1, INT((DAY('ادخال البيانات'!$N$3:$N$1164)-1)/7)+1 = VALUE($B$11))),
            'ادخال البيانات'!$G$3:$G$1164
         ),
         ""
      ),
      IF(_xlpm.result="", "", _xlpm.result)
   )
)</f>
        <v/>
      </c>
      <c r="H485" s="27" t="str" cm="1">
        <f t="array" ref="H485">IF(
   A485="",
   "",
   _xlfn.LET(
      _xlpm.result,
      IFERROR(
         _xlfn.XLOOKUP(
            1,
            (Table8[رقم الصنف]=A485) *
            (IF($B$9="الكل",1, YEAR('ادخال البيانات'!$N$3:$N$1164)=VALUE($B$9))) *
            (IF($B$10="الكل",1, MONTH('ادخال البيانات'!$N$3:$N$1164)=VALUE($B$10))) *
            (IF($B$11="الكل",1, INT((DAY('ادخال البيانات'!$N$3:$N$1164)-1)/7)+1 = VALUE($B$11))),
            'ادخال البيانات'!$H$3:$H$1164
         ),
         ""
      ),
      IF(_xlpm.result="", "", _xlpm.result)
   )
)</f>
        <v/>
      </c>
      <c r="I485" s="27" t="str" cm="1">
        <f t="array" ref="I485">IF(
   A485="",
   "",
   _xlfn.LET(
      _xlpm.result,
      IFERROR(
         _xlfn.XLOOKUP(
            1,
            (Table8[رقم الصنف]=A485) *
            (IF($B$9="الكل",1, YEAR('ادخال البيانات'!$N$3:$N$1164)=VALUE($B$9))) *
            (IF($B$10="الكل",1, MONTH('ادخال البيانات'!$N$3:$N$1164)=VALUE($B$10))) *
            (IF($B$11="الكل",1, INT((DAY('ادخال البيانات'!$N$3:$N$1164)-1)/7)+1 = VALUE($B$11))),
            'ادخال البيانات'!$I$3:$I$1164
         ),
         ""
      ),
      IF(_xlpm.result="", "", _xlpm.result)
   )
)</f>
        <v/>
      </c>
      <c r="J485" s="27" t="str" cm="1">
        <f t="array" ref="J485">IF(
   A485="",
   "",
   _xlfn.LET(
      _xlpm.result,
      IFERROR(
         _xlfn.XLOOKUP(
            1,
            (Table8[رقم الصنف]=A485) *
            (IF($B$9="الكل",1, YEAR('ادخال البيانات'!$N$3:$N$1164)=VALUE($B$9))) *
            (IF($B$10="الكل",1, MONTH('ادخال البيانات'!$N$3:$N$1164)=VALUE($B$10))) *
            (IF($B$11="الكل",1, INT((DAY('ادخال البيانات'!$N$3:$N$1164)-1)/7)+1 = VALUE($B$11))),
            'ادخال البيانات'!$J$3:$J$1164
         ),
         ""
      ),
      IF(_xlpm.result="", "", _xlpm.result)
   )
)</f>
        <v/>
      </c>
      <c r="K485" s="27" t="str" cm="1">
        <f t="array" ref="K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5" s="27" t="str" cm="1">
        <f t="array" ref="L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5" s="27" t="str" cm="1">
        <f t="array" ref="M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5" s="28" t="str" cm="1">
        <f t="array" ref="N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5" s="28" t="str" cm="1">
        <f t="array" ref="O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5" s="27" t="str" cm="1">
        <f t="array" ref="P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Table8[جهة العطل]
         ),
         ""
      ),
      IF(_xlpm.result="", "", _xlpm.result)
   )
)</f>
        <v/>
      </c>
      <c r="Q485" s="27" t="str" cm="1">
        <f t="array" ref="Q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Table8[المركز]
         ),
         ""
      ),
      IF(_xlpm.result="", "", _xlpm.result)
   )
)</f>
        <v/>
      </c>
      <c r="R485" s="27" t="str" cm="1">
        <f t="array" ref="R485">IF(
   A485="",
   "",
   _xlfn.LET(
      _xlpm.result,
      IFERROR(
         _xlfn.XLOOKUP(
            1,
            (Table8[رقم الصنف]=A485) *
            (IF($B$9="الكل",1, YEAR('ادخال البيانات'!$N$3:$N$1164) = VALUE($B$9))) *
            (IF($B$10="الكل",1, MONTH('ادخال البيانات'!$N$3:$N$1164) = VALUE($B$10))) *
            (IF($B$11="الكل",1, INT((DAY('ادخال البيانات'!$N$3:$N$1164) - 1) / 7) + 1 = VALUE($B$11))),
            Table8[ملاحظة]
         ),
         ""
      ),
      IF(_xlpm.result="", "", _xlpm.result)
   )
)</f>
        <v/>
      </c>
      <c r="S485" s="27" t="str">
        <f t="shared" ca="1" si="7"/>
        <v/>
      </c>
    </row>
    <row r="486" spans="1:19" ht="27.75" customHeight="1" thickTop="1" thickBot="1" x14ac:dyDescent="0.35">
      <c r="A486" s="39"/>
      <c r="B486" s="50" t="str" cm="1">
        <f t="array" ref="B486">IF(
   OR(A486="", $B$9="", $B$10="", $B$11=""),
   "",
   _xlfn.LET(
      _xlpm.result,
      IFERROR(
         _xlfn.XLOOKUP(
            1,
            (Table8[رقم الصنف]=A486)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6" s="27" t="str" cm="1">
        <f t="array" ref="C486">IF(
   A486="",
   "",
   _xlfn.LET(
      _xlpm.result,
      IFERROR(
         _xlfn.XLOOKUP(
            1,
            (Table8[رقم الصنف]=A486) *
            (IF($B$9="الكل",1, YEAR('ادخال البيانات'!$N$3:$N$1164) = VALUE($B$9))) *
            (IF($B$10="الكل",1, MONTH('ادخال البيانات'!$N$3:$N$1164) = VALUE($B$10))) *
            (IF($B$11="الكل",1, INT((DAY('ادخال البيانات'!$N$3:$N$1164)-1)/7)+1 = VALUE($B$11))),
            'ادخال البيانات'!$C$3:$C$1164
         ),
         ""
      ),
      IF(_xlpm.result="", "", _xlpm.result)
   )
)</f>
        <v/>
      </c>
      <c r="D486" s="27" t="str" cm="1">
        <f t="array" ref="D486">IF(
   OR(A486="", $B$9="", $B$10="", $B$11=""),
   "",
   _xlfn.LET(
      _xlpm.result,
      IFERROR(
         _xlfn.XLOOKUP(
            1,
            (Table8[رقم الصنف]=A486) *
            (IF($B$9="الكل",1, YEAR('ادخال البيانات'!$N$3:$N$1164)=VALUE($B$9))) *
            (IF($B$10="الكل",1, MONTH('ادخال البيانات'!$N$3:$N$1164)=VALUE($B$10))) *
            (IF($B$11="الكل",1, INT((DAY('ادخال البيانات'!$N$3:$N$1164)-1)/7)+1 = VALUE($B$11))),
            'ادخال البيانات'!$D$3:$D$1164
         ),
         ""
      ),
      IF(_xlpm.result="", "", _xlpm.result)
   )
)</f>
        <v/>
      </c>
      <c r="E486" s="27" t="str" cm="1">
        <f t="array" ref="E486">IF(
   A486="",
   "",
   _xlfn.LET(
      _xlpm.result,
      IFERROR(
         _xlfn.XLOOKUP(
            1,
            (Table8[رقم الصنف]=A486) *
            (IF($B$9="الكل",1, YEAR('ادخال البيانات'!$N$3:$N$1164)=VALUE($B$9))) *
            (IF($B$10="الكل",1, MONTH('ادخال البيانات'!$N$3:$N$1164)=VALUE($B$10))) *
            (IF($B$11="الكل",1, INT((DAY('ادخال البيانات'!$N$3:$N$1164)-1)/7)+1 = VALUE($B$11))),
            'ادخال البيانات'!$E$3:$E$1164
         ),
         ""
      ),
      IF(_xlpm.result="", "", _xlpm.result)
   )
)</f>
        <v/>
      </c>
      <c r="F486" s="27" t="str" cm="1">
        <f t="array" ref="F486">IF(
   A486="",
   "",
   _xlfn.LET(
      _xlpm.result,
      IFERROR(
         _xlfn.XLOOKUP(
            1,
            (Table8[رقم الصنف]=A486) *
            (IF($B$9="الكل",1, YEAR('ادخال البيانات'!$N$3:$N$1164) = VALUE($B$9))) *
            (IF($B$10="الكل",1, MONTH('ادخال البيانات'!$N$3:$N$1164) = VALUE($B$10))) *
            (IF($B$11="الكل",1, INT((DAY('ادخال البيانات'!$N$3:$N$1164)-1)/7)+1 = VALUE($B$11))),
            'ادخال البيانات'!$F$3:$F$1164
         ),
         ""
      ),
      IF(_xlpm.result="", "", _xlpm.result)
   )
)</f>
        <v/>
      </c>
      <c r="G486" s="27" t="str" cm="1">
        <f t="array" ref="G486">IF(
   A486="",
   "",
   _xlfn.LET(
      _xlpm.result,
      IFERROR(
         _xlfn.XLOOKUP(
            1,
            (Table8[رقم الصنف]=A486) *
            (IF($B$9="الكل",1, YEAR('ادخال البيانات'!$N$3:$N$1164)=VALUE($B$9))) *
            (IF($B$10="الكل",1, MONTH('ادخال البيانات'!$N$3:$N$1164)=VALUE($B$10))) *
            (IF($B$11="الكل",1, INT((DAY('ادخال البيانات'!$N$3:$N$1164)-1)/7)+1 = VALUE($B$11))),
            'ادخال البيانات'!$G$3:$G$1164
         ),
         ""
      ),
      IF(_xlpm.result="", "", _xlpm.result)
   )
)</f>
        <v/>
      </c>
      <c r="H486" s="27" t="str" cm="1">
        <f t="array" ref="H486">IF(
   A486="",
   "",
   _xlfn.LET(
      _xlpm.result,
      IFERROR(
         _xlfn.XLOOKUP(
            1,
            (Table8[رقم الصنف]=A486) *
            (IF($B$9="الكل",1, YEAR('ادخال البيانات'!$N$3:$N$1164)=VALUE($B$9))) *
            (IF($B$10="الكل",1, MONTH('ادخال البيانات'!$N$3:$N$1164)=VALUE($B$10))) *
            (IF($B$11="الكل",1, INT((DAY('ادخال البيانات'!$N$3:$N$1164)-1)/7)+1 = VALUE($B$11))),
            'ادخال البيانات'!$H$3:$H$1164
         ),
         ""
      ),
      IF(_xlpm.result="", "", _xlpm.result)
   )
)</f>
        <v/>
      </c>
      <c r="I486" s="27" t="str" cm="1">
        <f t="array" ref="I486">IF(
   A486="",
   "",
   _xlfn.LET(
      _xlpm.result,
      IFERROR(
         _xlfn.XLOOKUP(
            1,
            (Table8[رقم الصنف]=A486) *
            (IF($B$9="الكل",1, YEAR('ادخال البيانات'!$N$3:$N$1164)=VALUE($B$9))) *
            (IF($B$10="الكل",1, MONTH('ادخال البيانات'!$N$3:$N$1164)=VALUE($B$10))) *
            (IF($B$11="الكل",1, INT((DAY('ادخال البيانات'!$N$3:$N$1164)-1)/7)+1 = VALUE($B$11))),
            'ادخال البيانات'!$I$3:$I$1164
         ),
         ""
      ),
      IF(_xlpm.result="", "", _xlpm.result)
   )
)</f>
        <v/>
      </c>
      <c r="J486" s="27" t="str" cm="1">
        <f t="array" ref="J486">IF(
   A486="",
   "",
   _xlfn.LET(
      _xlpm.result,
      IFERROR(
         _xlfn.XLOOKUP(
            1,
            (Table8[رقم الصنف]=A486) *
            (IF($B$9="الكل",1, YEAR('ادخال البيانات'!$N$3:$N$1164)=VALUE($B$9))) *
            (IF($B$10="الكل",1, MONTH('ادخال البيانات'!$N$3:$N$1164)=VALUE($B$10))) *
            (IF($B$11="الكل",1, INT((DAY('ادخال البيانات'!$N$3:$N$1164)-1)/7)+1 = VALUE($B$11))),
            'ادخال البيانات'!$J$3:$J$1164
         ),
         ""
      ),
      IF(_xlpm.result="", "", _xlpm.result)
   )
)</f>
        <v/>
      </c>
      <c r="K486" s="27" t="str" cm="1">
        <f t="array" ref="K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6" s="27" t="str" cm="1">
        <f t="array" ref="L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6" s="27" t="str" cm="1">
        <f t="array" ref="M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6" s="28" t="str" cm="1">
        <f t="array" ref="N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6" s="28" t="str" cm="1">
        <f t="array" ref="O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6" s="27" t="str" cm="1">
        <f t="array" ref="P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Table8[جهة العطل]
         ),
         ""
      ),
      IF(_xlpm.result="", "", _xlpm.result)
   )
)</f>
        <v/>
      </c>
      <c r="Q486" s="27" t="str" cm="1">
        <f t="array" ref="Q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Table8[المركز]
         ),
         ""
      ),
      IF(_xlpm.result="", "", _xlpm.result)
   )
)</f>
        <v/>
      </c>
      <c r="R486" s="27" t="str" cm="1">
        <f t="array" ref="R486">IF(
   A486="",
   "",
   _xlfn.LET(
      _xlpm.result,
      IFERROR(
         _xlfn.XLOOKUP(
            1,
            (Table8[رقم الصنف]=A486) *
            (IF($B$9="الكل",1, YEAR('ادخال البيانات'!$N$3:$N$1164) = VALUE($B$9))) *
            (IF($B$10="الكل",1, MONTH('ادخال البيانات'!$N$3:$N$1164) = VALUE($B$10))) *
            (IF($B$11="الكل",1, INT((DAY('ادخال البيانات'!$N$3:$N$1164) - 1) / 7) + 1 = VALUE($B$11))),
            Table8[ملاحظة]
         ),
         ""
      ),
      IF(_xlpm.result="", "", _xlpm.result)
   )
)</f>
        <v/>
      </c>
      <c r="S486" s="27" t="str">
        <f t="shared" ca="1" si="7"/>
        <v/>
      </c>
    </row>
    <row r="487" spans="1:19" ht="27.75" customHeight="1" thickTop="1" thickBot="1" x14ac:dyDescent="0.35">
      <c r="A487" s="39"/>
      <c r="B487" s="50" t="str" cm="1">
        <f t="array" ref="B487">IF(
   OR(A487="", $B$9="", $B$10="", $B$11=""),
   "",
   _xlfn.LET(
      _xlpm.result,
      IFERROR(
         _xlfn.XLOOKUP(
            1,
            (Table8[رقم الصنف]=A487)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7" s="27" t="str" cm="1">
        <f t="array" ref="C487">IF(
   A487="",
   "",
   _xlfn.LET(
      _xlpm.result,
      IFERROR(
         _xlfn.XLOOKUP(
            1,
            (Table8[رقم الصنف]=A487) *
            (IF($B$9="الكل",1, YEAR('ادخال البيانات'!$N$3:$N$1164) = VALUE($B$9))) *
            (IF($B$10="الكل",1, MONTH('ادخال البيانات'!$N$3:$N$1164) = VALUE($B$10))) *
            (IF($B$11="الكل",1, INT((DAY('ادخال البيانات'!$N$3:$N$1164)-1)/7)+1 = VALUE($B$11))),
            'ادخال البيانات'!$C$3:$C$1164
         ),
         ""
      ),
      IF(_xlpm.result="", "", _xlpm.result)
   )
)</f>
        <v/>
      </c>
      <c r="D487" s="27" t="str" cm="1">
        <f t="array" ref="D487">IF(
   OR(A487="", $B$9="", $B$10="", $B$11=""),
   "",
   _xlfn.LET(
      _xlpm.result,
      IFERROR(
         _xlfn.XLOOKUP(
            1,
            (Table8[رقم الصنف]=A487) *
            (IF($B$9="الكل",1, YEAR('ادخال البيانات'!$N$3:$N$1164)=VALUE($B$9))) *
            (IF($B$10="الكل",1, MONTH('ادخال البيانات'!$N$3:$N$1164)=VALUE($B$10))) *
            (IF($B$11="الكل",1, INT((DAY('ادخال البيانات'!$N$3:$N$1164)-1)/7)+1 = VALUE($B$11))),
            'ادخال البيانات'!$D$3:$D$1164
         ),
         ""
      ),
      IF(_xlpm.result="", "", _xlpm.result)
   )
)</f>
        <v/>
      </c>
      <c r="E487" s="27" t="str" cm="1">
        <f t="array" ref="E487">IF(
   A487="",
   "",
   _xlfn.LET(
      _xlpm.result,
      IFERROR(
         _xlfn.XLOOKUP(
            1,
            (Table8[رقم الصنف]=A487) *
            (IF($B$9="الكل",1, YEAR('ادخال البيانات'!$N$3:$N$1164)=VALUE($B$9))) *
            (IF($B$10="الكل",1, MONTH('ادخال البيانات'!$N$3:$N$1164)=VALUE($B$10))) *
            (IF($B$11="الكل",1, INT((DAY('ادخال البيانات'!$N$3:$N$1164)-1)/7)+1 = VALUE($B$11))),
            'ادخال البيانات'!$E$3:$E$1164
         ),
         ""
      ),
      IF(_xlpm.result="", "", _xlpm.result)
   )
)</f>
        <v/>
      </c>
      <c r="F487" s="27" t="str" cm="1">
        <f t="array" ref="F487">IF(
   A487="",
   "",
   _xlfn.LET(
      _xlpm.result,
      IFERROR(
         _xlfn.XLOOKUP(
            1,
            (Table8[رقم الصنف]=A487) *
            (IF($B$9="الكل",1, YEAR('ادخال البيانات'!$N$3:$N$1164) = VALUE($B$9))) *
            (IF($B$10="الكل",1, MONTH('ادخال البيانات'!$N$3:$N$1164) = VALUE($B$10))) *
            (IF($B$11="الكل",1, INT((DAY('ادخال البيانات'!$N$3:$N$1164)-1)/7)+1 = VALUE($B$11))),
            'ادخال البيانات'!$F$3:$F$1164
         ),
         ""
      ),
      IF(_xlpm.result="", "", _xlpm.result)
   )
)</f>
        <v/>
      </c>
      <c r="G487" s="27" t="str" cm="1">
        <f t="array" ref="G487">IF(
   A487="",
   "",
   _xlfn.LET(
      _xlpm.result,
      IFERROR(
         _xlfn.XLOOKUP(
            1,
            (Table8[رقم الصنف]=A487) *
            (IF($B$9="الكل",1, YEAR('ادخال البيانات'!$N$3:$N$1164)=VALUE($B$9))) *
            (IF($B$10="الكل",1, MONTH('ادخال البيانات'!$N$3:$N$1164)=VALUE($B$10))) *
            (IF($B$11="الكل",1, INT((DAY('ادخال البيانات'!$N$3:$N$1164)-1)/7)+1 = VALUE($B$11))),
            'ادخال البيانات'!$G$3:$G$1164
         ),
         ""
      ),
      IF(_xlpm.result="", "", _xlpm.result)
   )
)</f>
        <v/>
      </c>
      <c r="H487" s="27" t="str" cm="1">
        <f t="array" ref="H487">IF(
   A487="",
   "",
   _xlfn.LET(
      _xlpm.result,
      IFERROR(
         _xlfn.XLOOKUP(
            1,
            (Table8[رقم الصنف]=A487) *
            (IF($B$9="الكل",1, YEAR('ادخال البيانات'!$N$3:$N$1164)=VALUE($B$9))) *
            (IF($B$10="الكل",1, MONTH('ادخال البيانات'!$N$3:$N$1164)=VALUE($B$10))) *
            (IF($B$11="الكل",1, INT((DAY('ادخال البيانات'!$N$3:$N$1164)-1)/7)+1 = VALUE($B$11))),
            'ادخال البيانات'!$H$3:$H$1164
         ),
         ""
      ),
      IF(_xlpm.result="", "", _xlpm.result)
   )
)</f>
        <v/>
      </c>
      <c r="I487" s="27" t="str" cm="1">
        <f t="array" ref="I487">IF(
   A487="",
   "",
   _xlfn.LET(
      _xlpm.result,
      IFERROR(
         _xlfn.XLOOKUP(
            1,
            (Table8[رقم الصنف]=A487) *
            (IF($B$9="الكل",1, YEAR('ادخال البيانات'!$N$3:$N$1164)=VALUE($B$9))) *
            (IF($B$10="الكل",1, MONTH('ادخال البيانات'!$N$3:$N$1164)=VALUE($B$10))) *
            (IF($B$11="الكل",1, INT((DAY('ادخال البيانات'!$N$3:$N$1164)-1)/7)+1 = VALUE($B$11))),
            'ادخال البيانات'!$I$3:$I$1164
         ),
         ""
      ),
      IF(_xlpm.result="", "", _xlpm.result)
   )
)</f>
        <v/>
      </c>
      <c r="J487" s="27" t="str" cm="1">
        <f t="array" ref="J487">IF(
   A487="",
   "",
   _xlfn.LET(
      _xlpm.result,
      IFERROR(
         _xlfn.XLOOKUP(
            1,
            (Table8[رقم الصنف]=A487) *
            (IF($B$9="الكل",1, YEAR('ادخال البيانات'!$N$3:$N$1164)=VALUE($B$9))) *
            (IF($B$10="الكل",1, MONTH('ادخال البيانات'!$N$3:$N$1164)=VALUE($B$10))) *
            (IF($B$11="الكل",1, INT((DAY('ادخال البيانات'!$N$3:$N$1164)-1)/7)+1 = VALUE($B$11))),
            'ادخال البيانات'!$J$3:$J$1164
         ),
         ""
      ),
      IF(_xlpm.result="", "", _xlpm.result)
   )
)</f>
        <v/>
      </c>
      <c r="K487" s="27" t="str" cm="1">
        <f t="array" ref="K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7" s="27" t="str" cm="1">
        <f t="array" ref="L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7" s="27" t="str" cm="1">
        <f t="array" ref="M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7" s="28" t="str" cm="1">
        <f t="array" ref="N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7" s="28" t="str" cm="1">
        <f t="array" ref="O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7" s="27" t="str" cm="1">
        <f t="array" ref="P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Table8[جهة العطل]
         ),
         ""
      ),
      IF(_xlpm.result="", "", _xlpm.result)
   )
)</f>
        <v/>
      </c>
      <c r="Q487" s="27" t="str" cm="1">
        <f t="array" ref="Q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Table8[المركز]
         ),
         ""
      ),
      IF(_xlpm.result="", "", _xlpm.result)
   )
)</f>
        <v/>
      </c>
      <c r="R487" s="27" t="str" cm="1">
        <f t="array" ref="R487">IF(
   A487="",
   "",
   _xlfn.LET(
      _xlpm.result,
      IFERROR(
         _xlfn.XLOOKUP(
            1,
            (Table8[رقم الصنف]=A487) *
            (IF($B$9="الكل",1, YEAR('ادخال البيانات'!$N$3:$N$1164) = VALUE($B$9))) *
            (IF($B$10="الكل",1, MONTH('ادخال البيانات'!$N$3:$N$1164) = VALUE($B$10))) *
            (IF($B$11="الكل",1, INT((DAY('ادخال البيانات'!$N$3:$N$1164) - 1) / 7) + 1 = VALUE($B$11))),
            Table8[ملاحظة]
         ),
         ""
      ),
      IF(_xlpm.result="", "", _xlpm.result)
   )
)</f>
        <v/>
      </c>
      <c r="S487" s="27" t="str">
        <f t="shared" ca="1" si="7"/>
        <v/>
      </c>
    </row>
    <row r="488" spans="1:19" ht="27.75" customHeight="1" thickTop="1" thickBot="1" x14ac:dyDescent="0.35">
      <c r="A488" s="39"/>
      <c r="B488" s="50" t="str" cm="1">
        <f t="array" ref="B488">IF(
   OR(A488="", $B$9="", $B$10="", $B$11=""),
   "",
   _xlfn.LET(
      _xlpm.result,
      IFERROR(
         _xlfn.XLOOKUP(
            1,
            (Table8[رقم الصنف]=A488)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8" s="27" t="str" cm="1">
        <f t="array" ref="C488">IF(
   A488="",
   "",
   _xlfn.LET(
      _xlpm.result,
      IFERROR(
         _xlfn.XLOOKUP(
            1,
            (Table8[رقم الصنف]=A488) *
            (IF($B$9="الكل",1, YEAR('ادخال البيانات'!$N$3:$N$1164) = VALUE($B$9))) *
            (IF($B$10="الكل",1, MONTH('ادخال البيانات'!$N$3:$N$1164) = VALUE($B$10))) *
            (IF($B$11="الكل",1, INT((DAY('ادخال البيانات'!$N$3:$N$1164)-1)/7)+1 = VALUE($B$11))),
            'ادخال البيانات'!$C$3:$C$1164
         ),
         ""
      ),
      IF(_xlpm.result="", "", _xlpm.result)
   )
)</f>
        <v/>
      </c>
      <c r="D488" s="27" t="str" cm="1">
        <f t="array" ref="D488">IF(
   OR(A488="", $B$9="", $B$10="", $B$11=""),
   "",
   _xlfn.LET(
      _xlpm.result,
      IFERROR(
         _xlfn.XLOOKUP(
            1,
            (Table8[رقم الصنف]=A488) *
            (IF($B$9="الكل",1, YEAR('ادخال البيانات'!$N$3:$N$1164)=VALUE($B$9))) *
            (IF($B$10="الكل",1, MONTH('ادخال البيانات'!$N$3:$N$1164)=VALUE($B$10))) *
            (IF($B$11="الكل",1, INT((DAY('ادخال البيانات'!$N$3:$N$1164)-1)/7)+1 = VALUE($B$11))),
            'ادخال البيانات'!$D$3:$D$1164
         ),
         ""
      ),
      IF(_xlpm.result="", "", _xlpm.result)
   )
)</f>
        <v/>
      </c>
      <c r="E488" s="27" t="str" cm="1">
        <f t="array" ref="E488">IF(
   A488="",
   "",
   _xlfn.LET(
      _xlpm.result,
      IFERROR(
         _xlfn.XLOOKUP(
            1,
            (Table8[رقم الصنف]=A488) *
            (IF($B$9="الكل",1, YEAR('ادخال البيانات'!$N$3:$N$1164)=VALUE($B$9))) *
            (IF($B$10="الكل",1, MONTH('ادخال البيانات'!$N$3:$N$1164)=VALUE($B$10))) *
            (IF($B$11="الكل",1, INT((DAY('ادخال البيانات'!$N$3:$N$1164)-1)/7)+1 = VALUE($B$11))),
            'ادخال البيانات'!$E$3:$E$1164
         ),
         ""
      ),
      IF(_xlpm.result="", "", _xlpm.result)
   )
)</f>
        <v/>
      </c>
      <c r="F488" s="27" t="str" cm="1">
        <f t="array" ref="F488">IF(
   A488="",
   "",
   _xlfn.LET(
      _xlpm.result,
      IFERROR(
         _xlfn.XLOOKUP(
            1,
            (Table8[رقم الصنف]=A488) *
            (IF($B$9="الكل",1, YEAR('ادخال البيانات'!$N$3:$N$1164) = VALUE($B$9))) *
            (IF($B$10="الكل",1, MONTH('ادخال البيانات'!$N$3:$N$1164) = VALUE($B$10))) *
            (IF($B$11="الكل",1, INT((DAY('ادخال البيانات'!$N$3:$N$1164)-1)/7)+1 = VALUE($B$11))),
            'ادخال البيانات'!$F$3:$F$1164
         ),
         ""
      ),
      IF(_xlpm.result="", "", _xlpm.result)
   )
)</f>
        <v/>
      </c>
      <c r="G488" s="27" t="str" cm="1">
        <f t="array" ref="G488">IF(
   A488="",
   "",
   _xlfn.LET(
      _xlpm.result,
      IFERROR(
         _xlfn.XLOOKUP(
            1,
            (Table8[رقم الصنف]=A488) *
            (IF($B$9="الكل",1, YEAR('ادخال البيانات'!$N$3:$N$1164)=VALUE($B$9))) *
            (IF($B$10="الكل",1, MONTH('ادخال البيانات'!$N$3:$N$1164)=VALUE($B$10))) *
            (IF($B$11="الكل",1, INT((DAY('ادخال البيانات'!$N$3:$N$1164)-1)/7)+1 = VALUE($B$11))),
            'ادخال البيانات'!$G$3:$G$1164
         ),
         ""
      ),
      IF(_xlpm.result="", "", _xlpm.result)
   )
)</f>
        <v/>
      </c>
      <c r="H488" s="27" t="str" cm="1">
        <f t="array" ref="H488">IF(
   A488="",
   "",
   _xlfn.LET(
      _xlpm.result,
      IFERROR(
         _xlfn.XLOOKUP(
            1,
            (Table8[رقم الصنف]=A488) *
            (IF($B$9="الكل",1, YEAR('ادخال البيانات'!$N$3:$N$1164)=VALUE($B$9))) *
            (IF($B$10="الكل",1, MONTH('ادخال البيانات'!$N$3:$N$1164)=VALUE($B$10))) *
            (IF($B$11="الكل",1, INT((DAY('ادخال البيانات'!$N$3:$N$1164)-1)/7)+1 = VALUE($B$11))),
            'ادخال البيانات'!$H$3:$H$1164
         ),
         ""
      ),
      IF(_xlpm.result="", "", _xlpm.result)
   )
)</f>
        <v/>
      </c>
      <c r="I488" s="27" t="str" cm="1">
        <f t="array" ref="I488">IF(
   A488="",
   "",
   _xlfn.LET(
      _xlpm.result,
      IFERROR(
         _xlfn.XLOOKUP(
            1,
            (Table8[رقم الصنف]=A488) *
            (IF($B$9="الكل",1, YEAR('ادخال البيانات'!$N$3:$N$1164)=VALUE($B$9))) *
            (IF($B$10="الكل",1, MONTH('ادخال البيانات'!$N$3:$N$1164)=VALUE($B$10))) *
            (IF($B$11="الكل",1, INT((DAY('ادخال البيانات'!$N$3:$N$1164)-1)/7)+1 = VALUE($B$11))),
            'ادخال البيانات'!$I$3:$I$1164
         ),
         ""
      ),
      IF(_xlpm.result="", "", _xlpm.result)
   )
)</f>
        <v/>
      </c>
      <c r="J488" s="27" t="str" cm="1">
        <f t="array" ref="J488">IF(
   A488="",
   "",
   _xlfn.LET(
      _xlpm.result,
      IFERROR(
         _xlfn.XLOOKUP(
            1,
            (Table8[رقم الصنف]=A488) *
            (IF($B$9="الكل",1, YEAR('ادخال البيانات'!$N$3:$N$1164)=VALUE($B$9))) *
            (IF($B$10="الكل",1, MONTH('ادخال البيانات'!$N$3:$N$1164)=VALUE($B$10))) *
            (IF($B$11="الكل",1, INT((DAY('ادخال البيانات'!$N$3:$N$1164)-1)/7)+1 = VALUE($B$11))),
            'ادخال البيانات'!$J$3:$J$1164
         ),
         ""
      ),
      IF(_xlpm.result="", "", _xlpm.result)
   )
)</f>
        <v/>
      </c>
      <c r="K488" s="27" t="str" cm="1">
        <f t="array" ref="K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8" s="27" t="str" cm="1">
        <f t="array" ref="L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8" s="27" t="str" cm="1">
        <f t="array" ref="M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8" s="28" t="str" cm="1">
        <f t="array" ref="N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8" s="28" t="str" cm="1">
        <f t="array" ref="O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8" s="27" t="str" cm="1">
        <f t="array" ref="P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Table8[جهة العطل]
         ),
         ""
      ),
      IF(_xlpm.result="", "", _xlpm.result)
   )
)</f>
        <v/>
      </c>
      <c r="Q488" s="27" t="str" cm="1">
        <f t="array" ref="Q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Table8[المركز]
         ),
         ""
      ),
      IF(_xlpm.result="", "", _xlpm.result)
   )
)</f>
        <v/>
      </c>
      <c r="R488" s="27" t="str" cm="1">
        <f t="array" ref="R488">IF(
   A488="",
   "",
   _xlfn.LET(
      _xlpm.result,
      IFERROR(
         _xlfn.XLOOKUP(
            1,
            (Table8[رقم الصنف]=A488) *
            (IF($B$9="الكل",1, YEAR('ادخال البيانات'!$N$3:$N$1164) = VALUE($B$9))) *
            (IF($B$10="الكل",1, MONTH('ادخال البيانات'!$N$3:$N$1164) = VALUE($B$10))) *
            (IF($B$11="الكل",1, INT((DAY('ادخال البيانات'!$N$3:$N$1164) - 1) / 7) + 1 = VALUE($B$11))),
            Table8[ملاحظة]
         ),
         ""
      ),
      IF(_xlpm.result="", "", _xlpm.result)
   )
)</f>
        <v/>
      </c>
      <c r="S488" s="27" t="str">
        <f t="shared" ca="1" si="7"/>
        <v/>
      </c>
    </row>
    <row r="489" spans="1:19" ht="27.75" customHeight="1" thickTop="1" thickBot="1" x14ac:dyDescent="0.35">
      <c r="A489" s="39"/>
      <c r="B489" s="50" t="str" cm="1">
        <f t="array" ref="B489">IF(
   OR(A489="", $B$9="", $B$10="", $B$11=""),
   "",
   _xlfn.LET(
      _xlpm.result,
      IFERROR(
         _xlfn.XLOOKUP(
            1,
            (Table8[رقم الصنف]=A489)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89" s="27" t="str" cm="1">
        <f t="array" ref="C489">IF(
   A489="",
   "",
   _xlfn.LET(
      _xlpm.result,
      IFERROR(
         _xlfn.XLOOKUP(
            1,
            (Table8[رقم الصنف]=A489) *
            (IF($B$9="الكل",1, YEAR('ادخال البيانات'!$N$3:$N$1164) = VALUE($B$9))) *
            (IF($B$10="الكل",1, MONTH('ادخال البيانات'!$N$3:$N$1164) = VALUE($B$10))) *
            (IF($B$11="الكل",1, INT((DAY('ادخال البيانات'!$N$3:$N$1164)-1)/7)+1 = VALUE($B$11))),
            'ادخال البيانات'!$C$3:$C$1164
         ),
         ""
      ),
      IF(_xlpm.result="", "", _xlpm.result)
   )
)</f>
        <v/>
      </c>
      <c r="D489" s="27" t="str" cm="1">
        <f t="array" ref="D489">IF(
   OR(A489="", $B$9="", $B$10="", $B$11=""),
   "",
   _xlfn.LET(
      _xlpm.result,
      IFERROR(
         _xlfn.XLOOKUP(
            1,
            (Table8[رقم الصنف]=A489) *
            (IF($B$9="الكل",1, YEAR('ادخال البيانات'!$N$3:$N$1164)=VALUE($B$9))) *
            (IF($B$10="الكل",1, MONTH('ادخال البيانات'!$N$3:$N$1164)=VALUE($B$10))) *
            (IF($B$11="الكل",1, INT((DAY('ادخال البيانات'!$N$3:$N$1164)-1)/7)+1 = VALUE($B$11))),
            'ادخال البيانات'!$D$3:$D$1164
         ),
         ""
      ),
      IF(_xlpm.result="", "", _xlpm.result)
   )
)</f>
        <v/>
      </c>
      <c r="E489" s="27" t="str" cm="1">
        <f t="array" ref="E489">IF(
   A489="",
   "",
   _xlfn.LET(
      _xlpm.result,
      IFERROR(
         _xlfn.XLOOKUP(
            1,
            (Table8[رقم الصنف]=A489) *
            (IF($B$9="الكل",1, YEAR('ادخال البيانات'!$N$3:$N$1164)=VALUE($B$9))) *
            (IF($B$10="الكل",1, MONTH('ادخال البيانات'!$N$3:$N$1164)=VALUE($B$10))) *
            (IF($B$11="الكل",1, INT((DAY('ادخال البيانات'!$N$3:$N$1164)-1)/7)+1 = VALUE($B$11))),
            'ادخال البيانات'!$E$3:$E$1164
         ),
         ""
      ),
      IF(_xlpm.result="", "", _xlpm.result)
   )
)</f>
        <v/>
      </c>
      <c r="F489" s="27" t="str" cm="1">
        <f t="array" ref="F489">IF(
   A489="",
   "",
   _xlfn.LET(
      _xlpm.result,
      IFERROR(
         _xlfn.XLOOKUP(
            1,
            (Table8[رقم الصنف]=A489) *
            (IF($B$9="الكل",1, YEAR('ادخال البيانات'!$N$3:$N$1164) = VALUE($B$9))) *
            (IF($B$10="الكل",1, MONTH('ادخال البيانات'!$N$3:$N$1164) = VALUE($B$10))) *
            (IF($B$11="الكل",1, INT((DAY('ادخال البيانات'!$N$3:$N$1164)-1)/7)+1 = VALUE($B$11))),
            'ادخال البيانات'!$F$3:$F$1164
         ),
         ""
      ),
      IF(_xlpm.result="", "", _xlpm.result)
   )
)</f>
        <v/>
      </c>
      <c r="G489" s="27" t="str" cm="1">
        <f t="array" ref="G489">IF(
   A489="",
   "",
   _xlfn.LET(
      _xlpm.result,
      IFERROR(
         _xlfn.XLOOKUP(
            1,
            (Table8[رقم الصنف]=A489) *
            (IF($B$9="الكل",1, YEAR('ادخال البيانات'!$N$3:$N$1164)=VALUE($B$9))) *
            (IF($B$10="الكل",1, MONTH('ادخال البيانات'!$N$3:$N$1164)=VALUE($B$10))) *
            (IF($B$11="الكل",1, INT((DAY('ادخال البيانات'!$N$3:$N$1164)-1)/7)+1 = VALUE($B$11))),
            'ادخال البيانات'!$G$3:$G$1164
         ),
         ""
      ),
      IF(_xlpm.result="", "", _xlpm.result)
   )
)</f>
        <v/>
      </c>
      <c r="H489" s="27" t="str" cm="1">
        <f t="array" ref="H489">IF(
   A489="",
   "",
   _xlfn.LET(
      _xlpm.result,
      IFERROR(
         _xlfn.XLOOKUP(
            1,
            (Table8[رقم الصنف]=A489) *
            (IF($B$9="الكل",1, YEAR('ادخال البيانات'!$N$3:$N$1164)=VALUE($B$9))) *
            (IF($B$10="الكل",1, MONTH('ادخال البيانات'!$N$3:$N$1164)=VALUE($B$10))) *
            (IF($B$11="الكل",1, INT((DAY('ادخال البيانات'!$N$3:$N$1164)-1)/7)+1 = VALUE($B$11))),
            'ادخال البيانات'!$H$3:$H$1164
         ),
         ""
      ),
      IF(_xlpm.result="", "", _xlpm.result)
   )
)</f>
        <v/>
      </c>
      <c r="I489" s="27" t="str" cm="1">
        <f t="array" ref="I489">IF(
   A489="",
   "",
   _xlfn.LET(
      _xlpm.result,
      IFERROR(
         _xlfn.XLOOKUP(
            1,
            (Table8[رقم الصنف]=A489) *
            (IF($B$9="الكل",1, YEAR('ادخال البيانات'!$N$3:$N$1164)=VALUE($B$9))) *
            (IF($B$10="الكل",1, MONTH('ادخال البيانات'!$N$3:$N$1164)=VALUE($B$10))) *
            (IF($B$11="الكل",1, INT((DAY('ادخال البيانات'!$N$3:$N$1164)-1)/7)+1 = VALUE($B$11))),
            'ادخال البيانات'!$I$3:$I$1164
         ),
         ""
      ),
      IF(_xlpm.result="", "", _xlpm.result)
   )
)</f>
        <v/>
      </c>
      <c r="J489" s="27" t="str" cm="1">
        <f t="array" ref="J489">IF(
   A489="",
   "",
   _xlfn.LET(
      _xlpm.result,
      IFERROR(
         _xlfn.XLOOKUP(
            1,
            (Table8[رقم الصنف]=A489) *
            (IF($B$9="الكل",1, YEAR('ادخال البيانات'!$N$3:$N$1164)=VALUE($B$9))) *
            (IF($B$10="الكل",1, MONTH('ادخال البيانات'!$N$3:$N$1164)=VALUE($B$10))) *
            (IF($B$11="الكل",1, INT((DAY('ادخال البيانات'!$N$3:$N$1164)-1)/7)+1 = VALUE($B$11))),
            'ادخال البيانات'!$J$3:$J$1164
         ),
         ""
      ),
      IF(_xlpm.result="", "", _xlpm.result)
   )
)</f>
        <v/>
      </c>
      <c r="K489" s="27" t="str" cm="1">
        <f t="array" ref="K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89" s="27" t="str" cm="1">
        <f t="array" ref="L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89" s="27" t="str" cm="1">
        <f t="array" ref="M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89" s="28" t="str" cm="1">
        <f t="array" ref="N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89" s="28" t="str" cm="1">
        <f t="array" ref="O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89" s="27" t="str" cm="1">
        <f t="array" ref="P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Table8[جهة العطل]
         ),
         ""
      ),
      IF(_xlpm.result="", "", _xlpm.result)
   )
)</f>
        <v/>
      </c>
      <c r="Q489" s="27" t="str" cm="1">
        <f t="array" ref="Q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Table8[المركز]
         ),
         ""
      ),
      IF(_xlpm.result="", "", _xlpm.result)
   )
)</f>
        <v/>
      </c>
      <c r="R489" s="27" t="str" cm="1">
        <f t="array" ref="R489">IF(
   A489="",
   "",
   _xlfn.LET(
      _xlpm.result,
      IFERROR(
         _xlfn.XLOOKUP(
            1,
            (Table8[رقم الصنف]=A489) *
            (IF($B$9="الكل",1, YEAR('ادخال البيانات'!$N$3:$N$1164) = VALUE($B$9))) *
            (IF($B$10="الكل",1, MONTH('ادخال البيانات'!$N$3:$N$1164) = VALUE($B$10))) *
            (IF($B$11="الكل",1, INT((DAY('ادخال البيانات'!$N$3:$N$1164) - 1) / 7) + 1 = VALUE($B$11))),
            Table8[ملاحظة]
         ),
         ""
      ),
      IF(_xlpm.result="", "", _xlpm.result)
   )
)</f>
        <v/>
      </c>
      <c r="S489" s="27" t="str">
        <f t="shared" ca="1" si="7"/>
        <v/>
      </c>
    </row>
    <row r="490" spans="1:19" ht="27.75" customHeight="1" thickTop="1" thickBot="1" x14ac:dyDescent="0.35">
      <c r="A490" s="39"/>
      <c r="B490" s="50" t="str" cm="1">
        <f t="array" ref="B490">IF(
   OR(A490="", $B$9="", $B$10="", $B$11=""),
   "",
   _xlfn.LET(
      _xlpm.result,
      IFERROR(
         _xlfn.XLOOKUP(
            1,
            (Table8[رقم الصنف]=A490)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0" s="27" t="str" cm="1">
        <f t="array" ref="C490">IF(
   A490="",
   "",
   _xlfn.LET(
      _xlpm.result,
      IFERROR(
         _xlfn.XLOOKUP(
            1,
            (Table8[رقم الصنف]=A490) *
            (IF($B$9="الكل",1, YEAR('ادخال البيانات'!$N$3:$N$1164) = VALUE($B$9))) *
            (IF($B$10="الكل",1, MONTH('ادخال البيانات'!$N$3:$N$1164) = VALUE($B$10))) *
            (IF($B$11="الكل",1, INT((DAY('ادخال البيانات'!$N$3:$N$1164)-1)/7)+1 = VALUE($B$11))),
            'ادخال البيانات'!$C$3:$C$1164
         ),
         ""
      ),
      IF(_xlpm.result="", "", _xlpm.result)
   )
)</f>
        <v/>
      </c>
      <c r="D490" s="27" t="str" cm="1">
        <f t="array" ref="D490">IF(
   OR(A490="", $B$9="", $B$10="", $B$11=""),
   "",
   _xlfn.LET(
      _xlpm.result,
      IFERROR(
         _xlfn.XLOOKUP(
            1,
            (Table8[رقم الصنف]=A490) *
            (IF($B$9="الكل",1, YEAR('ادخال البيانات'!$N$3:$N$1164)=VALUE($B$9))) *
            (IF($B$10="الكل",1, MONTH('ادخال البيانات'!$N$3:$N$1164)=VALUE($B$10))) *
            (IF($B$11="الكل",1, INT((DAY('ادخال البيانات'!$N$3:$N$1164)-1)/7)+1 = VALUE($B$11))),
            'ادخال البيانات'!$D$3:$D$1164
         ),
         ""
      ),
      IF(_xlpm.result="", "", _xlpm.result)
   )
)</f>
        <v/>
      </c>
      <c r="E490" s="27" t="str" cm="1">
        <f t="array" ref="E490">IF(
   A490="",
   "",
   _xlfn.LET(
      _xlpm.result,
      IFERROR(
         _xlfn.XLOOKUP(
            1,
            (Table8[رقم الصنف]=A490) *
            (IF($B$9="الكل",1, YEAR('ادخال البيانات'!$N$3:$N$1164)=VALUE($B$9))) *
            (IF($B$10="الكل",1, MONTH('ادخال البيانات'!$N$3:$N$1164)=VALUE($B$10))) *
            (IF($B$11="الكل",1, INT((DAY('ادخال البيانات'!$N$3:$N$1164)-1)/7)+1 = VALUE($B$11))),
            'ادخال البيانات'!$E$3:$E$1164
         ),
         ""
      ),
      IF(_xlpm.result="", "", _xlpm.result)
   )
)</f>
        <v/>
      </c>
      <c r="F490" s="27" t="str" cm="1">
        <f t="array" ref="F490">IF(
   A490="",
   "",
   _xlfn.LET(
      _xlpm.result,
      IFERROR(
         _xlfn.XLOOKUP(
            1,
            (Table8[رقم الصنف]=A490) *
            (IF($B$9="الكل",1, YEAR('ادخال البيانات'!$N$3:$N$1164) = VALUE($B$9))) *
            (IF($B$10="الكل",1, MONTH('ادخال البيانات'!$N$3:$N$1164) = VALUE($B$10))) *
            (IF($B$11="الكل",1, INT((DAY('ادخال البيانات'!$N$3:$N$1164)-1)/7)+1 = VALUE($B$11))),
            'ادخال البيانات'!$F$3:$F$1164
         ),
         ""
      ),
      IF(_xlpm.result="", "", _xlpm.result)
   )
)</f>
        <v/>
      </c>
      <c r="G490" s="27" t="str" cm="1">
        <f t="array" ref="G490">IF(
   A490="",
   "",
   _xlfn.LET(
      _xlpm.result,
      IFERROR(
         _xlfn.XLOOKUP(
            1,
            (Table8[رقم الصنف]=A490) *
            (IF($B$9="الكل",1, YEAR('ادخال البيانات'!$N$3:$N$1164)=VALUE($B$9))) *
            (IF($B$10="الكل",1, MONTH('ادخال البيانات'!$N$3:$N$1164)=VALUE($B$10))) *
            (IF($B$11="الكل",1, INT((DAY('ادخال البيانات'!$N$3:$N$1164)-1)/7)+1 = VALUE($B$11))),
            'ادخال البيانات'!$G$3:$G$1164
         ),
         ""
      ),
      IF(_xlpm.result="", "", _xlpm.result)
   )
)</f>
        <v/>
      </c>
      <c r="H490" s="27" t="str" cm="1">
        <f t="array" ref="H490">IF(
   A490="",
   "",
   _xlfn.LET(
      _xlpm.result,
      IFERROR(
         _xlfn.XLOOKUP(
            1,
            (Table8[رقم الصنف]=A490) *
            (IF($B$9="الكل",1, YEAR('ادخال البيانات'!$N$3:$N$1164)=VALUE($B$9))) *
            (IF($B$10="الكل",1, MONTH('ادخال البيانات'!$N$3:$N$1164)=VALUE($B$10))) *
            (IF($B$11="الكل",1, INT((DAY('ادخال البيانات'!$N$3:$N$1164)-1)/7)+1 = VALUE($B$11))),
            'ادخال البيانات'!$H$3:$H$1164
         ),
         ""
      ),
      IF(_xlpm.result="", "", _xlpm.result)
   )
)</f>
        <v/>
      </c>
      <c r="I490" s="27" t="str" cm="1">
        <f t="array" ref="I490">IF(
   A490="",
   "",
   _xlfn.LET(
      _xlpm.result,
      IFERROR(
         _xlfn.XLOOKUP(
            1,
            (Table8[رقم الصنف]=A490) *
            (IF($B$9="الكل",1, YEAR('ادخال البيانات'!$N$3:$N$1164)=VALUE($B$9))) *
            (IF($B$10="الكل",1, MONTH('ادخال البيانات'!$N$3:$N$1164)=VALUE($B$10))) *
            (IF($B$11="الكل",1, INT((DAY('ادخال البيانات'!$N$3:$N$1164)-1)/7)+1 = VALUE($B$11))),
            'ادخال البيانات'!$I$3:$I$1164
         ),
         ""
      ),
      IF(_xlpm.result="", "", _xlpm.result)
   )
)</f>
        <v/>
      </c>
      <c r="J490" s="27" t="str" cm="1">
        <f t="array" ref="J490">IF(
   A490="",
   "",
   _xlfn.LET(
      _xlpm.result,
      IFERROR(
         _xlfn.XLOOKUP(
            1,
            (Table8[رقم الصنف]=A490) *
            (IF($B$9="الكل",1, YEAR('ادخال البيانات'!$N$3:$N$1164)=VALUE($B$9))) *
            (IF($B$10="الكل",1, MONTH('ادخال البيانات'!$N$3:$N$1164)=VALUE($B$10))) *
            (IF($B$11="الكل",1, INT((DAY('ادخال البيانات'!$N$3:$N$1164)-1)/7)+1 = VALUE($B$11))),
            'ادخال البيانات'!$J$3:$J$1164
         ),
         ""
      ),
      IF(_xlpm.result="", "", _xlpm.result)
   )
)</f>
        <v/>
      </c>
      <c r="K490" s="27" t="str" cm="1">
        <f t="array" ref="K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0" s="27" t="str" cm="1">
        <f t="array" ref="L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0" s="27" t="str" cm="1">
        <f t="array" ref="M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0" s="28" t="str" cm="1">
        <f t="array" ref="N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0" s="28" t="str" cm="1">
        <f t="array" ref="O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0" s="27" t="str" cm="1">
        <f t="array" ref="P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Table8[جهة العطل]
         ),
         ""
      ),
      IF(_xlpm.result="", "", _xlpm.result)
   )
)</f>
        <v/>
      </c>
      <c r="Q490" s="27" t="str" cm="1">
        <f t="array" ref="Q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Table8[المركز]
         ),
         ""
      ),
      IF(_xlpm.result="", "", _xlpm.result)
   )
)</f>
        <v/>
      </c>
      <c r="R490" s="27" t="str" cm="1">
        <f t="array" ref="R490">IF(
   A490="",
   "",
   _xlfn.LET(
      _xlpm.result,
      IFERROR(
         _xlfn.XLOOKUP(
            1,
            (Table8[رقم الصنف]=A490) *
            (IF($B$9="الكل",1, YEAR('ادخال البيانات'!$N$3:$N$1164) = VALUE($B$9))) *
            (IF($B$10="الكل",1, MONTH('ادخال البيانات'!$N$3:$N$1164) = VALUE($B$10))) *
            (IF($B$11="الكل",1, INT((DAY('ادخال البيانات'!$N$3:$N$1164) - 1) / 7) + 1 = VALUE($B$11))),
            Table8[ملاحظة]
         ),
         ""
      ),
      IF(_xlpm.result="", "", _xlpm.result)
   )
)</f>
        <v/>
      </c>
      <c r="S490" s="27" t="str">
        <f t="shared" ca="1" si="7"/>
        <v/>
      </c>
    </row>
    <row r="491" spans="1:19" ht="27.75" customHeight="1" thickTop="1" thickBot="1" x14ac:dyDescent="0.35">
      <c r="A491" s="39"/>
      <c r="B491" s="50" t="str" cm="1">
        <f t="array" ref="B491">IF(
   OR(A491="", $B$9="", $B$10="", $B$11=""),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1" s="27" t="str" cm="1">
        <f t="array" ref="C491">IF(
   A491="",
   "",
   _xlfn.LET(
      _xlpm.result,
      IFERROR(
         _xlfn.XLOOKUP(
            1,
            (Table8[رقم الصنف]=A491) *
            (IF($B$9="الكل",1, YEAR('ادخال البيانات'!$N$3:$N$1164) = VALUE($B$9))) *
            (IF($B$10="الكل",1, MONTH('ادخال البيانات'!$N$3:$N$1164) = VALUE($B$10))) *
            (IF($B$11="الكل",1, INT((DAY('ادخال البيانات'!$N$3:$N$1164)-1)/7)+1 = VALUE($B$11))),
            'ادخال البيانات'!$C$3:$C$1164
         ),
         ""
      ),
      IF(_xlpm.result="", "", _xlpm.result)
   )
)</f>
        <v/>
      </c>
      <c r="D491" s="27" t="str" cm="1">
        <f t="array" ref="D491">IF(
   OR(A491="", $B$9="", $B$10="", $B$11=""),
   "",
   _xlfn.LET(
      _xlpm.result,
      IFERROR(
         _xlfn.XLOOKUP(
            1,
            (Table8[رقم الصنف]=A491) *
            (IF($B$9="الكل",1, YEAR('ادخال البيانات'!$N$3:$N$1164)=VALUE($B$9))) *
            (IF($B$10="الكل",1, MONTH('ادخال البيانات'!$N$3:$N$1164)=VALUE($B$10))) *
            (IF($B$11="الكل",1, INT((DAY('ادخال البيانات'!$N$3:$N$1164)-1)/7)+1 = VALUE($B$11))),
            'ادخال البيانات'!$D$3:$D$1164
         ),
         ""
      ),
      IF(_xlpm.result="", "", _xlpm.result)
   )
)</f>
        <v/>
      </c>
      <c r="E491" s="27" t="str" cm="1">
        <f t="array" ref="E491">IF(
   A491="",
   "",
   _xlfn.LET(
      _xlpm.result,
      IFERROR(
         _xlfn.XLOOKUP(
            1,
            (Table8[رقم الصنف]=A491) *
            (IF($B$9="الكل",1, YEAR('ادخال البيانات'!$N$3:$N$1164)=VALUE($B$9))) *
            (IF($B$10="الكل",1, MONTH('ادخال البيانات'!$N$3:$N$1164)=VALUE($B$10))) *
            (IF($B$11="الكل",1, INT((DAY('ادخال البيانات'!$N$3:$N$1164)-1)/7)+1 = VALUE($B$11))),
            'ادخال البيانات'!$E$3:$E$1164
         ),
         ""
      ),
      IF(_xlpm.result="", "", _xlpm.result)
   )
)</f>
        <v/>
      </c>
      <c r="F491" s="27" t="str" cm="1">
        <f t="array" ref="F491">IF(
   A491="",
   "",
   _xlfn.LET(
      _xlpm.result,
      IFERROR(
         _xlfn.XLOOKUP(
            1,
            (Table8[رقم الصنف]=A491) *
            (IF($B$9="الكل",1, YEAR('ادخال البيانات'!$N$3:$N$1164) = VALUE($B$9))) *
            (IF($B$10="الكل",1, MONTH('ادخال البيانات'!$N$3:$N$1164) = VALUE($B$10))) *
            (IF($B$11="الكل",1, INT((DAY('ادخال البيانات'!$N$3:$N$1164)-1)/7)+1 = VALUE($B$11))),
            'ادخال البيانات'!$F$3:$F$1164
         ),
         ""
      ),
      IF(_xlpm.result="", "", _xlpm.result)
   )
)</f>
        <v/>
      </c>
      <c r="G491" s="27" t="str" cm="1">
        <f t="array" ref="G491">IF(
   A491="",
   "",
   _xlfn.LET(
      _xlpm.result,
      IFERROR(
         _xlfn.XLOOKUP(
            1,
            (Table8[رقم الصنف]=A491) *
            (IF($B$9="الكل",1, YEAR('ادخال البيانات'!$N$3:$N$1164)=VALUE($B$9))) *
            (IF($B$10="الكل",1, MONTH('ادخال البيانات'!$N$3:$N$1164)=VALUE($B$10))) *
            (IF($B$11="الكل",1, INT((DAY('ادخال البيانات'!$N$3:$N$1164)-1)/7)+1 = VALUE($B$11))),
            'ادخال البيانات'!$G$3:$G$1164
         ),
         ""
      ),
      IF(_xlpm.result="", "", _xlpm.result)
   )
)</f>
        <v/>
      </c>
      <c r="H491" s="27" t="str" cm="1">
        <f t="array" ref="H491">IF(
   A491="",
   "",
   _xlfn.LET(
      _xlpm.result,
      IFERROR(
         _xlfn.XLOOKUP(
            1,
            (Table8[رقم الصنف]=A491) *
            (IF($B$9="الكل",1, YEAR('ادخال البيانات'!$N$3:$N$1164)=VALUE($B$9))) *
            (IF($B$10="الكل",1, MONTH('ادخال البيانات'!$N$3:$N$1164)=VALUE($B$10))) *
            (IF($B$11="الكل",1, INT((DAY('ادخال البيانات'!$N$3:$N$1164)-1)/7)+1 = VALUE($B$11))),
            'ادخال البيانات'!$H$3:$H$1164
         ),
         ""
      ),
      IF(_xlpm.result="", "", _xlpm.result)
   )
)</f>
        <v/>
      </c>
      <c r="I491" s="27" t="str" cm="1">
        <f t="array" ref="I491">IF(
   A491="",
   "",
   _xlfn.LET(
      _xlpm.result,
      IFERROR(
         _xlfn.XLOOKUP(
            1,
            (Table8[رقم الصنف]=A491) *
            (IF($B$9="الكل",1, YEAR('ادخال البيانات'!$N$3:$N$1164)=VALUE($B$9))) *
            (IF($B$10="الكل",1, MONTH('ادخال البيانات'!$N$3:$N$1164)=VALUE($B$10))) *
            (IF($B$11="الكل",1, INT((DAY('ادخال البيانات'!$N$3:$N$1164)-1)/7)+1 = VALUE($B$11))),
            'ادخال البيانات'!$I$3:$I$1164
         ),
         ""
      ),
      IF(_xlpm.result="", "", _xlpm.result)
   )
)</f>
        <v/>
      </c>
      <c r="J491" s="27" t="str" cm="1">
        <f t="array" ref="J491">IF(
   A491="",
   "",
   _xlfn.LET(
      _xlpm.result,
      IFERROR(
         _xlfn.XLOOKUP(
            1,
            (Table8[رقم الصنف]=A491) *
            (IF($B$9="الكل",1, YEAR('ادخال البيانات'!$N$3:$N$1164)=VALUE($B$9))) *
            (IF($B$10="الكل",1, MONTH('ادخال البيانات'!$N$3:$N$1164)=VALUE($B$10))) *
            (IF($B$11="الكل",1, INT((DAY('ادخال البيانات'!$N$3:$N$1164)-1)/7)+1 = VALUE($B$11))),
            'ادخال البيانات'!$J$3:$J$1164
         ),
         ""
      ),
      IF(_xlpm.result="", "", _xlpm.result)
   )
)</f>
        <v/>
      </c>
      <c r="K491" s="27" t="str" cm="1">
        <f t="array" ref="K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1" s="27" t="str" cm="1">
        <f t="array" ref="L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1" s="27" t="str" cm="1">
        <f t="array" ref="M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1" s="28" t="str" cm="1">
        <f t="array" ref="N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1" s="28" t="str" cm="1">
        <f t="array" ref="O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1" s="27" t="str" cm="1">
        <f t="array" ref="P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Table8[جهة العطل]
         ),
         ""
      ),
      IF(_xlpm.result="", "", _xlpm.result)
   )
)</f>
        <v/>
      </c>
      <c r="Q491" s="27" t="str" cm="1">
        <f t="array" ref="Q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Table8[المركز]
         ),
         ""
      ),
      IF(_xlpm.result="", "", _xlpm.result)
   )
)</f>
        <v/>
      </c>
      <c r="R491" s="27" t="str" cm="1">
        <f t="array" ref="R491">IF(
   A491="",
   "",
   _xlfn.LET(
      _xlpm.result,
      IFERROR(
         _xlfn.XLOOKUP(
            1,
            (Table8[رقم الصنف]=A491) *
            (IF($B$9="الكل",1, YEAR('ادخال البيانات'!$N$3:$N$1164) = VALUE($B$9))) *
            (IF($B$10="الكل",1, MONTH('ادخال البيانات'!$N$3:$N$1164) = VALUE($B$10))) *
            (IF($B$11="الكل",1, INT((DAY('ادخال البيانات'!$N$3:$N$1164) - 1) / 7) + 1 = VALUE($B$11))),
            Table8[ملاحظة]
         ),
         ""
      ),
      IF(_xlpm.result="", "", _xlpm.result)
   )
)</f>
        <v/>
      </c>
      <c r="S491" s="27" t="str">
        <f t="shared" ca="1" si="7"/>
        <v/>
      </c>
    </row>
    <row r="492" spans="1:19" ht="27.75" customHeight="1" thickTop="1" thickBot="1" x14ac:dyDescent="0.35">
      <c r="A492" s="39"/>
      <c r="B492" s="50" t="str" cm="1">
        <f t="array" ref="B492">IF(
   OR(A492="", $B$9="", $B$10="", $B$11=""),
   "",
   _xlfn.LET(
      _xlpm.result,
      IFERROR(
         _xlfn.XLOOKUP(
            1,
            (Table8[رقم الصنف]=A492)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2" s="27" t="str" cm="1">
        <f t="array" ref="C492">IF(
   A492="",
   "",
   _xlfn.LET(
      _xlpm.result,
      IFERROR(
         _xlfn.XLOOKUP(
            1,
            (Table8[رقم الصنف]=A492) *
            (IF($B$9="الكل",1, YEAR('ادخال البيانات'!$N$3:$N$1164) = VALUE($B$9))) *
            (IF($B$10="الكل",1, MONTH('ادخال البيانات'!$N$3:$N$1164) = VALUE($B$10))) *
            (IF($B$11="الكل",1, INT((DAY('ادخال البيانات'!$N$3:$N$1164)-1)/7)+1 = VALUE($B$11))),
            'ادخال البيانات'!$C$3:$C$1164
         ),
         ""
      ),
      IF(_xlpm.result="", "", _xlpm.result)
   )
)</f>
        <v/>
      </c>
      <c r="D492" s="27" t="str" cm="1">
        <f t="array" ref="D492">IF(
   OR(A492="", $B$9="", $B$10="", $B$11=""),
   "",
   _xlfn.LET(
      _xlpm.result,
      IFERROR(
         _xlfn.XLOOKUP(
            1,
            (Table8[رقم الصنف]=A492) *
            (IF($B$9="الكل",1, YEAR('ادخال البيانات'!$N$3:$N$1164)=VALUE($B$9))) *
            (IF($B$10="الكل",1, MONTH('ادخال البيانات'!$N$3:$N$1164)=VALUE($B$10))) *
            (IF($B$11="الكل",1, INT((DAY('ادخال البيانات'!$N$3:$N$1164)-1)/7)+1 = VALUE($B$11))),
            'ادخال البيانات'!$D$3:$D$1164
         ),
         ""
      ),
      IF(_xlpm.result="", "", _xlpm.result)
   )
)</f>
        <v/>
      </c>
      <c r="E492" s="27" t="str" cm="1">
        <f t="array" ref="E492">IF(
   A492="",
   "",
   _xlfn.LET(
      _xlpm.result,
      IFERROR(
         _xlfn.XLOOKUP(
            1,
            (Table8[رقم الصنف]=A492) *
            (IF($B$9="الكل",1, YEAR('ادخال البيانات'!$N$3:$N$1164)=VALUE($B$9))) *
            (IF($B$10="الكل",1, MONTH('ادخال البيانات'!$N$3:$N$1164)=VALUE($B$10))) *
            (IF($B$11="الكل",1, INT((DAY('ادخال البيانات'!$N$3:$N$1164)-1)/7)+1 = VALUE($B$11))),
            'ادخال البيانات'!$E$3:$E$1164
         ),
         ""
      ),
      IF(_xlpm.result="", "", _xlpm.result)
   )
)</f>
        <v/>
      </c>
      <c r="F492" s="27" t="str" cm="1">
        <f t="array" ref="F492">IF(
   A492="",
   "",
   _xlfn.LET(
      _xlpm.result,
      IFERROR(
         _xlfn.XLOOKUP(
            1,
            (Table8[رقم الصنف]=A492) *
            (IF($B$9="الكل",1, YEAR('ادخال البيانات'!$N$3:$N$1164) = VALUE($B$9))) *
            (IF($B$10="الكل",1, MONTH('ادخال البيانات'!$N$3:$N$1164) = VALUE($B$10))) *
            (IF($B$11="الكل",1, INT((DAY('ادخال البيانات'!$N$3:$N$1164)-1)/7)+1 = VALUE($B$11))),
            'ادخال البيانات'!$F$3:$F$1164
         ),
         ""
      ),
      IF(_xlpm.result="", "", _xlpm.result)
   )
)</f>
        <v/>
      </c>
      <c r="G492" s="27" t="str" cm="1">
        <f t="array" ref="G492">IF(
   A492="",
   "",
   _xlfn.LET(
      _xlpm.result,
      IFERROR(
         _xlfn.XLOOKUP(
            1,
            (Table8[رقم الصنف]=A492) *
            (IF($B$9="الكل",1, YEAR('ادخال البيانات'!$N$3:$N$1164)=VALUE($B$9))) *
            (IF($B$10="الكل",1, MONTH('ادخال البيانات'!$N$3:$N$1164)=VALUE($B$10))) *
            (IF($B$11="الكل",1, INT((DAY('ادخال البيانات'!$N$3:$N$1164)-1)/7)+1 = VALUE($B$11))),
            'ادخال البيانات'!$G$3:$G$1164
         ),
         ""
      ),
      IF(_xlpm.result="", "", _xlpm.result)
   )
)</f>
        <v/>
      </c>
      <c r="H492" s="27" t="str" cm="1">
        <f t="array" ref="H492">IF(
   A492="",
   "",
   _xlfn.LET(
      _xlpm.result,
      IFERROR(
         _xlfn.XLOOKUP(
            1,
            (Table8[رقم الصنف]=A492) *
            (IF($B$9="الكل",1, YEAR('ادخال البيانات'!$N$3:$N$1164)=VALUE($B$9))) *
            (IF($B$10="الكل",1, MONTH('ادخال البيانات'!$N$3:$N$1164)=VALUE($B$10))) *
            (IF($B$11="الكل",1, INT((DAY('ادخال البيانات'!$N$3:$N$1164)-1)/7)+1 = VALUE($B$11))),
            'ادخال البيانات'!$H$3:$H$1164
         ),
         ""
      ),
      IF(_xlpm.result="", "", _xlpm.result)
   )
)</f>
        <v/>
      </c>
      <c r="I492" s="27" t="str" cm="1">
        <f t="array" ref="I492">IF(
   A492="",
   "",
   _xlfn.LET(
      _xlpm.result,
      IFERROR(
         _xlfn.XLOOKUP(
            1,
            (Table8[رقم الصنف]=A492) *
            (IF($B$9="الكل",1, YEAR('ادخال البيانات'!$N$3:$N$1164)=VALUE($B$9))) *
            (IF($B$10="الكل",1, MONTH('ادخال البيانات'!$N$3:$N$1164)=VALUE($B$10))) *
            (IF($B$11="الكل",1, INT((DAY('ادخال البيانات'!$N$3:$N$1164)-1)/7)+1 = VALUE($B$11))),
            'ادخال البيانات'!$I$3:$I$1164
         ),
         ""
      ),
      IF(_xlpm.result="", "", _xlpm.result)
   )
)</f>
        <v/>
      </c>
      <c r="J492" s="27" t="str" cm="1">
        <f t="array" ref="J492">IF(
   A492="",
   "",
   _xlfn.LET(
      _xlpm.result,
      IFERROR(
         _xlfn.XLOOKUP(
            1,
            (Table8[رقم الصنف]=A492) *
            (IF($B$9="الكل",1, YEAR('ادخال البيانات'!$N$3:$N$1164)=VALUE($B$9))) *
            (IF($B$10="الكل",1, MONTH('ادخال البيانات'!$N$3:$N$1164)=VALUE($B$10))) *
            (IF($B$11="الكل",1, INT((DAY('ادخال البيانات'!$N$3:$N$1164)-1)/7)+1 = VALUE($B$11))),
            'ادخال البيانات'!$J$3:$J$1164
         ),
         ""
      ),
      IF(_xlpm.result="", "", _xlpm.result)
   )
)</f>
        <v/>
      </c>
      <c r="K492" s="27" t="str" cm="1">
        <f t="array" ref="K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2" s="27" t="str" cm="1">
        <f t="array" ref="L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2" s="27" t="str" cm="1">
        <f t="array" ref="M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2" s="28" t="str" cm="1">
        <f t="array" ref="N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2" s="28" t="str" cm="1">
        <f t="array" ref="O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2" s="27" t="str" cm="1">
        <f t="array" ref="P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Table8[جهة العطل]
         ),
         ""
      ),
      IF(_xlpm.result="", "", _xlpm.result)
   )
)</f>
        <v/>
      </c>
      <c r="Q492" s="27" t="str" cm="1">
        <f t="array" ref="Q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Table8[المركز]
         ),
         ""
      ),
      IF(_xlpm.result="", "", _xlpm.result)
   )
)</f>
        <v/>
      </c>
      <c r="R492" s="27" t="str" cm="1">
        <f t="array" ref="R492">IF(
   A492="",
   "",
   _xlfn.LET(
      _xlpm.result,
      IFERROR(
         _xlfn.XLOOKUP(
            1,
            (Table8[رقم الصنف]=A492) *
            (IF($B$9="الكل",1, YEAR('ادخال البيانات'!$N$3:$N$1164) = VALUE($B$9))) *
            (IF($B$10="الكل",1, MONTH('ادخال البيانات'!$N$3:$N$1164) = VALUE($B$10))) *
            (IF($B$11="الكل",1, INT((DAY('ادخال البيانات'!$N$3:$N$1164) - 1) / 7) + 1 = VALUE($B$11))),
            Table8[ملاحظة]
         ),
         ""
      ),
      IF(_xlpm.result="", "", _xlpm.result)
   )
)</f>
        <v/>
      </c>
      <c r="S492" s="27" t="str">
        <f t="shared" ca="1" si="7"/>
        <v/>
      </c>
    </row>
    <row r="493" spans="1:19" ht="27.75" customHeight="1" thickTop="1" thickBot="1" x14ac:dyDescent="0.35">
      <c r="A493" s="39"/>
      <c r="B493" s="50" t="str" cm="1">
        <f t="array" ref="B493">IF(
   OR(A493="", $B$9="", $B$10="", $B$11=""),
   "",
   _xlfn.LET(
      _xlpm.result,
      IFERROR(
         _xlfn.XLOOKUP(
            1,
            (Table8[رقم الصنف]=A493)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3" s="27" t="str" cm="1">
        <f t="array" ref="C493">IF(
   A493="",
   "",
   _xlfn.LET(
      _xlpm.result,
      IFERROR(
         _xlfn.XLOOKUP(
            1,
            (Table8[رقم الصنف]=A493) *
            (IF($B$9="الكل",1, YEAR('ادخال البيانات'!$N$3:$N$1164) = VALUE($B$9))) *
            (IF($B$10="الكل",1, MONTH('ادخال البيانات'!$N$3:$N$1164) = VALUE($B$10))) *
            (IF($B$11="الكل",1, INT((DAY('ادخال البيانات'!$N$3:$N$1164)-1)/7)+1 = VALUE($B$11))),
            'ادخال البيانات'!$C$3:$C$1164
         ),
         ""
      ),
      IF(_xlpm.result="", "", _xlpm.result)
   )
)</f>
        <v/>
      </c>
      <c r="D493" s="27" t="str" cm="1">
        <f t="array" ref="D493">IF(
   OR(A493="", $B$9="", $B$10="", $B$11=""),
   "",
   _xlfn.LET(
      _xlpm.result,
      IFERROR(
         _xlfn.XLOOKUP(
            1,
            (Table8[رقم الصنف]=A493) *
            (IF($B$9="الكل",1, YEAR('ادخال البيانات'!$N$3:$N$1164)=VALUE($B$9))) *
            (IF($B$10="الكل",1, MONTH('ادخال البيانات'!$N$3:$N$1164)=VALUE($B$10))) *
            (IF($B$11="الكل",1, INT((DAY('ادخال البيانات'!$N$3:$N$1164)-1)/7)+1 = VALUE($B$11))),
            'ادخال البيانات'!$D$3:$D$1164
         ),
         ""
      ),
      IF(_xlpm.result="", "", _xlpm.result)
   )
)</f>
        <v/>
      </c>
      <c r="E493" s="27" t="str" cm="1">
        <f t="array" ref="E493">IF(
   A493="",
   "",
   _xlfn.LET(
      _xlpm.result,
      IFERROR(
         _xlfn.XLOOKUP(
            1,
            (Table8[رقم الصنف]=A493) *
            (IF($B$9="الكل",1, YEAR('ادخال البيانات'!$N$3:$N$1164)=VALUE($B$9))) *
            (IF($B$10="الكل",1, MONTH('ادخال البيانات'!$N$3:$N$1164)=VALUE($B$10))) *
            (IF($B$11="الكل",1, INT((DAY('ادخال البيانات'!$N$3:$N$1164)-1)/7)+1 = VALUE($B$11))),
            'ادخال البيانات'!$E$3:$E$1164
         ),
         ""
      ),
      IF(_xlpm.result="", "", _xlpm.result)
   )
)</f>
        <v/>
      </c>
      <c r="F493" s="27" t="str" cm="1">
        <f t="array" ref="F493">IF(
   A493="",
   "",
   _xlfn.LET(
      _xlpm.result,
      IFERROR(
         _xlfn.XLOOKUP(
            1,
            (Table8[رقم الصنف]=A493) *
            (IF($B$9="الكل",1, YEAR('ادخال البيانات'!$N$3:$N$1164) = VALUE($B$9))) *
            (IF($B$10="الكل",1, MONTH('ادخال البيانات'!$N$3:$N$1164) = VALUE($B$10))) *
            (IF($B$11="الكل",1, INT((DAY('ادخال البيانات'!$N$3:$N$1164)-1)/7)+1 = VALUE($B$11))),
            'ادخال البيانات'!$F$3:$F$1164
         ),
         ""
      ),
      IF(_xlpm.result="", "", _xlpm.result)
   )
)</f>
        <v/>
      </c>
      <c r="G493" s="27" t="str" cm="1">
        <f t="array" ref="G493">IF(
   A493="",
   "",
   _xlfn.LET(
      _xlpm.result,
      IFERROR(
         _xlfn.XLOOKUP(
            1,
            (Table8[رقم الصنف]=A493) *
            (IF($B$9="الكل",1, YEAR('ادخال البيانات'!$N$3:$N$1164)=VALUE($B$9))) *
            (IF($B$10="الكل",1, MONTH('ادخال البيانات'!$N$3:$N$1164)=VALUE($B$10))) *
            (IF($B$11="الكل",1, INT((DAY('ادخال البيانات'!$N$3:$N$1164)-1)/7)+1 = VALUE($B$11))),
            'ادخال البيانات'!$G$3:$G$1164
         ),
         ""
      ),
      IF(_xlpm.result="", "", _xlpm.result)
   )
)</f>
        <v/>
      </c>
      <c r="H493" s="27" t="str" cm="1">
        <f t="array" ref="H493">IF(
   A493="",
   "",
   _xlfn.LET(
      _xlpm.result,
      IFERROR(
         _xlfn.XLOOKUP(
            1,
            (Table8[رقم الصنف]=A493) *
            (IF($B$9="الكل",1, YEAR('ادخال البيانات'!$N$3:$N$1164)=VALUE($B$9))) *
            (IF($B$10="الكل",1, MONTH('ادخال البيانات'!$N$3:$N$1164)=VALUE($B$10))) *
            (IF($B$11="الكل",1, INT((DAY('ادخال البيانات'!$N$3:$N$1164)-1)/7)+1 = VALUE($B$11))),
            'ادخال البيانات'!$H$3:$H$1164
         ),
         ""
      ),
      IF(_xlpm.result="", "", _xlpm.result)
   )
)</f>
        <v/>
      </c>
      <c r="I493" s="27" t="str" cm="1">
        <f t="array" ref="I493">IF(
   A493="",
   "",
   _xlfn.LET(
      _xlpm.result,
      IFERROR(
         _xlfn.XLOOKUP(
            1,
            (Table8[رقم الصنف]=A493) *
            (IF($B$9="الكل",1, YEAR('ادخال البيانات'!$N$3:$N$1164)=VALUE($B$9))) *
            (IF($B$10="الكل",1, MONTH('ادخال البيانات'!$N$3:$N$1164)=VALUE($B$10))) *
            (IF($B$11="الكل",1, INT((DAY('ادخال البيانات'!$N$3:$N$1164)-1)/7)+1 = VALUE($B$11))),
            'ادخال البيانات'!$I$3:$I$1164
         ),
         ""
      ),
      IF(_xlpm.result="", "", _xlpm.result)
   )
)</f>
        <v/>
      </c>
      <c r="J493" s="27" t="str" cm="1">
        <f t="array" ref="J493">IF(
   A493="",
   "",
   _xlfn.LET(
      _xlpm.result,
      IFERROR(
         _xlfn.XLOOKUP(
            1,
            (Table8[رقم الصنف]=A493) *
            (IF($B$9="الكل",1, YEAR('ادخال البيانات'!$N$3:$N$1164)=VALUE($B$9))) *
            (IF($B$10="الكل",1, MONTH('ادخال البيانات'!$N$3:$N$1164)=VALUE($B$10))) *
            (IF($B$11="الكل",1, INT((DAY('ادخال البيانات'!$N$3:$N$1164)-1)/7)+1 = VALUE($B$11))),
            'ادخال البيانات'!$J$3:$J$1164
         ),
         ""
      ),
      IF(_xlpm.result="", "", _xlpm.result)
   )
)</f>
        <v/>
      </c>
      <c r="K493" s="27" t="str" cm="1">
        <f t="array" ref="K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3" s="27" t="str" cm="1">
        <f t="array" ref="L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3" s="27" t="str" cm="1">
        <f t="array" ref="M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3" s="28" t="str" cm="1">
        <f t="array" ref="N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3" s="28" t="str" cm="1">
        <f t="array" ref="O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3" s="27" t="str" cm="1">
        <f t="array" ref="P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Table8[جهة العطل]
         ),
         ""
      ),
      IF(_xlpm.result="", "", _xlpm.result)
   )
)</f>
        <v/>
      </c>
      <c r="Q493" s="27" t="str" cm="1">
        <f t="array" ref="Q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Table8[المركز]
         ),
         ""
      ),
      IF(_xlpm.result="", "", _xlpm.result)
   )
)</f>
        <v/>
      </c>
      <c r="R493" s="27" t="str" cm="1">
        <f t="array" ref="R493">IF(
   A493="",
   "",
   _xlfn.LET(
      _xlpm.result,
      IFERROR(
         _xlfn.XLOOKUP(
            1,
            (Table8[رقم الصنف]=A493) *
            (IF($B$9="الكل",1, YEAR('ادخال البيانات'!$N$3:$N$1164) = VALUE($B$9))) *
            (IF($B$10="الكل",1, MONTH('ادخال البيانات'!$N$3:$N$1164) = VALUE($B$10))) *
            (IF($B$11="الكل",1, INT((DAY('ادخال البيانات'!$N$3:$N$1164) - 1) / 7) + 1 = VALUE($B$11))),
            Table8[ملاحظة]
         ),
         ""
      ),
      IF(_xlpm.result="", "", _xlpm.result)
   )
)</f>
        <v/>
      </c>
      <c r="S493" s="27" t="str">
        <f t="shared" ca="1" si="7"/>
        <v/>
      </c>
    </row>
    <row r="494" spans="1:19" ht="27.75" customHeight="1" thickTop="1" thickBot="1" x14ac:dyDescent="0.35">
      <c r="A494" s="39"/>
      <c r="B494" s="50" t="str" cm="1">
        <f t="array" ref="B494">IF(
   OR(A494="", $B$9="", $B$10="", $B$11=""),
   "",
   _xlfn.LET(
      _xlpm.result,
      IFERROR(
         _xlfn.XLOOKUP(
            1,
            (Table8[رقم الصنف]=A494)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4" s="27" t="str" cm="1">
        <f t="array" ref="C494">IF(
   A494="",
   "",
   _xlfn.LET(
      _xlpm.result,
      IFERROR(
         _xlfn.XLOOKUP(
            1,
            (Table8[رقم الصنف]=A494) *
            (IF($B$9="الكل",1, YEAR('ادخال البيانات'!$N$3:$N$1164) = VALUE($B$9))) *
            (IF($B$10="الكل",1, MONTH('ادخال البيانات'!$N$3:$N$1164) = VALUE($B$10))) *
            (IF($B$11="الكل",1, INT((DAY('ادخال البيانات'!$N$3:$N$1164)-1)/7)+1 = VALUE($B$11))),
            'ادخال البيانات'!$C$3:$C$1164
         ),
         ""
      ),
      IF(_xlpm.result="", "", _xlpm.result)
   )
)</f>
        <v/>
      </c>
      <c r="D494" s="27" t="str" cm="1">
        <f t="array" ref="D494">IF(
   OR(A494="", $B$9="", $B$10="", $B$11=""),
   "",
   _xlfn.LET(
      _xlpm.result,
      IFERROR(
         _xlfn.XLOOKUP(
            1,
            (Table8[رقم الصنف]=A494) *
            (IF($B$9="الكل",1, YEAR('ادخال البيانات'!$N$3:$N$1164)=VALUE($B$9))) *
            (IF($B$10="الكل",1, MONTH('ادخال البيانات'!$N$3:$N$1164)=VALUE($B$10))) *
            (IF($B$11="الكل",1, INT((DAY('ادخال البيانات'!$N$3:$N$1164)-1)/7)+1 = VALUE($B$11))),
            'ادخال البيانات'!$D$3:$D$1164
         ),
         ""
      ),
      IF(_xlpm.result="", "", _xlpm.result)
   )
)</f>
        <v/>
      </c>
      <c r="E494" s="27" t="str" cm="1">
        <f t="array" ref="E494">IF(
   A494="",
   "",
   _xlfn.LET(
      _xlpm.result,
      IFERROR(
         _xlfn.XLOOKUP(
            1,
            (Table8[رقم الصنف]=A494) *
            (IF($B$9="الكل",1, YEAR('ادخال البيانات'!$N$3:$N$1164)=VALUE($B$9))) *
            (IF($B$10="الكل",1, MONTH('ادخال البيانات'!$N$3:$N$1164)=VALUE($B$10))) *
            (IF($B$11="الكل",1, INT((DAY('ادخال البيانات'!$N$3:$N$1164)-1)/7)+1 = VALUE($B$11))),
            'ادخال البيانات'!$E$3:$E$1164
         ),
         ""
      ),
      IF(_xlpm.result="", "", _xlpm.result)
   )
)</f>
        <v/>
      </c>
      <c r="F494" s="27" t="str" cm="1">
        <f t="array" ref="F494">IF(
   A494="",
   "",
   _xlfn.LET(
      _xlpm.result,
      IFERROR(
         _xlfn.XLOOKUP(
            1,
            (Table8[رقم الصنف]=A494) *
            (IF($B$9="الكل",1, YEAR('ادخال البيانات'!$N$3:$N$1164) = VALUE($B$9))) *
            (IF($B$10="الكل",1, MONTH('ادخال البيانات'!$N$3:$N$1164) = VALUE($B$10))) *
            (IF($B$11="الكل",1, INT((DAY('ادخال البيانات'!$N$3:$N$1164)-1)/7)+1 = VALUE($B$11))),
            'ادخال البيانات'!$F$3:$F$1164
         ),
         ""
      ),
      IF(_xlpm.result="", "", _xlpm.result)
   )
)</f>
        <v/>
      </c>
      <c r="G494" s="27" t="str" cm="1">
        <f t="array" ref="G494">IF(
   A494="",
   "",
   _xlfn.LET(
      _xlpm.result,
      IFERROR(
         _xlfn.XLOOKUP(
            1,
            (Table8[رقم الصنف]=A494) *
            (IF($B$9="الكل",1, YEAR('ادخال البيانات'!$N$3:$N$1164)=VALUE($B$9))) *
            (IF($B$10="الكل",1, MONTH('ادخال البيانات'!$N$3:$N$1164)=VALUE($B$10))) *
            (IF($B$11="الكل",1, INT((DAY('ادخال البيانات'!$N$3:$N$1164)-1)/7)+1 = VALUE($B$11))),
            'ادخال البيانات'!$G$3:$G$1164
         ),
         ""
      ),
      IF(_xlpm.result="", "", _xlpm.result)
   )
)</f>
        <v/>
      </c>
      <c r="H494" s="27" t="str" cm="1">
        <f t="array" ref="H494">IF(
   A494="",
   "",
   _xlfn.LET(
      _xlpm.result,
      IFERROR(
         _xlfn.XLOOKUP(
            1,
            (Table8[رقم الصنف]=A494) *
            (IF($B$9="الكل",1, YEAR('ادخال البيانات'!$N$3:$N$1164)=VALUE($B$9))) *
            (IF($B$10="الكل",1, MONTH('ادخال البيانات'!$N$3:$N$1164)=VALUE($B$10))) *
            (IF($B$11="الكل",1, INT((DAY('ادخال البيانات'!$N$3:$N$1164)-1)/7)+1 = VALUE($B$11))),
            'ادخال البيانات'!$H$3:$H$1164
         ),
         ""
      ),
      IF(_xlpm.result="", "", _xlpm.result)
   )
)</f>
        <v/>
      </c>
      <c r="I494" s="27" t="str" cm="1">
        <f t="array" ref="I494">IF(
   A494="",
   "",
   _xlfn.LET(
      _xlpm.result,
      IFERROR(
         _xlfn.XLOOKUP(
            1,
            (Table8[رقم الصنف]=A494) *
            (IF($B$9="الكل",1, YEAR('ادخال البيانات'!$N$3:$N$1164)=VALUE($B$9))) *
            (IF($B$10="الكل",1, MONTH('ادخال البيانات'!$N$3:$N$1164)=VALUE($B$10))) *
            (IF($B$11="الكل",1, INT((DAY('ادخال البيانات'!$N$3:$N$1164)-1)/7)+1 = VALUE($B$11))),
            'ادخال البيانات'!$I$3:$I$1164
         ),
         ""
      ),
      IF(_xlpm.result="", "", _xlpm.result)
   )
)</f>
        <v/>
      </c>
      <c r="J494" s="27" t="str" cm="1">
        <f t="array" ref="J494">IF(
   A494="",
   "",
   _xlfn.LET(
      _xlpm.result,
      IFERROR(
         _xlfn.XLOOKUP(
            1,
            (Table8[رقم الصنف]=A494) *
            (IF($B$9="الكل",1, YEAR('ادخال البيانات'!$N$3:$N$1164)=VALUE($B$9))) *
            (IF($B$10="الكل",1, MONTH('ادخال البيانات'!$N$3:$N$1164)=VALUE($B$10))) *
            (IF($B$11="الكل",1, INT((DAY('ادخال البيانات'!$N$3:$N$1164)-1)/7)+1 = VALUE($B$11))),
            'ادخال البيانات'!$J$3:$J$1164
         ),
         ""
      ),
      IF(_xlpm.result="", "", _xlpm.result)
   )
)</f>
        <v/>
      </c>
      <c r="K494" s="27" t="str" cm="1">
        <f t="array" ref="K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4" s="27" t="str" cm="1">
        <f t="array" ref="L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4" s="27" t="str" cm="1">
        <f t="array" ref="M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4" s="28" t="str" cm="1">
        <f t="array" ref="N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4" s="28" t="str" cm="1">
        <f t="array" ref="O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4" s="27" t="str" cm="1">
        <f t="array" ref="P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Table8[جهة العطل]
         ),
         ""
      ),
      IF(_xlpm.result="", "", _xlpm.result)
   )
)</f>
        <v/>
      </c>
      <c r="Q494" s="27" t="str" cm="1">
        <f t="array" ref="Q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Table8[المركز]
         ),
         ""
      ),
      IF(_xlpm.result="", "", _xlpm.result)
   )
)</f>
        <v/>
      </c>
      <c r="R494" s="27" t="str" cm="1">
        <f t="array" ref="R494">IF(
   A494="",
   "",
   _xlfn.LET(
      _xlpm.result,
      IFERROR(
         _xlfn.XLOOKUP(
            1,
            (Table8[رقم الصنف]=A494) *
            (IF($B$9="الكل",1, YEAR('ادخال البيانات'!$N$3:$N$1164) = VALUE($B$9))) *
            (IF($B$10="الكل",1, MONTH('ادخال البيانات'!$N$3:$N$1164) = VALUE($B$10))) *
            (IF($B$11="الكل",1, INT((DAY('ادخال البيانات'!$N$3:$N$1164) - 1) / 7) + 1 = VALUE($B$11))),
            Table8[ملاحظة]
         ),
         ""
      ),
      IF(_xlpm.result="", "", _xlpm.result)
   )
)</f>
        <v/>
      </c>
      <c r="S494" s="27" t="str">
        <f t="shared" ca="1" si="7"/>
        <v/>
      </c>
    </row>
    <row r="495" spans="1:19" ht="27.75" customHeight="1" thickTop="1" thickBot="1" x14ac:dyDescent="0.35">
      <c r="A495" s="39"/>
      <c r="B495" s="50" t="str" cm="1">
        <f t="array" ref="B495">IF(
   OR(A495="", $B$9="", $B$10="", $B$11=""),
   "",
   _xlfn.LET(
      _xlpm.result,
      IFERROR(
         _xlfn.XLOOKUP(
            1,
            (Table8[رقم الصنف]=A495)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5" s="27" t="str" cm="1">
        <f t="array" ref="C495">IF(
   A495="",
   "",
   _xlfn.LET(
      _xlpm.result,
      IFERROR(
         _xlfn.XLOOKUP(
            1,
            (Table8[رقم الصنف]=A495) *
            (IF($B$9="الكل",1, YEAR('ادخال البيانات'!$N$3:$N$1164) = VALUE($B$9))) *
            (IF($B$10="الكل",1, MONTH('ادخال البيانات'!$N$3:$N$1164) = VALUE($B$10))) *
            (IF($B$11="الكل",1, INT((DAY('ادخال البيانات'!$N$3:$N$1164)-1)/7)+1 = VALUE($B$11))),
            'ادخال البيانات'!$C$3:$C$1164
         ),
         ""
      ),
      IF(_xlpm.result="", "", _xlpm.result)
   )
)</f>
        <v/>
      </c>
      <c r="D495" s="27" t="str" cm="1">
        <f t="array" ref="D495">IF(
   OR(A495="", $B$9="", $B$10="", $B$11=""),
   "",
   _xlfn.LET(
      _xlpm.result,
      IFERROR(
         _xlfn.XLOOKUP(
            1,
            (Table8[رقم الصنف]=A495) *
            (IF($B$9="الكل",1, YEAR('ادخال البيانات'!$N$3:$N$1164)=VALUE($B$9))) *
            (IF($B$10="الكل",1, MONTH('ادخال البيانات'!$N$3:$N$1164)=VALUE($B$10))) *
            (IF($B$11="الكل",1, INT((DAY('ادخال البيانات'!$N$3:$N$1164)-1)/7)+1 = VALUE($B$11))),
            'ادخال البيانات'!$D$3:$D$1164
         ),
         ""
      ),
      IF(_xlpm.result="", "", _xlpm.result)
   )
)</f>
        <v/>
      </c>
      <c r="E495" s="27" t="str" cm="1">
        <f t="array" ref="E495">IF(
   A495="",
   "",
   _xlfn.LET(
      _xlpm.result,
      IFERROR(
         _xlfn.XLOOKUP(
            1,
            (Table8[رقم الصنف]=A495) *
            (IF($B$9="الكل",1, YEAR('ادخال البيانات'!$N$3:$N$1164)=VALUE($B$9))) *
            (IF($B$10="الكل",1, MONTH('ادخال البيانات'!$N$3:$N$1164)=VALUE($B$10))) *
            (IF($B$11="الكل",1, INT((DAY('ادخال البيانات'!$N$3:$N$1164)-1)/7)+1 = VALUE($B$11))),
            'ادخال البيانات'!$E$3:$E$1164
         ),
         ""
      ),
      IF(_xlpm.result="", "", _xlpm.result)
   )
)</f>
        <v/>
      </c>
      <c r="F495" s="27" t="str" cm="1">
        <f t="array" ref="F495">IF(
   A495="",
   "",
   _xlfn.LET(
      _xlpm.result,
      IFERROR(
         _xlfn.XLOOKUP(
            1,
            (Table8[رقم الصنف]=A495) *
            (IF($B$9="الكل",1, YEAR('ادخال البيانات'!$N$3:$N$1164) = VALUE($B$9))) *
            (IF($B$10="الكل",1, MONTH('ادخال البيانات'!$N$3:$N$1164) = VALUE($B$10))) *
            (IF($B$11="الكل",1, INT((DAY('ادخال البيانات'!$N$3:$N$1164)-1)/7)+1 = VALUE($B$11))),
            'ادخال البيانات'!$F$3:$F$1164
         ),
         ""
      ),
      IF(_xlpm.result="", "", _xlpm.result)
   )
)</f>
        <v/>
      </c>
      <c r="G495" s="27" t="str" cm="1">
        <f t="array" ref="G495">IF(
   A495="",
   "",
   _xlfn.LET(
      _xlpm.result,
      IFERROR(
         _xlfn.XLOOKUP(
            1,
            (Table8[رقم الصنف]=A495) *
            (IF($B$9="الكل",1, YEAR('ادخال البيانات'!$N$3:$N$1164)=VALUE($B$9))) *
            (IF($B$10="الكل",1, MONTH('ادخال البيانات'!$N$3:$N$1164)=VALUE($B$10))) *
            (IF($B$11="الكل",1, INT((DAY('ادخال البيانات'!$N$3:$N$1164)-1)/7)+1 = VALUE($B$11))),
            'ادخال البيانات'!$G$3:$G$1164
         ),
         ""
      ),
      IF(_xlpm.result="", "", _xlpm.result)
   )
)</f>
        <v/>
      </c>
      <c r="H495" s="27" t="str" cm="1">
        <f t="array" ref="H495">IF(
   A495="",
   "",
   _xlfn.LET(
      _xlpm.result,
      IFERROR(
         _xlfn.XLOOKUP(
            1,
            (Table8[رقم الصنف]=A495) *
            (IF($B$9="الكل",1, YEAR('ادخال البيانات'!$N$3:$N$1164)=VALUE($B$9))) *
            (IF($B$10="الكل",1, MONTH('ادخال البيانات'!$N$3:$N$1164)=VALUE($B$10))) *
            (IF($B$11="الكل",1, INT((DAY('ادخال البيانات'!$N$3:$N$1164)-1)/7)+1 = VALUE($B$11))),
            'ادخال البيانات'!$H$3:$H$1164
         ),
         ""
      ),
      IF(_xlpm.result="", "", _xlpm.result)
   )
)</f>
        <v/>
      </c>
      <c r="I495" s="27" t="str" cm="1">
        <f t="array" ref="I495">IF(
   A495="",
   "",
   _xlfn.LET(
      _xlpm.result,
      IFERROR(
         _xlfn.XLOOKUP(
            1,
            (Table8[رقم الصنف]=A495) *
            (IF($B$9="الكل",1, YEAR('ادخال البيانات'!$N$3:$N$1164)=VALUE($B$9))) *
            (IF($B$10="الكل",1, MONTH('ادخال البيانات'!$N$3:$N$1164)=VALUE($B$10))) *
            (IF($B$11="الكل",1, INT((DAY('ادخال البيانات'!$N$3:$N$1164)-1)/7)+1 = VALUE($B$11))),
            'ادخال البيانات'!$I$3:$I$1164
         ),
         ""
      ),
      IF(_xlpm.result="", "", _xlpm.result)
   )
)</f>
        <v/>
      </c>
      <c r="J495" s="27" t="str" cm="1">
        <f t="array" ref="J495">IF(
   A495="",
   "",
   _xlfn.LET(
      _xlpm.result,
      IFERROR(
         _xlfn.XLOOKUP(
            1,
            (Table8[رقم الصنف]=A495) *
            (IF($B$9="الكل",1, YEAR('ادخال البيانات'!$N$3:$N$1164)=VALUE($B$9))) *
            (IF($B$10="الكل",1, MONTH('ادخال البيانات'!$N$3:$N$1164)=VALUE($B$10))) *
            (IF($B$11="الكل",1, INT((DAY('ادخال البيانات'!$N$3:$N$1164)-1)/7)+1 = VALUE($B$11))),
            'ادخال البيانات'!$J$3:$J$1164
         ),
         ""
      ),
      IF(_xlpm.result="", "", _xlpm.result)
   )
)</f>
        <v/>
      </c>
      <c r="K495" s="27" t="str" cm="1">
        <f t="array" ref="K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5" s="27" t="str" cm="1">
        <f t="array" ref="L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5" s="27" t="str" cm="1">
        <f t="array" ref="M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5" s="28" t="str" cm="1">
        <f t="array" ref="N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5" s="28" t="str" cm="1">
        <f t="array" ref="O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5" s="27" t="str" cm="1">
        <f t="array" ref="P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Table8[جهة العطل]
         ),
         ""
      ),
      IF(_xlpm.result="", "", _xlpm.result)
   )
)</f>
        <v/>
      </c>
      <c r="Q495" s="27" t="str" cm="1">
        <f t="array" ref="Q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Table8[المركز]
         ),
         ""
      ),
      IF(_xlpm.result="", "", _xlpm.result)
   )
)</f>
        <v/>
      </c>
      <c r="R495" s="27" t="str" cm="1">
        <f t="array" ref="R495">IF(
   A495="",
   "",
   _xlfn.LET(
      _xlpm.result,
      IFERROR(
         _xlfn.XLOOKUP(
            1,
            (Table8[رقم الصنف]=A495) *
            (IF($B$9="الكل",1, YEAR('ادخال البيانات'!$N$3:$N$1164) = VALUE($B$9))) *
            (IF($B$10="الكل",1, MONTH('ادخال البيانات'!$N$3:$N$1164) = VALUE($B$10))) *
            (IF($B$11="الكل",1, INT((DAY('ادخال البيانات'!$N$3:$N$1164) - 1) / 7) + 1 = VALUE($B$11))),
            Table8[ملاحظة]
         ),
         ""
      ),
      IF(_xlpm.result="", "", _xlpm.result)
   )
)</f>
        <v/>
      </c>
      <c r="S495" s="27" t="str">
        <f t="shared" ca="1" si="7"/>
        <v/>
      </c>
    </row>
    <row r="496" spans="1:19" ht="27.75" customHeight="1" thickTop="1" thickBot="1" x14ac:dyDescent="0.35">
      <c r="A496" s="39"/>
      <c r="B496" s="50" t="str" cm="1">
        <f t="array" ref="B496">IF(
   OR(A496="", $B$9="", $B$10="", $B$11=""),
   "",
   _xlfn.LET(
      _xlpm.result,
      IFERROR(
         _xlfn.XLOOKUP(
            1,
            (Table8[رقم الصنف]=A496)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6" s="27" t="str" cm="1">
        <f t="array" ref="C496">IF(
   A496="",
   "",
   _xlfn.LET(
      _xlpm.result,
      IFERROR(
         _xlfn.XLOOKUP(
            1,
            (Table8[رقم الصنف]=A496) *
            (IF($B$9="الكل",1, YEAR('ادخال البيانات'!$N$3:$N$1164) = VALUE($B$9))) *
            (IF($B$10="الكل",1, MONTH('ادخال البيانات'!$N$3:$N$1164) = VALUE($B$10))) *
            (IF($B$11="الكل",1, INT((DAY('ادخال البيانات'!$N$3:$N$1164)-1)/7)+1 = VALUE($B$11))),
            'ادخال البيانات'!$C$3:$C$1164
         ),
         ""
      ),
      IF(_xlpm.result="", "", _xlpm.result)
   )
)</f>
        <v/>
      </c>
      <c r="D496" s="27" t="str" cm="1">
        <f t="array" ref="D496">IF(
   OR(A496="", $B$9="", $B$10="", $B$11=""),
   "",
   _xlfn.LET(
      _xlpm.result,
      IFERROR(
         _xlfn.XLOOKUP(
            1,
            (Table8[رقم الصنف]=A496) *
            (IF($B$9="الكل",1, YEAR('ادخال البيانات'!$N$3:$N$1164)=VALUE($B$9))) *
            (IF($B$10="الكل",1, MONTH('ادخال البيانات'!$N$3:$N$1164)=VALUE($B$10))) *
            (IF($B$11="الكل",1, INT((DAY('ادخال البيانات'!$N$3:$N$1164)-1)/7)+1 = VALUE($B$11))),
            'ادخال البيانات'!$D$3:$D$1164
         ),
         ""
      ),
      IF(_xlpm.result="", "", _xlpm.result)
   )
)</f>
        <v/>
      </c>
      <c r="E496" s="27" t="str" cm="1">
        <f t="array" ref="E496">IF(
   A496="",
   "",
   _xlfn.LET(
      _xlpm.result,
      IFERROR(
         _xlfn.XLOOKUP(
            1,
            (Table8[رقم الصنف]=A496) *
            (IF($B$9="الكل",1, YEAR('ادخال البيانات'!$N$3:$N$1164)=VALUE($B$9))) *
            (IF($B$10="الكل",1, MONTH('ادخال البيانات'!$N$3:$N$1164)=VALUE($B$10))) *
            (IF($B$11="الكل",1, INT((DAY('ادخال البيانات'!$N$3:$N$1164)-1)/7)+1 = VALUE($B$11))),
            'ادخال البيانات'!$E$3:$E$1164
         ),
         ""
      ),
      IF(_xlpm.result="", "", _xlpm.result)
   )
)</f>
        <v/>
      </c>
      <c r="F496" s="27" t="str" cm="1">
        <f t="array" ref="F496">IF(
   A496="",
   "",
   _xlfn.LET(
      _xlpm.result,
      IFERROR(
         _xlfn.XLOOKUP(
            1,
            (Table8[رقم الصنف]=A496) *
            (IF($B$9="الكل",1, YEAR('ادخال البيانات'!$N$3:$N$1164) = VALUE($B$9))) *
            (IF($B$10="الكل",1, MONTH('ادخال البيانات'!$N$3:$N$1164) = VALUE($B$10))) *
            (IF($B$11="الكل",1, INT((DAY('ادخال البيانات'!$N$3:$N$1164)-1)/7)+1 = VALUE($B$11))),
            'ادخال البيانات'!$F$3:$F$1164
         ),
         ""
      ),
      IF(_xlpm.result="", "", _xlpm.result)
   )
)</f>
        <v/>
      </c>
      <c r="G496" s="27" t="str" cm="1">
        <f t="array" ref="G496">IF(
   A496="",
   "",
   _xlfn.LET(
      _xlpm.result,
      IFERROR(
         _xlfn.XLOOKUP(
            1,
            (Table8[رقم الصنف]=A496) *
            (IF($B$9="الكل",1, YEAR('ادخال البيانات'!$N$3:$N$1164)=VALUE($B$9))) *
            (IF($B$10="الكل",1, MONTH('ادخال البيانات'!$N$3:$N$1164)=VALUE($B$10))) *
            (IF($B$11="الكل",1, INT((DAY('ادخال البيانات'!$N$3:$N$1164)-1)/7)+1 = VALUE($B$11))),
            'ادخال البيانات'!$G$3:$G$1164
         ),
         ""
      ),
      IF(_xlpm.result="", "", _xlpm.result)
   )
)</f>
        <v/>
      </c>
      <c r="H496" s="27" t="str" cm="1">
        <f t="array" ref="H496">IF(
   A496="",
   "",
   _xlfn.LET(
      _xlpm.result,
      IFERROR(
         _xlfn.XLOOKUP(
            1,
            (Table8[رقم الصنف]=A496) *
            (IF($B$9="الكل",1, YEAR('ادخال البيانات'!$N$3:$N$1164)=VALUE($B$9))) *
            (IF($B$10="الكل",1, MONTH('ادخال البيانات'!$N$3:$N$1164)=VALUE($B$10))) *
            (IF($B$11="الكل",1, INT((DAY('ادخال البيانات'!$N$3:$N$1164)-1)/7)+1 = VALUE($B$11))),
            'ادخال البيانات'!$H$3:$H$1164
         ),
         ""
      ),
      IF(_xlpm.result="", "", _xlpm.result)
   )
)</f>
        <v/>
      </c>
      <c r="I496" s="27" t="str" cm="1">
        <f t="array" ref="I496">IF(
   A496="",
   "",
   _xlfn.LET(
      _xlpm.result,
      IFERROR(
         _xlfn.XLOOKUP(
            1,
            (Table8[رقم الصنف]=A496) *
            (IF($B$9="الكل",1, YEAR('ادخال البيانات'!$N$3:$N$1164)=VALUE($B$9))) *
            (IF($B$10="الكل",1, MONTH('ادخال البيانات'!$N$3:$N$1164)=VALUE($B$10))) *
            (IF($B$11="الكل",1, INT((DAY('ادخال البيانات'!$N$3:$N$1164)-1)/7)+1 = VALUE($B$11))),
            'ادخال البيانات'!$I$3:$I$1164
         ),
         ""
      ),
      IF(_xlpm.result="", "", _xlpm.result)
   )
)</f>
        <v/>
      </c>
      <c r="J496" s="27" t="str" cm="1">
        <f t="array" ref="J496">IF(
   A496="",
   "",
   _xlfn.LET(
      _xlpm.result,
      IFERROR(
         _xlfn.XLOOKUP(
            1,
            (Table8[رقم الصنف]=A496) *
            (IF($B$9="الكل",1, YEAR('ادخال البيانات'!$N$3:$N$1164)=VALUE($B$9))) *
            (IF($B$10="الكل",1, MONTH('ادخال البيانات'!$N$3:$N$1164)=VALUE($B$10))) *
            (IF($B$11="الكل",1, INT((DAY('ادخال البيانات'!$N$3:$N$1164)-1)/7)+1 = VALUE($B$11))),
            'ادخال البيانات'!$J$3:$J$1164
         ),
         ""
      ),
      IF(_xlpm.result="", "", _xlpm.result)
   )
)</f>
        <v/>
      </c>
      <c r="K496" s="27" t="str" cm="1">
        <f t="array" ref="K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6" s="27" t="str" cm="1">
        <f t="array" ref="L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6" s="27" t="str" cm="1">
        <f t="array" ref="M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6" s="28" t="str" cm="1">
        <f t="array" ref="N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6" s="28" t="str" cm="1">
        <f t="array" ref="O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6" s="27" t="str" cm="1">
        <f t="array" ref="P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Table8[جهة العطل]
         ),
         ""
      ),
      IF(_xlpm.result="", "", _xlpm.result)
   )
)</f>
        <v/>
      </c>
      <c r="Q496" s="27" t="str" cm="1">
        <f t="array" ref="Q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Table8[المركز]
         ),
         ""
      ),
      IF(_xlpm.result="", "", _xlpm.result)
   )
)</f>
        <v/>
      </c>
      <c r="R496" s="27" t="str" cm="1">
        <f t="array" ref="R496">IF(
   A496="",
   "",
   _xlfn.LET(
      _xlpm.result,
      IFERROR(
         _xlfn.XLOOKUP(
            1,
            (Table8[رقم الصنف]=A496) *
            (IF($B$9="الكل",1, YEAR('ادخال البيانات'!$N$3:$N$1164) = VALUE($B$9))) *
            (IF($B$10="الكل",1, MONTH('ادخال البيانات'!$N$3:$N$1164) = VALUE($B$10))) *
            (IF($B$11="الكل",1, INT((DAY('ادخال البيانات'!$N$3:$N$1164) - 1) / 7) + 1 = VALUE($B$11))),
            Table8[ملاحظة]
         ),
         ""
      ),
      IF(_xlpm.result="", "", _xlpm.result)
   )
)</f>
        <v/>
      </c>
      <c r="S496" s="27" t="str">
        <f t="shared" ca="1" si="7"/>
        <v/>
      </c>
    </row>
    <row r="497" spans="1:19" ht="27.75" customHeight="1" thickTop="1" thickBot="1" x14ac:dyDescent="0.35">
      <c r="A497" s="39"/>
      <c r="B497" s="50" t="str" cm="1">
        <f t="array" ref="B497">IF(
   OR(A497="", $B$9="", $B$10="", $B$11=""),
   "",
   _xlfn.LET(
      _xlpm.result,
      IFERROR(
         _xlfn.XLOOKUP(
            1,
            (Table8[رقم الصنف]=A497)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7" s="27" t="str" cm="1">
        <f t="array" ref="C497">IF(
   A497="",
   "",
   _xlfn.LET(
      _xlpm.result,
      IFERROR(
         _xlfn.XLOOKUP(
            1,
            (Table8[رقم الصنف]=A497) *
            (IF($B$9="الكل",1, YEAR('ادخال البيانات'!$N$3:$N$1164) = VALUE($B$9))) *
            (IF($B$10="الكل",1, MONTH('ادخال البيانات'!$N$3:$N$1164) = VALUE($B$10))) *
            (IF($B$11="الكل",1, INT((DAY('ادخال البيانات'!$N$3:$N$1164)-1)/7)+1 = VALUE($B$11))),
            'ادخال البيانات'!$C$3:$C$1164
         ),
         ""
      ),
      IF(_xlpm.result="", "", _xlpm.result)
   )
)</f>
        <v/>
      </c>
      <c r="D497" s="27" t="str" cm="1">
        <f t="array" ref="D497">IF(
   OR(A497="", $B$9="", $B$10="", $B$11=""),
   "",
   _xlfn.LET(
      _xlpm.result,
      IFERROR(
         _xlfn.XLOOKUP(
            1,
            (Table8[رقم الصنف]=A497) *
            (IF($B$9="الكل",1, YEAR('ادخال البيانات'!$N$3:$N$1164)=VALUE($B$9))) *
            (IF($B$10="الكل",1, MONTH('ادخال البيانات'!$N$3:$N$1164)=VALUE($B$10))) *
            (IF($B$11="الكل",1, INT((DAY('ادخال البيانات'!$N$3:$N$1164)-1)/7)+1 = VALUE($B$11))),
            'ادخال البيانات'!$D$3:$D$1164
         ),
         ""
      ),
      IF(_xlpm.result="", "", _xlpm.result)
   )
)</f>
        <v/>
      </c>
      <c r="E497" s="27" t="str" cm="1">
        <f t="array" ref="E497">IF(
   A497="",
   "",
   _xlfn.LET(
      _xlpm.result,
      IFERROR(
         _xlfn.XLOOKUP(
            1,
            (Table8[رقم الصنف]=A497) *
            (IF($B$9="الكل",1, YEAR('ادخال البيانات'!$N$3:$N$1164)=VALUE($B$9))) *
            (IF($B$10="الكل",1, MONTH('ادخال البيانات'!$N$3:$N$1164)=VALUE($B$10))) *
            (IF($B$11="الكل",1, INT((DAY('ادخال البيانات'!$N$3:$N$1164)-1)/7)+1 = VALUE($B$11))),
            'ادخال البيانات'!$E$3:$E$1164
         ),
         ""
      ),
      IF(_xlpm.result="", "", _xlpm.result)
   )
)</f>
        <v/>
      </c>
      <c r="F497" s="27" t="str" cm="1">
        <f t="array" ref="F497">IF(
   A497="",
   "",
   _xlfn.LET(
      _xlpm.result,
      IFERROR(
         _xlfn.XLOOKUP(
            1,
            (Table8[رقم الصنف]=A497) *
            (IF($B$9="الكل",1, YEAR('ادخال البيانات'!$N$3:$N$1164) = VALUE($B$9))) *
            (IF($B$10="الكل",1, MONTH('ادخال البيانات'!$N$3:$N$1164) = VALUE($B$10))) *
            (IF($B$11="الكل",1, INT((DAY('ادخال البيانات'!$N$3:$N$1164)-1)/7)+1 = VALUE($B$11))),
            'ادخال البيانات'!$F$3:$F$1164
         ),
         ""
      ),
      IF(_xlpm.result="", "", _xlpm.result)
   )
)</f>
        <v/>
      </c>
      <c r="G497" s="27" t="str" cm="1">
        <f t="array" ref="G497">IF(
   A497="",
   "",
   _xlfn.LET(
      _xlpm.result,
      IFERROR(
         _xlfn.XLOOKUP(
            1,
            (Table8[رقم الصنف]=A497) *
            (IF($B$9="الكل",1, YEAR('ادخال البيانات'!$N$3:$N$1164)=VALUE($B$9))) *
            (IF($B$10="الكل",1, MONTH('ادخال البيانات'!$N$3:$N$1164)=VALUE($B$10))) *
            (IF($B$11="الكل",1, INT((DAY('ادخال البيانات'!$N$3:$N$1164)-1)/7)+1 = VALUE($B$11))),
            'ادخال البيانات'!$G$3:$G$1164
         ),
         ""
      ),
      IF(_xlpm.result="", "", _xlpm.result)
   )
)</f>
        <v/>
      </c>
      <c r="H497" s="27" t="str" cm="1">
        <f t="array" ref="H497">IF(
   A497="",
   "",
   _xlfn.LET(
      _xlpm.result,
      IFERROR(
         _xlfn.XLOOKUP(
            1,
            (Table8[رقم الصنف]=A497) *
            (IF($B$9="الكل",1, YEAR('ادخال البيانات'!$N$3:$N$1164)=VALUE($B$9))) *
            (IF($B$10="الكل",1, MONTH('ادخال البيانات'!$N$3:$N$1164)=VALUE($B$10))) *
            (IF($B$11="الكل",1, INT((DAY('ادخال البيانات'!$N$3:$N$1164)-1)/7)+1 = VALUE($B$11))),
            'ادخال البيانات'!$H$3:$H$1164
         ),
         ""
      ),
      IF(_xlpm.result="", "", _xlpm.result)
   )
)</f>
        <v/>
      </c>
      <c r="I497" s="27" t="str" cm="1">
        <f t="array" ref="I497">IF(
   A497="",
   "",
   _xlfn.LET(
      _xlpm.result,
      IFERROR(
         _xlfn.XLOOKUP(
            1,
            (Table8[رقم الصنف]=A497) *
            (IF($B$9="الكل",1, YEAR('ادخال البيانات'!$N$3:$N$1164)=VALUE($B$9))) *
            (IF($B$10="الكل",1, MONTH('ادخال البيانات'!$N$3:$N$1164)=VALUE($B$10))) *
            (IF($B$11="الكل",1, INT((DAY('ادخال البيانات'!$N$3:$N$1164)-1)/7)+1 = VALUE($B$11))),
            'ادخال البيانات'!$I$3:$I$1164
         ),
         ""
      ),
      IF(_xlpm.result="", "", _xlpm.result)
   )
)</f>
        <v/>
      </c>
      <c r="J497" s="27" t="str" cm="1">
        <f t="array" ref="J497">IF(
   A497="",
   "",
   _xlfn.LET(
      _xlpm.result,
      IFERROR(
         _xlfn.XLOOKUP(
            1,
            (Table8[رقم الصنف]=A497) *
            (IF($B$9="الكل",1, YEAR('ادخال البيانات'!$N$3:$N$1164)=VALUE($B$9))) *
            (IF($B$10="الكل",1, MONTH('ادخال البيانات'!$N$3:$N$1164)=VALUE($B$10))) *
            (IF($B$11="الكل",1, INT((DAY('ادخال البيانات'!$N$3:$N$1164)-1)/7)+1 = VALUE($B$11))),
            'ادخال البيانات'!$J$3:$J$1164
         ),
         ""
      ),
      IF(_xlpm.result="", "", _xlpm.result)
   )
)</f>
        <v/>
      </c>
      <c r="K497" s="27" t="str" cm="1">
        <f t="array" ref="K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7" s="27" t="str" cm="1">
        <f t="array" ref="L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7" s="27" t="str" cm="1">
        <f t="array" ref="M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7" s="28" t="str" cm="1">
        <f t="array" ref="N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7" s="28" t="str" cm="1">
        <f t="array" ref="O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7" s="27" t="str" cm="1">
        <f t="array" ref="P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Table8[جهة العطل]
         ),
         ""
      ),
      IF(_xlpm.result="", "", _xlpm.result)
   )
)</f>
        <v/>
      </c>
      <c r="Q497" s="27" t="str" cm="1">
        <f t="array" ref="Q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Table8[المركز]
         ),
         ""
      ),
      IF(_xlpm.result="", "", _xlpm.result)
   )
)</f>
        <v/>
      </c>
      <c r="R497" s="27" t="str" cm="1">
        <f t="array" ref="R497">IF(
   A497="",
   "",
   _xlfn.LET(
      _xlpm.result,
      IFERROR(
         _xlfn.XLOOKUP(
            1,
            (Table8[رقم الصنف]=A497) *
            (IF($B$9="الكل",1, YEAR('ادخال البيانات'!$N$3:$N$1164) = VALUE($B$9))) *
            (IF($B$10="الكل",1, MONTH('ادخال البيانات'!$N$3:$N$1164) = VALUE($B$10))) *
            (IF($B$11="الكل",1, INT((DAY('ادخال البيانات'!$N$3:$N$1164) - 1) / 7) + 1 = VALUE($B$11))),
            Table8[ملاحظة]
         ),
         ""
      ),
      IF(_xlpm.result="", "", _xlpm.result)
   )
)</f>
        <v/>
      </c>
      <c r="S497" s="27" t="str">
        <f t="shared" ca="1" si="7"/>
        <v/>
      </c>
    </row>
    <row r="498" spans="1:19" ht="27.75" customHeight="1" thickTop="1" thickBot="1" x14ac:dyDescent="0.35">
      <c r="A498" s="39"/>
      <c r="B498" s="50" t="str" cm="1">
        <f t="array" ref="B498">IF(
   OR(A498="", $B$9="", $B$10="", $B$11=""),
   "",
   _xlfn.LET(
      _xlpm.result,
      IFERROR(
         _xlfn.XLOOKUP(
            1,
            (Table8[رقم الصنف]=A498)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8" s="27" t="str" cm="1">
        <f t="array" ref="C498">IF(
   A498="",
   "",
   _xlfn.LET(
      _xlpm.result,
      IFERROR(
         _xlfn.XLOOKUP(
            1,
            (Table8[رقم الصنف]=A498) *
            (IF($B$9="الكل",1, YEAR('ادخال البيانات'!$N$3:$N$1164) = VALUE($B$9))) *
            (IF($B$10="الكل",1, MONTH('ادخال البيانات'!$N$3:$N$1164) = VALUE($B$10))) *
            (IF($B$11="الكل",1, INT((DAY('ادخال البيانات'!$N$3:$N$1164)-1)/7)+1 = VALUE($B$11))),
            'ادخال البيانات'!$C$3:$C$1164
         ),
         ""
      ),
      IF(_xlpm.result="", "", _xlpm.result)
   )
)</f>
        <v/>
      </c>
      <c r="D498" s="27" t="str" cm="1">
        <f t="array" ref="D498">IF(
   OR(A498="", $B$9="", $B$10="", $B$11=""),
   "",
   _xlfn.LET(
      _xlpm.result,
      IFERROR(
         _xlfn.XLOOKUP(
            1,
            (Table8[رقم الصنف]=A498) *
            (IF($B$9="الكل",1, YEAR('ادخال البيانات'!$N$3:$N$1164)=VALUE($B$9))) *
            (IF($B$10="الكل",1, MONTH('ادخال البيانات'!$N$3:$N$1164)=VALUE($B$10))) *
            (IF($B$11="الكل",1, INT((DAY('ادخال البيانات'!$N$3:$N$1164)-1)/7)+1 = VALUE($B$11))),
            'ادخال البيانات'!$D$3:$D$1164
         ),
         ""
      ),
      IF(_xlpm.result="", "", _xlpm.result)
   )
)</f>
        <v/>
      </c>
      <c r="E498" s="27" t="str" cm="1">
        <f t="array" ref="E498">IF(
   A498="",
   "",
   _xlfn.LET(
      _xlpm.result,
      IFERROR(
         _xlfn.XLOOKUP(
            1,
            (Table8[رقم الصنف]=A498) *
            (IF($B$9="الكل",1, YEAR('ادخال البيانات'!$N$3:$N$1164)=VALUE($B$9))) *
            (IF($B$10="الكل",1, MONTH('ادخال البيانات'!$N$3:$N$1164)=VALUE($B$10))) *
            (IF($B$11="الكل",1, INT((DAY('ادخال البيانات'!$N$3:$N$1164)-1)/7)+1 = VALUE($B$11))),
            'ادخال البيانات'!$E$3:$E$1164
         ),
         ""
      ),
      IF(_xlpm.result="", "", _xlpm.result)
   )
)</f>
        <v/>
      </c>
      <c r="F498" s="27" t="str" cm="1">
        <f t="array" ref="F498">IF(
   A498="",
   "",
   _xlfn.LET(
      _xlpm.result,
      IFERROR(
         _xlfn.XLOOKUP(
            1,
            (Table8[رقم الصنف]=A498) *
            (IF($B$9="الكل",1, YEAR('ادخال البيانات'!$N$3:$N$1164) = VALUE($B$9))) *
            (IF($B$10="الكل",1, MONTH('ادخال البيانات'!$N$3:$N$1164) = VALUE($B$10))) *
            (IF($B$11="الكل",1, INT((DAY('ادخال البيانات'!$N$3:$N$1164)-1)/7)+1 = VALUE($B$11))),
            'ادخال البيانات'!$F$3:$F$1164
         ),
         ""
      ),
      IF(_xlpm.result="", "", _xlpm.result)
   )
)</f>
        <v/>
      </c>
      <c r="G498" s="27" t="str" cm="1">
        <f t="array" ref="G498">IF(
   A498="",
   "",
   _xlfn.LET(
      _xlpm.result,
      IFERROR(
         _xlfn.XLOOKUP(
            1,
            (Table8[رقم الصنف]=A498) *
            (IF($B$9="الكل",1, YEAR('ادخال البيانات'!$N$3:$N$1164)=VALUE($B$9))) *
            (IF($B$10="الكل",1, MONTH('ادخال البيانات'!$N$3:$N$1164)=VALUE($B$10))) *
            (IF($B$11="الكل",1, INT((DAY('ادخال البيانات'!$N$3:$N$1164)-1)/7)+1 = VALUE($B$11))),
            'ادخال البيانات'!$G$3:$G$1164
         ),
         ""
      ),
      IF(_xlpm.result="", "", _xlpm.result)
   )
)</f>
        <v/>
      </c>
      <c r="H498" s="27" t="str" cm="1">
        <f t="array" ref="H498">IF(
   A498="",
   "",
   _xlfn.LET(
      _xlpm.result,
      IFERROR(
         _xlfn.XLOOKUP(
            1,
            (Table8[رقم الصنف]=A498) *
            (IF($B$9="الكل",1, YEAR('ادخال البيانات'!$N$3:$N$1164)=VALUE($B$9))) *
            (IF($B$10="الكل",1, MONTH('ادخال البيانات'!$N$3:$N$1164)=VALUE($B$10))) *
            (IF($B$11="الكل",1, INT((DAY('ادخال البيانات'!$N$3:$N$1164)-1)/7)+1 = VALUE($B$11))),
            'ادخال البيانات'!$H$3:$H$1164
         ),
         ""
      ),
      IF(_xlpm.result="", "", _xlpm.result)
   )
)</f>
        <v/>
      </c>
      <c r="I498" s="27" t="str" cm="1">
        <f t="array" ref="I498">IF(
   A498="",
   "",
   _xlfn.LET(
      _xlpm.result,
      IFERROR(
         _xlfn.XLOOKUP(
            1,
            (Table8[رقم الصنف]=A498) *
            (IF($B$9="الكل",1, YEAR('ادخال البيانات'!$N$3:$N$1164)=VALUE($B$9))) *
            (IF($B$10="الكل",1, MONTH('ادخال البيانات'!$N$3:$N$1164)=VALUE($B$10))) *
            (IF($B$11="الكل",1, INT((DAY('ادخال البيانات'!$N$3:$N$1164)-1)/7)+1 = VALUE($B$11))),
            'ادخال البيانات'!$I$3:$I$1164
         ),
         ""
      ),
      IF(_xlpm.result="", "", _xlpm.result)
   )
)</f>
        <v/>
      </c>
      <c r="J498" s="27" t="str" cm="1">
        <f t="array" ref="J498">IF(
   A498="",
   "",
   _xlfn.LET(
      _xlpm.result,
      IFERROR(
         _xlfn.XLOOKUP(
            1,
            (Table8[رقم الصنف]=A498) *
            (IF($B$9="الكل",1, YEAR('ادخال البيانات'!$N$3:$N$1164)=VALUE($B$9))) *
            (IF($B$10="الكل",1, MONTH('ادخال البيانات'!$N$3:$N$1164)=VALUE($B$10))) *
            (IF($B$11="الكل",1, INT((DAY('ادخال البيانات'!$N$3:$N$1164)-1)/7)+1 = VALUE($B$11))),
            'ادخال البيانات'!$J$3:$J$1164
         ),
         ""
      ),
      IF(_xlpm.result="", "", _xlpm.result)
   )
)</f>
        <v/>
      </c>
      <c r="K498" s="27" t="str" cm="1">
        <f t="array" ref="K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8" s="27" t="str" cm="1">
        <f t="array" ref="L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8" s="27" t="str" cm="1">
        <f t="array" ref="M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8" s="28" t="str" cm="1">
        <f t="array" ref="N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8" s="28" t="str" cm="1">
        <f t="array" ref="O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8" s="27" t="str" cm="1">
        <f t="array" ref="P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Table8[جهة العطل]
         ),
         ""
      ),
      IF(_xlpm.result="", "", _xlpm.result)
   )
)</f>
        <v/>
      </c>
      <c r="Q498" s="27" t="str" cm="1">
        <f t="array" ref="Q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Table8[المركز]
         ),
         ""
      ),
      IF(_xlpm.result="", "", _xlpm.result)
   )
)</f>
        <v/>
      </c>
      <c r="R498" s="27" t="str" cm="1">
        <f t="array" ref="R498">IF(
   A498="",
   "",
   _xlfn.LET(
      _xlpm.result,
      IFERROR(
         _xlfn.XLOOKUP(
            1,
            (Table8[رقم الصنف]=A498) *
            (IF($B$9="الكل",1, YEAR('ادخال البيانات'!$N$3:$N$1164) = VALUE($B$9))) *
            (IF($B$10="الكل",1, MONTH('ادخال البيانات'!$N$3:$N$1164) = VALUE($B$10))) *
            (IF($B$11="الكل",1, INT((DAY('ادخال البيانات'!$N$3:$N$1164) - 1) / 7) + 1 = VALUE($B$11))),
            Table8[ملاحظة]
         ),
         ""
      ),
      IF(_xlpm.result="", "", _xlpm.result)
   )
)</f>
        <v/>
      </c>
      <c r="S498" s="27" t="str">
        <f t="shared" ca="1" si="7"/>
        <v/>
      </c>
    </row>
    <row r="499" spans="1:19" ht="27.75" customHeight="1" thickTop="1" thickBot="1" x14ac:dyDescent="0.35">
      <c r="A499" s="39"/>
      <c r="B499" s="50" t="str" cm="1">
        <f t="array" ref="B499">IF(
   OR(A499="", $B$9="", $B$10="", $B$11=""),
   "",
   _xlfn.LET(
      _xlpm.result,
      IFERROR(
         _xlfn.XLOOKUP(
            1,
            (Table8[رقم الصنف]=A499)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499" s="27" t="str" cm="1">
        <f t="array" ref="C499">IF(
   A499="",
   "",
   _xlfn.LET(
      _xlpm.result,
      IFERROR(
         _xlfn.XLOOKUP(
            1,
            (Table8[رقم الصنف]=A499) *
            (IF($B$9="الكل",1, YEAR('ادخال البيانات'!$N$3:$N$1164) = VALUE($B$9))) *
            (IF($B$10="الكل",1, MONTH('ادخال البيانات'!$N$3:$N$1164) = VALUE($B$10))) *
            (IF($B$11="الكل",1, INT((DAY('ادخال البيانات'!$N$3:$N$1164)-1)/7)+1 = VALUE($B$11))),
            'ادخال البيانات'!$C$3:$C$1164
         ),
         ""
      ),
      IF(_xlpm.result="", "", _xlpm.result)
   )
)</f>
        <v/>
      </c>
      <c r="D499" s="27" t="str" cm="1">
        <f t="array" ref="D499">IF(
   OR(A499="", $B$9="", $B$10="", $B$11=""),
   "",
   _xlfn.LET(
      _xlpm.result,
      IFERROR(
         _xlfn.XLOOKUP(
            1,
            (Table8[رقم الصنف]=A499) *
            (IF($B$9="الكل",1, YEAR('ادخال البيانات'!$N$3:$N$1164)=VALUE($B$9))) *
            (IF($B$10="الكل",1, MONTH('ادخال البيانات'!$N$3:$N$1164)=VALUE($B$10))) *
            (IF($B$11="الكل",1, INT((DAY('ادخال البيانات'!$N$3:$N$1164)-1)/7)+1 = VALUE($B$11))),
            'ادخال البيانات'!$D$3:$D$1164
         ),
         ""
      ),
      IF(_xlpm.result="", "", _xlpm.result)
   )
)</f>
        <v/>
      </c>
      <c r="E499" s="27" t="str" cm="1">
        <f t="array" ref="E499">IF(
   A499="",
   "",
   _xlfn.LET(
      _xlpm.result,
      IFERROR(
         _xlfn.XLOOKUP(
            1,
            (Table8[رقم الصنف]=A499) *
            (IF($B$9="الكل",1, YEAR('ادخال البيانات'!$N$3:$N$1164)=VALUE($B$9))) *
            (IF($B$10="الكل",1, MONTH('ادخال البيانات'!$N$3:$N$1164)=VALUE($B$10))) *
            (IF($B$11="الكل",1, INT((DAY('ادخال البيانات'!$N$3:$N$1164)-1)/7)+1 = VALUE($B$11))),
            'ادخال البيانات'!$E$3:$E$1164
         ),
         ""
      ),
      IF(_xlpm.result="", "", _xlpm.result)
   )
)</f>
        <v/>
      </c>
      <c r="F499" s="27" t="str" cm="1">
        <f t="array" ref="F499">IF(
   A499="",
   "",
   _xlfn.LET(
      _xlpm.result,
      IFERROR(
         _xlfn.XLOOKUP(
            1,
            (Table8[رقم الصنف]=A499) *
            (IF($B$9="الكل",1, YEAR('ادخال البيانات'!$N$3:$N$1164) = VALUE($B$9))) *
            (IF($B$10="الكل",1, MONTH('ادخال البيانات'!$N$3:$N$1164) = VALUE($B$10))) *
            (IF($B$11="الكل",1, INT((DAY('ادخال البيانات'!$N$3:$N$1164)-1)/7)+1 = VALUE($B$11))),
            'ادخال البيانات'!$F$3:$F$1164
         ),
         ""
      ),
      IF(_xlpm.result="", "", _xlpm.result)
   )
)</f>
        <v/>
      </c>
      <c r="G499" s="27" t="str" cm="1">
        <f t="array" ref="G499">IF(
   A499="",
   "",
   _xlfn.LET(
      _xlpm.result,
      IFERROR(
         _xlfn.XLOOKUP(
            1,
            (Table8[رقم الصنف]=A499) *
            (IF($B$9="الكل",1, YEAR('ادخال البيانات'!$N$3:$N$1164)=VALUE($B$9))) *
            (IF($B$10="الكل",1, MONTH('ادخال البيانات'!$N$3:$N$1164)=VALUE($B$10))) *
            (IF($B$11="الكل",1, INT((DAY('ادخال البيانات'!$N$3:$N$1164)-1)/7)+1 = VALUE($B$11))),
            'ادخال البيانات'!$G$3:$G$1164
         ),
         ""
      ),
      IF(_xlpm.result="", "", _xlpm.result)
   )
)</f>
        <v/>
      </c>
      <c r="H499" s="27" t="str" cm="1">
        <f t="array" ref="H499">IF(
   A499="",
   "",
   _xlfn.LET(
      _xlpm.result,
      IFERROR(
         _xlfn.XLOOKUP(
            1,
            (Table8[رقم الصنف]=A499) *
            (IF($B$9="الكل",1, YEAR('ادخال البيانات'!$N$3:$N$1164)=VALUE($B$9))) *
            (IF($B$10="الكل",1, MONTH('ادخال البيانات'!$N$3:$N$1164)=VALUE($B$10))) *
            (IF($B$11="الكل",1, INT((DAY('ادخال البيانات'!$N$3:$N$1164)-1)/7)+1 = VALUE($B$11))),
            'ادخال البيانات'!$H$3:$H$1164
         ),
         ""
      ),
      IF(_xlpm.result="", "", _xlpm.result)
   )
)</f>
        <v/>
      </c>
      <c r="I499" s="27" t="str" cm="1">
        <f t="array" ref="I499">IF(
   A499="",
   "",
   _xlfn.LET(
      _xlpm.result,
      IFERROR(
         _xlfn.XLOOKUP(
            1,
            (Table8[رقم الصنف]=A499) *
            (IF($B$9="الكل",1, YEAR('ادخال البيانات'!$N$3:$N$1164)=VALUE($B$9))) *
            (IF($B$10="الكل",1, MONTH('ادخال البيانات'!$N$3:$N$1164)=VALUE($B$10))) *
            (IF($B$11="الكل",1, INT((DAY('ادخال البيانات'!$N$3:$N$1164)-1)/7)+1 = VALUE($B$11))),
            'ادخال البيانات'!$I$3:$I$1164
         ),
         ""
      ),
      IF(_xlpm.result="", "", _xlpm.result)
   )
)</f>
        <v/>
      </c>
      <c r="J499" s="27" t="str" cm="1">
        <f t="array" ref="J499">IF(
   A499="",
   "",
   _xlfn.LET(
      _xlpm.result,
      IFERROR(
         _xlfn.XLOOKUP(
            1,
            (Table8[رقم الصنف]=A499) *
            (IF($B$9="الكل",1, YEAR('ادخال البيانات'!$N$3:$N$1164)=VALUE($B$9))) *
            (IF($B$10="الكل",1, MONTH('ادخال البيانات'!$N$3:$N$1164)=VALUE($B$10))) *
            (IF($B$11="الكل",1, INT((DAY('ادخال البيانات'!$N$3:$N$1164)-1)/7)+1 = VALUE($B$11))),
            'ادخال البيانات'!$J$3:$J$1164
         ),
         ""
      ),
      IF(_xlpm.result="", "", _xlpm.result)
   )
)</f>
        <v/>
      </c>
      <c r="K499" s="27" t="str" cm="1">
        <f t="array" ref="K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499" s="27" t="str" cm="1">
        <f t="array" ref="L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499" s="27" t="str" cm="1">
        <f t="array" ref="M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499" s="28" t="str" cm="1">
        <f t="array" ref="N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499" s="28" t="str" cm="1">
        <f t="array" ref="O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499" s="27" t="str" cm="1">
        <f t="array" ref="P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Table8[جهة العطل]
         ),
         ""
      ),
      IF(_xlpm.result="", "", _xlpm.result)
   )
)</f>
        <v/>
      </c>
      <c r="Q499" s="27" t="str" cm="1">
        <f t="array" ref="Q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Table8[المركز]
         ),
         ""
      ),
      IF(_xlpm.result="", "", _xlpm.result)
   )
)</f>
        <v/>
      </c>
      <c r="R499" s="27" t="str" cm="1">
        <f t="array" ref="R499">IF(
   A499="",
   "",
   _xlfn.LET(
      _xlpm.result,
      IFERROR(
         _xlfn.XLOOKUP(
            1,
            (Table8[رقم الصنف]=A499) *
            (IF($B$9="الكل",1, YEAR('ادخال البيانات'!$N$3:$N$1164) = VALUE($B$9))) *
            (IF($B$10="الكل",1, MONTH('ادخال البيانات'!$N$3:$N$1164) = VALUE($B$10))) *
            (IF($B$11="الكل",1, INT((DAY('ادخال البيانات'!$N$3:$N$1164) - 1) / 7) + 1 = VALUE($B$11))),
            Table8[ملاحظة]
         ),
         ""
      ),
      IF(_xlpm.result="", "", _xlpm.result)
   )
)</f>
        <v/>
      </c>
      <c r="S499" s="27" t="str">
        <f t="shared" ca="1" si="7"/>
        <v/>
      </c>
    </row>
    <row r="500" spans="1:19" ht="27.75" customHeight="1" thickTop="1" thickBot="1" x14ac:dyDescent="0.35">
      <c r="A500" s="39"/>
      <c r="B500" s="50" t="str" cm="1">
        <f t="array" ref="B500">IF(
   OR(A500="", $B$9="", $B$10="", $B$11=""),
   "",
   _xlfn.LET(
      _xlpm.result,
      IFERROR(
         _xlfn.XLOOKUP(
            1,
            (Table8[رقم الصنف]=A500)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0" s="27" t="str" cm="1">
        <f t="array" ref="C500">IF(
   A500="",
   "",
   _xlfn.LET(
      _xlpm.result,
      IFERROR(
         _xlfn.XLOOKUP(
            1,
            (Table8[رقم الصنف]=A500) *
            (IF($B$9="الكل",1, YEAR('ادخال البيانات'!$N$3:$N$1164) = VALUE($B$9))) *
            (IF($B$10="الكل",1, MONTH('ادخال البيانات'!$N$3:$N$1164) = VALUE($B$10))) *
            (IF($B$11="الكل",1, INT((DAY('ادخال البيانات'!$N$3:$N$1164)-1)/7)+1 = VALUE($B$11))),
            'ادخال البيانات'!$C$3:$C$1164
         ),
         ""
      ),
      IF(_xlpm.result="", "", _xlpm.result)
   )
)</f>
        <v/>
      </c>
      <c r="D500" s="27" t="str" cm="1">
        <f t="array" ref="D500">IF(
   OR(A500="", $B$9="", $B$10="", $B$11=""),
   "",
   _xlfn.LET(
      _xlpm.result,
      IFERROR(
         _xlfn.XLOOKUP(
            1,
            (Table8[رقم الصنف]=A500) *
            (IF($B$9="الكل",1, YEAR('ادخال البيانات'!$N$3:$N$1164)=VALUE($B$9))) *
            (IF($B$10="الكل",1, MONTH('ادخال البيانات'!$N$3:$N$1164)=VALUE($B$10))) *
            (IF($B$11="الكل",1, INT((DAY('ادخال البيانات'!$N$3:$N$1164)-1)/7)+1 = VALUE($B$11))),
            'ادخال البيانات'!$D$3:$D$1164
         ),
         ""
      ),
      IF(_xlpm.result="", "", _xlpm.result)
   )
)</f>
        <v/>
      </c>
      <c r="E500" s="27" t="str" cm="1">
        <f t="array" ref="E500">IF(
   A500="",
   "",
   _xlfn.LET(
      _xlpm.result,
      IFERROR(
         _xlfn.XLOOKUP(
            1,
            (Table8[رقم الصنف]=A500) *
            (IF($B$9="الكل",1, YEAR('ادخال البيانات'!$N$3:$N$1164)=VALUE($B$9))) *
            (IF($B$10="الكل",1, MONTH('ادخال البيانات'!$N$3:$N$1164)=VALUE($B$10))) *
            (IF($B$11="الكل",1, INT((DAY('ادخال البيانات'!$N$3:$N$1164)-1)/7)+1 = VALUE($B$11))),
            'ادخال البيانات'!$E$3:$E$1164
         ),
         ""
      ),
      IF(_xlpm.result="", "", _xlpm.result)
   )
)</f>
        <v/>
      </c>
      <c r="F500" s="27" t="str" cm="1">
        <f t="array" ref="F500">IF(
   A500="",
   "",
   _xlfn.LET(
      _xlpm.result,
      IFERROR(
         _xlfn.XLOOKUP(
            1,
            (Table8[رقم الصنف]=A500) *
            (IF($B$9="الكل",1, YEAR('ادخال البيانات'!$N$3:$N$1164) = VALUE($B$9))) *
            (IF($B$10="الكل",1, MONTH('ادخال البيانات'!$N$3:$N$1164) = VALUE($B$10))) *
            (IF($B$11="الكل",1, INT((DAY('ادخال البيانات'!$N$3:$N$1164)-1)/7)+1 = VALUE($B$11))),
            'ادخال البيانات'!$F$3:$F$1164
         ),
         ""
      ),
      IF(_xlpm.result="", "", _xlpm.result)
   )
)</f>
        <v/>
      </c>
      <c r="G500" s="27" t="str" cm="1">
        <f t="array" ref="G500">IF(
   A500="",
   "",
   _xlfn.LET(
      _xlpm.result,
      IFERROR(
         _xlfn.XLOOKUP(
            1,
            (Table8[رقم الصنف]=A500) *
            (IF($B$9="الكل",1, YEAR('ادخال البيانات'!$N$3:$N$1164)=VALUE($B$9))) *
            (IF($B$10="الكل",1, MONTH('ادخال البيانات'!$N$3:$N$1164)=VALUE($B$10))) *
            (IF($B$11="الكل",1, INT((DAY('ادخال البيانات'!$N$3:$N$1164)-1)/7)+1 = VALUE($B$11))),
            'ادخال البيانات'!$G$3:$G$1164
         ),
         ""
      ),
      IF(_xlpm.result="", "", _xlpm.result)
   )
)</f>
        <v/>
      </c>
      <c r="H500" s="27" t="str" cm="1">
        <f t="array" ref="H500">IF(
   A500="",
   "",
   _xlfn.LET(
      _xlpm.result,
      IFERROR(
         _xlfn.XLOOKUP(
            1,
            (Table8[رقم الصنف]=A500) *
            (IF($B$9="الكل",1, YEAR('ادخال البيانات'!$N$3:$N$1164)=VALUE($B$9))) *
            (IF($B$10="الكل",1, MONTH('ادخال البيانات'!$N$3:$N$1164)=VALUE($B$10))) *
            (IF($B$11="الكل",1, INT((DAY('ادخال البيانات'!$N$3:$N$1164)-1)/7)+1 = VALUE($B$11))),
            'ادخال البيانات'!$H$3:$H$1164
         ),
         ""
      ),
      IF(_xlpm.result="", "", _xlpm.result)
   )
)</f>
        <v/>
      </c>
      <c r="I500" s="27" t="str" cm="1">
        <f t="array" ref="I500">IF(
   A500="",
   "",
   _xlfn.LET(
      _xlpm.result,
      IFERROR(
         _xlfn.XLOOKUP(
            1,
            (Table8[رقم الصنف]=A500) *
            (IF($B$9="الكل",1, YEAR('ادخال البيانات'!$N$3:$N$1164)=VALUE($B$9))) *
            (IF($B$10="الكل",1, MONTH('ادخال البيانات'!$N$3:$N$1164)=VALUE($B$10))) *
            (IF($B$11="الكل",1, INT((DAY('ادخال البيانات'!$N$3:$N$1164)-1)/7)+1 = VALUE($B$11))),
            'ادخال البيانات'!$I$3:$I$1164
         ),
         ""
      ),
      IF(_xlpm.result="", "", _xlpm.result)
   )
)</f>
        <v/>
      </c>
      <c r="J500" s="27" t="str" cm="1">
        <f t="array" ref="J500">IF(
   A500="",
   "",
   _xlfn.LET(
      _xlpm.result,
      IFERROR(
         _xlfn.XLOOKUP(
            1,
            (Table8[رقم الصنف]=A500) *
            (IF($B$9="الكل",1, YEAR('ادخال البيانات'!$N$3:$N$1164)=VALUE($B$9))) *
            (IF($B$10="الكل",1, MONTH('ادخال البيانات'!$N$3:$N$1164)=VALUE($B$10))) *
            (IF($B$11="الكل",1, INT((DAY('ادخال البيانات'!$N$3:$N$1164)-1)/7)+1 = VALUE($B$11))),
            'ادخال البيانات'!$J$3:$J$1164
         ),
         ""
      ),
      IF(_xlpm.result="", "", _xlpm.result)
   )
)</f>
        <v/>
      </c>
      <c r="K500" s="27" t="str" cm="1">
        <f t="array" ref="K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0" s="27" t="str" cm="1">
        <f t="array" ref="L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0" s="27" t="str" cm="1">
        <f t="array" ref="M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0" s="28" t="str" cm="1">
        <f t="array" ref="N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0" s="28" t="str" cm="1">
        <f t="array" ref="O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0" s="27" t="str" cm="1">
        <f t="array" ref="P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Table8[جهة العطل]
         ),
         ""
      ),
      IF(_xlpm.result="", "", _xlpm.result)
   )
)</f>
        <v/>
      </c>
      <c r="Q500" s="27" t="str" cm="1">
        <f t="array" ref="Q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Table8[المركز]
         ),
         ""
      ),
      IF(_xlpm.result="", "", _xlpm.result)
   )
)</f>
        <v/>
      </c>
      <c r="R500" s="27" t="str" cm="1">
        <f t="array" ref="R500">IF(
   A500="",
   "",
   _xlfn.LET(
      _xlpm.result,
      IFERROR(
         _xlfn.XLOOKUP(
            1,
            (Table8[رقم الصنف]=A500) *
            (IF($B$9="الكل",1, YEAR('ادخال البيانات'!$N$3:$N$1164) = VALUE($B$9))) *
            (IF($B$10="الكل",1, MONTH('ادخال البيانات'!$N$3:$N$1164) = VALUE($B$10))) *
            (IF($B$11="الكل",1, INT((DAY('ادخال البيانات'!$N$3:$N$1164) - 1) / 7) + 1 = VALUE($B$11))),
            Table8[ملاحظة]
         ),
         ""
      ),
      IF(_xlpm.result="", "", _xlpm.result)
   )
)</f>
        <v/>
      </c>
      <c r="S500" s="27" t="str">
        <f t="shared" ca="1" si="7"/>
        <v/>
      </c>
    </row>
    <row r="501" spans="1:19" ht="27.75" customHeight="1" thickTop="1" thickBot="1" x14ac:dyDescent="0.35">
      <c r="A501" s="39"/>
      <c r="B501" s="50" t="str" cm="1">
        <f t="array" ref="B501">IF(
   OR(A501="", $B$9="", $B$10="", $B$11=""),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1" s="27" t="str" cm="1">
        <f t="array" ref="C501">IF(
   A501="",
   "",
   _xlfn.LET(
      _xlpm.result,
      IFERROR(
         _xlfn.XLOOKUP(
            1,
            (Table8[رقم الصنف]=A501) *
            (IF($B$9="الكل",1, YEAR('ادخال البيانات'!$N$3:$N$1164) = VALUE($B$9))) *
            (IF($B$10="الكل",1, MONTH('ادخال البيانات'!$N$3:$N$1164) = VALUE($B$10))) *
            (IF($B$11="الكل",1, INT((DAY('ادخال البيانات'!$N$3:$N$1164)-1)/7)+1 = VALUE($B$11))),
            'ادخال البيانات'!$C$3:$C$1164
         ),
         ""
      ),
      IF(_xlpm.result="", "", _xlpm.result)
   )
)</f>
        <v/>
      </c>
      <c r="D501" s="27" t="str" cm="1">
        <f t="array" ref="D501">IF(
   OR(A501="", $B$9="", $B$10="", $B$11=""),
   "",
   _xlfn.LET(
      _xlpm.result,
      IFERROR(
         _xlfn.XLOOKUP(
            1,
            (Table8[رقم الصنف]=A501) *
            (IF($B$9="الكل",1, YEAR('ادخال البيانات'!$N$3:$N$1164)=VALUE($B$9))) *
            (IF($B$10="الكل",1, MONTH('ادخال البيانات'!$N$3:$N$1164)=VALUE($B$10))) *
            (IF($B$11="الكل",1, INT((DAY('ادخال البيانات'!$N$3:$N$1164)-1)/7)+1 = VALUE($B$11))),
            'ادخال البيانات'!$D$3:$D$1164
         ),
         ""
      ),
      IF(_xlpm.result="", "", _xlpm.result)
   )
)</f>
        <v/>
      </c>
      <c r="E501" s="27" t="str" cm="1">
        <f t="array" ref="E501">IF(
   A501="",
   "",
   _xlfn.LET(
      _xlpm.result,
      IFERROR(
         _xlfn.XLOOKUP(
            1,
            (Table8[رقم الصنف]=A501) *
            (IF($B$9="الكل",1, YEAR('ادخال البيانات'!$N$3:$N$1164)=VALUE($B$9))) *
            (IF($B$10="الكل",1, MONTH('ادخال البيانات'!$N$3:$N$1164)=VALUE($B$10))) *
            (IF($B$11="الكل",1, INT((DAY('ادخال البيانات'!$N$3:$N$1164)-1)/7)+1 = VALUE($B$11))),
            'ادخال البيانات'!$E$3:$E$1164
         ),
         ""
      ),
      IF(_xlpm.result="", "", _xlpm.result)
   )
)</f>
        <v/>
      </c>
      <c r="F501" s="27" t="str" cm="1">
        <f t="array" ref="F501">IF(
   A501="",
   "",
   _xlfn.LET(
      _xlpm.result,
      IFERROR(
         _xlfn.XLOOKUP(
            1,
            (Table8[رقم الصنف]=A501) *
            (IF($B$9="الكل",1, YEAR('ادخال البيانات'!$N$3:$N$1164) = VALUE($B$9))) *
            (IF($B$10="الكل",1, MONTH('ادخال البيانات'!$N$3:$N$1164) = VALUE($B$10))) *
            (IF($B$11="الكل",1, INT((DAY('ادخال البيانات'!$N$3:$N$1164)-1)/7)+1 = VALUE($B$11))),
            'ادخال البيانات'!$F$3:$F$1164
         ),
         ""
      ),
      IF(_xlpm.result="", "", _xlpm.result)
   )
)</f>
        <v/>
      </c>
      <c r="G501" s="27" t="str" cm="1">
        <f t="array" ref="G501">IF(
   A501="",
   "",
   _xlfn.LET(
      _xlpm.result,
      IFERROR(
         _xlfn.XLOOKUP(
            1,
            (Table8[رقم الصنف]=A501) *
            (IF($B$9="الكل",1, YEAR('ادخال البيانات'!$N$3:$N$1164)=VALUE($B$9))) *
            (IF($B$10="الكل",1, MONTH('ادخال البيانات'!$N$3:$N$1164)=VALUE($B$10))) *
            (IF($B$11="الكل",1, INT((DAY('ادخال البيانات'!$N$3:$N$1164)-1)/7)+1 = VALUE($B$11))),
            'ادخال البيانات'!$G$3:$G$1164
         ),
         ""
      ),
      IF(_xlpm.result="", "", _xlpm.result)
   )
)</f>
        <v/>
      </c>
      <c r="H501" s="27" t="str" cm="1">
        <f t="array" ref="H501">IF(
   A501="",
   "",
   _xlfn.LET(
      _xlpm.result,
      IFERROR(
         _xlfn.XLOOKUP(
            1,
            (Table8[رقم الصنف]=A501) *
            (IF($B$9="الكل",1, YEAR('ادخال البيانات'!$N$3:$N$1164)=VALUE($B$9))) *
            (IF($B$10="الكل",1, MONTH('ادخال البيانات'!$N$3:$N$1164)=VALUE($B$10))) *
            (IF($B$11="الكل",1, INT((DAY('ادخال البيانات'!$N$3:$N$1164)-1)/7)+1 = VALUE($B$11))),
            'ادخال البيانات'!$H$3:$H$1164
         ),
         ""
      ),
      IF(_xlpm.result="", "", _xlpm.result)
   )
)</f>
        <v/>
      </c>
      <c r="I501" s="27" t="str" cm="1">
        <f t="array" ref="I501">IF(
   A501="",
   "",
   _xlfn.LET(
      _xlpm.result,
      IFERROR(
         _xlfn.XLOOKUP(
            1,
            (Table8[رقم الصنف]=A501) *
            (IF($B$9="الكل",1, YEAR('ادخال البيانات'!$N$3:$N$1164)=VALUE($B$9))) *
            (IF($B$10="الكل",1, MONTH('ادخال البيانات'!$N$3:$N$1164)=VALUE($B$10))) *
            (IF($B$11="الكل",1, INT((DAY('ادخال البيانات'!$N$3:$N$1164)-1)/7)+1 = VALUE($B$11))),
            'ادخال البيانات'!$I$3:$I$1164
         ),
         ""
      ),
      IF(_xlpm.result="", "", _xlpm.result)
   )
)</f>
        <v/>
      </c>
      <c r="J501" s="27" t="str" cm="1">
        <f t="array" ref="J501">IF(
   A501="",
   "",
   _xlfn.LET(
      _xlpm.result,
      IFERROR(
         _xlfn.XLOOKUP(
            1,
            (Table8[رقم الصنف]=A501) *
            (IF($B$9="الكل",1, YEAR('ادخال البيانات'!$N$3:$N$1164)=VALUE($B$9))) *
            (IF($B$10="الكل",1, MONTH('ادخال البيانات'!$N$3:$N$1164)=VALUE($B$10))) *
            (IF($B$11="الكل",1, INT((DAY('ادخال البيانات'!$N$3:$N$1164)-1)/7)+1 = VALUE($B$11))),
            'ادخال البيانات'!$J$3:$J$1164
         ),
         ""
      ),
      IF(_xlpm.result="", "", _xlpm.result)
   )
)</f>
        <v/>
      </c>
      <c r="K501" s="27" t="str" cm="1">
        <f t="array" ref="K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1" s="27" t="str" cm="1">
        <f t="array" ref="L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1" s="27" t="str" cm="1">
        <f t="array" ref="M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1" s="28" t="str" cm="1">
        <f t="array" ref="N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1" s="28" t="str" cm="1">
        <f t="array" ref="O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1" s="27" t="str" cm="1">
        <f t="array" ref="P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Table8[جهة العطل]
         ),
         ""
      ),
      IF(_xlpm.result="", "", _xlpm.result)
   )
)</f>
        <v/>
      </c>
      <c r="Q501" s="27" t="str" cm="1">
        <f t="array" ref="Q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Table8[المركز]
         ),
         ""
      ),
      IF(_xlpm.result="", "", _xlpm.result)
   )
)</f>
        <v/>
      </c>
      <c r="R501" s="27" t="str" cm="1">
        <f t="array" ref="R501">IF(
   A501="",
   "",
   _xlfn.LET(
      _xlpm.result,
      IFERROR(
         _xlfn.XLOOKUP(
            1,
            (Table8[رقم الصنف]=A501) *
            (IF($B$9="الكل",1, YEAR('ادخال البيانات'!$N$3:$N$1164) = VALUE($B$9))) *
            (IF($B$10="الكل",1, MONTH('ادخال البيانات'!$N$3:$N$1164) = VALUE($B$10))) *
            (IF($B$11="الكل",1, INT((DAY('ادخال البيانات'!$N$3:$N$1164) - 1) / 7) + 1 = VALUE($B$11))),
            Table8[ملاحظة]
         ),
         ""
      ),
      IF(_xlpm.result="", "", _xlpm.result)
   )
)</f>
        <v/>
      </c>
      <c r="S501" s="27" t="str">
        <f t="shared" ca="1" si="7"/>
        <v/>
      </c>
    </row>
    <row r="502" spans="1:19" ht="27.75" customHeight="1" thickTop="1" thickBot="1" x14ac:dyDescent="0.35">
      <c r="A502" s="39"/>
      <c r="B502" s="50" t="str" cm="1">
        <f t="array" ref="B502">IF(
   OR(A502="", $B$9="", $B$10="", $B$11=""),
   "",
   _xlfn.LET(
      _xlpm.result,
      IFERROR(
         _xlfn.XLOOKUP(
            1,
            (Table8[رقم الصنف]=A502)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2" s="27" t="str" cm="1">
        <f t="array" ref="C502">IF(
   A502="",
   "",
   _xlfn.LET(
      _xlpm.result,
      IFERROR(
         _xlfn.XLOOKUP(
            1,
            (Table8[رقم الصنف]=A502) *
            (IF($B$9="الكل",1, YEAR('ادخال البيانات'!$N$3:$N$1164) = VALUE($B$9))) *
            (IF($B$10="الكل",1, MONTH('ادخال البيانات'!$N$3:$N$1164) = VALUE($B$10))) *
            (IF($B$11="الكل",1, INT((DAY('ادخال البيانات'!$N$3:$N$1164)-1)/7)+1 = VALUE($B$11))),
            'ادخال البيانات'!$C$3:$C$1164
         ),
         ""
      ),
      IF(_xlpm.result="", "", _xlpm.result)
   )
)</f>
        <v/>
      </c>
      <c r="D502" s="27" t="str" cm="1">
        <f t="array" ref="D502">IF(
   OR(A502="", $B$9="", $B$10="", $B$11=""),
   "",
   _xlfn.LET(
      _xlpm.result,
      IFERROR(
         _xlfn.XLOOKUP(
            1,
            (Table8[رقم الصنف]=A502) *
            (IF($B$9="الكل",1, YEAR('ادخال البيانات'!$N$3:$N$1164)=VALUE($B$9))) *
            (IF($B$10="الكل",1, MONTH('ادخال البيانات'!$N$3:$N$1164)=VALUE($B$10))) *
            (IF($B$11="الكل",1, INT((DAY('ادخال البيانات'!$N$3:$N$1164)-1)/7)+1 = VALUE($B$11))),
            'ادخال البيانات'!$D$3:$D$1164
         ),
         ""
      ),
      IF(_xlpm.result="", "", _xlpm.result)
   )
)</f>
        <v/>
      </c>
      <c r="E502" s="27" t="str" cm="1">
        <f t="array" ref="E502">IF(
   A502="",
   "",
   _xlfn.LET(
      _xlpm.result,
      IFERROR(
         _xlfn.XLOOKUP(
            1,
            (Table8[رقم الصنف]=A502) *
            (IF($B$9="الكل",1, YEAR('ادخال البيانات'!$N$3:$N$1164)=VALUE($B$9))) *
            (IF($B$10="الكل",1, MONTH('ادخال البيانات'!$N$3:$N$1164)=VALUE($B$10))) *
            (IF($B$11="الكل",1, INT((DAY('ادخال البيانات'!$N$3:$N$1164)-1)/7)+1 = VALUE($B$11))),
            'ادخال البيانات'!$E$3:$E$1164
         ),
         ""
      ),
      IF(_xlpm.result="", "", _xlpm.result)
   )
)</f>
        <v/>
      </c>
      <c r="F502" s="27" t="str" cm="1">
        <f t="array" ref="F502">IF(
   A502="",
   "",
   _xlfn.LET(
      _xlpm.result,
      IFERROR(
         _xlfn.XLOOKUP(
            1,
            (Table8[رقم الصنف]=A502) *
            (IF($B$9="الكل",1, YEAR('ادخال البيانات'!$N$3:$N$1164) = VALUE($B$9))) *
            (IF($B$10="الكل",1, MONTH('ادخال البيانات'!$N$3:$N$1164) = VALUE($B$10))) *
            (IF($B$11="الكل",1, INT((DAY('ادخال البيانات'!$N$3:$N$1164)-1)/7)+1 = VALUE($B$11))),
            'ادخال البيانات'!$F$3:$F$1164
         ),
         ""
      ),
      IF(_xlpm.result="", "", _xlpm.result)
   )
)</f>
        <v/>
      </c>
      <c r="G502" s="27" t="str" cm="1">
        <f t="array" ref="G502">IF(
   A502="",
   "",
   _xlfn.LET(
      _xlpm.result,
      IFERROR(
         _xlfn.XLOOKUP(
            1,
            (Table8[رقم الصنف]=A502) *
            (IF($B$9="الكل",1, YEAR('ادخال البيانات'!$N$3:$N$1164)=VALUE($B$9))) *
            (IF($B$10="الكل",1, MONTH('ادخال البيانات'!$N$3:$N$1164)=VALUE($B$10))) *
            (IF($B$11="الكل",1, INT((DAY('ادخال البيانات'!$N$3:$N$1164)-1)/7)+1 = VALUE($B$11))),
            'ادخال البيانات'!$G$3:$G$1164
         ),
         ""
      ),
      IF(_xlpm.result="", "", _xlpm.result)
   )
)</f>
        <v/>
      </c>
      <c r="H502" s="27" t="str" cm="1">
        <f t="array" ref="H502">IF(
   A502="",
   "",
   _xlfn.LET(
      _xlpm.result,
      IFERROR(
         _xlfn.XLOOKUP(
            1,
            (Table8[رقم الصنف]=A502) *
            (IF($B$9="الكل",1, YEAR('ادخال البيانات'!$N$3:$N$1164)=VALUE($B$9))) *
            (IF($B$10="الكل",1, MONTH('ادخال البيانات'!$N$3:$N$1164)=VALUE($B$10))) *
            (IF($B$11="الكل",1, INT((DAY('ادخال البيانات'!$N$3:$N$1164)-1)/7)+1 = VALUE($B$11))),
            'ادخال البيانات'!$H$3:$H$1164
         ),
         ""
      ),
      IF(_xlpm.result="", "", _xlpm.result)
   )
)</f>
        <v/>
      </c>
      <c r="I502" s="27" t="str" cm="1">
        <f t="array" ref="I502">IF(
   A502="",
   "",
   _xlfn.LET(
      _xlpm.result,
      IFERROR(
         _xlfn.XLOOKUP(
            1,
            (Table8[رقم الصنف]=A502) *
            (IF($B$9="الكل",1, YEAR('ادخال البيانات'!$N$3:$N$1164)=VALUE($B$9))) *
            (IF($B$10="الكل",1, MONTH('ادخال البيانات'!$N$3:$N$1164)=VALUE($B$10))) *
            (IF($B$11="الكل",1, INT((DAY('ادخال البيانات'!$N$3:$N$1164)-1)/7)+1 = VALUE($B$11))),
            'ادخال البيانات'!$I$3:$I$1164
         ),
         ""
      ),
      IF(_xlpm.result="", "", _xlpm.result)
   )
)</f>
        <v/>
      </c>
      <c r="J502" s="27" t="str" cm="1">
        <f t="array" ref="J502">IF(
   A502="",
   "",
   _xlfn.LET(
      _xlpm.result,
      IFERROR(
         _xlfn.XLOOKUP(
            1,
            (Table8[رقم الصنف]=A502) *
            (IF($B$9="الكل",1, YEAR('ادخال البيانات'!$N$3:$N$1164)=VALUE($B$9))) *
            (IF($B$10="الكل",1, MONTH('ادخال البيانات'!$N$3:$N$1164)=VALUE($B$10))) *
            (IF($B$11="الكل",1, INT((DAY('ادخال البيانات'!$N$3:$N$1164)-1)/7)+1 = VALUE($B$11))),
            'ادخال البيانات'!$J$3:$J$1164
         ),
         ""
      ),
      IF(_xlpm.result="", "", _xlpm.result)
   )
)</f>
        <v/>
      </c>
      <c r="K502" s="27" t="str" cm="1">
        <f t="array" ref="K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2" s="27" t="str" cm="1">
        <f t="array" ref="L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2" s="27" t="str" cm="1">
        <f t="array" ref="M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2" s="28" t="str" cm="1">
        <f t="array" ref="N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2" s="28" t="str" cm="1">
        <f t="array" ref="O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2" s="27" t="str" cm="1">
        <f t="array" ref="P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Table8[جهة العطل]
         ),
         ""
      ),
      IF(_xlpm.result="", "", _xlpm.result)
   )
)</f>
        <v/>
      </c>
      <c r="Q502" s="27" t="str" cm="1">
        <f t="array" ref="Q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Table8[المركز]
         ),
         ""
      ),
      IF(_xlpm.result="", "", _xlpm.result)
   )
)</f>
        <v/>
      </c>
      <c r="R502" s="27" t="str" cm="1">
        <f t="array" ref="R502">IF(
   A502="",
   "",
   _xlfn.LET(
      _xlpm.result,
      IFERROR(
         _xlfn.XLOOKUP(
            1,
            (Table8[رقم الصنف]=A502) *
            (IF($B$9="الكل",1, YEAR('ادخال البيانات'!$N$3:$N$1164) = VALUE($B$9))) *
            (IF($B$10="الكل",1, MONTH('ادخال البيانات'!$N$3:$N$1164) = VALUE($B$10))) *
            (IF($B$11="الكل",1, INT((DAY('ادخال البيانات'!$N$3:$N$1164) - 1) / 7) + 1 = VALUE($B$11))),
            Table8[ملاحظة]
         ),
         ""
      ),
      IF(_xlpm.result="", "", _xlpm.result)
   )
)</f>
        <v/>
      </c>
      <c r="S502" s="27" t="str">
        <f t="shared" ca="1" si="7"/>
        <v/>
      </c>
    </row>
    <row r="503" spans="1:19" ht="27.75" customHeight="1" thickTop="1" thickBot="1" x14ac:dyDescent="0.35">
      <c r="A503" s="39"/>
      <c r="B503" s="50" t="str" cm="1">
        <f t="array" ref="B503">IF(
   OR(A503="", $B$9="", $B$10="", $B$11=""),
   "",
   _xlfn.LET(
      _xlpm.result,
      IFERROR(
         _xlfn.XLOOKUP(
            1,
            (Table8[رقم الصنف]=A503)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3" s="27" t="str" cm="1">
        <f t="array" ref="C503">IF(
   A503="",
   "",
   _xlfn.LET(
      _xlpm.result,
      IFERROR(
         _xlfn.XLOOKUP(
            1,
            (Table8[رقم الصنف]=A503) *
            (IF($B$9="الكل",1, YEAR('ادخال البيانات'!$N$3:$N$1164) = VALUE($B$9))) *
            (IF($B$10="الكل",1, MONTH('ادخال البيانات'!$N$3:$N$1164) = VALUE($B$10))) *
            (IF($B$11="الكل",1, INT((DAY('ادخال البيانات'!$N$3:$N$1164)-1)/7)+1 = VALUE($B$11))),
            'ادخال البيانات'!$C$3:$C$1164
         ),
         ""
      ),
      IF(_xlpm.result="", "", _xlpm.result)
   )
)</f>
        <v/>
      </c>
      <c r="D503" s="27" t="str" cm="1">
        <f t="array" ref="D503">IF(
   OR(A503="", $B$9="", $B$10="", $B$11=""),
   "",
   _xlfn.LET(
      _xlpm.result,
      IFERROR(
         _xlfn.XLOOKUP(
            1,
            (Table8[رقم الصنف]=A503) *
            (IF($B$9="الكل",1, YEAR('ادخال البيانات'!$N$3:$N$1164)=VALUE($B$9))) *
            (IF($B$10="الكل",1, MONTH('ادخال البيانات'!$N$3:$N$1164)=VALUE($B$10))) *
            (IF($B$11="الكل",1, INT((DAY('ادخال البيانات'!$N$3:$N$1164)-1)/7)+1 = VALUE($B$11))),
            'ادخال البيانات'!$D$3:$D$1164
         ),
         ""
      ),
      IF(_xlpm.result="", "", _xlpm.result)
   )
)</f>
        <v/>
      </c>
      <c r="E503" s="27" t="str" cm="1">
        <f t="array" ref="E503">IF(
   A503="",
   "",
   _xlfn.LET(
      _xlpm.result,
      IFERROR(
         _xlfn.XLOOKUP(
            1,
            (Table8[رقم الصنف]=A503) *
            (IF($B$9="الكل",1, YEAR('ادخال البيانات'!$N$3:$N$1164)=VALUE($B$9))) *
            (IF($B$10="الكل",1, MONTH('ادخال البيانات'!$N$3:$N$1164)=VALUE($B$10))) *
            (IF($B$11="الكل",1, INT((DAY('ادخال البيانات'!$N$3:$N$1164)-1)/7)+1 = VALUE($B$11))),
            'ادخال البيانات'!$E$3:$E$1164
         ),
         ""
      ),
      IF(_xlpm.result="", "", _xlpm.result)
   )
)</f>
        <v/>
      </c>
      <c r="F503" s="27" t="str" cm="1">
        <f t="array" ref="F503">IF(
   A503="",
   "",
   _xlfn.LET(
      _xlpm.result,
      IFERROR(
         _xlfn.XLOOKUP(
            1,
            (Table8[رقم الصنف]=A503) *
            (IF($B$9="الكل",1, YEAR('ادخال البيانات'!$N$3:$N$1164) = VALUE($B$9))) *
            (IF($B$10="الكل",1, MONTH('ادخال البيانات'!$N$3:$N$1164) = VALUE($B$10))) *
            (IF($B$11="الكل",1, INT((DAY('ادخال البيانات'!$N$3:$N$1164)-1)/7)+1 = VALUE($B$11))),
            'ادخال البيانات'!$F$3:$F$1164
         ),
         ""
      ),
      IF(_xlpm.result="", "", _xlpm.result)
   )
)</f>
        <v/>
      </c>
      <c r="G503" s="27" t="str" cm="1">
        <f t="array" ref="G503">IF(
   A503="",
   "",
   _xlfn.LET(
      _xlpm.result,
      IFERROR(
         _xlfn.XLOOKUP(
            1,
            (Table8[رقم الصنف]=A503) *
            (IF($B$9="الكل",1, YEAR('ادخال البيانات'!$N$3:$N$1164)=VALUE($B$9))) *
            (IF($B$10="الكل",1, MONTH('ادخال البيانات'!$N$3:$N$1164)=VALUE($B$10))) *
            (IF($B$11="الكل",1, INT((DAY('ادخال البيانات'!$N$3:$N$1164)-1)/7)+1 = VALUE($B$11))),
            'ادخال البيانات'!$G$3:$G$1164
         ),
         ""
      ),
      IF(_xlpm.result="", "", _xlpm.result)
   )
)</f>
        <v/>
      </c>
      <c r="H503" s="27" t="str" cm="1">
        <f t="array" ref="H503">IF(
   A503="",
   "",
   _xlfn.LET(
      _xlpm.result,
      IFERROR(
         _xlfn.XLOOKUP(
            1,
            (Table8[رقم الصنف]=A503) *
            (IF($B$9="الكل",1, YEAR('ادخال البيانات'!$N$3:$N$1164)=VALUE($B$9))) *
            (IF($B$10="الكل",1, MONTH('ادخال البيانات'!$N$3:$N$1164)=VALUE($B$10))) *
            (IF($B$11="الكل",1, INT((DAY('ادخال البيانات'!$N$3:$N$1164)-1)/7)+1 = VALUE($B$11))),
            'ادخال البيانات'!$H$3:$H$1164
         ),
         ""
      ),
      IF(_xlpm.result="", "", _xlpm.result)
   )
)</f>
        <v/>
      </c>
      <c r="I503" s="27" t="str" cm="1">
        <f t="array" ref="I503">IF(
   A503="",
   "",
   _xlfn.LET(
      _xlpm.result,
      IFERROR(
         _xlfn.XLOOKUP(
            1,
            (Table8[رقم الصنف]=A503) *
            (IF($B$9="الكل",1, YEAR('ادخال البيانات'!$N$3:$N$1164)=VALUE($B$9))) *
            (IF($B$10="الكل",1, MONTH('ادخال البيانات'!$N$3:$N$1164)=VALUE($B$10))) *
            (IF($B$11="الكل",1, INT((DAY('ادخال البيانات'!$N$3:$N$1164)-1)/7)+1 = VALUE($B$11))),
            'ادخال البيانات'!$I$3:$I$1164
         ),
         ""
      ),
      IF(_xlpm.result="", "", _xlpm.result)
   )
)</f>
        <v/>
      </c>
      <c r="J503" s="27" t="str" cm="1">
        <f t="array" ref="J503">IF(
   A503="",
   "",
   _xlfn.LET(
      _xlpm.result,
      IFERROR(
         _xlfn.XLOOKUP(
            1,
            (Table8[رقم الصنف]=A503) *
            (IF($B$9="الكل",1, YEAR('ادخال البيانات'!$N$3:$N$1164)=VALUE($B$9))) *
            (IF($B$10="الكل",1, MONTH('ادخال البيانات'!$N$3:$N$1164)=VALUE($B$10))) *
            (IF($B$11="الكل",1, INT((DAY('ادخال البيانات'!$N$3:$N$1164)-1)/7)+1 = VALUE($B$11))),
            'ادخال البيانات'!$J$3:$J$1164
         ),
         ""
      ),
      IF(_xlpm.result="", "", _xlpm.result)
   )
)</f>
        <v/>
      </c>
      <c r="K503" s="27" t="str" cm="1">
        <f t="array" ref="K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3" s="27" t="str" cm="1">
        <f t="array" ref="L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3" s="27" t="str" cm="1">
        <f t="array" ref="M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3" s="28" t="str" cm="1">
        <f t="array" ref="N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3" s="28" t="str" cm="1">
        <f t="array" ref="O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3" s="27" t="str" cm="1">
        <f t="array" ref="P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Table8[جهة العطل]
         ),
         ""
      ),
      IF(_xlpm.result="", "", _xlpm.result)
   )
)</f>
        <v/>
      </c>
      <c r="Q503" s="27" t="str" cm="1">
        <f t="array" ref="Q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Table8[المركز]
         ),
         ""
      ),
      IF(_xlpm.result="", "", _xlpm.result)
   )
)</f>
        <v/>
      </c>
      <c r="R503" s="27" t="str" cm="1">
        <f t="array" ref="R503">IF(
   A503="",
   "",
   _xlfn.LET(
      _xlpm.result,
      IFERROR(
         _xlfn.XLOOKUP(
            1,
            (Table8[رقم الصنف]=A503) *
            (IF($B$9="الكل",1, YEAR('ادخال البيانات'!$N$3:$N$1164) = VALUE($B$9))) *
            (IF($B$10="الكل",1, MONTH('ادخال البيانات'!$N$3:$N$1164) = VALUE($B$10))) *
            (IF($B$11="الكل",1, INT((DAY('ادخال البيانات'!$N$3:$N$1164) - 1) / 7) + 1 = VALUE($B$11))),
            Table8[ملاحظة]
         ),
         ""
      ),
      IF(_xlpm.result="", "", _xlpm.result)
   )
)</f>
        <v/>
      </c>
      <c r="S503" s="27" t="str">
        <f t="shared" ca="1" si="7"/>
        <v/>
      </c>
    </row>
    <row r="504" spans="1:19" ht="27.75" customHeight="1" thickTop="1" thickBot="1" x14ac:dyDescent="0.35">
      <c r="A504" s="39"/>
      <c r="B504" s="50" t="str" cm="1">
        <f t="array" ref="B504">IF(
   OR(A504="", $B$9="", $B$10="", $B$11=""),
   "",
   _xlfn.LET(
      _xlpm.result,
      IFERROR(
         _xlfn.XLOOKUP(
            1,
            (Table8[رقم الصنف]=A504)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4" s="27" t="str" cm="1">
        <f t="array" ref="C504">IF(
   A504="",
   "",
   _xlfn.LET(
      _xlpm.result,
      IFERROR(
         _xlfn.XLOOKUP(
            1,
            (Table8[رقم الصنف]=A504) *
            (IF($B$9="الكل",1, YEAR('ادخال البيانات'!$N$3:$N$1164) = VALUE($B$9))) *
            (IF($B$10="الكل",1, MONTH('ادخال البيانات'!$N$3:$N$1164) = VALUE($B$10))) *
            (IF($B$11="الكل",1, INT((DAY('ادخال البيانات'!$N$3:$N$1164)-1)/7)+1 = VALUE($B$11))),
            'ادخال البيانات'!$C$3:$C$1164
         ),
         ""
      ),
      IF(_xlpm.result="", "", _xlpm.result)
   )
)</f>
        <v/>
      </c>
      <c r="D504" s="27" t="str" cm="1">
        <f t="array" ref="D504">IF(
   OR(A504="", $B$9="", $B$10="", $B$11=""),
   "",
   _xlfn.LET(
      _xlpm.result,
      IFERROR(
         _xlfn.XLOOKUP(
            1,
            (Table8[رقم الصنف]=A504) *
            (IF($B$9="الكل",1, YEAR('ادخال البيانات'!$N$3:$N$1164)=VALUE($B$9))) *
            (IF($B$10="الكل",1, MONTH('ادخال البيانات'!$N$3:$N$1164)=VALUE($B$10))) *
            (IF($B$11="الكل",1, INT((DAY('ادخال البيانات'!$N$3:$N$1164)-1)/7)+1 = VALUE($B$11))),
            'ادخال البيانات'!$D$3:$D$1164
         ),
         ""
      ),
      IF(_xlpm.result="", "", _xlpm.result)
   )
)</f>
        <v/>
      </c>
      <c r="E504" s="27" t="str" cm="1">
        <f t="array" ref="E504">IF(
   A504="",
   "",
   _xlfn.LET(
      _xlpm.result,
      IFERROR(
         _xlfn.XLOOKUP(
            1,
            (Table8[رقم الصنف]=A504) *
            (IF($B$9="الكل",1, YEAR('ادخال البيانات'!$N$3:$N$1164)=VALUE($B$9))) *
            (IF($B$10="الكل",1, MONTH('ادخال البيانات'!$N$3:$N$1164)=VALUE($B$10))) *
            (IF($B$11="الكل",1, INT((DAY('ادخال البيانات'!$N$3:$N$1164)-1)/7)+1 = VALUE($B$11))),
            'ادخال البيانات'!$E$3:$E$1164
         ),
         ""
      ),
      IF(_xlpm.result="", "", _xlpm.result)
   )
)</f>
        <v/>
      </c>
      <c r="F504" s="27" t="str" cm="1">
        <f t="array" ref="F504">IF(
   A504="",
   "",
   _xlfn.LET(
      _xlpm.result,
      IFERROR(
         _xlfn.XLOOKUP(
            1,
            (Table8[رقم الصنف]=A504) *
            (IF($B$9="الكل",1, YEAR('ادخال البيانات'!$N$3:$N$1164) = VALUE($B$9))) *
            (IF($B$10="الكل",1, MONTH('ادخال البيانات'!$N$3:$N$1164) = VALUE($B$10))) *
            (IF($B$11="الكل",1, INT((DAY('ادخال البيانات'!$N$3:$N$1164)-1)/7)+1 = VALUE($B$11))),
            'ادخال البيانات'!$F$3:$F$1164
         ),
         ""
      ),
      IF(_xlpm.result="", "", _xlpm.result)
   )
)</f>
        <v/>
      </c>
      <c r="G504" s="27" t="str" cm="1">
        <f t="array" ref="G504">IF(
   A504="",
   "",
   _xlfn.LET(
      _xlpm.result,
      IFERROR(
         _xlfn.XLOOKUP(
            1,
            (Table8[رقم الصنف]=A504) *
            (IF($B$9="الكل",1, YEAR('ادخال البيانات'!$N$3:$N$1164)=VALUE($B$9))) *
            (IF($B$10="الكل",1, MONTH('ادخال البيانات'!$N$3:$N$1164)=VALUE($B$10))) *
            (IF($B$11="الكل",1, INT((DAY('ادخال البيانات'!$N$3:$N$1164)-1)/7)+1 = VALUE($B$11))),
            'ادخال البيانات'!$G$3:$G$1164
         ),
         ""
      ),
      IF(_xlpm.result="", "", _xlpm.result)
   )
)</f>
        <v/>
      </c>
      <c r="H504" s="27" t="str" cm="1">
        <f t="array" ref="H504">IF(
   A504="",
   "",
   _xlfn.LET(
      _xlpm.result,
      IFERROR(
         _xlfn.XLOOKUP(
            1,
            (Table8[رقم الصنف]=A504) *
            (IF($B$9="الكل",1, YEAR('ادخال البيانات'!$N$3:$N$1164)=VALUE($B$9))) *
            (IF($B$10="الكل",1, MONTH('ادخال البيانات'!$N$3:$N$1164)=VALUE($B$10))) *
            (IF($B$11="الكل",1, INT((DAY('ادخال البيانات'!$N$3:$N$1164)-1)/7)+1 = VALUE($B$11))),
            'ادخال البيانات'!$H$3:$H$1164
         ),
         ""
      ),
      IF(_xlpm.result="", "", _xlpm.result)
   )
)</f>
        <v/>
      </c>
      <c r="I504" s="27" t="str" cm="1">
        <f t="array" ref="I504">IF(
   A504="",
   "",
   _xlfn.LET(
      _xlpm.result,
      IFERROR(
         _xlfn.XLOOKUP(
            1,
            (Table8[رقم الصنف]=A504) *
            (IF($B$9="الكل",1, YEAR('ادخال البيانات'!$N$3:$N$1164)=VALUE($B$9))) *
            (IF($B$10="الكل",1, MONTH('ادخال البيانات'!$N$3:$N$1164)=VALUE($B$10))) *
            (IF($B$11="الكل",1, INT((DAY('ادخال البيانات'!$N$3:$N$1164)-1)/7)+1 = VALUE($B$11))),
            'ادخال البيانات'!$I$3:$I$1164
         ),
         ""
      ),
      IF(_xlpm.result="", "", _xlpm.result)
   )
)</f>
        <v/>
      </c>
      <c r="J504" s="27" t="str" cm="1">
        <f t="array" ref="J504">IF(
   A504="",
   "",
   _xlfn.LET(
      _xlpm.result,
      IFERROR(
         _xlfn.XLOOKUP(
            1,
            (Table8[رقم الصنف]=A504) *
            (IF($B$9="الكل",1, YEAR('ادخال البيانات'!$N$3:$N$1164)=VALUE($B$9))) *
            (IF($B$10="الكل",1, MONTH('ادخال البيانات'!$N$3:$N$1164)=VALUE($B$10))) *
            (IF($B$11="الكل",1, INT((DAY('ادخال البيانات'!$N$3:$N$1164)-1)/7)+1 = VALUE($B$11))),
            'ادخال البيانات'!$J$3:$J$1164
         ),
         ""
      ),
      IF(_xlpm.result="", "", _xlpm.result)
   )
)</f>
        <v/>
      </c>
      <c r="K504" s="27" t="str" cm="1">
        <f t="array" ref="K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4" s="27" t="str" cm="1">
        <f t="array" ref="L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4" s="27" t="str" cm="1">
        <f t="array" ref="M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4" s="28" t="str" cm="1">
        <f t="array" ref="N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4" s="28" t="str" cm="1">
        <f t="array" ref="O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4" s="27" t="str" cm="1">
        <f t="array" ref="P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Table8[جهة العطل]
         ),
         ""
      ),
      IF(_xlpm.result="", "", _xlpm.result)
   )
)</f>
        <v/>
      </c>
      <c r="Q504" s="27" t="str" cm="1">
        <f t="array" ref="Q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Table8[المركز]
         ),
         ""
      ),
      IF(_xlpm.result="", "", _xlpm.result)
   )
)</f>
        <v/>
      </c>
      <c r="R504" s="27" t="str" cm="1">
        <f t="array" ref="R504">IF(
   A504="",
   "",
   _xlfn.LET(
      _xlpm.result,
      IFERROR(
         _xlfn.XLOOKUP(
            1,
            (Table8[رقم الصنف]=A504) *
            (IF($B$9="الكل",1, YEAR('ادخال البيانات'!$N$3:$N$1164) = VALUE($B$9))) *
            (IF($B$10="الكل",1, MONTH('ادخال البيانات'!$N$3:$N$1164) = VALUE($B$10))) *
            (IF($B$11="الكل",1, INT((DAY('ادخال البيانات'!$N$3:$N$1164) - 1) / 7) + 1 = VALUE($B$11))),
            Table8[ملاحظة]
         ),
         ""
      ),
      IF(_xlpm.result="", "", _xlpm.result)
   )
)</f>
        <v/>
      </c>
      <c r="S504" s="27" t="str">
        <f t="shared" ca="1" si="7"/>
        <v/>
      </c>
    </row>
    <row r="505" spans="1:19" ht="27.75" customHeight="1" thickTop="1" thickBot="1" x14ac:dyDescent="0.35">
      <c r="A505" s="39"/>
      <c r="B505" s="50" t="str" cm="1">
        <f t="array" ref="B505">IF(
   OR(A505="", $B$9="", $B$10="", $B$11=""),
   "",
   _xlfn.LET(
      _xlpm.result,
      IFERROR(
         _xlfn.XLOOKUP(
            1,
            (Table8[رقم الصنف]=A505)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5" s="27" t="str" cm="1">
        <f t="array" ref="C505">IF(
   A505="",
   "",
   _xlfn.LET(
      _xlpm.result,
      IFERROR(
         _xlfn.XLOOKUP(
            1,
            (Table8[رقم الصنف]=A505) *
            (IF($B$9="الكل",1, YEAR('ادخال البيانات'!$N$3:$N$1164) = VALUE($B$9))) *
            (IF($B$10="الكل",1, MONTH('ادخال البيانات'!$N$3:$N$1164) = VALUE($B$10))) *
            (IF($B$11="الكل",1, INT((DAY('ادخال البيانات'!$N$3:$N$1164)-1)/7)+1 = VALUE($B$11))),
            'ادخال البيانات'!$C$3:$C$1164
         ),
         ""
      ),
      IF(_xlpm.result="", "", _xlpm.result)
   )
)</f>
        <v/>
      </c>
      <c r="D505" s="27" t="str" cm="1">
        <f t="array" ref="D505">IF(
   OR(A505="", $B$9="", $B$10="", $B$11=""),
   "",
   _xlfn.LET(
      _xlpm.result,
      IFERROR(
         _xlfn.XLOOKUP(
            1,
            (Table8[رقم الصنف]=A505) *
            (IF($B$9="الكل",1, YEAR('ادخال البيانات'!$N$3:$N$1164)=VALUE($B$9))) *
            (IF($B$10="الكل",1, MONTH('ادخال البيانات'!$N$3:$N$1164)=VALUE($B$10))) *
            (IF($B$11="الكل",1, INT((DAY('ادخال البيانات'!$N$3:$N$1164)-1)/7)+1 = VALUE($B$11))),
            'ادخال البيانات'!$D$3:$D$1164
         ),
         ""
      ),
      IF(_xlpm.result="", "", _xlpm.result)
   )
)</f>
        <v/>
      </c>
      <c r="E505" s="27" t="str" cm="1">
        <f t="array" ref="E505">IF(
   A505="",
   "",
   _xlfn.LET(
      _xlpm.result,
      IFERROR(
         _xlfn.XLOOKUP(
            1,
            (Table8[رقم الصنف]=A505) *
            (IF($B$9="الكل",1, YEAR('ادخال البيانات'!$N$3:$N$1164)=VALUE($B$9))) *
            (IF($B$10="الكل",1, MONTH('ادخال البيانات'!$N$3:$N$1164)=VALUE($B$10))) *
            (IF($B$11="الكل",1, INT((DAY('ادخال البيانات'!$N$3:$N$1164)-1)/7)+1 = VALUE($B$11))),
            'ادخال البيانات'!$E$3:$E$1164
         ),
         ""
      ),
      IF(_xlpm.result="", "", _xlpm.result)
   )
)</f>
        <v/>
      </c>
      <c r="F505" s="27" t="str" cm="1">
        <f t="array" ref="F505">IF(
   A505="",
   "",
   _xlfn.LET(
      _xlpm.result,
      IFERROR(
         _xlfn.XLOOKUP(
            1,
            (Table8[رقم الصنف]=A505) *
            (IF($B$9="الكل",1, YEAR('ادخال البيانات'!$N$3:$N$1164) = VALUE($B$9))) *
            (IF($B$10="الكل",1, MONTH('ادخال البيانات'!$N$3:$N$1164) = VALUE($B$10))) *
            (IF($B$11="الكل",1, INT((DAY('ادخال البيانات'!$N$3:$N$1164)-1)/7)+1 = VALUE($B$11))),
            'ادخال البيانات'!$F$3:$F$1164
         ),
         ""
      ),
      IF(_xlpm.result="", "", _xlpm.result)
   )
)</f>
        <v/>
      </c>
      <c r="G505" s="27" t="str" cm="1">
        <f t="array" ref="G505">IF(
   A505="",
   "",
   _xlfn.LET(
      _xlpm.result,
      IFERROR(
         _xlfn.XLOOKUP(
            1,
            (Table8[رقم الصنف]=A505) *
            (IF($B$9="الكل",1, YEAR('ادخال البيانات'!$N$3:$N$1164)=VALUE($B$9))) *
            (IF($B$10="الكل",1, MONTH('ادخال البيانات'!$N$3:$N$1164)=VALUE($B$10))) *
            (IF($B$11="الكل",1, INT((DAY('ادخال البيانات'!$N$3:$N$1164)-1)/7)+1 = VALUE($B$11))),
            'ادخال البيانات'!$G$3:$G$1164
         ),
         ""
      ),
      IF(_xlpm.result="", "", _xlpm.result)
   )
)</f>
        <v/>
      </c>
      <c r="H505" s="27" t="str" cm="1">
        <f t="array" ref="H505">IF(
   A505="",
   "",
   _xlfn.LET(
      _xlpm.result,
      IFERROR(
         _xlfn.XLOOKUP(
            1,
            (Table8[رقم الصنف]=A505) *
            (IF($B$9="الكل",1, YEAR('ادخال البيانات'!$N$3:$N$1164)=VALUE($B$9))) *
            (IF($B$10="الكل",1, MONTH('ادخال البيانات'!$N$3:$N$1164)=VALUE($B$10))) *
            (IF($B$11="الكل",1, INT((DAY('ادخال البيانات'!$N$3:$N$1164)-1)/7)+1 = VALUE($B$11))),
            'ادخال البيانات'!$H$3:$H$1164
         ),
         ""
      ),
      IF(_xlpm.result="", "", _xlpm.result)
   )
)</f>
        <v/>
      </c>
      <c r="I505" s="27" t="str" cm="1">
        <f t="array" ref="I505">IF(
   A505="",
   "",
   _xlfn.LET(
      _xlpm.result,
      IFERROR(
         _xlfn.XLOOKUP(
            1,
            (Table8[رقم الصنف]=A505) *
            (IF($B$9="الكل",1, YEAR('ادخال البيانات'!$N$3:$N$1164)=VALUE($B$9))) *
            (IF($B$10="الكل",1, MONTH('ادخال البيانات'!$N$3:$N$1164)=VALUE($B$10))) *
            (IF($B$11="الكل",1, INT((DAY('ادخال البيانات'!$N$3:$N$1164)-1)/7)+1 = VALUE($B$11))),
            'ادخال البيانات'!$I$3:$I$1164
         ),
         ""
      ),
      IF(_xlpm.result="", "", _xlpm.result)
   )
)</f>
        <v/>
      </c>
      <c r="J505" s="27" t="str" cm="1">
        <f t="array" ref="J505">IF(
   A505="",
   "",
   _xlfn.LET(
      _xlpm.result,
      IFERROR(
         _xlfn.XLOOKUP(
            1,
            (Table8[رقم الصنف]=A505) *
            (IF($B$9="الكل",1, YEAR('ادخال البيانات'!$N$3:$N$1164)=VALUE($B$9))) *
            (IF($B$10="الكل",1, MONTH('ادخال البيانات'!$N$3:$N$1164)=VALUE($B$10))) *
            (IF($B$11="الكل",1, INT((DAY('ادخال البيانات'!$N$3:$N$1164)-1)/7)+1 = VALUE($B$11))),
            'ادخال البيانات'!$J$3:$J$1164
         ),
         ""
      ),
      IF(_xlpm.result="", "", _xlpm.result)
   )
)</f>
        <v/>
      </c>
      <c r="K505" s="27" t="str" cm="1">
        <f t="array" ref="K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5" s="27" t="str" cm="1">
        <f t="array" ref="L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5" s="27" t="str" cm="1">
        <f t="array" ref="M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5" s="28" t="str" cm="1">
        <f t="array" ref="N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5" s="28" t="str" cm="1">
        <f t="array" ref="O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5" s="27" t="str" cm="1">
        <f t="array" ref="P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Table8[جهة العطل]
         ),
         ""
      ),
      IF(_xlpm.result="", "", _xlpm.result)
   )
)</f>
        <v/>
      </c>
      <c r="Q505" s="27" t="str" cm="1">
        <f t="array" ref="Q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Table8[المركز]
         ),
         ""
      ),
      IF(_xlpm.result="", "", _xlpm.result)
   )
)</f>
        <v/>
      </c>
      <c r="R505" s="27" t="str" cm="1">
        <f t="array" ref="R505">IF(
   A505="",
   "",
   _xlfn.LET(
      _xlpm.result,
      IFERROR(
         _xlfn.XLOOKUP(
            1,
            (Table8[رقم الصنف]=A505) *
            (IF($B$9="الكل",1, YEAR('ادخال البيانات'!$N$3:$N$1164) = VALUE($B$9))) *
            (IF($B$10="الكل",1, MONTH('ادخال البيانات'!$N$3:$N$1164) = VALUE($B$10))) *
            (IF($B$11="الكل",1, INT((DAY('ادخال البيانات'!$N$3:$N$1164) - 1) / 7) + 1 = VALUE($B$11))),
            Table8[ملاحظة]
         ),
         ""
      ),
      IF(_xlpm.result="", "", _xlpm.result)
   )
)</f>
        <v/>
      </c>
      <c r="S505" s="27" t="str">
        <f t="shared" ca="1" si="7"/>
        <v/>
      </c>
    </row>
    <row r="506" spans="1:19" ht="27.75" customHeight="1" thickTop="1" thickBot="1" x14ac:dyDescent="0.35">
      <c r="A506" s="39"/>
      <c r="B506" s="50" t="str" cm="1">
        <f t="array" ref="B506">IF(
   OR(A506="", $B$9="", $B$10="", $B$11=""),
   "",
   _xlfn.LET(
      _xlpm.result,
      IFERROR(
         _xlfn.XLOOKUP(
            1,
            (Table8[رقم الصنف]=A506)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6" s="27" t="str" cm="1">
        <f t="array" ref="C506">IF(
   A506="",
   "",
   _xlfn.LET(
      _xlpm.result,
      IFERROR(
         _xlfn.XLOOKUP(
            1,
            (Table8[رقم الصنف]=A506) *
            (IF($B$9="الكل",1, YEAR('ادخال البيانات'!$N$3:$N$1164) = VALUE($B$9))) *
            (IF($B$10="الكل",1, MONTH('ادخال البيانات'!$N$3:$N$1164) = VALUE($B$10))) *
            (IF($B$11="الكل",1, INT((DAY('ادخال البيانات'!$N$3:$N$1164)-1)/7)+1 = VALUE($B$11))),
            'ادخال البيانات'!$C$3:$C$1164
         ),
         ""
      ),
      IF(_xlpm.result="", "", _xlpm.result)
   )
)</f>
        <v/>
      </c>
      <c r="D506" s="27" t="str" cm="1">
        <f t="array" ref="D506">IF(
   OR(A506="", $B$9="", $B$10="", $B$11=""),
   "",
   _xlfn.LET(
      _xlpm.result,
      IFERROR(
         _xlfn.XLOOKUP(
            1,
            (Table8[رقم الصنف]=A506) *
            (IF($B$9="الكل",1, YEAR('ادخال البيانات'!$N$3:$N$1164)=VALUE($B$9))) *
            (IF($B$10="الكل",1, MONTH('ادخال البيانات'!$N$3:$N$1164)=VALUE($B$10))) *
            (IF($B$11="الكل",1, INT((DAY('ادخال البيانات'!$N$3:$N$1164)-1)/7)+1 = VALUE($B$11))),
            'ادخال البيانات'!$D$3:$D$1164
         ),
         ""
      ),
      IF(_xlpm.result="", "", _xlpm.result)
   )
)</f>
        <v/>
      </c>
      <c r="E506" s="27" t="str" cm="1">
        <f t="array" ref="E506">IF(
   A506="",
   "",
   _xlfn.LET(
      _xlpm.result,
      IFERROR(
         _xlfn.XLOOKUP(
            1,
            (Table8[رقم الصنف]=A506) *
            (IF($B$9="الكل",1, YEAR('ادخال البيانات'!$N$3:$N$1164)=VALUE($B$9))) *
            (IF($B$10="الكل",1, MONTH('ادخال البيانات'!$N$3:$N$1164)=VALUE($B$10))) *
            (IF($B$11="الكل",1, INT((DAY('ادخال البيانات'!$N$3:$N$1164)-1)/7)+1 = VALUE($B$11))),
            'ادخال البيانات'!$E$3:$E$1164
         ),
         ""
      ),
      IF(_xlpm.result="", "", _xlpm.result)
   )
)</f>
        <v/>
      </c>
      <c r="F506" s="27" t="str" cm="1">
        <f t="array" ref="F506">IF(
   A506="",
   "",
   _xlfn.LET(
      _xlpm.result,
      IFERROR(
         _xlfn.XLOOKUP(
            1,
            (Table8[رقم الصنف]=A506) *
            (IF($B$9="الكل",1, YEAR('ادخال البيانات'!$N$3:$N$1164) = VALUE($B$9))) *
            (IF($B$10="الكل",1, MONTH('ادخال البيانات'!$N$3:$N$1164) = VALUE($B$10))) *
            (IF($B$11="الكل",1, INT((DAY('ادخال البيانات'!$N$3:$N$1164)-1)/7)+1 = VALUE($B$11))),
            'ادخال البيانات'!$F$3:$F$1164
         ),
         ""
      ),
      IF(_xlpm.result="", "", _xlpm.result)
   )
)</f>
        <v/>
      </c>
      <c r="G506" s="27" t="str" cm="1">
        <f t="array" ref="G506">IF(
   A506="",
   "",
   _xlfn.LET(
      _xlpm.result,
      IFERROR(
         _xlfn.XLOOKUP(
            1,
            (Table8[رقم الصنف]=A506) *
            (IF($B$9="الكل",1, YEAR('ادخال البيانات'!$N$3:$N$1164)=VALUE($B$9))) *
            (IF($B$10="الكل",1, MONTH('ادخال البيانات'!$N$3:$N$1164)=VALUE($B$10))) *
            (IF($B$11="الكل",1, INT((DAY('ادخال البيانات'!$N$3:$N$1164)-1)/7)+1 = VALUE($B$11))),
            'ادخال البيانات'!$G$3:$G$1164
         ),
         ""
      ),
      IF(_xlpm.result="", "", _xlpm.result)
   )
)</f>
        <v/>
      </c>
      <c r="H506" s="27" t="str" cm="1">
        <f t="array" ref="H506">IF(
   A506="",
   "",
   _xlfn.LET(
      _xlpm.result,
      IFERROR(
         _xlfn.XLOOKUP(
            1,
            (Table8[رقم الصنف]=A506) *
            (IF($B$9="الكل",1, YEAR('ادخال البيانات'!$N$3:$N$1164)=VALUE($B$9))) *
            (IF($B$10="الكل",1, MONTH('ادخال البيانات'!$N$3:$N$1164)=VALUE($B$10))) *
            (IF($B$11="الكل",1, INT((DAY('ادخال البيانات'!$N$3:$N$1164)-1)/7)+1 = VALUE($B$11))),
            'ادخال البيانات'!$H$3:$H$1164
         ),
         ""
      ),
      IF(_xlpm.result="", "", _xlpm.result)
   )
)</f>
        <v/>
      </c>
      <c r="I506" s="27" t="str" cm="1">
        <f t="array" ref="I506">IF(
   A506="",
   "",
   _xlfn.LET(
      _xlpm.result,
      IFERROR(
         _xlfn.XLOOKUP(
            1,
            (Table8[رقم الصنف]=A506) *
            (IF($B$9="الكل",1, YEAR('ادخال البيانات'!$N$3:$N$1164)=VALUE($B$9))) *
            (IF($B$10="الكل",1, MONTH('ادخال البيانات'!$N$3:$N$1164)=VALUE($B$10))) *
            (IF($B$11="الكل",1, INT((DAY('ادخال البيانات'!$N$3:$N$1164)-1)/7)+1 = VALUE($B$11))),
            'ادخال البيانات'!$I$3:$I$1164
         ),
         ""
      ),
      IF(_xlpm.result="", "", _xlpm.result)
   )
)</f>
        <v/>
      </c>
      <c r="J506" s="27" t="str" cm="1">
        <f t="array" ref="J506">IF(
   A506="",
   "",
   _xlfn.LET(
      _xlpm.result,
      IFERROR(
         _xlfn.XLOOKUP(
            1,
            (Table8[رقم الصنف]=A506) *
            (IF($B$9="الكل",1, YEAR('ادخال البيانات'!$N$3:$N$1164)=VALUE($B$9))) *
            (IF($B$10="الكل",1, MONTH('ادخال البيانات'!$N$3:$N$1164)=VALUE($B$10))) *
            (IF($B$11="الكل",1, INT((DAY('ادخال البيانات'!$N$3:$N$1164)-1)/7)+1 = VALUE($B$11))),
            'ادخال البيانات'!$J$3:$J$1164
         ),
         ""
      ),
      IF(_xlpm.result="", "", _xlpm.result)
   )
)</f>
        <v/>
      </c>
      <c r="K506" s="27" t="str" cm="1">
        <f t="array" ref="K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6" s="27" t="str" cm="1">
        <f t="array" ref="L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6" s="27" t="str" cm="1">
        <f t="array" ref="M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6" s="28" t="str" cm="1">
        <f t="array" ref="N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6" s="28" t="str" cm="1">
        <f t="array" ref="O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6" s="27" t="str" cm="1">
        <f t="array" ref="P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Table8[جهة العطل]
         ),
         ""
      ),
      IF(_xlpm.result="", "", _xlpm.result)
   )
)</f>
        <v/>
      </c>
      <c r="Q506" s="27" t="str" cm="1">
        <f t="array" ref="Q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Table8[المركز]
         ),
         ""
      ),
      IF(_xlpm.result="", "", _xlpm.result)
   )
)</f>
        <v/>
      </c>
      <c r="R506" s="27" t="str" cm="1">
        <f t="array" ref="R506">IF(
   A506="",
   "",
   _xlfn.LET(
      _xlpm.result,
      IFERROR(
         _xlfn.XLOOKUP(
            1,
            (Table8[رقم الصنف]=A506) *
            (IF($B$9="الكل",1, YEAR('ادخال البيانات'!$N$3:$N$1164) = VALUE($B$9))) *
            (IF($B$10="الكل",1, MONTH('ادخال البيانات'!$N$3:$N$1164) = VALUE($B$10))) *
            (IF($B$11="الكل",1, INT((DAY('ادخال البيانات'!$N$3:$N$1164) - 1) / 7) + 1 = VALUE($B$11))),
            Table8[ملاحظة]
         ),
         ""
      ),
      IF(_xlpm.result="", "", _xlpm.result)
   )
)</f>
        <v/>
      </c>
      <c r="S506" s="27" t="str">
        <f t="shared" ca="1" si="7"/>
        <v/>
      </c>
    </row>
    <row r="507" spans="1:19" ht="27.75" customHeight="1" thickTop="1" thickBot="1" x14ac:dyDescent="0.35">
      <c r="A507" s="39"/>
      <c r="B507" s="50" t="str" cm="1">
        <f t="array" ref="B507">IF(
   OR(A507="", $B$9="", $B$10="", $B$11=""),
   "",
   _xlfn.LET(
      _xlpm.result,
      IFERROR(
         _xlfn.XLOOKUP(
            1,
            (Table8[رقم الصنف]=A507)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7" s="27" t="str" cm="1">
        <f t="array" ref="C507">IF(
   A507="",
   "",
   _xlfn.LET(
      _xlpm.result,
      IFERROR(
         _xlfn.XLOOKUP(
            1,
            (Table8[رقم الصنف]=A507) *
            (IF($B$9="الكل",1, YEAR('ادخال البيانات'!$N$3:$N$1164) = VALUE($B$9))) *
            (IF($B$10="الكل",1, MONTH('ادخال البيانات'!$N$3:$N$1164) = VALUE($B$10))) *
            (IF($B$11="الكل",1, INT((DAY('ادخال البيانات'!$N$3:$N$1164)-1)/7)+1 = VALUE($B$11))),
            'ادخال البيانات'!$C$3:$C$1164
         ),
         ""
      ),
      IF(_xlpm.result="", "", _xlpm.result)
   )
)</f>
        <v/>
      </c>
      <c r="D507" s="27" t="str" cm="1">
        <f t="array" ref="D507">IF(
   OR(A507="", $B$9="", $B$10="", $B$11=""),
   "",
   _xlfn.LET(
      _xlpm.result,
      IFERROR(
         _xlfn.XLOOKUP(
            1,
            (Table8[رقم الصنف]=A507) *
            (IF($B$9="الكل",1, YEAR('ادخال البيانات'!$N$3:$N$1164)=VALUE($B$9))) *
            (IF($B$10="الكل",1, MONTH('ادخال البيانات'!$N$3:$N$1164)=VALUE($B$10))) *
            (IF($B$11="الكل",1, INT((DAY('ادخال البيانات'!$N$3:$N$1164)-1)/7)+1 = VALUE($B$11))),
            'ادخال البيانات'!$D$3:$D$1164
         ),
         ""
      ),
      IF(_xlpm.result="", "", _xlpm.result)
   )
)</f>
        <v/>
      </c>
      <c r="E507" s="27" t="str" cm="1">
        <f t="array" ref="E507">IF(
   A507="",
   "",
   _xlfn.LET(
      _xlpm.result,
      IFERROR(
         _xlfn.XLOOKUP(
            1,
            (Table8[رقم الصنف]=A507) *
            (IF($B$9="الكل",1, YEAR('ادخال البيانات'!$N$3:$N$1164)=VALUE($B$9))) *
            (IF($B$10="الكل",1, MONTH('ادخال البيانات'!$N$3:$N$1164)=VALUE($B$10))) *
            (IF($B$11="الكل",1, INT((DAY('ادخال البيانات'!$N$3:$N$1164)-1)/7)+1 = VALUE($B$11))),
            'ادخال البيانات'!$E$3:$E$1164
         ),
         ""
      ),
      IF(_xlpm.result="", "", _xlpm.result)
   )
)</f>
        <v/>
      </c>
      <c r="F507" s="27" t="str" cm="1">
        <f t="array" ref="F507">IF(
   A507="",
   "",
   _xlfn.LET(
      _xlpm.result,
      IFERROR(
         _xlfn.XLOOKUP(
            1,
            (Table8[رقم الصنف]=A507) *
            (IF($B$9="الكل",1, YEAR('ادخال البيانات'!$N$3:$N$1164) = VALUE($B$9))) *
            (IF($B$10="الكل",1, MONTH('ادخال البيانات'!$N$3:$N$1164) = VALUE($B$10))) *
            (IF($B$11="الكل",1, INT((DAY('ادخال البيانات'!$N$3:$N$1164)-1)/7)+1 = VALUE($B$11))),
            'ادخال البيانات'!$F$3:$F$1164
         ),
         ""
      ),
      IF(_xlpm.result="", "", _xlpm.result)
   )
)</f>
        <v/>
      </c>
      <c r="G507" s="27" t="str" cm="1">
        <f t="array" ref="G507">IF(
   A507="",
   "",
   _xlfn.LET(
      _xlpm.result,
      IFERROR(
         _xlfn.XLOOKUP(
            1,
            (Table8[رقم الصنف]=A507) *
            (IF($B$9="الكل",1, YEAR('ادخال البيانات'!$N$3:$N$1164)=VALUE($B$9))) *
            (IF($B$10="الكل",1, MONTH('ادخال البيانات'!$N$3:$N$1164)=VALUE($B$10))) *
            (IF($B$11="الكل",1, INT((DAY('ادخال البيانات'!$N$3:$N$1164)-1)/7)+1 = VALUE($B$11))),
            'ادخال البيانات'!$G$3:$G$1164
         ),
         ""
      ),
      IF(_xlpm.result="", "", _xlpm.result)
   )
)</f>
        <v/>
      </c>
      <c r="H507" s="27" t="str" cm="1">
        <f t="array" ref="H507">IF(
   A507="",
   "",
   _xlfn.LET(
      _xlpm.result,
      IFERROR(
         _xlfn.XLOOKUP(
            1,
            (Table8[رقم الصنف]=A507) *
            (IF($B$9="الكل",1, YEAR('ادخال البيانات'!$N$3:$N$1164)=VALUE($B$9))) *
            (IF($B$10="الكل",1, MONTH('ادخال البيانات'!$N$3:$N$1164)=VALUE($B$10))) *
            (IF($B$11="الكل",1, INT((DAY('ادخال البيانات'!$N$3:$N$1164)-1)/7)+1 = VALUE($B$11))),
            'ادخال البيانات'!$H$3:$H$1164
         ),
         ""
      ),
      IF(_xlpm.result="", "", _xlpm.result)
   )
)</f>
        <v/>
      </c>
      <c r="I507" s="27" t="str" cm="1">
        <f t="array" ref="I507">IF(
   A507="",
   "",
   _xlfn.LET(
      _xlpm.result,
      IFERROR(
         _xlfn.XLOOKUP(
            1,
            (Table8[رقم الصنف]=A507) *
            (IF($B$9="الكل",1, YEAR('ادخال البيانات'!$N$3:$N$1164)=VALUE($B$9))) *
            (IF($B$10="الكل",1, MONTH('ادخال البيانات'!$N$3:$N$1164)=VALUE($B$10))) *
            (IF($B$11="الكل",1, INT((DAY('ادخال البيانات'!$N$3:$N$1164)-1)/7)+1 = VALUE($B$11))),
            'ادخال البيانات'!$I$3:$I$1164
         ),
         ""
      ),
      IF(_xlpm.result="", "", _xlpm.result)
   )
)</f>
        <v/>
      </c>
      <c r="J507" s="27" t="str" cm="1">
        <f t="array" ref="J507">IF(
   A507="",
   "",
   _xlfn.LET(
      _xlpm.result,
      IFERROR(
         _xlfn.XLOOKUP(
            1,
            (Table8[رقم الصنف]=A507) *
            (IF($B$9="الكل",1, YEAR('ادخال البيانات'!$N$3:$N$1164)=VALUE($B$9))) *
            (IF($B$10="الكل",1, MONTH('ادخال البيانات'!$N$3:$N$1164)=VALUE($B$10))) *
            (IF($B$11="الكل",1, INT((DAY('ادخال البيانات'!$N$3:$N$1164)-1)/7)+1 = VALUE($B$11))),
            'ادخال البيانات'!$J$3:$J$1164
         ),
         ""
      ),
      IF(_xlpm.result="", "", _xlpm.result)
   )
)</f>
        <v/>
      </c>
      <c r="K507" s="27" t="str" cm="1">
        <f t="array" ref="K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7" s="27" t="str" cm="1">
        <f t="array" ref="L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7" s="27" t="str" cm="1">
        <f t="array" ref="M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7" s="28" t="str" cm="1">
        <f t="array" ref="N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7" s="28" t="str" cm="1">
        <f t="array" ref="O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7" s="27" t="str" cm="1">
        <f t="array" ref="P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Table8[جهة العطل]
         ),
         ""
      ),
      IF(_xlpm.result="", "", _xlpm.result)
   )
)</f>
        <v/>
      </c>
      <c r="Q507" s="27" t="str" cm="1">
        <f t="array" ref="Q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Table8[المركز]
         ),
         ""
      ),
      IF(_xlpm.result="", "", _xlpm.result)
   )
)</f>
        <v/>
      </c>
      <c r="R507" s="27" t="str" cm="1">
        <f t="array" ref="R507">IF(
   A507="",
   "",
   _xlfn.LET(
      _xlpm.result,
      IFERROR(
         _xlfn.XLOOKUP(
            1,
            (Table8[رقم الصنف]=A507) *
            (IF($B$9="الكل",1, YEAR('ادخال البيانات'!$N$3:$N$1164) = VALUE($B$9))) *
            (IF($B$10="الكل",1, MONTH('ادخال البيانات'!$N$3:$N$1164) = VALUE($B$10))) *
            (IF($B$11="الكل",1, INT((DAY('ادخال البيانات'!$N$3:$N$1164) - 1) / 7) + 1 = VALUE($B$11))),
            Table8[ملاحظة]
         ),
         ""
      ),
      IF(_xlpm.result="", "", _xlpm.result)
   )
)</f>
        <v/>
      </c>
      <c r="S507" s="27" t="str">
        <f t="shared" ca="1" si="7"/>
        <v/>
      </c>
    </row>
    <row r="508" spans="1:19" ht="27.75" customHeight="1" thickTop="1" thickBot="1" x14ac:dyDescent="0.35">
      <c r="A508" s="39"/>
      <c r="B508" s="50" t="str" cm="1">
        <f t="array" ref="B508">IF(
   OR(A508="", $B$9="", $B$10="", $B$11=""),
   "",
   _xlfn.LET(
      _xlpm.result,
      IFERROR(
         _xlfn.XLOOKUP(
            1,
            (Table8[رقم الصنف]=A508)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8" s="27" t="str" cm="1">
        <f t="array" ref="C508">IF(
   A508="",
   "",
   _xlfn.LET(
      _xlpm.result,
      IFERROR(
         _xlfn.XLOOKUP(
            1,
            (Table8[رقم الصنف]=A508) *
            (IF($B$9="الكل",1, YEAR('ادخال البيانات'!$N$3:$N$1164) = VALUE($B$9))) *
            (IF($B$10="الكل",1, MONTH('ادخال البيانات'!$N$3:$N$1164) = VALUE($B$10))) *
            (IF($B$11="الكل",1, INT((DAY('ادخال البيانات'!$N$3:$N$1164)-1)/7)+1 = VALUE($B$11))),
            'ادخال البيانات'!$C$3:$C$1164
         ),
         ""
      ),
      IF(_xlpm.result="", "", _xlpm.result)
   )
)</f>
        <v/>
      </c>
      <c r="D508" s="27" t="str" cm="1">
        <f t="array" ref="D508">IF(
   OR(A508="", $B$9="", $B$10="", $B$11=""),
   "",
   _xlfn.LET(
      _xlpm.result,
      IFERROR(
         _xlfn.XLOOKUP(
            1,
            (Table8[رقم الصنف]=A508) *
            (IF($B$9="الكل",1, YEAR('ادخال البيانات'!$N$3:$N$1164)=VALUE($B$9))) *
            (IF($B$10="الكل",1, MONTH('ادخال البيانات'!$N$3:$N$1164)=VALUE($B$10))) *
            (IF($B$11="الكل",1, INT((DAY('ادخال البيانات'!$N$3:$N$1164)-1)/7)+1 = VALUE($B$11))),
            'ادخال البيانات'!$D$3:$D$1164
         ),
         ""
      ),
      IF(_xlpm.result="", "", _xlpm.result)
   )
)</f>
        <v/>
      </c>
      <c r="E508" s="27" t="str" cm="1">
        <f t="array" ref="E508">IF(
   A508="",
   "",
   _xlfn.LET(
      _xlpm.result,
      IFERROR(
         _xlfn.XLOOKUP(
            1,
            (Table8[رقم الصنف]=A508) *
            (IF($B$9="الكل",1, YEAR('ادخال البيانات'!$N$3:$N$1164)=VALUE($B$9))) *
            (IF($B$10="الكل",1, MONTH('ادخال البيانات'!$N$3:$N$1164)=VALUE($B$10))) *
            (IF($B$11="الكل",1, INT((DAY('ادخال البيانات'!$N$3:$N$1164)-1)/7)+1 = VALUE($B$11))),
            'ادخال البيانات'!$E$3:$E$1164
         ),
         ""
      ),
      IF(_xlpm.result="", "", _xlpm.result)
   )
)</f>
        <v/>
      </c>
      <c r="F508" s="27" t="str" cm="1">
        <f t="array" ref="F508">IF(
   A508="",
   "",
   _xlfn.LET(
      _xlpm.result,
      IFERROR(
         _xlfn.XLOOKUP(
            1,
            (Table8[رقم الصنف]=A508) *
            (IF($B$9="الكل",1, YEAR('ادخال البيانات'!$N$3:$N$1164) = VALUE($B$9))) *
            (IF($B$10="الكل",1, MONTH('ادخال البيانات'!$N$3:$N$1164) = VALUE($B$10))) *
            (IF($B$11="الكل",1, INT((DAY('ادخال البيانات'!$N$3:$N$1164)-1)/7)+1 = VALUE($B$11))),
            'ادخال البيانات'!$F$3:$F$1164
         ),
         ""
      ),
      IF(_xlpm.result="", "", _xlpm.result)
   )
)</f>
        <v/>
      </c>
      <c r="G508" s="27" t="str" cm="1">
        <f t="array" ref="G508">IF(
   A508="",
   "",
   _xlfn.LET(
      _xlpm.result,
      IFERROR(
         _xlfn.XLOOKUP(
            1,
            (Table8[رقم الصنف]=A508) *
            (IF($B$9="الكل",1, YEAR('ادخال البيانات'!$N$3:$N$1164)=VALUE($B$9))) *
            (IF($B$10="الكل",1, MONTH('ادخال البيانات'!$N$3:$N$1164)=VALUE($B$10))) *
            (IF($B$11="الكل",1, INT((DAY('ادخال البيانات'!$N$3:$N$1164)-1)/7)+1 = VALUE($B$11))),
            'ادخال البيانات'!$G$3:$G$1164
         ),
         ""
      ),
      IF(_xlpm.result="", "", _xlpm.result)
   )
)</f>
        <v/>
      </c>
      <c r="H508" s="27" t="str" cm="1">
        <f t="array" ref="H508">IF(
   A508="",
   "",
   _xlfn.LET(
      _xlpm.result,
      IFERROR(
         _xlfn.XLOOKUP(
            1,
            (Table8[رقم الصنف]=A508) *
            (IF($B$9="الكل",1, YEAR('ادخال البيانات'!$N$3:$N$1164)=VALUE($B$9))) *
            (IF($B$10="الكل",1, MONTH('ادخال البيانات'!$N$3:$N$1164)=VALUE($B$10))) *
            (IF($B$11="الكل",1, INT((DAY('ادخال البيانات'!$N$3:$N$1164)-1)/7)+1 = VALUE($B$11))),
            'ادخال البيانات'!$H$3:$H$1164
         ),
         ""
      ),
      IF(_xlpm.result="", "", _xlpm.result)
   )
)</f>
        <v/>
      </c>
      <c r="I508" s="27" t="str" cm="1">
        <f t="array" ref="I508">IF(
   A508="",
   "",
   _xlfn.LET(
      _xlpm.result,
      IFERROR(
         _xlfn.XLOOKUP(
            1,
            (Table8[رقم الصنف]=A508) *
            (IF($B$9="الكل",1, YEAR('ادخال البيانات'!$N$3:$N$1164)=VALUE($B$9))) *
            (IF($B$10="الكل",1, MONTH('ادخال البيانات'!$N$3:$N$1164)=VALUE($B$10))) *
            (IF($B$11="الكل",1, INT((DAY('ادخال البيانات'!$N$3:$N$1164)-1)/7)+1 = VALUE($B$11))),
            'ادخال البيانات'!$I$3:$I$1164
         ),
         ""
      ),
      IF(_xlpm.result="", "", _xlpm.result)
   )
)</f>
        <v/>
      </c>
      <c r="J508" s="27" t="str" cm="1">
        <f t="array" ref="J508">IF(
   A508="",
   "",
   _xlfn.LET(
      _xlpm.result,
      IFERROR(
         _xlfn.XLOOKUP(
            1,
            (Table8[رقم الصنف]=A508) *
            (IF($B$9="الكل",1, YEAR('ادخال البيانات'!$N$3:$N$1164)=VALUE($B$9))) *
            (IF($B$10="الكل",1, MONTH('ادخال البيانات'!$N$3:$N$1164)=VALUE($B$10))) *
            (IF($B$11="الكل",1, INT((DAY('ادخال البيانات'!$N$3:$N$1164)-1)/7)+1 = VALUE($B$11))),
            'ادخال البيانات'!$J$3:$J$1164
         ),
         ""
      ),
      IF(_xlpm.result="", "", _xlpm.result)
   )
)</f>
        <v/>
      </c>
      <c r="K508" s="27" t="str" cm="1">
        <f t="array" ref="K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8" s="27" t="str" cm="1">
        <f t="array" ref="L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8" s="27" t="str" cm="1">
        <f t="array" ref="M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8" s="28" t="str" cm="1">
        <f t="array" ref="N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8" s="28" t="str" cm="1">
        <f t="array" ref="O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8" s="27" t="str" cm="1">
        <f t="array" ref="P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Table8[جهة العطل]
         ),
         ""
      ),
      IF(_xlpm.result="", "", _xlpm.result)
   )
)</f>
        <v/>
      </c>
      <c r="Q508" s="27" t="str" cm="1">
        <f t="array" ref="Q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Table8[المركز]
         ),
         ""
      ),
      IF(_xlpm.result="", "", _xlpm.result)
   )
)</f>
        <v/>
      </c>
      <c r="R508" s="27" t="str" cm="1">
        <f t="array" ref="R508">IF(
   A508="",
   "",
   _xlfn.LET(
      _xlpm.result,
      IFERROR(
         _xlfn.XLOOKUP(
            1,
            (Table8[رقم الصنف]=A508) *
            (IF($B$9="الكل",1, YEAR('ادخال البيانات'!$N$3:$N$1164) = VALUE($B$9))) *
            (IF($B$10="الكل",1, MONTH('ادخال البيانات'!$N$3:$N$1164) = VALUE($B$10))) *
            (IF($B$11="الكل",1, INT((DAY('ادخال البيانات'!$N$3:$N$1164) - 1) / 7) + 1 = VALUE($B$11))),
            Table8[ملاحظة]
         ),
         ""
      ),
      IF(_xlpm.result="", "", _xlpm.result)
   )
)</f>
        <v/>
      </c>
      <c r="S508" s="27" t="str">
        <f t="shared" ca="1" si="7"/>
        <v/>
      </c>
    </row>
    <row r="509" spans="1:19" ht="27.75" customHeight="1" thickTop="1" thickBot="1" x14ac:dyDescent="0.35">
      <c r="A509" s="39"/>
      <c r="B509" s="50" t="str" cm="1">
        <f t="array" ref="B509">IF(
   OR(A509="", $B$9="", $B$10="", $B$11=""),
   "",
   _xlfn.LET(
      _xlpm.result,
      IFERROR(
         _xlfn.XLOOKUP(
            1,
            (Table8[رقم الصنف]=A509)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09" s="27" t="str" cm="1">
        <f t="array" ref="C509">IF(
   A509="",
   "",
   _xlfn.LET(
      _xlpm.result,
      IFERROR(
         _xlfn.XLOOKUP(
            1,
            (Table8[رقم الصنف]=A509) *
            (IF($B$9="الكل",1, YEAR('ادخال البيانات'!$N$3:$N$1164) = VALUE($B$9))) *
            (IF($B$10="الكل",1, MONTH('ادخال البيانات'!$N$3:$N$1164) = VALUE($B$10))) *
            (IF($B$11="الكل",1, INT((DAY('ادخال البيانات'!$N$3:$N$1164)-1)/7)+1 = VALUE($B$11))),
            'ادخال البيانات'!$C$3:$C$1164
         ),
         ""
      ),
      IF(_xlpm.result="", "", _xlpm.result)
   )
)</f>
        <v/>
      </c>
      <c r="D509" s="27" t="str" cm="1">
        <f t="array" ref="D509">IF(
   OR(A509="", $B$9="", $B$10="", $B$11=""),
   "",
   _xlfn.LET(
      _xlpm.result,
      IFERROR(
         _xlfn.XLOOKUP(
            1,
            (Table8[رقم الصنف]=A509) *
            (IF($B$9="الكل",1, YEAR('ادخال البيانات'!$N$3:$N$1164)=VALUE($B$9))) *
            (IF($B$10="الكل",1, MONTH('ادخال البيانات'!$N$3:$N$1164)=VALUE($B$10))) *
            (IF($B$11="الكل",1, INT((DAY('ادخال البيانات'!$N$3:$N$1164)-1)/7)+1 = VALUE($B$11))),
            'ادخال البيانات'!$D$3:$D$1164
         ),
         ""
      ),
      IF(_xlpm.result="", "", _xlpm.result)
   )
)</f>
        <v/>
      </c>
      <c r="E509" s="27" t="str" cm="1">
        <f t="array" ref="E509">IF(
   A509="",
   "",
   _xlfn.LET(
      _xlpm.result,
      IFERROR(
         _xlfn.XLOOKUP(
            1,
            (Table8[رقم الصنف]=A509) *
            (IF($B$9="الكل",1, YEAR('ادخال البيانات'!$N$3:$N$1164)=VALUE($B$9))) *
            (IF($B$10="الكل",1, MONTH('ادخال البيانات'!$N$3:$N$1164)=VALUE($B$10))) *
            (IF($B$11="الكل",1, INT((DAY('ادخال البيانات'!$N$3:$N$1164)-1)/7)+1 = VALUE($B$11))),
            'ادخال البيانات'!$E$3:$E$1164
         ),
         ""
      ),
      IF(_xlpm.result="", "", _xlpm.result)
   )
)</f>
        <v/>
      </c>
      <c r="F509" s="27" t="str" cm="1">
        <f t="array" ref="F509">IF(
   A509="",
   "",
   _xlfn.LET(
      _xlpm.result,
      IFERROR(
         _xlfn.XLOOKUP(
            1,
            (Table8[رقم الصنف]=A509) *
            (IF($B$9="الكل",1, YEAR('ادخال البيانات'!$N$3:$N$1164) = VALUE($B$9))) *
            (IF($B$10="الكل",1, MONTH('ادخال البيانات'!$N$3:$N$1164) = VALUE($B$10))) *
            (IF($B$11="الكل",1, INT((DAY('ادخال البيانات'!$N$3:$N$1164)-1)/7)+1 = VALUE($B$11))),
            'ادخال البيانات'!$F$3:$F$1164
         ),
         ""
      ),
      IF(_xlpm.result="", "", _xlpm.result)
   )
)</f>
        <v/>
      </c>
      <c r="G509" s="27" t="str" cm="1">
        <f t="array" ref="G509">IF(
   A509="",
   "",
   _xlfn.LET(
      _xlpm.result,
      IFERROR(
         _xlfn.XLOOKUP(
            1,
            (Table8[رقم الصنف]=A509) *
            (IF($B$9="الكل",1, YEAR('ادخال البيانات'!$N$3:$N$1164)=VALUE($B$9))) *
            (IF($B$10="الكل",1, MONTH('ادخال البيانات'!$N$3:$N$1164)=VALUE($B$10))) *
            (IF($B$11="الكل",1, INT((DAY('ادخال البيانات'!$N$3:$N$1164)-1)/7)+1 = VALUE($B$11))),
            'ادخال البيانات'!$G$3:$G$1164
         ),
         ""
      ),
      IF(_xlpm.result="", "", _xlpm.result)
   )
)</f>
        <v/>
      </c>
      <c r="H509" s="27" t="str" cm="1">
        <f t="array" ref="H509">IF(
   A509="",
   "",
   _xlfn.LET(
      _xlpm.result,
      IFERROR(
         _xlfn.XLOOKUP(
            1,
            (Table8[رقم الصنف]=A509) *
            (IF($B$9="الكل",1, YEAR('ادخال البيانات'!$N$3:$N$1164)=VALUE($B$9))) *
            (IF($B$10="الكل",1, MONTH('ادخال البيانات'!$N$3:$N$1164)=VALUE($B$10))) *
            (IF($B$11="الكل",1, INT((DAY('ادخال البيانات'!$N$3:$N$1164)-1)/7)+1 = VALUE($B$11))),
            'ادخال البيانات'!$H$3:$H$1164
         ),
         ""
      ),
      IF(_xlpm.result="", "", _xlpm.result)
   )
)</f>
        <v/>
      </c>
      <c r="I509" s="27" t="str" cm="1">
        <f t="array" ref="I509">IF(
   A509="",
   "",
   _xlfn.LET(
      _xlpm.result,
      IFERROR(
         _xlfn.XLOOKUP(
            1,
            (Table8[رقم الصنف]=A509) *
            (IF($B$9="الكل",1, YEAR('ادخال البيانات'!$N$3:$N$1164)=VALUE($B$9))) *
            (IF($B$10="الكل",1, MONTH('ادخال البيانات'!$N$3:$N$1164)=VALUE($B$10))) *
            (IF($B$11="الكل",1, INT((DAY('ادخال البيانات'!$N$3:$N$1164)-1)/7)+1 = VALUE($B$11))),
            'ادخال البيانات'!$I$3:$I$1164
         ),
         ""
      ),
      IF(_xlpm.result="", "", _xlpm.result)
   )
)</f>
        <v/>
      </c>
      <c r="J509" s="27" t="str" cm="1">
        <f t="array" ref="J509">IF(
   A509="",
   "",
   _xlfn.LET(
      _xlpm.result,
      IFERROR(
         _xlfn.XLOOKUP(
            1,
            (Table8[رقم الصنف]=A509) *
            (IF($B$9="الكل",1, YEAR('ادخال البيانات'!$N$3:$N$1164)=VALUE($B$9))) *
            (IF($B$10="الكل",1, MONTH('ادخال البيانات'!$N$3:$N$1164)=VALUE($B$10))) *
            (IF($B$11="الكل",1, INT((DAY('ادخال البيانات'!$N$3:$N$1164)-1)/7)+1 = VALUE($B$11))),
            'ادخال البيانات'!$J$3:$J$1164
         ),
         ""
      ),
      IF(_xlpm.result="", "", _xlpm.result)
   )
)</f>
        <v/>
      </c>
      <c r="K509" s="27" t="str" cm="1">
        <f t="array" ref="K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09" s="27" t="str" cm="1">
        <f t="array" ref="L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09" s="27" t="str" cm="1">
        <f t="array" ref="M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09" s="28" t="str" cm="1">
        <f t="array" ref="N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09" s="28" t="str" cm="1">
        <f t="array" ref="O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09" s="27" t="str" cm="1">
        <f t="array" ref="P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Table8[جهة العطل]
         ),
         ""
      ),
      IF(_xlpm.result="", "", _xlpm.result)
   )
)</f>
        <v/>
      </c>
      <c r="Q509" s="27" t="str" cm="1">
        <f t="array" ref="Q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Table8[المركز]
         ),
         ""
      ),
      IF(_xlpm.result="", "", _xlpm.result)
   )
)</f>
        <v/>
      </c>
      <c r="R509" s="27" t="str" cm="1">
        <f t="array" ref="R509">IF(
   A509="",
   "",
   _xlfn.LET(
      _xlpm.result,
      IFERROR(
         _xlfn.XLOOKUP(
            1,
            (Table8[رقم الصنف]=A509) *
            (IF($B$9="الكل",1, YEAR('ادخال البيانات'!$N$3:$N$1164) = VALUE($B$9))) *
            (IF($B$10="الكل",1, MONTH('ادخال البيانات'!$N$3:$N$1164) = VALUE($B$10))) *
            (IF($B$11="الكل",1, INT((DAY('ادخال البيانات'!$N$3:$N$1164) - 1) / 7) + 1 = VALUE($B$11))),
            Table8[ملاحظة]
         ),
         ""
      ),
      IF(_xlpm.result="", "", _xlpm.result)
   )
)</f>
        <v/>
      </c>
      <c r="S509" s="27" t="str">
        <f t="shared" ca="1" si="7"/>
        <v/>
      </c>
    </row>
    <row r="510" spans="1:19" ht="27.75" customHeight="1" thickTop="1" thickBot="1" x14ac:dyDescent="0.35">
      <c r="A510" s="39"/>
      <c r="B510" s="50" t="str" cm="1">
        <f t="array" ref="B510">IF(
   OR(A510="", $B$9="", $B$10="", $B$11=""),
   "",
   _xlfn.LET(
      _xlpm.result,
      IFERROR(
         _xlfn.XLOOKUP(
            1,
            (Table8[رقم الصنف]=A510)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0" s="27" t="str" cm="1">
        <f t="array" ref="C510">IF(
   A510="",
   "",
   _xlfn.LET(
      _xlpm.result,
      IFERROR(
         _xlfn.XLOOKUP(
            1,
            (Table8[رقم الصنف]=A510) *
            (IF($B$9="الكل",1, YEAR('ادخال البيانات'!$N$3:$N$1164) = VALUE($B$9))) *
            (IF($B$10="الكل",1, MONTH('ادخال البيانات'!$N$3:$N$1164) = VALUE($B$10))) *
            (IF($B$11="الكل",1, INT((DAY('ادخال البيانات'!$N$3:$N$1164)-1)/7)+1 = VALUE($B$11))),
            'ادخال البيانات'!$C$3:$C$1164
         ),
         ""
      ),
      IF(_xlpm.result="", "", _xlpm.result)
   )
)</f>
        <v/>
      </c>
      <c r="D510" s="27" t="str" cm="1">
        <f t="array" ref="D510">IF(
   OR(A510="", $B$9="", $B$10="", $B$11=""),
   "",
   _xlfn.LET(
      _xlpm.result,
      IFERROR(
         _xlfn.XLOOKUP(
            1,
            (Table8[رقم الصنف]=A510) *
            (IF($B$9="الكل",1, YEAR('ادخال البيانات'!$N$3:$N$1164)=VALUE($B$9))) *
            (IF($B$10="الكل",1, MONTH('ادخال البيانات'!$N$3:$N$1164)=VALUE($B$10))) *
            (IF($B$11="الكل",1, INT((DAY('ادخال البيانات'!$N$3:$N$1164)-1)/7)+1 = VALUE($B$11))),
            'ادخال البيانات'!$D$3:$D$1164
         ),
         ""
      ),
      IF(_xlpm.result="", "", _xlpm.result)
   )
)</f>
        <v/>
      </c>
      <c r="E510" s="27" t="str" cm="1">
        <f t="array" ref="E510">IF(
   A510="",
   "",
   _xlfn.LET(
      _xlpm.result,
      IFERROR(
         _xlfn.XLOOKUP(
            1,
            (Table8[رقم الصنف]=A510) *
            (IF($B$9="الكل",1, YEAR('ادخال البيانات'!$N$3:$N$1164)=VALUE($B$9))) *
            (IF($B$10="الكل",1, MONTH('ادخال البيانات'!$N$3:$N$1164)=VALUE($B$10))) *
            (IF($B$11="الكل",1, INT((DAY('ادخال البيانات'!$N$3:$N$1164)-1)/7)+1 = VALUE($B$11))),
            'ادخال البيانات'!$E$3:$E$1164
         ),
         ""
      ),
      IF(_xlpm.result="", "", _xlpm.result)
   )
)</f>
        <v/>
      </c>
      <c r="F510" s="27" t="str" cm="1">
        <f t="array" ref="F510">IF(
   A510="",
   "",
   _xlfn.LET(
      _xlpm.result,
      IFERROR(
         _xlfn.XLOOKUP(
            1,
            (Table8[رقم الصنف]=A510) *
            (IF($B$9="الكل",1, YEAR('ادخال البيانات'!$N$3:$N$1164) = VALUE($B$9))) *
            (IF($B$10="الكل",1, MONTH('ادخال البيانات'!$N$3:$N$1164) = VALUE($B$10))) *
            (IF($B$11="الكل",1, INT((DAY('ادخال البيانات'!$N$3:$N$1164)-1)/7)+1 = VALUE($B$11))),
            'ادخال البيانات'!$F$3:$F$1164
         ),
         ""
      ),
      IF(_xlpm.result="", "", _xlpm.result)
   )
)</f>
        <v/>
      </c>
      <c r="G510" s="27" t="str" cm="1">
        <f t="array" ref="G510">IF(
   A510="",
   "",
   _xlfn.LET(
      _xlpm.result,
      IFERROR(
         _xlfn.XLOOKUP(
            1,
            (Table8[رقم الصنف]=A510) *
            (IF($B$9="الكل",1, YEAR('ادخال البيانات'!$N$3:$N$1164)=VALUE($B$9))) *
            (IF($B$10="الكل",1, MONTH('ادخال البيانات'!$N$3:$N$1164)=VALUE($B$10))) *
            (IF($B$11="الكل",1, INT((DAY('ادخال البيانات'!$N$3:$N$1164)-1)/7)+1 = VALUE($B$11))),
            'ادخال البيانات'!$G$3:$G$1164
         ),
         ""
      ),
      IF(_xlpm.result="", "", _xlpm.result)
   )
)</f>
        <v/>
      </c>
      <c r="H510" s="27" t="str" cm="1">
        <f t="array" ref="H510">IF(
   A510="",
   "",
   _xlfn.LET(
      _xlpm.result,
      IFERROR(
         _xlfn.XLOOKUP(
            1,
            (Table8[رقم الصنف]=A510) *
            (IF($B$9="الكل",1, YEAR('ادخال البيانات'!$N$3:$N$1164)=VALUE($B$9))) *
            (IF($B$10="الكل",1, MONTH('ادخال البيانات'!$N$3:$N$1164)=VALUE($B$10))) *
            (IF($B$11="الكل",1, INT((DAY('ادخال البيانات'!$N$3:$N$1164)-1)/7)+1 = VALUE($B$11))),
            'ادخال البيانات'!$H$3:$H$1164
         ),
         ""
      ),
      IF(_xlpm.result="", "", _xlpm.result)
   )
)</f>
        <v/>
      </c>
      <c r="I510" s="27" t="str" cm="1">
        <f t="array" ref="I510">IF(
   A510="",
   "",
   _xlfn.LET(
      _xlpm.result,
      IFERROR(
         _xlfn.XLOOKUP(
            1,
            (Table8[رقم الصنف]=A510) *
            (IF($B$9="الكل",1, YEAR('ادخال البيانات'!$N$3:$N$1164)=VALUE($B$9))) *
            (IF($B$10="الكل",1, MONTH('ادخال البيانات'!$N$3:$N$1164)=VALUE($B$10))) *
            (IF($B$11="الكل",1, INT((DAY('ادخال البيانات'!$N$3:$N$1164)-1)/7)+1 = VALUE($B$11))),
            'ادخال البيانات'!$I$3:$I$1164
         ),
         ""
      ),
      IF(_xlpm.result="", "", _xlpm.result)
   )
)</f>
        <v/>
      </c>
      <c r="J510" s="27" t="str" cm="1">
        <f t="array" ref="J510">IF(
   A510="",
   "",
   _xlfn.LET(
      _xlpm.result,
      IFERROR(
         _xlfn.XLOOKUP(
            1,
            (Table8[رقم الصنف]=A510) *
            (IF($B$9="الكل",1, YEAR('ادخال البيانات'!$N$3:$N$1164)=VALUE($B$9))) *
            (IF($B$10="الكل",1, MONTH('ادخال البيانات'!$N$3:$N$1164)=VALUE($B$10))) *
            (IF($B$11="الكل",1, INT((DAY('ادخال البيانات'!$N$3:$N$1164)-1)/7)+1 = VALUE($B$11))),
            'ادخال البيانات'!$J$3:$J$1164
         ),
         ""
      ),
      IF(_xlpm.result="", "", _xlpm.result)
   )
)</f>
        <v/>
      </c>
      <c r="K510" s="27" t="str" cm="1">
        <f t="array" ref="K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0" s="27" t="str" cm="1">
        <f t="array" ref="L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0" s="27" t="str" cm="1">
        <f t="array" ref="M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0" s="28" t="str" cm="1">
        <f t="array" ref="N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0" s="28" t="str" cm="1">
        <f t="array" ref="O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0" s="27" t="str" cm="1">
        <f t="array" ref="P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Table8[جهة العطل]
         ),
         ""
      ),
      IF(_xlpm.result="", "", _xlpm.result)
   )
)</f>
        <v/>
      </c>
      <c r="Q510" s="27" t="str" cm="1">
        <f t="array" ref="Q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Table8[المركز]
         ),
         ""
      ),
      IF(_xlpm.result="", "", _xlpm.result)
   )
)</f>
        <v/>
      </c>
      <c r="R510" s="27" t="str" cm="1">
        <f t="array" ref="R510">IF(
   A510="",
   "",
   _xlfn.LET(
      _xlpm.result,
      IFERROR(
         _xlfn.XLOOKUP(
            1,
            (Table8[رقم الصنف]=A510) *
            (IF($B$9="الكل",1, YEAR('ادخال البيانات'!$N$3:$N$1164) = VALUE($B$9))) *
            (IF($B$10="الكل",1, MONTH('ادخال البيانات'!$N$3:$N$1164) = VALUE($B$10))) *
            (IF($B$11="الكل",1, INT((DAY('ادخال البيانات'!$N$3:$N$1164) - 1) / 7) + 1 = VALUE($B$11))),
            Table8[ملاحظة]
         ),
         ""
      ),
      IF(_xlpm.result="", "", _xlpm.result)
   )
)</f>
        <v/>
      </c>
      <c r="S510" s="27" t="str">
        <f t="shared" ca="1" si="7"/>
        <v/>
      </c>
    </row>
    <row r="511" spans="1:19" ht="27.75" customHeight="1" thickTop="1" thickBot="1" x14ac:dyDescent="0.35">
      <c r="A511" s="39"/>
      <c r="B511" s="50" t="str" cm="1">
        <f t="array" ref="B511">IF(
   OR(A511="", $B$9="", $B$10="", $B$11=""),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1" s="27" t="str" cm="1">
        <f t="array" ref="C511">IF(
   A511="",
   "",
   _xlfn.LET(
      _xlpm.result,
      IFERROR(
         _xlfn.XLOOKUP(
            1,
            (Table8[رقم الصنف]=A511) *
            (IF($B$9="الكل",1, YEAR('ادخال البيانات'!$N$3:$N$1164) = VALUE($B$9))) *
            (IF($B$10="الكل",1, MONTH('ادخال البيانات'!$N$3:$N$1164) = VALUE($B$10))) *
            (IF($B$11="الكل",1, INT((DAY('ادخال البيانات'!$N$3:$N$1164)-1)/7)+1 = VALUE($B$11))),
            'ادخال البيانات'!$C$3:$C$1164
         ),
         ""
      ),
      IF(_xlpm.result="", "", _xlpm.result)
   )
)</f>
        <v/>
      </c>
      <c r="D511" s="27" t="str" cm="1">
        <f t="array" ref="D511">IF(
   OR(A511="", $B$9="", $B$10="", $B$11=""),
   "",
   _xlfn.LET(
      _xlpm.result,
      IFERROR(
         _xlfn.XLOOKUP(
            1,
            (Table8[رقم الصنف]=A511) *
            (IF($B$9="الكل",1, YEAR('ادخال البيانات'!$N$3:$N$1164)=VALUE($B$9))) *
            (IF($B$10="الكل",1, MONTH('ادخال البيانات'!$N$3:$N$1164)=VALUE($B$10))) *
            (IF($B$11="الكل",1, INT((DAY('ادخال البيانات'!$N$3:$N$1164)-1)/7)+1 = VALUE($B$11))),
            'ادخال البيانات'!$D$3:$D$1164
         ),
         ""
      ),
      IF(_xlpm.result="", "", _xlpm.result)
   )
)</f>
        <v/>
      </c>
      <c r="E511" s="27" t="str" cm="1">
        <f t="array" ref="E511">IF(
   A511="",
   "",
   _xlfn.LET(
      _xlpm.result,
      IFERROR(
         _xlfn.XLOOKUP(
            1,
            (Table8[رقم الصنف]=A511) *
            (IF($B$9="الكل",1, YEAR('ادخال البيانات'!$N$3:$N$1164)=VALUE($B$9))) *
            (IF($B$10="الكل",1, MONTH('ادخال البيانات'!$N$3:$N$1164)=VALUE($B$10))) *
            (IF($B$11="الكل",1, INT((DAY('ادخال البيانات'!$N$3:$N$1164)-1)/7)+1 = VALUE($B$11))),
            'ادخال البيانات'!$E$3:$E$1164
         ),
         ""
      ),
      IF(_xlpm.result="", "", _xlpm.result)
   )
)</f>
        <v/>
      </c>
      <c r="F511" s="27" t="str" cm="1">
        <f t="array" ref="F511">IF(
   A511="",
   "",
   _xlfn.LET(
      _xlpm.result,
      IFERROR(
         _xlfn.XLOOKUP(
            1,
            (Table8[رقم الصنف]=A511) *
            (IF($B$9="الكل",1, YEAR('ادخال البيانات'!$N$3:$N$1164) = VALUE($B$9))) *
            (IF($B$10="الكل",1, MONTH('ادخال البيانات'!$N$3:$N$1164) = VALUE($B$10))) *
            (IF($B$11="الكل",1, INT((DAY('ادخال البيانات'!$N$3:$N$1164)-1)/7)+1 = VALUE($B$11))),
            'ادخال البيانات'!$F$3:$F$1164
         ),
         ""
      ),
      IF(_xlpm.result="", "", _xlpm.result)
   )
)</f>
        <v/>
      </c>
      <c r="G511" s="27" t="str" cm="1">
        <f t="array" ref="G511">IF(
   A511="",
   "",
   _xlfn.LET(
      _xlpm.result,
      IFERROR(
         _xlfn.XLOOKUP(
            1,
            (Table8[رقم الصنف]=A511) *
            (IF($B$9="الكل",1, YEAR('ادخال البيانات'!$N$3:$N$1164)=VALUE($B$9))) *
            (IF($B$10="الكل",1, MONTH('ادخال البيانات'!$N$3:$N$1164)=VALUE($B$10))) *
            (IF($B$11="الكل",1, INT((DAY('ادخال البيانات'!$N$3:$N$1164)-1)/7)+1 = VALUE($B$11))),
            'ادخال البيانات'!$G$3:$G$1164
         ),
         ""
      ),
      IF(_xlpm.result="", "", _xlpm.result)
   )
)</f>
        <v/>
      </c>
      <c r="H511" s="27" t="str" cm="1">
        <f t="array" ref="H511">IF(
   A511="",
   "",
   _xlfn.LET(
      _xlpm.result,
      IFERROR(
         _xlfn.XLOOKUP(
            1,
            (Table8[رقم الصنف]=A511) *
            (IF($B$9="الكل",1, YEAR('ادخال البيانات'!$N$3:$N$1164)=VALUE($B$9))) *
            (IF($B$10="الكل",1, MONTH('ادخال البيانات'!$N$3:$N$1164)=VALUE($B$10))) *
            (IF($B$11="الكل",1, INT((DAY('ادخال البيانات'!$N$3:$N$1164)-1)/7)+1 = VALUE($B$11))),
            'ادخال البيانات'!$H$3:$H$1164
         ),
         ""
      ),
      IF(_xlpm.result="", "", _xlpm.result)
   )
)</f>
        <v/>
      </c>
      <c r="I511" s="27" t="str" cm="1">
        <f t="array" ref="I511">IF(
   A511="",
   "",
   _xlfn.LET(
      _xlpm.result,
      IFERROR(
         _xlfn.XLOOKUP(
            1,
            (Table8[رقم الصنف]=A511) *
            (IF($B$9="الكل",1, YEAR('ادخال البيانات'!$N$3:$N$1164)=VALUE($B$9))) *
            (IF($B$10="الكل",1, MONTH('ادخال البيانات'!$N$3:$N$1164)=VALUE($B$10))) *
            (IF($B$11="الكل",1, INT((DAY('ادخال البيانات'!$N$3:$N$1164)-1)/7)+1 = VALUE($B$11))),
            'ادخال البيانات'!$I$3:$I$1164
         ),
         ""
      ),
      IF(_xlpm.result="", "", _xlpm.result)
   )
)</f>
        <v/>
      </c>
      <c r="J511" s="27" t="str" cm="1">
        <f t="array" ref="J511">IF(
   A511="",
   "",
   _xlfn.LET(
      _xlpm.result,
      IFERROR(
         _xlfn.XLOOKUP(
            1,
            (Table8[رقم الصنف]=A511) *
            (IF($B$9="الكل",1, YEAR('ادخال البيانات'!$N$3:$N$1164)=VALUE($B$9))) *
            (IF($B$10="الكل",1, MONTH('ادخال البيانات'!$N$3:$N$1164)=VALUE($B$10))) *
            (IF($B$11="الكل",1, INT((DAY('ادخال البيانات'!$N$3:$N$1164)-1)/7)+1 = VALUE($B$11))),
            'ادخال البيانات'!$J$3:$J$1164
         ),
         ""
      ),
      IF(_xlpm.result="", "", _xlpm.result)
   )
)</f>
        <v/>
      </c>
      <c r="K511" s="27" t="str" cm="1">
        <f t="array" ref="K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1" s="27" t="str" cm="1">
        <f t="array" ref="L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1" s="27" t="str" cm="1">
        <f t="array" ref="M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1" s="28" t="str" cm="1">
        <f t="array" ref="N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1" s="28" t="str" cm="1">
        <f t="array" ref="O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1" s="27" t="str" cm="1">
        <f t="array" ref="P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Table8[جهة العطل]
         ),
         ""
      ),
      IF(_xlpm.result="", "", _xlpm.result)
   )
)</f>
        <v/>
      </c>
      <c r="Q511" s="27" t="str" cm="1">
        <f t="array" ref="Q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Table8[المركز]
         ),
         ""
      ),
      IF(_xlpm.result="", "", _xlpm.result)
   )
)</f>
        <v/>
      </c>
      <c r="R511" s="27" t="str" cm="1">
        <f t="array" ref="R511">IF(
   A511="",
   "",
   _xlfn.LET(
      _xlpm.result,
      IFERROR(
         _xlfn.XLOOKUP(
            1,
            (Table8[رقم الصنف]=A511) *
            (IF($B$9="الكل",1, YEAR('ادخال البيانات'!$N$3:$N$1164) = VALUE($B$9))) *
            (IF($B$10="الكل",1, MONTH('ادخال البيانات'!$N$3:$N$1164) = VALUE($B$10))) *
            (IF($B$11="الكل",1, INT((DAY('ادخال البيانات'!$N$3:$N$1164) - 1) / 7) + 1 = VALUE($B$11))),
            Table8[ملاحظة]
         ),
         ""
      ),
      IF(_xlpm.result="", "", _xlpm.result)
   )
)</f>
        <v/>
      </c>
      <c r="S511" s="27" t="str">
        <f t="shared" ca="1" si="7"/>
        <v/>
      </c>
    </row>
    <row r="512" spans="1:19" ht="27.75" customHeight="1" thickTop="1" thickBot="1" x14ac:dyDescent="0.35">
      <c r="A512" s="39"/>
      <c r="B512" s="50" t="str" cm="1">
        <f t="array" ref="B512">IF(
   OR(A512="", $B$9="", $B$10="", $B$11=""),
   "",
   _xlfn.LET(
      _xlpm.result,
      IFERROR(
         _xlfn.XLOOKUP(
            1,
            (Table8[رقم الصنف]=A512)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2" s="27" t="str" cm="1">
        <f t="array" ref="C512">IF(
   A512="",
   "",
   _xlfn.LET(
      _xlpm.result,
      IFERROR(
         _xlfn.XLOOKUP(
            1,
            (Table8[رقم الصنف]=A512) *
            (IF($B$9="الكل",1, YEAR('ادخال البيانات'!$N$3:$N$1164) = VALUE($B$9))) *
            (IF($B$10="الكل",1, MONTH('ادخال البيانات'!$N$3:$N$1164) = VALUE($B$10))) *
            (IF($B$11="الكل",1, INT((DAY('ادخال البيانات'!$N$3:$N$1164)-1)/7)+1 = VALUE($B$11))),
            'ادخال البيانات'!$C$3:$C$1164
         ),
         ""
      ),
      IF(_xlpm.result="", "", _xlpm.result)
   )
)</f>
        <v/>
      </c>
      <c r="D512" s="27" t="str" cm="1">
        <f t="array" ref="D512">IF(
   OR(A512="", $B$9="", $B$10="", $B$11=""),
   "",
   _xlfn.LET(
      _xlpm.result,
      IFERROR(
         _xlfn.XLOOKUP(
            1,
            (Table8[رقم الصنف]=A512) *
            (IF($B$9="الكل",1, YEAR('ادخال البيانات'!$N$3:$N$1164)=VALUE($B$9))) *
            (IF($B$10="الكل",1, MONTH('ادخال البيانات'!$N$3:$N$1164)=VALUE($B$10))) *
            (IF($B$11="الكل",1, INT((DAY('ادخال البيانات'!$N$3:$N$1164)-1)/7)+1 = VALUE($B$11))),
            'ادخال البيانات'!$D$3:$D$1164
         ),
         ""
      ),
      IF(_xlpm.result="", "", _xlpm.result)
   )
)</f>
        <v/>
      </c>
      <c r="E512" s="27" t="str" cm="1">
        <f t="array" ref="E512">IF(
   A512="",
   "",
   _xlfn.LET(
      _xlpm.result,
      IFERROR(
         _xlfn.XLOOKUP(
            1,
            (Table8[رقم الصنف]=A512) *
            (IF($B$9="الكل",1, YEAR('ادخال البيانات'!$N$3:$N$1164)=VALUE($B$9))) *
            (IF($B$10="الكل",1, MONTH('ادخال البيانات'!$N$3:$N$1164)=VALUE($B$10))) *
            (IF($B$11="الكل",1, INT((DAY('ادخال البيانات'!$N$3:$N$1164)-1)/7)+1 = VALUE($B$11))),
            'ادخال البيانات'!$E$3:$E$1164
         ),
         ""
      ),
      IF(_xlpm.result="", "", _xlpm.result)
   )
)</f>
        <v/>
      </c>
      <c r="F512" s="27" t="str" cm="1">
        <f t="array" ref="F512">IF(
   A512="",
   "",
   _xlfn.LET(
      _xlpm.result,
      IFERROR(
         _xlfn.XLOOKUP(
            1,
            (Table8[رقم الصنف]=A512) *
            (IF($B$9="الكل",1, YEAR('ادخال البيانات'!$N$3:$N$1164) = VALUE($B$9))) *
            (IF($B$10="الكل",1, MONTH('ادخال البيانات'!$N$3:$N$1164) = VALUE($B$10))) *
            (IF($B$11="الكل",1, INT((DAY('ادخال البيانات'!$N$3:$N$1164)-1)/7)+1 = VALUE($B$11))),
            'ادخال البيانات'!$F$3:$F$1164
         ),
         ""
      ),
      IF(_xlpm.result="", "", _xlpm.result)
   )
)</f>
        <v/>
      </c>
      <c r="G512" s="27" t="str" cm="1">
        <f t="array" ref="G512">IF(
   A512="",
   "",
   _xlfn.LET(
      _xlpm.result,
      IFERROR(
         _xlfn.XLOOKUP(
            1,
            (Table8[رقم الصنف]=A512) *
            (IF($B$9="الكل",1, YEAR('ادخال البيانات'!$N$3:$N$1164)=VALUE($B$9))) *
            (IF($B$10="الكل",1, MONTH('ادخال البيانات'!$N$3:$N$1164)=VALUE($B$10))) *
            (IF($B$11="الكل",1, INT((DAY('ادخال البيانات'!$N$3:$N$1164)-1)/7)+1 = VALUE($B$11))),
            'ادخال البيانات'!$G$3:$G$1164
         ),
         ""
      ),
      IF(_xlpm.result="", "", _xlpm.result)
   )
)</f>
        <v/>
      </c>
      <c r="H512" s="27" t="str" cm="1">
        <f t="array" ref="H512">IF(
   A512="",
   "",
   _xlfn.LET(
      _xlpm.result,
      IFERROR(
         _xlfn.XLOOKUP(
            1,
            (Table8[رقم الصنف]=A512) *
            (IF($B$9="الكل",1, YEAR('ادخال البيانات'!$N$3:$N$1164)=VALUE($B$9))) *
            (IF($B$10="الكل",1, MONTH('ادخال البيانات'!$N$3:$N$1164)=VALUE($B$10))) *
            (IF($B$11="الكل",1, INT((DAY('ادخال البيانات'!$N$3:$N$1164)-1)/7)+1 = VALUE($B$11))),
            'ادخال البيانات'!$H$3:$H$1164
         ),
         ""
      ),
      IF(_xlpm.result="", "", _xlpm.result)
   )
)</f>
        <v/>
      </c>
      <c r="I512" s="27" t="str" cm="1">
        <f t="array" ref="I512">IF(
   A512="",
   "",
   _xlfn.LET(
      _xlpm.result,
      IFERROR(
         _xlfn.XLOOKUP(
            1,
            (Table8[رقم الصنف]=A512) *
            (IF($B$9="الكل",1, YEAR('ادخال البيانات'!$N$3:$N$1164)=VALUE($B$9))) *
            (IF($B$10="الكل",1, MONTH('ادخال البيانات'!$N$3:$N$1164)=VALUE($B$10))) *
            (IF($B$11="الكل",1, INT((DAY('ادخال البيانات'!$N$3:$N$1164)-1)/7)+1 = VALUE($B$11))),
            'ادخال البيانات'!$I$3:$I$1164
         ),
         ""
      ),
      IF(_xlpm.result="", "", _xlpm.result)
   )
)</f>
        <v/>
      </c>
      <c r="J512" s="27" t="str" cm="1">
        <f t="array" ref="J512">IF(
   A512="",
   "",
   _xlfn.LET(
      _xlpm.result,
      IFERROR(
         _xlfn.XLOOKUP(
            1,
            (Table8[رقم الصنف]=A512) *
            (IF($B$9="الكل",1, YEAR('ادخال البيانات'!$N$3:$N$1164)=VALUE($B$9))) *
            (IF($B$10="الكل",1, MONTH('ادخال البيانات'!$N$3:$N$1164)=VALUE($B$10))) *
            (IF($B$11="الكل",1, INT((DAY('ادخال البيانات'!$N$3:$N$1164)-1)/7)+1 = VALUE($B$11))),
            'ادخال البيانات'!$J$3:$J$1164
         ),
         ""
      ),
      IF(_xlpm.result="", "", _xlpm.result)
   )
)</f>
        <v/>
      </c>
      <c r="K512" s="27" t="str" cm="1">
        <f t="array" ref="K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2" s="27" t="str" cm="1">
        <f t="array" ref="L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2" s="27" t="str" cm="1">
        <f t="array" ref="M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2" s="28" t="str" cm="1">
        <f t="array" ref="N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2" s="28" t="str" cm="1">
        <f t="array" ref="O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2" s="27" t="str" cm="1">
        <f t="array" ref="P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Table8[جهة العطل]
         ),
         ""
      ),
      IF(_xlpm.result="", "", _xlpm.result)
   )
)</f>
        <v/>
      </c>
      <c r="Q512" s="27" t="str" cm="1">
        <f t="array" ref="Q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Table8[المركز]
         ),
         ""
      ),
      IF(_xlpm.result="", "", _xlpm.result)
   )
)</f>
        <v/>
      </c>
      <c r="R512" s="27" t="str" cm="1">
        <f t="array" ref="R512">IF(
   A512="",
   "",
   _xlfn.LET(
      _xlpm.result,
      IFERROR(
         _xlfn.XLOOKUP(
            1,
            (Table8[رقم الصنف]=A512) *
            (IF($B$9="الكل",1, YEAR('ادخال البيانات'!$N$3:$N$1164) = VALUE($B$9))) *
            (IF($B$10="الكل",1, MONTH('ادخال البيانات'!$N$3:$N$1164) = VALUE($B$10))) *
            (IF($B$11="الكل",1, INT((DAY('ادخال البيانات'!$N$3:$N$1164) - 1) / 7) + 1 = VALUE($B$11))),
            Table8[ملاحظة]
         ),
         ""
      ),
      IF(_xlpm.result="", "", _xlpm.result)
   )
)</f>
        <v/>
      </c>
      <c r="S512" s="27" t="str">
        <f t="shared" ca="1" si="7"/>
        <v/>
      </c>
    </row>
    <row r="513" spans="1:19" ht="27.75" customHeight="1" thickTop="1" thickBot="1" x14ac:dyDescent="0.35">
      <c r="A513" s="39"/>
      <c r="B513" s="50" t="str" cm="1">
        <f t="array" ref="B513">IF(
   OR(A513="", $B$9="", $B$10="", $B$11=""),
   "",
   _xlfn.LET(
      _xlpm.result,
      IFERROR(
         _xlfn.XLOOKUP(
            1,
            (Table8[رقم الصنف]=A513)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3" s="27" t="str" cm="1">
        <f t="array" ref="C513">IF(
   A513="",
   "",
   _xlfn.LET(
      _xlpm.result,
      IFERROR(
         _xlfn.XLOOKUP(
            1,
            (Table8[رقم الصنف]=A513) *
            (IF($B$9="الكل",1, YEAR('ادخال البيانات'!$N$3:$N$1164) = VALUE($B$9))) *
            (IF($B$10="الكل",1, MONTH('ادخال البيانات'!$N$3:$N$1164) = VALUE($B$10))) *
            (IF($B$11="الكل",1, INT((DAY('ادخال البيانات'!$N$3:$N$1164)-1)/7)+1 = VALUE($B$11))),
            'ادخال البيانات'!$C$3:$C$1164
         ),
         ""
      ),
      IF(_xlpm.result="", "", _xlpm.result)
   )
)</f>
        <v/>
      </c>
      <c r="D513" s="27" t="str" cm="1">
        <f t="array" ref="D513">IF(
   OR(A513="", $B$9="", $B$10="", $B$11=""),
   "",
   _xlfn.LET(
      _xlpm.result,
      IFERROR(
         _xlfn.XLOOKUP(
            1,
            (Table8[رقم الصنف]=A513) *
            (IF($B$9="الكل",1, YEAR('ادخال البيانات'!$N$3:$N$1164)=VALUE($B$9))) *
            (IF($B$10="الكل",1, MONTH('ادخال البيانات'!$N$3:$N$1164)=VALUE($B$10))) *
            (IF($B$11="الكل",1, INT((DAY('ادخال البيانات'!$N$3:$N$1164)-1)/7)+1 = VALUE($B$11))),
            'ادخال البيانات'!$D$3:$D$1164
         ),
         ""
      ),
      IF(_xlpm.result="", "", _xlpm.result)
   )
)</f>
        <v/>
      </c>
      <c r="E513" s="27" t="str" cm="1">
        <f t="array" ref="E513">IF(
   A513="",
   "",
   _xlfn.LET(
      _xlpm.result,
      IFERROR(
         _xlfn.XLOOKUP(
            1,
            (Table8[رقم الصنف]=A513) *
            (IF($B$9="الكل",1, YEAR('ادخال البيانات'!$N$3:$N$1164)=VALUE($B$9))) *
            (IF($B$10="الكل",1, MONTH('ادخال البيانات'!$N$3:$N$1164)=VALUE($B$10))) *
            (IF($B$11="الكل",1, INT((DAY('ادخال البيانات'!$N$3:$N$1164)-1)/7)+1 = VALUE($B$11))),
            'ادخال البيانات'!$E$3:$E$1164
         ),
         ""
      ),
      IF(_xlpm.result="", "", _xlpm.result)
   )
)</f>
        <v/>
      </c>
      <c r="F513" s="27" t="str" cm="1">
        <f t="array" ref="F513">IF(
   A513="",
   "",
   _xlfn.LET(
      _xlpm.result,
      IFERROR(
         _xlfn.XLOOKUP(
            1,
            (Table8[رقم الصنف]=A513) *
            (IF($B$9="الكل",1, YEAR('ادخال البيانات'!$N$3:$N$1164) = VALUE($B$9))) *
            (IF($B$10="الكل",1, MONTH('ادخال البيانات'!$N$3:$N$1164) = VALUE($B$10))) *
            (IF($B$11="الكل",1, INT((DAY('ادخال البيانات'!$N$3:$N$1164)-1)/7)+1 = VALUE($B$11))),
            'ادخال البيانات'!$F$3:$F$1164
         ),
         ""
      ),
      IF(_xlpm.result="", "", _xlpm.result)
   )
)</f>
        <v/>
      </c>
      <c r="G513" s="27" t="str" cm="1">
        <f t="array" ref="G513">IF(
   A513="",
   "",
   _xlfn.LET(
      _xlpm.result,
      IFERROR(
         _xlfn.XLOOKUP(
            1,
            (Table8[رقم الصنف]=A513) *
            (IF($B$9="الكل",1, YEAR('ادخال البيانات'!$N$3:$N$1164)=VALUE($B$9))) *
            (IF($B$10="الكل",1, MONTH('ادخال البيانات'!$N$3:$N$1164)=VALUE($B$10))) *
            (IF($B$11="الكل",1, INT((DAY('ادخال البيانات'!$N$3:$N$1164)-1)/7)+1 = VALUE($B$11))),
            'ادخال البيانات'!$G$3:$G$1164
         ),
         ""
      ),
      IF(_xlpm.result="", "", _xlpm.result)
   )
)</f>
        <v/>
      </c>
      <c r="H513" s="27" t="str" cm="1">
        <f t="array" ref="H513">IF(
   A513="",
   "",
   _xlfn.LET(
      _xlpm.result,
      IFERROR(
         _xlfn.XLOOKUP(
            1,
            (Table8[رقم الصنف]=A513) *
            (IF($B$9="الكل",1, YEAR('ادخال البيانات'!$N$3:$N$1164)=VALUE($B$9))) *
            (IF($B$10="الكل",1, MONTH('ادخال البيانات'!$N$3:$N$1164)=VALUE($B$10))) *
            (IF($B$11="الكل",1, INT((DAY('ادخال البيانات'!$N$3:$N$1164)-1)/7)+1 = VALUE($B$11))),
            'ادخال البيانات'!$H$3:$H$1164
         ),
         ""
      ),
      IF(_xlpm.result="", "", _xlpm.result)
   )
)</f>
        <v/>
      </c>
      <c r="I513" s="27" t="str" cm="1">
        <f t="array" ref="I513">IF(
   A513="",
   "",
   _xlfn.LET(
      _xlpm.result,
      IFERROR(
         _xlfn.XLOOKUP(
            1,
            (Table8[رقم الصنف]=A513) *
            (IF($B$9="الكل",1, YEAR('ادخال البيانات'!$N$3:$N$1164)=VALUE($B$9))) *
            (IF($B$10="الكل",1, MONTH('ادخال البيانات'!$N$3:$N$1164)=VALUE($B$10))) *
            (IF($B$11="الكل",1, INT((DAY('ادخال البيانات'!$N$3:$N$1164)-1)/7)+1 = VALUE($B$11))),
            'ادخال البيانات'!$I$3:$I$1164
         ),
         ""
      ),
      IF(_xlpm.result="", "", _xlpm.result)
   )
)</f>
        <v/>
      </c>
      <c r="J513" s="27" t="str" cm="1">
        <f t="array" ref="J513">IF(
   A513="",
   "",
   _xlfn.LET(
      _xlpm.result,
      IFERROR(
         _xlfn.XLOOKUP(
            1,
            (Table8[رقم الصنف]=A513) *
            (IF($B$9="الكل",1, YEAR('ادخال البيانات'!$N$3:$N$1164)=VALUE($B$9))) *
            (IF($B$10="الكل",1, MONTH('ادخال البيانات'!$N$3:$N$1164)=VALUE($B$10))) *
            (IF($B$11="الكل",1, INT((DAY('ادخال البيانات'!$N$3:$N$1164)-1)/7)+1 = VALUE($B$11))),
            'ادخال البيانات'!$J$3:$J$1164
         ),
         ""
      ),
      IF(_xlpm.result="", "", _xlpm.result)
   )
)</f>
        <v/>
      </c>
      <c r="K513" s="27" t="str" cm="1">
        <f t="array" ref="K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3" s="27" t="str" cm="1">
        <f t="array" ref="L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3" s="27" t="str" cm="1">
        <f t="array" ref="M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3" s="28" t="str" cm="1">
        <f t="array" ref="N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3" s="28" t="str" cm="1">
        <f t="array" ref="O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3" s="27" t="str" cm="1">
        <f t="array" ref="P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Table8[جهة العطل]
         ),
         ""
      ),
      IF(_xlpm.result="", "", _xlpm.result)
   )
)</f>
        <v/>
      </c>
      <c r="Q513" s="27" t="str" cm="1">
        <f t="array" ref="Q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Table8[المركز]
         ),
         ""
      ),
      IF(_xlpm.result="", "", _xlpm.result)
   )
)</f>
        <v/>
      </c>
      <c r="R513" s="27" t="str" cm="1">
        <f t="array" ref="R513">IF(
   A513="",
   "",
   _xlfn.LET(
      _xlpm.result,
      IFERROR(
         _xlfn.XLOOKUP(
            1,
            (Table8[رقم الصنف]=A513) *
            (IF($B$9="الكل",1, YEAR('ادخال البيانات'!$N$3:$N$1164) = VALUE($B$9))) *
            (IF($B$10="الكل",1, MONTH('ادخال البيانات'!$N$3:$N$1164) = VALUE($B$10))) *
            (IF($B$11="الكل",1, INT((DAY('ادخال البيانات'!$N$3:$N$1164) - 1) / 7) + 1 = VALUE($B$11))),
            Table8[ملاحظة]
         ),
         ""
      ),
      IF(_xlpm.result="", "", _xlpm.result)
   )
)</f>
        <v/>
      </c>
      <c r="S513" s="27" t="str">
        <f t="shared" ca="1" si="7"/>
        <v/>
      </c>
    </row>
    <row r="514" spans="1:19" ht="27.75" customHeight="1" thickTop="1" thickBot="1" x14ac:dyDescent="0.35">
      <c r="A514" s="39"/>
      <c r="B514" s="50" t="str" cm="1">
        <f t="array" ref="B514">IF(
   OR(A514="", $B$9="", $B$10="", $B$11=""),
   "",
   _xlfn.LET(
      _xlpm.result,
      IFERROR(
         _xlfn.XLOOKUP(
            1,
            (Table8[رقم الصنف]=A514)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4" s="27" t="str" cm="1">
        <f t="array" ref="C514">IF(
   A514="",
   "",
   _xlfn.LET(
      _xlpm.result,
      IFERROR(
         _xlfn.XLOOKUP(
            1,
            (Table8[رقم الصنف]=A514) *
            (IF($B$9="الكل",1, YEAR('ادخال البيانات'!$N$3:$N$1164) = VALUE($B$9))) *
            (IF($B$10="الكل",1, MONTH('ادخال البيانات'!$N$3:$N$1164) = VALUE($B$10))) *
            (IF($B$11="الكل",1, INT((DAY('ادخال البيانات'!$N$3:$N$1164)-1)/7)+1 = VALUE($B$11))),
            'ادخال البيانات'!$C$3:$C$1164
         ),
         ""
      ),
      IF(_xlpm.result="", "", _xlpm.result)
   )
)</f>
        <v/>
      </c>
      <c r="D514" s="27" t="str" cm="1">
        <f t="array" ref="D514">IF(
   OR(A514="", $B$9="", $B$10="", $B$11=""),
   "",
   _xlfn.LET(
      _xlpm.result,
      IFERROR(
         _xlfn.XLOOKUP(
            1,
            (Table8[رقم الصنف]=A514) *
            (IF($B$9="الكل",1, YEAR('ادخال البيانات'!$N$3:$N$1164)=VALUE($B$9))) *
            (IF($B$10="الكل",1, MONTH('ادخال البيانات'!$N$3:$N$1164)=VALUE($B$10))) *
            (IF($B$11="الكل",1, INT((DAY('ادخال البيانات'!$N$3:$N$1164)-1)/7)+1 = VALUE($B$11))),
            'ادخال البيانات'!$D$3:$D$1164
         ),
         ""
      ),
      IF(_xlpm.result="", "", _xlpm.result)
   )
)</f>
        <v/>
      </c>
      <c r="E514" s="27" t="str" cm="1">
        <f t="array" ref="E514">IF(
   A514="",
   "",
   _xlfn.LET(
      _xlpm.result,
      IFERROR(
         _xlfn.XLOOKUP(
            1,
            (Table8[رقم الصنف]=A514) *
            (IF($B$9="الكل",1, YEAR('ادخال البيانات'!$N$3:$N$1164)=VALUE($B$9))) *
            (IF($B$10="الكل",1, MONTH('ادخال البيانات'!$N$3:$N$1164)=VALUE($B$10))) *
            (IF($B$11="الكل",1, INT((DAY('ادخال البيانات'!$N$3:$N$1164)-1)/7)+1 = VALUE($B$11))),
            'ادخال البيانات'!$E$3:$E$1164
         ),
         ""
      ),
      IF(_xlpm.result="", "", _xlpm.result)
   )
)</f>
        <v/>
      </c>
      <c r="F514" s="27" t="str" cm="1">
        <f t="array" ref="F514">IF(
   A514="",
   "",
   _xlfn.LET(
      _xlpm.result,
      IFERROR(
         _xlfn.XLOOKUP(
            1,
            (Table8[رقم الصنف]=A514) *
            (IF($B$9="الكل",1, YEAR('ادخال البيانات'!$N$3:$N$1164) = VALUE($B$9))) *
            (IF($B$10="الكل",1, MONTH('ادخال البيانات'!$N$3:$N$1164) = VALUE($B$10))) *
            (IF($B$11="الكل",1, INT((DAY('ادخال البيانات'!$N$3:$N$1164)-1)/7)+1 = VALUE($B$11))),
            'ادخال البيانات'!$F$3:$F$1164
         ),
         ""
      ),
      IF(_xlpm.result="", "", _xlpm.result)
   )
)</f>
        <v/>
      </c>
      <c r="G514" s="27" t="str" cm="1">
        <f t="array" ref="G514">IF(
   A514="",
   "",
   _xlfn.LET(
      _xlpm.result,
      IFERROR(
         _xlfn.XLOOKUP(
            1,
            (Table8[رقم الصنف]=A514) *
            (IF($B$9="الكل",1, YEAR('ادخال البيانات'!$N$3:$N$1164)=VALUE($B$9))) *
            (IF($B$10="الكل",1, MONTH('ادخال البيانات'!$N$3:$N$1164)=VALUE($B$10))) *
            (IF($B$11="الكل",1, INT((DAY('ادخال البيانات'!$N$3:$N$1164)-1)/7)+1 = VALUE($B$11))),
            'ادخال البيانات'!$G$3:$G$1164
         ),
         ""
      ),
      IF(_xlpm.result="", "", _xlpm.result)
   )
)</f>
        <v/>
      </c>
      <c r="H514" s="27" t="str" cm="1">
        <f t="array" ref="H514">IF(
   A514="",
   "",
   _xlfn.LET(
      _xlpm.result,
      IFERROR(
         _xlfn.XLOOKUP(
            1,
            (Table8[رقم الصنف]=A514) *
            (IF($B$9="الكل",1, YEAR('ادخال البيانات'!$N$3:$N$1164)=VALUE($B$9))) *
            (IF($B$10="الكل",1, MONTH('ادخال البيانات'!$N$3:$N$1164)=VALUE($B$10))) *
            (IF($B$11="الكل",1, INT((DAY('ادخال البيانات'!$N$3:$N$1164)-1)/7)+1 = VALUE($B$11))),
            'ادخال البيانات'!$H$3:$H$1164
         ),
         ""
      ),
      IF(_xlpm.result="", "", _xlpm.result)
   )
)</f>
        <v/>
      </c>
      <c r="I514" s="27" t="str" cm="1">
        <f t="array" ref="I514">IF(
   A514="",
   "",
   _xlfn.LET(
      _xlpm.result,
      IFERROR(
         _xlfn.XLOOKUP(
            1,
            (Table8[رقم الصنف]=A514) *
            (IF($B$9="الكل",1, YEAR('ادخال البيانات'!$N$3:$N$1164)=VALUE($B$9))) *
            (IF($B$10="الكل",1, MONTH('ادخال البيانات'!$N$3:$N$1164)=VALUE($B$10))) *
            (IF($B$11="الكل",1, INT((DAY('ادخال البيانات'!$N$3:$N$1164)-1)/7)+1 = VALUE($B$11))),
            'ادخال البيانات'!$I$3:$I$1164
         ),
         ""
      ),
      IF(_xlpm.result="", "", _xlpm.result)
   )
)</f>
        <v/>
      </c>
      <c r="J514" s="27" t="str" cm="1">
        <f t="array" ref="J514">IF(
   A514="",
   "",
   _xlfn.LET(
      _xlpm.result,
      IFERROR(
         _xlfn.XLOOKUP(
            1,
            (Table8[رقم الصنف]=A514) *
            (IF($B$9="الكل",1, YEAR('ادخال البيانات'!$N$3:$N$1164)=VALUE($B$9))) *
            (IF($B$10="الكل",1, MONTH('ادخال البيانات'!$N$3:$N$1164)=VALUE($B$10))) *
            (IF($B$11="الكل",1, INT((DAY('ادخال البيانات'!$N$3:$N$1164)-1)/7)+1 = VALUE($B$11))),
            'ادخال البيانات'!$J$3:$J$1164
         ),
         ""
      ),
      IF(_xlpm.result="", "", _xlpm.result)
   )
)</f>
        <v/>
      </c>
      <c r="K514" s="27" t="str" cm="1">
        <f t="array" ref="K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4" s="27" t="str" cm="1">
        <f t="array" ref="L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4" s="27" t="str" cm="1">
        <f t="array" ref="M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4" s="28" t="str" cm="1">
        <f t="array" ref="N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4" s="28" t="str" cm="1">
        <f t="array" ref="O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4" s="27" t="str" cm="1">
        <f t="array" ref="P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Table8[جهة العطل]
         ),
         ""
      ),
      IF(_xlpm.result="", "", _xlpm.result)
   )
)</f>
        <v/>
      </c>
      <c r="Q514" s="27" t="str" cm="1">
        <f t="array" ref="Q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Table8[المركز]
         ),
         ""
      ),
      IF(_xlpm.result="", "", _xlpm.result)
   )
)</f>
        <v/>
      </c>
      <c r="R514" s="27" t="str" cm="1">
        <f t="array" ref="R514">IF(
   A514="",
   "",
   _xlfn.LET(
      _xlpm.result,
      IFERROR(
         _xlfn.XLOOKUP(
            1,
            (Table8[رقم الصنف]=A514) *
            (IF($B$9="الكل",1, YEAR('ادخال البيانات'!$N$3:$N$1164) = VALUE($B$9))) *
            (IF($B$10="الكل",1, MONTH('ادخال البيانات'!$N$3:$N$1164) = VALUE($B$10))) *
            (IF($B$11="الكل",1, INT((DAY('ادخال البيانات'!$N$3:$N$1164) - 1) / 7) + 1 = VALUE($B$11))),
            Table8[ملاحظة]
         ),
         ""
      ),
      IF(_xlpm.result="", "", _xlpm.result)
   )
)</f>
        <v/>
      </c>
      <c r="S514" s="27" t="str">
        <f t="shared" ca="1" si="7"/>
        <v/>
      </c>
    </row>
    <row r="515" spans="1:19" ht="27.75" customHeight="1" thickTop="1" thickBot="1" x14ac:dyDescent="0.35">
      <c r="A515" s="39"/>
      <c r="B515" s="50" t="str" cm="1">
        <f t="array" ref="B515">IF(
   OR(A515="", $B$9="", $B$10="", $B$11=""),
   "",
   _xlfn.LET(
      _xlpm.result,
      IFERROR(
         _xlfn.XLOOKUP(
            1,
            (Table8[رقم الصنف]=A515)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5" s="27" t="str" cm="1">
        <f t="array" ref="C515">IF(
   A515="",
   "",
   _xlfn.LET(
      _xlpm.result,
      IFERROR(
         _xlfn.XLOOKUP(
            1,
            (Table8[رقم الصنف]=A515) *
            (IF($B$9="الكل",1, YEAR('ادخال البيانات'!$N$3:$N$1164) = VALUE($B$9))) *
            (IF($B$10="الكل",1, MONTH('ادخال البيانات'!$N$3:$N$1164) = VALUE($B$10))) *
            (IF($B$11="الكل",1, INT((DAY('ادخال البيانات'!$N$3:$N$1164)-1)/7)+1 = VALUE($B$11))),
            'ادخال البيانات'!$C$3:$C$1164
         ),
         ""
      ),
      IF(_xlpm.result="", "", _xlpm.result)
   )
)</f>
        <v/>
      </c>
      <c r="D515" s="27" t="str" cm="1">
        <f t="array" ref="D515">IF(
   OR(A515="", $B$9="", $B$10="", $B$11=""),
   "",
   _xlfn.LET(
      _xlpm.result,
      IFERROR(
         _xlfn.XLOOKUP(
            1,
            (Table8[رقم الصنف]=A515) *
            (IF($B$9="الكل",1, YEAR('ادخال البيانات'!$N$3:$N$1164)=VALUE($B$9))) *
            (IF($B$10="الكل",1, MONTH('ادخال البيانات'!$N$3:$N$1164)=VALUE($B$10))) *
            (IF($B$11="الكل",1, INT((DAY('ادخال البيانات'!$N$3:$N$1164)-1)/7)+1 = VALUE($B$11))),
            'ادخال البيانات'!$D$3:$D$1164
         ),
         ""
      ),
      IF(_xlpm.result="", "", _xlpm.result)
   )
)</f>
        <v/>
      </c>
      <c r="E515" s="27" t="str" cm="1">
        <f t="array" ref="E515">IF(
   A515="",
   "",
   _xlfn.LET(
      _xlpm.result,
      IFERROR(
         _xlfn.XLOOKUP(
            1,
            (Table8[رقم الصنف]=A515) *
            (IF($B$9="الكل",1, YEAR('ادخال البيانات'!$N$3:$N$1164)=VALUE($B$9))) *
            (IF($B$10="الكل",1, MONTH('ادخال البيانات'!$N$3:$N$1164)=VALUE($B$10))) *
            (IF($B$11="الكل",1, INT((DAY('ادخال البيانات'!$N$3:$N$1164)-1)/7)+1 = VALUE($B$11))),
            'ادخال البيانات'!$E$3:$E$1164
         ),
         ""
      ),
      IF(_xlpm.result="", "", _xlpm.result)
   )
)</f>
        <v/>
      </c>
      <c r="F515" s="27" t="str" cm="1">
        <f t="array" ref="F515">IF(
   A515="",
   "",
   _xlfn.LET(
      _xlpm.result,
      IFERROR(
         _xlfn.XLOOKUP(
            1,
            (Table8[رقم الصنف]=A515) *
            (IF($B$9="الكل",1, YEAR('ادخال البيانات'!$N$3:$N$1164) = VALUE($B$9))) *
            (IF($B$10="الكل",1, MONTH('ادخال البيانات'!$N$3:$N$1164) = VALUE($B$10))) *
            (IF($B$11="الكل",1, INT((DAY('ادخال البيانات'!$N$3:$N$1164)-1)/7)+1 = VALUE($B$11))),
            'ادخال البيانات'!$F$3:$F$1164
         ),
         ""
      ),
      IF(_xlpm.result="", "", _xlpm.result)
   )
)</f>
        <v/>
      </c>
      <c r="G515" s="27" t="str" cm="1">
        <f t="array" ref="G515">IF(
   A515="",
   "",
   _xlfn.LET(
      _xlpm.result,
      IFERROR(
         _xlfn.XLOOKUP(
            1,
            (Table8[رقم الصنف]=A515) *
            (IF($B$9="الكل",1, YEAR('ادخال البيانات'!$N$3:$N$1164)=VALUE($B$9))) *
            (IF($B$10="الكل",1, MONTH('ادخال البيانات'!$N$3:$N$1164)=VALUE($B$10))) *
            (IF($B$11="الكل",1, INT((DAY('ادخال البيانات'!$N$3:$N$1164)-1)/7)+1 = VALUE($B$11))),
            'ادخال البيانات'!$G$3:$G$1164
         ),
         ""
      ),
      IF(_xlpm.result="", "", _xlpm.result)
   )
)</f>
        <v/>
      </c>
      <c r="H515" s="27" t="str" cm="1">
        <f t="array" ref="H515">IF(
   A515="",
   "",
   _xlfn.LET(
      _xlpm.result,
      IFERROR(
         _xlfn.XLOOKUP(
            1,
            (Table8[رقم الصنف]=A515) *
            (IF($B$9="الكل",1, YEAR('ادخال البيانات'!$N$3:$N$1164)=VALUE($B$9))) *
            (IF($B$10="الكل",1, MONTH('ادخال البيانات'!$N$3:$N$1164)=VALUE($B$10))) *
            (IF($B$11="الكل",1, INT((DAY('ادخال البيانات'!$N$3:$N$1164)-1)/7)+1 = VALUE($B$11))),
            'ادخال البيانات'!$H$3:$H$1164
         ),
         ""
      ),
      IF(_xlpm.result="", "", _xlpm.result)
   )
)</f>
        <v/>
      </c>
      <c r="I515" s="27" t="str" cm="1">
        <f t="array" ref="I515">IF(
   A515="",
   "",
   _xlfn.LET(
      _xlpm.result,
      IFERROR(
         _xlfn.XLOOKUP(
            1,
            (Table8[رقم الصنف]=A515) *
            (IF($B$9="الكل",1, YEAR('ادخال البيانات'!$N$3:$N$1164)=VALUE($B$9))) *
            (IF($B$10="الكل",1, MONTH('ادخال البيانات'!$N$3:$N$1164)=VALUE($B$10))) *
            (IF($B$11="الكل",1, INT((DAY('ادخال البيانات'!$N$3:$N$1164)-1)/7)+1 = VALUE($B$11))),
            'ادخال البيانات'!$I$3:$I$1164
         ),
         ""
      ),
      IF(_xlpm.result="", "", _xlpm.result)
   )
)</f>
        <v/>
      </c>
      <c r="J515" s="27" t="str" cm="1">
        <f t="array" ref="J515">IF(
   A515="",
   "",
   _xlfn.LET(
      _xlpm.result,
      IFERROR(
         _xlfn.XLOOKUP(
            1,
            (Table8[رقم الصنف]=A515) *
            (IF($B$9="الكل",1, YEAR('ادخال البيانات'!$N$3:$N$1164)=VALUE($B$9))) *
            (IF($B$10="الكل",1, MONTH('ادخال البيانات'!$N$3:$N$1164)=VALUE($B$10))) *
            (IF($B$11="الكل",1, INT((DAY('ادخال البيانات'!$N$3:$N$1164)-1)/7)+1 = VALUE($B$11))),
            'ادخال البيانات'!$J$3:$J$1164
         ),
         ""
      ),
      IF(_xlpm.result="", "", _xlpm.result)
   )
)</f>
        <v/>
      </c>
      <c r="K515" s="27" t="str" cm="1">
        <f t="array" ref="K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5" s="27" t="str" cm="1">
        <f t="array" ref="L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5" s="27" t="str" cm="1">
        <f t="array" ref="M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5" s="28" t="str" cm="1">
        <f t="array" ref="N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5" s="28" t="str" cm="1">
        <f t="array" ref="O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5" s="27" t="str" cm="1">
        <f t="array" ref="P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Table8[جهة العطل]
         ),
         ""
      ),
      IF(_xlpm.result="", "", _xlpm.result)
   )
)</f>
        <v/>
      </c>
      <c r="Q515" s="27" t="str" cm="1">
        <f t="array" ref="Q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Table8[المركز]
         ),
         ""
      ),
      IF(_xlpm.result="", "", _xlpm.result)
   )
)</f>
        <v/>
      </c>
      <c r="R515" s="27" t="str" cm="1">
        <f t="array" ref="R515">IF(
   A515="",
   "",
   _xlfn.LET(
      _xlpm.result,
      IFERROR(
         _xlfn.XLOOKUP(
            1,
            (Table8[رقم الصنف]=A515) *
            (IF($B$9="الكل",1, YEAR('ادخال البيانات'!$N$3:$N$1164) = VALUE($B$9))) *
            (IF($B$10="الكل",1, MONTH('ادخال البيانات'!$N$3:$N$1164) = VALUE($B$10))) *
            (IF($B$11="الكل",1, INT((DAY('ادخال البيانات'!$N$3:$N$1164) - 1) / 7) + 1 = VALUE($B$11))),
            Table8[ملاحظة]
         ),
         ""
      ),
      IF(_xlpm.result="", "", _xlpm.result)
   )
)</f>
        <v/>
      </c>
      <c r="S515" s="27" t="str">
        <f t="shared" ca="1" si="7"/>
        <v/>
      </c>
    </row>
    <row r="516" spans="1:19" ht="27.75" customHeight="1" thickTop="1" thickBot="1" x14ac:dyDescent="0.35">
      <c r="A516" s="39"/>
      <c r="B516" s="50" t="str" cm="1">
        <f t="array" ref="B516">IF(
   OR(A516="", $B$9="", $B$10="", $B$11=""),
   "",
   _xlfn.LET(
      _xlpm.result,
      IFERROR(
         _xlfn.XLOOKUP(
            1,
            (Table8[رقم الصنف]=A516)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6" s="27" t="str" cm="1">
        <f t="array" ref="C516">IF(
   A516="",
   "",
   _xlfn.LET(
      _xlpm.result,
      IFERROR(
         _xlfn.XLOOKUP(
            1,
            (Table8[رقم الصنف]=A516) *
            (IF($B$9="الكل",1, YEAR('ادخال البيانات'!$N$3:$N$1164) = VALUE($B$9))) *
            (IF($B$10="الكل",1, MONTH('ادخال البيانات'!$N$3:$N$1164) = VALUE($B$10))) *
            (IF($B$11="الكل",1, INT((DAY('ادخال البيانات'!$N$3:$N$1164)-1)/7)+1 = VALUE($B$11))),
            'ادخال البيانات'!$C$3:$C$1164
         ),
         ""
      ),
      IF(_xlpm.result="", "", _xlpm.result)
   )
)</f>
        <v/>
      </c>
      <c r="D516" s="27" t="str" cm="1">
        <f t="array" ref="D516">IF(
   OR(A516="", $B$9="", $B$10="", $B$11=""),
   "",
   _xlfn.LET(
      _xlpm.result,
      IFERROR(
         _xlfn.XLOOKUP(
            1,
            (Table8[رقم الصنف]=A516) *
            (IF($B$9="الكل",1, YEAR('ادخال البيانات'!$N$3:$N$1164)=VALUE($B$9))) *
            (IF($B$10="الكل",1, MONTH('ادخال البيانات'!$N$3:$N$1164)=VALUE($B$10))) *
            (IF($B$11="الكل",1, INT((DAY('ادخال البيانات'!$N$3:$N$1164)-1)/7)+1 = VALUE($B$11))),
            'ادخال البيانات'!$D$3:$D$1164
         ),
         ""
      ),
      IF(_xlpm.result="", "", _xlpm.result)
   )
)</f>
        <v/>
      </c>
      <c r="E516" s="27" t="str" cm="1">
        <f t="array" ref="E516">IF(
   A516="",
   "",
   _xlfn.LET(
      _xlpm.result,
      IFERROR(
         _xlfn.XLOOKUP(
            1,
            (Table8[رقم الصنف]=A516) *
            (IF($B$9="الكل",1, YEAR('ادخال البيانات'!$N$3:$N$1164)=VALUE($B$9))) *
            (IF($B$10="الكل",1, MONTH('ادخال البيانات'!$N$3:$N$1164)=VALUE($B$10))) *
            (IF($B$11="الكل",1, INT((DAY('ادخال البيانات'!$N$3:$N$1164)-1)/7)+1 = VALUE($B$11))),
            'ادخال البيانات'!$E$3:$E$1164
         ),
         ""
      ),
      IF(_xlpm.result="", "", _xlpm.result)
   )
)</f>
        <v/>
      </c>
      <c r="F516" s="27" t="str" cm="1">
        <f t="array" ref="F516">IF(
   A516="",
   "",
   _xlfn.LET(
      _xlpm.result,
      IFERROR(
         _xlfn.XLOOKUP(
            1,
            (Table8[رقم الصنف]=A516) *
            (IF($B$9="الكل",1, YEAR('ادخال البيانات'!$N$3:$N$1164) = VALUE($B$9))) *
            (IF($B$10="الكل",1, MONTH('ادخال البيانات'!$N$3:$N$1164) = VALUE($B$10))) *
            (IF($B$11="الكل",1, INT((DAY('ادخال البيانات'!$N$3:$N$1164)-1)/7)+1 = VALUE($B$11))),
            'ادخال البيانات'!$F$3:$F$1164
         ),
         ""
      ),
      IF(_xlpm.result="", "", _xlpm.result)
   )
)</f>
        <v/>
      </c>
      <c r="G516" s="27" t="str" cm="1">
        <f t="array" ref="G516">IF(
   A516="",
   "",
   _xlfn.LET(
      _xlpm.result,
      IFERROR(
         _xlfn.XLOOKUP(
            1,
            (Table8[رقم الصنف]=A516) *
            (IF($B$9="الكل",1, YEAR('ادخال البيانات'!$N$3:$N$1164)=VALUE($B$9))) *
            (IF($B$10="الكل",1, MONTH('ادخال البيانات'!$N$3:$N$1164)=VALUE($B$10))) *
            (IF($B$11="الكل",1, INT((DAY('ادخال البيانات'!$N$3:$N$1164)-1)/7)+1 = VALUE($B$11))),
            'ادخال البيانات'!$G$3:$G$1164
         ),
         ""
      ),
      IF(_xlpm.result="", "", _xlpm.result)
   )
)</f>
        <v/>
      </c>
      <c r="H516" s="27" t="str" cm="1">
        <f t="array" ref="H516">IF(
   A516="",
   "",
   _xlfn.LET(
      _xlpm.result,
      IFERROR(
         _xlfn.XLOOKUP(
            1,
            (Table8[رقم الصنف]=A516) *
            (IF($B$9="الكل",1, YEAR('ادخال البيانات'!$N$3:$N$1164)=VALUE($B$9))) *
            (IF($B$10="الكل",1, MONTH('ادخال البيانات'!$N$3:$N$1164)=VALUE($B$10))) *
            (IF($B$11="الكل",1, INT((DAY('ادخال البيانات'!$N$3:$N$1164)-1)/7)+1 = VALUE($B$11))),
            'ادخال البيانات'!$H$3:$H$1164
         ),
         ""
      ),
      IF(_xlpm.result="", "", _xlpm.result)
   )
)</f>
        <v/>
      </c>
      <c r="I516" s="27" t="str" cm="1">
        <f t="array" ref="I516">IF(
   A516="",
   "",
   _xlfn.LET(
      _xlpm.result,
      IFERROR(
         _xlfn.XLOOKUP(
            1,
            (Table8[رقم الصنف]=A516) *
            (IF($B$9="الكل",1, YEAR('ادخال البيانات'!$N$3:$N$1164)=VALUE($B$9))) *
            (IF($B$10="الكل",1, MONTH('ادخال البيانات'!$N$3:$N$1164)=VALUE($B$10))) *
            (IF($B$11="الكل",1, INT((DAY('ادخال البيانات'!$N$3:$N$1164)-1)/7)+1 = VALUE($B$11))),
            'ادخال البيانات'!$I$3:$I$1164
         ),
         ""
      ),
      IF(_xlpm.result="", "", _xlpm.result)
   )
)</f>
        <v/>
      </c>
      <c r="J516" s="27" t="str" cm="1">
        <f t="array" ref="J516">IF(
   A516="",
   "",
   _xlfn.LET(
      _xlpm.result,
      IFERROR(
         _xlfn.XLOOKUP(
            1,
            (Table8[رقم الصنف]=A516) *
            (IF($B$9="الكل",1, YEAR('ادخال البيانات'!$N$3:$N$1164)=VALUE($B$9))) *
            (IF($B$10="الكل",1, MONTH('ادخال البيانات'!$N$3:$N$1164)=VALUE($B$10))) *
            (IF($B$11="الكل",1, INT((DAY('ادخال البيانات'!$N$3:$N$1164)-1)/7)+1 = VALUE($B$11))),
            'ادخال البيانات'!$J$3:$J$1164
         ),
         ""
      ),
      IF(_xlpm.result="", "", _xlpm.result)
   )
)</f>
        <v/>
      </c>
      <c r="K516" s="27" t="str" cm="1">
        <f t="array" ref="K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6" s="27" t="str" cm="1">
        <f t="array" ref="L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6" s="27" t="str" cm="1">
        <f t="array" ref="M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6" s="28" t="str" cm="1">
        <f t="array" ref="N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6" s="28" t="str" cm="1">
        <f t="array" ref="O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6" s="27" t="str" cm="1">
        <f t="array" ref="P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Table8[جهة العطل]
         ),
         ""
      ),
      IF(_xlpm.result="", "", _xlpm.result)
   )
)</f>
        <v/>
      </c>
      <c r="Q516" s="27" t="str" cm="1">
        <f t="array" ref="Q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Table8[المركز]
         ),
         ""
      ),
      IF(_xlpm.result="", "", _xlpm.result)
   )
)</f>
        <v/>
      </c>
      <c r="R516" s="27" t="str" cm="1">
        <f t="array" ref="R516">IF(
   A516="",
   "",
   _xlfn.LET(
      _xlpm.result,
      IFERROR(
         _xlfn.XLOOKUP(
            1,
            (Table8[رقم الصنف]=A516) *
            (IF($B$9="الكل",1, YEAR('ادخال البيانات'!$N$3:$N$1164) = VALUE($B$9))) *
            (IF($B$10="الكل",1, MONTH('ادخال البيانات'!$N$3:$N$1164) = VALUE($B$10))) *
            (IF($B$11="الكل",1, INT((DAY('ادخال البيانات'!$N$3:$N$1164) - 1) / 7) + 1 = VALUE($B$11))),
            Table8[ملاحظة]
         ),
         ""
      ),
      IF(_xlpm.result="", "", _xlpm.result)
   )
)</f>
        <v/>
      </c>
      <c r="S516" s="27" t="str">
        <f t="shared" ca="1" si="7"/>
        <v/>
      </c>
    </row>
    <row r="517" spans="1:19" ht="27.75" customHeight="1" thickTop="1" thickBot="1" x14ac:dyDescent="0.35">
      <c r="A517" s="39"/>
      <c r="B517" s="50" t="str" cm="1">
        <f t="array" ref="B517">IF(
   OR(A517="", $B$9="", $B$10="", $B$11=""),
   "",
   _xlfn.LET(
      _xlpm.result,
      IFERROR(
         _xlfn.XLOOKUP(
            1,
            (Table8[رقم الصنف]=A517)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7" s="27" t="str" cm="1">
        <f t="array" ref="C517">IF(
   A517="",
   "",
   _xlfn.LET(
      _xlpm.result,
      IFERROR(
         _xlfn.XLOOKUP(
            1,
            (Table8[رقم الصنف]=A517) *
            (IF($B$9="الكل",1, YEAR('ادخال البيانات'!$N$3:$N$1164) = VALUE($B$9))) *
            (IF($B$10="الكل",1, MONTH('ادخال البيانات'!$N$3:$N$1164) = VALUE($B$10))) *
            (IF($B$11="الكل",1, INT((DAY('ادخال البيانات'!$N$3:$N$1164)-1)/7)+1 = VALUE($B$11))),
            'ادخال البيانات'!$C$3:$C$1164
         ),
         ""
      ),
      IF(_xlpm.result="", "", _xlpm.result)
   )
)</f>
        <v/>
      </c>
      <c r="D517" s="27" t="str" cm="1">
        <f t="array" ref="D517">IF(
   OR(A517="", $B$9="", $B$10="", $B$11=""),
   "",
   _xlfn.LET(
      _xlpm.result,
      IFERROR(
         _xlfn.XLOOKUP(
            1,
            (Table8[رقم الصنف]=A517) *
            (IF($B$9="الكل",1, YEAR('ادخال البيانات'!$N$3:$N$1164)=VALUE($B$9))) *
            (IF($B$10="الكل",1, MONTH('ادخال البيانات'!$N$3:$N$1164)=VALUE($B$10))) *
            (IF($B$11="الكل",1, INT((DAY('ادخال البيانات'!$N$3:$N$1164)-1)/7)+1 = VALUE($B$11))),
            'ادخال البيانات'!$D$3:$D$1164
         ),
         ""
      ),
      IF(_xlpm.result="", "", _xlpm.result)
   )
)</f>
        <v/>
      </c>
      <c r="E517" s="27" t="str" cm="1">
        <f t="array" ref="E517">IF(
   A517="",
   "",
   _xlfn.LET(
      _xlpm.result,
      IFERROR(
         _xlfn.XLOOKUP(
            1,
            (Table8[رقم الصنف]=A517) *
            (IF($B$9="الكل",1, YEAR('ادخال البيانات'!$N$3:$N$1164)=VALUE($B$9))) *
            (IF($B$10="الكل",1, MONTH('ادخال البيانات'!$N$3:$N$1164)=VALUE($B$10))) *
            (IF($B$11="الكل",1, INT((DAY('ادخال البيانات'!$N$3:$N$1164)-1)/7)+1 = VALUE($B$11))),
            'ادخال البيانات'!$E$3:$E$1164
         ),
         ""
      ),
      IF(_xlpm.result="", "", _xlpm.result)
   )
)</f>
        <v/>
      </c>
      <c r="F517" s="27" t="str" cm="1">
        <f t="array" ref="F517">IF(
   A517="",
   "",
   _xlfn.LET(
      _xlpm.result,
      IFERROR(
         _xlfn.XLOOKUP(
            1,
            (Table8[رقم الصنف]=A517) *
            (IF($B$9="الكل",1, YEAR('ادخال البيانات'!$N$3:$N$1164) = VALUE($B$9))) *
            (IF($B$10="الكل",1, MONTH('ادخال البيانات'!$N$3:$N$1164) = VALUE($B$10))) *
            (IF($B$11="الكل",1, INT((DAY('ادخال البيانات'!$N$3:$N$1164)-1)/7)+1 = VALUE($B$11))),
            'ادخال البيانات'!$F$3:$F$1164
         ),
         ""
      ),
      IF(_xlpm.result="", "", _xlpm.result)
   )
)</f>
        <v/>
      </c>
      <c r="G517" s="27" t="str" cm="1">
        <f t="array" ref="G517">IF(
   A517="",
   "",
   _xlfn.LET(
      _xlpm.result,
      IFERROR(
         _xlfn.XLOOKUP(
            1,
            (Table8[رقم الصنف]=A517) *
            (IF($B$9="الكل",1, YEAR('ادخال البيانات'!$N$3:$N$1164)=VALUE($B$9))) *
            (IF($B$10="الكل",1, MONTH('ادخال البيانات'!$N$3:$N$1164)=VALUE($B$10))) *
            (IF($B$11="الكل",1, INT((DAY('ادخال البيانات'!$N$3:$N$1164)-1)/7)+1 = VALUE($B$11))),
            'ادخال البيانات'!$G$3:$G$1164
         ),
         ""
      ),
      IF(_xlpm.result="", "", _xlpm.result)
   )
)</f>
        <v/>
      </c>
      <c r="H517" s="27" t="str" cm="1">
        <f t="array" ref="H517">IF(
   A517="",
   "",
   _xlfn.LET(
      _xlpm.result,
      IFERROR(
         _xlfn.XLOOKUP(
            1,
            (Table8[رقم الصنف]=A517) *
            (IF($B$9="الكل",1, YEAR('ادخال البيانات'!$N$3:$N$1164)=VALUE($B$9))) *
            (IF($B$10="الكل",1, MONTH('ادخال البيانات'!$N$3:$N$1164)=VALUE($B$10))) *
            (IF($B$11="الكل",1, INT((DAY('ادخال البيانات'!$N$3:$N$1164)-1)/7)+1 = VALUE($B$11))),
            'ادخال البيانات'!$H$3:$H$1164
         ),
         ""
      ),
      IF(_xlpm.result="", "", _xlpm.result)
   )
)</f>
        <v/>
      </c>
      <c r="I517" s="27" t="str" cm="1">
        <f t="array" ref="I517">IF(
   A517="",
   "",
   _xlfn.LET(
      _xlpm.result,
      IFERROR(
         _xlfn.XLOOKUP(
            1,
            (Table8[رقم الصنف]=A517) *
            (IF($B$9="الكل",1, YEAR('ادخال البيانات'!$N$3:$N$1164)=VALUE($B$9))) *
            (IF($B$10="الكل",1, MONTH('ادخال البيانات'!$N$3:$N$1164)=VALUE($B$10))) *
            (IF($B$11="الكل",1, INT((DAY('ادخال البيانات'!$N$3:$N$1164)-1)/7)+1 = VALUE($B$11))),
            'ادخال البيانات'!$I$3:$I$1164
         ),
         ""
      ),
      IF(_xlpm.result="", "", _xlpm.result)
   )
)</f>
        <v/>
      </c>
      <c r="J517" s="27" t="str" cm="1">
        <f t="array" ref="J517">IF(
   A517="",
   "",
   _xlfn.LET(
      _xlpm.result,
      IFERROR(
         _xlfn.XLOOKUP(
            1,
            (Table8[رقم الصنف]=A517) *
            (IF($B$9="الكل",1, YEAR('ادخال البيانات'!$N$3:$N$1164)=VALUE($B$9))) *
            (IF($B$10="الكل",1, MONTH('ادخال البيانات'!$N$3:$N$1164)=VALUE($B$10))) *
            (IF($B$11="الكل",1, INT((DAY('ادخال البيانات'!$N$3:$N$1164)-1)/7)+1 = VALUE($B$11))),
            'ادخال البيانات'!$J$3:$J$1164
         ),
         ""
      ),
      IF(_xlpm.result="", "", _xlpm.result)
   )
)</f>
        <v/>
      </c>
      <c r="K517" s="27" t="str" cm="1">
        <f t="array" ref="K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7" s="27" t="str" cm="1">
        <f t="array" ref="L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7" s="27" t="str" cm="1">
        <f t="array" ref="M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7" s="28" t="str" cm="1">
        <f t="array" ref="N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7" s="28" t="str" cm="1">
        <f t="array" ref="O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7" s="27" t="str" cm="1">
        <f t="array" ref="P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Table8[جهة العطل]
         ),
         ""
      ),
      IF(_xlpm.result="", "", _xlpm.result)
   )
)</f>
        <v/>
      </c>
      <c r="Q517" s="27" t="str" cm="1">
        <f t="array" ref="Q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Table8[المركز]
         ),
         ""
      ),
      IF(_xlpm.result="", "", _xlpm.result)
   )
)</f>
        <v/>
      </c>
      <c r="R517" s="27" t="str" cm="1">
        <f t="array" ref="R517">IF(
   A517="",
   "",
   _xlfn.LET(
      _xlpm.result,
      IFERROR(
         _xlfn.XLOOKUP(
            1,
            (Table8[رقم الصنف]=A517) *
            (IF($B$9="الكل",1, YEAR('ادخال البيانات'!$N$3:$N$1164) = VALUE($B$9))) *
            (IF($B$10="الكل",1, MONTH('ادخال البيانات'!$N$3:$N$1164) = VALUE($B$10))) *
            (IF($B$11="الكل",1, INT((DAY('ادخال البيانات'!$N$3:$N$1164) - 1) / 7) + 1 = VALUE($B$11))),
            Table8[ملاحظة]
         ),
         ""
      ),
      IF(_xlpm.result="", "", _xlpm.result)
   )
)</f>
        <v/>
      </c>
      <c r="S517" s="27" t="str">
        <f t="shared" ca="1" si="7"/>
        <v/>
      </c>
    </row>
    <row r="518" spans="1:19" ht="27.75" customHeight="1" thickTop="1" thickBot="1" x14ac:dyDescent="0.35">
      <c r="A518" s="39"/>
      <c r="B518" s="50" t="str" cm="1">
        <f t="array" ref="B518">IF(
   OR(A518="", $B$9="", $B$10="", $B$11=""),
   "",
   _xlfn.LET(
      _xlpm.result,
      IFERROR(
         _xlfn.XLOOKUP(
            1,
            (Table8[رقم الصنف]=A518)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8" s="27" t="str" cm="1">
        <f t="array" ref="C518">IF(
   A518="",
   "",
   _xlfn.LET(
      _xlpm.result,
      IFERROR(
         _xlfn.XLOOKUP(
            1,
            (Table8[رقم الصنف]=A518) *
            (IF($B$9="الكل",1, YEAR('ادخال البيانات'!$N$3:$N$1164) = VALUE($B$9))) *
            (IF($B$10="الكل",1, MONTH('ادخال البيانات'!$N$3:$N$1164) = VALUE($B$10))) *
            (IF($B$11="الكل",1, INT((DAY('ادخال البيانات'!$N$3:$N$1164)-1)/7)+1 = VALUE($B$11))),
            'ادخال البيانات'!$C$3:$C$1164
         ),
         ""
      ),
      IF(_xlpm.result="", "", _xlpm.result)
   )
)</f>
        <v/>
      </c>
      <c r="D518" s="27" t="str" cm="1">
        <f t="array" ref="D518">IF(
   OR(A518="", $B$9="", $B$10="", $B$11=""),
   "",
   _xlfn.LET(
      _xlpm.result,
      IFERROR(
         _xlfn.XLOOKUP(
            1,
            (Table8[رقم الصنف]=A518) *
            (IF($B$9="الكل",1, YEAR('ادخال البيانات'!$N$3:$N$1164)=VALUE($B$9))) *
            (IF($B$10="الكل",1, MONTH('ادخال البيانات'!$N$3:$N$1164)=VALUE($B$10))) *
            (IF($B$11="الكل",1, INT((DAY('ادخال البيانات'!$N$3:$N$1164)-1)/7)+1 = VALUE($B$11))),
            'ادخال البيانات'!$D$3:$D$1164
         ),
         ""
      ),
      IF(_xlpm.result="", "", _xlpm.result)
   )
)</f>
        <v/>
      </c>
      <c r="E518" s="27" t="str" cm="1">
        <f t="array" ref="E518">IF(
   A518="",
   "",
   _xlfn.LET(
      _xlpm.result,
      IFERROR(
         _xlfn.XLOOKUP(
            1,
            (Table8[رقم الصنف]=A518) *
            (IF($B$9="الكل",1, YEAR('ادخال البيانات'!$N$3:$N$1164)=VALUE($B$9))) *
            (IF($B$10="الكل",1, MONTH('ادخال البيانات'!$N$3:$N$1164)=VALUE($B$10))) *
            (IF($B$11="الكل",1, INT((DAY('ادخال البيانات'!$N$3:$N$1164)-1)/7)+1 = VALUE($B$11))),
            'ادخال البيانات'!$E$3:$E$1164
         ),
         ""
      ),
      IF(_xlpm.result="", "", _xlpm.result)
   )
)</f>
        <v/>
      </c>
      <c r="F518" s="27" t="str" cm="1">
        <f t="array" ref="F518">IF(
   A518="",
   "",
   _xlfn.LET(
      _xlpm.result,
      IFERROR(
         _xlfn.XLOOKUP(
            1,
            (Table8[رقم الصنف]=A518) *
            (IF($B$9="الكل",1, YEAR('ادخال البيانات'!$N$3:$N$1164) = VALUE($B$9))) *
            (IF($B$10="الكل",1, MONTH('ادخال البيانات'!$N$3:$N$1164) = VALUE($B$10))) *
            (IF($B$11="الكل",1, INT((DAY('ادخال البيانات'!$N$3:$N$1164)-1)/7)+1 = VALUE($B$11))),
            'ادخال البيانات'!$F$3:$F$1164
         ),
         ""
      ),
      IF(_xlpm.result="", "", _xlpm.result)
   )
)</f>
        <v/>
      </c>
      <c r="G518" s="27" t="str" cm="1">
        <f t="array" ref="G518">IF(
   A518="",
   "",
   _xlfn.LET(
      _xlpm.result,
      IFERROR(
         _xlfn.XLOOKUP(
            1,
            (Table8[رقم الصنف]=A518) *
            (IF($B$9="الكل",1, YEAR('ادخال البيانات'!$N$3:$N$1164)=VALUE($B$9))) *
            (IF($B$10="الكل",1, MONTH('ادخال البيانات'!$N$3:$N$1164)=VALUE($B$10))) *
            (IF($B$11="الكل",1, INT((DAY('ادخال البيانات'!$N$3:$N$1164)-1)/7)+1 = VALUE($B$11))),
            'ادخال البيانات'!$G$3:$G$1164
         ),
         ""
      ),
      IF(_xlpm.result="", "", _xlpm.result)
   )
)</f>
        <v/>
      </c>
      <c r="H518" s="27" t="str" cm="1">
        <f t="array" ref="H518">IF(
   A518="",
   "",
   _xlfn.LET(
      _xlpm.result,
      IFERROR(
         _xlfn.XLOOKUP(
            1,
            (Table8[رقم الصنف]=A518) *
            (IF($B$9="الكل",1, YEAR('ادخال البيانات'!$N$3:$N$1164)=VALUE($B$9))) *
            (IF($B$10="الكل",1, MONTH('ادخال البيانات'!$N$3:$N$1164)=VALUE($B$10))) *
            (IF($B$11="الكل",1, INT((DAY('ادخال البيانات'!$N$3:$N$1164)-1)/7)+1 = VALUE($B$11))),
            'ادخال البيانات'!$H$3:$H$1164
         ),
         ""
      ),
      IF(_xlpm.result="", "", _xlpm.result)
   )
)</f>
        <v/>
      </c>
      <c r="I518" s="27" t="str" cm="1">
        <f t="array" ref="I518">IF(
   A518="",
   "",
   _xlfn.LET(
      _xlpm.result,
      IFERROR(
         _xlfn.XLOOKUP(
            1,
            (Table8[رقم الصنف]=A518) *
            (IF($B$9="الكل",1, YEAR('ادخال البيانات'!$N$3:$N$1164)=VALUE($B$9))) *
            (IF($B$10="الكل",1, MONTH('ادخال البيانات'!$N$3:$N$1164)=VALUE($B$10))) *
            (IF($B$11="الكل",1, INT((DAY('ادخال البيانات'!$N$3:$N$1164)-1)/7)+1 = VALUE($B$11))),
            'ادخال البيانات'!$I$3:$I$1164
         ),
         ""
      ),
      IF(_xlpm.result="", "", _xlpm.result)
   )
)</f>
        <v/>
      </c>
      <c r="J518" s="27" t="str" cm="1">
        <f t="array" ref="J518">IF(
   A518="",
   "",
   _xlfn.LET(
      _xlpm.result,
      IFERROR(
         _xlfn.XLOOKUP(
            1,
            (Table8[رقم الصنف]=A518) *
            (IF($B$9="الكل",1, YEAR('ادخال البيانات'!$N$3:$N$1164)=VALUE($B$9))) *
            (IF($B$10="الكل",1, MONTH('ادخال البيانات'!$N$3:$N$1164)=VALUE($B$10))) *
            (IF($B$11="الكل",1, INT((DAY('ادخال البيانات'!$N$3:$N$1164)-1)/7)+1 = VALUE($B$11))),
            'ادخال البيانات'!$J$3:$J$1164
         ),
         ""
      ),
      IF(_xlpm.result="", "", _xlpm.result)
   )
)</f>
        <v/>
      </c>
      <c r="K518" s="27" t="str" cm="1">
        <f t="array" ref="K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8" s="27" t="str" cm="1">
        <f t="array" ref="L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8" s="27" t="str" cm="1">
        <f t="array" ref="M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8" s="28" t="str" cm="1">
        <f t="array" ref="N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8" s="28" t="str" cm="1">
        <f t="array" ref="O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8" s="27" t="str" cm="1">
        <f t="array" ref="P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Table8[جهة العطل]
         ),
         ""
      ),
      IF(_xlpm.result="", "", _xlpm.result)
   )
)</f>
        <v/>
      </c>
      <c r="Q518" s="27" t="str" cm="1">
        <f t="array" ref="Q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Table8[المركز]
         ),
         ""
      ),
      IF(_xlpm.result="", "", _xlpm.result)
   )
)</f>
        <v/>
      </c>
      <c r="R518" s="27" t="str" cm="1">
        <f t="array" ref="R518">IF(
   A518="",
   "",
   _xlfn.LET(
      _xlpm.result,
      IFERROR(
         _xlfn.XLOOKUP(
            1,
            (Table8[رقم الصنف]=A518) *
            (IF($B$9="الكل",1, YEAR('ادخال البيانات'!$N$3:$N$1164) = VALUE($B$9))) *
            (IF($B$10="الكل",1, MONTH('ادخال البيانات'!$N$3:$N$1164) = VALUE($B$10))) *
            (IF($B$11="الكل",1, INT((DAY('ادخال البيانات'!$N$3:$N$1164) - 1) / 7) + 1 = VALUE($B$11))),
            Table8[ملاحظة]
         ),
         ""
      ),
      IF(_xlpm.result="", "", _xlpm.result)
   )
)</f>
        <v/>
      </c>
      <c r="S518" s="27" t="str">
        <f t="shared" ca="1" si="7"/>
        <v/>
      </c>
    </row>
    <row r="519" spans="1:19" ht="27.75" customHeight="1" thickTop="1" thickBot="1" x14ac:dyDescent="0.35">
      <c r="A519" s="39"/>
      <c r="B519" s="50" t="str" cm="1">
        <f t="array" ref="B519">IF(
   OR(A519="", $B$9="", $B$10="", $B$11=""),
   "",
   _xlfn.LET(
      _xlpm.result,
      IFERROR(
         _xlfn.XLOOKUP(
            1,
            (Table8[رقم الصنف]=A519)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19" s="27" t="str" cm="1">
        <f t="array" ref="C519">IF(
   A519="",
   "",
   _xlfn.LET(
      _xlpm.result,
      IFERROR(
         _xlfn.XLOOKUP(
            1,
            (Table8[رقم الصنف]=A519) *
            (IF($B$9="الكل",1, YEAR('ادخال البيانات'!$N$3:$N$1164) = VALUE($B$9))) *
            (IF($B$10="الكل",1, MONTH('ادخال البيانات'!$N$3:$N$1164) = VALUE($B$10))) *
            (IF($B$11="الكل",1, INT((DAY('ادخال البيانات'!$N$3:$N$1164)-1)/7)+1 = VALUE($B$11))),
            'ادخال البيانات'!$C$3:$C$1164
         ),
         ""
      ),
      IF(_xlpm.result="", "", _xlpm.result)
   )
)</f>
        <v/>
      </c>
      <c r="D519" s="27" t="str" cm="1">
        <f t="array" ref="D519">IF(
   OR(A519="", $B$9="", $B$10="", $B$11=""),
   "",
   _xlfn.LET(
      _xlpm.result,
      IFERROR(
         _xlfn.XLOOKUP(
            1,
            (Table8[رقم الصنف]=A519) *
            (IF($B$9="الكل",1, YEAR('ادخال البيانات'!$N$3:$N$1164)=VALUE($B$9))) *
            (IF($B$10="الكل",1, MONTH('ادخال البيانات'!$N$3:$N$1164)=VALUE($B$10))) *
            (IF($B$11="الكل",1, INT((DAY('ادخال البيانات'!$N$3:$N$1164)-1)/7)+1 = VALUE($B$11))),
            'ادخال البيانات'!$D$3:$D$1164
         ),
         ""
      ),
      IF(_xlpm.result="", "", _xlpm.result)
   )
)</f>
        <v/>
      </c>
      <c r="E519" s="27" t="str" cm="1">
        <f t="array" ref="E519">IF(
   A519="",
   "",
   _xlfn.LET(
      _xlpm.result,
      IFERROR(
         _xlfn.XLOOKUP(
            1,
            (Table8[رقم الصنف]=A519) *
            (IF($B$9="الكل",1, YEAR('ادخال البيانات'!$N$3:$N$1164)=VALUE($B$9))) *
            (IF($B$10="الكل",1, MONTH('ادخال البيانات'!$N$3:$N$1164)=VALUE($B$10))) *
            (IF($B$11="الكل",1, INT((DAY('ادخال البيانات'!$N$3:$N$1164)-1)/7)+1 = VALUE($B$11))),
            'ادخال البيانات'!$E$3:$E$1164
         ),
         ""
      ),
      IF(_xlpm.result="", "", _xlpm.result)
   )
)</f>
        <v/>
      </c>
      <c r="F519" s="27" t="str" cm="1">
        <f t="array" ref="F519">IF(
   A519="",
   "",
   _xlfn.LET(
      _xlpm.result,
      IFERROR(
         _xlfn.XLOOKUP(
            1,
            (Table8[رقم الصنف]=A519) *
            (IF($B$9="الكل",1, YEAR('ادخال البيانات'!$N$3:$N$1164) = VALUE($B$9))) *
            (IF($B$10="الكل",1, MONTH('ادخال البيانات'!$N$3:$N$1164) = VALUE($B$10))) *
            (IF($B$11="الكل",1, INT((DAY('ادخال البيانات'!$N$3:$N$1164)-1)/7)+1 = VALUE($B$11))),
            'ادخال البيانات'!$F$3:$F$1164
         ),
         ""
      ),
      IF(_xlpm.result="", "", _xlpm.result)
   )
)</f>
        <v/>
      </c>
      <c r="G519" s="27" t="str" cm="1">
        <f t="array" ref="G519">IF(
   A519="",
   "",
   _xlfn.LET(
      _xlpm.result,
      IFERROR(
         _xlfn.XLOOKUP(
            1,
            (Table8[رقم الصنف]=A519) *
            (IF($B$9="الكل",1, YEAR('ادخال البيانات'!$N$3:$N$1164)=VALUE($B$9))) *
            (IF($B$10="الكل",1, MONTH('ادخال البيانات'!$N$3:$N$1164)=VALUE($B$10))) *
            (IF($B$11="الكل",1, INT((DAY('ادخال البيانات'!$N$3:$N$1164)-1)/7)+1 = VALUE($B$11))),
            'ادخال البيانات'!$G$3:$G$1164
         ),
         ""
      ),
      IF(_xlpm.result="", "", _xlpm.result)
   )
)</f>
        <v/>
      </c>
      <c r="H519" s="27" t="str" cm="1">
        <f t="array" ref="H519">IF(
   A519="",
   "",
   _xlfn.LET(
      _xlpm.result,
      IFERROR(
         _xlfn.XLOOKUP(
            1,
            (Table8[رقم الصنف]=A519) *
            (IF($B$9="الكل",1, YEAR('ادخال البيانات'!$N$3:$N$1164)=VALUE($B$9))) *
            (IF($B$10="الكل",1, MONTH('ادخال البيانات'!$N$3:$N$1164)=VALUE($B$10))) *
            (IF($B$11="الكل",1, INT((DAY('ادخال البيانات'!$N$3:$N$1164)-1)/7)+1 = VALUE($B$11))),
            'ادخال البيانات'!$H$3:$H$1164
         ),
         ""
      ),
      IF(_xlpm.result="", "", _xlpm.result)
   )
)</f>
        <v/>
      </c>
      <c r="I519" s="27" t="str" cm="1">
        <f t="array" ref="I519">IF(
   A519="",
   "",
   _xlfn.LET(
      _xlpm.result,
      IFERROR(
         _xlfn.XLOOKUP(
            1,
            (Table8[رقم الصنف]=A519) *
            (IF($B$9="الكل",1, YEAR('ادخال البيانات'!$N$3:$N$1164)=VALUE($B$9))) *
            (IF($B$10="الكل",1, MONTH('ادخال البيانات'!$N$3:$N$1164)=VALUE($B$10))) *
            (IF($B$11="الكل",1, INT((DAY('ادخال البيانات'!$N$3:$N$1164)-1)/7)+1 = VALUE($B$11))),
            'ادخال البيانات'!$I$3:$I$1164
         ),
         ""
      ),
      IF(_xlpm.result="", "", _xlpm.result)
   )
)</f>
        <v/>
      </c>
      <c r="J519" s="27" t="str" cm="1">
        <f t="array" ref="J519">IF(
   A519="",
   "",
   _xlfn.LET(
      _xlpm.result,
      IFERROR(
         _xlfn.XLOOKUP(
            1,
            (Table8[رقم الصنف]=A519) *
            (IF($B$9="الكل",1, YEAR('ادخال البيانات'!$N$3:$N$1164)=VALUE($B$9))) *
            (IF($B$10="الكل",1, MONTH('ادخال البيانات'!$N$3:$N$1164)=VALUE($B$10))) *
            (IF($B$11="الكل",1, INT((DAY('ادخال البيانات'!$N$3:$N$1164)-1)/7)+1 = VALUE($B$11))),
            'ادخال البيانات'!$J$3:$J$1164
         ),
         ""
      ),
      IF(_xlpm.result="", "", _xlpm.result)
   )
)</f>
        <v/>
      </c>
      <c r="K519" s="27" t="str" cm="1">
        <f t="array" ref="K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19" s="27" t="str" cm="1">
        <f t="array" ref="L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19" s="27" t="str" cm="1">
        <f t="array" ref="M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19" s="28" t="str" cm="1">
        <f t="array" ref="N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19" s="28" t="str" cm="1">
        <f t="array" ref="O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19" s="27" t="str" cm="1">
        <f t="array" ref="P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Table8[جهة العطل]
         ),
         ""
      ),
      IF(_xlpm.result="", "", _xlpm.result)
   )
)</f>
        <v/>
      </c>
      <c r="Q519" s="27" t="str" cm="1">
        <f t="array" ref="Q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Table8[المركز]
         ),
         ""
      ),
      IF(_xlpm.result="", "", _xlpm.result)
   )
)</f>
        <v/>
      </c>
      <c r="R519" s="27" t="str" cm="1">
        <f t="array" ref="R519">IF(
   A519="",
   "",
   _xlfn.LET(
      _xlpm.result,
      IFERROR(
         _xlfn.XLOOKUP(
            1,
            (Table8[رقم الصنف]=A519) *
            (IF($B$9="الكل",1, YEAR('ادخال البيانات'!$N$3:$N$1164) = VALUE($B$9))) *
            (IF($B$10="الكل",1, MONTH('ادخال البيانات'!$N$3:$N$1164) = VALUE($B$10))) *
            (IF($B$11="الكل",1, INT((DAY('ادخال البيانات'!$N$3:$N$1164) - 1) / 7) + 1 = VALUE($B$11))),
            Table8[ملاحظة]
         ),
         ""
      ),
      IF(_xlpm.result="", "", _xlpm.result)
   )
)</f>
        <v/>
      </c>
      <c r="S519" s="27" t="str">
        <f t="shared" ca="1" si="7"/>
        <v/>
      </c>
    </row>
    <row r="520" spans="1:19" ht="27.75" customHeight="1" thickTop="1" thickBot="1" x14ac:dyDescent="0.35">
      <c r="A520" s="39"/>
      <c r="B520" s="50" t="str" cm="1">
        <f t="array" ref="B520">IF(
   OR(A520="", $B$9="", $B$10="", $B$11=""),
   "",
   _xlfn.LET(
      _xlpm.result,
      IFERROR(
         _xlfn.XLOOKUP(
            1,
            (Table8[رقم الصنف]=A520)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0" s="27" t="str" cm="1">
        <f t="array" ref="C520">IF(
   A520="",
   "",
   _xlfn.LET(
      _xlpm.result,
      IFERROR(
         _xlfn.XLOOKUP(
            1,
            (Table8[رقم الصنف]=A520) *
            (IF($B$9="الكل",1, YEAR('ادخال البيانات'!$N$3:$N$1164) = VALUE($B$9))) *
            (IF($B$10="الكل",1, MONTH('ادخال البيانات'!$N$3:$N$1164) = VALUE($B$10))) *
            (IF($B$11="الكل",1, INT((DAY('ادخال البيانات'!$N$3:$N$1164)-1)/7)+1 = VALUE($B$11))),
            'ادخال البيانات'!$C$3:$C$1164
         ),
         ""
      ),
      IF(_xlpm.result="", "", _xlpm.result)
   )
)</f>
        <v/>
      </c>
      <c r="D520" s="27" t="str" cm="1">
        <f t="array" ref="D520">IF(
   OR(A520="", $B$9="", $B$10="", $B$11=""),
   "",
   _xlfn.LET(
      _xlpm.result,
      IFERROR(
         _xlfn.XLOOKUP(
            1,
            (Table8[رقم الصنف]=A520) *
            (IF($B$9="الكل",1, YEAR('ادخال البيانات'!$N$3:$N$1164)=VALUE($B$9))) *
            (IF($B$10="الكل",1, MONTH('ادخال البيانات'!$N$3:$N$1164)=VALUE($B$10))) *
            (IF($B$11="الكل",1, INT((DAY('ادخال البيانات'!$N$3:$N$1164)-1)/7)+1 = VALUE($B$11))),
            'ادخال البيانات'!$D$3:$D$1164
         ),
         ""
      ),
      IF(_xlpm.result="", "", _xlpm.result)
   )
)</f>
        <v/>
      </c>
      <c r="E520" s="27" t="str" cm="1">
        <f t="array" ref="E520">IF(
   A520="",
   "",
   _xlfn.LET(
      _xlpm.result,
      IFERROR(
         _xlfn.XLOOKUP(
            1,
            (Table8[رقم الصنف]=A520) *
            (IF($B$9="الكل",1, YEAR('ادخال البيانات'!$N$3:$N$1164)=VALUE($B$9))) *
            (IF($B$10="الكل",1, MONTH('ادخال البيانات'!$N$3:$N$1164)=VALUE($B$10))) *
            (IF($B$11="الكل",1, INT((DAY('ادخال البيانات'!$N$3:$N$1164)-1)/7)+1 = VALUE($B$11))),
            'ادخال البيانات'!$E$3:$E$1164
         ),
         ""
      ),
      IF(_xlpm.result="", "", _xlpm.result)
   )
)</f>
        <v/>
      </c>
      <c r="F520" s="27" t="str" cm="1">
        <f t="array" ref="F520">IF(
   A520="",
   "",
   _xlfn.LET(
      _xlpm.result,
      IFERROR(
         _xlfn.XLOOKUP(
            1,
            (Table8[رقم الصنف]=A520) *
            (IF($B$9="الكل",1, YEAR('ادخال البيانات'!$N$3:$N$1164) = VALUE($B$9))) *
            (IF($B$10="الكل",1, MONTH('ادخال البيانات'!$N$3:$N$1164) = VALUE($B$10))) *
            (IF($B$11="الكل",1, INT((DAY('ادخال البيانات'!$N$3:$N$1164)-1)/7)+1 = VALUE($B$11))),
            'ادخال البيانات'!$F$3:$F$1164
         ),
         ""
      ),
      IF(_xlpm.result="", "", _xlpm.result)
   )
)</f>
        <v/>
      </c>
      <c r="G520" s="27" t="str" cm="1">
        <f t="array" ref="G520">IF(
   A520="",
   "",
   _xlfn.LET(
      _xlpm.result,
      IFERROR(
         _xlfn.XLOOKUP(
            1,
            (Table8[رقم الصنف]=A520) *
            (IF($B$9="الكل",1, YEAR('ادخال البيانات'!$N$3:$N$1164)=VALUE($B$9))) *
            (IF($B$10="الكل",1, MONTH('ادخال البيانات'!$N$3:$N$1164)=VALUE($B$10))) *
            (IF($B$11="الكل",1, INT((DAY('ادخال البيانات'!$N$3:$N$1164)-1)/7)+1 = VALUE($B$11))),
            'ادخال البيانات'!$G$3:$G$1164
         ),
         ""
      ),
      IF(_xlpm.result="", "", _xlpm.result)
   )
)</f>
        <v/>
      </c>
      <c r="H520" s="27" t="str" cm="1">
        <f t="array" ref="H520">IF(
   A520="",
   "",
   _xlfn.LET(
      _xlpm.result,
      IFERROR(
         _xlfn.XLOOKUP(
            1,
            (Table8[رقم الصنف]=A520) *
            (IF($B$9="الكل",1, YEAR('ادخال البيانات'!$N$3:$N$1164)=VALUE($B$9))) *
            (IF($B$10="الكل",1, MONTH('ادخال البيانات'!$N$3:$N$1164)=VALUE($B$10))) *
            (IF($B$11="الكل",1, INT((DAY('ادخال البيانات'!$N$3:$N$1164)-1)/7)+1 = VALUE($B$11))),
            'ادخال البيانات'!$H$3:$H$1164
         ),
         ""
      ),
      IF(_xlpm.result="", "", _xlpm.result)
   )
)</f>
        <v/>
      </c>
      <c r="I520" s="27" t="str" cm="1">
        <f t="array" ref="I520">IF(
   A520="",
   "",
   _xlfn.LET(
      _xlpm.result,
      IFERROR(
         _xlfn.XLOOKUP(
            1,
            (Table8[رقم الصنف]=A520) *
            (IF($B$9="الكل",1, YEAR('ادخال البيانات'!$N$3:$N$1164)=VALUE($B$9))) *
            (IF($B$10="الكل",1, MONTH('ادخال البيانات'!$N$3:$N$1164)=VALUE($B$10))) *
            (IF($B$11="الكل",1, INT((DAY('ادخال البيانات'!$N$3:$N$1164)-1)/7)+1 = VALUE($B$11))),
            'ادخال البيانات'!$I$3:$I$1164
         ),
         ""
      ),
      IF(_xlpm.result="", "", _xlpm.result)
   )
)</f>
        <v/>
      </c>
      <c r="J520" s="27" t="str" cm="1">
        <f t="array" ref="J520">IF(
   A520="",
   "",
   _xlfn.LET(
      _xlpm.result,
      IFERROR(
         _xlfn.XLOOKUP(
            1,
            (Table8[رقم الصنف]=A520) *
            (IF($B$9="الكل",1, YEAR('ادخال البيانات'!$N$3:$N$1164)=VALUE($B$9))) *
            (IF($B$10="الكل",1, MONTH('ادخال البيانات'!$N$3:$N$1164)=VALUE($B$10))) *
            (IF($B$11="الكل",1, INT((DAY('ادخال البيانات'!$N$3:$N$1164)-1)/7)+1 = VALUE($B$11))),
            'ادخال البيانات'!$J$3:$J$1164
         ),
         ""
      ),
      IF(_xlpm.result="", "", _xlpm.result)
   )
)</f>
        <v/>
      </c>
      <c r="K520" s="27" t="str" cm="1">
        <f t="array" ref="K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0" s="27" t="str" cm="1">
        <f t="array" ref="L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0" s="27" t="str" cm="1">
        <f t="array" ref="M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0" s="28" t="str" cm="1">
        <f t="array" ref="N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0" s="28" t="str" cm="1">
        <f t="array" ref="O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0" s="27" t="str" cm="1">
        <f t="array" ref="P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Table8[جهة العطل]
         ),
         ""
      ),
      IF(_xlpm.result="", "", _xlpm.result)
   )
)</f>
        <v/>
      </c>
      <c r="Q520" s="27" t="str" cm="1">
        <f t="array" ref="Q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Table8[المركز]
         ),
         ""
      ),
      IF(_xlpm.result="", "", _xlpm.result)
   )
)</f>
        <v/>
      </c>
      <c r="R520" s="27" t="str" cm="1">
        <f t="array" ref="R520">IF(
   A520="",
   "",
   _xlfn.LET(
      _xlpm.result,
      IFERROR(
         _xlfn.XLOOKUP(
            1,
            (Table8[رقم الصنف]=A520) *
            (IF($B$9="الكل",1, YEAR('ادخال البيانات'!$N$3:$N$1164) = VALUE($B$9))) *
            (IF($B$10="الكل",1, MONTH('ادخال البيانات'!$N$3:$N$1164) = VALUE($B$10))) *
            (IF($B$11="الكل",1, INT((DAY('ادخال البيانات'!$N$3:$N$1164) - 1) / 7) + 1 = VALUE($B$11))),
            Table8[ملاحظة]
         ),
         ""
      ),
      IF(_xlpm.result="", "", _xlpm.result)
   )
)</f>
        <v/>
      </c>
      <c r="S520" s="27" t="str">
        <f t="shared" ca="1" si="7"/>
        <v/>
      </c>
    </row>
    <row r="521" spans="1:19" ht="27.75" customHeight="1" thickTop="1" thickBot="1" x14ac:dyDescent="0.35">
      <c r="A521" s="39"/>
      <c r="B521" s="50" t="str" cm="1">
        <f t="array" ref="B521">IF(
   OR(A521="", $B$9="", $B$10="", $B$11=""),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1" s="27" t="str" cm="1">
        <f t="array" ref="C521">IF(
   A521="",
   "",
   _xlfn.LET(
      _xlpm.result,
      IFERROR(
         _xlfn.XLOOKUP(
            1,
            (Table8[رقم الصنف]=A521) *
            (IF($B$9="الكل",1, YEAR('ادخال البيانات'!$N$3:$N$1164) = VALUE($B$9))) *
            (IF($B$10="الكل",1, MONTH('ادخال البيانات'!$N$3:$N$1164) = VALUE($B$10))) *
            (IF($B$11="الكل",1, INT((DAY('ادخال البيانات'!$N$3:$N$1164)-1)/7)+1 = VALUE($B$11))),
            'ادخال البيانات'!$C$3:$C$1164
         ),
         ""
      ),
      IF(_xlpm.result="", "", _xlpm.result)
   )
)</f>
        <v/>
      </c>
      <c r="D521" s="27" t="str" cm="1">
        <f t="array" ref="D521">IF(
   OR(A521="", $B$9="", $B$10="", $B$11=""),
   "",
   _xlfn.LET(
      _xlpm.result,
      IFERROR(
         _xlfn.XLOOKUP(
            1,
            (Table8[رقم الصنف]=A521) *
            (IF($B$9="الكل",1, YEAR('ادخال البيانات'!$N$3:$N$1164)=VALUE($B$9))) *
            (IF($B$10="الكل",1, MONTH('ادخال البيانات'!$N$3:$N$1164)=VALUE($B$10))) *
            (IF($B$11="الكل",1, INT((DAY('ادخال البيانات'!$N$3:$N$1164)-1)/7)+1 = VALUE($B$11))),
            'ادخال البيانات'!$D$3:$D$1164
         ),
         ""
      ),
      IF(_xlpm.result="", "", _xlpm.result)
   )
)</f>
        <v/>
      </c>
      <c r="E521" s="27" t="str" cm="1">
        <f t="array" ref="E521">IF(
   A521="",
   "",
   _xlfn.LET(
      _xlpm.result,
      IFERROR(
         _xlfn.XLOOKUP(
            1,
            (Table8[رقم الصنف]=A521) *
            (IF($B$9="الكل",1, YEAR('ادخال البيانات'!$N$3:$N$1164)=VALUE($B$9))) *
            (IF($B$10="الكل",1, MONTH('ادخال البيانات'!$N$3:$N$1164)=VALUE($B$10))) *
            (IF($B$11="الكل",1, INT((DAY('ادخال البيانات'!$N$3:$N$1164)-1)/7)+1 = VALUE($B$11))),
            'ادخال البيانات'!$E$3:$E$1164
         ),
         ""
      ),
      IF(_xlpm.result="", "", _xlpm.result)
   )
)</f>
        <v/>
      </c>
      <c r="F521" s="27" t="str" cm="1">
        <f t="array" ref="F521">IF(
   A521="",
   "",
   _xlfn.LET(
      _xlpm.result,
      IFERROR(
         _xlfn.XLOOKUP(
            1,
            (Table8[رقم الصنف]=A521) *
            (IF($B$9="الكل",1, YEAR('ادخال البيانات'!$N$3:$N$1164) = VALUE($B$9))) *
            (IF($B$10="الكل",1, MONTH('ادخال البيانات'!$N$3:$N$1164) = VALUE($B$10))) *
            (IF($B$11="الكل",1, INT((DAY('ادخال البيانات'!$N$3:$N$1164)-1)/7)+1 = VALUE($B$11))),
            'ادخال البيانات'!$F$3:$F$1164
         ),
         ""
      ),
      IF(_xlpm.result="", "", _xlpm.result)
   )
)</f>
        <v/>
      </c>
      <c r="G521" s="27" t="str" cm="1">
        <f t="array" ref="G521">IF(
   A521="",
   "",
   _xlfn.LET(
      _xlpm.result,
      IFERROR(
         _xlfn.XLOOKUP(
            1,
            (Table8[رقم الصنف]=A521) *
            (IF($B$9="الكل",1, YEAR('ادخال البيانات'!$N$3:$N$1164)=VALUE($B$9))) *
            (IF($B$10="الكل",1, MONTH('ادخال البيانات'!$N$3:$N$1164)=VALUE($B$10))) *
            (IF($B$11="الكل",1, INT((DAY('ادخال البيانات'!$N$3:$N$1164)-1)/7)+1 = VALUE($B$11))),
            'ادخال البيانات'!$G$3:$G$1164
         ),
         ""
      ),
      IF(_xlpm.result="", "", _xlpm.result)
   )
)</f>
        <v/>
      </c>
      <c r="H521" s="27" t="str" cm="1">
        <f t="array" ref="H521">IF(
   A521="",
   "",
   _xlfn.LET(
      _xlpm.result,
      IFERROR(
         _xlfn.XLOOKUP(
            1,
            (Table8[رقم الصنف]=A521) *
            (IF($B$9="الكل",1, YEAR('ادخال البيانات'!$N$3:$N$1164)=VALUE($B$9))) *
            (IF($B$10="الكل",1, MONTH('ادخال البيانات'!$N$3:$N$1164)=VALUE($B$10))) *
            (IF($B$11="الكل",1, INT((DAY('ادخال البيانات'!$N$3:$N$1164)-1)/7)+1 = VALUE($B$11))),
            'ادخال البيانات'!$H$3:$H$1164
         ),
         ""
      ),
      IF(_xlpm.result="", "", _xlpm.result)
   )
)</f>
        <v/>
      </c>
      <c r="I521" s="27" t="str" cm="1">
        <f t="array" ref="I521">IF(
   A521="",
   "",
   _xlfn.LET(
      _xlpm.result,
      IFERROR(
         _xlfn.XLOOKUP(
            1,
            (Table8[رقم الصنف]=A521) *
            (IF($B$9="الكل",1, YEAR('ادخال البيانات'!$N$3:$N$1164)=VALUE($B$9))) *
            (IF($B$10="الكل",1, MONTH('ادخال البيانات'!$N$3:$N$1164)=VALUE($B$10))) *
            (IF($B$11="الكل",1, INT((DAY('ادخال البيانات'!$N$3:$N$1164)-1)/7)+1 = VALUE($B$11))),
            'ادخال البيانات'!$I$3:$I$1164
         ),
         ""
      ),
      IF(_xlpm.result="", "", _xlpm.result)
   )
)</f>
        <v/>
      </c>
      <c r="J521" s="27" t="str" cm="1">
        <f t="array" ref="J521">IF(
   A521="",
   "",
   _xlfn.LET(
      _xlpm.result,
      IFERROR(
         _xlfn.XLOOKUP(
            1,
            (Table8[رقم الصنف]=A521) *
            (IF($B$9="الكل",1, YEAR('ادخال البيانات'!$N$3:$N$1164)=VALUE($B$9))) *
            (IF($B$10="الكل",1, MONTH('ادخال البيانات'!$N$3:$N$1164)=VALUE($B$10))) *
            (IF($B$11="الكل",1, INT((DAY('ادخال البيانات'!$N$3:$N$1164)-1)/7)+1 = VALUE($B$11))),
            'ادخال البيانات'!$J$3:$J$1164
         ),
         ""
      ),
      IF(_xlpm.result="", "", _xlpm.result)
   )
)</f>
        <v/>
      </c>
      <c r="K521" s="27" t="str" cm="1">
        <f t="array" ref="K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1" s="27" t="str" cm="1">
        <f t="array" ref="L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1" s="27" t="str" cm="1">
        <f t="array" ref="M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1" s="28" t="str" cm="1">
        <f t="array" ref="N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1" s="28" t="str" cm="1">
        <f t="array" ref="O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1" s="27" t="str" cm="1">
        <f t="array" ref="P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Table8[جهة العطل]
         ),
         ""
      ),
      IF(_xlpm.result="", "", _xlpm.result)
   )
)</f>
        <v/>
      </c>
      <c r="Q521" s="27" t="str" cm="1">
        <f t="array" ref="Q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Table8[المركز]
         ),
         ""
      ),
      IF(_xlpm.result="", "", _xlpm.result)
   )
)</f>
        <v/>
      </c>
      <c r="R521" s="27" t="str" cm="1">
        <f t="array" ref="R521">IF(
   A521="",
   "",
   _xlfn.LET(
      _xlpm.result,
      IFERROR(
         _xlfn.XLOOKUP(
            1,
            (Table8[رقم الصنف]=A521) *
            (IF($B$9="الكل",1, YEAR('ادخال البيانات'!$N$3:$N$1164) = VALUE($B$9))) *
            (IF($B$10="الكل",1, MONTH('ادخال البيانات'!$N$3:$N$1164) = VALUE($B$10))) *
            (IF($B$11="الكل",1, INT((DAY('ادخال البيانات'!$N$3:$N$1164) - 1) / 7) + 1 = VALUE($B$11))),
            Table8[ملاحظة]
         ),
         ""
      ),
      IF(_xlpm.result="", "", _xlpm.result)
   )
)</f>
        <v/>
      </c>
      <c r="S521" s="27" t="str">
        <f t="shared" ca="1" si="7"/>
        <v/>
      </c>
    </row>
    <row r="522" spans="1:19" ht="27.75" customHeight="1" thickTop="1" thickBot="1" x14ac:dyDescent="0.35">
      <c r="A522" s="39"/>
      <c r="B522" s="50" t="str" cm="1">
        <f t="array" ref="B522">IF(
   OR(A522="", $B$9="", $B$10="", $B$11=""),
   "",
   _xlfn.LET(
      _xlpm.result,
      IFERROR(
         _xlfn.XLOOKUP(
            1,
            (Table8[رقم الصنف]=A522)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2" s="27" t="str" cm="1">
        <f t="array" ref="C522">IF(
   A522="",
   "",
   _xlfn.LET(
      _xlpm.result,
      IFERROR(
         _xlfn.XLOOKUP(
            1,
            (Table8[رقم الصنف]=A522) *
            (IF($B$9="الكل",1, YEAR('ادخال البيانات'!$N$3:$N$1164) = VALUE($B$9))) *
            (IF($B$10="الكل",1, MONTH('ادخال البيانات'!$N$3:$N$1164) = VALUE($B$10))) *
            (IF($B$11="الكل",1, INT((DAY('ادخال البيانات'!$N$3:$N$1164)-1)/7)+1 = VALUE($B$11))),
            'ادخال البيانات'!$C$3:$C$1164
         ),
         ""
      ),
      IF(_xlpm.result="", "", _xlpm.result)
   )
)</f>
        <v/>
      </c>
      <c r="D522" s="27" t="str" cm="1">
        <f t="array" ref="D522">IF(
   OR(A522="", $B$9="", $B$10="", $B$11=""),
   "",
   _xlfn.LET(
      _xlpm.result,
      IFERROR(
         _xlfn.XLOOKUP(
            1,
            (Table8[رقم الصنف]=A522) *
            (IF($B$9="الكل",1, YEAR('ادخال البيانات'!$N$3:$N$1164)=VALUE($B$9))) *
            (IF($B$10="الكل",1, MONTH('ادخال البيانات'!$N$3:$N$1164)=VALUE($B$10))) *
            (IF($B$11="الكل",1, INT((DAY('ادخال البيانات'!$N$3:$N$1164)-1)/7)+1 = VALUE($B$11))),
            'ادخال البيانات'!$D$3:$D$1164
         ),
         ""
      ),
      IF(_xlpm.result="", "", _xlpm.result)
   )
)</f>
        <v/>
      </c>
      <c r="E522" s="27" t="str" cm="1">
        <f t="array" ref="E522">IF(
   A522="",
   "",
   _xlfn.LET(
      _xlpm.result,
      IFERROR(
         _xlfn.XLOOKUP(
            1,
            (Table8[رقم الصنف]=A522) *
            (IF($B$9="الكل",1, YEAR('ادخال البيانات'!$N$3:$N$1164)=VALUE($B$9))) *
            (IF($B$10="الكل",1, MONTH('ادخال البيانات'!$N$3:$N$1164)=VALUE($B$10))) *
            (IF($B$11="الكل",1, INT((DAY('ادخال البيانات'!$N$3:$N$1164)-1)/7)+1 = VALUE($B$11))),
            'ادخال البيانات'!$E$3:$E$1164
         ),
         ""
      ),
      IF(_xlpm.result="", "", _xlpm.result)
   )
)</f>
        <v/>
      </c>
      <c r="F522" s="27" t="str" cm="1">
        <f t="array" ref="F522">IF(
   A522="",
   "",
   _xlfn.LET(
      _xlpm.result,
      IFERROR(
         _xlfn.XLOOKUP(
            1,
            (Table8[رقم الصنف]=A522) *
            (IF($B$9="الكل",1, YEAR('ادخال البيانات'!$N$3:$N$1164) = VALUE($B$9))) *
            (IF($B$10="الكل",1, MONTH('ادخال البيانات'!$N$3:$N$1164) = VALUE($B$10))) *
            (IF($B$11="الكل",1, INT((DAY('ادخال البيانات'!$N$3:$N$1164)-1)/7)+1 = VALUE($B$11))),
            'ادخال البيانات'!$F$3:$F$1164
         ),
         ""
      ),
      IF(_xlpm.result="", "", _xlpm.result)
   )
)</f>
        <v/>
      </c>
      <c r="G522" s="27" t="str" cm="1">
        <f t="array" ref="G522">IF(
   A522="",
   "",
   _xlfn.LET(
      _xlpm.result,
      IFERROR(
         _xlfn.XLOOKUP(
            1,
            (Table8[رقم الصنف]=A522) *
            (IF($B$9="الكل",1, YEAR('ادخال البيانات'!$N$3:$N$1164)=VALUE($B$9))) *
            (IF($B$10="الكل",1, MONTH('ادخال البيانات'!$N$3:$N$1164)=VALUE($B$10))) *
            (IF($B$11="الكل",1, INT((DAY('ادخال البيانات'!$N$3:$N$1164)-1)/7)+1 = VALUE($B$11))),
            'ادخال البيانات'!$G$3:$G$1164
         ),
         ""
      ),
      IF(_xlpm.result="", "", _xlpm.result)
   )
)</f>
        <v/>
      </c>
      <c r="H522" s="27" t="str" cm="1">
        <f t="array" ref="H522">IF(
   A522="",
   "",
   _xlfn.LET(
      _xlpm.result,
      IFERROR(
         _xlfn.XLOOKUP(
            1,
            (Table8[رقم الصنف]=A522) *
            (IF($B$9="الكل",1, YEAR('ادخال البيانات'!$N$3:$N$1164)=VALUE($B$9))) *
            (IF($B$10="الكل",1, MONTH('ادخال البيانات'!$N$3:$N$1164)=VALUE($B$10))) *
            (IF($B$11="الكل",1, INT((DAY('ادخال البيانات'!$N$3:$N$1164)-1)/7)+1 = VALUE($B$11))),
            'ادخال البيانات'!$H$3:$H$1164
         ),
         ""
      ),
      IF(_xlpm.result="", "", _xlpm.result)
   )
)</f>
        <v/>
      </c>
      <c r="I522" s="27" t="str" cm="1">
        <f t="array" ref="I522">IF(
   A522="",
   "",
   _xlfn.LET(
      _xlpm.result,
      IFERROR(
         _xlfn.XLOOKUP(
            1,
            (Table8[رقم الصنف]=A522) *
            (IF($B$9="الكل",1, YEAR('ادخال البيانات'!$N$3:$N$1164)=VALUE($B$9))) *
            (IF($B$10="الكل",1, MONTH('ادخال البيانات'!$N$3:$N$1164)=VALUE($B$10))) *
            (IF($B$11="الكل",1, INT((DAY('ادخال البيانات'!$N$3:$N$1164)-1)/7)+1 = VALUE($B$11))),
            'ادخال البيانات'!$I$3:$I$1164
         ),
         ""
      ),
      IF(_xlpm.result="", "", _xlpm.result)
   )
)</f>
        <v/>
      </c>
      <c r="J522" s="27" t="str" cm="1">
        <f t="array" ref="J522">IF(
   A522="",
   "",
   _xlfn.LET(
      _xlpm.result,
      IFERROR(
         _xlfn.XLOOKUP(
            1,
            (Table8[رقم الصنف]=A522) *
            (IF($B$9="الكل",1, YEAR('ادخال البيانات'!$N$3:$N$1164)=VALUE($B$9))) *
            (IF($B$10="الكل",1, MONTH('ادخال البيانات'!$N$3:$N$1164)=VALUE($B$10))) *
            (IF($B$11="الكل",1, INT((DAY('ادخال البيانات'!$N$3:$N$1164)-1)/7)+1 = VALUE($B$11))),
            'ادخال البيانات'!$J$3:$J$1164
         ),
         ""
      ),
      IF(_xlpm.result="", "", _xlpm.result)
   )
)</f>
        <v/>
      </c>
      <c r="K522" s="27" t="str" cm="1">
        <f t="array" ref="K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2" s="27" t="str" cm="1">
        <f t="array" ref="L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2" s="27" t="str" cm="1">
        <f t="array" ref="M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2" s="28" t="str" cm="1">
        <f t="array" ref="N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2" s="28" t="str" cm="1">
        <f t="array" ref="O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2" s="27" t="str" cm="1">
        <f t="array" ref="P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Table8[جهة العطل]
         ),
         ""
      ),
      IF(_xlpm.result="", "", _xlpm.result)
   )
)</f>
        <v/>
      </c>
      <c r="Q522" s="27" t="str" cm="1">
        <f t="array" ref="Q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Table8[المركز]
         ),
         ""
      ),
      IF(_xlpm.result="", "", _xlpm.result)
   )
)</f>
        <v/>
      </c>
      <c r="R522" s="27" t="str" cm="1">
        <f t="array" ref="R522">IF(
   A522="",
   "",
   _xlfn.LET(
      _xlpm.result,
      IFERROR(
         _xlfn.XLOOKUP(
            1,
            (Table8[رقم الصنف]=A522) *
            (IF($B$9="الكل",1, YEAR('ادخال البيانات'!$N$3:$N$1164) = VALUE($B$9))) *
            (IF($B$10="الكل",1, MONTH('ادخال البيانات'!$N$3:$N$1164) = VALUE($B$10))) *
            (IF($B$11="الكل",1, INT((DAY('ادخال البيانات'!$N$3:$N$1164) - 1) / 7) + 1 = VALUE($B$11))),
            Table8[ملاحظة]
         ),
         ""
      ),
      IF(_xlpm.result="", "", _xlpm.result)
   )
)</f>
        <v/>
      </c>
      <c r="S522" s="27" t="str">
        <f t="shared" ca="1" si="7"/>
        <v/>
      </c>
    </row>
    <row r="523" spans="1:19" ht="27.75" customHeight="1" thickTop="1" thickBot="1" x14ac:dyDescent="0.35">
      <c r="A523" s="39"/>
      <c r="B523" s="50" t="str" cm="1">
        <f t="array" ref="B523">IF(
   OR(A523="", $B$9="", $B$10="", $B$11=""),
   "",
   _xlfn.LET(
      _xlpm.result,
      IFERROR(
         _xlfn.XLOOKUP(
            1,
            (Table8[رقم الصنف]=A523)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3" s="27" t="str" cm="1">
        <f t="array" ref="C523">IF(
   A523="",
   "",
   _xlfn.LET(
      _xlpm.result,
      IFERROR(
         _xlfn.XLOOKUP(
            1,
            (Table8[رقم الصنف]=A523) *
            (IF($B$9="الكل",1, YEAR('ادخال البيانات'!$N$3:$N$1164) = VALUE($B$9))) *
            (IF($B$10="الكل",1, MONTH('ادخال البيانات'!$N$3:$N$1164) = VALUE($B$10))) *
            (IF($B$11="الكل",1, INT((DAY('ادخال البيانات'!$N$3:$N$1164)-1)/7)+1 = VALUE($B$11))),
            'ادخال البيانات'!$C$3:$C$1164
         ),
         ""
      ),
      IF(_xlpm.result="", "", _xlpm.result)
   )
)</f>
        <v/>
      </c>
      <c r="D523" s="27" t="str" cm="1">
        <f t="array" ref="D523">IF(
   OR(A523="", $B$9="", $B$10="", $B$11=""),
   "",
   _xlfn.LET(
      _xlpm.result,
      IFERROR(
         _xlfn.XLOOKUP(
            1,
            (Table8[رقم الصنف]=A523) *
            (IF($B$9="الكل",1, YEAR('ادخال البيانات'!$N$3:$N$1164)=VALUE($B$9))) *
            (IF($B$10="الكل",1, MONTH('ادخال البيانات'!$N$3:$N$1164)=VALUE($B$10))) *
            (IF($B$11="الكل",1, INT((DAY('ادخال البيانات'!$N$3:$N$1164)-1)/7)+1 = VALUE($B$11))),
            'ادخال البيانات'!$D$3:$D$1164
         ),
         ""
      ),
      IF(_xlpm.result="", "", _xlpm.result)
   )
)</f>
        <v/>
      </c>
      <c r="E523" s="27" t="str" cm="1">
        <f t="array" ref="E523">IF(
   A523="",
   "",
   _xlfn.LET(
      _xlpm.result,
      IFERROR(
         _xlfn.XLOOKUP(
            1,
            (Table8[رقم الصنف]=A523) *
            (IF($B$9="الكل",1, YEAR('ادخال البيانات'!$N$3:$N$1164)=VALUE($B$9))) *
            (IF($B$10="الكل",1, MONTH('ادخال البيانات'!$N$3:$N$1164)=VALUE($B$10))) *
            (IF($B$11="الكل",1, INT((DAY('ادخال البيانات'!$N$3:$N$1164)-1)/7)+1 = VALUE($B$11))),
            'ادخال البيانات'!$E$3:$E$1164
         ),
         ""
      ),
      IF(_xlpm.result="", "", _xlpm.result)
   )
)</f>
        <v/>
      </c>
      <c r="F523" s="27" t="str" cm="1">
        <f t="array" ref="F523">IF(
   A523="",
   "",
   _xlfn.LET(
      _xlpm.result,
      IFERROR(
         _xlfn.XLOOKUP(
            1,
            (Table8[رقم الصنف]=A523) *
            (IF($B$9="الكل",1, YEAR('ادخال البيانات'!$N$3:$N$1164) = VALUE($B$9))) *
            (IF($B$10="الكل",1, MONTH('ادخال البيانات'!$N$3:$N$1164) = VALUE($B$10))) *
            (IF($B$11="الكل",1, INT((DAY('ادخال البيانات'!$N$3:$N$1164)-1)/7)+1 = VALUE($B$11))),
            'ادخال البيانات'!$F$3:$F$1164
         ),
         ""
      ),
      IF(_xlpm.result="", "", _xlpm.result)
   )
)</f>
        <v/>
      </c>
      <c r="G523" s="27" t="str" cm="1">
        <f t="array" ref="G523">IF(
   A523="",
   "",
   _xlfn.LET(
      _xlpm.result,
      IFERROR(
         _xlfn.XLOOKUP(
            1,
            (Table8[رقم الصنف]=A523) *
            (IF($B$9="الكل",1, YEAR('ادخال البيانات'!$N$3:$N$1164)=VALUE($B$9))) *
            (IF($B$10="الكل",1, MONTH('ادخال البيانات'!$N$3:$N$1164)=VALUE($B$10))) *
            (IF($B$11="الكل",1, INT((DAY('ادخال البيانات'!$N$3:$N$1164)-1)/7)+1 = VALUE($B$11))),
            'ادخال البيانات'!$G$3:$G$1164
         ),
         ""
      ),
      IF(_xlpm.result="", "", _xlpm.result)
   )
)</f>
        <v/>
      </c>
      <c r="H523" s="27" t="str" cm="1">
        <f t="array" ref="H523">IF(
   A523="",
   "",
   _xlfn.LET(
      _xlpm.result,
      IFERROR(
         _xlfn.XLOOKUP(
            1,
            (Table8[رقم الصنف]=A523) *
            (IF($B$9="الكل",1, YEAR('ادخال البيانات'!$N$3:$N$1164)=VALUE($B$9))) *
            (IF($B$10="الكل",1, MONTH('ادخال البيانات'!$N$3:$N$1164)=VALUE($B$10))) *
            (IF($B$11="الكل",1, INT((DAY('ادخال البيانات'!$N$3:$N$1164)-1)/7)+1 = VALUE($B$11))),
            'ادخال البيانات'!$H$3:$H$1164
         ),
         ""
      ),
      IF(_xlpm.result="", "", _xlpm.result)
   )
)</f>
        <v/>
      </c>
      <c r="I523" s="27" t="str" cm="1">
        <f t="array" ref="I523">IF(
   A523="",
   "",
   _xlfn.LET(
      _xlpm.result,
      IFERROR(
         _xlfn.XLOOKUP(
            1,
            (Table8[رقم الصنف]=A523) *
            (IF($B$9="الكل",1, YEAR('ادخال البيانات'!$N$3:$N$1164)=VALUE($B$9))) *
            (IF($B$10="الكل",1, MONTH('ادخال البيانات'!$N$3:$N$1164)=VALUE($B$10))) *
            (IF($B$11="الكل",1, INT((DAY('ادخال البيانات'!$N$3:$N$1164)-1)/7)+1 = VALUE($B$11))),
            'ادخال البيانات'!$I$3:$I$1164
         ),
         ""
      ),
      IF(_xlpm.result="", "", _xlpm.result)
   )
)</f>
        <v/>
      </c>
      <c r="J523" s="27" t="str" cm="1">
        <f t="array" ref="J523">IF(
   A523="",
   "",
   _xlfn.LET(
      _xlpm.result,
      IFERROR(
         _xlfn.XLOOKUP(
            1,
            (Table8[رقم الصنف]=A523) *
            (IF($B$9="الكل",1, YEAR('ادخال البيانات'!$N$3:$N$1164)=VALUE($B$9))) *
            (IF($B$10="الكل",1, MONTH('ادخال البيانات'!$N$3:$N$1164)=VALUE($B$10))) *
            (IF($B$11="الكل",1, INT((DAY('ادخال البيانات'!$N$3:$N$1164)-1)/7)+1 = VALUE($B$11))),
            'ادخال البيانات'!$J$3:$J$1164
         ),
         ""
      ),
      IF(_xlpm.result="", "", _xlpm.result)
   )
)</f>
        <v/>
      </c>
      <c r="K523" s="27" t="str" cm="1">
        <f t="array" ref="K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3" s="27" t="str" cm="1">
        <f t="array" ref="L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3" s="27" t="str" cm="1">
        <f t="array" ref="M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3" s="28" t="str" cm="1">
        <f t="array" ref="N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3" s="28" t="str" cm="1">
        <f t="array" ref="O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3" s="27" t="str" cm="1">
        <f t="array" ref="P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Table8[جهة العطل]
         ),
         ""
      ),
      IF(_xlpm.result="", "", _xlpm.result)
   )
)</f>
        <v/>
      </c>
      <c r="Q523" s="27" t="str" cm="1">
        <f t="array" ref="Q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Table8[المركز]
         ),
         ""
      ),
      IF(_xlpm.result="", "", _xlpm.result)
   )
)</f>
        <v/>
      </c>
      <c r="R523" s="27" t="str" cm="1">
        <f t="array" ref="R523">IF(
   A523="",
   "",
   _xlfn.LET(
      _xlpm.result,
      IFERROR(
         _xlfn.XLOOKUP(
            1,
            (Table8[رقم الصنف]=A523) *
            (IF($B$9="الكل",1, YEAR('ادخال البيانات'!$N$3:$N$1164) = VALUE($B$9))) *
            (IF($B$10="الكل",1, MONTH('ادخال البيانات'!$N$3:$N$1164) = VALUE($B$10))) *
            (IF($B$11="الكل",1, INT((DAY('ادخال البيانات'!$N$3:$N$1164) - 1) / 7) + 1 = VALUE($B$11))),
            Table8[ملاحظة]
         ),
         ""
      ),
      IF(_xlpm.result="", "", _xlpm.result)
   )
)</f>
        <v/>
      </c>
      <c r="S523" s="27" t="str">
        <f t="shared" ref="S523:S566" ca="1" si="8">IF(
   OR(K523="تم الاصلاح", O523&lt;&gt;""),
   "تم الاصلاح",
   IF(N523="", "", TODAY()-N523)
)</f>
        <v/>
      </c>
    </row>
    <row r="524" spans="1:19" ht="27.75" customHeight="1" thickTop="1" thickBot="1" x14ac:dyDescent="0.35">
      <c r="A524" s="39"/>
      <c r="B524" s="50" t="str" cm="1">
        <f t="array" ref="B524">IF(
   OR(A524="", $B$9="", $B$10="", $B$11=""),
   "",
   _xlfn.LET(
      _xlpm.result,
      IFERROR(
         _xlfn.XLOOKUP(
            1,
            (Table8[رقم الصنف]=A524)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4" s="27" t="str" cm="1">
        <f t="array" ref="C524">IF(
   A524="",
   "",
   _xlfn.LET(
      _xlpm.result,
      IFERROR(
         _xlfn.XLOOKUP(
            1,
            (Table8[رقم الصنف]=A524) *
            (IF($B$9="الكل",1, YEAR('ادخال البيانات'!$N$3:$N$1164) = VALUE($B$9))) *
            (IF($B$10="الكل",1, MONTH('ادخال البيانات'!$N$3:$N$1164) = VALUE($B$10))) *
            (IF($B$11="الكل",1, INT((DAY('ادخال البيانات'!$N$3:$N$1164)-1)/7)+1 = VALUE($B$11))),
            'ادخال البيانات'!$C$3:$C$1164
         ),
         ""
      ),
      IF(_xlpm.result="", "", _xlpm.result)
   )
)</f>
        <v/>
      </c>
      <c r="D524" s="27" t="str" cm="1">
        <f t="array" ref="D524">IF(
   OR(A524="", $B$9="", $B$10="", $B$11=""),
   "",
   _xlfn.LET(
      _xlpm.result,
      IFERROR(
         _xlfn.XLOOKUP(
            1,
            (Table8[رقم الصنف]=A524) *
            (IF($B$9="الكل",1, YEAR('ادخال البيانات'!$N$3:$N$1164)=VALUE($B$9))) *
            (IF($B$10="الكل",1, MONTH('ادخال البيانات'!$N$3:$N$1164)=VALUE($B$10))) *
            (IF($B$11="الكل",1, INT((DAY('ادخال البيانات'!$N$3:$N$1164)-1)/7)+1 = VALUE($B$11))),
            'ادخال البيانات'!$D$3:$D$1164
         ),
         ""
      ),
      IF(_xlpm.result="", "", _xlpm.result)
   )
)</f>
        <v/>
      </c>
      <c r="E524" s="27" t="str" cm="1">
        <f t="array" ref="E524">IF(
   A524="",
   "",
   _xlfn.LET(
      _xlpm.result,
      IFERROR(
         _xlfn.XLOOKUP(
            1,
            (Table8[رقم الصنف]=A524) *
            (IF($B$9="الكل",1, YEAR('ادخال البيانات'!$N$3:$N$1164)=VALUE($B$9))) *
            (IF($B$10="الكل",1, MONTH('ادخال البيانات'!$N$3:$N$1164)=VALUE($B$10))) *
            (IF($B$11="الكل",1, INT((DAY('ادخال البيانات'!$N$3:$N$1164)-1)/7)+1 = VALUE($B$11))),
            'ادخال البيانات'!$E$3:$E$1164
         ),
         ""
      ),
      IF(_xlpm.result="", "", _xlpm.result)
   )
)</f>
        <v/>
      </c>
      <c r="F524" s="27" t="str" cm="1">
        <f t="array" ref="F524">IF(
   A524="",
   "",
   _xlfn.LET(
      _xlpm.result,
      IFERROR(
         _xlfn.XLOOKUP(
            1,
            (Table8[رقم الصنف]=A524) *
            (IF($B$9="الكل",1, YEAR('ادخال البيانات'!$N$3:$N$1164) = VALUE($B$9))) *
            (IF($B$10="الكل",1, MONTH('ادخال البيانات'!$N$3:$N$1164) = VALUE($B$10))) *
            (IF($B$11="الكل",1, INT((DAY('ادخال البيانات'!$N$3:$N$1164)-1)/7)+1 = VALUE($B$11))),
            'ادخال البيانات'!$F$3:$F$1164
         ),
         ""
      ),
      IF(_xlpm.result="", "", _xlpm.result)
   )
)</f>
        <v/>
      </c>
      <c r="G524" s="27" t="str" cm="1">
        <f t="array" ref="G524">IF(
   A524="",
   "",
   _xlfn.LET(
      _xlpm.result,
      IFERROR(
         _xlfn.XLOOKUP(
            1,
            (Table8[رقم الصنف]=A524) *
            (IF($B$9="الكل",1, YEAR('ادخال البيانات'!$N$3:$N$1164)=VALUE($B$9))) *
            (IF($B$10="الكل",1, MONTH('ادخال البيانات'!$N$3:$N$1164)=VALUE($B$10))) *
            (IF($B$11="الكل",1, INT((DAY('ادخال البيانات'!$N$3:$N$1164)-1)/7)+1 = VALUE($B$11))),
            'ادخال البيانات'!$G$3:$G$1164
         ),
         ""
      ),
      IF(_xlpm.result="", "", _xlpm.result)
   )
)</f>
        <v/>
      </c>
      <c r="H524" s="27" t="str" cm="1">
        <f t="array" ref="H524">IF(
   A524="",
   "",
   _xlfn.LET(
      _xlpm.result,
      IFERROR(
         _xlfn.XLOOKUP(
            1,
            (Table8[رقم الصنف]=A524) *
            (IF($B$9="الكل",1, YEAR('ادخال البيانات'!$N$3:$N$1164)=VALUE($B$9))) *
            (IF($B$10="الكل",1, MONTH('ادخال البيانات'!$N$3:$N$1164)=VALUE($B$10))) *
            (IF($B$11="الكل",1, INT((DAY('ادخال البيانات'!$N$3:$N$1164)-1)/7)+1 = VALUE($B$11))),
            'ادخال البيانات'!$H$3:$H$1164
         ),
         ""
      ),
      IF(_xlpm.result="", "", _xlpm.result)
   )
)</f>
        <v/>
      </c>
      <c r="I524" s="27" t="str" cm="1">
        <f t="array" ref="I524">IF(
   A524="",
   "",
   _xlfn.LET(
      _xlpm.result,
      IFERROR(
         _xlfn.XLOOKUP(
            1,
            (Table8[رقم الصنف]=A524) *
            (IF($B$9="الكل",1, YEAR('ادخال البيانات'!$N$3:$N$1164)=VALUE($B$9))) *
            (IF($B$10="الكل",1, MONTH('ادخال البيانات'!$N$3:$N$1164)=VALUE($B$10))) *
            (IF($B$11="الكل",1, INT((DAY('ادخال البيانات'!$N$3:$N$1164)-1)/7)+1 = VALUE($B$11))),
            'ادخال البيانات'!$I$3:$I$1164
         ),
         ""
      ),
      IF(_xlpm.result="", "", _xlpm.result)
   )
)</f>
        <v/>
      </c>
      <c r="J524" s="27" t="str" cm="1">
        <f t="array" ref="J524">IF(
   A524="",
   "",
   _xlfn.LET(
      _xlpm.result,
      IFERROR(
         _xlfn.XLOOKUP(
            1,
            (Table8[رقم الصنف]=A524) *
            (IF($B$9="الكل",1, YEAR('ادخال البيانات'!$N$3:$N$1164)=VALUE($B$9))) *
            (IF($B$10="الكل",1, MONTH('ادخال البيانات'!$N$3:$N$1164)=VALUE($B$10))) *
            (IF($B$11="الكل",1, INT((DAY('ادخال البيانات'!$N$3:$N$1164)-1)/7)+1 = VALUE($B$11))),
            'ادخال البيانات'!$J$3:$J$1164
         ),
         ""
      ),
      IF(_xlpm.result="", "", _xlpm.result)
   )
)</f>
        <v/>
      </c>
      <c r="K524" s="27" t="str" cm="1">
        <f t="array" ref="K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4" s="27" t="str" cm="1">
        <f t="array" ref="L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4" s="27" t="str" cm="1">
        <f t="array" ref="M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4" s="28" t="str" cm="1">
        <f t="array" ref="N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4" s="28" t="str" cm="1">
        <f t="array" ref="O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4" s="27" t="str" cm="1">
        <f t="array" ref="P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Table8[جهة العطل]
         ),
         ""
      ),
      IF(_xlpm.result="", "", _xlpm.result)
   )
)</f>
        <v/>
      </c>
      <c r="Q524" s="27" t="str" cm="1">
        <f t="array" ref="Q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Table8[المركز]
         ),
         ""
      ),
      IF(_xlpm.result="", "", _xlpm.result)
   )
)</f>
        <v/>
      </c>
      <c r="R524" s="27" t="str" cm="1">
        <f t="array" ref="R524">IF(
   A524="",
   "",
   _xlfn.LET(
      _xlpm.result,
      IFERROR(
         _xlfn.XLOOKUP(
            1,
            (Table8[رقم الصنف]=A524) *
            (IF($B$9="الكل",1, YEAR('ادخال البيانات'!$N$3:$N$1164) = VALUE($B$9))) *
            (IF($B$10="الكل",1, MONTH('ادخال البيانات'!$N$3:$N$1164) = VALUE($B$10))) *
            (IF($B$11="الكل",1, INT((DAY('ادخال البيانات'!$N$3:$N$1164) - 1) / 7) + 1 = VALUE($B$11))),
            Table8[ملاحظة]
         ),
         ""
      ),
      IF(_xlpm.result="", "", _xlpm.result)
   )
)</f>
        <v/>
      </c>
      <c r="S524" s="27" t="str">
        <f t="shared" ca="1" si="8"/>
        <v/>
      </c>
    </row>
    <row r="525" spans="1:19" ht="27.75" customHeight="1" thickTop="1" thickBot="1" x14ac:dyDescent="0.35">
      <c r="A525" s="39"/>
      <c r="B525" s="50" t="str" cm="1">
        <f t="array" ref="B525">IF(
   OR(A525="", $B$9="", $B$10="", $B$11=""),
   "",
   _xlfn.LET(
      _xlpm.result,
      IFERROR(
         _xlfn.XLOOKUP(
            1,
            (Table8[رقم الصنف]=A525)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5" s="27" t="str" cm="1">
        <f t="array" ref="C525">IF(
   A525="",
   "",
   _xlfn.LET(
      _xlpm.result,
      IFERROR(
         _xlfn.XLOOKUP(
            1,
            (Table8[رقم الصنف]=A525) *
            (IF($B$9="الكل",1, YEAR('ادخال البيانات'!$N$3:$N$1164) = VALUE($B$9))) *
            (IF($B$10="الكل",1, MONTH('ادخال البيانات'!$N$3:$N$1164) = VALUE($B$10))) *
            (IF($B$11="الكل",1, INT((DAY('ادخال البيانات'!$N$3:$N$1164)-1)/7)+1 = VALUE($B$11))),
            'ادخال البيانات'!$C$3:$C$1164
         ),
         ""
      ),
      IF(_xlpm.result="", "", _xlpm.result)
   )
)</f>
        <v/>
      </c>
      <c r="D525" s="27" t="str" cm="1">
        <f t="array" ref="D525">IF(
   OR(A525="", $B$9="", $B$10="", $B$11=""),
   "",
   _xlfn.LET(
      _xlpm.result,
      IFERROR(
         _xlfn.XLOOKUP(
            1,
            (Table8[رقم الصنف]=A525) *
            (IF($B$9="الكل",1, YEAR('ادخال البيانات'!$N$3:$N$1164)=VALUE($B$9))) *
            (IF($B$10="الكل",1, MONTH('ادخال البيانات'!$N$3:$N$1164)=VALUE($B$10))) *
            (IF($B$11="الكل",1, INT((DAY('ادخال البيانات'!$N$3:$N$1164)-1)/7)+1 = VALUE($B$11))),
            'ادخال البيانات'!$D$3:$D$1164
         ),
         ""
      ),
      IF(_xlpm.result="", "", _xlpm.result)
   )
)</f>
        <v/>
      </c>
      <c r="E525" s="27" t="str" cm="1">
        <f t="array" ref="E525">IF(
   A525="",
   "",
   _xlfn.LET(
      _xlpm.result,
      IFERROR(
         _xlfn.XLOOKUP(
            1,
            (Table8[رقم الصنف]=A525) *
            (IF($B$9="الكل",1, YEAR('ادخال البيانات'!$N$3:$N$1164)=VALUE($B$9))) *
            (IF($B$10="الكل",1, MONTH('ادخال البيانات'!$N$3:$N$1164)=VALUE($B$10))) *
            (IF($B$11="الكل",1, INT((DAY('ادخال البيانات'!$N$3:$N$1164)-1)/7)+1 = VALUE($B$11))),
            'ادخال البيانات'!$E$3:$E$1164
         ),
         ""
      ),
      IF(_xlpm.result="", "", _xlpm.result)
   )
)</f>
        <v/>
      </c>
      <c r="F525" s="27" t="str" cm="1">
        <f t="array" ref="F525">IF(
   A525="",
   "",
   _xlfn.LET(
      _xlpm.result,
      IFERROR(
         _xlfn.XLOOKUP(
            1,
            (Table8[رقم الصنف]=A525) *
            (IF($B$9="الكل",1, YEAR('ادخال البيانات'!$N$3:$N$1164) = VALUE($B$9))) *
            (IF($B$10="الكل",1, MONTH('ادخال البيانات'!$N$3:$N$1164) = VALUE($B$10))) *
            (IF($B$11="الكل",1, INT((DAY('ادخال البيانات'!$N$3:$N$1164)-1)/7)+1 = VALUE($B$11))),
            'ادخال البيانات'!$F$3:$F$1164
         ),
         ""
      ),
      IF(_xlpm.result="", "", _xlpm.result)
   )
)</f>
        <v/>
      </c>
      <c r="G525" s="27" t="str" cm="1">
        <f t="array" ref="G525">IF(
   A525="",
   "",
   _xlfn.LET(
      _xlpm.result,
      IFERROR(
         _xlfn.XLOOKUP(
            1,
            (Table8[رقم الصنف]=A525) *
            (IF($B$9="الكل",1, YEAR('ادخال البيانات'!$N$3:$N$1164)=VALUE($B$9))) *
            (IF($B$10="الكل",1, MONTH('ادخال البيانات'!$N$3:$N$1164)=VALUE($B$10))) *
            (IF($B$11="الكل",1, INT((DAY('ادخال البيانات'!$N$3:$N$1164)-1)/7)+1 = VALUE($B$11))),
            'ادخال البيانات'!$G$3:$G$1164
         ),
         ""
      ),
      IF(_xlpm.result="", "", _xlpm.result)
   )
)</f>
        <v/>
      </c>
      <c r="H525" s="27" t="str" cm="1">
        <f t="array" ref="H525">IF(
   A525="",
   "",
   _xlfn.LET(
      _xlpm.result,
      IFERROR(
         _xlfn.XLOOKUP(
            1,
            (Table8[رقم الصنف]=A525) *
            (IF($B$9="الكل",1, YEAR('ادخال البيانات'!$N$3:$N$1164)=VALUE($B$9))) *
            (IF($B$10="الكل",1, MONTH('ادخال البيانات'!$N$3:$N$1164)=VALUE($B$10))) *
            (IF($B$11="الكل",1, INT((DAY('ادخال البيانات'!$N$3:$N$1164)-1)/7)+1 = VALUE($B$11))),
            'ادخال البيانات'!$H$3:$H$1164
         ),
         ""
      ),
      IF(_xlpm.result="", "", _xlpm.result)
   )
)</f>
        <v/>
      </c>
      <c r="I525" s="27" t="str" cm="1">
        <f t="array" ref="I525">IF(
   A525="",
   "",
   _xlfn.LET(
      _xlpm.result,
      IFERROR(
         _xlfn.XLOOKUP(
            1,
            (Table8[رقم الصنف]=A525) *
            (IF($B$9="الكل",1, YEAR('ادخال البيانات'!$N$3:$N$1164)=VALUE($B$9))) *
            (IF($B$10="الكل",1, MONTH('ادخال البيانات'!$N$3:$N$1164)=VALUE($B$10))) *
            (IF($B$11="الكل",1, INT((DAY('ادخال البيانات'!$N$3:$N$1164)-1)/7)+1 = VALUE($B$11))),
            'ادخال البيانات'!$I$3:$I$1164
         ),
         ""
      ),
      IF(_xlpm.result="", "", _xlpm.result)
   )
)</f>
        <v/>
      </c>
      <c r="J525" s="27" t="str" cm="1">
        <f t="array" ref="J525">IF(
   A525="",
   "",
   _xlfn.LET(
      _xlpm.result,
      IFERROR(
         _xlfn.XLOOKUP(
            1,
            (Table8[رقم الصنف]=A525) *
            (IF($B$9="الكل",1, YEAR('ادخال البيانات'!$N$3:$N$1164)=VALUE($B$9))) *
            (IF($B$10="الكل",1, MONTH('ادخال البيانات'!$N$3:$N$1164)=VALUE($B$10))) *
            (IF($B$11="الكل",1, INT((DAY('ادخال البيانات'!$N$3:$N$1164)-1)/7)+1 = VALUE($B$11))),
            'ادخال البيانات'!$J$3:$J$1164
         ),
         ""
      ),
      IF(_xlpm.result="", "", _xlpm.result)
   )
)</f>
        <v/>
      </c>
      <c r="K525" s="27" t="str" cm="1">
        <f t="array" ref="K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5" s="27" t="str" cm="1">
        <f t="array" ref="L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5" s="27" t="str" cm="1">
        <f t="array" ref="M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5" s="28" t="str" cm="1">
        <f t="array" ref="N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5" s="28" t="str" cm="1">
        <f t="array" ref="O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5" s="27" t="str" cm="1">
        <f t="array" ref="P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Table8[جهة العطل]
         ),
         ""
      ),
      IF(_xlpm.result="", "", _xlpm.result)
   )
)</f>
        <v/>
      </c>
      <c r="Q525" s="27" t="str" cm="1">
        <f t="array" ref="Q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Table8[المركز]
         ),
         ""
      ),
      IF(_xlpm.result="", "", _xlpm.result)
   )
)</f>
        <v/>
      </c>
      <c r="R525" s="27" t="str" cm="1">
        <f t="array" ref="R525">IF(
   A525="",
   "",
   _xlfn.LET(
      _xlpm.result,
      IFERROR(
         _xlfn.XLOOKUP(
            1,
            (Table8[رقم الصنف]=A525) *
            (IF($B$9="الكل",1, YEAR('ادخال البيانات'!$N$3:$N$1164) = VALUE($B$9))) *
            (IF($B$10="الكل",1, MONTH('ادخال البيانات'!$N$3:$N$1164) = VALUE($B$10))) *
            (IF($B$11="الكل",1, INT((DAY('ادخال البيانات'!$N$3:$N$1164) - 1) / 7) + 1 = VALUE($B$11))),
            Table8[ملاحظة]
         ),
         ""
      ),
      IF(_xlpm.result="", "", _xlpm.result)
   )
)</f>
        <v/>
      </c>
      <c r="S525" s="27" t="str">
        <f t="shared" ca="1" si="8"/>
        <v/>
      </c>
    </row>
    <row r="526" spans="1:19" ht="27.75" customHeight="1" thickTop="1" thickBot="1" x14ac:dyDescent="0.35">
      <c r="A526" s="39"/>
      <c r="B526" s="50" t="str" cm="1">
        <f t="array" ref="B526">IF(
   OR(A526="", $B$9="", $B$10="", $B$11=""),
   "",
   _xlfn.LET(
      _xlpm.result,
      IFERROR(
         _xlfn.XLOOKUP(
            1,
            (Table8[رقم الصنف]=A526)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6" s="27" t="str" cm="1">
        <f t="array" ref="C526">IF(
   A526="",
   "",
   _xlfn.LET(
      _xlpm.result,
      IFERROR(
         _xlfn.XLOOKUP(
            1,
            (Table8[رقم الصنف]=A526) *
            (IF($B$9="الكل",1, YEAR('ادخال البيانات'!$N$3:$N$1164) = VALUE($B$9))) *
            (IF($B$10="الكل",1, MONTH('ادخال البيانات'!$N$3:$N$1164) = VALUE($B$10))) *
            (IF($B$11="الكل",1, INT((DAY('ادخال البيانات'!$N$3:$N$1164)-1)/7)+1 = VALUE($B$11))),
            'ادخال البيانات'!$C$3:$C$1164
         ),
         ""
      ),
      IF(_xlpm.result="", "", _xlpm.result)
   )
)</f>
        <v/>
      </c>
      <c r="D526" s="27" t="str" cm="1">
        <f t="array" ref="D526">IF(
   OR(A526="", $B$9="", $B$10="", $B$11=""),
   "",
   _xlfn.LET(
      _xlpm.result,
      IFERROR(
         _xlfn.XLOOKUP(
            1,
            (Table8[رقم الصنف]=A526) *
            (IF($B$9="الكل",1, YEAR('ادخال البيانات'!$N$3:$N$1164)=VALUE($B$9))) *
            (IF($B$10="الكل",1, MONTH('ادخال البيانات'!$N$3:$N$1164)=VALUE($B$10))) *
            (IF($B$11="الكل",1, INT((DAY('ادخال البيانات'!$N$3:$N$1164)-1)/7)+1 = VALUE($B$11))),
            'ادخال البيانات'!$D$3:$D$1164
         ),
         ""
      ),
      IF(_xlpm.result="", "", _xlpm.result)
   )
)</f>
        <v/>
      </c>
      <c r="E526" s="27" t="str" cm="1">
        <f t="array" ref="E526">IF(
   A526="",
   "",
   _xlfn.LET(
      _xlpm.result,
      IFERROR(
         _xlfn.XLOOKUP(
            1,
            (Table8[رقم الصنف]=A526) *
            (IF($B$9="الكل",1, YEAR('ادخال البيانات'!$N$3:$N$1164)=VALUE($B$9))) *
            (IF($B$10="الكل",1, MONTH('ادخال البيانات'!$N$3:$N$1164)=VALUE($B$10))) *
            (IF($B$11="الكل",1, INT((DAY('ادخال البيانات'!$N$3:$N$1164)-1)/7)+1 = VALUE($B$11))),
            'ادخال البيانات'!$E$3:$E$1164
         ),
         ""
      ),
      IF(_xlpm.result="", "", _xlpm.result)
   )
)</f>
        <v/>
      </c>
      <c r="F526" s="27" t="str" cm="1">
        <f t="array" ref="F526">IF(
   A526="",
   "",
   _xlfn.LET(
      _xlpm.result,
      IFERROR(
         _xlfn.XLOOKUP(
            1,
            (Table8[رقم الصنف]=A526) *
            (IF($B$9="الكل",1, YEAR('ادخال البيانات'!$N$3:$N$1164) = VALUE($B$9))) *
            (IF($B$10="الكل",1, MONTH('ادخال البيانات'!$N$3:$N$1164) = VALUE($B$10))) *
            (IF($B$11="الكل",1, INT((DAY('ادخال البيانات'!$N$3:$N$1164)-1)/7)+1 = VALUE($B$11))),
            'ادخال البيانات'!$F$3:$F$1164
         ),
         ""
      ),
      IF(_xlpm.result="", "", _xlpm.result)
   )
)</f>
        <v/>
      </c>
      <c r="G526" s="27" t="str" cm="1">
        <f t="array" ref="G526">IF(
   A526="",
   "",
   _xlfn.LET(
      _xlpm.result,
      IFERROR(
         _xlfn.XLOOKUP(
            1,
            (Table8[رقم الصنف]=A526) *
            (IF($B$9="الكل",1, YEAR('ادخال البيانات'!$N$3:$N$1164)=VALUE($B$9))) *
            (IF($B$10="الكل",1, MONTH('ادخال البيانات'!$N$3:$N$1164)=VALUE($B$10))) *
            (IF($B$11="الكل",1, INT((DAY('ادخال البيانات'!$N$3:$N$1164)-1)/7)+1 = VALUE($B$11))),
            'ادخال البيانات'!$G$3:$G$1164
         ),
         ""
      ),
      IF(_xlpm.result="", "", _xlpm.result)
   )
)</f>
        <v/>
      </c>
      <c r="H526" s="27" t="str" cm="1">
        <f t="array" ref="H526">IF(
   A526="",
   "",
   _xlfn.LET(
      _xlpm.result,
      IFERROR(
         _xlfn.XLOOKUP(
            1,
            (Table8[رقم الصنف]=A526) *
            (IF($B$9="الكل",1, YEAR('ادخال البيانات'!$N$3:$N$1164)=VALUE($B$9))) *
            (IF($B$10="الكل",1, MONTH('ادخال البيانات'!$N$3:$N$1164)=VALUE($B$10))) *
            (IF($B$11="الكل",1, INT((DAY('ادخال البيانات'!$N$3:$N$1164)-1)/7)+1 = VALUE($B$11))),
            'ادخال البيانات'!$H$3:$H$1164
         ),
         ""
      ),
      IF(_xlpm.result="", "", _xlpm.result)
   )
)</f>
        <v/>
      </c>
      <c r="I526" s="27" t="str" cm="1">
        <f t="array" ref="I526">IF(
   A526="",
   "",
   _xlfn.LET(
      _xlpm.result,
      IFERROR(
         _xlfn.XLOOKUP(
            1,
            (Table8[رقم الصنف]=A526) *
            (IF($B$9="الكل",1, YEAR('ادخال البيانات'!$N$3:$N$1164)=VALUE($B$9))) *
            (IF($B$10="الكل",1, MONTH('ادخال البيانات'!$N$3:$N$1164)=VALUE($B$10))) *
            (IF($B$11="الكل",1, INT((DAY('ادخال البيانات'!$N$3:$N$1164)-1)/7)+1 = VALUE($B$11))),
            'ادخال البيانات'!$I$3:$I$1164
         ),
         ""
      ),
      IF(_xlpm.result="", "", _xlpm.result)
   )
)</f>
        <v/>
      </c>
      <c r="J526" s="27" t="str" cm="1">
        <f t="array" ref="J526">IF(
   A526="",
   "",
   _xlfn.LET(
      _xlpm.result,
      IFERROR(
         _xlfn.XLOOKUP(
            1,
            (Table8[رقم الصنف]=A526) *
            (IF($B$9="الكل",1, YEAR('ادخال البيانات'!$N$3:$N$1164)=VALUE($B$9))) *
            (IF($B$10="الكل",1, MONTH('ادخال البيانات'!$N$3:$N$1164)=VALUE($B$10))) *
            (IF($B$11="الكل",1, INT((DAY('ادخال البيانات'!$N$3:$N$1164)-1)/7)+1 = VALUE($B$11))),
            'ادخال البيانات'!$J$3:$J$1164
         ),
         ""
      ),
      IF(_xlpm.result="", "", _xlpm.result)
   )
)</f>
        <v/>
      </c>
      <c r="K526" s="27" t="str" cm="1">
        <f t="array" ref="K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6" s="27" t="str" cm="1">
        <f t="array" ref="L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6" s="27" t="str" cm="1">
        <f t="array" ref="M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6" s="28" t="str" cm="1">
        <f t="array" ref="N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6" s="28" t="str" cm="1">
        <f t="array" ref="O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6" s="27" t="str" cm="1">
        <f t="array" ref="P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Table8[جهة العطل]
         ),
         ""
      ),
      IF(_xlpm.result="", "", _xlpm.result)
   )
)</f>
        <v/>
      </c>
      <c r="Q526" s="27" t="str" cm="1">
        <f t="array" ref="Q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Table8[المركز]
         ),
         ""
      ),
      IF(_xlpm.result="", "", _xlpm.result)
   )
)</f>
        <v/>
      </c>
      <c r="R526" s="27" t="str" cm="1">
        <f t="array" ref="R526">IF(
   A526="",
   "",
   _xlfn.LET(
      _xlpm.result,
      IFERROR(
         _xlfn.XLOOKUP(
            1,
            (Table8[رقم الصنف]=A526) *
            (IF($B$9="الكل",1, YEAR('ادخال البيانات'!$N$3:$N$1164) = VALUE($B$9))) *
            (IF($B$10="الكل",1, MONTH('ادخال البيانات'!$N$3:$N$1164) = VALUE($B$10))) *
            (IF($B$11="الكل",1, INT((DAY('ادخال البيانات'!$N$3:$N$1164) - 1) / 7) + 1 = VALUE($B$11))),
            Table8[ملاحظة]
         ),
         ""
      ),
      IF(_xlpm.result="", "", _xlpm.result)
   )
)</f>
        <v/>
      </c>
      <c r="S526" s="27" t="str">
        <f t="shared" ca="1" si="8"/>
        <v/>
      </c>
    </row>
    <row r="527" spans="1:19" ht="27.75" customHeight="1" thickTop="1" thickBot="1" x14ac:dyDescent="0.35">
      <c r="A527" s="39"/>
      <c r="B527" s="50" t="str" cm="1">
        <f t="array" ref="B527">IF(
   OR(A527="", $B$9="", $B$10="", $B$11=""),
   "",
   _xlfn.LET(
      _xlpm.result,
      IFERROR(
         _xlfn.XLOOKUP(
            1,
            (Table8[رقم الصنف]=A527)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7" s="27" t="str" cm="1">
        <f t="array" ref="C527">IF(
   A527="",
   "",
   _xlfn.LET(
      _xlpm.result,
      IFERROR(
         _xlfn.XLOOKUP(
            1,
            (Table8[رقم الصنف]=A527) *
            (IF($B$9="الكل",1, YEAR('ادخال البيانات'!$N$3:$N$1164) = VALUE($B$9))) *
            (IF($B$10="الكل",1, MONTH('ادخال البيانات'!$N$3:$N$1164) = VALUE($B$10))) *
            (IF($B$11="الكل",1, INT((DAY('ادخال البيانات'!$N$3:$N$1164)-1)/7)+1 = VALUE($B$11))),
            'ادخال البيانات'!$C$3:$C$1164
         ),
         ""
      ),
      IF(_xlpm.result="", "", _xlpm.result)
   )
)</f>
        <v/>
      </c>
      <c r="D527" s="27" t="str" cm="1">
        <f t="array" ref="D527">IF(
   OR(A527="", $B$9="", $B$10="", $B$11=""),
   "",
   _xlfn.LET(
      _xlpm.result,
      IFERROR(
         _xlfn.XLOOKUP(
            1,
            (Table8[رقم الصنف]=A527) *
            (IF($B$9="الكل",1, YEAR('ادخال البيانات'!$N$3:$N$1164)=VALUE($B$9))) *
            (IF($B$10="الكل",1, MONTH('ادخال البيانات'!$N$3:$N$1164)=VALUE($B$10))) *
            (IF($B$11="الكل",1, INT((DAY('ادخال البيانات'!$N$3:$N$1164)-1)/7)+1 = VALUE($B$11))),
            'ادخال البيانات'!$D$3:$D$1164
         ),
         ""
      ),
      IF(_xlpm.result="", "", _xlpm.result)
   )
)</f>
        <v/>
      </c>
      <c r="E527" s="27" t="str" cm="1">
        <f t="array" ref="E527">IF(
   A527="",
   "",
   _xlfn.LET(
      _xlpm.result,
      IFERROR(
         _xlfn.XLOOKUP(
            1,
            (Table8[رقم الصنف]=A527) *
            (IF($B$9="الكل",1, YEAR('ادخال البيانات'!$N$3:$N$1164)=VALUE($B$9))) *
            (IF($B$10="الكل",1, MONTH('ادخال البيانات'!$N$3:$N$1164)=VALUE($B$10))) *
            (IF($B$11="الكل",1, INT((DAY('ادخال البيانات'!$N$3:$N$1164)-1)/7)+1 = VALUE($B$11))),
            'ادخال البيانات'!$E$3:$E$1164
         ),
         ""
      ),
      IF(_xlpm.result="", "", _xlpm.result)
   )
)</f>
        <v/>
      </c>
      <c r="F527" s="27" t="str" cm="1">
        <f t="array" ref="F527">IF(
   A527="",
   "",
   _xlfn.LET(
      _xlpm.result,
      IFERROR(
         _xlfn.XLOOKUP(
            1,
            (Table8[رقم الصنف]=A527) *
            (IF($B$9="الكل",1, YEAR('ادخال البيانات'!$N$3:$N$1164) = VALUE($B$9))) *
            (IF($B$10="الكل",1, MONTH('ادخال البيانات'!$N$3:$N$1164) = VALUE($B$10))) *
            (IF($B$11="الكل",1, INT((DAY('ادخال البيانات'!$N$3:$N$1164)-1)/7)+1 = VALUE($B$11))),
            'ادخال البيانات'!$F$3:$F$1164
         ),
         ""
      ),
      IF(_xlpm.result="", "", _xlpm.result)
   )
)</f>
        <v/>
      </c>
      <c r="G527" s="27" t="str" cm="1">
        <f t="array" ref="G527">IF(
   A527="",
   "",
   _xlfn.LET(
      _xlpm.result,
      IFERROR(
         _xlfn.XLOOKUP(
            1,
            (Table8[رقم الصنف]=A527) *
            (IF($B$9="الكل",1, YEAR('ادخال البيانات'!$N$3:$N$1164)=VALUE($B$9))) *
            (IF($B$10="الكل",1, MONTH('ادخال البيانات'!$N$3:$N$1164)=VALUE($B$10))) *
            (IF($B$11="الكل",1, INT((DAY('ادخال البيانات'!$N$3:$N$1164)-1)/7)+1 = VALUE($B$11))),
            'ادخال البيانات'!$G$3:$G$1164
         ),
         ""
      ),
      IF(_xlpm.result="", "", _xlpm.result)
   )
)</f>
        <v/>
      </c>
      <c r="H527" s="27" t="str" cm="1">
        <f t="array" ref="H527">IF(
   A527="",
   "",
   _xlfn.LET(
      _xlpm.result,
      IFERROR(
         _xlfn.XLOOKUP(
            1,
            (Table8[رقم الصنف]=A527) *
            (IF($B$9="الكل",1, YEAR('ادخال البيانات'!$N$3:$N$1164)=VALUE($B$9))) *
            (IF($B$10="الكل",1, MONTH('ادخال البيانات'!$N$3:$N$1164)=VALUE($B$10))) *
            (IF($B$11="الكل",1, INT((DAY('ادخال البيانات'!$N$3:$N$1164)-1)/7)+1 = VALUE($B$11))),
            'ادخال البيانات'!$H$3:$H$1164
         ),
         ""
      ),
      IF(_xlpm.result="", "", _xlpm.result)
   )
)</f>
        <v/>
      </c>
      <c r="I527" s="27" t="str" cm="1">
        <f t="array" ref="I527">IF(
   A527="",
   "",
   _xlfn.LET(
      _xlpm.result,
      IFERROR(
         _xlfn.XLOOKUP(
            1,
            (Table8[رقم الصنف]=A527) *
            (IF($B$9="الكل",1, YEAR('ادخال البيانات'!$N$3:$N$1164)=VALUE($B$9))) *
            (IF($B$10="الكل",1, MONTH('ادخال البيانات'!$N$3:$N$1164)=VALUE($B$10))) *
            (IF($B$11="الكل",1, INT((DAY('ادخال البيانات'!$N$3:$N$1164)-1)/7)+1 = VALUE($B$11))),
            'ادخال البيانات'!$I$3:$I$1164
         ),
         ""
      ),
      IF(_xlpm.result="", "", _xlpm.result)
   )
)</f>
        <v/>
      </c>
      <c r="J527" s="27" t="str" cm="1">
        <f t="array" ref="J527">IF(
   A527="",
   "",
   _xlfn.LET(
      _xlpm.result,
      IFERROR(
         _xlfn.XLOOKUP(
            1,
            (Table8[رقم الصنف]=A527) *
            (IF($B$9="الكل",1, YEAR('ادخال البيانات'!$N$3:$N$1164)=VALUE($B$9))) *
            (IF($B$10="الكل",1, MONTH('ادخال البيانات'!$N$3:$N$1164)=VALUE($B$10))) *
            (IF($B$11="الكل",1, INT((DAY('ادخال البيانات'!$N$3:$N$1164)-1)/7)+1 = VALUE($B$11))),
            'ادخال البيانات'!$J$3:$J$1164
         ),
         ""
      ),
      IF(_xlpm.result="", "", _xlpm.result)
   )
)</f>
        <v/>
      </c>
      <c r="K527" s="27" t="str" cm="1">
        <f t="array" ref="K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7" s="27" t="str" cm="1">
        <f t="array" ref="L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7" s="27" t="str" cm="1">
        <f t="array" ref="M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7" s="28" t="str" cm="1">
        <f t="array" ref="N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7" s="28" t="str" cm="1">
        <f t="array" ref="O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7" s="27" t="str" cm="1">
        <f t="array" ref="P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Table8[جهة العطل]
         ),
         ""
      ),
      IF(_xlpm.result="", "", _xlpm.result)
   )
)</f>
        <v/>
      </c>
      <c r="Q527" s="27" t="str" cm="1">
        <f t="array" ref="Q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Table8[المركز]
         ),
         ""
      ),
      IF(_xlpm.result="", "", _xlpm.result)
   )
)</f>
        <v/>
      </c>
      <c r="R527" s="27" t="str" cm="1">
        <f t="array" ref="R527">IF(
   A527="",
   "",
   _xlfn.LET(
      _xlpm.result,
      IFERROR(
         _xlfn.XLOOKUP(
            1,
            (Table8[رقم الصنف]=A527) *
            (IF($B$9="الكل",1, YEAR('ادخال البيانات'!$N$3:$N$1164) = VALUE($B$9))) *
            (IF($B$10="الكل",1, MONTH('ادخال البيانات'!$N$3:$N$1164) = VALUE($B$10))) *
            (IF($B$11="الكل",1, INT((DAY('ادخال البيانات'!$N$3:$N$1164) - 1) / 7) + 1 = VALUE($B$11))),
            Table8[ملاحظة]
         ),
         ""
      ),
      IF(_xlpm.result="", "", _xlpm.result)
   )
)</f>
        <v/>
      </c>
      <c r="S527" s="27" t="str">
        <f t="shared" ca="1" si="8"/>
        <v/>
      </c>
    </row>
    <row r="528" spans="1:19" ht="27.75" customHeight="1" thickTop="1" thickBot="1" x14ac:dyDescent="0.35">
      <c r="A528" s="39"/>
      <c r="B528" s="50" t="str" cm="1">
        <f t="array" ref="B528">IF(
   OR(A528="", $B$9="", $B$10="", $B$11=""),
   "",
   _xlfn.LET(
      _xlpm.result,
      IFERROR(
         _xlfn.XLOOKUP(
            1,
            (Table8[رقم الصنف]=A528)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8" s="27" t="str" cm="1">
        <f t="array" ref="C528">IF(
   A528="",
   "",
   _xlfn.LET(
      _xlpm.result,
      IFERROR(
         _xlfn.XLOOKUP(
            1,
            (Table8[رقم الصنف]=A528) *
            (IF($B$9="الكل",1, YEAR('ادخال البيانات'!$N$3:$N$1164) = VALUE($B$9))) *
            (IF($B$10="الكل",1, MONTH('ادخال البيانات'!$N$3:$N$1164) = VALUE($B$10))) *
            (IF($B$11="الكل",1, INT((DAY('ادخال البيانات'!$N$3:$N$1164)-1)/7)+1 = VALUE($B$11))),
            'ادخال البيانات'!$C$3:$C$1164
         ),
         ""
      ),
      IF(_xlpm.result="", "", _xlpm.result)
   )
)</f>
        <v/>
      </c>
      <c r="D528" s="27" t="str" cm="1">
        <f t="array" ref="D528">IF(
   OR(A528="", $B$9="", $B$10="", $B$11=""),
   "",
   _xlfn.LET(
      _xlpm.result,
      IFERROR(
         _xlfn.XLOOKUP(
            1,
            (Table8[رقم الصنف]=A528) *
            (IF($B$9="الكل",1, YEAR('ادخال البيانات'!$N$3:$N$1164)=VALUE($B$9))) *
            (IF($B$10="الكل",1, MONTH('ادخال البيانات'!$N$3:$N$1164)=VALUE($B$10))) *
            (IF($B$11="الكل",1, INT((DAY('ادخال البيانات'!$N$3:$N$1164)-1)/7)+1 = VALUE($B$11))),
            'ادخال البيانات'!$D$3:$D$1164
         ),
         ""
      ),
      IF(_xlpm.result="", "", _xlpm.result)
   )
)</f>
        <v/>
      </c>
      <c r="E528" s="27" t="str" cm="1">
        <f t="array" ref="E528">IF(
   A528="",
   "",
   _xlfn.LET(
      _xlpm.result,
      IFERROR(
         _xlfn.XLOOKUP(
            1,
            (Table8[رقم الصنف]=A528) *
            (IF($B$9="الكل",1, YEAR('ادخال البيانات'!$N$3:$N$1164)=VALUE($B$9))) *
            (IF($B$10="الكل",1, MONTH('ادخال البيانات'!$N$3:$N$1164)=VALUE($B$10))) *
            (IF($B$11="الكل",1, INT((DAY('ادخال البيانات'!$N$3:$N$1164)-1)/7)+1 = VALUE($B$11))),
            'ادخال البيانات'!$E$3:$E$1164
         ),
         ""
      ),
      IF(_xlpm.result="", "", _xlpm.result)
   )
)</f>
        <v/>
      </c>
      <c r="F528" s="27" t="str" cm="1">
        <f t="array" ref="F528">IF(
   A528="",
   "",
   _xlfn.LET(
      _xlpm.result,
      IFERROR(
         _xlfn.XLOOKUP(
            1,
            (Table8[رقم الصنف]=A528) *
            (IF($B$9="الكل",1, YEAR('ادخال البيانات'!$N$3:$N$1164) = VALUE($B$9))) *
            (IF($B$10="الكل",1, MONTH('ادخال البيانات'!$N$3:$N$1164) = VALUE($B$10))) *
            (IF($B$11="الكل",1, INT((DAY('ادخال البيانات'!$N$3:$N$1164)-1)/7)+1 = VALUE($B$11))),
            'ادخال البيانات'!$F$3:$F$1164
         ),
         ""
      ),
      IF(_xlpm.result="", "", _xlpm.result)
   )
)</f>
        <v/>
      </c>
      <c r="G528" s="27" t="str" cm="1">
        <f t="array" ref="G528">IF(
   A528="",
   "",
   _xlfn.LET(
      _xlpm.result,
      IFERROR(
         _xlfn.XLOOKUP(
            1,
            (Table8[رقم الصنف]=A528) *
            (IF($B$9="الكل",1, YEAR('ادخال البيانات'!$N$3:$N$1164)=VALUE($B$9))) *
            (IF($B$10="الكل",1, MONTH('ادخال البيانات'!$N$3:$N$1164)=VALUE($B$10))) *
            (IF($B$11="الكل",1, INT((DAY('ادخال البيانات'!$N$3:$N$1164)-1)/7)+1 = VALUE($B$11))),
            'ادخال البيانات'!$G$3:$G$1164
         ),
         ""
      ),
      IF(_xlpm.result="", "", _xlpm.result)
   )
)</f>
        <v/>
      </c>
      <c r="H528" s="27" t="str" cm="1">
        <f t="array" ref="H528">IF(
   A528="",
   "",
   _xlfn.LET(
      _xlpm.result,
      IFERROR(
         _xlfn.XLOOKUP(
            1,
            (Table8[رقم الصنف]=A528) *
            (IF($B$9="الكل",1, YEAR('ادخال البيانات'!$N$3:$N$1164)=VALUE($B$9))) *
            (IF($B$10="الكل",1, MONTH('ادخال البيانات'!$N$3:$N$1164)=VALUE($B$10))) *
            (IF($B$11="الكل",1, INT((DAY('ادخال البيانات'!$N$3:$N$1164)-1)/7)+1 = VALUE($B$11))),
            'ادخال البيانات'!$H$3:$H$1164
         ),
         ""
      ),
      IF(_xlpm.result="", "", _xlpm.result)
   )
)</f>
        <v/>
      </c>
      <c r="I528" s="27" t="str" cm="1">
        <f t="array" ref="I528">IF(
   A528="",
   "",
   _xlfn.LET(
      _xlpm.result,
      IFERROR(
         _xlfn.XLOOKUP(
            1,
            (Table8[رقم الصنف]=A528) *
            (IF($B$9="الكل",1, YEAR('ادخال البيانات'!$N$3:$N$1164)=VALUE($B$9))) *
            (IF($B$10="الكل",1, MONTH('ادخال البيانات'!$N$3:$N$1164)=VALUE($B$10))) *
            (IF($B$11="الكل",1, INT((DAY('ادخال البيانات'!$N$3:$N$1164)-1)/7)+1 = VALUE($B$11))),
            'ادخال البيانات'!$I$3:$I$1164
         ),
         ""
      ),
      IF(_xlpm.result="", "", _xlpm.result)
   )
)</f>
        <v/>
      </c>
      <c r="J528" s="27" t="str" cm="1">
        <f t="array" ref="J528">IF(
   A528="",
   "",
   _xlfn.LET(
      _xlpm.result,
      IFERROR(
         _xlfn.XLOOKUP(
            1,
            (Table8[رقم الصنف]=A528) *
            (IF($B$9="الكل",1, YEAR('ادخال البيانات'!$N$3:$N$1164)=VALUE($B$9))) *
            (IF($B$10="الكل",1, MONTH('ادخال البيانات'!$N$3:$N$1164)=VALUE($B$10))) *
            (IF($B$11="الكل",1, INT((DAY('ادخال البيانات'!$N$3:$N$1164)-1)/7)+1 = VALUE($B$11))),
            'ادخال البيانات'!$J$3:$J$1164
         ),
         ""
      ),
      IF(_xlpm.result="", "", _xlpm.result)
   )
)</f>
        <v/>
      </c>
      <c r="K528" s="27" t="str" cm="1">
        <f t="array" ref="K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8" s="27" t="str" cm="1">
        <f t="array" ref="L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8" s="27" t="str" cm="1">
        <f t="array" ref="M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8" s="28" t="str" cm="1">
        <f t="array" ref="N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8" s="28" t="str" cm="1">
        <f t="array" ref="O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8" s="27" t="str" cm="1">
        <f t="array" ref="P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Table8[جهة العطل]
         ),
         ""
      ),
      IF(_xlpm.result="", "", _xlpm.result)
   )
)</f>
        <v/>
      </c>
      <c r="Q528" s="27" t="str" cm="1">
        <f t="array" ref="Q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Table8[المركز]
         ),
         ""
      ),
      IF(_xlpm.result="", "", _xlpm.result)
   )
)</f>
        <v/>
      </c>
      <c r="R528" s="27" t="str" cm="1">
        <f t="array" ref="R528">IF(
   A528="",
   "",
   _xlfn.LET(
      _xlpm.result,
      IFERROR(
         _xlfn.XLOOKUP(
            1,
            (Table8[رقم الصنف]=A528) *
            (IF($B$9="الكل",1, YEAR('ادخال البيانات'!$N$3:$N$1164) = VALUE($B$9))) *
            (IF($B$10="الكل",1, MONTH('ادخال البيانات'!$N$3:$N$1164) = VALUE($B$10))) *
            (IF($B$11="الكل",1, INT((DAY('ادخال البيانات'!$N$3:$N$1164) - 1) / 7) + 1 = VALUE($B$11))),
            Table8[ملاحظة]
         ),
         ""
      ),
      IF(_xlpm.result="", "", _xlpm.result)
   )
)</f>
        <v/>
      </c>
      <c r="S528" s="27" t="str">
        <f t="shared" ca="1" si="8"/>
        <v/>
      </c>
    </row>
    <row r="529" spans="1:19" ht="27.75" customHeight="1" thickTop="1" thickBot="1" x14ac:dyDescent="0.35">
      <c r="A529" s="39"/>
      <c r="B529" s="50" t="str" cm="1">
        <f t="array" ref="B529">IF(
   OR(A529="", $B$9="", $B$10="", $B$11=""),
   "",
   _xlfn.LET(
      _xlpm.result,
      IFERROR(
         _xlfn.XLOOKUP(
            1,
            (Table8[رقم الصنف]=A529)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29" s="27" t="str" cm="1">
        <f t="array" ref="C529">IF(
   A529="",
   "",
   _xlfn.LET(
      _xlpm.result,
      IFERROR(
         _xlfn.XLOOKUP(
            1,
            (Table8[رقم الصنف]=A529) *
            (IF($B$9="الكل",1, YEAR('ادخال البيانات'!$N$3:$N$1164) = VALUE($B$9))) *
            (IF($B$10="الكل",1, MONTH('ادخال البيانات'!$N$3:$N$1164) = VALUE($B$10))) *
            (IF($B$11="الكل",1, INT((DAY('ادخال البيانات'!$N$3:$N$1164)-1)/7)+1 = VALUE($B$11))),
            'ادخال البيانات'!$C$3:$C$1164
         ),
         ""
      ),
      IF(_xlpm.result="", "", _xlpm.result)
   )
)</f>
        <v/>
      </c>
      <c r="D529" s="27" t="str" cm="1">
        <f t="array" ref="D529">IF(
   OR(A529="", $B$9="", $B$10="", $B$11=""),
   "",
   _xlfn.LET(
      _xlpm.result,
      IFERROR(
         _xlfn.XLOOKUP(
            1,
            (Table8[رقم الصنف]=A529) *
            (IF($B$9="الكل",1, YEAR('ادخال البيانات'!$N$3:$N$1164)=VALUE($B$9))) *
            (IF($B$10="الكل",1, MONTH('ادخال البيانات'!$N$3:$N$1164)=VALUE($B$10))) *
            (IF($B$11="الكل",1, INT((DAY('ادخال البيانات'!$N$3:$N$1164)-1)/7)+1 = VALUE($B$11))),
            'ادخال البيانات'!$D$3:$D$1164
         ),
         ""
      ),
      IF(_xlpm.result="", "", _xlpm.result)
   )
)</f>
        <v/>
      </c>
      <c r="E529" s="27" t="str" cm="1">
        <f t="array" ref="E529">IF(
   A529="",
   "",
   _xlfn.LET(
      _xlpm.result,
      IFERROR(
         _xlfn.XLOOKUP(
            1,
            (Table8[رقم الصنف]=A529) *
            (IF($B$9="الكل",1, YEAR('ادخال البيانات'!$N$3:$N$1164)=VALUE($B$9))) *
            (IF($B$10="الكل",1, MONTH('ادخال البيانات'!$N$3:$N$1164)=VALUE($B$10))) *
            (IF($B$11="الكل",1, INT((DAY('ادخال البيانات'!$N$3:$N$1164)-1)/7)+1 = VALUE($B$11))),
            'ادخال البيانات'!$E$3:$E$1164
         ),
         ""
      ),
      IF(_xlpm.result="", "", _xlpm.result)
   )
)</f>
        <v/>
      </c>
      <c r="F529" s="27" t="str" cm="1">
        <f t="array" ref="F529">IF(
   A529="",
   "",
   _xlfn.LET(
      _xlpm.result,
      IFERROR(
         _xlfn.XLOOKUP(
            1,
            (Table8[رقم الصنف]=A529) *
            (IF($B$9="الكل",1, YEAR('ادخال البيانات'!$N$3:$N$1164) = VALUE($B$9))) *
            (IF($B$10="الكل",1, MONTH('ادخال البيانات'!$N$3:$N$1164) = VALUE($B$10))) *
            (IF($B$11="الكل",1, INT((DAY('ادخال البيانات'!$N$3:$N$1164)-1)/7)+1 = VALUE($B$11))),
            'ادخال البيانات'!$F$3:$F$1164
         ),
         ""
      ),
      IF(_xlpm.result="", "", _xlpm.result)
   )
)</f>
        <v/>
      </c>
      <c r="G529" s="27" t="str" cm="1">
        <f t="array" ref="G529">IF(
   A529="",
   "",
   _xlfn.LET(
      _xlpm.result,
      IFERROR(
         _xlfn.XLOOKUP(
            1,
            (Table8[رقم الصنف]=A529) *
            (IF($B$9="الكل",1, YEAR('ادخال البيانات'!$N$3:$N$1164)=VALUE($B$9))) *
            (IF($B$10="الكل",1, MONTH('ادخال البيانات'!$N$3:$N$1164)=VALUE($B$10))) *
            (IF($B$11="الكل",1, INT((DAY('ادخال البيانات'!$N$3:$N$1164)-1)/7)+1 = VALUE($B$11))),
            'ادخال البيانات'!$G$3:$G$1164
         ),
         ""
      ),
      IF(_xlpm.result="", "", _xlpm.result)
   )
)</f>
        <v/>
      </c>
      <c r="H529" s="27" t="str" cm="1">
        <f t="array" ref="H529">IF(
   A529="",
   "",
   _xlfn.LET(
      _xlpm.result,
      IFERROR(
         _xlfn.XLOOKUP(
            1,
            (Table8[رقم الصنف]=A529) *
            (IF($B$9="الكل",1, YEAR('ادخال البيانات'!$N$3:$N$1164)=VALUE($B$9))) *
            (IF($B$10="الكل",1, MONTH('ادخال البيانات'!$N$3:$N$1164)=VALUE($B$10))) *
            (IF($B$11="الكل",1, INT((DAY('ادخال البيانات'!$N$3:$N$1164)-1)/7)+1 = VALUE($B$11))),
            'ادخال البيانات'!$H$3:$H$1164
         ),
         ""
      ),
      IF(_xlpm.result="", "", _xlpm.result)
   )
)</f>
        <v/>
      </c>
      <c r="I529" s="27" t="str" cm="1">
        <f t="array" ref="I529">IF(
   A529="",
   "",
   _xlfn.LET(
      _xlpm.result,
      IFERROR(
         _xlfn.XLOOKUP(
            1,
            (Table8[رقم الصنف]=A529) *
            (IF($B$9="الكل",1, YEAR('ادخال البيانات'!$N$3:$N$1164)=VALUE($B$9))) *
            (IF($B$10="الكل",1, MONTH('ادخال البيانات'!$N$3:$N$1164)=VALUE($B$10))) *
            (IF($B$11="الكل",1, INT((DAY('ادخال البيانات'!$N$3:$N$1164)-1)/7)+1 = VALUE($B$11))),
            'ادخال البيانات'!$I$3:$I$1164
         ),
         ""
      ),
      IF(_xlpm.result="", "", _xlpm.result)
   )
)</f>
        <v/>
      </c>
      <c r="J529" s="27" t="str" cm="1">
        <f t="array" ref="J529">IF(
   A529="",
   "",
   _xlfn.LET(
      _xlpm.result,
      IFERROR(
         _xlfn.XLOOKUP(
            1,
            (Table8[رقم الصنف]=A529) *
            (IF($B$9="الكل",1, YEAR('ادخال البيانات'!$N$3:$N$1164)=VALUE($B$9))) *
            (IF($B$10="الكل",1, MONTH('ادخال البيانات'!$N$3:$N$1164)=VALUE($B$10))) *
            (IF($B$11="الكل",1, INT((DAY('ادخال البيانات'!$N$3:$N$1164)-1)/7)+1 = VALUE($B$11))),
            'ادخال البيانات'!$J$3:$J$1164
         ),
         ""
      ),
      IF(_xlpm.result="", "", _xlpm.result)
   )
)</f>
        <v/>
      </c>
      <c r="K529" s="27" t="str" cm="1">
        <f t="array" ref="K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29" s="27" t="str" cm="1">
        <f t="array" ref="L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29" s="27" t="str" cm="1">
        <f t="array" ref="M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29" s="28" t="str" cm="1">
        <f t="array" ref="N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29" s="28" t="str" cm="1">
        <f t="array" ref="O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29" s="27" t="str" cm="1">
        <f t="array" ref="P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Table8[جهة العطل]
         ),
         ""
      ),
      IF(_xlpm.result="", "", _xlpm.result)
   )
)</f>
        <v/>
      </c>
      <c r="Q529" s="27" t="str" cm="1">
        <f t="array" ref="Q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Table8[المركز]
         ),
         ""
      ),
      IF(_xlpm.result="", "", _xlpm.result)
   )
)</f>
        <v/>
      </c>
      <c r="R529" s="27" t="str" cm="1">
        <f t="array" ref="R529">IF(
   A529="",
   "",
   _xlfn.LET(
      _xlpm.result,
      IFERROR(
         _xlfn.XLOOKUP(
            1,
            (Table8[رقم الصنف]=A529) *
            (IF($B$9="الكل",1, YEAR('ادخال البيانات'!$N$3:$N$1164) = VALUE($B$9))) *
            (IF($B$10="الكل",1, MONTH('ادخال البيانات'!$N$3:$N$1164) = VALUE($B$10))) *
            (IF($B$11="الكل",1, INT((DAY('ادخال البيانات'!$N$3:$N$1164) - 1) / 7) + 1 = VALUE($B$11))),
            Table8[ملاحظة]
         ),
         ""
      ),
      IF(_xlpm.result="", "", _xlpm.result)
   )
)</f>
        <v/>
      </c>
      <c r="S529" s="27" t="str">
        <f t="shared" ca="1" si="8"/>
        <v/>
      </c>
    </row>
    <row r="530" spans="1:19" ht="27.75" customHeight="1" thickTop="1" thickBot="1" x14ac:dyDescent="0.35">
      <c r="A530" s="39"/>
      <c r="B530" s="50" t="str" cm="1">
        <f t="array" ref="B530">IF(
   OR(A530="", $B$9="", $B$10="", $B$11=""),
   "",
   _xlfn.LET(
      _xlpm.result,
      IFERROR(
         _xlfn.XLOOKUP(
            1,
            (Table8[رقم الصنف]=A530)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0" s="27" t="str" cm="1">
        <f t="array" ref="C530">IF(
   A530="",
   "",
   _xlfn.LET(
      _xlpm.result,
      IFERROR(
         _xlfn.XLOOKUP(
            1,
            (Table8[رقم الصنف]=A530) *
            (IF($B$9="الكل",1, YEAR('ادخال البيانات'!$N$3:$N$1164) = VALUE($B$9))) *
            (IF($B$10="الكل",1, MONTH('ادخال البيانات'!$N$3:$N$1164) = VALUE($B$10))) *
            (IF($B$11="الكل",1, INT((DAY('ادخال البيانات'!$N$3:$N$1164)-1)/7)+1 = VALUE($B$11))),
            'ادخال البيانات'!$C$3:$C$1164
         ),
         ""
      ),
      IF(_xlpm.result="", "", _xlpm.result)
   )
)</f>
        <v/>
      </c>
      <c r="D530" s="27" t="str" cm="1">
        <f t="array" ref="D530">IF(
   OR(A530="", $B$9="", $B$10="", $B$11=""),
   "",
   _xlfn.LET(
      _xlpm.result,
      IFERROR(
         _xlfn.XLOOKUP(
            1,
            (Table8[رقم الصنف]=A530) *
            (IF($B$9="الكل",1, YEAR('ادخال البيانات'!$N$3:$N$1164)=VALUE($B$9))) *
            (IF($B$10="الكل",1, MONTH('ادخال البيانات'!$N$3:$N$1164)=VALUE($B$10))) *
            (IF($B$11="الكل",1, INT((DAY('ادخال البيانات'!$N$3:$N$1164)-1)/7)+1 = VALUE($B$11))),
            'ادخال البيانات'!$D$3:$D$1164
         ),
         ""
      ),
      IF(_xlpm.result="", "", _xlpm.result)
   )
)</f>
        <v/>
      </c>
      <c r="E530" s="27" t="str" cm="1">
        <f t="array" ref="E530">IF(
   A530="",
   "",
   _xlfn.LET(
      _xlpm.result,
      IFERROR(
         _xlfn.XLOOKUP(
            1,
            (Table8[رقم الصنف]=A530) *
            (IF($B$9="الكل",1, YEAR('ادخال البيانات'!$N$3:$N$1164)=VALUE($B$9))) *
            (IF($B$10="الكل",1, MONTH('ادخال البيانات'!$N$3:$N$1164)=VALUE($B$10))) *
            (IF($B$11="الكل",1, INT((DAY('ادخال البيانات'!$N$3:$N$1164)-1)/7)+1 = VALUE($B$11))),
            'ادخال البيانات'!$E$3:$E$1164
         ),
         ""
      ),
      IF(_xlpm.result="", "", _xlpm.result)
   )
)</f>
        <v/>
      </c>
      <c r="F530" s="27" t="str" cm="1">
        <f t="array" ref="F530">IF(
   A530="",
   "",
   _xlfn.LET(
      _xlpm.result,
      IFERROR(
         _xlfn.XLOOKUP(
            1,
            (Table8[رقم الصنف]=A530) *
            (IF($B$9="الكل",1, YEAR('ادخال البيانات'!$N$3:$N$1164) = VALUE($B$9))) *
            (IF($B$10="الكل",1, MONTH('ادخال البيانات'!$N$3:$N$1164) = VALUE($B$10))) *
            (IF($B$11="الكل",1, INT((DAY('ادخال البيانات'!$N$3:$N$1164)-1)/7)+1 = VALUE($B$11))),
            'ادخال البيانات'!$F$3:$F$1164
         ),
         ""
      ),
      IF(_xlpm.result="", "", _xlpm.result)
   )
)</f>
        <v/>
      </c>
      <c r="G530" s="27" t="str" cm="1">
        <f t="array" ref="G530">IF(
   A530="",
   "",
   _xlfn.LET(
      _xlpm.result,
      IFERROR(
         _xlfn.XLOOKUP(
            1,
            (Table8[رقم الصنف]=A530) *
            (IF($B$9="الكل",1, YEAR('ادخال البيانات'!$N$3:$N$1164)=VALUE($B$9))) *
            (IF($B$10="الكل",1, MONTH('ادخال البيانات'!$N$3:$N$1164)=VALUE($B$10))) *
            (IF($B$11="الكل",1, INT((DAY('ادخال البيانات'!$N$3:$N$1164)-1)/7)+1 = VALUE($B$11))),
            'ادخال البيانات'!$G$3:$G$1164
         ),
         ""
      ),
      IF(_xlpm.result="", "", _xlpm.result)
   )
)</f>
        <v/>
      </c>
      <c r="H530" s="27" t="str" cm="1">
        <f t="array" ref="H530">IF(
   A530="",
   "",
   _xlfn.LET(
      _xlpm.result,
      IFERROR(
         _xlfn.XLOOKUP(
            1,
            (Table8[رقم الصنف]=A530) *
            (IF($B$9="الكل",1, YEAR('ادخال البيانات'!$N$3:$N$1164)=VALUE($B$9))) *
            (IF($B$10="الكل",1, MONTH('ادخال البيانات'!$N$3:$N$1164)=VALUE($B$10))) *
            (IF($B$11="الكل",1, INT((DAY('ادخال البيانات'!$N$3:$N$1164)-1)/7)+1 = VALUE($B$11))),
            'ادخال البيانات'!$H$3:$H$1164
         ),
         ""
      ),
      IF(_xlpm.result="", "", _xlpm.result)
   )
)</f>
        <v/>
      </c>
      <c r="I530" s="27" t="str" cm="1">
        <f t="array" ref="I530">IF(
   A530="",
   "",
   _xlfn.LET(
      _xlpm.result,
      IFERROR(
         _xlfn.XLOOKUP(
            1,
            (Table8[رقم الصنف]=A530) *
            (IF($B$9="الكل",1, YEAR('ادخال البيانات'!$N$3:$N$1164)=VALUE($B$9))) *
            (IF($B$10="الكل",1, MONTH('ادخال البيانات'!$N$3:$N$1164)=VALUE($B$10))) *
            (IF($B$11="الكل",1, INT((DAY('ادخال البيانات'!$N$3:$N$1164)-1)/7)+1 = VALUE($B$11))),
            'ادخال البيانات'!$I$3:$I$1164
         ),
         ""
      ),
      IF(_xlpm.result="", "", _xlpm.result)
   )
)</f>
        <v/>
      </c>
      <c r="J530" s="27" t="str" cm="1">
        <f t="array" ref="J530">IF(
   A530="",
   "",
   _xlfn.LET(
      _xlpm.result,
      IFERROR(
         _xlfn.XLOOKUP(
            1,
            (Table8[رقم الصنف]=A530) *
            (IF($B$9="الكل",1, YEAR('ادخال البيانات'!$N$3:$N$1164)=VALUE($B$9))) *
            (IF($B$10="الكل",1, MONTH('ادخال البيانات'!$N$3:$N$1164)=VALUE($B$10))) *
            (IF($B$11="الكل",1, INT((DAY('ادخال البيانات'!$N$3:$N$1164)-1)/7)+1 = VALUE($B$11))),
            'ادخال البيانات'!$J$3:$J$1164
         ),
         ""
      ),
      IF(_xlpm.result="", "", _xlpm.result)
   )
)</f>
        <v/>
      </c>
      <c r="K530" s="27" t="str" cm="1">
        <f t="array" ref="K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0" s="27" t="str" cm="1">
        <f t="array" ref="L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0" s="27" t="str" cm="1">
        <f t="array" ref="M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0" s="28" t="str" cm="1">
        <f t="array" ref="N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0" s="28" t="str" cm="1">
        <f t="array" ref="O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0" s="27" t="str" cm="1">
        <f t="array" ref="P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Table8[جهة العطل]
         ),
         ""
      ),
      IF(_xlpm.result="", "", _xlpm.result)
   )
)</f>
        <v/>
      </c>
      <c r="Q530" s="27" t="str" cm="1">
        <f t="array" ref="Q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Table8[المركز]
         ),
         ""
      ),
      IF(_xlpm.result="", "", _xlpm.result)
   )
)</f>
        <v/>
      </c>
      <c r="R530" s="27" t="str" cm="1">
        <f t="array" ref="R530">IF(
   A530="",
   "",
   _xlfn.LET(
      _xlpm.result,
      IFERROR(
         _xlfn.XLOOKUP(
            1,
            (Table8[رقم الصنف]=A530) *
            (IF($B$9="الكل",1, YEAR('ادخال البيانات'!$N$3:$N$1164) = VALUE($B$9))) *
            (IF($B$10="الكل",1, MONTH('ادخال البيانات'!$N$3:$N$1164) = VALUE($B$10))) *
            (IF($B$11="الكل",1, INT((DAY('ادخال البيانات'!$N$3:$N$1164) - 1) / 7) + 1 = VALUE($B$11))),
            Table8[ملاحظة]
         ),
         ""
      ),
      IF(_xlpm.result="", "", _xlpm.result)
   )
)</f>
        <v/>
      </c>
      <c r="S530" s="27" t="str">
        <f t="shared" ca="1" si="8"/>
        <v/>
      </c>
    </row>
    <row r="531" spans="1:19" ht="27.75" customHeight="1" thickTop="1" thickBot="1" x14ac:dyDescent="0.35">
      <c r="A531" s="39"/>
      <c r="B531" s="50" t="str" cm="1">
        <f t="array" ref="B531">IF(
   OR(A531="", $B$9="", $B$10="", $B$11=""),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1" s="27" t="str" cm="1">
        <f t="array" ref="C531">IF(
   A531="",
   "",
   _xlfn.LET(
      _xlpm.result,
      IFERROR(
         _xlfn.XLOOKUP(
            1,
            (Table8[رقم الصنف]=A531) *
            (IF($B$9="الكل",1, YEAR('ادخال البيانات'!$N$3:$N$1164) = VALUE($B$9))) *
            (IF($B$10="الكل",1, MONTH('ادخال البيانات'!$N$3:$N$1164) = VALUE($B$10))) *
            (IF($B$11="الكل",1, INT((DAY('ادخال البيانات'!$N$3:$N$1164)-1)/7)+1 = VALUE($B$11))),
            'ادخال البيانات'!$C$3:$C$1164
         ),
         ""
      ),
      IF(_xlpm.result="", "", _xlpm.result)
   )
)</f>
        <v/>
      </c>
      <c r="D531" s="27" t="str" cm="1">
        <f t="array" ref="D531">IF(
   OR(A531="", $B$9="", $B$10="", $B$11=""),
   "",
   _xlfn.LET(
      _xlpm.result,
      IFERROR(
         _xlfn.XLOOKUP(
            1,
            (Table8[رقم الصنف]=A531) *
            (IF($B$9="الكل",1, YEAR('ادخال البيانات'!$N$3:$N$1164)=VALUE($B$9))) *
            (IF($B$10="الكل",1, MONTH('ادخال البيانات'!$N$3:$N$1164)=VALUE($B$10))) *
            (IF($B$11="الكل",1, INT((DAY('ادخال البيانات'!$N$3:$N$1164)-1)/7)+1 = VALUE($B$11))),
            'ادخال البيانات'!$D$3:$D$1164
         ),
         ""
      ),
      IF(_xlpm.result="", "", _xlpm.result)
   )
)</f>
        <v/>
      </c>
      <c r="E531" s="27" t="str" cm="1">
        <f t="array" ref="E531">IF(
   A531="",
   "",
   _xlfn.LET(
      _xlpm.result,
      IFERROR(
         _xlfn.XLOOKUP(
            1,
            (Table8[رقم الصنف]=A531) *
            (IF($B$9="الكل",1, YEAR('ادخال البيانات'!$N$3:$N$1164)=VALUE($B$9))) *
            (IF($B$10="الكل",1, MONTH('ادخال البيانات'!$N$3:$N$1164)=VALUE($B$10))) *
            (IF($B$11="الكل",1, INT((DAY('ادخال البيانات'!$N$3:$N$1164)-1)/7)+1 = VALUE($B$11))),
            'ادخال البيانات'!$E$3:$E$1164
         ),
         ""
      ),
      IF(_xlpm.result="", "", _xlpm.result)
   )
)</f>
        <v/>
      </c>
      <c r="F531" s="27" t="str" cm="1">
        <f t="array" ref="F531">IF(
   A531="",
   "",
   _xlfn.LET(
      _xlpm.result,
      IFERROR(
         _xlfn.XLOOKUP(
            1,
            (Table8[رقم الصنف]=A531) *
            (IF($B$9="الكل",1, YEAR('ادخال البيانات'!$N$3:$N$1164) = VALUE($B$9))) *
            (IF($B$10="الكل",1, MONTH('ادخال البيانات'!$N$3:$N$1164) = VALUE($B$10))) *
            (IF($B$11="الكل",1, INT((DAY('ادخال البيانات'!$N$3:$N$1164)-1)/7)+1 = VALUE($B$11))),
            'ادخال البيانات'!$F$3:$F$1164
         ),
         ""
      ),
      IF(_xlpm.result="", "", _xlpm.result)
   )
)</f>
        <v/>
      </c>
      <c r="G531" s="27" t="str" cm="1">
        <f t="array" ref="G531">IF(
   A531="",
   "",
   _xlfn.LET(
      _xlpm.result,
      IFERROR(
         _xlfn.XLOOKUP(
            1,
            (Table8[رقم الصنف]=A531) *
            (IF($B$9="الكل",1, YEAR('ادخال البيانات'!$N$3:$N$1164)=VALUE($B$9))) *
            (IF($B$10="الكل",1, MONTH('ادخال البيانات'!$N$3:$N$1164)=VALUE($B$10))) *
            (IF($B$11="الكل",1, INT((DAY('ادخال البيانات'!$N$3:$N$1164)-1)/7)+1 = VALUE($B$11))),
            'ادخال البيانات'!$G$3:$G$1164
         ),
         ""
      ),
      IF(_xlpm.result="", "", _xlpm.result)
   )
)</f>
        <v/>
      </c>
      <c r="H531" s="27" t="str" cm="1">
        <f t="array" ref="H531">IF(
   A531="",
   "",
   _xlfn.LET(
      _xlpm.result,
      IFERROR(
         _xlfn.XLOOKUP(
            1,
            (Table8[رقم الصنف]=A531) *
            (IF($B$9="الكل",1, YEAR('ادخال البيانات'!$N$3:$N$1164)=VALUE($B$9))) *
            (IF($B$10="الكل",1, MONTH('ادخال البيانات'!$N$3:$N$1164)=VALUE($B$10))) *
            (IF($B$11="الكل",1, INT((DAY('ادخال البيانات'!$N$3:$N$1164)-1)/7)+1 = VALUE($B$11))),
            'ادخال البيانات'!$H$3:$H$1164
         ),
         ""
      ),
      IF(_xlpm.result="", "", _xlpm.result)
   )
)</f>
        <v/>
      </c>
      <c r="I531" s="27" t="str" cm="1">
        <f t="array" ref="I531">IF(
   A531="",
   "",
   _xlfn.LET(
      _xlpm.result,
      IFERROR(
         _xlfn.XLOOKUP(
            1,
            (Table8[رقم الصنف]=A531) *
            (IF($B$9="الكل",1, YEAR('ادخال البيانات'!$N$3:$N$1164)=VALUE($B$9))) *
            (IF($B$10="الكل",1, MONTH('ادخال البيانات'!$N$3:$N$1164)=VALUE($B$10))) *
            (IF($B$11="الكل",1, INT((DAY('ادخال البيانات'!$N$3:$N$1164)-1)/7)+1 = VALUE($B$11))),
            'ادخال البيانات'!$I$3:$I$1164
         ),
         ""
      ),
      IF(_xlpm.result="", "", _xlpm.result)
   )
)</f>
        <v/>
      </c>
      <c r="J531" s="27" t="str" cm="1">
        <f t="array" ref="J531">IF(
   A531="",
   "",
   _xlfn.LET(
      _xlpm.result,
      IFERROR(
         _xlfn.XLOOKUP(
            1,
            (Table8[رقم الصنف]=A531) *
            (IF($B$9="الكل",1, YEAR('ادخال البيانات'!$N$3:$N$1164)=VALUE($B$9))) *
            (IF($B$10="الكل",1, MONTH('ادخال البيانات'!$N$3:$N$1164)=VALUE($B$10))) *
            (IF($B$11="الكل",1, INT((DAY('ادخال البيانات'!$N$3:$N$1164)-1)/7)+1 = VALUE($B$11))),
            'ادخال البيانات'!$J$3:$J$1164
         ),
         ""
      ),
      IF(_xlpm.result="", "", _xlpm.result)
   )
)</f>
        <v/>
      </c>
      <c r="K531" s="27" t="str" cm="1">
        <f t="array" ref="K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1" s="27" t="str" cm="1">
        <f t="array" ref="L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1" s="27" t="str" cm="1">
        <f t="array" ref="M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1" s="28" t="str" cm="1">
        <f t="array" ref="N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1" s="28" t="str" cm="1">
        <f t="array" ref="O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1" s="27" t="str" cm="1">
        <f t="array" ref="P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Table8[جهة العطل]
         ),
         ""
      ),
      IF(_xlpm.result="", "", _xlpm.result)
   )
)</f>
        <v/>
      </c>
      <c r="Q531" s="27" t="str" cm="1">
        <f t="array" ref="Q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Table8[المركز]
         ),
         ""
      ),
      IF(_xlpm.result="", "", _xlpm.result)
   )
)</f>
        <v/>
      </c>
      <c r="R531" s="27" t="str" cm="1">
        <f t="array" ref="R531">IF(
   A531="",
   "",
   _xlfn.LET(
      _xlpm.result,
      IFERROR(
         _xlfn.XLOOKUP(
            1,
            (Table8[رقم الصنف]=A531) *
            (IF($B$9="الكل",1, YEAR('ادخال البيانات'!$N$3:$N$1164) = VALUE($B$9))) *
            (IF($B$10="الكل",1, MONTH('ادخال البيانات'!$N$3:$N$1164) = VALUE($B$10))) *
            (IF($B$11="الكل",1, INT((DAY('ادخال البيانات'!$N$3:$N$1164) - 1) / 7) + 1 = VALUE($B$11))),
            Table8[ملاحظة]
         ),
         ""
      ),
      IF(_xlpm.result="", "", _xlpm.result)
   )
)</f>
        <v/>
      </c>
      <c r="S531" s="27" t="str">
        <f t="shared" ca="1" si="8"/>
        <v/>
      </c>
    </row>
    <row r="532" spans="1:19" ht="27.75" customHeight="1" thickTop="1" thickBot="1" x14ac:dyDescent="0.35">
      <c r="A532" s="39"/>
      <c r="B532" s="50" t="str" cm="1">
        <f t="array" ref="B532">IF(
   OR(A532="", $B$9="", $B$10="", $B$11=""),
   "",
   _xlfn.LET(
      _xlpm.result,
      IFERROR(
         _xlfn.XLOOKUP(
            1,
            (Table8[رقم الصنف]=A532)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2" s="27" t="str" cm="1">
        <f t="array" ref="C532">IF(
   A532="",
   "",
   _xlfn.LET(
      _xlpm.result,
      IFERROR(
         _xlfn.XLOOKUP(
            1,
            (Table8[رقم الصنف]=A532) *
            (IF($B$9="الكل",1, YEAR('ادخال البيانات'!$N$3:$N$1164) = VALUE($B$9))) *
            (IF($B$10="الكل",1, MONTH('ادخال البيانات'!$N$3:$N$1164) = VALUE($B$10))) *
            (IF($B$11="الكل",1, INT((DAY('ادخال البيانات'!$N$3:$N$1164)-1)/7)+1 = VALUE($B$11))),
            'ادخال البيانات'!$C$3:$C$1164
         ),
         ""
      ),
      IF(_xlpm.result="", "", _xlpm.result)
   )
)</f>
        <v/>
      </c>
      <c r="D532" s="27" t="str" cm="1">
        <f t="array" ref="D532">IF(
   OR(A532="", $B$9="", $B$10="", $B$11=""),
   "",
   _xlfn.LET(
      _xlpm.result,
      IFERROR(
         _xlfn.XLOOKUP(
            1,
            (Table8[رقم الصنف]=A532) *
            (IF($B$9="الكل",1, YEAR('ادخال البيانات'!$N$3:$N$1164)=VALUE($B$9))) *
            (IF($B$10="الكل",1, MONTH('ادخال البيانات'!$N$3:$N$1164)=VALUE($B$10))) *
            (IF($B$11="الكل",1, INT((DAY('ادخال البيانات'!$N$3:$N$1164)-1)/7)+1 = VALUE($B$11))),
            'ادخال البيانات'!$D$3:$D$1164
         ),
         ""
      ),
      IF(_xlpm.result="", "", _xlpm.result)
   )
)</f>
        <v/>
      </c>
      <c r="E532" s="27" t="str" cm="1">
        <f t="array" ref="E532">IF(
   A532="",
   "",
   _xlfn.LET(
      _xlpm.result,
      IFERROR(
         _xlfn.XLOOKUP(
            1,
            (Table8[رقم الصنف]=A532) *
            (IF($B$9="الكل",1, YEAR('ادخال البيانات'!$N$3:$N$1164)=VALUE($B$9))) *
            (IF($B$10="الكل",1, MONTH('ادخال البيانات'!$N$3:$N$1164)=VALUE($B$10))) *
            (IF($B$11="الكل",1, INT((DAY('ادخال البيانات'!$N$3:$N$1164)-1)/7)+1 = VALUE($B$11))),
            'ادخال البيانات'!$E$3:$E$1164
         ),
         ""
      ),
      IF(_xlpm.result="", "", _xlpm.result)
   )
)</f>
        <v/>
      </c>
      <c r="F532" s="27" t="str" cm="1">
        <f t="array" ref="F532">IF(
   A532="",
   "",
   _xlfn.LET(
      _xlpm.result,
      IFERROR(
         _xlfn.XLOOKUP(
            1,
            (Table8[رقم الصنف]=A532) *
            (IF($B$9="الكل",1, YEAR('ادخال البيانات'!$N$3:$N$1164) = VALUE($B$9))) *
            (IF($B$10="الكل",1, MONTH('ادخال البيانات'!$N$3:$N$1164) = VALUE($B$10))) *
            (IF($B$11="الكل",1, INT((DAY('ادخال البيانات'!$N$3:$N$1164)-1)/7)+1 = VALUE($B$11))),
            'ادخال البيانات'!$F$3:$F$1164
         ),
         ""
      ),
      IF(_xlpm.result="", "", _xlpm.result)
   )
)</f>
        <v/>
      </c>
      <c r="G532" s="27" t="str" cm="1">
        <f t="array" ref="G532">IF(
   A532="",
   "",
   _xlfn.LET(
      _xlpm.result,
      IFERROR(
         _xlfn.XLOOKUP(
            1,
            (Table8[رقم الصنف]=A532) *
            (IF($B$9="الكل",1, YEAR('ادخال البيانات'!$N$3:$N$1164)=VALUE($B$9))) *
            (IF($B$10="الكل",1, MONTH('ادخال البيانات'!$N$3:$N$1164)=VALUE($B$10))) *
            (IF($B$11="الكل",1, INT((DAY('ادخال البيانات'!$N$3:$N$1164)-1)/7)+1 = VALUE($B$11))),
            'ادخال البيانات'!$G$3:$G$1164
         ),
         ""
      ),
      IF(_xlpm.result="", "", _xlpm.result)
   )
)</f>
        <v/>
      </c>
      <c r="H532" s="27" t="str" cm="1">
        <f t="array" ref="H532">IF(
   A532="",
   "",
   _xlfn.LET(
      _xlpm.result,
      IFERROR(
         _xlfn.XLOOKUP(
            1,
            (Table8[رقم الصنف]=A532) *
            (IF($B$9="الكل",1, YEAR('ادخال البيانات'!$N$3:$N$1164)=VALUE($B$9))) *
            (IF($B$10="الكل",1, MONTH('ادخال البيانات'!$N$3:$N$1164)=VALUE($B$10))) *
            (IF($B$11="الكل",1, INT((DAY('ادخال البيانات'!$N$3:$N$1164)-1)/7)+1 = VALUE($B$11))),
            'ادخال البيانات'!$H$3:$H$1164
         ),
         ""
      ),
      IF(_xlpm.result="", "", _xlpm.result)
   )
)</f>
        <v/>
      </c>
      <c r="I532" s="27" t="str" cm="1">
        <f t="array" ref="I532">IF(
   A532="",
   "",
   _xlfn.LET(
      _xlpm.result,
      IFERROR(
         _xlfn.XLOOKUP(
            1,
            (Table8[رقم الصنف]=A532) *
            (IF($B$9="الكل",1, YEAR('ادخال البيانات'!$N$3:$N$1164)=VALUE($B$9))) *
            (IF($B$10="الكل",1, MONTH('ادخال البيانات'!$N$3:$N$1164)=VALUE($B$10))) *
            (IF($B$11="الكل",1, INT((DAY('ادخال البيانات'!$N$3:$N$1164)-1)/7)+1 = VALUE($B$11))),
            'ادخال البيانات'!$I$3:$I$1164
         ),
         ""
      ),
      IF(_xlpm.result="", "", _xlpm.result)
   )
)</f>
        <v/>
      </c>
      <c r="J532" s="27" t="str" cm="1">
        <f t="array" ref="J532">IF(
   A532="",
   "",
   _xlfn.LET(
      _xlpm.result,
      IFERROR(
         _xlfn.XLOOKUP(
            1,
            (Table8[رقم الصنف]=A532) *
            (IF($B$9="الكل",1, YEAR('ادخال البيانات'!$N$3:$N$1164)=VALUE($B$9))) *
            (IF($B$10="الكل",1, MONTH('ادخال البيانات'!$N$3:$N$1164)=VALUE($B$10))) *
            (IF($B$11="الكل",1, INT((DAY('ادخال البيانات'!$N$3:$N$1164)-1)/7)+1 = VALUE($B$11))),
            'ادخال البيانات'!$J$3:$J$1164
         ),
         ""
      ),
      IF(_xlpm.result="", "", _xlpm.result)
   )
)</f>
        <v/>
      </c>
      <c r="K532" s="27" t="str" cm="1">
        <f t="array" ref="K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2" s="27" t="str" cm="1">
        <f t="array" ref="L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2" s="27" t="str" cm="1">
        <f t="array" ref="M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2" s="28" t="str" cm="1">
        <f t="array" ref="N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2" s="28" t="str" cm="1">
        <f t="array" ref="O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2" s="27" t="str" cm="1">
        <f t="array" ref="P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Table8[جهة العطل]
         ),
         ""
      ),
      IF(_xlpm.result="", "", _xlpm.result)
   )
)</f>
        <v/>
      </c>
      <c r="Q532" s="27" t="str" cm="1">
        <f t="array" ref="Q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Table8[المركز]
         ),
         ""
      ),
      IF(_xlpm.result="", "", _xlpm.result)
   )
)</f>
        <v/>
      </c>
      <c r="R532" s="27" t="str" cm="1">
        <f t="array" ref="R532">IF(
   A532="",
   "",
   _xlfn.LET(
      _xlpm.result,
      IFERROR(
         _xlfn.XLOOKUP(
            1,
            (Table8[رقم الصنف]=A532) *
            (IF($B$9="الكل",1, YEAR('ادخال البيانات'!$N$3:$N$1164) = VALUE($B$9))) *
            (IF($B$10="الكل",1, MONTH('ادخال البيانات'!$N$3:$N$1164) = VALUE($B$10))) *
            (IF($B$11="الكل",1, INT((DAY('ادخال البيانات'!$N$3:$N$1164) - 1) / 7) + 1 = VALUE($B$11))),
            Table8[ملاحظة]
         ),
         ""
      ),
      IF(_xlpm.result="", "", _xlpm.result)
   )
)</f>
        <v/>
      </c>
      <c r="S532" s="27" t="str">
        <f t="shared" ca="1" si="8"/>
        <v/>
      </c>
    </row>
    <row r="533" spans="1:19" ht="27.75" customHeight="1" thickTop="1" thickBot="1" x14ac:dyDescent="0.35">
      <c r="A533" s="39"/>
      <c r="B533" s="50" t="str" cm="1">
        <f t="array" ref="B533">IF(
   OR(A533="", $B$9="", $B$10="", $B$11=""),
   "",
   _xlfn.LET(
      _xlpm.result,
      IFERROR(
         _xlfn.XLOOKUP(
            1,
            (Table8[رقم الصنف]=A533)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3" s="27" t="str" cm="1">
        <f t="array" ref="C533">IF(
   A533="",
   "",
   _xlfn.LET(
      _xlpm.result,
      IFERROR(
         _xlfn.XLOOKUP(
            1,
            (Table8[رقم الصنف]=A533) *
            (IF($B$9="الكل",1, YEAR('ادخال البيانات'!$N$3:$N$1164) = VALUE($B$9))) *
            (IF($B$10="الكل",1, MONTH('ادخال البيانات'!$N$3:$N$1164) = VALUE($B$10))) *
            (IF($B$11="الكل",1, INT((DAY('ادخال البيانات'!$N$3:$N$1164)-1)/7)+1 = VALUE($B$11))),
            'ادخال البيانات'!$C$3:$C$1164
         ),
         ""
      ),
      IF(_xlpm.result="", "", _xlpm.result)
   )
)</f>
        <v/>
      </c>
      <c r="D533" s="27" t="str" cm="1">
        <f t="array" ref="D533">IF(
   OR(A533="", $B$9="", $B$10="", $B$11=""),
   "",
   _xlfn.LET(
      _xlpm.result,
      IFERROR(
         _xlfn.XLOOKUP(
            1,
            (Table8[رقم الصنف]=A533) *
            (IF($B$9="الكل",1, YEAR('ادخال البيانات'!$N$3:$N$1164)=VALUE($B$9))) *
            (IF($B$10="الكل",1, MONTH('ادخال البيانات'!$N$3:$N$1164)=VALUE($B$10))) *
            (IF($B$11="الكل",1, INT((DAY('ادخال البيانات'!$N$3:$N$1164)-1)/7)+1 = VALUE($B$11))),
            'ادخال البيانات'!$D$3:$D$1164
         ),
         ""
      ),
      IF(_xlpm.result="", "", _xlpm.result)
   )
)</f>
        <v/>
      </c>
      <c r="E533" s="27" t="str" cm="1">
        <f t="array" ref="E533">IF(
   A533="",
   "",
   _xlfn.LET(
      _xlpm.result,
      IFERROR(
         _xlfn.XLOOKUP(
            1,
            (Table8[رقم الصنف]=A533) *
            (IF($B$9="الكل",1, YEAR('ادخال البيانات'!$N$3:$N$1164)=VALUE($B$9))) *
            (IF($B$10="الكل",1, MONTH('ادخال البيانات'!$N$3:$N$1164)=VALUE($B$10))) *
            (IF($B$11="الكل",1, INT((DAY('ادخال البيانات'!$N$3:$N$1164)-1)/7)+1 = VALUE($B$11))),
            'ادخال البيانات'!$E$3:$E$1164
         ),
         ""
      ),
      IF(_xlpm.result="", "", _xlpm.result)
   )
)</f>
        <v/>
      </c>
      <c r="F533" s="27" t="str" cm="1">
        <f t="array" ref="F533">IF(
   A533="",
   "",
   _xlfn.LET(
      _xlpm.result,
      IFERROR(
         _xlfn.XLOOKUP(
            1,
            (Table8[رقم الصنف]=A533) *
            (IF($B$9="الكل",1, YEAR('ادخال البيانات'!$N$3:$N$1164) = VALUE($B$9))) *
            (IF($B$10="الكل",1, MONTH('ادخال البيانات'!$N$3:$N$1164) = VALUE($B$10))) *
            (IF($B$11="الكل",1, INT((DAY('ادخال البيانات'!$N$3:$N$1164)-1)/7)+1 = VALUE($B$11))),
            'ادخال البيانات'!$F$3:$F$1164
         ),
         ""
      ),
      IF(_xlpm.result="", "", _xlpm.result)
   )
)</f>
        <v/>
      </c>
      <c r="G533" s="27" t="str" cm="1">
        <f t="array" ref="G533">IF(
   A533="",
   "",
   _xlfn.LET(
      _xlpm.result,
      IFERROR(
         _xlfn.XLOOKUP(
            1,
            (Table8[رقم الصنف]=A533) *
            (IF($B$9="الكل",1, YEAR('ادخال البيانات'!$N$3:$N$1164)=VALUE($B$9))) *
            (IF($B$10="الكل",1, MONTH('ادخال البيانات'!$N$3:$N$1164)=VALUE($B$10))) *
            (IF($B$11="الكل",1, INT((DAY('ادخال البيانات'!$N$3:$N$1164)-1)/7)+1 = VALUE($B$11))),
            'ادخال البيانات'!$G$3:$G$1164
         ),
         ""
      ),
      IF(_xlpm.result="", "", _xlpm.result)
   )
)</f>
        <v/>
      </c>
      <c r="H533" s="27" t="str" cm="1">
        <f t="array" ref="H533">IF(
   A533="",
   "",
   _xlfn.LET(
      _xlpm.result,
      IFERROR(
         _xlfn.XLOOKUP(
            1,
            (Table8[رقم الصنف]=A533) *
            (IF($B$9="الكل",1, YEAR('ادخال البيانات'!$N$3:$N$1164)=VALUE($B$9))) *
            (IF($B$10="الكل",1, MONTH('ادخال البيانات'!$N$3:$N$1164)=VALUE($B$10))) *
            (IF($B$11="الكل",1, INT((DAY('ادخال البيانات'!$N$3:$N$1164)-1)/7)+1 = VALUE($B$11))),
            'ادخال البيانات'!$H$3:$H$1164
         ),
         ""
      ),
      IF(_xlpm.result="", "", _xlpm.result)
   )
)</f>
        <v/>
      </c>
      <c r="I533" s="27" t="str" cm="1">
        <f t="array" ref="I533">IF(
   A533="",
   "",
   _xlfn.LET(
      _xlpm.result,
      IFERROR(
         _xlfn.XLOOKUP(
            1,
            (Table8[رقم الصنف]=A533) *
            (IF($B$9="الكل",1, YEAR('ادخال البيانات'!$N$3:$N$1164)=VALUE($B$9))) *
            (IF($B$10="الكل",1, MONTH('ادخال البيانات'!$N$3:$N$1164)=VALUE($B$10))) *
            (IF($B$11="الكل",1, INT((DAY('ادخال البيانات'!$N$3:$N$1164)-1)/7)+1 = VALUE($B$11))),
            'ادخال البيانات'!$I$3:$I$1164
         ),
         ""
      ),
      IF(_xlpm.result="", "", _xlpm.result)
   )
)</f>
        <v/>
      </c>
      <c r="J533" s="27" t="str" cm="1">
        <f t="array" ref="J533">IF(
   A533="",
   "",
   _xlfn.LET(
      _xlpm.result,
      IFERROR(
         _xlfn.XLOOKUP(
            1,
            (Table8[رقم الصنف]=A533) *
            (IF($B$9="الكل",1, YEAR('ادخال البيانات'!$N$3:$N$1164)=VALUE($B$9))) *
            (IF($B$10="الكل",1, MONTH('ادخال البيانات'!$N$3:$N$1164)=VALUE($B$10))) *
            (IF($B$11="الكل",1, INT((DAY('ادخال البيانات'!$N$3:$N$1164)-1)/7)+1 = VALUE($B$11))),
            'ادخال البيانات'!$J$3:$J$1164
         ),
         ""
      ),
      IF(_xlpm.result="", "", _xlpm.result)
   )
)</f>
        <v/>
      </c>
      <c r="K533" s="27" t="str" cm="1">
        <f t="array" ref="K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3" s="27" t="str" cm="1">
        <f t="array" ref="L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3" s="27" t="str" cm="1">
        <f t="array" ref="M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3" s="28" t="str" cm="1">
        <f t="array" ref="N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3" s="28" t="str" cm="1">
        <f t="array" ref="O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3" s="27" t="str" cm="1">
        <f t="array" ref="P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Table8[جهة العطل]
         ),
         ""
      ),
      IF(_xlpm.result="", "", _xlpm.result)
   )
)</f>
        <v/>
      </c>
      <c r="Q533" s="27" t="str" cm="1">
        <f t="array" ref="Q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Table8[المركز]
         ),
         ""
      ),
      IF(_xlpm.result="", "", _xlpm.result)
   )
)</f>
        <v/>
      </c>
      <c r="R533" s="27" t="str" cm="1">
        <f t="array" ref="R533">IF(
   A533="",
   "",
   _xlfn.LET(
      _xlpm.result,
      IFERROR(
         _xlfn.XLOOKUP(
            1,
            (Table8[رقم الصنف]=A533) *
            (IF($B$9="الكل",1, YEAR('ادخال البيانات'!$N$3:$N$1164) = VALUE($B$9))) *
            (IF($B$10="الكل",1, MONTH('ادخال البيانات'!$N$3:$N$1164) = VALUE($B$10))) *
            (IF($B$11="الكل",1, INT((DAY('ادخال البيانات'!$N$3:$N$1164) - 1) / 7) + 1 = VALUE($B$11))),
            Table8[ملاحظة]
         ),
         ""
      ),
      IF(_xlpm.result="", "", _xlpm.result)
   )
)</f>
        <v/>
      </c>
      <c r="S533" s="27" t="str">
        <f t="shared" ca="1" si="8"/>
        <v/>
      </c>
    </row>
    <row r="534" spans="1:19" ht="27.75" customHeight="1" thickTop="1" thickBot="1" x14ac:dyDescent="0.35">
      <c r="A534" s="39"/>
      <c r="B534" s="50" t="str" cm="1">
        <f t="array" ref="B534">IF(
   OR(A534="", $B$9="", $B$10="", $B$11=""),
   "",
   _xlfn.LET(
      _xlpm.result,
      IFERROR(
         _xlfn.XLOOKUP(
            1,
            (Table8[رقم الصنف]=A534)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4" s="27" t="str" cm="1">
        <f t="array" ref="C534">IF(
   A534="",
   "",
   _xlfn.LET(
      _xlpm.result,
      IFERROR(
         _xlfn.XLOOKUP(
            1,
            (Table8[رقم الصنف]=A534) *
            (IF($B$9="الكل",1, YEAR('ادخال البيانات'!$N$3:$N$1164) = VALUE($B$9))) *
            (IF($B$10="الكل",1, MONTH('ادخال البيانات'!$N$3:$N$1164) = VALUE($B$10))) *
            (IF($B$11="الكل",1, INT((DAY('ادخال البيانات'!$N$3:$N$1164)-1)/7)+1 = VALUE($B$11))),
            'ادخال البيانات'!$C$3:$C$1164
         ),
         ""
      ),
      IF(_xlpm.result="", "", _xlpm.result)
   )
)</f>
        <v/>
      </c>
      <c r="D534" s="27" t="str" cm="1">
        <f t="array" ref="D534">IF(
   OR(A534="", $B$9="", $B$10="", $B$11=""),
   "",
   _xlfn.LET(
      _xlpm.result,
      IFERROR(
         _xlfn.XLOOKUP(
            1,
            (Table8[رقم الصنف]=A534) *
            (IF($B$9="الكل",1, YEAR('ادخال البيانات'!$N$3:$N$1164)=VALUE($B$9))) *
            (IF($B$10="الكل",1, MONTH('ادخال البيانات'!$N$3:$N$1164)=VALUE($B$10))) *
            (IF($B$11="الكل",1, INT((DAY('ادخال البيانات'!$N$3:$N$1164)-1)/7)+1 = VALUE($B$11))),
            'ادخال البيانات'!$D$3:$D$1164
         ),
         ""
      ),
      IF(_xlpm.result="", "", _xlpm.result)
   )
)</f>
        <v/>
      </c>
      <c r="E534" s="27" t="str" cm="1">
        <f t="array" ref="E534">IF(
   A534="",
   "",
   _xlfn.LET(
      _xlpm.result,
      IFERROR(
         _xlfn.XLOOKUP(
            1,
            (Table8[رقم الصنف]=A534) *
            (IF($B$9="الكل",1, YEAR('ادخال البيانات'!$N$3:$N$1164)=VALUE($B$9))) *
            (IF($B$10="الكل",1, MONTH('ادخال البيانات'!$N$3:$N$1164)=VALUE($B$10))) *
            (IF($B$11="الكل",1, INT((DAY('ادخال البيانات'!$N$3:$N$1164)-1)/7)+1 = VALUE($B$11))),
            'ادخال البيانات'!$E$3:$E$1164
         ),
         ""
      ),
      IF(_xlpm.result="", "", _xlpm.result)
   )
)</f>
        <v/>
      </c>
      <c r="F534" s="27" t="str" cm="1">
        <f t="array" ref="F534">IF(
   A534="",
   "",
   _xlfn.LET(
      _xlpm.result,
      IFERROR(
         _xlfn.XLOOKUP(
            1,
            (Table8[رقم الصنف]=A534) *
            (IF($B$9="الكل",1, YEAR('ادخال البيانات'!$N$3:$N$1164) = VALUE($B$9))) *
            (IF($B$10="الكل",1, MONTH('ادخال البيانات'!$N$3:$N$1164) = VALUE($B$10))) *
            (IF($B$11="الكل",1, INT((DAY('ادخال البيانات'!$N$3:$N$1164)-1)/7)+1 = VALUE($B$11))),
            'ادخال البيانات'!$F$3:$F$1164
         ),
         ""
      ),
      IF(_xlpm.result="", "", _xlpm.result)
   )
)</f>
        <v/>
      </c>
      <c r="G534" s="27" t="str" cm="1">
        <f t="array" ref="G534">IF(
   A534="",
   "",
   _xlfn.LET(
      _xlpm.result,
      IFERROR(
         _xlfn.XLOOKUP(
            1,
            (Table8[رقم الصنف]=A534) *
            (IF($B$9="الكل",1, YEAR('ادخال البيانات'!$N$3:$N$1164)=VALUE($B$9))) *
            (IF($B$10="الكل",1, MONTH('ادخال البيانات'!$N$3:$N$1164)=VALUE($B$10))) *
            (IF($B$11="الكل",1, INT((DAY('ادخال البيانات'!$N$3:$N$1164)-1)/7)+1 = VALUE($B$11))),
            'ادخال البيانات'!$G$3:$G$1164
         ),
         ""
      ),
      IF(_xlpm.result="", "", _xlpm.result)
   )
)</f>
        <v/>
      </c>
      <c r="H534" s="27" t="str" cm="1">
        <f t="array" ref="H534">IF(
   A534="",
   "",
   _xlfn.LET(
      _xlpm.result,
      IFERROR(
         _xlfn.XLOOKUP(
            1,
            (Table8[رقم الصنف]=A534) *
            (IF($B$9="الكل",1, YEAR('ادخال البيانات'!$N$3:$N$1164)=VALUE($B$9))) *
            (IF($B$10="الكل",1, MONTH('ادخال البيانات'!$N$3:$N$1164)=VALUE($B$10))) *
            (IF($B$11="الكل",1, INT((DAY('ادخال البيانات'!$N$3:$N$1164)-1)/7)+1 = VALUE($B$11))),
            'ادخال البيانات'!$H$3:$H$1164
         ),
         ""
      ),
      IF(_xlpm.result="", "", _xlpm.result)
   )
)</f>
        <v/>
      </c>
      <c r="I534" s="27" t="str" cm="1">
        <f t="array" ref="I534">IF(
   A534="",
   "",
   _xlfn.LET(
      _xlpm.result,
      IFERROR(
         _xlfn.XLOOKUP(
            1,
            (Table8[رقم الصنف]=A534) *
            (IF($B$9="الكل",1, YEAR('ادخال البيانات'!$N$3:$N$1164)=VALUE($B$9))) *
            (IF($B$10="الكل",1, MONTH('ادخال البيانات'!$N$3:$N$1164)=VALUE($B$10))) *
            (IF($B$11="الكل",1, INT((DAY('ادخال البيانات'!$N$3:$N$1164)-1)/7)+1 = VALUE($B$11))),
            'ادخال البيانات'!$I$3:$I$1164
         ),
         ""
      ),
      IF(_xlpm.result="", "", _xlpm.result)
   )
)</f>
        <v/>
      </c>
      <c r="J534" s="27" t="str" cm="1">
        <f t="array" ref="J534">IF(
   A534="",
   "",
   _xlfn.LET(
      _xlpm.result,
      IFERROR(
         _xlfn.XLOOKUP(
            1,
            (Table8[رقم الصنف]=A534) *
            (IF($B$9="الكل",1, YEAR('ادخال البيانات'!$N$3:$N$1164)=VALUE($B$9))) *
            (IF($B$10="الكل",1, MONTH('ادخال البيانات'!$N$3:$N$1164)=VALUE($B$10))) *
            (IF($B$11="الكل",1, INT((DAY('ادخال البيانات'!$N$3:$N$1164)-1)/7)+1 = VALUE($B$11))),
            'ادخال البيانات'!$J$3:$J$1164
         ),
         ""
      ),
      IF(_xlpm.result="", "", _xlpm.result)
   )
)</f>
        <v/>
      </c>
      <c r="K534" s="27" t="str" cm="1">
        <f t="array" ref="K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4" s="27" t="str" cm="1">
        <f t="array" ref="L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4" s="27" t="str" cm="1">
        <f t="array" ref="M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4" s="28" t="str" cm="1">
        <f t="array" ref="N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4" s="28" t="str" cm="1">
        <f t="array" ref="O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4" s="27" t="str" cm="1">
        <f t="array" ref="P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Table8[جهة العطل]
         ),
         ""
      ),
      IF(_xlpm.result="", "", _xlpm.result)
   )
)</f>
        <v/>
      </c>
      <c r="Q534" s="27" t="str" cm="1">
        <f t="array" ref="Q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Table8[المركز]
         ),
         ""
      ),
      IF(_xlpm.result="", "", _xlpm.result)
   )
)</f>
        <v/>
      </c>
      <c r="R534" s="27" t="str" cm="1">
        <f t="array" ref="R534">IF(
   A534="",
   "",
   _xlfn.LET(
      _xlpm.result,
      IFERROR(
         _xlfn.XLOOKUP(
            1,
            (Table8[رقم الصنف]=A534) *
            (IF($B$9="الكل",1, YEAR('ادخال البيانات'!$N$3:$N$1164) = VALUE($B$9))) *
            (IF($B$10="الكل",1, MONTH('ادخال البيانات'!$N$3:$N$1164) = VALUE($B$10))) *
            (IF($B$11="الكل",1, INT((DAY('ادخال البيانات'!$N$3:$N$1164) - 1) / 7) + 1 = VALUE($B$11))),
            Table8[ملاحظة]
         ),
         ""
      ),
      IF(_xlpm.result="", "", _xlpm.result)
   )
)</f>
        <v/>
      </c>
      <c r="S534" s="27" t="str">
        <f t="shared" ca="1" si="8"/>
        <v/>
      </c>
    </row>
    <row r="535" spans="1:19" ht="27.75" customHeight="1" thickTop="1" thickBot="1" x14ac:dyDescent="0.35">
      <c r="A535" s="39"/>
      <c r="B535" s="50" t="str" cm="1">
        <f t="array" ref="B535">IF(
   OR(A535="", $B$9="", $B$10="", $B$11=""),
   "",
   _xlfn.LET(
      _xlpm.result,
      IFERROR(
         _xlfn.XLOOKUP(
            1,
            (Table8[رقم الصنف]=A535)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5" s="27" t="str" cm="1">
        <f t="array" ref="C535">IF(
   A535="",
   "",
   _xlfn.LET(
      _xlpm.result,
      IFERROR(
         _xlfn.XLOOKUP(
            1,
            (Table8[رقم الصنف]=A535) *
            (IF($B$9="الكل",1, YEAR('ادخال البيانات'!$N$3:$N$1164) = VALUE($B$9))) *
            (IF($B$10="الكل",1, MONTH('ادخال البيانات'!$N$3:$N$1164) = VALUE($B$10))) *
            (IF($B$11="الكل",1, INT((DAY('ادخال البيانات'!$N$3:$N$1164)-1)/7)+1 = VALUE($B$11))),
            'ادخال البيانات'!$C$3:$C$1164
         ),
         ""
      ),
      IF(_xlpm.result="", "", _xlpm.result)
   )
)</f>
        <v/>
      </c>
      <c r="D535" s="27" t="str" cm="1">
        <f t="array" ref="D535">IF(
   OR(A535="", $B$9="", $B$10="", $B$11=""),
   "",
   _xlfn.LET(
      _xlpm.result,
      IFERROR(
         _xlfn.XLOOKUP(
            1,
            (Table8[رقم الصنف]=A535) *
            (IF($B$9="الكل",1, YEAR('ادخال البيانات'!$N$3:$N$1164)=VALUE($B$9))) *
            (IF($B$10="الكل",1, MONTH('ادخال البيانات'!$N$3:$N$1164)=VALUE($B$10))) *
            (IF($B$11="الكل",1, INT((DAY('ادخال البيانات'!$N$3:$N$1164)-1)/7)+1 = VALUE($B$11))),
            'ادخال البيانات'!$D$3:$D$1164
         ),
         ""
      ),
      IF(_xlpm.result="", "", _xlpm.result)
   )
)</f>
        <v/>
      </c>
      <c r="E535" s="27" t="str" cm="1">
        <f t="array" ref="E535">IF(
   A535="",
   "",
   _xlfn.LET(
      _xlpm.result,
      IFERROR(
         _xlfn.XLOOKUP(
            1,
            (Table8[رقم الصنف]=A535) *
            (IF($B$9="الكل",1, YEAR('ادخال البيانات'!$N$3:$N$1164)=VALUE($B$9))) *
            (IF($B$10="الكل",1, MONTH('ادخال البيانات'!$N$3:$N$1164)=VALUE($B$10))) *
            (IF($B$11="الكل",1, INT((DAY('ادخال البيانات'!$N$3:$N$1164)-1)/7)+1 = VALUE($B$11))),
            'ادخال البيانات'!$E$3:$E$1164
         ),
         ""
      ),
      IF(_xlpm.result="", "", _xlpm.result)
   )
)</f>
        <v/>
      </c>
      <c r="F535" s="27" t="str" cm="1">
        <f t="array" ref="F535">IF(
   A535="",
   "",
   _xlfn.LET(
      _xlpm.result,
      IFERROR(
         _xlfn.XLOOKUP(
            1,
            (Table8[رقم الصنف]=A535) *
            (IF($B$9="الكل",1, YEAR('ادخال البيانات'!$N$3:$N$1164) = VALUE($B$9))) *
            (IF($B$10="الكل",1, MONTH('ادخال البيانات'!$N$3:$N$1164) = VALUE($B$10))) *
            (IF($B$11="الكل",1, INT((DAY('ادخال البيانات'!$N$3:$N$1164)-1)/7)+1 = VALUE($B$11))),
            'ادخال البيانات'!$F$3:$F$1164
         ),
         ""
      ),
      IF(_xlpm.result="", "", _xlpm.result)
   )
)</f>
        <v/>
      </c>
      <c r="G535" s="27" t="str" cm="1">
        <f t="array" ref="G535">IF(
   A535="",
   "",
   _xlfn.LET(
      _xlpm.result,
      IFERROR(
         _xlfn.XLOOKUP(
            1,
            (Table8[رقم الصنف]=A535) *
            (IF($B$9="الكل",1, YEAR('ادخال البيانات'!$N$3:$N$1164)=VALUE($B$9))) *
            (IF($B$10="الكل",1, MONTH('ادخال البيانات'!$N$3:$N$1164)=VALUE($B$10))) *
            (IF($B$11="الكل",1, INT((DAY('ادخال البيانات'!$N$3:$N$1164)-1)/7)+1 = VALUE($B$11))),
            'ادخال البيانات'!$G$3:$G$1164
         ),
         ""
      ),
      IF(_xlpm.result="", "", _xlpm.result)
   )
)</f>
        <v/>
      </c>
      <c r="H535" s="27" t="str" cm="1">
        <f t="array" ref="H535">IF(
   A535="",
   "",
   _xlfn.LET(
      _xlpm.result,
      IFERROR(
         _xlfn.XLOOKUP(
            1,
            (Table8[رقم الصنف]=A535) *
            (IF($B$9="الكل",1, YEAR('ادخال البيانات'!$N$3:$N$1164)=VALUE($B$9))) *
            (IF($B$10="الكل",1, MONTH('ادخال البيانات'!$N$3:$N$1164)=VALUE($B$10))) *
            (IF($B$11="الكل",1, INT((DAY('ادخال البيانات'!$N$3:$N$1164)-1)/7)+1 = VALUE($B$11))),
            'ادخال البيانات'!$H$3:$H$1164
         ),
         ""
      ),
      IF(_xlpm.result="", "", _xlpm.result)
   )
)</f>
        <v/>
      </c>
      <c r="I535" s="27" t="str" cm="1">
        <f t="array" ref="I535">IF(
   A535="",
   "",
   _xlfn.LET(
      _xlpm.result,
      IFERROR(
         _xlfn.XLOOKUP(
            1,
            (Table8[رقم الصنف]=A535) *
            (IF($B$9="الكل",1, YEAR('ادخال البيانات'!$N$3:$N$1164)=VALUE($B$9))) *
            (IF($B$10="الكل",1, MONTH('ادخال البيانات'!$N$3:$N$1164)=VALUE($B$10))) *
            (IF($B$11="الكل",1, INT((DAY('ادخال البيانات'!$N$3:$N$1164)-1)/7)+1 = VALUE($B$11))),
            'ادخال البيانات'!$I$3:$I$1164
         ),
         ""
      ),
      IF(_xlpm.result="", "", _xlpm.result)
   )
)</f>
        <v/>
      </c>
      <c r="J535" s="27" t="str" cm="1">
        <f t="array" ref="J535">IF(
   A535="",
   "",
   _xlfn.LET(
      _xlpm.result,
      IFERROR(
         _xlfn.XLOOKUP(
            1,
            (Table8[رقم الصنف]=A535) *
            (IF($B$9="الكل",1, YEAR('ادخال البيانات'!$N$3:$N$1164)=VALUE($B$9))) *
            (IF($B$10="الكل",1, MONTH('ادخال البيانات'!$N$3:$N$1164)=VALUE($B$10))) *
            (IF($B$11="الكل",1, INT((DAY('ادخال البيانات'!$N$3:$N$1164)-1)/7)+1 = VALUE($B$11))),
            'ادخال البيانات'!$J$3:$J$1164
         ),
         ""
      ),
      IF(_xlpm.result="", "", _xlpm.result)
   )
)</f>
        <v/>
      </c>
      <c r="K535" s="27" t="str" cm="1">
        <f t="array" ref="K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5" s="27" t="str" cm="1">
        <f t="array" ref="L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5" s="27" t="str" cm="1">
        <f t="array" ref="M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5" s="28" t="str" cm="1">
        <f t="array" ref="N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5" s="28" t="str" cm="1">
        <f t="array" ref="O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5" s="27" t="str" cm="1">
        <f t="array" ref="P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Table8[جهة العطل]
         ),
         ""
      ),
      IF(_xlpm.result="", "", _xlpm.result)
   )
)</f>
        <v/>
      </c>
      <c r="Q535" s="27" t="str" cm="1">
        <f t="array" ref="Q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Table8[المركز]
         ),
         ""
      ),
      IF(_xlpm.result="", "", _xlpm.result)
   )
)</f>
        <v/>
      </c>
      <c r="R535" s="27" t="str" cm="1">
        <f t="array" ref="R535">IF(
   A535="",
   "",
   _xlfn.LET(
      _xlpm.result,
      IFERROR(
         _xlfn.XLOOKUP(
            1,
            (Table8[رقم الصنف]=A535) *
            (IF($B$9="الكل",1, YEAR('ادخال البيانات'!$N$3:$N$1164) = VALUE($B$9))) *
            (IF($B$10="الكل",1, MONTH('ادخال البيانات'!$N$3:$N$1164) = VALUE($B$10))) *
            (IF($B$11="الكل",1, INT((DAY('ادخال البيانات'!$N$3:$N$1164) - 1) / 7) + 1 = VALUE($B$11))),
            Table8[ملاحظة]
         ),
         ""
      ),
      IF(_xlpm.result="", "", _xlpm.result)
   )
)</f>
        <v/>
      </c>
      <c r="S535" s="27" t="str">
        <f t="shared" ca="1" si="8"/>
        <v/>
      </c>
    </row>
    <row r="536" spans="1:19" ht="27.75" customHeight="1" thickTop="1" thickBot="1" x14ac:dyDescent="0.35">
      <c r="A536" s="39"/>
      <c r="B536" s="50" t="str" cm="1">
        <f t="array" ref="B536">IF(
   OR(A536="", $B$9="", $B$10="", $B$11=""),
   "",
   _xlfn.LET(
      _xlpm.result,
      IFERROR(
         _xlfn.XLOOKUP(
            1,
            (Table8[رقم الصنف]=A536)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6" s="27" t="str" cm="1">
        <f t="array" ref="C536">IF(
   A536="",
   "",
   _xlfn.LET(
      _xlpm.result,
      IFERROR(
         _xlfn.XLOOKUP(
            1,
            (Table8[رقم الصنف]=A536) *
            (IF($B$9="الكل",1, YEAR('ادخال البيانات'!$N$3:$N$1164) = VALUE($B$9))) *
            (IF($B$10="الكل",1, MONTH('ادخال البيانات'!$N$3:$N$1164) = VALUE($B$10))) *
            (IF($B$11="الكل",1, INT((DAY('ادخال البيانات'!$N$3:$N$1164)-1)/7)+1 = VALUE($B$11))),
            'ادخال البيانات'!$C$3:$C$1164
         ),
         ""
      ),
      IF(_xlpm.result="", "", _xlpm.result)
   )
)</f>
        <v/>
      </c>
      <c r="D536" s="27" t="str" cm="1">
        <f t="array" ref="D536">IF(
   OR(A536="", $B$9="", $B$10="", $B$11=""),
   "",
   _xlfn.LET(
      _xlpm.result,
      IFERROR(
         _xlfn.XLOOKUP(
            1,
            (Table8[رقم الصنف]=A536) *
            (IF($B$9="الكل",1, YEAR('ادخال البيانات'!$N$3:$N$1164)=VALUE($B$9))) *
            (IF($B$10="الكل",1, MONTH('ادخال البيانات'!$N$3:$N$1164)=VALUE($B$10))) *
            (IF($B$11="الكل",1, INT((DAY('ادخال البيانات'!$N$3:$N$1164)-1)/7)+1 = VALUE($B$11))),
            'ادخال البيانات'!$D$3:$D$1164
         ),
         ""
      ),
      IF(_xlpm.result="", "", _xlpm.result)
   )
)</f>
        <v/>
      </c>
      <c r="E536" s="27" t="str" cm="1">
        <f t="array" ref="E536">IF(
   A536="",
   "",
   _xlfn.LET(
      _xlpm.result,
      IFERROR(
         _xlfn.XLOOKUP(
            1,
            (Table8[رقم الصنف]=A536) *
            (IF($B$9="الكل",1, YEAR('ادخال البيانات'!$N$3:$N$1164)=VALUE($B$9))) *
            (IF($B$10="الكل",1, MONTH('ادخال البيانات'!$N$3:$N$1164)=VALUE($B$10))) *
            (IF($B$11="الكل",1, INT((DAY('ادخال البيانات'!$N$3:$N$1164)-1)/7)+1 = VALUE($B$11))),
            'ادخال البيانات'!$E$3:$E$1164
         ),
         ""
      ),
      IF(_xlpm.result="", "", _xlpm.result)
   )
)</f>
        <v/>
      </c>
      <c r="F536" s="27" t="str" cm="1">
        <f t="array" ref="F536">IF(
   A536="",
   "",
   _xlfn.LET(
      _xlpm.result,
      IFERROR(
         _xlfn.XLOOKUP(
            1,
            (Table8[رقم الصنف]=A536) *
            (IF($B$9="الكل",1, YEAR('ادخال البيانات'!$N$3:$N$1164) = VALUE($B$9))) *
            (IF($B$10="الكل",1, MONTH('ادخال البيانات'!$N$3:$N$1164) = VALUE($B$10))) *
            (IF($B$11="الكل",1, INT((DAY('ادخال البيانات'!$N$3:$N$1164)-1)/7)+1 = VALUE($B$11))),
            'ادخال البيانات'!$F$3:$F$1164
         ),
         ""
      ),
      IF(_xlpm.result="", "", _xlpm.result)
   )
)</f>
        <v/>
      </c>
      <c r="G536" s="27" t="str" cm="1">
        <f t="array" ref="G536">IF(
   A536="",
   "",
   _xlfn.LET(
      _xlpm.result,
      IFERROR(
         _xlfn.XLOOKUP(
            1,
            (Table8[رقم الصنف]=A536) *
            (IF($B$9="الكل",1, YEAR('ادخال البيانات'!$N$3:$N$1164)=VALUE($B$9))) *
            (IF($B$10="الكل",1, MONTH('ادخال البيانات'!$N$3:$N$1164)=VALUE($B$10))) *
            (IF($B$11="الكل",1, INT((DAY('ادخال البيانات'!$N$3:$N$1164)-1)/7)+1 = VALUE($B$11))),
            'ادخال البيانات'!$G$3:$G$1164
         ),
         ""
      ),
      IF(_xlpm.result="", "", _xlpm.result)
   )
)</f>
        <v/>
      </c>
      <c r="H536" s="27" t="str" cm="1">
        <f t="array" ref="H536">IF(
   A536="",
   "",
   _xlfn.LET(
      _xlpm.result,
      IFERROR(
         _xlfn.XLOOKUP(
            1,
            (Table8[رقم الصنف]=A536) *
            (IF($B$9="الكل",1, YEAR('ادخال البيانات'!$N$3:$N$1164)=VALUE($B$9))) *
            (IF($B$10="الكل",1, MONTH('ادخال البيانات'!$N$3:$N$1164)=VALUE($B$10))) *
            (IF($B$11="الكل",1, INT((DAY('ادخال البيانات'!$N$3:$N$1164)-1)/7)+1 = VALUE($B$11))),
            'ادخال البيانات'!$H$3:$H$1164
         ),
         ""
      ),
      IF(_xlpm.result="", "", _xlpm.result)
   )
)</f>
        <v/>
      </c>
      <c r="I536" s="27" t="str" cm="1">
        <f t="array" ref="I536">IF(
   A536="",
   "",
   _xlfn.LET(
      _xlpm.result,
      IFERROR(
         _xlfn.XLOOKUP(
            1,
            (Table8[رقم الصنف]=A536) *
            (IF($B$9="الكل",1, YEAR('ادخال البيانات'!$N$3:$N$1164)=VALUE($B$9))) *
            (IF($B$10="الكل",1, MONTH('ادخال البيانات'!$N$3:$N$1164)=VALUE($B$10))) *
            (IF($B$11="الكل",1, INT((DAY('ادخال البيانات'!$N$3:$N$1164)-1)/7)+1 = VALUE($B$11))),
            'ادخال البيانات'!$I$3:$I$1164
         ),
         ""
      ),
      IF(_xlpm.result="", "", _xlpm.result)
   )
)</f>
        <v/>
      </c>
      <c r="J536" s="27" t="str" cm="1">
        <f t="array" ref="J536">IF(
   A536="",
   "",
   _xlfn.LET(
      _xlpm.result,
      IFERROR(
         _xlfn.XLOOKUP(
            1,
            (Table8[رقم الصنف]=A536) *
            (IF($B$9="الكل",1, YEAR('ادخال البيانات'!$N$3:$N$1164)=VALUE($B$9))) *
            (IF($B$10="الكل",1, MONTH('ادخال البيانات'!$N$3:$N$1164)=VALUE($B$10))) *
            (IF($B$11="الكل",1, INT((DAY('ادخال البيانات'!$N$3:$N$1164)-1)/7)+1 = VALUE($B$11))),
            'ادخال البيانات'!$J$3:$J$1164
         ),
         ""
      ),
      IF(_xlpm.result="", "", _xlpm.result)
   )
)</f>
        <v/>
      </c>
      <c r="K536" s="27" t="str" cm="1">
        <f t="array" ref="K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6" s="27" t="str" cm="1">
        <f t="array" ref="L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6" s="27" t="str" cm="1">
        <f t="array" ref="M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6" s="28" t="str" cm="1">
        <f t="array" ref="N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6" s="28" t="str" cm="1">
        <f t="array" ref="O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6" s="27" t="str" cm="1">
        <f t="array" ref="P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Table8[جهة العطل]
         ),
         ""
      ),
      IF(_xlpm.result="", "", _xlpm.result)
   )
)</f>
        <v/>
      </c>
      <c r="Q536" s="27" t="str" cm="1">
        <f t="array" ref="Q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Table8[المركز]
         ),
         ""
      ),
      IF(_xlpm.result="", "", _xlpm.result)
   )
)</f>
        <v/>
      </c>
      <c r="R536" s="27" t="str" cm="1">
        <f t="array" ref="R536">IF(
   A536="",
   "",
   _xlfn.LET(
      _xlpm.result,
      IFERROR(
         _xlfn.XLOOKUP(
            1,
            (Table8[رقم الصنف]=A536) *
            (IF($B$9="الكل",1, YEAR('ادخال البيانات'!$N$3:$N$1164) = VALUE($B$9))) *
            (IF($B$10="الكل",1, MONTH('ادخال البيانات'!$N$3:$N$1164) = VALUE($B$10))) *
            (IF($B$11="الكل",1, INT((DAY('ادخال البيانات'!$N$3:$N$1164) - 1) / 7) + 1 = VALUE($B$11))),
            Table8[ملاحظة]
         ),
         ""
      ),
      IF(_xlpm.result="", "", _xlpm.result)
   )
)</f>
        <v/>
      </c>
      <c r="S536" s="27" t="str">
        <f t="shared" ca="1" si="8"/>
        <v/>
      </c>
    </row>
    <row r="537" spans="1:19" ht="27.75" customHeight="1" thickTop="1" thickBot="1" x14ac:dyDescent="0.35">
      <c r="A537" s="39"/>
      <c r="B537" s="50" t="str" cm="1">
        <f t="array" ref="B537">IF(
   OR(A537="", $B$9="", $B$10="", $B$11=""),
   "",
   _xlfn.LET(
      _xlpm.result,
      IFERROR(
         _xlfn.XLOOKUP(
            1,
            (Table8[رقم الصنف]=A537)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7" s="27" t="str" cm="1">
        <f t="array" ref="C537">IF(
   A537="",
   "",
   _xlfn.LET(
      _xlpm.result,
      IFERROR(
         _xlfn.XLOOKUP(
            1,
            (Table8[رقم الصنف]=A537) *
            (IF($B$9="الكل",1, YEAR('ادخال البيانات'!$N$3:$N$1164) = VALUE($B$9))) *
            (IF($B$10="الكل",1, MONTH('ادخال البيانات'!$N$3:$N$1164) = VALUE($B$10))) *
            (IF($B$11="الكل",1, INT((DAY('ادخال البيانات'!$N$3:$N$1164)-1)/7)+1 = VALUE($B$11))),
            'ادخال البيانات'!$C$3:$C$1164
         ),
         ""
      ),
      IF(_xlpm.result="", "", _xlpm.result)
   )
)</f>
        <v/>
      </c>
      <c r="D537" s="27" t="str" cm="1">
        <f t="array" ref="D537">IF(
   OR(A537="", $B$9="", $B$10="", $B$11=""),
   "",
   _xlfn.LET(
      _xlpm.result,
      IFERROR(
         _xlfn.XLOOKUP(
            1,
            (Table8[رقم الصنف]=A537) *
            (IF($B$9="الكل",1, YEAR('ادخال البيانات'!$N$3:$N$1164)=VALUE($B$9))) *
            (IF($B$10="الكل",1, MONTH('ادخال البيانات'!$N$3:$N$1164)=VALUE($B$10))) *
            (IF($B$11="الكل",1, INT((DAY('ادخال البيانات'!$N$3:$N$1164)-1)/7)+1 = VALUE($B$11))),
            'ادخال البيانات'!$D$3:$D$1164
         ),
         ""
      ),
      IF(_xlpm.result="", "", _xlpm.result)
   )
)</f>
        <v/>
      </c>
      <c r="E537" s="27" t="str" cm="1">
        <f t="array" ref="E537">IF(
   A537="",
   "",
   _xlfn.LET(
      _xlpm.result,
      IFERROR(
         _xlfn.XLOOKUP(
            1,
            (Table8[رقم الصنف]=A537) *
            (IF($B$9="الكل",1, YEAR('ادخال البيانات'!$N$3:$N$1164)=VALUE($B$9))) *
            (IF($B$10="الكل",1, MONTH('ادخال البيانات'!$N$3:$N$1164)=VALUE($B$10))) *
            (IF($B$11="الكل",1, INT((DAY('ادخال البيانات'!$N$3:$N$1164)-1)/7)+1 = VALUE($B$11))),
            'ادخال البيانات'!$E$3:$E$1164
         ),
         ""
      ),
      IF(_xlpm.result="", "", _xlpm.result)
   )
)</f>
        <v/>
      </c>
      <c r="F537" s="27" t="str" cm="1">
        <f t="array" ref="F537">IF(
   A537="",
   "",
   _xlfn.LET(
      _xlpm.result,
      IFERROR(
         _xlfn.XLOOKUP(
            1,
            (Table8[رقم الصنف]=A537) *
            (IF($B$9="الكل",1, YEAR('ادخال البيانات'!$N$3:$N$1164) = VALUE($B$9))) *
            (IF($B$10="الكل",1, MONTH('ادخال البيانات'!$N$3:$N$1164) = VALUE($B$10))) *
            (IF($B$11="الكل",1, INT((DAY('ادخال البيانات'!$N$3:$N$1164)-1)/7)+1 = VALUE($B$11))),
            'ادخال البيانات'!$F$3:$F$1164
         ),
         ""
      ),
      IF(_xlpm.result="", "", _xlpm.result)
   )
)</f>
        <v/>
      </c>
      <c r="G537" s="27" t="str" cm="1">
        <f t="array" ref="G537">IF(
   A537="",
   "",
   _xlfn.LET(
      _xlpm.result,
      IFERROR(
         _xlfn.XLOOKUP(
            1,
            (Table8[رقم الصنف]=A537) *
            (IF($B$9="الكل",1, YEAR('ادخال البيانات'!$N$3:$N$1164)=VALUE($B$9))) *
            (IF($B$10="الكل",1, MONTH('ادخال البيانات'!$N$3:$N$1164)=VALUE($B$10))) *
            (IF($B$11="الكل",1, INT((DAY('ادخال البيانات'!$N$3:$N$1164)-1)/7)+1 = VALUE($B$11))),
            'ادخال البيانات'!$G$3:$G$1164
         ),
         ""
      ),
      IF(_xlpm.result="", "", _xlpm.result)
   )
)</f>
        <v/>
      </c>
      <c r="H537" s="27" t="str" cm="1">
        <f t="array" ref="H537">IF(
   A537="",
   "",
   _xlfn.LET(
      _xlpm.result,
      IFERROR(
         _xlfn.XLOOKUP(
            1,
            (Table8[رقم الصنف]=A537) *
            (IF($B$9="الكل",1, YEAR('ادخال البيانات'!$N$3:$N$1164)=VALUE($B$9))) *
            (IF($B$10="الكل",1, MONTH('ادخال البيانات'!$N$3:$N$1164)=VALUE($B$10))) *
            (IF($B$11="الكل",1, INT((DAY('ادخال البيانات'!$N$3:$N$1164)-1)/7)+1 = VALUE($B$11))),
            'ادخال البيانات'!$H$3:$H$1164
         ),
         ""
      ),
      IF(_xlpm.result="", "", _xlpm.result)
   )
)</f>
        <v/>
      </c>
      <c r="I537" s="27" t="str" cm="1">
        <f t="array" ref="I537">IF(
   A537="",
   "",
   _xlfn.LET(
      _xlpm.result,
      IFERROR(
         _xlfn.XLOOKUP(
            1,
            (Table8[رقم الصنف]=A537) *
            (IF($B$9="الكل",1, YEAR('ادخال البيانات'!$N$3:$N$1164)=VALUE($B$9))) *
            (IF($B$10="الكل",1, MONTH('ادخال البيانات'!$N$3:$N$1164)=VALUE($B$10))) *
            (IF($B$11="الكل",1, INT((DAY('ادخال البيانات'!$N$3:$N$1164)-1)/7)+1 = VALUE($B$11))),
            'ادخال البيانات'!$I$3:$I$1164
         ),
         ""
      ),
      IF(_xlpm.result="", "", _xlpm.result)
   )
)</f>
        <v/>
      </c>
      <c r="J537" s="27" t="str" cm="1">
        <f t="array" ref="J537">IF(
   A537="",
   "",
   _xlfn.LET(
      _xlpm.result,
      IFERROR(
         _xlfn.XLOOKUP(
            1,
            (Table8[رقم الصنف]=A537) *
            (IF($B$9="الكل",1, YEAR('ادخال البيانات'!$N$3:$N$1164)=VALUE($B$9))) *
            (IF($B$10="الكل",1, MONTH('ادخال البيانات'!$N$3:$N$1164)=VALUE($B$10))) *
            (IF($B$11="الكل",1, INT((DAY('ادخال البيانات'!$N$3:$N$1164)-1)/7)+1 = VALUE($B$11))),
            'ادخال البيانات'!$J$3:$J$1164
         ),
         ""
      ),
      IF(_xlpm.result="", "", _xlpm.result)
   )
)</f>
        <v/>
      </c>
      <c r="K537" s="27" t="str" cm="1">
        <f t="array" ref="K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7" s="27" t="str" cm="1">
        <f t="array" ref="L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7" s="27" t="str" cm="1">
        <f t="array" ref="M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7" s="28" t="str" cm="1">
        <f t="array" ref="N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7" s="28" t="str" cm="1">
        <f t="array" ref="O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7" s="27" t="str" cm="1">
        <f t="array" ref="P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Table8[جهة العطل]
         ),
         ""
      ),
      IF(_xlpm.result="", "", _xlpm.result)
   )
)</f>
        <v/>
      </c>
      <c r="Q537" s="27" t="str" cm="1">
        <f t="array" ref="Q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Table8[المركز]
         ),
         ""
      ),
      IF(_xlpm.result="", "", _xlpm.result)
   )
)</f>
        <v/>
      </c>
      <c r="R537" s="27" t="str" cm="1">
        <f t="array" ref="R537">IF(
   A537="",
   "",
   _xlfn.LET(
      _xlpm.result,
      IFERROR(
         _xlfn.XLOOKUP(
            1,
            (Table8[رقم الصنف]=A537) *
            (IF($B$9="الكل",1, YEAR('ادخال البيانات'!$N$3:$N$1164) = VALUE($B$9))) *
            (IF($B$10="الكل",1, MONTH('ادخال البيانات'!$N$3:$N$1164) = VALUE($B$10))) *
            (IF($B$11="الكل",1, INT((DAY('ادخال البيانات'!$N$3:$N$1164) - 1) / 7) + 1 = VALUE($B$11))),
            Table8[ملاحظة]
         ),
         ""
      ),
      IF(_xlpm.result="", "", _xlpm.result)
   )
)</f>
        <v/>
      </c>
      <c r="S537" s="27" t="str">
        <f t="shared" ca="1" si="8"/>
        <v/>
      </c>
    </row>
    <row r="538" spans="1:19" ht="27.75" customHeight="1" thickTop="1" thickBot="1" x14ac:dyDescent="0.35">
      <c r="A538" s="39"/>
      <c r="B538" s="50" t="str" cm="1">
        <f t="array" ref="B538">IF(
   OR(A538="", $B$9="", $B$10="", $B$11=""),
   "",
   _xlfn.LET(
      _xlpm.result,
      IFERROR(
         _xlfn.XLOOKUP(
            1,
            (Table8[رقم الصنف]=A538)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8" s="27" t="str" cm="1">
        <f t="array" ref="C538">IF(
   A538="",
   "",
   _xlfn.LET(
      _xlpm.result,
      IFERROR(
         _xlfn.XLOOKUP(
            1,
            (Table8[رقم الصنف]=A538) *
            (IF($B$9="الكل",1, YEAR('ادخال البيانات'!$N$3:$N$1164) = VALUE($B$9))) *
            (IF($B$10="الكل",1, MONTH('ادخال البيانات'!$N$3:$N$1164) = VALUE($B$10))) *
            (IF($B$11="الكل",1, INT((DAY('ادخال البيانات'!$N$3:$N$1164)-1)/7)+1 = VALUE($B$11))),
            'ادخال البيانات'!$C$3:$C$1164
         ),
         ""
      ),
      IF(_xlpm.result="", "", _xlpm.result)
   )
)</f>
        <v/>
      </c>
      <c r="D538" s="27" t="str" cm="1">
        <f t="array" ref="D538">IF(
   OR(A538="", $B$9="", $B$10="", $B$11=""),
   "",
   _xlfn.LET(
      _xlpm.result,
      IFERROR(
         _xlfn.XLOOKUP(
            1,
            (Table8[رقم الصنف]=A538) *
            (IF($B$9="الكل",1, YEAR('ادخال البيانات'!$N$3:$N$1164)=VALUE($B$9))) *
            (IF($B$10="الكل",1, MONTH('ادخال البيانات'!$N$3:$N$1164)=VALUE($B$10))) *
            (IF($B$11="الكل",1, INT((DAY('ادخال البيانات'!$N$3:$N$1164)-1)/7)+1 = VALUE($B$11))),
            'ادخال البيانات'!$D$3:$D$1164
         ),
         ""
      ),
      IF(_xlpm.result="", "", _xlpm.result)
   )
)</f>
        <v/>
      </c>
      <c r="E538" s="27" t="str" cm="1">
        <f t="array" ref="E538">IF(
   A538="",
   "",
   _xlfn.LET(
      _xlpm.result,
      IFERROR(
         _xlfn.XLOOKUP(
            1,
            (Table8[رقم الصنف]=A538) *
            (IF($B$9="الكل",1, YEAR('ادخال البيانات'!$N$3:$N$1164)=VALUE($B$9))) *
            (IF($B$10="الكل",1, MONTH('ادخال البيانات'!$N$3:$N$1164)=VALUE($B$10))) *
            (IF($B$11="الكل",1, INT((DAY('ادخال البيانات'!$N$3:$N$1164)-1)/7)+1 = VALUE($B$11))),
            'ادخال البيانات'!$E$3:$E$1164
         ),
         ""
      ),
      IF(_xlpm.result="", "", _xlpm.result)
   )
)</f>
        <v/>
      </c>
      <c r="F538" s="27" t="str" cm="1">
        <f t="array" ref="F538">IF(
   A538="",
   "",
   _xlfn.LET(
      _xlpm.result,
      IFERROR(
         _xlfn.XLOOKUP(
            1,
            (Table8[رقم الصنف]=A538) *
            (IF($B$9="الكل",1, YEAR('ادخال البيانات'!$N$3:$N$1164) = VALUE($B$9))) *
            (IF($B$10="الكل",1, MONTH('ادخال البيانات'!$N$3:$N$1164) = VALUE($B$10))) *
            (IF($B$11="الكل",1, INT((DAY('ادخال البيانات'!$N$3:$N$1164)-1)/7)+1 = VALUE($B$11))),
            'ادخال البيانات'!$F$3:$F$1164
         ),
         ""
      ),
      IF(_xlpm.result="", "", _xlpm.result)
   )
)</f>
        <v/>
      </c>
      <c r="G538" s="27" t="str" cm="1">
        <f t="array" ref="G538">IF(
   A538="",
   "",
   _xlfn.LET(
      _xlpm.result,
      IFERROR(
         _xlfn.XLOOKUP(
            1,
            (Table8[رقم الصنف]=A538) *
            (IF($B$9="الكل",1, YEAR('ادخال البيانات'!$N$3:$N$1164)=VALUE($B$9))) *
            (IF($B$10="الكل",1, MONTH('ادخال البيانات'!$N$3:$N$1164)=VALUE($B$10))) *
            (IF($B$11="الكل",1, INT((DAY('ادخال البيانات'!$N$3:$N$1164)-1)/7)+1 = VALUE($B$11))),
            'ادخال البيانات'!$G$3:$G$1164
         ),
         ""
      ),
      IF(_xlpm.result="", "", _xlpm.result)
   )
)</f>
        <v/>
      </c>
      <c r="H538" s="27" t="str" cm="1">
        <f t="array" ref="H538">IF(
   A538="",
   "",
   _xlfn.LET(
      _xlpm.result,
      IFERROR(
         _xlfn.XLOOKUP(
            1,
            (Table8[رقم الصنف]=A538) *
            (IF($B$9="الكل",1, YEAR('ادخال البيانات'!$N$3:$N$1164)=VALUE($B$9))) *
            (IF($B$10="الكل",1, MONTH('ادخال البيانات'!$N$3:$N$1164)=VALUE($B$10))) *
            (IF($B$11="الكل",1, INT((DAY('ادخال البيانات'!$N$3:$N$1164)-1)/7)+1 = VALUE($B$11))),
            'ادخال البيانات'!$H$3:$H$1164
         ),
         ""
      ),
      IF(_xlpm.result="", "", _xlpm.result)
   )
)</f>
        <v/>
      </c>
      <c r="I538" s="27" t="str" cm="1">
        <f t="array" ref="I538">IF(
   A538="",
   "",
   _xlfn.LET(
      _xlpm.result,
      IFERROR(
         _xlfn.XLOOKUP(
            1,
            (Table8[رقم الصنف]=A538) *
            (IF($B$9="الكل",1, YEAR('ادخال البيانات'!$N$3:$N$1164)=VALUE($B$9))) *
            (IF($B$10="الكل",1, MONTH('ادخال البيانات'!$N$3:$N$1164)=VALUE($B$10))) *
            (IF($B$11="الكل",1, INT((DAY('ادخال البيانات'!$N$3:$N$1164)-1)/7)+1 = VALUE($B$11))),
            'ادخال البيانات'!$I$3:$I$1164
         ),
         ""
      ),
      IF(_xlpm.result="", "", _xlpm.result)
   )
)</f>
        <v/>
      </c>
      <c r="J538" s="27" t="str" cm="1">
        <f t="array" ref="J538">IF(
   A538="",
   "",
   _xlfn.LET(
      _xlpm.result,
      IFERROR(
         _xlfn.XLOOKUP(
            1,
            (Table8[رقم الصنف]=A538) *
            (IF($B$9="الكل",1, YEAR('ادخال البيانات'!$N$3:$N$1164)=VALUE($B$9))) *
            (IF($B$10="الكل",1, MONTH('ادخال البيانات'!$N$3:$N$1164)=VALUE($B$10))) *
            (IF($B$11="الكل",1, INT((DAY('ادخال البيانات'!$N$3:$N$1164)-1)/7)+1 = VALUE($B$11))),
            'ادخال البيانات'!$J$3:$J$1164
         ),
         ""
      ),
      IF(_xlpm.result="", "", _xlpm.result)
   )
)</f>
        <v/>
      </c>
      <c r="K538" s="27" t="str" cm="1">
        <f t="array" ref="K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8" s="27" t="str" cm="1">
        <f t="array" ref="L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8" s="27" t="str" cm="1">
        <f t="array" ref="M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8" s="28" t="str" cm="1">
        <f t="array" ref="N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8" s="28" t="str" cm="1">
        <f t="array" ref="O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8" s="27" t="str" cm="1">
        <f t="array" ref="P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Table8[جهة العطل]
         ),
         ""
      ),
      IF(_xlpm.result="", "", _xlpm.result)
   )
)</f>
        <v/>
      </c>
      <c r="Q538" s="27" t="str" cm="1">
        <f t="array" ref="Q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Table8[المركز]
         ),
         ""
      ),
      IF(_xlpm.result="", "", _xlpm.result)
   )
)</f>
        <v/>
      </c>
      <c r="R538" s="27" t="str" cm="1">
        <f t="array" ref="R538">IF(
   A538="",
   "",
   _xlfn.LET(
      _xlpm.result,
      IFERROR(
         _xlfn.XLOOKUP(
            1,
            (Table8[رقم الصنف]=A538) *
            (IF($B$9="الكل",1, YEAR('ادخال البيانات'!$N$3:$N$1164) = VALUE($B$9))) *
            (IF($B$10="الكل",1, MONTH('ادخال البيانات'!$N$3:$N$1164) = VALUE($B$10))) *
            (IF($B$11="الكل",1, INT((DAY('ادخال البيانات'!$N$3:$N$1164) - 1) / 7) + 1 = VALUE($B$11))),
            Table8[ملاحظة]
         ),
         ""
      ),
      IF(_xlpm.result="", "", _xlpm.result)
   )
)</f>
        <v/>
      </c>
      <c r="S538" s="27" t="str">
        <f t="shared" ca="1" si="8"/>
        <v/>
      </c>
    </row>
    <row r="539" spans="1:19" ht="27.75" customHeight="1" thickTop="1" thickBot="1" x14ac:dyDescent="0.35">
      <c r="A539" s="39"/>
      <c r="B539" s="50" t="str" cm="1">
        <f t="array" ref="B539">IF(
   OR(A539="", $B$9="", $B$10="", $B$11=""),
   "",
   _xlfn.LET(
      _xlpm.result,
      IFERROR(
         _xlfn.XLOOKUP(
            1,
            (Table8[رقم الصنف]=A539)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39" s="27" t="str" cm="1">
        <f t="array" ref="C539">IF(
   A539="",
   "",
   _xlfn.LET(
      _xlpm.result,
      IFERROR(
         _xlfn.XLOOKUP(
            1,
            (Table8[رقم الصنف]=A539) *
            (IF($B$9="الكل",1, YEAR('ادخال البيانات'!$N$3:$N$1164) = VALUE($B$9))) *
            (IF($B$10="الكل",1, MONTH('ادخال البيانات'!$N$3:$N$1164) = VALUE($B$10))) *
            (IF($B$11="الكل",1, INT((DAY('ادخال البيانات'!$N$3:$N$1164)-1)/7)+1 = VALUE($B$11))),
            'ادخال البيانات'!$C$3:$C$1164
         ),
         ""
      ),
      IF(_xlpm.result="", "", _xlpm.result)
   )
)</f>
        <v/>
      </c>
      <c r="D539" s="27" t="str" cm="1">
        <f t="array" ref="D539">IF(
   OR(A539="", $B$9="", $B$10="", $B$11=""),
   "",
   _xlfn.LET(
      _xlpm.result,
      IFERROR(
         _xlfn.XLOOKUP(
            1,
            (Table8[رقم الصنف]=A539) *
            (IF($B$9="الكل",1, YEAR('ادخال البيانات'!$N$3:$N$1164)=VALUE($B$9))) *
            (IF($B$10="الكل",1, MONTH('ادخال البيانات'!$N$3:$N$1164)=VALUE($B$10))) *
            (IF($B$11="الكل",1, INT((DAY('ادخال البيانات'!$N$3:$N$1164)-1)/7)+1 = VALUE($B$11))),
            'ادخال البيانات'!$D$3:$D$1164
         ),
         ""
      ),
      IF(_xlpm.result="", "", _xlpm.result)
   )
)</f>
        <v/>
      </c>
      <c r="E539" s="27" t="str" cm="1">
        <f t="array" ref="E539">IF(
   A539="",
   "",
   _xlfn.LET(
      _xlpm.result,
      IFERROR(
         _xlfn.XLOOKUP(
            1,
            (Table8[رقم الصنف]=A539) *
            (IF($B$9="الكل",1, YEAR('ادخال البيانات'!$N$3:$N$1164)=VALUE($B$9))) *
            (IF($B$10="الكل",1, MONTH('ادخال البيانات'!$N$3:$N$1164)=VALUE($B$10))) *
            (IF($B$11="الكل",1, INT((DAY('ادخال البيانات'!$N$3:$N$1164)-1)/7)+1 = VALUE($B$11))),
            'ادخال البيانات'!$E$3:$E$1164
         ),
         ""
      ),
      IF(_xlpm.result="", "", _xlpm.result)
   )
)</f>
        <v/>
      </c>
      <c r="F539" s="27" t="str" cm="1">
        <f t="array" ref="F539">IF(
   A539="",
   "",
   _xlfn.LET(
      _xlpm.result,
      IFERROR(
         _xlfn.XLOOKUP(
            1,
            (Table8[رقم الصنف]=A539) *
            (IF($B$9="الكل",1, YEAR('ادخال البيانات'!$N$3:$N$1164) = VALUE($B$9))) *
            (IF($B$10="الكل",1, MONTH('ادخال البيانات'!$N$3:$N$1164) = VALUE($B$10))) *
            (IF($B$11="الكل",1, INT((DAY('ادخال البيانات'!$N$3:$N$1164)-1)/7)+1 = VALUE($B$11))),
            'ادخال البيانات'!$F$3:$F$1164
         ),
         ""
      ),
      IF(_xlpm.result="", "", _xlpm.result)
   )
)</f>
        <v/>
      </c>
      <c r="G539" s="27" t="str" cm="1">
        <f t="array" ref="G539">IF(
   A539="",
   "",
   _xlfn.LET(
      _xlpm.result,
      IFERROR(
         _xlfn.XLOOKUP(
            1,
            (Table8[رقم الصنف]=A539) *
            (IF($B$9="الكل",1, YEAR('ادخال البيانات'!$N$3:$N$1164)=VALUE($B$9))) *
            (IF($B$10="الكل",1, MONTH('ادخال البيانات'!$N$3:$N$1164)=VALUE($B$10))) *
            (IF($B$11="الكل",1, INT((DAY('ادخال البيانات'!$N$3:$N$1164)-1)/7)+1 = VALUE($B$11))),
            'ادخال البيانات'!$G$3:$G$1164
         ),
         ""
      ),
      IF(_xlpm.result="", "", _xlpm.result)
   )
)</f>
        <v/>
      </c>
      <c r="H539" s="27" t="str" cm="1">
        <f t="array" ref="H539">IF(
   A539="",
   "",
   _xlfn.LET(
      _xlpm.result,
      IFERROR(
         _xlfn.XLOOKUP(
            1,
            (Table8[رقم الصنف]=A539) *
            (IF($B$9="الكل",1, YEAR('ادخال البيانات'!$N$3:$N$1164)=VALUE($B$9))) *
            (IF($B$10="الكل",1, MONTH('ادخال البيانات'!$N$3:$N$1164)=VALUE($B$10))) *
            (IF($B$11="الكل",1, INT((DAY('ادخال البيانات'!$N$3:$N$1164)-1)/7)+1 = VALUE($B$11))),
            'ادخال البيانات'!$H$3:$H$1164
         ),
         ""
      ),
      IF(_xlpm.result="", "", _xlpm.result)
   )
)</f>
        <v/>
      </c>
      <c r="I539" s="27" t="str" cm="1">
        <f t="array" ref="I539">IF(
   A539="",
   "",
   _xlfn.LET(
      _xlpm.result,
      IFERROR(
         _xlfn.XLOOKUP(
            1,
            (Table8[رقم الصنف]=A539) *
            (IF($B$9="الكل",1, YEAR('ادخال البيانات'!$N$3:$N$1164)=VALUE($B$9))) *
            (IF($B$10="الكل",1, MONTH('ادخال البيانات'!$N$3:$N$1164)=VALUE($B$10))) *
            (IF($B$11="الكل",1, INT((DAY('ادخال البيانات'!$N$3:$N$1164)-1)/7)+1 = VALUE($B$11))),
            'ادخال البيانات'!$I$3:$I$1164
         ),
         ""
      ),
      IF(_xlpm.result="", "", _xlpm.result)
   )
)</f>
        <v/>
      </c>
      <c r="J539" s="27" t="str" cm="1">
        <f t="array" ref="J539">IF(
   A539="",
   "",
   _xlfn.LET(
      _xlpm.result,
      IFERROR(
         _xlfn.XLOOKUP(
            1,
            (Table8[رقم الصنف]=A539) *
            (IF($B$9="الكل",1, YEAR('ادخال البيانات'!$N$3:$N$1164)=VALUE($B$9))) *
            (IF($B$10="الكل",1, MONTH('ادخال البيانات'!$N$3:$N$1164)=VALUE($B$10))) *
            (IF($B$11="الكل",1, INT((DAY('ادخال البيانات'!$N$3:$N$1164)-1)/7)+1 = VALUE($B$11))),
            'ادخال البيانات'!$J$3:$J$1164
         ),
         ""
      ),
      IF(_xlpm.result="", "", _xlpm.result)
   )
)</f>
        <v/>
      </c>
      <c r="K539" s="27" t="str" cm="1">
        <f t="array" ref="K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39" s="27" t="str" cm="1">
        <f t="array" ref="L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39" s="27" t="str" cm="1">
        <f t="array" ref="M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39" s="28" t="str" cm="1">
        <f t="array" ref="N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39" s="28" t="str" cm="1">
        <f t="array" ref="O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39" s="27" t="str" cm="1">
        <f t="array" ref="P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Table8[جهة العطل]
         ),
         ""
      ),
      IF(_xlpm.result="", "", _xlpm.result)
   )
)</f>
        <v/>
      </c>
      <c r="Q539" s="27" t="str" cm="1">
        <f t="array" ref="Q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Table8[المركز]
         ),
         ""
      ),
      IF(_xlpm.result="", "", _xlpm.result)
   )
)</f>
        <v/>
      </c>
      <c r="R539" s="27" t="str" cm="1">
        <f t="array" ref="R539">IF(
   A539="",
   "",
   _xlfn.LET(
      _xlpm.result,
      IFERROR(
         _xlfn.XLOOKUP(
            1,
            (Table8[رقم الصنف]=A539) *
            (IF($B$9="الكل",1, YEAR('ادخال البيانات'!$N$3:$N$1164) = VALUE($B$9))) *
            (IF($B$10="الكل",1, MONTH('ادخال البيانات'!$N$3:$N$1164) = VALUE($B$10))) *
            (IF($B$11="الكل",1, INT((DAY('ادخال البيانات'!$N$3:$N$1164) - 1) / 7) + 1 = VALUE($B$11))),
            Table8[ملاحظة]
         ),
         ""
      ),
      IF(_xlpm.result="", "", _xlpm.result)
   )
)</f>
        <v/>
      </c>
      <c r="S539" s="27" t="str">
        <f t="shared" ca="1" si="8"/>
        <v/>
      </c>
    </row>
    <row r="540" spans="1:19" ht="27.75" customHeight="1" thickTop="1" thickBot="1" x14ac:dyDescent="0.35">
      <c r="A540" s="39"/>
      <c r="B540" s="50" t="str" cm="1">
        <f t="array" ref="B540">IF(
   OR(A540="", $B$9="", $B$10="", $B$11=""),
   "",
   _xlfn.LET(
      _xlpm.result,
      IFERROR(
         _xlfn.XLOOKUP(
            1,
            (Table8[رقم الصنف]=A540)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0" s="27" t="str" cm="1">
        <f t="array" ref="C540">IF(
   A540="",
   "",
   _xlfn.LET(
      _xlpm.result,
      IFERROR(
         _xlfn.XLOOKUP(
            1,
            (Table8[رقم الصنف]=A540) *
            (IF($B$9="الكل",1, YEAR('ادخال البيانات'!$N$3:$N$1164) = VALUE($B$9))) *
            (IF($B$10="الكل",1, MONTH('ادخال البيانات'!$N$3:$N$1164) = VALUE($B$10))) *
            (IF($B$11="الكل",1, INT((DAY('ادخال البيانات'!$N$3:$N$1164)-1)/7)+1 = VALUE($B$11))),
            'ادخال البيانات'!$C$3:$C$1164
         ),
         ""
      ),
      IF(_xlpm.result="", "", _xlpm.result)
   )
)</f>
        <v/>
      </c>
      <c r="D540" s="27" t="str" cm="1">
        <f t="array" ref="D540">IF(
   OR(A540="", $B$9="", $B$10="", $B$11=""),
   "",
   _xlfn.LET(
      _xlpm.result,
      IFERROR(
         _xlfn.XLOOKUP(
            1,
            (Table8[رقم الصنف]=A540) *
            (IF($B$9="الكل",1, YEAR('ادخال البيانات'!$N$3:$N$1164)=VALUE($B$9))) *
            (IF($B$10="الكل",1, MONTH('ادخال البيانات'!$N$3:$N$1164)=VALUE($B$10))) *
            (IF($B$11="الكل",1, INT((DAY('ادخال البيانات'!$N$3:$N$1164)-1)/7)+1 = VALUE($B$11))),
            'ادخال البيانات'!$D$3:$D$1164
         ),
         ""
      ),
      IF(_xlpm.result="", "", _xlpm.result)
   )
)</f>
        <v/>
      </c>
      <c r="E540" s="27" t="str" cm="1">
        <f t="array" ref="E540">IF(
   A540="",
   "",
   _xlfn.LET(
      _xlpm.result,
      IFERROR(
         _xlfn.XLOOKUP(
            1,
            (Table8[رقم الصنف]=A540) *
            (IF($B$9="الكل",1, YEAR('ادخال البيانات'!$N$3:$N$1164)=VALUE($B$9))) *
            (IF($B$10="الكل",1, MONTH('ادخال البيانات'!$N$3:$N$1164)=VALUE($B$10))) *
            (IF($B$11="الكل",1, INT((DAY('ادخال البيانات'!$N$3:$N$1164)-1)/7)+1 = VALUE($B$11))),
            'ادخال البيانات'!$E$3:$E$1164
         ),
         ""
      ),
      IF(_xlpm.result="", "", _xlpm.result)
   )
)</f>
        <v/>
      </c>
      <c r="F540" s="27" t="str" cm="1">
        <f t="array" ref="F540">IF(
   A540="",
   "",
   _xlfn.LET(
      _xlpm.result,
      IFERROR(
         _xlfn.XLOOKUP(
            1,
            (Table8[رقم الصنف]=A540) *
            (IF($B$9="الكل",1, YEAR('ادخال البيانات'!$N$3:$N$1164) = VALUE($B$9))) *
            (IF($B$10="الكل",1, MONTH('ادخال البيانات'!$N$3:$N$1164) = VALUE($B$10))) *
            (IF($B$11="الكل",1, INT((DAY('ادخال البيانات'!$N$3:$N$1164)-1)/7)+1 = VALUE($B$11))),
            'ادخال البيانات'!$F$3:$F$1164
         ),
         ""
      ),
      IF(_xlpm.result="", "", _xlpm.result)
   )
)</f>
        <v/>
      </c>
      <c r="G540" s="27" t="str" cm="1">
        <f t="array" ref="G540">IF(
   A540="",
   "",
   _xlfn.LET(
      _xlpm.result,
      IFERROR(
         _xlfn.XLOOKUP(
            1,
            (Table8[رقم الصنف]=A540) *
            (IF($B$9="الكل",1, YEAR('ادخال البيانات'!$N$3:$N$1164)=VALUE($B$9))) *
            (IF($B$10="الكل",1, MONTH('ادخال البيانات'!$N$3:$N$1164)=VALUE($B$10))) *
            (IF($B$11="الكل",1, INT((DAY('ادخال البيانات'!$N$3:$N$1164)-1)/7)+1 = VALUE($B$11))),
            'ادخال البيانات'!$G$3:$G$1164
         ),
         ""
      ),
      IF(_xlpm.result="", "", _xlpm.result)
   )
)</f>
        <v/>
      </c>
      <c r="H540" s="27" t="str" cm="1">
        <f t="array" ref="H540">IF(
   A540="",
   "",
   _xlfn.LET(
      _xlpm.result,
      IFERROR(
         _xlfn.XLOOKUP(
            1,
            (Table8[رقم الصنف]=A540) *
            (IF($B$9="الكل",1, YEAR('ادخال البيانات'!$N$3:$N$1164)=VALUE($B$9))) *
            (IF($B$10="الكل",1, MONTH('ادخال البيانات'!$N$3:$N$1164)=VALUE($B$10))) *
            (IF($B$11="الكل",1, INT((DAY('ادخال البيانات'!$N$3:$N$1164)-1)/7)+1 = VALUE($B$11))),
            'ادخال البيانات'!$H$3:$H$1164
         ),
         ""
      ),
      IF(_xlpm.result="", "", _xlpm.result)
   )
)</f>
        <v/>
      </c>
      <c r="I540" s="27" t="str" cm="1">
        <f t="array" ref="I540">IF(
   A540="",
   "",
   _xlfn.LET(
      _xlpm.result,
      IFERROR(
         _xlfn.XLOOKUP(
            1,
            (Table8[رقم الصنف]=A540) *
            (IF($B$9="الكل",1, YEAR('ادخال البيانات'!$N$3:$N$1164)=VALUE($B$9))) *
            (IF($B$10="الكل",1, MONTH('ادخال البيانات'!$N$3:$N$1164)=VALUE($B$10))) *
            (IF($B$11="الكل",1, INT((DAY('ادخال البيانات'!$N$3:$N$1164)-1)/7)+1 = VALUE($B$11))),
            'ادخال البيانات'!$I$3:$I$1164
         ),
         ""
      ),
      IF(_xlpm.result="", "", _xlpm.result)
   )
)</f>
        <v/>
      </c>
      <c r="J540" s="27" t="str" cm="1">
        <f t="array" ref="J540">IF(
   A540="",
   "",
   _xlfn.LET(
      _xlpm.result,
      IFERROR(
         _xlfn.XLOOKUP(
            1,
            (Table8[رقم الصنف]=A540) *
            (IF($B$9="الكل",1, YEAR('ادخال البيانات'!$N$3:$N$1164)=VALUE($B$9))) *
            (IF($B$10="الكل",1, MONTH('ادخال البيانات'!$N$3:$N$1164)=VALUE($B$10))) *
            (IF($B$11="الكل",1, INT((DAY('ادخال البيانات'!$N$3:$N$1164)-1)/7)+1 = VALUE($B$11))),
            'ادخال البيانات'!$J$3:$J$1164
         ),
         ""
      ),
      IF(_xlpm.result="", "", _xlpm.result)
   )
)</f>
        <v/>
      </c>
      <c r="K540" s="27" t="str" cm="1">
        <f t="array" ref="K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0" s="27" t="str" cm="1">
        <f t="array" ref="L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0" s="27" t="str" cm="1">
        <f t="array" ref="M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0" s="28" t="str" cm="1">
        <f t="array" ref="N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0" s="28" t="str" cm="1">
        <f t="array" ref="O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0" s="27" t="str" cm="1">
        <f t="array" ref="P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Table8[جهة العطل]
         ),
         ""
      ),
      IF(_xlpm.result="", "", _xlpm.result)
   )
)</f>
        <v/>
      </c>
      <c r="Q540" s="27" t="str" cm="1">
        <f t="array" ref="Q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Table8[المركز]
         ),
         ""
      ),
      IF(_xlpm.result="", "", _xlpm.result)
   )
)</f>
        <v/>
      </c>
      <c r="R540" s="27" t="str" cm="1">
        <f t="array" ref="R540">IF(
   A540="",
   "",
   _xlfn.LET(
      _xlpm.result,
      IFERROR(
         _xlfn.XLOOKUP(
            1,
            (Table8[رقم الصنف]=A540) *
            (IF($B$9="الكل",1, YEAR('ادخال البيانات'!$N$3:$N$1164) = VALUE($B$9))) *
            (IF($B$10="الكل",1, MONTH('ادخال البيانات'!$N$3:$N$1164) = VALUE($B$10))) *
            (IF($B$11="الكل",1, INT((DAY('ادخال البيانات'!$N$3:$N$1164) - 1) / 7) + 1 = VALUE($B$11))),
            Table8[ملاحظة]
         ),
         ""
      ),
      IF(_xlpm.result="", "", _xlpm.result)
   )
)</f>
        <v/>
      </c>
      <c r="S540" s="27" t="str">
        <f t="shared" ca="1" si="8"/>
        <v/>
      </c>
    </row>
    <row r="541" spans="1:19" ht="27.75" customHeight="1" thickTop="1" thickBot="1" x14ac:dyDescent="0.35">
      <c r="A541" s="39"/>
      <c r="B541" s="50" t="str" cm="1">
        <f t="array" ref="B541">IF(
   OR(A541="", $B$9="", $B$10="", $B$11=""),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1" s="27" t="str" cm="1">
        <f t="array" ref="C541">IF(
   A541="",
   "",
   _xlfn.LET(
      _xlpm.result,
      IFERROR(
         _xlfn.XLOOKUP(
            1,
            (Table8[رقم الصنف]=A541) *
            (IF($B$9="الكل",1, YEAR('ادخال البيانات'!$N$3:$N$1164) = VALUE($B$9))) *
            (IF($B$10="الكل",1, MONTH('ادخال البيانات'!$N$3:$N$1164) = VALUE($B$10))) *
            (IF($B$11="الكل",1, INT((DAY('ادخال البيانات'!$N$3:$N$1164)-1)/7)+1 = VALUE($B$11))),
            'ادخال البيانات'!$C$3:$C$1164
         ),
         ""
      ),
      IF(_xlpm.result="", "", _xlpm.result)
   )
)</f>
        <v/>
      </c>
      <c r="D541" s="27" t="str" cm="1">
        <f t="array" ref="D541">IF(
   OR(A541="", $B$9="", $B$10="", $B$11=""),
   "",
   _xlfn.LET(
      _xlpm.result,
      IFERROR(
         _xlfn.XLOOKUP(
            1,
            (Table8[رقم الصنف]=A541) *
            (IF($B$9="الكل",1, YEAR('ادخال البيانات'!$N$3:$N$1164)=VALUE($B$9))) *
            (IF($B$10="الكل",1, MONTH('ادخال البيانات'!$N$3:$N$1164)=VALUE($B$10))) *
            (IF($B$11="الكل",1, INT((DAY('ادخال البيانات'!$N$3:$N$1164)-1)/7)+1 = VALUE($B$11))),
            'ادخال البيانات'!$D$3:$D$1164
         ),
         ""
      ),
      IF(_xlpm.result="", "", _xlpm.result)
   )
)</f>
        <v/>
      </c>
      <c r="E541" s="27" t="str" cm="1">
        <f t="array" ref="E541">IF(
   A541="",
   "",
   _xlfn.LET(
      _xlpm.result,
      IFERROR(
         _xlfn.XLOOKUP(
            1,
            (Table8[رقم الصنف]=A541) *
            (IF($B$9="الكل",1, YEAR('ادخال البيانات'!$N$3:$N$1164)=VALUE($B$9))) *
            (IF($B$10="الكل",1, MONTH('ادخال البيانات'!$N$3:$N$1164)=VALUE($B$10))) *
            (IF($B$11="الكل",1, INT((DAY('ادخال البيانات'!$N$3:$N$1164)-1)/7)+1 = VALUE($B$11))),
            'ادخال البيانات'!$E$3:$E$1164
         ),
         ""
      ),
      IF(_xlpm.result="", "", _xlpm.result)
   )
)</f>
        <v/>
      </c>
      <c r="F541" s="27" t="str" cm="1">
        <f t="array" ref="F541">IF(
   A541="",
   "",
   _xlfn.LET(
      _xlpm.result,
      IFERROR(
         _xlfn.XLOOKUP(
            1,
            (Table8[رقم الصنف]=A541) *
            (IF($B$9="الكل",1, YEAR('ادخال البيانات'!$N$3:$N$1164) = VALUE($B$9))) *
            (IF($B$10="الكل",1, MONTH('ادخال البيانات'!$N$3:$N$1164) = VALUE($B$10))) *
            (IF($B$11="الكل",1, INT((DAY('ادخال البيانات'!$N$3:$N$1164)-1)/7)+1 = VALUE($B$11))),
            'ادخال البيانات'!$F$3:$F$1164
         ),
         ""
      ),
      IF(_xlpm.result="", "", _xlpm.result)
   )
)</f>
        <v/>
      </c>
      <c r="G541" s="27" t="str" cm="1">
        <f t="array" ref="G541">IF(
   A541="",
   "",
   _xlfn.LET(
      _xlpm.result,
      IFERROR(
         _xlfn.XLOOKUP(
            1,
            (Table8[رقم الصنف]=A541) *
            (IF($B$9="الكل",1, YEAR('ادخال البيانات'!$N$3:$N$1164)=VALUE($B$9))) *
            (IF($B$10="الكل",1, MONTH('ادخال البيانات'!$N$3:$N$1164)=VALUE($B$10))) *
            (IF($B$11="الكل",1, INT((DAY('ادخال البيانات'!$N$3:$N$1164)-1)/7)+1 = VALUE($B$11))),
            'ادخال البيانات'!$G$3:$G$1164
         ),
         ""
      ),
      IF(_xlpm.result="", "", _xlpm.result)
   )
)</f>
        <v/>
      </c>
      <c r="H541" s="27" t="str" cm="1">
        <f t="array" ref="H541">IF(
   A541="",
   "",
   _xlfn.LET(
      _xlpm.result,
      IFERROR(
         _xlfn.XLOOKUP(
            1,
            (Table8[رقم الصنف]=A541) *
            (IF($B$9="الكل",1, YEAR('ادخال البيانات'!$N$3:$N$1164)=VALUE($B$9))) *
            (IF($B$10="الكل",1, MONTH('ادخال البيانات'!$N$3:$N$1164)=VALUE($B$10))) *
            (IF($B$11="الكل",1, INT((DAY('ادخال البيانات'!$N$3:$N$1164)-1)/7)+1 = VALUE($B$11))),
            'ادخال البيانات'!$H$3:$H$1164
         ),
         ""
      ),
      IF(_xlpm.result="", "", _xlpm.result)
   )
)</f>
        <v/>
      </c>
      <c r="I541" s="27" t="str" cm="1">
        <f t="array" ref="I541">IF(
   A541="",
   "",
   _xlfn.LET(
      _xlpm.result,
      IFERROR(
         _xlfn.XLOOKUP(
            1,
            (Table8[رقم الصنف]=A541) *
            (IF($B$9="الكل",1, YEAR('ادخال البيانات'!$N$3:$N$1164)=VALUE($B$9))) *
            (IF($B$10="الكل",1, MONTH('ادخال البيانات'!$N$3:$N$1164)=VALUE($B$10))) *
            (IF($B$11="الكل",1, INT((DAY('ادخال البيانات'!$N$3:$N$1164)-1)/7)+1 = VALUE($B$11))),
            'ادخال البيانات'!$I$3:$I$1164
         ),
         ""
      ),
      IF(_xlpm.result="", "", _xlpm.result)
   )
)</f>
        <v/>
      </c>
      <c r="J541" s="27" t="str" cm="1">
        <f t="array" ref="J541">IF(
   A541="",
   "",
   _xlfn.LET(
      _xlpm.result,
      IFERROR(
         _xlfn.XLOOKUP(
            1,
            (Table8[رقم الصنف]=A541) *
            (IF($B$9="الكل",1, YEAR('ادخال البيانات'!$N$3:$N$1164)=VALUE($B$9))) *
            (IF($B$10="الكل",1, MONTH('ادخال البيانات'!$N$3:$N$1164)=VALUE($B$10))) *
            (IF($B$11="الكل",1, INT((DAY('ادخال البيانات'!$N$3:$N$1164)-1)/7)+1 = VALUE($B$11))),
            'ادخال البيانات'!$J$3:$J$1164
         ),
         ""
      ),
      IF(_xlpm.result="", "", _xlpm.result)
   )
)</f>
        <v/>
      </c>
      <c r="K541" s="27" t="str" cm="1">
        <f t="array" ref="K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1" s="27" t="str" cm="1">
        <f t="array" ref="L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1" s="27" t="str" cm="1">
        <f t="array" ref="M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1" s="28" t="str" cm="1">
        <f t="array" ref="N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1" s="28" t="str" cm="1">
        <f t="array" ref="O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1" s="27" t="str" cm="1">
        <f t="array" ref="P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Table8[جهة العطل]
         ),
         ""
      ),
      IF(_xlpm.result="", "", _xlpm.result)
   )
)</f>
        <v/>
      </c>
      <c r="Q541" s="27" t="str" cm="1">
        <f t="array" ref="Q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Table8[المركز]
         ),
         ""
      ),
      IF(_xlpm.result="", "", _xlpm.result)
   )
)</f>
        <v/>
      </c>
      <c r="R541" s="27" t="str" cm="1">
        <f t="array" ref="R541">IF(
   A541="",
   "",
   _xlfn.LET(
      _xlpm.result,
      IFERROR(
         _xlfn.XLOOKUP(
            1,
            (Table8[رقم الصنف]=A541) *
            (IF($B$9="الكل",1, YEAR('ادخال البيانات'!$N$3:$N$1164) = VALUE($B$9))) *
            (IF($B$10="الكل",1, MONTH('ادخال البيانات'!$N$3:$N$1164) = VALUE($B$10))) *
            (IF($B$11="الكل",1, INT((DAY('ادخال البيانات'!$N$3:$N$1164) - 1) / 7) + 1 = VALUE($B$11))),
            Table8[ملاحظة]
         ),
         ""
      ),
      IF(_xlpm.result="", "", _xlpm.result)
   )
)</f>
        <v/>
      </c>
      <c r="S541" s="27" t="str">
        <f t="shared" ca="1" si="8"/>
        <v/>
      </c>
    </row>
    <row r="542" spans="1:19" ht="27.75" customHeight="1" thickTop="1" thickBot="1" x14ac:dyDescent="0.35">
      <c r="A542" s="39"/>
      <c r="B542" s="50" t="str" cm="1">
        <f t="array" ref="B542">IF(
   OR(A542="", $B$9="", $B$10="", $B$11=""),
   "",
   _xlfn.LET(
      _xlpm.result,
      IFERROR(
         _xlfn.XLOOKUP(
            1,
            (Table8[رقم الصنف]=A542)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2" s="27" t="str" cm="1">
        <f t="array" ref="C542">IF(
   A542="",
   "",
   _xlfn.LET(
      _xlpm.result,
      IFERROR(
         _xlfn.XLOOKUP(
            1,
            (Table8[رقم الصنف]=A542) *
            (IF($B$9="الكل",1, YEAR('ادخال البيانات'!$N$3:$N$1164) = VALUE($B$9))) *
            (IF($B$10="الكل",1, MONTH('ادخال البيانات'!$N$3:$N$1164) = VALUE($B$10))) *
            (IF($B$11="الكل",1, INT((DAY('ادخال البيانات'!$N$3:$N$1164)-1)/7)+1 = VALUE($B$11))),
            'ادخال البيانات'!$C$3:$C$1164
         ),
         ""
      ),
      IF(_xlpm.result="", "", _xlpm.result)
   )
)</f>
        <v/>
      </c>
      <c r="D542" s="27" t="str" cm="1">
        <f t="array" ref="D542">IF(
   OR(A542="", $B$9="", $B$10="", $B$11=""),
   "",
   _xlfn.LET(
      _xlpm.result,
      IFERROR(
         _xlfn.XLOOKUP(
            1,
            (Table8[رقم الصنف]=A542) *
            (IF($B$9="الكل",1, YEAR('ادخال البيانات'!$N$3:$N$1164)=VALUE($B$9))) *
            (IF($B$10="الكل",1, MONTH('ادخال البيانات'!$N$3:$N$1164)=VALUE($B$10))) *
            (IF($B$11="الكل",1, INT((DAY('ادخال البيانات'!$N$3:$N$1164)-1)/7)+1 = VALUE($B$11))),
            'ادخال البيانات'!$D$3:$D$1164
         ),
         ""
      ),
      IF(_xlpm.result="", "", _xlpm.result)
   )
)</f>
        <v/>
      </c>
      <c r="E542" s="27" t="str" cm="1">
        <f t="array" ref="E542">IF(
   A542="",
   "",
   _xlfn.LET(
      _xlpm.result,
      IFERROR(
         _xlfn.XLOOKUP(
            1,
            (Table8[رقم الصنف]=A542) *
            (IF($B$9="الكل",1, YEAR('ادخال البيانات'!$N$3:$N$1164)=VALUE($B$9))) *
            (IF($B$10="الكل",1, MONTH('ادخال البيانات'!$N$3:$N$1164)=VALUE($B$10))) *
            (IF($B$11="الكل",1, INT((DAY('ادخال البيانات'!$N$3:$N$1164)-1)/7)+1 = VALUE($B$11))),
            'ادخال البيانات'!$E$3:$E$1164
         ),
         ""
      ),
      IF(_xlpm.result="", "", _xlpm.result)
   )
)</f>
        <v/>
      </c>
      <c r="F542" s="27" t="str" cm="1">
        <f t="array" ref="F542">IF(
   A542="",
   "",
   _xlfn.LET(
      _xlpm.result,
      IFERROR(
         _xlfn.XLOOKUP(
            1,
            (Table8[رقم الصنف]=A542) *
            (IF($B$9="الكل",1, YEAR('ادخال البيانات'!$N$3:$N$1164) = VALUE($B$9))) *
            (IF($B$10="الكل",1, MONTH('ادخال البيانات'!$N$3:$N$1164) = VALUE($B$10))) *
            (IF($B$11="الكل",1, INT((DAY('ادخال البيانات'!$N$3:$N$1164)-1)/7)+1 = VALUE($B$11))),
            'ادخال البيانات'!$F$3:$F$1164
         ),
         ""
      ),
      IF(_xlpm.result="", "", _xlpm.result)
   )
)</f>
        <v/>
      </c>
      <c r="G542" s="27" t="str" cm="1">
        <f t="array" ref="G542">IF(
   A542="",
   "",
   _xlfn.LET(
      _xlpm.result,
      IFERROR(
         _xlfn.XLOOKUP(
            1,
            (Table8[رقم الصنف]=A542) *
            (IF($B$9="الكل",1, YEAR('ادخال البيانات'!$N$3:$N$1164)=VALUE($B$9))) *
            (IF($B$10="الكل",1, MONTH('ادخال البيانات'!$N$3:$N$1164)=VALUE($B$10))) *
            (IF($B$11="الكل",1, INT((DAY('ادخال البيانات'!$N$3:$N$1164)-1)/7)+1 = VALUE($B$11))),
            'ادخال البيانات'!$G$3:$G$1164
         ),
         ""
      ),
      IF(_xlpm.result="", "", _xlpm.result)
   )
)</f>
        <v/>
      </c>
      <c r="H542" s="27" t="str" cm="1">
        <f t="array" ref="H542">IF(
   A542="",
   "",
   _xlfn.LET(
      _xlpm.result,
      IFERROR(
         _xlfn.XLOOKUP(
            1,
            (Table8[رقم الصنف]=A542) *
            (IF($B$9="الكل",1, YEAR('ادخال البيانات'!$N$3:$N$1164)=VALUE($B$9))) *
            (IF($B$10="الكل",1, MONTH('ادخال البيانات'!$N$3:$N$1164)=VALUE($B$10))) *
            (IF($B$11="الكل",1, INT((DAY('ادخال البيانات'!$N$3:$N$1164)-1)/7)+1 = VALUE($B$11))),
            'ادخال البيانات'!$H$3:$H$1164
         ),
         ""
      ),
      IF(_xlpm.result="", "", _xlpm.result)
   )
)</f>
        <v/>
      </c>
      <c r="I542" s="27" t="str" cm="1">
        <f t="array" ref="I542">IF(
   A542="",
   "",
   _xlfn.LET(
      _xlpm.result,
      IFERROR(
         _xlfn.XLOOKUP(
            1,
            (Table8[رقم الصنف]=A542) *
            (IF($B$9="الكل",1, YEAR('ادخال البيانات'!$N$3:$N$1164)=VALUE($B$9))) *
            (IF($B$10="الكل",1, MONTH('ادخال البيانات'!$N$3:$N$1164)=VALUE($B$10))) *
            (IF($B$11="الكل",1, INT((DAY('ادخال البيانات'!$N$3:$N$1164)-1)/7)+1 = VALUE($B$11))),
            'ادخال البيانات'!$I$3:$I$1164
         ),
         ""
      ),
      IF(_xlpm.result="", "", _xlpm.result)
   )
)</f>
        <v/>
      </c>
      <c r="J542" s="27" t="str" cm="1">
        <f t="array" ref="J542">IF(
   A542="",
   "",
   _xlfn.LET(
      _xlpm.result,
      IFERROR(
         _xlfn.XLOOKUP(
            1,
            (Table8[رقم الصنف]=A542) *
            (IF($B$9="الكل",1, YEAR('ادخال البيانات'!$N$3:$N$1164)=VALUE($B$9))) *
            (IF($B$10="الكل",1, MONTH('ادخال البيانات'!$N$3:$N$1164)=VALUE($B$10))) *
            (IF($B$11="الكل",1, INT((DAY('ادخال البيانات'!$N$3:$N$1164)-1)/7)+1 = VALUE($B$11))),
            'ادخال البيانات'!$J$3:$J$1164
         ),
         ""
      ),
      IF(_xlpm.result="", "", _xlpm.result)
   )
)</f>
        <v/>
      </c>
      <c r="K542" s="27" t="str" cm="1">
        <f t="array" ref="K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2" s="27" t="str" cm="1">
        <f t="array" ref="L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2" s="27" t="str" cm="1">
        <f t="array" ref="M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2" s="28" t="str" cm="1">
        <f t="array" ref="N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2" s="28" t="str" cm="1">
        <f t="array" ref="O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2" s="27" t="str" cm="1">
        <f t="array" ref="P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Table8[جهة العطل]
         ),
         ""
      ),
      IF(_xlpm.result="", "", _xlpm.result)
   )
)</f>
        <v/>
      </c>
      <c r="Q542" s="27" t="str" cm="1">
        <f t="array" ref="Q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Table8[المركز]
         ),
         ""
      ),
      IF(_xlpm.result="", "", _xlpm.result)
   )
)</f>
        <v/>
      </c>
      <c r="R542" s="27" t="str" cm="1">
        <f t="array" ref="R542">IF(
   A542="",
   "",
   _xlfn.LET(
      _xlpm.result,
      IFERROR(
         _xlfn.XLOOKUP(
            1,
            (Table8[رقم الصنف]=A542) *
            (IF($B$9="الكل",1, YEAR('ادخال البيانات'!$N$3:$N$1164) = VALUE($B$9))) *
            (IF($B$10="الكل",1, MONTH('ادخال البيانات'!$N$3:$N$1164) = VALUE($B$10))) *
            (IF($B$11="الكل",1, INT((DAY('ادخال البيانات'!$N$3:$N$1164) - 1) / 7) + 1 = VALUE($B$11))),
            Table8[ملاحظة]
         ),
         ""
      ),
      IF(_xlpm.result="", "", _xlpm.result)
   )
)</f>
        <v/>
      </c>
      <c r="S542" s="27" t="str">
        <f t="shared" ca="1" si="8"/>
        <v/>
      </c>
    </row>
    <row r="543" spans="1:19" ht="27.75" customHeight="1" thickTop="1" thickBot="1" x14ac:dyDescent="0.35">
      <c r="A543" s="39"/>
      <c r="B543" s="50" t="str" cm="1">
        <f t="array" ref="B543">IF(
   OR(A543="", $B$9="", $B$10="", $B$11=""),
   "",
   _xlfn.LET(
      _xlpm.result,
      IFERROR(
         _xlfn.XLOOKUP(
            1,
            (Table8[رقم الصنف]=A543)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3" s="27" t="str" cm="1">
        <f t="array" ref="C543">IF(
   A543="",
   "",
   _xlfn.LET(
      _xlpm.result,
      IFERROR(
         _xlfn.XLOOKUP(
            1,
            (Table8[رقم الصنف]=A543) *
            (IF($B$9="الكل",1, YEAR('ادخال البيانات'!$N$3:$N$1164) = VALUE($B$9))) *
            (IF($B$10="الكل",1, MONTH('ادخال البيانات'!$N$3:$N$1164) = VALUE($B$10))) *
            (IF($B$11="الكل",1, INT((DAY('ادخال البيانات'!$N$3:$N$1164)-1)/7)+1 = VALUE($B$11))),
            'ادخال البيانات'!$C$3:$C$1164
         ),
         ""
      ),
      IF(_xlpm.result="", "", _xlpm.result)
   )
)</f>
        <v/>
      </c>
      <c r="D543" s="27" t="str" cm="1">
        <f t="array" ref="D543">IF(
   OR(A543="", $B$9="", $B$10="", $B$11=""),
   "",
   _xlfn.LET(
      _xlpm.result,
      IFERROR(
         _xlfn.XLOOKUP(
            1,
            (Table8[رقم الصنف]=A543) *
            (IF($B$9="الكل",1, YEAR('ادخال البيانات'!$N$3:$N$1164)=VALUE($B$9))) *
            (IF($B$10="الكل",1, MONTH('ادخال البيانات'!$N$3:$N$1164)=VALUE($B$10))) *
            (IF($B$11="الكل",1, INT((DAY('ادخال البيانات'!$N$3:$N$1164)-1)/7)+1 = VALUE($B$11))),
            'ادخال البيانات'!$D$3:$D$1164
         ),
         ""
      ),
      IF(_xlpm.result="", "", _xlpm.result)
   )
)</f>
        <v/>
      </c>
      <c r="E543" s="27" t="str" cm="1">
        <f t="array" ref="E543">IF(
   A543="",
   "",
   _xlfn.LET(
      _xlpm.result,
      IFERROR(
         _xlfn.XLOOKUP(
            1,
            (Table8[رقم الصنف]=A543) *
            (IF($B$9="الكل",1, YEAR('ادخال البيانات'!$N$3:$N$1164)=VALUE($B$9))) *
            (IF($B$10="الكل",1, MONTH('ادخال البيانات'!$N$3:$N$1164)=VALUE($B$10))) *
            (IF($B$11="الكل",1, INT((DAY('ادخال البيانات'!$N$3:$N$1164)-1)/7)+1 = VALUE($B$11))),
            'ادخال البيانات'!$E$3:$E$1164
         ),
         ""
      ),
      IF(_xlpm.result="", "", _xlpm.result)
   )
)</f>
        <v/>
      </c>
      <c r="F543" s="27" t="str" cm="1">
        <f t="array" ref="F543">IF(
   A543="",
   "",
   _xlfn.LET(
      _xlpm.result,
      IFERROR(
         _xlfn.XLOOKUP(
            1,
            (Table8[رقم الصنف]=A543) *
            (IF($B$9="الكل",1, YEAR('ادخال البيانات'!$N$3:$N$1164) = VALUE($B$9))) *
            (IF($B$10="الكل",1, MONTH('ادخال البيانات'!$N$3:$N$1164) = VALUE($B$10))) *
            (IF($B$11="الكل",1, INT((DAY('ادخال البيانات'!$N$3:$N$1164)-1)/7)+1 = VALUE($B$11))),
            'ادخال البيانات'!$F$3:$F$1164
         ),
         ""
      ),
      IF(_xlpm.result="", "", _xlpm.result)
   )
)</f>
        <v/>
      </c>
      <c r="G543" s="27" t="str" cm="1">
        <f t="array" ref="G543">IF(
   A543="",
   "",
   _xlfn.LET(
      _xlpm.result,
      IFERROR(
         _xlfn.XLOOKUP(
            1,
            (Table8[رقم الصنف]=A543) *
            (IF($B$9="الكل",1, YEAR('ادخال البيانات'!$N$3:$N$1164)=VALUE($B$9))) *
            (IF($B$10="الكل",1, MONTH('ادخال البيانات'!$N$3:$N$1164)=VALUE($B$10))) *
            (IF($B$11="الكل",1, INT((DAY('ادخال البيانات'!$N$3:$N$1164)-1)/7)+1 = VALUE($B$11))),
            'ادخال البيانات'!$G$3:$G$1164
         ),
         ""
      ),
      IF(_xlpm.result="", "", _xlpm.result)
   )
)</f>
        <v/>
      </c>
      <c r="H543" s="27" t="str" cm="1">
        <f t="array" ref="H543">IF(
   A543="",
   "",
   _xlfn.LET(
      _xlpm.result,
      IFERROR(
         _xlfn.XLOOKUP(
            1,
            (Table8[رقم الصنف]=A543) *
            (IF($B$9="الكل",1, YEAR('ادخال البيانات'!$N$3:$N$1164)=VALUE($B$9))) *
            (IF($B$10="الكل",1, MONTH('ادخال البيانات'!$N$3:$N$1164)=VALUE($B$10))) *
            (IF($B$11="الكل",1, INT((DAY('ادخال البيانات'!$N$3:$N$1164)-1)/7)+1 = VALUE($B$11))),
            'ادخال البيانات'!$H$3:$H$1164
         ),
         ""
      ),
      IF(_xlpm.result="", "", _xlpm.result)
   )
)</f>
        <v/>
      </c>
      <c r="I543" s="27" t="str" cm="1">
        <f t="array" ref="I543">IF(
   A543="",
   "",
   _xlfn.LET(
      _xlpm.result,
      IFERROR(
         _xlfn.XLOOKUP(
            1,
            (Table8[رقم الصنف]=A543) *
            (IF($B$9="الكل",1, YEAR('ادخال البيانات'!$N$3:$N$1164)=VALUE($B$9))) *
            (IF($B$10="الكل",1, MONTH('ادخال البيانات'!$N$3:$N$1164)=VALUE($B$10))) *
            (IF($B$11="الكل",1, INT((DAY('ادخال البيانات'!$N$3:$N$1164)-1)/7)+1 = VALUE($B$11))),
            'ادخال البيانات'!$I$3:$I$1164
         ),
         ""
      ),
      IF(_xlpm.result="", "", _xlpm.result)
   )
)</f>
        <v/>
      </c>
      <c r="J543" s="27" t="str" cm="1">
        <f t="array" ref="J543">IF(
   A543="",
   "",
   _xlfn.LET(
      _xlpm.result,
      IFERROR(
         _xlfn.XLOOKUP(
            1,
            (Table8[رقم الصنف]=A543) *
            (IF($B$9="الكل",1, YEAR('ادخال البيانات'!$N$3:$N$1164)=VALUE($B$9))) *
            (IF($B$10="الكل",1, MONTH('ادخال البيانات'!$N$3:$N$1164)=VALUE($B$10))) *
            (IF($B$11="الكل",1, INT((DAY('ادخال البيانات'!$N$3:$N$1164)-1)/7)+1 = VALUE($B$11))),
            'ادخال البيانات'!$J$3:$J$1164
         ),
         ""
      ),
      IF(_xlpm.result="", "", _xlpm.result)
   )
)</f>
        <v/>
      </c>
      <c r="K543" s="27" t="str" cm="1">
        <f t="array" ref="K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3" s="27" t="str" cm="1">
        <f t="array" ref="L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3" s="27" t="str" cm="1">
        <f t="array" ref="M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3" s="28" t="str" cm="1">
        <f t="array" ref="N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3" s="28" t="str" cm="1">
        <f t="array" ref="O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3" s="27" t="str" cm="1">
        <f t="array" ref="P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Table8[جهة العطل]
         ),
         ""
      ),
      IF(_xlpm.result="", "", _xlpm.result)
   )
)</f>
        <v/>
      </c>
      <c r="Q543" s="27" t="str" cm="1">
        <f t="array" ref="Q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Table8[المركز]
         ),
         ""
      ),
      IF(_xlpm.result="", "", _xlpm.result)
   )
)</f>
        <v/>
      </c>
      <c r="R543" s="27" t="str" cm="1">
        <f t="array" ref="R543">IF(
   A543="",
   "",
   _xlfn.LET(
      _xlpm.result,
      IFERROR(
         _xlfn.XLOOKUP(
            1,
            (Table8[رقم الصنف]=A543) *
            (IF($B$9="الكل",1, YEAR('ادخال البيانات'!$N$3:$N$1164) = VALUE($B$9))) *
            (IF($B$10="الكل",1, MONTH('ادخال البيانات'!$N$3:$N$1164) = VALUE($B$10))) *
            (IF($B$11="الكل",1, INT((DAY('ادخال البيانات'!$N$3:$N$1164) - 1) / 7) + 1 = VALUE($B$11))),
            Table8[ملاحظة]
         ),
         ""
      ),
      IF(_xlpm.result="", "", _xlpm.result)
   )
)</f>
        <v/>
      </c>
      <c r="S543" s="27" t="str">
        <f t="shared" ca="1" si="8"/>
        <v/>
      </c>
    </row>
    <row r="544" spans="1:19" ht="27.75" customHeight="1" thickTop="1" thickBot="1" x14ac:dyDescent="0.35">
      <c r="A544" s="39"/>
      <c r="B544" s="50" t="str" cm="1">
        <f t="array" ref="B544">IF(
   OR(A544="", $B$9="", $B$10="", $B$11=""),
   "",
   _xlfn.LET(
      _xlpm.result,
      IFERROR(
         _xlfn.XLOOKUP(
            1,
            (Table8[رقم الصنف]=A544)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4" s="27" t="str" cm="1">
        <f t="array" ref="C544">IF(
   A544="",
   "",
   _xlfn.LET(
      _xlpm.result,
      IFERROR(
         _xlfn.XLOOKUP(
            1,
            (Table8[رقم الصنف]=A544) *
            (IF($B$9="الكل",1, YEAR('ادخال البيانات'!$N$3:$N$1164) = VALUE($B$9))) *
            (IF($B$10="الكل",1, MONTH('ادخال البيانات'!$N$3:$N$1164) = VALUE($B$10))) *
            (IF($B$11="الكل",1, INT((DAY('ادخال البيانات'!$N$3:$N$1164)-1)/7)+1 = VALUE($B$11))),
            'ادخال البيانات'!$C$3:$C$1164
         ),
         ""
      ),
      IF(_xlpm.result="", "", _xlpm.result)
   )
)</f>
        <v/>
      </c>
      <c r="D544" s="27" t="str" cm="1">
        <f t="array" ref="D544">IF(
   OR(A544="", $B$9="", $B$10="", $B$11=""),
   "",
   _xlfn.LET(
      _xlpm.result,
      IFERROR(
         _xlfn.XLOOKUP(
            1,
            (Table8[رقم الصنف]=A544) *
            (IF($B$9="الكل",1, YEAR('ادخال البيانات'!$N$3:$N$1164)=VALUE($B$9))) *
            (IF($B$10="الكل",1, MONTH('ادخال البيانات'!$N$3:$N$1164)=VALUE($B$10))) *
            (IF($B$11="الكل",1, INT((DAY('ادخال البيانات'!$N$3:$N$1164)-1)/7)+1 = VALUE($B$11))),
            'ادخال البيانات'!$D$3:$D$1164
         ),
         ""
      ),
      IF(_xlpm.result="", "", _xlpm.result)
   )
)</f>
        <v/>
      </c>
      <c r="E544" s="27" t="str" cm="1">
        <f t="array" ref="E544">IF(
   A544="",
   "",
   _xlfn.LET(
      _xlpm.result,
      IFERROR(
         _xlfn.XLOOKUP(
            1,
            (Table8[رقم الصنف]=A544) *
            (IF($B$9="الكل",1, YEAR('ادخال البيانات'!$N$3:$N$1164)=VALUE($B$9))) *
            (IF($B$10="الكل",1, MONTH('ادخال البيانات'!$N$3:$N$1164)=VALUE($B$10))) *
            (IF($B$11="الكل",1, INT((DAY('ادخال البيانات'!$N$3:$N$1164)-1)/7)+1 = VALUE($B$11))),
            'ادخال البيانات'!$E$3:$E$1164
         ),
         ""
      ),
      IF(_xlpm.result="", "", _xlpm.result)
   )
)</f>
        <v/>
      </c>
      <c r="F544" s="27" t="str" cm="1">
        <f t="array" ref="F544">IF(
   A544="",
   "",
   _xlfn.LET(
      _xlpm.result,
      IFERROR(
         _xlfn.XLOOKUP(
            1,
            (Table8[رقم الصنف]=A544) *
            (IF($B$9="الكل",1, YEAR('ادخال البيانات'!$N$3:$N$1164) = VALUE($B$9))) *
            (IF($B$10="الكل",1, MONTH('ادخال البيانات'!$N$3:$N$1164) = VALUE($B$10))) *
            (IF($B$11="الكل",1, INT((DAY('ادخال البيانات'!$N$3:$N$1164)-1)/7)+1 = VALUE($B$11))),
            'ادخال البيانات'!$F$3:$F$1164
         ),
         ""
      ),
      IF(_xlpm.result="", "", _xlpm.result)
   )
)</f>
        <v/>
      </c>
      <c r="G544" s="27" t="str" cm="1">
        <f t="array" ref="G544">IF(
   A544="",
   "",
   _xlfn.LET(
      _xlpm.result,
      IFERROR(
         _xlfn.XLOOKUP(
            1,
            (Table8[رقم الصنف]=A544) *
            (IF($B$9="الكل",1, YEAR('ادخال البيانات'!$N$3:$N$1164)=VALUE($B$9))) *
            (IF($B$10="الكل",1, MONTH('ادخال البيانات'!$N$3:$N$1164)=VALUE($B$10))) *
            (IF($B$11="الكل",1, INT((DAY('ادخال البيانات'!$N$3:$N$1164)-1)/7)+1 = VALUE($B$11))),
            'ادخال البيانات'!$G$3:$G$1164
         ),
         ""
      ),
      IF(_xlpm.result="", "", _xlpm.result)
   )
)</f>
        <v/>
      </c>
      <c r="H544" s="27" t="str" cm="1">
        <f t="array" ref="H544">IF(
   A544="",
   "",
   _xlfn.LET(
      _xlpm.result,
      IFERROR(
         _xlfn.XLOOKUP(
            1,
            (Table8[رقم الصنف]=A544) *
            (IF($B$9="الكل",1, YEAR('ادخال البيانات'!$N$3:$N$1164)=VALUE($B$9))) *
            (IF($B$10="الكل",1, MONTH('ادخال البيانات'!$N$3:$N$1164)=VALUE($B$10))) *
            (IF($B$11="الكل",1, INT((DAY('ادخال البيانات'!$N$3:$N$1164)-1)/7)+1 = VALUE($B$11))),
            'ادخال البيانات'!$H$3:$H$1164
         ),
         ""
      ),
      IF(_xlpm.result="", "", _xlpm.result)
   )
)</f>
        <v/>
      </c>
      <c r="I544" s="27" t="str" cm="1">
        <f t="array" ref="I544">IF(
   A544="",
   "",
   _xlfn.LET(
      _xlpm.result,
      IFERROR(
         _xlfn.XLOOKUP(
            1,
            (Table8[رقم الصنف]=A544) *
            (IF($B$9="الكل",1, YEAR('ادخال البيانات'!$N$3:$N$1164)=VALUE($B$9))) *
            (IF($B$10="الكل",1, MONTH('ادخال البيانات'!$N$3:$N$1164)=VALUE($B$10))) *
            (IF($B$11="الكل",1, INT((DAY('ادخال البيانات'!$N$3:$N$1164)-1)/7)+1 = VALUE($B$11))),
            'ادخال البيانات'!$I$3:$I$1164
         ),
         ""
      ),
      IF(_xlpm.result="", "", _xlpm.result)
   )
)</f>
        <v/>
      </c>
      <c r="J544" s="27" t="str" cm="1">
        <f t="array" ref="J544">IF(
   A544="",
   "",
   _xlfn.LET(
      _xlpm.result,
      IFERROR(
         _xlfn.XLOOKUP(
            1,
            (Table8[رقم الصنف]=A544) *
            (IF($B$9="الكل",1, YEAR('ادخال البيانات'!$N$3:$N$1164)=VALUE($B$9))) *
            (IF($B$10="الكل",1, MONTH('ادخال البيانات'!$N$3:$N$1164)=VALUE($B$10))) *
            (IF($B$11="الكل",1, INT((DAY('ادخال البيانات'!$N$3:$N$1164)-1)/7)+1 = VALUE($B$11))),
            'ادخال البيانات'!$J$3:$J$1164
         ),
         ""
      ),
      IF(_xlpm.result="", "", _xlpm.result)
   )
)</f>
        <v/>
      </c>
      <c r="K544" s="27" t="str" cm="1">
        <f t="array" ref="K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4" s="27" t="str" cm="1">
        <f t="array" ref="L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4" s="27" t="str" cm="1">
        <f t="array" ref="M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4" s="28" t="str" cm="1">
        <f t="array" ref="N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4" s="28" t="str" cm="1">
        <f t="array" ref="O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4" s="27" t="str" cm="1">
        <f t="array" ref="P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Table8[جهة العطل]
         ),
         ""
      ),
      IF(_xlpm.result="", "", _xlpm.result)
   )
)</f>
        <v/>
      </c>
      <c r="Q544" s="27" t="str" cm="1">
        <f t="array" ref="Q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Table8[المركز]
         ),
         ""
      ),
      IF(_xlpm.result="", "", _xlpm.result)
   )
)</f>
        <v/>
      </c>
      <c r="R544" s="27" t="str" cm="1">
        <f t="array" ref="R544">IF(
   A544="",
   "",
   _xlfn.LET(
      _xlpm.result,
      IFERROR(
         _xlfn.XLOOKUP(
            1,
            (Table8[رقم الصنف]=A544) *
            (IF($B$9="الكل",1, YEAR('ادخال البيانات'!$N$3:$N$1164) = VALUE($B$9))) *
            (IF($B$10="الكل",1, MONTH('ادخال البيانات'!$N$3:$N$1164) = VALUE($B$10))) *
            (IF($B$11="الكل",1, INT((DAY('ادخال البيانات'!$N$3:$N$1164) - 1) / 7) + 1 = VALUE($B$11))),
            Table8[ملاحظة]
         ),
         ""
      ),
      IF(_xlpm.result="", "", _xlpm.result)
   )
)</f>
        <v/>
      </c>
      <c r="S544" s="27" t="str">
        <f t="shared" ca="1" si="8"/>
        <v/>
      </c>
    </row>
    <row r="545" spans="1:19" ht="27.75" customHeight="1" thickTop="1" thickBot="1" x14ac:dyDescent="0.35">
      <c r="A545" s="39"/>
      <c r="B545" s="50" t="str" cm="1">
        <f t="array" ref="B545">IF(
   OR(A545="", $B$9="", $B$10="", $B$11=""),
   "",
   _xlfn.LET(
      _xlpm.result,
      IFERROR(
         _xlfn.XLOOKUP(
            1,
            (Table8[رقم الصنف]=A545)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5" s="27" t="str" cm="1">
        <f t="array" ref="C545">IF(
   A545="",
   "",
   _xlfn.LET(
      _xlpm.result,
      IFERROR(
         _xlfn.XLOOKUP(
            1,
            (Table8[رقم الصنف]=A545) *
            (IF($B$9="الكل",1, YEAR('ادخال البيانات'!$N$3:$N$1164) = VALUE($B$9))) *
            (IF($B$10="الكل",1, MONTH('ادخال البيانات'!$N$3:$N$1164) = VALUE($B$10))) *
            (IF($B$11="الكل",1, INT((DAY('ادخال البيانات'!$N$3:$N$1164)-1)/7)+1 = VALUE($B$11))),
            'ادخال البيانات'!$C$3:$C$1164
         ),
         ""
      ),
      IF(_xlpm.result="", "", _xlpm.result)
   )
)</f>
        <v/>
      </c>
      <c r="D545" s="27" t="str" cm="1">
        <f t="array" ref="D545">IF(
   OR(A545="", $B$9="", $B$10="", $B$11=""),
   "",
   _xlfn.LET(
      _xlpm.result,
      IFERROR(
         _xlfn.XLOOKUP(
            1,
            (Table8[رقم الصنف]=A545) *
            (IF($B$9="الكل",1, YEAR('ادخال البيانات'!$N$3:$N$1164)=VALUE($B$9))) *
            (IF($B$10="الكل",1, MONTH('ادخال البيانات'!$N$3:$N$1164)=VALUE($B$10))) *
            (IF($B$11="الكل",1, INT((DAY('ادخال البيانات'!$N$3:$N$1164)-1)/7)+1 = VALUE($B$11))),
            'ادخال البيانات'!$D$3:$D$1164
         ),
         ""
      ),
      IF(_xlpm.result="", "", _xlpm.result)
   )
)</f>
        <v/>
      </c>
      <c r="E545" s="27" t="str" cm="1">
        <f t="array" ref="E545">IF(
   A545="",
   "",
   _xlfn.LET(
      _xlpm.result,
      IFERROR(
         _xlfn.XLOOKUP(
            1,
            (Table8[رقم الصنف]=A545) *
            (IF($B$9="الكل",1, YEAR('ادخال البيانات'!$N$3:$N$1164)=VALUE($B$9))) *
            (IF($B$10="الكل",1, MONTH('ادخال البيانات'!$N$3:$N$1164)=VALUE($B$10))) *
            (IF($B$11="الكل",1, INT((DAY('ادخال البيانات'!$N$3:$N$1164)-1)/7)+1 = VALUE($B$11))),
            'ادخال البيانات'!$E$3:$E$1164
         ),
         ""
      ),
      IF(_xlpm.result="", "", _xlpm.result)
   )
)</f>
        <v/>
      </c>
      <c r="F545" s="27" t="str" cm="1">
        <f t="array" ref="F545">IF(
   A545="",
   "",
   _xlfn.LET(
      _xlpm.result,
      IFERROR(
         _xlfn.XLOOKUP(
            1,
            (Table8[رقم الصنف]=A545) *
            (IF($B$9="الكل",1, YEAR('ادخال البيانات'!$N$3:$N$1164) = VALUE($B$9))) *
            (IF($B$10="الكل",1, MONTH('ادخال البيانات'!$N$3:$N$1164) = VALUE($B$10))) *
            (IF($B$11="الكل",1, INT((DAY('ادخال البيانات'!$N$3:$N$1164)-1)/7)+1 = VALUE($B$11))),
            'ادخال البيانات'!$F$3:$F$1164
         ),
         ""
      ),
      IF(_xlpm.result="", "", _xlpm.result)
   )
)</f>
        <v/>
      </c>
      <c r="G545" s="27" t="str" cm="1">
        <f t="array" ref="G545">IF(
   A545="",
   "",
   _xlfn.LET(
      _xlpm.result,
      IFERROR(
         _xlfn.XLOOKUP(
            1,
            (Table8[رقم الصنف]=A545) *
            (IF($B$9="الكل",1, YEAR('ادخال البيانات'!$N$3:$N$1164)=VALUE($B$9))) *
            (IF($B$10="الكل",1, MONTH('ادخال البيانات'!$N$3:$N$1164)=VALUE($B$10))) *
            (IF($B$11="الكل",1, INT((DAY('ادخال البيانات'!$N$3:$N$1164)-1)/7)+1 = VALUE($B$11))),
            'ادخال البيانات'!$G$3:$G$1164
         ),
         ""
      ),
      IF(_xlpm.result="", "", _xlpm.result)
   )
)</f>
        <v/>
      </c>
      <c r="H545" s="27" t="str" cm="1">
        <f t="array" ref="H545">IF(
   A545="",
   "",
   _xlfn.LET(
      _xlpm.result,
      IFERROR(
         _xlfn.XLOOKUP(
            1,
            (Table8[رقم الصنف]=A545) *
            (IF($B$9="الكل",1, YEAR('ادخال البيانات'!$N$3:$N$1164)=VALUE($B$9))) *
            (IF($B$10="الكل",1, MONTH('ادخال البيانات'!$N$3:$N$1164)=VALUE($B$10))) *
            (IF($B$11="الكل",1, INT((DAY('ادخال البيانات'!$N$3:$N$1164)-1)/7)+1 = VALUE($B$11))),
            'ادخال البيانات'!$H$3:$H$1164
         ),
         ""
      ),
      IF(_xlpm.result="", "", _xlpm.result)
   )
)</f>
        <v/>
      </c>
      <c r="I545" s="27" t="str" cm="1">
        <f t="array" ref="I545">IF(
   A545="",
   "",
   _xlfn.LET(
      _xlpm.result,
      IFERROR(
         _xlfn.XLOOKUP(
            1,
            (Table8[رقم الصنف]=A545) *
            (IF($B$9="الكل",1, YEAR('ادخال البيانات'!$N$3:$N$1164)=VALUE($B$9))) *
            (IF($B$10="الكل",1, MONTH('ادخال البيانات'!$N$3:$N$1164)=VALUE($B$10))) *
            (IF($B$11="الكل",1, INT((DAY('ادخال البيانات'!$N$3:$N$1164)-1)/7)+1 = VALUE($B$11))),
            'ادخال البيانات'!$I$3:$I$1164
         ),
         ""
      ),
      IF(_xlpm.result="", "", _xlpm.result)
   )
)</f>
        <v/>
      </c>
      <c r="J545" s="27" t="str" cm="1">
        <f t="array" ref="J545">IF(
   A545="",
   "",
   _xlfn.LET(
      _xlpm.result,
      IFERROR(
         _xlfn.XLOOKUP(
            1,
            (Table8[رقم الصنف]=A545) *
            (IF($B$9="الكل",1, YEAR('ادخال البيانات'!$N$3:$N$1164)=VALUE($B$9))) *
            (IF($B$10="الكل",1, MONTH('ادخال البيانات'!$N$3:$N$1164)=VALUE($B$10))) *
            (IF($B$11="الكل",1, INT((DAY('ادخال البيانات'!$N$3:$N$1164)-1)/7)+1 = VALUE($B$11))),
            'ادخال البيانات'!$J$3:$J$1164
         ),
         ""
      ),
      IF(_xlpm.result="", "", _xlpm.result)
   )
)</f>
        <v/>
      </c>
      <c r="K545" s="27" t="str" cm="1">
        <f t="array" ref="K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5" s="27" t="str" cm="1">
        <f t="array" ref="L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5" s="27" t="str" cm="1">
        <f t="array" ref="M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5" s="28" t="str" cm="1">
        <f t="array" ref="N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5" s="28" t="str" cm="1">
        <f t="array" ref="O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5" s="27" t="str" cm="1">
        <f t="array" ref="P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Table8[جهة العطل]
         ),
         ""
      ),
      IF(_xlpm.result="", "", _xlpm.result)
   )
)</f>
        <v/>
      </c>
      <c r="Q545" s="27" t="str" cm="1">
        <f t="array" ref="Q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Table8[المركز]
         ),
         ""
      ),
      IF(_xlpm.result="", "", _xlpm.result)
   )
)</f>
        <v/>
      </c>
      <c r="R545" s="27" t="str" cm="1">
        <f t="array" ref="R545">IF(
   A545="",
   "",
   _xlfn.LET(
      _xlpm.result,
      IFERROR(
         _xlfn.XLOOKUP(
            1,
            (Table8[رقم الصنف]=A545) *
            (IF($B$9="الكل",1, YEAR('ادخال البيانات'!$N$3:$N$1164) = VALUE($B$9))) *
            (IF($B$10="الكل",1, MONTH('ادخال البيانات'!$N$3:$N$1164) = VALUE($B$10))) *
            (IF($B$11="الكل",1, INT((DAY('ادخال البيانات'!$N$3:$N$1164) - 1) / 7) + 1 = VALUE($B$11))),
            Table8[ملاحظة]
         ),
         ""
      ),
      IF(_xlpm.result="", "", _xlpm.result)
   )
)</f>
        <v/>
      </c>
      <c r="S545" s="27" t="str">
        <f t="shared" ca="1" si="8"/>
        <v/>
      </c>
    </row>
    <row r="546" spans="1:19" ht="27.75" customHeight="1" thickTop="1" thickBot="1" x14ac:dyDescent="0.35">
      <c r="A546" s="39"/>
      <c r="B546" s="50" t="str" cm="1">
        <f t="array" ref="B546">IF(
   OR(A546="", $B$9="", $B$10="", $B$11=""),
   "",
   _xlfn.LET(
      _xlpm.result,
      IFERROR(
         _xlfn.XLOOKUP(
            1,
            (Table8[رقم الصنف]=A546)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6" s="27" t="str" cm="1">
        <f t="array" ref="C546">IF(
   A546="",
   "",
   _xlfn.LET(
      _xlpm.result,
      IFERROR(
         _xlfn.XLOOKUP(
            1,
            (Table8[رقم الصنف]=A546) *
            (IF($B$9="الكل",1, YEAR('ادخال البيانات'!$N$3:$N$1164) = VALUE($B$9))) *
            (IF($B$10="الكل",1, MONTH('ادخال البيانات'!$N$3:$N$1164) = VALUE($B$10))) *
            (IF($B$11="الكل",1, INT((DAY('ادخال البيانات'!$N$3:$N$1164)-1)/7)+1 = VALUE($B$11))),
            'ادخال البيانات'!$C$3:$C$1164
         ),
         ""
      ),
      IF(_xlpm.result="", "", _xlpm.result)
   )
)</f>
        <v/>
      </c>
      <c r="D546" s="27" t="str" cm="1">
        <f t="array" ref="D546">IF(
   OR(A546="", $B$9="", $B$10="", $B$11=""),
   "",
   _xlfn.LET(
      _xlpm.result,
      IFERROR(
         _xlfn.XLOOKUP(
            1,
            (Table8[رقم الصنف]=A546) *
            (IF($B$9="الكل",1, YEAR('ادخال البيانات'!$N$3:$N$1164)=VALUE($B$9))) *
            (IF($B$10="الكل",1, MONTH('ادخال البيانات'!$N$3:$N$1164)=VALUE($B$10))) *
            (IF($B$11="الكل",1, INT((DAY('ادخال البيانات'!$N$3:$N$1164)-1)/7)+1 = VALUE($B$11))),
            'ادخال البيانات'!$D$3:$D$1164
         ),
         ""
      ),
      IF(_xlpm.result="", "", _xlpm.result)
   )
)</f>
        <v/>
      </c>
      <c r="E546" s="27" t="str" cm="1">
        <f t="array" ref="E546">IF(
   A546="",
   "",
   _xlfn.LET(
      _xlpm.result,
      IFERROR(
         _xlfn.XLOOKUP(
            1,
            (Table8[رقم الصنف]=A546) *
            (IF($B$9="الكل",1, YEAR('ادخال البيانات'!$N$3:$N$1164)=VALUE($B$9))) *
            (IF($B$10="الكل",1, MONTH('ادخال البيانات'!$N$3:$N$1164)=VALUE($B$10))) *
            (IF($B$11="الكل",1, INT((DAY('ادخال البيانات'!$N$3:$N$1164)-1)/7)+1 = VALUE($B$11))),
            'ادخال البيانات'!$E$3:$E$1164
         ),
         ""
      ),
      IF(_xlpm.result="", "", _xlpm.result)
   )
)</f>
        <v/>
      </c>
      <c r="F546" s="27" t="str" cm="1">
        <f t="array" ref="F546">IF(
   A546="",
   "",
   _xlfn.LET(
      _xlpm.result,
      IFERROR(
         _xlfn.XLOOKUP(
            1,
            (Table8[رقم الصنف]=A546) *
            (IF($B$9="الكل",1, YEAR('ادخال البيانات'!$N$3:$N$1164) = VALUE($B$9))) *
            (IF($B$10="الكل",1, MONTH('ادخال البيانات'!$N$3:$N$1164) = VALUE($B$10))) *
            (IF($B$11="الكل",1, INT((DAY('ادخال البيانات'!$N$3:$N$1164)-1)/7)+1 = VALUE($B$11))),
            'ادخال البيانات'!$F$3:$F$1164
         ),
         ""
      ),
      IF(_xlpm.result="", "", _xlpm.result)
   )
)</f>
        <v/>
      </c>
      <c r="G546" s="27" t="str" cm="1">
        <f t="array" ref="G546">IF(
   A546="",
   "",
   _xlfn.LET(
      _xlpm.result,
      IFERROR(
         _xlfn.XLOOKUP(
            1,
            (Table8[رقم الصنف]=A546) *
            (IF($B$9="الكل",1, YEAR('ادخال البيانات'!$N$3:$N$1164)=VALUE($B$9))) *
            (IF($B$10="الكل",1, MONTH('ادخال البيانات'!$N$3:$N$1164)=VALUE($B$10))) *
            (IF($B$11="الكل",1, INT((DAY('ادخال البيانات'!$N$3:$N$1164)-1)/7)+1 = VALUE($B$11))),
            'ادخال البيانات'!$G$3:$G$1164
         ),
         ""
      ),
      IF(_xlpm.result="", "", _xlpm.result)
   )
)</f>
        <v/>
      </c>
      <c r="H546" s="27" t="str" cm="1">
        <f t="array" ref="H546">IF(
   A546="",
   "",
   _xlfn.LET(
      _xlpm.result,
      IFERROR(
         _xlfn.XLOOKUP(
            1,
            (Table8[رقم الصنف]=A546) *
            (IF($B$9="الكل",1, YEAR('ادخال البيانات'!$N$3:$N$1164)=VALUE($B$9))) *
            (IF($B$10="الكل",1, MONTH('ادخال البيانات'!$N$3:$N$1164)=VALUE($B$10))) *
            (IF($B$11="الكل",1, INT((DAY('ادخال البيانات'!$N$3:$N$1164)-1)/7)+1 = VALUE($B$11))),
            'ادخال البيانات'!$H$3:$H$1164
         ),
         ""
      ),
      IF(_xlpm.result="", "", _xlpm.result)
   )
)</f>
        <v/>
      </c>
      <c r="I546" s="27" t="str" cm="1">
        <f t="array" ref="I546">IF(
   A546="",
   "",
   _xlfn.LET(
      _xlpm.result,
      IFERROR(
         _xlfn.XLOOKUP(
            1,
            (Table8[رقم الصنف]=A546) *
            (IF($B$9="الكل",1, YEAR('ادخال البيانات'!$N$3:$N$1164)=VALUE($B$9))) *
            (IF($B$10="الكل",1, MONTH('ادخال البيانات'!$N$3:$N$1164)=VALUE($B$10))) *
            (IF($B$11="الكل",1, INT((DAY('ادخال البيانات'!$N$3:$N$1164)-1)/7)+1 = VALUE($B$11))),
            'ادخال البيانات'!$I$3:$I$1164
         ),
         ""
      ),
      IF(_xlpm.result="", "", _xlpm.result)
   )
)</f>
        <v/>
      </c>
      <c r="J546" s="27" t="str" cm="1">
        <f t="array" ref="J546">IF(
   A546="",
   "",
   _xlfn.LET(
      _xlpm.result,
      IFERROR(
         _xlfn.XLOOKUP(
            1,
            (Table8[رقم الصنف]=A546) *
            (IF($B$9="الكل",1, YEAR('ادخال البيانات'!$N$3:$N$1164)=VALUE($B$9))) *
            (IF($B$10="الكل",1, MONTH('ادخال البيانات'!$N$3:$N$1164)=VALUE($B$10))) *
            (IF($B$11="الكل",1, INT((DAY('ادخال البيانات'!$N$3:$N$1164)-1)/7)+1 = VALUE($B$11))),
            'ادخال البيانات'!$J$3:$J$1164
         ),
         ""
      ),
      IF(_xlpm.result="", "", _xlpm.result)
   )
)</f>
        <v/>
      </c>
      <c r="K546" s="27" t="str" cm="1">
        <f t="array" ref="K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6" s="27" t="str" cm="1">
        <f t="array" ref="L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6" s="27" t="str" cm="1">
        <f t="array" ref="M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6" s="28" t="str" cm="1">
        <f t="array" ref="N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6" s="28" t="str" cm="1">
        <f t="array" ref="O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6" s="27" t="str" cm="1">
        <f t="array" ref="P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Table8[جهة العطل]
         ),
         ""
      ),
      IF(_xlpm.result="", "", _xlpm.result)
   )
)</f>
        <v/>
      </c>
      <c r="Q546" s="27" t="str" cm="1">
        <f t="array" ref="Q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Table8[المركز]
         ),
         ""
      ),
      IF(_xlpm.result="", "", _xlpm.result)
   )
)</f>
        <v/>
      </c>
      <c r="R546" s="27" t="str" cm="1">
        <f t="array" ref="R546">IF(
   A546="",
   "",
   _xlfn.LET(
      _xlpm.result,
      IFERROR(
         _xlfn.XLOOKUP(
            1,
            (Table8[رقم الصنف]=A546) *
            (IF($B$9="الكل",1, YEAR('ادخال البيانات'!$N$3:$N$1164) = VALUE($B$9))) *
            (IF($B$10="الكل",1, MONTH('ادخال البيانات'!$N$3:$N$1164) = VALUE($B$10))) *
            (IF($B$11="الكل",1, INT((DAY('ادخال البيانات'!$N$3:$N$1164) - 1) / 7) + 1 = VALUE($B$11))),
            Table8[ملاحظة]
         ),
         ""
      ),
      IF(_xlpm.result="", "", _xlpm.result)
   )
)</f>
        <v/>
      </c>
      <c r="S546" s="27" t="str">
        <f t="shared" ca="1" si="8"/>
        <v/>
      </c>
    </row>
    <row r="547" spans="1:19" ht="27.75" customHeight="1" thickTop="1" thickBot="1" x14ac:dyDescent="0.35">
      <c r="A547" s="39"/>
      <c r="B547" s="50" t="str" cm="1">
        <f t="array" ref="B547">IF(
   OR(A547="", $B$9="", $B$10="", $B$11=""),
   "",
   _xlfn.LET(
      _xlpm.result,
      IFERROR(
         _xlfn.XLOOKUP(
            1,
            (Table8[رقم الصنف]=A547)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7" s="27" t="str" cm="1">
        <f t="array" ref="C547">IF(
   A547="",
   "",
   _xlfn.LET(
      _xlpm.result,
      IFERROR(
         _xlfn.XLOOKUP(
            1,
            (Table8[رقم الصنف]=A547) *
            (IF($B$9="الكل",1, YEAR('ادخال البيانات'!$N$3:$N$1164) = VALUE($B$9))) *
            (IF($B$10="الكل",1, MONTH('ادخال البيانات'!$N$3:$N$1164) = VALUE($B$10))) *
            (IF($B$11="الكل",1, INT((DAY('ادخال البيانات'!$N$3:$N$1164)-1)/7)+1 = VALUE($B$11))),
            'ادخال البيانات'!$C$3:$C$1164
         ),
         ""
      ),
      IF(_xlpm.result="", "", _xlpm.result)
   )
)</f>
        <v/>
      </c>
      <c r="D547" s="27" t="str" cm="1">
        <f t="array" ref="D547">IF(
   OR(A547="", $B$9="", $B$10="", $B$11=""),
   "",
   _xlfn.LET(
      _xlpm.result,
      IFERROR(
         _xlfn.XLOOKUP(
            1,
            (Table8[رقم الصنف]=A547) *
            (IF($B$9="الكل",1, YEAR('ادخال البيانات'!$N$3:$N$1164)=VALUE($B$9))) *
            (IF($B$10="الكل",1, MONTH('ادخال البيانات'!$N$3:$N$1164)=VALUE($B$10))) *
            (IF($B$11="الكل",1, INT((DAY('ادخال البيانات'!$N$3:$N$1164)-1)/7)+1 = VALUE($B$11))),
            'ادخال البيانات'!$D$3:$D$1164
         ),
         ""
      ),
      IF(_xlpm.result="", "", _xlpm.result)
   )
)</f>
        <v/>
      </c>
      <c r="E547" s="27" t="str" cm="1">
        <f t="array" ref="E547">IF(
   A547="",
   "",
   _xlfn.LET(
      _xlpm.result,
      IFERROR(
         _xlfn.XLOOKUP(
            1,
            (Table8[رقم الصنف]=A547) *
            (IF($B$9="الكل",1, YEAR('ادخال البيانات'!$N$3:$N$1164)=VALUE($B$9))) *
            (IF($B$10="الكل",1, MONTH('ادخال البيانات'!$N$3:$N$1164)=VALUE($B$10))) *
            (IF($B$11="الكل",1, INT((DAY('ادخال البيانات'!$N$3:$N$1164)-1)/7)+1 = VALUE($B$11))),
            'ادخال البيانات'!$E$3:$E$1164
         ),
         ""
      ),
      IF(_xlpm.result="", "", _xlpm.result)
   )
)</f>
        <v/>
      </c>
      <c r="F547" s="27" t="str" cm="1">
        <f t="array" ref="F547">IF(
   A547="",
   "",
   _xlfn.LET(
      _xlpm.result,
      IFERROR(
         _xlfn.XLOOKUP(
            1,
            (Table8[رقم الصنف]=A547) *
            (IF($B$9="الكل",1, YEAR('ادخال البيانات'!$N$3:$N$1164) = VALUE($B$9))) *
            (IF($B$10="الكل",1, MONTH('ادخال البيانات'!$N$3:$N$1164) = VALUE($B$10))) *
            (IF($B$11="الكل",1, INT((DAY('ادخال البيانات'!$N$3:$N$1164)-1)/7)+1 = VALUE($B$11))),
            'ادخال البيانات'!$F$3:$F$1164
         ),
         ""
      ),
      IF(_xlpm.result="", "", _xlpm.result)
   )
)</f>
        <v/>
      </c>
      <c r="G547" s="27" t="str" cm="1">
        <f t="array" ref="G547">IF(
   A547="",
   "",
   _xlfn.LET(
      _xlpm.result,
      IFERROR(
         _xlfn.XLOOKUP(
            1,
            (Table8[رقم الصنف]=A547) *
            (IF($B$9="الكل",1, YEAR('ادخال البيانات'!$N$3:$N$1164)=VALUE($B$9))) *
            (IF($B$10="الكل",1, MONTH('ادخال البيانات'!$N$3:$N$1164)=VALUE($B$10))) *
            (IF($B$11="الكل",1, INT((DAY('ادخال البيانات'!$N$3:$N$1164)-1)/7)+1 = VALUE($B$11))),
            'ادخال البيانات'!$G$3:$G$1164
         ),
         ""
      ),
      IF(_xlpm.result="", "", _xlpm.result)
   )
)</f>
        <v/>
      </c>
      <c r="H547" s="27" t="str" cm="1">
        <f t="array" ref="H547">IF(
   A547="",
   "",
   _xlfn.LET(
      _xlpm.result,
      IFERROR(
         _xlfn.XLOOKUP(
            1,
            (Table8[رقم الصنف]=A547) *
            (IF($B$9="الكل",1, YEAR('ادخال البيانات'!$N$3:$N$1164)=VALUE($B$9))) *
            (IF($B$10="الكل",1, MONTH('ادخال البيانات'!$N$3:$N$1164)=VALUE($B$10))) *
            (IF($B$11="الكل",1, INT((DAY('ادخال البيانات'!$N$3:$N$1164)-1)/7)+1 = VALUE($B$11))),
            'ادخال البيانات'!$H$3:$H$1164
         ),
         ""
      ),
      IF(_xlpm.result="", "", _xlpm.result)
   )
)</f>
        <v/>
      </c>
      <c r="I547" s="27" t="str" cm="1">
        <f t="array" ref="I547">IF(
   A547="",
   "",
   _xlfn.LET(
      _xlpm.result,
      IFERROR(
         _xlfn.XLOOKUP(
            1,
            (Table8[رقم الصنف]=A547) *
            (IF($B$9="الكل",1, YEAR('ادخال البيانات'!$N$3:$N$1164)=VALUE($B$9))) *
            (IF($B$10="الكل",1, MONTH('ادخال البيانات'!$N$3:$N$1164)=VALUE($B$10))) *
            (IF($B$11="الكل",1, INT((DAY('ادخال البيانات'!$N$3:$N$1164)-1)/7)+1 = VALUE($B$11))),
            'ادخال البيانات'!$I$3:$I$1164
         ),
         ""
      ),
      IF(_xlpm.result="", "", _xlpm.result)
   )
)</f>
        <v/>
      </c>
      <c r="J547" s="27" t="str" cm="1">
        <f t="array" ref="J547">IF(
   A547="",
   "",
   _xlfn.LET(
      _xlpm.result,
      IFERROR(
         _xlfn.XLOOKUP(
            1,
            (Table8[رقم الصنف]=A547) *
            (IF($B$9="الكل",1, YEAR('ادخال البيانات'!$N$3:$N$1164)=VALUE($B$9))) *
            (IF($B$10="الكل",1, MONTH('ادخال البيانات'!$N$3:$N$1164)=VALUE($B$10))) *
            (IF($B$11="الكل",1, INT((DAY('ادخال البيانات'!$N$3:$N$1164)-1)/7)+1 = VALUE($B$11))),
            'ادخال البيانات'!$J$3:$J$1164
         ),
         ""
      ),
      IF(_xlpm.result="", "", _xlpm.result)
   )
)</f>
        <v/>
      </c>
      <c r="K547" s="27" t="str" cm="1">
        <f t="array" ref="K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7" s="27" t="str" cm="1">
        <f t="array" ref="L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7" s="27" t="str" cm="1">
        <f t="array" ref="M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7" s="28" t="str" cm="1">
        <f t="array" ref="N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7" s="28" t="str" cm="1">
        <f t="array" ref="O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7" s="27" t="str" cm="1">
        <f t="array" ref="P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Table8[جهة العطل]
         ),
         ""
      ),
      IF(_xlpm.result="", "", _xlpm.result)
   )
)</f>
        <v/>
      </c>
      <c r="Q547" s="27" t="str" cm="1">
        <f t="array" ref="Q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Table8[المركز]
         ),
         ""
      ),
      IF(_xlpm.result="", "", _xlpm.result)
   )
)</f>
        <v/>
      </c>
      <c r="R547" s="27" t="str" cm="1">
        <f t="array" ref="R547">IF(
   A547="",
   "",
   _xlfn.LET(
      _xlpm.result,
      IFERROR(
         _xlfn.XLOOKUP(
            1,
            (Table8[رقم الصنف]=A547) *
            (IF($B$9="الكل",1, YEAR('ادخال البيانات'!$N$3:$N$1164) = VALUE($B$9))) *
            (IF($B$10="الكل",1, MONTH('ادخال البيانات'!$N$3:$N$1164) = VALUE($B$10))) *
            (IF($B$11="الكل",1, INT((DAY('ادخال البيانات'!$N$3:$N$1164) - 1) / 7) + 1 = VALUE($B$11))),
            Table8[ملاحظة]
         ),
         ""
      ),
      IF(_xlpm.result="", "", _xlpm.result)
   )
)</f>
        <v/>
      </c>
      <c r="S547" s="27" t="str">
        <f t="shared" ca="1" si="8"/>
        <v/>
      </c>
    </row>
    <row r="548" spans="1:19" ht="27.75" customHeight="1" thickTop="1" thickBot="1" x14ac:dyDescent="0.35">
      <c r="A548" s="39"/>
      <c r="B548" s="50" t="str" cm="1">
        <f t="array" ref="B548">IF(
   OR(A548="", $B$9="", $B$10="", $B$11=""),
   "",
   _xlfn.LET(
      _xlpm.result,
      IFERROR(
         _xlfn.XLOOKUP(
            1,
            (Table8[رقم الصنف]=A548)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8" s="27" t="str" cm="1">
        <f t="array" ref="C548">IF(
   A548="",
   "",
   _xlfn.LET(
      _xlpm.result,
      IFERROR(
         _xlfn.XLOOKUP(
            1,
            (Table8[رقم الصنف]=A548) *
            (IF($B$9="الكل",1, YEAR('ادخال البيانات'!$N$3:$N$1164) = VALUE($B$9))) *
            (IF($B$10="الكل",1, MONTH('ادخال البيانات'!$N$3:$N$1164) = VALUE($B$10))) *
            (IF($B$11="الكل",1, INT((DAY('ادخال البيانات'!$N$3:$N$1164)-1)/7)+1 = VALUE($B$11))),
            'ادخال البيانات'!$C$3:$C$1164
         ),
         ""
      ),
      IF(_xlpm.result="", "", _xlpm.result)
   )
)</f>
        <v/>
      </c>
      <c r="D548" s="27" t="str" cm="1">
        <f t="array" ref="D548">IF(
   OR(A548="", $B$9="", $B$10="", $B$11=""),
   "",
   _xlfn.LET(
      _xlpm.result,
      IFERROR(
         _xlfn.XLOOKUP(
            1,
            (Table8[رقم الصنف]=A548) *
            (IF($B$9="الكل",1, YEAR('ادخال البيانات'!$N$3:$N$1164)=VALUE($B$9))) *
            (IF($B$10="الكل",1, MONTH('ادخال البيانات'!$N$3:$N$1164)=VALUE($B$10))) *
            (IF($B$11="الكل",1, INT((DAY('ادخال البيانات'!$N$3:$N$1164)-1)/7)+1 = VALUE($B$11))),
            'ادخال البيانات'!$D$3:$D$1164
         ),
         ""
      ),
      IF(_xlpm.result="", "", _xlpm.result)
   )
)</f>
        <v/>
      </c>
      <c r="E548" s="27" t="str" cm="1">
        <f t="array" ref="E548">IF(
   A548="",
   "",
   _xlfn.LET(
      _xlpm.result,
      IFERROR(
         _xlfn.XLOOKUP(
            1,
            (Table8[رقم الصنف]=A548) *
            (IF($B$9="الكل",1, YEAR('ادخال البيانات'!$N$3:$N$1164)=VALUE($B$9))) *
            (IF($B$10="الكل",1, MONTH('ادخال البيانات'!$N$3:$N$1164)=VALUE($B$10))) *
            (IF($B$11="الكل",1, INT((DAY('ادخال البيانات'!$N$3:$N$1164)-1)/7)+1 = VALUE($B$11))),
            'ادخال البيانات'!$E$3:$E$1164
         ),
         ""
      ),
      IF(_xlpm.result="", "", _xlpm.result)
   )
)</f>
        <v/>
      </c>
      <c r="F548" s="27" t="str" cm="1">
        <f t="array" ref="F548">IF(
   A548="",
   "",
   _xlfn.LET(
      _xlpm.result,
      IFERROR(
         _xlfn.XLOOKUP(
            1,
            (Table8[رقم الصنف]=A548) *
            (IF($B$9="الكل",1, YEAR('ادخال البيانات'!$N$3:$N$1164) = VALUE($B$9))) *
            (IF($B$10="الكل",1, MONTH('ادخال البيانات'!$N$3:$N$1164) = VALUE($B$10))) *
            (IF($B$11="الكل",1, INT((DAY('ادخال البيانات'!$N$3:$N$1164)-1)/7)+1 = VALUE($B$11))),
            'ادخال البيانات'!$F$3:$F$1164
         ),
         ""
      ),
      IF(_xlpm.result="", "", _xlpm.result)
   )
)</f>
        <v/>
      </c>
      <c r="G548" s="27" t="str" cm="1">
        <f t="array" ref="G548">IF(
   A548="",
   "",
   _xlfn.LET(
      _xlpm.result,
      IFERROR(
         _xlfn.XLOOKUP(
            1,
            (Table8[رقم الصنف]=A548) *
            (IF($B$9="الكل",1, YEAR('ادخال البيانات'!$N$3:$N$1164)=VALUE($B$9))) *
            (IF($B$10="الكل",1, MONTH('ادخال البيانات'!$N$3:$N$1164)=VALUE($B$10))) *
            (IF($B$11="الكل",1, INT((DAY('ادخال البيانات'!$N$3:$N$1164)-1)/7)+1 = VALUE($B$11))),
            'ادخال البيانات'!$G$3:$G$1164
         ),
         ""
      ),
      IF(_xlpm.result="", "", _xlpm.result)
   )
)</f>
        <v/>
      </c>
      <c r="H548" s="27" t="str" cm="1">
        <f t="array" ref="H548">IF(
   A548="",
   "",
   _xlfn.LET(
      _xlpm.result,
      IFERROR(
         _xlfn.XLOOKUP(
            1,
            (Table8[رقم الصنف]=A548) *
            (IF($B$9="الكل",1, YEAR('ادخال البيانات'!$N$3:$N$1164)=VALUE($B$9))) *
            (IF($B$10="الكل",1, MONTH('ادخال البيانات'!$N$3:$N$1164)=VALUE($B$10))) *
            (IF($B$11="الكل",1, INT((DAY('ادخال البيانات'!$N$3:$N$1164)-1)/7)+1 = VALUE($B$11))),
            'ادخال البيانات'!$H$3:$H$1164
         ),
         ""
      ),
      IF(_xlpm.result="", "", _xlpm.result)
   )
)</f>
        <v/>
      </c>
      <c r="I548" s="27" t="str" cm="1">
        <f t="array" ref="I548">IF(
   A548="",
   "",
   _xlfn.LET(
      _xlpm.result,
      IFERROR(
         _xlfn.XLOOKUP(
            1,
            (Table8[رقم الصنف]=A548) *
            (IF($B$9="الكل",1, YEAR('ادخال البيانات'!$N$3:$N$1164)=VALUE($B$9))) *
            (IF($B$10="الكل",1, MONTH('ادخال البيانات'!$N$3:$N$1164)=VALUE($B$10))) *
            (IF($B$11="الكل",1, INT((DAY('ادخال البيانات'!$N$3:$N$1164)-1)/7)+1 = VALUE($B$11))),
            'ادخال البيانات'!$I$3:$I$1164
         ),
         ""
      ),
      IF(_xlpm.result="", "", _xlpm.result)
   )
)</f>
        <v/>
      </c>
      <c r="J548" s="27" t="str" cm="1">
        <f t="array" ref="J548">IF(
   A548="",
   "",
   _xlfn.LET(
      _xlpm.result,
      IFERROR(
         _xlfn.XLOOKUP(
            1,
            (Table8[رقم الصنف]=A548) *
            (IF($B$9="الكل",1, YEAR('ادخال البيانات'!$N$3:$N$1164)=VALUE($B$9))) *
            (IF($B$10="الكل",1, MONTH('ادخال البيانات'!$N$3:$N$1164)=VALUE($B$10))) *
            (IF($B$11="الكل",1, INT((DAY('ادخال البيانات'!$N$3:$N$1164)-1)/7)+1 = VALUE($B$11))),
            'ادخال البيانات'!$J$3:$J$1164
         ),
         ""
      ),
      IF(_xlpm.result="", "", _xlpm.result)
   )
)</f>
        <v/>
      </c>
      <c r="K548" s="27" t="str" cm="1">
        <f t="array" ref="K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8" s="27" t="str" cm="1">
        <f t="array" ref="L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8" s="27" t="str" cm="1">
        <f t="array" ref="M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8" s="28" t="str" cm="1">
        <f t="array" ref="N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8" s="28" t="str" cm="1">
        <f t="array" ref="O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8" s="27" t="str" cm="1">
        <f t="array" ref="P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Table8[جهة العطل]
         ),
         ""
      ),
      IF(_xlpm.result="", "", _xlpm.result)
   )
)</f>
        <v/>
      </c>
      <c r="Q548" s="27" t="str" cm="1">
        <f t="array" ref="Q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Table8[المركز]
         ),
         ""
      ),
      IF(_xlpm.result="", "", _xlpm.result)
   )
)</f>
        <v/>
      </c>
      <c r="R548" s="27" t="str" cm="1">
        <f t="array" ref="R548">IF(
   A548="",
   "",
   _xlfn.LET(
      _xlpm.result,
      IFERROR(
         _xlfn.XLOOKUP(
            1,
            (Table8[رقم الصنف]=A548) *
            (IF($B$9="الكل",1, YEAR('ادخال البيانات'!$N$3:$N$1164) = VALUE($B$9))) *
            (IF($B$10="الكل",1, MONTH('ادخال البيانات'!$N$3:$N$1164) = VALUE($B$10))) *
            (IF($B$11="الكل",1, INT((DAY('ادخال البيانات'!$N$3:$N$1164) - 1) / 7) + 1 = VALUE($B$11))),
            Table8[ملاحظة]
         ),
         ""
      ),
      IF(_xlpm.result="", "", _xlpm.result)
   )
)</f>
        <v/>
      </c>
      <c r="S548" s="27" t="str">
        <f t="shared" ca="1" si="8"/>
        <v/>
      </c>
    </row>
    <row r="549" spans="1:19" ht="27.75" customHeight="1" thickTop="1" thickBot="1" x14ac:dyDescent="0.35">
      <c r="A549" s="39"/>
      <c r="B549" s="50" t="str" cm="1">
        <f t="array" ref="B549">IF(
   OR(A549="", $B$9="", $B$10="", $B$11=""),
   "",
   _xlfn.LET(
      _xlpm.result,
      IFERROR(
         _xlfn.XLOOKUP(
            1,
            (Table8[رقم الصنف]=A549)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49" s="27" t="str" cm="1">
        <f t="array" ref="C549">IF(
   A549="",
   "",
   _xlfn.LET(
      _xlpm.result,
      IFERROR(
         _xlfn.XLOOKUP(
            1,
            (Table8[رقم الصنف]=A549) *
            (IF($B$9="الكل",1, YEAR('ادخال البيانات'!$N$3:$N$1164) = VALUE($B$9))) *
            (IF($B$10="الكل",1, MONTH('ادخال البيانات'!$N$3:$N$1164) = VALUE($B$10))) *
            (IF($B$11="الكل",1, INT((DAY('ادخال البيانات'!$N$3:$N$1164)-1)/7)+1 = VALUE($B$11))),
            'ادخال البيانات'!$C$3:$C$1164
         ),
         ""
      ),
      IF(_xlpm.result="", "", _xlpm.result)
   )
)</f>
        <v/>
      </c>
      <c r="D549" s="27" t="str" cm="1">
        <f t="array" ref="D549">IF(
   OR(A549="", $B$9="", $B$10="", $B$11=""),
   "",
   _xlfn.LET(
      _xlpm.result,
      IFERROR(
         _xlfn.XLOOKUP(
            1,
            (Table8[رقم الصنف]=A549) *
            (IF($B$9="الكل",1, YEAR('ادخال البيانات'!$N$3:$N$1164)=VALUE($B$9))) *
            (IF($B$10="الكل",1, MONTH('ادخال البيانات'!$N$3:$N$1164)=VALUE($B$10))) *
            (IF($B$11="الكل",1, INT((DAY('ادخال البيانات'!$N$3:$N$1164)-1)/7)+1 = VALUE($B$11))),
            'ادخال البيانات'!$D$3:$D$1164
         ),
         ""
      ),
      IF(_xlpm.result="", "", _xlpm.result)
   )
)</f>
        <v/>
      </c>
      <c r="E549" s="27" t="str" cm="1">
        <f t="array" ref="E549">IF(
   A549="",
   "",
   _xlfn.LET(
      _xlpm.result,
      IFERROR(
         _xlfn.XLOOKUP(
            1,
            (Table8[رقم الصنف]=A549) *
            (IF($B$9="الكل",1, YEAR('ادخال البيانات'!$N$3:$N$1164)=VALUE($B$9))) *
            (IF($B$10="الكل",1, MONTH('ادخال البيانات'!$N$3:$N$1164)=VALUE($B$10))) *
            (IF($B$11="الكل",1, INT((DAY('ادخال البيانات'!$N$3:$N$1164)-1)/7)+1 = VALUE($B$11))),
            'ادخال البيانات'!$E$3:$E$1164
         ),
         ""
      ),
      IF(_xlpm.result="", "", _xlpm.result)
   )
)</f>
        <v/>
      </c>
      <c r="F549" s="27" t="str" cm="1">
        <f t="array" ref="F549">IF(
   A549="",
   "",
   _xlfn.LET(
      _xlpm.result,
      IFERROR(
         _xlfn.XLOOKUP(
            1,
            (Table8[رقم الصنف]=A549) *
            (IF($B$9="الكل",1, YEAR('ادخال البيانات'!$N$3:$N$1164) = VALUE($B$9))) *
            (IF($B$10="الكل",1, MONTH('ادخال البيانات'!$N$3:$N$1164) = VALUE($B$10))) *
            (IF($B$11="الكل",1, INT((DAY('ادخال البيانات'!$N$3:$N$1164)-1)/7)+1 = VALUE($B$11))),
            'ادخال البيانات'!$F$3:$F$1164
         ),
         ""
      ),
      IF(_xlpm.result="", "", _xlpm.result)
   )
)</f>
        <v/>
      </c>
      <c r="G549" s="27" t="str" cm="1">
        <f t="array" ref="G549">IF(
   A549="",
   "",
   _xlfn.LET(
      _xlpm.result,
      IFERROR(
         _xlfn.XLOOKUP(
            1,
            (Table8[رقم الصنف]=A549) *
            (IF($B$9="الكل",1, YEAR('ادخال البيانات'!$N$3:$N$1164)=VALUE($B$9))) *
            (IF($B$10="الكل",1, MONTH('ادخال البيانات'!$N$3:$N$1164)=VALUE($B$10))) *
            (IF($B$11="الكل",1, INT((DAY('ادخال البيانات'!$N$3:$N$1164)-1)/7)+1 = VALUE($B$11))),
            'ادخال البيانات'!$G$3:$G$1164
         ),
         ""
      ),
      IF(_xlpm.result="", "", _xlpm.result)
   )
)</f>
        <v/>
      </c>
      <c r="H549" s="27" t="str" cm="1">
        <f t="array" ref="H549">IF(
   A549="",
   "",
   _xlfn.LET(
      _xlpm.result,
      IFERROR(
         _xlfn.XLOOKUP(
            1,
            (Table8[رقم الصنف]=A549) *
            (IF($B$9="الكل",1, YEAR('ادخال البيانات'!$N$3:$N$1164)=VALUE($B$9))) *
            (IF($B$10="الكل",1, MONTH('ادخال البيانات'!$N$3:$N$1164)=VALUE($B$10))) *
            (IF($B$11="الكل",1, INT((DAY('ادخال البيانات'!$N$3:$N$1164)-1)/7)+1 = VALUE($B$11))),
            'ادخال البيانات'!$H$3:$H$1164
         ),
         ""
      ),
      IF(_xlpm.result="", "", _xlpm.result)
   )
)</f>
        <v/>
      </c>
      <c r="I549" s="27" t="str" cm="1">
        <f t="array" ref="I549">IF(
   A549="",
   "",
   _xlfn.LET(
      _xlpm.result,
      IFERROR(
         _xlfn.XLOOKUP(
            1,
            (Table8[رقم الصنف]=A549) *
            (IF($B$9="الكل",1, YEAR('ادخال البيانات'!$N$3:$N$1164)=VALUE($B$9))) *
            (IF($B$10="الكل",1, MONTH('ادخال البيانات'!$N$3:$N$1164)=VALUE($B$10))) *
            (IF($B$11="الكل",1, INT((DAY('ادخال البيانات'!$N$3:$N$1164)-1)/7)+1 = VALUE($B$11))),
            'ادخال البيانات'!$I$3:$I$1164
         ),
         ""
      ),
      IF(_xlpm.result="", "", _xlpm.result)
   )
)</f>
        <v/>
      </c>
      <c r="J549" s="27" t="str" cm="1">
        <f t="array" ref="J549">IF(
   A549="",
   "",
   _xlfn.LET(
      _xlpm.result,
      IFERROR(
         _xlfn.XLOOKUP(
            1,
            (Table8[رقم الصنف]=A549) *
            (IF($B$9="الكل",1, YEAR('ادخال البيانات'!$N$3:$N$1164)=VALUE($B$9))) *
            (IF($B$10="الكل",1, MONTH('ادخال البيانات'!$N$3:$N$1164)=VALUE($B$10))) *
            (IF($B$11="الكل",1, INT((DAY('ادخال البيانات'!$N$3:$N$1164)-1)/7)+1 = VALUE($B$11))),
            'ادخال البيانات'!$J$3:$J$1164
         ),
         ""
      ),
      IF(_xlpm.result="", "", _xlpm.result)
   )
)</f>
        <v/>
      </c>
      <c r="K549" s="27" t="str" cm="1">
        <f t="array" ref="K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49" s="27" t="str" cm="1">
        <f t="array" ref="L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49" s="27" t="str" cm="1">
        <f t="array" ref="M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49" s="28" t="str" cm="1">
        <f t="array" ref="N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49" s="28" t="str" cm="1">
        <f t="array" ref="O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49" s="27" t="str" cm="1">
        <f t="array" ref="P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Table8[جهة العطل]
         ),
         ""
      ),
      IF(_xlpm.result="", "", _xlpm.result)
   )
)</f>
        <v/>
      </c>
      <c r="Q549" s="27" t="str" cm="1">
        <f t="array" ref="Q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Table8[المركز]
         ),
         ""
      ),
      IF(_xlpm.result="", "", _xlpm.result)
   )
)</f>
        <v/>
      </c>
      <c r="R549" s="27" t="str" cm="1">
        <f t="array" ref="R549">IF(
   A549="",
   "",
   _xlfn.LET(
      _xlpm.result,
      IFERROR(
         _xlfn.XLOOKUP(
            1,
            (Table8[رقم الصنف]=A549) *
            (IF($B$9="الكل",1, YEAR('ادخال البيانات'!$N$3:$N$1164) = VALUE($B$9))) *
            (IF($B$10="الكل",1, MONTH('ادخال البيانات'!$N$3:$N$1164) = VALUE($B$10))) *
            (IF($B$11="الكل",1, INT((DAY('ادخال البيانات'!$N$3:$N$1164) - 1) / 7) + 1 = VALUE($B$11))),
            Table8[ملاحظة]
         ),
         ""
      ),
      IF(_xlpm.result="", "", _xlpm.result)
   )
)</f>
        <v/>
      </c>
      <c r="S549" s="27" t="str">
        <f t="shared" ca="1" si="8"/>
        <v/>
      </c>
    </row>
    <row r="550" spans="1:19" ht="27.75" customHeight="1" thickTop="1" thickBot="1" x14ac:dyDescent="0.35">
      <c r="A550" s="39"/>
      <c r="B550" s="50" t="str" cm="1">
        <f t="array" ref="B550">IF(
   OR(A550="", $B$9="", $B$10="", $B$11=""),
   "",
   _xlfn.LET(
      _xlpm.result,
      IFERROR(
         _xlfn.XLOOKUP(
            1,
            (Table8[رقم الصنف]=A550)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0" s="27" t="str" cm="1">
        <f t="array" ref="C550">IF(
   A550="",
   "",
   _xlfn.LET(
      _xlpm.result,
      IFERROR(
         _xlfn.XLOOKUP(
            1,
            (Table8[رقم الصنف]=A550) *
            (IF($B$9="الكل",1, YEAR('ادخال البيانات'!$N$3:$N$1164) = VALUE($B$9))) *
            (IF($B$10="الكل",1, MONTH('ادخال البيانات'!$N$3:$N$1164) = VALUE($B$10))) *
            (IF($B$11="الكل",1, INT((DAY('ادخال البيانات'!$N$3:$N$1164)-1)/7)+1 = VALUE($B$11))),
            'ادخال البيانات'!$C$3:$C$1164
         ),
         ""
      ),
      IF(_xlpm.result="", "", _xlpm.result)
   )
)</f>
        <v/>
      </c>
      <c r="D550" s="27" t="str" cm="1">
        <f t="array" ref="D550">IF(
   OR(A550="", $B$9="", $B$10="", $B$11=""),
   "",
   _xlfn.LET(
      _xlpm.result,
      IFERROR(
         _xlfn.XLOOKUP(
            1,
            (Table8[رقم الصنف]=A550) *
            (IF($B$9="الكل",1, YEAR('ادخال البيانات'!$N$3:$N$1164)=VALUE($B$9))) *
            (IF($B$10="الكل",1, MONTH('ادخال البيانات'!$N$3:$N$1164)=VALUE($B$10))) *
            (IF($B$11="الكل",1, INT((DAY('ادخال البيانات'!$N$3:$N$1164)-1)/7)+1 = VALUE($B$11))),
            'ادخال البيانات'!$D$3:$D$1164
         ),
         ""
      ),
      IF(_xlpm.result="", "", _xlpm.result)
   )
)</f>
        <v/>
      </c>
      <c r="E550" s="27" t="str" cm="1">
        <f t="array" ref="E550">IF(
   A550="",
   "",
   _xlfn.LET(
      _xlpm.result,
      IFERROR(
         _xlfn.XLOOKUP(
            1,
            (Table8[رقم الصنف]=A550) *
            (IF($B$9="الكل",1, YEAR('ادخال البيانات'!$N$3:$N$1164)=VALUE($B$9))) *
            (IF($B$10="الكل",1, MONTH('ادخال البيانات'!$N$3:$N$1164)=VALUE($B$10))) *
            (IF($B$11="الكل",1, INT((DAY('ادخال البيانات'!$N$3:$N$1164)-1)/7)+1 = VALUE($B$11))),
            'ادخال البيانات'!$E$3:$E$1164
         ),
         ""
      ),
      IF(_xlpm.result="", "", _xlpm.result)
   )
)</f>
        <v/>
      </c>
      <c r="F550" s="27" t="str" cm="1">
        <f t="array" ref="F550">IF(
   A550="",
   "",
   _xlfn.LET(
      _xlpm.result,
      IFERROR(
         _xlfn.XLOOKUP(
            1,
            (Table8[رقم الصنف]=A550) *
            (IF($B$9="الكل",1, YEAR('ادخال البيانات'!$N$3:$N$1164) = VALUE($B$9))) *
            (IF($B$10="الكل",1, MONTH('ادخال البيانات'!$N$3:$N$1164) = VALUE($B$10))) *
            (IF($B$11="الكل",1, INT((DAY('ادخال البيانات'!$N$3:$N$1164)-1)/7)+1 = VALUE($B$11))),
            'ادخال البيانات'!$F$3:$F$1164
         ),
         ""
      ),
      IF(_xlpm.result="", "", _xlpm.result)
   )
)</f>
        <v/>
      </c>
      <c r="G550" s="27" t="str" cm="1">
        <f t="array" ref="G550">IF(
   A550="",
   "",
   _xlfn.LET(
      _xlpm.result,
      IFERROR(
         _xlfn.XLOOKUP(
            1,
            (Table8[رقم الصنف]=A550) *
            (IF($B$9="الكل",1, YEAR('ادخال البيانات'!$N$3:$N$1164)=VALUE($B$9))) *
            (IF($B$10="الكل",1, MONTH('ادخال البيانات'!$N$3:$N$1164)=VALUE($B$10))) *
            (IF($B$11="الكل",1, INT((DAY('ادخال البيانات'!$N$3:$N$1164)-1)/7)+1 = VALUE($B$11))),
            'ادخال البيانات'!$G$3:$G$1164
         ),
         ""
      ),
      IF(_xlpm.result="", "", _xlpm.result)
   )
)</f>
        <v/>
      </c>
      <c r="H550" s="27" t="str" cm="1">
        <f t="array" ref="H550">IF(
   A550="",
   "",
   _xlfn.LET(
      _xlpm.result,
      IFERROR(
         _xlfn.XLOOKUP(
            1,
            (Table8[رقم الصنف]=A550) *
            (IF($B$9="الكل",1, YEAR('ادخال البيانات'!$N$3:$N$1164)=VALUE($B$9))) *
            (IF($B$10="الكل",1, MONTH('ادخال البيانات'!$N$3:$N$1164)=VALUE($B$10))) *
            (IF($B$11="الكل",1, INT((DAY('ادخال البيانات'!$N$3:$N$1164)-1)/7)+1 = VALUE($B$11))),
            'ادخال البيانات'!$H$3:$H$1164
         ),
         ""
      ),
      IF(_xlpm.result="", "", _xlpm.result)
   )
)</f>
        <v/>
      </c>
      <c r="I550" s="27" t="str" cm="1">
        <f t="array" ref="I550">IF(
   A550="",
   "",
   _xlfn.LET(
      _xlpm.result,
      IFERROR(
         _xlfn.XLOOKUP(
            1,
            (Table8[رقم الصنف]=A550) *
            (IF($B$9="الكل",1, YEAR('ادخال البيانات'!$N$3:$N$1164)=VALUE($B$9))) *
            (IF($B$10="الكل",1, MONTH('ادخال البيانات'!$N$3:$N$1164)=VALUE($B$10))) *
            (IF($B$11="الكل",1, INT((DAY('ادخال البيانات'!$N$3:$N$1164)-1)/7)+1 = VALUE($B$11))),
            'ادخال البيانات'!$I$3:$I$1164
         ),
         ""
      ),
      IF(_xlpm.result="", "", _xlpm.result)
   )
)</f>
        <v/>
      </c>
      <c r="J550" s="27" t="str" cm="1">
        <f t="array" ref="J550">IF(
   A550="",
   "",
   _xlfn.LET(
      _xlpm.result,
      IFERROR(
         _xlfn.XLOOKUP(
            1,
            (Table8[رقم الصنف]=A550) *
            (IF($B$9="الكل",1, YEAR('ادخال البيانات'!$N$3:$N$1164)=VALUE($B$9))) *
            (IF($B$10="الكل",1, MONTH('ادخال البيانات'!$N$3:$N$1164)=VALUE($B$10))) *
            (IF($B$11="الكل",1, INT((DAY('ادخال البيانات'!$N$3:$N$1164)-1)/7)+1 = VALUE($B$11))),
            'ادخال البيانات'!$J$3:$J$1164
         ),
         ""
      ),
      IF(_xlpm.result="", "", _xlpm.result)
   )
)</f>
        <v/>
      </c>
      <c r="K550" s="27" t="str" cm="1">
        <f t="array" ref="K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0" s="27" t="str" cm="1">
        <f t="array" ref="L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0" s="27" t="str" cm="1">
        <f t="array" ref="M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0" s="28" t="str" cm="1">
        <f t="array" ref="N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0" s="28" t="str" cm="1">
        <f t="array" ref="O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0" s="27" t="str" cm="1">
        <f t="array" ref="P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Table8[جهة العطل]
         ),
         ""
      ),
      IF(_xlpm.result="", "", _xlpm.result)
   )
)</f>
        <v/>
      </c>
      <c r="Q550" s="27" t="str" cm="1">
        <f t="array" ref="Q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Table8[المركز]
         ),
         ""
      ),
      IF(_xlpm.result="", "", _xlpm.result)
   )
)</f>
        <v/>
      </c>
      <c r="R550" s="27" t="str" cm="1">
        <f t="array" ref="R550">IF(
   A550="",
   "",
   _xlfn.LET(
      _xlpm.result,
      IFERROR(
         _xlfn.XLOOKUP(
            1,
            (Table8[رقم الصنف]=A550) *
            (IF($B$9="الكل",1, YEAR('ادخال البيانات'!$N$3:$N$1164) = VALUE($B$9))) *
            (IF($B$10="الكل",1, MONTH('ادخال البيانات'!$N$3:$N$1164) = VALUE($B$10))) *
            (IF($B$11="الكل",1, INT((DAY('ادخال البيانات'!$N$3:$N$1164) - 1) / 7) + 1 = VALUE($B$11))),
            Table8[ملاحظة]
         ),
         ""
      ),
      IF(_xlpm.result="", "", _xlpm.result)
   )
)</f>
        <v/>
      </c>
      <c r="S550" s="27" t="str">
        <f t="shared" ca="1" si="8"/>
        <v/>
      </c>
    </row>
    <row r="551" spans="1:19" ht="27.75" customHeight="1" thickTop="1" thickBot="1" x14ac:dyDescent="0.35">
      <c r="A551" s="39"/>
      <c r="B551" s="50" t="str" cm="1">
        <f t="array" ref="B551">IF(
   OR(A551="", $B$9="", $B$10="", $B$11=""),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1" s="27" t="str" cm="1">
        <f t="array" ref="C551">IF(
   A551="",
   "",
   _xlfn.LET(
      _xlpm.result,
      IFERROR(
         _xlfn.XLOOKUP(
            1,
            (Table8[رقم الصنف]=A551) *
            (IF($B$9="الكل",1, YEAR('ادخال البيانات'!$N$3:$N$1164) = VALUE($B$9))) *
            (IF($B$10="الكل",1, MONTH('ادخال البيانات'!$N$3:$N$1164) = VALUE($B$10))) *
            (IF($B$11="الكل",1, INT((DAY('ادخال البيانات'!$N$3:$N$1164)-1)/7)+1 = VALUE($B$11))),
            'ادخال البيانات'!$C$3:$C$1164
         ),
         ""
      ),
      IF(_xlpm.result="", "", _xlpm.result)
   )
)</f>
        <v/>
      </c>
      <c r="D551" s="27" t="str" cm="1">
        <f t="array" ref="D551">IF(
   OR(A551="", $B$9="", $B$10="", $B$11=""),
   "",
   _xlfn.LET(
      _xlpm.result,
      IFERROR(
         _xlfn.XLOOKUP(
            1,
            (Table8[رقم الصنف]=A551) *
            (IF($B$9="الكل",1, YEAR('ادخال البيانات'!$N$3:$N$1164)=VALUE($B$9))) *
            (IF($B$10="الكل",1, MONTH('ادخال البيانات'!$N$3:$N$1164)=VALUE($B$10))) *
            (IF($B$11="الكل",1, INT((DAY('ادخال البيانات'!$N$3:$N$1164)-1)/7)+1 = VALUE($B$11))),
            'ادخال البيانات'!$D$3:$D$1164
         ),
         ""
      ),
      IF(_xlpm.result="", "", _xlpm.result)
   )
)</f>
        <v/>
      </c>
      <c r="E551" s="27" t="str" cm="1">
        <f t="array" ref="E551">IF(
   A551="",
   "",
   _xlfn.LET(
      _xlpm.result,
      IFERROR(
         _xlfn.XLOOKUP(
            1,
            (Table8[رقم الصنف]=A551) *
            (IF($B$9="الكل",1, YEAR('ادخال البيانات'!$N$3:$N$1164)=VALUE($B$9))) *
            (IF($B$10="الكل",1, MONTH('ادخال البيانات'!$N$3:$N$1164)=VALUE($B$10))) *
            (IF($B$11="الكل",1, INT((DAY('ادخال البيانات'!$N$3:$N$1164)-1)/7)+1 = VALUE($B$11))),
            'ادخال البيانات'!$E$3:$E$1164
         ),
         ""
      ),
      IF(_xlpm.result="", "", _xlpm.result)
   )
)</f>
        <v/>
      </c>
      <c r="F551" s="27" t="str" cm="1">
        <f t="array" ref="F551">IF(
   A551="",
   "",
   _xlfn.LET(
      _xlpm.result,
      IFERROR(
         _xlfn.XLOOKUP(
            1,
            (Table8[رقم الصنف]=A551) *
            (IF($B$9="الكل",1, YEAR('ادخال البيانات'!$N$3:$N$1164) = VALUE($B$9))) *
            (IF($B$10="الكل",1, MONTH('ادخال البيانات'!$N$3:$N$1164) = VALUE($B$10))) *
            (IF($B$11="الكل",1, INT((DAY('ادخال البيانات'!$N$3:$N$1164)-1)/7)+1 = VALUE($B$11))),
            'ادخال البيانات'!$F$3:$F$1164
         ),
         ""
      ),
      IF(_xlpm.result="", "", _xlpm.result)
   )
)</f>
        <v/>
      </c>
      <c r="G551" s="27" t="str" cm="1">
        <f t="array" ref="G551">IF(
   A551="",
   "",
   _xlfn.LET(
      _xlpm.result,
      IFERROR(
         _xlfn.XLOOKUP(
            1,
            (Table8[رقم الصنف]=A551) *
            (IF($B$9="الكل",1, YEAR('ادخال البيانات'!$N$3:$N$1164)=VALUE($B$9))) *
            (IF($B$10="الكل",1, MONTH('ادخال البيانات'!$N$3:$N$1164)=VALUE($B$10))) *
            (IF($B$11="الكل",1, INT((DAY('ادخال البيانات'!$N$3:$N$1164)-1)/7)+1 = VALUE($B$11))),
            'ادخال البيانات'!$G$3:$G$1164
         ),
         ""
      ),
      IF(_xlpm.result="", "", _xlpm.result)
   )
)</f>
        <v/>
      </c>
      <c r="H551" s="27" t="str" cm="1">
        <f t="array" ref="H551">IF(
   A551="",
   "",
   _xlfn.LET(
      _xlpm.result,
      IFERROR(
         _xlfn.XLOOKUP(
            1,
            (Table8[رقم الصنف]=A551) *
            (IF($B$9="الكل",1, YEAR('ادخال البيانات'!$N$3:$N$1164)=VALUE($B$9))) *
            (IF($B$10="الكل",1, MONTH('ادخال البيانات'!$N$3:$N$1164)=VALUE($B$10))) *
            (IF($B$11="الكل",1, INT((DAY('ادخال البيانات'!$N$3:$N$1164)-1)/7)+1 = VALUE($B$11))),
            'ادخال البيانات'!$H$3:$H$1164
         ),
         ""
      ),
      IF(_xlpm.result="", "", _xlpm.result)
   )
)</f>
        <v/>
      </c>
      <c r="I551" s="27" t="str" cm="1">
        <f t="array" ref="I551">IF(
   A551="",
   "",
   _xlfn.LET(
      _xlpm.result,
      IFERROR(
         _xlfn.XLOOKUP(
            1,
            (Table8[رقم الصنف]=A551) *
            (IF($B$9="الكل",1, YEAR('ادخال البيانات'!$N$3:$N$1164)=VALUE($B$9))) *
            (IF($B$10="الكل",1, MONTH('ادخال البيانات'!$N$3:$N$1164)=VALUE($B$10))) *
            (IF($B$11="الكل",1, INT((DAY('ادخال البيانات'!$N$3:$N$1164)-1)/7)+1 = VALUE($B$11))),
            'ادخال البيانات'!$I$3:$I$1164
         ),
         ""
      ),
      IF(_xlpm.result="", "", _xlpm.result)
   )
)</f>
        <v/>
      </c>
      <c r="J551" s="27" t="str" cm="1">
        <f t="array" ref="J551">IF(
   A551="",
   "",
   _xlfn.LET(
      _xlpm.result,
      IFERROR(
         _xlfn.XLOOKUP(
            1,
            (Table8[رقم الصنف]=A551) *
            (IF($B$9="الكل",1, YEAR('ادخال البيانات'!$N$3:$N$1164)=VALUE($B$9))) *
            (IF($B$10="الكل",1, MONTH('ادخال البيانات'!$N$3:$N$1164)=VALUE($B$10))) *
            (IF($B$11="الكل",1, INT((DAY('ادخال البيانات'!$N$3:$N$1164)-1)/7)+1 = VALUE($B$11))),
            'ادخال البيانات'!$J$3:$J$1164
         ),
         ""
      ),
      IF(_xlpm.result="", "", _xlpm.result)
   )
)</f>
        <v/>
      </c>
      <c r="K551" s="27" t="str" cm="1">
        <f t="array" ref="K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1" s="27" t="str" cm="1">
        <f t="array" ref="L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1" s="27" t="str" cm="1">
        <f t="array" ref="M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1" s="28" t="str" cm="1">
        <f t="array" ref="N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1" s="28" t="str" cm="1">
        <f t="array" ref="O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1" s="27" t="str" cm="1">
        <f t="array" ref="P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Table8[جهة العطل]
         ),
         ""
      ),
      IF(_xlpm.result="", "", _xlpm.result)
   )
)</f>
        <v/>
      </c>
      <c r="Q551" s="27" t="str" cm="1">
        <f t="array" ref="Q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Table8[المركز]
         ),
         ""
      ),
      IF(_xlpm.result="", "", _xlpm.result)
   )
)</f>
        <v/>
      </c>
      <c r="R551" s="27" t="str" cm="1">
        <f t="array" ref="R551">IF(
   A551="",
   "",
   _xlfn.LET(
      _xlpm.result,
      IFERROR(
         _xlfn.XLOOKUP(
            1,
            (Table8[رقم الصنف]=A551) *
            (IF($B$9="الكل",1, YEAR('ادخال البيانات'!$N$3:$N$1164) = VALUE($B$9))) *
            (IF($B$10="الكل",1, MONTH('ادخال البيانات'!$N$3:$N$1164) = VALUE($B$10))) *
            (IF($B$11="الكل",1, INT((DAY('ادخال البيانات'!$N$3:$N$1164) - 1) / 7) + 1 = VALUE($B$11))),
            Table8[ملاحظة]
         ),
         ""
      ),
      IF(_xlpm.result="", "", _xlpm.result)
   )
)</f>
        <v/>
      </c>
      <c r="S551" s="27" t="str">
        <f t="shared" ca="1" si="8"/>
        <v/>
      </c>
    </row>
    <row r="552" spans="1:19" ht="27.75" customHeight="1" thickTop="1" thickBot="1" x14ac:dyDescent="0.35">
      <c r="A552" s="39"/>
      <c r="B552" s="50" t="str" cm="1">
        <f t="array" ref="B552">IF(
   OR(A552="", $B$9="", $B$10="", $B$11=""),
   "",
   _xlfn.LET(
      _xlpm.result,
      IFERROR(
         _xlfn.XLOOKUP(
            1,
            (Table8[رقم الصنف]=A552)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2" s="27" t="str" cm="1">
        <f t="array" ref="C552">IF(
   A552="",
   "",
   _xlfn.LET(
      _xlpm.result,
      IFERROR(
         _xlfn.XLOOKUP(
            1,
            (Table8[رقم الصنف]=A552) *
            (IF($B$9="الكل",1, YEAR('ادخال البيانات'!$N$3:$N$1164) = VALUE($B$9))) *
            (IF($B$10="الكل",1, MONTH('ادخال البيانات'!$N$3:$N$1164) = VALUE($B$10))) *
            (IF($B$11="الكل",1, INT((DAY('ادخال البيانات'!$N$3:$N$1164)-1)/7)+1 = VALUE($B$11))),
            'ادخال البيانات'!$C$3:$C$1164
         ),
         ""
      ),
      IF(_xlpm.result="", "", _xlpm.result)
   )
)</f>
        <v/>
      </c>
      <c r="D552" s="27" t="str" cm="1">
        <f t="array" ref="D552">IF(
   OR(A552="", $B$9="", $B$10="", $B$11=""),
   "",
   _xlfn.LET(
      _xlpm.result,
      IFERROR(
         _xlfn.XLOOKUP(
            1,
            (Table8[رقم الصنف]=A552) *
            (IF($B$9="الكل",1, YEAR('ادخال البيانات'!$N$3:$N$1164)=VALUE($B$9))) *
            (IF($B$10="الكل",1, MONTH('ادخال البيانات'!$N$3:$N$1164)=VALUE($B$10))) *
            (IF($B$11="الكل",1, INT((DAY('ادخال البيانات'!$N$3:$N$1164)-1)/7)+1 = VALUE($B$11))),
            'ادخال البيانات'!$D$3:$D$1164
         ),
         ""
      ),
      IF(_xlpm.result="", "", _xlpm.result)
   )
)</f>
        <v/>
      </c>
      <c r="E552" s="27" t="str" cm="1">
        <f t="array" ref="E552">IF(
   A552="",
   "",
   _xlfn.LET(
      _xlpm.result,
      IFERROR(
         _xlfn.XLOOKUP(
            1,
            (Table8[رقم الصنف]=A552) *
            (IF($B$9="الكل",1, YEAR('ادخال البيانات'!$N$3:$N$1164)=VALUE($B$9))) *
            (IF($B$10="الكل",1, MONTH('ادخال البيانات'!$N$3:$N$1164)=VALUE($B$10))) *
            (IF($B$11="الكل",1, INT((DAY('ادخال البيانات'!$N$3:$N$1164)-1)/7)+1 = VALUE($B$11))),
            'ادخال البيانات'!$E$3:$E$1164
         ),
         ""
      ),
      IF(_xlpm.result="", "", _xlpm.result)
   )
)</f>
        <v/>
      </c>
      <c r="F552" s="27" t="str" cm="1">
        <f t="array" ref="F552">IF(
   A552="",
   "",
   _xlfn.LET(
      _xlpm.result,
      IFERROR(
         _xlfn.XLOOKUP(
            1,
            (Table8[رقم الصنف]=A552) *
            (IF($B$9="الكل",1, YEAR('ادخال البيانات'!$N$3:$N$1164) = VALUE($B$9))) *
            (IF($B$10="الكل",1, MONTH('ادخال البيانات'!$N$3:$N$1164) = VALUE($B$10))) *
            (IF($B$11="الكل",1, INT((DAY('ادخال البيانات'!$N$3:$N$1164)-1)/7)+1 = VALUE($B$11))),
            'ادخال البيانات'!$F$3:$F$1164
         ),
         ""
      ),
      IF(_xlpm.result="", "", _xlpm.result)
   )
)</f>
        <v/>
      </c>
      <c r="G552" s="27" t="str" cm="1">
        <f t="array" ref="G552">IF(
   A552="",
   "",
   _xlfn.LET(
      _xlpm.result,
      IFERROR(
         _xlfn.XLOOKUP(
            1,
            (Table8[رقم الصنف]=A552) *
            (IF($B$9="الكل",1, YEAR('ادخال البيانات'!$N$3:$N$1164)=VALUE($B$9))) *
            (IF($B$10="الكل",1, MONTH('ادخال البيانات'!$N$3:$N$1164)=VALUE($B$10))) *
            (IF($B$11="الكل",1, INT((DAY('ادخال البيانات'!$N$3:$N$1164)-1)/7)+1 = VALUE($B$11))),
            'ادخال البيانات'!$G$3:$G$1164
         ),
         ""
      ),
      IF(_xlpm.result="", "", _xlpm.result)
   )
)</f>
        <v/>
      </c>
      <c r="H552" s="27" t="str" cm="1">
        <f t="array" ref="H552">IF(
   A552="",
   "",
   _xlfn.LET(
      _xlpm.result,
      IFERROR(
         _xlfn.XLOOKUP(
            1,
            (Table8[رقم الصنف]=A552) *
            (IF($B$9="الكل",1, YEAR('ادخال البيانات'!$N$3:$N$1164)=VALUE($B$9))) *
            (IF($B$10="الكل",1, MONTH('ادخال البيانات'!$N$3:$N$1164)=VALUE($B$10))) *
            (IF($B$11="الكل",1, INT((DAY('ادخال البيانات'!$N$3:$N$1164)-1)/7)+1 = VALUE($B$11))),
            'ادخال البيانات'!$H$3:$H$1164
         ),
         ""
      ),
      IF(_xlpm.result="", "", _xlpm.result)
   )
)</f>
        <v/>
      </c>
      <c r="I552" s="27" t="str" cm="1">
        <f t="array" ref="I552">IF(
   A552="",
   "",
   _xlfn.LET(
      _xlpm.result,
      IFERROR(
         _xlfn.XLOOKUP(
            1,
            (Table8[رقم الصنف]=A552) *
            (IF($B$9="الكل",1, YEAR('ادخال البيانات'!$N$3:$N$1164)=VALUE($B$9))) *
            (IF($B$10="الكل",1, MONTH('ادخال البيانات'!$N$3:$N$1164)=VALUE($B$10))) *
            (IF($B$11="الكل",1, INT((DAY('ادخال البيانات'!$N$3:$N$1164)-1)/7)+1 = VALUE($B$11))),
            'ادخال البيانات'!$I$3:$I$1164
         ),
         ""
      ),
      IF(_xlpm.result="", "", _xlpm.result)
   )
)</f>
        <v/>
      </c>
      <c r="J552" s="27" t="str" cm="1">
        <f t="array" ref="J552">IF(
   A552="",
   "",
   _xlfn.LET(
      _xlpm.result,
      IFERROR(
         _xlfn.XLOOKUP(
            1,
            (Table8[رقم الصنف]=A552) *
            (IF($B$9="الكل",1, YEAR('ادخال البيانات'!$N$3:$N$1164)=VALUE($B$9))) *
            (IF($B$10="الكل",1, MONTH('ادخال البيانات'!$N$3:$N$1164)=VALUE($B$10))) *
            (IF($B$11="الكل",1, INT((DAY('ادخال البيانات'!$N$3:$N$1164)-1)/7)+1 = VALUE($B$11))),
            'ادخال البيانات'!$J$3:$J$1164
         ),
         ""
      ),
      IF(_xlpm.result="", "", _xlpm.result)
   )
)</f>
        <v/>
      </c>
      <c r="K552" s="27" t="str" cm="1">
        <f t="array" ref="K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2" s="27" t="str" cm="1">
        <f t="array" ref="L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2" s="27" t="str" cm="1">
        <f t="array" ref="M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2" s="28" t="str" cm="1">
        <f t="array" ref="N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2" s="28" t="str" cm="1">
        <f t="array" ref="O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2" s="27" t="str" cm="1">
        <f t="array" ref="P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Table8[جهة العطل]
         ),
         ""
      ),
      IF(_xlpm.result="", "", _xlpm.result)
   )
)</f>
        <v/>
      </c>
      <c r="Q552" s="27" t="str" cm="1">
        <f t="array" ref="Q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Table8[المركز]
         ),
         ""
      ),
      IF(_xlpm.result="", "", _xlpm.result)
   )
)</f>
        <v/>
      </c>
      <c r="R552" s="27" t="str" cm="1">
        <f t="array" ref="R552">IF(
   A552="",
   "",
   _xlfn.LET(
      _xlpm.result,
      IFERROR(
         _xlfn.XLOOKUP(
            1,
            (Table8[رقم الصنف]=A552) *
            (IF($B$9="الكل",1, YEAR('ادخال البيانات'!$N$3:$N$1164) = VALUE($B$9))) *
            (IF($B$10="الكل",1, MONTH('ادخال البيانات'!$N$3:$N$1164) = VALUE($B$10))) *
            (IF($B$11="الكل",1, INT((DAY('ادخال البيانات'!$N$3:$N$1164) - 1) / 7) + 1 = VALUE($B$11))),
            Table8[ملاحظة]
         ),
         ""
      ),
      IF(_xlpm.result="", "", _xlpm.result)
   )
)</f>
        <v/>
      </c>
      <c r="S552" s="27" t="str">
        <f t="shared" ca="1" si="8"/>
        <v/>
      </c>
    </row>
    <row r="553" spans="1:19" ht="27.75" customHeight="1" thickTop="1" thickBot="1" x14ac:dyDescent="0.35">
      <c r="A553" s="39"/>
      <c r="B553" s="50" t="str" cm="1">
        <f t="array" ref="B553">IF(
   OR(A553="", $B$9="", $B$10="", $B$11=""),
   "",
   _xlfn.LET(
      _xlpm.result,
      IFERROR(
         _xlfn.XLOOKUP(
            1,
            (Table8[رقم الصنف]=A553)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3" s="27" t="str" cm="1">
        <f t="array" ref="C553">IF(
   A553="",
   "",
   _xlfn.LET(
      _xlpm.result,
      IFERROR(
         _xlfn.XLOOKUP(
            1,
            (Table8[رقم الصنف]=A553) *
            (IF($B$9="الكل",1, YEAR('ادخال البيانات'!$N$3:$N$1164) = VALUE($B$9))) *
            (IF($B$10="الكل",1, MONTH('ادخال البيانات'!$N$3:$N$1164) = VALUE($B$10))) *
            (IF($B$11="الكل",1, INT((DAY('ادخال البيانات'!$N$3:$N$1164)-1)/7)+1 = VALUE($B$11))),
            'ادخال البيانات'!$C$3:$C$1164
         ),
         ""
      ),
      IF(_xlpm.result="", "", _xlpm.result)
   )
)</f>
        <v/>
      </c>
      <c r="D553" s="27" t="str" cm="1">
        <f t="array" ref="D553">IF(
   OR(A553="", $B$9="", $B$10="", $B$11=""),
   "",
   _xlfn.LET(
      _xlpm.result,
      IFERROR(
         _xlfn.XLOOKUP(
            1,
            (Table8[رقم الصنف]=A553) *
            (IF($B$9="الكل",1, YEAR('ادخال البيانات'!$N$3:$N$1164)=VALUE($B$9))) *
            (IF($B$10="الكل",1, MONTH('ادخال البيانات'!$N$3:$N$1164)=VALUE($B$10))) *
            (IF($B$11="الكل",1, INT((DAY('ادخال البيانات'!$N$3:$N$1164)-1)/7)+1 = VALUE($B$11))),
            'ادخال البيانات'!$D$3:$D$1164
         ),
         ""
      ),
      IF(_xlpm.result="", "", _xlpm.result)
   )
)</f>
        <v/>
      </c>
      <c r="E553" s="27" t="str" cm="1">
        <f t="array" ref="E553">IF(
   A553="",
   "",
   _xlfn.LET(
      _xlpm.result,
      IFERROR(
         _xlfn.XLOOKUP(
            1,
            (Table8[رقم الصنف]=A553) *
            (IF($B$9="الكل",1, YEAR('ادخال البيانات'!$N$3:$N$1164)=VALUE($B$9))) *
            (IF($B$10="الكل",1, MONTH('ادخال البيانات'!$N$3:$N$1164)=VALUE($B$10))) *
            (IF($B$11="الكل",1, INT((DAY('ادخال البيانات'!$N$3:$N$1164)-1)/7)+1 = VALUE($B$11))),
            'ادخال البيانات'!$E$3:$E$1164
         ),
         ""
      ),
      IF(_xlpm.result="", "", _xlpm.result)
   )
)</f>
        <v/>
      </c>
      <c r="F553" s="27" t="str" cm="1">
        <f t="array" ref="F553">IF(
   A553="",
   "",
   _xlfn.LET(
      _xlpm.result,
      IFERROR(
         _xlfn.XLOOKUP(
            1,
            (Table8[رقم الصنف]=A553) *
            (IF($B$9="الكل",1, YEAR('ادخال البيانات'!$N$3:$N$1164) = VALUE($B$9))) *
            (IF($B$10="الكل",1, MONTH('ادخال البيانات'!$N$3:$N$1164) = VALUE($B$10))) *
            (IF($B$11="الكل",1, INT((DAY('ادخال البيانات'!$N$3:$N$1164)-1)/7)+1 = VALUE($B$11))),
            'ادخال البيانات'!$F$3:$F$1164
         ),
         ""
      ),
      IF(_xlpm.result="", "", _xlpm.result)
   )
)</f>
        <v/>
      </c>
      <c r="G553" s="27" t="str" cm="1">
        <f t="array" ref="G553">IF(
   A553="",
   "",
   _xlfn.LET(
      _xlpm.result,
      IFERROR(
         _xlfn.XLOOKUP(
            1,
            (Table8[رقم الصنف]=A553) *
            (IF($B$9="الكل",1, YEAR('ادخال البيانات'!$N$3:$N$1164)=VALUE($B$9))) *
            (IF($B$10="الكل",1, MONTH('ادخال البيانات'!$N$3:$N$1164)=VALUE($B$10))) *
            (IF($B$11="الكل",1, INT((DAY('ادخال البيانات'!$N$3:$N$1164)-1)/7)+1 = VALUE($B$11))),
            'ادخال البيانات'!$G$3:$G$1164
         ),
         ""
      ),
      IF(_xlpm.result="", "", _xlpm.result)
   )
)</f>
        <v/>
      </c>
      <c r="H553" s="27" t="str" cm="1">
        <f t="array" ref="H553">IF(
   A553="",
   "",
   _xlfn.LET(
      _xlpm.result,
      IFERROR(
         _xlfn.XLOOKUP(
            1,
            (Table8[رقم الصنف]=A553) *
            (IF($B$9="الكل",1, YEAR('ادخال البيانات'!$N$3:$N$1164)=VALUE($B$9))) *
            (IF($B$10="الكل",1, MONTH('ادخال البيانات'!$N$3:$N$1164)=VALUE($B$10))) *
            (IF($B$11="الكل",1, INT((DAY('ادخال البيانات'!$N$3:$N$1164)-1)/7)+1 = VALUE($B$11))),
            'ادخال البيانات'!$H$3:$H$1164
         ),
         ""
      ),
      IF(_xlpm.result="", "", _xlpm.result)
   )
)</f>
        <v/>
      </c>
      <c r="I553" s="27" t="str" cm="1">
        <f t="array" ref="I553">IF(
   A553="",
   "",
   _xlfn.LET(
      _xlpm.result,
      IFERROR(
         _xlfn.XLOOKUP(
            1,
            (Table8[رقم الصنف]=A553) *
            (IF($B$9="الكل",1, YEAR('ادخال البيانات'!$N$3:$N$1164)=VALUE($B$9))) *
            (IF($B$10="الكل",1, MONTH('ادخال البيانات'!$N$3:$N$1164)=VALUE($B$10))) *
            (IF($B$11="الكل",1, INT((DAY('ادخال البيانات'!$N$3:$N$1164)-1)/7)+1 = VALUE($B$11))),
            'ادخال البيانات'!$I$3:$I$1164
         ),
         ""
      ),
      IF(_xlpm.result="", "", _xlpm.result)
   )
)</f>
        <v/>
      </c>
      <c r="J553" s="27" t="str" cm="1">
        <f t="array" ref="J553">IF(
   A553="",
   "",
   _xlfn.LET(
      _xlpm.result,
      IFERROR(
         _xlfn.XLOOKUP(
            1,
            (Table8[رقم الصنف]=A553) *
            (IF($B$9="الكل",1, YEAR('ادخال البيانات'!$N$3:$N$1164)=VALUE($B$9))) *
            (IF($B$10="الكل",1, MONTH('ادخال البيانات'!$N$3:$N$1164)=VALUE($B$10))) *
            (IF($B$11="الكل",1, INT((DAY('ادخال البيانات'!$N$3:$N$1164)-1)/7)+1 = VALUE($B$11))),
            'ادخال البيانات'!$J$3:$J$1164
         ),
         ""
      ),
      IF(_xlpm.result="", "", _xlpm.result)
   )
)</f>
        <v/>
      </c>
      <c r="K553" s="27" t="str" cm="1">
        <f t="array" ref="K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3" s="27" t="str" cm="1">
        <f t="array" ref="L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3" s="27" t="str" cm="1">
        <f t="array" ref="M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3" s="28" t="str" cm="1">
        <f t="array" ref="N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3" s="28" t="str" cm="1">
        <f t="array" ref="O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3" s="27" t="str" cm="1">
        <f t="array" ref="P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Table8[جهة العطل]
         ),
         ""
      ),
      IF(_xlpm.result="", "", _xlpm.result)
   )
)</f>
        <v/>
      </c>
      <c r="Q553" s="27" t="str" cm="1">
        <f t="array" ref="Q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Table8[المركز]
         ),
         ""
      ),
      IF(_xlpm.result="", "", _xlpm.result)
   )
)</f>
        <v/>
      </c>
      <c r="R553" s="27" t="str" cm="1">
        <f t="array" ref="R553">IF(
   A553="",
   "",
   _xlfn.LET(
      _xlpm.result,
      IFERROR(
         _xlfn.XLOOKUP(
            1,
            (Table8[رقم الصنف]=A553) *
            (IF($B$9="الكل",1, YEAR('ادخال البيانات'!$N$3:$N$1164) = VALUE($B$9))) *
            (IF($B$10="الكل",1, MONTH('ادخال البيانات'!$N$3:$N$1164) = VALUE($B$10))) *
            (IF($B$11="الكل",1, INT((DAY('ادخال البيانات'!$N$3:$N$1164) - 1) / 7) + 1 = VALUE($B$11))),
            Table8[ملاحظة]
         ),
         ""
      ),
      IF(_xlpm.result="", "", _xlpm.result)
   )
)</f>
        <v/>
      </c>
      <c r="S553" s="27" t="str">
        <f t="shared" ca="1" si="8"/>
        <v/>
      </c>
    </row>
    <row r="554" spans="1:19" ht="27.75" customHeight="1" thickTop="1" thickBot="1" x14ac:dyDescent="0.35">
      <c r="A554" s="39"/>
      <c r="B554" s="50" t="str" cm="1">
        <f t="array" ref="B554">IF(
   OR(A554="", $B$9="", $B$10="", $B$11=""),
   "",
   _xlfn.LET(
      _xlpm.result,
      IFERROR(
         _xlfn.XLOOKUP(
            1,
            (Table8[رقم الصنف]=A554)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4" s="27" t="str" cm="1">
        <f t="array" ref="C554">IF(
   A554="",
   "",
   _xlfn.LET(
      _xlpm.result,
      IFERROR(
         _xlfn.XLOOKUP(
            1,
            (Table8[رقم الصنف]=A554) *
            (IF($B$9="الكل",1, YEAR('ادخال البيانات'!$N$3:$N$1164) = VALUE($B$9))) *
            (IF($B$10="الكل",1, MONTH('ادخال البيانات'!$N$3:$N$1164) = VALUE($B$10))) *
            (IF($B$11="الكل",1, INT((DAY('ادخال البيانات'!$N$3:$N$1164)-1)/7)+1 = VALUE($B$11))),
            'ادخال البيانات'!$C$3:$C$1164
         ),
         ""
      ),
      IF(_xlpm.result="", "", _xlpm.result)
   )
)</f>
        <v/>
      </c>
      <c r="D554" s="27" t="str" cm="1">
        <f t="array" ref="D554">IF(
   OR(A554="", $B$9="", $B$10="", $B$11=""),
   "",
   _xlfn.LET(
      _xlpm.result,
      IFERROR(
         _xlfn.XLOOKUP(
            1,
            (Table8[رقم الصنف]=A554) *
            (IF($B$9="الكل",1, YEAR('ادخال البيانات'!$N$3:$N$1164)=VALUE($B$9))) *
            (IF($B$10="الكل",1, MONTH('ادخال البيانات'!$N$3:$N$1164)=VALUE($B$10))) *
            (IF($B$11="الكل",1, INT((DAY('ادخال البيانات'!$N$3:$N$1164)-1)/7)+1 = VALUE($B$11))),
            'ادخال البيانات'!$D$3:$D$1164
         ),
         ""
      ),
      IF(_xlpm.result="", "", _xlpm.result)
   )
)</f>
        <v/>
      </c>
      <c r="E554" s="27" t="str" cm="1">
        <f t="array" ref="E554">IF(
   A554="",
   "",
   _xlfn.LET(
      _xlpm.result,
      IFERROR(
         _xlfn.XLOOKUP(
            1,
            (Table8[رقم الصنف]=A554) *
            (IF($B$9="الكل",1, YEAR('ادخال البيانات'!$N$3:$N$1164)=VALUE($B$9))) *
            (IF($B$10="الكل",1, MONTH('ادخال البيانات'!$N$3:$N$1164)=VALUE($B$10))) *
            (IF($B$11="الكل",1, INT((DAY('ادخال البيانات'!$N$3:$N$1164)-1)/7)+1 = VALUE($B$11))),
            'ادخال البيانات'!$E$3:$E$1164
         ),
         ""
      ),
      IF(_xlpm.result="", "", _xlpm.result)
   )
)</f>
        <v/>
      </c>
      <c r="F554" s="27" t="str" cm="1">
        <f t="array" ref="F554">IF(
   A554="",
   "",
   _xlfn.LET(
      _xlpm.result,
      IFERROR(
         _xlfn.XLOOKUP(
            1,
            (Table8[رقم الصنف]=A554) *
            (IF($B$9="الكل",1, YEAR('ادخال البيانات'!$N$3:$N$1164) = VALUE($B$9))) *
            (IF($B$10="الكل",1, MONTH('ادخال البيانات'!$N$3:$N$1164) = VALUE($B$10))) *
            (IF($B$11="الكل",1, INT((DAY('ادخال البيانات'!$N$3:$N$1164)-1)/7)+1 = VALUE($B$11))),
            'ادخال البيانات'!$F$3:$F$1164
         ),
         ""
      ),
      IF(_xlpm.result="", "", _xlpm.result)
   )
)</f>
        <v/>
      </c>
      <c r="G554" s="27" t="str" cm="1">
        <f t="array" ref="G554">IF(
   A554="",
   "",
   _xlfn.LET(
      _xlpm.result,
      IFERROR(
         _xlfn.XLOOKUP(
            1,
            (Table8[رقم الصنف]=A554) *
            (IF($B$9="الكل",1, YEAR('ادخال البيانات'!$N$3:$N$1164)=VALUE($B$9))) *
            (IF($B$10="الكل",1, MONTH('ادخال البيانات'!$N$3:$N$1164)=VALUE($B$10))) *
            (IF($B$11="الكل",1, INT((DAY('ادخال البيانات'!$N$3:$N$1164)-1)/7)+1 = VALUE($B$11))),
            'ادخال البيانات'!$G$3:$G$1164
         ),
         ""
      ),
      IF(_xlpm.result="", "", _xlpm.result)
   )
)</f>
        <v/>
      </c>
      <c r="H554" s="27" t="str" cm="1">
        <f t="array" ref="H554">IF(
   A554="",
   "",
   _xlfn.LET(
      _xlpm.result,
      IFERROR(
         _xlfn.XLOOKUP(
            1,
            (Table8[رقم الصنف]=A554) *
            (IF($B$9="الكل",1, YEAR('ادخال البيانات'!$N$3:$N$1164)=VALUE($B$9))) *
            (IF($B$10="الكل",1, MONTH('ادخال البيانات'!$N$3:$N$1164)=VALUE($B$10))) *
            (IF($B$11="الكل",1, INT((DAY('ادخال البيانات'!$N$3:$N$1164)-1)/7)+1 = VALUE($B$11))),
            'ادخال البيانات'!$H$3:$H$1164
         ),
         ""
      ),
      IF(_xlpm.result="", "", _xlpm.result)
   )
)</f>
        <v/>
      </c>
      <c r="I554" s="27" t="str" cm="1">
        <f t="array" ref="I554">IF(
   A554="",
   "",
   _xlfn.LET(
      _xlpm.result,
      IFERROR(
         _xlfn.XLOOKUP(
            1,
            (Table8[رقم الصنف]=A554) *
            (IF($B$9="الكل",1, YEAR('ادخال البيانات'!$N$3:$N$1164)=VALUE($B$9))) *
            (IF($B$10="الكل",1, MONTH('ادخال البيانات'!$N$3:$N$1164)=VALUE($B$10))) *
            (IF($B$11="الكل",1, INT((DAY('ادخال البيانات'!$N$3:$N$1164)-1)/7)+1 = VALUE($B$11))),
            'ادخال البيانات'!$I$3:$I$1164
         ),
         ""
      ),
      IF(_xlpm.result="", "", _xlpm.result)
   )
)</f>
        <v/>
      </c>
      <c r="J554" s="27" t="str" cm="1">
        <f t="array" ref="J554">IF(
   A554="",
   "",
   _xlfn.LET(
      _xlpm.result,
      IFERROR(
         _xlfn.XLOOKUP(
            1,
            (Table8[رقم الصنف]=A554) *
            (IF($B$9="الكل",1, YEAR('ادخال البيانات'!$N$3:$N$1164)=VALUE($B$9))) *
            (IF($B$10="الكل",1, MONTH('ادخال البيانات'!$N$3:$N$1164)=VALUE($B$10))) *
            (IF($B$11="الكل",1, INT((DAY('ادخال البيانات'!$N$3:$N$1164)-1)/7)+1 = VALUE($B$11))),
            'ادخال البيانات'!$J$3:$J$1164
         ),
         ""
      ),
      IF(_xlpm.result="", "", _xlpm.result)
   )
)</f>
        <v/>
      </c>
      <c r="K554" s="27" t="str" cm="1">
        <f t="array" ref="K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4" s="27" t="str" cm="1">
        <f t="array" ref="L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4" s="27" t="str" cm="1">
        <f t="array" ref="M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4" s="28" t="str" cm="1">
        <f t="array" ref="N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4" s="28" t="str" cm="1">
        <f t="array" ref="O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4" s="27" t="str" cm="1">
        <f t="array" ref="P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Table8[جهة العطل]
         ),
         ""
      ),
      IF(_xlpm.result="", "", _xlpm.result)
   )
)</f>
        <v/>
      </c>
      <c r="Q554" s="27" t="str" cm="1">
        <f t="array" ref="Q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Table8[المركز]
         ),
         ""
      ),
      IF(_xlpm.result="", "", _xlpm.result)
   )
)</f>
        <v/>
      </c>
      <c r="R554" s="27" t="str" cm="1">
        <f t="array" ref="R554">IF(
   A554="",
   "",
   _xlfn.LET(
      _xlpm.result,
      IFERROR(
         _xlfn.XLOOKUP(
            1,
            (Table8[رقم الصنف]=A554) *
            (IF($B$9="الكل",1, YEAR('ادخال البيانات'!$N$3:$N$1164) = VALUE($B$9))) *
            (IF($B$10="الكل",1, MONTH('ادخال البيانات'!$N$3:$N$1164) = VALUE($B$10))) *
            (IF($B$11="الكل",1, INT((DAY('ادخال البيانات'!$N$3:$N$1164) - 1) / 7) + 1 = VALUE($B$11))),
            Table8[ملاحظة]
         ),
         ""
      ),
      IF(_xlpm.result="", "", _xlpm.result)
   )
)</f>
        <v/>
      </c>
      <c r="S554" s="27" t="str">
        <f t="shared" ca="1" si="8"/>
        <v/>
      </c>
    </row>
    <row r="555" spans="1:19" ht="27.75" customHeight="1" thickTop="1" thickBot="1" x14ac:dyDescent="0.35">
      <c r="A555" s="39"/>
      <c r="B555" s="50" t="str" cm="1">
        <f t="array" ref="B555">IF(
   OR(A555="", $B$9="", $B$10="", $B$11=""),
   "",
   _xlfn.LET(
      _xlpm.result,
      IFERROR(
         _xlfn.XLOOKUP(
            1,
            (Table8[رقم الصنف]=A555)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5" s="27" t="str" cm="1">
        <f t="array" ref="C555">IF(
   A555="",
   "",
   _xlfn.LET(
      _xlpm.result,
      IFERROR(
         _xlfn.XLOOKUP(
            1,
            (Table8[رقم الصنف]=A555) *
            (IF($B$9="الكل",1, YEAR('ادخال البيانات'!$N$3:$N$1164) = VALUE($B$9))) *
            (IF($B$10="الكل",1, MONTH('ادخال البيانات'!$N$3:$N$1164) = VALUE($B$10))) *
            (IF($B$11="الكل",1, INT((DAY('ادخال البيانات'!$N$3:$N$1164)-1)/7)+1 = VALUE($B$11))),
            'ادخال البيانات'!$C$3:$C$1164
         ),
         ""
      ),
      IF(_xlpm.result="", "", _xlpm.result)
   )
)</f>
        <v/>
      </c>
      <c r="D555" s="27" t="str" cm="1">
        <f t="array" ref="D555">IF(
   OR(A555="", $B$9="", $B$10="", $B$11=""),
   "",
   _xlfn.LET(
      _xlpm.result,
      IFERROR(
         _xlfn.XLOOKUP(
            1,
            (Table8[رقم الصنف]=A555) *
            (IF($B$9="الكل",1, YEAR('ادخال البيانات'!$N$3:$N$1164)=VALUE($B$9))) *
            (IF($B$10="الكل",1, MONTH('ادخال البيانات'!$N$3:$N$1164)=VALUE($B$10))) *
            (IF($B$11="الكل",1, INT((DAY('ادخال البيانات'!$N$3:$N$1164)-1)/7)+1 = VALUE($B$11))),
            'ادخال البيانات'!$D$3:$D$1164
         ),
         ""
      ),
      IF(_xlpm.result="", "", _xlpm.result)
   )
)</f>
        <v/>
      </c>
      <c r="E555" s="27" t="str" cm="1">
        <f t="array" ref="E555">IF(
   A555="",
   "",
   _xlfn.LET(
      _xlpm.result,
      IFERROR(
         _xlfn.XLOOKUP(
            1,
            (Table8[رقم الصنف]=A555) *
            (IF($B$9="الكل",1, YEAR('ادخال البيانات'!$N$3:$N$1164)=VALUE($B$9))) *
            (IF($B$10="الكل",1, MONTH('ادخال البيانات'!$N$3:$N$1164)=VALUE($B$10))) *
            (IF($B$11="الكل",1, INT((DAY('ادخال البيانات'!$N$3:$N$1164)-1)/7)+1 = VALUE($B$11))),
            'ادخال البيانات'!$E$3:$E$1164
         ),
         ""
      ),
      IF(_xlpm.result="", "", _xlpm.result)
   )
)</f>
        <v/>
      </c>
      <c r="F555" s="27" t="str" cm="1">
        <f t="array" ref="F555">IF(
   A555="",
   "",
   _xlfn.LET(
      _xlpm.result,
      IFERROR(
         _xlfn.XLOOKUP(
            1,
            (Table8[رقم الصنف]=A555) *
            (IF($B$9="الكل",1, YEAR('ادخال البيانات'!$N$3:$N$1164) = VALUE($B$9))) *
            (IF($B$10="الكل",1, MONTH('ادخال البيانات'!$N$3:$N$1164) = VALUE($B$10))) *
            (IF($B$11="الكل",1, INT((DAY('ادخال البيانات'!$N$3:$N$1164)-1)/7)+1 = VALUE($B$11))),
            'ادخال البيانات'!$F$3:$F$1164
         ),
         ""
      ),
      IF(_xlpm.result="", "", _xlpm.result)
   )
)</f>
        <v/>
      </c>
      <c r="G555" s="27" t="str" cm="1">
        <f t="array" ref="G555">IF(
   A555="",
   "",
   _xlfn.LET(
      _xlpm.result,
      IFERROR(
         _xlfn.XLOOKUP(
            1,
            (Table8[رقم الصنف]=A555) *
            (IF($B$9="الكل",1, YEAR('ادخال البيانات'!$N$3:$N$1164)=VALUE($B$9))) *
            (IF($B$10="الكل",1, MONTH('ادخال البيانات'!$N$3:$N$1164)=VALUE($B$10))) *
            (IF($B$11="الكل",1, INT((DAY('ادخال البيانات'!$N$3:$N$1164)-1)/7)+1 = VALUE($B$11))),
            'ادخال البيانات'!$G$3:$G$1164
         ),
         ""
      ),
      IF(_xlpm.result="", "", _xlpm.result)
   )
)</f>
        <v/>
      </c>
      <c r="H555" s="27" t="str" cm="1">
        <f t="array" ref="H555">IF(
   A555="",
   "",
   _xlfn.LET(
      _xlpm.result,
      IFERROR(
         _xlfn.XLOOKUP(
            1,
            (Table8[رقم الصنف]=A555) *
            (IF($B$9="الكل",1, YEAR('ادخال البيانات'!$N$3:$N$1164)=VALUE($B$9))) *
            (IF($B$10="الكل",1, MONTH('ادخال البيانات'!$N$3:$N$1164)=VALUE($B$10))) *
            (IF($B$11="الكل",1, INT((DAY('ادخال البيانات'!$N$3:$N$1164)-1)/7)+1 = VALUE($B$11))),
            'ادخال البيانات'!$H$3:$H$1164
         ),
         ""
      ),
      IF(_xlpm.result="", "", _xlpm.result)
   )
)</f>
        <v/>
      </c>
      <c r="I555" s="27" t="str" cm="1">
        <f t="array" ref="I555">IF(
   A555="",
   "",
   _xlfn.LET(
      _xlpm.result,
      IFERROR(
         _xlfn.XLOOKUP(
            1,
            (Table8[رقم الصنف]=A555) *
            (IF($B$9="الكل",1, YEAR('ادخال البيانات'!$N$3:$N$1164)=VALUE($B$9))) *
            (IF($B$10="الكل",1, MONTH('ادخال البيانات'!$N$3:$N$1164)=VALUE($B$10))) *
            (IF($B$11="الكل",1, INT((DAY('ادخال البيانات'!$N$3:$N$1164)-1)/7)+1 = VALUE($B$11))),
            'ادخال البيانات'!$I$3:$I$1164
         ),
         ""
      ),
      IF(_xlpm.result="", "", _xlpm.result)
   )
)</f>
        <v/>
      </c>
      <c r="J555" s="27" t="str" cm="1">
        <f t="array" ref="J555">IF(
   A555="",
   "",
   _xlfn.LET(
      _xlpm.result,
      IFERROR(
         _xlfn.XLOOKUP(
            1,
            (Table8[رقم الصنف]=A555) *
            (IF($B$9="الكل",1, YEAR('ادخال البيانات'!$N$3:$N$1164)=VALUE($B$9))) *
            (IF($B$10="الكل",1, MONTH('ادخال البيانات'!$N$3:$N$1164)=VALUE($B$10))) *
            (IF($B$11="الكل",1, INT((DAY('ادخال البيانات'!$N$3:$N$1164)-1)/7)+1 = VALUE($B$11))),
            'ادخال البيانات'!$J$3:$J$1164
         ),
         ""
      ),
      IF(_xlpm.result="", "", _xlpm.result)
   )
)</f>
        <v/>
      </c>
      <c r="K555" s="27" t="str" cm="1">
        <f t="array" ref="K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5" s="27" t="str" cm="1">
        <f t="array" ref="L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5" s="27" t="str" cm="1">
        <f t="array" ref="M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5" s="28" t="str" cm="1">
        <f t="array" ref="N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5" s="28" t="str" cm="1">
        <f t="array" ref="O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5" s="27" t="str" cm="1">
        <f t="array" ref="P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Table8[جهة العطل]
         ),
         ""
      ),
      IF(_xlpm.result="", "", _xlpm.result)
   )
)</f>
        <v/>
      </c>
      <c r="Q555" s="27" t="str" cm="1">
        <f t="array" ref="Q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Table8[المركز]
         ),
         ""
      ),
      IF(_xlpm.result="", "", _xlpm.result)
   )
)</f>
        <v/>
      </c>
      <c r="R555" s="27" t="str" cm="1">
        <f t="array" ref="R555">IF(
   A555="",
   "",
   _xlfn.LET(
      _xlpm.result,
      IFERROR(
         _xlfn.XLOOKUP(
            1,
            (Table8[رقم الصنف]=A555) *
            (IF($B$9="الكل",1, YEAR('ادخال البيانات'!$N$3:$N$1164) = VALUE($B$9))) *
            (IF($B$10="الكل",1, MONTH('ادخال البيانات'!$N$3:$N$1164) = VALUE($B$10))) *
            (IF($B$11="الكل",1, INT((DAY('ادخال البيانات'!$N$3:$N$1164) - 1) / 7) + 1 = VALUE($B$11))),
            Table8[ملاحظة]
         ),
         ""
      ),
      IF(_xlpm.result="", "", _xlpm.result)
   )
)</f>
        <v/>
      </c>
      <c r="S555" s="27" t="str">
        <f t="shared" ca="1" si="8"/>
        <v/>
      </c>
    </row>
    <row r="556" spans="1:19" ht="27.75" customHeight="1" thickTop="1" thickBot="1" x14ac:dyDescent="0.35">
      <c r="A556" s="39"/>
      <c r="B556" s="50" t="str" cm="1">
        <f t="array" ref="B556">IF(
   OR(A556="", $B$9="", $B$10="", $B$11=""),
   "",
   _xlfn.LET(
      _xlpm.result,
      IFERROR(
         _xlfn.XLOOKUP(
            1,
            (Table8[رقم الصنف]=A556)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6" s="27" t="str" cm="1">
        <f t="array" ref="C556">IF(
   A556="",
   "",
   _xlfn.LET(
      _xlpm.result,
      IFERROR(
         _xlfn.XLOOKUP(
            1,
            (Table8[رقم الصنف]=A556) *
            (IF($B$9="الكل",1, YEAR('ادخال البيانات'!$N$3:$N$1164) = VALUE($B$9))) *
            (IF($B$10="الكل",1, MONTH('ادخال البيانات'!$N$3:$N$1164) = VALUE($B$10))) *
            (IF($B$11="الكل",1, INT((DAY('ادخال البيانات'!$N$3:$N$1164)-1)/7)+1 = VALUE($B$11))),
            'ادخال البيانات'!$C$3:$C$1164
         ),
         ""
      ),
      IF(_xlpm.result="", "", _xlpm.result)
   )
)</f>
        <v/>
      </c>
      <c r="D556" s="27" t="str" cm="1">
        <f t="array" ref="D556">IF(
   OR(A556="", $B$9="", $B$10="", $B$11=""),
   "",
   _xlfn.LET(
      _xlpm.result,
      IFERROR(
         _xlfn.XLOOKUP(
            1,
            (Table8[رقم الصنف]=A556) *
            (IF($B$9="الكل",1, YEAR('ادخال البيانات'!$N$3:$N$1164)=VALUE($B$9))) *
            (IF($B$10="الكل",1, MONTH('ادخال البيانات'!$N$3:$N$1164)=VALUE($B$10))) *
            (IF($B$11="الكل",1, INT((DAY('ادخال البيانات'!$N$3:$N$1164)-1)/7)+1 = VALUE($B$11))),
            'ادخال البيانات'!$D$3:$D$1164
         ),
         ""
      ),
      IF(_xlpm.result="", "", _xlpm.result)
   )
)</f>
        <v/>
      </c>
      <c r="E556" s="27" t="str" cm="1">
        <f t="array" ref="E556">IF(
   A556="",
   "",
   _xlfn.LET(
      _xlpm.result,
      IFERROR(
         _xlfn.XLOOKUP(
            1,
            (Table8[رقم الصنف]=A556) *
            (IF($B$9="الكل",1, YEAR('ادخال البيانات'!$N$3:$N$1164)=VALUE($B$9))) *
            (IF($B$10="الكل",1, MONTH('ادخال البيانات'!$N$3:$N$1164)=VALUE($B$10))) *
            (IF($B$11="الكل",1, INT((DAY('ادخال البيانات'!$N$3:$N$1164)-1)/7)+1 = VALUE($B$11))),
            'ادخال البيانات'!$E$3:$E$1164
         ),
         ""
      ),
      IF(_xlpm.result="", "", _xlpm.result)
   )
)</f>
        <v/>
      </c>
      <c r="F556" s="27" t="str" cm="1">
        <f t="array" ref="F556">IF(
   A556="",
   "",
   _xlfn.LET(
      _xlpm.result,
      IFERROR(
         _xlfn.XLOOKUP(
            1,
            (Table8[رقم الصنف]=A556) *
            (IF($B$9="الكل",1, YEAR('ادخال البيانات'!$N$3:$N$1164) = VALUE($B$9))) *
            (IF($B$10="الكل",1, MONTH('ادخال البيانات'!$N$3:$N$1164) = VALUE($B$10))) *
            (IF($B$11="الكل",1, INT((DAY('ادخال البيانات'!$N$3:$N$1164)-1)/7)+1 = VALUE($B$11))),
            'ادخال البيانات'!$F$3:$F$1164
         ),
         ""
      ),
      IF(_xlpm.result="", "", _xlpm.result)
   )
)</f>
        <v/>
      </c>
      <c r="G556" s="27" t="str" cm="1">
        <f t="array" ref="G556">IF(
   A556="",
   "",
   _xlfn.LET(
      _xlpm.result,
      IFERROR(
         _xlfn.XLOOKUP(
            1,
            (Table8[رقم الصنف]=A556) *
            (IF($B$9="الكل",1, YEAR('ادخال البيانات'!$N$3:$N$1164)=VALUE($B$9))) *
            (IF($B$10="الكل",1, MONTH('ادخال البيانات'!$N$3:$N$1164)=VALUE($B$10))) *
            (IF($B$11="الكل",1, INT((DAY('ادخال البيانات'!$N$3:$N$1164)-1)/7)+1 = VALUE($B$11))),
            'ادخال البيانات'!$G$3:$G$1164
         ),
         ""
      ),
      IF(_xlpm.result="", "", _xlpm.result)
   )
)</f>
        <v/>
      </c>
      <c r="H556" s="27" t="str" cm="1">
        <f t="array" ref="H556">IF(
   A556="",
   "",
   _xlfn.LET(
      _xlpm.result,
      IFERROR(
         _xlfn.XLOOKUP(
            1,
            (Table8[رقم الصنف]=A556) *
            (IF($B$9="الكل",1, YEAR('ادخال البيانات'!$N$3:$N$1164)=VALUE($B$9))) *
            (IF($B$10="الكل",1, MONTH('ادخال البيانات'!$N$3:$N$1164)=VALUE($B$10))) *
            (IF($B$11="الكل",1, INT((DAY('ادخال البيانات'!$N$3:$N$1164)-1)/7)+1 = VALUE($B$11))),
            'ادخال البيانات'!$H$3:$H$1164
         ),
         ""
      ),
      IF(_xlpm.result="", "", _xlpm.result)
   )
)</f>
        <v/>
      </c>
      <c r="I556" s="27" t="str" cm="1">
        <f t="array" ref="I556">IF(
   A556="",
   "",
   _xlfn.LET(
      _xlpm.result,
      IFERROR(
         _xlfn.XLOOKUP(
            1,
            (Table8[رقم الصنف]=A556) *
            (IF($B$9="الكل",1, YEAR('ادخال البيانات'!$N$3:$N$1164)=VALUE($B$9))) *
            (IF($B$10="الكل",1, MONTH('ادخال البيانات'!$N$3:$N$1164)=VALUE($B$10))) *
            (IF($B$11="الكل",1, INT((DAY('ادخال البيانات'!$N$3:$N$1164)-1)/7)+1 = VALUE($B$11))),
            'ادخال البيانات'!$I$3:$I$1164
         ),
         ""
      ),
      IF(_xlpm.result="", "", _xlpm.result)
   )
)</f>
        <v/>
      </c>
      <c r="J556" s="27" t="str" cm="1">
        <f t="array" ref="J556">IF(
   A556="",
   "",
   _xlfn.LET(
      _xlpm.result,
      IFERROR(
         _xlfn.XLOOKUP(
            1,
            (Table8[رقم الصنف]=A556) *
            (IF($B$9="الكل",1, YEAR('ادخال البيانات'!$N$3:$N$1164)=VALUE($B$9))) *
            (IF($B$10="الكل",1, MONTH('ادخال البيانات'!$N$3:$N$1164)=VALUE($B$10))) *
            (IF($B$11="الكل",1, INT((DAY('ادخال البيانات'!$N$3:$N$1164)-1)/7)+1 = VALUE($B$11))),
            'ادخال البيانات'!$J$3:$J$1164
         ),
         ""
      ),
      IF(_xlpm.result="", "", _xlpm.result)
   )
)</f>
        <v/>
      </c>
      <c r="K556" s="27" t="str" cm="1">
        <f t="array" ref="K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6" s="27" t="str" cm="1">
        <f t="array" ref="L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6" s="27" t="str" cm="1">
        <f t="array" ref="M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6" s="28" t="str" cm="1">
        <f t="array" ref="N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6" s="28" t="str" cm="1">
        <f t="array" ref="O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6" s="27" t="str" cm="1">
        <f t="array" ref="P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Table8[جهة العطل]
         ),
         ""
      ),
      IF(_xlpm.result="", "", _xlpm.result)
   )
)</f>
        <v/>
      </c>
      <c r="Q556" s="27" t="str" cm="1">
        <f t="array" ref="Q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Table8[المركز]
         ),
         ""
      ),
      IF(_xlpm.result="", "", _xlpm.result)
   )
)</f>
        <v/>
      </c>
      <c r="R556" s="27" t="str" cm="1">
        <f t="array" ref="R556">IF(
   A556="",
   "",
   _xlfn.LET(
      _xlpm.result,
      IFERROR(
         _xlfn.XLOOKUP(
            1,
            (Table8[رقم الصنف]=A556) *
            (IF($B$9="الكل",1, YEAR('ادخال البيانات'!$N$3:$N$1164) = VALUE($B$9))) *
            (IF($B$10="الكل",1, MONTH('ادخال البيانات'!$N$3:$N$1164) = VALUE($B$10))) *
            (IF($B$11="الكل",1, INT((DAY('ادخال البيانات'!$N$3:$N$1164) - 1) / 7) + 1 = VALUE($B$11))),
            Table8[ملاحظة]
         ),
         ""
      ),
      IF(_xlpm.result="", "", _xlpm.result)
   )
)</f>
        <v/>
      </c>
      <c r="S556" s="27" t="str">
        <f t="shared" ca="1" si="8"/>
        <v/>
      </c>
    </row>
    <row r="557" spans="1:19" ht="27.75" customHeight="1" thickTop="1" thickBot="1" x14ac:dyDescent="0.35">
      <c r="A557" s="39"/>
      <c r="B557" s="50" t="str" cm="1">
        <f t="array" ref="B557">IF(
   OR(A557="", $B$9="", $B$10="", $B$11=""),
   "",
   _xlfn.LET(
      _xlpm.result,
      IFERROR(
         _xlfn.XLOOKUP(
            1,
            (Table8[رقم الصنف]=A557)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7" s="27" t="str" cm="1">
        <f t="array" ref="C557">IF(
   A557="",
   "",
   _xlfn.LET(
      _xlpm.result,
      IFERROR(
         _xlfn.XLOOKUP(
            1,
            (Table8[رقم الصنف]=A557) *
            (IF($B$9="الكل",1, YEAR('ادخال البيانات'!$N$3:$N$1164) = VALUE($B$9))) *
            (IF($B$10="الكل",1, MONTH('ادخال البيانات'!$N$3:$N$1164) = VALUE($B$10))) *
            (IF($B$11="الكل",1, INT((DAY('ادخال البيانات'!$N$3:$N$1164)-1)/7)+1 = VALUE($B$11))),
            'ادخال البيانات'!$C$3:$C$1164
         ),
         ""
      ),
      IF(_xlpm.result="", "", _xlpm.result)
   )
)</f>
        <v/>
      </c>
      <c r="D557" s="27" t="str" cm="1">
        <f t="array" ref="D557">IF(
   OR(A557="", $B$9="", $B$10="", $B$11=""),
   "",
   _xlfn.LET(
      _xlpm.result,
      IFERROR(
         _xlfn.XLOOKUP(
            1,
            (Table8[رقم الصنف]=A557) *
            (IF($B$9="الكل",1, YEAR('ادخال البيانات'!$N$3:$N$1164)=VALUE($B$9))) *
            (IF($B$10="الكل",1, MONTH('ادخال البيانات'!$N$3:$N$1164)=VALUE($B$10))) *
            (IF($B$11="الكل",1, INT((DAY('ادخال البيانات'!$N$3:$N$1164)-1)/7)+1 = VALUE($B$11))),
            'ادخال البيانات'!$D$3:$D$1164
         ),
         ""
      ),
      IF(_xlpm.result="", "", _xlpm.result)
   )
)</f>
        <v/>
      </c>
      <c r="E557" s="27" t="str" cm="1">
        <f t="array" ref="E557">IF(
   A557="",
   "",
   _xlfn.LET(
      _xlpm.result,
      IFERROR(
         _xlfn.XLOOKUP(
            1,
            (Table8[رقم الصنف]=A557) *
            (IF($B$9="الكل",1, YEAR('ادخال البيانات'!$N$3:$N$1164)=VALUE($B$9))) *
            (IF($B$10="الكل",1, MONTH('ادخال البيانات'!$N$3:$N$1164)=VALUE($B$10))) *
            (IF($B$11="الكل",1, INT((DAY('ادخال البيانات'!$N$3:$N$1164)-1)/7)+1 = VALUE($B$11))),
            'ادخال البيانات'!$E$3:$E$1164
         ),
         ""
      ),
      IF(_xlpm.result="", "", _xlpm.result)
   )
)</f>
        <v/>
      </c>
      <c r="F557" s="27" t="str" cm="1">
        <f t="array" ref="F557">IF(
   A557="",
   "",
   _xlfn.LET(
      _xlpm.result,
      IFERROR(
         _xlfn.XLOOKUP(
            1,
            (Table8[رقم الصنف]=A557) *
            (IF($B$9="الكل",1, YEAR('ادخال البيانات'!$N$3:$N$1164) = VALUE($B$9))) *
            (IF($B$10="الكل",1, MONTH('ادخال البيانات'!$N$3:$N$1164) = VALUE($B$10))) *
            (IF($B$11="الكل",1, INT((DAY('ادخال البيانات'!$N$3:$N$1164)-1)/7)+1 = VALUE($B$11))),
            'ادخال البيانات'!$F$3:$F$1164
         ),
         ""
      ),
      IF(_xlpm.result="", "", _xlpm.result)
   )
)</f>
        <v/>
      </c>
      <c r="G557" s="27" t="str" cm="1">
        <f t="array" ref="G557">IF(
   A557="",
   "",
   _xlfn.LET(
      _xlpm.result,
      IFERROR(
         _xlfn.XLOOKUP(
            1,
            (Table8[رقم الصنف]=A557) *
            (IF($B$9="الكل",1, YEAR('ادخال البيانات'!$N$3:$N$1164)=VALUE($B$9))) *
            (IF($B$10="الكل",1, MONTH('ادخال البيانات'!$N$3:$N$1164)=VALUE($B$10))) *
            (IF($B$11="الكل",1, INT((DAY('ادخال البيانات'!$N$3:$N$1164)-1)/7)+1 = VALUE($B$11))),
            'ادخال البيانات'!$G$3:$G$1164
         ),
         ""
      ),
      IF(_xlpm.result="", "", _xlpm.result)
   )
)</f>
        <v/>
      </c>
      <c r="H557" s="27" t="str" cm="1">
        <f t="array" ref="H557">IF(
   A557="",
   "",
   _xlfn.LET(
      _xlpm.result,
      IFERROR(
         _xlfn.XLOOKUP(
            1,
            (Table8[رقم الصنف]=A557) *
            (IF($B$9="الكل",1, YEAR('ادخال البيانات'!$N$3:$N$1164)=VALUE($B$9))) *
            (IF($B$10="الكل",1, MONTH('ادخال البيانات'!$N$3:$N$1164)=VALUE($B$10))) *
            (IF($B$11="الكل",1, INT((DAY('ادخال البيانات'!$N$3:$N$1164)-1)/7)+1 = VALUE($B$11))),
            'ادخال البيانات'!$H$3:$H$1164
         ),
         ""
      ),
      IF(_xlpm.result="", "", _xlpm.result)
   )
)</f>
        <v/>
      </c>
      <c r="I557" s="27" t="str" cm="1">
        <f t="array" ref="I557">IF(
   A557="",
   "",
   _xlfn.LET(
      _xlpm.result,
      IFERROR(
         _xlfn.XLOOKUP(
            1,
            (Table8[رقم الصنف]=A557) *
            (IF($B$9="الكل",1, YEAR('ادخال البيانات'!$N$3:$N$1164)=VALUE($B$9))) *
            (IF($B$10="الكل",1, MONTH('ادخال البيانات'!$N$3:$N$1164)=VALUE($B$10))) *
            (IF($B$11="الكل",1, INT((DAY('ادخال البيانات'!$N$3:$N$1164)-1)/7)+1 = VALUE($B$11))),
            'ادخال البيانات'!$I$3:$I$1164
         ),
         ""
      ),
      IF(_xlpm.result="", "", _xlpm.result)
   )
)</f>
        <v/>
      </c>
      <c r="J557" s="27" t="str" cm="1">
        <f t="array" ref="J557">IF(
   A557="",
   "",
   _xlfn.LET(
      _xlpm.result,
      IFERROR(
         _xlfn.XLOOKUP(
            1,
            (Table8[رقم الصنف]=A557) *
            (IF($B$9="الكل",1, YEAR('ادخال البيانات'!$N$3:$N$1164)=VALUE($B$9))) *
            (IF($B$10="الكل",1, MONTH('ادخال البيانات'!$N$3:$N$1164)=VALUE($B$10))) *
            (IF($B$11="الكل",1, INT((DAY('ادخال البيانات'!$N$3:$N$1164)-1)/7)+1 = VALUE($B$11))),
            'ادخال البيانات'!$J$3:$J$1164
         ),
         ""
      ),
      IF(_xlpm.result="", "", _xlpm.result)
   )
)</f>
        <v/>
      </c>
      <c r="K557" s="27" t="str" cm="1">
        <f t="array" ref="K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7" s="27" t="str" cm="1">
        <f t="array" ref="L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7" s="27" t="str" cm="1">
        <f t="array" ref="M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7" s="28" t="str" cm="1">
        <f t="array" ref="N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7" s="28" t="str" cm="1">
        <f t="array" ref="O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7" s="27" t="str" cm="1">
        <f t="array" ref="P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Table8[جهة العطل]
         ),
         ""
      ),
      IF(_xlpm.result="", "", _xlpm.result)
   )
)</f>
        <v/>
      </c>
      <c r="Q557" s="27" t="str" cm="1">
        <f t="array" ref="Q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Table8[المركز]
         ),
         ""
      ),
      IF(_xlpm.result="", "", _xlpm.result)
   )
)</f>
        <v/>
      </c>
      <c r="R557" s="27" t="str" cm="1">
        <f t="array" ref="R557">IF(
   A557="",
   "",
   _xlfn.LET(
      _xlpm.result,
      IFERROR(
         _xlfn.XLOOKUP(
            1,
            (Table8[رقم الصنف]=A557) *
            (IF($B$9="الكل",1, YEAR('ادخال البيانات'!$N$3:$N$1164) = VALUE($B$9))) *
            (IF($B$10="الكل",1, MONTH('ادخال البيانات'!$N$3:$N$1164) = VALUE($B$10))) *
            (IF($B$11="الكل",1, INT((DAY('ادخال البيانات'!$N$3:$N$1164) - 1) / 7) + 1 = VALUE($B$11))),
            Table8[ملاحظة]
         ),
         ""
      ),
      IF(_xlpm.result="", "", _xlpm.result)
   )
)</f>
        <v/>
      </c>
      <c r="S557" s="27" t="str">
        <f t="shared" ca="1" si="8"/>
        <v/>
      </c>
    </row>
    <row r="558" spans="1:19" ht="27.75" customHeight="1" thickTop="1" thickBot="1" x14ac:dyDescent="0.35">
      <c r="A558" s="39"/>
      <c r="B558" s="50" t="str" cm="1">
        <f t="array" ref="B558">IF(
   OR(A558="", $B$9="", $B$10="", $B$11=""),
   "",
   _xlfn.LET(
      _xlpm.result,
      IFERROR(
         _xlfn.XLOOKUP(
            1,
            (Table8[رقم الصنف]=A558)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8" s="27" t="str" cm="1">
        <f t="array" ref="C558">IF(
   A558="",
   "",
   _xlfn.LET(
      _xlpm.result,
      IFERROR(
         _xlfn.XLOOKUP(
            1,
            (Table8[رقم الصنف]=A558) *
            (IF($B$9="الكل",1, YEAR('ادخال البيانات'!$N$3:$N$1164) = VALUE($B$9))) *
            (IF($B$10="الكل",1, MONTH('ادخال البيانات'!$N$3:$N$1164) = VALUE($B$10))) *
            (IF($B$11="الكل",1, INT((DAY('ادخال البيانات'!$N$3:$N$1164)-1)/7)+1 = VALUE($B$11))),
            'ادخال البيانات'!$C$3:$C$1164
         ),
         ""
      ),
      IF(_xlpm.result="", "", _xlpm.result)
   )
)</f>
        <v/>
      </c>
      <c r="D558" s="27" t="str" cm="1">
        <f t="array" ref="D558">IF(
   OR(A558="", $B$9="", $B$10="", $B$11=""),
   "",
   _xlfn.LET(
      _xlpm.result,
      IFERROR(
         _xlfn.XLOOKUP(
            1,
            (Table8[رقم الصنف]=A558) *
            (IF($B$9="الكل",1, YEAR('ادخال البيانات'!$N$3:$N$1164)=VALUE($B$9))) *
            (IF($B$10="الكل",1, MONTH('ادخال البيانات'!$N$3:$N$1164)=VALUE($B$10))) *
            (IF($B$11="الكل",1, INT((DAY('ادخال البيانات'!$N$3:$N$1164)-1)/7)+1 = VALUE($B$11))),
            'ادخال البيانات'!$D$3:$D$1164
         ),
         ""
      ),
      IF(_xlpm.result="", "", _xlpm.result)
   )
)</f>
        <v/>
      </c>
      <c r="E558" s="27" t="str" cm="1">
        <f t="array" ref="E558">IF(
   A558="",
   "",
   _xlfn.LET(
      _xlpm.result,
      IFERROR(
         _xlfn.XLOOKUP(
            1,
            (Table8[رقم الصنف]=A558) *
            (IF($B$9="الكل",1, YEAR('ادخال البيانات'!$N$3:$N$1164)=VALUE($B$9))) *
            (IF($B$10="الكل",1, MONTH('ادخال البيانات'!$N$3:$N$1164)=VALUE($B$10))) *
            (IF($B$11="الكل",1, INT((DAY('ادخال البيانات'!$N$3:$N$1164)-1)/7)+1 = VALUE($B$11))),
            'ادخال البيانات'!$E$3:$E$1164
         ),
         ""
      ),
      IF(_xlpm.result="", "", _xlpm.result)
   )
)</f>
        <v/>
      </c>
      <c r="F558" s="27" t="str" cm="1">
        <f t="array" ref="F558">IF(
   A558="",
   "",
   _xlfn.LET(
      _xlpm.result,
      IFERROR(
         _xlfn.XLOOKUP(
            1,
            (Table8[رقم الصنف]=A558) *
            (IF($B$9="الكل",1, YEAR('ادخال البيانات'!$N$3:$N$1164) = VALUE($B$9))) *
            (IF($B$10="الكل",1, MONTH('ادخال البيانات'!$N$3:$N$1164) = VALUE($B$10))) *
            (IF($B$11="الكل",1, INT((DAY('ادخال البيانات'!$N$3:$N$1164)-1)/7)+1 = VALUE($B$11))),
            'ادخال البيانات'!$F$3:$F$1164
         ),
         ""
      ),
      IF(_xlpm.result="", "", _xlpm.result)
   )
)</f>
        <v/>
      </c>
      <c r="G558" s="27" t="str" cm="1">
        <f t="array" ref="G558">IF(
   A558="",
   "",
   _xlfn.LET(
      _xlpm.result,
      IFERROR(
         _xlfn.XLOOKUP(
            1,
            (Table8[رقم الصنف]=A558) *
            (IF($B$9="الكل",1, YEAR('ادخال البيانات'!$N$3:$N$1164)=VALUE($B$9))) *
            (IF($B$10="الكل",1, MONTH('ادخال البيانات'!$N$3:$N$1164)=VALUE($B$10))) *
            (IF($B$11="الكل",1, INT((DAY('ادخال البيانات'!$N$3:$N$1164)-1)/7)+1 = VALUE($B$11))),
            'ادخال البيانات'!$G$3:$G$1164
         ),
         ""
      ),
      IF(_xlpm.result="", "", _xlpm.result)
   )
)</f>
        <v/>
      </c>
      <c r="H558" s="27" t="str" cm="1">
        <f t="array" ref="H558">IF(
   A558="",
   "",
   _xlfn.LET(
      _xlpm.result,
      IFERROR(
         _xlfn.XLOOKUP(
            1,
            (Table8[رقم الصنف]=A558) *
            (IF($B$9="الكل",1, YEAR('ادخال البيانات'!$N$3:$N$1164)=VALUE($B$9))) *
            (IF($B$10="الكل",1, MONTH('ادخال البيانات'!$N$3:$N$1164)=VALUE($B$10))) *
            (IF($B$11="الكل",1, INT((DAY('ادخال البيانات'!$N$3:$N$1164)-1)/7)+1 = VALUE($B$11))),
            'ادخال البيانات'!$H$3:$H$1164
         ),
         ""
      ),
      IF(_xlpm.result="", "", _xlpm.result)
   )
)</f>
        <v/>
      </c>
      <c r="I558" s="27" t="str" cm="1">
        <f t="array" ref="I558">IF(
   A558="",
   "",
   _xlfn.LET(
      _xlpm.result,
      IFERROR(
         _xlfn.XLOOKUP(
            1,
            (Table8[رقم الصنف]=A558) *
            (IF($B$9="الكل",1, YEAR('ادخال البيانات'!$N$3:$N$1164)=VALUE($B$9))) *
            (IF($B$10="الكل",1, MONTH('ادخال البيانات'!$N$3:$N$1164)=VALUE($B$10))) *
            (IF($B$11="الكل",1, INT((DAY('ادخال البيانات'!$N$3:$N$1164)-1)/7)+1 = VALUE($B$11))),
            'ادخال البيانات'!$I$3:$I$1164
         ),
         ""
      ),
      IF(_xlpm.result="", "", _xlpm.result)
   )
)</f>
        <v/>
      </c>
      <c r="J558" s="27" t="str" cm="1">
        <f t="array" ref="J558">IF(
   A558="",
   "",
   _xlfn.LET(
      _xlpm.result,
      IFERROR(
         _xlfn.XLOOKUP(
            1,
            (Table8[رقم الصنف]=A558) *
            (IF($B$9="الكل",1, YEAR('ادخال البيانات'!$N$3:$N$1164)=VALUE($B$9))) *
            (IF($B$10="الكل",1, MONTH('ادخال البيانات'!$N$3:$N$1164)=VALUE($B$10))) *
            (IF($B$11="الكل",1, INT((DAY('ادخال البيانات'!$N$3:$N$1164)-1)/7)+1 = VALUE($B$11))),
            'ادخال البيانات'!$J$3:$J$1164
         ),
         ""
      ),
      IF(_xlpm.result="", "", _xlpm.result)
   )
)</f>
        <v/>
      </c>
      <c r="K558" s="27" t="str" cm="1">
        <f t="array" ref="K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8" s="27" t="str" cm="1">
        <f t="array" ref="L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8" s="27" t="str" cm="1">
        <f t="array" ref="M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8" s="28" t="str" cm="1">
        <f t="array" ref="N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8" s="28" t="str" cm="1">
        <f t="array" ref="O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8" s="27" t="str" cm="1">
        <f t="array" ref="P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Table8[جهة العطل]
         ),
         ""
      ),
      IF(_xlpm.result="", "", _xlpm.result)
   )
)</f>
        <v/>
      </c>
      <c r="Q558" s="27" t="str" cm="1">
        <f t="array" ref="Q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Table8[المركز]
         ),
         ""
      ),
      IF(_xlpm.result="", "", _xlpm.result)
   )
)</f>
        <v/>
      </c>
      <c r="R558" s="27" t="str" cm="1">
        <f t="array" ref="R558">IF(
   A558="",
   "",
   _xlfn.LET(
      _xlpm.result,
      IFERROR(
         _xlfn.XLOOKUP(
            1,
            (Table8[رقم الصنف]=A558) *
            (IF($B$9="الكل",1, YEAR('ادخال البيانات'!$N$3:$N$1164) = VALUE($B$9))) *
            (IF($B$10="الكل",1, MONTH('ادخال البيانات'!$N$3:$N$1164) = VALUE($B$10))) *
            (IF($B$11="الكل",1, INT((DAY('ادخال البيانات'!$N$3:$N$1164) - 1) / 7) + 1 = VALUE($B$11))),
            Table8[ملاحظة]
         ),
         ""
      ),
      IF(_xlpm.result="", "", _xlpm.result)
   )
)</f>
        <v/>
      </c>
      <c r="S558" s="27" t="str">
        <f t="shared" ca="1" si="8"/>
        <v/>
      </c>
    </row>
    <row r="559" spans="1:19" ht="27.75" customHeight="1" thickTop="1" thickBot="1" x14ac:dyDescent="0.35">
      <c r="A559" s="39"/>
      <c r="B559" s="50" t="str" cm="1">
        <f t="array" ref="B559">IF(
   OR(A559="", $B$9="", $B$10="", $B$11=""),
   "",
   _xlfn.LET(
      _xlpm.result,
      IFERROR(
         _xlfn.XLOOKUP(
            1,
            (Table8[رقم الصنف]=A559)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59" s="27" t="str" cm="1">
        <f t="array" ref="C559">IF(
   A559="",
   "",
   _xlfn.LET(
      _xlpm.result,
      IFERROR(
         _xlfn.XLOOKUP(
            1,
            (Table8[رقم الصنف]=A559) *
            (IF($B$9="الكل",1, YEAR('ادخال البيانات'!$N$3:$N$1164) = VALUE($B$9))) *
            (IF($B$10="الكل",1, MONTH('ادخال البيانات'!$N$3:$N$1164) = VALUE($B$10))) *
            (IF($B$11="الكل",1, INT((DAY('ادخال البيانات'!$N$3:$N$1164)-1)/7)+1 = VALUE($B$11))),
            'ادخال البيانات'!$C$3:$C$1164
         ),
         ""
      ),
      IF(_xlpm.result="", "", _xlpm.result)
   )
)</f>
        <v/>
      </c>
      <c r="D559" s="27" t="str" cm="1">
        <f t="array" ref="D559">IF(
   OR(A559="", $B$9="", $B$10="", $B$11=""),
   "",
   _xlfn.LET(
      _xlpm.result,
      IFERROR(
         _xlfn.XLOOKUP(
            1,
            (Table8[رقم الصنف]=A559) *
            (IF($B$9="الكل",1, YEAR('ادخال البيانات'!$N$3:$N$1164)=VALUE($B$9))) *
            (IF($B$10="الكل",1, MONTH('ادخال البيانات'!$N$3:$N$1164)=VALUE($B$10))) *
            (IF($B$11="الكل",1, INT((DAY('ادخال البيانات'!$N$3:$N$1164)-1)/7)+1 = VALUE($B$11))),
            'ادخال البيانات'!$D$3:$D$1164
         ),
         ""
      ),
      IF(_xlpm.result="", "", _xlpm.result)
   )
)</f>
        <v/>
      </c>
      <c r="E559" s="27" t="str" cm="1">
        <f t="array" ref="E559">IF(
   A559="",
   "",
   _xlfn.LET(
      _xlpm.result,
      IFERROR(
         _xlfn.XLOOKUP(
            1,
            (Table8[رقم الصنف]=A559) *
            (IF($B$9="الكل",1, YEAR('ادخال البيانات'!$N$3:$N$1164)=VALUE($B$9))) *
            (IF($B$10="الكل",1, MONTH('ادخال البيانات'!$N$3:$N$1164)=VALUE($B$10))) *
            (IF($B$11="الكل",1, INT((DAY('ادخال البيانات'!$N$3:$N$1164)-1)/7)+1 = VALUE($B$11))),
            'ادخال البيانات'!$E$3:$E$1164
         ),
         ""
      ),
      IF(_xlpm.result="", "", _xlpm.result)
   )
)</f>
        <v/>
      </c>
      <c r="F559" s="27" t="str" cm="1">
        <f t="array" ref="F559">IF(
   A559="",
   "",
   _xlfn.LET(
      _xlpm.result,
      IFERROR(
         _xlfn.XLOOKUP(
            1,
            (Table8[رقم الصنف]=A559) *
            (IF($B$9="الكل",1, YEAR('ادخال البيانات'!$N$3:$N$1164) = VALUE($B$9))) *
            (IF($B$10="الكل",1, MONTH('ادخال البيانات'!$N$3:$N$1164) = VALUE($B$10))) *
            (IF($B$11="الكل",1, INT((DAY('ادخال البيانات'!$N$3:$N$1164)-1)/7)+1 = VALUE($B$11))),
            'ادخال البيانات'!$F$3:$F$1164
         ),
         ""
      ),
      IF(_xlpm.result="", "", _xlpm.result)
   )
)</f>
        <v/>
      </c>
      <c r="G559" s="27" t="str" cm="1">
        <f t="array" ref="G559">IF(
   A559="",
   "",
   _xlfn.LET(
      _xlpm.result,
      IFERROR(
         _xlfn.XLOOKUP(
            1,
            (Table8[رقم الصنف]=A559) *
            (IF($B$9="الكل",1, YEAR('ادخال البيانات'!$N$3:$N$1164)=VALUE($B$9))) *
            (IF($B$10="الكل",1, MONTH('ادخال البيانات'!$N$3:$N$1164)=VALUE($B$10))) *
            (IF($B$11="الكل",1, INT((DAY('ادخال البيانات'!$N$3:$N$1164)-1)/7)+1 = VALUE($B$11))),
            'ادخال البيانات'!$G$3:$G$1164
         ),
         ""
      ),
      IF(_xlpm.result="", "", _xlpm.result)
   )
)</f>
        <v/>
      </c>
      <c r="H559" s="27" t="str" cm="1">
        <f t="array" ref="H559">IF(
   A559="",
   "",
   _xlfn.LET(
      _xlpm.result,
      IFERROR(
         _xlfn.XLOOKUP(
            1,
            (Table8[رقم الصنف]=A559) *
            (IF($B$9="الكل",1, YEAR('ادخال البيانات'!$N$3:$N$1164)=VALUE($B$9))) *
            (IF($B$10="الكل",1, MONTH('ادخال البيانات'!$N$3:$N$1164)=VALUE($B$10))) *
            (IF($B$11="الكل",1, INT((DAY('ادخال البيانات'!$N$3:$N$1164)-1)/7)+1 = VALUE($B$11))),
            'ادخال البيانات'!$H$3:$H$1164
         ),
         ""
      ),
      IF(_xlpm.result="", "", _xlpm.result)
   )
)</f>
        <v/>
      </c>
      <c r="I559" s="27" t="str" cm="1">
        <f t="array" ref="I559">IF(
   A559="",
   "",
   _xlfn.LET(
      _xlpm.result,
      IFERROR(
         _xlfn.XLOOKUP(
            1,
            (Table8[رقم الصنف]=A559) *
            (IF($B$9="الكل",1, YEAR('ادخال البيانات'!$N$3:$N$1164)=VALUE($B$9))) *
            (IF($B$10="الكل",1, MONTH('ادخال البيانات'!$N$3:$N$1164)=VALUE($B$10))) *
            (IF($B$11="الكل",1, INT((DAY('ادخال البيانات'!$N$3:$N$1164)-1)/7)+1 = VALUE($B$11))),
            'ادخال البيانات'!$I$3:$I$1164
         ),
         ""
      ),
      IF(_xlpm.result="", "", _xlpm.result)
   )
)</f>
        <v/>
      </c>
      <c r="J559" s="27" t="str" cm="1">
        <f t="array" ref="J559">IF(
   A559="",
   "",
   _xlfn.LET(
      _xlpm.result,
      IFERROR(
         _xlfn.XLOOKUP(
            1,
            (Table8[رقم الصنف]=A559) *
            (IF($B$9="الكل",1, YEAR('ادخال البيانات'!$N$3:$N$1164)=VALUE($B$9))) *
            (IF($B$10="الكل",1, MONTH('ادخال البيانات'!$N$3:$N$1164)=VALUE($B$10))) *
            (IF($B$11="الكل",1, INT((DAY('ادخال البيانات'!$N$3:$N$1164)-1)/7)+1 = VALUE($B$11))),
            'ادخال البيانات'!$J$3:$J$1164
         ),
         ""
      ),
      IF(_xlpm.result="", "", _xlpm.result)
   )
)</f>
        <v/>
      </c>
      <c r="K559" s="27" t="str" cm="1">
        <f t="array" ref="K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59" s="27" t="str" cm="1">
        <f t="array" ref="L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59" s="27" t="str" cm="1">
        <f t="array" ref="M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59" s="28" t="str" cm="1">
        <f t="array" ref="N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59" s="28" t="str" cm="1">
        <f t="array" ref="O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59" s="27" t="str" cm="1">
        <f t="array" ref="P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Table8[جهة العطل]
         ),
         ""
      ),
      IF(_xlpm.result="", "", _xlpm.result)
   )
)</f>
        <v/>
      </c>
      <c r="Q559" s="27" t="str" cm="1">
        <f t="array" ref="Q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Table8[المركز]
         ),
         ""
      ),
      IF(_xlpm.result="", "", _xlpm.result)
   )
)</f>
        <v/>
      </c>
      <c r="R559" s="27" t="str" cm="1">
        <f t="array" ref="R559">IF(
   A559="",
   "",
   _xlfn.LET(
      _xlpm.result,
      IFERROR(
         _xlfn.XLOOKUP(
            1,
            (Table8[رقم الصنف]=A559) *
            (IF($B$9="الكل",1, YEAR('ادخال البيانات'!$N$3:$N$1164) = VALUE($B$9))) *
            (IF($B$10="الكل",1, MONTH('ادخال البيانات'!$N$3:$N$1164) = VALUE($B$10))) *
            (IF($B$11="الكل",1, INT((DAY('ادخال البيانات'!$N$3:$N$1164) - 1) / 7) + 1 = VALUE($B$11))),
            Table8[ملاحظة]
         ),
         ""
      ),
      IF(_xlpm.result="", "", _xlpm.result)
   )
)</f>
        <v/>
      </c>
      <c r="S559" s="27" t="str">
        <f t="shared" ca="1" si="8"/>
        <v/>
      </c>
    </row>
    <row r="560" spans="1:19" ht="27.75" customHeight="1" thickTop="1" thickBot="1" x14ac:dyDescent="0.35">
      <c r="A560" s="39"/>
      <c r="B560" s="50" t="str" cm="1">
        <f t="array" ref="B560">IF(
   OR(A560="", $B$9="", $B$10="", $B$11=""),
   "",
   _xlfn.LET(
      _xlpm.result,
      IFERROR(
         _xlfn.XLOOKUP(
            1,
            (Table8[رقم الصنف]=A560)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60" s="27" t="str" cm="1">
        <f t="array" ref="C560">IF(
   A560="",
   "",
   _xlfn.LET(
      _xlpm.result,
      IFERROR(
         _xlfn.XLOOKUP(
            1,
            (Table8[رقم الصنف]=A560) *
            (IF($B$9="الكل",1, YEAR('ادخال البيانات'!$N$3:$N$1164) = VALUE($B$9))) *
            (IF($B$10="الكل",1, MONTH('ادخال البيانات'!$N$3:$N$1164) = VALUE($B$10))) *
            (IF($B$11="الكل",1, INT((DAY('ادخال البيانات'!$N$3:$N$1164)-1)/7)+1 = VALUE($B$11))),
            'ادخال البيانات'!$C$3:$C$1164
         ),
         ""
      ),
      IF(_xlpm.result="", "", _xlpm.result)
   )
)</f>
        <v/>
      </c>
      <c r="D560" s="27" t="str" cm="1">
        <f t="array" ref="D560">IF(
   OR(A560="", $B$9="", $B$10="", $B$11=""),
   "",
   _xlfn.LET(
      _xlpm.result,
      IFERROR(
         _xlfn.XLOOKUP(
            1,
            (Table8[رقم الصنف]=A560) *
            (IF($B$9="الكل",1, YEAR('ادخال البيانات'!$N$3:$N$1164)=VALUE($B$9))) *
            (IF($B$10="الكل",1, MONTH('ادخال البيانات'!$N$3:$N$1164)=VALUE($B$10))) *
            (IF($B$11="الكل",1, INT((DAY('ادخال البيانات'!$N$3:$N$1164)-1)/7)+1 = VALUE($B$11))),
            'ادخال البيانات'!$D$3:$D$1164
         ),
         ""
      ),
      IF(_xlpm.result="", "", _xlpm.result)
   )
)</f>
        <v/>
      </c>
      <c r="E560" s="27" t="str" cm="1">
        <f t="array" ref="E560">IF(
   A560="",
   "",
   _xlfn.LET(
      _xlpm.result,
      IFERROR(
         _xlfn.XLOOKUP(
            1,
            (Table8[رقم الصنف]=A560) *
            (IF($B$9="الكل",1, YEAR('ادخال البيانات'!$N$3:$N$1164)=VALUE($B$9))) *
            (IF($B$10="الكل",1, MONTH('ادخال البيانات'!$N$3:$N$1164)=VALUE($B$10))) *
            (IF($B$11="الكل",1, INT((DAY('ادخال البيانات'!$N$3:$N$1164)-1)/7)+1 = VALUE($B$11))),
            'ادخال البيانات'!$E$3:$E$1164
         ),
         ""
      ),
      IF(_xlpm.result="", "", _xlpm.result)
   )
)</f>
        <v/>
      </c>
      <c r="F560" s="27" t="str" cm="1">
        <f t="array" ref="F560">IF(
   A560="",
   "",
   _xlfn.LET(
      _xlpm.result,
      IFERROR(
         _xlfn.XLOOKUP(
            1,
            (Table8[رقم الصنف]=A560) *
            (IF($B$9="الكل",1, YEAR('ادخال البيانات'!$N$3:$N$1164) = VALUE($B$9))) *
            (IF($B$10="الكل",1, MONTH('ادخال البيانات'!$N$3:$N$1164) = VALUE($B$10))) *
            (IF($B$11="الكل",1, INT((DAY('ادخال البيانات'!$N$3:$N$1164)-1)/7)+1 = VALUE($B$11))),
            'ادخال البيانات'!$F$3:$F$1164
         ),
         ""
      ),
      IF(_xlpm.result="", "", _xlpm.result)
   )
)</f>
        <v/>
      </c>
      <c r="G560" s="27" t="str" cm="1">
        <f t="array" ref="G560">IF(
   A560="",
   "",
   _xlfn.LET(
      _xlpm.result,
      IFERROR(
         _xlfn.XLOOKUP(
            1,
            (Table8[رقم الصنف]=A560) *
            (IF($B$9="الكل",1, YEAR('ادخال البيانات'!$N$3:$N$1164)=VALUE($B$9))) *
            (IF($B$10="الكل",1, MONTH('ادخال البيانات'!$N$3:$N$1164)=VALUE($B$10))) *
            (IF($B$11="الكل",1, INT((DAY('ادخال البيانات'!$N$3:$N$1164)-1)/7)+1 = VALUE($B$11))),
            'ادخال البيانات'!$G$3:$G$1164
         ),
         ""
      ),
      IF(_xlpm.result="", "", _xlpm.result)
   )
)</f>
        <v/>
      </c>
      <c r="H560" s="27" t="str" cm="1">
        <f t="array" ref="H560">IF(
   A560="",
   "",
   _xlfn.LET(
      _xlpm.result,
      IFERROR(
         _xlfn.XLOOKUP(
            1,
            (Table8[رقم الصنف]=A560) *
            (IF($B$9="الكل",1, YEAR('ادخال البيانات'!$N$3:$N$1164)=VALUE($B$9))) *
            (IF($B$10="الكل",1, MONTH('ادخال البيانات'!$N$3:$N$1164)=VALUE($B$10))) *
            (IF($B$11="الكل",1, INT((DAY('ادخال البيانات'!$N$3:$N$1164)-1)/7)+1 = VALUE($B$11))),
            'ادخال البيانات'!$H$3:$H$1164
         ),
         ""
      ),
      IF(_xlpm.result="", "", _xlpm.result)
   )
)</f>
        <v/>
      </c>
      <c r="I560" s="27" t="str" cm="1">
        <f t="array" ref="I560">IF(
   A560="",
   "",
   _xlfn.LET(
      _xlpm.result,
      IFERROR(
         _xlfn.XLOOKUP(
            1,
            (Table8[رقم الصنف]=A560) *
            (IF($B$9="الكل",1, YEAR('ادخال البيانات'!$N$3:$N$1164)=VALUE($B$9))) *
            (IF($B$10="الكل",1, MONTH('ادخال البيانات'!$N$3:$N$1164)=VALUE($B$10))) *
            (IF($B$11="الكل",1, INT((DAY('ادخال البيانات'!$N$3:$N$1164)-1)/7)+1 = VALUE($B$11))),
            'ادخال البيانات'!$I$3:$I$1164
         ),
         ""
      ),
      IF(_xlpm.result="", "", _xlpm.result)
   )
)</f>
        <v/>
      </c>
      <c r="J560" s="27" t="str" cm="1">
        <f t="array" ref="J560">IF(
   A560="",
   "",
   _xlfn.LET(
      _xlpm.result,
      IFERROR(
         _xlfn.XLOOKUP(
            1,
            (Table8[رقم الصنف]=A560) *
            (IF($B$9="الكل",1, YEAR('ادخال البيانات'!$N$3:$N$1164)=VALUE($B$9))) *
            (IF($B$10="الكل",1, MONTH('ادخال البيانات'!$N$3:$N$1164)=VALUE($B$10))) *
            (IF($B$11="الكل",1, INT((DAY('ادخال البيانات'!$N$3:$N$1164)-1)/7)+1 = VALUE($B$11))),
            'ادخال البيانات'!$J$3:$J$1164
         ),
         ""
      ),
      IF(_xlpm.result="", "", _xlpm.result)
   )
)</f>
        <v/>
      </c>
      <c r="K560" s="27" t="str" cm="1">
        <f t="array" ref="K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60" s="27" t="str" cm="1">
        <f t="array" ref="L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60" s="27" t="str" cm="1">
        <f t="array" ref="M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60" s="28" t="str" cm="1">
        <f t="array" ref="N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60" s="28" t="str" cm="1">
        <f t="array" ref="O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60" s="27" t="str" cm="1">
        <f t="array" ref="P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Table8[جهة العطل]
         ),
         ""
      ),
      IF(_xlpm.result="", "", _xlpm.result)
   )
)</f>
        <v/>
      </c>
      <c r="Q560" s="27" t="str" cm="1">
        <f t="array" ref="Q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Table8[المركز]
         ),
         ""
      ),
      IF(_xlpm.result="", "", _xlpm.result)
   )
)</f>
        <v/>
      </c>
      <c r="R560" s="27" t="str" cm="1">
        <f t="array" ref="R560">IF(
   A560="",
   "",
   _xlfn.LET(
      _xlpm.result,
      IFERROR(
         _xlfn.XLOOKUP(
            1,
            (Table8[رقم الصنف]=A560) *
            (IF($B$9="الكل",1, YEAR('ادخال البيانات'!$N$3:$N$1164) = VALUE($B$9))) *
            (IF($B$10="الكل",1, MONTH('ادخال البيانات'!$N$3:$N$1164) = VALUE($B$10))) *
            (IF($B$11="الكل",1, INT((DAY('ادخال البيانات'!$N$3:$N$1164) - 1) / 7) + 1 = VALUE($B$11))),
            Table8[ملاحظة]
         ),
         ""
      ),
      IF(_xlpm.result="", "", _xlpm.result)
   )
)</f>
        <v/>
      </c>
      <c r="S560" s="27" t="str">
        <f t="shared" ca="1" si="8"/>
        <v/>
      </c>
    </row>
    <row r="561" spans="1:19" ht="27.75" customHeight="1" thickTop="1" thickBot="1" x14ac:dyDescent="0.35">
      <c r="A561" s="39"/>
      <c r="B561" s="50" t="str" cm="1">
        <f t="array" ref="B561">IF(
   OR(A561="", $B$9="", $B$10="", $B$11=""),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61" s="27" t="str" cm="1">
        <f t="array" ref="C561">IF(
   A561="",
   "",
   _xlfn.LET(
      _xlpm.result,
      IFERROR(
         _xlfn.XLOOKUP(
            1,
            (Table8[رقم الصنف]=A561) *
            (IF($B$9="الكل",1, YEAR('ادخال البيانات'!$N$3:$N$1164) = VALUE($B$9))) *
            (IF($B$10="الكل",1, MONTH('ادخال البيانات'!$N$3:$N$1164) = VALUE($B$10))) *
            (IF($B$11="الكل",1, INT((DAY('ادخال البيانات'!$N$3:$N$1164)-1)/7)+1 = VALUE($B$11))),
            'ادخال البيانات'!$C$3:$C$1164
         ),
         ""
      ),
      IF(_xlpm.result="", "", _xlpm.result)
   )
)</f>
        <v/>
      </c>
      <c r="D561" s="27" t="str" cm="1">
        <f t="array" ref="D561">IF(
   OR(A561="", $B$9="", $B$10="", $B$11=""),
   "",
   _xlfn.LET(
      _xlpm.result,
      IFERROR(
         _xlfn.XLOOKUP(
            1,
            (Table8[رقم الصنف]=A561) *
            (IF($B$9="الكل",1, YEAR('ادخال البيانات'!$N$3:$N$1164)=VALUE($B$9))) *
            (IF($B$10="الكل",1, MONTH('ادخال البيانات'!$N$3:$N$1164)=VALUE($B$10))) *
            (IF($B$11="الكل",1, INT((DAY('ادخال البيانات'!$N$3:$N$1164)-1)/7)+1 = VALUE($B$11))),
            'ادخال البيانات'!$D$3:$D$1164
         ),
         ""
      ),
      IF(_xlpm.result="", "", _xlpm.result)
   )
)</f>
        <v/>
      </c>
      <c r="E561" s="27" t="str" cm="1">
        <f t="array" ref="E561">IF(
   A561="",
   "",
   _xlfn.LET(
      _xlpm.result,
      IFERROR(
         _xlfn.XLOOKUP(
            1,
            (Table8[رقم الصنف]=A561) *
            (IF($B$9="الكل",1, YEAR('ادخال البيانات'!$N$3:$N$1164)=VALUE($B$9))) *
            (IF($B$10="الكل",1, MONTH('ادخال البيانات'!$N$3:$N$1164)=VALUE($B$10))) *
            (IF($B$11="الكل",1, INT((DAY('ادخال البيانات'!$N$3:$N$1164)-1)/7)+1 = VALUE($B$11))),
            'ادخال البيانات'!$E$3:$E$1164
         ),
         ""
      ),
      IF(_xlpm.result="", "", _xlpm.result)
   )
)</f>
        <v/>
      </c>
      <c r="F561" s="27" t="str" cm="1">
        <f t="array" ref="F561">IF(
   A561="",
   "",
   _xlfn.LET(
      _xlpm.result,
      IFERROR(
         _xlfn.XLOOKUP(
            1,
            (Table8[رقم الصنف]=A561) *
            (IF($B$9="الكل",1, YEAR('ادخال البيانات'!$N$3:$N$1164) = VALUE($B$9))) *
            (IF($B$10="الكل",1, MONTH('ادخال البيانات'!$N$3:$N$1164) = VALUE($B$10))) *
            (IF($B$11="الكل",1, INT((DAY('ادخال البيانات'!$N$3:$N$1164)-1)/7)+1 = VALUE($B$11))),
            'ادخال البيانات'!$F$3:$F$1164
         ),
         ""
      ),
      IF(_xlpm.result="", "", _xlpm.result)
   )
)</f>
        <v/>
      </c>
      <c r="G561" s="27" t="str" cm="1">
        <f t="array" ref="G561">IF(
   A561="",
   "",
   _xlfn.LET(
      _xlpm.result,
      IFERROR(
         _xlfn.XLOOKUP(
            1,
            (Table8[رقم الصنف]=A561) *
            (IF($B$9="الكل",1, YEAR('ادخال البيانات'!$N$3:$N$1164)=VALUE($B$9))) *
            (IF($B$10="الكل",1, MONTH('ادخال البيانات'!$N$3:$N$1164)=VALUE($B$10))) *
            (IF($B$11="الكل",1, INT((DAY('ادخال البيانات'!$N$3:$N$1164)-1)/7)+1 = VALUE($B$11))),
            'ادخال البيانات'!$G$3:$G$1164
         ),
         ""
      ),
      IF(_xlpm.result="", "", _xlpm.result)
   )
)</f>
        <v/>
      </c>
      <c r="H561" s="27" t="str" cm="1">
        <f t="array" ref="H561">IF(
   A561="",
   "",
   _xlfn.LET(
      _xlpm.result,
      IFERROR(
         _xlfn.XLOOKUP(
            1,
            (Table8[رقم الصنف]=A561) *
            (IF($B$9="الكل",1, YEAR('ادخال البيانات'!$N$3:$N$1164)=VALUE($B$9))) *
            (IF($B$10="الكل",1, MONTH('ادخال البيانات'!$N$3:$N$1164)=VALUE($B$10))) *
            (IF($B$11="الكل",1, INT((DAY('ادخال البيانات'!$N$3:$N$1164)-1)/7)+1 = VALUE($B$11))),
            'ادخال البيانات'!$H$3:$H$1164
         ),
         ""
      ),
      IF(_xlpm.result="", "", _xlpm.result)
   )
)</f>
        <v/>
      </c>
      <c r="I561" s="27" t="str" cm="1">
        <f t="array" ref="I561">IF(
   A561="",
   "",
   _xlfn.LET(
      _xlpm.result,
      IFERROR(
         _xlfn.XLOOKUP(
            1,
            (Table8[رقم الصنف]=A561) *
            (IF($B$9="الكل",1, YEAR('ادخال البيانات'!$N$3:$N$1164)=VALUE($B$9))) *
            (IF($B$10="الكل",1, MONTH('ادخال البيانات'!$N$3:$N$1164)=VALUE($B$10))) *
            (IF($B$11="الكل",1, INT((DAY('ادخال البيانات'!$N$3:$N$1164)-1)/7)+1 = VALUE($B$11))),
            'ادخال البيانات'!$I$3:$I$1164
         ),
         ""
      ),
      IF(_xlpm.result="", "", _xlpm.result)
   )
)</f>
        <v/>
      </c>
      <c r="J561" s="27" t="str" cm="1">
        <f t="array" ref="J561">IF(
   A561="",
   "",
   _xlfn.LET(
      _xlpm.result,
      IFERROR(
         _xlfn.XLOOKUP(
            1,
            (Table8[رقم الصنف]=A561) *
            (IF($B$9="الكل",1, YEAR('ادخال البيانات'!$N$3:$N$1164)=VALUE($B$9))) *
            (IF($B$10="الكل",1, MONTH('ادخال البيانات'!$N$3:$N$1164)=VALUE($B$10))) *
            (IF($B$11="الكل",1, INT((DAY('ادخال البيانات'!$N$3:$N$1164)-1)/7)+1 = VALUE($B$11))),
            'ادخال البيانات'!$J$3:$J$1164
         ),
         ""
      ),
      IF(_xlpm.result="", "", _xlpm.result)
   )
)</f>
        <v/>
      </c>
      <c r="K561" s="27" t="str" cm="1">
        <f t="array" ref="K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61" s="27" t="str" cm="1">
        <f t="array" ref="L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61" s="27" t="str" cm="1">
        <f t="array" ref="M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61" s="28" t="str" cm="1">
        <f t="array" ref="N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61" s="28" t="str" cm="1">
        <f t="array" ref="O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61" s="27" t="str" cm="1">
        <f t="array" ref="P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Table8[جهة العطل]
         ),
         ""
      ),
      IF(_xlpm.result="", "", _xlpm.result)
   )
)</f>
        <v/>
      </c>
      <c r="Q561" s="27" t="str" cm="1">
        <f t="array" ref="Q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Table8[المركز]
         ),
         ""
      ),
      IF(_xlpm.result="", "", _xlpm.result)
   )
)</f>
        <v/>
      </c>
      <c r="R561" s="27" t="str" cm="1">
        <f t="array" ref="R561">IF(
   A561="",
   "",
   _xlfn.LET(
      _xlpm.result,
      IFERROR(
         _xlfn.XLOOKUP(
            1,
            (Table8[رقم الصنف]=A561) *
            (IF($B$9="الكل",1, YEAR('ادخال البيانات'!$N$3:$N$1164) = VALUE($B$9))) *
            (IF($B$10="الكل",1, MONTH('ادخال البيانات'!$N$3:$N$1164) = VALUE($B$10))) *
            (IF($B$11="الكل",1, INT((DAY('ادخال البيانات'!$N$3:$N$1164) - 1) / 7) + 1 = VALUE($B$11))),
            Table8[ملاحظة]
         ),
         ""
      ),
      IF(_xlpm.result="", "", _xlpm.result)
   )
)</f>
        <v/>
      </c>
      <c r="S561" s="27" t="str">
        <f t="shared" ca="1" si="8"/>
        <v/>
      </c>
    </row>
    <row r="562" spans="1:19" ht="27.75" customHeight="1" thickTop="1" thickBot="1" x14ac:dyDescent="0.35">
      <c r="A562" s="39"/>
      <c r="B562" s="50" t="str" cm="1">
        <f t="array" ref="B562">IF(
   OR(A562="", $B$9="", $B$10="", $B$11=""),
   "",
   _xlfn.LET(
      _xlpm.result,
      IFERROR(
         _xlfn.XLOOKUP(
            1,
            (Table8[رقم الصنف]=A562)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62" s="27" t="str" cm="1">
        <f t="array" ref="C562">IF(
   A562="",
   "",
   _xlfn.LET(
      _xlpm.result,
      IFERROR(
         _xlfn.XLOOKUP(
            1,
            (Table8[رقم الصنف]=A562) *
            (IF($B$9="الكل",1, YEAR('ادخال البيانات'!$N$3:$N$1164) = VALUE($B$9))) *
            (IF($B$10="الكل",1, MONTH('ادخال البيانات'!$N$3:$N$1164) = VALUE($B$10))) *
            (IF($B$11="الكل",1, INT((DAY('ادخال البيانات'!$N$3:$N$1164)-1)/7)+1 = VALUE($B$11))),
            'ادخال البيانات'!$C$3:$C$1164
         ),
         ""
      ),
      IF(_xlpm.result="", "", _xlpm.result)
   )
)</f>
        <v/>
      </c>
      <c r="D562" s="27" t="str" cm="1">
        <f t="array" ref="D562">IF(
   OR(A562="", $B$9="", $B$10="", $B$11=""),
   "",
   _xlfn.LET(
      _xlpm.result,
      IFERROR(
         _xlfn.XLOOKUP(
            1,
            (Table8[رقم الصنف]=A562) *
            (IF($B$9="الكل",1, YEAR('ادخال البيانات'!$N$3:$N$1164)=VALUE($B$9))) *
            (IF($B$10="الكل",1, MONTH('ادخال البيانات'!$N$3:$N$1164)=VALUE($B$10))) *
            (IF($B$11="الكل",1, INT((DAY('ادخال البيانات'!$N$3:$N$1164)-1)/7)+1 = VALUE($B$11))),
            'ادخال البيانات'!$D$3:$D$1164
         ),
         ""
      ),
      IF(_xlpm.result="", "", _xlpm.result)
   )
)</f>
        <v/>
      </c>
      <c r="E562" s="27" t="str" cm="1">
        <f t="array" ref="E562">IF(
   A562="",
   "",
   _xlfn.LET(
      _xlpm.result,
      IFERROR(
         _xlfn.XLOOKUP(
            1,
            (Table8[رقم الصنف]=A562) *
            (IF($B$9="الكل",1, YEAR('ادخال البيانات'!$N$3:$N$1164)=VALUE($B$9))) *
            (IF($B$10="الكل",1, MONTH('ادخال البيانات'!$N$3:$N$1164)=VALUE($B$10))) *
            (IF($B$11="الكل",1, INT((DAY('ادخال البيانات'!$N$3:$N$1164)-1)/7)+1 = VALUE($B$11))),
            'ادخال البيانات'!$E$3:$E$1164
         ),
         ""
      ),
      IF(_xlpm.result="", "", _xlpm.result)
   )
)</f>
        <v/>
      </c>
      <c r="F562" s="27" t="str" cm="1">
        <f t="array" ref="F562">IF(
   A562="",
   "",
   _xlfn.LET(
      _xlpm.result,
      IFERROR(
         _xlfn.XLOOKUP(
            1,
            (Table8[رقم الصنف]=A562) *
            (IF($B$9="الكل",1, YEAR('ادخال البيانات'!$N$3:$N$1164) = VALUE($B$9))) *
            (IF($B$10="الكل",1, MONTH('ادخال البيانات'!$N$3:$N$1164) = VALUE($B$10))) *
            (IF($B$11="الكل",1, INT((DAY('ادخال البيانات'!$N$3:$N$1164)-1)/7)+1 = VALUE($B$11))),
            'ادخال البيانات'!$F$3:$F$1164
         ),
         ""
      ),
      IF(_xlpm.result="", "", _xlpm.result)
   )
)</f>
        <v/>
      </c>
      <c r="G562" s="27" t="str" cm="1">
        <f t="array" ref="G562">IF(
   A562="",
   "",
   _xlfn.LET(
      _xlpm.result,
      IFERROR(
         _xlfn.XLOOKUP(
            1,
            (Table8[رقم الصنف]=A562) *
            (IF($B$9="الكل",1, YEAR('ادخال البيانات'!$N$3:$N$1164)=VALUE($B$9))) *
            (IF($B$10="الكل",1, MONTH('ادخال البيانات'!$N$3:$N$1164)=VALUE($B$10))) *
            (IF($B$11="الكل",1, INT((DAY('ادخال البيانات'!$N$3:$N$1164)-1)/7)+1 = VALUE($B$11))),
            'ادخال البيانات'!$G$3:$G$1164
         ),
         ""
      ),
      IF(_xlpm.result="", "", _xlpm.result)
   )
)</f>
        <v/>
      </c>
      <c r="H562" s="27" t="str" cm="1">
        <f t="array" ref="H562">IF(
   A562="",
   "",
   _xlfn.LET(
      _xlpm.result,
      IFERROR(
         _xlfn.XLOOKUP(
            1,
            (Table8[رقم الصنف]=A562) *
            (IF($B$9="الكل",1, YEAR('ادخال البيانات'!$N$3:$N$1164)=VALUE($B$9))) *
            (IF($B$10="الكل",1, MONTH('ادخال البيانات'!$N$3:$N$1164)=VALUE($B$10))) *
            (IF($B$11="الكل",1, INT((DAY('ادخال البيانات'!$N$3:$N$1164)-1)/7)+1 = VALUE($B$11))),
            'ادخال البيانات'!$H$3:$H$1164
         ),
         ""
      ),
      IF(_xlpm.result="", "", _xlpm.result)
   )
)</f>
        <v/>
      </c>
      <c r="I562" s="27" t="str" cm="1">
        <f t="array" ref="I562">IF(
   A562="",
   "",
   _xlfn.LET(
      _xlpm.result,
      IFERROR(
         _xlfn.XLOOKUP(
            1,
            (Table8[رقم الصنف]=A562) *
            (IF($B$9="الكل",1, YEAR('ادخال البيانات'!$N$3:$N$1164)=VALUE($B$9))) *
            (IF($B$10="الكل",1, MONTH('ادخال البيانات'!$N$3:$N$1164)=VALUE($B$10))) *
            (IF($B$11="الكل",1, INT((DAY('ادخال البيانات'!$N$3:$N$1164)-1)/7)+1 = VALUE($B$11))),
            'ادخال البيانات'!$I$3:$I$1164
         ),
         ""
      ),
      IF(_xlpm.result="", "", _xlpm.result)
   )
)</f>
        <v/>
      </c>
      <c r="J562" s="27" t="str" cm="1">
        <f t="array" ref="J562">IF(
   A562="",
   "",
   _xlfn.LET(
      _xlpm.result,
      IFERROR(
         _xlfn.XLOOKUP(
            1,
            (Table8[رقم الصنف]=A562) *
            (IF($B$9="الكل",1, YEAR('ادخال البيانات'!$N$3:$N$1164)=VALUE($B$9))) *
            (IF($B$10="الكل",1, MONTH('ادخال البيانات'!$N$3:$N$1164)=VALUE($B$10))) *
            (IF($B$11="الكل",1, INT((DAY('ادخال البيانات'!$N$3:$N$1164)-1)/7)+1 = VALUE($B$11))),
            'ادخال البيانات'!$J$3:$J$1164
         ),
         ""
      ),
      IF(_xlpm.result="", "", _xlpm.result)
   )
)</f>
        <v/>
      </c>
      <c r="K562" s="27" t="str" cm="1">
        <f t="array" ref="K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62" s="27" t="str" cm="1">
        <f t="array" ref="L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62" s="27" t="str" cm="1">
        <f t="array" ref="M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62" s="28" t="str" cm="1">
        <f t="array" ref="N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62" s="28" t="str" cm="1">
        <f t="array" ref="O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62" s="27" t="str" cm="1">
        <f t="array" ref="P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Table8[جهة العطل]
         ),
         ""
      ),
      IF(_xlpm.result="", "", _xlpm.result)
   )
)</f>
        <v/>
      </c>
      <c r="Q562" s="27" t="str" cm="1">
        <f t="array" ref="Q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Table8[المركز]
         ),
         ""
      ),
      IF(_xlpm.result="", "", _xlpm.result)
   )
)</f>
        <v/>
      </c>
      <c r="R562" s="27" t="str" cm="1">
        <f t="array" ref="R562">IF(
   A562="",
   "",
   _xlfn.LET(
      _xlpm.result,
      IFERROR(
         _xlfn.XLOOKUP(
            1,
            (Table8[رقم الصنف]=A562) *
            (IF($B$9="الكل",1, YEAR('ادخال البيانات'!$N$3:$N$1164) = VALUE($B$9))) *
            (IF($B$10="الكل",1, MONTH('ادخال البيانات'!$N$3:$N$1164) = VALUE($B$10))) *
            (IF($B$11="الكل",1, INT((DAY('ادخال البيانات'!$N$3:$N$1164) - 1) / 7) + 1 = VALUE($B$11))),
            Table8[ملاحظة]
         ),
         ""
      ),
      IF(_xlpm.result="", "", _xlpm.result)
   )
)</f>
        <v/>
      </c>
      <c r="S562" s="27" t="str">
        <f t="shared" ca="1" si="8"/>
        <v/>
      </c>
    </row>
    <row r="563" spans="1:19" ht="27.75" customHeight="1" thickTop="1" thickBot="1" x14ac:dyDescent="0.35">
      <c r="A563" s="39"/>
      <c r="B563" s="50" t="str" cm="1">
        <f t="array" ref="B563">IF(
   OR(A563="", $B$9="", $B$10="", $B$11=""),
   "",
   _xlfn.LET(
      _xlpm.result,
      IFERROR(
         _xlfn.XLOOKUP(
            1,
            (Table8[رقم الصنف]=A563)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63" s="27" t="str" cm="1">
        <f t="array" ref="C563">IF(
   A563="",
   "",
   _xlfn.LET(
      _xlpm.result,
      IFERROR(
         _xlfn.XLOOKUP(
            1,
            (Table8[رقم الصنف]=A563) *
            (IF($B$9="الكل",1, YEAR('ادخال البيانات'!$N$3:$N$1164) = VALUE($B$9))) *
            (IF($B$10="الكل",1, MONTH('ادخال البيانات'!$N$3:$N$1164) = VALUE($B$10))) *
            (IF($B$11="الكل",1, INT((DAY('ادخال البيانات'!$N$3:$N$1164)-1)/7)+1 = VALUE($B$11))),
            'ادخال البيانات'!$C$3:$C$1164
         ),
         ""
      ),
      IF(_xlpm.result="", "", _xlpm.result)
   )
)</f>
        <v/>
      </c>
      <c r="D563" s="27" t="str" cm="1">
        <f t="array" ref="D563">IF(
   OR(A563="", $B$9="", $B$10="", $B$11=""),
   "",
   _xlfn.LET(
      _xlpm.result,
      IFERROR(
         _xlfn.XLOOKUP(
            1,
            (Table8[رقم الصنف]=A563) *
            (IF($B$9="الكل",1, YEAR('ادخال البيانات'!$N$3:$N$1164)=VALUE($B$9))) *
            (IF($B$10="الكل",1, MONTH('ادخال البيانات'!$N$3:$N$1164)=VALUE($B$10))) *
            (IF($B$11="الكل",1, INT((DAY('ادخال البيانات'!$N$3:$N$1164)-1)/7)+1 = VALUE($B$11))),
            'ادخال البيانات'!$D$3:$D$1164
         ),
         ""
      ),
      IF(_xlpm.result="", "", _xlpm.result)
   )
)</f>
        <v/>
      </c>
      <c r="E563" s="27" t="str" cm="1">
        <f t="array" ref="E563">IF(
   A563="",
   "",
   _xlfn.LET(
      _xlpm.result,
      IFERROR(
         _xlfn.XLOOKUP(
            1,
            (Table8[رقم الصنف]=A563) *
            (IF($B$9="الكل",1, YEAR('ادخال البيانات'!$N$3:$N$1164)=VALUE($B$9))) *
            (IF($B$10="الكل",1, MONTH('ادخال البيانات'!$N$3:$N$1164)=VALUE($B$10))) *
            (IF($B$11="الكل",1, INT((DAY('ادخال البيانات'!$N$3:$N$1164)-1)/7)+1 = VALUE($B$11))),
            'ادخال البيانات'!$E$3:$E$1164
         ),
         ""
      ),
      IF(_xlpm.result="", "", _xlpm.result)
   )
)</f>
        <v/>
      </c>
      <c r="F563" s="27" t="str" cm="1">
        <f t="array" ref="F563">IF(
   A563="",
   "",
   _xlfn.LET(
      _xlpm.result,
      IFERROR(
         _xlfn.XLOOKUP(
            1,
            (Table8[رقم الصنف]=A563) *
            (IF($B$9="الكل",1, YEAR('ادخال البيانات'!$N$3:$N$1164) = VALUE($B$9))) *
            (IF($B$10="الكل",1, MONTH('ادخال البيانات'!$N$3:$N$1164) = VALUE($B$10))) *
            (IF($B$11="الكل",1, INT((DAY('ادخال البيانات'!$N$3:$N$1164)-1)/7)+1 = VALUE($B$11))),
            'ادخال البيانات'!$F$3:$F$1164
         ),
         ""
      ),
      IF(_xlpm.result="", "", _xlpm.result)
   )
)</f>
        <v/>
      </c>
      <c r="G563" s="27" t="str" cm="1">
        <f t="array" ref="G563">IF(
   A563="",
   "",
   _xlfn.LET(
      _xlpm.result,
      IFERROR(
         _xlfn.XLOOKUP(
            1,
            (Table8[رقم الصنف]=A563) *
            (IF($B$9="الكل",1, YEAR('ادخال البيانات'!$N$3:$N$1164)=VALUE($B$9))) *
            (IF($B$10="الكل",1, MONTH('ادخال البيانات'!$N$3:$N$1164)=VALUE($B$10))) *
            (IF($B$11="الكل",1, INT((DAY('ادخال البيانات'!$N$3:$N$1164)-1)/7)+1 = VALUE($B$11))),
            'ادخال البيانات'!$G$3:$G$1164
         ),
         ""
      ),
      IF(_xlpm.result="", "", _xlpm.result)
   )
)</f>
        <v/>
      </c>
      <c r="H563" s="27" t="str" cm="1">
        <f t="array" ref="H563">IF(
   A563="",
   "",
   _xlfn.LET(
      _xlpm.result,
      IFERROR(
         _xlfn.XLOOKUP(
            1,
            (Table8[رقم الصنف]=A563) *
            (IF($B$9="الكل",1, YEAR('ادخال البيانات'!$N$3:$N$1164)=VALUE($B$9))) *
            (IF($B$10="الكل",1, MONTH('ادخال البيانات'!$N$3:$N$1164)=VALUE($B$10))) *
            (IF($B$11="الكل",1, INT((DAY('ادخال البيانات'!$N$3:$N$1164)-1)/7)+1 = VALUE($B$11))),
            'ادخال البيانات'!$H$3:$H$1164
         ),
         ""
      ),
      IF(_xlpm.result="", "", _xlpm.result)
   )
)</f>
        <v/>
      </c>
      <c r="I563" s="27" t="str" cm="1">
        <f t="array" ref="I563">IF(
   A563="",
   "",
   _xlfn.LET(
      _xlpm.result,
      IFERROR(
         _xlfn.XLOOKUP(
            1,
            (Table8[رقم الصنف]=A563) *
            (IF($B$9="الكل",1, YEAR('ادخال البيانات'!$N$3:$N$1164)=VALUE($B$9))) *
            (IF($B$10="الكل",1, MONTH('ادخال البيانات'!$N$3:$N$1164)=VALUE($B$10))) *
            (IF($B$11="الكل",1, INT((DAY('ادخال البيانات'!$N$3:$N$1164)-1)/7)+1 = VALUE($B$11))),
            'ادخال البيانات'!$I$3:$I$1164
         ),
         ""
      ),
      IF(_xlpm.result="", "", _xlpm.result)
   )
)</f>
        <v/>
      </c>
      <c r="J563" s="27" t="str" cm="1">
        <f t="array" ref="J563">IF(
   A563="",
   "",
   _xlfn.LET(
      _xlpm.result,
      IFERROR(
         _xlfn.XLOOKUP(
            1,
            (Table8[رقم الصنف]=A563) *
            (IF($B$9="الكل",1, YEAR('ادخال البيانات'!$N$3:$N$1164)=VALUE($B$9))) *
            (IF($B$10="الكل",1, MONTH('ادخال البيانات'!$N$3:$N$1164)=VALUE($B$10))) *
            (IF($B$11="الكل",1, INT((DAY('ادخال البيانات'!$N$3:$N$1164)-1)/7)+1 = VALUE($B$11))),
            'ادخال البيانات'!$J$3:$J$1164
         ),
         ""
      ),
      IF(_xlpm.result="", "", _xlpm.result)
   )
)</f>
        <v/>
      </c>
      <c r="K563" s="27" t="str" cm="1">
        <f t="array" ref="K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63" s="27" t="str" cm="1">
        <f t="array" ref="L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63" s="27" t="str" cm="1">
        <f t="array" ref="M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63" s="28" t="str" cm="1">
        <f t="array" ref="N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63" s="28" t="str" cm="1">
        <f t="array" ref="O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63" s="27" t="str" cm="1">
        <f t="array" ref="P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Table8[جهة العطل]
         ),
         ""
      ),
      IF(_xlpm.result="", "", _xlpm.result)
   )
)</f>
        <v/>
      </c>
      <c r="Q563" s="27" t="str" cm="1">
        <f t="array" ref="Q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Table8[المركز]
         ),
         ""
      ),
      IF(_xlpm.result="", "", _xlpm.result)
   )
)</f>
        <v/>
      </c>
      <c r="R563" s="27" t="str" cm="1">
        <f t="array" ref="R563">IF(
   A563="",
   "",
   _xlfn.LET(
      _xlpm.result,
      IFERROR(
         _xlfn.XLOOKUP(
            1,
            (Table8[رقم الصنف]=A563) *
            (IF($B$9="الكل",1, YEAR('ادخال البيانات'!$N$3:$N$1164) = VALUE($B$9))) *
            (IF($B$10="الكل",1, MONTH('ادخال البيانات'!$N$3:$N$1164) = VALUE($B$10))) *
            (IF($B$11="الكل",1, INT((DAY('ادخال البيانات'!$N$3:$N$1164) - 1) / 7) + 1 = VALUE($B$11))),
            Table8[ملاحظة]
         ),
         ""
      ),
      IF(_xlpm.result="", "", _xlpm.result)
   )
)</f>
        <v/>
      </c>
      <c r="S563" s="27" t="str">
        <f t="shared" ca="1" si="8"/>
        <v/>
      </c>
    </row>
    <row r="564" spans="1:19" ht="27.75" customHeight="1" thickTop="1" thickBot="1" x14ac:dyDescent="0.35">
      <c r="A564" s="39"/>
      <c r="B564" s="50" t="str" cm="1">
        <f t="array" ref="B564">IF(
   OR(A564="", $B$9="", $B$10="", $B$11=""),
   "",
   _xlfn.LET(
      _xlpm.result,
      IFERROR(
         _xlfn.XLOOKUP(
            1,
            (Table8[رقم الصنف]=A564)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64" s="27" t="str" cm="1">
        <f t="array" ref="C564">IF(
   A564="",
   "",
   _xlfn.LET(
      _xlpm.result,
      IFERROR(
         _xlfn.XLOOKUP(
            1,
            (Table8[رقم الصنف]=A564) *
            (IF($B$9="الكل",1, YEAR('ادخال البيانات'!$N$3:$N$1164) = VALUE($B$9))) *
            (IF($B$10="الكل",1, MONTH('ادخال البيانات'!$N$3:$N$1164) = VALUE($B$10))) *
            (IF($B$11="الكل",1, INT((DAY('ادخال البيانات'!$N$3:$N$1164)-1)/7)+1 = VALUE($B$11))),
            'ادخال البيانات'!$C$3:$C$1164
         ),
         ""
      ),
      IF(_xlpm.result="", "", _xlpm.result)
   )
)</f>
        <v/>
      </c>
      <c r="D564" s="27" t="str" cm="1">
        <f t="array" ref="D564">IF(
   OR(A564="", $B$9="", $B$10="", $B$11=""),
   "",
   _xlfn.LET(
      _xlpm.result,
      IFERROR(
         _xlfn.XLOOKUP(
            1,
            (Table8[رقم الصنف]=A564) *
            (IF($B$9="الكل",1, YEAR('ادخال البيانات'!$N$3:$N$1164)=VALUE($B$9))) *
            (IF($B$10="الكل",1, MONTH('ادخال البيانات'!$N$3:$N$1164)=VALUE($B$10))) *
            (IF($B$11="الكل",1, INT((DAY('ادخال البيانات'!$N$3:$N$1164)-1)/7)+1 = VALUE($B$11))),
            'ادخال البيانات'!$D$3:$D$1164
         ),
         ""
      ),
      IF(_xlpm.result="", "", _xlpm.result)
   )
)</f>
        <v/>
      </c>
      <c r="E564" s="27" t="str" cm="1">
        <f t="array" ref="E564">IF(
   A564="",
   "",
   _xlfn.LET(
      _xlpm.result,
      IFERROR(
         _xlfn.XLOOKUP(
            1,
            (Table8[رقم الصنف]=A564) *
            (IF($B$9="الكل",1, YEAR('ادخال البيانات'!$N$3:$N$1164)=VALUE($B$9))) *
            (IF($B$10="الكل",1, MONTH('ادخال البيانات'!$N$3:$N$1164)=VALUE($B$10))) *
            (IF($B$11="الكل",1, INT((DAY('ادخال البيانات'!$N$3:$N$1164)-1)/7)+1 = VALUE($B$11))),
            'ادخال البيانات'!$E$3:$E$1164
         ),
         ""
      ),
      IF(_xlpm.result="", "", _xlpm.result)
   )
)</f>
        <v/>
      </c>
      <c r="F564" s="27" t="str" cm="1">
        <f t="array" ref="F564">IF(
   A564="",
   "",
   _xlfn.LET(
      _xlpm.result,
      IFERROR(
         _xlfn.XLOOKUP(
            1,
            (Table8[رقم الصنف]=A564) *
            (IF($B$9="الكل",1, YEAR('ادخال البيانات'!$N$3:$N$1164) = VALUE($B$9))) *
            (IF($B$10="الكل",1, MONTH('ادخال البيانات'!$N$3:$N$1164) = VALUE($B$10))) *
            (IF($B$11="الكل",1, INT((DAY('ادخال البيانات'!$N$3:$N$1164)-1)/7)+1 = VALUE($B$11))),
            'ادخال البيانات'!$F$3:$F$1164
         ),
         ""
      ),
      IF(_xlpm.result="", "", _xlpm.result)
   )
)</f>
        <v/>
      </c>
      <c r="G564" s="27" t="str" cm="1">
        <f t="array" ref="G564">IF(
   A564="",
   "",
   _xlfn.LET(
      _xlpm.result,
      IFERROR(
         _xlfn.XLOOKUP(
            1,
            (Table8[رقم الصنف]=A564) *
            (IF($B$9="الكل",1, YEAR('ادخال البيانات'!$N$3:$N$1164)=VALUE($B$9))) *
            (IF($B$10="الكل",1, MONTH('ادخال البيانات'!$N$3:$N$1164)=VALUE($B$10))) *
            (IF($B$11="الكل",1, INT((DAY('ادخال البيانات'!$N$3:$N$1164)-1)/7)+1 = VALUE($B$11))),
            'ادخال البيانات'!$G$3:$G$1164
         ),
         ""
      ),
      IF(_xlpm.result="", "", _xlpm.result)
   )
)</f>
        <v/>
      </c>
      <c r="H564" s="27" t="str" cm="1">
        <f t="array" ref="H564">IF(
   A564="",
   "",
   _xlfn.LET(
      _xlpm.result,
      IFERROR(
         _xlfn.XLOOKUP(
            1,
            (Table8[رقم الصنف]=A564) *
            (IF($B$9="الكل",1, YEAR('ادخال البيانات'!$N$3:$N$1164)=VALUE($B$9))) *
            (IF($B$10="الكل",1, MONTH('ادخال البيانات'!$N$3:$N$1164)=VALUE($B$10))) *
            (IF($B$11="الكل",1, INT((DAY('ادخال البيانات'!$N$3:$N$1164)-1)/7)+1 = VALUE($B$11))),
            'ادخال البيانات'!$H$3:$H$1164
         ),
         ""
      ),
      IF(_xlpm.result="", "", _xlpm.result)
   )
)</f>
        <v/>
      </c>
      <c r="I564" s="27" t="str" cm="1">
        <f t="array" ref="I564">IF(
   A564="",
   "",
   _xlfn.LET(
      _xlpm.result,
      IFERROR(
         _xlfn.XLOOKUP(
            1,
            (Table8[رقم الصنف]=A564) *
            (IF($B$9="الكل",1, YEAR('ادخال البيانات'!$N$3:$N$1164)=VALUE($B$9))) *
            (IF($B$10="الكل",1, MONTH('ادخال البيانات'!$N$3:$N$1164)=VALUE($B$10))) *
            (IF($B$11="الكل",1, INT((DAY('ادخال البيانات'!$N$3:$N$1164)-1)/7)+1 = VALUE($B$11))),
            'ادخال البيانات'!$I$3:$I$1164
         ),
         ""
      ),
      IF(_xlpm.result="", "", _xlpm.result)
   )
)</f>
        <v/>
      </c>
      <c r="J564" s="27" t="str" cm="1">
        <f t="array" ref="J564">IF(
   A564="",
   "",
   _xlfn.LET(
      _xlpm.result,
      IFERROR(
         _xlfn.XLOOKUP(
            1,
            (Table8[رقم الصنف]=A564) *
            (IF($B$9="الكل",1, YEAR('ادخال البيانات'!$N$3:$N$1164)=VALUE($B$9))) *
            (IF($B$10="الكل",1, MONTH('ادخال البيانات'!$N$3:$N$1164)=VALUE($B$10))) *
            (IF($B$11="الكل",1, INT((DAY('ادخال البيانات'!$N$3:$N$1164)-1)/7)+1 = VALUE($B$11))),
            'ادخال البيانات'!$J$3:$J$1164
         ),
         ""
      ),
      IF(_xlpm.result="", "", _xlpm.result)
   )
)</f>
        <v/>
      </c>
      <c r="K564" s="27" t="str" cm="1">
        <f t="array" ref="K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64" s="27" t="str" cm="1">
        <f t="array" ref="L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64" s="27" t="str" cm="1">
        <f t="array" ref="M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64" s="28" t="str" cm="1">
        <f t="array" ref="N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64" s="28" t="str" cm="1">
        <f t="array" ref="O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64" s="27" t="str" cm="1">
        <f t="array" ref="P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Table8[جهة العطل]
         ),
         ""
      ),
      IF(_xlpm.result="", "", _xlpm.result)
   )
)</f>
        <v/>
      </c>
      <c r="Q564" s="27" t="str" cm="1">
        <f t="array" ref="Q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Table8[المركز]
         ),
         ""
      ),
      IF(_xlpm.result="", "", _xlpm.result)
   )
)</f>
        <v/>
      </c>
      <c r="R564" s="27" t="str" cm="1">
        <f t="array" ref="R564">IF(
   A564="",
   "",
   _xlfn.LET(
      _xlpm.result,
      IFERROR(
         _xlfn.XLOOKUP(
            1,
            (Table8[رقم الصنف]=A564) *
            (IF($B$9="الكل",1, YEAR('ادخال البيانات'!$N$3:$N$1164) = VALUE($B$9))) *
            (IF($B$10="الكل",1, MONTH('ادخال البيانات'!$N$3:$N$1164) = VALUE($B$10))) *
            (IF($B$11="الكل",1, INT((DAY('ادخال البيانات'!$N$3:$N$1164) - 1) / 7) + 1 = VALUE($B$11))),
            Table8[ملاحظة]
         ),
         ""
      ),
      IF(_xlpm.result="", "", _xlpm.result)
   )
)</f>
        <v/>
      </c>
      <c r="S564" s="27" t="str">
        <f t="shared" ca="1" si="8"/>
        <v/>
      </c>
    </row>
    <row r="565" spans="1:19" ht="27.75" customHeight="1" thickTop="1" thickBot="1" x14ac:dyDescent="0.35">
      <c r="A565" s="39"/>
      <c r="B565" s="50" t="str" cm="1">
        <f t="array" ref="B565">IF(
   OR(A565="", $B$9="", $B$10="", $B$11=""),
   "",
   _xlfn.LET(
      _xlpm.result,
      IFERROR(
         _xlfn.XLOOKUP(
            1,
            (Table8[رقم الصنف]=A565)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65" s="27" t="str" cm="1">
        <f t="array" ref="C565">IF(
   A565="",
   "",
   _xlfn.LET(
      _xlpm.result,
      IFERROR(
         _xlfn.XLOOKUP(
            1,
            (Table8[رقم الصنف]=A565) *
            (IF($B$9="الكل",1, YEAR('ادخال البيانات'!$N$3:$N$1164) = VALUE($B$9))) *
            (IF($B$10="الكل",1, MONTH('ادخال البيانات'!$N$3:$N$1164) = VALUE($B$10))) *
            (IF($B$11="الكل",1, INT((DAY('ادخال البيانات'!$N$3:$N$1164)-1)/7)+1 = VALUE($B$11))),
            'ادخال البيانات'!$C$3:$C$1164
         ),
         ""
      ),
      IF(_xlpm.result="", "", _xlpm.result)
   )
)</f>
        <v/>
      </c>
      <c r="D565" s="27" t="str" cm="1">
        <f t="array" ref="D565">IF(
   OR(A565="", $B$9="", $B$10="", $B$11=""),
   "",
   _xlfn.LET(
      _xlpm.result,
      IFERROR(
         _xlfn.XLOOKUP(
            1,
            (Table8[رقم الصنف]=A565) *
            (IF($B$9="الكل",1, YEAR('ادخال البيانات'!$N$3:$N$1164)=VALUE($B$9))) *
            (IF($B$10="الكل",1, MONTH('ادخال البيانات'!$N$3:$N$1164)=VALUE($B$10))) *
            (IF($B$11="الكل",1, INT((DAY('ادخال البيانات'!$N$3:$N$1164)-1)/7)+1 = VALUE($B$11))),
            'ادخال البيانات'!$D$3:$D$1164
         ),
         ""
      ),
      IF(_xlpm.result="", "", _xlpm.result)
   )
)</f>
        <v/>
      </c>
      <c r="E565" s="27" t="str" cm="1">
        <f t="array" ref="E565">IF(
   A565="",
   "",
   _xlfn.LET(
      _xlpm.result,
      IFERROR(
         _xlfn.XLOOKUP(
            1,
            (Table8[رقم الصنف]=A565) *
            (IF($B$9="الكل",1, YEAR('ادخال البيانات'!$N$3:$N$1164)=VALUE($B$9))) *
            (IF($B$10="الكل",1, MONTH('ادخال البيانات'!$N$3:$N$1164)=VALUE($B$10))) *
            (IF($B$11="الكل",1, INT((DAY('ادخال البيانات'!$N$3:$N$1164)-1)/7)+1 = VALUE($B$11))),
            'ادخال البيانات'!$E$3:$E$1164
         ),
         ""
      ),
      IF(_xlpm.result="", "", _xlpm.result)
   )
)</f>
        <v/>
      </c>
      <c r="F565" s="27" t="str" cm="1">
        <f t="array" ref="F565">IF(
   A565="",
   "",
   _xlfn.LET(
      _xlpm.result,
      IFERROR(
         _xlfn.XLOOKUP(
            1,
            (Table8[رقم الصنف]=A565) *
            (IF($B$9="الكل",1, YEAR('ادخال البيانات'!$N$3:$N$1164) = VALUE($B$9))) *
            (IF($B$10="الكل",1, MONTH('ادخال البيانات'!$N$3:$N$1164) = VALUE($B$10))) *
            (IF($B$11="الكل",1, INT((DAY('ادخال البيانات'!$N$3:$N$1164)-1)/7)+1 = VALUE($B$11))),
            'ادخال البيانات'!$F$3:$F$1164
         ),
         ""
      ),
      IF(_xlpm.result="", "", _xlpm.result)
   )
)</f>
        <v/>
      </c>
      <c r="G565" s="27" t="str" cm="1">
        <f t="array" ref="G565">IF(
   A565="",
   "",
   _xlfn.LET(
      _xlpm.result,
      IFERROR(
         _xlfn.XLOOKUP(
            1,
            (Table8[رقم الصنف]=A565) *
            (IF($B$9="الكل",1, YEAR('ادخال البيانات'!$N$3:$N$1164)=VALUE($B$9))) *
            (IF($B$10="الكل",1, MONTH('ادخال البيانات'!$N$3:$N$1164)=VALUE($B$10))) *
            (IF($B$11="الكل",1, INT((DAY('ادخال البيانات'!$N$3:$N$1164)-1)/7)+1 = VALUE($B$11))),
            'ادخال البيانات'!$G$3:$G$1164
         ),
         ""
      ),
      IF(_xlpm.result="", "", _xlpm.result)
   )
)</f>
        <v/>
      </c>
      <c r="H565" s="27" t="str" cm="1">
        <f t="array" ref="H565">IF(
   A565="",
   "",
   _xlfn.LET(
      _xlpm.result,
      IFERROR(
         _xlfn.XLOOKUP(
            1,
            (Table8[رقم الصنف]=A565) *
            (IF($B$9="الكل",1, YEAR('ادخال البيانات'!$N$3:$N$1164)=VALUE($B$9))) *
            (IF($B$10="الكل",1, MONTH('ادخال البيانات'!$N$3:$N$1164)=VALUE($B$10))) *
            (IF($B$11="الكل",1, INT((DAY('ادخال البيانات'!$N$3:$N$1164)-1)/7)+1 = VALUE($B$11))),
            'ادخال البيانات'!$H$3:$H$1164
         ),
         ""
      ),
      IF(_xlpm.result="", "", _xlpm.result)
   )
)</f>
        <v/>
      </c>
      <c r="I565" s="27" t="str" cm="1">
        <f t="array" ref="I565">IF(
   A565="",
   "",
   _xlfn.LET(
      _xlpm.result,
      IFERROR(
         _xlfn.XLOOKUP(
            1,
            (Table8[رقم الصنف]=A565) *
            (IF($B$9="الكل",1, YEAR('ادخال البيانات'!$N$3:$N$1164)=VALUE($B$9))) *
            (IF($B$10="الكل",1, MONTH('ادخال البيانات'!$N$3:$N$1164)=VALUE($B$10))) *
            (IF($B$11="الكل",1, INT((DAY('ادخال البيانات'!$N$3:$N$1164)-1)/7)+1 = VALUE($B$11))),
            'ادخال البيانات'!$I$3:$I$1164
         ),
         ""
      ),
      IF(_xlpm.result="", "", _xlpm.result)
   )
)</f>
        <v/>
      </c>
      <c r="J565" s="27" t="str" cm="1">
        <f t="array" ref="J565">IF(
   A565="",
   "",
   _xlfn.LET(
      _xlpm.result,
      IFERROR(
         _xlfn.XLOOKUP(
            1,
            (Table8[رقم الصنف]=A565) *
            (IF($B$9="الكل",1, YEAR('ادخال البيانات'!$N$3:$N$1164)=VALUE($B$9))) *
            (IF($B$10="الكل",1, MONTH('ادخال البيانات'!$N$3:$N$1164)=VALUE($B$10))) *
            (IF($B$11="الكل",1, INT((DAY('ادخال البيانات'!$N$3:$N$1164)-1)/7)+1 = VALUE($B$11))),
            'ادخال البيانات'!$J$3:$J$1164
         ),
         ""
      ),
      IF(_xlpm.result="", "", _xlpm.result)
   )
)</f>
        <v/>
      </c>
      <c r="K565" s="27" t="str" cm="1">
        <f t="array" ref="K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65" s="27" t="str" cm="1">
        <f t="array" ref="L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65" s="27" t="str" cm="1">
        <f t="array" ref="M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65" s="28" t="str" cm="1">
        <f t="array" ref="N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65" s="28" t="str" cm="1">
        <f t="array" ref="O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65" s="27" t="str" cm="1">
        <f t="array" ref="P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Table8[جهة العطل]
         ),
         ""
      ),
      IF(_xlpm.result="", "", _xlpm.result)
   )
)</f>
        <v/>
      </c>
      <c r="Q565" s="27" t="str" cm="1">
        <f t="array" ref="Q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Table8[المركز]
         ),
         ""
      ),
      IF(_xlpm.result="", "", _xlpm.result)
   )
)</f>
        <v/>
      </c>
      <c r="R565" s="27" t="str" cm="1">
        <f t="array" ref="R565">IF(
   A565="",
   "",
   _xlfn.LET(
      _xlpm.result,
      IFERROR(
         _xlfn.XLOOKUP(
            1,
            (Table8[رقم الصنف]=A565) *
            (IF($B$9="الكل",1, YEAR('ادخال البيانات'!$N$3:$N$1164) = VALUE($B$9))) *
            (IF($B$10="الكل",1, MONTH('ادخال البيانات'!$N$3:$N$1164) = VALUE($B$10))) *
            (IF($B$11="الكل",1, INT((DAY('ادخال البيانات'!$N$3:$N$1164) - 1) / 7) + 1 = VALUE($B$11))),
            Table8[ملاحظة]
         ),
         ""
      ),
      IF(_xlpm.result="", "", _xlpm.result)
   )
)</f>
        <v/>
      </c>
      <c r="S565" s="27" t="str">
        <f t="shared" ca="1" si="8"/>
        <v/>
      </c>
    </row>
    <row r="566" spans="1:19" ht="27.75" customHeight="1" thickTop="1" thickBot="1" x14ac:dyDescent="0.35">
      <c r="A566" s="76">
        <v>1101700010006</v>
      </c>
      <c r="B566" s="77" t="s">
        <v>2075</v>
      </c>
      <c r="C566" s="77" t="s">
        <v>278</v>
      </c>
      <c r="D566" s="77">
        <v>2015</v>
      </c>
      <c r="E566" s="77" t="s">
        <v>19</v>
      </c>
      <c r="F566" s="77" t="s">
        <v>52</v>
      </c>
      <c r="G566" s="78" t="s">
        <v>279</v>
      </c>
      <c r="H566" s="77" t="s">
        <v>263</v>
      </c>
      <c r="I566" s="77" t="s">
        <v>270</v>
      </c>
      <c r="J566" s="77" t="s">
        <v>1471</v>
      </c>
      <c r="K566" s="99" t="s">
        <v>1548</v>
      </c>
      <c r="L566" s="77" t="s">
        <v>1564</v>
      </c>
      <c r="M566" s="2" t="s">
        <v>2179</v>
      </c>
      <c r="N566" s="2" t="s">
        <v>2180</v>
      </c>
      <c r="O566" s="77"/>
      <c r="P566" s="77" t="s">
        <v>1471</v>
      </c>
      <c r="Q566" s="77" t="s">
        <v>1994</v>
      </c>
      <c r="R566" s="79"/>
      <c r="S566" s="49" t="e">
        <f t="shared" ca="1" si="8"/>
        <v>#VALUE!</v>
      </c>
    </row>
    <row r="567" spans="1:19" ht="27.75" customHeight="1" thickTop="1" thickBot="1" x14ac:dyDescent="0.35">
      <c r="A567" s="58">
        <v>1106700020003</v>
      </c>
      <c r="B567" s="81" t="s">
        <v>54</v>
      </c>
      <c r="C567" s="81" t="s">
        <v>744</v>
      </c>
      <c r="D567" s="70">
        <v>2013</v>
      </c>
      <c r="E567" s="81" t="s">
        <v>19</v>
      </c>
      <c r="F567" s="81" t="s">
        <v>56</v>
      </c>
      <c r="G567" s="67" t="s">
        <v>745</v>
      </c>
      <c r="H567" s="81" t="s">
        <v>35</v>
      </c>
      <c r="I567" s="81" t="s">
        <v>741</v>
      </c>
      <c r="J567" s="2" t="s">
        <v>1487</v>
      </c>
      <c r="K567" s="11" t="s">
        <v>1912</v>
      </c>
      <c r="L567" s="2" t="s">
        <v>1564</v>
      </c>
      <c r="M567" s="2" t="s">
        <v>2537</v>
      </c>
      <c r="N567" s="2" t="s">
        <v>2534</v>
      </c>
      <c r="O567" s="2" t="s">
        <v>2606</v>
      </c>
      <c r="P567" s="65" t="s">
        <v>2034</v>
      </c>
      <c r="Q567" s="65" t="s">
        <v>2039</v>
      </c>
      <c r="R567" s="65"/>
      <c r="S567" s="46" t="e">
        <f t="shared" ref="S567:S587" ca="1" si="9">IF(
   L567="تم الاصلاح",
   "تم الاصلاح",
   IF(N567="","", TODAY()-N567)
)</f>
        <v>#VALUE!</v>
      </c>
    </row>
    <row r="568" spans="1:19" ht="27.75" customHeight="1" thickTop="1" thickBot="1" x14ac:dyDescent="0.35">
      <c r="A568" s="68">
        <v>1105700160002</v>
      </c>
      <c r="B568" s="44" t="s">
        <v>660</v>
      </c>
      <c r="C568" s="44" t="s">
        <v>661</v>
      </c>
      <c r="D568" s="44">
        <v>2015</v>
      </c>
      <c r="E568" s="44" t="s">
        <v>19</v>
      </c>
      <c r="F568" s="44" t="s">
        <v>20</v>
      </c>
      <c r="G568" s="68" t="s">
        <v>662</v>
      </c>
      <c r="H568" s="44" t="s">
        <v>263</v>
      </c>
      <c r="I568" s="44" t="s">
        <v>632</v>
      </c>
      <c r="J568" s="2" t="s">
        <v>1544</v>
      </c>
      <c r="K568" s="11" t="s">
        <v>1912</v>
      </c>
      <c r="L568" s="2" t="s">
        <v>1571</v>
      </c>
      <c r="M568" s="2" t="s">
        <v>2092</v>
      </c>
      <c r="N568" s="2" t="s">
        <v>2091</v>
      </c>
      <c r="O568" s="2" t="s">
        <v>2549</v>
      </c>
      <c r="P568" s="66" t="s">
        <v>2053</v>
      </c>
      <c r="Q568" s="66"/>
      <c r="R568" s="66"/>
      <c r="S568" s="46" t="e">
        <f t="shared" ca="1" si="9"/>
        <v>#VALUE!</v>
      </c>
    </row>
    <row r="569" spans="1:19" ht="27.75" customHeight="1" thickTop="1" thickBot="1" x14ac:dyDescent="0.35">
      <c r="A569" s="76">
        <v>1106700020003</v>
      </c>
      <c r="B569" s="103" t="s">
        <v>54</v>
      </c>
      <c r="C569" s="77" t="s">
        <v>816</v>
      </c>
      <c r="D569" s="70">
        <v>2013</v>
      </c>
      <c r="E569" s="44" t="s">
        <v>19</v>
      </c>
      <c r="F569" s="44" t="s">
        <v>56</v>
      </c>
      <c r="G569" s="68" t="s">
        <v>817</v>
      </c>
      <c r="H569" s="44" t="s">
        <v>35</v>
      </c>
      <c r="I569" s="44" t="s">
        <v>813</v>
      </c>
      <c r="J569" s="2" t="s">
        <v>1518</v>
      </c>
      <c r="K569" s="2" t="s">
        <v>1548</v>
      </c>
      <c r="L569" s="2" t="s">
        <v>1571</v>
      </c>
      <c r="M569" s="2" t="s">
        <v>2459</v>
      </c>
      <c r="N569" s="9" t="s">
        <v>2448</v>
      </c>
      <c r="O569" s="2" t="s">
        <v>2360</v>
      </c>
      <c r="P569" s="66" t="s">
        <v>1518</v>
      </c>
      <c r="Q569" s="66" t="s">
        <v>1987</v>
      </c>
      <c r="R569" s="79"/>
      <c r="S569" s="46" t="e">
        <f t="shared" ca="1" si="9"/>
        <v>#VALUE!</v>
      </c>
    </row>
    <row r="570" spans="1:19" ht="27.75" customHeight="1" thickTop="1" thickBot="1" x14ac:dyDescent="0.35">
      <c r="A570" s="76">
        <v>1106700020003</v>
      </c>
      <c r="B570" s="103" t="s">
        <v>54</v>
      </c>
      <c r="C570" s="77" t="s">
        <v>68</v>
      </c>
      <c r="D570" s="70">
        <v>2014</v>
      </c>
      <c r="E570" s="44" t="s">
        <v>19</v>
      </c>
      <c r="F570" s="44" t="s">
        <v>56</v>
      </c>
      <c r="G570" s="68" t="s">
        <v>69</v>
      </c>
      <c r="H570" s="44" t="s">
        <v>35</v>
      </c>
      <c r="I570" s="44" t="s">
        <v>61</v>
      </c>
      <c r="J570" s="77" t="s">
        <v>1518</v>
      </c>
      <c r="K570" s="11" t="s">
        <v>1912</v>
      </c>
      <c r="L570" s="2"/>
      <c r="M570" s="2"/>
      <c r="N570" s="2"/>
      <c r="O570" s="2" t="s">
        <v>2391</v>
      </c>
      <c r="P570" s="66" t="s">
        <v>1518</v>
      </c>
      <c r="Q570" s="66" t="s">
        <v>1991</v>
      </c>
      <c r="R570" s="79"/>
      <c r="S570" s="46" t="str">
        <f t="shared" ca="1" si="9"/>
        <v/>
      </c>
    </row>
    <row r="571" spans="1:19" ht="27.75" customHeight="1" thickTop="1" thickBot="1" x14ac:dyDescent="0.35">
      <c r="A571" s="76">
        <v>1204700020003</v>
      </c>
      <c r="B571" s="103" t="s">
        <v>13</v>
      </c>
      <c r="C571" s="77" t="s">
        <v>459</v>
      </c>
      <c r="D571" s="44">
        <v>2006</v>
      </c>
      <c r="E571" s="44" t="s">
        <v>19</v>
      </c>
      <c r="F571" s="96" t="s">
        <v>10</v>
      </c>
      <c r="G571" s="68" t="s">
        <v>460</v>
      </c>
      <c r="H571" s="44" t="s">
        <v>263</v>
      </c>
      <c r="I571" s="44" t="s">
        <v>453</v>
      </c>
      <c r="J571" s="110" t="s">
        <v>1482</v>
      </c>
      <c r="K571" s="2" t="s">
        <v>1548</v>
      </c>
      <c r="L571" s="2" t="s">
        <v>1571</v>
      </c>
      <c r="M571" s="2" t="s">
        <v>1731</v>
      </c>
      <c r="N571" s="2" t="s">
        <v>2692</v>
      </c>
      <c r="O571" s="2" t="s">
        <v>2224</v>
      </c>
      <c r="P571" s="77" t="s">
        <v>2009</v>
      </c>
      <c r="Q571" s="77" t="s">
        <v>2012</v>
      </c>
      <c r="R571" s="79"/>
      <c r="S571" s="46" t="e">
        <f t="shared" ca="1" si="9"/>
        <v>#VALUE!</v>
      </c>
    </row>
    <row r="572" spans="1:19" ht="27.75" customHeight="1" thickTop="1" thickBot="1" x14ac:dyDescent="0.35">
      <c r="A572" s="76">
        <v>1204700020003</v>
      </c>
      <c r="B572" s="103" t="s">
        <v>13</v>
      </c>
      <c r="C572" s="77" t="s">
        <v>37</v>
      </c>
      <c r="D572" s="44">
        <v>2009</v>
      </c>
      <c r="E572" s="44" t="s">
        <v>19</v>
      </c>
      <c r="F572" s="96" t="s">
        <v>10</v>
      </c>
      <c r="G572" s="68" t="s">
        <v>38</v>
      </c>
      <c r="H572" s="44" t="s">
        <v>35</v>
      </c>
      <c r="I572" s="44" t="s">
        <v>36</v>
      </c>
      <c r="J572" s="77" t="s">
        <v>1493</v>
      </c>
      <c r="K572" s="82" t="s">
        <v>1912</v>
      </c>
      <c r="L572" s="77" t="s">
        <v>1571</v>
      </c>
      <c r="M572" s="77" t="s">
        <v>2228</v>
      </c>
      <c r="N572" s="109"/>
      <c r="O572" s="77" t="s">
        <v>2226</v>
      </c>
      <c r="P572" s="77" t="s">
        <v>2045</v>
      </c>
      <c r="Q572" s="77" t="s">
        <v>2046</v>
      </c>
      <c r="R572" s="79" t="s">
        <v>2229</v>
      </c>
      <c r="S572" s="46" t="str">
        <f t="shared" ca="1" si="9"/>
        <v/>
      </c>
    </row>
    <row r="573" spans="1:19" ht="27.75" customHeight="1" thickTop="1" thickBot="1" x14ac:dyDescent="0.35">
      <c r="A573" s="68">
        <v>1204700010003</v>
      </c>
      <c r="B573" s="44" t="s">
        <v>96</v>
      </c>
      <c r="C573" s="90" t="s">
        <v>612</v>
      </c>
      <c r="D573" s="44">
        <v>2008</v>
      </c>
      <c r="E573" s="44" t="s">
        <v>19</v>
      </c>
      <c r="F573" s="96" t="s">
        <v>10</v>
      </c>
      <c r="G573" s="68" t="s">
        <v>613</v>
      </c>
      <c r="H573" s="44" t="s">
        <v>263</v>
      </c>
      <c r="I573" s="44" t="s">
        <v>602</v>
      </c>
      <c r="J573" s="65" t="s">
        <v>1498</v>
      </c>
      <c r="K573" s="11" t="s">
        <v>1912</v>
      </c>
      <c r="L573" s="2"/>
      <c r="M573" s="2"/>
      <c r="N573" s="2"/>
      <c r="O573" s="65" t="s">
        <v>2245</v>
      </c>
      <c r="P573" s="65" t="s">
        <v>2024</v>
      </c>
      <c r="Q573" s="65" t="s">
        <v>2025</v>
      </c>
      <c r="R573" s="65"/>
      <c r="S573" s="46" t="str">
        <f t="shared" ca="1" si="9"/>
        <v/>
      </c>
    </row>
    <row r="574" spans="1:19" ht="27.75" customHeight="1" thickTop="1" thickBot="1" x14ac:dyDescent="0.35">
      <c r="A574" s="67">
        <v>1204700020009</v>
      </c>
      <c r="B574" s="81" t="s">
        <v>29</v>
      </c>
      <c r="C574" s="81" t="s">
        <v>1093</v>
      </c>
      <c r="D574" s="81">
        <v>2016</v>
      </c>
      <c r="E574" s="81" t="s">
        <v>19</v>
      </c>
      <c r="F574" s="81" t="s">
        <v>261</v>
      </c>
      <c r="G574" s="67" t="s">
        <v>1094</v>
      </c>
      <c r="H574" s="81" t="s">
        <v>945</v>
      </c>
      <c r="I574" s="81" t="s">
        <v>1088</v>
      </c>
      <c r="J574" s="2" t="s">
        <v>1493</v>
      </c>
      <c r="K574" s="11" t="s">
        <v>1912</v>
      </c>
      <c r="L574" s="66"/>
      <c r="M574" s="66"/>
      <c r="N574" s="69"/>
      <c r="O574" s="2" t="s">
        <v>2232</v>
      </c>
      <c r="P574" s="2"/>
      <c r="Q574" s="66"/>
      <c r="R574" s="2" t="s">
        <v>2207</v>
      </c>
      <c r="S574" s="46" t="str">
        <f t="shared" ca="1" si="9"/>
        <v/>
      </c>
    </row>
    <row r="575" spans="1:19" ht="27.75" customHeight="1" thickTop="1" thickBot="1" x14ac:dyDescent="0.35">
      <c r="A575" s="68">
        <v>1204700020009</v>
      </c>
      <c r="B575" s="44" t="s">
        <v>29</v>
      </c>
      <c r="C575" s="44" t="s">
        <v>1097</v>
      </c>
      <c r="D575" s="44">
        <v>2016</v>
      </c>
      <c r="E575" s="44" t="s">
        <v>19</v>
      </c>
      <c r="F575" s="44" t="s">
        <v>261</v>
      </c>
      <c r="G575" s="68" t="s">
        <v>1098</v>
      </c>
      <c r="H575" s="44" t="s">
        <v>945</v>
      </c>
      <c r="I575" s="44" t="s">
        <v>1088</v>
      </c>
      <c r="J575" s="2" t="s">
        <v>1493</v>
      </c>
      <c r="K575" s="11" t="s">
        <v>1912</v>
      </c>
      <c r="L575" s="65"/>
      <c r="M575" s="65"/>
      <c r="N575" s="64"/>
      <c r="O575" s="2" t="s">
        <v>2232</v>
      </c>
      <c r="P575" s="65"/>
      <c r="Q575" s="65"/>
      <c r="R575" s="2" t="s">
        <v>2206</v>
      </c>
      <c r="S575" s="46" t="str">
        <f t="shared" ca="1" si="9"/>
        <v/>
      </c>
    </row>
    <row r="576" spans="1:19" ht="27.75" customHeight="1" thickTop="1" thickBot="1" x14ac:dyDescent="0.35">
      <c r="A576" s="67">
        <v>1106700010010</v>
      </c>
      <c r="B576" s="81" t="s">
        <v>114</v>
      </c>
      <c r="C576" s="81" t="s">
        <v>115</v>
      </c>
      <c r="D576" s="81">
        <v>2003</v>
      </c>
      <c r="E576" s="81" t="s">
        <v>19</v>
      </c>
      <c r="F576" s="81" t="s">
        <v>104</v>
      </c>
      <c r="G576" s="67" t="s">
        <v>116</v>
      </c>
      <c r="H576" s="81" t="s">
        <v>35</v>
      </c>
      <c r="I576" s="81" t="s">
        <v>112</v>
      </c>
      <c r="J576" s="66" t="s">
        <v>1471</v>
      </c>
      <c r="K576" s="66" t="s">
        <v>1548</v>
      </c>
      <c r="L576" s="66" t="s">
        <v>1564</v>
      </c>
      <c r="M576" s="2" t="s">
        <v>2246</v>
      </c>
      <c r="N576" s="9" t="s">
        <v>2245</v>
      </c>
      <c r="O576" s="66"/>
      <c r="P576" s="66" t="s">
        <v>1471</v>
      </c>
      <c r="Q576" s="66" t="s">
        <v>1996</v>
      </c>
      <c r="R576" s="66"/>
      <c r="S576" s="46" t="e">
        <f t="shared" ca="1" si="9"/>
        <v>#VALUE!</v>
      </c>
    </row>
    <row r="577" spans="1:19" ht="27.75" customHeight="1" thickTop="1" thickBot="1" x14ac:dyDescent="0.35">
      <c r="A577" s="67">
        <v>1204700020003</v>
      </c>
      <c r="B577" s="81" t="s">
        <v>13</v>
      </c>
      <c r="C577" s="90" t="s">
        <v>258</v>
      </c>
      <c r="D577" s="110">
        <v>2006</v>
      </c>
      <c r="E577" s="81" t="s">
        <v>4</v>
      </c>
      <c r="F577" s="96" t="s">
        <v>10</v>
      </c>
      <c r="G577" s="67" t="s">
        <v>259</v>
      </c>
      <c r="H577" s="81" t="s">
        <v>0</v>
      </c>
      <c r="I577" s="81" t="s">
        <v>240</v>
      </c>
      <c r="J577" s="110" t="s">
        <v>1543</v>
      </c>
      <c r="K577" s="2" t="s">
        <v>1548</v>
      </c>
      <c r="L577" s="2" t="s">
        <v>1564</v>
      </c>
      <c r="M577" s="2" t="s">
        <v>2527</v>
      </c>
      <c r="N577" s="9" t="s">
        <v>2526</v>
      </c>
      <c r="O577" s="66"/>
      <c r="P577" s="66" t="s">
        <v>2051</v>
      </c>
      <c r="Q577" s="66"/>
      <c r="R577" s="66"/>
      <c r="S577" s="46" t="e">
        <f t="shared" ca="1" si="9"/>
        <v>#VALUE!</v>
      </c>
    </row>
    <row r="578" spans="1:19" ht="27.75" customHeight="1" thickTop="1" thickBot="1" x14ac:dyDescent="0.35">
      <c r="A578" s="75">
        <v>1101700030006</v>
      </c>
      <c r="B578" s="81" t="s">
        <v>2075</v>
      </c>
      <c r="C578" s="81" t="s">
        <v>1260</v>
      </c>
      <c r="D578" s="81">
        <v>2012</v>
      </c>
      <c r="E578" s="81" t="s">
        <v>19</v>
      </c>
      <c r="F578" s="81" t="s">
        <v>52</v>
      </c>
      <c r="G578" s="67" t="s">
        <v>1261</v>
      </c>
      <c r="H578" s="81" t="s">
        <v>263</v>
      </c>
      <c r="I578" s="81" t="s">
        <v>1560</v>
      </c>
      <c r="J578" s="2" t="s">
        <v>1477</v>
      </c>
      <c r="K578" s="11" t="s">
        <v>1912</v>
      </c>
      <c r="L578" s="2" t="s">
        <v>1571</v>
      </c>
      <c r="M578" s="2" t="s">
        <v>2539</v>
      </c>
      <c r="N578" s="2" t="s">
        <v>2534</v>
      </c>
      <c r="O578" s="2" t="s">
        <v>2534</v>
      </c>
      <c r="P578" s="66" t="s">
        <v>1477</v>
      </c>
      <c r="Q578" s="66" t="s">
        <v>2003</v>
      </c>
      <c r="R578" s="66"/>
      <c r="S578" s="46" t="e">
        <f t="shared" ca="1" si="9"/>
        <v>#VALUE!</v>
      </c>
    </row>
    <row r="579" spans="1:19" ht="27.75" customHeight="1" thickTop="1" thickBot="1" x14ac:dyDescent="0.35">
      <c r="A579" s="39"/>
      <c r="B579" s="27" t="str" cm="1">
        <f t="array" ref="B579">IF(
   OR(A579="", $B$9="", $B$10="", $B$11=""),
   "",
   _xlfn.LET(
      _xlpm.result,
      IFERROR(
         _xlfn.XLOOKUP(
            1,
            (Table8[رقم الصنف]=A579)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79" s="27" t="str" cm="1">
        <f t="array" ref="C579">IF(
   A579="",
   "",
   _xlfn.LET(
      _xlpm.result,
      IFERROR(
         _xlfn.XLOOKUP(
            1,
            (Table8[رقم الصنف]=A579) *
            (IF($B$9="الكل",1, YEAR('ادخال البيانات'!$N$3:$N$1164) = VALUE($B$9))) *
            (IF($B$10="الكل",1, MONTH('ادخال البيانات'!$N$3:$N$1164) = VALUE($B$10))) *
            (IF($B$11="الكل",1, INT((DAY('ادخال البيانات'!$N$3:$N$1164)-1)/7)+1 = VALUE($B$11))),
            'ادخال البيانات'!$C$3:$C$1164
         ),
         ""
      ),
      IF(_xlpm.result="", "", _xlpm.result)
   )
)</f>
        <v/>
      </c>
      <c r="D579" s="27" t="str" cm="1">
        <f t="array" ref="D579">IF(
   OR(A579="", $B$9="", $B$10="", $B$11=""),
   "",
   _xlfn.LET(
      _xlpm.result,
      IFERROR(
         _xlfn.XLOOKUP(
            1,
            (Table8[رقم الصنف]=A579) *
            (IF($B$9="الكل",1, YEAR('ادخال البيانات'!$N$3:$N$1164)=VALUE($B$9))) *
            (IF($B$10="الكل",1, MONTH('ادخال البيانات'!$N$3:$N$1164)=VALUE($B$10))) *
            (IF($B$11="الكل",1, INT((DAY('ادخال البيانات'!$N$3:$N$1164)-1)/7)+1 = VALUE($B$11))),
            'ادخال البيانات'!$D$3:$D$1164
         ),
         ""
      ),
      IF(_xlpm.result="", "", _xlpm.result)
   )
)</f>
        <v/>
      </c>
      <c r="E579" s="27" t="str" cm="1">
        <f t="array" ref="E579">IF(
   A579="",
   "",
   _xlfn.LET(
      _xlpm.result,
      IFERROR(
         _xlfn.XLOOKUP(
            1,
            (Table8[رقم الصنف]=A579) *
            (IF($B$9="الكل",1, YEAR('ادخال البيانات'!$N$3:$N$1164)=VALUE($B$9))) *
            (IF($B$10="الكل",1, MONTH('ادخال البيانات'!$N$3:$N$1164)=VALUE($B$10))) *
            (IF($B$11="الكل",1, INT((DAY('ادخال البيانات'!$N$3:$N$1164)-1)/7)+1 = VALUE($B$11))),
            'ادخال البيانات'!$E$3:$E$1164
         ),
         ""
      ),
      IF(_xlpm.result="", "", _xlpm.result)
   )
)</f>
        <v/>
      </c>
      <c r="F579" s="27" t="str" cm="1">
        <f t="array" ref="F579">IF(
   A579="",
   "",
   _xlfn.LET(
      _xlpm.result,
      IFERROR(
         _xlfn.XLOOKUP(
            1,
            (Table8[رقم الصنف]=A579) *
            (IF($B$9="الكل",1, YEAR('ادخال البيانات'!$N$3:$N$1164) = VALUE($B$9))) *
            (IF($B$10="الكل",1, MONTH('ادخال البيانات'!$N$3:$N$1164) = VALUE($B$10))) *
            (IF($B$11="الكل",1, INT((DAY('ادخال البيانات'!$N$3:$N$1164)-1)/7)+1 = VALUE($B$11))),
            'ادخال البيانات'!$F$3:$F$1164
         ),
         ""
      ),
      IF(_xlpm.result="", "", _xlpm.result)
   )
)</f>
        <v/>
      </c>
      <c r="G579" s="27" t="str" cm="1">
        <f t="array" ref="G579">IF(
   A579="",
   "",
   _xlfn.LET(
      _xlpm.result,
      IFERROR(
         _xlfn.XLOOKUP(
            1,
            (Table8[رقم الصنف]=A579) *
            (IF($B$9="الكل",1, YEAR('ادخال البيانات'!$N$3:$N$1164)=VALUE($B$9))) *
            (IF($B$10="الكل",1, MONTH('ادخال البيانات'!$N$3:$N$1164)=VALUE($B$10))) *
            (IF($B$11="الكل",1, INT((DAY('ادخال البيانات'!$N$3:$N$1164)-1)/7)+1 = VALUE($B$11))),
            'ادخال البيانات'!$G$3:$G$1164
         ),
         ""
      ),
      IF(_xlpm.result="", "", _xlpm.result)
   )
)</f>
        <v/>
      </c>
      <c r="H579" s="27" t="str" cm="1">
        <f t="array" ref="H579">IF(
   A579="",
   "",
   _xlfn.LET(
      _xlpm.result,
      IFERROR(
         _xlfn.XLOOKUP(
            1,
            (Table8[رقم الصنف]=A579) *
            (IF($B$9="الكل",1, YEAR('ادخال البيانات'!$N$3:$N$1164)=VALUE($B$9))) *
            (IF($B$10="الكل",1, MONTH('ادخال البيانات'!$N$3:$N$1164)=VALUE($B$10))) *
            (IF($B$11="الكل",1, INT((DAY('ادخال البيانات'!$N$3:$N$1164)-1)/7)+1 = VALUE($B$11))),
            'ادخال البيانات'!$H$3:$H$1164
         ),
         ""
      ),
      IF(_xlpm.result="", "", _xlpm.result)
   )
)</f>
        <v/>
      </c>
      <c r="I579" s="27" t="str" cm="1">
        <f t="array" ref="I579">IF(
   A579="",
   "",
   _xlfn.LET(
      _xlpm.result,
      IFERROR(
         _xlfn.XLOOKUP(
            1,
            (Table8[رقم الصنف]=A579) *
            (IF($B$9="الكل",1, YEAR('ادخال البيانات'!$N$3:$N$1164)=VALUE($B$9))) *
            (IF($B$10="الكل",1, MONTH('ادخال البيانات'!$N$3:$N$1164)=VALUE($B$10))) *
            (IF($B$11="الكل",1, INT((DAY('ادخال البيانات'!$N$3:$N$1164)-1)/7)+1 = VALUE($B$11))),
            'ادخال البيانات'!$I$3:$I$1164
         ),
         ""
      ),
      IF(_xlpm.result="", "", _xlpm.result)
   )
)</f>
        <v/>
      </c>
      <c r="J579" s="27" t="str" cm="1">
        <f t="array" ref="J579">IF(
   A579="",
   "",
   _xlfn.LET(
      _xlpm.result,
      IFERROR(
         _xlfn.XLOOKUP(
            1,
            (Table8[رقم الصنف]=A579) *
            (IF($B$9="الكل",1, YEAR('ادخال البيانات'!$N$3:$N$1164)=VALUE($B$9))) *
            (IF($B$10="الكل",1, MONTH('ادخال البيانات'!$N$3:$N$1164)=VALUE($B$10))) *
            (IF($B$11="الكل",1, INT((DAY('ادخال البيانات'!$N$3:$N$1164)-1)/7)+1 = VALUE($B$11))),
            'ادخال البيانات'!$J$3:$J$1164
         ),
         ""
      ),
      IF(_xlpm.result="", "", _xlpm.result)
   )
)</f>
        <v/>
      </c>
      <c r="K579" s="27" t="str" cm="1">
        <f t="array" ref="K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79" s="27" t="str" cm="1">
        <f t="array" ref="L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79" s="27" t="str" cm="1">
        <f t="array" ref="M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79" s="28" t="str" cm="1">
        <f t="array" ref="N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79" s="28" t="str" cm="1">
        <f t="array" ref="O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79" s="27" t="str" cm="1">
        <f t="array" ref="P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Table8[جهة العطل]
         ),
         ""
      ),
      IF(_xlpm.result="", "", _xlpm.result)
   )
)</f>
        <v/>
      </c>
      <c r="Q579" s="27" t="str" cm="1">
        <f t="array" ref="Q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Table8[المركز]
         ),
         ""
      ),
      IF(_xlpm.result="", "", _xlpm.result)
   )
)</f>
        <v/>
      </c>
      <c r="R579" s="27" t="str" cm="1">
        <f t="array" ref="R579">IF(
   A579="",
   "",
   _xlfn.LET(
      _xlpm.result,
      IFERROR(
         _xlfn.XLOOKUP(
            1,
            (Table8[رقم الصنف]=A579) *
            (IF($B$9="الكل",1, YEAR('ادخال البيانات'!$N$3:$N$1164) = VALUE($B$9))) *
            (IF($B$10="الكل",1, MONTH('ادخال البيانات'!$N$3:$N$1164) = VALUE($B$10))) *
            (IF($B$11="الكل",1, INT((DAY('ادخال البيانات'!$N$3:$N$1164) - 1) / 7) + 1 = VALUE($B$11))),
            Table8[ملاحظة]
         ),
         ""
      ),
      IF(_xlpm.result="", "", _xlpm.result)
   )
)</f>
        <v/>
      </c>
      <c r="S579" s="46" t="str">
        <f t="shared" ca="1" si="9"/>
        <v/>
      </c>
    </row>
    <row r="580" spans="1:19" ht="27.75" customHeight="1" thickTop="1" thickBot="1" x14ac:dyDescent="0.35">
      <c r="A580" s="39"/>
      <c r="B580" s="27" t="str" cm="1">
        <f t="array" ref="B580">IF(
   OR(A580="", $B$9="", $B$10="", $B$11=""),
   "",
   _xlfn.LET(
      _xlpm.result,
      IFERROR(
         _xlfn.XLOOKUP(
            1,
            (Table8[رقم الصنف]=A580)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0" s="27" t="str" cm="1">
        <f t="array" ref="C580">IF(
   A580="",
   "",
   _xlfn.LET(
      _xlpm.result,
      IFERROR(
         _xlfn.XLOOKUP(
            1,
            (Table8[رقم الصنف]=A580) *
            (IF($B$9="الكل",1, YEAR('ادخال البيانات'!$N$3:$N$1164) = VALUE($B$9))) *
            (IF($B$10="الكل",1, MONTH('ادخال البيانات'!$N$3:$N$1164) = VALUE($B$10))) *
            (IF($B$11="الكل",1, INT((DAY('ادخال البيانات'!$N$3:$N$1164)-1)/7)+1 = VALUE($B$11))),
            'ادخال البيانات'!$C$3:$C$1164
         ),
         ""
      ),
      IF(_xlpm.result="", "", _xlpm.result)
   )
)</f>
        <v/>
      </c>
      <c r="D580" s="27" t="str" cm="1">
        <f t="array" ref="D580">IF(
   OR(A580="", $B$9="", $B$10="", $B$11=""),
   "",
   _xlfn.LET(
      _xlpm.result,
      IFERROR(
         _xlfn.XLOOKUP(
            1,
            (Table8[رقم الصنف]=A580) *
            (IF($B$9="الكل",1, YEAR('ادخال البيانات'!$N$3:$N$1164)=VALUE($B$9))) *
            (IF($B$10="الكل",1, MONTH('ادخال البيانات'!$N$3:$N$1164)=VALUE($B$10))) *
            (IF($B$11="الكل",1, INT((DAY('ادخال البيانات'!$N$3:$N$1164)-1)/7)+1 = VALUE($B$11))),
            'ادخال البيانات'!$D$3:$D$1164
         ),
         ""
      ),
      IF(_xlpm.result="", "", _xlpm.result)
   )
)</f>
        <v/>
      </c>
      <c r="E580" s="27" t="str" cm="1">
        <f t="array" ref="E580">IF(
   A580="",
   "",
   _xlfn.LET(
      _xlpm.result,
      IFERROR(
         _xlfn.XLOOKUP(
            1,
            (Table8[رقم الصنف]=A580) *
            (IF($B$9="الكل",1, YEAR('ادخال البيانات'!$N$3:$N$1164)=VALUE($B$9))) *
            (IF($B$10="الكل",1, MONTH('ادخال البيانات'!$N$3:$N$1164)=VALUE($B$10))) *
            (IF($B$11="الكل",1, INT((DAY('ادخال البيانات'!$N$3:$N$1164)-1)/7)+1 = VALUE($B$11))),
            'ادخال البيانات'!$E$3:$E$1164
         ),
         ""
      ),
      IF(_xlpm.result="", "", _xlpm.result)
   )
)</f>
        <v/>
      </c>
      <c r="F580" s="27" t="str" cm="1">
        <f t="array" ref="F580">IF(
   A580="",
   "",
   _xlfn.LET(
      _xlpm.result,
      IFERROR(
         _xlfn.XLOOKUP(
            1,
            (Table8[رقم الصنف]=A580) *
            (IF($B$9="الكل",1, YEAR('ادخال البيانات'!$N$3:$N$1164) = VALUE($B$9))) *
            (IF($B$10="الكل",1, MONTH('ادخال البيانات'!$N$3:$N$1164) = VALUE($B$10))) *
            (IF($B$11="الكل",1, INT((DAY('ادخال البيانات'!$N$3:$N$1164)-1)/7)+1 = VALUE($B$11))),
            'ادخال البيانات'!$F$3:$F$1164
         ),
         ""
      ),
      IF(_xlpm.result="", "", _xlpm.result)
   )
)</f>
        <v/>
      </c>
      <c r="G580" s="27" t="str" cm="1">
        <f t="array" ref="G580">IF(
   A580="",
   "",
   _xlfn.LET(
      _xlpm.result,
      IFERROR(
         _xlfn.XLOOKUP(
            1,
            (Table8[رقم الصنف]=A580) *
            (IF($B$9="الكل",1, YEAR('ادخال البيانات'!$N$3:$N$1164)=VALUE($B$9))) *
            (IF($B$10="الكل",1, MONTH('ادخال البيانات'!$N$3:$N$1164)=VALUE($B$10))) *
            (IF($B$11="الكل",1, INT((DAY('ادخال البيانات'!$N$3:$N$1164)-1)/7)+1 = VALUE($B$11))),
            'ادخال البيانات'!$G$3:$G$1164
         ),
         ""
      ),
      IF(_xlpm.result="", "", _xlpm.result)
   )
)</f>
        <v/>
      </c>
      <c r="H580" s="27" t="str" cm="1">
        <f t="array" ref="H580">IF(
   A580="",
   "",
   _xlfn.LET(
      _xlpm.result,
      IFERROR(
         _xlfn.XLOOKUP(
            1,
            (Table8[رقم الصنف]=A580) *
            (IF($B$9="الكل",1, YEAR('ادخال البيانات'!$N$3:$N$1164)=VALUE($B$9))) *
            (IF($B$10="الكل",1, MONTH('ادخال البيانات'!$N$3:$N$1164)=VALUE($B$10))) *
            (IF($B$11="الكل",1, INT((DAY('ادخال البيانات'!$N$3:$N$1164)-1)/7)+1 = VALUE($B$11))),
            'ادخال البيانات'!$H$3:$H$1164
         ),
         ""
      ),
      IF(_xlpm.result="", "", _xlpm.result)
   )
)</f>
        <v/>
      </c>
      <c r="I580" s="27" t="str" cm="1">
        <f t="array" ref="I580">IF(
   A580="",
   "",
   _xlfn.LET(
      _xlpm.result,
      IFERROR(
         _xlfn.XLOOKUP(
            1,
            (Table8[رقم الصنف]=A580) *
            (IF($B$9="الكل",1, YEAR('ادخال البيانات'!$N$3:$N$1164)=VALUE($B$9))) *
            (IF($B$10="الكل",1, MONTH('ادخال البيانات'!$N$3:$N$1164)=VALUE($B$10))) *
            (IF($B$11="الكل",1, INT((DAY('ادخال البيانات'!$N$3:$N$1164)-1)/7)+1 = VALUE($B$11))),
            'ادخال البيانات'!$I$3:$I$1164
         ),
         ""
      ),
      IF(_xlpm.result="", "", _xlpm.result)
   )
)</f>
        <v/>
      </c>
      <c r="J580" s="27" t="str" cm="1">
        <f t="array" ref="J580">IF(
   A580="",
   "",
   _xlfn.LET(
      _xlpm.result,
      IFERROR(
         _xlfn.XLOOKUP(
            1,
            (Table8[رقم الصنف]=A580) *
            (IF($B$9="الكل",1, YEAR('ادخال البيانات'!$N$3:$N$1164)=VALUE($B$9))) *
            (IF($B$10="الكل",1, MONTH('ادخال البيانات'!$N$3:$N$1164)=VALUE($B$10))) *
            (IF($B$11="الكل",1, INT((DAY('ادخال البيانات'!$N$3:$N$1164)-1)/7)+1 = VALUE($B$11))),
            'ادخال البيانات'!$J$3:$J$1164
         ),
         ""
      ),
      IF(_xlpm.result="", "", _xlpm.result)
   )
)</f>
        <v/>
      </c>
      <c r="K580" s="27" t="str" cm="1">
        <f t="array" ref="K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0" s="27" t="str" cm="1">
        <f t="array" ref="L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0" s="27" t="str" cm="1">
        <f t="array" ref="M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0" s="28" t="str" cm="1">
        <f t="array" ref="N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0" s="28" t="str" cm="1">
        <f t="array" ref="O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0" s="27" t="str" cm="1">
        <f t="array" ref="P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Table8[جهة العطل]
         ),
         ""
      ),
      IF(_xlpm.result="", "", _xlpm.result)
   )
)</f>
        <v/>
      </c>
      <c r="Q580" s="27" t="str" cm="1">
        <f t="array" ref="Q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Table8[المركز]
         ),
         ""
      ),
      IF(_xlpm.result="", "", _xlpm.result)
   )
)</f>
        <v/>
      </c>
      <c r="R580" s="27" t="str" cm="1">
        <f t="array" ref="R580">IF(
   A580="",
   "",
   _xlfn.LET(
      _xlpm.result,
      IFERROR(
         _xlfn.XLOOKUP(
            1,
            (Table8[رقم الصنف]=A580) *
            (IF($B$9="الكل",1, YEAR('ادخال البيانات'!$N$3:$N$1164) = VALUE($B$9))) *
            (IF($B$10="الكل",1, MONTH('ادخال البيانات'!$N$3:$N$1164) = VALUE($B$10))) *
            (IF($B$11="الكل",1, INT((DAY('ادخال البيانات'!$N$3:$N$1164) - 1) / 7) + 1 = VALUE($B$11))),
            Table8[ملاحظة]
         ),
         ""
      ),
      IF(_xlpm.result="", "", _xlpm.result)
   )
)</f>
        <v/>
      </c>
      <c r="S580" s="46" t="str">
        <f t="shared" ca="1" si="9"/>
        <v/>
      </c>
    </row>
    <row r="581" spans="1:19" ht="27.75" customHeight="1" thickTop="1" thickBot="1" x14ac:dyDescent="0.35">
      <c r="A581" s="39"/>
      <c r="B581" s="27" t="str" cm="1">
        <f t="array" ref="B581">IF(
   OR(A581="", $B$9="", $B$10="", $B$11=""),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1" s="27" t="str" cm="1">
        <f t="array" ref="C581">IF(
   A581="",
   "",
   _xlfn.LET(
      _xlpm.result,
      IFERROR(
         _xlfn.XLOOKUP(
            1,
            (Table8[رقم الصنف]=A581) *
            (IF($B$9="الكل",1, YEAR('ادخال البيانات'!$N$3:$N$1164) = VALUE($B$9))) *
            (IF($B$10="الكل",1, MONTH('ادخال البيانات'!$N$3:$N$1164) = VALUE($B$10))) *
            (IF($B$11="الكل",1, INT((DAY('ادخال البيانات'!$N$3:$N$1164)-1)/7)+1 = VALUE($B$11))),
            'ادخال البيانات'!$C$3:$C$1164
         ),
         ""
      ),
      IF(_xlpm.result="", "", _xlpm.result)
   )
)</f>
        <v/>
      </c>
      <c r="D581" s="27" t="str" cm="1">
        <f t="array" ref="D581">IF(
   OR(A581="", $B$9="", $B$10="", $B$11=""),
   "",
   _xlfn.LET(
      _xlpm.result,
      IFERROR(
         _xlfn.XLOOKUP(
            1,
            (Table8[رقم الصنف]=A581) *
            (IF($B$9="الكل",1, YEAR('ادخال البيانات'!$N$3:$N$1164)=VALUE($B$9))) *
            (IF($B$10="الكل",1, MONTH('ادخال البيانات'!$N$3:$N$1164)=VALUE($B$10))) *
            (IF($B$11="الكل",1, INT((DAY('ادخال البيانات'!$N$3:$N$1164)-1)/7)+1 = VALUE($B$11))),
            'ادخال البيانات'!$D$3:$D$1164
         ),
         ""
      ),
      IF(_xlpm.result="", "", _xlpm.result)
   )
)</f>
        <v/>
      </c>
      <c r="E581" s="27" t="str" cm="1">
        <f t="array" ref="E581">IF(
   A581="",
   "",
   _xlfn.LET(
      _xlpm.result,
      IFERROR(
         _xlfn.XLOOKUP(
            1,
            (Table8[رقم الصنف]=A581) *
            (IF($B$9="الكل",1, YEAR('ادخال البيانات'!$N$3:$N$1164)=VALUE($B$9))) *
            (IF($B$10="الكل",1, MONTH('ادخال البيانات'!$N$3:$N$1164)=VALUE($B$10))) *
            (IF($B$11="الكل",1, INT((DAY('ادخال البيانات'!$N$3:$N$1164)-1)/7)+1 = VALUE($B$11))),
            'ادخال البيانات'!$E$3:$E$1164
         ),
         ""
      ),
      IF(_xlpm.result="", "", _xlpm.result)
   )
)</f>
        <v/>
      </c>
      <c r="F581" s="27" t="str" cm="1">
        <f t="array" ref="F581">IF(
   A581="",
   "",
   _xlfn.LET(
      _xlpm.result,
      IFERROR(
         _xlfn.XLOOKUP(
            1,
            (Table8[رقم الصنف]=A581) *
            (IF($B$9="الكل",1, YEAR('ادخال البيانات'!$N$3:$N$1164) = VALUE($B$9))) *
            (IF($B$10="الكل",1, MONTH('ادخال البيانات'!$N$3:$N$1164) = VALUE($B$10))) *
            (IF($B$11="الكل",1, INT((DAY('ادخال البيانات'!$N$3:$N$1164)-1)/7)+1 = VALUE($B$11))),
            'ادخال البيانات'!$F$3:$F$1164
         ),
         ""
      ),
      IF(_xlpm.result="", "", _xlpm.result)
   )
)</f>
        <v/>
      </c>
      <c r="G581" s="27" t="str" cm="1">
        <f t="array" ref="G581">IF(
   A581="",
   "",
   _xlfn.LET(
      _xlpm.result,
      IFERROR(
         _xlfn.XLOOKUP(
            1,
            (Table8[رقم الصنف]=A581) *
            (IF($B$9="الكل",1, YEAR('ادخال البيانات'!$N$3:$N$1164)=VALUE($B$9))) *
            (IF($B$10="الكل",1, MONTH('ادخال البيانات'!$N$3:$N$1164)=VALUE($B$10))) *
            (IF($B$11="الكل",1, INT((DAY('ادخال البيانات'!$N$3:$N$1164)-1)/7)+1 = VALUE($B$11))),
            'ادخال البيانات'!$G$3:$G$1164
         ),
         ""
      ),
      IF(_xlpm.result="", "", _xlpm.result)
   )
)</f>
        <v/>
      </c>
      <c r="H581" s="27" t="str" cm="1">
        <f t="array" ref="H581">IF(
   A581="",
   "",
   _xlfn.LET(
      _xlpm.result,
      IFERROR(
         _xlfn.XLOOKUP(
            1,
            (Table8[رقم الصنف]=A581) *
            (IF($B$9="الكل",1, YEAR('ادخال البيانات'!$N$3:$N$1164)=VALUE($B$9))) *
            (IF($B$10="الكل",1, MONTH('ادخال البيانات'!$N$3:$N$1164)=VALUE($B$10))) *
            (IF($B$11="الكل",1, INT((DAY('ادخال البيانات'!$N$3:$N$1164)-1)/7)+1 = VALUE($B$11))),
            'ادخال البيانات'!$H$3:$H$1164
         ),
         ""
      ),
      IF(_xlpm.result="", "", _xlpm.result)
   )
)</f>
        <v/>
      </c>
      <c r="I581" s="27" t="str" cm="1">
        <f t="array" ref="I581">IF(
   A581="",
   "",
   _xlfn.LET(
      _xlpm.result,
      IFERROR(
         _xlfn.XLOOKUP(
            1,
            (Table8[رقم الصنف]=A581) *
            (IF($B$9="الكل",1, YEAR('ادخال البيانات'!$N$3:$N$1164)=VALUE($B$9))) *
            (IF($B$10="الكل",1, MONTH('ادخال البيانات'!$N$3:$N$1164)=VALUE($B$10))) *
            (IF($B$11="الكل",1, INT((DAY('ادخال البيانات'!$N$3:$N$1164)-1)/7)+1 = VALUE($B$11))),
            'ادخال البيانات'!$I$3:$I$1164
         ),
         ""
      ),
      IF(_xlpm.result="", "", _xlpm.result)
   )
)</f>
        <v/>
      </c>
      <c r="J581" s="27" t="str" cm="1">
        <f t="array" ref="J581">IF(
   A581="",
   "",
   _xlfn.LET(
      _xlpm.result,
      IFERROR(
         _xlfn.XLOOKUP(
            1,
            (Table8[رقم الصنف]=A581) *
            (IF($B$9="الكل",1, YEAR('ادخال البيانات'!$N$3:$N$1164)=VALUE($B$9))) *
            (IF($B$10="الكل",1, MONTH('ادخال البيانات'!$N$3:$N$1164)=VALUE($B$10))) *
            (IF($B$11="الكل",1, INT((DAY('ادخال البيانات'!$N$3:$N$1164)-1)/7)+1 = VALUE($B$11))),
            'ادخال البيانات'!$J$3:$J$1164
         ),
         ""
      ),
      IF(_xlpm.result="", "", _xlpm.result)
   )
)</f>
        <v/>
      </c>
      <c r="K581" s="27" t="str" cm="1">
        <f t="array" ref="K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1" s="27" t="str" cm="1">
        <f t="array" ref="L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1" s="27" t="str" cm="1">
        <f t="array" ref="M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1" s="28" t="str" cm="1">
        <f t="array" ref="N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1" s="28" t="str" cm="1">
        <f t="array" ref="O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1" s="27" t="str" cm="1">
        <f t="array" ref="P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Table8[جهة العطل]
         ),
         ""
      ),
      IF(_xlpm.result="", "", _xlpm.result)
   )
)</f>
        <v/>
      </c>
      <c r="Q581" s="27" t="str" cm="1">
        <f t="array" ref="Q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Table8[المركز]
         ),
         ""
      ),
      IF(_xlpm.result="", "", _xlpm.result)
   )
)</f>
        <v/>
      </c>
      <c r="R581" s="27" t="str" cm="1">
        <f t="array" ref="R581">IF(
   A581="",
   "",
   _xlfn.LET(
      _xlpm.result,
      IFERROR(
         _xlfn.XLOOKUP(
            1,
            (Table8[رقم الصنف]=A581) *
            (IF($B$9="الكل",1, YEAR('ادخال البيانات'!$N$3:$N$1164) = VALUE($B$9))) *
            (IF($B$10="الكل",1, MONTH('ادخال البيانات'!$N$3:$N$1164) = VALUE($B$10))) *
            (IF($B$11="الكل",1, INT((DAY('ادخال البيانات'!$N$3:$N$1164) - 1) / 7) + 1 = VALUE($B$11))),
            Table8[ملاحظة]
         ),
         ""
      ),
      IF(_xlpm.result="", "", _xlpm.result)
   )
)</f>
        <v/>
      </c>
      <c r="S581" s="46" t="str">
        <f t="shared" ca="1" si="9"/>
        <v/>
      </c>
    </row>
    <row r="582" spans="1:19" ht="27.75" customHeight="1" thickTop="1" thickBot="1" x14ac:dyDescent="0.35">
      <c r="A582" s="39"/>
      <c r="B582" s="27" t="str" cm="1">
        <f t="array" ref="B582">IF(
   OR(A582="", $B$9="", $B$10="", $B$11=""),
   "",
   _xlfn.LET(
      _xlpm.result,
      IFERROR(
         _xlfn.XLOOKUP(
            1,
            (Table8[رقم الصنف]=A582)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2" s="27" t="str" cm="1">
        <f t="array" ref="C582">IF(
   A582="",
   "",
   _xlfn.LET(
      _xlpm.result,
      IFERROR(
         _xlfn.XLOOKUP(
            1,
            (Table8[رقم الصنف]=A582) *
            (IF($B$9="الكل",1, YEAR('ادخال البيانات'!$N$3:$N$1164) = VALUE($B$9))) *
            (IF($B$10="الكل",1, MONTH('ادخال البيانات'!$N$3:$N$1164) = VALUE($B$10))) *
            (IF($B$11="الكل",1, INT((DAY('ادخال البيانات'!$N$3:$N$1164)-1)/7)+1 = VALUE($B$11))),
            'ادخال البيانات'!$C$3:$C$1164
         ),
         ""
      ),
      IF(_xlpm.result="", "", _xlpm.result)
   )
)</f>
        <v/>
      </c>
      <c r="D582" s="27" t="str" cm="1">
        <f t="array" ref="D582">IF(
   OR(A582="", $B$9="", $B$10="", $B$11=""),
   "",
   _xlfn.LET(
      _xlpm.result,
      IFERROR(
         _xlfn.XLOOKUP(
            1,
            (Table8[رقم الصنف]=A582) *
            (IF($B$9="الكل",1, YEAR('ادخال البيانات'!$N$3:$N$1164)=VALUE($B$9))) *
            (IF($B$10="الكل",1, MONTH('ادخال البيانات'!$N$3:$N$1164)=VALUE($B$10))) *
            (IF($B$11="الكل",1, INT((DAY('ادخال البيانات'!$N$3:$N$1164)-1)/7)+1 = VALUE($B$11))),
            'ادخال البيانات'!$D$3:$D$1164
         ),
         ""
      ),
      IF(_xlpm.result="", "", _xlpm.result)
   )
)</f>
        <v/>
      </c>
      <c r="E582" s="27" t="str" cm="1">
        <f t="array" ref="E582">IF(
   A582="",
   "",
   _xlfn.LET(
      _xlpm.result,
      IFERROR(
         _xlfn.XLOOKUP(
            1,
            (Table8[رقم الصنف]=A582) *
            (IF($B$9="الكل",1, YEAR('ادخال البيانات'!$N$3:$N$1164)=VALUE($B$9))) *
            (IF($B$10="الكل",1, MONTH('ادخال البيانات'!$N$3:$N$1164)=VALUE($B$10))) *
            (IF($B$11="الكل",1, INT((DAY('ادخال البيانات'!$N$3:$N$1164)-1)/7)+1 = VALUE($B$11))),
            'ادخال البيانات'!$E$3:$E$1164
         ),
         ""
      ),
      IF(_xlpm.result="", "", _xlpm.result)
   )
)</f>
        <v/>
      </c>
      <c r="F582" s="27" t="str" cm="1">
        <f t="array" ref="F582">IF(
   A582="",
   "",
   _xlfn.LET(
      _xlpm.result,
      IFERROR(
         _xlfn.XLOOKUP(
            1,
            (Table8[رقم الصنف]=A582) *
            (IF($B$9="الكل",1, YEAR('ادخال البيانات'!$N$3:$N$1164) = VALUE($B$9))) *
            (IF($B$10="الكل",1, MONTH('ادخال البيانات'!$N$3:$N$1164) = VALUE($B$10))) *
            (IF($B$11="الكل",1, INT((DAY('ادخال البيانات'!$N$3:$N$1164)-1)/7)+1 = VALUE($B$11))),
            'ادخال البيانات'!$F$3:$F$1164
         ),
         ""
      ),
      IF(_xlpm.result="", "", _xlpm.result)
   )
)</f>
        <v/>
      </c>
      <c r="G582" s="27" t="str" cm="1">
        <f t="array" ref="G582">IF(
   A582="",
   "",
   _xlfn.LET(
      _xlpm.result,
      IFERROR(
         _xlfn.XLOOKUP(
            1,
            (Table8[رقم الصنف]=A582) *
            (IF($B$9="الكل",1, YEAR('ادخال البيانات'!$N$3:$N$1164)=VALUE($B$9))) *
            (IF($B$10="الكل",1, MONTH('ادخال البيانات'!$N$3:$N$1164)=VALUE($B$10))) *
            (IF($B$11="الكل",1, INT((DAY('ادخال البيانات'!$N$3:$N$1164)-1)/7)+1 = VALUE($B$11))),
            'ادخال البيانات'!$G$3:$G$1164
         ),
         ""
      ),
      IF(_xlpm.result="", "", _xlpm.result)
   )
)</f>
        <v/>
      </c>
      <c r="H582" s="27" t="str" cm="1">
        <f t="array" ref="H582">IF(
   A582="",
   "",
   _xlfn.LET(
      _xlpm.result,
      IFERROR(
         _xlfn.XLOOKUP(
            1,
            (Table8[رقم الصنف]=A582) *
            (IF($B$9="الكل",1, YEAR('ادخال البيانات'!$N$3:$N$1164)=VALUE($B$9))) *
            (IF($B$10="الكل",1, MONTH('ادخال البيانات'!$N$3:$N$1164)=VALUE($B$10))) *
            (IF($B$11="الكل",1, INT((DAY('ادخال البيانات'!$N$3:$N$1164)-1)/7)+1 = VALUE($B$11))),
            'ادخال البيانات'!$H$3:$H$1164
         ),
         ""
      ),
      IF(_xlpm.result="", "", _xlpm.result)
   )
)</f>
        <v/>
      </c>
      <c r="I582" s="27" t="str" cm="1">
        <f t="array" ref="I582">IF(
   A582="",
   "",
   _xlfn.LET(
      _xlpm.result,
      IFERROR(
         _xlfn.XLOOKUP(
            1,
            (Table8[رقم الصنف]=A582) *
            (IF($B$9="الكل",1, YEAR('ادخال البيانات'!$N$3:$N$1164)=VALUE($B$9))) *
            (IF($B$10="الكل",1, MONTH('ادخال البيانات'!$N$3:$N$1164)=VALUE($B$10))) *
            (IF($B$11="الكل",1, INT((DAY('ادخال البيانات'!$N$3:$N$1164)-1)/7)+1 = VALUE($B$11))),
            'ادخال البيانات'!$I$3:$I$1164
         ),
         ""
      ),
      IF(_xlpm.result="", "", _xlpm.result)
   )
)</f>
        <v/>
      </c>
      <c r="J582" s="27" t="str" cm="1">
        <f t="array" ref="J582">IF(
   A582="",
   "",
   _xlfn.LET(
      _xlpm.result,
      IFERROR(
         _xlfn.XLOOKUP(
            1,
            (Table8[رقم الصنف]=A582) *
            (IF($B$9="الكل",1, YEAR('ادخال البيانات'!$N$3:$N$1164)=VALUE($B$9))) *
            (IF($B$10="الكل",1, MONTH('ادخال البيانات'!$N$3:$N$1164)=VALUE($B$10))) *
            (IF($B$11="الكل",1, INT((DAY('ادخال البيانات'!$N$3:$N$1164)-1)/7)+1 = VALUE($B$11))),
            'ادخال البيانات'!$J$3:$J$1164
         ),
         ""
      ),
      IF(_xlpm.result="", "", _xlpm.result)
   )
)</f>
        <v/>
      </c>
      <c r="K582" s="27" t="str" cm="1">
        <f t="array" ref="K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2" s="27" t="str" cm="1">
        <f t="array" ref="L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2" s="27" t="str" cm="1">
        <f t="array" ref="M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2" s="28" t="str" cm="1">
        <f t="array" ref="N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2" s="28" t="str" cm="1">
        <f t="array" ref="O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2" s="27" t="str" cm="1">
        <f t="array" ref="P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Table8[جهة العطل]
         ),
         ""
      ),
      IF(_xlpm.result="", "", _xlpm.result)
   )
)</f>
        <v/>
      </c>
      <c r="Q582" s="27" t="str" cm="1">
        <f t="array" ref="Q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Table8[المركز]
         ),
         ""
      ),
      IF(_xlpm.result="", "", _xlpm.result)
   )
)</f>
        <v/>
      </c>
      <c r="R582" s="27" t="str" cm="1">
        <f t="array" ref="R582">IF(
   A582="",
   "",
   _xlfn.LET(
      _xlpm.result,
      IFERROR(
         _xlfn.XLOOKUP(
            1,
            (Table8[رقم الصنف]=A582) *
            (IF($B$9="الكل",1, YEAR('ادخال البيانات'!$N$3:$N$1164) = VALUE($B$9))) *
            (IF($B$10="الكل",1, MONTH('ادخال البيانات'!$N$3:$N$1164) = VALUE($B$10))) *
            (IF($B$11="الكل",1, INT((DAY('ادخال البيانات'!$N$3:$N$1164) - 1) / 7) + 1 = VALUE($B$11))),
            Table8[ملاحظة]
         ),
         ""
      ),
      IF(_xlpm.result="", "", _xlpm.result)
   )
)</f>
        <v/>
      </c>
      <c r="S582" s="46" t="str">
        <f t="shared" ca="1" si="9"/>
        <v/>
      </c>
    </row>
    <row r="583" spans="1:19" ht="27.75" customHeight="1" thickTop="1" thickBot="1" x14ac:dyDescent="0.35">
      <c r="A583" s="39"/>
      <c r="B583" s="27" t="str" cm="1">
        <f t="array" ref="B583">IF(
   OR(A583="", $B$9="", $B$10="", $B$11=""),
   "",
   _xlfn.LET(
      _xlpm.result,
      IFERROR(
         _xlfn.XLOOKUP(
            1,
            (Table8[رقم الصنف]=A583)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3" s="27" t="str" cm="1">
        <f t="array" ref="C583">IF(
   A583="",
   "",
   _xlfn.LET(
      _xlpm.result,
      IFERROR(
         _xlfn.XLOOKUP(
            1,
            (Table8[رقم الصنف]=A583) *
            (IF($B$9="الكل",1, YEAR('ادخال البيانات'!$N$3:$N$1164) = VALUE($B$9))) *
            (IF($B$10="الكل",1, MONTH('ادخال البيانات'!$N$3:$N$1164) = VALUE($B$10))) *
            (IF($B$11="الكل",1, INT((DAY('ادخال البيانات'!$N$3:$N$1164)-1)/7)+1 = VALUE($B$11))),
            'ادخال البيانات'!$C$3:$C$1164
         ),
         ""
      ),
      IF(_xlpm.result="", "", _xlpm.result)
   )
)</f>
        <v/>
      </c>
      <c r="D583" s="27" t="str" cm="1">
        <f t="array" ref="D583">IF(
   OR(A583="", $B$9="", $B$10="", $B$11=""),
   "",
   _xlfn.LET(
      _xlpm.result,
      IFERROR(
         _xlfn.XLOOKUP(
            1,
            (Table8[رقم الصنف]=A583) *
            (IF($B$9="الكل",1, YEAR('ادخال البيانات'!$N$3:$N$1164)=VALUE($B$9))) *
            (IF($B$10="الكل",1, MONTH('ادخال البيانات'!$N$3:$N$1164)=VALUE($B$10))) *
            (IF($B$11="الكل",1, INT((DAY('ادخال البيانات'!$N$3:$N$1164)-1)/7)+1 = VALUE($B$11))),
            'ادخال البيانات'!$D$3:$D$1164
         ),
         ""
      ),
      IF(_xlpm.result="", "", _xlpm.result)
   )
)</f>
        <v/>
      </c>
      <c r="E583" s="27" t="str" cm="1">
        <f t="array" ref="E583">IF(
   A583="",
   "",
   _xlfn.LET(
      _xlpm.result,
      IFERROR(
         _xlfn.XLOOKUP(
            1,
            (Table8[رقم الصنف]=A583) *
            (IF($B$9="الكل",1, YEAR('ادخال البيانات'!$N$3:$N$1164)=VALUE($B$9))) *
            (IF($B$10="الكل",1, MONTH('ادخال البيانات'!$N$3:$N$1164)=VALUE($B$10))) *
            (IF($B$11="الكل",1, INT((DAY('ادخال البيانات'!$N$3:$N$1164)-1)/7)+1 = VALUE($B$11))),
            'ادخال البيانات'!$E$3:$E$1164
         ),
         ""
      ),
      IF(_xlpm.result="", "", _xlpm.result)
   )
)</f>
        <v/>
      </c>
      <c r="F583" s="27" t="str" cm="1">
        <f t="array" ref="F583">IF(
   A583="",
   "",
   _xlfn.LET(
      _xlpm.result,
      IFERROR(
         _xlfn.XLOOKUP(
            1,
            (Table8[رقم الصنف]=A583) *
            (IF($B$9="الكل",1, YEAR('ادخال البيانات'!$N$3:$N$1164) = VALUE($B$9))) *
            (IF($B$10="الكل",1, MONTH('ادخال البيانات'!$N$3:$N$1164) = VALUE($B$10))) *
            (IF($B$11="الكل",1, INT((DAY('ادخال البيانات'!$N$3:$N$1164)-1)/7)+1 = VALUE($B$11))),
            'ادخال البيانات'!$F$3:$F$1164
         ),
         ""
      ),
      IF(_xlpm.result="", "", _xlpm.result)
   )
)</f>
        <v/>
      </c>
      <c r="G583" s="27" t="str" cm="1">
        <f t="array" ref="G583">IF(
   A583="",
   "",
   _xlfn.LET(
      _xlpm.result,
      IFERROR(
         _xlfn.XLOOKUP(
            1,
            (Table8[رقم الصنف]=A583) *
            (IF($B$9="الكل",1, YEAR('ادخال البيانات'!$N$3:$N$1164)=VALUE($B$9))) *
            (IF($B$10="الكل",1, MONTH('ادخال البيانات'!$N$3:$N$1164)=VALUE($B$10))) *
            (IF($B$11="الكل",1, INT((DAY('ادخال البيانات'!$N$3:$N$1164)-1)/7)+1 = VALUE($B$11))),
            'ادخال البيانات'!$G$3:$G$1164
         ),
         ""
      ),
      IF(_xlpm.result="", "", _xlpm.result)
   )
)</f>
        <v/>
      </c>
      <c r="H583" s="27" t="str" cm="1">
        <f t="array" ref="H583">IF(
   A583="",
   "",
   _xlfn.LET(
      _xlpm.result,
      IFERROR(
         _xlfn.XLOOKUP(
            1,
            (Table8[رقم الصنف]=A583) *
            (IF($B$9="الكل",1, YEAR('ادخال البيانات'!$N$3:$N$1164)=VALUE($B$9))) *
            (IF($B$10="الكل",1, MONTH('ادخال البيانات'!$N$3:$N$1164)=VALUE($B$10))) *
            (IF($B$11="الكل",1, INT((DAY('ادخال البيانات'!$N$3:$N$1164)-1)/7)+1 = VALUE($B$11))),
            'ادخال البيانات'!$H$3:$H$1164
         ),
         ""
      ),
      IF(_xlpm.result="", "", _xlpm.result)
   )
)</f>
        <v/>
      </c>
      <c r="I583" s="27" t="str" cm="1">
        <f t="array" ref="I583">IF(
   A583="",
   "",
   _xlfn.LET(
      _xlpm.result,
      IFERROR(
         _xlfn.XLOOKUP(
            1,
            (Table8[رقم الصنف]=A583) *
            (IF($B$9="الكل",1, YEAR('ادخال البيانات'!$N$3:$N$1164)=VALUE($B$9))) *
            (IF($B$10="الكل",1, MONTH('ادخال البيانات'!$N$3:$N$1164)=VALUE($B$10))) *
            (IF($B$11="الكل",1, INT((DAY('ادخال البيانات'!$N$3:$N$1164)-1)/7)+1 = VALUE($B$11))),
            'ادخال البيانات'!$I$3:$I$1164
         ),
         ""
      ),
      IF(_xlpm.result="", "", _xlpm.result)
   )
)</f>
        <v/>
      </c>
      <c r="J583" s="27" t="str" cm="1">
        <f t="array" ref="J583">IF(
   A583="",
   "",
   _xlfn.LET(
      _xlpm.result,
      IFERROR(
         _xlfn.XLOOKUP(
            1,
            (Table8[رقم الصنف]=A583) *
            (IF($B$9="الكل",1, YEAR('ادخال البيانات'!$N$3:$N$1164)=VALUE($B$9))) *
            (IF($B$10="الكل",1, MONTH('ادخال البيانات'!$N$3:$N$1164)=VALUE($B$10))) *
            (IF($B$11="الكل",1, INT((DAY('ادخال البيانات'!$N$3:$N$1164)-1)/7)+1 = VALUE($B$11))),
            'ادخال البيانات'!$J$3:$J$1164
         ),
         ""
      ),
      IF(_xlpm.result="", "", _xlpm.result)
   )
)</f>
        <v/>
      </c>
      <c r="K583" s="27" t="str" cm="1">
        <f t="array" ref="K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3" s="27" t="str" cm="1">
        <f t="array" ref="L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3" s="27" t="str" cm="1">
        <f t="array" ref="M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3" s="28" t="str" cm="1">
        <f t="array" ref="N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3" s="28" t="str" cm="1">
        <f t="array" ref="O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3" s="27" t="str" cm="1">
        <f t="array" ref="P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Table8[جهة العطل]
         ),
         ""
      ),
      IF(_xlpm.result="", "", _xlpm.result)
   )
)</f>
        <v/>
      </c>
      <c r="Q583" s="27" t="str" cm="1">
        <f t="array" ref="Q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Table8[المركز]
         ),
         ""
      ),
      IF(_xlpm.result="", "", _xlpm.result)
   )
)</f>
        <v/>
      </c>
      <c r="R583" s="27" t="str" cm="1">
        <f t="array" ref="R583">IF(
   A583="",
   "",
   _xlfn.LET(
      _xlpm.result,
      IFERROR(
         _xlfn.XLOOKUP(
            1,
            (Table8[رقم الصنف]=A583) *
            (IF($B$9="الكل",1, YEAR('ادخال البيانات'!$N$3:$N$1164) = VALUE($B$9))) *
            (IF($B$10="الكل",1, MONTH('ادخال البيانات'!$N$3:$N$1164) = VALUE($B$10))) *
            (IF($B$11="الكل",1, INT((DAY('ادخال البيانات'!$N$3:$N$1164) - 1) / 7) + 1 = VALUE($B$11))),
            Table8[ملاحظة]
         ),
         ""
      ),
      IF(_xlpm.result="", "", _xlpm.result)
   )
)</f>
        <v/>
      </c>
      <c r="S583" s="46" t="str">
        <f t="shared" ca="1" si="9"/>
        <v/>
      </c>
    </row>
    <row r="584" spans="1:19" ht="27.75" customHeight="1" thickTop="1" thickBot="1" x14ac:dyDescent="0.35">
      <c r="A584" s="39"/>
      <c r="B584" s="27" t="str" cm="1">
        <f t="array" ref="B584">IF(
   OR(A584="", $B$9="", $B$10="", $B$11=""),
   "",
   _xlfn.LET(
      _xlpm.result,
      IFERROR(
         _xlfn.XLOOKUP(
            1,
            (Table8[رقم الصنف]=A584)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4" s="27" t="str" cm="1">
        <f t="array" ref="C584">IF(
   A584="",
   "",
   _xlfn.LET(
      _xlpm.result,
      IFERROR(
         _xlfn.XLOOKUP(
            1,
            (Table8[رقم الصنف]=A584) *
            (IF($B$9="الكل",1, YEAR('ادخال البيانات'!$N$3:$N$1164) = VALUE($B$9))) *
            (IF($B$10="الكل",1, MONTH('ادخال البيانات'!$N$3:$N$1164) = VALUE($B$10))) *
            (IF($B$11="الكل",1, INT((DAY('ادخال البيانات'!$N$3:$N$1164)-1)/7)+1 = VALUE($B$11))),
            'ادخال البيانات'!$C$3:$C$1164
         ),
         ""
      ),
      IF(_xlpm.result="", "", _xlpm.result)
   )
)</f>
        <v/>
      </c>
      <c r="D584" s="27" t="str" cm="1">
        <f t="array" ref="D584">IF(
   OR(A584="", $B$9="", $B$10="", $B$11=""),
   "",
   _xlfn.LET(
      _xlpm.result,
      IFERROR(
         _xlfn.XLOOKUP(
            1,
            (Table8[رقم الصنف]=A584) *
            (IF($B$9="الكل",1, YEAR('ادخال البيانات'!$N$3:$N$1164)=VALUE($B$9))) *
            (IF($B$10="الكل",1, MONTH('ادخال البيانات'!$N$3:$N$1164)=VALUE($B$10))) *
            (IF($B$11="الكل",1, INT((DAY('ادخال البيانات'!$N$3:$N$1164)-1)/7)+1 = VALUE($B$11))),
            'ادخال البيانات'!$D$3:$D$1164
         ),
         ""
      ),
      IF(_xlpm.result="", "", _xlpm.result)
   )
)</f>
        <v/>
      </c>
      <c r="E584" s="27" t="str" cm="1">
        <f t="array" ref="E584">IF(
   A584="",
   "",
   _xlfn.LET(
      _xlpm.result,
      IFERROR(
         _xlfn.XLOOKUP(
            1,
            (Table8[رقم الصنف]=A584) *
            (IF($B$9="الكل",1, YEAR('ادخال البيانات'!$N$3:$N$1164)=VALUE($B$9))) *
            (IF($B$10="الكل",1, MONTH('ادخال البيانات'!$N$3:$N$1164)=VALUE($B$10))) *
            (IF($B$11="الكل",1, INT((DAY('ادخال البيانات'!$N$3:$N$1164)-1)/7)+1 = VALUE($B$11))),
            'ادخال البيانات'!$E$3:$E$1164
         ),
         ""
      ),
      IF(_xlpm.result="", "", _xlpm.result)
   )
)</f>
        <v/>
      </c>
      <c r="F584" s="27" t="str" cm="1">
        <f t="array" ref="F584">IF(
   A584="",
   "",
   _xlfn.LET(
      _xlpm.result,
      IFERROR(
         _xlfn.XLOOKUP(
            1,
            (Table8[رقم الصنف]=A584) *
            (IF($B$9="الكل",1, YEAR('ادخال البيانات'!$N$3:$N$1164) = VALUE($B$9))) *
            (IF($B$10="الكل",1, MONTH('ادخال البيانات'!$N$3:$N$1164) = VALUE($B$10))) *
            (IF($B$11="الكل",1, INT((DAY('ادخال البيانات'!$N$3:$N$1164)-1)/7)+1 = VALUE($B$11))),
            'ادخال البيانات'!$F$3:$F$1164
         ),
         ""
      ),
      IF(_xlpm.result="", "", _xlpm.result)
   )
)</f>
        <v/>
      </c>
      <c r="G584" s="27" t="str" cm="1">
        <f t="array" ref="G584">IF(
   A584="",
   "",
   _xlfn.LET(
      _xlpm.result,
      IFERROR(
         _xlfn.XLOOKUP(
            1,
            (Table8[رقم الصنف]=A584) *
            (IF($B$9="الكل",1, YEAR('ادخال البيانات'!$N$3:$N$1164)=VALUE($B$9))) *
            (IF($B$10="الكل",1, MONTH('ادخال البيانات'!$N$3:$N$1164)=VALUE($B$10))) *
            (IF($B$11="الكل",1, INT((DAY('ادخال البيانات'!$N$3:$N$1164)-1)/7)+1 = VALUE($B$11))),
            'ادخال البيانات'!$G$3:$G$1164
         ),
         ""
      ),
      IF(_xlpm.result="", "", _xlpm.result)
   )
)</f>
        <v/>
      </c>
      <c r="H584" s="27" t="str" cm="1">
        <f t="array" ref="H584">IF(
   A584="",
   "",
   _xlfn.LET(
      _xlpm.result,
      IFERROR(
         _xlfn.XLOOKUP(
            1,
            (Table8[رقم الصنف]=A584) *
            (IF($B$9="الكل",1, YEAR('ادخال البيانات'!$N$3:$N$1164)=VALUE($B$9))) *
            (IF($B$10="الكل",1, MONTH('ادخال البيانات'!$N$3:$N$1164)=VALUE($B$10))) *
            (IF($B$11="الكل",1, INT((DAY('ادخال البيانات'!$N$3:$N$1164)-1)/7)+1 = VALUE($B$11))),
            'ادخال البيانات'!$H$3:$H$1164
         ),
         ""
      ),
      IF(_xlpm.result="", "", _xlpm.result)
   )
)</f>
        <v/>
      </c>
      <c r="I584" s="27" t="str" cm="1">
        <f t="array" ref="I584">IF(
   A584="",
   "",
   _xlfn.LET(
      _xlpm.result,
      IFERROR(
         _xlfn.XLOOKUP(
            1,
            (Table8[رقم الصنف]=A584) *
            (IF($B$9="الكل",1, YEAR('ادخال البيانات'!$N$3:$N$1164)=VALUE($B$9))) *
            (IF($B$10="الكل",1, MONTH('ادخال البيانات'!$N$3:$N$1164)=VALUE($B$10))) *
            (IF($B$11="الكل",1, INT((DAY('ادخال البيانات'!$N$3:$N$1164)-1)/7)+1 = VALUE($B$11))),
            'ادخال البيانات'!$I$3:$I$1164
         ),
         ""
      ),
      IF(_xlpm.result="", "", _xlpm.result)
   )
)</f>
        <v/>
      </c>
      <c r="J584" s="27" t="str" cm="1">
        <f t="array" ref="J584">IF(
   A584="",
   "",
   _xlfn.LET(
      _xlpm.result,
      IFERROR(
         _xlfn.XLOOKUP(
            1,
            (Table8[رقم الصنف]=A584) *
            (IF($B$9="الكل",1, YEAR('ادخال البيانات'!$N$3:$N$1164)=VALUE($B$9))) *
            (IF($B$10="الكل",1, MONTH('ادخال البيانات'!$N$3:$N$1164)=VALUE($B$10))) *
            (IF($B$11="الكل",1, INT((DAY('ادخال البيانات'!$N$3:$N$1164)-1)/7)+1 = VALUE($B$11))),
            'ادخال البيانات'!$J$3:$J$1164
         ),
         ""
      ),
      IF(_xlpm.result="", "", _xlpm.result)
   )
)</f>
        <v/>
      </c>
      <c r="K584" s="27" t="str" cm="1">
        <f t="array" ref="K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4" s="27" t="str" cm="1">
        <f t="array" ref="L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4" s="27" t="str" cm="1">
        <f t="array" ref="M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4" s="28" t="str" cm="1">
        <f t="array" ref="N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4" s="28" t="str" cm="1">
        <f t="array" ref="O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4" s="27" t="str" cm="1">
        <f t="array" ref="P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Table8[جهة العطل]
         ),
         ""
      ),
      IF(_xlpm.result="", "", _xlpm.result)
   )
)</f>
        <v/>
      </c>
      <c r="Q584" s="27" t="str" cm="1">
        <f t="array" ref="Q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Table8[المركز]
         ),
         ""
      ),
      IF(_xlpm.result="", "", _xlpm.result)
   )
)</f>
        <v/>
      </c>
      <c r="R584" s="27" t="str" cm="1">
        <f t="array" ref="R584">IF(
   A584="",
   "",
   _xlfn.LET(
      _xlpm.result,
      IFERROR(
         _xlfn.XLOOKUP(
            1,
            (Table8[رقم الصنف]=A584) *
            (IF($B$9="الكل",1, YEAR('ادخال البيانات'!$N$3:$N$1164) = VALUE($B$9))) *
            (IF($B$10="الكل",1, MONTH('ادخال البيانات'!$N$3:$N$1164) = VALUE($B$10))) *
            (IF($B$11="الكل",1, INT((DAY('ادخال البيانات'!$N$3:$N$1164) - 1) / 7) + 1 = VALUE($B$11))),
            Table8[ملاحظة]
         ),
         ""
      ),
      IF(_xlpm.result="", "", _xlpm.result)
   )
)</f>
        <v/>
      </c>
      <c r="S584" s="46" t="str">
        <f t="shared" ca="1" si="9"/>
        <v/>
      </c>
    </row>
    <row r="585" spans="1:19" ht="27.75" customHeight="1" thickTop="1" thickBot="1" x14ac:dyDescent="0.35">
      <c r="A585" s="39"/>
      <c r="B585" s="27" t="str" cm="1">
        <f t="array" ref="B585">IF(
   OR(A585="", $B$9="", $B$10="", $B$11=""),
   "",
   _xlfn.LET(
      _xlpm.result,
      IFERROR(
         _xlfn.XLOOKUP(
            1,
            (Table8[رقم الصنف]=A585)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5" s="27" t="str" cm="1">
        <f t="array" ref="C585">IF(
   A585="",
   "",
   _xlfn.LET(
      _xlpm.result,
      IFERROR(
         _xlfn.XLOOKUP(
            1,
            (Table8[رقم الصنف]=A585) *
            (IF($B$9="الكل",1, YEAR('ادخال البيانات'!$N$3:$N$1164) = VALUE($B$9))) *
            (IF($B$10="الكل",1, MONTH('ادخال البيانات'!$N$3:$N$1164) = VALUE($B$10))) *
            (IF($B$11="الكل",1, INT((DAY('ادخال البيانات'!$N$3:$N$1164)-1)/7)+1 = VALUE($B$11))),
            'ادخال البيانات'!$C$3:$C$1164
         ),
         ""
      ),
      IF(_xlpm.result="", "", _xlpm.result)
   )
)</f>
        <v/>
      </c>
      <c r="D585" s="27" t="str" cm="1">
        <f t="array" ref="D585">IF(
   OR(A585="", $B$9="", $B$10="", $B$11=""),
   "",
   _xlfn.LET(
      _xlpm.result,
      IFERROR(
         _xlfn.XLOOKUP(
            1,
            (Table8[رقم الصنف]=A585) *
            (IF($B$9="الكل",1, YEAR('ادخال البيانات'!$N$3:$N$1164)=VALUE($B$9))) *
            (IF($B$10="الكل",1, MONTH('ادخال البيانات'!$N$3:$N$1164)=VALUE($B$10))) *
            (IF($B$11="الكل",1, INT((DAY('ادخال البيانات'!$N$3:$N$1164)-1)/7)+1 = VALUE($B$11))),
            'ادخال البيانات'!$D$3:$D$1164
         ),
         ""
      ),
      IF(_xlpm.result="", "", _xlpm.result)
   )
)</f>
        <v/>
      </c>
      <c r="E585" s="27" t="str" cm="1">
        <f t="array" ref="E585">IF(
   A585="",
   "",
   _xlfn.LET(
      _xlpm.result,
      IFERROR(
         _xlfn.XLOOKUP(
            1,
            (Table8[رقم الصنف]=A585) *
            (IF($B$9="الكل",1, YEAR('ادخال البيانات'!$N$3:$N$1164)=VALUE($B$9))) *
            (IF($B$10="الكل",1, MONTH('ادخال البيانات'!$N$3:$N$1164)=VALUE($B$10))) *
            (IF($B$11="الكل",1, INT((DAY('ادخال البيانات'!$N$3:$N$1164)-1)/7)+1 = VALUE($B$11))),
            'ادخال البيانات'!$E$3:$E$1164
         ),
         ""
      ),
      IF(_xlpm.result="", "", _xlpm.result)
   )
)</f>
        <v/>
      </c>
      <c r="F585" s="27" t="str" cm="1">
        <f t="array" ref="F585">IF(
   A585="",
   "",
   _xlfn.LET(
      _xlpm.result,
      IFERROR(
         _xlfn.XLOOKUP(
            1,
            (Table8[رقم الصنف]=A585) *
            (IF($B$9="الكل",1, YEAR('ادخال البيانات'!$N$3:$N$1164) = VALUE($B$9))) *
            (IF($B$10="الكل",1, MONTH('ادخال البيانات'!$N$3:$N$1164) = VALUE($B$10))) *
            (IF($B$11="الكل",1, INT((DAY('ادخال البيانات'!$N$3:$N$1164)-1)/7)+1 = VALUE($B$11))),
            'ادخال البيانات'!$F$3:$F$1164
         ),
         ""
      ),
      IF(_xlpm.result="", "", _xlpm.result)
   )
)</f>
        <v/>
      </c>
      <c r="G585" s="27" t="str" cm="1">
        <f t="array" ref="G585">IF(
   A585="",
   "",
   _xlfn.LET(
      _xlpm.result,
      IFERROR(
         _xlfn.XLOOKUP(
            1,
            (Table8[رقم الصنف]=A585) *
            (IF($B$9="الكل",1, YEAR('ادخال البيانات'!$N$3:$N$1164)=VALUE($B$9))) *
            (IF($B$10="الكل",1, MONTH('ادخال البيانات'!$N$3:$N$1164)=VALUE($B$10))) *
            (IF($B$11="الكل",1, INT((DAY('ادخال البيانات'!$N$3:$N$1164)-1)/7)+1 = VALUE($B$11))),
            'ادخال البيانات'!$G$3:$G$1164
         ),
         ""
      ),
      IF(_xlpm.result="", "", _xlpm.result)
   )
)</f>
        <v/>
      </c>
      <c r="H585" s="27" t="str" cm="1">
        <f t="array" ref="H585">IF(
   A585="",
   "",
   _xlfn.LET(
      _xlpm.result,
      IFERROR(
         _xlfn.XLOOKUP(
            1,
            (Table8[رقم الصنف]=A585) *
            (IF($B$9="الكل",1, YEAR('ادخال البيانات'!$N$3:$N$1164)=VALUE($B$9))) *
            (IF($B$10="الكل",1, MONTH('ادخال البيانات'!$N$3:$N$1164)=VALUE($B$10))) *
            (IF($B$11="الكل",1, INT((DAY('ادخال البيانات'!$N$3:$N$1164)-1)/7)+1 = VALUE($B$11))),
            'ادخال البيانات'!$H$3:$H$1164
         ),
         ""
      ),
      IF(_xlpm.result="", "", _xlpm.result)
   )
)</f>
        <v/>
      </c>
      <c r="I585" s="27" t="str" cm="1">
        <f t="array" ref="I585">IF(
   A585="",
   "",
   _xlfn.LET(
      _xlpm.result,
      IFERROR(
         _xlfn.XLOOKUP(
            1,
            (Table8[رقم الصنف]=A585) *
            (IF($B$9="الكل",1, YEAR('ادخال البيانات'!$N$3:$N$1164)=VALUE($B$9))) *
            (IF($B$10="الكل",1, MONTH('ادخال البيانات'!$N$3:$N$1164)=VALUE($B$10))) *
            (IF($B$11="الكل",1, INT((DAY('ادخال البيانات'!$N$3:$N$1164)-1)/7)+1 = VALUE($B$11))),
            'ادخال البيانات'!$I$3:$I$1164
         ),
         ""
      ),
      IF(_xlpm.result="", "", _xlpm.result)
   )
)</f>
        <v/>
      </c>
      <c r="J585" s="27" t="str" cm="1">
        <f t="array" ref="J585">IF(
   A585="",
   "",
   _xlfn.LET(
      _xlpm.result,
      IFERROR(
         _xlfn.XLOOKUP(
            1,
            (Table8[رقم الصنف]=A585) *
            (IF($B$9="الكل",1, YEAR('ادخال البيانات'!$N$3:$N$1164)=VALUE($B$9))) *
            (IF($B$10="الكل",1, MONTH('ادخال البيانات'!$N$3:$N$1164)=VALUE($B$10))) *
            (IF($B$11="الكل",1, INT((DAY('ادخال البيانات'!$N$3:$N$1164)-1)/7)+1 = VALUE($B$11))),
            'ادخال البيانات'!$J$3:$J$1164
         ),
         ""
      ),
      IF(_xlpm.result="", "", _xlpm.result)
   )
)</f>
        <v/>
      </c>
      <c r="K585" s="27" t="str" cm="1">
        <f t="array" ref="K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5" s="27" t="str" cm="1">
        <f t="array" ref="L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5" s="27" t="str" cm="1">
        <f t="array" ref="M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5" s="28" t="str" cm="1">
        <f t="array" ref="N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5" s="28" t="str" cm="1">
        <f t="array" ref="O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5" s="27" t="str" cm="1">
        <f t="array" ref="P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Table8[جهة العطل]
         ),
         ""
      ),
      IF(_xlpm.result="", "", _xlpm.result)
   )
)</f>
        <v/>
      </c>
      <c r="Q585" s="27" t="str" cm="1">
        <f t="array" ref="Q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Table8[المركز]
         ),
         ""
      ),
      IF(_xlpm.result="", "", _xlpm.result)
   )
)</f>
        <v/>
      </c>
      <c r="R585" s="27" t="str" cm="1">
        <f t="array" ref="R585">IF(
   A585="",
   "",
   _xlfn.LET(
      _xlpm.result,
      IFERROR(
         _xlfn.XLOOKUP(
            1,
            (Table8[رقم الصنف]=A585) *
            (IF($B$9="الكل",1, YEAR('ادخال البيانات'!$N$3:$N$1164) = VALUE($B$9))) *
            (IF($B$10="الكل",1, MONTH('ادخال البيانات'!$N$3:$N$1164) = VALUE($B$10))) *
            (IF($B$11="الكل",1, INT((DAY('ادخال البيانات'!$N$3:$N$1164) - 1) / 7) + 1 = VALUE($B$11))),
            Table8[ملاحظة]
         ),
         ""
      ),
      IF(_xlpm.result="", "", _xlpm.result)
   )
)</f>
        <v/>
      </c>
      <c r="S585" s="46" t="str">
        <f t="shared" ca="1" si="9"/>
        <v/>
      </c>
    </row>
    <row r="586" spans="1:19" ht="27.75" customHeight="1" thickTop="1" thickBot="1" x14ac:dyDescent="0.35">
      <c r="A586" s="39"/>
      <c r="B586" s="27" t="str" cm="1">
        <f t="array" ref="B586">IF(
   OR(A586="", $B$9="", $B$10="", $B$11=""),
   "",
   _xlfn.LET(
      _xlpm.result,
      IFERROR(
         _xlfn.XLOOKUP(
            1,
            (Table8[رقم الصنف]=A586)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6" s="27" t="str" cm="1">
        <f t="array" ref="C586">IF(
   A586="",
   "",
   _xlfn.LET(
      _xlpm.result,
      IFERROR(
         _xlfn.XLOOKUP(
            1,
            (Table8[رقم الصنف]=A586) *
            (IF($B$9="الكل",1, YEAR('ادخال البيانات'!$N$3:$N$1164) = VALUE($B$9))) *
            (IF($B$10="الكل",1, MONTH('ادخال البيانات'!$N$3:$N$1164) = VALUE($B$10))) *
            (IF($B$11="الكل",1, INT((DAY('ادخال البيانات'!$N$3:$N$1164)-1)/7)+1 = VALUE($B$11))),
            'ادخال البيانات'!$C$3:$C$1164
         ),
         ""
      ),
      IF(_xlpm.result="", "", _xlpm.result)
   )
)</f>
        <v/>
      </c>
      <c r="D586" s="27" t="str" cm="1">
        <f t="array" ref="D586">IF(
   OR(A586="", $B$9="", $B$10="", $B$11=""),
   "",
   _xlfn.LET(
      _xlpm.result,
      IFERROR(
         _xlfn.XLOOKUP(
            1,
            (Table8[رقم الصنف]=A586) *
            (IF($B$9="الكل",1, YEAR('ادخال البيانات'!$N$3:$N$1164)=VALUE($B$9))) *
            (IF($B$10="الكل",1, MONTH('ادخال البيانات'!$N$3:$N$1164)=VALUE($B$10))) *
            (IF($B$11="الكل",1, INT((DAY('ادخال البيانات'!$N$3:$N$1164)-1)/7)+1 = VALUE($B$11))),
            'ادخال البيانات'!$D$3:$D$1164
         ),
         ""
      ),
      IF(_xlpm.result="", "", _xlpm.result)
   )
)</f>
        <v/>
      </c>
      <c r="E586" s="27" t="str" cm="1">
        <f t="array" ref="E586">IF(
   A586="",
   "",
   _xlfn.LET(
      _xlpm.result,
      IFERROR(
         _xlfn.XLOOKUP(
            1,
            (Table8[رقم الصنف]=A586) *
            (IF($B$9="الكل",1, YEAR('ادخال البيانات'!$N$3:$N$1164)=VALUE($B$9))) *
            (IF($B$10="الكل",1, MONTH('ادخال البيانات'!$N$3:$N$1164)=VALUE($B$10))) *
            (IF($B$11="الكل",1, INT((DAY('ادخال البيانات'!$N$3:$N$1164)-1)/7)+1 = VALUE($B$11))),
            'ادخال البيانات'!$E$3:$E$1164
         ),
         ""
      ),
      IF(_xlpm.result="", "", _xlpm.result)
   )
)</f>
        <v/>
      </c>
      <c r="F586" s="27" t="str" cm="1">
        <f t="array" ref="F586">IF(
   A586="",
   "",
   _xlfn.LET(
      _xlpm.result,
      IFERROR(
         _xlfn.XLOOKUP(
            1,
            (Table8[رقم الصنف]=A586) *
            (IF($B$9="الكل",1, YEAR('ادخال البيانات'!$N$3:$N$1164) = VALUE($B$9))) *
            (IF($B$10="الكل",1, MONTH('ادخال البيانات'!$N$3:$N$1164) = VALUE($B$10))) *
            (IF($B$11="الكل",1, INT((DAY('ادخال البيانات'!$N$3:$N$1164)-1)/7)+1 = VALUE($B$11))),
            'ادخال البيانات'!$F$3:$F$1164
         ),
         ""
      ),
      IF(_xlpm.result="", "", _xlpm.result)
   )
)</f>
        <v/>
      </c>
      <c r="G586" s="27" t="str" cm="1">
        <f t="array" ref="G586">IF(
   A586="",
   "",
   _xlfn.LET(
      _xlpm.result,
      IFERROR(
         _xlfn.XLOOKUP(
            1,
            (Table8[رقم الصنف]=A586) *
            (IF($B$9="الكل",1, YEAR('ادخال البيانات'!$N$3:$N$1164)=VALUE($B$9))) *
            (IF($B$10="الكل",1, MONTH('ادخال البيانات'!$N$3:$N$1164)=VALUE($B$10))) *
            (IF($B$11="الكل",1, INT((DAY('ادخال البيانات'!$N$3:$N$1164)-1)/7)+1 = VALUE($B$11))),
            'ادخال البيانات'!$G$3:$G$1164
         ),
         ""
      ),
      IF(_xlpm.result="", "", _xlpm.result)
   )
)</f>
        <v/>
      </c>
      <c r="H586" s="27" t="str" cm="1">
        <f t="array" ref="H586">IF(
   A586="",
   "",
   _xlfn.LET(
      _xlpm.result,
      IFERROR(
         _xlfn.XLOOKUP(
            1,
            (Table8[رقم الصنف]=A586) *
            (IF($B$9="الكل",1, YEAR('ادخال البيانات'!$N$3:$N$1164)=VALUE($B$9))) *
            (IF($B$10="الكل",1, MONTH('ادخال البيانات'!$N$3:$N$1164)=VALUE($B$10))) *
            (IF($B$11="الكل",1, INT((DAY('ادخال البيانات'!$N$3:$N$1164)-1)/7)+1 = VALUE($B$11))),
            'ادخال البيانات'!$H$3:$H$1164
         ),
         ""
      ),
      IF(_xlpm.result="", "", _xlpm.result)
   )
)</f>
        <v/>
      </c>
      <c r="I586" s="27" t="str" cm="1">
        <f t="array" ref="I586">IF(
   A586="",
   "",
   _xlfn.LET(
      _xlpm.result,
      IFERROR(
         _xlfn.XLOOKUP(
            1,
            (Table8[رقم الصنف]=A586) *
            (IF($B$9="الكل",1, YEAR('ادخال البيانات'!$N$3:$N$1164)=VALUE($B$9))) *
            (IF($B$10="الكل",1, MONTH('ادخال البيانات'!$N$3:$N$1164)=VALUE($B$10))) *
            (IF($B$11="الكل",1, INT((DAY('ادخال البيانات'!$N$3:$N$1164)-1)/7)+1 = VALUE($B$11))),
            'ادخال البيانات'!$I$3:$I$1164
         ),
         ""
      ),
      IF(_xlpm.result="", "", _xlpm.result)
   )
)</f>
        <v/>
      </c>
      <c r="J586" s="27" t="str" cm="1">
        <f t="array" ref="J586">IF(
   A586="",
   "",
   _xlfn.LET(
      _xlpm.result,
      IFERROR(
         _xlfn.XLOOKUP(
            1,
            (Table8[رقم الصنف]=A586) *
            (IF($B$9="الكل",1, YEAR('ادخال البيانات'!$N$3:$N$1164)=VALUE($B$9))) *
            (IF($B$10="الكل",1, MONTH('ادخال البيانات'!$N$3:$N$1164)=VALUE($B$10))) *
            (IF($B$11="الكل",1, INT((DAY('ادخال البيانات'!$N$3:$N$1164)-1)/7)+1 = VALUE($B$11))),
            'ادخال البيانات'!$J$3:$J$1164
         ),
         ""
      ),
      IF(_xlpm.result="", "", _xlpm.result)
   )
)</f>
        <v/>
      </c>
      <c r="K586" s="27" t="str" cm="1">
        <f t="array" ref="K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6" s="27" t="str" cm="1">
        <f t="array" ref="L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6" s="27" t="str" cm="1">
        <f t="array" ref="M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6" s="28" t="str" cm="1">
        <f t="array" ref="N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6" s="28" t="str" cm="1">
        <f t="array" ref="O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6" s="27" t="str" cm="1">
        <f t="array" ref="P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Table8[جهة العطل]
         ),
         ""
      ),
      IF(_xlpm.result="", "", _xlpm.result)
   )
)</f>
        <v/>
      </c>
      <c r="Q586" s="27" t="str" cm="1">
        <f t="array" ref="Q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Table8[المركز]
         ),
         ""
      ),
      IF(_xlpm.result="", "", _xlpm.result)
   )
)</f>
        <v/>
      </c>
      <c r="R586" s="27" t="str" cm="1">
        <f t="array" ref="R586">IF(
   A586="",
   "",
   _xlfn.LET(
      _xlpm.result,
      IFERROR(
         _xlfn.XLOOKUP(
            1,
            (Table8[رقم الصنف]=A586) *
            (IF($B$9="الكل",1, YEAR('ادخال البيانات'!$N$3:$N$1164) = VALUE($B$9))) *
            (IF($B$10="الكل",1, MONTH('ادخال البيانات'!$N$3:$N$1164) = VALUE($B$10))) *
            (IF($B$11="الكل",1, INT((DAY('ادخال البيانات'!$N$3:$N$1164) - 1) / 7) + 1 = VALUE($B$11))),
            Table8[ملاحظة]
         ),
         ""
      ),
      IF(_xlpm.result="", "", _xlpm.result)
   )
)</f>
        <v/>
      </c>
      <c r="S586" s="46" t="str">
        <f t="shared" ca="1" si="9"/>
        <v/>
      </c>
    </row>
    <row r="587" spans="1:19" ht="27.75" customHeight="1" thickTop="1" thickBot="1" x14ac:dyDescent="0.35">
      <c r="A587" s="39"/>
      <c r="B587" s="27" t="str" cm="1">
        <f t="array" ref="B587">IF(
   OR(A587="", $B$9="", $B$10="", $B$11=""),
   "",
   _xlfn.LET(
      _xlpm.result,
      IFERROR(
         _xlfn.XLOOKUP(
            1,
            (Table8[رقم الصنف]=A587)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7" s="27" t="str" cm="1">
        <f t="array" ref="C587">IF(
   A587="",
   "",
   _xlfn.LET(
      _xlpm.result,
      IFERROR(
         _xlfn.XLOOKUP(
            1,
            (Table8[رقم الصنف]=A587) *
            (IF($B$9="الكل",1, YEAR('ادخال البيانات'!$N$3:$N$1164) = VALUE($B$9))) *
            (IF($B$10="الكل",1, MONTH('ادخال البيانات'!$N$3:$N$1164) = VALUE($B$10))) *
            (IF($B$11="الكل",1, INT((DAY('ادخال البيانات'!$N$3:$N$1164)-1)/7)+1 = VALUE($B$11))),
            'ادخال البيانات'!$C$3:$C$1164
         ),
         ""
      ),
      IF(_xlpm.result="", "", _xlpm.result)
   )
)</f>
        <v/>
      </c>
      <c r="D587" s="27" t="str" cm="1">
        <f t="array" ref="D587">IF(
   OR(A587="", $B$9="", $B$10="", $B$11=""),
   "",
   _xlfn.LET(
      _xlpm.result,
      IFERROR(
         _xlfn.XLOOKUP(
            1,
            (Table8[رقم الصنف]=A587) *
            (IF($B$9="الكل",1, YEAR('ادخال البيانات'!$N$3:$N$1164)=VALUE($B$9))) *
            (IF($B$10="الكل",1, MONTH('ادخال البيانات'!$N$3:$N$1164)=VALUE($B$10))) *
            (IF($B$11="الكل",1, INT((DAY('ادخال البيانات'!$N$3:$N$1164)-1)/7)+1 = VALUE($B$11))),
            'ادخال البيانات'!$D$3:$D$1164
         ),
         ""
      ),
      IF(_xlpm.result="", "", _xlpm.result)
   )
)</f>
        <v/>
      </c>
      <c r="E587" s="27" t="str" cm="1">
        <f t="array" ref="E587">IF(
   A587="",
   "",
   _xlfn.LET(
      _xlpm.result,
      IFERROR(
         _xlfn.XLOOKUP(
            1,
            (Table8[رقم الصنف]=A587) *
            (IF($B$9="الكل",1, YEAR('ادخال البيانات'!$N$3:$N$1164)=VALUE($B$9))) *
            (IF($B$10="الكل",1, MONTH('ادخال البيانات'!$N$3:$N$1164)=VALUE($B$10))) *
            (IF($B$11="الكل",1, INT((DAY('ادخال البيانات'!$N$3:$N$1164)-1)/7)+1 = VALUE($B$11))),
            'ادخال البيانات'!$E$3:$E$1164
         ),
         ""
      ),
      IF(_xlpm.result="", "", _xlpm.result)
   )
)</f>
        <v/>
      </c>
      <c r="F587" s="27" t="str" cm="1">
        <f t="array" ref="F587">IF(
   A587="",
   "",
   _xlfn.LET(
      _xlpm.result,
      IFERROR(
         _xlfn.XLOOKUP(
            1,
            (Table8[رقم الصنف]=A587) *
            (IF($B$9="الكل",1, YEAR('ادخال البيانات'!$N$3:$N$1164) = VALUE($B$9))) *
            (IF($B$10="الكل",1, MONTH('ادخال البيانات'!$N$3:$N$1164) = VALUE($B$10))) *
            (IF($B$11="الكل",1, INT((DAY('ادخال البيانات'!$N$3:$N$1164)-1)/7)+1 = VALUE($B$11))),
            'ادخال البيانات'!$F$3:$F$1164
         ),
         ""
      ),
      IF(_xlpm.result="", "", _xlpm.result)
   )
)</f>
        <v/>
      </c>
      <c r="G587" s="27" t="str" cm="1">
        <f t="array" ref="G587">IF(
   A587="",
   "",
   _xlfn.LET(
      _xlpm.result,
      IFERROR(
         _xlfn.XLOOKUP(
            1,
            (Table8[رقم الصنف]=A587) *
            (IF($B$9="الكل",1, YEAR('ادخال البيانات'!$N$3:$N$1164)=VALUE($B$9))) *
            (IF($B$10="الكل",1, MONTH('ادخال البيانات'!$N$3:$N$1164)=VALUE($B$10))) *
            (IF($B$11="الكل",1, INT((DAY('ادخال البيانات'!$N$3:$N$1164)-1)/7)+1 = VALUE($B$11))),
            'ادخال البيانات'!$G$3:$G$1164
         ),
         ""
      ),
      IF(_xlpm.result="", "", _xlpm.result)
   )
)</f>
        <v/>
      </c>
      <c r="H587" s="27" t="str" cm="1">
        <f t="array" ref="H587">IF(
   A587="",
   "",
   _xlfn.LET(
      _xlpm.result,
      IFERROR(
         _xlfn.XLOOKUP(
            1,
            (Table8[رقم الصنف]=A587) *
            (IF($B$9="الكل",1, YEAR('ادخال البيانات'!$N$3:$N$1164)=VALUE($B$9))) *
            (IF($B$10="الكل",1, MONTH('ادخال البيانات'!$N$3:$N$1164)=VALUE($B$10))) *
            (IF($B$11="الكل",1, INT((DAY('ادخال البيانات'!$N$3:$N$1164)-1)/7)+1 = VALUE($B$11))),
            'ادخال البيانات'!$H$3:$H$1164
         ),
         ""
      ),
      IF(_xlpm.result="", "", _xlpm.result)
   )
)</f>
        <v/>
      </c>
      <c r="I587" s="27" t="str" cm="1">
        <f t="array" ref="I587">IF(
   A587="",
   "",
   _xlfn.LET(
      _xlpm.result,
      IFERROR(
         _xlfn.XLOOKUP(
            1,
            (Table8[رقم الصنف]=A587) *
            (IF($B$9="الكل",1, YEAR('ادخال البيانات'!$N$3:$N$1164)=VALUE($B$9))) *
            (IF($B$10="الكل",1, MONTH('ادخال البيانات'!$N$3:$N$1164)=VALUE($B$10))) *
            (IF($B$11="الكل",1, INT((DAY('ادخال البيانات'!$N$3:$N$1164)-1)/7)+1 = VALUE($B$11))),
            'ادخال البيانات'!$I$3:$I$1164
         ),
         ""
      ),
      IF(_xlpm.result="", "", _xlpm.result)
   )
)</f>
        <v/>
      </c>
      <c r="J587" s="27" t="str" cm="1">
        <f t="array" ref="J587">IF(
   A587="",
   "",
   _xlfn.LET(
      _xlpm.result,
      IFERROR(
         _xlfn.XLOOKUP(
            1,
            (Table8[رقم الصنف]=A587) *
            (IF($B$9="الكل",1, YEAR('ادخال البيانات'!$N$3:$N$1164)=VALUE($B$9))) *
            (IF($B$10="الكل",1, MONTH('ادخال البيانات'!$N$3:$N$1164)=VALUE($B$10))) *
            (IF($B$11="الكل",1, INT((DAY('ادخال البيانات'!$N$3:$N$1164)-1)/7)+1 = VALUE($B$11))),
            'ادخال البيانات'!$J$3:$J$1164
         ),
         ""
      ),
      IF(_xlpm.result="", "", _xlpm.result)
   )
)</f>
        <v/>
      </c>
      <c r="K587" s="27" t="str" cm="1">
        <f t="array" ref="K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7" s="27" t="str" cm="1">
        <f t="array" ref="L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7" s="27" t="str" cm="1">
        <f t="array" ref="M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7" s="28" t="str" cm="1">
        <f t="array" ref="N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7" s="28" t="str" cm="1">
        <f t="array" ref="O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7" s="27" t="str" cm="1">
        <f t="array" ref="P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Table8[جهة العطل]
         ),
         ""
      ),
      IF(_xlpm.result="", "", _xlpm.result)
   )
)</f>
        <v/>
      </c>
      <c r="Q587" s="27" t="str" cm="1">
        <f t="array" ref="Q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Table8[المركز]
         ),
         ""
      ),
      IF(_xlpm.result="", "", _xlpm.result)
   )
)</f>
        <v/>
      </c>
      <c r="R587" s="27" t="str" cm="1">
        <f t="array" ref="R587">IF(
   A587="",
   "",
   _xlfn.LET(
      _xlpm.result,
      IFERROR(
         _xlfn.XLOOKUP(
            1,
            (Table8[رقم الصنف]=A587) *
            (IF($B$9="الكل",1, YEAR('ادخال البيانات'!$N$3:$N$1164) = VALUE($B$9))) *
            (IF($B$10="الكل",1, MONTH('ادخال البيانات'!$N$3:$N$1164) = VALUE($B$10))) *
            (IF($B$11="الكل",1, INT((DAY('ادخال البيانات'!$N$3:$N$1164) - 1) / 7) + 1 = VALUE($B$11))),
            Table8[ملاحظة]
         ),
         ""
      ),
      IF(_xlpm.result="", "", _xlpm.result)
   )
)</f>
        <v/>
      </c>
      <c r="S587" s="46" t="str">
        <f t="shared" ca="1" si="9"/>
        <v/>
      </c>
    </row>
    <row r="588" spans="1:19" ht="27.75" customHeight="1" thickTop="1" thickBot="1" x14ac:dyDescent="0.35">
      <c r="A588" s="39"/>
      <c r="B588" s="27" t="str" cm="1">
        <f t="array" ref="B588">IF(
   OR(A588="", $B$9="", $B$10="", $B$11=""),
   "",
   _xlfn.LET(
      _xlpm.result,
      IFERROR(
         _xlfn.XLOOKUP(
            1,
            (Table8[رقم الصنف]=A588)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8" s="27" t="str" cm="1">
        <f t="array" ref="C588">IF(
   A588="",
   "",
   _xlfn.LET(
      _xlpm.result,
      IFERROR(
         _xlfn.XLOOKUP(
            1,
            (Table8[رقم الصنف]=A588) *
            (IF($B$9="الكل",1, YEAR('ادخال البيانات'!$N$3:$N$1164) = VALUE($B$9))) *
            (IF($B$10="الكل",1, MONTH('ادخال البيانات'!$N$3:$N$1164) = VALUE($B$10))) *
            (IF($B$11="الكل",1, INT((DAY('ادخال البيانات'!$N$3:$N$1164)-1)/7)+1 = VALUE($B$11))),
            'ادخال البيانات'!$C$3:$C$1164
         ),
         ""
      ),
      IF(_xlpm.result="", "", _xlpm.result)
   )
)</f>
        <v/>
      </c>
      <c r="D588" s="27" t="str" cm="1">
        <f t="array" ref="D588">IF(
   OR(A588="", $B$9="", $B$10="", $B$11=""),
   "",
   _xlfn.LET(
      _xlpm.result,
      IFERROR(
         _xlfn.XLOOKUP(
            1,
            (Table8[رقم الصنف]=A588) *
            (IF($B$9="الكل",1, YEAR('ادخال البيانات'!$N$3:$N$1164)=VALUE($B$9))) *
            (IF($B$10="الكل",1, MONTH('ادخال البيانات'!$N$3:$N$1164)=VALUE($B$10))) *
            (IF($B$11="الكل",1, INT((DAY('ادخال البيانات'!$N$3:$N$1164)-1)/7)+1 = VALUE($B$11))),
            'ادخال البيانات'!$D$3:$D$1164
         ),
         ""
      ),
      IF(_xlpm.result="", "", _xlpm.result)
   )
)</f>
        <v/>
      </c>
      <c r="E588" s="27" t="str" cm="1">
        <f t="array" ref="E588">IF(
   A588="",
   "",
   _xlfn.LET(
      _xlpm.result,
      IFERROR(
         _xlfn.XLOOKUP(
            1,
            (Table8[رقم الصنف]=A588) *
            (IF($B$9="الكل",1, YEAR('ادخال البيانات'!$N$3:$N$1164)=VALUE($B$9))) *
            (IF($B$10="الكل",1, MONTH('ادخال البيانات'!$N$3:$N$1164)=VALUE($B$10))) *
            (IF($B$11="الكل",1, INT((DAY('ادخال البيانات'!$N$3:$N$1164)-1)/7)+1 = VALUE($B$11))),
            'ادخال البيانات'!$E$3:$E$1164
         ),
         ""
      ),
      IF(_xlpm.result="", "", _xlpm.result)
   )
)</f>
        <v/>
      </c>
      <c r="F588" s="27" t="str" cm="1">
        <f t="array" ref="F588">IF(
   A588="",
   "",
   _xlfn.LET(
      _xlpm.result,
      IFERROR(
         _xlfn.XLOOKUP(
            1,
            (Table8[رقم الصنف]=A588) *
            (IF($B$9="الكل",1, YEAR('ادخال البيانات'!$N$3:$N$1164) = VALUE($B$9))) *
            (IF($B$10="الكل",1, MONTH('ادخال البيانات'!$N$3:$N$1164) = VALUE($B$10))) *
            (IF($B$11="الكل",1, INT((DAY('ادخال البيانات'!$N$3:$N$1164)-1)/7)+1 = VALUE($B$11))),
            'ادخال البيانات'!$F$3:$F$1164
         ),
         ""
      ),
      IF(_xlpm.result="", "", _xlpm.result)
   )
)</f>
        <v/>
      </c>
      <c r="G588" s="27" t="str" cm="1">
        <f t="array" ref="G588">IF(
   A588="",
   "",
   _xlfn.LET(
      _xlpm.result,
      IFERROR(
         _xlfn.XLOOKUP(
            1,
            (Table8[رقم الصنف]=A588) *
            (IF($B$9="الكل",1, YEAR('ادخال البيانات'!$N$3:$N$1164)=VALUE($B$9))) *
            (IF($B$10="الكل",1, MONTH('ادخال البيانات'!$N$3:$N$1164)=VALUE($B$10))) *
            (IF($B$11="الكل",1, INT((DAY('ادخال البيانات'!$N$3:$N$1164)-1)/7)+1 = VALUE($B$11))),
            'ادخال البيانات'!$G$3:$G$1164
         ),
         ""
      ),
      IF(_xlpm.result="", "", _xlpm.result)
   )
)</f>
        <v/>
      </c>
      <c r="H588" s="27" t="str" cm="1">
        <f t="array" ref="H588">IF(
   A588="",
   "",
   _xlfn.LET(
      _xlpm.result,
      IFERROR(
         _xlfn.XLOOKUP(
            1,
            (Table8[رقم الصنف]=A588) *
            (IF($B$9="الكل",1, YEAR('ادخال البيانات'!$N$3:$N$1164)=VALUE($B$9))) *
            (IF($B$10="الكل",1, MONTH('ادخال البيانات'!$N$3:$N$1164)=VALUE($B$10))) *
            (IF($B$11="الكل",1, INT((DAY('ادخال البيانات'!$N$3:$N$1164)-1)/7)+1 = VALUE($B$11))),
            'ادخال البيانات'!$H$3:$H$1164
         ),
         ""
      ),
      IF(_xlpm.result="", "", _xlpm.result)
   )
)</f>
        <v/>
      </c>
      <c r="I588" s="27" t="str" cm="1">
        <f t="array" ref="I588">IF(
   A588="",
   "",
   _xlfn.LET(
      _xlpm.result,
      IFERROR(
         _xlfn.XLOOKUP(
            1,
            (Table8[رقم الصنف]=A588) *
            (IF($B$9="الكل",1, YEAR('ادخال البيانات'!$N$3:$N$1164)=VALUE($B$9))) *
            (IF($B$10="الكل",1, MONTH('ادخال البيانات'!$N$3:$N$1164)=VALUE($B$10))) *
            (IF($B$11="الكل",1, INT((DAY('ادخال البيانات'!$N$3:$N$1164)-1)/7)+1 = VALUE($B$11))),
            'ادخال البيانات'!$I$3:$I$1164
         ),
         ""
      ),
      IF(_xlpm.result="", "", _xlpm.result)
   )
)</f>
        <v/>
      </c>
      <c r="J588" s="27" t="str" cm="1">
        <f t="array" ref="J588">IF(
   A588="",
   "",
   _xlfn.LET(
      _xlpm.result,
      IFERROR(
         _xlfn.XLOOKUP(
            1,
            (Table8[رقم الصنف]=A588) *
            (IF($B$9="الكل",1, YEAR('ادخال البيانات'!$N$3:$N$1164)=VALUE($B$9))) *
            (IF($B$10="الكل",1, MONTH('ادخال البيانات'!$N$3:$N$1164)=VALUE($B$10))) *
            (IF($B$11="الكل",1, INT((DAY('ادخال البيانات'!$N$3:$N$1164)-1)/7)+1 = VALUE($B$11))),
            'ادخال البيانات'!$J$3:$J$1164
         ),
         ""
      ),
      IF(_xlpm.result="", "", _xlpm.result)
   )
)</f>
        <v/>
      </c>
      <c r="K588" s="27" t="str" cm="1">
        <f t="array" ref="K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8" s="27" t="str" cm="1">
        <f t="array" ref="L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8" s="27" t="str" cm="1">
        <f t="array" ref="M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8" s="28" t="str" cm="1">
        <f t="array" ref="N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8" s="28" t="str" cm="1">
        <f t="array" ref="O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8" s="27" t="str" cm="1">
        <f t="array" ref="P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Table8[جهة العطل]
         ),
         ""
      ),
      IF(_xlpm.result="", "", _xlpm.result)
   )
)</f>
        <v/>
      </c>
      <c r="Q588" s="27" t="str" cm="1">
        <f t="array" ref="Q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Table8[المركز]
         ),
         ""
      ),
      IF(_xlpm.result="", "", _xlpm.result)
   )
)</f>
        <v/>
      </c>
      <c r="R588" s="27" t="str" cm="1">
        <f t="array" ref="R588">IF(
   A588="",
   "",
   _xlfn.LET(
      _xlpm.result,
      IFERROR(
         _xlfn.XLOOKUP(
            1,
            (Table8[رقم الصنف]=A588) *
            (IF($B$9="الكل",1, YEAR('ادخال البيانات'!$N$3:$N$1164) = VALUE($B$9))) *
            (IF($B$10="الكل",1, MONTH('ادخال البيانات'!$N$3:$N$1164) = VALUE($B$10))) *
            (IF($B$11="الكل",1, INT((DAY('ادخال البيانات'!$N$3:$N$1164) - 1) / 7) + 1 = VALUE($B$11))),
            Table8[ملاحظة]
         ),
         ""
      ),
      IF(_xlpm.result="", "", _xlpm.result)
   )
)</f>
        <v/>
      </c>
      <c r="S588" s="46" t="str">
        <f t="shared" ref="S588:S651" ca="1" si="10">IF(
   L588="تم الاصلاح",
   "تم الاصلاح",
   IF(N588="","", TODAY()-N588)
)</f>
        <v/>
      </c>
    </row>
    <row r="589" spans="1:19" ht="27.75" customHeight="1" thickTop="1" thickBot="1" x14ac:dyDescent="0.35">
      <c r="A589" s="39"/>
      <c r="B589" s="27" t="str" cm="1">
        <f t="array" ref="B589">IF(
   OR(A589="", $B$9="", $B$10="", $B$11=""),
   "",
   _xlfn.LET(
      _xlpm.result,
      IFERROR(
         _xlfn.XLOOKUP(
            1,
            (Table8[رقم الصنف]=A589)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89" s="27" t="str" cm="1">
        <f t="array" ref="C589">IF(
   A589="",
   "",
   _xlfn.LET(
      _xlpm.result,
      IFERROR(
         _xlfn.XLOOKUP(
            1,
            (Table8[رقم الصنف]=A589) *
            (IF($B$9="الكل",1, YEAR('ادخال البيانات'!$N$3:$N$1164) = VALUE($B$9))) *
            (IF($B$10="الكل",1, MONTH('ادخال البيانات'!$N$3:$N$1164) = VALUE($B$10))) *
            (IF($B$11="الكل",1, INT((DAY('ادخال البيانات'!$N$3:$N$1164)-1)/7)+1 = VALUE($B$11))),
            'ادخال البيانات'!$C$3:$C$1164
         ),
         ""
      ),
      IF(_xlpm.result="", "", _xlpm.result)
   )
)</f>
        <v/>
      </c>
      <c r="D589" s="27" t="str" cm="1">
        <f t="array" ref="D589">IF(
   OR(A589="", $B$9="", $B$10="", $B$11=""),
   "",
   _xlfn.LET(
      _xlpm.result,
      IFERROR(
         _xlfn.XLOOKUP(
            1,
            (Table8[رقم الصنف]=A589) *
            (IF($B$9="الكل",1, YEAR('ادخال البيانات'!$N$3:$N$1164)=VALUE($B$9))) *
            (IF($B$10="الكل",1, MONTH('ادخال البيانات'!$N$3:$N$1164)=VALUE($B$10))) *
            (IF($B$11="الكل",1, INT((DAY('ادخال البيانات'!$N$3:$N$1164)-1)/7)+1 = VALUE($B$11))),
            'ادخال البيانات'!$D$3:$D$1164
         ),
         ""
      ),
      IF(_xlpm.result="", "", _xlpm.result)
   )
)</f>
        <v/>
      </c>
      <c r="E589" s="27" t="str" cm="1">
        <f t="array" ref="E589">IF(
   A589="",
   "",
   _xlfn.LET(
      _xlpm.result,
      IFERROR(
         _xlfn.XLOOKUP(
            1,
            (Table8[رقم الصنف]=A589) *
            (IF($B$9="الكل",1, YEAR('ادخال البيانات'!$N$3:$N$1164)=VALUE($B$9))) *
            (IF($B$10="الكل",1, MONTH('ادخال البيانات'!$N$3:$N$1164)=VALUE($B$10))) *
            (IF($B$11="الكل",1, INT((DAY('ادخال البيانات'!$N$3:$N$1164)-1)/7)+1 = VALUE($B$11))),
            'ادخال البيانات'!$E$3:$E$1164
         ),
         ""
      ),
      IF(_xlpm.result="", "", _xlpm.result)
   )
)</f>
        <v/>
      </c>
      <c r="F589" s="27" t="str" cm="1">
        <f t="array" ref="F589">IF(
   A589="",
   "",
   _xlfn.LET(
      _xlpm.result,
      IFERROR(
         _xlfn.XLOOKUP(
            1,
            (Table8[رقم الصنف]=A589) *
            (IF($B$9="الكل",1, YEAR('ادخال البيانات'!$N$3:$N$1164) = VALUE($B$9))) *
            (IF($B$10="الكل",1, MONTH('ادخال البيانات'!$N$3:$N$1164) = VALUE($B$10))) *
            (IF($B$11="الكل",1, INT((DAY('ادخال البيانات'!$N$3:$N$1164)-1)/7)+1 = VALUE($B$11))),
            'ادخال البيانات'!$F$3:$F$1164
         ),
         ""
      ),
      IF(_xlpm.result="", "", _xlpm.result)
   )
)</f>
        <v/>
      </c>
      <c r="G589" s="27" t="str" cm="1">
        <f t="array" ref="G589">IF(
   A589="",
   "",
   _xlfn.LET(
      _xlpm.result,
      IFERROR(
         _xlfn.XLOOKUP(
            1,
            (Table8[رقم الصنف]=A589) *
            (IF($B$9="الكل",1, YEAR('ادخال البيانات'!$N$3:$N$1164)=VALUE($B$9))) *
            (IF($B$10="الكل",1, MONTH('ادخال البيانات'!$N$3:$N$1164)=VALUE($B$10))) *
            (IF($B$11="الكل",1, INT((DAY('ادخال البيانات'!$N$3:$N$1164)-1)/7)+1 = VALUE($B$11))),
            'ادخال البيانات'!$G$3:$G$1164
         ),
         ""
      ),
      IF(_xlpm.result="", "", _xlpm.result)
   )
)</f>
        <v/>
      </c>
      <c r="H589" s="27" t="str" cm="1">
        <f t="array" ref="H589">IF(
   A589="",
   "",
   _xlfn.LET(
      _xlpm.result,
      IFERROR(
         _xlfn.XLOOKUP(
            1,
            (Table8[رقم الصنف]=A589) *
            (IF($B$9="الكل",1, YEAR('ادخال البيانات'!$N$3:$N$1164)=VALUE($B$9))) *
            (IF($B$10="الكل",1, MONTH('ادخال البيانات'!$N$3:$N$1164)=VALUE($B$10))) *
            (IF($B$11="الكل",1, INT((DAY('ادخال البيانات'!$N$3:$N$1164)-1)/7)+1 = VALUE($B$11))),
            'ادخال البيانات'!$H$3:$H$1164
         ),
         ""
      ),
      IF(_xlpm.result="", "", _xlpm.result)
   )
)</f>
        <v/>
      </c>
      <c r="I589" s="27" t="str" cm="1">
        <f t="array" ref="I589">IF(
   A589="",
   "",
   _xlfn.LET(
      _xlpm.result,
      IFERROR(
         _xlfn.XLOOKUP(
            1,
            (Table8[رقم الصنف]=A589) *
            (IF($B$9="الكل",1, YEAR('ادخال البيانات'!$N$3:$N$1164)=VALUE($B$9))) *
            (IF($B$10="الكل",1, MONTH('ادخال البيانات'!$N$3:$N$1164)=VALUE($B$10))) *
            (IF($B$11="الكل",1, INT((DAY('ادخال البيانات'!$N$3:$N$1164)-1)/7)+1 = VALUE($B$11))),
            'ادخال البيانات'!$I$3:$I$1164
         ),
         ""
      ),
      IF(_xlpm.result="", "", _xlpm.result)
   )
)</f>
        <v/>
      </c>
      <c r="J589" s="27" t="str" cm="1">
        <f t="array" ref="J589">IF(
   A589="",
   "",
   _xlfn.LET(
      _xlpm.result,
      IFERROR(
         _xlfn.XLOOKUP(
            1,
            (Table8[رقم الصنف]=A589) *
            (IF($B$9="الكل",1, YEAR('ادخال البيانات'!$N$3:$N$1164)=VALUE($B$9))) *
            (IF($B$10="الكل",1, MONTH('ادخال البيانات'!$N$3:$N$1164)=VALUE($B$10))) *
            (IF($B$11="الكل",1, INT((DAY('ادخال البيانات'!$N$3:$N$1164)-1)/7)+1 = VALUE($B$11))),
            'ادخال البيانات'!$J$3:$J$1164
         ),
         ""
      ),
      IF(_xlpm.result="", "", _xlpm.result)
   )
)</f>
        <v/>
      </c>
      <c r="K589" s="27" t="str" cm="1">
        <f t="array" ref="K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89" s="27" t="str" cm="1">
        <f t="array" ref="L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89" s="27" t="str" cm="1">
        <f t="array" ref="M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89" s="28" t="str" cm="1">
        <f t="array" ref="N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89" s="28" t="str" cm="1">
        <f t="array" ref="O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89" s="27" t="str" cm="1">
        <f t="array" ref="P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Table8[جهة العطل]
         ),
         ""
      ),
      IF(_xlpm.result="", "", _xlpm.result)
   )
)</f>
        <v/>
      </c>
      <c r="Q589" s="27" t="str" cm="1">
        <f t="array" ref="Q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Table8[المركز]
         ),
         ""
      ),
      IF(_xlpm.result="", "", _xlpm.result)
   )
)</f>
        <v/>
      </c>
      <c r="R589" s="27" t="str" cm="1">
        <f t="array" ref="R589">IF(
   A589="",
   "",
   _xlfn.LET(
      _xlpm.result,
      IFERROR(
         _xlfn.XLOOKUP(
            1,
            (Table8[رقم الصنف]=A589) *
            (IF($B$9="الكل",1, YEAR('ادخال البيانات'!$N$3:$N$1164) = VALUE($B$9))) *
            (IF($B$10="الكل",1, MONTH('ادخال البيانات'!$N$3:$N$1164) = VALUE($B$10))) *
            (IF($B$11="الكل",1, INT((DAY('ادخال البيانات'!$N$3:$N$1164) - 1) / 7) + 1 = VALUE($B$11))),
            Table8[ملاحظة]
         ),
         ""
      ),
      IF(_xlpm.result="", "", _xlpm.result)
   )
)</f>
        <v/>
      </c>
      <c r="S589" s="46" t="str">
        <f t="shared" ca="1" si="10"/>
        <v/>
      </c>
    </row>
    <row r="590" spans="1:19" ht="27.75" customHeight="1" thickTop="1" thickBot="1" x14ac:dyDescent="0.35">
      <c r="A590" s="39"/>
      <c r="B590" s="27" t="str" cm="1">
        <f t="array" ref="B590">IF(
   OR(A590="", $B$9="", $B$10="", $B$11=""),
   "",
   _xlfn.LET(
      _xlpm.result,
      IFERROR(
         _xlfn.XLOOKUP(
            1,
            (Table8[رقم الصنف]=A590)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0" s="27" t="str" cm="1">
        <f t="array" ref="C590">IF(
   A590="",
   "",
   _xlfn.LET(
      _xlpm.result,
      IFERROR(
         _xlfn.XLOOKUP(
            1,
            (Table8[رقم الصنف]=A590) *
            (IF($B$9="الكل",1, YEAR('ادخال البيانات'!$N$3:$N$1164) = VALUE($B$9))) *
            (IF($B$10="الكل",1, MONTH('ادخال البيانات'!$N$3:$N$1164) = VALUE($B$10))) *
            (IF($B$11="الكل",1, INT((DAY('ادخال البيانات'!$N$3:$N$1164)-1)/7)+1 = VALUE($B$11))),
            'ادخال البيانات'!$C$3:$C$1164
         ),
         ""
      ),
      IF(_xlpm.result="", "", _xlpm.result)
   )
)</f>
        <v/>
      </c>
      <c r="D590" s="27" t="str" cm="1">
        <f t="array" ref="D590">IF(
   OR(A590="", $B$9="", $B$10="", $B$11=""),
   "",
   _xlfn.LET(
      _xlpm.result,
      IFERROR(
         _xlfn.XLOOKUP(
            1,
            (Table8[رقم الصنف]=A590) *
            (IF($B$9="الكل",1, YEAR('ادخال البيانات'!$N$3:$N$1164)=VALUE($B$9))) *
            (IF($B$10="الكل",1, MONTH('ادخال البيانات'!$N$3:$N$1164)=VALUE($B$10))) *
            (IF($B$11="الكل",1, INT((DAY('ادخال البيانات'!$N$3:$N$1164)-1)/7)+1 = VALUE($B$11))),
            'ادخال البيانات'!$D$3:$D$1164
         ),
         ""
      ),
      IF(_xlpm.result="", "", _xlpm.result)
   )
)</f>
        <v/>
      </c>
      <c r="E590" s="27" t="str" cm="1">
        <f t="array" ref="E590">IF(
   A590="",
   "",
   _xlfn.LET(
      _xlpm.result,
      IFERROR(
         _xlfn.XLOOKUP(
            1,
            (Table8[رقم الصنف]=A590) *
            (IF($B$9="الكل",1, YEAR('ادخال البيانات'!$N$3:$N$1164)=VALUE($B$9))) *
            (IF($B$10="الكل",1, MONTH('ادخال البيانات'!$N$3:$N$1164)=VALUE($B$10))) *
            (IF($B$11="الكل",1, INT((DAY('ادخال البيانات'!$N$3:$N$1164)-1)/7)+1 = VALUE($B$11))),
            'ادخال البيانات'!$E$3:$E$1164
         ),
         ""
      ),
      IF(_xlpm.result="", "", _xlpm.result)
   )
)</f>
        <v/>
      </c>
      <c r="F590" s="27" t="str" cm="1">
        <f t="array" ref="F590">IF(
   A590="",
   "",
   _xlfn.LET(
      _xlpm.result,
      IFERROR(
         _xlfn.XLOOKUP(
            1,
            (Table8[رقم الصنف]=A590) *
            (IF($B$9="الكل",1, YEAR('ادخال البيانات'!$N$3:$N$1164) = VALUE($B$9))) *
            (IF($B$10="الكل",1, MONTH('ادخال البيانات'!$N$3:$N$1164) = VALUE($B$10))) *
            (IF($B$11="الكل",1, INT((DAY('ادخال البيانات'!$N$3:$N$1164)-1)/7)+1 = VALUE($B$11))),
            'ادخال البيانات'!$F$3:$F$1164
         ),
         ""
      ),
      IF(_xlpm.result="", "", _xlpm.result)
   )
)</f>
        <v/>
      </c>
      <c r="G590" s="27" t="str" cm="1">
        <f t="array" ref="G590">IF(
   A590="",
   "",
   _xlfn.LET(
      _xlpm.result,
      IFERROR(
         _xlfn.XLOOKUP(
            1,
            (Table8[رقم الصنف]=A590) *
            (IF($B$9="الكل",1, YEAR('ادخال البيانات'!$N$3:$N$1164)=VALUE($B$9))) *
            (IF($B$10="الكل",1, MONTH('ادخال البيانات'!$N$3:$N$1164)=VALUE($B$10))) *
            (IF($B$11="الكل",1, INT((DAY('ادخال البيانات'!$N$3:$N$1164)-1)/7)+1 = VALUE($B$11))),
            'ادخال البيانات'!$G$3:$G$1164
         ),
         ""
      ),
      IF(_xlpm.result="", "", _xlpm.result)
   )
)</f>
        <v/>
      </c>
      <c r="H590" s="27" t="str" cm="1">
        <f t="array" ref="H590">IF(
   A590="",
   "",
   _xlfn.LET(
      _xlpm.result,
      IFERROR(
         _xlfn.XLOOKUP(
            1,
            (Table8[رقم الصنف]=A590) *
            (IF($B$9="الكل",1, YEAR('ادخال البيانات'!$N$3:$N$1164)=VALUE($B$9))) *
            (IF($B$10="الكل",1, MONTH('ادخال البيانات'!$N$3:$N$1164)=VALUE($B$10))) *
            (IF($B$11="الكل",1, INT((DAY('ادخال البيانات'!$N$3:$N$1164)-1)/7)+1 = VALUE($B$11))),
            'ادخال البيانات'!$H$3:$H$1164
         ),
         ""
      ),
      IF(_xlpm.result="", "", _xlpm.result)
   )
)</f>
        <v/>
      </c>
      <c r="I590" s="27" t="str" cm="1">
        <f t="array" ref="I590">IF(
   A590="",
   "",
   _xlfn.LET(
      _xlpm.result,
      IFERROR(
         _xlfn.XLOOKUP(
            1,
            (Table8[رقم الصنف]=A590) *
            (IF($B$9="الكل",1, YEAR('ادخال البيانات'!$N$3:$N$1164)=VALUE($B$9))) *
            (IF($B$10="الكل",1, MONTH('ادخال البيانات'!$N$3:$N$1164)=VALUE($B$10))) *
            (IF($B$11="الكل",1, INT((DAY('ادخال البيانات'!$N$3:$N$1164)-1)/7)+1 = VALUE($B$11))),
            'ادخال البيانات'!$I$3:$I$1164
         ),
         ""
      ),
      IF(_xlpm.result="", "", _xlpm.result)
   )
)</f>
        <v/>
      </c>
      <c r="J590" s="27" t="str" cm="1">
        <f t="array" ref="J590">IF(
   A590="",
   "",
   _xlfn.LET(
      _xlpm.result,
      IFERROR(
         _xlfn.XLOOKUP(
            1,
            (Table8[رقم الصنف]=A590) *
            (IF($B$9="الكل",1, YEAR('ادخال البيانات'!$N$3:$N$1164)=VALUE($B$9))) *
            (IF($B$10="الكل",1, MONTH('ادخال البيانات'!$N$3:$N$1164)=VALUE($B$10))) *
            (IF($B$11="الكل",1, INT((DAY('ادخال البيانات'!$N$3:$N$1164)-1)/7)+1 = VALUE($B$11))),
            'ادخال البيانات'!$J$3:$J$1164
         ),
         ""
      ),
      IF(_xlpm.result="", "", _xlpm.result)
   )
)</f>
        <v/>
      </c>
      <c r="K590" s="27" t="str" cm="1">
        <f t="array" ref="K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0" s="27" t="str" cm="1">
        <f t="array" ref="L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0" s="27" t="str" cm="1">
        <f t="array" ref="M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0" s="28" t="str" cm="1">
        <f t="array" ref="N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0" s="28" t="str" cm="1">
        <f t="array" ref="O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0" s="27" t="str" cm="1">
        <f t="array" ref="P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Table8[جهة العطل]
         ),
         ""
      ),
      IF(_xlpm.result="", "", _xlpm.result)
   )
)</f>
        <v/>
      </c>
      <c r="Q590" s="27" t="str" cm="1">
        <f t="array" ref="Q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Table8[المركز]
         ),
         ""
      ),
      IF(_xlpm.result="", "", _xlpm.result)
   )
)</f>
        <v/>
      </c>
      <c r="R590" s="27" t="str" cm="1">
        <f t="array" ref="R590">IF(
   A590="",
   "",
   _xlfn.LET(
      _xlpm.result,
      IFERROR(
         _xlfn.XLOOKUP(
            1,
            (Table8[رقم الصنف]=A590) *
            (IF($B$9="الكل",1, YEAR('ادخال البيانات'!$N$3:$N$1164) = VALUE($B$9))) *
            (IF($B$10="الكل",1, MONTH('ادخال البيانات'!$N$3:$N$1164) = VALUE($B$10))) *
            (IF($B$11="الكل",1, INT((DAY('ادخال البيانات'!$N$3:$N$1164) - 1) / 7) + 1 = VALUE($B$11))),
            Table8[ملاحظة]
         ),
         ""
      ),
      IF(_xlpm.result="", "", _xlpm.result)
   )
)</f>
        <v/>
      </c>
      <c r="S590" s="46" t="str">
        <f t="shared" ca="1" si="10"/>
        <v/>
      </c>
    </row>
    <row r="591" spans="1:19" ht="27.75" customHeight="1" thickTop="1" thickBot="1" x14ac:dyDescent="0.35">
      <c r="A591" s="39"/>
      <c r="B591" s="27" t="str" cm="1">
        <f t="array" ref="B591">IF(
   OR(A591="", $B$9="", $B$10="", $B$11=""),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1" s="27" t="str" cm="1">
        <f t="array" ref="C591">IF(
   A591="",
   "",
   _xlfn.LET(
      _xlpm.result,
      IFERROR(
         _xlfn.XLOOKUP(
            1,
            (Table8[رقم الصنف]=A591) *
            (IF($B$9="الكل",1, YEAR('ادخال البيانات'!$N$3:$N$1164) = VALUE($B$9))) *
            (IF($B$10="الكل",1, MONTH('ادخال البيانات'!$N$3:$N$1164) = VALUE($B$10))) *
            (IF($B$11="الكل",1, INT((DAY('ادخال البيانات'!$N$3:$N$1164)-1)/7)+1 = VALUE($B$11))),
            'ادخال البيانات'!$C$3:$C$1164
         ),
         ""
      ),
      IF(_xlpm.result="", "", _xlpm.result)
   )
)</f>
        <v/>
      </c>
      <c r="D591" s="27" t="str" cm="1">
        <f t="array" ref="D591">IF(
   OR(A591="", $B$9="", $B$10="", $B$11=""),
   "",
   _xlfn.LET(
      _xlpm.result,
      IFERROR(
         _xlfn.XLOOKUP(
            1,
            (Table8[رقم الصنف]=A591) *
            (IF($B$9="الكل",1, YEAR('ادخال البيانات'!$N$3:$N$1164)=VALUE($B$9))) *
            (IF($B$10="الكل",1, MONTH('ادخال البيانات'!$N$3:$N$1164)=VALUE($B$10))) *
            (IF($B$11="الكل",1, INT((DAY('ادخال البيانات'!$N$3:$N$1164)-1)/7)+1 = VALUE($B$11))),
            'ادخال البيانات'!$D$3:$D$1164
         ),
         ""
      ),
      IF(_xlpm.result="", "", _xlpm.result)
   )
)</f>
        <v/>
      </c>
      <c r="E591" s="27" t="str" cm="1">
        <f t="array" ref="E591">IF(
   A591="",
   "",
   _xlfn.LET(
      _xlpm.result,
      IFERROR(
         _xlfn.XLOOKUP(
            1,
            (Table8[رقم الصنف]=A591) *
            (IF($B$9="الكل",1, YEAR('ادخال البيانات'!$N$3:$N$1164)=VALUE($B$9))) *
            (IF($B$10="الكل",1, MONTH('ادخال البيانات'!$N$3:$N$1164)=VALUE($B$10))) *
            (IF($B$11="الكل",1, INT((DAY('ادخال البيانات'!$N$3:$N$1164)-1)/7)+1 = VALUE($B$11))),
            'ادخال البيانات'!$E$3:$E$1164
         ),
         ""
      ),
      IF(_xlpm.result="", "", _xlpm.result)
   )
)</f>
        <v/>
      </c>
      <c r="F591" s="27" t="str" cm="1">
        <f t="array" ref="F591">IF(
   A591="",
   "",
   _xlfn.LET(
      _xlpm.result,
      IFERROR(
         _xlfn.XLOOKUP(
            1,
            (Table8[رقم الصنف]=A591) *
            (IF($B$9="الكل",1, YEAR('ادخال البيانات'!$N$3:$N$1164) = VALUE($B$9))) *
            (IF($B$10="الكل",1, MONTH('ادخال البيانات'!$N$3:$N$1164) = VALUE($B$10))) *
            (IF($B$11="الكل",1, INT((DAY('ادخال البيانات'!$N$3:$N$1164)-1)/7)+1 = VALUE($B$11))),
            'ادخال البيانات'!$F$3:$F$1164
         ),
         ""
      ),
      IF(_xlpm.result="", "", _xlpm.result)
   )
)</f>
        <v/>
      </c>
      <c r="G591" s="27" t="str" cm="1">
        <f t="array" ref="G591">IF(
   A591="",
   "",
   _xlfn.LET(
      _xlpm.result,
      IFERROR(
         _xlfn.XLOOKUP(
            1,
            (Table8[رقم الصنف]=A591) *
            (IF($B$9="الكل",1, YEAR('ادخال البيانات'!$N$3:$N$1164)=VALUE($B$9))) *
            (IF($B$10="الكل",1, MONTH('ادخال البيانات'!$N$3:$N$1164)=VALUE($B$10))) *
            (IF($B$11="الكل",1, INT((DAY('ادخال البيانات'!$N$3:$N$1164)-1)/7)+1 = VALUE($B$11))),
            'ادخال البيانات'!$G$3:$G$1164
         ),
         ""
      ),
      IF(_xlpm.result="", "", _xlpm.result)
   )
)</f>
        <v/>
      </c>
      <c r="H591" s="27" t="str" cm="1">
        <f t="array" ref="H591">IF(
   A591="",
   "",
   _xlfn.LET(
      _xlpm.result,
      IFERROR(
         _xlfn.XLOOKUP(
            1,
            (Table8[رقم الصنف]=A591) *
            (IF($B$9="الكل",1, YEAR('ادخال البيانات'!$N$3:$N$1164)=VALUE($B$9))) *
            (IF($B$10="الكل",1, MONTH('ادخال البيانات'!$N$3:$N$1164)=VALUE($B$10))) *
            (IF($B$11="الكل",1, INT((DAY('ادخال البيانات'!$N$3:$N$1164)-1)/7)+1 = VALUE($B$11))),
            'ادخال البيانات'!$H$3:$H$1164
         ),
         ""
      ),
      IF(_xlpm.result="", "", _xlpm.result)
   )
)</f>
        <v/>
      </c>
      <c r="I591" s="27" t="str" cm="1">
        <f t="array" ref="I591">IF(
   A591="",
   "",
   _xlfn.LET(
      _xlpm.result,
      IFERROR(
         _xlfn.XLOOKUP(
            1,
            (Table8[رقم الصنف]=A591) *
            (IF($B$9="الكل",1, YEAR('ادخال البيانات'!$N$3:$N$1164)=VALUE($B$9))) *
            (IF($B$10="الكل",1, MONTH('ادخال البيانات'!$N$3:$N$1164)=VALUE($B$10))) *
            (IF($B$11="الكل",1, INT((DAY('ادخال البيانات'!$N$3:$N$1164)-1)/7)+1 = VALUE($B$11))),
            'ادخال البيانات'!$I$3:$I$1164
         ),
         ""
      ),
      IF(_xlpm.result="", "", _xlpm.result)
   )
)</f>
        <v/>
      </c>
      <c r="J591" s="27" t="str" cm="1">
        <f t="array" ref="J591">IF(
   A591="",
   "",
   _xlfn.LET(
      _xlpm.result,
      IFERROR(
         _xlfn.XLOOKUP(
            1,
            (Table8[رقم الصنف]=A591) *
            (IF($B$9="الكل",1, YEAR('ادخال البيانات'!$N$3:$N$1164)=VALUE($B$9))) *
            (IF($B$10="الكل",1, MONTH('ادخال البيانات'!$N$3:$N$1164)=VALUE($B$10))) *
            (IF($B$11="الكل",1, INT((DAY('ادخال البيانات'!$N$3:$N$1164)-1)/7)+1 = VALUE($B$11))),
            'ادخال البيانات'!$J$3:$J$1164
         ),
         ""
      ),
      IF(_xlpm.result="", "", _xlpm.result)
   )
)</f>
        <v/>
      </c>
      <c r="K591" s="27" t="str" cm="1">
        <f t="array" ref="K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1" s="27" t="str" cm="1">
        <f t="array" ref="L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1" s="27" t="str" cm="1">
        <f t="array" ref="M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1" s="28" t="str" cm="1">
        <f t="array" ref="N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1" s="28" t="str" cm="1">
        <f t="array" ref="O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1" s="27" t="str" cm="1">
        <f t="array" ref="P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Table8[جهة العطل]
         ),
         ""
      ),
      IF(_xlpm.result="", "", _xlpm.result)
   )
)</f>
        <v/>
      </c>
      <c r="Q591" s="27" t="str" cm="1">
        <f t="array" ref="Q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Table8[المركز]
         ),
         ""
      ),
      IF(_xlpm.result="", "", _xlpm.result)
   )
)</f>
        <v/>
      </c>
      <c r="R591" s="27" t="str" cm="1">
        <f t="array" ref="R591">IF(
   A591="",
   "",
   _xlfn.LET(
      _xlpm.result,
      IFERROR(
         _xlfn.XLOOKUP(
            1,
            (Table8[رقم الصنف]=A591) *
            (IF($B$9="الكل",1, YEAR('ادخال البيانات'!$N$3:$N$1164) = VALUE($B$9))) *
            (IF($B$10="الكل",1, MONTH('ادخال البيانات'!$N$3:$N$1164) = VALUE($B$10))) *
            (IF($B$11="الكل",1, INT((DAY('ادخال البيانات'!$N$3:$N$1164) - 1) / 7) + 1 = VALUE($B$11))),
            Table8[ملاحظة]
         ),
         ""
      ),
      IF(_xlpm.result="", "", _xlpm.result)
   )
)</f>
        <v/>
      </c>
      <c r="S591" s="46" t="str">
        <f t="shared" ca="1" si="10"/>
        <v/>
      </c>
    </row>
    <row r="592" spans="1:19" ht="27.75" customHeight="1" thickTop="1" thickBot="1" x14ac:dyDescent="0.35">
      <c r="A592" s="39"/>
      <c r="B592" s="27" t="str" cm="1">
        <f t="array" ref="B592">IF(
   OR(A592="", $B$9="", $B$10="", $B$11=""),
   "",
   _xlfn.LET(
      _xlpm.result,
      IFERROR(
         _xlfn.XLOOKUP(
            1,
            (Table8[رقم الصنف]=A592)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2" s="27" t="str" cm="1">
        <f t="array" ref="C592">IF(
   A592="",
   "",
   _xlfn.LET(
      _xlpm.result,
      IFERROR(
         _xlfn.XLOOKUP(
            1,
            (Table8[رقم الصنف]=A592) *
            (IF($B$9="الكل",1, YEAR('ادخال البيانات'!$N$3:$N$1164) = VALUE($B$9))) *
            (IF($B$10="الكل",1, MONTH('ادخال البيانات'!$N$3:$N$1164) = VALUE($B$10))) *
            (IF($B$11="الكل",1, INT((DAY('ادخال البيانات'!$N$3:$N$1164)-1)/7)+1 = VALUE($B$11))),
            'ادخال البيانات'!$C$3:$C$1164
         ),
         ""
      ),
      IF(_xlpm.result="", "", _xlpm.result)
   )
)</f>
        <v/>
      </c>
      <c r="D592" s="27" t="str" cm="1">
        <f t="array" ref="D592">IF(
   OR(A592="", $B$9="", $B$10="", $B$11=""),
   "",
   _xlfn.LET(
      _xlpm.result,
      IFERROR(
         _xlfn.XLOOKUP(
            1,
            (Table8[رقم الصنف]=A592) *
            (IF($B$9="الكل",1, YEAR('ادخال البيانات'!$N$3:$N$1164)=VALUE($B$9))) *
            (IF($B$10="الكل",1, MONTH('ادخال البيانات'!$N$3:$N$1164)=VALUE($B$10))) *
            (IF($B$11="الكل",1, INT((DAY('ادخال البيانات'!$N$3:$N$1164)-1)/7)+1 = VALUE($B$11))),
            'ادخال البيانات'!$D$3:$D$1164
         ),
         ""
      ),
      IF(_xlpm.result="", "", _xlpm.result)
   )
)</f>
        <v/>
      </c>
      <c r="E592" s="27" t="str" cm="1">
        <f t="array" ref="E592">IF(
   A592="",
   "",
   _xlfn.LET(
      _xlpm.result,
      IFERROR(
         _xlfn.XLOOKUP(
            1,
            (Table8[رقم الصنف]=A592) *
            (IF($B$9="الكل",1, YEAR('ادخال البيانات'!$N$3:$N$1164)=VALUE($B$9))) *
            (IF($B$10="الكل",1, MONTH('ادخال البيانات'!$N$3:$N$1164)=VALUE($B$10))) *
            (IF($B$11="الكل",1, INT((DAY('ادخال البيانات'!$N$3:$N$1164)-1)/7)+1 = VALUE($B$11))),
            'ادخال البيانات'!$E$3:$E$1164
         ),
         ""
      ),
      IF(_xlpm.result="", "", _xlpm.result)
   )
)</f>
        <v/>
      </c>
      <c r="F592" s="27" t="str" cm="1">
        <f t="array" ref="F592">IF(
   A592="",
   "",
   _xlfn.LET(
      _xlpm.result,
      IFERROR(
         _xlfn.XLOOKUP(
            1,
            (Table8[رقم الصنف]=A592) *
            (IF($B$9="الكل",1, YEAR('ادخال البيانات'!$N$3:$N$1164) = VALUE($B$9))) *
            (IF($B$10="الكل",1, MONTH('ادخال البيانات'!$N$3:$N$1164) = VALUE($B$10))) *
            (IF($B$11="الكل",1, INT((DAY('ادخال البيانات'!$N$3:$N$1164)-1)/7)+1 = VALUE($B$11))),
            'ادخال البيانات'!$F$3:$F$1164
         ),
         ""
      ),
      IF(_xlpm.result="", "", _xlpm.result)
   )
)</f>
        <v/>
      </c>
      <c r="G592" s="27" t="str" cm="1">
        <f t="array" ref="G592">IF(
   A592="",
   "",
   _xlfn.LET(
      _xlpm.result,
      IFERROR(
         _xlfn.XLOOKUP(
            1,
            (Table8[رقم الصنف]=A592) *
            (IF($B$9="الكل",1, YEAR('ادخال البيانات'!$N$3:$N$1164)=VALUE($B$9))) *
            (IF($B$10="الكل",1, MONTH('ادخال البيانات'!$N$3:$N$1164)=VALUE($B$10))) *
            (IF($B$11="الكل",1, INT((DAY('ادخال البيانات'!$N$3:$N$1164)-1)/7)+1 = VALUE($B$11))),
            'ادخال البيانات'!$G$3:$G$1164
         ),
         ""
      ),
      IF(_xlpm.result="", "", _xlpm.result)
   )
)</f>
        <v/>
      </c>
      <c r="H592" s="27" t="str" cm="1">
        <f t="array" ref="H592">IF(
   A592="",
   "",
   _xlfn.LET(
      _xlpm.result,
      IFERROR(
         _xlfn.XLOOKUP(
            1,
            (Table8[رقم الصنف]=A592) *
            (IF($B$9="الكل",1, YEAR('ادخال البيانات'!$N$3:$N$1164)=VALUE($B$9))) *
            (IF($B$10="الكل",1, MONTH('ادخال البيانات'!$N$3:$N$1164)=VALUE($B$10))) *
            (IF($B$11="الكل",1, INT((DAY('ادخال البيانات'!$N$3:$N$1164)-1)/7)+1 = VALUE($B$11))),
            'ادخال البيانات'!$H$3:$H$1164
         ),
         ""
      ),
      IF(_xlpm.result="", "", _xlpm.result)
   )
)</f>
        <v/>
      </c>
      <c r="I592" s="27" t="str" cm="1">
        <f t="array" ref="I592">IF(
   A592="",
   "",
   _xlfn.LET(
      _xlpm.result,
      IFERROR(
         _xlfn.XLOOKUP(
            1,
            (Table8[رقم الصنف]=A592) *
            (IF($B$9="الكل",1, YEAR('ادخال البيانات'!$N$3:$N$1164)=VALUE($B$9))) *
            (IF($B$10="الكل",1, MONTH('ادخال البيانات'!$N$3:$N$1164)=VALUE($B$10))) *
            (IF($B$11="الكل",1, INT((DAY('ادخال البيانات'!$N$3:$N$1164)-1)/7)+1 = VALUE($B$11))),
            'ادخال البيانات'!$I$3:$I$1164
         ),
         ""
      ),
      IF(_xlpm.result="", "", _xlpm.result)
   )
)</f>
        <v/>
      </c>
      <c r="J592" s="27" t="str" cm="1">
        <f t="array" ref="J592">IF(
   A592="",
   "",
   _xlfn.LET(
      _xlpm.result,
      IFERROR(
         _xlfn.XLOOKUP(
            1,
            (Table8[رقم الصنف]=A592) *
            (IF($B$9="الكل",1, YEAR('ادخال البيانات'!$N$3:$N$1164)=VALUE($B$9))) *
            (IF($B$10="الكل",1, MONTH('ادخال البيانات'!$N$3:$N$1164)=VALUE($B$10))) *
            (IF($B$11="الكل",1, INT((DAY('ادخال البيانات'!$N$3:$N$1164)-1)/7)+1 = VALUE($B$11))),
            'ادخال البيانات'!$J$3:$J$1164
         ),
         ""
      ),
      IF(_xlpm.result="", "", _xlpm.result)
   )
)</f>
        <v/>
      </c>
      <c r="K592" s="27" t="str" cm="1">
        <f t="array" ref="K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2" s="27" t="str" cm="1">
        <f t="array" ref="L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2" s="27" t="str" cm="1">
        <f t="array" ref="M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2" s="28" t="str" cm="1">
        <f t="array" ref="N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2" s="28" t="str" cm="1">
        <f t="array" ref="O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2" s="27" t="str" cm="1">
        <f t="array" ref="P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Table8[جهة العطل]
         ),
         ""
      ),
      IF(_xlpm.result="", "", _xlpm.result)
   )
)</f>
        <v/>
      </c>
      <c r="Q592" s="27" t="str" cm="1">
        <f t="array" ref="Q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Table8[المركز]
         ),
         ""
      ),
      IF(_xlpm.result="", "", _xlpm.result)
   )
)</f>
        <v/>
      </c>
      <c r="R592" s="27" t="str" cm="1">
        <f t="array" ref="R592">IF(
   A592="",
   "",
   _xlfn.LET(
      _xlpm.result,
      IFERROR(
         _xlfn.XLOOKUP(
            1,
            (Table8[رقم الصنف]=A592) *
            (IF($B$9="الكل",1, YEAR('ادخال البيانات'!$N$3:$N$1164) = VALUE($B$9))) *
            (IF($B$10="الكل",1, MONTH('ادخال البيانات'!$N$3:$N$1164) = VALUE($B$10))) *
            (IF($B$11="الكل",1, INT((DAY('ادخال البيانات'!$N$3:$N$1164) - 1) / 7) + 1 = VALUE($B$11))),
            Table8[ملاحظة]
         ),
         ""
      ),
      IF(_xlpm.result="", "", _xlpm.result)
   )
)</f>
        <v/>
      </c>
      <c r="S592" s="46" t="str">
        <f t="shared" ca="1" si="10"/>
        <v/>
      </c>
    </row>
    <row r="593" spans="1:19" ht="27.75" customHeight="1" thickTop="1" thickBot="1" x14ac:dyDescent="0.35">
      <c r="A593" s="39"/>
      <c r="B593" s="27" t="str" cm="1">
        <f t="array" ref="B593">IF(
   OR(A593="", $B$9="", $B$10="", $B$11=""),
   "",
   _xlfn.LET(
      _xlpm.result,
      IFERROR(
         _xlfn.XLOOKUP(
            1,
            (Table8[رقم الصنف]=A593)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3" s="27" t="str" cm="1">
        <f t="array" ref="C593">IF(
   A593="",
   "",
   _xlfn.LET(
      _xlpm.result,
      IFERROR(
         _xlfn.XLOOKUP(
            1,
            (Table8[رقم الصنف]=A593) *
            (IF($B$9="الكل",1, YEAR('ادخال البيانات'!$N$3:$N$1164) = VALUE($B$9))) *
            (IF($B$10="الكل",1, MONTH('ادخال البيانات'!$N$3:$N$1164) = VALUE($B$10))) *
            (IF($B$11="الكل",1, INT((DAY('ادخال البيانات'!$N$3:$N$1164)-1)/7)+1 = VALUE($B$11))),
            'ادخال البيانات'!$C$3:$C$1164
         ),
         ""
      ),
      IF(_xlpm.result="", "", _xlpm.result)
   )
)</f>
        <v/>
      </c>
      <c r="D593" s="27" t="str" cm="1">
        <f t="array" ref="D593">IF(
   OR(A593="", $B$9="", $B$10="", $B$11=""),
   "",
   _xlfn.LET(
      _xlpm.result,
      IFERROR(
         _xlfn.XLOOKUP(
            1,
            (Table8[رقم الصنف]=A593) *
            (IF($B$9="الكل",1, YEAR('ادخال البيانات'!$N$3:$N$1164)=VALUE($B$9))) *
            (IF($B$10="الكل",1, MONTH('ادخال البيانات'!$N$3:$N$1164)=VALUE($B$10))) *
            (IF($B$11="الكل",1, INT((DAY('ادخال البيانات'!$N$3:$N$1164)-1)/7)+1 = VALUE($B$11))),
            'ادخال البيانات'!$D$3:$D$1164
         ),
         ""
      ),
      IF(_xlpm.result="", "", _xlpm.result)
   )
)</f>
        <v/>
      </c>
      <c r="E593" s="27" t="str" cm="1">
        <f t="array" ref="E593">IF(
   A593="",
   "",
   _xlfn.LET(
      _xlpm.result,
      IFERROR(
         _xlfn.XLOOKUP(
            1,
            (Table8[رقم الصنف]=A593) *
            (IF($B$9="الكل",1, YEAR('ادخال البيانات'!$N$3:$N$1164)=VALUE($B$9))) *
            (IF($B$10="الكل",1, MONTH('ادخال البيانات'!$N$3:$N$1164)=VALUE($B$10))) *
            (IF($B$11="الكل",1, INT((DAY('ادخال البيانات'!$N$3:$N$1164)-1)/7)+1 = VALUE($B$11))),
            'ادخال البيانات'!$E$3:$E$1164
         ),
         ""
      ),
      IF(_xlpm.result="", "", _xlpm.result)
   )
)</f>
        <v/>
      </c>
      <c r="F593" s="27" t="str" cm="1">
        <f t="array" ref="F593">IF(
   A593="",
   "",
   _xlfn.LET(
      _xlpm.result,
      IFERROR(
         _xlfn.XLOOKUP(
            1,
            (Table8[رقم الصنف]=A593) *
            (IF($B$9="الكل",1, YEAR('ادخال البيانات'!$N$3:$N$1164) = VALUE($B$9))) *
            (IF($B$10="الكل",1, MONTH('ادخال البيانات'!$N$3:$N$1164) = VALUE($B$10))) *
            (IF($B$11="الكل",1, INT((DAY('ادخال البيانات'!$N$3:$N$1164)-1)/7)+1 = VALUE($B$11))),
            'ادخال البيانات'!$F$3:$F$1164
         ),
         ""
      ),
      IF(_xlpm.result="", "", _xlpm.result)
   )
)</f>
        <v/>
      </c>
      <c r="G593" s="27" t="str" cm="1">
        <f t="array" ref="G593">IF(
   A593="",
   "",
   _xlfn.LET(
      _xlpm.result,
      IFERROR(
         _xlfn.XLOOKUP(
            1,
            (Table8[رقم الصنف]=A593) *
            (IF($B$9="الكل",1, YEAR('ادخال البيانات'!$N$3:$N$1164)=VALUE($B$9))) *
            (IF($B$10="الكل",1, MONTH('ادخال البيانات'!$N$3:$N$1164)=VALUE($B$10))) *
            (IF($B$11="الكل",1, INT((DAY('ادخال البيانات'!$N$3:$N$1164)-1)/7)+1 = VALUE($B$11))),
            'ادخال البيانات'!$G$3:$G$1164
         ),
         ""
      ),
      IF(_xlpm.result="", "", _xlpm.result)
   )
)</f>
        <v/>
      </c>
      <c r="H593" s="27" t="str" cm="1">
        <f t="array" ref="H593">IF(
   A593="",
   "",
   _xlfn.LET(
      _xlpm.result,
      IFERROR(
         _xlfn.XLOOKUP(
            1,
            (Table8[رقم الصنف]=A593) *
            (IF($B$9="الكل",1, YEAR('ادخال البيانات'!$N$3:$N$1164)=VALUE($B$9))) *
            (IF($B$10="الكل",1, MONTH('ادخال البيانات'!$N$3:$N$1164)=VALUE($B$10))) *
            (IF($B$11="الكل",1, INT((DAY('ادخال البيانات'!$N$3:$N$1164)-1)/7)+1 = VALUE($B$11))),
            'ادخال البيانات'!$H$3:$H$1164
         ),
         ""
      ),
      IF(_xlpm.result="", "", _xlpm.result)
   )
)</f>
        <v/>
      </c>
      <c r="I593" s="27" t="str" cm="1">
        <f t="array" ref="I593">IF(
   A593="",
   "",
   _xlfn.LET(
      _xlpm.result,
      IFERROR(
         _xlfn.XLOOKUP(
            1,
            (Table8[رقم الصنف]=A593) *
            (IF($B$9="الكل",1, YEAR('ادخال البيانات'!$N$3:$N$1164)=VALUE($B$9))) *
            (IF($B$10="الكل",1, MONTH('ادخال البيانات'!$N$3:$N$1164)=VALUE($B$10))) *
            (IF($B$11="الكل",1, INT((DAY('ادخال البيانات'!$N$3:$N$1164)-1)/7)+1 = VALUE($B$11))),
            'ادخال البيانات'!$I$3:$I$1164
         ),
         ""
      ),
      IF(_xlpm.result="", "", _xlpm.result)
   )
)</f>
        <v/>
      </c>
      <c r="J593" s="27" t="str" cm="1">
        <f t="array" ref="J593">IF(
   A593="",
   "",
   _xlfn.LET(
      _xlpm.result,
      IFERROR(
         _xlfn.XLOOKUP(
            1,
            (Table8[رقم الصنف]=A593) *
            (IF($B$9="الكل",1, YEAR('ادخال البيانات'!$N$3:$N$1164)=VALUE($B$9))) *
            (IF($B$10="الكل",1, MONTH('ادخال البيانات'!$N$3:$N$1164)=VALUE($B$10))) *
            (IF($B$11="الكل",1, INT((DAY('ادخال البيانات'!$N$3:$N$1164)-1)/7)+1 = VALUE($B$11))),
            'ادخال البيانات'!$J$3:$J$1164
         ),
         ""
      ),
      IF(_xlpm.result="", "", _xlpm.result)
   )
)</f>
        <v/>
      </c>
      <c r="K593" s="27" t="str" cm="1">
        <f t="array" ref="K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3" s="27" t="str" cm="1">
        <f t="array" ref="L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3" s="27" t="str" cm="1">
        <f t="array" ref="M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3" s="28" t="str" cm="1">
        <f t="array" ref="N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3" s="28" t="str" cm="1">
        <f t="array" ref="O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3" s="27" t="str" cm="1">
        <f t="array" ref="P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Table8[جهة العطل]
         ),
         ""
      ),
      IF(_xlpm.result="", "", _xlpm.result)
   )
)</f>
        <v/>
      </c>
      <c r="Q593" s="27" t="str" cm="1">
        <f t="array" ref="Q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Table8[المركز]
         ),
         ""
      ),
      IF(_xlpm.result="", "", _xlpm.result)
   )
)</f>
        <v/>
      </c>
      <c r="R593" s="27" t="str" cm="1">
        <f t="array" ref="R593">IF(
   A593="",
   "",
   _xlfn.LET(
      _xlpm.result,
      IFERROR(
         _xlfn.XLOOKUP(
            1,
            (Table8[رقم الصنف]=A593) *
            (IF($B$9="الكل",1, YEAR('ادخال البيانات'!$N$3:$N$1164) = VALUE($B$9))) *
            (IF($B$10="الكل",1, MONTH('ادخال البيانات'!$N$3:$N$1164) = VALUE($B$10))) *
            (IF($B$11="الكل",1, INT((DAY('ادخال البيانات'!$N$3:$N$1164) - 1) / 7) + 1 = VALUE($B$11))),
            Table8[ملاحظة]
         ),
         ""
      ),
      IF(_xlpm.result="", "", _xlpm.result)
   )
)</f>
        <v/>
      </c>
      <c r="S593" s="46" t="str">
        <f t="shared" ca="1" si="10"/>
        <v/>
      </c>
    </row>
    <row r="594" spans="1:19" ht="27.75" customHeight="1" thickTop="1" thickBot="1" x14ac:dyDescent="0.35">
      <c r="A594" s="39"/>
      <c r="B594" s="27" t="str" cm="1">
        <f t="array" ref="B594">IF(
   OR(A594="", $B$9="", $B$10="", $B$11=""),
   "",
   _xlfn.LET(
      _xlpm.result,
      IFERROR(
         _xlfn.XLOOKUP(
            1,
            (Table8[رقم الصنف]=A594)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4" s="27" t="str" cm="1">
        <f t="array" ref="C594">IF(
   A594="",
   "",
   _xlfn.LET(
      _xlpm.result,
      IFERROR(
         _xlfn.XLOOKUP(
            1,
            (Table8[رقم الصنف]=A594) *
            (IF($B$9="الكل",1, YEAR('ادخال البيانات'!$N$3:$N$1164) = VALUE($B$9))) *
            (IF($B$10="الكل",1, MONTH('ادخال البيانات'!$N$3:$N$1164) = VALUE($B$10))) *
            (IF($B$11="الكل",1, INT((DAY('ادخال البيانات'!$N$3:$N$1164)-1)/7)+1 = VALUE($B$11))),
            'ادخال البيانات'!$C$3:$C$1164
         ),
         ""
      ),
      IF(_xlpm.result="", "", _xlpm.result)
   )
)</f>
        <v/>
      </c>
      <c r="D594" s="27" t="str" cm="1">
        <f t="array" ref="D594">IF(
   OR(A594="", $B$9="", $B$10="", $B$11=""),
   "",
   _xlfn.LET(
      _xlpm.result,
      IFERROR(
         _xlfn.XLOOKUP(
            1,
            (Table8[رقم الصنف]=A594) *
            (IF($B$9="الكل",1, YEAR('ادخال البيانات'!$N$3:$N$1164)=VALUE($B$9))) *
            (IF($B$10="الكل",1, MONTH('ادخال البيانات'!$N$3:$N$1164)=VALUE($B$10))) *
            (IF($B$11="الكل",1, INT((DAY('ادخال البيانات'!$N$3:$N$1164)-1)/7)+1 = VALUE($B$11))),
            'ادخال البيانات'!$D$3:$D$1164
         ),
         ""
      ),
      IF(_xlpm.result="", "", _xlpm.result)
   )
)</f>
        <v/>
      </c>
      <c r="E594" s="27" t="str" cm="1">
        <f t="array" ref="E594">IF(
   A594="",
   "",
   _xlfn.LET(
      _xlpm.result,
      IFERROR(
         _xlfn.XLOOKUP(
            1,
            (Table8[رقم الصنف]=A594) *
            (IF($B$9="الكل",1, YEAR('ادخال البيانات'!$N$3:$N$1164)=VALUE($B$9))) *
            (IF($B$10="الكل",1, MONTH('ادخال البيانات'!$N$3:$N$1164)=VALUE($B$10))) *
            (IF($B$11="الكل",1, INT((DAY('ادخال البيانات'!$N$3:$N$1164)-1)/7)+1 = VALUE($B$11))),
            'ادخال البيانات'!$E$3:$E$1164
         ),
         ""
      ),
      IF(_xlpm.result="", "", _xlpm.result)
   )
)</f>
        <v/>
      </c>
      <c r="F594" s="27" t="str" cm="1">
        <f t="array" ref="F594">IF(
   A594="",
   "",
   _xlfn.LET(
      _xlpm.result,
      IFERROR(
         _xlfn.XLOOKUP(
            1,
            (Table8[رقم الصنف]=A594) *
            (IF($B$9="الكل",1, YEAR('ادخال البيانات'!$N$3:$N$1164) = VALUE($B$9))) *
            (IF($B$10="الكل",1, MONTH('ادخال البيانات'!$N$3:$N$1164) = VALUE($B$10))) *
            (IF($B$11="الكل",1, INT((DAY('ادخال البيانات'!$N$3:$N$1164)-1)/7)+1 = VALUE($B$11))),
            'ادخال البيانات'!$F$3:$F$1164
         ),
         ""
      ),
      IF(_xlpm.result="", "", _xlpm.result)
   )
)</f>
        <v/>
      </c>
      <c r="G594" s="27" t="str" cm="1">
        <f t="array" ref="G594">IF(
   A594="",
   "",
   _xlfn.LET(
      _xlpm.result,
      IFERROR(
         _xlfn.XLOOKUP(
            1,
            (Table8[رقم الصنف]=A594) *
            (IF($B$9="الكل",1, YEAR('ادخال البيانات'!$N$3:$N$1164)=VALUE($B$9))) *
            (IF($B$10="الكل",1, MONTH('ادخال البيانات'!$N$3:$N$1164)=VALUE($B$10))) *
            (IF($B$11="الكل",1, INT((DAY('ادخال البيانات'!$N$3:$N$1164)-1)/7)+1 = VALUE($B$11))),
            'ادخال البيانات'!$G$3:$G$1164
         ),
         ""
      ),
      IF(_xlpm.result="", "", _xlpm.result)
   )
)</f>
        <v/>
      </c>
      <c r="H594" s="27" t="str" cm="1">
        <f t="array" ref="H594">IF(
   A594="",
   "",
   _xlfn.LET(
      _xlpm.result,
      IFERROR(
         _xlfn.XLOOKUP(
            1,
            (Table8[رقم الصنف]=A594) *
            (IF($B$9="الكل",1, YEAR('ادخال البيانات'!$N$3:$N$1164)=VALUE($B$9))) *
            (IF($B$10="الكل",1, MONTH('ادخال البيانات'!$N$3:$N$1164)=VALUE($B$10))) *
            (IF($B$11="الكل",1, INT((DAY('ادخال البيانات'!$N$3:$N$1164)-1)/7)+1 = VALUE($B$11))),
            'ادخال البيانات'!$H$3:$H$1164
         ),
         ""
      ),
      IF(_xlpm.result="", "", _xlpm.result)
   )
)</f>
        <v/>
      </c>
      <c r="I594" s="27" t="str" cm="1">
        <f t="array" ref="I594">IF(
   A594="",
   "",
   _xlfn.LET(
      _xlpm.result,
      IFERROR(
         _xlfn.XLOOKUP(
            1,
            (Table8[رقم الصنف]=A594) *
            (IF($B$9="الكل",1, YEAR('ادخال البيانات'!$N$3:$N$1164)=VALUE($B$9))) *
            (IF($B$10="الكل",1, MONTH('ادخال البيانات'!$N$3:$N$1164)=VALUE($B$10))) *
            (IF($B$11="الكل",1, INT((DAY('ادخال البيانات'!$N$3:$N$1164)-1)/7)+1 = VALUE($B$11))),
            'ادخال البيانات'!$I$3:$I$1164
         ),
         ""
      ),
      IF(_xlpm.result="", "", _xlpm.result)
   )
)</f>
        <v/>
      </c>
      <c r="J594" s="27" t="str" cm="1">
        <f t="array" ref="J594">IF(
   A594="",
   "",
   _xlfn.LET(
      _xlpm.result,
      IFERROR(
         _xlfn.XLOOKUP(
            1,
            (Table8[رقم الصنف]=A594) *
            (IF($B$9="الكل",1, YEAR('ادخال البيانات'!$N$3:$N$1164)=VALUE($B$9))) *
            (IF($B$10="الكل",1, MONTH('ادخال البيانات'!$N$3:$N$1164)=VALUE($B$10))) *
            (IF($B$11="الكل",1, INT((DAY('ادخال البيانات'!$N$3:$N$1164)-1)/7)+1 = VALUE($B$11))),
            'ادخال البيانات'!$J$3:$J$1164
         ),
         ""
      ),
      IF(_xlpm.result="", "", _xlpm.result)
   )
)</f>
        <v/>
      </c>
      <c r="K594" s="27" t="str" cm="1">
        <f t="array" ref="K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4" s="27" t="str" cm="1">
        <f t="array" ref="L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4" s="27" t="str" cm="1">
        <f t="array" ref="M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4" s="28" t="str" cm="1">
        <f t="array" ref="N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4" s="28" t="str" cm="1">
        <f t="array" ref="O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4" s="27" t="str" cm="1">
        <f t="array" ref="P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Table8[جهة العطل]
         ),
         ""
      ),
      IF(_xlpm.result="", "", _xlpm.result)
   )
)</f>
        <v/>
      </c>
      <c r="Q594" s="27" t="str" cm="1">
        <f t="array" ref="Q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Table8[المركز]
         ),
         ""
      ),
      IF(_xlpm.result="", "", _xlpm.result)
   )
)</f>
        <v/>
      </c>
      <c r="R594" s="27" t="str" cm="1">
        <f t="array" ref="R594">IF(
   A594="",
   "",
   _xlfn.LET(
      _xlpm.result,
      IFERROR(
         _xlfn.XLOOKUP(
            1,
            (Table8[رقم الصنف]=A594) *
            (IF($B$9="الكل",1, YEAR('ادخال البيانات'!$N$3:$N$1164) = VALUE($B$9))) *
            (IF($B$10="الكل",1, MONTH('ادخال البيانات'!$N$3:$N$1164) = VALUE($B$10))) *
            (IF($B$11="الكل",1, INT((DAY('ادخال البيانات'!$N$3:$N$1164) - 1) / 7) + 1 = VALUE($B$11))),
            Table8[ملاحظة]
         ),
         ""
      ),
      IF(_xlpm.result="", "", _xlpm.result)
   )
)</f>
        <v/>
      </c>
      <c r="S594" s="46" t="str">
        <f t="shared" ca="1" si="10"/>
        <v/>
      </c>
    </row>
    <row r="595" spans="1:19" ht="27.75" customHeight="1" thickTop="1" thickBot="1" x14ac:dyDescent="0.35">
      <c r="A595" s="39"/>
      <c r="B595" s="27" t="str" cm="1">
        <f t="array" ref="B595">IF(
   OR(A595="", $B$9="", $B$10="", $B$11=""),
   "",
   _xlfn.LET(
      _xlpm.result,
      IFERROR(
         _xlfn.XLOOKUP(
            1,
            (Table8[رقم الصنف]=A595)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5" s="27" t="str" cm="1">
        <f t="array" ref="C595">IF(
   A595="",
   "",
   _xlfn.LET(
      _xlpm.result,
      IFERROR(
         _xlfn.XLOOKUP(
            1,
            (Table8[رقم الصنف]=A595) *
            (IF($B$9="الكل",1, YEAR('ادخال البيانات'!$N$3:$N$1164) = VALUE($B$9))) *
            (IF($B$10="الكل",1, MONTH('ادخال البيانات'!$N$3:$N$1164) = VALUE($B$10))) *
            (IF($B$11="الكل",1, INT((DAY('ادخال البيانات'!$N$3:$N$1164)-1)/7)+1 = VALUE($B$11))),
            'ادخال البيانات'!$C$3:$C$1164
         ),
         ""
      ),
      IF(_xlpm.result="", "", _xlpm.result)
   )
)</f>
        <v/>
      </c>
      <c r="D595" s="27" t="str" cm="1">
        <f t="array" ref="D595">IF(
   OR(A595="", $B$9="", $B$10="", $B$11=""),
   "",
   _xlfn.LET(
      _xlpm.result,
      IFERROR(
         _xlfn.XLOOKUP(
            1,
            (Table8[رقم الصنف]=A595) *
            (IF($B$9="الكل",1, YEAR('ادخال البيانات'!$N$3:$N$1164)=VALUE($B$9))) *
            (IF($B$10="الكل",1, MONTH('ادخال البيانات'!$N$3:$N$1164)=VALUE($B$10))) *
            (IF($B$11="الكل",1, INT((DAY('ادخال البيانات'!$N$3:$N$1164)-1)/7)+1 = VALUE($B$11))),
            'ادخال البيانات'!$D$3:$D$1164
         ),
         ""
      ),
      IF(_xlpm.result="", "", _xlpm.result)
   )
)</f>
        <v/>
      </c>
      <c r="E595" s="27" t="str" cm="1">
        <f t="array" ref="E595">IF(
   A595="",
   "",
   _xlfn.LET(
      _xlpm.result,
      IFERROR(
         _xlfn.XLOOKUP(
            1,
            (Table8[رقم الصنف]=A595) *
            (IF($B$9="الكل",1, YEAR('ادخال البيانات'!$N$3:$N$1164)=VALUE($B$9))) *
            (IF($B$10="الكل",1, MONTH('ادخال البيانات'!$N$3:$N$1164)=VALUE($B$10))) *
            (IF($B$11="الكل",1, INT((DAY('ادخال البيانات'!$N$3:$N$1164)-1)/7)+1 = VALUE($B$11))),
            'ادخال البيانات'!$E$3:$E$1164
         ),
         ""
      ),
      IF(_xlpm.result="", "", _xlpm.result)
   )
)</f>
        <v/>
      </c>
      <c r="F595" s="27" t="str" cm="1">
        <f t="array" ref="F595">IF(
   A595="",
   "",
   _xlfn.LET(
      _xlpm.result,
      IFERROR(
         _xlfn.XLOOKUP(
            1,
            (Table8[رقم الصنف]=A595) *
            (IF($B$9="الكل",1, YEAR('ادخال البيانات'!$N$3:$N$1164) = VALUE($B$9))) *
            (IF($B$10="الكل",1, MONTH('ادخال البيانات'!$N$3:$N$1164) = VALUE($B$10))) *
            (IF($B$11="الكل",1, INT((DAY('ادخال البيانات'!$N$3:$N$1164)-1)/7)+1 = VALUE($B$11))),
            'ادخال البيانات'!$F$3:$F$1164
         ),
         ""
      ),
      IF(_xlpm.result="", "", _xlpm.result)
   )
)</f>
        <v/>
      </c>
      <c r="G595" s="27" t="str" cm="1">
        <f t="array" ref="G595">IF(
   A595="",
   "",
   _xlfn.LET(
      _xlpm.result,
      IFERROR(
         _xlfn.XLOOKUP(
            1,
            (Table8[رقم الصنف]=A595) *
            (IF($B$9="الكل",1, YEAR('ادخال البيانات'!$N$3:$N$1164)=VALUE($B$9))) *
            (IF($B$10="الكل",1, MONTH('ادخال البيانات'!$N$3:$N$1164)=VALUE($B$10))) *
            (IF($B$11="الكل",1, INT((DAY('ادخال البيانات'!$N$3:$N$1164)-1)/7)+1 = VALUE($B$11))),
            'ادخال البيانات'!$G$3:$G$1164
         ),
         ""
      ),
      IF(_xlpm.result="", "", _xlpm.result)
   )
)</f>
        <v/>
      </c>
      <c r="H595" s="27" t="str" cm="1">
        <f t="array" ref="H595">IF(
   A595="",
   "",
   _xlfn.LET(
      _xlpm.result,
      IFERROR(
         _xlfn.XLOOKUP(
            1,
            (Table8[رقم الصنف]=A595) *
            (IF($B$9="الكل",1, YEAR('ادخال البيانات'!$N$3:$N$1164)=VALUE($B$9))) *
            (IF($B$10="الكل",1, MONTH('ادخال البيانات'!$N$3:$N$1164)=VALUE($B$10))) *
            (IF($B$11="الكل",1, INT((DAY('ادخال البيانات'!$N$3:$N$1164)-1)/7)+1 = VALUE($B$11))),
            'ادخال البيانات'!$H$3:$H$1164
         ),
         ""
      ),
      IF(_xlpm.result="", "", _xlpm.result)
   )
)</f>
        <v/>
      </c>
      <c r="I595" s="27" t="str" cm="1">
        <f t="array" ref="I595">IF(
   A595="",
   "",
   _xlfn.LET(
      _xlpm.result,
      IFERROR(
         _xlfn.XLOOKUP(
            1,
            (Table8[رقم الصنف]=A595) *
            (IF($B$9="الكل",1, YEAR('ادخال البيانات'!$N$3:$N$1164)=VALUE($B$9))) *
            (IF($B$10="الكل",1, MONTH('ادخال البيانات'!$N$3:$N$1164)=VALUE($B$10))) *
            (IF($B$11="الكل",1, INT((DAY('ادخال البيانات'!$N$3:$N$1164)-1)/7)+1 = VALUE($B$11))),
            'ادخال البيانات'!$I$3:$I$1164
         ),
         ""
      ),
      IF(_xlpm.result="", "", _xlpm.result)
   )
)</f>
        <v/>
      </c>
      <c r="J595" s="27" t="str" cm="1">
        <f t="array" ref="J595">IF(
   A595="",
   "",
   _xlfn.LET(
      _xlpm.result,
      IFERROR(
         _xlfn.XLOOKUP(
            1,
            (Table8[رقم الصنف]=A595) *
            (IF($B$9="الكل",1, YEAR('ادخال البيانات'!$N$3:$N$1164)=VALUE($B$9))) *
            (IF($B$10="الكل",1, MONTH('ادخال البيانات'!$N$3:$N$1164)=VALUE($B$10))) *
            (IF($B$11="الكل",1, INT((DAY('ادخال البيانات'!$N$3:$N$1164)-1)/7)+1 = VALUE($B$11))),
            'ادخال البيانات'!$J$3:$J$1164
         ),
         ""
      ),
      IF(_xlpm.result="", "", _xlpm.result)
   )
)</f>
        <v/>
      </c>
      <c r="K595" s="27" t="str" cm="1">
        <f t="array" ref="K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5" s="27" t="str" cm="1">
        <f t="array" ref="L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5" s="27" t="str" cm="1">
        <f t="array" ref="M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5" s="28" t="str" cm="1">
        <f t="array" ref="N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5" s="28" t="str" cm="1">
        <f t="array" ref="O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5" s="27" t="str" cm="1">
        <f t="array" ref="P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Table8[جهة العطل]
         ),
         ""
      ),
      IF(_xlpm.result="", "", _xlpm.result)
   )
)</f>
        <v/>
      </c>
      <c r="Q595" s="27" t="str" cm="1">
        <f t="array" ref="Q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Table8[المركز]
         ),
         ""
      ),
      IF(_xlpm.result="", "", _xlpm.result)
   )
)</f>
        <v/>
      </c>
      <c r="R595" s="27" t="str" cm="1">
        <f t="array" ref="R595">IF(
   A595="",
   "",
   _xlfn.LET(
      _xlpm.result,
      IFERROR(
         _xlfn.XLOOKUP(
            1,
            (Table8[رقم الصنف]=A595) *
            (IF($B$9="الكل",1, YEAR('ادخال البيانات'!$N$3:$N$1164) = VALUE($B$9))) *
            (IF($B$10="الكل",1, MONTH('ادخال البيانات'!$N$3:$N$1164) = VALUE($B$10))) *
            (IF($B$11="الكل",1, INT((DAY('ادخال البيانات'!$N$3:$N$1164) - 1) / 7) + 1 = VALUE($B$11))),
            Table8[ملاحظة]
         ),
         ""
      ),
      IF(_xlpm.result="", "", _xlpm.result)
   )
)</f>
        <v/>
      </c>
      <c r="S595" s="46" t="str">
        <f t="shared" ca="1" si="10"/>
        <v/>
      </c>
    </row>
    <row r="596" spans="1:19" ht="27.75" customHeight="1" thickTop="1" thickBot="1" x14ac:dyDescent="0.35">
      <c r="A596" s="39"/>
      <c r="B596" s="27" t="str" cm="1">
        <f t="array" ref="B596">IF(
   OR(A596="", $B$9="", $B$10="", $B$11=""),
   "",
   _xlfn.LET(
      _xlpm.result,
      IFERROR(
         _xlfn.XLOOKUP(
            1,
            (Table8[رقم الصنف]=A596)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6" s="27" t="str" cm="1">
        <f t="array" ref="C596">IF(
   A596="",
   "",
   _xlfn.LET(
      _xlpm.result,
      IFERROR(
         _xlfn.XLOOKUP(
            1,
            (Table8[رقم الصنف]=A596) *
            (IF($B$9="الكل",1, YEAR('ادخال البيانات'!$N$3:$N$1164) = VALUE($B$9))) *
            (IF($B$10="الكل",1, MONTH('ادخال البيانات'!$N$3:$N$1164) = VALUE($B$10))) *
            (IF($B$11="الكل",1, INT((DAY('ادخال البيانات'!$N$3:$N$1164)-1)/7)+1 = VALUE($B$11))),
            'ادخال البيانات'!$C$3:$C$1164
         ),
         ""
      ),
      IF(_xlpm.result="", "", _xlpm.result)
   )
)</f>
        <v/>
      </c>
      <c r="D596" s="27" t="str" cm="1">
        <f t="array" ref="D596">IF(
   OR(A596="", $B$9="", $B$10="", $B$11=""),
   "",
   _xlfn.LET(
      _xlpm.result,
      IFERROR(
         _xlfn.XLOOKUP(
            1,
            (Table8[رقم الصنف]=A596) *
            (IF($B$9="الكل",1, YEAR('ادخال البيانات'!$N$3:$N$1164)=VALUE($B$9))) *
            (IF($B$10="الكل",1, MONTH('ادخال البيانات'!$N$3:$N$1164)=VALUE($B$10))) *
            (IF($B$11="الكل",1, INT((DAY('ادخال البيانات'!$N$3:$N$1164)-1)/7)+1 = VALUE($B$11))),
            'ادخال البيانات'!$D$3:$D$1164
         ),
         ""
      ),
      IF(_xlpm.result="", "", _xlpm.result)
   )
)</f>
        <v/>
      </c>
      <c r="E596" s="27" t="str" cm="1">
        <f t="array" ref="E596">IF(
   A596="",
   "",
   _xlfn.LET(
      _xlpm.result,
      IFERROR(
         _xlfn.XLOOKUP(
            1,
            (Table8[رقم الصنف]=A596) *
            (IF($B$9="الكل",1, YEAR('ادخال البيانات'!$N$3:$N$1164)=VALUE($B$9))) *
            (IF($B$10="الكل",1, MONTH('ادخال البيانات'!$N$3:$N$1164)=VALUE($B$10))) *
            (IF($B$11="الكل",1, INT((DAY('ادخال البيانات'!$N$3:$N$1164)-1)/7)+1 = VALUE($B$11))),
            'ادخال البيانات'!$E$3:$E$1164
         ),
         ""
      ),
      IF(_xlpm.result="", "", _xlpm.result)
   )
)</f>
        <v/>
      </c>
      <c r="F596" s="27" t="str" cm="1">
        <f t="array" ref="F596">IF(
   A596="",
   "",
   _xlfn.LET(
      _xlpm.result,
      IFERROR(
         _xlfn.XLOOKUP(
            1,
            (Table8[رقم الصنف]=A596) *
            (IF($B$9="الكل",1, YEAR('ادخال البيانات'!$N$3:$N$1164) = VALUE($B$9))) *
            (IF($B$10="الكل",1, MONTH('ادخال البيانات'!$N$3:$N$1164) = VALUE($B$10))) *
            (IF($B$11="الكل",1, INT((DAY('ادخال البيانات'!$N$3:$N$1164)-1)/7)+1 = VALUE($B$11))),
            'ادخال البيانات'!$F$3:$F$1164
         ),
         ""
      ),
      IF(_xlpm.result="", "", _xlpm.result)
   )
)</f>
        <v/>
      </c>
      <c r="G596" s="27" t="str" cm="1">
        <f t="array" ref="G596">IF(
   A596="",
   "",
   _xlfn.LET(
      _xlpm.result,
      IFERROR(
         _xlfn.XLOOKUP(
            1,
            (Table8[رقم الصنف]=A596) *
            (IF($B$9="الكل",1, YEAR('ادخال البيانات'!$N$3:$N$1164)=VALUE($B$9))) *
            (IF($B$10="الكل",1, MONTH('ادخال البيانات'!$N$3:$N$1164)=VALUE($B$10))) *
            (IF($B$11="الكل",1, INT((DAY('ادخال البيانات'!$N$3:$N$1164)-1)/7)+1 = VALUE($B$11))),
            'ادخال البيانات'!$G$3:$G$1164
         ),
         ""
      ),
      IF(_xlpm.result="", "", _xlpm.result)
   )
)</f>
        <v/>
      </c>
      <c r="H596" s="27" t="str" cm="1">
        <f t="array" ref="H596">IF(
   A596="",
   "",
   _xlfn.LET(
      _xlpm.result,
      IFERROR(
         _xlfn.XLOOKUP(
            1,
            (Table8[رقم الصنف]=A596) *
            (IF($B$9="الكل",1, YEAR('ادخال البيانات'!$N$3:$N$1164)=VALUE($B$9))) *
            (IF($B$10="الكل",1, MONTH('ادخال البيانات'!$N$3:$N$1164)=VALUE($B$10))) *
            (IF($B$11="الكل",1, INT((DAY('ادخال البيانات'!$N$3:$N$1164)-1)/7)+1 = VALUE($B$11))),
            'ادخال البيانات'!$H$3:$H$1164
         ),
         ""
      ),
      IF(_xlpm.result="", "", _xlpm.result)
   )
)</f>
        <v/>
      </c>
      <c r="I596" s="27" t="str" cm="1">
        <f t="array" ref="I596">IF(
   A596="",
   "",
   _xlfn.LET(
      _xlpm.result,
      IFERROR(
         _xlfn.XLOOKUP(
            1,
            (Table8[رقم الصنف]=A596) *
            (IF($B$9="الكل",1, YEAR('ادخال البيانات'!$N$3:$N$1164)=VALUE($B$9))) *
            (IF($B$10="الكل",1, MONTH('ادخال البيانات'!$N$3:$N$1164)=VALUE($B$10))) *
            (IF($B$11="الكل",1, INT((DAY('ادخال البيانات'!$N$3:$N$1164)-1)/7)+1 = VALUE($B$11))),
            'ادخال البيانات'!$I$3:$I$1164
         ),
         ""
      ),
      IF(_xlpm.result="", "", _xlpm.result)
   )
)</f>
        <v/>
      </c>
      <c r="J596" s="27" t="str" cm="1">
        <f t="array" ref="J596">IF(
   A596="",
   "",
   _xlfn.LET(
      _xlpm.result,
      IFERROR(
         _xlfn.XLOOKUP(
            1,
            (Table8[رقم الصنف]=A596) *
            (IF($B$9="الكل",1, YEAR('ادخال البيانات'!$N$3:$N$1164)=VALUE($B$9))) *
            (IF($B$10="الكل",1, MONTH('ادخال البيانات'!$N$3:$N$1164)=VALUE($B$10))) *
            (IF($B$11="الكل",1, INT((DAY('ادخال البيانات'!$N$3:$N$1164)-1)/7)+1 = VALUE($B$11))),
            'ادخال البيانات'!$J$3:$J$1164
         ),
         ""
      ),
      IF(_xlpm.result="", "", _xlpm.result)
   )
)</f>
        <v/>
      </c>
      <c r="K596" s="27" t="str" cm="1">
        <f t="array" ref="K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6" s="27" t="str" cm="1">
        <f t="array" ref="L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6" s="27" t="str" cm="1">
        <f t="array" ref="M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6" s="28" t="str" cm="1">
        <f t="array" ref="N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6" s="28" t="str" cm="1">
        <f t="array" ref="O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6" s="27" t="str" cm="1">
        <f t="array" ref="P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Table8[جهة العطل]
         ),
         ""
      ),
      IF(_xlpm.result="", "", _xlpm.result)
   )
)</f>
        <v/>
      </c>
      <c r="Q596" s="27" t="str" cm="1">
        <f t="array" ref="Q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Table8[المركز]
         ),
         ""
      ),
      IF(_xlpm.result="", "", _xlpm.result)
   )
)</f>
        <v/>
      </c>
      <c r="R596" s="27" t="str" cm="1">
        <f t="array" ref="R596">IF(
   A596="",
   "",
   _xlfn.LET(
      _xlpm.result,
      IFERROR(
         _xlfn.XLOOKUP(
            1,
            (Table8[رقم الصنف]=A596) *
            (IF($B$9="الكل",1, YEAR('ادخال البيانات'!$N$3:$N$1164) = VALUE($B$9))) *
            (IF($B$10="الكل",1, MONTH('ادخال البيانات'!$N$3:$N$1164) = VALUE($B$10))) *
            (IF($B$11="الكل",1, INT((DAY('ادخال البيانات'!$N$3:$N$1164) - 1) / 7) + 1 = VALUE($B$11))),
            Table8[ملاحظة]
         ),
         ""
      ),
      IF(_xlpm.result="", "", _xlpm.result)
   )
)</f>
        <v/>
      </c>
      <c r="S596" s="46" t="str">
        <f t="shared" ca="1" si="10"/>
        <v/>
      </c>
    </row>
    <row r="597" spans="1:19" ht="27.75" customHeight="1" thickTop="1" thickBot="1" x14ac:dyDescent="0.35">
      <c r="A597" s="39"/>
      <c r="B597" s="27" t="str" cm="1">
        <f t="array" ref="B597">IF(
   OR(A597="", $B$9="", $B$10="", $B$11=""),
   "",
   _xlfn.LET(
      _xlpm.result,
      IFERROR(
         _xlfn.XLOOKUP(
            1,
            (Table8[رقم الصنف]=A597)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7" s="27" t="str" cm="1">
        <f t="array" ref="C597">IF(
   A597="",
   "",
   _xlfn.LET(
      _xlpm.result,
      IFERROR(
         _xlfn.XLOOKUP(
            1,
            (Table8[رقم الصنف]=A597) *
            (IF($B$9="الكل",1, YEAR('ادخال البيانات'!$N$3:$N$1164) = VALUE($B$9))) *
            (IF($B$10="الكل",1, MONTH('ادخال البيانات'!$N$3:$N$1164) = VALUE($B$10))) *
            (IF($B$11="الكل",1, INT((DAY('ادخال البيانات'!$N$3:$N$1164)-1)/7)+1 = VALUE($B$11))),
            'ادخال البيانات'!$C$3:$C$1164
         ),
         ""
      ),
      IF(_xlpm.result="", "", _xlpm.result)
   )
)</f>
        <v/>
      </c>
      <c r="D597" s="27" t="str" cm="1">
        <f t="array" ref="D597">IF(
   OR(A597="", $B$9="", $B$10="", $B$11=""),
   "",
   _xlfn.LET(
      _xlpm.result,
      IFERROR(
         _xlfn.XLOOKUP(
            1,
            (Table8[رقم الصنف]=A597) *
            (IF($B$9="الكل",1, YEAR('ادخال البيانات'!$N$3:$N$1164)=VALUE($B$9))) *
            (IF($B$10="الكل",1, MONTH('ادخال البيانات'!$N$3:$N$1164)=VALUE($B$10))) *
            (IF($B$11="الكل",1, INT((DAY('ادخال البيانات'!$N$3:$N$1164)-1)/7)+1 = VALUE($B$11))),
            'ادخال البيانات'!$D$3:$D$1164
         ),
         ""
      ),
      IF(_xlpm.result="", "", _xlpm.result)
   )
)</f>
        <v/>
      </c>
      <c r="E597" s="27" t="str" cm="1">
        <f t="array" ref="E597">IF(
   A597="",
   "",
   _xlfn.LET(
      _xlpm.result,
      IFERROR(
         _xlfn.XLOOKUP(
            1,
            (Table8[رقم الصنف]=A597) *
            (IF($B$9="الكل",1, YEAR('ادخال البيانات'!$N$3:$N$1164)=VALUE($B$9))) *
            (IF($B$10="الكل",1, MONTH('ادخال البيانات'!$N$3:$N$1164)=VALUE($B$10))) *
            (IF($B$11="الكل",1, INT((DAY('ادخال البيانات'!$N$3:$N$1164)-1)/7)+1 = VALUE($B$11))),
            'ادخال البيانات'!$E$3:$E$1164
         ),
         ""
      ),
      IF(_xlpm.result="", "", _xlpm.result)
   )
)</f>
        <v/>
      </c>
      <c r="F597" s="27" t="str" cm="1">
        <f t="array" ref="F597">IF(
   A597="",
   "",
   _xlfn.LET(
      _xlpm.result,
      IFERROR(
         _xlfn.XLOOKUP(
            1,
            (Table8[رقم الصنف]=A597) *
            (IF($B$9="الكل",1, YEAR('ادخال البيانات'!$N$3:$N$1164) = VALUE($B$9))) *
            (IF($B$10="الكل",1, MONTH('ادخال البيانات'!$N$3:$N$1164) = VALUE($B$10))) *
            (IF($B$11="الكل",1, INT((DAY('ادخال البيانات'!$N$3:$N$1164)-1)/7)+1 = VALUE($B$11))),
            'ادخال البيانات'!$F$3:$F$1164
         ),
         ""
      ),
      IF(_xlpm.result="", "", _xlpm.result)
   )
)</f>
        <v/>
      </c>
      <c r="G597" s="27" t="str" cm="1">
        <f t="array" ref="G597">IF(
   A597="",
   "",
   _xlfn.LET(
      _xlpm.result,
      IFERROR(
         _xlfn.XLOOKUP(
            1,
            (Table8[رقم الصنف]=A597) *
            (IF($B$9="الكل",1, YEAR('ادخال البيانات'!$N$3:$N$1164)=VALUE($B$9))) *
            (IF($B$10="الكل",1, MONTH('ادخال البيانات'!$N$3:$N$1164)=VALUE($B$10))) *
            (IF($B$11="الكل",1, INT((DAY('ادخال البيانات'!$N$3:$N$1164)-1)/7)+1 = VALUE($B$11))),
            'ادخال البيانات'!$G$3:$G$1164
         ),
         ""
      ),
      IF(_xlpm.result="", "", _xlpm.result)
   )
)</f>
        <v/>
      </c>
      <c r="H597" s="27" t="str" cm="1">
        <f t="array" ref="H597">IF(
   A597="",
   "",
   _xlfn.LET(
      _xlpm.result,
      IFERROR(
         _xlfn.XLOOKUP(
            1,
            (Table8[رقم الصنف]=A597) *
            (IF($B$9="الكل",1, YEAR('ادخال البيانات'!$N$3:$N$1164)=VALUE($B$9))) *
            (IF($B$10="الكل",1, MONTH('ادخال البيانات'!$N$3:$N$1164)=VALUE($B$10))) *
            (IF($B$11="الكل",1, INT((DAY('ادخال البيانات'!$N$3:$N$1164)-1)/7)+1 = VALUE($B$11))),
            'ادخال البيانات'!$H$3:$H$1164
         ),
         ""
      ),
      IF(_xlpm.result="", "", _xlpm.result)
   )
)</f>
        <v/>
      </c>
      <c r="I597" s="27" t="str" cm="1">
        <f t="array" ref="I597">IF(
   A597="",
   "",
   _xlfn.LET(
      _xlpm.result,
      IFERROR(
         _xlfn.XLOOKUP(
            1,
            (Table8[رقم الصنف]=A597) *
            (IF($B$9="الكل",1, YEAR('ادخال البيانات'!$N$3:$N$1164)=VALUE($B$9))) *
            (IF($B$10="الكل",1, MONTH('ادخال البيانات'!$N$3:$N$1164)=VALUE($B$10))) *
            (IF($B$11="الكل",1, INT((DAY('ادخال البيانات'!$N$3:$N$1164)-1)/7)+1 = VALUE($B$11))),
            'ادخال البيانات'!$I$3:$I$1164
         ),
         ""
      ),
      IF(_xlpm.result="", "", _xlpm.result)
   )
)</f>
        <v/>
      </c>
      <c r="J597" s="27" t="str" cm="1">
        <f t="array" ref="J597">IF(
   A597="",
   "",
   _xlfn.LET(
      _xlpm.result,
      IFERROR(
         _xlfn.XLOOKUP(
            1,
            (Table8[رقم الصنف]=A597) *
            (IF($B$9="الكل",1, YEAR('ادخال البيانات'!$N$3:$N$1164)=VALUE($B$9))) *
            (IF($B$10="الكل",1, MONTH('ادخال البيانات'!$N$3:$N$1164)=VALUE($B$10))) *
            (IF($B$11="الكل",1, INT((DAY('ادخال البيانات'!$N$3:$N$1164)-1)/7)+1 = VALUE($B$11))),
            'ادخال البيانات'!$J$3:$J$1164
         ),
         ""
      ),
      IF(_xlpm.result="", "", _xlpm.result)
   )
)</f>
        <v/>
      </c>
      <c r="K597" s="27" t="str" cm="1">
        <f t="array" ref="K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7" s="27" t="str" cm="1">
        <f t="array" ref="L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7" s="27" t="str" cm="1">
        <f t="array" ref="M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7" s="28" t="str" cm="1">
        <f t="array" ref="N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7" s="28" t="str" cm="1">
        <f t="array" ref="O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7" s="27" t="str" cm="1">
        <f t="array" ref="P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Table8[جهة العطل]
         ),
         ""
      ),
      IF(_xlpm.result="", "", _xlpm.result)
   )
)</f>
        <v/>
      </c>
      <c r="Q597" s="27" t="str" cm="1">
        <f t="array" ref="Q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Table8[المركز]
         ),
         ""
      ),
      IF(_xlpm.result="", "", _xlpm.result)
   )
)</f>
        <v/>
      </c>
      <c r="R597" s="27" t="str" cm="1">
        <f t="array" ref="R597">IF(
   A597="",
   "",
   _xlfn.LET(
      _xlpm.result,
      IFERROR(
         _xlfn.XLOOKUP(
            1,
            (Table8[رقم الصنف]=A597) *
            (IF($B$9="الكل",1, YEAR('ادخال البيانات'!$N$3:$N$1164) = VALUE($B$9))) *
            (IF($B$10="الكل",1, MONTH('ادخال البيانات'!$N$3:$N$1164) = VALUE($B$10))) *
            (IF($B$11="الكل",1, INT((DAY('ادخال البيانات'!$N$3:$N$1164) - 1) / 7) + 1 = VALUE($B$11))),
            Table8[ملاحظة]
         ),
         ""
      ),
      IF(_xlpm.result="", "", _xlpm.result)
   )
)</f>
        <v/>
      </c>
      <c r="S597" s="46" t="str">
        <f t="shared" ca="1" si="10"/>
        <v/>
      </c>
    </row>
    <row r="598" spans="1:19" ht="27.75" customHeight="1" thickTop="1" thickBot="1" x14ac:dyDescent="0.35">
      <c r="A598" s="39"/>
      <c r="B598" s="27" t="str" cm="1">
        <f t="array" ref="B598">IF(
   OR(A598="", $B$9="", $B$10="", $B$11=""),
   "",
   _xlfn.LET(
      _xlpm.result,
      IFERROR(
         _xlfn.XLOOKUP(
            1,
            (Table8[رقم الصنف]=A598)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8" s="27" t="str" cm="1">
        <f t="array" ref="C598">IF(
   A598="",
   "",
   _xlfn.LET(
      _xlpm.result,
      IFERROR(
         _xlfn.XLOOKUP(
            1,
            (Table8[رقم الصنف]=A598) *
            (IF($B$9="الكل",1, YEAR('ادخال البيانات'!$N$3:$N$1164) = VALUE($B$9))) *
            (IF($B$10="الكل",1, MONTH('ادخال البيانات'!$N$3:$N$1164) = VALUE($B$10))) *
            (IF($B$11="الكل",1, INT((DAY('ادخال البيانات'!$N$3:$N$1164)-1)/7)+1 = VALUE($B$11))),
            'ادخال البيانات'!$C$3:$C$1164
         ),
         ""
      ),
      IF(_xlpm.result="", "", _xlpm.result)
   )
)</f>
        <v/>
      </c>
      <c r="D598" s="27" t="str" cm="1">
        <f t="array" ref="D598">IF(
   OR(A598="", $B$9="", $B$10="", $B$11=""),
   "",
   _xlfn.LET(
      _xlpm.result,
      IFERROR(
         _xlfn.XLOOKUP(
            1,
            (Table8[رقم الصنف]=A598) *
            (IF($B$9="الكل",1, YEAR('ادخال البيانات'!$N$3:$N$1164)=VALUE($B$9))) *
            (IF($B$10="الكل",1, MONTH('ادخال البيانات'!$N$3:$N$1164)=VALUE($B$10))) *
            (IF($B$11="الكل",1, INT((DAY('ادخال البيانات'!$N$3:$N$1164)-1)/7)+1 = VALUE($B$11))),
            'ادخال البيانات'!$D$3:$D$1164
         ),
         ""
      ),
      IF(_xlpm.result="", "", _xlpm.result)
   )
)</f>
        <v/>
      </c>
      <c r="E598" s="27" t="str" cm="1">
        <f t="array" ref="E598">IF(
   A598="",
   "",
   _xlfn.LET(
      _xlpm.result,
      IFERROR(
         _xlfn.XLOOKUP(
            1,
            (Table8[رقم الصنف]=A598) *
            (IF($B$9="الكل",1, YEAR('ادخال البيانات'!$N$3:$N$1164)=VALUE($B$9))) *
            (IF($B$10="الكل",1, MONTH('ادخال البيانات'!$N$3:$N$1164)=VALUE($B$10))) *
            (IF($B$11="الكل",1, INT((DAY('ادخال البيانات'!$N$3:$N$1164)-1)/7)+1 = VALUE($B$11))),
            'ادخال البيانات'!$E$3:$E$1164
         ),
         ""
      ),
      IF(_xlpm.result="", "", _xlpm.result)
   )
)</f>
        <v/>
      </c>
      <c r="F598" s="27" t="str" cm="1">
        <f t="array" ref="F598">IF(
   A598="",
   "",
   _xlfn.LET(
      _xlpm.result,
      IFERROR(
         _xlfn.XLOOKUP(
            1,
            (Table8[رقم الصنف]=A598) *
            (IF($B$9="الكل",1, YEAR('ادخال البيانات'!$N$3:$N$1164) = VALUE($B$9))) *
            (IF($B$10="الكل",1, MONTH('ادخال البيانات'!$N$3:$N$1164) = VALUE($B$10))) *
            (IF($B$11="الكل",1, INT((DAY('ادخال البيانات'!$N$3:$N$1164)-1)/7)+1 = VALUE($B$11))),
            'ادخال البيانات'!$F$3:$F$1164
         ),
         ""
      ),
      IF(_xlpm.result="", "", _xlpm.result)
   )
)</f>
        <v/>
      </c>
      <c r="G598" s="27" t="str" cm="1">
        <f t="array" ref="G598">IF(
   A598="",
   "",
   _xlfn.LET(
      _xlpm.result,
      IFERROR(
         _xlfn.XLOOKUP(
            1,
            (Table8[رقم الصنف]=A598) *
            (IF($B$9="الكل",1, YEAR('ادخال البيانات'!$N$3:$N$1164)=VALUE($B$9))) *
            (IF($B$10="الكل",1, MONTH('ادخال البيانات'!$N$3:$N$1164)=VALUE($B$10))) *
            (IF($B$11="الكل",1, INT((DAY('ادخال البيانات'!$N$3:$N$1164)-1)/7)+1 = VALUE($B$11))),
            'ادخال البيانات'!$G$3:$G$1164
         ),
         ""
      ),
      IF(_xlpm.result="", "", _xlpm.result)
   )
)</f>
        <v/>
      </c>
      <c r="H598" s="27" t="str" cm="1">
        <f t="array" ref="H598">IF(
   A598="",
   "",
   _xlfn.LET(
      _xlpm.result,
      IFERROR(
         _xlfn.XLOOKUP(
            1,
            (Table8[رقم الصنف]=A598) *
            (IF($B$9="الكل",1, YEAR('ادخال البيانات'!$N$3:$N$1164)=VALUE($B$9))) *
            (IF($B$10="الكل",1, MONTH('ادخال البيانات'!$N$3:$N$1164)=VALUE($B$10))) *
            (IF($B$11="الكل",1, INT((DAY('ادخال البيانات'!$N$3:$N$1164)-1)/7)+1 = VALUE($B$11))),
            'ادخال البيانات'!$H$3:$H$1164
         ),
         ""
      ),
      IF(_xlpm.result="", "", _xlpm.result)
   )
)</f>
        <v/>
      </c>
      <c r="I598" s="27" t="str" cm="1">
        <f t="array" ref="I598">IF(
   A598="",
   "",
   _xlfn.LET(
      _xlpm.result,
      IFERROR(
         _xlfn.XLOOKUP(
            1,
            (Table8[رقم الصنف]=A598) *
            (IF($B$9="الكل",1, YEAR('ادخال البيانات'!$N$3:$N$1164)=VALUE($B$9))) *
            (IF($B$10="الكل",1, MONTH('ادخال البيانات'!$N$3:$N$1164)=VALUE($B$10))) *
            (IF($B$11="الكل",1, INT((DAY('ادخال البيانات'!$N$3:$N$1164)-1)/7)+1 = VALUE($B$11))),
            'ادخال البيانات'!$I$3:$I$1164
         ),
         ""
      ),
      IF(_xlpm.result="", "", _xlpm.result)
   )
)</f>
        <v/>
      </c>
      <c r="J598" s="27" t="str" cm="1">
        <f t="array" ref="J598">IF(
   A598="",
   "",
   _xlfn.LET(
      _xlpm.result,
      IFERROR(
         _xlfn.XLOOKUP(
            1,
            (Table8[رقم الصنف]=A598) *
            (IF($B$9="الكل",1, YEAR('ادخال البيانات'!$N$3:$N$1164)=VALUE($B$9))) *
            (IF($B$10="الكل",1, MONTH('ادخال البيانات'!$N$3:$N$1164)=VALUE($B$10))) *
            (IF($B$11="الكل",1, INT((DAY('ادخال البيانات'!$N$3:$N$1164)-1)/7)+1 = VALUE($B$11))),
            'ادخال البيانات'!$J$3:$J$1164
         ),
         ""
      ),
      IF(_xlpm.result="", "", _xlpm.result)
   )
)</f>
        <v/>
      </c>
      <c r="K598" s="27" t="str" cm="1">
        <f t="array" ref="K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8" s="27" t="str" cm="1">
        <f t="array" ref="L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8" s="27" t="str" cm="1">
        <f t="array" ref="M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8" s="28" t="str" cm="1">
        <f t="array" ref="N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8" s="28" t="str" cm="1">
        <f t="array" ref="O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8" s="27" t="str" cm="1">
        <f t="array" ref="P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Table8[جهة العطل]
         ),
         ""
      ),
      IF(_xlpm.result="", "", _xlpm.result)
   )
)</f>
        <v/>
      </c>
      <c r="Q598" s="27" t="str" cm="1">
        <f t="array" ref="Q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Table8[المركز]
         ),
         ""
      ),
      IF(_xlpm.result="", "", _xlpm.result)
   )
)</f>
        <v/>
      </c>
      <c r="R598" s="27" t="str" cm="1">
        <f t="array" ref="R598">IF(
   A598="",
   "",
   _xlfn.LET(
      _xlpm.result,
      IFERROR(
         _xlfn.XLOOKUP(
            1,
            (Table8[رقم الصنف]=A598) *
            (IF($B$9="الكل",1, YEAR('ادخال البيانات'!$N$3:$N$1164) = VALUE($B$9))) *
            (IF($B$10="الكل",1, MONTH('ادخال البيانات'!$N$3:$N$1164) = VALUE($B$10))) *
            (IF($B$11="الكل",1, INT((DAY('ادخال البيانات'!$N$3:$N$1164) - 1) / 7) + 1 = VALUE($B$11))),
            Table8[ملاحظة]
         ),
         ""
      ),
      IF(_xlpm.result="", "", _xlpm.result)
   )
)</f>
        <v/>
      </c>
      <c r="S598" s="46" t="str">
        <f t="shared" ca="1" si="10"/>
        <v/>
      </c>
    </row>
    <row r="599" spans="1:19" ht="27.75" customHeight="1" thickTop="1" thickBot="1" x14ac:dyDescent="0.35">
      <c r="A599" s="39"/>
      <c r="B599" s="27" t="str" cm="1">
        <f t="array" ref="B599">IF(
   OR(A599="", $B$9="", $B$10="", $B$11=""),
   "",
   _xlfn.LET(
      _xlpm.result,
      IFERROR(
         _xlfn.XLOOKUP(
            1,
            (Table8[رقم الصنف]=A599)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599" s="27" t="str" cm="1">
        <f t="array" ref="C599">IF(
   A599="",
   "",
   _xlfn.LET(
      _xlpm.result,
      IFERROR(
         _xlfn.XLOOKUP(
            1,
            (Table8[رقم الصنف]=A599) *
            (IF($B$9="الكل",1, YEAR('ادخال البيانات'!$N$3:$N$1164) = VALUE($B$9))) *
            (IF($B$10="الكل",1, MONTH('ادخال البيانات'!$N$3:$N$1164) = VALUE($B$10))) *
            (IF($B$11="الكل",1, INT((DAY('ادخال البيانات'!$N$3:$N$1164)-1)/7)+1 = VALUE($B$11))),
            'ادخال البيانات'!$C$3:$C$1164
         ),
         ""
      ),
      IF(_xlpm.result="", "", _xlpm.result)
   )
)</f>
        <v/>
      </c>
      <c r="D599" s="27" t="str" cm="1">
        <f t="array" ref="D599">IF(
   OR(A599="", $B$9="", $B$10="", $B$11=""),
   "",
   _xlfn.LET(
      _xlpm.result,
      IFERROR(
         _xlfn.XLOOKUP(
            1,
            (Table8[رقم الصنف]=A599) *
            (IF($B$9="الكل",1, YEAR('ادخال البيانات'!$N$3:$N$1164)=VALUE($B$9))) *
            (IF($B$10="الكل",1, MONTH('ادخال البيانات'!$N$3:$N$1164)=VALUE($B$10))) *
            (IF($B$11="الكل",1, INT((DAY('ادخال البيانات'!$N$3:$N$1164)-1)/7)+1 = VALUE($B$11))),
            'ادخال البيانات'!$D$3:$D$1164
         ),
         ""
      ),
      IF(_xlpm.result="", "", _xlpm.result)
   )
)</f>
        <v/>
      </c>
      <c r="E599" s="27" t="str" cm="1">
        <f t="array" ref="E599">IF(
   A599="",
   "",
   _xlfn.LET(
      _xlpm.result,
      IFERROR(
         _xlfn.XLOOKUP(
            1,
            (Table8[رقم الصنف]=A599) *
            (IF($B$9="الكل",1, YEAR('ادخال البيانات'!$N$3:$N$1164)=VALUE($B$9))) *
            (IF($B$10="الكل",1, MONTH('ادخال البيانات'!$N$3:$N$1164)=VALUE($B$10))) *
            (IF($B$11="الكل",1, INT((DAY('ادخال البيانات'!$N$3:$N$1164)-1)/7)+1 = VALUE($B$11))),
            'ادخال البيانات'!$E$3:$E$1164
         ),
         ""
      ),
      IF(_xlpm.result="", "", _xlpm.result)
   )
)</f>
        <v/>
      </c>
      <c r="F599" s="27" t="str" cm="1">
        <f t="array" ref="F599">IF(
   A599="",
   "",
   _xlfn.LET(
      _xlpm.result,
      IFERROR(
         _xlfn.XLOOKUP(
            1,
            (Table8[رقم الصنف]=A599) *
            (IF($B$9="الكل",1, YEAR('ادخال البيانات'!$N$3:$N$1164) = VALUE($B$9))) *
            (IF($B$10="الكل",1, MONTH('ادخال البيانات'!$N$3:$N$1164) = VALUE($B$10))) *
            (IF($B$11="الكل",1, INT((DAY('ادخال البيانات'!$N$3:$N$1164)-1)/7)+1 = VALUE($B$11))),
            'ادخال البيانات'!$F$3:$F$1164
         ),
         ""
      ),
      IF(_xlpm.result="", "", _xlpm.result)
   )
)</f>
        <v/>
      </c>
      <c r="G599" s="27" t="str" cm="1">
        <f t="array" ref="G599">IF(
   A599="",
   "",
   _xlfn.LET(
      _xlpm.result,
      IFERROR(
         _xlfn.XLOOKUP(
            1,
            (Table8[رقم الصنف]=A599) *
            (IF($B$9="الكل",1, YEAR('ادخال البيانات'!$N$3:$N$1164)=VALUE($B$9))) *
            (IF($B$10="الكل",1, MONTH('ادخال البيانات'!$N$3:$N$1164)=VALUE($B$10))) *
            (IF($B$11="الكل",1, INT((DAY('ادخال البيانات'!$N$3:$N$1164)-1)/7)+1 = VALUE($B$11))),
            'ادخال البيانات'!$G$3:$G$1164
         ),
         ""
      ),
      IF(_xlpm.result="", "", _xlpm.result)
   )
)</f>
        <v/>
      </c>
      <c r="H599" s="27" t="str" cm="1">
        <f t="array" ref="H599">IF(
   A599="",
   "",
   _xlfn.LET(
      _xlpm.result,
      IFERROR(
         _xlfn.XLOOKUP(
            1,
            (Table8[رقم الصنف]=A599) *
            (IF($B$9="الكل",1, YEAR('ادخال البيانات'!$N$3:$N$1164)=VALUE($B$9))) *
            (IF($B$10="الكل",1, MONTH('ادخال البيانات'!$N$3:$N$1164)=VALUE($B$10))) *
            (IF($B$11="الكل",1, INT((DAY('ادخال البيانات'!$N$3:$N$1164)-1)/7)+1 = VALUE($B$11))),
            'ادخال البيانات'!$H$3:$H$1164
         ),
         ""
      ),
      IF(_xlpm.result="", "", _xlpm.result)
   )
)</f>
        <v/>
      </c>
      <c r="I599" s="27" t="str" cm="1">
        <f t="array" ref="I599">IF(
   A599="",
   "",
   _xlfn.LET(
      _xlpm.result,
      IFERROR(
         _xlfn.XLOOKUP(
            1,
            (Table8[رقم الصنف]=A599) *
            (IF($B$9="الكل",1, YEAR('ادخال البيانات'!$N$3:$N$1164)=VALUE($B$9))) *
            (IF($B$10="الكل",1, MONTH('ادخال البيانات'!$N$3:$N$1164)=VALUE($B$10))) *
            (IF($B$11="الكل",1, INT((DAY('ادخال البيانات'!$N$3:$N$1164)-1)/7)+1 = VALUE($B$11))),
            'ادخال البيانات'!$I$3:$I$1164
         ),
         ""
      ),
      IF(_xlpm.result="", "", _xlpm.result)
   )
)</f>
        <v/>
      </c>
      <c r="J599" s="27" t="str" cm="1">
        <f t="array" ref="J599">IF(
   A599="",
   "",
   _xlfn.LET(
      _xlpm.result,
      IFERROR(
         _xlfn.XLOOKUP(
            1,
            (Table8[رقم الصنف]=A599) *
            (IF($B$9="الكل",1, YEAR('ادخال البيانات'!$N$3:$N$1164)=VALUE($B$9))) *
            (IF($B$10="الكل",1, MONTH('ادخال البيانات'!$N$3:$N$1164)=VALUE($B$10))) *
            (IF($B$11="الكل",1, INT((DAY('ادخال البيانات'!$N$3:$N$1164)-1)/7)+1 = VALUE($B$11))),
            'ادخال البيانات'!$J$3:$J$1164
         ),
         ""
      ),
      IF(_xlpm.result="", "", _xlpm.result)
   )
)</f>
        <v/>
      </c>
      <c r="K599" s="27" t="str" cm="1">
        <f t="array" ref="K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599" s="27" t="str" cm="1">
        <f t="array" ref="L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599" s="27" t="str" cm="1">
        <f t="array" ref="M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599" s="28" t="str" cm="1">
        <f t="array" ref="N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599" s="28" t="str" cm="1">
        <f t="array" ref="O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599" s="27" t="str" cm="1">
        <f t="array" ref="P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Table8[جهة العطل]
         ),
         ""
      ),
      IF(_xlpm.result="", "", _xlpm.result)
   )
)</f>
        <v/>
      </c>
      <c r="Q599" s="27" t="str" cm="1">
        <f t="array" ref="Q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Table8[المركز]
         ),
         ""
      ),
      IF(_xlpm.result="", "", _xlpm.result)
   )
)</f>
        <v/>
      </c>
      <c r="R599" s="27" t="str" cm="1">
        <f t="array" ref="R599">IF(
   A599="",
   "",
   _xlfn.LET(
      _xlpm.result,
      IFERROR(
         _xlfn.XLOOKUP(
            1,
            (Table8[رقم الصنف]=A599) *
            (IF($B$9="الكل",1, YEAR('ادخال البيانات'!$N$3:$N$1164) = VALUE($B$9))) *
            (IF($B$10="الكل",1, MONTH('ادخال البيانات'!$N$3:$N$1164) = VALUE($B$10))) *
            (IF($B$11="الكل",1, INT((DAY('ادخال البيانات'!$N$3:$N$1164) - 1) / 7) + 1 = VALUE($B$11))),
            Table8[ملاحظة]
         ),
         ""
      ),
      IF(_xlpm.result="", "", _xlpm.result)
   )
)</f>
        <v/>
      </c>
      <c r="S599" s="46" t="str">
        <f t="shared" ca="1" si="10"/>
        <v/>
      </c>
    </row>
    <row r="600" spans="1:19" ht="27.75" customHeight="1" thickTop="1" thickBot="1" x14ac:dyDescent="0.35">
      <c r="A600" s="39"/>
      <c r="B600" s="27" t="str" cm="1">
        <f t="array" ref="B600">IF(
   OR(A600="", $B$9="", $B$10="", $B$11=""),
   "",
   _xlfn.LET(
      _xlpm.result,
      IFERROR(
         _xlfn.XLOOKUP(
            1,
            (Table8[رقم الصنف]=A600)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0" s="27" t="str" cm="1">
        <f t="array" ref="C600">IF(
   A600="",
   "",
   _xlfn.LET(
      _xlpm.result,
      IFERROR(
         _xlfn.XLOOKUP(
            1,
            (Table8[رقم الصنف]=A600) *
            (IF($B$9="الكل",1, YEAR('ادخال البيانات'!$N$3:$N$1164) = VALUE($B$9))) *
            (IF($B$10="الكل",1, MONTH('ادخال البيانات'!$N$3:$N$1164) = VALUE($B$10))) *
            (IF($B$11="الكل",1, INT((DAY('ادخال البيانات'!$N$3:$N$1164)-1)/7)+1 = VALUE($B$11))),
            'ادخال البيانات'!$C$3:$C$1164
         ),
         ""
      ),
      IF(_xlpm.result="", "", _xlpm.result)
   )
)</f>
        <v/>
      </c>
      <c r="D600" s="27" t="str" cm="1">
        <f t="array" ref="D600">IF(
   OR(A600="", $B$9="", $B$10="", $B$11=""),
   "",
   _xlfn.LET(
      _xlpm.result,
      IFERROR(
         _xlfn.XLOOKUP(
            1,
            (Table8[رقم الصنف]=A600) *
            (IF($B$9="الكل",1, YEAR('ادخال البيانات'!$N$3:$N$1164)=VALUE($B$9))) *
            (IF($B$10="الكل",1, MONTH('ادخال البيانات'!$N$3:$N$1164)=VALUE($B$10))) *
            (IF($B$11="الكل",1, INT((DAY('ادخال البيانات'!$N$3:$N$1164)-1)/7)+1 = VALUE($B$11))),
            'ادخال البيانات'!$D$3:$D$1164
         ),
         ""
      ),
      IF(_xlpm.result="", "", _xlpm.result)
   )
)</f>
        <v/>
      </c>
      <c r="E600" s="27" t="str" cm="1">
        <f t="array" ref="E600">IF(
   A600="",
   "",
   _xlfn.LET(
      _xlpm.result,
      IFERROR(
         _xlfn.XLOOKUP(
            1,
            (Table8[رقم الصنف]=A600) *
            (IF($B$9="الكل",1, YEAR('ادخال البيانات'!$N$3:$N$1164)=VALUE($B$9))) *
            (IF($B$10="الكل",1, MONTH('ادخال البيانات'!$N$3:$N$1164)=VALUE($B$10))) *
            (IF($B$11="الكل",1, INT((DAY('ادخال البيانات'!$N$3:$N$1164)-1)/7)+1 = VALUE($B$11))),
            'ادخال البيانات'!$E$3:$E$1164
         ),
         ""
      ),
      IF(_xlpm.result="", "", _xlpm.result)
   )
)</f>
        <v/>
      </c>
      <c r="F600" s="27" t="str" cm="1">
        <f t="array" ref="F600">IF(
   A600="",
   "",
   _xlfn.LET(
      _xlpm.result,
      IFERROR(
         _xlfn.XLOOKUP(
            1,
            (Table8[رقم الصنف]=A600) *
            (IF($B$9="الكل",1, YEAR('ادخال البيانات'!$N$3:$N$1164) = VALUE($B$9))) *
            (IF($B$10="الكل",1, MONTH('ادخال البيانات'!$N$3:$N$1164) = VALUE($B$10))) *
            (IF($B$11="الكل",1, INT((DAY('ادخال البيانات'!$N$3:$N$1164)-1)/7)+1 = VALUE($B$11))),
            'ادخال البيانات'!$F$3:$F$1164
         ),
         ""
      ),
      IF(_xlpm.result="", "", _xlpm.result)
   )
)</f>
        <v/>
      </c>
      <c r="G600" s="27" t="str" cm="1">
        <f t="array" ref="G600">IF(
   A600="",
   "",
   _xlfn.LET(
      _xlpm.result,
      IFERROR(
         _xlfn.XLOOKUP(
            1,
            (Table8[رقم الصنف]=A600) *
            (IF($B$9="الكل",1, YEAR('ادخال البيانات'!$N$3:$N$1164)=VALUE($B$9))) *
            (IF($B$10="الكل",1, MONTH('ادخال البيانات'!$N$3:$N$1164)=VALUE($B$10))) *
            (IF($B$11="الكل",1, INT((DAY('ادخال البيانات'!$N$3:$N$1164)-1)/7)+1 = VALUE($B$11))),
            'ادخال البيانات'!$G$3:$G$1164
         ),
         ""
      ),
      IF(_xlpm.result="", "", _xlpm.result)
   )
)</f>
        <v/>
      </c>
      <c r="H600" s="27" t="str" cm="1">
        <f t="array" ref="H600">IF(
   A600="",
   "",
   _xlfn.LET(
      _xlpm.result,
      IFERROR(
         _xlfn.XLOOKUP(
            1,
            (Table8[رقم الصنف]=A600) *
            (IF($B$9="الكل",1, YEAR('ادخال البيانات'!$N$3:$N$1164)=VALUE($B$9))) *
            (IF($B$10="الكل",1, MONTH('ادخال البيانات'!$N$3:$N$1164)=VALUE($B$10))) *
            (IF($B$11="الكل",1, INT((DAY('ادخال البيانات'!$N$3:$N$1164)-1)/7)+1 = VALUE($B$11))),
            'ادخال البيانات'!$H$3:$H$1164
         ),
         ""
      ),
      IF(_xlpm.result="", "", _xlpm.result)
   )
)</f>
        <v/>
      </c>
      <c r="I600" s="27" t="str" cm="1">
        <f t="array" ref="I600">IF(
   A600="",
   "",
   _xlfn.LET(
      _xlpm.result,
      IFERROR(
         _xlfn.XLOOKUP(
            1,
            (Table8[رقم الصنف]=A600) *
            (IF($B$9="الكل",1, YEAR('ادخال البيانات'!$N$3:$N$1164)=VALUE($B$9))) *
            (IF($B$10="الكل",1, MONTH('ادخال البيانات'!$N$3:$N$1164)=VALUE($B$10))) *
            (IF($B$11="الكل",1, INT((DAY('ادخال البيانات'!$N$3:$N$1164)-1)/7)+1 = VALUE($B$11))),
            'ادخال البيانات'!$I$3:$I$1164
         ),
         ""
      ),
      IF(_xlpm.result="", "", _xlpm.result)
   )
)</f>
        <v/>
      </c>
      <c r="J600" s="27" t="str" cm="1">
        <f t="array" ref="J600">IF(
   A600="",
   "",
   _xlfn.LET(
      _xlpm.result,
      IFERROR(
         _xlfn.XLOOKUP(
            1,
            (Table8[رقم الصنف]=A600) *
            (IF($B$9="الكل",1, YEAR('ادخال البيانات'!$N$3:$N$1164)=VALUE($B$9))) *
            (IF($B$10="الكل",1, MONTH('ادخال البيانات'!$N$3:$N$1164)=VALUE($B$10))) *
            (IF($B$11="الكل",1, INT((DAY('ادخال البيانات'!$N$3:$N$1164)-1)/7)+1 = VALUE($B$11))),
            'ادخال البيانات'!$J$3:$J$1164
         ),
         ""
      ),
      IF(_xlpm.result="", "", _xlpm.result)
   )
)</f>
        <v/>
      </c>
      <c r="K600" s="27" t="str" cm="1">
        <f t="array" ref="K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0" s="27" t="str" cm="1">
        <f t="array" ref="L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0" s="27" t="str" cm="1">
        <f t="array" ref="M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0" s="28" t="str" cm="1">
        <f t="array" ref="N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0" s="28" t="str" cm="1">
        <f t="array" ref="O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0" s="27" t="str" cm="1">
        <f t="array" ref="P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Table8[جهة العطل]
         ),
         ""
      ),
      IF(_xlpm.result="", "", _xlpm.result)
   )
)</f>
        <v/>
      </c>
      <c r="Q600" s="27" t="str" cm="1">
        <f t="array" ref="Q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Table8[المركز]
         ),
         ""
      ),
      IF(_xlpm.result="", "", _xlpm.result)
   )
)</f>
        <v/>
      </c>
      <c r="R600" s="27" t="str" cm="1">
        <f t="array" ref="R600">IF(
   A600="",
   "",
   _xlfn.LET(
      _xlpm.result,
      IFERROR(
         _xlfn.XLOOKUP(
            1,
            (Table8[رقم الصنف]=A600) *
            (IF($B$9="الكل",1, YEAR('ادخال البيانات'!$N$3:$N$1164) = VALUE($B$9))) *
            (IF($B$10="الكل",1, MONTH('ادخال البيانات'!$N$3:$N$1164) = VALUE($B$10))) *
            (IF($B$11="الكل",1, INT((DAY('ادخال البيانات'!$N$3:$N$1164) - 1) / 7) + 1 = VALUE($B$11))),
            Table8[ملاحظة]
         ),
         ""
      ),
      IF(_xlpm.result="", "", _xlpm.result)
   )
)</f>
        <v/>
      </c>
      <c r="S600" s="46" t="str">
        <f t="shared" ca="1" si="10"/>
        <v/>
      </c>
    </row>
    <row r="601" spans="1:19" ht="27.75" customHeight="1" thickTop="1" thickBot="1" x14ac:dyDescent="0.35">
      <c r="A601" s="39"/>
      <c r="B601" s="27" t="str" cm="1">
        <f t="array" ref="B601">IF(
   OR(A601="", $B$9="", $B$10="", $B$11=""),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1" s="27" t="str" cm="1">
        <f t="array" ref="C601">IF(
   A601="",
   "",
   _xlfn.LET(
      _xlpm.result,
      IFERROR(
         _xlfn.XLOOKUP(
            1,
            (Table8[رقم الصنف]=A601) *
            (IF($B$9="الكل",1, YEAR('ادخال البيانات'!$N$3:$N$1164) = VALUE($B$9))) *
            (IF($B$10="الكل",1, MONTH('ادخال البيانات'!$N$3:$N$1164) = VALUE($B$10))) *
            (IF($B$11="الكل",1, INT((DAY('ادخال البيانات'!$N$3:$N$1164)-1)/7)+1 = VALUE($B$11))),
            'ادخال البيانات'!$C$3:$C$1164
         ),
         ""
      ),
      IF(_xlpm.result="", "", _xlpm.result)
   )
)</f>
        <v/>
      </c>
      <c r="D601" s="27" t="str" cm="1">
        <f t="array" ref="D601">IF(
   OR(A601="", $B$9="", $B$10="", $B$11=""),
   "",
   _xlfn.LET(
      _xlpm.result,
      IFERROR(
         _xlfn.XLOOKUP(
            1,
            (Table8[رقم الصنف]=A601) *
            (IF($B$9="الكل",1, YEAR('ادخال البيانات'!$N$3:$N$1164)=VALUE($B$9))) *
            (IF($B$10="الكل",1, MONTH('ادخال البيانات'!$N$3:$N$1164)=VALUE($B$10))) *
            (IF($B$11="الكل",1, INT((DAY('ادخال البيانات'!$N$3:$N$1164)-1)/7)+1 = VALUE($B$11))),
            'ادخال البيانات'!$D$3:$D$1164
         ),
         ""
      ),
      IF(_xlpm.result="", "", _xlpm.result)
   )
)</f>
        <v/>
      </c>
      <c r="E601" s="27" t="str" cm="1">
        <f t="array" ref="E601">IF(
   A601="",
   "",
   _xlfn.LET(
      _xlpm.result,
      IFERROR(
         _xlfn.XLOOKUP(
            1,
            (Table8[رقم الصنف]=A601) *
            (IF($B$9="الكل",1, YEAR('ادخال البيانات'!$N$3:$N$1164)=VALUE($B$9))) *
            (IF($B$10="الكل",1, MONTH('ادخال البيانات'!$N$3:$N$1164)=VALUE($B$10))) *
            (IF($B$11="الكل",1, INT((DAY('ادخال البيانات'!$N$3:$N$1164)-1)/7)+1 = VALUE($B$11))),
            'ادخال البيانات'!$E$3:$E$1164
         ),
         ""
      ),
      IF(_xlpm.result="", "", _xlpm.result)
   )
)</f>
        <v/>
      </c>
      <c r="F601" s="27" t="str" cm="1">
        <f t="array" ref="F601">IF(
   A601="",
   "",
   _xlfn.LET(
      _xlpm.result,
      IFERROR(
         _xlfn.XLOOKUP(
            1,
            (Table8[رقم الصنف]=A601) *
            (IF($B$9="الكل",1, YEAR('ادخال البيانات'!$N$3:$N$1164) = VALUE($B$9))) *
            (IF($B$10="الكل",1, MONTH('ادخال البيانات'!$N$3:$N$1164) = VALUE($B$10))) *
            (IF($B$11="الكل",1, INT((DAY('ادخال البيانات'!$N$3:$N$1164)-1)/7)+1 = VALUE($B$11))),
            'ادخال البيانات'!$F$3:$F$1164
         ),
         ""
      ),
      IF(_xlpm.result="", "", _xlpm.result)
   )
)</f>
        <v/>
      </c>
      <c r="G601" s="27" t="str" cm="1">
        <f t="array" ref="G601">IF(
   A601="",
   "",
   _xlfn.LET(
      _xlpm.result,
      IFERROR(
         _xlfn.XLOOKUP(
            1,
            (Table8[رقم الصنف]=A601) *
            (IF($B$9="الكل",1, YEAR('ادخال البيانات'!$N$3:$N$1164)=VALUE($B$9))) *
            (IF($B$10="الكل",1, MONTH('ادخال البيانات'!$N$3:$N$1164)=VALUE($B$10))) *
            (IF($B$11="الكل",1, INT((DAY('ادخال البيانات'!$N$3:$N$1164)-1)/7)+1 = VALUE($B$11))),
            'ادخال البيانات'!$G$3:$G$1164
         ),
         ""
      ),
      IF(_xlpm.result="", "", _xlpm.result)
   )
)</f>
        <v/>
      </c>
      <c r="H601" s="27" t="str" cm="1">
        <f t="array" ref="H601">IF(
   A601="",
   "",
   _xlfn.LET(
      _xlpm.result,
      IFERROR(
         _xlfn.XLOOKUP(
            1,
            (Table8[رقم الصنف]=A601) *
            (IF($B$9="الكل",1, YEAR('ادخال البيانات'!$N$3:$N$1164)=VALUE($B$9))) *
            (IF($B$10="الكل",1, MONTH('ادخال البيانات'!$N$3:$N$1164)=VALUE($B$10))) *
            (IF($B$11="الكل",1, INT((DAY('ادخال البيانات'!$N$3:$N$1164)-1)/7)+1 = VALUE($B$11))),
            'ادخال البيانات'!$H$3:$H$1164
         ),
         ""
      ),
      IF(_xlpm.result="", "", _xlpm.result)
   )
)</f>
        <v/>
      </c>
      <c r="I601" s="27" t="str" cm="1">
        <f t="array" ref="I601">IF(
   A601="",
   "",
   _xlfn.LET(
      _xlpm.result,
      IFERROR(
         _xlfn.XLOOKUP(
            1,
            (Table8[رقم الصنف]=A601) *
            (IF($B$9="الكل",1, YEAR('ادخال البيانات'!$N$3:$N$1164)=VALUE($B$9))) *
            (IF($B$10="الكل",1, MONTH('ادخال البيانات'!$N$3:$N$1164)=VALUE($B$10))) *
            (IF($B$11="الكل",1, INT((DAY('ادخال البيانات'!$N$3:$N$1164)-1)/7)+1 = VALUE($B$11))),
            'ادخال البيانات'!$I$3:$I$1164
         ),
         ""
      ),
      IF(_xlpm.result="", "", _xlpm.result)
   )
)</f>
        <v/>
      </c>
      <c r="J601" s="27" t="str" cm="1">
        <f t="array" ref="J601">IF(
   A601="",
   "",
   _xlfn.LET(
      _xlpm.result,
      IFERROR(
         _xlfn.XLOOKUP(
            1,
            (Table8[رقم الصنف]=A601) *
            (IF($B$9="الكل",1, YEAR('ادخال البيانات'!$N$3:$N$1164)=VALUE($B$9))) *
            (IF($B$10="الكل",1, MONTH('ادخال البيانات'!$N$3:$N$1164)=VALUE($B$10))) *
            (IF($B$11="الكل",1, INT((DAY('ادخال البيانات'!$N$3:$N$1164)-1)/7)+1 = VALUE($B$11))),
            'ادخال البيانات'!$J$3:$J$1164
         ),
         ""
      ),
      IF(_xlpm.result="", "", _xlpm.result)
   )
)</f>
        <v/>
      </c>
      <c r="K601" s="27" t="str" cm="1">
        <f t="array" ref="K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1" s="27" t="str" cm="1">
        <f t="array" ref="L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1" s="27" t="str" cm="1">
        <f t="array" ref="M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1" s="28" t="str" cm="1">
        <f t="array" ref="N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1" s="28" t="str" cm="1">
        <f t="array" ref="O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1" s="27" t="str" cm="1">
        <f t="array" ref="P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Table8[جهة العطل]
         ),
         ""
      ),
      IF(_xlpm.result="", "", _xlpm.result)
   )
)</f>
        <v/>
      </c>
      <c r="Q601" s="27" t="str" cm="1">
        <f t="array" ref="Q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Table8[المركز]
         ),
         ""
      ),
      IF(_xlpm.result="", "", _xlpm.result)
   )
)</f>
        <v/>
      </c>
      <c r="R601" s="27" t="str" cm="1">
        <f t="array" ref="R601">IF(
   A601="",
   "",
   _xlfn.LET(
      _xlpm.result,
      IFERROR(
         _xlfn.XLOOKUP(
            1,
            (Table8[رقم الصنف]=A601) *
            (IF($B$9="الكل",1, YEAR('ادخال البيانات'!$N$3:$N$1164) = VALUE($B$9))) *
            (IF($B$10="الكل",1, MONTH('ادخال البيانات'!$N$3:$N$1164) = VALUE($B$10))) *
            (IF($B$11="الكل",1, INT((DAY('ادخال البيانات'!$N$3:$N$1164) - 1) / 7) + 1 = VALUE($B$11))),
            Table8[ملاحظة]
         ),
         ""
      ),
      IF(_xlpm.result="", "", _xlpm.result)
   )
)</f>
        <v/>
      </c>
      <c r="S601" s="46" t="str">
        <f t="shared" ca="1" si="10"/>
        <v/>
      </c>
    </row>
    <row r="602" spans="1:19" ht="27.75" customHeight="1" thickTop="1" thickBot="1" x14ac:dyDescent="0.35">
      <c r="A602" s="39"/>
      <c r="B602" s="27" t="str" cm="1">
        <f t="array" ref="B602">IF(
   OR(A602="", $B$9="", $B$10="", $B$11=""),
   "",
   _xlfn.LET(
      _xlpm.result,
      IFERROR(
         _xlfn.XLOOKUP(
            1,
            (Table8[رقم الصنف]=A602)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2" s="27" t="str" cm="1">
        <f t="array" ref="C602">IF(
   A602="",
   "",
   _xlfn.LET(
      _xlpm.result,
      IFERROR(
         _xlfn.XLOOKUP(
            1,
            (Table8[رقم الصنف]=A602) *
            (IF($B$9="الكل",1, YEAR('ادخال البيانات'!$N$3:$N$1164) = VALUE($B$9))) *
            (IF($B$10="الكل",1, MONTH('ادخال البيانات'!$N$3:$N$1164) = VALUE($B$10))) *
            (IF($B$11="الكل",1, INT((DAY('ادخال البيانات'!$N$3:$N$1164)-1)/7)+1 = VALUE($B$11))),
            'ادخال البيانات'!$C$3:$C$1164
         ),
         ""
      ),
      IF(_xlpm.result="", "", _xlpm.result)
   )
)</f>
        <v/>
      </c>
      <c r="D602" s="27" t="str" cm="1">
        <f t="array" ref="D602">IF(
   OR(A602="", $B$9="", $B$10="", $B$11=""),
   "",
   _xlfn.LET(
      _xlpm.result,
      IFERROR(
         _xlfn.XLOOKUP(
            1,
            (Table8[رقم الصنف]=A602) *
            (IF($B$9="الكل",1, YEAR('ادخال البيانات'!$N$3:$N$1164)=VALUE($B$9))) *
            (IF($B$10="الكل",1, MONTH('ادخال البيانات'!$N$3:$N$1164)=VALUE($B$10))) *
            (IF($B$11="الكل",1, INT((DAY('ادخال البيانات'!$N$3:$N$1164)-1)/7)+1 = VALUE($B$11))),
            'ادخال البيانات'!$D$3:$D$1164
         ),
         ""
      ),
      IF(_xlpm.result="", "", _xlpm.result)
   )
)</f>
        <v/>
      </c>
      <c r="E602" s="27" t="str" cm="1">
        <f t="array" ref="E602">IF(
   A602="",
   "",
   _xlfn.LET(
      _xlpm.result,
      IFERROR(
         _xlfn.XLOOKUP(
            1,
            (Table8[رقم الصنف]=A602) *
            (IF($B$9="الكل",1, YEAR('ادخال البيانات'!$N$3:$N$1164)=VALUE($B$9))) *
            (IF($B$10="الكل",1, MONTH('ادخال البيانات'!$N$3:$N$1164)=VALUE($B$10))) *
            (IF($B$11="الكل",1, INT((DAY('ادخال البيانات'!$N$3:$N$1164)-1)/7)+1 = VALUE($B$11))),
            'ادخال البيانات'!$E$3:$E$1164
         ),
         ""
      ),
      IF(_xlpm.result="", "", _xlpm.result)
   )
)</f>
        <v/>
      </c>
      <c r="F602" s="27" t="str" cm="1">
        <f t="array" ref="F602">IF(
   A602="",
   "",
   _xlfn.LET(
      _xlpm.result,
      IFERROR(
         _xlfn.XLOOKUP(
            1,
            (Table8[رقم الصنف]=A602) *
            (IF($B$9="الكل",1, YEAR('ادخال البيانات'!$N$3:$N$1164) = VALUE($B$9))) *
            (IF($B$10="الكل",1, MONTH('ادخال البيانات'!$N$3:$N$1164) = VALUE($B$10))) *
            (IF($B$11="الكل",1, INT((DAY('ادخال البيانات'!$N$3:$N$1164)-1)/7)+1 = VALUE($B$11))),
            'ادخال البيانات'!$F$3:$F$1164
         ),
         ""
      ),
      IF(_xlpm.result="", "", _xlpm.result)
   )
)</f>
        <v/>
      </c>
      <c r="G602" s="27" t="str" cm="1">
        <f t="array" ref="G602">IF(
   A602="",
   "",
   _xlfn.LET(
      _xlpm.result,
      IFERROR(
         _xlfn.XLOOKUP(
            1,
            (Table8[رقم الصنف]=A602) *
            (IF($B$9="الكل",1, YEAR('ادخال البيانات'!$N$3:$N$1164)=VALUE($B$9))) *
            (IF($B$10="الكل",1, MONTH('ادخال البيانات'!$N$3:$N$1164)=VALUE($B$10))) *
            (IF($B$11="الكل",1, INT((DAY('ادخال البيانات'!$N$3:$N$1164)-1)/7)+1 = VALUE($B$11))),
            'ادخال البيانات'!$G$3:$G$1164
         ),
         ""
      ),
      IF(_xlpm.result="", "", _xlpm.result)
   )
)</f>
        <v/>
      </c>
      <c r="H602" s="27" t="str" cm="1">
        <f t="array" ref="H602">IF(
   A602="",
   "",
   _xlfn.LET(
      _xlpm.result,
      IFERROR(
         _xlfn.XLOOKUP(
            1,
            (Table8[رقم الصنف]=A602) *
            (IF($B$9="الكل",1, YEAR('ادخال البيانات'!$N$3:$N$1164)=VALUE($B$9))) *
            (IF($B$10="الكل",1, MONTH('ادخال البيانات'!$N$3:$N$1164)=VALUE($B$10))) *
            (IF($B$11="الكل",1, INT((DAY('ادخال البيانات'!$N$3:$N$1164)-1)/7)+1 = VALUE($B$11))),
            'ادخال البيانات'!$H$3:$H$1164
         ),
         ""
      ),
      IF(_xlpm.result="", "", _xlpm.result)
   )
)</f>
        <v/>
      </c>
      <c r="I602" s="27" t="str" cm="1">
        <f t="array" ref="I602">IF(
   A602="",
   "",
   _xlfn.LET(
      _xlpm.result,
      IFERROR(
         _xlfn.XLOOKUP(
            1,
            (Table8[رقم الصنف]=A602) *
            (IF($B$9="الكل",1, YEAR('ادخال البيانات'!$N$3:$N$1164)=VALUE($B$9))) *
            (IF($B$10="الكل",1, MONTH('ادخال البيانات'!$N$3:$N$1164)=VALUE($B$10))) *
            (IF($B$11="الكل",1, INT((DAY('ادخال البيانات'!$N$3:$N$1164)-1)/7)+1 = VALUE($B$11))),
            'ادخال البيانات'!$I$3:$I$1164
         ),
         ""
      ),
      IF(_xlpm.result="", "", _xlpm.result)
   )
)</f>
        <v/>
      </c>
      <c r="J602" s="27" t="str" cm="1">
        <f t="array" ref="J602">IF(
   A602="",
   "",
   _xlfn.LET(
      _xlpm.result,
      IFERROR(
         _xlfn.XLOOKUP(
            1,
            (Table8[رقم الصنف]=A602) *
            (IF($B$9="الكل",1, YEAR('ادخال البيانات'!$N$3:$N$1164)=VALUE($B$9))) *
            (IF($B$10="الكل",1, MONTH('ادخال البيانات'!$N$3:$N$1164)=VALUE($B$10))) *
            (IF($B$11="الكل",1, INT((DAY('ادخال البيانات'!$N$3:$N$1164)-1)/7)+1 = VALUE($B$11))),
            'ادخال البيانات'!$J$3:$J$1164
         ),
         ""
      ),
      IF(_xlpm.result="", "", _xlpm.result)
   )
)</f>
        <v/>
      </c>
      <c r="K602" s="27" t="str" cm="1">
        <f t="array" ref="K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2" s="27" t="str" cm="1">
        <f t="array" ref="L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2" s="27" t="str" cm="1">
        <f t="array" ref="M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2" s="28" t="str" cm="1">
        <f t="array" ref="N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2" s="28" t="str" cm="1">
        <f t="array" ref="O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2" s="27" t="str" cm="1">
        <f t="array" ref="P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Table8[جهة العطل]
         ),
         ""
      ),
      IF(_xlpm.result="", "", _xlpm.result)
   )
)</f>
        <v/>
      </c>
      <c r="Q602" s="27" t="str" cm="1">
        <f t="array" ref="Q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Table8[المركز]
         ),
         ""
      ),
      IF(_xlpm.result="", "", _xlpm.result)
   )
)</f>
        <v/>
      </c>
      <c r="R602" s="27" t="str" cm="1">
        <f t="array" ref="R602">IF(
   A602="",
   "",
   _xlfn.LET(
      _xlpm.result,
      IFERROR(
         _xlfn.XLOOKUP(
            1,
            (Table8[رقم الصنف]=A602) *
            (IF($B$9="الكل",1, YEAR('ادخال البيانات'!$N$3:$N$1164) = VALUE($B$9))) *
            (IF($B$10="الكل",1, MONTH('ادخال البيانات'!$N$3:$N$1164) = VALUE($B$10))) *
            (IF($B$11="الكل",1, INT((DAY('ادخال البيانات'!$N$3:$N$1164) - 1) / 7) + 1 = VALUE($B$11))),
            Table8[ملاحظة]
         ),
         ""
      ),
      IF(_xlpm.result="", "", _xlpm.result)
   )
)</f>
        <v/>
      </c>
      <c r="S602" s="46" t="str">
        <f t="shared" ca="1" si="10"/>
        <v/>
      </c>
    </row>
    <row r="603" spans="1:19" ht="27.75" customHeight="1" thickTop="1" thickBot="1" x14ac:dyDescent="0.35">
      <c r="A603" s="39"/>
      <c r="B603" s="27" t="str" cm="1">
        <f t="array" ref="B603">IF(
   OR(A603="", $B$9="", $B$10="", $B$11=""),
   "",
   _xlfn.LET(
      _xlpm.result,
      IFERROR(
         _xlfn.XLOOKUP(
            1,
            (Table8[رقم الصنف]=A603)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3" s="27" t="str" cm="1">
        <f t="array" ref="C603">IF(
   A603="",
   "",
   _xlfn.LET(
      _xlpm.result,
      IFERROR(
         _xlfn.XLOOKUP(
            1,
            (Table8[رقم الصنف]=A603) *
            (IF($B$9="الكل",1, YEAR('ادخال البيانات'!$N$3:$N$1164) = VALUE($B$9))) *
            (IF($B$10="الكل",1, MONTH('ادخال البيانات'!$N$3:$N$1164) = VALUE($B$10))) *
            (IF($B$11="الكل",1, INT((DAY('ادخال البيانات'!$N$3:$N$1164)-1)/7)+1 = VALUE($B$11))),
            'ادخال البيانات'!$C$3:$C$1164
         ),
         ""
      ),
      IF(_xlpm.result="", "", _xlpm.result)
   )
)</f>
        <v/>
      </c>
      <c r="D603" s="27" t="str" cm="1">
        <f t="array" ref="D603">IF(
   OR(A603="", $B$9="", $B$10="", $B$11=""),
   "",
   _xlfn.LET(
      _xlpm.result,
      IFERROR(
         _xlfn.XLOOKUP(
            1,
            (Table8[رقم الصنف]=A603) *
            (IF($B$9="الكل",1, YEAR('ادخال البيانات'!$N$3:$N$1164)=VALUE($B$9))) *
            (IF($B$10="الكل",1, MONTH('ادخال البيانات'!$N$3:$N$1164)=VALUE($B$10))) *
            (IF($B$11="الكل",1, INT((DAY('ادخال البيانات'!$N$3:$N$1164)-1)/7)+1 = VALUE($B$11))),
            'ادخال البيانات'!$D$3:$D$1164
         ),
         ""
      ),
      IF(_xlpm.result="", "", _xlpm.result)
   )
)</f>
        <v/>
      </c>
      <c r="E603" s="27" t="str" cm="1">
        <f t="array" ref="E603">IF(
   A603="",
   "",
   _xlfn.LET(
      _xlpm.result,
      IFERROR(
         _xlfn.XLOOKUP(
            1,
            (Table8[رقم الصنف]=A603) *
            (IF($B$9="الكل",1, YEAR('ادخال البيانات'!$N$3:$N$1164)=VALUE($B$9))) *
            (IF($B$10="الكل",1, MONTH('ادخال البيانات'!$N$3:$N$1164)=VALUE($B$10))) *
            (IF($B$11="الكل",1, INT((DAY('ادخال البيانات'!$N$3:$N$1164)-1)/7)+1 = VALUE($B$11))),
            'ادخال البيانات'!$E$3:$E$1164
         ),
         ""
      ),
      IF(_xlpm.result="", "", _xlpm.result)
   )
)</f>
        <v/>
      </c>
      <c r="F603" s="27" t="str" cm="1">
        <f t="array" ref="F603">IF(
   A603="",
   "",
   _xlfn.LET(
      _xlpm.result,
      IFERROR(
         _xlfn.XLOOKUP(
            1,
            (Table8[رقم الصنف]=A603) *
            (IF($B$9="الكل",1, YEAR('ادخال البيانات'!$N$3:$N$1164) = VALUE($B$9))) *
            (IF($B$10="الكل",1, MONTH('ادخال البيانات'!$N$3:$N$1164) = VALUE($B$10))) *
            (IF($B$11="الكل",1, INT((DAY('ادخال البيانات'!$N$3:$N$1164)-1)/7)+1 = VALUE($B$11))),
            'ادخال البيانات'!$F$3:$F$1164
         ),
         ""
      ),
      IF(_xlpm.result="", "", _xlpm.result)
   )
)</f>
        <v/>
      </c>
      <c r="G603" s="27" t="str" cm="1">
        <f t="array" ref="G603">IF(
   A603="",
   "",
   _xlfn.LET(
      _xlpm.result,
      IFERROR(
         _xlfn.XLOOKUP(
            1,
            (Table8[رقم الصنف]=A603) *
            (IF($B$9="الكل",1, YEAR('ادخال البيانات'!$N$3:$N$1164)=VALUE($B$9))) *
            (IF($B$10="الكل",1, MONTH('ادخال البيانات'!$N$3:$N$1164)=VALUE($B$10))) *
            (IF($B$11="الكل",1, INT((DAY('ادخال البيانات'!$N$3:$N$1164)-1)/7)+1 = VALUE($B$11))),
            'ادخال البيانات'!$G$3:$G$1164
         ),
         ""
      ),
      IF(_xlpm.result="", "", _xlpm.result)
   )
)</f>
        <v/>
      </c>
      <c r="H603" s="27" t="str" cm="1">
        <f t="array" ref="H603">IF(
   A603="",
   "",
   _xlfn.LET(
      _xlpm.result,
      IFERROR(
         _xlfn.XLOOKUP(
            1,
            (Table8[رقم الصنف]=A603) *
            (IF($B$9="الكل",1, YEAR('ادخال البيانات'!$N$3:$N$1164)=VALUE($B$9))) *
            (IF($B$10="الكل",1, MONTH('ادخال البيانات'!$N$3:$N$1164)=VALUE($B$10))) *
            (IF($B$11="الكل",1, INT((DAY('ادخال البيانات'!$N$3:$N$1164)-1)/7)+1 = VALUE($B$11))),
            'ادخال البيانات'!$H$3:$H$1164
         ),
         ""
      ),
      IF(_xlpm.result="", "", _xlpm.result)
   )
)</f>
        <v/>
      </c>
      <c r="I603" s="27" t="str" cm="1">
        <f t="array" ref="I603">IF(
   A603="",
   "",
   _xlfn.LET(
      _xlpm.result,
      IFERROR(
         _xlfn.XLOOKUP(
            1,
            (Table8[رقم الصنف]=A603) *
            (IF($B$9="الكل",1, YEAR('ادخال البيانات'!$N$3:$N$1164)=VALUE($B$9))) *
            (IF($B$10="الكل",1, MONTH('ادخال البيانات'!$N$3:$N$1164)=VALUE($B$10))) *
            (IF($B$11="الكل",1, INT((DAY('ادخال البيانات'!$N$3:$N$1164)-1)/7)+1 = VALUE($B$11))),
            'ادخال البيانات'!$I$3:$I$1164
         ),
         ""
      ),
      IF(_xlpm.result="", "", _xlpm.result)
   )
)</f>
        <v/>
      </c>
      <c r="J603" s="27" t="str" cm="1">
        <f t="array" ref="J603">IF(
   A603="",
   "",
   _xlfn.LET(
      _xlpm.result,
      IFERROR(
         _xlfn.XLOOKUP(
            1,
            (Table8[رقم الصنف]=A603) *
            (IF($B$9="الكل",1, YEAR('ادخال البيانات'!$N$3:$N$1164)=VALUE($B$9))) *
            (IF($B$10="الكل",1, MONTH('ادخال البيانات'!$N$3:$N$1164)=VALUE($B$10))) *
            (IF($B$11="الكل",1, INT((DAY('ادخال البيانات'!$N$3:$N$1164)-1)/7)+1 = VALUE($B$11))),
            'ادخال البيانات'!$J$3:$J$1164
         ),
         ""
      ),
      IF(_xlpm.result="", "", _xlpm.result)
   )
)</f>
        <v/>
      </c>
      <c r="K603" s="27" t="str" cm="1">
        <f t="array" ref="K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3" s="27" t="str" cm="1">
        <f t="array" ref="L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3" s="27" t="str" cm="1">
        <f t="array" ref="M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3" s="28" t="str" cm="1">
        <f t="array" ref="N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3" s="28" t="str" cm="1">
        <f t="array" ref="O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3" s="27" t="str" cm="1">
        <f t="array" ref="P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Table8[جهة العطل]
         ),
         ""
      ),
      IF(_xlpm.result="", "", _xlpm.result)
   )
)</f>
        <v/>
      </c>
      <c r="Q603" s="27" t="str" cm="1">
        <f t="array" ref="Q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Table8[المركز]
         ),
         ""
      ),
      IF(_xlpm.result="", "", _xlpm.result)
   )
)</f>
        <v/>
      </c>
      <c r="R603" s="27" t="str" cm="1">
        <f t="array" ref="R603">IF(
   A603="",
   "",
   _xlfn.LET(
      _xlpm.result,
      IFERROR(
         _xlfn.XLOOKUP(
            1,
            (Table8[رقم الصنف]=A603) *
            (IF($B$9="الكل",1, YEAR('ادخال البيانات'!$N$3:$N$1164) = VALUE($B$9))) *
            (IF($B$10="الكل",1, MONTH('ادخال البيانات'!$N$3:$N$1164) = VALUE($B$10))) *
            (IF($B$11="الكل",1, INT((DAY('ادخال البيانات'!$N$3:$N$1164) - 1) / 7) + 1 = VALUE($B$11))),
            Table8[ملاحظة]
         ),
         ""
      ),
      IF(_xlpm.result="", "", _xlpm.result)
   )
)</f>
        <v/>
      </c>
      <c r="S603" s="46" t="str">
        <f t="shared" ca="1" si="10"/>
        <v/>
      </c>
    </row>
    <row r="604" spans="1:19" ht="27.75" customHeight="1" thickTop="1" thickBot="1" x14ac:dyDescent="0.35">
      <c r="A604" s="39"/>
      <c r="B604" s="27" t="str" cm="1">
        <f t="array" ref="B604">IF(
   OR(A604="", $B$9="", $B$10="", $B$11=""),
   "",
   _xlfn.LET(
      _xlpm.result,
      IFERROR(
         _xlfn.XLOOKUP(
            1,
            (Table8[رقم الصنف]=A604)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4" s="27" t="str" cm="1">
        <f t="array" ref="C604">IF(
   A604="",
   "",
   _xlfn.LET(
      _xlpm.result,
      IFERROR(
         _xlfn.XLOOKUP(
            1,
            (Table8[رقم الصنف]=A604) *
            (IF($B$9="الكل",1, YEAR('ادخال البيانات'!$N$3:$N$1164) = VALUE($B$9))) *
            (IF($B$10="الكل",1, MONTH('ادخال البيانات'!$N$3:$N$1164) = VALUE($B$10))) *
            (IF($B$11="الكل",1, INT((DAY('ادخال البيانات'!$N$3:$N$1164)-1)/7)+1 = VALUE($B$11))),
            'ادخال البيانات'!$C$3:$C$1164
         ),
         ""
      ),
      IF(_xlpm.result="", "", _xlpm.result)
   )
)</f>
        <v/>
      </c>
      <c r="D604" s="27" t="str" cm="1">
        <f t="array" ref="D604">IF(
   OR(A604="", $B$9="", $B$10="", $B$11=""),
   "",
   _xlfn.LET(
      _xlpm.result,
      IFERROR(
         _xlfn.XLOOKUP(
            1,
            (Table8[رقم الصنف]=A604) *
            (IF($B$9="الكل",1, YEAR('ادخال البيانات'!$N$3:$N$1164)=VALUE($B$9))) *
            (IF($B$10="الكل",1, MONTH('ادخال البيانات'!$N$3:$N$1164)=VALUE($B$10))) *
            (IF($B$11="الكل",1, INT((DAY('ادخال البيانات'!$N$3:$N$1164)-1)/7)+1 = VALUE($B$11))),
            'ادخال البيانات'!$D$3:$D$1164
         ),
         ""
      ),
      IF(_xlpm.result="", "", _xlpm.result)
   )
)</f>
        <v/>
      </c>
      <c r="E604" s="27" t="str" cm="1">
        <f t="array" ref="E604">IF(
   A604="",
   "",
   _xlfn.LET(
      _xlpm.result,
      IFERROR(
         _xlfn.XLOOKUP(
            1,
            (Table8[رقم الصنف]=A604) *
            (IF($B$9="الكل",1, YEAR('ادخال البيانات'!$N$3:$N$1164)=VALUE($B$9))) *
            (IF($B$10="الكل",1, MONTH('ادخال البيانات'!$N$3:$N$1164)=VALUE($B$10))) *
            (IF($B$11="الكل",1, INT((DAY('ادخال البيانات'!$N$3:$N$1164)-1)/7)+1 = VALUE($B$11))),
            'ادخال البيانات'!$E$3:$E$1164
         ),
         ""
      ),
      IF(_xlpm.result="", "", _xlpm.result)
   )
)</f>
        <v/>
      </c>
      <c r="F604" s="27" t="str" cm="1">
        <f t="array" ref="F604">IF(
   A604="",
   "",
   _xlfn.LET(
      _xlpm.result,
      IFERROR(
         _xlfn.XLOOKUP(
            1,
            (Table8[رقم الصنف]=A604) *
            (IF($B$9="الكل",1, YEAR('ادخال البيانات'!$N$3:$N$1164) = VALUE($B$9))) *
            (IF($B$10="الكل",1, MONTH('ادخال البيانات'!$N$3:$N$1164) = VALUE($B$10))) *
            (IF($B$11="الكل",1, INT((DAY('ادخال البيانات'!$N$3:$N$1164)-1)/7)+1 = VALUE($B$11))),
            'ادخال البيانات'!$F$3:$F$1164
         ),
         ""
      ),
      IF(_xlpm.result="", "", _xlpm.result)
   )
)</f>
        <v/>
      </c>
      <c r="G604" s="27" t="str" cm="1">
        <f t="array" ref="G604">IF(
   A604="",
   "",
   _xlfn.LET(
      _xlpm.result,
      IFERROR(
         _xlfn.XLOOKUP(
            1,
            (Table8[رقم الصنف]=A604) *
            (IF($B$9="الكل",1, YEAR('ادخال البيانات'!$N$3:$N$1164)=VALUE($B$9))) *
            (IF($B$10="الكل",1, MONTH('ادخال البيانات'!$N$3:$N$1164)=VALUE($B$10))) *
            (IF($B$11="الكل",1, INT((DAY('ادخال البيانات'!$N$3:$N$1164)-1)/7)+1 = VALUE($B$11))),
            'ادخال البيانات'!$G$3:$G$1164
         ),
         ""
      ),
      IF(_xlpm.result="", "", _xlpm.result)
   )
)</f>
        <v/>
      </c>
      <c r="H604" s="27" t="str" cm="1">
        <f t="array" ref="H604">IF(
   A604="",
   "",
   _xlfn.LET(
      _xlpm.result,
      IFERROR(
         _xlfn.XLOOKUP(
            1,
            (Table8[رقم الصنف]=A604) *
            (IF($B$9="الكل",1, YEAR('ادخال البيانات'!$N$3:$N$1164)=VALUE($B$9))) *
            (IF($B$10="الكل",1, MONTH('ادخال البيانات'!$N$3:$N$1164)=VALUE($B$10))) *
            (IF($B$11="الكل",1, INT((DAY('ادخال البيانات'!$N$3:$N$1164)-1)/7)+1 = VALUE($B$11))),
            'ادخال البيانات'!$H$3:$H$1164
         ),
         ""
      ),
      IF(_xlpm.result="", "", _xlpm.result)
   )
)</f>
        <v/>
      </c>
      <c r="I604" s="27" t="str" cm="1">
        <f t="array" ref="I604">IF(
   A604="",
   "",
   _xlfn.LET(
      _xlpm.result,
      IFERROR(
         _xlfn.XLOOKUP(
            1,
            (Table8[رقم الصنف]=A604) *
            (IF($B$9="الكل",1, YEAR('ادخال البيانات'!$N$3:$N$1164)=VALUE($B$9))) *
            (IF($B$10="الكل",1, MONTH('ادخال البيانات'!$N$3:$N$1164)=VALUE($B$10))) *
            (IF($B$11="الكل",1, INT((DAY('ادخال البيانات'!$N$3:$N$1164)-1)/7)+1 = VALUE($B$11))),
            'ادخال البيانات'!$I$3:$I$1164
         ),
         ""
      ),
      IF(_xlpm.result="", "", _xlpm.result)
   )
)</f>
        <v/>
      </c>
      <c r="J604" s="27" t="str" cm="1">
        <f t="array" ref="J604">IF(
   A604="",
   "",
   _xlfn.LET(
      _xlpm.result,
      IFERROR(
         _xlfn.XLOOKUP(
            1,
            (Table8[رقم الصنف]=A604) *
            (IF($B$9="الكل",1, YEAR('ادخال البيانات'!$N$3:$N$1164)=VALUE($B$9))) *
            (IF($B$10="الكل",1, MONTH('ادخال البيانات'!$N$3:$N$1164)=VALUE($B$10))) *
            (IF($B$11="الكل",1, INT((DAY('ادخال البيانات'!$N$3:$N$1164)-1)/7)+1 = VALUE($B$11))),
            'ادخال البيانات'!$J$3:$J$1164
         ),
         ""
      ),
      IF(_xlpm.result="", "", _xlpm.result)
   )
)</f>
        <v/>
      </c>
      <c r="K604" s="27" t="str" cm="1">
        <f t="array" ref="K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4" s="27" t="str" cm="1">
        <f t="array" ref="L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4" s="27" t="str" cm="1">
        <f t="array" ref="M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4" s="28" t="str" cm="1">
        <f t="array" ref="N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4" s="28" t="str" cm="1">
        <f t="array" ref="O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4" s="27" t="str" cm="1">
        <f t="array" ref="P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Table8[جهة العطل]
         ),
         ""
      ),
      IF(_xlpm.result="", "", _xlpm.result)
   )
)</f>
        <v/>
      </c>
      <c r="Q604" s="27" t="str" cm="1">
        <f t="array" ref="Q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Table8[المركز]
         ),
         ""
      ),
      IF(_xlpm.result="", "", _xlpm.result)
   )
)</f>
        <v/>
      </c>
      <c r="R604" s="27" t="str" cm="1">
        <f t="array" ref="R604">IF(
   A604="",
   "",
   _xlfn.LET(
      _xlpm.result,
      IFERROR(
         _xlfn.XLOOKUP(
            1,
            (Table8[رقم الصنف]=A604) *
            (IF($B$9="الكل",1, YEAR('ادخال البيانات'!$N$3:$N$1164) = VALUE($B$9))) *
            (IF($B$10="الكل",1, MONTH('ادخال البيانات'!$N$3:$N$1164) = VALUE($B$10))) *
            (IF($B$11="الكل",1, INT((DAY('ادخال البيانات'!$N$3:$N$1164) - 1) / 7) + 1 = VALUE($B$11))),
            Table8[ملاحظة]
         ),
         ""
      ),
      IF(_xlpm.result="", "", _xlpm.result)
   )
)</f>
        <v/>
      </c>
      <c r="S604" s="46" t="str">
        <f t="shared" ca="1" si="10"/>
        <v/>
      </c>
    </row>
    <row r="605" spans="1:19" ht="27.75" customHeight="1" thickTop="1" thickBot="1" x14ac:dyDescent="0.35">
      <c r="A605" s="39"/>
      <c r="B605" s="27" t="str" cm="1">
        <f t="array" ref="B605">IF(
   OR(A605="", $B$9="", $B$10="", $B$11=""),
   "",
   _xlfn.LET(
      _xlpm.result,
      IFERROR(
         _xlfn.XLOOKUP(
            1,
            (Table8[رقم الصنف]=A605)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5" s="27" t="str" cm="1">
        <f t="array" ref="C605">IF(
   A605="",
   "",
   _xlfn.LET(
      _xlpm.result,
      IFERROR(
         _xlfn.XLOOKUP(
            1,
            (Table8[رقم الصنف]=A605) *
            (IF($B$9="الكل",1, YEAR('ادخال البيانات'!$N$3:$N$1164) = VALUE($B$9))) *
            (IF($B$10="الكل",1, MONTH('ادخال البيانات'!$N$3:$N$1164) = VALUE($B$10))) *
            (IF($B$11="الكل",1, INT((DAY('ادخال البيانات'!$N$3:$N$1164)-1)/7)+1 = VALUE($B$11))),
            'ادخال البيانات'!$C$3:$C$1164
         ),
         ""
      ),
      IF(_xlpm.result="", "", _xlpm.result)
   )
)</f>
        <v/>
      </c>
      <c r="D605" s="27" t="str" cm="1">
        <f t="array" ref="D605">IF(
   OR(A605="", $B$9="", $B$10="", $B$11=""),
   "",
   _xlfn.LET(
      _xlpm.result,
      IFERROR(
         _xlfn.XLOOKUP(
            1,
            (Table8[رقم الصنف]=A605) *
            (IF($B$9="الكل",1, YEAR('ادخال البيانات'!$N$3:$N$1164)=VALUE($B$9))) *
            (IF($B$10="الكل",1, MONTH('ادخال البيانات'!$N$3:$N$1164)=VALUE($B$10))) *
            (IF($B$11="الكل",1, INT((DAY('ادخال البيانات'!$N$3:$N$1164)-1)/7)+1 = VALUE($B$11))),
            'ادخال البيانات'!$D$3:$D$1164
         ),
         ""
      ),
      IF(_xlpm.result="", "", _xlpm.result)
   )
)</f>
        <v/>
      </c>
      <c r="E605" s="27" t="str" cm="1">
        <f t="array" ref="E605">IF(
   A605="",
   "",
   _xlfn.LET(
      _xlpm.result,
      IFERROR(
         _xlfn.XLOOKUP(
            1,
            (Table8[رقم الصنف]=A605) *
            (IF($B$9="الكل",1, YEAR('ادخال البيانات'!$N$3:$N$1164)=VALUE($B$9))) *
            (IF($B$10="الكل",1, MONTH('ادخال البيانات'!$N$3:$N$1164)=VALUE($B$10))) *
            (IF($B$11="الكل",1, INT((DAY('ادخال البيانات'!$N$3:$N$1164)-1)/7)+1 = VALUE($B$11))),
            'ادخال البيانات'!$E$3:$E$1164
         ),
         ""
      ),
      IF(_xlpm.result="", "", _xlpm.result)
   )
)</f>
        <v/>
      </c>
      <c r="F605" s="27" t="str" cm="1">
        <f t="array" ref="F605">IF(
   A605="",
   "",
   _xlfn.LET(
      _xlpm.result,
      IFERROR(
         _xlfn.XLOOKUP(
            1,
            (Table8[رقم الصنف]=A605) *
            (IF($B$9="الكل",1, YEAR('ادخال البيانات'!$N$3:$N$1164) = VALUE($B$9))) *
            (IF($B$10="الكل",1, MONTH('ادخال البيانات'!$N$3:$N$1164) = VALUE($B$10))) *
            (IF($B$11="الكل",1, INT((DAY('ادخال البيانات'!$N$3:$N$1164)-1)/7)+1 = VALUE($B$11))),
            'ادخال البيانات'!$F$3:$F$1164
         ),
         ""
      ),
      IF(_xlpm.result="", "", _xlpm.result)
   )
)</f>
        <v/>
      </c>
      <c r="G605" s="27" t="str" cm="1">
        <f t="array" ref="G605">IF(
   A605="",
   "",
   _xlfn.LET(
      _xlpm.result,
      IFERROR(
         _xlfn.XLOOKUP(
            1,
            (Table8[رقم الصنف]=A605) *
            (IF($B$9="الكل",1, YEAR('ادخال البيانات'!$N$3:$N$1164)=VALUE($B$9))) *
            (IF($B$10="الكل",1, MONTH('ادخال البيانات'!$N$3:$N$1164)=VALUE($B$10))) *
            (IF($B$11="الكل",1, INT((DAY('ادخال البيانات'!$N$3:$N$1164)-1)/7)+1 = VALUE($B$11))),
            'ادخال البيانات'!$G$3:$G$1164
         ),
         ""
      ),
      IF(_xlpm.result="", "", _xlpm.result)
   )
)</f>
        <v/>
      </c>
      <c r="H605" s="27" t="str" cm="1">
        <f t="array" ref="H605">IF(
   A605="",
   "",
   _xlfn.LET(
      _xlpm.result,
      IFERROR(
         _xlfn.XLOOKUP(
            1,
            (Table8[رقم الصنف]=A605) *
            (IF($B$9="الكل",1, YEAR('ادخال البيانات'!$N$3:$N$1164)=VALUE($B$9))) *
            (IF($B$10="الكل",1, MONTH('ادخال البيانات'!$N$3:$N$1164)=VALUE($B$10))) *
            (IF($B$11="الكل",1, INT((DAY('ادخال البيانات'!$N$3:$N$1164)-1)/7)+1 = VALUE($B$11))),
            'ادخال البيانات'!$H$3:$H$1164
         ),
         ""
      ),
      IF(_xlpm.result="", "", _xlpm.result)
   )
)</f>
        <v/>
      </c>
      <c r="I605" s="27" t="str" cm="1">
        <f t="array" ref="I605">IF(
   A605="",
   "",
   _xlfn.LET(
      _xlpm.result,
      IFERROR(
         _xlfn.XLOOKUP(
            1,
            (Table8[رقم الصنف]=A605) *
            (IF($B$9="الكل",1, YEAR('ادخال البيانات'!$N$3:$N$1164)=VALUE($B$9))) *
            (IF($B$10="الكل",1, MONTH('ادخال البيانات'!$N$3:$N$1164)=VALUE($B$10))) *
            (IF($B$11="الكل",1, INT((DAY('ادخال البيانات'!$N$3:$N$1164)-1)/7)+1 = VALUE($B$11))),
            'ادخال البيانات'!$I$3:$I$1164
         ),
         ""
      ),
      IF(_xlpm.result="", "", _xlpm.result)
   )
)</f>
        <v/>
      </c>
      <c r="J605" s="27" t="str" cm="1">
        <f t="array" ref="J605">IF(
   A605="",
   "",
   _xlfn.LET(
      _xlpm.result,
      IFERROR(
         _xlfn.XLOOKUP(
            1,
            (Table8[رقم الصنف]=A605) *
            (IF($B$9="الكل",1, YEAR('ادخال البيانات'!$N$3:$N$1164)=VALUE($B$9))) *
            (IF($B$10="الكل",1, MONTH('ادخال البيانات'!$N$3:$N$1164)=VALUE($B$10))) *
            (IF($B$11="الكل",1, INT((DAY('ادخال البيانات'!$N$3:$N$1164)-1)/7)+1 = VALUE($B$11))),
            'ادخال البيانات'!$J$3:$J$1164
         ),
         ""
      ),
      IF(_xlpm.result="", "", _xlpm.result)
   )
)</f>
        <v/>
      </c>
      <c r="K605" s="27" t="str" cm="1">
        <f t="array" ref="K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5" s="27" t="str" cm="1">
        <f t="array" ref="L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5" s="27" t="str" cm="1">
        <f t="array" ref="M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5" s="28" t="str" cm="1">
        <f t="array" ref="N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5" s="28" t="str" cm="1">
        <f t="array" ref="O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5" s="27" t="str" cm="1">
        <f t="array" ref="P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Table8[جهة العطل]
         ),
         ""
      ),
      IF(_xlpm.result="", "", _xlpm.result)
   )
)</f>
        <v/>
      </c>
      <c r="Q605" s="27" t="str" cm="1">
        <f t="array" ref="Q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Table8[المركز]
         ),
         ""
      ),
      IF(_xlpm.result="", "", _xlpm.result)
   )
)</f>
        <v/>
      </c>
      <c r="R605" s="27" t="str" cm="1">
        <f t="array" ref="R605">IF(
   A605="",
   "",
   _xlfn.LET(
      _xlpm.result,
      IFERROR(
         _xlfn.XLOOKUP(
            1,
            (Table8[رقم الصنف]=A605) *
            (IF($B$9="الكل",1, YEAR('ادخال البيانات'!$N$3:$N$1164) = VALUE($B$9))) *
            (IF($B$10="الكل",1, MONTH('ادخال البيانات'!$N$3:$N$1164) = VALUE($B$10))) *
            (IF($B$11="الكل",1, INT((DAY('ادخال البيانات'!$N$3:$N$1164) - 1) / 7) + 1 = VALUE($B$11))),
            Table8[ملاحظة]
         ),
         ""
      ),
      IF(_xlpm.result="", "", _xlpm.result)
   )
)</f>
        <v/>
      </c>
      <c r="S605" s="46" t="str">
        <f t="shared" ca="1" si="10"/>
        <v/>
      </c>
    </row>
    <row r="606" spans="1:19" ht="27.75" customHeight="1" thickTop="1" thickBot="1" x14ac:dyDescent="0.35">
      <c r="A606" s="39"/>
      <c r="B606" s="27" t="str" cm="1">
        <f t="array" ref="B606">IF(
   OR(A606="", $B$9="", $B$10="", $B$11=""),
   "",
   _xlfn.LET(
      _xlpm.result,
      IFERROR(
         _xlfn.XLOOKUP(
            1,
            (Table8[رقم الصنف]=A606)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6" s="27" t="str" cm="1">
        <f t="array" ref="C606">IF(
   A606="",
   "",
   _xlfn.LET(
      _xlpm.result,
      IFERROR(
         _xlfn.XLOOKUP(
            1,
            (Table8[رقم الصنف]=A606) *
            (IF($B$9="الكل",1, YEAR('ادخال البيانات'!$N$3:$N$1164) = VALUE($B$9))) *
            (IF($B$10="الكل",1, MONTH('ادخال البيانات'!$N$3:$N$1164) = VALUE($B$10))) *
            (IF($B$11="الكل",1, INT((DAY('ادخال البيانات'!$N$3:$N$1164)-1)/7)+1 = VALUE($B$11))),
            'ادخال البيانات'!$C$3:$C$1164
         ),
         ""
      ),
      IF(_xlpm.result="", "", _xlpm.result)
   )
)</f>
        <v/>
      </c>
      <c r="D606" s="27" t="str" cm="1">
        <f t="array" ref="D606">IF(
   OR(A606="", $B$9="", $B$10="", $B$11=""),
   "",
   _xlfn.LET(
      _xlpm.result,
      IFERROR(
         _xlfn.XLOOKUP(
            1,
            (Table8[رقم الصنف]=A606) *
            (IF($B$9="الكل",1, YEAR('ادخال البيانات'!$N$3:$N$1164)=VALUE($B$9))) *
            (IF($B$10="الكل",1, MONTH('ادخال البيانات'!$N$3:$N$1164)=VALUE($B$10))) *
            (IF($B$11="الكل",1, INT((DAY('ادخال البيانات'!$N$3:$N$1164)-1)/7)+1 = VALUE($B$11))),
            'ادخال البيانات'!$D$3:$D$1164
         ),
         ""
      ),
      IF(_xlpm.result="", "", _xlpm.result)
   )
)</f>
        <v/>
      </c>
      <c r="E606" s="27" t="str" cm="1">
        <f t="array" ref="E606">IF(
   A606="",
   "",
   _xlfn.LET(
      _xlpm.result,
      IFERROR(
         _xlfn.XLOOKUP(
            1,
            (Table8[رقم الصنف]=A606) *
            (IF($B$9="الكل",1, YEAR('ادخال البيانات'!$N$3:$N$1164)=VALUE($B$9))) *
            (IF($B$10="الكل",1, MONTH('ادخال البيانات'!$N$3:$N$1164)=VALUE($B$10))) *
            (IF($B$11="الكل",1, INT((DAY('ادخال البيانات'!$N$3:$N$1164)-1)/7)+1 = VALUE($B$11))),
            'ادخال البيانات'!$E$3:$E$1164
         ),
         ""
      ),
      IF(_xlpm.result="", "", _xlpm.result)
   )
)</f>
        <v/>
      </c>
      <c r="F606" s="27" t="str" cm="1">
        <f t="array" ref="F606">IF(
   A606="",
   "",
   _xlfn.LET(
      _xlpm.result,
      IFERROR(
         _xlfn.XLOOKUP(
            1,
            (Table8[رقم الصنف]=A606) *
            (IF($B$9="الكل",1, YEAR('ادخال البيانات'!$N$3:$N$1164) = VALUE($B$9))) *
            (IF($B$10="الكل",1, MONTH('ادخال البيانات'!$N$3:$N$1164) = VALUE($B$10))) *
            (IF($B$11="الكل",1, INT((DAY('ادخال البيانات'!$N$3:$N$1164)-1)/7)+1 = VALUE($B$11))),
            'ادخال البيانات'!$F$3:$F$1164
         ),
         ""
      ),
      IF(_xlpm.result="", "", _xlpm.result)
   )
)</f>
        <v/>
      </c>
      <c r="G606" s="27" t="str" cm="1">
        <f t="array" ref="G606">IF(
   A606="",
   "",
   _xlfn.LET(
      _xlpm.result,
      IFERROR(
         _xlfn.XLOOKUP(
            1,
            (Table8[رقم الصنف]=A606) *
            (IF($B$9="الكل",1, YEAR('ادخال البيانات'!$N$3:$N$1164)=VALUE($B$9))) *
            (IF($B$10="الكل",1, MONTH('ادخال البيانات'!$N$3:$N$1164)=VALUE($B$10))) *
            (IF($B$11="الكل",1, INT((DAY('ادخال البيانات'!$N$3:$N$1164)-1)/7)+1 = VALUE($B$11))),
            'ادخال البيانات'!$G$3:$G$1164
         ),
         ""
      ),
      IF(_xlpm.result="", "", _xlpm.result)
   )
)</f>
        <v/>
      </c>
      <c r="H606" s="27" t="str" cm="1">
        <f t="array" ref="H606">IF(
   A606="",
   "",
   _xlfn.LET(
      _xlpm.result,
      IFERROR(
         _xlfn.XLOOKUP(
            1,
            (Table8[رقم الصنف]=A606) *
            (IF($B$9="الكل",1, YEAR('ادخال البيانات'!$N$3:$N$1164)=VALUE($B$9))) *
            (IF($B$10="الكل",1, MONTH('ادخال البيانات'!$N$3:$N$1164)=VALUE($B$10))) *
            (IF($B$11="الكل",1, INT((DAY('ادخال البيانات'!$N$3:$N$1164)-1)/7)+1 = VALUE($B$11))),
            'ادخال البيانات'!$H$3:$H$1164
         ),
         ""
      ),
      IF(_xlpm.result="", "", _xlpm.result)
   )
)</f>
        <v/>
      </c>
      <c r="I606" s="27" t="str" cm="1">
        <f t="array" ref="I606">IF(
   A606="",
   "",
   _xlfn.LET(
      _xlpm.result,
      IFERROR(
         _xlfn.XLOOKUP(
            1,
            (Table8[رقم الصنف]=A606) *
            (IF($B$9="الكل",1, YEAR('ادخال البيانات'!$N$3:$N$1164)=VALUE($B$9))) *
            (IF($B$10="الكل",1, MONTH('ادخال البيانات'!$N$3:$N$1164)=VALUE($B$10))) *
            (IF($B$11="الكل",1, INT((DAY('ادخال البيانات'!$N$3:$N$1164)-1)/7)+1 = VALUE($B$11))),
            'ادخال البيانات'!$I$3:$I$1164
         ),
         ""
      ),
      IF(_xlpm.result="", "", _xlpm.result)
   )
)</f>
        <v/>
      </c>
      <c r="J606" s="27" t="str" cm="1">
        <f t="array" ref="J606">IF(
   A606="",
   "",
   _xlfn.LET(
      _xlpm.result,
      IFERROR(
         _xlfn.XLOOKUP(
            1,
            (Table8[رقم الصنف]=A606) *
            (IF($B$9="الكل",1, YEAR('ادخال البيانات'!$N$3:$N$1164)=VALUE($B$9))) *
            (IF($B$10="الكل",1, MONTH('ادخال البيانات'!$N$3:$N$1164)=VALUE($B$10))) *
            (IF($B$11="الكل",1, INT((DAY('ادخال البيانات'!$N$3:$N$1164)-1)/7)+1 = VALUE($B$11))),
            'ادخال البيانات'!$J$3:$J$1164
         ),
         ""
      ),
      IF(_xlpm.result="", "", _xlpm.result)
   )
)</f>
        <v/>
      </c>
      <c r="K606" s="27" t="str" cm="1">
        <f t="array" ref="K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6" s="27" t="str" cm="1">
        <f t="array" ref="L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6" s="27" t="str" cm="1">
        <f t="array" ref="M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6" s="28" t="str" cm="1">
        <f t="array" ref="N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6" s="28" t="str" cm="1">
        <f t="array" ref="O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6" s="27" t="str" cm="1">
        <f t="array" ref="P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Table8[جهة العطل]
         ),
         ""
      ),
      IF(_xlpm.result="", "", _xlpm.result)
   )
)</f>
        <v/>
      </c>
      <c r="Q606" s="27" t="str" cm="1">
        <f t="array" ref="Q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Table8[المركز]
         ),
         ""
      ),
      IF(_xlpm.result="", "", _xlpm.result)
   )
)</f>
        <v/>
      </c>
      <c r="R606" s="27" t="str" cm="1">
        <f t="array" ref="R606">IF(
   A606="",
   "",
   _xlfn.LET(
      _xlpm.result,
      IFERROR(
         _xlfn.XLOOKUP(
            1,
            (Table8[رقم الصنف]=A606) *
            (IF($B$9="الكل",1, YEAR('ادخال البيانات'!$N$3:$N$1164) = VALUE($B$9))) *
            (IF($B$10="الكل",1, MONTH('ادخال البيانات'!$N$3:$N$1164) = VALUE($B$10))) *
            (IF($B$11="الكل",1, INT((DAY('ادخال البيانات'!$N$3:$N$1164) - 1) / 7) + 1 = VALUE($B$11))),
            Table8[ملاحظة]
         ),
         ""
      ),
      IF(_xlpm.result="", "", _xlpm.result)
   )
)</f>
        <v/>
      </c>
      <c r="S606" s="46" t="str">
        <f t="shared" ca="1" si="10"/>
        <v/>
      </c>
    </row>
    <row r="607" spans="1:19" ht="27.75" customHeight="1" thickTop="1" thickBot="1" x14ac:dyDescent="0.35">
      <c r="A607" s="39"/>
      <c r="B607" s="27" t="str" cm="1">
        <f t="array" ref="B607">IF(
   OR(A607="", $B$9="", $B$10="", $B$11=""),
   "",
   _xlfn.LET(
      _xlpm.result,
      IFERROR(
         _xlfn.XLOOKUP(
            1,
            (Table8[رقم الصنف]=A607)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7" s="27" t="str" cm="1">
        <f t="array" ref="C607">IF(
   A607="",
   "",
   _xlfn.LET(
      _xlpm.result,
      IFERROR(
         _xlfn.XLOOKUP(
            1,
            (Table8[رقم الصنف]=A607) *
            (IF($B$9="الكل",1, YEAR('ادخال البيانات'!$N$3:$N$1164) = VALUE($B$9))) *
            (IF($B$10="الكل",1, MONTH('ادخال البيانات'!$N$3:$N$1164) = VALUE($B$10))) *
            (IF($B$11="الكل",1, INT((DAY('ادخال البيانات'!$N$3:$N$1164)-1)/7)+1 = VALUE($B$11))),
            'ادخال البيانات'!$C$3:$C$1164
         ),
         ""
      ),
      IF(_xlpm.result="", "", _xlpm.result)
   )
)</f>
        <v/>
      </c>
      <c r="D607" s="27" t="str" cm="1">
        <f t="array" ref="D607">IF(
   OR(A607="", $B$9="", $B$10="", $B$11=""),
   "",
   _xlfn.LET(
      _xlpm.result,
      IFERROR(
         _xlfn.XLOOKUP(
            1,
            (Table8[رقم الصنف]=A607) *
            (IF($B$9="الكل",1, YEAR('ادخال البيانات'!$N$3:$N$1164)=VALUE($B$9))) *
            (IF($B$10="الكل",1, MONTH('ادخال البيانات'!$N$3:$N$1164)=VALUE($B$10))) *
            (IF($B$11="الكل",1, INT((DAY('ادخال البيانات'!$N$3:$N$1164)-1)/7)+1 = VALUE($B$11))),
            'ادخال البيانات'!$D$3:$D$1164
         ),
         ""
      ),
      IF(_xlpm.result="", "", _xlpm.result)
   )
)</f>
        <v/>
      </c>
      <c r="E607" s="27" t="str" cm="1">
        <f t="array" ref="E607">IF(
   A607="",
   "",
   _xlfn.LET(
      _xlpm.result,
      IFERROR(
         _xlfn.XLOOKUP(
            1,
            (Table8[رقم الصنف]=A607) *
            (IF($B$9="الكل",1, YEAR('ادخال البيانات'!$N$3:$N$1164)=VALUE($B$9))) *
            (IF($B$10="الكل",1, MONTH('ادخال البيانات'!$N$3:$N$1164)=VALUE($B$10))) *
            (IF($B$11="الكل",1, INT((DAY('ادخال البيانات'!$N$3:$N$1164)-1)/7)+1 = VALUE($B$11))),
            'ادخال البيانات'!$E$3:$E$1164
         ),
         ""
      ),
      IF(_xlpm.result="", "", _xlpm.result)
   )
)</f>
        <v/>
      </c>
      <c r="F607" s="27" t="str" cm="1">
        <f t="array" ref="F607">IF(
   A607="",
   "",
   _xlfn.LET(
      _xlpm.result,
      IFERROR(
         _xlfn.XLOOKUP(
            1,
            (Table8[رقم الصنف]=A607) *
            (IF($B$9="الكل",1, YEAR('ادخال البيانات'!$N$3:$N$1164) = VALUE($B$9))) *
            (IF($B$10="الكل",1, MONTH('ادخال البيانات'!$N$3:$N$1164) = VALUE($B$10))) *
            (IF($B$11="الكل",1, INT((DAY('ادخال البيانات'!$N$3:$N$1164)-1)/7)+1 = VALUE($B$11))),
            'ادخال البيانات'!$F$3:$F$1164
         ),
         ""
      ),
      IF(_xlpm.result="", "", _xlpm.result)
   )
)</f>
        <v/>
      </c>
      <c r="G607" s="27" t="str" cm="1">
        <f t="array" ref="G607">IF(
   A607="",
   "",
   _xlfn.LET(
      _xlpm.result,
      IFERROR(
         _xlfn.XLOOKUP(
            1,
            (Table8[رقم الصنف]=A607) *
            (IF($B$9="الكل",1, YEAR('ادخال البيانات'!$N$3:$N$1164)=VALUE($B$9))) *
            (IF($B$10="الكل",1, MONTH('ادخال البيانات'!$N$3:$N$1164)=VALUE($B$10))) *
            (IF($B$11="الكل",1, INT((DAY('ادخال البيانات'!$N$3:$N$1164)-1)/7)+1 = VALUE($B$11))),
            'ادخال البيانات'!$G$3:$G$1164
         ),
         ""
      ),
      IF(_xlpm.result="", "", _xlpm.result)
   )
)</f>
        <v/>
      </c>
      <c r="H607" s="27" t="str" cm="1">
        <f t="array" ref="H607">IF(
   A607="",
   "",
   _xlfn.LET(
      _xlpm.result,
      IFERROR(
         _xlfn.XLOOKUP(
            1,
            (Table8[رقم الصنف]=A607) *
            (IF($B$9="الكل",1, YEAR('ادخال البيانات'!$N$3:$N$1164)=VALUE($B$9))) *
            (IF($B$10="الكل",1, MONTH('ادخال البيانات'!$N$3:$N$1164)=VALUE($B$10))) *
            (IF($B$11="الكل",1, INT((DAY('ادخال البيانات'!$N$3:$N$1164)-1)/7)+1 = VALUE($B$11))),
            'ادخال البيانات'!$H$3:$H$1164
         ),
         ""
      ),
      IF(_xlpm.result="", "", _xlpm.result)
   )
)</f>
        <v/>
      </c>
      <c r="I607" s="27" t="str" cm="1">
        <f t="array" ref="I607">IF(
   A607="",
   "",
   _xlfn.LET(
      _xlpm.result,
      IFERROR(
         _xlfn.XLOOKUP(
            1,
            (Table8[رقم الصنف]=A607) *
            (IF($B$9="الكل",1, YEAR('ادخال البيانات'!$N$3:$N$1164)=VALUE($B$9))) *
            (IF($B$10="الكل",1, MONTH('ادخال البيانات'!$N$3:$N$1164)=VALUE($B$10))) *
            (IF($B$11="الكل",1, INT((DAY('ادخال البيانات'!$N$3:$N$1164)-1)/7)+1 = VALUE($B$11))),
            'ادخال البيانات'!$I$3:$I$1164
         ),
         ""
      ),
      IF(_xlpm.result="", "", _xlpm.result)
   )
)</f>
        <v/>
      </c>
      <c r="J607" s="27" t="str" cm="1">
        <f t="array" ref="J607">IF(
   A607="",
   "",
   _xlfn.LET(
      _xlpm.result,
      IFERROR(
         _xlfn.XLOOKUP(
            1,
            (Table8[رقم الصنف]=A607) *
            (IF($B$9="الكل",1, YEAR('ادخال البيانات'!$N$3:$N$1164)=VALUE($B$9))) *
            (IF($B$10="الكل",1, MONTH('ادخال البيانات'!$N$3:$N$1164)=VALUE($B$10))) *
            (IF($B$11="الكل",1, INT((DAY('ادخال البيانات'!$N$3:$N$1164)-1)/7)+1 = VALUE($B$11))),
            'ادخال البيانات'!$J$3:$J$1164
         ),
         ""
      ),
      IF(_xlpm.result="", "", _xlpm.result)
   )
)</f>
        <v/>
      </c>
      <c r="K607" s="27" t="str" cm="1">
        <f t="array" ref="K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7" s="27" t="str" cm="1">
        <f t="array" ref="L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7" s="27" t="str" cm="1">
        <f t="array" ref="M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7" s="28" t="str" cm="1">
        <f t="array" ref="N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7" s="28" t="str" cm="1">
        <f t="array" ref="O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7" s="27" t="str" cm="1">
        <f t="array" ref="P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Table8[جهة العطل]
         ),
         ""
      ),
      IF(_xlpm.result="", "", _xlpm.result)
   )
)</f>
        <v/>
      </c>
      <c r="Q607" s="27" t="str" cm="1">
        <f t="array" ref="Q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Table8[المركز]
         ),
         ""
      ),
      IF(_xlpm.result="", "", _xlpm.result)
   )
)</f>
        <v/>
      </c>
      <c r="R607" s="27" t="str" cm="1">
        <f t="array" ref="R607">IF(
   A607="",
   "",
   _xlfn.LET(
      _xlpm.result,
      IFERROR(
         _xlfn.XLOOKUP(
            1,
            (Table8[رقم الصنف]=A607) *
            (IF($B$9="الكل",1, YEAR('ادخال البيانات'!$N$3:$N$1164) = VALUE($B$9))) *
            (IF($B$10="الكل",1, MONTH('ادخال البيانات'!$N$3:$N$1164) = VALUE($B$10))) *
            (IF($B$11="الكل",1, INT((DAY('ادخال البيانات'!$N$3:$N$1164) - 1) / 7) + 1 = VALUE($B$11))),
            Table8[ملاحظة]
         ),
         ""
      ),
      IF(_xlpm.result="", "", _xlpm.result)
   )
)</f>
        <v/>
      </c>
      <c r="S607" s="46" t="str">
        <f t="shared" ca="1" si="10"/>
        <v/>
      </c>
    </row>
    <row r="608" spans="1:19" ht="27.75" customHeight="1" thickTop="1" thickBot="1" x14ac:dyDescent="0.35">
      <c r="A608" s="39"/>
      <c r="B608" s="27" t="str" cm="1">
        <f t="array" ref="B608">IF(
   OR(A608="", $B$9="", $B$10="", $B$11=""),
   "",
   _xlfn.LET(
      _xlpm.result,
      IFERROR(
         _xlfn.XLOOKUP(
            1,
            (Table8[رقم الصنف]=A608)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8" s="27" t="str" cm="1">
        <f t="array" ref="C608">IF(
   A608="",
   "",
   _xlfn.LET(
      _xlpm.result,
      IFERROR(
         _xlfn.XLOOKUP(
            1,
            (Table8[رقم الصنف]=A608) *
            (IF($B$9="الكل",1, YEAR('ادخال البيانات'!$N$3:$N$1164) = VALUE($B$9))) *
            (IF($B$10="الكل",1, MONTH('ادخال البيانات'!$N$3:$N$1164) = VALUE($B$10))) *
            (IF($B$11="الكل",1, INT((DAY('ادخال البيانات'!$N$3:$N$1164)-1)/7)+1 = VALUE($B$11))),
            'ادخال البيانات'!$C$3:$C$1164
         ),
         ""
      ),
      IF(_xlpm.result="", "", _xlpm.result)
   )
)</f>
        <v/>
      </c>
      <c r="D608" s="27" t="str" cm="1">
        <f t="array" ref="D608">IF(
   OR(A608="", $B$9="", $B$10="", $B$11=""),
   "",
   _xlfn.LET(
      _xlpm.result,
      IFERROR(
         _xlfn.XLOOKUP(
            1,
            (Table8[رقم الصنف]=A608) *
            (IF($B$9="الكل",1, YEAR('ادخال البيانات'!$N$3:$N$1164)=VALUE($B$9))) *
            (IF($B$10="الكل",1, MONTH('ادخال البيانات'!$N$3:$N$1164)=VALUE($B$10))) *
            (IF($B$11="الكل",1, INT((DAY('ادخال البيانات'!$N$3:$N$1164)-1)/7)+1 = VALUE($B$11))),
            'ادخال البيانات'!$D$3:$D$1164
         ),
         ""
      ),
      IF(_xlpm.result="", "", _xlpm.result)
   )
)</f>
        <v/>
      </c>
      <c r="E608" s="27" t="str" cm="1">
        <f t="array" ref="E608">IF(
   A608="",
   "",
   _xlfn.LET(
      _xlpm.result,
      IFERROR(
         _xlfn.XLOOKUP(
            1,
            (Table8[رقم الصنف]=A608) *
            (IF($B$9="الكل",1, YEAR('ادخال البيانات'!$N$3:$N$1164)=VALUE($B$9))) *
            (IF($B$10="الكل",1, MONTH('ادخال البيانات'!$N$3:$N$1164)=VALUE($B$10))) *
            (IF($B$11="الكل",1, INT((DAY('ادخال البيانات'!$N$3:$N$1164)-1)/7)+1 = VALUE($B$11))),
            'ادخال البيانات'!$E$3:$E$1164
         ),
         ""
      ),
      IF(_xlpm.result="", "", _xlpm.result)
   )
)</f>
        <v/>
      </c>
      <c r="F608" s="27" t="str" cm="1">
        <f t="array" ref="F608">IF(
   A608="",
   "",
   _xlfn.LET(
      _xlpm.result,
      IFERROR(
         _xlfn.XLOOKUP(
            1,
            (Table8[رقم الصنف]=A608) *
            (IF($B$9="الكل",1, YEAR('ادخال البيانات'!$N$3:$N$1164) = VALUE($B$9))) *
            (IF($B$10="الكل",1, MONTH('ادخال البيانات'!$N$3:$N$1164) = VALUE($B$10))) *
            (IF($B$11="الكل",1, INT((DAY('ادخال البيانات'!$N$3:$N$1164)-1)/7)+1 = VALUE($B$11))),
            'ادخال البيانات'!$F$3:$F$1164
         ),
         ""
      ),
      IF(_xlpm.result="", "", _xlpm.result)
   )
)</f>
        <v/>
      </c>
      <c r="G608" s="27" t="str" cm="1">
        <f t="array" ref="G608">IF(
   A608="",
   "",
   _xlfn.LET(
      _xlpm.result,
      IFERROR(
         _xlfn.XLOOKUP(
            1,
            (Table8[رقم الصنف]=A608) *
            (IF($B$9="الكل",1, YEAR('ادخال البيانات'!$N$3:$N$1164)=VALUE($B$9))) *
            (IF($B$10="الكل",1, MONTH('ادخال البيانات'!$N$3:$N$1164)=VALUE($B$10))) *
            (IF($B$11="الكل",1, INT((DAY('ادخال البيانات'!$N$3:$N$1164)-1)/7)+1 = VALUE($B$11))),
            'ادخال البيانات'!$G$3:$G$1164
         ),
         ""
      ),
      IF(_xlpm.result="", "", _xlpm.result)
   )
)</f>
        <v/>
      </c>
      <c r="H608" s="27" t="str" cm="1">
        <f t="array" ref="H608">IF(
   A608="",
   "",
   _xlfn.LET(
      _xlpm.result,
      IFERROR(
         _xlfn.XLOOKUP(
            1,
            (Table8[رقم الصنف]=A608) *
            (IF($B$9="الكل",1, YEAR('ادخال البيانات'!$N$3:$N$1164)=VALUE($B$9))) *
            (IF($B$10="الكل",1, MONTH('ادخال البيانات'!$N$3:$N$1164)=VALUE($B$10))) *
            (IF($B$11="الكل",1, INT((DAY('ادخال البيانات'!$N$3:$N$1164)-1)/7)+1 = VALUE($B$11))),
            'ادخال البيانات'!$H$3:$H$1164
         ),
         ""
      ),
      IF(_xlpm.result="", "", _xlpm.result)
   )
)</f>
        <v/>
      </c>
      <c r="I608" s="27" t="str" cm="1">
        <f t="array" ref="I608">IF(
   A608="",
   "",
   _xlfn.LET(
      _xlpm.result,
      IFERROR(
         _xlfn.XLOOKUP(
            1,
            (Table8[رقم الصنف]=A608) *
            (IF($B$9="الكل",1, YEAR('ادخال البيانات'!$N$3:$N$1164)=VALUE($B$9))) *
            (IF($B$10="الكل",1, MONTH('ادخال البيانات'!$N$3:$N$1164)=VALUE($B$10))) *
            (IF($B$11="الكل",1, INT((DAY('ادخال البيانات'!$N$3:$N$1164)-1)/7)+1 = VALUE($B$11))),
            'ادخال البيانات'!$I$3:$I$1164
         ),
         ""
      ),
      IF(_xlpm.result="", "", _xlpm.result)
   )
)</f>
        <v/>
      </c>
      <c r="J608" s="27" t="str" cm="1">
        <f t="array" ref="J608">IF(
   A608="",
   "",
   _xlfn.LET(
      _xlpm.result,
      IFERROR(
         _xlfn.XLOOKUP(
            1,
            (Table8[رقم الصنف]=A608) *
            (IF($B$9="الكل",1, YEAR('ادخال البيانات'!$N$3:$N$1164)=VALUE($B$9))) *
            (IF($B$10="الكل",1, MONTH('ادخال البيانات'!$N$3:$N$1164)=VALUE($B$10))) *
            (IF($B$11="الكل",1, INT((DAY('ادخال البيانات'!$N$3:$N$1164)-1)/7)+1 = VALUE($B$11))),
            'ادخال البيانات'!$J$3:$J$1164
         ),
         ""
      ),
      IF(_xlpm.result="", "", _xlpm.result)
   )
)</f>
        <v/>
      </c>
      <c r="K608" s="27" t="str" cm="1">
        <f t="array" ref="K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8" s="27" t="str" cm="1">
        <f t="array" ref="L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8" s="27" t="str" cm="1">
        <f t="array" ref="M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8" s="28" t="str" cm="1">
        <f t="array" ref="N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8" s="28" t="str" cm="1">
        <f t="array" ref="O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8" s="27" t="str" cm="1">
        <f t="array" ref="P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Table8[جهة العطل]
         ),
         ""
      ),
      IF(_xlpm.result="", "", _xlpm.result)
   )
)</f>
        <v/>
      </c>
      <c r="Q608" s="27" t="str" cm="1">
        <f t="array" ref="Q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Table8[المركز]
         ),
         ""
      ),
      IF(_xlpm.result="", "", _xlpm.result)
   )
)</f>
        <v/>
      </c>
      <c r="R608" s="27" t="str" cm="1">
        <f t="array" ref="R608">IF(
   A608="",
   "",
   _xlfn.LET(
      _xlpm.result,
      IFERROR(
         _xlfn.XLOOKUP(
            1,
            (Table8[رقم الصنف]=A608) *
            (IF($B$9="الكل",1, YEAR('ادخال البيانات'!$N$3:$N$1164) = VALUE($B$9))) *
            (IF($B$10="الكل",1, MONTH('ادخال البيانات'!$N$3:$N$1164) = VALUE($B$10))) *
            (IF($B$11="الكل",1, INT((DAY('ادخال البيانات'!$N$3:$N$1164) - 1) / 7) + 1 = VALUE($B$11))),
            Table8[ملاحظة]
         ),
         ""
      ),
      IF(_xlpm.result="", "", _xlpm.result)
   )
)</f>
        <v/>
      </c>
      <c r="S608" s="46" t="str">
        <f t="shared" ca="1" si="10"/>
        <v/>
      </c>
    </row>
    <row r="609" spans="1:19" ht="27.75" customHeight="1" thickTop="1" thickBot="1" x14ac:dyDescent="0.35">
      <c r="A609" s="39"/>
      <c r="B609" s="27" t="str" cm="1">
        <f t="array" ref="B609">IF(
   OR(A609="", $B$9="", $B$10="", $B$11=""),
   "",
   _xlfn.LET(
      _xlpm.result,
      IFERROR(
         _xlfn.XLOOKUP(
            1,
            (Table8[رقم الصنف]=A609)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09" s="27" t="str" cm="1">
        <f t="array" ref="C609">IF(
   A609="",
   "",
   _xlfn.LET(
      _xlpm.result,
      IFERROR(
         _xlfn.XLOOKUP(
            1,
            (Table8[رقم الصنف]=A609) *
            (IF($B$9="الكل",1, YEAR('ادخال البيانات'!$N$3:$N$1164) = VALUE($B$9))) *
            (IF($B$10="الكل",1, MONTH('ادخال البيانات'!$N$3:$N$1164) = VALUE($B$10))) *
            (IF($B$11="الكل",1, INT((DAY('ادخال البيانات'!$N$3:$N$1164)-1)/7)+1 = VALUE($B$11))),
            'ادخال البيانات'!$C$3:$C$1164
         ),
         ""
      ),
      IF(_xlpm.result="", "", _xlpm.result)
   )
)</f>
        <v/>
      </c>
      <c r="D609" s="27" t="str" cm="1">
        <f t="array" ref="D609">IF(
   OR(A609="", $B$9="", $B$10="", $B$11=""),
   "",
   _xlfn.LET(
      _xlpm.result,
      IFERROR(
         _xlfn.XLOOKUP(
            1,
            (Table8[رقم الصنف]=A609) *
            (IF($B$9="الكل",1, YEAR('ادخال البيانات'!$N$3:$N$1164)=VALUE($B$9))) *
            (IF($B$10="الكل",1, MONTH('ادخال البيانات'!$N$3:$N$1164)=VALUE($B$10))) *
            (IF($B$11="الكل",1, INT((DAY('ادخال البيانات'!$N$3:$N$1164)-1)/7)+1 = VALUE($B$11))),
            'ادخال البيانات'!$D$3:$D$1164
         ),
         ""
      ),
      IF(_xlpm.result="", "", _xlpm.result)
   )
)</f>
        <v/>
      </c>
      <c r="E609" s="27" t="str" cm="1">
        <f t="array" ref="E609">IF(
   A609="",
   "",
   _xlfn.LET(
      _xlpm.result,
      IFERROR(
         _xlfn.XLOOKUP(
            1,
            (Table8[رقم الصنف]=A609) *
            (IF($B$9="الكل",1, YEAR('ادخال البيانات'!$N$3:$N$1164)=VALUE($B$9))) *
            (IF($B$10="الكل",1, MONTH('ادخال البيانات'!$N$3:$N$1164)=VALUE($B$10))) *
            (IF($B$11="الكل",1, INT((DAY('ادخال البيانات'!$N$3:$N$1164)-1)/7)+1 = VALUE($B$11))),
            'ادخال البيانات'!$E$3:$E$1164
         ),
         ""
      ),
      IF(_xlpm.result="", "", _xlpm.result)
   )
)</f>
        <v/>
      </c>
      <c r="F609" s="27" t="str" cm="1">
        <f t="array" ref="F609">IF(
   A609="",
   "",
   _xlfn.LET(
      _xlpm.result,
      IFERROR(
         _xlfn.XLOOKUP(
            1,
            (Table8[رقم الصنف]=A609) *
            (IF($B$9="الكل",1, YEAR('ادخال البيانات'!$N$3:$N$1164) = VALUE($B$9))) *
            (IF($B$10="الكل",1, MONTH('ادخال البيانات'!$N$3:$N$1164) = VALUE($B$10))) *
            (IF($B$11="الكل",1, INT((DAY('ادخال البيانات'!$N$3:$N$1164)-1)/7)+1 = VALUE($B$11))),
            'ادخال البيانات'!$F$3:$F$1164
         ),
         ""
      ),
      IF(_xlpm.result="", "", _xlpm.result)
   )
)</f>
        <v/>
      </c>
      <c r="G609" s="27" t="str" cm="1">
        <f t="array" ref="G609">IF(
   A609="",
   "",
   _xlfn.LET(
      _xlpm.result,
      IFERROR(
         _xlfn.XLOOKUP(
            1,
            (Table8[رقم الصنف]=A609) *
            (IF($B$9="الكل",1, YEAR('ادخال البيانات'!$N$3:$N$1164)=VALUE($B$9))) *
            (IF($B$10="الكل",1, MONTH('ادخال البيانات'!$N$3:$N$1164)=VALUE($B$10))) *
            (IF($B$11="الكل",1, INT((DAY('ادخال البيانات'!$N$3:$N$1164)-1)/7)+1 = VALUE($B$11))),
            'ادخال البيانات'!$G$3:$G$1164
         ),
         ""
      ),
      IF(_xlpm.result="", "", _xlpm.result)
   )
)</f>
        <v/>
      </c>
      <c r="H609" s="27" t="str" cm="1">
        <f t="array" ref="H609">IF(
   A609="",
   "",
   _xlfn.LET(
      _xlpm.result,
      IFERROR(
         _xlfn.XLOOKUP(
            1,
            (Table8[رقم الصنف]=A609) *
            (IF($B$9="الكل",1, YEAR('ادخال البيانات'!$N$3:$N$1164)=VALUE($B$9))) *
            (IF($B$10="الكل",1, MONTH('ادخال البيانات'!$N$3:$N$1164)=VALUE($B$10))) *
            (IF($B$11="الكل",1, INT((DAY('ادخال البيانات'!$N$3:$N$1164)-1)/7)+1 = VALUE($B$11))),
            'ادخال البيانات'!$H$3:$H$1164
         ),
         ""
      ),
      IF(_xlpm.result="", "", _xlpm.result)
   )
)</f>
        <v/>
      </c>
      <c r="I609" s="27" t="str" cm="1">
        <f t="array" ref="I609">IF(
   A609="",
   "",
   _xlfn.LET(
      _xlpm.result,
      IFERROR(
         _xlfn.XLOOKUP(
            1,
            (Table8[رقم الصنف]=A609) *
            (IF($B$9="الكل",1, YEAR('ادخال البيانات'!$N$3:$N$1164)=VALUE($B$9))) *
            (IF($B$10="الكل",1, MONTH('ادخال البيانات'!$N$3:$N$1164)=VALUE($B$10))) *
            (IF($B$11="الكل",1, INT((DAY('ادخال البيانات'!$N$3:$N$1164)-1)/7)+1 = VALUE($B$11))),
            'ادخال البيانات'!$I$3:$I$1164
         ),
         ""
      ),
      IF(_xlpm.result="", "", _xlpm.result)
   )
)</f>
        <v/>
      </c>
      <c r="J609" s="27" t="str" cm="1">
        <f t="array" ref="J609">IF(
   A609="",
   "",
   _xlfn.LET(
      _xlpm.result,
      IFERROR(
         _xlfn.XLOOKUP(
            1,
            (Table8[رقم الصنف]=A609) *
            (IF($B$9="الكل",1, YEAR('ادخال البيانات'!$N$3:$N$1164)=VALUE($B$9))) *
            (IF($B$10="الكل",1, MONTH('ادخال البيانات'!$N$3:$N$1164)=VALUE($B$10))) *
            (IF($B$11="الكل",1, INT((DAY('ادخال البيانات'!$N$3:$N$1164)-1)/7)+1 = VALUE($B$11))),
            'ادخال البيانات'!$J$3:$J$1164
         ),
         ""
      ),
      IF(_xlpm.result="", "", _xlpm.result)
   )
)</f>
        <v/>
      </c>
      <c r="K609" s="27" t="str" cm="1">
        <f t="array" ref="K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09" s="27" t="str" cm="1">
        <f t="array" ref="L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09" s="27" t="str" cm="1">
        <f t="array" ref="M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09" s="28" t="str" cm="1">
        <f t="array" ref="N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09" s="28" t="str" cm="1">
        <f t="array" ref="O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09" s="27" t="str" cm="1">
        <f t="array" ref="P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Table8[جهة العطل]
         ),
         ""
      ),
      IF(_xlpm.result="", "", _xlpm.result)
   )
)</f>
        <v/>
      </c>
      <c r="Q609" s="27" t="str" cm="1">
        <f t="array" ref="Q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Table8[المركز]
         ),
         ""
      ),
      IF(_xlpm.result="", "", _xlpm.result)
   )
)</f>
        <v/>
      </c>
      <c r="R609" s="27" t="str" cm="1">
        <f t="array" ref="R609">IF(
   A609="",
   "",
   _xlfn.LET(
      _xlpm.result,
      IFERROR(
         _xlfn.XLOOKUP(
            1,
            (Table8[رقم الصنف]=A609) *
            (IF($B$9="الكل",1, YEAR('ادخال البيانات'!$N$3:$N$1164) = VALUE($B$9))) *
            (IF($B$10="الكل",1, MONTH('ادخال البيانات'!$N$3:$N$1164) = VALUE($B$10))) *
            (IF($B$11="الكل",1, INT((DAY('ادخال البيانات'!$N$3:$N$1164) - 1) / 7) + 1 = VALUE($B$11))),
            Table8[ملاحظة]
         ),
         ""
      ),
      IF(_xlpm.result="", "", _xlpm.result)
   )
)</f>
        <v/>
      </c>
      <c r="S609" s="46" t="str">
        <f t="shared" ca="1" si="10"/>
        <v/>
      </c>
    </row>
    <row r="610" spans="1:19" ht="27.75" customHeight="1" thickTop="1" thickBot="1" x14ac:dyDescent="0.35">
      <c r="A610" s="39"/>
      <c r="B610" s="27" t="str" cm="1">
        <f t="array" ref="B610">IF(
   OR(A610="", $B$9="", $B$10="", $B$11=""),
   "",
   _xlfn.LET(
      _xlpm.result,
      IFERROR(
         _xlfn.XLOOKUP(
            1,
            (Table8[رقم الصنف]=A610)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0" s="27" t="str" cm="1">
        <f t="array" ref="C610">IF(
   A610="",
   "",
   _xlfn.LET(
      _xlpm.result,
      IFERROR(
         _xlfn.XLOOKUP(
            1,
            (Table8[رقم الصنف]=A610) *
            (IF($B$9="الكل",1, YEAR('ادخال البيانات'!$N$3:$N$1164) = VALUE($B$9))) *
            (IF($B$10="الكل",1, MONTH('ادخال البيانات'!$N$3:$N$1164) = VALUE($B$10))) *
            (IF($B$11="الكل",1, INT((DAY('ادخال البيانات'!$N$3:$N$1164)-1)/7)+1 = VALUE($B$11))),
            'ادخال البيانات'!$C$3:$C$1164
         ),
         ""
      ),
      IF(_xlpm.result="", "", _xlpm.result)
   )
)</f>
        <v/>
      </c>
      <c r="D610" s="27" t="str" cm="1">
        <f t="array" ref="D610">IF(
   OR(A610="", $B$9="", $B$10="", $B$11=""),
   "",
   _xlfn.LET(
      _xlpm.result,
      IFERROR(
         _xlfn.XLOOKUP(
            1,
            (Table8[رقم الصنف]=A610) *
            (IF($B$9="الكل",1, YEAR('ادخال البيانات'!$N$3:$N$1164)=VALUE($B$9))) *
            (IF($B$10="الكل",1, MONTH('ادخال البيانات'!$N$3:$N$1164)=VALUE($B$10))) *
            (IF($B$11="الكل",1, INT((DAY('ادخال البيانات'!$N$3:$N$1164)-1)/7)+1 = VALUE($B$11))),
            'ادخال البيانات'!$D$3:$D$1164
         ),
         ""
      ),
      IF(_xlpm.result="", "", _xlpm.result)
   )
)</f>
        <v/>
      </c>
      <c r="E610" s="27" t="str" cm="1">
        <f t="array" ref="E610">IF(
   A610="",
   "",
   _xlfn.LET(
      _xlpm.result,
      IFERROR(
         _xlfn.XLOOKUP(
            1,
            (Table8[رقم الصنف]=A610) *
            (IF($B$9="الكل",1, YEAR('ادخال البيانات'!$N$3:$N$1164)=VALUE($B$9))) *
            (IF($B$10="الكل",1, MONTH('ادخال البيانات'!$N$3:$N$1164)=VALUE($B$10))) *
            (IF($B$11="الكل",1, INT((DAY('ادخال البيانات'!$N$3:$N$1164)-1)/7)+1 = VALUE($B$11))),
            'ادخال البيانات'!$E$3:$E$1164
         ),
         ""
      ),
      IF(_xlpm.result="", "", _xlpm.result)
   )
)</f>
        <v/>
      </c>
      <c r="F610" s="27" t="str" cm="1">
        <f t="array" ref="F610">IF(
   A610="",
   "",
   _xlfn.LET(
      _xlpm.result,
      IFERROR(
         _xlfn.XLOOKUP(
            1,
            (Table8[رقم الصنف]=A610) *
            (IF($B$9="الكل",1, YEAR('ادخال البيانات'!$N$3:$N$1164) = VALUE($B$9))) *
            (IF($B$10="الكل",1, MONTH('ادخال البيانات'!$N$3:$N$1164) = VALUE($B$10))) *
            (IF($B$11="الكل",1, INT((DAY('ادخال البيانات'!$N$3:$N$1164)-1)/7)+1 = VALUE($B$11))),
            'ادخال البيانات'!$F$3:$F$1164
         ),
         ""
      ),
      IF(_xlpm.result="", "", _xlpm.result)
   )
)</f>
        <v/>
      </c>
      <c r="G610" s="27" t="str" cm="1">
        <f t="array" ref="G610">IF(
   A610="",
   "",
   _xlfn.LET(
      _xlpm.result,
      IFERROR(
         _xlfn.XLOOKUP(
            1,
            (Table8[رقم الصنف]=A610) *
            (IF($B$9="الكل",1, YEAR('ادخال البيانات'!$N$3:$N$1164)=VALUE($B$9))) *
            (IF($B$10="الكل",1, MONTH('ادخال البيانات'!$N$3:$N$1164)=VALUE($B$10))) *
            (IF($B$11="الكل",1, INT((DAY('ادخال البيانات'!$N$3:$N$1164)-1)/7)+1 = VALUE($B$11))),
            'ادخال البيانات'!$G$3:$G$1164
         ),
         ""
      ),
      IF(_xlpm.result="", "", _xlpm.result)
   )
)</f>
        <v/>
      </c>
      <c r="H610" s="27" t="str" cm="1">
        <f t="array" ref="H610">IF(
   A610="",
   "",
   _xlfn.LET(
      _xlpm.result,
      IFERROR(
         _xlfn.XLOOKUP(
            1,
            (Table8[رقم الصنف]=A610) *
            (IF($B$9="الكل",1, YEAR('ادخال البيانات'!$N$3:$N$1164)=VALUE($B$9))) *
            (IF($B$10="الكل",1, MONTH('ادخال البيانات'!$N$3:$N$1164)=VALUE($B$10))) *
            (IF($B$11="الكل",1, INT((DAY('ادخال البيانات'!$N$3:$N$1164)-1)/7)+1 = VALUE($B$11))),
            'ادخال البيانات'!$H$3:$H$1164
         ),
         ""
      ),
      IF(_xlpm.result="", "", _xlpm.result)
   )
)</f>
        <v/>
      </c>
      <c r="I610" s="27" t="str" cm="1">
        <f t="array" ref="I610">IF(
   A610="",
   "",
   _xlfn.LET(
      _xlpm.result,
      IFERROR(
         _xlfn.XLOOKUP(
            1,
            (Table8[رقم الصنف]=A610) *
            (IF($B$9="الكل",1, YEAR('ادخال البيانات'!$N$3:$N$1164)=VALUE($B$9))) *
            (IF($B$10="الكل",1, MONTH('ادخال البيانات'!$N$3:$N$1164)=VALUE($B$10))) *
            (IF($B$11="الكل",1, INT((DAY('ادخال البيانات'!$N$3:$N$1164)-1)/7)+1 = VALUE($B$11))),
            'ادخال البيانات'!$I$3:$I$1164
         ),
         ""
      ),
      IF(_xlpm.result="", "", _xlpm.result)
   )
)</f>
        <v/>
      </c>
      <c r="J610" s="27" t="str" cm="1">
        <f t="array" ref="J610">IF(
   A610="",
   "",
   _xlfn.LET(
      _xlpm.result,
      IFERROR(
         _xlfn.XLOOKUP(
            1,
            (Table8[رقم الصنف]=A610) *
            (IF($B$9="الكل",1, YEAR('ادخال البيانات'!$N$3:$N$1164)=VALUE($B$9))) *
            (IF($B$10="الكل",1, MONTH('ادخال البيانات'!$N$3:$N$1164)=VALUE($B$10))) *
            (IF($B$11="الكل",1, INT((DAY('ادخال البيانات'!$N$3:$N$1164)-1)/7)+1 = VALUE($B$11))),
            'ادخال البيانات'!$J$3:$J$1164
         ),
         ""
      ),
      IF(_xlpm.result="", "", _xlpm.result)
   )
)</f>
        <v/>
      </c>
      <c r="K610" s="27" t="str" cm="1">
        <f t="array" ref="K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0" s="27" t="str" cm="1">
        <f t="array" ref="L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0" s="27" t="str" cm="1">
        <f t="array" ref="M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0" s="28" t="str" cm="1">
        <f t="array" ref="N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0" s="28" t="str" cm="1">
        <f t="array" ref="O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0" s="27" t="str" cm="1">
        <f t="array" ref="P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Table8[جهة العطل]
         ),
         ""
      ),
      IF(_xlpm.result="", "", _xlpm.result)
   )
)</f>
        <v/>
      </c>
      <c r="Q610" s="27" t="str" cm="1">
        <f t="array" ref="Q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Table8[المركز]
         ),
         ""
      ),
      IF(_xlpm.result="", "", _xlpm.result)
   )
)</f>
        <v/>
      </c>
      <c r="R610" s="27" t="str" cm="1">
        <f t="array" ref="R610">IF(
   A610="",
   "",
   _xlfn.LET(
      _xlpm.result,
      IFERROR(
         _xlfn.XLOOKUP(
            1,
            (Table8[رقم الصنف]=A610) *
            (IF($B$9="الكل",1, YEAR('ادخال البيانات'!$N$3:$N$1164) = VALUE($B$9))) *
            (IF($B$10="الكل",1, MONTH('ادخال البيانات'!$N$3:$N$1164) = VALUE($B$10))) *
            (IF($B$11="الكل",1, INT((DAY('ادخال البيانات'!$N$3:$N$1164) - 1) / 7) + 1 = VALUE($B$11))),
            Table8[ملاحظة]
         ),
         ""
      ),
      IF(_xlpm.result="", "", _xlpm.result)
   )
)</f>
        <v/>
      </c>
      <c r="S610" s="46" t="str">
        <f t="shared" ca="1" si="10"/>
        <v/>
      </c>
    </row>
    <row r="611" spans="1:19" ht="27.75" customHeight="1" thickTop="1" thickBot="1" x14ac:dyDescent="0.35">
      <c r="A611" s="39"/>
      <c r="B611" s="27" t="str" cm="1">
        <f t="array" ref="B611">IF(
   OR(A611="", $B$9="", $B$10="", $B$11=""),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1" s="27" t="str" cm="1">
        <f t="array" ref="C611">IF(
   A611="",
   "",
   _xlfn.LET(
      _xlpm.result,
      IFERROR(
         _xlfn.XLOOKUP(
            1,
            (Table8[رقم الصنف]=A611) *
            (IF($B$9="الكل",1, YEAR('ادخال البيانات'!$N$3:$N$1164) = VALUE($B$9))) *
            (IF($B$10="الكل",1, MONTH('ادخال البيانات'!$N$3:$N$1164) = VALUE($B$10))) *
            (IF($B$11="الكل",1, INT((DAY('ادخال البيانات'!$N$3:$N$1164)-1)/7)+1 = VALUE($B$11))),
            'ادخال البيانات'!$C$3:$C$1164
         ),
         ""
      ),
      IF(_xlpm.result="", "", _xlpm.result)
   )
)</f>
        <v/>
      </c>
      <c r="D611" s="27" t="str" cm="1">
        <f t="array" ref="D611">IF(
   OR(A611="", $B$9="", $B$10="", $B$11=""),
   "",
   _xlfn.LET(
      _xlpm.result,
      IFERROR(
         _xlfn.XLOOKUP(
            1,
            (Table8[رقم الصنف]=A611) *
            (IF($B$9="الكل",1, YEAR('ادخال البيانات'!$N$3:$N$1164)=VALUE($B$9))) *
            (IF($B$10="الكل",1, MONTH('ادخال البيانات'!$N$3:$N$1164)=VALUE($B$10))) *
            (IF($B$11="الكل",1, INT((DAY('ادخال البيانات'!$N$3:$N$1164)-1)/7)+1 = VALUE($B$11))),
            'ادخال البيانات'!$D$3:$D$1164
         ),
         ""
      ),
      IF(_xlpm.result="", "", _xlpm.result)
   )
)</f>
        <v/>
      </c>
      <c r="E611" s="27" t="str" cm="1">
        <f t="array" ref="E611">IF(
   A611="",
   "",
   _xlfn.LET(
      _xlpm.result,
      IFERROR(
         _xlfn.XLOOKUP(
            1,
            (Table8[رقم الصنف]=A611) *
            (IF($B$9="الكل",1, YEAR('ادخال البيانات'!$N$3:$N$1164)=VALUE($B$9))) *
            (IF($B$10="الكل",1, MONTH('ادخال البيانات'!$N$3:$N$1164)=VALUE($B$10))) *
            (IF($B$11="الكل",1, INT((DAY('ادخال البيانات'!$N$3:$N$1164)-1)/7)+1 = VALUE($B$11))),
            'ادخال البيانات'!$E$3:$E$1164
         ),
         ""
      ),
      IF(_xlpm.result="", "", _xlpm.result)
   )
)</f>
        <v/>
      </c>
      <c r="F611" s="27" t="str" cm="1">
        <f t="array" ref="F611">IF(
   A611="",
   "",
   _xlfn.LET(
      _xlpm.result,
      IFERROR(
         _xlfn.XLOOKUP(
            1,
            (Table8[رقم الصنف]=A611) *
            (IF($B$9="الكل",1, YEAR('ادخال البيانات'!$N$3:$N$1164) = VALUE($B$9))) *
            (IF($B$10="الكل",1, MONTH('ادخال البيانات'!$N$3:$N$1164) = VALUE($B$10))) *
            (IF($B$11="الكل",1, INT((DAY('ادخال البيانات'!$N$3:$N$1164)-1)/7)+1 = VALUE($B$11))),
            'ادخال البيانات'!$F$3:$F$1164
         ),
         ""
      ),
      IF(_xlpm.result="", "", _xlpm.result)
   )
)</f>
        <v/>
      </c>
      <c r="G611" s="27" t="str" cm="1">
        <f t="array" ref="G611">IF(
   A611="",
   "",
   _xlfn.LET(
      _xlpm.result,
      IFERROR(
         _xlfn.XLOOKUP(
            1,
            (Table8[رقم الصنف]=A611) *
            (IF($B$9="الكل",1, YEAR('ادخال البيانات'!$N$3:$N$1164)=VALUE($B$9))) *
            (IF($B$10="الكل",1, MONTH('ادخال البيانات'!$N$3:$N$1164)=VALUE($B$10))) *
            (IF($B$11="الكل",1, INT((DAY('ادخال البيانات'!$N$3:$N$1164)-1)/7)+1 = VALUE($B$11))),
            'ادخال البيانات'!$G$3:$G$1164
         ),
         ""
      ),
      IF(_xlpm.result="", "", _xlpm.result)
   )
)</f>
        <v/>
      </c>
      <c r="H611" s="27" t="str" cm="1">
        <f t="array" ref="H611">IF(
   A611="",
   "",
   _xlfn.LET(
      _xlpm.result,
      IFERROR(
         _xlfn.XLOOKUP(
            1,
            (Table8[رقم الصنف]=A611) *
            (IF($B$9="الكل",1, YEAR('ادخال البيانات'!$N$3:$N$1164)=VALUE($B$9))) *
            (IF($B$10="الكل",1, MONTH('ادخال البيانات'!$N$3:$N$1164)=VALUE($B$10))) *
            (IF($B$11="الكل",1, INT((DAY('ادخال البيانات'!$N$3:$N$1164)-1)/7)+1 = VALUE($B$11))),
            'ادخال البيانات'!$H$3:$H$1164
         ),
         ""
      ),
      IF(_xlpm.result="", "", _xlpm.result)
   )
)</f>
        <v/>
      </c>
      <c r="I611" s="27" t="str" cm="1">
        <f t="array" ref="I611">IF(
   A611="",
   "",
   _xlfn.LET(
      _xlpm.result,
      IFERROR(
         _xlfn.XLOOKUP(
            1,
            (Table8[رقم الصنف]=A611) *
            (IF($B$9="الكل",1, YEAR('ادخال البيانات'!$N$3:$N$1164)=VALUE($B$9))) *
            (IF($B$10="الكل",1, MONTH('ادخال البيانات'!$N$3:$N$1164)=VALUE($B$10))) *
            (IF($B$11="الكل",1, INT((DAY('ادخال البيانات'!$N$3:$N$1164)-1)/7)+1 = VALUE($B$11))),
            'ادخال البيانات'!$I$3:$I$1164
         ),
         ""
      ),
      IF(_xlpm.result="", "", _xlpm.result)
   )
)</f>
        <v/>
      </c>
      <c r="J611" s="27" t="str" cm="1">
        <f t="array" ref="J611">IF(
   A611="",
   "",
   _xlfn.LET(
      _xlpm.result,
      IFERROR(
         _xlfn.XLOOKUP(
            1,
            (Table8[رقم الصنف]=A611) *
            (IF($B$9="الكل",1, YEAR('ادخال البيانات'!$N$3:$N$1164)=VALUE($B$9))) *
            (IF($B$10="الكل",1, MONTH('ادخال البيانات'!$N$3:$N$1164)=VALUE($B$10))) *
            (IF($B$11="الكل",1, INT((DAY('ادخال البيانات'!$N$3:$N$1164)-1)/7)+1 = VALUE($B$11))),
            'ادخال البيانات'!$J$3:$J$1164
         ),
         ""
      ),
      IF(_xlpm.result="", "", _xlpm.result)
   )
)</f>
        <v/>
      </c>
      <c r="K611" s="27" t="str" cm="1">
        <f t="array" ref="K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1" s="27" t="str" cm="1">
        <f t="array" ref="L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1" s="27" t="str" cm="1">
        <f t="array" ref="M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1" s="28" t="str" cm="1">
        <f t="array" ref="N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1" s="28" t="str" cm="1">
        <f t="array" ref="O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1" s="27" t="str" cm="1">
        <f t="array" ref="P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Table8[جهة العطل]
         ),
         ""
      ),
      IF(_xlpm.result="", "", _xlpm.result)
   )
)</f>
        <v/>
      </c>
      <c r="Q611" s="27" t="str" cm="1">
        <f t="array" ref="Q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Table8[المركز]
         ),
         ""
      ),
      IF(_xlpm.result="", "", _xlpm.result)
   )
)</f>
        <v/>
      </c>
      <c r="R611" s="27" t="str" cm="1">
        <f t="array" ref="R611">IF(
   A611="",
   "",
   _xlfn.LET(
      _xlpm.result,
      IFERROR(
         _xlfn.XLOOKUP(
            1,
            (Table8[رقم الصنف]=A611) *
            (IF($B$9="الكل",1, YEAR('ادخال البيانات'!$N$3:$N$1164) = VALUE($B$9))) *
            (IF($B$10="الكل",1, MONTH('ادخال البيانات'!$N$3:$N$1164) = VALUE($B$10))) *
            (IF($B$11="الكل",1, INT((DAY('ادخال البيانات'!$N$3:$N$1164) - 1) / 7) + 1 = VALUE($B$11))),
            Table8[ملاحظة]
         ),
         ""
      ),
      IF(_xlpm.result="", "", _xlpm.result)
   )
)</f>
        <v/>
      </c>
      <c r="S611" s="46" t="str">
        <f t="shared" ca="1" si="10"/>
        <v/>
      </c>
    </row>
    <row r="612" spans="1:19" ht="27.75" customHeight="1" thickTop="1" thickBot="1" x14ac:dyDescent="0.35">
      <c r="A612" s="39"/>
      <c r="B612" s="27" t="str" cm="1">
        <f t="array" ref="B612">IF(
   OR(A612="", $B$9="", $B$10="", $B$11=""),
   "",
   _xlfn.LET(
      _xlpm.result,
      IFERROR(
         _xlfn.XLOOKUP(
            1,
            (Table8[رقم الصنف]=A612)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2" s="27" t="str" cm="1">
        <f t="array" ref="C612">IF(
   A612="",
   "",
   _xlfn.LET(
      _xlpm.result,
      IFERROR(
         _xlfn.XLOOKUP(
            1,
            (Table8[رقم الصنف]=A612) *
            (IF($B$9="الكل",1, YEAR('ادخال البيانات'!$N$3:$N$1164) = VALUE($B$9))) *
            (IF($B$10="الكل",1, MONTH('ادخال البيانات'!$N$3:$N$1164) = VALUE($B$10))) *
            (IF($B$11="الكل",1, INT((DAY('ادخال البيانات'!$N$3:$N$1164)-1)/7)+1 = VALUE($B$11))),
            'ادخال البيانات'!$C$3:$C$1164
         ),
         ""
      ),
      IF(_xlpm.result="", "", _xlpm.result)
   )
)</f>
        <v/>
      </c>
      <c r="D612" s="27" t="str" cm="1">
        <f t="array" ref="D612">IF(
   OR(A612="", $B$9="", $B$10="", $B$11=""),
   "",
   _xlfn.LET(
      _xlpm.result,
      IFERROR(
         _xlfn.XLOOKUP(
            1,
            (Table8[رقم الصنف]=A612) *
            (IF($B$9="الكل",1, YEAR('ادخال البيانات'!$N$3:$N$1164)=VALUE($B$9))) *
            (IF($B$10="الكل",1, MONTH('ادخال البيانات'!$N$3:$N$1164)=VALUE($B$10))) *
            (IF($B$11="الكل",1, INT((DAY('ادخال البيانات'!$N$3:$N$1164)-1)/7)+1 = VALUE($B$11))),
            'ادخال البيانات'!$D$3:$D$1164
         ),
         ""
      ),
      IF(_xlpm.result="", "", _xlpm.result)
   )
)</f>
        <v/>
      </c>
      <c r="E612" s="27" t="str" cm="1">
        <f t="array" ref="E612">IF(
   A612="",
   "",
   _xlfn.LET(
      _xlpm.result,
      IFERROR(
         _xlfn.XLOOKUP(
            1,
            (Table8[رقم الصنف]=A612) *
            (IF($B$9="الكل",1, YEAR('ادخال البيانات'!$N$3:$N$1164)=VALUE($B$9))) *
            (IF($B$10="الكل",1, MONTH('ادخال البيانات'!$N$3:$N$1164)=VALUE($B$10))) *
            (IF($B$11="الكل",1, INT((DAY('ادخال البيانات'!$N$3:$N$1164)-1)/7)+1 = VALUE($B$11))),
            'ادخال البيانات'!$E$3:$E$1164
         ),
         ""
      ),
      IF(_xlpm.result="", "", _xlpm.result)
   )
)</f>
        <v/>
      </c>
      <c r="F612" s="27" t="str" cm="1">
        <f t="array" ref="F612">IF(
   A612="",
   "",
   _xlfn.LET(
      _xlpm.result,
      IFERROR(
         _xlfn.XLOOKUP(
            1,
            (Table8[رقم الصنف]=A612) *
            (IF($B$9="الكل",1, YEAR('ادخال البيانات'!$N$3:$N$1164) = VALUE($B$9))) *
            (IF($B$10="الكل",1, MONTH('ادخال البيانات'!$N$3:$N$1164) = VALUE($B$10))) *
            (IF($B$11="الكل",1, INT((DAY('ادخال البيانات'!$N$3:$N$1164)-1)/7)+1 = VALUE($B$11))),
            'ادخال البيانات'!$F$3:$F$1164
         ),
         ""
      ),
      IF(_xlpm.result="", "", _xlpm.result)
   )
)</f>
        <v/>
      </c>
      <c r="G612" s="27" t="str" cm="1">
        <f t="array" ref="G612">IF(
   A612="",
   "",
   _xlfn.LET(
      _xlpm.result,
      IFERROR(
         _xlfn.XLOOKUP(
            1,
            (Table8[رقم الصنف]=A612) *
            (IF($B$9="الكل",1, YEAR('ادخال البيانات'!$N$3:$N$1164)=VALUE($B$9))) *
            (IF($B$10="الكل",1, MONTH('ادخال البيانات'!$N$3:$N$1164)=VALUE($B$10))) *
            (IF($B$11="الكل",1, INT((DAY('ادخال البيانات'!$N$3:$N$1164)-1)/7)+1 = VALUE($B$11))),
            'ادخال البيانات'!$G$3:$G$1164
         ),
         ""
      ),
      IF(_xlpm.result="", "", _xlpm.result)
   )
)</f>
        <v/>
      </c>
      <c r="H612" s="27" t="str" cm="1">
        <f t="array" ref="H612">IF(
   A612="",
   "",
   _xlfn.LET(
      _xlpm.result,
      IFERROR(
         _xlfn.XLOOKUP(
            1,
            (Table8[رقم الصنف]=A612) *
            (IF($B$9="الكل",1, YEAR('ادخال البيانات'!$N$3:$N$1164)=VALUE($B$9))) *
            (IF($B$10="الكل",1, MONTH('ادخال البيانات'!$N$3:$N$1164)=VALUE($B$10))) *
            (IF($B$11="الكل",1, INT((DAY('ادخال البيانات'!$N$3:$N$1164)-1)/7)+1 = VALUE($B$11))),
            'ادخال البيانات'!$H$3:$H$1164
         ),
         ""
      ),
      IF(_xlpm.result="", "", _xlpm.result)
   )
)</f>
        <v/>
      </c>
      <c r="I612" s="27" t="str" cm="1">
        <f t="array" ref="I612">IF(
   A612="",
   "",
   _xlfn.LET(
      _xlpm.result,
      IFERROR(
         _xlfn.XLOOKUP(
            1,
            (Table8[رقم الصنف]=A612) *
            (IF($B$9="الكل",1, YEAR('ادخال البيانات'!$N$3:$N$1164)=VALUE($B$9))) *
            (IF($B$10="الكل",1, MONTH('ادخال البيانات'!$N$3:$N$1164)=VALUE($B$10))) *
            (IF($B$11="الكل",1, INT((DAY('ادخال البيانات'!$N$3:$N$1164)-1)/7)+1 = VALUE($B$11))),
            'ادخال البيانات'!$I$3:$I$1164
         ),
         ""
      ),
      IF(_xlpm.result="", "", _xlpm.result)
   )
)</f>
        <v/>
      </c>
      <c r="J612" s="27" t="str" cm="1">
        <f t="array" ref="J612">IF(
   A612="",
   "",
   _xlfn.LET(
      _xlpm.result,
      IFERROR(
         _xlfn.XLOOKUP(
            1,
            (Table8[رقم الصنف]=A612) *
            (IF($B$9="الكل",1, YEAR('ادخال البيانات'!$N$3:$N$1164)=VALUE($B$9))) *
            (IF($B$10="الكل",1, MONTH('ادخال البيانات'!$N$3:$N$1164)=VALUE($B$10))) *
            (IF($B$11="الكل",1, INT((DAY('ادخال البيانات'!$N$3:$N$1164)-1)/7)+1 = VALUE($B$11))),
            'ادخال البيانات'!$J$3:$J$1164
         ),
         ""
      ),
      IF(_xlpm.result="", "", _xlpm.result)
   )
)</f>
        <v/>
      </c>
      <c r="K612" s="27" t="str" cm="1">
        <f t="array" ref="K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2" s="27" t="str" cm="1">
        <f t="array" ref="L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2" s="27" t="str" cm="1">
        <f t="array" ref="M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2" s="28" t="str" cm="1">
        <f t="array" ref="N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2" s="28" t="str" cm="1">
        <f t="array" ref="O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2" s="27" t="str" cm="1">
        <f t="array" ref="P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Table8[جهة العطل]
         ),
         ""
      ),
      IF(_xlpm.result="", "", _xlpm.result)
   )
)</f>
        <v/>
      </c>
      <c r="Q612" s="27" t="str" cm="1">
        <f t="array" ref="Q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Table8[المركز]
         ),
         ""
      ),
      IF(_xlpm.result="", "", _xlpm.result)
   )
)</f>
        <v/>
      </c>
      <c r="R612" s="27" t="str" cm="1">
        <f t="array" ref="R612">IF(
   A612="",
   "",
   _xlfn.LET(
      _xlpm.result,
      IFERROR(
         _xlfn.XLOOKUP(
            1,
            (Table8[رقم الصنف]=A612) *
            (IF($B$9="الكل",1, YEAR('ادخال البيانات'!$N$3:$N$1164) = VALUE($B$9))) *
            (IF($B$10="الكل",1, MONTH('ادخال البيانات'!$N$3:$N$1164) = VALUE($B$10))) *
            (IF($B$11="الكل",1, INT((DAY('ادخال البيانات'!$N$3:$N$1164) - 1) / 7) + 1 = VALUE($B$11))),
            Table8[ملاحظة]
         ),
         ""
      ),
      IF(_xlpm.result="", "", _xlpm.result)
   )
)</f>
        <v/>
      </c>
      <c r="S612" s="46" t="str">
        <f t="shared" ca="1" si="10"/>
        <v/>
      </c>
    </row>
    <row r="613" spans="1:19" ht="27.75" customHeight="1" thickTop="1" thickBot="1" x14ac:dyDescent="0.35">
      <c r="A613" s="39"/>
      <c r="B613" s="27" t="str" cm="1">
        <f t="array" ref="B613">IF(
   OR(A613="", $B$9="", $B$10="", $B$11=""),
   "",
   _xlfn.LET(
      _xlpm.result,
      IFERROR(
         _xlfn.XLOOKUP(
            1,
            (Table8[رقم الصنف]=A613)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3" s="27" t="str" cm="1">
        <f t="array" ref="C613">IF(
   A613="",
   "",
   _xlfn.LET(
      _xlpm.result,
      IFERROR(
         _xlfn.XLOOKUP(
            1,
            (Table8[رقم الصنف]=A613) *
            (IF($B$9="الكل",1, YEAR('ادخال البيانات'!$N$3:$N$1164) = VALUE($B$9))) *
            (IF($B$10="الكل",1, MONTH('ادخال البيانات'!$N$3:$N$1164) = VALUE($B$10))) *
            (IF($B$11="الكل",1, INT((DAY('ادخال البيانات'!$N$3:$N$1164)-1)/7)+1 = VALUE($B$11))),
            'ادخال البيانات'!$C$3:$C$1164
         ),
         ""
      ),
      IF(_xlpm.result="", "", _xlpm.result)
   )
)</f>
        <v/>
      </c>
      <c r="D613" s="27" t="str" cm="1">
        <f t="array" ref="D613">IF(
   OR(A613="", $B$9="", $B$10="", $B$11=""),
   "",
   _xlfn.LET(
      _xlpm.result,
      IFERROR(
         _xlfn.XLOOKUP(
            1,
            (Table8[رقم الصنف]=A613) *
            (IF($B$9="الكل",1, YEAR('ادخال البيانات'!$N$3:$N$1164)=VALUE($B$9))) *
            (IF($B$10="الكل",1, MONTH('ادخال البيانات'!$N$3:$N$1164)=VALUE($B$10))) *
            (IF($B$11="الكل",1, INT((DAY('ادخال البيانات'!$N$3:$N$1164)-1)/7)+1 = VALUE($B$11))),
            'ادخال البيانات'!$D$3:$D$1164
         ),
         ""
      ),
      IF(_xlpm.result="", "", _xlpm.result)
   )
)</f>
        <v/>
      </c>
      <c r="E613" s="27" t="str" cm="1">
        <f t="array" ref="E613">IF(
   A613="",
   "",
   _xlfn.LET(
      _xlpm.result,
      IFERROR(
         _xlfn.XLOOKUP(
            1,
            (Table8[رقم الصنف]=A613) *
            (IF($B$9="الكل",1, YEAR('ادخال البيانات'!$N$3:$N$1164)=VALUE($B$9))) *
            (IF($B$10="الكل",1, MONTH('ادخال البيانات'!$N$3:$N$1164)=VALUE($B$10))) *
            (IF($B$11="الكل",1, INT((DAY('ادخال البيانات'!$N$3:$N$1164)-1)/7)+1 = VALUE($B$11))),
            'ادخال البيانات'!$E$3:$E$1164
         ),
         ""
      ),
      IF(_xlpm.result="", "", _xlpm.result)
   )
)</f>
        <v/>
      </c>
      <c r="F613" s="27" t="str" cm="1">
        <f t="array" ref="F613">IF(
   A613="",
   "",
   _xlfn.LET(
      _xlpm.result,
      IFERROR(
         _xlfn.XLOOKUP(
            1,
            (Table8[رقم الصنف]=A613) *
            (IF($B$9="الكل",1, YEAR('ادخال البيانات'!$N$3:$N$1164) = VALUE($B$9))) *
            (IF($B$10="الكل",1, MONTH('ادخال البيانات'!$N$3:$N$1164) = VALUE($B$10))) *
            (IF($B$11="الكل",1, INT((DAY('ادخال البيانات'!$N$3:$N$1164)-1)/7)+1 = VALUE($B$11))),
            'ادخال البيانات'!$F$3:$F$1164
         ),
         ""
      ),
      IF(_xlpm.result="", "", _xlpm.result)
   )
)</f>
        <v/>
      </c>
      <c r="G613" s="27" t="str" cm="1">
        <f t="array" ref="G613">IF(
   A613="",
   "",
   _xlfn.LET(
      _xlpm.result,
      IFERROR(
         _xlfn.XLOOKUP(
            1,
            (Table8[رقم الصنف]=A613) *
            (IF($B$9="الكل",1, YEAR('ادخال البيانات'!$N$3:$N$1164)=VALUE($B$9))) *
            (IF($B$10="الكل",1, MONTH('ادخال البيانات'!$N$3:$N$1164)=VALUE($B$10))) *
            (IF($B$11="الكل",1, INT((DAY('ادخال البيانات'!$N$3:$N$1164)-1)/7)+1 = VALUE($B$11))),
            'ادخال البيانات'!$G$3:$G$1164
         ),
         ""
      ),
      IF(_xlpm.result="", "", _xlpm.result)
   )
)</f>
        <v/>
      </c>
      <c r="H613" s="27" t="str" cm="1">
        <f t="array" ref="H613">IF(
   A613="",
   "",
   _xlfn.LET(
      _xlpm.result,
      IFERROR(
         _xlfn.XLOOKUP(
            1,
            (Table8[رقم الصنف]=A613) *
            (IF($B$9="الكل",1, YEAR('ادخال البيانات'!$N$3:$N$1164)=VALUE($B$9))) *
            (IF($B$10="الكل",1, MONTH('ادخال البيانات'!$N$3:$N$1164)=VALUE($B$10))) *
            (IF($B$11="الكل",1, INT((DAY('ادخال البيانات'!$N$3:$N$1164)-1)/7)+1 = VALUE($B$11))),
            'ادخال البيانات'!$H$3:$H$1164
         ),
         ""
      ),
      IF(_xlpm.result="", "", _xlpm.result)
   )
)</f>
        <v/>
      </c>
      <c r="I613" s="27" t="str" cm="1">
        <f t="array" ref="I613">IF(
   A613="",
   "",
   _xlfn.LET(
      _xlpm.result,
      IFERROR(
         _xlfn.XLOOKUP(
            1,
            (Table8[رقم الصنف]=A613) *
            (IF($B$9="الكل",1, YEAR('ادخال البيانات'!$N$3:$N$1164)=VALUE($B$9))) *
            (IF($B$10="الكل",1, MONTH('ادخال البيانات'!$N$3:$N$1164)=VALUE($B$10))) *
            (IF($B$11="الكل",1, INT((DAY('ادخال البيانات'!$N$3:$N$1164)-1)/7)+1 = VALUE($B$11))),
            'ادخال البيانات'!$I$3:$I$1164
         ),
         ""
      ),
      IF(_xlpm.result="", "", _xlpm.result)
   )
)</f>
        <v/>
      </c>
      <c r="J613" s="27" t="str" cm="1">
        <f t="array" ref="J613">IF(
   A613="",
   "",
   _xlfn.LET(
      _xlpm.result,
      IFERROR(
         _xlfn.XLOOKUP(
            1,
            (Table8[رقم الصنف]=A613) *
            (IF($B$9="الكل",1, YEAR('ادخال البيانات'!$N$3:$N$1164)=VALUE($B$9))) *
            (IF($B$10="الكل",1, MONTH('ادخال البيانات'!$N$3:$N$1164)=VALUE($B$10))) *
            (IF($B$11="الكل",1, INT((DAY('ادخال البيانات'!$N$3:$N$1164)-1)/7)+1 = VALUE($B$11))),
            'ادخال البيانات'!$J$3:$J$1164
         ),
         ""
      ),
      IF(_xlpm.result="", "", _xlpm.result)
   )
)</f>
        <v/>
      </c>
      <c r="K613" s="27" t="str" cm="1">
        <f t="array" ref="K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3" s="27" t="str" cm="1">
        <f t="array" ref="L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3" s="27" t="str" cm="1">
        <f t="array" ref="M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3" s="28" t="str" cm="1">
        <f t="array" ref="N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3" s="28" t="str" cm="1">
        <f t="array" ref="O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3" s="27" t="str" cm="1">
        <f t="array" ref="P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Table8[جهة العطل]
         ),
         ""
      ),
      IF(_xlpm.result="", "", _xlpm.result)
   )
)</f>
        <v/>
      </c>
      <c r="Q613" s="27" t="str" cm="1">
        <f t="array" ref="Q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Table8[المركز]
         ),
         ""
      ),
      IF(_xlpm.result="", "", _xlpm.result)
   )
)</f>
        <v/>
      </c>
      <c r="R613" s="27" t="str" cm="1">
        <f t="array" ref="R613">IF(
   A613="",
   "",
   _xlfn.LET(
      _xlpm.result,
      IFERROR(
         _xlfn.XLOOKUP(
            1,
            (Table8[رقم الصنف]=A613) *
            (IF($B$9="الكل",1, YEAR('ادخال البيانات'!$N$3:$N$1164) = VALUE($B$9))) *
            (IF($B$10="الكل",1, MONTH('ادخال البيانات'!$N$3:$N$1164) = VALUE($B$10))) *
            (IF($B$11="الكل",1, INT((DAY('ادخال البيانات'!$N$3:$N$1164) - 1) / 7) + 1 = VALUE($B$11))),
            Table8[ملاحظة]
         ),
         ""
      ),
      IF(_xlpm.result="", "", _xlpm.result)
   )
)</f>
        <v/>
      </c>
      <c r="S613" s="46" t="str">
        <f t="shared" ca="1" si="10"/>
        <v/>
      </c>
    </row>
    <row r="614" spans="1:19" ht="27.75" customHeight="1" thickTop="1" thickBot="1" x14ac:dyDescent="0.35">
      <c r="A614" s="39"/>
      <c r="B614" s="27" t="str" cm="1">
        <f t="array" ref="B614">IF(
   OR(A614="", $B$9="", $B$10="", $B$11=""),
   "",
   _xlfn.LET(
      _xlpm.result,
      IFERROR(
         _xlfn.XLOOKUP(
            1,
            (Table8[رقم الصنف]=A614)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4" s="27" t="str" cm="1">
        <f t="array" ref="C614">IF(
   A614="",
   "",
   _xlfn.LET(
      _xlpm.result,
      IFERROR(
         _xlfn.XLOOKUP(
            1,
            (Table8[رقم الصنف]=A614) *
            (IF($B$9="الكل",1, YEAR('ادخال البيانات'!$N$3:$N$1164) = VALUE($B$9))) *
            (IF($B$10="الكل",1, MONTH('ادخال البيانات'!$N$3:$N$1164) = VALUE($B$10))) *
            (IF($B$11="الكل",1, INT((DAY('ادخال البيانات'!$N$3:$N$1164)-1)/7)+1 = VALUE($B$11))),
            'ادخال البيانات'!$C$3:$C$1164
         ),
         ""
      ),
      IF(_xlpm.result="", "", _xlpm.result)
   )
)</f>
        <v/>
      </c>
      <c r="D614" s="27" t="str" cm="1">
        <f t="array" ref="D614">IF(
   OR(A614="", $B$9="", $B$10="", $B$11=""),
   "",
   _xlfn.LET(
      _xlpm.result,
      IFERROR(
         _xlfn.XLOOKUP(
            1,
            (Table8[رقم الصنف]=A614) *
            (IF($B$9="الكل",1, YEAR('ادخال البيانات'!$N$3:$N$1164)=VALUE($B$9))) *
            (IF($B$10="الكل",1, MONTH('ادخال البيانات'!$N$3:$N$1164)=VALUE($B$10))) *
            (IF($B$11="الكل",1, INT((DAY('ادخال البيانات'!$N$3:$N$1164)-1)/7)+1 = VALUE($B$11))),
            'ادخال البيانات'!$D$3:$D$1164
         ),
         ""
      ),
      IF(_xlpm.result="", "", _xlpm.result)
   )
)</f>
        <v/>
      </c>
      <c r="E614" s="27" t="str" cm="1">
        <f t="array" ref="E614">IF(
   A614="",
   "",
   _xlfn.LET(
      _xlpm.result,
      IFERROR(
         _xlfn.XLOOKUP(
            1,
            (Table8[رقم الصنف]=A614) *
            (IF($B$9="الكل",1, YEAR('ادخال البيانات'!$N$3:$N$1164)=VALUE($B$9))) *
            (IF($B$10="الكل",1, MONTH('ادخال البيانات'!$N$3:$N$1164)=VALUE($B$10))) *
            (IF($B$11="الكل",1, INT((DAY('ادخال البيانات'!$N$3:$N$1164)-1)/7)+1 = VALUE($B$11))),
            'ادخال البيانات'!$E$3:$E$1164
         ),
         ""
      ),
      IF(_xlpm.result="", "", _xlpm.result)
   )
)</f>
        <v/>
      </c>
      <c r="F614" s="27" t="str" cm="1">
        <f t="array" ref="F614">IF(
   A614="",
   "",
   _xlfn.LET(
      _xlpm.result,
      IFERROR(
         _xlfn.XLOOKUP(
            1,
            (Table8[رقم الصنف]=A614) *
            (IF($B$9="الكل",1, YEAR('ادخال البيانات'!$N$3:$N$1164) = VALUE($B$9))) *
            (IF($B$10="الكل",1, MONTH('ادخال البيانات'!$N$3:$N$1164) = VALUE($B$10))) *
            (IF($B$11="الكل",1, INT((DAY('ادخال البيانات'!$N$3:$N$1164)-1)/7)+1 = VALUE($B$11))),
            'ادخال البيانات'!$F$3:$F$1164
         ),
         ""
      ),
      IF(_xlpm.result="", "", _xlpm.result)
   )
)</f>
        <v/>
      </c>
      <c r="G614" s="27" t="str" cm="1">
        <f t="array" ref="G614">IF(
   A614="",
   "",
   _xlfn.LET(
      _xlpm.result,
      IFERROR(
         _xlfn.XLOOKUP(
            1,
            (Table8[رقم الصنف]=A614) *
            (IF($B$9="الكل",1, YEAR('ادخال البيانات'!$N$3:$N$1164)=VALUE($B$9))) *
            (IF($B$10="الكل",1, MONTH('ادخال البيانات'!$N$3:$N$1164)=VALUE($B$10))) *
            (IF($B$11="الكل",1, INT((DAY('ادخال البيانات'!$N$3:$N$1164)-1)/7)+1 = VALUE($B$11))),
            'ادخال البيانات'!$G$3:$G$1164
         ),
         ""
      ),
      IF(_xlpm.result="", "", _xlpm.result)
   )
)</f>
        <v/>
      </c>
      <c r="H614" s="27" t="str" cm="1">
        <f t="array" ref="H614">IF(
   A614="",
   "",
   _xlfn.LET(
      _xlpm.result,
      IFERROR(
         _xlfn.XLOOKUP(
            1,
            (Table8[رقم الصنف]=A614) *
            (IF($B$9="الكل",1, YEAR('ادخال البيانات'!$N$3:$N$1164)=VALUE($B$9))) *
            (IF($B$10="الكل",1, MONTH('ادخال البيانات'!$N$3:$N$1164)=VALUE($B$10))) *
            (IF($B$11="الكل",1, INT((DAY('ادخال البيانات'!$N$3:$N$1164)-1)/7)+1 = VALUE($B$11))),
            'ادخال البيانات'!$H$3:$H$1164
         ),
         ""
      ),
      IF(_xlpm.result="", "", _xlpm.result)
   )
)</f>
        <v/>
      </c>
      <c r="I614" s="27" t="str" cm="1">
        <f t="array" ref="I614">IF(
   A614="",
   "",
   _xlfn.LET(
      _xlpm.result,
      IFERROR(
         _xlfn.XLOOKUP(
            1,
            (Table8[رقم الصنف]=A614) *
            (IF($B$9="الكل",1, YEAR('ادخال البيانات'!$N$3:$N$1164)=VALUE($B$9))) *
            (IF($B$10="الكل",1, MONTH('ادخال البيانات'!$N$3:$N$1164)=VALUE($B$10))) *
            (IF($B$11="الكل",1, INT((DAY('ادخال البيانات'!$N$3:$N$1164)-1)/7)+1 = VALUE($B$11))),
            'ادخال البيانات'!$I$3:$I$1164
         ),
         ""
      ),
      IF(_xlpm.result="", "", _xlpm.result)
   )
)</f>
        <v/>
      </c>
      <c r="J614" s="27" t="str" cm="1">
        <f t="array" ref="J614">IF(
   A614="",
   "",
   _xlfn.LET(
      _xlpm.result,
      IFERROR(
         _xlfn.XLOOKUP(
            1,
            (Table8[رقم الصنف]=A614) *
            (IF($B$9="الكل",1, YEAR('ادخال البيانات'!$N$3:$N$1164)=VALUE($B$9))) *
            (IF($B$10="الكل",1, MONTH('ادخال البيانات'!$N$3:$N$1164)=VALUE($B$10))) *
            (IF($B$11="الكل",1, INT((DAY('ادخال البيانات'!$N$3:$N$1164)-1)/7)+1 = VALUE($B$11))),
            'ادخال البيانات'!$J$3:$J$1164
         ),
         ""
      ),
      IF(_xlpm.result="", "", _xlpm.result)
   )
)</f>
        <v/>
      </c>
      <c r="K614" s="27" t="str" cm="1">
        <f t="array" ref="K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4" s="27" t="str" cm="1">
        <f t="array" ref="L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4" s="27" t="str" cm="1">
        <f t="array" ref="M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4" s="28" t="str" cm="1">
        <f t="array" ref="N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4" s="28" t="str" cm="1">
        <f t="array" ref="O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4" s="27" t="str" cm="1">
        <f t="array" ref="P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Table8[جهة العطل]
         ),
         ""
      ),
      IF(_xlpm.result="", "", _xlpm.result)
   )
)</f>
        <v/>
      </c>
      <c r="Q614" s="27" t="str" cm="1">
        <f t="array" ref="Q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Table8[المركز]
         ),
         ""
      ),
      IF(_xlpm.result="", "", _xlpm.result)
   )
)</f>
        <v/>
      </c>
      <c r="R614" s="27" t="str" cm="1">
        <f t="array" ref="R614">IF(
   A614="",
   "",
   _xlfn.LET(
      _xlpm.result,
      IFERROR(
         _xlfn.XLOOKUP(
            1,
            (Table8[رقم الصنف]=A614) *
            (IF($B$9="الكل",1, YEAR('ادخال البيانات'!$N$3:$N$1164) = VALUE($B$9))) *
            (IF($B$10="الكل",1, MONTH('ادخال البيانات'!$N$3:$N$1164) = VALUE($B$10))) *
            (IF($B$11="الكل",1, INT((DAY('ادخال البيانات'!$N$3:$N$1164) - 1) / 7) + 1 = VALUE($B$11))),
            Table8[ملاحظة]
         ),
         ""
      ),
      IF(_xlpm.result="", "", _xlpm.result)
   )
)</f>
        <v/>
      </c>
      <c r="S614" s="46" t="str">
        <f t="shared" ca="1" si="10"/>
        <v/>
      </c>
    </row>
    <row r="615" spans="1:19" ht="27.75" customHeight="1" thickTop="1" thickBot="1" x14ac:dyDescent="0.35">
      <c r="A615" s="39"/>
      <c r="B615" s="27" t="str" cm="1">
        <f t="array" ref="B615">IF(
   OR(A615="", $B$9="", $B$10="", $B$11=""),
   "",
   _xlfn.LET(
      _xlpm.result,
      IFERROR(
         _xlfn.XLOOKUP(
            1,
            (Table8[رقم الصنف]=A615)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5" s="27" t="str" cm="1">
        <f t="array" ref="C615">IF(
   A615="",
   "",
   _xlfn.LET(
      _xlpm.result,
      IFERROR(
         _xlfn.XLOOKUP(
            1,
            (Table8[رقم الصنف]=A615) *
            (IF($B$9="الكل",1, YEAR('ادخال البيانات'!$N$3:$N$1164) = VALUE($B$9))) *
            (IF($B$10="الكل",1, MONTH('ادخال البيانات'!$N$3:$N$1164) = VALUE($B$10))) *
            (IF($B$11="الكل",1, INT((DAY('ادخال البيانات'!$N$3:$N$1164)-1)/7)+1 = VALUE($B$11))),
            'ادخال البيانات'!$C$3:$C$1164
         ),
         ""
      ),
      IF(_xlpm.result="", "", _xlpm.result)
   )
)</f>
        <v/>
      </c>
      <c r="D615" s="27" t="str" cm="1">
        <f t="array" ref="D615">IF(
   OR(A615="", $B$9="", $B$10="", $B$11=""),
   "",
   _xlfn.LET(
      _xlpm.result,
      IFERROR(
         _xlfn.XLOOKUP(
            1,
            (Table8[رقم الصنف]=A615) *
            (IF($B$9="الكل",1, YEAR('ادخال البيانات'!$N$3:$N$1164)=VALUE($B$9))) *
            (IF($B$10="الكل",1, MONTH('ادخال البيانات'!$N$3:$N$1164)=VALUE($B$10))) *
            (IF($B$11="الكل",1, INT((DAY('ادخال البيانات'!$N$3:$N$1164)-1)/7)+1 = VALUE($B$11))),
            'ادخال البيانات'!$D$3:$D$1164
         ),
         ""
      ),
      IF(_xlpm.result="", "", _xlpm.result)
   )
)</f>
        <v/>
      </c>
      <c r="E615" s="27" t="str" cm="1">
        <f t="array" ref="E615">IF(
   A615="",
   "",
   _xlfn.LET(
      _xlpm.result,
      IFERROR(
         _xlfn.XLOOKUP(
            1,
            (Table8[رقم الصنف]=A615) *
            (IF($B$9="الكل",1, YEAR('ادخال البيانات'!$N$3:$N$1164)=VALUE($B$9))) *
            (IF($B$10="الكل",1, MONTH('ادخال البيانات'!$N$3:$N$1164)=VALUE($B$10))) *
            (IF($B$11="الكل",1, INT((DAY('ادخال البيانات'!$N$3:$N$1164)-1)/7)+1 = VALUE($B$11))),
            'ادخال البيانات'!$E$3:$E$1164
         ),
         ""
      ),
      IF(_xlpm.result="", "", _xlpm.result)
   )
)</f>
        <v/>
      </c>
      <c r="F615" s="27" t="str" cm="1">
        <f t="array" ref="F615">IF(
   A615="",
   "",
   _xlfn.LET(
      _xlpm.result,
      IFERROR(
         _xlfn.XLOOKUP(
            1,
            (Table8[رقم الصنف]=A615) *
            (IF($B$9="الكل",1, YEAR('ادخال البيانات'!$N$3:$N$1164) = VALUE($B$9))) *
            (IF($B$10="الكل",1, MONTH('ادخال البيانات'!$N$3:$N$1164) = VALUE($B$10))) *
            (IF($B$11="الكل",1, INT((DAY('ادخال البيانات'!$N$3:$N$1164)-1)/7)+1 = VALUE($B$11))),
            'ادخال البيانات'!$F$3:$F$1164
         ),
         ""
      ),
      IF(_xlpm.result="", "", _xlpm.result)
   )
)</f>
        <v/>
      </c>
      <c r="G615" s="27" t="str" cm="1">
        <f t="array" ref="G615">IF(
   A615="",
   "",
   _xlfn.LET(
      _xlpm.result,
      IFERROR(
         _xlfn.XLOOKUP(
            1,
            (Table8[رقم الصنف]=A615) *
            (IF($B$9="الكل",1, YEAR('ادخال البيانات'!$N$3:$N$1164)=VALUE($B$9))) *
            (IF($B$10="الكل",1, MONTH('ادخال البيانات'!$N$3:$N$1164)=VALUE($B$10))) *
            (IF($B$11="الكل",1, INT((DAY('ادخال البيانات'!$N$3:$N$1164)-1)/7)+1 = VALUE($B$11))),
            'ادخال البيانات'!$G$3:$G$1164
         ),
         ""
      ),
      IF(_xlpm.result="", "", _xlpm.result)
   )
)</f>
        <v/>
      </c>
      <c r="H615" s="27" t="str" cm="1">
        <f t="array" ref="H615">IF(
   A615="",
   "",
   _xlfn.LET(
      _xlpm.result,
      IFERROR(
         _xlfn.XLOOKUP(
            1,
            (Table8[رقم الصنف]=A615) *
            (IF($B$9="الكل",1, YEAR('ادخال البيانات'!$N$3:$N$1164)=VALUE($B$9))) *
            (IF($B$10="الكل",1, MONTH('ادخال البيانات'!$N$3:$N$1164)=VALUE($B$10))) *
            (IF($B$11="الكل",1, INT((DAY('ادخال البيانات'!$N$3:$N$1164)-1)/7)+1 = VALUE($B$11))),
            'ادخال البيانات'!$H$3:$H$1164
         ),
         ""
      ),
      IF(_xlpm.result="", "", _xlpm.result)
   )
)</f>
        <v/>
      </c>
      <c r="I615" s="27" t="str" cm="1">
        <f t="array" ref="I615">IF(
   A615="",
   "",
   _xlfn.LET(
      _xlpm.result,
      IFERROR(
         _xlfn.XLOOKUP(
            1,
            (Table8[رقم الصنف]=A615) *
            (IF($B$9="الكل",1, YEAR('ادخال البيانات'!$N$3:$N$1164)=VALUE($B$9))) *
            (IF($B$10="الكل",1, MONTH('ادخال البيانات'!$N$3:$N$1164)=VALUE($B$10))) *
            (IF($B$11="الكل",1, INT((DAY('ادخال البيانات'!$N$3:$N$1164)-1)/7)+1 = VALUE($B$11))),
            'ادخال البيانات'!$I$3:$I$1164
         ),
         ""
      ),
      IF(_xlpm.result="", "", _xlpm.result)
   )
)</f>
        <v/>
      </c>
      <c r="J615" s="27" t="str" cm="1">
        <f t="array" ref="J615">IF(
   A615="",
   "",
   _xlfn.LET(
      _xlpm.result,
      IFERROR(
         _xlfn.XLOOKUP(
            1,
            (Table8[رقم الصنف]=A615) *
            (IF($B$9="الكل",1, YEAR('ادخال البيانات'!$N$3:$N$1164)=VALUE($B$9))) *
            (IF($B$10="الكل",1, MONTH('ادخال البيانات'!$N$3:$N$1164)=VALUE($B$10))) *
            (IF($B$11="الكل",1, INT((DAY('ادخال البيانات'!$N$3:$N$1164)-1)/7)+1 = VALUE($B$11))),
            'ادخال البيانات'!$J$3:$J$1164
         ),
         ""
      ),
      IF(_xlpm.result="", "", _xlpm.result)
   )
)</f>
        <v/>
      </c>
      <c r="K615" s="27" t="str" cm="1">
        <f t="array" ref="K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5" s="27" t="str" cm="1">
        <f t="array" ref="L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5" s="27" t="str" cm="1">
        <f t="array" ref="M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5" s="28" t="str" cm="1">
        <f t="array" ref="N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5" s="28" t="str" cm="1">
        <f t="array" ref="O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5" s="27" t="str" cm="1">
        <f t="array" ref="P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Table8[جهة العطل]
         ),
         ""
      ),
      IF(_xlpm.result="", "", _xlpm.result)
   )
)</f>
        <v/>
      </c>
      <c r="Q615" s="27" t="str" cm="1">
        <f t="array" ref="Q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Table8[المركز]
         ),
         ""
      ),
      IF(_xlpm.result="", "", _xlpm.result)
   )
)</f>
        <v/>
      </c>
      <c r="R615" s="27" t="str" cm="1">
        <f t="array" ref="R615">IF(
   A615="",
   "",
   _xlfn.LET(
      _xlpm.result,
      IFERROR(
         _xlfn.XLOOKUP(
            1,
            (Table8[رقم الصنف]=A615) *
            (IF($B$9="الكل",1, YEAR('ادخال البيانات'!$N$3:$N$1164) = VALUE($B$9))) *
            (IF($B$10="الكل",1, MONTH('ادخال البيانات'!$N$3:$N$1164) = VALUE($B$10))) *
            (IF($B$11="الكل",1, INT((DAY('ادخال البيانات'!$N$3:$N$1164) - 1) / 7) + 1 = VALUE($B$11))),
            Table8[ملاحظة]
         ),
         ""
      ),
      IF(_xlpm.result="", "", _xlpm.result)
   )
)</f>
        <v/>
      </c>
      <c r="S615" s="46" t="str">
        <f t="shared" ca="1" si="10"/>
        <v/>
      </c>
    </row>
    <row r="616" spans="1:19" ht="27.75" customHeight="1" thickTop="1" thickBot="1" x14ac:dyDescent="0.35">
      <c r="A616" s="39"/>
      <c r="B616" s="27" t="str" cm="1">
        <f t="array" ref="B616">IF(
   OR(A616="", $B$9="", $B$10="", $B$11=""),
   "",
   _xlfn.LET(
      _xlpm.result,
      IFERROR(
         _xlfn.XLOOKUP(
            1,
            (Table8[رقم الصنف]=A616)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6" s="27" t="str" cm="1">
        <f t="array" ref="C616">IF(
   A616="",
   "",
   _xlfn.LET(
      _xlpm.result,
      IFERROR(
         _xlfn.XLOOKUP(
            1,
            (Table8[رقم الصنف]=A616) *
            (IF($B$9="الكل",1, YEAR('ادخال البيانات'!$N$3:$N$1164) = VALUE($B$9))) *
            (IF($B$10="الكل",1, MONTH('ادخال البيانات'!$N$3:$N$1164) = VALUE($B$10))) *
            (IF($B$11="الكل",1, INT((DAY('ادخال البيانات'!$N$3:$N$1164)-1)/7)+1 = VALUE($B$11))),
            'ادخال البيانات'!$C$3:$C$1164
         ),
         ""
      ),
      IF(_xlpm.result="", "", _xlpm.result)
   )
)</f>
        <v/>
      </c>
      <c r="D616" s="27" t="str" cm="1">
        <f t="array" ref="D616">IF(
   OR(A616="", $B$9="", $B$10="", $B$11=""),
   "",
   _xlfn.LET(
      _xlpm.result,
      IFERROR(
         _xlfn.XLOOKUP(
            1,
            (Table8[رقم الصنف]=A616) *
            (IF($B$9="الكل",1, YEAR('ادخال البيانات'!$N$3:$N$1164)=VALUE($B$9))) *
            (IF($B$10="الكل",1, MONTH('ادخال البيانات'!$N$3:$N$1164)=VALUE($B$10))) *
            (IF($B$11="الكل",1, INT((DAY('ادخال البيانات'!$N$3:$N$1164)-1)/7)+1 = VALUE($B$11))),
            'ادخال البيانات'!$D$3:$D$1164
         ),
         ""
      ),
      IF(_xlpm.result="", "", _xlpm.result)
   )
)</f>
        <v/>
      </c>
      <c r="E616" s="27" t="str" cm="1">
        <f t="array" ref="E616">IF(
   A616="",
   "",
   _xlfn.LET(
      _xlpm.result,
      IFERROR(
         _xlfn.XLOOKUP(
            1,
            (Table8[رقم الصنف]=A616) *
            (IF($B$9="الكل",1, YEAR('ادخال البيانات'!$N$3:$N$1164)=VALUE($B$9))) *
            (IF($B$10="الكل",1, MONTH('ادخال البيانات'!$N$3:$N$1164)=VALUE($B$10))) *
            (IF($B$11="الكل",1, INT((DAY('ادخال البيانات'!$N$3:$N$1164)-1)/7)+1 = VALUE($B$11))),
            'ادخال البيانات'!$E$3:$E$1164
         ),
         ""
      ),
      IF(_xlpm.result="", "", _xlpm.result)
   )
)</f>
        <v/>
      </c>
      <c r="F616" s="27" t="str" cm="1">
        <f t="array" ref="F616">IF(
   A616="",
   "",
   _xlfn.LET(
      _xlpm.result,
      IFERROR(
         _xlfn.XLOOKUP(
            1,
            (Table8[رقم الصنف]=A616) *
            (IF($B$9="الكل",1, YEAR('ادخال البيانات'!$N$3:$N$1164) = VALUE($B$9))) *
            (IF($B$10="الكل",1, MONTH('ادخال البيانات'!$N$3:$N$1164) = VALUE($B$10))) *
            (IF($B$11="الكل",1, INT((DAY('ادخال البيانات'!$N$3:$N$1164)-1)/7)+1 = VALUE($B$11))),
            'ادخال البيانات'!$F$3:$F$1164
         ),
         ""
      ),
      IF(_xlpm.result="", "", _xlpm.result)
   )
)</f>
        <v/>
      </c>
      <c r="G616" s="27" t="str" cm="1">
        <f t="array" ref="G616">IF(
   A616="",
   "",
   _xlfn.LET(
      _xlpm.result,
      IFERROR(
         _xlfn.XLOOKUP(
            1,
            (Table8[رقم الصنف]=A616) *
            (IF($B$9="الكل",1, YEAR('ادخال البيانات'!$N$3:$N$1164)=VALUE($B$9))) *
            (IF($B$10="الكل",1, MONTH('ادخال البيانات'!$N$3:$N$1164)=VALUE($B$10))) *
            (IF($B$11="الكل",1, INT((DAY('ادخال البيانات'!$N$3:$N$1164)-1)/7)+1 = VALUE($B$11))),
            'ادخال البيانات'!$G$3:$G$1164
         ),
         ""
      ),
      IF(_xlpm.result="", "", _xlpm.result)
   )
)</f>
        <v/>
      </c>
      <c r="H616" s="27" t="str" cm="1">
        <f t="array" ref="H616">IF(
   A616="",
   "",
   _xlfn.LET(
      _xlpm.result,
      IFERROR(
         _xlfn.XLOOKUP(
            1,
            (Table8[رقم الصنف]=A616) *
            (IF($B$9="الكل",1, YEAR('ادخال البيانات'!$N$3:$N$1164)=VALUE($B$9))) *
            (IF($B$10="الكل",1, MONTH('ادخال البيانات'!$N$3:$N$1164)=VALUE($B$10))) *
            (IF($B$11="الكل",1, INT((DAY('ادخال البيانات'!$N$3:$N$1164)-1)/7)+1 = VALUE($B$11))),
            'ادخال البيانات'!$H$3:$H$1164
         ),
         ""
      ),
      IF(_xlpm.result="", "", _xlpm.result)
   )
)</f>
        <v/>
      </c>
      <c r="I616" s="27" t="str" cm="1">
        <f t="array" ref="I616">IF(
   A616="",
   "",
   _xlfn.LET(
      _xlpm.result,
      IFERROR(
         _xlfn.XLOOKUP(
            1,
            (Table8[رقم الصنف]=A616) *
            (IF($B$9="الكل",1, YEAR('ادخال البيانات'!$N$3:$N$1164)=VALUE($B$9))) *
            (IF($B$10="الكل",1, MONTH('ادخال البيانات'!$N$3:$N$1164)=VALUE($B$10))) *
            (IF($B$11="الكل",1, INT((DAY('ادخال البيانات'!$N$3:$N$1164)-1)/7)+1 = VALUE($B$11))),
            'ادخال البيانات'!$I$3:$I$1164
         ),
         ""
      ),
      IF(_xlpm.result="", "", _xlpm.result)
   )
)</f>
        <v/>
      </c>
      <c r="J616" s="27" t="str" cm="1">
        <f t="array" ref="J616">IF(
   A616="",
   "",
   _xlfn.LET(
      _xlpm.result,
      IFERROR(
         _xlfn.XLOOKUP(
            1,
            (Table8[رقم الصنف]=A616) *
            (IF($B$9="الكل",1, YEAR('ادخال البيانات'!$N$3:$N$1164)=VALUE($B$9))) *
            (IF($B$10="الكل",1, MONTH('ادخال البيانات'!$N$3:$N$1164)=VALUE($B$10))) *
            (IF($B$11="الكل",1, INT((DAY('ادخال البيانات'!$N$3:$N$1164)-1)/7)+1 = VALUE($B$11))),
            'ادخال البيانات'!$J$3:$J$1164
         ),
         ""
      ),
      IF(_xlpm.result="", "", _xlpm.result)
   )
)</f>
        <v/>
      </c>
      <c r="K616" s="27" t="str" cm="1">
        <f t="array" ref="K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6" s="27" t="str" cm="1">
        <f t="array" ref="L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6" s="27" t="str" cm="1">
        <f t="array" ref="M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6" s="28" t="str" cm="1">
        <f t="array" ref="N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6" s="28" t="str" cm="1">
        <f t="array" ref="O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6" s="27" t="str" cm="1">
        <f t="array" ref="P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Table8[جهة العطل]
         ),
         ""
      ),
      IF(_xlpm.result="", "", _xlpm.result)
   )
)</f>
        <v/>
      </c>
      <c r="Q616" s="27" t="str" cm="1">
        <f t="array" ref="Q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Table8[المركز]
         ),
         ""
      ),
      IF(_xlpm.result="", "", _xlpm.result)
   )
)</f>
        <v/>
      </c>
      <c r="R616" s="27" t="str" cm="1">
        <f t="array" ref="R616">IF(
   A616="",
   "",
   _xlfn.LET(
      _xlpm.result,
      IFERROR(
         _xlfn.XLOOKUP(
            1,
            (Table8[رقم الصنف]=A616) *
            (IF($B$9="الكل",1, YEAR('ادخال البيانات'!$N$3:$N$1164) = VALUE($B$9))) *
            (IF($B$10="الكل",1, MONTH('ادخال البيانات'!$N$3:$N$1164) = VALUE($B$10))) *
            (IF($B$11="الكل",1, INT((DAY('ادخال البيانات'!$N$3:$N$1164) - 1) / 7) + 1 = VALUE($B$11))),
            Table8[ملاحظة]
         ),
         ""
      ),
      IF(_xlpm.result="", "", _xlpm.result)
   )
)</f>
        <v/>
      </c>
      <c r="S616" s="46" t="str">
        <f t="shared" ca="1" si="10"/>
        <v/>
      </c>
    </row>
    <row r="617" spans="1:19" ht="27.75" customHeight="1" thickTop="1" thickBot="1" x14ac:dyDescent="0.35">
      <c r="A617" s="39"/>
      <c r="B617" s="27" t="str" cm="1">
        <f t="array" ref="B617">IF(
   OR(A617="", $B$9="", $B$10="", $B$11=""),
   "",
   _xlfn.LET(
      _xlpm.result,
      IFERROR(
         _xlfn.XLOOKUP(
            1,
            (Table8[رقم الصنف]=A617)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7" s="27" t="str" cm="1">
        <f t="array" ref="C617">IF(
   A617="",
   "",
   _xlfn.LET(
      _xlpm.result,
      IFERROR(
         _xlfn.XLOOKUP(
            1,
            (Table8[رقم الصنف]=A617) *
            (IF($B$9="الكل",1, YEAR('ادخال البيانات'!$N$3:$N$1164) = VALUE($B$9))) *
            (IF($B$10="الكل",1, MONTH('ادخال البيانات'!$N$3:$N$1164) = VALUE($B$10))) *
            (IF($B$11="الكل",1, INT((DAY('ادخال البيانات'!$N$3:$N$1164)-1)/7)+1 = VALUE($B$11))),
            'ادخال البيانات'!$C$3:$C$1164
         ),
         ""
      ),
      IF(_xlpm.result="", "", _xlpm.result)
   )
)</f>
        <v/>
      </c>
      <c r="D617" s="27" t="str" cm="1">
        <f t="array" ref="D617">IF(
   OR(A617="", $B$9="", $B$10="", $B$11=""),
   "",
   _xlfn.LET(
      _xlpm.result,
      IFERROR(
         _xlfn.XLOOKUP(
            1,
            (Table8[رقم الصنف]=A617) *
            (IF($B$9="الكل",1, YEAR('ادخال البيانات'!$N$3:$N$1164)=VALUE($B$9))) *
            (IF($B$10="الكل",1, MONTH('ادخال البيانات'!$N$3:$N$1164)=VALUE($B$10))) *
            (IF($B$11="الكل",1, INT((DAY('ادخال البيانات'!$N$3:$N$1164)-1)/7)+1 = VALUE($B$11))),
            'ادخال البيانات'!$D$3:$D$1164
         ),
         ""
      ),
      IF(_xlpm.result="", "", _xlpm.result)
   )
)</f>
        <v/>
      </c>
      <c r="E617" s="27" t="str" cm="1">
        <f t="array" ref="E617">IF(
   A617="",
   "",
   _xlfn.LET(
      _xlpm.result,
      IFERROR(
         _xlfn.XLOOKUP(
            1,
            (Table8[رقم الصنف]=A617) *
            (IF($B$9="الكل",1, YEAR('ادخال البيانات'!$N$3:$N$1164)=VALUE($B$9))) *
            (IF($B$10="الكل",1, MONTH('ادخال البيانات'!$N$3:$N$1164)=VALUE($B$10))) *
            (IF($B$11="الكل",1, INT((DAY('ادخال البيانات'!$N$3:$N$1164)-1)/7)+1 = VALUE($B$11))),
            'ادخال البيانات'!$E$3:$E$1164
         ),
         ""
      ),
      IF(_xlpm.result="", "", _xlpm.result)
   )
)</f>
        <v/>
      </c>
      <c r="F617" s="27" t="str" cm="1">
        <f t="array" ref="F617">IF(
   A617="",
   "",
   _xlfn.LET(
      _xlpm.result,
      IFERROR(
         _xlfn.XLOOKUP(
            1,
            (Table8[رقم الصنف]=A617) *
            (IF($B$9="الكل",1, YEAR('ادخال البيانات'!$N$3:$N$1164) = VALUE($B$9))) *
            (IF($B$10="الكل",1, MONTH('ادخال البيانات'!$N$3:$N$1164) = VALUE($B$10))) *
            (IF($B$11="الكل",1, INT((DAY('ادخال البيانات'!$N$3:$N$1164)-1)/7)+1 = VALUE($B$11))),
            'ادخال البيانات'!$F$3:$F$1164
         ),
         ""
      ),
      IF(_xlpm.result="", "", _xlpm.result)
   )
)</f>
        <v/>
      </c>
      <c r="G617" s="27" t="str" cm="1">
        <f t="array" ref="G617">IF(
   A617="",
   "",
   _xlfn.LET(
      _xlpm.result,
      IFERROR(
         _xlfn.XLOOKUP(
            1,
            (Table8[رقم الصنف]=A617) *
            (IF($B$9="الكل",1, YEAR('ادخال البيانات'!$N$3:$N$1164)=VALUE($B$9))) *
            (IF($B$10="الكل",1, MONTH('ادخال البيانات'!$N$3:$N$1164)=VALUE($B$10))) *
            (IF($B$11="الكل",1, INT((DAY('ادخال البيانات'!$N$3:$N$1164)-1)/7)+1 = VALUE($B$11))),
            'ادخال البيانات'!$G$3:$G$1164
         ),
         ""
      ),
      IF(_xlpm.result="", "", _xlpm.result)
   )
)</f>
        <v/>
      </c>
      <c r="H617" s="27" t="str" cm="1">
        <f t="array" ref="H617">IF(
   A617="",
   "",
   _xlfn.LET(
      _xlpm.result,
      IFERROR(
         _xlfn.XLOOKUP(
            1,
            (Table8[رقم الصنف]=A617) *
            (IF($B$9="الكل",1, YEAR('ادخال البيانات'!$N$3:$N$1164)=VALUE($B$9))) *
            (IF($B$10="الكل",1, MONTH('ادخال البيانات'!$N$3:$N$1164)=VALUE($B$10))) *
            (IF($B$11="الكل",1, INT((DAY('ادخال البيانات'!$N$3:$N$1164)-1)/7)+1 = VALUE($B$11))),
            'ادخال البيانات'!$H$3:$H$1164
         ),
         ""
      ),
      IF(_xlpm.result="", "", _xlpm.result)
   )
)</f>
        <v/>
      </c>
      <c r="I617" s="27" t="str" cm="1">
        <f t="array" ref="I617">IF(
   A617="",
   "",
   _xlfn.LET(
      _xlpm.result,
      IFERROR(
         _xlfn.XLOOKUP(
            1,
            (Table8[رقم الصنف]=A617) *
            (IF($B$9="الكل",1, YEAR('ادخال البيانات'!$N$3:$N$1164)=VALUE($B$9))) *
            (IF($B$10="الكل",1, MONTH('ادخال البيانات'!$N$3:$N$1164)=VALUE($B$10))) *
            (IF($B$11="الكل",1, INT((DAY('ادخال البيانات'!$N$3:$N$1164)-1)/7)+1 = VALUE($B$11))),
            'ادخال البيانات'!$I$3:$I$1164
         ),
         ""
      ),
      IF(_xlpm.result="", "", _xlpm.result)
   )
)</f>
        <v/>
      </c>
      <c r="J617" s="27" t="str" cm="1">
        <f t="array" ref="J617">IF(
   A617="",
   "",
   _xlfn.LET(
      _xlpm.result,
      IFERROR(
         _xlfn.XLOOKUP(
            1,
            (Table8[رقم الصنف]=A617) *
            (IF($B$9="الكل",1, YEAR('ادخال البيانات'!$N$3:$N$1164)=VALUE($B$9))) *
            (IF($B$10="الكل",1, MONTH('ادخال البيانات'!$N$3:$N$1164)=VALUE($B$10))) *
            (IF($B$11="الكل",1, INT((DAY('ادخال البيانات'!$N$3:$N$1164)-1)/7)+1 = VALUE($B$11))),
            'ادخال البيانات'!$J$3:$J$1164
         ),
         ""
      ),
      IF(_xlpm.result="", "", _xlpm.result)
   )
)</f>
        <v/>
      </c>
      <c r="K617" s="27" t="str" cm="1">
        <f t="array" ref="K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7" s="27" t="str" cm="1">
        <f t="array" ref="L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7" s="27" t="str" cm="1">
        <f t="array" ref="M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7" s="28" t="str" cm="1">
        <f t="array" ref="N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7" s="28" t="str" cm="1">
        <f t="array" ref="O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7" s="27" t="str" cm="1">
        <f t="array" ref="P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Table8[جهة العطل]
         ),
         ""
      ),
      IF(_xlpm.result="", "", _xlpm.result)
   )
)</f>
        <v/>
      </c>
      <c r="Q617" s="27" t="str" cm="1">
        <f t="array" ref="Q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Table8[المركز]
         ),
         ""
      ),
      IF(_xlpm.result="", "", _xlpm.result)
   )
)</f>
        <v/>
      </c>
      <c r="R617" s="27" t="str" cm="1">
        <f t="array" ref="R617">IF(
   A617="",
   "",
   _xlfn.LET(
      _xlpm.result,
      IFERROR(
         _xlfn.XLOOKUP(
            1,
            (Table8[رقم الصنف]=A617) *
            (IF($B$9="الكل",1, YEAR('ادخال البيانات'!$N$3:$N$1164) = VALUE($B$9))) *
            (IF($B$10="الكل",1, MONTH('ادخال البيانات'!$N$3:$N$1164) = VALUE($B$10))) *
            (IF($B$11="الكل",1, INT((DAY('ادخال البيانات'!$N$3:$N$1164) - 1) / 7) + 1 = VALUE($B$11))),
            Table8[ملاحظة]
         ),
         ""
      ),
      IF(_xlpm.result="", "", _xlpm.result)
   )
)</f>
        <v/>
      </c>
      <c r="S617" s="46" t="str">
        <f t="shared" ca="1" si="10"/>
        <v/>
      </c>
    </row>
    <row r="618" spans="1:19" ht="27.75" customHeight="1" thickTop="1" thickBot="1" x14ac:dyDescent="0.35">
      <c r="A618" s="39"/>
      <c r="B618" s="27" t="str" cm="1">
        <f t="array" ref="B618">IF(
   OR(A618="", $B$9="", $B$10="", $B$11=""),
   "",
   _xlfn.LET(
      _xlpm.result,
      IFERROR(
         _xlfn.XLOOKUP(
            1,
            (Table8[رقم الصنف]=A618)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8" s="27" t="str" cm="1">
        <f t="array" ref="C618">IF(
   A618="",
   "",
   _xlfn.LET(
      _xlpm.result,
      IFERROR(
         _xlfn.XLOOKUP(
            1,
            (Table8[رقم الصنف]=A618) *
            (IF($B$9="الكل",1, YEAR('ادخال البيانات'!$N$3:$N$1164) = VALUE($B$9))) *
            (IF($B$10="الكل",1, MONTH('ادخال البيانات'!$N$3:$N$1164) = VALUE($B$10))) *
            (IF($B$11="الكل",1, INT((DAY('ادخال البيانات'!$N$3:$N$1164)-1)/7)+1 = VALUE($B$11))),
            'ادخال البيانات'!$C$3:$C$1164
         ),
         ""
      ),
      IF(_xlpm.result="", "", _xlpm.result)
   )
)</f>
        <v/>
      </c>
      <c r="D618" s="27" t="str" cm="1">
        <f t="array" ref="D618">IF(
   OR(A618="", $B$9="", $B$10="", $B$11=""),
   "",
   _xlfn.LET(
      _xlpm.result,
      IFERROR(
         _xlfn.XLOOKUP(
            1,
            (Table8[رقم الصنف]=A618) *
            (IF($B$9="الكل",1, YEAR('ادخال البيانات'!$N$3:$N$1164)=VALUE($B$9))) *
            (IF($B$10="الكل",1, MONTH('ادخال البيانات'!$N$3:$N$1164)=VALUE($B$10))) *
            (IF($B$11="الكل",1, INT((DAY('ادخال البيانات'!$N$3:$N$1164)-1)/7)+1 = VALUE($B$11))),
            'ادخال البيانات'!$D$3:$D$1164
         ),
         ""
      ),
      IF(_xlpm.result="", "", _xlpm.result)
   )
)</f>
        <v/>
      </c>
      <c r="E618" s="27" t="str" cm="1">
        <f t="array" ref="E618">IF(
   A618="",
   "",
   _xlfn.LET(
      _xlpm.result,
      IFERROR(
         _xlfn.XLOOKUP(
            1,
            (Table8[رقم الصنف]=A618) *
            (IF($B$9="الكل",1, YEAR('ادخال البيانات'!$N$3:$N$1164)=VALUE($B$9))) *
            (IF($B$10="الكل",1, MONTH('ادخال البيانات'!$N$3:$N$1164)=VALUE($B$10))) *
            (IF($B$11="الكل",1, INT((DAY('ادخال البيانات'!$N$3:$N$1164)-1)/7)+1 = VALUE($B$11))),
            'ادخال البيانات'!$E$3:$E$1164
         ),
         ""
      ),
      IF(_xlpm.result="", "", _xlpm.result)
   )
)</f>
        <v/>
      </c>
      <c r="F618" s="27" t="str" cm="1">
        <f t="array" ref="F618">IF(
   A618="",
   "",
   _xlfn.LET(
      _xlpm.result,
      IFERROR(
         _xlfn.XLOOKUP(
            1,
            (Table8[رقم الصنف]=A618) *
            (IF($B$9="الكل",1, YEAR('ادخال البيانات'!$N$3:$N$1164) = VALUE($B$9))) *
            (IF($B$10="الكل",1, MONTH('ادخال البيانات'!$N$3:$N$1164) = VALUE($B$10))) *
            (IF($B$11="الكل",1, INT((DAY('ادخال البيانات'!$N$3:$N$1164)-1)/7)+1 = VALUE($B$11))),
            'ادخال البيانات'!$F$3:$F$1164
         ),
         ""
      ),
      IF(_xlpm.result="", "", _xlpm.result)
   )
)</f>
        <v/>
      </c>
      <c r="G618" s="27" t="str" cm="1">
        <f t="array" ref="G618">IF(
   A618="",
   "",
   _xlfn.LET(
      _xlpm.result,
      IFERROR(
         _xlfn.XLOOKUP(
            1,
            (Table8[رقم الصنف]=A618) *
            (IF($B$9="الكل",1, YEAR('ادخال البيانات'!$N$3:$N$1164)=VALUE($B$9))) *
            (IF($B$10="الكل",1, MONTH('ادخال البيانات'!$N$3:$N$1164)=VALUE($B$10))) *
            (IF($B$11="الكل",1, INT((DAY('ادخال البيانات'!$N$3:$N$1164)-1)/7)+1 = VALUE($B$11))),
            'ادخال البيانات'!$G$3:$G$1164
         ),
         ""
      ),
      IF(_xlpm.result="", "", _xlpm.result)
   )
)</f>
        <v/>
      </c>
      <c r="H618" s="27" t="str" cm="1">
        <f t="array" ref="H618">IF(
   A618="",
   "",
   _xlfn.LET(
      _xlpm.result,
      IFERROR(
         _xlfn.XLOOKUP(
            1,
            (Table8[رقم الصنف]=A618) *
            (IF($B$9="الكل",1, YEAR('ادخال البيانات'!$N$3:$N$1164)=VALUE($B$9))) *
            (IF($B$10="الكل",1, MONTH('ادخال البيانات'!$N$3:$N$1164)=VALUE($B$10))) *
            (IF($B$11="الكل",1, INT((DAY('ادخال البيانات'!$N$3:$N$1164)-1)/7)+1 = VALUE($B$11))),
            'ادخال البيانات'!$H$3:$H$1164
         ),
         ""
      ),
      IF(_xlpm.result="", "", _xlpm.result)
   )
)</f>
        <v/>
      </c>
      <c r="I618" s="27" t="str" cm="1">
        <f t="array" ref="I618">IF(
   A618="",
   "",
   _xlfn.LET(
      _xlpm.result,
      IFERROR(
         _xlfn.XLOOKUP(
            1,
            (Table8[رقم الصنف]=A618) *
            (IF($B$9="الكل",1, YEAR('ادخال البيانات'!$N$3:$N$1164)=VALUE($B$9))) *
            (IF($B$10="الكل",1, MONTH('ادخال البيانات'!$N$3:$N$1164)=VALUE($B$10))) *
            (IF($B$11="الكل",1, INT((DAY('ادخال البيانات'!$N$3:$N$1164)-1)/7)+1 = VALUE($B$11))),
            'ادخال البيانات'!$I$3:$I$1164
         ),
         ""
      ),
      IF(_xlpm.result="", "", _xlpm.result)
   )
)</f>
        <v/>
      </c>
      <c r="J618" s="27" t="str" cm="1">
        <f t="array" ref="J618">IF(
   A618="",
   "",
   _xlfn.LET(
      _xlpm.result,
      IFERROR(
         _xlfn.XLOOKUP(
            1,
            (Table8[رقم الصنف]=A618) *
            (IF($B$9="الكل",1, YEAR('ادخال البيانات'!$N$3:$N$1164)=VALUE($B$9))) *
            (IF($B$10="الكل",1, MONTH('ادخال البيانات'!$N$3:$N$1164)=VALUE($B$10))) *
            (IF($B$11="الكل",1, INT((DAY('ادخال البيانات'!$N$3:$N$1164)-1)/7)+1 = VALUE($B$11))),
            'ادخال البيانات'!$J$3:$J$1164
         ),
         ""
      ),
      IF(_xlpm.result="", "", _xlpm.result)
   )
)</f>
        <v/>
      </c>
      <c r="K618" s="27" t="str" cm="1">
        <f t="array" ref="K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8" s="27" t="str" cm="1">
        <f t="array" ref="L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8" s="27" t="str" cm="1">
        <f t="array" ref="M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8" s="28" t="str" cm="1">
        <f t="array" ref="N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8" s="28" t="str" cm="1">
        <f t="array" ref="O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8" s="27" t="str" cm="1">
        <f t="array" ref="P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Table8[جهة العطل]
         ),
         ""
      ),
      IF(_xlpm.result="", "", _xlpm.result)
   )
)</f>
        <v/>
      </c>
      <c r="Q618" s="27" t="str" cm="1">
        <f t="array" ref="Q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Table8[المركز]
         ),
         ""
      ),
      IF(_xlpm.result="", "", _xlpm.result)
   )
)</f>
        <v/>
      </c>
      <c r="R618" s="27" t="str" cm="1">
        <f t="array" ref="R618">IF(
   A618="",
   "",
   _xlfn.LET(
      _xlpm.result,
      IFERROR(
         _xlfn.XLOOKUP(
            1,
            (Table8[رقم الصنف]=A618) *
            (IF($B$9="الكل",1, YEAR('ادخال البيانات'!$N$3:$N$1164) = VALUE($B$9))) *
            (IF($B$10="الكل",1, MONTH('ادخال البيانات'!$N$3:$N$1164) = VALUE($B$10))) *
            (IF($B$11="الكل",1, INT((DAY('ادخال البيانات'!$N$3:$N$1164) - 1) / 7) + 1 = VALUE($B$11))),
            Table8[ملاحظة]
         ),
         ""
      ),
      IF(_xlpm.result="", "", _xlpm.result)
   )
)</f>
        <v/>
      </c>
      <c r="S618" s="46" t="str">
        <f t="shared" ca="1" si="10"/>
        <v/>
      </c>
    </row>
    <row r="619" spans="1:19" ht="27.75" customHeight="1" thickTop="1" thickBot="1" x14ac:dyDescent="0.35">
      <c r="A619" s="39"/>
      <c r="B619" s="27" t="str" cm="1">
        <f t="array" ref="B619">IF(
   OR(A619="", $B$9="", $B$10="", $B$11=""),
   "",
   _xlfn.LET(
      _xlpm.result,
      IFERROR(
         _xlfn.XLOOKUP(
            1,
            (Table8[رقم الصنف]=A619)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19" s="27" t="str" cm="1">
        <f t="array" ref="C619">IF(
   A619="",
   "",
   _xlfn.LET(
      _xlpm.result,
      IFERROR(
         _xlfn.XLOOKUP(
            1,
            (Table8[رقم الصنف]=A619) *
            (IF($B$9="الكل",1, YEAR('ادخال البيانات'!$N$3:$N$1164) = VALUE($B$9))) *
            (IF($B$10="الكل",1, MONTH('ادخال البيانات'!$N$3:$N$1164) = VALUE($B$10))) *
            (IF($B$11="الكل",1, INT((DAY('ادخال البيانات'!$N$3:$N$1164)-1)/7)+1 = VALUE($B$11))),
            'ادخال البيانات'!$C$3:$C$1164
         ),
         ""
      ),
      IF(_xlpm.result="", "", _xlpm.result)
   )
)</f>
        <v/>
      </c>
      <c r="D619" s="27" t="str" cm="1">
        <f t="array" ref="D619">IF(
   OR(A619="", $B$9="", $B$10="", $B$11=""),
   "",
   _xlfn.LET(
      _xlpm.result,
      IFERROR(
         _xlfn.XLOOKUP(
            1,
            (Table8[رقم الصنف]=A619) *
            (IF($B$9="الكل",1, YEAR('ادخال البيانات'!$N$3:$N$1164)=VALUE($B$9))) *
            (IF($B$10="الكل",1, MONTH('ادخال البيانات'!$N$3:$N$1164)=VALUE($B$10))) *
            (IF($B$11="الكل",1, INT((DAY('ادخال البيانات'!$N$3:$N$1164)-1)/7)+1 = VALUE($B$11))),
            'ادخال البيانات'!$D$3:$D$1164
         ),
         ""
      ),
      IF(_xlpm.result="", "", _xlpm.result)
   )
)</f>
        <v/>
      </c>
      <c r="E619" s="27" t="str" cm="1">
        <f t="array" ref="E619">IF(
   A619="",
   "",
   _xlfn.LET(
      _xlpm.result,
      IFERROR(
         _xlfn.XLOOKUP(
            1,
            (Table8[رقم الصنف]=A619) *
            (IF($B$9="الكل",1, YEAR('ادخال البيانات'!$N$3:$N$1164)=VALUE($B$9))) *
            (IF($B$10="الكل",1, MONTH('ادخال البيانات'!$N$3:$N$1164)=VALUE($B$10))) *
            (IF($B$11="الكل",1, INT((DAY('ادخال البيانات'!$N$3:$N$1164)-1)/7)+1 = VALUE($B$11))),
            'ادخال البيانات'!$E$3:$E$1164
         ),
         ""
      ),
      IF(_xlpm.result="", "", _xlpm.result)
   )
)</f>
        <v/>
      </c>
      <c r="F619" s="27" t="str" cm="1">
        <f t="array" ref="F619">IF(
   A619="",
   "",
   _xlfn.LET(
      _xlpm.result,
      IFERROR(
         _xlfn.XLOOKUP(
            1,
            (Table8[رقم الصنف]=A619) *
            (IF($B$9="الكل",1, YEAR('ادخال البيانات'!$N$3:$N$1164) = VALUE($B$9))) *
            (IF($B$10="الكل",1, MONTH('ادخال البيانات'!$N$3:$N$1164) = VALUE($B$10))) *
            (IF($B$11="الكل",1, INT((DAY('ادخال البيانات'!$N$3:$N$1164)-1)/7)+1 = VALUE($B$11))),
            'ادخال البيانات'!$F$3:$F$1164
         ),
         ""
      ),
      IF(_xlpm.result="", "", _xlpm.result)
   )
)</f>
        <v/>
      </c>
      <c r="G619" s="27" t="str" cm="1">
        <f t="array" ref="G619">IF(
   A619="",
   "",
   _xlfn.LET(
      _xlpm.result,
      IFERROR(
         _xlfn.XLOOKUP(
            1,
            (Table8[رقم الصنف]=A619) *
            (IF($B$9="الكل",1, YEAR('ادخال البيانات'!$N$3:$N$1164)=VALUE($B$9))) *
            (IF($B$10="الكل",1, MONTH('ادخال البيانات'!$N$3:$N$1164)=VALUE($B$10))) *
            (IF($B$11="الكل",1, INT((DAY('ادخال البيانات'!$N$3:$N$1164)-1)/7)+1 = VALUE($B$11))),
            'ادخال البيانات'!$G$3:$G$1164
         ),
         ""
      ),
      IF(_xlpm.result="", "", _xlpm.result)
   )
)</f>
        <v/>
      </c>
      <c r="H619" s="27" t="str" cm="1">
        <f t="array" ref="H619">IF(
   A619="",
   "",
   _xlfn.LET(
      _xlpm.result,
      IFERROR(
         _xlfn.XLOOKUP(
            1,
            (Table8[رقم الصنف]=A619) *
            (IF($B$9="الكل",1, YEAR('ادخال البيانات'!$N$3:$N$1164)=VALUE($B$9))) *
            (IF($B$10="الكل",1, MONTH('ادخال البيانات'!$N$3:$N$1164)=VALUE($B$10))) *
            (IF($B$11="الكل",1, INT((DAY('ادخال البيانات'!$N$3:$N$1164)-1)/7)+1 = VALUE($B$11))),
            'ادخال البيانات'!$H$3:$H$1164
         ),
         ""
      ),
      IF(_xlpm.result="", "", _xlpm.result)
   )
)</f>
        <v/>
      </c>
      <c r="I619" s="27" t="str" cm="1">
        <f t="array" ref="I619">IF(
   A619="",
   "",
   _xlfn.LET(
      _xlpm.result,
      IFERROR(
         _xlfn.XLOOKUP(
            1,
            (Table8[رقم الصنف]=A619) *
            (IF($B$9="الكل",1, YEAR('ادخال البيانات'!$N$3:$N$1164)=VALUE($B$9))) *
            (IF($B$10="الكل",1, MONTH('ادخال البيانات'!$N$3:$N$1164)=VALUE($B$10))) *
            (IF($B$11="الكل",1, INT((DAY('ادخال البيانات'!$N$3:$N$1164)-1)/7)+1 = VALUE($B$11))),
            'ادخال البيانات'!$I$3:$I$1164
         ),
         ""
      ),
      IF(_xlpm.result="", "", _xlpm.result)
   )
)</f>
        <v/>
      </c>
      <c r="J619" s="27" t="str" cm="1">
        <f t="array" ref="J619">IF(
   A619="",
   "",
   _xlfn.LET(
      _xlpm.result,
      IFERROR(
         _xlfn.XLOOKUP(
            1,
            (Table8[رقم الصنف]=A619) *
            (IF($B$9="الكل",1, YEAR('ادخال البيانات'!$N$3:$N$1164)=VALUE($B$9))) *
            (IF($B$10="الكل",1, MONTH('ادخال البيانات'!$N$3:$N$1164)=VALUE($B$10))) *
            (IF($B$11="الكل",1, INT((DAY('ادخال البيانات'!$N$3:$N$1164)-1)/7)+1 = VALUE($B$11))),
            'ادخال البيانات'!$J$3:$J$1164
         ),
         ""
      ),
      IF(_xlpm.result="", "", _xlpm.result)
   )
)</f>
        <v/>
      </c>
      <c r="K619" s="27" t="str" cm="1">
        <f t="array" ref="K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19" s="27" t="str" cm="1">
        <f t="array" ref="L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19" s="27" t="str" cm="1">
        <f t="array" ref="M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19" s="28" t="str" cm="1">
        <f t="array" ref="N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19" s="28" t="str" cm="1">
        <f t="array" ref="O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19" s="27" t="str" cm="1">
        <f t="array" ref="P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Table8[جهة العطل]
         ),
         ""
      ),
      IF(_xlpm.result="", "", _xlpm.result)
   )
)</f>
        <v/>
      </c>
      <c r="Q619" s="27" t="str" cm="1">
        <f t="array" ref="Q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Table8[المركز]
         ),
         ""
      ),
      IF(_xlpm.result="", "", _xlpm.result)
   )
)</f>
        <v/>
      </c>
      <c r="R619" s="27" t="str" cm="1">
        <f t="array" ref="R619">IF(
   A619="",
   "",
   _xlfn.LET(
      _xlpm.result,
      IFERROR(
         _xlfn.XLOOKUP(
            1,
            (Table8[رقم الصنف]=A619) *
            (IF($B$9="الكل",1, YEAR('ادخال البيانات'!$N$3:$N$1164) = VALUE($B$9))) *
            (IF($B$10="الكل",1, MONTH('ادخال البيانات'!$N$3:$N$1164) = VALUE($B$10))) *
            (IF($B$11="الكل",1, INT((DAY('ادخال البيانات'!$N$3:$N$1164) - 1) / 7) + 1 = VALUE($B$11))),
            Table8[ملاحظة]
         ),
         ""
      ),
      IF(_xlpm.result="", "", _xlpm.result)
   )
)</f>
        <v/>
      </c>
      <c r="S619" s="46" t="str">
        <f t="shared" ca="1" si="10"/>
        <v/>
      </c>
    </row>
    <row r="620" spans="1:19" ht="27.75" customHeight="1" thickTop="1" thickBot="1" x14ac:dyDescent="0.35">
      <c r="A620" s="39"/>
      <c r="B620" s="27" t="str" cm="1">
        <f t="array" ref="B620">IF(
   OR(A620="", $B$9="", $B$10="", $B$11=""),
   "",
   _xlfn.LET(
      _xlpm.result,
      IFERROR(
         _xlfn.XLOOKUP(
            1,
            (Table8[رقم الصنف]=A620)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0" s="27" t="str" cm="1">
        <f t="array" ref="C620">IF(
   A620="",
   "",
   _xlfn.LET(
      _xlpm.result,
      IFERROR(
         _xlfn.XLOOKUP(
            1,
            (Table8[رقم الصنف]=A620) *
            (IF($B$9="الكل",1, YEAR('ادخال البيانات'!$N$3:$N$1164) = VALUE($B$9))) *
            (IF($B$10="الكل",1, MONTH('ادخال البيانات'!$N$3:$N$1164) = VALUE($B$10))) *
            (IF($B$11="الكل",1, INT((DAY('ادخال البيانات'!$N$3:$N$1164)-1)/7)+1 = VALUE($B$11))),
            'ادخال البيانات'!$C$3:$C$1164
         ),
         ""
      ),
      IF(_xlpm.result="", "", _xlpm.result)
   )
)</f>
        <v/>
      </c>
      <c r="D620" s="27" t="str" cm="1">
        <f t="array" ref="D620">IF(
   OR(A620="", $B$9="", $B$10="", $B$11=""),
   "",
   _xlfn.LET(
      _xlpm.result,
      IFERROR(
         _xlfn.XLOOKUP(
            1,
            (Table8[رقم الصنف]=A620) *
            (IF($B$9="الكل",1, YEAR('ادخال البيانات'!$N$3:$N$1164)=VALUE($B$9))) *
            (IF($B$10="الكل",1, MONTH('ادخال البيانات'!$N$3:$N$1164)=VALUE($B$10))) *
            (IF($B$11="الكل",1, INT((DAY('ادخال البيانات'!$N$3:$N$1164)-1)/7)+1 = VALUE($B$11))),
            'ادخال البيانات'!$D$3:$D$1164
         ),
         ""
      ),
      IF(_xlpm.result="", "", _xlpm.result)
   )
)</f>
        <v/>
      </c>
      <c r="E620" s="27" t="str" cm="1">
        <f t="array" ref="E620">IF(
   A620="",
   "",
   _xlfn.LET(
      _xlpm.result,
      IFERROR(
         _xlfn.XLOOKUP(
            1,
            (Table8[رقم الصنف]=A620) *
            (IF($B$9="الكل",1, YEAR('ادخال البيانات'!$N$3:$N$1164)=VALUE($B$9))) *
            (IF($B$10="الكل",1, MONTH('ادخال البيانات'!$N$3:$N$1164)=VALUE($B$10))) *
            (IF($B$11="الكل",1, INT((DAY('ادخال البيانات'!$N$3:$N$1164)-1)/7)+1 = VALUE($B$11))),
            'ادخال البيانات'!$E$3:$E$1164
         ),
         ""
      ),
      IF(_xlpm.result="", "", _xlpm.result)
   )
)</f>
        <v/>
      </c>
      <c r="F620" s="27" t="str" cm="1">
        <f t="array" ref="F620">IF(
   A620="",
   "",
   _xlfn.LET(
      _xlpm.result,
      IFERROR(
         _xlfn.XLOOKUP(
            1,
            (Table8[رقم الصنف]=A620) *
            (IF($B$9="الكل",1, YEAR('ادخال البيانات'!$N$3:$N$1164) = VALUE($B$9))) *
            (IF($B$10="الكل",1, MONTH('ادخال البيانات'!$N$3:$N$1164) = VALUE($B$10))) *
            (IF($B$11="الكل",1, INT((DAY('ادخال البيانات'!$N$3:$N$1164)-1)/7)+1 = VALUE($B$11))),
            'ادخال البيانات'!$F$3:$F$1164
         ),
         ""
      ),
      IF(_xlpm.result="", "", _xlpm.result)
   )
)</f>
        <v/>
      </c>
      <c r="G620" s="27" t="str" cm="1">
        <f t="array" ref="G620">IF(
   A620="",
   "",
   _xlfn.LET(
      _xlpm.result,
      IFERROR(
         _xlfn.XLOOKUP(
            1,
            (Table8[رقم الصنف]=A620) *
            (IF($B$9="الكل",1, YEAR('ادخال البيانات'!$N$3:$N$1164)=VALUE($B$9))) *
            (IF($B$10="الكل",1, MONTH('ادخال البيانات'!$N$3:$N$1164)=VALUE($B$10))) *
            (IF($B$11="الكل",1, INT((DAY('ادخال البيانات'!$N$3:$N$1164)-1)/7)+1 = VALUE($B$11))),
            'ادخال البيانات'!$G$3:$G$1164
         ),
         ""
      ),
      IF(_xlpm.result="", "", _xlpm.result)
   )
)</f>
        <v/>
      </c>
      <c r="H620" s="27" t="str" cm="1">
        <f t="array" ref="H620">IF(
   A620="",
   "",
   _xlfn.LET(
      _xlpm.result,
      IFERROR(
         _xlfn.XLOOKUP(
            1,
            (Table8[رقم الصنف]=A620) *
            (IF($B$9="الكل",1, YEAR('ادخال البيانات'!$N$3:$N$1164)=VALUE($B$9))) *
            (IF($B$10="الكل",1, MONTH('ادخال البيانات'!$N$3:$N$1164)=VALUE($B$10))) *
            (IF($B$11="الكل",1, INT((DAY('ادخال البيانات'!$N$3:$N$1164)-1)/7)+1 = VALUE($B$11))),
            'ادخال البيانات'!$H$3:$H$1164
         ),
         ""
      ),
      IF(_xlpm.result="", "", _xlpm.result)
   )
)</f>
        <v/>
      </c>
      <c r="I620" s="27" t="str" cm="1">
        <f t="array" ref="I620">IF(
   A620="",
   "",
   _xlfn.LET(
      _xlpm.result,
      IFERROR(
         _xlfn.XLOOKUP(
            1,
            (Table8[رقم الصنف]=A620) *
            (IF($B$9="الكل",1, YEAR('ادخال البيانات'!$N$3:$N$1164)=VALUE($B$9))) *
            (IF($B$10="الكل",1, MONTH('ادخال البيانات'!$N$3:$N$1164)=VALUE($B$10))) *
            (IF($B$11="الكل",1, INT((DAY('ادخال البيانات'!$N$3:$N$1164)-1)/7)+1 = VALUE($B$11))),
            'ادخال البيانات'!$I$3:$I$1164
         ),
         ""
      ),
      IF(_xlpm.result="", "", _xlpm.result)
   )
)</f>
        <v/>
      </c>
      <c r="J620" s="27" t="str" cm="1">
        <f t="array" ref="J620">IF(
   A620="",
   "",
   _xlfn.LET(
      _xlpm.result,
      IFERROR(
         _xlfn.XLOOKUP(
            1,
            (Table8[رقم الصنف]=A620) *
            (IF($B$9="الكل",1, YEAR('ادخال البيانات'!$N$3:$N$1164)=VALUE($B$9))) *
            (IF($B$10="الكل",1, MONTH('ادخال البيانات'!$N$3:$N$1164)=VALUE($B$10))) *
            (IF($B$11="الكل",1, INT((DAY('ادخال البيانات'!$N$3:$N$1164)-1)/7)+1 = VALUE($B$11))),
            'ادخال البيانات'!$J$3:$J$1164
         ),
         ""
      ),
      IF(_xlpm.result="", "", _xlpm.result)
   )
)</f>
        <v/>
      </c>
      <c r="K620" s="27" t="str" cm="1">
        <f t="array" ref="K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0" s="27" t="str" cm="1">
        <f t="array" ref="L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0" s="27" t="str" cm="1">
        <f t="array" ref="M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0" s="28" t="str" cm="1">
        <f t="array" ref="N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0" s="28" t="str" cm="1">
        <f t="array" ref="O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0" s="27" t="str" cm="1">
        <f t="array" ref="P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Table8[جهة العطل]
         ),
         ""
      ),
      IF(_xlpm.result="", "", _xlpm.result)
   )
)</f>
        <v/>
      </c>
      <c r="Q620" s="27" t="str" cm="1">
        <f t="array" ref="Q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Table8[المركز]
         ),
         ""
      ),
      IF(_xlpm.result="", "", _xlpm.result)
   )
)</f>
        <v/>
      </c>
      <c r="R620" s="27" t="str" cm="1">
        <f t="array" ref="R620">IF(
   A620="",
   "",
   _xlfn.LET(
      _xlpm.result,
      IFERROR(
         _xlfn.XLOOKUP(
            1,
            (Table8[رقم الصنف]=A620) *
            (IF($B$9="الكل",1, YEAR('ادخال البيانات'!$N$3:$N$1164) = VALUE($B$9))) *
            (IF($B$10="الكل",1, MONTH('ادخال البيانات'!$N$3:$N$1164) = VALUE($B$10))) *
            (IF($B$11="الكل",1, INT((DAY('ادخال البيانات'!$N$3:$N$1164) - 1) / 7) + 1 = VALUE($B$11))),
            Table8[ملاحظة]
         ),
         ""
      ),
      IF(_xlpm.result="", "", _xlpm.result)
   )
)</f>
        <v/>
      </c>
      <c r="S620" s="46" t="str">
        <f t="shared" ca="1" si="10"/>
        <v/>
      </c>
    </row>
    <row r="621" spans="1:19" ht="27.75" customHeight="1" thickTop="1" thickBot="1" x14ac:dyDescent="0.35">
      <c r="A621" s="39"/>
      <c r="B621" s="27" t="str" cm="1">
        <f t="array" ref="B621">IF(
   OR(A621="", $B$9="", $B$10="", $B$11=""),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1" s="27" t="str" cm="1">
        <f t="array" ref="C621">IF(
   A621="",
   "",
   _xlfn.LET(
      _xlpm.result,
      IFERROR(
         _xlfn.XLOOKUP(
            1,
            (Table8[رقم الصنف]=A621) *
            (IF($B$9="الكل",1, YEAR('ادخال البيانات'!$N$3:$N$1164) = VALUE($B$9))) *
            (IF($B$10="الكل",1, MONTH('ادخال البيانات'!$N$3:$N$1164) = VALUE($B$10))) *
            (IF($B$11="الكل",1, INT((DAY('ادخال البيانات'!$N$3:$N$1164)-1)/7)+1 = VALUE($B$11))),
            'ادخال البيانات'!$C$3:$C$1164
         ),
         ""
      ),
      IF(_xlpm.result="", "", _xlpm.result)
   )
)</f>
        <v/>
      </c>
      <c r="D621" s="27" t="str" cm="1">
        <f t="array" ref="D621">IF(
   OR(A621="", $B$9="", $B$10="", $B$11=""),
   "",
   _xlfn.LET(
      _xlpm.result,
      IFERROR(
         _xlfn.XLOOKUP(
            1,
            (Table8[رقم الصنف]=A621) *
            (IF($B$9="الكل",1, YEAR('ادخال البيانات'!$N$3:$N$1164)=VALUE($B$9))) *
            (IF($B$10="الكل",1, MONTH('ادخال البيانات'!$N$3:$N$1164)=VALUE($B$10))) *
            (IF($B$11="الكل",1, INT((DAY('ادخال البيانات'!$N$3:$N$1164)-1)/7)+1 = VALUE($B$11))),
            'ادخال البيانات'!$D$3:$D$1164
         ),
         ""
      ),
      IF(_xlpm.result="", "", _xlpm.result)
   )
)</f>
        <v/>
      </c>
      <c r="E621" s="27" t="str" cm="1">
        <f t="array" ref="E621">IF(
   A621="",
   "",
   _xlfn.LET(
      _xlpm.result,
      IFERROR(
         _xlfn.XLOOKUP(
            1,
            (Table8[رقم الصنف]=A621) *
            (IF($B$9="الكل",1, YEAR('ادخال البيانات'!$N$3:$N$1164)=VALUE($B$9))) *
            (IF($B$10="الكل",1, MONTH('ادخال البيانات'!$N$3:$N$1164)=VALUE($B$10))) *
            (IF($B$11="الكل",1, INT((DAY('ادخال البيانات'!$N$3:$N$1164)-1)/7)+1 = VALUE($B$11))),
            'ادخال البيانات'!$E$3:$E$1164
         ),
         ""
      ),
      IF(_xlpm.result="", "", _xlpm.result)
   )
)</f>
        <v/>
      </c>
      <c r="F621" s="27" t="str" cm="1">
        <f t="array" ref="F621">IF(
   A621="",
   "",
   _xlfn.LET(
      _xlpm.result,
      IFERROR(
         _xlfn.XLOOKUP(
            1,
            (Table8[رقم الصنف]=A621) *
            (IF($B$9="الكل",1, YEAR('ادخال البيانات'!$N$3:$N$1164) = VALUE($B$9))) *
            (IF($B$10="الكل",1, MONTH('ادخال البيانات'!$N$3:$N$1164) = VALUE($B$10))) *
            (IF($B$11="الكل",1, INT((DAY('ادخال البيانات'!$N$3:$N$1164)-1)/7)+1 = VALUE($B$11))),
            'ادخال البيانات'!$F$3:$F$1164
         ),
         ""
      ),
      IF(_xlpm.result="", "", _xlpm.result)
   )
)</f>
        <v/>
      </c>
      <c r="G621" s="27" t="str" cm="1">
        <f t="array" ref="G621">IF(
   A621="",
   "",
   _xlfn.LET(
      _xlpm.result,
      IFERROR(
         _xlfn.XLOOKUP(
            1,
            (Table8[رقم الصنف]=A621) *
            (IF($B$9="الكل",1, YEAR('ادخال البيانات'!$N$3:$N$1164)=VALUE($B$9))) *
            (IF($B$10="الكل",1, MONTH('ادخال البيانات'!$N$3:$N$1164)=VALUE($B$10))) *
            (IF($B$11="الكل",1, INT((DAY('ادخال البيانات'!$N$3:$N$1164)-1)/7)+1 = VALUE($B$11))),
            'ادخال البيانات'!$G$3:$G$1164
         ),
         ""
      ),
      IF(_xlpm.result="", "", _xlpm.result)
   )
)</f>
        <v/>
      </c>
      <c r="H621" s="27" t="str" cm="1">
        <f t="array" ref="H621">IF(
   A621="",
   "",
   _xlfn.LET(
      _xlpm.result,
      IFERROR(
         _xlfn.XLOOKUP(
            1,
            (Table8[رقم الصنف]=A621) *
            (IF($B$9="الكل",1, YEAR('ادخال البيانات'!$N$3:$N$1164)=VALUE($B$9))) *
            (IF($B$10="الكل",1, MONTH('ادخال البيانات'!$N$3:$N$1164)=VALUE($B$10))) *
            (IF($B$11="الكل",1, INT((DAY('ادخال البيانات'!$N$3:$N$1164)-1)/7)+1 = VALUE($B$11))),
            'ادخال البيانات'!$H$3:$H$1164
         ),
         ""
      ),
      IF(_xlpm.result="", "", _xlpm.result)
   )
)</f>
        <v/>
      </c>
      <c r="I621" s="27" t="str" cm="1">
        <f t="array" ref="I621">IF(
   A621="",
   "",
   _xlfn.LET(
      _xlpm.result,
      IFERROR(
         _xlfn.XLOOKUP(
            1,
            (Table8[رقم الصنف]=A621) *
            (IF($B$9="الكل",1, YEAR('ادخال البيانات'!$N$3:$N$1164)=VALUE($B$9))) *
            (IF($B$10="الكل",1, MONTH('ادخال البيانات'!$N$3:$N$1164)=VALUE($B$10))) *
            (IF($B$11="الكل",1, INT((DAY('ادخال البيانات'!$N$3:$N$1164)-1)/7)+1 = VALUE($B$11))),
            'ادخال البيانات'!$I$3:$I$1164
         ),
         ""
      ),
      IF(_xlpm.result="", "", _xlpm.result)
   )
)</f>
        <v/>
      </c>
      <c r="J621" s="27" t="str" cm="1">
        <f t="array" ref="J621">IF(
   A621="",
   "",
   _xlfn.LET(
      _xlpm.result,
      IFERROR(
         _xlfn.XLOOKUP(
            1,
            (Table8[رقم الصنف]=A621) *
            (IF($B$9="الكل",1, YEAR('ادخال البيانات'!$N$3:$N$1164)=VALUE($B$9))) *
            (IF($B$10="الكل",1, MONTH('ادخال البيانات'!$N$3:$N$1164)=VALUE($B$10))) *
            (IF($B$11="الكل",1, INT((DAY('ادخال البيانات'!$N$3:$N$1164)-1)/7)+1 = VALUE($B$11))),
            'ادخال البيانات'!$J$3:$J$1164
         ),
         ""
      ),
      IF(_xlpm.result="", "", _xlpm.result)
   )
)</f>
        <v/>
      </c>
      <c r="K621" s="27" t="str" cm="1">
        <f t="array" ref="K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1" s="27" t="str" cm="1">
        <f t="array" ref="L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1" s="27" t="str" cm="1">
        <f t="array" ref="M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1" s="28" t="str" cm="1">
        <f t="array" ref="N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1" s="28" t="str" cm="1">
        <f t="array" ref="O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1" s="27" t="str" cm="1">
        <f t="array" ref="P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Table8[جهة العطل]
         ),
         ""
      ),
      IF(_xlpm.result="", "", _xlpm.result)
   )
)</f>
        <v/>
      </c>
      <c r="Q621" s="27" t="str" cm="1">
        <f t="array" ref="Q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Table8[المركز]
         ),
         ""
      ),
      IF(_xlpm.result="", "", _xlpm.result)
   )
)</f>
        <v/>
      </c>
      <c r="R621" s="27" t="str" cm="1">
        <f t="array" ref="R621">IF(
   A621="",
   "",
   _xlfn.LET(
      _xlpm.result,
      IFERROR(
         _xlfn.XLOOKUP(
            1,
            (Table8[رقم الصنف]=A621) *
            (IF($B$9="الكل",1, YEAR('ادخال البيانات'!$N$3:$N$1164) = VALUE($B$9))) *
            (IF($B$10="الكل",1, MONTH('ادخال البيانات'!$N$3:$N$1164) = VALUE($B$10))) *
            (IF($B$11="الكل",1, INT((DAY('ادخال البيانات'!$N$3:$N$1164) - 1) / 7) + 1 = VALUE($B$11))),
            Table8[ملاحظة]
         ),
         ""
      ),
      IF(_xlpm.result="", "", _xlpm.result)
   )
)</f>
        <v/>
      </c>
      <c r="S621" s="46" t="str">
        <f t="shared" ca="1" si="10"/>
        <v/>
      </c>
    </row>
    <row r="622" spans="1:19" ht="27.75" customHeight="1" thickTop="1" thickBot="1" x14ac:dyDescent="0.35">
      <c r="A622" s="39"/>
      <c r="B622" s="27" t="str" cm="1">
        <f t="array" ref="B622">IF(
   OR(A622="", $B$9="", $B$10="", $B$11=""),
   "",
   _xlfn.LET(
      _xlpm.result,
      IFERROR(
         _xlfn.XLOOKUP(
            1,
            (Table8[رقم الصنف]=A622)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2" s="27" t="str" cm="1">
        <f t="array" ref="C622">IF(
   A622="",
   "",
   _xlfn.LET(
      _xlpm.result,
      IFERROR(
         _xlfn.XLOOKUP(
            1,
            (Table8[رقم الصنف]=A622) *
            (IF($B$9="الكل",1, YEAR('ادخال البيانات'!$N$3:$N$1164) = VALUE($B$9))) *
            (IF($B$10="الكل",1, MONTH('ادخال البيانات'!$N$3:$N$1164) = VALUE($B$10))) *
            (IF($B$11="الكل",1, INT((DAY('ادخال البيانات'!$N$3:$N$1164)-1)/7)+1 = VALUE($B$11))),
            'ادخال البيانات'!$C$3:$C$1164
         ),
         ""
      ),
      IF(_xlpm.result="", "", _xlpm.result)
   )
)</f>
        <v/>
      </c>
      <c r="D622" s="27" t="str" cm="1">
        <f t="array" ref="D622">IF(
   OR(A622="", $B$9="", $B$10="", $B$11=""),
   "",
   _xlfn.LET(
      _xlpm.result,
      IFERROR(
         _xlfn.XLOOKUP(
            1,
            (Table8[رقم الصنف]=A622) *
            (IF($B$9="الكل",1, YEAR('ادخال البيانات'!$N$3:$N$1164)=VALUE($B$9))) *
            (IF($B$10="الكل",1, MONTH('ادخال البيانات'!$N$3:$N$1164)=VALUE($B$10))) *
            (IF($B$11="الكل",1, INT((DAY('ادخال البيانات'!$N$3:$N$1164)-1)/7)+1 = VALUE($B$11))),
            'ادخال البيانات'!$D$3:$D$1164
         ),
         ""
      ),
      IF(_xlpm.result="", "", _xlpm.result)
   )
)</f>
        <v/>
      </c>
      <c r="E622" s="27" t="str" cm="1">
        <f t="array" ref="E622">IF(
   A622="",
   "",
   _xlfn.LET(
      _xlpm.result,
      IFERROR(
         _xlfn.XLOOKUP(
            1,
            (Table8[رقم الصنف]=A622) *
            (IF($B$9="الكل",1, YEAR('ادخال البيانات'!$N$3:$N$1164)=VALUE($B$9))) *
            (IF($B$10="الكل",1, MONTH('ادخال البيانات'!$N$3:$N$1164)=VALUE($B$10))) *
            (IF($B$11="الكل",1, INT((DAY('ادخال البيانات'!$N$3:$N$1164)-1)/7)+1 = VALUE($B$11))),
            'ادخال البيانات'!$E$3:$E$1164
         ),
         ""
      ),
      IF(_xlpm.result="", "", _xlpm.result)
   )
)</f>
        <v/>
      </c>
      <c r="F622" s="27" t="str" cm="1">
        <f t="array" ref="F622">IF(
   A622="",
   "",
   _xlfn.LET(
      _xlpm.result,
      IFERROR(
         _xlfn.XLOOKUP(
            1,
            (Table8[رقم الصنف]=A622) *
            (IF($B$9="الكل",1, YEAR('ادخال البيانات'!$N$3:$N$1164) = VALUE($B$9))) *
            (IF($B$10="الكل",1, MONTH('ادخال البيانات'!$N$3:$N$1164) = VALUE($B$10))) *
            (IF($B$11="الكل",1, INT((DAY('ادخال البيانات'!$N$3:$N$1164)-1)/7)+1 = VALUE($B$11))),
            'ادخال البيانات'!$F$3:$F$1164
         ),
         ""
      ),
      IF(_xlpm.result="", "", _xlpm.result)
   )
)</f>
        <v/>
      </c>
      <c r="G622" s="27" t="str" cm="1">
        <f t="array" ref="G622">IF(
   A622="",
   "",
   _xlfn.LET(
      _xlpm.result,
      IFERROR(
         _xlfn.XLOOKUP(
            1,
            (Table8[رقم الصنف]=A622) *
            (IF($B$9="الكل",1, YEAR('ادخال البيانات'!$N$3:$N$1164)=VALUE($B$9))) *
            (IF($B$10="الكل",1, MONTH('ادخال البيانات'!$N$3:$N$1164)=VALUE($B$10))) *
            (IF($B$11="الكل",1, INT((DAY('ادخال البيانات'!$N$3:$N$1164)-1)/7)+1 = VALUE($B$11))),
            'ادخال البيانات'!$G$3:$G$1164
         ),
         ""
      ),
      IF(_xlpm.result="", "", _xlpm.result)
   )
)</f>
        <v/>
      </c>
      <c r="H622" s="27" t="str" cm="1">
        <f t="array" ref="H622">IF(
   A622="",
   "",
   _xlfn.LET(
      _xlpm.result,
      IFERROR(
         _xlfn.XLOOKUP(
            1,
            (Table8[رقم الصنف]=A622) *
            (IF($B$9="الكل",1, YEAR('ادخال البيانات'!$N$3:$N$1164)=VALUE($B$9))) *
            (IF($B$10="الكل",1, MONTH('ادخال البيانات'!$N$3:$N$1164)=VALUE($B$10))) *
            (IF($B$11="الكل",1, INT((DAY('ادخال البيانات'!$N$3:$N$1164)-1)/7)+1 = VALUE($B$11))),
            'ادخال البيانات'!$H$3:$H$1164
         ),
         ""
      ),
      IF(_xlpm.result="", "", _xlpm.result)
   )
)</f>
        <v/>
      </c>
      <c r="I622" s="27" t="str" cm="1">
        <f t="array" ref="I622">IF(
   A622="",
   "",
   _xlfn.LET(
      _xlpm.result,
      IFERROR(
         _xlfn.XLOOKUP(
            1,
            (Table8[رقم الصنف]=A622) *
            (IF($B$9="الكل",1, YEAR('ادخال البيانات'!$N$3:$N$1164)=VALUE($B$9))) *
            (IF($B$10="الكل",1, MONTH('ادخال البيانات'!$N$3:$N$1164)=VALUE($B$10))) *
            (IF($B$11="الكل",1, INT((DAY('ادخال البيانات'!$N$3:$N$1164)-1)/7)+1 = VALUE($B$11))),
            'ادخال البيانات'!$I$3:$I$1164
         ),
         ""
      ),
      IF(_xlpm.result="", "", _xlpm.result)
   )
)</f>
        <v/>
      </c>
      <c r="J622" s="27" t="str" cm="1">
        <f t="array" ref="J622">IF(
   A622="",
   "",
   _xlfn.LET(
      _xlpm.result,
      IFERROR(
         _xlfn.XLOOKUP(
            1,
            (Table8[رقم الصنف]=A622) *
            (IF($B$9="الكل",1, YEAR('ادخال البيانات'!$N$3:$N$1164)=VALUE($B$9))) *
            (IF($B$10="الكل",1, MONTH('ادخال البيانات'!$N$3:$N$1164)=VALUE($B$10))) *
            (IF($B$11="الكل",1, INT((DAY('ادخال البيانات'!$N$3:$N$1164)-1)/7)+1 = VALUE($B$11))),
            'ادخال البيانات'!$J$3:$J$1164
         ),
         ""
      ),
      IF(_xlpm.result="", "", _xlpm.result)
   )
)</f>
        <v/>
      </c>
      <c r="K622" s="27" t="str" cm="1">
        <f t="array" ref="K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2" s="27" t="str" cm="1">
        <f t="array" ref="L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2" s="27" t="str" cm="1">
        <f t="array" ref="M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2" s="28" t="str" cm="1">
        <f t="array" ref="N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2" s="28" t="str" cm="1">
        <f t="array" ref="O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2" s="27" t="str" cm="1">
        <f t="array" ref="P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Table8[جهة العطل]
         ),
         ""
      ),
      IF(_xlpm.result="", "", _xlpm.result)
   )
)</f>
        <v/>
      </c>
      <c r="Q622" s="27" t="str" cm="1">
        <f t="array" ref="Q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Table8[المركز]
         ),
         ""
      ),
      IF(_xlpm.result="", "", _xlpm.result)
   )
)</f>
        <v/>
      </c>
      <c r="R622" s="27" t="str" cm="1">
        <f t="array" ref="R622">IF(
   A622="",
   "",
   _xlfn.LET(
      _xlpm.result,
      IFERROR(
         _xlfn.XLOOKUP(
            1,
            (Table8[رقم الصنف]=A622) *
            (IF($B$9="الكل",1, YEAR('ادخال البيانات'!$N$3:$N$1164) = VALUE($B$9))) *
            (IF($B$10="الكل",1, MONTH('ادخال البيانات'!$N$3:$N$1164) = VALUE($B$10))) *
            (IF($B$11="الكل",1, INT((DAY('ادخال البيانات'!$N$3:$N$1164) - 1) / 7) + 1 = VALUE($B$11))),
            Table8[ملاحظة]
         ),
         ""
      ),
      IF(_xlpm.result="", "", _xlpm.result)
   )
)</f>
        <v/>
      </c>
      <c r="S622" s="46" t="str">
        <f t="shared" ca="1" si="10"/>
        <v/>
      </c>
    </row>
    <row r="623" spans="1:19" ht="27.75" customHeight="1" thickTop="1" thickBot="1" x14ac:dyDescent="0.35">
      <c r="A623" s="39"/>
      <c r="B623" s="27" t="str" cm="1">
        <f t="array" ref="B623">IF(
   OR(A623="", $B$9="", $B$10="", $B$11=""),
   "",
   _xlfn.LET(
      _xlpm.result,
      IFERROR(
         _xlfn.XLOOKUP(
            1,
            (Table8[رقم الصنف]=A623)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3" s="27" t="str" cm="1">
        <f t="array" ref="C623">IF(
   A623="",
   "",
   _xlfn.LET(
      _xlpm.result,
      IFERROR(
         _xlfn.XLOOKUP(
            1,
            (Table8[رقم الصنف]=A623) *
            (IF($B$9="الكل",1, YEAR('ادخال البيانات'!$N$3:$N$1164) = VALUE($B$9))) *
            (IF($B$10="الكل",1, MONTH('ادخال البيانات'!$N$3:$N$1164) = VALUE($B$10))) *
            (IF($B$11="الكل",1, INT((DAY('ادخال البيانات'!$N$3:$N$1164)-1)/7)+1 = VALUE($B$11))),
            'ادخال البيانات'!$C$3:$C$1164
         ),
         ""
      ),
      IF(_xlpm.result="", "", _xlpm.result)
   )
)</f>
        <v/>
      </c>
      <c r="D623" s="27" t="str" cm="1">
        <f t="array" ref="D623">IF(
   OR(A623="", $B$9="", $B$10="", $B$11=""),
   "",
   _xlfn.LET(
      _xlpm.result,
      IFERROR(
         _xlfn.XLOOKUP(
            1,
            (Table8[رقم الصنف]=A623) *
            (IF($B$9="الكل",1, YEAR('ادخال البيانات'!$N$3:$N$1164)=VALUE($B$9))) *
            (IF($B$10="الكل",1, MONTH('ادخال البيانات'!$N$3:$N$1164)=VALUE($B$10))) *
            (IF($B$11="الكل",1, INT((DAY('ادخال البيانات'!$N$3:$N$1164)-1)/7)+1 = VALUE($B$11))),
            'ادخال البيانات'!$D$3:$D$1164
         ),
         ""
      ),
      IF(_xlpm.result="", "", _xlpm.result)
   )
)</f>
        <v/>
      </c>
      <c r="E623" s="27" t="str" cm="1">
        <f t="array" ref="E623">IF(
   A623="",
   "",
   _xlfn.LET(
      _xlpm.result,
      IFERROR(
         _xlfn.XLOOKUP(
            1,
            (Table8[رقم الصنف]=A623) *
            (IF($B$9="الكل",1, YEAR('ادخال البيانات'!$N$3:$N$1164)=VALUE($B$9))) *
            (IF($B$10="الكل",1, MONTH('ادخال البيانات'!$N$3:$N$1164)=VALUE($B$10))) *
            (IF($B$11="الكل",1, INT((DAY('ادخال البيانات'!$N$3:$N$1164)-1)/7)+1 = VALUE($B$11))),
            'ادخال البيانات'!$E$3:$E$1164
         ),
         ""
      ),
      IF(_xlpm.result="", "", _xlpm.result)
   )
)</f>
        <v/>
      </c>
      <c r="F623" s="27" t="str" cm="1">
        <f t="array" ref="F623">IF(
   A623="",
   "",
   _xlfn.LET(
      _xlpm.result,
      IFERROR(
         _xlfn.XLOOKUP(
            1,
            (Table8[رقم الصنف]=A623) *
            (IF($B$9="الكل",1, YEAR('ادخال البيانات'!$N$3:$N$1164) = VALUE($B$9))) *
            (IF($B$10="الكل",1, MONTH('ادخال البيانات'!$N$3:$N$1164) = VALUE($B$10))) *
            (IF($B$11="الكل",1, INT((DAY('ادخال البيانات'!$N$3:$N$1164)-1)/7)+1 = VALUE($B$11))),
            'ادخال البيانات'!$F$3:$F$1164
         ),
         ""
      ),
      IF(_xlpm.result="", "", _xlpm.result)
   )
)</f>
        <v/>
      </c>
      <c r="G623" s="27" t="str" cm="1">
        <f t="array" ref="G623">IF(
   A623="",
   "",
   _xlfn.LET(
      _xlpm.result,
      IFERROR(
         _xlfn.XLOOKUP(
            1,
            (Table8[رقم الصنف]=A623) *
            (IF($B$9="الكل",1, YEAR('ادخال البيانات'!$N$3:$N$1164)=VALUE($B$9))) *
            (IF($B$10="الكل",1, MONTH('ادخال البيانات'!$N$3:$N$1164)=VALUE($B$10))) *
            (IF($B$11="الكل",1, INT((DAY('ادخال البيانات'!$N$3:$N$1164)-1)/7)+1 = VALUE($B$11))),
            'ادخال البيانات'!$G$3:$G$1164
         ),
         ""
      ),
      IF(_xlpm.result="", "", _xlpm.result)
   )
)</f>
        <v/>
      </c>
      <c r="H623" s="27" t="str" cm="1">
        <f t="array" ref="H623">IF(
   A623="",
   "",
   _xlfn.LET(
      _xlpm.result,
      IFERROR(
         _xlfn.XLOOKUP(
            1,
            (Table8[رقم الصنف]=A623) *
            (IF($B$9="الكل",1, YEAR('ادخال البيانات'!$N$3:$N$1164)=VALUE($B$9))) *
            (IF($B$10="الكل",1, MONTH('ادخال البيانات'!$N$3:$N$1164)=VALUE($B$10))) *
            (IF($B$11="الكل",1, INT((DAY('ادخال البيانات'!$N$3:$N$1164)-1)/7)+1 = VALUE($B$11))),
            'ادخال البيانات'!$H$3:$H$1164
         ),
         ""
      ),
      IF(_xlpm.result="", "", _xlpm.result)
   )
)</f>
        <v/>
      </c>
      <c r="I623" s="27" t="str" cm="1">
        <f t="array" ref="I623">IF(
   A623="",
   "",
   _xlfn.LET(
      _xlpm.result,
      IFERROR(
         _xlfn.XLOOKUP(
            1,
            (Table8[رقم الصنف]=A623) *
            (IF($B$9="الكل",1, YEAR('ادخال البيانات'!$N$3:$N$1164)=VALUE($B$9))) *
            (IF($B$10="الكل",1, MONTH('ادخال البيانات'!$N$3:$N$1164)=VALUE($B$10))) *
            (IF($B$11="الكل",1, INT((DAY('ادخال البيانات'!$N$3:$N$1164)-1)/7)+1 = VALUE($B$11))),
            'ادخال البيانات'!$I$3:$I$1164
         ),
         ""
      ),
      IF(_xlpm.result="", "", _xlpm.result)
   )
)</f>
        <v/>
      </c>
      <c r="J623" s="27" t="str" cm="1">
        <f t="array" ref="J623">IF(
   A623="",
   "",
   _xlfn.LET(
      _xlpm.result,
      IFERROR(
         _xlfn.XLOOKUP(
            1,
            (Table8[رقم الصنف]=A623) *
            (IF($B$9="الكل",1, YEAR('ادخال البيانات'!$N$3:$N$1164)=VALUE($B$9))) *
            (IF($B$10="الكل",1, MONTH('ادخال البيانات'!$N$3:$N$1164)=VALUE($B$10))) *
            (IF($B$11="الكل",1, INT((DAY('ادخال البيانات'!$N$3:$N$1164)-1)/7)+1 = VALUE($B$11))),
            'ادخال البيانات'!$J$3:$J$1164
         ),
         ""
      ),
      IF(_xlpm.result="", "", _xlpm.result)
   )
)</f>
        <v/>
      </c>
      <c r="K623" s="27" t="str" cm="1">
        <f t="array" ref="K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3" s="27" t="str" cm="1">
        <f t="array" ref="L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3" s="27" t="str" cm="1">
        <f t="array" ref="M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3" s="28" t="str" cm="1">
        <f t="array" ref="N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3" s="28" t="str" cm="1">
        <f t="array" ref="O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3" s="27" t="str" cm="1">
        <f t="array" ref="P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Table8[جهة العطل]
         ),
         ""
      ),
      IF(_xlpm.result="", "", _xlpm.result)
   )
)</f>
        <v/>
      </c>
      <c r="Q623" s="27" t="str" cm="1">
        <f t="array" ref="Q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Table8[المركز]
         ),
         ""
      ),
      IF(_xlpm.result="", "", _xlpm.result)
   )
)</f>
        <v/>
      </c>
      <c r="R623" s="27" t="str" cm="1">
        <f t="array" ref="R623">IF(
   A623="",
   "",
   _xlfn.LET(
      _xlpm.result,
      IFERROR(
         _xlfn.XLOOKUP(
            1,
            (Table8[رقم الصنف]=A623) *
            (IF($B$9="الكل",1, YEAR('ادخال البيانات'!$N$3:$N$1164) = VALUE($B$9))) *
            (IF($B$10="الكل",1, MONTH('ادخال البيانات'!$N$3:$N$1164) = VALUE($B$10))) *
            (IF($B$11="الكل",1, INT((DAY('ادخال البيانات'!$N$3:$N$1164) - 1) / 7) + 1 = VALUE($B$11))),
            Table8[ملاحظة]
         ),
         ""
      ),
      IF(_xlpm.result="", "", _xlpm.result)
   )
)</f>
        <v/>
      </c>
      <c r="S623" s="46" t="str">
        <f t="shared" ca="1" si="10"/>
        <v/>
      </c>
    </row>
    <row r="624" spans="1:19" ht="27.75" customHeight="1" thickTop="1" thickBot="1" x14ac:dyDescent="0.35">
      <c r="A624" s="39"/>
      <c r="B624" s="27" t="str" cm="1">
        <f t="array" ref="B624">IF(
   OR(A624="", $B$9="", $B$10="", $B$11=""),
   "",
   _xlfn.LET(
      _xlpm.result,
      IFERROR(
         _xlfn.XLOOKUP(
            1,
            (Table8[رقم الصنف]=A624)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4" s="27" t="str" cm="1">
        <f t="array" ref="C624">IF(
   A624="",
   "",
   _xlfn.LET(
      _xlpm.result,
      IFERROR(
         _xlfn.XLOOKUP(
            1,
            (Table8[رقم الصنف]=A624) *
            (IF($B$9="الكل",1, YEAR('ادخال البيانات'!$N$3:$N$1164) = VALUE($B$9))) *
            (IF($B$10="الكل",1, MONTH('ادخال البيانات'!$N$3:$N$1164) = VALUE($B$10))) *
            (IF($B$11="الكل",1, INT((DAY('ادخال البيانات'!$N$3:$N$1164)-1)/7)+1 = VALUE($B$11))),
            'ادخال البيانات'!$C$3:$C$1164
         ),
         ""
      ),
      IF(_xlpm.result="", "", _xlpm.result)
   )
)</f>
        <v/>
      </c>
      <c r="D624" s="27" t="str" cm="1">
        <f t="array" ref="D624">IF(
   OR(A624="", $B$9="", $B$10="", $B$11=""),
   "",
   _xlfn.LET(
      _xlpm.result,
      IFERROR(
         _xlfn.XLOOKUP(
            1,
            (Table8[رقم الصنف]=A624) *
            (IF($B$9="الكل",1, YEAR('ادخال البيانات'!$N$3:$N$1164)=VALUE($B$9))) *
            (IF($B$10="الكل",1, MONTH('ادخال البيانات'!$N$3:$N$1164)=VALUE($B$10))) *
            (IF($B$11="الكل",1, INT((DAY('ادخال البيانات'!$N$3:$N$1164)-1)/7)+1 = VALUE($B$11))),
            'ادخال البيانات'!$D$3:$D$1164
         ),
         ""
      ),
      IF(_xlpm.result="", "", _xlpm.result)
   )
)</f>
        <v/>
      </c>
      <c r="E624" s="27" t="str" cm="1">
        <f t="array" ref="E624">IF(
   A624="",
   "",
   _xlfn.LET(
      _xlpm.result,
      IFERROR(
         _xlfn.XLOOKUP(
            1,
            (Table8[رقم الصنف]=A624) *
            (IF($B$9="الكل",1, YEAR('ادخال البيانات'!$N$3:$N$1164)=VALUE($B$9))) *
            (IF($B$10="الكل",1, MONTH('ادخال البيانات'!$N$3:$N$1164)=VALUE($B$10))) *
            (IF($B$11="الكل",1, INT((DAY('ادخال البيانات'!$N$3:$N$1164)-1)/7)+1 = VALUE($B$11))),
            'ادخال البيانات'!$E$3:$E$1164
         ),
         ""
      ),
      IF(_xlpm.result="", "", _xlpm.result)
   )
)</f>
        <v/>
      </c>
      <c r="F624" s="27" t="str" cm="1">
        <f t="array" ref="F624">IF(
   A624="",
   "",
   _xlfn.LET(
      _xlpm.result,
      IFERROR(
         _xlfn.XLOOKUP(
            1,
            (Table8[رقم الصنف]=A624) *
            (IF($B$9="الكل",1, YEAR('ادخال البيانات'!$N$3:$N$1164) = VALUE($B$9))) *
            (IF($B$10="الكل",1, MONTH('ادخال البيانات'!$N$3:$N$1164) = VALUE($B$10))) *
            (IF($B$11="الكل",1, INT((DAY('ادخال البيانات'!$N$3:$N$1164)-1)/7)+1 = VALUE($B$11))),
            'ادخال البيانات'!$F$3:$F$1164
         ),
         ""
      ),
      IF(_xlpm.result="", "", _xlpm.result)
   )
)</f>
        <v/>
      </c>
      <c r="G624" s="27" t="str" cm="1">
        <f t="array" ref="G624">IF(
   A624="",
   "",
   _xlfn.LET(
      _xlpm.result,
      IFERROR(
         _xlfn.XLOOKUP(
            1,
            (Table8[رقم الصنف]=A624) *
            (IF($B$9="الكل",1, YEAR('ادخال البيانات'!$N$3:$N$1164)=VALUE($B$9))) *
            (IF($B$10="الكل",1, MONTH('ادخال البيانات'!$N$3:$N$1164)=VALUE($B$10))) *
            (IF($B$11="الكل",1, INT((DAY('ادخال البيانات'!$N$3:$N$1164)-1)/7)+1 = VALUE($B$11))),
            'ادخال البيانات'!$G$3:$G$1164
         ),
         ""
      ),
      IF(_xlpm.result="", "", _xlpm.result)
   )
)</f>
        <v/>
      </c>
      <c r="H624" s="27" t="str" cm="1">
        <f t="array" ref="H624">IF(
   A624="",
   "",
   _xlfn.LET(
      _xlpm.result,
      IFERROR(
         _xlfn.XLOOKUP(
            1,
            (Table8[رقم الصنف]=A624) *
            (IF($B$9="الكل",1, YEAR('ادخال البيانات'!$N$3:$N$1164)=VALUE($B$9))) *
            (IF($B$10="الكل",1, MONTH('ادخال البيانات'!$N$3:$N$1164)=VALUE($B$10))) *
            (IF($B$11="الكل",1, INT((DAY('ادخال البيانات'!$N$3:$N$1164)-1)/7)+1 = VALUE($B$11))),
            'ادخال البيانات'!$H$3:$H$1164
         ),
         ""
      ),
      IF(_xlpm.result="", "", _xlpm.result)
   )
)</f>
        <v/>
      </c>
      <c r="I624" s="27" t="str" cm="1">
        <f t="array" ref="I624">IF(
   A624="",
   "",
   _xlfn.LET(
      _xlpm.result,
      IFERROR(
         _xlfn.XLOOKUP(
            1,
            (Table8[رقم الصنف]=A624) *
            (IF($B$9="الكل",1, YEAR('ادخال البيانات'!$N$3:$N$1164)=VALUE($B$9))) *
            (IF($B$10="الكل",1, MONTH('ادخال البيانات'!$N$3:$N$1164)=VALUE($B$10))) *
            (IF($B$11="الكل",1, INT((DAY('ادخال البيانات'!$N$3:$N$1164)-1)/7)+1 = VALUE($B$11))),
            'ادخال البيانات'!$I$3:$I$1164
         ),
         ""
      ),
      IF(_xlpm.result="", "", _xlpm.result)
   )
)</f>
        <v/>
      </c>
      <c r="J624" s="27" t="str" cm="1">
        <f t="array" ref="J624">IF(
   A624="",
   "",
   _xlfn.LET(
      _xlpm.result,
      IFERROR(
         _xlfn.XLOOKUP(
            1,
            (Table8[رقم الصنف]=A624) *
            (IF($B$9="الكل",1, YEAR('ادخال البيانات'!$N$3:$N$1164)=VALUE($B$9))) *
            (IF($B$10="الكل",1, MONTH('ادخال البيانات'!$N$3:$N$1164)=VALUE($B$10))) *
            (IF($B$11="الكل",1, INT((DAY('ادخال البيانات'!$N$3:$N$1164)-1)/7)+1 = VALUE($B$11))),
            'ادخال البيانات'!$J$3:$J$1164
         ),
         ""
      ),
      IF(_xlpm.result="", "", _xlpm.result)
   )
)</f>
        <v/>
      </c>
      <c r="K624" s="27" t="str" cm="1">
        <f t="array" ref="K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4" s="27" t="str" cm="1">
        <f t="array" ref="L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4" s="27" t="str" cm="1">
        <f t="array" ref="M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4" s="28" t="str" cm="1">
        <f t="array" ref="N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4" s="28" t="str" cm="1">
        <f t="array" ref="O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4" s="27" t="str" cm="1">
        <f t="array" ref="P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Table8[جهة العطل]
         ),
         ""
      ),
      IF(_xlpm.result="", "", _xlpm.result)
   )
)</f>
        <v/>
      </c>
      <c r="Q624" s="27" t="str" cm="1">
        <f t="array" ref="Q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Table8[المركز]
         ),
         ""
      ),
      IF(_xlpm.result="", "", _xlpm.result)
   )
)</f>
        <v/>
      </c>
      <c r="R624" s="27" t="str" cm="1">
        <f t="array" ref="R624">IF(
   A624="",
   "",
   _xlfn.LET(
      _xlpm.result,
      IFERROR(
         _xlfn.XLOOKUP(
            1,
            (Table8[رقم الصنف]=A624) *
            (IF($B$9="الكل",1, YEAR('ادخال البيانات'!$N$3:$N$1164) = VALUE($B$9))) *
            (IF($B$10="الكل",1, MONTH('ادخال البيانات'!$N$3:$N$1164) = VALUE($B$10))) *
            (IF($B$11="الكل",1, INT((DAY('ادخال البيانات'!$N$3:$N$1164) - 1) / 7) + 1 = VALUE($B$11))),
            Table8[ملاحظة]
         ),
         ""
      ),
      IF(_xlpm.result="", "", _xlpm.result)
   )
)</f>
        <v/>
      </c>
      <c r="S624" s="46" t="str">
        <f t="shared" ca="1" si="10"/>
        <v/>
      </c>
    </row>
    <row r="625" spans="1:19" ht="27.75" customHeight="1" thickTop="1" thickBot="1" x14ac:dyDescent="0.35">
      <c r="A625" s="39"/>
      <c r="B625" s="27" t="str" cm="1">
        <f t="array" ref="B625">IF(
   OR(A625="", $B$9="", $B$10="", $B$11=""),
   "",
   _xlfn.LET(
      _xlpm.result,
      IFERROR(
         _xlfn.XLOOKUP(
            1,
            (Table8[رقم الصنف]=A625)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5" s="27" t="str" cm="1">
        <f t="array" ref="C625">IF(
   A625="",
   "",
   _xlfn.LET(
      _xlpm.result,
      IFERROR(
         _xlfn.XLOOKUP(
            1,
            (Table8[رقم الصنف]=A625) *
            (IF($B$9="الكل",1, YEAR('ادخال البيانات'!$N$3:$N$1164) = VALUE($B$9))) *
            (IF($B$10="الكل",1, MONTH('ادخال البيانات'!$N$3:$N$1164) = VALUE($B$10))) *
            (IF($B$11="الكل",1, INT((DAY('ادخال البيانات'!$N$3:$N$1164)-1)/7)+1 = VALUE($B$11))),
            'ادخال البيانات'!$C$3:$C$1164
         ),
         ""
      ),
      IF(_xlpm.result="", "", _xlpm.result)
   )
)</f>
        <v/>
      </c>
      <c r="D625" s="27" t="str" cm="1">
        <f t="array" ref="D625">IF(
   OR(A625="", $B$9="", $B$10="", $B$11=""),
   "",
   _xlfn.LET(
      _xlpm.result,
      IFERROR(
         _xlfn.XLOOKUP(
            1,
            (Table8[رقم الصنف]=A625) *
            (IF($B$9="الكل",1, YEAR('ادخال البيانات'!$N$3:$N$1164)=VALUE($B$9))) *
            (IF($B$10="الكل",1, MONTH('ادخال البيانات'!$N$3:$N$1164)=VALUE($B$10))) *
            (IF($B$11="الكل",1, INT((DAY('ادخال البيانات'!$N$3:$N$1164)-1)/7)+1 = VALUE($B$11))),
            'ادخال البيانات'!$D$3:$D$1164
         ),
         ""
      ),
      IF(_xlpm.result="", "", _xlpm.result)
   )
)</f>
        <v/>
      </c>
      <c r="E625" s="27" t="str" cm="1">
        <f t="array" ref="E625">IF(
   A625="",
   "",
   _xlfn.LET(
      _xlpm.result,
      IFERROR(
         _xlfn.XLOOKUP(
            1,
            (Table8[رقم الصنف]=A625) *
            (IF($B$9="الكل",1, YEAR('ادخال البيانات'!$N$3:$N$1164)=VALUE($B$9))) *
            (IF($B$10="الكل",1, MONTH('ادخال البيانات'!$N$3:$N$1164)=VALUE($B$10))) *
            (IF($B$11="الكل",1, INT((DAY('ادخال البيانات'!$N$3:$N$1164)-1)/7)+1 = VALUE($B$11))),
            'ادخال البيانات'!$E$3:$E$1164
         ),
         ""
      ),
      IF(_xlpm.result="", "", _xlpm.result)
   )
)</f>
        <v/>
      </c>
      <c r="F625" s="27" t="str" cm="1">
        <f t="array" ref="F625">IF(
   A625="",
   "",
   _xlfn.LET(
      _xlpm.result,
      IFERROR(
         _xlfn.XLOOKUP(
            1,
            (Table8[رقم الصنف]=A625) *
            (IF($B$9="الكل",1, YEAR('ادخال البيانات'!$N$3:$N$1164) = VALUE($B$9))) *
            (IF($B$10="الكل",1, MONTH('ادخال البيانات'!$N$3:$N$1164) = VALUE($B$10))) *
            (IF($B$11="الكل",1, INT((DAY('ادخال البيانات'!$N$3:$N$1164)-1)/7)+1 = VALUE($B$11))),
            'ادخال البيانات'!$F$3:$F$1164
         ),
         ""
      ),
      IF(_xlpm.result="", "", _xlpm.result)
   )
)</f>
        <v/>
      </c>
      <c r="G625" s="27" t="str" cm="1">
        <f t="array" ref="G625">IF(
   A625="",
   "",
   _xlfn.LET(
      _xlpm.result,
      IFERROR(
         _xlfn.XLOOKUP(
            1,
            (Table8[رقم الصنف]=A625) *
            (IF($B$9="الكل",1, YEAR('ادخال البيانات'!$N$3:$N$1164)=VALUE($B$9))) *
            (IF($B$10="الكل",1, MONTH('ادخال البيانات'!$N$3:$N$1164)=VALUE($B$10))) *
            (IF($B$11="الكل",1, INT((DAY('ادخال البيانات'!$N$3:$N$1164)-1)/7)+1 = VALUE($B$11))),
            'ادخال البيانات'!$G$3:$G$1164
         ),
         ""
      ),
      IF(_xlpm.result="", "", _xlpm.result)
   )
)</f>
        <v/>
      </c>
      <c r="H625" s="27" t="str" cm="1">
        <f t="array" ref="H625">IF(
   A625="",
   "",
   _xlfn.LET(
      _xlpm.result,
      IFERROR(
         _xlfn.XLOOKUP(
            1,
            (Table8[رقم الصنف]=A625) *
            (IF($B$9="الكل",1, YEAR('ادخال البيانات'!$N$3:$N$1164)=VALUE($B$9))) *
            (IF($B$10="الكل",1, MONTH('ادخال البيانات'!$N$3:$N$1164)=VALUE($B$10))) *
            (IF($B$11="الكل",1, INT((DAY('ادخال البيانات'!$N$3:$N$1164)-1)/7)+1 = VALUE($B$11))),
            'ادخال البيانات'!$H$3:$H$1164
         ),
         ""
      ),
      IF(_xlpm.result="", "", _xlpm.result)
   )
)</f>
        <v/>
      </c>
      <c r="I625" s="27" t="str" cm="1">
        <f t="array" ref="I625">IF(
   A625="",
   "",
   _xlfn.LET(
      _xlpm.result,
      IFERROR(
         _xlfn.XLOOKUP(
            1,
            (Table8[رقم الصنف]=A625) *
            (IF($B$9="الكل",1, YEAR('ادخال البيانات'!$N$3:$N$1164)=VALUE($B$9))) *
            (IF($B$10="الكل",1, MONTH('ادخال البيانات'!$N$3:$N$1164)=VALUE($B$10))) *
            (IF($B$11="الكل",1, INT((DAY('ادخال البيانات'!$N$3:$N$1164)-1)/7)+1 = VALUE($B$11))),
            'ادخال البيانات'!$I$3:$I$1164
         ),
         ""
      ),
      IF(_xlpm.result="", "", _xlpm.result)
   )
)</f>
        <v/>
      </c>
      <c r="J625" s="27" t="str" cm="1">
        <f t="array" ref="J625">IF(
   A625="",
   "",
   _xlfn.LET(
      _xlpm.result,
      IFERROR(
         _xlfn.XLOOKUP(
            1,
            (Table8[رقم الصنف]=A625) *
            (IF($B$9="الكل",1, YEAR('ادخال البيانات'!$N$3:$N$1164)=VALUE($B$9))) *
            (IF($B$10="الكل",1, MONTH('ادخال البيانات'!$N$3:$N$1164)=VALUE($B$10))) *
            (IF($B$11="الكل",1, INT((DAY('ادخال البيانات'!$N$3:$N$1164)-1)/7)+1 = VALUE($B$11))),
            'ادخال البيانات'!$J$3:$J$1164
         ),
         ""
      ),
      IF(_xlpm.result="", "", _xlpm.result)
   )
)</f>
        <v/>
      </c>
      <c r="K625" s="27" t="str" cm="1">
        <f t="array" ref="K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5" s="27" t="str" cm="1">
        <f t="array" ref="L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5" s="27" t="str" cm="1">
        <f t="array" ref="M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5" s="28" t="str" cm="1">
        <f t="array" ref="N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5" s="28" t="str" cm="1">
        <f t="array" ref="O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5" s="27" t="str" cm="1">
        <f t="array" ref="P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Table8[جهة العطل]
         ),
         ""
      ),
      IF(_xlpm.result="", "", _xlpm.result)
   )
)</f>
        <v/>
      </c>
      <c r="Q625" s="27" t="str" cm="1">
        <f t="array" ref="Q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Table8[المركز]
         ),
         ""
      ),
      IF(_xlpm.result="", "", _xlpm.result)
   )
)</f>
        <v/>
      </c>
      <c r="R625" s="27" t="str" cm="1">
        <f t="array" ref="R625">IF(
   A625="",
   "",
   _xlfn.LET(
      _xlpm.result,
      IFERROR(
         _xlfn.XLOOKUP(
            1,
            (Table8[رقم الصنف]=A625) *
            (IF($B$9="الكل",1, YEAR('ادخال البيانات'!$N$3:$N$1164) = VALUE($B$9))) *
            (IF($B$10="الكل",1, MONTH('ادخال البيانات'!$N$3:$N$1164) = VALUE($B$10))) *
            (IF($B$11="الكل",1, INT((DAY('ادخال البيانات'!$N$3:$N$1164) - 1) / 7) + 1 = VALUE($B$11))),
            Table8[ملاحظة]
         ),
         ""
      ),
      IF(_xlpm.result="", "", _xlpm.result)
   )
)</f>
        <v/>
      </c>
      <c r="S625" s="46" t="str">
        <f t="shared" ca="1" si="10"/>
        <v/>
      </c>
    </row>
    <row r="626" spans="1:19" ht="27.75" customHeight="1" thickTop="1" thickBot="1" x14ac:dyDescent="0.35">
      <c r="A626" s="39"/>
      <c r="B626" s="27" t="str" cm="1">
        <f t="array" ref="B626">IF(
   OR(A626="", $B$9="", $B$10="", $B$11=""),
   "",
   _xlfn.LET(
      _xlpm.result,
      IFERROR(
         _xlfn.XLOOKUP(
            1,
            (Table8[رقم الصنف]=A626)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6" s="27" t="str" cm="1">
        <f t="array" ref="C626">IF(
   A626="",
   "",
   _xlfn.LET(
      _xlpm.result,
      IFERROR(
         _xlfn.XLOOKUP(
            1,
            (Table8[رقم الصنف]=A626) *
            (IF($B$9="الكل",1, YEAR('ادخال البيانات'!$N$3:$N$1164) = VALUE($B$9))) *
            (IF($B$10="الكل",1, MONTH('ادخال البيانات'!$N$3:$N$1164) = VALUE($B$10))) *
            (IF($B$11="الكل",1, INT((DAY('ادخال البيانات'!$N$3:$N$1164)-1)/7)+1 = VALUE($B$11))),
            'ادخال البيانات'!$C$3:$C$1164
         ),
         ""
      ),
      IF(_xlpm.result="", "", _xlpm.result)
   )
)</f>
        <v/>
      </c>
      <c r="D626" s="27" t="str" cm="1">
        <f t="array" ref="D626">IF(
   OR(A626="", $B$9="", $B$10="", $B$11=""),
   "",
   _xlfn.LET(
      _xlpm.result,
      IFERROR(
         _xlfn.XLOOKUP(
            1,
            (Table8[رقم الصنف]=A626) *
            (IF($B$9="الكل",1, YEAR('ادخال البيانات'!$N$3:$N$1164)=VALUE($B$9))) *
            (IF($B$10="الكل",1, MONTH('ادخال البيانات'!$N$3:$N$1164)=VALUE($B$10))) *
            (IF($B$11="الكل",1, INT((DAY('ادخال البيانات'!$N$3:$N$1164)-1)/7)+1 = VALUE($B$11))),
            'ادخال البيانات'!$D$3:$D$1164
         ),
         ""
      ),
      IF(_xlpm.result="", "", _xlpm.result)
   )
)</f>
        <v/>
      </c>
      <c r="E626" s="27" t="str" cm="1">
        <f t="array" ref="E626">IF(
   A626="",
   "",
   _xlfn.LET(
      _xlpm.result,
      IFERROR(
         _xlfn.XLOOKUP(
            1,
            (Table8[رقم الصنف]=A626) *
            (IF($B$9="الكل",1, YEAR('ادخال البيانات'!$N$3:$N$1164)=VALUE($B$9))) *
            (IF($B$10="الكل",1, MONTH('ادخال البيانات'!$N$3:$N$1164)=VALUE($B$10))) *
            (IF($B$11="الكل",1, INT((DAY('ادخال البيانات'!$N$3:$N$1164)-1)/7)+1 = VALUE($B$11))),
            'ادخال البيانات'!$E$3:$E$1164
         ),
         ""
      ),
      IF(_xlpm.result="", "", _xlpm.result)
   )
)</f>
        <v/>
      </c>
      <c r="F626" s="27" t="str" cm="1">
        <f t="array" ref="F626">IF(
   A626="",
   "",
   _xlfn.LET(
      _xlpm.result,
      IFERROR(
         _xlfn.XLOOKUP(
            1,
            (Table8[رقم الصنف]=A626) *
            (IF($B$9="الكل",1, YEAR('ادخال البيانات'!$N$3:$N$1164) = VALUE($B$9))) *
            (IF($B$10="الكل",1, MONTH('ادخال البيانات'!$N$3:$N$1164) = VALUE($B$10))) *
            (IF($B$11="الكل",1, INT((DAY('ادخال البيانات'!$N$3:$N$1164)-1)/7)+1 = VALUE($B$11))),
            'ادخال البيانات'!$F$3:$F$1164
         ),
         ""
      ),
      IF(_xlpm.result="", "", _xlpm.result)
   )
)</f>
        <v/>
      </c>
      <c r="G626" s="27" t="str" cm="1">
        <f t="array" ref="G626">IF(
   A626="",
   "",
   _xlfn.LET(
      _xlpm.result,
      IFERROR(
         _xlfn.XLOOKUP(
            1,
            (Table8[رقم الصنف]=A626) *
            (IF($B$9="الكل",1, YEAR('ادخال البيانات'!$N$3:$N$1164)=VALUE($B$9))) *
            (IF($B$10="الكل",1, MONTH('ادخال البيانات'!$N$3:$N$1164)=VALUE($B$10))) *
            (IF($B$11="الكل",1, INT((DAY('ادخال البيانات'!$N$3:$N$1164)-1)/7)+1 = VALUE($B$11))),
            'ادخال البيانات'!$G$3:$G$1164
         ),
         ""
      ),
      IF(_xlpm.result="", "", _xlpm.result)
   )
)</f>
        <v/>
      </c>
      <c r="H626" s="27" t="str" cm="1">
        <f t="array" ref="H626">IF(
   A626="",
   "",
   _xlfn.LET(
      _xlpm.result,
      IFERROR(
         _xlfn.XLOOKUP(
            1,
            (Table8[رقم الصنف]=A626) *
            (IF($B$9="الكل",1, YEAR('ادخال البيانات'!$N$3:$N$1164)=VALUE($B$9))) *
            (IF($B$10="الكل",1, MONTH('ادخال البيانات'!$N$3:$N$1164)=VALUE($B$10))) *
            (IF($B$11="الكل",1, INT((DAY('ادخال البيانات'!$N$3:$N$1164)-1)/7)+1 = VALUE($B$11))),
            'ادخال البيانات'!$H$3:$H$1164
         ),
         ""
      ),
      IF(_xlpm.result="", "", _xlpm.result)
   )
)</f>
        <v/>
      </c>
      <c r="I626" s="27" t="str" cm="1">
        <f t="array" ref="I626">IF(
   A626="",
   "",
   _xlfn.LET(
      _xlpm.result,
      IFERROR(
         _xlfn.XLOOKUP(
            1,
            (Table8[رقم الصنف]=A626) *
            (IF($B$9="الكل",1, YEAR('ادخال البيانات'!$N$3:$N$1164)=VALUE($B$9))) *
            (IF($B$10="الكل",1, MONTH('ادخال البيانات'!$N$3:$N$1164)=VALUE($B$10))) *
            (IF($B$11="الكل",1, INT((DAY('ادخال البيانات'!$N$3:$N$1164)-1)/7)+1 = VALUE($B$11))),
            'ادخال البيانات'!$I$3:$I$1164
         ),
         ""
      ),
      IF(_xlpm.result="", "", _xlpm.result)
   )
)</f>
        <v/>
      </c>
      <c r="J626" s="27" t="str" cm="1">
        <f t="array" ref="J626">IF(
   A626="",
   "",
   _xlfn.LET(
      _xlpm.result,
      IFERROR(
         _xlfn.XLOOKUP(
            1,
            (Table8[رقم الصنف]=A626) *
            (IF($B$9="الكل",1, YEAR('ادخال البيانات'!$N$3:$N$1164)=VALUE($B$9))) *
            (IF($B$10="الكل",1, MONTH('ادخال البيانات'!$N$3:$N$1164)=VALUE($B$10))) *
            (IF($B$11="الكل",1, INT((DAY('ادخال البيانات'!$N$3:$N$1164)-1)/7)+1 = VALUE($B$11))),
            'ادخال البيانات'!$J$3:$J$1164
         ),
         ""
      ),
      IF(_xlpm.result="", "", _xlpm.result)
   )
)</f>
        <v/>
      </c>
      <c r="K626" s="27" t="str" cm="1">
        <f t="array" ref="K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6" s="27" t="str" cm="1">
        <f t="array" ref="L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6" s="27" t="str" cm="1">
        <f t="array" ref="M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6" s="28" t="str" cm="1">
        <f t="array" ref="N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6" s="28" t="str" cm="1">
        <f t="array" ref="O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6" s="27" t="str" cm="1">
        <f t="array" ref="P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Table8[جهة العطل]
         ),
         ""
      ),
      IF(_xlpm.result="", "", _xlpm.result)
   )
)</f>
        <v/>
      </c>
      <c r="Q626" s="27" t="str" cm="1">
        <f t="array" ref="Q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Table8[المركز]
         ),
         ""
      ),
      IF(_xlpm.result="", "", _xlpm.result)
   )
)</f>
        <v/>
      </c>
      <c r="R626" s="27" t="str" cm="1">
        <f t="array" ref="R626">IF(
   A626="",
   "",
   _xlfn.LET(
      _xlpm.result,
      IFERROR(
         _xlfn.XLOOKUP(
            1,
            (Table8[رقم الصنف]=A626) *
            (IF($B$9="الكل",1, YEAR('ادخال البيانات'!$N$3:$N$1164) = VALUE($B$9))) *
            (IF($B$10="الكل",1, MONTH('ادخال البيانات'!$N$3:$N$1164) = VALUE($B$10))) *
            (IF($B$11="الكل",1, INT((DAY('ادخال البيانات'!$N$3:$N$1164) - 1) / 7) + 1 = VALUE($B$11))),
            Table8[ملاحظة]
         ),
         ""
      ),
      IF(_xlpm.result="", "", _xlpm.result)
   )
)</f>
        <v/>
      </c>
      <c r="S626" s="46" t="str">
        <f t="shared" ca="1" si="10"/>
        <v/>
      </c>
    </row>
    <row r="627" spans="1:19" ht="27.75" customHeight="1" thickTop="1" thickBot="1" x14ac:dyDescent="0.35">
      <c r="A627" s="39"/>
      <c r="B627" s="27" t="str" cm="1">
        <f t="array" ref="B627">IF(
   OR(A627="", $B$9="", $B$10="", $B$11=""),
   "",
   _xlfn.LET(
      _xlpm.result,
      IFERROR(
         _xlfn.XLOOKUP(
            1,
            (Table8[رقم الصنف]=A627)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7" s="27" t="str" cm="1">
        <f t="array" ref="C627">IF(
   A627="",
   "",
   _xlfn.LET(
      _xlpm.result,
      IFERROR(
         _xlfn.XLOOKUP(
            1,
            (Table8[رقم الصنف]=A627) *
            (IF($B$9="الكل",1, YEAR('ادخال البيانات'!$N$3:$N$1164) = VALUE($B$9))) *
            (IF($B$10="الكل",1, MONTH('ادخال البيانات'!$N$3:$N$1164) = VALUE($B$10))) *
            (IF($B$11="الكل",1, INT((DAY('ادخال البيانات'!$N$3:$N$1164)-1)/7)+1 = VALUE($B$11))),
            'ادخال البيانات'!$C$3:$C$1164
         ),
         ""
      ),
      IF(_xlpm.result="", "", _xlpm.result)
   )
)</f>
        <v/>
      </c>
      <c r="D627" s="27" t="str" cm="1">
        <f t="array" ref="D627">IF(
   OR(A627="", $B$9="", $B$10="", $B$11=""),
   "",
   _xlfn.LET(
      _xlpm.result,
      IFERROR(
         _xlfn.XLOOKUP(
            1,
            (Table8[رقم الصنف]=A627) *
            (IF($B$9="الكل",1, YEAR('ادخال البيانات'!$N$3:$N$1164)=VALUE($B$9))) *
            (IF($B$10="الكل",1, MONTH('ادخال البيانات'!$N$3:$N$1164)=VALUE($B$10))) *
            (IF($B$11="الكل",1, INT((DAY('ادخال البيانات'!$N$3:$N$1164)-1)/7)+1 = VALUE($B$11))),
            'ادخال البيانات'!$D$3:$D$1164
         ),
         ""
      ),
      IF(_xlpm.result="", "", _xlpm.result)
   )
)</f>
        <v/>
      </c>
      <c r="E627" s="27" t="str" cm="1">
        <f t="array" ref="E627">IF(
   A627="",
   "",
   _xlfn.LET(
      _xlpm.result,
      IFERROR(
         _xlfn.XLOOKUP(
            1,
            (Table8[رقم الصنف]=A627) *
            (IF($B$9="الكل",1, YEAR('ادخال البيانات'!$N$3:$N$1164)=VALUE($B$9))) *
            (IF($B$10="الكل",1, MONTH('ادخال البيانات'!$N$3:$N$1164)=VALUE($B$10))) *
            (IF($B$11="الكل",1, INT((DAY('ادخال البيانات'!$N$3:$N$1164)-1)/7)+1 = VALUE($B$11))),
            'ادخال البيانات'!$E$3:$E$1164
         ),
         ""
      ),
      IF(_xlpm.result="", "", _xlpm.result)
   )
)</f>
        <v/>
      </c>
      <c r="F627" s="27" t="str" cm="1">
        <f t="array" ref="F627">IF(
   A627="",
   "",
   _xlfn.LET(
      _xlpm.result,
      IFERROR(
         _xlfn.XLOOKUP(
            1,
            (Table8[رقم الصنف]=A627) *
            (IF($B$9="الكل",1, YEAR('ادخال البيانات'!$N$3:$N$1164) = VALUE($B$9))) *
            (IF($B$10="الكل",1, MONTH('ادخال البيانات'!$N$3:$N$1164) = VALUE($B$10))) *
            (IF($B$11="الكل",1, INT((DAY('ادخال البيانات'!$N$3:$N$1164)-1)/7)+1 = VALUE($B$11))),
            'ادخال البيانات'!$F$3:$F$1164
         ),
         ""
      ),
      IF(_xlpm.result="", "", _xlpm.result)
   )
)</f>
        <v/>
      </c>
      <c r="G627" s="27" t="str" cm="1">
        <f t="array" ref="G627">IF(
   A627="",
   "",
   _xlfn.LET(
      _xlpm.result,
      IFERROR(
         _xlfn.XLOOKUP(
            1,
            (Table8[رقم الصنف]=A627) *
            (IF($B$9="الكل",1, YEAR('ادخال البيانات'!$N$3:$N$1164)=VALUE($B$9))) *
            (IF($B$10="الكل",1, MONTH('ادخال البيانات'!$N$3:$N$1164)=VALUE($B$10))) *
            (IF($B$11="الكل",1, INT((DAY('ادخال البيانات'!$N$3:$N$1164)-1)/7)+1 = VALUE($B$11))),
            'ادخال البيانات'!$G$3:$G$1164
         ),
         ""
      ),
      IF(_xlpm.result="", "", _xlpm.result)
   )
)</f>
        <v/>
      </c>
      <c r="H627" s="27" t="str" cm="1">
        <f t="array" ref="H627">IF(
   A627="",
   "",
   _xlfn.LET(
      _xlpm.result,
      IFERROR(
         _xlfn.XLOOKUP(
            1,
            (Table8[رقم الصنف]=A627) *
            (IF($B$9="الكل",1, YEAR('ادخال البيانات'!$N$3:$N$1164)=VALUE($B$9))) *
            (IF($B$10="الكل",1, MONTH('ادخال البيانات'!$N$3:$N$1164)=VALUE($B$10))) *
            (IF($B$11="الكل",1, INT((DAY('ادخال البيانات'!$N$3:$N$1164)-1)/7)+1 = VALUE($B$11))),
            'ادخال البيانات'!$H$3:$H$1164
         ),
         ""
      ),
      IF(_xlpm.result="", "", _xlpm.result)
   )
)</f>
        <v/>
      </c>
      <c r="I627" s="27" t="str" cm="1">
        <f t="array" ref="I627">IF(
   A627="",
   "",
   _xlfn.LET(
      _xlpm.result,
      IFERROR(
         _xlfn.XLOOKUP(
            1,
            (Table8[رقم الصنف]=A627) *
            (IF($B$9="الكل",1, YEAR('ادخال البيانات'!$N$3:$N$1164)=VALUE($B$9))) *
            (IF($B$10="الكل",1, MONTH('ادخال البيانات'!$N$3:$N$1164)=VALUE($B$10))) *
            (IF($B$11="الكل",1, INT((DAY('ادخال البيانات'!$N$3:$N$1164)-1)/7)+1 = VALUE($B$11))),
            'ادخال البيانات'!$I$3:$I$1164
         ),
         ""
      ),
      IF(_xlpm.result="", "", _xlpm.result)
   )
)</f>
        <v/>
      </c>
      <c r="J627" s="27" t="str" cm="1">
        <f t="array" ref="J627">IF(
   A627="",
   "",
   _xlfn.LET(
      _xlpm.result,
      IFERROR(
         _xlfn.XLOOKUP(
            1,
            (Table8[رقم الصنف]=A627) *
            (IF($B$9="الكل",1, YEAR('ادخال البيانات'!$N$3:$N$1164)=VALUE($B$9))) *
            (IF($B$10="الكل",1, MONTH('ادخال البيانات'!$N$3:$N$1164)=VALUE($B$10))) *
            (IF($B$11="الكل",1, INT((DAY('ادخال البيانات'!$N$3:$N$1164)-1)/7)+1 = VALUE($B$11))),
            'ادخال البيانات'!$J$3:$J$1164
         ),
         ""
      ),
      IF(_xlpm.result="", "", _xlpm.result)
   )
)</f>
        <v/>
      </c>
      <c r="K627" s="27" t="str" cm="1">
        <f t="array" ref="K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7" s="27" t="str" cm="1">
        <f t="array" ref="L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7" s="27" t="str" cm="1">
        <f t="array" ref="M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7" s="28" t="str" cm="1">
        <f t="array" ref="N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7" s="28" t="str" cm="1">
        <f t="array" ref="O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7" s="27" t="str" cm="1">
        <f t="array" ref="P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Table8[جهة العطل]
         ),
         ""
      ),
      IF(_xlpm.result="", "", _xlpm.result)
   )
)</f>
        <v/>
      </c>
      <c r="Q627" s="27" t="str" cm="1">
        <f t="array" ref="Q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Table8[المركز]
         ),
         ""
      ),
      IF(_xlpm.result="", "", _xlpm.result)
   )
)</f>
        <v/>
      </c>
      <c r="R627" s="27" t="str" cm="1">
        <f t="array" ref="R627">IF(
   A627="",
   "",
   _xlfn.LET(
      _xlpm.result,
      IFERROR(
         _xlfn.XLOOKUP(
            1,
            (Table8[رقم الصنف]=A627) *
            (IF($B$9="الكل",1, YEAR('ادخال البيانات'!$N$3:$N$1164) = VALUE($B$9))) *
            (IF($B$10="الكل",1, MONTH('ادخال البيانات'!$N$3:$N$1164) = VALUE($B$10))) *
            (IF($B$11="الكل",1, INT((DAY('ادخال البيانات'!$N$3:$N$1164) - 1) / 7) + 1 = VALUE($B$11))),
            Table8[ملاحظة]
         ),
         ""
      ),
      IF(_xlpm.result="", "", _xlpm.result)
   )
)</f>
        <v/>
      </c>
      <c r="S627" s="46" t="str">
        <f t="shared" ca="1" si="10"/>
        <v/>
      </c>
    </row>
    <row r="628" spans="1:19" ht="27.75" customHeight="1" thickTop="1" thickBot="1" x14ac:dyDescent="0.35">
      <c r="A628" s="39"/>
      <c r="B628" s="27" t="str" cm="1">
        <f t="array" ref="B628">IF(
   OR(A628="", $B$9="", $B$10="", $B$11=""),
   "",
   _xlfn.LET(
      _xlpm.result,
      IFERROR(
         _xlfn.XLOOKUP(
            1,
            (Table8[رقم الصنف]=A628)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8" s="27" t="str" cm="1">
        <f t="array" ref="C628">IF(
   A628="",
   "",
   _xlfn.LET(
      _xlpm.result,
      IFERROR(
         _xlfn.XLOOKUP(
            1,
            (Table8[رقم الصنف]=A628) *
            (IF($B$9="الكل",1, YEAR('ادخال البيانات'!$N$3:$N$1164) = VALUE($B$9))) *
            (IF($B$10="الكل",1, MONTH('ادخال البيانات'!$N$3:$N$1164) = VALUE($B$10))) *
            (IF($B$11="الكل",1, INT((DAY('ادخال البيانات'!$N$3:$N$1164)-1)/7)+1 = VALUE($B$11))),
            'ادخال البيانات'!$C$3:$C$1164
         ),
         ""
      ),
      IF(_xlpm.result="", "", _xlpm.result)
   )
)</f>
        <v/>
      </c>
      <c r="D628" s="27" t="str" cm="1">
        <f t="array" ref="D628">IF(
   OR(A628="", $B$9="", $B$10="", $B$11=""),
   "",
   _xlfn.LET(
      _xlpm.result,
      IFERROR(
         _xlfn.XLOOKUP(
            1,
            (Table8[رقم الصنف]=A628) *
            (IF($B$9="الكل",1, YEAR('ادخال البيانات'!$N$3:$N$1164)=VALUE($B$9))) *
            (IF($B$10="الكل",1, MONTH('ادخال البيانات'!$N$3:$N$1164)=VALUE($B$10))) *
            (IF($B$11="الكل",1, INT((DAY('ادخال البيانات'!$N$3:$N$1164)-1)/7)+1 = VALUE($B$11))),
            'ادخال البيانات'!$D$3:$D$1164
         ),
         ""
      ),
      IF(_xlpm.result="", "", _xlpm.result)
   )
)</f>
        <v/>
      </c>
      <c r="E628" s="27" t="str" cm="1">
        <f t="array" ref="E628">IF(
   A628="",
   "",
   _xlfn.LET(
      _xlpm.result,
      IFERROR(
         _xlfn.XLOOKUP(
            1,
            (Table8[رقم الصنف]=A628) *
            (IF($B$9="الكل",1, YEAR('ادخال البيانات'!$N$3:$N$1164)=VALUE($B$9))) *
            (IF($B$10="الكل",1, MONTH('ادخال البيانات'!$N$3:$N$1164)=VALUE($B$10))) *
            (IF($B$11="الكل",1, INT((DAY('ادخال البيانات'!$N$3:$N$1164)-1)/7)+1 = VALUE($B$11))),
            'ادخال البيانات'!$E$3:$E$1164
         ),
         ""
      ),
      IF(_xlpm.result="", "", _xlpm.result)
   )
)</f>
        <v/>
      </c>
      <c r="F628" s="27" t="str" cm="1">
        <f t="array" ref="F628">IF(
   A628="",
   "",
   _xlfn.LET(
      _xlpm.result,
      IFERROR(
         _xlfn.XLOOKUP(
            1,
            (Table8[رقم الصنف]=A628) *
            (IF($B$9="الكل",1, YEAR('ادخال البيانات'!$N$3:$N$1164) = VALUE($B$9))) *
            (IF($B$10="الكل",1, MONTH('ادخال البيانات'!$N$3:$N$1164) = VALUE($B$10))) *
            (IF($B$11="الكل",1, INT((DAY('ادخال البيانات'!$N$3:$N$1164)-1)/7)+1 = VALUE($B$11))),
            'ادخال البيانات'!$F$3:$F$1164
         ),
         ""
      ),
      IF(_xlpm.result="", "", _xlpm.result)
   )
)</f>
        <v/>
      </c>
      <c r="G628" s="27" t="str" cm="1">
        <f t="array" ref="G628">IF(
   A628="",
   "",
   _xlfn.LET(
      _xlpm.result,
      IFERROR(
         _xlfn.XLOOKUP(
            1,
            (Table8[رقم الصنف]=A628) *
            (IF($B$9="الكل",1, YEAR('ادخال البيانات'!$N$3:$N$1164)=VALUE($B$9))) *
            (IF($B$10="الكل",1, MONTH('ادخال البيانات'!$N$3:$N$1164)=VALUE($B$10))) *
            (IF($B$11="الكل",1, INT((DAY('ادخال البيانات'!$N$3:$N$1164)-1)/7)+1 = VALUE($B$11))),
            'ادخال البيانات'!$G$3:$G$1164
         ),
         ""
      ),
      IF(_xlpm.result="", "", _xlpm.result)
   )
)</f>
        <v/>
      </c>
      <c r="H628" s="27" t="str" cm="1">
        <f t="array" ref="H628">IF(
   A628="",
   "",
   _xlfn.LET(
      _xlpm.result,
      IFERROR(
         _xlfn.XLOOKUP(
            1,
            (Table8[رقم الصنف]=A628) *
            (IF($B$9="الكل",1, YEAR('ادخال البيانات'!$N$3:$N$1164)=VALUE($B$9))) *
            (IF($B$10="الكل",1, MONTH('ادخال البيانات'!$N$3:$N$1164)=VALUE($B$10))) *
            (IF($B$11="الكل",1, INT((DAY('ادخال البيانات'!$N$3:$N$1164)-1)/7)+1 = VALUE($B$11))),
            'ادخال البيانات'!$H$3:$H$1164
         ),
         ""
      ),
      IF(_xlpm.result="", "", _xlpm.result)
   )
)</f>
        <v/>
      </c>
      <c r="I628" s="27" t="str" cm="1">
        <f t="array" ref="I628">IF(
   A628="",
   "",
   _xlfn.LET(
      _xlpm.result,
      IFERROR(
         _xlfn.XLOOKUP(
            1,
            (Table8[رقم الصنف]=A628) *
            (IF($B$9="الكل",1, YEAR('ادخال البيانات'!$N$3:$N$1164)=VALUE($B$9))) *
            (IF($B$10="الكل",1, MONTH('ادخال البيانات'!$N$3:$N$1164)=VALUE($B$10))) *
            (IF($B$11="الكل",1, INT((DAY('ادخال البيانات'!$N$3:$N$1164)-1)/7)+1 = VALUE($B$11))),
            'ادخال البيانات'!$I$3:$I$1164
         ),
         ""
      ),
      IF(_xlpm.result="", "", _xlpm.result)
   )
)</f>
        <v/>
      </c>
      <c r="J628" s="27" t="str" cm="1">
        <f t="array" ref="J628">IF(
   A628="",
   "",
   _xlfn.LET(
      _xlpm.result,
      IFERROR(
         _xlfn.XLOOKUP(
            1,
            (Table8[رقم الصنف]=A628) *
            (IF($B$9="الكل",1, YEAR('ادخال البيانات'!$N$3:$N$1164)=VALUE($B$9))) *
            (IF($B$10="الكل",1, MONTH('ادخال البيانات'!$N$3:$N$1164)=VALUE($B$10))) *
            (IF($B$11="الكل",1, INT((DAY('ادخال البيانات'!$N$3:$N$1164)-1)/7)+1 = VALUE($B$11))),
            'ادخال البيانات'!$J$3:$J$1164
         ),
         ""
      ),
      IF(_xlpm.result="", "", _xlpm.result)
   )
)</f>
        <v/>
      </c>
      <c r="K628" s="27" t="str" cm="1">
        <f t="array" ref="K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8" s="27" t="str" cm="1">
        <f t="array" ref="L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8" s="27" t="str" cm="1">
        <f t="array" ref="M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8" s="28" t="str" cm="1">
        <f t="array" ref="N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8" s="28" t="str" cm="1">
        <f t="array" ref="O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8" s="27" t="str" cm="1">
        <f t="array" ref="P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Table8[جهة العطل]
         ),
         ""
      ),
      IF(_xlpm.result="", "", _xlpm.result)
   )
)</f>
        <v/>
      </c>
      <c r="Q628" s="27" t="str" cm="1">
        <f t="array" ref="Q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Table8[المركز]
         ),
         ""
      ),
      IF(_xlpm.result="", "", _xlpm.result)
   )
)</f>
        <v/>
      </c>
      <c r="R628" s="27" t="str" cm="1">
        <f t="array" ref="R628">IF(
   A628="",
   "",
   _xlfn.LET(
      _xlpm.result,
      IFERROR(
         _xlfn.XLOOKUP(
            1,
            (Table8[رقم الصنف]=A628) *
            (IF($B$9="الكل",1, YEAR('ادخال البيانات'!$N$3:$N$1164) = VALUE($B$9))) *
            (IF($B$10="الكل",1, MONTH('ادخال البيانات'!$N$3:$N$1164) = VALUE($B$10))) *
            (IF($B$11="الكل",1, INT((DAY('ادخال البيانات'!$N$3:$N$1164) - 1) / 7) + 1 = VALUE($B$11))),
            Table8[ملاحظة]
         ),
         ""
      ),
      IF(_xlpm.result="", "", _xlpm.result)
   )
)</f>
        <v/>
      </c>
      <c r="S628" s="46" t="str">
        <f t="shared" ca="1" si="10"/>
        <v/>
      </c>
    </row>
    <row r="629" spans="1:19" ht="27.75" customHeight="1" thickTop="1" thickBot="1" x14ac:dyDescent="0.35">
      <c r="A629" s="39"/>
      <c r="B629" s="27" t="str" cm="1">
        <f t="array" ref="B629">IF(
   OR(A629="", $B$9="", $B$10="", $B$11=""),
   "",
   _xlfn.LET(
      _xlpm.result,
      IFERROR(
         _xlfn.XLOOKUP(
            1,
            (Table8[رقم الصنف]=A629)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29" s="27" t="str" cm="1">
        <f t="array" ref="C629">IF(
   A629="",
   "",
   _xlfn.LET(
      _xlpm.result,
      IFERROR(
         _xlfn.XLOOKUP(
            1,
            (Table8[رقم الصنف]=A629) *
            (IF($B$9="الكل",1, YEAR('ادخال البيانات'!$N$3:$N$1164) = VALUE($B$9))) *
            (IF($B$10="الكل",1, MONTH('ادخال البيانات'!$N$3:$N$1164) = VALUE($B$10))) *
            (IF($B$11="الكل",1, INT((DAY('ادخال البيانات'!$N$3:$N$1164)-1)/7)+1 = VALUE($B$11))),
            'ادخال البيانات'!$C$3:$C$1164
         ),
         ""
      ),
      IF(_xlpm.result="", "", _xlpm.result)
   )
)</f>
        <v/>
      </c>
      <c r="D629" s="27" t="str" cm="1">
        <f t="array" ref="D629">IF(
   OR(A629="", $B$9="", $B$10="", $B$11=""),
   "",
   _xlfn.LET(
      _xlpm.result,
      IFERROR(
         _xlfn.XLOOKUP(
            1,
            (Table8[رقم الصنف]=A629) *
            (IF($B$9="الكل",1, YEAR('ادخال البيانات'!$N$3:$N$1164)=VALUE($B$9))) *
            (IF($B$10="الكل",1, MONTH('ادخال البيانات'!$N$3:$N$1164)=VALUE($B$10))) *
            (IF($B$11="الكل",1, INT((DAY('ادخال البيانات'!$N$3:$N$1164)-1)/7)+1 = VALUE($B$11))),
            'ادخال البيانات'!$D$3:$D$1164
         ),
         ""
      ),
      IF(_xlpm.result="", "", _xlpm.result)
   )
)</f>
        <v/>
      </c>
      <c r="E629" s="27" t="str" cm="1">
        <f t="array" ref="E629">IF(
   A629="",
   "",
   _xlfn.LET(
      _xlpm.result,
      IFERROR(
         _xlfn.XLOOKUP(
            1,
            (Table8[رقم الصنف]=A629) *
            (IF($B$9="الكل",1, YEAR('ادخال البيانات'!$N$3:$N$1164)=VALUE($B$9))) *
            (IF($B$10="الكل",1, MONTH('ادخال البيانات'!$N$3:$N$1164)=VALUE($B$10))) *
            (IF($B$11="الكل",1, INT((DAY('ادخال البيانات'!$N$3:$N$1164)-1)/7)+1 = VALUE($B$11))),
            'ادخال البيانات'!$E$3:$E$1164
         ),
         ""
      ),
      IF(_xlpm.result="", "", _xlpm.result)
   )
)</f>
        <v/>
      </c>
      <c r="F629" s="27" t="str" cm="1">
        <f t="array" ref="F629">IF(
   A629="",
   "",
   _xlfn.LET(
      _xlpm.result,
      IFERROR(
         _xlfn.XLOOKUP(
            1,
            (Table8[رقم الصنف]=A629) *
            (IF($B$9="الكل",1, YEAR('ادخال البيانات'!$N$3:$N$1164) = VALUE($B$9))) *
            (IF($B$10="الكل",1, MONTH('ادخال البيانات'!$N$3:$N$1164) = VALUE($B$10))) *
            (IF($B$11="الكل",1, INT((DAY('ادخال البيانات'!$N$3:$N$1164)-1)/7)+1 = VALUE($B$11))),
            'ادخال البيانات'!$F$3:$F$1164
         ),
         ""
      ),
      IF(_xlpm.result="", "", _xlpm.result)
   )
)</f>
        <v/>
      </c>
      <c r="G629" s="27" t="str" cm="1">
        <f t="array" ref="G629">IF(
   A629="",
   "",
   _xlfn.LET(
      _xlpm.result,
      IFERROR(
         _xlfn.XLOOKUP(
            1,
            (Table8[رقم الصنف]=A629) *
            (IF($B$9="الكل",1, YEAR('ادخال البيانات'!$N$3:$N$1164)=VALUE($B$9))) *
            (IF($B$10="الكل",1, MONTH('ادخال البيانات'!$N$3:$N$1164)=VALUE($B$10))) *
            (IF($B$11="الكل",1, INT((DAY('ادخال البيانات'!$N$3:$N$1164)-1)/7)+1 = VALUE($B$11))),
            'ادخال البيانات'!$G$3:$G$1164
         ),
         ""
      ),
      IF(_xlpm.result="", "", _xlpm.result)
   )
)</f>
        <v/>
      </c>
      <c r="H629" s="27" t="str" cm="1">
        <f t="array" ref="H629">IF(
   A629="",
   "",
   _xlfn.LET(
      _xlpm.result,
      IFERROR(
         _xlfn.XLOOKUP(
            1,
            (Table8[رقم الصنف]=A629) *
            (IF($B$9="الكل",1, YEAR('ادخال البيانات'!$N$3:$N$1164)=VALUE($B$9))) *
            (IF($B$10="الكل",1, MONTH('ادخال البيانات'!$N$3:$N$1164)=VALUE($B$10))) *
            (IF($B$11="الكل",1, INT((DAY('ادخال البيانات'!$N$3:$N$1164)-1)/7)+1 = VALUE($B$11))),
            'ادخال البيانات'!$H$3:$H$1164
         ),
         ""
      ),
      IF(_xlpm.result="", "", _xlpm.result)
   )
)</f>
        <v/>
      </c>
      <c r="I629" s="27" t="str" cm="1">
        <f t="array" ref="I629">IF(
   A629="",
   "",
   _xlfn.LET(
      _xlpm.result,
      IFERROR(
         _xlfn.XLOOKUP(
            1,
            (Table8[رقم الصنف]=A629) *
            (IF($B$9="الكل",1, YEAR('ادخال البيانات'!$N$3:$N$1164)=VALUE($B$9))) *
            (IF($B$10="الكل",1, MONTH('ادخال البيانات'!$N$3:$N$1164)=VALUE($B$10))) *
            (IF($B$11="الكل",1, INT((DAY('ادخال البيانات'!$N$3:$N$1164)-1)/7)+1 = VALUE($B$11))),
            'ادخال البيانات'!$I$3:$I$1164
         ),
         ""
      ),
      IF(_xlpm.result="", "", _xlpm.result)
   )
)</f>
        <v/>
      </c>
      <c r="J629" s="27" t="str" cm="1">
        <f t="array" ref="J629">IF(
   A629="",
   "",
   _xlfn.LET(
      _xlpm.result,
      IFERROR(
         _xlfn.XLOOKUP(
            1,
            (Table8[رقم الصنف]=A629) *
            (IF($B$9="الكل",1, YEAR('ادخال البيانات'!$N$3:$N$1164)=VALUE($B$9))) *
            (IF($B$10="الكل",1, MONTH('ادخال البيانات'!$N$3:$N$1164)=VALUE($B$10))) *
            (IF($B$11="الكل",1, INT((DAY('ادخال البيانات'!$N$3:$N$1164)-1)/7)+1 = VALUE($B$11))),
            'ادخال البيانات'!$J$3:$J$1164
         ),
         ""
      ),
      IF(_xlpm.result="", "", _xlpm.result)
   )
)</f>
        <v/>
      </c>
      <c r="K629" s="27" t="str" cm="1">
        <f t="array" ref="K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29" s="27" t="str" cm="1">
        <f t="array" ref="L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29" s="27" t="str" cm="1">
        <f t="array" ref="M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29" s="28" t="str" cm="1">
        <f t="array" ref="N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29" s="28" t="str" cm="1">
        <f t="array" ref="O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29" s="27" t="str" cm="1">
        <f t="array" ref="P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Table8[جهة العطل]
         ),
         ""
      ),
      IF(_xlpm.result="", "", _xlpm.result)
   )
)</f>
        <v/>
      </c>
      <c r="Q629" s="27" t="str" cm="1">
        <f t="array" ref="Q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Table8[المركز]
         ),
         ""
      ),
      IF(_xlpm.result="", "", _xlpm.result)
   )
)</f>
        <v/>
      </c>
      <c r="R629" s="27" t="str" cm="1">
        <f t="array" ref="R629">IF(
   A629="",
   "",
   _xlfn.LET(
      _xlpm.result,
      IFERROR(
         _xlfn.XLOOKUP(
            1,
            (Table8[رقم الصنف]=A629) *
            (IF($B$9="الكل",1, YEAR('ادخال البيانات'!$N$3:$N$1164) = VALUE($B$9))) *
            (IF($B$10="الكل",1, MONTH('ادخال البيانات'!$N$3:$N$1164) = VALUE($B$10))) *
            (IF($B$11="الكل",1, INT((DAY('ادخال البيانات'!$N$3:$N$1164) - 1) / 7) + 1 = VALUE($B$11))),
            Table8[ملاحظة]
         ),
         ""
      ),
      IF(_xlpm.result="", "", _xlpm.result)
   )
)</f>
        <v/>
      </c>
      <c r="S629" s="46" t="str">
        <f t="shared" ca="1" si="10"/>
        <v/>
      </c>
    </row>
    <row r="630" spans="1:19" ht="27.75" customHeight="1" thickTop="1" thickBot="1" x14ac:dyDescent="0.35">
      <c r="A630" s="39"/>
      <c r="B630" s="27" t="str" cm="1">
        <f t="array" ref="B630">IF(
   OR(A630="", $B$9="", $B$10="", $B$11=""),
   "",
   _xlfn.LET(
      _xlpm.result,
      IFERROR(
         _xlfn.XLOOKUP(
            1,
            (Table8[رقم الصنف]=A630)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0" s="27" t="str" cm="1">
        <f t="array" ref="C630">IF(
   A630="",
   "",
   _xlfn.LET(
      _xlpm.result,
      IFERROR(
         _xlfn.XLOOKUP(
            1,
            (Table8[رقم الصنف]=A630) *
            (IF($B$9="الكل",1, YEAR('ادخال البيانات'!$N$3:$N$1164) = VALUE($B$9))) *
            (IF($B$10="الكل",1, MONTH('ادخال البيانات'!$N$3:$N$1164) = VALUE($B$10))) *
            (IF($B$11="الكل",1, INT((DAY('ادخال البيانات'!$N$3:$N$1164)-1)/7)+1 = VALUE($B$11))),
            'ادخال البيانات'!$C$3:$C$1164
         ),
         ""
      ),
      IF(_xlpm.result="", "", _xlpm.result)
   )
)</f>
        <v/>
      </c>
      <c r="D630" s="27" t="str" cm="1">
        <f t="array" ref="D630">IF(
   OR(A630="", $B$9="", $B$10="", $B$11=""),
   "",
   _xlfn.LET(
      _xlpm.result,
      IFERROR(
         _xlfn.XLOOKUP(
            1,
            (Table8[رقم الصنف]=A630) *
            (IF($B$9="الكل",1, YEAR('ادخال البيانات'!$N$3:$N$1164)=VALUE($B$9))) *
            (IF($B$10="الكل",1, MONTH('ادخال البيانات'!$N$3:$N$1164)=VALUE($B$10))) *
            (IF($B$11="الكل",1, INT((DAY('ادخال البيانات'!$N$3:$N$1164)-1)/7)+1 = VALUE($B$11))),
            'ادخال البيانات'!$D$3:$D$1164
         ),
         ""
      ),
      IF(_xlpm.result="", "", _xlpm.result)
   )
)</f>
        <v/>
      </c>
      <c r="E630" s="27" t="str" cm="1">
        <f t="array" ref="E630">IF(
   A630="",
   "",
   _xlfn.LET(
      _xlpm.result,
      IFERROR(
         _xlfn.XLOOKUP(
            1,
            (Table8[رقم الصنف]=A630) *
            (IF($B$9="الكل",1, YEAR('ادخال البيانات'!$N$3:$N$1164)=VALUE($B$9))) *
            (IF($B$10="الكل",1, MONTH('ادخال البيانات'!$N$3:$N$1164)=VALUE($B$10))) *
            (IF($B$11="الكل",1, INT((DAY('ادخال البيانات'!$N$3:$N$1164)-1)/7)+1 = VALUE($B$11))),
            'ادخال البيانات'!$E$3:$E$1164
         ),
         ""
      ),
      IF(_xlpm.result="", "", _xlpm.result)
   )
)</f>
        <v/>
      </c>
      <c r="F630" s="27" t="str" cm="1">
        <f t="array" ref="F630">IF(
   A630="",
   "",
   _xlfn.LET(
      _xlpm.result,
      IFERROR(
         _xlfn.XLOOKUP(
            1,
            (Table8[رقم الصنف]=A630) *
            (IF($B$9="الكل",1, YEAR('ادخال البيانات'!$N$3:$N$1164) = VALUE($B$9))) *
            (IF($B$10="الكل",1, MONTH('ادخال البيانات'!$N$3:$N$1164) = VALUE($B$10))) *
            (IF($B$11="الكل",1, INT((DAY('ادخال البيانات'!$N$3:$N$1164)-1)/7)+1 = VALUE($B$11))),
            'ادخال البيانات'!$F$3:$F$1164
         ),
         ""
      ),
      IF(_xlpm.result="", "", _xlpm.result)
   )
)</f>
        <v/>
      </c>
      <c r="G630" s="27" t="str" cm="1">
        <f t="array" ref="G630">IF(
   A630="",
   "",
   _xlfn.LET(
      _xlpm.result,
      IFERROR(
         _xlfn.XLOOKUP(
            1,
            (Table8[رقم الصنف]=A630) *
            (IF($B$9="الكل",1, YEAR('ادخال البيانات'!$N$3:$N$1164)=VALUE($B$9))) *
            (IF($B$10="الكل",1, MONTH('ادخال البيانات'!$N$3:$N$1164)=VALUE($B$10))) *
            (IF($B$11="الكل",1, INT((DAY('ادخال البيانات'!$N$3:$N$1164)-1)/7)+1 = VALUE($B$11))),
            'ادخال البيانات'!$G$3:$G$1164
         ),
         ""
      ),
      IF(_xlpm.result="", "", _xlpm.result)
   )
)</f>
        <v/>
      </c>
      <c r="H630" s="27" t="str" cm="1">
        <f t="array" ref="H630">IF(
   A630="",
   "",
   _xlfn.LET(
      _xlpm.result,
      IFERROR(
         _xlfn.XLOOKUP(
            1,
            (Table8[رقم الصنف]=A630) *
            (IF($B$9="الكل",1, YEAR('ادخال البيانات'!$N$3:$N$1164)=VALUE($B$9))) *
            (IF($B$10="الكل",1, MONTH('ادخال البيانات'!$N$3:$N$1164)=VALUE($B$10))) *
            (IF($B$11="الكل",1, INT((DAY('ادخال البيانات'!$N$3:$N$1164)-1)/7)+1 = VALUE($B$11))),
            'ادخال البيانات'!$H$3:$H$1164
         ),
         ""
      ),
      IF(_xlpm.result="", "", _xlpm.result)
   )
)</f>
        <v/>
      </c>
      <c r="I630" s="27" t="str" cm="1">
        <f t="array" ref="I630">IF(
   A630="",
   "",
   _xlfn.LET(
      _xlpm.result,
      IFERROR(
         _xlfn.XLOOKUP(
            1,
            (Table8[رقم الصنف]=A630) *
            (IF($B$9="الكل",1, YEAR('ادخال البيانات'!$N$3:$N$1164)=VALUE($B$9))) *
            (IF($B$10="الكل",1, MONTH('ادخال البيانات'!$N$3:$N$1164)=VALUE($B$10))) *
            (IF($B$11="الكل",1, INT((DAY('ادخال البيانات'!$N$3:$N$1164)-1)/7)+1 = VALUE($B$11))),
            'ادخال البيانات'!$I$3:$I$1164
         ),
         ""
      ),
      IF(_xlpm.result="", "", _xlpm.result)
   )
)</f>
        <v/>
      </c>
      <c r="J630" s="27" t="str" cm="1">
        <f t="array" ref="J630">IF(
   A630="",
   "",
   _xlfn.LET(
      _xlpm.result,
      IFERROR(
         _xlfn.XLOOKUP(
            1,
            (Table8[رقم الصنف]=A630) *
            (IF($B$9="الكل",1, YEAR('ادخال البيانات'!$N$3:$N$1164)=VALUE($B$9))) *
            (IF($B$10="الكل",1, MONTH('ادخال البيانات'!$N$3:$N$1164)=VALUE($B$10))) *
            (IF($B$11="الكل",1, INT((DAY('ادخال البيانات'!$N$3:$N$1164)-1)/7)+1 = VALUE($B$11))),
            'ادخال البيانات'!$J$3:$J$1164
         ),
         ""
      ),
      IF(_xlpm.result="", "", _xlpm.result)
   )
)</f>
        <v/>
      </c>
      <c r="K630" s="27" t="str" cm="1">
        <f t="array" ref="K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0" s="27" t="str" cm="1">
        <f t="array" ref="L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0" s="27" t="str" cm="1">
        <f t="array" ref="M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0" s="28" t="str" cm="1">
        <f t="array" ref="N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0" s="28" t="str" cm="1">
        <f t="array" ref="O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0" s="27" t="str" cm="1">
        <f t="array" ref="P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Table8[جهة العطل]
         ),
         ""
      ),
      IF(_xlpm.result="", "", _xlpm.result)
   )
)</f>
        <v/>
      </c>
      <c r="Q630" s="27" t="str" cm="1">
        <f t="array" ref="Q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Table8[المركز]
         ),
         ""
      ),
      IF(_xlpm.result="", "", _xlpm.result)
   )
)</f>
        <v/>
      </c>
      <c r="R630" s="27" t="str" cm="1">
        <f t="array" ref="R630">IF(
   A630="",
   "",
   _xlfn.LET(
      _xlpm.result,
      IFERROR(
         _xlfn.XLOOKUP(
            1,
            (Table8[رقم الصنف]=A630) *
            (IF($B$9="الكل",1, YEAR('ادخال البيانات'!$N$3:$N$1164) = VALUE($B$9))) *
            (IF($B$10="الكل",1, MONTH('ادخال البيانات'!$N$3:$N$1164) = VALUE($B$10))) *
            (IF($B$11="الكل",1, INT((DAY('ادخال البيانات'!$N$3:$N$1164) - 1) / 7) + 1 = VALUE($B$11))),
            Table8[ملاحظة]
         ),
         ""
      ),
      IF(_xlpm.result="", "", _xlpm.result)
   )
)</f>
        <v/>
      </c>
      <c r="S630" s="46" t="str">
        <f t="shared" ca="1" si="10"/>
        <v/>
      </c>
    </row>
    <row r="631" spans="1:19" ht="27.75" customHeight="1" thickTop="1" thickBot="1" x14ac:dyDescent="0.35">
      <c r="A631" s="39"/>
      <c r="B631" s="27" t="str" cm="1">
        <f t="array" ref="B631">IF(
   OR(A631="", $B$9="", $B$10="", $B$11=""),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1" s="27" t="str" cm="1">
        <f t="array" ref="C631">IF(
   A631="",
   "",
   _xlfn.LET(
      _xlpm.result,
      IFERROR(
         _xlfn.XLOOKUP(
            1,
            (Table8[رقم الصنف]=A631) *
            (IF($B$9="الكل",1, YEAR('ادخال البيانات'!$N$3:$N$1164) = VALUE($B$9))) *
            (IF($B$10="الكل",1, MONTH('ادخال البيانات'!$N$3:$N$1164) = VALUE($B$10))) *
            (IF($B$11="الكل",1, INT((DAY('ادخال البيانات'!$N$3:$N$1164)-1)/7)+1 = VALUE($B$11))),
            'ادخال البيانات'!$C$3:$C$1164
         ),
         ""
      ),
      IF(_xlpm.result="", "", _xlpm.result)
   )
)</f>
        <v/>
      </c>
      <c r="D631" s="27" t="str" cm="1">
        <f t="array" ref="D631">IF(
   OR(A631="", $B$9="", $B$10="", $B$11=""),
   "",
   _xlfn.LET(
      _xlpm.result,
      IFERROR(
         _xlfn.XLOOKUP(
            1,
            (Table8[رقم الصنف]=A631) *
            (IF($B$9="الكل",1, YEAR('ادخال البيانات'!$N$3:$N$1164)=VALUE($B$9))) *
            (IF($B$10="الكل",1, MONTH('ادخال البيانات'!$N$3:$N$1164)=VALUE($B$10))) *
            (IF($B$11="الكل",1, INT((DAY('ادخال البيانات'!$N$3:$N$1164)-1)/7)+1 = VALUE($B$11))),
            'ادخال البيانات'!$D$3:$D$1164
         ),
         ""
      ),
      IF(_xlpm.result="", "", _xlpm.result)
   )
)</f>
        <v/>
      </c>
      <c r="E631" s="27" t="str" cm="1">
        <f t="array" ref="E631">IF(
   A631="",
   "",
   _xlfn.LET(
      _xlpm.result,
      IFERROR(
         _xlfn.XLOOKUP(
            1,
            (Table8[رقم الصنف]=A631) *
            (IF($B$9="الكل",1, YEAR('ادخال البيانات'!$N$3:$N$1164)=VALUE($B$9))) *
            (IF($B$10="الكل",1, MONTH('ادخال البيانات'!$N$3:$N$1164)=VALUE($B$10))) *
            (IF($B$11="الكل",1, INT((DAY('ادخال البيانات'!$N$3:$N$1164)-1)/7)+1 = VALUE($B$11))),
            'ادخال البيانات'!$E$3:$E$1164
         ),
         ""
      ),
      IF(_xlpm.result="", "", _xlpm.result)
   )
)</f>
        <v/>
      </c>
      <c r="F631" s="27" t="str" cm="1">
        <f t="array" ref="F631">IF(
   A631="",
   "",
   _xlfn.LET(
      _xlpm.result,
      IFERROR(
         _xlfn.XLOOKUP(
            1,
            (Table8[رقم الصنف]=A631) *
            (IF($B$9="الكل",1, YEAR('ادخال البيانات'!$N$3:$N$1164) = VALUE($B$9))) *
            (IF($B$10="الكل",1, MONTH('ادخال البيانات'!$N$3:$N$1164) = VALUE($B$10))) *
            (IF($B$11="الكل",1, INT((DAY('ادخال البيانات'!$N$3:$N$1164)-1)/7)+1 = VALUE($B$11))),
            'ادخال البيانات'!$F$3:$F$1164
         ),
         ""
      ),
      IF(_xlpm.result="", "", _xlpm.result)
   )
)</f>
        <v/>
      </c>
      <c r="G631" s="27" t="str" cm="1">
        <f t="array" ref="G631">IF(
   A631="",
   "",
   _xlfn.LET(
      _xlpm.result,
      IFERROR(
         _xlfn.XLOOKUP(
            1,
            (Table8[رقم الصنف]=A631) *
            (IF($B$9="الكل",1, YEAR('ادخال البيانات'!$N$3:$N$1164)=VALUE($B$9))) *
            (IF($B$10="الكل",1, MONTH('ادخال البيانات'!$N$3:$N$1164)=VALUE($B$10))) *
            (IF($B$11="الكل",1, INT((DAY('ادخال البيانات'!$N$3:$N$1164)-1)/7)+1 = VALUE($B$11))),
            'ادخال البيانات'!$G$3:$G$1164
         ),
         ""
      ),
      IF(_xlpm.result="", "", _xlpm.result)
   )
)</f>
        <v/>
      </c>
      <c r="H631" s="27" t="str" cm="1">
        <f t="array" ref="H631">IF(
   A631="",
   "",
   _xlfn.LET(
      _xlpm.result,
      IFERROR(
         _xlfn.XLOOKUP(
            1,
            (Table8[رقم الصنف]=A631) *
            (IF($B$9="الكل",1, YEAR('ادخال البيانات'!$N$3:$N$1164)=VALUE($B$9))) *
            (IF($B$10="الكل",1, MONTH('ادخال البيانات'!$N$3:$N$1164)=VALUE($B$10))) *
            (IF($B$11="الكل",1, INT((DAY('ادخال البيانات'!$N$3:$N$1164)-1)/7)+1 = VALUE($B$11))),
            'ادخال البيانات'!$H$3:$H$1164
         ),
         ""
      ),
      IF(_xlpm.result="", "", _xlpm.result)
   )
)</f>
        <v/>
      </c>
      <c r="I631" s="27" t="str" cm="1">
        <f t="array" ref="I631">IF(
   A631="",
   "",
   _xlfn.LET(
      _xlpm.result,
      IFERROR(
         _xlfn.XLOOKUP(
            1,
            (Table8[رقم الصنف]=A631) *
            (IF($B$9="الكل",1, YEAR('ادخال البيانات'!$N$3:$N$1164)=VALUE($B$9))) *
            (IF($B$10="الكل",1, MONTH('ادخال البيانات'!$N$3:$N$1164)=VALUE($B$10))) *
            (IF($B$11="الكل",1, INT((DAY('ادخال البيانات'!$N$3:$N$1164)-1)/7)+1 = VALUE($B$11))),
            'ادخال البيانات'!$I$3:$I$1164
         ),
         ""
      ),
      IF(_xlpm.result="", "", _xlpm.result)
   )
)</f>
        <v/>
      </c>
      <c r="J631" s="27" t="str" cm="1">
        <f t="array" ref="J631">IF(
   A631="",
   "",
   _xlfn.LET(
      _xlpm.result,
      IFERROR(
         _xlfn.XLOOKUP(
            1,
            (Table8[رقم الصنف]=A631) *
            (IF($B$9="الكل",1, YEAR('ادخال البيانات'!$N$3:$N$1164)=VALUE($B$9))) *
            (IF($B$10="الكل",1, MONTH('ادخال البيانات'!$N$3:$N$1164)=VALUE($B$10))) *
            (IF($B$11="الكل",1, INT((DAY('ادخال البيانات'!$N$3:$N$1164)-1)/7)+1 = VALUE($B$11))),
            'ادخال البيانات'!$J$3:$J$1164
         ),
         ""
      ),
      IF(_xlpm.result="", "", _xlpm.result)
   )
)</f>
        <v/>
      </c>
      <c r="K631" s="27" t="str" cm="1">
        <f t="array" ref="K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1" s="27" t="str" cm="1">
        <f t="array" ref="L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1" s="27" t="str" cm="1">
        <f t="array" ref="M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1" s="28" t="str" cm="1">
        <f t="array" ref="N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1" s="28" t="str" cm="1">
        <f t="array" ref="O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1" s="27" t="str" cm="1">
        <f t="array" ref="P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Table8[جهة العطل]
         ),
         ""
      ),
      IF(_xlpm.result="", "", _xlpm.result)
   )
)</f>
        <v/>
      </c>
      <c r="Q631" s="27" t="str" cm="1">
        <f t="array" ref="Q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Table8[المركز]
         ),
         ""
      ),
      IF(_xlpm.result="", "", _xlpm.result)
   )
)</f>
        <v/>
      </c>
      <c r="R631" s="27" t="str" cm="1">
        <f t="array" ref="R631">IF(
   A631="",
   "",
   _xlfn.LET(
      _xlpm.result,
      IFERROR(
         _xlfn.XLOOKUP(
            1,
            (Table8[رقم الصنف]=A631) *
            (IF($B$9="الكل",1, YEAR('ادخال البيانات'!$N$3:$N$1164) = VALUE($B$9))) *
            (IF($B$10="الكل",1, MONTH('ادخال البيانات'!$N$3:$N$1164) = VALUE($B$10))) *
            (IF($B$11="الكل",1, INT((DAY('ادخال البيانات'!$N$3:$N$1164) - 1) / 7) + 1 = VALUE($B$11))),
            Table8[ملاحظة]
         ),
         ""
      ),
      IF(_xlpm.result="", "", _xlpm.result)
   )
)</f>
        <v/>
      </c>
      <c r="S631" s="46" t="str">
        <f t="shared" ca="1" si="10"/>
        <v/>
      </c>
    </row>
    <row r="632" spans="1:19" ht="27.75" customHeight="1" thickTop="1" thickBot="1" x14ac:dyDescent="0.35">
      <c r="A632" s="39"/>
      <c r="B632" s="27" t="str" cm="1">
        <f t="array" ref="B632">IF(
   OR(A632="", $B$9="", $B$10="", $B$11=""),
   "",
   _xlfn.LET(
      _xlpm.result,
      IFERROR(
         _xlfn.XLOOKUP(
            1,
            (Table8[رقم الصنف]=A632)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2" s="27" t="str" cm="1">
        <f t="array" ref="C632">IF(
   A632="",
   "",
   _xlfn.LET(
      _xlpm.result,
      IFERROR(
         _xlfn.XLOOKUP(
            1,
            (Table8[رقم الصنف]=A632) *
            (IF($B$9="الكل",1, YEAR('ادخال البيانات'!$N$3:$N$1164) = VALUE($B$9))) *
            (IF($B$10="الكل",1, MONTH('ادخال البيانات'!$N$3:$N$1164) = VALUE($B$10))) *
            (IF($B$11="الكل",1, INT((DAY('ادخال البيانات'!$N$3:$N$1164)-1)/7)+1 = VALUE($B$11))),
            'ادخال البيانات'!$C$3:$C$1164
         ),
         ""
      ),
      IF(_xlpm.result="", "", _xlpm.result)
   )
)</f>
        <v/>
      </c>
      <c r="D632" s="27" t="str" cm="1">
        <f t="array" ref="D632">IF(
   OR(A632="", $B$9="", $B$10="", $B$11=""),
   "",
   _xlfn.LET(
      _xlpm.result,
      IFERROR(
         _xlfn.XLOOKUP(
            1,
            (Table8[رقم الصنف]=A632) *
            (IF($B$9="الكل",1, YEAR('ادخال البيانات'!$N$3:$N$1164)=VALUE($B$9))) *
            (IF($B$10="الكل",1, MONTH('ادخال البيانات'!$N$3:$N$1164)=VALUE($B$10))) *
            (IF($B$11="الكل",1, INT((DAY('ادخال البيانات'!$N$3:$N$1164)-1)/7)+1 = VALUE($B$11))),
            'ادخال البيانات'!$D$3:$D$1164
         ),
         ""
      ),
      IF(_xlpm.result="", "", _xlpm.result)
   )
)</f>
        <v/>
      </c>
      <c r="E632" s="27" t="str" cm="1">
        <f t="array" ref="E632">IF(
   A632="",
   "",
   _xlfn.LET(
      _xlpm.result,
      IFERROR(
         _xlfn.XLOOKUP(
            1,
            (Table8[رقم الصنف]=A632) *
            (IF($B$9="الكل",1, YEAR('ادخال البيانات'!$N$3:$N$1164)=VALUE($B$9))) *
            (IF($B$10="الكل",1, MONTH('ادخال البيانات'!$N$3:$N$1164)=VALUE($B$10))) *
            (IF($B$11="الكل",1, INT((DAY('ادخال البيانات'!$N$3:$N$1164)-1)/7)+1 = VALUE($B$11))),
            'ادخال البيانات'!$E$3:$E$1164
         ),
         ""
      ),
      IF(_xlpm.result="", "", _xlpm.result)
   )
)</f>
        <v/>
      </c>
      <c r="F632" s="27" t="str" cm="1">
        <f t="array" ref="F632">IF(
   A632="",
   "",
   _xlfn.LET(
      _xlpm.result,
      IFERROR(
         _xlfn.XLOOKUP(
            1,
            (Table8[رقم الصنف]=A632) *
            (IF($B$9="الكل",1, YEAR('ادخال البيانات'!$N$3:$N$1164) = VALUE($B$9))) *
            (IF($B$10="الكل",1, MONTH('ادخال البيانات'!$N$3:$N$1164) = VALUE($B$10))) *
            (IF($B$11="الكل",1, INT((DAY('ادخال البيانات'!$N$3:$N$1164)-1)/7)+1 = VALUE($B$11))),
            'ادخال البيانات'!$F$3:$F$1164
         ),
         ""
      ),
      IF(_xlpm.result="", "", _xlpm.result)
   )
)</f>
        <v/>
      </c>
      <c r="G632" s="27" t="str" cm="1">
        <f t="array" ref="G632">IF(
   A632="",
   "",
   _xlfn.LET(
      _xlpm.result,
      IFERROR(
         _xlfn.XLOOKUP(
            1,
            (Table8[رقم الصنف]=A632) *
            (IF($B$9="الكل",1, YEAR('ادخال البيانات'!$N$3:$N$1164)=VALUE($B$9))) *
            (IF($B$10="الكل",1, MONTH('ادخال البيانات'!$N$3:$N$1164)=VALUE($B$10))) *
            (IF($B$11="الكل",1, INT((DAY('ادخال البيانات'!$N$3:$N$1164)-1)/7)+1 = VALUE($B$11))),
            'ادخال البيانات'!$G$3:$G$1164
         ),
         ""
      ),
      IF(_xlpm.result="", "", _xlpm.result)
   )
)</f>
        <v/>
      </c>
      <c r="H632" s="27" t="str" cm="1">
        <f t="array" ref="H632">IF(
   A632="",
   "",
   _xlfn.LET(
      _xlpm.result,
      IFERROR(
         _xlfn.XLOOKUP(
            1,
            (Table8[رقم الصنف]=A632) *
            (IF($B$9="الكل",1, YEAR('ادخال البيانات'!$N$3:$N$1164)=VALUE($B$9))) *
            (IF($B$10="الكل",1, MONTH('ادخال البيانات'!$N$3:$N$1164)=VALUE($B$10))) *
            (IF($B$11="الكل",1, INT((DAY('ادخال البيانات'!$N$3:$N$1164)-1)/7)+1 = VALUE($B$11))),
            'ادخال البيانات'!$H$3:$H$1164
         ),
         ""
      ),
      IF(_xlpm.result="", "", _xlpm.result)
   )
)</f>
        <v/>
      </c>
      <c r="I632" s="27" t="str" cm="1">
        <f t="array" ref="I632">IF(
   A632="",
   "",
   _xlfn.LET(
      _xlpm.result,
      IFERROR(
         _xlfn.XLOOKUP(
            1,
            (Table8[رقم الصنف]=A632) *
            (IF($B$9="الكل",1, YEAR('ادخال البيانات'!$N$3:$N$1164)=VALUE($B$9))) *
            (IF($B$10="الكل",1, MONTH('ادخال البيانات'!$N$3:$N$1164)=VALUE($B$10))) *
            (IF($B$11="الكل",1, INT((DAY('ادخال البيانات'!$N$3:$N$1164)-1)/7)+1 = VALUE($B$11))),
            'ادخال البيانات'!$I$3:$I$1164
         ),
         ""
      ),
      IF(_xlpm.result="", "", _xlpm.result)
   )
)</f>
        <v/>
      </c>
      <c r="J632" s="27" t="str" cm="1">
        <f t="array" ref="J632">IF(
   A632="",
   "",
   _xlfn.LET(
      _xlpm.result,
      IFERROR(
         _xlfn.XLOOKUP(
            1,
            (Table8[رقم الصنف]=A632) *
            (IF($B$9="الكل",1, YEAR('ادخال البيانات'!$N$3:$N$1164)=VALUE($B$9))) *
            (IF($B$10="الكل",1, MONTH('ادخال البيانات'!$N$3:$N$1164)=VALUE($B$10))) *
            (IF($B$11="الكل",1, INT((DAY('ادخال البيانات'!$N$3:$N$1164)-1)/7)+1 = VALUE($B$11))),
            'ادخال البيانات'!$J$3:$J$1164
         ),
         ""
      ),
      IF(_xlpm.result="", "", _xlpm.result)
   )
)</f>
        <v/>
      </c>
      <c r="K632" s="27" t="str" cm="1">
        <f t="array" ref="K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2" s="27" t="str" cm="1">
        <f t="array" ref="L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2" s="27" t="str" cm="1">
        <f t="array" ref="M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2" s="28" t="str" cm="1">
        <f t="array" ref="N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2" s="28" t="str" cm="1">
        <f t="array" ref="O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2" s="27" t="str" cm="1">
        <f t="array" ref="P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Table8[جهة العطل]
         ),
         ""
      ),
      IF(_xlpm.result="", "", _xlpm.result)
   )
)</f>
        <v/>
      </c>
      <c r="Q632" s="27" t="str" cm="1">
        <f t="array" ref="Q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Table8[المركز]
         ),
         ""
      ),
      IF(_xlpm.result="", "", _xlpm.result)
   )
)</f>
        <v/>
      </c>
      <c r="R632" s="27" t="str" cm="1">
        <f t="array" ref="R632">IF(
   A632="",
   "",
   _xlfn.LET(
      _xlpm.result,
      IFERROR(
         _xlfn.XLOOKUP(
            1,
            (Table8[رقم الصنف]=A632) *
            (IF($B$9="الكل",1, YEAR('ادخال البيانات'!$N$3:$N$1164) = VALUE($B$9))) *
            (IF($B$10="الكل",1, MONTH('ادخال البيانات'!$N$3:$N$1164) = VALUE($B$10))) *
            (IF($B$11="الكل",1, INT((DAY('ادخال البيانات'!$N$3:$N$1164) - 1) / 7) + 1 = VALUE($B$11))),
            Table8[ملاحظة]
         ),
         ""
      ),
      IF(_xlpm.result="", "", _xlpm.result)
   )
)</f>
        <v/>
      </c>
      <c r="S632" s="46" t="str">
        <f t="shared" ca="1" si="10"/>
        <v/>
      </c>
    </row>
    <row r="633" spans="1:19" ht="27.75" customHeight="1" thickTop="1" thickBot="1" x14ac:dyDescent="0.35">
      <c r="A633" s="39"/>
      <c r="B633" s="27" t="str" cm="1">
        <f t="array" ref="B633">IF(
   OR(A633="", $B$9="", $B$10="", $B$11=""),
   "",
   _xlfn.LET(
      _xlpm.result,
      IFERROR(
         _xlfn.XLOOKUP(
            1,
            (Table8[رقم الصنف]=A633)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3" s="27" t="str" cm="1">
        <f t="array" ref="C633">IF(
   A633="",
   "",
   _xlfn.LET(
      _xlpm.result,
      IFERROR(
         _xlfn.XLOOKUP(
            1,
            (Table8[رقم الصنف]=A633) *
            (IF($B$9="الكل",1, YEAR('ادخال البيانات'!$N$3:$N$1164) = VALUE($B$9))) *
            (IF($B$10="الكل",1, MONTH('ادخال البيانات'!$N$3:$N$1164) = VALUE($B$10))) *
            (IF($B$11="الكل",1, INT((DAY('ادخال البيانات'!$N$3:$N$1164)-1)/7)+1 = VALUE($B$11))),
            'ادخال البيانات'!$C$3:$C$1164
         ),
         ""
      ),
      IF(_xlpm.result="", "", _xlpm.result)
   )
)</f>
        <v/>
      </c>
      <c r="D633" s="27" t="str" cm="1">
        <f t="array" ref="D633">IF(
   OR(A633="", $B$9="", $B$10="", $B$11=""),
   "",
   _xlfn.LET(
      _xlpm.result,
      IFERROR(
         _xlfn.XLOOKUP(
            1,
            (Table8[رقم الصنف]=A633) *
            (IF($B$9="الكل",1, YEAR('ادخال البيانات'!$N$3:$N$1164)=VALUE($B$9))) *
            (IF($B$10="الكل",1, MONTH('ادخال البيانات'!$N$3:$N$1164)=VALUE($B$10))) *
            (IF($B$11="الكل",1, INT((DAY('ادخال البيانات'!$N$3:$N$1164)-1)/7)+1 = VALUE($B$11))),
            'ادخال البيانات'!$D$3:$D$1164
         ),
         ""
      ),
      IF(_xlpm.result="", "", _xlpm.result)
   )
)</f>
        <v/>
      </c>
      <c r="E633" s="27" t="str" cm="1">
        <f t="array" ref="E633">IF(
   A633="",
   "",
   _xlfn.LET(
      _xlpm.result,
      IFERROR(
         _xlfn.XLOOKUP(
            1,
            (Table8[رقم الصنف]=A633) *
            (IF($B$9="الكل",1, YEAR('ادخال البيانات'!$N$3:$N$1164)=VALUE($B$9))) *
            (IF($B$10="الكل",1, MONTH('ادخال البيانات'!$N$3:$N$1164)=VALUE($B$10))) *
            (IF($B$11="الكل",1, INT((DAY('ادخال البيانات'!$N$3:$N$1164)-1)/7)+1 = VALUE($B$11))),
            'ادخال البيانات'!$E$3:$E$1164
         ),
         ""
      ),
      IF(_xlpm.result="", "", _xlpm.result)
   )
)</f>
        <v/>
      </c>
      <c r="F633" s="27" t="str" cm="1">
        <f t="array" ref="F633">IF(
   A633="",
   "",
   _xlfn.LET(
      _xlpm.result,
      IFERROR(
         _xlfn.XLOOKUP(
            1,
            (Table8[رقم الصنف]=A633) *
            (IF($B$9="الكل",1, YEAR('ادخال البيانات'!$N$3:$N$1164) = VALUE($B$9))) *
            (IF($B$10="الكل",1, MONTH('ادخال البيانات'!$N$3:$N$1164) = VALUE($B$10))) *
            (IF($B$11="الكل",1, INT((DAY('ادخال البيانات'!$N$3:$N$1164)-1)/7)+1 = VALUE($B$11))),
            'ادخال البيانات'!$F$3:$F$1164
         ),
         ""
      ),
      IF(_xlpm.result="", "", _xlpm.result)
   )
)</f>
        <v/>
      </c>
      <c r="G633" s="27" t="str" cm="1">
        <f t="array" ref="G633">IF(
   A633="",
   "",
   _xlfn.LET(
      _xlpm.result,
      IFERROR(
         _xlfn.XLOOKUP(
            1,
            (Table8[رقم الصنف]=A633) *
            (IF($B$9="الكل",1, YEAR('ادخال البيانات'!$N$3:$N$1164)=VALUE($B$9))) *
            (IF($B$10="الكل",1, MONTH('ادخال البيانات'!$N$3:$N$1164)=VALUE($B$10))) *
            (IF($B$11="الكل",1, INT((DAY('ادخال البيانات'!$N$3:$N$1164)-1)/7)+1 = VALUE($B$11))),
            'ادخال البيانات'!$G$3:$G$1164
         ),
         ""
      ),
      IF(_xlpm.result="", "", _xlpm.result)
   )
)</f>
        <v/>
      </c>
      <c r="H633" s="27" t="str" cm="1">
        <f t="array" ref="H633">IF(
   A633="",
   "",
   _xlfn.LET(
      _xlpm.result,
      IFERROR(
         _xlfn.XLOOKUP(
            1,
            (Table8[رقم الصنف]=A633) *
            (IF($B$9="الكل",1, YEAR('ادخال البيانات'!$N$3:$N$1164)=VALUE($B$9))) *
            (IF($B$10="الكل",1, MONTH('ادخال البيانات'!$N$3:$N$1164)=VALUE($B$10))) *
            (IF($B$11="الكل",1, INT((DAY('ادخال البيانات'!$N$3:$N$1164)-1)/7)+1 = VALUE($B$11))),
            'ادخال البيانات'!$H$3:$H$1164
         ),
         ""
      ),
      IF(_xlpm.result="", "", _xlpm.result)
   )
)</f>
        <v/>
      </c>
      <c r="I633" s="27" t="str" cm="1">
        <f t="array" ref="I633">IF(
   A633="",
   "",
   _xlfn.LET(
      _xlpm.result,
      IFERROR(
         _xlfn.XLOOKUP(
            1,
            (Table8[رقم الصنف]=A633) *
            (IF($B$9="الكل",1, YEAR('ادخال البيانات'!$N$3:$N$1164)=VALUE($B$9))) *
            (IF($B$10="الكل",1, MONTH('ادخال البيانات'!$N$3:$N$1164)=VALUE($B$10))) *
            (IF($B$11="الكل",1, INT((DAY('ادخال البيانات'!$N$3:$N$1164)-1)/7)+1 = VALUE($B$11))),
            'ادخال البيانات'!$I$3:$I$1164
         ),
         ""
      ),
      IF(_xlpm.result="", "", _xlpm.result)
   )
)</f>
        <v/>
      </c>
      <c r="J633" s="27" t="str" cm="1">
        <f t="array" ref="J633">IF(
   A633="",
   "",
   _xlfn.LET(
      _xlpm.result,
      IFERROR(
         _xlfn.XLOOKUP(
            1,
            (Table8[رقم الصنف]=A633) *
            (IF($B$9="الكل",1, YEAR('ادخال البيانات'!$N$3:$N$1164)=VALUE($B$9))) *
            (IF($B$10="الكل",1, MONTH('ادخال البيانات'!$N$3:$N$1164)=VALUE($B$10))) *
            (IF($B$11="الكل",1, INT((DAY('ادخال البيانات'!$N$3:$N$1164)-1)/7)+1 = VALUE($B$11))),
            'ادخال البيانات'!$J$3:$J$1164
         ),
         ""
      ),
      IF(_xlpm.result="", "", _xlpm.result)
   )
)</f>
        <v/>
      </c>
      <c r="K633" s="27" t="str" cm="1">
        <f t="array" ref="K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3" s="27" t="str" cm="1">
        <f t="array" ref="L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3" s="27" t="str" cm="1">
        <f t="array" ref="M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3" s="28" t="str" cm="1">
        <f t="array" ref="N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3" s="28" t="str" cm="1">
        <f t="array" ref="O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3" s="27" t="str" cm="1">
        <f t="array" ref="P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Table8[جهة العطل]
         ),
         ""
      ),
      IF(_xlpm.result="", "", _xlpm.result)
   )
)</f>
        <v/>
      </c>
      <c r="Q633" s="27" t="str" cm="1">
        <f t="array" ref="Q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Table8[المركز]
         ),
         ""
      ),
      IF(_xlpm.result="", "", _xlpm.result)
   )
)</f>
        <v/>
      </c>
      <c r="R633" s="27" t="str" cm="1">
        <f t="array" ref="R633">IF(
   A633="",
   "",
   _xlfn.LET(
      _xlpm.result,
      IFERROR(
         _xlfn.XLOOKUP(
            1,
            (Table8[رقم الصنف]=A633) *
            (IF($B$9="الكل",1, YEAR('ادخال البيانات'!$N$3:$N$1164) = VALUE($B$9))) *
            (IF($B$10="الكل",1, MONTH('ادخال البيانات'!$N$3:$N$1164) = VALUE($B$10))) *
            (IF($B$11="الكل",1, INT((DAY('ادخال البيانات'!$N$3:$N$1164) - 1) / 7) + 1 = VALUE($B$11))),
            Table8[ملاحظة]
         ),
         ""
      ),
      IF(_xlpm.result="", "", _xlpm.result)
   )
)</f>
        <v/>
      </c>
      <c r="S633" s="46" t="str">
        <f t="shared" ca="1" si="10"/>
        <v/>
      </c>
    </row>
    <row r="634" spans="1:19" ht="27.75" customHeight="1" thickTop="1" thickBot="1" x14ac:dyDescent="0.35">
      <c r="A634" s="39"/>
      <c r="B634" s="27" t="str" cm="1">
        <f t="array" ref="B634">IF(
   OR(A634="", $B$9="", $B$10="", $B$11=""),
   "",
   _xlfn.LET(
      _xlpm.result,
      IFERROR(
         _xlfn.XLOOKUP(
            1,
            (Table8[رقم الصنف]=A634)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4" s="27" t="str" cm="1">
        <f t="array" ref="C634">IF(
   A634="",
   "",
   _xlfn.LET(
      _xlpm.result,
      IFERROR(
         _xlfn.XLOOKUP(
            1,
            (Table8[رقم الصنف]=A634) *
            (IF($B$9="الكل",1, YEAR('ادخال البيانات'!$N$3:$N$1164) = VALUE($B$9))) *
            (IF($B$10="الكل",1, MONTH('ادخال البيانات'!$N$3:$N$1164) = VALUE($B$10))) *
            (IF($B$11="الكل",1, INT((DAY('ادخال البيانات'!$N$3:$N$1164)-1)/7)+1 = VALUE($B$11))),
            'ادخال البيانات'!$C$3:$C$1164
         ),
         ""
      ),
      IF(_xlpm.result="", "", _xlpm.result)
   )
)</f>
        <v/>
      </c>
      <c r="D634" s="27" t="str" cm="1">
        <f t="array" ref="D634">IF(
   OR(A634="", $B$9="", $B$10="", $B$11=""),
   "",
   _xlfn.LET(
      _xlpm.result,
      IFERROR(
         _xlfn.XLOOKUP(
            1,
            (Table8[رقم الصنف]=A634) *
            (IF($B$9="الكل",1, YEAR('ادخال البيانات'!$N$3:$N$1164)=VALUE($B$9))) *
            (IF($B$10="الكل",1, MONTH('ادخال البيانات'!$N$3:$N$1164)=VALUE($B$10))) *
            (IF($B$11="الكل",1, INT((DAY('ادخال البيانات'!$N$3:$N$1164)-1)/7)+1 = VALUE($B$11))),
            'ادخال البيانات'!$D$3:$D$1164
         ),
         ""
      ),
      IF(_xlpm.result="", "", _xlpm.result)
   )
)</f>
        <v/>
      </c>
      <c r="E634" s="27" t="str" cm="1">
        <f t="array" ref="E634">IF(
   A634="",
   "",
   _xlfn.LET(
      _xlpm.result,
      IFERROR(
         _xlfn.XLOOKUP(
            1,
            (Table8[رقم الصنف]=A634) *
            (IF($B$9="الكل",1, YEAR('ادخال البيانات'!$N$3:$N$1164)=VALUE($B$9))) *
            (IF($B$10="الكل",1, MONTH('ادخال البيانات'!$N$3:$N$1164)=VALUE($B$10))) *
            (IF($B$11="الكل",1, INT((DAY('ادخال البيانات'!$N$3:$N$1164)-1)/7)+1 = VALUE($B$11))),
            'ادخال البيانات'!$E$3:$E$1164
         ),
         ""
      ),
      IF(_xlpm.result="", "", _xlpm.result)
   )
)</f>
        <v/>
      </c>
      <c r="F634" s="27" t="str" cm="1">
        <f t="array" ref="F634">IF(
   A634="",
   "",
   _xlfn.LET(
      _xlpm.result,
      IFERROR(
         _xlfn.XLOOKUP(
            1,
            (Table8[رقم الصنف]=A634) *
            (IF($B$9="الكل",1, YEAR('ادخال البيانات'!$N$3:$N$1164) = VALUE($B$9))) *
            (IF($B$10="الكل",1, MONTH('ادخال البيانات'!$N$3:$N$1164) = VALUE($B$10))) *
            (IF($B$11="الكل",1, INT((DAY('ادخال البيانات'!$N$3:$N$1164)-1)/7)+1 = VALUE($B$11))),
            'ادخال البيانات'!$F$3:$F$1164
         ),
         ""
      ),
      IF(_xlpm.result="", "", _xlpm.result)
   )
)</f>
        <v/>
      </c>
      <c r="G634" s="27" t="str" cm="1">
        <f t="array" ref="G634">IF(
   A634="",
   "",
   _xlfn.LET(
      _xlpm.result,
      IFERROR(
         _xlfn.XLOOKUP(
            1,
            (Table8[رقم الصنف]=A634) *
            (IF($B$9="الكل",1, YEAR('ادخال البيانات'!$N$3:$N$1164)=VALUE($B$9))) *
            (IF($B$10="الكل",1, MONTH('ادخال البيانات'!$N$3:$N$1164)=VALUE($B$10))) *
            (IF($B$11="الكل",1, INT((DAY('ادخال البيانات'!$N$3:$N$1164)-1)/7)+1 = VALUE($B$11))),
            'ادخال البيانات'!$G$3:$G$1164
         ),
         ""
      ),
      IF(_xlpm.result="", "", _xlpm.result)
   )
)</f>
        <v/>
      </c>
      <c r="H634" s="27" t="str" cm="1">
        <f t="array" ref="H634">IF(
   A634="",
   "",
   _xlfn.LET(
      _xlpm.result,
      IFERROR(
         _xlfn.XLOOKUP(
            1,
            (Table8[رقم الصنف]=A634) *
            (IF($B$9="الكل",1, YEAR('ادخال البيانات'!$N$3:$N$1164)=VALUE($B$9))) *
            (IF($B$10="الكل",1, MONTH('ادخال البيانات'!$N$3:$N$1164)=VALUE($B$10))) *
            (IF($B$11="الكل",1, INT((DAY('ادخال البيانات'!$N$3:$N$1164)-1)/7)+1 = VALUE($B$11))),
            'ادخال البيانات'!$H$3:$H$1164
         ),
         ""
      ),
      IF(_xlpm.result="", "", _xlpm.result)
   )
)</f>
        <v/>
      </c>
      <c r="I634" s="27" t="str" cm="1">
        <f t="array" ref="I634">IF(
   A634="",
   "",
   _xlfn.LET(
      _xlpm.result,
      IFERROR(
         _xlfn.XLOOKUP(
            1,
            (Table8[رقم الصنف]=A634) *
            (IF($B$9="الكل",1, YEAR('ادخال البيانات'!$N$3:$N$1164)=VALUE($B$9))) *
            (IF($B$10="الكل",1, MONTH('ادخال البيانات'!$N$3:$N$1164)=VALUE($B$10))) *
            (IF($B$11="الكل",1, INT((DAY('ادخال البيانات'!$N$3:$N$1164)-1)/7)+1 = VALUE($B$11))),
            'ادخال البيانات'!$I$3:$I$1164
         ),
         ""
      ),
      IF(_xlpm.result="", "", _xlpm.result)
   )
)</f>
        <v/>
      </c>
      <c r="J634" s="27" t="str" cm="1">
        <f t="array" ref="J634">IF(
   A634="",
   "",
   _xlfn.LET(
      _xlpm.result,
      IFERROR(
         _xlfn.XLOOKUP(
            1,
            (Table8[رقم الصنف]=A634) *
            (IF($B$9="الكل",1, YEAR('ادخال البيانات'!$N$3:$N$1164)=VALUE($B$9))) *
            (IF($B$10="الكل",1, MONTH('ادخال البيانات'!$N$3:$N$1164)=VALUE($B$10))) *
            (IF($B$11="الكل",1, INT((DAY('ادخال البيانات'!$N$3:$N$1164)-1)/7)+1 = VALUE($B$11))),
            'ادخال البيانات'!$J$3:$J$1164
         ),
         ""
      ),
      IF(_xlpm.result="", "", _xlpm.result)
   )
)</f>
        <v/>
      </c>
      <c r="K634" s="27" t="str" cm="1">
        <f t="array" ref="K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4" s="27" t="str" cm="1">
        <f t="array" ref="L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4" s="27" t="str" cm="1">
        <f t="array" ref="M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4" s="28" t="str" cm="1">
        <f t="array" ref="N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4" s="28" t="str" cm="1">
        <f t="array" ref="O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4" s="27" t="str" cm="1">
        <f t="array" ref="P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Table8[جهة العطل]
         ),
         ""
      ),
      IF(_xlpm.result="", "", _xlpm.result)
   )
)</f>
        <v/>
      </c>
      <c r="Q634" s="27" t="str" cm="1">
        <f t="array" ref="Q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Table8[المركز]
         ),
         ""
      ),
      IF(_xlpm.result="", "", _xlpm.result)
   )
)</f>
        <v/>
      </c>
      <c r="R634" s="27" t="str" cm="1">
        <f t="array" ref="R634">IF(
   A634="",
   "",
   _xlfn.LET(
      _xlpm.result,
      IFERROR(
         _xlfn.XLOOKUP(
            1,
            (Table8[رقم الصنف]=A634) *
            (IF($B$9="الكل",1, YEAR('ادخال البيانات'!$N$3:$N$1164) = VALUE($B$9))) *
            (IF($B$10="الكل",1, MONTH('ادخال البيانات'!$N$3:$N$1164) = VALUE($B$10))) *
            (IF($B$11="الكل",1, INT((DAY('ادخال البيانات'!$N$3:$N$1164) - 1) / 7) + 1 = VALUE($B$11))),
            Table8[ملاحظة]
         ),
         ""
      ),
      IF(_xlpm.result="", "", _xlpm.result)
   )
)</f>
        <v/>
      </c>
      <c r="S634" s="46" t="str">
        <f t="shared" ca="1" si="10"/>
        <v/>
      </c>
    </row>
    <row r="635" spans="1:19" ht="27.75" customHeight="1" thickTop="1" thickBot="1" x14ac:dyDescent="0.35">
      <c r="A635" s="39"/>
      <c r="B635" s="27" t="str" cm="1">
        <f t="array" ref="B635">IF(
   OR(A635="", $B$9="", $B$10="", $B$11=""),
   "",
   _xlfn.LET(
      _xlpm.result,
      IFERROR(
         _xlfn.XLOOKUP(
            1,
            (Table8[رقم الصنف]=A635)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5" s="27" t="str" cm="1">
        <f t="array" ref="C635">IF(
   A635="",
   "",
   _xlfn.LET(
      _xlpm.result,
      IFERROR(
         _xlfn.XLOOKUP(
            1,
            (Table8[رقم الصنف]=A635) *
            (IF($B$9="الكل",1, YEAR('ادخال البيانات'!$N$3:$N$1164) = VALUE($B$9))) *
            (IF($B$10="الكل",1, MONTH('ادخال البيانات'!$N$3:$N$1164) = VALUE($B$10))) *
            (IF($B$11="الكل",1, INT((DAY('ادخال البيانات'!$N$3:$N$1164)-1)/7)+1 = VALUE($B$11))),
            'ادخال البيانات'!$C$3:$C$1164
         ),
         ""
      ),
      IF(_xlpm.result="", "", _xlpm.result)
   )
)</f>
        <v/>
      </c>
      <c r="D635" s="27" t="str" cm="1">
        <f t="array" ref="D635">IF(
   OR(A635="", $B$9="", $B$10="", $B$11=""),
   "",
   _xlfn.LET(
      _xlpm.result,
      IFERROR(
         _xlfn.XLOOKUP(
            1,
            (Table8[رقم الصنف]=A635) *
            (IF($B$9="الكل",1, YEAR('ادخال البيانات'!$N$3:$N$1164)=VALUE($B$9))) *
            (IF($B$10="الكل",1, MONTH('ادخال البيانات'!$N$3:$N$1164)=VALUE($B$10))) *
            (IF($B$11="الكل",1, INT((DAY('ادخال البيانات'!$N$3:$N$1164)-1)/7)+1 = VALUE($B$11))),
            'ادخال البيانات'!$D$3:$D$1164
         ),
         ""
      ),
      IF(_xlpm.result="", "", _xlpm.result)
   )
)</f>
        <v/>
      </c>
      <c r="E635" s="27" t="str" cm="1">
        <f t="array" ref="E635">IF(
   A635="",
   "",
   _xlfn.LET(
      _xlpm.result,
      IFERROR(
         _xlfn.XLOOKUP(
            1,
            (Table8[رقم الصنف]=A635) *
            (IF($B$9="الكل",1, YEAR('ادخال البيانات'!$N$3:$N$1164)=VALUE($B$9))) *
            (IF($B$10="الكل",1, MONTH('ادخال البيانات'!$N$3:$N$1164)=VALUE($B$10))) *
            (IF($B$11="الكل",1, INT((DAY('ادخال البيانات'!$N$3:$N$1164)-1)/7)+1 = VALUE($B$11))),
            'ادخال البيانات'!$E$3:$E$1164
         ),
         ""
      ),
      IF(_xlpm.result="", "", _xlpm.result)
   )
)</f>
        <v/>
      </c>
      <c r="F635" s="27" t="str" cm="1">
        <f t="array" ref="F635">IF(
   A635="",
   "",
   _xlfn.LET(
      _xlpm.result,
      IFERROR(
         _xlfn.XLOOKUP(
            1,
            (Table8[رقم الصنف]=A635) *
            (IF($B$9="الكل",1, YEAR('ادخال البيانات'!$N$3:$N$1164) = VALUE($B$9))) *
            (IF($B$10="الكل",1, MONTH('ادخال البيانات'!$N$3:$N$1164) = VALUE($B$10))) *
            (IF($B$11="الكل",1, INT((DAY('ادخال البيانات'!$N$3:$N$1164)-1)/7)+1 = VALUE($B$11))),
            'ادخال البيانات'!$F$3:$F$1164
         ),
         ""
      ),
      IF(_xlpm.result="", "", _xlpm.result)
   )
)</f>
        <v/>
      </c>
      <c r="G635" s="27" t="str" cm="1">
        <f t="array" ref="G635">IF(
   A635="",
   "",
   _xlfn.LET(
      _xlpm.result,
      IFERROR(
         _xlfn.XLOOKUP(
            1,
            (Table8[رقم الصنف]=A635) *
            (IF($B$9="الكل",1, YEAR('ادخال البيانات'!$N$3:$N$1164)=VALUE($B$9))) *
            (IF($B$10="الكل",1, MONTH('ادخال البيانات'!$N$3:$N$1164)=VALUE($B$10))) *
            (IF($B$11="الكل",1, INT((DAY('ادخال البيانات'!$N$3:$N$1164)-1)/7)+1 = VALUE($B$11))),
            'ادخال البيانات'!$G$3:$G$1164
         ),
         ""
      ),
      IF(_xlpm.result="", "", _xlpm.result)
   )
)</f>
        <v/>
      </c>
      <c r="H635" s="27" t="str" cm="1">
        <f t="array" ref="H635">IF(
   A635="",
   "",
   _xlfn.LET(
      _xlpm.result,
      IFERROR(
         _xlfn.XLOOKUP(
            1,
            (Table8[رقم الصنف]=A635) *
            (IF($B$9="الكل",1, YEAR('ادخال البيانات'!$N$3:$N$1164)=VALUE($B$9))) *
            (IF($B$10="الكل",1, MONTH('ادخال البيانات'!$N$3:$N$1164)=VALUE($B$10))) *
            (IF($B$11="الكل",1, INT((DAY('ادخال البيانات'!$N$3:$N$1164)-1)/7)+1 = VALUE($B$11))),
            'ادخال البيانات'!$H$3:$H$1164
         ),
         ""
      ),
      IF(_xlpm.result="", "", _xlpm.result)
   )
)</f>
        <v/>
      </c>
      <c r="I635" s="27" t="str" cm="1">
        <f t="array" ref="I635">IF(
   A635="",
   "",
   _xlfn.LET(
      _xlpm.result,
      IFERROR(
         _xlfn.XLOOKUP(
            1,
            (Table8[رقم الصنف]=A635) *
            (IF($B$9="الكل",1, YEAR('ادخال البيانات'!$N$3:$N$1164)=VALUE($B$9))) *
            (IF($B$10="الكل",1, MONTH('ادخال البيانات'!$N$3:$N$1164)=VALUE($B$10))) *
            (IF($B$11="الكل",1, INT((DAY('ادخال البيانات'!$N$3:$N$1164)-1)/7)+1 = VALUE($B$11))),
            'ادخال البيانات'!$I$3:$I$1164
         ),
         ""
      ),
      IF(_xlpm.result="", "", _xlpm.result)
   )
)</f>
        <v/>
      </c>
      <c r="J635" s="27" t="str" cm="1">
        <f t="array" ref="J635">IF(
   A635="",
   "",
   _xlfn.LET(
      _xlpm.result,
      IFERROR(
         _xlfn.XLOOKUP(
            1,
            (Table8[رقم الصنف]=A635) *
            (IF($B$9="الكل",1, YEAR('ادخال البيانات'!$N$3:$N$1164)=VALUE($B$9))) *
            (IF($B$10="الكل",1, MONTH('ادخال البيانات'!$N$3:$N$1164)=VALUE($B$10))) *
            (IF($B$11="الكل",1, INT((DAY('ادخال البيانات'!$N$3:$N$1164)-1)/7)+1 = VALUE($B$11))),
            'ادخال البيانات'!$J$3:$J$1164
         ),
         ""
      ),
      IF(_xlpm.result="", "", _xlpm.result)
   )
)</f>
        <v/>
      </c>
      <c r="K635" s="27" t="str" cm="1">
        <f t="array" ref="K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5" s="27" t="str" cm="1">
        <f t="array" ref="L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5" s="27" t="str" cm="1">
        <f t="array" ref="M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5" s="28" t="str" cm="1">
        <f t="array" ref="N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5" s="28" t="str" cm="1">
        <f t="array" ref="O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5" s="27" t="str" cm="1">
        <f t="array" ref="P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Table8[جهة العطل]
         ),
         ""
      ),
      IF(_xlpm.result="", "", _xlpm.result)
   )
)</f>
        <v/>
      </c>
      <c r="Q635" s="27" t="str" cm="1">
        <f t="array" ref="Q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Table8[المركز]
         ),
         ""
      ),
      IF(_xlpm.result="", "", _xlpm.result)
   )
)</f>
        <v/>
      </c>
      <c r="R635" s="27" t="str" cm="1">
        <f t="array" ref="R635">IF(
   A635="",
   "",
   _xlfn.LET(
      _xlpm.result,
      IFERROR(
         _xlfn.XLOOKUP(
            1,
            (Table8[رقم الصنف]=A635) *
            (IF($B$9="الكل",1, YEAR('ادخال البيانات'!$N$3:$N$1164) = VALUE($B$9))) *
            (IF($B$10="الكل",1, MONTH('ادخال البيانات'!$N$3:$N$1164) = VALUE($B$10))) *
            (IF($B$11="الكل",1, INT((DAY('ادخال البيانات'!$N$3:$N$1164) - 1) / 7) + 1 = VALUE($B$11))),
            Table8[ملاحظة]
         ),
         ""
      ),
      IF(_xlpm.result="", "", _xlpm.result)
   )
)</f>
        <v/>
      </c>
      <c r="S635" s="46" t="str">
        <f t="shared" ca="1" si="10"/>
        <v/>
      </c>
    </row>
    <row r="636" spans="1:19" ht="27.75" customHeight="1" thickTop="1" thickBot="1" x14ac:dyDescent="0.35">
      <c r="A636" s="39"/>
      <c r="B636" s="27" t="str" cm="1">
        <f t="array" ref="B636">IF(
   OR(A636="", $B$9="", $B$10="", $B$11=""),
   "",
   _xlfn.LET(
      _xlpm.result,
      IFERROR(
         _xlfn.XLOOKUP(
            1,
            (Table8[رقم الصنف]=A636)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6" s="27" t="str" cm="1">
        <f t="array" ref="C636">IF(
   A636="",
   "",
   _xlfn.LET(
      _xlpm.result,
      IFERROR(
         _xlfn.XLOOKUP(
            1,
            (Table8[رقم الصنف]=A636) *
            (IF($B$9="الكل",1, YEAR('ادخال البيانات'!$N$3:$N$1164) = VALUE($B$9))) *
            (IF($B$10="الكل",1, MONTH('ادخال البيانات'!$N$3:$N$1164) = VALUE($B$10))) *
            (IF($B$11="الكل",1, INT((DAY('ادخال البيانات'!$N$3:$N$1164)-1)/7)+1 = VALUE($B$11))),
            'ادخال البيانات'!$C$3:$C$1164
         ),
         ""
      ),
      IF(_xlpm.result="", "", _xlpm.result)
   )
)</f>
        <v/>
      </c>
      <c r="D636" s="27" t="str" cm="1">
        <f t="array" ref="D636">IF(
   OR(A636="", $B$9="", $B$10="", $B$11=""),
   "",
   _xlfn.LET(
      _xlpm.result,
      IFERROR(
         _xlfn.XLOOKUP(
            1,
            (Table8[رقم الصنف]=A636) *
            (IF($B$9="الكل",1, YEAR('ادخال البيانات'!$N$3:$N$1164)=VALUE($B$9))) *
            (IF($B$10="الكل",1, MONTH('ادخال البيانات'!$N$3:$N$1164)=VALUE($B$10))) *
            (IF($B$11="الكل",1, INT((DAY('ادخال البيانات'!$N$3:$N$1164)-1)/7)+1 = VALUE($B$11))),
            'ادخال البيانات'!$D$3:$D$1164
         ),
         ""
      ),
      IF(_xlpm.result="", "", _xlpm.result)
   )
)</f>
        <v/>
      </c>
      <c r="E636" s="27" t="str" cm="1">
        <f t="array" ref="E636">IF(
   A636="",
   "",
   _xlfn.LET(
      _xlpm.result,
      IFERROR(
         _xlfn.XLOOKUP(
            1,
            (Table8[رقم الصنف]=A636) *
            (IF($B$9="الكل",1, YEAR('ادخال البيانات'!$N$3:$N$1164)=VALUE($B$9))) *
            (IF($B$10="الكل",1, MONTH('ادخال البيانات'!$N$3:$N$1164)=VALUE($B$10))) *
            (IF($B$11="الكل",1, INT((DAY('ادخال البيانات'!$N$3:$N$1164)-1)/7)+1 = VALUE($B$11))),
            'ادخال البيانات'!$E$3:$E$1164
         ),
         ""
      ),
      IF(_xlpm.result="", "", _xlpm.result)
   )
)</f>
        <v/>
      </c>
      <c r="F636" s="27" t="str" cm="1">
        <f t="array" ref="F636">IF(
   A636="",
   "",
   _xlfn.LET(
      _xlpm.result,
      IFERROR(
         _xlfn.XLOOKUP(
            1,
            (Table8[رقم الصنف]=A636) *
            (IF($B$9="الكل",1, YEAR('ادخال البيانات'!$N$3:$N$1164) = VALUE($B$9))) *
            (IF($B$10="الكل",1, MONTH('ادخال البيانات'!$N$3:$N$1164) = VALUE($B$10))) *
            (IF($B$11="الكل",1, INT((DAY('ادخال البيانات'!$N$3:$N$1164)-1)/7)+1 = VALUE($B$11))),
            'ادخال البيانات'!$F$3:$F$1164
         ),
         ""
      ),
      IF(_xlpm.result="", "", _xlpm.result)
   )
)</f>
        <v/>
      </c>
      <c r="G636" s="27" t="str" cm="1">
        <f t="array" ref="G636">IF(
   A636="",
   "",
   _xlfn.LET(
      _xlpm.result,
      IFERROR(
         _xlfn.XLOOKUP(
            1,
            (Table8[رقم الصنف]=A636) *
            (IF($B$9="الكل",1, YEAR('ادخال البيانات'!$N$3:$N$1164)=VALUE($B$9))) *
            (IF($B$10="الكل",1, MONTH('ادخال البيانات'!$N$3:$N$1164)=VALUE($B$10))) *
            (IF($B$11="الكل",1, INT((DAY('ادخال البيانات'!$N$3:$N$1164)-1)/7)+1 = VALUE($B$11))),
            'ادخال البيانات'!$G$3:$G$1164
         ),
         ""
      ),
      IF(_xlpm.result="", "", _xlpm.result)
   )
)</f>
        <v/>
      </c>
      <c r="H636" s="27" t="str" cm="1">
        <f t="array" ref="H636">IF(
   A636="",
   "",
   _xlfn.LET(
      _xlpm.result,
      IFERROR(
         _xlfn.XLOOKUP(
            1,
            (Table8[رقم الصنف]=A636) *
            (IF($B$9="الكل",1, YEAR('ادخال البيانات'!$N$3:$N$1164)=VALUE($B$9))) *
            (IF($B$10="الكل",1, MONTH('ادخال البيانات'!$N$3:$N$1164)=VALUE($B$10))) *
            (IF($B$11="الكل",1, INT((DAY('ادخال البيانات'!$N$3:$N$1164)-1)/7)+1 = VALUE($B$11))),
            'ادخال البيانات'!$H$3:$H$1164
         ),
         ""
      ),
      IF(_xlpm.result="", "", _xlpm.result)
   )
)</f>
        <v/>
      </c>
      <c r="I636" s="27" t="str" cm="1">
        <f t="array" ref="I636">IF(
   A636="",
   "",
   _xlfn.LET(
      _xlpm.result,
      IFERROR(
         _xlfn.XLOOKUP(
            1,
            (Table8[رقم الصنف]=A636) *
            (IF($B$9="الكل",1, YEAR('ادخال البيانات'!$N$3:$N$1164)=VALUE($B$9))) *
            (IF($B$10="الكل",1, MONTH('ادخال البيانات'!$N$3:$N$1164)=VALUE($B$10))) *
            (IF($B$11="الكل",1, INT((DAY('ادخال البيانات'!$N$3:$N$1164)-1)/7)+1 = VALUE($B$11))),
            'ادخال البيانات'!$I$3:$I$1164
         ),
         ""
      ),
      IF(_xlpm.result="", "", _xlpm.result)
   )
)</f>
        <v/>
      </c>
      <c r="J636" s="27" t="str" cm="1">
        <f t="array" ref="J636">IF(
   A636="",
   "",
   _xlfn.LET(
      _xlpm.result,
      IFERROR(
         _xlfn.XLOOKUP(
            1,
            (Table8[رقم الصنف]=A636) *
            (IF($B$9="الكل",1, YEAR('ادخال البيانات'!$N$3:$N$1164)=VALUE($B$9))) *
            (IF($B$10="الكل",1, MONTH('ادخال البيانات'!$N$3:$N$1164)=VALUE($B$10))) *
            (IF($B$11="الكل",1, INT((DAY('ادخال البيانات'!$N$3:$N$1164)-1)/7)+1 = VALUE($B$11))),
            'ادخال البيانات'!$J$3:$J$1164
         ),
         ""
      ),
      IF(_xlpm.result="", "", _xlpm.result)
   )
)</f>
        <v/>
      </c>
      <c r="K636" s="27" t="str" cm="1">
        <f t="array" ref="K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6" s="27" t="str" cm="1">
        <f t="array" ref="L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6" s="27" t="str" cm="1">
        <f t="array" ref="M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6" s="28" t="str" cm="1">
        <f t="array" ref="N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6" s="28" t="str" cm="1">
        <f t="array" ref="O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6" s="27" t="str" cm="1">
        <f t="array" ref="P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Table8[جهة العطل]
         ),
         ""
      ),
      IF(_xlpm.result="", "", _xlpm.result)
   )
)</f>
        <v/>
      </c>
      <c r="Q636" s="27" t="str" cm="1">
        <f t="array" ref="Q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Table8[المركز]
         ),
         ""
      ),
      IF(_xlpm.result="", "", _xlpm.result)
   )
)</f>
        <v/>
      </c>
      <c r="R636" s="27" t="str" cm="1">
        <f t="array" ref="R636">IF(
   A636="",
   "",
   _xlfn.LET(
      _xlpm.result,
      IFERROR(
         _xlfn.XLOOKUP(
            1,
            (Table8[رقم الصنف]=A636) *
            (IF($B$9="الكل",1, YEAR('ادخال البيانات'!$N$3:$N$1164) = VALUE($B$9))) *
            (IF($B$10="الكل",1, MONTH('ادخال البيانات'!$N$3:$N$1164) = VALUE($B$10))) *
            (IF($B$11="الكل",1, INT((DAY('ادخال البيانات'!$N$3:$N$1164) - 1) / 7) + 1 = VALUE($B$11))),
            Table8[ملاحظة]
         ),
         ""
      ),
      IF(_xlpm.result="", "", _xlpm.result)
   )
)</f>
        <v/>
      </c>
      <c r="S636" s="46" t="str">
        <f t="shared" ca="1" si="10"/>
        <v/>
      </c>
    </row>
    <row r="637" spans="1:19" ht="27.75" customHeight="1" thickTop="1" thickBot="1" x14ac:dyDescent="0.35">
      <c r="A637" s="39"/>
      <c r="B637" s="27" t="str" cm="1">
        <f t="array" ref="B637">IF(
   OR(A637="", $B$9="", $B$10="", $B$11=""),
   "",
   _xlfn.LET(
      _xlpm.result,
      IFERROR(
         _xlfn.XLOOKUP(
            1,
            (Table8[رقم الصنف]=A637)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7" s="27" t="str" cm="1">
        <f t="array" ref="C637">IF(
   A637="",
   "",
   _xlfn.LET(
      _xlpm.result,
      IFERROR(
         _xlfn.XLOOKUP(
            1,
            (Table8[رقم الصنف]=A637) *
            (IF($B$9="الكل",1, YEAR('ادخال البيانات'!$N$3:$N$1164) = VALUE($B$9))) *
            (IF($B$10="الكل",1, MONTH('ادخال البيانات'!$N$3:$N$1164) = VALUE($B$10))) *
            (IF($B$11="الكل",1, INT((DAY('ادخال البيانات'!$N$3:$N$1164)-1)/7)+1 = VALUE($B$11))),
            'ادخال البيانات'!$C$3:$C$1164
         ),
         ""
      ),
      IF(_xlpm.result="", "", _xlpm.result)
   )
)</f>
        <v/>
      </c>
      <c r="D637" s="27" t="str" cm="1">
        <f t="array" ref="D637">IF(
   OR(A637="", $B$9="", $B$10="", $B$11=""),
   "",
   _xlfn.LET(
      _xlpm.result,
      IFERROR(
         _xlfn.XLOOKUP(
            1,
            (Table8[رقم الصنف]=A637) *
            (IF($B$9="الكل",1, YEAR('ادخال البيانات'!$N$3:$N$1164)=VALUE($B$9))) *
            (IF($B$10="الكل",1, MONTH('ادخال البيانات'!$N$3:$N$1164)=VALUE($B$10))) *
            (IF($B$11="الكل",1, INT((DAY('ادخال البيانات'!$N$3:$N$1164)-1)/7)+1 = VALUE($B$11))),
            'ادخال البيانات'!$D$3:$D$1164
         ),
         ""
      ),
      IF(_xlpm.result="", "", _xlpm.result)
   )
)</f>
        <v/>
      </c>
      <c r="E637" s="27" t="str" cm="1">
        <f t="array" ref="E637">IF(
   A637="",
   "",
   _xlfn.LET(
      _xlpm.result,
      IFERROR(
         _xlfn.XLOOKUP(
            1,
            (Table8[رقم الصنف]=A637) *
            (IF($B$9="الكل",1, YEAR('ادخال البيانات'!$N$3:$N$1164)=VALUE($B$9))) *
            (IF($B$10="الكل",1, MONTH('ادخال البيانات'!$N$3:$N$1164)=VALUE($B$10))) *
            (IF($B$11="الكل",1, INT((DAY('ادخال البيانات'!$N$3:$N$1164)-1)/7)+1 = VALUE($B$11))),
            'ادخال البيانات'!$E$3:$E$1164
         ),
         ""
      ),
      IF(_xlpm.result="", "", _xlpm.result)
   )
)</f>
        <v/>
      </c>
      <c r="F637" s="27" t="str" cm="1">
        <f t="array" ref="F637">IF(
   A637="",
   "",
   _xlfn.LET(
      _xlpm.result,
      IFERROR(
         _xlfn.XLOOKUP(
            1,
            (Table8[رقم الصنف]=A637) *
            (IF($B$9="الكل",1, YEAR('ادخال البيانات'!$N$3:$N$1164) = VALUE($B$9))) *
            (IF($B$10="الكل",1, MONTH('ادخال البيانات'!$N$3:$N$1164) = VALUE($B$10))) *
            (IF($B$11="الكل",1, INT((DAY('ادخال البيانات'!$N$3:$N$1164)-1)/7)+1 = VALUE($B$11))),
            'ادخال البيانات'!$F$3:$F$1164
         ),
         ""
      ),
      IF(_xlpm.result="", "", _xlpm.result)
   )
)</f>
        <v/>
      </c>
      <c r="G637" s="27" t="str" cm="1">
        <f t="array" ref="G637">IF(
   A637="",
   "",
   _xlfn.LET(
      _xlpm.result,
      IFERROR(
         _xlfn.XLOOKUP(
            1,
            (Table8[رقم الصنف]=A637) *
            (IF($B$9="الكل",1, YEAR('ادخال البيانات'!$N$3:$N$1164)=VALUE($B$9))) *
            (IF($B$10="الكل",1, MONTH('ادخال البيانات'!$N$3:$N$1164)=VALUE($B$10))) *
            (IF($B$11="الكل",1, INT((DAY('ادخال البيانات'!$N$3:$N$1164)-1)/7)+1 = VALUE($B$11))),
            'ادخال البيانات'!$G$3:$G$1164
         ),
         ""
      ),
      IF(_xlpm.result="", "", _xlpm.result)
   )
)</f>
        <v/>
      </c>
      <c r="H637" s="27" t="str" cm="1">
        <f t="array" ref="H637">IF(
   A637="",
   "",
   _xlfn.LET(
      _xlpm.result,
      IFERROR(
         _xlfn.XLOOKUP(
            1,
            (Table8[رقم الصنف]=A637) *
            (IF($B$9="الكل",1, YEAR('ادخال البيانات'!$N$3:$N$1164)=VALUE($B$9))) *
            (IF($B$10="الكل",1, MONTH('ادخال البيانات'!$N$3:$N$1164)=VALUE($B$10))) *
            (IF($B$11="الكل",1, INT((DAY('ادخال البيانات'!$N$3:$N$1164)-1)/7)+1 = VALUE($B$11))),
            'ادخال البيانات'!$H$3:$H$1164
         ),
         ""
      ),
      IF(_xlpm.result="", "", _xlpm.result)
   )
)</f>
        <v/>
      </c>
      <c r="I637" s="27" t="str" cm="1">
        <f t="array" ref="I637">IF(
   A637="",
   "",
   _xlfn.LET(
      _xlpm.result,
      IFERROR(
         _xlfn.XLOOKUP(
            1,
            (Table8[رقم الصنف]=A637) *
            (IF($B$9="الكل",1, YEAR('ادخال البيانات'!$N$3:$N$1164)=VALUE($B$9))) *
            (IF($B$10="الكل",1, MONTH('ادخال البيانات'!$N$3:$N$1164)=VALUE($B$10))) *
            (IF($B$11="الكل",1, INT((DAY('ادخال البيانات'!$N$3:$N$1164)-1)/7)+1 = VALUE($B$11))),
            'ادخال البيانات'!$I$3:$I$1164
         ),
         ""
      ),
      IF(_xlpm.result="", "", _xlpm.result)
   )
)</f>
        <v/>
      </c>
      <c r="J637" s="27" t="str" cm="1">
        <f t="array" ref="J637">IF(
   A637="",
   "",
   _xlfn.LET(
      _xlpm.result,
      IFERROR(
         _xlfn.XLOOKUP(
            1,
            (Table8[رقم الصنف]=A637) *
            (IF($B$9="الكل",1, YEAR('ادخال البيانات'!$N$3:$N$1164)=VALUE($B$9))) *
            (IF($B$10="الكل",1, MONTH('ادخال البيانات'!$N$3:$N$1164)=VALUE($B$10))) *
            (IF($B$11="الكل",1, INT((DAY('ادخال البيانات'!$N$3:$N$1164)-1)/7)+1 = VALUE($B$11))),
            'ادخال البيانات'!$J$3:$J$1164
         ),
         ""
      ),
      IF(_xlpm.result="", "", _xlpm.result)
   )
)</f>
        <v/>
      </c>
      <c r="K637" s="27" t="str" cm="1">
        <f t="array" ref="K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7" s="27" t="str" cm="1">
        <f t="array" ref="L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7" s="27" t="str" cm="1">
        <f t="array" ref="M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7" s="28" t="str" cm="1">
        <f t="array" ref="N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7" s="28" t="str" cm="1">
        <f t="array" ref="O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7" s="27" t="str" cm="1">
        <f t="array" ref="P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Table8[جهة العطل]
         ),
         ""
      ),
      IF(_xlpm.result="", "", _xlpm.result)
   )
)</f>
        <v/>
      </c>
      <c r="Q637" s="27" t="str" cm="1">
        <f t="array" ref="Q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Table8[المركز]
         ),
         ""
      ),
      IF(_xlpm.result="", "", _xlpm.result)
   )
)</f>
        <v/>
      </c>
      <c r="R637" s="27" t="str" cm="1">
        <f t="array" ref="R637">IF(
   A637="",
   "",
   _xlfn.LET(
      _xlpm.result,
      IFERROR(
         _xlfn.XLOOKUP(
            1,
            (Table8[رقم الصنف]=A637) *
            (IF($B$9="الكل",1, YEAR('ادخال البيانات'!$N$3:$N$1164) = VALUE($B$9))) *
            (IF($B$10="الكل",1, MONTH('ادخال البيانات'!$N$3:$N$1164) = VALUE($B$10))) *
            (IF($B$11="الكل",1, INT((DAY('ادخال البيانات'!$N$3:$N$1164) - 1) / 7) + 1 = VALUE($B$11))),
            Table8[ملاحظة]
         ),
         ""
      ),
      IF(_xlpm.result="", "", _xlpm.result)
   )
)</f>
        <v/>
      </c>
      <c r="S637" s="46" t="str">
        <f t="shared" ca="1" si="10"/>
        <v/>
      </c>
    </row>
    <row r="638" spans="1:19" ht="27.75" customHeight="1" thickTop="1" thickBot="1" x14ac:dyDescent="0.35">
      <c r="A638" s="39"/>
      <c r="B638" s="27" t="str" cm="1">
        <f t="array" ref="B638">IF(
   OR(A638="", $B$9="", $B$10="", $B$11=""),
   "",
   _xlfn.LET(
      _xlpm.result,
      IFERROR(
         _xlfn.XLOOKUP(
            1,
            (Table8[رقم الصنف]=A638)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8" s="27" t="str" cm="1">
        <f t="array" ref="C638">IF(
   A638="",
   "",
   _xlfn.LET(
      _xlpm.result,
      IFERROR(
         _xlfn.XLOOKUP(
            1,
            (Table8[رقم الصنف]=A638) *
            (IF($B$9="الكل",1, YEAR('ادخال البيانات'!$N$3:$N$1164) = VALUE($B$9))) *
            (IF($B$10="الكل",1, MONTH('ادخال البيانات'!$N$3:$N$1164) = VALUE($B$10))) *
            (IF($B$11="الكل",1, INT((DAY('ادخال البيانات'!$N$3:$N$1164)-1)/7)+1 = VALUE($B$11))),
            'ادخال البيانات'!$C$3:$C$1164
         ),
         ""
      ),
      IF(_xlpm.result="", "", _xlpm.result)
   )
)</f>
        <v/>
      </c>
      <c r="D638" s="27" t="str" cm="1">
        <f t="array" ref="D638">IF(
   OR(A638="", $B$9="", $B$10="", $B$11=""),
   "",
   _xlfn.LET(
      _xlpm.result,
      IFERROR(
         _xlfn.XLOOKUP(
            1,
            (Table8[رقم الصنف]=A638) *
            (IF($B$9="الكل",1, YEAR('ادخال البيانات'!$N$3:$N$1164)=VALUE($B$9))) *
            (IF($B$10="الكل",1, MONTH('ادخال البيانات'!$N$3:$N$1164)=VALUE($B$10))) *
            (IF($B$11="الكل",1, INT((DAY('ادخال البيانات'!$N$3:$N$1164)-1)/7)+1 = VALUE($B$11))),
            'ادخال البيانات'!$D$3:$D$1164
         ),
         ""
      ),
      IF(_xlpm.result="", "", _xlpm.result)
   )
)</f>
        <v/>
      </c>
      <c r="E638" s="27" t="str" cm="1">
        <f t="array" ref="E638">IF(
   A638="",
   "",
   _xlfn.LET(
      _xlpm.result,
      IFERROR(
         _xlfn.XLOOKUP(
            1,
            (Table8[رقم الصنف]=A638) *
            (IF($B$9="الكل",1, YEAR('ادخال البيانات'!$N$3:$N$1164)=VALUE($B$9))) *
            (IF($B$10="الكل",1, MONTH('ادخال البيانات'!$N$3:$N$1164)=VALUE($B$10))) *
            (IF($B$11="الكل",1, INT((DAY('ادخال البيانات'!$N$3:$N$1164)-1)/7)+1 = VALUE($B$11))),
            'ادخال البيانات'!$E$3:$E$1164
         ),
         ""
      ),
      IF(_xlpm.result="", "", _xlpm.result)
   )
)</f>
        <v/>
      </c>
      <c r="F638" s="27" t="str" cm="1">
        <f t="array" ref="F638">IF(
   A638="",
   "",
   _xlfn.LET(
      _xlpm.result,
      IFERROR(
         _xlfn.XLOOKUP(
            1,
            (Table8[رقم الصنف]=A638) *
            (IF($B$9="الكل",1, YEAR('ادخال البيانات'!$N$3:$N$1164) = VALUE($B$9))) *
            (IF($B$10="الكل",1, MONTH('ادخال البيانات'!$N$3:$N$1164) = VALUE($B$10))) *
            (IF($B$11="الكل",1, INT((DAY('ادخال البيانات'!$N$3:$N$1164)-1)/7)+1 = VALUE($B$11))),
            'ادخال البيانات'!$F$3:$F$1164
         ),
         ""
      ),
      IF(_xlpm.result="", "", _xlpm.result)
   )
)</f>
        <v/>
      </c>
      <c r="G638" s="27" t="str" cm="1">
        <f t="array" ref="G638">IF(
   A638="",
   "",
   _xlfn.LET(
      _xlpm.result,
      IFERROR(
         _xlfn.XLOOKUP(
            1,
            (Table8[رقم الصنف]=A638) *
            (IF($B$9="الكل",1, YEAR('ادخال البيانات'!$N$3:$N$1164)=VALUE($B$9))) *
            (IF($B$10="الكل",1, MONTH('ادخال البيانات'!$N$3:$N$1164)=VALUE($B$10))) *
            (IF($B$11="الكل",1, INT((DAY('ادخال البيانات'!$N$3:$N$1164)-1)/7)+1 = VALUE($B$11))),
            'ادخال البيانات'!$G$3:$G$1164
         ),
         ""
      ),
      IF(_xlpm.result="", "", _xlpm.result)
   )
)</f>
        <v/>
      </c>
      <c r="H638" s="27" t="str" cm="1">
        <f t="array" ref="H638">IF(
   A638="",
   "",
   _xlfn.LET(
      _xlpm.result,
      IFERROR(
         _xlfn.XLOOKUP(
            1,
            (Table8[رقم الصنف]=A638) *
            (IF($B$9="الكل",1, YEAR('ادخال البيانات'!$N$3:$N$1164)=VALUE($B$9))) *
            (IF($B$10="الكل",1, MONTH('ادخال البيانات'!$N$3:$N$1164)=VALUE($B$10))) *
            (IF($B$11="الكل",1, INT((DAY('ادخال البيانات'!$N$3:$N$1164)-1)/7)+1 = VALUE($B$11))),
            'ادخال البيانات'!$H$3:$H$1164
         ),
         ""
      ),
      IF(_xlpm.result="", "", _xlpm.result)
   )
)</f>
        <v/>
      </c>
      <c r="I638" s="27" t="str" cm="1">
        <f t="array" ref="I638">IF(
   A638="",
   "",
   _xlfn.LET(
      _xlpm.result,
      IFERROR(
         _xlfn.XLOOKUP(
            1,
            (Table8[رقم الصنف]=A638) *
            (IF($B$9="الكل",1, YEAR('ادخال البيانات'!$N$3:$N$1164)=VALUE($B$9))) *
            (IF($B$10="الكل",1, MONTH('ادخال البيانات'!$N$3:$N$1164)=VALUE($B$10))) *
            (IF($B$11="الكل",1, INT((DAY('ادخال البيانات'!$N$3:$N$1164)-1)/7)+1 = VALUE($B$11))),
            'ادخال البيانات'!$I$3:$I$1164
         ),
         ""
      ),
      IF(_xlpm.result="", "", _xlpm.result)
   )
)</f>
        <v/>
      </c>
      <c r="J638" s="27" t="str" cm="1">
        <f t="array" ref="J638">IF(
   A638="",
   "",
   _xlfn.LET(
      _xlpm.result,
      IFERROR(
         _xlfn.XLOOKUP(
            1,
            (Table8[رقم الصنف]=A638) *
            (IF($B$9="الكل",1, YEAR('ادخال البيانات'!$N$3:$N$1164)=VALUE($B$9))) *
            (IF($B$10="الكل",1, MONTH('ادخال البيانات'!$N$3:$N$1164)=VALUE($B$10))) *
            (IF($B$11="الكل",1, INT((DAY('ادخال البيانات'!$N$3:$N$1164)-1)/7)+1 = VALUE($B$11))),
            'ادخال البيانات'!$J$3:$J$1164
         ),
         ""
      ),
      IF(_xlpm.result="", "", _xlpm.result)
   )
)</f>
        <v/>
      </c>
      <c r="K638" s="27" t="str" cm="1">
        <f t="array" ref="K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8" s="27" t="str" cm="1">
        <f t="array" ref="L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8" s="27" t="str" cm="1">
        <f t="array" ref="M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8" s="28" t="str" cm="1">
        <f t="array" ref="N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8" s="28" t="str" cm="1">
        <f t="array" ref="O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8" s="27" t="str" cm="1">
        <f t="array" ref="P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Table8[جهة العطل]
         ),
         ""
      ),
      IF(_xlpm.result="", "", _xlpm.result)
   )
)</f>
        <v/>
      </c>
      <c r="Q638" s="27" t="str" cm="1">
        <f t="array" ref="Q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Table8[المركز]
         ),
         ""
      ),
      IF(_xlpm.result="", "", _xlpm.result)
   )
)</f>
        <v/>
      </c>
      <c r="R638" s="27" t="str" cm="1">
        <f t="array" ref="R638">IF(
   A638="",
   "",
   _xlfn.LET(
      _xlpm.result,
      IFERROR(
         _xlfn.XLOOKUP(
            1,
            (Table8[رقم الصنف]=A638) *
            (IF($B$9="الكل",1, YEAR('ادخال البيانات'!$N$3:$N$1164) = VALUE($B$9))) *
            (IF($B$10="الكل",1, MONTH('ادخال البيانات'!$N$3:$N$1164) = VALUE($B$10))) *
            (IF($B$11="الكل",1, INT((DAY('ادخال البيانات'!$N$3:$N$1164) - 1) / 7) + 1 = VALUE($B$11))),
            Table8[ملاحظة]
         ),
         ""
      ),
      IF(_xlpm.result="", "", _xlpm.result)
   )
)</f>
        <v/>
      </c>
      <c r="S638" s="46" t="str">
        <f t="shared" ca="1" si="10"/>
        <v/>
      </c>
    </row>
    <row r="639" spans="1:19" ht="27.75" customHeight="1" thickTop="1" thickBot="1" x14ac:dyDescent="0.35">
      <c r="A639" s="39"/>
      <c r="B639" s="27" t="str" cm="1">
        <f t="array" ref="B639">IF(
   OR(A639="", $B$9="", $B$10="", $B$11=""),
   "",
   _xlfn.LET(
      _xlpm.result,
      IFERROR(
         _xlfn.XLOOKUP(
            1,
            (Table8[رقم الصنف]=A639)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39" s="27" t="str" cm="1">
        <f t="array" ref="C639">IF(
   A639="",
   "",
   _xlfn.LET(
      _xlpm.result,
      IFERROR(
         _xlfn.XLOOKUP(
            1,
            (Table8[رقم الصنف]=A639) *
            (IF($B$9="الكل",1, YEAR('ادخال البيانات'!$N$3:$N$1164) = VALUE($B$9))) *
            (IF($B$10="الكل",1, MONTH('ادخال البيانات'!$N$3:$N$1164) = VALUE($B$10))) *
            (IF($B$11="الكل",1, INT((DAY('ادخال البيانات'!$N$3:$N$1164)-1)/7)+1 = VALUE($B$11))),
            'ادخال البيانات'!$C$3:$C$1164
         ),
         ""
      ),
      IF(_xlpm.result="", "", _xlpm.result)
   )
)</f>
        <v/>
      </c>
      <c r="D639" s="27" t="str" cm="1">
        <f t="array" ref="D639">IF(
   OR(A639="", $B$9="", $B$10="", $B$11=""),
   "",
   _xlfn.LET(
      _xlpm.result,
      IFERROR(
         _xlfn.XLOOKUP(
            1,
            (Table8[رقم الصنف]=A639) *
            (IF($B$9="الكل",1, YEAR('ادخال البيانات'!$N$3:$N$1164)=VALUE($B$9))) *
            (IF($B$10="الكل",1, MONTH('ادخال البيانات'!$N$3:$N$1164)=VALUE($B$10))) *
            (IF($B$11="الكل",1, INT((DAY('ادخال البيانات'!$N$3:$N$1164)-1)/7)+1 = VALUE($B$11))),
            'ادخال البيانات'!$D$3:$D$1164
         ),
         ""
      ),
      IF(_xlpm.result="", "", _xlpm.result)
   )
)</f>
        <v/>
      </c>
      <c r="E639" s="27" t="str" cm="1">
        <f t="array" ref="E639">IF(
   A639="",
   "",
   _xlfn.LET(
      _xlpm.result,
      IFERROR(
         _xlfn.XLOOKUP(
            1,
            (Table8[رقم الصنف]=A639) *
            (IF($B$9="الكل",1, YEAR('ادخال البيانات'!$N$3:$N$1164)=VALUE($B$9))) *
            (IF($B$10="الكل",1, MONTH('ادخال البيانات'!$N$3:$N$1164)=VALUE($B$10))) *
            (IF($B$11="الكل",1, INT((DAY('ادخال البيانات'!$N$3:$N$1164)-1)/7)+1 = VALUE($B$11))),
            'ادخال البيانات'!$E$3:$E$1164
         ),
         ""
      ),
      IF(_xlpm.result="", "", _xlpm.result)
   )
)</f>
        <v/>
      </c>
      <c r="F639" s="27" t="str" cm="1">
        <f t="array" ref="F639">IF(
   A639="",
   "",
   _xlfn.LET(
      _xlpm.result,
      IFERROR(
         _xlfn.XLOOKUP(
            1,
            (Table8[رقم الصنف]=A639) *
            (IF($B$9="الكل",1, YEAR('ادخال البيانات'!$N$3:$N$1164) = VALUE($B$9))) *
            (IF($B$10="الكل",1, MONTH('ادخال البيانات'!$N$3:$N$1164) = VALUE($B$10))) *
            (IF($B$11="الكل",1, INT((DAY('ادخال البيانات'!$N$3:$N$1164)-1)/7)+1 = VALUE($B$11))),
            'ادخال البيانات'!$F$3:$F$1164
         ),
         ""
      ),
      IF(_xlpm.result="", "", _xlpm.result)
   )
)</f>
        <v/>
      </c>
      <c r="G639" s="27" t="str" cm="1">
        <f t="array" ref="G639">IF(
   A639="",
   "",
   _xlfn.LET(
      _xlpm.result,
      IFERROR(
         _xlfn.XLOOKUP(
            1,
            (Table8[رقم الصنف]=A639) *
            (IF($B$9="الكل",1, YEAR('ادخال البيانات'!$N$3:$N$1164)=VALUE($B$9))) *
            (IF($B$10="الكل",1, MONTH('ادخال البيانات'!$N$3:$N$1164)=VALUE($B$10))) *
            (IF($B$11="الكل",1, INT((DAY('ادخال البيانات'!$N$3:$N$1164)-1)/7)+1 = VALUE($B$11))),
            'ادخال البيانات'!$G$3:$G$1164
         ),
         ""
      ),
      IF(_xlpm.result="", "", _xlpm.result)
   )
)</f>
        <v/>
      </c>
      <c r="H639" s="27" t="str" cm="1">
        <f t="array" ref="H639">IF(
   A639="",
   "",
   _xlfn.LET(
      _xlpm.result,
      IFERROR(
         _xlfn.XLOOKUP(
            1,
            (Table8[رقم الصنف]=A639) *
            (IF($B$9="الكل",1, YEAR('ادخال البيانات'!$N$3:$N$1164)=VALUE($B$9))) *
            (IF($B$10="الكل",1, MONTH('ادخال البيانات'!$N$3:$N$1164)=VALUE($B$10))) *
            (IF($B$11="الكل",1, INT((DAY('ادخال البيانات'!$N$3:$N$1164)-1)/7)+1 = VALUE($B$11))),
            'ادخال البيانات'!$H$3:$H$1164
         ),
         ""
      ),
      IF(_xlpm.result="", "", _xlpm.result)
   )
)</f>
        <v/>
      </c>
      <c r="I639" s="27" t="str" cm="1">
        <f t="array" ref="I639">IF(
   A639="",
   "",
   _xlfn.LET(
      _xlpm.result,
      IFERROR(
         _xlfn.XLOOKUP(
            1,
            (Table8[رقم الصنف]=A639) *
            (IF($B$9="الكل",1, YEAR('ادخال البيانات'!$N$3:$N$1164)=VALUE($B$9))) *
            (IF($B$10="الكل",1, MONTH('ادخال البيانات'!$N$3:$N$1164)=VALUE($B$10))) *
            (IF($B$11="الكل",1, INT((DAY('ادخال البيانات'!$N$3:$N$1164)-1)/7)+1 = VALUE($B$11))),
            'ادخال البيانات'!$I$3:$I$1164
         ),
         ""
      ),
      IF(_xlpm.result="", "", _xlpm.result)
   )
)</f>
        <v/>
      </c>
      <c r="J639" s="27" t="str" cm="1">
        <f t="array" ref="J639">IF(
   A639="",
   "",
   _xlfn.LET(
      _xlpm.result,
      IFERROR(
         _xlfn.XLOOKUP(
            1,
            (Table8[رقم الصنف]=A639) *
            (IF($B$9="الكل",1, YEAR('ادخال البيانات'!$N$3:$N$1164)=VALUE($B$9))) *
            (IF($B$10="الكل",1, MONTH('ادخال البيانات'!$N$3:$N$1164)=VALUE($B$10))) *
            (IF($B$11="الكل",1, INT((DAY('ادخال البيانات'!$N$3:$N$1164)-1)/7)+1 = VALUE($B$11))),
            'ادخال البيانات'!$J$3:$J$1164
         ),
         ""
      ),
      IF(_xlpm.result="", "", _xlpm.result)
   )
)</f>
        <v/>
      </c>
      <c r="K639" s="27" t="str" cm="1">
        <f t="array" ref="K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39" s="27" t="str" cm="1">
        <f t="array" ref="L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39" s="27" t="str" cm="1">
        <f t="array" ref="M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39" s="28" t="str" cm="1">
        <f t="array" ref="N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39" s="28" t="str" cm="1">
        <f t="array" ref="O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39" s="27" t="str" cm="1">
        <f t="array" ref="P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Table8[جهة العطل]
         ),
         ""
      ),
      IF(_xlpm.result="", "", _xlpm.result)
   )
)</f>
        <v/>
      </c>
      <c r="Q639" s="27" t="str" cm="1">
        <f t="array" ref="Q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Table8[المركز]
         ),
         ""
      ),
      IF(_xlpm.result="", "", _xlpm.result)
   )
)</f>
        <v/>
      </c>
      <c r="R639" s="27" t="str" cm="1">
        <f t="array" ref="R639">IF(
   A639="",
   "",
   _xlfn.LET(
      _xlpm.result,
      IFERROR(
         _xlfn.XLOOKUP(
            1,
            (Table8[رقم الصنف]=A639) *
            (IF($B$9="الكل",1, YEAR('ادخال البيانات'!$N$3:$N$1164) = VALUE($B$9))) *
            (IF($B$10="الكل",1, MONTH('ادخال البيانات'!$N$3:$N$1164) = VALUE($B$10))) *
            (IF($B$11="الكل",1, INT((DAY('ادخال البيانات'!$N$3:$N$1164) - 1) / 7) + 1 = VALUE($B$11))),
            Table8[ملاحظة]
         ),
         ""
      ),
      IF(_xlpm.result="", "", _xlpm.result)
   )
)</f>
        <v/>
      </c>
      <c r="S639" s="46" t="str">
        <f t="shared" ca="1" si="10"/>
        <v/>
      </c>
    </row>
    <row r="640" spans="1:19" ht="27.75" customHeight="1" thickTop="1" thickBot="1" x14ac:dyDescent="0.35">
      <c r="A640" s="39"/>
      <c r="B640" s="27" t="str" cm="1">
        <f t="array" ref="B640">IF(
   OR(A640="", $B$9="", $B$10="", $B$11=""),
   "",
   _xlfn.LET(
      _xlpm.result,
      IFERROR(
         _xlfn.XLOOKUP(
            1,
            (Table8[رقم الصنف]=A640)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0" s="27" t="str" cm="1">
        <f t="array" ref="C640">IF(
   A640="",
   "",
   _xlfn.LET(
      _xlpm.result,
      IFERROR(
         _xlfn.XLOOKUP(
            1,
            (Table8[رقم الصنف]=A640) *
            (IF($B$9="الكل",1, YEAR('ادخال البيانات'!$N$3:$N$1164) = VALUE($B$9))) *
            (IF($B$10="الكل",1, MONTH('ادخال البيانات'!$N$3:$N$1164) = VALUE($B$10))) *
            (IF($B$11="الكل",1, INT((DAY('ادخال البيانات'!$N$3:$N$1164)-1)/7)+1 = VALUE($B$11))),
            'ادخال البيانات'!$C$3:$C$1164
         ),
         ""
      ),
      IF(_xlpm.result="", "", _xlpm.result)
   )
)</f>
        <v/>
      </c>
      <c r="D640" s="27" t="str" cm="1">
        <f t="array" ref="D640">IF(
   OR(A640="", $B$9="", $B$10="", $B$11=""),
   "",
   _xlfn.LET(
      _xlpm.result,
      IFERROR(
         _xlfn.XLOOKUP(
            1,
            (Table8[رقم الصنف]=A640) *
            (IF($B$9="الكل",1, YEAR('ادخال البيانات'!$N$3:$N$1164)=VALUE($B$9))) *
            (IF($B$10="الكل",1, MONTH('ادخال البيانات'!$N$3:$N$1164)=VALUE($B$10))) *
            (IF($B$11="الكل",1, INT((DAY('ادخال البيانات'!$N$3:$N$1164)-1)/7)+1 = VALUE($B$11))),
            'ادخال البيانات'!$D$3:$D$1164
         ),
         ""
      ),
      IF(_xlpm.result="", "", _xlpm.result)
   )
)</f>
        <v/>
      </c>
      <c r="E640" s="27" t="str" cm="1">
        <f t="array" ref="E640">IF(
   A640="",
   "",
   _xlfn.LET(
      _xlpm.result,
      IFERROR(
         _xlfn.XLOOKUP(
            1,
            (Table8[رقم الصنف]=A640) *
            (IF($B$9="الكل",1, YEAR('ادخال البيانات'!$N$3:$N$1164)=VALUE($B$9))) *
            (IF($B$10="الكل",1, MONTH('ادخال البيانات'!$N$3:$N$1164)=VALUE($B$10))) *
            (IF($B$11="الكل",1, INT((DAY('ادخال البيانات'!$N$3:$N$1164)-1)/7)+1 = VALUE($B$11))),
            'ادخال البيانات'!$E$3:$E$1164
         ),
         ""
      ),
      IF(_xlpm.result="", "", _xlpm.result)
   )
)</f>
        <v/>
      </c>
      <c r="F640" s="27" t="str" cm="1">
        <f t="array" ref="F640">IF(
   A640="",
   "",
   _xlfn.LET(
      _xlpm.result,
      IFERROR(
         _xlfn.XLOOKUP(
            1,
            (Table8[رقم الصنف]=A640) *
            (IF($B$9="الكل",1, YEAR('ادخال البيانات'!$N$3:$N$1164) = VALUE($B$9))) *
            (IF($B$10="الكل",1, MONTH('ادخال البيانات'!$N$3:$N$1164) = VALUE($B$10))) *
            (IF($B$11="الكل",1, INT((DAY('ادخال البيانات'!$N$3:$N$1164)-1)/7)+1 = VALUE($B$11))),
            'ادخال البيانات'!$F$3:$F$1164
         ),
         ""
      ),
      IF(_xlpm.result="", "", _xlpm.result)
   )
)</f>
        <v/>
      </c>
      <c r="G640" s="27" t="str" cm="1">
        <f t="array" ref="G640">IF(
   A640="",
   "",
   _xlfn.LET(
      _xlpm.result,
      IFERROR(
         _xlfn.XLOOKUP(
            1,
            (Table8[رقم الصنف]=A640) *
            (IF($B$9="الكل",1, YEAR('ادخال البيانات'!$N$3:$N$1164)=VALUE($B$9))) *
            (IF($B$10="الكل",1, MONTH('ادخال البيانات'!$N$3:$N$1164)=VALUE($B$10))) *
            (IF($B$11="الكل",1, INT((DAY('ادخال البيانات'!$N$3:$N$1164)-1)/7)+1 = VALUE($B$11))),
            'ادخال البيانات'!$G$3:$G$1164
         ),
         ""
      ),
      IF(_xlpm.result="", "", _xlpm.result)
   )
)</f>
        <v/>
      </c>
      <c r="H640" s="27" t="str" cm="1">
        <f t="array" ref="H640">IF(
   A640="",
   "",
   _xlfn.LET(
      _xlpm.result,
      IFERROR(
         _xlfn.XLOOKUP(
            1,
            (Table8[رقم الصنف]=A640) *
            (IF($B$9="الكل",1, YEAR('ادخال البيانات'!$N$3:$N$1164)=VALUE($B$9))) *
            (IF($B$10="الكل",1, MONTH('ادخال البيانات'!$N$3:$N$1164)=VALUE($B$10))) *
            (IF($B$11="الكل",1, INT((DAY('ادخال البيانات'!$N$3:$N$1164)-1)/7)+1 = VALUE($B$11))),
            'ادخال البيانات'!$H$3:$H$1164
         ),
         ""
      ),
      IF(_xlpm.result="", "", _xlpm.result)
   )
)</f>
        <v/>
      </c>
      <c r="I640" s="27" t="str" cm="1">
        <f t="array" ref="I640">IF(
   A640="",
   "",
   _xlfn.LET(
      _xlpm.result,
      IFERROR(
         _xlfn.XLOOKUP(
            1,
            (Table8[رقم الصنف]=A640) *
            (IF($B$9="الكل",1, YEAR('ادخال البيانات'!$N$3:$N$1164)=VALUE($B$9))) *
            (IF($B$10="الكل",1, MONTH('ادخال البيانات'!$N$3:$N$1164)=VALUE($B$10))) *
            (IF($B$11="الكل",1, INT((DAY('ادخال البيانات'!$N$3:$N$1164)-1)/7)+1 = VALUE($B$11))),
            'ادخال البيانات'!$I$3:$I$1164
         ),
         ""
      ),
      IF(_xlpm.result="", "", _xlpm.result)
   )
)</f>
        <v/>
      </c>
      <c r="J640" s="27" t="str" cm="1">
        <f t="array" ref="J640">IF(
   A640="",
   "",
   _xlfn.LET(
      _xlpm.result,
      IFERROR(
         _xlfn.XLOOKUP(
            1,
            (Table8[رقم الصنف]=A640) *
            (IF($B$9="الكل",1, YEAR('ادخال البيانات'!$N$3:$N$1164)=VALUE($B$9))) *
            (IF($B$10="الكل",1, MONTH('ادخال البيانات'!$N$3:$N$1164)=VALUE($B$10))) *
            (IF($B$11="الكل",1, INT((DAY('ادخال البيانات'!$N$3:$N$1164)-1)/7)+1 = VALUE($B$11))),
            'ادخال البيانات'!$J$3:$J$1164
         ),
         ""
      ),
      IF(_xlpm.result="", "", _xlpm.result)
   )
)</f>
        <v/>
      </c>
      <c r="K640" s="27" t="str" cm="1">
        <f t="array" ref="K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0" s="27" t="str" cm="1">
        <f t="array" ref="L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0" s="27" t="str" cm="1">
        <f t="array" ref="M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0" s="28" t="str" cm="1">
        <f t="array" ref="N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0" s="28" t="str" cm="1">
        <f t="array" ref="O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0" s="27" t="str" cm="1">
        <f t="array" ref="P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Table8[جهة العطل]
         ),
         ""
      ),
      IF(_xlpm.result="", "", _xlpm.result)
   )
)</f>
        <v/>
      </c>
      <c r="Q640" s="27" t="str" cm="1">
        <f t="array" ref="Q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Table8[المركز]
         ),
         ""
      ),
      IF(_xlpm.result="", "", _xlpm.result)
   )
)</f>
        <v/>
      </c>
      <c r="R640" s="27" t="str" cm="1">
        <f t="array" ref="R640">IF(
   A640="",
   "",
   _xlfn.LET(
      _xlpm.result,
      IFERROR(
         _xlfn.XLOOKUP(
            1,
            (Table8[رقم الصنف]=A640) *
            (IF($B$9="الكل",1, YEAR('ادخال البيانات'!$N$3:$N$1164) = VALUE($B$9))) *
            (IF($B$10="الكل",1, MONTH('ادخال البيانات'!$N$3:$N$1164) = VALUE($B$10))) *
            (IF($B$11="الكل",1, INT((DAY('ادخال البيانات'!$N$3:$N$1164) - 1) / 7) + 1 = VALUE($B$11))),
            Table8[ملاحظة]
         ),
         ""
      ),
      IF(_xlpm.result="", "", _xlpm.result)
   )
)</f>
        <v/>
      </c>
      <c r="S640" s="46" t="str">
        <f t="shared" ca="1" si="10"/>
        <v/>
      </c>
    </row>
    <row r="641" spans="1:19" ht="27.75" customHeight="1" thickTop="1" thickBot="1" x14ac:dyDescent="0.35">
      <c r="A641" s="39"/>
      <c r="B641" s="27" t="str" cm="1">
        <f t="array" ref="B641">IF(
   OR(A641="", $B$9="", $B$10="", $B$11=""),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1" s="27" t="str" cm="1">
        <f t="array" ref="C641">IF(
   A641="",
   "",
   _xlfn.LET(
      _xlpm.result,
      IFERROR(
         _xlfn.XLOOKUP(
            1,
            (Table8[رقم الصنف]=A641) *
            (IF($B$9="الكل",1, YEAR('ادخال البيانات'!$N$3:$N$1164) = VALUE($B$9))) *
            (IF($B$10="الكل",1, MONTH('ادخال البيانات'!$N$3:$N$1164) = VALUE($B$10))) *
            (IF($B$11="الكل",1, INT((DAY('ادخال البيانات'!$N$3:$N$1164)-1)/7)+1 = VALUE($B$11))),
            'ادخال البيانات'!$C$3:$C$1164
         ),
         ""
      ),
      IF(_xlpm.result="", "", _xlpm.result)
   )
)</f>
        <v/>
      </c>
      <c r="D641" s="27" t="str" cm="1">
        <f t="array" ref="D641">IF(
   OR(A641="", $B$9="", $B$10="", $B$11=""),
   "",
   _xlfn.LET(
      _xlpm.result,
      IFERROR(
         _xlfn.XLOOKUP(
            1,
            (Table8[رقم الصنف]=A641) *
            (IF($B$9="الكل",1, YEAR('ادخال البيانات'!$N$3:$N$1164)=VALUE($B$9))) *
            (IF($B$10="الكل",1, MONTH('ادخال البيانات'!$N$3:$N$1164)=VALUE($B$10))) *
            (IF($B$11="الكل",1, INT((DAY('ادخال البيانات'!$N$3:$N$1164)-1)/7)+1 = VALUE($B$11))),
            'ادخال البيانات'!$D$3:$D$1164
         ),
         ""
      ),
      IF(_xlpm.result="", "", _xlpm.result)
   )
)</f>
        <v/>
      </c>
      <c r="E641" s="27" t="str" cm="1">
        <f t="array" ref="E641">IF(
   A641="",
   "",
   _xlfn.LET(
      _xlpm.result,
      IFERROR(
         _xlfn.XLOOKUP(
            1,
            (Table8[رقم الصنف]=A641) *
            (IF($B$9="الكل",1, YEAR('ادخال البيانات'!$N$3:$N$1164)=VALUE($B$9))) *
            (IF($B$10="الكل",1, MONTH('ادخال البيانات'!$N$3:$N$1164)=VALUE($B$10))) *
            (IF($B$11="الكل",1, INT((DAY('ادخال البيانات'!$N$3:$N$1164)-1)/7)+1 = VALUE($B$11))),
            'ادخال البيانات'!$E$3:$E$1164
         ),
         ""
      ),
      IF(_xlpm.result="", "", _xlpm.result)
   )
)</f>
        <v/>
      </c>
      <c r="F641" s="27" t="str" cm="1">
        <f t="array" ref="F641">IF(
   A641="",
   "",
   _xlfn.LET(
      _xlpm.result,
      IFERROR(
         _xlfn.XLOOKUP(
            1,
            (Table8[رقم الصنف]=A641) *
            (IF($B$9="الكل",1, YEAR('ادخال البيانات'!$N$3:$N$1164) = VALUE($B$9))) *
            (IF($B$10="الكل",1, MONTH('ادخال البيانات'!$N$3:$N$1164) = VALUE($B$10))) *
            (IF($B$11="الكل",1, INT((DAY('ادخال البيانات'!$N$3:$N$1164)-1)/7)+1 = VALUE($B$11))),
            'ادخال البيانات'!$F$3:$F$1164
         ),
         ""
      ),
      IF(_xlpm.result="", "", _xlpm.result)
   )
)</f>
        <v/>
      </c>
      <c r="G641" s="27" t="str" cm="1">
        <f t="array" ref="G641">IF(
   A641="",
   "",
   _xlfn.LET(
      _xlpm.result,
      IFERROR(
         _xlfn.XLOOKUP(
            1,
            (Table8[رقم الصنف]=A641) *
            (IF($B$9="الكل",1, YEAR('ادخال البيانات'!$N$3:$N$1164)=VALUE($B$9))) *
            (IF($B$10="الكل",1, MONTH('ادخال البيانات'!$N$3:$N$1164)=VALUE($B$10))) *
            (IF($B$11="الكل",1, INT((DAY('ادخال البيانات'!$N$3:$N$1164)-1)/7)+1 = VALUE($B$11))),
            'ادخال البيانات'!$G$3:$G$1164
         ),
         ""
      ),
      IF(_xlpm.result="", "", _xlpm.result)
   )
)</f>
        <v/>
      </c>
      <c r="H641" s="27" t="str" cm="1">
        <f t="array" ref="H641">IF(
   A641="",
   "",
   _xlfn.LET(
      _xlpm.result,
      IFERROR(
         _xlfn.XLOOKUP(
            1,
            (Table8[رقم الصنف]=A641) *
            (IF($B$9="الكل",1, YEAR('ادخال البيانات'!$N$3:$N$1164)=VALUE($B$9))) *
            (IF($B$10="الكل",1, MONTH('ادخال البيانات'!$N$3:$N$1164)=VALUE($B$10))) *
            (IF($B$11="الكل",1, INT((DAY('ادخال البيانات'!$N$3:$N$1164)-1)/7)+1 = VALUE($B$11))),
            'ادخال البيانات'!$H$3:$H$1164
         ),
         ""
      ),
      IF(_xlpm.result="", "", _xlpm.result)
   )
)</f>
        <v/>
      </c>
      <c r="I641" s="27" t="str" cm="1">
        <f t="array" ref="I641">IF(
   A641="",
   "",
   _xlfn.LET(
      _xlpm.result,
      IFERROR(
         _xlfn.XLOOKUP(
            1,
            (Table8[رقم الصنف]=A641) *
            (IF($B$9="الكل",1, YEAR('ادخال البيانات'!$N$3:$N$1164)=VALUE($B$9))) *
            (IF($B$10="الكل",1, MONTH('ادخال البيانات'!$N$3:$N$1164)=VALUE($B$10))) *
            (IF($B$11="الكل",1, INT((DAY('ادخال البيانات'!$N$3:$N$1164)-1)/7)+1 = VALUE($B$11))),
            'ادخال البيانات'!$I$3:$I$1164
         ),
         ""
      ),
      IF(_xlpm.result="", "", _xlpm.result)
   )
)</f>
        <v/>
      </c>
      <c r="J641" s="27" t="str" cm="1">
        <f t="array" ref="J641">IF(
   A641="",
   "",
   _xlfn.LET(
      _xlpm.result,
      IFERROR(
         _xlfn.XLOOKUP(
            1,
            (Table8[رقم الصنف]=A641) *
            (IF($B$9="الكل",1, YEAR('ادخال البيانات'!$N$3:$N$1164)=VALUE($B$9))) *
            (IF($B$10="الكل",1, MONTH('ادخال البيانات'!$N$3:$N$1164)=VALUE($B$10))) *
            (IF($B$11="الكل",1, INT((DAY('ادخال البيانات'!$N$3:$N$1164)-1)/7)+1 = VALUE($B$11))),
            'ادخال البيانات'!$J$3:$J$1164
         ),
         ""
      ),
      IF(_xlpm.result="", "", _xlpm.result)
   )
)</f>
        <v/>
      </c>
      <c r="K641" s="27" t="str" cm="1">
        <f t="array" ref="K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1" s="27" t="str" cm="1">
        <f t="array" ref="L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1" s="27" t="str" cm="1">
        <f t="array" ref="M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1" s="28" t="str" cm="1">
        <f t="array" ref="N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1" s="28" t="str" cm="1">
        <f t="array" ref="O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1" s="27" t="str" cm="1">
        <f t="array" ref="P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Table8[جهة العطل]
         ),
         ""
      ),
      IF(_xlpm.result="", "", _xlpm.result)
   )
)</f>
        <v/>
      </c>
      <c r="Q641" s="27" t="str" cm="1">
        <f t="array" ref="Q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Table8[المركز]
         ),
         ""
      ),
      IF(_xlpm.result="", "", _xlpm.result)
   )
)</f>
        <v/>
      </c>
      <c r="R641" s="27" t="str" cm="1">
        <f t="array" ref="R641">IF(
   A641="",
   "",
   _xlfn.LET(
      _xlpm.result,
      IFERROR(
         _xlfn.XLOOKUP(
            1,
            (Table8[رقم الصنف]=A641) *
            (IF($B$9="الكل",1, YEAR('ادخال البيانات'!$N$3:$N$1164) = VALUE($B$9))) *
            (IF($B$10="الكل",1, MONTH('ادخال البيانات'!$N$3:$N$1164) = VALUE($B$10))) *
            (IF($B$11="الكل",1, INT((DAY('ادخال البيانات'!$N$3:$N$1164) - 1) / 7) + 1 = VALUE($B$11))),
            Table8[ملاحظة]
         ),
         ""
      ),
      IF(_xlpm.result="", "", _xlpm.result)
   )
)</f>
        <v/>
      </c>
      <c r="S641" s="46" t="str">
        <f t="shared" ca="1" si="10"/>
        <v/>
      </c>
    </row>
    <row r="642" spans="1:19" ht="27.75" customHeight="1" thickTop="1" thickBot="1" x14ac:dyDescent="0.35">
      <c r="A642" s="39"/>
      <c r="B642" s="27" t="str" cm="1">
        <f t="array" ref="B642">IF(
   OR(A642="", $B$9="", $B$10="", $B$11=""),
   "",
   _xlfn.LET(
      _xlpm.result,
      IFERROR(
         _xlfn.XLOOKUP(
            1,
            (Table8[رقم الصنف]=A642)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2" s="27" t="str" cm="1">
        <f t="array" ref="C642">IF(
   A642="",
   "",
   _xlfn.LET(
      _xlpm.result,
      IFERROR(
         _xlfn.XLOOKUP(
            1,
            (Table8[رقم الصنف]=A642) *
            (IF($B$9="الكل",1, YEAR('ادخال البيانات'!$N$3:$N$1164) = VALUE($B$9))) *
            (IF($B$10="الكل",1, MONTH('ادخال البيانات'!$N$3:$N$1164) = VALUE($B$10))) *
            (IF($B$11="الكل",1, INT((DAY('ادخال البيانات'!$N$3:$N$1164)-1)/7)+1 = VALUE($B$11))),
            'ادخال البيانات'!$C$3:$C$1164
         ),
         ""
      ),
      IF(_xlpm.result="", "", _xlpm.result)
   )
)</f>
        <v/>
      </c>
      <c r="D642" s="27" t="str" cm="1">
        <f t="array" ref="D642">IF(
   OR(A642="", $B$9="", $B$10="", $B$11=""),
   "",
   _xlfn.LET(
      _xlpm.result,
      IFERROR(
         _xlfn.XLOOKUP(
            1,
            (Table8[رقم الصنف]=A642) *
            (IF($B$9="الكل",1, YEAR('ادخال البيانات'!$N$3:$N$1164)=VALUE($B$9))) *
            (IF($B$10="الكل",1, MONTH('ادخال البيانات'!$N$3:$N$1164)=VALUE($B$10))) *
            (IF($B$11="الكل",1, INT((DAY('ادخال البيانات'!$N$3:$N$1164)-1)/7)+1 = VALUE($B$11))),
            'ادخال البيانات'!$D$3:$D$1164
         ),
         ""
      ),
      IF(_xlpm.result="", "", _xlpm.result)
   )
)</f>
        <v/>
      </c>
      <c r="E642" s="27" t="str" cm="1">
        <f t="array" ref="E642">IF(
   A642="",
   "",
   _xlfn.LET(
      _xlpm.result,
      IFERROR(
         _xlfn.XLOOKUP(
            1,
            (Table8[رقم الصنف]=A642) *
            (IF($B$9="الكل",1, YEAR('ادخال البيانات'!$N$3:$N$1164)=VALUE($B$9))) *
            (IF($B$10="الكل",1, MONTH('ادخال البيانات'!$N$3:$N$1164)=VALUE($B$10))) *
            (IF($B$11="الكل",1, INT((DAY('ادخال البيانات'!$N$3:$N$1164)-1)/7)+1 = VALUE($B$11))),
            'ادخال البيانات'!$E$3:$E$1164
         ),
         ""
      ),
      IF(_xlpm.result="", "", _xlpm.result)
   )
)</f>
        <v/>
      </c>
      <c r="F642" s="27" t="str" cm="1">
        <f t="array" ref="F642">IF(
   A642="",
   "",
   _xlfn.LET(
      _xlpm.result,
      IFERROR(
         _xlfn.XLOOKUP(
            1,
            (Table8[رقم الصنف]=A642) *
            (IF($B$9="الكل",1, YEAR('ادخال البيانات'!$N$3:$N$1164) = VALUE($B$9))) *
            (IF($B$10="الكل",1, MONTH('ادخال البيانات'!$N$3:$N$1164) = VALUE($B$10))) *
            (IF($B$11="الكل",1, INT((DAY('ادخال البيانات'!$N$3:$N$1164)-1)/7)+1 = VALUE($B$11))),
            'ادخال البيانات'!$F$3:$F$1164
         ),
         ""
      ),
      IF(_xlpm.result="", "", _xlpm.result)
   )
)</f>
        <v/>
      </c>
      <c r="G642" s="27" t="str" cm="1">
        <f t="array" ref="G642">IF(
   A642="",
   "",
   _xlfn.LET(
      _xlpm.result,
      IFERROR(
         _xlfn.XLOOKUP(
            1,
            (Table8[رقم الصنف]=A642) *
            (IF($B$9="الكل",1, YEAR('ادخال البيانات'!$N$3:$N$1164)=VALUE($B$9))) *
            (IF($B$10="الكل",1, MONTH('ادخال البيانات'!$N$3:$N$1164)=VALUE($B$10))) *
            (IF($B$11="الكل",1, INT((DAY('ادخال البيانات'!$N$3:$N$1164)-1)/7)+1 = VALUE($B$11))),
            'ادخال البيانات'!$G$3:$G$1164
         ),
         ""
      ),
      IF(_xlpm.result="", "", _xlpm.result)
   )
)</f>
        <v/>
      </c>
      <c r="H642" s="27" t="str" cm="1">
        <f t="array" ref="H642">IF(
   A642="",
   "",
   _xlfn.LET(
      _xlpm.result,
      IFERROR(
         _xlfn.XLOOKUP(
            1,
            (Table8[رقم الصنف]=A642) *
            (IF($B$9="الكل",1, YEAR('ادخال البيانات'!$N$3:$N$1164)=VALUE($B$9))) *
            (IF($B$10="الكل",1, MONTH('ادخال البيانات'!$N$3:$N$1164)=VALUE($B$10))) *
            (IF($B$11="الكل",1, INT((DAY('ادخال البيانات'!$N$3:$N$1164)-1)/7)+1 = VALUE($B$11))),
            'ادخال البيانات'!$H$3:$H$1164
         ),
         ""
      ),
      IF(_xlpm.result="", "", _xlpm.result)
   )
)</f>
        <v/>
      </c>
      <c r="I642" s="27" t="str" cm="1">
        <f t="array" ref="I642">IF(
   A642="",
   "",
   _xlfn.LET(
      _xlpm.result,
      IFERROR(
         _xlfn.XLOOKUP(
            1,
            (Table8[رقم الصنف]=A642) *
            (IF($B$9="الكل",1, YEAR('ادخال البيانات'!$N$3:$N$1164)=VALUE($B$9))) *
            (IF($B$10="الكل",1, MONTH('ادخال البيانات'!$N$3:$N$1164)=VALUE($B$10))) *
            (IF($B$11="الكل",1, INT((DAY('ادخال البيانات'!$N$3:$N$1164)-1)/7)+1 = VALUE($B$11))),
            'ادخال البيانات'!$I$3:$I$1164
         ),
         ""
      ),
      IF(_xlpm.result="", "", _xlpm.result)
   )
)</f>
        <v/>
      </c>
      <c r="J642" s="27" t="str" cm="1">
        <f t="array" ref="J642">IF(
   A642="",
   "",
   _xlfn.LET(
      _xlpm.result,
      IFERROR(
         _xlfn.XLOOKUP(
            1,
            (Table8[رقم الصنف]=A642) *
            (IF($B$9="الكل",1, YEAR('ادخال البيانات'!$N$3:$N$1164)=VALUE($B$9))) *
            (IF($B$10="الكل",1, MONTH('ادخال البيانات'!$N$3:$N$1164)=VALUE($B$10))) *
            (IF($B$11="الكل",1, INT((DAY('ادخال البيانات'!$N$3:$N$1164)-1)/7)+1 = VALUE($B$11))),
            'ادخال البيانات'!$J$3:$J$1164
         ),
         ""
      ),
      IF(_xlpm.result="", "", _xlpm.result)
   )
)</f>
        <v/>
      </c>
      <c r="K642" s="27" t="str" cm="1">
        <f t="array" ref="K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2" s="27" t="str" cm="1">
        <f t="array" ref="L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2" s="27" t="str" cm="1">
        <f t="array" ref="M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2" s="28" t="str" cm="1">
        <f t="array" ref="N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2" s="28" t="str" cm="1">
        <f t="array" ref="O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2" s="27" t="str" cm="1">
        <f t="array" ref="P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Table8[جهة العطل]
         ),
         ""
      ),
      IF(_xlpm.result="", "", _xlpm.result)
   )
)</f>
        <v/>
      </c>
      <c r="Q642" s="27" t="str" cm="1">
        <f t="array" ref="Q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Table8[المركز]
         ),
         ""
      ),
      IF(_xlpm.result="", "", _xlpm.result)
   )
)</f>
        <v/>
      </c>
      <c r="R642" s="27" t="str" cm="1">
        <f t="array" ref="R642">IF(
   A642="",
   "",
   _xlfn.LET(
      _xlpm.result,
      IFERROR(
         _xlfn.XLOOKUP(
            1,
            (Table8[رقم الصنف]=A642) *
            (IF($B$9="الكل",1, YEAR('ادخال البيانات'!$N$3:$N$1164) = VALUE($B$9))) *
            (IF($B$10="الكل",1, MONTH('ادخال البيانات'!$N$3:$N$1164) = VALUE($B$10))) *
            (IF($B$11="الكل",1, INT((DAY('ادخال البيانات'!$N$3:$N$1164) - 1) / 7) + 1 = VALUE($B$11))),
            Table8[ملاحظة]
         ),
         ""
      ),
      IF(_xlpm.result="", "", _xlpm.result)
   )
)</f>
        <v/>
      </c>
      <c r="S642" s="46" t="str">
        <f t="shared" ca="1" si="10"/>
        <v/>
      </c>
    </row>
    <row r="643" spans="1:19" ht="27.75" customHeight="1" thickTop="1" thickBot="1" x14ac:dyDescent="0.35">
      <c r="A643" s="39"/>
      <c r="B643" s="27" t="str" cm="1">
        <f t="array" ref="B643">IF(
   OR(A643="", $B$9="", $B$10="", $B$11=""),
   "",
   _xlfn.LET(
      _xlpm.result,
      IFERROR(
         _xlfn.XLOOKUP(
            1,
            (Table8[رقم الصنف]=A643)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3" s="27" t="str" cm="1">
        <f t="array" ref="C643">IF(
   A643="",
   "",
   _xlfn.LET(
      _xlpm.result,
      IFERROR(
         _xlfn.XLOOKUP(
            1,
            (Table8[رقم الصنف]=A643) *
            (IF($B$9="الكل",1, YEAR('ادخال البيانات'!$N$3:$N$1164) = VALUE($B$9))) *
            (IF($B$10="الكل",1, MONTH('ادخال البيانات'!$N$3:$N$1164) = VALUE($B$10))) *
            (IF($B$11="الكل",1, INT((DAY('ادخال البيانات'!$N$3:$N$1164)-1)/7)+1 = VALUE($B$11))),
            'ادخال البيانات'!$C$3:$C$1164
         ),
         ""
      ),
      IF(_xlpm.result="", "", _xlpm.result)
   )
)</f>
        <v/>
      </c>
      <c r="D643" s="27" t="str" cm="1">
        <f t="array" ref="D643">IF(
   OR(A643="", $B$9="", $B$10="", $B$11=""),
   "",
   _xlfn.LET(
      _xlpm.result,
      IFERROR(
         _xlfn.XLOOKUP(
            1,
            (Table8[رقم الصنف]=A643) *
            (IF($B$9="الكل",1, YEAR('ادخال البيانات'!$N$3:$N$1164)=VALUE($B$9))) *
            (IF($B$10="الكل",1, MONTH('ادخال البيانات'!$N$3:$N$1164)=VALUE($B$10))) *
            (IF($B$11="الكل",1, INT((DAY('ادخال البيانات'!$N$3:$N$1164)-1)/7)+1 = VALUE($B$11))),
            'ادخال البيانات'!$D$3:$D$1164
         ),
         ""
      ),
      IF(_xlpm.result="", "", _xlpm.result)
   )
)</f>
        <v/>
      </c>
      <c r="E643" s="27" t="str" cm="1">
        <f t="array" ref="E643">IF(
   A643="",
   "",
   _xlfn.LET(
      _xlpm.result,
      IFERROR(
         _xlfn.XLOOKUP(
            1,
            (Table8[رقم الصنف]=A643) *
            (IF($B$9="الكل",1, YEAR('ادخال البيانات'!$N$3:$N$1164)=VALUE($B$9))) *
            (IF($B$10="الكل",1, MONTH('ادخال البيانات'!$N$3:$N$1164)=VALUE($B$10))) *
            (IF($B$11="الكل",1, INT((DAY('ادخال البيانات'!$N$3:$N$1164)-1)/7)+1 = VALUE($B$11))),
            'ادخال البيانات'!$E$3:$E$1164
         ),
         ""
      ),
      IF(_xlpm.result="", "", _xlpm.result)
   )
)</f>
        <v/>
      </c>
      <c r="F643" s="27" t="str" cm="1">
        <f t="array" ref="F643">IF(
   A643="",
   "",
   _xlfn.LET(
      _xlpm.result,
      IFERROR(
         _xlfn.XLOOKUP(
            1,
            (Table8[رقم الصنف]=A643) *
            (IF($B$9="الكل",1, YEAR('ادخال البيانات'!$N$3:$N$1164) = VALUE($B$9))) *
            (IF($B$10="الكل",1, MONTH('ادخال البيانات'!$N$3:$N$1164) = VALUE($B$10))) *
            (IF($B$11="الكل",1, INT((DAY('ادخال البيانات'!$N$3:$N$1164)-1)/7)+1 = VALUE($B$11))),
            'ادخال البيانات'!$F$3:$F$1164
         ),
         ""
      ),
      IF(_xlpm.result="", "", _xlpm.result)
   )
)</f>
        <v/>
      </c>
      <c r="G643" s="27" t="str" cm="1">
        <f t="array" ref="G643">IF(
   A643="",
   "",
   _xlfn.LET(
      _xlpm.result,
      IFERROR(
         _xlfn.XLOOKUP(
            1,
            (Table8[رقم الصنف]=A643) *
            (IF($B$9="الكل",1, YEAR('ادخال البيانات'!$N$3:$N$1164)=VALUE($B$9))) *
            (IF($B$10="الكل",1, MONTH('ادخال البيانات'!$N$3:$N$1164)=VALUE($B$10))) *
            (IF($B$11="الكل",1, INT((DAY('ادخال البيانات'!$N$3:$N$1164)-1)/7)+1 = VALUE($B$11))),
            'ادخال البيانات'!$G$3:$G$1164
         ),
         ""
      ),
      IF(_xlpm.result="", "", _xlpm.result)
   )
)</f>
        <v/>
      </c>
      <c r="H643" s="27" t="str" cm="1">
        <f t="array" ref="H643">IF(
   A643="",
   "",
   _xlfn.LET(
      _xlpm.result,
      IFERROR(
         _xlfn.XLOOKUP(
            1,
            (Table8[رقم الصنف]=A643) *
            (IF($B$9="الكل",1, YEAR('ادخال البيانات'!$N$3:$N$1164)=VALUE($B$9))) *
            (IF($B$10="الكل",1, MONTH('ادخال البيانات'!$N$3:$N$1164)=VALUE($B$10))) *
            (IF($B$11="الكل",1, INT((DAY('ادخال البيانات'!$N$3:$N$1164)-1)/7)+1 = VALUE($B$11))),
            'ادخال البيانات'!$H$3:$H$1164
         ),
         ""
      ),
      IF(_xlpm.result="", "", _xlpm.result)
   )
)</f>
        <v/>
      </c>
      <c r="I643" s="27" t="str" cm="1">
        <f t="array" ref="I643">IF(
   A643="",
   "",
   _xlfn.LET(
      _xlpm.result,
      IFERROR(
         _xlfn.XLOOKUP(
            1,
            (Table8[رقم الصنف]=A643) *
            (IF($B$9="الكل",1, YEAR('ادخال البيانات'!$N$3:$N$1164)=VALUE($B$9))) *
            (IF($B$10="الكل",1, MONTH('ادخال البيانات'!$N$3:$N$1164)=VALUE($B$10))) *
            (IF($B$11="الكل",1, INT((DAY('ادخال البيانات'!$N$3:$N$1164)-1)/7)+1 = VALUE($B$11))),
            'ادخال البيانات'!$I$3:$I$1164
         ),
         ""
      ),
      IF(_xlpm.result="", "", _xlpm.result)
   )
)</f>
        <v/>
      </c>
      <c r="J643" s="27" t="str" cm="1">
        <f t="array" ref="J643">IF(
   A643="",
   "",
   _xlfn.LET(
      _xlpm.result,
      IFERROR(
         _xlfn.XLOOKUP(
            1,
            (Table8[رقم الصنف]=A643) *
            (IF($B$9="الكل",1, YEAR('ادخال البيانات'!$N$3:$N$1164)=VALUE($B$9))) *
            (IF($B$10="الكل",1, MONTH('ادخال البيانات'!$N$3:$N$1164)=VALUE($B$10))) *
            (IF($B$11="الكل",1, INT((DAY('ادخال البيانات'!$N$3:$N$1164)-1)/7)+1 = VALUE($B$11))),
            'ادخال البيانات'!$J$3:$J$1164
         ),
         ""
      ),
      IF(_xlpm.result="", "", _xlpm.result)
   )
)</f>
        <v/>
      </c>
      <c r="K643" s="27" t="str" cm="1">
        <f t="array" ref="K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3" s="27" t="str" cm="1">
        <f t="array" ref="L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3" s="27" t="str" cm="1">
        <f t="array" ref="M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3" s="28" t="str" cm="1">
        <f t="array" ref="N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3" s="28" t="str" cm="1">
        <f t="array" ref="O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3" s="27" t="str" cm="1">
        <f t="array" ref="P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Table8[جهة العطل]
         ),
         ""
      ),
      IF(_xlpm.result="", "", _xlpm.result)
   )
)</f>
        <v/>
      </c>
      <c r="Q643" s="27" t="str" cm="1">
        <f t="array" ref="Q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Table8[المركز]
         ),
         ""
      ),
      IF(_xlpm.result="", "", _xlpm.result)
   )
)</f>
        <v/>
      </c>
      <c r="R643" s="27" t="str" cm="1">
        <f t="array" ref="R643">IF(
   A643="",
   "",
   _xlfn.LET(
      _xlpm.result,
      IFERROR(
         _xlfn.XLOOKUP(
            1,
            (Table8[رقم الصنف]=A643) *
            (IF($B$9="الكل",1, YEAR('ادخال البيانات'!$N$3:$N$1164) = VALUE($B$9))) *
            (IF($B$10="الكل",1, MONTH('ادخال البيانات'!$N$3:$N$1164) = VALUE($B$10))) *
            (IF($B$11="الكل",1, INT((DAY('ادخال البيانات'!$N$3:$N$1164) - 1) / 7) + 1 = VALUE($B$11))),
            Table8[ملاحظة]
         ),
         ""
      ),
      IF(_xlpm.result="", "", _xlpm.result)
   )
)</f>
        <v/>
      </c>
      <c r="S643" s="46" t="str">
        <f t="shared" ca="1" si="10"/>
        <v/>
      </c>
    </row>
    <row r="644" spans="1:19" ht="27.75" customHeight="1" thickTop="1" thickBot="1" x14ac:dyDescent="0.35">
      <c r="A644" s="39"/>
      <c r="B644" s="27" t="str" cm="1">
        <f t="array" ref="B644">IF(
   OR(A644="", $B$9="", $B$10="", $B$11=""),
   "",
   _xlfn.LET(
      _xlpm.result,
      IFERROR(
         _xlfn.XLOOKUP(
            1,
            (Table8[رقم الصنف]=A644)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4" s="27" t="str" cm="1">
        <f t="array" ref="C644">IF(
   A644="",
   "",
   _xlfn.LET(
      _xlpm.result,
      IFERROR(
         _xlfn.XLOOKUP(
            1,
            (Table8[رقم الصنف]=A644) *
            (IF($B$9="الكل",1, YEAR('ادخال البيانات'!$N$3:$N$1164) = VALUE($B$9))) *
            (IF($B$10="الكل",1, MONTH('ادخال البيانات'!$N$3:$N$1164) = VALUE($B$10))) *
            (IF($B$11="الكل",1, INT((DAY('ادخال البيانات'!$N$3:$N$1164)-1)/7)+1 = VALUE($B$11))),
            'ادخال البيانات'!$C$3:$C$1164
         ),
         ""
      ),
      IF(_xlpm.result="", "", _xlpm.result)
   )
)</f>
        <v/>
      </c>
      <c r="D644" s="27" t="str" cm="1">
        <f t="array" ref="D644">IF(
   OR(A644="", $B$9="", $B$10="", $B$11=""),
   "",
   _xlfn.LET(
      _xlpm.result,
      IFERROR(
         _xlfn.XLOOKUP(
            1,
            (Table8[رقم الصنف]=A644) *
            (IF($B$9="الكل",1, YEAR('ادخال البيانات'!$N$3:$N$1164)=VALUE($B$9))) *
            (IF($B$10="الكل",1, MONTH('ادخال البيانات'!$N$3:$N$1164)=VALUE($B$10))) *
            (IF($B$11="الكل",1, INT((DAY('ادخال البيانات'!$N$3:$N$1164)-1)/7)+1 = VALUE($B$11))),
            'ادخال البيانات'!$D$3:$D$1164
         ),
         ""
      ),
      IF(_xlpm.result="", "", _xlpm.result)
   )
)</f>
        <v/>
      </c>
      <c r="E644" s="27" t="str" cm="1">
        <f t="array" ref="E644">IF(
   A644="",
   "",
   _xlfn.LET(
      _xlpm.result,
      IFERROR(
         _xlfn.XLOOKUP(
            1,
            (Table8[رقم الصنف]=A644) *
            (IF($B$9="الكل",1, YEAR('ادخال البيانات'!$N$3:$N$1164)=VALUE($B$9))) *
            (IF($B$10="الكل",1, MONTH('ادخال البيانات'!$N$3:$N$1164)=VALUE($B$10))) *
            (IF($B$11="الكل",1, INT((DAY('ادخال البيانات'!$N$3:$N$1164)-1)/7)+1 = VALUE($B$11))),
            'ادخال البيانات'!$E$3:$E$1164
         ),
         ""
      ),
      IF(_xlpm.result="", "", _xlpm.result)
   )
)</f>
        <v/>
      </c>
      <c r="F644" s="27" t="str" cm="1">
        <f t="array" ref="F644">IF(
   A644="",
   "",
   _xlfn.LET(
      _xlpm.result,
      IFERROR(
         _xlfn.XLOOKUP(
            1,
            (Table8[رقم الصنف]=A644) *
            (IF($B$9="الكل",1, YEAR('ادخال البيانات'!$N$3:$N$1164) = VALUE($B$9))) *
            (IF($B$10="الكل",1, MONTH('ادخال البيانات'!$N$3:$N$1164) = VALUE($B$10))) *
            (IF($B$11="الكل",1, INT((DAY('ادخال البيانات'!$N$3:$N$1164)-1)/7)+1 = VALUE($B$11))),
            'ادخال البيانات'!$F$3:$F$1164
         ),
         ""
      ),
      IF(_xlpm.result="", "", _xlpm.result)
   )
)</f>
        <v/>
      </c>
      <c r="G644" s="27" t="str" cm="1">
        <f t="array" ref="G644">IF(
   A644="",
   "",
   _xlfn.LET(
      _xlpm.result,
      IFERROR(
         _xlfn.XLOOKUP(
            1,
            (Table8[رقم الصنف]=A644) *
            (IF($B$9="الكل",1, YEAR('ادخال البيانات'!$N$3:$N$1164)=VALUE($B$9))) *
            (IF($B$10="الكل",1, MONTH('ادخال البيانات'!$N$3:$N$1164)=VALUE($B$10))) *
            (IF($B$11="الكل",1, INT((DAY('ادخال البيانات'!$N$3:$N$1164)-1)/7)+1 = VALUE($B$11))),
            'ادخال البيانات'!$G$3:$G$1164
         ),
         ""
      ),
      IF(_xlpm.result="", "", _xlpm.result)
   )
)</f>
        <v/>
      </c>
      <c r="H644" s="27" t="str" cm="1">
        <f t="array" ref="H644">IF(
   A644="",
   "",
   _xlfn.LET(
      _xlpm.result,
      IFERROR(
         _xlfn.XLOOKUP(
            1,
            (Table8[رقم الصنف]=A644) *
            (IF($B$9="الكل",1, YEAR('ادخال البيانات'!$N$3:$N$1164)=VALUE($B$9))) *
            (IF($B$10="الكل",1, MONTH('ادخال البيانات'!$N$3:$N$1164)=VALUE($B$10))) *
            (IF($B$11="الكل",1, INT((DAY('ادخال البيانات'!$N$3:$N$1164)-1)/7)+1 = VALUE($B$11))),
            'ادخال البيانات'!$H$3:$H$1164
         ),
         ""
      ),
      IF(_xlpm.result="", "", _xlpm.result)
   )
)</f>
        <v/>
      </c>
      <c r="I644" s="27" t="str" cm="1">
        <f t="array" ref="I644">IF(
   A644="",
   "",
   _xlfn.LET(
      _xlpm.result,
      IFERROR(
         _xlfn.XLOOKUP(
            1,
            (Table8[رقم الصنف]=A644) *
            (IF($B$9="الكل",1, YEAR('ادخال البيانات'!$N$3:$N$1164)=VALUE($B$9))) *
            (IF($B$10="الكل",1, MONTH('ادخال البيانات'!$N$3:$N$1164)=VALUE($B$10))) *
            (IF($B$11="الكل",1, INT((DAY('ادخال البيانات'!$N$3:$N$1164)-1)/7)+1 = VALUE($B$11))),
            'ادخال البيانات'!$I$3:$I$1164
         ),
         ""
      ),
      IF(_xlpm.result="", "", _xlpm.result)
   )
)</f>
        <v/>
      </c>
      <c r="J644" s="27" t="str" cm="1">
        <f t="array" ref="J644">IF(
   A644="",
   "",
   _xlfn.LET(
      _xlpm.result,
      IFERROR(
         _xlfn.XLOOKUP(
            1,
            (Table8[رقم الصنف]=A644) *
            (IF($B$9="الكل",1, YEAR('ادخال البيانات'!$N$3:$N$1164)=VALUE($B$9))) *
            (IF($B$10="الكل",1, MONTH('ادخال البيانات'!$N$3:$N$1164)=VALUE($B$10))) *
            (IF($B$11="الكل",1, INT((DAY('ادخال البيانات'!$N$3:$N$1164)-1)/7)+1 = VALUE($B$11))),
            'ادخال البيانات'!$J$3:$J$1164
         ),
         ""
      ),
      IF(_xlpm.result="", "", _xlpm.result)
   )
)</f>
        <v/>
      </c>
      <c r="K644" s="27" t="str" cm="1">
        <f t="array" ref="K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4" s="27" t="str" cm="1">
        <f t="array" ref="L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4" s="27" t="str" cm="1">
        <f t="array" ref="M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4" s="28" t="str" cm="1">
        <f t="array" ref="N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4" s="28" t="str" cm="1">
        <f t="array" ref="O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4" s="27" t="str" cm="1">
        <f t="array" ref="P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Table8[جهة العطل]
         ),
         ""
      ),
      IF(_xlpm.result="", "", _xlpm.result)
   )
)</f>
        <v/>
      </c>
      <c r="Q644" s="27" t="str" cm="1">
        <f t="array" ref="Q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Table8[المركز]
         ),
         ""
      ),
      IF(_xlpm.result="", "", _xlpm.result)
   )
)</f>
        <v/>
      </c>
      <c r="R644" s="27" t="str" cm="1">
        <f t="array" ref="R644">IF(
   A644="",
   "",
   _xlfn.LET(
      _xlpm.result,
      IFERROR(
         _xlfn.XLOOKUP(
            1,
            (Table8[رقم الصنف]=A644) *
            (IF($B$9="الكل",1, YEAR('ادخال البيانات'!$N$3:$N$1164) = VALUE($B$9))) *
            (IF($B$10="الكل",1, MONTH('ادخال البيانات'!$N$3:$N$1164) = VALUE($B$10))) *
            (IF($B$11="الكل",1, INT((DAY('ادخال البيانات'!$N$3:$N$1164) - 1) / 7) + 1 = VALUE($B$11))),
            Table8[ملاحظة]
         ),
         ""
      ),
      IF(_xlpm.result="", "", _xlpm.result)
   )
)</f>
        <v/>
      </c>
      <c r="S644" s="46" t="str">
        <f t="shared" ca="1" si="10"/>
        <v/>
      </c>
    </row>
    <row r="645" spans="1:19" ht="27.75" customHeight="1" thickTop="1" thickBot="1" x14ac:dyDescent="0.35">
      <c r="A645" s="39"/>
      <c r="B645" s="27" t="str" cm="1">
        <f t="array" ref="B645">IF(
   OR(A645="", $B$9="", $B$10="", $B$11=""),
   "",
   _xlfn.LET(
      _xlpm.result,
      IFERROR(
         _xlfn.XLOOKUP(
            1,
            (Table8[رقم الصنف]=A645)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5" s="27" t="str" cm="1">
        <f t="array" ref="C645">IF(
   A645="",
   "",
   _xlfn.LET(
      _xlpm.result,
      IFERROR(
         _xlfn.XLOOKUP(
            1,
            (Table8[رقم الصنف]=A645) *
            (IF($B$9="الكل",1, YEAR('ادخال البيانات'!$N$3:$N$1164) = VALUE($B$9))) *
            (IF($B$10="الكل",1, MONTH('ادخال البيانات'!$N$3:$N$1164) = VALUE($B$10))) *
            (IF($B$11="الكل",1, INT((DAY('ادخال البيانات'!$N$3:$N$1164)-1)/7)+1 = VALUE($B$11))),
            'ادخال البيانات'!$C$3:$C$1164
         ),
         ""
      ),
      IF(_xlpm.result="", "", _xlpm.result)
   )
)</f>
        <v/>
      </c>
      <c r="D645" s="27" t="str" cm="1">
        <f t="array" ref="D645">IF(
   OR(A645="", $B$9="", $B$10="", $B$11=""),
   "",
   _xlfn.LET(
      _xlpm.result,
      IFERROR(
         _xlfn.XLOOKUP(
            1,
            (Table8[رقم الصنف]=A645) *
            (IF($B$9="الكل",1, YEAR('ادخال البيانات'!$N$3:$N$1164)=VALUE($B$9))) *
            (IF($B$10="الكل",1, MONTH('ادخال البيانات'!$N$3:$N$1164)=VALUE($B$10))) *
            (IF($B$11="الكل",1, INT((DAY('ادخال البيانات'!$N$3:$N$1164)-1)/7)+1 = VALUE($B$11))),
            'ادخال البيانات'!$D$3:$D$1164
         ),
         ""
      ),
      IF(_xlpm.result="", "", _xlpm.result)
   )
)</f>
        <v/>
      </c>
      <c r="E645" s="27" t="str" cm="1">
        <f t="array" ref="E645">IF(
   A645="",
   "",
   _xlfn.LET(
      _xlpm.result,
      IFERROR(
         _xlfn.XLOOKUP(
            1,
            (Table8[رقم الصنف]=A645) *
            (IF($B$9="الكل",1, YEAR('ادخال البيانات'!$N$3:$N$1164)=VALUE($B$9))) *
            (IF($B$10="الكل",1, MONTH('ادخال البيانات'!$N$3:$N$1164)=VALUE($B$10))) *
            (IF($B$11="الكل",1, INT((DAY('ادخال البيانات'!$N$3:$N$1164)-1)/7)+1 = VALUE($B$11))),
            'ادخال البيانات'!$E$3:$E$1164
         ),
         ""
      ),
      IF(_xlpm.result="", "", _xlpm.result)
   )
)</f>
        <v/>
      </c>
      <c r="F645" s="27" t="str" cm="1">
        <f t="array" ref="F645">IF(
   A645="",
   "",
   _xlfn.LET(
      _xlpm.result,
      IFERROR(
         _xlfn.XLOOKUP(
            1,
            (Table8[رقم الصنف]=A645) *
            (IF($B$9="الكل",1, YEAR('ادخال البيانات'!$N$3:$N$1164) = VALUE($B$9))) *
            (IF($B$10="الكل",1, MONTH('ادخال البيانات'!$N$3:$N$1164) = VALUE($B$10))) *
            (IF($B$11="الكل",1, INT((DAY('ادخال البيانات'!$N$3:$N$1164)-1)/7)+1 = VALUE($B$11))),
            'ادخال البيانات'!$F$3:$F$1164
         ),
         ""
      ),
      IF(_xlpm.result="", "", _xlpm.result)
   )
)</f>
        <v/>
      </c>
      <c r="G645" s="27" t="str" cm="1">
        <f t="array" ref="G645">IF(
   A645="",
   "",
   _xlfn.LET(
      _xlpm.result,
      IFERROR(
         _xlfn.XLOOKUP(
            1,
            (Table8[رقم الصنف]=A645) *
            (IF($B$9="الكل",1, YEAR('ادخال البيانات'!$N$3:$N$1164)=VALUE($B$9))) *
            (IF($B$10="الكل",1, MONTH('ادخال البيانات'!$N$3:$N$1164)=VALUE($B$10))) *
            (IF($B$11="الكل",1, INT((DAY('ادخال البيانات'!$N$3:$N$1164)-1)/7)+1 = VALUE($B$11))),
            'ادخال البيانات'!$G$3:$G$1164
         ),
         ""
      ),
      IF(_xlpm.result="", "", _xlpm.result)
   )
)</f>
        <v/>
      </c>
      <c r="H645" s="27" t="str" cm="1">
        <f t="array" ref="H645">IF(
   A645="",
   "",
   _xlfn.LET(
      _xlpm.result,
      IFERROR(
         _xlfn.XLOOKUP(
            1,
            (Table8[رقم الصنف]=A645) *
            (IF($B$9="الكل",1, YEAR('ادخال البيانات'!$N$3:$N$1164)=VALUE($B$9))) *
            (IF($B$10="الكل",1, MONTH('ادخال البيانات'!$N$3:$N$1164)=VALUE($B$10))) *
            (IF($B$11="الكل",1, INT((DAY('ادخال البيانات'!$N$3:$N$1164)-1)/7)+1 = VALUE($B$11))),
            'ادخال البيانات'!$H$3:$H$1164
         ),
         ""
      ),
      IF(_xlpm.result="", "", _xlpm.result)
   )
)</f>
        <v/>
      </c>
      <c r="I645" s="27" t="str" cm="1">
        <f t="array" ref="I645">IF(
   A645="",
   "",
   _xlfn.LET(
      _xlpm.result,
      IFERROR(
         _xlfn.XLOOKUP(
            1,
            (Table8[رقم الصنف]=A645) *
            (IF($B$9="الكل",1, YEAR('ادخال البيانات'!$N$3:$N$1164)=VALUE($B$9))) *
            (IF($B$10="الكل",1, MONTH('ادخال البيانات'!$N$3:$N$1164)=VALUE($B$10))) *
            (IF($B$11="الكل",1, INT((DAY('ادخال البيانات'!$N$3:$N$1164)-1)/7)+1 = VALUE($B$11))),
            'ادخال البيانات'!$I$3:$I$1164
         ),
         ""
      ),
      IF(_xlpm.result="", "", _xlpm.result)
   )
)</f>
        <v/>
      </c>
      <c r="J645" s="27" t="str" cm="1">
        <f t="array" ref="J645">IF(
   A645="",
   "",
   _xlfn.LET(
      _xlpm.result,
      IFERROR(
         _xlfn.XLOOKUP(
            1,
            (Table8[رقم الصنف]=A645) *
            (IF($B$9="الكل",1, YEAR('ادخال البيانات'!$N$3:$N$1164)=VALUE($B$9))) *
            (IF($B$10="الكل",1, MONTH('ادخال البيانات'!$N$3:$N$1164)=VALUE($B$10))) *
            (IF($B$11="الكل",1, INT((DAY('ادخال البيانات'!$N$3:$N$1164)-1)/7)+1 = VALUE($B$11))),
            'ادخال البيانات'!$J$3:$J$1164
         ),
         ""
      ),
      IF(_xlpm.result="", "", _xlpm.result)
   )
)</f>
        <v/>
      </c>
      <c r="K645" s="27" t="str" cm="1">
        <f t="array" ref="K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5" s="27" t="str" cm="1">
        <f t="array" ref="L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5" s="27" t="str" cm="1">
        <f t="array" ref="M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5" s="28" t="str" cm="1">
        <f t="array" ref="N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5" s="28" t="str" cm="1">
        <f t="array" ref="O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5" s="27" t="str" cm="1">
        <f t="array" ref="P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Table8[جهة العطل]
         ),
         ""
      ),
      IF(_xlpm.result="", "", _xlpm.result)
   )
)</f>
        <v/>
      </c>
      <c r="Q645" s="27" t="str" cm="1">
        <f t="array" ref="Q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Table8[المركز]
         ),
         ""
      ),
      IF(_xlpm.result="", "", _xlpm.result)
   )
)</f>
        <v/>
      </c>
      <c r="R645" s="27" t="str" cm="1">
        <f t="array" ref="R645">IF(
   A645="",
   "",
   _xlfn.LET(
      _xlpm.result,
      IFERROR(
         _xlfn.XLOOKUP(
            1,
            (Table8[رقم الصنف]=A645) *
            (IF($B$9="الكل",1, YEAR('ادخال البيانات'!$N$3:$N$1164) = VALUE($B$9))) *
            (IF($B$10="الكل",1, MONTH('ادخال البيانات'!$N$3:$N$1164) = VALUE($B$10))) *
            (IF($B$11="الكل",1, INT((DAY('ادخال البيانات'!$N$3:$N$1164) - 1) / 7) + 1 = VALUE($B$11))),
            Table8[ملاحظة]
         ),
         ""
      ),
      IF(_xlpm.result="", "", _xlpm.result)
   )
)</f>
        <v/>
      </c>
      <c r="S645" s="46" t="str">
        <f t="shared" ca="1" si="10"/>
        <v/>
      </c>
    </row>
    <row r="646" spans="1:19" ht="27.75" customHeight="1" thickTop="1" thickBot="1" x14ac:dyDescent="0.35">
      <c r="A646" s="39"/>
      <c r="B646" s="27" t="str" cm="1">
        <f t="array" ref="B646">IF(
   OR(A646="", $B$9="", $B$10="", $B$11=""),
   "",
   _xlfn.LET(
      _xlpm.result,
      IFERROR(
         _xlfn.XLOOKUP(
            1,
            (Table8[رقم الصنف]=A646)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6" s="27" t="str" cm="1">
        <f t="array" ref="C646">IF(
   A646="",
   "",
   _xlfn.LET(
      _xlpm.result,
      IFERROR(
         _xlfn.XLOOKUP(
            1,
            (Table8[رقم الصنف]=A646) *
            (IF($B$9="الكل",1, YEAR('ادخال البيانات'!$N$3:$N$1164) = VALUE($B$9))) *
            (IF($B$10="الكل",1, MONTH('ادخال البيانات'!$N$3:$N$1164) = VALUE($B$10))) *
            (IF($B$11="الكل",1, INT((DAY('ادخال البيانات'!$N$3:$N$1164)-1)/7)+1 = VALUE($B$11))),
            'ادخال البيانات'!$C$3:$C$1164
         ),
         ""
      ),
      IF(_xlpm.result="", "", _xlpm.result)
   )
)</f>
        <v/>
      </c>
      <c r="D646" s="27" t="str" cm="1">
        <f t="array" ref="D646">IF(
   OR(A646="", $B$9="", $B$10="", $B$11=""),
   "",
   _xlfn.LET(
      _xlpm.result,
      IFERROR(
         _xlfn.XLOOKUP(
            1,
            (Table8[رقم الصنف]=A646) *
            (IF($B$9="الكل",1, YEAR('ادخال البيانات'!$N$3:$N$1164)=VALUE($B$9))) *
            (IF($B$10="الكل",1, MONTH('ادخال البيانات'!$N$3:$N$1164)=VALUE($B$10))) *
            (IF($B$11="الكل",1, INT((DAY('ادخال البيانات'!$N$3:$N$1164)-1)/7)+1 = VALUE($B$11))),
            'ادخال البيانات'!$D$3:$D$1164
         ),
         ""
      ),
      IF(_xlpm.result="", "", _xlpm.result)
   )
)</f>
        <v/>
      </c>
      <c r="E646" s="27" t="str" cm="1">
        <f t="array" ref="E646">IF(
   A646="",
   "",
   _xlfn.LET(
      _xlpm.result,
      IFERROR(
         _xlfn.XLOOKUP(
            1,
            (Table8[رقم الصنف]=A646) *
            (IF($B$9="الكل",1, YEAR('ادخال البيانات'!$N$3:$N$1164)=VALUE($B$9))) *
            (IF($B$10="الكل",1, MONTH('ادخال البيانات'!$N$3:$N$1164)=VALUE($B$10))) *
            (IF($B$11="الكل",1, INT((DAY('ادخال البيانات'!$N$3:$N$1164)-1)/7)+1 = VALUE($B$11))),
            'ادخال البيانات'!$E$3:$E$1164
         ),
         ""
      ),
      IF(_xlpm.result="", "", _xlpm.result)
   )
)</f>
        <v/>
      </c>
      <c r="F646" s="27" t="str" cm="1">
        <f t="array" ref="F646">IF(
   A646="",
   "",
   _xlfn.LET(
      _xlpm.result,
      IFERROR(
         _xlfn.XLOOKUP(
            1,
            (Table8[رقم الصنف]=A646) *
            (IF($B$9="الكل",1, YEAR('ادخال البيانات'!$N$3:$N$1164) = VALUE($B$9))) *
            (IF($B$10="الكل",1, MONTH('ادخال البيانات'!$N$3:$N$1164) = VALUE($B$10))) *
            (IF($B$11="الكل",1, INT((DAY('ادخال البيانات'!$N$3:$N$1164)-1)/7)+1 = VALUE($B$11))),
            'ادخال البيانات'!$F$3:$F$1164
         ),
         ""
      ),
      IF(_xlpm.result="", "", _xlpm.result)
   )
)</f>
        <v/>
      </c>
      <c r="G646" s="27" t="str" cm="1">
        <f t="array" ref="G646">IF(
   A646="",
   "",
   _xlfn.LET(
      _xlpm.result,
      IFERROR(
         _xlfn.XLOOKUP(
            1,
            (Table8[رقم الصنف]=A646) *
            (IF($B$9="الكل",1, YEAR('ادخال البيانات'!$N$3:$N$1164)=VALUE($B$9))) *
            (IF($B$10="الكل",1, MONTH('ادخال البيانات'!$N$3:$N$1164)=VALUE($B$10))) *
            (IF($B$11="الكل",1, INT((DAY('ادخال البيانات'!$N$3:$N$1164)-1)/7)+1 = VALUE($B$11))),
            'ادخال البيانات'!$G$3:$G$1164
         ),
         ""
      ),
      IF(_xlpm.result="", "", _xlpm.result)
   )
)</f>
        <v/>
      </c>
      <c r="H646" s="27" t="str" cm="1">
        <f t="array" ref="H646">IF(
   A646="",
   "",
   _xlfn.LET(
      _xlpm.result,
      IFERROR(
         _xlfn.XLOOKUP(
            1,
            (Table8[رقم الصنف]=A646) *
            (IF($B$9="الكل",1, YEAR('ادخال البيانات'!$N$3:$N$1164)=VALUE($B$9))) *
            (IF($B$10="الكل",1, MONTH('ادخال البيانات'!$N$3:$N$1164)=VALUE($B$10))) *
            (IF($B$11="الكل",1, INT((DAY('ادخال البيانات'!$N$3:$N$1164)-1)/7)+1 = VALUE($B$11))),
            'ادخال البيانات'!$H$3:$H$1164
         ),
         ""
      ),
      IF(_xlpm.result="", "", _xlpm.result)
   )
)</f>
        <v/>
      </c>
      <c r="I646" s="27" t="str" cm="1">
        <f t="array" ref="I646">IF(
   A646="",
   "",
   _xlfn.LET(
      _xlpm.result,
      IFERROR(
         _xlfn.XLOOKUP(
            1,
            (Table8[رقم الصنف]=A646) *
            (IF($B$9="الكل",1, YEAR('ادخال البيانات'!$N$3:$N$1164)=VALUE($B$9))) *
            (IF($B$10="الكل",1, MONTH('ادخال البيانات'!$N$3:$N$1164)=VALUE($B$10))) *
            (IF($B$11="الكل",1, INT((DAY('ادخال البيانات'!$N$3:$N$1164)-1)/7)+1 = VALUE($B$11))),
            'ادخال البيانات'!$I$3:$I$1164
         ),
         ""
      ),
      IF(_xlpm.result="", "", _xlpm.result)
   )
)</f>
        <v/>
      </c>
      <c r="J646" s="27" t="str" cm="1">
        <f t="array" ref="J646">IF(
   A646="",
   "",
   _xlfn.LET(
      _xlpm.result,
      IFERROR(
         _xlfn.XLOOKUP(
            1,
            (Table8[رقم الصنف]=A646) *
            (IF($B$9="الكل",1, YEAR('ادخال البيانات'!$N$3:$N$1164)=VALUE($B$9))) *
            (IF($B$10="الكل",1, MONTH('ادخال البيانات'!$N$3:$N$1164)=VALUE($B$10))) *
            (IF($B$11="الكل",1, INT((DAY('ادخال البيانات'!$N$3:$N$1164)-1)/7)+1 = VALUE($B$11))),
            'ادخال البيانات'!$J$3:$J$1164
         ),
         ""
      ),
      IF(_xlpm.result="", "", _xlpm.result)
   )
)</f>
        <v/>
      </c>
      <c r="K646" s="27" t="str" cm="1">
        <f t="array" ref="K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6" s="27" t="str" cm="1">
        <f t="array" ref="L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6" s="27" t="str" cm="1">
        <f t="array" ref="M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6" s="28" t="str" cm="1">
        <f t="array" ref="N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6" s="28" t="str" cm="1">
        <f t="array" ref="O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6" s="27" t="str" cm="1">
        <f t="array" ref="P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Table8[جهة العطل]
         ),
         ""
      ),
      IF(_xlpm.result="", "", _xlpm.result)
   )
)</f>
        <v/>
      </c>
      <c r="Q646" s="27" t="str" cm="1">
        <f t="array" ref="Q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Table8[المركز]
         ),
         ""
      ),
      IF(_xlpm.result="", "", _xlpm.result)
   )
)</f>
        <v/>
      </c>
      <c r="R646" s="27" t="str" cm="1">
        <f t="array" ref="R646">IF(
   A646="",
   "",
   _xlfn.LET(
      _xlpm.result,
      IFERROR(
         _xlfn.XLOOKUP(
            1,
            (Table8[رقم الصنف]=A646) *
            (IF($B$9="الكل",1, YEAR('ادخال البيانات'!$N$3:$N$1164) = VALUE($B$9))) *
            (IF($B$10="الكل",1, MONTH('ادخال البيانات'!$N$3:$N$1164) = VALUE($B$10))) *
            (IF($B$11="الكل",1, INT((DAY('ادخال البيانات'!$N$3:$N$1164) - 1) / 7) + 1 = VALUE($B$11))),
            Table8[ملاحظة]
         ),
         ""
      ),
      IF(_xlpm.result="", "", _xlpm.result)
   )
)</f>
        <v/>
      </c>
      <c r="S646" s="46" t="str">
        <f t="shared" ca="1" si="10"/>
        <v/>
      </c>
    </row>
    <row r="647" spans="1:19" ht="27.75" customHeight="1" thickTop="1" thickBot="1" x14ac:dyDescent="0.35">
      <c r="A647" s="39"/>
      <c r="B647" s="27" t="str" cm="1">
        <f t="array" ref="B647">IF(
   OR(A647="", $B$9="", $B$10="", $B$11=""),
   "",
   _xlfn.LET(
      _xlpm.result,
      IFERROR(
         _xlfn.XLOOKUP(
            1,
            (Table8[رقم الصنف]=A647)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7" s="27" t="str" cm="1">
        <f t="array" ref="C647">IF(
   A647="",
   "",
   _xlfn.LET(
      _xlpm.result,
      IFERROR(
         _xlfn.XLOOKUP(
            1,
            (Table8[رقم الصنف]=A647) *
            (IF($B$9="الكل",1, YEAR('ادخال البيانات'!$N$3:$N$1164) = VALUE($B$9))) *
            (IF($B$10="الكل",1, MONTH('ادخال البيانات'!$N$3:$N$1164) = VALUE($B$10))) *
            (IF($B$11="الكل",1, INT((DAY('ادخال البيانات'!$N$3:$N$1164)-1)/7)+1 = VALUE($B$11))),
            'ادخال البيانات'!$C$3:$C$1164
         ),
         ""
      ),
      IF(_xlpm.result="", "", _xlpm.result)
   )
)</f>
        <v/>
      </c>
      <c r="D647" s="27" t="str" cm="1">
        <f t="array" ref="D647">IF(
   OR(A647="", $B$9="", $B$10="", $B$11=""),
   "",
   _xlfn.LET(
      _xlpm.result,
      IFERROR(
         _xlfn.XLOOKUP(
            1,
            (Table8[رقم الصنف]=A647) *
            (IF($B$9="الكل",1, YEAR('ادخال البيانات'!$N$3:$N$1164)=VALUE($B$9))) *
            (IF($B$10="الكل",1, MONTH('ادخال البيانات'!$N$3:$N$1164)=VALUE($B$10))) *
            (IF($B$11="الكل",1, INT((DAY('ادخال البيانات'!$N$3:$N$1164)-1)/7)+1 = VALUE($B$11))),
            'ادخال البيانات'!$D$3:$D$1164
         ),
         ""
      ),
      IF(_xlpm.result="", "", _xlpm.result)
   )
)</f>
        <v/>
      </c>
      <c r="E647" s="27" t="str" cm="1">
        <f t="array" ref="E647">IF(
   A647="",
   "",
   _xlfn.LET(
      _xlpm.result,
      IFERROR(
         _xlfn.XLOOKUP(
            1,
            (Table8[رقم الصنف]=A647) *
            (IF($B$9="الكل",1, YEAR('ادخال البيانات'!$N$3:$N$1164)=VALUE($B$9))) *
            (IF($B$10="الكل",1, MONTH('ادخال البيانات'!$N$3:$N$1164)=VALUE($B$10))) *
            (IF($B$11="الكل",1, INT((DAY('ادخال البيانات'!$N$3:$N$1164)-1)/7)+1 = VALUE($B$11))),
            'ادخال البيانات'!$E$3:$E$1164
         ),
         ""
      ),
      IF(_xlpm.result="", "", _xlpm.result)
   )
)</f>
        <v/>
      </c>
      <c r="F647" s="27" t="str" cm="1">
        <f t="array" ref="F647">IF(
   A647="",
   "",
   _xlfn.LET(
      _xlpm.result,
      IFERROR(
         _xlfn.XLOOKUP(
            1,
            (Table8[رقم الصنف]=A647) *
            (IF($B$9="الكل",1, YEAR('ادخال البيانات'!$N$3:$N$1164) = VALUE($B$9))) *
            (IF($B$10="الكل",1, MONTH('ادخال البيانات'!$N$3:$N$1164) = VALUE($B$10))) *
            (IF($B$11="الكل",1, INT((DAY('ادخال البيانات'!$N$3:$N$1164)-1)/7)+1 = VALUE($B$11))),
            'ادخال البيانات'!$F$3:$F$1164
         ),
         ""
      ),
      IF(_xlpm.result="", "", _xlpm.result)
   )
)</f>
        <v/>
      </c>
      <c r="G647" s="27" t="str" cm="1">
        <f t="array" ref="G647">IF(
   A647="",
   "",
   _xlfn.LET(
      _xlpm.result,
      IFERROR(
         _xlfn.XLOOKUP(
            1,
            (Table8[رقم الصنف]=A647) *
            (IF($B$9="الكل",1, YEAR('ادخال البيانات'!$N$3:$N$1164)=VALUE($B$9))) *
            (IF($B$10="الكل",1, MONTH('ادخال البيانات'!$N$3:$N$1164)=VALUE($B$10))) *
            (IF($B$11="الكل",1, INT((DAY('ادخال البيانات'!$N$3:$N$1164)-1)/7)+1 = VALUE($B$11))),
            'ادخال البيانات'!$G$3:$G$1164
         ),
         ""
      ),
      IF(_xlpm.result="", "", _xlpm.result)
   )
)</f>
        <v/>
      </c>
      <c r="H647" s="27" t="str" cm="1">
        <f t="array" ref="H647">IF(
   A647="",
   "",
   _xlfn.LET(
      _xlpm.result,
      IFERROR(
         _xlfn.XLOOKUP(
            1,
            (Table8[رقم الصنف]=A647) *
            (IF($B$9="الكل",1, YEAR('ادخال البيانات'!$N$3:$N$1164)=VALUE($B$9))) *
            (IF($B$10="الكل",1, MONTH('ادخال البيانات'!$N$3:$N$1164)=VALUE($B$10))) *
            (IF($B$11="الكل",1, INT((DAY('ادخال البيانات'!$N$3:$N$1164)-1)/7)+1 = VALUE($B$11))),
            'ادخال البيانات'!$H$3:$H$1164
         ),
         ""
      ),
      IF(_xlpm.result="", "", _xlpm.result)
   )
)</f>
        <v/>
      </c>
      <c r="I647" s="27" t="str" cm="1">
        <f t="array" ref="I647">IF(
   A647="",
   "",
   _xlfn.LET(
      _xlpm.result,
      IFERROR(
         _xlfn.XLOOKUP(
            1,
            (Table8[رقم الصنف]=A647) *
            (IF($B$9="الكل",1, YEAR('ادخال البيانات'!$N$3:$N$1164)=VALUE($B$9))) *
            (IF($B$10="الكل",1, MONTH('ادخال البيانات'!$N$3:$N$1164)=VALUE($B$10))) *
            (IF($B$11="الكل",1, INT((DAY('ادخال البيانات'!$N$3:$N$1164)-1)/7)+1 = VALUE($B$11))),
            'ادخال البيانات'!$I$3:$I$1164
         ),
         ""
      ),
      IF(_xlpm.result="", "", _xlpm.result)
   )
)</f>
        <v/>
      </c>
      <c r="J647" s="27" t="str" cm="1">
        <f t="array" ref="J647">IF(
   A647="",
   "",
   _xlfn.LET(
      _xlpm.result,
      IFERROR(
         _xlfn.XLOOKUP(
            1,
            (Table8[رقم الصنف]=A647) *
            (IF($B$9="الكل",1, YEAR('ادخال البيانات'!$N$3:$N$1164)=VALUE($B$9))) *
            (IF($B$10="الكل",1, MONTH('ادخال البيانات'!$N$3:$N$1164)=VALUE($B$10))) *
            (IF($B$11="الكل",1, INT((DAY('ادخال البيانات'!$N$3:$N$1164)-1)/7)+1 = VALUE($B$11))),
            'ادخال البيانات'!$J$3:$J$1164
         ),
         ""
      ),
      IF(_xlpm.result="", "", _xlpm.result)
   )
)</f>
        <v/>
      </c>
      <c r="K647" s="27" t="str" cm="1">
        <f t="array" ref="K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7" s="27" t="str" cm="1">
        <f t="array" ref="L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7" s="27" t="str" cm="1">
        <f t="array" ref="M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7" s="28" t="str" cm="1">
        <f t="array" ref="N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7" s="28" t="str" cm="1">
        <f t="array" ref="O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7" s="27" t="str" cm="1">
        <f t="array" ref="P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Table8[جهة العطل]
         ),
         ""
      ),
      IF(_xlpm.result="", "", _xlpm.result)
   )
)</f>
        <v/>
      </c>
      <c r="Q647" s="27" t="str" cm="1">
        <f t="array" ref="Q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Table8[المركز]
         ),
         ""
      ),
      IF(_xlpm.result="", "", _xlpm.result)
   )
)</f>
        <v/>
      </c>
      <c r="R647" s="27" t="str" cm="1">
        <f t="array" ref="R647">IF(
   A647="",
   "",
   _xlfn.LET(
      _xlpm.result,
      IFERROR(
         _xlfn.XLOOKUP(
            1,
            (Table8[رقم الصنف]=A647) *
            (IF($B$9="الكل",1, YEAR('ادخال البيانات'!$N$3:$N$1164) = VALUE($B$9))) *
            (IF($B$10="الكل",1, MONTH('ادخال البيانات'!$N$3:$N$1164) = VALUE($B$10))) *
            (IF($B$11="الكل",1, INT((DAY('ادخال البيانات'!$N$3:$N$1164) - 1) / 7) + 1 = VALUE($B$11))),
            Table8[ملاحظة]
         ),
         ""
      ),
      IF(_xlpm.result="", "", _xlpm.result)
   )
)</f>
        <v/>
      </c>
      <c r="S647" s="46" t="str">
        <f t="shared" ca="1" si="10"/>
        <v/>
      </c>
    </row>
    <row r="648" spans="1:19" ht="27.75" customHeight="1" thickTop="1" thickBot="1" x14ac:dyDescent="0.35">
      <c r="A648" s="39"/>
      <c r="B648" s="27" t="str" cm="1">
        <f t="array" ref="B648">IF(
   OR(A648="", $B$9="", $B$10="", $B$11=""),
   "",
   _xlfn.LET(
      _xlpm.result,
      IFERROR(
         _xlfn.XLOOKUP(
            1,
            (Table8[رقم الصنف]=A648)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8" s="27" t="str" cm="1">
        <f t="array" ref="C648">IF(
   A648="",
   "",
   _xlfn.LET(
      _xlpm.result,
      IFERROR(
         _xlfn.XLOOKUP(
            1,
            (Table8[رقم الصنف]=A648) *
            (IF($B$9="الكل",1, YEAR('ادخال البيانات'!$N$3:$N$1164) = VALUE($B$9))) *
            (IF($B$10="الكل",1, MONTH('ادخال البيانات'!$N$3:$N$1164) = VALUE($B$10))) *
            (IF($B$11="الكل",1, INT((DAY('ادخال البيانات'!$N$3:$N$1164)-1)/7)+1 = VALUE($B$11))),
            'ادخال البيانات'!$C$3:$C$1164
         ),
         ""
      ),
      IF(_xlpm.result="", "", _xlpm.result)
   )
)</f>
        <v/>
      </c>
      <c r="D648" s="27" t="str" cm="1">
        <f t="array" ref="D648">IF(
   OR(A648="", $B$9="", $B$10="", $B$11=""),
   "",
   _xlfn.LET(
      _xlpm.result,
      IFERROR(
         _xlfn.XLOOKUP(
            1,
            (Table8[رقم الصنف]=A648) *
            (IF($B$9="الكل",1, YEAR('ادخال البيانات'!$N$3:$N$1164)=VALUE($B$9))) *
            (IF($B$10="الكل",1, MONTH('ادخال البيانات'!$N$3:$N$1164)=VALUE($B$10))) *
            (IF($B$11="الكل",1, INT((DAY('ادخال البيانات'!$N$3:$N$1164)-1)/7)+1 = VALUE($B$11))),
            'ادخال البيانات'!$D$3:$D$1164
         ),
         ""
      ),
      IF(_xlpm.result="", "", _xlpm.result)
   )
)</f>
        <v/>
      </c>
      <c r="E648" s="27" t="str" cm="1">
        <f t="array" ref="E648">IF(
   A648="",
   "",
   _xlfn.LET(
      _xlpm.result,
      IFERROR(
         _xlfn.XLOOKUP(
            1,
            (Table8[رقم الصنف]=A648) *
            (IF($B$9="الكل",1, YEAR('ادخال البيانات'!$N$3:$N$1164)=VALUE($B$9))) *
            (IF($B$10="الكل",1, MONTH('ادخال البيانات'!$N$3:$N$1164)=VALUE($B$10))) *
            (IF($B$11="الكل",1, INT((DAY('ادخال البيانات'!$N$3:$N$1164)-1)/7)+1 = VALUE($B$11))),
            'ادخال البيانات'!$E$3:$E$1164
         ),
         ""
      ),
      IF(_xlpm.result="", "", _xlpm.result)
   )
)</f>
        <v/>
      </c>
      <c r="F648" s="27" t="str" cm="1">
        <f t="array" ref="F648">IF(
   A648="",
   "",
   _xlfn.LET(
      _xlpm.result,
      IFERROR(
         _xlfn.XLOOKUP(
            1,
            (Table8[رقم الصنف]=A648) *
            (IF($B$9="الكل",1, YEAR('ادخال البيانات'!$N$3:$N$1164) = VALUE($B$9))) *
            (IF($B$10="الكل",1, MONTH('ادخال البيانات'!$N$3:$N$1164) = VALUE($B$10))) *
            (IF($B$11="الكل",1, INT((DAY('ادخال البيانات'!$N$3:$N$1164)-1)/7)+1 = VALUE($B$11))),
            'ادخال البيانات'!$F$3:$F$1164
         ),
         ""
      ),
      IF(_xlpm.result="", "", _xlpm.result)
   )
)</f>
        <v/>
      </c>
      <c r="G648" s="27" t="str" cm="1">
        <f t="array" ref="G648">IF(
   A648="",
   "",
   _xlfn.LET(
      _xlpm.result,
      IFERROR(
         _xlfn.XLOOKUP(
            1,
            (Table8[رقم الصنف]=A648) *
            (IF($B$9="الكل",1, YEAR('ادخال البيانات'!$N$3:$N$1164)=VALUE($B$9))) *
            (IF($B$10="الكل",1, MONTH('ادخال البيانات'!$N$3:$N$1164)=VALUE($B$10))) *
            (IF($B$11="الكل",1, INT((DAY('ادخال البيانات'!$N$3:$N$1164)-1)/7)+1 = VALUE($B$11))),
            'ادخال البيانات'!$G$3:$G$1164
         ),
         ""
      ),
      IF(_xlpm.result="", "", _xlpm.result)
   )
)</f>
        <v/>
      </c>
      <c r="H648" s="27" t="str" cm="1">
        <f t="array" ref="H648">IF(
   A648="",
   "",
   _xlfn.LET(
      _xlpm.result,
      IFERROR(
         _xlfn.XLOOKUP(
            1,
            (Table8[رقم الصنف]=A648) *
            (IF($B$9="الكل",1, YEAR('ادخال البيانات'!$N$3:$N$1164)=VALUE($B$9))) *
            (IF($B$10="الكل",1, MONTH('ادخال البيانات'!$N$3:$N$1164)=VALUE($B$10))) *
            (IF($B$11="الكل",1, INT((DAY('ادخال البيانات'!$N$3:$N$1164)-1)/7)+1 = VALUE($B$11))),
            'ادخال البيانات'!$H$3:$H$1164
         ),
         ""
      ),
      IF(_xlpm.result="", "", _xlpm.result)
   )
)</f>
        <v/>
      </c>
      <c r="I648" s="27" t="str" cm="1">
        <f t="array" ref="I648">IF(
   A648="",
   "",
   _xlfn.LET(
      _xlpm.result,
      IFERROR(
         _xlfn.XLOOKUP(
            1,
            (Table8[رقم الصنف]=A648) *
            (IF($B$9="الكل",1, YEAR('ادخال البيانات'!$N$3:$N$1164)=VALUE($B$9))) *
            (IF($B$10="الكل",1, MONTH('ادخال البيانات'!$N$3:$N$1164)=VALUE($B$10))) *
            (IF($B$11="الكل",1, INT((DAY('ادخال البيانات'!$N$3:$N$1164)-1)/7)+1 = VALUE($B$11))),
            'ادخال البيانات'!$I$3:$I$1164
         ),
         ""
      ),
      IF(_xlpm.result="", "", _xlpm.result)
   )
)</f>
        <v/>
      </c>
      <c r="J648" s="27" t="str" cm="1">
        <f t="array" ref="J648">IF(
   A648="",
   "",
   _xlfn.LET(
      _xlpm.result,
      IFERROR(
         _xlfn.XLOOKUP(
            1,
            (Table8[رقم الصنف]=A648) *
            (IF($B$9="الكل",1, YEAR('ادخال البيانات'!$N$3:$N$1164)=VALUE($B$9))) *
            (IF($B$10="الكل",1, MONTH('ادخال البيانات'!$N$3:$N$1164)=VALUE($B$10))) *
            (IF($B$11="الكل",1, INT((DAY('ادخال البيانات'!$N$3:$N$1164)-1)/7)+1 = VALUE($B$11))),
            'ادخال البيانات'!$J$3:$J$1164
         ),
         ""
      ),
      IF(_xlpm.result="", "", _xlpm.result)
   )
)</f>
        <v/>
      </c>
      <c r="K648" s="27" t="str" cm="1">
        <f t="array" ref="K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8" s="27" t="str" cm="1">
        <f t="array" ref="L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8" s="27" t="str" cm="1">
        <f t="array" ref="M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8" s="28" t="str" cm="1">
        <f t="array" ref="N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8" s="28" t="str" cm="1">
        <f t="array" ref="O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8" s="27" t="str" cm="1">
        <f t="array" ref="P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Table8[جهة العطل]
         ),
         ""
      ),
      IF(_xlpm.result="", "", _xlpm.result)
   )
)</f>
        <v/>
      </c>
      <c r="Q648" s="27" t="str" cm="1">
        <f t="array" ref="Q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Table8[المركز]
         ),
         ""
      ),
      IF(_xlpm.result="", "", _xlpm.result)
   )
)</f>
        <v/>
      </c>
      <c r="R648" s="27" t="str" cm="1">
        <f t="array" ref="R648">IF(
   A648="",
   "",
   _xlfn.LET(
      _xlpm.result,
      IFERROR(
         _xlfn.XLOOKUP(
            1,
            (Table8[رقم الصنف]=A648) *
            (IF($B$9="الكل",1, YEAR('ادخال البيانات'!$N$3:$N$1164) = VALUE($B$9))) *
            (IF($B$10="الكل",1, MONTH('ادخال البيانات'!$N$3:$N$1164) = VALUE($B$10))) *
            (IF($B$11="الكل",1, INT((DAY('ادخال البيانات'!$N$3:$N$1164) - 1) / 7) + 1 = VALUE($B$11))),
            Table8[ملاحظة]
         ),
         ""
      ),
      IF(_xlpm.result="", "", _xlpm.result)
   )
)</f>
        <v/>
      </c>
      <c r="S648" s="46" t="str">
        <f t="shared" ca="1" si="10"/>
        <v/>
      </c>
    </row>
    <row r="649" spans="1:19" ht="27.75" customHeight="1" thickTop="1" thickBot="1" x14ac:dyDescent="0.35">
      <c r="A649" s="39"/>
      <c r="B649" s="27" t="str" cm="1">
        <f t="array" ref="B649">IF(
   OR(A649="", $B$9="", $B$10="", $B$11=""),
   "",
   _xlfn.LET(
      _xlpm.result,
      IFERROR(
         _xlfn.XLOOKUP(
            1,
            (Table8[رقم الصنف]=A649)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49" s="27" t="str" cm="1">
        <f t="array" ref="C649">IF(
   A649="",
   "",
   _xlfn.LET(
      _xlpm.result,
      IFERROR(
         _xlfn.XLOOKUP(
            1,
            (Table8[رقم الصنف]=A649) *
            (IF($B$9="الكل",1, YEAR('ادخال البيانات'!$N$3:$N$1164) = VALUE($B$9))) *
            (IF($B$10="الكل",1, MONTH('ادخال البيانات'!$N$3:$N$1164) = VALUE($B$10))) *
            (IF($B$11="الكل",1, INT((DAY('ادخال البيانات'!$N$3:$N$1164)-1)/7)+1 = VALUE($B$11))),
            'ادخال البيانات'!$C$3:$C$1164
         ),
         ""
      ),
      IF(_xlpm.result="", "", _xlpm.result)
   )
)</f>
        <v/>
      </c>
      <c r="D649" s="27" t="str" cm="1">
        <f t="array" ref="D649">IF(
   OR(A649="", $B$9="", $B$10="", $B$11=""),
   "",
   _xlfn.LET(
      _xlpm.result,
      IFERROR(
         _xlfn.XLOOKUP(
            1,
            (Table8[رقم الصنف]=A649) *
            (IF($B$9="الكل",1, YEAR('ادخال البيانات'!$N$3:$N$1164)=VALUE($B$9))) *
            (IF($B$10="الكل",1, MONTH('ادخال البيانات'!$N$3:$N$1164)=VALUE($B$10))) *
            (IF($B$11="الكل",1, INT((DAY('ادخال البيانات'!$N$3:$N$1164)-1)/7)+1 = VALUE($B$11))),
            'ادخال البيانات'!$D$3:$D$1164
         ),
         ""
      ),
      IF(_xlpm.result="", "", _xlpm.result)
   )
)</f>
        <v/>
      </c>
      <c r="E649" s="27" t="str" cm="1">
        <f t="array" ref="E649">IF(
   A649="",
   "",
   _xlfn.LET(
      _xlpm.result,
      IFERROR(
         _xlfn.XLOOKUP(
            1,
            (Table8[رقم الصنف]=A649) *
            (IF($B$9="الكل",1, YEAR('ادخال البيانات'!$N$3:$N$1164)=VALUE($B$9))) *
            (IF($B$10="الكل",1, MONTH('ادخال البيانات'!$N$3:$N$1164)=VALUE($B$10))) *
            (IF($B$11="الكل",1, INT((DAY('ادخال البيانات'!$N$3:$N$1164)-1)/7)+1 = VALUE($B$11))),
            'ادخال البيانات'!$E$3:$E$1164
         ),
         ""
      ),
      IF(_xlpm.result="", "", _xlpm.result)
   )
)</f>
        <v/>
      </c>
      <c r="F649" s="27" t="str" cm="1">
        <f t="array" ref="F649">IF(
   A649="",
   "",
   _xlfn.LET(
      _xlpm.result,
      IFERROR(
         _xlfn.XLOOKUP(
            1,
            (Table8[رقم الصنف]=A649) *
            (IF($B$9="الكل",1, YEAR('ادخال البيانات'!$N$3:$N$1164) = VALUE($B$9))) *
            (IF($B$10="الكل",1, MONTH('ادخال البيانات'!$N$3:$N$1164) = VALUE($B$10))) *
            (IF($B$11="الكل",1, INT((DAY('ادخال البيانات'!$N$3:$N$1164)-1)/7)+1 = VALUE($B$11))),
            'ادخال البيانات'!$F$3:$F$1164
         ),
         ""
      ),
      IF(_xlpm.result="", "", _xlpm.result)
   )
)</f>
        <v/>
      </c>
      <c r="G649" s="27" t="str" cm="1">
        <f t="array" ref="G649">IF(
   A649="",
   "",
   _xlfn.LET(
      _xlpm.result,
      IFERROR(
         _xlfn.XLOOKUP(
            1,
            (Table8[رقم الصنف]=A649) *
            (IF($B$9="الكل",1, YEAR('ادخال البيانات'!$N$3:$N$1164)=VALUE($B$9))) *
            (IF($B$10="الكل",1, MONTH('ادخال البيانات'!$N$3:$N$1164)=VALUE($B$10))) *
            (IF($B$11="الكل",1, INT((DAY('ادخال البيانات'!$N$3:$N$1164)-1)/7)+1 = VALUE($B$11))),
            'ادخال البيانات'!$G$3:$G$1164
         ),
         ""
      ),
      IF(_xlpm.result="", "", _xlpm.result)
   )
)</f>
        <v/>
      </c>
      <c r="H649" s="27" t="str" cm="1">
        <f t="array" ref="H649">IF(
   A649="",
   "",
   _xlfn.LET(
      _xlpm.result,
      IFERROR(
         _xlfn.XLOOKUP(
            1,
            (Table8[رقم الصنف]=A649) *
            (IF($B$9="الكل",1, YEAR('ادخال البيانات'!$N$3:$N$1164)=VALUE($B$9))) *
            (IF($B$10="الكل",1, MONTH('ادخال البيانات'!$N$3:$N$1164)=VALUE($B$10))) *
            (IF($B$11="الكل",1, INT((DAY('ادخال البيانات'!$N$3:$N$1164)-1)/7)+1 = VALUE($B$11))),
            'ادخال البيانات'!$H$3:$H$1164
         ),
         ""
      ),
      IF(_xlpm.result="", "", _xlpm.result)
   )
)</f>
        <v/>
      </c>
      <c r="I649" s="27" t="str" cm="1">
        <f t="array" ref="I649">IF(
   A649="",
   "",
   _xlfn.LET(
      _xlpm.result,
      IFERROR(
         _xlfn.XLOOKUP(
            1,
            (Table8[رقم الصنف]=A649) *
            (IF($B$9="الكل",1, YEAR('ادخال البيانات'!$N$3:$N$1164)=VALUE($B$9))) *
            (IF($B$10="الكل",1, MONTH('ادخال البيانات'!$N$3:$N$1164)=VALUE($B$10))) *
            (IF($B$11="الكل",1, INT((DAY('ادخال البيانات'!$N$3:$N$1164)-1)/7)+1 = VALUE($B$11))),
            'ادخال البيانات'!$I$3:$I$1164
         ),
         ""
      ),
      IF(_xlpm.result="", "", _xlpm.result)
   )
)</f>
        <v/>
      </c>
      <c r="J649" s="27" t="str" cm="1">
        <f t="array" ref="J649">IF(
   A649="",
   "",
   _xlfn.LET(
      _xlpm.result,
      IFERROR(
         _xlfn.XLOOKUP(
            1,
            (Table8[رقم الصنف]=A649) *
            (IF($B$9="الكل",1, YEAR('ادخال البيانات'!$N$3:$N$1164)=VALUE($B$9))) *
            (IF($B$10="الكل",1, MONTH('ادخال البيانات'!$N$3:$N$1164)=VALUE($B$10))) *
            (IF($B$11="الكل",1, INT((DAY('ادخال البيانات'!$N$3:$N$1164)-1)/7)+1 = VALUE($B$11))),
            'ادخال البيانات'!$J$3:$J$1164
         ),
         ""
      ),
      IF(_xlpm.result="", "", _xlpm.result)
   )
)</f>
        <v/>
      </c>
      <c r="K649" s="27" t="str" cm="1">
        <f t="array" ref="K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49" s="27" t="str" cm="1">
        <f t="array" ref="L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49" s="27" t="str" cm="1">
        <f t="array" ref="M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49" s="28" t="str" cm="1">
        <f t="array" ref="N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49" s="28" t="str" cm="1">
        <f t="array" ref="O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49" s="27" t="str" cm="1">
        <f t="array" ref="P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Table8[جهة العطل]
         ),
         ""
      ),
      IF(_xlpm.result="", "", _xlpm.result)
   )
)</f>
        <v/>
      </c>
      <c r="Q649" s="27" t="str" cm="1">
        <f t="array" ref="Q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Table8[المركز]
         ),
         ""
      ),
      IF(_xlpm.result="", "", _xlpm.result)
   )
)</f>
        <v/>
      </c>
      <c r="R649" s="27" t="str" cm="1">
        <f t="array" ref="R649">IF(
   A649="",
   "",
   _xlfn.LET(
      _xlpm.result,
      IFERROR(
         _xlfn.XLOOKUP(
            1,
            (Table8[رقم الصنف]=A649) *
            (IF($B$9="الكل",1, YEAR('ادخال البيانات'!$N$3:$N$1164) = VALUE($B$9))) *
            (IF($B$10="الكل",1, MONTH('ادخال البيانات'!$N$3:$N$1164) = VALUE($B$10))) *
            (IF($B$11="الكل",1, INT((DAY('ادخال البيانات'!$N$3:$N$1164) - 1) / 7) + 1 = VALUE($B$11))),
            Table8[ملاحظة]
         ),
         ""
      ),
      IF(_xlpm.result="", "", _xlpm.result)
   )
)</f>
        <v/>
      </c>
      <c r="S649" s="46" t="str">
        <f t="shared" ca="1" si="10"/>
        <v/>
      </c>
    </row>
    <row r="650" spans="1:19" ht="27.75" customHeight="1" thickTop="1" thickBot="1" x14ac:dyDescent="0.35">
      <c r="A650" s="39"/>
      <c r="B650" s="27" t="str" cm="1">
        <f t="array" ref="B650">IF(
   OR(A650="", $B$9="", $B$10="", $B$11=""),
   "",
   _xlfn.LET(
      _xlpm.result,
      IFERROR(
         _xlfn.XLOOKUP(
            1,
            (Table8[رقم الصنف]=A650)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0" s="27" t="str" cm="1">
        <f t="array" ref="C650">IF(
   A650="",
   "",
   _xlfn.LET(
      _xlpm.result,
      IFERROR(
         _xlfn.XLOOKUP(
            1,
            (Table8[رقم الصنف]=A650) *
            (IF($B$9="الكل",1, YEAR('ادخال البيانات'!$N$3:$N$1164) = VALUE($B$9))) *
            (IF($B$10="الكل",1, MONTH('ادخال البيانات'!$N$3:$N$1164) = VALUE($B$10))) *
            (IF($B$11="الكل",1, INT((DAY('ادخال البيانات'!$N$3:$N$1164)-1)/7)+1 = VALUE($B$11))),
            'ادخال البيانات'!$C$3:$C$1164
         ),
         ""
      ),
      IF(_xlpm.result="", "", _xlpm.result)
   )
)</f>
        <v/>
      </c>
      <c r="D650" s="27" t="str" cm="1">
        <f t="array" ref="D650">IF(
   OR(A650="", $B$9="", $B$10="", $B$11=""),
   "",
   _xlfn.LET(
      _xlpm.result,
      IFERROR(
         _xlfn.XLOOKUP(
            1,
            (Table8[رقم الصنف]=A650) *
            (IF($B$9="الكل",1, YEAR('ادخال البيانات'!$N$3:$N$1164)=VALUE($B$9))) *
            (IF($B$10="الكل",1, MONTH('ادخال البيانات'!$N$3:$N$1164)=VALUE($B$10))) *
            (IF($B$11="الكل",1, INT((DAY('ادخال البيانات'!$N$3:$N$1164)-1)/7)+1 = VALUE($B$11))),
            'ادخال البيانات'!$D$3:$D$1164
         ),
         ""
      ),
      IF(_xlpm.result="", "", _xlpm.result)
   )
)</f>
        <v/>
      </c>
      <c r="E650" s="27" t="str" cm="1">
        <f t="array" ref="E650">IF(
   A650="",
   "",
   _xlfn.LET(
      _xlpm.result,
      IFERROR(
         _xlfn.XLOOKUP(
            1,
            (Table8[رقم الصنف]=A650) *
            (IF($B$9="الكل",1, YEAR('ادخال البيانات'!$N$3:$N$1164)=VALUE($B$9))) *
            (IF($B$10="الكل",1, MONTH('ادخال البيانات'!$N$3:$N$1164)=VALUE($B$10))) *
            (IF($B$11="الكل",1, INT((DAY('ادخال البيانات'!$N$3:$N$1164)-1)/7)+1 = VALUE($B$11))),
            'ادخال البيانات'!$E$3:$E$1164
         ),
         ""
      ),
      IF(_xlpm.result="", "", _xlpm.result)
   )
)</f>
        <v/>
      </c>
      <c r="F650" s="27" t="str" cm="1">
        <f t="array" ref="F650">IF(
   A650="",
   "",
   _xlfn.LET(
      _xlpm.result,
      IFERROR(
         _xlfn.XLOOKUP(
            1,
            (Table8[رقم الصنف]=A650) *
            (IF($B$9="الكل",1, YEAR('ادخال البيانات'!$N$3:$N$1164) = VALUE($B$9))) *
            (IF($B$10="الكل",1, MONTH('ادخال البيانات'!$N$3:$N$1164) = VALUE($B$10))) *
            (IF($B$11="الكل",1, INT((DAY('ادخال البيانات'!$N$3:$N$1164)-1)/7)+1 = VALUE($B$11))),
            'ادخال البيانات'!$F$3:$F$1164
         ),
         ""
      ),
      IF(_xlpm.result="", "", _xlpm.result)
   )
)</f>
        <v/>
      </c>
      <c r="G650" s="27" t="str" cm="1">
        <f t="array" ref="G650">IF(
   A650="",
   "",
   _xlfn.LET(
      _xlpm.result,
      IFERROR(
         _xlfn.XLOOKUP(
            1,
            (Table8[رقم الصنف]=A650) *
            (IF($B$9="الكل",1, YEAR('ادخال البيانات'!$N$3:$N$1164)=VALUE($B$9))) *
            (IF($B$10="الكل",1, MONTH('ادخال البيانات'!$N$3:$N$1164)=VALUE($B$10))) *
            (IF($B$11="الكل",1, INT((DAY('ادخال البيانات'!$N$3:$N$1164)-1)/7)+1 = VALUE($B$11))),
            'ادخال البيانات'!$G$3:$G$1164
         ),
         ""
      ),
      IF(_xlpm.result="", "", _xlpm.result)
   )
)</f>
        <v/>
      </c>
      <c r="H650" s="27" t="str" cm="1">
        <f t="array" ref="H650">IF(
   A650="",
   "",
   _xlfn.LET(
      _xlpm.result,
      IFERROR(
         _xlfn.XLOOKUP(
            1,
            (Table8[رقم الصنف]=A650) *
            (IF($B$9="الكل",1, YEAR('ادخال البيانات'!$N$3:$N$1164)=VALUE($B$9))) *
            (IF($B$10="الكل",1, MONTH('ادخال البيانات'!$N$3:$N$1164)=VALUE($B$10))) *
            (IF($B$11="الكل",1, INT((DAY('ادخال البيانات'!$N$3:$N$1164)-1)/7)+1 = VALUE($B$11))),
            'ادخال البيانات'!$H$3:$H$1164
         ),
         ""
      ),
      IF(_xlpm.result="", "", _xlpm.result)
   )
)</f>
        <v/>
      </c>
      <c r="I650" s="27" t="str" cm="1">
        <f t="array" ref="I650">IF(
   A650="",
   "",
   _xlfn.LET(
      _xlpm.result,
      IFERROR(
         _xlfn.XLOOKUP(
            1,
            (Table8[رقم الصنف]=A650) *
            (IF($B$9="الكل",1, YEAR('ادخال البيانات'!$N$3:$N$1164)=VALUE($B$9))) *
            (IF($B$10="الكل",1, MONTH('ادخال البيانات'!$N$3:$N$1164)=VALUE($B$10))) *
            (IF($B$11="الكل",1, INT((DAY('ادخال البيانات'!$N$3:$N$1164)-1)/7)+1 = VALUE($B$11))),
            'ادخال البيانات'!$I$3:$I$1164
         ),
         ""
      ),
      IF(_xlpm.result="", "", _xlpm.result)
   )
)</f>
        <v/>
      </c>
      <c r="J650" s="27" t="str" cm="1">
        <f t="array" ref="J650">IF(
   A650="",
   "",
   _xlfn.LET(
      _xlpm.result,
      IFERROR(
         _xlfn.XLOOKUP(
            1,
            (Table8[رقم الصنف]=A650) *
            (IF($B$9="الكل",1, YEAR('ادخال البيانات'!$N$3:$N$1164)=VALUE($B$9))) *
            (IF($B$10="الكل",1, MONTH('ادخال البيانات'!$N$3:$N$1164)=VALUE($B$10))) *
            (IF($B$11="الكل",1, INT((DAY('ادخال البيانات'!$N$3:$N$1164)-1)/7)+1 = VALUE($B$11))),
            'ادخال البيانات'!$J$3:$J$1164
         ),
         ""
      ),
      IF(_xlpm.result="", "", _xlpm.result)
   )
)</f>
        <v/>
      </c>
      <c r="K650" s="27" t="str" cm="1">
        <f t="array" ref="K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0" s="27" t="str" cm="1">
        <f t="array" ref="L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0" s="27" t="str" cm="1">
        <f t="array" ref="M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0" s="28" t="str" cm="1">
        <f t="array" ref="N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0" s="28" t="str" cm="1">
        <f t="array" ref="O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0" s="27" t="str" cm="1">
        <f t="array" ref="P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Table8[جهة العطل]
         ),
         ""
      ),
      IF(_xlpm.result="", "", _xlpm.result)
   )
)</f>
        <v/>
      </c>
      <c r="Q650" s="27" t="str" cm="1">
        <f t="array" ref="Q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Table8[المركز]
         ),
         ""
      ),
      IF(_xlpm.result="", "", _xlpm.result)
   )
)</f>
        <v/>
      </c>
      <c r="R650" s="27" t="str" cm="1">
        <f t="array" ref="R650">IF(
   A650="",
   "",
   _xlfn.LET(
      _xlpm.result,
      IFERROR(
         _xlfn.XLOOKUP(
            1,
            (Table8[رقم الصنف]=A650) *
            (IF($B$9="الكل",1, YEAR('ادخال البيانات'!$N$3:$N$1164) = VALUE($B$9))) *
            (IF($B$10="الكل",1, MONTH('ادخال البيانات'!$N$3:$N$1164) = VALUE($B$10))) *
            (IF($B$11="الكل",1, INT((DAY('ادخال البيانات'!$N$3:$N$1164) - 1) / 7) + 1 = VALUE($B$11))),
            Table8[ملاحظة]
         ),
         ""
      ),
      IF(_xlpm.result="", "", _xlpm.result)
   )
)</f>
        <v/>
      </c>
      <c r="S650" s="46" t="str">
        <f t="shared" ca="1" si="10"/>
        <v/>
      </c>
    </row>
    <row r="651" spans="1:19" ht="15.6" thickTop="1" thickBot="1" x14ac:dyDescent="0.35">
      <c r="A651" s="39"/>
      <c r="B651" s="27" t="str" cm="1">
        <f t="array" ref="B651">IF(
   OR(A651="", $B$9="", $B$10="", $B$11=""),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1" s="27" t="str" cm="1">
        <f t="array" ref="C651">IF(
   A651="",
   "",
   _xlfn.LET(
      _xlpm.result,
      IFERROR(
         _xlfn.XLOOKUP(
            1,
            (Table8[رقم الصنف]=A651) *
            (IF($B$9="الكل",1, YEAR('ادخال البيانات'!$N$3:$N$1164) = VALUE($B$9))) *
            (IF($B$10="الكل",1, MONTH('ادخال البيانات'!$N$3:$N$1164) = VALUE($B$10))) *
            (IF($B$11="الكل",1, INT((DAY('ادخال البيانات'!$N$3:$N$1164)-1)/7)+1 = VALUE($B$11))),
            'ادخال البيانات'!$C$3:$C$1164
         ),
         ""
      ),
      IF(_xlpm.result="", "", _xlpm.result)
   )
)</f>
        <v/>
      </c>
      <c r="D651" s="27" t="str" cm="1">
        <f t="array" ref="D651">IF(
   OR(A651="", $B$9="", $B$10="", $B$11=""),
   "",
   _xlfn.LET(
      _xlpm.result,
      IFERROR(
         _xlfn.XLOOKUP(
            1,
            (Table8[رقم الصنف]=A651) *
            (IF($B$9="الكل",1, YEAR('ادخال البيانات'!$N$3:$N$1164)=VALUE($B$9))) *
            (IF($B$10="الكل",1, MONTH('ادخال البيانات'!$N$3:$N$1164)=VALUE($B$10))) *
            (IF($B$11="الكل",1, INT((DAY('ادخال البيانات'!$N$3:$N$1164)-1)/7)+1 = VALUE($B$11))),
            'ادخال البيانات'!$D$3:$D$1164
         ),
         ""
      ),
      IF(_xlpm.result="", "", _xlpm.result)
   )
)</f>
        <v/>
      </c>
      <c r="E651" s="27" t="str" cm="1">
        <f t="array" ref="E651">IF(
   A651="",
   "",
   _xlfn.LET(
      _xlpm.result,
      IFERROR(
         _xlfn.XLOOKUP(
            1,
            (Table8[رقم الصنف]=A651) *
            (IF($B$9="الكل",1, YEAR('ادخال البيانات'!$N$3:$N$1164)=VALUE($B$9))) *
            (IF($B$10="الكل",1, MONTH('ادخال البيانات'!$N$3:$N$1164)=VALUE($B$10))) *
            (IF($B$11="الكل",1, INT((DAY('ادخال البيانات'!$N$3:$N$1164)-1)/7)+1 = VALUE($B$11))),
            'ادخال البيانات'!$E$3:$E$1164
         ),
         ""
      ),
      IF(_xlpm.result="", "", _xlpm.result)
   )
)</f>
        <v/>
      </c>
      <c r="F651" s="27" t="str" cm="1">
        <f t="array" ref="F651">IF(
   A651="",
   "",
   _xlfn.LET(
      _xlpm.result,
      IFERROR(
         _xlfn.XLOOKUP(
            1,
            (Table8[رقم الصنف]=A651) *
            (IF($B$9="الكل",1, YEAR('ادخال البيانات'!$N$3:$N$1164) = VALUE($B$9))) *
            (IF($B$10="الكل",1, MONTH('ادخال البيانات'!$N$3:$N$1164) = VALUE($B$10))) *
            (IF($B$11="الكل",1, INT((DAY('ادخال البيانات'!$N$3:$N$1164)-1)/7)+1 = VALUE($B$11))),
            'ادخال البيانات'!$F$3:$F$1164
         ),
         ""
      ),
      IF(_xlpm.result="", "", _xlpm.result)
   )
)</f>
        <v/>
      </c>
      <c r="G651" s="27" t="str" cm="1">
        <f t="array" ref="G651">IF(
   A651="",
   "",
   _xlfn.LET(
      _xlpm.result,
      IFERROR(
         _xlfn.XLOOKUP(
            1,
            (Table8[رقم الصنف]=A651) *
            (IF($B$9="الكل",1, YEAR('ادخال البيانات'!$N$3:$N$1164)=VALUE($B$9))) *
            (IF($B$10="الكل",1, MONTH('ادخال البيانات'!$N$3:$N$1164)=VALUE($B$10))) *
            (IF($B$11="الكل",1, INT((DAY('ادخال البيانات'!$N$3:$N$1164)-1)/7)+1 = VALUE($B$11))),
            'ادخال البيانات'!$G$3:$G$1164
         ),
         ""
      ),
      IF(_xlpm.result="", "", _xlpm.result)
   )
)</f>
        <v/>
      </c>
      <c r="H651" s="27" t="str" cm="1">
        <f t="array" ref="H651">IF(
   A651="",
   "",
   _xlfn.LET(
      _xlpm.result,
      IFERROR(
         _xlfn.XLOOKUP(
            1,
            (Table8[رقم الصنف]=A651) *
            (IF($B$9="الكل",1, YEAR('ادخال البيانات'!$N$3:$N$1164)=VALUE($B$9))) *
            (IF($B$10="الكل",1, MONTH('ادخال البيانات'!$N$3:$N$1164)=VALUE($B$10))) *
            (IF($B$11="الكل",1, INT((DAY('ادخال البيانات'!$N$3:$N$1164)-1)/7)+1 = VALUE($B$11))),
            'ادخال البيانات'!$H$3:$H$1164
         ),
         ""
      ),
      IF(_xlpm.result="", "", _xlpm.result)
   )
)</f>
        <v/>
      </c>
      <c r="I651" s="27" t="str" cm="1">
        <f t="array" ref="I651">IF(
   A651="",
   "",
   _xlfn.LET(
      _xlpm.result,
      IFERROR(
         _xlfn.XLOOKUP(
            1,
            (Table8[رقم الصنف]=A651) *
            (IF($B$9="الكل",1, YEAR('ادخال البيانات'!$N$3:$N$1164)=VALUE($B$9))) *
            (IF($B$10="الكل",1, MONTH('ادخال البيانات'!$N$3:$N$1164)=VALUE($B$10))) *
            (IF($B$11="الكل",1, INT((DAY('ادخال البيانات'!$N$3:$N$1164)-1)/7)+1 = VALUE($B$11))),
            'ادخال البيانات'!$I$3:$I$1164
         ),
         ""
      ),
      IF(_xlpm.result="", "", _xlpm.result)
   )
)</f>
        <v/>
      </c>
      <c r="J651" s="27" t="str" cm="1">
        <f t="array" ref="J651">IF(
   A651="",
   "",
   _xlfn.LET(
      _xlpm.result,
      IFERROR(
         _xlfn.XLOOKUP(
            1,
            (Table8[رقم الصنف]=A651) *
            (IF($B$9="الكل",1, YEAR('ادخال البيانات'!$N$3:$N$1164)=VALUE($B$9))) *
            (IF($B$10="الكل",1, MONTH('ادخال البيانات'!$N$3:$N$1164)=VALUE($B$10))) *
            (IF($B$11="الكل",1, INT((DAY('ادخال البيانات'!$N$3:$N$1164)-1)/7)+1 = VALUE($B$11))),
            'ادخال البيانات'!$J$3:$J$1164
         ),
         ""
      ),
      IF(_xlpm.result="", "", _xlpm.result)
   )
)</f>
        <v/>
      </c>
      <c r="K651" s="27" t="str" cm="1">
        <f t="array" ref="K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1" s="27" t="str" cm="1">
        <f t="array" ref="L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1" s="27" t="str" cm="1">
        <f t="array" ref="M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1" s="28" t="str" cm="1">
        <f t="array" ref="N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1" s="28" t="str" cm="1">
        <f t="array" ref="O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1" s="27" t="str" cm="1">
        <f t="array" ref="P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Table8[جهة العطل]
         ),
         ""
      ),
      IF(_xlpm.result="", "", _xlpm.result)
   )
)</f>
        <v/>
      </c>
      <c r="Q651" s="27" t="str" cm="1">
        <f t="array" ref="Q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Table8[المركز]
         ),
         ""
      ),
      IF(_xlpm.result="", "", _xlpm.result)
   )
)</f>
        <v/>
      </c>
      <c r="R651" s="27" t="str" cm="1">
        <f t="array" ref="R651">IF(
   A651="",
   "",
   _xlfn.LET(
      _xlpm.result,
      IFERROR(
         _xlfn.XLOOKUP(
            1,
            (Table8[رقم الصنف]=A651) *
            (IF($B$9="الكل",1, YEAR('ادخال البيانات'!$N$3:$N$1164) = VALUE($B$9))) *
            (IF($B$10="الكل",1, MONTH('ادخال البيانات'!$N$3:$N$1164) = VALUE($B$10))) *
            (IF($B$11="الكل",1, INT((DAY('ادخال البيانات'!$N$3:$N$1164) - 1) / 7) + 1 = VALUE($B$11))),
            Table8[ملاحظة]
         ),
         ""
      ),
      IF(_xlpm.result="", "", _xlpm.result)
   )
)</f>
        <v/>
      </c>
      <c r="S651" s="46" t="str">
        <f t="shared" ca="1" si="10"/>
        <v/>
      </c>
    </row>
    <row r="652" spans="1:19" ht="15.6" thickTop="1" thickBot="1" x14ac:dyDescent="0.35">
      <c r="A652" s="39"/>
      <c r="B652" s="27" t="str" cm="1">
        <f t="array" ref="B652">IF(
   OR(A652="", $B$9="", $B$10="", $B$11=""),
   "",
   _xlfn.LET(
      _xlpm.result,
      IFERROR(
         _xlfn.XLOOKUP(
            1,
            (Table8[رقم الصنف]=A652)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2" s="27" t="str" cm="1">
        <f t="array" ref="C652">IF(
   A652="",
   "",
   _xlfn.LET(
      _xlpm.result,
      IFERROR(
         _xlfn.XLOOKUP(
            1,
            (Table8[رقم الصنف]=A652) *
            (IF($B$9="الكل",1, YEAR('ادخال البيانات'!$N$3:$N$1164) = VALUE($B$9))) *
            (IF($B$10="الكل",1, MONTH('ادخال البيانات'!$N$3:$N$1164) = VALUE($B$10))) *
            (IF($B$11="الكل",1, INT((DAY('ادخال البيانات'!$N$3:$N$1164)-1)/7)+1 = VALUE($B$11))),
            'ادخال البيانات'!$C$3:$C$1164
         ),
         ""
      ),
      IF(_xlpm.result="", "", _xlpm.result)
   )
)</f>
        <v/>
      </c>
      <c r="D652" s="27" t="str" cm="1">
        <f t="array" ref="D652">IF(
   OR(A652="", $B$9="", $B$10="", $B$11=""),
   "",
   _xlfn.LET(
      _xlpm.result,
      IFERROR(
         _xlfn.XLOOKUP(
            1,
            (Table8[رقم الصنف]=A652) *
            (IF($B$9="الكل",1, YEAR('ادخال البيانات'!$N$3:$N$1164)=VALUE($B$9))) *
            (IF($B$10="الكل",1, MONTH('ادخال البيانات'!$N$3:$N$1164)=VALUE($B$10))) *
            (IF($B$11="الكل",1, INT((DAY('ادخال البيانات'!$N$3:$N$1164)-1)/7)+1 = VALUE($B$11))),
            'ادخال البيانات'!$D$3:$D$1164
         ),
         ""
      ),
      IF(_xlpm.result="", "", _xlpm.result)
   )
)</f>
        <v/>
      </c>
      <c r="E652" s="27" t="str" cm="1">
        <f t="array" ref="E652">IF(
   A652="",
   "",
   _xlfn.LET(
      _xlpm.result,
      IFERROR(
         _xlfn.XLOOKUP(
            1,
            (Table8[رقم الصنف]=A652) *
            (IF($B$9="الكل",1, YEAR('ادخال البيانات'!$N$3:$N$1164)=VALUE($B$9))) *
            (IF($B$10="الكل",1, MONTH('ادخال البيانات'!$N$3:$N$1164)=VALUE($B$10))) *
            (IF($B$11="الكل",1, INT((DAY('ادخال البيانات'!$N$3:$N$1164)-1)/7)+1 = VALUE($B$11))),
            'ادخال البيانات'!$E$3:$E$1164
         ),
         ""
      ),
      IF(_xlpm.result="", "", _xlpm.result)
   )
)</f>
        <v/>
      </c>
      <c r="F652" s="27" t="str" cm="1">
        <f t="array" ref="F652">IF(
   A652="",
   "",
   _xlfn.LET(
      _xlpm.result,
      IFERROR(
         _xlfn.XLOOKUP(
            1,
            (Table8[رقم الصنف]=A652) *
            (IF($B$9="الكل",1, YEAR('ادخال البيانات'!$N$3:$N$1164) = VALUE($B$9))) *
            (IF($B$10="الكل",1, MONTH('ادخال البيانات'!$N$3:$N$1164) = VALUE($B$10))) *
            (IF($B$11="الكل",1, INT((DAY('ادخال البيانات'!$N$3:$N$1164)-1)/7)+1 = VALUE($B$11))),
            'ادخال البيانات'!$F$3:$F$1164
         ),
         ""
      ),
      IF(_xlpm.result="", "", _xlpm.result)
   )
)</f>
        <v/>
      </c>
      <c r="G652" s="27" t="str" cm="1">
        <f t="array" ref="G652">IF(
   A652="",
   "",
   _xlfn.LET(
      _xlpm.result,
      IFERROR(
         _xlfn.XLOOKUP(
            1,
            (Table8[رقم الصنف]=A652) *
            (IF($B$9="الكل",1, YEAR('ادخال البيانات'!$N$3:$N$1164)=VALUE($B$9))) *
            (IF($B$10="الكل",1, MONTH('ادخال البيانات'!$N$3:$N$1164)=VALUE($B$10))) *
            (IF($B$11="الكل",1, INT((DAY('ادخال البيانات'!$N$3:$N$1164)-1)/7)+1 = VALUE($B$11))),
            'ادخال البيانات'!$G$3:$G$1164
         ),
         ""
      ),
      IF(_xlpm.result="", "", _xlpm.result)
   )
)</f>
        <v/>
      </c>
      <c r="H652" s="27" t="str" cm="1">
        <f t="array" ref="H652">IF(
   A652="",
   "",
   _xlfn.LET(
      _xlpm.result,
      IFERROR(
         _xlfn.XLOOKUP(
            1,
            (Table8[رقم الصنف]=A652) *
            (IF($B$9="الكل",1, YEAR('ادخال البيانات'!$N$3:$N$1164)=VALUE($B$9))) *
            (IF($B$10="الكل",1, MONTH('ادخال البيانات'!$N$3:$N$1164)=VALUE($B$10))) *
            (IF($B$11="الكل",1, INT((DAY('ادخال البيانات'!$N$3:$N$1164)-1)/7)+1 = VALUE($B$11))),
            'ادخال البيانات'!$H$3:$H$1164
         ),
         ""
      ),
      IF(_xlpm.result="", "", _xlpm.result)
   )
)</f>
        <v/>
      </c>
      <c r="I652" s="27" t="str" cm="1">
        <f t="array" ref="I652">IF(
   A652="",
   "",
   _xlfn.LET(
      _xlpm.result,
      IFERROR(
         _xlfn.XLOOKUP(
            1,
            (Table8[رقم الصنف]=A652) *
            (IF($B$9="الكل",1, YEAR('ادخال البيانات'!$N$3:$N$1164)=VALUE($B$9))) *
            (IF($B$10="الكل",1, MONTH('ادخال البيانات'!$N$3:$N$1164)=VALUE($B$10))) *
            (IF($B$11="الكل",1, INT((DAY('ادخال البيانات'!$N$3:$N$1164)-1)/7)+1 = VALUE($B$11))),
            'ادخال البيانات'!$I$3:$I$1164
         ),
         ""
      ),
      IF(_xlpm.result="", "", _xlpm.result)
   )
)</f>
        <v/>
      </c>
      <c r="J652" s="27" t="str" cm="1">
        <f t="array" ref="J652">IF(
   A652="",
   "",
   _xlfn.LET(
      _xlpm.result,
      IFERROR(
         _xlfn.XLOOKUP(
            1,
            (Table8[رقم الصنف]=A652) *
            (IF($B$9="الكل",1, YEAR('ادخال البيانات'!$N$3:$N$1164)=VALUE($B$9))) *
            (IF($B$10="الكل",1, MONTH('ادخال البيانات'!$N$3:$N$1164)=VALUE($B$10))) *
            (IF($B$11="الكل",1, INT((DAY('ادخال البيانات'!$N$3:$N$1164)-1)/7)+1 = VALUE($B$11))),
            'ادخال البيانات'!$J$3:$J$1164
         ),
         ""
      ),
      IF(_xlpm.result="", "", _xlpm.result)
   )
)</f>
        <v/>
      </c>
      <c r="K652" s="27" t="str" cm="1">
        <f t="array" ref="K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2" s="27" t="str" cm="1">
        <f t="array" ref="L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2" s="27" t="str" cm="1">
        <f t="array" ref="M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2" s="28" t="str" cm="1">
        <f t="array" ref="N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2" s="28" t="str" cm="1">
        <f t="array" ref="O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2" s="27" t="str" cm="1">
        <f t="array" ref="P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Table8[جهة العطل]
         ),
         ""
      ),
      IF(_xlpm.result="", "", _xlpm.result)
   )
)</f>
        <v/>
      </c>
      <c r="Q652" s="27" t="str" cm="1">
        <f t="array" ref="Q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Table8[المركز]
         ),
         ""
      ),
      IF(_xlpm.result="", "", _xlpm.result)
   )
)</f>
        <v/>
      </c>
      <c r="R652" s="27" t="str" cm="1">
        <f t="array" ref="R652">IF(
   A652="",
   "",
   _xlfn.LET(
      _xlpm.result,
      IFERROR(
         _xlfn.XLOOKUP(
            1,
            (Table8[رقم الصنف]=A652) *
            (IF($B$9="الكل",1, YEAR('ادخال البيانات'!$N$3:$N$1164) = VALUE($B$9))) *
            (IF($B$10="الكل",1, MONTH('ادخال البيانات'!$N$3:$N$1164) = VALUE($B$10))) *
            (IF($B$11="الكل",1, INT((DAY('ادخال البيانات'!$N$3:$N$1164) - 1) / 7) + 1 = VALUE($B$11))),
            Table8[ملاحظة]
         ),
         ""
      ),
      IF(_xlpm.result="", "", _xlpm.result)
   )
)</f>
        <v/>
      </c>
      <c r="S652" s="46" t="str">
        <f t="shared" ref="S652:S715" ca="1" si="11">IF(
   L652="تم الاصلاح",
   "تم الاصلاح",
   IF(N652="","", TODAY()-N652)
)</f>
        <v/>
      </c>
    </row>
    <row r="653" spans="1:19" ht="15.6" thickTop="1" thickBot="1" x14ac:dyDescent="0.35">
      <c r="A653" s="39"/>
      <c r="B653" s="27" t="str" cm="1">
        <f t="array" ref="B653">IF(
   OR(A653="", $B$9="", $B$10="", $B$11=""),
   "",
   _xlfn.LET(
      _xlpm.result,
      IFERROR(
         _xlfn.XLOOKUP(
            1,
            (Table8[رقم الصنف]=A653)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3" s="27" t="str" cm="1">
        <f t="array" ref="C653">IF(
   A653="",
   "",
   _xlfn.LET(
      _xlpm.result,
      IFERROR(
         _xlfn.XLOOKUP(
            1,
            (Table8[رقم الصنف]=A653) *
            (IF($B$9="الكل",1, YEAR('ادخال البيانات'!$N$3:$N$1164) = VALUE($B$9))) *
            (IF($B$10="الكل",1, MONTH('ادخال البيانات'!$N$3:$N$1164) = VALUE($B$10))) *
            (IF($B$11="الكل",1, INT((DAY('ادخال البيانات'!$N$3:$N$1164)-1)/7)+1 = VALUE($B$11))),
            'ادخال البيانات'!$C$3:$C$1164
         ),
         ""
      ),
      IF(_xlpm.result="", "", _xlpm.result)
   )
)</f>
        <v/>
      </c>
      <c r="D653" s="27" t="str" cm="1">
        <f t="array" ref="D653">IF(
   OR(A653="", $B$9="", $B$10="", $B$11=""),
   "",
   _xlfn.LET(
      _xlpm.result,
      IFERROR(
         _xlfn.XLOOKUP(
            1,
            (Table8[رقم الصنف]=A653) *
            (IF($B$9="الكل",1, YEAR('ادخال البيانات'!$N$3:$N$1164)=VALUE($B$9))) *
            (IF($B$10="الكل",1, MONTH('ادخال البيانات'!$N$3:$N$1164)=VALUE($B$10))) *
            (IF($B$11="الكل",1, INT((DAY('ادخال البيانات'!$N$3:$N$1164)-1)/7)+1 = VALUE($B$11))),
            'ادخال البيانات'!$D$3:$D$1164
         ),
         ""
      ),
      IF(_xlpm.result="", "", _xlpm.result)
   )
)</f>
        <v/>
      </c>
      <c r="E653" s="27" t="str" cm="1">
        <f t="array" ref="E653">IF(
   A653="",
   "",
   _xlfn.LET(
      _xlpm.result,
      IFERROR(
         _xlfn.XLOOKUP(
            1,
            (Table8[رقم الصنف]=A653) *
            (IF($B$9="الكل",1, YEAR('ادخال البيانات'!$N$3:$N$1164)=VALUE($B$9))) *
            (IF($B$10="الكل",1, MONTH('ادخال البيانات'!$N$3:$N$1164)=VALUE($B$10))) *
            (IF($B$11="الكل",1, INT((DAY('ادخال البيانات'!$N$3:$N$1164)-1)/7)+1 = VALUE($B$11))),
            'ادخال البيانات'!$E$3:$E$1164
         ),
         ""
      ),
      IF(_xlpm.result="", "", _xlpm.result)
   )
)</f>
        <v/>
      </c>
      <c r="F653" s="27" t="str" cm="1">
        <f t="array" ref="F653">IF(
   A653="",
   "",
   _xlfn.LET(
      _xlpm.result,
      IFERROR(
         _xlfn.XLOOKUP(
            1,
            (Table8[رقم الصنف]=A653) *
            (IF($B$9="الكل",1, YEAR('ادخال البيانات'!$N$3:$N$1164) = VALUE($B$9))) *
            (IF($B$10="الكل",1, MONTH('ادخال البيانات'!$N$3:$N$1164) = VALUE($B$10))) *
            (IF($B$11="الكل",1, INT((DAY('ادخال البيانات'!$N$3:$N$1164)-1)/7)+1 = VALUE($B$11))),
            'ادخال البيانات'!$F$3:$F$1164
         ),
         ""
      ),
      IF(_xlpm.result="", "", _xlpm.result)
   )
)</f>
        <v/>
      </c>
      <c r="G653" s="27" t="str" cm="1">
        <f t="array" ref="G653">IF(
   A653="",
   "",
   _xlfn.LET(
      _xlpm.result,
      IFERROR(
         _xlfn.XLOOKUP(
            1,
            (Table8[رقم الصنف]=A653) *
            (IF($B$9="الكل",1, YEAR('ادخال البيانات'!$N$3:$N$1164)=VALUE($B$9))) *
            (IF($B$10="الكل",1, MONTH('ادخال البيانات'!$N$3:$N$1164)=VALUE($B$10))) *
            (IF($B$11="الكل",1, INT((DAY('ادخال البيانات'!$N$3:$N$1164)-1)/7)+1 = VALUE($B$11))),
            'ادخال البيانات'!$G$3:$G$1164
         ),
         ""
      ),
      IF(_xlpm.result="", "", _xlpm.result)
   )
)</f>
        <v/>
      </c>
      <c r="H653" s="27" t="str" cm="1">
        <f t="array" ref="H653">IF(
   A653="",
   "",
   _xlfn.LET(
      _xlpm.result,
      IFERROR(
         _xlfn.XLOOKUP(
            1,
            (Table8[رقم الصنف]=A653) *
            (IF($B$9="الكل",1, YEAR('ادخال البيانات'!$N$3:$N$1164)=VALUE($B$9))) *
            (IF($B$10="الكل",1, MONTH('ادخال البيانات'!$N$3:$N$1164)=VALUE($B$10))) *
            (IF($B$11="الكل",1, INT((DAY('ادخال البيانات'!$N$3:$N$1164)-1)/7)+1 = VALUE($B$11))),
            'ادخال البيانات'!$H$3:$H$1164
         ),
         ""
      ),
      IF(_xlpm.result="", "", _xlpm.result)
   )
)</f>
        <v/>
      </c>
      <c r="I653" s="27" t="str" cm="1">
        <f t="array" ref="I653">IF(
   A653="",
   "",
   _xlfn.LET(
      _xlpm.result,
      IFERROR(
         _xlfn.XLOOKUP(
            1,
            (Table8[رقم الصنف]=A653) *
            (IF($B$9="الكل",1, YEAR('ادخال البيانات'!$N$3:$N$1164)=VALUE($B$9))) *
            (IF($B$10="الكل",1, MONTH('ادخال البيانات'!$N$3:$N$1164)=VALUE($B$10))) *
            (IF($B$11="الكل",1, INT((DAY('ادخال البيانات'!$N$3:$N$1164)-1)/7)+1 = VALUE($B$11))),
            'ادخال البيانات'!$I$3:$I$1164
         ),
         ""
      ),
      IF(_xlpm.result="", "", _xlpm.result)
   )
)</f>
        <v/>
      </c>
      <c r="J653" s="27" t="str" cm="1">
        <f t="array" ref="J653">IF(
   A653="",
   "",
   _xlfn.LET(
      _xlpm.result,
      IFERROR(
         _xlfn.XLOOKUP(
            1,
            (Table8[رقم الصنف]=A653) *
            (IF($B$9="الكل",1, YEAR('ادخال البيانات'!$N$3:$N$1164)=VALUE($B$9))) *
            (IF($B$10="الكل",1, MONTH('ادخال البيانات'!$N$3:$N$1164)=VALUE($B$10))) *
            (IF($B$11="الكل",1, INT((DAY('ادخال البيانات'!$N$3:$N$1164)-1)/7)+1 = VALUE($B$11))),
            'ادخال البيانات'!$J$3:$J$1164
         ),
         ""
      ),
      IF(_xlpm.result="", "", _xlpm.result)
   )
)</f>
        <v/>
      </c>
      <c r="K653" s="27" t="str" cm="1">
        <f t="array" ref="K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3" s="27" t="str" cm="1">
        <f t="array" ref="L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3" s="27" t="str" cm="1">
        <f t="array" ref="M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3" s="28" t="str" cm="1">
        <f t="array" ref="N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3" s="28" t="str" cm="1">
        <f t="array" ref="O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3" s="27" t="str" cm="1">
        <f t="array" ref="P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Table8[جهة العطل]
         ),
         ""
      ),
      IF(_xlpm.result="", "", _xlpm.result)
   )
)</f>
        <v/>
      </c>
      <c r="Q653" s="27" t="str" cm="1">
        <f t="array" ref="Q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Table8[المركز]
         ),
         ""
      ),
      IF(_xlpm.result="", "", _xlpm.result)
   )
)</f>
        <v/>
      </c>
      <c r="R653" s="27" t="str" cm="1">
        <f t="array" ref="R653">IF(
   A653="",
   "",
   _xlfn.LET(
      _xlpm.result,
      IFERROR(
         _xlfn.XLOOKUP(
            1,
            (Table8[رقم الصنف]=A653) *
            (IF($B$9="الكل",1, YEAR('ادخال البيانات'!$N$3:$N$1164) = VALUE($B$9))) *
            (IF($B$10="الكل",1, MONTH('ادخال البيانات'!$N$3:$N$1164) = VALUE($B$10))) *
            (IF($B$11="الكل",1, INT((DAY('ادخال البيانات'!$N$3:$N$1164) - 1) / 7) + 1 = VALUE($B$11))),
            Table8[ملاحظة]
         ),
         ""
      ),
      IF(_xlpm.result="", "", _xlpm.result)
   )
)</f>
        <v/>
      </c>
      <c r="S653" s="46" t="str">
        <f t="shared" ca="1" si="11"/>
        <v/>
      </c>
    </row>
    <row r="654" spans="1:19" ht="15.6" thickTop="1" thickBot="1" x14ac:dyDescent="0.35">
      <c r="A654" s="39"/>
      <c r="B654" s="27" t="str" cm="1">
        <f t="array" ref="B654">IF(
   OR(A654="", $B$9="", $B$10="", $B$11=""),
   "",
   _xlfn.LET(
      _xlpm.result,
      IFERROR(
         _xlfn.XLOOKUP(
            1,
            (Table8[رقم الصنف]=A654)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4" s="27" t="str" cm="1">
        <f t="array" ref="C654">IF(
   A654="",
   "",
   _xlfn.LET(
      _xlpm.result,
      IFERROR(
         _xlfn.XLOOKUP(
            1,
            (Table8[رقم الصنف]=A654) *
            (IF($B$9="الكل",1, YEAR('ادخال البيانات'!$N$3:$N$1164) = VALUE($B$9))) *
            (IF($B$10="الكل",1, MONTH('ادخال البيانات'!$N$3:$N$1164) = VALUE($B$10))) *
            (IF($B$11="الكل",1, INT((DAY('ادخال البيانات'!$N$3:$N$1164)-1)/7)+1 = VALUE($B$11))),
            'ادخال البيانات'!$C$3:$C$1164
         ),
         ""
      ),
      IF(_xlpm.result="", "", _xlpm.result)
   )
)</f>
        <v/>
      </c>
      <c r="D654" s="27" t="str" cm="1">
        <f t="array" ref="D654">IF(
   OR(A654="", $B$9="", $B$10="", $B$11=""),
   "",
   _xlfn.LET(
      _xlpm.result,
      IFERROR(
         _xlfn.XLOOKUP(
            1,
            (Table8[رقم الصنف]=A654) *
            (IF($B$9="الكل",1, YEAR('ادخال البيانات'!$N$3:$N$1164)=VALUE($B$9))) *
            (IF($B$10="الكل",1, MONTH('ادخال البيانات'!$N$3:$N$1164)=VALUE($B$10))) *
            (IF($B$11="الكل",1, INT((DAY('ادخال البيانات'!$N$3:$N$1164)-1)/7)+1 = VALUE($B$11))),
            'ادخال البيانات'!$D$3:$D$1164
         ),
         ""
      ),
      IF(_xlpm.result="", "", _xlpm.result)
   )
)</f>
        <v/>
      </c>
      <c r="E654" s="27" t="str" cm="1">
        <f t="array" ref="E654">IF(
   A654="",
   "",
   _xlfn.LET(
      _xlpm.result,
      IFERROR(
         _xlfn.XLOOKUP(
            1,
            (Table8[رقم الصنف]=A654) *
            (IF($B$9="الكل",1, YEAR('ادخال البيانات'!$N$3:$N$1164)=VALUE($B$9))) *
            (IF($B$10="الكل",1, MONTH('ادخال البيانات'!$N$3:$N$1164)=VALUE($B$10))) *
            (IF($B$11="الكل",1, INT((DAY('ادخال البيانات'!$N$3:$N$1164)-1)/7)+1 = VALUE($B$11))),
            'ادخال البيانات'!$E$3:$E$1164
         ),
         ""
      ),
      IF(_xlpm.result="", "", _xlpm.result)
   )
)</f>
        <v/>
      </c>
      <c r="F654" s="27" t="str" cm="1">
        <f t="array" ref="F654">IF(
   A654="",
   "",
   _xlfn.LET(
      _xlpm.result,
      IFERROR(
         _xlfn.XLOOKUP(
            1,
            (Table8[رقم الصنف]=A654) *
            (IF($B$9="الكل",1, YEAR('ادخال البيانات'!$N$3:$N$1164) = VALUE($B$9))) *
            (IF($B$10="الكل",1, MONTH('ادخال البيانات'!$N$3:$N$1164) = VALUE($B$10))) *
            (IF($B$11="الكل",1, INT((DAY('ادخال البيانات'!$N$3:$N$1164)-1)/7)+1 = VALUE($B$11))),
            'ادخال البيانات'!$F$3:$F$1164
         ),
         ""
      ),
      IF(_xlpm.result="", "", _xlpm.result)
   )
)</f>
        <v/>
      </c>
      <c r="G654" s="27" t="str" cm="1">
        <f t="array" ref="G654">IF(
   A654="",
   "",
   _xlfn.LET(
      _xlpm.result,
      IFERROR(
         _xlfn.XLOOKUP(
            1,
            (Table8[رقم الصنف]=A654) *
            (IF($B$9="الكل",1, YEAR('ادخال البيانات'!$N$3:$N$1164)=VALUE($B$9))) *
            (IF($B$10="الكل",1, MONTH('ادخال البيانات'!$N$3:$N$1164)=VALUE($B$10))) *
            (IF($B$11="الكل",1, INT((DAY('ادخال البيانات'!$N$3:$N$1164)-1)/7)+1 = VALUE($B$11))),
            'ادخال البيانات'!$G$3:$G$1164
         ),
         ""
      ),
      IF(_xlpm.result="", "", _xlpm.result)
   )
)</f>
        <v/>
      </c>
      <c r="H654" s="27" t="str" cm="1">
        <f t="array" ref="H654">IF(
   A654="",
   "",
   _xlfn.LET(
      _xlpm.result,
      IFERROR(
         _xlfn.XLOOKUP(
            1,
            (Table8[رقم الصنف]=A654) *
            (IF($B$9="الكل",1, YEAR('ادخال البيانات'!$N$3:$N$1164)=VALUE($B$9))) *
            (IF($B$10="الكل",1, MONTH('ادخال البيانات'!$N$3:$N$1164)=VALUE($B$10))) *
            (IF($B$11="الكل",1, INT((DAY('ادخال البيانات'!$N$3:$N$1164)-1)/7)+1 = VALUE($B$11))),
            'ادخال البيانات'!$H$3:$H$1164
         ),
         ""
      ),
      IF(_xlpm.result="", "", _xlpm.result)
   )
)</f>
        <v/>
      </c>
      <c r="I654" s="27" t="str" cm="1">
        <f t="array" ref="I654">IF(
   A654="",
   "",
   _xlfn.LET(
      _xlpm.result,
      IFERROR(
         _xlfn.XLOOKUP(
            1,
            (Table8[رقم الصنف]=A654) *
            (IF($B$9="الكل",1, YEAR('ادخال البيانات'!$N$3:$N$1164)=VALUE($B$9))) *
            (IF($B$10="الكل",1, MONTH('ادخال البيانات'!$N$3:$N$1164)=VALUE($B$10))) *
            (IF($B$11="الكل",1, INT((DAY('ادخال البيانات'!$N$3:$N$1164)-1)/7)+1 = VALUE($B$11))),
            'ادخال البيانات'!$I$3:$I$1164
         ),
         ""
      ),
      IF(_xlpm.result="", "", _xlpm.result)
   )
)</f>
        <v/>
      </c>
      <c r="J654" s="27" t="str" cm="1">
        <f t="array" ref="J654">IF(
   A654="",
   "",
   _xlfn.LET(
      _xlpm.result,
      IFERROR(
         _xlfn.XLOOKUP(
            1,
            (Table8[رقم الصنف]=A654) *
            (IF($B$9="الكل",1, YEAR('ادخال البيانات'!$N$3:$N$1164)=VALUE($B$9))) *
            (IF($B$10="الكل",1, MONTH('ادخال البيانات'!$N$3:$N$1164)=VALUE($B$10))) *
            (IF($B$11="الكل",1, INT((DAY('ادخال البيانات'!$N$3:$N$1164)-1)/7)+1 = VALUE($B$11))),
            'ادخال البيانات'!$J$3:$J$1164
         ),
         ""
      ),
      IF(_xlpm.result="", "", _xlpm.result)
   )
)</f>
        <v/>
      </c>
      <c r="K654" s="27" t="str" cm="1">
        <f t="array" ref="K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4" s="27" t="str" cm="1">
        <f t="array" ref="L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4" s="27" t="str" cm="1">
        <f t="array" ref="M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4" s="28" t="str" cm="1">
        <f t="array" ref="N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4" s="28" t="str" cm="1">
        <f t="array" ref="O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4" s="27" t="str" cm="1">
        <f t="array" ref="P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Table8[جهة العطل]
         ),
         ""
      ),
      IF(_xlpm.result="", "", _xlpm.result)
   )
)</f>
        <v/>
      </c>
      <c r="Q654" s="27" t="str" cm="1">
        <f t="array" ref="Q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Table8[المركز]
         ),
         ""
      ),
      IF(_xlpm.result="", "", _xlpm.result)
   )
)</f>
        <v/>
      </c>
      <c r="R654" s="27" t="str" cm="1">
        <f t="array" ref="R654">IF(
   A654="",
   "",
   _xlfn.LET(
      _xlpm.result,
      IFERROR(
         _xlfn.XLOOKUP(
            1,
            (Table8[رقم الصنف]=A654) *
            (IF($B$9="الكل",1, YEAR('ادخال البيانات'!$N$3:$N$1164) = VALUE($B$9))) *
            (IF($B$10="الكل",1, MONTH('ادخال البيانات'!$N$3:$N$1164) = VALUE($B$10))) *
            (IF($B$11="الكل",1, INT((DAY('ادخال البيانات'!$N$3:$N$1164) - 1) / 7) + 1 = VALUE($B$11))),
            Table8[ملاحظة]
         ),
         ""
      ),
      IF(_xlpm.result="", "", _xlpm.result)
   )
)</f>
        <v/>
      </c>
      <c r="S654" s="46" t="str">
        <f t="shared" ca="1" si="11"/>
        <v/>
      </c>
    </row>
    <row r="655" spans="1:19" ht="15.6" thickTop="1" thickBot="1" x14ac:dyDescent="0.35">
      <c r="A655" s="39"/>
      <c r="B655" s="27" t="str" cm="1">
        <f t="array" ref="B655">IF(
   OR(A655="", $B$9="", $B$10="", $B$11=""),
   "",
   _xlfn.LET(
      _xlpm.result,
      IFERROR(
         _xlfn.XLOOKUP(
            1,
            (Table8[رقم الصنف]=A655)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5" s="27" t="str" cm="1">
        <f t="array" ref="C655">IF(
   A655="",
   "",
   _xlfn.LET(
      _xlpm.result,
      IFERROR(
         _xlfn.XLOOKUP(
            1,
            (Table8[رقم الصنف]=A655) *
            (IF($B$9="الكل",1, YEAR('ادخال البيانات'!$N$3:$N$1164) = VALUE($B$9))) *
            (IF($B$10="الكل",1, MONTH('ادخال البيانات'!$N$3:$N$1164) = VALUE($B$10))) *
            (IF($B$11="الكل",1, INT((DAY('ادخال البيانات'!$N$3:$N$1164)-1)/7)+1 = VALUE($B$11))),
            'ادخال البيانات'!$C$3:$C$1164
         ),
         ""
      ),
      IF(_xlpm.result="", "", _xlpm.result)
   )
)</f>
        <v/>
      </c>
      <c r="D655" s="27" t="str" cm="1">
        <f t="array" ref="D655">IF(
   OR(A655="", $B$9="", $B$10="", $B$11=""),
   "",
   _xlfn.LET(
      _xlpm.result,
      IFERROR(
         _xlfn.XLOOKUP(
            1,
            (Table8[رقم الصنف]=A655) *
            (IF($B$9="الكل",1, YEAR('ادخال البيانات'!$N$3:$N$1164)=VALUE($B$9))) *
            (IF($B$10="الكل",1, MONTH('ادخال البيانات'!$N$3:$N$1164)=VALUE($B$10))) *
            (IF($B$11="الكل",1, INT((DAY('ادخال البيانات'!$N$3:$N$1164)-1)/7)+1 = VALUE($B$11))),
            'ادخال البيانات'!$D$3:$D$1164
         ),
         ""
      ),
      IF(_xlpm.result="", "", _xlpm.result)
   )
)</f>
        <v/>
      </c>
      <c r="E655" s="27" t="str" cm="1">
        <f t="array" ref="E655">IF(
   A655="",
   "",
   _xlfn.LET(
      _xlpm.result,
      IFERROR(
         _xlfn.XLOOKUP(
            1,
            (Table8[رقم الصنف]=A655) *
            (IF($B$9="الكل",1, YEAR('ادخال البيانات'!$N$3:$N$1164)=VALUE($B$9))) *
            (IF($B$10="الكل",1, MONTH('ادخال البيانات'!$N$3:$N$1164)=VALUE($B$10))) *
            (IF($B$11="الكل",1, INT((DAY('ادخال البيانات'!$N$3:$N$1164)-1)/7)+1 = VALUE($B$11))),
            'ادخال البيانات'!$E$3:$E$1164
         ),
         ""
      ),
      IF(_xlpm.result="", "", _xlpm.result)
   )
)</f>
        <v/>
      </c>
      <c r="F655" s="27" t="str" cm="1">
        <f t="array" ref="F655">IF(
   A655="",
   "",
   _xlfn.LET(
      _xlpm.result,
      IFERROR(
         _xlfn.XLOOKUP(
            1,
            (Table8[رقم الصنف]=A655) *
            (IF($B$9="الكل",1, YEAR('ادخال البيانات'!$N$3:$N$1164) = VALUE($B$9))) *
            (IF($B$10="الكل",1, MONTH('ادخال البيانات'!$N$3:$N$1164) = VALUE($B$10))) *
            (IF($B$11="الكل",1, INT((DAY('ادخال البيانات'!$N$3:$N$1164)-1)/7)+1 = VALUE($B$11))),
            'ادخال البيانات'!$F$3:$F$1164
         ),
         ""
      ),
      IF(_xlpm.result="", "", _xlpm.result)
   )
)</f>
        <v/>
      </c>
      <c r="G655" s="27" t="str" cm="1">
        <f t="array" ref="G655">IF(
   A655="",
   "",
   _xlfn.LET(
      _xlpm.result,
      IFERROR(
         _xlfn.XLOOKUP(
            1,
            (Table8[رقم الصنف]=A655) *
            (IF($B$9="الكل",1, YEAR('ادخال البيانات'!$N$3:$N$1164)=VALUE($B$9))) *
            (IF($B$10="الكل",1, MONTH('ادخال البيانات'!$N$3:$N$1164)=VALUE($B$10))) *
            (IF($B$11="الكل",1, INT((DAY('ادخال البيانات'!$N$3:$N$1164)-1)/7)+1 = VALUE($B$11))),
            'ادخال البيانات'!$G$3:$G$1164
         ),
         ""
      ),
      IF(_xlpm.result="", "", _xlpm.result)
   )
)</f>
        <v/>
      </c>
      <c r="H655" s="27" t="str" cm="1">
        <f t="array" ref="H655">IF(
   A655="",
   "",
   _xlfn.LET(
      _xlpm.result,
      IFERROR(
         _xlfn.XLOOKUP(
            1,
            (Table8[رقم الصنف]=A655) *
            (IF($B$9="الكل",1, YEAR('ادخال البيانات'!$N$3:$N$1164)=VALUE($B$9))) *
            (IF($B$10="الكل",1, MONTH('ادخال البيانات'!$N$3:$N$1164)=VALUE($B$10))) *
            (IF($B$11="الكل",1, INT((DAY('ادخال البيانات'!$N$3:$N$1164)-1)/7)+1 = VALUE($B$11))),
            'ادخال البيانات'!$H$3:$H$1164
         ),
         ""
      ),
      IF(_xlpm.result="", "", _xlpm.result)
   )
)</f>
        <v/>
      </c>
      <c r="I655" s="27" t="str" cm="1">
        <f t="array" ref="I655">IF(
   A655="",
   "",
   _xlfn.LET(
      _xlpm.result,
      IFERROR(
         _xlfn.XLOOKUP(
            1,
            (Table8[رقم الصنف]=A655) *
            (IF($B$9="الكل",1, YEAR('ادخال البيانات'!$N$3:$N$1164)=VALUE($B$9))) *
            (IF($B$10="الكل",1, MONTH('ادخال البيانات'!$N$3:$N$1164)=VALUE($B$10))) *
            (IF($B$11="الكل",1, INT((DAY('ادخال البيانات'!$N$3:$N$1164)-1)/7)+1 = VALUE($B$11))),
            'ادخال البيانات'!$I$3:$I$1164
         ),
         ""
      ),
      IF(_xlpm.result="", "", _xlpm.result)
   )
)</f>
        <v/>
      </c>
      <c r="J655" s="27" t="str" cm="1">
        <f t="array" ref="J655">IF(
   A655="",
   "",
   _xlfn.LET(
      _xlpm.result,
      IFERROR(
         _xlfn.XLOOKUP(
            1,
            (Table8[رقم الصنف]=A655) *
            (IF($B$9="الكل",1, YEAR('ادخال البيانات'!$N$3:$N$1164)=VALUE($B$9))) *
            (IF($B$10="الكل",1, MONTH('ادخال البيانات'!$N$3:$N$1164)=VALUE($B$10))) *
            (IF($B$11="الكل",1, INT((DAY('ادخال البيانات'!$N$3:$N$1164)-1)/7)+1 = VALUE($B$11))),
            'ادخال البيانات'!$J$3:$J$1164
         ),
         ""
      ),
      IF(_xlpm.result="", "", _xlpm.result)
   )
)</f>
        <v/>
      </c>
      <c r="K655" s="27" t="str" cm="1">
        <f t="array" ref="K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5" s="27" t="str" cm="1">
        <f t="array" ref="L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5" s="27" t="str" cm="1">
        <f t="array" ref="M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5" s="28" t="str" cm="1">
        <f t="array" ref="N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5" s="28" t="str" cm="1">
        <f t="array" ref="O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5" s="27" t="str" cm="1">
        <f t="array" ref="P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Table8[جهة العطل]
         ),
         ""
      ),
      IF(_xlpm.result="", "", _xlpm.result)
   )
)</f>
        <v/>
      </c>
      <c r="Q655" s="27" t="str" cm="1">
        <f t="array" ref="Q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Table8[المركز]
         ),
         ""
      ),
      IF(_xlpm.result="", "", _xlpm.result)
   )
)</f>
        <v/>
      </c>
      <c r="R655" s="27" t="str" cm="1">
        <f t="array" ref="R655">IF(
   A655="",
   "",
   _xlfn.LET(
      _xlpm.result,
      IFERROR(
         _xlfn.XLOOKUP(
            1,
            (Table8[رقم الصنف]=A655) *
            (IF($B$9="الكل",1, YEAR('ادخال البيانات'!$N$3:$N$1164) = VALUE($B$9))) *
            (IF($B$10="الكل",1, MONTH('ادخال البيانات'!$N$3:$N$1164) = VALUE($B$10))) *
            (IF($B$11="الكل",1, INT((DAY('ادخال البيانات'!$N$3:$N$1164) - 1) / 7) + 1 = VALUE($B$11))),
            Table8[ملاحظة]
         ),
         ""
      ),
      IF(_xlpm.result="", "", _xlpm.result)
   )
)</f>
        <v/>
      </c>
      <c r="S655" s="46" t="str">
        <f t="shared" ca="1" si="11"/>
        <v/>
      </c>
    </row>
    <row r="656" spans="1:19" ht="15.6" thickTop="1" thickBot="1" x14ac:dyDescent="0.35">
      <c r="A656" s="39"/>
      <c r="B656" s="27" t="str" cm="1">
        <f t="array" ref="B656">IF(
   OR(A656="", $B$9="", $B$10="", $B$11=""),
   "",
   _xlfn.LET(
      _xlpm.result,
      IFERROR(
         _xlfn.XLOOKUP(
            1,
            (Table8[رقم الصنف]=A656)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6" s="27" t="str" cm="1">
        <f t="array" ref="C656">IF(
   A656="",
   "",
   _xlfn.LET(
      _xlpm.result,
      IFERROR(
         _xlfn.XLOOKUP(
            1,
            (Table8[رقم الصنف]=A656) *
            (IF($B$9="الكل",1, YEAR('ادخال البيانات'!$N$3:$N$1164) = VALUE($B$9))) *
            (IF($B$10="الكل",1, MONTH('ادخال البيانات'!$N$3:$N$1164) = VALUE($B$10))) *
            (IF($B$11="الكل",1, INT((DAY('ادخال البيانات'!$N$3:$N$1164)-1)/7)+1 = VALUE($B$11))),
            'ادخال البيانات'!$C$3:$C$1164
         ),
         ""
      ),
      IF(_xlpm.result="", "", _xlpm.result)
   )
)</f>
        <v/>
      </c>
      <c r="D656" s="27" t="str" cm="1">
        <f t="array" ref="D656">IF(
   OR(A656="", $B$9="", $B$10="", $B$11=""),
   "",
   _xlfn.LET(
      _xlpm.result,
      IFERROR(
         _xlfn.XLOOKUP(
            1,
            (Table8[رقم الصنف]=A656) *
            (IF($B$9="الكل",1, YEAR('ادخال البيانات'!$N$3:$N$1164)=VALUE($B$9))) *
            (IF($B$10="الكل",1, MONTH('ادخال البيانات'!$N$3:$N$1164)=VALUE($B$10))) *
            (IF($B$11="الكل",1, INT((DAY('ادخال البيانات'!$N$3:$N$1164)-1)/7)+1 = VALUE($B$11))),
            'ادخال البيانات'!$D$3:$D$1164
         ),
         ""
      ),
      IF(_xlpm.result="", "", _xlpm.result)
   )
)</f>
        <v/>
      </c>
      <c r="E656" s="27" t="str" cm="1">
        <f t="array" ref="E656">IF(
   A656="",
   "",
   _xlfn.LET(
      _xlpm.result,
      IFERROR(
         _xlfn.XLOOKUP(
            1,
            (Table8[رقم الصنف]=A656) *
            (IF($B$9="الكل",1, YEAR('ادخال البيانات'!$N$3:$N$1164)=VALUE($B$9))) *
            (IF($B$10="الكل",1, MONTH('ادخال البيانات'!$N$3:$N$1164)=VALUE($B$10))) *
            (IF($B$11="الكل",1, INT((DAY('ادخال البيانات'!$N$3:$N$1164)-1)/7)+1 = VALUE($B$11))),
            'ادخال البيانات'!$E$3:$E$1164
         ),
         ""
      ),
      IF(_xlpm.result="", "", _xlpm.result)
   )
)</f>
        <v/>
      </c>
      <c r="F656" s="27" t="str" cm="1">
        <f t="array" ref="F656">IF(
   A656="",
   "",
   _xlfn.LET(
      _xlpm.result,
      IFERROR(
         _xlfn.XLOOKUP(
            1,
            (Table8[رقم الصنف]=A656) *
            (IF($B$9="الكل",1, YEAR('ادخال البيانات'!$N$3:$N$1164) = VALUE($B$9))) *
            (IF($B$10="الكل",1, MONTH('ادخال البيانات'!$N$3:$N$1164) = VALUE($B$10))) *
            (IF($B$11="الكل",1, INT((DAY('ادخال البيانات'!$N$3:$N$1164)-1)/7)+1 = VALUE($B$11))),
            'ادخال البيانات'!$F$3:$F$1164
         ),
         ""
      ),
      IF(_xlpm.result="", "", _xlpm.result)
   )
)</f>
        <v/>
      </c>
      <c r="G656" s="27" t="str" cm="1">
        <f t="array" ref="G656">IF(
   A656="",
   "",
   _xlfn.LET(
      _xlpm.result,
      IFERROR(
         _xlfn.XLOOKUP(
            1,
            (Table8[رقم الصنف]=A656) *
            (IF($B$9="الكل",1, YEAR('ادخال البيانات'!$N$3:$N$1164)=VALUE($B$9))) *
            (IF($B$10="الكل",1, MONTH('ادخال البيانات'!$N$3:$N$1164)=VALUE($B$10))) *
            (IF($B$11="الكل",1, INT((DAY('ادخال البيانات'!$N$3:$N$1164)-1)/7)+1 = VALUE($B$11))),
            'ادخال البيانات'!$G$3:$G$1164
         ),
         ""
      ),
      IF(_xlpm.result="", "", _xlpm.result)
   )
)</f>
        <v/>
      </c>
      <c r="H656" s="27" t="str" cm="1">
        <f t="array" ref="H656">IF(
   A656="",
   "",
   _xlfn.LET(
      _xlpm.result,
      IFERROR(
         _xlfn.XLOOKUP(
            1,
            (Table8[رقم الصنف]=A656) *
            (IF($B$9="الكل",1, YEAR('ادخال البيانات'!$N$3:$N$1164)=VALUE($B$9))) *
            (IF($B$10="الكل",1, MONTH('ادخال البيانات'!$N$3:$N$1164)=VALUE($B$10))) *
            (IF($B$11="الكل",1, INT((DAY('ادخال البيانات'!$N$3:$N$1164)-1)/7)+1 = VALUE($B$11))),
            'ادخال البيانات'!$H$3:$H$1164
         ),
         ""
      ),
      IF(_xlpm.result="", "", _xlpm.result)
   )
)</f>
        <v/>
      </c>
      <c r="I656" s="27" t="str" cm="1">
        <f t="array" ref="I656">IF(
   A656="",
   "",
   _xlfn.LET(
      _xlpm.result,
      IFERROR(
         _xlfn.XLOOKUP(
            1,
            (Table8[رقم الصنف]=A656) *
            (IF($B$9="الكل",1, YEAR('ادخال البيانات'!$N$3:$N$1164)=VALUE($B$9))) *
            (IF($B$10="الكل",1, MONTH('ادخال البيانات'!$N$3:$N$1164)=VALUE($B$10))) *
            (IF($B$11="الكل",1, INT((DAY('ادخال البيانات'!$N$3:$N$1164)-1)/7)+1 = VALUE($B$11))),
            'ادخال البيانات'!$I$3:$I$1164
         ),
         ""
      ),
      IF(_xlpm.result="", "", _xlpm.result)
   )
)</f>
        <v/>
      </c>
      <c r="J656" s="27" t="str" cm="1">
        <f t="array" ref="J656">IF(
   A656="",
   "",
   _xlfn.LET(
      _xlpm.result,
      IFERROR(
         _xlfn.XLOOKUP(
            1,
            (Table8[رقم الصنف]=A656) *
            (IF($B$9="الكل",1, YEAR('ادخال البيانات'!$N$3:$N$1164)=VALUE($B$9))) *
            (IF($B$10="الكل",1, MONTH('ادخال البيانات'!$N$3:$N$1164)=VALUE($B$10))) *
            (IF($B$11="الكل",1, INT((DAY('ادخال البيانات'!$N$3:$N$1164)-1)/7)+1 = VALUE($B$11))),
            'ادخال البيانات'!$J$3:$J$1164
         ),
         ""
      ),
      IF(_xlpm.result="", "", _xlpm.result)
   )
)</f>
        <v/>
      </c>
      <c r="K656" s="27" t="str" cm="1">
        <f t="array" ref="K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6" s="27" t="str" cm="1">
        <f t="array" ref="L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6" s="27" t="str" cm="1">
        <f t="array" ref="M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6" s="28" t="str" cm="1">
        <f t="array" ref="N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6" s="28" t="str" cm="1">
        <f t="array" ref="O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6" s="27" t="str" cm="1">
        <f t="array" ref="P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Table8[جهة العطل]
         ),
         ""
      ),
      IF(_xlpm.result="", "", _xlpm.result)
   )
)</f>
        <v/>
      </c>
      <c r="Q656" s="27" t="str" cm="1">
        <f t="array" ref="Q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Table8[المركز]
         ),
         ""
      ),
      IF(_xlpm.result="", "", _xlpm.result)
   )
)</f>
        <v/>
      </c>
      <c r="R656" s="27" t="str" cm="1">
        <f t="array" ref="R656">IF(
   A656="",
   "",
   _xlfn.LET(
      _xlpm.result,
      IFERROR(
         _xlfn.XLOOKUP(
            1,
            (Table8[رقم الصنف]=A656) *
            (IF($B$9="الكل",1, YEAR('ادخال البيانات'!$N$3:$N$1164) = VALUE($B$9))) *
            (IF($B$10="الكل",1, MONTH('ادخال البيانات'!$N$3:$N$1164) = VALUE($B$10))) *
            (IF($B$11="الكل",1, INT((DAY('ادخال البيانات'!$N$3:$N$1164) - 1) / 7) + 1 = VALUE($B$11))),
            Table8[ملاحظة]
         ),
         ""
      ),
      IF(_xlpm.result="", "", _xlpm.result)
   )
)</f>
        <v/>
      </c>
      <c r="S656" s="46" t="str">
        <f t="shared" ca="1" si="11"/>
        <v/>
      </c>
    </row>
    <row r="657" spans="1:19" ht="15.6" thickTop="1" thickBot="1" x14ac:dyDescent="0.35">
      <c r="A657" s="39"/>
      <c r="B657" s="27" t="str" cm="1">
        <f t="array" ref="B657">IF(
   OR(A657="", $B$9="", $B$10="", $B$11=""),
   "",
   _xlfn.LET(
      _xlpm.result,
      IFERROR(
         _xlfn.XLOOKUP(
            1,
            (Table8[رقم الصنف]=A657)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7" s="27" t="str" cm="1">
        <f t="array" ref="C657">IF(
   A657="",
   "",
   _xlfn.LET(
      _xlpm.result,
      IFERROR(
         _xlfn.XLOOKUP(
            1,
            (Table8[رقم الصنف]=A657) *
            (IF($B$9="الكل",1, YEAR('ادخال البيانات'!$N$3:$N$1164) = VALUE($B$9))) *
            (IF($B$10="الكل",1, MONTH('ادخال البيانات'!$N$3:$N$1164) = VALUE($B$10))) *
            (IF($B$11="الكل",1, INT((DAY('ادخال البيانات'!$N$3:$N$1164)-1)/7)+1 = VALUE($B$11))),
            'ادخال البيانات'!$C$3:$C$1164
         ),
         ""
      ),
      IF(_xlpm.result="", "", _xlpm.result)
   )
)</f>
        <v/>
      </c>
      <c r="D657" s="27" t="str" cm="1">
        <f t="array" ref="D657">IF(
   OR(A657="", $B$9="", $B$10="", $B$11=""),
   "",
   _xlfn.LET(
      _xlpm.result,
      IFERROR(
         _xlfn.XLOOKUP(
            1,
            (Table8[رقم الصنف]=A657) *
            (IF($B$9="الكل",1, YEAR('ادخال البيانات'!$N$3:$N$1164)=VALUE($B$9))) *
            (IF($B$10="الكل",1, MONTH('ادخال البيانات'!$N$3:$N$1164)=VALUE($B$10))) *
            (IF($B$11="الكل",1, INT((DAY('ادخال البيانات'!$N$3:$N$1164)-1)/7)+1 = VALUE($B$11))),
            'ادخال البيانات'!$D$3:$D$1164
         ),
         ""
      ),
      IF(_xlpm.result="", "", _xlpm.result)
   )
)</f>
        <v/>
      </c>
      <c r="E657" s="27" t="str" cm="1">
        <f t="array" ref="E657">IF(
   A657="",
   "",
   _xlfn.LET(
      _xlpm.result,
      IFERROR(
         _xlfn.XLOOKUP(
            1,
            (Table8[رقم الصنف]=A657) *
            (IF($B$9="الكل",1, YEAR('ادخال البيانات'!$N$3:$N$1164)=VALUE($B$9))) *
            (IF($B$10="الكل",1, MONTH('ادخال البيانات'!$N$3:$N$1164)=VALUE($B$10))) *
            (IF($B$11="الكل",1, INT((DAY('ادخال البيانات'!$N$3:$N$1164)-1)/7)+1 = VALUE($B$11))),
            'ادخال البيانات'!$E$3:$E$1164
         ),
         ""
      ),
      IF(_xlpm.result="", "", _xlpm.result)
   )
)</f>
        <v/>
      </c>
      <c r="F657" s="27" t="str" cm="1">
        <f t="array" ref="F657">IF(
   A657="",
   "",
   _xlfn.LET(
      _xlpm.result,
      IFERROR(
         _xlfn.XLOOKUP(
            1,
            (Table8[رقم الصنف]=A657) *
            (IF($B$9="الكل",1, YEAR('ادخال البيانات'!$N$3:$N$1164) = VALUE($B$9))) *
            (IF($B$10="الكل",1, MONTH('ادخال البيانات'!$N$3:$N$1164) = VALUE($B$10))) *
            (IF($B$11="الكل",1, INT((DAY('ادخال البيانات'!$N$3:$N$1164)-1)/7)+1 = VALUE($B$11))),
            'ادخال البيانات'!$F$3:$F$1164
         ),
         ""
      ),
      IF(_xlpm.result="", "", _xlpm.result)
   )
)</f>
        <v/>
      </c>
      <c r="G657" s="27" t="str" cm="1">
        <f t="array" ref="G657">IF(
   A657="",
   "",
   _xlfn.LET(
      _xlpm.result,
      IFERROR(
         _xlfn.XLOOKUP(
            1,
            (Table8[رقم الصنف]=A657) *
            (IF($B$9="الكل",1, YEAR('ادخال البيانات'!$N$3:$N$1164)=VALUE($B$9))) *
            (IF($B$10="الكل",1, MONTH('ادخال البيانات'!$N$3:$N$1164)=VALUE($B$10))) *
            (IF($B$11="الكل",1, INT((DAY('ادخال البيانات'!$N$3:$N$1164)-1)/7)+1 = VALUE($B$11))),
            'ادخال البيانات'!$G$3:$G$1164
         ),
         ""
      ),
      IF(_xlpm.result="", "", _xlpm.result)
   )
)</f>
        <v/>
      </c>
      <c r="H657" s="27" t="str" cm="1">
        <f t="array" ref="H657">IF(
   A657="",
   "",
   _xlfn.LET(
      _xlpm.result,
      IFERROR(
         _xlfn.XLOOKUP(
            1,
            (Table8[رقم الصنف]=A657) *
            (IF($B$9="الكل",1, YEAR('ادخال البيانات'!$N$3:$N$1164)=VALUE($B$9))) *
            (IF($B$10="الكل",1, MONTH('ادخال البيانات'!$N$3:$N$1164)=VALUE($B$10))) *
            (IF($B$11="الكل",1, INT((DAY('ادخال البيانات'!$N$3:$N$1164)-1)/7)+1 = VALUE($B$11))),
            'ادخال البيانات'!$H$3:$H$1164
         ),
         ""
      ),
      IF(_xlpm.result="", "", _xlpm.result)
   )
)</f>
        <v/>
      </c>
      <c r="I657" s="27" t="str" cm="1">
        <f t="array" ref="I657">IF(
   A657="",
   "",
   _xlfn.LET(
      _xlpm.result,
      IFERROR(
         _xlfn.XLOOKUP(
            1,
            (Table8[رقم الصنف]=A657) *
            (IF($B$9="الكل",1, YEAR('ادخال البيانات'!$N$3:$N$1164)=VALUE($B$9))) *
            (IF($B$10="الكل",1, MONTH('ادخال البيانات'!$N$3:$N$1164)=VALUE($B$10))) *
            (IF($B$11="الكل",1, INT((DAY('ادخال البيانات'!$N$3:$N$1164)-1)/7)+1 = VALUE($B$11))),
            'ادخال البيانات'!$I$3:$I$1164
         ),
         ""
      ),
      IF(_xlpm.result="", "", _xlpm.result)
   )
)</f>
        <v/>
      </c>
      <c r="J657" s="27" t="str" cm="1">
        <f t="array" ref="J657">IF(
   A657="",
   "",
   _xlfn.LET(
      _xlpm.result,
      IFERROR(
         _xlfn.XLOOKUP(
            1,
            (Table8[رقم الصنف]=A657) *
            (IF($B$9="الكل",1, YEAR('ادخال البيانات'!$N$3:$N$1164)=VALUE($B$9))) *
            (IF($B$10="الكل",1, MONTH('ادخال البيانات'!$N$3:$N$1164)=VALUE($B$10))) *
            (IF($B$11="الكل",1, INT((DAY('ادخال البيانات'!$N$3:$N$1164)-1)/7)+1 = VALUE($B$11))),
            'ادخال البيانات'!$J$3:$J$1164
         ),
         ""
      ),
      IF(_xlpm.result="", "", _xlpm.result)
   )
)</f>
        <v/>
      </c>
      <c r="K657" s="27" t="str" cm="1">
        <f t="array" ref="K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7" s="27" t="str" cm="1">
        <f t="array" ref="L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7" s="27" t="str" cm="1">
        <f t="array" ref="M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7" s="28" t="str" cm="1">
        <f t="array" ref="N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7" s="28" t="str" cm="1">
        <f t="array" ref="O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7" s="27" t="str" cm="1">
        <f t="array" ref="P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Table8[جهة العطل]
         ),
         ""
      ),
      IF(_xlpm.result="", "", _xlpm.result)
   )
)</f>
        <v/>
      </c>
      <c r="Q657" s="27" t="str" cm="1">
        <f t="array" ref="Q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Table8[المركز]
         ),
         ""
      ),
      IF(_xlpm.result="", "", _xlpm.result)
   )
)</f>
        <v/>
      </c>
      <c r="R657" s="27" t="str" cm="1">
        <f t="array" ref="R657">IF(
   A657="",
   "",
   _xlfn.LET(
      _xlpm.result,
      IFERROR(
         _xlfn.XLOOKUP(
            1,
            (Table8[رقم الصنف]=A657) *
            (IF($B$9="الكل",1, YEAR('ادخال البيانات'!$N$3:$N$1164) = VALUE($B$9))) *
            (IF($B$10="الكل",1, MONTH('ادخال البيانات'!$N$3:$N$1164) = VALUE($B$10))) *
            (IF($B$11="الكل",1, INT((DAY('ادخال البيانات'!$N$3:$N$1164) - 1) / 7) + 1 = VALUE($B$11))),
            Table8[ملاحظة]
         ),
         ""
      ),
      IF(_xlpm.result="", "", _xlpm.result)
   )
)</f>
        <v/>
      </c>
      <c r="S657" s="46" t="str">
        <f t="shared" ca="1" si="11"/>
        <v/>
      </c>
    </row>
    <row r="658" spans="1:19" ht="15.6" thickTop="1" thickBot="1" x14ac:dyDescent="0.35">
      <c r="A658" s="39"/>
      <c r="B658" s="27" t="str" cm="1">
        <f t="array" ref="B658">IF(
   OR(A658="", $B$9="", $B$10="", $B$11=""),
   "",
   _xlfn.LET(
      _xlpm.result,
      IFERROR(
         _xlfn.XLOOKUP(
            1,
            (Table8[رقم الصنف]=A658)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8" s="27" t="str" cm="1">
        <f t="array" ref="C658">IF(
   A658="",
   "",
   _xlfn.LET(
      _xlpm.result,
      IFERROR(
         _xlfn.XLOOKUP(
            1,
            (Table8[رقم الصنف]=A658) *
            (IF($B$9="الكل",1, YEAR('ادخال البيانات'!$N$3:$N$1164) = VALUE($B$9))) *
            (IF($B$10="الكل",1, MONTH('ادخال البيانات'!$N$3:$N$1164) = VALUE($B$10))) *
            (IF($B$11="الكل",1, INT((DAY('ادخال البيانات'!$N$3:$N$1164)-1)/7)+1 = VALUE($B$11))),
            'ادخال البيانات'!$C$3:$C$1164
         ),
         ""
      ),
      IF(_xlpm.result="", "", _xlpm.result)
   )
)</f>
        <v/>
      </c>
      <c r="D658" s="27" t="str" cm="1">
        <f t="array" ref="D658">IF(
   OR(A658="", $B$9="", $B$10="", $B$11=""),
   "",
   _xlfn.LET(
      _xlpm.result,
      IFERROR(
         _xlfn.XLOOKUP(
            1,
            (Table8[رقم الصنف]=A658) *
            (IF($B$9="الكل",1, YEAR('ادخال البيانات'!$N$3:$N$1164)=VALUE($B$9))) *
            (IF($B$10="الكل",1, MONTH('ادخال البيانات'!$N$3:$N$1164)=VALUE($B$10))) *
            (IF($B$11="الكل",1, INT((DAY('ادخال البيانات'!$N$3:$N$1164)-1)/7)+1 = VALUE($B$11))),
            'ادخال البيانات'!$D$3:$D$1164
         ),
         ""
      ),
      IF(_xlpm.result="", "", _xlpm.result)
   )
)</f>
        <v/>
      </c>
      <c r="E658" s="27" t="str" cm="1">
        <f t="array" ref="E658">IF(
   A658="",
   "",
   _xlfn.LET(
      _xlpm.result,
      IFERROR(
         _xlfn.XLOOKUP(
            1,
            (Table8[رقم الصنف]=A658) *
            (IF($B$9="الكل",1, YEAR('ادخال البيانات'!$N$3:$N$1164)=VALUE($B$9))) *
            (IF($B$10="الكل",1, MONTH('ادخال البيانات'!$N$3:$N$1164)=VALUE($B$10))) *
            (IF($B$11="الكل",1, INT((DAY('ادخال البيانات'!$N$3:$N$1164)-1)/7)+1 = VALUE($B$11))),
            'ادخال البيانات'!$E$3:$E$1164
         ),
         ""
      ),
      IF(_xlpm.result="", "", _xlpm.result)
   )
)</f>
        <v/>
      </c>
      <c r="F658" s="27" t="str" cm="1">
        <f t="array" ref="F658">IF(
   A658="",
   "",
   _xlfn.LET(
      _xlpm.result,
      IFERROR(
         _xlfn.XLOOKUP(
            1,
            (Table8[رقم الصنف]=A658) *
            (IF($B$9="الكل",1, YEAR('ادخال البيانات'!$N$3:$N$1164) = VALUE($B$9))) *
            (IF($B$10="الكل",1, MONTH('ادخال البيانات'!$N$3:$N$1164) = VALUE($B$10))) *
            (IF($B$11="الكل",1, INT((DAY('ادخال البيانات'!$N$3:$N$1164)-1)/7)+1 = VALUE($B$11))),
            'ادخال البيانات'!$F$3:$F$1164
         ),
         ""
      ),
      IF(_xlpm.result="", "", _xlpm.result)
   )
)</f>
        <v/>
      </c>
      <c r="G658" s="27" t="str" cm="1">
        <f t="array" ref="G658">IF(
   A658="",
   "",
   _xlfn.LET(
      _xlpm.result,
      IFERROR(
         _xlfn.XLOOKUP(
            1,
            (Table8[رقم الصنف]=A658) *
            (IF($B$9="الكل",1, YEAR('ادخال البيانات'!$N$3:$N$1164)=VALUE($B$9))) *
            (IF($B$10="الكل",1, MONTH('ادخال البيانات'!$N$3:$N$1164)=VALUE($B$10))) *
            (IF($B$11="الكل",1, INT((DAY('ادخال البيانات'!$N$3:$N$1164)-1)/7)+1 = VALUE($B$11))),
            'ادخال البيانات'!$G$3:$G$1164
         ),
         ""
      ),
      IF(_xlpm.result="", "", _xlpm.result)
   )
)</f>
        <v/>
      </c>
      <c r="H658" s="27" t="str" cm="1">
        <f t="array" ref="H658">IF(
   A658="",
   "",
   _xlfn.LET(
      _xlpm.result,
      IFERROR(
         _xlfn.XLOOKUP(
            1,
            (Table8[رقم الصنف]=A658) *
            (IF($B$9="الكل",1, YEAR('ادخال البيانات'!$N$3:$N$1164)=VALUE($B$9))) *
            (IF($B$10="الكل",1, MONTH('ادخال البيانات'!$N$3:$N$1164)=VALUE($B$10))) *
            (IF($B$11="الكل",1, INT((DAY('ادخال البيانات'!$N$3:$N$1164)-1)/7)+1 = VALUE($B$11))),
            'ادخال البيانات'!$H$3:$H$1164
         ),
         ""
      ),
      IF(_xlpm.result="", "", _xlpm.result)
   )
)</f>
        <v/>
      </c>
      <c r="I658" s="27" t="str" cm="1">
        <f t="array" ref="I658">IF(
   A658="",
   "",
   _xlfn.LET(
      _xlpm.result,
      IFERROR(
         _xlfn.XLOOKUP(
            1,
            (Table8[رقم الصنف]=A658) *
            (IF($B$9="الكل",1, YEAR('ادخال البيانات'!$N$3:$N$1164)=VALUE($B$9))) *
            (IF($B$10="الكل",1, MONTH('ادخال البيانات'!$N$3:$N$1164)=VALUE($B$10))) *
            (IF($B$11="الكل",1, INT((DAY('ادخال البيانات'!$N$3:$N$1164)-1)/7)+1 = VALUE($B$11))),
            'ادخال البيانات'!$I$3:$I$1164
         ),
         ""
      ),
      IF(_xlpm.result="", "", _xlpm.result)
   )
)</f>
        <v/>
      </c>
      <c r="J658" s="27" t="str" cm="1">
        <f t="array" ref="J658">IF(
   A658="",
   "",
   _xlfn.LET(
      _xlpm.result,
      IFERROR(
         _xlfn.XLOOKUP(
            1,
            (Table8[رقم الصنف]=A658) *
            (IF($B$9="الكل",1, YEAR('ادخال البيانات'!$N$3:$N$1164)=VALUE($B$9))) *
            (IF($B$10="الكل",1, MONTH('ادخال البيانات'!$N$3:$N$1164)=VALUE($B$10))) *
            (IF($B$11="الكل",1, INT((DAY('ادخال البيانات'!$N$3:$N$1164)-1)/7)+1 = VALUE($B$11))),
            'ادخال البيانات'!$J$3:$J$1164
         ),
         ""
      ),
      IF(_xlpm.result="", "", _xlpm.result)
   )
)</f>
        <v/>
      </c>
      <c r="K658" s="27" t="str" cm="1">
        <f t="array" ref="K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8" s="27" t="str" cm="1">
        <f t="array" ref="L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8" s="27" t="str" cm="1">
        <f t="array" ref="M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8" s="28" t="str" cm="1">
        <f t="array" ref="N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8" s="28" t="str" cm="1">
        <f t="array" ref="O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8" s="27" t="str" cm="1">
        <f t="array" ref="P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Table8[جهة العطل]
         ),
         ""
      ),
      IF(_xlpm.result="", "", _xlpm.result)
   )
)</f>
        <v/>
      </c>
      <c r="Q658" s="27" t="str" cm="1">
        <f t="array" ref="Q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Table8[المركز]
         ),
         ""
      ),
      IF(_xlpm.result="", "", _xlpm.result)
   )
)</f>
        <v/>
      </c>
      <c r="R658" s="27" t="str" cm="1">
        <f t="array" ref="R658">IF(
   A658="",
   "",
   _xlfn.LET(
      _xlpm.result,
      IFERROR(
         _xlfn.XLOOKUP(
            1,
            (Table8[رقم الصنف]=A658) *
            (IF($B$9="الكل",1, YEAR('ادخال البيانات'!$N$3:$N$1164) = VALUE($B$9))) *
            (IF($B$10="الكل",1, MONTH('ادخال البيانات'!$N$3:$N$1164) = VALUE($B$10))) *
            (IF($B$11="الكل",1, INT((DAY('ادخال البيانات'!$N$3:$N$1164) - 1) / 7) + 1 = VALUE($B$11))),
            Table8[ملاحظة]
         ),
         ""
      ),
      IF(_xlpm.result="", "", _xlpm.result)
   )
)</f>
        <v/>
      </c>
      <c r="S658" s="46" t="str">
        <f t="shared" ca="1" si="11"/>
        <v/>
      </c>
    </row>
    <row r="659" spans="1:19" ht="15.6" thickTop="1" thickBot="1" x14ac:dyDescent="0.35">
      <c r="A659" s="39"/>
      <c r="B659" s="27" t="str" cm="1">
        <f t="array" ref="B659">IF(
   OR(A659="", $B$9="", $B$10="", $B$11=""),
   "",
   _xlfn.LET(
      _xlpm.result,
      IFERROR(
         _xlfn.XLOOKUP(
            1,
            (Table8[رقم الصنف]=A659)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59" s="27" t="str" cm="1">
        <f t="array" ref="C659">IF(
   A659="",
   "",
   _xlfn.LET(
      _xlpm.result,
      IFERROR(
         _xlfn.XLOOKUP(
            1,
            (Table8[رقم الصنف]=A659) *
            (IF($B$9="الكل",1, YEAR('ادخال البيانات'!$N$3:$N$1164) = VALUE($B$9))) *
            (IF($B$10="الكل",1, MONTH('ادخال البيانات'!$N$3:$N$1164) = VALUE($B$10))) *
            (IF($B$11="الكل",1, INT((DAY('ادخال البيانات'!$N$3:$N$1164)-1)/7)+1 = VALUE($B$11))),
            'ادخال البيانات'!$C$3:$C$1164
         ),
         ""
      ),
      IF(_xlpm.result="", "", _xlpm.result)
   )
)</f>
        <v/>
      </c>
      <c r="D659" s="27" t="str" cm="1">
        <f t="array" ref="D659">IF(
   OR(A659="", $B$9="", $B$10="", $B$11=""),
   "",
   _xlfn.LET(
      _xlpm.result,
      IFERROR(
         _xlfn.XLOOKUP(
            1,
            (Table8[رقم الصنف]=A659) *
            (IF($B$9="الكل",1, YEAR('ادخال البيانات'!$N$3:$N$1164)=VALUE($B$9))) *
            (IF($B$10="الكل",1, MONTH('ادخال البيانات'!$N$3:$N$1164)=VALUE($B$10))) *
            (IF($B$11="الكل",1, INT((DAY('ادخال البيانات'!$N$3:$N$1164)-1)/7)+1 = VALUE($B$11))),
            'ادخال البيانات'!$D$3:$D$1164
         ),
         ""
      ),
      IF(_xlpm.result="", "", _xlpm.result)
   )
)</f>
        <v/>
      </c>
      <c r="E659" s="27" t="str" cm="1">
        <f t="array" ref="E659">IF(
   A659="",
   "",
   _xlfn.LET(
      _xlpm.result,
      IFERROR(
         _xlfn.XLOOKUP(
            1,
            (Table8[رقم الصنف]=A659) *
            (IF($B$9="الكل",1, YEAR('ادخال البيانات'!$N$3:$N$1164)=VALUE($B$9))) *
            (IF($B$10="الكل",1, MONTH('ادخال البيانات'!$N$3:$N$1164)=VALUE($B$10))) *
            (IF($B$11="الكل",1, INT((DAY('ادخال البيانات'!$N$3:$N$1164)-1)/7)+1 = VALUE($B$11))),
            'ادخال البيانات'!$E$3:$E$1164
         ),
         ""
      ),
      IF(_xlpm.result="", "", _xlpm.result)
   )
)</f>
        <v/>
      </c>
      <c r="F659" s="27" t="str" cm="1">
        <f t="array" ref="F659">IF(
   A659="",
   "",
   _xlfn.LET(
      _xlpm.result,
      IFERROR(
         _xlfn.XLOOKUP(
            1,
            (Table8[رقم الصنف]=A659) *
            (IF($B$9="الكل",1, YEAR('ادخال البيانات'!$N$3:$N$1164) = VALUE($B$9))) *
            (IF($B$10="الكل",1, MONTH('ادخال البيانات'!$N$3:$N$1164) = VALUE($B$10))) *
            (IF($B$11="الكل",1, INT((DAY('ادخال البيانات'!$N$3:$N$1164)-1)/7)+1 = VALUE($B$11))),
            'ادخال البيانات'!$F$3:$F$1164
         ),
         ""
      ),
      IF(_xlpm.result="", "", _xlpm.result)
   )
)</f>
        <v/>
      </c>
      <c r="G659" s="27" t="str" cm="1">
        <f t="array" ref="G659">IF(
   A659="",
   "",
   _xlfn.LET(
      _xlpm.result,
      IFERROR(
         _xlfn.XLOOKUP(
            1,
            (Table8[رقم الصنف]=A659) *
            (IF($B$9="الكل",1, YEAR('ادخال البيانات'!$N$3:$N$1164)=VALUE($B$9))) *
            (IF($B$10="الكل",1, MONTH('ادخال البيانات'!$N$3:$N$1164)=VALUE($B$10))) *
            (IF($B$11="الكل",1, INT((DAY('ادخال البيانات'!$N$3:$N$1164)-1)/7)+1 = VALUE($B$11))),
            'ادخال البيانات'!$G$3:$G$1164
         ),
         ""
      ),
      IF(_xlpm.result="", "", _xlpm.result)
   )
)</f>
        <v/>
      </c>
      <c r="H659" s="27" t="str" cm="1">
        <f t="array" ref="H659">IF(
   A659="",
   "",
   _xlfn.LET(
      _xlpm.result,
      IFERROR(
         _xlfn.XLOOKUP(
            1,
            (Table8[رقم الصنف]=A659) *
            (IF($B$9="الكل",1, YEAR('ادخال البيانات'!$N$3:$N$1164)=VALUE($B$9))) *
            (IF($B$10="الكل",1, MONTH('ادخال البيانات'!$N$3:$N$1164)=VALUE($B$10))) *
            (IF($B$11="الكل",1, INT((DAY('ادخال البيانات'!$N$3:$N$1164)-1)/7)+1 = VALUE($B$11))),
            'ادخال البيانات'!$H$3:$H$1164
         ),
         ""
      ),
      IF(_xlpm.result="", "", _xlpm.result)
   )
)</f>
        <v/>
      </c>
      <c r="I659" s="27" t="str" cm="1">
        <f t="array" ref="I659">IF(
   A659="",
   "",
   _xlfn.LET(
      _xlpm.result,
      IFERROR(
         _xlfn.XLOOKUP(
            1,
            (Table8[رقم الصنف]=A659) *
            (IF($B$9="الكل",1, YEAR('ادخال البيانات'!$N$3:$N$1164)=VALUE($B$9))) *
            (IF($B$10="الكل",1, MONTH('ادخال البيانات'!$N$3:$N$1164)=VALUE($B$10))) *
            (IF($B$11="الكل",1, INT((DAY('ادخال البيانات'!$N$3:$N$1164)-1)/7)+1 = VALUE($B$11))),
            'ادخال البيانات'!$I$3:$I$1164
         ),
         ""
      ),
      IF(_xlpm.result="", "", _xlpm.result)
   )
)</f>
        <v/>
      </c>
      <c r="J659" s="27" t="str" cm="1">
        <f t="array" ref="J659">IF(
   A659="",
   "",
   _xlfn.LET(
      _xlpm.result,
      IFERROR(
         _xlfn.XLOOKUP(
            1,
            (Table8[رقم الصنف]=A659) *
            (IF($B$9="الكل",1, YEAR('ادخال البيانات'!$N$3:$N$1164)=VALUE($B$9))) *
            (IF($B$10="الكل",1, MONTH('ادخال البيانات'!$N$3:$N$1164)=VALUE($B$10))) *
            (IF($B$11="الكل",1, INT((DAY('ادخال البيانات'!$N$3:$N$1164)-1)/7)+1 = VALUE($B$11))),
            'ادخال البيانات'!$J$3:$J$1164
         ),
         ""
      ),
      IF(_xlpm.result="", "", _xlpm.result)
   )
)</f>
        <v/>
      </c>
      <c r="K659" s="27" t="str" cm="1">
        <f t="array" ref="K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59" s="27" t="str" cm="1">
        <f t="array" ref="L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59" s="27" t="str" cm="1">
        <f t="array" ref="M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59" s="28" t="str" cm="1">
        <f t="array" ref="N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59" s="28" t="str" cm="1">
        <f t="array" ref="O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59" s="27" t="str" cm="1">
        <f t="array" ref="P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Table8[جهة العطل]
         ),
         ""
      ),
      IF(_xlpm.result="", "", _xlpm.result)
   )
)</f>
        <v/>
      </c>
      <c r="Q659" s="27" t="str" cm="1">
        <f t="array" ref="Q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Table8[المركز]
         ),
         ""
      ),
      IF(_xlpm.result="", "", _xlpm.result)
   )
)</f>
        <v/>
      </c>
      <c r="R659" s="27" t="str" cm="1">
        <f t="array" ref="R659">IF(
   A659="",
   "",
   _xlfn.LET(
      _xlpm.result,
      IFERROR(
         _xlfn.XLOOKUP(
            1,
            (Table8[رقم الصنف]=A659) *
            (IF($B$9="الكل",1, YEAR('ادخال البيانات'!$N$3:$N$1164) = VALUE($B$9))) *
            (IF($B$10="الكل",1, MONTH('ادخال البيانات'!$N$3:$N$1164) = VALUE($B$10))) *
            (IF($B$11="الكل",1, INT((DAY('ادخال البيانات'!$N$3:$N$1164) - 1) / 7) + 1 = VALUE($B$11))),
            Table8[ملاحظة]
         ),
         ""
      ),
      IF(_xlpm.result="", "", _xlpm.result)
   )
)</f>
        <v/>
      </c>
      <c r="S659" s="46" t="str">
        <f t="shared" ca="1" si="11"/>
        <v/>
      </c>
    </row>
    <row r="660" spans="1:19" ht="15.6" thickTop="1" thickBot="1" x14ac:dyDescent="0.35">
      <c r="A660" s="39"/>
      <c r="B660" s="27" t="str" cm="1">
        <f t="array" ref="B660">IF(
   OR(A660="", $B$9="", $B$10="", $B$11=""),
   "",
   _xlfn.LET(
      _xlpm.result,
      IFERROR(
         _xlfn.XLOOKUP(
            1,
            (Table8[رقم الصنف]=A660)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0" s="27" t="str" cm="1">
        <f t="array" ref="C660">IF(
   A660="",
   "",
   _xlfn.LET(
      _xlpm.result,
      IFERROR(
         _xlfn.XLOOKUP(
            1,
            (Table8[رقم الصنف]=A660) *
            (IF($B$9="الكل",1, YEAR('ادخال البيانات'!$N$3:$N$1164) = VALUE($B$9))) *
            (IF($B$10="الكل",1, MONTH('ادخال البيانات'!$N$3:$N$1164) = VALUE($B$10))) *
            (IF($B$11="الكل",1, INT((DAY('ادخال البيانات'!$N$3:$N$1164)-1)/7)+1 = VALUE($B$11))),
            'ادخال البيانات'!$C$3:$C$1164
         ),
         ""
      ),
      IF(_xlpm.result="", "", _xlpm.result)
   )
)</f>
        <v/>
      </c>
      <c r="D660" s="27" t="str" cm="1">
        <f t="array" ref="D660">IF(
   OR(A660="", $B$9="", $B$10="", $B$11=""),
   "",
   _xlfn.LET(
      _xlpm.result,
      IFERROR(
         _xlfn.XLOOKUP(
            1,
            (Table8[رقم الصنف]=A660) *
            (IF($B$9="الكل",1, YEAR('ادخال البيانات'!$N$3:$N$1164)=VALUE($B$9))) *
            (IF($B$10="الكل",1, MONTH('ادخال البيانات'!$N$3:$N$1164)=VALUE($B$10))) *
            (IF($B$11="الكل",1, INT((DAY('ادخال البيانات'!$N$3:$N$1164)-1)/7)+1 = VALUE($B$11))),
            'ادخال البيانات'!$D$3:$D$1164
         ),
         ""
      ),
      IF(_xlpm.result="", "", _xlpm.result)
   )
)</f>
        <v/>
      </c>
      <c r="E660" s="27" t="str" cm="1">
        <f t="array" ref="E660">IF(
   A660="",
   "",
   _xlfn.LET(
      _xlpm.result,
      IFERROR(
         _xlfn.XLOOKUP(
            1,
            (Table8[رقم الصنف]=A660) *
            (IF($B$9="الكل",1, YEAR('ادخال البيانات'!$N$3:$N$1164)=VALUE($B$9))) *
            (IF($B$10="الكل",1, MONTH('ادخال البيانات'!$N$3:$N$1164)=VALUE($B$10))) *
            (IF($B$11="الكل",1, INT((DAY('ادخال البيانات'!$N$3:$N$1164)-1)/7)+1 = VALUE($B$11))),
            'ادخال البيانات'!$E$3:$E$1164
         ),
         ""
      ),
      IF(_xlpm.result="", "", _xlpm.result)
   )
)</f>
        <v/>
      </c>
      <c r="F660" s="27" t="str" cm="1">
        <f t="array" ref="F660">IF(
   A660="",
   "",
   _xlfn.LET(
      _xlpm.result,
      IFERROR(
         _xlfn.XLOOKUP(
            1,
            (Table8[رقم الصنف]=A660) *
            (IF($B$9="الكل",1, YEAR('ادخال البيانات'!$N$3:$N$1164) = VALUE($B$9))) *
            (IF($B$10="الكل",1, MONTH('ادخال البيانات'!$N$3:$N$1164) = VALUE($B$10))) *
            (IF($B$11="الكل",1, INT((DAY('ادخال البيانات'!$N$3:$N$1164)-1)/7)+1 = VALUE($B$11))),
            'ادخال البيانات'!$F$3:$F$1164
         ),
         ""
      ),
      IF(_xlpm.result="", "", _xlpm.result)
   )
)</f>
        <v/>
      </c>
      <c r="G660" s="27" t="str" cm="1">
        <f t="array" ref="G660">IF(
   A660="",
   "",
   _xlfn.LET(
      _xlpm.result,
      IFERROR(
         _xlfn.XLOOKUP(
            1,
            (Table8[رقم الصنف]=A660) *
            (IF($B$9="الكل",1, YEAR('ادخال البيانات'!$N$3:$N$1164)=VALUE($B$9))) *
            (IF($B$10="الكل",1, MONTH('ادخال البيانات'!$N$3:$N$1164)=VALUE($B$10))) *
            (IF($B$11="الكل",1, INT((DAY('ادخال البيانات'!$N$3:$N$1164)-1)/7)+1 = VALUE($B$11))),
            'ادخال البيانات'!$G$3:$G$1164
         ),
         ""
      ),
      IF(_xlpm.result="", "", _xlpm.result)
   )
)</f>
        <v/>
      </c>
      <c r="H660" s="27" t="str" cm="1">
        <f t="array" ref="H660">IF(
   A660="",
   "",
   _xlfn.LET(
      _xlpm.result,
      IFERROR(
         _xlfn.XLOOKUP(
            1,
            (Table8[رقم الصنف]=A660) *
            (IF($B$9="الكل",1, YEAR('ادخال البيانات'!$N$3:$N$1164)=VALUE($B$9))) *
            (IF($B$10="الكل",1, MONTH('ادخال البيانات'!$N$3:$N$1164)=VALUE($B$10))) *
            (IF($B$11="الكل",1, INT((DAY('ادخال البيانات'!$N$3:$N$1164)-1)/7)+1 = VALUE($B$11))),
            'ادخال البيانات'!$H$3:$H$1164
         ),
         ""
      ),
      IF(_xlpm.result="", "", _xlpm.result)
   )
)</f>
        <v/>
      </c>
      <c r="I660" s="27" t="str" cm="1">
        <f t="array" ref="I660">IF(
   A660="",
   "",
   _xlfn.LET(
      _xlpm.result,
      IFERROR(
         _xlfn.XLOOKUP(
            1,
            (Table8[رقم الصنف]=A660) *
            (IF($B$9="الكل",1, YEAR('ادخال البيانات'!$N$3:$N$1164)=VALUE($B$9))) *
            (IF($B$10="الكل",1, MONTH('ادخال البيانات'!$N$3:$N$1164)=VALUE($B$10))) *
            (IF($B$11="الكل",1, INT((DAY('ادخال البيانات'!$N$3:$N$1164)-1)/7)+1 = VALUE($B$11))),
            'ادخال البيانات'!$I$3:$I$1164
         ),
         ""
      ),
      IF(_xlpm.result="", "", _xlpm.result)
   )
)</f>
        <v/>
      </c>
      <c r="J660" s="27" t="str" cm="1">
        <f t="array" ref="J660">IF(
   A660="",
   "",
   _xlfn.LET(
      _xlpm.result,
      IFERROR(
         _xlfn.XLOOKUP(
            1,
            (Table8[رقم الصنف]=A660) *
            (IF($B$9="الكل",1, YEAR('ادخال البيانات'!$N$3:$N$1164)=VALUE($B$9))) *
            (IF($B$10="الكل",1, MONTH('ادخال البيانات'!$N$3:$N$1164)=VALUE($B$10))) *
            (IF($B$11="الكل",1, INT((DAY('ادخال البيانات'!$N$3:$N$1164)-1)/7)+1 = VALUE($B$11))),
            'ادخال البيانات'!$J$3:$J$1164
         ),
         ""
      ),
      IF(_xlpm.result="", "", _xlpm.result)
   )
)</f>
        <v/>
      </c>
      <c r="K660" s="27" t="str" cm="1">
        <f t="array" ref="K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0" s="27" t="str" cm="1">
        <f t="array" ref="L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0" s="27" t="str" cm="1">
        <f t="array" ref="M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0" s="28" t="str" cm="1">
        <f t="array" ref="N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0" s="28" t="str" cm="1">
        <f t="array" ref="O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0" s="27" t="str" cm="1">
        <f t="array" ref="P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Table8[جهة العطل]
         ),
         ""
      ),
      IF(_xlpm.result="", "", _xlpm.result)
   )
)</f>
        <v/>
      </c>
      <c r="Q660" s="27" t="str" cm="1">
        <f t="array" ref="Q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Table8[المركز]
         ),
         ""
      ),
      IF(_xlpm.result="", "", _xlpm.result)
   )
)</f>
        <v/>
      </c>
      <c r="R660" s="27" t="str" cm="1">
        <f t="array" ref="R660">IF(
   A660="",
   "",
   _xlfn.LET(
      _xlpm.result,
      IFERROR(
         _xlfn.XLOOKUP(
            1,
            (Table8[رقم الصنف]=A660) *
            (IF($B$9="الكل",1, YEAR('ادخال البيانات'!$N$3:$N$1164) = VALUE($B$9))) *
            (IF($B$10="الكل",1, MONTH('ادخال البيانات'!$N$3:$N$1164) = VALUE($B$10))) *
            (IF($B$11="الكل",1, INT((DAY('ادخال البيانات'!$N$3:$N$1164) - 1) / 7) + 1 = VALUE($B$11))),
            Table8[ملاحظة]
         ),
         ""
      ),
      IF(_xlpm.result="", "", _xlpm.result)
   )
)</f>
        <v/>
      </c>
      <c r="S660" s="46" t="str">
        <f t="shared" ca="1" si="11"/>
        <v/>
      </c>
    </row>
    <row r="661" spans="1:19" ht="15.6" thickTop="1" thickBot="1" x14ac:dyDescent="0.35">
      <c r="A661" s="39"/>
      <c r="B661" s="27" t="str" cm="1">
        <f t="array" ref="B661">IF(
   OR(A661="", $B$9="", $B$10="", $B$11=""),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1" s="27" t="str" cm="1">
        <f t="array" ref="C661">IF(
   A661="",
   "",
   _xlfn.LET(
      _xlpm.result,
      IFERROR(
         _xlfn.XLOOKUP(
            1,
            (Table8[رقم الصنف]=A661) *
            (IF($B$9="الكل",1, YEAR('ادخال البيانات'!$N$3:$N$1164) = VALUE($B$9))) *
            (IF($B$10="الكل",1, MONTH('ادخال البيانات'!$N$3:$N$1164) = VALUE($B$10))) *
            (IF($B$11="الكل",1, INT((DAY('ادخال البيانات'!$N$3:$N$1164)-1)/7)+1 = VALUE($B$11))),
            'ادخال البيانات'!$C$3:$C$1164
         ),
         ""
      ),
      IF(_xlpm.result="", "", _xlpm.result)
   )
)</f>
        <v/>
      </c>
      <c r="D661" s="27" t="str" cm="1">
        <f t="array" ref="D661">IF(
   OR(A661="", $B$9="", $B$10="", $B$11=""),
   "",
   _xlfn.LET(
      _xlpm.result,
      IFERROR(
         _xlfn.XLOOKUP(
            1,
            (Table8[رقم الصنف]=A661) *
            (IF($B$9="الكل",1, YEAR('ادخال البيانات'!$N$3:$N$1164)=VALUE($B$9))) *
            (IF($B$10="الكل",1, MONTH('ادخال البيانات'!$N$3:$N$1164)=VALUE($B$10))) *
            (IF($B$11="الكل",1, INT((DAY('ادخال البيانات'!$N$3:$N$1164)-1)/7)+1 = VALUE($B$11))),
            'ادخال البيانات'!$D$3:$D$1164
         ),
         ""
      ),
      IF(_xlpm.result="", "", _xlpm.result)
   )
)</f>
        <v/>
      </c>
      <c r="E661" s="27" t="str" cm="1">
        <f t="array" ref="E661">IF(
   A661="",
   "",
   _xlfn.LET(
      _xlpm.result,
      IFERROR(
         _xlfn.XLOOKUP(
            1,
            (Table8[رقم الصنف]=A661) *
            (IF($B$9="الكل",1, YEAR('ادخال البيانات'!$N$3:$N$1164)=VALUE($B$9))) *
            (IF($B$10="الكل",1, MONTH('ادخال البيانات'!$N$3:$N$1164)=VALUE($B$10))) *
            (IF($B$11="الكل",1, INT((DAY('ادخال البيانات'!$N$3:$N$1164)-1)/7)+1 = VALUE($B$11))),
            'ادخال البيانات'!$E$3:$E$1164
         ),
         ""
      ),
      IF(_xlpm.result="", "", _xlpm.result)
   )
)</f>
        <v/>
      </c>
      <c r="F661" s="27" t="str" cm="1">
        <f t="array" ref="F661">IF(
   A661="",
   "",
   _xlfn.LET(
      _xlpm.result,
      IFERROR(
         _xlfn.XLOOKUP(
            1,
            (Table8[رقم الصنف]=A661) *
            (IF($B$9="الكل",1, YEAR('ادخال البيانات'!$N$3:$N$1164) = VALUE($B$9))) *
            (IF($B$10="الكل",1, MONTH('ادخال البيانات'!$N$3:$N$1164) = VALUE($B$10))) *
            (IF($B$11="الكل",1, INT((DAY('ادخال البيانات'!$N$3:$N$1164)-1)/7)+1 = VALUE($B$11))),
            'ادخال البيانات'!$F$3:$F$1164
         ),
         ""
      ),
      IF(_xlpm.result="", "", _xlpm.result)
   )
)</f>
        <v/>
      </c>
      <c r="G661" s="27" t="str" cm="1">
        <f t="array" ref="G661">IF(
   A661="",
   "",
   _xlfn.LET(
      _xlpm.result,
      IFERROR(
         _xlfn.XLOOKUP(
            1,
            (Table8[رقم الصنف]=A661) *
            (IF($B$9="الكل",1, YEAR('ادخال البيانات'!$N$3:$N$1164)=VALUE($B$9))) *
            (IF($B$10="الكل",1, MONTH('ادخال البيانات'!$N$3:$N$1164)=VALUE($B$10))) *
            (IF($B$11="الكل",1, INT((DAY('ادخال البيانات'!$N$3:$N$1164)-1)/7)+1 = VALUE($B$11))),
            'ادخال البيانات'!$G$3:$G$1164
         ),
         ""
      ),
      IF(_xlpm.result="", "", _xlpm.result)
   )
)</f>
        <v/>
      </c>
      <c r="H661" s="27" t="str" cm="1">
        <f t="array" ref="H661">IF(
   A661="",
   "",
   _xlfn.LET(
      _xlpm.result,
      IFERROR(
         _xlfn.XLOOKUP(
            1,
            (Table8[رقم الصنف]=A661) *
            (IF($B$9="الكل",1, YEAR('ادخال البيانات'!$N$3:$N$1164)=VALUE($B$9))) *
            (IF($B$10="الكل",1, MONTH('ادخال البيانات'!$N$3:$N$1164)=VALUE($B$10))) *
            (IF($B$11="الكل",1, INT((DAY('ادخال البيانات'!$N$3:$N$1164)-1)/7)+1 = VALUE($B$11))),
            'ادخال البيانات'!$H$3:$H$1164
         ),
         ""
      ),
      IF(_xlpm.result="", "", _xlpm.result)
   )
)</f>
        <v/>
      </c>
      <c r="I661" s="27" t="str" cm="1">
        <f t="array" ref="I661">IF(
   A661="",
   "",
   _xlfn.LET(
      _xlpm.result,
      IFERROR(
         _xlfn.XLOOKUP(
            1,
            (Table8[رقم الصنف]=A661) *
            (IF($B$9="الكل",1, YEAR('ادخال البيانات'!$N$3:$N$1164)=VALUE($B$9))) *
            (IF($B$10="الكل",1, MONTH('ادخال البيانات'!$N$3:$N$1164)=VALUE($B$10))) *
            (IF($B$11="الكل",1, INT((DAY('ادخال البيانات'!$N$3:$N$1164)-1)/7)+1 = VALUE($B$11))),
            'ادخال البيانات'!$I$3:$I$1164
         ),
         ""
      ),
      IF(_xlpm.result="", "", _xlpm.result)
   )
)</f>
        <v/>
      </c>
      <c r="J661" s="27" t="str" cm="1">
        <f t="array" ref="J661">IF(
   A661="",
   "",
   _xlfn.LET(
      _xlpm.result,
      IFERROR(
         _xlfn.XLOOKUP(
            1,
            (Table8[رقم الصنف]=A661) *
            (IF($B$9="الكل",1, YEAR('ادخال البيانات'!$N$3:$N$1164)=VALUE($B$9))) *
            (IF($B$10="الكل",1, MONTH('ادخال البيانات'!$N$3:$N$1164)=VALUE($B$10))) *
            (IF($B$11="الكل",1, INT((DAY('ادخال البيانات'!$N$3:$N$1164)-1)/7)+1 = VALUE($B$11))),
            'ادخال البيانات'!$J$3:$J$1164
         ),
         ""
      ),
      IF(_xlpm.result="", "", _xlpm.result)
   )
)</f>
        <v/>
      </c>
      <c r="K661" s="27" t="str" cm="1">
        <f t="array" ref="K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1" s="27" t="str" cm="1">
        <f t="array" ref="L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1" s="27" t="str" cm="1">
        <f t="array" ref="M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1" s="28" t="str" cm="1">
        <f t="array" ref="N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1" s="28" t="str" cm="1">
        <f t="array" ref="O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1" s="27" t="str" cm="1">
        <f t="array" ref="P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Table8[جهة العطل]
         ),
         ""
      ),
      IF(_xlpm.result="", "", _xlpm.result)
   )
)</f>
        <v/>
      </c>
      <c r="Q661" s="27" t="str" cm="1">
        <f t="array" ref="Q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Table8[المركز]
         ),
         ""
      ),
      IF(_xlpm.result="", "", _xlpm.result)
   )
)</f>
        <v/>
      </c>
      <c r="R661" s="27" t="str" cm="1">
        <f t="array" ref="R661">IF(
   A661="",
   "",
   _xlfn.LET(
      _xlpm.result,
      IFERROR(
         _xlfn.XLOOKUP(
            1,
            (Table8[رقم الصنف]=A661) *
            (IF($B$9="الكل",1, YEAR('ادخال البيانات'!$N$3:$N$1164) = VALUE($B$9))) *
            (IF($B$10="الكل",1, MONTH('ادخال البيانات'!$N$3:$N$1164) = VALUE($B$10))) *
            (IF($B$11="الكل",1, INT((DAY('ادخال البيانات'!$N$3:$N$1164) - 1) / 7) + 1 = VALUE($B$11))),
            Table8[ملاحظة]
         ),
         ""
      ),
      IF(_xlpm.result="", "", _xlpm.result)
   )
)</f>
        <v/>
      </c>
      <c r="S661" s="46" t="str">
        <f t="shared" ca="1" si="11"/>
        <v/>
      </c>
    </row>
    <row r="662" spans="1:19" ht="15.6" thickTop="1" thickBot="1" x14ac:dyDescent="0.35">
      <c r="A662" s="39"/>
      <c r="B662" s="27" t="str" cm="1">
        <f t="array" ref="B662">IF(
   OR(A662="", $B$9="", $B$10="", $B$11=""),
   "",
   _xlfn.LET(
      _xlpm.result,
      IFERROR(
         _xlfn.XLOOKUP(
            1,
            (Table8[رقم الصنف]=A662)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2" s="27" t="str" cm="1">
        <f t="array" ref="C662">IF(
   A662="",
   "",
   _xlfn.LET(
      _xlpm.result,
      IFERROR(
         _xlfn.XLOOKUP(
            1,
            (Table8[رقم الصنف]=A662) *
            (IF($B$9="الكل",1, YEAR('ادخال البيانات'!$N$3:$N$1164) = VALUE($B$9))) *
            (IF($B$10="الكل",1, MONTH('ادخال البيانات'!$N$3:$N$1164) = VALUE($B$10))) *
            (IF($B$11="الكل",1, INT((DAY('ادخال البيانات'!$N$3:$N$1164)-1)/7)+1 = VALUE($B$11))),
            'ادخال البيانات'!$C$3:$C$1164
         ),
         ""
      ),
      IF(_xlpm.result="", "", _xlpm.result)
   )
)</f>
        <v/>
      </c>
      <c r="D662" s="27" t="str" cm="1">
        <f t="array" ref="D662">IF(
   OR(A662="", $B$9="", $B$10="", $B$11=""),
   "",
   _xlfn.LET(
      _xlpm.result,
      IFERROR(
         _xlfn.XLOOKUP(
            1,
            (Table8[رقم الصنف]=A662) *
            (IF($B$9="الكل",1, YEAR('ادخال البيانات'!$N$3:$N$1164)=VALUE($B$9))) *
            (IF($B$10="الكل",1, MONTH('ادخال البيانات'!$N$3:$N$1164)=VALUE($B$10))) *
            (IF($B$11="الكل",1, INT((DAY('ادخال البيانات'!$N$3:$N$1164)-1)/7)+1 = VALUE($B$11))),
            'ادخال البيانات'!$D$3:$D$1164
         ),
         ""
      ),
      IF(_xlpm.result="", "", _xlpm.result)
   )
)</f>
        <v/>
      </c>
      <c r="E662" s="27" t="str" cm="1">
        <f t="array" ref="E662">IF(
   A662="",
   "",
   _xlfn.LET(
      _xlpm.result,
      IFERROR(
         _xlfn.XLOOKUP(
            1,
            (Table8[رقم الصنف]=A662) *
            (IF($B$9="الكل",1, YEAR('ادخال البيانات'!$N$3:$N$1164)=VALUE($B$9))) *
            (IF($B$10="الكل",1, MONTH('ادخال البيانات'!$N$3:$N$1164)=VALUE($B$10))) *
            (IF($B$11="الكل",1, INT((DAY('ادخال البيانات'!$N$3:$N$1164)-1)/7)+1 = VALUE($B$11))),
            'ادخال البيانات'!$E$3:$E$1164
         ),
         ""
      ),
      IF(_xlpm.result="", "", _xlpm.result)
   )
)</f>
        <v/>
      </c>
      <c r="F662" s="27" t="str" cm="1">
        <f t="array" ref="F662">IF(
   A662="",
   "",
   _xlfn.LET(
      _xlpm.result,
      IFERROR(
         _xlfn.XLOOKUP(
            1,
            (Table8[رقم الصنف]=A662) *
            (IF($B$9="الكل",1, YEAR('ادخال البيانات'!$N$3:$N$1164) = VALUE($B$9))) *
            (IF($B$10="الكل",1, MONTH('ادخال البيانات'!$N$3:$N$1164) = VALUE($B$10))) *
            (IF($B$11="الكل",1, INT((DAY('ادخال البيانات'!$N$3:$N$1164)-1)/7)+1 = VALUE($B$11))),
            'ادخال البيانات'!$F$3:$F$1164
         ),
         ""
      ),
      IF(_xlpm.result="", "", _xlpm.result)
   )
)</f>
        <v/>
      </c>
      <c r="G662" s="27" t="str" cm="1">
        <f t="array" ref="G662">IF(
   A662="",
   "",
   _xlfn.LET(
      _xlpm.result,
      IFERROR(
         _xlfn.XLOOKUP(
            1,
            (Table8[رقم الصنف]=A662) *
            (IF($B$9="الكل",1, YEAR('ادخال البيانات'!$N$3:$N$1164)=VALUE($B$9))) *
            (IF($B$10="الكل",1, MONTH('ادخال البيانات'!$N$3:$N$1164)=VALUE($B$10))) *
            (IF($B$11="الكل",1, INT((DAY('ادخال البيانات'!$N$3:$N$1164)-1)/7)+1 = VALUE($B$11))),
            'ادخال البيانات'!$G$3:$G$1164
         ),
         ""
      ),
      IF(_xlpm.result="", "", _xlpm.result)
   )
)</f>
        <v/>
      </c>
      <c r="H662" s="27" t="str" cm="1">
        <f t="array" ref="H662">IF(
   A662="",
   "",
   _xlfn.LET(
      _xlpm.result,
      IFERROR(
         _xlfn.XLOOKUP(
            1,
            (Table8[رقم الصنف]=A662) *
            (IF($B$9="الكل",1, YEAR('ادخال البيانات'!$N$3:$N$1164)=VALUE($B$9))) *
            (IF($B$10="الكل",1, MONTH('ادخال البيانات'!$N$3:$N$1164)=VALUE($B$10))) *
            (IF($B$11="الكل",1, INT((DAY('ادخال البيانات'!$N$3:$N$1164)-1)/7)+1 = VALUE($B$11))),
            'ادخال البيانات'!$H$3:$H$1164
         ),
         ""
      ),
      IF(_xlpm.result="", "", _xlpm.result)
   )
)</f>
        <v/>
      </c>
      <c r="I662" s="27" t="str" cm="1">
        <f t="array" ref="I662">IF(
   A662="",
   "",
   _xlfn.LET(
      _xlpm.result,
      IFERROR(
         _xlfn.XLOOKUP(
            1,
            (Table8[رقم الصنف]=A662) *
            (IF($B$9="الكل",1, YEAR('ادخال البيانات'!$N$3:$N$1164)=VALUE($B$9))) *
            (IF($B$10="الكل",1, MONTH('ادخال البيانات'!$N$3:$N$1164)=VALUE($B$10))) *
            (IF($B$11="الكل",1, INT((DAY('ادخال البيانات'!$N$3:$N$1164)-1)/7)+1 = VALUE($B$11))),
            'ادخال البيانات'!$I$3:$I$1164
         ),
         ""
      ),
      IF(_xlpm.result="", "", _xlpm.result)
   )
)</f>
        <v/>
      </c>
      <c r="J662" s="27" t="str" cm="1">
        <f t="array" ref="J662">IF(
   A662="",
   "",
   _xlfn.LET(
      _xlpm.result,
      IFERROR(
         _xlfn.XLOOKUP(
            1,
            (Table8[رقم الصنف]=A662) *
            (IF($B$9="الكل",1, YEAR('ادخال البيانات'!$N$3:$N$1164)=VALUE($B$9))) *
            (IF($B$10="الكل",1, MONTH('ادخال البيانات'!$N$3:$N$1164)=VALUE($B$10))) *
            (IF($B$11="الكل",1, INT((DAY('ادخال البيانات'!$N$3:$N$1164)-1)/7)+1 = VALUE($B$11))),
            'ادخال البيانات'!$J$3:$J$1164
         ),
         ""
      ),
      IF(_xlpm.result="", "", _xlpm.result)
   )
)</f>
        <v/>
      </c>
      <c r="K662" s="27" t="str" cm="1">
        <f t="array" ref="K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2" s="27" t="str" cm="1">
        <f t="array" ref="L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2" s="27" t="str" cm="1">
        <f t="array" ref="M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2" s="28" t="str" cm="1">
        <f t="array" ref="N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2" s="28" t="str" cm="1">
        <f t="array" ref="O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2" s="27" t="str" cm="1">
        <f t="array" ref="P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Table8[جهة العطل]
         ),
         ""
      ),
      IF(_xlpm.result="", "", _xlpm.result)
   )
)</f>
        <v/>
      </c>
      <c r="Q662" s="27" t="str" cm="1">
        <f t="array" ref="Q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Table8[المركز]
         ),
         ""
      ),
      IF(_xlpm.result="", "", _xlpm.result)
   )
)</f>
        <v/>
      </c>
      <c r="R662" s="27" t="str" cm="1">
        <f t="array" ref="R662">IF(
   A662="",
   "",
   _xlfn.LET(
      _xlpm.result,
      IFERROR(
         _xlfn.XLOOKUP(
            1,
            (Table8[رقم الصنف]=A662) *
            (IF($B$9="الكل",1, YEAR('ادخال البيانات'!$N$3:$N$1164) = VALUE($B$9))) *
            (IF($B$10="الكل",1, MONTH('ادخال البيانات'!$N$3:$N$1164) = VALUE($B$10))) *
            (IF($B$11="الكل",1, INT((DAY('ادخال البيانات'!$N$3:$N$1164) - 1) / 7) + 1 = VALUE($B$11))),
            Table8[ملاحظة]
         ),
         ""
      ),
      IF(_xlpm.result="", "", _xlpm.result)
   )
)</f>
        <v/>
      </c>
      <c r="S662" s="46" t="str">
        <f t="shared" ca="1" si="11"/>
        <v/>
      </c>
    </row>
    <row r="663" spans="1:19" ht="15.6" thickTop="1" thickBot="1" x14ac:dyDescent="0.35">
      <c r="A663" s="39"/>
      <c r="B663" s="27" t="str" cm="1">
        <f t="array" ref="B663">IF(
   OR(A663="", $B$9="", $B$10="", $B$11=""),
   "",
   _xlfn.LET(
      _xlpm.result,
      IFERROR(
         _xlfn.XLOOKUP(
            1,
            (Table8[رقم الصنف]=A663)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3" s="27" t="str" cm="1">
        <f t="array" ref="C663">IF(
   A663="",
   "",
   _xlfn.LET(
      _xlpm.result,
      IFERROR(
         _xlfn.XLOOKUP(
            1,
            (Table8[رقم الصنف]=A663) *
            (IF($B$9="الكل",1, YEAR('ادخال البيانات'!$N$3:$N$1164) = VALUE($B$9))) *
            (IF($B$10="الكل",1, MONTH('ادخال البيانات'!$N$3:$N$1164) = VALUE($B$10))) *
            (IF($B$11="الكل",1, INT((DAY('ادخال البيانات'!$N$3:$N$1164)-1)/7)+1 = VALUE($B$11))),
            'ادخال البيانات'!$C$3:$C$1164
         ),
         ""
      ),
      IF(_xlpm.result="", "", _xlpm.result)
   )
)</f>
        <v/>
      </c>
      <c r="D663" s="27" t="str" cm="1">
        <f t="array" ref="D663">IF(
   OR(A663="", $B$9="", $B$10="", $B$11=""),
   "",
   _xlfn.LET(
      _xlpm.result,
      IFERROR(
         _xlfn.XLOOKUP(
            1,
            (Table8[رقم الصنف]=A663) *
            (IF($B$9="الكل",1, YEAR('ادخال البيانات'!$N$3:$N$1164)=VALUE($B$9))) *
            (IF($B$10="الكل",1, MONTH('ادخال البيانات'!$N$3:$N$1164)=VALUE($B$10))) *
            (IF($B$11="الكل",1, INT((DAY('ادخال البيانات'!$N$3:$N$1164)-1)/7)+1 = VALUE($B$11))),
            'ادخال البيانات'!$D$3:$D$1164
         ),
         ""
      ),
      IF(_xlpm.result="", "", _xlpm.result)
   )
)</f>
        <v/>
      </c>
      <c r="E663" s="27" t="str" cm="1">
        <f t="array" ref="E663">IF(
   A663="",
   "",
   _xlfn.LET(
      _xlpm.result,
      IFERROR(
         _xlfn.XLOOKUP(
            1,
            (Table8[رقم الصنف]=A663) *
            (IF($B$9="الكل",1, YEAR('ادخال البيانات'!$N$3:$N$1164)=VALUE($B$9))) *
            (IF($B$10="الكل",1, MONTH('ادخال البيانات'!$N$3:$N$1164)=VALUE($B$10))) *
            (IF($B$11="الكل",1, INT((DAY('ادخال البيانات'!$N$3:$N$1164)-1)/7)+1 = VALUE($B$11))),
            'ادخال البيانات'!$E$3:$E$1164
         ),
         ""
      ),
      IF(_xlpm.result="", "", _xlpm.result)
   )
)</f>
        <v/>
      </c>
      <c r="F663" s="27" t="str" cm="1">
        <f t="array" ref="F663">IF(
   A663="",
   "",
   _xlfn.LET(
      _xlpm.result,
      IFERROR(
         _xlfn.XLOOKUP(
            1,
            (Table8[رقم الصنف]=A663) *
            (IF($B$9="الكل",1, YEAR('ادخال البيانات'!$N$3:$N$1164) = VALUE($B$9))) *
            (IF($B$10="الكل",1, MONTH('ادخال البيانات'!$N$3:$N$1164) = VALUE($B$10))) *
            (IF($B$11="الكل",1, INT((DAY('ادخال البيانات'!$N$3:$N$1164)-1)/7)+1 = VALUE($B$11))),
            'ادخال البيانات'!$F$3:$F$1164
         ),
         ""
      ),
      IF(_xlpm.result="", "", _xlpm.result)
   )
)</f>
        <v/>
      </c>
      <c r="G663" s="27" t="str" cm="1">
        <f t="array" ref="G663">IF(
   A663="",
   "",
   _xlfn.LET(
      _xlpm.result,
      IFERROR(
         _xlfn.XLOOKUP(
            1,
            (Table8[رقم الصنف]=A663) *
            (IF($B$9="الكل",1, YEAR('ادخال البيانات'!$N$3:$N$1164)=VALUE($B$9))) *
            (IF($B$10="الكل",1, MONTH('ادخال البيانات'!$N$3:$N$1164)=VALUE($B$10))) *
            (IF($B$11="الكل",1, INT((DAY('ادخال البيانات'!$N$3:$N$1164)-1)/7)+1 = VALUE($B$11))),
            'ادخال البيانات'!$G$3:$G$1164
         ),
         ""
      ),
      IF(_xlpm.result="", "", _xlpm.result)
   )
)</f>
        <v/>
      </c>
      <c r="H663" s="27" t="str" cm="1">
        <f t="array" ref="H663">IF(
   A663="",
   "",
   _xlfn.LET(
      _xlpm.result,
      IFERROR(
         _xlfn.XLOOKUP(
            1,
            (Table8[رقم الصنف]=A663) *
            (IF($B$9="الكل",1, YEAR('ادخال البيانات'!$N$3:$N$1164)=VALUE($B$9))) *
            (IF($B$10="الكل",1, MONTH('ادخال البيانات'!$N$3:$N$1164)=VALUE($B$10))) *
            (IF($B$11="الكل",1, INT((DAY('ادخال البيانات'!$N$3:$N$1164)-1)/7)+1 = VALUE($B$11))),
            'ادخال البيانات'!$H$3:$H$1164
         ),
         ""
      ),
      IF(_xlpm.result="", "", _xlpm.result)
   )
)</f>
        <v/>
      </c>
      <c r="I663" s="27" t="str" cm="1">
        <f t="array" ref="I663">IF(
   A663="",
   "",
   _xlfn.LET(
      _xlpm.result,
      IFERROR(
         _xlfn.XLOOKUP(
            1,
            (Table8[رقم الصنف]=A663) *
            (IF($B$9="الكل",1, YEAR('ادخال البيانات'!$N$3:$N$1164)=VALUE($B$9))) *
            (IF($B$10="الكل",1, MONTH('ادخال البيانات'!$N$3:$N$1164)=VALUE($B$10))) *
            (IF($B$11="الكل",1, INT((DAY('ادخال البيانات'!$N$3:$N$1164)-1)/7)+1 = VALUE($B$11))),
            'ادخال البيانات'!$I$3:$I$1164
         ),
         ""
      ),
      IF(_xlpm.result="", "", _xlpm.result)
   )
)</f>
        <v/>
      </c>
      <c r="J663" s="27" t="str" cm="1">
        <f t="array" ref="J663">IF(
   A663="",
   "",
   _xlfn.LET(
      _xlpm.result,
      IFERROR(
         _xlfn.XLOOKUP(
            1,
            (Table8[رقم الصنف]=A663) *
            (IF($B$9="الكل",1, YEAR('ادخال البيانات'!$N$3:$N$1164)=VALUE($B$9))) *
            (IF($B$10="الكل",1, MONTH('ادخال البيانات'!$N$3:$N$1164)=VALUE($B$10))) *
            (IF($B$11="الكل",1, INT((DAY('ادخال البيانات'!$N$3:$N$1164)-1)/7)+1 = VALUE($B$11))),
            'ادخال البيانات'!$J$3:$J$1164
         ),
         ""
      ),
      IF(_xlpm.result="", "", _xlpm.result)
   )
)</f>
        <v/>
      </c>
      <c r="K663" s="27" t="str" cm="1">
        <f t="array" ref="K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3" s="27" t="str" cm="1">
        <f t="array" ref="L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3" s="27" t="str" cm="1">
        <f t="array" ref="M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3" s="28" t="str" cm="1">
        <f t="array" ref="N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3" s="28" t="str" cm="1">
        <f t="array" ref="O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3" s="27" t="str" cm="1">
        <f t="array" ref="P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Table8[جهة العطل]
         ),
         ""
      ),
      IF(_xlpm.result="", "", _xlpm.result)
   )
)</f>
        <v/>
      </c>
      <c r="Q663" s="27" t="str" cm="1">
        <f t="array" ref="Q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Table8[المركز]
         ),
         ""
      ),
      IF(_xlpm.result="", "", _xlpm.result)
   )
)</f>
        <v/>
      </c>
      <c r="R663" s="27" t="str" cm="1">
        <f t="array" ref="R663">IF(
   A663="",
   "",
   _xlfn.LET(
      _xlpm.result,
      IFERROR(
         _xlfn.XLOOKUP(
            1,
            (Table8[رقم الصنف]=A663) *
            (IF($B$9="الكل",1, YEAR('ادخال البيانات'!$N$3:$N$1164) = VALUE($B$9))) *
            (IF($B$10="الكل",1, MONTH('ادخال البيانات'!$N$3:$N$1164) = VALUE($B$10))) *
            (IF($B$11="الكل",1, INT((DAY('ادخال البيانات'!$N$3:$N$1164) - 1) / 7) + 1 = VALUE($B$11))),
            Table8[ملاحظة]
         ),
         ""
      ),
      IF(_xlpm.result="", "", _xlpm.result)
   )
)</f>
        <v/>
      </c>
      <c r="S663" s="46" t="str">
        <f t="shared" ca="1" si="11"/>
        <v/>
      </c>
    </row>
    <row r="664" spans="1:19" ht="15.6" thickTop="1" thickBot="1" x14ac:dyDescent="0.35">
      <c r="A664" s="39"/>
      <c r="B664" s="27" t="str" cm="1">
        <f t="array" ref="B664">IF(
   OR(A664="", $B$9="", $B$10="", $B$11=""),
   "",
   _xlfn.LET(
      _xlpm.result,
      IFERROR(
         _xlfn.XLOOKUP(
            1,
            (Table8[رقم الصنف]=A664)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4" s="27" t="str" cm="1">
        <f t="array" ref="C664">IF(
   A664="",
   "",
   _xlfn.LET(
      _xlpm.result,
      IFERROR(
         _xlfn.XLOOKUP(
            1,
            (Table8[رقم الصنف]=A664) *
            (IF($B$9="الكل",1, YEAR('ادخال البيانات'!$N$3:$N$1164) = VALUE($B$9))) *
            (IF($B$10="الكل",1, MONTH('ادخال البيانات'!$N$3:$N$1164) = VALUE($B$10))) *
            (IF($B$11="الكل",1, INT((DAY('ادخال البيانات'!$N$3:$N$1164)-1)/7)+1 = VALUE($B$11))),
            'ادخال البيانات'!$C$3:$C$1164
         ),
         ""
      ),
      IF(_xlpm.result="", "", _xlpm.result)
   )
)</f>
        <v/>
      </c>
      <c r="D664" s="27" t="str" cm="1">
        <f t="array" ref="D664">IF(
   OR(A664="", $B$9="", $B$10="", $B$11=""),
   "",
   _xlfn.LET(
      _xlpm.result,
      IFERROR(
         _xlfn.XLOOKUP(
            1,
            (Table8[رقم الصنف]=A664) *
            (IF($B$9="الكل",1, YEAR('ادخال البيانات'!$N$3:$N$1164)=VALUE($B$9))) *
            (IF($B$10="الكل",1, MONTH('ادخال البيانات'!$N$3:$N$1164)=VALUE($B$10))) *
            (IF($B$11="الكل",1, INT((DAY('ادخال البيانات'!$N$3:$N$1164)-1)/7)+1 = VALUE($B$11))),
            'ادخال البيانات'!$D$3:$D$1164
         ),
         ""
      ),
      IF(_xlpm.result="", "", _xlpm.result)
   )
)</f>
        <v/>
      </c>
      <c r="E664" s="27" t="str" cm="1">
        <f t="array" ref="E664">IF(
   A664="",
   "",
   _xlfn.LET(
      _xlpm.result,
      IFERROR(
         _xlfn.XLOOKUP(
            1,
            (Table8[رقم الصنف]=A664) *
            (IF($B$9="الكل",1, YEAR('ادخال البيانات'!$N$3:$N$1164)=VALUE($B$9))) *
            (IF($B$10="الكل",1, MONTH('ادخال البيانات'!$N$3:$N$1164)=VALUE($B$10))) *
            (IF($B$11="الكل",1, INT((DAY('ادخال البيانات'!$N$3:$N$1164)-1)/7)+1 = VALUE($B$11))),
            'ادخال البيانات'!$E$3:$E$1164
         ),
         ""
      ),
      IF(_xlpm.result="", "", _xlpm.result)
   )
)</f>
        <v/>
      </c>
      <c r="F664" s="27" t="str" cm="1">
        <f t="array" ref="F664">IF(
   A664="",
   "",
   _xlfn.LET(
      _xlpm.result,
      IFERROR(
         _xlfn.XLOOKUP(
            1,
            (Table8[رقم الصنف]=A664) *
            (IF($B$9="الكل",1, YEAR('ادخال البيانات'!$N$3:$N$1164) = VALUE($B$9))) *
            (IF($B$10="الكل",1, MONTH('ادخال البيانات'!$N$3:$N$1164) = VALUE($B$10))) *
            (IF($B$11="الكل",1, INT((DAY('ادخال البيانات'!$N$3:$N$1164)-1)/7)+1 = VALUE($B$11))),
            'ادخال البيانات'!$F$3:$F$1164
         ),
         ""
      ),
      IF(_xlpm.result="", "", _xlpm.result)
   )
)</f>
        <v/>
      </c>
      <c r="G664" s="27" t="str" cm="1">
        <f t="array" ref="G664">IF(
   A664="",
   "",
   _xlfn.LET(
      _xlpm.result,
      IFERROR(
         _xlfn.XLOOKUP(
            1,
            (Table8[رقم الصنف]=A664) *
            (IF($B$9="الكل",1, YEAR('ادخال البيانات'!$N$3:$N$1164)=VALUE($B$9))) *
            (IF($B$10="الكل",1, MONTH('ادخال البيانات'!$N$3:$N$1164)=VALUE($B$10))) *
            (IF($B$11="الكل",1, INT((DAY('ادخال البيانات'!$N$3:$N$1164)-1)/7)+1 = VALUE($B$11))),
            'ادخال البيانات'!$G$3:$G$1164
         ),
         ""
      ),
      IF(_xlpm.result="", "", _xlpm.result)
   )
)</f>
        <v/>
      </c>
      <c r="H664" s="27" t="str" cm="1">
        <f t="array" ref="H664">IF(
   A664="",
   "",
   _xlfn.LET(
      _xlpm.result,
      IFERROR(
         _xlfn.XLOOKUP(
            1,
            (Table8[رقم الصنف]=A664) *
            (IF($B$9="الكل",1, YEAR('ادخال البيانات'!$N$3:$N$1164)=VALUE($B$9))) *
            (IF($B$10="الكل",1, MONTH('ادخال البيانات'!$N$3:$N$1164)=VALUE($B$10))) *
            (IF($B$11="الكل",1, INT((DAY('ادخال البيانات'!$N$3:$N$1164)-1)/7)+1 = VALUE($B$11))),
            'ادخال البيانات'!$H$3:$H$1164
         ),
         ""
      ),
      IF(_xlpm.result="", "", _xlpm.result)
   )
)</f>
        <v/>
      </c>
      <c r="I664" s="27" t="str" cm="1">
        <f t="array" ref="I664">IF(
   A664="",
   "",
   _xlfn.LET(
      _xlpm.result,
      IFERROR(
         _xlfn.XLOOKUP(
            1,
            (Table8[رقم الصنف]=A664) *
            (IF($B$9="الكل",1, YEAR('ادخال البيانات'!$N$3:$N$1164)=VALUE($B$9))) *
            (IF($B$10="الكل",1, MONTH('ادخال البيانات'!$N$3:$N$1164)=VALUE($B$10))) *
            (IF($B$11="الكل",1, INT((DAY('ادخال البيانات'!$N$3:$N$1164)-1)/7)+1 = VALUE($B$11))),
            'ادخال البيانات'!$I$3:$I$1164
         ),
         ""
      ),
      IF(_xlpm.result="", "", _xlpm.result)
   )
)</f>
        <v/>
      </c>
      <c r="J664" s="27" t="str" cm="1">
        <f t="array" ref="J664">IF(
   A664="",
   "",
   _xlfn.LET(
      _xlpm.result,
      IFERROR(
         _xlfn.XLOOKUP(
            1,
            (Table8[رقم الصنف]=A664) *
            (IF($B$9="الكل",1, YEAR('ادخال البيانات'!$N$3:$N$1164)=VALUE($B$9))) *
            (IF($B$10="الكل",1, MONTH('ادخال البيانات'!$N$3:$N$1164)=VALUE($B$10))) *
            (IF($B$11="الكل",1, INT((DAY('ادخال البيانات'!$N$3:$N$1164)-1)/7)+1 = VALUE($B$11))),
            'ادخال البيانات'!$J$3:$J$1164
         ),
         ""
      ),
      IF(_xlpm.result="", "", _xlpm.result)
   )
)</f>
        <v/>
      </c>
      <c r="K664" s="27" t="str" cm="1">
        <f t="array" ref="K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4" s="27" t="str" cm="1">
        <f t="array" ref="L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4" s="27" t="str" cm="1">
        <f t="array" ref="M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4" s="28" t="str" cm="1">
        <f t="array" ref="N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4" s="28" t="str" cm="1">
        <f t="array" ref="O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4" s="27" t="str" cm="1">
        <f t="array" ref="P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Table8[جهة العطل]
         ),
         ""
      ),
      IF(_xlpm.result="", "", _xlpm.result)
   )
)</f>
        <v/>
      </c>
      <c r="Q664" s="27" t="str" cm="1">
        <f t="array" ref="Q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Table8[المركز]
         ),
         ""
      ),
      IF(_xlpm.result="", "", _xlpm.result)
   )
)</f>
        <v/>
      </c>
      <c r="R664" s="27" t="str" cm="1">
        <f t="array" ref="R664">IF(
   A664="",
   "",
   _xlfn.LET(
      _xlpm.result,
      IFERROR(
         _xlfn.XLOOKUP(
            1,
            (Table8[رقم الصنف]=A664) *
            (IF($B$9="الكل",1, YEAR('ادخال البيانات'!$N$3:$N$1164) = VALUE($B$9))) *
            (IF($B$10="الكل",1, MONTH('ادخال البيانات'!$N$3:$N$1164) = VALUE($B$10))) *
            (IF($B$11="الكل",1, INT((DAY('ادخال البيانات'!$N$3:$N$1164) - 1) / 7) + 1 = VALUE($B$11))),
            Table8[ملاحظة]
         ),
         ""
      ),
      IF(_xlpm.result="", "", _xlpm.result)
   )
)</f>
        <v/>
      </c>
      <c r="S664" s="46" t="str">
        <f t="shared" ca="1" si="11"/>
        <v/>
      </c>
    </row>
    <row r="665" spans="1:19" ht="15.6" thickTop="1" thickBot="1" x14ac:dyDescent="0.35">
      <c r="A665" s="39"/>
      <c r="B665" s="27" t="str" cm="1">
        <f t="array" ref="B665">IF(
   OR(A665="", $B$9="", $B$10="", $B$11=""),
   "",
   _xlfn.LET(
      _xlpm.result,
      IFERROR(
         _xlfn.XLOOKUP(
            1,
            (Table8[رقم الصنف]=A665)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5" s="27" t="str" cm="1">
        <f t="array" ref="C665">IF(
   A665="",
   "",
   _xlfn.LET(
      _xlpm.result,
      IFERROR(
         _xlfn.XLOOKUP(
            1,
            (Table8[رقم الصنف]=A665) *
            (IF($B$9="الكل",1, YEAR('ادخال البيانات'!$N$3:$N$1164) = VALUE($B$9))) *
            (IF($B$10="الكل",1, MONTH('ادخال البيانات'!$N$3:$N$1164) = VALUE($B$10))) *
            (IF($B$11="الكل",1, INT((DAY('ادخال البيانات'!$N$3:$N$1164)-1)/7)+1 = VALUE($B$11))),
            'ادخال البيانات'!$C$3:$C$1164
         ),
         ""
      ),
      IF(_xlpm.result="", "", _xlpm.result)
   )
)</f>
        <v/>
      </c>
      <c r="D665" s="27" t="str" cm="1">
        <f t="array" ref="D665">IF(
   OR(A665="", $B$9="", $B$10="", $B$11=""),
   "",
   _xlfn.LET(
      _xlpm.result,
      IFERROR(
         _xlfn.XLOOKUP(
            1,
            (Table8[رقم الصنف]=A665) *
            (IF($B$9="الكل",1, YEAR('ادخال البيانات'!$N$3:$N$1164)=VALUE($B$9))) *
            (IF($B$10="الكل",1, MONTH('ادخال البيانات'!$N$3:$N$1164)=VALUE($B$10))) *
            (IF($B$11="الكل",1, INT((DAY('ادخال البيانات'!$N$3:$N$1164)-1)/7)+1 = VALUE($B$11))),
            'ادخال البيانات'!$D$3:$D$1164
         ),
         ""
      ),
      IF(_xlpm.result="", "", _xlpm.result)
   )
)</f>
        <v/>
      </c>
      <c r="E665" s="27" t="str" cm="1">
        <f t="array" ref="E665">IF(
   A665="",
   "",
   _xlfn.LET(
      _xlpm.result,
      IFERROR(
         _xlfn.XLOOKUP(
            1,
            (Table8[رقم الصنف]=A665) *
            (IF($B$9="الكل",1, YEAR('ادخال البيانات'!$N$3:$N$1164)=VALUE($B$9))) *
            (IF($B$10="الكل",1, MONTH('ادخال البيانات'!$N$3:$N$1164)=VALUE($B$10))) *
            (IF($B$11="الكل",1, INT((DAY('ادخال البيانات'!$N$3:$N$1164)-1)/7)+1 = VALUE($B$11))),
            'ادخال البيانات'!$E$3:$E$1164
         ),
         ""
      ),
      IF(_xlpm.result="", "", _xlpm.result)
   )
)</f>
        <v/>
      </c>
      <c r="F665" s="27" t="str" cm="1">
        <f t="array" ref="F665">IF(
   A665="",
   "",
   _xlfn.LET(
      _xlpm.result,
      IFERROR(
         _xlfn.XLOOKUP(
            1,
            (Table8[رقم الصنف]=A665) *
            (IF($B$9="الكل",1, YEAR('ادخال البيانات'!$N$3:$N$1164) = VALUE($B$9))) *
            (IF($B$10="الكل",1, MONTH('ادخال البيانات'!$N$3:$N$1164) = VALUE($B$10))) *
            (IF($B$11="الكل",1, INT((DAY('ادخال البيانات'!$N$3:$N$1164)-1)/7)+1 = VALUE($B$11))),
            'ادخال البيانات'!$F$3:$F$1164
         ),
         ""
      ),
      IF(_xlpm.result="", "", _xlpm.result)
   )
)</f>
        <v/>
      </c>
      <c r="G665" s="27" t="str" cm="1">
        <f t="array" ref="G665">IF(
   A665="",
   "",
   _xlfn.LET(
      _xlpm.result,
      IFERROR(
         _xlfn.XLOOKUP(
            1,
            (Table8[رقم الصنف]=A665) *
            (IF($B$9="الكل",1, YEAR('ادخال البيانات'!$N$3:$N$1164)=VALUE($B$9))) *
            (IF($B$10="الكل",1, MONTH('ادخال البيانات'!$N$3:$N$1164)=VALUE($B$10))) *
            (IF($B$11="الكل",1, INT((DAY('ادخال البيانات'!$N$3:$N$1164)-1)/7)+1 = VALUE($B$11))),
            'ادخال البيانات'!$G$3:$G$1164
         ),
         ""
      ),
      IF(_xlpm.result="", "", _xlpm.result)
   )
)</f>
        <v/>
      </c>
      <c r="H665" s="27" t="str" cm="1">
        <f t="array" ref="H665">IF(
   A665="",
   "",
   _xlfn.LET(
      _xlpm.result,
      IFERROR(
         _xlfn.XLOOKUP(
            1,
            (Table8[رقم الصنف]=A665) *
            (IF($B$9="الكل",1, YEAR('ادخال البيانات'!$N$3:$N$1164)=VALUE($B$9))) *
            (IF($B$10="الكل",1, MONTH('ادخال البيانات'!$N$3:$N$1164)=VALUE($B$10))) *
            (IF($B$11="الكل",1, INT((DAY('ادخال البيانات'!$N$3:$N$1164)-1)/7)+1 = VALUE($B$11))),
            'ادخال البيانات'!$H$3:$H$1164
         ),
         ""
      ),
      IF(_xlpm.result="", "", _xlpm.result)
   )
)</f>
        <v/>
      </c>
      <c r="I665" s="27" t="str" cm="1">
        <f t="array" ref="I665">IF(
   A665="",
   "",
   _xlfn.LET(
      _xlpm.result,
      IFERROR(
         _xlfn.XLOOKUP(
            1,
            (Table8[رقم الصنف]=A665) *
            (IF($B$9="الكل",1, YEAR('ادخال البيانات'!$N$3:$N$1164)=VALUE($B$9))) *
            (IF($B$10="الكل",1, MONTH('ادخال البيانات'!$N$3:$N$1164)=VALUE($B$10))) *
            (IF($B$11="الكل",1, INT((DAY('ادخال البيانات'!$N$3:$N$1164)-1)/7)+1 = VALUE($B$11))),
            'ادخال البيانات'!$I$3:$I$1164
         ),
         ""
      ),
      IF(_xlpm.result="", "", _xlpm.result)
   )
)</f>
        <v/>
      </c>
      <c r="J665" s="27" t="str" cm="1">
        <f t="array" ref="J665">IF(
   A665="",
   "",
   _xlfn.LET(
      _xlpm.result,
      IFERROR(
         _xlfn.XLOOKUP(
            1,
            (Table8[رقم الصنف]=A665) *
            (IF($B$9="الكل",1, YEAR('ادخال البيانات'!$N$3:$N$1164)=VALUE($B$9))) *
            (IF($B$10="الكل",1, MONTH('ادخال البيانات'!$N$3:$N$1164)=VALUE($B$10))) *
            (IF($B$11="الكل",1, INT((DAY('ادخال البيانات'!$N$3:$N$1164)-1)/7)+1 = VALUE($B$11))),
            'ادخال البيانات'!$J$3:$J$1164
         ),
         ""
      ),
      IF(_xlpm.result="", "", _xlpm.result)
   )
)</f>
        <v/>
      </c>
      <c r="K665" s="27" t="str" cm="1">
        <f t="array" ref="K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5" s="27" t="str" cm="1">
        <f t="array" ref="L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5" s="27" t="str" cm="1">
        <f t="array" ref="M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5" s="28" t="str" cm="1">
        <f t="array" ref="N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5" s="28" t="str" cm="1">
        <f t="array" ref="O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5" s="27" t="str" cm="1">
        <f t="array" ref="P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Table8[جهة العطل]
         ),
         ""
      ),
      IF(_xlpm.result="", "", _xlpm.result)
   )
)</f>
        <v/>
      </c>
      <c r="Q665" s="27" t="str" cm="1">
        <f t="array" ref="Q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Table8[المركز]
         ),
         ""
      ),
      IF(_xlpm.result="", "", _xlpm.result)
   )
)</f>
        <v/>
      </c>
      <c r="R665" s="27" t="str" cm="1">
        <f t="array" ref="R665">IF(
   A665="",
   "",
   _xlfn.LET(
      _xlpm.result,
      IFERROR(
         _xlfn.XLOOKUP(
            1,
            (Table8[رقم الصنف]=A665) *
            (IF($B$9="الكل",1, YEAR('ادخال البيانات'!$N$3:$N$1164) = VALUE($B$9))) *
            (IF($B$10="الكل",1, MONTH('ادخال البيانات'!$N$3:$N$1164) = VALUE($B$10))) *
            (IF($B$11="الكل",1, INT((DAY('ادخال البيانات'!$N$3:$N$1164) - 1) / 7) + 1 = VALUE($B$11))),
            Table8[ملاحظة]
         ),
         ""
      ),
      IF(_xlpm.result="", "", _xlpm.result)
   )
)</f>
        <v/>
      </c>
      <c r="S665" s="46" t="str">
        <f t="shared" ca="1" si="11"/>
        <v/>
      </c>
    </row>
    <row r="666" spans="1:19" ht="15.6" thickTop="1" thickBot="1" x14ac:dyDescent="0.35">
      <c r="A666" s="39"/>
      <c r="B666" s="27" t="str" cm="1">
        <f t="array" ref="B666">IF(
   OR(A666="", $B$9="", $B$10="", $B$11=""),
   "",
   _xlfn.LET(
      _xlpm.result,
      IFERROR(
         _xlfn.XLOOKUP(
            1,
            (Table8[رقم الصنف]=A666)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6" s="27" t="str" cm="1">
        <f t="array" ref="C666">IF(
   A666="",
   "",
   _xlfn.LET(
      _xlpm.result,
      IFERROR(
         _xlfn.XLOOKUP(
            1,
            (Table8[رقم الصنف]=A666) *
            (IF($B$9="الكل",1, YEAR('ادخال البيانات'!$N$3:$N$1164) = VALUE($B$9))) *
            (IF($B$10="الكل",1, MONTH('ادخال البيانات'!$N$3:$N$1164) = VALUE($B$10))) *
            (IF($B$11="الكل",1, INT((DAY('ادخال البيانات'!$N$3:$N$1164)-1)/7)+1 = VALUE($B$11))),
            'ادخال البيانات'!$C$3:$C$1164
         ),
         ""
      ),
      IF(_xlpm.result="", "", _xlpm.result)
   )
)</f>
        <v/>
      </c>
      <c r="D666" s="27" t="str" cm="1">
        <f t="array" ref="D666">IF(
   OR(A666="", $B$9="", $B$10="", $B$11=""),
   "",
   _xlfn.LET(
      _xlpm.result,
      IFERROR(
         _xlfn.XLOOKUP(
            1,
            (Table8[رقم الصنف]=A666) *
            (IF($B$9="الكل",1, YEAR('ادخال البيانات'!$N$3:$N$1164)=VALUE($B$9))) *
            (IF($B$10="الكل",1, MONTH('ادخال البيانات'!$N$3:$N$1164)=VALUE($B$10))) *
            (IF($B$11="الكل",1, INT((DAY('ادخال البيانات'!$N$3:$N$1164)-1)/7)+1 = VALUE($B$11))),
            'ادخال البيانات'!$D$3:$D$1164
         ),
         ""
      ),
      IF(_xlpm.result="", "", _xlpm.result)
   )
)</f>
        <v/>
      </c>
      <c r="E666" s="27" t="str" cm="1">
        <f t="array" ref="E666">IF(
   A666="",
   "",
   _xlfn.LET(
      _xlpm.result,
      IFERROR(
         _xlfn.XLOOKUP(
            1,
            (Table8[رقم الصنف]=A666) *
            (IF($B$9="الكل",1, YEAR('ادخال البيانات'!$N$3:$N$1164)=VALUE($B$9))) *
            (IF($B$10="الكل",1, MONTH('ادخال البيانات'!$N$3:$N$1164)=VALUE($B$10))) *
            (IF($B$11="الكل",1, INT((DAY('ادخال البيانات'!$N$3:$N$1164)-1)/7)+1 = VALUE($B$11))),
            'ادخال البيانات'!$E$3:$E$1164
         ),
         ""
      ),
      IF(_xlpm.result="", "", _xlpm.result)
   )
)</f>
        <v/>
      </c>
      <c r="F666" s="27" t="str" cm="1">
        <f t="array" ref="F666">IF(
   A666="",
   "",
   _xlfn.LET(
      _xlpm.result,
      IFERROR(
         _xlfn.XLOOKUP(
            1,
            (Table8[رقم الصنف]=A666) *
            (IF($B$9="الكل",1, YEAR('ادخال البيانات'!$N$3:$N$1164) = VALUE($B$9))) *
            (IF($B$10="الكل",1, MONTH('ادخال البيانات'!$N$3:$N$1164) = VALUE($B$10))) *
            (IF($B$11="الكل",1, INT((DAY('ادخال البيانات'!$N$3:$N$1164)-1)/7)+1 = VALUE($B$11))),
            'ادخال البيانات'!$F$3:$F$1164
         ),
         ""
      ),
      IF(_xlpm.result="", "", _xlpm.result)
   )
)</f>
        <v/>
      </c>
      <c r="G666" s="27" t="str" cm="1">
        <f t="array" ref="G666">IF(
   A666="",
   "",
   _xlfn.LET(
      _xlpm.result,
      IFERROR(
         _xlfn.XLOOKUP(
            1,
            (Table8[رقم الصنف]=A666) *
            (IF($B$9="الكل",1, YEAR('ادخال البيانات'!$N$3:$N$1164)=VALUE($B$9))) *
            (IF($B$10="الكل",1, MONTH('ادخال البيانات'!$N$3:$N$1164)=VALUE($B$10))) *
            (IF($B$11="الكل",1, INT((DAY('ادخال البيانات'!$N$3:$N$1164)-1)/7)+1 = VALUE($B$11))),
            'ادخال البيانات'!$G$3:$G$1164
         ),
         ""
      ),
      IF(_xlpm.result="", "", _xlpm.result)
   )
)</f>
        <v/>
      </c>
      <c r="H666" s="27" t="str" cm="1">
        <f t="array" ref="H666">IF(
   A666="",
   "",
   _xlfn.LET(
      _xlpm.result,
      IFERROR(
         _xlfn.XLOOKUP(
            1,
            (Table8[رقم الصنف]=A666) *
            (IF($B$9="الكل",1, YEAR('ادخال البيانات'!$N$3:$N$1164)=VALUE($B$9))) *
            (IF($B$10="الكل",1, MONTH('ادخال البيانات'!$N$3:$N$1164)=VALUE($B$10))) *
            (IF($B$11="الكل",1, INT((DAY('ادخال البيانات'!$N$3:$N$1164)-1)/7)+1 = VALUE($B$11))),
            'ادخال البيانات'!$H$3:$H$1164
         ),
         ""
      ),
      IF(_xlpm.result="", "", _xlpm.result)
   )
)</f>
        <v/>
      </c>
      <c r="I666" s="27" t="str" cm="1">
        <f t="array" ref="I666">IF(
   A666="",
   "",
   _xlfn.LET(
      _xlpm.result,
      IFERROR(
         _xlfn.XLOOKUP(
            1,
            (Table8[رقم الصنف]=A666) *
            (IF($B$9="الكل",1, YEAR('ادخال البيانات'!$N$3:$N$1164)=VALUE($B$9))) *
            (IF($B$10="الكل",1, MONTH('ادخال البيانات'!$N$3:$N$1164)=VALUE($B$10))) *
            (IF($B$11="الكل",1, INT((DAY('ادخال البيانات'!$N$3:$N$1164)-1)/7)+1 = VALUE($B$11))),
            'ادخال البيانات'!$I$3:$I$1164
         ),
         ""
      ),
      IF(_xlpm.result="", "", _xlpm.result)
   )
)</f>
        <v/>
      </c>
      <c r="J666" s="27" t="str" cm="1">
        <f t="array" ref="J666">IF(
   A666="",
   "",
   _xlfn.LET(
      _xlpm.result,
      IFERROR(
         _xlfn.XLOOKUP(
            1,
            (Table8[رقم الصنف]=A666) *
            (IF($B$9="الكل",1, YEAR('ادخال البيانات'!$N$3:$N$1164)=VALUE($B$9))) *
            (IF($B$10="الكل",1, MONTH('ادخال البيانات'!$N$3:$N$1164)=VALUE($B$10))) *
            (IF($B$11="الكل",1, INT((DAY('ادخال البيانات'!$N$3:$N$1164)-1)/7)+1 = VALUE($B$11))),
            'ادخال البيانات'!$J$3:$J$1164
         ),
         ""
      ),
      IF(_xlpm.result="", "", _xlpm.result)
   )
)</f>
        <v/>
      </c>
      <c r="K666" s="27" t="str" cm="1">
        <f t="array" ref="K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6" s="27" t="str" cm="1">
        <f t="array" ref="L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6" s="27" t="str" cm="1">
        <f t="array" ref="M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6" s="28" t="str" cm="1">
        <f t="array" ref="N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6" s="28" t="str" cm="1">
        <f t="array" ref="O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6" s="27" t="str" cm="1">
        <f t="array" ref="P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Table8[جهة العطل]
         ),
         ""
      ),
      IF(_xlpm.result="", "", _xlpm.result)
   )
)</f>
        <v/>
      </c>
      <c r="Q666" s="27" t="str" cm="1">
        <f t="array" ref="Q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Table8[المركز]
         ),
         ""
      ),
      IF(_xlpm.result="", "", _xlpm.result)
   )
)</f>
        <v/>
      </c>
      <c r="R666" s="27" t="str" cm="1">
        <f t="array" ref="R666">IF(
   A666="",
   "",
   _xlfn.LET(
      _xlpm.result,
      IFERROR(
         _xlfn.XLOOKUP(
            1,
            (Table8[رقم الصنف]=A666) *
            (IF($B$9="الكل",1, YEAR('ادخال البيانات'!$N$3:$N$1164) = VALUE($B$9))) *
            (IF($B$10="الكل",1, MONTH('ادخال البيانات'!$N$3:$N$1164) = VALUE($B$10))) *
            (IF($B$11="الكل",1, INT((DAY('ادخال البيانات'!$N$3:$N$1164) - 1) / 7) + 1 = VALUE($B$11))),
            Table8[ملاحظة]
         ),
         ""
      ),
      IF(_xlpm.result="", "", _xlpm.result)
   )
)</f>
        <v/>
      </c>
      <c r="S666" s="46" t="str">
        <f t="shared" ca="1" si="11"/>
        <v/>
      </c>
    </row>
    <row r="667" spans="1:19" ht="15.6" thickTop="1" thickBot="1" x14ac:dyDescent="0.35">
      <c r="A667" s="39"/>
      <c r="B667" s="27" t="str" cm="1">
        <f t="array" ref="B667">IF(
   OR(A667="", $B$9="", $B$10="", $B$11=""),
   "",
   _xlfn.LET(
      _xlpm.result,
      IFERROR(
         _xlfn.XLOOKUP(
            1,
            (Table8[رقم الصنف]=A667)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7" s="27" t="str" cm="1">
        <f t="array" ref="C667">IF(
   A667="",
   "",
   _xlfn.LET(
      _xlpm.result,
      IFERROR(
         _xlfn.XLOOKUP(
            1,
            (Table8[رقم الصنف]=A667) *
            (IF($B$9="الكل",1, YEAR('ادخال البيانات'!$N$3:$N$1164) = VALUE($B$9))) *
            (IF($B$10="الكل",1, MONTH('ادخال البيانات'!$N$3:$N$1164) = VALUE($B$10))) *
            (IF($B$11="الكل",1, INT((DAY('ادخال البيانات'!$N$3:$N$1164)-1)/7)+1 = VALUE($B$11))),
            'ادخال البيانات'!$C$3:$C$1164
         ),
         ""
      ),
      IF(_xlpm.result="", "", _xlpm.result)
   )
)</f>
        <v/>
      </c>
      <c r="D667" s="27" t="str" cm="1">
        <f t="array" ref="D667">IF(
   OR(A667="", $B$9="", $B$10="", $B$11=""),
   "",
   _xlfn.LET(
      _xlpm.result,
      IFERROR(
         _xlfn.XLOOKUP(
            1,
            (Table8[رقم الصنف]=A667) *
            (IF($B$9="الكل",1, YEAR('ادخال البيانات'!$N$3:$N$1164)=VALUE($B$9))) *
            (IF($B$10="الكل",1, MONTH('ادخال البيانات'!$N$3:$N$1164)=VALUE($B$10))) *
            (IF($B$11="الكل",1, INT((DAY('ادخال البيانات'!$N$3:$N$1164)-1)/7)+1 = VALUE($B$11))),
            'ادخال البيانات'!$D$3:$D$1164
         ),
         ""
      ),
      IF(_xlpm.result="", "", _xlpm.result)
   )
)</f>
        <v/>
      </c>
      <c r="E667" s="27" t="str" cm="1">
        <f t="array" ref="E667">IF(
   A667="",
   "",
   _xlfn.LET(
      _xlpm.result,
      IFERROR(
         _xlfn.XLOOKUP(
            1,
            (Table8[رقم الصنف]=A667) *
            (IF($B$9="الكل",1, YEAR('ادخال البيانات'!$N$3:$N$1164)=VALUE($B$9))) *
            (IF($B$10="الكل",1, MONTH('ادخال البيانات'!$N$3:$N$1164)=VALUE($B$10))) *
            (IF($B$11="الكل",1, INT((DAY('ادخال البيانات'!$N$3:$N$1164)-1)/7)+1 = VALUE($B$11))),
            'ادخال البيانات'!$E$3:$E$1164
         ),
         ""
      ),
      IF(_xlpm.result="", "", _xlpm.result)
   )
)</f>
        <v/>
      </c>
      <c r="F667" s="27" t="str" cm="1">
        <f t="array" ref="F667">IF(
   A667="",
   "",
   _xlfn.LET(
      _xlpm.result,
      IFERROR(
         _xlfn.XLOOKUP(
            1,
            (Table8[رقم الصنف]=A667) *
            (IF($B$9="الكل",1, YEAR('ادخال البيانات'!$N$3:$N$1164) = VALUE($B$9))) *
            (IF($B$10="الكل",1, MONTH('ادخال البيانات'!$N$3:$N$1164) = VALUE($B$10))) *
            (IF($B$11="الكل",1, INT((DAY('ادخال البيانات'!$N$3:$N$1164)-1)/7)+1 = VALUE($B$11))),
            'ادخال البيانات'!$F$3:$F$1164
         ),
         ""
      ),
      IF(_xlpm.result="", "", _xlpm.result)
   )
)</f>
        <v/>
      </c>
      <c r="G667" s="27" t="str" cm="1">
        <f t="array" ref="G667">IF(
   A667="",
   "",
   _xlfn.LET(
      _xlpm.result,
      IFERROR(
         _xlfn.XLOOKUP(
            1,
            (Table8[رقم الصنف]=A667) *
            (IF($B$9="الكل",1, YEAR('ادخال البيانات'!$N$3:$N$1164)=VALUE($B$9))) *
            (IF($B$10="الكل",1, MONTH('ادخال البيانات'!$N$3:$N$1164)=VALUE($B$10))) *
            (IF($B$11="الكل",1, INT((DAY('ادخال البيانات'!$N$3:$N$1164)-1)/7)+1 = VALUE($B$11))),
            'ادخال البيانات'!$G$3:$G$1164
         ),
         ""
      ),
      IF(_xlpm.result="", "", _xlpm.result)
   )
)</f>
        <v/>
      </c>
      <c r="H667" s="27" t="str" cm="1">
        <f t="array" ref="H667">IF(
   A667="",
   "",
   _xlfn.LET(
      _xlpm.result,
      IFERROR(
         _xlfn.XLOOKUP(
            1,
            (Table8[رقم الصنف]=A667) *
            (IF($B$9="الكل",1, YEAR('ادخال البيانات'!$N$3:$N$1164)=VALUE($B$9))) *
            (IF($B$10="الكل",1, MONTH('ادخال البيانات'!$N$3:$N$1164)=VALUE($B$10))) *
            (IF($B$11="الكل",1, INT((DAY('ادخال البيانات'!$N$3:$N$1164)-1)/7)+1 = VALUE($B$11))),
            'ادخال البيانات'!$H$3:$H$1164
         ),
         ""
      ),
      IF(_xlpm.result="", "", _xlpm.result)
   )
)</f>
        <v/>
      </c>
      <c r="I667" s="27" t="str" cm="1">
        <f t="array" ref="I667">IF(
   A667="",
   "",
   _xlfn.LET(
      _xlpm.result,
      IFERROR(
         _xlfn.XLOOKUP(
            1,
            (Table8[رقم الصنف]=A667) *
            (IF($B$9="الكل",1, YEAR('ادخال البيانات'!$N$3:$N$1164)=VALUE($B$9))) *
            (IF($B$10="الكل",1, MONTH('ادخال البيانات'!$N$3:$N$1164)=VALUE($B$10))) *
            (IF($B$11="الكل",1, INT((DAY('ادخال البيانات'!$N$3:$N$1164)-1)/7)+1 = VALUE($B$11))),
            'ادخال البيانات'!$I$3:$I$1164
         ),
         ""
      ),
      IF(_xlpm.result="", "", _xlpm.result)
   )
)</f>
        <v/>
      </c>
      <c r="J667" s="27" t="str" cm="1">
        <f t="array" ref="J667">IF(
   A667="",
   "",
   _xlfn.LET(
      _xlpm.result,
      IFERROR(
         _xlfn.XLOOKUP(
            1,
            (Table8[رقم الصنف]=A667) *
            (IF($B$9="الكل",1, YEAR('ادخال البيانات'!$N$3:$N$1164)=VALUE($B$9))) *
            (IF($B$10="الكل",1, MONTH('ادخال البيانات'!$N$3:$N$1164)=VALUE($B$10))) *
            (IF($B$11="الكل",1, INT((DAY('ادخال البيانات'!$N$3:$N$1164)-1)/7)+1 = VALUE($B$11))),
            'ادخال البيانات'!$J$3:$J$1164
         ),
         ""
      ),
      IF(_xlpm.result="", "", _xlpm.result)
   )
)</f>
        <v/>
      </c>
      <c r="K667" s="27" t="str" cm="1">
        <f t="array" ref="K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7" s="27" t="str" cm="1">
        <f t="array" ref="L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7" s="27" t="str" cm="1">
        <f t="array" ref="M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7" s="28" t="str" cm="1">
        <f t="array" ref="N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7" s="28" t="str" cm="1">
        <f t="array" ref="O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7" s="27" t="str" cm="1">
        <f t="array" ref="P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Table8[جهة العطل]
         ),
         ""
      ),
      IF(_xlpm.result="", "", _xlpm.result)
   )
)</f>
        <v/>
      </c>
      <c r="Q667" s="27" t="str" cm="1">
        <f t="array" ref="Q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Table8[المركز]
         ),
         ""
      ),
      IF(_xlpm.result="", "", _xlpm.result)
   )
)</f>
        <v/>
      </c>
      <c r="R667" s="27" t="str" cm="1">
        <f t="array" ref="R667">IF(
   A667="",
   "",
   _xlfn.LET(
      _xlpm.result,
      IFERROR(
         _xlfn.XLOOKUP(
            1,
            (Table8[رقم الصنف]=A667) *
            (IF($B$9="الكل",1, YEAR('ادخال البيانات'!$N$3:$N$1164) = VALUE($B$9))) *
            (IF($B$10="الكل",1, MONTH('ادخال البيانات'!$N$3:$N$1164) = VALUE($B$10))) *
            (IF($B$11="الكل",1, INT((DAY('ادخال البيانات'!$N$3:$N$1164) - 1) / 7) + 1 = VALUE($B$11))),
            Table8[ملاحظة]
         ),
         ""
      ),
      IF(_xlpm.result="", "", _xlpm.result)
   )
)</f>
        <v/>
      </c>
      <c r="S667" s="46" t="str">
        <f t="shared" ca="1" si="11"/>
        <v/>
      </c>
    </row>
    <row r="668" spans="1:19" ht="15.6" thickTop="1" thickBot="1" x14ac:dyDescent="0.35">
      <c r="A668" s="39"/>
      <c r="B668" s="27" t="str" cm="1">
        <f t="array" ref="B668">IF(
   OR(A668="", $B$9="", $B$10="", $B$11=""),
   "",
   _xlfn.LET(
      _xlpm.result,
      IFERROR(
         _xlfn.XLOOKUP(
            1,
            (Table8[رقم الصنف]=A668)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8" s="27" t="str" cm="1">
        <f t="array" ref="C668">IF(
   A668="",
   "",
   _xlfn.LET(
      _xlpm.result,
      IFERROR(
         _xlfn.XLOOKUP(
            1,
            (Table8[رقم الصنف]=A668) *
            (IF($B$9="الكل",1, YEAR('ادخال البيانات'!$N$3:$N$1164) = VALUE($B$9))) *
            (IF($B$10="الكل",1, MONTH('ادخال البيانات'!$N$3:$N$1164) = VALUE($B$10))) *
            (IF($B$11="الكل",1, INT((DAY('ادخال البيانات'!$N$3:$N$1164)-1)/7)+1 = VALUE($B$11))),
            'ادخال البيانات'!$C$3:$C$1164
         ),
         ""
      ),
      IF(_xlpm.result="", "", _xlpm.result)
   )
)</f>
        <v/>
      </c>
      <c r="D668" s="27" t="str" cm="1">
        <f t="array" ref="D668">IF(
   OR(A668="", $B$9="", $B$10="", $B$11=""),
   "",
   _xlfn.LET(
      _xlpm.result,
      IFERROR(
         _xlfn.XLOOKUP(
            1,
            (Table8[رقم الصنف]=A668) *
            (IF($B$9="الكل",1, YEAR('ادخال البيانات'!$N$3:$N$1164)=VALUE($B$9))) *
            (IF($B$10="الكل",1, MONTH('ادخال البيانات'!$N$3:$N$1164)=VALUE($B$10))) *
            (IF($B$11="الكل",1, INT((DAY('ادخال البيانات'!$N$3:$N$1164)-1)/7)+1 = VALUE($B$11))),
            'ادخال البيانات'!$D$3:$D$1164
         ),
         ""
      ),
      IF(_xlpm.result="", "", _xlpm.result)
   )
)</f>
        <v/>
      </c>
      <c r="E668" s="27" t="str" cm="1">
        <f t="array" ref="E668">IF(
   A668="",
   "",
   _xlfn.LET(
      _xlpm.result,
      IFERROR(
         _xlfn.XLOOKUP(
            1,
            (Table8[رقم الصنف]=A668) *
            (IF($B$9="الكل",1, YEAR('ادخال البيانات'!$N$3:$N$1164)=VALUE($B$9))) *
            (IF($B$10="الكل",1, MONTH('ادخال البيانات'!$N$3:$N$1164)=VALUE($B$10))) *
            (IF($B$11="الكل",1, INT((DAY('ادخال البيانات'!$N$3:$N$1164)-1)/7)+1 = VALUE($B$11))),
            'ادخال البيانات'!$E$3:$E$1164
         ),
         ""
      ),
      IF(_xlpm.result="", "", _xlpm.result)
   )
)</f>
        <v/>
      </c>
      <c r="F668" s="27" t="str" cm="1">
        <f t="array" ref="F668">IF(
   A668="",
   "",
   _xlfn.LET(
      _xlpm.result,
      IFERROR(
         _xlfn.XLOOKUP(
            1,
            (Table8[رقم الصنف]=A668) *
            (IF($B$9="الكل",1, YEAR('ادخال البيانات'!$N$3:$N$1164) = VALUE($B$9))) *
            (IF($B$10="الكل",1, MONTH('ادخال البيانات'!$N$3:$N$1164) = VALUE($B$10))) *
            (IF($B$11="الكل",1, INT((DAY('ادخال البيانات'!$N$3:$N$1164)-1)/7)+1 = VALUE($B$11))),
            'ادخال البيانات'!$F$3:$F$1164
         ),
         ""
      ),
      IF(_xlpm.result="", "", _xlpm.result)
   )
)</f>
        <v/>
      </c>
      <c r="G668" s="27" t="str" cm="1">
        <f t="array" ref="G668">IF(
   A668="",
   "",
   _xlfn.LET(
      _xlpm.result,
      IFERROR(
         _xlfn.XLOOKUP(
            1,
            (Table8[رقم الصنف]=A668) *
            (IF($B$9="الكل",1, YEAR('ادخال البيانات'!$N$3:$N$1164)=VALUE($B$9))) *
            (IF($B$10="الكل",1, MONTH('ادخال البيانات'!$N$3:$N$1164)=VALUE($B$10))) *
            (IF($B$11="الكل",1, INT((DAY('ادخال البيانات'!$N$3:$N$1164)-1)/7)+1 = VALUE($B$11))),
            'ادخال البيانات'!$G$3:$G$1164
         ),
         ""
      ),
      IF(_xlpm.result="", "", _xlpm.result)
   )
)</f>
        <v/>
      </c>
      <c r="H668" s="27" t="str" cm="1">
        <f t="array" ref="H668">IF(
   A668="",
   "",
   _xlfn.LET(
      _xlpm.result,
      IFERROR(
         _xlfn.XLOOKUP(
            1,
            (Table8[رقم الصنف]=A668) *
            (IF($B$9="الكل",1, YEAR('ادخال البيانات'!$N$3:$N$1164)=VALUE($B$9))) *
            (IF($B$10="الكل",1, MONTH('ادخال البيانات'!$N$3:$N$1164)=VALUE($B$10))) *
            (IF($B$11="الكل",1, INT((DAY('ادخال البيانات'!$N$3:$N$1164)-1)/7)+1 = VALUE($B$11))),
            'ادخال البيانات'!$H$3:$H$1164
         ),
         ""
      ),
      IF(_xlpm.result="", "", _xlpm.result)
   )
)</f>
        <v/>
      </c>
      <c r="I668" s="27" t="str" cm="1">
        <f t="array" ref="I668">IF(
   A668="",
   "",
   _xlfn.LET(
      _xlpm.result,
      IFERROR(
         _xlfn.XLOOKUP(
            1,
            (Table8[رقم الصنف]=A668) *
            (IF($B$9="الكل",1, YEAR('ادخال البيانات'!$N$3:$N$1164)=VALUE($B$9))) *
            (IF($B$10="الكل",1, MONTH('ادخال البيانات'!$N$3:$N$1164)=VALUE($B$10))) *
            (IF($B$11="الكل",1, INT((DAY('ادخال البيانات'!$N$3:$N$1164)-1)/7)+1 = VALUE($B$11))),
            'ادخال البيانات'!$I$3:$I$1164
         ),
         ""
      ),
      IF(_xlpm.result="", "", _xlpm.result)
   )
)</f>
        <v/>
      </c>
      <c r="J668" s="27" t="str" cm="1">
        <f t="array" ref="J668">IF(
   A668="",
   "",
   _xlfn.LET(
      _xlpm.result,
      IFERROR(
         _xlfn.XLOOKUP(
            1,
            (Table8[رقم الصنف]=A668) *
            (IF($B$9="الكل",1, YEAR('ادخال البيانات'!$N$3:$N$1164)=VALUE($B$9))) *
            (IF($B$10="الكل",1, MONTH('ادخال البيانات'!$N$3:$N$1164)=VALUE($B$10))) *
            (IF($B$11="الكل",1, INT((DAY('ادخال البيانات'!$N$3:$N$1164)-1)/7)+1 = VALUE($B$11))),
            'ادخال البيانات'!$J$3:$J$1164
         ),
         ""
      ),
      IF(_xlpm.result="", "", _xlpm.result)
   )
)</f>
        <v/>
      </c>
      <c r="K668" s="27" t="str" cm="1">
        <f t="array" ref="K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8" s="27" t="str" cm="1">
        <f t="array" ref="L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8" s="27" t="str" cm="1">
        <f t="array" ref="M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8" s="28" t="str" cm="1">
        <f t="array" ref="N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8" s="28" t="str" cm="1">
        <f t="array" ref="O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8" s="27" t="str" cm="1">
        <f t="array" ref="P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Table8[جهة العطل]
         ),
         ""
      ),
      IF(_xlpm.result="", "", _xlpm.result)
   )
)</f>
        <v/>
      </c>
      <c r="Q668" s="27" t="str" cm="1">
        <f t="array" ref="Q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Table8[المركز]
         ),
         ""
      ),
      IF(_xlpm.result="", "", _xlpm.result)
   )
)</f>
        <v/>
      </c>
      <c r="R668" s="27" t="str" cm="1">
        <f t="array" ref="R668">IF(
   A668="",
   "",
   _xlfn.LET(
      _xlpm.result,
      IFERROR(
         _xlfn.XLOOKUP(
            1,
            (Table8[رقم الصنف]=A668) *
            (IF($B$9="الكل",1, YEAR('ادخال البيانات'!$N$3:$N$1164) = VALUE($B$9))) *
            (IF($B$10="الكل",1, MONTH('ادخال البيانات'!$N$3:$N$1164) = VALUE($B$10))) *
            (IF($B$11="الكل",1, INT((DAY('ادخال البيانات'!$N$3:$N$1164) - 1) / 7) + 1 = VALUE($B$11))),
            Table8[ملاحظة]
         ),
         ""
      ),
      IF(_xlpm.result="", "", _xlpm.result)
   )
)</f>
        <v/>
      </c>
      <c r="S668" s="46" t="str">
        <f t="shared" ca="1" si="11"/>
        <v/>
      </c>
    </row>
    <row r="669" spans="1:19" ht="15.6" thickTop="1" thickBot="1" x14ac:dyDescent="0.35">
      <c r="A669" s="39"/>
      <c r="B669" s="27" t="str" cm="1">
        <f t="array" ref="B669">IF(
   OR(A669="", $B$9="", $B$10="", $B$11=""),
   "",
   _xlfn.LET(
      _xlpm.result,
      IFERROR(
         _xlfn.XLOOKUP(
            1,
            (Table8[رقم الصنف]=A669)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69" s="27" t="str" cm="1">
        <f t="array" ref="C669">IF(
   A669="",
   "",
   _xlfn.LET(
      _xlpm.result,
      IFERROR(
         _xlfn.XLOOKUP(
            1,
            (Table8[رقم الصنف]=A669) *
            (IF($B$9="الكل",1, YEAR('ادخال البيانات'!$N$3:$N$1164) = VALUE($B$9))) *
            (IF($B$10="الكل",1, MONTH('ادخال البيانات'!$N$3:$N$1164) = VALUE($B$10))) *
            (IF($B$11="الكل",1, INT((DAY('ادخال البيانات'!$N$3:$N$1164)-1)/7)+1 = VALUE($B$11))),
            'ادخال البيانات'!$C$3:$C$1164
         ),
         ""
      ),
      IF(_xlpm.result="", "", _xlpm.result)
   )
)</f>
        <v/>
      </c>
      <c r="D669" s="27" t="str" cm="1">
        <f t="array" ref="D669">IF(
   OR(A669="", $B$9="", $B$10="", $B$11=""),
   "",
   _xlfn.LET(
      _xlpm.result,
      IFERROR(
         _xlfn.XLOOKUP(
            1,
            (Table8[رقم الصنف]=A669) *
            (IF($B$9="الكل",1, YEAR('ادخال البيانات'!$N$3:$N$1164)=VALUE($B$9))) *
            (IF($B$10="الكل",1, MONTH('ادخال البيانات'!$N$3:$N$1164)=VALUE($B$10))) *
            (IF($B$11="الكل",1, INT((DAY('ادخال البيانات'!$N$3:$N$1164)-1)/7)+1 = VALUE($B$11))),
            'ادخال البيانات'!$D$3:$D$1164
         ),
         ""
      ),
      IF(_xlpm.result="", "", _xlpm.result)
   )
)</f>
        <v/>
      </c>
      <c r="E669" s="27" t="str" cm="1">
        <f t="array" ref="E669">IF(
   A669="",
   "",
   _xlfn.LET(
      _xlpm.result,
      IFERROR(
         _xlfn.XLOOKUP(
            1,
            (Table8[رقم الصنف]=A669) *
            (IF($B$9="الكل",1, YEAR('ادخال البيانات'!$N$3:$N$1164)=VALUE($B$9))) *
            (IF($B$10="الكل",1, MONTH('ادخال البيانات'!$N$3:$N$1164)=VALUE($B$10))) *
            (IF($B$11="الكل",1, INT((DAY('ادخال البيانات'!$N$3:$N$1164)-1)/7)+1 = VALUE($B$11))),
            'ادخال البيانات'!$E$3:$E$1164
         ),
         ""
      ),
      IF(_xlpm.result="", "", _xlpm.result)
   )
)</f>
        <v/>
      </c>
      <c r="F669" s="27" t="str" cm="1">
        <f t="array" ref="F669">IF(
   A669="",
   "",
   _xlfn.LET(
      _xlpm.result,
      IFERROR(
         _xlfn.XLOOKUP(
            1,
            (Table8[رقم الصنف]=A669) *
            (IF($B$9="الكل",1, YEAR('ادخال البيانات'!$N$3:$N$1164) = VALUE($B$9))) *
            (IF($B$10="الكل",1, MONTH('ادخال البيانات'!$N$3:$N$1164) = VALUE($B$10))) *
            (IF($B$11="الكل",1, INT((DAY('ادخال البيانات'!$N$3:$N$1164)-1)/7)+1 = VALUE($B$11))),
            'ادخال البيانات'!$F$3:$F$1164
         ),
         ""
      ),
      IF(_xlpm.result="", "", _xlpm.result)
   )
)</f>
        <v/>
      </c>
      <c r="G669" s="27" t="str" cm="1">
        <f t="array" ref="G669">IF(
   A669="",
   "",
   _xlfn.LET(
      _xlpm.result,
      IFERROR(
         _xlfn.XLOOKUP(
            1,
            (Table8[رقم الصنف]=A669) *
            (IF($B$9="الكل",1, YEAR('ادخال البيانات'!$N$3:$N$1164)=VALUE($B$9))) *
            (IF($B$10="الكل",1, MONTH('ادخال البيانات'!$N$3:$N$1164)=VALUE($B$10))) *
            (IF($B$11="الكل",1, INT((DAY('ادخال البيانات'!$N$3:$N$1164)-1)/7)+1 = VALUE($B$11))),
            'ادخال البيانات'!$G$3:$G$1164
         ),
         ""
      ),
      IF(_xlpm.result="", "", _xlpm.result)
   )
)</f>
        <v/>
      </c>
      <c r="H669" s="27" t="str" cm="1">
        <f t="array" ref="H669">IF(
   A669="",
   "",
   _xlfn.LET(
      _xlpm.result,
      IFERROR(
         _xlfn.XLOOKUP(
            1,
            (Table8[رقم الصنف]=A669) *
            (IF($B$9="الكل",1, YEAR('ادخال البيانات'!$N$3:$N$1164)=VALUE($B$9))) *
            (IF($B$10="الكل",1, MONTH('ادخال البيانات'!$N$3:$N$1164)=VALUE($B$10))) *
            (IF($B$11="الكل",1, INT((DAY('ادخال البيانات'!$N$3:$N$1164)-1)/7)+1 = VALUE($B$11))),
            'ادخال البيانات'!$H$3:$H$1164
         ),
         ""
      ),
      IF(_xlpm.result="", "", _xlpm.result)
   )
)</f>
        <v/>
      </c>
      <c r="I669" s="27" t="str" cm="1">
        <f t="array" ref="I669">IF(
   A669="",
   "",
   _xlfn.LET(
      _xlpm.result,
      IFERROR(
         _xlfn.XLOOKUP(
            1,
            (Table8[رقم الصنف]=A669) *
            (IF($B$9="الكل",1, YEAR('ادخال البيانات'!$N$3:$N$1164)=VALUE($B$9))) *
            (IF($B$10="الكل",1, MONTH('ادخال البيانات'!$N$3:$N$1164)=VALUE($B$10))) *
            (IF($B$11="الكل",1, INT((DAY('ادخال البيانات'!$N$3:$N$1164)-1)/7)+1 = VALUE($B$11))),
            'ادخال البيانات'!$I$3:$I$1164
         ),
         ""
      ),
      IF(_xlpm.result="", "", _xlpm.result)
   )
)</f>
        <v/>
      </c>
      <c r="J669" s="27" t="str" cm="1">
        <f t="array" ref="J669">IF(
   A669="",
   "",
   _xlfn.LET(
      _xlpm.result,
      IFERROR(
         _xlfn.XLOOKUP(
            1,
            (Table8[رقم الصنف]=A669) *
            (IF($B$9="الكل",1, YEAR('ادخال البيانات'!$N$3:$N$1164)=VALUE($B$9))) *
            (IF($B$10="الكل",1, MONTH('ادخال البيانات'!$N$3:$N$1164)=VALUE($B$10))) *
            (IF($B$11="الكل",1, INT((DAY('ادخال البيانات'!$N$3:$N$1164)-1)/7)+1 = VALUE($B$11))),
            'ادخال البيانات'!$J$3:$J$1164
         ),
         ""
      ),
      IF(_xlpm.result="", "", _xlpm.result)
   )
)</f>
        <v/>
      </c>
      <c r="K669" s="27" t="str" cm="1">
        <f t="array" ref="K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69" s="27" t="str" cm="1">
        <f t="array" ref="L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69" s="27" t="str" cm="1">
        <f t="array" ref="M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69" s="28" t="str" cm="1">
        <f t="array" ref="N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69" s="28" t="str" cm="1">
        <f t="array" ref="O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69" s="27" t="str" cm="1">
        <f t="array" ref="P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Table8[جهة العطل]
         ),
         ""
      ),
      IF(_xlpm.result="", "", _xlpm.result)
   )
)</f>
        <v/>
      </c>
      <c r="Q669" s="27" t="str" cm="1">
        <f t="array" ref="Q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Table8[المركز]
         ),
         ""
      ),
      IF(_xlpm.result="", "", _xlpm.result)
   )
)</f>
        <v/>
      </c>
      <c r="R669" s="27" t="str" cm="1">
        <f t="array" ref="R669">IF(
   A669="",
   "",
   _xlfn.LET(
      _xlpm.result,
      IFERROR(
         _xlfn.XLOOKUP(
            1,
            (Table8[رقم الصنف]=A669) *
            (IF($B$9="الكل",1, YEAR('ادخال البيانات'!$N$3:$N$1164) = VALUE($B$9))) *
            (IF($B$10="الكل",1, MONTH('ادخال البيانات'!$N$3:$N$1164) = VALUE($B$10))) *
            (IF($B$11="الكل",1, INT((DAY('ادخال البيانات'!$N$3:$N$1164) - 1) / 7) + 1 = VALUE($B$11))),
            Table8[ملاحظة]
         ),
         ""
      ),
      IF(_xlpm.result="", "", _xlpm.result)
   )
)</f>
        <v/>
      </c>
      <c r="S669" s="46" t="str">
        <f t="shared" ca="1" si="11"/>
        <v/>
      </c>
    </row>
    <row r="670" spans="1:19" ht="15.6" thickTop="1" thickBot="1" x14ac:dyDescent="0.35">
      <c r="A670" s="39"/>
      <c r="B670" s="27" t="str" cm="1">
        <f t="array" ref="B670">IF(
   OR(A670="", $B$9="", $B$10="", $B$11=""),
   "",
   _xlfn.LET(
      _xlpm.result,
      IFERROR(
         _xlfn.XLOOKUP(
            1,
            (Table8[رقم الصنف]=A670)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0" s="27" t="str" cm="1">
        <f t="array" ref="C670">IF(
   A670="",
   "",
   _xlfn.LET(
      _xlpm.result,
      IFERROR(
         _xlfn.XLOOKUP(
            1,
            (Table8[رقم الصنف]=A670) *
            (IF($B$9="الكل",1, YEAR('ادخال البيانات'!$N$3:$N$1164) = VALUE($B$9))) *
            (IF($B$10="الكل",1, MONTH('ادخال البيانات'!$N$3:$N$1164) = VALUE($B$10))) *
            (IF($B$11="الكل",1, INT((DAY('ادخال البيانات'!$N$3:$N$1164)-1)/7)+1 = VALUE($B$11))),
            'ادخال البيانات'!$C$3:$C$1164
         ),
         ""
      ),
      IF(_xlpm.result="", "", _xlpm.result)
   )
)</f>
        <v/>
      </c>
      <c r="D670" s="27" t="str" cm="1">
        <f t="array" ref="D670">IF(
   OR(A670="", $B$9="", $B$10="", $B$11=""),
   "",
   _xlfn.LET(
      _xlpm.result,
      IFERROR(
         _xlfn.XLOOKUP(
            1,
            (Table8[رقم الصنف]=A670) *
            (IF($B$9="الكل",1, YEAR('ادخال البيانات'!$N$3:$N$1164)=VALUE($B$9))) *
            (IF($B$10="الكل",1, MONTH('ادخال البيانات'!$N$3:$N$1164)=VALUE($B$10))) *
            (IF($B$11="الكل",1, INT((DAY('ادخال البيانات'!$N$3:$N$1164)-1)/7)+1 = VALUE($B$11))),
            'ادخال البيانات'!$D$3:$D$1164
         ),
         ""
      ),
      IF(_xlpm.result="", "", _xlpm.result)
   )
)</f>
        <v/>
      </c>
      <c r="E670" s="27" t="str" cm="1">
        <f t="array" ref="E670">IF(
   A670="",
   "",
   _xlfn.LET(
      _xlpm.result,
      IFERROR(
         _xlfn.XLOOKUP(
            1,
            (Table8[رقم الصنف]=A670) *
            (IF($B$9="الكل",1, YEAR('ادخال البيانات'!$N$3:$N$1164)=VALUE($B$9))) *
            (IF($B$10="الكل",1, MONTH('ادخال البيانات'!$N$3:$N$1164)=VALUE($B$10))) *
            (IF($B$11="الكل",1, INT((DAY('ادخال البيانات'!$N$3:$N$1164)-1)/7)+1 = VALUE($B$11))),
            'ادخال البيانات'!$E$3:$E$1164
         ),
         ""
      ),
      IF(_xlpm.result="", "", _xlpm.result)
   )
)</f>
        <v/>
      </c>
      <c r="F670" s="27" t="str" cm="1">
        <f t="array" ref="F670">IF(
   A670="",
   "",
   _xlfn.LET(
      _xlpm.result,
      IFERROR(
         _xlfn.XLOOKUP(
            1,
            (Table8[رقم الصنف]=A670) *
            (IF($B$9="الكل",1, YEAR('ادخال البيانات'!$N$3:$N$1164) = VALUE($B$9))) *
            (IF($B$10="الكل",1, MONTH('ادخال البيانات'!$N$3:$N$1164) = VALUE($B$10))) *
            (IF($B$11="الكل",1, INT((DAY('ادخال البيانات'!$N$3:$N$1164)-1)/7)+1 = VALUE($B$11))),
            'ادخال البيانات'!$F$3:$F$1164
         ),
         ""
      ),
      IF(_xlpm.result="", "", _xlpm.result)
   )
)</f>
        <v/>
      </c>
      <c r="G670" s="27" t="str" cm="1">
        <f t="array" ref="G670">IF(
   A670="",
   "",
   _xlfn.LET(
      _xlpm.result,
      IFERROR(
         _xlfn.XLOOKUP(
            1,
            (Table8[رقم الصنف]=A670) *
            (IF($B$9="الكل",1, YEAR('ادخال البيانات'!$N$3:$N$1164)=VALUE($B$9))) *
            (IF($B$10="الكل",1, MONTH('ادخال البيانات'!$N$3:$N$1164)=VALUE($B$10))) *
            (IF($B$11="الكل",1, INT((DAY('ادخال البيانات'!$N$3:$N$1164)-1)/7)+1 = VALUE($B$11))),
            'ادخال البيانات'!$G$3:$G$1164
         ),
         ""
      ),
      IF(_xlpm.result="", "", _xlpm.result)
   )
)</f>
        <v/>
      </c>
      <c r="H670" s="27" t="str" cm="1">
        <f t="array" ref="H670">IF(
   A670="",
   "",
   _xlfn.LET(
      _xlpm.result,
      IFERROR(
         _xlfn.XLOOKUP(
            1,
            (Table8[رقم الصنف]=A670) *
            (IF($B$9="الكل",1, YEAR('ادخال البيانات'!$N$3:$N$1164)=VALUE($B$9))) *
            (IF($B$10="الكل",1, MONTH('ادخال البيانات'!$N$3:$N$1164)=VALUE($B$10))) *
            (IF($B$11="الكل",1, INT((DAY('ادخال البيانات'!$N$3:$N$1164)-1)/7)+1 = VALUE($B$11))),
            'ادخال البيانات'!$H$3:$H$1164
         ),
         ""
      ),
      IF(_xlpm.result="", "", _xlpm.result)
   )
)</f>
        <v/>
      </c>
      <c r="I670" s="27" t="str" cm="1">
        <f t="array" ref="I670">IF(
   A670="",
   "",
   _xlfn.LET(
      _xlpm.result,
      IFERROR(
         _xlfn.XLOOKUP(
            1,
            (Table8[رقم الصنف]=A670) *
            (IF($B$9="الكل",1, YEAR('ادخال البيانات'!$N$3:$N$1164)=VALUE($B$9))) *
            (IF($B$10="الكل",1, MONTH('ادخال البيانات'!$N$3:$N$1164)=VALUE($B$10))) *
            (IF($B$11="الكل",1, INT((DAY('ادخال البيانات'!$N$3:$N$1164)-1)/7)+1 = VALUE($B$11))),
            'ادخال البيانات'!$I$3:$I$1164
         ),
         ""
      ),
      IF(_xlpm.result="", "", _xlpm.result)
   )
)</f>
        <v/>
      </c>
      <c r="J670" s="27" t="str" cm="1">
        <f t="array" ref="J670">IF(
   A670="",
   "",
   _xlfn.LET(
      _xlpm.result,
      IFERROR(
         _xlfn.XLOOKUP(
            1,
            (Table8[رقم الصنف]=A670) *
            (IF($B$9="الكل",1, YEAR('ادخال البيانات'!$N$3:$N$1164)=VALUE($B$9))) *
            (IF($B$10="الكل",1, MONTH('ادخال البيانات'!$N$3:$N$1164)=VALUE($B$10))) *
            (IF($B$11="الكل",1, INT((DAY('ادخال البيانات'!$N$3:$N$1164)-1)/7)+1 = VALUE($B$11))),
            'ادخال البيانات'!$J$3:$J$1164
         ),
         ""
      ),
      IF(_xlpm.result="", "", _xlpm.result)
   )
)</f>
        <v/>
      </c>
      <c r="K670" s="27" t="str" cm="1">
        <f t="array" ref="K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0" s="27" t="str" cm="1">
        <f t="array" ref="L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0" s="27" t="str" cm="1">
        <f t="array" ref="M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0" s="28" t="str" cm="1">
        <f t="array" ref="N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0" s="28" t="str" cm="1">
        <f t="array" ref="O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0" s="27" t="str" cm="1">
        <f t="array" ref="P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Table8[جهة العطل]
         ),
         ""
      ),
      IF(_xlpm.result="", "", _xlpm.result)
   )
)</f>
        <v/>
      </c>
      <c r="Q670" s="27" t="str" cm="1">
        <f t="array" ref="Q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Table8[المركز]
         ),
         ""
      ),
      IF(_xlpm.result="", "", _xlpm.result)
   )
)</f>
        <v/>
      </c>
      <c r="R670" s="27" t="str" cm="1">
        <f t="array" ref="R670">IF(
   A670="",
   "",
   _xlfn.LET(
      _xlpm.result,
      IFERROR(
         _xlfn.XLOOKUP(
            1,
            (Table8[رقم الصنف]=A670) *
            (IF($B$9="الكل",1, YEAR('ادخال البيانات'!$N$3:$N$1164) = VALUE($B$9))) *
            (IF($B$10="الكل",1, MONTH('ادخال البيانات'!$N$3:$N$1164) = VALUE($B$10))) *
            (IF($B$11="الكل",1, INT((DAY('ادخال البيانات'!$N$3:$N$1164) - 1) / 7) + 1 = VALUE($B$11))),
            Table8[ملاحظة]
         ),
         ""
      ),
      IF(_xlpm.result="", "", _xlpm.result)
   )
)</f>
        <v/>
      </c>
      <c r="S670" s="46" t="str">
        <f t="shared" ca="1" si="11"/>
        <v/>
      </c>
    </row>
    <row r="671" spans="1:19" ht="15.6" thickTop="1" thickBot="1" x14ac:dyDescent="0.35">
      <c r="A671" s="39"/>
      <c r="B671" s="27" t="str" cm="1">
        <f t="array" ref="B671">IF(
   OR(A671="", $B$9="", $B$10="", $B$11=""),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1" s="27" t="str" cm="1">
        <f t="array" ref="C671">IF(
   A671="",
   "",
   _xlfn.LET(
      _xlpm.result,
      IFERROR(
         _xlfn.XLOOKUP(
            1,
            (Table8[رقم الصنف]=A671) *
            (IF($B$9="الكل",1, YEAR('ادخال البيانات'!$N$3:$N$1164) = VALUE($B$9))) *
            (IF($B$10="الكل",1, MONTH('ادخال البيانات'!$N$3:$N$1164) = VALUE($B$10))) *
            (IF($B$11="الكل",1, INT((DAY('ادخال البيانات'!$N$3:$N$1164)-1)/7)+1 = VALUE($B$11))),
            'ادخال البيانات'!$C$3:$C$1164
         ),
         ""
      ),
      IF(_xlpm.result="", "", _xlpm.result)
   )
)</f>
        <v/>
      </c>
      <c r="D671" s="27" t="str" cm="1">
        <f t="array" ref="D671">IF(
   OR(A671="", $B$9="", $B$10="", $B$11=""),
   "",
   _xlfn.LET(
      _xlpm.result,
      IFERROR(
         _xlfn.XLOOKUP(
            1,
            (Table8[رقم الصنف]=A671) *
            (IF($B$9="الكل",1, YEAR('ادخال البيانات'!$N$3:$N$1164)=VALUE($B$9))) *
            (IF($B$10="الكل",1, MONTH('ادخال البيانات'!$N$3:$N$1164)=VALUE($B$10))) *
            (IF($B$11="الكل",1, INT((DAY('ادخال البيانات'!$N$3:$N$1164)-1)/7)+1 = VALUE($B$11))),
            'ادخال البيانات'!$D$3:$D$1164
         ),
         ""
      ),
      IF(_xlpm.result="", "", _xlpm.result)
   )
)</f>
        <v/>
      </c>
      <c r="E671" s="27" t="str" cm="1">
        <f t="array" ref="E671">IF(
   A671="",
   "",
   _xlfn.LET(
      _xlpm.result,
      IFERROR(
         _xlfn.XLOOKUP(
            1,
            (Table8[رقم الصنف]=A671) *
            (IF($B$9="الكل",1, YEAR('ادخال البيانات'!$N$3:$N$1164)=VALUE($B$9))) *
            (IF($B$10="الكل",1, MONTH('ادخال البيانات'!$N$3:$N$1164)=VALUE($B$10))) *
            (IF($B$11="الكل",1, INT((DAY('ادخال البيانات'!$N$3:$N$1164)-1)/7)+1 = VALUE($B$11))),
            'ادخال البيانات'!$E$3:$E$1164
         ),
         ""
      ),
      IF(_xlpm.result="", "", _xlpm.result)
   )
)</f>
        <v/>
      </c>
      <c r="F671" s="27" t="str" cm="1">
        <f t="array" ref="F671">IF(
   A671="",
   "",
   _xlfn.LET(
      _xlpm.result,
      IFERROR(
         _xlfn.XLOOKUP(
            1,
            (Table8[رقم الصنف]=A671) *
            (IF($B$9="الكل",1, YEAR('ادخال البيانات'!$N$3:$N$1164) = VALUE($B$9))) *
            (IF($B$10="الكل",1, MONTH('ادخال البيانات'!$N$3:$N$1164) = VALUE($B$10))) *
            (IF($B$11="الكل",1, INT((DAY('ادخال البيانات'!$N$3:$N$1164)-1)/7)+1 = VALUE($B$11))),
            'ادخال البيانات'!$F$3:$F$1164
         ),
         ""
      ),
      IF(_xlpm.result="", "", _xlpm.result)
   )
)</f>
        <v/>
      </c>
      <c r="G671" s="27" t="str" cm="1">
        <f t="array" ref="G671">IF(
   A671="",
   "",
   _xlfn.LET(
      _xlpm.result,
      IFERROR(
         _xlfn.XLOOKUP(
            1,
            (Table8[رقم الصنف]=A671) *
            (IF($B$9="الكل",1, YEAR('ادخال البيانات'!$N$3:$N$1164)=VALUE($B$9))) *
            (IF($B$10="الكل",1, MONTH('ادخال البيانات'!$N$3:$N$1164)=VALUE($B$10))) *
            (IF($B$11="الكل",1, INT((DAY('ادخال البيانات'!$N$3:$N$1164)-1)/7)+1 = VALUE($B$11))),
            'ادخال البيانات'!$G$3:$G$1164
         ),
         ""
      ),
      IF(_xlpm.result="", "", _xlpm.result)
   )
)</f>
        <v/>
      </c>
      <c r="H671" s="27" t="str" cm="1">
        <f t="array" ref="H671">IF(
   A671="",
   "",
   _xlfn.LET(
      _xlpm.result,
      IFERROR(
         _xlfn.XLOOKUP(
            1,
            (Table8[رقم الصنف]=A671) *
            (IF($B$9="الكل",1, YEAR('ادخال البيانات'!$N$3:$N$1164)=VALUE($B$9))) *
            (IF($B$10="الكل",1, MONTH('ادخال البيانات'!$N$3:$N$1164)=VALUE($B$10))) *
            (IF($B$11="الكل",1, INT((DAY('ادخال البيانات'!$N$3:$N$1164)-1)/7)+1 = VALUE($B$11))),
            'ادخال البيانات'!$H$3:$H$1164
         ),
         ""
      ),
      IF(_xlpm.result="", "", _xlpm.result)
   )
)</f>
        <v/>
      </c>
      <c r="I671" s="27" t="str" cm="1">
        <f t="array" ref="I671">IF(
   A671="",
   "",
   _xlfn.LET(
      _xlpm.result,
      IFERROR(
         _xlfn.XLOOKUP(
            1,
            (Table8[رقم الصنف]=A671) *
            (IF($B$9="الكل",1, YEAR('ادخال البيانات'!$N$3:$N$1164)=VALUE($B$9))) *
            (IF($B$10="الكل",1, MONTH('ادخال البيانات'!$N$3:$N$1164)=VALUE($B$10))) *
            (IF($B$11="الكل",1, INT((DAY('ادخال البيانات'!$N$3:$N$1164)-1)/7)+1 = VALUE($B$11))),
            'ادخال البيانات'!$I$3:$I$1164
         ),
         ""
      ),
      IF(_xlpm.result="", "", _xlpm.result)
   )
)</f>
        <v/>
      </c>
      <c r="J671" s="27" t="str" cm="1">
        <f t="array" ref="J671">IF(
   A671="",
   "",
   _xlfn.LET(
      _xlpm.result,
      IFERROR(
         _xlfn.XLOOKUP(
            1,
            (Table8[رقم الصنف]=A671) *
            (IF($B$9="الكل",1, YEAR('ادخال البيانات'!$N$3:$N$1164)=VALUE($B$9))) *
            (IF($B$10="الكل",1, MONTH('ادخال البيانات'!$N$3:$N$1164)=VALUE($B$10))) *
            (IF($B$11="الكل",1, INT((DAY('ادخال البيانات'!$N$3:$N$1164)-1)/7)+1 = VALUE($B$11))),
            'ادخال البيانات'!$J$3:$J$1164
         ),
         ""
      ),
      IF(_xlpm.result="", "", _xlpm.result)
   )
)</f>
        <v/>
      </c>
      <c r="K671" s="27" t="str" cm="1">
        <f t="array" ref="K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1" s="27" t="str" cm="1">
        <f t="array" ref="L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1" s="27" t="str" cm="1">
        <f t="array" ref="M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1" s="28" t="str" cm="1">
        <f t="array" ref="N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1" s="28" t="str" cm="1">
        <f t="array" ref="O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1" s="27" t="str" cm="1">
        <f t="array" ref="P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Table8[جهة العطل]
         ),
         ""
      ),
      IF(_xlpm.result="", "", _xlpm.result)
   )
)</f>
        <v/>
      </c>
      <c r="Q671" s="27" t="str" cm="1">
        <f t="array" ref="Q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Table8[المركز]
         ),
         ""
      ),
      IF(_xlpm.result="", "", _xlpm.result)
   )
)</f>
        <v/>
      </c>
      <c r="R671" s="27" t="str" cm="1">
        <f t="array" ref="R671">IF(
   A671="",
   "",
   _xlfn.LET(
      _xlpm.result,
      IFERROR(
         _xlfn.XLOOKUP(
            1,
            (Table8[رقم الصنف]=A671) *
            (IF($B$9="الكل",1, YEAR('ادخال البيانات'!$N$3:$N$1164) = VALUE($B$9))) *
            (IF($B$10="الكل",1, MONTH('ادخال البيانات'!$N$3:$N$1164) = VALUE($B$10))) *
            (IF($B$11="الكل",1, INT((DAY('ادخال البيانات'!$N$3:$N$1164) - 1) / 7) + 1 = VALUE($B$11))),
            Table8[ملاحظة]
         ),
         ""
      ),
      IF(_xlpm.result="", "", _xlpm.result)
   )
)</f>
        <v/>
      </c>
      <c r="S671" s="46" t="str">
        <f t="shared" ca="1" si="11"/>
        <v/>
      </c>
    </row>
    <row r="672" spans="1:19" ht="15.6" thickTop="1" thickBot="1" x14ac:dyDescent="0.35">
      <c r="A672" s="39"/>
      <c r="B672" s="27" t="str" cm="1">
        <f t="array" ref="B672">IF(
   OR(A672="", $B$9="", $B$10="", $B$11=""),
   "",
   _xlfn.LET(
      _xlpm.result,
      IFERROR(
         _xlfn.XLOOKUP(
            1,
            (Table8[رقم الصنف]=A672)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2" s="27" t="str" cm="1">
        <f t="array" ref="C672">IF(
   A672="",
   "",
   _xlfn.LET(
      _xlpm.result,
      IFERROR(
         _xlfn.XLOOKUP(
            1,
            (Table8[رقم الصنف]=A672) *
            (IF($B$9="الكل",1, YEAR('ادخال البيانات'!$N$3:$N$1164) = VALUE($B$9))) *
            (IF($B$10="الكل",1, MONTH('ادخال البيانات'!$N$3:$N$1164) = VALUE($B$10))) *
            (IF($B$11="الكل",1, INT((DAY('ادخال البيانات'!$N$3:$N$1164)-1)/7)+1 = VALUE($B$11))),
            'ادخال البيانات'!$C$3:$C$1164
         ),
         ""
      ),
      IF(_xlpm.result="", "", _xlpm.result)
   )
)</f>
        <v/>
      </c>
      <c r="D672" s="27" t="str" cm="1">
        <f t="array" ref="D672">IF(
   OR(A672="", $B$9="", $B$10="", $B$11=""),
   "",
   _xlfn.LET(
      _xlpm.result,
      IFERROR(
         _xlfn.XLOOKUP(
            1,
            (Table8[رقم الصنف]=A672) *
            (IF($B$9="الكل",1, YEAR('ادخال البيانات'!$N$3:$N$1164)=VALUE($B$9))) *
            (IF($B$10="الكل",1, MONTH('ادخال البيانات'!$N$3:$N$1164)=VALUE($B$10))) *
            (IF($B$11="الكل",1, INT((DAY('ادخال البيانات'!$N$3:$N$1164)-1)/7)+1 = VALUE($B$11))),
            'ادخال البيانات'!$D$3:$D$1164
         ),
         ""
      ),
      IF(_xlpm.result="", "", _xlpm.result)
   )
)</f>
        <v/>
      </c>
      <c r="E672" s="27" t="str" cm="1">
        <f t="array" ref="E672">IF(
   A672="",
   "",
   _xlfn.LET(
      _xlpm.result,
      IFERROR(
         _xlfn.XLOOKUP(
            1,
            (Table8[رقم الصنف]=A672) *
            (IF($B$9="الكل",1, YEAR('ادخال البيانات'!$N$3:$N$1164)=VALUE($B$9))) *
            (IF($B$10="الكل",1, MONTH('ادخال البيانات'!$N$3:$N$1164)=VALUE($B$10))) *
            (IF($B$11="الكل",1, INT((DAY('ادخال البيانات'!$N$3:$N$1164)-1)/7)+1 = VALUE($B$11))),
            'ادخال البيانات'!$E$3:$E$1164
         ),
         ""
      ),
      IF(_xlpm.result="", "", _xlpm.result)
   )
)</f>
        <v/>
      </c>
      <c r="F672" s="27" t="str" cm="1">
        <f t="array" ref="F672">IF(
   A672="",
   "",
   _xlfn.LET(
      _xlpm.result,
      IFERROR(
         _xlfn.XLOOKUP(
            1,
            (Table8[رقم الصنف]=A672) *
            (IF($B$9="الكل",1, YEAR('ادخال البيانات'!$N$3:$N$1164) = VALUE($B$9))) *
            (IF($B$10="الكل",1, MONTH('ادخال البيانات'!$N$3:$N$1164) = VALUE($B$10))) *
            (IF($B$11="الكل",1, INT((DAY('ادخال البيانات'!$N$3:$N$1164)-1)/7)+1 = VALUE($B$11))),
            'ادخال البيانات'!$F$3:$F$1164
         ),
         ""
      ),
      IF(_xlpm.result="", "", _xlpm.result)
   )
)</f>
        <v/>
      </c>
      <c r="G672" s="27" t="str" cm="1">
        <f t="array" ref="G672">IF(
   A672="",
   "",
   _xlfn.LET(
      _xlpm.result,
      IFERROR(
         _xlfn.XLOOKUP(
            1,
            (Table8[رقم الصنف]=A672) *
            (IF($B$9="الكل",1, YEAR('ادخال البيانات'!$N$3:$N$1164)=VALUE($B$9))) *
            (IF($B$10="الكل",1, MONTH('ادخال البيانات'!$N$3:$N$1164)=VALUE($B$10))) *
            (IF($B$11="الكل",1, INT((DAY('ادخال البيانات'!$N$3:$N$1164)-1)/7)+1 = VALUE($B$11))),
            'ادخال البيانات'!$G$3:$G$1164
         ),
         ""
      ),
      IF(_xlpm.result="", "", _xlpm.result)
   )
)</f>
        <v/>
      </c>
      <c r="H672" s="27" t="str" cm="1">
        <f t="array" ref="H672">IF(
   A672="",
   "",
   _xlfn.LET(
      _xlpm.result,
      IFERROR(
         _xlfn.XLOOKUP(
            1,
            (Table8[رقم الصنف]=A672) *
            (IF($B$9="الكل",1, YEAR('ادخال البيانات'!$N$3:$N$1164)=VALUE($B$9))) *
            (IF($B$10="الكل",1, MONTH('ادخال البيانات'!$N$3:$N$1164)=VALUE($B$10))) *
            (IF($B$11="الكل",1, INT((DAY('ادخال البيانات'!$N$3:$N$1164)-1)/7)+1 = VALUE($B$11))),
            'ادخال البيانات'!$H$3:$H$1164
         ),
         ""
      ),
      IF(_xlpm.result="", "", _xlpm.result)
   )
)</f>
        <v/>
      </c>
      <c r="I672" s="27" t="str" cm="1">
        <f t="array" ref="I672">IF(
   A672="",
   "",
   _xlfn.LET(
      _xlpm.result,
      IFERROR(
         _xlfn.XLOOKUP(
            1,
            (Table8[رقم الصنف]=A672) *
            (IF($B$9="الكل",1, YEAR('ادخال البيانات'!$N$3:$N$1164)=VALUE($B$9))) *
            (IF($B$10="الكل",1, MONTH('ادخال البيانات'!$N$3:$N$1164)=VALUE($B$10))) *
            (IF($B$11="الكل",1, INT((DAY('ادخال البيانات'!$N$3:$N$1164)-1)/7)+1 = VALUE($B$11))),
            'ادخال البيانات'!$I$3:$I$1164
         ),
         ""
      ),
      IF(_xlpm.result="", "", _xlpm.result)
   )
)</f>
        <v/>
      </c>
      <c r="J672" s="27" t="str" cm="1">
        <f t="array" ref="J672">IF(
   A672="",
   "",
   _xlfn.LET(
      _xlpm.result,
      IFERROR(
         _xlfn.XLOOKUP(
            1,
            (Table8[رقم الصنف]=A672) *
            (IF($B$9="الكل",1, YEAR('ادخال البيانات'!$N$3:$N$1164)=VALUE($B$9))) *
            (IF($B$10="الكل",1, MONTH('ادخال البيانات'!$N$3:$N$1164)=VALUE($B$10))) *
            (IF($B$11="الكل",1, INT((DAY('ادخال البيانات'!$N$3:$N$1164)-1)/7)+1 = VALUE($B$11))),
            'ادخال البيانات'!$J$3:$J$1164
         ),
         ""
      ),
      IF(_xlpm.result="", "", _xlpm.result)
   )
)</f>
        <v/>
      </c>
      <c r="K672" s="27" t="str" cm="1">
        <f t="array" ref="K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2" s="27" t="str" cm="1">
        <f t="array" ref="L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2" s="27" t="str" cm="1">
        <f t="array" ref="M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2" s="28" t="str" cm="1">
        <f t="array" ref="N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2" s="28" t="str" cm="1">
        <f t="array" ref="O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2" s="27" t="str" cm="1">
        <f t="array" ref="P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Table8[جهة العطل]
         ),
         ""
      ),
      IF(_xlpm.result="", "", _xlpm.result)
   )
)</f>
        <v/>
      </c>
      <c r="Q672" s="27" t="str" cm="1">
        <f t="array" ref="Q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Table8[المركز]
         ),
         ""
      ),
      IF(_xlpm.result="", "", _xlpm.result)
   )
)</f>
        <v/>
      </c>
      <c r="R672" s="27" t="str" cm="1">
        <f t="array" ref="R672">IF(
   A672="",
   "",
   _xlfn.LET(
      _xlpm.result,
      IFERROR(
         _xlfn.XLOOKUP(
            1,
            (Table8[رقم الصنف]=A672) *
            (IF($B$9="الكل",1, YEAR('ادخال البيانات'!$N$3:$N$1164) = VALUE($B$9))) *
            (IF($B$10="الكل",1, MONTH('ادخال البيانات'!$N$3:$N$1164) = VALUE($B$10))) *
            (IF($B$11="الكل",1, INT((DAY('ادخال البيانات'!$N$3:$N$1164) - 1) / 7) + 1 = VALUE($B$11))),
            Table8[ملاحظة]
         ),
         ""
      ),
      IF(_xlpm.result="", "", _xlpm.result)
   )
)</f>
        <v/>
      </c>
      <c r="S672" s="46" t="str">
        <f t="shared" ca="1" si="11"/>
        <v/>
      </c>
    </row>
    <row r="673" spans="1:19" ht="15.6" thickTop="1" thickBot="1" x14ac:dyDescent="0.35">
      <c r="A673" s="39"/>
      <c r="B673" s="27" t="str" cm="1">
        <f t="array" ref="B673">IF(
   OR(A673="", $B$9="", $B$10="", $B$11=""),
   "",
   _xlfn.LET(
      _xlpm.result,
      IFERROR(
         _xlfn.XLOOKUP(
            1,
            (Table8[رقم الصنف]=A673)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3" s="27" t="str" cm="1">
        <f t="array" ref="C673">IF(
   A673="",
   "",
   _xlfn.LET(
      _xlpm.result,
      IFERROR(
         _xlfn.XLOOKUP(
            1,
            (Table8[رقم الصنف]=A673) *
            (IF($B$9="الكل",1, YEAR('ادخال البيانات'!$N$3:$N$1164) = VALUE($B$9))) *
            (IF($B$10="الكل",1, MONTH('ادخال البيانات'!$N$3:$N$1164) = VALUE($B$10))) *
            (IF($B$11="الكل",1, INT((DAY('ادخال البيانات'!$N$3:$N$1164)-1)/7)+1 = VALUE($B$11))),
            'ادخال البيانات'!$C$3:$C$1164
         ),
         ""
      ),
      IF(_xlpm.result="", "", _xlpm.result)
   )
)</f>
        <v/>
      </c>
      <c r="D673" s="27" t="str" cm="1">
        <f t="array" ref="D673">IF(
   OR(A673="", $B$9="", $B$10="", $B$11=""),
   "",
   _xlfn.LET(
      _xlpm.result,
      IFERROR(
         _xlfn.XLOOKUP(
            1,
            (Table8[رقم الصنف]=A673) *
            (IF($B$9="الكل",1, YEAR('ادخال البيانات'!$N$3:$N$1164)=VALUE($B$9))) *
            (IF($B$10="الكل",1, MONTH('ادخال البيانات'!$N$3:$N$1164)=VALUE($B$10))) *
            (IF($B$11="الكل",1, INT((DAY('ادخال البيانات'!$N$3:$N$1164)-1)/7)+1 = VALUE($B$11))),
            'ادخال البيانات'!$D$3:$D$1164
         ),
         ""
      ),
      IF(_xlpm.result="", "", _xlpm.result)
   )
)</f>
        <v/>
      </c>
      <c r="E673" s="27" t="str" cm="1">
        <f t="array" ref="E673">IF(
   A673="",
   "",
   _xlfn.LET(
      _xlpm.result,
      IFERROR(
         _xlfn.XLOOKUP(
            1,
            (Table8[رقم الصنف]=A673) *
            (IF($B$9="الكل",1, YEAR('ادخال البيانات'!$N$3:$N$1164)=VALUE($B$9))) *
            (IF($B$10="الكل",1, MONTH('ادخال البيانات'!$N$3:$N$1164)=VALUE($B$10))) *
            (IF($B$11="الكل",1, INT((DAY('ادخال البيانات'!$N$3:$N$1164)-1)/7)+1 = VALUE($B$11))),
            'ادخال البيانات'!$E$3:$E$1164
         ),
         ""
      ),
      IF(_xlpm.result="", "", _xlpm.result)
   )
)</f>
        <v/>
      </c>
      <c r="F673" s="27" t="str" cm="1">
        <f t="array" ref="F673">IF(
   A673="",
   "",
   _xlfn.LET(
      _xlpm.result,
      IFERROR(
         _xlfn.XLOOKUP(
            1,
            (Table8[رقم الصنف]=A673) *
            (IF($B$9="الكل",1, YEAR('ادخال البيانات'!$N$3:$N$1164) = VALUE($B$9))) *
            (IF($B$10="الكل",1, MONTH('ادخال البيانات'!$N$3:$N$1164) = VALUE($B$10))) *
            (IF($B$11="الكل",1, INT((DAY('ادخال البيانات'!$N$3:$N$1164)-1)/7)+1 = VALUE($B$11))),
            'ادخال البيانات'!$F$3:$F$1164
         ),
         ""
      ),
      IF(_xlpm.result="", "", _xlpm.result)
   )
)</f>
        <v/>
      </c>
      <c r="G673" s="27" t="str" cm="1">
        <f t="array" ref="G673">IF(
   A673="",
   "",
   _xlfn.LET(
      _xlpm.result,
      IFERROR(
         _xlfn.XLOOKUP(
            1,
            (Table8[رقم الصنف]=A673) *
            (IF($B$9="الكل",1, YEAR('ادخال البيانات'!$N$3:$N$1164)=VALUE($B$9))) *
            (IF($B$10="الكل",1, MONTH('ادخال البيانات'!$N$3:$N$1164)=VALUE($B$10))) *
            (IF($B$11="الكل",1, INT((DAY('ادخال البيانات'!$N$3:$N$1164)-1)/7)+1 = VALUE($B$11))),
            'ادخال البيانات'!$G$3:$G$1164
         ),
         ""
      ),
      IF(_xlpm.result="", "", _xlpm.result)
   )
)</f>
        <v/>
      </c>
      <c r="H673" s="27" t="str" cm="1">
        <f t="array" ref="H673">IF(
   A673="",
   "",
   _xlfn.LET(
      _xlpm.result,
      IFERROR(
         _xlfn.XLOOKUP(
            1,
            (Table8[رقم الصنف]=A673) *
            (IF($B$9="الكل",1, YEAR('ادخال البيانات'!$N$3:$N$1164)=VALUE($B$9))) *
            (IF($B$10="الكل",1, MONTH('ادخال البيانات'!$N$3:$N$1164)=VALUE($B$10))) *
            (IF($B$11="الكل",1, INT((DAY('ادخال البيانات'!$N$3:$N$1164)-1)/7)+1 = VALUE($B$11))),
            'ادخال البيانات'!$H$3:$H$1164
         ),
         ""
      ),
      IF(_xlpm.result="", "", _xlpm.result)
   )
)</f>
        <v/>
      </c>
      <c r="I673" s="27" t="str" cm="1">
        <f t="array" ref="I673">IF(
   A673="",
   "",
   _xlfn.LET(
      _xlpm.result,
      IFERROR(
         _xlfn.XLOOKUP(
            1,
            (Table8[رقم الصنف]=A673) *
            (IF($B$9="الكل",1, YEAR('ادخال البيانات'!$N$3:$N$1164)=VALUE($B$9))) *
            (IF($B$10="الكل",1, MONTH('ادخال البيانات'!$N$3:$N$1164)=VALUE($B$10))) *
            (IF($B$11="الكل",1, INT((DAY('ادخال البيانات'!$N$3:$N$1164)-1)/7)+1 = VALUE($B$11))),
            'ادخال البيانات'!$I$3:$I$1164
         ),
         ""
      ),
      IF(_xlpm.result="", "", _xlpm.result)
   )
)</f>
        <v/>
      </c>
      <c r="J673" s="27" t="str" cm="1">
        <f t="array" ref="J673">IF(
   A673="",
   "",
   _xlfn.LET(
      _xlpm.result,
      IFERROR(
         _xlfn.XLOOKUP(
            1,
            (Table8[رقم الصنف]=A673) *
            (IF($B$9="الكل",1, YEAR('ادخال البيانات'!$N$3:$N$1164)=VALUE($B$9))) *
            (IF($B$10="الكل",1, MONTH('ادخال البيانات'!$N$3:$N$1164)=VALUE($B$10))) *
            (IF($B$11="الكل",1, INT((DAY('ادخال البيانات'!$N$3:$N$1164)-1)/7)+1 = VALUE($B$11))),
            'ادخال البيانات'!$J$3:$J$1164
         ),
         ""
      ),
      IF(_xlpm.result="", "", _xlpm.result)
   )
)</f>
        <v/>
      </c>
      <c r="K673" s="27" t="str" cm="1">
        <f t="array" ref="K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3" s="27" t="str" cm="1">
        <f t="array" ref="L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3" s="27" t="str" cm="1">
        <f t="array" ref="M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3" s="28" t="str" cm="1">
        <f t="array" ref="N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3" s="28" t="str" cm="1">
        <f t="array" ref="O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3" s="27" t="str" cm="1">
        <f t="array" ref="P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Table8[جهة العطل]
         ),
         ""
      ),
      IF(_xlpm.result="", "", _xlpm.result)
   )
)</f>
        <v/>
      </c>
      <c r="Q673" s="27" t="str" cm="1">
        <f t="array" ref="Q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Table8[المركز]
         ),
         ""
      ),
      IF(_xlpm.result="", "", _xlpm.result)
   )
)</f>
        <v/>
      </c>
      <c r="R673" s="27" t="str" cm="1">
        <f t="array" ref="R673">IF(
   A673="",
   "",
   _xlfn.LET(
      _xlpm.result,
      IFERROR(
         _xlfn.XLOOKUP(
            1,
            (Table8[رقم الصنف]=A673) *
            (IF($B$9="الكل",1, YEAR('ادخال البيانات'!$N$3:$N$1164) = VALUE($B$9))) *
            (IF($B$10="الكل",1, MONTH('ادخال البيانات'!$N$3:$N$1164) = VALUE($B$10))) *
            (IF($B$11="الكل",1, INT((DAY('ادخال البيانات'!$N$3:$N$1164) - 1) / 7) + 1 = VALUE($B$11))),
            Table8[ملاحظة]
         ),
         ""
      ),
      IF(_xlpm.result="", "", _xlpm.result)
   )
)</f>
        <v/>
      </c>
      <c r="S673" s="46" t="str">
        <f t="shared" ca="1" si="11"/>
        <v/>
      </c>
    </row>
    <row r="674" spans="1:19" ht="15.6" thickTop="1" thickBot="1" x14ac:dyDescent="0.35">
      <c r="A674" s="39"/>
      <c r="B674" s="27" t="str" cm="1">
        <f t="array" ref="B674">IF(
   OR(A674="", $B$9="", $B$10="", $B$11=""),
   "",
   _xlfn.LET(
      _xlpm.result,
      IFERROR(
         _xlfn.XLOOKUP(
            1,
            (Table8[رقم الصنف]=A674)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4" s="27" t="str" cm="1">
        <f t="array" ref="C674">IF(
   A674="",
   "",
   _xlfn.LET(
      _xlpm.result,
      IFERROR(
         _xlfn.XLOOKUP(
            1,
            (Table8[رقم الصنف]=A674) *
            (IF($B$9="الكل",1, YEAR('ادخال البيانات'!$N$3:$N$1164) = VALUE($B$9))) *
            (IF($B$10="الكل",1, MONTH('ادخال البيانات'!$N$3:$N$1164) = VALUE($B$10))) *
            (IF($B$11="الكل",1, INT((DAY('ادخال البيانات'!$N$3:$N$1164)-1)/7)+1 = VALUE($B$11))),
            'ادخال البيانات'!$C$3:$C$1164
         ),
         ""
      ),
      IF(_xlpm.result="", "", _xlpm.result)
   )
)</f>
        <v/>
      </c>
      <c r="D674" s="27" t="str" cm="1">
        <f t="array" ref="D674">IF(
   OR(A674="", $B$9="", $B$10="", $B$11=""),
   "",
   _xlfn.LET(
      _xlpm.result,
      IFERROR(
         _xlfn.XLOOKUP(
            1,
            (Table8[رقم الصنف]=A674) *
            (IF($B$9="الكل",1, YEAR('ادخال البيانات'!$N$3:$N$1164)=VALUE($B$9))) *
            (IF($B$10="الكل",1, MONTH('ادخال البيانات'!$N$3:$N$1164)=VALUE($B$10))) *
            (IF($B$11="الكل",1, INT((DAY('ادخال البيانات'!$N$3:$N$1164)-1)/7)+1 = VALUE($B$11))),
            'ادخال البيانات'!$D$3:$D$1164
         ),
         ""
      ),
      IF(_xlpm.result="", "", _xlpm.result)
   )
)</f>
        <v/>
      </c>
      <c r="E674" s="27" t="str" cm="1">
        <f t="array" ref="E674">IF(
   A674="",
   "",
   _xlfn.LET(
      _xlpm.result,
      IFERROR(
         _xlfn.XLOOKUP(
            1,
            (Table8[رقم الصنف]=A674) *
            (IF($B$9="الكل",1, YEAR('ادخال البيانات'!$N$3:$N$1164)=VALUE($B$9))) *
            (IF($B$10="الكل",1, MONTH('ادخال البيانات'!$N$3:$N$1164)=VALUE($B$10))) *
            (IF($B$11="الكل",1, INT((DAY('ادخال البيانات'!$N$3:$N$1164)-1)/7)+1 = VALUE($B$11))),
            'ادخال البيانات'!$E$3:$E$1164
         ),
         ""
      ),
      IF(_xlpm.result="", "", _xlpm.result)
   )
)</f>
        <v/>
      </c>
      <c r="F674" s="27" t="str" cm="1">
        <f t="array" ref="F674">IF(
   A674="",
   "",
   _xlfn.LET(
      _xlpm.result,
      IFERROR(
         _xlfn.XLOOKUP(
            1,
            (Table8[رقم الصنف]=A674) *
            (IF($B$9="الكل",1, YEAR('ادخال البيانات'!$N$3:$N$1164) = VALUE($B$9))) *
            (IF($B$10="الكل",1, MONTH('ادخال البيانات'!$N$3:$N$1164) = VALUE($B$10))) *
            (IF($B$11="الكل",1, INT((DAY('ادخال البيانات'!$N$3:$N$1164)-1)/7)+1 = VALUE($B$11))),
            'ادخال البيانات'!$F$3:$F$1164
         ),
         ""
      ),
      IF(_xlpm.result="", "", _xlpm.result)
   )
)</f>
        <v/>
      </c>
      <c r="G674" s="27" t="str" cm="1">
        <f t="array" ref="G674">IF(
   A674="",
   "",
   _xlfn.LET(
      _xlpm.result,
      IFERROR(
         _xlfn.XLOOKUP(
            1,
            (Table8[رقم الصنف]=A674) *
            (IF($B$9="الكل",1, YEAR('ادخال البيانات'!$N$3:$N$1164)=VALUE($B$9))) *
            (IF($B$10="الكل",1, MONTH('ادخال البيانات'!$N$3:$N$1164)=VALUE($B$10))) *
            (IF($B$11="الكل",1, INT((DAY('ادخال البيانات'!$N$3:$N$1164)-1)/7)+1 = VALUE($B$11))),
            'ادخال البيانات'!$G$3:$G$1164
         ),
         ""
      ),
      IF(_xlpm.result="", "", _xlpm.result)
   )
)</f>
        <v/>
      </c>
      <c r="H674" s="27" t="str" cm="1">
        <f t="array" ref="H674">IF(
   A674="",
   "",
   _xlfn.LET(
      _xlpm.result,
      IFERROR(
         _xlfn.XLOOKUP(
            1,
            (Table8[رقم الصنف]=A674) *
            (IF($B$9="الكل",1, YEAR('ادخال البيانات'!$N$3:$N$1164)=VALUE($B$9))) *
            (IF($B$10="الكل",1, MONTH('ادخال البيانات'!$N$3:$N$1164)=VALUE($B$10))) *
            (IF($B$11="الكل",1, INT((DAY('ادخال البيانات'!$N$3:$N$1164)-1)/7)+1 = VALUE($B$11))),
            'ادخال البيانات'!$H$3:$H$1164
         ),
         ""
      ),
      IF(_xlpm.result="", "", _xlpm.result)
   )
)</f>
        <v/>
      </c>
      <c r="I674" s="27" t="str" cm="1">
        <f t="array" ref="I674">IF(
   A674="",
   "",
   _xlfn.LET(
      _xlpm.result,
      IFERROR(
         _xlfn.XLOOKUP(
            1,
            (Table8[رقم الصنف]=A674) *
            (IF($B$9="الكل",1, YEAR('ادخال البيانات'!$N$3:$N$1164)=VALUE($B$9))) *
            (IF($B$10="الكل",1, MONTH('ادخال البيانات'!$N$3:$N$1164)=VALUE($B$10))) *
            (IF($B$11="الكل",1, INT((DAY('ادخال البيانات'!$N$3:$N$1164)-1)/7)+1 = VALUE($B$11))),
            'ادخال البيانات'!$I$3:$I$1164
         ),
         ""
      ),
      IF(_xlpm.result="", "", _xlpm.result)
   )
)</f>
        <v/>
      </c>
      <c r="J674" s="27" t="str" cm="1">
        <f t="array" ref="J674">IF(
   A674="",
   "",
   _xlfn.LET(
      _xlpm.result,
      IFERROR(
         _xlfn.XLOOKUP(
            1,
            (Table8[رقم الصنف]=A674) *
            (IF($B$9="الكل",1, YEAR('ادخال البيانات'!$N$3:$N$1164)=VALUE($B$9))) *
            (IF($B$10="الكل",1, MONTH('ادخال البيانات'!$N$3:$N$1164)=VALUE($B$10))) *
            (IF($B$11="الكل",1, INT((DAY('ادخال البيانات'!$N$3:$N$1164)-1)/7)+1 = VALUE($B$11))),
            'ادخال البيانات'!$J$3:$J$1164
         ),
         ""
      ),
      IF(_xlpm.result="", "", _xlpm.result)
   )
)</f>
        <v/>
      </c>
      <c r="K674" s="27" t="str" cm="1">
        <f t="array" ref="K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4" s="27" t="str" cm="1">
        <f t="array" ref="L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4" s="27" t="str" cm="1">
        <f t="array" ref="M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4" s="28" t="str" cm="1">
        <f t="array" ref="N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4" s="28" t="str" cm="1">
        <f t="array" ref="O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4" s="27" t="str" cm="1">
        <f t="array" ref="P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Table8[جهة العطل]
         ),
         ""
      ),
      IF(_xlpm.result="", "", _xlpm.result)
   )
)</f>
        <v/>
      </c>
      <c r="Q674" s="27" t="str" cm="1">
        <f t="array" ref="Q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Table8[المركز]
         ),
         ""
      ),
      IF(_xlpm.result="", "", _xlpm.result)
   )
)</f>
        <v/>
      </c>
      <c r="R674" s="27" t="str" cm="1">
        <f t="array" ref="R674">IF(
   A674="",
   "",
   _xlfn.LET(
      _xlpm.result,
      IFERROR(
         _xlfn.XLOOKUP(
            1,
            (Table8[رقم الصنف]=A674) *
            (IF($B$9="الكل",1, YEAR('ادخال البيانات'!$N$3:$N$1164) = VALUE($B$9))) *
            (IF($B$10="الكل",1, MONTH('ادخال البيانات'!$N$3:$N$1164) = VALUE($B$10))) *
            (IF($B$11="الكل",1, INT((DAY('ادخال البيانات'!$N$3:$N$1164) - 1) / 7) + 1 = VALUE($B$11))),
            Table8[ملاحظة]
         ),
         ""
      ),
      IF(_xlpm.result="", "", _xlpm.result)
   )
)</f>
        <v/>
      </c>
      <c r="S674" s="46" t="str">
        <f t="shared" ca="1" si="11"/>
        <v/>
      </c>
    </row>
    <row r="675" spans="1:19" ht="15.6" thickTop="1" thickBot="1" x14ac:dyDescent="0.35">
      <c r="A675" s="39"/>
      <c r="B675" s="27" t="str" cm="1">
        <f t="array" ref="B675">IF(
   OR(A675="", $B$9="", $B$10="", $B$11=""),
   "",
   _xlfn.LET(
      _xlpm.result,
      IFERROR(
         _xlfn.XLOOKUP(
            1,
            (Table8[رقم الصنف]=A675)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5" s="27" t="str" cm="1">
        <f t="array" ref="C675">IF(
   A675="",
   "",
   _xlfn.LET(
      _xlpm.result,
      IFERROR(
         _xlfn.XLOOKUP(
            1,
            (Table8[رقم الصنف]=A675) *
            (IF($B$9="الكل",1, YEAR('ادخال البيانات'!$N$3:$N$1164) = VALUE($B$9))) *
            (IF($B$10="الكل",1, MONTH('ادخال البيانات'!$N$3:$N$1164) = VALUE($B$10))) *
            (IF($B$11="الكل",1, INT((DAY('ادخال البيانات'!$N$3:$N$1164)-1)/7)+1 = VALUE($B$11))),
            'ادخال البيانات'!$C$3:$C$1164
         ),
         ""
      ),
      IF(_xlpm.result="", "", _xlpm.result)
   )
)</f>
        <v/>
      </c>
      <c r="D675" s="27" t="str" cm="1">
        <f t="array" ref="D675">IF(
   OR(A675="", $B$9="", $B$10="", $B$11=""),
   "",
   _xlfn.LET(
      _xlpm.result,
      IFERROR(
         _xlfn.XLOOKUP(
            1,
            (Table8[رقم الصنف]=A675) *
            (IF($B$9="الكل",1, YEAR('ادخال البيانات'!$N$3:$N$1164)=VALUE($B$9))) *
            (IF($B$10="الكل",1, MONTH('ادخال البيانات'!$N$3:$N$1164)=VALUE($B$10))) *
            (IF($B$11="الكل",1, INT((DAY('ادخال البيانات'!$N$3:$N$1164)-1)/7)+1 = VALUE($B$11))),
            'ادخال البيانات'!$D$3:$D$1164
         ),
         ""
      ),
      IF(_xlpm.result="", "", _xlpm.result)
   )
)</f>
        <v/>
      </c>
      <c r="E675" s="27" t="str" cm="1">
        <f t="array" ref="E675">IF(
   A675="",
   "",
   _xlfn.LET(
      _xlpm.result,
      IFERROR(
         _xlfn.XLOOKUP(
            1,
            (Table8[رقم الصنف]=A675) *
            (IF($B$9="الكل",1, YEAR('ادخال البيانات'!$N$3:$N$1164)=VALUE($B$9))) *
            (IF($B$10="الكل",1, MONTH('ادخال البيانات'!$N$3:$N$1164)=VALUE($B$10))) *
            (IF($B$11="الكل",1, INT((DAY('ادخال البيانات'!$N$3:$N$1164)-1)/7)+1 = VALUE($B$11))),
            'ادخال البيانات'!$E$3:$E$1164
         ),
         ""
      ),
      IF(_xlpm.result="", "", _xlpm.result)
   )
)</f>
        <v/>
      </c>
      <c r="F675" s="27" t="str" cm="1">
        <f t="array" ref="F675">IF(
   A675="",
   "",
   _xlfn.LET(
      _xlpm.result,
      IFERROR(
         _xlfn.XLOOKUP(
            1,
            (Table8[رقم الصنف]=A675) *
            (IF($B$9="الكل",1, YEAR('ادخال البيانات'!$N$3:$N$1164) = VALUE($B$9))) *
            (IF($B$10="الكل",1, MONTH('ادخال البيانات'!$N$3:$N$1164) = VALUE($B$10))) *
            (IF($B$11="الكل",1, INT((DAY('ادخال البيانات'!$N$3:$N$1164)-1)/7)+1 = VALUE($B$11))),
            'ادخال البيانات'!$F$3:$F$1164
         ),
         ""
      ),
      IF(_xlpm.result="", "", _xlpm.result)
   )
)</f>
        <v/>
      </c>
      <c r="G675" s="27" t="str" cm="1">
        <f t="array" ref="G675">IF(
   A675="",
   "",
   _xlfn.LET(
      _xlpm.result,
      IFERROR(
         _xlfn.XLOOKUP(
            1,
            (Table8[رقم الصنف]=A675) *
            (IF($B$9="الكل",1, YEAR('ادخال البيانات'!$N$3:$N$1164)=VALUE($B$9))) *
            (IF($B$10="الكل",1, MONTH('ادخال البيانات'!$N$3:$N$1164)=VALUE($B$10))) *
            (IF($B$11="الكل",1, INT((DAY('ادخال البيانات'!$N$3:$N$1164)-1)/7)+1 = VALUE($B$11))),
            'ادخال البيانات'!$G$3:$G$1164
         ),
         ""
      ),
      IF(_xlpm.result="", "", _xlpm.result)
   )
)</f>
        <v/>
      </c>
      <c r="H675" s="27" t="str" cm="1">
        <f t="array" ref="H675">IF(
   A675="",
   "",
   _xlfn.LET(
      _xlpm.result,
      IFERROR(
         _xlfn.XLOOKUP(
            1,
            (Table8[رقم الصنف]=A675) *
            (IF($B$9="الكل",1, YEAR('ادخال البيانات'!$N$3:$N$1164)=VALUE($B$9))) *
            (IF($B$10="الكل",1, MONTH('ادخال البيانات'!$N$3:$N$1164)=VALUE($B$10))) *
            (IF($B$11="الكل",1, INT((DAY('ادخال البيانات'!$N$3:$N$1164)-1)/7)+1 = VALUE($B$11))),
            'ادخال البيانات'!$H$3:$H$1164
         ),
         ""
      ),
      IF(_xlpm.result="", "", _xlpm.result)
   )
)</f>
        <v/>
      </c>
      <c r="I675" s="27" t="str" cm="1">
        <f t="array" ref="I675">IF(
   A675="",
   "",
   _xlfn.LET(
      _xlpm.result,
      IFERROR(
         _xlfn.XLOOKUP(
            1,
            (Table8[رقم الصنف]=A675) *
            (IF($B$9="الكل",1, YEAR('ادخال البيانات'!$N$3:$N$1164)=VALUE($B$9))) *
            (IF($B$10="الكل",1, MONTH('ادخال البيانات'!$N$3:$N$1164)=VALUE($B$10))) *
            (IF($B$11="الكل",1, INT((DAY('ادخال البيانات'!$N$3:$N$1164)-1)/7)+1 = VALUE($B$11))),
            'ادخال البيانات'!$I$3:$I$1164
         ),
         ""
      ),
      IF(_xlpm.result="", "", _xlpm.result)
   )
)</f>
        <v/>
      </c>
      <c r="J675" s="27" t="str" cm="1">
        <f t="array" ref="J675">IF(
   A675="",
   "",
   _xlfn.LET(
      _xlpm.result,
      IFERROR(
         _xlfn.XLOOKUP(
            1,
            (Table8[رقم الصنف]=A675) *
            (IF($B$9="الكل",1, YEAR('ادخال البيانات'!$N$3:$N$1164)=VALUE($B$9))) *
            (IF($B$10="الكل",1, MONTH('ادخال البيانات'!$N$3:$N$1164)=VALUE($B$10))) *
            (IF($B$11="الكل",1, INT((DAY('ادخال البيانات'!$N$3:$N$1164)-1)/7)+1 = VALUE($B$11))),
            'ادخال البيانات'!$J$3:$J$1164
         ),
         ""
      ),
      IF(_xlpm.result="", "", _xlpm.result)
   )
)</f>
        <v/>
      </c>
      <c r="K675" s="27" t="str" cm="1">
        <f t="array" ref="K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5" s="27" t="str" cm="1">
        <f t="array" ref="L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5" s="27" t="str" cm="1">
        <f t="array" ref="M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5" s="28" t="str" cm="1">
        <f t="array" ref="N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5" s="28" t="str" cm="1">
        <f t="array" ref="O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5" s="27" t="str" cm="1">
        <f t="array" ref="P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Table8[جهة العطل]
         ),
         ""
      ),
      IF(_xlpm.result="", "", _xlpm.result)
   )
)</f>
        <v/>
      </c>
      <c r="Q675" s="27" t="str" cm="1">
        <f t="array" ref="Q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Table8[المركز]
         ),
         ""
      ),
      IF(_xlpm.result="", "", _xlpm.result)
   )
)</f>
        <v/>
      </c>
      <c r="R675" s="27" t="str" cm="1">
        <f t="array" ref="R675">IF(
   A675="",
   "",
   _xlfn.LET(
      _xlpm.result,
      IFERROR(
         _xlfn.XLOOKUP(
            1,
            (Table8[رقم الصنف]=A675) *
            (IF($B$9="الكل",1, YEAR('ادخال البيانات'!$N$3:$N$1164) = VALUE($B$9))) *
            (IF($B$10="الكل",1, MONTH('ادخال البيانات'!$N$3:$N$1164) = VALUE($B$10))) *
            (IF($B$11="الكل",1, INT((DAY('ادخال البيانات'!$N$3:$N$1164) - 1) / 7) + 1 = VALUE($B$11))),
            Table8[ملاحظة]
         ),
         ""
      ),
      IF(_xlpm.result="", "", _xlpm.result)
   )
)</f>
        <v/>
      </c>
      <c r="S675" s="46" t="str">
        <f t="shared" ca="1" si="11"/>
        <v/>
      </c>
    </row>
    <row r="676" spans="1:19" ht="15.6" thickTop="1" thickBot="1" x14ac:dyDescent="0.35">
      <c r="A676" s="39"/>
      <c r="B676" s="27" t="str" cm="1">
        <f t="array" ref="B676">IF(
   OR(A676="", $B$9="", $B$10="", $B$11=""),
   "",
   _xlfn.LET(
      _xlpm.result,
      IFERROR(
         _xlfn.XLOOKUP(
            1,
            (Table8[رقم الصنف]=A676)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6" s="27" t="str" cm="1">
        <f t="array" ref="C676">IF(
   A676="",
   "",
   _xlfn.LET(
      _xlpm.result,
      IFERROR(
         _xlfn.XLOOKUP(
            1,
            (Table8[رقم الصنف]=A676) *
            (IF($B$9="الكل",1, YEAR('ادخال البيانات'!$N$3:$N$1164) = VALUE($B$9))) *
            (IF($B$10="الكل",1, MONTH('ادخال البيانات'!$N$3:$N$1164) = VALUE($B$10))) *
            (IF($B$11="الكل",1, INT((DAY('ادخال البيانات'!$N$3:$N$1164)-1)/7)+1 = VALUE($B$11))),
            'ادخال البيانات'!$C$3:$C$1164
         ),
         ""
      ),
      IF(_xlpm.result="", "", _xlpm.result)
   )
)</f>
        <v/>
      </c>
      <c r="D676" s="27" t="str" cm="1">
        <f t="array" ref="D676">IF(
   OR(A676="", $B$9="", $B$10="", $B$11=""),
   "",
   _xlfn.LET(
      _xlpm.result,
      IFERROR(
         _xlfn.XLOOKUP(
            1,
            (Table8[رقم الصنف]=A676) *
            (IF($B$9="الكل",1, YEAR('ادخال البيانات'!$N$3:$N$1164)=VALUE($B$9))) *
            (IF($B$10="الكل",1, MONTH('ادخال البيانات'!$N$3:$N$1164)=VALUE($B$10))) *
            (IF($B$11="الكل",1, INT((DAY('ادخال البيانات'!$N$3:$N$1164)-1)/7)+1 = VALUE($B$11))),
            'ادخال البيانات'!$D$3:$D$1164
         ),
         ""
      ),
      IF(_xlpm.result="", "", _xlpm.result)
   )
)</f>
        <v/>
      </c>
      <c r="E676" s="27" t="str" cm="1">
        <f t="array" ref="E676">IF(
   A676="",
   "",
   _xlfn.LET(
      _xlpm.result,
      IFERROR(
         _xlfn.XLOOKUP(
            1,
            (Table8[رقم الصنف]=A676) *
            (IF($B$9="الكل",1, YEAR('ادخال البيانات'!$N$3:$N$1164)=VALUE($B$9))) *
            (IF($B$10="الكل",1, MONTH('ادخال البيانات'!$N$3:$N$1164)=VALUE($B$10))) *
            (IF($B$11="الكل",1, INT((DAY('ادخال البيانات'!$N$3:$N$1164)-1)/7)+1 = VALUE($B$11))),
            'ادخال البيانات'!$E$3:$E$1164
         ),
         ""
      ),
      IF(_xlpm.result="", "", _xlpm.result)
   )
)</f>
        <v/>
      </c>
      <c r="F676" s="27" t="str" cm="1">
        <f t="array" ref="F676">IF(
   A676="",
   "",
   _xlfn.LET(
      _xlpm.result,
      IFERROR(
         _xlfn.XLOOKUP(
            1,
            (Table8[رقم الصنف]=A676) *
            (IF($B$9="الكل",1, YEAR('ادخال البيانات'!$N$3:$N$1164) = VALUE($B$9))) *
            (IF($B$10="الكل",1, MONTH('ادخال البيانات'!$N$3:$N$1164) = VALUE($B$10))) *
            (IF($B$11="الكل",1, INT((DAY('ادخال البيانات'!$N$3:$N$1164)-1)/7)+1 = VALUE($B$11))),
            'ادخال البيانات'!$F$3:$F$1164
         ),
         ""
      ),
      IF(_xlpm.result="", "", _xlpm.result)
   )
)</f>
        <v/>
      </c>
      <c r="G676" s="27" t="str" cm="1">
        <f t="array" ref="G676">IF(
   A676="",
   "",
   _xlfn.LET(
      _xlpm.result,
      IFERROR(
         _xlfn.XLOOKUP(
            1,
            (Table8[رقم الصنف]=A676) *
            (IF($B$9="الكل",1, YEAR('ادخال البيانات'!$N$3:$N$1164)=VALUE($B$9))) *
            (IF($B$10="الكل",1, MONTH('ادخال البيانات'!$N$3:$N$1164)=VALUE($B$10))) *
            (IF($B$11="الكل",1, INT((DAY('ادخال البيانات'!$N$3:$N$1164)-1)/7)+1 = VALUE($B$11))),
            'ادخال البيانات'!$G$3:$G$1164
         ),
         ""
      ),
      IF(_xlpm.result="", "", _xlpm.result)
   )
)</f>
        <v/>
      </c>
      <c r="H676" s="27" t="str" cm="1">
        <f t="array" ref="H676">IF(
   A676="",
   "",
   _xlfn.LET(
      _xlpm.result,
      IFERROR(
         _xlfn.XLOOKUP(
            1,
            (Table8[رقم الصنف]=A676) *
            (IF($B$9="الكل",1, YEAR('ادخال البيانات'!$N$3:$N$1164)=VALUE($B$9))) *
            (IF($B$10="الكل",1, MONTH('ادخال البيانات'!$N$3:$N$1164)=VALUE($B$10))) *
            (IF($B$11="الكل",1, INT((DAY('ادخال البيانات'!$N$3:$N$1164)-1)/7)+1 = VALUE($B$11))),
            'ادخال البيانات'!$H$3:$H$1164
         ),
         ""
      ),
      IF(_xlpm.result="", "", _xlpm.result)
   )
)</f>
        <v/>
      </c>
      <c r="I676" s="27" t="str" cm="1">
        <f t="array" ref="I676">IF(
   A676="",
   "",
   _xlfn.LET(
      _xlpm.result,
      IFERROR(
         _xlfn.XLOOKUP(
            1,
            (Table8[رقم الصنف]=A676) *
            (IF($B$9="الكل",1, YEAR('ادخال البيانات'!$N$3:$N$1164)=VALUE($B$9))) *
            (IF($B$10="الكل",1, MONTH('ادخال البيانات'!$N$3:$N$1164)=VALUE($B$10))) *
            (IF($B$11="الكل",1, INT((DAY('ادخال البيانات'!$N$3:$N$1164)-1)/7)+1 = VALUE($B$11))),
            'ادخال البيانات'!$I$3:$I$1164
         ),
         ""
      ),
      IF(_xlpm.result="", "", _xlpm.result)
   )
)</f>
        <v/>
      </c>
      <c r="J676" s="27" t="str" cm="1">
        <f t="array" ref="J676">IF(
   A676="",
   "",
   _xlfn.LET(
      _xlpm.result,
      IFERROR(
         _xlfn.XLOOKUP(
            1,
            (Table8[رقم الصنف]=A676) *
            (IF($B$9="الكل",1, YEAR('ادخال البيانات'!$N$3:$N$1164)=VALUE($B$9))) *
            (IF($B$10="الكل",1, MONTH('ادخال البيانات'!$N$3:$N$1164)=VALUE($B$10))) *
            (IF($B$11="الكل",1, INT((DAY('ادخال البيانات'!$N$3:$N$1164)-1)/7)+1 = VALUE($B$11))),
            'ادخال البيانات'!$J$3:$J$1164
         ),
         ""
      ),
      IF(_xlpm.result="", "", _xlpm.result)
   )
)</f>
        <v/>
      </c>
      <c r="K676" s="27" t="str" cm="1">
        <f t="array" ref="K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6" s="27" t="str" cm="1">
        <f t="array" ref="L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6" s="27" t="str" cm="1">
        <f t="array" ref="M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6" s="28" t="str" cm="1">
        <f t="array" ref="N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6" s="28" t="str" cm="1">
        <f t="array" ref="O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6" s="27" t="str" cm="1">
        <f t="array" ref="P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Table8[جهة العطل]
         ),
         ""
      ),
      IF(_xlpm.result="", "", _xlpm.result)
   )
)</f>
        <v/>
      </c>
      <c r="Q676" s="27" t="str" cm="1">
        <f t="array" ref="Q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Table8[المركز]
         ),
         ""
      ),
      IF(_xlpm.result="", "", _xlpm.result)
   )
)</f>
        <v/>
      </c>
      <c r="R676" s="27" t="str" cm="1">
        <f t="array" ref="R676">IF(
   A676="",
   "",
   _xlfn.LET(
      _xlpm.result,
      IFERROR(
         _xlfn.XLOOKUP(
            1,
            (Table8[رقم الصنف]=A676) *
            (IF($B$9="الكل",1, YEAR('ادخال البيانات'!$N$3:$N$1164) = VALUE($B$9))) *
            (IF($B$10="الكل",1, MONTH('ادخال البيانات'!$N$3:$N$1164) = VALUE($B$10))) *
            (IF($B$11="الكل",1, INT((DAY('ادخال البيانات'!$N$3:$N$1164) - 1) / 7) + 1 = VALUE($B$11))),
            Table8[ملاحظة]
         ),
         ""
      ),
      IF(_xlpm.result="", "", _xlpm.result)
   )
)</f>
        <v/>
      </c>
      <c r="S676" s="46" t="str">
        <f t="shared" ca="1" si="11"/>
        <v/>
      </c>
    </row>
    <row r="677" spans="1:19" ht="15.6" thickTop="1" thickBot="1" x14ac:dyDescent="0.35">
      <c r="A677" s="39"/>
      <c r="B677" s="27" t="str" cm="1">
        <f t="array" ref="B677">IF(
   OR(A677="", $B$9="", $B$10="", $B$11=""),
   "",
   _xlfn.LET(
      _xlpm.result,
      IFERROR(
         _xlfn.XLOOKUP(
            1,
            (Table8[رقم الصنف]=A677)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7" s="27" t="str" cm="1">
        <f t="array" ref="C677">IF(
   A677="",
   "",
   _xlfn.LET(
      _xlpm.result,
      IFERROR(
         _xlfn.XLOOKUP(
            1,
            (Table8[رقم الصنف]=A677) *
            (IF($B$9="الكل",1, YEAR('ادخال البيانات'!$N$3:$N$1164) = VALUE($B$9))) *
            (IF($B$10="الكل",1, MONTH('ادخال البيانات'!$N$3:$N$1164) = VALUE($B$10))) *
            (IF($B$11="الكل",1, INT((DAY('ادخال البيانات'!$N$3:$N$1164)-1)/7)+1 = VALUE($B$11))),
            'ادخال البيانات'!$C$3:$C$1164
         ),
         ""
      ),
      IF(_xlpm.result="", "", _xlpm.result)
   )
)</f>
        <v/>
      </c>
      <c r="D677" s="27" t="str" cm="1">
        <f t="array" ref="D677">IF(
   OR(A677="", $B$9="", $B$10="", $B$11=""),
   "",
   _xlfn.LET(
      _xlpm.result,
      IFERROR(
         _xlfn.XLOOKUP(
            1,
            (Table8[رقم الصنف]=A677) *
            (IF($B$9="الكل",1, YEAR('ادخال البيانات'!$N$3:$N$1164)=VALUE($B$9))) *
            (IF($B$10="الكل",1, MONTH('ادخال البيانات'!$N$3:$N$1164)=VALUE($B$10))) *
            (IF($B$11="الكل",1, INT((DAY('ادخال البيانات'!$N$3:$N$1164)-1)/7)+1 = VALUE($B$11))),
            'ادخال البيانات'!$D$3:$D$1164
         ),
         ""
      ),
      IF(_xlpm.result="", "", _xlpm.result)
   )
)</f>
        <v/>
      </c>
      <c r="E677" s="27" t="str" cm="1">
        <f t="array" ref="E677">IF(
   A677="",
   "",
   _xlfn.LET(
      _xlpm.result,
      IFERROR(
         _xlfn.XLOOKUP(
            1,
            (Table8[رقم الصنف]=A677) *
            (IF($B$9="الكل",1, YEAR('ادخال البيانات'!$N$3:$N$1164)=VALUE($B$9))) *
            (IF($B$10="الكل",1, MONTH('ادخال البيانات'!$N$3:$N$1164)=VALUE($B$10))) *
            (IF($B$11="الكل",1, INT((DAY('ادخال البيانات'!$N$3:$N$1164)-1)/7)+1 = VALUE($B$11))),
            'ادخال البيانات'!$E$3:$E$1164
         ),
         ""
      ),
      IF(_xlpm.result="", "", _xlpm.result)
   )
)</f>
        <v/>
      </c>
      <c r="F677" s="27" t="str" cm="1">
        <f t="array" ref="F677">IF(
   A677="",
   "",
   _xlfn.LET(
      _xlpm.result,
      IFERROR(
         _xlfn.XLOOKUP(
            1,
            (Table8[رقم الصنف]=A677) *
            (IF($B$9="الكل",1, YEAR('ادخال البيانات'!$N$3:$N$1164) = VALUE($B$9))) *
            (IF($B$10="الكل",1, MONTH('ادخال البيانات'!$N$3:$N$1164) = VALUE($B$10))) *
            (IF($B$11="الكل",1, INT((DAY('ادخال البيانات'!$N$3:$N$1164)-1)/7)+1 = VALUE($B$11))),
            'ادخال البيانات'!$F$3:$F$1164
         ),
         ""
      ),
      IF(_xlpm.result="", "", _xlpm.result)
   )
)</f>
        <v/>
      </c>
      <c r="G677" s="27" t="str" cm="1">
        <f t="array" ref="G677">IF(
   A677="",
   "",
   _xlfn.LET(
      _xlpm.result,
      IFERROR(
         _xlfn.XLOOKUP(
            1,
            (Table8[رقم الصنف]=A677) *
            (IF($B$9="الكل",1, YEAR('ادخال البيانات'!$N$3:$N$1164)=VALUE($B$9))) *
            (IF($B$10="الكل",1, MONTH('ادخال البيانات'!$N$3:$N$1164)=VALUE($B$10))) *
            (IF($B$11="الكل",1, INT((DAY('ادخال البيانات'!$N$3:$N$1164)-1)/7)+1 = VALUE($B$11))),
            'ادخال البيانات'!$G$3:$G$1164
         ),
         ""
      ),
      IF(_xlpm.result="", "", _xlpm.result)
   )
)</f>
        <v/>
      </c>
      <c r="H677" s="27" t="str" cm="1">
        <f t="array" ref="H677">IF(
   A677="",
   "",
   _xlfn.LET(
      _xlpm.result,
      IFERROR(
         _xlfn.XLOOKUP(
            1,
            (Table8[رقم الصنف]=A677) *
            (IF($B$9="الكل",1, YEAR('ادخال البيانات'!$N$3:$N$1164)=VALUE($B$9))) *
            (IF($B$10="الكل",1, MONTH('ادخال البيانات'!$N$3:$N$1164)=VALUE($B$10))) *
            (IF($B$11="الكل",1, INT((DAY('ادخال البيانات'!$N$3:$N$1164)-1)/7)+1 = VALUE($B$11))),
            'ادخال البيانات'!$H$3:$H$1164
         ),
         ""
      ),
      IF(_xlpm.result="", "", _xlpm.result)
   )
)</f>
        <v/>
      </c>
      <c r="I677" s="27" t="str" cm="1">
        <f t="array" ref="I677">IF(
   A677="",
   "",
   _xlfn.LET(
      _xlpm.result,
      IFERROR(
         _xlfn.XLOOKUP(
            1,
            (Table8[رقم الصنف]=A677) *
            (IF($B$9="الكل",1, YEAR('ادخال البيانات'!$N$3:$N$1164)=VALUE($B$9))) *
            (IF($B$10="الكل",1, MONTH('ادخال البيانات'!$N$3:$N$1164)=VALUE($B$10))) *
            (IF($B$11="الكل",1, INT((DAY('ادخال البيانات'!$N$3:$N$1164)-1)/7)+1 = VALUE($B$11))),
            'ادخال البيانات'!$I$3:$I$1164
         ),
         ""
      ),
      IF(_xlpm.result="", "", _xlpm.result)
   )
)</f>
        <v/>
      </c>
      <c r="J677" s="27" t="str" cm="1">
        <f t="array" ref="J677">IF(
   A677="",
   "",
   _xlfn.LET(
      _xlpm.result,
      IFERROR(
         _xlfn.XLOOKUP(
            1,
            (Table8[رقم الصنف]=A677) *
            (IF($B$9="الكل",1, YEAR('ادخال البيانات'!$N$3:$N$1164)=VALUE($B$9))) *
            (IF($B$10="الكل",1, MONTH('ادخال البيانات'!$N$3:$N$1164)=VALUE($B$10))) *
            (IF($B$11="الكل",1, INT((DAY('ادخال البيانات'!$N$3:$N$1164)-1)/7)+1 = VALUE($B$11))),
            'ادخال البيانات'!$J$3:$J$1164
         ),
         ""
      ),
      IF(_xlpm.result="", "", _xlpm.result)
   )
)</f>
        <v/>
      </c>
      <c r="K677" s="27" t="str" cm="1">
        <f t="array" ref="K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7" s="27" t="str" cm="1">
        <f t="array" ref="L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7" s="27" t="str" cm="1">
        <f t="array" ref="M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7" s="28" t="str" cm="1">
        <f t="array" ref="N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7" s="28" t="str" cm="1">
        <f t="array" ref="O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7" s="27" t="str" cm="1">
        <f t="array" ref="P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Table8[جهة العطل]
         ),
         ""
      ),
      IF(_xlpm.result="", "", _xlpm.result)
   )
)</f>
        <v/>
      </c>
      <c r="Q677" s="27" t="str" cm="1">
        <f t="array" ref="Q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Table8[المركز]
         ),
         ""
      ),
      IF(_xlpm.result="", "", _xlpm.result)
   )
)</f>
        <v/>
      </c>
      <c r="R677" s="27" t="str" cm="1">
        <f t="array" ref="R677">IF(
   A677="",
   "",
   _xlfn.LET(
      _xlpm.result,
      IFERROR(
         _xlfn.XLOOKUP(
            1,
            (Table8[رقم الصنف]=A677) *
            (IF($B$9="الكل",1, YEAR('ادخال البيانات'!$N$3:$N$1164) = VALUE($B$9))) *
            (IF($B$10="الكل",1, MONTH('ادخال البيانات'!$N$3:$N$1164) = VALUE($B$10))) *
            (IF($B$11="الكل",1, INT((DAY('ادخال البيانات'!$N$3:$N$1164) - 1) / 7) + 1 = VALUE($B$11))),
            Table8[ملاحظة]
         ),
         ""
      ),
      IF(_xlpm.result="", "", _xlpm.result)
   )
)</f>
        <v/>
      </c>
      <c r="S677" s="46" t="str">
        <f t="shared" ca="1" si="11"/>
        <v/>
      </c>
    </row>
    <row r="678" spans="1:19" ht="15.6" thickTop="1" thickBot="1" x14ac:dyDescent="0.35">
      <c r="A678" s="39"/>
      <c r="B678" s="27" t="str" cm="1">
        <f t="array" ref="B678">IF(
   OR(A678="", $B$9="", $B$10="", $B$11=""),
   "",
   _xlfn.LET(
      _xlpm.result,
      IFERROR(
         _xlfn.XLOOKUP(
            1,
            (Table8[رقم الصنف]=A678)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8" s="27" t="str" cm="1">
        <f t="array" ref="C678">IF(
   A678="",
   "",
   _xlfn.LET(
      _xlpm.result,
      IFERROR(
         _xlfn.XLOOKUP(
            1,
            (Table8[رقم الصنف]=A678) *
            (IF($B$9="الكل",1, YEAR('ادخال البيانات'!$N$3:$N$1164) = VALUE($B$9))) *
            (IF($B$10="الكل",1, MONTH('ادخال البيانات'!$N$3:$N$1164) = VALUE($B$10))) *
            (IF($B$11="الكل",1, INT((DAY('ادخال البيانات'!$N$3:$N$1164)-1)/7)+1 = VALUE($B$11))),
            'ادخال البيانات'!$C$3:$C$1164
         ),
         ""
      ),
      IF(_xlpm.result="", "", _xlpm.result)
   )
)</f>
        <v/>
      </c>
      <c r="D678" s="27" t="str" cm="1">
        <f t="array" ref="D678">IF(
   OR(A678="", $B$9="", $B$10="", $B$11=""),
   "",
   _xlfn.LET(
      _xlpm.result,
      IFERROR(
         _xlfn.XLOOKUP(
            1,
            (Table8[رقم الصنف]=A678) *
            (IF($B$9="الكل",1, YEAR('ادخال البيانات'!$N$3:$N$1164)=VALUE($B$9))) *
            (IF($B$10="الكل",1, MONTH('ادخال البيانات'!$N$3:$N$1164)=VALUE($B$10))) *
            (IF($B$11="الكل",1, INT((DAY('ادخال البيانات'!$N$3:$N$1164)-1)/7)+1 = VALUE($B$11))),
            'ادخال البيانات'!$D$3:$D$1164
         ),
         ""
      ),
      IF(_xlpm.result="", "", _xlpm.result)
   )
)</f>
        <v/>
      </c>
      <c r="E678" s="27" t="str" cm="1">
        <f t="array" ref="E678">IF(
   A678="",
   "",
   _xlfn.LET(
      _xlpm.result,
      IFERROR(
         _xlfn.XLOOKUP(
            1,
            (Table8[رقم الصنف]=A678) *
            (IF($B$9="الكل",1, YEAR('ادخال البيانات'!$N$3:$N$1164)=VALUE($B$9))) *
            (IF($B$10="الكل",1, MONTH('ادخال البيانات'!$N$3:$N$1164)=VALUE($B$10))) *
            (IF($B$11="الكل",1, INT((DAY('ادخال البيانات'!$N$3:$N$1164)-1)/7)+1 = VALUE($B$11))),
            'ادخال البيانات'!$E$3:$E$1164
         ),
         ""
      ),
      IF(_xlpm.result="", "", _xlpm.result)
   )
)</f>
        <v/>
      </c>
      <c r="F678" s="27" t="str" cm="1">
        <f t="array" ref="F678">IF(
   A678="",
   "",
   _xlfn.LET(
      _xlpm.result,
      IFERROR(
         _xlfn.XLOOKUP(
            1,
            (Table8[رقم الصنف]=A678) *
            (IF($B$9="الكل",1, YEAR('ادخال البيانات'!$N$3:$N$1164) = VALUE($B$9))) *
            (IF($B$10="الكل",1, MONTH('ادخال البيانات'!$N$3:$N$1164) = VALUE($B$10))) *
            (IF($B$11="الكل",1, INT((DAY('ادخال البيانات'!$N$3:$N$1164)-1)/7)+1 = VALUE($B$11))),
            'ادخال البيانات'!$F$3:$F$1164
         ),
         ""
      ),
      IF(_xlpm.result="", "", _xlpm.result)
   )
)</f>
        <v/>
      </c>
      <c r="G678" s="27" t="str" cm="1">
        <f t="array" ref="G678">IF(
   A678="",
   "",
   _xlfn.LET(
      _xlpm.result,
      IFERROR(
         _xlfn.XLOOKUP(
            1,
            (Table8[رقم الصنف]=A678) *
            (IF($B$9="الكل",1, YEAR('ادخال البيانات'!$N$3:$N$1164)=VALUE($B$9))) *
            (IF($B$10="الكل",1, MONTH('ادخال البيانات'!$N$3:$N$1164)=VALUE($B$10))) *
            (IF($B$11="الكل",1, INT((DAY('ادخال البيانات'!$N$3:$N$1164)-1)/7)+1 = VALUE($B$11))),
            'ادخال البيانات'!$G$3:$G$1164
         ),
         ""
      ),
      IF(_xlpm.result="", "", _xlpm.result)
   )
)</f>
        <v/>
      </c>
      <c r="H678" s="27" t="str" cm="1">
        <f t="array" ref="H678">IF(
   A678="",
   "",
   _xlfn.LET(
      _xlpm.result,
      IFERROR(
         _xlfn.XLOOKUP(
            1,
            (Table8[رقم الصنف]=A678) *
            (IF($B$9="الكل",1, YEAR('ادخال البيانات'!$N$3:$N$1164)=VALUE($B$9))) *
            (IF($B$10="الكل",1, MONTH('ادخال البيانات'!$N$3:$N$1164)=VALUE($B$10))) *
            (IF($B$11="الكل",1, INT((DAY('ادخال البيانات'!$N$3:$N$1164)-1)/7)+1 = VALUE($B$11))),
            'ادخال البيانات'!$H$3:$H$1164
         ),
         ""
      ),
      IF(_xlpm.result="", "", _xlpm.result)
   )
)</f>
        <v/>
      </c>
      <c r="I678" s="27" t="str" cm="1">
        <f t="array" ref="I678">IF(
   A678="",
   "",
   _xlfn.LET(
      _xlpm.result,
      IFERROR(
         _xlfn.XLOOKUP(
            1,
            (Table8[رقم الصنف]=A678) *
            (IF($B$9="الكل",1, YEAR('ادخال البيانات'!$N$3:$N$1164)=VALUE($B$9))) *
            (IF($B$10="الكل",1, MONTH('ادخال البيانات'!$N$3:$N$1164)=VALUE($B$10))) *
            (IF($B$11="الكل",1, INT((DAY('ادخال البيانات'!$N$3:$N$1164)-1)/7)+1 = VALUE($B$11))),
            'ادخال البيانات'!$I$3:$I$1164
         ),
         ""
      ),
      IF(_xlpm.result="", "", _xlpm.result)
   )
)</f>
        <v/>
      </c>
      <c r="J678" s="27" t="str" cm="1">
        <f t="array" ref="J678">IF(
   A678="",
   "",
   _xlfn.LET(
      _xlpm.result,
      IFERROR(
         _xlfn.XLOOKUP(
            1,
            (Table8[رقم الصنف]=A678) *
            (IF($B$9="الكل",1, YEAR('ادخال البيانات'!$N$3:$N$1164)=VALUE($B$9))) *
            (IF($B$10="الكل",1, MONTH('ادخال البيانات'!$N$3:$N$1164)=VALUE($B$10))) *
            (IF($B$11="الكل",1, INT((DAY('ادخال البيانات'!$N$3:$N$1164)-1)/7)+1 = VALUE($B$11))),
            'ادخال البيانات'!$J$3:$J$1164
         ),
         ""
      ),
      IF(_xlpm.result="", "", _xlpm.result)
   )
)</f>
        <v/>
      </c>
      <c r="K678" s="27" t="str" cm="1">
        <f t="array" ref="K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8" s="27" t="str" cm="1">
        <f t="array" ref="L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8" s="27" t="str" cm="1">
        <f t="array" ref="M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8" s="28" t="str" cm="1">
        <f t="array" ref="N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8" s="28" t="str" cm="1">
        <f t="array" ref="O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8" s="27" t="str" cm="1">
        <f t="array" ref="P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Table8[جهة العطل]
         ),
         ""
      ),
      IF(_xlpm.result="", "", _xlpm.result)
   )
)</f>
        <v/>
      </c>
      <c r="Q678" s="27" t="str" cm="1">
        <f t="array" ref="Q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Table8[المركز]
         ),
         ""
      ),
      IF(_xlpm.result="", "", _xlpm.result)
   )
)</f>
        <v/>
      </c>
      <c r="R678" s="27" t="str" cm="1">
        <f t="array" ref="R678">IF(
   A678="",
   "",
   _xlfn.LET(
      _xlpm.result,
      IFERROR(
         _xlfn.XLOOKUP(
            1,
            (Table8[رقم الصنف]=A678) *
            (IF($B$9="الكل",1, YEAR('ادخال البيانات'!$N$3:$N$1164) = VALUE($B$9))) *
            (IF($B$10="الكل",1, MONTH('ادخال البيانات'!$N$3:$N$1164) = VALUE($B$10))) *
            (IF($B$11="الكل",1, INT((DAY('ادخال البيانات'!$N$3:$N$1164) - 1) / 7) + 1 = VALUE($B$11))),
            Table8[ملاحظة]
         ),
         ""
      ),
      IF(_xlpm.result="", "", _xlpm.result)
   )
)</f>
        <v/>
      </c>
      <c r="S678" s="46" t="str">
        <f t="shared" ca="1" si="11"/>
        <v/>
      </c>
    </row>
    <row r="679" spans="1:19" ht="15.6" thickTop="1" thickBot="1" x14ac:dyDescent="0.35">
      <c r="A679" s="39"/>
      <c r="B679" s="27" t="str" cm="1">
        <f t="array" ref="B679">IF(
   OR(A679="", $B$9="", $B$10="", $B$11=""),
   "",
   _xlfn.LET(
      _xlpm.result,
      IFERROR(
         _xlfn.XLOOKUP(
            1,
            (Table8[رقم الصنف]=A679)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79" s="27" t="str" cm="1">
        <f t="array" ref="C679">IF(
   A679="",
   "",
   _xlfn.LET(
      _xlpm.result,
      IFERROR(
         _xlfn.XLOOKUP(
            1,
            (Table8[رقم الصنف]=A679) *
            (IF($B$9="الكل",1, YEAR('ادخال البيانات'!$N$3:$N$1164) = VALUE($B$9))) *
            (IF($B$10="الكل",1, MONTH('ادخال البيانات'!$N$3:$N$1164) = VALUE($B$10))) *
            (IF($B$11="الكل",1, INT((DAY('ادخال البيانات'!$N$3:$N$1164)-1)/7)+1 = VALUE($B$11))),
            'ادخال البيانات'!$C$3:$C$1164
         ),
         ""
      ),
      IF(_xlpm.result="", "", _xlpm.result)
   )
)</f>
        <v/>
      </c>
      <c r="D679" s="27" t="str" cm="1">
        <f t="array" ref="D679">IF(
   OR(A679="", $B$9="", $B$10="", $B$11=""),
   "",
   _xlfn.LET(
      _xlpm.result,
      IFERROR(
         _xlfn.XLOOKUP(
            1,
            (Table8[رقم الصنف]=A679) *
            (IF($B$9="الكل",1, YEAR('ادخال البيانات'!$N$3:$N$1164)=VALUE($B$9))) *
            (IF($B$10="الكل",1, MONTH('ادخال البيانات'!$N$3:$N$1164)=VALUE($B$10))) *
            (IF($B$11="الكل",1, INT((DAY('ادخال البيانات'!$N$3:$N$1164)-1)/7)+1 = VALUE($B$11))),
            'ادخال البيانات'!$D$3:$D$1164
         ),
         ""
      ),
      IF(_xlpm.result="", "", _xlpm.result)
   )
)</f>
        <v/>
      </c>
      <c r="E679" s="27" t="str" cm="1">
        <f t="array" ref="E679">IF(
   A679="",
   "",
   _xlfn.LET(
      _xlpm.result,
      IFERROR(
         _xlfn.XLOOKUP(
            1,
            (Table8[رقم الصنف]=A679) *
            (IF($B$9="الكل",1, YEAR('ادخال البيانات'!$N$3:$N$1164)=VALUE($B$9))) *
            (IF($B$10="الكل",1, MONTH('ادخال البيانات'!$N$3:$N$1164)=VALUE($B$10))) *
            (IF($B$11="الكل",1, INT((DAY('ادخال البيانات'!$N$3:$N$1164)-1)/7)+1 = VALUE($B$11))),
            'ادخال البيانات'!$E$3:$E$1164
         ),
         ""
      ),
      IF(_xlpm.result="", "", _xlpm.result)
   )
)</f>
        <v/>
      </c>
      <c r="F679" s="27" t="str" cm="1">
        <f t="array" ref="F679">IF(
   A679="",
   "",
   _xlfn.LET(
      _xlpm.result,
      IFERROR(
         _xlfn.XLOOKUP(
            1,
            (Table8[رقم الصنف]=A679) *
            (IF($B$9="الكل",1, YEAR('ادخال البيانات'!$N$3:$N$1164) = VALUE($B$9))) *
            (IF($B$10="الكل",1, MONTH('ادخال البيانات'!$N$3:$N$1164) = VALUE($B$10))) *
            (IF($B$11="الكل",1, INT((DAY('ادخال البيانات'!$N$3:$N$1164)-1)/7)+1 = VALUE($B$11))),
            'ادخال البيانات'!$F$3:$F$1164
         ),
         ""
      ),
      IF(_xlpm.result="", "", _xlpm.result)
   )
)</f>
        <v/>
      </c>
      <c r="G679" s="27" t="str" cm="1">
        <f t="array" ref="G679">IF(
   A679="",
   "",
   _xlfn.LET(
      _xlpm.result,
      IFERROR(
         _xlfn.XLOOKUP(
            1,
            (Table8[رقم الصنف]=A679) *
            (IF($B$9="الكل",1, YEAR('ادخال البيانات'!$N$3:$N$1164)=VALUE($B$9))) *
            (IF($B$10="الكل",1, MONTH('ادخال البيانات'!$N$3:$N$1164)=VALUE($B$10))) *
            (IF($B$11="الكل",1, INT((DAY('ادخال البيانات'!$N$3:$N$1164)-1)/7)+1 = VALUE($B$11))),
            'ادخال البيانات'!$G$3:$G$1164
         ),
         ""
      ),
      IF(_xlpm.result="", "", _xlpm.result)
   )
)</f>
        <v/>
      </c>
      <c r="H679" s="27" t="str" cm="1">
        <f t="array" ref="H679">IF(
   A679="",
   "",
   _xlfn.LET(
      _xlpm.result,
      IFERROR(
         _xlfn.XLOOKUP(
            1,
            (Table8[رقم الصنف]=A679) *
            (IF($B$9="الكل",1, YEAR('ادخال البيانات'!$N$3:$N$1164)=VALUE($B$9))) *
            (IF($B$10="الكل",1, MONTH('ادخال البيانات'!$N$3:$N$1164)=VALUE($B$10))) *
            (IF($B$11="الكل",1, INT((DAY('ادخال البيانات'!$N$3:$N$1164)-1)/7)+1 = VALUE($B$11))),
            'ادخال البيانات'!$H$3:$H$1164
         ),
         ""
      ),
      IF(_xlpm.result="", "", _xlpm.result)
   )
)</f>
        <v/>
      </c>
      <c r="I679" s="27" t="str" cm="1">
        <f t="array" ref="I679">IF(
   A679="",
   "",
   _xlfn.LET(
      _xlpm.result,
      IFERROR(
         _xlfn.XLOOKUP(
            1,
            (Table8[رقم الصنف]=A679) *
            (IF($B$9="الكل",1, YEAR('ادخال البيانات'!$N$3:$N$1164)=VALUE($B$9))) *
            (IF($B$10="الكل",1, MONTH('ادخال البيانات'!$N$3:$N$1164)=VALUE($B$10))) *
            (IF($B$11="الكل",1, INT((DAY('ادخال البيانات'!$N$3:$N$1164)-1)/7)+1 = VALUE($B$11))),
            'ادخال البيانات'!$I$3:$I$1164
         ),
         ""
      ),
      IF(_xlpm.result="", "", _xlpm.result)
   )
)</f>
        <v/>
      </c>
      <c r="J679" s="27" t="str" cm="1">
        <f t="array" ref="J679">IF(
   A679="",
   "",
   _xlfn.LET(
      _xlpm.result,
      IFERROR(
         _xlfn.XLOOKUP(
            1,
            (Table8[رقم الصنف]=A679) *
            (IF($B$9="الكل",1, YEAR('ادخال البيانات'!$N$3:$N$1164)=VALUE($B$9))) *
            (IF($B$10="الكل",1, MONTH('ادخال البيانات'!$N$3:$N$1164)=VALUE($B$10))) *
            (IF($B$11="الكل",1, INT((DAY('ادخال البيانات'!$N$3:$N$1164)-1)/7)+1 = VALUE($B$11))),
            'ادخال البيانات'!$J$3:$J$1164
         ),
         ""
      ),
      IF(_xlpm.result="", "", _xlpm.result)
   )
)</f>
        <v/>
      </c>
      <c r="K679" s="27" t="str" cm="1">
        <f t="array" ref="K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79" s="27" t="str" cm="1">
        <f t="array" ref="L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79" s="27" t="str" cm="1">
        <f t="array" ref="M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79" s="28" t="str" cm="1">
        <f t="array" ref="N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79" s="28" t="str" cm="1">
        <f t="array" ref="O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79" s="27" t="str" cm="1">
        <f t="array" ref="P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Table8[جهة العطل]
         ),
         ""
      ),
      IF(_xlpm.result="", "", _xlpm.result)
   )
)</f>
        <v/>
      </c>
      <c r="Q679" s="27" t="str" cm="1">
        <f t="array" ref="Q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Table8[المركز]
         ),
         ""
      ),
      IF(_xlpm.result="", "", _xlpm.result)
   )
)</f>
        <v/>
      </c>
      <c r="R679" s="27" t="str" cm="1">
        <f t="array" ref="R679">IF(
   A679="",
   "",
   _xlfn.LET(
      _xlpm.result,
      IFERROR(
         _xlfn.XLOOKUP(
            1,
            (Table8[رقم الصنف]=A679) *
            (IF($B$9="الكل",1, YEAR('ادخال البيانات'!$N$3:$N$1164) = VALUE($B$9))) *
            (IF($B$10="الكل",1, MONTH('ادخال البيانات'!$N$3:$N$1164) = VALUE($B$10))) *
            (IF($B$11="الكل",1, INT((DAY('ادخال البيانات'!$N$3:$N$1164) - 1) / 7) + 1 = VALUE($B$11))),
            Table8[ملاحظة]
         ),
         ""
      ),
      IF(_xlpm.result="", "", _xlpm.result)
   )
)</f>
        <v/>
      </c>
      <c r="S679" s="46" t="str">
        <f t="shared" ca="1" si="11"/>
        <v/>
      </c>
    </row>
    <row r="680" spans="1:19" ht="15.6" thickTop="1" thickBot="1" x14ac:dyDescent="0.35">
      <c r="A680" s="39"/>
      <c r="B680" s="27" t="str" cm="1">
        <f t="array" ref="B680">IF(
   OR(A680="", $B$9="", $B$10="", $B$11=""),
   "",
   _xlfn.LET(
      _xlpm.result,
      IFERROR(
         _xlfn.XLOOKUP(
            1,
            (Table8[رقم الصنف]=A680)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0" s="27" t="str" cm="1">
        <f t="array" ref="C680">IF(
   A680="",
   "",
   _xlfn.LET(
      _xlpm.result,
      IFERROR(
         _xlfn.XLOOKUP(
            1,
            (Table8[رقم الصنف]=A680) *
            (IF($B$9="الكل",1, YEAR('ادخال البيانات'!$N$3:$N$1164) = VALUE($B$9))) *
            (IF($B$10="الكل",1, MONTH('ادخال البيانات'!$N$3:$N$1164) = VALUE($B$10))) *
            (IF($B$11="الكل",1, INT((DAY('ادخال البيانات'!$N$3:$N$1164)-1)/7)+1 = VALUE($B$11))),
            'ادخال البيانات'!$C$3:$C$1164
         ),
         ""
      ),
      IF(_xlpm.result="", "", _xlpm.result)
   )
)</f>
        <v/>
      </c>
      <c r="D680" s="27" t="str" cm="1">
        <f t="array" ref="D680">IF(
   OR(A680="", $B$9="", $B$10="", $B$11=""),
   "",
   _xlfn.LET(
      _xlpm.result,
      IFERROR(
         _xlfn.XLOOKUP(
            1,
            (Table8[رقم الصنف]=A680) *
            (IF($B$9="الكل",1, YEAR('ادخال البيانات'!$N$3:$N$1164)=VALUE($B$9))) *
            (IF($B$10="الكل",1, MONTH('ادخال البيانات'!$N$3:$N$1164)=VALUE($B$10))) *
            (IF($B$11="الكل",1, INT((DAY('ادخال البيانات'!$N$3:$N$1164)-1)/7)+1 = VALUE($B$11))),
            'ادخال البيانات'!$D$3:$D$1164
         ),
         ""
      ),
      IF(_xlpm.result="", "", _xlpm.result)
   )
)</f>
        <v/>
      </c>
      <c r="E680" s="27" t="str" cm="1">
        <f t="array" ref="E680">IF(
   A680="",
   "",
   _xlfn.LET(
      _xlpm.result,
      IFERROR(
         _xlfn.XLOOKUP(
            1,
            (Table8[رقم الصنف]=A680) *
            (IF($B$9="الكل",1, YEAR('ادخال البيانات'!$N$3:$N$1164)=VALUE($B$9))) *
            (IF($B$10="الكل",1, MONTH('ادخال البيانات'!$N$3:$N$1164)=VALUE($B$10))) *
            (IF($B$11="الكل",1, INT((DAY('ادخال البيانات'!$N$3:$N$1164)-1)/7)+1 = VALUE($B$11))),
            'ادخال البيانات'!$E$3:$E$1164
         ),
         ""
      ),
      IF(_xlpm.result="", "", _xlpm.result)
   )
)</f>
        <v/>
      </c>
      <c r="F680" s="27" t="str" cm="1">
        <f t="array" ref="F680">IF(
   A680="",
   "",
   _xlfn.LET(
      _xlpm.result,
      IFERROR(
         _xlfn.XLOOKUP(
            1,
            (Table8[رقم الصنف]=A680) *
            (IF($B$9="الكل",1, YEAR('ادخال البيانات'!$N$3:$N$1164) = VALUE($B$9))) *
            (IF($B$10="الكل",1, MONTH('ادخال البيانات'!$N$3:$N$1164) = VALUE($B$10))) *
            (IF($B$11="الكل",1, INT((DAY('ادخال البيانات'!$N$3:$N$1164)-1)/7)+1 = VALUE($B$11))),
            'ادخال البيانات'!$F$3:$F$1164
         ),
         ""
      ),
      IF(_xlpm.result="", "", _xlpm.result)
   )
)</f>
        <v/>
      </c>
      <c r="G680" s="27" t="str" cm="1">
        <f t="array" ref="G680">IF(
   A680="",
   "",
   _xlfn.LET(
      _xlpm.result,
      IFERROR(
         _xlfn.XLOOKUP(
            1,
            (Table8[رقم الصنف]=A680) *
            (IF($B$9="الكل",1, YEAR('ادخال البيانات'!$N$3:$N$1164)=VALUE($B$9))) *
            (IF($B$10="الكل",1, MONTH('ادخال البيانات'!$N$3:$N$1164)=VALUE($B$10))) *
            (IF($B$11="الكل",1, INT((DAY('ادخال البيانات'!$N$3:$N$1164)-1)/7)+1 = VALUE($B$11))),
            'ادخال البيانات'!$G$3:$G$1164
         ),
         ""
      ),
      IF(_xlpm.result="", "", _xlpm.result)
   )
)</f>
        <v/>
      </c>
      <c r="H680" s="27" t="str" cm="1">
        <f t="array" ref="H680">IF(
   A680="",
   "",
   _xlfn.LET(
      _xlpm.result,
      IFERROR(
         _xlfn.XLOOKUP(
            1,
            (Table8[رقم الصنف]=A680) *
            (IF($B$9="الكل",1, YEAR('ادخال البيانات'!$N$3:$N$1164)=VALUE($B$9))) *
            (IF($B$10="الكل",1, MONTH('ادخال البيانات'!$N$3:$N$1164)=VALUE($B$10))) *
            (IF($B$11="الكل",1, INT((DAY('ادخال البيانات'!$N$3:$N$1164)-1)/7)+1 = VALUE($B$11))),
            'ادخال البيانات'!$H$3:$H$1164
         ),
         ""
      ),
      IF(_xlpm.result="", "", _xlpm.result)
   )
)</f>
        <v/>
      </c>
      <c r="I680" s="27" t="str" cm="1">
        <f t="array" ref="I680">IF(
   A680="",
   "",
   _xlfn.LET(
      _xlpm.result,
      IFERROR(
         _xlfn.XLOOKUP(
            1,
            (Table8[رقم الصنف]=A680) *
            (IF($B$9="الكل",1, YEAR('ادخال البيانات'!$N$3:$N$1164)=VALUE($B$9))) *
            (IF($B$10="الكل",1, MONTH('ادخال البيانات'!$N$3:$N$1164)=VALUE($B$10))) *
            (IF($B$11="الكل",1, INT((DAY('ادخال البيانات'!$N$3:$N$1164)-1)/7)+1 = VALUE($B$11))),
            'ادخال البيانات'!$I$3:$I$1164
         ),
         ""
      ),
      IF(_xlpm.result="", "", _xlpm.result)
   )
)</f>
        <v/>
      </c>
      <c r="J680" s="27" t="str" cm="1">
        <f t="array" ref="J680">IF(
   A680="",
   "",
   _xlfn.LET(
      _xlpm.result,
      IFERROR(
         _xlfn.XLOOKUP(
            1,
            (Table8[رقم الصنف]=A680) *
            (IF($B$9="الكل",1, YEAR('ادخال البيانات'!$N$3:$N$1164)=VALUE($B$9))) *
            (IF($B$10="الكل",1, MONTH('ادخال البيانات'!$N$3:$N$1164)=VALUE($B$10))) *
            (IF($B$11="الكل",1, INT((DAY('ادخال البيانات'!$N$3:$N$1164)-1)/7)+1 = VALUE($B$11))),
            'ادخال البيانات'!$J$3:$J$1164
         ),
         ""
      ),
      IF(_xlpm.result="", "", _xlpm.result)
   )
)</f>
        <v/>
      </c>
      <c r="K680" s="27" t="str" cm="1">
        <f t="array" ref="K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0" s="27" t="str" cm="1">
        <f t="array" ref="L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0" s="27" t="str" cm="1">
        <f t="array" ref="M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0" s="28" t="str" cm="1">
        <f t="array" ref="N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0" s="28" t="str" cm="1">
        <f t="array" ref="O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0" s="27" t="str" cm="1">
        <f t="array" ref="P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Table8[جهة العطل]
         ),
         ""
      ),
      IF(_xlpm.result="", "", _xlpm.result)
   )
)</f>
        <v/>
      </c>
      <c r="Q680" s="27" t="str" cm="1">
        <f t="array" ref="Q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Table8[المركز]
         ),
         ""
      ),
      IF(_xlpm.result="", "", _xlpm.result)
   )
)</f>
        <v/>
      </c>
      <c r="R680" s="27" t="str" cm="1">
        <f t="array" ref="R680">IF(
   A680="",
   "",
   _xlfn.LET(
      _xlpm.result,
      IFERROR(
         _xlfn.XLOOKUP(
            1,
            (Table8[رقم الصنف]=A680) *
            (IF($B$9="الكل",1, YEAR('ادخال البيانات'!$N$3:$N$1164) = VALUE($B$9))) *
            (IF($B$10="الكل",1, MONTH('ادخال البيانات'!$N$3:$N$1164) = VALUE($B$10))) *
            (IF($B$11="الكل",1, INT((DAY('ادخال البيانات'!$N$3:$N$1164) - 1) / 7) + 1 = VALUE($B$11))),
            Table8[ملاحظة]
         ),
         ""
      ),
      IF(_xlpm.result="", "", _xlpm.result)
   )
)</f>
        <v/>
      </c>
      <c r="S680" s="46" t="str">
        <f t="shared" ca="1" si="11"/>
        <v/>
      </c>
    </row>
    <row r="681" spans="1:19" ht="15.6" thickTop="1" thickBot="1" x14ac:dyDescent="0.35">
      <c r="A681" s="39"/>
      <c r="B681" s="27" t="str" cm="1">
        <f t="array" ref="B681">IF(
   OR(A681="", $B$9="", $B$10="", $B$11=""),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1" s="27" t="str" cm="1">
        <f t="array" ref="C681">IF(
   A681="",
   "",
   _xlfn.LET(
      _xlpm.result,
      IFERROR(
         _xlfn.XLOOKUP(
            1,
            (Table8[رقم الصنف]=A681) *
            (IF($B$9="الكل",1, YEAR('ادخال البيانات'!$N$3:$N$1164) = VALUE($B$9))) *
            (IF($B$10="الكل",1, MONTH('ادخال البيانات'!$N$3:$N$1164) = VALUE($B$10))) *
            (IF($B$11="الكل",1, INT((DAY('ادخال البيانات'!$N$3:$N$1164)-1)/7)+1 = VALUE($B$11))),
            'ادخال البيانات'!$C$3:$C$1164
         ),
         ""
      ),
      IF(_xlpm.result="", "", _xlpm.result)
   )
)</f>
        <v/>
      </c>
      <c r="D681" s="27" t="str" cm="1">
        <f t="array" ref="D681">IF(
   OR(A681="", $B$9="", $B$10="", $B$11=""),
   "",
   _xlfn.LET(
      _xlpm.result,
      IFERROR(
         _xlfn.XLOOKUP(
            1,
            (Table8[رقم الصنف]=A681) *
            (IF($B$9="الكل",1, YEAR('ادخال البيانات'!$N$3:$N$1164)=VALUE($B$9))) *
            (IF($B$10="الكل",1, MONTH('ادخال البيانات'!$N$3:$N$1164)=VALUE($B$10))) *
            (IF($B$11="الكل",1, INT((DAY('ادخال البيانات'!$N$3:$N$1164)-1)/7)+1 = VALUE($B$11))),
            'ادخال البيانات'!$D$3:$D$1164
         ),
         ""
      ),
      IF(_xlpm.result="", "", _xlpm.result)
   )
)</f>
        <v/>
      </c>
      <c r="E681" s="27" t="str" cm="1">
        <f t="array" ref="E681">IF(
   A681="",
   "",
   _xlfn.LET(
      _xlpm.result,
      IFERROR(
         _xlfn.XLOOKUP(
            1,
            (Table8[رقم الصنف]=A681) *
            (IF($B$9="الكل",1, YEAR('ادخال البيانات'!$N$3:$N$1164)=VALUE($B$9))) *
            (IF($B$10="الكل",1, MONTH('ادخال البيانات'!$N$3:$N$1164)=VALUE($B$10))) *
            (IF($B$11="الكل",1, INT((DAY('ادخال البيانات'!$N$3:$N$1164)-1)/7)+1 = VALUE($B$11))),
            'ادخال البيانات'!$E$3:$E$1164
         ),
         ""
      ),
      IF(_xlpm.result="", "", _xlpm.result)
   )
)</f>
        <v/>
      </c>
      <c r="F681" s="27" t="str" cm="1">
        <f t="array" ref="F681">IF(
   A681="",
   "",
   _xlfn.LET(
      _xlpm.result,
      IFERROR(
         _xlfn.XLOOKUP(
            1,
            (Table8[رقم الصنف]=A681) *
            (IF($B$9="الكل",1, YEAR('ادخال البيانات'!$N$3:$N$1164) = VALUE($B$9))) *
            (IF($B$10="الكل",1, MONTH('ادخال البيانات'!$N$3:$N$1164) = VALUE($B$10))) *
            (IF($B$11="الكل",1, INT((DAY('ادخال البيانات'!$N$3:$N$1164)-1)/7)+1 = VALUE($B$11))),
            'ادخال البيانات'!$F$3:$F$1164
         ),
         ""
      ),
      IF(_xlpm.result="", "", _xlpm.result)
   )
)</f>
        <v/>
      </c>
      <c r="G681" s="27" t="str" cm="1">
        <f t="array" ref="G681">IF(
   A681="",
   "",
   _xlfn.LET(
      _xlpm.result,
      IFERROR(
         _xlfn.XLOOKUP(
            1,
            (Table8[رقم الصنف]=A681) *
            (IF($B$9="الكل",1, YEAR('ادخال البيانات'!$N$3:$N$1164)=VALUE($B$9))) *
            (IF($B$10="الكل",1, MONTH('ادخال البيانات'!$N$3:$N$1164)=VALUE($B$10))) *
            (IF($B$11="الكل",1, INT((DAY('ادخال البيانات'!$N$3:$N$1164)-1)/7)+1 = VALUE($B$11))),
            'ادخال البيانات'!$G$3:$G$1164
         ),
         ""
      ),
      IF(_xlpm.result="", "", _xlpm.result)
   )
)</f>
        <v/>
      </c>
      <c r="H681" s="27" t="str" cm="1">
        <f t="array" ref="H681">IF(
   A681="",
   "",
   _xlfn.LET(
      _xlpm.result,
      IFERROR(
         _xlfn.XLOOKUP(
            1,
            (Table8[رقم الصنف]=A681) *
            (IF($B$9="الكل",1, YEAR('ادخال البيانات'!$N$3:$N$1164)=VALUE($B$9))) *
            (IF($B$10="الكل",1, MONTH('ادخال البيانات'!$N$3:$N$1164)=VALUE($B$10))) *
            (IF($B$11="الكل",1, INT((DAY('ادخال البيانات'!$N$3:$N$1164)-1)/7)+1 = VALUE($B$11))),
            'ادخال البيانات'!$H$3:$H$1164
         ),
         ""
      ),
      IF(_xlpm.result="", "", _xlpm.result)
   )
)</f>
        <v/>
      </c>
      <c r="I681" s="27" t="str" cm="1">
        <f t="array" ref="I681">IF(
   A681="",
   "",
   _xlfn.LET(
      _xlpm.result,
      IFERROR(
         _xlfn.XLOOKUP(
            1,
            (Table8[رقم الصنف]=A681) *
            (IF($B$9="الكل",1, YEAR('ادخال البيانات'!$N$3:$N$1164)=VALUE($B$9))) *
            (IF($B$10="الكل",1, MONTH('ادخال البيانات'!$N$3:$N$1164)=VALUE($B$10))) *
            (IF($B$11="الكل",1, INT((DAY('ادخال البيانات'!$N$3:$N$1164)-1)/7)+1 = VALUE($B$11))),
            'ادخال البيانات'!$I$3:$I$1164
         ),
         ""
      ),
      IF(_xlpm.result="", "", _xlpm.result)
   )
)</f>
        <v/>
      </c>
      <c r="J681" s="27" t="str" cm="1">
        <f t="array" ref="J681">IF(
   A681="",
   "",
   _xlfn.LET(
      _xlpm.result,
      IFERROR(
         _xlfn.XLOOKUP(
            1,
            (Table8[رقم الصنف]=A681) *
            (IF($B$9="الكل",1, YEAR('ادخال البيانات'!$N$3:$N$1164)=VALUE($B$9))) *
            (IF($B$10="الكل",1, MONTH('ادخال البيانات'!$N$3:$N$1164)=VALUE($B$10))) *
            (IF($B$11="الكل",1, INT((DAY('ادخال البيانات'!$N$3:$N$1164)-1)/7)+1 = VALUE($B$11))),
            'ادخال البيانات'!$J$3:$J$1164
         ),
         ""
      ),
      IF(_xlpm.result="", "", _xlpm.result)
   )
)</f>
        <v/>
      </c>
      <c r="K681" s="27" t="str" cm="1">
        <f t="array" ref="K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1" s="27" t="str" cm="1">
        <f t="array" ref="L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1" s="27" t="str" cm="1">
        <f t="array" ref="M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1" s="28" t="str" cm="1">
        <f t="array" ref="N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1" s="28" t="str" cm="1">
        <f t="array" ref="O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1" s="27" t="str" cm="1">
        <f t="array" ref="P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Table8[جهة العطل]
         ),
         ""
      ),
      IF(_xlpm.result="", "", _xlpm.result)
   )
)</f>
        <v/>
      </c>
      <c r="Q681" s="27" t="str" cm="1">
        <f t="array" ref="Q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Table8[المركز]
         ),
         ""
      ),
      IF(_xlpm.result="", "", _xlpm.result)
   )
)</f>
        <v/>
      </c>
      <c r="R681" s="27" t="str" cm="1">
        <f t="array" ref="R681">IF(
   A681="",
   "",
   _xlfn.LET(
      _xlpm.result,
      IFERROR(
         _xlfn.XLOOKUP(
            1,
            (Table8[رقم الصنف]=A681) *
            (IF($B$9="الكل",1, YEAR('ادخال البيانات'!$N$3:$N$1164) = VALUE($B$9))) *
            (IF($B$10="الكل",1, MONTH('ادخال البيانات'!$N$3:$N$1164) = VALUE($B$10))) *
            (IF($B$11="الكل",1, INT((DAY('ادخال البيانات'!$N$3:$N$1164) - 1) / 7) + 1 = VALUE($B$11))),
            Table8[ملاحظة]
         ),
         ""
      ),
      IF(_xlpm.result="", "", _xlpm.result)
   )
)</f>
        <v/>
      </c>
      <c r="S681" s="46" t="str">
        <f t="shared" ca="1" si="11"/>
        <v/>
      </c>
    </row>
    <row r="682" spans="1:19" ht="15.6" thickTop="1" thickBot="1" x14ac:dyDescent="0.35">
      <c r="A682" s="39"/>
      <c r="B682" s="27" t="str" cm="1">
        <f t="array" ref="B682">IF(
   OR(A682="", $B$9="", $B$10="", $B$11=""),
   "",
   _xlfn.LET(
      _xlpm.result,
      IFERROR(
         _xlfn.XLOOKUP(
            1,
            (Table8[رقم الصنف]=A682)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2" s="27" t="str" cm="1">
        <f t="array" ref="C682">IF(
   A682="",
   "",
   _xlfn.LET(
      _xlpm.result,
      IFERROR(
         _xlfn.XLOOKUP(
            1,
            (Table8[رقم الصنف]=A682) *
            (IF($B$9="الكل",1, YEAR('ادخال البيانات'!$N$3:$N$1164) = VALUE($B$9))) *
            (IF($B$10="الكل",1, MONTH('ادخال البيانات'!$N$3:$N$1164) = VALUE($B$10))) *
            (IF($B$11="الكل",1, INT((DAY('ادخال البيانات'!$N$3:$N$1164)-1)/7)+1 = VALUE($B$11))),
            'ادخال البيانات'!$C$3:$C$1164
         ),
         ""
      ),
      IF(_xlpm.result="", "", _xlpm.result)
   )
)</f>
        <v/>
      </c>
      <c r="D682" s="27" t="str" cm="1">
        <f t="array" ref="D682">IF(
   OR(A682="", $B$9="", $B$10="", $B$11=""),
   "",
   _xlfn.LET(
      _xlpm.result,
      IFERROR(
         _xlfn.XLOOKUP(
            1,
            (Table8[رقم الصنف]=A682) *
            (IF($B$9="الكل",1, YEAR('ادخال البيانات'!$N$3:$N$1164)=VALUE($B$9))) *
            (IF($B$10="الكل",1, MONTH('ادخال البيانات'!$N$3:$N$1164)=VALUE($B$10))) *
            (IF($B$11="الكل",1, INT((DAY('ادخال البيانات'!$N$3:$N$1164)-1)/7)+1 = VALUE($B$11))),
            'ادخال البيانات'!$D$3:$D$1164
         ),
         ""
      ),
      IF(_xlpm.result="", "", _xlpm.result)
   )
)</f>
        <v/>
      </c>
      <c r="E682" s="27" t="str" cm="1">
        <f t="array" ref="E682">IF(
   A682="",
   "",
   _xlfn.LET(
      _xlpm.result,
      IFERROR(
         _xlfn.XLOOKUP(
            1,
            (Table8[رقم الصنف]=A682) *
            (IF($B$9="الكل",1, YEAR('ادخال البيانات'!$N$3:$N$1164)=VALUE($B$9))) *
            (IF($B$10="الكل",1, MONTH('ادخال البيانات'!$N$3:$N$1164)=VALUE($B$10))) *
            (IF($B$11="الكل",1, INT((DAY('ادخال البيانات'!$N$3:$N$1164)-1)/7)+1 = VALUE($B$11))),
            'ادخال البيانات'!$E$3:$E$1164
         ),
         ""
      ),
      IF(_xlpm.result="", "", _xlpm.result)
   )
)</f>
        <v/>
      </c>
      <c r="F682" s="27" t="str" cm="1">
        <f t="array" ref="F682">IF(
   A682="",
   "",
   _xlfn.LET(
      _xlpm.result,
      IFERROR(
         _xlfn.XLOOKUP(
            1,
            (Table8[رقم الصنف]=A682) *
            (IF($B$9="الكل",1, YEAR('ادخال البيانات'!$N$3:$N$1164) = VALUE($B$9))) *
            (IF($B$10="الكل",1, MONTH('ادخال البيانات'!$N$3:$N$1164) = VALUE($B$10))) *
            (IF($B$11="الكل",1, INT((DAY('ادخال البيانات'!$N$3:$N$1164)-1)/7)+1 = VALUE($B$11))),
            'ادخال البيانات'!$F$3:$F$1164
         ),
         ""
      ),
      IF(_xlpm.result="", "", _xlpm.result)
   )
)</f>
        <v/>
      </c>
      <c r="G682" s="27" t="str" cm="1">
        <f t="array" ref="G682">IF(
   A682="",
   "",
   _xlfn.LET(
      _xlpm.result,
      IFERROR(
         _xlfn.XLOOKUP(
            1,
            (Table8[رقم الصنف]=A682) *
            (IF($B$9="الكل",1, YEAR('ادخال البيانات'!$N$3:$N$1164)=VALUE($B$9))) *
            (IF($B$10="الكل",1, MONTH('ادخال البيانات'!$N$3:$N$1164)=VALUE($B$10))) *
            (IF($B$11="الكل",1, INT((DAY('ادخال البيانات'!$N$3:$N$1164)-1)/7)+1 = VALUE($B$11))),
            'ادخال البيانات'!$G$3:$G$1164
         ),
         ""
      ),
      IF(_xlpm.result="", "", _xlpm.result)
   )
)</f>
        <v/>
      </c>
      <c r="H682" s="27" t="str" cm="1">
        <f t="array" ref="H682">IF(
   A682="",
   "",
   _xlfn.LET(
      _xlpm.result,
      IFERROR(
         _xlfn.XLOOKUP(
            1,
            (Table8[رقم الصنف]=A682) *
            (IF($B$9="الكل",1, YEAR('ادخال البيانات'!$N$3:$N$1164)=VALUE($B$9))) *
            (IF($B$10="الكل",1, MONTH('ادخال البيانات'!$N$3:$N$1164)=VALUE($B$10))) *
            (IF($B$11="الكل",1, INT((DAY('ادخال البيانات'!$N$3:$N$1164)-1)/7)+1 = VALUE($B$11))),
            'ادخال البيانات'!$H$3:$H$1164
         ),
         ""
      ),
      IF(_xlpm.result="", "", _xlpm.result)
   )
)</f>
        <v/>
      </c>
      <c r="I682" s="27" t="str" cm="1">
        <f t="array" ref="I682">IF(
   A682="",
   "",
   _xlfn.LET(
      _xlpm.result,
      IFERROR(
         _xlfn.XLOOKUP(
            1,
            (Table8[رقم الصنف]=A682) *
            (IF($B$9="الكل",1, YEAR('ادخال البيانات'!$N$3:$N$1164)=VALUE($B$9))) *
            (IF($B$10="الكل",1, MONTH('ادخال البيانات'!$N$3:$N$1164)=VALUE($B$10))) *
            (IF($B$11="الكل",1, INT((DAY('ادخال البيانات'!$N$3:$N$1164)-1)/7)+1 = VALUE($B$11))),
            'ادخال البيانات'!$I$3:$I$1164
         ),
         ""
      ),
      IF(_xlpm.result="", "", _xlpm.result)
   )
)</f>
        <v/>
      </c>
      <c r="J682" s="27" t="str" cm="1">
        <f t="array" ref="J682">IF(
   A682="",
   "",
   _xlfn.LET(
      _xlpm.result,
      IFERROR(
         _xlfn.XLOOKUP(
            1,
            (Table8[رقم الصنف]=A682) *
            (IF($B$9="الكل",1, YEAR('ادخال البيانات'!$N$3:$N$1164)=VALUE($B$9))) *
            (IF($B$10="الكل",1, MONTH('ادخال البيانات'!$N$3:$N$1164)=VALUE($B$10))) *
            (IF($B$11="الكل",1, INT((DAY('ادخال البيانات'!$N$3:$N$1164)-1)/7)+1 = VALUE($B$11))),
            'ادخال البيانات'!$J$3:$J$1164
         ),
         ""
      ),
      IF(_xlpm.result="", "", _xlpm.result)
   )
)</f>
        <v/>
      </c>
      <c r="K682" s="27" t="str" cm="1">
        <f t="array" ref="K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2" s="27" t="str" cm="1">
        <f t="array" ref="L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2" s="27" t="str" cm="1">
        <f t="array" ref="M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2" s="28" t="str" cm="1">
        <f t="array" ref="N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2" s="28" t="str" cm="1">
        <f t="array" ref="O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2" s="27" t="str" cm="1">
        <f t="array" ref="P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Table8[جهة العطل]
         ),
         ""
      ),
      IF(_xlpm.result="", "", _xlpm.result)
   )
)</f>
        <v/>
      </c>
      <c r="Q682" s="27" t="str" cm="1">
        <f t="array" ref="Q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Table8[المركز]
         ),
         ""
      ),
      IF(_xlpm.result="", "", _xlpm.result)
   )
)</f>
        <v/>
      </c>
      <c r="R682" s="27" t="str" cm="1">
        <f t="array" ref="R682">IF(
   A682="",
   "",
   _xlfn.LET(
      _xlpm.result,
      IFERROR(
         _xlfn.XLOOKUP(
            1,
            (Table8[رقم الصنف]=A682) *
            (IF($B$9="الكل",1, YEAR('ادخال البيانات'!$N$3:$N$1164) = VALUE($B$9))) *
            (IF($B$10="الكل",1, MONTH('ادخال البيانات'!$N$3:$N$1164) = VALUE($B$10))) *
            (IF($B$11="الكل",1, INT((DAY('ادخال البيانات'!$N$3:$N$1164) - 1) / 7) + 1 = VALUE($B$11))),
            Table8[ملاحظة]
         ),
         ""
      ),
      IF(_xlpm.result="", "", _xlpm.result)
   )
)</f>
        <v/>
      </c>
      <c r="S682" s="46" t="str">
        <f t="shared" ca="1" si="11"/>
        <v/>
      </c>
    </row>
    <row r="683" spans="1:19" ht="15.6" thickTop="1" thickBot="1" x14ac:dyDescent="0.35">
      <c r="A683" s="39"/>
      <c r="B683" s="27" t="str" cm="1">
        <f t="array" ref="B683">IF(
   OR(A683="", $B$9="", $B$10="", $B$11=""),
   "",
   _xlfn.LET(
      _xlpm.result,
      IFERROR(
         _xlfn.XLOOKUP(
            1,
            (Table8[رقم الصنف]=A683)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3" s="27" t="str" cm="1">
        <f t="array" ref="C683">IF(
   A683="",
   "",
   _xlfn.LET(
      _xlpm.result,
      IFERROR(
         _xlfn.XLOOKUP(
            1,
            (Table8[رقم الصنف]=A683) *
            (IF($B$9="الكل",1, YEAR('ادخال البيانات'!$N$3:$N$1164) = VALUE($B$9))) *
            (IF($B$10="الكل",1, MONTH('ادخال البيانات'!$N$3:$N$1164) = VALUE($B$10))) *
            (IF($B$11="الكل",1, INT((DAY('ادخال البيانات'!$N$3:$N$1164)-1)/7)+1 = VALUE($B$11))),
            'ادخال البيانات'!$C$3:$C$1164
         ),
         ""
      ),
      IF(_xlpm.result="", "", _xlpm.result)
   )
)</f>
        <v/>
      </c>
      <c r="D683" s="27" t="str" cm="1">
        <f t="array" ref="D683">IF(
   OR(A683="", $B$9="", $B$10="", $B$11=""),
   "",
   _xlfn.LET(
      _xlpm.result,
      IFERROR(
         _xlfn.XLOOKUP(
            1,
            (Table8[رقم الصنف]=A683) *
            (IF($B$9="الكل",1, YEAR('ادخال البيانات'!$N$3:$N$1164)=VALUE($B$9))) *
            (IF($B$10="الكل",1, MONTH('ادخال البيانات'!$N$3:$N$1164)=VALUE($B$10))) *
            (IF($B$11="الكل",1, INT((DAY('ادخال البيانات'!$N$3:$N$1164)-1)/7)+1 = VALUE($B$11))),
            'ادخال البيانات'!$D$3:$D$1164
         ),
         ""
      ),
      IF(_xlpm.result="", "", _xlpm.result)
   )
)</f>
        <v/>
      </c>
      <c r="E683" s="27" t="str" cm="1">
        <f t="array" ref="E683">IF(
   A683="",
   "",
   _xlfn.LET(
      _xlpm.result,
      IFERROR(
         _xlfn.XLOOKUP(
            1,
            (Table8[رقم الصنف]=A683) *
            (IF($B$9="الكل",1, YEAR('ادخال البيانات'!$N$3:$N$1164)=VALUE($B$9))) *
            (IF($B$10="الكل",1, MONTH('ادخال البيانات'!$N$3:$N$1164)=VALUE($B$10))) *
            (IF($B$11="الكل",1, INT((DAY('ادخال البيانات'!$N$3:$N$1164)-1)/7)+1 = VALUE($B$11))),
            'ادخال البيانات'!$E$3:$E$1164
         ),
         ""
      ),
      IF(_xlpm.result="", "", _xlpm.result)
   )
)</f>
        <v/>
      </c>
      <c r="F683" s="27" t="str" cm="1">
        <f t="array" ref="F683">IF(
   A683="",
   "",
   _xlfn.LET(
      _xlpm.result,
      IFERROR(
         _xlfn.XLOOKUP(
            1,
            (Table8[رقم الصنف]=A683) *
            (IF($B$9="الكل",1, YEAR('ادخال البيانات'!$N$3:$N$1164) = VALUE($B$9))) *
            (IF($B$10="الكل",1, MONTH('ادخال البيانات'!$N$3:$N$1164) = VALUE($B$10))) *
            (IF($B$11="الكل",1, INT((DAY('ادخال البيانات'!$N$3:$N$1164)-1)/7)+1 = VALUE($B$11))),
            'ادخال البيانات'!$F$3:$F$1164
         ),
         ""
      ),
      IF(_xlpm.result="", "", _xlpm.result)
   )
)</f>
        <v/>
      </c>
      <c r="G683" s="27" t="str" cm="1">
        <f t="array" ref="G683">IF(
   A683="",
   "",
   _xlfn.LET(
      _xlpm.result,
      IFERROR(
         _xlfn.XLOOKUP(
            1,
            (Table8[رقم الصنف]=A683) *
            (IF($B$9="الكل",1, YEAR('ادخال البيانات'!$N$3:$N$1164)=VALUE($B$9))) *
            (IF($B$10="الكل",1, MONTH('ادخال البيانات'!$N$3:$N$1164)=VALUE($B$10))) *
            (IF($B$11="الكل",1, INT((DAY('ادخال البيانات'!$N$3:$N$1164)-1)/7)+1 = VALUE($B$11))),
            'ادخال البيانات'!$G$3:$G$1164
         ),
         ""
      ),
      IF(_xlpm.result="", "", _xlpm.result)
   )
)</f>
        <v/>
      </c>
      <c r="H683" s="27" t="str" cm="1">
        <f t="array" ref="H683">IF(
   A683="",
   "",
   _xlfn.LET(
      _xlpm.result,
      IFERROR(
         _xlfn.XLOOKUP(
            1,
            (Table8[رقم الصنف]=A683) *
            (IF($B$9="الكل",1, YEAR('ادخال البيانات'!$N$3:$N$1164)=VALUE($B$9))) *
            (IF($B$10="الكل",1, MONTH('ادخال البيانات'!$N$3:$N$1164)=VALUE($B$10))) *
            (IF($B$11="الكل",1, INT((DAY('ادخال البيانات'!$N$3:$N$1164)-1)/7)+1 = VALUE($B$11))),
            'ادخال البيانات'!$H$3:$H$1164
         ),
         ""
      ),
      IF(_xlpm.result="", "", _xlpm.result)
   )
)</f>
        <v/>
      </c>
      <c r="I683" s="27" t="str" cm="1">
        <f t="array" ref="I683">IF(
   A683="",
   "",
   _xlfn.LET(
      _xlpm.result,
      IFERROR(
         _xlfn.XLOOKUP(
            1,
            (Table8[رقم الصنف]=A683) *
            (IF($B$9="الكل",1, YEAR('ادخال البيانات'!$N$3:$N$1164)=VALUE($B$9))) *
            (IF($B$10="الكل",1, MONTH('ادخال البيانات'!$N$3:$N$1164)=VALUE($B$10))) *
            (IF($B$11="الكل",1, INT((DAY('ادخال البيانات'!$N$3:$N$1164)-1)/7)+1 = VALUE($B$11))),
            'ادخال البيانات'!$I$3:$I$1164
         ),
         ""
      ),
      IF(_xlpm.result="", "", _xlpm.result)
   )
)</f>
        <v/>
      </c>
      <c r="J683" s="27" t="str" cm="1">
        <f t="array" ref="J683">IF(
   A683="",
   "",
   _xlfn.LET(
      _xlpm.result,
      IFERROR(
         _xlfn.XLOOKUP(
            1,
            (Table8[رقم الصنف]=A683) *
            (IF($B$9="الكل",1, YEAR('ادخال البيانات'!$N$3:$N$1164)=VALUE($B$9))) *
            (IF($B$10="الكل",1, MONTH('ادخال البيانات'!$N$3:$N$1164)=VALUE($B$10))) *
            (IF($B$11="الكل",1, INT((DAY('ادخال البيانات'!$N$3:$N$1164)-1)/7)+1 = VALUE($B$11))),
            'ادخال البيانات'!$J$3:$J$1164
         ),
         ""
      ),
      IF(_xlpm.result="", "", _xlpm.result)
   )
)</f>
        <v/>
      </c>
      <c r="K683" s="27" t="str" cm="1">
        <f t="array" ref="K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3" s="27" t="str" cm="1">
        <f t="array" ref="L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3" s="27" t="str" cm="1">
        <f t="array" ref="M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3" s="28" t="str" cm="1">
        <f t="array" ref="N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3" s="28" t="str" cm="1">
        <f t="array" ref="O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3" s="27" t="str" cm="1">
        <f t="array" ref="P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Table8[جهة العطل]
         ),
         ""
      ),
      IF(_xlpm.result="", "", _xlpm.result)
   )
)</f>
        <v/>
      </c>
      <c r="Q683" s="27" t="str" cm="1">
        <f t="array" ref="Q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Table8[المركز]
         ),
         ""
      ),
      IF(_xlpm.result="", "", _xlpm.result)
   )
)</f>
        <v/>
      </c>
      <c r="R683" s="27" t="str" cm="1">
        <f t="array" ref="R683">IF(
   A683="",
   "",
   _xlfn.LET(
      _xlpm.result,
      IFERROR(
         _xlfn.XLOOKUP(
            1,
            (Table8[رقم الصنف]=A683) *
            (IF($B$9="الكل",1, YEAR('ادخال البيانات'!$N$3:$N$1164) = VALUE($B$9))) *
            (IF($B$10="الكل",1, MONTH('ادخال البيانات'!$N$3:$N$1164) = VALUE($B$10))) *
            (IF($B$11="الكل",1, INT((DAY('ادخال البيانات'!$N$3:$N$1164) - 1) / 7) + 1 = VALUE($B$11))),
            Table8[ملاحظة]
         ),
         ""
      ),
      IF(_xlpm.result="", "", _xlpm.result)
   )
)</f>
        <v/>
      </c>
      <c r="S683" s="46" t="str">
        <f t="shared" ca="1" si="11"/>
        <v/>
      </c>
    </row>
    <row r="684" spans="1:19" ht="15.6" thickTop="1" thickBot="1" x14ac:dyDescent="0.35">
      <c r="A684" s="39"/>
      <c r="B684" s="27" t="str" cm="1">
        <f t="array" ref="B684">IF(
   OR(A684="", $B$9="", $B$10="", $B$11=""),
   "",
   _xlfn.LET(
      _xlpm.result,
      IFERROR(
         _xlfn.XLOOKUP(
            1,
            (Table8[رقم الصنف]=A684)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4" s="27" t="str" cm="1">
        <f t="array" ref="C684">IF(
   A684="",
   "",
   _xlfn.LET(
      _xlpm.result,
      IFERROR(
         _xlfn.XLOOKUP(
            1,
            (Table8[رقم الصنف]=A684) *
            (IF($B$9="الكل",1, YEAR('ادخال البيانات'!$N$3:$N$1164) = VALUE($B$9))) *
            (IF($B$10="الكل",1, MONTH('ادخال البيانات'!$N$3:$N$1164) = VALUE($B$10))) *
            (IF($B$11="الكل",1, INT((DAY('ادخال البيانات'!$N$3:$N$1164)-1)/7)+1 = VALUE($B$11))),
            'ادخال البيانات'!$C$3:$C$1164
         ),
         ""
      ),
      IF(_xlpm.result="", "", _xlpm.result)
   )
)</f>
        <v/>
      </c>
      <c r="D684" s="27" t="str" cm="1">
        <f t="array" ref="D684">IF(
   OR(A684="", $B$9="", $B$10="", $B$11=""),
   "",
   _xlfn.LET(
      _xlpm.result,
      IFERROR(
         _xlfn.XLOOKUP(
            1,
            (Table8[رقم الصنف]=A684) *
            (IF($B$9="الكل",1, YEAR('ادخال البيانات'!$N$3:$N$1164)=VALUE($B$9))) *
            (IF($B$10="الكل",1, MONTH('ادخال البيانات'!$N$3:$N$1164)=VALUE($B$10))) *
            (IF($B$11="الكل",1, INT((DAY('ادخال البيانات'!$N$3:$N$1164)-1)/7)+1 = VALUE($B$11))),
            'ادخال البيانات'!$D$3:$D$1164
         ),
         ""
      ),
      IF(_xlpm.result="", "", _xlpm.result)
   )
)</f>
        <v/>
      </c>
      <c r="E684" s="27" t="str" cm="1">
        <f t="array" ref="E684">IF(
   A684="",
   "",
   _xlfn.LET(
      _xlpm.result,
      IFERROR(
         _xlfn.XLOOKUP(
            1,
            (Table8[رقم الصنف]=A684) *
            (IF($B$9="الكل",1, YEAR('ادخال البيانات'!$N$3:$N$1164)=VALUE($B$9))) *
            (IF($B$10="الكل",1, MONTH('ادخال البيانات'!$N$3:$N$1164)=VALUE($B$10))) *
            (IF($B$11="الكل",1, INT((DAY('ادخال البيانات'!$N$3:$N$1164)-1)/7)+1 = VALUE($B$11))),
            'ادخال البيانات'!$E$3:$E$1164
         ),
         ""
      ),
      IF(_xlpm.result="", "", _xlpm.result)
   )
)</f>
        <v/>
      </c>
      <c r="F684" s="27" t="str" cm="1">
        <f t="array" ref="F684">IF(
   A684="",
   "",
   _xlfn.LET(
      _xlpm.result,
      IFERROR(
         _xlfn.XLOOKUP(
            1,
            (Table8[رقم الصنف]=A684) *
            (IF($B$9="الكل",1, YEAR('ادخال البيانات'!$N$3:$N$1164) = VALUE($B$9))) *
            (IF($B$10="الكل",1, MONTH('ادخال البيانات'!$N$3:$N$1164) = VALUE($B$10))) *
            (IF($B$11="الكل",1, INT((DAY('ادخال البيانات'!$N$3:$N$1164)-1)/7)+1 = VALUE($B$11))),
            'ادخال البيانات'!$F$3:$F$1164
         ),
         ""
      ),
      IF(_xlpm.result="", "", _xlpm.result)
   )
)</f>
        <v/>
      </c>
      <c r="G684" s="27" t="str" cm="1">
        <f t="array" ref="G684">IF(
   A684="",
   "",
   _xlfn.LET(
      _xlpm.result,
      IFERROR(
         _xlfn.XLOOKUP(
            1,
            (Table8[رقم الصنف]=A684) *
            (IF($B$9="الكل",1, YEAR('ادخال البيانات'!$N$3:$N$1164)=VALUE($B$9))) *
            (IF($B$10="الكل",1, MONTH('ادخال البيانات'!$N$3:$N$1164)=VALUE($B$10))) *
            (IF($B$11="الكل",1, INT((DAY('ادخال البيانات'!$N$3:$N$1164)-1)/7)+1 = VALUE($B$11))),
            'ادخال البيانات'!$G$3:$G$1164
         ),
         ""
      ),
      IF(_xlpm.result="", "", _xlpm.result)
   )
)</f>
        <v/>
      </c>
      <c r="H684" s="27" t="str" cm="1">
        <f t="array" ref="H684">IF(
   A684="",
   "",
   _xlfn.LET(
      _xlpm.result,
      IFERROR(
         _xlfn.XLOOKUP(
            1,
            (Table8[رقم الصنف]=A684) *
            (IF($B$9="الكل",1, YEAR('ادخال البيانات'!$N$3:$N$1164)=VALUE($B$9))) *
            (IF($B$10="الكل",1, MONTH('ادخال البيانات'!$N$3:$N$1164)=VALUE($B$10))) *
            (IF($B$11="الكل",1, INT((DAY('ادخال البيانات'!$N$3:$N$1164)-1)/7)+1 = VALUE($B$11))),
            'ادخال البيانات'!$H$3:$H$1164
         ),
         ""
      ),
      IF(_xlpm.result="", "", _xlpm.result)
   )
)</f>
        <v/>
      </c>
      <c r="I684" s="27" t="str" cm="1">
        <f t="array" ref="I684">IF(
   A684="",
   "",
   _xlfn.LET(
      _xlpm.result,
      IFERROR(
         _xlfn.XLOOKUP(
            1,
            (Table8[رقم الصنف]=A684) *
            (IF($B$9="الكل",1, YEAR('ادخال البيانات'!$N$3:$N$1164)=VALUE($B$9))) *
            (IF($B$10="الكل",1, MONTH('ادخال البيانات'!$N$3:$N$1164)=VALUE($B$10))) *
            (IF($B$11="الكل",1, INT((DAY('ادخال البيانات'!$N$3:$N$1164)-1)/7)+1 = VALUE($B$11))),
            'ادخال البيانات'!$I$3:$I$1164
         ),
         ""
      ),
      IF(_xlpm.result="", "", _xlpm.result)
   )
)</f>
        <v/>
      </c>
      <c r="J684" s="27" t="str" cm="1">
        <f t="array" ref="J684">IF(
   A684="",
   "",
   _xlfn.LET(
      _xlpm.result,
      IFERROR(
         _xlfn.XLOOKUP(
            1,
            (Table8[رقم الصنف]=A684) *
            (IF($B$9="الكل",1, YEAR('ادخال البيانات'!$N$3:$N$1164)=VALUE($B$9))) *
            (IF($B$10="الكل",1, MONTH('ادخال البيانات'!$N$3:$N$1164)=VALUE($B$10))) *
            (IF($B$11="الكل",1, INT((DAY('ادخال البيانات'!$N$3:$N$1164)-1)/7)+1 = VALUE($B$11))),
            'ادخال البيانات'!$J$3:$J$1164
         ),
         ""
      ),
      IF(_xlpm.result="", "", _xlpm.result)
   )
)</f>
        <v/>
      </c>
      <c r="K684" s="27" t="str" cm="1">
        <f t="array" ref="K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4" s="27" t="str" cm="1">
        <f t="array" ref="L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4" s="27" t="str" cm="1">
        <f t="array" ref="M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4" s="28" t="str" cm="1">
        <f t="array" ref="N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4" s="28" t="str" cm="1">
        <f t="array" ref="O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4" s="27" t="str" cm="1">
        <f t="array" ref="P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Table8[جهة العطل]
         ),
         ""
      ),
      IF(_xlpm.result="", "", _xlpm.result)
   )
)</f>
        <v/>
      </c>
      <c r="Q684" s="27" t="str" cm="1">
        <f t="array" ref="Q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Table8[المركز]
         ),
         ""
      ),
      IF(_xlpm.result="", "", _xlpm.result)
   )
)</f>
        <v/>
      </c>
      <c r="R684" s="27" t="str" cm="1">
        <f t="array" ref="R684">IF(
   A684="",
   "",
   _xlfn.LET(
      _xlpm.result,
      IFERROR(
         _xlfn.XLOOKUP(
            1,
            (Table8[رقم الصنف]=A684) *
            (IF($B$9="الكل",1, YEAR('ادخال البيانات'!$N$3:$N$1164) = VALUE($B$9))) *
            (IF($B$10="الكل",1, MONTH('ادخال البيانات'!$N$3:$N$1164) = VALUE($B$10))) *
            (IF($B$11="الكل",1, INT((DAY('ادخال البيانات'!$N$3:$N$1164) - 1) / 7) + 1 = VALUE($B$11))),
            Table8[ملاحظة]
         ),
         ""
      ),
      IF(_xlpm.result="", "", _xlpm.result)
   )
)</f>
        <v/>
      </c>
      <c r="S684" s="46" t="str">
        <f t="shared" ca="1" si="11"/>
        <v/>
      </c>
    </row>
    <row r="685" spans="1:19" ht="15.6" thickTop="1" thickBot="1" x14ac:dyDescent="0.35">
      <c r="A685" s="39"/>
      <c r="B685" s="27" t="str" cm="1">
        <f t="array" ref="B685">IF(
   OR(A685="", $B$9="", $B$10="", $B$11=""),
   "",
   _xlfn.LET(
      _xlpm.result,
      IFERROR(
         _xlfn.XLOOKUP(
            1,
            (Table8[رقم الصنف]=A685)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5" s="27" t="str" cm="1">
        <f t="array" ref="C685">IF(
   A685="",
   "",
   _xlfn.LET(
      _xlpm.result,
      IFERROR(
         _xlfn.XLOOKUP(
            1,
            (Table8[رقم الصنف]=A685) *
            (IF($B$9="الكل",1, YEAR('ادخال البيانات'!$N$3:$N$1164) = VALUE($B$9))) *
            (IF($B$10="الكل",1, MONTH('ادخال البيانات'!$N$3:$N$1164) = VALUE($B$10))) *
            (IF($B$11="الكل",1, INT((DAY('ادخال البيانات'!$N$3:$N$1164)-1)/7)+1 = VALUE($B$11))),
            'ادخال البيانات'!$C$3:$C$1164
         ),
         ""
      ),
      IF(_xlpm.result="", "", _xlpm.result)
   )
)</f>
        <v/>
      </c>
      <c r="D685" s="27" t="str" cm="1">
        <f t="array" ref="D685">IF(
   OR(A685="", $B$9="", $B$10="", $B$11=""),
   "",
   _xlfn.LET(
      _xlpm.result,
      IFERROR(
         _xlfn.XLOOKUP(
            1,
            (Table8[رقم الصنف]=A685) *
            (IF($B$9="الكل",1, YEAR('ادخال البيانات'!$N$3:$N$1164)=VALUE($B$9))) *
            (IF($B$10="الكل",1, MONTH('ادخال البيانات'!$N$3:$N$1164)=VALUE($B$10))) *
            (IF($B$11="الكل",1, INT((DAY('ادخال البيانات'!$N$3:$N$1164)-1)/7)+1 = VALUE($B$11))),
            'ادخال البيانات'!$D$3:$D$1164
         ),
         ""
      ),
      IF(_xlpm.result="", "", _xlpm.result)
   )
)</f>
        <v/>
      </c>
      <c r="E685" s="27" t="str" cm="1">
        <f t="array" ref="E685">IF(
   A685="",
   "",
   _xlfn.LET(
      _xlpm.result,
      IFERROR(
         _xlfn.XLOOKUP(
            1,
            (Table8[رقم الصنف]=A685) *
            (IF($B$9="الكل",1, YEAR('ادخال البيانات'!$N$3:$N$1164)=VALUE($B$9))) *
            (IF($B$10="الكل",1, MONTH('ادخال البيانات'!$N$3:$N$1164)=VALUE($B$10))) *
            (IF($B$11="الكل",1, INT((DAY('ادخال البيانات'!$N$3:$N$1164)-1)/7)+1 = VALUE($B$11))),
            'ادخال البيانات'!$E$3:$E$1164
         ),
         ""
      ),
      IF(_xlpm.result="", "", _xlpm.result)
   )
)</f>
        <v/>
      </c>
      <c r="F685" s="27" t="str" cm="1">
        <f t="array" ref="F685">IF(
   A685="",
   "",
   _xlfn.LET(
      _xlpm.result,
      IFERROR(
         _xlfn.XLOOKUP(
            1,
            (Table8[رقم الصنف]=A685) *
            (IF($B$9="الكل",1, YEAR('ادخال البيانات'!$N$3:$N$1164) = VALUE($B$9))) *
            (IF($B$10="الكل",1, MONTH('ادخال البيانات'!$N$3:$N$1164) = VALUE($B$10))) *
            (IF($B$11="الكل",1, INT((DAY('ادخال البيانات'!$N$3:$N$1164)-1)/7)+1 = VALUE($B$11))),
            'ادخال البيانات'!$F$3:$F$1164
         ),
         ""
      ),
      IF(_xlpm.result="", "", _xlpm.result)
   )
)</f>
        <v/>
      </c>
      <c r="G685" s="27" t="str" cm="1">
        <f t="array" ref="G685">IF(
   A685="",
   "",
   _xlfn.LET(
      _xlpm.result,
      IFERROR(
         _xlfn.XLOOKUP(
            1,
            (Table8[رقم الصنف]=A685) *
            (IF($B$9="الكل",1, YEAR('ادخال البيانات'!$N$3:$N$1164)=VALUE($B$9))) *
            (IF($B$10="الكل",1, MONTH('ادخال البيانات'!$N$3:$N$1164)=VALUE($B$10))) *
            (IF($B$11="الكل",1, INT((DAY('ادخال البيانات'!$N$3:$N$1164)-1)/7)+1 = VALUE($B$11))),
            'ادخال البيانات'!$G$3:$G$1164
         ),
         ""
      ),
      IF(_xlpm.result="", "", _xlpm.result)
   )
)</f>
        <v/>
      </c>
      <c r="H685" s="27" t="str" cm="1">
        <f t="array" ref="H685">IF(
   A685="",
   "",
   _xlfn.LET(
      _xlpm.result,
      IFERROR(
         _xlfn.XLOOKUP(
            1,
            (Table8[رقم الصنف]=A685) *
            (IF($B$9="الكل",1, YEAR('ادخال البيانات'!$N$3:$N$1164)=VALUE($B$9))) *
            (IF($B$10="الكل",1, MONTH('ادخال البيانات'!$N$3:$N$1164)=VALUE($B$10))) *
            (IF($B$11="الكل",1, INT((DAY('ادخال البيانات'!$N$3:$N$1164)-1)/7)+1 = VALUE($B$11))),
            'ادخال البيانات'!$H$3:$H$1164
         ),
         ""
      ),
      IF(_xlpm.result="", "", _xlpm.result)
   )
)</f>
        <v/>
      </c>
      <c r="I685" s="27" t="str" cm="1">
        <f t="array" ref="I685">IF(
   A685="",
   "",
   _xlfn.LET(
      _xlpm.result,
      IFERROR(
         _xlfn.XLOOKUP(
            1,
            (Table8[رقم الصنف]=A685) *
            (IF($B$9="الكل",1, YEAR('ادخال البيانات'!$N$3:$N$1164)=VALUE($B$9))) *
            (IF($B$10="الكل",1, MONTH('ادخال البيانات'!$N$3:$N$1164)=VALUE($B$10))) *
            (IF($B$11="الكل",1, INT((DAY('ادخال البيانات'!$N$3:$N$1164)-1)/7)+1 = VALUE($B$11))),
            'ادخال البيانات'!$I$3:$I$1164
         ),
         ""
      ),
      IF(_xlpm.result="", "", _xlpm.result)
   )
)</f>
        <v/>
      </c>
      <c r="J685" s="27" t="str" cm="1">
        <f t="array" ref="J685">IF(
   A685="",
   "",
   _xlfn.LET(
      _xlpm.result,
      IFERROR(
         _xlfn.XLOOKUP(
            1,
            (Table8[رقم الصنف]=A685) *
            (IF($B$9="الكل",1, YEAR('ادخال البيانات'!$N$3:$N$1164)=VALUE($B$9))) *
            (IF($B$10="الكل",1, MONTH('ادخال البيانات'!$N$3:$N$1164)=VALUE($B$10))) *
            (IF($B$11="الكل",1, INT((DAY('ادخال البيانات'!$N$3:$N$1164)-1)/7)+1 = VALUE($B$11))),
            'ادخال البيانات'!$J$3:$J$1164
         ),
         ""
      ),
      IF(_xlpm.result="", "", _xlpm.result)
   )
)</f>
        <v/>
      </c>
      <c r="K685" s="27" t="str" cm="1">
        <f t="array" ref="K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5" s="27" t="str" cm="1">
        <f t="array" ref="L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5" s="27" t="str" cm="1">
        <f t="array" ref="M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5" s="28" t="str" cm="1">
        <f t="array" ref="N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5" s="28" t="str" cm="1">
        <f t="array" ref="O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5" s="27" t="str" cm="1">
        <f t="array" ref="P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Table8[جهة العطل]
         ),
         ""
      ),
      IF(_xlpm.result="", "", _xlpm.result)
   )
)</f>
        <v/>
      </c>
      <c r="Q685" s="27" t="str" cm="1">
        <f t="array" ref="Q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Table8[المركز]
         ),
         ""
      ),
      IF(_xlpm.result="", "", _xlpm.result)
   )
)</f>
        <v/>
      </c>
      <c r="R685" s="27" t="str" cm="1">
        <f t="array" ref="R685">IF(
   A685="",
   "",
   _xlfn.LET(
      _xlpm.result,
      IFERROR(
         _xlfn.XLOOKUP(
            1,
            (Table8[رقم الصنف]=A685) *
            (IF($B$9="الكل",1, YEAR('ادخال البيانات'!$N$3:$N$1164) = VALUE($B$9))) *
            (IF($B$10="الكل",1, MONTH('ادخال البيانات'!$N$3:$N$1164) = VALUE($B$10))) *
            (IF($B$11="الكل",1, INT((DAY('ادخال البيانات'!$N$3:$N$1164) - 1) / 7) + 1 = VALUE($B$11))),
            Table8[ملاحظة]
         ),
         ""
      ),
      IF(_xlpm.result="", "", _xlpm.result)
   )
)</f>
        <v/>
      </c>
      <c r="S685" s="46" t="str">
        <f t="shared" ca="1" si="11"/>
        <v/>
      </c>
    </row>
    <row r="686" spans="1:19" ht="15.6" thickTop="1" thickBot="1" x14ac:dyDescent="0.35">
      <c r="A686" s="39"/>
      <c r="B686" s="27" t="str" cm="1">
        <f t="array" ref="B686">IF(
   OR(A686="", $B$9="", $B$10="", $B$11=""),
   "",
   _xlfn.LET(
      _xlpm.result,
      IFERROR(
         _xlfn.XLOOKUP(
            1,
            (Table8[رقم الصنف]=A686)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6" s="27" t="str" cm="1">
        <f t="array" ref="C686">IF(
   A686="",
   "",
   _xlfn.LET(
      _xlpm.result,
      IFERROR(
         _xlfn.XLOOKUP(
            1,
            (Table8[رقم الصنف]=A686) *
            (IF($B$9="الكل",1, YEAR('ادخال البيانات'!$N$3:$N$1164) = VALUE($B$9))) *
            (IF($B$10="الكل",1, MONTH('ادخال البيانات'!$N$3:$N$1164) = VALUE($B$10))) *
            (IF($B$11="الكل",1, INT((DAY('ادخال البيانات'!$N$3:$N$1164)-1)/7)+1 = VALUE($B$11))),
            'ادخال البيانات'!$C$3:$C$1164
         ),
         ""
      ),
      IF(_xlpm.result="", "", _xlpm.result)
   )
)</f>
        <v/>
      </c>
      <c r="D686" s="27" t="str" cm="1">
        <f t="array" ref="D686">IF(
   OR(A686="", $B$9="", $B$10="", $B$11=""),
   "",
   _xlfn.LET(
      _xlpm.result,
      IFERROR(
         _xlfn.XLOOKUP(
            1,
            (Table8[رقم الصنف]=A686) *
            (IF($B$9="الكل",1, YEAR('ادخال البيانات'!$N$3:$N$1164)=VALUE($B$9))) *
            (IF($B$10="الكل",1, MONTH('ادخال البيانات'!$N$3:$N$1164)=VALUE($B$10))) *
            (IF($B$11="الكل",1, INT((DAY('ادخال البيانات'!$N$3:$N$1164)-1)/7)+1 = VALUE($B$11))),
            'ادخال البيانات'!$D$3:$D$1164
         ),
         ""
      ),
      IF(_xlpm.result="", "", _xlpm.result)
   )
)</f>
        <v/>
      </c>
      <c r="E686" s="27" t="str" cm="1">
        <f t="array" ref="E686">IF(
   A686="",
   "",
   _xlfn.LET(
      _xlpm.result,
      IFERROR(
         _xlfn.XLOOKUP(
            1,
            (Table8[رقم الصنف]=A686) *
            (IF($B$9="الكل",1, YEAR('ادخال البيانات'!$N$3:$N$1164)=VALUE($B$9))) *
            (IF($B$10="الكل",1, MONTH('ادخال البيانات'!$N$3:$N$1164)=VALUE($B$10))) *
            (IF($B$11="الكل",1, INT((DAY('ادخال البيانات'!$N$3:$N$1164)-1)/7)+1 = VALUE($B$11))),
            'ادخال البيانات'!$E$3:$E$1164
         ),
         ""
      ),
      IF(_xlpm.result="", "", _xlpm.result)
   )
)</f>
        <v/>
      </c>
      <c r="F686" s="27" t="str" cm="1">
        <f t="array" ref="F686">IF(
   A686="",
   "",
   _xlfn.LET(
      _xlpm.result,
      IFERROR(
         _xlfn.XLOOKUP(
            1,
            (Table8[رقم الصنف]=A686) *
            (IF($B$9="الكل",1, YEAR('ادخال البيانات'!$N$3:$N$1164) = VALUE($B$9))) *
            (IF($B$10="الكل",1, MONTH('ادخال البيانات'!$N$3:$N$1164) = VALUE($B$10))) *
            (IF($B$11="الكل",1, INT((DAY('ادخال البيانات'!$N$3:$N$1164)-1)/7)+1 = VALUE($B$11))),
            'ادخال البيانات'!$F$3:$F$1164
         ),
         ""
      ),
      IF(_xlpm.result="", "", _xlpm.result)
   )
)</f>
        <v/>
      </c>
      <c r="G686" s="27" t="str" cm="1">
        <f t="array" ref="G686">IF(
   A686="",
   "",
   _xlfn.LET(
      _xlpm.result,
      IFERROR(
         _xlfn.XLOOKUP(
            1,
            (Table8[رقم الصنف]=A686) *
            (IF($B$9="الكل",1, YEAR('ادخال البيانات'!$N$3:$N$1164)=VALUE($B$9))) *
            (IF($B$10="الكل",1, MONTH('ادخال البيانات'!$N$3:$N$1164)=VALUE($B$10))) *
            (IF($B$11="الكل",1, INT((DAY('ادخال البيانات'!$N$3:$N$1164)-1)/7)+1 = VALUE($B$11))),
            'ادخال البيانات'!$G$3:$G$1164
         ),
         ""
      ),
      IF(_xlpm.result="", "", _xlpm.result)
   )
)</f>
        <v/>
      </c>
      <c r="H686" s="27" t="str" cm="1">
        <f t="array" ref="H686">IF(
   A686="",
   "",
   _xlfn.LET(
      _xlpm.result,
      IFERROR(
         _xlfn.XLOOKUP(
            1,
            (Table8[رقم الصنف]=A686) *
            (IF($B$9="الكل",1, YEAR('ادخال البيانات'!$N$3:$N$1164)=VALUE($B$9))) *
            (IF($B$10="الكل",1, MONTH('ادخال البيانات'!$N$3:$N$1164)=VALUE($B$10))) *
            (IF($B$11="الكل",1, INT((DAY('ادخال البيانات'!$N$3:$N$1164)-1)/7)+1 = VALUE($B$11))),
            'ادخال البيانات'!$H$3:$H$1164
         ),
         ""
      ),
      IF(_xlpm.result="", "", _xlpm.result)
   )
)</f>
        <v/>
      </c>
      <c r="I686" s="27" t="str" cm="1">
        <f t="array" ref="I686">IF(
   A686="",
   "",
   _xlfn.LET(
      _xlpm.result,
      IFERROR(
         _xlfn.XLOOKUP(
            1,
            (Table8[رقم الصنف]=A686) *
            (IF($B$9="الكل",1, YEAR('ادخال البيانات'!$N$3:$N$1164)=VALUE($B$9))) *
            (IF($B$10="الكل",1, MONTH('ادخال البيانات'!$N$3:$N$1164)=VALUE($B$10))) *
            (IF($B$11="الكل",1, INT((DAY('ادخال البيانات'!$N$3:$N$1164)-1)/7)+1 = VALUE($B$11))),
            'ادخال البيانات'!$I$3:$I$1164
         ),
         ""
      ),
      IF(_xlpm.result="", "", _xlpm.result)
   )
)</f>
        <v/>
      </c>
      <c r="J686" s="27" t="str" cm="1">
        <f t="array" ref="J686">IF(
   A686="",
   "",
   _xlfn.LET(
      _xlpm.result,
      IFERROR(
         _xlfn.XLOOKUP(
            1,
            (Table8[رقم الصنف]=A686) *
            (IF($B$9="الكل",1, YEAR('ادخال البيانات'!$N$3:$N$1164)=VALUE($B$9))) *
            (IF($B$10="الكل",1, MONTH('ادخال البيانات'!$N$3:$N$1164)=VALUE($B$10))) *
            (IF($B$11="الكل",1, INT((DAY('ادخال البيانات'!$N$3:$N$1164)-1)/7)+1 = VALUE($B$11))),
            'ادخال البيانات'!$J$3:$J$1164
         ),
         ""
      ),
      IF(_xlpm.result="", "", _xlpm.result)
   )
)</f>
        <v/>
      </c>
      <c r="K686" s="27" t="str" cm="1">
        <f t="array" ref="K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6" s="27" t="str" cm="1">
        <f t="array" ref="L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6" s="27" t="str" cm="1">
        <f t="array" ref="M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6" s="28" t="str" cm="1">
        <f t="array" ref="N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6" s="28" t="str" cm="1">
        <f t="array" ref="O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6" s="27" t="str" cm="1">
        <f t="array" ref="P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Table8[جهة العطل]
         ),
         ""
      ),
      IF(_xlpm.result="", "", _xlpm.result)
   )
)</f>
        <v/>
      </c>
      <c r="Q686" s="27" t="str" cm="1">
        <f t="array" ref="Q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Table8[المركز]
         ),
         ""
      ),
      IF(_xlpm.result="", "", _xlpm.result)
   )
)</f>
        <v/>
      </c>
      <c r="R686" s="27" t="str" cm="1">
        <f t="array" ref="R686">IF(
   A686="",
   "",
   _xlfn.LET(
      _xlpm.result,
      IFERROR(
         _xlfn.XLOOKUP(
            1,
            (Table8[رقم الصنف]=A686) *
            (IF($B$9="الكل",1, YEAR('ادخال البيانات'!$N$3:$N$1164) = VALUE($B$9))) *
            (IF($B$10="الكل",1, MONTH('ادخال البيانات'!$N$3:$N$1164) = VALUE($B$10))) *
            (IF($B$11="الكل",1, INT((DAY('ادخال البيانات'!$N$3:$N$1164) - 1) / 7) + 1 = VALUE($B$11))),
            Table8[ملاحظة]
         ),
         ""
      ),
      IF(_xlpm.result="", "", _xlpm.result)
   )
)</f>
        <v/>
      </c>
      <c r="S686" s="46" t="str">
        <f t="shared" ca="1" si="11"/>
        <v/>
      </c>
    </row>
    <row r="687" spans="1:19" ht="15.6" thickTop="1" thickBot="1" x14ac:dyDescent="0.35">
      <c r="A687" s="39"/>
      <c r="B687" s="27" t="str" cm="1">
        <f t="array" ref="B687">IF(
   OR(A687="", $B$9="", $B$10="", $B$11=""),
   "",
   _xlfn.LET(
      _xlpm.result,
      IFERROR(
         _xlfn.XLOOKUP(
            1,
            (Table8[رقم الصنف]=A687)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7" s="27" t="str" cm="1">
        <f t="array" ref="C687">IF(
   A687="",
   "",
   _xlfn.LET(
      _xlpm.result,
      IFERROR(
         _xlfn.XLOOKUP(
            1,
            (Table8[رقم الصنف]=A687) *
            (IF($B$9="الكل",1, YEAR('ادخال البيانات'!$N$3:$N$1164) = VALUE($B$9))) *
            (IF($B$10="الكل",1, MONTH('ادخال البيانات'!$N$3:$N$1164) = VALUE($B$10))) *
            (IF($B$11="الكل",1, INT((DAY('ادخال البيانات'!$N$3:$N$1164)-1)/7)+1 = VALUE($B$11))),
            'ادخال البيانات'!$C$3:$C$1164
         ),
         ""
      ),
      IF(_xlpm.result="", "", _xlpm.result)
   )
)</f>
        <v/>
      </c>
      <c r="D687" s="27" t="str" cm="1">
        <f t="array" ref="D687">IF(
   OR(A687="", $B$9="", $B$10="", $B$11=""),
   "",
   _xlfn.LET(
      _xlpm.result,
      IFERROR(
         _xlfn.XLOOKUP(
            1,
            (Table8[رقم الصنف]=A687) *
            (IF($B$9="الكل",1, YEAR('ادخال البيانات'!$N$3:$N$1164)=VALUE($B$9))) *
            (IF($B$10="الكل",1, MONTH('ادخال البيانات'!$N$3:$N$1164)=VALUE($B$10))) *
            (IF($B$11="الكل",1, INT((DAY('ادخال البيانات'!$N$3:$N$1164)-1)/7)+1 = VALUE($B$11))),
            'ادخال البيانات'!$D$3:$D$1164
         ),
         ""
      ),
      IF(_xlpm.result="", "", _xlpm.result)
   )
)</f>
        <v/>
      </c>
      <c r="E687" s="27" t="str" cm="1">
        <f t="array" ref="E687">IF(
   A687="",
   "",
   _xlfn.LET(
      _xlpm.result,
      IFERROR(
         _xlfn.XLOOKUP(
            1,
            (Table8[رقم الصنف]=A687) *
            (IF($B$9="الكل",1, YEAR('ادخال البيانات'!$N$3:$N$1164)=VALUE($B$9))) *
            (IF($B$10="الكل",1, MONTH('ادخال البيانات'!$N$3:$N$1164)=VALUE($B$10))) *
            (IF($B$11="الكل",1, INT((DAY('ادخال البيانات'!$N$3:$N$1164)-1)/7)+1 = VALUE($B$11))),
            'ادخال البيانات'!$E$3:$E$1164
         ),
         ""
      ),
      IF(_xlpm.result="", "", _xlpm.result)
   )
)</f>
        <v/>
      </c>
      <c r="F687" s="27" t="str" cm="1">
        <f t="array" ref="F687">IF(
   A687="",
   "",
   _xlfn.LET(
      _xlpm.result,
      IFERROR(
         _xlfn.XLOOKUP(
            1,
            (Table8[رقم الصنف]=A687) *
            (IF($B$9="الكل",1, YEAR('ادخال البيانات'!$N$3:$N$1164) = VALUE($B$9))) *
            (IF($B$10="الكل",1, MONTH('ادخال البيانات'!$N$3:$N$1164) = VALUE($B$10))) *
            (IF($B$11="الكل",1, INT((DAY('ادخال البيانات'!$N$3:$N$1164)-1)/7)+1 = VALUE($B$11))),
            'ادخال البيانات'!$F$3:$F$1164
         ),
         ""
      ),
      IF(_xlpm.result="", "", _xlpm.result)
   )
)</f>
        <v/>
      </c>
      <c r="G687" s="27" t="str" cm="1">
        <f t="array" ref="G687">IF(
   A687="",
   "",
   _xlfn.LET(
      _xlpm.result,
      IFERROR(
         _xlfn.XLOOKUP(
            1,
            (Table8[رقم الصنف]=A687) *
            (IF($B$9="الكل",1, YEAR('ادخال البيانات'!$N$3:$N$1164)=VALUE($B$9))) *
            (IF($B$10="الكل",1, MONTH('ادخال البيانات'!$N$3:$N$1164)=VALUE($B$10))) *
            (IF($B$11="الكل",1, INT((DAY('ادخال البيانات'!$N$3:$N$1164)-1)/7)+1 = VALUE($B$11))),
            'ادخال البيانات'!$G$3:$G$1164
         ),
         ""
      ),
      IF(_xlpm.result="", "", _xlpm.result)
   )
)</f>
        <v/>
      </c>
      <c r="H687" s="27" t="str" cm="1">
        <f t="array" ref="H687">IF(
   A687="",
   "",
   _xlfn.LET(
      _xlpm.result,
      IFERROR(
         _xlfn.XLOOKUP(
            1,
            (Table8[رقم الصنف]=A687) *
            (IF($B$9="الكل",1, YEAR('ادخال البيانات'!$N$3:$N$1164)=VALUE($B$9))) *
            (IF($B$10="الكل",1, MONTH('ادخال البيانات'!$N$3:$N$1164)=VALUE($B$10))) *
            (IF($B$11="الكل",1, INT((DAY('ادخال البيانات'!$N$3:$N$1164)-1)/7)+1 = VALUE($B$11))),
            'ادخال البيانات'!$H$3:$H$1164
         ),
         ""
      ),
      IF(_xlpm.result="", "", _xlpm.result)
   )
)</f>
        <v/>
      </c>
      <c r="I687" s="27" t="str" cm="1">
        <f t="array" ref="I687">IF(
   A687="",
   "",
   _xlfn.LET(
      _xlpm.result,
      IFERROR(
         _xlfn.XLOOKUP(
            1,
            (Table8[رقم الصنف]=A687) *
            (IF($B$9="الكل",1, YEAR('ادخال البيانات'!$N$3:$N$1164)=VALUE($B$9))) *
            (IF($B$10="الكل",1, MONTH('ادخال البيانات'!$N$3:$N$1164)=VALUE($B$10))) *
            (IF($B$11="الكل",1, INT((DAY('ادخال البيانات'!$N$3:$N$1164)-1)/7)+1 = VALUE($B$11))),
            'ادخال البيانات'!$I$3:$I$1164
         ),
         ""
      ),
      IF(_xlpm.result="", "", _xlpm.result)
   )
)</f>
        <v/>
      </c>
      <c r="J687" s="27" t="str" cm="1">
        <f t="array" ref="J687">IF(
   A687="",
   "",
   _xlfn.LET(
      _xlpm.result,
      IFERROR(
         _xlfn.XLOOKUP(
            1,
            (Table8[رقم الصنف]=A687) *
            (IF($B$9="الكل",1, YEAR('ادخال البيانات'!$N$3:$N$1164)=VALUE($B$9))) *
            (IF($B$10="الكل",1, MONTH('ادخال البيانات'!$N$3:$N$1164)=VALUE($B$10))) *
            (IF($B$11="الكل",1, INT((DAY('ادخال البيانات'!$N$3:$N$1164)-1)/7)+1 = VALUE($B$11))),
            'ادخال البيانات'!$J$3:$J$1164
         ),
         ""
      ),
      IF(_xlpm.result="", "", _xlpm.result)
   )
)</f>
        <v/>
      </c>
      <c r="K687" s="27" t="str" cm="1">
        <f t="array" ref="K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7" s="27" t="str" cm="1">
        <f t="array" ref="L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7" s="27" t="str" cm="1">
        <f t="array" ref="M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7" s="28" t="str" cm="1">
        <f t="array" ref="N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7" s="28" t="str" cm="1">
        <f t="array" ref="O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7" s="27" t="str" cm="1">
        <f t="array" ref="P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Table8[جهة العطل]
         ),
         ""
      ),
      IF(_xlpm.result="", "", _xlpm.result)
   )
)</f>
        <v/>
      </c>
      <c r="Q687" s="27" t="str" cm="1">
        <f t="array" ref="Q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Table8[المركز]
         ),
         ""
      ),
      IF(_xlpm.result="", "", _xlpm.result)
   )
)</f>
        <v/>
      </c>
      <c r="R687" s="27" t="str" cm="1">
        <f t="array" ref="R687">IF(
   A687="",
   "",
   _xlfn.LET(
      _xlpm.result,
      IFERROR(
         _xlfn.XLOOKUP(
            1,
            (Table8[رقم الصنف]=A687) *
            (IF($B$9="الكل",1, YEAR('ادخال البيانات'!$N$3:$N$1164) = VALUE($B$9))) *
            (IF($B$10="الكل",1, MONTH('ادخال البيانات'!$N$3:$N$1164) = VALUE($B$10))) *
            (IF($B$11="الكل",1, INT((DAY('ادخال البيانات'!$N$3:$N$1164) - 1) / 7) + 1 = VALUE($B$11))),
            Table8[ملاحظة]
         ),
         ""
      ),
      IF(_xlpm.result="", "", _xlpm.result)
   )
)</f>
        <v/>
      </c>
      <c r="S687" s="46" t="str">
        <f t="shared" ca="1" si="11"/>
        <v/>
      </c>
    </row>
    <row r="688" spans="1:19" ht="15.6" thickTop="1" thickBot="1" x14ac:dyDescent="0.35">
      <c r="A688" s="39"/>
      <c r="B688" s="27" t="str" cm="1">
        <f t="array" ref="B688">IF(
   OR(A688="", $B$9="", $B$10="", $B$11=""),
   "",
   _xlfn.LET(
      _xlpm.result,
      IFERROR(
         _xlfn.XLOOKUP(
            1,
            (Table8[رقم الصنف]=A688)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8" s="27" t="str" cm="1">
        <f t="array" ref="C688">IF(
   A688="",
   "",
   _xlfn.LET(
      _xlpm.result,
      IFERROR(
         _xlfn.XLOOKUP(
            1,
            (Table8[رقم الصنف]=A688) *
            (IF($B$9="الكل",1, YEAR('ادخال البيانات'!$N$3:$N$1164) = VALUE($B$9))) *
            (IF($B$10="الكل",1, MONTH('ادخال البيانات'!$N$3:$N$1164) = VALUE($B$10))) *
            (IF($B$11="الكل",1, INT((DAY('ادخال البيانات'!$N$3:$N$1164)-1)/7)+1 = VALUE($B$11))),
            'ادخال البيانات'!$C$3:$C$1164
         ),
         ""
      ),
      IF(_xlpm.result="", "", _xlpm.result)
   )
)</f>
        <v/>
      </c>
      <c r="D688" s="27" t="str" cm="1">
        <f t="array" ref="D688">IF(
   OR(A688="", $B$9="", $B$10="", $B$11=""),
   "",
   _xlfn.LET(
      _xlpm.result,
      IFERROR(
         _xlfn.XLOOKUP(
            1,
            (Table8[رقم الصنف]=A688) *
            (IF($B$9="الكل",1, YEAR('ادخال البيانات'!$N$3:$N$1164)=VALUE($B$9))) *
            (IF($B$10="الكل",1, MONTH('ادخال البيانات'!$N$3:$N$1164)=VALUE($B$10))) *
            (IF($B$11="الكل",1, INT((DAY('ادخال البيانات'!$N$3:$N$1164)-1)/7)+1 = VALUE($B$11))),
            'ادخال البيانات'!$D$3:$D$1164
         ),
         ""
      ),
      IF(_xlpm.result="", "", _xlpm.result)
   )
)</f>
        <v/>
      </c>
      <c r="E688" s="27" t="str" cm="1">
        <f t="array" ref="E688">IF(
   A688="",
   "",
   _xlfn.LET(
      _xlpm.result,
      IFERROR(
         _xlfn.XLOOKUP(
            1,
            (Table8[رقم الصنف]=A688) *
            (IF($B$9="الكل",1, YEAR('ادخال البيانات'!$N$3:$N$1164)=VALUE($B$9))) *
            (IF($B$10="الكل",1, MONTH('ادخال البيانات'!$N$3:$N$1164)=VALUE($B$10))) *
            (IF($B$11="الكل",1, INT((DAY('ادخال البيانات'!$N$3:$N$1164)-1)/7)+1 = VALUE($B$11))),
            'ادخال البيانات'!$E$3:$E$1164
         ),
         ""
      ),
      IF(_xlpm.result="", "", _xlpm.result)
   )
)</f>
        <v/>
      </c>
      <c r="F688" s="27" t="str" cm="1">
        <f t="array" ref="F688">IF(
   A688="",
   "",
   _xlfn.LET(
      _xlpm.result,
      IFERROR(
         _xlfn.XLOOKUP(
            1,
            (Table8[رقم الصنف]=A688) *
            (IF($B$9="الكل",1, YEAR('ادخال البيانات'!$N$3:$N$1164) = VALUE($B$9))) *
            (IF($B$10="الكل",1, MONTH('ادخال البيانات'!$N$3:$N$1164) = VALUE($B$10))) *
            (IF($B$11="الكل",1, INT((DAY('ادخال البيانات'!$N$3:$N$1164)-1)/7)+1 = VALUE($B$11))),
            'ادخال البيانات'!$F$3:$F$1164
         ),
         ""
      ),
      IF(_xlpm.result="", "", _xlpm.result)
   )
)</f>
        <v/>
      </c>
      <c r="G688" s="27" t="str" cm="1">
        <f t="array" ref="G688">IF(
   A688="",
   "",
   _xlfn.LET(
      _xlpm.result,
      IFERROR(
         _xlfn.XLOOKUP(
            1,
            (Table8[رقم الصنف]=A688) *
            (IF($B$9="الكل",1, YEAR('ادخال البيانات'!$N$3:$N$1164)=VALUE($B$9))) *
            (IF($B$10="الكل",1, MONTH('ادخال البيانات'!$N$3:$N$1164)=VALUE($B$10))) *
            (IF($B$11="الكل",1, INT((DAY('ادخال البيانات'!$N$3:$N$1164)-1)/7)+1 = VALUE($B$11))),
            'ادخال البيانات'!$G$3:$G$1164
         ),
         ""
      ),
      IF(_xlpm.result="", "", _xlpm.result)
   )
)</f>
        <v/>
      </c>
      <c r="H688" s="27" t="str" cm="1">
        <f t="array" ref="H688">IF(
   A688="",
   "",
   _xlfn.LET(
      _xlpm.result,
      IFERROR(
         _xlfn.XLOOKUP(
            1,
            (Table8[رقم الصنف]=A688) *
            (IF($B$9="الكل",1, YEAR('ادخال البيانات'!$N$3:$N$1164)=VALUE($B$9))) *
            (IF($B$10="الكل",1, MONTH('ادخال البيانات'!$N$3:$N$1164)=VALUE($B$10))) *
            (IF($B$11="الكل",1, INT((DAY('ادخال البيانات'!$N$3:$N$1164)-1)/7)+1 = VALUE($B$11))),
            'ادخال البيانات'!$H$3:$H$1164
         ),
         ""
      ),
      IF(_xlpm.result="", "", _xlpm.result)
   )
)</f>
        <v/>
      </c>
      <c r="I688" s="27" t="str" cm="1">
        <f t="array" ref="I688">IF(
   A688="",
   "",
   _xlfn.LET(
      _xlpm.result,
      IFERROR(
         _xlfn.XLOOKUP(
            1,
            (Table8[رقم الصنف]=A688) *
            (IF($B$9="الكل",1, YEAR('ادخال البيانات'!$N$3:$N$1164)=VALUE($B$9))) *
            (IF($B$10="الكل",1, MONTH('ادخال البيانات'!$N$3:$N$1164)=VALUE($B$10))) *
            (IF($B$11="الكل",1, INT((DAY('ادخال البيانات'!$N$3:$N$1164)-1)/7)+1 = VALUE($B$11))),
            'ادخال البيانات'!$I$3:$I$1164
         ),
         ""
      ),
      IF(_xlpm.result="", "", _xlpm.result)
   )
)</f>
        <v/>
      </c>
      <c r="J688" s="27" t="str" cm="1">
        <f t="array" ref="J688">IF(
   A688="",
   "",
   _xlfn.LET(
      _xlpm.result,
      IFERROR(
         _xlfn.XLOOKUP(
            1,
            (Table8[رقم الصنف]=A688) *
            (IF($B$9="الكل",1, YEAR('ادخال البيانات'!$N$3:$N$1164)=VALUE($B$9))) *
            (IF($B$10="الكل",1, MONTH('ادخال البيانات'!$N$3:$N$1164)=VALUE($B$10))) *
            (IF($B$11="الكل",1, INT((DAY('ادخال البيانات'!$N$3:$N$1164)-1)/7)+1 = VALUE($B$11))),
            'ادخال البيانات'!$J$3:$J$1164
         ),
         ""
      ),
      IF(_xlpm.result="", "", _xlpm.result)
   )
)</f>
        <v/>
      </c>
      <c r="K688" s="27" t="str" cm="1">
        <f t="array" ref="K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8" s="27" t="str" cm="1">
        <f t="array" ref="L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8" s="27" t="str" cm="1">
        <f t="array" ref="M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8" s="28" t="str" cm="1">
        <f t="array" ref="N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8" s="28" t="str" cm="1">
        <f t="array" ref="O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8" s="27" t="str" cm="1">
        <f t="array" ref="P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Table8[جهة العطل]
         ),
         ""
      ),
      IF(_xlpm.result="", "", _xlpm.result)
   )
)</f>
        <v/>
      </c>
      <c r="Q688" s="27" t="str" cm="1">
        <f t="array" ref="Q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Table8[المركز]
         ),
         ""
      ),
      IF(_xlpm.result="", "", _xlpm.result)
   )
)</f>
        <v/>
      </c>
      <c r="R688" s="27" t="str" cm="1">
        <f t="array" ref="R688">IF(
   A688="",
   "",
   _xlfn.LET(
      _xlpm.result,
      IFERROR(
         _xlfn.XLOOKUP(
            1,
            (Table8[رقم الصنف]=A688) *
            (IF($B$9="الكل",1, YEAR('ادخال البيانات'!$N$3:$N$1164) = VALUE($B$9))) *
            (IF($B$10="الكل",1, MONTH('ادخال البيانات'!$N$3:$N$1164) = VALUE($B$10))) *
            (IF($B$11="الكل",1, INT((DAY('ادخال البيانات'!$N$3:$N$1164) - 1) / 7) + 1 = VALUE($B$11))),
            Table8[ملاحظة]
         ),
         ""
      ),
      IF(_xlpm.result="", "", _xlpm.result)
   )
)</f>
        <v/>
      </c>
      <c r="S688" s="46" t="str">
        <f t="shared" ca="1" si="11"/>
        <v/>
      </c>
    </row>
    <row r="689" spans="1:19" ht="15.6" thickTop="1" thickBot="1" x14ac:dyDescent="0.35">
      <c r="A689" s="39"/>
      <c r="B689" s="27" t="str" cm="1">
        <f t="array" ref="B689">IF(
   OR(A689="", $B$9="", $B$10="", $B$11=""),
   "",
   _xlfn.LET(
      _xlpm.result,
      IFERROR(
         _xlfn.XLOOKUP(
            1,
            (Table8[رقم الصنف]=A689)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89" s="27" t="str" cm="1">
        <f t="array" ref="C689">IF(
   A689="",
   "",
   _xlfn.LET(
      _xlpm.result,
      IFERROR(
         _xlfn.XLOOKUP(
            1,
            (Table8[رقم الصنف]=A689) *
            (IF($B$9="الكل",1, YEAR('ادخال البيانات'!$N$3:$N$1164) = VALUE($B$9))) *
            (IF($B$10="الكل",1, MONTH('ادخال البيانات'!$N$3:$N$1164) = VALUE($B$10))) *
            (IF($B$11="الكل",1, INT((DAY('ادخال البيانات'!$N$3:$N$1164)-1)/7)+1 = VALUE($B$11))),
            'ادخال البيانات'!$C$3:$C$1164
         ),
         ""
      ),
      IF(_xlpm.result="", "", _xlpm.result)
   )
)</f>
        <v/>
      </c>
      <c r="D689" s="27" t="str" cm="1">
        <f t="array" ref="D689">IF(
   OR(A689="", $B$9="", $B$10="", $B$11=""),
   "",
   _xlfn.LET(
      _xlpm.result,
      IFERROR(
         _xlfn.XLOOKUP(
            1,
            (Table8[رقم الصنف]=A689) *
            (IF($B$9="الكل",1, YEAR('ادخال البيانات'!$N$3:$N$1164)=VALUE($B$9))) *
            (IF($B$10="الكل",1, MONTH('ادخال البيانات'!$N$3:$N$1164)=VALUE($B$10))) *
            (IF($B$11="الكل",1, INT((DAY('ادخال البيانات'!$N$3:$N$1164)-1)/7)+1 = VALUE($B$11))),
            'ادخال البيانات'!$D$3:$D$1164
         ),
         ""
      ),
      IF(_xlpm.result="", "", _xlpm.result)
   )
)</f>
        <v/>
      </c>
      <c r="E689" s="27" t="str" cm="1">
        <f t="array" ref="E689">IF(
   A689="",
   "",
   _xlfn.LET(
      _xlpm.result,
      IFERROR(
         _xlfn.XLOOKUP(
            1,
            (Table8[رقم الصنف]=A689) *
            (IF($B$9="الكل",1, YEAR('ادخال البيانات'!$N$3:$N$1164)=VALUE($B$9))) *
            (IF($B$10="الكل",1, MONTH('ادخال البيانات'!$N$3:$N$1164)=VALUE($B$10))) *
            (IF($B$11="الكل",1, INT((DAY('ادخال البيانات'!$N$3:$N$1164)-1)/7)+1 = VALUE($B$11))),
            'ادخال البيانات'!$E$3:$E$1164
         ),
         ""
      ),
      IF(_xlpm.result="", "", _xlpm.result)
   )
)</f>
        <v/>
      </c>
      <c r="F689" s="27" t="str" cm="1">
        <f t="array" ref="F689">IF(
   A689="",
   "",
   _xlfn.LET(
      _xlpm.result,
      IFERROR(
         _xlfn.XLOOKUP(
            1,
            (Table8[رقم الصنف]=A689) *
            (IF($B$9="الكل",1, YEAR('ادخال البيانات'!$N$3:$N$1164) = VALUE($B$9))) *
            (IF($B$10="الكل",1, MONTH('ادخال البيانات'!$N$3:$N$1164) = VALUE($B$10))) *
            (IF($B$11="الكل",1, INT((DAY('ادخال البيانات'!$N$3:$N$1164)-1)/7)+1 = VALUE($B$11))),
            'ادخال البيانات'!$F$3:$F$1164
         ),
         ""
      ),
      IF(_xlpm.result="", "", _xlpm.result)
   )
)</f>
        <v/>
      </c>
      <c r="G689" s="27" t="str" cm="1">
        <f t="array" ref="G689">IF(
   A689="",
   "",
   _xlfn.LET(
      _xlpm.result,
      IFERROR(
         _xlfn.XLOOKUP(
            1,
            (Table8[رقم الصنف]=A689) *
            (IF($B$9="الكل",1, YEAR('ادخال البيانات'!$N$3:$N$1164)=VALUE($B$9))) *
            (IF($B$10="الكل",1, MONTH('ادخال البيانات'!$N$3:$N$1164)=VALUE($B$10))) *
            (IF($B$11="الكل",1, INT((DAY('ادخال البيانات'!$N$3:$N$1164)-1)/7)+1 = VALUE($B$11))),
            'ادخال البيانات'!$G$3:$G$1164
         ),
         ""
      ),
      IF(_xlpm.result="", "", _xlpm.result)
   )
)</f>
        <v/>
      </c>
      <c r="H689" s="27" t="str" cm="1">
        <f t="array" ref="H689">IF(
   A689="",
   "",
   _xlfn.LET(
      _xlpm.result,
      IFERROR(
         _xlfn.XLOOKUP(
            1,
            (Table8[رقم الصنف]=A689) *
            (IF($B$9="الكل",1, YEAR('ادخال البيانات'!$N$3:$N$1164)=VALUE($B$9))) *
            (IF($B$10="الكل",1, MONTH('ادخال البيانات'!$N$3:$N$1164)=VALUE($B$10))) *
            (IF($B$11="الكل",1, INT((DAY('ادخال البيانات'!$N$3:$N$1164)-1)/7)+1 = VALUE($B$11))),
            'ادخال البيانات'!$H$3:$H$1164
         ),
         ""
      ),
      IF(_xlpm.result="", "", _xlpm.result)
   )
)</f>
        <v/>
      </c>
      <c r="I689" s="27" t="str" cm="1">
        <f t="array" ref="I689">IF(
   A689="",
   "",
   _xlfn.LET(
      _xlpm.result,
      IFERROR(
         _xlfn.XLOOKUP(
            1,
            (Table8[رقم الصنف]=A689) *
            (IF($B$9="الكل",1, YEAR('ادخال البيانات'!$N$3:$N$1164)=VALUE($B$9))) *
            (IF($B$10="الكل",1, MONTH('ادخال البيانات'!$N$3:$N$1164)=VALUE($B$10))) *
            (IF($B$11="الكل",1, INT((DAY('ادخال البيانات'!$N$3:$N$1164)-1)/7)+1 = VALUE($B$11))),
            'ادخال البيانات'!$I$3:$I$1164
         ),
         ""
      ),
      IF(_xlpm.result="", "", _xlpm.result)
   )
)</f>
        <v/>
      </c>
      <c r="J689" s="27" t="str" cm="1">
        <f t="array" ref="J689">IF(
   A689="",
   "",
   _xlfn.LET(
      _xlpm.result,
      IFERROR(
         _xlfn.XLOOKUP(
            1,
            (Table8[رقم الصنف]=A689) *
            (IF($B$9="الكل",1, YEAR('ادخال البيانات'!$N$3:$N$1164)=VALUE($B$9))) *
            (IF($B$10="الكل",1, MONTH('ادخال البيانات'!$N$3:$N$1164)=VALUE($B$10))) *
            (IF($B$11="الكل",1, INT((DAY('ادخال البيانات'!$N$3:$N$1164)-1)/7)+1 = VALUE($B$11))),
            'ادخال البيانات'!$J$3:$J$1164
         ),
         ""
      ),
      IF(_xlpm.result="", "", _xlpm.result)
   )
)</f>
        <v/>
      </c>
      <c r="K689" s="27" t="str" cm="1">
        <f t="array" ref="K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89" s="27" t="str" cm="1">
        <f t="array" ref="L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89" s="27" t="str" cm="1">
        <f t="array" ref="M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89" s="28" t="str" cm="1">
        <f t="array" ref="N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89" s="28" t="str" cm="1">
        <f t="array" ref="O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89" s="27" t="str" cm="1">
        <f t="array" ref="P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Table8[جهة العطل]
         ),
         ""
      ),
      IF(_xlpm.result="", "", _xlpm.result)
   )
)</f>
        <v/>
      </c>
      <c r="Q689" s="27" t="str" cm="1">
        <f t="array" ref="Q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Table8[المركز]
         ),
         ""
      ),
      IF(_xlpm.result="", "", _xlpm.result)
   )
)</f>
        <v/>
      </c>
      <c r="R689" s="27" t="str" cm="1">
        <f t="array" ref="R689">IF(
   A689="",
   "",
   _xlfn.LET(
      _xlpm.result,
      IFERROR(
         _xlfn.XLOOKUP(
            1,
            (Table8[رقم الصنف]=A689) *
            (IF($B$9="الكل",1, YEAR('ادخال البيانات'!$N$3:$N$1164) = VALUE($B$9))) *
            (IF($B$10="الكل",1, MONTH('ادخال البيانات'!$N$3:$N$1164) = VALUE($B$10))) *
            (IF($B$11="الكل",1, INT((DAY('ادخال البيانات'!$N$3:$N$1164) - 1) / 7) + 1 = VALUE($B$11))),
            Table8[ملاحظة]
         ),
         ""
      ),
      IF(_xlpm.result="", "", _xlpm.result)
   )
)</f>
        <v/>
      </c>
      <c r="S689" s="46" t="str">
        <f t="shared" ca="1" si="11"/>
        <v/>
      </c>
    </row>
    <row r="690" spans="1:19" ht="15.6" thickTop="1" thickBot="1" x14ac:dyDescent="0.35">
      <c r="A690" s="39"/>
      <c r="B690" s="27" t="str" cm="1">
        <f t="array" ref="B690">IF(
   OR(A690="", $B$9="", $B$10="", $B$11=""),
   "",
   _xlfn.LET(
      _xlpm.result,
      IFERROR(
         _xlfn.XLOOKUP(
            1,
            (Table8[رقم الصنف]=A690)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0" s="27" t="str" cm="1">
        <f t="array" ref="C690">IF(
   A690="",
   "",
   _xlfn.LET(
      _xlpm.result,
      IFERROR(
         _xlfn.XLOOKUP(
            1,
            (Table8[رقم الصنف]=A690) *
            (IF($B$9="الكل",1, YEAR('ادخال البيانات'!$N$3:$N$1164) = VALUE($B$9))) *
            (IF($B$10="الكل",1, MONTH('ادخال البيانات'!$N$3:$N$1164) = VALUE($B$10))) *
            (IF($B$11="الكل",1, INT((DAY('ادخال البيانات'!$N$3:$N$1164)-1)/7)+1 = VALUE($B$11))),
            'ادخال البيانات'!$C$3:$C$1164
         ),
         ""
      ),
      IF(_xlpm.result="", "", _xlpm.result)
   )
)</f>
        <v/>
      </c>
      <c r="D690" s="27" t="str" cm="1">
        <f t="array" ref="D690">IF(
   OR(A690="", $B$9="", $B$10="", $B$11=""),
   "",
   _xlfn.LET(
      _xlpm.result,
      IFERROR(
         _xlfn.XLOOKUP(
            1,
            (Table8[رقم الصنف]=A690) *
            (IF($B$9="الكل",1, YEAR('ادخال البيانات'!$N$3:$N$1164)=VALUE($B$9))) *
            (IF($B$10="الكل",1, MONTH('ادخال البيانات'!$N$3:$N$1164)=VALUE($B$10))) *
            (IF($B$11="الكل",1, INT((DAY('ادخال البيانات'!$N$3:$N$1164)-1)/7)+1 = VALUE($B$11))),
            'ادخال البيانات'!$D$3:$D$1164
         ),
         ""
      ),
      IF(_xlpm.result="", "", _xlpm.result)
   )
)</f>
        <v/>
      </c>
      <c r="E690" s="27" t="str" cm="1">
        <f t="array" ref="E690">IF(
   A690="",
   "",
   _xlfn.LET(
      _xlpm.result,
      IFERROR(
         _xlfn.XLOOKUP(
            1,
            (Table8[رقم الصنف]=A690) *
            (IF($B$9="الكل",1, YEAR('ادخال البيانات'!$N$3:$N$1164)=VALUE($B$9))) *
            (IF($B$10="الكل",1, MONTH('ادخال البيانات'!$N$3:$N$1164)=VALUE($B$10))) *
            (IF($B$11="الكل",1, INT((DAY('ادخال البيانات'!$N$3:$N$1164)-1)/7)+1 = VALUE($B$11))),
            'ادخال البيانات'!$E$3:$E$1164
         ),
         ""
      ),
      IF(_xlpm.result="", "", _xlpm.result)
   )
)</f>
        <v/>
      </c>
      <c r="F690" s="27" t="str" cm="1">
        <f t="array" ref="F690">IF(
   A690="",
   "",
   _xlfn.LET(
      _xlpm.result,
      IFERROR(
         _xlfn.XLOOKUP(
            1,
            (Table8[رقم الصنف]=A690) *
            (IF($B$9="الكل",1, YEAR('ادخال البيانات'!$N$3:$N$1164) = VALUE($B$9))) *
            (IF($B$10="الكل",1, MONTH('ادخال البيانات'!$N$3:$N$1164) = VALUE($B$10))) *
            (IF($B$11="الكل",1, INT((DAY('ادخال البيانات'!$N$3:$N$1164)-1)/7)+1 = VALUE($B$11))),
            'ادخال البيانات'!$F$3:$F$1164
         ),
         ""
      ),
      IF(_xlpm.result="", "", _xlpm.result)
   )
)</f>
        <v/>
      </c>
      <c r="G690" s="27" t="str" cm="1">
        <f t="array" ref="G690">IF(
   A690="",
   "",
   _xlfn.LET(
      _xlpm.result,
      IFERROR(
         _xlfn.XLOOKUP(
            1,
            (Table8[رقم الصنف]=A690) *
            (IF($B$9="الكل",1, YEAR('ادخال البيانات'!$N$3:$N$1164)=VALUE($B$9))) *
            (IF($B$10="الكل",1, MONTH('ادخال البيانات'!$N$3:$N$1164)=VALUE($B$10))) *
            (IF($B$11="الكل",1, INT((DAY('ادخال البيانات'!$N$3:$N$1164)-1)/7)+1 = VALUE($B$11))),
            'ادخال البيانات'!$G$3:$G$1164
         ),
         ""
      ),
      IF(_xlpm.result="", "", _xlpm.result)
   )
)</f>
        <v/>
      </c>
      <c r="H690" s="27" t="str" cm="1">
        <f t="array" ref="H690">IF(
   A690="",
   "",
   _xlfn.LET(
      _xlpm.result,
      IFERROR(
         _xlfn.XLOOKUP(
            1,
            (Table8[رقم الصنف]=A690) *
            (IF($B$9="الكل",1, YEAR('ادخال البيانات'!$N$3:$N$1164)=VALUE($B$9))) *
            (IF($B$10="الكل",1, MONTH('ادخال البيانات'!$N$3:$N$1164)=VALUE($B$10))) *
            (IF($B$11="الكل",1, INT((DAY('ادخال البيانات'!$N$3:$N$1164)-1)/7)+1 = VALUE($B$11))),
            'ادخال البيانات'!$H$3:$H$1164
         ),
         ""
      ),
      IF(_xlpm.result="", "", _xlpm.result)
   )
)</f>
        <v/>
      </c>
      <c r="I690" s="27" t="str" cm="1">
        <f t="array" ref="I690">IF(
   A690="",
   "",
   _xlfn.LET(
      _xlpm.result,
      IFERROR(
         _xlfn.XLOOKUP(
            1,
            (Table8[رقم الصنف]=A690) *
            (IF($B$9="الكل",1, YEAR('ادخال البيانات'!$N$3:$N$1164)=VALUE($B$9))) *
            (IF($B$10="الكل",1, MONTH('ادخال البيانات'!$N$3:$N$1164)=VALUE($B$10))) *
            (IF($B$11="الكل",1, INT((DAY('ادخال البيانات'!$N$3:$N$1164)-1)/7)+1 = VALUE($B$11))),
            'ادخال البيانات'!$I$3:$I$1164
         ),
         ""
      ),
      IF(_xlpm.result="", "", _xlpm.result)
   )
)</f>
        <v/>
      </c>
      <c r="J690" s="27" t="str" cm="1">
        <f t="array" ref="J690">IF(
   A690="",
   "",
   _xlfn.LET(
      _xlpm.result,
      IFERROR(
         _xlfn.XLOOKUP(
            1,
            (Table8[رقم الصنف]=A690) *
            (IF($B$9="الكل",1, YEAR('ادخال البيانات'!$N$3:$N$1164)=VALUE($B$9))) *
            (IF($B$10="الكل",1, MONTH('ادخال البيانات'!$N$3:$N$1164)=VALUE($B$10))) *
            (IF($B$11="الكل",1, INT((DAY('ادخال البيانات'!$N$3:$N$1164)-1)/7)+1 = VALUE($B$11))),
            'ادخال البيانات'!$J$3:$J$1164
         ),
         ""
      ),
      IF(_xlpm.result="", "", _xlpm.result)
   )
)</f>
        <v/>
      </c>
      <c r="K690" s="27" t="str" cm="1">
        <f t="array" ref="K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0" s="27" t="str" cm="1">
        <f t="array" ref="L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0" s="27" t="str" cm="1">
        <f t="array" ref="M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0" s="28" t="str" cm="1">
        <f t="array" ref="N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0" s="28" t="str" cm="1">
        <f t="array" ref="O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0" s="27" t="str" cm="1">
        <f t="array" ref="P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Table8[جهة العطل]
         ),
         ""
      ),
      IF(_xlpm.result="", "", _xlpm.result)
   )
)</f>
        <v/>
      </c>
      <c r="Q690" s="27" t="str" cm="1">
        <f t="array" ref="Q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Table8[المركز]
         ),
         ""
      ),
      IF(_xlpm.result="", "", _xlpm.result)
   )
)</f>
        <v/>
      </c>
      <c r="R690" s="27" t="str" cm="1">
        <f t="array" ref="R690">IF(
   A690="",
   "",
   _xlfn.LET(
      _xlpm.result,
      IFERROR(
         _xlfn.XLOOKUP(
            1,
            (Table8[رقم الصنف]=A690) *
            (IF($B$9="الكل",1, YEAR('ادخال البيانات'!$N$3:$N$1164) = VALUE($B$9))) *
            (IF($B$10="الكل",1, MONTH('ادخال البيانات'!$N$3:$N$1164) = VALUE($B$10))) *
            (IF($B$11="الكل",1, INT((DAY('ادخال البيانات'!$N$3:$N$1164) - 1) / 7) + 1 = VALUE($B$11))),
            Table8[ملاحظة]
         ),
         ""
      ),
      IF(_xlpm.result="", "", _xlpm.result)
   )
)</f>
        <v/>
      </c>
      <c r="S690" s="46" t="str">
        <f t="shared" ca="1" si="11"/>
        <v/>
      </c>
    </row>
    <row r="691" spans="1:19" ht="15.6" thickTop="1" thickBot="1" x14ac:dyDescent="0.35">
      <c r="A691" s="39"/>
      <c r="B691" s="27" t="str" cm="1">
        <f t="array" ref="B691">IF(
   OR(A691="", $B$9="", $B$10="", $B$11=""),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1" s="27" t="str" cm="1">
        <f t="array" ref="C691">IF(
   A691="",
   "",
   _xlfn.LET(
      _xlpm.result,
      IFERROR(
         _xlfn.XLOOKUP(
            1,
            (Table8[رقم الصنف]=A691) *
            (IF($B$9="الكل",1, YEAR('ادخال البيانات'!$N$3:$N$1164) = VALUE($B$9))) *
            (IF($B$10="الكل",1, MONTH('ادخال البيانات'!$N$3:$N$1164) = VALUE($B$10))) *
            (IF($B$11="الكل",1, INT((DAY('ادخال البيانات'!$N$3:$N$1164)-1)/7)+1 = VALUE($B$11))),
            'ادخال البيانات'!$C$3:$C$1164
         ),
         ""
      ),
      IF(_xlpm.result="", "", _xlpm.result)
   )
)</f>
        <v/>
      </c>
      <c r="D691" s="27" t="str" cm="1">
        <f t="array" ref="D691">IF(
   OR(A691="", $B$9="", $B$10="", $B$11=""),
   "",
   _xlfn.LET(
      _xlpm.result,
      IFERROR(
         _xlfn.XLOOKUP(
            1,
            (Table8[رقم الصنف]=A691) *
            (IF($B$9="الكل",1, YEAR('ادخال البيانات'!$N$3:$N$1164)=VALUE($B$9))) *
            (IF($B$10="الكل",1, MONTH('ادخال البيانات'!$N$3:$N$1164)=VALUE($B$10))) *
            (IF($B$11="الكل",1, INT((DAY('ادخال البيانات'!$N$3:$N$1164)-1)/7)+1 = VALUE($B$11))),
            'ادخال البيانات'!$D$3:$D$1164
         ),
         ""
      ),
      IF(_xlpm.result="", "", _xlpm.result)
   )
)</f>
        <v/>
      </c>
      <c r="E691" s="27" t="str" cm="1">
        <f t="array" ref="E691">IF(
   A691="",
   "",
   _xlfn.LET(
      _xlpm.result,
      IFERROR(
         _xlfn.XLOOKUP(
            1,
            (Table8[رقم الصنف]=A691) *
            (IF($B$9="الكل",1, YEAR('ادخال البيانات'!$N$3:$N$1164)=VALUE($B$9))) *
            (IF($B$10="الكل",1, MONTH('ادخال البيانات'!$N$3:$N$1164)=VALUE($B$10))) *
            (IF($B$11="الكل",1, INT((DAY('ادخال البيانات'!$N$3:$N$1164)-1)/7)+1 = VALUE($B$11))),
            'ادخال البيانات'!$E$3:$E$1164
         ),
         ""
      ),
      IF(_xlpm.result="", "", _xlpm.result)
   )
)</f>
        <v/>
      </c>
      <c r="F691" s="27" t="str" cm="1">
        <f t="array" ref="F691">IF(
   A691="",
   "",
   _xlfn.LET(
      _xlpm.result,
      IFERROR(
         _xlfn.XLOOKUP(
            1,
            (Table8[رقم الصنف]=A691) *
            (IF($B$9="الكل",1, YEAR('ادخال البيانات'!$N$3:$N$1164) = VALUE($B$9))) *
            (IF($B$10="الكل",1, MONTH('ادخال البيانات'!$N$3:$N$1164) = VALUE($B$10))) *
            (IF($B$11="الكل",1, INT((DAY('ادخال البيانات'!$N$3:$N$1164)-1)/7)+1 = VALUE($B$11))),
            'ادخال البيانات'!$F$3:$F$1164
         ),
         ""
      ),
      IF(_xlpm.result="", "", _xlpm.result)
   )
)</f>
        <v/>
      </c>
      <c r="G691" s="27" t="str" cm="1">
        <f t="array" ref="G691">IF(
   A691="",
   "",
   _xlfn.LET(
      _xlpm.result,
      IFERROR(
         _xlfn.XLOOKUP(
            1,
            (Table8[رقم الصنف]=A691) *
            (IF($B$9="الكل",1, YEAR('ادخال البيانات'!$N$3:$N$1164)=VALUE($B$9))) *
            (IF($B$10="الكل",1, MONTH('ادخال البيانات'!$N$3:$N$1164)=VALUE($B$10))) *
            (IF($B$11="الكل",1, INT((DAY('ادخال البيانات'!$N$3:$N$1164)-1)/7)+1 = VALUE($B$11))),
            'ادخال البيانات'!$G$3:$G$1164
         ),
         ""
      ),
      IF(_xlpm.result="", "", _xlpm.result)
   )
)</f>
        <v/>
      </c>
      <c r="H691" s="27" t="str" cm="1">
        <f t="array" ref="H691">IF(
   A691="",
   "",
   _xlfn.LET(
      _xlpm.result,
      IFERROR(
         _xlfn.XLOOKUP(
            1,
            (Table8[رقم الصنف]=A691) *
            (IF($B$9="الكل",1, YEAR('ادخال البيانات'!$N$3:$N$1164)=VALUE($B$9))) *
            (IF($B$10="الكل",1, MONTH('ادخال البيانات'!$N$3:$N$1164)=VALUE($B$10))) *
            (IF($B$11="الكل",1, INT((DAY('ادخال البيانات'!$N$3:$N$1164)-1)/7)+1 = VALUE($B$11))),
            'ادخال البيانات'!$H$3:$H$1164
         ),
         ""
      ),
      IF(_xlpm.result="", "", _xlpm.result)
   )
)</f>
        <v/>
      </c>
      <c r="I691" s="27" t="str" cm="1">
        <f t="array" ref="I691">IF(
   A691="",
   "",
   _xlfn.LET(
      _xlpm.result,
      IFERROR(
         _xlfn.XLOOKUP(
            1,
            (Table8[رقم الصنف]=A691) *
            (IF($B$9="الكل",1, YEAR('ادخال البيانات'!$N$3:$N$1164)=VALUE($B$9))) *
            (IF($B$10="الكل",1, MONTH('ادخال البيانات'!$N$3:$N$1164)=VALUE($B$10))) *
            (IF($B$11="الكل",1, INT((DAY('ادخال البيانات'!$N$3:$N$1164)-1)/7)+1 = VALUE($B$11))),
            'ادخال البيانات'!$I$3:$I$1164
         ),
         ""
      ),
      IF(_xlpm.result="", "", _xlpm.result)
   )
)</f>
        <v/>
      </c>
      <c r="J691" s="27" t="str" cm="1">
        <f t="array" ref="J691">IF(
   A691="",
   "",
   _xlfn.LET(
      _xlpm.result,
      IFERROR(
         _xlfn.XLOOKUP(
            1,
            (Table8[رقم الصنف]=A691) *
            (IF($B$9="الكل",1, YEAR('ادخال البيانات'!$N$3:$N$1164)=VALUE($B$9))) *
            (IF($B$10="الكل",1, MONTH('ادخال البيانات'!$N$3:$N$1164)=VALUE($B$10))) *
            (IF($B$11="الكل",1, INT((DAY('ادخال البيانات'!$N$3:$N$1164)-1)/7)+1 = VALUE($B$11))),
            'ادخال البيانات'!$J$3:$J$1164
         ),
         ""
      ),
      IF(_xlpm.result="", "", _xlpm.result)
   )
)</f>
        <v/>
      </c>
      <c r="K691" s="27" t="str" cm="1">
        <f t="array" ref="K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1" s="27" t="str" cm="1">
        <f t="array" ref="L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1" s="27" t="str" cm="1">
        <f t="array" ref="M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1" s="28" t="str" cm="1">
        <f t="array" ref="N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1" s="28" t="str" cm="1">
        <f t="array" ref="O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1" s="27" t="str" cm="1">
        <f t="array" ref="P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Table8[جهة العطل]
         ),
         ""
      ),
      IF(_xlpm.result="", "", _xlpm.result)
   )
)</f>
        <v/>
      </c>
      <c r="Q691" s="27" t="str" cm="1">
        <f t="array" ref="Q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Table8[المركز]
         ),
         ""
      ),
      IF(_xlpm.result="", "", _xlpm.result)
   )
)</f>
        <v/>
      </c>
      <c r="R691" s="27" t="str" cm="1">
        <f t="array" ref="R691">IF(
   A691="",
   "",
   _xlfn.LET(
      _xlpm.result,
      IFERROR(
         _xlfn.XLOOKUP(
            1,
            (Table8[رقم الصنف]=A691) *
            (IF($B$9="الكل",1, YEAR('ادخال البيانات'!$N$3:$N$1164) = VALUE($B$9))) *
            (IF($B$10="الكل",1, MONTH('ادخال البيانات'!$N$3:$N$1164) = VALUE($B$10))) *
            (IF($B$11="الكل",1, INT((DAY('ادخال البيانات'!$N$3:$N$1164) - 1) / 7) + 1 = VALUE($B$11))),
            Table8[ملاحظة]
         ),
         ""
      ),
      IF(_xlpm.result="", "", _xlpm.result)
   )
)</f>
        <v/>
      </c>
      <c r="S691" s="46" t="str">
        <f t="shared" ca="1" si="11"/>
        <v/>
      </c>
    </row>
    <row r="692" spans="1:19" ht="15.6" thickTop="1" thickBot="1" x14ac:dyDescent="0.35">
      <c r="A692" s="39"/>
      <c r="B692" s="27" t="str" cm="1">
        <f t="array" ref="B692">IF(
   OR(A692="", $B$9="", $B$10="", $B$11=""),
   "",
   _xlfn.LET(
      _xlpm.result,
      IFERROR(
         _xlfn.XLOOKUP(
            1,
            (Table8[رقم الصنف]=A692)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2" s="27" t="str" cm="1">
        <f t="array" ref="C692">IF(
   A692="",
   "",
   _xlfn.LET(
      _xlpm.result,
      IFERROR(
         _xlfn.XLOOKUP(
            1,
            (Table8[رقم الصنف]=A692) *
            (IF($B$9="الكل",1, YEAR('ادخال البيانات'!$N$3:$N$1164) = VALUE($B$9))) *
            (IF($B$10="الكل",1, MONTH('ادخال البيانات'!$N$3:$N$1164) = VALUE($B$10))) *
            (IF($B$11="الكل",1, INT((DAY('ادخال البيانات'!$N$3:$N$1164)-1)/7)+1 = VALUE($B$11))),
            'ادخال البيانات'!$C$3:$C$1164
         ),
         ""
      ),
      IF(_xlpm.result="", "", _xlpm.result)
   )
)</f>
        <v/>
      </c>
      <c r="D692" s="27" t="str" cm="1">
        <f t="array" ref="D692">IF(
   OR(A692="", $B$9="", $B$10="", $B$11=""),
   "",
   _xlfn.LET(
      _xlpm.result,
      IFERROR(
         _xlfn.XLOOKUP(
            1,
            (Table8[رقم الصنف]=A692) *
            (IF($B$9="الكل",1, YEAR('ادخال البيانات'!$N$3:$N$1164)=VALUE($B$9))) *
            (IF($B$10="الكل",1, MONTH('ادخال البيانات'!$N$3:$N$1164)=VALUE($B$10))) *
            (IF($B$11="الكل",1, INT((DAY('ادخال البيانات'!$N$3:$N$1164)-1)/7)+1 = VALUE($B$11))),
            'ادخال البيانات'!$D$3:$D$1164
         ),
         ""
      ),
      IF(_xlpm.result="", "", _xlpm.result)
   )
)</f>
        <v/>
      </c>
      <c r="E692" s="27" t="str" cm="1">
        <f t="array" ref="E692">IF(
   A692="",
   "",
   _xlfn.LET(
      _xlpm.result,
      IFERROR(
         _xlfn.XLOOKUP(
            1,
            (Table8[رقم الصنف]=A692) *
            (IF($B$9="الكل",1, YEAR('ادخال البيانات'!$N$3:$N$1164)=VALUE($B$9))) *
            (IF($B$10="الكل",1, MONTH('ادخال البيانات'!$N$3:$N$1164)=VALUE($B$10))) *
            (IF($B$11="الكل",1, INT((DAY('ادخال البيانات'!$N$3:$N$1164)-1)/7)+1 = VALUE($B$11))),
            'ادخال البيانات'!$E$3:$E$1164
         ),
         ""
      ),
      IF(_xlpm.result="", "", _xlpm.result)
   )
)</f>
        <v/>
      </c>
      <c r="F692" s="27" t="str" cm="1">
        <f t="array" ref="F692">IF(
   A692="",
   "",
   _xlfn.LET(
      _xlpm.result,
      IFERROR(
         _xlfn.XLOOKUP(
            1,
            (Table8[رقم الصنف]=A692) *
            (IF($B$9="الكل",1, YEAR('ادخال البيانات'!$N$3:$N$1164) = VALUE($B$9))) *
            (IF($B$10="الكل",1, MONTH('ادخال البيانات'!$N$3:$N$1164) = VALUE($B$10))) *
            (IF($B$11="الكل",1, INT((DAY('ادخال البيانات'!$N$3:$N$1164)-1)/7)+1 = VALUE($B$11))),
            'ادخال البيانات'!$F$3:$F$1164
         ),
         ""
      ),
      IF(_xlpm.result="", "", _xlpm.result)
   )
)</f>
        <v/>
      </c>
      <c r="G692" s="27" t="str" cm="1">
        <f t="array" ref="G692">IF(
   A692="",
   "",
   _xlfn.LET(
      _xlpm.result,
      IFERROR(
         _xlfn.XLOOKUP(
            1,
            (Table8[رقم الصنف]=A692) *
            (IF($B$9="الكل",1, YEAR('ادخال البيانات'!$N$3:$N$1164)=VALUE($B$9))) *
            (IF($B$10="الكل",1, MONTH('ادخال البيانات'!$N$3:$N$1164)=VALUE($B$10))) *
            (IF($B$11="الكل",1, INT((DAY('ادخال البيانات'!$N$3:$N$1164)-1)/7)+1 = VALUE($B$11))),
            'ادخال البيانات'!$G$3:$G$1164
         ),
         ""
      ),
      IF(_xlpm.result="", "", _xlpm.result)
   )
)</f>
        <v/>
      </c>
      <c r="H692" s="27" t="str" cm="1">
        <f t="array" ref="H692">IF(
   A692="",
   "",
   _xlfn.LET(
      _xlpm.result,
      IFERROR(
         _xlfn.XLOOKUP(
            1,
            (Table8[رقم الصنف]=A692) *
            (IF($B$9="الكل",1, YEAR('ادخال البيانات'!$N$3:$N$1164)=VALUE($B$9))) *
            (IF($B$10="الكل",1, MONTH('ادخال البيانات'!$N$3:$N$1164)=VALUE($B$10))) *
            (IF($B$11="الكل",1, INT((DAY('ادخال البيانات'!$N$3:$N$1164)-1)/7)+1 = VALUE($B$11))),
            'ادخال البيانات'!$H$3:$H$1164
         ),
         ""
      ),
      IF(_xlpm.result="", "", _xlpm.result)
   )
)</f>
        <v/>
      </c>
      <c r="I692" s="27" t="str" cm="1">
        <f t="array" ref="I692">IF(
   A692="",
   "",
   _xlfn.LET(
      _xlpm.result,
      IFERROR(
         _xlfn.XLOOKUP(
            1,
            (Table8[رقم الصنف]=A692) *
            (IF($B$9="الكل",1, YEAR('ادخال البيانات'!$N$3:$N$1164)=VALUE($B$9))) *
            (IF($B$10="الكل",1, MONTH('ادخال البيانات'!$N$3:$N$1164)=VALUE($B$10))) *
            (IF($B$11="الكل",1, INT((DAY('ادخال البيانات'!$N$3:$N$1164)-1)/7)+1 = VALUE($B$11))),
            'ادخال البيانات'!$I$3:$I$1164
         ),
         ""
      ),
      IF(_xlpm.result="", "", _xlpm.result)
   )
)</f>
        <v/>
      </c>
      <c r="J692" s="27" t="str" cm="1">
        <f t="array" ref="J692">IF(
   A692="",
   "",
   _xlfn.LET(
      _xlpm.result,
      IFERROR(
         _xlfn.XLOOKUP(
            1,
            (Table8[رقم الصنف]=A692) *
            (IF($B$9="الكل",1, YEAR('ادخال البيانات'!$N$3:$N$1164)=VALUE($B$9))) *
            (IF($B$10="الكل",1, MONTH('ادخال البيانات'!$N$3:$N$1164)=VALUE($B$10))) *
            (IF($B$11="الكل",1, INT((DAY('ادخال البيانات'!$N$3:$N$1164)-1)/7)+1 = VALUE($B$11))),
            'ادخال البيانات'!$J$3:$J$1164
         ),
         ""
      ),
      IF(_xlpm.result="", "", _xlpm.result)
   )
)</f>
        <v/>
      </c>
      <c r="K692" s="27" t="str" cm="1">
        <f t="array" ref="K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2" s="27" t="str" cm="1">
        <f t="array" ref="L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2" s="27" t="str" cm="1">
        <f t="array" ref="M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2" s="28" t="str" cm="1">
        <f t="array" ref="N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2" s="28" t="str" cm="1">
        <f t="array" ref="O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2" s="27" t="str" cm="1">
        <f t="array" ref="P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Table8[جهة العطل]
         ),
         ""
      ),
      IF(_xlpm.result="", "", _xlpm.result)
   )
)</f>
        <v/>
      </c>
      <c r="Q692" s="27" t="str" cm="1">
        <f t="array" ref="Q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Table8[المركز]
         ),
         ""
      ),
      IF(_xlpm.result="", "", _xlpm.result)
   )
)</f>
        <v/>
      </c>
      <c r="R692" s="27" t="str" cm="1">
        <f t="array" ref="R692">IF(
   A692="",
   "",
   _xlfn.LET(
      _xlpm.result,
      IFERROR(
         _xlfn.XLOOKUP(
            1,
            (Table8[رقم الصنف]=A692) *
            (IF($B$9="الكل",1, YEAR('ادخال البيانات'!$N$3:$N$1164) = VALUE($B$9))) *
            (IF($B$10="الكل",1, MONTH('ادخال البيانات'!$N$3:$N$1164) = VALUE($B$10))) *
            (IF($B$11="الكل",1, INT((DAY('ادخال البيانات'!$N$3:$N$1164) - 1) / 7) + 1 = VALUE($B$11))),
            Table8[ملاحظة]
         ),
         ""
      ),
      IF(_xlpm.result="", "", _xlpm.result)
   )
)</f>
        <v/>
      </c>
      <c r="S692" s="46" t="str">
        <f t="shared" ca="1" si="11"/>
        <v/>
      </c>
    </row>
    <row r="693" spans="1:19" ht="15.6" thickTop="1" thickBot="1" x14ac:dyDescent="0.35">
      <c r="A693" s="39"/>
      <c r="B693" s="27" t="str" cm="1">
        <f t="array" ref="B693">IF(
   OR(A693="", $B$9="", $B$10="", $B$11=""),
   "",
   _xlfn.LET(
      _xlpm.result,
      IFERROR(
         _xlfn.XLOOKUP(
            1,
            (Table8[رقم الصنف]=A693)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3" s="27" t="str" cm="1">
        <f t="array" ref="C693">IF(
   A693="",
   "",
   _xlfn.LET(
      _xlpm.result,
      IFERROR(
         _xlfn.XLOOKUP(
            1,
            (Table8[رقم الصنف]=A693) *
            (IF($B$9="الكل",1, YEAR('ادخال البيانات'!$N$3:$N$1164) = VALUE($B$9))) *
            (IF($B$10="الكل",1, MONTH('ادخال البيانات'!$N$3:$N$1164) = VALUE($B$10))) *
            (IF($B$11="الكل",1, INT((DAY('ادخال البيانات'!$N$3:$N$1164)-1)/7)+1 = VALUE($B$11))),
            'ادخال البيانات'!$C$3:$C$1164
         ),
         ""
      ),
      IF(_xlpm.result="", "", _xlpm.result)
   )
)</f>
        <v/>
      </c>
      <c r="D693" s="27" t="str" cm="1">
        <f t="array" ref="D693">IF(
   OR(A693="", $B$9="", $B$10="", $B$11=""),
   "",
   _xlfn.LET(
      _xlpm.result,
      IFERROR(
         _xlfn.XLOOKUP(
            1,
            (Table8[رقم الصنف]=A693) *
            (IF($B$9="الكل",1, YEAR('ادخال البيانات'!$N$3:$N$1164)=VALUE($B$9))) *
            (IF($B$10="الكل",1, MONTH('ادخال البيانات'!$N$3:$N$1164)=VALUE($B$10))) *
            (IF($B$11="الكل",1, INT((DAY('ادخال البيانات'!$N$3:$N$1164)-1)/7)+1 = VALUE($B$11))),
            'ادخال البيانات'!$D$3:$D$1164
         ),
         ""
      ),
      IF(_xlpm.result="", "", _xlpm.result)
   )
)</f>
        <v/>
      </c>
      <c r="E693" s="27" t="str" cm="1">
        <f t="array" ref="E693">IF(
   A693="",
   "",
   _xlfn.LET(
      _xlpm.result,
      IFERROR(
         _xlfn.XLOOKUP(
            1,
            (Table8[رقم الصنف]=A693) *
            (IF($B$9="الكل",1, YEAR('ادخال البيانات'!$N$3:$N$1164)=VALUE($B$9))) *
            (IF($B$10="الكل",1, MONTH('ادخال البيانات'!$N$3:$N$1164)=VALUE($B$10))) *
            (IF($B$11="الكل",1, INT((DAY('ادخال البيانات'!$N$3:$N$1164)-1)/7)+1 = VALUE($B$11))),
            'ادخال البيانات'!$E$3:$E$1164
         ),
         ""
      ),
      IF(_xlpm.result="", "", _xlpm.result)
   )
)</f>
        <v/>
      </c>
      <c r="F693" s="27" t="str" cm="1">
        <f t="array" ref="F693">IF(
   A693="",
   "",
   _xlfn.LET(
      _xlpm.result,
      IFERROR(
         _xlfn.XLOOKUP(
            1,
            (Table8[رقم الصنف]=A693) *
            (IF($B$9="الكل",1, YEAR('ادخال البيانات'!$N$3:$N$1164) = VALUE($B$9))) *
            (IF($B$10="الكل",1, MONTH('ادخال البيانات'!$N$3:$N$1164) = VALUE($B$10))) *
            (IF($B$11="الكل",1, INT((DAY('ادخال البيانات'!$N$3:$N$1164)-1)/7)+1 = VALUE($B$11))),
            'ادخال البيانات'!$F$3:$F$1164
         ),
         ""
      ),
      IF(_xlpm.result="", "", _xlpm.result)
   )
)</f>
        <v/>
      </c>
      <c r="G693" s="27" t="str" cm="1">
        <f t="array" ref="G693">IF(
   A693="",
   "",
   _xlfn.LET(
      _xlpm.result,
      IFERROR(
         _xlfn.XLOOKUP(
            1,
            (Table8[رقم الصنف]=A693) *
            (IF($B$9="الكل",1, YEAR('ادخال البيانات'!$N$3:$N$1164)=VALUE($B$9))) *
            (IF($B$10="الكل",1, MONTH('ادخال البيانات'!$N$3:$N$1164)=VALUE($B$10))) *
            (IF($B$11="الكل",1, INT((DAY('ادخال البيانات'!$N$3:$N$1164)-1)/7)+1 = VALUE($B$11))),
            'ادخال البيانات'!$G$3:$G$1164
         ),
         ""
      ),
      IF(_xlpm.result="", "", _xlpm.result)
   )
)</f>
        <v/>
      </c>
      <c r="H693" s="27" t="str" cm="1">
        <f t="array" ref="H693">IF(
   A693="",
   "",
   _xlfn.LET(
      _xlpm.result,
      IFERROR(
         _xlfn.XLOOKUP(
            1,
            (Table8[رقم الصنف]=A693) *
            (IF($B$9="الكل",1, YEAR('ادخال البيانات'!$N$3:$N$1164)=VALUE($B$9))) *
            (IF($B$10="الكل",1, MONTH('ادخال البيانات'!$N$3:$N$1164)=VALUE($B$10))) *
            (IF($B$11="الكل",1, INT((DAY('ادخال البيانات'!$N$3:$N$1164)-1)/7)+1 = VALUE($B$11))),
            'ادخال البيانات'!$H$3:$H$1164
         ),
         ""
      ),
      IF(_xlpm.result="", "", _xlpm.result)
   )
)</f>
        <v/>
      </c>
      <c r="I693" s="27" t="str" cm="1">
        <f t="array" ref="I693">IF(
   A693="",
   "",
   _xlfn.LET(
      _xlpm.result,
      IFERROR(
         _xlfn.XLOOKUP(
            1,
            (Table8[رقم الصنف]=A693) *
            (IF($B$9="الكل",1, YEAR('ادخال البيانات'!$N$3:$N$1164)=VALUE($B$9))) *
            (IF($B$10="الكل",1, MONTH('ادخال البيانات'!$N$3:$N$1164)=VALUE($B$10))) *
            (IF($B$11="الكل",1, INT((DAY('ادخال البيانات'!$N$3:$N$1164)-1)/7)+1 = VALUE($B$11))),
            'ادخال البيانات'!$I$3:$I$1164
         ),
         ""
      ),
      IF(_xlpm.result="", "", _xlpm.result)
   )
)</f>
        <v/>
      </c>
      <c r="J693" s="27" t="str" cm="1">
        <f t="array" ref="J693">IF(
   A693="",
   "",
   _xlfn.LET(
      _xlpm.result,
      IFERROR(
         _xlfn.XLOOKUP(
            1,
            (Table8[رقم الصنف]=A693) *
            (IF($B$9="الكل",1, YEAR('ادخال البيانات'!$N$3:$N$1164)=VALUE($B$9))) *
            (IF($B$10="الكل",1, MONTH('ادخال البيانات'!$N$3:$N$1164)=VALUE($B$10))) *
            (IF($B$11="الكل",1, INT((DAY('ادخال البيانات'!$N$3:$N$1164)-1)/7)+1 = VALUE($B$11))),
            'ادخال البيانات'!$J$3:$J$1164
         ),
         ""
      ),
      IF(_xlpm.result="", "", _xlpm.result)
   )
)</f>
        <v/>
      </c>
      <c r="K693" s="27" t="str" cm="1">
        <f t="array" ref="K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3" s="27" t="str" cm="1">
        <f t="array" ref="L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3" s="27" t="str" cm="1">
        <f t="array" ref="M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3" s="28" t="str" cm="1">
        <f t="array" ref="N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3" s="28" t="str" cm="1">
        <f t="array" ref="O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3" s="27" t="str" cm="1">
        <f t="array" ref="P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Table8[جهة العطل]
         ),
         ""
      ),
      IF(_xlpm.result="", "", _xlpm.result)
   )
)</f>
        <v/>
      </c>
      <c r="Q693" s="27" t="str" cm="1">
        <f t="array" ref="Q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Table8[المركز]
         ),
         ""
      ),
      IF(_xlpm.result="", "", _xlpm.result)
   )
)</f>
        <v/>
      </c>
      <c r="R693" s="27" t="str" cm="1">
        <f t="array" ref="R693">IF(
   A693="",
   "",
   _xlfn.LET(
      _xlpm.result,
      IFERROR(
         _xlfn.XLOOKUP(
            1,
            (Table8[رقم الصنف]=A693) *
            (IF($B$9="الكل",1, YEAR('ادخال البيانات'!$N$3:$N$1164) = VALUE($B$9))) *
            (IF($B$10="الكل",1, MONTH('ادخال البيانات'!$N$3:$N$1164) = VALUE($B$10))) *
            (IF($B$11="الكل",1, INT((DAY('ادخال البيانات'!$N$3:$N$1164) - 1) / 7) + 1 = VALUE($B$11))),
            Table8[ملاحظة]
         ),
         ""
      ),
      IF(_xlpm.result="", "", _xlpm.result)
   )
)</f>
        <v/>
      </c>
      <c r="S693" s="46" t="str">
        <f t="shared" ca="1" si="11"/>
        <v/>
      </c>
    </row>
    <row r="694" spans="1:19" ht="15.6" thickTop="1" thickBot="1" x14ac:dyDescent="0.35">
      <c r="A694" s="39"/>
      <c r="B694" s="27" t="str" cm="1">
        <f t="array" ref="B694">IF(
   OR(A694="", $B$9="", $B$10="", $B$11=""),
   "",
   _xlfn.LET(
      _xlpm.result,
      IFERROR(
         _xlfn.XLOOKUP(
            1,
            (Table8[رقم الصنف]=A694)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4" s="27" t="str" cm="1">
        <f t="array" ref="C694">IF(
   A694="",
   "",
   _xlfn.LET(
      _xlpm.result,
      IFERROR(
         _xlfn.XLOOKUP(
            1,
            (Table8[رقم الصنف]=A694) *
            (IF($B$9="الكل",1, YEAR('ادخال البيانات'!$N$3:$N$1164) = VALUE($B$9))) *
            (IF($B$10="الكل",1, MONTH('ادخال البيانات'!$N$3:$N$1164) = VALUE($B$10))) *
            (IF($B$11="الكل",1, INT((DAY('ادخال البيانات'!$N$3:$N$1164)-1)/7)+1 = VALUE($B$11))),
            'ادخال البيانات'!$C$3:$C$1164
         ),
         ""
      ),
      IF(_xlpm.result="", "", _xlpm.result)
   )
)</f>
        <v/>
      </c>
      <c r="D694" s="27" t="str" cm="1">
        <f t="array" ref="D694">IF(
   OR(A694="", $B$9="", $B$10="", $B$11=""),
   "",
   _xlfn.LET(
      _xlpm.result,
      IFERROR(
         _xlfn.XLOOKUP(
            1,
            (Table8[رقم الصنف]=A694) *
            (IF($B$9="الكل",1, YEAR('ادخال البيانات'!$N$3:$N$1164)=VALUE($B$9))) *
            (IF($B$10="الكل",1, MONTH('ادخال البيانات'!$N$3:$N$1164)=VALUE($B$10))) *
            (IF($B$11="الكل",1, INT((DAY('ادخال البيانات'!$N$3:$N$1164)-1)/7)+1 = VALUE($B$11))),
            'ادخال البيانات'!$D$3:$D$1164
         ),
         ""
      ),
      IF(_xlpm.result="", "", _xlpm.result)
   )
)</f>
        <v/>
      </c>
      <c r="E694" s="27" t="str" cm="1">
        <f t="array" ref="E694">IF(
   A694="",
   "",
   _xlfn.LET(
      _xlpm.result,
      IFERROR(
         _xlfn.XLOOKUP(
            1,
            (Table8[رقم الصنف]=A694) *
            (IF($B$9="الكل",1, YEAR('ادخال البيانات'!$N$3:$N$1164)=VALUE($B$9))) *
            (IF($B$10="الكل",1, MONTH('ادخال البيانات'!$N$3:$N$1164)=VALUE($B$10))) *
            (IF($B$11="الكل",1, INT((DAY('ادخال البيانات'!$N$3:$N$1164)-1)/7)+1 = VALUE($B$11))),
            'ادخال البيانات'!$E$3:$E$1164
         ),
         ""
      ),
      IF(_xlpm.result="", "", _xlpm.result)
   )
)</f>
        <v/>
      </c>
      <c r="F694" s="27" t="str" cm="1">
        <f t="array" ref="F694">IF(
   A694="",
   "",
   _xlfn.LET(
      _xlpm.result,
      IFERROR(
         _xlfn.XLOOKUP(
            1,
            (Table8[رقم الصنف]=A694) *
            (IF($B$9="الكل",1, YEAR('ادخال البيانات'!$N$3:$N$1164) = VALUE($B$9))) *
            (IF($B$10="الكل",1, MONTH('ادخال البيانات'!$N$3:$N$1164) = VALUE($B$10))) *
            (IF($B$11="الكل",1, INT((DAY('ادخال البيانات'!$N$3:$N$1164)-1)/7)+1 = VALUE($B$11))),
            'ادخال البيانات'!$F$3:$F$1164
         ),
         ""
      ),
      IF(_xlpm.result="", "", _xlpm.result)
   )
)</f>
        <v/>
      </c>
      <c r="G694" s="27" t="str" cm="1">
        <f t="array" ref="G694">IF(
   A694="",
   "",
   _xlfn.LET(
      _xlpm.result,
      IFERROR(
         _xlfn.XLOOKUP(
            1,
            (Table8[رقم الصنف]=A694) *
            (IF($B$9="الكل",1, YEAR('ادخال البيانات'!$N$3:$N$1164)=VALUE($B$9))) *
            (IF($B$10="الكل",1, MONTH('ادخال البيانات'!$N$3:$N$1164)=VALUE($B$10))) *
            (IF($B$11="الكل",1, INT((DAY('ادخال البيانات'!$N$3:$N$1164)-1)/7)+1 = VALUE($B$11))),
            'ادخال البيانات'!$G$3:$G$1164
         ),
         ""
      ),
      IF(_xlpm.result="", "", _xlpm.result)
   )
)</f>
        <v/>
      </c>
      <c r="H694" s="27" t="str" cm="1">
        <f t="array" ref="H694">IF(
   A694="",
   "",
   _xlfn.LET(
      _xlpm.result,
      IFERROR(
         _xlfn.XLOOKUP(
            1,
            (Table8[رقم الصنف]=A694) *
            (IF($B$9="الكل",1, YEAR('ادخال البيانات'!$N$3:$N$1164)=VALUE($B$9))) *
            (IF($B$10="الكل",1, MONTH('ادخال البيانات'!$N$3:$N$1164)=VALUE($B$10))) *
            (IF($B$11="الكل",1, INT((DAY('ادخال البيانات'!$N$3:$N$1164)-1)/7)+1 = VALUE($B$11))),
            'ادخال البيانات'!$H$3:$H$1164
         ),
         ""
      ),
      IF(_xlpm.result="", "", _xlpm.result)
   )
)</f>
        <v/>
      </c>
      <c r="I694" s="27" t="str" cm="1">
        <f t="array" ref="I694">IF(
   A694="",
   "",
   _xlfn.LET(
      _xlpm.result,
      IFERROR(
         _xlfn.XLOOKUP(
            1,
            (Table8[رقم الصنف]=A694) *
            (IF($B$9="الكل",1, YEAR('ادخال البيانات'!$N$3:$N$1164)=VALUE($B$9))) *
            (IF($B$10="الكل",1, MONTH('ادخال البيانات'!$N$3:$N$1164)=VALUE($B$10))) *
            (IF($B$11="الكل",1, INT((DAY('ادخال البيانات'!$N$3:$N$1164)-1)/7)+1 = VALUE($B$11))),
            'ادخال البيانات'!$I$3:$I$1164
         ),
         ""
      ),
      IF(_xlpm.result="", "", _xlpm.result)
   )
)</f>
        <v/>
      </c>
      <c r="J694" s="27" t="str" cm="1">
        <f t="array" ref="J694">IF(
   A694="",
   "",
   _xlfn.LET(
      _xlpm.result,
      IFERROR(
         _xlfn.XLOOKUP(
            1,
            (Table8[رقم الصنف]=A694) *
            (IF($B$9="الكل",1, YEAR('ادخال البيانات'!$N$3:$N$1164)=VALUE($B$9))) *
            (IF($B$10="الكل",1, MONTH('ادخال البيانات'!$N$3:$N$1164)=VALUE($B$10))) *
            (IF($B$11="الكل",1, INT((DAY('ادخال البيانات'!$N$3:$N$1164)-1)/7)+1 = VALUE($B$11))),
            'ادخال البيانات'!$J$3:$J$1164
         ),
         ""
      ),
      IF(_xlpm.result="", "", _xlpm.result)
   )
)</f>
        <v/>
      </c>
      <c r="K694" s="27" t="str" cm="1">
        <f t="array" ref="K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4" s="27" t="str" cm="1">
        <f t="array" ref="L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4" s="27" t="str" cm="1">
        <f t="array" ref="M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4" s="28" t="str" cm="1">
        <f t="array" ref="N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4" s="28" t="str" cm="1">
        <f t="array" ref="O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4" s="27" t="str" cm="1">
        <f t="array" ref="P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Table8[جهة العطل]
         ),
         ""
      ),
      IF(_xlpm.result="", "", _xlpm.result)
   )
)</f>
        <v/>
      </c>
      <c r="Q694" s="27" t="str" cm="1">
        <f t="array" ref="Q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Table8[المركز]
         ),
         ""
      ),
      IF(_xlpm.result="", "", _xlpm.result)
   )
)</f>
        <v/>
      </c>
      <c r="R694" s="27" t="str" cm="1">
        <f t="array" ref="R694">IF(
   A694="",
   "",
   _xlfn.LET(
      _xlpm.result,
      IFERROR(
         _xlfn.XLOOKUP(
            1,
            (Table8[رقم الصنف]=A694) *
            (IF($B$9="الكل",1, YEAR('ادخال البيانات'!$N$3:$N$1164) = VALUE($B$9))) *
            (IF($B$10="الكل",1, MONTH('ادخال البيانات'!$N$3:$N$1164) = VALUE($B$10))) *
            (IF($B$11="الكل",1, INT((DAY('ادخال البيانات'!$N$3:$N$1164) - 1) / 7) + 1 = VALUE($B$11))),
            Table8[ملاحظة]
         ),
         ""
      ),
      IF(_xlpm.result="", "", _xlpm.result)
   )
)</f>
        <v/>
      </c>
      <c r="S694" s="46" t="str">
        <f t="shared" ca="1" si="11"/>
        <v/>
      </c>
    </row>
    <row r="695" spans="1:19" ht="15.6" thickTop="1" thickBot="1" x14ac:dyDescent="0.35">
      <c r="A695" s="39"/>
      <c r="B695" s="27" t="str" cm="1">
        <f t="array" ref="B695">IF(
   OR(A695="", $B$9="", $B$10="", $B$11=""),
   "",
   _xlfn.LET(
      _xlpm.result,
      IFERROR(
         _xlfn.XLOOKUP(
            1,
            (Table8[رقم الصنف]=A695)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5" s="27" t="str" cm="1">
        <f t="array" ref="C695">IF(
   A695="",
   "",
   _xlfn.LET(
      _xlpm.result,
      IFERROR(
         _xlfn.XLOOKUP(
            1,
            (Table8[رقم الصنف]=A695) *
            (IF($B$9="الكل",1, YEAR('ادخال البيانات'!$N$3:$N$1164) = VALUE($B$9))) *
            (IF($B$10="الكل",1, MONTH('ادخال البيانات'!$N$3:$N$1164) = VALUE($B$10))) *
            (IF($B$11="الكل",1, INT((DAY('ادخال البيانات'!$N$3:$N$1164)-1)/7)+1 = VALUE($B$11))),
            'ادخال البيانات'!$C$3:$C$1164
         ),
         ""
      ),
      IF(_xlpm.result="", "", _xlpm.result)
   )
)</f>
        <v/>
      </c>
      <c r="D695" s="27" t="str" cm="1">
        <f t="array" ref="D695">IF(
   OR(A695="", $B$9="", $B$10="", $B$11=""),
   "",
   _xlfn.LET(
      _xlpm.result,
      IFERROR(
         _xlfn.XLOOKUP(
            1,
            (Table8[رقم الصنف]=A695) *
            (IF($B$9="الكل",1, YEAR('ادخال البيانات'!$N$3:$N$1164)=VALUE($B$9))) *
            (IF($B$10="الكل",1, MONTH('ادخال البيانات'!$N$3:$N$1164)=VALUE($B$10))) *
            (IF($B$11="الكل",1, INT((DAY('ادخال البيانات'!$N$3:$N$1164)-1)/7)+1 = VALUE($B$11))),
            'ادخال البيانات'!$D$3:$D$1164
         ),
         ""
      ),
      IF(_xlpm.result="", "", _xlpm.result)
   )
)</f>
        <v/>
      </c>
      <c r="E695" s="27" t="str" cm="1">
        <f t="array" ref="E695">IF(
   A695="",
   "",
   _xlfn.LET(
      _xlpm.result,
      IFERROR(
         _xlfn.XLOOKUP(
            1,
            (Table8[رقم الصنف]=A695) *
            (IF($B$9="الكل",1, YEAR('ادخال البيانات'!$N$3:$N$1164)=VALUE($B$9))) *
            (IF($B$10="الكل",1, MONTH('ادخال البيانات'!$N$3:$N$1164)=VALUE($B$10))) *
            (IF($B$11="الكل",1, INT((DAY('ادخال البيانات'!$N$3:$N$1164)-1)/7)+1 = VALUE($B$11))),
            'ادخال البيانات'!$E$3:$E$1164
         ),
         ""
      ),
      IF(_xlpm.result="", "", _xlpm.result)
   )
)</f>
        <v/>
      </c>
      <c r="F695" s="27" t="str" cm="1">
        <f t="array" ref="F695">IF(
   A695="",
   "",
   _xlfn.LET(
      _xlpm.result,
      IFERROR(
         _xlfn.XLOOKUP(
            1,
            (Table8[رقم الصنف]=A695) *
            (IF($B$9="الكل",1, YEAR('ادخال البيانات'!$N$3:$N$1164) = VALUE($B$9))) *
            (IF($B$10="الكل",1, MONTH('ادخال البيانات'!$N$3:$N$1164) = VALUE($B$10))) *
            (IF($B$11="الكل",1, INT((DAY('ادخال البيانات'!$N$3:$N$1164)-1)/7)+1 = VALUE($B$11))),
            'ادخال البيانات'!$F$3:$F$1164
         ),
         ""
      ),
      IF(_xlpm.result="", "", _xlpm.result)
   )
)</f>
        <v/>
      </c>
      <c r="G695" s="27" t="str" cm="1">
        <f t="array" ref="G695">IF(
   A695="",
   "",
   _xlfn.LET(
      _xlpm.result,
      IFERROR(
         _xlfn.XLOOKUP(
            1,
            (Table8[رقم الصنف]=A695) *
            (IF($B$9="الكل",1, YEAR('ادخال البيانات'!$N$3:$N$1164)=VALUE($B$9))) *
            (IF($B$10="الكل",1, MONTH('ادخال البيانات'!$N$3:$N$1164)=VALUE($B$10))) *
            (IF($B$11="الكل",1, INT((DAY('ادخال البيانات'!$N$3:$N$1164)-1)/7)+1 = VALUE($B$11))),
            'ادخال البيانات'!$G$3:$G$1164
         ),
         ""
      ),
      IF(_xlpm.result="", "", _xlpm.result)
   )
)</f>
        <v/>
      </c>
      <c r="H695" s="27" t="str" cm="1">
        <f t="array" ref="H695">IF(
   A695="",
   "",
   _xlfn.LET(
      _xlpm.result,
      IFERROR(
         _xlfn.XLOOKUP(
            1,
            (Table8[رقم الصنف]=A695) *
            (IF($B$9="الكل",1, YEAR('ادخال البيانات'!$N$3:$N$1164)=VALUE($B$9))) *
            (IF($B$10="الكل",1, MONTH('ادخال البيانات'!$N$3:$N$1164)=VALUE($B$10))) *
            (IF($B$11="الكل",1, INT((DAY('ادخال البيانات'!$N$3:$N$1164)-1)/7)+1 = VALUE($B$11))),
            'ادخال البيانات'!$H$3:$H$1164
         ),
         ""
      ),
      IF(_xlpm.result="", "", _xlpm.result)
   )
)</f>
        <v/>
      </c>
      <c r="I695" s="27" t="str" cm="1">
        <f t="array" ref="I695">IF(
   A695="",
   "",
   _xlfn.LET(
      _xlpm.result,
      IFERROR(
         _xlfn.XLOOKUP(
            1,
            (Table8[رقم الصنف]=A695) *
            (IF($B$9="الكل",1, YEAR('ادخال البيانات'!$N$3:$N$1164)=VALUE($B$9))) *
            (IF($B$10="الكل",1, MONTH('ادخال البيانات'!$N$3:$N$1164)=VALUE($B$10))) *
            (IF($B$11="الكل",1, INT((DAY('ادخال البيانات'!$N$3:$N$1164)-1)/7)+1 = VALUE($B$11))),
            'ادخال البيانات'!$I$3:$I$1164
         ),
         ""
      ),
      IF(_xlpm.result="", "", _xlpm.result)
   )
)</f>
        <v/>
      </c>
      <c r="J695" s="27" t="str" cm="1">
        <f t="array" ref="J695">IF(
   A695="",
   "",
   _xlfn.LET(
      _xlpm.result,
      IFERROR(
         _xlfn.XLOOKUP(
            1,
            (Table8[رقم الصنف]=A695) *
            (IF($B$9="الكل",1, YEAR('ادخال البيانات'!$N$3:$N$1164)=VALUE($B$9))) *
            (IF($B$10="الكل",1, MONTH('ادخال البيانات'!$N$3:$N$1164)=VALUE($B$10))) *
            (IF($B$11="الكل",1, INT((DAY('ادخال البيانات'!$N$3:$N$1164)-1)/7)+1 = VALUE($B$11))),
            'ادخال البيانات'!$J$3:$J$1164
         ),
         ""
      ),
      IF(_xlpm.result="", "", _xlpm.result)
   )
)</f>
        <v/>
      </c>
      <c r="K695" s="27" t="str" cm="1">
        <f t="array" ref="K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5" s="27" t="str" cm="1">
        <f t="array" ref="L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5" s="27" t="str" cm="1">
        <f t="array" ref="M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5" s="28" t="str" cm="1">
        <f t="array" ref="N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5" s="28" t="str" cm="1">
        <f t="array" ref="O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5" s="27" t="str" cm="1">
        <f t="array" ref="P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Table8[جهة العطل]
         ),
         ""
      ),
      IF(_xlpm.result="", "", _xlpm.result)
   )
)</f>
        <v/>
      </c>
      <c r="Q695" s="27" t="str" cm="1">
        <f t="array" ref="Q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Table8[المركز]
         ),
         ""
      ),
      IF(_xlpm.result="", "", _xlpm.result)
   )
)</f>
        <v/>
      </c>
      <c r="R695" s="27" t="str" cm="1">
        <f t="array" ref="R695">IF(
   A695="",
   "",
   _xlfn.LET(
      _xlpm.result,
      IFERROR(
         _xlfn.XLOOKUP(
            1,
            (Table8[رقم الصنف]=A695) *
            (IF($B$9="الكل",1, YEAR('ادخال البيانات'!$N$3:$N$1164) = VALUE($B$9))) *
            (IF($B$10="الكل",1, MONTH('ادخال البيانات'!$N$3:$N$1164) = VALUE($B$10))) *
            (IF($B$11="الكل",1, INT((DAY('ادخال البيانات'!$N$3:$N$1164) - 1) / 7) + 1 = VALUE($B$11))),
            Table8[ملاحظة]
         ),
         ""
      ),
      IF(_xlpm.result="", "", _xlpm.result)
   )
)</f>
        <v/>
      </c>
      <c r="S695" s="46" t="str">
        <f t="shared" ca="1" si="11"/>
        <v/>
      </c>
    </row>
    <row r="696" spans="1:19" ht="15.6" thickTop="1" thickBot="1" x14ac:dyDescent="0.35">
      <c r="A696" s="39"/>
      <c r="B696" s="27" t="str" cm="1">
        <f t="array" ref="B696">IF(
   OR(A696="", $B$9="", $B$10="", $B$11=""),
   "",
   _xlfn.LET(
      _xlpm.result,
      IFERROR(
         _xlfn.XLOOKUP(
            1,
            (Table8[رقم الصنف]=A696)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6" s="27" t="str" cm="1">
        <f t="array" ref="C696">IF(
   A696="",
   "",
   _xlfn.LET(
      _xlpm.result,
      IFERROR(
         _xlfn.XLOOKUP(
            1,
            (Table8[رقم الصنف]=A696) *
            (IF($B$9="الكل",1, YEAR('ادخال البيانات'!$N$3:$N$1164) = VALUE($B$9))) *
            (IF($B$10="الكل",1, MONTH('ادخال البيانات'!$N$3:$N$1164) = VALUE($B$10))) *
            (IF($B$11="الكل",1, INT((DAY('ادخال البيانات'!$N$3:$N$1164)-1)/7)+1 = VALUE($B$11))),
            'ادخال البيانات'!$C$3:$C$1164
         ),
         ""
      ),
      IF(_xlpm.result="", "", _xlpm.result)
   )
)</f>
        <v/>
      </c>
      <c r="D696" s="27" t="str" cm="1">
        <f t="array" ref="D696">IF(
   OR(A696="", $B$9="", $B$10="", $B$11=""),
   "",
   _xlfn.LET(
      _xlpm.result,
      IFERROR(
         _xlfn.XLOOKUP(
            1,
            (Table8[رقم الصنف]=A696) *
            (IF($B$9="الكل",1, YEAR('ادخال البيانات'!$N$3:$N$1164)=VALUE($B$9))) *
            (IF($B$10="الكل",1, MONTH('ادخال البيانات'!$N$3:$N$1164)=VALUE($B$10))) *
            (IF($B$11="الكل",1, INT((DAY('ادخال البيانات'!$N$3:$N$1164)-1)/7)+1 = VALUE($B$11))),
            'ادخال البيانات'!$D$3:$D$1164
         ),
         ""
      ),
      IF(_xlpm.result="", "", _xlpm.result)
   )
)</f>
        <v/>
      </c>
      <c r="E696" s="27" t="str" cm="1">
        <f t="array" ref="E696">IF(
   A696="",
   "",
   _xlfn.LET(
      _xlpm.result,
      IFERROR(
         _xlfn.XLOOKUP(
            1,
            (Table8[رقم الصنف]=A696) *
            (IF($B$9="الكل",1, YEAR('ادخال البيانات'!$N$3:$N$1164)=VALUE($B$9))) *
            (IF($B$10="الكل",1, MONTH('ادخال البيانات'!$N$3:$N$1164)=VALUE($B$10))) *
            (IF($B$11="الكل",1, INT((DAY('ادخال البيانات'!$N$3:$N$1164)-1)/7)+1 = VALUE($B$11))),
            'ادخال البيانات'!$E$3:$E$1164
         ),
         ""
      ),
      IF(_xlpm.result="", "", _xlpm.result)
   )
)</f>
        <v/>
      </c>
      <c r="F696" s="27" t="str" cm="1">
        <f t="array" ref="F696">IF(
   A696="",
   "",
   _xlfn.LET(
      _xlpm.result,
      IFERROR(
         _xlfn.XLOOKUP(
            1,
            (Table8[رقم الصنف]=A696) *
            (IF($B$9="الكل",1, YEAR('ادخال البيانات'!$N$3:$N$1164) = VALUE($B$9))) *
            (IF($B$10="الكل",1, MONTH('ادخال البيانات'!$N$3:$N$1164) = VALUE($B$10))) *
            (IF($B$11="الكل",1, INT((DAY('ادخال البيانات'!$N$3:$N$1164)-1)/7)+1 = VALUE($B$11))),
            'ادخال البيانات'!$F$3:$F$1164
         ),
         ""
      ),
      IF(_xlpm.result="", "", _xlpm.result)
   )
)</f>
        <v/>
      </c>
      <c r="G696" s="27" t="str" cm="1">
        <f t="array" ref="G696">IF(
   A696="",
   "",
   _xlfn.LET(
      _xlpm.result,
      IFERROR(
         _xlfn.XLOOKUP(
            1,
            (Table8[رقم الصنف]=A696) *
            (IF($B$9="الكل",1, YEAR('ادخال البيانات'!$N$3:$N$1164)=VALUE($B$9))) *
            (IF($B$10="الكل",1, MONTH('ادخال البيانات'!$N$3:$N$1164)=VALUE($B$10))) *
            (IF($B$11="الكل",1, INT((DAY('ادخال البيانات'!$N$3:$N$1164)-1)/7)+1 = VALUE($B$11))),
            'ادخال البيانات'!$G$3:$G$1164
         ),
         ""
      ),
      IF(_xlpm.result="", "", _xlpm.result)
   )
)</f>
        <v/>
      </c>
      <c r="H696" s="27" t="str" cm="1">
        <f t="array" ref="H696">IF(
   A696="",
   "",
   _xlfn.LET(
      _xlpm.result,
      IFERROR(
         _xlfn.XLOOKUP(
            1,
            (Table8[رقم الصنف]=A696) *
            (IF($B$9="الكل",1, YEAR('ادخال البيانات'!$N$3:$N$1164)=VALUE($B$9))) *
            (IF($B$10="الكل",1, MONTH('ادخال البيانات'!$N$3:$N$1164)=VALUE($B$10))) *
            (IF($B$11="الكل",1, INT((DAY('ادخال البيانات'!$N$3:$N$1164)-1)/7)+1 = VALUE($B$11))),
            'ادخال البيانات'!$H$3:$H$1164
         ),
         ""
      ),
      IF(_xlpm.result="", "", _xlpm.result)
   )
)</f>
        <v/>
      </c>
      <c r="I696" s="27" t="str" cm="1">
        <f t="array" ref="I696">IF(
   A696="",
   "",
   _xlfn.LET(
      _xlpm.result,
      IFERROR(
         _xlfn.XLOOKUP(
            1,
            (Table8[رقم الصنف]=A696) *
            (IF($B$9="الكل",1, YEAR('ادخال البيانات'!$N$3:$N$1164)=VALUE($B$9))) *
            (IF($B$10="الكل",1, MONTH('ادخال البيانات'!$N$3:$N$1164)=VALUE($B$10))) *
            (IF($B$11="الكل",1, INT((DAY('ادخال البيانات'!$N$3:$N$1164)-1)/7)+1 = VALUE($B$11))),
            'ادخال البيانات'!$I$3:$I$1164
         ),
         ""
      ),
      IF(_xlpm.result="", "", _xlpm.result)
   )
)</f>
        <v/>
      </c>
      <c r="J696" s="27" t="str" cm="1">
        <f t="array" ref="J696">IF(
   A696="",
   "",
   _xlfn.LET(
      _xlpm.result,
      IFERROR(
         _xlfn.XLOOKUP(
            1,
            (Table8[رقم الصنف]=A696) *
            (IF($B$9="الكل",1, YEAR('ادخال البيانات'!$N$3:$N$1164)=VALUE($B$9))) *
            (IF($B$10="الكل",1, MONTH('ادخال البيانات'!$N$3:$N$1164)=VALUE($B$10))) *
            (IF($B$11="الكل",1, INT((DAY('ادخال البيانات'!$N$3:$N$1164)-1)/7)+1 = VALUE($B$11))),
            'ادخال البيانات'!$J$3:$J$1164
         ),
         ""
      ),
      IF(_xlpm.result="", "", _xlpm.result)
   )
)</f>
        <v/>
      </c>
      <c r="K696" s="27" t="str" cm="1">
        <f t="array" ref="K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6" s="27" t="str" cm="1">
        <f t="array" ref="L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6" s="27" t="str" cm="1">
        <f t="array" ref="M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6" s="28" t="str" cm="1">
        <f t="array" ref="N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6" s="28" t="str" cm="1">
        <f t="array" ref="O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6" s="27" t="str" cm="1">
        <f t="array" ref="P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Table8[جهة العطل]
         ),
         ""
      ),
      IF(_xlpm.result="", "", _xlpm.result)
   )
)</f>
        <v/>
      </c>
      <c r="Q696" s="27" t="str" cm="1">
        <f t="array" ref="Q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Table8[المركز]
         ),
         ""
      ),
      IF(_xlpm.result="", "", _xlpm.result)
   )
)</f>
        <v/>
      </c>
      <c r="R696" s="27" t="str" cm="1">
        <f t="array" ref="R696">IF(
   A696="",
   "",
   _xlfn.LET(
      _xlpm.result,
      IFERROR(
         _xlfn.XLOOKUP(
            1,
            (Table8[رقم الصنف]=A696) *
            (IF($B$9="الكل",1, YEAR('ادخال البيانات'!$N$3:$N$1164) = VALUE($B$9))) *
            (IF($B$10="الكل",1, MONTH('ادخال البيانات'!$N$3:$N$1164) = VALUE($B$10))) *
            (IF($B$11="الكل",1, INT((DAY('ادخال البيانات'!$N$3:$N$1164) - 1) / 7) + 1 = VALUE($B$11))),
            Table8[ملاحظة]
         ),
         ""
      ),
      IF(_xlpm.result="", "", _xlpm.result)
   )
)</f>
        <v/>
      </c>
      <c r="S696" s="46" t="str">
        <f t="shared" ca="1" si="11"/>
        <v/>
      </c>
    </row>
    <row r="697" spans="1:19" ht="15.6" thickTop="1" thickBot="1" x14ac:dyDescent="0.35">
      <c r="A697" s="39"/>
      <c r="B697" s="27" t="str" cm="1">
        <f t="array" ref="B697">IF(
   OR(A697="", $B$9="", $B$10="", $B$11=""),
   "",
   _xlfn.LET(
      _xlpm.result,
      IFERROR(
         _xlfn.XLOOKUP(
            1,
            (Table8[رقم الصنف]=A697)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7" s="27" t="str" cm="1">
        <f t="array" ref="C697">IF(
   A697="",
   "",
   _xlfn.LET(
      _xlpm.result,
      IFERROR(
         _xlfn.XLOOKUP(
            1,
            (Table8[رقم الصنف]=A697) *
            (IF($B$9="الكل",1, YEAR('ادخال البيانات'!$N$3:$N$1164) = VALUE($B$9))) *
            (IF($B$10="الكل",1, MONTH('ادخال البيانات'!$N$3:$N$1164) = VALUE($B$10))) *
            (IF($B$11="الكل",1, INT((DAY('ادخال البيانات'!$N$3:$N$1164)-1)/7)+1 = VALUE($B$11))),
            'ادخال البيانات'!$C$3:$C$1164
         ),
         ""
      ),
      IF(_xlpm.result="", "", _xlpm.result)
   )
)</f>
        <v/>
      </c>
      <c r="D697" s="27" t="str" cm="1">
        <f t="array" ref="D697">IF(
   OR(A697="", $B$9="", $B$10="", $B$11=""),
   "",
   _xlfn.LET(
      _xlpm.result,
      IFERROR(
         _xlfn.XLOOKUP(
            1,
            (Table8[رقم الصنف]=A697) *
            (IF($B$9="الكل",1, YEAR('ادخال البيانات'!$N$3:$N$1164)=VALUE($B$9))) *
            (IF($B$10="الكل",1, MONTH('ادخال البيانات'!$N$3:$N$1164)=VALUE($B$10))) *
            (IF($B$11="الكل",1, INT((DAY('ادخال البيانات'!$N$3:$N$1164)-1)/7)+1 = VALUE($B$11))),
            'ادخال البيانات'!$D$3:$D$1164
         ),
         ""
      ),
      IF(_xlpm.result="", "", _xlpm.result)
   )
)</f>
        <v/>
      </c>
      <c r="E697" s="27" t="str" cm="1">
        <f t="array" ref="E697">IF(
   A697="",
   "",
   _xlfn.LET(
      _xlpm.result,
      IFERROR(
         _xlfn.XLOOKUP(
            1,
            (Table8[رقم الصنف]=A697) *
            (IF($B$9="الكل",1, YEAR('ادخال البيانات'!$N$3:$N$1164)=VALUE($B$9))) *
            (IF($B$10="الكل",1, MONTH('ادخال البيانات'!$N$3:$N$1164)=VALUE($B$10))) *
            (IF($B$11="الكل",1, INT((DAY('ادخال البيانات'!$N$3:$N$1164)-1)/7)+1 = VALUE($B$11))),
            'ادخال البيانات'!$E$3:$E$1164
         ),
         ""
      ),
      IF(_xlpm.result="", "", _xlpm.result)
   )
)</f>
        <v/>
      </c>
      <c r="F697" s="27" t="str" cm="1">
        <f t="array" ref="F697">IF(
   A697="",
   "",
   _xlfn.LET(
      _xlpm.result,
      IFERROR(
         _xlfn.XLOOKUP(
            1,
            (Table8[رقم الصنف]=A697) *
            (IF($B$9="الكل",1, YEAR('ادخال البيانات'!$N$3:$N$1164) = VALUE($B$9))) *
            (IF($B$10="الكل",1, MONTH('ادخال البيانات'!$N$3:$N$1164) = VALUE($B$10))) *
            (IF($B$11="الكل",1, INT((DAY('ادخال البيانات'!$N$3:$N$1164)-1)/7)+1 = VALUE($B$11))),
            'ادخال البيانات'!$F$3:$F$1164
         ),
         ""
      ),
      IF(_xlpm.result="", "", _xlpm.result)
   )
)</f>
        <v/>
      </c>
      <c r="G697" s="27" t="str" cm="1">
        <f t="array" ref="G697">IF(
   A697="",
   "",
   _xlfn.LET(
      _xlpm.result,
      IFERROR(
         _xlfn.XLOOKUP(
            1,
            (Table8[رقم الصنف]=A697) *
            (IF($B$9="الكل",1, YEAR('ادخال البيانات'!$N$3:$N$1164)=VALUE($B$9))) *
            (IF($B$10="الكل",1, MONTH('ادخال البيانات'!$N$3:$N$1164)=VALUE($B$10))) *
            (IF($B$11="الكل",1, INT((DAY('ادخال البيانات'!$N$3:$N$1164)-1)/7)+1 = VALUE($B$11))),
            'ادخال البيانات'!$G$3:$G$1164
         ),
         ""
      ),
      IF(_xlpm.result="", "", _xlpm.result)
   )
)</f>
        <v/>
      </c>
      <c r="H697" s="27" t="str" cm="1">
        <f t="array" ref="H697">IF(
   A697="",
   "",
   _xlfn.LET(
      _xlpm.result,
      IFERROR(
         _xlfn.XLOOKUP(
            1,
            (Table8[رقم الصنف]=A697) *
            (IF($B$9="الكل",1, YEAR('ادخال البيانات'!$N$3:$N$1164)=VALUE($B$9))) *
            (IF($B$10="الكل",1, MONTH('ادخال البيانات'!$N$3:$N$1164)=VALUE($B$10))) *
            (IF($B$11="الكل",1, INT((DAY('ادخال البيانات'!$N$3:$N$1164)-1)/7)+1 = VALUE($B$11))),
            'ادخال البيانات'!$H$3:$H$1164
         ),
         ""
      ),
      IF(_xlpm.result="", "", _xlpm.result)
   )
)</f>
        <v/>
      </c>
      <c r="I697" s="27" t="str" cm="1">
        <f t="array" ref="I697">IF(
   A697="",
   "",
   _xlfn.LET(
      _xlpm.result,
      IFERROR(
         _xlfn.XLOOKUP(
            1,
            (Table8[رقم الصنف]=A697) *
            (IF($B$9="الكل",1, YEAR('ادخال البيانات'!$N$3:$N$1164)=VALUE($B$9))) *
            (IF($B$10="الكل",1, MONTH('ادخال البيانات'!$N$3:$N$1164)=VALUE($B$10))) *
            (IF($B$11="الكل",1, INT((DAY('ادخال البيانات'!$N$3:$N$1164)-1)/7)+1 = VALUE($B$11))),
            'ادخال البيانات'!$I$3:$I$1164
         ),
         ""
      ),
      IF(_xlpm.result="", "", _xlpm.result)
   )
)</f>
        <v/>
      </c>
      <c r="J697" s="27" t="str" cm="1">
        <f t="array" ref="J697">IF(
   A697="",
   "",
   _xlfn.LET(
      _xlpm.result,
      IFERROR(
         _xlfn.XLOOKUP(
            1,
            (Table8[رقم الصنف]=A697) *
            (IF($B$9="الكل",1, YEAR('ادخال البيانات'!$N$3:$N$1164)=VALUE($B$9))) *
            (IF($B$10="الكل",1, MONTH('ادخال البيانات'!$N$3:$N$1164)=VALUE($B$10))) *
            (IF($B$11="الكل",1, INT((DAY('ادخال البيانات'!$N$3:$N$1164)-1)/7)+1 = VALUE($B$11))),
            'ادخال البيانات'!$J$3:$J$1164
         ),
         ""
      ),
      IF(_xlpm.result="", "", _xlpm.result)
   )
)</f>
        <v/>
      </c>
      <c r="K697" s="27" t="str" cm="1">
        <f t="array" ref="K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7" s="27" t="str" cm="1">
        <f t="array" ref="L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7" s="27" t="str" cm="1">
        <f t="array" ref="M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7" s="28" t="str" cm="1">
        <f t="array" ref="N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7" s="28" t="str" cm="1">
        <f t="array" ref="O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7" s="27" t="str" cm="1">
        <f t="array" ref="P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Table8[جهة العطل]
         ),
         ""
      ),
      IF(_xlpm.result="", "", _xlpm.result)
   )
)</f>
        <v/>
      </c>
      <c r="Q697" s="27" t="str" cm="1">
        <f t="array" ref="Q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Table8[المركز]
         ),
         ""
      ),
      IF(_xlpm.result="", "", _xlpm.result)
   )
)</f>
        <v/>
      </c>
      <c r="R697" s="27" t="str" cm="1">
        <f t="array" ref="R697">IF(
   A697="",
   "",
   _xlfn.LET(
      _xlpm.result,
      IFERROR(
         _xlfn.XLOOKUP(
            1,
            (Table8[رقم الصنف]=A697) *
            (IF($B$9="الكل",1, YEAR('ادخال البيانات'!$N$3:$N$1164) = VALUE($B$9))) *
            (IF($B$10="الكل",1, MONTH('ادخال البيانات'!$N$3:$N$1164) = VALUE($B$10))) *
            (IF($B$11="الكل",1, INT((DAY('ادخال البيانات'!$N$3:$N$1164) - 1) / 7) + 1 = VALUE($B$11))),
            Table8[ملاحظة]
         ),
         ""
      ),
      IF(_xlpm.result="", "", _xlpm.result)
   )
)</f>
        <v/>
      </c>
      <c r="S697" s="46" t="str">
        <f t="shared" ca="1" si="11"/>
        <v/>
      </c>
    </row>
    <row r="698" spans="1:19" ht="15.6" thickTop="1" thickBot="1" x14ac:dyDescent="0.35">
      <c r="A698" s="39"/>
      <c r="B698" s="27" t="str" cm="1">
        <f t="array" ref="B698">IF(
   OR(A698="", $B$9="", $B$10="", $B$11=""),
   "",
   _xlfn.LET(
      _xlpm.result,
      IFERROR(
         _xlfn.XLOOKUP(
            1,
            (Table8[رقم الصنف]=A698)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8" s="27" t="str" cm="1">
        <f t="array" ref="C698">IF(
   A698="",
   "",
   _xlfn.LET(
      _xlpm.result,
      IFERROR(
         _xlfn.XLOOKUP(
            1,
            (Table8[رقم الصنف]=A698) *
            (IF($B$9="الكل",1, YEAR('ادخال البيانات'!$N$3:$N$1164) = VALUE($B$9))) *
            (IF($B$10="الكل",1, MONTH('ادخال البيانات'!$N$3:$N$1164) = VALUE($B$10))) *
            (IF($B$11="الكل",1, INT((DAY('ادخال البيانات'!$N$3:$N$1164)-1)/7)+1 = VALUE($B$11))),
            'ادخال البيانات'!$C$3:$C$1164
         ),
         ""
      ),
      IF(_xlpm.result="", "", _xlpm.result)
   )
)</f>
        <v/>
      </c>
      <c r="D698" s="27" t="str" cm="1">
        <f t="array" ref="D698">IF(
   OR(A698="", $B$9="", $B$10="", $B$11=""),
   "",
   _xlfn.LET(
      _xlpm.result,
      IFERROR(
         _xlfn.XLOOKUP(
            1,
            (Table8[رقم الصنف]=A698) *
            (IF($B$9="الكل",1, YEAR('ادخال البيانات'!$N$3:$N$1164)=VALUE($B$9))) *
            (IF($B$10="الكل",1, MONTH('ادخال البيانات'!$N$3:$N$1164)=VALUE($B$10))) *
            (IF($B$11="الكل",1, INT((DAY('ادخال البيانات'!$N$3:$N$1164)-1)/7)+1 = VALUE($B$11))),
            'ادخال البيانات'!$D$3:$D$1164
         ),
         ""
      ),
      IF(_xlpm.result="", "", _xlpm.result)
   )
)</f>
        <v/>
      </c>
      <c r="E698" s="27" t="str" cm="1">
        <f t="array" ref="E698">IF(
   A698="",
   "",
   _xlfn.LET(
      _xlpm.result,
      IFERROR(
         _xlfn.XLOOKUP(
            1,
            (Table8[رقم الصنف]=A698) *
            (IF($B$9="الكل",1, YEAR('ادخال البيانات'!$N$3:$N$1164)=VALUE($B$9))) *
            (IF($B$10="الكل",1, MONTH('ادخال البيانات'!$N$3:$N$1164)=VALUE($B$10))) *
            (IF($B$11="الكل",1, INT((DAY('ادخال البيانات'!$N$3:$N$1164)-1)/7)+1 = VALUE($B$11))),
            'ادخال البيانات'!$E$3:$E$1164
         ),
         ""
      ),
      IF(_xlpm.result="", "", _xlpm.result)
   )
)</f>
        <v/>
      </c>
      <c r="F698" s="27" t="str" cm="1">
        <f t="array" ref="F698">IF(
   A698="",
   "",
   _xlfn.LET(
      _xlpm.result,
      IFERROR(
         _xlfn.XLOOKUP(
            1,
            (Table8[رقم الصنف]=A698) *
            (IF($B$9="الكل",1, YEAR('ادخال البيانات'!$N$3:$N$1164) = VALUE($B$9))) *
            (IF($B$10="الكل",1, MONTH('ادخال البيانات'!$N$3:$N$1164) = VALUE($B$10))) *
            (IF($B$11="الكل",1, INT((DAY('ادخال البيانات'!$N$3:$N$1164)-1)/7)+1 = VALUE($B$11))),
            'ادخال البيانات'!$F$3:$F$1164
         ),
         ""
      ),
      IF(_xlpm.result="", "", _xlpm.result)
   )
)</f>
        <v/>
      </c>
      <c r="G698" s="27" t="str" cm="1">
        <f t="array" ref="G698">IF(
   A698="",
   "",
   _xlfn.LET(
      _xlpm.result,
      IFERROR(
         _xlfn.XLOOKUP(
            1,
            (Table8[رقم الصنف]=A698) *
            (IF($B$9="الكل",1, YEAR('ادخال البيانات'!$N$3:$N$1164)=VALUE($B$9))) *
            (IF($B$10="الكل",1, MONTH('ادخال البيانات'!$N$3:$N$1164)=VALUE($B$10))) *
            (IF($B$11="الكل",1, INT((DAY('ادخال البيانات'!$N$3:$N$1164)-1)/7)+1 = VALUE($B$11))),
            'ادخال البيانات'!$G$3:$G$1164
         ),
         ""
      ),
      IF(_xlpm.result="", "", _xlpm.result)
   )
)</f>
        <v/>
      </c>
      <c r="H698" s="27" t="str" cm="1">
        <f t="array" ref="H698">IF(
   A698="",
   "",
   _xlfn.LET(
      _xlpm.result,
      IFERROR(
         _xlfn.XLOOKUP(
            1,
            (Table8[رقم الصنف]=A698) *
            (IF($B$9="الكل",1, YEAR('ادخال البيانات'!$N$3:$N$1164)=VALUE($B$9))) *
            (IF($B$10="الكل",1, MONTH('ادخال البيانات'!$N$3:$N$1164)=VALUE($B$10))) *
            (IF($B$11="الكل",1, INT((DAY('ادخال البيانات'!$N$3:$N$1164)-1)/7)+1 = VALUE($B$11))),
            'ادخال البيانات'!$H$3:$H$1164
         ),
         ""
      ),
      IF(_xlpm.result="", "", _xlpm.result)
   )
)</f>
        <v/>
      </c>
      <c r="I698" s="27" t="str" cm="1">
        <f t="array" ref="I698">IF(
   A698="",
   "",
   _xlfn.LET(
      _xlpm.result,
      IFERROR(
         _xlfn.XLOOKUP(
            1,
            (Table8[رقم الصنف]=A698) *
            (IF($B$9="الكل",1, YEAR('ادخال البيانات'!$N$3:$N$1164)=VALUE($B$9))) *
            (IF($B$10="الكل",1, MONTH('ادخال البيانات'!$N$3:$N$1164)=VALUE($B$10))) *
            (IF($B$11="الكل",1, INT((DAY('ادخال البيانات'!$N$3:$N$1164)-1)/7)+1 = VALUE($B$11))),
            'ادخال البيانات'!$I$3:$I$1164
         ),
         ""
      ),
      IF(_xlpm.result="", "", _xlpm.result)
   )
)</f>
        <v/>
      </c>
      <c r="J698" s="27" t="str" cm="1">
        <f t="array" ref="J698">IF(
   A698="",
   "",
   _xlfn.LET(
      _xlpm.result,
      IFERROR(
         _xlfn.XLOOKUP(
            1,
            (Table8[رقم الصنف]=A698) *
            (IF($B$9="الكل",1, YEAR('ادخال البيانات'!$N$3:$N$1164)=VALUE($B$9))) *
            (IF($B$10="الكل",1, MONTH('ادخال البيانات'!$N$3:$N$1164)=VALUE($B$10))) *
            (IF($B$11="الكل",1, INT((DAY('ادخال البيانات'!$N$3:$N$1164)-1)/7)+1 = VALUE($B$11))),
            'ادخال البيانات'!$J$3:$J$1164
         ),
         ""
      ),
      IF(_xlpm.result="", "", _xlpm.result)
   )
)</f>
        <v/>
      </c>
      <c r="K698" s="27" t="str" cm="1">
        <f t="array" ref="K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8" s="27" t="str" cm="1">
        <f t="array" ref="L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8" s="27" t="str" cm="1">
        <f t="array" ref="M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8" s="28" t="str" cm="1">
        <f t="array" ref="N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8" s="28" t="str" cm="1">
        <f t="array" ref="O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8" s="27" t="str" cm="1">
        <f t="array" ref="P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Table8[جهة العطل]
         ),
         ""
      ),
      IF(_xlpm.result="", "", _xlpm.result)
   )
)</f>
        <v/>
      </c>
      <c r="Q698" s="27" t="str" cm="1">
        <f t="array" ref="Q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Table8[المركز]
         ),
         ""
      ),
      IF(_xlpm.result="", "", _xlpm.result)
   )
)</f>
        <v/>
      </c>
      <c r="R698" s="27" t="str" cm="1">
        <f t="array" ref="R698">IF(
   A698="",
   "",
   _xlfn.LET(
      _xlpm.result,
      IFERROR(
         _xlfn.XLOOKUP(
            1,
            (Table8[رقم الصنف]=A698) *
            (IF($B$9="الكل",1, YEAR('ادخال البيانات'!$N$3:$N$1164) = VALUE($B$9))) *
            (IF($B$10="الكل",1, MONTH('ادخال البيانات'!$N$3:$N$1164) = VALUE($B$10))) *
            (IF($B$11="الكل",1, INT((DAY('ادخال البيانات'!$N$3:$N$1164) - 1) / 7) + 1 = VALUE($B$11))),
            Table8[ملاحظة]
         ),
         ""
      ),
      IF(_xlpm.result="", "", _xlpm.result)
   )
)</f>
        <v/>
      </c>
      <c r="S698" s="46" t="str">
        <f t="shared" ca="1" si="11"/>
        <v/>
      </c>
    </row>
    <row r="699" spans="1:19" ht="15.6" thickTop="1" thickBot="1" x14ac:dyDescent="0.35">
      <c r="A699" s="39"/>
      <c r="B699" s="27" t="str" cm="1">
        <f t="array" ref="B699">IF(
   OR(A699="", $B$9="", $B$10="", $B$11=""),
   "",
   _xlfn.LET(
      _xlpm.result,
      IFERROR(
         _xlfn.XLOOKUP(
            1,
            (Table8[رقم الصنف]=A699)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699" s="27" t="str" cm="1">
        <f t="array" ref="C699">IF(
   A699="",
   "",
   _xlfn.LET(
      _xlpm.result,
      IFERROR(
         _xlfn.XLOOKUP(
            1,
            (Table8[رقم الصنف]=A699) *
            (IF($B$9="الكل",1, YEAR('ادخال البيانات'!$N$3:$N$1164) = VALUE($B$9))) *
            (IF($B$10="الكل",1, MONTH('ادخال البيانات'!$N$3:$N$1164) = VALUE($B$10))) *
            (IF($B$11="الكل",1, INT((DAY('ادخال البيانات'!$N$3:$N$1164)-1)/7)+1 = VALUE($B$11))),
            'ادخال البيانات'!$C$3:$C$1164
         ),
         ""
      ),
      IF(_xlpm.result="", "", _xlpm.result)
   )
)</f>
        <v/>
      </c>
      <c r="D699" s="27" t="str" cm="1">
        <f t="array" ref="D699">IF(
   OR(A699="", $B$9="", $B$10="", $B$11=""),
   "",
   _xlfn.LET(
      _xlpm.result,
      IFERROR(
         _xlfn.XLOOKUP(
            1,
            (Table8[رقم الصنف]=A699) *
            (IF($B$9="الكل",1, YEAR('ادخال البيانات'!$N$3:$N$1164)=VALUE($B$9))) *
            (IF($B$10="الكل",1, MONTH('ادخال البيانات'!$N$3:$N$1164)=VALUE($B$10))) *
            (IF($B$11="الكل",1, INT((DAY('ادخال البيانات'!$N$3:$N$1164)-1)/7)+1 = VALUE($B$11))),
            'ادخال البيانات'!$D$3:$D$1164
         ),
         ""
      ),
      IF(_xlpm.result="", "", _xlpm.result)
   )
)</f>
        <v/>
      </c>
      <c r="E699" s="27" t="str" cm="1">
        <f t="array" ref="E699">IF(
   A699="",
   "",
   _xlfn.LET(
      _xlpm.result,
      IFERROR(
         _xlfn.XLOOKUP(
            1,
            (Table8[رقم الصنف]=A699) *
            (IF($B$9="الكل",1, YEAR('ادخال البيانات'!$N$3:$N$1164)=VALUE($B$9))) *
            (IF($B$10="الكل",1, MONTH('ادخال البيانات'!$N$3:$N$1164)=VALUE($B$10))) *
            (IF($B$11="الكل",1, INT((DAY('ادخال البيانات'!$N$3:$N$1164)-1)/7)+1 = VALUE($B$11))),
            'ادخال البيانات'!$E$3:$E$1164
         ),
         ""
      ),
      IF(_xlpm.result="", "", _xlpm.result)
   )
)</f>
        <v/>
      </c>
      <c r="F699" s="27" t="str" cm="1">
        <f t="array" ref="F699">IF(
   A699="",
   "",
   _xlfn.LET(
      _xlpm.result,
      IFERROR(
         _xlfn.XLOOKUP(
            1,
            (Table8[رقم الصنف]=A699) *
            (IF($B$9="الكل",1, YEAR('ادخال البيانات'!$N$3:$N$1164) = VALUE($B$9))) *
            (IF($B$10="الكل",1, MONTH('ادخال البيانات'!$N$3:$N$1164) = VALUE($B$10))) *
            (IF($B$11="الكل",1, INT((DAY('ادخال البيانات'!$N$3:$N$1164)-1)/7)+1 = VALUE($B$11))),
            'ادخال البيانات'!$F$3:$F$1164
         ),
         ""
      ),
      IF(_xlpm.result="", "", _xlpm.result)
   )
)</f>
        <v/>
      </c>
      <c r="G699" s="27" t="str" cm="1">
        <f t="array" ref="G699">IF(
   A699="",
   "",
   _xlfn.LET(
      _xlpm.result,
      IFERROR(
         _xlfn.XLOOKUP(
            1,
            (Table8[رقم الصنف]=A699) *
            (IF($B$9="الكل",1, YEAR('ادخال البيانات'!$N$3:$N$1164)=VALUE($B$9))) *
            (IF($B$10="الكل",1, MONTH('ادخال البيانات'!$N$3:$N$1164)=VALUE($B$10))) *
            (IF($B$11="الكل",1, INT((DAY('ادخال البيانات'!$N$3:$N$1164)-1)/7)+1 = VALUE($B$11))),
            'ادخال البيانات'!$G$3:$G$1164
         ),
         ""
      ),
      IF(_xlpm.result="", "", _xlpm.result)
   )
)</f>
        <v/>
      </c>
      <c r="H699" s="27" t="str" cm="1">
        <f t="array" ref="H699">IF(
   A699="",
   "",
   _xlfn.LET(
      _xlpm.result,
      IFERROR(
         _xlfn.XLOOKUP(
            1,
            (Table8[رقم الصنف]=A699) *
            (IF($B$9="الكل",1, YEAR('ادخال البيانات'!$N$3:$N$1164)=VALUE($B$9))) *
            (IF($B$10="الكل",1, MONTH('ادخال البيانات'!$N$3:$N$1164)=VALUE($B$10))) *
            (IF($B$11="الكل",1, INT((DAY('ادخال البيانات'!$N$3:$N$1164)-1)/7)+1 = VALUE($B$11))),
            'ادخال البيانات'!$H$3:$H$1164
         ),
         ""
      ),
      IF(_xlpm.result="", "", _xlpm.result)
   )
)</f>
        <v/>
      </c>
      <c r="I699" s="27" t="str" cm="1">
        <f t="array" ref="I699">IF(
   A699="",
   "",
   _xlfn.LET(
      _xlpm.result,
      IFERROR(
         _xlfn.XLOOKUP(
            1,
            (Table8[رقم الصنف]=A699) *
            (IF($B$9="الكل",1, YEAR('ادخال البيانات'!$N$3:$N$1164)=VALUE($B$9))) *
            (IF($B$10="الكل",1, MONTH('ادخال البيانات'!$N$3:$N$1164)=VALUE($B$10))) *
            (IF($B$11="الكل",1, INT((DAY('ادخال البيانات'!$N$3:$N$1164)-1)/7)+1 = VALUE($B$11))),
            'ادخال البيانات'!$I$3:$I$1164
         ),
         ""
      ),
      IF(_xlpm.result="", "", _xlpm.result)
   )
)</f>
        <v/>
      </c>
      <c r="J699" s="27" t="str" cm="1">
        <f t="array" ref="J699">IF(
   A699="",
   "",
   _xlfn.LET(
      _xlpm.result,
      IFERROR(
         _xlfn.XLOOKUP(
            1,
            (Table8[رقم الصنف]=A699) *
            (IF($B$9="الكل",1, YEAR('ادخال البيانات'!$N$3:$N$1164)=VALUE($B$9))) *
            (IF($B$10="الكل",1, MONTH('ادخال البيانات'!$N$3:$N$1164)=VALUE($B$10))) *
            (IF($B$11="الكل",1, INT((DAY('ادخال البيانات'!$N$3:$N$1164)-1)/7)+1 = VALUE($B$11))),
            'ادخال البيانات'!$J$3:$J$1164
         ),
         ""
      ),
      IF(_xlpm.result="", "", _xlpm.result)
   )
)</f>
        <v/>
      </c>
      <c r="K699" s="27" t="str" cm="1">
        <f t="array" ref="K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699" s="27" t="str" cm="1">
        <f t="array" ref="L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699" s="27" t="str" cm="1">
        <f t="array" ref="M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699" s="28" t="str" cm="1">
        <f t="array" ref="N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699" s="28" t="str" cm="1">
        <f t="array" ref="O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699" s="27" t="str" cm="1">
        <f t="array" ref="P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Table8[جهة العطل]
         ),
         ""
      ),
      IF(_xlpm.result="", "", _xlpm.result)
   )
)</f>
        <v/>
      </c>
      <c r="Q699" s="27" t="str" cm="1">
        <f t="array" ref="Q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Table8[المركز]
         ),
         ""
      ),
      IF(_xlpm.result="", "", _xlpm.result)
   )
)</f>
        <v/>
      </c>
      <c r="R699" s="27" t="str" cm="1">
        <f t="array" ref="R699">IF(
   A699="",
   "",
   _xlfn.LET(
      _xlpm.result,
      IFERROR(
         _xlfn.XLOOKUP(
            1,
            (Table8[رقم الصنف]=A699) *
            (IF($B$9="الكل",1, YEAR('ادخال البيانات'!$N$3:$N$1164) = VALUE($B$9))) *
            (IF($B$10="الكل",1, MONTH('ادخال البيانات'!$N$3:$N$1164) = VALUE($B$10))) *
            (IF($B$11="الكل",1, INT((DAY('ادخال البيانات'!$N$3:$N$1164) - 1) / 7) + 1 = VALUE($B$11))),
            Table8[ملاحظة]
         ),
         ""
      ),
      IF(_xlpm.result="", "", _xlpm.result)
   )
)</f>
        <v/>
      </c>
      <c r="S699" s="46" t="str">
        <f t="shared" ca="1" si="11"/>
        <v/>
      </c>
    </row>
    <row r="700" spans="1:19" ht="15.6" thickTop="1" thickBot="1" x14ac:dyDescent="0.35">
      <c r="A700" s="39"/>
      <c r="B700" s="27" t="str" cm="1">
        <f t="array" ref="B700">IF(
   OR(A700="", $B$9="", $B$10="", $B$11=""),
   "",
   _xlfn.LET(
      _xlpm.result,
      IFERROR(
         _xlfn.XLOOKUP(
            1,
            (Table8[رقم الصنف]=A700)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0" s="27" t="str" cm="1">
        <f t="array" ref="C700">IF(
   A700="",
   "",
   _xlfn.LET(
      _xlpm.result,
      IFERROR(
         _xlfn.XLOOKUP(
            1,
            (Table8[رقم الصنف]=A700) *
            (IF($B$9="الكل",1, YEAR('ادخال البيانات'!$N$3:$N$1164) = VALUE($B$9))) *
            (IF($B$10="الكل",1, MONTH('ادخال البيانات'!$N$3:$N$1164) = VALUE($B$10))) *
            (IF($B$11="الكل",1, INT((DAY('ادخال البيانات'!$N$3:$N$1164)-1)/7)+1 = VALUE($B$11))),
            'ادخال البيانات'!$C$3:$C$1164
         ),
         ""
      ),
      IF(_xlpm.result="", "", _xlpm.result)
   )
)</f>
        <v/>
      </c>
      <c r="D700" s="27" t="str" cm="1">
        <f t="array" ref="D700">IF(
   OR(A700="", $B$9="", $B$10="", $B$11=""),
   "",
   _xlfn.LET(
      _xlpm.result,
      IFERROR(
         _xlfn.XLOOKUP(
            1,
            (Table8[رقم الصنف]=A700) *
            (IF($B$9="الكل",1, YEAR('ادخال البيانات'!$N$3:$N$1164)=VALUE($B$9))) *
            (IF($B$10="الكل",1, MONTH('ادخال البيانات'!$N$3:$N$1164)=VALUE($B$10))) *
            (IF($B$11="الكل",1, INT((DAY('ادخال البيانات'!$N$3:$N$1164)-1)/7)+1 = VALUE($B$11))),
            'ادخال البيانات'!$D$3:$D$1164
         ),
         ""
      ),
      IF(_xlpm.result="", "", _xlpm.result)
   )
)</f>
        <v/>
      </c>
      <c r="E700" s="27" t="str" cm="1">
        <f t="array" ref="E700">IF(
   A700="",
   "",
   _xlfn.LET(
      _xlpm.result,
      IFERROR(
         _xlfn.XLOOKUP(
            1,
            (Table8[رقم الصنف]=A700) *
            (IF($B$9="الكل",1, YEAR('ادخال البيانات'!$N$3:$N$1164)=VALUE($B$9))) *
            (IF($B$10="الكل",1, MONTH('ادخال البيانات'!$N$3:$N$1164)=VALUE($B$10))) *
            (IF($B$11="الكل",1, INT((DAY('ادخال البيانات'!$N$3:$N$1164)-1)/7)+1 = VALUE($B$11))),
            'ادخال البيانات'!$E$3:$E$1164
         ),
         ""
      ),
      IF(_xlpm.result="", "", _xlpm.result)
   )
)</f>
        <v/>
      </c>
      <c r="F700" s="27" t="str" cm="1">
        <f t="array" ref="F700">IF(
   A700="",
   "",
   _xlfn.LET(
      _xlpm.result,
      IFERROR(
         _xlfn.XLOOKUP(
            1,
            (Table8[رقم الصنف]=A700) *
            (IF($B$9="الكل",1, YEAR('ادخال البيانات'!$N$3:$N$1164) = VALUE($B$9))) *
            (IF($B$10="الكل",1, MONTH('ادخال البيانات'!$N$3:$N$1164) = VALUE($B$10))) *
            (IF($B$11="الكل",1, INT((DAY('ادخال البيانات'!$N$3:$N$1164)-1)/7)+1 = VALUE($B$11))),
            'ادخال البيانات'!$F$3:$F$1164
         ),
         ""
      ),
      IF(_xlpm.result="", "", _xlpm.result)
   )
)</f>
        <v/>
      </c>
      <c r="G700" s="27" t="str" cm="1">
        <f t="array" ref="G700">IF(
   A700="",
   "",
   _xlfn.LET(
      _xlpm.result,
      IFERROR(
         _xlfn.XLOOKUP(
            1,
            (Table8[رقم الصنف]=A700) *
            (IF($B$9="الكل",1, YEAR('ادخال البيانات'!$N$3:$N$1164)=VALUE($B$9))) *
            (IF($B$10="الكل",1, MONTH('ادخال البيانات'!$N$3:$N$1164)=VALUE($B$10))) *
            (IF($B$11="الكل",1, INT((DAY('ادخال البيانات'!$N$3:$N$1164)-1)/7)+1 = VALUE($B$11))),
            'ادخال البيانات'!$G$3:$G$1164
         ),
         ""
      ),
      IF(_xlpm.result="", "", _xlpm.result)
   )
)</f>
        <v/>
      </c>
      <c r="H700" s="27" t="str" cm="1">
        <f t="array" ref="H700">IF(
   A700="",
   "",
   _xlfn.LET(
      _xlpm.result,
      IFERROR(
         _xlfn.XLOOKUP(
            1,
            (Table8[رقم الصنف]=A700) *
            (IF($B$9="الكل",1, YEAR('ادخال البيانات'!$N$3:$N$1164)=VALUE($B$9))) *
            (IF($B$10="الكل",1, MONTH('ادخال البيانات'!$N$3:$N$1164)=VALUE($B$10))) *
            (IF($B$11="الكل",1, INT((DAY('ادخال البيانات'!$N$3:$N$1164)-1)/7)+1 = VALUE($B$11))),
            'ادخال البيانات'!$H$3:$H$1164
         ),
         ""
      ),
      IF(_xlpm.result="", "", _xlpm.result)
   )
)</f>
        <v/>
      </c>
      <c r="I700" s="27" t="str" cm="1">
        <f t="array" ref="I700">IF(
   A700="",
   "",
   _xlfn.LET(
      _xlpm.result,
      IFERROR(
         _xlfn.XLOOKUP(
            1,
            (Table8[رقم الصنف]=A700) *
            (IF($B$9="الكل",1, YEAR('ادخال البيانات'!$N$3:$N$1164)=VALUE($B$9))) *
            (IF($B$10="الكل",1, MONTH('ادخال البيانات'!$N$3:$N$1164)=VALUE($B$10))) *
            (IF($B$11="الكل",1, INT((DAY('ادخال البيانات'!$N$3:$N$1164)-1)/7)+1 = VALUE($B$11))),
            'ادخال البيانات'!$I$3:$I$1164
         ),
         ""
      ),
      IF(_xlpm.result="", "", _xlpm.result)
   )
)</f>
        <v/>
      </c>
      <c r="J700" s="27" t="str" cm="1">
        <f t="array" ref="J700">IF(
   A700="",
   "",
   _xlfn.LET(
      _xlpm.result,
      IFERROR(
         _xlfn.XLOOKUP(
            1,
            (Table8[رقم الصنف]=A700) *
            (IF($B$9="الكل",1, YEAR('ادخال البيانات'!$N$3:$N$1164)=VALUE($B$9))) *
            (IF($B$10="الكل",1, MONTH('ادخال البيانات'!$N$3:$N$1164)=VALUE($B$10))) *
            (IF($B$11="الكل",1, INT((DAY('ادخال البيانات'!$N$3:$N$1164)-1)/7)+1 = VALUE($B$11))),
            'ادخال البيانات'!$J$3:$J$1164
         ),
         ""
      ),
      IF(_xlpm.result="", "", _xlpm.result)
   )
)</f>
        <v/>
      </c>
      <c r="K700" s="27" t="str" cm="1">
        <f t="array" ref="K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0" s="27" t="str" cm="1">
        <f t="array" ref="L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0" s="27" t="str" cm="1">
        <f t="array" ref="M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0" s="28" t="str" cm="1">
        <f t="array" ref="N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0" s="28" t="str" cm="1">
        <f t="array" ref="O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0" s="27" t="str" cm="1">
        <f t="array" ref="P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Table8[جهة العطل]
         ),
         ""
      ),
      IF(_xlpm.result="", "", _xlpm.result)
   )
)</f>
        <v/>
      </c>
      <c r="Q700" s="27" t="str" cm="1">
        <f t="array" ref="Q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Table8[المركز]
         ),
         ""
      ),
      IF(_xlpm.result="", "", _xlpm.result)
   )
)</f>
        <v/>
      </c>
      <c r="R700" s="27" t="str" cm="1">
        <f t="array" ref="R700">IF(
   A700="",
   "",
   _xlfn.LET(
      _xlpm.result,
      IFERROR(
         _xlfn.XLOOKUP(
            1,
            (Table8[رقم الصنف]=A700) *
            (IF($B$9="الكل",1, YEAR('ادخال البيانات'!$N$3:$N$1164) = VALUE($B$9))) *
            (IF($B$10="الكل",1, MONTH('ادخال البيانات'!$N$3:$N$1164) = VALUE($B$10))) *
            (IF($B$11="الكل",1, INT((DAY('ادخال البيانات'!$N$3:$N$1164) - 1) / 7) + 1 = VALUE($B$11))),
            Table8[ملاحظة]
         ),
         ""
      ),
      IF(_xlpm.result="", "", _xlpm.result)
   )
)</f>
        <v/>
      </c>
      <c r="S700" s="46" t="str">
        <f t="shared" ca="1" si="11"/>
        <v/>
      </c>
    </row>
    <row r="701" spans="1:19" ht="15.6" thickTop="1" thickBot="1" x14ac:dyDescent="0.35">
      <c r="A701" s="39"/>
      <c r="B701" s="27" t="str" cm="1">
        <f t="array" ref="B701">IF(
   OR(A701="", $B$9="", $B$10="", $B$11=""),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1" s="27" t="str" cm="1">
        <f t="array" ref="C701">IF(
   A701="",
   "",
   _xlfn.LET(
      _xlpm.result,
      IFERROR(
         _xlfn.XLOOKUP(
            1,
            (Table8[رقم الصنف]=A701) *
            (IF($B$9="الكل",1, YEAR('ادخال البيانات'!$N$3:$N$1164) = VALUE($B$9))) *
            (IF($B$10="الكل",1, MONTH('ادخال البيانات'!$N$3:$N$1164) = VALUE($B$10))) *
            (IF($B$11="الكل",1, INT((DAY('ادخال البيانات'!$N$3:$N$1164)-1)/7)+1 = VALUE($B$11))),
            'ادخال البيانات'!$C$3:$C$1164
         ),
         ""
      ),
      IF(_xlpm.result="", "", _xlpm.result)
   )
)</f>
        <v/>
      </c>
      <c r="D701" s="27" t="str" cm="1">
        <f t="array" ref="D701">IF(
   OR(A701="", $B$9="", $B$10="", $B$11=""),
   "",
   _xlfn.LET(
      _xlpm.result,
      IFERROR(
         _xlfn.XLOOKUP(
            1,
            (Table8[رقم الصنف]=A701) *
            (IF($B$9="الكل",1, YEAR('ادخال البيانات'!$N$3:$N$1164)=VALUE($B$9))) *
            (IF($B$10="الكل",1, MONTH('ادخال البيانات'!$N$3:$N$1164)=VALUE($B$10))) *
            (IF($B$11="الكل",1, INT((DAY('ادخال البيانات'!$N$3:$N$1164)-1)/7)+1 = VALUE($B$11))),
            'ادخال البيانات'!$D$3:$D$1164
         ),
         ""
      ),
      IF(_xlpm.result="", "", _xlpm.result)
   )
)</f>
        <v/>
      </c>
      <c r="E701" s="27" t="str" cm="1">
        <f t="array" ref="E701">IF(
   A701="",
   "",
   _xlfn.LET(
      _xlpm.result,
      IFERROR(
         _xlfn.XLOOKUP(
            1,
            (Table8[رقم الصنف]=A701) *
            (IF($B$9="الكل",1, YEAR('ادخال البيانات'!$N$3:$N$1164)=VALUE($B$9))) *
            (IF($B$10="الكل",1, MONTH('ادخال البيانات'!$N$3:$N$1164)=VALUE($B$10))) *
            (IF($B$11="الكل",1, INT((DAY('ادخال البيانات'!$N$3:$N$1164)-1)/7)+1 = VALUE($B$11))),
            'ادخال البيانات'!$E$3:$E$1164
         ),
         ""
      ),
      IF(_xlpm.result="", "", _xlpm.result)
   )
)</f>
        <v/>
      </c>
      <c r="F701" s="27" t="str" cm="1">
        <f t="array" ref="F701">IF(
   A701="",
   "",
   _xlfn.LET(
      _xlpm.result,
      IFERROR(
         _xlfn.XLOOKUP(
            1,
            (Table8[رقم الصنف]=A701) *
            (IF($B$9="الكل",1, YEAR('ادخال البيانات'!$N$3:$N$1164) = VALUE($B$9))) *
            (IF($B$10="الكل",1, MONTH('ادخال البيانات'!$N$3:$N$1164) = VALUE($B$10))) *
            (IF($B$11="الكل",1, INT((DAY('ادخال البيانات'!$N$3:$N$1164)-1)/7)+1 = VALUE($B$11))),
            'ادخال البيانات'!$F$3:$F$1164
         ),
         ""
      ),
      IF(_xlpm.result="", "", _xlpm.result)
   )
)</f>
        <v/>
      </c>
      <c r="G701" s="27" t="str" cm="1">
        <f t="array" ref="G701">IF(
   A701="",
   "",
   _xlfn.LET(
      _xlpm.result,
      IFERROR(
         _xlfn.XLOOKUP(
            1,
            (Table8[رقم الصنف]=A701) *
            (IF($B$9="الكل",1, YEAR('ادخال البيانات'!$N$3:$N$1164)=VALUE($B$9))) *
            (IF($B$10="الكل",1, MONTH('ادخال البيانات'!$N$3:$N$1164)=VALUE($B$10))) *
            (IF($B$11="الكل",1, INT((DAY('ادخال البيانات'!$N$3:$N$1164)-1)/7)+1 = VALUE($B$11))),
            'ادخال البيانات'!$G$3:$G$1164
         ),
         ""
      ),
      IF(_xlpm.result="", "", _xlpm.result)
   )
)</f>
        <v/>
      </c>
      <c r="H701" s="27" t="str" cm="1">
        <f t="array" ref="H701">IF(
   A701="",
   "",
   _xlfn.LET(
      _xlpm.result,
      IFERROR(
         _xlfn.XLOOKUP(
            1,
            (Table8[رقم الصنف]=A701) *
            (IF($B$9="الكل",1, YEAR('ادخال البيانات'!$N$3:$N$1164)=VALUE($B$9))) *
            (IF($B$10="الكل",1, MONTH('ادخال البيانات'!$N$3:$N$1164)=VALUE($B$10))) *
            (IF($B$11="الكل",1, INT((DAY('ادخال البيانات'!$N$3:$N$1164)-1)/7)+1 = VALUE($B$11))),
            'ادخال البيانات'!$H$3:$H$1164
         ),
         ""
      ),
      IF(_xlpm.result="", "", _xlpm.result)
   )
)</f>
        <v/>
      </c>
      <c r="I701" s="27" t="str" cm="1">
        <f t="array" ref="I701">IF(
   A701="",
   "",
   _xlfn.LET(
      _xlpm.result,
      IFERROR(
         _xlfn.XLOOKUP(
            1,
            (Table8[رقم الصنف]=A701) *
            (IF($B$9="الكل",1, YEAR('ادخال البيانات'!$N$3:$N$1164)=VALUE($B$9))) *
            (IF($B$10="الكل",1, MONTH('ادخال البيانات'!$N$3:$N$1164)=VALUE($B$10))) *
            (IF($B$11="الكل",1, INT((DAY('ادخال البيانات'!$N$3:$N$1164)-1)/7)+1 = VALUE($B$11))),
            'ادخال البيانات'!$I$3:$I$1164
         ),
         ""
      ),
      IF(_xlpm.result="", "", _xlpm.result)
   )
)</f>
        <v/>
      </c>
      <c r="J701" s="27" t="str" cm="1">
        <f t="array" ref="J701">IF(
   A701="",
   "",
   _xlfn.LET(
      _xlpm.result,
      IFERROR(
         _xlfn.XLOOKUP(
            1,
            (Table8[رقم الصنف]=A701) *
            (IF($B$9="الكل",1, YEAR('ادخال البيانات'!$N$3:$N$1164)=VALUE($B$9))) *
            (IF($B$10="الكل",1, MONTH('ادخال البيانات'!$N$3:$N$1164)=VALUE($B$10))) *
            (IF($B$11="الكل",1, INT((DAY('ادخال البيانات'!$N$3:$N$1164)-1)/7)+1 = VALUE($B$11))),
            'ادخال البيانات'!$J$3:$J$1164
         ),
         ""
      ),
      IF(_xlpm.result="", "", _xlpm.result)
   )
)</f>
        <v/>
      </c>
      <c r="K701" s="27" t="str" cm="1">
        <f t="array" ref="K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1" s="27" t="str" cm="1">
        <f t="array" ref="L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1" s="27" t="str" cm="1">
        <f t="array" ref="M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1" s="28" t="str" cm="1">
        <f t="array" ref="N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1" s="28" t="str" cm="1">
        <f t="array" ref="O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1" s="27" t="str" cm="1">
        <f t="array" ref="P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Table8[جهة العطل]
         ),
         ""
      ),
      IF(_xlpm.result="", "", _xlpm.result)
   )
)</f>
        <v/>
      </c>
      <c r="Q701" s="27" t="str" cm="1">
        <f t="array" ref="Q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Table8[المركز]
         ),
         ""
      ),
      IF(_xlpm.result="", "", _xlpm.result)
   )
)</f>
        <v/>
      </c>
      <c r="R701" s="27" t="str" cm="1">
        <f t="array" ref="R701">IF(
   A701="",
   "",
   _xlfn.LET(
      _xlpm.result,
      IFERROR(
         _xlfn.XLOOKUP(
            1,
            (Table8[رقم الصنف]=A701) *
            (IF($B$9="الكل",1, YEAR('ادخال البيانات'!$N$3:$N$1164) = VALUE($B$9))) *
            (IF($B$10="الكل",1, MONTH('ادخال البيانات'!$N$3:$N$1164) = VALUE($B$10))) *
            (IF($B$11="الكل",1, INT((DAY('ادخال البيانات'!$N$3:$N$1164) - 1) / 7) + 1 = VALUE($B$11))),
            Table8[ملاحظة]
         ),
         ""
      ),
      IF(_xlpm.result="", "", _xlpm.result)
   )
)</f>
        <v/>
      </c>
      <c r="S701" s="46" t="str">
        <f t="shared" ca="1" si="11"/>
        <v/>
      </c>
    </row>
    <row r="702" spans="1:19" ht="15.6" thickTop="1" thickBot="1" x14ac:dyDescent="0.35">
      <c r="A702" s="39"/>
      <c r="B702" s="27" t="str" cm="1">
        <f t="array" ref="B702">IF(
   OR(A702="", $B$9="", $B$10="", $B$11=""),
   "",
   _xlfn.LET(
      _xlpm.result,
      IFERROR(
         _xlfn.XLOOKUP(
            1,
            (Table8[رقم الصنف]=A702)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2" s="27" t="str" cm="1">
        <f t="array" ref="C702">IF(
   A702="",
   "",
   _xlfn.LET(
      _xlpm.result,
      IFERROR(
         _xlfn.XLOOKUP(
            1,
            (Table8[رقم الصنف]=A702) *
            (IF($B$9="الكل",1, YEAR('ادخال البيانات'!$N$3:$N$1164) = VALUE($B$9))) *
            (IF($B$10="الكل",1, MONTH('ادخال البيانات'!$N$3:$N$1164) = VALUE($B$10))) *
            (IF($B$11="الكل",1, INT((DAY('ادخال البيانات'!$N$3:$N$1164)-1)/7)+1 = VALUE($B$11))),
            'ادخال البيانات'!$C$3:$C$1164
         ),
         ""
      ),
      IF(_xlpm.result="", "", _xlpm.result)
   )
)</f>
        <v/>
      </c>
      <c r="D702" s="27" t="str" cm="1">
        <f t="array" ref="D702">IF(
   OR(A702="", $B$9="", $B$10="", $B$11=""),
   "",
   _xlfn.LET(
      _xlpm.result,
      IFERROR(
         _xlfn.XLOOKUP(
            1,
            (Table8[رقم الصنف]=A702) *
            (IF($B$9="الكل",1, YEAR('ادخال البيانات'!$N$3:$N$1164)=VALUE($B$9))) *
            (IF($B$10="الكل",1, MONTH('ادخال البيانات'!$N$3:$N$1164)=VALUE($B$10))) *
            (IF($B$11="الكل",1, INT((DAY('ادخال البيانات'!$N$3:$N$1164)-1)/7)+1 = VALUE($B$11))),
            'ادخال البيانات'!$D$3:$D$1164
         ),
         ""
      ),
      IF(_xlpm.result="", "", _xlpm.result)
   )
)</f>
        <v/>
      </c>
      <c r="E702" s="27" t="str" cm="1">
        <f t="array" ref="E702">IF(
   A702="",
   "",
   _xlfn.LET(
      _xlpm.result,
      IFERROR(
         _xlfn.XLOOKUP(
            1,
            (Table8[رقم الصنف]=A702) *
            (IF($B$9="الكل",1, YEAR('ادخال البيانات'!$N$3:$N$1164)=VALUE($B$9))) *
            (IF($B$10="الكل",1, MONTH('ادخال البيانات'!$N$3:$N$1164)=VALUE($B$10))) *
            (IF($B$11="الكل",1, INT((DAY('ادخال البيانات'!$N$3:$N$1164)-1)/7)+1 = VALUE($B$11))),
            'ادخال البيانات'!$E$3:$E$1164
         ),
         ""
      ),
      IF(_xlpm.result="", "", _xlpm.result)
   )
)</f>
        <v/>
      </c>
      <c r="F702" s="27" t="str" cm="1">
        <f t="array" ref="F702">IF(
   A702="",
   "",
   _xlfn.LET(
      _xlpm.result,
      IFERROR(
         _xlfn.XLOOKUP(
            1,
            (Table8[رقم الصنف]=A702) *
            (IF($B$9="الكل",1, YEAR('ادخال البيانات'!$N$3:$N$1164) = VALUE($B$9))) *
            (IF($B$10="الكل",1, MONTH('ادخال البيانات'!$N$3:$N$1164) = VALUE($B$10))) *
            (IF($B$11="الكل",1, INT((DAY('ادخال البيانات'!$N$3:$N$1164)-1)/7)+1 = VALUE($B$11))),
            'ادخال البيانات'!$F$3:$F$1164
         ),
         ""
      ),
      IF(_xlpm.result="", "", _xlpm.result)
   )
)</f>
        <v/>
      </c>
      <c r="G702" s="27" t="str" cm="1">
        <f t="array" ref="G702">IF(
   A702="",
   "",
   _xlfn.LET(
      _xlpm.result,
      IFERROR(
         _xlfn.XLOOKUP(
            1,
            (Table8[رقم الصنف]=A702) *
            (IF($B$9="الكل",1, YEAR('ادخال البيانات'!$N$3:$N$1164)=VALUE($B$9))) *
            (IF($B$10="الكل",1, MONTH('ادخال البيانات'!$N$3:$N$1164)=VALUE($B$10))) *
            (IF($B$11="الكل",1, INT((DAY('ادخال البيانات'!$N$3:$N$1164)-1)/7)+1 = VALUE($B$11))),
            'ادخال البيانات'!$G$3:$G$1164
         ),
         ""
      ),
      IF(_xlpm.result="", "", _xlpm.result)
   )
)</f>
        <v/>
      </c>
      <c r="H702" s="27" t="str" cm="1">
        <f t="array" ref="H702">IF(
   A702="",
   "",
   _xlfn.LET(
      _xlpm.result,
      IFERROR(
         _xlfn.XLOOKUP(
            1,
            (Table8[رقم الصنف]=A702) *
            (IF($B$9="الكل",1, YEAR('ادخال البيانات'!$N$3:$N$1164)=VALUE($B$9))) *
            (IF($B$10="الكل",1, MONTH('ادخال البيانات'!$N$3:$N$1164)=VALUE($B$10))) *
            (IF($B$11="الكل",1, INT((DAY('ادخال البيانات'!$N$3:$N$1164)-1)/7)+1 = VALUE($B$11))),
            'ادخال البيانات'!$H$3:$H$1164
         ),
         ""
      ),
      IF(_xlpm.result="", "", _xlpm.result)
   )
)</f>
        <v/>
      </c>
      <c r="I702" s="27" t="str" cm="1">
        <f t="array" ref="I702">IF(
   A702="",
   "",
   _xlfn.LET(
      _xlpm.result,
      IFERROR(
         _xlfn.XLOOKUP(
            1,
            (Table8[رقم الصنف]=A702) *
            (IF($B$9="الكل",1, YEAR('ادخال البيانات'!$N$3:$N$1164)=VALUE($B$9))) *
            (IF($B$10="الكل",1, MONTH('ادخال البيانات'!$N$3:$N$1164)=VALUE($B$10))) *
            (IF($B$11="الكل",1, INT((DAY('ادخال البيانات'!$N$3:$N$1164)-1)/7)+1 = VALUE($B$11))),
            'ادخال البيانات'!$I$3:$I$1164
         ),
         ""
      ),
      IF(_xlpm.result="", "", _xlpm.result)
   )
)</f>
        <v/>
      </c>
      <c r="J702" s="27" t="str" cm="1">
        <f t="array" ref="J702">IF(
   A702="",
   "",
   _xlfn.LET(
      _xlpm.result,
      IFERROR(
         _xlfn.XLOOKUP(
            1,
            (Table8[رقم الصنف]=A702) *
            (IF($B$9="الكل",1, YEAR('ادخال البيانات'!$N$3:$N$1164)=VALUE($B$9))) *
            (IF($B$10="الكل",1, MONTH('ادخال البيانات'!$N$3:$N$1164)=VALUE($B$10))) *
            (IF($B$11="الكل",1, INT((DAY('ادخال البيانات'!$N$3:$N$1164)-1)/7)+1 = VALUE($B$11))),
            'ادخال البيانات'!$J$3:$J$1164
         ),
         ""
      ),
      IF(_xlpm.result="", "", _xlpm.result)
   )
)</f>
        <v/>
      </c>
      <c r="K702" s="27" t="str" cm="1">
        <f t="array" ref="K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2" s="27" t="str" cm="1">
        <f t="array" ref="L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2" s="27" t="str" cm="1">
        <f t="array" ref="M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2" s="28" t="str" cm="1">
        <f t="array" ref="N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2" s="28" t="str" cm="1">
        <f t="array" ref="O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2" s="27" t="str" cm="1">
        <f t="array" ref="P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Table8[جهة العطل]
         ),
         ""
      ),
      IF(_xlpm.result="", "", _xlpm.result)
   )
)</f>
        <v/>
      </c>
      <c r="Q702" s="27" t="str" cm="1">
        <f t="array" ref="Q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Table8[المركز]
         ),
         ""
      ),
      IF(_xlpm.result="", "", _xlpm.result)
   )
)</f>
        <v/>
      </c>
      <c r="R702" s="27" t="str" cm="1">
        <f t="array" ref="R702">IF(
   A702="",
   "",
   _xlfn.LET(
      _xlpm.result,
      IFERROR(
         _xlfn.XLOOKUP(
            1,
            (Table8[رقم الصنف]=A702) *
            (IF($B$9="الكل",1, YEAR('ادخال البيانات'!$N$3:$N$1164) = VALUE($B$9))) *
            (IF($B$10="الكل",1, MONTH('ادخال البيانات'!$N$3:$N$1164) = VALUE($B$10))) *
            (IF($B$11="الكل",1, INT((DAY('ادخال البيانات'!$N$3:$N$1164) - 1) / 7) + 1 = VALUE($B$11))),
            Table8[ملاحظة]
         ),
         ""
      ),
      IF(_xlpm.result="", "", _xlpm.result)
   )
)</f>
        <v/>
      </c>
      <c r="S702" s="46" t="str">
        <f t="shared" ca="1" si="11"/>
        <v/>
      </c>
    </row>
    <row r="703" spans="1:19" ht="15.6" thickTop="1" thickBot="1" x14ac:dyDescent="0.35">
      <c r="A703" s="39"/>
      <c r="B703" s="27" t="str" cm="1">
        <f t="array" ref="B703">IF(
   OR(A703="", $B$9="", $B$10="", $B$11=""),
   "",
   _xlfn.LET(
      _xlpm.result,
      IFERROR(
         _xlfn.XLOOKUP(
            1,
            (Table8[رقم الصنف]=A703)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3" s="27" t="str" cm="1">
        <f t="array" ref="C703">IF(
   A703="",
   "",
   _xlfn.LET(
      _xlpm.result,
      IFERROR(
         _xlfn.XLOOKUP(
            1,
            (Table8[رقم الصنف]=A703) *
            (IF($B$9="الكل",1, YEAR('ادخال البيانات'!$N$3:$N$1164) = VALUE($B$9))) *
            (IF($B$10="الكل",1, MONTH('ادخال البيانات'!$N$3:$N$1164) = VALUE($B$10))) *
            (IF($B$11="الكل",1, INT((DAY('ادخال البيانات'!$N$3:$N$1164)-1)/7)+1 = VALUE($B$11))),
            'ادخال البيانات'!$C$3:$C$1164
         ),
         ""
      ),
      IF(_xlpm.result="", "", _xlpm.result)
   )
)</f>
        <v/>
      </c>
      <c r="D703" s="27" t="str" cm="1">
        <f t="array" ref="D703">IF(
   OR(A703="", $B$9="", $B$10="", $B$11=""),
   "",
   _xlfn.LET(
      _xlpm.result,
      IFERROR(
         _xlfn.XLOOKUP(
            1,
            (Table8[رقم الصنف]=A703) *
            (IF($B$9="الكل",1, YEAR('ادخال البيانات'!$N$3:$N$1164)=VALUE($B$9))) *
            (IF($B$10="الكل",1, MONTH('ادخال البيانات'!$N$3:$N$1164)=VALUE($B$10))) *
            (IF($B$11="الكل",1, INT((DAY('ادخال البيانات'!$N$3:$N$1164)-1)/7)+1 = VALUE($B$11))),
            'ادخال البيانات'!$D$3:$D$1164
         ),
         ""
      ),
      IF(_xlpm.result="", "", _xlpm.result)
   )
)</f>
        <v/>
      </c>
      <c r="E703" s="27" t="str" cm="1">
        <f t="array" ref="E703">IF(
   A703="",
   "",
   _xlfn.LET(
      _xlpm.result,
      IFERROR(
         _xlfn.XLOOKUP(
            1,
            (Table8[رقم الصنف]=A703) *
            (IF($B$9="الكل",1, YEAR('ادخال البيانات'!$N$3:$N$1164)=VALUE($B$9))) *
            (IF($B$10="الكل",1, MONTH('ادخال البيانات'!$N$3:$N$1164)=VALUE($B$10))) *
            (IF($B$11="الكل",1, INT((DAY('ادخال البيانات'!$N$3:$N$1164)-1)/7)+1 = VALUE($B$11))),
            'ادخال البيانات'!$E$3:$E$1164
         ),
         ""
      ),
      IF(_xlpm.result="", "", _xlpm.result)
   )
)</f>
        <v/>
      </c>
      <c r="F703" s="27" t="str" cm="1">
        <f t="array" ref="F703">IF(
   A703="",
   "",
   _xlfn.LET(
      _xlpm.result,
      IFERROR(
         _xlfn.XLOOKUP(
            1,
            (Table8[رقم الصنف]=A703) *
            (IF($B$9="الكل",1, YEAR('ادخال البيانات'!$N$3:$N$1164) = VALUE($B$9))) *
            (IF($B$10="الكل",1, MONTH('ادخال البيانات'!$N$3:$N$1164) = VALUE($B$10))) *
            (IF($B$11="الكل",1, INT((DAY('ادخال البيانات'!$N$3:$N$1164)-1)/7)+1 = VALUE($B$11))),
            'ادخال البيانات'!$F$3:$F$1164
         ),
         ""
      ),
      IF(_xlpm.result="", "", _xlpm.result)
   )
)</f>
        <v/>
      </c>
      <c r="G703" s="27" t="str" cm="1">
        <f t="array" ref="G703">IF(
   A703="",
   "",
   _xlfn.LET(
      _xlpm.result,
      IFERROR(
         _xlfn.XLOOKUP(
            1,
            (Table8[رقم الصنف]=A703) *
            (IF($B$9="الكل",1, YEAR('ادخال البيانات'!$N$3:$N$1164)=VALUE($B$9))) *
            (IF($B$10="الكل",1, MONTH('ادخال البيانات'!$N$3:$N$1164)=VALUE($B$10))) *
            (IF($B$11="الكل",1, INT((DAY('ادخال البيانات'!$N$3:$N$1164)-1)/7)+1 = VALUE($B$11))),
            'ادخال البيانات'!$G$3:$G$1164
         ),
         ""
      ),
      IF(_xlpm.result="", "", _xlpm.result)
   )
)</f>
        <v/>
      </c>
      <c r="H703" s="27" t="str" cm="1">
        <f t="array" ref="H703">IF(
   A703="",
   "",
   _xlfn.LET(
      _xlpm.result,
      IFERROR(
         _xlfn.XLOOKUP(
            1,
            (Table8[رقم الصنف]=A703) *
            (IF($B$9="الكل",1, YEAR('ادخال البيانات'!$N$3:$N$1164)=VALUE($B$9))) *
            (IF($B$10="الكل",1, MONTH('ادخال البيانات'!$N$3:$N$1164)=VALUE($B$10))) *
            (IF($B$11="الكل",1, INT((DAY('ادخال البيانات'!$N$3:$N$1164)-1)/7)+1 = VALUE($B$11))),
            'ادخال البيانات'!$H$3:$H$1164
         ),
         ""
      ),
      IF(_xlpm.result="", "", _xlpm.result)
   )
)</f>
        <v/>
      </c>
      <c r="I703" s="27" t="str" cm="1">
        <f t="array" ref="I703">IF(
   A703="",
   "",
   _xlfn.LET(
      _xlpm.result,
      IFERROR(
         _xlfn.XLOOKUP(
            1,
            (Table8[رقم الصنف]=A703) *
            (IF($B$9="الكل",1, YEAR('ادخال البيانات'!$N$3:$N$1164)=VALUE($B$9))) *
            (IF($B$10="الكل",1, MONTH('ادخال البيانات'!$N$3:$N$1164)=VALUE($B$10))) *
            (IF($B$11="الكل",1, INT((DAY('ادخال البيانات'!$N$3:$N$1164)-1)/7)+1 = VALUE($B$11))),
            'ادخال البيانات'!$I$3:$I$1164
         ),
         ""
      ),
      IF(_xlpm.result="", "", _xlpm.result)
   )
)</f>
        <v/>
      </c>
      <c r="J703" s="27" t="str" cm="1">
        <f t="array" ref="J703">IF(
   A703="",
   "",
   _xlfn.LET(
      _xlpm.result,
      IFERROR(
         _xlfn.XLOOKUP(
            1,
            (Table8[رقم الصنف]=A703) *
            (IF($B$9="الكل",1, YEAR('ادخال البيانات'!$N$3:$N$1164)=VALUE($B$9))) *
            (IF($B$10="الكل",1, MONTH('ادخال البيانات'!$N$3:$N$1164)=VALUE($B$10))) *
            (IF($B$11="الكل",1, INT((DAY('ادخال البيانات'!$N$3:$N$1164)-1)/7)+1 = VALUE($B$11))),
            'ادخال البيانات'!$J$3:$J$1164
         ),
         ""
      ),
      IF(_xlpm.result="", "", _xlpm.result)
   )
)</f>
        <v/>
      </c>
      <c r="K703" s="27" t="str" cm="1">
        <f t="array" ref="K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3" s="27" t="str" cm="1">
        <f t="array" ref="L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3" s="27" t="str" cm="1">
        <f t="array" ref="M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3" s="28" t="str" cm="1">
        <f t="array" ref="N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3" s="28" t="str" cm="1">
        <f t="array" ref="O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3" s="27" t="str" cm="1">
        <f t="array" ref="P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Table8[جهة العطل]
         ),
         ""
      ),
      IF(_xlpm.result="", "", _xlpm.result)
   )
)</f>
        <v/>
      </c>
      <c r="Q703" s="27" t="str" cm="1">
        <f t="array" ref="Q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Table8[المركز]
         ),
         ""
      ),
      IF(_xlpm.result="", "", _xlpm.result)
   )
)</f>
        <v/>
      </c>
      <c r="R703" s="27" t="str" cm="1">
        <f t="array" ref="R703">IF(
   A703="",
   "",
   _xlfn.LET(
      _xlpm.result,
      IFERROR(
         _xlfn.XLOOKUP(
            1,
            (Table8[رقم الصنف]=A703) *
            (IF($B$9="الكل",1, YEAR('ادخال البيانات'!$N$3:$N$1164) = VALUE($B$9))) *
            (IF($B$10="الكل",1, MONTH('ادخال البيانات'!$N$3:$N$1164) = VALUE($B$10))) *
            (IF($B$11="الكل",1, INT((DAY('ادخال البيانات'!$N$3:$N$1164) - 1) / 7) + 1 = VALUE($B$11))),
            Table8[ملاحظة]
         ),
         ""
      ),
      IF(_xlpm.result="", "", _xlpm.result)
   )
)</f>
        <v/>
      </c>
      <c r="S703" s="46" t="str">
        <f t="shared" ca="1" si="11"/>
        <v/>
      </c>
    </row>
    <row r="704" spans="1:19" ht="15.6" thickTop="1" thickBot="1" x14ac:dyDescent="0.35">
      <c r="A704" s="39"/>
      <c r="B704" s="27" t="str" cm="1">
        <f t="array" ref="B704">IF(
   OR(A704="", $B$9="", $B$10="", $B$11=""),
   "",
   _xlfn.LET(
      _xlpm.result,
      IFERROR(
         _xlfn.XLOOKUP(
            1,
            (Table8[رقم الصنف]=A704)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4" s="27" t="str" cm="1">
        <f t="array" ref="C704">IF(
   A704="",
   "",
   _xlfn.LET(
      _xlpm.result,
      IFERROR(
         _xlfn.XLOOKUP(
            1,
            (Table8[رقم الصنف]=A704) *
            (IF($B$9="الكل",1, YEAR('ادخال البيانات'!$N$3:$N$1164) = VALUE($B$9))) *
            (IF($B$10="الكل",1, MONTH('ادخال البيانات'!$N$3:$N$1164) = VALUE($B$10))) *
            (IF($B$11="الكل",1, INT((DAY('ادخال البيانات'!$N$3:$N$1164)-1)/7)+1 = VALUE($B$11))),
            'ادخال البيانات'!$C$3:$C$1164
         ),
         ""
      ),
      IF(_xlpm.result="", "", _xlpm.result)
   )
)</f>
        <v/>
      </c>
      <c r="D704" s="27" t="str" cm="1">
        <f t="array" ref="D704">IF(
   OR(A704="", $B$9="", $B$10="", $B$11=""),
   "",
   _xlfn.LET(
      _xlpm.result,
      IFERROR(
         _xlfn.XLOOKUP(
            1,
            (Table8[رقم الصنف]=A704) *
            (IF($B$9="الكل",1, YEAR('ادخال البيانات'!$N$3:$N$1164)=VALUE($B$9))) *
            (IF($B$10="الكل",1, MONTH('ادخال البيانات'!$N$3:$N$1164)=VALUE($B$10))) *
            (IF($B$11="الكل",1, INT((DAY('ادخال البيانات'!$N$3:$N$1164)-1)/7)+1 = VALUE($B$11))),
            'ادخال البيانات'!$D$3:$D$1164
         ),
         ""
      ),
      IF(_xlpm.result="", "", _xlpm.result)
   )
)</f>
        <v/>
      </c>
      <c r="E704" s="27" t="str" cm="1">
        <f t="array" ref="E704">IF(
   A704="",
   "",
   _xlfn.LET(
      _xlpm.result,
      IFERROR(
         _xlfn.XLOOKUP(
            1,
            (Table8[رقم الصنف]=A704) *
            (IF($B$9="الكل",1, YEAR('ادخال البيانات'!$N$3:$N$1164)=VALUE($B$9))) *
            (IF($B$10="الكل",1, MONTH('ادخال البيانات'!$N$3:$N$1164)=VALUE($B$10))) *
            (IF($B$11="الكل",1, INT((DAY('ادخال البيانات'!$N$3:$N$1164)-1)/7)+1 = VALUE($B$11))),
            'ادخال البيانات'!$E$3:$E$1164
         ),
         ""
      ),
      IF(_xlpm.result="", "", _xlpm.result)
   )
)</f>
        <v/>
      </c>
      <c r="F704" s="27" t="str" cm="1">
        <f t="array" ref="F704">IF(
   A704="",
   "",
   _xlfn.LET(
      _xlpm.result,
      IFERROR(
         _xlfn.XLOOKUP(
            1,
            (Table8[رقم الصنف]=A704) *
            (IF($B$9="الكل",1, YEAR('ادخال البيانات'!$N$3:$N$1164) = VALUE($B$9))) *
            (IF($B$10="الكل",1, MONTH('ادخال البيانات'!$N$3:$N$1164) = VALUE($B$10))) *
            (IF($B$11="الكل",1, INT((DAY('ادخال البيانات'!$N$3:$N$1164)-1)/7)+1 = VALUE($B$11))),
            'ادخال البيانات'!$F$3:$F$1164
         ),
         ""
      ),
      IF(_xlpm.result="", "", _xlpm.result)
   )
)</f>
        <v/>
      </c>
      <c r="G704" s="27" t="str" cm="1">
        <f t="array" ref="G704">IF(
   A704="",
   "",
   _xlfn.LET(
      _xlpm.result,
      IFERROR(
         _xlfn.XLOOKUP(
            1,
            (Table8[رقم الصنف]=A704) *
            (IF($B$9="الكل",1, YEAR('ادخال البيانات'!$N$3:$N$1164)=VALUE($B$9))) *
            (IF($B$10="الكل",1, MONTH('ادخال البيانات'!$N$3:$N$1164)=VALUE($B$10))) *
            (IF($B$11="الكل",1, INT((DAY('ادخال البيانات'!$N$3:$N$1164)-1)/7)+1 = VALUE($B$11))),
            'ادخال البيانات'!$G$3:$G$1164
         ),
         ""
      ),
      IF(_xlpm.result="", "", _xlpm.result)
   )
)</f>
        <v/>
      </c>
      <c r="H704" s="27" t="str" cm="1">
        <f t="array" ref="H704">IF(
   A704="",
   "",
   _xlfn.LET(
      _xlpm.result,
      IFERROR(
         _xlfn.XLOOKUP(
            1,
            (Table8[رقم الصنف]=A704) *
            (IF($B$9="الكل",1, YEAR('ادخال البيانات'!$N$3:$N$1164)=VALUE($B$9))) *
            (IF($B$10="الكل",1, MONTH('ادخال البيانات'!$N$3:$N$1164)=VALUE($B$10))) *
            (IF($B$11="الكل",1, INT((DAY('ادخال البيانات'!$N$3:$N$1164)-1)/7)+1 = VALUE($B$11))),
            'ادخال البيانات'!$H$3:$H$1164
         ),
         ""
      ),
      IF(_xlpm.result="", "", _xlpm.result)
   )
)</f>
        <v/>
      </c>
      <c r="I704" s="27" t="str" cm="1">
        <f t="array" ref="I704">IF(
   A704="",
   "",
   _xlfn.LET(
      _xlpm.result,
      IFERROR(
         _xlfn.XLOOKUP(
            1,
            (Table8[رقم الصنف]=A704) *
            (IF($B$9="الكل",1, YEAR('ادخال البيانات'!$N$3:$N$1164)=VALUE($B$9))) *
            (IF($B$10="الكل",1, MONTH('ادخال البيانات'!$N$3:$N$1164)=VALUE($B$10))) *
            (IF($B$11="الكل",1, INT((DAY('ادخال البيانات'!$N$3:$N$1164)-1)/7)+1 = VALUE($B$11))),
            'ادخال البيانات'!$I$3:$I$1164
         ),
         ""
      ),
      IF(_xlpm.result="", "", _xlpm.result)
   )
)</f>
        <v/>
      </c>
      <c r="J704" s="27" t="str" cm="1">
        <f t="array" ref="J704">IF(
   A704="",
   "",
   _xlfn.LET(
      _xlpm.result,
      IFERROR(
         _xlfn.XLOOKUP(
            1,
            (Table8[رقم الصنف]=A704) *
            (IF($B$9="الكل",1, YEAR('ادخال البيانات'!$N$3:$N$1164)=VALUE($B$9))) *
            (IF($B$10="الكل",1, MONTH('ادخال البيانات'!$N$3:$N$1164)=VALUE($B$10))) *
            (IF($B$11="الكل",1, INT((DAY('ادخال البيانات'!$N$3:$N$1164)-1)/7)+1 = VALUE($B$11))),
            'ادخال البيانات'!$J$3:$J$1164
         ),
         ""
      ),
      IF(_xlpm.result="", "", _xlpm.result)
   )
)</f>
        <v/>
      </c>
      <c r="K704" s="27" t="str" cm="1">
        <f t="array" ref="K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4" s="27" t="str" cm="1">
        <f t="array" ref="L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4" s="27" t="str" cm="1">
        <f t="array" ref="M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4" s="28" t="str" cm="1">
        <f t="array" ref="N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4" s="28" t="str" cm="1">
        <f t="array" ref="O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4" s="27" t="str" cm="1">
        <f t="array" ref="P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Table8[جهة العطل]
         ),
         ""
      ),
      IF(_xlpm.result="", "", _xlpm.result)
   )
)</f>
        <v/>
      </c>
      <c r="Q704" s="27" t="str" cm="1">
        <f t="array" ref="Q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Table8[المركز]
         ),
         ""
      ),
      IF(_xlpm.result="", "", _xlpm.result)
   )
)</f>
        <v/>
      </c>
      <c r="R704" s="27" t="str" cm="1">
        <f t="array" ref="R704">IF(
   A704="",
   "",
   _xlfn.LET(
      _xlpm.result,
      IFERROR(
         _xlfn.XLOOKUP(
            1,
            (Table8[رقم الصنف]=A704) *
            (IF($B$9="الكل",1, YEAR('ادخال البيانات'!$N$3:$N$1164) = VALUE($B$9))) *
            (IF($B$10="الكل",1, MONTH('ادخال البيانات'!$N$3:$N$1164) = VALUE($B$10))) *
            (IF($B$11="الكل",1, INT((DAY('ادخال البيانات'!$N$3:$N$1164) - 1) / 7) + 1 = VALUE($B$11))),
            Table8[ملاحظة]
         ),
         ""
      ),
      IF(_xlpm.result="", "", _xlpm.result)
   )
)</f>
        <v/>
      </c>
      <c r="S704" s="46" t="str">
        <f t="shared" ca="1" si="11"/>
        <v/>
      </c>
    </row>
    <row r="705" spans="1:19" ht="15.6" thickTop="1" thickBot="1" x14ac:dyDescent="0.35">
      <c r="A705" s="39"/>
      <c r="B705" s="27" t="str" cm="1">
        <f t="array" ref="B705">IF(
   OR(A705="", $B$9="", $B$10="", $B$11=""),
   "",
   _xlfn.LET(
      _xlpm.result,
      IFERROR(
         _xlfn.XLOOKUP(
            1,
            (Table8[رقم الصنف]=A705)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5" s="27" t="str" cm="1">
        <f t="array" ref="C705">IF(
   A705="",
   "",
   _xlfn.LET(
      _xlpm.result,
      IFERROR(
         _xlfn.XLOOKUP(
            1,
            (Table8[رقم الصنف]=A705) *
            (IF($B$9="الكل",1, YEAR('ادخال البيانات'!$N$3:$N$1164) = VALUE($B$9))) *
            (IF($B$10="الكل",1, MONTH('ادخال البيانات'!$N$3:$N$1164) = VALUE($B$10))) *
            (IF($B$11="الكل",1, INT((DAY('ادخال البيانات'!$N$3:$N$1164)-1)/7)+1 = VALUE($B$11))),
            'ادخال البيانات'!$C$3:$C$1164
         ),
         ""
      ),
      IF(_xlpm.result="", "", _xlpm.result)
   )
)</f>
        <v/>
      </c>
      <c r="D705" s="27" t="str" cm="1">
        <f t="array" ref="D705">IF(
   OR(A705="", $B$9="", $B$10="", $B$11=""),
   "",
   _xlfn.LET(
      _xlpm.result,
      IFERROR(
         _xlfn.XLOOKUP(
            1,
            (Table8[رقم الصنف]=A705) *
            (IF($B$9="الكل",1, YEAR('ادخال البيانات'!$N$3:$N$1164)=VALUE($B$9))) *
            (IF($B$10="الكل",1, MONTH('ادخال البيانات'!$N$3:$N$1164)=VALUE($B$10))) *
            (IF($B$11="الكل",1, INT((DAY('ادخال البيانات'!$N$3:$N$1164)-1)/7)+1 = VALUE($B$11))),
            'ادخال البيانات'!$D$3:$D$1164
         ),
         ""
      ),
      IF(_xlpm.result="", "", _xlpm.result)
   )
)</f>
        <v/>
      </c>
      <c r="E705" s="27" t="str" cm="1">
        <f t="array" ref="E705">IF(
   A705="",
   "",
   _xlfn.LET(
      _xlpm.result,
      IFERROR(
         _xlfn.XLOOKUP(
            1,
            (Table8[رقم الصنف]=A705) *
            (IF($B$9="الكل",1, YEAR('ادخال البيانات'!$N$3:$N$1164)=VALUE($B$9))) *
            (IF($B$10="الكل",1, MONTH('ادخال البيانات'!$N$3:$N$1164)=VALUE($B$10))) *
            (IF($B$11="الكل",1, INT((DAY('ادخال البيانات'!$N$3:$N$1164)-1)/7)+1 = VALUE($B$11))),
            'ادخال البيانات'!$E$3:$E$1164
         ),
         ""
      ),
      IF(_xlpm.result="", "", _xlpm.result)
   )
)</f>
        <v/>
      </c>
      <c r="F705" s="27" t="str" cm="1">
        <f t="array" ref="F705">IF(
   A705="",
   "",
   _xlfn.LET(
      _xlpm.result,
      IFERROR(
         _xlfn.XLOOKUP(
            1,
            (Table8[رقم الصنف]=A705) *
            (IF($B$9="الكل",1, YEAR('ادخال البيانات'!$N$3:$N$1164) = VALUE($B$9))) *
            (IF($B$10="الكل",1, MONTH('ادخال البيانات'!$N$3:$N$1164) = VALUE($B$10))) *
            (IF($B$11="الكل",1, INT((DAY('ادخال البيانات'!$N$3:$N$1164)-1)/7)+1 = VALUE($B$11))),
            'ادخال البيانات'!$F$3:$F$1164
         ),
         ""
      ),
      IF(_xlpm.result="", "", _xlpm.result)
   )
)</f>
        <v/>
      </c>
      <c r="G705" s="27" t="str" cm="1">
        <f t="array" ref="G705">IF(
   A705="",
   "",
   _xlfn.LET(
      _xlpm.result,
      IFERROR(
         _xlfn.XLOOKUP(
            1,
            (Table8[رقم الصنف]=A705) *
            (IF($B$9="الكل",1, YEAR('ادخال البيانات'!$N$3:$N$1164)=VALUE($B$9))) *
            (IF($B$10="الكل",1, MONTH('ادخال البيانات'!$N$3:$N$1164)=VALUE($B$10))) *
            (IF($B$11="الكل",1, INT((DAY('ادخال البيانات'!$N$3:$N$1164)-1)/7)+1 = VALUE($B$11))),
            'ادخال البيانات'!$G$3:$G$1164
         ),
         ""
      ),
      IF(_xlpm.result="", "", _xlpm.result)
   )
)</f>
        <v/>
      </c>
      <c r="H705" s="27" t="str" cm="1">
        <f t="array" ref="H705">IF(
   A705="",
   "",
   _xlfn.LET(
      _xlpm.result,
      IFERROR(
         _xlfn.XLOOKUP(
            1,
            (Table8[رقم الصنف]=A705) *
            (IF($B$9="الكل",1, YEAR('ادخال البيانات'!$N$3:$N$1164)=VALUE($B$9))) *
            (IF($B$10="الكل",1, MONTH('ادخال البيانات'!$N$3:$N$1164)=VALUE($B$10))) *
            (IF($B$11="الكل",1, INT((DAY('ادخال البيانات'!$N$3:$N$1164)-1)/7)+1 = VALUE($B$11))),
            'ادخال البيانات'!$H$3:$H$1164
         ),
         ""
      ),
      IF(_xlpm.result="", "", _xlpm.result)
   )
)</f>
        <v/>
      </c>
      <c r="I705" s="27" t="str" cm="1">
        <f t="array" ref="I705">IF(
   A705="",
   "",
   _xlfn.LET(
      _xlpm.result,
      IFERROR(
         _xlfn.XLOOKUP(
            1,
            (Table8[رقم الصنف]=A705) *
            (IF($B$9="الكل",1, YEAR('ادخال البيانات'!$N$3:$N$1164)=VALUE($B$9))) *
            (IF($B$10="الكل",1, MONTH('ادخال البيانات'!$N$3:$N$1164)=VALUE($B$10))) *
            (IF($B$11="الكل",1, INT((DAY('ادخال البيانات'!$N$3:$N$1164)-1)/7)+1 = VALUE($B$11))),
            'ادخال البيانات'!$I$3:$I$1164
         ),
         ""
      ),
      IF(_xlpm.result="", "", _xlpm.result)
   )
)</f>
        <v/>
      </c>
      <c r="J705" s="27" t="str" cm="1">
        <f t="array" ref="J705">IF(
   A705="",
   "",
   _xlfn.LET(
      _xlpm.result,
      IFERROR(
         _xlfn.XLOOKUP(
            1,
            (Table8[رقم الصنف]=A705) *
            (IF($B$9="الكل",1, YEAR('ادخال البيانات'!$N$3:$N$1164)=VALUE($B$9))) *
            (IF($B$10="الكل",1, MONTH('ادخال البيانات'!$N$3:$N$1164)=VALUE($B$10))) *
            (IF($B$11="الكل",1, INT((DAY('ادخال البيانات'!$N$3:$N$1164)-1)/7)+1 = VALUE($B$11))),
            'ادخال البيانات'!$J$3:$J$1164
         ),
         ""
      ),
      IF(_xlpm.result="", "", _xlpm.result)
   )
)</f>
        <v/>
      </c>
      <c r="K705" s="27" t="str" cm="1">
        <f t="array" ref="K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5" s="27" t="str" cm="1">
        <f t="array" ref="L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5" s="27" t="str" cm="1">
        <f t="array" ref="M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5" s="28" t="str" cm="1">
        <f t="array" ref="N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5" s="28" t="str" cm="1">
        <f t="array" ref="O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5" s="27" t="str" cm="1">
        <f t="array" ref="P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Table8[جهة العطل]
         ),
         ""
      ),
      IF(_xlpm.result="", "", _xlpm.result)
   )
)</f>
        <v/>
      </c>
      <c r="Q705" s="27" t="str" cm="1">
        <f t="array" ref="Q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Table8[المركز]
         ),
         ""
      ),
      IF(_xlpm.result="", "", _xlpm.result)
   )
)</f>
        <v/>
      </c>
      <c r="R705" s="27" t="str" cm="1">
        <f t="array" ref="R705">IF(
   A705="",
   "",
   _xlfn.LET(
      _xlpm.result,
      IFERROR(
         _xlfn.XLOOKUP(
            1,
            (Table8[رقم الصنف]=A705) *
            (IF($B$9="الكل",1, YEAR('ادخال البيانات'!$N$3:$N$1164) = VALUE($B$9))) *
            (IF($B$10="الكل",1, MONTH('ادخال البيانات'!$N$3:$N$1164) = VALUE($B$10))) *
            (IF($B$11="الكل",1, INT((DAY('ادخال البيانات'!$N$3:$N$1164) - 1) / 7) + 1 = VALUE($B$11))),
            Table8[ملاحظة]
         ),
         ""
      ),
      IF(_xlpm.result="", "", _xlpm.result)
   )
)</f>
        <v/>
      </c>
      <c r="S705" s="46" t="str">
        <f t="shared" ca="1" si="11"/>
        <v/>
      </c>
    </row>
    <row r="706" spans="1:19" ht="15.6" thickTop="1" thickBot="1" x14ac:dyDescent="0.35">
      <c r="A706" s="39"/>
      <c r="B706" s="27" t="str" cm="1">
        <f t="array" ref="B706">IF(
   OR(A706="", $B$9="", $B$10="", $B$11=""),
   "",
   _xlfn.LET(
      _xlpm.result,
      IFERROR(
         _xlfn.XLOOKUP(
            1,
            (Table8[رقم الصنف]=A706)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6" s="27" t="str" cm="1">
        <f t="array" ref="C706">IF(
   A706="",
   "",
   _xlfn.LET(
      _xlpm.result,
      IFERROR(
         _xlfn.XLOOKUP(
            1,
            (Table8[رقم الصنف]=A706) *
            (IF($B$9="الكل",1, YEAR('ادخال البيانات'!$N$3:$N$1164) = VALUE($B$9))) *
            (IF($B$10="الكل",1, MONTH('ادخال البيانات'!$N$3:$N$1164) = VALUE($B$10))) *
            (IF($B$11="الكل",1, INT((DAY('ادخال البيانات'!$N$3:$N$1164)-1)/7)+1 = VALUE($B$11))),
            'ادخال البيانات'!$C$3:$C$1164
         ),
         ""
      ),
      IF(_xlpm.result="", "", _xlpm.result)
   )
)</f>
        <v/>
      </c>
      <c r="D706" s="27" t="str" cm="1">
        <f t="array" ref="D706">IF(
   OR(A706="", $B$9="", $B$10="", $B$11=""),
   "",
   _xlfn.LET(
      _xlpm.result,
      IFERROR(
         _xlfn.XLOOKUP(
            1,
            (Table8[رقم الصنف]=A706) *
            (IF($B$9="الكل",1, YEAR('ادخال البيانات'!$N$3:$N$1164)=VALUE($B$9))) *
            (IF($B$10="الكل",1, MONTH('ادخال البيانات'!$N$3:$N$1164)=VALUE($B$10))) *
            (IF($B$11="الكل",1, INT((DAY('ادخال البيانات'!$N$3:$N$1164)-1)/7)+1 = VALUE($B$11))),
            'ادخال البيانات'!$D$3:$D$1164
         ),
         ""
      ),
      IF(_xlpm.result="", "", _xlpm.result)
   )
)</f>
        <v/>
      </c>
      <c r="E706" s="27" t="str" cm="1">
        <f t="array" ref="E706">IF(
   A706="",
   "",
   _xlfn.LET(
      _xlpm.result,
      IFERROR(
         _xlfn.XLOOKUP(
            1,
            (Table8[رقم الصنف]=A706) *
            (IF($B$9="الكل",1, YEAR('ادخال البيانات'!$N$3:$N$1164)=VALUE($B$9))) *
            (IF($B$10="الكل",1, MONTH('ادخال البيانات'!$N$3:$N$1164)=VALUE($B$10))) *
            (IF($B$11="الكل",1, INT((DAY('ادخال البيانات'!$N$3:$N$1164)-1)/7)+1 = VALUE($B$11))),
            'ادخال البيانات'!$E$3:$E$1164
         ),
         ""
      ),
      IF(_xlpm.result="", "", _xlpm.result)
   )
)</f>
        <v/>
      </c>
      <c r="F706" s="27" t="str" cm="1">
        <f t="array" ref="F706">IF(
   A706="",
   "",
   _xlfn.LET(
      _xlpm.result,
      IFERROR(
         _xlfn.XLOOKUP(
            1,
            (Table8[رقم الصنف]=A706) *
            (IF($B$9="الكل",1, YEAR('ادخال البيانات'!$N$3:$N$1164) = VALUE($B$9))) *
            (IF($B$10="الكل",1, MONTH('ادخال البيانات'!$N$3:$N$1164) = VALUE($B$10))) *
            (IF($B$11="الكل",1, INT((DAY('ادخال البيانات'!$N$3:$N$1164)-1)/7)+1 = VALUE($B$11))),
            'ادخال البيانات'!$F$3:$F$1164
         ),
         ""
      ),
      IF(_xlpm.result="", "", _xlpm.result)
   )
)</f>
        <v/>
      </c>
      <c r="G706" s="27" t="str" cm="1">
        <f t="array" ref="G706">IF(
   A706="",
   "",
   _xlfn.LET(
      _xlpm.result,
      IFERROR(
         _xlfn.XLOOKUP(
            1,
            (Table8[رقم الصنف]=A706) *
            (IF($B$9="الكل",1, YEAR('ادخال البيانات'!$N$3:$N$1164)=VALUE($B$9))) *
            (IF($B$10="الكل",1, MONTH('ادخال البيانات'!$N$3:$N$1164)=VALUE($B$10))) *
            (IF($B$11="الكل",1, INT((DAY('ادخال البيانات'!$N$3:$N$1164)-1)/7)+1 = VALUE($B$11))),
            'ادخال البيانات'!$G$3:$G$1164
         ),
         ""
      ),
      IF(_xlpm.result="", "", _xlpm.result)
   )
)</f>
        <v/>
      </c>
      <c r="H706" s="27" t="str" cm="1">
        <f t="array" ref="H706">IF(
   A706="",
   "",
   _xlfn.LET(
      _xlpm.result,
      IFERROR(
         _xlfn.XLOOKUP(
            1,
            (Table8[رقم الصنف]=A706) *
            (IF($B$9="الكل",1, YEAR('ادخال البيانات'!$N$3:$N$1164)=VALUE($B$9))) *
            (IF($B$10="الكل",1, MONTH('ادخال البيانات'!$N$3:$N$1164)=VALUE($B$10))) *
            (IF($B$11="الكل",1, INT((DAY('ادخال البيانات'!$N$3:$N$1164)-1)/7)+1 = VALUE($B$11))),
            'ادخال البيانات'!$H$3:$H$1164
         ),
         ""
      ),
      IF(_xlpm.result="", "", _xlpm.result)
   )
)</f>
        <v/>
      </c>
      <c r="I706" s="27" t="str" cm="1">
        <f t="array" ref="I706">IF(
   A706="",
   "",
   _xlfn.LET(
      _xlpm.result,
      IFERROR(
         _xlfn.XLOOKUP(
            1,
            (Table8[رقم الصنف]=A706) *
            (IF($B$9="الكل",1, YEAR('ادخال البيانات'!$N$3:$N$1164)=VALUE($B$9))) *
            (IF($B$10="الكل",1, MONTH('ادخال البيانات'!$N$3:$N$1164)=VALUE($B$10))) *
            (IF($B$11="الكل",1, INT((DAY('ادخال البيانات'!$N$3:$N$1164)-1)/7)+1 = VALUE($B$11))),
            'ادخال البيانات'!$I$3:$I$1164
         ),
         ""
      ),
      IF(_xlpm.result="", "", _xlpm.result)
   )
)</f>
        <v/>
      </c>
      <c r="J706" s="27" t="str" cm="1">
        <f t="array" ref="J706">IF(
   A706="",
   "",
   _xlfn.LET(
      _xlpm.result,
      IFERROR(
         _xlfn.XLOOKUP(
            1,
            (Table8[رقم الصنف]=A706) *
            (IF($B$9="الكل",1, YEAR('ادخال البيانات'!$N$3:$N$1164)=VALUE($B$9))) *
            (IF($B$10="الكل",1, MONTH('ادخال البيانات'!$N$3:$N$1164)=VALUE($B$10))) *
            (IF($B$11="الكل",1, INT((DAY('ادخال البيانات'!$N$3:$N$1164)-1)/7)+1 = VALUE($B$11))),
            'ادخال البيانات'!$J$3:$J$1164
         ),
         ""
      ),
      IF(_xlpm.result="", "", _xlpm.result)
   )
)</f>
        <v/>
      </c>
      <c r="K706" s="27" t="str" cm="1">
        <f t="array" ref="K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6" s="27" t="str" cm="1">
        <f t="array" ref="L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6" s="27" t="str" cm="1">
        <f t="array" ref="M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6" s="28" t="str" cm="1">
        <f t="array" ref="N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6" s="28" t="str" cm="1">
        <f t="array" ref="O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6" s="27" t="str" cm="1">
        <f t="array" ref="P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Table8[جهة العطل]
         ),
         ""
      ),
      IF(_xlpm.result="", "", _xlpm.result)
   )
)</f>
        <v/>
      </c>
      <c r="Q706" s="27" t="str" cm="1">
        <f t="array" ref="Q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Table8[المركز]
         ),
         ""
      ),
      IF(_xlpm.result="", "", _xlpm.result)
   )
)</f>
        <v/>
      </c>
      <c r="R706" s="27" t="str" cm="1">
        <f t="array" ref="R706">IF(
   A706="",
   "",
   _xlfn.LET(
      _xlpm.result,
      IFERROR(
         _xlfn.XLOOKUP(
            1,
            (Table8[رقم الصنف]=A706) *
            (IF($B$9="الكل",1, YEAR('ادخال البيانات'!$N$3:$N$1164) = VALUE($B$9))) *
            (IF($B$10="الكل",1, MONTH('ادخال البيانات'!$N$3:$N$1164) = VALUE($B$10))) *
            (IF($B$11="الكل",1, INT((DAY('ادخال البيانات'!$N$3:$N$1164) - 1) / 7) + 1 = VALUE($B$11))),
            Table8[ملاحظة]
         ),
         ""
      ),
      IF(_xlpm.result="", "", _xlpm.result)
   )
)</f>
        <v/>
      </c>
      <c r="S706" s="46" t="str">
        <f t="shared" ca="1" si="11"/>
        <v/>
      </c>
    </row>
    <row r="707" spans="1:19" ht="15.6" thickTop="1" thickBot="1" x14ac:dyDescent="0.35">
      <c r="A707" s="39"/>
      <c r="B707" s="27" t="str" cm="1">
        <f t="array" ref="B707">IF(
   OR(A707="", $B$9="", $B$10="", $B$11=""),
   "",
   _xlfn.LET(
      _xlpm.result,
      IFERROR(
         _xlfn.XLOOKUP(
            1,
            (Table8[رقم الصنف]=A707)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7" s="27" t="str" cm="1">
        <f t="array" ref="C707">IF(
   A707="",
   "",
   _xlfn.LET(
      _xlpm.result,
      IFERROR(
         _xlfn.XLOOKUP(
            1,
            (Table8[رقم الصنف]=A707) *
            (IF($B$9="الكل",1, YEAR('ادخال البيانات'!$N$3:$N$1164) = VALUE($B$9))) *
            (IF($B$10="الكل",1, MONTH('ادخال البيانات'!$N$3:$N$1164) = VALUE($B$10))) *
            (IF($B$11="الكل",1, INT((DAY('ادخال البيانات'!$N$3:$N$1164)-1)/7)+1 = VALUE($B$11))),
            'ادخال البيانات'!$C$3:$C$1164
         ),
         ""
      ),
      IF(_xlpm.result="", "", _xlpm.result)
   )
)</f>
        <v/>
      </c>
      <c r="D707" s="27" t="str" cm="1">
        <f t="array" ref="D707">IF(
   OR(A707="", $B$9="", $B$10="", $B$11=""),
   "",
   _xlfn.LET(
      _xlpm.result,
      IFERROR(
         _xlfn.XLOOKUP(
            1,
            (Table8[رقم الصنف]=A707) *
            (IF($B$9="الكل",1, YEAR('ادخال البيانات'!$N$3:$N$1164)=VALUE($B$9))) *
            (IF($B$10="الكل",1, MONTH('ادخال البيانات'!$N$3:$N$1164)=VALUE($B$10))) *
            (IF($B$11="الكل",1, INT((DAY('ادخال البيانات'!$N$3:$N$1164)-1)/7)+1 = VALUE($B$11))),
            'ادخال البيانات'!$D$3:$D$1164
         ),
         ""
      ),
      IF(_xlpm.result="", "", _xlpm.result)
   )
)</f>
        <v/>
      </c>
      <c r="E707" s="27" t="str" cm="1">
        <f t="array" ref="E707">IF(
   A707="",
   "",
   _xlfn.LET(
      _xlpm.result,
      IFERROR(
         _xlfn.XLOOKUP(
            1,
            (Table8[رقم الصنف]=A707) *
            (IF($B$9="الكل",1, YEAR('ادخال البيانات'!$N$3:$N$1164)=VALUE($B$9))) *
            (IF($B$10="الكل",1, MONTH('ادخال البيانات'!$N$3:$N$1164)=VALUE($B$10))) *
            (IF($B$11="الكل",1, INT((DAY('ادخال البيانات'!$N$3:$N$1164)-1)/7)+1 = VALUE($B$11))),
            'ادخال البيانات'!$E$3:$E$1164
         ),
         ""
      ),
      IF(_xlpm.result="", "", _xlpm.result)
   )
)</f>
        <v/>
      </c>
      <c r="F707" s="27" t="str" cm="1">
        <f t="array" ref="F707">IF(
   A707="",
   "",
   _xlfn.LET(
      _xlpm.result,
      IFERROR(
         _xlfn.XLOOKUP(
            1,
            (Table8[رقم الصنف]=A707) *
            (IF($B$9="الكل",1, YEAR('ادخال البيانات'!$N$3:$N$1164) = VALUE($B$9))) *
            (IF($B$10="الكل",1, MONTH('ادخال البيانات'!$N$3:$N$1164) = VALUE($B$10))) *
            (IF($B$11="الكل",1, INT((DAY('ادخال البيانات'!$N$3:$N$1164)-1)/7)+1 = VALUE($B$11))),
            'ادخال البيانات'!$F$3:$F$1164
         ),
         ""
      ),
      IF(_xlpm.result="", "", _xlpm.result)
   )
)</f>
        <v/>
      </c>
      <c r="G707" s="27" t="str" cm="1">
        <f t="array" ref="G707">IF(
   A707="",
   "",
   _xlfn.LET(
      _xlpm.result,
      IFERROR(
         _xlfn.XLOOKUP(
            1,
            (Table8[رقم الصنف]=A707) *
            (IF($B$9="الكل",1, YEAR('ادخال البيانات'!$N$3:$N$1164)=VALUE($B$9))) *
            (IF($B$10="الكل",1, MONTH('ادخال البيانات'!$N$3:$N$1164)=VALUE($B$10))) *
            (IF($B$11="الكل",1, INT((DAY('ادخال البيانات'!$N$3:$N$1164)-1)/7)+1 = VALUE($B$11))),
            'ادخال البيانات'!$G$3:$G$1164
         ),
         ""
      ),
      IF(_xlpm.result="", "", _xlpm.result)
   )
)</f>
        <v/>
      </c>
      <c r="H707" s="27" t="str" cm="1">
        <f t="array" ref="H707">IF(
   A707="",
   "",
   _xlfn.LET(
      _xlpm.result,
      IFERROR(
         _xlfn.XLOOKUP(
            1,
            (Table8[رقم الصنف]=A707) *
            (IF($B$9="الكل",1, YEAR('ادخال البيانات'!$N$3:$N$1164)=VALUE($B$9))) *
            (IF($B$10="الكل",1, MONTH('ادخال البيانات'!$N$3:$N$1164)=VALUE($B$10))) *
            (IF($B$11="الكل",1, INT((DAY('ادخال البيانات'!$N$3:$N$1164)-1)/7)+1 = VALUE($B$11))),
            'ادخال البيانات'!$H$3:$H$1164
         ),
         ""
      ),
      IF(_xlpm.result="", "", _xlpm.result)
   )
)</f>
        <v/>
      </c>
      <c r="I707" s="27" t="str" cm="1">
        <f t="array" ref="I707">IF(
   A707="",
   "",
   _xlfn.LET(
      _xlpm.result,
      IFERROR(
         _xlfn.XLOOKUP(
            1,
            (Table8[رقم الصنف]=A707) *
            (IF($B$9="الكل",1, YEAR('ادخال البيانات'!$N$3:$N$1164)=VALUE($B$9))) *
            (IF($B$10="الكل",1, MONTH('ادخال البيانات'!$N$3:$N$1164)=VALUE($B$10))) *
            (IF($B$11="الكل",1, INT((DAY('ادخال البيانات'!$N$3:$N$1164)-1)/7)+1 = VALUE($B$11))),
            'ادخال البيانات'!$I$3:$I$1164
         ),
         ""
      ),
      IF(_xlpm.result="", "", _xlpm.result)
   )
)</f>
        <v/>
      </c>
      <c r="J707" s="27" t="str" cm="1">
        <f t="array" ref="J707">IF(
   A707="",
   "",
   _xlfn.LET(
      _xlpm.result,
      IFERROR(
         _xlfn.XLOOKUP(
            1,
            (Table8[رقم الصنف]=A707) *
            (IF($B$9="الكل",1, YEAR('ادخال البيانات'!$N$3:$N$1164)=VALUE($B$9))) *
            (IF($B$10="الكل",1, MONTH('ادخال البيانات'!$N$3:$N$1164)=VALUE($B$10))) *
            (IF($B$11="الكل",1, INT((DAY('ادخال البيانات'!$N$3:$N$1164)-1)/7)+1 = VALUE($B$11))),
            'ادخال البيانات'!$J$3:$J$1164
         ),
         ""
      ),
      IF(_xlpm.result="", "", _xlpm.result)
   )
)</f>
        <v/>
      </c>
      <c r="K707" s="27" t="str" cm="1">
        <f t="array" ref="K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7" s="27" t="str" cm="1">
        <f t="array" ref="L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7" s="27" t="str" cm="1">
        <f t="array" ref="M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7" s="28" t="str" cm="1">
        <f t="array" ref="N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7" s="28" t="str" cm="1">
        <f t="array" ref="O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7" s="27" t="str" cm="1">
        <f t="array" ref="P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Table8[جهة العطل]
         ),
         ""
      ),
      IF(_xlpm.result="", "", _xlpm.result)
   )
)</f>
        <v/>
      </c>
      <c r="Q707" s="27" t="str" cm="1">
        <f t="array" ref="Q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Table8[المركز]
         ),
         ""
      ),
      IF(_xlpm.result="", "", _xlpm.result)
   )
)</f>
        <v/>
      </c>
      <c r="R707" s="27" t="str" cm="1">
        <f t="array" ref="R707">IF(
   A707="",
   "",
   _xlfn.LET(
      _xlpm.result,
      IFERROR(
         _xlfn.XLOOKUP(
            1,
            (Table8[رقم الصنف]=A707) *
            (IF($B$9="الكل",1, YEAR('ادخال البيانات'!$N$3:$N$1164) = VALUE($B$9))) *
            (IF($B$10="الكل",1, MONTH('ادخال البيانات'!$N$3:$N$1164) = VALUE($B$10))) *
            (IF($B$11="الكل",1, INT((DAY('ادخال البيانات'!$N$3:$N$1164) - 1) / 7) + 1 = VALUE($B$11))),
            Table8[ملاحظة]
         ),
         ""
      ),
      IF(_xlpm.result="", "", _xlpm.result)
   )
)</f>
        <v/>
      </c>
      <c r="S707" s="46" t="str">
        <f t="shared" ca="1" si="11"/>
        <v/>
      </c>
    </row>
    <row r="708" spans="1:19" ht="15.6" thickTop="1" thickBot="1" x14ac:dyDescent="0.35">
      <c r="A708" s="39"/>
      <c r="B708" s="27" t="str" cm="1">
        <f t="array" ref="B708">IF(
   OR(A708="", $B$9="", $B$10="", $B$11=""),
   "",
   _xlfn.LET(
      _xlpm.result,
      IFERROR(
         _xlfn.XLOOKUP(
            1,
            (Table8[رقم الصنف]=A708)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8" s="27" t="str" cm="1">
        <f t="array" ref="C708">IF(
   A708="",
   "",
   _xlfn.LET(
      _xlpm.result,
      IFERROR(
         _xlfn.XLOOKUP(
            1,
            (Table8[رقم الصنف]=A708) *
            (IF($B$9="الكل",1, YEAR('ادخال البيانات'!$N$3:$N$1164) = VALUE($B$9))) *
            (IF($B$10="الكل",1, MONTH('ادخال البيانات'!$N$3:$N$1164) = VALUE($B$10))) *
            (IF($B$11="الكل",1, INT((DAY('ادخال البيانات'!$N$3:$N$1164)-1)/7)+1 = VALUE($B$11))),
            'ادخال البيانات'!$C$3:$C$1164
         ),
         ""
      ),
      IF(_xlpm.result="", "", _xlpm.result)
   )
)</f>
        <v/>
      </c>
      <c r="D708" s="27" t="str" cm="1">
        <f t="array" ref="D708">IF(
   OR(A708="", $B$9="", $B$10="", $B$11=""),
   "",
   _xlfn.LET(
      _xlpm.result,
      IFERROR(
         _xlfn.XLOOKUP(
            1,
            (Table8[رقم الصنف]=A708) *
            (IF($B$9="الكل",1, YEAR('ادخال البيانات'!$N$3:$N$1164)=VALUE($B$9))) *
            (IF($B$10="الكل",1, MONTH('ادخال البيانات'!$N$3:$N$1164)=VALUE($B$10))) *
            (IF($B$11="الكل",1, INT((DAY('ادخال البيانات'!$N$3:$N$1164)-1)/7)+1 = VALUE($B$11))),
            'ادخال البيانات'!$D$3:$D$1164
         ),
         ""
      ),
      IF(_xlpm.result="", "", _xlpm.result)
   )
)</f>
        <v/>
      </c>
      <c r="E708" s="27" t="str" cm="1">
        <f t="array" ref="E708">IF(
   A708="",
   "",
   _xlfn.LET(
      _xlpm.result,
      IFERROR(
         _xlfn.XLOOKUP(
            1,
            (Table8[رقم الصنف]=A708) *
            (IF($B$9="الكل",1, YEAR('ادخال البيانات'!$N$3:$N$1164)=VALUE($B$9))) *
            (IF($B$10="الكل",1, MONTH('ادخال البيانات'!$N$3:$N$1164)=VALUE($B$10))) *
            (IF($B$11="الكل",1, INT((DAY('ادخال البيانات'!$N$3:$N$1164)-1)/7)+1 = VALUE($B$11))),
            'ادخال البيانات'!$E$3:$E$1164
         ),
         ""
      ),
      IF(_xlpm.result="", "", _xlpm.result)
   )
)</f>
        <v/>
      </c>
      <c r="F708" s="27" t="str" cm="1">
        <f t="array" ref="F708">IF(
   A708="",
   "",
   _xlfn.LET(
      _xlpm.result,
      IFERROR(
         _xlfn.XLOOKUP(
            1,
            (Table8[رقم الصنف]=A708) *
            (IF($B$9="الكل",1, YEAR('ادخال البيانات'!$N$3:$N$1164) = VALUE($B$9))) *
            (IF($B$10="الكل",1, MONTH('ادخال البيانات'!$N$3:$N$1164) = VALUE($B$10))) *
            (IF($B$11="الكل",1, INT((DAY('ادخال البيانات'!$N$3:$N$1164)-1)/7)+1 = VALUE($B$11))),
            'ادخال البيانات'!$F$3:$F$1164
         ),
         ""
      ),
      IF(_xlpm.result="", "", _xlpm.result)
   )
)</f>
        <v/>
      </c>
      <c r="G708" s="27" t="str" cm="1">
        <f t="array" ref="G708">IF(
   A708="",
   "",
   _xlfn.LET(
      _xlpm.result,
      IFERROR(
         _xlfn.XLOOKUP(
            1,
            (Table8[رقم الصنف]=A708) *
            (IF($B$9="الكل",1, YEAR('ادخال البيانات'!$N$3:$N$1164)=VALUE($B$9))) *
            (IF($B$10="الكل",1, MONTH('ادخال البيانات'!$N$3:$N$1164)=VALUE($B$10))) *
            (IF($B$11="الكل",1, INT((DAY('ادخال البيانات'!$N$3:$N$1164)-1)/7)+1 = VALUE($B$11))),
            'ادخال البيانات'!$G$3:$G$1164
         ),
         ""
      ),
      IF(_xlpm.result="", "", _xlpm.result)
   )
)</f>
        <v/>
      </c>
      <c r="H708" s="27" t="str" cm="1">
        <f t="array" ref="H708">IF(
   A708="",
   "",
   _xlfn.LET(
      _xlpm.result,
      IFERROR(
         _xlfn.XLOOKUP(
            1,
            (Table8[رقم الصنف]=A708) *
            (IF($B$9="الكل",1, YEAR('ادخال البيانات'!$N$3:$N$1164)=VALUE($B$9))) *
            (IF($B$10="الكل",1, MONTH('ادخال البيانات'!$N$3:$N$1164)=VALUE($B$10))) *
            (IF($B$11="الكل",1, INT((DAY('ادخال البيانات'!$N$3:$N$1164)-1)/7)+1 = VALUE($B$11))),
            'ادخال البيانات'!$H$3:$H$1164
         ),
         ""
      ),
      IF(_xlpm.result="", "", _xlpm.result)
   )
)</f>
        <v/>
      </c>
      <c r="I708" s="27" t="str" cm="1">
        <f t="array" ref="I708">IF(
   A708="",
   "",
   _xlfn.LET(
      _xlpm.result,
      IFERROR(
         _xlfn.XLOOKUP(
            1,
            (Table8[رقم الصنف]=A708) *
            (IF($B$9="الكل",1, YEAR('ادخال البيانات'!$N$3:$N$1164)=VALUE($B$9))) *
            (IF($B$10="الكل",1, MONTH('ادخال البيانات'!$N$3:$N$1164)=VALUE($B$10))) *
            (IF($B$11="الكل",1, INT((DAY('ادخال البيانات'!$N$3:$N$1164)-1)/7)+1 = VALUE($B$11))),
            'ادخال البيانات'!$I$3:$I$1164
         ),
         ""
      ),
      IF(_xlpm.result="", "", _xlpm.result)
   )
)</f>
        <v/>
      </c>
      <c r="J708" s="27" t="str" cm="1">
        <f t="array" ref="J708">IF(
   A708="",
   "",
   _xlfn.LET(
      _xlpm.result,
      IFERROR(
         _xlfn.XLOOKUP(
            1,
            (Table8[رقم الصنف]=A708) *
            (IF($B$9="الكل",1, YEAR('ادخال البيانات'!$N$3:$N$1164)=VALUE($B$9))) *
            (IF($B$10="الكل",1, MONTH('ادخال البيانات'!$N$3:$N$1164)=VALUE($B$10))) *
            (IF($B$11="الكل",1, INT((DAY('ادخال البيانات'!$N$3:$N$1164)-1)/7)+1 = VALUE($B$11))),
            'ادخال البيانات'!$J$3:$J$1164
         ),
         ""
      ),
      IF(_xlpm.result="", "", _xlpm.result)
   )
)</f>
        <v/>
      </c>
      <c r="K708" s="27" t="str" cm="1">
        <f t="array" ref="K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8" s="27" t="str" cm="1">
        <f t="array" ref="L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8" s="27" t="str" cm="1">
        <f t="array" ref="M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8" s="28" t="str" cm="1">
        <f t="array" ref="N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8" s="28" t="str" cm="1">
        <f t="array" ref="O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8" s="27" t="str" cm="1">
        <f t="array" ref="P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Table8[جهة العطل]
         ),
         ""
      ),
      IF(_xlpm.result="", "", _xlpm.result)
   )
)</f>
        <v/>
      </c>
      <c r="Q708" s="27" t="str" cm="1">
        <f t="array" ref="Q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Table8[المركز]
         ),
         ""
      ),
      IF(_xlpm.result="", "", _xlpm.result)
   )
)</f>
        <v/>
      </c>
      <c r="R708" s="27" t="str" cm="1">
        <f t="array" ref="R708">IF(
   A708="",
   "",
   _xlfn.LET(
      _xlpm.result,
      IFERROR(
         _xlfn.XLOOKUP(
            1,
            (Table8[رقم الصنف]=A708) *
            (IF($B$9="الكل",1, YEAR('ادخال البيانات'!$N$3:$N$1164) = VALUE($B$9))) *
            (IF($B$10="الكل",1, MONTH('ادخال البيانات'!$N$3:$N$1164) = VALUE($B$10))) *
            (IF($B$11="الكل",1, INT((DAY('ادخال البيانات'!$N$3:$N$1164) - 1) / 7) + 1 = VALUE($B$11))),
            Table8[ملاحظة]
         ),
         ""
      ),
      IF(_xlpm.result="", "", _xlpm.result)
   )
)</f>
        <v/>
      </c>
      <c r="S708" s="46" t="str">
        <f t="shared" ca="1" si="11"/>
        <v/>
      </c>
    </row>
    <row r="709" spans="1:19" ht="15.6" thickTop="1" thickBot="1" x14ac:dyDescent="0.35">
      <c r="A709" s="39"/>
      <c r="B709" s="27" t="str" cm="1">
        <f t="array" ref="B709">IF(
   OR(A709="", $B$9="", $B$10="", $B$11=""),
   "",
   _xlfn.LET(
      _xlpm.result,
      IFERROR(
         _xlfn.XLOOKUP(
            1,
            (Table8[رقم الصنف]=A709)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09" s="27" t="str" cm="1">
        <f t="array" ref="C709">IF(
   A709="",
   "",
   _xlfn.LET(
      _xlpm.result,
      IFERROR(
         _xlfn.XLOOKUP(
            1,
            (Table8[رقم الصنف]=A709) *
            (IF($B$9="الكل",1, YEAR('ادخال البيانات'!$N$3:$N$1164) = VALUE($B$9))) *
            (IF($B$10="الكل",1, MONTH('ادخال البيانات'!$N$3:$N$1164) = VALUE($B$10))) *
            (IF($B$11="الكل",1, INT((DAY('ادخال البيانات'!$N$3:$N$1164)-1)/7)+1 = VALUE($B$11))),
            'ادخال البيانات'!$C$3:$C$1164
         ),
         ""
      ),
      IF(_xlpm.result="", "", _xlpm.result)
   )
)</f>
        <v/>
      </c>
      <c r="D709" s="27" t="str" cm="1">
        <f t="array" ref="D709">IF(
   OR(A709="", $B$9="", $B$10="", $B$11=""),
   "",
   _xlfn.LET(
      _xlpm.result,
      IFERROR(
         _xlfn.XLOOKUP(
            1,
            (Table8[رقم الصنف]=A709) *
            (IF($B$9="الكل",1, YEAR('ادخال البيانات'!$N$3:$N$1164)=VALUE($B$9))) *
            (IF($B$10="الكل",1, MONTH('ادخال البيانات'!$N$3:$N$1164)=VALUE($B$10))) *
            (IF($B$11="الكل",1, INT((DAY('ادخال البيانات'!$N$3:$N$1164)-1)/7)+1 = VALUE($B$11))),
            'ادخال البيانات'!$D$3:$D$1164
         ),
         ""
      ),
      IF(_xlpm.result="", "", _xlpm.result)
   )
)</f>
        <v/>
      </c>
      <c r="E709" s="27" t="str" cm="1">
        <f t="array" ref="E709">IF(
   A709="",
   "",
   _xlfn.LET(
      _xlpm.result,
      IFERROR(
         _xlfn.XLOOKUP(
            1,
            (Table8[رقم الصنف]=A709) *
            (IF($B$9="الكل",1, YEAR('ادخال البيانات'!$N$3:$N$1164)=VALUE($B$9))) *
            (IF($B$10="الكل",1, MONTH('ادخال البيانات'!$N$3:$N$1164)=VALUE($B$10))) *
            (IF($B$11="الكل",1, INT((DAY('ادخال البيانات'!$N$3:$N$1164)-1)/7)+1 = VALUE($B$11))),
            'ادخال البيانات'!$E$3:$E$1164
         ),
         ""
      ),
      IF(_xlpm.result="", "", _xlpm.result)
   )
)</f>
        <v/>
      </c>
      <c r="F709" s="27" t="str" cm="1">
        <f t="array" ref="F709">IF(
   A709="",
   "",
   _xlfn.LET(
      _xlpm.result,
      IFERROR(
         _xlfn.XLOOKUP(
            1,
            (Table8[رقم الصنف]=A709) *
            (IF($B$9="الكل",1, YEAR('ادخال البيانات'!$N$3:$N$1164) = VALUE($B$9))) *
            (IF($B$10="الكل",1, MONTH('ادخال البيانات'!$N$3:$N$1164) = VALUE($B$10))) *
            (IF($B$11="الكل",1, INT((DAY('ادخال البيانات'!$N$3:$N$1164)-1)/7)+1 = VALUE($B$11))),
            'ادخال البيانات'!$F$3:$F$1164
         ),
         ""
      ),
      IF(_xlpm.result="", "", _xlpm.result)
   )
)</f>
        <v/>
      </c>
      <c r="G709" s="27" t="str" cm="1">
        <f t="array" ref="G709">IF(
   A709="",
   "",
   _xlfn.LET(
      _xlpm.result,
      IFERROR(
         _xlfn.XLOOKUP(
            1,
            (Table8[رقم الصنف]=A709) *
            (IF($B$9="الكل",1, YEAR('ادخال البيانات'!$N$3:$N$1164)=VALUE($B$9))) *
            (IF($B$10="الكل",1, MONTH('ادخال البيانات'!$N$3:$N$1164)=VALUE($B$10))) *
            (IF($B$11="الكل",1, INT((DAY('ادخال البيانات'!$N$3:$N$1164)-1)/7)+1 = VALUE($B$11))),
            'ادخال البيانات'!$G$3:$G$1164
         ),
         ""
      ),
      IF(_xlpm.result="", "", _xlpm.result)
   )
)</f>
        <v/>
      </c>
      <c r="H709" s="27" t="str" cm="1">
        <f t="array" ref="H709">IF(
   A709="",
   "",
   _xlfn.LET(
      _xlpm.result,
      IFERROR(
         _xlfn.XLOOKUP(
            1,
            (Table8[رقم الصنف]=A709) *
            (IF($B$9="الكل",1, YEAR('ادخال البيانات'!$N$3:$N$1164)=VALUE($B$9))) *
            (IF($B$10="الكل",1, MONTH('ادخال البيانات'!$N$3:$N$1164)=VALUE($B$10))) *
            (IF($B$11="الكل",1, INT((DAY('ادخال البيانات'!$N$3:$N$1164)-1)/7)+1 = VALUE($B$11))),
            'ادخال البيانات'!$H$3:$H$1164
         ),
         ""
      ),
      IF(_xlpm.result="", "", _xlpm.result)
   )
)</f>
        <v/>
      </c>
      <c r="I709" s="27" t="str" cm="1">
        <f t="array" ref="I709">IF(
   A709="",
   "",
   _xlfn.LET(
      _xlpm.result,
      IFERROR(
         _xlfn.XLOOKUP(
            1,
            (Table8[رقم الصنف]=A709) *
            (IF($B$9="الكل",1, YEAR('ادخال البيانات'!$N$3:$N$1164)=VALUE($B$9))) *
            (IF($B$10="الكل",1, MONTH('ادخال البيانات'!$N$3:$N$1164)=VALUE($B$10))) *
            (IF($B$11="الكل",1, INT((DAY('ادخال البيانات'!$N$3:$N$1164)-1)/7)+1 = VALUE($B$11))),
            'ادخال البيانات'!$I$3:$I$1164
         ),
         ""
      ),
      IF(_xlpm.result="", "", _xlpm.result)
   )
)</f>
        <v/>
      </c>
      <c r="J709" s="27" t="str" cm="1">
        <f t="array" ref="J709">IF(
   A709="",
   "",
   _xlfn.LET(
      _xlpm.result,
      IFERROR(
         _xlfn.XLOOKUP(
            1,
            (Table8[رقم الصنف]=A709) *
            (IF($B$9="الكل",1, YEAR('ادخال البيانات'!$N$3:$N$1164)=VALUE($B$9))) *
            (IF($B$10="الكل",1, MONTH('ادخال البيانات'!$N$3:$N$1164)=VALUE($B$10))) *
            (IF($B$11="الكل",1, INT((DAY('ادخال البيانات'!$N$3:$N$1164)-1)/7)+1 = VALUE($B$11))),
            'ادخال البيانات'!$J$3:$J$1164
         ),
         ""
      ),
      IF(_xlpm.result="", "", _xlpm.result)
   )
)</f>
        <v/>
      </c>
      <c r="K709" s="27" t="str" cm="1">
        <f t="array" ref="K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09" s="27" t="str" cm="1">
        <f t="array" ref="L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09" s="27" t="str" cm="1">
        <f t="array" ref="M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09" s="28" t="str" cm="1">
        <f t="array" ref="N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09" s="28" t="str" cm="1">
        <f t="array" ref="O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09" s="27" t="str" cm="1">
        <f t="array" ref="P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Table8[جهة العطل]
         ),
         ""
      ),
      IF(_xlpm.result="", "", _xlpm.result)
   )
)</f>
        <v/>
      </c>
      <c r="Q709" s="27" t="str" cm="1">
        <f t="array" ref="Q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Table8[المركز]
         ),
         ""
      ),
      IF(_xlpm.result="", "", _xlpm.result)
   )
)</f>
        <v/>
      </c>
      <c r="R709" s="27" t="str" cm="1">
        <f t="array" ref="R709">IF(
   A709="",
   "",
   _xlfn.LET(
      _xlpm.result,
      IFERROR(
         _xlfn.XLOOKUP(
            1,
            (Table8[رقم الصنف]=A709) *
            (IF($B$9="الكل",1, YEAR('ادخال البيانات'!$N$3:$N$1164) = VALUE($B$9))) *
            (IF($B$10="الكل",1, MONTH('ادخال البيانات'!$N$3:$N$1164) = VALUE($B$10))) *
            (IF($B$11="الكل",1, INT((DAY('ادخال البيانات'!$N$3:$N$1164) - 1) / 7) + 1 = VALUE($B$11))),
            Table8[ملاحظة]
         ),
         ""
      ),
      IF(_xlpm.result="", "", _xlpm.result)
   )
)</f>
        <v/>
      </c>
      <c r="S709" s="46" t="str">
        <f t="shared" ca="1" si="11"/>
        <v/>
      </c>
    </row>
    <row r="710" spans="1:19" ht="15.6" thickTop="1" thickBot="1" x14ac:dyDescent="0.35">
      <c r="A710" s="39"/>
      <c r="B710" s="27" t="str" cm="1">
        <f t="array" ref="B710">IF(
   OR(A710="", $B$9="", $B$10="", $B$11=""),
   "",
   _xlfn.LET(
      _xlpm.result,
      IFERROR(
         _xlfn.XLOOKUP(
            1,
            (Table8[رقم الصنف]=A710)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0" s="27" t="str" cm="1">
        <f t="array" ref="C710">IF(
   A710="",
   "",
   _xlfn.LET(
      _xlpm.result,
      IFERROR(
         _xlfn.XLOOKUP(
            1,
            (Table8[رقم الصنف]=A710) *
            (IF($B$9="الكل",1, YEAR('ادخال البيانات'!$N$3:$N$1164) = VALUE($B$9))) *
            (IF($B$10="الكل",1, MONTH('ادخال البيانات'!$N$3:$N$1164) = VALUE($B$10))) *
            (IF($B$11="الكل",1, INT((DAY('ادخال البيانات'!$N$3:$N$1164)-1)/7)+1 = VALUE($B$11))),
            'ادخال البيانات'!$C$3:$C$1164
         ),
         ""
      ),
      IF(_xlpm.result="", "", _xlpm.result)
   )
)</f>
        <v/>
      </c>
      <c r="D710" s="27" t="str" cm="1">
        <f t="array" ref="D710">IF(
   OR(A710="", $B$9="", $B$10="", $B$11=""),
   "",
   _xlfn.LET(
      _xlpm.result,
      IFERROR(
         _xlfn.XLOOKUP(
            1,
            (Table8[رقم الصنف]=A710) *
            (IF($B$9="الكل",1, YEAR('ادخال البيانات'!$N$3:$N$1164)=VALUE($B$9))) *
            (IF($B$10="الكل",1, MONTH('ادخال البيانات'!$N$3:$N$1164)=VALUE($B$10))) *
            (IF($B$11="الكل",1, INT((DAY('ادخال البيانات'!$N$3:$N$1164)-1)/7)+1 = VALUE($B$11))),
            'ادخال البيانات'!$D$3:$D$1164
         ),
         ""
      ),
      IF(_xlpm.result="", "", _xlpm.result)
   )
)</f>
        <v/>
      </c>
      <c r="E710" s="27" t="str" cm="1">
        <f t="array" ref="E710">IF(
   A710="",
   "",
   _xlfn.LET(
      _xlpm.result,
      IFERROR(
         _xlfn.XLOOKUP(
            1,
            (Table8[رقم الصنف]=A710) *
            (IF($B$9="الكل",1, YEAR('ادخال البيانات'!$N$3:$N$1164)=VALUE($B$9))) *
            (IF($B$10="الكل",1, MONTH('ادخال البيانات'!$N$3:$N$1164)=VALUE($B$10))) *
            (IF($B$11="الكل",1, INT((DAY('ادخال البيانات'!$N$3:$N$1164)-1)/7)+1 = VALUE($B$11))),
            'ادخال البيانات'!$E$3:$E$1164
         ),
         ""
      ),
      IF(_xlpm.result="", "", _xlpm.result)
   )
)</f>
        <v/>
      </c>
      <c r="F710" s="27" t="str" cm="1">
        <f t="array" ref="F710">IF(
   A710="",
   "",
   _xlfn.LET(
      _xlpm.result,
      IFERROR(
         _xlfn.XLOOKUP(
            1,
            (Table8[رقم الصنف]=A710) *
            (IF($B$9="الكل",1, YEAR('ادخال البيانات'!$N$3:$N$1164) = VALUE($B$9))) *
            (IF($B$10="الكل",1, MONTH('ادخال البيانات'!$N$3:$N$1164) = VALUE($B$10))) *
            (IF($B$11="الكل",1, INT((DAY('ادخال البيانات'!$N$3:$N$1164)-1)/7)+1 = VALUE($B$11))),
            'ادخال البيانات'!$F$3:$F$1164
         ),
         ""
      ),
      IF(_xlpm.result="", "", _xlpm.result)
   )
)</f>
        <v/>
      </c>
      <c r="G710" s="27" t="str" cm="1">
        <f t="array" ref="G710">IF(
   A710="",
   "",
   _xlfn.LET(
      _xlpm.result,
      IFERROR(
         _xlfn.XLOOKUP(
            1,
            (Table8[رقم الصنف]=A710) *
            (IF($B$9="الكل",1, YEAR('ادخال البيانات'!$N$3:$N$1164)=VALUE($B$9))) *
            (IF($B$10="الكل",1, MONTH('ادخال البيانات'!$N$3:$N$1164)=VALUE($B$10))) *
            (IF($B$11="الكل",1, INT((DAY('ادخال البيانات'!$N$3:$N$1164)-1)/7)+1 = VALUE($B$11))),
            'ادخال البيانات'!$G$3:$G$1164
         ),
         ""
      ),
      IF(_xlpm.result="", "", _xlpm.result)
   )
)</f>
        <v/>
      </c>
      <c r="H710" s="27" t="str" cm="1">
        <f t="array" ref="H710">IF(
   A710="",
   "",
   _xlfn.LET(
      _xlpm.result,
      IFERROR(
         _xlfn.XLOOKUP(
            1,
            (Table8[رقم الصنف]=A710) *
            (IF($B$9="الكل",1, YEAR('ادخال البيانات'!$N$3:$N$1164)=VALUE($B$9))) *
            (IF($B$10="الكل",1, MONTH('ادخال البيانات'!$N$3:$N$1164)=VALUE($B$10))) *
            (IF($B$11="الكل",1, INT((DAY('ادخال البيانات'!$N$3:$N$1164)-1)/7)+1 = VALUE($B$11))),
            'ادخال البيانات'!$H$3:$H$1164
         ),
         ""
      ),
      IF(_xlpm.result="", "", _xlpm.result)
   )
)</f>
        <v/>
      </c>
      <c r="I710" s="27" t="str" cm="1">
        <f t="array" ref="I710">IF(
   A710="",
   "",
   _xlfn.LET(
      _xlpm.result,
      IFERROR(
         _xlfn.XLOOKUP(
            1,
            (Table8[رقم الصنف]=A710) *
            (IF($B$9="الكل",1, YEAR('ادخال البيانات'!$N$3:$N$1164)=VALUE($B$9))) *
            (IF($B$10="الكل",1, MONTH('ادخال البيانات'!$N$3:$N$1164)=VALUE($B$10))) *
            (IF($B$11="الكل",1, INT((DAY('ادخال البيانات'!$N$3:$N$1164)-1)/7)+1 = VALUE($B$11))),
            'ادخال البيانات'!$I$3:$I$1164
         ),
         ""
      ),
      IF(_xlpm.result="", "", _xlpm.result)
   )
)</f>
        <v/>
      </c>
      <c r="J710" s="27" t="str" cm="1">
        <f t="array" ref="J710">IF(
   A710="",
   "",
   _xlfn.LET(
      _xlpm.result,
      IFERROR(
         _xlfn.XLOOKUP(
            1,
            (Table8[رقم الصنف]=A710) *
            (IF($B$9="الكل",1, YEAR('ادخال البيانات'!$N$3:$N$1164)=VALUE($B$9))) *
            (IF($B$10="الكل",1, MONTH('ادخال البيانات'!$N$3:$N$1164)=VALUE($B$10))) *
            (IF($B$11="الكل",1, INT((DAY('ادخال البيانات'!$N$3:$N$1164)-1)/7)+1 = VALUE($B$11))),
            'ادخال البيانات'!$J$3:$J$1164
         ),
         ""
      ),
      IF(_xlpm.result="", "", _xlpm.result)
   )
)</f>
        <v/>
      </c>
      <c r="K710" s="27" t="str" cm="1">
        <f t="array" ref="K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0" s="27" t="str" cm="1">
        <f t="array" ref="L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0" s="27" t="str" cm="1">
        <f t="array" ref="M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0" s="28" t="str" cm="1">
        <f t="array" ref="N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0" s="28" t="str" cm="1">
        <f t="array" ref="O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0" s="27" t="str" cm="1">
        <f t="array" ref="P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Table8[جهة العطل]
         ),
         ""
      ),
      IF(_xlpm.result="", "", _xlpm.result)
   )
)</f>
        <v/>
      </c>
      <c r="Q710" s="27" t="str" cm="1">
        <f t="array" ref="Q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Table8[المركز]
         ),
         ""
      ),
      IF(_xlpm.result="", "", _xlpm.result)
   )
)</f>
        <v/>
      </c>
      <c r="R710" s="27" t="str" cm="1">
        <f t="array" ref="R710">IF(
   A710="",
   "",
   _xlfn.LET(
      _xlpm.result,
      IFERROR(
         _xlfn.XLOOKUP(
            1,
            (Table8[رقم الصنف]=A710) *
            (IF($B$9="الكل",1, YEAR('ادخال البيانات'!$N$3:$N$1164) = VALUE($B$9))) *
            (IF($B$10="الكل",1, MONTH('ادخال البيانات'!$N$3:$N$1164) = VALUE($B$10))) *
            (IF($B$11="الكل",1, INT((DAY('ادخال البيانات'!$N$3:$N$1164) - 1) / 7) + 1 = VALUE($B$11))),
            Table8[ملاحظة]
         ),
         ""
      ),
      IF(_xlpm.result="", "", _xlpm.result)
   )
)</f>
        <v/>
      </c>
      <c r="S710" s="46" t="str">
        <f t="shared" ca="1" si="11"/>
        <v/>
      </c>
    </row>
    <row r="711" spans="1:19" ht="15.6" thickTop="1" thickBot="1" x14ac:dyDescent="0.35">
      <c r="A711" s="39"/>
      <c r="B711" s="27" t="str" cm="1">
        <f t="array" ref="B711">IF(
   OR(A711="", $B$9="", $B$10="", $B$11=""),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1" s="27" t="str" cm="1">
        <f t="array" ref="C711">IF(
   A711="",
   "",
   _xlfn.LET(
      _xlpm.result,
      IFERROR(
         _xlfn.XLOOKUP(
            1,
            (Table8[رقم الصنف]=A711) *
            (IF($B$9="الكل",1, YEAR('ادخال البيانات'!$N$3:$N$1164) = VALUE($B$9))) *
            (IF($B$10="الكل",1, MONTH('ادخال البيانات'!$N$3:$N$1164) = VALUE($B$10))) *
            (IF($B$11="الكل",1, INT((DAY('ادخال البيانات'!$N$3:$N$1164)-1)/7)+1 = VALUE($B$11))),
            'ادخال البيانات'!$C$3:$C$1164
         ),
         ""
      ),
      IF(_xlpm.result="", "", _xlpm.result)
   )
)</f>
        <v/>
      </c>
      <c r="D711" s="27" t="str" cm="1">
        <f t="array" ref="D711">IF(
   OR(A711="", $B$9="", $B$10="", $B$11=""),
   "",
   _xlfn.LET(
      _xlpm.result,
      IFERROR(
         _xlfn.XLOOKUP(
            1,
            (Table8[رقم الصنف]=A711) *
            (IF($B$9="الكل",1, YEAR('ادخال البيانات'!$N$3:$N$1164)=VALUE($B$9))) *
            (IF($B$10="الكل",1, MONTH('ادخال البيانات'!$N$3:$N$1164)=VALUE($B$10))) *
            (IF($B$11="الكل",1, INT((DAY('ادخال البيانات'!$N$3:$N$1164)-1)/7)+1 = VALUE($B$11))),
            'ادخال البيانات'!$D$3:$D$1164
         ),
         ""
      ),
      IF(_xlpm.result="", "", _xlpm.result)
   )
)</f>
        <v/>
      </c>
      <c r="E711" s="27" t="str" cm="1">
        <f t="array" ref="E711">IF(
   A711="",
   "",
   _xlfn.LET(
      _xlpm.result,
      IFERROR(
         _xlfn.XLOOKUP(
            1,
            (Table8[رقم الصنف]=A711) *
            (IF($B$9="الكل",1, YEAR('ادخال البيانات'!$N$3:$N$1164)=VALUE($B$9))) *
            (IF($B$10="الكل",1, MONTH('ادخال البيانات'!$N$3:$N$1164)=VALUE($B$10))) *
            (IF($B$11="الكل",1, INT((DAY('ادخال البيانات'!$N$3:$N$1164)-1)/7)+1 = VALUE($B$11))),
            'ادخال البيانات'!$E$3:$E$1164
         ),
         ""
      ),
      IF(_xlpm.result="", "", _xlpm.result)
   )
)</f>
        <v/>
      </c>
      <c r="F711" s="27" t="str" cm="1">
        <f t="array" ref="F711">IF(
   A711="",
   "",
   _xlfn.LET(
      _xlpm.result,
      IFERROR(
         _xlfn.XLOOKUP(
            1,
            (Table8[رقم الصنف]=A711) *
            (IF($B$9="الكل",1, YEAR('ادخال البيانات'!$N$3:$N$1164) = VALUE($B$9))) *
            (IF($B$10="الكل",1, MONTH('ادخال البيانات'!$N$3:$N$1164) = VALUE($B$10))) *
            (IF($B$11="الكل",1, INT((DAY('ادخال البيانات'!$N$3:$N$1164)-1)/7)+1 = VALUE($B$11))),
            'ادخال البيانات'!$F$3:$F$1164
         ),
         ""
      ),
      IF(_xlpm.result="", "", _xlpm.result)
   )
)</f>
        <v/>
      </c>
      <c r="G711" s="27" t="str" cm="1">
        <f t="array" ref="G711">IF(
   A711="",
   "",
   _xlfn.LET(
      _xlpm.result,
      IFERROR(
         _xlfn.XLOOKUP(
            1,
            (Table8[رقم الصنف]=A711) *
            (IF($B$9="الكل",1, YEAR('ادخال البيانات'!$N$3:$N$1164)=VALUE($B$9))) *
            (IF($B$10="الكل",1, MONTH('ادخال البيانات'!$N$3:$N$1164)=VALUE($B$10))) *
            (IF($B$11="الكل",1, INT((DAY('ادخال البيانات'!$N$3:$N$1164)-1)/7)+1 = VALUE($B$11))),
            'ادخال البيانات'!$G$3:$G$1164
         ),
         ""
      ),
      IF(_xlpm.result="", "", _xlpm.result)
   )
)</f>
        <v/>
      </c>
      <c r="H711" s="27" t="str" cm="1">
        <f t="array" ref="H711">IF(
   A711="",
   "",
   _xlfn.LET(
      _xlpm.result,
      IFERROR(
         _xlfn.XLOOKUP(
            1,
            (Table8[رقم الصنف]=A711) *
            (IF($B$9="الكل",1, YEAR('ادخال البيانات'!$N$3:$N$1164)=VALUE($B$9))) *
            (IF($B$10="الكل",1, MONTH('ادخال البيانات'!$N$3:$N$1164)=VALUE($B$10))) *
            (IF($B$11="الكل",1, INT((DAY('ادخال البيانات'!$N$3:$N$1164)-1)/7)+1 = VALUE($B$11))),
            'ادخال البيانات'!$H$3:$H$1164
         ),
         ""
      ),
      IF(_xlpm.result="", "", _xlpm.result)
   )
)</f>
        <v/>
      </c>
      <c r="I711" s="27" t="str" cm="1">
        <f t="array" ref="I711">IF(
   A711="",
   "",
   _xlfn.LET(
      _xlpm.result,
      IFERROR(
         _xlfn.XLOOKUP(
            1,
            (Table8[رقم الصنف]=A711) *
            (IF($B$9="الكل",1, YEAR('ادخال البيانات'!$N$3:$N$1164)=VALUE($B$9))) *
            (IF($B$10="الكل",1, MONTH('ادخال البيانات'!$N$3:$N$1164)=VALUE($B$10))) *
            (IF($B$11="الكل",1, INT((DAY('ادخال البيانات'!$N$3:$N$1164)-1)/7)+1 = VALUE($B$11))),
            'ادخال البيانات'!$I$3:$I$1164
         ),
         ""
      ),
      IF(_xlpm.result="", "", _xlpm.result)
   )
)</f>
        <v/>
      </c>
      <c r="J711" s="27" t="str" cm="1">
        <f t="array" ref="J711">IF(
   A711="",
   "",
   _xlfn.LET(
      _xlpm.result,
      IFERROR(
         _xlfn.XLOOKUP(
            1,
            (Table8[رقم الصنف]=A711) *
            (IF($B$9="الكل",1, YEAR('ادخال البيانات'!$N$3:$N$1164)=VALUE($B$9))) *
            (IF($B$10="الكل",1, MONTH('ادخال البيانات'!$N$3:$N$1164)=VALUE($B$10))) *
            (IF($B$11="الكل",1, INT((DAY('ادخال البيانات'!$N$3:$N$1164)-1)/7)+1 = VALUE($B$11))),
            'ادخال البيانات'!$J$3:$J$1164
         ),
         ""
      ),
      IF(_xlpm.result="", "", _xlpm.result)
   )
)</f>
        <v/>
      </c>
      <c r="K711" s="27" t="str" cm="1">
        <f t="array" ref="K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1" s="27" t="str" cm="1">
        <f t="array" ref="L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1" s="27" t="str" cm="1">
        <f t="array" ref="M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1" s="28" t="str" cm="1">
        <f t="array" ref="N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1" s="28" t="str" cm="1">
        <f t="array" ref="O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1" s="27" t="str" cm="1">
        <f t="array" ref="P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Table8[جهة العطل]
         ),
         ""
      ),
      IF(_xlpm.result="", "", _xlpm.result)
   )
)</f>
        <v/>
      </c>
      <c r="Q711" s="27" t="str" cm="1">
        <f t="array" ref="Q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Table8[المركز]
         ),
         ""
      ),
      IF(_xlpm.result="", "", _xlpm.result)
   )
)</f>
        <v/>
      </c>
      <c r="R711" s="27" t="str" cm="1">
        <f t="array" ref="R711">IF(
   A711="",
   "",
   _xlfn.LET(
      _xlpm.result,
      IFERROR(
         _xlfn.XLOOKUP(
            1,
            (Table8[رقم الصنف]=A711) *
            (IF($B$9="الكل",1, YEAR('ادخال البيانات'!$N$3:$N$1164) = VALUE($B$9))) *
            (IF($B$10="الكل",1, MONTH('ادخال البيانات'!$N$3:$N$1164) = VALUE($B$10))) *
            (IF($B$11="الكل",1, INT((DAY('ادخال البيانات'!$N$3:$N$1164) - 1) / 7) + 1 = VALUE($B$11))),
            Table8[ملاحظة]
         ),
         ""
      ),
      IF(_xlpm.result="", "", _xlpm.result)
   )
)</f>
        <v/>
      </c>
      <c r="S711" s="46" t="str">
        <f t="shared" ca="1" si="11"/>
        <v/>
      </c>
    </row>
    <row r="712" spans="1:19" ht="15.6" thickTop="1" thickBot="1" x14ac:dyDescent="0.35">
      <c r="A712" s="39"/>
      <c r="B712" s="27" t="str" cm="1">
        <f t="array" ref="B712">IF(
   OR(A712="", $B$9="", $B$10="", $B$11=""),
   "",
   _xlfn.LET(
      _xlpm.result,
      IFERROR(
         _xlfn.XLOOKUP(
            1,
            (Table8[رقم الصنف]=A712)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2" s="27" t="str" cm="1">
        <f t="array" ref="C712">IF(
   A712="",
   "",
   _xlfn.LET(
      _xlpm.result,
      IFERROR(
         _xlfn.XLOOKUP(
            1,
            (Table8[رقم الصنف]=A712) *
            (IF($B$9="الكل",1, YEAR('ادخال البيانات'!$N$3:$N$1164) = VALUE($B$9))) *
            (IF($B$10="الكل",1, MONTH('ادخال البيانات'!$N$3:$N$1164) = VALUE($B$10))) *
            (IF($B$11="الكل",1, INT((DAY('ادخال البيانات'!$N$3:$N$1164)-1)/7)+1 = VALUE($B$11))),
            'ادخال البيانات'!$C$3:$C$1164
         ),
         ""
      ),
      IF(_xlpm.result="", "", _xlpm.result)
   )
)</f>
        <v/>
      </c>
      <c r="D712" s="27" t="str" cm="1">
        <f t="array" ref="D712">IF(
   OR(A712="", $B$9="", $B$10="", $B$11=""),
   "",
   _xlfn.LET(
      _xlpm.result,
      IFERROR(
         _xlfn.XLOOKUP(
            1,
            (Table8[رقم الصنف]=A712) *
            (IF($B$9="الكل",1, YEAR('ادخال البيانات'!$N$3:$N$1164)=VALUE($B$9))) *
            (IF($B$10="الكل",1, MONTH('ادخال البيانات'!$N$3:$N$1164)=VALUE($B$10))) *
            (IF($B$11="الكل",1, INT((DAY('ادخال البيانات'!$N$3:$N$1164)-1)/7)+1 = VALUE($B$11))),
            'ادخال البيانات'!$D$3:$D$1164
         ),
         ""
      ),
      IF(_xlpm.result="", "", _xlpm.result)
   )
)</f>
        <v/>
      </c>
      <c r="E712" s="27" t="str" cm="1">
        <f t="array" ref="E712">IF(
   A712="",
   "",
   _xlfn.LET(
      _xlpm.result,
      IFERROR(
         _xlfn.XLOOKUP(
            1,
            (Table8[رقم الصنف]=A712) *
            (IF($B$9="الكل",1, YEAR('ادخال البيانات'!$N$3:$N$1164)=VALUE($B$9))) *
            (IF($B$10="الكل",1, MONTH('ادخال البيانات'!$N$3:$N$1164)=VALUE($B$10))) *
            (IF($B$11="الكل",1, INT((DAY('ادخال البيانات'!$N$3:$N$1164)-1)/7)+1 = VALUE($B$11))),
            'ادخال البيانات'!$E$3:$E$1164
         ),
         ""
      ),
      IF(_xlpm.result="", "", _xlpm.result)
   )
)</f>
        <v/>
      </c>
      <c r="F712" s="27" t="str" cm="1">
        <f t="array" ref="F712">IF(
   A712="",
   "",
   _xlfn.LET(
      _xlpm.result,
      IFERROR(
         _xlfn.XLOOKUP(
            1,
            (Table8[رقم الصنف]=A712) *
            (IF($B$9="الكل",1, YEAR('ادخال البيانات'!$N$3:$N$1164) = VALUE($B$9))) *
            (IF($B$10="الكل",1, MONTH('ادخال البيانات'!$N$3:$N$1164) = VALUE($B$10))) *
            (IF($B$11="الكل",1, INT((DAY('ادخال البيانات'!$N$3:$N$1164)-1)/7)+1 = VALUE($B$11))),
            'ادخال البيانات'!$F$3:$F$1164
         ),
         ""
      ),
      IF(_xlpm.result="", "", _xlpm.result)
   )
)</f>
        <v/>
      </c>
      <c r="G712" s="27" t="str" cm="1">
        <f t="array" ref="G712">IF(
   A712="",
   "",
   _xlfn.LET(
      _xlpm.result,
      IFERROR(
         _xlfn.XLOOKUP(
            1,
            (Table8[رقم الصنف]=A712) *
            (IF($B$9="الكل",1, YEAR('ادخال البيانات'!$N$3:$N$1164)=VALUE($B$9))) *
            (IF($B$10="الكل",1, MONTH('ادخال البيانات'!$N$3:$N$1164)=VALUE($B$10))) *
            (IF($B$11="الكل",1, INT((DAY('ادخال البيانات'!$N$3:$N$1164)-1)/7)+1 = VALUE($B$11))),
            'ادخال البيانات'!$G$3:$G$1164
         ),
         ""
      ),
      IF(_xlpm.result="", "", _xlpm.result)
   )
)</f>
        <v/>
      </c>
      <c r="H712" s="27" t="str" cm="1">
        <f t="array" ref="H712">IF(
   A712="",
   "",
   _xlfn.LET(
      _xlpm.result,
      IFERROR(
         _xlfn.XLOOKUP(
            1,
            (Table8[رقم الصنف]=A712) *
            (IF($B$9="الكل",1, YEAR('ادخال البيانات'!$N$3:$N$1164)=VALUE($B$9))) *
            (IF($B$10="الكل",1, MONTH('ادخال البيانات'!$N$3:$N$1164)=VALUE($B$10))) *
            (IF($B$11="الكل",1, INT((DAY('ادخال البيانات'!$N$3:$N$1164)-1)/7)+1 = VALUE($B$11))),
            'ادخال البيانات'!$H$3:$H$1164
         ),
         ""
      ),
      IF(_xlpm.result="", "", _xlpm.result)
   )
)</f>
        <v/>
      </c>
      <c r="I712" s="27" t="str" cm="1">
        <f t="array" ref="I712">IF(
   A712="",
   "",
   _xlfn.LET(
      _xlpm.result,
      IFERROR(
         _xlfn.XLOOKUP(
            1,
            (Table8[رقم الصنف]=A712) *
            (IF($B$9="الكل",1, YEAR('ادخال البيانات'!$N$3:$N$1164)=VALUE($B$9))) *
            (IF($B$10="الكل",1, MONTH('ادخال البيانات'!$N$3:$N$1164)=VALUE($B$10))) *
            (IF($B$11="الكل",1, INT((DAY('ادخال البيانات'!$N$3:$N$1164)-1)/7)+1 = VALUE($B$11))),
            'ادخال البيانات'!$I$3:$I$1164
         ),
         ""
      ),
      IF(_xlpm.result="", "", _xlpm.result)
   )
)</f>
        <v/>
      </c>
      <c r="J712" s="27" t="str" cm="1">
        <f t="array" ref="J712">IF(
   A712="",
   "",
   _xlfn.LET(
      _xlpm.result,
      IFERROR(
         _xlfn.XLOOKUP(
            1,
            (Table8[رقم الصنف]=A712) *
            (IF($B$9="الكل",1, YEAR('ادخال البيانات'!$N$3:$N$1164)=VALUE($B$9))) *
            (IF($B$10="الكل",1, MONTH('ادخال البيانات'!$N$3:$N$1164)=VALUE($B$10))) *
            (IF($B$11="الكل",1, INT((DAY('ادخال البيانات'!$N$3:$N$1164)-1)/7)+1 = VALUE($B$11))),
            'ادخال البيانات'!$J$3:$J$1164
         ),
         ""
      ),
      IF(_xlpm.result="", "", _xlpm.result)
   )
)</f>
        <v/>
      </c>
      <c r="K712" s="27" t="str" cm="1">
        <f t="array" ref="K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2" s="27" t="str" cm="1">
        <f t="array" ref="L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2" s="27" t="str" cm="1">
        <f t="array" ref="M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2" s="28" t="str" cm="1">
        <f t="array" ref="N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2" s="28" t="str" cm="1">
        <f t="array" ref="O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2" s="27" t="str" cm="1">
        <f t="array" ref="P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Table8[جهة العطل]
         ),
         ""
      ),
      IF(_xlpm.result="", "", _xlpm.result)
   )
)</f>
        <v/>
      </c>
      <c r="Q712" s="27" t="str" cm="1">
        <f t="array" ref="Q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Table8[المركز]
         ),
         ""
      ),
      IF(_xlpm.result="", "", _xlpm.result)
   )
)</f>
        <v/>
      </c>
      <c r="R712" s="27" t="str" cm="1">
        <f t="array" ref="R712">IF(
   A712="",
   "",
   _xlfn.LET(
      _xlpm.result,
      IFERROR(
         _xlfn.XLOOKUP(
            1,
            (Table8[رقم الصنف]=A712) *
            (IF($B$9="الكل",1, YEAR('ادخال البيانات'!$N$3:$N$1164) = VALUE($B$9))) *
            (IF($B$10="الكل",1, MONTH('ادخال البيانات'!$N$3:$N$1164) = VALUE($B$10))) *
            (IF($B$11="الكل",1, INT((DAY('ادخال البيانات'!$N$3:$N$1164) - 1) / 7) + 1 = VALUE($B$11))),
            Table8[ملاحظة]
         ),
         ""
      ),
      IF(_xlpm.result="", "", _xlpm.result)
   )
)</f>
        <v/>
      </c>
      <c r="S712" s="46" t="str">
        <f t="shared" ca="1" si="11"/>
        <v/>
      </c>
    </row>
    <row r="713" spans="1:19" ht="15.6" thickTop="1" thickBot="1" x14ac:dyDescent="0.35">
      <c r="A713" s="39"/>
      <c r="B713" s="27" t="str" cm="1">
        <f t="array" ref="B713">IF(
   OR(A713="", $B$9="", $B$10="", $B$11=""),
   "",
   _xlfn.LET(
      _xlpm.result,
      IFERROR(
         _xlfn.XLOOKUP(
            1,
            (Table8[رقم الصنف]=A713)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3" s="27" t="str" cm="1">
        <f t="array" ref="C713">IF(
   A713="",
   "",
   _xlfn.LET(
      _xlpm.result,
      IFERROR(
         _xlfn.XLOOKUP(
            1,
            (Table8[رقم الصنف]=A713) *
            (IF($B$9="الكل",1, YEAR('ادخال البيانات'!$N$3:$N$1164) = VALUE($B$9))) *
            (IF($B$10="الكل",1, MONTH('ادخال البيانات'!$N$3:$N$1164) = VALUE($B$10))) *
            (IF($B$11="الكل",1, INT((DAY('ادخال البيانات'!$N$3:$N$1164)-1)/7)+1 = VALUE($B$11))),
            'ادخال البيانات'!$C$3:$C$1164
         ),
         ""
      ),
      IF(_xlpm.result="", "", _xlpm.result)
   )
)</f>
        <v/>
      </c>
      <c r="D713" s="27" t="str" cm="1">
        <f t="array" ref="D713">IF(
   OR(A713="", $B$9="", $B$10="", $B$11=""),
   "",
   _xlfn.LET(
      _xlpm.result,
      IFERROR(
         _xlfn.XLOOKUP(
            1,
            (Table8[رقم الصنف]=A713) *
            (IF($B$9="الكل",1, YEAR('ادخال البيانات'!$N$3:$N$1164)=VALUE($B$9))) *
            (IF($B$10="الكل",1, MONTH('ادخال البيانات'!$N$3:$N$1164)=VALUE($B$10))) *
            (IF($B$11="الكل",1, INT((DAY('ادخال البيانات'!$N$3:$N$1164)-1)/7)+1 = VALUE($B$11))),
            'ادخال البيانات'!$D$3:$D$1164
         ),
         ""
      ),
      IF(_xlpm.result="", "", _xlpm.result)
   )
)</f>
        <v/>
      </c>
      <c r="E713" s="27" t="str" cm="1">
        <f t="array" ref="E713">IF(
   A713="",
   "",
   _xlfn.LET(
      _xlpm.result,
      IFERROR(
         _xlfn.XLOOKUP(
            1,
            (Table8[رقم الصنف]=A713) *
            (IF($B$9="الكل",1, YEAR('ادخال البيانات'!$N$3:$N$1164)=VALUE($B$9))) *
            (IF($B$10="الكل",1, MONTH('ادخال البيانات'!$N$3:$N$1164)=VALUE($B$10))) *
            (IF($B$11="الكل",1, INT((DAY('ادخال البيانات'!$N$3:$N$1164)-1)/7)+1 = VALUE($B$11))),
            'ادخال البيانات'!$E$3:$E$1164
         ),
         ""
      ),
      IF(_xlpm.result="", "", _xlpm.result)
   )
)</f>
        <v/>
      </c>
      <c r="F713" s="27" t="str" cm="1">
        <f t="array" ref="F713">IF(
   A713="",
   "",
   _xlfn.LET(
      _xlpm.result,
      IFERROR(
         _xlfn.XLOOKUP(
            1,
            (Table8[رقم الصنف]=A713) *
            (IF($B$9="الكل",1, YEAR('ادخال البيانات'!$N$3:$N$1164) = VALUE($B$9))) *
            (IF($B$10="الكل",1, MONTH('ادخال البيانات'!$N$3:$N$1164) = VALUE($B$10))) *
            (IF($B$11="الكل",1, INT((DAY('ادخال البيانات'!$N$3:$N$1164)-1)/7)+1 = VALUE($B$11))),
            'ادخال البيانات'!$F$3:$F$1164
         ),
         ""
      ),
      IF(_xlpm.result="", "", _xlpm.result)
   )
)</f>
        <v/>
      </c>
      <c r="G713" s="27" t="str" cm="1">
        <f t="array" ref="G713">IF(
   A713="",
   "",
   _xlfn.LET(
      _xlpm.result,
      IFERROR(
         _xlfn.XLOOKUP(
            1,
            (Table8[رقم الصنف]=A713) *
            (IF($B$9="الكل",1, YEAR('ادخال البيانات'!$N$3:$N$1164)=VALUE($B$9))) *
            (IF($B$10="الكل",1, MONTH('ادخال البيانات'!$N$3:$N$1164)=VALUE($B$10))) *
            (IF($B$11="الكل",1, INT((DAY('ادخال البيانات'!$N$3:$N$1164)-1)/7)+1 = VALUE($B$11))),
            'ادخال البيانات'!$G$3:$G$1164
         ),
         ""
      ),
      IF(_xlpm.result="", "", _xlpm.result)
   )
)</f>
        <v/>
      </c>
      <c r="H713" s="27" t="str" cm="1">
        <f t="array" ref="H713">IF(
   A713="",
   "",
   _xlfn.LET(
      _xlpm.result,
      IFERROR(
         _xlfn.XLOOKUP(
            1,
            (Table8[رقم الصنف]=A713) *
            (IF($B$9="الكل",1, YEAR('ادخال البيانات'!$N$3:$N$1164)=VALUE($B$9))) *
            (IF($B$10="الكل",1, MONTH('ادخال البيانات'!$N$3:$N$1164)=VALUE($B$10))) *
            (IF($B$11="الكل",1, INT((DAY('ادخال البيانات'!$N$3:$N$1164)-1)/7)+1 = VALUE($B$11))),
            'ادخال البيانات'!$H$3:$H$1164
         ),
         ""
      ),
      IF(_xlpm.result="", "", _xlpm.result)
   )
)</f>
        <v/>
      </c>
      <c r="I713" s="27" t="str" cm="1">
        <f t="array" ref="I713">IF(
   A713="",
   "",
   _xlfn.LET(
      _xlpm.result,
      IFERROR(
         _xlfn.XLOOKUP(
            1,
            (Table8[رقم الصنف]=A713) *
            (IF($B$9="الكل",1, YEAR('ادخال البيانات'!$N$3:$N$1164)=VALUE($B$9))) *
            (IF($B$10="الكل",1, MONTH('ادخال البيانات'!$N$3:$N$1164)=VALUE($B$10))) *
            (IF($B$11="الكل",1, INT((DAY('ادخال البيانات'!$N$3:$N$1164)-1)/7)+1 = VALUE($B$11))),
            'ادخال البيانات'!$I$3:$I$1164
         ),
         ""
      ),
      IF(_xlpm.result="", "", _xlpm.result)
   )
)</f>
        <v/>
      </c>
      <c r="J713" s="27" t="str" cm="1">
        <f t="array" ref="J713">IF(
   A713="",
   "",
   _xlfn.LET(
      _xlpm.result,
      IFERROR(
         _xlfn.XLOOKUP(
            1,
            (Table8[رقم الصنف]=A713) *
            (IF($B$9="الكل",1, YEAR('ادخال البيانات'!$N$3:$N$1164)=VALUE($B$9))) *
            (IF($B$10="الكل",1, MONTH('ادخال البيانات'!$N$3:$N$1164)=VALUE($B$10))) *
            (IF($B$11="الكل",1, INT((DAY('ادخال البيانات'!$N$3:$N$1164)-1)/7)+1 = VALUE($B$11))),
            'ادخال البيانات'!$J$3:$J$1164
         ),
         ""
      ),
      IF(_xlpm.result="", "", _xlpm.result)
   )
)</f>
        <v/>
      </c>
      <c r="K713" s="27" t="str" cm="1">
        <f t="array" ref="K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3" s="27" t="str" cm="1">
        <f t="array" ref="L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3" s="27" t="str" cm="1">
        <f t="array" ref="M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3" s="28" t="str" cm="1">
        <f t="array" ref="N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3" s="28" t="str" cm="1">
        <f t="array" ref="O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3" s="27" t="str" cm="1">
        <f t="array" ref="P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Table8[جهة العطل]
         ),
         ""
      ),
      IF(_xlpm.result="", "", _xlpm.result)
   )
)</f>
        <v/>
      </c>
      <c r="Q713" s="27" t="str" cm="1">
        <f t="array" ref="Q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Table8[المركز]
         ),
         ""
      ),
      IF(_xlpm.result="", "", _xlpm.result)
   )
)</f>
        <v/>
      </c>
      <c r="R713" s="27" t="str" cm="1">
        <f t="array" ref="R713">IF(
   A713="",
   "",
   _xlfn.LET(
      _xlpm.result,
      IFERROR(
         _xlfn.XLOOKUP(
            1,
            (Table8[رقم الصنف]=A713) *
            (IF($B$9="الكل",1, YEAR('ادخال البيانات'!$N$3:$N$1164) = VALUE($B$9))) *
            (IF($B$10="الكل",1, MONTH('ادخال البيانات'!$N$3:$N$1164) = VALUE($B$10))) *
            (IF($B$11="الكل",1, INT((DAY('ادخال البيانات'!$N$3:$N$1164) - 1) / 7) + 1 = VALUE($B$11))),
            Table8[ملاحظة]
         ),
         ""
      ),
      IF(_xlpm.result="", "", _xlpm.result)
   )
)</f>
        <v/>
      </c>
      <c r="S713" s="46" t="str">
        <f t="shared" ca="1" si="11"/>
        <v/>
      </c>
    </row>
    <row r="714" spans="1:19" ht="15.6" thickTop="1" thickBot="1" x14ac:dyDescent="0.35">
      <c r="A714" s="39"/>
      <c r="B714" s="27" t="str" cm="1">
        <f t="array" ref="B714">IF(
   OR(A714="", $B$9="", $B$10="", $B$11=""),
   "",
   _xlfn.LET(
      _xlpm.result,
      IFERROR(
         _xlfn.XLOOKUP(
            1,
            (Table8[رقم الصنف]=A714)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4" s="27" t="str" cm="1">
        <f t="array" ref="C714">IF(
   A714="",
   "",
   _xlfn.LET(
      _xlpm.result,
      IFERROR(
         _xlfn.XLOOKUP(
            1,
            (Table8[رقم الصنف]=A714) *
            (IF($B$9="الكل",1, YEAR('ادخال البيانات'!$N$3:$N$1164) = VALUE($B$9))) *
            (IF($B$10="الكل",1, MONTH('ادخال البيانات'!$N$3:$N$1164) = VALUE($B$10))) *
            (IF($B$11="الكل",1, INT((DAY('ادخال البيانات'!$N$3:$N$1164)-1)/7)+1 = VALUE($B$11))),
            'ادخال البيانات'!$C$3:$C$1164
         ),
         ""
      ),
      IF(_xlpm.result="", "", _xlpm.result)
   )
)</f>
        <v/>
      </c>
      <c r="D714" s="27" t="str" cm="1">
        <f t="array" ref="D714">IF(
   OR(A714="", $B$9="", $B$10="", $B$11=""),
   "",
   _xlfn.LET(
      _xlpm.result,
      IFERROR(
         _xlfn.XLOOKUP(
            1,
            (Table8[رقم الصنف]=A714) *
            (IF($B$9="الكل",1, YEAR('ادخال البيانات'!$N$3:$N$1164)=VALUE($B$9))) *
            (IF($B$10="الكل",1, MONTH('ادخال البيانات'!$N$3:$N$1164)=VALUE($B$10))) *
            (IF($B$11="الكل",1, INT((DAY('ادخال البيانات'!$N$3:$N$1164)-1)/7)+1 = VALUE($B$11))),
            'ادخال البيانات'!$D$3:$D$1164
         ),
         ""
      ),
      IF(_xlpm.result="", "", _xlpm.result)
   )
)</f>
        <v/>
      </c>
      <c r="E714" s="27" t="str" cm="1">
        <f t="array" ref="E714">IF(
   A714="",
   "",
   _xlfn.LET(
      _xlpm.result,
      IFERROR(
         _xlfn.XLOOKUP(
            1,
            (Table8[رقم الصنف]=A714) *
            (IF($B$9="الكل",1, YEAR('ادخال البيانات'!$N$3:$N$1164)=VALUE($B$9))) *
            (IF($B$10="الكل",1, MONTH('ادخال البيانات'!$N$3:$N$1164)=VALUE($B$10))) *
            (IF($B$11="الكل",1, INT((DAY('ادخال البيانات'!$N$3:$N$1164)-1)/7)+1 = VALUE($B$11))),
            'ادخال البيانات'!$E$3:$E$1164
         ),
         ""
      ),
      IF(_xlpm.result="", "", _xlpm.result)
   )
)</f>
        <v/>
      </c>
      <c r="F714" s="27" t="str" cm="1">
        <f t="array" ref="F714">IF(
   A714="",
   "",
   _xlfn.LET(
      _xlpm.result,
      IFERROR(
         _xlfn.XLOOKUP(
            1,
            (Table8[رقم الصنف]=A714) *
            (IF($B$9="الكل",1, YEAR('ادخال البيانات'!$N$3:$N$1164) = VALUE($B$9))) *
            (IF($B$10="الكل",1, MONTH('ادخال البيانات'!$N$3:$N$1164) = VALUE($B$10))) *
            (IF($B$11="الكل",1, INT((DAY('ادخال البيانات'!$N$3:$N$1164)-1)/7)+1 = VALUE($B$11))),
            'ادخال البيانات'!$F$3:$F$1164
         ),
         ""
      ),
      IF(_xlpm.result="", "", _xlpm.result)
   )
)</f>
        <v/>
      </c>
      <c r="G714" s="27" t="str" cm="1">
        <f t="array" ref="G714">IF(
   A714="",
   "",
   _xlfn.LET(
      _xlpm.result,
      IFERROR(
         _xlfn.XLOOKUP(
            1,
            (Table8[رقم الصنف]=A714) *
            (IF($B$9="الكل",1, YEAR('ادخال البيانات'!$N$3:$N$1164)=VALUE($B$9))) *
            (IF($B$10="الكل",1, MONTH('ادخال البيانات'!$N$3:$N$1164)=VALUE($B$10))) *
            (IF($B$11="الكل",1, INT((DAY('ادخال البيانات'!$N$3:$N$1164)-1)/7)+1 = VALUE($B$11))),
            'ادخال البيانات'!$G$3:$G$1164
         ),
         ""
      ),
      IF(_xlpm.result="", "", _xlpm.result)
   )
)</f>
        <v/>
      </c>
      <c r="H714" s="27" t="str" cm="1">
        <f t="array" ref="H714">IF(
   A714="",
   "",
   _xlfn.LET(
      _xlpm.result,
      IFERROR(
         _xlfn.XLOOKUP(
            1,
            (Table8[رقم الصنف]=A714) *
            (IF($B$9="الكل",1, YEAR('ادخال البيانات'!$N$3:$N$1164)=VALUE($B$9))) *
            (IF($B$10="الكل",1, MONTH('ادخال البيانات'!$N$3:$N$1164)=VALUE($B$10))) *
            (IF($B$11="الكل",1, INT((DAY('ادخال البيانات'!$N$3:$N$1164)-1)/7)+1 = VALUE($B$11))),
            'ادخال البيانات'!$H$3:$H$1164
         ),
         ""
      ),
      IF(_xlpm.result="", "", _xlpm.result)
   )
)</f>
        <v/>
      </c>
      <c r="I714" s="27" t="str" cm="1">
        <f t="array" ref="I714">IF(
   A714="",
   "",
   _xlfn.LET(
      _xlpm.result,
      IFERROR(
         _xlfn.XLOOKUP(
            1,
            (Table8[رقم الصنف]=A714) *
            (IF($B$9="الكل",1, YEAR('ادخال البيانات'!$N$3:$N$1164)=VALUE($B$9))) *
            (IF($B$10="الكل",1, MONTH('ادخال البيانات'!$N$3:$N$1164)=VALUE($B$10))) *
            (IF($B$11="الكل",1, INT((DAY('ادخال البيانات'!$N$3:$N$1164)-1)/7)+1 = VALUE($B$11))),
            'ادخال البيانات'!$I$3:$I$1164
         ),
         ""
      ),
      IF(_xlpm.result="", "", _xlpm.result)
   )
)</f>
        <v/>
      </c>
      <c r="J714" s="27" t="str" cm="1">
        <f t="array" ref="J714">IF(
   A714="",
   "",
   _xlfn.LET(
      _xlpm.result,
      IFERROR(
         _xlfn.XLOOKUP(
            1,
            (Table8[رقم الصنف]=A714) *
            (IF($B$9="الكل",1, YEAR('ادخال البيانات'!$N$3:$N$1164)=VALUE($B$9))) *
            (IF($B$10="الكل",1, MONTH('ادخال البيانات'!$N$3:$N$1164)=VALUE($B$10))) *
            (IF($B$11="الكل",1, INT((DAY('ادخال البيانات'!$N$3:$N$1164)-1)/7)+1 = VALUE($B$11))),
            'ادخال البيانات'!$J$3:$J$1164
         ),
         ""
      ),
      IF(_xlpm.result="", "", _xlpm.result)
   )
)</f>
        <v/>
      </c>
      <c r="K714" s="27" t="str" cm="1">
        <f t="array" ref="K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4" s="27" t="str" cm="1">
        <f t="array" ref="L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4" s="27" t="str" cm="1">
        <f t="array" ref="M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4" s="28" t="str" cm="1">
        <f t="array" ref="N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4" s="28" t="str" cm="1">
        <f t="array" ref="O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4" s="27" t="str" cm="1">
        <f t="array" ref="P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Table8[جهة العطل]
         ),
         ""
      ),
      IF(_xlpm.result="", "", _xlpm.result)
   )
)</f>
        <v/>
      </c>
      <c r="Q714" s="27" t="str" cm="1">
        <f t="array" ref="Q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Table8[المركز]
         ),
         ""
      ),
      IF(_xlpm.result="", "", _xlpm.result)
   )
)</f>
        <v/>
      </c>
      <c r="R714" s="27" t="str" cm="1">
        <f t="array" ref="R714">IF(
   A714="",
   "",
   _xlfn.LET(
      _xlpm.result,
      IFERROR(
         _xlfn.XLOOKUP(
            1,
            (Table8[رقم الصنف]=A714) *
            (IF($B$9="الكل",1, YEAR('ادخال البيانات'!$N$3:$N$1164) = VALUE($B$9))) *
            (IF($B$10="الكل",1, MONTH('ادخال البيانات'!$N$3:$N$1164) = VALUE($B$10))) *
            (IF($B$11="الكل",1, INT((DAY('ادخال البيانات'!$N$3:$N$1164) - 1) / 7) + 1 = VALUE($B$11))),
            Table8[ملاحظة]
         ),
         ""
      ),
      IF(_xlpm.result="", "", _xlpm.result)
   )
)</f>
        <v/>
      </c>
      <c r="S714" s="46" t="str">
        <f t="shared" ca="1" si="11"/>
        <v/>
      </c>
    </row>
    <row r="715" spans="1:19" ht="15.6" thickTop="1" thickBot="1" x14ac:dyDescent="0.35">
      <c r="A715" s="39"/>
      <c r="B715" s="27" t="str" cm="1">
        <f t="array" ref="B715">IF(
   OR(A715="", $B$9="", $B$10="", $B$11=""),
   "",
   _xlfn.LET(
      _xlpm.result,
      IFERROR(
         _xlfn.XLOOKUP(
            1,
            (Table8[رقم الصنف]=A715)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5" s="27" t="str" cm="1">
        <f t="array" ref="C715">IF(
   A715="",
   "",
   _xlfn.LET(
      _xlpm.result,
      IFERROR(
         _xlfn.XLOOKUP(
            1,
            (Table8[رقم الصنف]=A715) *
            (IF($B$9="الكل",1, YEAR('ادخال البيانات'!$N$3:$N$1164) = VALUE($B$9))) *
            (IF($B$10="الكل",1, MONTH('ادخال البيانات'!$N$3:$N$1164) = VALUE($B$10))) *
            (IF($B$11="الكل",1, INT((DAY('ادخال البيانات'!$N$3:$N$1164)-1)/7)+1 = VALUE($B$11))),
            'ادخال البيانات'!$C$3:$C$1164
         ),
         ""
      ),
      IF(_xlpm.result="", "", _xlpm.result)
   )
)</f>
        <v/>
      </c>
      <c r="D715" s="27" t="str" cm="1">
        <f t="array" ref="D715">IF(
   OR(A715="", $B$9="", $B$10="", $B$11=""),
   "",
   _xlfn.LET(
      _xlpm.result,
      IFERROR(
         _xlfn.XLOOKUP(
            1,
            (Table8[رقم الصنف]=A715) *
            (IF($B$9="الكل",1, YEAR('ادخال البيانات'!$N$3:$N$1164)=VALUE($B$9))) *
            (IF($B$10="الكل",1, MONTH('ادخال البيانات'!$N$3:$N$1164)=VALUE($B$10))) *
            (IF($B$11="الكل",1, INT((DAY('ادخال البيانات'!$N$3:$N$1164)-1)/7)+1 = VALUE($B$11))),
            'ادخال البيانات'!$D$3:$D$1164
         ),
         ""
      ),
      IF(_xlpm.result="", "", _xlpm.result)
   )
)</f>
        <v/>
      </c>
      <c r="E715" s="27" t="str" cm="1">
        <f t="array" ref="E715">IF(
   A715="",
   "",
   _xlfn.LET(
      _xlpm.result,
      IFERROR(
         _xlfn.XLOOKUP(
            1,
            (Table8[رقم الصنف]=A715) *
            (IF($B$9="الكل",1, YEAR('ادخال البيانات'!$N$3:$N$1164)=VALUE($B$9))) *
            (IF($B$10="الكل",1, MONTH('ادخال البيانات'!$N$3:$N$1164)=VALUE($B$10))) *
            (IF($B$11="الكل",1, INT((DAY('ادخال البيانات'!$N$3:$N$1164)-1)/7)+1 = VALUE($B$11))),
            'ادخال البيانات'!$E$3:$E$1164
         ),
         ""
      ),
      IF(_xlpm.result="", "", _xlpm.result)
   )
)</f>
        <v/>
      </c>
      <c r="F715" s="27" t="str" cm="1">
        <f t="array" ref="F715">IF(
   A715="",
   "",
   _xlfn.LET(
      _xlpm.result,
      IFERROR(
         _xlfn.XLOOKUP(
            1,
            (Table8[رقم الصنف]=A715) *
            (IF($B$9="الكل",1, YEAR('ادخال البيانات'!$N$3:$N$1164) = VALUE($B$9))) *
            (IF($B$10="الكل",1, MONTH('ادخال البيانات'!$N$3:$N$1164) = VALUE($B$10))) *
            (IF($B$11="الكل",1, INT((DAY('ادخال البيانات'!$N$3:$N$1164)-1)/7)+1 = VALUE($B$11))),
            'ادخال البيانات'!$F$3:$F$1164
         ),
         ""
      ),
      IF(_xlpm.result="", "", _xlpm.result)
   )
)</f>
        <v/>
      </c>
      <c r="G715" s="27" t="str" cm="1">
        <f t="array" ref="G715">IF(
   A715="",
   "",
   _xlfn.LET(
      _xlpm.result,
      IFERROR(
         _xlfn.XLOOKUP(
            1,
            (Table8[رقم الصنف]=A715) *
            (IF($B$9="الكل",1, YEAR('ادخال البيانات'!$N$3:$N$1164)=VALUE($B$9))) *
            (IF($B$10="الكل",1, MONTH('ادخال البيانات'!$N$3:$N$1164)=VALUE($B$10))) *
            (IF($B$11="الكل",1, INT((DAY('ادخال البيانات'!$N$3:$N$1164)-1)/7)+1 = VALUE($B$11))),
            'ادخال البيانات'!$G$3:$G$1164
         ),
         ""
      ),
      IF(_xlpm.result="", "", _xlpm.result)
   )
)</f>
        <v/>
      </c>
      <c r="H715" s="27" t="str" cm="1">
        <f t="array" ref="H715">IF(
   A715="",
   "",
   _xlfn.LET(
      _xlpm.result,
      IFERROR(
         _xlfn.XLOOKUP(
            1,
            (Table8[رقم الصنف]=A715) *
            (IF($B$9="الكل",1, YEAR('ادخال البيانات'!$N$3:$N$1164)=VALUE($B$9))) *
            (IF($B$10="الكل",1, MONTH('ادخال البيانات'!$N$3:$N$1164)=VALUE($B$10))) *
            (IF($B$11="الكل",1, INT((DAY('ادخال البيانات'!$N$3:$N$1164)-1)/7)+1 = VALUE($B$11))),
            'ادخال البيانات'!$H$3:$H$1164
         ),
         ""
      ),
      IF(_xlpm.result="", "", _xlpm.result)
   )
)</f>
        <v/>
      </c>
      <c r="I715" s="27" t="str" cm="1">
        <f t="array" ref="I715">IF(
   A715="",
   "",
   _xlfn.LET(
      _xlpm.result,
      IFERROR(
         _xlfn.XLOOKUP(
            1,
            (Table8[رقم الصنف]=A715) *
            (IF($B$9="الكل",1, YEAR('ادخال البيانات'!$N$3:$N$1164)=VALUE($B$9))) *
            (IF($B$10="الكل",1, MONTH('ادخال البيانات'!$N$3:$N$1164)=VALUE($B$10))) *
            (IF($B$11="الكل",1, INT((DAY('ادخال البيانات'!$N$3:$N$1164)-1)/7)+1 = VALUE($B$11))),
            'ادخال البيانات'!$I$3:$I$1164
         ),
         ""
      ),
      IF(_xlpm.result="", "", _xlpm.result)
   )
)</f>
        <v/>
      </c>
      <c r="J715" s="27" t="str" cm="1">
        <f t="array" ref="J715">IF(
   A715="",
   "",
   _xlfn.LET(
      _xlpm.result,
      IFERROR(
         _xlfn.XLOOKUP(
            1,
            (Table8[رقم الصنف]=A715) *
            (IF($B$9="الكل",1, YEAR('ادخال البيانات'!$N$3:$N$1164)=VALUE($B$9))) *
            (IF($B$10="الكل",1, MONTH('ادخال البيانات'!$N$3:$N$1164)=VALUE($B$10))) *
            (IF($B$11="الكل",1, INT((DAY('ادخال البيانات'!$N$3:$N$1164)-1)/7)+1 = VALUE($B$11))),
            'ادخال البيانات'!$J$3:$J$1164
         ),
         ""
      ),
      IF(_xlpm.result="", "", _xlpm.result)
   )
)</f>
        <v/>
      </c>
      <c r="K715" s="27" t="str" cm="1">
        <f t="array" ref="K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5" s="27" t="str" cm="1">
        <f t="array" ref="L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5" s="27" t="str" cm="1">
        <f t="array" ref="M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5" s="28" t="str" cm="1">
        <f t="array" ref="N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5" s="28" t="str" cm="1">
        <f t="array" ref="O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5" s="27" t="str" cm="1">
        <f t="array" ref="P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Table8[جهة العطل]
         ),
         ""
      ),
      IF(_xlpm.result="", "", _xlpm.result)
   )
)</f>
        <v/>
      </c>
      <c r="Q715" s="27" t="str" cm="1">
        <f t="array" ref="Q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Table8[المركز]
         ),
         ""
      ),
      IF(_xlpm.result="", "", _xlpm.result)
   )
)</f>
        <v/>
      </c>
      <c r="R715" s="27" t="str" cm="1">
        <f t="array" ref="R715">IF(
   A715="",
   "",
   _xlfn.LET(
      _xlpm.result,
      IFERROR(
         _xlfn.XLOOKUP(
            1,
            (Table8[رقم الصنف]=A715) *
            (IF($B$9="الكل",1, YEAR('ادخال البيانات'!$N$3:$N$1164) = VALUE($B$9))) *
            (IF($B$10="الكل",1, MONTH('ادخال البيانات'!$N$3:$N$1164) = VALUE($B$10))) *
            (IF($B$11="الكل",1, INT((DAY('ادخال البيانات'!$N$3:$N$1164) - 1) / 7) + 1 = VALUE($B$11))),
            Table8[ملاحظة]
         ),
         ""
      ),
      IF(_xlpm.result="", "", _xlpm.result)
   )
)</f>
        <v/>
      </c>
      <c r="S715" s="46" t="str">
        <f t="shared" ca="1" si="11"/>
        <v/>
      </c>
    </row>
    <row r="716" spans="1:19" ht="15.6" thickTop="1" thickBot="1" x14ac:dyDescent="0.35">
      <c r="A716" s="39"/>
      <c r="B716" s="27" t="str" cm="1">
        <f t="array" ref="B716">IF(
   OR(A716="", $B$9="", $B$10="", $B$11=""),
   "",
   _xlfn.LET(
      _xlpm.result,
      IFERROR(
         _xlfn.XLOOKUP(
            1,
            (Table8[رقم الصنف]=A716)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6" s="27" t="str" cm="1">
        <f t="array" ref="C716">IF(
   A716="",
   "",
   _xlfn.LET(
      _xlpm.result,
      IFERROR(
         _xlfn.XLOOKUP(
            1,
            (Table8[رقم الصنف]=A716) *
            (IF($B$9="الكل",1, YEAR('ادخال البيانات'!$N$3:$N$1164) = VALUE($B$9))) *
            (IF($B$10="الكل",1, MONTH('ادخال البيانات'!$N$3:$N$1164) = VALUE($B$10))) *
            (IF($B$11="الكل",1, INT((DAY('ادخال البيانات'!$N$3:$N$1164)-1)/7)+1 = VALUE($B$11))),
            'ادخال البيانات'!$C$3:$C$1164
         ),
         ""
      ),
      IF(_xlpm.result="", "", _xlpm.result)
   )
)</f>
        <v/>
      </c>
      <c r="D716" s="27" t="str" cm="1">
        <f t="array" ref="D716">IF(
   OR(A716="", $B$9="", $B$10="", $B$11=""),
   "",
   _xlfn.LET(
      _xlpm.result,
      IFERROR(
         _xlfn.XLOOKUP(
            1,
            (Table8[رقم الصنف]=A716) *
            (IF($B$9="الكل",1, YEAR('ادخال البيانات'!$N$3:$N$1164)=VALUE($B$9))) *
            (IF($B$10="الكل",1, MONTH('ادخال البيانات'!$N$3:$N$1164)=VALUE($B$10))) *
            (IF($B$11="الكل",1, INT((DAY('ادخال البيانات'!$N$3:$N$1164)-1)/7)+1 = VALUE($B$11))),
            'ادخال البيانات'!$D$3:$D$1164
         ),
         ""
      ),
      IF(_xlpm.result="", "", _xlpm.result)
   )
)</f>
        <v/>
      </c>
      <c r="E716" s="27" t="str" cm="1">
        <f t="array" ref="E716">IF(
   A716="",
   "",
   _xlfn.LET(
      _xlpm.result,
      IFERROR(
         _xlfn.XLOOKUP(
            1,
            (Table8[رقم الصنف]=A716) *
            (IF($B$9="الكل",1, YEAR('ادخال البيانات'!$N$3:$N$1164)=VALUE($B$9))) *
            (IF($B$10="الكل",1, MONTH('ادخال البيانات'!$N$3:$N$1164)=VALUE($B$10))) *
            (IF($B$11="الكل",1, INT((DAY('ادخال البيانات'!$N$3:$N$1164)-1)/7)+1 = VALUE($B$11))),
            'ادخال البيانات'!$E$3:$E$1164
         ),
         ""
      ),
      IF(_xlpm.result="", "", _xlpm.result)
   )
)</f>
        <v/>
      </c>
      <c r="F716" s="27" t="str" cm="1">
        <f t="array" ref="F716">IF(
   A716="",
   "",
   _xlfn.LET(
      _xlpm.result,
      IFERROR(
         _xlfn.XLOOKUP(
            1,
            (Table8[رقم الصنف]=A716) *
            (IF($B$9="الكل",1, YEAR('ادخال البيانات'!$N$3:$N$1164) = VALUE($B$9))) *
            (IF($B$10="الكل",1, MONTH('ادخال البيانات'!$N$3:$N$1164) = VALUE($B$10))) *
            (IF($B$11="الكل",1, INT((DAY('ادخال البيانات'!$N$3:$N$1164)-1)/7)+1 = VALUE($B$11))),
            'ادخال البيانات'!$F$3:$F$1164
         ),
         ""
      ),
      IF(_xlpm.result="", "", _xlpm.result)
   )
)</f>
        <v/>
      </c>
      <c r="G716" s="27" t="str" cm="1">
        <f t="array" ref="G716">IF(
   A716="",
   "",
   _xlfn.LET(
      _xlpm.result,
      IFERROR(
         _xlfn.XLOOKUP(
            1,
            (Table8[رقم الصنف]=A716) *
            (IF($B$9="الكل",1, YEAR('ادخال البيانات'!$N$3:$N$1164)=VALUE($B$9))) *
            (IF($B$10="الكل",1, MONTH('ادخال البيانات'!$N$3:$N$1164)=VALUE($B$10))) *
            (IF($B$11="الكل",1, INT((DAY('ادخال البيانات'!$N$3:$N$1164)-1)/7)+1 = VALUE($B$11))),
            'ادخال البيانات'!$G$3:$G$1164
         ),
         ""
      ),
      IF(_xlpm.result="", "", _xlpm.result)
   )
)</f>
        <v/>
      </c>
      <c r="H716" s="27" t="str" cm="1">
        <f t="array" ref="H716">IF(
   A716="",
   "",
   _xlfn.LET(
      _xlpm.result,
      IFERROR(
         _xlfn.XLOOKUP(
            1,
            (Table8[رقم الصنف]=A716) *
            (IF($B$9="الكل",1, YEAR('ادخال البيانات'!$N$3:$N$1164)=VALUE($B$9))) *
            (IF($B$10="الكل",1, MONTH('ادخال البيانات'!$N$3:$N$1164)=VALUE($B$10))) *
            (IF($B$11="الكل",1, INT((DAY('ادخال البيانات'!$N$3:$N$1164)-1)/7)+1 = VALUE($B$11))),
            'ادخال البيانات'!$H$3:$H$1164
         ),
         ""
      ),
      IF(_xlpm.result="", "", _xlpm.result)
   )
)</f>
        <v/>
      </c>
      <c r="I716" s="27" t="str" cm="1">
        <f t="array" ref="I716">IF(
   A716="",
   "",
   _xlfn.LET(
      _xlpm.result,
      IFERROR(
         _xlfn.XLOOKUP(
            1,
            (Table8[رقم الصنف]=A716) *
            (IF($B$9="الكل",1, YEAR('ادخال البيانات'!$N$3:$N$1164)=VALUE($B$9))) *
            (IF($B$10="الكل",1, MONTH('ادخال البيانات'!$N$3:$N$1164)=VALUE($B$10))) *
            (IF($B$11="الكل",1, INT((DAY('ادخال البيانات'!$N$3:$N$1164)-1)/7)+1 = VALUE($B$11))),
            'ادخال البيانات'!$I$3:$I$1164
         ),
         ""
      ),
      IF(_xlpm.result="", "", _xlpm.result)
   )
)</f>
        <v/>
      </c>
      <c r="J716" s="27" t="str" cm="1">
        <f t="array" ref="J716">IF(
   A716="",
   "",
   _xlfn.LET(
      _xlpm.result,
      IFERROR(
         _xlfn.XLOOKUP(
            1,
            (Table8[رقم الصنف]=A716) *
            (IF($B$9="الكل",1, YEAR('ادخال البيانات'!$N$3:$N$1164)=VALUE($B$9))) *
            (IF($B$10="الكل",1, MONTH('ادخال البيانات'!$N$3:$N$1164)=VALUE($B$10))) *
            (IF($B$11="الكل",1, INT((DAY('ادخال البيانات'!$N$3:$N$1164)-1)/7)+1 = VALUE($B$11))),
            'ادخال البيانات'!$J$3:$J$1164
         ),
         ""
      ),
      IF(_xlpm.result="", "", _xlpm.result)
   )
)</f>
        <v/>
      </c>
      <c r="K716" s="27" t="str" cm="1">
        <f t="array" ref="K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6" s="27" t="str" cm="1">
        <f t="array" ref="L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6" s="27" t="str" cm="1">
        <f t="array" ref="M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6" s="28" t="str" cm="1">
        <f t="array" ref="N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6" s="28" t="str" cm="1">
        <f t="array" ref="O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6" s="27" t="str" cm="1">
        <f t="array" ref="P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Table8[جهة العطل]
         ),
         ""
      ),
      IF(_xlpm.result="", "", _xlpm.result)
   )
)</f>
        <v/>
      </c>
      <c r="Q716" s="27" t="str" cm="1">
        <f t="array" ref="Q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Table8[المركز]
         ),
         ""
      ),
      IF(_xlpm.result="", "", _xlpm.result)
   )
)</f>
        <v/>
      </c>
      <c r="R716" s="27" t="str" cm="1">
        <f t="array" ref="R716">IF(
   A716="",
   "",
   _xlfn.LET(
      _xlpm.result,
      IFERROR(
         _xlfn.XLOOKUP(
            1,
            (Table8[رقم الصنف]=A716) *
            (IF($B$9="الكل",1, YEAR('ادخال البيانات'!$N$3:$N$1164) = VALUE($B$9))) *
            (IF($B$10="الكل",1, MONTH('ادخال البيانات'!$N$3:$N$1164) = VALUE($B$10))) *
            (IF($B$11="الكل",1, INT((DAY('ادخال البيانات'!$N$3:$N$1164) - 1) / 7) + 1 = VALUE($B$11))),
            Table8[ملاحظة]
         ),
         ""
      ),
      IF(_xlpm.result="", "", _xlpm.result)
   )
)</f>
        <v/>
      </c>
      <c r="S716" s="46" t="str">
        <f t="shared" ref="S716:S779" ca="1" si="12">IF(
   L716="تم الاصلاح",
   "تم الاصلاح",
   IF(N716="","", TODAY()-N716)
)</f>
        <v/>
      </c>
    </row>
    <row r="717" spans="1:19" ht="15.6" thickTop="1" thickBot="1" x14ac:dyDescent="0.35">
      <c r="A717" s="39"/>
      <c r="B717" s="27" t="str" cm="1">
        <f t="array" ref="B717">IF(
   OR(A717="", $B$9="", $B$10="", $B$11=""),
   "",
   _xlfn.LET(
      _xlpm.result,
      IFERROR(
         _xlfn.XLOOKUP(
            1,
            (Table8[رقم الصنف]=A717)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7" s="27" t="str" cm="1">
        <f t="array" ref="C717">IF(
   A717="",
   "",
   _xlfn.LET(
      _xlpm.result,
      IFERROR(
         _xlfn.XLOOKUP(
            1,
            (Table8[رقم الصنف]=A717) *
            (IF($B$9="الكل",1, YEAR('ادخال البيانات'!$N$3:$N$1164) = VALUE($B$9))) *
            (IF($B$10="الكل",1, MONTH('ادخال البيانات'!$N$3:$N$1164) = VALUE($B$10))) *
            (IF($B$11="الكل",1, INT((DAY('ادخال البيانات'!$N$3:$N$1164)-1)/7)+1 = VALUE($B$11))),
            'ادخال البيانات'!$C$3:$C$1164
         ),
         ""
      ),
      IF(_xlpm.result="", "", _xlpm.result)
   )
)</f>
        <v/>
      </c>
      <c r="D717" s="27" t="str" cm="1">
        <f t="array" ref="D717">IF(
   OR(A717="", $B$9="", $B$10="", $B$11=""),
   "",
   _xlfn.LET(
      _xlpm.result,
      IFERROR(
         _xlfn.XLOOKUP(
            1,
            (Table8[رقم الصنف]=A717) *
            (IF($B$9="الكل",1, YEAR('ادخال البيانات'!$N$3:$N$1164)=VALUE($B$9))) *
            (IF($B$10="الكل",1, MONTH('ادخال البيانات'!$N$3:$N$1164)=VALUE($B$10))) *
            (IF($B$11="الكل",1, INT((DAY('ادخال البيانات'!$N$3:$N$1164)-1)/7)+1 = VALUE($B$11))),
            'ادخال البيانات'!$D$3:$D$1164
         ),
         ""
      ),
      IF(_xlpm.result="", "", _xlpm.result)
   )
)</f>
        <v/>
      </c>
      <c r="E717" s="27" t="str" cm="1">
        <f t="array" ref="E717">IF(
   A717="",
   "",
   _xlfn.LET(
      _xlpm.result,
      IFERROR(
         _xlfn.XLOOKUP(
            1,
            (Table8[رقم الصنف]=A717) *
            (IF($B$9="الكل",1, YEAR('ادخال البيانات'!$N$3:$N$1164)=VALUE($B$9))) *
            (IF($B$10="الكل",1, MONTH('ادخال البيانات'!$N$3:$N$1164)=VALUE($B$10))) *
            (IF($B$11="الكل",1, INT((DAY('ادخال البيانات'!$N$3:$N$1164)-1)/7)+1 = VALUE($B$11))),
            'ادخال البيانات'!$E$3:$E$1164
         ),
         ""
      ),
      IF(_xlpm.result="", "", _xlpm.result)
   )
)</f>
        <v/>
      </c>
      <c r="F717" s="27" t="str" cm="1">
        <f t="array" ref="F717">IF(
   A717="",
   "",
   _xlfn.LET(
      _xlpm.result,
      IFERROR(
         _xlfn.XLOOKUP(
            1,
            (Table8[رقم الصنف]=A717) *
            (IF($B$9="الكل",1, YEAR('ادخال البيانات'!$N$3:$N$1164) = VALUE($B$9))) *
            (IF($B$10="الكل",1, MONTH('ادخال البيانات'!$N$3:$N$1164) = VALUE($B$10))) *
            (IF($B$11="الكل",1, INT((DAY('ادخال البيانات'!$N$3:$N$1164)-1)/7)+1 = VALUE($B$11))),
            'ادخال البيانات'!$F$3:$F$1164
         ),
         ""
      ),
      IF(_xlpm.result="", "", _xlpm.result)
   )
)</f>
        <v/>
      </c>
      <c r="G717" s="27" t="str" cm="1">
        <f t="array" ref="G717">IF(
   A717="",
   "",
   _xlfn.LET(
      _xlpm.result,
      IFERROR(
         _xlfn.XLOOKUP(
            1,
            (Table8[رقم الصنف]=A717) *
            (IF($B$9="الكل",1, YEAR('ادخال البيانات'!$N$3:$N$1164)=VALUE($B$9))) *
            (IF($B$10="الكل",1, MONTH('ادخال البيانات'!$N$3:$N$1164)=VALUE($B$10))) *
            (IF($B$11="الكل",1, INT((DAY('ادخال البيانات'!$N$3:$N$1164)-1)/7)+1 = VALUE($B$11))),
            'ادخال البيانات'!$G$3:$G$1164
         ),
         ""
      ),
      IF(_xlpm.result="", "", _xlpm.result)
   )
)</f>
        <v/>
      </c>
      <c r="H717" s="27" t="str" cm="1">
        <f t="array" ref="H717">IF(
   A717="",
   "",
   _xlfn.LET(
      _xlpm.result,
      IFERROR(
         _xlfn.XLOOKUP(
            1,
            (Table8[رقم الصنف]=A717) *
            (IF($B$9="الكل",1, YEAR('ادخال البيانات'!$N$3:$N$1164)=VALUE($B$9))) *
            (IF($B$10="الكل",1, MONTH('ادخال البيانات'!$N$3:$N$1164)=VALUE($B$10))) *
            (IF($B$11="الكل",1, INT((DAY('ادخال البيانات'!$N$3:$N$1164)-1)/7)+1 = VALUE($B$11))),
            'ادخال البيانات'!$H$3:$H$1164
         ),
         ""
      ),
      IF(_xlpm.result="", "", _xlpm.result)
   )
)</f>
        <v/>
      </c>
      <c r="I717" s="27" t="str" cm="1">
        <f t="array" ref="I717">IF(
   A717="",
   "",
   _xlfn.LET(
      _xlpm.result,
      IFERROR(
         _xlfn.XLOOKUP(
            1,
            (Table8[رقم الصنف]=A717) *
            (IF($B$9="الكل",1, YEAR('ادخال البيانات'!$N$3:$N$1164)=VALUE($B$9))) *
            (IF($B$10="الكل",1, MONTH('ادخال البيانات'!$N$3:$N$1164)=VALUE($B$10))) *
            (IF($B$11="الكل",1, INT((DAY('ادخال البيانات'!$N$3:$N$1164)-1)/7)+1 = VALUE($B$11))),
            'ادخال البيانات'!$I$3:$I$1164
         ),
         ""
      ),
      IF(_xlpm.result="", "", _xlpm.result)
   )
)</f>
        <v/>
      </c>
      <c r="J717" s="27" t="str" cm="1">
        <f t="array" ref="J717">IF(
   A717="",
   "",
   _xlfn.LET(
      _xlpm.result,
      IFERROR(
         _xlfn.XLOOKUP(
            1,
            (Table8[رقم الصنف]=A717) *
            (IF($B$9="الكل",1, YEAR('ادخال البيانات'!$N$3:$N$1164)=VALUE($B$9))) *
            (IF($B$10="الكل",1, MONTH('ادخال البيانات'!$N$3:$N$1164)=VALUE($B$10))) *
            (IF($B$11="الكل",1, INT((DAY('ادخال البيانات'!$N$3:$N$1164)-1)/7)+1 = VALUE($B$11))),
            'ادخال البيانات'!$J$3:$J$1164
         ),
         ""
      ),
      IF(_xlpm.result="", "", _xlpm.result)
   )
)</f>
        <v/>
      </c>
      <c r="K717" s="27" t="str" cm="1">
        <f t="array" ref="K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7" s="27" t="str" cm="1">
        <f t="array" ref="L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7" s="27" t="str" cm="1">
        <f t="array" ref="M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7" s="28" t="str" cm="1">
        <f t="array" ref="N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7" s="28" t="str" cm="1">
        <f t="array" ref="O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7" s="27" t="str" cm="1">
        <f t="array" ref="P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Table8[جهة العطل]
         ),
         ""
      ),
      IF(_xlpm.result="", "", _xlpm.result)
   )
)</f>
        <v/>
      </c>
      <c r="Q717" s="27" t="str" cm="1">
        <f t="array" ref="Q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Table8[المركز]
         ),
         ""
      ),
      IF(_xlpm.result="", "", _xlpm.result)
   )
)</f>
        <v/>
      </c>
      <c r="R717" s="27" t="str" cm="1">
        <f t="array" ref="R717">IF(
   A717="",
   "",
   _xlfn.LET(
      _xlpm.result,
      IFERROR(
         _xlfn.XLOOKUP(
            1,
            (Table8[رقم الصنف]=A717) *
            (IF($B$9="الكل",1, YEAR('ادخال البيانات'!$N$3:$N$1164) = VALUE($B$9))) *
            (IF($B$10="الكل",1, MONTH('ادخال البيانات'!$N$3:$N$1164) = VALUE($B$10))) *
            (IF($B$11="الكل",1, INT((DAY('ادخال البيانات'!$N$3:$N$1164) - 1) / 7) + 1 = VALUE($B$11))),
            Table8[ملاحظة]
         ),
         ""
      ),
      IF(_xlpm.result="", "", _xlpm.result)
   )
)</f>
        <v/>
      </c>
      <c r="S717" s="46" t="str">
        <f t="shared" ca="1" si="12"/>
        <v/>
      </c>
    </row>
    <row r="718" spans="1:19" ht="15.6" thickTop="1" thickBot="1" x14ac:dyDescent="0.35">
      <c r="A718" s="39"/>
      <c r="B718" s="27" t="str" cm="1">
        <f t="array" ref="B718">IF(
   OR(A718="", $B$9="", $B$10="", $B$11=""),
   "",
   _xlfn.LET(
      _xlpm.result,
      IFERROR(
         _xlfn.XLOOKUP(
            1,
            (Table8[رقم الصنف]=A718)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8" s="27" t="str" cm="1">
        <f t="array" ref="C718">IF(
   A718="",
   "",
   _xlfn.LET(
      _xlpm.result,
      IFERROR(
         _xlfn.XLOOKUP(
            1,
            (Table8[رقم الصنف]=A718) *
            (IF($B$9="الكل",1, YEAR('ادخال البيانات'!$N$3:$N$1164) = VALUE($B$9))) *
            (IF($B$10="الكل",1, MONTH('ادخال البيانات'!$N$3:$N$1164) = VALUE($B$10))) *
            (IF($B$11="الكل",1, INT((DAY('ادخال البيانات'!$N$3:$N$1164)-1)/7)+1 = VALUE($B$11))),
            'ادخال البيانات'!$C$3:$C$1164
         ),
         ""
      ),
      IF(_xlpm.result="", "", _xlpm.result)
   )
)</f>
        <v/>
      </c>
      <c r="D718" s="27" t="str" cm="1">
        <f t="array" ref="D718">IF(
   OR(A718="", $B$9="", $B$10="", $B$11=""),
   "",
   _xlfn.LET(
      _xlpm.result,
      IFERROR(
         _xlfn.XLOOKUP(
            1,
            (Table8[رقم الصنف]=A718) *
            (IF($B$9="الكل",1, YEAR('ادخال البيانات'!$N$3:$N$1164)=VALUE($B$9))) *
            (IF($B$10="الكل",1, MONTH('ادخال البيانات'!$N$3:$N$1164)=VALUE($B$10))) *
            (IF($B$11="الكل",1, INT((DAY('ادخال البيانات'!$N$3:$N$1164)-1)/7)+1 = VALUE($B$11))),
            'ادخال البيانات'!$D$3:$D$1164
         ),
         ""
      ),
      IF(_xlpm.result="", "", _xlpm.result)
   )
)</f>
        <v/>
      </c>
      <c r="E718" s="27" t="str" cm="1">
        <f t="array" ref="E718">IF(
   A718="",
   "",
   _xlfn.LET(
      _xlpm.result,
      IFERROR(
         _xlfn.XLOOKUP(
            1,
            (Table8[رقم الصنف]=A718) *
            (IF($B$9="الكل",1, YEAR('ادخال البيانات'!$N$3:$N$1164)=VALUE($B$9))) *
            (IF($B$10="الكل",1, MONTH('ادخال البيانات'!$N$3:$N$1164)=VALUE($B$10))) *
            (IF($B$11="الكل",1, INT((DAY('ادخال البيانات'!$N$3:$N$1164)-1)/7)+1 = VALUE($B$11))),
            'ادخال البيانات'!$E$3:$E$1164
         ),
         ""
      ),
      IF(_xlpm.result="", "", _xlpm.result)
   )
)</f>
        <v/>
      </c>
      <c r="F718" s="27" t="str" cm="1">
        <f t="array" ref="F718">IF(
   A718="",
   "",
   _xlfn.LET(
      _xlpm.result,
      IFERROR(
         _xlfn.XLOOKUP(
            1,
            (Table8[رقم الصنف]=A718) *
            (IF($B$9="الكل",1, YEAR('ادخال البيانات'!$N$3:$N$1164) = VALUE($B$9))) *
            (IF($B$10="الكل",1, MONTH('ادخال البيانات'!$N$3:$N$1164) = VALUE($B$10))) *
            (IF($B$11="الكل",1, INT((DAY('ادخال البيانات'!$N$3:$N$1164)-1)/7)+1 = VALUE($B$11))),
            'ادخال البيانات'!$F$3:$F$1164
         ),
         ""
      ),
      IF(_xlpm.result="", "", _xlpm.result)
   )
)</f>
        <v/>
      </c>
      <c r="G718" s="27" t="str" cm="1">
        <f t="array" ref="G718">IF(
   A718="",
   "",
   _xlfn.LET(
      _xlpm.result,
      IFERROR(
         _xlfn.XLOOKUP(
            1,
            (Table8[رقم الصنف]=A718) *
            (IF($B$9="الكل",1, YEAR('ادخال البيانات'!$N$3:$N$1164)=VALUE($B$9))) *
            (IF($B$10="الكل",1, MONTH('ادخال البيانات'!$N$3:$N$1164)=VALUE($B$10))) *
            (IF($B$11="الكل",1, INT((DAY('ادخال البيانات'!$N$3:$N$1164)-1)/7)+1 = VALUE($B$11))),
            'ادخال البيانات'!$G$3:$G$1164
         ),
         ""
      ),
      IF(_xlpm.result="", "", _xlpm.result)
   )
)</f>
        <v/>
      </c>
      <c r="H718" s="27" t="str" cm="1">
        <f t="array" ref="H718">IF(
   A718="",
   "",
   _xlfn.LET(
      _xlpm.result,
      IFERROR(
         _xlfn.XLOOKUP(
            1,
            (Table8[رقم الصنف]=A718) *
            (IF($B$9="الكل",1, YEAR('ادخال البيانات'!$N$3:$N$1164)=VALUE($B$9))) *
            (IF($B$10="الكل",1, MONTH('ادخال البيانات'!$N$3:$N$1164)=VALUE($B$10))) *
            (IF($B$11="الكل",1, INT((DAY('ادخال البيانات'!$N$3:$N$1164)-1)/7)+1 = VALUE($B$11))),
            'ادخال البيانات'!$H$3:$H$1164
         ),
         ""
      ),
      IF(_xlpm.result="", "", _xlpm.result)
   )
)</f>
        <v/>
      </c>
      <c r="I718" s="27" t="str" cm="1">
        <f t="array" ref="I718">IF(
   A718="",
   "",
   _xlfn.LET(
      _xlpm.result,
      IFERROR(
         _xlfn.XLOOKUP(
            1,
            (Table8[رقم الصنف]=A718) *
            (IF($B$9="الكل",1, YEAR('ادخال البيانات'!$N$3:$N$1164)=VALUE($B$9))) *
            (IF($B$10="الكل",1, MONTH('ادخال البيانات'!$N$3:$N$1164)=VALUE($B$10))) *
            (IF($B$11="الكل",1, INT((DAY('ادخال البيانات'!$N$3:$N$1164)-1)/7)+1 = VALUE($B$11))),
            'ادخال البيانات'!$I$3:$I$1164
         ),
         ""
      ),
      IF(_xlpm.result="", "", _xlpm.result)
   )
)</f>
        <v/>
      </c>
      <c r="J718" s="27" t="str" cm="1">
        <f t="array" ref="J718">IF(
   A718="",
   "",
   _xlfn.LET(
      _xlpm.result,
      IFERROR(
         _xlfn.XLOOKUP(
            1,
            (Table8[رقم الصنف]=A718) *
            (IF($B$9="الكل",1, YEAR('ادخال البيانات'!$N$3:$N$1164)=VALUE($B$9))) *
            (IF($B$10="الكل",1, MONTH('ادخال البيانات'!$N$3:$N$1164)=VALUE($B$10))) *
            (IF($B$11="الكل",1, INT((DAY('ادخال البيانات'!$N$3:$N$1164)-1)/7)+1 = VALUE($B$11))),
            'ادخال البيانات'!$J$3:$J$1164
         ),
         ""
      ),
      IF(_xlpm.result="", "", _xlpm.result)
   )
)</f>
        <v/>
      </c>
      <c r="K718" s="27" t="str" cm="1">
        <f t="array" ref="K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8" s="27" t="str" cm="1">
        <f t="array" ref="L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8" s="27" t="str" cm="1">
        <f t="array" ref="M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8" s="28" t="str" cm="1">
        <f t="array" ref="N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8" s="28" t="str" cm="1">
        <f t="array" ref="O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8" s="27" t="str" cm="1">
        <f t="array" ref="P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Table8[جهة العطل]
         ),
         ""
      ),
      IF(_xlpm.result="", "", _xlpm.result)
   )
)</f>
        <v/>
      </c>
      <c r="Q718" s="27" t="str" cm="1">
        <f t="array" ref="Q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Table8[المركز]
         ),
         ""
      ),
      IF(_xlpm.result="", "", _xlpm.result)
   )
)</f>
        <v/>
      </c>
      <c r="R718" s="27" t="str" cm="1">
        <f t="array" ref="R718">IF(
   A718="",
   "",
   _xlfn.LET(
      _xlpm.result,
      IFERROR(
         _xlfn.XLOOKUP(
            1,
            (Table8[رقم الصنف]=A718) *
            (IF($B$9="الكل",1, YEAR('ادخال البيانات'!$N$3:$N$1164) = VALUE($B$9))) *
            (IF($B$10="الكل",1, MONTH('ادخال البيانات'!$N$3:$N$1164) = VALUE($B$10))) *
            (IF($B$11="الكل",1, INT((DAY('ادخال البيانات'!$N$3:$N$1164) - 1) / 7) + 1 = VALUE($B$11))),
            Table8[ملاحظة]
         ),
         ""
      ),
      IF(_xlpm.result="", "", _xlpm.result)
   )
)</f>
        <v/>
      </c>
      <c r="S718" s="46" t="str">
        <f t="shared" ca="1" si="12"/>
        <v/>
      </c>
    </row>
    <row r="719" spans="1:19" ht="15.6" thickTop="1" thickBot="1" x14ac:dyDescent="0.35">
      <c r="A719" s="39"/>
      <c r="B719" s="27" t="str" cm="1">
        <f t="array" ref="B719">IF(
   OR(A719="", $B$9="", $B$10="", $B$11=""),
   "",
   _xlfn.LET(
      _xlpm.result,
      IFERROR(
         _xlfn.XLOOKUP(
            1,
            (Table8[رقم الصنف]=A719)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19" s="27" t="str" cm="1">
        <f t="array" ref="C719">IF(
   A719="",
   "",
   _xlfn.LET(
      _xlpm.result,
      IFERROR(
         _xlfn.XLOOKUP(
            1,
            (Table8[رقم الصنف]=A719) *
            (IF($B$9="الكل",1, YEAR('ادخال البيانات'!$N$3:$N$1164) = VALUE($B$9))) *
            (IF($B$10="الكل",1, MONTH('ادخال البيانات'!$N$3:$N$1164) = VALUE($B$10))) *
            (IF($B$11="الكل",1, INT((DAY('ادخال البيانات'!$N$3:$N$1164)-1)/7)+1 = VALUE($B$11))),
            'ادخال البيانات'!$C$3:$C$1164
         ),
         ""
      ),
      IF(_xlpm.result="", "", _xlpm.result)
   )
)</f>
        <v/>
      </c>
      <c r="D719" s="27" t="str" cm="1">
        <f t="array" ref="D719">IF(
   OR(A719="", $B$9="", $B$10="", $B$11=""),
   "",
   _xlfn.LET(
      _xlpm.result,
      IFERROR(
         _xlfn.XLOOKUP(
            1,
            (Table8[رقم الصنف]=A719) *
            (IF($B$9="الكل",1, YEAR('ادخال البيانات'!$N$3:$N$1164)=VALUE($B$9))) *
            (IF($B$10="الكل",1, MONTH('ادخال البيانات'!$N$3:$N$1164)=VALUE($B$10))) *
            (IF($B$11="الكل",1, INT((DAY('ادخال البيانات'!$N$3:$N$1164)-1)/7)+1 = VALUE($B$11))),
            'ادخال البيانات'!$D$3:$D$1164
         ),
         ""
      ),
      IF(_xlpm.result="", "", _xlpm.result)
   )
)</f>
        <v/>
      </c>
      <c r="E719" s="27" t="str" cm="1">
        <f t="array" ref="E719">IF(
   A719="",
   "",
   _xlfn.LET(
      _xlpm.result,
      IFERROR(
         _xlfn.XLOOKUP(
            1,
            (Table8[رقم الصنف]=A719) *
            (IF($B$9="الكل",1, YEAR('ادخال البيانات'!$N$3:$N$1164)=VALUE($B$9))) *
            (IF($B$10="الكل",1, MONTH('ادخال البيانات'!$N$3:$N$1164)=VALUE($B$10))) *
            (IF($B$11="الكل",1, INT((DAY('ادخال البيانات'!$N$3:$N$1164)-1)/7)+1 = VALUE($B$11))),
            'ادخال البيانات'!$E$3:$E$1164
         ),
         ""
      ),
      IF(_xlpm.result="", "", _xlpm.result)
   )
)</f>
        <v/>
      </c>
      <c r="F719" s="27" t="str" cm="1">
        <f t="array" ref="F719">IF(
   A719="",
   "",
   _xlfn.LET(
      _xlpm.result,
      IFERROR(
         _xlfn.XLOOKUP(
            1,
            (Table8[رقم الصنف]=A719) *
            (IF($B$9="الكل",1, YEAR('ادخال البيانات'!$N$3:$N$1164) = VALUE($B$9))) *
            (IF($B$10="الكل",1, MONTH('ادخال البيانات'!$N$3:$N$1164) = VALUE($B$10))) *
            (IF($B$11="الكل",1, INT((DAY('ادخال البيانات'!$N$3:$N$1164)-1)/7)+1 = VALUE($B$11))),
            'ادخال البيانات'!$F$3:$F$1164
         ),
         ""
      ),
      IF(_xlpm.result="", "", _xlpm.result)
   )
)</f>
        <v/>
      </c>
      <c r="G719" s="27" t="str" cm="1">
        <f t="array" ref="G719">IF(
   A719="",
   "",
   _xlfn.LET(
      _xlpm.result,
      IFERROR(
         _xlfn.XLOOKUP(
            1,
            (Table8[رقم الصنف]=A719) *
            (IF($B$9="الكل",1, YEAR('ادخال البيانات'!$N$3:$N$1164)=VALUE($B$9))) *
            (IF($B$10="الكل",1, MONTH('ادخال البيانات'!$N$3:$N$1164)=VALUE($B$10))) *
            (IF($B$11="الكل",1, INT((DAY('ادخال البيانات'!$N$3:$N$1164)-1)/7)+1 = VALUE($B$11))),
            'ادخال البيانات'!$G$3:$G$1164
         ),
         ""
      ),
      IF(_xlpm.result="", "", _xlpm.result)
   )
)</f>
        <v/>
      </c>
      <c r="H719" s="27" t="str" cm="1">
        <f t="array" ref="H719">IF(
   A719="",
   "",
   _xlfn.LET(
      _xlpm.result,
      IFERROR(
         _xlfn.XLOOKUP(
            1,
            (Table8[رقم الصنف]=A719) *
            (IF($B$9="الكل",1, YEAR('ادخال البيانات'!$N$3:$N$1164)=VALUE($B$9))) *
            (IF($B$10="الكل",1, MONTH('ادخال البيانات'!$N$3:$N$1164)=VALUE($B$10))) *
            (IF($B$11="الكل",1, INT((DAY('ادخال البيانات'!$N$3:$N$1164)-1)/7)+1 = VALUE($B$11))),
            'ادخال البيانات'!$H$3:$H$1164
         ),
         ""
      ),
      IF(_xlpm.result="", "", _xlpm.result)
   )
)</f>
        <v/>
      </c>
      <c r="I719" s="27" t="str" cm="1">
        <f t="array" ref="I719">IF(
   A719="",
   "",
   _xlfn.LET(
      _xlpm.result,
      IFERROR(
         _xlfn.XLOOKUP(
            1,
            (Table8[رقم الصنف]=A719) *
            (IF($B$9="الكل",1, YEAR('ادخال البيانات'!$N$3:$N$1164)=VALUE($B$9))) *
            (IF($B$10="الكل",1, MONTH('ادخال البيانات'!$N$3:$N$1164)=VALUE($B$10))) *
            (IF($B$11="الكل",1, INT((DAY('ادخال البيانات'!$N$3:$N$1164)-1)/7)+1 = VALUE($B$11))),
            'ادخال البيانات'!$I$3:$I$1164
         ),
         ""
      ),
      IF(_xlpm.result="", "", _xlpm.result)
   )
)</f>
        <v/>
      </c>
      <c r="J719" s="27" t="str" cm="1">
        <f t="array" ref="J719">IF(
   A719="",
   "",
   _xlfn.LET(
      _xlpm.result,
      IFERROR(
         _xlfn.XLOOKUP(
            1,
            (Table8[رقم الصنف]=A719) *
            (IF($B$9="الكل",1, YEAR('ادخال البيانات'!$N$3:$N$1164)=VALUE($B$9))) *
            (IF($B$10="الكل",1, MONTH('ادخال البيانات'!$N$3:$N$1164)=VALUE($B$10))) *
            (IF($B$11="الكل",1, INT((DAY('ادخال البيانات'!$N$3:$N$1164)-1)/7)+1 = VALUE($B$11))),
            'ادخال البيانات'!$J$3:$J$1164
         ),
         ""
      ),
      IF(_xlpm.result="", "", _xlpm.result)
   )
)</f>
        <v/>
      </c>
      <c r="K719" s="27" t="str" cm="1">
        <f t="array" ref="K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19" s="27" t="str" cm="1">
        <f t="array" ref="L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19" s="27" t="str" cm="1">
        <f t="array" ref="M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19" s="28" t="str" cm="1">
        <f t="array" ref="N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19" s="28" t="str" cm="1">
        <f t="array" ref="O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19" s="27" t="str" cm="1">
        <f t="array" ref="P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Table8[جهة العطل]
         ),
         ""
      ),
      IF(_xlpm.result="", "", _xlpm.result)
   )
)</f>
        <v/>
      </c>
      <c r="Q719" s="27" t="str" cm="1">
        <f t="array" ref="Q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Table8[المركز]
         ),
         ""
      ),
      IF(_xlpm.result="", "", _xlpm.result)
   )
)</f>
        <v/>
      </c>
      <c r="R719" s="27" t="str" cm="1">
        <f t="array" ref="R719">IF(
   A719="",
   "",
   _xlfn.LET(
      _xlpm.result,
      IFERROR(
         _xlfn.XLOOKUP(
            1,
            (Table8[رقم الصنف]=A719) *
            (IF($B$9="الكل",1, YEAR('ادخال البيانات'!$N$3:$N$1164) = VALUE($B$9))) *
            (IF($B$10="الكل",1, MONTH('ادخال البيانات'!$N$3:$N$1164) = VALUE($B$10))) *
            (IF($B$11="الكل",1, INT((DAY('ادخال البيانات'!$N$3:$N$1164) - 1) / 7) + 1 = VALUE($B$11))),
            Table8[ملاحظة]
         ),
         ""
      ),
      IF(_xlpm.result="", "", _xlpm.result)
   )
)</f>
        <v/>
      </c>
      <c r="S719" s="46" t="str">
        <f t="shared" ca="1" si="12"/>
        <v/>
      </c>
    </row>
    <row r="720" spans="1:19" ht="15.6" thickTop="1" thickBot="1" x14ac:dyDescent="0.35">
      <c r="A720" s="39"/>
      <c r="B720" s="27" t="str" cm="1">
        <f t="array" ref="B720">IF(
   OR(A720="", $B$9="", $B$10="", $B$11=""),
   "",
   _xlfn.LET(
      _xlpm.result,
      IFERROR(
         _xlfn.XLOOKUP(
            1,
            (Table8[رقم الصنف]=A720)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0" s="27" t="str" cm="1">
        <f t="array" ref="C720">IF(
   A720="",
   "",
   _xlfn.LET(
      _xlpm.result,
      IFERROR(
         _xlfn.XLOOKUP(
            1,
            (Table8[رقم الصنف]=A720) *
            (IF($B$9="الكل",1, YEAR('ادخال البيانات'!$N$3:$N$1164) = VALUE($B$9))) *
            (IF($B$10="الكل",1, MONTH('ادخال البيانات'!$N$3:$N$1164) = VALUE($B$10))) *
            (IF($B$11="الكل",1, INT((DAY('ادخال البيانات'!$N$3:$N$1164)-1)/7)+1 = VALUE($B$11))),
            'ادخال البيانات'!$C$3:$C$1164
         ),
         ""
      ),
      IF(_xlpm.result="", "", _xlpm.result)
   )
)</f>
        <v/>
      </c>
      <c r="D720" s="27" t="str" cm="1">
        <f t="array" ref="D720">IF(
   OR(A720="", $B$9="", $B$10="", $B$11=""),
   "",
   _xlfn.LET(
      _xlpm.result,
      IFERROR(
         _xlfn.XLOOKUP(
            1,
            (Table8[رقم الصنف]=A720) *
            (IF($B$9="الكل",1, YEAR('ادخال البيانات'!$N$3:$N$1164)=VALUE($B$9))) *
            (IF($B$10="الكل",1, MONTH('ادخال البيانات'!$N$3:$N$1164)=VALUE($B$10))) *
            (IF($B$11="الكل",1, INT((DAY('ادخال البيانات'!$N$3:$N$1164)-1)/7)+1 = VALUE($B$11))),
            'ادخال البيانات'!$D$3:$D$1164
         ),
         ""
      ),
      IF(_xlpm.result="", "", _xlpm.result)
   )
)</f>
        <v/>
      </c>
      <c r="E720" s="27" t="str" cm="1">
        <f t="array" ref="E720">IF(
   A720="",
   "",
   _xlfn.LET(
      _xlpm.result,
      IFERROR(
         _xlfn.XLOOKUP(
            1,
            (Table8[رقم الصنف]=A720) *
            (IF($B$9="الكل",1, YEAR('ادخال البيانات'!$N$3:$N$1164)=VALUE($B$9))) *
            (IF($B$10="الكل",1, MONTH('ادخال البيانات'!$N$3:$N$1164)=VALUE($B$10))) *
            (IF($B$11="الكل",1, INT((DAY('ادخال البيانات'!$N$3:$N$1164)-1)/7)+1 = VALUE($B$11))),
            'ادخال البيانات'!$E$3:$E$1164
         ),
         ""
      ),
      IF(_xlpm.result="", "", _xlpm.result)
   )
)</f>
        <v/>
      </c>
      <c r="F720" s="27" t="str" cm="1">
        <f t="array" ref="F720">IF(
   A720="",
   "",
   _xlfn.LET(
      _xlpm.result,
      IFERROR(
         _xlfn.XLOOKUP(
            1,
            (Table8[رقم الصنف]=A720) *
            (IF($B$9="الكل",1, YEAR('ادخال البيانات'!$N$3:$N$1164) = VALUE($B$9))) *
            (IF($B$10="الكل",1, MONTH('ادخال البيانات'!$N$3:$N$1164) = VALUE($B$10))) *
            (IF($B$11="الكل",1, INT((DAY('ادخال البيانات'!$N$3:$N$1164)-1)/7)+1 = VALUE($B$11))),
            'ادخال البيانات'!$F$3:$F$1164
         ),
         ""
      ),
      IF(_xlpm.result="", "", _xlpm.result)
   )
)</f>
        <v/>
      </c>
      <c r="G720" s="27" t="str" cm="1">
        <f t="array" ref="G720">IF(
   A720="",
   "",
   _xlfn.LET(
      _xlpm.result,
      IFERROR(
         _xlfn.XLOOKUP(
            1,
            (Table8[رقم الصنف]=A720) *
            (IF($B$9="الكل",1, YEAR('ادخال البيانات'!$N$3:$N$1164)=VALUE($B$9))) *
            (IF($B$10="الكل",1, MONTH('ادخال البيانات'!$N$3:$N$1164)=VALUE($B$10))) *
            (IF($B$11="الكل",1, INT((DAY('ادخال البيانات'!$N$3:$N$1164)-1)/7)+1 = VALUE($B$11))),
            'ادخال البيانات'!$G$3:$G$1164
         ),
         ""
      ),
      IF(_xlpm.result="", "", _xlpm.result)
   )
)</f>
        <v/>
      </c>
      <c r="H720" s="27" t="str" cm="1">
        <f t="array" ref="H720">IF(
   A720="",
   "",
   _xlfn.LET(
      _xlpm.result,
      IFERROR(
         _xlfn.XLOOKUP(
            1,
            (Table8[رقم الصنف]=A720) *
            (IF($B$9="الكل",1, YEAR('ادخال البيانات'!$N$3:$N$1164)=VALUE($B$9))) *
            (IF($B$10="الكل",1, MONTH('ادخال البيانات'!$N$3:$N$1164)=VALUE($B$10))) *
            (IF($B$11="الكل",1, INT((DAY('ادخال البيانات'!$N$3:$N$1164)-1)/7)+1 = VALUE($B$11))),
            'ادخال البيانات'!$H$3:$H$1164
         ),
         ""
      ),
      IF(_xlpm.result="", "", _xlpm.result)
   )
)</f>
        <v/>
      </c>
      <c r="I720" s="27" t="str" cm="1">
        <f t="array" ref="I720">IF(
   A720="",
   "",
   _xlfn.LET(
      _xlpm.result,
      IFERROR(
         _xlfn.XLOOKUP(
            1,
            (Table8[رقم الصنف]=A720) *
            (IF($B$9="الكل",1, YEAR('ادخال البيانات'!$N$3:$N$1164)=VALUE($B$9))) *
            (IF($B$10="الكل",1, MONTH('ادخال البيانات'!$N$3:$N$1164)=VALUE($B$10))) *
            (IF($B$11="الكل",1, INT((DAY('ادخال البيانات'!$N$3:$N$1164)-1)/7)+1 = VALUE($B$11))),
            'ادخال البيانات'!$I$3:$I$1164
         ),
         ""
      ),
      IF(_xlpm.result="", "", _xlpm.result)
   )
)</f>
        <v/>
      </c>
      <c r="J720" s="27" t="str" cm="1">
        <f t="array" ref="J720">IF(
   A720="",
   "",
   _xlfn.LET(
      _xlpm.result,
      IFERROR(
         _xlfn.XLOOKUP(
            1,
            (Table8[رقم الصنف]=A720) *
            (IF($B$9="الكل",1, YEAR('ادخال البيانات'!$N$3:$N$1164)=VALUE($B$9))) *
            (IF($B$10="الكل",1, MONTH('ادخال البيانات'!$N$3:$N$1164)=VALUE($B$10))) *
            (IF($B$11="الكل",1, INT((DAY('ادخال البيانات'!$N$3:$N$1164)-1)/7)+1 = VALUE($B$11))),
            'ادخال البيانات'!$J$3:$J$1164
         ),
         ""
      ),
      IF(_xlpm.result="", "", _xlpm.result)
   )
)</f>
        <v/>
      </c>
      <c r="K720" s="27" t="str" cm="1">
        <f t="array" ref="K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0" s="27" t="str" cm="1">
        <f t="array" ref="L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0" s="27" t="str" cm="1">
        <f t="array" ref="M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0" s="28" t="str" cm="1">
        <f t="array" ref="N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0" s="28" t="str" cm="1">
        <f t="array" ref="O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0" s="27" t="str" cm="1">
        <f t="array" ref="P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Table8[جهة العطل]
         ),
         ""
      ),
      IF(_xlpm.result="", "", _xlpm.result)
   )
)</f>
        <v/>
      </c>
      <c r="Q720" s="27" t="str" cm="1">
        <f t="array" ref="Q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Table8[المركز]
         ),
         ""
      ),
      IF(_xlpm.result="", "", _xlpm.result)
   )
)</f>
        <v/>
      </c>
      <c r="R720" s="27" t="str" cm="1">
        <f t="array" ref="R720">IF(
   A720="",
   "",
   _xlfn.LET(
      _xlpm.result,
      IFERROR(
         _xlfn.XLOOKUP(
            1,
            (Table8[رقم الصنف]=A720) *
            (IF($B$9="الكل",1, YEAR('ادخال البيانات'!$N$3:$N$1164) = VALUE($B$9))) *
            (IF($B$10="الكل",1, MONTH('ادخال البيانات'!$N$3:$N$1164) = VALUE($B$10))) *
            (IF($B$11="الكل",1, INT((DAY('ادخال البيانات'!$N$3:$N$1164) - 1) / 7) + 1 = VALUE($B$11))),
            Table8[ملاحظة]
         ),
         ""
      ),
      IF(_xlpm.result="", "", _xlpm.result)
   )
)</f>
        <v/>
      </c>
      <c r="S720" s="46" t="str">
        <f t="shared" ca="1" si="12"/>
        <v/>
      </c>
    </row>
    <row r="721" spans="1:19" ht="15.6" thickTop="1" thickBot="1" x14ac:dyDescent="0.35">
      <c r="A721" s="39"/>
      <c r="B721" s="27" t="str" cm="1">
        <f t="array" ref="B721">IF(
   OR(A721="", $B$9="", $B$10="", $B$11=""),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1" s="27" t="str" cm="1">
        <f t="array" ref="C721">IF(
   A721="",
   "",
   _xlfn.LET(
      _xlpm.result,
      IFERROR(
         _xlfn.XLOOKUP(
            1,
            (Table8[رقم الصنف]=A721) *
            (IF($B$9="الكل",1, YEAR('ادخال البيانات'!$N$3:$N$1164) = VALUE($B$9))) *
            (IF($B$10="الكل",1, MONTH('ادخال البيانات'!$N$3:$N$1164) = VALUE($B$10))) *
            (IF($B$11="الكل",1, INT((DAY('ادخال البيانات'!$N$3:$N$1164)-1)/7)+1 = VALUE($B$11))),
            'ادخال البيانات'!$C$3:$C$1164
         ),
         ""
      ),
      IF(_xlpm.result="", "", _xlpm.result)
   )
)</f>
        <v/>
      </c>
      <c r="D721" s="27" t="str" cm="1">
        <f t="array" ref="D721">IF(
   OR(A721="", $B$9="", $B$10="", $B$11=""),
   "",
   _xlfn.LET(
      _xlpm.result,
      IFERROR(
         _xlfn.XLOOKUP(
            1,
            (Table8[رقم الصنف]=A721) *
            (IF($B$9="الكل",1, YEAR('ادخال البيانات'!$N$3:$N$1164)=VALUE($B$9))) *
            (IF($B$10="الكل",1, MONTH('ادخال البيانات'!$N$3:$N$1164)=VALUE($B$10))) *
            (IF($B$11="الكل",1, INT((DAY('ادخال البيانات'!$N$3:$N$1164)-1)/7)+1 = VALUE($B$11))),
            'ادخال البيانات'!$D$3:$D$1164
         ),
         ""
      ),
      IF(_xlpm.result="", "", _xlpm.result)
   )
)</f>
        <v/>
      </c>
      <c r="E721" s="27" t="str" cm="1">
        <f t="array" ref="E721">IF(
   A721="",
   "",
   _xlfn.LET(
      _xlpm.result,
      IFERROR(
         _xlfn.XLOOKUP(
            1,
            (Table8[رقم الصنف]=A721) *
            (IF($B$9="الكل",1, YEAR('ادخال البيانات'!$N$3:$N$1164)=VALUE($B$9))) *
            (IF($B$10="الكل",1, MONTH('ادخال البيانات'!$N$3:$N$1164)=VALUE($B$10))) *
            (IF($B$11="الكل",1, INT((DAY('ادخال البيانات'!$N$3:$N$1164)-1)/7)+1 = VALUE($B$11))),
            'ادخال البيانات'!$E$3:$E$1164
         ),
         ""
      ),
      IF(_xlpm.result="", "", _xlpm.result)
   )
)</f>
        <v/>
      </c>
      <c r="F721" s="27" t="str" cm="1">
        <f t="array" ref="F721">IF(
   A721="",
   "",
   _xlfn.LET(
      _xlpm.result,
      IFERROR(
         _xlfn.XLOOKUP(
            1,
            (Table8[رقم الصنف]=A721) *
            (IF($B$9="الكل",1, YEAR('ادخال البيانات'!$N$3:$N$1164) = VALUE($B$9))) *
            (IF($B$10="الكل",1, MONTH('ادخال البيانات'!$N$3:$N$1164) = VALUE($B$10))) *
            (IF($B$11="الكل",1, INT((DAY('ادخال البيانات'!$N$3:$N$1164)-1)/7)+1 = VALUE($B$11))),
            'ادخال البيانات'!$F$3:$F$1164
         ),
         ""
      ),
      IF(_xlpm.result="", "", _xlpm.result)
   )
)</f>
        <v/>
      </c>
      <c r="G721" s="27" t="str" cm="1">
        <f t="array" ref="G721">IF(
   A721="",
   "",
   _xlfn.LET(
      _xlpm.result,
      IFERROR(
         _xlfn.XLOOKUP(
            1,
            (Table8[رقم الصنف]=A721) *
            (IF($B$9="الكل",1, YEAR('ادخال البيانات'!$N$3:$N$1164)=VALUE($B$9))) *
            (IF($B$10="الكل",1, MONTH('ادخال البيانات'!$N$3:$N$1164)=VALUE($B$10))) *
            (IF($B$11="الكل",1, INT((DAY('ادخال البيانات'!$N$3:$N$1164)-1)/7)+1 = VALUE($B$11))),
            'ادخال البيانات'!$G$3:$G$1164
         ),
         ""
      ),
      IF(_xlpm.result="", "", _xlpm.result)
   )
)</f>
        <v/>
      </c>
      <c r="H721" s="27" t="str" cm="1">
        <f t="array" ref="H721">IF(
   A721="",
   "",
   _xlfn.LET(
      _xlpm.result,
      IFERROR(
         _xlfn.XLOOKUP(
            1,
            (Table8[رقم الصنف]=A721) *
            (IF($B$9="الكل",1, YEAR('ادخال البيانات'!$N$3:$N$1164)=VALUE($B$9))) *
            (IF($B$10="الكل",1, MONTH('ادخال البيانات'!$N$3:$N$1164)=VALUE($B$10))) *
            (IF($B$11="الكل",1, INT((DAY('ادخال البيانات'!$N$3:$N$1164)-1)/7)+1 = VALUE($B$11))),
            'ادخال البيانات'!$H$3:$H$1164
         ),
         ""
      ),
      IF(_xlpm.result="", "", _xlpm.result)
   )
)</f>
        <v/>
      </c>
      <c r="I721" s="27" t="str" cm="1">
        <f t="array" ref="I721">IF(
   A721="",
   "",
   _xlfn.LET(
      _xlpm.result,
      IFERROR(
         _xlfn.XLOOKUP(
            1,
            (Table8[رقم الصنف]=A721) *
            (IF($B$9="الكل",1, YEAR('ادخال البيانات'!$N$3:$N$1164)=VALUE($B$9))) *
            (IF($B$10="الكل",1, MONTH('ادخال البيانات'!$N$3:$N$1164)=VALUE($B$10))) *
            (IF($B$11="الكل",1, INT((DAY('ادخال البيانات'!$N$3:$N$1164)-1)/7)+1 = VALUE($B$11))),
            'ادخال البيانات'!$I$3:$I$1164
         ),
         ""
      ),
      IF(_xlpm.result="", "", _xlpm.result)
   )
)</f>
        <v/>
      </c>
      <c r="J721" s="27" t="str" cm="1">
        <f t="array" ref="J721">IF(
   A721="",
   "",
   _xlfn.LET(
      _xlpm.result,
      IFERROR(
         _xlfn.XLOOKUP(
            1,
            (Table8[رقم الصنف]=A721) *
            (IF($B$9="الكل",1, YEAR('ادخال البيانات'!$N$3:$N$1164)=VALUE($B$9))) *
            (IF($B$10="الكل",1, MONTH('ادخال البيانات'!$N$3:$N$1164)=VALUE($B$10))) *
            (IF($B$11="الكل",1, INT((DAY('ادخال البيانات'!$N$3:$N$1164)-1)/7)+1 = VALUE($B$11))),
            'ادخال البيانات'!$J$3:$J$1164
         ),
         ""
      ),
      IF(_xlpm.result="", "", _xlpm.result)
   )
)</f>
        <v/>
      </c>
      <c r="K721" s="27" t="str" cm="1">
        <f t="array" ref="K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1" s="27" t="str" cm="1">
        <f t="array" ref="L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1" s="27" t="str" cm="1">
        <f t="array" ref="M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1" s="28" t="str" cm="1">
        <f t="array" ref="N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1" s="28" t="str" cm="1">
        <f t="array" ref="O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1" s="27" t="str" cm="1">
        <f t="array" ref="P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Table8[جهة العطل]
         ),
         ""
      ),
      IF(_xlpm.result="", "", _xlpm.result)
   )
)</f>
        <v/>
      </c>
      <c r="Q721" s="27" t="str" cm="1">
        <f t="array" ref="Q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Table8[المركز]
         ),
         ""
      ),
      IF(_xlpm.result="", "", _xlpm.result)
   )
)</f>
        <v/>
      </c>
      <c r="R721" s="27" t="str" cm="1">
        <f t="array" ref="R721">IF(
   A721="",
   "",
   _xlfn.LET(
      _xlpm.result,
      IFERROR(
         _xlfn.XLOOKUP(
            1,
            (Table8[رقم الصنف]=A721) *
            (IF($B$9="الكل",1, YEAR('ادخال البيانات'!$N$3:$N$1164) = VALUE($B$9))) *
            (IF($B$10="الكل",1, MONTH('ادخال البيانات'!$N$3:$N$1164) = VALUE($B$10))) *
            (IF($B$11="الكل",1, INT((DAY('ادخال البيانات'!$N$3:$N$1164) - 1) / 7) + 1 = VALUE($B$11))),
            Table8[ملاحظة]
         ),
         ""
      ),
      IF(_xlpm.result="", "", _xlpm.result)
   )
)</f>
        <v/>
      </c>
      <c r="S721" s="46" t="str">
        <f t="shared" ca="1" si="12"/>
        <v/>
      </c>
    </row>
    <row r="722" spans="1:19" ht="15.6" thickTop="1" thickBot="1" x14ac:dyDescent="0.35">
      <c r="A722" s="39"/>
      <c r="B722" s="27" t="str" cm="1">
        <f t="array" ref="B722">IF(
   OR(A722="", $B$9="", $B$10="", $B$11=""),
   "",
   _xlfn.LET(
      _xlpm.result,
      IFERROR(
         _xlfn.XLOOKUP(
            1,
            (Table8[رقم الصنف]=A722)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2" s="27" t="str" cm="1">
        <f t="array" ref="C722">IF(
   A722="",
   "",
   _xlfn.LET(
      _xlpm.result,
      IFERROR(
         _xlfn.XLOOKUP(
            1,
            (Table8[رقم الصنف]=A722) *
            (IF($B$9="الكل",1, YEAR('ادخال البيانات'!$N$3:$N$1164) = VALUE($B$9))) *
            (IF($B$10="الكل",1, MONTH('ادخال البيانات'!$N$3:$N$1164) = VALUE($B$10))) *
            (IF($B$11="الكل",1, INT((DAY('ادخال البيانات'!$N$3:$N$1164)-1)/7)+1 = VALUE($B$11))),
            'ادخال البيانات'!$C$3:$C$1164
         ),
         ""
      ),
      IF(_xlpm.result="", "", _xlpm.result)
   )
)</f>
        <v/>
      </c>
      <c r="D722" s="27" t="str" cm="1">
        <f t="array" ref="D722">IF(
   OR(A722="", $B$9="", $B$10="", $B$11=""),
   "",
   _xlfn.LET(
      _xlpm.result,
      IFERROR(
         _xlfn.XLOOKUP(
            1,
            (Table8[رقم الصنف]=A722) *
            (IF($B$9="الكل",1, YEAR('ادخال البيانات'!$N$3:$N$1164)=VALUE($B$9))) *
            (IF($B$10="الكل",1, MONTH('ادخال البيانات'!$N$3:$N$1164)=VALUE($B$10))) *
            (IF($B$11="الكل",1, INT((DAY('ادخال البيانات'!$N$3:$N$1164)-1)/7)+1 = VALUE($B$11))),
            'ادخال البيانات'!$D$3:$D$1164
         ),
         ""
      ),
      IF(_xlpm.result="", "", _xlpm.result)
   )
)</f>
        <v/>
      </c>
      <c r="E722" s="27" t="str" cm="1">
        <f t="array" ref="E722">IF(
   A722="",
   "",
   _xlfn.LET(
      _xlpm.result,
      IFERROR(
         _xlfn.XLOOKUP(
            1,
            (Table8[رقم الصنف]=A722) *
            (IF($B$9="الكل",1, YEAR('ادخال البيانات'!$N$3:$N$1164)=VALUE($B$9))) *
            (IF($B$10="الكل",1, MONTH('ادخال البيانات'!$N$3:$N$1164)=VALUE($B$10))) *
            (IF($B$11="الكل",1, INT((DAY('ادخال البيانات'!$N$3:$N$1164)-1)/7)+1 = VALUE($B$11))),
            'ادخال البيانات'!$E$3:$E$1164
         ),
         ""
      ),
      IF(_xlpm.result="", "", _xlpm.result)
   )
)</f>
        <v/>
      </c>
      <c r="F722" s="27" t="str" cm="1">
        <f t="array" ref="F722">IF(
   A722="",
   "",
   _xlfn.LET(
      _xlpm.result,
      IFERROR(
         _xlfn.XLOOKUP(
            1,
            (Table8[رقم الصنف]=A722) *
            (IF($B$9="الكل",1, YEAR('ادخال البيانات'!$N$3:$N$1164) = VALUE($B$9))) *
            (IF($B$10="الكل",1, MONTH('ادخال البيانات'!$N$3:$N$1164) = VALUE($B$10))) *
            (IF($B$11="الكل",1, INT((DAY('ادخال البيانات'!$N$3:$N$1164)-1)/7)+1 = VALUE($B$11))),
            'ادخال البيانات'!$F$3:$F$1164
         ),
         ""
      ),
      IF(_xlpm.result="", "", _xlpm.result)
   )
)</f>
        <v/>
      </c>
      <c r="G722" s="27" t="str" cm="1">
        <f t="array" ref="G722">IF(
   A722="",
   "",
   _xlfn.LET(
      _xlpm.result,
      IFERROR(
         _xlfn.XLOOKUP(
            1,
            (Table8[رقم الصنف]=A722) *
            (IF($B$9="الكل",1, YEAR('ادخال البيانات'!$N$3:$N$1164)=VALUE($B$9))) *
            (IF($B$10="الكل",1, MONTH('ادخال البيانات'!$N$3:$N$1164)=VALUE($B$10))) *
            (IF($B$11="الكل",1, INT((DAY('ادخال البيانات'!$N$3:$N$1164)-1)/7)+1 = VALUE($B$11))),
            'ادخال البيانات'!$G$3:$G$1164
         ),
         ""
      ),
      IF(_xlpm.result="", "", _xlpm.result)
   )
)</f>
        <v/>
      </c>
      <c r="H722" s="27" t="str" cm="1">
        <f t="array" ref="H722">IF(
   A722="",
   "",
   _xlfn.LET(
      _xlpm.result,
      IFERROR(
         _xlfn.XLOOKUP(
            1,
            (Table8[رقم الصنف]=A722) *
            (IF($B$9="الكل",1, YEAR('ادخال البيانات'!$N$3:$N$1164)=VALUE($B$9))) *
            (IF($B$10="الكل",1, MONTH('ادخال البيانات'!$N$3:$N$1164)=VALUE($B$10))) *
            (IF($B$11="الكل",1, INT((DAY('ادخال البيانات'!$N$3:$N$1164)-1)/7)+1 = VALUE($B$11))),
            'ادخال البيانات'!$H$3:$H$1164
         ),
         ""
      ),
      IF(_xlpm.result="", "", _xlpm.result)
   )
)</f>
        <v/>
      </c>
      <c r="I722" s="27" t="str" cm="1">
        <f t="array" ref="I722">IF(
   A722="",
   "",
   _xlfn.LET(
      _xlpm.result,
      IFERROR(
         _xlfn.XLOOKUP(
            1,
            (Table8[رقم الصنف]=A722) *
            (IF($B$9="الكل",1, YEAR('ادخال البيانات'!$N$3:$N$1164)=VALUE($B$9))) *
            (IF($B$10="الكل",1, MONTH('ادخال البيانات'!$N$3:$N$1164)=VALUE($B$10))) *
            (IF($B$11="الكل",1, INT((DAY('ادخال البيانات'!$N$3:$N$1164)-1)/7)+1 = VALUE($B$11))),
            'ادخال البيانات'!$I$3:$I$1164
         ),
         ""
      ),
      IF(_xlpm.result="", "", _xlpm.result)
   )
)</f>
        <v/>
      </c>
      <c r="J722" s="27" t="str" cm="1">
        <f t="array" ref="J722">IF(
   A722="",
   "",
   _xlfn.LET(
      _xlpm.result,
      IFERROR(
         _xlfn.XLOOKUP(
            1,
            (Table8[رقم الصنف]=A722) *
            (IF($B$9="الكل",1, YEAR('ادخال البيانات'!$N$3:$N$1164)=VALUE($B$9))) *
            (IF($B$10="الكل",1, MONTH('ادخال البيانات'!$N$3:$N$1164)=VALUE($B$10))) *
            (IF($B$11="الكل",1, INT((DAY('ادخال البيانات'!$N$3:$N$1164)-1)/7)+1 = VALUE($B$11))),
            'ادخال البيانات'!$J$3:$J$1164
         ),
         ""
      ),
      IF(_xlpm.result="", "", _xlpm.result)
   )
)</f>
        <v/>
      </c>
      <c r="K722" s="27" t="str" cm="1">
        <f t="array" ref="K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2" s="27" t="str" cm="1">
        <f t="array" ref="L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2" s="27" t="str" cm="1">
        <f t="array" ref="M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2" s="28" t="str" cm="1">
        <f t="array" ref="N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2" s="28" t="str" cm="1">
        <f t="array" ref="O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2" s="27" t="str" cm="1">
        <f t="array" ref="P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Table8[جهة العطل]
         ),
         ""
      ),
      IF(_xlpm.result="", "", _xlpm.result)
   )
)</f>
        <v/>
      </c>
      <c r="Q722" s="27" t="str" cm="1">
        <f t="array" ref="Q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Table8[المركز]
         ),
         ""
      ),
      IF(_xlpm.result="", "", _xlpm.result)
   )
)</f>
        <v/>
      </c>
      <c r="R722" s="27" t="str" cm="1">
        <f t="array" ref="R722">IF(
   A722="",
   "",
   _xlfn.LET(
      _xlpm.result,
      IFERROR(
         _xlfn.XLOOKUP(
            1,
            (Table8[رقم الصنف]=A722) *
            (IF($B$9="الكل",1, YEAR('ادخال البيانات'!$N$3:$N$1164) = VALUE($B$9))) *
            (IF($B$10="الكل",1, MONTH('ادخال البيانات'!$N$3:$N$1164) = VALUE($B$10))) *
            (IF($B$11="الكل",1, INT((DAY('ادخال البيانات'!$N$3:$N$1164) - 1) / 7) + 1 = VALUE($B$11))),
            Table8[ملاحظة]
         ),
         ""
      ),
      IF(_xlpm.result="", "", _xlpm.result)
   )
)</f>
        <v/>
      </c>
      <c r="S722" s="46" t="str">
        <f t="shared" ca="1" si="12"/>
        <v/>
      </c>
    </row>
    <row r="723" spans="1:19" ht="15.6" thickTop="1" thickBot="1" x14ac:dyDescent="0.35">
      <c r="A723" s="39"/>
      <c r="B723" s="27" t="str" cm="1">
        <f t="array" ref="B723">IF(
   OR(A723="", $B$9="", $B$10="", $B$11=""),
   "",
   _xlfn.LET(
      _xlpm.result,
      IFERROR(
         _xlfn.XLOOKUP(
            1,
            (Table8[رقم الصنف]=A723)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3" s="27" t="str" cm="1">
        <f t="array" ref="C723">IF(
   A723="",
   "",
   _xlfn.LET(
      _xlpm.result,
      IFERROR(
         _xlfn.XLOOKUP(
            1,
            (Table8[رقم الصنف]=A723) *
            (IF($B$9="الكل",1, YEAR('ادخال البيانات'!$N$3:$N$1164) = VALUE($B$9))) *
            (IF($B$10="الكل",1, MONTH('ادخال البيانات'!$N$3:$N$1164) = VALUE($B$10))) *
            (IF($B$11="الكل",1, INT((DAY('ادخال البيانات'!$N$3:$N$1164)-1)/7)+1 = VALUE($B$11))),
            'ادخال البيانات'!$C$3:$C$1164
         ),
         ""
      ),
      IF(_xlpm.result="", "", _xlpm.result)
   )
)</f>
        <v/>
      </c>
      <c r="D723" s="27" t="str" cm="1">
        <f t="array" ref="D723">IF(
   OR(A723="", $B$9="", $B$10="", $B$11=""),
   "",
   _xlfn.LET(
      _xlpm.result,
      IFERROR(
         _xlfn.XLOOKUP(
            1,
            (Table8[رقم الصنف]=A723) *
            (IF($B$9="الكل",1, YEAR('ادخال البيانات'!$N$3:$N$1164)=VALUE($B$9))) *
            (IF($B$10="الكل",1, MONTH('ادخال البيانات'!$N$3:$N$1164)=VALUE($B$10))) *
            (IF($B$11="الكل",1, INT((DAY('ادخال البيانات'!$N$3:$N$1164)-1)/7)+1 = VALUE($B$11))),
            'ادخال البيانات'!$D$3:$D$1164
         ),
         ""
      ),
      IF(_xlpm.result="", "", _xlpm.result)
   )
)</f>
        <v/>
      </c>
      <c r="E723" s="27" t="str" cm="1">
        <f t="array" ref="E723">IF(
   A723="",
   "",
   _xlfn.LET(
      _xlpm.result,
      IFERROR(
         _xlfn.XLOOKUP(
            1,
            (Table8[رقم الصنف]=A723) *
            (IF($B$9="الكل",1, YEAR('ادخال البيانات'!$N$3:$N$1164)=VALUE($B$9))) *
            (IF($B$10="الكل",1, MONTH('ادخال البيانات'!$N$3:$N$1164)=VALUE($B$10))) *
            (IF($B$11="الكل",1, INT((DAY('ادخال البيانات'!$N$3:$N$1164)-1)/7)+1 = VALUE($B$11))),
            'ادخال البيانات'!$E$3:$E$1164
         ),
         ""
      ),
      IF(_xlpm.result="", "", _xlpm.result)
   )
)</f>
        <v/>
      </c>
      <c r="F723" s="27" t="str" cm="1">
        <f t="array" ref="F723">IF(
   A723="",
   "",
   _xlfn.LET(
      _xlpm.result,
      IFERROR(
         _xlfn.XLOOKUP(
            1,
            (Table8[رقم الصنف]=A723) *
            (IF($B$9="الكل",1, YEAR('ادخال البيانات'!$N$3:$N$1164) = VALUE($B$9))) *
            (IF($B$10="الكل",1, MONTH('ادخال البيانات'!$N$3:$N$1164) = VALUE($B$10))) *
            (IF($B$11="الكل",1, INT((DAY('ادخال البيانات'!$N$3:$N$1164)-1)/7)+1 = VALUE($B$11))),
            'ادخال البيانات'!$F$3:$F$1164
         ),
         ""
      ),
      IF(_xlpm.result="", "", _xlpm.result)
   )
)</f>
        <v/>
      </c>
      <c r="G723" s="27" t="str" cm="1">
        <f t="array" ref="G723">IF(
   A723="",
   "",
   _xlfn.LET(
      _xlpm.result,
      IFERROR(
         _xlfn.XLOOKUP(
            1,
            (Table8[رقم الصنف]=A723) *
            (IF($B$9="الكل",1, YEAR('ادخال البيانات'!$N$3:$N$1164)=VALUE($B$9))) *
            (IF($B$10="الكل",1, MONTH('ادخال البيانات'!$N$3:$N$1164)=VALUE($B$10))) *
            (IF($B$11="الكل",1, INT((DAY('ادخال البيانات'!$N$3:$N$1164)-1)/7)+1 = VALUE($B$11))),
            'ادخال البيانات'!$G$3:$G$1164
         ),
         ""
      ),
      IF(_xlpm.result="", "", _xlpm.result)
   )
)</f>
        <v/>
      </c>
      <c r="H723" s="27" t="str" cm="1">
        <f t="array" ref="H723">IF(
   A723="",
   "",
   _xlfn.LET(
      _xlpm.result,
      IFERROR(
         _xlfn.XLOOKUP(
            1,
            (Table8[رقم الصنف]=A723) *
            (IF($B$9="الكل",1, YEAR('ادخال البيانات'!$N$3:$N$1164)=VALUE($B$9))) *
            (IF($B$10="الكل",1, MONTH('ادخال البيانات'!$N$3:$N$1164)=VALUE($B$10))) *
            (IF($B$11="الكل",1, INT((DAY('ادخال البيانات'!$N$3:$N$1164)-1)/7)+1 = VALUE($B$11))),
            'ادخال البيانات'!$H$3:$H$1164
         ),
         ""
      ),
      IF(_xlpm.result="", "", _xlpm.result)
   )
)</f>
        <v/>
      </c>
      <c r="I723" s="27" t="str" cm="1">
        <f t="array" ref="I723">IF(
   A723="",
   "",
   _xlfn.LET(
      _xlpm.result,
      IFERROR(
         _xlfn.XLOOKUP(
            1,
            (Table8[رقم الصنف]=A723) *
            (IF($B$9="الكل",1, YEAR('ادخال البيانات'!$N$3:$N$1164)=VALUE($B$9))) *
            (IF($B$10="الكل",1, MONTH('ادخال البيانات'!$N$3:$N$1164)=VALUE($B$10))) *
            (IF($B$11="الكل",1, INT((DAY('ادخال البيانات'!$N$3:$N$1164)-1)/7)+1 = VALUE($B$11))),
            'ادخال البيانات'!$I$3:$I$1164
         ),
         ""
      ),
      IF(_xlpm.result="", "", _xlpm.result)
   )
)</f>
        <v/>
      </c>
      <c r="J723" s="27" t="str" cm="1">
        <f t="array" ref="J723">IF(
   A723="",
   "",
   _xlfn.LET(
      _xlpm.result,
      IFERROR(
         _xlfn.XLOOKUP(
            1,
            (Table8[رقم الصنف]=A723) *
            (IF($B$9="الكل",1, YEAR('ادخال البيانات'!$N$3:$N$1164)=VALUE($B$9))) *
            (IF($B$10="الكل",1, MONTH('ادخال البيانات'!$N$3:$N$1164)=VALUE($B$10))) *
            (IF($B$11="الكل",1, INT((DAY('ادخال البيانات'!$N$3:$N$1164)-1)/7)+1 = VALUE($B$11))),
            'ادخال البيانات'!$J$3:$J$1164
         ),
         ""
      ),
      IF(_xlpm.result="", "", _xlpm.result)
   )
)</f>
        <v/>
      </c>
      <c r="K723" s="27" t="str" cm="1">
        <f t="array" ref="K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3" s="27" t="str" cm="1">
        <f t="array" ref="L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3" s="27" t="str" cm="1">
        <f t="array" ref="M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3" s="28" t="str" cm="1">
        <f t="array" ref="N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3" s="28" t="str" cm="1">
        <f t="array" ref="O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3" s="27" t="str" cm="1">
        <f t="array" ref="P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Table8[جهة العطل]
         ),
         ""
      ),
      IF(_xlpm.result="", "", _xlpm.result)
   )
)</f>
        <v/>
      </c>
      <c r="Q723" s="27" t="str" cm="1">
        <f t="array" ref="Q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Table8[المركز]
         ),
         ""
      ),
      IF(_xlpm.result="", "", _xlpm.result)
   )
)</f>
        <v/>
      </c>
      <c r="R723" s="27" t="str" cm="1">
        <f t="array" ref="R723">IF(
   A723="",
   "",
   _xlfn.LET(
      _xlpm.result,
      IFERROR(
         _xlfn.XLOOKUP(
            1,
            (Table8[رقم الصنف]=A723) *
            (IF($B$9="الكل",1, YEAR('ادخال البيانات'!$N$3:$N$1164) = VALUE($B$9))) *
            (IF($B$10="الكل",1, MONTH('ادخال البيانات'!$N$3:$N$1164) = VALUE($B$10))) *
            (IF($B$11="الكل",1, INT((DAY('ادخال البيانات'!$N$3:$N$1164) - 1) / 7) + 1 = VALUE($B$11))),
            Table8[ملاحظة]
         ),
         ""
      ),
      IF(_xlpm.result="", "", _xlpm.result)
   )
)</f>
        <v/>
      </c>
      <c r="S723" s="46" t="str">
        <f t="shared" ca="1" si="12"/>
        <v/>
      </c>
    </row>
    <row r="724" spans="1:19" ht="15.6" thickTop="1" thickBot="1" x14ac:dyDescent="0.35">
      <c r="A724" s="39"/>
      <c r="B724" s="27" t="str" cm="1">
        <f t="array" ref="B724">IF(
   OR(A724="", $B$9="", $B$10="", $B$11=""),
   "",
   _xlfn.LET(
      _xlpm.result,
      IFERROR(
         _xlfn.XLOOKUP(
            1,
            (Table8[رقم الصنف]=A724)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4" s="27" t="str" cm="1">
        <f t="array" ref="C724">IF(
   A724="",
   "",
   _xlfn.LET(
      _xlpm.result,
      IFERROR(
         _xlfn.XLOOKUP(
            1,
            (Table8[رقم الصنف]=A724) *
            (IF($B$9="الكل",1, YEAR('ادخال البيانات'!$N$3:$N$1164) = VALUE($B$9))) *
            (IF($B$10="الكل",1, MONTH('ادخال البيانات'!$N$3:$N$1164) = VALUE($B$10))) *
            (IF($B$11="الكل",1, INT((DAY('ادخال البيانات'!$N$3:$N$1164)-1)/7)+1 = VALUE($B$11))),
            'ادخال البيانات'!$C$3:$C$1164
         ),
         ""
      ),
      IF(_xlpm.result="", "", _xlpm.result)
   )
)</f>
        <v/>
      </c>
      <c r="D724" s="27" t="str" cm="1">
        <f t="array" ref="D724">IF(
   OR(A724="", $B$9="", $B$10="", $B$11=""),
   "",
   _xlfn.LET(
      _xlpm.result,
      IFERROR(
         _xlfn.XLOOKUP(
            1,
            (Table8[رقم الصنف]=A724) *
            (IF($B$9="الكل",1, YEAR('ادخال البيانات'!$N$3:$N$1164)=VALUE($B$9))) *
            (IF($B$10="الكل",1, MONTH('ادخال البيانات'!$N$3:$N$1164)=VALUE($B$10))) *
            (IF($B$11="الكل",1, INT((DAY('ادخال البيانات'!$N$3:$N$1164)-1)/7)+1 = VALUE($B$11))),
            'ادخال البيانات'!$D$3:$D$1164
         ),
         ""
      ),
      IF(_xlpm.result="", "", _xlpm.result)
   )
)</f>
        <v/>
      </c>
      <c r="E724" s="27" t="str" cm="1">
        <f t="array" ref="E724">IF(
   A724="",
   "",
   _xlfn.LET(
      _xlpm.result,
      IFERROR(
         _xlfn.XLOOKUP(
            1,
            (Table8[رقم الصنف]=A724) *
            (IF($B$9="الكل",1, YEAR('ادخال البيانات'!$N$3:$N$1164)=VALUE($B$9))) *
            (IF($B$10="الكل",1, MONTH('ادخال البيانات'!$N$3:$N$1164)=VALUE($B$10))) *
            (IF($B$11="الكل",1, INT((DAY('ادخال البيانات'!$N$3:$N$1164)-1)/7)+1 = VALUE($B$11))),
            'ادخال البيانات'!$E$3:$E$1164
         ),
         ""
      ),
      IF(_xlpm.result="", "", _xlpm.result)
   )
)</f>
        <v/>
      </c>
      <c r="F724" s="27" t="str" cm="1">
        <f t="array" ref="F724">IF(
   A724="",
   "",
   _xlfn.LET(
      _xlpm.result,
      IFERROR(
         _xlfn.XLOOKUP(
            1,
            (Table8[رقم الصنف]=A724) *
            (IF($B$9="الكل",1, YEAR('ادخال البيانات'!$N$3:$N$1164) = VALUE($B$9))) *
            (IF($B$10="الكل",1, MONTH('ادخال البيانات'!$N$3:$N$1164) = VALUE($B$10))) *
            (IF($B$11="الكل",1, INT((DAY('ادخال البيانات'!$N$3:$N$1164)-1)/7)+1 = VALUE($B$11))),
            'ادخال البيانات'!$F$3:$F$1164
         ),
         ""
      ),
      IF(_xlpm.result="", "", _xlpm.result)
   )
)</f>
        <v/>
      </c>
      <c r="G724" s="27" t="str" cm="1">
        <f t="array" ref="G724">IF(
   A724="",
   "",
   _xlfn.LET(
      _xlpm.result,
      IFERROR(
         _xlfn.XLOOKUP(
            1,
            (Table8[رقم الصنف]=A724) *
            (IF($B$9="الكل",1, YEAR('ادخال البيانات'!$N$3:$N$1164)=VALUE($B$9))) *
            (IF($B$10="الكل",1, MONTH('ادخال البيانات'!$N$3:$N$1164)=VALUE($B$10))) *
            (IF($B$11="الكل",1, INT((DAY('ادخال البيانات'!$N$3:$N$1164)-1)/7)+1 = VALUE($B$11))),
            'ادخال البيانات'!$G$3:$G$1164
         ),
         ""
      ),
      IF(_xlpm.result="", "", _xlpm.result)
   )
)</f>
        <v/>
      </c>
      <c r="H724" s="27" t="str" cm="1">
        <f t="array" ref="H724">IF(
   A724="",
   "",
   _xlfn.LET(
      _xlpm.result,
      IFERROR(
         _xlfn.XLOOKUP(
            1,
            (Table8[رقم الصنف]=A724) *
            (IF($B$9="الكل",1, YEAR('ادخال البيانات'!$N$3:$N$1164)=VALUE($B$9))) *
            (IF($B$10="الكل",1, MONTH('ادخال البيانات'!$N$3:$N$1164)=VALUE($B$10))) *
            (IF($B$11="الكل",1, INT((DAY('ادخال البيانات'!$N$3:$N$1164)-1)/7)+1 = VALUE($B$11))),
            'ادخال البيانات'!$H$3:$H$1164
         ),
         ""
      ),
      IF(_xlpm.result="", "", _xlpm.result)
   )
)</f>
        <v/>
      </c>
      <c r="I724" s="27" t="str" cm="1">
        <f t="array" ref="I724">IF(
   A724="",
   "",
   _xlfn.LET(
      _xlpm.result,
      IFERROR(
         _xlfn.XLOOKUP(
            1,
            (Table8[رقم الصنف]=A724) *
            (IF($B$9="الكل",1, YEAR('ادخال البيانات'!$N$3:$N$1164)=VALUE($B$9))) *
            (IF($B$10="الكل",1, MONTH('ادخال البيانات'!$N$3:$N$1164)=VALUE($B$10))) *
            (IF($B$11="الكل",1, INT((DAY('ادخال البيانات'!$N$3:$N$1164)-1)/7)+1 = VALUE($B$11))),
            'ادخال البيانات'!$I$3:$I$1164
         ),
         ""
      ),
      IF(_xlpm.result="", "", _xlpm.result)
   )
)</f>
        <v/>
      </c>
      <c r="J724" s="27" t="str" cm="1">
        <f t="array" ref="J724">IF(
   A724="",
   "",
   _xlfn.LET(
      _xlpm.result,
      IFERROR(
         _xlfn.XLOOKUP(
            1,
            (Table8[رقم الصنف]=A724) *
            (IF($B$9="الكل",1, YEAR('ادخال البيانات'!$N$3:$N$1164)=VALUE($B$9))) *
            (IF($B$10="الكل",1, MONTH('ادخال البيانات'!$N$3:$N$1164)=VALUE($B$10))) *
            (IF($B$11="الكل",1, INT((DAY('ادخال البيانات'!$N$3:$N$1164)-1)/7)+1 = VALUE($B$11))),
            'ادخال البيانات'!$J$3:$J$1164
         ),
         ""
      ),
      IF(_xlpm.result="", "", _xlpm.result)
   )
)</f>
        <v/>
      </c>
      <c r="K724" s="27" t="str" cm="1">
        <f t="array" ref="K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4" s="27" t="str" cm="1">
        <f t="array" ref="L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4" s="27" t="str" cm="1">
        <f t="array" ref="M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4" s="28" t="str" cm="1">
        <f t="array" ref="N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4" s="28" t="str" cm="1">
        <f t="array" ref="O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4" s="27" t="str" cm="1">
        <f t="array" ref="P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Table8[جهة العطل]
         ),
         ""
      ),
      IF(_xlpm.result="", "", _xlpm.result)
   )
)</f>
        <v/>
      </c>
      <c r="Q724" s="27" t="str" cm="1">
        <f t="array" ref="Q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Table8[المركز]
         ),
         ""
      ),
      IF(_xlpm.result="", "", _xlpm.result)
   )
)</f>
        <v/>
      </c>
      <c r="R724" s="27" t="str" cm="1">
        <f t="array" ref="R724">IF(
   A724="",
   "",
   _xlfn.LET(
      _xlpm.result,
      IFERROR(
         _xlfn.XLOOKUP(
            1,
            (Table8[رقم الصنف]=A724) *
            (IF($B$9="الكل",1, YEAR('ادخال البيانات'!$N$3:$N$1164) = VALUE($B$9))) *
            (IF($B$10="الكل",1, MONTH('ادخال البيانات'!$N$3:$N$1164) = VALUE($B$10))) *
            (IF($B$11="الكل",1, INT((DAY('ادخال البيانات'!$N$3:$N$1164) - 1) / 7) + 1 = VALUE($B$11))),
            Table8[ملاحظة]
         ),
         ""
      ),
      IF(_xlpm.result="", "", _xlpm.result)
   )
)</f>
        <v/>
      </c>
      <c r="S724" s="46" t="str">
        <f t="shared" ca="1" si="12"/>
        <v/>
      </c>
    </row>
    <row r="725" spans="1:19" ht="15.6" thickTop="1" thickBot="1" x14ac:dyDescent="0.35">
      <c r="A725" s="39"/>
      <c r="B725" s="27" t="str" cm="1">
        <f t="array" ref="B725">IF(
   OR(A725="", $B$9="", $B$10="", $B$11=""),
   "",
   _xlfn.LET(
      _xlpm.result,
      IFERROR(
         _xlfn.XLOOKUP(
            1,
            (Table8[رقم الصنف]=A725)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5" s="27" t="str" cm="1">
        <f t="array" ref="C725">IF(
   A725="",
   "",
   _xlfn.LET(
      _xlpm.result,
      IFERROR(
         _xlfn.XLOOKUP(
            1,
            (Table8[رقم الصنف]=A725) *
            (IF($B$9="الكل",1, YEAR('ادخال البيانات'!$N$3:$N$1164) = VALUE($B$9))) *
            (IF($B$10="الكل",1, MONTH('ادخال البيانات'!$N$3:$N$1164) = VALUE($B$10))) *
            (IF($B$11="الكل",1, INT((DAY('ادخال البيانات'!$N$3:$N$1164)-1)/7)+1 = VALUE($B$11))),
            'ادخال البيانات'!$C$3:$C$1164
         ),
         ""
      ),
      IF(_xlpm.result="", "", _xlpm.result)
   )
)</f>
        <v/>
      </c>
      <c r="D725" s="27" t="str" cm="1">
        <f t="array" ref="D725">IF(
   OR(A725="", $B$9="", $B$10="", $B$11=""),
   "",
   _xlfn.LET(
      _xlpm.result,
      IFERROR(
         _xlfn.XLOOKUP(
            1,
            (Table8[رقم الصنف]=A725) *
            (IF($B$9="الكل",1, YEAR('ادخال البيانات'!$N$3:$N$1164)=VALUE($B$9))) *
            (IF($B$10="الكل",1, MONTH('ادخال البيانات'!$N$3:$N$1164)=VALUE($B$10))) *
            (IF($B$11="الكل",1, INT((DAY('ادخال البيانات'!$N$3:$N$1164)-1)/7)+1 = VALUE($B$11))),
            'ادخال البيانات'!$D$3:$D$1164
         ),
         ""
      ),
      IF(_xlpm.result="", "", _xlpm.result)
   )
)</f>
        <v/>
      </c>
      <c r="E725" s="27" t="str" cm="1">
        <f t="array" ref="E725">IF(
   A725="",
   "",
   _xlfn.LET(
      _xlpm.result,
      IFERROR(
         _xlfn.XLOOKUP(
            1,
            (Table8[رقم الصنف]=A725) *
            (IF($B$9="الكل",1, YEAR('ادخال البيانات'!$N$3:$N$1164)=VALUE($B$9))) *
            (IF($B$10="الكل",1, MONTH('ادخال البيانات'!$N$3:$N$1164)=VALUE($B$10))) *
            (IF($B$11="الكل",1, INT((DAY('ادخال البيانات'!$N$3:$N$1164)-1)/7)+1 = VALUE($B$11))),
            'ادخال البيانات'!$E$3:$E$1164
         ),
         ""
      ),
      IF(_xlpm.result="", "", _xlpm.result)
   )
)</f>
        <v/>
      </c>
      <c r="F725" s="27" t="str" cm="1">
        <f t="array" ref="F725">IF(
   A725="",
   "",
   _xlfn.LET(
      _xlpm.result,
      IFERROR(
         _xlfn.XLOOKUP(
            1,
            (Table8[رقم الصنف]=A725) *
            (IF($B$9="الكل",1, YEAR('ادخال البيانات'!$N$3:$N$1164) = VALUE($B$9))) *
            (IF($B$10="الكل",1, MONTH('ادخال البيانات'!$N$3:$N$1164) = VALUE($B$10))) *
            (IF($B$11="الكل",1, INT((DAY('ادخال البيانات'!$N$3:$N$1164)-1)/7)+1 = VALUE($B$11))),
            'ادخال البيانات'!$F$3:$F$1164
         ),
         ""
      ),
      IF(_xlpm.result="", "", _xlpm.result)
   )
)</f>
        <v/>
      </c>
      <c r="G725" s="27" t="str" cm="1">
        <f t="array" ref="G725">IF(
   A725="",
   "",
   _xlfn.LET(
      _xlpm.result,
      IFERROR(
         _xlfn.XLOOKUP(
            1,
            (Table8[رقم الصنف]=A725) *
            (IF($B$9="الكل",1, YEAR('ادخال البيانات'!$N$3:$N$1164)=VALUE($B$9))) *
            (IF($B$10="الكل",1, MONTH('ادخال البيانات'!$N$3:$N$1164)=VALUE($B$10))) *
            (IF($B$11="الكل",1, INT((DAY('ادخال البيانات'!$N$3:$N$1164)-1)/7)+1 = VALUE($B$11))),
            'ادخال البيانات'!$G$3:$G$1164
         ),
         ""
      ),
      IF(_xlpm.result="", "", _xlpm.result)
   )
)</f>
        <v/>
      </c>
      <c r="H725" s="27" t="str" cm="1">
        <f t="array" ref="H725">IF(
   A725="",
   "",
   _xlfn.LET(
      _xlpm.result,
      IFERROR(
         _xlfn.XLOOKUP(
            1,
            (Table8[رقم الصنف]=A725) *
            (IF($B$9="الكل",1, YEAR('ادخال البيانات'!$N$3:$N$1164)=VALUE($B$9))) *
            (IF($B$10="الكل",1, MONTH('ادخال البيانات'!$N$3:$N$1164)=VALUE($B$10))) *
            (IF($B$11="الكل",1, INT((DAY('ادخال البيانات'!$N$3:$N$1164)-1)/7)+1 = VALUE($B$11))),
            'ادخال البيانات'!$H$3:$H$1164
         ),
         ""
      ),
      IF(_xlpm.result="", "", _xlpm.result)
   )
)</f>
        <v/>
      </c>
      <c r="I725" s="27" t="str" cm="1">
        <f t="array" ref="I725">IF(
   A725="",
   "",
   _xlfn.LET(
      _xlpm.result,
      IFERROR(
         _xlfn.XLOOKUP(
            1,
            (Table8[رقم الصنف]=A725) *
            (IF($B$9="الكل",1, YEAR('ادخال البيانات'!$N$3:$N$1164)=VALUE($B$9))) *
            (IF($B$10="الكل",1, MONTH('ادخال البيانات'!$N$3:$N$1164)=VALUE($B$10))) *
            (IF($B$11="الكل",1, INT((DAY('ادخال البيانات'!$N$3:$N$1164)-1)/7)+1 = VALUE($B$11))),
            'ادخال البيانات'!$I$3:$I$1164
         ),
         ""
      ),
      IF(_xlpm.result="", "", _xlpm.result)
   )
)</f>
        <v/>
      </c>
      <c r="J725" s="27" t="str" cm="1">
        <f t="array" ref="J725">IF(
   A725="",
   "",
   _xlfn.LET(
      _xlpm.result,
      IFERROR(
         _xlfn.XLOOKUP(
            1,
            (Table8[رقم الصنف]=A725) *
            (IF($B$9="الكل",1, YEAR('ادخال البيانات'!$N$3:$N$1164)=VALUE($B$9))) *
            (IF($B$10="الكل",1, MONTH('ادخال البيانات'!$N$3:$N$1164)=VALUE($B$10))) *
            (IF($B$11="الكل",1, INT((DAY('ادخال البيانات'!$N$3:$N$1164)-1)/7)+1 = VALUE($B$11))),
            'ادخال البيانات'!$J$3:$J$1164
         ),
         ""
      ),
      IF(_xlpm.result="", "", _xlpm.result)
   )
)</f>
        <v/>
      </c>
      <c r="K725" s="27" t="str" cm="1">
        <f t="array" ref="K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5" s="27" t="str" cm="1">
        <f t="array" ref="L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5" s="27" t="str" cm="1">
        <f t="array" ref="M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5" s="28" t="str" cm="1">
        <f t="array" ref="N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5" s="28" t="str" cm="1">
        <f t="array" ref="O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5" s="27" t="str" cm="1">
        <f t="array" ref="P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Table8[جهة العطل]
         ),
         ""
      ),
      IF(_xlpm.result="", "", _xlpm.result)
   )
)</f>
        <v/>
      </c>
      <c r="Q725" s="27" t="str" cm="1">
        <f t="array" ref="Q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Table8[المركز]
         ),
         ""
      ),
      IF(_xlpm.result="", "", _xlpm.result)
   )
)</f>
        <v/>
      </c>
      <c r="R725" s="27" t="str" cm="1">
        <f t="array" ref="R725">IF(
   A725="",
   "",
   _xlfn.LET(
      _xlpm.result,
      IFERROR(
         _xlfn.XLOOKUP(
            1,
            (Table8[رقم الصنف]=A725) *
            (IF($B$9="الكل",1, YEAR('ادخال البيانات'!$N$3:$N$1164) = VALUE($B$9))) *
            (IF($B$10="الكل",1, MONTH('ادخال البيانات'!$N$3:$N$1164) = VALUE($B$10))) *
            (IF($B$11="الكل",1, INT((DAY('ادخال البيانات'!$N$3:$N$1164) - 1) / 7) + 1 = VALUE($B$11))),
            Table8[ملاحظة]
         ),
         ""
      ),
      IF(_xlpm.result="", "", _xlpm.result)
   )
)</f>
        <v/>
      </c>
      <c r="S725" s="46" t="str">
        <f t="shared" ca="1" si="12"/>
        <v/>
      </c>
    </row>
    <row r="726" spans="1:19" ht="15.6" thickTop="1" thickBot="1" x14ac:dyDescent="0.35">
      <c r="A726" s="39"/>
      <c r="B726" s="27" t="str" cm="1">
        <f t="array" ref="B726">IF(
   OR(A726="", $B$9="", $B$10="", $B$11=""),
   "",
   _xlfn.LET(
      _xlpm.result,
      IFERROR(
         _xlfn.XLOOKUP(
            1,
            (Table8[رقم الصنف]=A726)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6" s="27" t="str" cm="1">
        <f t="array" ref="C726">IF(
   A726="",
   "",
   _xlfn.LET(
      _xlpm.result,
      IFERROR(
         _xlfn.XLOOKUP(
            1,
            (Table8[رقم الصنف]=A726) *
            (IF($B$9="الكل",1, YEAR('ادخال البيانات'!$N$3:$N$1164) = VALUE($B$9))) *
            (IF($B$10="الكل",1, MONTH('ادخال البيانات'!$N$3:$N$1164) = VALUE($B$10))) *
            (IF($B$11="الكل",1, INT((DAY('ادخال البيانات'!$N$3:$N$1164)-1)/7)+1 = VALUE($B$11))),
            'ادخال البيانات'!$C$3:$C$1164
         ),
         ""
      ),
      IF(_xlpm.result="", "", _xlpm.result)
   )
)</f>
        <v/>
      </c>
      <c r="D726" s="27" t="str" cm="1">
        <f t="array" ref="D726">IF(
   OR(A726="", $B$9="", $B$10="", $B$11=""),
   "",
   _xlfn.LET(
      _xlpm.result,
      IFERROR(
         _xlfn.XLOOKUP(
            1,
            (Table8[رقم الصنف]=A726) *
            (IF($B$9="الكل",1, YEAR('ادخال البيانات'!$N$3:$N$1164)=VALUE($B$9))) *
            (IF($B$10="الكل",1, MONTH('ادخال البيانات'!$N$3:$N$1164)=VALUE($B$10))) *
            (IF($B$11="الكل",1, INT((DAY('ادخال البيانات'!$N$3:$N$1164)-1)/7)+1 = VALUE($B$11))),
            'ادخال البيانات'!$D$3:$D$1164
         ),
         ""
      ),
      IF(_xlpm.result="", "", _xlpm.result)
   )
)</f>
        <v/>
      </c>
      <c r="E726" s="27" t="str" cm="1">
        <f t="array" ref="E726">IF(
   A726="",
   "",
   _xlfn.LET(
      _xlpm.result,
      IFERROR(
         _xlfn.XLOOKUP(
            1,
            (Table8[رقم الصنف]=A726) *
            (IF($B$9="الكل",1, YEAR('ادخال البيانات'!$N$3:$N$1164)=VALUE($B$9))) *
            (IF($B$10="الكل",1, MONTH('ادخال البيانات'!$N$3:$N$1164)=VALUE($B$10))) *
            (IF($B$11="الكل",1, INT((DAY('ادخال البيانات'!$N$3:$N$1164)-1)/7)+1 = VALUE($B$11))),
            'ادخال البيانات'!$E$3:$E$1164
         ),
         ""
      ),
      IF(_xlpm.result="", "", _xlpm.result)
   )
)</f>
        <v/>
      </c>
      <c r="F726" s="27" t="str" cm="1">
        <f t="array" ref="F726">IF(
   A726="",
   "",
   _xlfn.LET(
      _xlpm.result,
      IFERROR(
         _xlfn.XLOOKUP(
            1,
            (Table8[رقم الصنف]=A726) *
            (IF($B$9="الكل",1, YEAR('ادخال البيانات'!$N$3:$N$1164) = VALUE($B$9))) *
            (IF($B$10="الكل",1, MONTH('ادخال البيانات'!$N$3:$N$1164) = VALUE($B$10))) *
            (IF($B$11="الكل",1, INT((DAY('ادخال البيانات'!$N$3:$N$1164)-1)/7)+1 = VALUE($B$11))),
            'ادخال البيانات'!$F$3:$F$1164
         ),
         ""
      ),
      IF(_xlpm.result="", "", _xlpm.result)
   )
)</f>
        <v/>
      </c>
      <c r="G726" s="27" t="str" cm="1">
        <f t="array" ref="G726">IF(
   A726="",
   "",
   _xlfn.LET(
      _xlpm.result,
      IFERROR(
         _xlfn.XLOOKUP(
            1,
            (Table8[رقم الصنف]=A726) *
            (IF($B$9="الكل",1, YEAR('ادخال البيانات'!$N$3:$N$1164)=VALUE($B$9))) *
            (IF($B$10="الكل",1, MONTH('ادخال البيانات'!$N$3:$N$1164)=VALUE($B$10))) *
            (IF($B$11="الكل",1, INT((DAY('ادخال البيانات'!$N$3:$N$1164)-1)/7)+1 = VALUE($B$11))),
            'ادخال البيانات'!$G$3:$G$1164
         ),
         ""
      ),
      IF(_xlpm.result="", "", _xlpm.result)
   )
)</f>
        <v/>
      </c>
      <c r="H726" s="27" t="str" cm="1">
        <f t="array" ref="H726">IF(
   A726="",
   "",
   _xlfn.LET(
      _xlpm.result,
      IFERROR(
         _xlfn.XLOOKUP(
            1,
            (Table8[رقم الصنف]=A726) *
            (IF($B$9="الكل",1, YEAR('ادخال البيانات'!$N$3:$N$1164)=VALUE($B$9))) *
            (IF($B$10="الكل",1, MONTH('ادخال البيانات'!$N$3:$N$1164)=VALUE($B$10))) *
            (IF($B$11="الكل",1, INT((DAY('ادخال البيانات'!$N$3:$N$1164)-1)/7)+1 = VALUE($B$11))),
            'ادخال البيانات'!$H$3:$H$1164
         ),
         ""
      ),
      IF(_xlpm.result="", "", _xlpm.result)
   )
)</f>
        <v/>
      </c>
      <c r="I726" s="27" t="str" cm="1">
        <f t="array" ref="I726">IF(
   A726="",
   "",
   _xlfn.LET(
      _xlpm.result,
      IFERROR(
         _xlfn.XLOOKUP(
            1,
            (Table8[رقم الصنف]=A726) *
            (IF($B$9="الكل",1, YEAR('ادخال البيانات'!$N$3:$N$1164)=VALUE($B$9))) *
            (IF($B$10="الكل",1, MONTH('ادخال البيانات'!$N$3:$N$1164)=VALUE($B$10))) *
            (IF($B$11="الكل",1, INT((DAY('ادخال البيانات'!$N$3:$N$1164)-1)/7)+1 = VALUE($B$11))),
            'ادخال البيانات'!$I$3:$I$1164
         ),
         ""
      ),
      IF(_xlpm.result="", "", _xlpm.result)
   )
)</f>
        <v/>
      </c>
      <c r="J726" s="27" t="str" cm="1">
        <f t="array" ref="J726">IF(
   A726="",
   "",
   _xlfn.LET(
      _xlpm.result,
      IFERROR(
         _xlfn.XLOOKUP(
            1,
            (Table8[رقم الصنف]=A726) *
            (IF($B$9="الكل",1, YEAR('ادخال البيانات'!$N$3:$N$1164)=VALUE($B$9))) *
            (IF($B$10="الكل",1, MONTH('ادخال البيانات'!$N$3:$N$1164)=VALUE($B$10))) *
            (IF($B$11="الكل",1, INT((DAY('ادخال البيانات'!$N$3:$N$1164)-1)/7)+1 = VALUE($B$11))),
            'ادخال البيانات'!$J$3:$J$1164
         ),
         ""
      ),
      IF(_xlpm.result="", "", _xlpm.result)
   )
)</f>
        <v/>
      </c>
      <c r="K726" s="27" t="str" cm="1">
        <f t="array" ref="K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6" s="27" t="str" cm="1">
        <f t="array" ref="L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6" s="27" t="str" cm="1">
        <f t="array" ref="M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6" s="28" t="str" cm="1">
        <f t="array" ref="N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6" s="28" t="str" cm="1">
        <f t="array" ref="O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6" s="27" t="str" cm="1">
        <f t="array" ref="P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Table8[جهة العطل]
         ),
         ""
      ),
      IF(_xlpm.result="", "", _xlpm.result)
   )
)</f>
        <v/>
      </c>
      <c r="Q726" s="27" t="str" cm="1">
        <f t="array" ref="Q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Table8[المركز]
         ),
         ""
      ),
      IF(_xlpm.result="", "", _xlpm.result)
   )
)</f>
        <v/>
      </c>
      <c r="R726" s="27" t="str" cm="1">
        <f t="array" ref="R726">IF(
   A726="",
   "",
   _xlfn.LET(
      _xlpm.result,
      IFERROR(
         _xlfn.XLOOKUP(
            1,
            (Table8[رقم الصنف]=A726) *
            (IF($B$9="الكل",1, YEAR('ادخال البيانات'!$N$3:$N$1164) = VALUE($B$9))) *
            (IF($B$10="الكل",1, MONTH('ادخال البيانات'!$N$3:$N$1164) = VALUE($B$10))) *
            (IF($B$11="الكل",1, INT((DAY('ادخال البيانات'!$N$3:$N$1164) - 1) / 7) + 1 = VALUE($B$11))),
            Table8[ملاحظة]
         ),
         ""
      ),
      IF(_xlpm.result="", "", _xlpm.result)
   )
)</f>
        <v/>
      </c>
      <c r="S726" s="46" t="str">
        <f t="shared" ca="1" si="12"/>
        <v/>
      </c>
    </row>
    <row r="727" spans="1:19" ht="15.6" thickTop="1" thickBot="1" x14ac:dyDescent="0.35">
      <c r="A727" s="39"/>
      <c r="B727" s="27" t="str" cm="1">
        <f t="array" ref="B727">IF(
   OR(A727="", $B$9="", $B$10="", $B$11=""),
   "",
   _xlfn.LET(
      _xlpm.result,
      IFERROR(
         _xlfn.XLOOKUP(
            1,
            (Table8[رقم الصنف]=A727)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7" s="27" t="str" cm="1">
        <f t="array" ref="C727">IF(
   A727="",
   "",
   _xlfn.LET(
      _xlpm.result,
      IFERROR(
         _xlfn.XLOOKUP(
            1,
            (Table8[رقم الصنف]=A727) *
            (IF($B$9="الكل",1, YEAR('ادخال البيانات'!$N$3:$N$1164) = VALUE($B$9))) *
            (IF($B$10="الكل",1, MONTH('ادخال البيانات'!$N$3:$N$1164) = VALUE($B$10))) *
            (IF($B$11="الكل",1, INT((DAY('ادخال البيانات'!$N$3:$N$1164)-1)/7)+1 = VALUE($B$11))),
            'ادخال البيانات'!$C$3:$C$1164
         ),
         ""
      ),
      IF(_xlpm.result="", "", _xlpm.result)
   )
)</f>
        <v/>
      </c>
      <c r="D727" s="27" t="str" cm="1">
        <f t="array" ref="D727">IF(
   OR(A727="", $B$9="", $B$10="", $B$11=""),
   "",
   _xlfn.LET(
      _xlpm.result,
      IFERROR(
         _xlfn.XLOOKUP(
            1,
            (Table8[رقم الصنف]=A727) *
            (IF($B$9="الكل",1, YEAR('ادخال البيانات'!$N$3:$N$1164)=VALUE($B$9))) *
            (IF($B$10="الكل",1, MONTH('ادخال البيانات'!$N$3:$N$1164)=VALUE($B$10))) *
            (IF($B$11="الكل",1, INT((DAY('ادخال البيانات'!$N$3:$N$1164)-1)/7)+1 = VALUE($B$11))),
            'ادخال البيانات'!$D$3:$D$1164
         ),
         ""
      ),
      IF(_xlpm.result="", "", _xlpm.result)
   )
)</f>
        <v/>
      </c>
      <c r="E727" s="27" t="str" cm="1">
        <f t="array" ref="E727">IF(
   A727="",
   "",
   _xlfn.LET(
      _xlpm.result,
      IFERROR(
         _xlfn.XLOOKUP(
            1,
            (Table8[رقم الصنف]=A727) *
            (IF($B$9="الكل",1, YEAR('ادخال البيانات'!$N$3:$N$1164)=VALUE($B$9))) *
            (IF($B$10="الكل",1, MONTH('ادخال البيانات'!$N$3:$N$1164)=VALUE($B$10))) *
            (IF($B$11="الكل",1, INT((DAY('ادخال البيانات'!$N$3:$N$1164)-1)/7)+1 = VALUE($B$11))),
            'ادخال البيانات'!$E$3:$E$1164
         ),
         ""
      ),
      IF(_xlpm.result="", "", _xlpm.result)
   )
)</f>
        <v/>
      </c>
      <c r="F727" s="27" t="str" cm="1">
        <f t="array" ref="F727">IF(
   A727="",
   "",
   _xlfn.LET(
      _xlpm.result,
      IFERROR(
         _xlfn.XLOOKUP(
            1,
            (Table8[رقم الصنف]=A727) *
            (IF($B$9="الكل",1, YEAR('ادخال البيانات'!$N$3:$N$1164) = VALUE($B$9))) *
            (IF($B$10="الكل",1, MONTH('ادخال البيانات'!$N$3:$N$1164) = VALUE($B$10))) *
            (IF($B$11="الكل",1, INT((DAY('ادخال البيانات'!$N$3:$N$1164)-1)/7)+1 = VALUE($B$11))),
            'ادخال البيانات'!$F$3:$F$1164
         ),
         ""
      ),
      IF(_xlpm.result="", "", _xlpm.result)
   )
)</f>
        <v/>
      </c>
      <c r="G727" s="27" t="str" cm="1">
        <f t="array" ref="G727">IF(
   A727="",
   "",
   _xlfn.LET(
      _xlpm.result,
      IFERROR(
         _xlfn.XLOOKUP(
            1,
            (Table8[رقم الصنف]=A727) *
            (IF($B$9="الكل",1, YEAR('ادخال البيانات'!$N$3:$N$1164)=VALUE($B$9))) *
            (IF($B$10="الكل",1, MONTH('ادخال البيانات'!$N$3:$N$1164)=VALUE($B$10))) *
            (IF($B$11="الكل",1, INT((DAY('ادخال البيانات'!$N$3:$N$1164)-1)/7)+1 = VALUE($B$11))),
            'ادخال البيانات'!$G$3:$G$1164
         ),
         ""
      ),
      IF(_xlpm.result="", "", _xlpm.result)
   )
)</f>
        <v/>
      </c>
      <c r="H727" s="27" t="str" cm="1">
        <f t="array" ref="H727">IF(
   A727="",
   "",
   _xlfn.LET(
      _xlpm.result,
      IFERROR(
         _xlfn.XLOOKUP(
            1,
            (Table8[رقم الصنف]=A727) *
            (IF($B$9="الكل",1, YEAR('ادخال البيانات'!$N$3:$N$1164)=VALUE($B$9))) *
            (IF($B$10="الكل",1, MONTH('ادخال البيانات'!$N$3:$N$1164)=VALUE($B$10))) *
            (IF($B$11="الكل",1, INT((DAY('ادخال البيانات'!$N$3:$N$1164)-1)/7)+1 = VALUE($B$11))),
            'ادخال البيانات'!$H$3:$H$1164
         ),
         ""
      ),
      IF(_xlpm.result="", "", _xlpm.result)
   )
)</f>
        <v/>
      </c>
      <c r="I727" s="27" t="str" cm="1">
        <f t="array" ref="I727">IF(
   A727="",
   "",
   _xlfn.LET(
      _xlpm.result,
      IFERROR(
         _xlfn.XLOOKUP(
            1,
            (Table8[رقم الصنف]=A727) *
            (IF($B$9="الكل",1, YEAR('ادخال البيانات'!$N$3:$N$1164)=VALUE($B$9))) *
            (IF($B$10="الكل",1, MONTH('ادخال البيانات'!$N$3:$N$1164)=VALUE($B$10))) *
            (IF($B$11="الكل",1, INT((DAY('ادخال البيانات'!$N$3:$N$1164)-1)/7)+1 = VALUE($B$11))),
            'ادخال البيانات'!$I$3:$I$1164
         ),
         ""
      ),
      IF(_xlpm.result="", "", _xlpm.result)
   )
)</f>
        <v/>
      </c>
      <c r="J727" s="27" t="str" cm="1">
        <f t="array" ref="J727">IF(
   A727="",
   "",
   _xlfn.LET(
      _xlpm.result,
      IFERROR(
         _xlfn.XLOOKUP(
            1,
            (Table8[رقم الصنف]=A727) *
            (IF($B$9="الكل",1, YEAR('ادخال البيانات'!$N$3:$N$1164)=VALUE($B$9))) *
            (IF($B$10="الكل",1, MONTH('ادخال البيانات'!$N$3:$N$1164)=VALUE($B$10))) *
            (IF($B$11="الكل",1, INT((DAY('ادخال البيانات'!$N$3:$N$1164)-1)/7)+1 = VALUE($B$11))),
            'ادخال البيانات'!$J$3:$J$1164
         ),
         ""
      ),
      IF(_xlpm.result="", "", _xlpm.result)
   )
)</f>
        <v/>
      </c>
      <c r="K727" s="27" t="str" cm="1">
        <f t="array" ref="K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7" s="27" t="str" cm="1">
        <f t="array" ref="L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7" s="27" t="str" cm="1">
        <f t="array" ref="M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7" s="28" t="str" cm="1">
        <f t="array" ref="N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7" s="28" t="str" cm="1">
        <f t="array" ref="O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7" s="27" t="str" cm="1">
        <f t="array" ref="P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Table8[جهة العطل]
         ),
         ""
      ),
      IF(_xlpm.result="", "", _xlpm.result)
   )
)</f>
        <v/>
      </c>
      <c r="Q727" s="27" t="str" cm="1">
        <f t="array" ref="Q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Table8[المركز]
         ),
         ""
      ),
      IF(_xlpm.result="", "", _xlpm.result)
   )
)</f>
        <v/>
      </c>
      <c r="R727" s="27" t="str" cm="1">
        <f t="array" ref="R727">IF(
   A727="",
   "",
   _xlfn.LET(
      _xlpm.result,
      IFERROR(
         _xlfn.XLOOKUP(
            1,
            (Table8[رقم الصنف]=A727) *
            (IF($B$9="الكل",1, YEAR('ادخال البيانات'!$N$3:$N$1164) = VALUE($B$9))) *
            (IF($B$10="الكل",1, MONTH('ادخال البيانات'!$N$3:$N$1164) = VALUE($B$10))) *
            (IF($B$11="الكل",1, INT((DAY('ادخال البيانات'!$N$3:$N$1164) - 1) / 7) + 1 = VALUE($B$11))),
            Table8[ملاحظة]
         ),
         ""
      ),
      IF(_xlpm.result="", "", _xlpm.result)
   )
)</f>
        <v/>
      </c>
      <c r="S727" s="46" t="str">
        <f t="shared" ca="1" si="12"/>
        <v/>
      </c>
    </row>
    <row r="728" spans="1:19" ht="15.6" thickTop="1" thickBot="1" x14ac:dyDescent="0.35">
      <c r="A728" s="39"/>
      <c r="B728" s="27" t="str" cm="1">
        <f t="array" ref="B728">IF(
   OR(A728="", $B$9="", $B$10="", $B$11=""),
   "",
   _xlfn.LET(
      _xlpm.result,
      IFERROR(
         _xlfn.XLOOKUP(
            1,
            (Table8[رقم الصنف]=A728)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8" s="27" t="str" cm="1">
        <f t="array" ref="C728">IF(
   A728="",
   "",
   _xlfn.LET(
      _xlpm.result,
      IFERROR(
         _xlfn.XLOOKUP(
            1,
            (Table8[رقم الصنف]=A728) *
            (IF($B$9="الكل",1, YEAR('ادخال البيانات'!$N$3:$N$1164) = VALUE($B$9))) *
            (IF($B$10="الكل",1, MONTH('ادخال البيانات'!$N$3:$N$1164) = VALUE($B$10))) *
            (IF($B$11="الكل",1, INT((DAY('ادخال البيانات'!$N$3:$N$1164)-1)/7)+1 = VALUE($B$11))),
            'ادخال البيانات'!$C$3:$C$1164
         ),
         ""
      ),
      IF(_xlpm.result="", "", _xlpm.result)
   )
)</f>
        <v/>
      </c>
      <c r="D728" s="27" t="str" cm="1">
        <f t="array" ref="D728">IF(
   OR(A728="", $B$9="", $B$10="", $B$11=""),
   "",
   _xlfn.LET(
      _xlpm.result,
      IFERROR(
         _xlfn.XLOOKUP(
            1,
            (Table8[رقم الصنف]=A728) *
            (IF($B$9="الكل",1, YEAR('ادخال البيانات'!$N$3:$N$1164)=VALUE($B$9))) *
            (IF($B$10="الكل",1, MONTH('ادخال البيانات'!$N$3:$N$1164)=VALUE($B$10))) *
            (IF($B$11="الكل",1, INT((DAY('ادخال البيانات'!$N$3:$N$1164)-1)/7)+1 = VALUE($B$11))),
            'ادخال البيانات'!$D$3:$D$1164
         ),
         ""
      ),
      IF(_xlpm.result="", "", _xlpm.result)
   )
)</f>
        <v/>
      </c>
      <c r="E728" s="27" t="str" cm="1">
        <f t="array" ref="E728">IF(
   A728="",
   "",
   _xlfn.LET(
      _xlpm.result,
      IFERROR(
         _xlfn.XLOOKUP(
            1,
            (Table8[رقم الصنف]=A728) *
            (IF($B$9="الكل",1, YEAR('ادخال البيانات'!$N$3:$N$1164)=VALUE($B$9))) *
            (IF($B$10="الكل",1, MONTH('ادخال البيانات'!$N$3:$N$1164)=VALUE($B$10))) *
            (IF($B$11="الكل",1, INT((DAY('ادخال البيانات'!$N$3:$N$1164)-1)/7)+1 = VALUE($B$11))),
            'ادخال البيانات'!$E$3:$E$1164
         ),
         ""
      ),
      IF(_xlpm.result="", "", _xlpm.result)
   )
)</f>
        <v/>
      </c>
      <c r="F728" s="27" t="str" cm="1">
        <f t="array" ref="F728">IF(
   A728="",
   "",
   _xlfn.LET(
      _xlpm.result,
      IFERROR(
         _xlfn.XLOOKUP(
            1,
            (Table8[رقم الصنف]=A728) *
            (IF($B$9="الكل",1, YEAR('ادخال البيانات'!$N$3:$N$1164) = VALUE($B$9))) *
            (IF($B$10="الكل",1, MONTH('ادخال البيانات'!$N$3:$N$1164) = VALUE($B$10))) *
            (IF($B$11="الكل",1, INT((DAY('ادخال البيانات'!$N$3:$N$1164)-1)/7)+1 = VALUE($B$11))),
            'ادخال البيانات'!$F$3:$F$1164
         ),
         ""
      ),
      IF(_xlpm.result="", "", _xlpm.result)
   )
)</f>
        <v/>
      </c>
      <c r="G728" s="27" t="str" cm="1">
        <f t="array" ref="G728">IF(
   A728="",
   "",
   _xlfn.LET(
      _xlpm.result,
      IFERROR(
         _xlfn.XLOOKUP(
            1,
            (Table8[رقم الصنف]=A728) *
            (IF($B$9="الكل",1, YEAR('ادخال البيانات'!$N$3:$N$1164)=VALUE($B$9))) *
            (IF($B$10="الكل",1, MONTH('ادخال البيانات'!$N$3:$N$1164)=VALUE($B$10))) *
            (IF($B$11="الكل",1, INT((DAY('ادخال البيانات'!$N$3:$N$1164)-1)/7)+1 = VALUE($B$11))),
            'ادخال البيانات'!$G$3:$G$1164
         ),
         ""
      ),
      IF(_xlpm.result="", "", _xlpm.result)
   )
)</f>
        <v/>
      </c>
      <c r="H728" s="27" t="str" cm="1">
        <f t="array" ref="H728">IF(
   A728="",
   "",
   _xlfn.LET(
      _xlpm.result,
      IFERROR(
         _xlfn.XLOOKUP(
            1,
            (Table8[رقم الصنف]=A728) *
            (IF($B$9="الكل",1, YEAR('ادخال البيانات'!$N$3:$N$1164)=VALUE($B$9))) *
            (IF($B$10="الكل",1, MONTH('ادخال البيانات'!$N$3:$N$1164)=VALUE($B$10))) *
            (IF($B$11="الكل",1, INT((DAY('ادخال البيانات'!$N$3:$N$1164)-1)/7)+1 = VALUE($B$11))),
            'ادخال البيانات'!$H$3:$H$1164
         ),
         ""
      ),
      IF(_xlpm.result="", "", _xlpm.result)
   )
)</f>
        <v/>
      </c>
      <c r="I728" s="27" t="str" cm="1">
        <f t="array" ref="I728">IF(
   A728="",
   "",
   _xlfn.LET(
      _xlpm.result,
      IFERROR(
         _xlfn.XLOOKUP(
            1,
            (Table8[رقم الصنف]=A728) *
            (IF($B$9="الكل",1, YEAR('ادخال البيانات'!$N$3:$N$1164)=VALUE($B$9))) *
            (IF($B$10="الكل",1, MONTH('ادخال البيانات'!$N$3:$N$1164)=VALUE($B$10))) *
            (IF($B$11="الكل",1, INT((DAY('ادخال البيانات'!$N$3:$N$1164)-1)/7)+1 = VALUE($B$11))),
            'ادخال البيانات'!$I$3:$I$1164
         ),
         ""
      ),
      IF(_xlpm.result="", "", _xlpm.result)
   )
)</f>
        <v/>
      </c>
      <c r="J728" s="27" t="str" cm="1">
        <f t="array" ref="J728">IF(
   A728="",
   "",
   _xlfn.LET(
      _xlpm.result,
      IFERROR(
         _xlfn.XLOOKUP(
            1,
            (Table8[رقم الصنف]=A728) *
            (IF($B$9="الكل",1, YEAR('ادخال البيانات'!$N$3:$N$1164)=VALUE($B$9))) *
            (IF($B$10="الكل",1, MONTH('ادخال البيانات'!$N$3:$N$1164)=VALUE($B$10))) *
            (IF($B$11="الكل",1, INT((DAY('ادخال البيانات'!$N$3:$N$1164)-1)/7)+1 = VALUE($B$11))),
            'ادخال البيانات'!$J$3:$J$1164
         ),
         ""
      ),
      IF(_xlpm.result="", "", _xlpm.result)
   )
)</f>
        <v/>
      </c>
      <c r="K728" s="27" t="str" cm="1">
        <f t="array" ref="K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8" s="27" t="str" cm="1">
        <f t="array" ref="L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8" s="27" t="str" cm="1">
        <f t="array" ref="M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8" s="28" t="str" cm="1">
        <f t="array" ref="N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8" s="28" t="str" cm="1">
        <f t="array" ref="O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8" s="27" t="str" cm="1">
        <f t="array" ref="P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Table8[جهة العطل]
         ),
         ""
      ),
      IF(_xlpm.result="", "", _xlpm.result)
   )
)</f>
        <v/>
      </c>
      <c r="Q728" s="27" t="str" cm="1">
        <f t="array" ref="Q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Table8[المركز]
         ),
         ""
      ),
      IF(_xlpm.result="", "", _xlpm.result)
   )
)</f>
        <v/>
      </c>
      <c r="R728" s="27" t="str" cm="1">
        <f t="array" ref="R728">IF(
   A728="",
   "",
   _xlfn.LET(
      _xlpm.result,
      IFERROR(
         _xlfn.XLOOKUP(
            1,
            (Table8[رقم الصنف]=A728) *
            (IF($B$9="الكل",1, YEAR('ادخال البيانات'!$N$3:$N$1164) = VALUE($B$9))) *
            (IF($B$10="الكل",1, MONTH('ادخال البيانات'!$N$3:$N$1164) = VALUE($B$10))) *
            (IF($B$11="الكل",1, INT((DAY('ادخال البيانات'!$N$3:$N$1164) - 1) / 7) + 1 = VALUE($B$11))),
            Table8[ملاحظة]
         ),
         ""
      ),
      IF(_xlpm.result="", "", _xlpm.result)
   )
)</f>
        <v/>
      </c>
      <c r="S728" s="46" t="str">
        <f t="shared" ca="1" si="12"/>
        <v/>
      </c>
    </row>
    <row r="729" spans="1:19" ht="15.6" thickTop="1" thickBot="1" x14ac:dyDescent="0.35">
      <c r="A729" s="39"/>
      <c r="B729" s="27" t="str" cm="1">
        <f t="array" ref="B729">IF(
   OR(A729="", $B$9="", $B$10="", $B$11=""),
   "",
   _xlfn.LET(
      _xlpm.result,
      IFERROR(
         _xlfn.XLOOKUP(
            1,
            (Table8[رقم الصنف]=A729)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29" s="27" t="str" cm="1">
        <f t="array" ref="C729">IF(
   A729="",
   "",
   _xlfn.LET(
      _xlpm.result,
      IFERROR(
         _xlfn.XLOOKUP(
            1,
            (Table8[رقم الصنف]=A729) *
            (IF($B$9="الكل",1, YEAR('ادخال البيانات'!$N$3:$N$1164) = VALUE($B$9))) *
            (IF($B$10="الكل",1, MONTH('ادخال البيانات'!$N$3:$N$1164) = VALUE($B$10))) *
            (IF($B$11="الكل",1, INT((DAY('ادخال البيانات'!$N$3:$N$1164)-1)/7)+1 = VALUE($B$11))),
            'ادخال البيانات'!$C$3:$C$1164
         ),
         ""
      ),
      IF(_xlpm.result="", "", _xlpm.result)
   )
)</f>
        <v/>
      </c>
      <c r="D729" s="27" t="str" cm="1">
        <f t="array" ref="D729">IF(
   OR(A729="", $B$9="", $B$10="", $B$11=""),
   "",
   _xlfn.LET(
      _xlpm.result,
      IFERROR(
         _xlfn.XLOOKUP(
            1,
            (Table8[رقم الصنف]=A729) *
            (IF($B$9="الكل",1, YEAR('ادخال البيانات'!$N$3:$N$1164)=VALUE($B$9))) *
            (IF($B$10="الكل",1, MONTH('ادخال البيانات'!$N$3:$N$1164)=VALUE($B$10))) *
            (IF($B$11="الكل",1, INT((DAY('ادخال البيانات'!$N$3:$N$1164)-1)/7)+1 = VALUE($B$11))),
            'ادخال البيانات'!$D$3:$D$1164
         ),
         ""
      ),
      IF(_xlpm.result="", "", _xlpm.result)
   )
)</f>
        <v/>
      </c>
      <c r="E729" s="27" t="str" cm="1">
        <f t="array" ref="E729">IF(
   A729="",
   "",
   _xlfn.LET(
      _xlpm.result,
      IFERROR(
         _xlfn.XLOOKUP(
            1,
            (Table8[رقم الصنف]=A729) *
            (IF($B$9="الكل",1, YEAR('ادخال البيانات'!$N$3:$N$1164)=VALUE($B$9))) *
            (IF($B$10="الكل",1, MONTH('ادخال البيانات'!$N$3:$N$1164)=VALUE($B$10))) *
            (IF($B$11="الكل",1, INT((DAY('ادخال البيانات'!$N$3:$N$1164)-1)/7)+1 = VALUE($B$11))),
            'ادخال البيانات'!$E$3:$E$1164
         ),
         ""
      ),
      IF(_xlpm.result="", "", _xlpm.result)
   )
)</f>
        <v/>
      </c>
      <c r="F729" s="27" t="str" cm="1">
        <f t="array" ref="F729">IF(
   A729="",
   "",
   _xlfn.LET(
      _xlpm.result,
      IFERROR(
         _xlfn.XLOOKUP(
            1,
            (Table8[رقم الصنف]=A729) *
            (IF($B$9="الكل",1, YEAR('ادخال البيانات'!$N$3:$N$1164) = VALUE($B$9))) *
            (IF($B$10="الكل",1, MONTH('ادخال البيانات'!$N$3:$N$1164) = VALUE($B$10))) *
            (IF($B$11="الكل",1, INT((DAY('ادخال البيانات'!$N$3:$N$1164)-1)/7)+1 = VALUE($B$11))),
            'ادخال البيانات'!$F$3:$F$1164
         ),
         ""
      ),
      IF(_xlpm.result="", "", _xlpm.result)
   )
)</f>
        <v/>
      </c>
      <c r="G729" s="27" t="str" cm="1">
        <f t="array" ref="G729">IF(
   A729="",
   "",
   _xlfn.LET(
      _xlpm.result,
      IFERROR(
         _xlfn.XLOOKUP(
            1,
            (Table8[رقم الصنف]=A729) *
            (IF($B$9="الكل",1, YEAR('ادخال البيانات'!$N$3:$N$1164)=VALUE($B$9))) *
            (IF($B$10="الكل",1, MONTH('ادخال البيانات'!$N$3:$N$1164)=VALUE($B$10))) *
            (IF($B$11="الكل",1, INT((DAY('ادخال البيانات'!$N$3:$N$1164)-1)/7)+1 = VALUE($B$11))),
            'ادخال البيانات'!$G$3:$G$1164
         ),
         ""
      ),
      IF(_xlpm.result="", "", _xlpm.result)
   )
)</f>
        <v/>
      </c>
      <c r="H729" s="27" t="str" cm="1">
        <f t="array" ref="H729">IF(
   A729="",
   "",
   _xlfn.LET(
      _xlpm.result,
      IFERROR(
         _xlfn.XLOOKUP(
            1,
            (Table8[رقم الصنف]=A729) *
            (IF($B$9="الكل",1, YEAR('ادخال البيانات'!$N$3:$N$1164)=VALUE($B$9))) *
            (IF($B$10="الكل",1, MONTH('ادخال البيانات'!$N$3:$N$1164)=VALUE($B$10))) *
            (IF($B$11="الكل",1, INT((DAY('ادخال البيانات'!$N$3:$N$1164)-1)/7)+1 = VALUE($B$11))),
            'ادخال البيانات'!$H$3:$H$1164
         ),
         ""
      ),
      IF(_xlpm.result="", "", _xlpm.result)
   )
)</f>
        <v/>
      </c>
      <c r="I729" s="27" t="str" cm="1">
        <f t="array" ref="I729">IF(
   A729="",
   "",
   _xlfn.LET(
      _xlpm.result,
      IFERROR(
         _xlfn.XLOOKUP(
            1,
            (Table8[رقم الصنف]=A729) *
            (IF($B$9="الكل",1, YEAR('ادخال البيانات'!$N$3:$N$1164)=VALUE($B$9))) *
            (IF($B$10="الكل",1, MONTH('ادخال البيانات'!$N$3:$N$1164)=VALUE($B$10))) *
            (IF($B$11="الكل",1, INT((DAY('ادخال البيانات'!$N$3:$N$1164)-1)/7)+1 = VALUE($B$11))),
            'ادخال البيانات'!$I$3:$I$1164
         ),
         ""
      ),
      IF(_xlpm.result="", "", _xlpm.result)
   )
)</f>
        <v/>
      </c>
      <c r="J729" s="27" t="str" cm="1">
        <f t="array" ref="J729">IF(
   A729="",
   "",
   _xlfn.LET(
      _xlpm.result,
      IFERROR(
         _xlfn.XLOOKUP(
            1,
            (Table8[رقم الصنف]=A729) *
            (IF($B$9="الكل",1, YEAR('ادخال البيانات'!$N$3:$N$1164)=VALUE($B$9))) *
            (IF($B$10="الكل",1, MONTH('ادخال البيانات'!$N$3:$N$1164)=VALUE($B$10))) *
            (IF($B$11="الكل",1, INT((DAY('ادخال البيانات'!$N$3:$N$1164)-1)/7)+1 = VALUE($B$11))),
            'ادخال البيانات'!$J$3:$J$1164
         ),
         ""
      ),
      IF(_xlpm.result="", "", _xlpm.result)
   )
)</f>
        <v/>
      </c>
      <c r="K729" s="27" t="str" cm="1">
        <f t="array" ref="K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29" s="27" t="str" cm="1">
        <f t="array" ref="L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29" s="27" t="str" cm="1">
        <f t="array" ref="M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29" s="28" t="str" cm="1">
        <f t="array" ref="N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29" s="28" t="str" cm="1">
        <f t="array" ref="O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29" s="27" t="str" cm="1">
        <f t="array" ref="P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Table8[جهة العطل]
         ),
         ""
      ),
      IF(_xlpm.result="", "", _xlpm.result)
   )
)</f>
        <v/>
      </c>
      <c r="Q729" s="27" t="str" cm="1">
        <f t="array" ref="Q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Table8[المركز]
         ),
         ""
      ),
      IF(_xlpm.result="", "", _xlpm.result)
   )
)</f>
        <v/>
      </c>
      <c r="R729" s="27" t="str" cm="1">
        <f t="array" ref="R729">IF(
   A729="",
   "",
   _xlfn.LET(
      _xlpm.result,
      IFERROR(
         _xlfn.XLOOKUP(
            1,
            (Table8[رقم الصنف]=A729) *
            (IF($B$9="الكل",1, YEAR('ادخال البيانات'!$N$3:$N$1164) = VALUE($B$9))) *
            (IF($B$10="الكل",1, MONTH('ادخال البيانات'!$N$3:$N$1164) = VALUE($B$10))) *
            (IF($B$11="الكل",1, INT((DAY('ادخال البيانات'!$N$3:$N$1164) - 1) / 7) + 1 = VALUE($B$11))),
            Table8[ملاحظة]
         ),
         ""
      ),
      IF(_xlpm.result="", "", _xlpm.result)
   )
)</f>
        <v/>
      </c>
      <c r="S729" s="46" t="str">
        <f t="shared" ca="1" si="12"/>
        <v/>
      </c>
    </row>
    <row r="730" spans="1:19" ht="15.6" thickTop="1" thickBot="1" x14ac:dyDescent="0.35">
      <c r="A730" s="39"/>
      <c r="B730" s="27" t="str" cm="1">
        <f t="array" ref="B730">IF(
   OR(A730="", $B$9="", $B$10="", $B$11=""),
   "",
   _xlfn.LET(
      _xlpm.result,
      IFERROR(
         _xlfn.XLOOKUP(
            1,
            (Table8[رقم الصنف]=A730)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0" s="27" t="str" cm="1">
        <f t="array" ref="C730">IF(
   A730="",
   "",
   _xlfn.LET(
      _xlpm.result,
      IFERROR(
         _xlfn.XLOOKUP(
            1,
            (Table8[رقم الصنف]=A730) *
            (IF($B$9="الكل",1, YEAR('ادخال البيانات'!$N$3:$N$1164) = VALUE($B$9))) *
            (IF($B$10="الكل",1, MONTH('ادخال البيانات'!$N$3:$N$1164) = VALUE($B$10))) *
            (IF($B$11="الكل",1, INT((DAY('ادخال البيانات'!$N$3:$N$1164)-1)/7)+1 = VALUE($B$11))),
            'ادخال البيانات'!$C$3:$C$1164
         ),
         ""
      ),
      IF(_xlpm.result="", "", _xlpm.result)
   )
)</f>
        <v/>
      </c>
      <c r="D730" s="27" t="str" cm="1">
        <f t="array" ref="D730">IF(
   OR(A730="", $B$9="", $B$10="", $B$11=""),
   "",
   _xlfn.LET(
      _xlpm.result,
      IFERROR(
         _xlfn.XLOOKUP(
            1,
            (Table8[رقم الصنف]=A730) *
            (IF($B$9="الكل",1, YEAR('ادخال البيانات'!$N$3:$N$1164)=VALUE($B$9))) *
            (IF($B$10="الكل",1, MONTH('ادخال البيانات'!$N$3:$N$1164)=VALUE($B$10))) *
            (IF($B$11="الكل",1, INT((DAY('ادخال البيانات'!$N$3:$N$1164)-1)/7)+1 = VALUE($B$11))),
            'ادخال البيانات'!$D$3:$D$1164
         ),
         ""
      ),
      IF(_xlpm.result="", "", _xlpm.result)
   )
)</f>
        <v/>
      </c>
      <c r="E730" s="27" t="str" cm="1">
        <f t="array" ref="E730">IF(
   A730="",
   "",
   _xlfn.LET(
      _xlpm.result,
      IFERROR(
         _xlfn.XLOOKUP(
            1,
            (Table8[رقم الصنف]=A730) *
            (IF($B$9="الكل",1, YEAR('ادخال البيانات'!$N$3:$N$1164)=VALUE($B$9))) *
            (IF($B$10="الكل",1, MONTH('ادخال البيانات'!$N$3:$N$1164)=VALUE($B$10))) *
            (IF($B$11="الكل",1, INT((DAY('ادخال البيانات'!$N$3:$N$1164)-1)/7)+1 = VALUE($B$11))),
            'ادخال البيانات'!$E$3:$E$1164
         ),
         ""
      ),
      IF(_xlpm.result="", "", _xlpm.result)
   )
)</f>
        <v/>
      </c>
      <c r="F730" s="27" t="str" cm="1">
        <f t="array" ref="F730">IF(
   A730="",
   "",
   _xlfn.LET(
      _xlpm.result,
      IFERROR(
         _xlfn.XLOOKUP(
            1,
            (Table8[رقم الصنف]=A730) *
            (IF($B$9="الكل",1, YEAR('ادخال البيانات'!$N$3:$N$1164) = VALUE($B$9))) *
            (IF($B$10="الكل",1, MONTH('ادخال البيانات'!$N$3:$N$1164) = VALUE($B$10))) *
            (IF($B$11="الكل",1, INT((DAY('ادخال البيانات'!$N$3:$N$1164)-1)/7)+1 = VALUE($B$11))),
            'ادخال البيانات'!$F$3:$F$1164
         ),
         ""
      ),
      IF(_xlpm.result="", "", _xlpm.result)
   )
)</f>
        <v/>
      </c>
      <c r="G730" s="27" t="str" cm="1">
        <f t="array" ref="G730">IF(
   A730="",
   "",
   _xlfn.LET(
      _xlpm.result,
      IFERROR(
         _xlfn.XLOOKUP(
            1,
            (Table8[رقم الصنف]=A730) *
            (IF($B$9="الكل",1, YEAR('ادخال البيانات'!$N$3:$N$1164)=VALUE($B$9))) *
            (IF($B$10="الكل",1, MONTH('ادخال البيانات'!$N$3:$N$1164)=VALUE($B$10))) *
            (IF($B$11="الكل",1, INT((DAY('ادخال البيانات'!$N$3:$N$1164)-1)/7)+1 = VALUE($B$11))),
            'ادخال البيانات'!$G$3:$G$1164
         ),
         ""
      ),
      IF(_xlpm.result="", "", _xlpm.result)
   )
)</f>
        <v/>
      </c>
      <c r="H730" s="27" t="str" cm="1">
        <f t="array" ref="H730">IF(
   A730="",
   "",
   _xlfn.LET(
      _xlpm.result,
      IFERROR(
         _xlfn.XLOOKUP(
            1,
            (Table8[رقم الصنف]=A730) *
            (IF($B$9="الكل",1, YEAR('ادخال البيانات'!$N$3:$N$1164)=VALUE($B$9))) *
            (IF($B$10="الكل",1, MONTH('ادخال البيانات'!$N$3:$N$1164)=VALUE($B$10))) *
            (IF($B$11="الكل",1, INT((DAY('ادخال البيانات'!$N$3:$N$1164)-1)/7)+1 = VALUE($B$11))),
            'ادخال البيانات'!$H$3:$H$1164
         ),
         ""
      ),
      IF(_xlpm.result="", "", _xlpm.result)
   )
)</f>
        <v/>
      </c>
      <c r="I730" s="27" t="str" cm="1">
        <f t="array" ref="I730">IF(
   A730="",
   "",
   _xlfn.LET(
      _xlpm.result,
      IFERROR(
         _xlfn.XLOOKUP(
            1,
            (Table8[رقم الصنف]=A730) *
            (IF($B$9="الكل",1, YEAR('ادخال البيانات'!$N$3:$N$1164)=VALUE($B$9))) *
            (IF($B$10="الكل",1, MONTH('ادخال البيانات'!$N$3:$N$1164)=VALUE($B$10))) *
            (IF($B$11="الكل",1, INT((DAY('ادخال البيانات'!$N$3:$N$1164)-1)/7)+1 = VALUE($B$11))),
            'ادخال البيانات'!$I$3:$I$1164
         ),
         ""
      ),
      IF(_xlpm.result="", "", _xlpm.result)
   )
)</f>
        <v/>
      </c>
      <c r="J730" s="27" t="str" cm="1">
        <f t="array" ref="J730">IF(
   A730="",
   "",
   _xlfn.LET(
      _xlpm.result,
      IFERROR(
         _xlfn.XLOOKUP(
            1,
            (Table8[رقم الصنف]=A730) *
            (IF($B$9="الكل",1, YEAR('ادخال البيانات'!$N$3:$N$1164)=VALUE($B$9))) *
            (IF($B$10="الكل",1, MONTH('ادخال البيانات'!$N$3:$N$1164)=VALUE($B$10))) *
            (IF($B$11="الكل",1, INT((DAY('ادخال البيانات'!$N$3:$N$1164)-1)/7)+1 = VALUE($B$11))),
            'ادخال البيانات'!$J$3:$J$1164
         ),
         ""
      ),
      IF(_xlpm.result="", "", _xlpm.result)
   )
)</f>
        <v/>
      </c>
      <c r="K730" s="27" t="str" cm="1">
        <f t="array" ref="K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0" s="27" t="str" cm="1">
        <f t="array" ref="L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0" s="27" t="str" cm="1">
        <f t="array" ref="M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0" s="28" t="str" cm="1">
        <f t="array" ref="N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0" s="28" t="str" cm="1">
        <f t="array" ref="O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0" s="27" t="str" cm="1">
        <f t="array" ref="P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Table8[جهة العطل]
         ),
         ""
      ),
      IF(_xlpm.result="", "", _xlpm.result)
   )
)</f>
        <v/>
      </c>
      <c r="Q730" s="27" t="str" cm="1">
        <f t="array" ref="Q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Table8[المركز]
         ),
         ""
      ),
      IF(_xlpm.result="", "", _xlpm.result)
   )
)</f>
        <v/>
      </c>
      <c r="R730" s="27" t="str" cm="1">
        <f t="array" ref="R730">IF(
   A730="",
   "",
   _xlfn.LET(
      _xlpm.result,
      IFERROR(
         _xlfn.XLOOKUP(
            1,
            (Table8[رقم الصنف]=A730) *
            (IF($B$9="الكل",1, YEAR('ادخال البيانات'!$N$3:$N$1164) = VALUE($B$9))) *
            (IF($B$10="الكل",1, MONTH('ادخال البيانات'!$N$3:$N$1164) = VALUE($B$10))) *
            (IF($B$11="الكل",1, INT((DAY('ادخال البيانات'!$N$3:$N$1164) - 1) / 7) + 1 = VALUE($B$11))),
            Table8[ملاحظة]
         ),
         ""
      ),
      IF(_xlpm.result="", "", _xlpm.result)
   )
)</f>
        <v/>
      </c>
      <c r="S730" s="46" t="str">
        <f t="shared" ca="1" si="12"/>
        <v/>
      </c>
    </row>
    <row r="731" spans="1:19" ht="15.6" thickTop="1" thickBot="1" x14ac:dyDescent="0.35">
      <c r="A731" s="39"/>
      <c r="B731" s="27" t="str" cm="1">
        <f t="array" ref="B731">IF(
   OR(A731="", $B$9="", $B$10="", $B$11=""),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1" s="27" t="str" cm="1">
        <f t="array" ref="C731">IF(
   A731="",
   "",
   _xlfn.LET(
      _xlpm.result,
      IFERROR(
         _xlfn.XLOOKUP(
            1,
            (Table8[رقم الصنف]=A731) *
            (IF($B$9="الكل",1, YEAR('ادخال البيانات'!$N$3:$N$1164) = VALUE($B$9))) *
            (IF($B$10="الكل",1, MONTH('ادخال البيانات'!$N$3:$N$1164) = VALUE($B$10))) *
            (IF($B$11="الكل",1, INT((DAY('ادخال البيانات'!$N$3:$N$1164)-1)/7)+1 = VALUE($B$11))),
            'ادخال البيانات'!$C$3:$C$1164
         ),
         ""
      ),
      IF(_xlpm.result="", "", _xlpm.result)
   )
)</f>
        <v/>
      </c>
      <c r="D731" s="27" t="str" cm="1">
        <f t="array" ref="D731">IF(
   OR(A731="", $B$9="", $B$10="", $B$11=""),
   "",
   _xlfn.LET(
      _xlpm.result,
      IFERROR(
         _xlfn.XLOOKUP(
            1,
            (Table8[رقم الصنف]=A731) *
            (IF($B$9="الكل",1, YEAR('ادخال البيانات'!$N$3:$N$1164)=VALUE($B$9))) *
            (IF($B$10="الكل",1, MONTH('ادخال البيانات'!$N$3:$N$1164)=VALUE($B$10))) *
            (IF($B$11="الكل",1, INT((DAY('ادخال البيانات'!$N$3:$N$1164)-1)/7)+1 = VALUE($B$11))),
            'ادخال البيانات'!$D$3:$D$1164
         ),
         ""
      ),
      IF(_xlpm.result="", "", _xlpm.result)
   )
)</f>
        <v/>
      </c>
      <c r="E731" s="27" t="str" cm="1">
        <f t="array" ref="E731">IF(
   A731="",
   "",
   _xlfn.LET(
      _xlpm.result,
      IFERROR(
         _xlfn.XLOOKUP(
            1,
            (Table8[رقم الصنف]=A731) *
            (IF($B$9="الكل",1, YEAR('ادخال البيانات'!$N$3:$N$1164)=VALUE($B$9))) *
            (IF($B$10="الكل",1, MONTH('ادخال البيانات'!$N$3:$N$1164)=VALUE($B$10))) *
            (IF($B$11="الكل",1, INT((DAY('ادخال البيانات'!$N$3:$N$1164)-1)/7)+1 = VALUE($B$11))),
            'ادخال البيانات'!$E$3:$E$1164
         ),
         ""
      ),
      IF(_xlpm.result="", "", _xlpm.result)
   )
)</f>
        <v/>
      </c>
      <c r="F731" s="27" t="str" cm="1">
        <f t="array" ref="F731">IF(
   A731="",
   "",
   _xlfn.LET(
      _xlpm.result,
      IFERROR(
         _xlfn.XLOOKUP(
            1,
            (Table8[رقم الصنف]=A731) *
            (IF($B$9="الكل",1, YEAR('ادخال البيانات'!$N$3:$N$1164) = VALUE($B$9))) *
            (IF($B$10="الكل",1, MONTH('ادخال البيانات'!$N$3:$N$1164) = VALUE($B$10))) *
            (IF($B$11="الكل",1, INT((DAY('ادخال البيانات'!$N$3:$N$1164)-1)/7)+1 = VALUE($B$11))),
            'ادخال البيانات'!$F$3:$F$1164
         ),
         ""
      ),
      IF(_xlpm.result="", "", _xlpm.result)
   )
)</f>
        <v/>
      </c>
      <c r="G731" s="27" t="str" cm="1">
        <f t="array" ref="G731">IF(
   A731="",
   "",
   _xlfn.LET(
      _xlpm.result,
      IFERROR(
         _xlfn.XLOOKUP(
            1,
            (Table8[رقم الصنف]=A731) *
            (IF($B$9="الكل",1, YEAR('ادخال البيانات'!$N$3:$N$1164)=VALUE($B$9))) *
            (IF($B$10="الكل",1, MONTH('ادخال البيانات'!$N$3:$N$1164)=VALUE($B$10))) *
            (IF($B$11="الكل",1, INT((DAY('ادخال البيانات'!$N$3:$N$1164)-1)/7)+1 = VALUE($B$11))),
            'ادخال البيانات'!$G$3:$G$1164
         ),
         ""
      ),
      IF(_xlpm.result="", "", _xlpm.result)
   )
)</f>
        <v/>
      </c>
      <c r="H731" s="27" t="str" cm="1">
        <f t="array" ref="H731">IF(
   A731="",
   "",
   _xlfn.LET(
      _xlpm.result,
      IFERROR(
         _xlfn.XLOOKUP(
            1,
            (Table8[رقم الصنف]=A731) *
            (IF($B$9="الكل",1, YEAR('ادخال البيانات'!$N$3:$N$1164)=VALUE($B$9))) *
            (IF($B$10="الكل",1, MONTH('ادخال البيانات'!$N$3:$N$1164)=VALUE($B$10))) *
            (IF($B$11="الكل",1, INT((DAY('ادخال البيانات'!$N$3:$N$1164)-1)/7)+1 = VALUE($B$11))),
            'ادخال البيانات'!$H$3:$H$1164
         ),
         ""
      ),
      IF(_xlpm.result="", "", _xlpm.result)
   )
)</f>
        <v/>
      </c>
      <c r="I731" s="27" t="str" cm="1">
        <f t="array" ref="I731">IF(
   A731="",
   "",
   _xlfn.LET(
      _xlpm.result,
      IFERROR(
         _xlfn.XLOOKUP(
            1,
            (Table8[رقم الصنف]=A731) *
            (IF($B$9="الكل",1, YEAR('ادخال البيانات'!$N$3:$N$1164)=VALUE($B$9))) *
            (IF($B$10="الكل",1, MONTH('ادخال البيانات'!$N$3:$N$1164)=VALUE($B$10))) *
            (IF($B$11="الكل",1, INT((DAY('ادخال البيانات'!$N$3:$N$1164)-1)/7)+1 = VALUE($B$11))),
            'ادخال البيانات'!$I$3:$I$1164
         ),
         ""
      ),
      IF(_xlpm.result="", "", _xlpm.result)
   )
)</f>
        <v/>
      </c>
      <c r="J731" s="27" t="str" cm="1">
        <f t="array" ref="J731">IF(
   A731="",
   "",
   _xlfn.LET(
      _xlpm.result,
      IFERROR(
         _xlfn.XLOOKUP(
            1,
            (Table8[رقم الصنف]=A731) *
            (IF($B$9="الكل",1, YEAR('ادخال البيانات'!$N$3:$N$1164)=VALUE($B$9))) *
            (IF($B$10="الكل",1, MONTH('ادخال البيانات'!$N$3:$N$1164)=VALUE($B$10))) *
            (IF($B$11="الكل",1, INT((DAY('ادخال البيانات'!$N$3:$N$1164)-1)/7)+1 = VALUE($B$11))),
            'ادخال البيانات'!$J$3:$J$1164
         ),
         ""
      ),
      IF(_xlpm.result="", "", _xlpm.result)
   )
)</f>
        <v/>
      </c>
      <c r="K731" s="27" t="str" cm="1">
        <f t="array" ref="K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1" s="27" t="str" cm="1">
        <f t="array" ref="L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1" s="27" t="str" cm="1">
        <f t="array" ref="M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1" s="28" t="str" cm="1">
        <f t="array" ref="N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1" s="28" t="str" cm="1">
        <f t="array" ref="O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1" s="27" t="str" cm="1">
        <f t="array" ref="P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Table8[جهة العطل]
         ),
         ""
      ),
      IF(_xlpm.result="", "", _xlpm.result)
   )
)</f>
        <v/>
      </c>
      <c r="Q731" s="27" t="str" cm="1">
        <f t="array" ref="Q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Table8[المركز]
         ),
         ""
      ),
      IF(_xlpm.result="", "", _xlpm.result)
   )
)</f>
        <v/>
      </c>
      <c r="R731" s="27" t="str" cm="1">
        <f t="array" ref="R731">IF(
   A731="",
   "",
   _xlfn.LET(
      _xlpm.result,
      IFERROR(
         _xlfn.XLOOKUP(
            1,
            (Table8[رقم الصنف]=A731) *
            (IF($B$9="الكل",1, YEAR('ادخال البيانات'!$N$3:$N$1164) = VALUE($B$9))) *
            (IF($B$10="الكل",1, MONTH('ادخال البيانات'!$N$3:$N$1164) = VALUE($B$10))) *
            (IF($B$11="الكل",1, INT((DAY('ادخال البيانات'!$N$3:$N$1164) - 1) / 7) + 1 = VALUE($B$11))),
            Table8[ملاحظة]
         ),
         ""
      ),
      IF(_xlpm.result="", "", _xlpm.result)
   )
)</f>
        <v/>
      </c>
      <c r="S731" s="46" t="str">
        <f t="shared" ca="1" si="12"/>
        <v/>
      </c>
    </row>
    <row r="732" spans="1:19" ht="15.6" thickTop="1" thickBot="1" x14ac:dyDescent="0.35">
      <c r="A732" s="39"/>
      <c r="B732" s="27" t="str" cm="1">
        <f t="array" ref="B732">IF(
   OR(A732="", $B$9="", $B$10="", $B$11=""),
   "",
   _xlfn.LET(
      _xlpm.result,
      IFERROR(
         _xlfn.XLOOKUP(
            1,
            (Table8[رقم الصنف]=A732)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2" s="27" t="str" cm="1">
        <f t="array" ref="C732">IF(
   A732="",
   "",
   _xlfn.LET(
      _xlpm.result,
      IFERROR(
         _xlfn.XLOOKUP(
            1,
            (Table8[رقم الصنف]=A732) *
            (IF($B$9="الكل",1, YEAR('ادخال البيانات'!$N$3:$N$1164) = VALUE($B$9))) *
            (IF($B$10="الكل",1, MONTH('ادخال البيانات'!$N$3:$N$1164) = VALUE($B$10))) *
            (IF($B$11="الكل",1, INT((DAY('ادخال البيانات'!$N$3:$N$1164)-1)/7)+1 = VALUE($B$11))),
            'ادخال البيانات'!$C$3:$C$1164
         ),
         ""
      ),
      IF(_xlpm.result="", "", _xlpm.result)
   )
)</f>
        <v/>
      </c>
      <c r="D732" s="27" t="str" cm="1">
        <f t="array" ref="D732">IF(
   OR(A732="", $B$9="", $B$10="", $B$11=""),
   "",
   _xlfn.LET(
      _xlpm.result,
      IFERROR(
         _xlfn.XLOOKUP(
            1,
            (Table8[رقم الصنف]=A732) *
            (IF($B$9="الكل",1, YEAR('ادخال البيانات'!$N$3:$N$1164)=VALUE($B$9))) *
            (IF($B$10="الكل",1, MONTH('ادخال البيانات'!$N$3:$N$1164)=VALUE($B$10))) *
            (IF($B$11="الكل",1, INT((DAY('ادخال البيانات'!$N$3:$N$1164)-1)/7)+1 = VALUE($B$11))),
            'ادخال البيانات'!$D$3:$D$1164
         ),
         ""
      ),
      IF(_xlpm.result="", "", _xlpm.result)
   )
)</f>
        <v/>
      </c>
      <c r="E732" s="27" t="str" cm="1">
        <f t="array" ref="E732">IF(
   A732="",
   "",
   _xlfn.LET(
      _xlpm.result,
      IFERROR(
         _xlfn.XLOOKUP(
            1,
            (Table8[رقم الصنف]=A732) *
            (IF($B$9="الكل",1, YEAR('ادخال البيانات'!$N$3:$N$1164)=VALUE($B$9))) *
            (IF($B$10="الكل",1, MONTH('ادخال البيانات'!$N$3:$N$1164)=VALUE($B$10))) *
            (IF($B$11="الكل",1, INT((DAY('ادخال البيانات'!$N$3:$N$1164)-1)/7)+1 = VALUE($B$11))),
            'ادخال البيانات'!$E$3:$E$1164
         ),
         ""
      ),
      IF(_xlpm.result="", "", _xlpm.result)
   )
)</f>
        <v/>
      </c>
      <c r="F732" s="27" t="str" cm="1">
        <f t="array" ref="F732">IF(
   A732="",
   "",
   _xlfn.LET(
      _xlpm.result,
      IFERROR(
         _xlfn.XLOOKUP(
            1,
            (Table8[رقم الصنف]=A732) *
            (IF($B$9="الكل",1, YEAR('ادخال البيانات'!$N$3:$N$1164) = VALUE($B$9))) *
            (IF($B$10="الكل",1, MONTH('ادخال البيانات'!$N$3:$N$1164) = VALUE($B$10))) *
            (IF($B$11="الكل",1, INT((DAY('ادخال البيانات'!$N$3:$N$1164)-1)/7)+1 = VALUE($B$11))),
            'ادخال البيانات'!$F$3:$F$1164
         ),
         ""
      ),
      IF(_xlpm.result="", "", _xlpm.result)
   )
)</f>
        <v/>
      </c>
      <c r="G732" s="27" t="str" cm="1">
        <f t="array" ref="G732">IF(
   A732="",
   "",
   _xlfn.LET(
      _xlpm.result,
      IFERROR(
         _xlfn.XLOOKUP(
            1,
            (Table8[رقم الصنف]=A732) *
            (IF($B$9="الكل",1, YEAR('ادخال البيانات'!$N$3:$N$1164)=VALUE($B$9))) *
            (IF($B$10="الكل",1, MONTH('ادخال البيانات'!$N$3:$N$1164)=VALUE($B$10))) *
            (IF($B$11="الكل",1, INT((DAY('ادخال البيانات'!$N$3:$N$1164)-1)/7)+1 = VALUE($B$11))),
            'ادخال البيانات'!$G$3:$G$1164
         ),
         ""
      ),
      IF(_xlpm.result="", "", _xlpm.result)
   )
)</f>
        <v/>
      </c>
      <c r="H732" s="27" t="str" cm="1">
        <f t="array" ref="H732">IF(
   A732="",
   "",
   _xlfn.LET(
      _xlpm.result,
      IFERROR(
         _xlfn.XLOOKUP(
            1,
            (Table8[رقم الصنف]=A732) *
            (IF($B$9="الكل",1, YEAR('ادخال البيانات'!$N$3:$N$1164)=VALUE($B$9))) *
            (IF($B$10="الكل",1, MONTH('ادخال البيانات'!$N$3:$N$1164)=VALUE($B$10))) *
            (IF($B$11="الكل",1, INT((DAY('ادخال البيانات'!$N$3:$N$1164)-1)/7)+1 = VALUE($B$11))),
            'ادخال البيانات'!$H$3:$H$1164
         ),
         ""
      ),
      IF(_xlpm.result="", "", _xlpm.result)
   )
)</f>
        <v/>
      </c>
      <c r="I732" s="27" t="str" cm="1">
        <f t="array" ref="I732">IF(
   A732="",
   "",
   _xlfn.LET(
      _xlpm.result,
      IFERROR(
         _xlfn.XLOOKUP(
            1,
            (Table8[رقم الصنف]=A732) *
            (IF($B$9="الكل",1, YEAR('ادخال البيانات'!$N$3:$N$1164)=VALUE($B$9))) *
            (IF($B$10="الكل",1, MONTH('ادخال البيانات'!$N$3:$N$1164)=VALUE($B$10))) *
            (IF($B$11="الكل",1, INT((DAY('ادخال البيانات'!$N$3:$N$1164)-1)/7)+1 = VALUE($B$11))),
            'ادخال البيانات'!$I$3:$I$1164
         ),
         ""
      ),
      IF(_xlpm.result="", "", _xlpm.result)
   )
)</f>
        <v/>
      </c>
      <c r="J732" s="27" t="str" cm="1">
        <f t="array" ref="J732">IF(
   A732="",
   "",
   _xlfn.LET(
      _xlpm.result,
      IFERROR(
         _xlfn.XLOOKUP(
            1,
            (Table8[رقم الصنف]=A732) *
            (IF($B$9="الكل",1, YEAR('ادخال البيانات'!$N$3:$N$1164)=VALUE($B$9))) *
            (IF($B$10="الكل",1, MONTH('ادخال البيانات'!$N$3:$N$1164)=VALUE($B$10))) *
            (IF($B$11="الكل",1, INT((DAY('ادخال البيانات'!$N$3:$N$1164)-1)/7)+1 = VALUE($B$11))),
            'ادخال البيانات'!$J$3:$J$1164
         ),
         ""
      ),
      IF(_xlpm.result="", "", _xlpm.result)
   )
)</f>
        <v/>
      </c>
      <c r="K732" s="27" t="str" cm="1">
        <f t="array" ref="K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2" s="27" t="str" cm="1">
        <f t="array" ref="L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2" s="27" t="str" cm="1">
        <f t="array" ref="M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2" s="28" t="str" cm="1">
        <f t="array" ref="N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2" s="28" t="str" cm="1">
        <f t="array" ref="O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2" s="27" t="str" cm="1">
        <f t="array" ref="P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Table8[جهة العطل]
         ),
         ""
      ),
      IF(_xlpm.result="", "", _xlpm.result)
   )
)</f>
        <v/>
      </c>
      <c r="Q732" s="27" t="str" cm="1">
        <f t="array" ref="Q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Table8[المركز]
         ),
         ""
      ),
      IF(_xlpm.result="", "", _xlpm.result)
   )
)</f>
        <v/>
      </c>
      <c r="R732" s="27" t="str" cm="1">
        <f t="array" ref="R732">IF(
   A732="",
   "",
   _xlfn.LET(
      _xlpm.result,
      IFERROR(
         _xlfn.XLOOKUP(
            1,
            (Table8[رقم الصنف]=A732) *
            (IF($B$9="الكل",1, YEAR('ادخال البيانات'!$N$3:$N$1164) = VALUE($B$9))) *
            (IF($B$10="الكل",1, MONTH('ادخال البيانات'!$N$3:$N$1164) = VALUE($B$10))) *
            (IF($B$11="الكل",1, INT((DAY('ادخال البيانات'!$N$3:$N$1164) - 1) / 7) + 1 = VALUE($B$11))),
            Table8[ملاحظة]
         ),
         ""
      ),
      IF(_xlpm.result="", "", _xlpm.result)
   )
)</f>
        <v/>
      </c>
      <c r="S732" s="46" t="str">
        <f t="shared" ca="1" si="12"/>
        <v/>
      </c>
    </row>
    <row r="733" spans="1:19" ht="15.6" thickTop="1" thickBot="1" x14ac:dyDescent="0.35">
      <c r="A733" s="39"/>
      <c r="B733" s="27" t="str" cm="1">
        <f t="array" ref="B733">IF(
   OR(A733="", $B$9="", $B$10="", $B$11=""),
   "",
   _xlfn.LET(
      _xlpm.result,
      IFERROR(
         _xlfn.XLOOKUP(
            1,
            (Table8[رقم الصنف]=A733)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3" s="27" t="str" cm="1">
        <f t="array" ref="C733">IF(
   A733="",
   "",
   _xlfn.LET(
      _xlpm.result,
      IFERROR(
         _xlfn.XLOOKUP(
            1,
            (Table8[رقم الصنف]=A733) *
            (IF($B$9="الكل",1, YEAR('ادخال البيانات'!$N$3:$N$1164) = VALUE($B$9))) *
            (IF($B$10="الكل",1, MONTH('ادخال البيانات'!$N$3:$N$1164) = VALUE($B$10))) *
            (IF($B$11="الكل",1, INT((DAY('ادخال البيانات'!$N$3:$N$1164)-1)/7)+1 = VALUE($B$11))),
            'ادخال البيانات'!$C$3:$C$1164
         ),
         ""
      ),
      IF(_xlpm.result="", "", _xlpm.result)
   )
)</f>
        <v/>
      </c>
      <c r="D733" s="27" t="str" cm="1">
        <f t="array" ref="D733">IF(
   OR(A733="", $B$9="", $B$10="", $B$11=""),
   "",
   _xlfn.LET(
      _xlpm.result,
      IFERROR(
         _xlfn.XLOOKUP(
            1,
            (Table8[رقم الصنف]=A733) *
            (IF($B$9="الكل",1, YEAR('ادخال البيانات'!$N$3:$N$1164)=VALUE($B$9))) *
            (IF($B$10="الكل",1, MONTH('ادخال البيانات'!$N$3:$N$1164)=VALUE($B$10))) *
            (IF($B$11="الكل",1, INT((DAY('ادخال البيانات'!$N$3:$N$1164)-1)/7)+1 = VALUE($B$11))),
            'ادخال البيانات'!$D$3:$D$1164
         ),
         ""
      ),
      IF(_xlpm.result="", "", _xlpm.result)
   )
)</f>
        <v/>
      </c>
      <c r="E733" s="27" t="str" cm="1">
        <f t="array" ref="E733">IF(
   A733="",
   "",
   _xlfn.LET(
      _xlpm.result,
      IFERROR(
         _xlfn.XLOOKUP(
            1,
            (Table8[رقم الصنف]=A733) *
            (IF($B$9="الكل",1, YEAR('ادخال البيانات'!$N$3:$N$1164)=VALUE($B$9))) *
            (IF($B$10="الكل",1, MONTH('ادخال البيانات'!$N$3:$N$1164)=VALUE($B$10))) *
            (IF($B$11="الكل",1, INT((DAY('ادخال البيانات'!$N$3:$N$1164)-1)/7)+1 = VALUE($B$11))),
            'ادخال البيانات'!$E$3:$E$1164
         ),
         ""
      ),
      IF(_xlpm.result="", "", _xlpm.result)
   )
)</f>
        <v/>
      </c>
      <c r="F733" s="27" t="str" cm="1">
        <f t="array" ref="F733">IF(
   A733="",
   "",
   _xlfn.LET(
      _xlpm.result,
      IFERROR(
         _xlfn.XLOOKUP(
            1,
            (Table8[رقم الصنف]=A733) *
            (IF($B$9="الكل",1, YEAR('ادخال البيانات'!$N$3:$N$1164) = VALUE($B$9))) *
            (IF($B$10="الكل",1, MONTH('ادخال البيانات'!$N$3:$N$1164) = VALUE($B$10))) *
            (IF($B$11="الكل",1, INT((DAY('ادخال البيانات'!$N$3:$N$1164)-1)/7)+1 = VALUE($B$11))),
            'ادخال البيانات'!$F$3:$F$1164
         ),
         ""
      ),
      IF(_xlpm.result="", "", _xlpm.result)
   )
)</f>
        <v/>
      </c>
      <c r="G733" s="27" t="str" cm="1">
        <f t="array" ref="G733">IF(
   A733="",
   "",
   _xlfn.LET(
      _xlpm.result,
      IFERROR(
         _xlfn.XLOOKUP(
            1,
            (Table8[رقم الصنف]=A733) *
            (IF($B$9="الكل",1, YEAR('ادخال البيانات'!$N$3:$N$1164)=VALUE($B$9))) *
            (IF($B$10="الكل",1, MONTH('ادخال البيانات'!$N$3:$N$1164)=VALUE($B$10))) *
            (IF($B$11="الكل",1, INT((DAY('ادخال البيانات'!$N$3:$N$1164)-1)/7)+1 = VALUE($B$11))),
            'ادخال البيانات'!$G$3:$G$1164
         ),
         ""
      ),
      IF(_xlpm.result="", "", _xlpm.result)
   )
)</f>
        <v/>
      </c>
      <c r="H733" s="27" t="str" cm="1">
        <f t="array" ref="H733">IF(
   A733="",
   "",
   _xlfn.LET(
      _xlpm.result,
      IFERROR(
         _xlfn.XLOOKUP(
            1,
            (Table8[رقم الصنف]=A733) *
            (IF($B$9="الكل",1, YEAR('ادخال البيانات'!$N$3:$N$1164)=VALUE($B$9))) *
            (IF($B$10="الكل",1, MONTH('ادخال البيانات'!$N$3:$N$1164)=VALUE($B$10))) *
            (IF($B$11="الكل",1, INT((DAY('ادخال البيانات'!$N$3:$N$1164)-1)/7)+1 = VALUE($B$11))),
            'ادخال البيانات'!$H$3:$H$1164
         ),
         ""
      ),
      IF(_xlpm.result="", "", _xlpm.result)
   )
)</f>
        <v/>
      </c>
      <c r="I733" s="27" t="str" cm="1">
        <f t="array" ref="I733">IF(
   A733="",
   "",
   _xlfn.LET(
      _xlpm.result,
      IFERROR(
         _xlfn.XLOOKUP(
            1,
            (Table8[رقم الصنف]=A733) *
            (IF($B$9="الكل",1, YEAR('ادخال البيانات'!$N$3:$N$1164)=VALUE($B$9))) *
            (IF($B$10="الكل",1, MONTH('ادخال البيانات'!$N$3:$N$1164)=VALUE($B$10))) *
            (IF($B$11="الكل",1, INT((DAY('ادخال البيانات'!$N$3:$N$1164)-1)/7)+1 = VALUE($B$11))),
            'ادخال البيانات'!$I$3:$I$1164
         ),
         ""
      ),
      IF(_xlpm.result="", "", _xlpm.result)
   )
)</f>
        <v/>
      </c>
      <c r="J733" s="27" t="str" cm="1">
        <f t="array" ref="J733">IF(
   A733="",
   "",
   _xlfn.LET(
      _xlpm.result,
      IFERROR(
         _xlfn.XLOOKUP(
            1,
            (Table8[رقم الصنف]=A733) *
            (IF($B$9="الكل",1, YEAR('ادخال البيانات'!$N$3:$N$1164)=VALUE($B$9))) *
            (IF($B$10="الكل",1, MONTH('ادخال البيانات'!$N$3:$N$1164)=VALUE($B$10))) *
            (IF($B$11="الكل",1, INT((DAY('ادخال البيانات'!$N$3:$N$1164)-1)/7)+1 = VALUE($B$11))),
            'ادخال البيانات'!$J$3:$J$1164
         ),
         ""
      ),
      IF(_xlpm.result="", "", _xlpm.result)
   )
)</f>
        <v/>
      </c>
      <c r="K733" s="27" t="str" cm="1">
        <f t="array" ref="K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3" s="27" t="str" cm="1">
        <f t="array" ref="L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3" s="27" t="str" cm="1">
        <f t="array" ref="M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3" s="28" t="str" cm="1">
        <f t="array" ref="N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3" s="28" t="str" cm="1">
        <f t="array" ref="O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3" s="27" t="str" cm="1">
        <f t="array" ref="P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Table8[جهة العطل]
         ),
         ""
      ),
      IF(_xlpm.result="", "", _xlpm.result)
   )
)</f>
        <v/>
      </c>
      <c r="Q733" s="27" t="str" cm="1">
        <f t="array" ref="Q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Table8[المركز]
         ),
         ""
      ),
      IF(_xlpm.result="", "", _xlpm.result)
   )
)</f>
        <v/>
      </c>
      <c r="R733" s="27" t="str" cm="1">
        <f t="array" ref="R733">IF(
   A733="",
   "",
   _xlfn.LET(
      _xlpm.result,
      IFERROR(
         _xlfn.XLOOKUP(
            1,
            (Table8[رقم الصنف]=A733) *
            (IF($B$9="الكل",1, YEAR('ادخال البيانات'!$N$3:$N$1164) = VALUE($B$9))) *
            (IF($B$10="الكل",1, MONTH('ادخال البيانات'!$N$3:$N$1164) = VALUE($B$10))) *
            (IF($B$11="الكل",1, INT((DAY('ادخال البيانات'!$N$3:$N$1164) - 1) / 7) + 1 = VALUE($B$11))),
            Table8[ملاحظة]
         ),
         ""
      ),
      IF(_xlpm.result="", "", _xlpm.result)
   )
)</f>
        <v/>
      </c>
      <c r="S733" s="46" t="str">
        <f t="shared" ca="1" si="12"/>
        <v/>
      </c>
    </row>
    <row r="734" spans="1:19" ht="15.6" thickTop="1" thickBot="1" x14ac:dyDescent="0.35">
      <c r="A734" s="39"/>
      <c r="B734" s="27" t="str" cm="1">
        <f t="array" ref="B734">IF(
   OR(A734="", $B$9="", $B$10="", $B$11=""),
   "",
   _xlfn.LET(
      _xlpm.result,
      IFERROR(
         _xlfn.XLOOKUP(
            1,
            (Table8[رقم الصنف]=A734)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4" s="27" t="str" cm="1">
        <f t="array" ref="C734">IF(
   A734="",
   "",
   _xlfn.LET(
      _xlpm.result,
      IFERROR(
         _xlfn.XLOOKUP(
            1,
            (Table8[رقم الصنف]=A734) *
            (IF($B$9="الكل",1, YEAR('ادخال البيانات'!$N$3:$N$1164) = VALUE($B$9))) *
            (IF($B$10="الكل",1, MONTH('ادخال البيانات'!$N$3:$N$1164) = VALUE($B$10))) *
            (IF($B$11="الكل",1, INT((DAY('ادخال البيانات'!$N$3:$N$1164)-1)/7)+1 = VALUE($B$11))),
            'ادخال البيانات'!$C$3:$C$1164
         ),
         ""
      ),
      IF(_xlpm.result="", "", _xlpm.result)
   )
)</f>
        <v/>
      </c>
      <c r="D734" s="27" t="str" cm="1">
        <f t="array" ref="D734">IF(
   OR(A734="", $B$9="", $B$10="", $B$11=""),
   "",
   _xlfn.LET(
      _xlpm.result,
      IFERROR(
         _xlfn.XLOOKUP(
            1,
            (Table8[رقم الصنف]=A734) *
            (IF($B$9="الكل",1, YEAR('ادخال البيانات'!$N$3:$N$1164)=VALUE($B$9))) *
            (IF($B$10="الكل",1, MONTH('ادخال البيانات'!$N$3:$N$1164)=VALUE($B$10))) *
            (IF($B$11="الكل",1, INT((DAY('ادخال البيانات'!$N$3:$N$1164)-1)/7)+1 = VALUE($B$11))),
            'ادخال البيانات'!$D$3:$D$1164
         ),
         ""
      ),
      IF(_xlpm.result="", "", _xlpm.result)
   )
)</f>
        <v/>
      </c>
      <c r="E734" s="27" t="str" cm="1">
        <f t="array" ref="E734">IF(
   A734="",
   "",
   _xlfn.LET(
      _xlpm.result,
      IFERROR(
         _xlfn.XLOOKUP(
            1,
            (Table8[رقم الصنف]=A734) *
            (IF($B$9="الكل",1, YEAR('ادخال البيانات'!$N$3:$N$1164)=VALUE($B$9))) *
            (IF($B$10="الكل",1, MONTH('ادخال البيانات'!$N$3:$N$1164)=VALUE($B$10))) *
            (IF($B$11="الكل",1, INT((DAY('ادخال البيانات'!$N$3:$N$1164)-1)/7)+1 = VALUE($B$11))),
            'ادخال البيانات'!$E$3:$E$1164
         ),
         ""
      ),
      IF(_xlpm.result="", "", _xlpm.result)
   )
)</f>
        <v/>
      </c>
      <c r="F734" s="27" t="str" cm="1">
        <f t="array" ref="F734">IF(
   A734="",
   "",
   _xlfn.LET(
      _xlpm.result,
      IFERROR(
         _xlfn.XLOOKUP(
            1,
            (Table8[رقم الصنف]=A734) *
            (IF($B$9="الكل",1, YEAR('ادخال البيانات'!$N$3:$N$1164) = VALUE($B$9))) *
            (IF($B$10="الكل",1, MONTH('ادخال البيانات'!$N$3:$N$1164) = VALUE($B$10))) *
            (IF($B$11="الكل",1, INT((DAY('ادخال البيانات'!$N$3:$N$1164)-1)/7)+1 = VALUE($B$11))),
            'ادخال البيانات'!$F$3:$F$1164
         ),
         ""
      ),
      IF(_xlpm.result="", "", _xlpm.result)
   )
)</f>
        <v/>
      </c>
      <c r="G734" s="27" t="str" cm="1">
        <f t="array" ref="G734">IF(
   A734="",
   "",
   _xlfn.LET(
      _xlpm.result,
      IFERROR(
         _xlfn.XLOOKUP(
            1,
            (Table8[رقم الصنف]=A734) *
            (IF($B$9="الكل",1, YEAR('ادخال البيانات'!$N$3:$N$1164)=VALUE($B$9))) *
            (IF($B$10="الكل",1, MONTH('ادخال البيانات'!$N$3:$N$1164)=VALUE($B$10))) *
            (IF($B$11="الكل",1, INT((DAY('ادخال البيانات'!$N$3:$N$1164)-1)/7)+1 = VALUE($B$11))),
            'ادخال البيانات'!$G$3:$G$1164
         ),
         ""
      ),
      IF(_xlpm.result="", "", _xlpm.result)
   )
)</f>
        <v/>
      </c>
      <c r="H734" s="27" t="str" cm="1">
        <f t="array" ref="H734">IF(
   A734="",
   "",
   _xlfn.LET(
      _xlpm.result,
      IFERROR(
         _xlfn.XLOOKUP(
            1,
            (Table8[رقم الصنف]=A734) *
            (IF($B$9="الكل",1, YEAR('ادخال البيانات'!$N$3:$N$1164)=VALUE($B$9))) *
            (IF($B$10="الكل",1, MONTH('ادخال البيانات'!$N$3:$N$1164)=VALUE($B$10))) *
            (IF($B$11="الكل",1, INT((DAY('ادخال البيانات'!$N$3:$N$1164)-1)/7)+1 = VALUE($B$11))),
            'ادخال البيانات'!$H$3:$H$1164
         ),
         ""
      ),
      IF(_xlpm.result="", "", _xlpm.result)
   )
)</f>
        <v/>
      </c>
      <c r="I734" s="27" t="str" cm="1">
        <f t="array" ref="I734">IF(
   A734="",
   "",
   _xlfn.LET(
      _xlpm.result,
      IFERROR(
         _xlfn.XLOOKUP(
            1,
            (Table8[رقم الصنف]=A734) *
            (IF($B$9="الكل",1, YEAR('ادخال البيانات'!$N$3:$N$1164)=VALUE($B$9))) *
            (IF($B$10="الكل",1, MONTH('ادخال البيانات'!$N$3:$N$1164)=VALUE($B$10))) *
            (IF($B$11="الكل",1, INT((DAY('ادخال البيانات'!$N$3:$N$1164)-1)/7)+1 = VALUE($B$11))),
            'ادخال البيانات'!$I$3:$I$1164
         ),
         ""
      ),
      IF(_xlpm.result="", "", _xlpm.result)
   )
)</f>
        <v/>
      </c>
      <c r="J734" s="27" t="str" cm="1">
        <f t="array" ref="J734">IF(
   A734="",
   "",
   _xlfn.LET(
      _xlpm.result,
      IFERROR(
         _xlfn.XLOOKUP(
            1,
            (Table8[رقم الصنف]=A734) *
            (IF($B$9="الكل",1, YEAR('ادخال البيانات'!$N$3:$N$1164)=VALUE($B$9))) *
            (IF($B$10="الكل",1, MONTH('ادخال البيانات'!$N$3:$N$1164)=VALUE($B$10))) *
            (IF($B$11="الكل",1, INT((DAY('ادخال البيانات'!$N$3:$N$1164)-1)/7)+1 = VALUE($B$11))),
            'ادخال البيانات'!$J$3:$J$1164
         ),
         ""
      ),
      IF(_xlpm.result="", "", _xlpm.result)
   )
)</f>
        <v/>
      </c>
      <c r="K734" s="27" t="str" cm="1">
        <f t="array" ref="K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4" s="27" t="str" cm="1">
        <f t="array" ref="L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4" s="27" t="str" cm="1">
        <f t="array" ref="M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4" s="28" t="str" cm="1">
        <f t="array" ref="N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4" s="28" t="str" cm="1">
        <f t="array" ref="O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4" s="27" t="str" cm="1">
        <f t="array" ref="P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Table8[جهة العطل]
         ),
         ""
      ),
      IF(_xlpm.result="", "", _xlpm.result)
   )
)</f>
        <v/>
      </c>
      <c r="Q734" s="27" t="str" cm="1">
        <f t="array" ref="Q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Table8[المركز]
         ),
         ""
      ),
      IF(_xlpm.result="", "", _xlpm.result)
   )
)</f>
        <v/>
      </c>
      <c r="R734" s="27" t="str" cm="1">
        <f t="array" ref="R734">IF(
   A734="",
   "",
   _xlfn.LET(
      _xlpm.result,
      IFERROR(
         _xlfn.XLOOKUP(
            1,
            (Table8[رقم الصنف]=A734) *
            (IF($B$9="الكل",1, YEAR('ادخال البيانات'!$N$3:$N$1164) = VALUE($B$9))) *
            (IF($B$10="الكل",1, MONTH('ادخال البيانات'!$N$3:$N$1164) = VALUE($B$10))) *
            (IF($B$11="الكل",1, INT((DAY('ادخال البيانات'!$N$3:$N$1164) - 1) / 7) + 1 = VALUE($B$11))),
            Table8[ملاحظة]
         ),
         ""
      ),
      IF(_xlpm.result="", "", _xlpm.result)
   )
)</f>
        <v/>
      </c>
      <c r="S734" s="46" t="str">
        <f t="shared" ca="1" si="12"/>
        <v/>
      </c>
    </row>
    <row r="735" spans="1:19" ht="15.6" thickTop="1" thickBot="1" x14ac:dyDescent="0.35">
      <c r="A735" s="39"/>
      <c r="B735" s="27" t="str" cm="1">
        <f t="array" ref="B735">IF(
   OR(A735="", $B$9="", $B$10="", $B$11=""),
   "",
   _xlfn.LET(
      _xlpm.result,
      IFERROR(
         _xlfn.XLOOKUP(
            1,
            (Table8[رقم الصنف]=A735)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5" s="27" t="str" cm="1">
        <f t="array" ref="C735">IF(
   A735="",
   "",
   _xlfn.LET(
      _xlpm.result,
      IFERROR(
         _xlfn.XLOOKUP(
            1,
            (Table8[رقم الصنف]=A735) *
            (IF($B$9="الكل",1, YEAR('ادخال البيانات'!$N$3:$N$1164) = VALUE($B$9))) *
            (IF($B$10="الكل",1, MONTH('ادخال البيانات'!$N$3:$N$1164) = VALUE($B$10))) *
            (IF($B$11="الكل",1, INT((DAY('ادخال البيانات'!$N$3:$N$1164)-1)/7)+1 = VALUE($B$11))),
            'ادخال البيانات'!$C$3:$C$1164
         ),
         ""
      ),
      IF(_xlpm.result="", "", _xlpm.result)
   )
)</f>
        <v/>
      </c>
      <c r="D735" s="27" t="str" cm="1">
        <f t="array" ref="D735">IF(
   OR(A735="", $B$9="", $B$10="", $B$11=""),
   "",
   _xlfn.LET(
      _xlpm.result,
      IFERROR(
         _xlfn.XLOOKUP(
            1,
            (Table8[رقم الصنف]=A735) *
            (IF($B$9="الكل",1, YEAR('ادخال البيانات'!$N$3:$N$1164)=VALUE($B$9))) *
            (IF($B$10="الكل",1, MONTH('ادخال البيانات'!$N$3:$N$1164)=VALUE($B$10))) *
            (IF($B$11="الكل",1, INT((DAY('ادخال البيانات'!$N$3:$N$1164)-1)/7)+1 = VALUE($B$11))),
            'ادخال البيانات'!$D$3:$D$1164
         ),
         ""
      ),
      IF(_xlpm.result="", "", _xlpm.result)
   )
)</f>
        <v/>
      </c>
      <c r="E735" s="27" t="str" cm="1">
        <f t="array" ref="E735">IF(
   A735="",
   "",
   _xlfn.LET(
      _xlpm.result,
      IFERROR(
         _xlfn.XLOOKUP(
            1,
            (Table8[رقم الصنف]=A735) *
            (IF($B$9="الكل",1, YEAR('ادخال البيانات'!$N$3:$N$1164)=VALUE($B$9))) *
            (IF($B$10="الكل",1, MONTH('ادخال البيانات'!$N$3:$N$1164)=VALUE($B$10))) *
            (IF($B$11="الكل",1, INT((DAY('ادخال البيانات'!$N$3:$N$1164)-1)/7)+1 = VALUE($B$11))),
            'ادخال البيانات'!$E$3:$E$1164
         ),
         ""
      ),
      IF(_xlpm.result="", "", _xlpm.result)
   )
)</f>
        <v/>
      </c>
      <c r="F735" s="27" t="str" cm="1">
        <f t="array" ref="F735">IF(
   A735="",
   "",
   _xlfn.LET(
      _xlpm.result,
      IFERROR(
         _xlfn.XLOOKUP(
            1,
            (Table8[رقم الصنف]=A735) *
            (IF($B$9="الكل",1, YEAR('ادخال البيانات'!$N$3:$N$1164) = VALUE($B$9))) *
            (IF($B$10="الكل",1, MONTH('ادخال البيانات'!$N$3:$N$1164) = VALUE($B$10))) *
            (IF($B$11="الكل",1, INT((DAY('ادخال البيانات'!$N$3:$N$1164)-1)/7)+1 = VALUE($B$11))),
            'ادخال البيانات'!$F$3:$F$1164
         ),
         ""
      ),
      IF(_xlpm.result="", "", _xlpm.result)
   )
)</f>
        <v/>
      </c>
      <c r="G735" s="27" t="str" cm="1">
        <f t="array" ref="G735">IF(
   A735="",
   "",
   _xlfn.LET(
      _xlpm.result,
      IFERROR(
         _xlfn.XLOOKUP(
            1,
            (Table8[رقم الصنف]=A735) *
            (IF($B$9="الكل",1, YEAR('ادخال البيانات'!$N$3:$N$1164)=VALUE($B$9))) *
            (IF($B$10="الكل",1, MONTH('ادخال البيانات'!$N$3:$N$1164)=VALUE($B$10))) *
            (IF($B$11="الكل",1, INT((DAY('ادخال البيانات'!$N$3:$N$1164)-1)/7)+1 = VALUE($B$11))),
            'ادخال البيانات'!$G$3:$G$1164
         ),
         ""
      ),
      IF(_xlpm.result="", "", _xlpm.result)
   )
)</f>
        <v/>
      </c>
      <c r="H735" s="27" t="str" cm="1">
        <f t="array" ref="H735">IF(
   A735="",
   "",
   _xlfn.LET(
      _xlpm.result,
      IFERROR(
         _xlfn.XLOOKUP(
            1,
            (Table8[رقم الصنف]=A735) *
            (IF($B$9="الكل",1, YEAR('ادخال البيانات'!$N$3:$N$1164)=VALUE($B$9))) *
            (IF($B$10="الكل",1, MONTH('ادخال البيانات'!$N$3:$N$1164)=VALUE($B$10))) *
            (IF($B$11="الكل",1, INT((DAY('ادخال البيانات'!$N$3:$N$1164)-1)/7)+1 = VALUE($B$11))),
            'ادخال البيانات'!$H$3:$H$1164
         ),
         ""
      ),
      IF(_xlpm.result="", "", _xlpm.result)
   )
)</f>
        <v/>
      </c>
      <c r="I735" s="27" t="str" cm="1">
        <f t="array" ref="I735">IF(
   A735="",
   "",
   _xlfn.LET(
      _xlpm.result,
      IFERROR(
         _xlfn.XLOOKUP(
            1,
            (Table8[رقم الصنف]=A735) *
            (IF($B$9="الكل",1, YEAR('ادخال البيانات'!$N$3:$N$1164)=VALUE($B$9))) *
            (IF($B$10="الكل",1, MONTH('ادخال البيانات'!$N$3:$N$1164)=VALUE($B$10))) *
            (IF($B$11="الكل",1, INT((DAY('ادخال البيانات'!$N$3:$N$1164)-1)/7)+1 = VALUE($B$11))),
            'ادخال البيانات'!$I$3:$I$1164
         ),
         ""
      ),
      IF(_xlpm.result="", "", _xlpm.result)
   )
)</f>
        <v/>
      </c>
      <c r="J735" s="27" t="str" cm="1">
        <f t="array" ref="J735">IF(
   A735="",
   "",
   _xlfn.LET(
      _xlpm.result,
      IFERROR(
         _xlfn.XLOOKUP(
            1,
            (Table8[رقم الصنف]=A735) *
            (IF($B$9="الكل",1, YEAR('ادخال البيانات'!$N$3:$N$1164)=VALUE($B$9))) *
            (IF($B$10="الكل",1, MONTH('ادخال البيانات'!$N$3:$N$1164)=VALUE($B$10))) *
            (IF($B$11="الكل",1, INT((DAY('ادخال البيانات'!$N$3:$N$1164)-1)/7)+1 = VALUE($B$11))),
            'ادخال البيانات'!$J$3:$J$1164
         ),
         ""
      ),
      IF(_xlpm.result="", "", _xlpm.result)
   )
)</f>
        <v/>
      </c>
      <c r="K735" s="27" t="str" cm="1">
        <f t="array" ref="K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5" s="27" t="str" cm="1">
        <f t="array" ref="L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5" s="27" t="str" cm="1">
        <f t="array" ref="M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5" s="28" t="str" cm="1">
        <f t="array" ref="N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5" s="28" t="str" cm="1">
        <f t="array" ref="O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5" s="27" t="str" cm="1">
        <f t="array" ref="P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Table8[جهة العطل]
         ),
         ""
      ),
      IF(_xlpm.result="", "", _xlpm.result)
   )
)</f>
        <v/>
      </c>
      <c r="Q735" s="27" t="str" cm="1">
        <f t="array" ref="Q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Table8[المركز]
         ),
         ""
      ),
      IF(_xlpm.result="", "", _xlpm.result)
   )
)</f>
        <v/>
      </c>
      <c r="R735" s="27" t="str" cm="1">
        <f t="array" ref="R735">IF(
   A735="",
   "",
   _xlfn.LET(
      _xlpm.result,
      IFERROR(
         _xlfn.XLOOKUP(
            1,
            (Table8[رقم الصنف]=A735) *
            (IF($B$9="الكل",1, YEAR('ادخال البيانات'!$N$3:$N$1164) = VALUE($B$9))) *
            (IF($B$10="الكل",1, MONTH('ادخال البيانات'!$N$3:$N$1164) = VALUE($B$10))) *
            (IF($B$11="الكل",1, INT((DAY('ادخال البيانات'!$N$3:$N$1164) - 1) / 7) + 1 = VALUE($B$11))),
            Table8[ملاحظة]
         ),
         ""
      ),
      IF(_xlpm.result="", "", _xlpm.result)
   )
)</f>
        <v/>
      </c>
      <c r="S735" s="46" t="str">
        <f t="shared" ca="1" si="12"/>
        <v/>
      </c>
    </row>
    <row r="736" spans="1:19" ht="15.6" thickTop="1" thickBot="1" x14ac:dyDescent="0.35">
      <c r="A736" s="39"/>
      <c r="B736" s="27" t="str" cm="1">
        <f t="array" ref="B736">IF(
   OR(A736="", $B$9="", $B$10="", $B$11=""),
   "",
   _xlfn.LET(
      _xlpm.result,
      IFERROR(
         _xlfn.XLOOKUP(
            1,
            (Table8[رقم الصنف]=A736)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6" s="27" t="str" cm="1">
        <f t="array" ref="C736">IF(
   A736="",
   "",
   _xlfn.LET(
      _xlpm.result,
      IFERROR(
         _xlfn.XLOOKUP(
            1,
            (Table8[رقم الصنف]=A736) *
            (IF($B$9="الكل",1, YEAR('ادخال البيانات'!$N$3:$N$1164) = VALUE($B$9))) *
            (IF($B$10="الكل",1, MONTH('ادخال البيانات'!$N$3:$N$1164) = VALUE($B$10))) *
            (IF($B$11="الكل",1, INT((DAY('ادخال البيانات'!$N$3:$N$1164)-1)/7)+1 = VALUE($B$11))),
            'ادخال البيانات'!$C$3:$C$1164
         ),
         ""
      ),
      IF(_xlpm.result="", "", _xlpm.result)
   )
)</f>
        <v/>
      </c>
      <c r="D736" s="27" t="str" cm="1">
        <f t="array" ref="D736">IF(
   OR(A736="", $B$9="", $B$10="", $B$11=""),
   "",
   _xlfn.LET(
      _xlpm.result,
      IFERROR(
         _xlfn.XLOOKUP(
            1,
            (Table8[رقم الصنف]=A736) *
            (IF($B$9="الكل",1, YEAR('ادخال البيانات'!$N$3:$N$1164)=VALUE($B$9))) *
            (IF($B$10="الكل",1, MONTH('ادخال البيانات'!$N$3:$N$1164)=VALUE($B$10))) *
            (IF($B$11="الكل",1, INT((DAY('ادخال البيانات'!$N$3:$N$1164)-1)/7)+1 = VALUE($B$11))),
            'ادخال البيانات'!$D$3:$D$1164
         ),
         ""
      ),
      IF(_xlpm.result="", "", _xlpm.result)
   )
)</f>
        <v/>
      </c>
      <c r="E736" s="27" t="str" cm="1">
        <f t="array" ref="E736">IF(
   A736="",
   "",
   _xlfn.LET(
      _xlpm.result,
      IFERROR(
         _xlfn.XLOOKUP(
            1,
            (Table8[رقم الصنف]=A736) *
            (IF($B$9="الكل",1, YEAR('ادخال البيانات'!$N$3:$N$1164)=VALUE($B$9))) *
            (IF($B$10="الكل",1, MONTH('ادخال البيانات'!$N$3:$N$1164)=VALUE($B$10))) *
            (IF($B$11="الكل",1, INT((DAY('ادخال البيانات'!$N$3:$N$1164)-1)/7)+1 = VALUE($B$11))),
            'ادخال البيانات'!$E$3:$E$1164
         ),
         ""
      ),
      IF(_xlpm.result="", "", _xlpm.result)
   )
)</f>
        <v/>
      </c>
      <c r="F736" s="27" t="str" cm="1">
        <f t="array" ref="F736">IF(
   A736="",
   "",
   _xlfn.LET(
      _xlpm.result,
      IFERROR(
         _xlfn.XLOOKUP(
            1,
            (Table8[رقم الصنف]=A736) *
            (IF($B$9="الكل",1, YEAR('ادخال البيانات'!$N$3:$N$1164) = VALUE($B$9))) *
            (IF($B$10="الكل",1, MONTH('ادخال البيانات'!$N$3:$N$1164) = VALUE($B$10))) *
            (IF($B$11="الكل",1, INT((DAY('ادخال البيانات'!$N$3:$N$1164)-1)/7)+1 = VALUE($B$11))),
            'ادخال البيانات'!$F$3:$F$1164
         ),
         ""
      ),
      IF(_xlpm.result="", "", _xlpm.result)
   )
)</f>
        <v/>
      </c>
      <c r="G736" s="27" t="str" cm="1">
        <f t="array" ref="G736">IF(
   A736="",
   "",
   _xlfn.LET(
      _xlpm.result,
      IFERROR(
         _xlfn.XLOOKUP(
            1,
            (Table8[رقم الصنف]=A736) *
            (IF($B$9="الكل",1, YEAR('ادخال البيانات'!$N$3:$N$1164)=VALUE($B$9))) *
            (IF($B$10="الكل",1, MONTH('ادخال البيانات'!$N$3:$N$1164)=VALUE($B$10))) *
            (IF($B$11="الكل",1, INT((DAY('ادخال البيانات'!$N$3:$N$1164)-1)/7)+1 = VALUE($B$11))),
            'ادخال البيانات'!$G$3:$G$1164
         ),
         ""
      ),
      IF(_xlpm.result="", "", _xlpm.result)
   )
)</f>
        <v/>
      </c>
      <c r="H736" s="27" t="str" cm="1">
        <f t="array" ref="H736">IF(
   A736="",
   "",
   _xlfn.LET(
      _xlpm.result,
      IFERROR(
         _xlfn.XLOOKUP(
            1,
            (Table8[رقم الصنف]=A736) *
            (IF($B$9="الكل",1, YEAR('ادخال البيانات'!$N$3:$N$1164)=VALUE($B$9))) *
            (IF($B$10="الكل",1, MONTH('ادخال البيانات'!$N$3:$N$1164)=VALUE($B$10))) *
            (IF($B$11="الكل",1, INT((DAY('ادخال البيانات'!$N$3:$N$1164)-1)/7)+1 = VALUE($B$11))),
            'ادخال البيانات'!$H$3:$H$1164
         ),
         ""
      ),
      IF(_xlpm.result="", "", _xlpm.result)
   )
)</f>
        <v/>
      </c>
      <c r="I736" s="27" t="str" cm="1">
        <f t="array" ref="I736">IF(
   A736="",
   "",
   _xlfn.LET(
      _xlpm.result,
      IFERROR(
         _xlfn.XLOOKUP(
            1,
            (Table8[رقم الصنف]=A736) *
            (IF($B$9="الكل",1, YEAR('ادخال البيانات'!$N$3:$N$1164)=VALUE($B$9))) *
            (IF($B$10="الكل",1, MONTH('ادخال البيانات'!$N$3:$N$1164)=VALUE($B$10))) *
            (IF($B$11="الكل",1, INT((DAY('ادخال البيانات'!$N$3:$N$1164)-1)/7)+1 = VALUE($B$11))),
            'ادخال البيانات'!$I$3:$I$1164
         ),
         ""
      ),
      IF(_xlpm.result="", "", _xlpm.result)
   )
)</f>
        <v/>
      </c>
      <c r="J736" s="27" t="str" cm="1">
        <f t="array" ref="J736">IF(
   A736="",
   "",
   _xlfn.LET(
      _xlpm.result,
      IFERROR(
         _xlfn.XLOOKUP(
            1,
            (Table8[رقم الصنف]=A736) *
            (IF($B$9="الكل",1, YEAR('ادخال البيانات'!$N$3:$N$1164)=VALUE($B$9))) *
            (IF($B$10="الكل",1, MONTH('ادخال البيانات'!$N$3:$N$1164)=VALUE($B$10))) *
            (IF($B$11="الكل",1, INT((DAY('ادخال البيانات'!$N$3:$N$1164)-1)/7)+1 = VALUE($B$11))),
            'ادخال البيانات'!$J$3:$J$1164
         ),
         ""
      ),
      IF(_xlpm.result="", "", _xlpm.result)
   )
)</f>
        <v/>
      </c>
      <c r="K736" s="27" t="str" cm="1">
        <f t="array" ref="K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6" s="27" t="str" cm="1">
        <f t="array" ref="L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6" s="27" t="str" cm="1">
        <f t="array" ref="M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6" s="28" t="str" cm="1">
        <f t="array" ref="N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6" s="28" t="str" cm="1">
        <f t="array" ref="O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6" s="27" t="str" cm="1">
        <f t="array" ref="P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Table8[جهة العطل]
         ),
         ""
      ),
      IF(_xlpm.result="", "", _xlpm.result)
   )
)</f>
        <v/>
      </c>
      <c r="Q736" s="27" t="str" cm="1">
        <f t="array" ref="Q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Table8[المركز]
         ),
         ""
      ),
      IF(_xlpm.result="", "", _xlpm.result)
   )
)</f>
        <v/>
      </c>
      <c r="R736" s="27" t="str" cm="1">
        <f t="array" ref="R736">IF(
   A736="",
   "",
   _xlfn.LET(
      _xlpm.result,
      IFERROR(
         _xlfn.XLOOKUP(
            1,
            (Table8[رقم الصنف]=A736) *
            (IF($B$9="الكل",1, YEAR('ادخال البيانات'!$N$3:$N$1164) = VALUE($B$9))) *
            (IF($B$10="الكل",1, MONTH('ادخال البيانات'!$N$3:$N$1164) = VALUE($B$10))) *
            (IF($B$11="الكل",1, INT((DAY('ادخال البيانات'!$N$3:$N$1164) - 1) / 7) + 1 = VALUE($B$11))),
            Table8[ملاحظة]
         ),
         ""
      ),
      IF(_xlpm.result="", "", _xlpm.result)
   )
)</f>
        <v/>
      </c>
      <c r="S736" s="46" t="str">
        <f t="shared" ca="1" si="12"/>
        <v/>
      </c>
    </row>
    <row r="737" spans="1:19" ht="15.6" thickTop="1" thickBot="1" x14ac:dyDescent="0.35">
      <c r="A737" s="39"/>
      <c r="B737" s="27" t="str" cm="1">
        <f t="array" ref="B737">IF(
   OR(A737="", $B$9="", $B$10="", $B$11=""),
   "",
   _xlfn.LET(
      _xlpm.result,
      IFERROR(
         _xlfn.XLOOKUP(
            1,
            (Table8[رقم الصنف]=A737)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7" s="27" t="str" cm="1">
        <f t="array" ref="C737">IF(
   A737="",
   "",
   _xlfn.LET(
      _xlpm.result,
      IFERROR(
         _xlfn.XLOOKUP(
            1,
            (Table8[رقم الصنف]=A737) *
            (IF($B$9="الكل",1, YEAR('ادخال البيانات'!$N$3:$N$1164) = VALUE($B$9))) *
            (IF($B$10="الكل",1, MONTH('ادخال البيانات'!$N$3:$N$1164) = VALUE($B$10))) *
            (IF($B$11="الكل",1, INT((DAY('ادخال البيانات'!$N$3:$N$1164)-1)/7)+1 = VALUE($B$11))),
            'ادخال البيانات'!$C$3:$C$1164
         ),
         ""
      ),
      IF(_xlpm.result="", "", _xlpm.result)
   )
)</f>
        <v/>
      </c>
      <c r="D737" s="27" t="str" cm="1">
        <f t="array" ref="D737">IF(
   OR(A737="", $B$9="", $B$10="", $B$11=""),
   "",
   _xlfn.LET(
      _xlpm.result,
      IFERROR(
         _xlfn.XLOOKUP(
            1,
            (Table8[رقم الصنف]=A737) *
            (IF($B$9="الكل",1, YEAR('ادخال البيانات'!$N$3:$N$1164)=VALUE($B$9))) *
            (IF($B$10="الكل",1, MONTH('ادخال البيانات'!$N$3:$N$1164)=VALUE($B$10))) *
            (IF($B$11="الكل",1, INT((DAY('ادخال البيانات'!$N$3:$N$1164)-1)/7)+1 = VALUE($B$11))),
            'ادخال البيانات'!$D$3:$D$1164
         ),
         ""
      ),
      IF(_xlpm.result="", "", _xlpm.result)
   )
)</f>
        <v/>
      </c>
      <c r="E737" s="27" t="str" cm="1">
        <f t="array" ref="E737">IF(
   A737="",
   "",
   _xlfn.LET(
      _xlpm.result,
      IFERROR(
         _xlfn.XLOOKUP(
            1,
            (Table8[رقم الصنف]=A737) *
            (IF($B$9="الكل",1, YEAR('ادخال البيانات'!$N$3:$N$1164)=VALUE($B$9))) *
            (IF($B$10="الكل",1, MONTH('ادخال البيانات'!$N$3:$N$1164)=VALUE($B$10))) *
            (IF($B$11="الكل",1, INT((DAY('ادخال البيانات'!$N$3:$N$1164)-1)/7)+1 = VALUE($B$11))),
            'ادخال البيانات'!$E$3:$E$1164
         ),
         ""
      ),
      IF(_xlpm.result="", "", _xlpm.result)
   )
)</f>
        <v/>
      </c>
      <c r="F737" s="27" t="str" cm="1">
        <f t="array" ref="F737">IF(
   A737="",
   "",
   _xlfn.LET(
      _xlpm.result,
      IFERROR(
         _xlfn.XLOOKUP(
            1,
            (Table8[رقم الصنف]=A737) *
            (IF($B$9="الكل",1, YEAR('ادخال البيانات'!$N$3:$N$1164) = VALUE($B$9))) *
            (IF($B$10="الكل",1, MONTH('ادخال البيانات'!$N$3:$N$1164) = VALUE($B$10))) *
            (IF($B$11="الكل",1, INT((DAY('ادخال البيانات'!$N$3:$N$1164)-1)/7)+1 = VALUE($B$11))),
            'ادخال البيانات'!$F$3:$F$1164
         ),
         ""
      ),
      IF(_xlpm.result="", "", _xlpm.result)
   )
)</f>
        <v/>
      </c>
      <c r="G737" s="27" t="str" cm="1">
        <f t="array" ref="G737">IF(
   A737="",
   "",
   _xlfn.LET(
      _xlpm.result,
      IFERROR(
         _xlfn.XLOOKUP(
            1,
            (Table8[رقم الصنف]=A737) *
            (IF($B$9="الكل",1, YEAR('ادخال البيانات'!$N$3:$N$1164)=VALUE($B$9))) *
            (IF($B$10="الكل",1, MONTH('ادخال البيانات'!$N$3:$N$1164)=VALUE($B$10))) *
            (IF($B$11="الكل",1, INT((DAY('ادخال البيانات'!$N$3:$N$1164)-1)/7)+1 = VALUE($B$11))),
            'ادخال البيانات'!$G$3:$G$1164
         ),
         ""
      ),
      IF(_xlpm.result="", "", _xlpm.result)
   )
)</f>
        <v/>
      </c>
      <c r="H737" s="27" t="str" cm="1">
        <f t="array" ref="H737">IF(
   A737="",
   "",
   _xlfn.LET(
      _xlpm.result,
      IFERROR(
         _xlfn.XLOOKUP(
            1,
            (Table8[رقم الصنف]=A737) *
            (IF($B$9="الكل",1, YEAR('ادخال البيانات'!$N$3:$N$1164)=VALUE($B$9))) *
            (IF($B$10="الكل",1, MONTH('ادخال البيانات'!$N$3:$N$1164)=VALUE($B$10))) *
            (IF($B$11="الكل",1, INT((DAY('ادخال البيانات'!$N$3:$N$1164)-1)/7)+1 = VALUE($B$11))),
            'ادخال البيانات'!$H$3:$H$1164
         ),
         ""
      ),
      IF(_xlpm.result="", "", _xlpm.result)
   )
)</f>
        <v/>
      </c>
      <c r="I737" s="27" t="str" cm="1">
        <f t="array" ref="I737">IF(
   A737="",
   "",
   _xlfn.LET(
      _xlpm.result,
      IFERROR(
         _xlfn.XLOOKUP(
            1,
            (Table8[رقم الصنف]=A737) *
            (IF($B$9="الكل",1, YEAR('ادخال البيانات'!$N$3:$N$1164)=VALUE($B$9))) *
            (IF($B$10="الكل",1, MONTH('ادخال البيانات'!$N$3:$N$1164)=VALUE($B$10))) *
            (IF($B$11="الكل",1, INT((DAY('ادخال البيانات'!$N$3:$N$1164)-1)/7)+1 = VALUE($B$11))),
            'ادخال البيانات'!$I$3:$I$1164
         ),
         ""
      ),
      IF(_xlpm.result="", "", _xlpm.result)
   )
)</f>
        <v/>
      </c>
      <c r="J737" s="27" t="str" cm="1">
        <f t="array" ref="J737">IF(
   A737="",
   "",
   _xlfn.LET(
      _xlpm.result,
      IFERROR(
         _xlfn.XLOOKUP(
            1,
            (Table8[رقم الصنف]=A737) *
            (IF($B$9="الكل",1, YEAR('ادخال البيانات'!$N$3:$N$1164)=VALUE($B$9))) *
            (IF($B$10="الكل",1, MONTH('ادخال البيانات'!$N$3:$N$1164)=VALUE($B$10))) *
            (IF($B$11="الكل",1, INT((DAY('ادخال البيانات'!$N$3:$N$1164)-1)/7)+1 = VALUE($B$11))),
            'ادخال البيانات'!$J$3:$J$1164
         ),
         ""
      ),
      IF(_xlpm.result="", "", _xlpm.result)
   )
)</f>
        <v/>
      </c>
      <c r="K737" s="27" t="str" cm="1">
        <f t="array" ref="K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7" s="27" t="str" cm="1">
        <f t="array" ref="L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7" s="27" t="str" cm="1">
        <f t="array" ref="M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7" s="28" t="str" cm="1">
        <f t="array" ref="N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7" s="28" t="str" cm="1">
        <f t="array" ref="O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7" s="27" t="str" cm="1">
        <f t="array" ref="P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Table8[جهة العطل]
         ),
         ""
      ),
      IF(_xlpm.result="", "", _xlpm.result)
   )
)</f>
        <v/>
      </c>
      <c r="Q737" s="27" t="str" cm="1">
        <f t="array" ref="Q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Table8[المركز]
         ),
         ""
      ),
      IF(_xlpm.result="", "", _xlpm.result)
   )
)</f>
        <v/>
      </c>
      <c r="R737" s="27" t="str" cm="1">
        <f t="array" ref="R737">IF(
   A737="",
   "",
   _xlfn.LET(
      _xlpm.result,
      IFERROR(
         _xlfn.XLOOKUP(
            1,
            (Table8[رقم الصنف]=A737) *
            (IF($B$9="الكل",1, YEAR('ادخال البيانات'!$N$3:$N$1164) = VALUE($B$9))) *
            (IF($B$10="الكل",1, MONTH('ادخال البيانات'!$N$3:$N$1164) = VALUE($B$10))) *
            (IF($B$11="الكل",1, INT((DAY('ادخال البيانات'!$N$3:$N$1164) - 1) / 7) + 1 = VALUE($B$11))),
            Table8[ملاحظة]
         ),
         ""
      ),
      IF(_xlpm.result="", "", _xlpm.result)
   )
)</f>
        <v/>
      </c>
      <c r="S737" s="46" t="str">
        <f t="shared" ca="1" si="12"/>
        <v/>
      </c>
    </row>
    <row r="738" spans="1:19" ht="15.6" thickTop="1" thickBot="1" x14ac:dyDescent="0.35">
      <c r="A738" s="39"/>
      <c r="B738" s="27" t="str" cm="1">
        <f t="array" ref="B738">IF(
   OR(A738="", $B$9="", $B$10="", $B$11=""),
   "",
   _xlfn.LET(
      _xlpm.result,
      IFERROR(
         _xlfn.XLOOKUP(
            1,
            (Table8[رقم الصنف]=A738)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8" s="27" t="str" cm="1">
        <f t="array" ref="C738">IF(
   A738="",
   "",
   _xlfn.LET(
      _xlpm.result,
      IFERROR(
         _xlfn.XLOOKUP(
            1,
            (Table8[رقم الصنف]=A738) *
            (IF($B$9="الكل",1, YEAR('ادخال البيانات'!$N$3:$N$1164) = VALUE($B$9))) *
            (IF($B$10="الكل",1, MONTH('ادخال البيانات'!$N$3:$N$1164) = VALUE($B$10))) *
            (IF($B$11="الكل",1, INT((DAY('ادخال البيانات'!$N$3:$N$1164)-1)/7)+1 = VALUE($B$11))),
            'ادخال البيانات'!$C$3:$C$1164
         ),
         ""
      ),
      IF(_xlpm.result="", "", _xlpm.result)
   )
)</f>
        <v/>
      </c>
      <c r="D738" s="27" t="str" cm="1">
        <f t="array" ref="D738">IF(
   OR(A738="", $B$9="", $B$10="", $B$11=""),
   "",
   _xlfn.LET(
      _xlpm.result,
      IFERROR(
         _xlfn.XLOOKUP(
            1,
            (Table8[رقم الصنف]=A738) *
            (IF($B$9="الكل",1, YEAR('ادخال البيانات'!$N$3:$N$1164)=VALUE($B$9))) *
            (IF($B$10="الكل",1, MONTH('ادخال البيانات'!$N$3:$N$1164)=VALUE($B$10))) *
            (IF($B$11="الكل",1, INT((DAY('ادخال البيانات'!$N$3:$N$1164)-1)/7)+1 = VALUE($B$11))),
            'ادخال البيانات'!$D$3:$D$1164
         ),
         ""
      ),
      IF(_xlpm.result="", "", _xlpm.result)
   )
)</f>
        <v/>
      </c>
      <c r="E738" s="27" t="str" cm="1">
        <f t="array" ref="E738">IF(
   A738="",
   "",
   _xlfn.LET(
      _xlpm.result,
      IFERROR(
         _xlfn.XLOOKUP(
            1,
            (Table8[رقم الصنف]=A738) *
            (IF($B$9="الكل",1, YEAR('ادخال البيانات'!$N$3:$N$1164)=VALUE($B$9))) *
            (IF($B$10="الكل",1, MONTH('ادخال البيانات'!$N$3:$N$1164)=VALUE($B$10))) *
            (IF($B$11="الكل",1, INT((DAY('ادخال البيانات'!$N$3:$N$1164)-1)/7)+1 = VALUE($B$11))),
            'ادخال البيانات'!$E$3:$E$1164
         ),
         ""
      ),
      IF(_xlpm.result="", "", _xlpm.result)
   )
)</f>
        <v/>
      </c>
      <c r="F738" s="27" t="str" cm="1">
        <f t="array" ref="F738">IF(
   A738="",
   "",
   _xlfn.LET(
      _xlpm.result,
      IFERROR(
         _xlfn.XLOOKUP(
            1,
            (Table8[رقم الصنف]=A738) *
            (IF($B$9="الكل",1, YEAR('ادخال البيانات'!$N$3:$N$1164) = VALUE($B$9))) *
            (IF($B$10="الكل",1, MONTH('ادخال البيانات'!$N$3:$N$1164) = VALUE($B$10))) *
            (IF($B$11="الكل",1, INT((DAY('ادخال البيانات'!$N$3:$N$1164)-1)/7)+1 = VALUE($B$11))),
            'ادخال البيانات'!$F$3:$F$1164
         ),
         ""
      ),
      IF(_xlpm.result="", "", _xlpm.result)
   )
)</f>
        <v/>
      </c>
      <c r="G738" s="27" t="str" cm="1">
        <f t="array" ref="G738">IF(
   A738="",
   "",
   _xlfn.LET(
      _xlpm.result,
      IFERROR(
         _xlfn.XLOOKUP(
            1,
            (Table8[رقم الصنف]=A738) *
            (IF($B$9="الكل",1, YEAR('ادخال البيانات'!$N$3:$N$1164)=VALUE($B$9))) *
            (IF($B$10="الكل",1, MONTH('ادخال البيانات'!$N$3:$N$1164)=VALUE($B$10))) *
            (IF($B$11="الكل",1, INT((DAY('ادخال البيانات'!$N$3:$N$1164)-1)/7)+1 = VALUE($B$11))),
            'ادخال البيانات'!$G$3:$G$1164
         ),
         ""
      ),
      IF(_xlpm.result="", "", _xlpm.result)
   )
)</f>
        <v/>
      </c>
      <c r="H738" s="27" t="str" cm="1">
        <f t="array" ref="H738">IF(
   A738="",
   "",
   _xlfn.LET(
      _xlpm.result,
      IFERROR(
         _xlfn.XLOOKUP(
            1,
            (Table8[رقم الصنف]=A738) *
            (IF($B$9="الكل",1, YEAR('ادخال البيانات'!$N$3:$N$1164)=VALUE($B$9))) *
            (IF($B$10="الكل",1, MONTH('ادخال البيانات'!$N$3:$N$1164)=VALUE($B$10))) *
            (IF($B$11="الكل",1, INT((DAY('ادخال البيانات'!$N$3:$N$1164)-1)/7)+1 = VALUE($B$11))),
            'ادخال البيانات'!$H$3:$H$1164
         ),
         ""
      ),
      IF(_xlpm.result="", "", _xlpm.result)
   )
)</f>
        <v/>
      </c>
      <c r="I738" s="27" t="str" cm="1">
        <f t="array" ref="I738">IF(
   A738="",
   "",
   _xlfn.LET(
      _xlpm.result,
      IFERROR(
         _xlfn.XLOOKUP(
            1,
            (Table8[رقم الصنف]=A738) *
            (IF($B$9="الكل",1, YEAR('ادخال البيانات'!$N$3:$N$1164)=VALUE($B$9))) *
            (IF($B$10="الكل",1, MONTH('ادخال البيانات'!$N$3:$N$1164)=VALUE($B$10))) *
            (IF($B$11="الكل",1, INT((DAY('ادخال البيانات'!$N$3:$N$1164)-1)/7)+1 = VALUE($B$11))),
            'ادخال البيانات'!$I$3:$I$1164
         ),
         ""
      ),
      IF(_xlpm.result="", "", _xlpm.result)
   )
)</f>
        <v/>
      </c>
      <c r="J738" s="27" t="str" cm="1">
        <f t="array" ref="J738">IF(
   A738="",
   "",
   _xlfn.LET(
      _xlpm.result,
      IFERROR(
         _xlfn.XLOOKUP(
            1,
            (Table8[رقم الصنف]=A738) *
            (IF($B$9="الكل",1, YEAR('ادخال البيانات'!$N$3:$N$1164)=VALUE($B$9))) *
            (IF($B$10="الكل",1, MONTH('ادخال البيانات'!$N$3:$N$1164)=VALUE($B$10))) *
            (IF($B$11="الكل",1, INT((DAY('ادخال البيانات'!$N$3:$N$1164)-1)/7)+1 = VALUE($B$11))),
            'ادخال البيانات'!$J$3:$J$1164
         ),
         ""
      ),
      IF(_xlpm.result="", "", _xlpm.result)
   )
)</f>
        <v/>
      </c>
      <c r="K738" s="27" t="str" cm="1">
        <f t="array" ref="K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8" s="27" t="str" cm="1">
        <f t="array" ref="L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8" s="27" t="str" cm="1">
        <f t="array" ref="M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8" s="28" t="str" cm="1">
        <f t="array" ref="N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8" s="28" t="str" cm="1">
        <f t="array" ref="O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8" s="27" t="str" cm="1">
        <f t="array" ref="P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Table8[جهة العطل]
         ),
         ""
      ),
      IF(_xlpm.result="", "", _xlpm.result)
   )
)</f>
        <v/>
      </c>
      <c r="Q738" s="27" t="str" cm="1">
        <f t="array" ref="Q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Table8[المركز]
         ),
         ""
      ),
      IF(_xlpm.result="", "", _xlpm.result)
   )
)</f>
        <v/>
      </c>
      <c r="R738" s="27" t="str" cm="1">
        <f t="array" ref="R738">IF(
   A738="",
   "",
   _xlfn.LET(
      _xlpm.result,
      IFERROR(
         _xlfn.XLOOKUP(
            1,
            (Table8[رقم الصنف]=A738) *
            (IF($B$9="الكل",1, YEAR('ادخال البيانات'!$N$3:$N$1164) = VALUE($B$9))) *
            (IF($B$10="الكل",1, MONTH('ادخال البيانات'!$N$3:$N$1164) = VALUE($B$10))) *
            (IF($B$11="الكل",1, INT((DAY('ادخال البيانات'!$N$3:$N$1164) - 1) / 7) + 1 = VALUE($B$11))),
            Table8[ملاحظة]
         ),
         ""
      ),
      IF(_xlpm.result="", "", _xlpm.result)
   )
)</f>
        <v/>
      </c>
      <c r="S738" s="46" t="str">
        <f t="shared" ca="1" si="12"/>
        <v/>
      </c>
    </row>
    <row r="739" spans="1:19" ht="15.6" thickTop="1" thickBot="1" x14ac:dyDescent="0.35">
      <c r="A739" s="39"/>
      <c r="B739" s="27" t="str" cm="1">
        <f t="array" ref="B739">IF(
   OR(A739="", $B$9="", $B$10="", $B$11=""),
   "",
   _xlfn.LET(
      _xlpm.result,
      IFERROR(
         _xlfn.XLOOKUP(
            1,
            (Table8[رقم الصنف]=A739)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39" s="27" t="str" cm="1">
        <f t="array" ref="C739">IF(
   A739="",
   "",
   _xlfn.LET(
      _xlpm.result,
      IFERROR(
         _xlfn.XLOOKUP(
            1,
            (Table8[رقم الصنف]=A739) *
            (IF($B$9="الكل",1, YEAR('ادخال البيانات'!$N$3:$N$1164) = VALUE($B$9))) *
            (IF($B$10="الكل",1, MONTH('ادخال البيانات'!$N$3:$N$1164) = VALUE($B$10))) *
            (IF($B$11="الكل",1, INT((DAY('ادخال البيانات'!$N$3:$N$1164)-1)/7)+1 = VALUE($B$11))),
            'ادخال البيانات'!$C$3:$C$1164
         ),
         ""
      ),
      IF(_xlpm.result="", "", _xlpm.result)
   )
)</f>
        <v/>
      </c>
      <c r="D739" s="27" t="str" cm="1">
        <f t="array" ref="D739">IF(
   OR(A739="", $B$9="", $B$10="", $B$11=""),
   "",
   _xlfn.LET(
      _xlpm.result,
      IFERROR(
         _xlfn.XLOOKUP(
            1,
            (Table8[رقم الصنف]=A739) *
            (IF($B$9="الكل",1, YEAR('ادخال البيانات'!$N$3:$N$1164)=VALUE($B$9))) *
            (IF($B$10="الكل",1, MONTH('ادخال البيانات'!$N$3:$N$1164)=VALUE($B$10))) *
            (IF($B$11="الكل",1, INT((DAY('ادخال البيانات'!$N$3:$N$1164)-1)/7)+1 = VALUE($B$11))),
            'ادخال البيانات'!$D$3:$D$1164
         ),
         ""
      ),
      IF(_xlpm.result="", "", _xlpm.result)
   )
)</f>
        <v/>
      </c>
      <c r="E739" s="27" t="str" cm="1">
        <f t="array" ref="E739">IF(
   A739="",
   "",
   _xlfn.LET(
      _xlpm.result,
      IFERROR(
         _xlfn.XLOOKUP(
            1,
            (Table8[رقم الصنف]=A739) *
            (IF($B$9="الكل",1, YEAR('ادخال البيانات'!$N$3:$N$1164)=VALUE($B$9))) *
            (IF($B$10="الكل",1, MONTH('ادخال البيانات'!$N$3:$N$1164)=VALUE($B$10))) *
            (IF($B$11="الكل",1, INT((DAY('ادخال البيانات'!$N$3:$N$1164)-1)/7)+1 = VALUE($B$11))),
            'ادخال البيانات'!$E$3:$E$1164
         ),
         ""
      ),
      IF(_xlpm.result="", "", _xlpm.result)
   )
)</f>
        <v/>
      </c>
      <c r="F739" s="27" t="str" cm="1">
        <f t="array" ref="F739">IF(
   A739="",
   "",
   _xlfn.LET(
      _xlpm.result,
      IFERROR(
         _xlfn.XLOOKUP(
            1,
            (Table8[رقم الصنف]=A739) *
            (IF($B$9="الكل",1, YEAR('ادخال البيانات'!$N$3:$N$1164) = VALUE($B$9))) *
            (IF($B$10="الكل",1, MONTH('ادخال البيانات'!$N$3:$N$1164) = VALUE($B$10))) *
            (IF($B$11="الكل",1, INT((DAY('ادخال البيانات'!$N$3:$N$1164)-1)/7)+1 = VALUE($B$11))),
            'ادخال البيانات'!$F$3:$F$1164
         ),
         ""
      ),
      IF(_xlpm.result="", "", _xlpm.result)
   )
)</f>
        <v/>
      </c>
      <c r="G739" s="27" t="str" cm="1">
        <f t="array" ref="G739">IF(
   A739="",
   "",
   _xlfn.LET(
      _xlpm.result,
      IFERROR(
         _xlfn.XLOOKUP(
            1,
            (Table8[رقم الصنف]=A739) *
            (IF($B$9="الكل",1, YEAR('ادخال البيانات'!$N$3:$N$1164)=VALUE($B$9))) *
            (IF($B$10="الكل",1, MONTH('ادخال البيانات'!$N$3:$N$1164)=VALUE($B$10))) *
            (IF($B$11="الكل",1, INT((DAY('ادخال البيانات'!$N$3:$N$1164)-1)/7)+1 = VALUE($B$11))),
            'ادخال البيانات'!$G$3:$G$1164
         ),
         ""
      ),
      IF(_xlpm.result="", "", _xlpm.result)
   )
)</f>
        <v/>
      </c>
      <c r="H739" s="27" t="str" cm="1">
        <f t="array" ref="H739">IF(
   A739="",
   "",
   _xlfn.LET(
      _xlpm.result,
      IFERROR(
         _xlfn.XLOOKUP(
            1,
            (Table8[رقم الصنف]=A739) *
            (IF($B$9="الكل",1, YEAR('ادخال البيانات'!$N$3:$N$1164)=VALUE($B$9))) *
            (IF($B$10="الكل",1, MONTH('ادخال البيانات'!$N$3:$N$1164)=VALUE($B$10))) *
            (IF($B$11="الكل",1, INT((DAY('ادخال البيانات'!$N$3:$N$1164)-1)/7)+1 = VALUE($B$11))),
            'ادخال البيانات'!$H$3:$H$1164
         ),
         ""
      ),
      IF(_xlpm.result="", "", _xlpm.result)
   )
)</f>
        <v/>
      </c>
      <c r="I739" s="27" t="str" cm="1">
        <f t="array" ref="I739">IF(
   A739="",
   "",
   _xlfn.LET(
      _xlpm.result,
      IFERROR(
         _xlfn.XLOOKUP(
            1,
            (Table8[رقم الصنف]=A739) *
            (IF($B$9="الكل",1, YEAR('ادخال البيانات'!$N$3:$N$1164)=VALUE($B$9))) *
            (IF($B$10="الكل",1, MONTH('ادخال البيانات'!$N$3:$N$1164)=VALUE($B$10))) *
            (IF($B$11="الكل",1, INT((DAY('ادخال البيانات'!$N$3:$N$1164)-1)/7)+1 = VALUE($B$11))),
            'ادخال البيانات'!$I$3:$I$1164
         ),
         ""
      ),
      IF(_xlpm.result="", "", _xlpm.result)
   )
)</f>
        <v/>
      </c>
      <c r="J739" s="27" t="str" cm="1">
        <f t="array" ref="J739">IF(
   A739="",
   "",
   _xlfn.LET(
      _xlpm.result,
      IFERROR(
         _xlfn.XLOOKUP(
            1,
            (Table8[رقم الصنف]=A739) *
            (IF($B$9="الكل",1, YEAR('ادخال البيانات'!$N$3:$N$1164)=VALUE($B$9))) *
            (IF($B$10="الكل",1, MONTH('ادخال البيانات'!$N$3:$N$1164)=VALUE($B$10))) *
            (IF($B$11="الكل",1, INT((DAY('ادخال البيانات'!$N$3:$N$1164)-1)/7)+1 = VALUE($B$11))),
            'ادخال البيانات'!$J$3:$J$1164
         ),
         ""
      ),
      IF(_xlpm.result="", "", _xlpm.result)
   )
)</f>
        <v/>
      </c>
      <c r="K739" s="27" t="str" cm="1">
        <f t="array" ref="K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39" s="27" t="str" cm="1">
        <f t="array" ref="L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39" s="27" t="str" cm="1">
        <f t="array" ref="M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39" s="28" t="str" cm="1">
        <f t="array" ref="N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39" s="28" t="str" cm="1">
        <f t="array" ref="O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39" s="27" t="str" cm="1">
        <f t="array" ref="P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Table8[جهة العطل]
         ),
         ""
      ),
      IF(_xlpm.result="", "", _xlpm.result)
   )
)</f>
        <v/>
      </c>
      <c r="Q739" s="27" t="str" cm="1">
        <f t="array" ref="Q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Table8[المركز]
         ),
         ""
      ),
      IF(_xlpm.result="", "", _xlpm.result)
   )
)</f>
        <v/>
      </c>
      <c r="R739" s="27" t="str" cm="1">
        <f t="array" ref="R739">IF(
   A739="",
   "",
   _xlfn.LET(
      _xlpm.result,
      IFERROR(
         _xlfn.XLOOKUP(
            1,
            (Table8[رقم الصنف]=A739) *
            (IF($B$9="الكل",1, YEAR('ادخال البيانات'!$N$3:$N$1164) = VALUE($B$9))) *
            (IF($B$10="الكل",1, MONTH('ادخال البيانات'!$N$3:$N$1164) = VALUE($B$10))) *
            (IF($B$11="الكل",1, INT((DAY('ادخال البيانات'!$N$3:$N$1164) - 1) / 7) + 1 = VALUE($B$11))),
            Table8[ملاحظة]
         ),
         ""
      ),
      IF(_xlpm.result="", "", _xlpm.result)
   )
)</f>
        <v/>
      </c>
      <c r="S739" s="46" t="str">
        <f t="shared" ca="1" si="12"/>
        <v/>
      </c>
    </row>
    <row r="740" spans="1:19" ht="15.6" thickTop="1" thickBot="1" x14ac:dyDescent="0.35">
      <c r="A740" s="39"/>
      <c r="B740" s="27" t="str" cm="1">
        <f t="array" ref="B740">IF(
   OR(A740="", $B$9="", $B$10="", $B$11=""),
   "",
   _xlfn.LET(
      _xlpm.result,
      IFERROR(
         _xlfn.XLOOKUP(
            1,
            (Table8[رقم الصنف]=A740)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0" s="27" t="str" cm="1">
        <f t="array" ref="C740">IF(
   A740="",
   "",
   _xlfn.LET(
      _xlpm.result,
      IFERROR(
         _xlfn.XLOOKUP(
            1,
            (Table8[رقم الصنف]=A740) *
            (IF($B$9="الكل",1, YEAR('ادخال البيانات'!$N$3:$N$1164) = VALUE($B$9))) *
            (IF($B$10="الكل",1, MONTH('ادخال البيانات'!$N$3:$N$1164) = VALUE($B$10))) *
            (IF($B$11="الكل",1, INT((DAY('ادخال البيانات'!$N$3:$N$1164)-1)/7)+1 = VALUE($B$11))),
            'ادخال البيانات'!$C$3:$C$1164
         ),
         ""
      ),
      IF(_xlpm.result="", "", _xlpm.result)
   )
)</f>
        <v/>
      </c>
      <c r="D740" s="27" t="str" cm="1">
        <f t="array" ref="D740">IF(
   OR(A740="", $B$9="", $B$10="", $B$11=""),
   "",
   _xlfn.LET(
      _xlpm.result,
      IFERROR(
         _xlfn.XLOOKUP(
            1,
            (Table8[رقم الصنف]=A740) *
            (IF($B$9="الكل",1, YEAR('ادخال البيانات'!$N$3:$N$1164)=VALUE($B$9))) *
            (IF($B$10="الكل",1, MONTH('ادخال البيانات'!$N$3:$N$1164)=VALUE($B$10))) *
            (IF($B$11="الكل",1, INT((DAY('ادخال البيانات'!$N$3:$N$1164)-1)/7)+1 = VALUE($B$11))),
            'ادخال البيانات'!$D$3:$D$1164
         ),
         ""
      ),
      IF(_xlpm.result="", "", _xlpm.result)
   )
)</f>
        <v/>
      </c>
      <c r="E740" s="27" t="str" cm="1">
        <f t="array" ref="E740">IF(
   A740="",
   "",
   _xlfn.LET(
      _xlpm.result,
      IFERROR(
         _xlfn.XLOOKUP(
            1,
            (Table8[رقم الصنف]=A740) *
            (IF($B$9="الكل",1, YEAR('ادخال البيانات'!$N$3:$N$1164)=VALUE($B$9))) *
            (IF($B$10="الكل",1, MONTH('ادخال البيانات'!$N$3:$N$1164)=VALUE($B$10))) *
            (IF($B$11="الكل",1, INT((DAY('ادخال البيانات'!$N$3:$N$1164)-1)/7)+1 = VALUE($B$11))),
            'ادخال البيانات'!$E$3:$E$1164
         ),
         ""
      ),
      IF(_xlpm.result="", "", _xlpm.result)
   )
)</f>
        <v/>
      </c>
      <c r="F740" s="27" t="str" cm="1">
        <f t="array" ref="F740">IF(
   A740="",
   "",
   _xlfn.LET(
      _xlpm.result,
      IFERROR(
         _xlfn.XLOOKUP(
            1,
            (Table8[رقم الصنف]=A740) *
            (IF($B$9="الكل",1, YEAR('ادخال البيانات'!$N$3:$N$1164) = VALUE($B$9))) *
            (IF($B$10="الكل",1, MONTH('ادخال البيانات'!$N$3:$N$1164) = VALUE($B$10))) *
            (IF($B$11="الكل",1, INT((DAY('ادخال البيانات'!$N$3:$N$1164)-1)/7)+1 = VALUE($B$11))),
            'ادخال البيانات'!$F$3:$F$1164
         ),
         ""
      ),
      IF(_xlpm.result="", "", _xlpm.result)
   )
)</f>
        <v/>
      </c>
      <c r="G740" s="27" t="str" cm="1">
        <f t="array" ref="G740">IF(
   A740="",
   "",
   _xlfn.LET(
      _xlpm.result,
      IFERROR(
         _xlfn.XLOOKUP(
            1,
            (Table8[رقم الصنف]=A740) *
            (IF($B$9="الكل",1, YEAR('ادخال البيانات'!$N$3:$N$1164)=VALUE($B$9))) *
            (IF($B$10="الكل",1, MONTH('ادخال البيانات'!$N$3:$N$1164)=VALUE($B$10))) *
            (IF($B$11="الكل",1, INT((DAY('ادخال البيانات'!$N$3:$N$1164)-1)/7)+1 = VALUE($B$11))),
            'ادخال البيانات'!$G$3:$G$1164
         ),
         ""
      ),
      IF(_xlpm.result="", "", _xlpm.result)
   )
)</f>
        <v/>
      </c>
      <c r="H740" s="27" t="str" cm="1">
        <f t="array" ref="H740">IF(
   A740="",
   "",
   _xlfn.LET(
      _xlpm.result,
      IFERROR(
         _xlfn.XLOOKUP(
            1,
            (Table8[رقم الصنف]=A740) *
            (IF($B$9="الكل",1, YEAR('ادخال البيانات'!$N$3:$N$1164)=VALUE($B$9))) *
            (IF($B$10="الكل",1, MONTH('ادخال البيانات'!$N$3:$N$1164)=VALUE($B$10))) *
            (IF($B$11="الكل",1, INT((DAY('ادخال البيانات'!$N$3:$N$1164)-1)/7)+1 = VALUE($B$11))),
            'ادخال البيانات'!$H$3:$H$1164
         ),
         ""
      ),
      IF(_xlpm.result="", "", _xlpm.result)
   )
)</f>
        <v/>
      </c>
      <c r="I740" s="27" t="str" cm="1">
        <f t="array" ref="I740">IF(
   A740="",
   "",
   _xlfn.LET(
      _xlpm.result,
      IFERROR(
         _xlfn.XLOOKUP(
            1,
            (Table8[رقم الصنف]=A740) *
            (IF($B$9="الكل",1, YEAR('ادخال البيانات'!$N$3:$N$1164)=VALUE($B$9))) *
            (IF($B$10="الكل",1, MONTH('ادخال البيانات'!$N$3:$N$1164)=VALUE($B$10))) *
            (IF($B$11="الكل",1, INT((DAY('ادخال البيانات'!$N$3:$N$1164)-1)/7)+1 = VALUE($B$11))),
            'ادخال البيانات'!$I$3:$I$1164
         ),
         ""
      ),
      IF(_xlpm.result="", "", _xlpm.result)
   )
)</f>
        <v/>
      </c>
      <c r="J740" s="27" t="str" cm="1">
        <f t="array" ref="J740">IF(
   A740="",
   "",
   _xlfn.LET(
      _xlpm.result,
      IFERROR(
         _xlfn.XLOOKUP(
            1,
            (Table8[رقم الصنف]=A740) *
            (IF($B$9="الكل",1, YEAR('ادخال البيانات'!$N$3:$N$1164)=VALUE($B$9))) *
            (IF($B$10="الكل",1, MONTH('ادخال البيانات'!$N$3:$N$1164)=VALUE($B$10))) *
            (IF($B$11="الكل",1, INT((DAY('ادخال البيانات'!$N$3:$N$1164)-1)/7)+1 = VALUE($B$11))),
            'ادخال البيانات'!$J$3:$J$1164
         ),
         ""
      ),
      IF(_xlpm.result="", "", _xlpm.result)
   )
)</f>
        <v/>
      </c>
      <c r="K740" s="27" t="str" cm="1">
        <f t="array" ref="K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0" s="27" t="str" cm="1">
        <f t="array" ref="L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0" s="27" t="str" cm="1">
        <f t="array" ref="M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0" s="28" t="str" cm="1">
        <f t="array" ref="N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0" s="28" t="str" cm="1">
        <f t="array" ref="O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0" s="27" t="str" cm="1">
        <f t="array" ref="P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Table8[جهة العطل]
         ),
         ""
      ),
      IF(_xlpm.result="", "", _xlpm.result)
   )
)</f>
        <v/>
      </c>
      <c r="Q740" s="27" t="str" cm="1">
        <f t="array" ref="Q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Table8[المركز]
         ),
         ""
      ),
      IF(_xlpm.result="", "", _xlpm.result)
   )
)</f>
        <v/>
      </c>
      <c r="R740" s="27" t="str" cm="1">
        <f t="array" ref="R740">IF(
   A740="",
   "",
   _xlfn.LET(
      _xlpm.result,
      IFERROR(
         _xlfn.XLOOKUP(
            1,
            (Table8[رقم الصنف]=A740) *
            (IF($B$9="الكل",1, YEAR('ادخال البيانات'!$N$3:$N$1164) = VALUE($B$9))) *
            (IF($B$10="الكل",1, MONTH('ادخال البيانات'!$N$3:$N$1164) = VALUE($B$10))) *
            (IF($B$11="الكل",1, INT((DAY('ادخال البيانات'!$N$3:$N$1164) - 1) / 7) + 1 = VALUE($B$11))),
            Table8[ملاحظة]
         ),
         ""
      ),
      IF(_xlpm.result="", "", _xlpm.result)
   )
)</f>
        <v/>
      </c>
      <c r="S740" s="46" t="str">
        <f t="shared" ca="1" si="12"/>
        <v/>
      </c>
    </row>
    <row r="741" spans="1:19" ht="15.6" thickTop="1" thickBot="1" x14ac:dyDescent="0.35">
      <c r="A741" s="39"/>
      <c r="B741" s="27" t="str" cm="1">
        <f t="array" ref="B741">IF(
   OR(A741="", $B$9="", $B$10="", $B$11=""),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1" s="27" t="str" cm="1">
        <f t="array" ref="C741">IF(
   A741="",
   "",
   _xlfn.LET(
      _xlpm.result,
      IFERROR(
         _xlfn.XLOOKUP(
            1,
            (Table8[رقم الصنف]=A741) *
            (IF($B$9="الكل",1, YEAR('ادخال البيانات'!$N$3:$N$1164) = VALUE($B$9))) *
            (IF($B$10="الكل",1, MONTH('ادخال البيانات'!$N$3:$N$1164) = VALUE($B$10))) *
            (IF($B$11="الكل",1, INT((DAY('ادخال البيانات'!$N$3:$N$1164)-1)/7)+1 = VALUE($B$11))),
            'ادخال البيانات'!$C$3:$C$1164
         ),
         ""
      ),
      IF(_xlpm.result="", "", _xlpm.result)
   )
)</f>
        <v/>
      </c>
      <c r="D741" s="27" t="str" cm="1">
        <f t="array" ref="D741">IF(
   OR(A741="", $B$9="", $B$10="", $B$11=""),
   "",
   _xlfn.LET(
      _xlpm.result,
      IFERROR(
         _xlfn.XLOOKUP(
            1,
            (Table8[رقم الصنف]=A741) *
            (IF($B$9="الكل",1, YEAR('ادخال البيانات'!$N$3:$N$1164)=VALUE($B$9))) *
            (IF($B$10="الكل",1, MONTH('ادخال البيانات'!$N$3:$N$1164)=VALUE($B$10))) *
            (IF($B$11="الكل",1, INT((DAY('ادخال البيانات'!$N$3:$N$1164)-1)/7)+1 = VALUE($B$11))),
            'ادخال البيانات'!$D$3:$D$1164
         ),
         ""
      ),
      IF(_xlpm.result="", "", _xlpm.result)
   )
)</f>
        <v/>
      </c>
      <c r="E741" s="27" t="str" cm="1">
        <f t="array" ref="E741">IF(
   A741="",
   "",
   _xlfn.LET(
      _xlpm.result,
      IFERROR(
         _xlfn.XLOOKUP(
            1,
            (Table8[رقم الصنف]=A741) *
            (IF($B$9="الكل",1, YEAR('ادخال البيانات'!$N$3:$N$1164)=VALUE($B$9))) *
            (IF($B$10="الكل",1, MONTH('ادخال البيانات'!$N$3:$N$1164)=VALUE($B$10))) *
            (IF($B$11="الكل",1, INT((DAY('ادخال البيانات'!$N$3:$N$1164)-1)/7)+1 = VALUE($B$11))),
            'ادخال البيانات'!$E$3:$E$1164
         ),
         ""
      ),
      IF(_xlpm.result="", "", _xlpm.result)
   )
)</f>
        <v/>
      </c>
      <c r="F741" s="27" t="str" cm="1">
        <f t="array" ref="F741">IF(
   A741="",
   "",
   _xlfn.LET(
      _xlpm.result,
      IFERROR(
         _xlfn.XLOOKUP(
            1,
            (Table8[رقم الصنف]=A741) *
            (IF($B$9="الكل",1, YEAR('ادخال البيانات'!$N$3:$N$1164) = VALUE($B$9))) *
            (IF($B$10="الكل",1, MONTH('ادخال البيانات'!$N$3:$N$1164) = VALUE($B$10))) *
            (IF($B$11="الكل",1, INT((DAY('ادخال البيانات'!$N$3:$N$1164)-1)/7)+1 = VALUE($B$11))),
            'ادخال البيانات'!$F$3:$F$1164
         ),
         ""
      ),
      IF(_xlpm.result="", "", _xlpm.result)
   )
)</f>
        <v/>
      </c>
      <c r="G741" s="27" t="str" cm="1">
        <f t="array" ref="G741">IF(
   A741="",
   "",
   _xlfn.LET(
      _xlpm.result,
      IFERROR(
         _xlfn.XLOOKUP(
            1,
            (Table8[رقم الصنف]=A741) *
            (IF($B$9="الكل",1, YEAR('ادخال البيانات'!$N$3:$N$1164)=VALUE($B$9))) *
            (IF($B$10="الكل",1, MONTH('ادخال البيانات'!$N$3:$N$1164)=VALUE($B$10))) *
            (IF($B$11="الكل",1, INT((DAY('ادخال البيانات'!$N$3:$N$1164)-1)/7)+1 = VALUE($B$11))),
            'ادخال البيانات'!$G$3:$G$1164
         ),
         ""
      ),
      IF(_xlpm.result="", "", _xlpm.result)
   )
)</f>
        <v/>
      </c>
      <c r="H741" s="27" t="str" cm="1">
        <f t="array" ref="H741">IF(
   A741="",
   "",
   _xlfn.LET(
      _xlpm.result,
      IFERROR(
         _xlfn.XLOOKUP(
            1,
            (Table8[رقم الصنف]=A741) *
            (IF($B$9="الكل",1, YEAR('ادخال البيانات'!$N$3:$N$1164)=VALUE($B$9))) *
            (IF($B$10="الكل",1, MONTH('ادخال البيانات'!$N$3:$N$1164)=VALUE($B$10))) *
            (IF($B$11="الكل",1, INT((DAY('ادخال البيانات'!$N$3:$N$1164)-1)/7)+1 = VALUE($B$11))),
            'ادخال البيانات'!$H$3:$H$1164
         ),
         ""
      ),
      IF(_xlpm.result="", "", _xlpm.result)
   )
)</f>
        <v/>
      </c>
      <c r="I741" s="27" t="str" cm="1">
        <f t="array" ref="I741">IF(
   A741="",
   "",
   _xlfn.LET(
      _xlpm.result,
      IFERROR(
         _xlfn.XLOOKUP(
            1,
            (Table8[رقم الصنف]=A741) *
            (IF($B$9="الكل",1, YEAR('ادخال البيانات'!$N$3:$N$1164)=VALUE($B$9))) *
            (IF($B$10="الكل",1, MONTH('ادخال البيانات'!$N$3:$N$1164)=VALUE($B$10))) *
            (IF($B$11="الكل",1, INT((DAY('ادخال البيانات'!$N$3:$N$1164)-1)/7)+1 = VALUE($B$11))),
            'ادخال البيانات'!$I$3:$I$1164
         ),
         ""
      ),
      IF(_xlpm.result="", "", _xlpm.result)
   )
)</f>
        <v/>
      </c>
      <c r="J741" s="27" t="str" cm="1">
        <f t="array" ref="J741">IF(
   A741="",
   "",
   _xlfn.LET(
      _xlpm.result,
      IFERROR(
         _xlfn.XLOOKUP(
            1,
            (Table8[رقم الصنف]=A741) *
            (IF($B$9="الكل",1, YEAR('ادخال البيانات'!$N$3:$N$1164)=VALUE($B$9))) *
            (IF($B$10="الكل",1, MONTH('ادخال البيانات'!$N$3:$N$1164)=VALUE($B$10))) *
            (IF($B$11="الكل",1, INT((DAY('ادخال البيانات'!$N$3:$N$1164)-1)/7)+1 = VALUE($B$11))),
            'ادخال البيانات'!$J$3:$J$1164
         ),
         ""
      ),
      IF(_xlpm.result="", "", _xlpm.result)
   )
)</f>
        <v/>
      </c>
      <c r="K741" s="27" t="str" cm="1">
        <f t="array" ref="K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1" s="27" t="str" cm="1">
        <f t="array" ref="L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1" s="27" t="str" cm="1">
        <f t="array" ref="M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1" s="28" t="str" cm="1">
        <f t="array" ref="N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1" s="28" t="str" cm="1">
        <f t="array" ref="O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1" s="27" t="str" cm="1">
        <f t="array" ref="P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Table8[جهة العطل]
         ),
         ""
      ),
      IF(_xlpm.result="", "", _xlpm.result)
   )
)</f>
        <v/>
      </c>
      <c r="Q741" s="27" t="str" cm="1">
        <f t="array" ref="Q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Table8[المركز]
         ),
         ""
      ),
      IF(_xlpm.result="", "", _xlpm.result)
   )
)</f>
        <v/>
      </c>
      <c r="R741" s="27" t="str" cm="1">
        <f t="array" ref="R741">IF(
   A741="",
   "",
   _xlfn.LET(
      _xlpm.result,
      IFERROR(
         _xlfn.XLOOKUP(
            1,
            (Table8[رقم الصنف]=A741) *
            (IF($B$9="الكل",1, YEAR('ادخال البيانات'!$N$3:$N$1164) = VALUE($B$9))) *
            (IF($B$10="الكل",1, MONTH('ادخال البيانات'!$N$3:$N$1164) = VALUE($B$10))) *
            (IF($B$11="الكل",1, INT((DAY('ادخال البيانات'!$N$3:$N$1164) - 1) / 7) + 1 = VALUE($B$11))),
            Table8[ملاحظة]
         ),
         ""
      ),
      IF(_xlpm.result="", "", _xlpm.result)
   )
)</f>
        <v/>
      </c>
      <c r="S741" s="46" t="str">
        <f t="shared" ca="1" si="12"/>
        <v/>
      </c>
    </row>
    <row r="742" spans="1:19" ht="15.6" thickTop="1" thickBot="1" x14ac:dyDescent="0.35">
      <c r="A742" s="39"/>
      <c r="B742" s="27" t="str" cm="1">
        <f t="array" ref="B742">IF(
   OR(A742="", $B$9="", $B$10="", $B$11=""),
   "",
   _xlfn.LET(
      _xlpm.result,
      IFERROR(
         _xlfn.XLOOKUP(
            1,
            (Table8[رقم الصنف]=A742)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2" s="27" t="str" cm="1">
        <f t="array" ref="C742">IF(
   A742="",
   "",
   _xlfn.LET(
      _xlpm.result,
      IFERROR(
         _xlfn.XLOOKUP(
            1,
            (Table8[رقم الصنف]=A742) *
            (IF($B$9="الكل",1, YEAR('ادخال البيانات'!$N$3:$N$1164) = VALUE($B$9))) *
            (IF($B$10="الكل",1, MONTH('ادخال البيانات'!$N$3:$N$1164) = VALUE($B$10))) *
            (IF($B$11="الكل",1, INT((DAY('ادخال البيانات'!$N$3:$N$1164)-1)/7)+1 = VALUE($B$11))),
            'ادخال البيانات'!$C$3:$C$1164
         ),
         ""
      ),
      IF(_xlpm.result="", "", _xlpm.result)
   )
)</f>
        <v/>
      </c>
      <c r="D742" s="27" t="str" cm="1">
        <f t="array" ref="D742">IF(
   OR(A742="", $B$9="", $B$10="", $B$11=""),
   "",
   _xlfn.LET(
      _xlpm.result,
      IFERROR(
         _xlfn.XLOOKUP(
            1,
            (Table8[رقم الصنف]=A742) *
            (IF($B$9="الكل",1, YEAR('ادخال البيانات'!$N$3:$N$1164)=VALUE($B$9))) *
            (IF($B$10="الكل",1, MONTH('ادخال البيانات'!$N$3:$N$1164)=VALUE($B$10))) *
            (IF($B$11="الكل",1, INT((DAY('ادخال البيانات'!$N$3:$N$1164)-1)/7)+1 = VALUE($B$11))),
            'ادخال البيانات'!$D$3:$D$1164
         ),
         ""
      ),
      IF(_xlpm.result="", "", _xlpm.result)
   )
)</f>
        <v/>
      </c>
      <c r="E742" s="27" t="str" cm="1">
        <f t="array" ref="E742">IF(
   A742="",
   "",
   _xlfn.LET(
      _xlpm.result,
      IFERROR(
         _xlfn.XLOOKUP(
            1,
            (Table8[رقم الصنف]=A742) *
            (IF($B$9="الكل",1, YEAR('ادخال البيانات'!$N$3:$N$1164)=VALUE($B$9))) *
            (IF($B$10="الكل",1, MONTH('ادخال البيانات'!$N$3:$N$1164)=VALUE($B$10))) *
            (IF($B$11="الكل",1, INT((DAY('ادخال البيانات'!$N$3:$N$1164)-1)/7)+1 = VALUE($B$11))),
            'ادخال البيانات'!$E$3:$E$1164
         ),
         ""
      ),
      IF(_xlpm.result="", "", _xlpm.result)
   )
)</f>
        <v/>
      </c>
      <c r="F742" s="27" t="str" cm="1">
        <f t="array" ref="F742">IF(
   A742="",
   "",
   _xlfn.LET(
      _xlpm.result,
      IFERROR(
         _xlfn.XLOOKUP(
            1,
            (Table8[رقم الصنف]=A742) *
            (IF($B$9="الكل",1, YEAR('ادخال البيانات'!$N$3:$N$1164) = VALUE($B$9))) *
            (IF($B$10="الكل",1, MONTH('ادخال البيانات'!$N$3:$N$1164) = VALUE($B$10))) *
            (IF($B$11="الكل",1, INT((DAY('ادخال البيانات'!$N$3:$N$1164)-1)/7)+1 = VALUE($B$11))),
            'ادخال البيانات'!$F$3:$F$1164
         ),
         ""
      ),
      IF(_xlpm.result="", "", _xlpm.result)
   )
)</f>
        <v/>
      </c>
      <c r="G742" s="27" t="str" cm="1">
        <f t="array" ref="G742">IF(
   A742="",
   "",
   _xlfn.LET(
      _xlpm.result,
      IFERROR(
         _xlfn.XLOOKUP(
            1,
            (Table8[رقم الصنف]=A742) *
            (IF($B$9="الكل",1, YEAR('ادخال البيانات'!$N$3:$N$1164)=VALUE($B$9))) *
            (IF($B$10="الكل",1, MONTH('ادخال البيانات'!$N$3:$N$1164)=VALUE($B$10))) *
            (IF($B$11="الكل",1, INT((DAY('ادخال البيانات'!$N$3:$N$1164)-1)/7)+1 = VALUE($B$11))),
            'ادخال البيانات'!$G$3:$G$1164
         ),
         ""
      ),
      IF(_xlpm.result="", "", _xlpm.result)
   )
)</f>
        <v/>
      </c>
      <c r="H742" s="27" t="str" cm="1">
        <f t="array" ref="H742">IF(
   A742="",
   "",
   _xlfn.LET(
      _xlpm.result,
      IFERROR(
         _xlfn.XLOOKUP(
            1,
            (Table8[رقم الصنف]=A742) *
            (IF($B$9="الكل",1, YEAR('ادخال البيانات'!$N$3:$N$1164)=VALUE($B$9))) *
            (IF($B$10="الكل",1, MONTH('ادخال البيانات'!$N$3:$N$1164)=VALUE($B$10))) *
            (IF($B$11="الكل",1, INT((DAY('ادخال البيانات'!$N$3:$N$1164)-1)/7)+1 = VALUE($B$11))),
            'ادخال البيانات'!$H$3:$H$1164
         ),
         ""
      ),
      IF(_xlpm.result="", "", _xlpm.result)
   )
)</f>
        <v/>
      </c>
      <c r="I742" s="27" t="str" cm="1">
        <f t="array" ref="I742">IF(
   A742="",
   "",
   _xlfn.LET(
      _xlpm.result,
      IFERROR(
         _xlfn.XLOOKUP(
            1,
            (Table8[رقم الصنف]=A742) *
            (IF($B$9="الكل",1, YEAR('ادخال البيانات'!$N$3:$N$1164)=VALUE($B$9))) *
            (IF($B$10="الكل",1, MONTH('ادخال البيانات'!$N$3:$N$1164)=VALUE($B$10))) *
            (IF($B$11="الكل",1, INT((DAY('ادخال البيانات'!$N$3:$N$1164)-1)/7)+1 = VALUE($B$11))),
            'ادخال البيانات'!$I$3:$I$1164
         ),
         ""
      ),
      IF(_xlpm.result="", "", _xlpm.result)
   )
)</f>
        <v/>
      </c>
      <c r="J742" s="27" t="str" cm="1">
        <f t="array" ref="J742">IF(
   A742="",
   "",
   _xlfn.LET(
      _xlpm.result,
      IFERROR(
         _xlfn.XLOOKUP(
            1,
            (Table8[رقم الصنف]=A742) *
            (IF($B$9="الكل",1, YEAR('ادخال البيانات'!$N$3:$N$1164)=VALUE($B$9))) *
            (IF($B$10="الكل",1, MONTH('ادخال البيانات'!$N$3:$N$1164)=VALUE($B$10))) *
            (IF($B$11="الكل",1, INT((DAY('ادخال البيانات'!$N$3:$N$1164)-1)/7)+1 = VALUE($B$11))),
            'ادخال البيانات'!$J$3:$J$1164
         ),
         ""
      ),
      IF(_xlpm.result="", "", _xlpm.result)
   )
)</f>
        <v/>
      </c>
      <c r="K742" s="27" t="str" cm="1">
        <f t="array" ref="K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2" s="27" t="str" cm="1">
        <f t="array" ref="L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2" s="27" t="str" cm="1">
        <f t="array" ref="M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2" s="28" t="str" cm="1">
        <f t="array" ref="N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2" s="28" t="str" cm="1">
        <f t="array" ref="O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2" s="27" t="str" cm="1">
        <f t="array" ref="P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Table8[جهة العطل]
         ),
         ""
      ),
      IF(_xlpm.result="", "", _xlpm.result)
   )
)</f>
        <v/>
      </c>
      <c r="Q742" s="27" t="str" cm="1">
        <f t="array" ref="Q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Table8[المركز]
         ),
         ""
      ),
      IF(_xlpm.result="", "", _xlpm.result)
   )
)</f>
        <v/>
      </c>
      <c r="R742" s="27" t="str" cm="1">
        <f t="array" ref="R742">IF(
   A742="",
   "",
   _xlfn.LET(
      _xlpm.result,
      IFERROR(
         _xlfn.XLOOKUP(
            1,
            (Table8[رقم الصنف]=A742) *
            (IF($B$9="الكل",1, YEAR('ادخال البيانات'!$N$3:$N$1164) = VALUE($B$9))) *
            (IF($B$10="الكل",1, MONTH('ادخال البيانات'!$N$3:$N$1164) = VALUE($B$10))) *
            (IF($B$11="الكل",1, INT((DAY('ادخال البيانات'!$N$3:$N$1164) - 1) / 7) + 1 = VALUE($B$11))),
            Table8[ملاحظة]
         ),
         ""
      ),
      IF(_xlpm.result="", "", _xlpm.result)
   )
)</f>
        <v/>
      </c>
      <c r="S742" s="46" t="str">
        <f t="shared" ca="1" si="12"/>
        <v/>
      </c>
    </row>
    <row r="743" spans="1:19" ht="15.6" thickTop="1" thickBot="1" x14ac:dyDescent="0.35">
      <c r="A743" s="39"/>
      <c r="B743" s="27" t="str" cm="1">
        <f t="array" ref="B743">IF(
   OR(A743="", $B$9="", $B$10="", $B$11=""),
   "",
   _xlfn.LET(
      _xlpm.result,
      IFERROR(
         _xlfn.XLOOKUP(
            1,
            (Table8[رقم الصنف]=A743)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3" s="27" t="str" cm="1">
        <f t="array" ref="C743">IF(
   A743="",
   "",
   _xlfn.LET(
      _xlpm.result,
      IFERROR(
         _xlfn.XLOOKUP(
            1,
            (Table8[رقم الصنف]=A743) *
            (IF($B$9="الكل",1, YEAR('ادخال البيانات'!$N$3:$N$1164) = VALUE($B$9))) *
            (IF($B$10="الكل",1, MONTH('ادخال البيانات'!$N$3:$N$1164) = VALUE($B$10))) *
            (IF($B$11="الكل",1, INT((DAY('ادخال البيانات'!$N$3:$N$1164)-1)/7)+1 = VALUE($B$11))),
            'ادخال البيانات'!$C$3:$C$1164
         ),
         ""
      ),
      IF(_xlpm.result="", "", _xlpm.result)
   )
)</f>
        <v/>
      </c>
      <c r="D743" s="27" t="str" cm="1">
        <f t="array" ref="D743">IF(
   OR(A743="", $B$9="", $B$10="", $B$11=""),
   "",
   _xlfn.LET(
      _xlpm.result,
      IFERROR(
         _xlfn.XLOOKUP(
            1,
            (Table8[رقم الصنف]=A743) *
            (IF($B$9="الكل",1, YEAR('ادخال البيانات'!$N$3:$N$1164)=VALUE($B$9))) *
            (IF($B$10="الكل",1, MONTH('ادخال البيانات'!$N$3:$N$1164)=VALUE($B$10))) *
            (IF($B$11="الكل",1, INT((DAY('ادخال البيانات'!$N$3:$N$1164)-1)/7)+1 = VALUE($B$11))),
            'ادخال البيانات'!$D$3:$D$1164
         ),
         ""
      ),
      IF(_xlpm.result="", "", _xlpm.result)
   )
)</f>
        <v/>
      </c>
      <c r="E743" s="27" t="str" cm="1">
        <f t="array" ref="E743">IF(
   A743="",
   "",
   _xlfn.LET(
      _xlpm.result,
      IFERROR(
         _xlfn.XLOOKUP(
            1,
            (Table8[رقم الصنف]=A743) *
            (IF($B$9="الكل",1, YEAR('ادخال البيانات'!$N$3:$N$1164)=VALUE($B$9))) *
            (IF($B$10="الكل",1, MONTH('ادخال البيانات'!$N$3:$N$1164)=VALUE($B$10))) *
            (IF($B$11="الكل",1, INT((DAY('ادخال البيانات'!$N$3:$N$1164)-1)/7)+1 = VALUE($B$11))),
            'ادخال البيانات'!$E$3:$E$1164
         ),
         ""
      ),
      IF(_xlpm.result="", "", _xlpm.result)
   )
)</f>
        <v/>
      </c>
      <c r="F743" s="27" t="str" cm="1">
        <f t="array" ref="F743">IF(
   A743="",
   "",
   _xlfn.LET(
      _xlpm.result,
      IFERROR(
         _xlfn.XLOOKUP(
            1,
            (Table8[رقم الصنف]=A743) *
            (IF($B$9="الكل",1, YEAR('ادخال البيانات'!$N$3:$N$1164) = VALUE($B$9))) *
            (IF($B$10="الكل",1, MONTH('ادخال البيانات'!$N$3:$N$1164) = VALUE($B$10))) *
            (IF($B$11="الكل",1, INT((DAY('ادخال البيانات'!$N$3:$N$1164)-1)/7)+1 = VALUE($B$11))),
            'ادخال البيانات'!$F$3:$F$1164
         ),
         ""
      ),
      IF(_xlpm.result="", "", _xlpm.result)
   )
)</f>
        <v/>
      </c>
      <c r="G743" s="27" t="str" cm="1">
        <f t="array" ref="G743">IF(
   A743="",
   "",
   _xlfn.LET(
      _xlpm.result,
      IFERROR(
         _xlfn.XLOOKUP(
            1,
            (Table8[رقم الصنف]=A743) *
            (IF($B$9="الكل",1, YEAR('ادخال البيانات'!$N$3:$N$1164)=VALUE($B$9))) *
            (IF($B$10="الكل",1, MONTH('ادخال البيانات'!$N$3:$N$1164)=VALUE($B$10))) *
            (IF($B$11="الكل",1, INT((DAY('ادخال البيانات'!$N$3:$N$1164)-1)/7)+1 = VALUE($B$11))),
            'ادخال البيانات'!$G$3:$G$1164
         ),
         ""
      ),
      IF(_xlpm.result="", "", _xlpm.result)
   )
)</f>
        <v/>
      </c>
      <c r="H743" s="27" t="str" cm="1">
        <f t="array" ref="H743">IF(
   A743="",
   "",
   _xlfn.LET(
      _xlpm.result,
      IFERROR(
         _xlfn.XLOOKUP(
            1,
            (Table8[رقم الصنف]=A743) *
            (IF($B$9="الكل",1, YEAR('ادخال البيانات'!$N$3:$N$1164)=VALUE($B$9))) *
            (IF($B$10="الكل",1, MONTH('ادخال البيانات'!$N$3:$N$1164)=VALUE($B$10))) *
            (IF($B$11="الكل",1, INT((DAY('ادخال البيانات'!$N$3:$N$1164)-1)/7)+1 = VALUE($B$11))),
            'ادخال البيانات'!$H$3:$H$1164
         ),
         ""
      ),
      IF(_xlpm.result="", "", _xlpm.result)
   )
)</f>
        <v/>
      </c>
      <c r="I743" s="27" t="str" cm="1">
        <f t="array" ref="I743">IF(
   A743="",
   "",
   _xlfn.LET(
      _xlpm.result,
      IFERROR(
         _xlfn.XLOOKUP(
            1,
            (Table8[رقم الصنف]=A743) *
            (IF($B$9="الكل",1, YEAR('ادخال البيانات'!$N$3:$N$1164)=VALUE($B$9))) *
            (IF($B$10="الكل",1, MONTH('ادخال البيانات'!$N$3:$N$1164)=VALUE($B$10))) *
            (IF($B$11="الكل",1, INT((DAY('ادخال البيانات'!$N$3:$N$1164)-1)/7)+1 = VALUE($B$11))),
            'ادخال البيانات'!$I$3:$I$1164
         ),
         ""
      ),
      IF(_xlpm.result="", "", _xlpm.result)
   )
)</f>
        <v/>
      </c>
      <c r="J743" s="27" t="str" cm="1">
        <f t="array" ref="J743">IF(
   A743="",
   "",
   _xlfn.LET(
      _xlpm.result,
      IFERROR(
         _xlfn.XLOOKUP(
            1,
            (Table8[رقم الصنف]=A743) *
            (IF($B$9="الكل",1, YEAR('ادخال البيانات'!$N$3:$N$1164)=VALUE($B$9))) *
            (IF($B$10="الكل",1, MONTH('ادخال البيانات'!$N$3:$N$1164)=VALUE($B$10))) *
            (IF($B$11="الكل",1, INT((DAY('ادخال البيانات'!$N$3:$N$1164)-1)/7)+1 = VALUE($B$11))),
            'ادخال البيانات'!$J$3:$J$1164
         ),
         ""
      ),
      IF(_xlpm.result="", "", _xlpm.result)
   )
)</f>
        <v/>
      </c>
      <c r="K743" s="27" t="str" cm="1">
        <f t="array" ref="K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3" s="27" t="str" cm="1">
        <f t="array" ref="L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3" s="27" t="str" cm="1">
        <f t="array" ref="M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3" s="28" t="str" cm="1">
        <f t="array" ref="N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3" s="28" t="str" cm="1">
        <f t="array" ref="O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3" s="27" t="str" cm="1">
        <f t="array" ref="P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Table8[جهة العطل]
         ),
         ""
      ),
      IF(_xlpm.result="", "", _xlpm.result)
   )
)</f>
        <v/>
      </c>
      <c r="Q743" s="27" t="str" cm="1">
        <f t="array" ref="Q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Table8[المركز]
         ),
         ""
      ),
      IF(_xlpm.result="", "", _xlpm.result)
   )
)</f>
        <v/>
      </c>
      <c r="R743" s="27" t="str" cm="1">
        <f t="array" ref="R743">IF(
   A743="",
   "",
   _xlfn.LET(
      _xlpm.result,
      IFERROR(
         _xlfn.XLOOKUP(
            1,
            (Table8[رقم الصنف]=A743) *
            (IF($B$9="الكل",1, YEAR('ادخال البيانات'!$N$3:$N$1164) = VALUE($B$9))) *
            (IF($B$10="الكل",1, MONTH('ادخال البيانات'!$N$3:$N$1164) = VALUE($B$10))) *
            (IF($B$11="الكل",1, INT((DAY('ادخال البيانات'!$N$3:$N$1164) - 1) / 7) + 1 = VALUE($B$11))),
            Table8[ملاحظة]
         ),
         ""
      ),
      IF(_xlpm.result="", "", _xlpm.result)
   )
)</f>
        <v/>
      </c>
      <c r="S743" s="46" t="str">
        <f t="shared" ca="1" si="12"/>
        <v/>
      </c>
    </row>
    <row r="744" spans="1:19" ht="15.6" thickTop="1" thickBot="1" x14ac:dyDescent="0.35">
      <c r="A744" s="39"/>
      <c r="B744" s="27" t="str" cm="1">
        <f t="array" ref="B744">IF(
   OR(A744="", $B$9="", $B$10="", $B$11=""),
   "",
   _xlfn.LET(
      _xlpm.result,
      IFERROR(
         _xlfn.XLOOKUP(
            1,
            (Table8[رقم الصنف]=A744)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4" s="27" t="str" cm="1">
        <f t="array" ref="C744">IF(
   A744="",
   "",
   _xlfn.LET(
      _xlpm.result,
      IFERROR(
         _xlfn.XLOOKUP(
            1,
            (Table8[رقم الصنف]=A744) *
            (IF($B$9="الكل",1, YEAR('ادخال البيانات'!$N$3:$N$1164) = VALUE($B$9))) *
            (IF($B$10="الكل",1, MONTH('ادخال البيانات'!$N$3:$N$1164) = VALUE($B$10))) *
            (IF($B$11="الكل",1, INT((DAY('ادخال البيانات'!$N$3:$N$1164)-1)/7)+1 = VALUE($B$11))),
            'ادخال البيانات'!$C$3:$C$1164
         ),
         ""
      ),
      IF(_xlpm.result="", "", _xlpm.result)
   )
)</f>
        <v/>
      </c>
      <c r="D744" s="27" t="str" cm="1">
        <f t="array" ref="D744">IF(
   OR(A744="", $B$9="", $B$10="", $B$11=""),
   "",
   _xlfn.LET(
      _xlpm.result,
      IFERROR(
         _xlfn.XLOOKUP(
            1,
            (Table8[رقم الصنف]=A744) *
            (IF($B$9="الكل",1, YEAR('ادخال البيانات'!$N$3:$N$1164)=VALUE($B$9))) *
            (IF($B$10="الكل",1, MONTH('ادخال البيانات'!$N$3:$N$1164)=VALUE($B$10))) *
            (IF($B$11="الكل",1, INT((DAY('ادخال البيانات'!$N$3:$N$1164)-1)/7)+1 = VALUE($B$11))),
            'ادخال البيانات'!$D$3:$D$1164
         ),
         ""
      ),
      IF(_xlpm.result="", "", _xlpm.result)
   )
)</f>
        <v/>
      </c>
      <c r="E744" s="27" t="str" cm="1">
        <f t="array" ref="E744">IF(
   A744="",
   "",
   _xlfn.LET(
      _xlpm.result,
      IFERROR(
         _xlfn.XLOOKUP(
            1,
            (Table8[رقم الصنف]=A744) *
            (IF($B$9="الكل",1, YEAR('ادخال البيانات'!$N$3:$N$1164)=VALUE($B$9))) *
            (IF($B$10="الكل",1, MONTH('ادخال البيانات'!$N$3:$N$1164)=VALUE($B$10))) *
            (IF($B$11="الكل",1, INT((DAY('ادخال البيانات'!$N$3:$N$1164)-1)/7)+1 = VALUE($B$11))),
            'ادخال البيانات'!$E$3:$E$1164
         ),
         ""
      ),
      IF(_xlpm.result="", "", _xlpm.result)
   )
)</f>
        <v/>
      </c>
      <c r="F744" s="27" t="str" cm="1">
        <f t="array" ref="F744">IF(
   A744="",
   "",
   _xlfn.LET(
      _xlpm.result,
      IFERROR(
         _xlfn.XLOOKUP(
            1,
            (Table8[رقم الصنف]=A744) *
            (IF($B$9="الكل",1, YEAR('ادخال البيانات'!$N$3:$N$1164) = VALUE($B$9))) *
            (IF($B$10="الكل",1, MONTH('ادخال البيانات'!$N$3:$N$1164) = VALUE($B$10))) *
            (IF($B$11="الكل",1, INT((DAY('ادخال البيانات'!$N$3:$N$1164)-1)/7)+1 = VALUE($B$11))),
            'ادخال البيانات'!$F$3:$F$1164
         ),
         ""
      ),
      IF(_xlpm.result="", "", _xlpm.result)
   )
)</f>
        <v/>
      </c>
      <c r="G744" s="27" t="str" cm="1">
        <f t="array" ref="G744">IF(
   A744="",
   "",
   _xlfn.LET(
      _xlpm.result,
      IFERROR(
         _xlfn.XLOOKUP(
            1,
            (Table8[رقم الصنف]=A744) *
            (IF($B$9="الكل",1, YEAR('ادخال البيانات'!$N$3:$N$1164)=VALUE($B$9))) *
            (IF($B$10="الكل",1, MONTH('ادخال البيانات'!$N$3:$N$1164)=VALUE($B$10))) *
            (IF($B$11="الكل",1, INT((DAY('ادخال البيانات'!$N$3:$N$1164)-1)/7)+1 = VALUE($B$11))),
            'ادخال البيانات'!$G$3:$G$1164
         ),
         ""
      ),
      IF(_xlpm.result="", "", _xlpm.result)
   )
)</f>
        <v/>
      </c>
      <c r="H744" s="27" t="str" cm="1">
        <f t="array" ref="H744">IF(
   A744="",
   "",
   _xlfn.LET(
      _xlpm.result,
      IFERROR(
         _xlfn.XLOOKUP(
            1,
            (Table8[رقم الصنف]=A744) *
            (IF($B$9="الكل",1, YEAR('ادخال البيانات'!$N$3:$N$1164)=VALUE($B$9))) *
            (IF($B$10="الكل",1, MONTH('ادخال البيانات'!$N$3:$N$1164)=VALUE($B$10))) *
            (IF($B$11="الكل",1, INT((DAY('ادخال البيانات'!$N$3:$N$1164)-1)/7)+1 = VALUE($B$11))),
            'ادخال البيانات'!$H$3:$H$1164
         ),
         ""
      ),
      IF(_xlpm.result="", "", _xlpm.result)
   )
)</f>
        <v/>
      </c>
      <c r="I744" s="27" t="str" cm="1">
        <f t="array" ref="I744">IF(
   A744="",
   "",
   _xlfn.LET(
      _xlpm.result,
      IFERROR(
         _xlfn.XLOOKUP(
            1,
            (Table8[رقم الصنف]=A744) *
            (IF($B$9="الكل",1, YEAR('ادخال البيانات'!$N$3:$N$1164)=VALUE($B$9))) *
            (IF($B$10="الكل",1, MONTH('ادخال البيانات'!$N$3:$N$1164)=VALUE($B$10))) *
            (IF($B$11="الكل",1, INT((DAY('ادخال البيانات'!$N$3:$N$1164)-1)/7)+1 = VALUE($B$11))),
            'ادخال البيانات'!$I$3:$I$1164
         ),
         ""
      ),
      IF(_xlpm.result="", "", _xlpm.result)
   )
)</f>
        <v/>
      </c>
      <c r="J744" s="27" t="str" cm="1">
        <f t="array" ref="J744">IF(
   A744="",
   "",
   _xlfn.LET(
      _xlpm.result,
      IFERROR(
         _xlfn.XLOOKUP(
            1,
            (Table8[رقم الصنف]=A744) *
            (IF($B$9="الكل",1, YEAR('ادخال البيانات'!$N$3:$N$1164)=VALUE($B$9))) *
            (IF($B$10="الكل",1, MONTH('ادخال البيانات'!$N$3:$N$1164)=VALUE($B$10))) *
            (IF($B$11="الكل",1, INT((DAY('ادخال البيانات'!$N$3:$N$1164)-1)/7)+1 = VALUE($B$11))),
            'ادخال البيانات'!$J$3:$J$1164
         ),
         ""
      ),
      IF(_xlpm.result="", "", _xlpm.result)
   )
)</f>
        <v/>
      </c>
      <c r="K744" s="27" t="str" cm="1">
        <f t="array" ref="K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4" s="27" t="str" cm="1">
        <f t="array" ref="L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4" s="27" t="str" cm="1">
        <f t="array" ref="M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4" s="28" t="str" cm="1">
        <f t="array" ref="N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4" s="28" t="str" cm="1">
        <f t="array" ref="O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4" s="27" t="str" cm="1">
        <f t="array" ref="P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Table8[جهة العطل]
         ),
         ""
      ),
      IF(_xlpm.result="", "", _xlpm.result)
   )
)</f>
        <v/>
      </c>
      <c r="Q744" s="27" t="str" cm="1">
        <f t="array" ref="Q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Table8[المركز]
         ),
         ""
      ),
      IF(_xlpm.result="", "", _xlpm.result)
   )
)</f>
        <v/>
      </c>
      <c r="R744" s="27" t="str" cm="1">
        <f t="array" ref="R744">IF(
   A744="",
   "",
   _xlfn.LET(
      _xlpm.result,
      IFERROR(
         _xlfn.XLOOKUP(
            1,
            (Table8[رقم الصنف]=A744) *
            (IF($B$9="الكل",1, YEAR('ادخال البيانات'!$N$3:$N$1164) = VALUE($B$9))) *
            (IF($B$10="الكل",1, MONTH('ادخال البيانات'!$N$3:$N$1164) = VALUE($B$10))) *
            (IF($B$11="الكل",1, INT((DAY('ادخال البيانات'!$N$3:$N$1164) - 1) / 7) + 1 = VALUE($B$11))),
            Table8[ملاحظة]
         ),
         ""
      ),
      IF(_xlpm.result="", "", _xlpm.result)
   )
)</f>
        <v/>
      </c>
      <c r="S744" s="46" t="str">
        <f t="shared" ca="1" si="12"/>
        <v/>
      </c>
    </row>
    <row r="745" spans="1:19" ht="15.6" thickTop="1" thickBot="1" x14ac:dyDescent="0.35">
      <c r="A745" s="39"/>
      <c r="B745" s="27" t="str" cm="1">
        <f t="array" ref="B745">IF(
   OR(A745="", $B$9="", $B$10="", $B$11=""),
   "",
   _xlfn.LET(
      _xlpm.result,
      IFERROR(
         _xlfn.XLOOKUP(
            1,
            (Table8[رقم الصنف]=A745)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5" s="27" t="str" cm="1">
        <f t="array" ref="C745">IF(
   A745="",
   "",
   _xlfn.LET(
      _xlpm.result,
      IFERROR(
         _xlfn.XLOOKUP(
            1,
            (Table8[رقم الصنف]=A745) *
            (IF($B$9="الكل",1, YEAR('ادخال البيانات'!$N$3:$N$1164) = VALUE($B$9))) *
            (IF($B$10="الكل",1, MONTH('ادخال البيانات'!$N$3:$N$1164) = VALUE($B$10))) *
            (IF($B$11="الكل",1, INT((DAY('ادخال البيانات'!$N$3:$N$1164)-1)/7)+1 = VALUE($B$11))),
            'ادخال البيانات'!$C$3:$C$1164
         ),
         ""
      ),
      IF(_xlpm.result="", "", _xlpm.result)
   )
)</f>
        <v/>
      </c>
      <c r="D745" s="27" t="str" cm="1">
        <f t="array" ref="D745">IF(
   OR(A745="", $B$9="", $B$10="", $B$11=""),
   "",
   _xlfn.LET(
      _xlpm.result,
      IFERROR(
         _xlfn.XLOOKUP(
            1,
            (Table8[رقم الصنف]=A745) *
            (IF($B$9="الكل",1, YEAR('ادخال البيانات'!$N$3:$N$1164)=VALUE($B$9))) *
            (IF($B$10="الكل",1, MONTH('ادخال البيانات'!$N$3:$N$1164)=VALUE($B$10))) *
            (IF($B$11="الكل",1, INT((DAY('ادخال البيانات'!$N$3:$N$1164)-1)/7)+1 = VALUE($B$11))),
            'ادخال البيانات'!$D$3:$D$1164
         ),
         ""
      ),
      IF(_xlpm.result="", "", _xlpm.result)
   )
)</f>
        <v/>
      </c>
      <c r="E745" s="27" t="str" cm="1">
        <f t="array" ref="E745">IF(
   A745="",
   "",
   _xlfn.LET(
      _xlpm.result,
      IFERROR(
         _xlfn.XLOOKUP(
            1,
            (Table8[رقم الصنف]=A745) *
            (IF($B$9="الكل",1, YEAR('ادخال البيانات'!$N$3:$N$1164)=VALUE($B$9))) *
            (IF($B$10="الكل",1, MONTH('ادخال البيانات'!$N$3:$N$1164)=VALUE($B$10))) *
            (IF($B$11="الكل",1, INT((DAY('ادخال البيانات'!$N$3:$N$1164)-1)/7)+1 = VALUE($B$11))),
            'ادخال البيانات'!$E$3:$E$1164
         ),
         ""
      ),
      IF(_xlpm.result="", "", _xlpm.result)
   )
)</f>
        <v/>
      </c>
      <c r="F745" s="27" t="str" cm="1">
        <f t="array" ref="F745">IF(
   A745="",
   "",
   _xlfn.LET(
      _xlpm.result,
      IFERROR(
         _xlfn.XLOOKUP(
            1,
            (Table8[رقم الصنف]=A745) *
            (IF($B$9="الكل",1, YEAR('ادخال البيانات'!$N$3:$N$1164) = VALUE($B$9))) *
            (IF($B$10="الكل",1, MONTH('ادخال البيانات'!$N$3:$N$1164) = VALUE($B$10))) *
            (IF($B$11="الكل",1, INT((DAY('ادخال البيانات'!$N$3:$N$1164)-1)/7)+1 = VALUE($B$11))),
            'ادخال البيانات'!$F$3:$F$1164
         ),
         ""
      ),
      IF(_xlpm.result="", "", _xlpm.result)
   )
)</f>
        <v/>
      </c>
      <c r="G745" s="27" t="str" cm="1">
        <f t="array" ref="G745">IF(
   A745="",
   "",
   _xlfn.LET(
      _xlpm.result,
      IFERROR(
         _xlfn.XLOOKUP(
            1,
            (Table8[رقم الصنف]=A745) *
            (IF($B$9="الكل",1, YEAR('ادخال البيانات'!$N$3:$N$1164)=VALUE($B$9))) *
            (IF($B$10="الكل",1, MONTH('ادخال البيانات'!$N$3:$N$1164)=VALUE($B$10))) *
            (IF($B$11="الكل",1, INT((DAY('ادخال البيانات'!$N$3:$N$1164)-1)/7)+1 = VALUE($B$11))),
            'ادخال البيانات'!$G$3:$G$1164
         ),
         ""
      ),
      IF(_xlpm.result="", "", _xlpm.result)
   )
)</f>
        <v/>
      </c>
      <c r="H745" s="27" t="str" cm="1">
        <f t="array" ref="H745">IF(
   A745="",
   "",
   _xlfn.LET(
      _xlpm.result,
      IFERROR(
         _xlfn.XLOOKUP(
            1,
            (Table8[رقم الصنف]=A745) *
            (IF($B$9="الكل",1, YEAR('ادخال البيانات'!$N$3:$N$1164)=VALUE($B$9))) *
            (IF($B$10="الكل",1, MONTH('ادخال البيانات'!$N$3:$N$1164)=VALUE($B$10))) *
            (IF($B$11="الكل",1, INT((DAY('ادخال البيانات'!$N$3:$N$1164)-1)/7)+1 = VALUE($B$11))),
            'ادخال البيانات'!$H$3:$H$1164
         ),
         ""
      ),
      IF(_xlpm.result="", "", _xlpm.result)
   )
)</f>
        <v/>
      </c>
      <c r="I745" s="27" t="str" cm="1">
        <f t="array" ref="I745">IF(
   A745="",
   "",
   _xlfn.LET(
      _xlpm.result,
      IFERROR(
         _xlfn.XLOOKUP(
            1,
            (Table8[رقم الصنف]=A745) *
            (IF($B$9="الكل",1, YEAR('ادخال البيانات'!$N$3:$N$1164)=VALUE($B$9))) *
            (IF($B$10="الكل",1, MONTH('ادخال البيانات'!$N$3:$N$1164)=VALUE($B$10))) *
            (IF($B$11="الكل",1, INT((DAY('ادخال البيانات'!$N$3:$N$1164)-1)/7)+1 = VALUE($B$11))),
            'ادخال البيانات'!$I$3:$I$1164
         ),
         ""
      ),
      IF(_xlpm.result="", "", _xlpm.result)
   )
)</f>
        <v/>
      </c>
      <c r="J745" s="27" t="str" cm="1">
        <f t="array" ref="J745">IF(
   A745="",
   "",
   _xlfn.LET(
      _xlpm.result,
      IFERROR(
         _xlfn.XLOOKUP(
            1,
            (Table8[رقم الصنف]=A745) *
            (IF($B$9="الكل",1, YEAR('ادخال البيانات'!$N$3:$N$1164)=VALUE($B$9))) *
            (IF($B$10="الكل",1, MONTH('ادخال البيانات'!$N$3:$N$1164)=VALUE($B$10))) *
            (IF($B$11="الكل",1, INT((DAY('ادخال البيانات'!$N$3:$N$1164)-1)/7)+1 = VALUE($B$11))),
            'ادخال البيانات'!$J$3:$J$1164
         ),
         ""
      ),
      IF(_xlpm.result="", "", _xlpm.result)
   )
)</f>
        <v/>
      </c>
      <c r="K745" s="27" t="str" cm="1">
        <f t="array" ref="K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5" s="27" t="str" cm="1">
        <f t="array" ref="L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5" s="27" t="str" cm="1">
        <f t="array" ref="M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5" s="28" t="str" cm="1">
        <f t="array" ref="N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5" s="28" t="str" cm="1">
        <f t="array" ref="O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5" s="27" t="str" cm="1">
        <f t="array" ref="P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Table8[جهة العطل]
         ),
         ""
      ),
      IF(_xlpm.result="", "", _xlpm.result)
   )
)</f>
        <v/>
      </c>
      <c r="Q745" s="27" t="str" cm="1">
        <f t="array" ref="Q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Table8[المركز]
         ),
         ""
      ),
      IF(_xlpm.result="", "", _xlpm.result)
   )
)</f>
        <v/>
      </c>
      <c r="R745" s="27" t="str" cm="1">
        <f t="array" ref="R745">IF(
   A745="",
   "",
   _xlfn.LET(
      _xlpm.result,
      IFERROR(
         _xlfn.XLOOKUP(
            1,
            (Table8[رقم الصنف]=A745) *
            (IF($B$9="الكل",1, YEAR('ادخال البيانات'!$N$3:$N$1164) = VALUE($B$9))) *
            (IF($B$10="الكل",1, MONTH('ادخال البيانات'!$N$3:$N$1164) = VALUE($B$10))) *
            (IF($B$11="الكل",1, INT((DAY('ادخال البيانات'!$N$3:$N$1164) - 1) / 7) + 1 = VALUE($B$11))),
            Table8[ملاحظة]
         ),
         ""
      ),
      IF(_xlpm.result="", "", _xlpm.result)
   )
)</f>
        <v/>
      </c>
      <c r="S745" s="46" t="str">
        <f t="shared" ca="1" si="12"/>
        <v/>
      </c>
    </row>
    <row r="746" spans="1:19" ht="15.6" thickTop="1" thickBot="1" x14ac:dyDescent="0.35">
      <c r="A746" s="39"/>
      <c r="B746" s="27" t="str" cm="1">
        <f t="array" ref="B746">IF(
   OR(A746="", $B$9="", $B$10="", $B$11=""),
   "",
   _xlfn.LET(
      _xlpm.result,
      IFERROR(
         _xlfn.XLOOKUP(
            1,
            (Table8[رقم الصنف]=A746)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6" s="27" t="str" cm="1">
        <f t="array" ref="C746">IF(
   A746="",
   "",
   _xlfn.LET(
      _xlpm.result,
      IFERROR(
         _xlfn.XLOOKUP(
            1,
            (Table8[رقم الصنف]=A746) *
            (IF($B$9="الكل",1, YEAR('ادخال البيانات'!$N$3:$N$1164) = VALUE($B$9))) *
            (IF($B$10="الكل",1, MONTH('ادخال البيانات'!$N$3:$N$1164) = VALUE($B$10))) *
            (IF($B$11="الكل",1, INT((DAY('ادخال البيانات'!$N$3:$N$1164)-1)/7)+1 = VALUE($B$11))),
            'ادخال البيانات'!$C$3:$C$1164
         ),
         ""
      ),
      IF(_xlpm.result="", "", _xlpm.result)
   )
)</f>
        <v/>
      </c>
      <c r="D746" s="27" t="str" cm="1">
        <f t="array" ref="D746">IF(
   OR(A746="", $B$9="", $B$10="", $B$11=""),
   "",
   _xlfn.LET(
      _xlpm.result,
      IFERROR(
         _xlfn.XLOOKUP(
            1,
            (Table8[رقم الصنف]=A746) *
            (IF($B$9="الكل",1, YEAR('ادخال البيانات'!$N$3:$N$1164)=VALUE($B$9))) *
            (IF($B$10="الكل",1, MONTH('ادخال البيانات'!$N$3:$N$1164)=VALUE($B$10))) *
            (IF($B$11="الكل",1, INT((DAY('ادخال البيانات'!$N$3:$N$1164)-1)/7)+1 = VALUE($B$11))),
            'ادخال البيانات'!$D$3:$D$1164
         ),
         ""
      ),
      IF(_xlpm.result="", "", _xlpm.result)
   )
)</f>
        <v/>
      </c>
      <c r="E746" s="27" t="str" cm="1">
        <f t="array" ref="E746">IF(
   A746="",
   "",
   _xlfn.LET(
      _xlpm.result,
      IFERROR(
         _xlfn.XLOOKUP(
            1,
            (Table8[رقم الصنف]=A746) *
            (IF($B$9="الكل",1, YEAR('ادخال البيانات'!$N$3:$N$1164)=VALUE($B$9))) *
            (IF($B$10="الكل",1, MONTH('ادخال البيانات'!$N$3:$N$1164)=VALUE($B$10))) *
            (IF($B$11="الكل",1, INT((DAY('ادخال البيانات'!$N$3:$N$1164)-1)/7)+1 = VALUE($B$11))),
            'ادخال البيانات'!$E$3:$E$1164
         ),
         ""
      ),
      IF(_xlpm.result="", "", _xlpm.result)
   )
)</f>
        <v/>
      </c>
      <c r="F746" s="27" t="str" cm="1">
        <f t="array" ref="F746">IF(
   A746="",
   "",
   _xlfn.LET(
      _xlpm.result,
      IFERROR(
         _xlfn.XLOOKUP(
            1,
            (Table8[رقم الصنف]=A746) *
            (IF($B$9="الكل",1, YEAR('ادخال البيانات'!$N$3:$N$1164) = VALUE($B$9))) *
            (IF($B$10="الكل",1, MONTH('ادخال البيانات'!$N$3:$N$1164) = VALUE($B$10))) *
            (IF($B$11="الكل",1, INT((DAY('ادخال البيانات'!$N$3:$N$1164)-1)/7)+1 = VALUE($B$11))),
            'ادخال البيانات'!$F$3:$F$1164
         ),
         ""
      ),
      IF(_xlpm.result="", "", _xlpm.result)
   )
)</f>
        <v/>
      </c>
      <c r="G746" s="27" t="str" cm="1">
        <f t="array" ref="G746">IF(
   A746="",
   "",
   _xlfn.LET(
      _xlpm.result,
      IFERROR(
         _xlfn.XLOOKUP(
            1,
            (Table8[رقم الصنف]=A746) *
            (IF($B$9="الكل",1, YEAR('ادخال البيانات'!$N$3:$N$1164)=VALUE($B$9))) *
            (IF($B$10="الكل",1, MONTH('ادخال البيانات'!$N$3:$N$1164)=VALUE($B$10))) *
            (IF($B$11="الكل",1, INT((DAY('ادخال البيانات'!$N$3:$N$1164)-1)/7)+1 = VALUE($B$11))),
            'ادخال البيانات'!$G$3:$G$1164
         ),
         ""
      ),
      IF(_xlpm.result="", "", _xlpm.result)
   )
)</f>
        <v/>
      </c>
      <c r="H746" s="27" t="str" cm="1">
        <f t="array" ref="H746">IF(
   A746="",
   "",
   _xlfn.LET(
      _xlpm.result,
      IFERROR(
         _xlfn.XLOOKUP(
            1,
            (Table8[رقم الصنف]=A746) *
            (IF($B$9="الكل",1, YEAR('ادخال البيانات'!$N$3:$N$1164)=VALUE($B$9))) *
            (IF($B$10="الكل",1, MONTH('ادخال البيانات'!$N$3:$N$1164)=VALUE($B$10))) *
            (IF($B$11="الكل",1, INT((DAY('ادخال البيانات'!$N$3:$N$1164)-1)/7)+1 = VALUE($B$11))),
            'ادخال البيانات'!$H$3:$H$1164
         ),
         ""
      ),
      IF(_xlpm.result="", "", _xlpm.result)
   )
)</f>
        <v/>
      </c>
      <c r="I746" s="27" t="str" cm="1">
        <f t="array" ref="I746">IF(
   A746="",
   "",
   _xlfn.LET(
      _xlpm.result,
      IFERROR(
         _xlfn.XLOOKUP(
            1,
            (Table8[رقم الصنف]=A746) *
            (IF($B$9="الكل",1, YEAR('ادخال البيانات'!$N$3:$N$1164)=VALUE($B$9))) *
            (IF($B$10="الكل",1, MONTH('ادخال البيانات'!$N$3:$N$1164)=VALUE($B$10))) *
            (IF($B$11="الكل",1, INT((DAY('ادخال البيانات'!$N$3:$N$1164)-1)/7)+1 = VALUE($B$11))),
            'ادخال البيانات'!$I$3:$I$1164
         ),
         ""
      ),
      IF(_xlpm.result="", "", _xlpm.result)
   )
)</f>
        <v/>
      </c>
      <c r="J746" s="27" t="str" cm="1">
        <f t="array" ref="J746">IF(
   A746="",
   "",
   _xlfn.LET(
      _xlpm.result,
      IFERROR(
         _xlfn.XLOOKUP(
            1,
            (Table8[رقم الصنف]=A746) *
            (IF($B$9="الكل",1, YEAR('ادخال البيانات'!$N$3:$N$1164)=VALUE($B$9))) *
            (IF($B$10="الكل",1, MONTH('ادخال البيانات'!$N$3:$N$1164)=VALUE($B$10))) *
            (IF($B$11="الكل",1, INT((DAY('ادخال البيانات'!$N$3:$N$1164)-1)/7)+1 = VALUE($B$11))),
            'ادخال البيانات'!$J$3:$J$1164
         ),
         ""
      ),
      IF(_xlpm.result="", "", _xlpm.result)
   )
)</f>
        <v/>
      </c>
      <c r="K746" s="27" t="str" cm="1">
        <f t="array" ref="K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6" s="27" t="str" cm="1">
        <f t="array" ref="L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6" s="27" t="str" cm="1">
        <f t="array" ref="M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6" s="28" t="str" cm="1">
        <f t="array" ref="N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6" s="28" t="str" cm="1">
        <f t="array" ref="O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6" s="27" t="str" cm="1">
        <f t="array" ref="P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Table8[جهة العطل]
         ),
         ""
      ),
      IF(_xlpm.result="", "", _xlpm.result)
   )
)</f>
        <v/>
      </c>
      <c r="Q746" s="27" t="str" cm="1">
        <f t="array" ref="Q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Table8[المركز]
         ),
         ""
      ),
      IF(_xlpm.result="", "", _xlpm.result)
   )
)</f>
        <v/>
      </c>
      <c r="R746" s="27" t="str" cm="1">
        <f t="array" ref="R746">IF(
   A746="",
   "",
   _xlfn.LET(
      _xlpm.result,
      IFERROR(
         _xlfn.XLOOKUP(
            1,
            (Table8[رقم الصنف]=A746) *
            (IF($B$9="الكل",1, YEAR('ادخال البيانات'!$N$3:$N$1164) = VALUE($B$9))) *
            (IF($B$10="الكل",1, MONTH('ادخال البيانات'!$N$3:$N$1164) = VALUE($B$10))) *
            (IF($B$11="الكل",1, INT((DAY('ادخال البيانات'!$N$3:$N$1164) - 1) / 7) + 1 = VALUE($B$11))),
            Table8[ملاحظة]
         ),
         ""
      ),
      IF(_xlpm.result="", "", _xlpm.result)
   )
)</f>
        <v/>
      </c>
      <c r="S746" s="46" t="str">
        <f t="shared" ca="1" si="12"/>
        <v/>
      </c>
    </row>
    <row r="747" spans="1:19" ht="15.6" thickTop="1" thickBot="1" x14ac:dyDescent="0.35">
      <c r="A747" s="39"/>
      <c r="B747" s="27" t="str" cm="1">
        <f t="array" ref="B747">IF(
   OR(A747="", $B$9="", $B$10="", $B$11=""),
   "",
   _xlfn.LET(
      _xlpm.result,
      IFERROR(
         _xlfn.XLOOKUP(
            1,
            (Table8[رقم الصنف]=A747)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7" s="27" t="str" cm="1">
        <f t="array" ref="C747">IF(
   A747="",
   "",
   _xlfn.LET(
      _xlpm.result,
      IFERROR(
         _xlfn.XLOOKUP(
            1,
            (Table8[رقم الصنف]=A747) *
            (IF($B$9="الكل",1, YEAR('ادخال البيانات'!$N$3:$N$1164) = VALUE($B$9))) *
            (IF($B$10="الكل",1, MONTH('ادخال البيانات'!$N$3:$N$1164) = VALUE($B$10))) *
            (IF($B$11="الكل",1, INT((DAY('ادخال البيانات'!$N$3:$N$1164)-1)/7)+1 = VALUE($B$11))),
            'ادخال البيانات'!$C$3:$C$1164
         ),
         ""
      ),
      IF(_xlpm.result="", "", _xlpm.result)
   )
)</f>
        <v/>
      </c>
      <c r="D747" s="27" t="str" cm="1">
        <f t="array" ref="D747">IF(
   OR(A747="", $B$9="", $B$10="", $B$11=""),
   "",
   _xlfn.LET(
      _xlpm.result,
      IFERROR(
         _xlfn.XLOOKUP(
            1,
            (Table8[رقم الصنف]=A747) *
            (IF($B$9="الكل",1, YEAR('ادخال البيانات'!$N$3:$N$1164)=VALUE($B$9))) *
            (IF($B$10="الكل",1, MONTH('ادخال البيانات'!$N$3:$N$1164)=VALUE($B$10))) *
            (IF($B$11="الكل",1, INT((DAY('ادخال البيانات'!$N$3:$N$1164)-1)/7)+1 = VALUE($B$11))),
            'ادخال البيانات'!$D$3:$D$1164
         ),
         ""
      ),
      IF(_xlpm.result="", "", _xlpm.result)
   )
)</f>
        <v/>
      </c>
      <c r="E747" s="27" t="str" cm="1">
        <f t="array" ref="E747">IF(
   A747="",
   "",
   _xlfn.LET(
      _xlpm.result,
      IFERROR(
         _xlfn.XLOOKUP(
            1,
            (Table8[رقم الصنف]=A747) *
            (IF($B$9="الكل",1, YEAR('ادخال البيانات'!$N$3:$N$1164)=VALUE($B$9))) *
            (IF($B$10="الكل",1, MONTH('ادخال البيانات'!$N$3:$N$1164)=VALUE($B$10))) *
            (IF($B$11="الكل",1, INT((DAY('ادخال البيانات'!$N$3:$N$1164)-1)/7)+1 = VALUE($B$11))),
            'ادخال البيانات'!$E$3:$E$1164
         ),
         ""
      ),
      IF(_xlpm.result="", "", _xlpm.result)
   )
)</f>
        <v/>
      </c>
      <c r="F747" s="27" t="str" cm="1">
        <f t="array" ref="F747">IF(
   A747="",
   "",
   _xlfn.LET(
      _xlpm.result,
      IFERROR(
         _xlfn.XLOOKUP(
            1,
            (Table8[رقم الصنف]=A747) *
            (IF($B$9="الكل",1, YEAR('ادخال البيانات'!$N$3:$N$1164) = VALUE($B$9))) *
            (IF($B$10="الكل",1, MONTH('ادخال البيانات'!$N$3:$N$1164) = VALUE($B$10))) *
            (IF($B$11="الكل",1, INT((DAY('ادخال البيانات'!$N$3:$N$1164)-1)/7)+1 = VALUE($B$11))),
            'ادخال البيانات'!$F$3:$F$1164
         ),
         ""
      ),
      IF(_xlpm.result="", "", _xlpm.result)
   )
)</f>
        <v/>
      </c>
      <c r="G747" s="27" t="str" cm="1">
        <f t="array" ref="G747">IF(
   A747="",
   "",
   _xlfn.LET(
      _xlpm.result,
      IFERROR(
         _xlfn.XLOOKUP(
            1,
            (Table8[رقم الصنف]=A747) *
            (IF($B$9="الكل",1, YEAR('ادخال البيانات'!$N$3:$N$1164)=VALUE($B$9))) *
            (IF($B$10="الكل",1, MONTH('ادخال البيانات'!$N$3:$N$1164)=VALUE($B$10))) *
            (IF($B$11="الكل",1, INT((DAY('ادخال البيانات'!$N$3:$N$1164)-1)/7)+1 = VALUE($B$11))),
            'ادخال البيانات'!$G$3:$G$1164
         ),
         ""
      ),
      IF(_xlpm.result="", "", _xlpm.result)
   )
)</f>
        <v/>
      </c>
      <c r="H747" s="27" t="str" cm="1">
        <f t="array" ref="H747">IF(
   A747="",
   "",
   _xlfn.LET(
      _xlpm.result,
      IFERROR(
         _xlfn.XLOOKUP(
            1,
            (Table8[رقم الصنف]=A747) *
            (IF($B$9="الكل",1, YEAR('ادخال البيانات'!$N$3:$N$1164)=VALUE($B$9))) *
            (IF($B$10="الكل",1, MONTH('ادخال البيانات'!$N$3:$N$1164)=VALUE($B$10))) *
            (IF($B$11="الكل",1, INT((DAY('ادخال البيانات'!$N$3:$N$1164)-1)/7)+1 = VALUE($B$11))),
            'ادخال البيانات'!$H$3:$H$1164
         ),
         ""
      ),
      IF(_xlpm.result="", "", _xlpm.result)
   )
)</f>
        <v/>
      </c>
      <c r="I747" s="27" t="str" cm="1">
        <f t="array" ref="I747">IF(
   A747="",
   "",
   _xlfn.LET(
      _xlpm.result,
      IFERROR(
         _xlfn.XLOOKUP(
            1,
            (Table8[رقم الصنف]=A747) *
            (IF($B$9="الكل",1, YEAR('ادخال البيانات'!$N$3:$N$1164)=VALUE($B$9))) *
            (IF($B$10="الكل",1, MONTH('ادخال البيانات'!$N$3:$N$1164)=VALUE($B$10))) *
            (IF($B$11="الكل",1, INT((DAY('ادخال البيانات'!$N$3:$N$1164)-1)/7)+1 = VALUE($B$11))),
            'ادخال البيانات'!$I$3:$I$1164
         ),
         ""
      ),
      IF(_xlpm.result="", "", _xlpm.result)
   )
)</f>
        <v/>
      </c>
      <c r="J747" s="27" t="str" cm="1">
        <f t="array" ref="J747">IF(
   A747="",
   "",
   _xlfn.LET(
      _xlpm.result,
      IFERROR(
         _xlfn.XLOOKUP(
            1,
            (Table8[رقم الصنف]=A747) *
            (IF($B$9="الكل",1, YEAR('ادخال البيانات'!$N$3:$N$1164)=VALUE($B$9))) *
            (IF($B$10="الكل",1, MONTH('ادخال البيانات'!$N$3:$N$1164)=VALUE($B$10))) *
            (IF($B$11="الكل",1, INT((DAY('ادخال البيانات'!$N$3:$N$1164)-1)/7)+1 = VALUE($B$11))),
            'ادخال البيانات'!$J$3:$J$1164
         ),
         ""
      ),
      IF(_xlpm.result="", "", _xlpm.result)
   )
)</f>
        <v/>
      </c>
      <c r="K747" s="27" t="str" cm="1">
        <f t="array" ref="K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7" s="27" t="str" cm="1">
        <f t="array" ref="L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7" s="27" t="str" cm="1">
        <f t="array" ref="M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7" s="28" t="str" cm="1">
        <f t="array" ref="N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7" s="28" t="str" cm="1">
        <f t="array" ref="O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7" s="27" t="str" cm="1">
        <f t="array" ref="P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Table8[جهة العطل]
         ),
         ""
      ),
      IF(_xlpm.result="", "", _xlpm.result)
   )
)</f>
        <v/>
      </c>
      <c r="Q747" s="27" t="str" cm="1">
        <f t="array" ref="Q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Table8[المركز]
         ),
         ""
      ),
      IF(_xlpm.result="", "", _xlpm.result)
   )
)</f>
        <v/>
      </c>
      <c r="R747" s="27" t="str" cm="1">
        <f t="array" ref="R747">IF(
   A747="",
   "",
   _xlfn.LET(
      _xlpm.result,
      IFERROR(
         _xlfn.XLOOKUP(
            1,
            (Table8[رقم الصنف]=A747) *
            (IF($B$9="الكل",1, YEAR('ادخال البيانات'!$N$3:$N$1164) = VALUE($B$9))) *
            (IF($B$10="الكل",1, MONTH('ادخال البيانات'!$N$3:$N$1164) = VALUE($B$10))) *
            (IF($B$11="الكل",1, INT((DAY('ادخال البيانات'!$N$3:$N$1164) - 1) / 7) + 1 = VALUE($B$11))),
            Table8[ملاحظة]
         ),
         ""
      ),
      IF(_xlpm.result="", "", _xlpm.result)
   )
)</f>
        <v/>
      </c>
      <c r="S747" s="46" t="str">
        <f t="shared" ca="1" si="12"/>
        <v/>
      </c>
    </row>
    <row r="748" spans="1:19" ht="15.6" thickTop="1" thickBot="1" x14ac:dyDescent="0.35">
      <c r="A748" s="39"/>
      <c r="B748" s="27" t="str" cm="1">
        <f t="array" ref="B748">IF(
   OR(A748="", $B$9="", $B$10="", $B$11=""),
   "",
   _xlfn.LET(
      _xlpm.result,
      IFERROR(
         _xlfn.XLOOKUP(
            1,
            (Table8[رقم الصنف]=A748)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8" s="27" t="str" cm="1">
        <f t="array" ref="C748">IF(
   A748="",
   "",
   _xlfn.LET(
      _xlpm.result,
      IFERROR(
         _xlfn.XLOOKUP(
            1,
            (Table8[رقم الصنف]=A748) *
            (IF($B$9="الكل",1, YEAR('ادخال البيانات'!$N$3:$N$1164) = VALUE($B$9))) *
            (IF($B$10="الكل",1, MONTH('ادخال البيانات'!$N$3:$N$1164) = VALUE($B$10))) *
            (IF($B$11="الكل",1, INT((DAY('ادخال البيانات'!$N$3:$N$1164)-1)/7)+1 = VALUE($B$11))),
            'ادخال البيانات'!$C$3:$C$1164
         ),
         ""
      ),
      IF(_xlpm.result="", "", _xlpm.result)
   )
)</f>
        <v/>
      </c>
      <c r="D748" s="27" t="str" cm="1">
        <f t="array" ref="D748">IF(
   OR(A748="", $B$9="", $B$10="", $B$11=""),
   "",
   _xlfn.LET(
      _xlpm.result,
      IFERROR(
         _xlfn.XLOOKUP(
            1,
            (Table8[رقم الصنف]=A748) *
            (IF($B$9="الكل",1, YEAR('ادخال البيانات'!$N$3:$N$1164)=VALUE($B$9))) *
            (IF($B$10="الكل",1, MONTH('ادخال البيانات'!$N$3:$N$1164)=VALUE($B$10))) *
            (IF($B$11="الكل",1, INT((DAY('ادخال البيانات'!$N$3:$N$1164)-1)/7)+1 = VALUE($B$11))),
            'ادخال البيانات'!$D$3:$D$1164
         ),
         ""
      ),
      IF(_xlpm.result="", "", _xlpm.result)
   )
)</f>
        <v/>
      </c>
      <c r="E748" s="27" t="str" cm="1">
        <f t="array" ref="E748">IF(
   A748="",
   "",
   _xlfn.LET(
      _xlpm.result,
      IFERROR(
         _xlfn.XLOOKUP(
            1,
            (Table8[رقم الصنف]=A748) *
            (IF($B$9="الكل",1, YEAR('ادخال البيانات'!$N$3:$N$1164)=VALUE($B$9))) *
            (IF($B$10="الكل",1, MONTH('ادخال البيانات'!$N$3:$N$1164)=VALUE($B$10))) *
            (IF($B$11="الكل",1, INT((DAY('ادخال البيانات'!$N$3:$N$1164)-1)/7)+1 = VALUE($B$11))),
            'ادخال البيانات'!$E$3:$E$1164
         ),
         ""
      ),
      IF(_xlpm.result="", "", _xlpm.result)
   )
)</f>
        <v/>
      </c>
      <c r="F748" s="27" t="str" cm="1">
        <f t="array" ref="F748">IF(
   A748="",
   "",
   _xlfn.LET(
      _xlpm.result,
      IFERROR(
         _xlfn.XLOOKUP(
            1,
            (Table8[رقم الصنف]=A748) *
            (IF($B$9="الكل",1, YEAR('ادخال البيانات'!$N$3:$N$1164) = VALUE($B$9))) *
            (IF($B$10="الكل",1, MONTH('ادخال البيانات'!$N$3:$N$1164) = VALUE($B$10))) *
            (IF($B$11="الكل",1, INT((DAY('ادخال البيانات'!$N$3:$N$1164)-1)/7)+1 = VALUE($B$11))),
            'ادخال البيانات'!$F$3:$F$1164
         ),
         ""
      ),
      IF(_xlpm.result="", "", _xlpm.result)
   )
)</f>
        <v/>
      </c>
      <c r="G748" s="27" t="str" cm="1">
        <f t="array" ref="G748">IF(
   A748="",
   "",
   _xlfn.LET(
      _xlpm.result,
      IFERROR(
         _xlfn.XLOOKUP(
            1,
            (Table8[رقم الصنف]=A748) *
            (IF($B$9="الكل",1, YEAR('ادخال البيانات'!$N$3:$N$1164)=VALUE($B$9))) *
            (IF($B$10="الكل",1, MONTH('ادخال البيانات'!$N$3:$N$1164)=VALUE($B$10))) *
            (IF($B$11="الكل",1, INT((DAY('ادخال البيانات'!$N$3:$N$1164)-1)/7)+1 = VALUE($B$11))),
            'ادخال البيانات'!$G$3:$G$1164
         ),
         ""
      ),
      IF(_xlpm.result="", "", _xlpm.result)
   )
)</f>
        <v/>
      </c>
      <c r="H748" s="27" t="str" cm="1">
        <f t="array" ref="H748">IF(
   A748="",
   "",
   _xlfn.LET(
      _xlpm.result,
      IFERROR(
         _xlfn.XLOOKUP(
            1,
            (Table8[رقم الصنف]=A748) *
            (IF($B$9="الكل",1, YEAR('ادخال البيانات'!$N$3:$N$1164)=VALUE($B$9))) *
            (IF($B$10="الكل",1, MONTH('ادخال البيانات'!$N$3:$N$1164)=VALUE($B$10))) *
            (IF($B$11="الكل",1, INT((DAY('ادخال البيانات'!$N$3:$N$1164)-1)/7)+1 = VALUE($B$11))),
            'ادخال البيانات'!$H$3:$H$1164
         ),
         ""
      ),
      IF(_xlpm.result="", "", _xlpm.result)
   )
)</f>
        <v/>
      </c>
      <c r="I748" s="27" t="str" cm="1">
        <f t="array" ref="I748">IF(
   A748="",
   "",
   _xlfn.LET(
      _xlpm.result,
      IFERROR(
         _xlfn.XLOOKUP(
            1,
            (Table8[رقم الصنف]=A748) *
            (IF($B$9="الكل",1, YEAR('ادخال البيانات'!$N$3:$N$1164)=VALUE($B$9))) *
            (IF($B$10="الكل",1, MONTH('ادخال البيانات'!$N$3:$N$1164)=VALUE($B$10))) *
            (IF($B$11="الكل",1, INT((DAY('ادخال البيانات'!$N$3:$N$1164)-1)/7)+1 = VALUE($B$11))),
            'ادخال البيانات'!$I$3:$I$1164
         ),
         ""
      ),
      IF(_xlpm.result="", "", _xlpm.result)
   )
)</f>
        <v/>
      </c>
      <c r="J748" s="27" t="str" cm="1">
        <f t="array" ref="J748">IF(
   A748="",
   "",
   _xlfn.LET(
      _xlpm.result,
      IFERROR(
         _xlfn.XLOOKUP(
            1,
            (Table8[رقم الصنف]=A748) *
            (IF($B$9="الكل",1, YEAR('ادخال البيانات'!$N$3:$N$1164)=VALUE($B$9))) *
            (IF($B$10="الكل",1, MONTH('ادخال البيانات'!$N$3:$N$1164)=VALUE($B$10))) *
            (IF($B$11="الكل",1, INT((DAY('ادخال البيانات'!$N$3:$N$1164)-1)/7)+1 = VALUE($B$11))),
            'ادخال البيانات'!$J$3:$J$1164
         ),
         ""
      ),
      IF(_xlpm.result="", "", _xlpm.result)
   )
)</f>
        <v/>
      </c>
      <c r="K748" s="27" t="str" cm="1">
        <f t="array" ref="K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8" s="27" t="str" cm="1">
        <f t="array" ref="L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8" s="27" t="str" cm="1">
        <f t="array" ref="M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8" s="28" t="str" cm="1">
        <f t="array" ref="N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8" s="28" t="str" cm="1">
        <f t="array" ref="O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8" s="27" t="str" cm="1">
        <f t="array" ref="P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Table8[جهة العطل]
         ),
         ""
      ),
      IF(_xlpm.result="", "", _xlpm.result)
   )
)</f>
        <v/>
      </c>
      <c r="Q748" s="27" t="str" cm="1">
        <f t="array" ref="Q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Table8[المركز]
         ),
         ""
      ),
      IF(_xlpm.result="", "", _xlpm.result)
   )
)</f>
        <v/>
      </c>
      <c r="R748" s="27" t="str" cm="1">
        <f t="array" ref="R748">IF(
   A748="",
   "",
   _xlfn.LET(
      _xlpm.result,
      IFERROR(
         _xlfn.XLOOKUP(
            1,
            (Table8[رقم الصنف]=A748) *
            (IF($B$9="الكل",1, YEAR('ادخال البيانات'!$N$3:$N$1164) = VALUE($B$9))) *
            (IF($B$10="الكل",1, MONTH('ادخال البيانات'!$N$3:$N$1164) = VALUE($B$10))) *
            (IF($B$11="الكل",1, INT((DAY('ادخال البيانات'!$N$3:$N$1164) - 1) / 7) + 1 = VALUE($B$11))),
            Table8[ملاحظة]
         ),
         ""
      ),
      IF(_xlpm.result="", "", _xlpm.result)
   )
)</f>
        <v/>
      </c>
      <c r="S748" s="46" t="str">
        <f t="shared" ca="1" si="12"/>
        <v/>
      </c>
    </row>
    <row r="749" spans="1:19" ht="15.6" thickTop="1" thickBot="1" x14ac:dyDescent="0.35">
      <c r="A749" s="39"/>
      <c r="B749" s="27" t="str" cm="1">
        <f t="array" ref="B749">IF(
   OR(A749="", $B$9="", $B$10="", $B$11=""),
   "",
   _xlfn.LET(
      _xlpm.result,
      IFERROR(
         _xlfn.XLOOKUP(
            1,
            (Table8[رقم الصنف]=A749)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49" s="27" t="str" cm="1">
        <f t="array" ref="C749">IF(
   A749="",
   "",
   _xlfn.LET(
      _xlpm.result,
      IFERROR(
         _xlfn.XLOOKUP(
            1,
            (Table8[رقم الصنف]=A749) *
            (IF($B$9="الكل",1, YEAR('ادخال البيانات'!$N$3:$N$1164) = VALUE($B$9))) *
            (IF($B$10="الكل",1, MONTH('ادخال البيانات'!$N$3:$N$1164) = VALUE($B$10))) *
            (IF($B$11="الكل",1, INT((DAY('ادخال البيانات'!$N$3:$N$1164)-1)/7)+1 = VALUE($B$11))),
            'ادخال البيانات'!$C$3:$C$1164
         ),
         ""
      ),
      IF(_xlpm.result="", "", _xlpm.result)
   )
)</f>
        <v/>
      </c>
      <c r="D749" s="27" t="str" cm="1">
        <f t="array" ref="D749">IF(
   OR(A749="", $B$9="", $B$10="", $B$11=""),
   "",
   _xlfn.LET(
      _xlpm.result,
      IFERROR(
         _xlfn.XLOOKUP(
            1,
            (Table8[رقم الصنف]=A749) *
            (IF($B$9="الكل",1, YEAR('ادخال البيانات'!$N$3:$N$1164)=VALUE($B$9))) *
            (IF($B$10="الكل",1, MONTH('ادخال البيانات'!$N$3:$N$1164)=VALUE($B$10))) *
            (IF($B$11="الكل",1, INT((DAY('ادخال البيانات'!$N$3:$N$1164)-1)/7)+1 = VALUE($B$11))),
            'ادخال البيانات'!$D$3:$D$1164
         ),
         ""
      ),
      IF(_xlpm.result="", "", _xlpm.result)
   )
)</f>
        <v/>
      </c>
      <c r="E749" s="27" t="str" cm="1">
        <f t="array" ref="E749">IF(
   A749="",
   "",
   _xlfn.LET(
      _xlpm.result,
      IFERROR(
         _xlfn.XLOOKUP(
            1,
            (Table8[رقم الصنف]=A749) *
            (IF($B$9="الكل",1, YEAR('ادخال البيانات'!$N$3:$N$1164)=VALUE($B$9))) *
            (IF($B$10="الكل",1, MONTH('ادخال البيانات'!$N$3:$N$1164)=VALUE($B$10))) *
            (IF($B$11="الكل",1, INT((DAY('ادخال البيانات'!$N$3:$N$1164)-1)/7)+1 = VALUE($B$11))),
            'ادخال البيانات'!$E$3:$E$1164
         ),
         ""
      ),
      IF(_xlpm.result="", "", _xlpm.result)
   )
)</f>
        <v/>
      </c>
      <c r="F749" s="27" t="str" cm="1">
        <f t="array" ref="F749">IF(
   A749="",
   "",
   _xlfn.LET(
      _xlpm.result,
      IFERROR(
         _xlfn.XLOOKUP(
            1,
            (Table8[رقم الصنف]=A749) *
            (IF($B$9="الكل",1, YEAR('ادخال البيانات'!$N$3:$N$1164) = VALUE($B$9))) *
            (IF($B$10="الكل",1, MONTH('ادخال البيانات'!$N$3:$N$1164) = VALUE($B$10))) *
            (IF($B$11="الكل",1, INT((DAY('ادخال البيانات'!$N$3:$N$1164)-1)/7)+1 = VALUE($B$11))),
            'ادخال البيانات'!$F$3:$F$1164
         ),
         ""
      ),
      IF(_xlpm.result="", "", _xlpm.result)
   )
)</f>
        <v/>
      </c>
      <c r="G749" s="27" t="str" cm="1">
        <f t="array" ref="G749">IF(
   A749="",
   "",
   _xlfn.LET(
      _xlpm.result,
      IFERROR(
         _xlfn.XLOOKUP(
            1,
            (Table8[رقم الصنف]=A749) *
            (IF($B$9="الكل",1, YEAR('ادخال البيانات'!$N$3:$N$1164)=VALUE($B$9))) *
            (IF($B$10="الكل",1, MONTH('ادخال البيانات'!$N$3:$N$1164)=VALUE($B$10))) *
            (IF($B$11="الكل",1, INT((DAY('ادخال البيانات'!$N$3:$N$1164)-1)/7)+1 = VALUE($B$11))),
            'ادخال البيانات'!$G$3:$G$1164
         ),
         ""
      ),
      IF(_xlpm.result="", "", _xlpm.result)
   )
)</f>
        <v/>
      </c>
      <c r="H749" s="27" t="str" cm="1">
        <f t="array" ref="H749">IF(
   A749="",
   "",
   _xlfn.LET(
      _xlpm.result,
      IFERROR(
         _xlfn.XLOOKUP(
            1,
            (Table8[رقم الصنف]=A749) *
            (IF($B$9="الكل",1, YEAR('ادخال البيانات'!$N$3:$N$1164)=VALUE($B$9))) *
            (IF($B$10="الكل",1, MONTH('ادخال البيانات'!$N$3:$N$1164)=VALUE($B$10))) *
            (IF($B$11="الكل",1, INT((DAY('ادخال البيانات'!$N$3:$N$1164)-1)/7)+1 = VALUE($B$11))),
            'ادخال البيانات'!$H$3:$H$1164
         ),
         ""
      ),
      IF(_xlpm.result="", "", _xlpm.result)
   )
)</f>
        <v/>
      </c>
      <c r="I749" s="27" t="str" cm="1">
        <f t="array" ref="I749">IF(
   A749="",
   "",
   _xlfn.LET(
      _xlpm.result,
      IFERROR(
         _xlfn.XLOOKUP(
            1,
            (Table8[رقم الصنف]=A749) *
            (IF($B$9="الكل",1, YEAR('ادخال البيانات'!$N$3:$N$1164)=VALUE($B$9))) *
            (IF($B$10="الكل",1, MONTH('ادخال البيانات'!$N$3:$N$1164)=VALUE($B$10))) *
            (IF($B$11="الكل",1, INT((DAY('ادخال البيانات'!$N$3:$N$1164)-1)/7)+1 = VALUE($B$11))),
            'ادخال البيانات'!$I$3:$I$1164
         ),
         ""
      ),
      IF(_xlpm.result="", "", _xlpm.result)
   )
)</f>
        <v/>
      </c>
      <c r="J749" s="27" t="str" cm="1">
        <f t="array" ref="J749">IF(
   A749="",
   "",
   _xlfn.LET(
      _xlpm.result,
      IFERROR(
         _xlfn.XLOOKUP(
            1,
            (Table8[رقم الصنف]=A749) *
            (IF($B$9="الكل",1, YEAR('ادخال البيانات'!$N$3:$N$1164)=VALUE($B$9))) *
            (IF($B$10="الكل",1, MONTH('ادخال البيانات'!$N$3:$N$1164)=VALUE($B$10))) *
            (IF($B$11="الكل",1, INT((DAY('ادخال البيانات'!$N$3:$N$1164)-1)/7)+1 = VALUE($B$11))),
            'ادخال البيانات'!$J$3:$J$1164
         ),
         ""
      ),
      IF(_xlpm.result="", "", _xlpm.result)
   )
)</f>
        <v/>
      </c>
      <c r="K749" s="27" t="str" cm="1">
        <f t="array" ref="K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49" s="27" t="str" cm="1">
        <f t="array" ref="L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49" s="27" t="str" cm="1">
        <f t="array" ref="M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49" s="28" t="str" cm="1">
        <f t="array" ref="N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49" s="28" t="str" cm="1">
        <f t="array" ref="O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49" s="27" t="str" cm="1">
        <f t="array" ref="P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Table8[جهة العطل]
         ),
         ""
      ),
      IF(_xlpm.result="", "", _xlpm.result)
   )
)</f>
        <v/>
      </c>
      <c r="Q749" s="27" t="str" cm="1">
        <f t="array" ref="Q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Table8[المركز]
         ),
         ""
      ),
      IF(_xlpm.result="", "", _xlpm.result)
   )
)</f>
        <v/>
      </c>
      <c r="R749" s="27" t="str" cm="1">
        <f t="array" ref="R749">IF(
   A749="",
   "",
   _xlfn.LET(
      _xlpm.result,
      IFERROR(
         _xlfn.XLOOKUP(
            1,
            (Table8[رقم الصنف]=A749) *
            (IF($B$9="الكل",1, YEAR('ادخال البيانات'!$N$3:$N$1164) = VALUE($B$9))) *
            (IF($B$10="الكل",1, MONTH('ادخال البيانات'!$N$3:$N$1164) = VALUE($B$10))) *
            (IF($B$11="الكل",1, INT((DAY('ادخال البيانات'!$N$3:$N$1164) - 1) / 7) + 1 = VALUE($B$11))),
            Table8[ملاحظة]
         ),
         ""
      ),
      IF(_xlpm.result="", "", _xlpm.result)
   )
)</f>
        <v/>
      </c>
      <c r="S749" s="46" t="str">
        <f t="shared" ca="1" si="12"/>
        <v/>
      </c>
    </row>
    <row r="750" spans="1:19" ht="15.6" thickTop="1" thickBot="1" x14ac:dyDescent="0.35">
      <c r="A750" s="39"/>
      <c r="B750" s="27" t="str" cm="1">
        <f t="array" ref="B750">IF(
   OR(A750="", $B$9="", $B$10="", $B$11=""),
   "",
   _xlfn.LET(
      _xlpm.result,
      IFERROR(
         _xlfn.XLOOKUP(
            1,
            (Table8[رقم الصنف]=A750)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0" s="27" t="str" cm="1">
        <f t="array" ref="C750">IF(
   A750="",
   "",
   _xlfn.LET(
      _xlpm.result,
      IFERROR(
         _xlfn.XLOOKUP(
            1,
            (Table8[رقم الصنف]=A750) *
            (IF($B$9="الكل",1, YEAR('ادخال البيانات'!$N$3:$N$1164) = VALUE($B$9))) *
            (IF($B$10="الكل",1, MONTH('ادخال البيانات'!$N$3:$N$1164) = VALUE($B$10))) *
            (IF($B$11="الكل",1, INT((DAY('ادخال البيانات'!$N$3:$N$1164)-1)/7)+1 = VALUE($B$11))),
            'ادخال البيانات'!$C$3:$C$1164
         ),
         ""
      ),
      IF(_xlpm.result="", "", _xlpm.result)
   )
)</f>
        <v/>
      </c>
      <c r="D750" s="27" t="str" cm="1">
        <f t="array" ref="D750">IF(
   OR(A750="", $B$9="", $B$10="", $B$11=""),
   "",
   _xlfn.LET(
      _xlpm.result,
      IFERROR(
         _xlfn.XLOOKUP(
            1,
            (Table8[رقم الصنف]=A750) *
            (IF($B$9="الكل",1, YEAR('ادخال البيانات'!$N$3:$N$1164)=VALUE($B$9))) *
            (IF($B$10="الكل",1, MONTH('ادخال البيانات'!$N$3:$N$1164)=VALUE($B$10))) *
            (IF($B$11="الكل",1, INT((DAY('ادخال البيانات'!$N$3:$N$1164)-1)/7)+1 = VALUE($B$11))),
            'ادخال البيانات'!$D$3:$D$1164
         ),
         ""
      ),
      IF(_xlpm.result="", "", _xlpm.result)
   )
)</f>
        <v/>
      </c>
      <c r="E750" s="27" t="str" cm="1">
        <f t="array" ref="E750">IF(
   A750="",
   "",
   _xlfn.LET(
      _xlpm.result,
      IFERROR(
         _xlfn.XLOOKUP(
            1,
            (Table8[رقم الصنف]=A750) *
            (IF($B$9="الكل",1, YEAR('ادخال البيانات'!$N$3:$N$1164)=VALUE($B$9))) *
            (IF($B$10="الكل",1, MONTH('ادخال البيانات'!$N$3:$N$1164)=VALUE($B$10))) *
            (IF($B$11="الكل",1, INT((DAY('ادخال البيانات'!$N$3:$N$1164)-1)/7)+1 = VALUE($B$11))),
            'ادخال البيانات'!$E$3:$E$1164
         ),
         ""
      ),
      IF(_xlpm.result="", "", _xlpm.result)
   )
)</f>
        <v/>
      </c>
      <c r="F750" s="27" t="str" cm="1">
        <f t="array" ref="F750">IF(
   A750="",
   "",
   _xlfn.LET(
      _xlpm.result,
      IFERROR(
         _xlfn.XLOOKUP(
            1,
            (Table8[رقم الصنف]=A750) *
            (IF($B$9="الكل",1, YEAR('ادخال البيانات'!$N$3:$N$1164) = VALUE($B$9))) *
            (IF($B$10="الكل",1, MONTH('ادخال البيانات'!$N$3:$N$1164) = VALUE($B$10))) *
            (IF($B$11="الكل",1, INT((DAY('ادخال البيانات'!$N$3:$N$1164)-1)/7)+1 = VALUE($B$11))),
            'ادخال البيانات'!$F$3:$F$1164
         ),
         ""
      ),
      IF(_xlpm.result="", "", _xlpm.result)
   )
)</f>
        <v/>
      </c>
      <c r="G750" s="27" t="str" cm="1">
        <f t="array" ref="G750">IF(
   A750="",
   "",
   _xlfn.LET(
      _xlpm.result,
      IFERROR(
         _xlfn.XLOOKUP(
            1,
            (Table8[رقم الصنف]=A750) *
            (IF($B$9="الكل",1, YEAR('ادخال البيانات'!$N$3:$N$1164)=VALUE($B$9))) *
            (IF($B$10="الكل",1, MONTH('ادخال البيانات'!$N$3:$N$1164)=VALUE($B$10))) *
            (IF($B$11="الكل",1, INT((DAY('ادخال البيانات'!$N$3:$N$1164)-1)/7)+1 = VALUE($B$11))),
            'ادخال البيانات'!$G$3:$G$1164
         ),
         ""
      ),
      IF(_xlpm.result="", "", _xlpm.result)
   )
)</f>
        <v/>
      </c>
      <c r="H750" s="27" t="str" cm="1">
        <f t="array" ref="H750">IF(
   A750="",
   "",
   _xlfn.LET(
      _xlpm.result,
      IFERROR(
         _xlfn.XLOOKUP(
            1,
            (Table8[رقم الصنف]=A750) *
            (IF($B$9="الكل",1, YEAR('ادخال البيانات'!$N$3:$N$1164)=VALUE($B$9))) *
            (IF($B$10="الكل",1, MONTH('ادخال البيانات'!$N$3:$N$1164)=VALUE($B$10))) *
            (IF($B$11="الكل",1, INT((DAY('ادخال البيانات'!$N$3:$N$1164)-1)/7)+1 = VALUE($B$11))),
            'ادخال البيانات'!$H$3:$H$1164
         ),
         ""
      ),
      IF(_xlpm.result="", "", _xlpm.result)
   )
)</f>
        <v/>
      </c>
      <c r="I750" s="27" t="str" cm="1">
        <f t="array" ref="I750">IF(
   A750="",
   "",
   _xlfn.LET(
      _xlpm.result,
      IFERROR(
         _xlfn.XLOOKUP(
            1,
            (Table8[رقم الصنف]=A750) *
            (IF($B$9="الكل",1, YEAR('ادخال البيانات'!$N$3:$N$1164)=VALUE($B$9))) *
            (IF($B$10="الكل",1, MONTH('ادخال البيانات'!$N$3:$N$1164)=VALUE($B$10))) *
            (IF($B$11="الكل",1, INT((DAY('ادخال البيانات'!$N$3:$N$1164)-1)/7)+1 = VALUE($B$11))),
            'ادخال البيانات'!$I$3:$I$1164
         ),
         ""
      ),
      IF(_xlpm.result="", "", _xlpm.result)
   )
)</f>
        <v/>
      </c>
      <c r="J750" s="27" t="str" cm="1">
        <f t="array" ref="J750">IF(
   A750="",
   "",
   _xlfn.LET(
      _xlpm.result,
      IFERROR(
         _xlfn.XLOOKUP(
            1,
            (Table8[رقم الصنف]=A750) *
            (IF($B$9="الكل",1, YEAR('ادخال البيانات'!$N$3:$N$1164)=VALUE($B$9))) *
            (IF($B$10="الكل",1, MONTH('ادخال البيانات'!$N$3:$N$1164)=VALUE($B$10))) *
            (IF($B$11="الكل",1, INT((DAY('ادخال البيانات'!$N$3:$N$1164)-1)/7)+1 = VALUE($B$11))),
            'ادخال البيانات'!$J$3:$J$1164
         ),
         ""
      ),
      IF(_xlpm.result="", "", _xlpm.result)
   )
)</f>
        <v/>
      </c>
      <c r="K750" s="27" t="str" cm="1">
        <f t="array" ref="K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0" s="27" t="str" cm="1">
        <f t="array" ref="L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0" s="27" t="str" cm="1">
        <f t="array" ref="M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0" s="28" t="str" cm="1">
        <f t="array" ref="N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0" s="28" t="str" cm="1">
        <f t="array" ref="O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0" s="27" t="str" cm="1">
        <f t="array" ref="P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Table8[جهة العطل]
         ),
         ""
      ),
      IF(_xlpm.result="", "", _xlpm.result)
   )
)</f>
        <v/>
      </c>
      <c r="Q750" s="27" t="str" cm="1">
        <f t="array" ref="Q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Table8[المركز]
         ),
         ""
      ),
      IF(_xlpm.result="", "", _xlpm.result)
   )
)</f>
        <v/>
      </c>
      <c r="R750" s="27" t="str" cm="1">
        <f t="array" ref="R750">IF(
   A750="",
   "",
   _xlfn.LET(
      _xlpm.result,
      IFERROR(
         _xlfn.XLOOKUP(
            1,
            (Table8[رقم الصنف]=A750) *
            (IF($B$9="الكل",1, YEAR('ادخال البيانات'!$N$3:$N$1164) = VALUE($B$9))) *
            (IF($B$10="الكل",1, MONTH('ادخال البيانات'!$N$3:$N$1164) = VALUE($B$10))) *
            (IF($B$11="الكل",1, INT((DAY('ادخال البيانات'!$N$3:$N$1164) - 1) / 7) + 1 = VALUE($B$11))),
            Table8[ملاحظة]
         ),
         ""
      ),
      IF(_xlpm.result="", "", _xlpm.result)
   )
)</f>
        <v/>
      </c>
      <c r="S750" s="46" t="str">
        <f t="shared" ca="1" si="12"/>
        <v/>
      </c>
    </row>
    <row r="751" spans="1:19" ht="15.6" thickTop="1" thickBot="1" x14ac:dyDescent="0.35">
      <c r="A751" s="39"/>
      <c r="B751" s="27" t="str" cm="1">
        <f t="array" ref="B751">IF(
   OR(A751="", $B$9="", $B$10="", $B$11=""),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1" s="27" t="str" cm="1">
        <f t="array" ref="C751">IF(
   A751="",
   "",
   _xlfn.LET(
      _xlpm.result,
      IFERROR(
         _xlfn.XLOOKUP(
            1,
            (Table8[رقم الصنف]=A751) *
            (IF($B$9="الكل",1, YEAR('ادخال البيانات'!$N$3:$N$1164) = VALUE($B$9))) *
            (IF($B$10="الكل",1, MONTH('ادخال البيانات'!$N$3:$N$1164) = VALUE($B$10))) *
            (IF($B$11="الكل",1, INT((DAY('ادخال البيانات'!$N$3:$N$1164)-1)/7)+1 = VALUE($B$11))),
            'ادخال البيانات'!$C$3:$C$1164
         ),
         ""
      ),
      IF(_xlpm.result="", "", _xlpm.result)
   )
)</f>
        <v/>
      </c>
      <c r="D751" s="27" t="str" cm="1">
        <f t="array" ref="D751">IF(
   OR(A751="", $B$9="", $B$10="", $B$11=""),
   "",
   _xlfn.LET(
      _xlpm.result,
      IFERROR(
         _xlfn.XLOOKUP(
            1,
            (Table8[رقم الصنف]=A751) *
            (IF($B$9="الكل",1, YEAR('ادخال البيانات'!$N$3:$N$1164)=VALUE($B$9))) *
            (IF($B$10="الكل",1, MONTH('ادخال البيانات'!$N$3:$N$1164)=VALUE($B$10))) *
            (IF($B$11="الكل",1, INT((DAY('ادخال البيانات'!$N$3:$N$1164)-1)/7)+1 = VALUE($B$11))),
            'ادخال البيانات'!$D$3:$D$1164
         ),
         ""
      ),
      IF(_xlpm.result="", "", _xlpm.result)
   )
)</f>
        <v/>
      </c>
      <c r="E751" s="27" t="str" cm="1">
        <f t="array" ref="E751">IF(
   A751="",
   "",
   _xlfn.LET(
      _xlpm.result,
      IFERROR(
         _xlfn.XLOOKUP(
            1,
            (Table8[رقم الصنف]=A751) *
            (IF($B$9="الكل",1, YEAR('ادخال البيانات'!$N$3:$N$1164)=VALUE($B$9))) *
            (IF($B$10="الكل",1, MONTH('ادخال البيانات'!$N$3:$N$1164)=VALUE($B$10))) *
            (IF($B$11="الكل",1, INT((DAY('ادخال البيانات'!$N$3:$N$1164)-1)/7)+1 = VALUE($B$11))),
            'ادخال البيانات'!$E$3:$E$1164
         ),
         ""
      ),
      IF(_xlpm.result="", "", _xlpm.result)
   )
)</f>
        <v/>
      </c>
      <c r="F751" s="27" t="str" cm="1">
        <f t="array" ref="F751">IF(
   A751="",
   "",
   _xlfn.LET(
      _xlpm.result,
      IFERROR(
         _xlfn.XLOOKUP(
            1,
            (Table8[رقم الصنف]=A751) *
            (IF($B$9="الكل",1, YEAR('ادخال البيانات'!$N$3:$N$1164) = VALUE($B$9))) *
            (IF($B$10="الكل",1, MONTH('ادخال البيانات'!$N$3:$N$1164) = VALUE($B$10))) *
            (IF($B$11="الكل",1, INT((DAY('ادخال البيانات'!$N$3:$N$1164)-1)/7)+1 = VALUE($B$11))),
            'ادخال البيانات'!$F$3:$F$1164
         ),
         ""
      ),
      IF(_xlpm.result="", "", _xlpm.result)
   )
)</f>
        <v/>
      </c>
      <c r="G751" s="27" t="str" cm="1">
        <f t="array" ref="G751">IF(
   A751="",
   "",
   _xlfn.LET(
      _xlpm.result,
      IFERROR(
         _xlfn.XLOOKUP(
            1,
            (Table8[رقم الصنف]=A751) *
            (IF($B$9="الكل",1, YEAR('ادخال البيانات'!$N$3:$N$1164)=VALUE($B$9))) *
            (IF($B$10="الكل",1, MONTH('ادخال البيانات'!$N$3:$N$1164)=VALUE($B$10))) *
            (IF($B$11="الكل",1, INT((DAY('ادخال البيانات'!$N$3:$N$1164)-1)/7)+1 = VALUE($B$11))),
            'ادخال البيانات'!$G$3:$G$1164
         ),
         ""
      ),
      IF(_xlpm.result="", "", _xlpm.result)
   )
)</f>
        <v/>
      </c>
      <c r="H751" s="27" t="str" cm="1">
        <f t="array" ref="H751">IF(
   A751="",
   "",
   _xlfn.LET(
      _xlpm.result,
      IFERROR(
         _xlfn.XLOOKUP(
            1,
            (Table8[رقم الصنف]=A751) *
            (IF($B$9="الكل",1, YEAR('ادخال البيانات'!$N$3:$N$1164)=VALUE($B$9))) *
            (IF($B$10="الكل",1, MONTH('ادخال البيانات'!$N$3:$N$1164)=VALUE($B$10))) *
            (IF($B$11="الكل",1, INT((DAY('ادخال البيانات'!$N$3:$N$1164)-1)/7)+1 = VALUE($B$11))),
            'ادخال البيانات'!$H$3:$H$1164
         ),
         ""
      ),
      IF(_xlpm.result="", "", _xlpm.result)
   )
)</f>
        <v/>
      </c>
      <c r="I751" s="27" t="str" cm="1">
        <f t="array" ref="I751">IF(
   A751="",
   "",
   _xlfn.LET(
      _xlpm.result,
      IFERROR(
         _xlfn.XLOOKUP(
            1,
            (Table8[رقم الصنف]=A751) *
            (IF($B$9="الكل",1, YEAR('ادخال البيانات'!$N$3:$N$1164)=VALUE($B$9))) *
            (IF($B$10="الكل",1, MONTH('ادخال البيانات'!$N$3:$N$1164)=VALUE($B$10))) *
            (IF($B$11="الكل",1, INT((DAY('ادخال البيانات'!$N$3:$N$1164)-1)/7)+1 = VALUE($B$11))),
            'ادخال البيانات'!$I$3:$I$1164
         ),
         ""
      ),
      IF(_xlpm.result="", "", _xlpm.result)
   )
)</f>
        <v/>
      </c>
      <c r="J751" s="27" t="str" cm="1">
        <f t="array" ref="J751">IF(
   A751="",
   "",
   _xlfn.LET(
      _xlpm.result,
      IFERROR(
         _xlfn.XLOOKUP(
            1,
            (Table8[رقم الصنف]=A751) *
            (IF($B$9="الكل",1, YEAR('ادخال البيانات'!$N$3:$N$1164)=VALUE($B$9))) *
            (IF($B$10="الكل",1, MONTH('ادخال البيانات'!$N$3:$N$1164)=VALUE($B$10))) *
            (IF($B$11="الكل",1, INT((DAY('ادخال البيانات'!$N$3:$N$1164)-1)/7)+1 = VALUE($B$11))),
            'ادخال البيانات'!$J$3:$J$1164
         ),
         ""
      ),
      IF(_xlpm.result="", "", _xlpm.result)
   )
)</f>
        <v/>
      </c>
      <c r="K751" s="27" t="str" cm="1">
        <f t="array" ref="K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1" s="27" t="str" cm="1">
        <f t="array" ref="L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1" s="27" t="str" cm="1">
        <f t="array" ref="M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1" s="28" t="str" cm="1">
        <f t="array" ref="N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1" s="28" t="str" cm="1">
        <f t="array" ref="O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1" s="27" t="str" cm="1">
        <f t="array" ref="P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Table8[جهة العطل]
         ),
         ""
      ),
      IF(_xlpm.result="", "", _xlpm.result)
   )
)</f>
        <v/>
      </c>
      <c r="Q751" s="27" t="str" cm="1">
        <f t="array" ref="Q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Table8[المركز]
         ),
         ""
      ),
      IF(_xlpm.result="", "", _xlpm.result)
   )
)</f>
        <v/>
      </c>
      <c r="R751" s="27" t="str" cm="1">
        <f t="array" ref="R751">IF(
   A751="",
   "",
   _xlfn.LET(
      _xlpm.result,
      IFERROR(
         _xlfn.XLOOKUP(
            1,
            (Table8[رقم الصنف]=A751) *
            (IF($B$9="الكل",1, YEAR('ادخال البيانات'!$N$3:$N$1164) = VALUE($B$9))) *
            (IF($B$10="الكل",1, MONTH('ادخال البيانات'!$N$3:$N$1164) = VALUE($B$10))) *
            (IF($B$11="الكل",1, INT((DAY('ادخال البيانات'!$N$3:$N$1164) - 1) / 7) + 1 = VALUE($B$11))),
            Table8[ملاحظة]
         ),
         ""
      ),
      IF(_xlpm.result="", "", _xlpm.result)
   )
)</f>
        <v/>
      </c>
      <c r="S751" s="46" t="str">
        <f t="shared" ca="1" si="12"/>
        <v/>
      </c>
    </row>
    <row r="752" spans="1:19" ht="15.6" thickTop="1" thickBot="1" x14ac:dyDescent="0.35">
      <c r="A752" s="39"/>
      <c r="B752" s="27" t="str" cm="1">
        <f t="array" ref="B752">IF(
   OR(A752="", $B$9="", $B$10="", $B$11=""),
   "",
   _xlfn.LET(
      _xlpm.result,
      IFERROR(
         _xlfn.XLOOKUP(
            1,
            (Table8[رقم الصنف]=A752)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2" s="27" t="str" cm="1">
        <f t="array" ref="C752">IF(
   A752="",
   "",
   _xlfn.LET(
      _xlpm.result,
      IFERROR(
         _xlfn.XLOOKUP(
            1,
            (Table8[رقم الصنف]=A752) *
            (IF($B$9="الكل",1, YEAR('ادخال البيانات'!$N$3:$N$1164) = VALUE($B$9))) *
            (IF($B$10="الكل",1, MONTH('ادخال البيانات'!$N$3:$N$1164) = VALUE($B$10))) *
            (IF($B$11="الكل",1, INT((DAY('ادخال البيانات'!$N$3:$N$1164)-1)/7)+1 = VALUE($B$11))),
            'ادخال البيانات'!$C$3:$C$1164
         ),
         ""
      ),
      IF(_xlpm.result="", "", _xlpm.result)
   )
)</f>
        <v/>
      </c>
      <c r="D752" s="27" t="str" cm="1">
        <f t="array" ref="D752">IF(
   OR(A752="", $B$9="", $B$10="", $B$11=""),
   "",
   _xlfn.LET(
      _xlpm.result,
      IFERROR(
         _xlfn.XLOOKUP(
            1,
            (Table8[رقم الصنف]=A752) *
            (IF($B$9="الكل",1, YEAR('ادخال البيانات'!$N$3:$N$1164)=VALUE($B$9))) *
            (IF($B$10="الكل",1, MONTH('ادخال البيانات'!$N$3:$N$1164)=VALUE($B$10))) *
            (IF($B$11="الكل",1, INT((DAY('ادخال البيانات'!$N$3:$N$1164)-1)/7)+1 = VALUE($B$11))),
            'ادخال البيانات'!$D$3:$D$1164
         ),
         ""
      ),
      IF(_xlpm.result="", "", _xlpm.result)
   )
)</f>
        <v/>
      </c>
      <c r="E752" s="27" t="str" cm="1">
        <f t="array" ref="E752">IF(
   A752="",
   "",
   _xlfn.LET(
      _xlpm.result,
      IFERROR(
         _xlfn.XLOOKUP(
            1,
            (Table8[رقم الصنف]=A752) *
            (IF($B$9="الكل",1, YEAR('ادخال البيانات'!$N$3:$N$1164)=VALUE($B$9))) *
            (IF($B$10="الكل",1, MONTH('ادخال البيانات'!$N$3:$N$1164)=VALUE($B$10))) *
            (IF($B$11="الكل",1, INT((DAY('ادخال البيانات'!$N$3:$N$1164)-1)/7)+1 = VALUE($B$11))),
            'ادخال البيانات'!$E$3:$E$1164
         ),
         ""
      ),
      IF(_xlpm.result="", "", _xlpm.result)
   )
)</f>
        <v/>
      </c>
      <c r="F752" s="27" t="str" cm="1">
        <f t="array" ref="F752">IF(
   A752="",
   "",
   _xlfn.LET(
      _xlpm.result,
      IFERROR(
         _xlfn.XLOOKUP(
            1,
            (Table8[رقم الصنف]=A752) *
            (IF($B$9="الكل",1, YEAR('ادخال البيانات'!$N$3:$N$1164) = VALUE($B$9))) *
            (IF($B$10="الكل",1, MONTH('ادخال البيانات'!$N$3:$N$1164) = VALUE($B$10))) *
            (IF($B$11="الكل",1, INT((DAY('ادخال البيانات'!$N$3:$N$1164)-1)/7)+1 = VALUE($B$11))),
            'ادخال البيانات'!$F$3:$F$1164
         ),
         ""
      ),
      IF(_xlpm.result="", "", _xlpm.result)
   )
)</f>
        <v/>
      </c>
      <c r="G752" s="27" t="str" cm="1">
        <f t="array" ref="G752">IF(
   A752="",
   "",
   _xlfn.LET(
      _xlpm.result,
      IFERROR(
         _xlfn.XLOOKUP(
            1,
            (Table8[رقم الصنف]=A752) *
            (IF($B$9="الكل",1, YEAR('ادخال البيانات'!$N$3:$N$1164)=VALUE($B$9))) *
            (IF($B$10="الكل",1, MONTH('ادخال البيانات'!$N$3:$N$1164)=VALUE($B$10))) *
            (IF($B$11="الكل",1, INT((DAY('ادخال البيانات'!$N$3:$N$1164)-1)/7)+1 = VALUE($B$11))),
            'ادخال البيانات'!$G$3:$G$1164
         ),
         ""
      ),
      IF(_xlpm.result="", "", _xlpm.result)
   )
)</f>
        <v/>
      </c>
      <c r="H752" s="27" t="str" cm="1">
        <f t="array" ref="H752">IF(
   A752="",
   "",
   _xlfn.LET(
      _xlpm.result,
      IFERROR(
         _xlfn.XLOOKUP(
            1,
            (Table8[رقم الصنف]=A752) *
            (IF($B$9="الكل",1, YEAR('ادخال البيانات'!$N$3:$N$1164)=VALUE($B$9))) *
            (IF($B$10="الكل",1, MONTH('ادخال البيانات'!$N$3:$N$1164)=VALUE($B$10))) *
            (IF($B$11="الكل",1, INT((DAY('ادخال البيانات'!$N$3:$N$1164)-1)/7)+1 = VALUE($B$11))),
            'ادخال البيانات'!$H$3:$H$1164
         ),
         ""
      ),
      IF(_xlpm.result="", "", _xlpm.result)
   )
)</f>
        <v/>
      </c>
      <c r="I752" s="27" t="str" cm="1">
        <f t="array" ref="I752">IF(
   A752="",
   "",
   _xlfn.LET(
      _xlpm.result,
      IFERROR(
         _xlfn.XLOOKUP(
            1,
            (Table8[رقم الصنف]=A752) *
            (IF($B$9="الكل",1, YEAR('ادخال البيانات'!$N$3:$N$1164)=VALUE($B$9))) *
            (IF($B$10="الكل",1, MONTH('ادخال البيانات'!$N$3:$N$1164)=VALUE($B$10))) *
            (IF($B$11="الكل",1, INT((DAY('ادخال البيانات'!$N$3:$N$1164)-1)/7)+1 = VALUE($B$11))),
            'ادخال البيانات'!$I$3:$I$1164
         ),
         ""
      ),
      IF(_xlpm.result="", "", _xlpm.result)
   )
)</f>
        <v/>
      </c>
      <c r="J752" s="27" t="str" cm="1">
        <f t="array" ref="J752">IF(
   A752="",
   "",
   _xlfn.LET(
      _xlpm.result,
      IFERROR(
         _xlfn.XLOOKUP(
            1,
            (Table8[رقم الصنف]=A752) *
            (IF($B$9="الكل",1, YEAR('ادخال البيانات'!$N$3:$N$1164)=VALUE($B$9))) *
            (IF($B$10="الكل",1, MONTH('ادخال البيانات'!$N$3:$N$1164)=VALUE($B$10))) *
            (IF($B$11="الكل",1, INT((DAY('ادخال البيانات'!$N$3:$N$1164)-1)/7)+1 = VALUE($B$11))),
            'ادخال البيانات'!$J$3:$J$1164
         ),
         ""
      ),
      IF(_xlpm.result="", "", _xlpm.result)
   )
)</f>
        <v/>
      </c>
      <c r="K752" s="27" t="str" cm="1">
        <f t="array" ref="K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2" s="27" t="str" cm="1">
        <f t="array" ref="L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2" s="27" t="str" cm="1">
        <f t="array" ref="M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2" s="28" t="str" cm="1">
        <f t="array" ref="N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2" s="28" t="str" cm="1">
        <f t="array" ref="O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2" s="27" t="str" cm="1">
        <f t="array" ref="P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Table8[جهة العطل]
         ),
         ""
      ),
      IF(_xlpm.result="", "", _xlpm.result)
   )
)</f>
        <v/>
      </c>
      <c r="Q752" s="27" t="str" cm="1">
        <f t="array" ref="Q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Table8[المركز]
         ),
         ""
      ),
      IF(_xlpm.result="", "", _xlpm.result)
   )
)</f>
        <v/>
      </c>
      <c r="R752" s="27" t="str" cm="1">
        <f t="array" ref="R752">IF(
   A752="",
   "",
   _xlfn.LET(
      _xlpm.result,
      IFERROR(
         _xlfn.XLOOKUP(
            1,
            (Table8[رقم الصنف]=A752) *
            (IF($B$9="الكل",1, YEAR('ادخال البيانات'!$N$3:$N$1164) = VALUE($B$9))) *
            (IF($B$10="الكل",1, MONTH('ادخال البيانات'!$N$3:$N$1164) = VALUE($B$10))) *
            (IF($B$11="الكل",1, INT((DAY('ادخال البيانات'!$N$3:$N$1164) - 1) / 7) + 1 = VALUE($B$11))),
            Table8[ملاحظة]
         ),
         ""
      ),
      IF(_xlpm.result="", "", _xlpm.result)
   )
)</f>
        <v/>
      </c>
      <c r="S752" s="46" t="str">
        <f t="shared" ca="1" si="12"/>
        <v/>
      </c>
    </row>
    <row r="753" spans="1:19" ht="15.6" thickTop="1" thickBot="1" x14ac:dyDescent="0.35">
      <c r="A753" s="39"/>
      <c r="B753" s="27" t="str" cm="1">
        <f t="array" ref="B753">IF(
   OR(A753="", $B$9="", $B$10="", $B$11=""),
   "",
   _xlfn.LET(
      _xlpm.result,
      IFERROR(
         _xlfn.XLOOKUP(
            1,
            (Table8[رقم الصنف]=A753)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3" s="27" t="str" cm="1">
        <f t="array" ref="C753">IF(
   A753="",
   "",
   _xlfn.LET(
      _xlpm.result,
      IFERROR(
         _xlfn.XLOOKUP(
            1,
            (Table8[رقم الصنف]=A753) *
            (IF($B$9="الكل",1, YEAR('ادخال البيانات'!$N$3:$N$1164) = VALUE($B$9))) *
            (IF($B$10="الكل",1, MONTH('ادخال البيانات'!$N$3:$N$1164) = VALUE($B$10))) *
            (IF($B$11="الكل",1, INT((DAY('ادخال البيانات'!$N$3:$N$1164)-1)/7)+1 = VALUE($B$11))),
            'ادخال البيانات'!$C$3:$C$1164
         ),
         ""
      ),
      IF(_xlpm.result="", "", _xlpm.result)
   )
)</f>
        <v/>
      </c>
      <c r="D753" s="27" t="str" cm="1">
        <f t="array" ref="D753">IF(
   OR(A753="", $B$9="", $B$10="", $B$11=""),
   "",
   _xlfn.LET(
      _xlpm.result,
      IFERROR(
         _xlfn.XLOOKUP(
            1,
            (Table8[رقم الصنف]=A753) *
            (IF($B$9="الكل",1, YEAR('ادخال البيانات'!$N$3:$N$1164)=VALUE($B$9))) *
            (IF($B$10="الكل",1, MONTH('ادخال البيانات'!$N$3:$N$1164)=VALUE($B$10))) *
            (IF($B$11="الكل",1, INT((DAY('ادخال البيانات'!$N$3:$N$1164)-1)/7)+1 = VALUE($B$11))),
            'ادخال البيانات'!$D$3:$D$1164
         ),
         ""
      ),
      IF(_xlpm.result="", "", _xlpm.result)
   )
)</f>
        <v/>
      </c>
      <c r="E753" s="27" t="str" cm="1">
        <f t="array" ref="E753">IF(
   A753="",
   "",
   _xlfn.LET(
      _xlpm.result,
      IFERROR(
         _xlfn.XLOOKUP(
            1,
            (Table8[رقم الصنف]=A753) *
            (IF($B$9="الكل",1, YEAR('ادخال البيانات'!$N$3:$N$1164)=VALUE($B$9))) *
            (IF($B$10="الكل",1, MONTH('ادخال البيانات'!$N$3:$N$1164)=VALUE($B$10))) *
            (IF($B$11="الكل",1, INT((DAY('ادخال البيانات'!$N$3:$N$1164)-1)/7)+1 = VALUE($B$11))),
            'ادخال البيانات'!$E$3:$E$1164
         ),
         ""
      ),
      IF(_xlpm.result="", "", _xlpm.result)
   )
)</f>
        <v/>
      </c>
      <c r="F753" s="27" t="str" cm="1">
        <f t="array" ref="F753">IF(
   A753="",
   "",
   _xlfn.LET(
      _xlpm.result,
      IFERROR(
         _xlfn.XLOOKUP(
            1,
            (Table8[رقم الصنف]=A753) *
            (IF($B$9="الكل",1, YEAR('ادخال البيانات'!$N$3:$N$1164) = VALUE($B$9))) *
            (IF($B$10="الكل",1, MONTH('ادخال البيانات'!$N$3:$N$1164) = VALUE($B$10))) *
            (IF($B$11="الكل",1, INT((DAY('ادخال البيانات'!$N$3:$N$1164)-1)/7)+1 = VALUE($B$11))),
            'ادخال البيانات'!$F$3:$F$1164
         ),
         ""
      ),
      IF(_xlpm.result="", "", _xlpm.result)
   )
)</f>
        <v/>
      </c>
      <c r="G753" s="27" t="str" cm="1">
        <f t="array" ref="G753">IF(
   A753="",
   "",
   _xlfn.LET(
      _xlpm.result,
      IFERROR(
         _xlfn.XLOOKUP(
            1,
            (Table8[رقم الصنف]=A753) *
            (IF($B$9="الكل",1, YEAR('ادخال البيانات'!$N$3:$N$1164)=VALUE($B$9))) *
            (IF($B$10="الكل",1, MONTH('ادخال البيانات'!$N$3:$N$1164)=VALUE($B$10))) *
            (IF($B$11="الكل",1, INT((DAY('ادخال البيانات'!$N$3:$N$1164)-1)/7)+1 = VALUE($B$11))),
            'ادخال البيانات'!$G$3:$G$1164
         ),
         ""
      ),
      IF(_xlpm.result="", "", _xlpm.result)
   )
)</f>
        <v/>
      </c>
      <c r="H753" s="27" t="str" cm="1">
        <f t="array" ref="H753">IF(
   A753="",
   "",
   _xlfn.LET(
      _xlpm.result,
      IFERROR(
         _xlfn.XLOOKUP(
            1,
            (Table8[رقم الصنف]=A753) *
            (IF($B$9="الكل",1, YEAR('ادخال البيانات'!$N$3:$N$1164)=VALUE($B$9))) *
            (IF($B$10="الكل",1, MONTH('ادخال البيانات'!$N$3:$N$1164)=VALUE($B$10))) *
            (IF($B$11="الكل",1, INT((DAY('ادخال البيانات'!$N$3:$N$1164)-1)/7)+1 = VALUE($B$11))),
            'ادخال البيانات'!$H$3:$H$1164
         ),
         ""
      ),
      IF(_xlpm.result="", "", _xlpm.result)
   )
)</f>
        <v/>
      </c>
      <c r="I753" s="27" t="str" cm="1">
        <f t="array" ref="I753">IF(
   A753="",
   "",
   _xlfn.LET(
      _xlpm.result,
      IFERROR(
         _xlfn.XLOOKUP(
            1,
            (Table8[رقم الصنف]=A753) *
            (IF($B$9="الكل",1, YEAR('ادخال البيانات'!$N$3:$N$1164)=VALUE($B$9))) *
            (IF($B$10="الكل",1, MONTH('ادخال البيانات'!$N$3:$N$1164)=VALUE($B$10))) *
            (IF($B$11="الكل",1, INT((DAY('ادخال البيانات'!$N$3:$N$1164)-1)/7)+1 = VALUE($B$11))),
            'ادخال البيانات'!$I$3:$I$1164
         ),
         ""
      ),
      IF(_xlpm.result="", "", _xlpm.result)
   )
)</f>
        <v/>
      </c>
      <c r="J753" s="27" t="str" cm="1">
        <f t="array" ref="J753">IF(
   A753="",
   "",
   _xlfn.LET(
      _xlpm.result,
      IFERROR(
         _xlfn.XLOOKUP(
            1,
            (Table8[رقم الصنف]=A753) *
            (IF($B$9="الكل",1, YEAR('ادخال البيانات'!$N$3:$N$1164)=VALUE($B$9))) *
            (IF($B$10="الكل",1, MONTH('ادخال البيانات'!$N$3:$N$1164)=VALUE($B$10))) *
            (IF($B$11="الكل",1, INT((DAY('ادخال البيانات'!$N$3:$N$1164)-1)/7)+1 = VALUE($B$11))),
            'ادخال البيانات'!$J$3:$J$1164
         ),
         ""
      ),
      IF(_xlpm.result="", "", _xlpm.result)
   )
)</f>
        <v/>
      </c>
      <c r="K753" s="27" t="str" cm="1">
        <f t="array" ref="K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3" s="27" t="str" cm="1">
        <f t="array" ref="L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3" s="27" t="str" cm="1">
        <f t="array" ref="M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3" s="28" t="str" cm="1">
        <f t="array" ref="N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3" s="28" t="str" cm="1">
        <f t="array" ref="O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3" s="27" t="str" cm="1">
        <f t="array" ref="P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Table8[جهة العطل]
         ),
         ""
      ),
      IF(_xlpm.result="", "", _xlpm.result)
   )
)</f>
        <v/>
      </c>
      <c r="Q753" s="27" t="str" cm="1">
        <f t="array" ref="Q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Table8[المركز]
         ),
         ""
      ),
      IF(_xlpm.result="", "", _xlpm.result)
   )
)</f>
        <v/>
      </c>
      <c r="R753" s="27" t="str" cm="1">
        <f t="array" ref="R753">IF(
   A753="",
   "",
   _xlfn.LET(
      _xlpm.result,
      IFERROR(
         _xlfn.XLOOKUP(
            1,
            (Table8[رقم الصنف]=A753) *
            (IF($B$9="الكل",1, YEAR('ادخال البيانات'!$N$3:$N$1164) = VALUE($B$9))) *
            (IF($B$10="الكل",1, MONTH('ادخال البيانات'!$N$3:$N$1164) = VALUE($B$10))) *
            (IF($B$11="الكل",1, INT((DAY('ادخال البيانات'!$N$3:$N$1164) - 1) / 7) + 1 = VALUE($B$11))),
            Table8[ملاحظة]
         ),
         ""
      ),
      IF(_xlpm.result="", "", _xlpm.result)
   )
)</f>
        <v/>
      </c>
      <c r="S753" s="46" t="str">
        <f t="shared" ca="1" si="12"/>
        <v/>
      </c>
    </row>
    <row r="754" spans="1:19" ht="15.6" thickTop="1" thickBot="1" x14ac:dyDescent="0.35">
      <c r="A754" s="39"/>
      <c r="B754" s="27" t="str" cm="1">
        <f t="array" ref="B754">IF(
   OR(A754="", $B$9="", $B$10="", $B$11=""),
   "",
   _xlfn.LET(
      _xlpm.result,
      IFERROR(
         _xlfn.XLOOKUP(
            1,
            (Table8[رقم الصنف]=A754)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4" s="27" t="str" cm="1">
        <f t="array" ref="C754">IF(
   A754="",
   "",
   _xlfn.LET(
      _xlpm.result,
      IFERROR(
         _xlfn.XLOOKUP(
            1,
            (Table8[رقم الصنف]=A754) *
            (IF($B$9="الكل",1, YEAR('ادخال البيانات'!$N$3:$N$1164) = VALUE($B$9))) *
            (IF($B$10="الكل",1, MONTH('ادخال البيانات'!$N$3:$N$1164) = VALUE($B$10))) *
            (IF($B$11="الكل",1, INT((DAY('ادخال البيانات'!$N$3:$N$1164)-1)/7)+1 = VALUE($B$11))),
            'ادخال البيانات'!$C$3:$C$1164
         ),
         ""
      ),
      IF(_xlpm.result="", "", _xlpm.result)
   )
)</f>
        <v/>
      </c>
      <c r="D754" s="27" t="str" cm="1">
        <f t="array" ref="D754">IF(
   OR(A754="", $B$9="", $B$10="", $B$11=""),
   "",
   _xlfn.LET(
      _xlpm.result,
      IFERROR(
         _xlfn.XLOOKUP(
            1,
            (Table8[رقم الصنف]=A754) *
            (IF($B$9="الكل",1, YEAR('ادخال البيانات'!$N$3:$N$1164)=VALUE($B$9))) *
            (IF($B$10="الكل",1, MONTH('ادخال البيانات'!$N$3:$N$1164)=VALUE($B$10))) *
            (IF($B$11="الكل",1, INT((DAY('ادخال البيانات'!$N$3:$N$1164)-1)/7)+1 = VALUE($B$11))),
            'ادخال البيانات'!$D$3:$D$1164
         ),
         ""
      ),
      IF(_xlpm.result="", "", _xlpm.result)
   )
)</f>
        <v/>
      </c>
      <c r="E754" s="27" t="str" cm="1">
        <f t="array" ref="E754">IF(
   A754="",
   "",
   _xlfn.LET(
      _xlpm.result,
      IFERROR(
         _xlfn.XLOOKUP(
            1,
            (Table8[رقم الصنف]=A754) *
            (IF($B$9="الكل",1, YEAR('ادخال البيانات'!$N$3:$N$1164)=VALUE($B$9))) *
            (IF($B$10="الكل",1, MONTH('ادخال البيانات'!$N$3:$N$1164)=VALUE($B$10))) *
            (IF($B$11="الكل",1, INT((DAY('ادخال البيانات'!$N$3:$N$1164)-1)/7)+1 = VALUE($B$11))),
            'ادخال البيانات'!$E$3:$E$1164
         ),
         ""
      ),
      IF(_xlpm.result="", "", _xlpm.result)
   )
)</f>
        <v/>
      </c>
      <c r="F754" s="27" t="str" cm="1">
        <f t="array" ref="F754">IF(
   A754="",
   "",
   _xlfn.LET(
      _xlpm.result,
      IFERROR(
         _xlfn.XLOOKUP(
            1,
            (Table8[رقم الصنف]=A754) *
            (IF($B$9="الكل",1, YEAR('ادخال البيانات'!$N$3:$N$1164) = VALUE($B$9))) *
            (IF($B$10="الكل",1, MONTH('ادخال البيانات'!$N$3:$N$1164) = VALUE($B$10))) *
            (IF($B$11="الكل",1, INT((DAY('ادخال البيانات'!$N$3:$N$1164)-1)/7)+1 = VALUE($B$11))),
            'ادخال البيانات'!$F$3:$F$1164
         ),
         ""
      ),
      IF(_xlpm.result="", "", _xlpm.result)
   )
)</f>
        <v/>
      </c>
      <c r="G754" s="27" t="str" cm="1">
        <f t="array" ref="G754">IF(
   A754="",
   "",
   _xlfn.LET(
      _xlpm.result,
      IFERROR(
         _xlfn.XLOOKUP(
            1,
            (Table8[رقم الصنف]=A754) *
            (IF($B$9="الكل",1, YEAR('ادخال البيانات'!$N$3:$N$1164)=VALUE($B$9))) *
            (IF($B$10="الكل",1, MONTH('ادخال البيانات'!$N$3:$N$1164)=VALUE($B$10))) *
            (IF($B$11="الكل",1, INT((DAY('ادخال البيانات'!$N$3:$N$1164)-1)/7)+1 = VALUE($B$11))),
            'ادخال البيانات'!$G$3:$G$1164
         ),
         ""
      ),
      IF(_xlpm.result="", "", _xlpm.result)
   )
)</f>
        <v/>
      </c>
      <c r="H754" s="27" t="str" cm="1">
        <f t="array" ref="H754">IF(
   A754="",
   "",
   _xlfn.LET(
      _xlpm.result,
      IFERROR(
         _xlfn.XLOOKUP(
            1,
            (Table8[رقم الصنف]=A754) *
            (IF($B$9="الكل",1, YEAR('ادخال البيانات'!$N$3:$N$1164)=VALUE($B$9))) *
            (IF($B$10="الكل",1, MONTH('ادخال البيانات'!$N$3:$N$1164)=VALUE($B$10))) *
            (IF($B$11="الكل",1, INT((DAY('ادخال البيانات'!$N$3:$N$1164)-1)/7)+1 = VALUE($B$11))),
            'ادخال البيانات'!$H$3:$H$1164
         ),
         ""
      ),
      IF(_xlpm.result="", "", _xlpm.result)
   )
)</f>
        <v/>
      </c>
      <c r="I754" s="27" t="str" cm="1">
        <f t="array" ref="I754">IF(
   A754="",
   "",
   _xlfn.LET(
      _xlpm.result,
      IFERROR(
         _xlfn.XLOOKUP(
            1,
            (Table8[رقم الصنف]=A754) *
            (IF($B$9="الكل",1, YEAR('ادخال البيانات'!$N$3:$N$1164)=VALUE($B$9))) *
            (IF($B$10="الكل",1, MONTH('ادخال البيانات'!$N$3:$N$1164)=VALUE($B$10))) *
            (IF($B$11="الكل",1, INT((DAY('ادخال البيانات'!$N$3:$N$1164)-1)/7)+1 = VALUE($B$11))),
            'ادخال البيانات'!$I$3:$I$1164
         ),
         ""
      ),
      IF(_xlpm.result="", "", _xlpm.result)
   )
)</f>
        <v/>
      </c>
      <c r="J754" s="27" t="str" cm="1">
        <f t="array" ref="J754">IF(
   A754="",
   "",
   _xlfn.LET(
      _xlpm.result,
      IFERROR(
         _xlfn.XLOOKUP(
            1,
            (Table8[رقم الصنف]=A754) *
            (IF($B$9="الكل",1, YEAR('ادخال البيانات'!$N$3:$N$1164)=VALUE($B$9))) *
            (IF($B$10="الكل",1, MONTH('ادخال البيانات'!$N$3:$N$1164)=VALUE($B$10))) *
            (IF($B$11="الكل",1, INT((DAY('ادخال البيانات'!$N$3:$N$1164)-1)/7)+1 = VALUE($B$11))),
            'ادخال البيانات'!$J$3:$J$1164
         ),
         ""
      ),
      IF(_xlpm.result="", "", _xlpm.result)
   )
)</f>
        <v/>
      </c>
      <c r="K754" s="27" t="str" cm="1">
        <f t="array" ref="K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4" s="27" t="str" cm="1">
        <f t="array" ref="L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4" s="27" t="str" cm="1">
        <f t="array" ref="M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4" s="28" t="str" cm="1">
        <f t="array" ref="N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4" s="28" t="str" cm="1">
        <f t="array" ref="O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4" s="27" t="str" cm="1">
        <f t="array" ref="P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Table8[جهة العطل]
         ),
         ""
      ),
      IF(_xlpm.result="", "", _xlpm.result)
   )
)</f>
        <v/>
      </c>
      <c r="Q754" s="27" t="str" cm="1">
        <f t="array" ref="Q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Table8[المركز]
         ),
         ""
      ),
      IF(_xlpm.result="", "", _xlpm.result)
   )
)</f>
        <v/>
      </c>
      <c r="R754" s="27" t="str" cm="1">
        <f t="array" ref="R754">IF(
   A754="",
   "",
   _xlfn.LET(
      _xlpm.result,
      IFERROR(
         _xlfn.XLOOKUP(
            1,
            (Table8[رقم الصنف]=A754) *
            (IF($B$9="الكل",1, YEAR('ادخال البيانات'!$N$3:$N$1164) = VALUE($B$9))) *
            (IF($B$10="الكل",1, MONTH('ادخال البيانات'!$N$3:$N$1164) = VALUE($B$10))) *
            (IF($B$11="الكل",1, INT((DAY('ادخال البيانات'!$N$3:$N$1164) - 1) / 7) + 1 = VALUE($B$11))),
            Table8[ملاحظة]
         ),
         ""
      ),
      IF(_xlpm.result="", "", _xlpm.result)
   )
)</f>
        <v/>
      </c>
      <c r="S754" s="46" t="str">
        <f t="shared" ca="1" si="12"/>
        <v/>
      </c>
    </row>
    <row r="755" spans="1:19" ht="15.6" thickTop="1" thickBot="1" x14ac:dyDescent="0.35">
      <c r="A755" s="39"/>
      <c r="B755" s="27" t="str" cm="1">
        <f t="array" ref="B755">IF(
   OR(A755="", $B$9="", $B$10="", $B$11=""),
   "",
   _xlfn.LET(
      _xlpm.result,
      IFERROR(
         _xlfn.XLOOKUP(
            1,
            (Table8[رقم الصنف]=A755)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5" s="27" t="str" cm="1">
        <f t="array" ref="C755">IF(
   A755="",
   "",
   _xlfn.LET(
      _xlpm.result,
      IFERROR(
         _xlfn.XLOOKUP(
            1,
            (Table8[رقم الصنف]=A755) *
            (IF($B$9="الكل",1, YEAR('ادخال البيانات'!$N$3:$N$1164) = VALUE($B$9))) *
            (IF($B$10="الكل",1, MONTH('ادخال البيانات'!$N$3:$N$1164) = VALUE($B$10))) *
            (IF($B$11="الكل",1, INT((DAY('ادخال البيانات'!$N$3:$N$1164)-1)/7)+1 = VALUE($B$11))),
            'ادخال البيانات'!$C$3:$C$1164
         ),
         ""
      ),
      IF(_xlpm.result="", "", _xlpm.result)
   )
)</f>
        <v/>
      </c>
      <c r="D755" s="27" t="str" cm="1">
        <f t="array" ref="D755">IF(
   OR(A755="", $B$9="", $B$10="", $B$11=""),
   "",
   _xlfn.LET(
      _xlpm.result,
      IFERROR(
         _xlfn.XLOOKUP(
            1,
            (Table8[رقم الصنف]=A755) *
            (IF($B$9="الكل",1, YEAR('ادخال البيانات'!$N$3:$N$1164)=VALUE($B$9))) *
            (IF($B$10="الكل",1, MONTH('ادخال البيانات'!$N$3:$N$1164)=VALUE($B$10))) *
            (IF($B$11="الكل",1, INT((DAY('ادخال البيانات'!$N$3:$N$1164)-1)/7)+1 = VALUE($B$11))),
            'ادخال البيانات'!$D$3:$D$1164
         ),
         ""
      ),
      IF(_xlpm.result="", "", _xlpm.result)
   )
)</f>
        <v/>
      </c>
      <c r="E755" s="27" t="str" cm="1">
        <f t="array" ref="E755">IF(
   A755="",
   "",
   _xlfn.LET(
      _xlpm.result,
      IFERROR(
         _xlfn.XLOOKUP(
            1,
            (Table8[رقم الصنف]=A755) *
            (IF($B$9="الكل",1, YEAR('ادخال البيانات'!$N$3:$N$1164)=VALUE($B$9))) *
            (IF($B$10="الكل",1, MONTH('ادخال البيانات'!$N$3:$N$1164)=VALUE($B$10))) *
            (IF($B$11="الكل",1, INT((DAY('ادخال البيانات'!$N$3:$N$1164)-1)/7)+1 = VALUE($B$11))),
            'ادخال البيانات'!$E$3:$E$1164
         ),
         ""
      ),
      IF(_xlpm.result="", "", _xlpm.result)
   )
)</f>
        <v/>
      </c>
      <c r="F755" s="27" t="str" cm="1">
        <f t="array" ref="F755">IF(
   A755="",
   "",
   _xlfn.LET(
      _xlpm.result,
      IFERROR(
         _xlfn.XLOOKUP(
            1,
            (Table8[رقم الصنف]=A755) *
            (IF($B$9="الكل",1, YEAR('ادخال البيانات'!$N$3:$N$1164) = VALUE($B$9))) *
            (IF($B$10="الكل",1, MONTH('ادخال البيانات'!$N$3:$N$1164) = VALUE($B$10))) *
            (IF($B$11="الكل",1, INT((DAY('ادخال البيانات'!$N$3:$N$1164)-1)/7)+1 = VALUE($B$11))),
            'ادخال البيانات'!$F$3:$F$1164
         ),
         ""
      ),
      IF(_xlpm.result="", "", _xlpm.result)
   )
)</f>
        <v/>
      </c>
      <c r="G755" s="27" t="str" cm="1">
        <f t="array" ref="G755">IF(
   A755="",
   "",
   _xlfn.LET(
      _xlpm.result,
      IFERROR(
         _xlfn.XLOOKUP(
            1,
            (Table8[رقم الصنف]=A755) *
            (IF($B$9="الكل",1, YEAR('ادخال البيانات'!$N$3:$N$1164)=VALUE($B$9))) *
            (IF($B$10="الكل",1, MONTH('ادخال البيانات'!$N$3:$N$1164)=VALUE($B$10))) *
            (IF($B$11="الكل",1, INT((DAY('ادخال البيانات'!$N$3:$N$1164)-1)/7)+1 = VALUE($B$11))),
            'ادخال البيانات'!$G$3:$G$1164
         ),
         ""
      ),
      IF(_xlpm.result="", "", _xlpm.result)
   )
)</f>
        <v/>
      </c>
      <c r="H755" s="27" t="str" cm="1">
        <f t="array" ref="H755">IF(
   A755="",
   "",
   _xlfn.LET(
      _xlpm.result,
      IFERROR(
         _xlfn.XLOOKUP(
            1,
            (Table8[رقم الصنف]=A755) *
            (IF($B$9="الكل",1, YEAR('ادخال البيانات'!$N$3:$N$1164)=VALUE($B$9))) *
            (IF($B$10="الكل",1, MONTH('ادخال البيانات'!$N$3:$N$1164)=VALUE($B$10))) *
            (IF($B$11="الكل",1, INT((DAY('ادخال البيانات'!$N$3:$N$1164)-1)/7)+1 = VALUE($B$11))),
            'ادخال البيانات'!$H$3:$H$1164
         ),
         ""
      ),
      IF(_xlpm.result="", "", _xlpm.result)
   )
)</f>
        <v/>
      </c>
      <c r="I755" s="27" t="str" cm="1">
        <f t="array" ref="I755">IF(
   A755="",
   "",
   _xlfn.LET(
      _xlpm.result,
      IFERROR(
         _xlfn.XLOOKUP(
            1,
            (Table8[رقم الصنف]=A755) *
            (IF($B$9="الكل",1, YEAR('ادخال البيانات'!$N$3:$N$1164)=VALUE($B$9))) *
            (IF($B$10="الكل",1, MONTH('ادخال البيانات'!$N$3:$N$1164)=VALUE($B$10))) *
            (IF($B$11="الكل",1, INT((DAY('ادخال البيانات'!$N$3:$N$1164)-1)/7)+1 = VALUE($B$11))),
            'ادخال البيانات'!$I$3:$I$1164
         ),
         ""
      ),
      IF(_xlpm.result="", "", _xlpm.result)
   )
)</f>
        <v/>
      </c>
      <c r="J755" s="27" t="str" cm="1">
        <f t="array" ref="J755">IF(
   A755="",
   "",
   _xlfn.LET(
      _xlpm.result,
      IFERROR(
         _xlfn.XLOOKUP(
            1,
            (Table8[رقم الصنف]=A755) *
            (IF($B$9="الكل",1, YEAR('ادخال البيانات'!$N$3:$N$1164)=VALUE($B$9))) *
            (IF($B$10="الكل",1, MONTH('ادخال البيانات'!$N$3:$N$1164)=VALUE($B$10))) *
            (IF($B$11="الكل",1, INT((DAY('ادخال البيانات'!$N$3:$N$1164)-1)/7)+1 = VALUE($B$11))),
            'ادخال البيانات'!$J$3:$J$1164
         ),
         ""
      ),
      IF(_xlpm.result="", "", _xlpm.result)
   )
)</f>
        <v/>
      </c>
      <c r="K755" s="27" t="str" cm="1">
        <f t="array" ref="K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5" s="27" t="str" cm="1">
        <f t="array" ref="L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5" s="27" t="str" cm="1">
        <f t="array" ref="M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5" s="28" t="str" cm="1">
        <f t="array" ref="N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5" s="28" t="str" cm="1">
        <f t="array" ref="O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5" s="27" t="str" cm="1">
        <f t="array" ref="P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Table8[جهة العطل]
         ),
         ""
      ),
      IF(_xlpm.result="", "", _xlpm.result)
   )
)</f>
        <v/>
      </c>
      <c r="Q755" s="27" t="str" cm="1">
        <f t="array" ref="Q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Table8[المركز]
         ),
         ""
      ),
      IF(_xlpm.result="", "", _xlpm.result)
   )
)</f>
        <v/>
      </c>
      <c r="R755" s="27" t="str" cm="1">
        <f t="array" ref="R755">IF(
   A755="",
   "",
   _xlfn.LET(
      _xlpm.result,
      IFERROR(
         _xlfn.XLOOKUP(
            1,
            (Table8[رقم الصنف]=A755) *
            (IF($B$9="الكل",1, YEAR('ادخال البيانات'!$N$3:$N$1164) = VALUE($B$9))) *
            (IF($B$10="الكل",1, MONTH('ادخال البيانات'!$N$3:$N$1164) = VALUE($B$10))) *
            (IF($B$11="الكل",1, INT((DAY('ادخال البيانات'!$N$3:$N$1164) - 1) / 7) + 1 = VALUE($B$11))),
            Table8[ملاحظة]
         ),
         ""
      ),
      IF(_xlpm.result="", "", _xlpm.result)
   )
)</f>
        <v/>
      </c>
      <c r="S755" s="46" t="str">
        <f t="shared" ca="1" si="12"/>
        <v/>
      </c>
    </row>
    <row r="756" spans="1:19" ht="15.6" thickTop="1" thickBot="1" x14ac:dyDescent="0.35">
      <c r="A756" s="39"/>
      <c r="B756" s="27" t="str" cm="1">
        <f t="array" ref="B756">IF(
   OR(A756="", $B$9="", $B$10="", $B$11=""),
   "",
   _xlfn.LET(
      _xlpm.result,
      IFERROR(
         _xlfn.XLOOKUP(
            1,
            (Table8[رقم الصنف]=A756)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6" s="27" t="str" cm="1">
        <f t="array" ref="C756">IF(
   A756="",
   "",
   _xlfn.LET(
      _xlpm.result,
      IFERROR(
         _xlfn.XLOOKUP(
            1,
            (Table8[رقم الصنف]=A756) *
            (IF($B$9="الكل",1, YEAR('ادخال البيانات'!$N$3:$N$1164) = VALUE($B$9))) *
            (IF($B$10="الكل",1, MONTH('ادخال البيانات'!$N$3:$N$1164) = VALUE($B$10))) *
            (IF($B$11="الكل",1, INT((DAY('ادخال البيانات'!$N$3:$N$1164)-1)/7)+1 = VALUE($B$11))),
            'ادخال البيانات'!$C$3:$C$1164
         ),
         ""
      ),
      IF(_xlpm.result="", "", _xlpm.result)
   )
)</f>
        <v/>
      </c>
      <c r="D756" s="27" t="str" cm="1">
        <f t="array" ref="D756">IF(
   OR(A756="", $B$9="", $B$10="", $B$11=""),
   "",
   _xlfn.LET(
      _xlpm.result,
      IFERROR(
         _xlfn.XLOOKUP(
            1,
            (Table8[رقم الصنف]=A756) *
            (IF($B$9="الكل",1, YEAR('ادخال البيانات'!$N$3:$N$1164)=VALUE($B$9))) *
            (IF($B$10="الكل",1, MONTH('ادخال البيانات'!$N$3:$N$1164)=VALUE($B$10))) *
            (IF($B$11="الكل",1, INT((DAY('ادخال البيانات'!$N$3:$N$1164)-1)/7)+1 = VALUE($B$11))),
            'ادخال البيانات'!$D$3:$D$1164
         ),
         ""
      ),
      IF(_xlpm.result="", "", _xlpm.result)
   )
)</f>
        <v/>
      </c>
      <c r="E756" s="27" t="str" cm="1">
        <f t="array" ref="E756">IF(
   A756="",
   "",
   _xlfn.LET(
      _xlpm.result,
      IFERROR(
         _xlfn.XLOOKUP(
            1,
            (Table8[رقم الصنف]=A756) *
            (IF($B$9="الكل",1, YEAR('ادخال البيانات'!$N$3:$N$1164)=VALUE($B$9))) *
            (IF($B$10="الكل",1, MONTH('ادخال البيانات'!$N$3:$N$1164)=VALUE($B$10))) *
            (IF($B$11="الكل",1, INT((DAY('ادخال البيانات'!$N$3:$N$1164)-1)/7)+1 = VALUE($B$11))),
            'ادخال البيانات'!$E$3:$E$1164
         ),
         ""
      ),
      IF(_xlpm.result="", "", _xlpm.result)
   )
)</f>
        <v/>
      </c>
      <c r="F756" s="27" t="str" cm="1">
        <f t="array" ref="F756">IF(
   A756="",
   "",
   _xlfn.LET(
      _xlpm.result,
      IFERROR(
         _xlfn.XLOOKUP(
            1,
            (Table8[رقم الصنف]=A756) *
            (IF($B$9="الكل",1, YEAR('ادخال البيانات'!$N$3:$N$1164) = VALUE($B$9))) *
            (IF($B$10="الكل",1, MONTH('ادخال البيانات'!$N$3:$N$1164) = VALUE($B$10))) *
            (IF($B$11="الكل",1, INT((DAY('ادخال البيانات'!$N$3:$N$1164)-1)/7)+1 = VALUE($B$11))),
            'ادخال البيانات'!$F$3:$F$1164
         ),
         ""
      ),
      IF(_xlpm.result="", "", _xlpm.result)
   )
)</f>
        <v/>
      </c>
      <c r="G756" s="27" t="str" cm="1">
        <f t="array" ref="G756">IF(
   A756="",
   "",
   _xlfn.LET(
      _xlpm.result,
      IFERROR(
         _xlfn.XLOOKUP(
            1,
            (Table8[رقم الصنف]=A756) *
            (IF($B$9="الكل",1, YEAR('ادخال البيانات'!$N$3:$N$1164)=VALUE($B$9))) *
            (IF($B$10="الكل",1, MONTH('ادخال البيانات'!$N$3:$N$1164)=VALUE($B$10))) *
            (IF($B$11="الكل",1, INT((DAY('ادخال البيانات'!$N$3:$N$1164)-1)/7)+1 = VALUE($B$11))),
            'ادخال البيانات'!$G$3:$G$1164
         ),
         ""
      ),
      IF(_xlpm.result="", "", _xlpm.result)
   )
)</f>
        <v/>
      </c>
      <c r="H756" s="27" t="str" cm="1">
        <f t="array" ref="H756">IF(
   A756="",
   "",
   _xlfn.LET(
      _xlpm.result,
      IFERROR(
         _xlfn.XLOOKUP(
            1,
            (Table8[رقم الصنف]=A756) *
            (IF($B$9="الكل",1, YEAR('ادخال البيانات'!$N$3:$N$1164)=VALUE($B$9))) *
            (IF($B$10="الكل",1, MONTH('ادخال البيانات'!$N$3:$N$1164)=VALUE($B$10))) *
            (IF($B$11="الكل",1, INT((DAY('ادخال البيانات'!$N$3:$N$1164)-1)/7)+1 = VALUE($B$11))),
            'ادخال البيانات'!$H$3:$H$1164
         ),
         ""
      ),
      IF(_xlpm.result="", "", _xlpm.result)
   )
)</f>
        <v/>
      </c>
      <c r="I756" s="27" t="str" cm="1">
        <f t="array" ref="I756">IF(
   A756="",
   "",
   _xlfn.LET(
      _xlpm.result,
      IFERROR(
         _xlfn.XLOOKUP(
            1,
            (Table8[رقم الصنف]=A756) *
            (IF($B$9="الكل",1, YEAR('ادخال البيانات'!$N$3:$N$1164)=VALUE($B$9))) *
            (IF($B$10="الكل",1, MONTH('ادخال البيانات'!$N$3:$N$1164)=VALUE($B$10))) *
            (IF($B$11="الكل",1, INT((DAY('ادخال البيانات'!$N$3:$N$1164)-1)/7)+1 = VALUE($B$11))),
            'ادخال البيانات'!$I$3:$I$1164
         ),
         ""
      ),
      IF(_xlpm.result="", "", _xlpm.result)
   )
)</f>
        <v/>
      </c>
      <c r="J756" s="27" t="str" cm="1">
        <f t="array" ref="J756">IF(
   A756="",
   "",
   _xlfn.LET(
      _xlpm.result,
      IFERROR(
         _xlfn.XLOOKUP(
            1,
            (Table8[رقم الصنف]=A756) *
            (IF($B$9="الكل",1, YEAR('ادخال البيانات'!$N$3:$N$1164)=VALUE($B$9))) *
            (IF($B$10="الكل",1, MONTH('ادخال البيانات'!$N$3:$N$1164)=VALUE($B$10))) *
            (IF($B$11="الكل",1, INT((DAY('ادخال البيانات'!$N$3:$N$1164)-1)/7)+1 = VALUE($B$11))),
            'ادخال البيانات'!$J$3:$J$1164
         ),
         ""
      ),
      IF(_xlpm.result="", "", _xlpm.result)
   )
)</f>
        <v/>
      </c>
      <c r="K756" s="27" t="str" cm="1">
        <f t="array" ref="K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6" s="27" t="str" cm="1">
        <f t="array" ref="L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6" s="27" t="str" cm="1">
        <f t="array" ref="M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6" s="28" t="str" cm="1">
        <f t="array" ref="N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6" s="28" t="str" cm="1">
        <f t="array" ref="O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6" s="27" t="str" cm="1">
        <f t="array" ref="P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Table8[جهة العطل]
         ),
         ""
      ),
      IF(_xlpm.result="", "", _xlpm.result)
   )
)</f>
        <v/>
      </c>
      <c r="Q756" s="27" t="str" cm="1">
        <f t="array" ref="Q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Table8[المركز]
         ),
         ""
      ),
      IF(_xlpm.result="", "", _xlpm.result)
   )
)</f>
        <v/>
      </c>
      <c r="R756" s="27" t="str" cm="1">
        <f t="array" ref="R756">IF(
   A756="",
   "",
   _xlfn.LET(
      _xlpm.result,
      IFERROR(
         _xlfn.XLOOKUP(
            1,
            (Table8[رقم الصنف]=A756) *
            (IF($B$9="الكل",1, YEAR('ادخال البيانات'!$N$3:$N$1164) = VALUE($B$9))) *
            (IF($B$10="الكل",1, MONTH('ادخال البيانات'!$N$3:$N$1164) = VALUE($B$10))) *
            (IF($B$11="الكل",1, INT((DAY('ادخال البيانات'!$N$3:$N$1164) - 1) / 7) + 1 = VALUE($B$11))),
            Table8[ملاحظة]
         ),
         ""
      ),
      IF(_xlpm.result="", "", _xlpm.result)
   )
)</f>
        <v/>
      </c>
      <c r="S756" s="46" t="str">
        <f t="shared" ca="1" si="12"/>
        <v/>
      </c>
    </row>
    <row r="757" spans="1:19" ht="15.6" thickTop="1" thickBot="1" x14ac:dyDescent="0.35">
      <c r="A757" s="39"/>
      <c r="B757" s="27" t="str" cm="1">
        <f t="array" ref="B757">IF(
   OR(A757="", $B$9="", $B$10="", $B$11=""),
   "",
   _xlfn.LET(
      _xlpm.result,
      IFERROR(
         _xlfn.XLOOKUP(
            1,
            (Table8[رقم الصنف]=A757)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7" s="27" t="str" cm="1">
        <f t="array" ref="C757">IF(
   A757="",
   "",
   _xlfn.LET(
      _xlpm.result,
      IFERROR(
         _xlfn.XLOOKUP(
            1,
            (Table8[رقم الصنف]=A757) *
            (IF($B$9="الكل",1, YEAR('ادخال البيانات'!$N$3:$N$1164) = VALUE($B$9))) *
            (IF($B$10="الكل",1, MONTH('ادخال البيانات'!$N$3:$N$1164) = VALUE($B$10))) *
            (IF($B$11="الكل",1, INT((DAY('ادخال البيانات'!$N$3:$N$1164)-1)/7)+1 = VALUE($B$11))),
            'ادخال البيانات'!$C$3:$C$1164
         ),
         ""
      ),
      IF(_xlpm.result="", "", _xlpm.result)
   )
)</f>
        <v/>
      </c>
      <c r="D757" s="27" t="str" cm="1">
        <f t="array" ref="D757">IF(
   OR(A757="", $B$9="", $B$10="", $B$11=""),
   "",
   _xlfn.LET(
      _xlpm.result,
      IFERROR(
         _xlfn.XLOOKUP(
            1,
            (Table8[رقم الصنف]=A757) *
            (IF($B$9="الكل",1, YEAR('ادخال البيانات'!$N$3:$N$1164)=VALUE($B$9))) *
            (IF($B$10="الكل",1, MONTH('ادخال البيانات'!$N$3:$N$1164)=VALUE($B$10))) *
            (IF($B$11="الكل",1, INT((DAY('ادخال البيانات'!$N$3:$N$1164)-1)/7)+1 = VALUE($B$11))),
            'ادخال البيانات'!$D$3:$D$1164
         ),
         ""
      ),
      IF(_xlpm.result="", "", _xlpm.result)
   )
)</f>
        <v/>
      </c>
      <c r="E757" s="27" t="str" cm="1">
        <f t="array" ref="E757">IF(
   A757="",
   "",
   _xlfn.LET(
      _xlpm.result,
      IFERROR(
         _xlfn.XLOOKUP(
            1,
            (Table8[رقم الصنف]=A757) *
            (IF($B$9="الكل",1, YEAR('ادخال البيانات'!$N$3:$N$1164)=VALUE($B$9))) *
            (IF($B$10="الكل",1, MONTH('ادخال البيانات'!$N$3:$N$1164)=VALUE($B$10))) *
            (IF($B$11="الكل",1, INT((DAY('ادخال البيانات'!$N$3:$N$1164)-1)/7)+1 = VALUE($B$11))),
            'ادخال البيانات'!$E$3:$E$1164
         ),
         ""
      ),
      IF(_xlpm.result="", "", _xlpm.result)
   )
)</f>
        <v/>
      </c>
      <c r="F757" s="27" t="str" cm="1">
        <f t="array" ref="F757">IF(
   A757="",
   "",
   _xlfn.LET(
      _xlpm.result,
      IFERROR(
         _xlfn.XLOOKUP(
            1,
            (Table8[رقم الصنف]=A757) *
            (IF($B$9="الكل",1, YEAR('ادخال البيانات'!$N$3:$N$1164) = VALUE($B$9))) *
            (IF($B$10="الكل",1, MONTH('ادخال البيانات'!$N$3:$N$1164) = VALUE($B$10))) *
            (IF($B$11="الكل",1, INT((DAY('ادخال البيانات'!$N$3:$N$1164)-1)/7)+1 = VALUE($B$11))),
            'ادخال البيانات'!$F$3:$F$1164
         ),
         ""
      ),
      IF(_xlpm.result="", "", _xlpm.result)
   )
)</f>
        <v/>
      </c>
      <c r="G757" s="27" t="str" cm="1">
        <f t="array" ref="G757">IF(
   A757="",
   "",
   _xlfn.LET(
      _xlpm.result,
      IFERROR(
         _xlfn.XLOOKUP(
            1,
            (Table8[رقم الصنف]=A757) *
            (IF($B$9="الكل",1, YEAR('ادخال البيانات'!$N$3:$N$1164)=VALUE($B$9))) *
            (IF($B$10="الكل",1, MONTH('ادخال البيانات'!$N$3:$N$1164)=VALUE($B$10))) *
            (IF($B$11="الكل",1, INT((DAY('ادخال البيانات'!$N$3:$N$1164)-1)/7)+1 = VALUE($B$11))),
            'ادخال البيانات'!$G$3:$G$1164
         ),
         ""
      ),
      IF(_xlpm.result="", "", _xlpm.result)
   )
)</f>
        <v/>
      </c>
      <c r="H757" s="27" t="str" cm="1">
        <f t="array" ref="H757">IF(
   A757="",
   "",
   _xlfn.LET(
      _xlpm.result,
      IFERROR(
         _xlfn.XLOOKUP(
            1,
            (Table8[رقم الصنف]=A757) *
            (IF($B$9="الكل",1, YEAR('ادخال البيانات'!$N$3:$N$1164)=VALUE($B$9))) *
            (IF($B$10="الكل",1, MONTH('ادخال البيانات'!$N$3:$N$1164)=VALUE($B$10))) *
            (IF($B$11="الكل",1, INT((DAY('ادخال البيانات'!$N$3:$N$1164)-1)/7)+1 = VALUE($B$11))),
            'ادخال البيانات'!$H$3:$H$1164
         ),
         ""
      ),
      IF(_xlpm.result="", "", _xlpm.result)
   )
)</f>
        <v/>
      </c>
      <c r="I757" s="27" t="str" cm="1">
        <f t="array" ref="I757">IF(
   A757="",
   "",
   _xlfn.LET(
      _xlpm.result,
      IFERROR(
         _xlfn.XLOOKUP(
            1,
            (Table8[رقم الصنف]=A757) *
            (IF($B$9="الكل",1, YEAR('ادخال البيانات'!$N$3:$N$1164)=VALUE($B$9))) *
            (IF($B$10="الكل",1, MONTH('ادخال البيانات'!$N$3:$N$1164)=VALUE($B$10))) *
            (IF($B$11="الكل",1, INT((DAY('ادخال البيانات'!$N$3:$N$1164)-1)/7)+1 = VALUE($B$11))),
            'ادخال البيانات'!$I$3:$I$1164
         ),
         ""
      ),
      IF(_xlpm.result="", "", _xlpm.result)
   )
)</f>
        <v/>
      </c>
      <c r="J757" s="27" t="str" cm="1">
        <f t="array" ref="J757">IF(
   A757="",
   "",
   _xlfn.LET(
      _xlpm.result,
      IFERROR(
         _xlfn.XLOOKUP(
            1,
            (Table8[رقم الصنف]=A757) *
            (IF($B$9="الكل",1, YEAR('ادخال البيانات'!$N$3:$N$1164)=VALUE($B$9))) *
            (IF($B$10="الكل",1, MONTH('ادخال البيانات'!$N$3:$N$1164)=VALUE($B$10))) *
            (IF($B$11="الكل",1, INT((DAY('ادخال البيانات'!$N$3:$N$1164)-1)/7)+1 = VALUE($B$11))),
            'ادخال البيانات'!$J$3:$J$1164
         ),
         ""
      ),
      IF(_xlpm.result="", "", _xlpm.result)
   )
)</f>
        <v/>
      </c>
      <c r="K757" s="27" t="str" cm="1">
        <f t="array" ref="K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7" s="27" t="str" cm="1">
        <f t="array" ref="L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7" s="27" t="str" cm="1">
        <f t="array" ref="M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7" s="28" t="str" cm="1">
        <f t="array" ref="N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7" s="28" t="str" cm="1">
        <f t="array" ref="O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7" s="27" t="str" cm="1">
        <f t="array" ref="P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Table8[جهة العطل]
         ),
         ""
      ),
      IF(_xlpm.result="", "", _xlpm.result)
   )
)</f>
        <v/>
      </c>
      <c r="Q757" s="27" t="str" cm="1">
        <f t="array" ref="Q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Table8[المركز]
         ),
         ""
      ),
      IF(_xlpm.result="", "", _xlpm.result)
   )
)</f>
        <v/>
      </c>
      <c r="R757" s="27" t="str" cm="1">
        <f t="array" ref="R757">IF(
   A757="",
   "",
   _xlfn.LET(
      _xlpm.result,
      IFERROR(
         _xlfn.XLOOKUP(
            1,
            (Table8[رقم الصنف]=A757) *
            (IF($B$9="الكل",1, YEAR('ادخال البيانات'!$N$3:$N$1164) = VALUE($B$9))) *
            (IF($B$10="الكل",1, MONTH('ادخال البيانات'!$N$3:$N$1164) = VALUE($B$10))) *
            (IF($B$11="الكل",1, INT((DAY('ادخال البيانات'!$N$3:$N$1164) - 1) / 7) + 1 = VALUE($B$11))),
            Table8[ملاحظة]
         ),
         ""
      ),
      IF(_xlpm.result="", "", _xlpm.result)
   )
)</f>
        <v/>
      </c>
      <c r="S757" s="46" t="str">
        <f t="shared" ca="1" si="12"/>
        <v/>
      </c>
    </row>
    <row r="758" spans="1:19" ht="15.6" thickTop="1" thickBot="1" x14ac:dyDescent="0.35">
      <c r="A758" s="39"/>
      <c r="B758" s="27" t="str" cm="1">
        <f t="array" ref="B758">IF(
   OR(A758="", $B$9="", $B$10="", $B$11=""),
   "",
   _xlfn.LET(
      _xlpm.result,
      IFERROR(
         _xlfn.XLOOKUP(
            1,
            (Table8[رقم الصنف]=A758)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8" s="27" t="str" cm="1">
        <f t="array" ref="C758">IF(
   A758="",
   "",
   _xlfn.LET(
      _xlpm.result,
      IFERROR(
         _xlfn.XLOOKUP(
            1,
            (Table8[رقم الصنف]=A758) *
            (IF($B$9="الكل",1, YEAR('ادخال البيانات'!$N$3:$N$1164) = VALUE($B$9))) *
            (IF($B$10="الكل",1, MONTH('ادخال البيانات'!$N$3:$N$1164) = VALUE($B$10))) *
            (IF($B$11="الكل",1, INT((DAY('ادخال البيانات'!$N$3:$N$1164)-1)/7)+1 = VALUE($B$11))),
            'ادخال البيانات'!$C$3:$C$1164
         ),
         ""
      ),
      IF(_xlpm.result="", "", _xlpm.result)
   )
)</f>
        <v/>
      </c>
      <c r="D758" s="27" t="str" cm="1">
        <f t="array" ref="D758">IF(
   OR(A758="", $B$9="", $B$10="", $B$11=""),
   "",
   _xlfn.LET(
      _xlpm.result,
      IFERROR(
         _xlfn.XLOOKUP(
            1,
            (Table8[رقم الصنف]=A758) *
            (IF($B$9="الكل",1, YEAR('ادخال البيانات'!$N$3:$N$1164)=VALUE($B$9))) *
            (IF($B$10="الكل",1, MONTH('ادخال البيانات'!$N$3:$N$1164)=VALUE($B$10))) *
            (IF($B$11="الكل",1, INT((DAY('ادخال البيانات'!$N$3:$N$1164)-1)/7)+1 = VALUE($B$11))),
            'ادخال البيانات'!$D$3:$D$1164
         ),
         ""
      ),
      IF(_xlpm.result="", "", _xlpm.result)
   )
)</f>
        <v/>
      </c>
      <c r="E758" s="27" t="str" cm="1">
        <f t="array" ref="E758">IF(
   A758="",
   "",
   _xlfn.LET(
      _xlpm.result,
      IFERROR(
         _xlfn.XLOOKUP(
            1,
            (Table8[رقم الصنف]=A758) *
            (IF($B$9="الكل",1, YEAR('ادخال البيانات'!$N$3:$N$1164)=VALUE($B$9))) *
            (IF($B$10="الكل",1, MONTH('ادخال البيانات'!$N$3:$N$1164)=VALUE($B$10))) *
            (IF($B$11="الكل",1, INT((DAY('ادخال البيانات'!$N$3:$N$1164)-1)/7)+1 = VALUE($B$11))),
            'ادخال البيانات'!$E$3:$E$1164
         ),
         ""
      ),
      IF(_xlpm.result="", "", _xlpm.result)
   )
)</f>
        <v/>
      </c>
      <c r="F758" s="27" t="str" cm="1">
        <f t="array" ref="F758">IF(
   A758="",
   "",
   _xlfn.LET(
      _xlpm.result,
      IFERROR(
         _xlfn.XLOOKUP(
            1,
            (Table8[رقم الصنف]=A758) *
            (IF($B$9="الكل",1, YEAR('ادخال البيانات'!$N$3:$N$1164) = VALUE($B$9))) *
            (IF($B$10="الكل",1, MONTH('ادخال البيانات'!$N$3:$N$1164) = VALUE($B$10))) *
            (IF($B$11="الكل",1, INT((DAY('ادخال البيانات'!$N$3:$N$1164)-1)/7)+1 = VALUE($B$11))),
            'ادخال البيانات'!$F$3:$F$1164
         ),
         ""
      ),
      IF(_xlpm.result="", "", _xlpm.result)
   )
)</f>
        <v/>
      </c>
      <c r="G758" s="27" t="str" cm="1">
        <f t="array" ref="G758">IF(
   A758="",
   "",
   _xlfn.LET(
      _xlpm.result,
      IFERROR(
         _xlfn.XLOOKUP(
            1,
            (Table8[رقم الصنف]=A758) *
            (IF($B$9="الكل",1, YEAR('ادخال البيانات'!$N$3:$N$1164)=VALUE($B$9))) *
            (IF($B$10="الكل",1, MONTH('ادخال البيانات'!$N$3:$N$1164)=VALUE($B$10))) *
            (IF($B$11="الكل",1, INT((DAY('ادخال البيانات'!$N$3:$N$1164)-1)/7)+1 = VALUE($B$11))),
            'ادخال البيانات'!$G$3:$G$1164
         ),
         ""
      ),
      IF(_xlpm.result="", "", _xlpm.result)
   )
)</f>
        <v/>
      </c>
      <c r="H758" s="27" t="str" cm="1">
        <f t="array" ref="H758">IF(
   A758="",
   "",
   _xlfn.LET(
      _xlpm.result,
      IFERROR(
         _xlfn.XLOOKUP(
            1,
            (Table8[رقم الصنف]=A758) *
            (IF($B$9="الكل",1, YEAR('ادخال البيانات'!$N$3:$N$1164)=VALUE($B$9))) *
            (IF($B$10="الكل",1, MONTH('ادخال البيانات'!$N$3:$N$1164)=VALUE($B$10))) *
            (IF($B$11="الكل",1, INT((DAY('ادخال البيانات'!$N$3:$N$1164)-1)/7)+1 = VALUE($B$11))),
            'ادخال البيانات'!$H$3:$H$1164
         ),
         ""
      ),
      IF(_xlpm.result="", "", _xlpm.result)
   )
)</f>
        <v/>
      </c>
      <c r="I758" s="27" t="str" cm="1">
        <f t="array" ref="I758">IF(
   A758="",
   "",
   _xlfn.LET(
      _xlpm.result,
      IFERROR(
         _xlfn.XLOOKUP(
            1,
            (Table8[رقم الصنف]=A758) *
            (IF($B$9="الكل",1, YEAR('ادخال البيانات'!$N$3:$N$1164)=VALUE($B$9))) *
            (IF($B$10="الكل",1, MONTH('ادخال البيانات'!$N$3:$N$1164)=VALUE($B$10))) *
            (IF($B$11="الكل",1, INT((DAY('ادخال البيانات'!$N$3:$N$1164)-1)/7)+1 = VALUE($B$11))),
            'ادخال البيانات'!$I$3:$I$1164
         ),
         ""
      ),
      IF(_xlpm.result="", "", _xlpm.result)
   )
)</f>
        <v/>
      </c>
      <c r="J758" s="27" t="str" cm="1">
        <f t="array" ref="J758">IF(
   A758="",
   "",
   _xlfn.LET(
      _xlpm.result,
      IFERROR(
         _xlfn.XLOOKUP(
            1,
            (Table8[رقم الصنف]=A758) *
            (IF($B$9="الكل",1, YEAR('ادخال البيانات'!$N$3:$N$1164)=VALUE($B$9))) *
            (IF($B$10="الكل",1, MONTH('ادخال البيانات'!$N$3:$N$1164)=VALUE($B$10))) *
            (IF($B$11="الكل",1, INT((DAY('ادخال البيانات'!$N$3:$N$1164)-1)/7)+1 = VALUE($B$11))),
            'ادخال البيانات'!$J$3:$J$1164
         ),
         ""
      ),
      IF(_xlpm.result="", "", _xlpm.result)
   )
)</f>
        <v/>
      </c>
      <c r="K758" s="27" t="str" cm="1">
        <f t="array" ref="K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8" s="27" t="str" cm="1">
        <f t="array" ref="L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8" s="27" t="str" cm="1">
        <f t="array" ref="M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8" s="28" t="str" cm="1">
        <f t="array" ref="N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8" s="28" t="str" cm="1">
        <f t="array" ref="O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8" s="27" t="str" cm="1">
        <f t="array" ref="P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Table8[جهة العطل]
         ),
         ""
      ),
      IF(_xlpm.result="", "", _xlpm.result)
   )
)</f>
        <v/>
      </c>
      <c r="Q758" s="27" t="str" cm="1">
        <f t="array" ref="Q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Table8[المركز]
         ),
         ""
      ),
      IF(_xlpm.result="", "", _xlpm.result)
   )
)</f>
        <v/>
      </c>
      <c r="R758" s="27" t="str" cm="1">
        <f t="array" ref="R758">IF(
   A758="",
   "",
   _xlfn.LET(
      _xlpm.result,
      IFERROR(
         _xlfn.XLOOKUP(
            1,
            (Table8[رقم الصنف]=A758) *
            (IF($B$9="الكل",1, YEAR('ادخال البيانات'!$N$3:$N$1164) = VALUE($B$9))) *
            (IF($B$10="الكل",1, MONTH('ادخال البيانات'!$N$3:$N$1164) = VALUE($B$10))) *
            (IF($B$11="الكل",1, INT((DAY('ادخال البيانات'!$N$3:$N$1164) - 1) / 7) + 1 = VALUE($B$11))),
            Table8[ملاحظة]
         ),
         ""
      ),
      IF(_xlpm.result="", "", _xlpm.result)
   )
)</f>
        <v/>
      </c>
      <c r="S758" s="46" t="str">
        <f t="shared" ca="1" si="12"/>
        <v/>
      </c>
    </row>
    <row r="759" spans="1:19" ht="15.6" thickTop="1" thickBot="1" x14ac:dyDescent="0.35">
      <c r="A759" s="39"/>
      <c r="B759" s="27" t="str" cm="1">
        <f t="array" ref="B759">IF(
   OR(A759="", $B$9="", $B$10="", $B$11=""),
   "",
   _xlfn.LET(
      _xlpm.result,
      IFERROR(
         _xlfn.XLOOKUP(
            1,
            (Table8[رقم الصنف]=A759)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59" s="27" t="str" cm="1">
        <f t="array" ref="C759">IF(
   A759="",
   "",
   _xlfn.LET(
      _xlpm.result,
      IFERROR(
         _xlfn.XLOOKUP(
            1,
            (Table8[رقم الصنف]=A759) *
            (IF($B$9="الكل",1, YEAR('ادخال البيانات'!$N$3:$N$1164) = VALUE($B$9))) *
            (IF($B$10="الكل",1, MONTH('ادخال البيانات'!$N$3:$N$1164) = VALUE($B$10))) *
            (IF($B$11="الكل",1, INT((DAY('ادخال البيانات'!$N$3:$N$1164)-1)/7)+1 = VALUE($B$11))),
            'ادخال البيانات'!$C$3:$C$1164
         ),
         ""
      ),
      IF(_xlpm.result="", "", _xlpm.result)
   )
)</f>
        <v/>
      </c>
      <c r="D759" s="27" t="str" cm="1">
        <f t="array" ref="D759">IF(
   OR(A759="", $B$9="", $B$10="", $B$11=""),
   "",
   _xlfn.LET(
      _xlpm.result,
      IFERROR(
         _xlfn.XLOOKUP(
            1,
            (Table8[رقم الصنف]=A759) *
            (IF($B$9="الكل",1, YEAR('ادخال البيانات'!$N$3:$N$1164)=VALUE($B$9))) *
            (IF($B$10="الكل",1, MONTH('ادخال البيانات'!$N$3:$N$1164)=VALUE($B$10))) *
            (IF($B$11="الكل",1, INT((DAY('ادخال البيانات'!$N$3:$N$1164)-1)/7)+1 = VALUE($B$11))),
            'ادخال البيانات'!$D$3:$D$1164
         ),
         ""
      ),
      IF(_xlpm.result="", "", _xlpm.result)
   )
)</f>
        <v/>
      </c>
      <c r="E759" s="27" t="str" cm="1">
        <f t="array" ref="E759">IF(
   A759="",
   "",
   _xlfn.LET(
      _xlpm.result,
      IFERROR(
         _xlfn.XLOOKUP(
            1,
            (Table8[رقم الصنف]=A759) *
            (IF($B$9="الكل",1, YEAR('ادخال البيانات'!$N$3:$N$1164)=VALUE($B$9))) *
            (IF($B$10="الكل",1, MONTH('ادخال البيانات'!$N$3:$N$1164)=VALUE($B$10))) *
            (IF($B$11="الكل",1, INT((DAY('ادخال البيانات'!$N$3:$N$1164)-1)/7)+1 = VALUE($B$11))),
            'ادخال البيانات'!$E$3:$E$1164
         ),
         ""
      ),
      IF(_xlpm.result="", "", _xlpm.result)
   )
)</f>
        <v/>
      </c>
      <c r="F759" s="27" t="str" cm="1">
        <f t="array" ref="F759">IF(
   A759="",
   "",
   _xlfn.LET(
      _xlpm.result,
      IFERROR(
         _xlfn.XLOOKUP(
            1,
            (Table8[رقم الصنف]=A759) *
            (IF($B$9="الكل",1, YEAR('ادخال البيانات'!$N$3:$N$1164) = VALUE($B$9))) *
            (IF($B$10="الكل",1, MONTH('ادخال البيانات'!$N$3:$N$1164) = VALUE($B$10))) *
            (IF($B$11="الكل",1, INT((DAY('ادخال البيانات'!$N$3:$N$1164)-1)/7)+1 = VALUE($B$11))),
            'ادخال البيانات'!$F$3:$F$1164
         ),
         ""
      ),
      IF(_xlpm.result="", "", _xlpm.result)
   )
)</f>
        <v/>
      </c>
      <c r="G759" s="27" t="str" cm="1">
        <f t="array" ref="G759">IF(
   A759="",
   "",
   _xlfn.LET(
      _xlpm.result,
      IFERROR(
         _xlfn.XLOOKUP(
            1,
            (Table8[رقم الصنف]=A759) *
            (IF($B$9="الكل",1, YEAR('ادخال البيانات'!$N$3:$N$1164)=VALUE($B$9))) *
            (IF($B$10="الكل",1, MONTH('ادخال البيانات'!$N$3:$N$1164)=VALUE($B$10))) *
            (IF($B$11="الكل",1, INT((DAY('ادخال البيانات'!$N$3:$N$1164)-1)/7)+1 = VALUE($B$11))),
            'ادخال البيانات'!$G$3:$G$1164
         ),
         ""
      ),
      IF(_xlpm.result="", "", _xlpm.result)
   )
)</f>
        <v/>
      </c>
      <c r="H759" s="27" t="str" cm="1">
        <f t="array" ref="H759">IF(
   A759="",
   "",
   _xlfn.LET(
      _xlpm.result,
      IFERROR(
         _xlfn.XLOOKUP(
            1,
            (Table8[رقم الصنف]=A759) *
            (IF($B$9="الكل",1, YEAR('ادخال البيانات'!$N$3:$N$1164)=VALUE($B$9))) *
            (IF($B$10="الكل",1, MONTH('ادخال البيانات'!$N$3:$N$1164)=VALUE($B$10))) *
            (IF($B$11="الكل",1, INT((DAY('ادخال البيانات'!$N$3:$N$1164)-1)/7)+1 = VALUE($B$11))),
            'ادخال البيانات'!$H$3:$H$1164
         ),
         ""
      ),
      IF(_xlpm.result="", "", _xlpm.result)
   )
)</f>
        <v/>
      </c>
      <c r="I759" s="27" t="str" cm="1">
        <f t="array" ref="I759">IF(
   A759="",
   "",
   _xlfn.LET(
      _xlpm.result,
      IFERROR(
         _xlfn.XLOOKUP(
            1,
            (Table8[رقم الصنف]=A759) *
            (IF($B$9="الكل",1, YEAR('ادخال البيانات'!$N$3:$N$1164)=VALUE($B$9))) *
            (IF($B$10="الكل",1, MONTH('ادخال البيانات'!$N$3:$N$1164)=VALUE($B$10))) *
            (IF($B$11="الكل",1, INT((DAY('ادخال البيانات'!$N$3:$N$1164)-1)/7)+1 = VALUE($B$11))),
            'ادخال البيانات'!$I$3:$I$1164
         ),
         ""
      ),
      IF(_xlpm.result="", "", _xlpm.result)
   )
)</f>
        <v/>
      </c>
      <c r="J759" s="27" t="str" cm="1">
        <f t="array" ref="J759">IF(
   A759="",
   "",
   _xlfn.LET(
      _xlpm.result,
      IFERROR(
         _xlfn.XLOOKUP(
            1,
            (Table8[رقم الصنف]=A759) *
            (IF($B$9="الكل",1, YEAR('ادخال البيانات'!$N$3:$N$1164)=VALUE($B$9))) *
            (IF($B$10="الكل",1, MONTH('ادخال البيانات'!$N$3:$N$1164)=VALUE($B$10))) *
            (IF($B$11="الكل",1, INT((DAY('ادخال البيانات'!$N$3:$N$1164)-1)/7)+1 = VALUE($B$11))),
            'ادخال البيانات'!$J$3:$J$1164
         ),
         ""
      ),
      IF(_xlpm.result="", "", _xlpm.result)
   )
)</f>
        <v/>
      </c>
      <c r="K759" s="27" t="str" cm="1">
        <f t="array" ref="K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59" s="27" t="str" cm="1">
        <f t="array" ref="L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59" s="27" t="str" cm="1">
        <f t="array" ref="M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59" s="28" t="str" cm="1">
        <f t="array" ref="N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59" s="28" t="str" cm="1">
        <f t="array" ref="O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59" s="27" t="str" cm="1">
        <f t="array" ref="P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Table8[جهة العطل]
         ),
         ""
      ),
      IF(_xlpm.result="", "", _xlpm.result)
   )
)</f>
        <v/>
      </c>
      <c r="Q759" s="27" t="str" cm="1">
        <f t="array" ref="Q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Table8[المركز]
         ),
         ""
      ),
      IF(_xlpm.result="", "", _xlpm.result)
   )
)</f>
        <v/>
      </c>
      <c r="R759" s="27" t="str" cm="1">
        <f t="array" ref="R759">IF(
   A759="",
   "",
   _xlfn.LET(
      _xlpm.result,
      IFERROR(
         _xlfn.XLOOKUP(
            1,
            (Table8[رقم الصنف]=A759) *
            (IF($B$9="الكل",1, YEAR('ادخال البيانات'!$N$3:$N$1164) = VALUE($B$9))) *
            (IF($B$10="الكل",1, MONTH('ادخال البيانات'!$N$3:$N$1164) = VALUE($B$10))) *
            (IF($B$11="الكل",1, INT((DAY('ادخال البيانات'!$N$3:$N$1164) - 1) / 7) + 1 = VALUE($B$11))),
            Table8[ملاحظة]
         ),
         ""
      ),
      IF(_xlpm.result="", "", _xlpm.result)
   )
)</f>
        <v/>
      </c>
      <c r="S759" s="46" t="str">
        <f t="shared" ca="1" si="12"/>
        <v/>
      </c>
    </row>
    <row r="760" spans="1:19" ht="15.6" thickTop="1" thickBot="1" x14ac:dyDescent="0.35">
      <c r="A760" s="39"/>
      <c r="B760" s="27" t="str" cm="1">
        <f t="array" ref="B760">IF(
   OR(A760="", $B$9="", $B$10="", $B$11=""),
   "",
   _xlfn.LET(
      _xlpm.result,
      IFERROR(
         _xlfn.XLOOKUP(
            1,
            (Table8[رقم الصنف]=A760)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0" s="27" t="str" cm="1">
        <f t="array" ref="C760">IF(
   A760="",
   "",
   _xlfn.LET(
      _xlpm.result,
      IFERROR(
         _xlfn.XLOOKUP(
            1,
            (Table8[رقم الصنف]=A760) *
            (IF($B$9="الكل",1, YEAR('ادخال البيانات'!$N$3:$N$1164) = VALUE($B$9))) *
            (IF($B$10="الكل",1, MONTH('ادخال البيانات'!$N$3:$N$1164) = VALUE($B$10))) *
            (IF($B$11="الكل",1, INT((DAY('ادخال البيانات'!$N$3:$N$1164)-1)/7)+1 = VALUE($B$11))),
            'ادخال البيانات'!$C$3:$C$1164
         ),
         ""
      ),
      IF(_xlpm.result="", "", _xlpm.result)
   )
)</f>
        <v/>
      </c>
      <c r="D760" s="27" t="str" cm="1">
        <f t="array" ref="D760">IF(
   OR(A760="", $B$9="", $B$10="", $B$11=""),
   "",
   _xlfn.LET(
      _xlpm.result,
      IFERROR(
         _xlfn.XLOOKUP(
            1,
            (Table8[رقم الصنف]=A760) *
            (IF($B$9="الكل",1, YEAR('ادخال البيانات'!$N$3:$N$1164)=VALUE($B$9))) *
            (IF($B$10="الكل",1, MONTH('ادخال البيانات'!$N$3:$N$1164)=VALUE($B$10))) *
            (IF($B$11="الكل",1, INT((DAY('ادخال البيانات'!$N$3:$N$1164)-1)/7)+1 = VALUE($B$11))),
            'ادخال البيانات'!$D$3:$D$1164
         ),
         ""
      ),
      IF(_xlpm.result="", "", _xlpm.result)
   )
)</f>
        <v/>
      </c>
      <c r="E760" s="27" t="str" cm="1">
        <f t="array" ref="E760">IF(
   A760="",
   "",
   _xlfn.LET(
      _xlpm.result,
      IFERROR(
         _xlfn.XLOOKUP(
            1,
            (Table8[رقم الصنف]=A760) *
            (IF($B$9="الكل",1, YEAR('ادخال البيانات'!$N$3:$N$1164)=VALUE($B$9))) *
            (IF($B$10="الكل",1, MONTH('ادخال البيانات'!$N$3:$N$1164)=VALUE($B$10))) *
            (IF($B$11="الكل",1, INT((DAY('ادخال البيانات'!$N$3:$N$1164)-1)/7)+1 = VALUE($B$11))),
            'ادخال البيانات'!$E$3:$E$1164
         ),
         ""
      ),
      IF(_xlpm.result="", "", _xlpm.result)
   )
)</f>
        <v/>
      </c>
      <c r="F760" s="27" t="str" cm="1">
        <f t="array" ref="F760">IF(
   A760="",
   "",
   _xlfn.LET(
      _xlpm.result,
      IFERROR(
         _xlfn.XLOOKUP(
            1,
            (Table8[رقم الصنف]=A760) *
            (IF($B$9="الكل",1, YEAR('ادخال البيانات'!$N$3:$N$1164) = VALUE($B$9))) *
            (IF($B$10="الكل",1, MONTH('ادخال البيانات'!$N$3:$N$1164) = VALUE($B$10))) *
            (IF($B$11="الكل",1, INT((DAY('ادخال البيانات'!$N$3:$N$1164)-1)/7)+1 = VALUE($B$11))),
            'ادخال البيانات'!$F$3:$F$1164
         ),
         ""
      ),
      IF(_xlpm.result="", "", _xlpm.result)
   )
)</f>
        <v/>
      </c>
      <c r="G760" s="27" t="str" cm="1">
        <f t="array" ref="G760">IF(
   A760="",
   "",
   _xlfn.LET(
      _xlpm.result,
      IFERROR(
         _xlfn.XLOOKUP(
            1,
            (Table8[رقم الصنف]=A760) *
            (IF($B$9="الكل",1, YEAR('ادخال البيانات'!$N$3:$N$1164)=VALUE($B$9))) *
            (IF($B$10="الكل",1, MONTH('ادخال البيانات'!$N$3:$N$1164)=VALUE($B$10))) *
            (IF($B$11="الكل",1, INT((DAY('ادخال البيانات'!$N$3:$N$1164)-1)/7)+1 = VALUE($B$11))),
            'ادخال البيانات'!$G$3:$G$1164
         ),
         ""
      ),
      IF(_xlpm.result="", "", _xlpm.result)
   )
)</f>
        <v/>
      </c>
      <c r="H760" s="27" t="str" cm="1">
        <f t="array" ref="H760">IF(
   A760="",
   "",
   _xlfn.LET(
      _xlpm.result,
      IFERROR(
         _xlfn.XLOOKUP(
            1,
            (Table8[رقم الصنف]=A760) *
            (IF($B$9="الكل",1, YEAR('ادخال البيانات'!$N$3:$N$1164)=VALUE($B$9))) *
            (IF($B$10="الكل",1, MONTH('ادخال البيانات'!$N$3:$N$1164)=VALUE($B$10))) *
            (IF($B$11="الكل",1, INT((DAY('ادخال البيانات'!$N$3:$N$1164)-1)/7)+1 = VALUE($B$11))),
            'ادخال البيانات'!$H$3:$H$1164
         ),
         ""
      ),
      IF(_xlpm.result="", "", _xlpm.result)
   )
)</f>
        <v/>
      </c>
      <c r="I760" s="27" t="str" cm="1">
        <f t="array" ref="I760">IF(
   A760="",
   "",
   _xlfn.LET(
      _xlpm.result,
      IFERROR(
         _xlfn.XLOOKUP(
            1,
            (Table8[رقم الصنف]=A760) *
            (IF($B$9="الكل",1, YEAR('ادخال البيانات'!$N$3:$N$1164)=VALUE($B$9))) *
            (IF($B$10="الكل",1, MONTH('ادخال البيانات'!$N$3:$N$1164)=VALUE($B$10))) *
            (IF($B$11="الكل",1, INT((DAY('ادخال البيانات'!$N$3:$N$1164)-1)/7)+1 = VALUE($B$11))),
            'ادخال البيانات'!$I$3:$I$1164
         ),
         ""
      ),
      IF(_xlpm.result="", "", _xlpm.result)
   )
)</f>
        <v/>
      </c>
      <c r="J760" s="27" t="str" cm="1">
        <f t="array" ref="J760">IF(
   A760="",
   "",
   _xlfn.LET(
      _xlpm.result,
      IFERROR(
         _xlfn.XLOOKUP(
            1,
            (Table8[رقم الصنف]=A760) *
            (IF($B$9="الكل",1, YEAR('ادخال البيانات'!$N$3:$N$1164)=VALUE($B$9))) *
            (IF($B$10="الكل",1, MONTH('ادخال البيانات'!$N$3:$N$1164)=VALUE($B$10))) *
            (IF($B$11="الكل",1, INT((DAY('ادخال البيانات'!$N$3:$N$1164)-1)/7)+1 = VALUE($B$11))),
            'ادخال البيانات'!$J$3:$J$1164
         ),
         ""
      ),
      IF(_xlpm.result="", "", _xlpm.result)
   )
)</f>
        <v/>
      </c>
      <c r="K760" s="27" t="str" cm="1">
        <f t="array" ref="K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0" s="27" t="str" cm="1">
        <f t="array" ref="L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0" s="27" t="str" cm="1">
        <f t="array" ref="M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0" s="28" t="str" cm="1">
        <f t="array" ref="N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0" s="28" t="str" cm="1">
        <f t="array" ref="O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0" s="27" t="str" cm="1">
        <f t="array" ref="P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Table8[جهة العطل]
         ),
         ""
      ),
      IF(_xlpm.result="", "", _xlpm.result)
   )
)</f>
        <v/>
      </c>
      <c r="Q760" s="27" t="str" cm="1">
        <f t="array" ref="Q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Table8[المركز]
         ),
         ""
      ),
      IF(_xlpm.result="", "", _xlpm.result)
   )
)</f>
        <v/>
      </c>
      <c r="R760" s="27" t="str" cm="1">
        <f t="array" ref="R760">IF(
   A760="",
   "",
   _xlfn.LET(
      _xlpm.result,
      IFERROR(
         _xlfn.XLOOKUP(
            1,
            (Table8[رقم الصنف]=A760) *
            (IF($B$9="الكل",1, YEAR('ادخال البيانات'!$N$3:$N$1164) = VALUE($B$9))) *
            (IF($B$10="الكل",1, MONTH('ادخال البيانات'!$N$3:$N$1164) = VALUE($B$10))) *
            (IF($B$11="الكل",1, INT((DAY('ادخال البيانات'!$N$3:$N$1164) - 1) / 7) + 1 = VALUE($B$11))),
            Table8[ملاحظة]
         ),
         ""
      ),
      IF(_xlpm.result="", "", _xlpm.result)
   )
)</f>
        <v/>
      </c>
      <c r="S760" s="46" t="str">
        <f t="shared" ca="1" si="12"/>
        <v/>
      </c>
    </row>
    <row r="761" spans="1:19" ht="15.6" thickTop="1" thickBot="1" x14ac:dyDescent="0.35">
      <c r="A761" s="39"/>
      <c r="B761" s="27" t="str" cm="1">
        <f t="array" ref="B761">IF(
   OR(A761="", $B$9="", $B$10="", $B$11=""),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1" s="27" t="str" cm="1">
        <f t="array" ref="C761">IF(
   A761="",
   "",
   _xlfn.LET(
      _xlpm.result,
      IFERROR(
         _xlfn.XLOOKUP(
            1,
            (Table8[رقم الصنف]=A761) *
            (IF($B$9="الكل",1, YEAR('ادخال البيانات'!$N$3:$N$1164) = VALUE($B$9))) *
            (IF($B$10="الكل",1, MONTH('ادخال البيانات'!$N$3:$N$1164) = VALUE($B$10))) *
            (IF($B$11="الكل",1, INT((DAY('ادخال البيانات'!$N$3:$N$1164)-1)/7)+1 = VALUE($B$11))),
            'ادخال البيانات'!$C$3:$C$1164
         ),
         ""
      ),
      IF(_xlpm.result="", "", _xlpm.result)
   )
)</f>
        <v/>
      </c>
      <c r="D761" s="27" t="str" cm="1">
        <f t="array" ref="D761">IF(
   OR(A761="", $B$9="", $B$10="", $B$11=""),
   "",
   _xlfn.LET(
      _xlpm.result,
      IFERROR(
         _xlfn.XLOOKUP(
            1,
            (Table8[رقم الصنف]=A761) *
            (IF($B$9="الكل",1, YEAR('ادخال البيانات'!$N$3:$N$1164)=VALUE($B$9))) *
            (IF($B$10="الكل",1, MONTH('ادخال البيانات'!$N$3:$N$1164)=VALUE($B$10))) *
            (IF($B$11="الكل",1, INT((DAY('ادخال البيانات'!$N$3:$N$1164)-1)/7)+1 = VALUE($B$11))),
            'ادخال البيانات'!$D$3:$D$1164
         ),
         ""
      ),
      IF(_xlpm.result="", "", _xlpm.result)
   )
)</f>
        <v/>
      </c>
      <c r="E761" s="27" t="str" cm="1">
        <f t="array" ref="E761">IF(
   A761="",
   "",
   _xlfn.LET(
      _xlpm.result,
      IFERROR(
         _xlfn.XLOOKUP(
            1,
            (Table8[رقم الصنف]=A761) *
            (IF($B$9="الكل",1, YEAR('ادخال البيانات'!$N$3:$N$1164)=VALUE($B$9))) *
            (IF($B$10="الكل",1, MONTH('ادخال البيانات'!$N$3:$N$1164)=VALUE($B$10))) *
            (IF($B$11="الكل",1, INT((DAY('ادخال البيانات'!$N$3:$N$1164)-1)/7)+1 = VALUE($B$11))),
            'ادخال البيانات'!$E$3:$E$1164
         ),
         ""
      ),
      IF(_xlpm.result="", "", _xlpm.result)
   )
)</f>
        <v/>
      </c>
      <c r="F761" s="27" t="str" cm="1">
        <f t="array" ref="F761">IF(
   A761="",
   "",
   _xlfn.LET(
      _xlpm.result,
      IFERROR(
         _xlfn.XLOOKUP(
            1,
            (Table8[رقم الصنف]=A761) *
            (IF($B$9="الكل",1, YEAR('ادخال البيانات'!$N$3:$N$1164) = VALUE($B$9))) *
            (IF($B$10="الكل",1, MONTH('ادخال البيانات'!$N$3:$N$1164) = VALUE($B$10))) *
            (IF($B$11="الكل",1, INT((DAY('ادخال البيانات'!$N$3:$N$1164)-1)/7)+1 = VALUE($B$11))),
            'ادخال البيانات'!$F$3:$F$1164
         ),
         ""
      ),
      IF(_xlpm.result="", "", _xlpm.result)
   )
)</f>
        <v/>
      </c>
      <c r="G761" s="27" t="str" cm="1">
        <f t="array" ref="G761">IF(
   A761="",
   "",
   _xlfn.LET(
      _xlpm.result,
      IFERROR(
         _xlfn.XLOOKUP(
            1,
            (Table8[رقم الصنف]=A761) *
            (IF($B$9="الكل",1, YEAR('ادخال البيانات'!$N$3:$N$1164)=VALUE($B$9))) *
            (IF($B$10="الكل",1, MONTH('ادخال البيانات'!$N$3:$N$1164)=VALUE($B$10))) *
            (IF($B$11="الكل",1, INT((DAY('ادخال البيانات'!$N$3:$N$1164)-1)/7)+1 = VALUE($B$11))),
            'ادخال البيانات'!$G$3:$G$1164
         ),
         ""
      ),
      IF(_xlpm.result="", "", _xlpm.result)
   )
)</f>
        <v/>
      </c>
      <c r="H761" s="27" t="str" cm="1">
        <f t="array" ref="H761">IF(
   A761="",
   "",
   _xlfn.LET(
      _xlpm.result,
      IFERROR(
         _xlfn.XLOOKUP(
            1,
            (Table8[رقم الصنف]=A761) *
            (IF($B$9="الكل",1, YEAR('ادخال البيانات'!$N$3:$N$1164)=VALUE($B$9))) *
            (IF($B$10="الكل",1, MONTH('ادخال البيانات'!$N$3:$N$1164)=VALUE($B$10))) *
            (IF($B$11="الكل",1, INT((DAY('ادخال البيانات'!$N$3:$N$1164)-1)/7)+1 = VALUE($B$11))),
            'ادخال البيانات'!$H$3:$H$1164
         ),
         ""
      ),
      IF(_xlpm.result="", "", _xlpm.result)
   )
)</f>
        <v/>
      </c>
      <c r="I761" s="27" t="str" cm="1">
        <f t="array" ref="I761">IF(
   A761="",
   "",
   _xlfn.LET(
      _xlpm.result,
      IFERROR(
         _xlfn.XLOOKUP(
            1,
            (Table8[رقم الصنف]=A761) *
            (IF($B$9="الكل",1, YEAR('ادخال البيانات'!$N$3:$N$1164)=VALUE($B$9))) *
            (IF($B$10="الكل",1, MONTH('ادخال البيانات'!$N$3:$N$1164)=VALUE($B$10))) *
            (IF($B$11="الكل",1, INT((DAY('ادخال البيانات'!$N$3:$N$1164)-1)/7)+1 = VALUE($B$11))),
            'ادخال البيانات'!$I$3:$I$1164
         ),
         ""
      ),
      IF(_xlpm.result="", "", _xlpm.result)
   )
)</f>
        <v/>
      </c>
      <c r="J761" s="27" t="str" cm="1">
        <f t="array" ref="J761">IF(
   A761="",
   "",
   _xlfn.LET(
      _xlpm.result,
      IFERROR(
         _xlfn.XLOOKUP(
            1,
            (Table8[رقم الصنف]=A761) *
            (IF($B$9="الكل",1, YEAR('ادخال البيانات'!$N$3:$N$1164)=VALUE($B$9))) *
            (IF($B$10="الكل",1, MONTH('ادخال البيانات'!$N$3:$N$1164)=VALUE($B$10))) *
            (IF($B$11="الكل",1, INT((DAY('ادخال البيانات'!$N$3:$N$1164)-1)/7)+1 = VALUE($B$11))),
            'ادخال البيانات'!$J$3:$J$1164
         ),
         ""
      ),
      IF(_xlpm.result="", "", _xlpm.result)
   )
)</f>
        <v/>
      </c>
      <c r="K761" s="27" t="str" cm="1">
        <f t="array" ref="K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1" s="27" t="str" cm="1">
        <f t="array" ref="L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1" s="27" t="str" cm="1">
        <f t="array" ref="M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1" s="28" t="str" cm="1">
        <f t="array" ref="N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1" s="28" t="str" cm="1">
        <f t="array" ref="O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1" s="27" t="str" cm="1">
        <f t="array" ref="P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Table8[جهة العطل]
         ),
         ""
      ),
      IF(_xlpm.result="", "", _xlpm.result)
   )
)</f>
        <v/>
      </c>
      <c r="Q761" s="27" t="str" cm="1">
        <f t="array" ref="Q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Table8[المركز]
         ),
         ""
      ),
      IF(_xlpm.result="", "", _xlpm.result)
   )
)</f>
        <v/>
      </c>
      <c r="R761" s="27" t="str" cm="1">
        <f t="array" ref="R761">IF(
   A761="",
   "",
   _xlfn.LET(
      _xlpm.result,
      IFERROR(
         _xlfn.XLOOKUP(
            1,
            (Table8[رقم الصنف]=A761) *
            (IF($B$9="الكل",1, YEAR('ادخال البيانات'!$N$3:$N$1164) = VALUE($B$9))) *
            (IF($B$10="الكل",1, MONTH('ادخال البيانات'!$N$3:$N$1164) = VALUE($B$10))) *
            (IF($B$11="الكل",1, INT((DAY('ادخال البيانات'!$N$3:$N$1164) - 1) / 7) + 1 = VALUE($B$11))),
            Table8[ملاحظة]
         ),
         ""
      ),
      IF(_xlpm.result="", "", _xlpm.result)
   )
)</f>
        <v/>
      </c>
      <c r="S761" s="46" t="str">
        <f t="shared" ca="1" si="12"/>
        <v/>
      </c>
    </row>
    <row r="762" spans="1:19" ht="15.6" thickTop="1" thickBot="1" x14ac:dyDescent="0.35">
      <c r="A762" s="39"/>
      <c r="B762" s="27" t="str" cm="1">
        <f t="array" ref="B762">IF(
   OR(A762="", $B$9="", $B$10="", $B$11=""),
   "",
   _xlfn.LET(
      _xlpm.result,
      IFERROR(
         _xlfn.XLOOKUP(
            1,
            (Table8[رقم الصنف]=A762)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2" s="27" t="str" cm="1">
        <f t="array" ref="C762">IF(
   A762="",
   "",
   _xlfn.LET(
      _xlpm.result,
      IFERROR(
         _xlfn.XLOOKUP(
            1,
            (Table8[رقم الصنف]=A762) *
            (IF($B$9="الكل",1, YEAR('ادخال البيانات'!$N$3:$N$1164) = VALUE($B$9))) *
            (IF($B$10="الكل",1, MONTH('ادخال البيانات'!$N$3:$N$1164) = VALUE($B$10))) *
            (IF($B$11="الكل",1, INT((DAY('ادخال البيانات'!$N$3:$N$1164)-1)/7)+1 = VALUE($B$11))),
            'ادخال البيانات'!$C$3:$C$1164
         ),
         ""
      ),
      IF(_xlpm.result="", "", _xlpm.result)
   )
)</f>
        <v/>
      </c>
      <c r="D762" s="27" t="str" cm="1">
        <f t="array" ref="D762">IF(
   OR(A762="", $B$9="", $B$10="", $B$11=""),
   "",
   _xlfn.LET(
      _xlpm.result,
      IFERROR(
         _xlfn.XLOOKUP(
            1,
            (Table8[رقم الصنف]=A762) *
            (IF($B$9="الكل",1, YEAR('ادخال البيانات'!$N$3:$N$1164)=VALUE($B$9))) *
            (IF($B$10="الكل",1, MONTH('ادخال البيانات'!$N$3:$N$1164)=VALUE($B$10))) *
            (IF($B$11="الكل",1, INT((DAY('ادخال البيانات'!$N$3:$N$1164)-1)/7)+1 = VALUE($B$11))),
            'ادخال البيانات'!$D$3:$D$1164
         ),
         ""
      ),
      IF(_xlpm.result="", "", _xlpm.result)
   )
)</f>
        <v/>
      </c>
      <c r="E762" s="27" t="str" cm="1">
        <f t="array" ref="E762">IF(
   A762="",
   "",
   _xlfn.LET(
      _xlpm.result,
      IFERROR(
         _xlfn.XLOOKUP(
            1,
            (Table8[رقم الصنف]=A762) *
            (IF($B$9="الكل",1, YEAR('ادخال البيانات'!$N$3:$N$1164)=VALUE($B$9))) *
            (IF($B$10="الكل",1, MONTH('ادخال البيانات'!$N$3:$N$1164)=VALUE($B$10))) *
            (IF($B$11="الكل",1, INT((DAY('ادخال البيانات'!$N$3:$N$1164)-1)/7)+1 = VALUE($B$11))),
            'ادخال البيانات'!$E$3:$E$1164
         ),
         ""
      ),
      IF(_xlpm.result="", "", _xlpm.result)
   )
)</f>
        <v/>
      </c>
      <c r="F762" s="27" t="str" cm="1">
        <f t="array" ref="F762">IF(
   A762="",
   "",
   _xlfn.LET(
      _xlpm.result,
      IFERROR(
         _xlfn.XLOOKUP(
            1,
            (Table8[رقم الصنف]=A762) *
            (IF($B$9="الكل",1, YEAR('ادخال البيانات'!$N$3:$N$1164) = VALUE($B$9))) *
            (IF($B$10="الكل",1, MONTH('ادخال البيانات'!$N$3:$N$1164) = VALUE($B$10))) *
            (IF($B$11="الكل",1, INT((DAY('ادخال البيانات'!$N$3:$N$1164)-1)/7)+1 = VALUE($B$11))),
            'ادخال البيانات'!$F$3:$F$1164
         ),
         ""
      ),
      IF(_xlpm.result="", "", _xlpm.result)
   )
)</f>
        <v/>
      </c>
      <c r="G762" s="27" t="str" cm="1">
        <f t="array" ref="G762">IF(
   A762="",
   "",
   _xlfn.LET(
      _xlpm.result,
      IFERROR(
         _xlfn.XLOOKUP(
            1,
            (Table8[رقم الصنف]=A762) *
            (IF($B$9="الكل",1, YEAR('ادخال البيانات'!$N$3:$N$1164)=VALUE($B$9))) *
            (IF($B$10="الكل",1, MONTH('ادخال البيانات'!$N$3:$N$1164)=VALUE($B$10))) *
            (IF($B$11="الكل",1, INT((DAY('ادخال البيانات'!$N$3:$N$1164)-1)/7)+1 = VALUE($B$11))),
            'ادخال البيانات'!$G$3:$G$1164
         ),
         ""
      ),
      IF(_xlpm.result="", "", _xlpm.result)
   )
)</f>
        <v/>
      </c>
      <c r="H762" s="27" t="str" cm="1">
        <f t="array" ref="H762">IF(
   A762="",
   "",
   _xlfn.LET(
      _xlpm.result,
      IFERROR(
         _xlfn.XLOOKUP(
            1,
            (Table8[رقم الصنف]=A762) *
            (IF($B$9="الكل",1, YEAR('ادخال البيانات'!$N$3:$N$1164)=VALUE($B$9))) *
            (IF($B$10="الكل",1, MONTH('ادخال البيانات'!$N$3:$N$1164)=VALUE($B$10))) *
            (IF($B$11="الكل",1, INT((DAY('ادخال البيانات'!$N$3:$N$1164)-1)/7)+1 = VALUE($B$11))),
            'ادخال البيانات'!$H$3:$H$1164
         ),
         ""
      ),
      IF(_xlpm.result="", "", _xlpm.result)
   )
)</f>
        <v/>
      </c>
      <c r="I762" s="27" t="str" cm="1">
        <f t="array" ref="I762">IF(
   A762="",
   "",
   _xlfn.LET(
      _xlpm.result,
      IFERROR(
         _xlfn.XLOOKUP(
            1,
            (Table8[رقم الصنف]=A762) *
            (IF($B$9="الكل",1, YEAR('ادخال البيانات'!$N$3:$N$1164)=VALUE($B$9))) *
            (IF($B$10="الكل",1, MONTH('ادخال البيانات'!$N$3:$N$1164)=VALUE($B$10))) *
            (IF($B$11="الكل",1, INT((DAY('ادخال البيانات'!$N$3:$N$1164)-1)/7)+1 = VALUE($B$11))),
            'ادخال البيانات'!$I$3:$I$1164
         ),
         ""
      ),
      IF(_xlpm.result="", "", _xlpm.result)
   )
)</f>
        <v/>
      </c>
      <c r="J762" s="27" t="str" cm="1">
        <f t="array" ref="J762">IF(
   A762="",
   "",
   _xlfn.LET(
      _xlpm.result,
      IFERROR(
         _xlfn.XLOOKUP(
            1,
            (Table8[رقم الصنف]=A762) *
            (IF($B$9="الكل",1, YEAR('ادخال البيانات'!$N$3:$N$1164)=VALUE($B$9))) *
            (IF($B$10="الكل",1, MONTH('ادخال البيانات'!$N$3:$N$1164)=VALUE($B$10))) *
            (IF($B$11="الكل",1, INT((DAY('ادخال البيانات'!$N$3:$N$1164)-1)/7)+1 = VALUE($B$11))),
            'ادخال البيانات'!$J$3:$J$1164
         ),
         ""
      ),
      IF(_xlpm.result="", "", _xlpm.result)
   )
)</f>
        <v/>
      </c>
      <c r="K762" s="27" t="str" cm="1">
        <f t="array" ref="K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2" s="27" t="str" cm="1">
        <f t="array" ref="L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2" s="27" t="str" cm="1">
        <f t="array" ref="M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2" s="28" t="str" cm="1">
        <f t="array" ref="N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2" s="28" t="str" cm="1">
        <f t="array" ref="O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2" s="27" t="str" cm="1">
        <f t="array" ref="P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Table8[جهة العطل]
         ),
         ""
      ),
      IF(_xlpm.result="", "", _xlpm.result)
   )
)</f>
        <v/>
      </c>
      <c r="Q762" s="27" t="str" cm="1">
        <f t="array" ref="Q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Table8[المركز]
         ),
         ""
      ),
      IF(_xlpm.result="", "", _xlpm.result)
   )
)</f>
        <v/>
      </c>
      <c r="R762" s="27" t="str" cm="1">
        <f t="array" ref="R762">IF(
   A762="",
   "",
   _xlfn.LET(
      _xlpm.result,
      IFERROR(
         _xlfn.XLOOKUP(
            1,
            (Table8[رقم الصنف]=A762) *
            (IF($B$9="الكل",1, YEAR('ادخال البيانات'!$N$3:$N$1164) = VALUE($B$9))) *
            (IF($B$10="الكل",1, MONTH('ادخال البيانات'!$N$3:$N$1164) = VALUE($B$10))) *
            (IF($B$11="الكل",1, INT((DAY('ادخال البيانات'!$N$3:$N$1164) - 1) / 7) + 1 = VALUE($B$11))),
            Table8[ملاحظة]
         ),
         ""
      ),
      IF(_xlpm.result="", "", _xlpm.result)
   )
)</f>
        <v/>
      </c>
      <c r="S762" s="46" t="str">
        <f t="shared" ca="1" si="12"/>
        <v/>
      </c>
    </row>
    <row r="763" spans="1:19" ht="15.6" thickTop="1" thickBot="1" x14ac:dyDescent="0.35">
      <c r="A763" s="39"/>
      <c r="B763" s="27" t="str" cm="1">
        <f t="array" ref="B763">IF(
   OR(A763="", $B$9="", $B$10="", $B$11=""),
   "",
   _xlfn.LET(
      _xlpm.result,
      IFERROR(
         _xlfn.XLOOKUP(
            1,
            (Table8[رقم الصنف]=A763)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3" s="27" t="str" cm="1">
        <f t="array" ref="C763">IF(
   A763="",
   "",
   _xlfn.LET(
      _xlpm.result,
      IFERROR(
         _xlfn.XLOOKUP(
            1,
            (Table8[رقم الصنف]=A763) *
            (IF($B$9="الكل",1, YEAR('ادخال البيانات'!$N$3:$N$1164) = VALUE($B$9))) *
            (IF($B$10="الكل",1, MONTH('ادخال البيانات'!$N$3:$N$1164) = VALUE($B$10))) *
            (IF($B$11="الكل",1, INT((DAY('ادخال البيانات'!$N$3:$N$1164)-1)/7)+1 = VALUE($B$11))),
            'ادخال البيانات'!$C$3:$C$1164
         ),
         ""
      ),
      IF(_xlpm.result="", "", _xlpm.result)
   )
)</f>
        <v/>
      </c>
      <c r="D763" s="27" t="str" cm="1">
        <f t="array" ref="D763">IF(
   OR(A763="", $B$9="", $B$10="", $B$11=""),
   "",
   _xlfn.LET(
      _xlpm.result,
      IFERROR(
         _xlfn.XLOOKUP(
            1,
            (Table8[رقم الصنف]=A763) *
            (IF($B$9="الكل",1, YEAR('ادخال البيانات'!$N$3:$N$1164)=VALUE($B$9))) *
            (IF($B$10="الكل",1, MONTH('ادخال البيانات'!$N$3:$N$1164)=VALUE($B$10))) *
            (IF($B$11="الكل",1, INT((DAY('ادخال البيانات'!$N$3:$N$1164)-1)/7)+1 = VALUE($B$11))),
            'ادخال البيانات'!$D$3:$D$1164
         ),
         ""
      ),
      IF(_xlpm.result="", "", _xlpm.result)
   )
)</f>
        <v/>
      </c>
      <c r="E763" s="27" t="str" cm="1">
        <f t="array" ref="E763">IF(
   A763="",
   "",
   _xlfn.LET(
      _xlpm.result,
      IFERROR(
         _xlfn.XLOOKUP(
            1,
            (Table8[رقم الصنف]=A763) *
            (IF($B$9="الكل",1, YEAR('ادخال البيانات'!$N$3:$N$1164)=VALUE($B$9))) *
            (IF($B$10="الكل",1, MONTH('ادخال البيانات'!$N$3:$N$1164)=VALUE($B$10))) *
            (IF($B$11="الكل",1, INT((DAY('ادخال البيانات'!$N$3:$N$1164)-1)/7)+1 = VALUE($B$11))),
            'ادخال البيانات'!$E$3:$E$1164
         ),
         ""
      ),
      IF(_xlpm.result="", "", _xlpm.result)
   )
)</f>
        <v/>
      </c>
      <c r="F763" s="27" t="str" cm="1">
        <f t="array" ref="F763">IF(
   A763="",
   "",
   _xlfn.LET(
      _xlpm.result,
      IFERROR(
         _xlfn.XLOOKUP(
            1,
            (Table8[رقم الصنف]=A763) *
            (IF($B$9="الكل",1, YEAR('ادخال البيانات'!$N$3:$N$1164) = VALUE($B$9))) *
            (IF($B$10="الكل",1, MONTH('ادخال البيانات'!$N$3:$N$1164) = VALUE($B$10))) *
            (IF($B$11="الكل",1, INT((DAY('ادخال البيانات'!$N$3:$N$1164)-1)/7)+1 = VALUE($B$11))),
            'ادخال البيانات'!$F$3:$F$1164
         ),
         ""
      ),
      IF(_xlpm.result="", "", _xlpm.result)
   )
)</f>
        <v/>
      </c>
      <c r="G763" s="27" t="str" cm="1">
        <f t="array" ref="G763">IF(
   A763="",
   "",
   _xlfn.LET(
      _xlpm.result,
      IFERROR(
         _xlfn.XLOOKUP(
            1,
            (Table8[رقم الصنف]=A763) *
            (IF($B$9="الكل",1, YEAR('ادخال البيانات'!$N$3:$N$1164)=VALUE($B$9))) *
            (IF($B$10="الكل",1, MONTH('ادخال البيانات'!$N$3:$N$1164)=VALUE($B$10))) *
            (IF($B$11="الكل",1, INT((DAY('ادخال البيانات'!$N$3:$N$1164)-1)/7)+1 = VALUE($B$11))),
            'ادخال البيانات'!$G$3:$G$1164
         ),
         ""
      ),
      IF(_xlpm.result="", "", _xlpm.result)
   )
)</f>
        <v/>
      </c>
      <c r="H763" s="27" t="str" cm="1">
        <f t="array" ref="H763">IF(
   A763="",
   "",
   _xlfn.LET(
      _xlpm.result,
      IFERROR(
         _xlfn.XLOOKUP(
            1,
            (Table8[رقم الصنف]=A763) *
            (IF($B$9="الكل",1, YEAR('ادخال البيانات'!$N$3:$N$1164)=VALUE($B$9))) *
            (IF($B$10="الكل",1, MONTH('ادخال البيانات'!$N$3:$N$1164)=VALUE($B$10))) *
            (IF($B$11="الكل",1, INT((DAY('ادخال البيانات'!$N$3:$N$1164)-1)/7)+1 = VALUE($B$11))),
            'ادخال البيانات'!$H$3:$H$1164
         ),
         ""
      ),
      IF(_xlpm.result="", "", _xlpm.result)
   )
)</f>
        <v/>
      </c>
      <c r="I763" s="27" t="str" cm="1">
        <f t="array" ref="I763">IF(
   A763="",
   "",
   _xlfn.LET(
      _xlpm.result,
      IFERROR(
         _xlfn.XLOOKUP(
            1,
            (Table8[رقم الصنف]=A763) *
            (IF($B$9="الكل",1, YEAR('ادخال البيانات'!$N$3:$N$1164)=VALUE($B$9))) *
            (IF($B$10="الكل",1, MONTH('ادخال البيانات'!$N$3:$N$1164)=VALUE($B$10))) *
            (IF($B$11="الكل",1, INT((DAY('ادخال البيانات'!$N$3:$N$1164)-1)/7)+1 = VALUE($B$11))),
            'ادخال البيانات'!$I$3:$I$1164
         ),
         ""
      ),
      IF(_xlpm.result="", "", _xlpm.result)
   )
)</f>
        <v/>
      </c>
      <c r="J763" s="27" t="str" cm="1">
        <f t="array" ref="J763">IF(
   A763="",
   "",
   _xlfn.LET(
      _xlpm.result,
      IFERROR(
         _xlfn.XLOOKUP(
            1,
            (Table8[رقم الصنف]=A763) *
            (IF($B$9="الكل",1, YEAR('ادخال البيانات'!$N$3:$N$1164)=VALUE($B$9))) *
            (IF($B$10="الكل",1, MONTH('ادخال البيانات'!$N$3:$N$1164)=VALUE($B$10))) *
            (IF($B$11="الكل",1, INT((DAY('ادخال البيانات'!$N$3:$N$1164)-1)/7)+1 = VALUE($B$11))),
            'ادخال البيانات'!$J$3:$J$1164
         ),
         ""
      ),
      IF(_xlpm.result="", "", _xlpm.result)
   )
)</f>
        <v/>
      </c>
      <c r="K763" s="27" t="str" cm="1">
        <f t="array" ref="K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3" s="27" t="str" cm="1">
        <f t="array" ref="L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3" s="27" t="str" cm="1">
        <f t="array" ref="M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3" s="28" t="str" cm="1">
        <f t="array" ref="N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3" s="28" t="str" cm="1">
        <f t="array" ref="O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3" s="27" t="str" cm="1">
        <f t="array" ref="P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Table8[جهة العطل]
         ),
         ""
      ),
      IF(_xlpm.result="", "", _xlpm.result)
   )
)</f>
        <v/>
      </c>
      <c r="Q763" s="27" t="str" cm="1">
        <f t="array" ref="Q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Table8[المركز]
         ),
         ""
      ),
      IF(_xlpm.result="", "", _xlpm.result)
   )
)</f>
        <v/>
      </c>
      <c r="R763" s="27" t="str" cm="1">
        <f t="array" ref="R763">IF(
   A763="",
   "",
   _xlfn.LET(
      _xlpm.result,
      IFERROR(
         _xlfn.XLOOKUP(
            1,
            (Table8[رقم الصنف]=A763) *
            (IF($B$9="الكل",1, YEAR('ادخال البيانات'!$N$3:$N$1164) = VALUE($B$9))) *
            (IF($B$10="الكل",1, MONTH('ادخال البيانات'!$N$3:$N$1164) = VALUE($B$10))) *
            (IF($B$11="الكل",1, INT((DAY('ادخال البيانات'!$N$3:$N$1164) - 1) / 7) + 1 = VALUE($B$11))),
            Table8[ملاحظة]
         ),
         ""
      ),
      IF(_xlpm.result="", "", _xlpm.result)
   )
)</f>
        <v/>
      </c>
      <c r="S763" s="46" t="str">
        <f t="shared" ca="1" si="12"/>
        <v/>
      </c>
    </row>
    <row r="764" spans="1:19" ht="15.6" thickTop="1" thickBot="1" x14ac:dyDescent="0.35">
      <c r="A764" s="39"/>
      <c r="B764" s="27" t="str" cm="1">
        <f t="array" ref="B764">IF(
   OR(A764="", $B$9="", $B$10="", $B$11=""),
   "",
   _xlfn.LET(
      _xlpm.result,
      IFERROR(
         _xlfn.XLOOKUP(
            1,
            (Table8[رقم الصنف]=A764)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4" s="27" t="str" cm="1">
        <f t="array" ref="C764">IF(
   A764="",
   "",
   _xlfn.LET(
      _xlpm.result,
      IFERROR(
         _xlfn.XLOOKUP(
            1,
            (Table8[رقم الصنف]=A764) *
            (IF($B$9="الكل",1, YEAR('ادخال البيانات'!$N$3:$N$1164) = VALUE($B$9))) *
            (IF($B$10="الكل",1, MONTH('ادخال البيانات'!$N$3:$N$1164) = VALUE($B$10))) *
            (IF($B$11="الكل",1, INT((DAY('ادخال البيانات'!$N$3:$N$1164)-1)/7)+1 = VALUE($B$11))),
            'ادخال البيانات'!$C$3:$C$1164
         ),
         ""
      ),
      IF(_xlpm.result="", "", _xlpm.result)
   )
)</f>
        <v/>
      </c>
      <c r="D764" s="27" t="str" cm="1">
        <f t="array" ref="D764">IF(
   OR(A764="", $B$9="", $B$10="", $B$11=""),
   "",
   _xlfn.LET(
      _xlpm.result,
      IFERROR(
         _xlfn.XLOOKUP(
            1,
            (Table8[رقم الصنف]=A764) *
            (IF($B$9="الكل",1, YEAR('ادخال البيانات'!$N$3:$N$1164)=VALUE($B$9))) *
            (IF($B$10="الكل",1, MONTH('ادخال البيانات'!$N$3:$N$1164)=VALUE($B$10))) *
            (IF($B$11="الكل",1, INT((DAY('ادخال البيانات'!$N$3:$N$1164)-1)/7)+1 = VALUE($B$11))),
            'ادخال البيانات'!$D$3:$D$1164
         ),
         ""
      ),
      IF(_xlpm.result="", "", _xlpm.result)
   )
)</f>
        <v/>
      </c>
      <c r="E764" s="27" t="str" cm="1">
        <f t="array" ref="E764">IF(
   A764="",
   "",
   _xlfn.LET(
      _xlpm.result,
      IFERROR(
         _xlfn.XLOOKUP(
            1,
            (Table8[رقم الصنف]=A764) *
            (IF($B$9="الكل",1, YEAR('ادخال البيانات'!$N$3:$N$1164)=VALUE($B$9))) *
            (IF($B$10="الكل",1, MONTH('ادخال البيانات'!$N$3:$N$1164)=VALUE($B$10))) *
            (IF($B$11="الكل",1, INT((DAY('ادخال البيانات'!$N$3:$N$1164)-1)/7)+1 = VALUE($B$11))),
            'ادخال البيانات'!$E$3:$E$1164
         ),
         ""
      ),
      IF(_xlpm.result="", "", _xlpm.result)
   )
)</f>
        <v/>
      </c>
      <c r="F764" s="27" t="str" cm="1">
        <f t="array" ref="F764">IF(
   A764="",
   "",
   _xlfn.LET(
      _xlpm.result,
      IFERROR(
         _xlfn.XLOOKUP(
            1,
            (Table8[رقم الصنف]=A764) *
            (IF($B$9="الكل",1, YEAR('ادخال البيانات'!$N$3:$N$1164) = VALUE($B$9))) *
            (IF($B$10="الكل",1, MONTH('ادخال البيانات'!$N$3:$N$1164) = VALUE($B$10))) *
            (IF($B$11="الكل",1, INT((DAY('ادخال البيانات'!$N$3:$N$1164)-1)/7)+1 = VALUE($B$11))),
            'ادخال البيانات'!$F$3:$F$1164
         ),
         ""
      ),
      IF(_xlpm.result="", "", _xlpm.result)
   )
)</f>
        <v/>
      </c>
      <c r="G764" s="27" t="str" cm="1">
        <f t="array" ref="G764">IF(
   A764="",
   "",
   _xlfn.LET(
      _xlpm.result,
      IFERROR(
         _xlfn.XLOOKUP(
            1,
            (Table8[رقم الصنف]=A764) *
            (IF($B$9="الكل",1, YEAR('ادخال البيانات'!$N$3:$N$1164)=VALUE($B$9))) *
            (IF($B$10="الكل",1, MONTH('ادخال البيانات'!$N$3:$N$1164)=VALUE($B$10))) *
            (IF($B$11="الكل",1, INT((DAY('ادخال البيانات'!$N$3:$N$1164)-1)/7)+1 = VALUE($B$11))),
            'ادخال البيانات'!$G$3:$G$1164
         ),
         ""
      ),
      IF(_xlpm.result="", "", _xlpm.result)
   )
)</f>
        <v/>
      </c>
      <c r="H764" s="27" t="str" cm="1">
        <f t="array" ref="H764">IF(
   A764="",
   "",
   _xlfn.LET(
      _xlpm.result,
      IFERROR(
         _xlfn.XLOOKUP(
            1,
            (Table8[رقم الصنف]=A764) *
            (IF($B$9="الكل",1, YEAR('ادخال البيانات'!$N$3:$N$1164)=VALUE($B$9))) *
            (IF($B$10="الكل",1, MONTH('ادخال البيانات'!$N$3:$N$1164)=VALUE($B$10))) *
            (IF($B$11="الكل",1, INT((DAY('ادخال البيانات'!$N$3:$N$1164)-1)/7)+1 = VALUE($B$11))),
            'ادخال البيانات'!$H$3:$H$1164
         ),
         ""
      ),
      IF(_xlpm.result="", "", _xlpm.result)
   )
)</f>
        <v/>
      </c>
      <c r="I764" s="27" t="str" cm="1">
        <f t="array" ref="I764">IF(
   A764="",
   "",
   _xlfn.LET(
      _xlpm.result,
      IFERROR(
         _xlfn.XLOOKUP(
            1,
            (Table8[رقم الصنف]=A764) *
            (IF($B$9="الكل",1, YEAR('ادخال البيانات'!$N$3:$N$1164)=VALUE($B$9))) *
            (IF($B$10="الكل",1, MONTH('ادخال البيانات'!$N$3:$N$1164)=VALUE($B$10))) *
            (IF($B$11="الكل",1, INT((DAY('ادخال البيانات'!$N$3:$N$1164)-1)/7)+1 = VALUE($B$11))),
            'ادخال البيانات'!$I$3:$I$1164
         ),
         ""
      ),
      IF(_xlpm.result="", "", _xlpm.result)
   )
)</f>
        <v/>
      </c>
      <c r="J764" s="27" t="str" cm="1">
        <f t="array" ref="J764">IF(
   A764="",
   "",
   _xlfn.LET(
      _xlpm.result,
      IFERROR(
         _xlfn.XLOOKUP(
            1,
            (Table8[رقم الصنف]=A764) *
            (IF($B$9="الكل",1, YEAR('ادخال البيانات'!$N$3:$N$1164)=VALUE($B$9))) *
            (IF($B$10="الكل",1, MONTH('ادخال البيانات'!$N$3:$N$1164)=VALUE($B$10))) *
            (IF($B$11="الكل",1, INT((DAY('ادخال البيانات'!$N$3:$N$1164)-1)/7)+1 = VALUE($B$11))),
            'ادخال البيانات'!$J$3:$J$1164
         ),
         ""
      ),
      IF(_xlpm.result="", "", _xlpm.result)
   )
)</f>
        <v/>
      </c>
      <c r="K764" s="27" t="str" cm="1">
        <f t="array" ref="K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4" s="27" t="str" cm="1">
        <f t="array" ref="L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4" s="27" t="str" cm="1">
        <f t="array" ref="M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4" s="28" t="str" cm="1">
        <f t="array" ref="N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4" s="28" t="str" cm="1">
        <f t="array" ref="O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4" s="27" t="str" cm="1">
        <f t="array" ref="P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Table8[جهة العطل]
         ),
         ""
      ),
      IF(_xlpm.result="", "", _xlpm.result)
   )
)</f>
        <v/>
      </c>
      <c r="Q764" s="27" t="str" cm="1">
        <f t="array" ref="Q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Table8[المركز]
         ),
         ""
      ),
      IF(_xlpm.result="", "", _xlpm.result)
   )
)</f>
        <v/>
      </c>
      <c r="R764" s="27" t="str" cm="1">
        <f t="array" ref="R764">IF(
   A764="",
   "",
   _xlfn.LET(
      _xlpm.result,
      IFERROR(
         _xlfn.XLOOKUP(
            1,
            (Table8[رقم الصنف]=A764) *
            (IF($B$9="الكل",1, YEAR('ادخال البيانات'!$N$3:$N$1164) = VALUE($B$9))) *
            (IF($B$10="الكل",1, MONTH('ادخال البيانات'!$N$3:$N$1164) = VALUE($B$10))) *
            (IF($B$11="الكل",1, INT((DAY('ادخال البيانات'!$N$3:$N$1164) - 1) / 7) + 1 = VALUE($B$11))),
            Table8[ملاحظة]
         ),
         ""
      ),
      IF(_xlpm.result="", "", _xlpm.result)
   )
)</f>
        <v/>
      </c>
      <c r="S764" s="46" t="str">
        <f t="shared" ca="1" si="12"/>
        <v/>
      </c>
    </row>
    <row r="765" spans="1:19" ht="15.6" thickTop="1" thickBot="1" x14ac:dyDescent="0.35">
      <c r="A765" s="39"/>
      <c r="B765" s="27" t="str" cm="1">
        <f t="array" ref="B765">IF(
   OR(A765="", $B$9="", $B$10="", $B$11=""),
   "",
   _xlfn.LET(
      _xlpm.result,
      IFERROR(
         _xlfn.XLOOKUP(
            1,
            (Table8[رقم الصنف]=A765)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5" s="27" t="str" cm="1">
        <f t="array" ref="C765">IF(
   A765="",
   "",
   _xlfn.LET(
      _xlpm.result,
      IFERROR(
         _xlfn.XLOOKUP(
            1,
            (Table8[رقم الصنف]=A765) *
            (IF($B$9="الكل",1, YEAR('ادخال البيانات'!$N$3:$N$1164) = VALUE($B$9))) *
            (IF($B$10="الكل",1, MONTH('ادخال البيانات'!$N$3:$N$1164) = VALUE($B$10))) *
            (IF($B$11="الكل",1, INT((DAY('ادخال البيانات'!$N$3:$N$1164)-1)/7)+1 = VALUE($B$11))),
            'ادخال البيانات'!$C$3:$C$1164
         ),
         ""
      ),
      IF(_xlpm.result="", "", _xlpm.result)
   )
)</f>
        <v/>
      </c>
      <c r="D765" s="27" t="str" cm="1">
        <f t="array" ref="D765">IF(
   OR(A765="", $B$9="", $B$10="", $B$11=""),
   "",
   _xlfn.LET(
      _xlpm.result,
      IFERROR(
         _xlfn.XLOOKUP(
            1,
            (Table8[رقم الصنف]=A765) *
            (IF($B$9="الكل",1, YEAR('ادخال البيانات'!$N$3:$N$1164)=VALUE($B$9))) *
            (IF($B$10="الكل",1, MONTH('ادخال البيانات'!$N$3:$N$1164)=VALUE($B$10))) *
            (IF($B$11="الكل",1, INT((DAY('ادخال البيانات'!$N$3:$N$1164)-1)/7)+1 = VALUE($B$11))),
            'ادخال البيانات'!$D$3:$D$1164
         ),
         ""
      ),
      IF(_xlpm.result="", "", _xlpm.result)
   )
)</f>
        <v/>
      </c>
      <c r="E765" s="27" t="str" cm="1">
        <f t="array" ref="E765">IF(
   A765="",
   "",
   _xlfn.LET(
      _xlpm.result,
      IFERROR(
         _xlfn.XLOOKUP(
            1,
            (Table8[رقم الصنف]=A765) *
            (IF($B$9="الكل",1, YEAR('ادخال البيانات'!$N$3:$N$1164)=VALUE($B$9))) *
            (IF($B$10="الكل",1, MONTH('ادخال البيانات'!$N$3:$N$1164)=VALUE($B$10))) *
            (IF($B$11="الكل",1, INT((DAY('ادخال البيانات'!$N$3:$N$1164)-1)/7)+1 = VALUE($B$11))),
            'ادخال البيانات'!$E$3:$E$1164
         ),
         ""
      ),
      IF(_xlpm.result="", "", _xlpm.result)
   )
)</f>
        <v/>
      </c>
      <c r="F765" s="27" t="str" cm="1">
        <f t="array" ref="F765">IF(
   A765="",
   "",
   _xlfn.LET(
      _xlpm.result,
      IFERROR(
         _xlfn.XLOOKUP(
            1,
            (Table8[رقم الصنف]=A765) *
            (IF($B$9="الكل",1, YEAR('ادخال البيانات'!$N$3:$N$1164) = VALUE($B$9))) *
            (IF($B$10="الكل",1, MONTH('ادخال البيانات'!$N$3:$N$1164) = VALUE($B$10))) *
            (IF($B$11="الكل",1, INT((DAY('ادخال البيانات'!$N$3:$N$1164)-1)/7)+1 = VALUE($B$11))),
            'ادخال البيانات'!$F$3:$F$1164
         ),
         ""
      ),
      IF(_xlpm.result="", "", _xlpm.result)
   )
)</f>
        <v/>
      </c>
      <c r="G765" s="27" t="str" cm="1">
        <f t="array" ref="G765">IF(
   A765="",
   "",
   _xlfn.LET(
      _xlpm.result,
      IFERROR(
         _xlfn.XLOOKUP(
            1,
            (Table8[رقم الصنف]=A765) *
            (IF($B$9="الكل",1, YEAR('ادخال البيانات'!$N$3:$N$1164)=VALUE($B$9))) *
            (IF($B$10="الكل",1, MONTH('ادخال البيانات'!$N$3:$N$1164)=VALUE($B$10))) *
            (IF($B$11="الكل",1, INT((DAY('ادخال البيانات'!$N$3:$N$1164)-1)/7)+1 = VALUE($B$11))),
            'ادخال البيانات'!$G$3:$G$1164
         ),
         ""
      ),
      IF(_xlpm.result="", "", _xlpm.result)
   )
)</f>
        <v/>
      </c>
      <c r="H765" s="27" t="str" cm="1">
        <f t="array" ref="H765">IF(
   A765="",
   "",
   _xlfn.LET(
      _xlpm.result,
      IFERROR(
         _xlfn.XLOOKUP(
            1,
            (Table8[رقم الصنف]=A765) *
            (IF($B$9="الكل",1, YEAR('ادخال البيانات'!$N$3:$N$1164)=VALUE($B$9))) *
            (IF($B$10="الكل",1, MONTH('ادخال البيانات'!$N$3:$N$1164)=VALUE($B$10))) *
            (IF($B$11="الكل",1, INT((DAY('ادخال البيانات'!$N$3:$N$1164)-1)/7)+1 = VALUE($B$11))),
            'ادخال البيانات'!$H$3:$H$1164
         ),
         ""
      ),
      IF(_xlpm.result="", "", _xlpm.result)
   )
)</f>
        <v/>
      </c>
      <c r="I765" s="27" t="str" cm="1">
        <f t="array" ref="I765">IF(
   A765="",
   "",
   _xlfn.LET(
      _xlpm.result,
      IFERROR(
         _xlfn.XLOOKUP(
            1,
            (Table8[رقم الصنف]=A765) *
            (IF($B$9="الكل",1, YEAR('ادخال البيانات'!$N$3:$N$1164)=VALUE($B$9))) *
            (IF($B$10="الكل",1, MONTH('ادخال البيانات'!$N$3:$N$1164)=VALUE($B$10))) *
            (IF($B$11="الكل",1, INT((DAY('ادخال البيانات'!$N$3:$N$1164)-1)/7)+1 = VALUE($B$11))),
            'ادخال البيانات'!$I$3:$I$1164
         ),
         ""
      ),
      IF(_xlpm.result="", "", _xlpm.result)
   )
)</f>
        <v/>
      </c>
      <c r="J765" s="27" t="str" cm="1">
        <f t="array" ref="J765">IF(
   A765="",
   "",
   _xlfn.LET(
      _xlpm.result,
      IFERROR(
         _xlfn.XLOOKUP(
            1,
            (Table8[رقم الصنف]=A765) *
            (IF($B$9="الكل",1, YEAR('ادخال البيانات'!$N$3:$N$1164)=VALUE($B$9))) *
            (IF($B$10="الكل",1, MONTH('ادخال البيانات'!$N$3:$N$1164)=VALUE($B$10))) *
            (IF($B$11="الكل",1, INT((DAY('ادخال البيانات'!$N$3:$N$1164)-1)/7)+1 = VALUE($B$11))),
            'ادخال البيانات'!$J$3:$J$1164
         ),
         ""
      ),
      IF(_xlpm.result="", "", _xlpm.result)
   )
)</f>
        <v/>
      </c>
      <c r="K765" s="27" t="str" cm="1">
        <f t="array" ref="K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5" s="27" t="str" cm="1">
        <f t="array" ref="L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5" s="27" t="str" cm="1">
        <f t="array" ref="M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5" s="28" t="str" cm="1">
        <f t="array" ref="N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5" s="28" t="str" cm="1">
        <f t="array" ref="O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5" s="27" t="str" cm="1">
        <f t="array" ref="P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Table8[جهة العطل]
         ),
         ""
      ),
      IF(_xlpm.result="", "", _xlpm.result)
   )
)</f>
        <v/>
      </c>
      <c r="Q765" s="27" t="str" cm="1">
        <f t="array" ref="Q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Table8[المركز]
         ),
         ""
      ),
      IF(_xlpm.result="", "", _xlpm.result)
   )
)</f>
        <v/>
      </c>
      <c r="R765" s="27" t="str" cm="1">
        <f t="array" ref="R765">IF(
   A765="",
   "",
   _xlfn.LET(
      _xlpm.result,
      IFERROR(
         _xlfn.XLOOKUP(
            1,
            (Table8[رقم الصنف]=A765) *
            (IF($B$9="الكل",1, YEAR('ادخال البيانات'!$N$3:$N$1164) = VALUE($B$9))) *
            (IF($B$10="الكل",1, MONTH('ادخال البيانات'!$N$3:$N$1164) = VALUE($B$10))) *
            (IF($B$11="الكل",1, INT((DAY('ادخال البيانات'!$N$3:$N$1164) - 1) / 7) + 1 = VALUE($B$11))),
            Table8[ملاحظة]
         ),
         ""
      ),
      IF(_xlpm.result="", "", _xlpm.result)
   )
)</f>
        <v/>
      </c>
      <c r="S765" s="46" t="str">
        <f t="shared" ca="1" si="12"/>
        <v/>
      </c>
    </row>
    <row r="766" spans="1:19" ht="15.6" thickTop="1" thickBot="1" x14ac:dyDescent="0.35">
      <c r="A766" s="39"/>
      <c r="B766" s="27" t="str" cm="1">
        <f t="array" ref="B766">IF(
   OR(A766="", $B$9="", $B$10="", $B$11=""),
   "",
   _xlfn.LET(
      _xlpm.result,
      IFERROR(
         _xlfn.XLOOKUP(
            1,
            (Table8[رقم الصنف]=A766)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6" s="27" t="str" cm="1">
        <f t="array" ref="C766">IF(
   A766="",
   "",
   _xlfn.LET(
      _xlpm.result,
      IFERROR(
         _xlfn.XLOOKUP(
            1,
            (Table8[رقم الصنف]=A766) *
            (IF($B$9="الكل",1, YEAR('ادخال البيانات'!$N$3:$N$1164) = VALUE($B$9))) *
            (IF($B$10="الكل",1, MONTH('ادخال البيانات'!$N$3:$N$1164) = VALUE($B$10))) *
            (IF($B$11="الكل",1, INT((DAY('ادخال البيانات'!$N$3:$N$1164)-1)/7)+1 = VALUE($B$11))),
            'ادخال البيانات'!$C$3:$C$1164
         ),
         ""
      ),
      IF(_xlpm.result="", "", _xlpm.result)
   )
)</f>
        <v/>
      </c>
      <c r="D766" s="27" t="str" cm="1">
        <f t="array" ref="D766">IF(
   OR(A766="", $B$9="", $B$10="", $B$11=""),
   "",
   _xlfn.LET(
      _xlpm.result,
      IFERROR(
         _xlfn.XLOOKUP(
            1,
            (Table8[رقم الصنف]=A766) *
            (IF($B$9="الكل",1, YEAR('ادخال البيانات'!$N$3:$N$1164)=VALUE($B$9))) *
            (IF($B$10="الكل",1, MONTH('ادخال البيانات'!$N$3:$N$1164)=VALUE($B$10))) *
            (IF($B$11="الكل",1, INT((DAY('ادخال البيانات'!$N$3:$N$1164)-1)/7)+1 = VALUE($B$11))),
            'ادخال البيانات'!$D$3:$D$1164
         ),
         ""
      ),
      IF(_xlpm.result="", "", _xlpm.result)
   )
)</f>
        <v/>
      </c>
      <c r="E766" s="27" t="str" cm="1">
        <f t="array" ref="E766">IF(
   A766="",
   "",
   _xlfn.LET(
      _xlpm.result,
      IFERROR(
         _xlfn.XLOOKUP(
            1,
            (Table8[رقم الصنف]=A766) *
            (IF($B$9="الكل",1, YEAR('ادخال البيانات'!$N$3:$N$1164)=VALUE($B$9))) *
            (IF($B$10="الكل",1, MONTH('ادخال البيانات'!$N$3:$N$1164)=VALUE($B$10))) *
            (IF($B$11="الكل",1, INT((DAY('ادخال البيانات'!$N$3:$N$1164)-1)/7)+1 = VALUE($B$11))),
            'ادخال البيانات'!$E$3:$E$1164
         ),
         ""
      ),
      IF(_xlpm.result="", "", _xlpm.result)
   )
)</f>
        <v/>
      </c>
      <c r="F766" s="27" t="str" cm="1">
        <f t="array" ref="F766">IF(
   A766="",
   "",
   _xlfn.LET(
      _xlpm.result,
      IFERROR(
         _xlfn.XLOOKUP(
            1,
            (Table8[رقم الصنف]=A766) *
            (IF($B$9="الكل",1, YEAR('ادخال البيانات'!$N$3:$N$1164) = VALUE($B$9))) *
            (IF($B$10="الكل",1, MONTH('ادخال البيانات'!$N$3:$N$1164) = VALUE($B$10))) *
            (IF($B$11="الكل",1, INT((DAY('ادخال البيانات'!$N$3:$N$1164)-1)/7)+1 = VALUE($B$11))),
            'ادخال البيانات'!$F$3:$F$1164
         ),
         ""
      ),
      IF(_xlpm.result="", "", _xlpm.result)
   )
)</f>
        <v/>
      </c>
      <c r="G766" s="27" t="str" cm="1">
        <f t="array" ref="G766">IF(
   A766="",
   "",
   _xlfn.LET(
      _xlpm.result,
      IFERROR(
         _xlfn.XLOOKUP(
            1,
            (Table8[رقم الصنف]=A766) *
            (IF($B$9="الكل",1, YEAR('ادخال البيانات'!$N$3:$N$1164)=VALUE($B$9))) *
            (IF($B$10="الكل",1, MONTH('ادخال البيانات'!$N$3:$N$1164)=VALUE($B$10))) *
            (IF($B$11="الكل",1, INT((DAY('ادخال البيانات'!$N$3:$N$1164)-1)/7)+1 = VALUE($B$11))),
            'ادخال البيانات'!$G$3:$G$1164
         ),
         ""
      ),
      IF(_xlpm.result="", "", _xlpm.result)
   )
)</f>
        <v/>
      </c>
      <c r="H766" s="27" t="str" cm="1">
        <f t="array" ref="H766">IF(
   A766="",
   "",
   _xlfn.LET(
      _xlpm.result,
      IFERROR(
         _xlfn.XLOOKUP(
            1,
            (Table8[رقم الصنف]=A766) *
            (IF($B$9="الكل",1, YEAR('ادخال البيانات'!$N$3:$N$1164)=VALUE($B$9))) *
            (IF($B$10="الكل",1, MONTH('ادخال البيانات'!$N$3:$N$1164)=VALUE($B$10))) *
            (IF($B$11="الكل",1, INT((DAY('ادخال البيانات'!$N$3:$N$1164)-1)/7)+1 = VALUE($B$11))),
            'ادخال البيانات'!$H$3:$H$1164
         ),
         ""
      ),
      IF(_xlpm.result="", "", _xlpm.result)
   )
)</f>
        <v/>
      </c>
      <c r="I766" s="27" t="str" cm="1">
        <f t="array" ref="I766">IF(
   A766="",
   "",
   _xlfn.LET(
      _xlpm.result,
      IFERROR(
         _xlfn.XLOOKUP(
            1,
            (Table8[رقم الصنف]=A766) *
            (IF($B$9="الكل",1, YEAR('ادخال البيانات'!$N$3:$N$1164)=VALUE($B$9))) *
            (IF($B$10="الكل",1, MONTH('ادخال البيانات'!$N$3:$N$1164)=VALUE($B$10))) *
            (IF($B$11="الكل",1, INT((DAY('ادخال البيانات'!$N$3:$N$1164)-1)/7)+1 = VALUE($B$11))),
            'ادخال البيانات'!$I$3:$I$1164
         ),
         ""
      ),
      IF(_xlpm.result="", "", _xlpm.result)
   )
)</f>
        <v/>
      </c>
      <c r="J766" s="27" t="str" cm="1">
        <f t="array" ref="J766">IF(
   A766="",
   "",
   _xlfn.LET(
      _xlpm.result,
      IFERROR(
         _xlfn.XLOOKUP(
            1,
            (Table8[رقم الصنف]=A766) *
            (IF($B$9="الكل",1, YEAR('ادخال البيانات'!$N$3:$N$1164)=VALUE($B$9))) *
            (IF($B$10="الكل",1, MONTH('ادخال البيانات'!$N$3:$N$1164)=VALUE($B$10))) *
            (IF($B$11="الكل",1, INT((DAY('ادخال البيانات'!$N$3:$N$1164)-1)/7)+1 = VALUE($B$11))),
            'ادخال البيانات'!$J$3:$J$1164
         ),
         ""
      ),
      IF(_xlpm.result="", "", _xlpm.result)
   )
)</f>
        <v/>
      </c>
      <c r="K766" s="27" t="str" cm="1">
        <f t="array" ref="K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6" s="27" t="str" cm="1">
        <f t="array" ref="L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6" s="27" t="str" cm="1">
        <f t="array" ref="M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6" s="28" t="str" cm="1">
        <f t="array" ref="N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6" s="28" t="str" cm="1">
        <f t="array" ref="O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6" s="27" t="str" cm="1">
        <f t="array" ref="P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Table8[جهة العطل]
         ),
         ""
      ),
      IF(_xlpm.result="", "", _xlpm.result)
   )
)</f>
        <v/>
      </c>
      <c r="Q766" s="27" t="str" cm="1">
        <f t="array" ref="Q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Table8[المركز]
         ),
         ""
      ),
      IF(_xlpm.result="", "", _xlpm.result)
   )
)</f>
        <v/>
      </c>
      <c r="R766" s="27" t="str" cm="1">
        <f t="array" ref="R766">IF(
   A766="",
   "",
   _xlfn.LET(
      _xlpm.result,
      IFERROR(
         _xlfn.XLOOKUP(
            1,
            (Table8[رقم الصنف]=A766) *
            (IF($B$9="الكل",1, YEAR('ادخال البيانات'!$N$3:$N$1164) = VALUE($B$9))) *
            (IF($B$10="الكل",1, MONTH('ادخال البيانات'!$N$3:$N$1164) = VALUE($B$10))) *
            (IF($B$11="الكل",1, INT((DAY('ادخال البيانات'!$N$3:$N$1164) - 1) / 7) + 1 = VALUE($B$11))),
            Table8[ملاحظة]
         ),
         ""
      ),
      IF(_xlpm.result="", "", _xlpm.result)
   )
)</f>
        <v/>
      </c>
      <c r="S766" s="46" t="str">
        <f t="shared" ca="1" si="12"/>
        <v/>
      </c>
    </row>
    <row r="767" spans="1:19" ht="15.6" thickTop="1" thickBot="1" x14ac:dyDescent="0.35">
      <c r="A767" s="39"/>
      <c r="B767" s="27" t="str" cm="1">
        <f t="array" ref="B767">IF(
   OR(A767="", $B$9="", $B$10="", $B$11=""),
   "",
   _xlfn.LET(
      _xlpm.result,
      IFERROR(
         _xlfn.XLOOKUP(
            1,
            (Table8[رقم الصنف]=A767)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7" s="27" t="str" cm="1">
        <f t="array" ref="C767">IF(
   A767="",
   "",
   _xlfn.LET(
      _xlpm.result,
      IFERROR(
         _xlfn.XLOOKUP(
            1,
            (Table8[رقم الصنف]=A767) *
            (IF($B$9="الكل",1, YEAR('ادخال البيانات'!$N$3:$N$1164) = VALUE($B$9))) *
            (IF($B$10="الكل",1, MONTH('ادخال البيانات'!$N$3:$N$1164) = VALUE($B$10))) *
            (IF($B$11="الكل",1, INT((DAY('ادخال البيانات'!$N$3:$N$1164)-1)/7)+1 = VALUE($B$11))),
            'ادخال البيانات'!$C$3:$C$1164
         ),
         ""
      ),
      IF(_xlpm.result="", "", _xlpm.result)
   )
)</f>
        <v/>
      </c>
      <c r="D767" s="27" t="str" cm="1">
        <f t="array" ref="D767">IF(
   OR(A767="", $B$9="", $B$10="", $B$11=""),
   "",
   _xlfn.LET(
      _xlpm.result,
      IFERROR(
         _xlfn.XLOOKUP(
            1,
            (Table8[رقم الصنف]=A767) *
            (IF($B$9="الكل",1, YEAR('ادخال البيانات'!$N$3:$N$1164)=VALUE($B$9))) *
            (IF($B$10="الكل",1, MONTH('ادخال البيانات'!$N$3:$N$1164)=VALUE($B$10))) *
            (IF($B$11="الكل",1, INT((DAY('ادخال البيانات'!$N$3:$N$1164)-1)/7)+1 = VALUE($B$11))),
            'ادخال البيانات'!$D$3:$D$1164
         ),
         ""
      ),
      IF(_xlpm.result="", "", _xlpm.result)
   )
)</f>
        <v/>
      </c>
      <c r="E767" s="27" t="str" cm="1">
        <f t="array" ref="E767">IF(
   A767="",
   "",
   _xlfn.LET(
      _xlpm.result,
      IFERROR(
         _xlfn.XLOOKUP(
            1,
            (Table8[رقم الصنف]=A767) *
            (IF($B$9="الكل",1, YEAR('ادخال البيانات'!$N$3:$N$1164)=VALUE($B$9))) *
            (IF($B$10="الكل",1, MONTH('ادخال البيانات'!$N$3:$N$1164)=VALUE($B$10))) *
            (IF($B$11="الكل",1, INT((DAY('ادخال البيانات'!$N$3:$N$1164)-1)/7)+1 = VALUE($B$11))),
            'ادخال البيانات'!$E$3:$E$1164
         ),
         ""
      ),
      IF(_xlpm.result="", "", _xlpm.result)
   )
)</f>
        <v/>
      </c>
      <c r="F767" s="27" t="str" cm="1">
        <f t="array" ref="F767">IF(
   A767="",
   "",
   _xlfn.LET(
      _xlpm.result,
      IFERROR(
         _xlfn.XLOOKUP(
            1,
            (Table8[رقم الصنف]=A767) *
            (IF($B$9="الكل",1, YEAR('ادخال البيانات'!$N$3:$N$1164) = VALUE($B$9))) *
            (IF($B$10="الكل",1, MONTH('ادخال البيانات'!$N$3:$N$1164) = VALUE($B$10))) *
            (IF($B$11="الكل",1, INT((DAY('ادخال البيانات'!$N$3:$N$1164)-1)/7)+1 = VALUE($B$11))),
            'ادخال البيانات'!$F$3:$F$1164
         ),
         ""
      ),
      IF(_xlpm.result="", "", _xlpm.result)
   )
)</f>
        <v/>
      </c>
      <c r="G767" s="27" t="str" cm="1">
        <f t="array" ref="G767">IF(
   A767="",
   "",
   _xlfn.LET(
      _xlpm.result,
      IFERROR(
         _xlfn.XLOOKUP(
            1,
            (Table8[رقم الصنف]=A767) *
            (IF($B$9="الكل",1, YEAR('ادخال البيانات'!$N$3:$N$1164)=VALUE($B$9))) *
            (IF($B$10="الكل",1, MONTH('ادخال البيانات'!$N$3:$N$1164)=VALUE($B$10))) *
            (IF($B$11="الكل",1, INT((DAY('ادخال البيانات'!$N$3:$N$1164)-1)/7)+1 = VALUE($B$11))),
            'ادخال البيانات'!$G$3:$G$1164
         ),
         ""
      ),
      IF(_xlpm.result="", "", _xlpm.result)
   )
)</f>
        <v/>
      </c>
      <c r="H767" s="27" t="str" cm="1">
        <f t="array" ref="H767">IF(
   A767="",
   "",
   _xlfn.LET(
      _xlpm.result,
      IFERROR(
         _xlfn.XLOOKUP(
            1,
            (Table8[رقم الصنف]=A767) *
            (IF($B$9="الكل",1, YEAR('ادخال البيانات'!$N$3:$N$1164)=VALUE($B$9))) *
            (IF($B$10="الكل",1, MONTH('ادخال البيانات'!$N$3:$N$1164)=VALUE($B$10))) *
            (IF($B$11="الكل",1, INT((DAY('ادخال البيانات'!$N$3:$N$1164)-1)/7)+1 = VALUE($B$11))),
            'ادخال البيانات'!$H$3:$H$1164
         ),
         ""
      ),
      IF(_xlpm.result="", "", _xlpm.result)
   )
)</f>
        <v/>
      </c>
      <c r="I767" s="27" t="str" cm="1">
        <f t="array" ref="I767">IF(
   A767="",
   "",
   _xlfn.LET(
      _xlpm.result,
      IFERROR(
         _xlfn.XLOOKUP(
            1,
            (Table8[رقم الصنف]=A767) *
            (IF($B$9="الكل",1, YEAR('ادخال البيانات'!$N$3:$N$1164)=VALUE($B$9))) *
            (IF($B$10="الكل",1, MONTH('ادخال البيانات'!$N$3:$N$1164)=VALUE($B$10))) *
            (IF($B$11="الكل",1, INT((DAY('ادخال البيانات'!$N$3:$N$1164)-1)/7)+1 = VALUE($B$11))),
            'ادخال البيانات'!$I$3:$I$1164
         ),
         ""
      ),
      IF(_xlpm.result="", "", _xlpm.result)
   )
)</f>
        <v/>
      </c>
      <c r="J767" s="27" t="str" cm="1">
        <f t="array" ref="J767">IF(
   A767="",
   "",
   _xlfn.LET(
      _xlpm.result,
      IFERROR(
         _xlfn.XLOOKUP(
            1,
            (Table8[رقم الصنف]=A767) *
            (IF($B$9="الكل",1, YEAR('ادخال البيانات'!$N$3:$N$1164)=VALUE($B$9))) *
            (IF($B$10="الكل",1, MONTH('ادخال البيانات'!$N$3:$N$1164)=VALUE($B$10))) *
            (IF($B$11="الكل",1, INT((DAY('ادخال البيانات'!$N$3:$N$1164)-1)/7)+1 = VALUE($B$11))),
            'ادخال البيانات'!$J$3:$J$1164
         ),
         ""
      ),
      IF(_xlpm.result="", "", _xlpm.result)
   )
)</f>
        <v/>
      </c>
      <c r="K767" s="27" t="str" cm="1">
        <f t="array" ref="K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7" s="27" t="str" cm="1">
        <f t="array" ref="L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7" s="27" t="str" cm="1">
        <f t="array" ref="M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7" s="28" t="str" cm="1">
        <f t="array" ref="N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7" s="28" t="str" cm="1">
        <f t="array" ref="O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7" s="27" t="str" cm="1">
        <f t="array" ref="P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Table8[جهة العطل]
         ),
         ""
      ),
      IF(_xlpm.result="", "", _xlpm.result)
   )
)</f>
        <v/>
      </c>
      <c r="Q767" s="27" t="str" cm="1">
        <f t="array" ref="Q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Table8[المركز]
         ),
         ""
      ),
      IF(_xlpm.result="", "", _xlpm.result)
   )
)</f>
        <v/>
      </c>
      <c r="R767" s="27" t="str" cm="1">
        <f t="array" ref="R767">IF(
   A767="",
   "",
   _xlfn.LET(
      _xlpm.result,
      IFERROR(
         _xlfn.XLOOKUP(
            1,
            (Table8[رقم الصنف]=A767) *
            (IF($B$9="الكل",1, YEAR('ادخال البيانات'!$N$3:$N$1164) = VALUE($B$9))) *
            (IF($B$10="الكل",1, MONTH('ادخال البيانات'!$N$3:$N$1164) = VALUE($B$10))) *
            (IF($B$11="الكل",1, INT((DAY('ادخال البيانات'!$N$3:$N$1164) - 1) / 7) + 1 = VALUE($B$11))),
            Table8[ملاحظة]
         ),
         ""
      ),
      IF(_xlpm.result="", "", _xlpm.result)
   )
)</f>
        <v/>
      </c>
      <c r="S767" s="46" t="str">
        <f t="shared" ca="1" si="12"/>
        <v/>
      </c>
    </row>
    <row r="768" spans="1:19" ht="15.6" thickTop="1" thickBot="1" x14ac:dyDescent="0.35">
      <c r="A768" s="39"/>
      <c r="B768" s="27" t="str" cm="1">
        <f t="array" ref="B768">IF(
   OR(A768="", $B$9="", $B$10="", $B$11=""),
   "",
   _xlfn.LET(
      _xlpm.result,
      IFERROR(
         _xlfn.XLOOKUP(
            1,
            (Table8[رقم الصنف]=A768)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8" s="27" t="str" cm="1">
        <f t="array" ref="C768">IF(
   A768="",
   "",
   _xlfn.LET(
      _xlpm.result,
      IFERROR(
         _xlfn.XLOOKUP(
            1,
            (Table8[رقم الصنف]=A768) *
            (IF($B$9="الكل",1, YEAR('ادخال البيانات'!$N$3:$N$1164) = VALUE($B$9))) *
            (IF($B$10="الكل",1, MONTH('ادخال البيانات'!$N$3:$N$1164) = VALUE($B$10))) *
            (IF($B$11="الكل",1, INT((DAY('ادخال البيانات'!$N$3:$N$1164)-1)/7)+1 = VALUE($B$11))),
            'ادخال البيانات'!$C$3:$C$1164
         ),
         ""
      ),
      IF(_xlpm.result="", "", _xlpm.result)
   )
)</f>
        <v/>
      </c>
      <c r="D768" s="27" t="str" cm="1">
        <f t="array" ref="D768">IF(
   OR(A768="", $B$9="", $B$10="", $B$11=""),
   "",
   _xlfn.LET(
      _xlpm.result,
      IFERROR(
         _xlfn.XLOOKUP(
            1,
            (Table8[رقم الصنف]=A768) *
            (IF($B$9="الكل",1, YEAR('ادخال البيانات'!$N$3:$N$1164)=VALUE($B$9))) *
            (IF($B$10="الكل",1, MONTH('ادخال البيانات'!$N$3:$N$1164)=VALUE($B$10))) *
            (IF($B$11="الكل",1, INT((DAY('ادخال البيانات'!$N$3:$N$1164)-1)/7)+1 = VALUE($B$11))),
            'ادخال البيانات'!$D$3:$D$1164
         ),
         ""
      ),
      IF(_xlpm.result="", "", _xlpm.result)
   )
)</f>
        <v/>
      </c>
      <c r="E768" s="27" t="str" cm="1">
        <f t="array" ref="E768">IF(
   A768="",
   "",
   _xlfn.LET(
      _xlpm.result,
      IFERROR(
         _xlfn.XLOOKUP(
            1,
            (Table8[رقم الصنف]=A768) *
            (IF($B$9="الكل",1, YEAR('ادخال البيانات'!$N$3:$N$1164)=VALUE($B$9))) *
            (IF($B$10="الكل",1, MONTH('ادخال البيانات'!$N$3:$N$1164)=VALUE($B$10))) *
            (IF($B$11="الكل",1, INT((DAY('ادخال البيانات'!$N$3:$N$1164)-1)/7)+1 = VALUE($B$11))),
            'ادخال البيانات'!$E$3:$E$1164
         ),
         ""
      ),
      IF(_xlpm.result="", "", _xlpm.result)
   )
)</f>
        <v/>
      </c>
      <c r="F768" s="27" t="str" cm="1">
        <f t="array" ref="F768">IF(
   A768="",
   "",
   _xlfn.LET(
      _xlpm.result,
      IFERROR(
         _xlfn.XLOOKUP(
            1,
            (Table8[رقم الصنف]=A768) *
            (IF($B$9="الكل",1, YEAR('ادخال البيانات'!$N$3:$N$1164) = VALUE($B$9))) *
            (IF($B$10="الكل",1, MONTH('ادخال البيانات'!$N$3:$N$1164) = VALUE($B$10))) *
            (IF($B$11="الكل",1, INT((DAY('ادخال البيانات'!$N$3:$N$1164)-1)/7)+1 = VALUE($B$11))),
            'ادخال البيانات'!$F$3:$F$1164
         ),
         ""
      ),
      IF(_xlpm.result="", "", _xlpm.result)
   )
)</f>
        <v/>
      </c>
      <c r="G768" s="27" t="str" cm="1">
        <f t="array" ref="G768">IF(
   A768="",
   "",
   _xlfn.LET(
      _xlpm.result,
      IFERROR(
         _xlfn.XLOOKUP(
            1,
            (Table8[رقم الصنف]=A768) *
            (IF($B$9="الكل",1, YEAR('ادخال البيانات'!$N$3:$N$1164)=VALUE($B$9))) *
            (IF($B$10="الكل",1, MONTH('ادخال البيانات'!$N$3:$N$1164)=VALUE($B$10))) *
            (IF($B$11="الكل",1, INT((DAY('ادخال البيانات'!$N$3:$N$1164)-1)/7)+1 = VALUE($B$11))),
            'ادخال البيانات'!$G$3:$G$1164
         ),
         ""
      ),
      IF(_xlpm.result="", "", _xlpm.result)
   )
)</f>
        <v/>
      </c>
      <c r="H768" s="27" t="str" cm="1">
        <f t="array" ref="H768">IF(
   A768="",
   "",
   _xlfn.LET(
      _xlpm.result,
      IFERROR(
         _xlfn.XLOOKUP(
            1,
            (Table8[رقم الصنف]=A768) *
            (IF($B$9="الكل",1, YEAR('ادخال البيانات'!$N$3:$N$1164)=VALUE($B$9))) *
            (IF($B$10="الكل",1, MONTH('ادخال البيانات'!$N$3:$N$1164)=VALUE($B$10))) *
            (IF($B$11="الكل",1, INT((DAY('ادخال البيانات'!$N$3:$N$1164)-1)/7)+1 = VALUE($B$11))),
            'ادخال البيانات'!$H$3:$H$1164
         ),
         ""
      ),
      IF(_xlpm.result="", "", _xlpm.result)
   )
)</f>
        <v/>
      </c>
      <c r="I768" s="27" t="str" cm="1">
        <f t="array" ref="I768">IF(
   A768="",
   "",
   _xlfn.LET(
      _xlpm.result,
      IFERROR(
         _xlfn.XLOOKUP(
            1,
            (Table8[رقم الصنف]=A768) *
            (IF($B$9="الكل",1, YEAR('ادخال البيانات'!$N$3:$N$1164)=VALUE($B$9))) *
            (IF($B$10="الكل",1, MONTH('ادخال البيانات'!$N$3:$N$1164)=VALUE($B$10))) *
            (IF($B$11="الكل",1, INT((DAY('ادخال البيانات'!$N$3:$N$1164)-1)/7)+1 = VALUE($B$11))),
            'ادخال البيانات'!$I$3:$I$1164
         ),
         ""
      ),
      IF(_xlpm.result="", "", _xlpm.result)
   )
)</f>
        <v/>
      </c>
      <c r="J768" s="27" t="str" cm="1">
        <f t="array" ref="J768">IF(
   A768="",
   "",
   _xlfn.LET(
      _xlpm.result,
      IFERROR(
         _xlfn.XLOOKUP(
            1,
            (Table8[رقم الصنف]=A768) *
            (IF($B$9="الكل",1, YEAR('ادخال البيانات'!$N$3:$N$1164)=VALUE($B$9))) *
            (IF($B$10="الكل",1, MONTH('ادخال البيانات'!$N$3:$N$1164)=VALUE($B$10))) *
            (IF($B$11="الكل",1, INT((DAY('ادخال البيانات'!$N$3:$N$1164)-1)/7)+1 = VALUE($B$11))),
            'ادخال البيانات'!$J$3:$J$1164
         ),
         ""
      ),
      IF(_xlpm.result="", "", _xlpm.result)
   )
)</f>
        <v/>
      </c>
      <c r="K768" s="27" t="str" cm="1">
        <f t="array" ref="K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8" s="27" t="str" cm="1">
        <f t="array" ref="L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8" s="27" t="str" cm="1">
        <f t="array" ref="M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8" s="28" t="str" cm="1">
        <f t="array" ref="N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8" s="28" t="str" cm="1">
        <f t="array" ref="O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8" s="27" t="str" cm="1">
        <f t="array" ref="P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Table8[جهة العطل]
         ),
         ""
      ),
      IF(_xlpm.result="", "", _xlpm.result)
   )
)</f>
        <v/>
      </c>
      <c r="Q768" s="27" t="str" cm="1">
        <f t="array" ref="Q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Table8[المركز]
         ),
         ""
      ),
      IF(_xlpm.result="", "", _xlpm.result)
   )
)</f>
        <v/>
      </c>
      <c r="R768" s="27" t="str" cm="1">
        <f t="array" ref="R768">IF(
   A768="",
   "",
   _xlfn.LET(
      _xlpm.result,
      IFERROR(
         _xlfn.XLOOKUP(
            1,
            (Table8[رقم الصنف]=A768) *
            (IF($B$9="الكل",1, YEAR('ادخال البيانات'!$N$3:$N$1164) = VALUE($B$9))) *
            (IF($B$10="الكل",1, MONTH('ادخال البيانات'!$N$3:$N$1164) = VALUE($B$10))) *
            (IF($B$11="الكل",1, INT((DAY('ادخال البيانات'!$N$3:$N$1164) - 1) / 7) + 1 = VALUE($B$11))),
            Table8[ملاحظة]
         ),
         ""
      ),
      IF(_xlpm.result="", "", _xlpm.result)
   )
)</f>
        <v/>
      </c>
      <c r="S768" s="46" t="str">
        <f t="shared" ca="1" si="12"/>
        <v/>
      </c>
    </row>
    <row r="769" spans="1:19" ht="15.6" thickTop="1" thickBot="1" x14ac:dyDescent="0.35">
      <c r="A769" s="39"/>
      <c r="B769" s="27" t="str" cm="1">
        <f t="array" ref="B769">IF(
   OR(A769="", $B$9="", $B$10="", $B$11=""),
   "",
   _xlfn.LET(
      _xlpm.result,
      IFERROR(
         _xlfn.XLOOKUP(
            1,
            (Table8[رقم الصنف]=A769)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69" s="27" t="str" cm="1">
        <f t="array" ref="C769">IF(
   A769="",
   "",
   _xlfn.LET(
      _xlpm.result,
      IFERROR(
         _xlfn.XLOOKUP(
            1,
            (Table8[رقم الصنف]=A769) *
            (IF($B$9="الكل",1, YEAR('ادخال البيانات'!$N$3:$N$1164) = VALUE($B$9))) *
            (IF($B$10="الكل",1, MONTH('ادخال البيانات'!$N$3:$N$1164) = VALUE($B$10))) *
            (IF($B$11="الكل",1, INT((DAY('ادخال البيانات'!$N$3:$N$1164)-1)/7)+1 = VALUE($B$11))),
            'ادخال البيانات'!$C$3:$C$1164
         ),
         ""
      ),
      IF(_xlpm.result="", "", _xlpm.result)
   )
)</f>
        <v/>
      </c>
      <c r="D769" s="27" t="str" cm="1">
        <f t="array" ref="D769">IF(
   OR(A769="", $B$9="", $B$10="", $B$11=""),
   "",
   _xlfn.LET(
      _xlpm.result,
      IFERROR(
         _xlfn.XLOOKUP(
            1,
            (Table8[رقم الصنف]=A769) *
            (IF($B$9="الكل",1, YEAR('ادخال البيانات'!$N$3:$N$1164)=VALUE($B$9))) *
            (IF($B$10="الكل",1, MONTH('ادخال البيانات'!$N$3:$N$1164)=VALUE($B$10))) *
            (IF($B$11="الكل",1, INT((DAY('ادخال البيانات'!$N$3:$N$1164)-1)/7)+1 = VALUE($B$11))),
            'ادخال البيانات'!$D$3:$D$1164
         ),
         ""
      ),
      IF(_xlpm.result="", "", _xlpm.result)
   )
)</f>
        <v/>
      </c>
      <c r="E769" s="27" t="str" cm="1">
        <f t="array" ref="E769">IF(
   A769="",
   "",
   _xlfn.LET(
      _xlpm.result,
      IFERROR(
         _xlfn.XLOOKUP(
            1,
            (Table8[رقم الصنف]=A769) *
            (IF($B$9="الكل",1, YEAR('ادخال البيانات'!$N$3:$N$1164)=VALUE($B$9))) *
            (IF($B$10="الكل",1, MONTH('ادخال البيانات'!$N$3:$N$1164)=VALUE($B$10))) *
            (IF($B$11="الكل",1, INT((DAY('ادخال البيانات'!$N$3:$N$1164)-1)/7)+1 = VALUE($B$11))),
            'ادخال البيانات'!$E$3:$E$1164
         ),
         ""
      ),
      IF(_xlpm.result="", "", _xlpm.result)
   )
)</f>
        <v/>
      </c>
      <c r="F769" s="27" t="str" cm="1">
        <f t="array" ref="F769">IF(
   A769="",
   "",
   _xlfn.LET(
      _xlpm.result,
      IFERROR(
         _xlfn.XLOOKUP(
            1,
            (Table8[رقم الصنف]=A769) *
            (IF($B$9="الكل",1, YEAR('ادخال البيانات'!$N$3:$N$1164) = VALUE($B$9))) *
            (IF($B$10="الكل",1, MONTH('ادخال البيانات'!$N$3:$N$1164) = VALUE($B$10))) *
            (IF($B$11="الكل",1, INT((DAY('ادخال البيانات'!$N$3:$N$1164)-1)/7)+1 = VALUE($B$11))),
            'ادخال البيانات'!$F$3:$F$1164
         ),
         ""
      ),
      IF(_xlpm.result="", "", _xlpm.result)
   )
)</f>
        <v/>
      </c>
      <c r="G769" s="27" t="str" cm="1">
        <f t="array" ref="G769">IF(
   A769="",
   "",
   _xlfn.LET(
      _xlpm.result,
      IFERROR(
         _xlfn.XLOOKUP(
            1,
            (Table8[رقم الصنف]=A769) *
            (IF($B$9="الكل",1, YEAR('ادخال البيانات'!$N$3:$N$1164)=VALUE($B$9))) *
            (IF($B$10="الكل",1, MONTH('ادخال البيانات'!$N$3:$N$1164)=VALUE($B$10))) *
            (IF($B$11="الكل",1, INT((DAY('ادخال البيانات'!$N$3:$N$1164)-1)/7)+1 = VALUE($B$11))),
            'ادخال البيانات'!$G$3:$G$1164
         ),
         ""
      ),
      IF(_xlpm.result="", "", _xlpm.result)
   )
)</f>
        <v/>
      </c>
      <c r="H769" s="27" t="str" cm="1">
        <f t="array" ref="H769">IF(
   A769="",
   "",
   _xlfn.LET(
      _xlpm.result,
      IFERROR(
         _xlfn.XLOOKUP(
            1,
            (Table8[رقم الصنف]=A769) *
            (IF($B$9="الكل",1, YEAR('ادخال البيانات'!$N$3:$N$1164)=VALUE($B$9))) *
            (IF($B$10="الكل",1, MONTH('ادخال البيانات'!$N$3:$N$1164)=VALUE($B$10))) *
            (IF($B$11="الكل",1, INT((DAY('ادخال البيانات'!$N$3:$N$1164)-1)/7)+1 = VALUE($B$11))),
            'ادخال البيانات'!$H$3:$H$1164
         ),
         ""
      ),
      IF(_xlpm.result="", "", _xlpm.result)
   )
)</f>
        <v/>
      </c>
      <c r="I769" s="27" t="str" cm="1">
        <f t="array" ref="I769">IF(
   A769="",
   "",
   _xlfn.LET(
      _xlpm.result,
      IFERROR(
         _xlfn.XLOOKUP(
            1,
            (Table8[رقم الصنف]=A769) *
            (IF($B$9="الكل",1, YEAR('ادخال البيانات'!$N$3:$N$1164)=VALUE($B$9))) *
            (IF($B$10="الكل",1, MONTH('ادخال البيانات'!$N$3:$N$1164)=VALUE($B$10))) *
            (IF($B$11="الكل",1, INT((DAY('ادخال البيانات'!$N$3:$N$1164)-1)/7)+1 = VALUE($B$11))),
            'ادخال البيانات'!$I$3:$I$1164
         ),
         ""
      ),
      IF(_xlpm.result="", "", _xlpm.result)
   )
)</f>
        <v/>
      </c>
      <c r="J769" s="27" t="str" cm="1">
        <f t="array" ref="J769">IF(
   A769="",
   "",
   _xlfn.LET(
      _xlpm.result,
      IFERROR(
         _xlfn.XLOOKUP(
            1,
            (Table8[رقم الصنف]=A769) *
            (IF($B$9="الكل",1, YEAR('ادخال البيانات'!$N$3:$N$1164)=VALUE($B$9))) *
            (IF($B$10="الكل",1, MONTH('ادخال البيانات'!$N$3:$N$1164)=VALUE($B$10))) *
            (IF($B$11="الكل",1, INT((DAY('ادخال البيانات'!$N$3:$N$1164)-1)/7)+1 = VALUE($B$11))),
            'ادخال البيانات'!$J$3:$J$1164
         ),
         ""
      ),
      IF(_xlpm.result="", "", _xlpm.result)
   )
)</f>
        <v/>
      </c>
      <c r="K769" s="27" t="str" cm="1">
        <f t="array" ref="K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69" s="27" t="str" cm="1">
        <f t="array" ref="L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69" s="27" t="str" cm="1">
        <f t="array" ref="M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69" s="28" t="str" cm="1">
        <f t="array" ref="N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69" s="28" t="str" cm="1">
        <f t="array" ref="O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69" s="27" t="str" cm="1">
        <f t="array" ref="P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Table8[جهة العطل]
         ),
         ""
      ),
      IF(_xlpm.result="", "", _xlpm.result)
   )
)</f>
        <v/>
      </c>
      <c r="Q769" s="27" t="str" cm="1">
        <f t="array" ref="Q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Table8[المركز]
         ),
         ""
      ),
      IF(_xlpm.result="", "", _xlpm.result)
   )
)</f>
        <v/>
      </c>
      <c r="R769" s="27" t="str" cm="1">
        <f t="array" ref="R769">IF(
   A769="",
   "",
   _xlfn.LET(
      _xlpm.result,
      IFERROR(
         _xlfn.XLOOKUP(
            1,
            (Table8[رقم الصنف]=A769) *
            (IF($B$9="الكل",1, YEAR('ادخال البيانات'!$N$3:$N$1164) = VALUE($B$9))) *
            (IF($B$10="الكل",1, MONTH('ادخال البيانات'!$N$3:$N$1164) = VALUE($B$10))) *
            (IF($B$11="الكل",1, INT((DAY('ادخال البيانات'!$N$3:$N$1164) - 1) / 7) + 1 = VALUE($B$11))),
            Table8[ملاحظة]
         ),
         ""
      ),
      IF(_xlpm.result="", "", _xlpm.result)
   )
)</f>
        <v/>
      </c>
      <c r="S769" s="46" t="str">
        <f t="shared" ca="1" si="12"/>
        <v/>
      </c>
    </row>
    <row r="770" spans="1:19" ht="15.6" thickTop="1" thickBot="1" x14ac:dyDescent="0.35">
      <c r="A770" s="39"/>
      <c r="B770" s="27" t="str" cm="1">
        <f t="array" ref="B770">IF(
   OR(A770="", $B$9="", $B$10="", $B$11=""),
   "",
   _xlfn.LET(
      _xlpm.result,
      IFERROR(
         _xlfn.XLOOKUP(
            1,
            (Table8[رقم الصنف]=A770)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0" s="27" t="str" cm="1">
        <f t="array" ref="C770">IF(
   A770="",
   "",
   _xlfn.LET(
      _xlpm.result,
      IFERROR(
         _xlfn.XLOOKUP(
            1,
            (Table8[رقم الصنف]=A770) *
            (IF($B$9="الكل",1, YEAR('ادخال البيانات'!$N$3:$N$1164) = VALUE($B$9))) *
            (IF($B$10="الكل",1, MONTH('ادخال البيانات'!$N$3:$N$1164) = VALUE($B$10))) *
            (IF($B$11="الكل",1, INT((DAY('ادخال البيانات'!$N$3:$N$1164)-1)/7)+1 = VALUE($B$11))),
            'ادخال البيانات'!$C$3:$C$1164
         ),
         ""
      ),
      IF(_xlpm.result="", "", _xlpm.result)
   )
)</f>
        <v/>
      </c>
      <c r="D770" s="27" t="str" cm="1">
        <f t="array" ref="D770">IF(
   OR(A770="", $B$9="", $B$10="", $B$11=""),
   "",
   _xlfn.LET(
      _xlpm.result,
      IFERROR(
         _xlfn.XLOOKUP(
            1,
            (Table8[رقم الصنف]=A770) *
            (IF($B$9="الكل",1, YEAR('ادخال البيانات'!$N$3:$N$1164)=VALUE($B$9))) *
            (IF($B$10="الكل",1, MONTH('ادخال البيانات'!$N$3:$N$1164)=VALUE($B$10))) *
            (IF($B$11="الكل",1, INT((DAY('ادخال البيانات'!$N$3:$N$1164)-1)/7)+1 = VALUE($B$11))),
            'ادخال البيانات'!$D$3:$D$1164
         ),
         ""
      ),
      IF(_xlpm.result="", "", _xlpm.result)
   )
)</f>
        <v/>
      </c>
      <c r="E770" s="27" t="str" cm="1">
        <f t="array" ref="E770">IF(
   A770="",
   "",
   _xlfn.LET(
      _xlpm.result,
      IFERROR(
         _xlfn.XLOOKUP(
            1,
            (Table8[رقم الصنف]=A770) *
            (IF($B$9="الكل",1, YEAR('ادخال البيانات'!$N$3:$N$1164)=VALUE($B$9))) *
            (IF($B$10="الكل",1, MONTH('ادخال البيانات'!$N$3:$N$1164)=VALUE($B$10))) *
            (IF($B$11="الكل",1, INT((DAY('ادخال البيانات'!$N$3:$N$1164)-1)/7)+1 = VALUE($B$11))),
            'ادخال البيانات'!$E$3:$E$1164
         ),
         ""
      ),
      IF(_xlpm.result="", "", _xlpm.result)
   )
)</f>
        <v/>
      </c>
      <c r="F770" s="27" t="str" cm="1">
        <f t="array" ref="F770">IF(
   A770="",
   "",
   _xlfn.LET(
      _xlpm.result,
      IFERROR(
         _xlfn.XLOOKUP(
            1,
            (Table8[رقم الصنف]=A770) *
            (IF($B$9="الكل",1, YEAR('ادخال البيانات'!$N$3:$N$1164) = VALUE($B$9))) *
            (IF($B$10="الكل",1, MONTH('ادخال البيانات'!$N$3:$N$1164) = VALUE($B$10))) *
            (IF($B$11="الكل",1, INT((DAY('ادخال البيانات'!$N$3:$N$1164)-1)/7)+1 = VALUE($B$11))),
            'ادخال البيانات'!$F$3:$F$1164
         ),
         ""
      ),
      IF(_xlpm.result="", "", _xlpm.result)
   )
)</f>
        <v/>
      </c>
      <c r="G770" s="27" t="str" cm="1">
        <f t="array" ref="G770">IF(
   A770="",
   "",
   _xlfn.LET(
      _xlpm.result,
      IFERROR(
         _xlfn.XLOOKUP(
            1,
            (Table8[رقم الصنف]=A770) *
            (IF($B$9="الكل",1, YEAR('ادخال البيانات'!$N$3:$N$1164)=VALUE($B$9))) *
            (IF($B$10="الكل",1, MONTH('ادخال البيانات'!$N$3:$N$1164)=VALUE($B$10))) *
            (IF($B$11="الكل",1, INT((DAY('ادخال البيانات'!$N$3:$N$1164)-1)/7)+1 = VALUE($B$11))),
            'ادخال البيانات'!$G$3:$G$1164
         ),
         ""
      ),
      IF(_xlpm.result="", "", _xlpm.result)
   )
)</f>
        <v/>
      </c>
      <c r="H770" s="27" t="str" cm="1">
        <f t="array" ref="H770">IF(
   A770="",
   "",
   _xlfn.LET(
      _xlpm.result,
      IFERROR(
         _xlfn.XLOOKUP(
            1,
            (Table8[رقم الصنف]=A770) *
            (IF($B$9="الكل",1, YEAR('ادخال البيانات'!$N$3:$N$1164)=VALUE($B$9))) *
            (IF($B$10="الكل",1, MONTH('ادخال البيانات'!$N$3:$N$1164)=VALUE($B$10))) *
            (IF($B$11="الكل",1, INT((DAY('ادخال البيانات'!$N$3:$N$1164)-1)/7)+1 = VALUE($B$11))),
            'ادخال البيانات'!$H$3:$H$1164
         ),
         ""
      ),
      IF(_xlpm.result="", "", _xlpm.result)
   )
)</f>
        <v/>
      </c>
      <c r="I770" s="27" t="str" cm="1">
        <f t="array" ref="I770">IF(
   A770="",
   "",
   _xlfn.LET(
      _xlpm.result,
      IFERROR(
         _xlfn.XLOOKUP(
            1,
            (Table8[رقم الصنف]=A770) *
            (IF($B$9="الكل",1, YEAR('ادخال البيانات'!$N$3:$N$1164)=VALUE($B$9))) *
            (IF($B$10="الكل",1, MONTH('ادخال البيانات'!$N$3:$N$1164)=VALUE($B$10))) *
            (IF($B$11="الكل",1, INT((DAY('ادخال البيانات'!$N$3:$N$1164)-1)/7)+1 = VALUE($B$11))),
            'ادخال البيانات'!$I$3:$I$1164
         ),
         ""
      ),
      IF(_xlpm.result="", "", _xlpm.result)
   )
)</f>
        <v/>
      </c>
      <c r="J770" s="27" t="str" cm="1">
        <f t="array" ref="J770">IF(
   A770="",
   "",
   _xlfn.LET(
      _xlpm.result,
      IFERROR(
         _xlfn.XLOOKUP(
            1,
            (Table8[رقم الصنف]=A770) *
            (IF($B$9="الكل",1, YEAR('ادخال البيانات'!$N$3:$N$1164)=VALUE($B$9))) *
            (IF($B$10="الكل",1, MONTH('ادخال البيانات'!$N$3:$N$1164)=VALUE($B$10))) *
            (IF($B$11="الكل",1, INT((DAY('ادخال البيانات'!$N$3:$N$1164)-1)/7)+1 = VALUE($B$11))),
            'ادخال البيانات'!$J$3:$J$1164
         ),
         ""
      ),
      IF(_xlpm.result="", "", _xlpm.result)
   )
)</f>
        <v/>
      </c>
      <c r="K770" s="27" t="str" cm="1">
        <f t="array" ref="K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0" s="27" t="str" cm="1">
        <f t="array" ref="L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0" s="27" t="str" cm="1">
        <f t="array" ref="M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0" s="28" t="str" cm="1">
        <f t="array" ref="N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0" s="28" t="str" cm="1">
        <f t="array" ref="O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0" s="27" t="str" cm="1">
        <f t="array" ref="P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Table8[جهة العطل]
         ),
         ""
      ),
      IF(_xlpm.result="", "", _xlpm.result)
   )
)</f>
        <v/>
      </c>
      <c r="Q770" s="27" t="str" cm="1">
        <f t="array" ref="Q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Table8[المركز]
         ),
         ""
      ),
      IF(_xlpm.result="", "", _xlpm.result)
   )
)</f>
        <v/>
      </c>
      <c r="R770" s="27" t="str" cm="1">
        <f t="array" ref="R770">IF(
   A770="",
   "",
   _xlfn.LET(
      _xlpm.result,
      IFERROR(
         _xlfn.XLOOKUP(
            1,
            (Table8[رقم الصنف]=A770) *
            (IF($B$9="الكل",1, YEAR('ادخال البيانات'!$N$3:$N$1164) = VALUE($B$9))) *
            (IF($B$10="الكل",1, MONTH('ادخال البيانات'!$N$3:$N$1164) = VALUE($B$10))) *
            (IF($B$11="الكل",1, INT((DAY('ادخال البيانات'!$N$3:$N$1164) - 1) / 7) + 1 = VALUE($B$11))),
            Table8[ملاحظة]
         ),
         ""
      ),
      IF(_xlpm.result="", "", _xlpm.result)
   )
)</f>
        <v/>
      </c>
      <c r="S770" s="46" t="str">
        <f t="shared" ca="1" si="12"/>
        <v/>
      </c>
    </row>
    <row r="771" spans="1:19" ht="15.6" thickTop="1" thickBot="1" x14ac:dyDescent="0.35">
      <c r="A771" s="39"/>
      <c r="B771" s="27" t="str" cm="1">
        <f t="array" ref="B771">IF(
   OR(A771="", $B$9="", $B$10="", $B$11=""),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1" s="27" t="str" cm="1">
        <f t="array" ref="C771">IF(
   A771="",
   "",
   _xlfn.LET(
      _xlpm.result,
      IFERROR(
         _xlfn.XLOOKUP(
            1,
            (Table8[رقم الصنف]=A771) *
            (IF($B$9="الكل",1, YEAR('ادخال البيانات'!$N$3:$N$1164) = VALUE($B$9))) *
            (IF($B$10="الكل",1, MONTH('ادخال البيانات'!$N$3:$N$1164) = VALUE($B$10))) *
            (IF($B$11="الكل",1, INT((DAY('ادخال البيانات'!$N$3:$N$1164)-1)/7)+1 = VALUE($B$11))),
            'ادخال البيانات'!$C$3:$C$1164
         ),
         ""
      ),
      IF(_xlpm.result="", "", _xlpm.result)
   )
)</f>
        <v/>
      </c>
      <c r="D771" s="27" t="str" cm="1">
        <f t="array" ref="D771">IF(
   OR(A771="", $B$9="", $B$10="", $B$11=""),
   "",
   _xlfn.LET(
      _xlpm.result,
      IFERROR(
         _xlfn.XLOOKUP(
            1,
            (Table8[رقم الصنف]=A771) *
            (IF($B$9="الكل",1, YEAR('ادخال البيانات'!$N$3:$N$1164)=VALUE($B$9))) *
            (IF($B$10="الكل",1, MONTH('ادخال البيانات'!$N$3:$N$1164)=VALUE($B$10))) *
            (IF($B$11="الكل",1, INT((DAY('ادخال البيانات'!$N$3:$N$1164)-1)/7)+1 = VALUE($B$11))),
            'ادخال البيانات'!$D$3:$D$1164
         ),
         ""
      ),
      IF(_xlpm.result="", "", _xlpm.result)
   )
)</f>
        <v/>
      </c>
      <c r="E771" s="27" t="str" cm="1">
        <f t="array" ref="E771">IF(
   A771="",
   "",
   _xlfn.LET(
      _xlpm.result,
      IFERROR(
         _xlfn.XLOOKUP(
            1,
            (Table8[رقم الصنف]=A771) *
            (IF($B$9="الكل",1, YEAR('ادخال البيانات'!$N$3:$N$1164)=VALUE($B$9))) *
            (IF($B$10="الكل",1, MONTH('ادخال البيانات'!$N$3:$N$1164)=VALUE($B$10))) *
            (IF($B$11="الكل",1, INT((DAY('ادخال البيانات'!$N$3:$N$1164)-1)/7)+1 = VALUE($B$11))),
            'ادخال البيانات'!$E$3:$E$1164
         ),
         ""
      ),
      IF(_xlpm.result="", "", _xlpm.result)
   )
)</f>
        <v/>
      </c>
      <c r="F771" s="27" t="str" cm="1">
        <f t="array" ref="F771">IF(
   A771="",
   "",
   _xlfn.LET(
      _xlpm.result,
      IFERROR(
         _xlfn.XLOOKUP(
            1,
            (Table8[رقم الصنف]=A771) *
            (IF($B$9="الكل",1, YEAR('ادخال البيانات'!$N$3:$N$1164) = VALUE($B$9))) *
            (IF($B$10="الكل",1, MONTH('ادخال البيانات'!$N$3:$N$1164) = VALUE($B$10))) *
            (IF($B$11="الكل",1, INT((DAY('ادخال البيانات'!$N$3:$N$1164)-1)/7)+1 = VALUE($B$11))),
            'ادخال البيانات'!$F$3:$F$1164
         ),
         ""
      ),
      IF(_xlpm.result="", "", _xlpm.result)
   )
)</f>
        <v/>
      </c>
      <c r="G771" s="27" t="str" cm="1">
        <f t="array" ref="G771">IF(
   A771="",
   "",
   _xlfn.LET(
      _xlpm.result,
      IFERROR(
         _xlfn.XLOOKUP(
            1,
            (Table8[رقم الصنف]=A771) *
            (IF($B$9="الكل",1, YEAR('ادخال البيانات'!$N$3:$N$1164)=VALUE($B$9))) *
            (IF($B$10="الكل",1, MONTH('ادخال البيانات'!$N$3:$N$1164)=VALUE($B$10))) *
            (IF($B$11="الكل",1, INT((DAY('ادخال البيانات'!$N$3:$N$1164)-1)/7)+1 = VALUE($B$11))),
            'ادخال البيانات'!$G$3:$G$1164
         ),
         ""
      ),
      IF(_xlpm.result="", "", _xlpm.result)
   )
)</f>
        <v/>
      </c>
      <c r="H771" s="27" t="str" cm="1">
        <f t="array" ref="H771">IF(
   A771="",
   "",
   _xlfn.LET(
      _xlpm.result,
      IFERROR(
         _xlfn.XLOOKUP(
            1,
            (Table8[رقم الصنف]=A771) *
            (IF($B$9="الكل",1, YEAR('ادخال البيانات'!$N$3:$N$1164)=VALUE($B$9))) *
            (IF($B$10="الكل",1, MONTH('ادخال البيانات'!$N$3:$N$1164)=VALUE($B$10))) *
            (IF($B$11="الكل",1, INT((DAY('ادخال البيانات'!$N$3:$N$1164)-1)/7)+1 = VALUE($B$11))),
            'ادخال البيانات'!$H$3:$H$1164
         ),
         ""
      ),
      IF(_xlpm.result="", "", _xlpm.result)
   )
)</f>
        <v/>
      </c>
      <c r="I771" s="27" t="str" cm="1">
        <f t="array" ref="I771">IF(
   A771="",
   "",
   _xlfn.LET(
      _xlpm.result,
      IFERROR(
         _xlfn.XLOOKUP(
            1,
            (Table8[رقم الصنف]=A771) *
            (IF($B$9="الكل",1, YEAR('ادخال البيانات'!$N$3:$N$1164)=VALUE($B$9))) *
            (IF($B$10="الكل",1, MONTH('ادخال البيانات'!$N$3:$N$1164)=VALUE($B$10))) *
            (IF($B$11="الكل",1, INT((DAY('ادخال البيانات'!$N$3:$N$1164)-1)/7)+1 = VALUE($B$11))),
            'ادخال البيانات'!$I$3:$I$1164
         ),
         ""
      ),
      IF(_xlpm.result="", "", _xlpm.result)
   )
)</f>
        <v/>
      </c>
      <c r="J771" s="27" t="str" cm="1">
        <f t="array" ref="J771">IF(
   A771="",
   "",
   _xlfn.LET(
      _xlpm.result,
      IFERROR(
         _xlfn.XLOOKUP(
            1,
            (Table8[رقم الصنف]=A771) *
            (IF($B$9="الكل",1, YEAR('ادخال البيانات'!$N$3:$N$1164)=VALUE($B$9))) *
            (IF($B$10="الكل",1, MONTH('ادخال البيانات'!$N$3:$N$1164)=VALUE($B$10))) *
            (IF($B$11="الكل",1, INT((DAY('ادخال البيانات'!$N$3:$N$1164)-1)/7)+1 = VALUE($B$11))),
            'ادخال البيانات'!$J$3:$J$1164
         ),
         ""
      ),
      IF(_xlpm.result="", "", _xlpm.result)
   )
)</f>
        <v/>
      </c>
      <c r="K771" s="27" t="str" cm="1">
        <f t="array" ref="K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1" s="27" t="str" cm="1">
        <f t="array" ref="L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1" s="27" t="str" cm="1">
        <f t="array" ref="M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1" s="28" t="str" cm="1">
        <f t="array" ref="N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1" s="28" t="str" cm="1">
        <f t="array" ref="O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1" s="27" t="str" cm="1">
        <f t="array" ref="P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Table8[جهة العطل]
         ),
         ""
      ),
      IF(_xlpm.result="", "", _xlpm.result)
   )
)</f>
        <v/>
      </c>
      <c r="Q771" s="27" t="str" cm="1">
        <f t="array" ref="Q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Table8[المركز]
         ),
         ""
      ),
      IF(_xlpm.result="", "", _xlpm.result)
   )
)</f>
        <v/>
      </c>
      <c r="R771" s="27" t="str" cm="1">
        <f t="array" ref="R771">IF(
   A771="",
   "",
   _xlfn.LET(
      _xlpm.result,
      IFERROR(
         _xlfn.XLOOKUP(
            1,
            (Table8[رقم الصنف]=A771) *
            (IF($B$9="الكل",1, YEAR('ادخال البيانات'!$N$3:$N$1164) = VALUE($B$9))) *
            (IF($B$10="الكل",1, MONTH('ادخال البيانات'!$N$3:$N$1164) = VALUE($B$10))) *
            (IF($B$11="الكل",1, INT((DAY('ادخال البيانات'!$N$3:$N$1164) - 1) / 7) + 1 = VALUE($B$11))),
            Table8[ملاحظة]
         ),
         ""
      ),
      IF(_xlpm.result="", "", _xlpm.result)
   )
)</f>
        <v/>
      </c>
      <c r="S771" s="46" t="str">
        <f t="shared" ca="1" si="12"/>
        <v/>
      </c>
    </row>
    <row r="772" spans="1:19" ht="15.6" thickTop="1" thickBot="1" x14ac:dyDescent="0.35">
      <c r="A772" s="39"/>
      <c r="B772" s="27" t="str" cm="1">
        <f t="array" ref="B772">IF(
   OR(A772="", $B$9="", $B$10="", $B$11=""),
   "",
   _xlfn.LET(
      _xlpm.result,
      IFERROR(
         _xlfn.XLOOKUP(
            1,
            (Table8[رقم الصنف]=A772)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2" s="27" t="str" cm="1">
        <f t="array" ref="C772">IF(
   A772="",
   "",
   _xlfn.LET(
      _xlpm.result,
      IFERROR(
         _xlfn.XLOOKUP(
            1,
            (Table8[رقم الصنف]=A772) *
            (IF($B$9="الكل",1, YEAR('ادخال البيانات'!$N$3:$N$1164) = VALUE($B$9))) *
            (IF($B$10="الكل",1, MONTH('ادخال البيانات'!$N$3:$N$1164) = VALUE($B$10))) *
            (IF($B$11="الكل",1, INT((DAY('ادخال البيانات'!$N$3:$N$1164)-1)/7)+1 = VALUE($B$11))),
            'ادخال البيانات'!$C$3:$C$1164
         ),
         ""
      ),
      IF(_xlpm.result="", "", _xlpm.result)
   )
)</f>
        <v/>
      </c>
      <c r="D772" s="27" t="str" cm="1">
        <f t="array" ref="D772">IF(
   OR(A772="", $B$9="", $B$10="", $B$11=""),
   "",
   _xlfn.LET(
      _xlpm.result,
      IFERROR(
         _xlfn.XLOOKUP(
            1,
            (Table8[رقم الصنف]=A772) *
            (IF($B$9="الكل",1, YEAR('ادخال البيانات'!$N$3:$N$1164)=VALUE($B$9))) *
            (IF($B$10="الكل",1, MONTH('ادخال البيانات'!$N$3:$N$1164)=VALUE($B$10))) *
            (IF($B$11="الكل",1, INT((DAY('ادخال البيانات'!$N$3:$N$1164)-1)/7)+1 = VALUE($B$11))),
            'ادخال البيانات'!$D$3:$D$1164
         ),
         ""
      ),
      IF(_xlpm.result="", "", _xlpm.result)
   )
)</f>
        <v/>
      </c>
      <c r="E772" s="27" t="str" cm="1">
        <f t="array" ref="E772">IF(
   A772="",
   "",
   _xlfn.LET(
      _xlpm.result,
      IFERROR(
         _xlfn.XLOOKUP(
            1,
            (Table8[رقم الصنف]=A772) *
            (IF($B$9="الكل",1, YEAR('ادخال البيانات'!$N$3:$N$1164)=VALUE($B$9))) *
            (IF($B$10="الكل",1, MONTH('ادخال البيانات'!$N$3:$N$1164)=VALUE($B$10))) *
            (IF($B$11="الكل",1, INT((DAY('ادخال البيانات'!$N$3:$N$1164)-1)/7)+1 = VALUE($B$11))),
            'ادخال البيانات'!$E$3:$E$1164
         ),
         ""
      ),
      IF(_xlpm.result="", "", _xlpm.result)
   )
)</f>
        <v/>
      </c>
      <c r="F772" s="27" t="str" cm="1">
        <f t="array" ref="F772">IF(
   A772="",
   "",
   _xlfn.LET(
      _xlpm.result,
      IFERROR(
         _xlfn.XLOOKUP(
            1,
            (Table8[رقم الصنف]=A772) *
            (IF($B$9="الكل",1, YEAR('ادخال البيانات'!$N$3:$N$1164) = VALUE($B$9))) *
            (IF($B$10="الكل",1, MONTH('ادخال البيانات'!$N$3:$N$1164) = VALUE($B$10))) *
            (IF($B$11="الكل",1, INT((DAY('ادخال البيانات'!$N$3:$N$1164)-1)/7)+1 = VALUE($B$11))),
            'ادخال البيانات'!$F$3:$F$1164
         ),
         ""
      ),
      IF(_xlpm.result="", "", _xlpm.result)
   )
)</f>
        <v/>
      </c>
      <c r="G772" s="27" t="str" cm="1">
        <f t="array" ref="G772">IF(
   A772="",
   "",
   _xlfn.LET(
      _xlpm.result,
      IFERROR(
         _xlfn.XLOOKUP(
            1,
            (Table8[رقم الصنف]=A772) *
            (IF($B$9="الكل",1, YEAR('ادخال البيانات'!$N$3:$N$1164)=VALUE($B$9))) *
            (IF($B$10="الكل",1, MONTH('ادخال البيانات'!$N$3:$N$1164)=VALUE($B$10))) *
            (IF($B$11="الكل",1, INT((DAY('ادخال البيانات'!$N$3:$N$1164)-1)/7)+1 = VALUE($B$11))),
            'ادخال البيانات'!$G$3:$G$1164
         ),
         ""
      ),
      IF(_xlpm.result="", "", _xlpm.result)
   )
)</f>
        <v/>
      </c>
      <c r="H772" s="27" t="str" cm="1">
        <f t="array" ref="H772">IF(
   A772="",
   "",
   _xlfn.LET(
      _xlpm.result,
      IFERROR(
         _xlfn.XLOOKUP(
            1,
            (Table8[رقم الصنف]=A772) *
            (IF($B$9="الكل",1, YEAR('ادخال البيانات'!$N$3:$N$1164)=VALUE($B$9))) *
            (IF($B$10="الكل",1, MONTH('ادخال البيانات'!$N$3:$N$1164)=VALUE($B$10))) *
            (IF($B$11="الكل",1, INT((DAY('ادخال البيانات'!$N$3:$N$1164)-1)/7)+1 = VALUE($B$11))),
            'ادخال البيانات'!$H$3:$H$1164
         ),
         ""
      ),
      IF(_xlpm.result="", "", _xlpm.result)
   )
)</f>
        <v/>
      </c>
      <c r="I772" s="27" t="str" cm="1">
        <f t="array" ref="I772">IF(
   A772="",
   "",
   _xlfn.LET(
      _xlpm.result,
      IFERROR(
         _xlfn.XLOOKUP(
            1,
            (Table8[رقم الصنف]=A772) *
            (IF($B$9="الكل",1, YEAR('ادخال البيانات'!$N$3:$N$1164)=VALUE($B$9))) *
            (IF($B$10="الكل",1, MONTH('ادخال البيانات'!$N$3:$N$1164)=VALUE($B$10))) *
            (IF($B$11="الكل",1, INT((DAY('ادخال البيانات'!$N$3:$N$1164)-1)/7)+1 = VALUE($B$11))),
            'ادخال البيانات'!$I$3:$I$1164
         ),
         ""
      ),
      IF(_xlpm.result="", "", _xlpm.result)
   )
)</f>
        <v/>
      </c>
      <c r="J772" s="27" t="str" cm="1">
        <f t="array" ref="J772">IF(
   A772="",
   "",
   _xlfn.LET(
      _xlpm.result,
      IFERROR(
         _xlfn.XLOOKUP(
            1,
            (Table8[رقم الصنف]=A772) *
            (IF($B$9="الكل",1, YEAR('ادخال البيانات'!$N$3:$N$1164)=VALUE($B$9))) *
            (IF($B$10="الكل",1, MONTH('ادخال البيانات'!$N$3:$N$1164)=VALUE($B$10))) *
            (IF($B$11="الكل",1, INT((DAY('ادخال البيانات'!$N$3:$N$1164)-1)/7)+1 = VALUE($B$11))),
            'ادخال البيانات'!$J$3:$J$1164
         ),
         ""
      ),
      IF(_xlpm.result="", "", _xlpm.result)
   )
)</f>
        <v/>
      </c>
      <c r="K772" s="27" t="str" cm="1">
        <f t="array" ref="K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2" s="27" t="str" cm="1">
        <f t="array" ref="L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2" s="27" t="str" cm="1">
        <f t="array" ref="M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2" s="28" t="str" cm="1">
        <f t="array" ref="N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2" s="28" t="str" cm="1">
        <f t="array" ref="O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2" s="27" t="str" cm="1">
        <f t="array" ref="P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Table8[جهة العطل]
         ),
         ""
      ),
      IF(_xlpm.result="", "", _xlpm.result)
   )
)</f>
        <v/>
      </c>
      <c r="Q772" s="27" t="str" cm="1">
        <f t="array" ref="Q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Table8[المركز]
         ),
         ""
      ),
      IF(_xlpm.result="", "", _xlpm.result)
   )
)</f>
        <v/>
      </c>
      <c r="R772" s="27" t="str" cm="1">
        <f t="array" ref="R772">IF(
   A772="",
   "",
   _xlfn.LET(
      _xlpm.result,
      IFERROR(
         _xlfn.XLOOKUP(
            1,
            (Table8[رقم الصنف]=A772) *
            (IF($B$9="الكل",1, YEAR('ادخال البيانات'!$N$3:$N$1164) = VALUE($B$9))) *
            (IF($B$10="الكل",1, MONTH('ادخال البيانات'!$N$3:$N$1164) = VALUE($B$10))) *
            (IF($B$11="الكل",1, INT((DAY('ادخال البيانات'!$N$3:$N$1164) - 1) / 7) + 1 = VALUE($B$11))),
            Table8[ملاحظة]
         ),
         ""
      ),
      IF(_xlpm.result="", "", _xlpm.result)
   )
)</f>
        <v/>
      </c>
      <c r="S772" s="46" t="str">
        <f t="shared" ca="1" si="12"/>
        <v/>
      </c>
    </row>
    <row r="773" spans="1:19" ht="15.6" thickTop="1" thickBot="1" x14ac:dyDescent="0.35">
      <c r="A773" s="39"/>
      <c r="B773" s="27" t="str" cm="1">
        <f t="array" ref="B773">IF(
   OR(A773="", $B$9="", $B$10="", $B$11=""),
   "",
   _xlfn.LET(
      _xlpm.result,
      IFERROR(
         _xlfn.XLOOKUP(
            1,
            (Table8[رقم الصنف]=A773)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3" s="27" t="str" cm="1">
        <f t="array" ref="C773">IF(
   A773="",
   "",
   _xlfn.LET(
      _xlpm.result,
      IFERROR(
         _xlfn.XLOOKUP(
            1,
            (Table8[رقم الصنف]=A773) *
            (IF($B$9="الكل",1, YEAR('ادخال البيانات'!$N$3:$N$1164) = VALUE($B$9))) *
            (IF($B$10="الكل",1, MONTH('ادخال البيانات'!$N$3:$N$1164) = VALUE($B$10))) *
            (IF($B$11="الكل",1, INT((DAY('ادخال البيانات'!$N$3:$N$1164)-1)/7)+1 = VALUE($B$11))),
            'ادخال البيانات'!$C$3:$C$1164
         ),
         ""
      ),
      IF(_xlpm.result="", "", _xlpm.result)
   )
)</f>
        <v/>
      </c>
      <c r="D773" s="27" t="str" cm="1">
        <f t="array" ref="D773">IF(
   OR(A773="", $B$9="", $B$10="", $B$11=""),
   "",
   _xlfn.LET(
      _xlpm.result,
      IFERROR(
         _xlfn.XLOOKUP(
            1,
            (Table8[رقم الصنف]=A773) *
            (IF($B$9="الكل",1, YEAR('ادخال البيانات'!$N$3:$N$1164)=VALUE($B$9))) *
            (IF($B$10="الكل",1, MONTH('ادخال البيانات'!$N$3:$N$1164)=VALUE($B$10))) *
            (IF($B$11="الكل",1, INT((DAY('ادخال البيانات'!$N$3:$N$1164)-1)/7)+1 = VALUE($B$11))),
            'ادخال البيانات'!$D$3:$D$1164
         ),
         ""
      ),
      IF(_xlpm.result="", "", _xlpm.result)
   )
)</f>
        <v/>
      </c>
      <c r="E773" s="27" t="str" cm="1">
        <f t="array" ref="E773">IF(
   A773="",
   "",
   _xlfn.LET(
      _xlpm.result,
      IFERROR(
         _xlfn.XLOOKUP(
            1,
            (Table8[رقم الصنف]=A773) *
            (IF($B$9="الكل",1, YEAR('ادخال البيانات'!$N$3:$N$1164)=VALUE($B$9))) *
            (IF($B$10="الكل",1, MONTH('ادخال البيانات'!$N$3:$N$1164)=VALUE($B$10))) *
            (IF($B$11="الكل",1, INT((DAY('ادخال البيانات'!$N$3:$N$1164)-1)/7)+1 = VALUE($B$11))),
            'ادخال البيانات'!$E$3:$E$1164
         ),
         ""
      ),
      IF(_xlpm.result="", "", _xlpm.result)
   )
)</f>
        <v/>
      </c>
      <c r="F773" s="27" t="str" cm="1">
        <f t="array" ref="F773">IF(
   A773="",
   "",
   _xlfn.LET(
      _xlpm.result,
      IFERROR(
         _xlfn.XLOOKUP(
            1,
            (Table8[رقم الصنف]=A773) *
            (IF($B$9="الكل",1, YEAR('ادخال البيانات'!$N$3:$N$1164) = VALUE($B$9))) *
            (IF($B$10="الكل",1, MONTH('ادخال البيانات'!$N$3:$N$1164) = VALUE($B$10))) *
            (IF($B$11="الكل",1, INT((DAY('ادخال البيانات'!$N$3:$N$1164)-1)/7)+1 = VALUE($B$11))),
            'ادخال البيانات'!$F$3:$F$1164
         ),
         ""
      ),
      IF(_xlpm.result="", "", _xlpm.result)
   )
)</f>
        <v/>
      </c>
      <c r="G773" s="27" t="str" cm="1">
        <f t="array" ref="G773">IF(
   A773="",
   "",
   _xlfn.LET(
      _xlpm.result,
      IFERROR(
         _xlfn.XLOOKUP(
            1,
            (Table8[رقم الصنف]=A773) *
            (IF($B$9="الكل",1, YEAR('ادخال البيانات'!$N$3:$N$1164)=VALUE($B$9))) *
            (IF($B$10="الكل",1, MONTH('ادخال البيانات'!$N$3:$N$1164)=VALUE($B$10))) *
            (IF($B$11="الكل",1, INT((DAY('ادخال البيانات'!$N$3:$N$1164)-1)/7)+1 = VALUE($B$11))),
            'ادخال البيانات'!$G$3:$G$1164
         ),
         ""
      ),
      IF(_xlpm.result="", "", _xlpm.result)
   )
)</f>
        <v/>
      </c>
      <c r="H773" s="27" t="str" cm="1">
        <f t="array" ref="H773">IF(
   A773="",
   "",
   _xlfn.LET(
      _xlpm.result,
      IFERROR(
         _xlfn.XLOOKUP(
            1,
            (Table8[رقم الصنف]=A773) *
            (IF($B$9="الكل",1, YEAR('ادخال البيانات'!$N$3:$N$1164)=VALUE($B$9))) *
            (IF($B$10="الكل",1, MONTH('ادخال البيانات'!$N$3:$N$1164)=VALUE($B$10))) *
            (IF($B$11="الكل",1, INT((DAY('ادخال البيانات'!$N$3:$N$1164)-1)/7)+1 = VALUE($B$11))),
            'ادخال البيانات'!$H$3:$H$1164
         ),
         ""
      ),
      IF(_xlpm.result="", "", _xlpm.result)
   )
)</f>
        <v/>
      </c>
      <c r="I773" s="27" t="str" cm="1">
        <f t="array" ref="I773">IF(
   A773="",
   "",
   _xlfn.LET(
      _xlpm.result,
      IFERROR(
         _xlfn.XLOOKUP(
            1,
            (Table8[رقم الصنف]=A773) *
            (IF($B$9="الكل",1, YEAR('ادخال البيانات'!$N$3:$N$1164)=VALUE($B$9))) *
            (IF($B$10="الكل",1, MONTH('ادخال البيانات'!$N$3:$N$1164)=VALUE($B$10))) *
            (IF($B$11="الكل",1, INT((DAY('ادخال البيانات'!$N$3:$N$1164)-1)/7)+1 = VALUE($B$11))),
            'ادخال البيانات'!$I$3:$I$1164
         ),
         ""
      ),
      IF(_xlpm.result="", "", _xlpm.result)
   )
)</f>
        <v/>
      </c>
      <c r="J773" s="27" t="str" cm="1">
        <f t="array" ref="J773">IF(
   A773="",
   "",
   _xlfn.LET(
      _xlpm.result,
      IFERROR(
         _xlfn.XLOOKUP(
            1,
            (Table8[رقم الصنف]=A773) *
            (IF($B$9="الكل",1, YEAR('ادخال البيانات'!$N$3:$N$1164)=VALUE($B$9))) *
            (IF($B$10="الكل",1, MONTH('ادخال البيانات'!$N$3:$N$1164)=VALUE($B$10))) *
            (IF($B$11="الكل",1, INT((DAY('ادخال البيانات'!$N$3:$N$1164)-1)/7)+1 = VALUE($B$11))),
            'ادخال البيانات'!$J$3:$J$1164
         ),
         ""
      ),
      IF(_xlpm.result="", "", _xlpm.result)
   )
)</f>
        <v/>
      </c>
      <c r="K773" s="27" t="str" cm="1">
        <f t="array" ref="K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3" s="27" t="str" cm="1">
        <f t="array" ref="L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3" s="27" t="str" cm="1">
        <f t="array" ref="M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3" s="28" t="str" cm="1">
        <f t="array" ref="N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3" s="28" t="str" cm="1">
        <f t="array" ref="O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3" s="27" t="str" cm="1">
        <f t="array" ref="P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Table8[جهة العطل]
         ),
         ""
      ),
      IF(_xlpm.result="", "", _xlpm.result)
   )
)</f>
        <v/>
      </c>
      <c r="Q773" s="27" t="str" cm="1">
        <f t="array" ref="Q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Table8[المركز]
         ),
         ""
      ),
      IF(_xlpm.result="", "", _xlpm.result)
   )
)</f>
        <v/>
      </c>
      <c r="R773" s="27" t="str" cm="1">
        <f t="array" ref="R773">IF(
   A773="",
   "",
   _xlfn.LET(
      _xlpm.result,
      IFERROR(
         _xlfn.XLOOKUP(
            1,
            (Table8[رقم الصنف]=A773) *
            (IF($B$9="الكل",1, YEAR('ادخال البيانات'!$N$3:$N$1164) = VALUE($B$9))) *
            (IF($B$10="الكل",1, MONTH('ادخال البيانات'!$N$3:$N$1164) = VALUE($B$10))) *
            (IF($B$11="الكل",1, INT((DAY('ادخال البيانات'!$N$3:$N$1164) - 1) / 7) + 1 = VALUE($B$11))),
            Table8[ملاحظة]
         ),
         ""
      ),
      IF(_xlpm.result="", "", _xlpm.result)
   )
)</f>
        <v/>
      </c>
      <c r="S773" s="46" t="str">
        <f t="shared" ca="1" si="12"/>
        <v/>
      </c>
    </row>
    <row r="774" spans="1:19" ht="15.6" thickTop="1" thickBot="1" x14ac:dyDescent="0.35">
      <c r="A774" s="39"/>
      <c r="B774" s="27" t="str" cm="1">
        <f t="array" ref="B774">IF(
   OR(A774="", $B$9="", $B$10="", $B$11=""),
   "",
   _xlfn.LET(
      _xlpm.result,
      IFERROR(
         _xlfn.XLOOKUP(
            1,
            (Table8[رقم الصنف]=A774)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4" s="27" t="str" cm="1">
        <f t="array" ref="C774">IF(
   A774="",
   "",
   _xlfn.LET(
      _xlpm.result,
      IFERROR(
         _xlfn.XLOOKUP(
            1,
            (Table8[رقم الصنف]=A774) *
            (IF($B$9="الكل",1, YEAR('ادخال البيانات'!$N$3:$N$1164) = VALUE($B$9))) *
            (IF($B$10="الكل",1, MONTH('ادخال البيانات'!$N$3:$N$1164) = VALUE($B$10))) *
            (IF($B$11="الكل",1, INT((DAY('ادخال البيانات'!$N$3:$N$1164)-1)/7)+1 = VALUE($B$11))),
            'ادخال البيانات'!$C$3:$C$1164
         ),
         ""
      ),
      IF(_xlpm.result="", "", _xlpm.result)
   )
)</f>
        <v/>
      </c>
      <c r="D774" s="27" t="str" cm="1">
        <f t="array" ref="D774">IF(
   OR(A774="", $B$9="", $B$10="", $B$11=""),
   "",
   _xlfn.LET(
      _xlpm.result,
      IFERROR(
         _xlfn.XLOOKUP(
            1,
            (Table8[رقم الصنف]=A774) *
            (IF($B$9="الكل",1, YEAR('ادخال البيانات'!$N$3:$N$1164)=VALUE($B$9))) *
            (IF($B$10="الكل",1, MONTH('ادخال البيانات'!$N$3:$N$1164)=VALUE($B$10))) *
            (IF($B$11="الكل",1, INT((DAY('ادخال البيانات'!$N$3:$N$1164)-1)/7)+1 = VALUE($B$11))),
            'ادخال البيانات'!$D$3:$D$1164
         ),
         ""
      ),
      IF(_xlpm.result="", "", _xlpm.result)
   )
)</f>
        <v/>
      </c>
      <c r="E774" s="27" t="str" cm="1">
        <f t="array" ref="E774">IF(
   A774="",
   "",
   _xlfn.LET(
      _xlpm.result,
      IFERROR(
         _xlfn.XLOOKUP(
            1,
            (Table8[رقم الصنف]=A774) *
            (IF($B$9="الكل",1, YEAR('ادخال البيانات'!$N$3:$N$1164)=VALUE($B$9))) *
            (IF($B$10="الكل",1, MONTH('ادخال البيانات'!$N$3:$N$1164)=VALUE($B$10))) *
            (IF($B$11="الكل",1, INT((DAY('ادخال البيانات'!$N$3:$N$1164)-1)/7)+1 = VALUE($B$11))),
            'ادخال البيانات'!$E$3:$E$1164
         ),
         ""
      ),
      IF(_xlpm.result="", "", _xlpm.result)
   )
)</f>
        <v/>
      </c>
      <c r="F774" s="27" t="str" cm="1">
        <f t="array" ref="F774">IF(
   A774="",
   "",
   _xlfn.LET(
      _xlpm.result,
      IFERROR(
         _xlfn.XLOOKUP(
            1,
            (Table8[رقم الصنف]=A774) *
            (IF($B$9="الكل",1, YEAR('ادخال البيانات'!$N$3:$N$1164) = VALUE($B$9))) *
            (IF($B$10="الكل",1, MONTH('ادخال البيانات'!$N$3:$N$1164) = VALUE($B$10))) *
            (IF($B$11="الكل",1, INT((DAY('ادخال البيانات'!$N$3:$N$1164)-1)/7)+1 = VALUE($B$11))),
            'ادخال البيانات'!$F$3:$F$1164
         ),
         ""
      ),
      IF(_xlpm.result="", "", _xlpm.result)
   )
)</f>
        <v/>
      </c>
      <c r="G774" s="27" t="str" cm="1">
        <f t="array" ref="G774">IF(
   A774="",
   "",
   _xlfn.LET(
      _xlpm.result,
      IFERROR(
         _xlfn.XLOOKUP(
            1,
            (Table8[رقم الصنف]=A774) *
            (IF($B$9="الكل",1, YEAR('ادخال البيانات'!$N$3:$N$1164)=VALUE($B$9))) *
            (IF($B$10="الكل",1, MONTH('ادخال البيانات'!$N$3:$N$1164)=VALUE($B$10))) *
            (IF($B$11="الكل",1, INT((DAY('ادخال البيانات'!$N$3:$N$1164)-1)/7)+1 = VALUE($B$11))),
            'ادخال البيانات'!$G$3:$G$1164
         ),
         ""
      ),
      IF(_xlpm.result="", "", _xlpm.result)
   )
)</f>
        <v/>
      </c>
      <c r="H774" s="27" t="str" cm="1">
        <f t="array" ref="H774">IF(
   A774="",
   "",
   _xlfn.LET(
      _xlpm.result,
      IFERROR(
         _xlfn.XLOOKUP(
            1,
            (Table8[رقم الصنف]=A774) *
            (IF($B$9="الكل",1, YEAR('ادخال البيانات'!$N$3:$N$1164)=VALUE($B$9))) *
            (IF($B$10="الكل",1, MONTH('ادخال البيانات'!$N$3:$N$1164)=VALUE($B$10))) *
            (IF($B$11="الكل",1, INT((DAY('ادخال البيانات'!$N$3:$N$1164)-1)/7)+1 = VALUE($B$11))),
            'ادخال البيانات'!$H$3:$H$1164
         ),
         ""
      ),
      IF(_xlpm.result="", "", _xlpm.result)
   )
)</f>
        <v/>
      </c>
      <c r="I774" s="27" t="str" cm="1">
        <f t="array" ref="I774">IF(
   A774="",
   "",
   _xlfn.LET(
      _xlpm.result,
      IFERROR(
         _xlfn.XLOOKUP(
            1,
            (Table8[رقم الصنف]=A774) *
            (IF($B$9="الكل",1, YEAR('ادخال البيانات'!$N$3:$N$1164)=VALUE($B$9))) *
            (IF($B$10="الكل",1, MONTH('ادخال البيانات'!$N$3:$N$1164)=VALUE($B$10))) *
            (IF($B$11="الكل",1, INT((DAY('ادخال البيانات'!$N$3:$N$1164)-1)/7)+1 = VALUE($B$11))),
            'ادخال البيانات'!$I$3:$I$1164
         ),
         ""
      ),
      IF(_xlpm.result="", "", _xlpm.result)
   )
)</f>
        <v/>
      </c>
      <c r="J774" s="27" t="str" cm="1">
        <f t="array" ref="J774">IF(
   A774="",
   "",
   _xlfn.LET(
      _xlpm.result,
      IFERROR(
         _xlfn.XLOOKUP(
            1,
            (Table8[رقم الصنف]=A774) *
            (IF($B$9="الكل",1, YEAR('ادخال البيانات'!$N$3:$N$1164)=VALUE($B$9))) *
            (IF($B$10="الكل",1, MONTH('ادخال البيانات'!$N$3:$N$1164)=VALUE($B$10))) *
            (IF($B$11="الكل",1, INT((DAY('ادخال البيانات'!$N$3:$N$1164)-1)/7)+1 = VALUE($B$11))),
            'ادخال البيانات'!$J$3:$J$1164
         ),
         ""
      ),
      IF(_xlpm.result="", "", _xlpm.result)
   )
)</f>
        <v/>
      </c>
      <c r="K774" s="27" t="str" cm="1">
        <f t="array" ref="K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4" s="27" t="str" cm="1">
        <f t="array" ref="L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4" s="27" t="str" cm="1">
        <f t="array" ref="M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4" s="28" t="str" cm="1">
        <f t="array" ref="N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4" s="28" t="str" cm="1">
        <f t="array" ref="O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4" s="27" t="str" cm="1">
        <f t="array" ref="P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Table8[جهة العطل]
         ),
         ""
      ),
      IF(_xlpm.result="", "", _xlpm.result)
   )
)</f>
        <v/>
      </c>
      <c r="Q774" s="27" t="str" cm="1">
        <f t="array" ref="Q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Table8[المركز]
         ),
         ""
      ),
      IF(_xlpm.result="", "", _xlpm.result)
   )
)</f>
        <v/>
      </c>
      <c r="R774" s="27" t="str" cm="1">
        <f t="array" ref="R774">IF(
   A774="",
   "",
   _xlfn.LET(
      _xlpm.result,
      IFERROR(
         _xlfn.XLOOKUP(
            1,
            (Table8[رقم الصنف]=A774) *
            (IF($B$9="الكل",1, YEAR('ادخال البيانات'!$N$3:$N$1164) = VALUE($B$9))) *
            (IF($B$10="الكل",1, MONTH('ادخال البيانات'!$N$3:$N$1164) = VALUE($B$10))) *
            (IF($B$11="الكل",1, INT((DAY('ادخال البيانات'!$N$3:$N$1164) - 1) / 7) + 1 = VALUE($B$11))),
            Table8[ملاحظة]
         ),
         ""
      ),
      IF(_xlpm.result="", "", _xlpm.result)
   )
)</f>
        <v/>
      </c>
      <c r="S774" s="46" t="str">
        <f t="shared" ca="1" si="12"/>
        <v/>
      </c>
    </row>
    <row r="775" spans="1:19" ht="15.6" thickTop="1" thickBot="1" x14ac:dyDescent="0.35">
      <c r="A775" s="39"/>
      <c r="B775" s="27" t="str" cm="1">
        <f t="array" ref="B775">IF(
   OR(A775="", $B$9="", $B$10="", $B$11=""),
   "",
   _xlfn.LET(
      _xlpm.result,
      IFERROR(
         _xlfn.XLOOKUP(
            1,
            (Table8[رقم الصنف]=A775)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5" s="27" t="str" cm="1">
        <f t="array" ref="C775">IF(
   A775="",
   "",
   _xlfn.LET(
      _xlpm.result,
      IFERROR(
         _xlfn.XLOOKUP(
            1,
            (Table8[رقم الصنف]=A775) *
            (IF($B$9="الكل",1, YEAR('ادخال البيانات'!$N$3:$N$1164) = VALUE($B$9))) *
            (IF($B$10="الكل",1, MONTH('ادخال البيانات'!$N$3:$N$1164) = VALUE($B$10))) *
            (IF($B$11="الكل",1, INT((DAY('ادخال البيانات'!$N$3:$N$1164)-1)/7)+1 = VALUE($B$11))),
            'ادخال البيانات'!$C$3:$C$1164
         ),
         ""
      ),
      IF(_xlpm.result="", "", _xlpm.result)
   )
)</f>
        <v/>
      </c>
      <c r="D775" s="27" t="str" cm="1">
        <f t="array" ref="D775">IF(
   OR(A775="", $B$9="", $B$10="", $B$11=""),
   "",
   _xlfn.LET(
      _xlpm.result,
      IFERROR(
         _xlfn.XLOOKUP(
            1,
            (Table8[رقم الصنف]=A775) *
            (IF($B$9="الكل",1, YEAR('ادخال البيانات'!$N$3:$N$1164)=VALUE($B$9))) *
            (IF($B$10="الكل",1, MONTH('ادخال البيانات'!$N$3:$N$1164)=VALUE($B$10))) *
            (IF($B$11="الكل",1, INT((DAY('ادخال البيانات'!$N$3:$N$1164)-1)/7)+1 = VALUE($B$11))),
            'ادخال البيانات'!$D$3:$D$1164
         ),
         ""
      ),
      IF(_xlpm.result="", "", _xlpm.result)
   )
)</f>
        <v/>
      </c>
      <c r="E775" s="27" t="str" cm="1">
        <f t="array" ref="E775">IF(
   A775="",
   "",
   _xlfn.LET(
      _xlpm.result,
      IFERROR(
         _xlfn.XLOOKUP(
            1,
            (Table8[رقم الصنف]=A775) *
            (IF($B$9="الكل",1, YEAR('ادخال البيانات'!$N$3:$N$1164)=VALUE($B$9))) *
            (IF($B$10="الكل",1, MONTH('ادخال البيانات'!$N$3:$N$1164)=VALUE($B$10))) *
            (IF($B$11="الكل",1, INT((DAY('ادخال البيانات'!$N$3:$N$1164)-1)/7)+1 = VALUE($B$11))),
            'ادخال البيانات'!$E$3:$E$1164
         ),
         ""
      ),
      IF(_xlpm.result="", "", _xlpm.result)
   )
)</f>
        <v/>
      </c>
      <c r="F775" s="27" t="str" cm="1">
        <f t="array" ref="F775">IF(
   A775="",
   "",
   _xlfn.LET(
      _xlpm.result,
      IFERROR(
         _xlfn.XLOOKUP(
            1,
            (Table8[رقم الصنف]=A775) *
            (IF($B$9="الكل",1, YEAR('ادخال البيانات'!$N$3:$N$1164) = VALUE($B$9))) *
            (IF($B$10="الكل",1, MONTH('ادخال البيانات'!$N$3:$N$1164) = VALUE($B$10))) *
            (IF($B$11="الكل",1, INT((DAY('ادخال البيانات'!$N$3:$N$1164)-1)/7)+1 = VALUE($B$11))),
            'ادخال البيانات'!$F$3:$F$1164
         ),
         ""
      ),
      IF(_xlpm.result="", "", _xlpm.result)
   )
)</f>
        <v/>
      </c>
      <c r="G775" s="27" t="str" cm="1">
        <f t="array" ref="G775">IF(
   A775="",
   "",
   _xlfn.LET(
      _xlpm.result,
      IFERROR(
         _xlfn.XLOOKUP(
            1,
            (Table8[رقم الصنف]=A775) *
            (IF($B$9="الكل",1, YEAR('ادخال البيانات'!$N$3:$N$1164)=VALUE($B$9))) *
            (IF($B$10="الكل",1, MONTH('ادخال البيانات'!$N$3:$N$1164)=VALUE($B$10))) *
            (IF($B$11="الكل",1, INT((DAY('ادخال البيانات'!$N$3:$N$1164)-1)/7)+1 = VALUE($B$11))),
            'ادخال البيانات'!$G$3:$G$1164
         ),
         ""
      ),
      IF(_xlpm.result="", "", _xlpm.result)
   )
)</f>
        <v/>
      </c>
      <c r="H775" s="27" t="str" cm="1">
        <f t="array" ref="H775">IF(
   A775="",
   "",
   _xlfn.LET(
      _xlpm.result,
      IFERROR(
         _xlfn.XLOOKUP(
            1,
            (Table8[رقم الصنف]=A775) *
            (IF($B$9="الكل",1, YEAR('ادخال البيانات'!$N$3:$N$1164)=VALUE($B$9))) *
            (IF($B$10="الكل",1, MONTH('ادخال البيانات'!$N$3:$N$1164)=VALUE($B$10))) *
            (IF($B$11="الكل",1, INT((DAY('ادخال البيانات'!$N$3:$N$1164)-1)/7)+1 = VALUE($B$11))),
            'ادخال البيانات'!$H$3:$H$1164
         ),
         ""
      ),
      IF(_xlpm.result="", "", _xlpm.result)
   )
)</f>
        <v/>
      </c>
      <c r="I775" s="27" t="str" cm="1">
        <f t="array" ref="I775">IF(
   A775="",
   "",
   _xlfn.LET(
      _xlpm.result,
      IFERROR(
         _xlfn.XLOOKUP(
            1,
            (Table8[رقم الصنف]=A775) *
            (IF($B$9="الكل",1, YEAR('ادخال البيانات'!$N$3:$N$1164)=VALUE($B$9))) *
            (IF($B$10="الكل",1, MONTH('ادخال البيانات'!$N$3:$N$1164)=VALUE($B$10))) *
            (IF($B$11="الكل",1, INT((DAY('ادخال البيانات'!$N$3:$N$1164)-1)/7)+1 = VALUE($B$11))),
            'ادخال البيانات'!$I$3:$I$1164
         ),
         ""
      ),
      IF(_xlpm.result="", "", _xlpm.result)
   )
)</f>
        <v/>
      </c>
      <c r="J775" s="27" t="str" cm="1">
        <f t="array" ref="J775">IF(
   A775="",
   "",
   _xlfn.LET(
      _xlpm.result,
      IFERROR(
         _xlfn.XLOOKUP(
            1,
            (Table8[رقم الصنف]=A775) *
            (IF($B$9="الكل",1, YEAR('ادخال البيانات'!$N$3:$N$1164)=VALUE($B$9))) *
            (IF($B$10="الكل",1, MONTH('ادخال البيانات'!$N$3:$N$1164)=VALUE($B$10))) *
            (IF($B$11="الكل",1, INT((DAY('ادخال البيانات'!$N$3:$N$1164)-1)/7)+1 = VALUE($B$11))),
            'ادخال البيانات'!$J$3:$J$1164
         ),
         ""
      ),
      IF(_xlpm.result="", "", _xlpm.result)
   )
)</f>
        <v/>
      </c>
      <c r="K775" s="27" t="str" cm="1">
        <f t="array" ref="K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5" s="27" t="str" cm="1">
        <f t="array" ref="L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5" s="27" t="str" cm="1">
        <f t="array" ref="M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5" s="28" t="str" cm="1">
        <f t="array" ref="N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5" s="28" t="str" cm="1">
        <f t="array" ref="O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5" s="27" t="str" cm="1">
        <f t="array" ref="P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Table8[جهة العطل]
         ),
         ""
      ),
      IF(_xlpm.result="", "", _xlpm.result)
   )
)</f>
        <v/>
      </c>
      <c r="Q775" s="27" t="str" cm="1">
        <f t="array" ref="Q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Table8[المركز]
         ),
         ""
      ),
      IF(_xlpm.result="", "", _xlpm.result)
   )
)</f>
        <v/>
      </c>
      <c r="R775" s="27" t="str" cm="1">
        <f t="array" ref="R775">IF(
   A775="",
   "",
   _xlfn.LET(
      _xlpm.result,
      IFERROR(
         _xlfn.XLOOKUP(
            1,
            (Table8[رقم الصنف]=A775) *
            (IF($B$9="الكل",1, YEAR('ادخال البيانات'!$N$3:$N$1164) = VALUE($B$9))) *
            (IF($B$10="الكل",1, MONTH('ادخال البيانات'!$N$3:$N$1164) = VALUE($B$10))) *
            (IF($B$11="الكل",1, INT((DAY('ادخال البيانات'!$N$3:$N$1164) - 1) / 7) + 1 = VALUE($B$11))),
            Table8[ملاحظة]
         ),
         ""
      ),
      IF(_xlpm.result="", "", _xlpm.result)
   )
)</f>
        <v/>
      </c>
      <c r="S775" s="46" t="str">
        <f t="shared" ca="1" si="12"/>
        <v/>
      </c>
    </row>
    <row r="776" spans="1:19" ht="15.6" thickTop="1" thickBot="1" x14ac:dyDescent="0.35">
      <c r="A776" s="39"/>
      <c r="B776" s="27" t="str" cm="1">
        <f t="array" ref="B776">IF(
   OR(A776="", $B$9="", $B$10="", $B$11=""),
   "",
   _xlfn.LET(
      _xlpm.result,
      IFERROR(
         _xlfn.XLOOKUP(
            1,
            (Table8[رقم الصنف]=A776)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6" s="27" t="str" cm="1">
        <f t="array" ref="C776">IF(
   A776="",
   "",
   _xlfn.LET(
      _xlpm.result,
      IFERROR(
         _xlfn.XLOOKUP(
            1,
            (Table8[رقم الصنف]=A776) *
            (IF($B$9="الكل",1, YEAR('ادخال البيانات'!$N$3:$N$1164) = VALUE($B$9))) *
            (IF($B$10="الكل",1, MONTH('ادخال البيانات'!$N$3:$N$1164) = VALUE($B$10))) *
            (IF($B$11="الكل",1, INT((DAY('ادخال البيانات'!$N$3:$N$1164)-1)/7)+1 = VALUE($B$11))),
            'ادخال البيانات'!$C$3:$C$1164
         ),
         ""
      ),
      IF(_xlpm.result="", "", _xlpm.result)
   )
)</f>
        <v/>
      </c>
      <c r="D776" s="27" t="str" cm="1">
        <f t="array" ref="D776">IF(
   OR(A776="", $B$9="", $B$10="", $B$11=""),
   "",
   _xlfn.LET(
      _xlpm.result,
      IFERROR(
         _xlfn.XLOOKUP(
            1,
            (Table8[رقم الصنف]=A776) *
            (IF($B$9="الكل",1, YEAR('ادخال البيانات'!$N$3:$N$1164)=VALUE($B$9))) *
            (IF($B$10="الكل",1, MONTH('ادخال البيانات'!$N$3:$N$1164)=VALUE($B$10))) *
            (IF($B$11="الكل",1, INT((DAY('ادخال البيانات'!$N$3:$N$1164)-1)/7)+1 = VALUE($B$11))),
            'ادخال البيانات'!$D$3:$D$1164
         ),
         ""
      ),
      IF(_xlpm.result="", "", _xlpm.result)
   )
)</f>
        <v/>
      </c>
      <c r="E776" s="27" t="str" cm="1">
        <f t="array" ref="E776">IF(
   A776="",
   "",
   _xlfn.LET(
      _xlpm.result,
      IFERROR(
         _xlfn.XLOOKUP(
            1,
            (Table8[رقم الصنف]=A776) *
            (IF($B$9="الكل",1, YEAR('ادخال البيانات'!$N$3:$N$1164)=VALUE($B$9))) *
            (IF($B$10="الكل",1, MONTH('ادخال البيانات'!$N$3:$N$1164)=VALUE($B$10))) *
            (IF($B$11="الكل",1, INT((DAY('ادخال البيانات'!$N$3:$N$1164)-1)/7)+1 = VALUE($B$11))),
            'ادخال البيانات'!$E$3:$E$1164
         ),
         ""
      ),
      IF(_xlpm.result="", "", _xlpm.result)
   )
)</f>
        <v/>
      </c>
      <c r="F776" s="27" t="str" cm="1">
        <f t="array" ref="F776">IF(
   A776="",
   "",
   _xlfn.LET(
      _xlpm.result,
      IFERROR(
         _xlfn.XLOOKUP(
            1,
            (Table8[رقم الصنف]=A776) *
            (IF($B$9="الكل",1, YEAR('ادخال البيانات'!$N$3:$N$1164) = VALUE($B$9))) *
            (IF($B$10="الكل",1, MONTH('ادخال البيانات'!$N$3:$N$1164) = VALUE($B$10))) *
            (IF($B$11="الكل",1, INT((DAY('ادخال البيانات'!$N$3:$N$1164)-1)/7)+1 = VALUE($B$11))),
            'ادخال البيانات'!$F$3:$F$1164
         ),
         ""
      ),
      IF(_xlpm.result="", "", _xlpm.result)
   )
)</f>
        <v/>
      </c>
      <c r="G776" s="27" t="str" cm="1">
        <f t="array" ref="G776">IF(
   A776="",
   "",
   _xlfn.LET(
      _xlpm.result,
      IFERROR(
         _xlfn.XLOOKUP(
            1,
            (Table8[رقم الصنف]=A776) *
            (IF($B$9="الكل",1, YEAR('ادخال البيانات'!$N$3:$N$1164)=VALUE($B$9))) *
            (IF($B$10="الكل",1, MONTH('ادخال البيانات'!$N$3:$N$1164)=VALUE($B$10))) *
            (IF($B$11="الكل",1, INT((DAY('ادخال البيانات'!$N$3:$N$1164)-1)/7)+1 = VALUE($B$11))),
            'ادخال البيانات'!$G$3:$G$1164
         ),
         ""
      ),
      IF(_xlpm.result="", "", _xlpm.result)
   )
)</f>
        <v/>
      </c>
      <c r="H776" s="27" t="str" cm="1">
        <f t="array" ref="H776">IF(
   A776="",
   "",
   _xlfn.LET(
      _xlpm.result,
      IFERROR(
         _xlfn.XLOOKUP(
            1,
            (Table8[رقم الصنف]=A776) *
            (IF($B$9="الكل",1, YEAR('ادخال البيانات'!$N$3:$N$1164)=VALUE($B$9))) *
            (IF($B$10="الكل",1, MONTH('ادخال البيانات'!$N$3:$N$1164)=VALUE($B$10))) *
            (IF($B$11="الكل",1, INT((DAY('ادخال البيانات'!$N$3:$N$1164)-1)/7)+1 = VALUE($B$11))),
            'ادخال البيانات'!$H$3:$H$1164
         ),
         ""
      ),
      IF(_xlpm.result="", "", _xlpm.result)
   )
)</f>
        <v/>
      </c>
      <c r="I776" s="27" t="str" cm="1">
        <f t="array" ref="I776">IF(
   A776="",
   "",
   _xlfn.LET(
      _xlpm.result,
      IFERROR(
         _xlfn.XLOOKUP(
            1,
            (Table8[رقم الصنف]=A776) *
            (IF($B$9="الكل",1, YEAR('ادخال البيانات'!$N$3:$N$1164)=VALUE($B$9))) *
            (IF($B$10="الكل",1, MONTH('ادخال البيانات'!$N$3:$N$1164)=VALUE($B$10))) *
            (IF($B$11="الكل",1, INT((DAY('ادخال البيانات'!$N$3:$N$1164)-1)/7)+1 = VALUE($B$11))),
            'ادخال البيانات'!$I$3:$I$1164
         ),
         ""
      ),
      IF(_xlpm.result="", "", _xlpm.result)
   )
)</f>
        <v/>
      </c>
      <c r="J776" s="27" t="str" cm="1">
        <f t="array" ref="J776">IF(
   A776="",
   "",
   _xlfn.LET(
      _xlpm.result,
      IFERROR(
         _xlfn.XLOOKUP(
            1,
            (Table8[رقم الصنف]=A776) *
            (IF($B$9="الكل",1, YEAR('ادخال البيانات'!$N$3:$N$1164)=VALUE($B$9))) *
            (IF($B$10="الكل",1, MONTH('ادخال البيانات'!$N$3:$N$1164)=VALUE($B$10))) *
            (IF($B$11="الكل",1, INT((DAY('ادخال البيانات'!$N$3:$N$1164)-1)/7)+1 = VALUE($B$11))),
            'ادخال البيانات'!$J$3:$J$1164
         ),
         ""
      ),
      IF(_xlpm.result="", "", _xlpm.result)
   )
)</f>
        <v/>
      </c>
      <c r="K776" s="27" t="str" cm="1">
        <f t="array" ref="K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6" s="27" t="str" cm="1">
        <f t="array" ref="L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6" s="27" t="str" cm="1">
        <f t="array" ref="M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6" s="28" t="str" cm="1">
        <f t="array" ref="N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6" s="28" t="str" cm="1">
        <f t="array" ref="O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6" s="27" t="str" cm="1">
        <f t="array" ref="P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Table8[جهة العطل]
         ),
         ""
      ),
      IF(_xlpm.result="", "", _xlpm.result)
   )
)</f>
        <v/>
      </c>
      <c r="Q776" s="27" t="str" cm="1">
        <f t="array" ref="Q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Table8[المركز]
         ),
         ""
      ),
      IF(_xlpm.result="", "", _xlpm.result)
   )
)</f>
        <v/>
      </c>
      <c r="R776" s="27" t="str" cm="1">
        <f t="array" ref="R776">IF(
   A776="",
   "",
   _xlfn.LET(
      _xlpm.result,
      IFERROR(
         _xlfn.XLOOKUP(
            1,
            (Table8[رقم الصنف]=A776) *
            (IF($B$9="الكل",1, YEAR('ادخال البيانات'!$N$3:$N$1164) = VALUE($B$9))) *
            (IF($B$10="الكل",1, MONTH('ادخال البيانات'!$N$3:$N$1164) = VALUE($B$10))) *
            (IF($B$11="الكل",1, INT((DAY('ادخال البيانات'!$N$3:$N$1164) - 1) / 7) + 1 = VALUE($B$11))),
            Table8[ملاحظة]
         ),
         ""
      ),
      IF(_xlpm.result="", "", _xlpm.result)
   )
)</f>
        <v/>
      </c>
      <c r="S776" s="46" t="str">
        <f t="shared" ca="1" si="12"/>
        <v/>
      </c>
    </row>
    <row r="777" spans="1:19" ht="15.6" thickTop="1" thickBot="1" x14ac:dyDescent="0.35">
      <c r="A777" s="39"/>
      <c r="B777" s="27" t="str" cm="1">
        <f t="array" ref="B777">IF(
   OR(A777="", $B$9="", $B$10="", $B$11=""),
   "",
   _xlfn.LET(
      _xlpm.result,
      IFERROR(
         _xlfn.XLOOKUP(
            1,
            (Table8[رقم الصنف]=A777)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7" s="27" t="str" cm="1">
        <f t="array" ref="C777">IF(
   A777="",
   "",
   _xlfn.LET(
      _xlpm.result,
      IFERROR(
         _xlfn.XLOOKUP(
            1,
            (Table8[رقم الصنف]=A777) *
            (IF($B$9="الكل",1, YEAR('ادخال البيانات'!$N$3:$N$1164) = VALUE($B$9))) *
            (IF($B$10="الكل",1, MONTH('ادخال البيانات'!$N$3:$N$1164) = VALUE($B$10))) *
            (IF($B$11="الكل",1, INT((DAY('ادخال البيانات'!$N$3:$N$1164)-1)/7)+1 = VALUE($B$11))),
            'ادخال البيانات'!$C$3:$C$1164
         ),
         ""
      ),
      IF(_xlpm.result="", "", _xlpm.result)
   )
)</f>
        <v/>
      </c>
      <c r="D777" s="27" t="str" cm="1">
        <f t="array" ref="D777">IF(
   OR(A777="", $B$9="", $B$10="", $B$11=""),
   "",
   _xlfn.LET(
      _xlpm.result,
      IFERROR(
         _xlfn.XLOOKUP(
            1,
            (Table8[رقم الصنف]=A777) *
            (IF($B$9="الكل",1, YEAR('ادخال البيانات'!$N$3:$N$1164)=VALUE($B$9))) *
            (IF($B$10="الكل",1, MONTH('ادخال البيانات'!$N$3:$N$1164)=VALUE($B$10))) *
            (IF($B$11="الكل",1, INT((DAY('ادخال البيانات'!$N$3:$N$1164)-1)/7)+1 = VALUE($B$11))),
            'ادخال البيانات'!$D$3:$D$1164
         ),
         ""
      ),
      IF(_xlpm.result="", "", _xlpm.result)
   )
)</f>
        <v/>
      </c>
      <c r="E777" s="27" t="str" cm="1">
        <f t="array" ref="E777">IF(
   A777="",
   "",
   _xlfn.LET(
      _xlpm.result,
      IFERROR(
         _xlfn.XLOOKUP(
            1,
            (Table8[رقم الصنف]=A777) *
            (IF($B$9="الكل",1, YEAR('ادخال البيانات'!$N$3:$N$1164)=VALUE($B$9))) *
            (IF($B$10="الكل",1, MONTH('ادخال البيانات'!$N$3:$N$1164)=VALUE($B$10))) *
            (IF($B$11="الكل",1, INT((DAY('ادخال البيانات'!$N$3:$N$1164)-1)/7)+1 = VALUE($B$11))),
            'ادخال البيانات'!$E$3:$E$1164
         ),
         ""
      ),
      IF(_xlpm.result="", "", _xlpm.result)
   )
)</f>
        <v/>
      </c>
      <c r="F777" s="27" t="str" cm="1">
        <f t="array" ref="F777">IF(
   A777="",
   "",
   _xlfn.LET(
      _xlpm.result,
      IFERROR(
         _xlfn.XLOOKUP(
            1,
            (Table8[رقم الصنف]=A777) *
            (IF($B$9="الكل",1, YEAR('ادخال البيانات'!$N$3:$N$1164) = VALUE($B$9))) *
            (IF($B$10="الكل",1, MONTH('ادخال البيانات'!$N$3:$N$1164) = VALUE($B$10))) *
            (IF($B$11="الكل",1, INT((DAY('ادخال البيانات'!$N$3:$N$1164)-1)/7)+1 = VALUE($B$11))),
            'ادخال البيانات'!$F$3:$F$1164
         ),
         ""
      ),
      IF(_xlpm.result="", "", _xlpm.result)
   )
)</f>
        <v/>
      </c>
      <c r="G777" s="27" t="str" cm="1">
        <f t="array" ref="G777">IF(
   A777="",
   "",
   _xlfn.LET(
      _xlpm.result,
      IFERROR(
         _xlfn.XLOOKUP(
            1,
            (Table8[رقم الصنف]=A777) *
            (IF($B$9="الكل",1, YEAR('ادخال البيانات'!$N$3:$N$1164)=VALUE($B$9))) *
            (IF($B$10="الكل",1, MONTH('ادخال البيانات'!$N$3:$N$1164)=VALUE($B$10))) *
            (IF($B$11="الكل",1, INT((DAY('ادخال البيانات'!$N$3:$N$1164)-1)/7)+1 = VALUE($B$11))),
            'ادخال البيانات'!$G$3:$G$1164
         ),
         ""
      ),
      IF(_xlpm.result="", "", _xlpm.result)
   )
)</f>
        <v/>
      </c>
      <c r="H777" s="27" t="str" cm="1">
        <f t="array" ref="H777">IF(
   A777="",
   "",
   _xlfn.LET(
      _xlpm.result,
      IFERROR(
         _xlfn.XLOOKUP(
            1,
            (Table8[رقم الصنف]=A777) *
            (IF($B$9="الكل",1, YEAR('ادخال البيانات'!$N$3:$N$1164)=VALUE($B$9))) *
            (IF($B$10="الكل",1, MONTH('ادخال البيانات'!$N$3:$N$1164)=VALUE($B$10))) *
            (IF($B$11="الكل",1, INT((DAY('ادخال البيانات'!$N$3:$N$1164)-1)/7)+1 = VALUE($B$11))),
            'ادخال البيانات'!$H$3:$H$1164
         ),
         ""
      ),
      IF(_xlpm.result="", "", _xlpm.result)
   )
)</f>
        <v/>
      </c>
      <c r="I777" s="27" t="str" cm="1">
        <f t="array" ref="I777">IF(
   A777="",
   "",
   _xlfn.LET(
      _xlpm.result,
      IFERROR(
         _xlfn.XLOOKUP(
            1,
            (Table8[رقم الصنف]=A777) *
            (IF($B$9="الكل",1, YEAR('ادخال البيانات'!$N$3:$N$1164)=VALUE($B$9))) *
            (IF($B$10="الكل",1, MONTH('ادخال البيانات'!$N$3:$N$1164)=VALUE($B$10))) *
            (IF($B$11="الكل",1, INT((DAY('ادخال البيانات'!$N$3:$N$1164)-1)/7)+1 = VALUE($B$11))),
            'ادخال البيانات'!$I$3:$I$1164
         ),
         ""
      ),
      IF(_xlpm.result="", "", _xlpm.result)
   )
)</f>
        <v/>
      </c>
      <c r="J777" s="27" t="str" cm="1">
        <f t="array" ref="J777">IF(
   A777="",
   "",
   _xlfn.LET(
      _xlpm.result,
      IFERROR(
         _xlfn.XLOOKUP(
            1,
            (Table8[رقم الصنف]=A777) *
            (IF($B$9="الكل",1, YEAR('ادخال البيانات'!$N$3:$N$1164)=VALUE($B$9))) *
            (IF($B$10="الكل",1, MONTH('ادخال البيانات'!$N$3:$N$1164)=VALUE($B$10))) *
            (IF($B$11="الكل",1, INT((DAY('ادخال البيانات'!$N$3:$N$1164)-1)/7)+1 = VALUE($B$11))),
            'ادخال البيانات'!$J$3:$J$1164
         ),
         ""
      ),
      IF(_xlpm.result="", "", _xlpm.result)
   )
)</f>
        <v/>
      </c>
      <c r="K777" s="27" t="str" cm="1">
        <f t="array" ref="K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7" s="27" t="str" cm="1">
        <f t="array" ref="L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7" s="27" t="str" cm="1">
        <f t="array" ref="M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7" s="28" t="str" cm="1">
        <f t="array" ref="N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7" s="28" t="str" cm="1">
        <f t="array" ref="O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7" s="27" t="str" cm="1">
        <f t="array" ref="P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Table8[جهة العطل]
         ),
         ""
      ),
      IF(_xlpm.result="", "", _xlpm.result)
   )
)</f>
        <v/>
      </c>
      <c r="Q777" s="27" t="str" cm="1">
        <f t="array" ref="Q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Table8[المركز]
         ),
         ""
      ),
      IF(_xlpm.result="", "", _xlpm.result)
   )
)</f>
        <v/>
      </c>
      <c r="R777" s="27" t="str" cm="1">
        <f t="array" ref="R777">IF(
   A777="",
   "",
   _xlfn.LET(
      _xlpm.result,
      IFERROR(
         _xlfn.XLOOKUP(
            1,
            (Table8[رقم الصنف]=A777) *
            (IF($B$9="الكل",1, YEAR('ادخال البيانات'!$N$3:$N$1164) = VALUE($B$9))) *
            (IF($B$10="الكل",1, MONTH('ادخال البيانات'!$N$3:$N$1164) = VALUE($B$10))) *
            (IF($B$11="الكل",1, INT((DAY('ادخال البيانات'!$N$3:$N$1164) - 1) / 7) + 1 = VALUE($B$11))),
            Table8[ملاحظة]
         ),
         ""
      ),
      IF(_xlpm.result="", "", _xlpm.result)
   )
)</f>
        <v/>
      </c>
      <c r="S777" s="46" t="str">
        <f t="shared" ca="1" si="12"/>
        <v/>
      </c>
    </row>
    <row r="778" spans="1:19" ht="15.6" thickTop="1" thickBot="1" x14ac:dyDescent="0.35">
      <c r="A778" s="39"/>
      <c r="B778" s="27" t="str" cm="1">
        <f t="array" ref="B778">IF(
   OR(A778="", $B$9="", $B$10="", $B$11=""),
   "",
   _xlfn.LET(
      _xlpm.result,
      IFERROR(
         _xlfn.XLOOKUP(
            1,
            (Table8[رقم الصنف]=A778)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8" s="27" t="str" cm="1">
        <f t="array" ref="C778">IF(
   A778="",
   "",
   _xlfn.LET(
      _xlpm.result,
      IFERROR(
         _xlfn.XLOOKUP(
            1,
            (Table8[رقم الصنف]=A778) *
            (IF($B$9="الكل",1, YEAR('ادخال البيانات'!$N$3:$N$1164) = VALUE($B$9))) *
            (IF($B$10="الكل",1, MONTH('ادخال البيانات'!$N$3:$N$1164) = VALUE($B$10))) *
            (IF($B$11="الكل",1, INT((DAY('ادخال البيانات'!$N$3:$N$1164)-1)/7)+1 = VALUE($B$11))),
            'ادخال البيانات'!$C$3:$C$1164
         ),
         ""
      ),
      IF(_xlpm.result="", "", _xlpm.result)
   )
)</f>
        <v/>
      </c>
      <c r="D778" s="27" t="str" cm="1">
        <f t="array" ref="D778">IF(
   OR(A778="", $B$9="", $B$10="", $B$11=""),
   "",
   _xlfn.LET(
      _xlpm.result,
      IFERROR(
         _xlfn.XLOOKUP(
            1,
            (Table8[رقم الصنف]=A778) *
            (IF($B$9="الكل",1, YEAR('ادخال البيانات'!$N$3:$N$1164)=VALUE($B$9))) *
            (IF($B$10="الكل",1, MONTH('ادخال البيانات'!$N$3:$N$1164)=VALUE($B$10))) *
            (IF($B$11="الكل",1, INT((DAY('ادخال البيانات'!$N$3:$N$1164)-1)/7)+1 = VALUE($B$11))),
            'ادخال البيانات'!$D$3:$D$1164
         ),
         ""
      ),
      IF(_xlpm.result="", "", _xlpm.result)
   )
)</f>
        <v/>
      </c>
      <c r="E778" s="27" t="str" cm="1">
        <f t="array" ref="E778">IF(
   A778="",
   "",
   _xlfn.LET(
      _xlpm.result,
      IFERROR(
         _xlfn.XLOOKUP(
            1,
            (Table8[رقم الصنف]=A778) *
            (IF($B$9="الكل",1, YEAR('ادخال البيانات'!$N$3:$N$1164)=VALUE($B$9))) *
            (IF($B$10="الكل",1, MONTH('ادخال البيانات'!$N$3:$N$1164)=VALUE($B$10))) *
            (IF($B$11="الكل",1, INT((DAY('ادخال البيانات'!$N$3:$N$1164)-1)/7)+1 = VALUE($B$11))),
            'ادخال البيانات'!$E$3:$E$1164
         ),
         ""
      ),
      IF(_xlpm.result="", "", _xlpm.result)
   )
)</f>
        <v/>
      </c>
      <c r="F778" s="27" t="str" cm="1">
        <f t="array" ref="F778">IF(
   A778="",
   "",
   _xlfn.LET(
      _xlpm.result,
      IFERROR(
         _xlfn.XLOOKUP(
            1,
            (Table8[رقم الصنف]=A778) *
            (IF($B$9="الكل",1, YEAR('ادخال البيانات'!$N$3:$N$1164) = VALUE($B$9))) *
            (IF($B$10="الكل",1, MONTH('ادخال البيانات'!$N$3:$N$1164) = VALUE($B$10))) *
            (IF($B$11="الكل",1, INT((DAY('ادخال البيانات'!$N$3:$N$1164)-1)/7)+1 = VALUE($B$11))),
            'ادخال البيانات'!$F$3:$F$1164
         ),
         ""
      ),
      IF(_xlpm.result="", "", _xlpm.result)
   )
)</f>
        <v/>
      </c>
      <c r="G778" s="27" t="str" cm="1">
        <f t="array" ref="G778">IF(
   A778="",
   "",
   _xlfn.LET(
      _xlpm.result,
      IFERROR(
         _xlfn.XLOOKUP(
            1,
            (Table8[رقم الصنف]=A778) *
            (IF($B$9="الكل",1, YEAR('ادخال البيانات'!$N$3:$N$1164)=VALUE($B$9))) *
            (IF($B$10="الكل",1, MONTH('ادخال البيانات'!$N$3:$N$1164)=VALUE($B$10))) *
            (IF($B$11="الكل",1, INT((DAY('ادخال البيانات'!$N$3:$N$1164)-1)/7)+1 = VALUE($B$11))),
            'ادخال البيانات'!$G$3:$G$1164
         ),
         ""
      ),
      IF(_xlpm.result="", "", _xlpm.result)
   )
)</f>
        <v/>
      </c>
      <c r="H778" s="27" t="str" cm="1">
        <f t="array" ref="H778">IF(
   A778="",
   "",
   _xlfn.LET(
      _xlpm.result,
      IFERROR(
         _xlfn.XLOOKUP(
            1,
            (Table8[رقم الصنف]=A778) *
            (IF($B$9="الكل",1, YEAR('ادخال البيانات'!$N$3:$N$1164)=VALUE($B$9))) *
            (IF($B$10="الكل",1, MONTH('ادخال البيانات'!$N$3:$N$1164)=VALUE($B$10))) *
            (IF($B$11="الكل",1, INT((DAY('ادخال البيانات'!$N$3:$N$1164)-1)/7)+1 = VALUE($B$11))),
            'ادخال البيانات'!$H$3:$H$1164
         ),
         ""
      ),
      IF(_xlpm.result="", "", _xlpm.result)
   )
)</f>
        <v/>
      </c>
      <c r="I778" s="27" t="str" cm="1">
        <f t="array" ref="I778">IF(
   A778="",
   "",
   _xlfn.LET(
      _xlpm.result,
      IFERROR(
         _xlfn.XLOOKUP(
            1,
            (Table8[رقم الصنف]=A778) *
            (IF($B$9="الكل",1, YEAR('ادخال البيانات'!$N$3:$N$1164)=VALUE($B$9))) *
            (IF($B$10="الكل",1, MONTH('ادخال البيانات'!$N$3:$N$1164)=VALUE($B$10))) *
            (IF($B$11="الكل",1, INT((DAY('ادخال البيانات'!$N$3:$N$1164)-1)/7)+1 = VALUE($B$11))),
            'ادخال البيانات'!$I$3:$I$1164
         ),
         ""
      ),
      IF(_xlpm.result="", "", _xlpm.result)
   )
)</f>
        <v/>
      </c>
      <c r="J778" s="27" t="str" cm="1">
        <f t="array" ref="J778">IF(
   A778="",
   "",
   _xlfn.LET(
      _xlpm.result,
      IFERROR(
         _xlfn.XLOOKUP(
            1,
            (Table8[رقم الصنف]=A778) *
            (IF($B$9="الكل",1, YEAR('ادخال البيانات'!$N$3:$N$1164)=VALUE($B$9))) *
            (IF($B$10="الكل",1, MONTH('ادخال البيانات'!$N$3:$N$1164)=VALUE($B$10))) *
            (IF($B$11="الكل",1, INT((DAY('ادخال البيانات'!$N$3:$N$1164)-1)/7)+1 = VALUE($B$11))),
            'ادخال البيانات'!$J$3:$J$1164
         ),
         ""
      ),
      IF(_xlpm.result="", "", _xlpm.result)
   )
)</f>
        <v/>
      </c>
      <c r="K778" s="27" t="str" cm="1">
        <f t="array" ref="K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8" s="27" t="str" cm="1">
        <f t="array" ref="L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8" s="27" t="str" cm="1">
        <f t="array" ref="M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8" s="28" t="str" cm="1">
        <f t="array" ref="N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8" s="28" t="str" cm="1">
        <f t="array" ref="O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8" s="27" t="str" cm="1">
        <f t="array" ref="P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Table8[جهة العطل]
         ),
         ""
      ),
      IF(_xlpm.result="", "", _xlpm.result)
   )
)</f>
        <v/>
      </c>
      <c r="Q778" s="27" t="str" cm="1">
        <f t="array" ref="Q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Table8[المركز]
         ),
         ""
      ),
      IF(_xlpm.result="", "", _xlpm.result)
   )
)</f>
        <v/>
      </c>
      <c r="R778" s="27" t="str" cm="1">
        <f t="array" ref="R778">IF(
   A778="",
   "",
   _xlfn.LET(
      _xlpm.result,
      IFERROR(
         _xlfn.XLOOKUP(
            1,
            (Table8[رقم الصنف]=A778) *
            (IF($B$9="الكل",1, YEAR('ادخال البيانات'!$N$3:$N$1164) = VALUE($B$9))) *
            (IF($B$10="الكل",1, MONTH('ادخال البيانات'!$N$3:$N$1164) = VALUE($B$10))) *
            (IF($B$11="الكل",1, INT((DAY('ادخال البيانات'!$N$3:$N$1164) - 1) / 7) + 1 = VALUE($B$11))),
            Table8[ملاحظة]
         ),
         ""
      ),
      IF(_xlpm.result="", "", _xlpm.result)
   )
)</f>
        <v/>
      </c>
      <c r="S778" s="46" t="str">
        <f t="shared" ca="1" si="12"/>
        <v/>
      </c>
    </row>
    <row r="779" spans="1:19" ht="15.6" thickTop="1" thickBot="1" x14ac:dyDescent="0.35">
      <c r="A779" s="39"/>
      <c r="B779" s="27" t="str" cm="1">
        <f t="array" ref="B779">IF(
   OR(A779="", $B$9="", $B$10="", $B$11=""),
   "",
   _xlfn.LET(
      _xlpm.result,
      IFERROR(
         _xlfn.XLOOKUP(
            1,
            (Table8[رقم الصنف]=A779)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79" s="27" t="str" cm="1">
        <f t="array" ref="C779">IF(
   A779="",
   "",
   _xlfn.LET(
      _xlpm.result,
      IFERROR(
         _xlfn.XLOOKUP(
            1,
            (Table8[رقم الصنف]=A779) *
            (IF($B$9="الكل",1, YEAR('ادخال البيانات'!$N$3:$N$1164) = VALUE($B$9))) *
            (IF($B$10="الكل",1, MONTH('ادخال البيانات'!$N$3:$N$1164) = VALUE($B$10))) *
            (IF($B$11="الكل",1, INT((DAY('ادخال البيانات'!$N$3:$N$1164)-1)/7)+1 = VALUE($B$11))),
            'ادخال البيانات'!$C$3:$C$1164
         ),
         ""
      ),
      IF(_xlpm.result="", "", _xlpm.result)
   )
)</f>
        <v/>
      </c>
      <c r="D779" s="27" t="str" cm="1">
        <f t="array" ref="D779">IF(
   OR(A779="", $B$9="", $B$10="", $B$11=""),
   "",
   _xlfn.LET(
      _xlpm.result,
      IFERROR(
         _xlfn.XLOOKUP(
            1,
            (Table8[رقم الصنف]=A779) *
            (IF($B$9="الكل",1, YEAR('ادخال البيانات'!$N$3:$N$1164)=VALUE($B$9))) *
            (IF($B$10="الكل",1, MONTH('ادخال البيانات'!$N$3:$N$1164)=VALUE($B$10))) *
            (IF($B$11="الكل",1, INT((DAY('ادخال البيانات'!$N$3:$N$1164)-1)/7)+1 = VALUE($B$11))),
            'ادخال البيانات'!$D$3:$D$1164
         ),
         ""
      ),
      IF(_xlpm.result="", "", _xlpm.result)
   )
)</f>
        <v/>
      </c>
      <c r="E779" s="27" t="str" cm="1">
        <f t="array" ref="E779">IF(
   A779="",
   "",
   _xlfn.LET(
      _xlpm.result,
      IFERROR(
         _xlfn.XLOOKUP(
            1,
            (Table8[رقم الصنف]=A779) *
            (IF($B$9="الكل",1, YEAR('ادخال البيانات'!$N$3:$N$1164)=VALUE($B$9))) *
            (IF($B$10="الكل",1, MONTH('ادخال البيانات'!$N$3:$N$1164)=VALUE($B$10))) *
            (IF($B$11="الكل",1, INT((DAY('ادخال البيانات'!$N$3:$N$1164)-1)/7)+1 = VALUE($B$11))),
            'ادخال البيانات'!$E$3:$E$1164
         ),
         ""
      ),
      IF(_xlpm.result="", "", _xlpm.result)
   )
)</f>
        <v/>
      </c>
      <c r="F779" s="27" t="str" cm="1">
        <f t="array" ref="F779">IF(
   A779="",
   "",
   _xlfn.LET(
      _xlpm.result,
      IFERROR(
         _xlfn.XLOOKUP(
            1,
            (Table8[رقم الصنف]=A779) *
            (IF($B$9="الكل",1, YEAR('ادخال البيانات'!$N$3:$N$1164) = VALUE($B$9))) *
            (IF($B$10="الكل",1, MONTH('ادخال البيانات'!$N$3:$N$1164) = VALUE($B$10))) *
            (IF($B$11="الكل",1, INT((DAY('ادخال البيانات'!$N$3:$N$1164)-1)/7)+1 = VALUE($B$11))),
            'ادخال البيانات'!$F$3:$F$1164
         ),
         ""
      ),
      IF(_xlpm.result="", "", _xlpm.result)
   )
)</f>
        <v/>
      </c>
      <c r="G779" s="27" t="str" cm="1">
        <f t="array" ref="G779">IF(
   A779="",
   "",
   _xlfn.LET(
      _xlpm.result,
      IFERROR(
         _xlfn.XLOOKUP(
            1,
            (Table8[رقم الصنف]=A779) *
            (IF($B$9="الكل",1, YEAR('ادخال البيانات'!$N$3:$N$1164)=VALUE($B$9))) *
            (IF($B$10="الكل",1, MONTH('ادخال البيانات'!$N$3:$N$1164)=VALUE($B$10))) *
            (IF($B$11="الكل",1, INT((DAY('ادخال البيانات'!$N$3:$N$1164)-1)/7)+1 = VALUE($B$11))),
            'ادخال البيانات'!$G$3:$G$1164
         ),
         ""
      ),
      IF(_xlpm.result="", "", _xlpm.result)
   )
)</f>
        <v/>
      </c>
      <c r="H779" s="27" t="str" cm="1">
        <f t="array" ref="H779">IF(
   A779="",
   "",
   _xlfn.LET(
      _xlpm.result,
      IFERROR(
         _xlfn.XLOOKUP(
            1,
            (Table8[رقم الصنف]=A779) *
            (IF($B$9="الكل",1, YEAR('ادخال البيانات'!$N$3:$N$1164)=VALUE($B$9))) *
            (IF($B$10="الكل",1, MONTH('ادخال البيانات'!$N$3:$N$1164)=VALUE($B$10))) *
            (IF($B$11="الكل",1, INT((DAY('ادخال البيانات'!$N$3:$N$1164)-1)/7)+1 = VALUE($B$11))),
            'ادخال البيانات'!$H$3:$H$1164
         ),
         ""
      ),
      IF(_xlpm.result="", "", _xlpm.result)
   )
)</f>
        <v/>
      </c>
      <c r="I779" s="27" t="str" cm="1">
        <f t="array" ref="I779">IF(
   A779="",
   "",
   _xlfn.LET(
      _xlpm.result,
      IFERROR(
         _xlfn.XLOOKUP(
            1,
            (Table8[رقم الصنف]=A779) *
            (IF($B$9="الكل",1, YEAR('ادخال البيانات'!$N$3:$N$1164)=VALUE($B$9))) *
            (IF($B$10="الكل",1, MONTH('ادخال البيانات'!$N$3:$N$1164)=VALUE($B$10))) *
            (IF($B$11="الكل",1, INT((DAY('ادخال البيانات'!$N$3:$N$1164)-1)/7)+1 = VALUE($B$11))),
            'ادخال البيانات'!$I$3:$I$1164
         ),
         ""
      ),
      IF(_xlpm.result="", "", _xlpm.result)
   )
)</f>
        <v/>
      </c>
      <c r="J779" s="27" t="str" cm="1">
        <f t="array" ref="J779">IF(
   A779="",
   "",
   _xlfn.LET(
      _xlpm.result,
      IFERROR(
         _xlfn.XLOOKUP(
            1,
            (Table8[رقم الصنف]=A779) *
            (IF($B$9="الكل",1, YEAR('ادخال البيانات'!$N$3:$N$1164)=VALUE($B$9))) *
            (IF($B$10="الكل",1, MONTH('ادخال البيانات'!$N$3:$N$1164)=VALUE($B$10))) *
            (IF($B$11="الكل",1, INT((DAY('ادخال البيانات'!$N$3:$N$1164)-1)/7)+1 = VALUE($B$11))),
            'ادخال البيانات'!$J$3:$J$1164
         ),
         ""
      ),
      IF(_xlpm.result="", "", _xlpm.result)
   )
)</f>
        <v/>
      </c>
      <c r="K779" s="27" t="str" cm="1">
        <f t="array" ref="K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79" s="27" t="str" cm="1">
        <f t="array" ref="L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79" s="27" t="str" cm="1">
        <f t="array" ref="M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79" s="28" t="str" cm="1">
        <f t="array" ref="N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79" s="28" t="str" cm="1">
        <f t="array" ref="O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79" s="27" t="str" cm="1">
        <f t="array" ref="P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Table8[جهة العطل]
         ),
         ""
      ),
      IF(_xlpm.result="", "", _xlpm.result)
   )
)</f>
        <v/>
      </c>
      <c r="Q779" s="27" t="str" cm="1">
        <f t="array" ref="Q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Table8[المركز]
         ),
         ""
      ),
      IF(_xlpm.result="", "", _xlpm.result)
   )
)</f>
        <v/>
      </c>
      <c r="R779" s="27" t="str" cm="1">
        <f t="array" ref="R779">IF(
   A779="",
   "",
   _xlfn.LET(
      _xlpm.result,
      IFERROR(
         _xlfn.XLOOKUP(
            1,
            (Table8[رقم الصنف]=A779) *
            (IF($B$9="الكل",1, YEAR('ادخال البيانات'!$N$3:$N$1164) = VALUE($B$9))) *
            (IF($B$10="الكل",1, MONTH('ادخال البيانات'!$N$3:$N$1164) = VALUE($B$10))) *
            (IF($B$11="الكل",1, INT((DAY('ادخال البيانات'!$N$3:$N$1164) - 1) / 7) + 1 = VALUE($B$11))),
            Table8[ملاحظة]
         ),
         ""
      ),
      IF(_xlpm.result="", "", _xlpm.result)
   )
)</f>
        <v/>
      </c>
      <c r="S779" s="46" t="str">
        <f t="shared" ca="1" si="12"/>
        <v/>
      </c>
    </row>
    <row r="780" spans="1:19" ht="15.6" thickTop="1" thickBot="1" x14ac:dyDescent="0.35">
      <c r="A780" s="39"/>
      <c r="B780" s="27" t="str" cm="1">
        <f t="array" ref="B780">IF(
   OR(A780="", $B$9="", $B$10="", $B$11=""),
   "",
   _xlfn.LET(
      _xlpm.result,
      IFERROR(
         _xlfn.XLOOKUP(
            1,
            (Table8[رقم الصنف]=A780)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0" s="27" t="str" cm="1">
        <f t="array" ref="C780">IF(
   A780="",
   "",
   _xlfn.LET(
      _xlpm.result,
      IFERROR(
         _xlfn.XLOOKUP(
            1,
            (Table8[رقم الصنف]=A780) *
            (IF($B$9="الكل",1, YEAR('ادخال البيانات'!$N$3:$N$1164) = VALUE($B$9))) *
            (IF($B$10="الكل",1, MONTH('ادخال البيانات'!$N$3:$N$1164) = VALUE($B$10))) *
            (IF($B$11="الكل",1, INT((DAY('ادخال البيانات'!$N$3:$N$1164)-1)/7)+1 = VALUE($B$11))),
            'ادخال البيانات'!$C$3:$C$1164
         ),
         ""
      ),
      IF(_xlpm.result="", "", _xlpm.result)
   )
)</f>
        <v/>
      </c>
      <c r="D780" s="27" t="str" cm="1">
        <f t="array" ref="D780">IF(
   OR(A780="", $B$9="", $B$10="", $B$11=""),
   "",
   _xlfn.LET(
      _xlpm.result,
      IFERROR(
         _xlfn.XLOOKUP(
            1,
            (Table8[رقم الصنف]=A780) *
            (IF($B$9="الكل",1, YEAR('ادخال البيانات'!$N$3:$N$1164)=VALUE($B$9))) *
            (IF($B$10="الكل",1, MONTH('ادخال البيانات'!$N$3:$N$1164)=VALUE($B$10))) *
            (IF($B$11="الكل",1, INT((DAY('ادخال البيانات'!$N$3:$N$1164)-1)/7)+1 = VALUE($B$11))),
            'ادخال البيانات'!$D$3:$D$1164
         ),
         ""
      ),
      IF(_xlpm.result="", "", _xlpm.result)
   )
)</f>
        <v/>
      </c>
      <c r="E780" s="27" t="str" cm="1">
        <f t="array" ref="E780">IF(
   A780="",
   "",
   _xlfn.LET(
      _xlpm.result,
      IFERROR(
         _xlfn.XLOOKUP(
            1,
            (Table8[رقم الصنف]=A780) *
            (IF($B$9="الكل",1, YEAR('ادخال البيانات'!$N$3:$N$1164)=VALUE($B$9))) *
            (IF($B$10="الكل",1, MONTH('ادخال البيانات'!$N$3:$N$1164)=VALUE($B$10))) *
            (IF($B$11="الكل",1, INT((DAY('ادخال البيانات'!$N$3:$N$1164)-1)/7)+1 = VALUE($B$11))),
            'ادخال البيانات'!$E$3:$E$1164
         ),
         ""
      ),
      IF(_xlpm.result="", "", _xlpm.result)
   )
)</f>
        <v/>
      </c>
      <c r="F780" s="27" t="str" cm="1">
        <f t="array" ref="F780">IF(
   A780="",
   "",
   _xlfn.LET(
      _xlpm.result,
      IFERROR(
         _xlfn.XLOOKUP(
            1,
            (Table8[رقم الصنف]=A780) *
            (IF($B$9="الكل",1, YEAR('ادخال البيانات'!$N$3:$N$1164) = VALUE($B$9))) *
            (IF($B$10="الكل",1, MONTH('ادخال البيانات'!$N$3:$N$1164) = VALUE($B$10))) *
            (IF($B$11="الكل",1, INT((DAY('ادخال البيانات'!$N$3:$N$1164)-1)/7)+1 = VALUE($B$11))),
            'ادخال البيانات'!$F$3:$F$1164
         ),
         ""
      ),
      IF(_xlpm.result="", "", _xlpm.result)
   )
)</f>
        <v/>
      </c>
      <c r="G780" s="27" t="str" cm="1">
        <f t="array" ref="G780">IF(
   A780="",
   "",
   _xlfn.LET(
      _xlpm.result,
      IFERROR(
         _xlfn.XLOOKUP(
            1,
            (Table8[رقم الصنف]=A780) *
            (IF($B$9="الكل",1, YEAR('ادخال البيانات'!$N$3:$N$1164)=VALUE($B$9))) *
            (IF($B$10="الكل",1, MONTH('ادخال البيانات'!$N$3:$N$1164)=VALUE($B$10))) *
            (IF($B$11="الكل",1, INT((DAY('ادخال البيانات'!$N$3:$N$1164)-1)/7)+1 = VALUE($B$11))),
            'ادخال البيانات'!$G$3:$G$1164
         ),
         ""
      ),
      IF(_xlpm.result="", "", _xlpm.result)
   )
)</f>
        <v/>
      </c>
      <c r="H780" s="27" t="str" cm="1">
        <f t="array" ref="H780">IF(
   A780="",
   "",
   _xlfn.LET(
      _xlpm.result,
      IFERROR(
         _xlfn.XLOOKUP(
            1,
            (Table8[رقم الصنف]=A780) *
            (IF($B$9="الكل",1, YEAR('ادخال البيانات'!$N$3:$N$1164)=VALUE($B$9))) *
            (IF($B$10="الكل",1, MONTH('ادخال البيانات'!$N$3:$N$1164)=VALUE($B$10))) *
            (IF($B$11="الكل",1, INT((DAY('ادخال البيانات'!$N$3:$N$1164)-1)/7)+1 = VALUE($B$11))),
            'ادخال البيانات'!$H$3:$H$1164
         ),
         ""
      ),
      IF(_xlpm.result="", "", _xlpm.result)
   )
)</f>
        <v/>
      </c>
      <c r="I780" s="27" t="str" cm="1">
        <f t="array" ref="I780">IF(
   A780="",
   "",
   _xlfn.LET(
      _xlpm.result,
      IFERROR(
         _xlfn.XLOOKUP(
            1,
            (Table8[رقم الصنف]=A780) *
            (IF($B$9="الكل",1, YEAR('ادخال البيانات'!$N$3:$N$1164)=VALUE($B$9))) *
            (IF($B$10="الكل",1, MONTH('ادخال البيانات'!$N$3:$N$1164)=VALUE($B$10))) *
            (IF($B$11="الكل",1, INT((DAY('ادخال البيانات'!$N$3:$N$1164)-1)/7)+1 = VALUE($B$11))),
            'ادخال البيانات'!$I$3:$I$1164
         ),
         ""
      ),
      IF(_xlpm.result="", "", _xlpm.result)
   )
)</f>
        <v/>
      </c>
      <c r="J780" s="27" t="str" cm="1">
        <f t="array" ref="J780">IF(
   A780="",
   "",
   _xlfn.LET(
      _xlpm.result,
      IFERROR(
         _xlfn.XLOOKUP(
            1,
            (Table8[رقم الصنف]=A780) *
            (IF($B$9="الكل",1, YEAR('ادخال البيانات'!$N$3:$N$1164)=VALUE($B$9))) *
            (IF($B$10="الكل",1, MONTH('ادخال البيانات'!$N$3:$N$1164)=VALUE($B$10))) *
            (IF($B$11="الكل",1, INT((DAY('ادخال البيانات'!$N$3:$N$1164)-1)/7)+1 = VALUE($B$11))),
            'ادخال البيانات'!$J$3:$J$1164
         ),
         ""
      ),
      IF(_xlpm.result="", "", _xlpm.result)
   )
)</f>
        <v/>
      </c>
      <c r="K780" s="27" t="str" cm="1">
        <f t="array" ref="K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0" s="27" t="str" cm="1">
        <f t="array" ref="L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0" s="27" t="str" cm="1">
        <f t="array" ref="M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0" s="28" t="str" cm="1">
        <f t="array" ref="N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0" s="28" t="str" cm="1">
        <f t="array" ref="O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0" s="27" t="str" cm="1">
        <f t="array" ref="P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Table8[جهة العطل]
         ),
         ""
      ),
      IF(_xlpm.result="", "", _xlpm.result)
   )
)</f>
        <v/>
      </c>
      <c r="Q780" s="27" t="str" cm="1">
        <f t="array" ref="Q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Table8[المركز]
         ),
         ""
      ),
      IF(_xlpm.result="", "", _xlpm.result)
   )
)</f>
        <v/>
      </c>
      <c r="R780" s="27" t="str" cm="1">
        <f t="array" ref="R780">IF(
   A780="",
   "",
   _xlfn.LET(
      _xlpm.result,
      IFERROR(
         _xlfn.XLOOKUP(
            1,
            (Table8[رقم الصنف]=A780) *
            (IF($B$9="الكل",1, YEAR('ادخال البيانات'!$N$3:$N$1164) = VALUE($B$9))) *
            (IF($B$10="الكل",1, MONTH('ادخال البيانات'!$N$3:$N$1164) = VALUE($B$10))) *
            (IF($B$11="الكل",1, INT((DAY('ادخال البيانات'!$N$3:$N$1164) - 1) / 7) + 1 = VALUE($B$11))),
            Table8[ملاحظة]
         ),
         ""
      ),
      IF(_xlpm.result="", "", _xlpm.result)
   )
)</f>
        <v/>
      </c>
      <c r="S780" s="46" t="str">
        <f t="shared" ref="S780:S843" ca="1" si="13">IF(
   L780="تم الاصلاح",
   "تم الاصلاح",
   IF(N780="","", TODAY()-N780)
)</f>
        <v/>
      </c>
    </row>
    <row r="781" spans="1:19" ht="15.6" thickTop="1" thickBot="1" x14ac:dyDescent="0.35">
      <c r="A781" s="39"/>
      <c r="B781" s="27" t="str" cm="1">
        <f t="array" ref="B781">IF(
   OR(A781="", $B$9="", $B$10="", $B$11=""),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1" s="27" t="str" cm="1">
        <f t="array" ref="C781">IF(
   A781="",
   "",
   _xlfn.LET(
      _xlpm.result,
      IFERROR(
         _xlfn.XLOOKUP(
            1,
            (Table8[رقم الصنف]=A781) *
            (IF($B$9="الكل",1, YEAR('ادخال البيانات'!$N$3:$N$1164) = VALUE($B$9))) *
            (IF($B$10="الكل",1, MONTH('ادخال البيانات'!$N$3:$N$1164) = VALUE($B$10))) *
            (IF($B$11="الكل",1, INT((DAY('ادخال البيانات'!$N$3:$N$1164)-1)/7)+1 = VALUE($B$11))),
            'ادخال البيانات'!$C$3:$C$1164
         ),
         ""
      ),
      IF(_xlpm.result="", "", _xlpm.result)
   )
)</f>
        <v/>
      </c>
      <c r="D781" s="27" t="str" cm="1">
        <f t="array" ref="D781">IF(
   OR(A781="", $B$9="", $B$10="", $B$11=""),
   "",
   _xlfn.LET(
      _xlpm.result,
      IFERROR(
         _xlfn.XLOOKUP(
            1,
            (Table8[رقم الصنف]=A781) *
            (IF($B$9="الكل",1, YEAR('ادخال البيانات'!$N$3:$N$1164)=VALUE($B$9))) *
            (IF($B$10="الكل",1, MONTH('ادخال البيانات'!$N$3:$N$1164)=VALUE($B$10))) *
            (IF($B$11="الكل",1, INT((DAY('ادخال البيانات'!$N$3:$N$1164)-1)/7)+1 = VALUE($B$11))),
            'ادخال البيانات'!$D$3:$D$1164
         ),
         ""
      ),
      IF(_xlpm.result="", "", _xlpm.result)
   )
)</f>
        <v/>
      </c>
      <c r="E781" s="27" t="str" cm="1">
        <f t="array" ref="E781">IF(
   A781="",
   "",
   _xlfn.LET(
      _xlpm.result,
      IFERROR(
         _xlfn.XLOOKUP(
            1,
            (Table8[رقم الصنف]=A781) *
            (IF($B$9="الكل",1, YEAR('ادخال البيانات'!$N$3:$N$1164)=VALUE($B$9))) *
            (IF($B$10="الكل",1, MONTH('ادخال البيانات'!$N$3:$N$1164)=VALUE($B$10))) *
            (IF($B$11="الكل",1, INT((DAY('ادخال البيانات'!$N$3:$N$1164)-1)/7)+1 = VALUE($B$11))),
            'ادخال البيانات'!$E$3:$E$1164
         ),
         ""
      ),
      IF(_xlpm.result="", "", _xlpm.result)
   )
)</f>
        <v/>
      </c>
      <c r="F781" s="27" t="str" cm="1">
        <f t="array" ref="F781">IF(
   A781="",
   "",
   _xlfn.LET(
      _xlpm.result,
      IFERROR(
         _xlfn.XLOOKUP(
            1,
            (Table8[رقم الصنف]=A781) *
            (IF($B$9="الكل",1, YEAR('ادخال البيانات'!$N$3:$N$1164) = VALUE($B$9))) *
            (IF($B$10="الكل",1, MONTH('ادخال البيانات'!$N$3:$N$1164) = VALUE($B$10))) *
            (IF($B$11="الكل",1, INT((DAY('ادخال البيانات'!$N$3:$N$1164)-1)/7)+1 = VALUE($B$11))),
            'ادخال البيانات'!$F$3:$F$1164
         ),
         ""
      ),
      IF(_xlpm.result="", "", _xlpm.result)
   )
)</f>
        <v/>
      </c>
      <c r="G781" s="27" t="str" cm="1">
        <f t="array" ref="G781">IF(
   A781="",
   "",
   _xlfn.LET(
      _xlpm.result,
      IFERROR(
         _xlfn.XLOOKUP(
            1,
            (Table8[رقم الصنف]=A781) *
            (IF($B$9="الكل",1, YEAR('ادخال البيانات'!$N$3:$N$1164)=VALUE($B$9))) *
            (IF($B$10="الكل",1, MONTH('ادخال البيانات'!$N$3:$N$1164)=VALUE($B$10))) *
            (IF($B$11="الكل",1, INT((DAY('ادخال البيانات'!$N$3:$N$1164)-1)/7)+1 = VALUE($B$11))),
            'ادخال البيانات'!$G$3:$G$1164
         ),
         ""
      ),
      IF(_xlpm.result="", "", _xlpm.result)
   )
)</f>
        <v/>
      </c>
      <c r="H781" s="27" t="str" cm="1">
        <f t="array" ref="H781">IF(
   A781="",
   "",
   _xlfn.LET(
      _xlpm.result,
      IFERROR(
         _xlfn.XLOOKUP(
            1,
            (Table8[رقم الصنف]=A781) *
            (IF($B$9="الكل",1, YEAR('ادخال البيانات'!$N$3:$N$1164)=VALUE($B$9))) *
            (IF($B$10="الكل",1, MONTH('ادخال البيانات'!$N$3:$N$1164)=VALUE($B$10))) *
            (IF($B$11="الكل",1, INT((DAY('ادخال البيانات'!$N$3:$N$1164)-1)/7)+1 = VALUE($B$11))),
            'ادخال البيانات'!$H$3:$H$1164
         ),
         ""
      ),
      IF(_xlpm.result="", "", _xlpm.result)
   )
)</f>
        <v/>
      </c>
      <c r="I781" s="27" t="str" cm="1">
        <f t="array" ref="I781">IF(
   A781="",
   "",
   _xlfn.LET(
      _xlpm.result,
      IFERROR(
         _xlfn.XLOOKUP(
            1,
            (Table8[رقم الصنف]=A781) *
            (IF($B$9="الكل",1, YEAR('ادخال البيانات'!$N$3:$N$1164)=VALUE($B$9))) *
            (IF($B$10="الكل",1, MONTH('ادخال البيانات'!$N$3:$N$1164)=VALUE($B$10))) *
            (IF($B$11="الكل",1, INT((DAY('ادخال البيانات'!$N$3:$N$1164)-1)/7)+1 = VALUE($B$11))),
            'ادخال البيانات'!$I$3:$I$1164
         ),
         ""
      ),
      IF(_xlpm.result="", "", _xlpm.result)
   )
)</f>
        <v/>
      </c>
      <c r="J781" s="27" t="str" cm="1">
        <f t="array" ref="J781">IF(
   A781="",
   "",
   _xlfn.LET(
      _xlpm.result,
      IFERROR(
         _xlfn.XLOOKUP(
            1,
            (Table8[رقم الصنف]=A781) *
            (IF($B$9="الكل",1, YEAR('ادخال البيانات'!$N$3:$N$1164)=VALUE($B$9))) *
            (IF($B$10="الكل",1, MONTH('ادخال البيانات'!$N$3:$N$1164)=VALUE($B$10))) *
            (IF($B$11="الكل",1, INT((DAY('ادخال البيانات'!$N$3:$N$1164)-1)/7)+1 = VALUE($B$11))),
            'ادخال البيانات'!$J$3:$J$1164
         ),
         ""
      ),
      IF(_xlpm.result="", "", _xlpm.result)
   )
)</f>
        <v/>
      </c>
      <c r="K781" s="27" t="str" cm="1">
        <f t="array" ref="K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1" s="27" t="str" cm="1">
        <f t="array" ref="L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1" s="27" t="str" cm="1">
        <f t="array" ref="M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1" s="28" t="str" cm="1">
        <f t="array" ref="N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1" s="28" t="str" cm="1">
        <f t="array" ref="O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1" s="27" t="str" cm="1">
        <f t="array" ref="P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Table8[جهة العطل]
         ),
         ""
      ),
      IF(_xlpm.result="", "", _xlpm.result)
   )
)</f>
        <v/>
      </c>
      <c r="Q781" s="27" t="str" cm="1">
        <f t="array" ref="Q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Table8[المركز]
         ),
         ""
      ),
      IF(_xlpm.result="", "", _xlpm.result)
   )
)</f>
        <v/>
      </c>
      <c r="R781" s="27" t="str" cm="1">
        <f t="array" ref="R781">IF(
   A781="",
   "",
   _xlfn.LET(
      _xlpm.result,
      IFERROR(
         _xlfn.XLOOKUP(
            1,
            (Table8[رقم الصنف]=A781) *
            (IF($B$9="الكل",1, YEAR('ادخال البيانات'!$N$3:$N$1164) = VALUE($B$9))) *
            (IF($B$10="الكل",1, MONTH('ادخال البيانات'!$N$3:$N$1164) = VALUE($B$10))) *
            (IF($B$11="الكل",1, INT((DAY('ادخال البيانات'!$N$3:$N$1164) - 1) / 7) + 1 = VALUE($B$11))),
            Table8[ملاحظة]
         ),
         ""
      ),
      IF(_xlpm.result="", "", _xlpm.result)
   )
)</f>
        <v/>
      </c>
      <c r="S781" s="46" t="str">
        <f t="shared" ca="1" si="13"/>
        <v/>
      </c>
    </row>
    <row r="782" spans="1:19" ht="15.6" thickTop="1" thickBot="1" x14ac:dyDescent="0.35">
      <c r="A782" s="39"/>
      <c r="B782" s="27" t="str" cm="1">
        <f t="array" ref="B782">IF(
   OR(A782="", $B$9="", $B$10="", $B$11=""),
   "",
   _xlfn.LET(
      _xlpm.result,
      IFERROR(
         _xlfn.XLOOKUP(
            1,
            (Table8[رقم الصنف]=A782)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2" s="27" t="str" cm="1">
        <f t="array" ref="C782">IF(
   A782="",
   "",
   _xlfn.LET(
      _xlpm.result,
      IFERROR(
         _xlfn.XLOOKUP(
            1,
            (Table8[رقم الصنف]=A782) *
            (IF($B$9="الكل",1, YEAR('ادخال البيانات'!$N$3:$N$1164) = VALUE($B$9))) *
            (IF($B$10="الكل",1, MONTH('ادخال البيانات'!$N$3:$N$1164) = VALUE($B$10))) *
            (IF($B$11="الكل",1, INT((DAY('ادخال البيانات'!$N$3:$N$1164)-1)/7)+1 = VALUE($B$11))),
            'ادخال البيانات'!$C$3:$C$1164
         ),
         ""
      ),
      IF(_xlpm.result="", "", _xlpm.result)
   )
)</f>
        <v/>
      </c>
      <c r="D782" s="27" t="str" cm="1">
        <f t="array" ref="D782">IF(
   OR(A782="", $B$9="", $B$10="", $B$11=""),
   "",
   _xlfn.LET(
      _xlpm.result,
      IFERROR(
         _xlfn.XLOOKUP(
            1,
            (Table8[رقم الصنف]=A782) *
            (IF($B$9="الكل",1, YEAR('ادخال البيانات'!$N$3:$N$1164)=VALUE($B$9))) *
            (IF($B$10="الكل",1, MONTH('ادخال البيانات'!$N$3:$N$1164)=VALUE($B$10))) *
            (IF($B$11="الكل",1, INT((DAY('ادخال البيانات'!$N$3:$N$1164)-1)/7)+1 = VALUE($B$11))),
            'ادخال البيانات'!$D$3:$D$1164
         ),
         ""
      ),
      IF(_xlpm.result="", "", _xlpm.result)
   )
)</f>
        <v/>
      </c>
      <c r="E782" s="27" t="str" cm="1">
        <f t="array" ref="E782">IF(
   A782="",
   "",
   _xlfn.LET(
      _xlpm.result,
      IFERROR(
         _xlfn.XLOOKUP(
            1,
            (Table8[رقم الصنف]=A782) *
            (IF($B$9="الكل",1, YEAR('ادخال البيانات'!$N$3:$N$1164)=VALUE($B$9))) *
            (IF($B$10="الكل",1, MONTH('ادخال البيانات'!$N$3:$N$1164)=VALUE($B$10))) *
            (IF($B$11="الكل",1, INT((DAY('ادخال البيانات'!$N$3:$N$1164)-1)/7)+1 = VALUE($B$11))),
            'ادخال البيانات'!$E$3:$E$1164
         ),
         ""
      ),
      IF(_xlpm.result="", "", _xlpm.result)
   )
)</f>
        <v/>
      </c>
      <c r="F782" s="27" t="str" cm="1">
        <f t="array" ref="F782">IF(
   A782="",
   "",
   _xlfn.LET(
      _xlpm.result,
      IFERROR(
         _xlfn.XLOOKUP(
            1,
            (Table8[رقم الصنف]=A782) *
            (IF($B$9="الكل",1, YEAR('ادخال البيانات'!$N$3:$N$1164) = VALUE($B$9))) *
            (IF($B$10="الكل",1, MONTH('ادخال البيانات'!$N$3:$N$1164) = VALUE($B$10))) *
            (IF($B$11="الكل",1, INT((DAY('ادخال البيانات'!$N$3:$N$1164)-1)/7)+1 = VALUE($B$11))),
            'ادخال البيانات'!$F$3:$F$1164
         ),
         ""
      ),
      IF(_xlpm.result="", "", _xlpm.result)
   )
)</f>
        <v/>
      </c>
      <c r="G782" s="27" t="str" cm="1">
        <f t="array" ref="G782">IF(
   A782="",
   "",
   _xlfn.LET(
      _xlpm.result,
      IFERROR(
         _xlfn.XLOOKUP(
            1,
            (Table8[رقم الصنف]=A782) *
            (IF($B$9="الكل",1, YEAR('ادخال البيانات'!$N$3:$N$1164)=VALUE($B$9))) *
            (IF($B$10="الكل",1, MONTH('ادخال البيانات'!$N$3:$N$1164)=VALUE($B$10))) *
            (IF($B$11="الكل",1, INT((DAY('ادخال البيانات'!$N$3:$N$1164)-1)/7)+1 = VALUE($B$11))),
            'ادخال البيانات'!$G$3:$G$1164
         ),
         ""
      ),
      IF(_xlpm.result="", "", _xlpm.result)
   )
)</f>
        <v/>
      </c>
      <c r="H782" s="27" t="str" cm="1">
        <f t="array" ref="H782">IF(
   A782="",
   "",
   _xlfn.LET(
      _xlpm.result,
      IFERROR(
         _xlfn.XLOOKUP(
            1,
            (Table8[رقم الصنف]=A782) *
            (IF($B$9="الكل",1, YEAR('ادخال البيانات'!$N$3:$N$1164)=VALUE($B$9))) *
            (IF($B$10="الكل",1, MONTH('ادخال البيانات'!$N$3:$N$1164)=VALUE($B$10))) *
            (IF($B$11="الكل",1, INT((DAY('ادخال البيانات'!$N$3:$N$1164)-1)/7)+1 = VALUE($B$11))),
            'ادخال البيانات'!$H$3:$H$1164
         ),
         ""
      ),
      IF(_xlpm.result="", "", _xlpm.result)
   )
)</f>
        <v/>
      </c>
      <c r="I782" s="27" t="str" cm="1">
        <f t="array" ref="I782">IF(
   A782="",
   "",
   _xlfn.LET(
      _xlpm.result,
      IFERROR(
         _xlfn.XLOOKUP(
            1,
            (Table8[رقم الصنف]=A782) *
            (IF($B$9="الكل",1, YEAR('ادخال البيانات'!$N$3:$N$1164)=VALUE($B$9))) *
            (IF($B$10="الكل",1, MONTH('ادخال البيانات'!$N$3:$N$1164)=VALUE($B$10))) *
            (IF($B$11="الكل",1, INT((DAY('ادخال البيانات'!$N$3:$N$1164)-1)/7)+1 = VALUE($B$11))),
            'ادخال البيانات'!$I$3:$I$1164
         ),
         ""
      ),
      IF(_xlpm.result="", "", _xlpm.result)
   )
)</f>
        <v/>
      </c>
      <c r="J782" s="27" t="str" cm="1">
        <f t="array" ref="J782">IF(
   A782="",
   "",
   _xlfn.LET(
      _xlpm.result,
      IFERROR(
         _xlfn.XLOOKUP(
            1,
            (Table8[رقم الصنف]=A782) *
            (IF($B$9="الكل",1, YEAR('ادخال البيانات'!$N$3:$N$1164)=VALUE($B$9))) *
            (IF($B$10="الكل",1, MONTH('ادخال البيانات'!$N$3:$N$1164)=VALUE($B$10))) *
            (IF($B$11="الكل",1, INT((DAY('ادخال البيانات'!$N$3:$N$1164)-1)/7)+1 = VALUE($B$11))),
            'ادخال البيانات'!$J$3:$J$1164
         ),
         ""
      ),
      IF(_xlpm.result="", "", _xlpm.result)
   )
)</f>
        <v/>
      </c>
      <c r="K782" s="27" t="str" cm="1">
        <f t="array" ref="K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2" s="27" t="str" cm="1">
        <f t="array" ref="L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2" s="27" t="str" cm="1">
        <f t="array" ref="M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2" s="28" t="str" cm="1">
        <f t="array" ref="N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2" s="28" t="str" cm="1">
        <f t="array" ref="O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2" s="27" t="str" cm="1">
        <f t="array" ref="P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Table8[جهة العطل]
         ),
         ""
      ),
      IF(_xlpm.result="", "", _xlpm.result)
   )
)</f>
        <v/>
      </c>
      <c r="Q782" s="27" t="str" cm="1">
        <f t="array" ref="Q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Table8[المركز]
         ),
         ""
      ),
      IF(_xlpm.result="", "", _xlpm.result)
   )
)</f>
        <v/>
      </c>
      <c r="R782" s="27" t="str" cm="1">
        <f t="array" ref="R782">IF(
   A782="",
   "",
   _xlfn.LET(
      _xlpm.result,
      IFERROR(
         _xlfn.XLOOKUP(
            1,
            (Table8[رقم الصنف]=A782) *
            (IF($B$9="الكل",1, YEAR('ادخال البيانات'!$N$3:$N$1164) = VALUE($B$9))) *
            (IF($B$10="الكل",1, MONTH('ادخال البيانات'!$N$3:$N$1164) = VALUE($B$10))) *
            (IF($B$11="الكل",1, INT((DAY('ادخال البيانات'!$N$3:$N$1164) - 1) / 7) + 1 = VALUE($B$11))),
            Table8[ملاحظة]
         ),
         ""
      ),
      IF(_xlpm.result="", "", _xlpm.result)
   )
)</f>
        <v/>
      </c>
      <c r="S782" s="46" t="str">
        <f t="shared" ca="1" si="13"/>
        <v/>
      </c>
    </row>
    <row r="783" spans="1:19" ht="15.6" thickTop="1" thickBot="1" x14ac:dyDescent="0.35">
      <c r="A783" s="39"/>
      <c r="B783" s="27" t="str" cm="1">
        <f t="array" ref="B783">IF(
   OR(A783="", $B$9="", $B$10="", $B$11=""),
   "",
   _xlfn.LET(
      _xlpm.result,
      IFERROR(
         _xlfn.XLOOKUP(
            1,
            (Table8[رقم الصنف]=A783)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3" s="27" t="str" cm="1">
        <f t="array" ref="C783">IF(
   A783="",
   "",
   _xlfn.LET(
      _xlpm.result,
      IFERROR(
         _xlfn.XLOOKUP(
            1,
            (Table8[رقم الصنف]=A783) *
            (IF($B$9="الكل",1, YEAR('ادخال البيانات'!$N$3:$N$1164) = VALUE($B$9))) *
            (IF($B$10="الكل",1, MONTH('ادخال البيانات'!$N$3:$N$1164) = VALUE($B$10))) *
            (IF($B$11="الكل",1, INT((DAY('ادخال البيانات'!$N$3:$N$1164)-1)/7)+1 = VALUE($B$11))),
            'ادخال البيانات'!$C$3:$C$1164
         ),
         ""
      ),
      IF(_xlpm.result="", "", _xlpm.result)
   )
)</f>
        <v/>
      </c>
      <c r="D783" s="27" t="str" cm="1">
        <f t="array" ref="D783">IF(
   OR(A783="", $B$9="", $B$10="", $B$11=""),
   "",
   _xlfn.LET(
      _xlpm.result,
      IFERROR(
         _xlfn.XLOOKUP(
            1,
            (Table8[رقم الصنف]=A783) *
            (IF($B$9="الكل",1, YEAR('ادخال البيانات'!$N$3:$N$1164)=VALUE($B$9))) *
            (IF($B$10="الكل",1, MONTH('ادخال البيانات'!$N$3:$N$1164)=VALUE($B$10))) *
            (IF($B$11="الكل",1, INT((DAY('ادخال البيانات'!$N$3:$N$1164)-1)/7)+1 = VALUE($B$11))),
            'ادخال البيانات'!$D$3:$D$1164
         ),
         ""
      ),
      IF(_xlpm.result="", "", _xlpm.result)
   )
)</f>
        <v/>
      </c>
      <c r="E783" s="27" t="str" cm="1">
        <f t="array" ref="E783">IF(
   A783="",
   "",
   _xlfn.LET(
      _xlpm.result,
      IFERROR(
         _xlfn.XLOOKUP(
            1,
            (Table8[رقم الصنف]=A783) *
            (IF($B$9="الكل",1, YEAR('ادخال البيانات'!$N$3:$N$1164)=VALUE($B$9))) *
            (IF($B$10="الكل",1, MONTH('ادخال البيانات'!$N$3:$N$1164)=VALUE($B$10))) *
            (IF($B$11="الكل",1, INT((DAY('ادخال البيانات'!$N$3:$N$1164)-1)/7)+1 = VALUE($B$11))),
            'ادخال البيانات'!$E$3:$E$1164
         ),
         ""
      ),
      IF(_xlpm.result="", "", _xlpm.result)
   )
)</f>
        <v/>
      </c>
      <c r="F783" s="27" t="str" cm="1">
        <f t="array" ref="F783">IF(
   A783="",
   "",
   _xlfn.LET(
      _xlpm.result,
      IFERROR(
         _xlfn.XLOOKUP(
            1,
            (Table8[رقم الصنف]=A783) *
            (IF($B$9="الكل",1, YEAR('ادخال البيانات'!$N$3:$N$1164) = VALUE($B$9))) *
            (IF($B$10="الكل",1, MONTH('ادخال البيانات'!$N$3:$N$1164) = VALUE($B$10))) *
            (IF($B$11="الكل",1, INT((DAY('ادخال البيانات'!$N$3:$N$1164)-1)/7)+1 = VALUE($B$11))),
            'ادخال البيانات'!$F$3:$F$1164
         ),
         ""
      ),
      IF(_xlpm.result="", "", _xlpm.result)
   )
)</f>
        <v/>
      </c>
      <c r="G783" s="27" t="str" cm="1">
        <f t="array" ref="G783">IF(
   A783="",
   "",
   _xlfn.LET(
      _xlpm.result,
      IFERROR(
         _xlfn.XLOOKUP(
            1,
            (Table8[رقم الصنف]=A783) *
            (IF($B$9="الكل",1, YEAR('ادخال البيانات'!$N$3:$N$1164)=VALUE($B$9))) *
            (IF($B$10="الكل",1, MONTH('ادخال البيانات'!$N$3:$N$1164)=VALUE($B$10))) *
            (IF($B$11="الكل",1, INT((DAY('ادخال البيانات'!$N$3:$N$1164)-1)/7)+1 = VALUE($B$11))),
            'ادخال البيانات'!$G$3:$G$1164
         ),
         ""
      ),
      IF(_xlpm.result="", "", _xlpm.result)
   )
)</f>
        <v/>
      </c>
      <c r="H783" s="27" t="str" cm="1">
        <f t="array" ref="H783">IF(
   A783="",
   "",
   _xlfn.LET(
      _xlpm.result,
      IFERROR(
         _xlfn.XLOOKUP(
            1,
            (Table8[رقم الصنف]=A783) *
            (IF($B$9="الكل",1, YEAR('ادخال البيانات'!$N$3:$N$1164)=VALUE($B$9))) *
            (IF($B$10="الكل",1, MONTH('ادخال البيانات'!$N$3:$N$1164)=VALUE($B$10))) *
            (IF($B$11="الكل",1, INT((DAY('ادخال البيانات'!$N$3:$N$1164)-1)/7)+1 = VALUE($B$11))),
            'ادخال البيانات'!$H$3:$H$1164
         ),
         ""
      ),
      IF(_xlpm.result="", "", _xlpm.result)
   )
)</f>
        <v/>
      </c>
      <c r="I783" s="27" t="str" cm="1">
        <f t="array" ref="I783">IF(
   A783="",
   "",
   _xlfn.LET(
      _xlpm.result,
      IFERROR(
         _xlfn.XLOOKUP(
            1,
            (Table8[رقم الصنف]=A783) *
            (IF($B$9="الكل",1, YEAR('ادخال البيانات'!$N$3:$N$1164)=VALUE($B$9))) *
            (IF($B$10="الكل",1, MONTH('ادخال البيانات'!$N$3:$N$1164)=VALUE($B$10))) *
            (IF($B$11="الكل",1, INT((DAY('ادخال البيانات'!$N$3:$N$1164)-1)/7)+1 = VALUE($B$11))),
            'ادخال البيانات'!$I$3:$I$1164
         ),
         ""
      ),
      IF(_xlpm.result="", "", _xlpm.result)
   )
)</f>
        <v/>
      </c>
      <c r="J783" s="27" t="str" cm="1">
        <f t="array" ref="J783">IF(
   A783="",
   "",
   _xlfn.LET(
      _xlpm.result,
      IFERROR(
         _xlfn.XLOOKUP(
            1,
            (Table8[رقم الصنف]=A783) *
            (IF($B$9="الكل",1, YEAR('ادخال البيانات'!$N$3:$N$1164)=VALUE($B$9))) *
            (IF($B$10="الكل",1, MONTH('ادخال البيانات'!$N$3:$N$1164)=VALUE($B$10))) *
            (IF($B$11="الكل",1, INT((DAY('ادخال البيانات'!$N$3:$N$1164)-1)/7)+1 = VALUE($B$11))),
            'ادخال البيانات'!$J$3:$J$1164
         ),
         ""
      ),
      IF(_xlpm.result="", "", _xlpm.result)
   )
)</f>
        <v/>
      </c>
      <c r="K783" s="27" t="str" cm="1">
        <f t="array" ref="K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3" s="27" t="str" cm="1">
        <f t="array" ref="L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3" s="27" t="str" cm="1">
        <f t="array" ref="M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3" s="28" t="str" cm="1">
        <f t="array" ref="N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3" s="28" t="str" cm="1">
        <f t="array" ref="O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3" s="27" t="str" cm="1">
        <f t="array" ref="P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Table8[جهة العطل]
         ),
         ""
      ),
      IF(_xlpm.result="", "", _xlpm.result)
   )
)</f>
        <v/>
      </c>
      <c r="Q783" s="27" t="str" cm="1">
        <f t="array" ref="Q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Table8[المركز]
         ),
         ""
      ),
      IF(_xlpm.result="", "", _xlpm.result)
   )
)</f>
        <v/>
      </c>
      <c r="R783" s="27" t="str" cm="1">
        <f t="array" ref="R783">IF(
   A783="",
   "",
   _xlfn.LET(
      _xlpm.result,
      IFERROR(
         _xlfn.XLOOKUP(
            1,
            (Table8[رقم الصنف]=A783) *
            (IF($B$9="الكل",1, YEAR('ادخال البيانات'!$N$3:$N$1164) = VALUE($B$9))) *
            (IF($B$10="الكل",1, MONTH('ادخال البيانات'!$N$3:$N$1164) = VALUE($B$10))) *
            (IF($B$11="الكل",1, INT((DAY('ادخال البيانات'!$N$3:$N$1164) - 1) / 7) + 1 = VALUE($B$11))),
            Table8[ملاحظة]
         ),
         ""
      ),
      IF(_xlpm.result="", "", _xlpm.result)
   )
)</f>
        <v/>
      </c>
      <c r="S783" s="46" t="str">
        <f t="shared" ca="1" si="13"/>
        <v/>
      </c>
    </row>
    <row r="784" spans="1:19" ht="15.6" thickTop="1" thickBot="1" x14ac:dyDescent="0.35">
      <c r="A784" s="39"/>
      <c r="B784" s="27" t="str" cm="1">
        <f t="array" ref="B784">IF(
   OR(A784="", $B$9="", $B$10="", $B$11=""),
   "",
   _xlfn.LET(
      _xlpm.result,
      IFERROR(
         _xlfn.XLOOKUP(
            1,
            (Table8[رقم الصنف]=A784)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4" s="27" t="str" cm="1">
        <f t="array" ref="C784">IF(
   A784="",
   "",
   _xlfn.LET(
      _xlpm.result,
      IFERROR(
         _xlfn.XLOOKUP(
            1,
            (Table8[رقم الصنف]=A784) *
            (IF($B$9="الكل",1, YEAR('ادخال البيانات'!$N$3:$N$1164) = VALUE($B$9))) *
            (IF($B$10="الكل",1, MONTH('ادخال البيانات'!$N$3:$N$1164) = VALUE($B$10))) *
            (IF($B$11="الكل",1, INT((DAY('ادخال البيانات'!$N$3:$N$1164)-1)/7)+1 = VALUE($B$11))),
            'ادخال البيانات'!$C$3:$C$1164
         ),
         ""
      ),
      IF(_xlpm.result="", "", _xlpm.result)
   )
)</f>
        <v/>
      </c>
      <c r="D784" s="27" t="str" cm="1">
        <f t="array" ref="D784">IF(
   OR(A784="", $B$9="", $B$10="", $B$11=""),
   "",
   _xlfn.LET(
      _xlpm.result,
      IFERROR(
         _xlfn.XLOOKUP(
            1,
            (Table8[رقم الصنف]=A784) *
            (IF($B$9="الكل",1, YEAR('ادخال البيانات'!$N$3:$N$1164)=VALUE($B$9))) *
            (IF($B$10="الكل",1, MONTH('ادخال البيانات'!$N$3:$N$1164)=VALUE($B$10))) *
            (IF($B$11="الكل",1, INT((DAY('ادخال البيانات'!$N$3:$N$1164)-1)/7)+1 = VALUE($B$11))),
            'ادخال البيانات'!$D$3:$D$1164
         ),
         ""
      ),
      IF(_xlpm.result="", "", _xlpm.result)
   )
)</f>
        <v/>
      </c>
      <c r="E784" s="27" t="str" cm="1">
        <f t="array" ref="E784">IF(
   A784="",
   "",
   _xlfn.LET(
      _xlpm.result,
      IFERROR(
         _xlfn.XLOOKUP(
            1,
            (Table8[رقم الصنف]=A784) *
            (IF($B$9="الكل",1, YEAR('ادخال البيانات'!$N$3:$N$1164)=VALUE($B$9))) *
            (IF($B$10="الكل",1, MONTH('ادخال البيانات'!$N$3:$N$1164)=VALUE($B$10))) *
            (IF($B$11="الكل",1, INT((DAY('ادخال البيانات'!$N$3:$N$1164)-1)/7)+1 = VALUE($B$11))),
            'ادخال البيانات'!$E$3:$E$1164
         ),
         ""
      ),
      IF(_xlpm.result="", "", _xlpm.result)
   )
)</f>
        <v/>
      </c>
      <c r="F784" s="27" t="str" cm="1">
        <f t="array" ref="F784">IF(
   A784="",
   "",
   _xlfn.LET(
      _xlpm.result,
      IFERROR(
         _xlfn.XLOOKUP(
            1,
            (Table8[رقم الصنف]=A784) *
            (IF($B$9="الكل",1, YEAR('ادخال البيانات'!$N$3:$N$1164) = VALUE($B$9))) *
            (IF($B$10="الكل",1, MONTH('ادخال البيانات'!$N$3:$N$1164) = VALUE($B$10))) *
            (IF($B$11="الكل",1, INT((DAY('ادخال البيانات'!$N$3:$N$1164)-1)/7)+1 = VALUE($B$11))),
            'ادخال البيانات'!$F$3:$F$1164
         ),
         ""
      ),
      IF(_xlpm.result="", "", _xlpm.result)
   )
)</f>
        <v/>
      </c>
      <c r="G784" s="27" t="str" cm="1">
        <f t="array" ref="G784">IF(
   A784="",
   "",
   _xlfn.LET(
      _xlpm.result,
      IFERROR(
         _xlfn.XLOOKUP(
            1,
            (Table8[رقم الصنف]=A784) *
            (IF($B$9="الكل",1, YEAR('ادخال البيانات'!$N$3:$N$1164)=VALUE($B$9))) *
            (IF($B$10="الكل",1, MONTH('ادخال البيانات'!$N$3:$N$1164)=VALUE($B$10))) *
            (IF($B$11="الكل",1, INT((DAY('ادخال البيانات'!$N$3:$N$1164)-1)/7)+1 = VALUE($B$11))),
            'ادخال البيانات'!$G$3:$G$1164
         ),
         ""
      ),
      IF(_xlpm.result="", "", _xlpm.result)
   )
)</f>
        <v/>
      </c>
      <c r="H784" s="27" t="str" cm="1">
        <f t="array" ref="H784">IF(
   A784="",
   "",
   _xlfn.LET(
      _xlpm.result,
      IFERROR(
         _xlfn.XLOOKUP(
            1,
            (Table8[رقم الصنف]=A784) *
            (IF($B$9="الكل",1, YEAR('ادخال البيانات'!$N$3:$N$1164)=VALUE($B$9))) *
            (IF($B$10="الكل",1, MONTH('ادخال البيانات'!$N$3:$N$1164)=VALUE($B$10))) *
            (IF($B$11="الكل",1, INT((DAY('ادخال البيانات'!$N$3:$N$1164)-1)/7)+1 = VALUE($B$11))),
            'ادخال البيانات'!$H$3:$H$1164
         ),
         ""
      ),
      IF(_xlpm.result="", "", _xlpm.result)
   )
)</f>
        <v/>
      </c>
      <c r="I784" s="27" t="str" cm="1">
        <f t="array" ref="I784">IF(
   A784="",
   "",
   _xlfn.LET(
      _xlpm.result,
      IFERROR(
         _xlfn.XLOOKUP(
            1,
            (Table8[رقم الصنف]=A784) *
            (IF($B$9="الكل",1, YEAR('ادخال البيانات'!$N$3:$N$1164)=VALUE($B$9))) *
            (IF($B$10="الكل",1, MONTH('ادخال البيانات'!$N$3:$N$1164)=VALUE($B$10))) *
            (IF($B$11="الكل",1, INT((DAY('ادخال البيانات'!$N$3:$N$1164)-1)/7)+1 = VALUE($B$11))),
            'ادخال البيانات'!$I$3:$I$1164
         ),
         ""
      ),
      IF(_xlpm.result="", "", _xlpm.result)
   )
)</f>
        <v/>
      </c>
      <c r="J784" s="27" t="str" cm="1">
        <f t="array" ref="J784">IF(
   A784="",
   "",
   _xlfn.LET(
      _xlpm.result,
      IFERROR(
         _xlfn.XLOOKUP(
            1,
            (Table8[رقم الصنف]=A784) *
            (IF($B$9="الكل",1, YEAR('ادخال البيانات'!$N$3:$N$1164)=VALUE($B$9))) *
            (IF($B$10="الكل",1, MONTH('ادخال البيانات'!$N$3:$N$1164)=VALUE($B$10))) *
            (IF($B$11="الكل",1, INT((DAY('ادخال البيانات'!$N$3:$N$1164)-1)/7)+1 = VALUE($B$11))),
            'ادخال البيانات'!$J$3:$J$1164
         ),
         ""
      ),
      IF(_xlpm.result="", "", _xlpm.result)
   )
)</f>
        <v/>
      </c>
      <c r="K784" s="27" t="str" cm="1">
        <f t="array" ref="K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4" s="27" t="str" cm="1">
        <f t="array" ref="L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4" s="27" t="str" cm="1">
        <f t="array" ref="M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4" s="28" t="str" cm="1">
        <f t="array" ref="N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4" s="28" t="str" cm="1">
        <f t="array" ref="O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4" s="27" t="str" cm="1">
        <f t="array" ref="P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Table8[جهة العطل]
         ),
         ""
      ),
      IF(_xlpm.result="", "", _xlpm.result)
   )
)</f>
        <v/>
      </c>
      <c r="Q784" s="27" t="str" cm="1">
        <f t="array" ref="Q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Table8[المركز]
         ),
         ""
      ),
      IF(_xlpm.result="", "", _xlpm.result)
   )
)</f>
        <v/>
      </c>
      <c r="R784" s="27" t="str" cm="1">
        <f t="array" ref="R784">IF(
   A784="",
   "",
   _xlfn.LET(
      _xlpm.result,
      IFERROR(
         _xlfn.XLOOKUP(
            1,
            (Table8[رقم الصنف]=A784) *
            (IF($B$9="الكل",1, YEAR('ادخال البيانات'!$N$3:$N$1164) = VALUE($B$9))) *
            (IF($B$10="الكل",1, MONTH('ادخال البيانات'!$N$3:$N$1164) = VALUE($B$10))) *
            (IF($B$11="الكل",1, INT((DAY('ادخال البيانات'!$N$3:$N$1164) - 1) / 7) + 1 = VALUE($B$11))),
            Table8[ملاحظة]
         ),
         ""
      ),
      IF(_xlpm.result="", "", _xlpm.result)
   )
)</f>
        <v/>
      </c>
      <c r="S784" s="46" t="str">
        <f t="shared" ca="1" si="13"/>
        <v/>
      </c>
    </row>
    <row r="785" spans="1:19" ht="15.6" thickTop="1" thickBot="1" x14ac:dyDescent="0.35">
      <c r="A785" s="39"/>
      <c r="B785" s="27" t="str" cm="1">
        <f t="array" ref="B785">IF(
   OR(A785="", $B$9="", $B$10="", $B$11=""),
   "",
   _xlfn.LET(
      _xlpm.result,
      IFERROR(
         _xlfn.XLOOKUP(
            1,
            (Table8[رقم الصنف]=A785)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5" s="27" t="str" cm="1">
        <f t="array" ref="C785">IF(
   A785="",
   "",
   _xlfn.LET(
      _xlpm.result,
      IFERROR(
         _xlfn.XLOOKUP(
            1,
            (Table8[رقم الصنف]=A785) *
            (IF($B$9="الكل",1, YEAR('ادخال البيانات'!$N$3:$N$1164) = VALUE($B$9))) *
            (IF($B$10="الكل",1, MONTH('ادخال البيانات'!$N$3:$N$1164) = VALUE($B$10))) *
            (IF($B$11="الكل",1, INT((DAY('ادخال البيانات'!$N$3:$N$1164)-1)/7)+1 = VALUE($B$11))),
            'ادخال البيانات'!$C$3:$C$1164
         ),
         ""
      ),
      IF(_xlpm.result="", "", _xlpm.result)
   )
)</f>
        <v/>
      </c>
      <c r="D785" s="27" t="str" cm="1">
        <f t="array" ref="D785">IF(
   OR(A785="", $B$9="", $B$10="", $B$11=""),
   "",
   _xlfn.LET(
      _xlpm.result,
      IFERROR(
         _xlfn.XLOOKUP(
            1,
            (Table8[رقم الصنف]=A785) *
            (IF($B$9="الكل",1, YEAR('ادخال البيانات'!$N$3:$N$1164)=VALUE($B$9))) *
            (IF($B$10="الكل",1, MONTH('ادخال البيانات'!$N$3:$N$1164)=VALUE($B$10))) *
            (IF($B$11="الكل",1, INT((DAY('ادخال البيانات'!$N$3:$N$1164)-1)/7)+1 = VALUE($B$11))),
            'ادخال البيانات'!$D$3:$D$1164
         ),
         ""
      ),
      IF(_xlpm.result="", "", _xlpm.result)
   )
)</f>
        <v/>
      </c>
      <c r="E785" s="27" t="str" cm="1">
        <f t="array" ref="E785">IF(
   A785="",
   "",
   _xlfn.LET(
      _xlpm.result,
      IFERROR(
         _xlfn.XLOOKUP(
            1,
            (Table8[رقم الصنف]=A785) *
            (IF($B$9="الكل",1, YEAR('ادخال البيانات'!$N$3:$N$1164)=VALUE($B$9))) *
            (IF($B$10="الكل",1, MONTH('ادخال البيانات'!$N$3:$N$1164)=VALUE($B$10))) *
            (IF($B$11="الكل",1, INT((DAY('ادخال البيانات'!$N$3:$N$1164)-1)/7)+1 = VALUE($B$11))),
            'ادخال البيانات'!$E$3:$E$1164
         ),
         ""
      ),
      IF(_xlpm.result="", "", _xlpm.result)
   )
)</f>
        <v/>
      </c>
      <c r="F785" s="27" t="str" cm="1">
        <f t="array" ref="F785">IF(
   A785="",
   "",
   _xlfn.LET(
      _xlpm.result,
      IFERROR(
         _xlfn.XLOOKUP(
            1,
            (Table8[رقم الصنف]=A785) *
            (IF($B$9="الكل",1, YEAR('ادخال البيانات'!$N$3:$N$1164) = VALUE($B$9))) *
            (IF($B$10="الكل",1, MONTH('ادخال البيانات'!$N$3:$N$1164) = VALUE($B$10))) *
            (IF($B$11="الكل",1, INT((DAY('ادخال البيانات'!$N$3:$N$1164)-1)/7)+1 = VALUE($B$11))),
            'ادخال البيانات'!$F$3:$F$1164
         ),
         ""
      ),
      IF(_xlpm.result="", "", _xlpm.result)
   )
)</f>
        <v/>
      </c>
      <c r="G785" s="27" t="str" cm="1">
        <f t="array" ref="G785">IF(
   A785="",
   "",
   _xlfn.LET(
      _xlpm.result,
      IFERROR(
         _xlfn.XLOOKUP(
            1,
            (Table8[رقم الصنف]=A785) *
            (IF($B$9="الكل",1, YEAR('ادخال البيانات'!$N$3:$N$1164)=VALUE($B$9))) *
            (IF($B$10="الكل",1, MONTH('ادخال البيانات'!$N$3:$N$1164)=VALUE($B$10))) *
            (IF($B$11="الكل",1, INT((DAY('ادخال البيانات'!$N$3:$N$1164)-1)/7)+1 = VALUE($B$11))),
            'ادخال البيانات'!$G$3:$G$1164
         ),
         ""
      ),
      IF(_xlpm.result="", "", _xlpm.result)
   )
)</f>
        <v/>
      </c>
      <c r="H785" s="27" t="str" cm="1">
        <f t="array" ref="H785">IF(
   A785="",
   "",
   _xlfn.LET(
      _xlpm.result,
      IFERROR(
         _xlfn.XLOOKUP(
            1,
            (Table8[رقم الصنف]=A785) *
            (IF($B$9="الكل",1, YEAR('ادخال البيانات'!$N$3:$N$1164)=VALUE($B$9))) *
            (IF($B$10="الكل",1, MONTH('ادخال البيانات'!$N$3:$N$1164)=VALUE($B$10))) *
            (IF($B$11="الكل",1, INT((DAY('ادخال البيانات'!$N$3:$N$1164)-1)/7)+1 = VALUE($B$11))),
            'ادخال البيانات'!$H$3:$H$1164
         ),
         ""
      ),
      IF(_xlpm.result="", "", _xlpm.result)
   )
)</f>
        <v/>
      </c>
      <c r="I785" s="27" t="str" cm="1">
        <f t="array" ref="I785">IF(
   A785="",
   "",
   _xlfn.LET(
      _xlpm.result,
      IFERROR(
         _xlfn.XLOOKUP(
            1,
            (Table8[رقم الصنف]=A785) *
            (IF($B$9="الكل",1, YEAR('ادخال البيانات'!$N$3:$N$1164)=VALUE($B$9))) *
            (IF($B$10="الكل",1, MONTH('ادخال البيانات'!$N$3:$N$1164)=VALUE($B$10))) *
            (IF($B$11="الكل",1, INT((DAY('ادخال البيانات'!$N$3:$N$1164)-1)/7)+1 = VALUE($B$11))),
            'ادخال البيانات'!$I$3:$I$1164
         ),
         ""
      ),
      IF(_xlpm.result="", "", _xlpm.result)
   )
)</f>
        <v/>
      </c>
      <c r="J785" s="27" t="str" cm="1">
        <f t="array" ref="J785">IF(
   A785="",
   "",
   _xlfn.LET(
      _xlpm.result,
      IFERROR(
         _xlfn.XLOOKUP(
            1,
            (Table8[رقم الصنف]=A785) *
            (IF($B$9="الكل",1, YEAR('ادخال البيانات'!$N$3:$N$1164)=VALUE($B$9))) *
            (IF($B$10="الكل",1, MONTH('ادخال البيانات'!$N$3:$N$1164)=VALUE($B$10))) *
            (IF($B$11="الكل",1, INT((DAY('ادخال البيانات'!$N$3:$N$1164)-1)/7)+1 = VALUE($B$11))),
            'ادخال البيانات'!$J$3:$J$1164
         ),
         ""
      ),
      IF(_xlpm.result="", "", _xlpm.result)
   )
)</f>
        <v/>
      </c>
      <c r="K785" s="27" t="str" cm="1">
        <f t="array" ref="K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5" s="27" t="str" cm="1">
        <f t="array" ref="L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5" s="27" t="str" cm="1">
        <f t="array" ref="M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5" s="28" t="str" cm="1">
        <f t="array" ref="N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5" s="28" t="str" cm="1">
        <f t="array" ref="O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5" s="27" t="str" cm="1">
        <f t="array" ref="P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Table8[جهة العطل]
         ),
         ""
      ),
      IF(_xlpm.result="", "", _xlpm.result)
   )
)</f>
        <v/>
      </c>
      <c r="Q785" s="27" t="str" cm="1">
        <f t="array" ref="Q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Table8[المركز]
         ),
         ""
      ),
      IF(_xlpm.result="", "", _xlpm.result)
   )
)</f>
        <v/>
      </c>
      <c r="R785" s="27" t="str" cm="1">
        <f t="array" ref="R785">IF(
   A785="",
   "",
   _xlfn.LET(
      _xlpm.result,
      IFERROR(
         _xlfn.XLOOKUP(
            1,
            (Table8[رقم الصنف]=A785) *
            (IF($B$9="الكل",1, YEAR('ادخال البيانات'!$N$3:$N$1164) = VALUE($B$9))) *
            (IF($B$10="الكل",1, MONTH('ادخال البيانات'!$N$3:$N$1164) = VALUE($B$10))) *
            (IF($B$11="الكل",1, INT((DAY('ادخال البيانات'!$N$3:$N$1164) - 1) / 7) + 1 = VALUE($B$11))),
            Table8[ملاحظة]
         ),
         ""
      ),
      IF(_xlpm.result="", "", _xlpm.result)
   )
)</f>
        <v/>
      </c>
      <c r="S785" s="46" t="str">
        <f t="shared" ca="1" si="13"/>
        <v/>
      </c>
    </row>
    <row r="786" spans="1:19" ht="15.6" thickTop="1" thickBot="1" x14ac:dyDescent="0.35">
      <c r="A786" s="39"/>
      <c r="B786" s="27" t="str" cm="1">
        <f t="array" ref="B786">IF(
   OR(A786="", $B$9="", $B$10="", $B$11=""),
   "",
   _xlfn.LET(
      _xlpm.result,
      IFERROR(
         _xlfn.XLOOKUP(
            1,
            (Table8[رقم الصنف]=A786)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6" s="27" t="str" cm="1">
        <f t="array" ref="C786">IF(
   A786="",
   "",
   _xlfn.LET(
      _xlpm.result,
      IFERROR(
         _xlfn.XLOOKUP(
            1,
            (Table8[رقم الصنف]=A786) *
            (IF($B$9="الكل",1, YEAR('ادخال البيانات'!$N$3:$N$1164) = VALUE($B$9))) *
            (IF($B$10="الكل",1, MONTH('ادخال البيانات'!$N$3:$N$1164) = VALUE($B$10))) *
            (IF($B$11="الكل",1, INT((DAY('ادخال البيانات'!$N$3:$N$1164)-1)/7)+1 = VALUE($B$11))),
            'ادخال البيانات'!$C$3:$C$1164
         ),
         ""
      ),
      IF(_xlpm.result="", "", _xlpm.result)
   )
)</f>
        <v/>
      </c>
      <c r="D786" s="27" t="str" cm="1">
        <f t="array" ref="D786">IF(
   OR(A786="", $B$9="", $B$10="", $B$11=""),
   "",
   _xlfn.LET(
      _xlpm.result,
      IFERROR(
         _xlfn.XLOOKUP(
            1,
            (Table8[رقم الصنف]=A786) *
            (IF($B$9="الكل",1, YEAR('ادخال البيانات'!$N$3:$N$1164)=VALUE($B$9))) *
            (IF($B$10="الكل",1, MONTH('ادخال البيانات'!$N$3:$N$1164)=VALUE($B$10))) *
            (IF($B$11="الكل",1, INT((DAY('ادخال البيانات'!$N$3:$N$1164)-1)/7)+1 = VALUE($B$11))),
            'ادخال البيانات'!$D$3:$D$1164
         ),
         ""
      ),
      IF(_xlpm.result="", "", _xlpm.result)
   )
)</f>
        <v/>
      </c>
      <c r="E786" s="27" t="str" cm="1">
        <f t="array" ref="E786">IF(
   A786="",
   "",
   _xlfn.LET(
      _xlpm.result,
      IFERROR(
         _xlfn.XLOOKUP(
            1,
            (Table8[رقم الصنف]=A786) *
            (IF($B$9="الكل",1, YEAR('ادخال البيانات'!$N$3:$N$1164)=VALUE($B$9))) *
            (IF($B$10="الكل",1, MONTH('ادخال البيانات'!$N$3:$N$1164)=VALUE($B$10))) *
            (IF($B$11="الكل",1, INT((DAY('ادخال البيانات'!$N$3:$N$1164)-1)/7)+1 = VALUE($B$11))),
            'ادخال البيانات'!$E$3:$E$1164
         ),
         ""
      ),
      IF(_xlpm.result="", "", _xlpm.result)
   )
)</f>
        <v/>
      </c>
      <c r="F786" s="27" t="str" cm="1">
        <f t="array" ref="F786">IF(
   A786="",
   "",
   _xlfn.LET(
      _xlpm.result,
      IFERROR(
         _xlfn.XLOOKUP(
            1,
            (Table8[رقم الصنف]=A786) *
            (IF($B$9="الكل",1, YEAR('ادخال البيانات'!$N$3:$N$1164) = VALUE($B$9))) *
            (IF($B$10="الكل",1, MONTH('ادخال البيانات'!$N$3:$N$1164) = VALUE($B$10))) *
            (IF($B$11="الكل",1, INT((DAY('ادخال البيانات'!$N$3:$N$1164)-1)/7)+1 = VALUE($B$11))),
            'ادخال البيانات'!$F$3:$F$1164
         ),
         ""
      ),
      IF(_xlpm.result="", "", _xlpm.result)
   )
)</f>
        <v/>
      </c>
      <c r="G786" s="27" t="str" cm="1">
        <f t="array" ref="G786">IF(
   A786="",
   "",
   _xlfn.LET(
      _xlpm.result,
      IFERROR(
         _xlfn.XLOOKUP(
            1,
            (Table8[رقم الصنف]=A786) *
            (IF($B$9="الكل",1, YEAR('ادخال البيانات'!$N$3:$N$1164)=VALUE($B$9))) *
            (IF($B$10="الكل",1, MONTH('ادخال البيانات'!$N$3:$N$1164)=VALUE($B$10))) *
            (IF($B$11="الكل",1, INT((DAY('ادخال البيانات'!$N$3:$N$1164)-1)/7)+1 = VALUE($B$11))),
            'ادخال البيانات'!$G$3:$G$1164
         ),
         ""
      ),
      IF(_xlpm.result="", "", _xlpm.result)
   )
)</f>
        <v/>
      </c>
      <c r="H786" s="27" t="str" cm="1">
        <f t="array" ref="H786">IF(
   A786="",
   "",
   _xlfn.LET(
      _xlpm.result,
      IFERROR(
         _xlfn.XLOOKUP(
            1,
            (Table8[رقم الصنف]=A786) *
            (IF($B$9="الكل",1, YEAR('ادخال البيانات'!$N$3:$N$1164)=VALUE($B$9))) *
            (IF($B$10="الكل",1, MONTH('ادخال البيانات'!$N$3:$N$1164)=VALUE($B$10))) *
            (IF($B$11="الكل",1, INT((DAY('ادخال البيانات'!$N$3:$N$1164)-1)/7)+1 = VALUE($B$11))),
            'ادخال البيانات'!$H$3:$H$1164
         ),
         ""
      ),
      IF(_xlpm.result="", "", _xlpm.result)
   )
)</f>
        <v/>
      </c>
      <c r="I786" s="27" t="str" cm="1">
        <f t="array" ref="I786">IF(
   A786="",
   "",
   _xlfn.LET(
      _xlpm.result,
      IFERROR(
         _xlfn.XLOOKUP(
            1,
            (Table8[رقم الصنف]=A786) *
            (IF($B$9="الكل",1, YEAR('ادخال البيانات'!$N$3:$N$1164)=VALUE($B$9))) *
            (IF($B$10="الكل",1, MONTH('ادخال البيانات'!$N$3:$N$1164)=VALUE($B$10))) *
            (IF($B$11="الكل",1, INT((DAY('ادخال البيانات'!$N$3:$N$1164)-1)/7)+1 = VALUE($B$11))),
            'ادخال البيانات'!$I$3:$I$1164
         ),
         ""
      ),
      IF(_xlpm.result="", "", _xlpm.result)
   )
)</f>
        <v/>
      </c>
      <c r="J786" s="27" t="str" cm="1">
        <f t="array" ref="J786">IF(
   A786="",
   "",
   _xlfn.LET(
      _xlpm.result,
      IFERROR(
         _xlfn.XLOOKUP(
            1,
            (Table8[رقم الصنف]=A786) *
            (IF($B$9="الكل",1, YEAR('ادخال البيانات'!$N$3:$N$1164)=VALUE($B$9))) *
            (IF($B$10="الكل",1, MONTH('ادخال البيانات'!$N$3:$N$1164)=VALUE($B$10))) *
            (IF($B$11="الكل",1, INT((DAY('ادخال البيانات'!$N$3:$N$1164)-1)/7)+1 = VALUE($B$11))),
            'ادخال البيانات'!$J$3:$J$1164
         ),
         ""
      ),
      IF(_xlpm.result="", "", _xlpm.result)
   )
)</f>
        <v/>
      </c>
      <c r="K786" s="27" t="str" cm="1">
        <f t="array" ref="K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6" s="27" t="str" cm="1">
        <f t="array" ref="L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6" s="27" t="str" cm="1">
        <f t="array" ref="M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6" s="28" t="str" cm="1">
        <f t="array" ref="N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6" s="28" t="str" cm="1">
        <f t="array" ref="O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6" s="27" t="str" cm="1">
        <f t="array" ref="P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Table8[جهة العطل]
         ),
         ""
      ),
      IF(_xlpm.result="", "", _xlpm.result)
   )
)</f>
        <v/>
      </c>
      <c r="Q786" s="27" t="str" cm="1">
        <f t="array" ref="Q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Table8[المركز]
         ),
         ""
      ),
      IF(_xlpm.result="", "", _xlpm.result)
   )
)</f>
        <v/>
      </c>
      <c r="R786" s="27" t="str" cm="1">
        <f t="array" ref="R786">IF(
   A786="",
   "",
   _xlfn.LET(
      _xlpm.result,
      IFERROR(
         _xlfn.XLOOKUP(
            1,
            (Table8[رقم الصنف]=A786) *
            (IF($B$9="الكل",1, YEAR('ادخال البيانات'!$N$3:$N$1164) = VALUE($B$9))) *
            (IF($B$10="الكل",1, MONTH('ادخال البيانات'!$N$3:$N$1164) = VALUE($B$10))) *
            (IF($B$11="الكل",1, INT((DAY('ادخال البيانات'!$N$3:$N$1164) - 1) / 7) + 1 = VALUE($B$11))),
            Table8[ملاحظة]
         ),
         ""
      ),
      IF(_xlpm.result="", "", _xlpm.result)
   )
)</f>
        <v/>
      </c>
      <c r="S786" s="46" t="str">
        <f t="shared" ca="1" si="13"/>
        <v/>
      </c>
    </row>
    <row r="787" spans="1:19" ht="15.6" thickTop="1" thickBot="1" x14ac:dyDescent="0.35">
      <c r="A787" s="39"/>
      <c r="B787" s="27" t="str" cm="1">
        <f t="array" ref="B787">IF(
   OR(A787="", $B$9="", $B$10="", $B$11=""),
   "",
   _xlfn.LET(
      _xlpm.result,
      IFERROR(
         _xlfn.XLOOKUP(
            1,
            (Table8[رقم الصنف]=A787)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7" s="27" t="str" cm="1">
        <f t="array" ref="C787">IF(
   A787="",
   "",
   _xlfn.LET(
      _xlpm.result,
      IFERROR(
         _xlfn.XLOOKUP(
            1,
            (Table8[رقم الصنف]=A787) *
            (IF($B$9="الكل",1, YEAR('ادخال البيانات'!$N$3:$N$1164) = VALUE($B$9))) *
            (IF($B$10="الكل",1, MONTH('ادخال البيانات'!$N$3:$N$1164) = VALUE($B$10))) *
            (IF($B$11="الكل",1, INT((DAY('ادخال البيانات'!$N$3:$N$1164)-1)/7)+1 = VALUE($B$11))),
            'ادخال البيانات'!$C$3:$C$1164
         ),
         ""
      ),
      IF(_xlpm.result="", "", _xlpm.result)
   )
)</f>
        <v/>
      </c>
      <c r="D787" s="27" t="str" cm="1">
        <f t="array" ref="D787">IF(
   OR(A787="", $B$9="", $B$10="", $B$11=""),
   "",
   _xlfn.LET(
      _xlpm.result,
      IFERROR(
         _xlfn.XLOOKUP(
            1,
            (Table8[رقم الصنف]=A787) *
            (IF($B$9="الكل",1, YEAR('ادخال البيانات'!$N$3:$N$1164)=VALUE($B$9))) *
            (IF($B$10="الكل",1, MONTH('ادخال البيانات'!$N$3:$N$1164)=VALUE($B$10))) *
            (IF($B$11="الكل",1, INT((DAY('ادخال البيانات'!$N$3:$N$1164)-1)/7)+1 = VALUE($B$11))),
            'ادخال البيانات'!$D$3:$D$1164
         ),
         ""
      ),
      IF(_xlpm.result="", "", _xlpm.result)
   )
)</f>
        <v/>
      </c>
      <c r="E787" s="27" t="str" cm="1">
        <f t="array" ref="E787">IF(
   A787="",
   "",
   _xlfn.LET(
      _xlpm.result,
      IFERROR(
         _xlfn.XLOOKUP(
            1,
            (Table8[رقم الصنف]=A787) *
            (IF($B$9="الكل",1, YEAR('ادخال البيانات'!$N$3:$N$1164)=VALUE($B$9))) *
            (IF($B$10="الكل",1, MONTH('ادخال البيانات'!$N$3:$N$1164)=VALUE($B$10))) *
            (IF($B$11="الكل",1, INT((DAY('ادخال البيانات'!$N$3:$N$1164)-1)/7)+1 = VALUE($B$11))),
            'ادخال البيانات'!$E$3:$E$1164
         ),
         ""
      ),
      IF(_xlpm.result="", "", _xlpm.result)
   )
)</f>
        <v/>
      </c>
      <c r="F787" s="27" t="str" cm="1">
        <f t="array" ref="F787">IF(
   A787="",
   "",
   _xlfn.LET(
      _xlpm.result,
      IFERROR(
         _xlfn.XLOOKUP(
            1,
            (Table8[رقم الصنف]=A787) *
            (IF($B$9="الكل",1, YEAR('ادخال البيانات'!$N$3:$N$1164) = VALUE($B$9))) *
            (IF($B$10="الكل",1, MONTH('ادخال البيانات'!$N$3:$N$1164) = VALUE($B$10))) *
            (IF($B$11="الكل",1, INT((DAY('ادخال البيانات'!$N$3:$N$1164)-1)/7)+1 = VALUE($B$11))),
            'ادخال البيانات'!$F$3:$F$1164
         ),
         ""
      ),
      IF(_xlpm.result="", "", _xlpm.result)
   )
)</f>
        <v/>
      </c>
      <c r="G787" s="27" t="str" cm="1">
        <f t="array" ref="G787">IF(
   A787="",
   "",
   _xlfn.LET(
      _xlpm.result,
      IFERROR(
         _xlfn.XLOOKUP(
            1,
            (Table8[رقم الصنف]=A787) *
            (IF($B$9="الكل",1, YEAR('ادخال البيانات'!$N$3:$N$1164)=VALUE($B$9))) *
            (IF($B$10="الكل",1, MONTH('ادخال البيانات'!$N$3:$N$1164)=VALUE($B$10))) *
            (IF($B$11="الكل",1, INT((DAY('ادخال البيانات'!$N$3:$N$1164)-1)/7)+1 = VALUE($B$11))),
            'ادخال البيانات'!$G$3:$G$1164
         ),
         ""
      ),
      IF(_xlpm.result="", "", _xlpm.result)
   )
)</f>
        <v/>
      </c>
      <c r="H787" s="27" t="str" cm="1">
        <f t="array" ref="H787">IF(
   A787="",
   "",
   _xlfn.LET(
      _xlpm.result,
      IFERROR(
         _xlfn.XLOOKUP(
            1,
            (Table8[رقم الصنف]=A787) *
            (IF($B$9="الكل",1, YEAR('ادخال البيانات'!$N$3:$N$1164)=VALUE($B$9))) *
            (IF($B$10="الكل",1, MONTH('ادخال البيانات'!$N$3:$N$1164)=VALUE($B$10))) *
            (IF($B$11="الكل",1, INT((DAY('ادخال البيانات'!$N$3:$N$1164)-1)/7)+1 = VALUE($B$11))),
            'ادخال البيانات'!$H$3:$H$1164
         ),
         ""
      ),
      IF(_xlpm.result="", "", _xlpm.result)
   )
)</f>
        <v/>
      </c>
      <c r="I787" s="27" t="str" cm="1">
        <f t="array" ref="I787">IF(
   A787="",
   "",
   _xlfn.LET(
      _xlpm.result,
      IFERROR(
         _xlfn.XLOOKUP(
            1,
            (Table8[رقم الصنف]=A787) *
            (IF($B$9="الكل",1, YEAR('ادخال البيانات'!$N$3:$N$1164)=VALUE($B$9))) *
            (IF($B$10="الكل",1, MONTH('ادخال البيانات'!$N$3:$N$1164)=VALUE($B$10))) *
            (IF($B$11="الكل",1, INT((DAY('ادخال البيانات'!$N$3:$N$1164)-1)/7)+1 = VALUE($B$11))),
            'ادخال البيانات'!$I$3:$I$1164
         ),
         ""
      ),
      IF(_xlpm.result="", "", _xlpm.result)
   )
)</f>
        <v/>
      </c>
      <c r="J787" s="27" t="str" cm="1">
        <f t="array" ref="J787">IF(
   A787="",
   "",
   _xlfn.LET(
      _xlpm.result,
      IFERROR(
         _xlfn.XLOOKUP(
            1,
            (Table8[رقم الصنف]=A787) *
            (IF($B$9="الكل",1, YEAR('ادخال البيانات'!$N$3:$N$1164)=VALUE($B$9))) *
            (IF($B$10="الكل",1, MONTH('ادخال البيانات'!$N$3:$N$1164)=VALUE($B$10))) *
            (IF($B$11="الكل",1, INT((DAY('ادخال البيانات'!$N$3:$N$1164)-1)/7)+1 = VALUE($B$11))),
            'ادخال البيانات'!$J$3:$J$1164
         ),
         ""
      ),
      IF(_xlpm.result="", "", _xlpm.result)
   )
)</f>
        <v/>
      </c>
      <c r="K787" s="27" t="str" cm="1">
        <f t="array" ref="K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7" s="27" t="str" cm="1">
        <f t="array" ref="L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7" s="27" t="str" cm="1">
        <f t="array" ref="M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7" s="28" t="str" cm="1">
        <f t="array" ref="N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7" s="28" t="str" cm="1">
        <f t="array" ref="O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7" s="27" t="str" cm="1">
        <f t="array" ref="P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Table8[جهة العطل]
         ),
         ""
      ),
      IF(_xlpm.result="", "", _xlpm.result)
   )
)</f>
        <v/>
      </c>
      <c r="Q787" s="27" t="str" cm="1">
        <f t="array" ref="Q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Table8[المركز]
         ),
         ""
      ),
      IF(_xlpm.result="", "", _xlpm.result)
   )
)</f>
        <v/>
      </c>
      <c r="R787" s="27" t="str" cm="1">
        <f t="array" ref="R787">IF(
   A787="",
   "",
   _xlfn.LET(
      _xlpm.result,
      IFERROR(
         _xlfn.XLOOKUP(
            1,
            (Table8[رقم الصنف]=A787) *
            (IF($B$9="الكل",1, YEAR('ادخال البيانات'!$N$3:$N$1164) = VALUE($B$9))) *
            (IF($B$10="الكل",1, MONTH('ادخال البيانات'!$N$3:$N$1164) = VALUE($B$10))) *
            (IF($B$11="الكل",1, INT((DAY('ادخال البيانات'!$N$3:$N$1164) - 1) / 7) + 1 = VALUE($B$11))),
            Table8[ملاحظة]
         ),
         ""
      ),
      IF(_xlpm.result="", "", _xlpm.result)
   )
)</f>
        <v/>
      </c>
      <c r="S787" s="46" t="str">
        <f t="shared" ca="1" si="13"/>
        <v/>
      </c>
    </row>
    <row r="788" spans="1:19" ht="15.6" thickTop="1" thickBot="1" x14ac:dyDescent="0.35">
      <c r="A788" s="39"/>
      <c r="B788" s="27" t="str" cm="1">
        <f t="array" ref="B788">IF(
   OR(A788="", $B$9="", $B$10="", $B$11=""),
   "",
   _xlfn.LET(
      _xlpm.result,
      IFERROR(
         _xlfn.XLOOKUP(
            1,
            (Table8[رقم الصنف]=A788)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8" s="27" t="str" cm="1">
        <f t="array" ref="C788">IF(
   A788="",
   "",
   _xlfn.LET(
      _xlpm.result,
      IFERROR(
         _xlfn.XLOOKUP(
            1,
            (Table8[رقم الصنف]=A788) *
            (IF($B$9="الكل",1, YEAR('ادخال البيانات'!$N$3:$N$1164) = VALUE($B$9))) *
            (IF($B$10="الكل",1, MONTH('ادخال البيانات'!$N$3:$N$1164) = VALUE($B$10))) *
            (IF($B$11="الكل",1, INT((DAY('ادخال البيانات'!$N$3:$N$1164)-1)/7)+1 = VALUE($B$11))),
            'ادخال البيانات'!$C$3:$C$1164
         ),
         ""
      ),
      IF(_xlpm.result="", "", _xlpm.result)
   )
)</f>
        <v/>
      </c>
      <c r="D788" s="27" t="str" cm="1">
        <f t="array" ref="D788">IF(
   OR(A788="", $B$9="", $B$10="", $B$11=""),
   "",
   _xlfn.LET(
      _xlpm.result,
      IFERROR(
         _xlfn.XLOOKUP(
            1,
            (Table8[رقم الصنف]=A788) *
            (IF($B$9="الكل",1, YEAR('ادخال البيانات'!$N$3:$N$1164)=VALUE($B$9))) *
            (IF($B$10="الكل",1, MONTH('ادخال البيانات'!$N$3:$N$1164)=VALUE($B$10))) *
            (IF($B$11="الكل",1, INT((DAY('ادخال البيانات'!$N$3:$N$1164)-1)/7)+1 = VALUE($B$11))),
            'ادخال البيانات'!$D$3:$D$1164
         ),
         ""
      ),
      IF(_xlpm.result="", "", _xlpm.result)
   )
)</f>
        <v/>
      </c>
      <c r="E788" s="27" t="str" cm="1">
        <f t="array" ref="E788">IF(
   A788="",
   "",
   _xlfn.LET(
      _xlpm.result,
      IFERROR(
         _xlfn.XLOOKUP(
            1,
            (Table8[رقم الصنف]=A788) *
            (IF($B$9="الكل",1, YEAR('ادخال البيانات'!$N$3:$N$1164)=VALUE($B$9))) *
            (IF($B$10="الكل",1, MONTH('ادخال البيانات'!$N$3:$N$1164)=VALUE($B$10))) *
            (IF($B$11="الكل",1, INT((DAY('ادخال البيانات'!$N$3:$N$1164)-1)/7)+1 = VALUE($B$11))),
            'ادخال البيانات'!$E$3:$E$1164
         ),
         ""
      ),
      IF(_xlpm.result="", "", _xlpm.result)
   )
)</f>
        <v/>
      </c>
      <c r="F788" s="27" t="str" cm="1">
        <f t="array" ref="F788">IF(
   A788="",
   "",
   _xlfn.LET(
      _xlpm.result,
      IFERROR(
         _xlfn.XLOOKUP(
            1,
            (Table8[رقم الصنف]=A788) *
            (IF($B$9="الكل",1, YEAR('ادخال البيانات'!$N$3:$N$1164) = VALUE($B$9))) *
            (IF($B$10="الكل",1, MONTH('ادخال البيانات'!$N$3:$N$1164) = VALUE($B$10))) *
            (IF($B$11="الكل",1, INT((DAY('ادخال البيانات'!$N$3:$N$1164)-1)/7)+1 = VALUE($B$11))),
            'ادخال البيانات'!$F$3:$F$1164
         ),
         ""
      ),
      IF(_xlpm.result="", "", _xlpm.result)
   )
)</f>
        <v/>
      </c>
      <c r="G788" s="27" t="str" cm="1">
        <f t="array" ref="G788">IF(
   A788="",
   "",
   _xlfn.LET(
      _xlpm.result,
      IFERROR(
         _xlfn.XLOOKUP(
            1,
            (Table8[رقم الصنف]=A788) *
            (IF($B$9="الكل",1, YEAR('ادخال البيانات'!$N$3:$N$1164)=VALUE($B$9))) *
            (IF($B$10="الكل",1, MONTH('ادخال البيانات'!$N$3:$N$1164)=VALUE($B$10))) *
            (IF($B$11="الكل",1, INT((DAY('ادخال البيانات'!$N$3:$N$1164)-1)/7)+1 = VALUE($B$11))),
            'ادخال البيانات'!$G$3:$G$1164
         ),
         ""
      ),
      IF(_xlpm.result="", "", _xlpm.result)
   )
)</f>
        <v/>
      </c>
      <c r="H788" s="27" t="str" cm="1">
        <f t="array" ref="H788">IF(
   A788="",
   "",
   _xlfn.LET(
      _xlpm.result,
      IFERROR(
         _xlfn.XLOOKUP(
            1,
            (Table8[رقم الصنف]=A788) *
            (IF($B$9="الكل",1, YEAR('ادخال البيانات'!$N$3:$N$1164)=VALUE($B$9))) *
            (IF($B$10="الكل",1, MONTH('ادخال البيانات'!$N$3:$N$1164)=VALUE($B$10))) *
            (IF($B$11="الكل",1, INT((DAY('ادخال البيانات'!$N$3:$N$1164)-1)/7)+1 = VALUE($B$11))),
            'ادخال البيانات'!$H$3:$H$1164
         ),
         ""
      ),
      IF(_xlpm.result="", "", _xlpm.result)
   )
)</f>
        <v/>
      </c>
      <c r="I788" s="27" t="str" cm="1">
        <f t="array" ref="I788">IF(
   A788="",
   "",
   _xlfn.LET(
      _xlpm.result,
      IFERROR(
         _xlfn.XLOOKUP(
            1,
            (Table8[رقم الصنف]=A788) *
            (IF($B$9="الكل",1, YEAR('ادخال البيانات'!$N$3:$N$1164)=VALUE($B$9))) *
            (IF($B$10="الكل",1, MONTH('ادخال البيانات'!$N$3:$N$1164)=VALUE($B$10))) *
            (IF($B$11="الكل",1, INT((DAY('ادخال البيانات'!$N$3:$N$1164)-1)/7)+1 = VALUE($B$11))),
            'ادخال البيانات'!$I$3:$I$1164
         ),
         ""
      ),
      IF(_xlpm.result="", "", _xlpm.result)
   )
)</f>
        <v/>
      </c>
      <c r="J788" s="27" t="str" cm="1">
        <f t="array" ref="J788">IF(
   A788="",
   "",
   _xlfn.LET(
      _xlpm.result,
      IFERROR(
         _xlfn.XLOOKUP(
            1,
            (Table8[رقم الصنف]=A788) *
            (IF($B$9="الكل",1, YEAR('ادخال البيانات'!$N$3:$N$1164)=VALUE($B$9))) *
            (IF($B$10="الكل",1, MONTH('ادخال البيانات'!$N$3:$N$1164)=VALUE($B$10))) *
            (IF($B$11="الكل",1, INT((DAY('ادخال البيانات'!$N$3:$N$1164)-1)/7)+1 = VALUE($B$11))),
            'ادخال البيانات'!$J$3:$J$1164
         ),
         ""
      ),
      IF(_xlpm.result="", "", _xlpm.result)
   )
)</f>
        <v/>
      </c>
      <c r="K788" s="27" t="str" cm="1">
        <f t="array" ref="K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8" s="27" t="str" cm="1">
        <f t="array" ref="L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8" s="27" t="str" cm="1">
        <f t="array" ref="M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8" s="28" t="str" cm="1">
        <f t="array" ref="N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8" s="28" t="str" cm="1">
        <f t="array" ref="O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8" s="27" t="str" cm="1">
        <f t="array" ref="P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Table8[جهة العطل]
         ),
         ""
      ),
      IF(_xlpm.result="", "", _xlpm.result)
   )
)</f>
        <v/>
      </c>
      <c r="Q788" s="27" t="str" cm="1">
        <f t="array" ref="Q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Table8[المركز]
         ),
         ""
      ),
      IF(_xlpm.result="", "", _xlpm.result)
   )
)</f>
        <v/>
      </c>
      <c r="R788" s="27" t="str" cm="1">
        <f t="array" ref="R788">IF(
   A788="",
   "",
   _xlfn.LET(
      _xlpm.result,
      IFERROR(
         _xlfn.XLOOKUP(
            1,
            (Table8[رقم الصنف]=A788) *
            (IF($B$9="الكل",1, YEAR('ادخال البيانات'!$N$3:$N$1164) = VALUE($B$9))) *
            (IF($B$10="الكل",1, MONTH('ادخال البيانات'!$N$3:$N$1164) = VALUE($B$10))) *
            (IF($B$11="الكل",1, INT((DAY('ادخال البيانات'!$N$3:$N$1164) - 1) / 7) + 1 = VALUE($B$11))),
            Table8[ملاحظة]
         ),
         ""
      ),
      IF(_xlpm.result="", "", _xlpm.result)
   )
)</f>
        <v/>
      </c>
      <c r="S788" s="46" t="str">
        <f t="shared" ca="1" si="13"/>
        <v/>
      </c>
    </row>
    <row r="789" spans="1:19" ht="15.6" thickTop="1" thickBot="1" x14ac:dyDescent="0.35">
      <c r="A789" s="39"/>
      <c r="B789" s="27" t="str" cm="1">
        <f t="array" ref="B789">IF(
   OR(A789="", $B$9="", $B$10="", $B$11=""),
   "",
   _xlfn.LET(
      _xlpm.result,
      IFERROR(
         _xlfn.XLOOKUP(
            1,
            (Table8[رقم الصنف]=A789)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89" s="27" t="str" cm="1">
        <f t="array" ref="C789">IF(
   A789="",
   "",
   _xlfn.LET(
      _xlpm.result,
      IFERROR(
         _xlfn.XLOOKUP(
            1,
            (Table8[رقم الصنف]=A789) *
            (IF($B$9="الكل",1, YEAR('ادخال البيانات'!$N$3:$N$1164) = VALUE($B$9))) *
            (IF($B$10="الكل",1, MONTH('ادخال البيانات'!$N$3:$N$1164) = VALUE($B$10))) *
            (IF($B$11="الكل",1, INT((DAY('ادخال البيانات'!$N$3:$N$1164)-1)/7)+1 = VALUE($B$11))),
            'ادخال البيانات'!$C$3:$C$1164
         ),
         ""
      ),
      IF(_xlpm.result="", "", _xlpm.result)
   )
)</f>
        <v/>
      </c>
      <c r="D789" s="27" t="str" cm="1">
        <f t="array" ref="D789">IF(
   OR(A789="", $B$9="", $B$10="", $B$11=""),
   "",
   _xlfn.LET(
      _xlpm.result,
      IFERROR(
         _xlfn.XLOOKUP(
            1,
            (Table8[رقم الصنف]=A789) *
            (IF($B$9="الكل",1, YEAR('ادخال البيانات'!$N$3:$N$1164)=VALUE($B$9))) *
            (IF($B$10="الكل",1, MONTH('ادخال البيانات'!$N$3:$N$1164)=VALUE($B$10))) *
            (IF($B$11="الكل",1, INT((DAY('ادخال البيانات'!$N$3:$N$1164)-1)/7)+1 = VALUE($B$11))),
            'ادخال البيانات'!$D$3:$D$1164
         ),
         ""
      ),
      IF(_xlpm.result="", "", _xlpm.result)
   )
)</f>
        <v/>
      </c>
      <c r="E789" s="27" t="str" cm="1">
        <f t="array" ref="E789">IF(
   A789="",
   "",
   _xlfn.LET(
      _xlpm.result,
      IFERROR(
         _xlfn.XLOOKUP(
            1,
            (Table8[رقم الصنف]=A789) *
            (IF($B$9="الكل",1, YEAR('ادخال البيانات'!$N$3:$N$1164)=VALUE($B$9))) *
            (IF($B$10="الكل",1, MONTH('ادخال البيانات'!$N$3:$N$1164)=VALUE($B$10))) *
            (IF($B$11="الكل",1, INT((DAY('ادخال البيانات'!$N$3:$N$1164)-1)/7)+1 = VALUE($B$11))),
            'ادخال البيانات'!$E$3:$E$1164
         ),
         ""
      ),
      IF(_xlpm.result="", "", _xlpm.result)
   )
)</f>
        <v/>
      </c>
      <c r="F789" s="27" t="str" cm="1">
        <f t="array" ref="F789">IF(
   A789="",
   "",
   _xlfn.LET(
      _xlpm.result,
      IFERROR(
         _xlfn.XLOOKUP(
            1,
            (Table8[رقم الصنف]=A789) *
            (IF($B$9="الكل",1, YEAR('ادخال البيانات'!$N$3:$N$1164) = VALUE($B$9))) *
            (IF($B$10="الكل",1, MONTH('ادخال البيانات'!$N$3:$N$1164) = VALUE($B$10))) *
            (IF($B$11="الكل",1, INT((DAY('ادخال البيانات'!$N$3:$N$1164)-1)/7)+1 = VALUE($B$11))),
            'ادخال البيانات'!$F$3:$F$1164
         ),
         ""
      ),
      IF(_xlpm.result="", "", _xlpm.result)
   )
)</f>
        <v/>
      </c>
      <c r="G789" s="27" t="str" cm="1">
        <f t="array" ref="G789">IF(
   A789="",
   "",
   _xlfn.LET(
      _xlpm.result,
      IFERROR(
         _xlfn.XLOOKUP(
            1,
            (Table8[رقم الصنف]=A789) *
            (IF($B$9="الكل",1, YEAR('ادخال البيانات'!$N$3:$N$1164)=VALUE($B$9))) *
            (IF($B$10="الكل",1, MONTH('ادخال البيانات'!$N$3:$N$1164)=VALUE($B$10))) *
            (IF($B$11="الكل",1, INT((DAY('ادخال البيانات'!$N$3:$N$1164)-1)/7)+1 = VALUE($B$11))),
            'ادخال البيانات'!$G$3:$G$1164
         ),
         ""
      ),
      IF(_xlpm.result="", "", _xlpm.result)
   )
)</f>
        <v/>
      </c>
      <c r="H789" s="27" t="str" cm="1">
        <f t="array" ref="H789">IF(
   A789="",
   "",
   _xlfn.LET(
      _xlpm.result,
      IFERROR(
         _xlfn.XLOOKUP(
            1,
            (Table8[رقم الصنف]=A789) *
            (IF($B$9="الكل",1, YEAR('ادخال البيانات'!$N$3:$N$1164)=VALUE($B$9))) *
            (IF($B$10="الكل",1, MONTH('ادخال البيانات'!$N$3:$N$1164)=VALUE($B$10))) *
            (IF($B$11="الكل",1, INT((DAY('ادخال البيانات'!$N$3:$N$1164)-1)/7)+1 = VALUE($B$11))),
            'ادخال البيانات'!$H$3:$H$1164
         ),
         ""
      ),
      IF(_xlpm.result="", "", _xlpm.result)
   )
)</f>
        <v/>
      </c>
      <c r="I789" s="27" t="str" cm="1">
        <f t="array" ref="I789">IF(
   A789="",
   "",
   _xlfn.LET(
      _xlpm.result,
      IFERROR(
         _xlfn.XLOOKUP(
            1,
            (Table8[رقم الصنف]=A789) *
            (IF($B$9="الكل",1, YEAR('ادخال البيانات'!$N$3:$N$1164)=VALUE($B$9))) *
            (IF($B$10="الكل",1, MONTH('ادخال البيانات'!$N$3:$N$1164)=VALUE($B$10))) *
            (IF($B$11="الكل",1, INT((DAY('ادخال البيانات'!$N$3:$N$1164)-1)/7)+1 = VALUE($B$11))),
            'ادخال البيانات'!$I$3:$I$1164
         ),
         ""
      ),
      IF(_xlpm.result="", "", _xlpm.result)
   )
)</f>
        <v/>
      </c>
      <c r="J789" s="27" t="str" cm="1">
        <f t="array" ref="J789">IF(
   A789="",
   "",
   _xlfn.LET(
      _xlpm.result,
      IFERROR(
         _xlfn.XLOOKUP(
            1,
            (Table8[رقم الصنف]=A789) *
            (IF($B$9="الكل",1, YEAR('ادخال البيانات'!$N$3:$N$1164)=VALUE($B$9))) *
            (IF($B$10="الكل",1, MONTH('ادخال البيانات'!$N$3:$N$1164)=VALUE($B$10))) *
            (IF($B$11="الكل",1, INT((DAY('ادخال البيانات'!$N$3:$N$1164)-1)/7)+1 = VALUE($B$11))),
            'ادخال البيانات'!$J$3:$J$1164
         ),
         ""
      ),
      IF(_xlpm.result="", "", _xlpm.result)
   )
)</f>
        <v/>
      </c>
      <c r="K789" s="27" t="str" cm="1">
        <f t="array" ref="K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89" s="27" t="str" cm="1">
        <f t="array" ref="L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89" s="27" t="str" cm="1">
        <f t="array" ref="M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89" s="28" t="str" cm="1">
        <f t="array" ref="N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89" s="28" t="str" cm="1">
        <f t="array" ref="O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89" s="27" t="str" cm="1">
        <f t="array" ref="P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Table8[جهة العطل]
         ),
         ""
      ),
      IF(_xlpm.result="", "", _xlpm.result)
   )
)</f>
        <v/>
      </c>
      <c r="Q789" s="27" t="str" cm="1">
        <f t="array" ref="Q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Table8[المركز]
         ),
         ""
      ),
      IF(_xlpm.result="", "", _xlpm.result)
   )
)</f>
        <v/>
      </c>
      <c r="R789" s="27" t="str" cm="1">
        <f t="array" ref="R789">IF(
   A789="",
   "",
   _xlfn.LET(
      _xlpm.result,
      IFERROR(
         _xlfn.XLOOKUP(
            1,
            (Table8[رقم الصنف]=A789) *
            (IF($B$9="الكل",1, YEAR('ادخال البيانات'!$N$3:$N$1164) = VALUE($B$9))) *
            (IF($B$10="الكل",1, MONTH('ادخال البيانات'!$N$3:$N$1164) = VALUE($B$10))) *
            (IF($B$11="الكل",1, INT((DAY('ادخال البيانات'!$N$3:$N$1164) - 1) / 7) + 1 = VALUE($B$11))),
            Table8[ملاحظة]
         ),
         ""
      ),
      IF(_xlpm.result="", "", _xlpm.result)
   )
)</f>
        <v/>
      </c>
      <c r="S789" s="46" t="str">
        <f t="shared" ca="1" si="13"/>
        <v/>
      </c>
    </row>
    <row r="790" spans="1:19" ht="15.6" thickTop="1" thickBot="1" x14ac:dyDescent="0.35">
      <c r="A790" s="39"/>
      <c r="B790" s="27" t="str" cm="1">
        <f t="array" ref="B790">IF(
   OR(A790="", $B$9="", $B$10="", $B$11=""),
   "",
   _xlfn.LET(
      _xlpm.result,
      IFERROR(
         _xlfn.XLOOKUP(
            1,
            (Table8[رقم الصنف]=A790)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0" s="27" t="str" cm="1">
        <f t="array" ref="C790">IF(
   A790="",
   "",
   _xlfn.LET(
      _xlpm.result,
      IFERROR(
         _xlfn.XLOOKUP(
            1,
            (Table8[رقم الصنف]=A790) *
            (IF($B$9="الكل",1, YEAR('ادخال البيانات'!$N$3:$N$1164) = VALUE($B$9))) *
            (IF($B$10="الكل",1, MONTH('ادخال البيانات'!$N$3:$N$1164) = VALUE($B$10))) *
            (IF($B$11="الكل",1, INT((DAY('ادخال البيانات'!$N$3:$N$1164)-1)/7)+1 = VALUE($B$11))),
            'ادخال البيانات'!$C$3:$C$1164
         ),
         ""
      ),
      IF(_xlpm.result="", "", _xlpm.result)
   )
)</f>
        <v/>
      </c>
      <c r="D790" s="27" t="str" cm="1">
        <f t="array" ref="D790">IF(
   OR(A790="", $B$9="", $B$10="", $B$11=""),
   "",
   _xlfn.LET(
      _xlpm.result,
      IFERROR(
         _xlfn.XLOOKUP(
            1,
            (Table8[رقم الصنف]=A790) *
            (IF($B$9="الكل",1, YEAR('ادخال البيانات'!$N$3:$N$1164)=VALUE($B$9))) *
            (IF($B$10="الكل",1, MONTH('ادخال البيانات'!$N$3:$N$1164)=VALUE($B$10))) *
            (IF($B$11="الكل",1, INT((DAY('ادخال البيانات'!$N$3:$N$1164)-1)/7)+1 = VALUE($B$11))),
            'ادخال البيانات'!$D$3:$D$1164
         ),
         ""
      ),
      IF(_xlpm.result="", "", _xlpm.result)
   )
)</f>
        <v/>
      </c>
      <c r="E790" s="27" t="str" cm="1">
        <f t="array" ref="E790">IF(
   A790="",
   "",
   _xlfn.LET(
      _xlpm.result,
      IFERROR(
         _xlfn.XLOOKUP(
            1,
            (Table8[رقم الصنف]=A790) *
            (IF($B$9="الكل",1, YEAR('ادخال البيانات'!$N$3:$N$1164)=VALUE($B$9))) *
            (IF($B$10="الكل",1, MONTH('ادخال البيانات'!$N$3:$N$1164)=VALUE($B$10))) *
            (IF($B$11="الكل",1, INT((DAY('ادخال البيانات'!$N$3:$N$1164)-1)/7)+1 = VALUE($B$11))),
            'ادخال البيانات'!$E$3:$E$1164
         ),
         ""
      ),
      IF(_xlpm.result="", "", _xlpm.result)
   )
)</f>
        <v/>
      </c>
      <c r="F790" s="27" t="str" cm="1">
        <f t="array" ref="F790">IF(
   A790="",
   "",
   _xlfn.LET(
      _xlpm.result,
      IFERROR(
         _xlfn.XLOOKUP(
            1,
            (Table8[رقم الصنف]=A790) *
            (IF($B$9="الكل",1, YEAR('ادخال البيانات'!$N$3:$N$1164) = VALUE($B$9))) *
            (IF($B$10="الكل",1, MONTH('ادخال البيانات'!$N$3:$N$1164) = VALUE($B$10))) *
            (IF($B$11="الكل",1, INT((DAY('ادخال البيانات'!$N$3:$N$1164)-1)/7)+1 = VALUE($B$11))),
            'ادخال البيانات'!$F$3:$F$1164
         ),
         ""
      ),
      IF(_xlpm.result="", "", _xlpm.result)
   )
)</f>
        <v/>
      </c>
      <c r="G790" s="27" t="str" cm="1">
        <f t="array" ref="G790">IF(
   A790="",
   "",
   _xlfn.LET(
      _xlpm.result,
      IFERROR(
         _xlfn.XLOOKUP(
            1,
            (Table8[رقم الصنف]=A790) *
            (IF($B$9="الكل",1, YEAR('ادخال البيانات'!$N$3:$N$1164)=VALUE($B$9))) *
            (IF($B$10="الكل",1, MONTH('ادخال البيانات'!$N$3:$N$1164)=VALUE($B$10))) *
            (IF($B$11="الكل",1, INT((DAY('ادخال البيانات'!$N$3:$N$1164)-1)/7)+1 = VALUE($B$11))),
            'ادخال البيانات'!$G$3:$G$1164
         ),
         ""
      ),
      IF(_xlpm.result="", "", _xlpm.result)
   )
)</f>
        <v/>
      </c>
      <c r="H790" s="27" t="str" cm="1">
        <f t="array" ref="H790">IF(
   A790="",
   "",
   _xlfn.LET(
      _xlpm.result,
      IFERROR(
         _xlfn.XLOOKUP(
            1,
            (Table8[رقم الصنف]=A790) *
            (IF($B$9="الكل",1, YEAR('ادخال البيانات'!$N$3:$N$1164)=VALUE($B$9))) *
            (IF($B$10="الكل",1, MONTH('ادخال البيانات'!$N$3:$N$1164)=VALUE($B$10))) *
            (IF($B$11="الكل",1, INT((DAY('ادخال البيانات'!$N$3:$N$1164)-1)/7)+1 = VALUE($B$11))),
            'ادخال البيانات'!$H$3:$H$1164
         ),
         ""
      ),
      IF(_xlpm.result="", "", _xlpm.result)
   )
)</f>
        <v/>
      </c>
      <c r="I790" s="27" t="str" cm="1">
        <f t="array" ref="I790">IF(
   A790="",
   "",
   _xlfn.LET(
      _xlpm.result,
      IFERROR(
         _xlfn.XLOOKUP(
            1,
            (Table8[رقم الصنف]=A790) *
            (IF($B$9="الكل",1, YEAR('ادخال البيانات'!$N$3:$N$1164)=VALUE($B$9))) *
            (IF($B$10="الكل",1, MONTH('ادخال البيانات'!$N$3:$N$1164)=VALUE($B$10))) *
            (IF($B$11="الكل",1, INT((DAY('ادخال البيانات'!$N$3:$N$1164)-1)/7)+1 = VALUE($B$11))),
            'ادخال البيانات'!$I$3:$I$1164
         ),
         ""
      ),
      IF(_xlpm.result="", "", _xlpm.result)
   )
)</f>
        <v/>
      </c>
      <c r="J790" s="27" t="str" cm="1">
        <f t="array" ref="J790">IF(
   A790="",
   "",
   _xlfn.LET(
      _xlpm.result,
      IFERROR(
         _xlfn.XLOOKUP(
            1,
            (Table8[رقم الصنف]=A790) *
            (IF($B$9="الكل",1, YEAR('ادخال البيانات'!$N$3:$N$1164)=VALUE($B$9))) *
            (IF($B$10="الكل",1, MONTH('ادخال البيانات'!$N$3:$N$1164)=VALUE($B$10))) *
            (IF($B$11="الكل",1, INT((DAY('ادخال البيانات'!$N$3:$N$1164)-1)/7)+1 = VALUE($B$11))),
            'ادخال البيانات'!$J$3:$J$1164
         ),
         ""
      ),
      IF(_xlpm.result="", "", _xlpm.result)
   )
)</f>
        <v/>
      </c>
      <c r="K790" s="27" t="str" cm="1">
        <f t="array" ref="K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0" s="27" t="str" cm="1">
        <f t="array" ref="L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0" s="27" t="str" cm="1">
        <f t="array" ref="M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0" s="28" t="str" cm="1">
        <f t="array" ref="N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0" s="28" t="str" cm="1">
        <f t="array" ref="O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0" s="27" t="str" cm="1">
        <f t="array" ref="P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Table8[جهة العطل]
         ),
         ""
      ),
      IF(_xlpm.result="", "", _xlpm.result)
   )
)</f>
        <v/>
      </c>
      <c r="Q790" s="27" t="str" cm="1">
        <f t="array" ref="Q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Table8[المركز]
         ),
         ""
      ),
      IF(_xlpm.result="", "", _xlpm.result)
   )
)</f>
        <v/>
      </c>
      <c r="R790" s="27" t="str" cm="1">
        <f t="array" ref="R790">IF(
   A790="",
   "",
   _xlfn.LET(
      _xlpm.result,
      IFERROR(
         _xlfn.XLOOKUP(
            1,
            (Table8[رقم الصنف]=A790) *
            (IF($B$9="الكل",1, YEAR('ادخال البيانات'!$N$3:$N$1164) = VALUE($B$9))) *
            (IF($B$10="الكل",1, MONTH('ادخال البيانات'!$N$3:$N$1164) = VALUE($B$10))) *
            (IF($B$11="الكل",1, INT((DAY('ادخال البيانات'!$N$3:$N$1164) - 1) / 7) + 1 = VALUE($B$11))),
            Table8[ملاحظة]
         ),
         ""
      ),
      IF(_xlpm.result="", "", _xlpm.result)
   )
)</f>
        <v/>
      </c>
      <c r="S790" s="46" t="str">
        <f t="shared" ca="1" si="13"/>
        <v/>
      </c>
    </row>
    <row r="791" spans="1:19" ht="15.6" thickTop="1" thickBot="1" x14ac:dyDescent="0.35">
      <c r="A791" s="39"/>
      <c r="B791" s="27" t="str" cm="1">
        <f t="array" ref="B791">IF(
   OR(A791="", $B$9="", $B$10="", $B$11=""),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1" s="27" t="str" cm="1">
        <f t="array" ref="C791">IF(
   A791="",
   "",
   _xlfn.LET(
      _xlpm.result,
      IFERROR(
         _xlfn.XLOOKUP(
            1,
            (Table8[رقم الصنف]=A791) *
            (IF($B$9="الكل",1, YEAR('ادخال البيانات'!$N$3:$N$1164) = VALUE($B$9))) *
            (IF($B$10="الكل",1, MONTH('ادخال البيانات'!$N$3:$N$1164) = VALUE($B$10))) *
            (IF($B$11="الكل",1, INT((DAY('ادخال البيانات'!$N$3:$N$1164)-1)/7)+1 = VALUE($B$11))),
            'ادخال البيانات'!$C$3:$C$1164
         ),
         ""
      ),
      IF(_xlpm.result="", "", _xlpm.result)
   )
)</f>
        <v/>
      </c>
      <c r="D791" s="27" t="str" cm="1">
        <f t="array" ref="D791">IF(
   OR(A791="", $B$9="", $B$10="", $B$11=""),
   "",
   _xlfn.LET(
      _xlpm.result,
      IFERROR(
         _xlfn.XLOOKUP(
            1,
            (Table8[رقم الصنف]=A791) *
            (IF($B$9="الكل",1, YEAR('ادخال البيانات'!$N$3:$N$1164)=VALUE($B$9))) *
            (IF($B$10="الكل",1, MONTH('ادخال البيانات'!$N$3:$N$1164)=VALUE($B$10))) *
            (IF($B$11="الكل",1, INT((DAY('ادخال البيانات'!$N$3:$N$1164)-1)/7)+1 = VALUE($B$11))),
            'ادخال البيانات'!$D$3:$D$1164
         ),
         ""
      ),
      IF(_xlpm.result="", "", _xlpm.result)
   )
)</f>
        <v/>
      </c>
      <c r="E791" s="27" t="str" cm="1">
        <f t="array" ref="E791">IF(
   A791="",
   "",
   _xlfn.LET(
      _xlpm.result,
      IFERROR(
         _xlfn.XLOOKUP(
            1,
            (Table8[رقم الصنف]=A791) *
            (IF($B$9="الكل",1, YEAR('ادخال البيانات'!$N$3:$N$1164)=VALUE($B$9))) *
            (IF($B$10="الكل",1, MONTH('ادخال البيانات'!$N$3:$N$1164)=VALUE($B$10))) *
            (IF($B$11="الكل",1, INT((DAY('ادخال البيانات'!$N$3:$N$1164)-1)/7)+1 = VALUE($B$11))),
            'ادخال البيانات'!$E$3:$E$1164
         ),
         ""
      ),
      IF(_xlpm.result="", "", _xlpm.result)
   )
)</f>
        <v/>
      </c>
      <c r="F791" s="27" t="str" cm="1">
        <f t="array" ref="F791">IF(
   A791="",
   "",
   _xlfn.LET(
      _xlpm.result,
      IFERROR(
         _xlfn.XLOOKUP(
            1,
            (Table8[رقم الصنف]=A791) *
            (IF($B$9="الكل",1, YEAR('ادخال البيانات'!$N$3:$N$1164) = VALUE($B$9))) *
            (IF($B$10="الكل",1, MONTH('ادخال البيانات'!$N$3:$N$1164) = VALUE($B$10))) *
            (IF($B$11="الكل",1, INT((DAY('ادخال البيانات'!$N$3:$N$1164)-1)/7)+1 = VALUE($B$11))),
            'ادخال البيانات'!$F$3:$F$1164
         ),
         ""
      ),
      IF(_xlpm.result="", "", _xlpm.result)
   )
)</f>
        <v/>
      </c>
      <c r="G791" s="27" t="str" cm="1">
        <f t="array" ref="G791">IF(
   A791="",
   "",
   _xlfn.LET(
      _xlpm.result,
      IFERROR(
         _xlfn.XLOOKUP(
            1,
            (Table8[رقم الصنف]=A791) *
            (IF($B$9="الكل",1, YEAR('ادخال البيانات'!$N$3:$N$1164)=VALUE($B$9))) *
            (IF($B$10="الكل",1, MONTH('ادخال البيانات'!$N$3:$N$1164)=VALUE($B$10))) *
            (IF($B$11="الكل",1, INT((DAY('ادخال البيانات'!$N$3:$N$1164)-1)/7)+1 = VALUE($B$11))),
            'ادخال البيانات'!$G$3:$G$1164
         ),
         ""
      ),
      IF(_xlpm.result="", "", _xlpm.result)
   )
)</f>
        <v/>
      </c>
      <c r="H791" s="27" t="str" cm="1">
        <f t="array" ref="H791">IF(
   A791="",
   "",
   _xlfn.LET(
      _xlpm.result,
      IFERROR(
         _xlfn.XLOOKUP(
            1,
            (Table8[رقم الصنف]=A791) *
            (IF($B$9="الكل",1, YEAR('ادخال البيانات'!$N$3:$N$1164)=VALUE($B$9))) *
            (IF($B$10="الكل",1, MONTH('ادخال البيانات'!$N$3:$N$1164)=VALUE($B$10))) *
            (IF($B$11="الكل",1, INT((DAY('ادخال البيانات'!$N$3:$N$1164)-1)/7)+1 = VALUE($B$11))),
            'ادخال البيانات'!$H$3:$H$1164
         ),
         ""
      ),
      IF(_xlpm.result="", "", _xlpm.result)
   )
)</f>
        <v/>
      </c>
      <c r="I791" s="27" t="str" cm="1">
        <f t="array" ref="I791">IF(
   A791="",
   "",
   _xlfn.LET(
      _xlpm.result,
      IFERROR(
         _xlfn.XLOOKUP(
            1,
            (Table8[رقم الصنف]=A791) *
            (IF($B$9="الكل",1, YEAR('ادخال البيانات'!$N$3:$N$1164)=VALUE($B$9))) *
            (IF($B$10="الكل",1, MONTH('ادخال البيانات'!$N$3:$N$1164)=VALUE($B$10))) *
            (IF($B$11="الكل",1, INT((DAY('ادخال البيانات'!$N$3:$N$1164)-1)/7)+1 = VALUE($B$11))),
            'ادخال البيانات'!$I$3:$I$1164
         ),
         ""
      ),
      IF(_xlpm.result="", "", _xlpm.result)
   )
)</f>
        <v/>
      </c>
      <c r="J791" s="27" t="str" cm="1">
        <f t="array" ref="J791">IF(
   A791="",
   "",
   _xlfn.LET(
      _xlpm.result,
      IFERROR(
         _xlfn.XLOOKUP(
            1,
            (Table8[رقم الصنف]=A791) *
            (IF($B$9="الكل",1, YEAR('ادخال البيانات'!$N$3:$N$1164)=VALUE($B$9))) *
            (IF($B$10="الكل",1, MONTH('ادخال البيانات'!$N$3:$N$1164)=VALUE($B$10))) *
            (IF($B$11="الكل",1, INT((DAY('ادخال البيانات'!$N$3:$N$1164)-1)/7)+1 = VALUE($B$11))),
            'ادخال البيانات'!$J$3:$J$1164
         ),
         ""
      ),
      IF(_xlpm.result="", "", _xlpm.result)
   )
)</f>
        <v/>
      </c>
      <c r="K791" s="27" t="str" cm="1">
        <f t="array" ref="K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1" s="27" t="str" cm="1">
        <f t="array" ref="L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1" s="27" t="str" cm="1">
        <f t="array" ref="M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1" s="28" t="str" cm="1">
        <f t="array" ref="N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1" s="28" t="str" cm="1">
        <f t="array" ref="O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1" s="27" t="str" cm="1">
        <f t="array" ref="P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Table8[جهة العطل]
         ),
         ""
      ),
      IF(_xlpm.result="", "", _xlpm.result)
   )
)</f>
        <v/>
      </c>
      <c r="Q791" s="27" t="str" cm="1">
        <f t="array" ref="Q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Table8[المركز]
         ),
         ""
      ),
      IF(_xlpm.result="", "", _xlpm.result)
   )
)</f>
        <v/>
      </c>
      <c r="R791" s="27" t="str" cm="1">
        <f t="array" ref="R791">IF(
   A791="",
   "",
   _xlfn.LET(
      _xlpm.result,
      IFERROR(
         _xlfn.XLOOKUP(
            1,
            (Table8[رقم الصنف]=A791) *
            (IF($B$9="الكل",1, YEAR('ادخال البيانات'!$N$3:$N$1164) = VALUE($B$9))) *
            (IF($B$10="الكل",1, MONTH('ادخال البيانات'!$N$3:$N$1164) = VALUE($B$10))) *
            (IF($B$11="الكل",1, INT((DAY('ادخال البيانات'!$N$3:$N$1164) - 1) / 7) + 1 = VALUE($B$11))),
            Table8[ملاحظة]
         ),
         ""
      ),
      IF(_xlpm.result="", "", _xlpm.result)
   )
)</f>
        <v/>
      </c>
      <c r="S791" s="46" t="str">
        <f t="shared" ca="1" si="13"/>
        <v/>
      </c>
    </row>
    <row r="792" spans="1:19" ht="15.6" thickTop="1" thickBot="1" x14ac:dyDescent="0.35">
      <c r="A792" s="39"/>
      <c r="B792" s="27" t="str" cm="1">
        <f t="array" ref="B792">IF(
   OR(A792="", $B$9="", $B$10="", $B$11=""),
   "",
   _xlfn.LET(
      _xlpm.result,
      IFERROR(
         _xlfn.XLOOKUP(
            1,
            (Table8[رقم الصنف]=A792)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2" s="27" t="str" cm="1">
        <f t="array" ref="C792">IF(
   A792="",
   "",
   _xlfn.LET(
      _xlpm.result,
      IFERROR(
         _xlfn.XLOOKUP(
            1,
            (Table8[رقم الصنف]=A792) *
            (IF($B$9="الكل",1, YEAR('ادخال البيانات'!$N$3:$N$1164) = VALUE($B$9))) *
            (IF($B$10="الكل",1, MONTH('ادخال البيانات'!$N$3:$N$1164) = VALUE($B$10))) *
            (IF($B$11="الكل",1, INT((DAY('ادخال البيانات'!$N$3:$N$1164)-1)/7)+1 = VALUE($B$11))),
            'ادخال البيانات'!$C$3:$C$1164
         ),
         ""
      ),
      IF(_xlpm.result="", "", _xlpm.result)
   )
)</f>
        <v/>
      </c>
      <c r="D792" s="27" t="str" cm="1">
        <f t="array" ref="D792">IF(
   OR(A792="", $B$9="", $B$10="", $B$11=""),
   "",
   _xlfn.LET(
      _xlpm.result,
      IFERROR(
         _xlfn.XLOOKUP(
            1,
            (Table8[رقم الصنف]=A792) *
            (IF($B$9="الكل",1, YEAR('ادخال البيانات'!$N$3:$N$1164)=VALUE($B$9))) *
            (IF($B$10="الكل",1, MONTH('ادخال البيانات'!$N$3:$N$1164)=VALUE($B$10))) *
            (IF($B$11="الكل",1, INT((DAY('ادخال البيانات'!$N$3:$N$1164)-1)/7)+1 = VALUE($B$11))),
            'ادخال البيانات'!$D$3:$D$1164
         ),
         ""
      ),
      IF(_xlpm.result="", "", _xlpm.result)
   )
)</f>
        <v/>
      </c>
      <c r="E792" s="27" t="str" cm="1">
        <f t="array" ref="E792">IF(
   A792="",
   "",
   _xlfn.LET(
      _xlpm.result,
      IFERROR(
         _xlfn.XLOOKUP(
            1,
            (Table8[رقم الصنف]=A792) *
            (IF($B$9="الكل",1, YEAR('ادخال البيانات'!$N$3:$N$1164)=VALUE($B$9))) *
            (IF($B$10="الكل",1, MONTH('ادخال البيانات'!$N$3:$N$1164)=VALUE($B$10))) *
            (IF($B$11="الكل",1, INT((DAY('ادخال البيانات'!$N$3:$N$1164)-1)/7)+1 = VALUE($B$11))),
            'ادخال البيانات'!$E$3:$E$1164
         ),
         ""
      ),
      IF(_xlpm.result="", "", _xlpm.result)
   )
)</f>
        <v/>
      </c>
      <c r="F792" s="27" t="str" cm="1">
        <f t="array" ref="F792">IF(
   A792="",
   "",
   _xlfn.LET(
      _xlpm.result,
      IFERROR(
         _xlfn.XLOOKUP(
            1,
            (Table8[رقم الصنف]=A792) *
            (IF($B$9="الكل",1, YEAR('ادخال البيانات'!$N$3:$N$1164) = VALUE($B$9))) *
            (IF($B$10="الكل",1, MONTH('ادخال البيانات'!$N$3:$N$1164) = VALUE($B$10))) *
            (IF($B$11="الكل",1, INT((DAY('ادخال البيانات'!$N$3:$N$1164)-1)/7)+1 = VALUE($B$11))),
            'ادخال البيانات'!$F$3:$F$1164
         ),
         ""
      ),
      IF(_xlpm.result="", "", _xlpm.result)
   )
)</f>
        <v/>
      </c>
      <c r="G792" s="27" t="str" cm="1">
        <f t="array" ref="G792">IF(
   A792="",
   "",
   _xlfn.LET(
      _xlpm.result,
      IFERROR(
         _xlfn.XLOOKUP(
            1,
            (Table8[رقم الصنف]=A792) *
            (IF($B$9="الكل",1, YEAR('ادخال البيانات'!$N$3:$N$1164)=VALUE($B$9))) *
            (IF($B$10="الكل",1, MONTH('ادخال البيانات'!$N$3:$N$1164)=VALUE($B$10))) *
            (IF($B$11="الكل",1, INT((DAY('ادخال البيانات'!$N$3:$N$1164)-1)/7)+1 = VALUE($B$11))),
            'ادخال البيانات'!$G$3:$G$1164
         ),
         ""
      ),
      IF(_xlpm.result="", "", _xlpm.result)
   )
)</f>
        <v/>
      </c>
      <c r="H792" s="27" t="str" cm="1">
        <f t="array" ref="H792">IF(
   A792="",
   "",
   _xlfn.LET(
      _xlpm.result,
      IFERROR(
         _xlfn.XLOOKUP(
            1,
            (Table8[رقم الصنف]=A792) *
            (IF($B$9="الكل",1, YEAR('ادخال البيانات'!$N$3:$N$1164)=VALUE($B$9))) *
            (IF($B$10="الكل",1, MONTH('ادخال البيانات'!$N$3:$N$1164)=VALUE($B$10))) *
            (IF($B$11="الكل",1, INT((DAY('ادخال البيانات'!$N$3:$N$1164)-1)/7)+1 = VALUE($B$11))),
            'ادخال البيانات'!$H$3:$H$1164
         ),
         ""
      ),
      IF(_xlpm.result="", "", _xlpm.result)
   )
)</f>
        <v/>
      </c>
      <c r="I792" s="27" t="str" cm="1">
        <f t="array" ref="I792">IF(
   A792="",
   "",
   _xlfn.LET(
      _xlpm.result,
      IFERROR(
         _xlfn.XLOOKUP(
            1,
            (Table8[رقم الصنف]=A792) *
            (IF($B$9="الكل",1, YEAR('ادخال البيانات'!$N$3:$N$1164)=VALUE($B$9))) *
            (IF($B$10="الكل",1, MONTH('ادخال البيانات'!$N$3:$N$1164)=VALUE($B$10))) *
            (IF($B$11="الكل",1, INT((DAY('ادخال البيانات'!$N$3:$N$1164)-1)/7)+1 = VALUE($B$11))),
            'ادخال البيانات'!$I$3:$I$1164
         ),
         ""
      ),
      IF(_xlpm.result="", "", _xlpm.result)
   )
)</f>
        <v/>
      </c>
      <c r="J792" s="27" t="str" cm="1">
        <f t="array" ref="J792">IF(
   A792="",
   "",
   _xlfn.LET(
      _xlpm.result,
      IFERROR(
         _xlfn.XLOOKUP(
            1,
            (Table8[رقم الصنف]=A792) *
            (IF($B$9="الكل",1, YEAR('ادخال البيانات'!$N$3:$N$1164)=VALUE($B$9))) *
            (IF($B$10="الكل",1, MONTH('ادخال البيانات'!$N$3:$N$1164)=VALUE($B$10))) *
            (IF($B$11="الكل",1, INT((DAY('ادخال البيانات'!$N$3:$N$1164)-1)/7)+1 = VALUE($B$11))),
            'ادخال البيانات'!$J$3:$J$1164
         ),
         ""
      ),
      IF(_xlpm.result="", "", _xlpm.result)
   )
)</f>
        <v/>
      </c>
      <c r="K792" s="27" t="str" cm="1">
        <f t="array" ref="K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2" s="27" t="str" cm="1">
        <f t="array" ref="L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2" s="27" t="str" cm="1">
        <f t="array" ref="M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2" s="28" t="str" cm="1">
        <f t="array" ref="N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2" s="28" t="str" cm="1">
        <f t="array" ref="O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2" s="27" t="str" cm="1">
        <f t="array" ref="P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Table8[جهة العطل]
         ),
         ""
      ),
      IF(_xlpm.result="", "", _xlpm.result)
   )
)</f>
        <v/>
      </c>
      <c r="Q792" s="27" t="str" cm="1">
        <f t="array" ref="Q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Table8[المركز]
         ),
         ""
      ),
      IF(_xlpm.result="", "", _xlpm.result)
   )
)</f>
        <v/>
      </c>
      <c r="R792" s="27" t="str" cm="1">
        <f t="array" ref="R792">IF(
   A792="",
   "",
   _xlfn.LET(
      _xlpm.result,
      IFERROR(
         _xlfn.XLOOKUP(
            1,
            (Table8[رقم الصنف]=A792) *
            (IF($B$9="الكل",1, YEAR('ادخال البيانات'!$N$3:$N$1164) = VALUE($B$9))) *
            (IF($B$10="الكل",1, MONTH('ادخال البيانات'!$N$3:$N$1164) = VALUE($B$10))) *
            (IF($B$11="الكل",1, INT((DAY('ادخال البيانات'!$N$3:$N$1164) - 1) / 7) + 1 = VALUE($B$11))),
            Table8[ملاحظة]
         ),
         ""
      ),
      IF(_xlpm.result="", "", _xlpm.result)
   )
)</f>
        <v/>
      </c>
      <c r="S792" s="46" t="str">
        <f t="shared" ca="1" si="13"/>
        <v/>
      </c>
    </row>
    <row r="793" spans="1:19" ht="15.6" thickTop="1" thickBot="1" x14ac:dyDescent="0.35">
      <c r="A793" s="39"/>
      <c r="B793" s="27" t="str" cm="1">
        <f t="array" ref="B793">IF(
   OR(A793="", $B$9="", $B$10="", $B$11=""),
   "",
   _xlfn.LET(
      _xlpm.result,
      IFERROR(
         _xlfn.XLOOKUP(
            1,
            (Table8[رقم الصنف]=A793)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3" s="27" t="str" cm="1">
        <f t="array" ref="C793">IF(
   A793="",
   "",
   _xlfn.LET(
      _xlpm.result,
      IFERROR(
         _xlfn.XLOOKUP(
            1,
            (Table8[رقم الصنف]=A793) *
            (IF($B$9="الكل",1, YEAR('ادخال البيانات'!$N$3:$N$1164) = VALUE($B$9))) *
            (IF($B$10="الكل",1, MONTH('ادخال البيانات'!$N$3:$N$1164) = VALUE($B$10))) *
            (IF($B$11="الكل",1, INT((DAY('ادخال البيانات'!$N$3:$N$1164)-1)/7)+1 = VALUE($B$11))),
            'ادخال البيانات'!$C$3:$C$1164
         ),
         ""
      ),
      IF(_xlpm.result="", "", _xlpm.result)
   )
)</f>
        <v/>
      </c>
      <c r="D793" s="27" t="str" cm="1">
        <f t="array" ref="D793">IF(
   OR(A793="", $B$9="", $B$10="", $B$11=""),
   "",
   _xlfn.LET(
      _xlpm.result,
      IFERROR(
         _xlfn.XLOOKUP(
            1,
            (Table8[رقم الصنف]=A793) *
            (IF($B$9="الكل",1, YEAR('ادخال البيانات'!$N$3:$N$1164)=VALUE($B$9))) *
            (IF($B$10="الكل",1, MONTH('ادخال البيانات'!$N$3:$N$1164)=VALUE($B$10))) *
            (IF($B$11="الكل",1, INT((DAY('ادخال البيانات'!$N$3:$N$1164)-1)/7)+1 = VALUE($B$11))),
            'ادخال البيانات'!$D$3:$D$1164
         ),
         ""
      ),
      IF(_xlpm.result="", "", _xlpm.result)
   )
)</f>
        <v/>
      </c>
      <c r="E793" s="27" t="str" cm="1">
        <f t="array" ref="E793">IF(
   A793="",
   "",
   _xlfn.LET(
      _xlpm.result,
      IFERROR(
         _xlfn.XLOOKUP(
            1,
            (Table8[رقم الصنف]=A793) *
            (IF($B$9="الكل",1, YEAR('ادخال البيانات'!$N$3:$N$1164)=VALUE($B$9))) *
            (IF($B$10="الكل",1, MONTH('ادخال البيانات'!$N$3:$N$1164)=VALUE($B$10))) *
            (IF($B$11="الكل",1, INT((DAY('ادخال البيانات'!$N$3:$N$1164)-1)/7)+1 = VALUE($B$11))),
            'ادخال البيانات'!$E$3:$E$1164
         ),
         ""
      ),
      IF(_xlpm.result="", "", _xlpm.result)
   )
)</f>
        <v/>
      </c>
      <c r="F793" s="27" t="str" cm="1">
        <f t="array" ref="F793">IF(
   A793="",
   "",
   _xlfn.LET(
      _xlpm.result,
      IFERROR(
         _xlfn.XLOOKUP(
            1,
            (Table8[رقم الصنف]=A793) *
            (IF($B$9="الكل",1, YEAR('ادخال البيانات'!$N$3:$N$1164) = VALUE($B$9))) *
            (IF($B$10="الكل",1, MONTH('ادخال البيانات'!$N$3:$N$1164) = VALUE($B$10))) *
            (IF($B$11="الكل",1, INT((DAY('ادخال البيانات'!$N$3:$N$1164)-1)/7)+1 = VALUE($B$11))),
            'ادخال البيانات'!$F$3:$F$1164
         ),
         ""
      ),
      IF(_xlpm.result="", "", _xlpm.result)
   )
)</f>
        <v/>
      </c>
      <c r="G793" s="27" t="str" cm="1">
        <f t="array" ref="G793">IF(
   A793="",
   "",
   _xlfn.LET(
      _xlpm.result,
      IFERROR(
         _xlfn.XLOOKUP(
            1,
            (Table8[رقم الصنف]=A793) *
            (IF($B$9="الكل",1, YEAR('ادخال البيانات'!$N$3:$N$1164)=VALUE($B$9))) *
            (IF($B$10="الكل",1, MONTH('ادخال البيانات'!$N$3:$N$1164)=VALUE($B$10))) *
            (IF($B$11="الكل",1, INT((DAY('ادخال البيانات'!$N$3:$N$1164)-1)/7)+1 = VALUE($B$11))),
            'ادخال البيانات'!$G$3:$G$1164
         ),
         ""
      ),
      IF(_xlpm.result="", "", _xlpm.result)
   )
)</f>
        <v/>
      </c>
      <c r="H793" s="27" t="str" cm="1">
        <f t="array" ref="H793">IF(
   A793="",
   "",
   _xlfn.LET(
      _xlpm.result,
      IFERROR(
         _xlfn.XLOOKUP(
            1,
            (Table8[رقم الصنف]=A793) *
            (IF($B$9="الكل",1, YEAR('ادخال البيانات'!$N$3:$N$1164)=VALUE($B$9))) *
            (IF($B$10="الكل",1, MONTH('ادخال البيانات'!$N$3:$N$1164)=VALUE($B$10))) *
            (IF($B$11="الكل",1, INT((DAY('ادخال البيانات'!$N$3:$N$1164)-1)/7)+1 = VALUE($B$11))),
            'ادخال البيانات'!$H$3:$H$1164
         ),
         ""
      ),
      IF(_xlpm.result="", "", _xlpm.result)
   )
)</f>
        <v/>
      </c>
      <c r="I793" s="27" t="str" cm="1">
        <f t="array" ref="I793">IF(
   A793="",
   "",
   _xlfn.LET(
      _xlpm.result,
      IFERROR(
         _xlfn.XLOOKUP(
            1,
            (Table8[رقم الصنف]=A793) *
            (IF($B$9="الكل",1, YEAR('ادخال البيانات'!$N$3:$N$1164)=VALUE($B$9))) *
            (IF($B$10="الكل",1, MONTH('ادخال البيانات'!$N$3:$N$1164)=VALUE($B$10))) *
            (IF($B$11="الكل",1, INT((DAY('ادخال البيانات'!$N$3:$N$1164)-1)/7)+1 = VALUE($B$11))),
            'ادخال البيانات'!$I$3:$I$1164
         ),
         ""
      ),
      IF(_xlpm.result="", "", _xlpm.result)
   )
)</f>
        <v/>
      </c>
      <c r="J793" s="27" t="str" cm="1">
        <f t="array" ref="J793">IF(
   A793="",
   "",
   _xlfn.LET(
      _xlpm.result,
      IFERROR(
         _xlfn.XLOOKUP(
            1,
            (Table8[رقم الصنف]=A793) *
            (IF($B$9="الكل",1, YEAR('ادخال البيانات'!$N$3:$N$1164)=VALUE($B$9))) *
            (IF($B$10="الكل",1, MONTH('ادخال البيانات'!$N$3:$N$1164)=VALUE($B$10))) *
            (IF($B$11="الكل",1, INT((DAY('ادخال البيانات'!$N$3:$N$1164)-1)/7)+1 = VALUE($B$11))),
            'ادخال البيانات'!$J$3:$J$1164
         ),
         ""
      ),
      IF(_xlpm.result="", "", _xlpm.result)
   )
)</f>
        <v/>
      </c>
      <c r="K793" s="27" t="str" cm="1">
        <f t="array" ref="K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3" s="27" t="str" cm="1">
        <f t="array" ref="L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3" s="27" t="str" cm="1">
        <f t="array" ref="M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3" s="28" t="str" cm="1">
        <f t="array" ref="N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3" s="28" t="str" cm="1">
        <f t="array" ref="O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3" s="27" t="str" cm="1">
        <f t="array" ref="P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Table8[جهة العطل]
         ),
         ""
      ),
      IF(_xlpm.result="", "", _xlpm.result)
   )
)</f>
        <v/>
      </c>
      <c r="Q793" s="27" t="str" cm="1">
        <f t="array" ref="Q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Table8[المركز]
         ),
         ""
      ),
      IF(_xlpm.result="", "", _xlpm.result)
   )
)</f>
        <v/>
      </c>
      <c r="R793" s="27" t="str" cm="1">
        <f t="array" ref="R793">IF(
   A793="",
   "",
   _xlfn.LET(
      _xlpm.result,
      IFERROR(
         _xlfn.XLOOKUP(
            1,
            (Table8[رقم الصنف]=A793) *
            (IF($B$9="الكل",1, YEAR('ادخال البيانات'!$N$3:$N$1164) = VALUE($B$9))) *
            (IF($B$10="الكل",1, MONTH('ادخال البيانات'!$N$3:$N$1164) = VALUE($B$10))) *
            (IF($B$11="الكل",1, INT((DAY('ادخال البيانات'!$N$3:$N$1164) - 1) / 7) + 1 = VALUE($B$11))),
            Table8[ملاحظة]
         ),
         ""
      ),
      IF(_xlpm.result="", "", _xlpm.result)
   )
)</f>
        <v/>
      </c>
      <c r="S793" s="46" t="str">
        <f t="shared" ca="1" si="13"/>
        <v/>
      </c>
    </row>
    <row r="794" spans="1:19" ht="15.6" thickTop="1" thickBot="1" x14ac:dyDescent="0.35">
      <c r="A794" s="39"/>
      <c r="B794" s="27" t="str" cm="1">
        <f t="array" ref="B794">IF(
   OR(A794="", $B$9="", $B$10="", $B$11=""),
   "",
   _xlfn.LET(
      _xlpm.result,
      IFERROR(
         _xlfn.XLOOKUP(
            1,
            (Table8[رقم الصنف]=A794)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4" s="27" t="str" cm="1">
        <f t="array" ref="C794">IF(
   A794="",
   "",
   _xlfn.LET(
      _xlpm.result,
      IFERROR(
         _xlfn.XLOOKUP(
            1,
            (Table8[رقم الصنف]=A794) *
            (IF($B$9="الكل",1, YEAR('ادخال البيانات'!$N$3:$N$1164) = VALUE($B$9))) *
            (IF($B$10="الكل",1, MONTH('ادخال البيانات'!$N$3:$N$1164) = VALUE($B$10))) *
            (IF($B$11="الكل",1, INT((DAY('ادخال البيانات'!$N$3:$N$1164)-1)/7)+1 = VALUE($B$11))),
            'ادخال البيانات'!$C$3:$C$1164
         ),
         ""
      ),
      IF(_xlpm.result="", "", _xlpm.result)
   )
)</f>
        <v/>
      </c>
      <c r="D794" s="27" t="str" cm="1">
        <f t="array" ref="D794">IF(
   OR(A794="", $B$9="", $B$10="", $B$11=""),
   "",
   _xlfn.LET(
      _xlpm.result,
      IFERROR(
         _xlfn.XLOOKUP(
            1,
            (Table8[رقم الصنف]=A794) *
            (IF($B$9="الكل",1, YEAR('ادخال البيانات'!$N$3:$N$1164)=VALUE($B$9))) *
            (IF($B$10="الكل",1, MONTH('ادخال البيانات'!$N$3:$N$1164)=VALUE($B$10))) *
            (IF($B$11="الكل",1, INT((DAY('ادخال البيانات'!$N$3:$N$1164)-1)/7)+1 = VALUE($B$11))),
            'ادخال البيانات'!$D$3:$D$1164
         ),
         ""
      ),
      IF(_xlpm.result="", "", _xlpm.result)
   )
)</f>
        <v/>
      </c>
      <c r="E794" s="27" t="str" cm="1">
        <f t="array" ref="E794">IF(
   A794="",
   "",
   _xlfn.LET(
      _xlpm.result,
      IFERROR(
         _xlfn.XLOOKUP(
            1,
            (Table8[رقم الصنف]=A794) *
            (IF($B$9="الكل",1, YEAR('ادخال البيانات'!$N$3:$N$1164)=VALUE($B$9))) *
            (IF($B$10="الكل",1, MONTH('ادخال البيانات'!$N$3:$N$1164)=VALUE($B$10))) *
            (IF($B$11="الكل",1, INT((DAY('ادخال البيانات'!$N$3:$N$1164)-1)/7)+1 = VALUE($B$11))),
            'ادخال البيانات'!$E$3:$E$1164
         ),
         ""
      ),
      IF(_xlpm.result="", "", _xlpm.result)
   )
)</f>
        <v/>
      </c>
      <c r="F794" s="27" t="str" cm="1">
        <f t="array" ref="F794">IF(
   A794="",
   "",
   _xlfn.LET(
      _xlpm.result,
      IFERROR(
         _xlfn.XLOOKUP(
            1,
            (Table8[رقم الصنف]=A794) *
            (IF($B$9="الكل",1, YEAR('ادخال البيانات'!$N$3:$N$1164) = VALUE($B$9))) *
            (IF($B$10="الكل",1, MONTH('ادخال البيانات'!$N$3:$N$1164) = VALUE($B$10))) *
            (IF($B$11="الكل",1, INT((DAY('ادخال البيانات'!$N$3:$N$1164)-1)/7)+1 = VALUE($B$11))),
            'ادخال البيانات'!$F$3:$F$1164
         ),
         ""
      ),
      IF(_xlpm.result="", "", _xlpm.result)
   )
)</f>
        <v/>
      </c>
      <c r="G794" s="27" t="str" cm="1">
        <f t="array" ref="G794">IF(
   A794="",
   "",
   _xlfn.LET(
      _xlpm.result,
      IFERROR(
         _xlfn.XLOOKUP(
            1,
            (Table8[رقم الصنف]=A794) *
            (IF($B$9="الكل",1, YEAR('ادخال البيانات'!$N$3:$N$1164)=VALUE($B$9))) *
            (IF($B$10="الكل",1, MONTH('ادخال البيانات'!$N$3:$N$1164)=VALUE($B$10))) *
            (IF($B$11="الكل",1, INT((DAY('ادخال البيانات'!$N$3:$N$1164)-1)/7)+1 = VALUE($B$11))),
            'ادخال البيانات'!$G$3:$G$1164
         ),
         ""
      ),
      IF(_xlpm.result="", "", _xlpm.result)
   )
)</f>
        <v/>
      </c>
      <c r="H794" s="27" t="str" cm="1">
        <f t="array" ref="H794">IF(
   A794="",
   "",
   _xlfn.LET(
      _xlpm.result,
      IFERROR(
         _xlfn.XLOOKUP(
            1,
            (Table8[رقم الصنف]=A794) *
            (IF($B$9="الكل",1, YEAR('ادخال البيانات'!$N$3:$N$1164)=VALUE($B$9))) *
            (IF($B$10="الكل",1, MONTH('ادخال البيانات'!$N$3:$N$1164)=VALUE($B$10))) *
            (IF($B$11="الكل",1, INT((DAY('ادخال البيانات'!$N$3:$N$1164)-1)/7)+1 = VALUE($B$11))),
            'ادخال البيانات'!$H$3:$H$1164
         ),
         ""
      ),
      IF(_xlpm.result="", "", _xlpm.result)
   )
)</f>
        <v/>
      </c>
      <c r="I794" s="27" t="str" cm="1">
        <f t="array" ref="I794">IF(
   A794="",
   "",
   _xlfn.LET(
      _xlpm.result,
      IFERROR(
         _xlfn.XLOOKUP(
            1,
            (Table8[رقم الصنف]=A794) *
            (IF($B$9="الكل",1, YEAR('ادخال البيانات'!$N$3:$N$1164)=VALUE($B$9))) *
            (IF($B$10="الكل",1, MONTH('ادخال البيانات'!$N$3:$N$1164)=VALUE($B$10))) *
            (IF($B$11="الكل",1, INT((DAY('ادخال البيانات'!$N$3:$N$1164)-1)/7)+1 = VALUE($B$11))),
            'ادخال البيانات'!$I$3:$I$1164
         ),
         ""
      ),
      IF(_xlpm.result="", "", _xlpm.result)
   )
)</f>
        <v/>
      </c>
      <c r="J794" s="27" t="str" cm="1">
        <f t="array" ref="J794">IF(
   A794="",
   "",
   _xlfn.LET(
      _xlpm.result,
      IFERROR(
         _xlfn.XLOOKUP(
            1,
            (Table8[رقم الصنف]=A794) *
            (IF($B$9="الكل",1, YEAR('ادخال البيانات'!$N$3:$N$1164)=VALUE($B$9))) *
            (IF($B$10="الكل",1, MONTH('ادخال البيانات'!$N$3:$N$1164)=VALUE($B$10))) *
            (IF($B$11="الكل",1, INT((DAY('ادخال البيانات'!$N$3:$N$1164)-1)/7)+1 = VALUE($B$11))),
            'ادخال البيانات'!$J$3:$J$1164
         ),
         ""
      ),
      IF(_xlpm.result="", "", _xlpm.result)
   )
)</f>
        <v/>
      </c>
      <c r="K794" s="27" t="str" cm="1">
        <f t="array" ref="K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4" s="27" t="str" cm="1">
        <f t="array" ref="L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4" s="27" t="str" cm="1">
        <f t="array" ref="M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4" s="28" t="str" cm="1">
        <f t="array" ref="N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4" s="28" t="str" cm="1">
        <f t="array" ref="O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4" s="27" t="str" cm="1">
        <f t="array" ref="P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Table8[جهة العطل]
         ),
         ""
      ),
      IF(_xlpm.result="", "", _xlpm.result)
   )
)</f>
        <v/>
      </c>
      <c r="Q794" s="27" t="str" cm="1">
        <f t="array" ref="Q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Table8[المركز]
         ),
         ""
      ),
      IF(_xlpm.result="", "", _xlpm.result)
   )
)</f>
        <v/>
      </c>
      <c r="R794" s="27" t="str" cm="1">
        <f t="array" ref="R794">IF(
   A794="",
   "",
   _xlfn.LET(
      _xlpm.result,
      IFERROR(
         _xlfn.XLOOKUP(
            1,
            (Table8[رقم الصنف]=A794) *
            (IF($B$9="الكل",1, YEAR('ادخال البيانات'!$N$3:$N$1164) = VALUE($B$9))) *
            (IF($B$10="الكل",1, MONTH('ادخال البيانات'!$N$3:$N$1164) = VALUE($B$10))) *
            (IF($B$11="الكل",1, INT((DAY('ادخال البيانات'!$N$3:$N$1164) - 1) / 7) + 1 = VALUE($B$11))),
            Table8[ملاحظة]
         ),
         ""
      ),
      IF(_xlpm.result="", "", _xlpm.result)
   )
)</f>
        <v/>
      </c>
      <c r="S794" s="46" t="str">
        <f t="shared" ca="1" si="13"/>
        <v/>
      </c>
    </row>
    <row r="795" spans="1:19" ht="15.6" thickTop="1" thickBot="1" x14ac:dyDescent="0.35">
      <c r="A795" s="39"/>
      <c r="B795" s="27" t="str" cm="1">
        <f t="array" ref="B795">IF(
   OR(A795="", $B$9="", $B$10="", $B$11=""),
   "",
   _xlfn.LET(
      _xlpm.result,
      IFERROR(
         _xlfn.XLOOKUP(
            1,
            (Table8[رقم الصنف]=A795)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5" s="27" t="str" cm="1">
        <f t="array" ref="C795">IF(
   A795="",
   "",
   _xlfn.LET(
      _xlpm.result,
      IFERROR(
         _xlfn.XLOOKUP(
            1,
            (Table8[رقم الصنف]=A795) *
            (IF($B$9="الكل",1, YEAR('ادخال البيانات'!$N$3:$N$1164) = VALUE($B$9))) *
            (IF($B$10="الكل",1, MONTH('ادخال البيانات'!$N$3:$N$1164) = VALUE($B$10))) *
            (IF($B$11="الكل",1, INT((DAY('ادخال البيانات'!$N$3:$N$1164)-1)/7)+1 = VALUE($B$11))),
            'ادخال البيانات'!$C$3:$C$1164
         ),
         ""
      ),
      IF(_xlpm.result="", "", _xlpm.result)
   )
)</f>
        <v/>
      </c>
      <c r="D795" s="27" t="str" cm="1">
        <f t="array" ref="D795">IF(
   OR(A795="", $B$9="", $B$10="", $B$11=""),
   "",
   _xlfn.LET(
      _xlpm.result,
      IFERROR(
         _xlfn.XLOOKUP(
            1,
            (Table8[رقم الصنف]=A795) *
            (IF($B$9="الكل",1, YEAR('ادخال البيانات'!$N$3:$N$1164)=VALUE($B$9))) *
            (IF($B$10="الكل",1, MONTH('ادخال البيانات'!$N$3:$N$1164)=VALUE($B$10))) *
            (IF($B$11="الكل",1, INT((DAY('ادخال البيانات'!$N$3:$N$1164)-1)/7)+1 = VALUE($B$11))),
            'ادخال البيانات'!$D$3:$D$1164
         ),
         ""
      ),
      IF(_xlpm.result="", "", _xlpm.result)
   )
)</f>
        <v/>
      </c>
      <c r="E795" s="27" t="str" cm="1">
        <f t="array" ref="E795">IF(
   A795="",
   "",
   _xlfn.LET(
      _xlpm.result,
      IFERROR(
         _xlfn.XLOOKUP(
            1,
            (Table8[رقم الصنف]=A795) *
            (IF($B$9="الكل",1, YEAR('ادخال البيانات'!$N$3:$N$1164)=VALUE($B$9))) *
            (IF($B$10="الكل",1, MONTH('ادخال البيانات'!$N$3:$N$1164)=VALUE($B$10))) *
            (IF($B$11="الكل",1, INT((DAY('ادخال البيانات'!$N$3:$N$1164)-1)/7)+1 = VALUE($B$11))),
            'ادخال البيانات'!$E$3:$E$1164
         ),
         ""
      ),
      IF(_xlpm.result="", "", _xlpm.result)
   )
)</f>
        <v/>
      </c>
      <c r="F795" s="27" t="str" cm="1">
        <f t="array" ref="F795">IF(
   A795="",
   "",
   _xlfn.LET(
      _xlpm.result,
      IFERROR(
         _xlfn.XLOOKUP(
            1,
            (Table8[رقم الصنف]=A795) *
            (IF($B$9="الكل",1, YEAR('ادخال البيانات'!$N$3:$N$1164) = VALUE($B$9))) *
            (IF($B$10="الكل",1, MONTH('ادخال البيانات'!$N$3:$N$1164) = VALUE($B$10))) *
            (IF($B$11="الكل",1, INT((DAY('ادخال البيانات'!$N$3:$N$1164)-1)/7)+1 = VALUE($B$11))),
            'ادخال البيانات'!$F$3:$F$1164
         ),
         ""
      ),
      IF(_xlpm.result="", "", _xlpm.result)
   )
)</f>
        <v/>
      </c>
      <c r="G795" s="27" t="str" cm="1">
        <f t="array" ref="G795">IF(
   A795="",
   "",
   _xlfn.LET(
      _xlpm.result,
      IFERROR(
         _xlfn.XLOOKUP(
            1,
            (Table8[رقم الصنف]=A795) *
            (IF($B$9="الكل",1, YEAR('ادخال البيانات'!$N$3:$N$1164)=VALUE($B$9))) *
            (IF($B$10="الكل",1, MONTH('ادخال البيانات'!$N$3:$N$1164)=VALUE($B$10))) *
            (IF($B$11="الكل",1, INT((DAY('ادخال البيانات'!$N$3:$N$1164)-1)/7)+1 = VALUE($B$11))),
            'ادخال البيانات'!$G$3:$G$1164
         ),
         ""
      ),
      IF(_xlpm.result="", "", _xlpm.result)
   )
)</f>
        <v/>
      </c>
      <c r="H795" s="27" t="str" cm="1">
        <f t="array" ref="H795">IF(
   A795="",
   "",
   _xlfn.LET(
      _xlpm.result,
      IFERROR(
         _xlfn.XLOOKUP(
            1,
            (Table8[رقم الصنف]=A795) *
            (IF($B$9="الكل",1, YEAR('ادخال البيانات'!$N$3:$N$1164)=VALUE($B$9))) *
            (IF($B$10="الكل",1, MONTH('ادخال البيانات'!$N$3:$N$1164)=VALUE($B$10))) *
            (IF($B$11="الكل",1, INT((DAY('ادخال البيانات'!$N$3:$N$1164)-1)/7)+1 = VALUE($B$11))),
            'ادخال البيانات'!$H$3:$H$1164
         ),
         ""
      ),
      IF(_xlpm.result="", "", _xlpm.result)
   )
)</f>
        <v/>
      </c>
      <c r="I795" s="27" t="str" cm="1">
        <f t="array" ref="I795">IF(
   A795="",
   "",
   _xlfn.LET(
      _xlpm.result,
      IFERROR(
         _xlfn.XLOOKUP(
            1,
            (Table8[رقم الصنف]=A795) *
            (IF($B$9="الكل",1, YEAR('ادخال البيانات'!$N$3:$N$1164)=VALUE($B$9))) *
            (IF($B$10="الكل",1, MONTH('ادخال البيانات'!$N$3:$N$1164)=VALUE($B$10))) *
            (IF($B$11="الكل",1, INT((DAY('ادخال البيانات'!$N$3:$N$1164)-1)/7)+1 = VALUE($B$11))),
            'ادخال البيانات'!$I$3:$I$1164
         ),
         ""
      ),
      IF(_xlpm.result="", "", _xlpm.result)
   )
)</f>
        <v/>
      </c>
      <c r="J795" s="27" t="str" cm="1">
        <f t="array" ref="J795">IF(
   A795="",
   "",
   _xlfn.LET(
      _xlpm.result,
      IFERROR(
         _xlfn.XLOOKUP(
            1,
            (Table8[رقم الصنف]=A795) *
            (IF($B$9="الكل",1, YEAR('ادخال البيانات'!$N$3:$N$1164)=VALUE($B$9))) *
            (IF($B$10="الكل",1, MONTH('ادخال البيانات'!$N$3:$N$1164)=VALUE($B$10))) *
            (IF($B$11="الكل",1, INT((DAY('ادخال البيانات'!$N$3:$N$1164)-1)/7)+1 = VALUE($B$11))),
            'ادخال البيانات'!$J$3:$J$1164
         ),
         ""
      ),
      IF(_xlpm.result="", "", _xlpm.result)
   )
)</f>
        <v/>
      </c>
      <c r="K795" s="27" t="str" cm="1">
        <f t="array" ref="K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5" s="27" t="str" cm="1">
        <f t="array" ref="L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5" s="27" t="str" cm="1">
        <f t="array" ref="M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5" s="28" t="str" cm="1">
        <f t="array" ref="N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5" s="28" t="str" cm="1">
        <f t="array" ref="O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5" s="27" t="str" cm="1">
        <f t="array" ref="P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Table8[جهة العطل]
         ),
         ""
      ),
      IF(_xlpm.result="", "", _xlpm.result)
   )
)</f>
        <v/>
      </c>
      <c r="Q795" s="27" t="str" cm="1">
        <f t="array" ref="Q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Table8[المركز]
         ),
         ""
      ),
      IF(_xlpm.result="", "", _xlpm.result)
   )
)</f>
        <v/>
      </c>
      <c r="R795" s="27" t="str" cm="1">
        <f t="array" ref="R795">IF(
   A795="",
   "",
   _xlfn.LET(
      _xlpm.result,
      IFERROR(
         _xlfn.XLOOKUP(
            1,
            (Table8[رقم الصنف]=A795) *
            (IF($B$9="الكل",1, YEAR('ادخال البيانات'!$N$3:$N$1164) = VALUE($B$9))) *
            (IF($B$10="الكل",1, MONTH('ادخال البيانات'!$N$3:$N$1164) = VALUE($B$10))) *
            (IF($B$11="الكل",1, INT((DAY('ادخال البيانات'!$N$3:$N$1164) - 1) / 7) + 1 = VALUE($B$11))),
            Table8[ملاحظة]
         ),
         ""
      ),
      IF(_xlpm.result="", "", _xlpm.result)
   )
)</f>
        <v/>
      </c>
      <c r="S795" s="46" t="str">
        <f t="shared" ca="1" si="13"/>
        <v/>
      </c>
    </row>
    <row r="796" spans="1:19" ht="15.6" thickTop="1" thickBot="1" x14ac:dyDescent="0.35">
      <c r="A796" s="39"/>
      <c r="B796" s="27" t="str" cm="1">
        <f t="array" ref="B796">IF(
   OR(A796="", $B$9="", $B$10="", $B$11=""),
   "",
   _xlfn.LET(
      _xlpm.result,
      IFERROR(
         _xlfn.XLOOKUP(
            1,
            (Table8[رقم الصنف]=A796)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6" s="27" t="str" cm="1">
        <f t="array" ref="C796">IF(
   A796="",
   "",
   _xlfn.LET(
      _xlpm.result,
      IFERROR(
         _xlfn.XLOOKUP(
            1,
            (Table8[رقم الصنف]=A796) *
            (IF($B$9="الكل",1, YEAR('ادخال البيانات'!$N$3:$N$1164) = VALUE($B$9))) *
            (IF($B$10="الكل",1, MONTH('ادخال البيانات'!$N$3:$N$1164) = VALUE($B$10))) *
            (IF($B$11="الكل",1, INT((DAY('ادخال البيانات'!$N$3:$N$1164)-1)/7)+1 = VALUE($B$11))),
            'ادخال البيانات'!$C$3:$C$1164
         ),
         ""
      ),
      IF(_xlpm.result="", "", _xlpm.result)
   )
)</f>
        <v/>
      </c>
      <c r="D796" s="27" t="str" cm="1">
        <f t="array" ref="D796">IF(
   OR(A796="", $B$9="", $B$10="", $B$11=""),
   "",
   _xlfn.LET(
      _xlpm.result,
      IFERROR(
         _xlfn.XLOOKUP(
            1,
            (Table8[رقم الصنف]=A796) *
            (IF($B$9="الكل",1, YEAR('ادخال البيانات'!$N$3:$N$1164)=VALUE($B$9))) *
            (IF($B$10="الكل",1, MONTH('ادخال البيانات'!$N$3:$N$1164)=VALUE($B$10))) *
            (IF($B$11="الكل",1, INT((DAY('ادخال البيانات'!$N$3:$N$1164)-1)/7)+1 = VALUE($B$11))),
            'ادخال البيانات'!$D$3:$D$1164
         ),
         ""
      ),
      IF(_xlpm.result="", "", _xlpm.result)
   )
)</f>
        <v/>
      </c>
      <c r="E796" s="27" t="str" cm="1">
        <f t="array" ref="E796">IF(
   A796="",
   "",
   _xlfn.LET(
      _xlpm.result,
      IFERROR(
         _xlfn.XLOOKUP(
            1,
            (Table8[رقم الصنف]=A796) *
            (IF($B$9="الكل",1, YEAR('ادخال البيانات'!$N$3:$N$1164)=VALUE($B$9))) *
            (IF($B$10="الكل",1, MONTH('ادخال البيانات'!$N$3:$N$1164)=VALUE($B$10))) *
            (IF($B$11="الكل",1, INT((DAY('ادخال البيانات'!$N$3:$N$1164)-1)/7)+1 = VALUE($B$11))),
            'ادخال البيانات'!$E$3:$E$1164
         ),
         ""
      ),
      IF(_xlpm.result="", "", _xlpm.result)
   )
)</f>
        <v/>
      </c>
      <c r="F796" s="27" t="str" cm="1">
        <f t="array" ref="F796">IF(
   A796="",
   "",
   _xlfn.LET(
      _xlpm.result,
      IFERROR(
         _xlfn.XLOOKUP(
            1,
            (Table8[رقم الصنف]=A796) *
            (IF($B$9="الكل",1, YEAR('ادخال البيانات'!$N$3:$N$1164) = VALUE($B$9))) *
            (IF($B$10="الكل",1, MONTH('ادخال البيانات'!$N$3:$N$1164) = VALUE($B$10))) *
            (IF($B$11="الكل",1, INT((DAY('ادخال البيانات'!$N$3:$N$1164)-1)/7)+1 = VALUE($B$11))),
            'ادخال البيانات'!$F$3:$F$1164
         ),
         ""
      ),
      IF(_xlpm.result="", "", _xlpm.result)
   )
)</f>
        <v/>
      </c>
      <c r="G796" s="27" t="str" cm="1">
        <f t="array" ref="G796">IF(
   A796="",
   "",
   _xlfn.LET(
      _xlpm.result,
      IFERROR(
         _xlfn.XLOOKUP(
            1,
            (Table8[رقم الصنف]=A796) *
            (IF($B$9="الكل",1, YEAR('ادخال البيانات'!$N$3:$N$1164)=VALUE($B$9))) *
            (IF($B$10="الكل",1, MONTH('ادخال البيانات'!$N$3:$N$1164)=VALUE($B$10))) *
            (IF($B$11="الكل",1, INT((DAY('ادخال البيانات'!$N$3:$N$1164)-1)/7)+1 = VALUE($B$11))),
            'ادخال البيانات'!$G$3:$G$1164
         ),
         ""
      ),
      IF(_xlpm.result="", "", _xlpm.result)
   )
)</f>
        <v/>
      </c>
      <c r="H796" s="27" t="str" cm="1">
        <f t="array" ref="H796">IF(
   A796="",
   "",
   _xlfn.LET(
      _xlpm.result,
      IFERROR(
         _xlfn.XLOOKUP(
            1,
            (Table8[رقم الصنف]=A796) *
            (IF($B$9="الكل",1, YEAR('ادخال البيانات'!$N$3:$N$1164)=VALUE($B$9))) *
            (IF($B$10="الكل",1, MONTH('ادخال البيانات'!$N$3:$N$1164)=VALUE($B$10))) *
            (IF($B$11="الكل",1, INT((DAY('ادخال البيانات'!$N$3:$N$1164)-1)/7)+1 = VALUE($B$11))),
            'ادخال البيانات'!$H$3:$H$1164
         ),
         ""
      ),
      IF(_xlpm.result="", "", _xlpm.result)
   )
)</f>
        <v/>
      </c>
      <c r="I796" s="27" t="str" cm="1">
        <f t="array" ref="I796">IF(
   A796="",
   "",
   _xlfn.LET(
      _xlpm.result,
      IFERROR(
         _xlfn.XLOOKUP(
            1,
            (Table8[رقم الصنف]=A796) *
            (IF($B$9="الكل",1, YEAR('ادخال البيانات'!$N$3:$N$1164)=VALUE($B$9))) *
            (IF($B$10="الكل",1, MONTH('ادخال البيانات'!$N$3:$N$1164)=VALUE($B$10))) *
            (IF($B$11="الكل",1, INT((DAY('ادخال البيانات'!$N$3:$N$1164)-1)/7)+1 = VALUE($B$11))),
            'ادخال البيانات'!$I$3:$I$1164
         ),
         ""
      ),
      IF(_xlpm.result="", "", _xlpm.result)
   )
)</f>
        <v/>
      </c>
      <c r="J796" s="27" t="str" cm="1">
        <f t="array" ref="J796">IF(
   A796="",
   "",
   _xlfn.LET(
      _xlpm.result,
      IFERROR(
         _xlfn.XLOOKUP(
            1,
            (Table8[رقم الصنف]=A796) *
            (IF($B$9="الكل",1, YEAR('ادخال البيانات'!$N$3:$N$1164)=VALUE($B$9))) *
            (IF($B$10="الكل",1, MONTH('ادخال البيانات'!$N$3:$N$1164)=VALUE($B$10))) *
            (IF($B$11="الكل",1, INT((DAY('ادخال البيانات'!$N$3:$N$1164)-1)/7)+1 = VALUE($B$11))),
            'ادخال البيانات'!$J$3:$J$1164
         ),
         ""
      ),
      IF(_xlpm.result="", "", _xlpm.result)
   )
)</f>
        <v/>
      </c>
      <c r="K796" s="27" t="str" cm="1">
        <f t="array" ref="K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6" s="27" t="str" cm="1">
        <f t="array" ref="L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6" s="27" t="str" cm="1">
        <f t="array" ref="M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6" s="28" t="str" cm="1">
        <f t="array" ref="N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6" s="28" t="str" cm="1">
        <f t="array" ref="O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6" s="27" t="str" cm="1">
        <f t="array" ref="P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Table8[جهة العطل]
         ),
         ""
      ),
      IF(_xlpm.result="", "", _xlpm.result)
   )
)</f>
        <v/>
      </c>
      <c r="Q796" s="27" t="str" cm="1">
        <f t="array" ref="Q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Table8[المركز]
         ),
         ""
      ),
      IF(_xlpm.result="", "", _xlpm.result)
   )
)</f>
        <v/>
      </c>
      <c r="R796" s="27" t="str" cm="1">
        <f t="array" ref="R796">IF(
   A796="",
   "",
   _xlfn.LET(
      _xlpm.result,
      IFERROR(
         _xlfn.XLOOKUP(
            1,
            (Table8[رقم الصنف]=A796) *
            (IF($B$9="الكل",1, YEAR('ادخال البيانات'!$N$3:$N$1164) = VALUE($B$9))) *
            (IF($B$10="الكل",1, MONTH('ادخال البيانات'!$N$3:$N$1164) = VALUE($B$10))) *
            (IF($B$11="الكل",1, INT((DAY('ادخال البيانات'!$N$3:$N$1164) - 1) / 7) + 1 = VALUE($B$11))),
            Table8[ملاحظة]
         ),
         ""
      ),
      IF(_xlpm.result="", "", _xlpm.result)
   )
)</f>
        <v/>
      </c>
      <c r="S796" s="46" t="str">
        <f t="shared" ca="1" si="13"/>
        <v/>
      </c>
    </row>
    <row r="797" spans="1:19" ht="15.6" thickTop="1" thickBot="1" x14ac:dyDescent="0.35">
      <c r="A797" s="39"/>
      <c r="B797" s="27" t="str" cm="1">
        <f t="array" ref="B797">IF(
   OR(A797="", $B$9="", $B$10="", $B$11=""),
   "",
   _xlfn.LET(
      _xlpm.result,
      IFERROR(
         _xlfn.XLOOKUP(
            1,
            (Table8[رقم الصنف]=A797)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7" s="27" t="str" cm="1">
        <f t="array" ref="C797">IF(
   A797="",
   "",
   _xlfn.LET(
      _xlpm.result,
      IFERROR(
         _xlfn.XLOOKUP(
            1,
            (Table8[رقم الصنف]=A797) *
            (IF($B$9="الكل",1, YEAR('ادخال البيانات'!$N$3:$N$1164) = VALUE($B$9))) *
            (IF($B$10="الكل",1, MONTH('ادخال البيانات'!$N$3:$N$1164) = VALUE($B$10))) *
            (IF($B$11="الكل",1, INT((DAY('ادخال البيانات'!$N$3:$N$1164)-1)/7)+1 = VALUE($B$11))),
            'ادخال البيانات'!$C$3:$C$1164
         ),
         ""
      ),
      IF(_xlpm.result="", "", _xlpm.result)
   )
)</f>
        <v/>
      </c>
      <c r="D797" s="27" t="str" cm="1">
        <f t="array" ref="D797">IF(
   OR(A797="", $B$9="", $B$10="", $B$11=""),
   "",
   _xlfn.LET(
      _xlpm.result,
      IFERROR(
         _xlfn.XLOOKUP(
            1,
            (Table8[رقم الصنف]=A797) *
            (IF($B$9="الكل",1, YEAR('ادخال البيانات'!$N$3:$N$1164)=VALUE($B$9))) *
            (IF($B$10="الكل",1, MONTH('ادخال البيانات'!$N$3:$N$1164)=VALUE($B$10))) *
            (IF($B$11="الكل",1, INT((DAY('ادخال البيانات'!$N$3:$N$1164)-1)/7)+1 = VALUE($B$11))),
            'ادخال البيانات'!$D$3:$D$1164
         ),
         ""
      ),
      IF(_xlpm.result="", "", _xlpm.result)
   )
)</f>
        <v/>
      </c>
      <c r="E797" s="27" t="str" cm="1">
        <f t="array" ref="E797">IF(
   A797="",
   "",
   _xlfn.LET(
      _xlpm.result,
      IFERROR(
         _xlfn.XLOOKUP(
            1,
            (Table8[رقم الصنف]=A797) *
            (IF($B$9="الكل",1, YEAR('ادخال البيانات'!$N$3:$N$1164)=VALUE($B$9))) *
            (IF($B$10="الكل",1, MONTH('ادخال البيانات'!$N$3:$N$1164)=VALUE($B$10))) *
            (IF($B$11="الكل",1, INT((DAY('ادخال البيانات'!$N$3:$N$1164)-1)/7)+1 = VALUE($B$11))),
            'ادخال البيانات'!$E$3:$E$1164
         ),
         ""
      ),
      IF(_xlpm.result="", "", _xlpm.result)
   )
)</f>
        <v/>
      </c>
      <c r="F797" s="27" t="str" cm="1">
        <f t="array" ref="F797">IF(
   A797="",
   "",
   _xlfn.LET(
      _xlpm.result,
      IFERROR(
         _xlfn.XLOOKUP(
            1,
            (Table8[رقم الصنف]=A797) *
            (IF($B$9="الكل",1, YEAR('ادخال البيانات'!$N$3:$N$1164) = VALUE($B$9))) *
            (IF($B$10="الكل",1, MONTH('ادخال البيانات'!$N$3:$N$1164) = VALUE($B$10))) *
            (IF($B$11="الكل",1, INT((DAY('ادخال البيانات'!$N$3:$N$1164)-1)/7)+1 = VALUE($B$11))),
            'ادخال البيانات'!$F$3:$F$1164
         ),
         ""
      ),
      IF(_xlpm.result="", "", _xlpm.result)
   )
)</f>
        <v/>
      </c>
      <c r="G797" s="27" t="str" cm="1">
        <f t="array" ref="G797">IF(
   A797="",
   "",
   _xlfn.LET(
      _xlpm.result,
      IFERROR(
         _xlfn.XLOOKUP(
            1,
            (Table8[رقم الصنف]=A797) *
            (IF($B$9="الكل",1, YEAR('ادخال البيانات'!$N$3:$N$1164)=VALUE($B$9))) *
            (IF($B$10="الكل",1, MONTH('ادخال البيانات'!$N$3:$N$1164)=VALUE($B$10))) *
            (IF($B$11="الكل",1, INT((DAY('ادخال البيانات'!$N$3:$N$1164)-1)/7)+1 = VALUE($B$11))),
            'ادخال البيانات'!$G$3:$G$1164
         ),
         ""
      ),
      IF(_xlpm.result="", "", _xlpm.result)
   )
)</f>
        <v/>
      </c>
      <c r="H797" s="27" t="str" cm="1">
        <f t="array" ref="H797">IF(
   A797="",
   "",
   _xlfn.LET(
      _xlpm.result,
      IFERROR(
         _xlfn.XLOOKUP(
            1,
            (Table8[رقم الصنف]=A797) *
            (IF($B$9="الكل",1, YEAR('ادخال البيانات'!$N$3:$N$1164)=VALUE($B$9))) *
            (IF($B$10="الكل",1, MONTH('ادخال البيانات'!$N$3:$N$1164)=VALUE($B$10))) *
            (IF($B$11="الكل",1, INT((DAY('ادخال البيانات'!$N$3:$N$1164)-1)/7)+1 = VALUE($B$11))),
            'ادخال البيانات'!$H$3:$H$1164
         ),
         ""
      ),
      IF(_xlpm.result="", "", _xlpm.result)
   )
)</f>
        <v/>
      </c>
      <c r="I797" s="27" t="str" cm="1">
        <f t="array" ref="I797">IF(
   A797="",
   "",
   _xlfn.LET(
      _xlpm.result,
      IFERROR(
         _xlfn.XLOOKUP(
            1,
            (Table8[رقم الصنف]=A797) *
            (IF($B$9="الكل",1, YEAR('ادخال البيانات'!$N$3:$N$1164)=VALUE($B$9))) *
            (IF($B$10="الكل",1, MONTH('ادخال البيانات'!$N$3:$N$1164)=VALUE($B$10))) *
            (IF($B$11="الكل",1, INT((DAY('ادخال البيانات'!$N$3:$N$1164)-1)/7)+1 = VALUE($B$11))),
            'ادخال البيانات'!$I$3:$I$1164
         ),
         ""
      ),
      IF(_xlpm.result="", "", _xlpm.result)
   )
)</f>
        <v/>
      </c>
      <c r="J797" s="27" t="str" cm="1">
        <f t="array" ref="J797">IF(
   A797="",
   "",
   _xlfn.LET(
      _xlpm.result,
      IFERROR(
         _xlfn.XLOOKUP(
            1,
            (Table8[رقم الصنف]=A797) *
            (IF($B$9="الكل",1, YEAR('ادخال البيانات'!$N$3:$N$1164)=VALUE($B$9))) *
            (IF($B$10="الكل",1, MONTH('ادخال البيانات'!$N$3:$N$1164)=VALUE($B$10))) *
            (IF($B$11="الكل",1, INT((DAY('ادخال البيانات'!$N$3:$N$1164)-1)/7)+1 = VALUE($B$11))),
            'ادخال البيانات'!$J$3:$J$1164
         ),
         ""
      ),
      IF(_xlpm.result="", "", _xlpm.result)
   )
)</f>
        <v/>
      </c>
      <c r="K797" s="27" t="str" cm="1">
        <f t="array" ref="K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7" s="27" t="str" cm="1">
        <f t="array" ref="L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7" s="27" t="str" cm="1">
        <f t="array" ref="M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7" s="28" t="str" cm="1">
        <f t="array" ref="N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7" s="28" t="str" cm="1">
        <f t="array" ref="O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7" s="27" t="str" cm="1">
        <f t="array" ref="P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Table8[جهة العطل]
         ),
         ""
      ),
      IF(_xlpm.result="", "", _xlpm.result)
   )
)</f>
        <v/>
      </c>
      <c r="Q797" s="27" t="str" cm="1">
        <f t="array" ref="Q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Table8[المركز]
         ),
         ""
      ),
      IF(_xlpm.result="", "", _xlpm.result)
   )
)</f>
        <v/>
      </c>
      <c r="R797" s="27" t="str" cm="1">
        <f t="array" ref="R797">IF(
   A797="",
   "",
   _xlfn.LET(
      _xlpm.result,
      IFERROR(
         _xlfn.XLOOKUP(
            1,
            (Table8[رقم الصنف]=A797) *
            (IF($B$9="الكل",1, YEAR('ادخال البيانات'!$N$3:$N$1164) = VALUE($B$9))) *
            (IF($B$10="الكل",1, MONTH('ادخال البيانات'!$N$3:$N$1164) = VALUE($B$10))) *
            (IF($B$11="الكل",1, INT((DAY('ادخال البيانات'!$N$3:$N$1164) - 1) / 7) + 1 = VALUE($B$11))),
            Table8[ملاحظة]
         ),
         ""
      ),
      IF(_xlpm.result="", "", _xlpm.result)
   )
)</f>
        <v/>
      </c>
      <c r="S797" s="46" t="str">
        <f t="shared" ca="1" si="13"/>
        <v/>
      </c>
    </row>
    <row r="798" spans="1:19" ht="15.6" thickTop="1" thickBot="1" x14ac:dyDescent="0.35">
      <c r="A798" s="39"/>
      <c r="B798" s="27" t="str" cm="1">
        <f t="array" ref="B798">IF(
   OR(A798="", $B$9="", $B$10="", $B$11=""),
   "",
   _xlfn.LET(
      _xlpm.result,
      IFERROR(
         _xlfn.XLOOKUP(
            1,
            (Table8[رقم الصنف]=A798)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8" s="27" t="str" cm="1">
        <f t="array" ref="C798">IF(
   A798="",
   "",
   _xlfn.LET(
      _xlpm.result,
      IFERROR(
         _xlfn.XLOOKUP(
            1,
            (Table8[رقم الصنف]=A798) *
            (IF($B$9="الكل",1, YEAR('ادخال البيانات'!$N$3:$N$1164) = VALUE($B$9))) *
            (IF($B$10="الكل",1, MONTH('ادخال البيانات'!$N$3:$N$1164) = VALUE($B$10))) *
            (IF($B$11="الكل",1, INT((DAY('ادخال البيانات'!$N$3:$N$1164)-1)/7)+1 = VALUE($B$11))),
            'ادخال البيانات'!$C$3:$C$1164
         ),
         ""
      ),
      IF(_xlpm.result="", "", _xlpm.result)
   )
)</f>
        <v/>
      </c>
      <c r="D798" s="27" t="str" cm="1">
        <f t="array" ref="D798">IF(
   OR(A798="", $B$9="", $B$10="", $B$11=""),
   "",
   _xlfn.LET(
      _xlpm.result,
      IFERROR(
         _xlfn.XLOOKUP(
            1,
            (Table8[رقم الصنف]=A798) *
            (IF($B$9="الكل",1, YEAR('ادخال البيانات'!$N$3:$N$1164)=VALUE($B$9))) *
            (IF($B$10="الكل",1, MONTH('ادخال البيانات'!$N$3:$N$1164)=VALUE($B$10))) *
            (IF($B$11="الكل",1, INT((DAY('ادخال البيانات'!$N$3:$N$1164)-1)/7)+1 = VALUE($B$11))),
            'ادخال البيانات'!$D$3:$D$1164
         ),
         ""
      ),
      IF(_xlpm.result="", "", _xlpm.result)
   )
)</f>
        <v/>
      </c>
      <c r="E798" s="27" t="str" cm="1">
        <f t="array" ref="E798">IF(
   A798="",
   "",
   _xlfn.LET(
      _xlpm.result,
      IFERROR(
         _xlfn.XLOOKUP(
            1,
            (Table8[رقم الصنف]=A798) *
            (IF($B$9="الكل",1, YEAR('ادخال البيانات'!$N$3:$N$1164)=VALUE($B$9))) *
            (IF($B$10="الكل",1, MONTH('ادخال البيانات'!$N$3:$N$1164)=VALUE($B$10))) *
            (IF($B$11="الكل",1, INT((DAY('ادخال البيانات'!$N$3:$N$1164)-1)/7)+1 = VALUE($B$11))),
            'ادخال البيانات'!$E$3:$E$1164
         ),
         ""
      ),
      IF(_xlpm.result="", "", _xlpm.result)
   )
)</f>
        <v/>
      </c>
      <c r="F798" s="27" t="str" cm="1">
        <f t="array" ref="F798">IF(
   A798="",
   "",
   _xlfn.LET(
      _xlpm.result,
      IFERROR(
         _xlfn.XLOOKUP(
            1,
            (Table8[رقم الصنف]=A798) *
            (IF($B$9="الكل",1, YEAR('ادخال البيانات'!$N$3:$N$1164) = VALUE($B$9))) *
            (IF($B$10="الكل",1, MONTH('ادخال البيانات'!$N$3:$N$1164) = VALUE($B$10))) *
            (IF($B$11="الكل",1, INT((DAY('ادخال البيانات'!$N$3:$N$1164)-1)/7)+1 = VALUE($B$11))),
            'ادخال البيانات'!$F$3:$F$1164
         ),
         ""
      ),
      IF(_xlpm.result="", "", _xlpm.result)
   )
)</f>
        <v/>
      </c>
      <c r="G798" s="27" t="str" cm="1">
        <f t="array" ref="G798">IF(
   A798="",
   "",
   _xlfn.LET(
      _xlpm.result,
      IFERROR(
         _xlfn.XLOOKUP(
            1,
            (Table8[رقم الصنف]=A798) *
            (IF($B$9="الكل",1, YEAR('ادخال البيانات'!$N$3:$N$1164)=VALUE($B$9))) *
            (IF($B$10="الكل",1, MONTH('ادخال البيانات'!$N$3:$N$1164)=VALUE($B$10))) *
            (IF($B$11="الكل",1, INT((DAY('ادخال البيانات'!$N$3:$N$1164)-1)/7)+1 = VALUE($B$11))),
            'ادخال البيانات'!$G$3:$G$1164
         ),
         ""
      ),
      IF(_xlpm.result="", "", _xlpm.result)
   )
)</f>
        <v/>
      </c>
      <c r="H798" s="27" t="str" cm="1">
        <f t="array" ref="H798">IF(
   A798="",
   "",
   _xlfn.LET(
      _xlpm.result,
      IFERROR(
         _xlfn.XLOOKUP(
            1,
            (Table8[رقم الصنف]=A798) *
            (IF($B$9="الكل",1, YEAR('ادخال البيانات'!$N$3:$N$1164)=VALUE($B$9))) *
            (IF($B$10="الكل",1, MONTH('ادخال البيانات'!$N$3:$N$1164)=VALUE($B$10))) *
            (IF($B$11="الكل",1, INT((DAY('ادخال البيانات'!$N$3:$N$1164)-1)/7)+1 = VALUE($B$11))),
            'ادخال البيانات'!$H$3:$H$1164
         ),
         ""
      ),
      IF(_xlpm.result="", "", _xlpm.result)
   )
)</f>
        <v/>
      </c>
      <c r="I798" s="27" t="str" cm="1">
        <f t="array" ref="I798">IF(
   A798="",
   "",
   _xlfn.LET(
      _xlpm.result,
      IFERROR(
         _xlfn.XLOOKUP(
            1,
            (Table8[رقم الصنف]=A798) *
            (IF($B$9="الكل",1, YEAR('ادخال البيانات'!$N$3:$N$1164)=VALUE($B$9))) *
            (IF($B$10="الكل",1, MONTH('ادخال البيانات'!$N$3:$N$1164)=VALUE($B$10))) *
            (IF($B$11="الكل",1, INT((DAY('ادخال البيانات'!$N$3:$N$1164)-1)/7)+1 = VALUE($B$11))),
            'ادخال البيانات'!$I$3:$I$1164
         ),
         ""
      ),
      IF(_xlpm.result="", "", _xlpm.result)
   )
)</f>
        <v/>
      </c>
      <c r="J798" s="27" t="str" cm="1">
        <f t="array" ref="J798">IF(
   A798="",
   "",
   _xlfn.LET(
      _xlpm.result,
      IFERROR(
         _xlfn.XLOOKUP(
            1,
            (Table8[رقم الصنف]=A798) *
            (IF($B$9="الكل",1, YEAR('ادخال البيانات'!$N$3:$N$1164)=VALUE($B$9))) *
            (IF($B$10="الكل",1, MONTH('ادخال البيانات'!$N$3:$N$1164)=VALUE($B$10))) *
            (IF($B$11="الكل",1, INT((DAY('ادخال البيانات'!$N$3:$N$1164)-1)/7)+1 = VALUE($B$11))),
            'ادخال البيانات'!$J$3:$J$1164
         ),
         ""
      ),
      IF(_xlpm.result="", "", _xlpm.result)
   )
)</f>
        <v/>
      </c>
      <c r="K798" s="27" t="str" cm="1">
        <f t="array" ref="K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8" s="27" t="str" cm="1">
        <f t="array" ref="L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8" s="27" t="str" cm="1">
        <f t="array" ref="M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8" s="28" t="str" cm="1">
        <f t="array" ref="N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8" s="28" t="str" cm="1">
        <f t="array" ref="O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8" s="27" t="str" cm="1">
        <f t="array" ref="P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Table8[جهة العطل]
         ),
         ""
      ),
      IF(_xlpm.result="", "", _xlpm.result)
   )
)</f>
        <v/>
      </c>
      <c r="Q798" s="27" t="str" cm="1">
        <f t="array" ref="Q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Table8[المركز]
         ),
         ""
      ),
      IF(_xlpm.result="", "", _xlpm.result)
   )
)</f>
        <v/>
      </c>
      <c r="R798" s="27" t="str" cm="1">
        <f t="array" ref="R798">IF(
   A798="",
   "",
   _xlfn.LET(
      _xlpm.result,
      IFERROR(
         _xlfn.XLOOKUP(
            1,
            (Table8[رقم الصنف]=A798) *
            (IF($B$9="الكل",1, YEAR('ادخال البيانات'!$N$3:$N$1164) = VALUE($B$9))) *
            (IF($B$10="الكل",1, MONTH('ادخال البيانات'!$N$3:$N$1164) = VALUE($B$10))) *
            (IF($B$11="الكل",1, INT((DAY('ادخال البيانات'!$N$3:$N$1164) - 1) / 7) + 1 = VALUE($B$11))),
            Table8[ملاحظة]
         ),
         ""
      ),
      IF(_xlpm.result="", "", _xlpm.result)
   )
)</f>
        <v/>
      </c>
      <c r="S798" s="46" t="str">
        <f t="shared" ca="1" si="13"/>
        <v/>
      </c>
    </row>
    <row r="799" spans="1:19" ht="15.6" thickTop="1" thickBot="1" x14ac:dyDescent="0.35">
      <c r="A799" s="39"/>
      <c r="B799" s="27" t="str" cm="1">
        <f t="array" ref="B799">IF(
   OR(A799="", $B$9="", $B$10="", $B$11=""),
   "",
   _xlfn.LET(
      _xlpm.result,
      IFERROR(
         _xlfn.XLOOKUP(
            1,
            (Table8[رقم الصنف]=A799)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799" s="27" t="str" cm="1">
        <f t="array" ref="C799">IF(
   A799="",
   "",
   _xlfn.LET(
      _xlpm.result,
      IFERROR(
         _xlfn.XLOOKUP(
            1,
            (Table8[رقم الصنف]=A799) *
            (IF($B$9="الكل",1, YEAR('ادخال البيانات'!$N$3:$N$1164) = VALUE($B$9))) *
            (IF($B$10="الكل",1, MONTH('ادخال البيانات'!$N$3:$N$1164) = VALUE($B$10))) *
            (IF($B$11="الكل",1, INT((DAY('ادخال البيانات'!$N$3:$N$1164)-1)/7)+1 = VALUE($B$11))),
            'ادخال البيانات'!$C$3:$C$1164
         ),
         ""
      ),
      IF(_xlpm.result="", "", _xlpm.result)
   )
)</f>
        <v/>
      </c>
      <c r="D799" s="27" t="str" cm="1">
        <f t="array" ref="D799">IF(
   OR(A799="", $B$9="", $B$10="", $B$11=""),
   "",
   _xlfn.LET(
      _xlpm.result,
      IFERROR(
         _xlfn.XLOOKUP(
            1,
            (Table8[رقم الصنف]=A799) *
            (IF($B$9="الكل",1, YEAR('ادخال البيانات'!$N$3:$N$1164)=VALUE($B$9))) *
            (IF($B$10="الكل",1, MONTH('ادخال البيانات'!$N$3:$N$1164)=VALUE($B$10))) *
            (IF($B$11="الكل",1, INT((DAY('ادخال البيانات'!$N$3:$N$1164)-1)/7)+1 = VALUE($B$11))),
            'ادخال البيانات'!$D$3:$D$1164
         ),
         ""
      ),
      IF(_xlpm.result="", "", _xlpm.result)
   )
)</f>
        <v/>
      </c>
      <c r="E799" s="27" t="str" cm="1">
        <f t="array" ref="E799">IF(
   A799="",
   "",
   _xlfn.LET(
      _xlpm.result,
      IFERROR(
         _xlfn.XLOOKUP(
            1,
            (Table8[رقم الصنف]=A799) *
            (IF($B$9="الكل",1, YEAR('ادخال البيانات'!$N$3:$N$1164)=VALUE($B$9))) *
            (IF($B$10="الكل",1, MONTH('ادخال البيانات'!$N$3:$N$1164)=VALUE($B$10))) *
            (IF($B$11="الكل",1, INT((DAY('ادخال البيانات'!$N$3:$N$1164)-1)/7)+1 = VALUE($B$11))),
            'ادخال البيانات'!$E$3:$E$1164
         ),
         ""
      ),
      IF(_xlpm.result="", "", _xlpm.result)
   )
)</f>
        <v/>
      </c>
      <c r="F799" s="27" t="str" cm="1">
        <f t="array" ref="F799">IF(
   A799="",
   "",
   _xlfn.LET(
      _xlpm.result,
      IFERROR(
         _xlfn.XLOOKUP(
            1,
            (Table8[رقم الصنف]=A799) *
            (IF($B$9="الكل",1, YEAR('ادخال البيانات'!$N$3:$N$1164) = VALUE($B$9))) *
            (IF($B$10="الكل",1, MONTH('ادخال البيانات'!$N$3:$N$1164) = VALUE($B$10))) *
            (IF($B$11="الكل",1, INT((DAY('ادخال البيانات'!$N$3:$N$1164)-1)/7)+1 = VALUE($B$11))),
            'ادخال البيانات'!$F$3:$F$1164
         ),
         ""
      ),
      IF(_xlpm.result="", "", _xlpm.result)
   )
)</f>
        <v/>
      </c>
      <c r="G799" s="27" t="str" cm="1">
        <f t="array" ref="G799">IF(
   A799="",
   "",
   _xlfn.LET(
      _xlpm.result,
      IFERROR(
         _xlfn.XLOOKUP(
            1,
            (Table8[رقم الصنف]=A799) *
            (IF($B$9="الكل",1, YEAR('ادخال البيانات'!$N$3:$N$1164)=VALUE($B$9))) *
            (IF($B$10="الكل",1, MONTH('ادخال البيانات'!$N$3:$N$1164)=VALUE($B$10))) *
            (IF($B$11="الكل",1, INT((DAY('ادخال البيانات'!$N$3:$N$1164)-1)/7)+1 = VALUE($B$11))),
            'ادخال البيانات'!$G$3:$G$1164
         ),
         ""
      ),
      IF(_xlpm.result="", "", _xlpm.result)
   )
)</f>
        <v/>
      </c>
      <c r="H799" s="27" t="str" cm="1">
        <f t="array" ref="H799">IF(
   A799="",
   "",
   _xlfn.LET(
      _xlpm.result,
      IFERROR(
         _xlfn.XLOOKUP(
            1,
            (Table8[رقم الصنف]=A799) *
            (IF($B$9="الكل",1, YEAR('ادخال البيانات'!$N$3:$N$1164)=VALUE($B$9))) *
            (IF($B$10="الكل",1, MONTH('ادخال البيانات'!$N$3:$N$1164)=VALUE($B$10))) *
            (IF($B$11="الكل",1, INT((DAY('ادخال البيانات'!$N$3:$N$1164)-1)/7)+1 = VALUE($B$11))),
            'ادخال البيانات'!$H$3:$H$1164
         ),
         ""
      ),
      IF(_xlpm.result="", "", _xlpm.result)
   )
)</f>
        <v/>
      </c>
      <c r="I799" s="27" t="str" cm="1">
        <f t="array" ref="I799">IF(
   A799="",
   "",
   _xlfn.LET(
      _xlpm.result,
      IFERROR(
         _xlfn.XLOOKUP(
            1,
            (Table8[رقم الصنف]=A799) *
            (IF($B$9="الكل",1, YEAR('ادخال البيانات'!$N$3:$N$1164)=VALUE($B$9))) *
            (IF($B$10="الكل",1, MONTH('ادخال البيانات'!$N$3:$N$1164)=VALUE($B$10))) *
            (IF($B$11="الكل",1, INT((DAY('ادخال البيانات'!$N$3:$N$1164)-1)/7)+1 = VALUE($B$11))),
            'ادخال البيانات'!$I$3:$I$1164
         ),
         ""
      ),
      IF(_xlpm.result="", "", _xlpm.result)
   )
)</f>
        <v/>
      </c>
      <c r="J799" s="27" t="str" cm="1">
        <f t="array" ref="J799">IF(
   A799="",
   "",
   _xlfn.LET(
      _xlpm.result,
      IFERROR(
         _xlfn.XLOOKUP(
            1,
            (Table8[رقم الصنف]=A799) *
            (IF($B$9="الكل",1, YEAR('ادخال البيانات'!$N$3:$N$1164)=VALUE($B$9))) *
            (IF($B$10="الكل",1, MONTH('ادخال البيانات'!$N$3:$N$1164)=VALUE($B$10))) *
            (IF($B$11="الكل",1, INT((DAY('ادخال البيانات'!$N$3:$N$1164)-1)/7)+1 = VALUE($B$11))),
            'ادخال البيانات'!$J$3:$J$1164
         ),
         ""
      ),
      IF(_xlpm.result="", "", _xlpm.result)
   )
)</f>
        <v/>
      </c>
      <c r="K799" s="27" t="str" cm="1">
        <f t="array" ref="K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799" s="27" t="str" cm="1">
        <f t="array" ref="L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799" s="27" t="str" cm="1">
        <f t="array" ref="M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799" s="28" t="str" cm="1">
        <f t="array" ref="N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799" s="28" t="str" cm="1">
        <f t="array" ref="O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799" s="27" t="str" cm="1">
        <f t="array" ref="P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Table8[جهة العطل]
         ),
         ""
      ),
      IF(_xlpm.result="", "", _xlpm.result)
   )
)</f>
        <v/>
      </c>
      <c r="Q799" s="27" t="str" cm="1">
        <f t="array" ref="Q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Table8[المركز]
         ),
         ""
      ),
      IF(_xlpm.result="", "", _xlpm.result)
   )
)</f>
        <v/>
      </c>
      <c r="R799" s="27" t="str" cm="1">
        <f t="array" ref="R799">IF(
   A799="",
   "",
   _xlfn.LET(
      _xlpm.result,
      IFERROR(
         _xlfn.XLOOKUP(
            1,
            (Table8[رقم الصنف]=A799) *
            (IF($B$9="الكل",1, YEAR('ادخال البيانات'!$N$3:$N$1164) = VALUE($B$9))) *
            (IF($B$10="الكل",1, MONTH('ادخال البيانات'!$N$3:$N$1164) = VALUE($B$10))) *
            (IF($B$11="الكل",1, INT((DAY('ادخال البيانات'!$N$3:$N$1164) - 1) / 7) + 1 = VALUE($B$11))),
            Table8[ملاحظة]
         ),
         ""
      ),
      IF(_xlpm.result="", "", _xlpm.result)
   )
)</f>
        <v/>
      </c>
      <c r="S799" s="46" t="str">
        <f t="shared" ca="1" si="13"/>
        <v/>
      </c>
    </row>
    <row r="800" spans="1:19" ht="15.6" thickTop="1" thickBot="1" x14ac:dyDescent="0.35">
      <c r="A800" s="39"/>
      <c r="B800" s="27" t="str" cm="1">
        <f t="array" ref="B800">IF(
   OR(A800="", $B$9="", $B$10="", $B$11=""),
   "",
   _xlfn.LET(
      _xlpm.result,
      IFERROR(
         _xlfn.XLOOKUP(
            1,
            (Table8[رقم الصنف]=A800)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0" s="27" t="str" cm="1">
        <f t="array" ref="C800">IF(
   A800="",
   "",
   _xlfn.LET(
      _xlpm.result,
      IFERROR(
         _xlfn.XLOOKUP(
            1,
            (Table8[رقم الصنف]=A800) *
            (IF($B$9="الكل",1, YEAR('ادخال البيانات'!$N$3:$N$1164) = VALUE($B$9))) *
            (IF($B$10="الكل",1, MONTH('ادخال البيانات'!$N$3:$N$1164) = VALUE($B$10))) *
            (IF($B$11="الكل",1, INT((DAY('ادخال البيانات'!$N$3:$N$1164)-1)/7)+1 = VALUE($B$11))),
            'ادخال البيانات'!$C$3:$C$1164
         ),
         ""
      ),
      IF(_xlpm.result="", "", _xlpm.result)
   )
)</f>
        <v/>
      </c>
      <c r="D800" s="27" t="str" cm="1">
        <f t="array" ref="D800">IF(
   OR(A800="", $B$9="", $B$10="", $B$11=""),
   "",
   _xlfn.LET(
      _xlpm.result,
      IFERROR(
         _xlfn.XLOOKUP(
            1,
            (Table8[رقم الصنف]=A800) *
            (IF($B$9="الكل",1, YEAR('ادخال البيانات'!$N$3:$N$1164)=VALUE($B$9))) *
            (IF($B$10="الكل",1, MONTH('ادخال البيانات'!$N$3:$N$1164)=VALUE($B$10))) *
            (IF($B$11="الكل",1, INT((DAY('ادخال البيانات'!$N$3:$N$1164)-1)/7)+1 = VALUE($B$11))),
            'ادخال البيانات'!$D$3:$D$1164
         ),
         ""
      ),
      IF(_xlpm.result="", "", _xlpm.result)
   )
)</f>
        <v/>
      </c>
      <c r="E800" s="27" t="str" cm="1">
        <f t="array" ref="E800">IF(
   A800="",
   "",
   _xlfn.LET(
      _xlpm.result,
      IFERROR(
         _xlfn.XLOOKUP(
            1,
            (Table8[رقم الصنف]=A800) *
            (IF($B$9="الكل",1, YEAR('ادخال البيانات'!$N$3:$N$1164)=VALUE($B$9))) *
            (IF($B$10="الكل",1, MONTH('ادخال البيانات'!$N$3:$N$1164)=VALUE($B$10))) *
            (IF($B$11="الكل",1, INT((DAY('ادخال البيانات'!$N$3:$N$1164)-1)/7)+1 = VALUE($B$11))),
            'ادخال البيانات'!$E$3:$E$1164
         ),
         ""
      ),
      IF(_xlpm.result="", "", _xlpm.result)
   )
)</f>
        <v/>
      </c>
      <c r="F800" s="27" t="str" cm="1">
        <f t="array" ref="F800">IF(
   A800="",
   "",
   _xlfn.LET(
      _xlpm.result,
      IFERROR(
         _xlfn.XLOOKUP(
            1,
            (Table8[رقم الصنف]=A800) *
            (IF($B$9="الكل",1, YEAR('ادخال البيانات'!$N$3:$N$1164) = VALUE($B$9))) *
            (IF($B$10="الكل",1, MONTH('ادخال البيانات'!$N$3:$N$1164) = VALUE($B$10))) *
            (IF($B$11="الكل",1, INT((DAY('ادخال البيانات'!$N$3:$N$1164)-1)/7)+1 = VALUE($B$11))),
            'ادخال البيانات'!$F$3:$F$1164
         ),
         ""
      ),
      IF(_xlpm.result="", "", _xlpm.result)
   )
)</f>
        <v/>
      </c>
      <c r="G800" s="27" t="str" cm="1">
        <f t="array" ref="G800">IF(
   A800="",
   "",
   _xlfn.LET(
      _xlpm.result,
      IFERROR(
         _xlfn.XLOOKUP(
            1,
            (Table8[رقم الصنف]=A800) *
            (IF($B$9="الكل",1, YEAR('ادخال البيانات'!$N$3:$N$1164)=VALUE($B$9))) *
            (IF($B$10="الكل",1, MONTH('ادخال البيانات'!$N$3:$N$1164)=VALUE($B$10))) *
            (IF($B$11="الكل",1, INT((DAY('ادخال البيانات'!$N$3:$N$1164)-1)/7)+1 = VALUE($B$11))),
            'ادخال البيانات'!$G$3:$G$1164
         ),
         ""
      ),
      IF(_xlpm.result="", "", _xlpm.result)
   )
)</f>
        <v/>
      </c>
      <c r="H800" s="27" t="str" cm="1">
        <f t="array" ref="H800">IF(
   A800="",
   "",
   _xlfn.LET(
      _xlpm.result,
      IFERROR(
         _xlfn.XLOOKUP(
            1,
            (Table8[رقم الصنف]=A800) *
            (IF($B$9="الكل",1, YEAR('ادخال البيانات'!$N$3:$N$1164)=VALUE($B$9))) *
            (IF($B$10="الكل",1, MONTH('ادخال البيانات'!$N$3:$N$1164)=VALUE($B$10))) *
            (IF($B$11="الكل",1, INT((DAY('ادخال البيانات'!$N$3:$N$1164)-1)/7)+1 = VALUE($B$11))),
            'ادخال البيانات'!$H$3:$H$1164
         ),
         ""
      ),
      IF(_xlpm.result="", "", _xlpm.result)
   )
)</f>
        <v/>
      </c>
      <c r="I800" s="27" t="str" cm="1">
        <f t="array" ref="I800">IF(
   A800="",
   "",
   _xlfn.LET(
      _xlpm.result,
      IFERROR(
         _xlfn.XLOOKUP(
            1,
            (Table8[رقم الصنف]=A800) *
            (IF($B$9="الكل",1, YEAR('ادخال البيانات'!$N$3:$N$1164)=VALUE($B$9))) *
            (IF($B$10="الكل",1, MONTH('ادخال البيانات'!$N$3:$N$1164)=VALUE($B$10))) *
            (IF($B$11="الكل",1, INT((DAY('ادخال البيانات'!$N$3:$N$1164)-1)/7)+1 = VALUE($B$11))),
            'ادخال البيانات'!$I$3:$I$1164
         ),
         ""
      ),
      IF(_xlpm.result="", "", _xlpm.result)
   )
)</f>
        <v/>
      </c>
      <c r="J800" s="27" t="str" cm="1">
        <f t="array" ref="J800">IF(
   A800="",
   "",
   _xlfn.LET(
      _xlpm.result,
      IFERROR(
         _xlfn.XLOOKUP(
            1,
            (Table8[رقم الصنف]=A800) *
            (IF($B$9="الكل",1, YEAR('ادخال البيانات'!$N$3:$N$1164)=VALUE($B$9))) *
            (IF($B$10="الكل",1, MONTH('ادخال البيانات'!$N$3:$N$1164)=VALUE($B$10))) *
            (IF($B$11="الكل",1, INT((DAY('ادخال البيانات'!$N$3:$N$1164)-1)/7)+1 = VALUE($B$11))),
            'ادخال البيانات'!$J$3:$J$1164
         ),
         ""
      ),
      IF(_xlpm.result="", "", _xlpm.result)
   )
)</f>
        <v/>
      </c>
      <c r="K800" s="27" t="str" cm="1">
        <f t="array" ref="K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0" s="27" t="str" cm="1">
        <f t="array" ref="L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0" s="27" t="str" cm="1">
        <f t="array" ref="M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0" s="28" t="str" cm="1">
        <f t="array" ref="N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0" s="28" t="str" cm="1">
        <f t="array" ref="O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0" s="27" t="str" cm="1">
        <f t="array" ref="P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Table8[جهة العطل]
         ),
         ""
      ),
      IF(_xlpm.result="", "", _xlpm.result)
   )
)</f>
        <v/>
      </c>
      <c r="Q800" s="27" t="str" cm="1">
        <f t="array" ref="Q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Table8[المركز]
         ),
         ""
      ),
      IF(_xlpm.result="", "", _xlpm.result)
   )
)</f>
        <v/>
      </c>
      <c r="R800" s="27" t="str" cm="1">
        <f t="array" ref="R800">IF(
   A800="",
   "",
   _xlfn.LET(
      _xlpm.result,
      IFERROR(
         _xlfn.XLOOKUP(
            1,
            (Table8[رقم الصنف]=A800) *
            (IF($B$9="الكل",1, YEAR('ادخال البيانات'!$N$3:$N$1164) = VALUE($B$9))) *
            (IF($B$10="الكل",1, MONTH('ادخال البيانات'!$N$3:$N$1164) = VALUE($B$10))) *
            (IF($B$11="الكل",1, INT((DAY('ادخال البيانات'!$N$3:$N$1164) - 1) / 7) + 1 = VALUE($B$11))),
            Table8[ملاحظة]
         ),
         ""
      ),
      IF(_xlpm.result="", "", _xlpm.result)
   )
)</f>
        <v/>
      </c>
      <c r="S800" s="46" t="str">
        <f t="shared" ca="1" si="13"/>
        <v/>
      </c>
    </row>
    <row r="801" spans="1:19" ht="15.6" thickTop="1" thickBot="1" x14ac:dyDescent="0.35">
      <c r="A801" s="39"/>
      <c r="B801" s="27" t="str" cm="1">
        <f t="array" ref="B801">IF(
   OR(A801="", $B$9="", $B$10="", $B$11=""),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1" s="27" t="str" cm="1">
        <f t="array" ref="C801">IF(
   A801="",
   "",
   _xlfn.LET(
      _xlpm.result,
      IFERROR(
         _xlfn.XLOOKUP(
            1,
            (Table8[رقم الصنف]=A801) *
            (IF($B$9="الكل",1, YEAR('ادخال البيانات'!$N$3:$N$1164) = VALUE($B$9))) *
            (IF($B$10="الكل",1, MONTH('ادخال البيانات'!$N$3:$N$1164) = VALUE($B$10))) *
            (IF($B$11="الكل",1, INT((DAY('ادخال البيانات'!$N$3:$N$1164)-1)/7)+1 = VALUE($B$11))),
            'ادخال البيانات'!$C$3:$C$1164
         ),
         ""
      ),
      IF(_xlpm.result="", "", _xlpm.result)
   )
)</f>
        <v/>
      </c>
      <c r="D801" s="27" t="str" cm="1">
        <f t="array" ref="D801">IF(
   OR(A801="", $B$9="", $B$10="", $B$11=""),
   "",
   _xlfn.LET(
      _xlpm.result,
      IFERROR(
         _xlfn.XLOOKUP(
            1,
            (Table8[رقم الصنف]=A801) *
            (IF($B$9="الكل",1, YEAR('ادخال البيانات'!$N$3:$N$1164)=VALUE($B$9))) *
            (IF($B$10="الكل",1, MONTH('ادخال البيانات'!$N$3:$N$1164)=VALUE($B$10))) *
            (IF($B$11="الكل",1, INT((DAY('ادخال البيانات'!$N$3:$N$1164)-1)/7)+1 = VALUE($B$11))),
            'ادخال البيانات'!$D$3:$D$1164
         ),
         ""
      ),
      IF(_xlpm.result="", "", _xlpm.result)
   )
)</f>
        <v/>
      </c>
      <c r="E801" s="27" t="str" cm="1">
        <f t="array" ref="E801">IF(
   A801="",
   "",
   _xlfn.LET(
      _xlpm.result,
      IFERROR(
         _xlfn.XLOOKUP(
            1,
            (Table8[رقم الصنف]=A801) *
            (IF($B$9="الكل",1, YEAR('ادخال البيانات'!$N$3:$N$1164)=VALUE($B$9))) *
            (IF($B$10="الكل",1, MONTH('ادخال البيانات'!$N$3:$N$1164)=VALUE($B$10))) *
            (IF($B$11="الكل",1, INT((DAY('ادخال البيانات'!$N$3:$N$1164)-1)/7)+1 = VALUE($B$11))),
            'ادخال البيانات'!$E$3:$E$1164
         ),
         ""
      ),
      IF(_xlpm.result="", "", _xlpm.result)
   )
)</f>
        <v/>
      </c>
      <c r="F801" s="27" t="str" cm="1">
        <f t="array" ref="F801">IF(
   A801="",
   "",
   _xlfn.LET(
      _xlpm.result,
      IFERROR(
         _xlfn.XLOOKUP(
            1,
            (Table8[رقم الصنف]=A801) *
            (IF($B$9="الكل",1, YEAR('ادخال البيانات'!$N$3:$N$1164) = VALUE($B$9))) *
            (IF($B$10="الكل",1, MONTH('ادخال البيانات'!$N$3:$N$1164) = VALUE($B$10))) *
            (IF($B$11="الكل",1, INT((DAY('ادخال البيانات'!$N$3:$N$1164)-1)/7)+1 = VALUE($B$11))),
            'ادخال البيانات'!$F$3:$F$1164
         ),
         ""
      ),
      IF(_xlpm.result="", "", _xlpm.result)
   )
)</f>
        <v/>
      </c>
      <c r="G801" s="27" t="str" cm="1">
        <f t="array" ref="G801">IF(
   A801="",
   "",
   _xlfn.LET(
      _xlpm.result,
      IFERROR(
         _xlfn.XLOOKUP(
            1,
            (Table8[رقم الصنف]=A801) *
            (IF($B$9="الكل",1, YEAR('ادخال البيانات'!$N$3:$N$1164)=VALUE($B$9))) *
            (IF($B$10="الكل",1, MONTH('ادخال البيانات'!$N$3:$N$1164)=VALUE($B$10))) *
            (IF($B$11="الكل",1, INT((DAY('ادخال البيانات'!$N$3:$N$1164)-1)/7)+1 = VALUE($B$11))),
            'ادخال البيانات'!$G$3:$G$1164
         ),
         ""
      ),
      IF(_xlpm.result="", "", _xlpm.result)
   )
)</f>
        <v/>
      </c>
      <c r="H801" s="27" t="str" cm="1">
        <f t="array" ref="H801">IF(
   A801="",
   "",
   _xlfn.LET(
      _xlpm.result,
      IFERROR(
         _xlfn.XLOOKUP(
            1,
            (Table8[رقم الصنف]=A801) *
            (IF($B$9="الكل",1, YEAR('ادخال البيانات'!$N$3:$N$1164)=VALUE($B$9))) *
            (IF($B$10="الكل",1, MONTH('ادخال البيانات'!$N$3:$N$1164)=VALUE($B$10))) *
            (IF($B$11="الكل",1, INT((DAY('ادخال البيانات'!$N$3:$N$1164)-1)/7)+1 = VALUE($B$11))),
            'ادخال البيانات'!$H$3:$H$1164
         ),
         ""
      ),
      IF(_xlpm.result="", "", _xlpm.result)
   )
)</f>
        <v/>
      </c>
      <c r="I801" s="27" t="str" cm="1">
        <f t="array" ref="I801">IF(
   A801="",
   "",
   _xlfn.LET(
      _xlpm.result,
      IFERROR(
         _xlfn.XLOOKUP(
            1,
            (Table8[رقم الصنف]=A801) *
            (IF($B$9="الكل",1, YEAR('ادخال البيانات'!$N$3:$N$1164)=VALUE($B$9))) *
            (IF($B$10="الكل",1, MONTH('ادخال البيانات'!$N$3:$N$1164)=VALUE($B$10))) *
            (IF($B$11="الكل",1, INT((DAY('ادخال البيانات'!$N$3:$N$1164)-1)/7)+1 = VALUE($B$11))),
            'ادخال البيانات'!$I$3:$I$1164
         ),
         ""
      ),
      IF(_xlpm.result="", "", _xlpm.result)
   )
)</f>
        <v/>
      </c>
      <c r="J801" s="27" t="str" cm="1">
        <f t="array" ref="J801">IF(
   A801="",
   "",
   _xlfn.LET(
      _xlpm.result,
      IFERROR(
         _xlfn.XLOOKUP(
            1,
            (Table8[رقم الصنف]=A801) *
            (IF($B$9="الكل",1, YEAR('ادخال البيانات'!$N$3:$N$1164)=VALUE($B$9))) *
            (IF($B$10="الكل",1, MONTH('ادخال البيانات'!$N$3:$N$1164)=VALUE($B$10))) *
            (IF($B$11="الكل",1, INT((DAY('ادخال البيانات'!$N$3:$N$1164)-1)/7)+1 = VALUE($B$11))),
            'ادخال البيانات'!$J$3:$J$1164
         ),
         ""
      ),
      IF(_xlpm.result="", "", _xlpm.result)
   )
)</f>
        <v/>
      </c>
      <c r="K801" s="27" t="str" cm="1">
        <f t="array" ref="K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1" s="27" t="str" cm="1">
        <f t="array" ref="L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1" s="27" t="str" cm="1">
        <f t="array" ref="M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1" s="28" t="str" cm="1">
        <f t="array" ref="N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1" s="28" t="str" cm="1">
        <f t="array" ref="O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1" s="27" t="str" cm="1">
        <f t="array" ref="P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Table8[جهة العطل]
         ),
         ""
      ),
      IF(_xlpm.result="", "", _xlpm.result)
   )
)</f>
        <v/>
      </c>
      <c r="Q801" s="27" t="str" cm="1">
        <f t="array" ref="Q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Table8[المركز]
         ),
         ""
      ),
      IF(_xlpm.result="", "", _xlpm.result)
   )
)</f>
        <v/>
      </c>
      <c r="R801" s="27" t="str" cm="1">
        <f t="array" ref="R801">IF(
   A801="",
   "",
   _xlfn.LET(
      _xlpm.result,
      IFERROR(
         _xlfn.XLOOKUP(
            1,
            (Table8[رقم الصنف]=A801) *
            (IF($B$9="الكل",1, YEAR('ادخال البيانات'!$N$3:$N$1164) = VALUE($B$9))) *
            (IF($B$10="الكل",1, MONTH('ادخال البيانات'!$N$3:$N$1164) = VALUE($B$10))) *
            (IF($B$11="الكل",1, INT((DAY('ادخال البيانات'!$N$3:$N$1164) - 1) / 7) + 1 = VALUE($B$11))),
            Table8[ملاحظة]
         ),
         ""
      ),
      IF(_xlpm.result="", "", _xlpm.result)
   )
)</f>
        <v/>
      </c>
      <c r="S801" s="46" t="str">
        <f t="shared" ca="1" si="13"/>
        <v/>
      </c>
    </row>
    <row r="802" spans="1:19" ht="15.6" thickTop="1" thickBot="1" x14ac:dyDescent="0.35">
      <c r="A802" s="39"/>
      <c r="B802" s="27" t="str" cm="1">
        <f t="array" ref="B802">IF(
   OR(A802="", $B$9="", $B$10="", $B$11=""),
   "",
   _xlfn.LET(
      _xlpm.result,
      IFERROR(
         _xlfn.XLOOKUP(
            1,
            (Table8[رقم الصنف]=A802)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2" s="27" t="str" cm="1">
        <f t="array" ref="C802">IF(
   A802="",
   "",
   _xlfn.LET(
      _xlpm.result,
      IFERROR(
         _xlfn.XLOOKUP(
            1,
            (Table8[رقم الصنف]=A802) *
            (IF($B$9="الكل",1, YEAR('ادخال البيانات'!$N$3:$N$1164) = VALUE($B$9))) *
            (IF($B$10="الكل",1, MONTH('ادخال البيانات'!$N$3:$N$1164) = VALUE($B$10))) *
            (IF($B$11="الكل",1, INT((DAY('ادخال البيانات'!$N$3:$N$1164)-1)/7)+1 = VALUE($B$11))),
            'ادخال البيانات'!$C$3:$C$1164
         ),
         ""
      ),
      IF(_xlpm.result="", "", _xlpm.result)
   )
)</f>
        <v/>
      </c>
      <c r="D802" s="27" t="str" cm="1">
        <f t="array" ref="D802">IF(
   OR(A802="", $B$9="", $B$10="", $B$11=""),
   "",
   _xlfn.LET(
      _xlpm.result,
      IFERROR(
         _xlfn.XLOOKUP(
            1,
            (Table8[رقم الصنف]=A802) *
            (IF($B$9="الكل",1, YEAR('ادخال البيانات'!$N$3:$N$1164)=VALUE($B$9))) *
            (IF($B$10="الكل",1, MONTH('ادخال البيانات'!$N$3:$N$1164)=VALUE($B$10))) *
            (IF($B$11="الكل",1, INT((DAY('ادخال البيانات'!$N$3:$N$1164)-1)/7)+1 = VALUE($B$11))),
            'ادخال البيانات'!$D$3:$D$1164
         ),
         ""
      ),
      IF(_xlpm.result="", "", _xlpm.result)
   )
)</f>
        <v/>
      </c>
      <c r="E802" s="27" t="str" cm="1">
        <f t="array" ref="E802">IF(
   A802="",
   "",
   _xlfn.LET(
      _xlpm.result,
      IFERROR(
         _xlfn.XLOOKUP(
            1,
            (Table8[رقم الصنف]=A802) *
            (IF($B$9="الكل",1, YEAR('ادخال البيانات'!$N$3:$N$1164)=VALUE($B$9))) *
            (IF($B$10="الكل",1, MONTH('ادخال البيانات'!$N$3:$N$1164)=VALUE($B$10))) *
            (IF($B$11="الكل",1, INT((DAY('ادخال البيانات'!$N$3:$N$1164)-1)/7)+1 = VALUE($B$11))),
            'ادخال البيانات'!$E$3:$E$1164
         ),
         ""
      ),
      IF(_xlpm.result="", "", _xlpm.result)
   )
)</f>
        <v/>
      </c>
      <c r="F802" s="27" t="str" cm="1">
        <f t="array" ref="F802">IF(
   A802="",
   "",
   _xlfn.LET(
      _xlpm.result,
      IFERROR(
         _xlfn.XLOOKUP(
            1,
            (Table8[رقم الصنف]=A802) *
            (IF($B$9="الكل",1, YEAR('ادخال البيانات'!$N$3:$N$1164) = VALUE($B$9))) *
            (IF($B$10="الكل",1, MONTH('ادخال البيانات'!$N$3:$N$1164) = VALUE($B$10))) *
            (IF($B$11="الكل",1, INT((DAY('ادخال البيانات'!$N$3:$N$1164)-1)/7)+1 = VALUE($B$11))),
            'ادخال البيانات'!$F$3:$F$1164
         ),
         ""
      ),
      IF(_xlpm.result="", "", _xlpm.result)
   )
)</f>
        <v/>
      </c>
      <c r="G802" s="27" t="str" cm="1">
        <f t="array" ref="G802">IF(
   A802="",
   "",
   _xlfn.LET(
      _xlpm.result,
      IFERROR(
         _xlfn.XLOOKUP(
            1,
            (Table8[رقم الصنف]=A802) *
            (IF($B$9="الكل",1, YEAR('ادخال البيانات'!$N$3:$N$1164)=VALUE($B$9))) *
            (IF($B$10="الكل",1, MONTH('ادخال البيانات'!$N$3:$N$1164)=VALUE($B$10))) *
            (IF($B$11="الكل",1, INT((DAY('ادخال البيانات'!$N$3:$N$1164)-1)/7)+1 = VALUE($B$11))),
            'ادخال البيانات'!$G$3:$G$1164
         ),
         ""
      ),
      IF(_xlpm.result="", "", _xlpm.result)
   )
)</f>
        <v/>
      </c>
      <c r="H802" s="27" t="str" cm="1">
        <f t="array" ref="H802">IF(
   A802="",
   "",
   _xlfn.LET(
      _xlpm.result,
      IFERROR(
         _xlfn.XLOOKUP(
            1,
            (Table8[رقم الصنف]=A802) *
            (IF($B$9="الكل",1, YEAR('ادخال البيانات'!$N$3:$N$1164)=VALUE($B$9))) *
            (IF($B$10="الكل",1, MONTH('ادخال البيانات'!$N$3:$N$1164)=VALUE($B$10))) *
            (IF($B$11="الكل",1, INT((DAY('ادخال البيانات'!$N$3:$N$1164)-1)/7)+1 = VALUE($B$11))),
            'ادخال البيانات'!$H$3:$H$1164
         ),
         ""
      ),
      IF(_xlpm.result="", "", _xlpm.result)
   )
)</f>
        <v/>
      </c>
      <c r="I802" s="27" t="str" cm="1">
        <f t="array" ref="I802">IF(
   A802="",
   "",
   _xlfn.LET(
      _xlpm.result,
      IFERROR(
         _xlfn.XLOOKUP(
            1,
            (Table8[رقم الصنف]=A802) *
            (IF($B$9="الكل",1, YEAR('ادخال البيانات'!$N$3:$N$1164)=VALUE($B$9))) *
            (IF($B$10="الكل",1, MONTH('ادخال البيانات'!$N$3:$N$1164)=VALUE($B$10))) *
            (IF($B$11="الكل",1, INT((DAY('ادخال البيانات'!$N$3:$N$1164)-1)/7)+1 = VALUE($B$11))),
            'ادخال البيانات'!$I$3:$I$1164
         ),
         ""
      ),
      IF(_xlpm.result="", "", _xlpm.result)
   )
)</f>
        <v/>
      </c>
      <c r="J802" s="27" t="str" cm="1">
        <f t="array" ref="J802">IF(
   A802="",
   "",
   _xlfn.LET(
      _xlpm.result,
      IFERROR(
         _xlfn.XLOOKUP(
            1,
            (Table8[رقم الصنف]=A802) *
            (IF($B$9="الكل",1, YEAR('ادخال البيانات'!$N$3:$N$1164)=VALUE($B$9))) *
            (IF($B$10="الكل",1, MONTH('ادخال البيانات'!$N$3:$N$1164)=VALUE($B$10))) *
            (IF($B$11="الكل",1, INT((DAY('ادخال البيانات'!$N$3:$N$1164)-1)/7)+1 = VALUE($B$11))),
            'ادخال البيانات'!$J$3:$J$1164
         ),
         ""
      ),
      IF(_xlpm.result="", "", _xlpm.result)
   )
)</f>
        <v/>
      </c>
      <c r="K802" s="27" t="str" cm="1">
        <f t="array" ref="K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2" s="27" t="str" cm="1">
        <f t="array" ref="L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2" s="27" t="str" cm="1">
        <f t="array" ref="M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2" s="28" t="str" cm="1">
        <f t="array" ref="N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2" s="28" t="str" cm="1">
        <f t="array" ref="O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2" s="27" t="str" cm="1">
        <f t="array" ref="P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Table8[جهة العطل]
         ),
         ""
      ),
      IF(_xlpm.result="", "", _xlpm.result)
   )
)</f>
        <v/>
      </c>
      <c r="Q802" s="27" t="str" cm="1">
        <f t="array" ref="Q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Table8[المركز]
         ),
         ""
      ),
      IF(_xlpm.result="", "", _xlpm.result)
   )
)</f>
        <v/>
      </c>
      <c r="R802" s="27" t="str" cm="1">
        <f t="array" ref="R802">IF(
   A802="",
   "",
   _xlfn.LET(
      _xlpm.result,
      IFERROR(
         _xlfn.XLOOKUP(
            1,
            (Table8[رقم الصنف]=A802) *
            (IF($B$9="الكل",1, YEAR('ادخال البيانات'!$N$3:$N$1164) = VALUE($B$9))) *
            (IF($B$10="الكل",1, MONTH('ادخال البيانات'!$N$3:$N$1164) = VALUE($B$10))) *
            (IF($B$11="الكل",1, INT((DAY('ادخال البيانات'!$N$3:$N$1164) - 1) / 7) + 1 = VALUE($B$11))),
            Table8[ملاحظة]
         ),
         ""
      ),
      IF(_xlpm.result="", "", _xlpm.result)
   )
)</f>
        <v/>
      </c>
      <c r="S802" s="46" t="str">
        <f t="shared" ca="1" si="13"/>
        <v/>
      </c>
    </row>
    <row r="803" spans="1:19" ht="15.6" thickTop="1" thickBot="1" x14ac:dyDescent="0.35">
      <c r="A803" s="39"/>
      <c r="B803" s="27" t="str" cm="1">
        <f t="array" ref="B803">IF(
   OR(A803="", $B$9="", $B$10="", $B$11=""),
   "",
   _xlfn.LET(
      _xlpm.result,
      IFERROR(
         _xlfn.XLOOKUP(
            1,
            (Table8[رقم الصنف]=A803)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3" s="27" t="str" cm="1">
        <f t="array" ref="C803">IF(
   A803="",
   "",
   _xlfn.LET(
      _xlpm.result,
      IFERROR(
         _xlfn.XLOOKUP(
            1,
            (Table8[رقم الصنف]=A803) *
            (IF($B$9="الكل",1, YEAR('ادخال البيانات'!$N$3:$N$1164) = VALUE($B$9))) *
            (IF($B$10="الكل",1, MONTH('ادخال البيانات'!$N$3:$N$1164) = VALUE($B$10))) *
            (IF($B$11="الكل",1, INT((DAY('ادخال البيانات'!$N$3:$N$1164)-1)/7)+1 = VALUE($B$11))),
            'ادخال البيانات'!$C$3:$C$1164
         ),
         ""
      ),
      IF(_xlpm.result="", "", _xlpm.result)
   )
)</f>
        <v/>
      </c>
      <c r="D803" s="27" t="str" cm="1">
        <f t="array" ref="D803">IF(
   OR(A803="", $B$9="", $B$10="", $B$11=""),
   "",
   _xlfn.LET(
      _xlpm.result,
      IFERROR(
         _xlfn.XLOOKUP(
            1,
            (Table8[رقم الصنف]=A803) *
            (IF($B$9="الكل",1, YEAR('ادخال البيانات'!$N$3:$N$1164)=VALUE($B$9))) *
            (IF($B$10="الكل",1, MONTH('ادخال البيانات'!$N$3:$N$1164)=VALUE($B$10))) *
            (IF($B$11="الكل",1, INT((DAY('ادخال البيانات'!$N$3:$N$1164)-1)/7)+1 = VALUE($B$11))),
            'ادخال البيانات'!$D$3:$D$1164
         ),
         ""
      ),
      IF(_xlpm.result="", "", _xlpm.result)
   )
)</f>
        <v/>
      </c>
      <c r="E803" s="27" t="str" cm="1">
        <f t="array" ref="E803">IF(
   A803="",
   "",
   _xlfn.LET(
      _xlpm.result,
      IFERROR(
         _xlfn.XLOOKUP(
            1,
            (Table8[رقم الصنف]=A803) *
            (IF($B$9="الكل",1, YEAR('ادخال البيانات'!$N$3:$N$1164)=VALUE($B$9))) *
            (IF($B$10="الكل",1, MONTH('ادخال البيانات'!$N$3:$N$1164)=VALUE($B$10))) *
            (IF($B$11="الكل",1, INT((DAY('ادخال البيانات'!$N$3:$N$1164)-1)/7)+1 = VALUE($B$11))),
            'ادخال البيانات'!$E$3:$E$1164
         ),
         ""
      ),
      IF(_xlpm.result="", "", _xlpm.result)
   )
)</f>
        <v/>
      </c>
      <c r="F803" s="27" t="str" cm="1">
        <f t="array" ref="F803">IF(
   A803="",
   "",
   _xlfn.LET(
      _xlpm.result,
      IFERROR(
         _xlfn.XLOOKUP(
            1,
            (Table8[رقم الصنف]=A803) *
            (IF($B$9="الكل",1, YEAR('ادخال البيانات'!$N$3:$N$1164) = VALUE($B$9))) *
            (IF($B$10="الكل",1, MONTH('ادخال البيانات'!$N$3:$N$1164) = VALUE($B$10))) *
            (IF($B$11="الكل",1, INT((DAY('ادخال البيانات'!$N$3:$N$1164)-1)/7)+1 = VALUE($B$11))),
            'ادخال البيانات'!$F$3:$F$1164
         ),
         ""
      ),
      IF(_xlpm.result="", "", _xlpm.result)
   )
)</f>
        <v/>
      </c>
      <c r="G803" s="27" t="str" cm="1">
        <f t="array" ref="G803">IF(
   A803="",
   "",
   _xlfn.LET(
      _xlpm.result,
      IFERROR(
         _xlfn.XLOOKUP(
            1,
            (Table8[رقم الصنف]=A803) *
            (IF($B$9="الكل",1, YEAR('ادخال البيانات'!$N$3:$N$1164)=VALUE($B$9))) *
            (IF($B$10="الكل",1, MONTH('ادخال البيانات'!$N$3:$N$1164)=VALUE($B$10))) *
            (IF($B$11="الكل",1, INT((DAY('ادخال البيانات'!$N$3:$N$1164)-1)/7)+1 = VALUE($B$11))),
            'ادخال البيانات'!$G$3:$G$1164
         ),
         ""
      ),
      IF(_xlpm.result="", "", _xlpm.result)
   )
)</f>
        <v/>
      </c>
      <c r="H803" s="27" t="str" cm="1">
        <f t="array" ref="H803">IF(
   A803="",
   "",
   _xlfn.LET(
      _xlpm.result,
      IFERROR(
         _xlfn.XLOOKUP(
            1,
            (Table8[رقم الصنف]=A803) *
            (IF($B$9="الكل",1, YEAR('ادخال البيانات'!$N$3:$N$1164)=VALUE($B$9))) *
            (IF($B$10="الكل",1, MONTH('ادخال البيانات'!$N$3:$N$1164)=VALUE($B$10))) *
            (IF($B$11="الكل",1, INT((DAY('ادخال البيانات'!$N$3:$N$1164)-1)/7)+1 = VALUE($B$11))),
            'ادخال البيانات'!$H$3:$H$1164
         ),
         ""
      ),
      IF(_xlpm.result="", "", _xlpm.result)
   )
)</f>
        <v/>
      </c>
      <c r="I803" s="27" t="str" cm="1">
        <f t="array" ref="I803">IF(
   A803="",
   "",
   _xlfn.LET(
      _xlpm.result,
      IFERROR(
         _xlfn.XLOOKUP(
            1,
            (Table8[رقم الصنف]=A803) *
            (IF($B$9="الكل",1, YEAR('ادخال البيانات'!$N$3:$N$1164)=VALUE($B$9))) *
            (IF($B$10="الكل",1, MONTH('ادخال البيانات'!$N$3:$N$1164)=VALUE($B$10))) *
            (IF($B$11="الكل",1, INT((DAY('ادخال البيانات'!$N$3:$N$1164)-1)/7)+1 = VALUE($B$11))),
            'ادخال البيانات'!$I$3:$I$1164
         ),
         ""
      ),
      IF(_xlpm.result="", "", _xlpm.result)
   )
)</f>
        <v/>
      </c>
      <c r="J803" s="27" t="str" cm="1">
        <f t="array" ref="J803">IF(
   A803="",
   "",
   _xlfn.LET(
      _xlpm.result,
      IFERROR(
         _xlfn.XLOOKUP(
            1,
            (Table8[رقم الصنف]=A803) *
            (IF($B$9="الكل",1, YEAR('ادخال البيانات'!$N$3:$N$1164)=VALUE($B$9))) *
            (IF($B$10="الكل",1, MONTH('ادخال البيانات'!$N$3:$N$1164)=VALUE($B$10))) *
            (IF($B$11="الكل",1, INT((DAY('ادخال البيانات'!$N$3:$N$1164)-1)/7)+1 = VALUE($B$11))),
            'ادخال البيانات'!$J$3:$J$1164
         ),
         ""
      ),
      IF(_xlpm.result="", "", _xlpm.result)
   )
)</f>
        <v/>
      </c>
      <c r="K803" s="27" t="str" cm="1">
        <f t="array" ref="K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3" s="27" t="str" cm="1">
        <f t="array" ref="L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3" s="27" t="str" cm="1">
        <f t="array" ref="M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3" s="28" t="str" cm="1">
        <f t="array" ref="N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3" s="28" t="str" cm="1">
        <f t="array" ref="O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3" s="27" t="str" cm="1">
        <f t="array" ref="P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Table8[جهة العطل]
         ),
         ""
      ),
      IF(_xlpm.result="", "", _xlpm.result)
   )
)</f>
        <v/>
      </c>
      <c r="Q803" s="27" t="str" cm="1">
        <f t="array" ref="Q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Table8[المركز]
         ),
         ""
      ),
      IF(_xlpm.result="", "", _xlpm.result)
   )
)</f>
        <v/>
      </c>
      <c r="R803" s="27" t="str" cm="1">
        <f t="array" ref="R803">IF(
   A803="",
   "",
   _xlfn.LET(
      _xlpm.result,
      IFERROR(
         _xlfn.XLOOKUP(
            1,
            (Table8[رقم الصنف]=A803) *
            (IF($B$9="الكل",1, YEAR('ادخال البيانات'!$N$3:$N$1164) = VALUE($B$9))) *
            (IF($B$10="الكل",1, MONTH('ادخال البيانات'!$N$3:$N$1164) = VALUE($B$10))) *
            (IF($B$11="الكل",1, INT((DAY('ادخال البيانات'!$N$3:$N$1164) - 1) / 7) + 1 = VALUE($B$11))),
            Table8[ملاحظة]
         ),
         ""
      ),
      IF(_xlpm.result="", "", _xlpm.result)
   )
)</f>
        <v/>
      </c>
      <c r="S803" s="46" t="str">
        <f t="shared" ca="1" si="13"/>
        <v/>
      </c>
    </row>
    <row r="804" spans="1:19" ht="15.6" thickTop="1" thickBot="1" x14ac:dyDescent="0.35">
      <c r="A804" s="39"/>
      <c r="B804" s="27" t="str" cm="1">
        <f t="array" ref="B804">IF(
   OR(A804="", $B$9="", $B$10="", $B$11=""),
   "",
   _xlfn.LET(
      _xlpm.result,
      IFERROR(
         _xlfn.XLOOKUP(
            1,
            (Table8[رقم الصنف]=A804)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4" s="27" t="str" cm="1">
        <f t="array" ref="C804">IF(
   A804="",
   "",
   _xlfn.LET(
      _xlpm.result,
      IFERROR(
         _xlfn.XLOOKUP(
            1,
            (Table8[رقم الصنف]=A804) *
            (IF($B$9="الكل",1, YEAR('ادخال البيانات'!$N$3:$N$1164) = VALUE($B$9))) *
            (IF($B$10="الكل",1, MONTH('ادخال البيانات'!$N$3:$N$1164) = VALUE($B$10))) *
            (IF($B$11="الكل",1, INT((DAY('ادخال البيانات'!$N$3:$N$1164)-1)/7)+1 = VALUE($B$11))),
            'ادخال البيانات'!$C$3:$C$1164
         ),
         ""
      ),
      IF(_xlpm.result="", "", _xlpm.result)
   )
)</f>
        <v/>
      </c>
      <c r="D804" s="27" t="str" cm="1">
        <f t="array" ref="D804">IF(
   OR(A804="", $B$9="", $B$10="", $B$11=""),
   "",
   _xlfn.LET(
      _xlpm.result,
      IFERROR(
         _xlfn.XLOOKUP(
            1,
            (Table8[رقم الصنف]=A804) *
            (IF($B$9="الكل",1, YEAR('ادخال البيانات'!$N$3:$N$1164)=VALUE($B$9))) *
            (IF($B$10="الكل",1, MONTH('ادخال البيانات'!$N$3:$N$1164)=VALUE($B$10))) *
            (IF($B$11="الكل",1, INT((DAY('ادخال البيانات'!$N$3:$N$1164)-1)/7)+1 = VALUE($B$11))),
            'ادخال البيانات'!$D$3:$D$1164
         ),
         ""
      ),
      IF(_xlpm.result="", "", _xlpm.result)
   )
)</f>
        <v/>
      </c>
      <c r="E804" s="27" t="str" cm="1">
        <f t="array" ref="E804">IF(
   A804="",
   "",
   _xlfn.LET(
      _xlpm.result,
      IFERROR(
         _xlfn.XLOOKUP(
            1,
            (Table8[رقم الصنف]=A804) *
            (IF($B$9="الكل",1, YEAR('ادخال البيانات'!$N$3:$N$1164)=VALUE($B$9))) *
            (IF($B$10="الكل",1, MONTH('ادخال البيانات'!$N$3:$N$1164)=VALUE($B$10))) *
            (IF($B$11="الكل",1, INT((DAY('ادخال البيانات'!$N$3:$N$1164)-1)/7)+1 = VALUE($B$11))),
            'ادخال البيانات'!$E$3:$E$1164
         ),
         ""
      ),
      IF(_xlpm.result="", "", _xlpm.result)
   )
)</f>
        <v/>
      </c>
      <c r="F804" s="27" t="str" cm="1">
        <f t="array" ref="F804">IF(
   A804="",
   "",
   _xlfn.LET(
      _xlpm.result,
      IFERROR(
         _xlfn.XLOOKUP(
            1,
            (Table8[رقم الصنف]=A804) *
            (IF($B$9="الكل",1, YEAR('ادخال البيانات'!$N$3:$N$1164) = VALUE($B$9))) *
            (IF($B$10="الكل",1, MONTH('ادخال البيانات'!$N$3:$N$1164) = VALUE($B$10))) *
            (IF($B$11="الكل",1, INT((DAY('ادخال البيانات'!$N$3:$N$1164)-1)/7)+1 = VALUE($B$11))),
            'ادخال البيانات'!$F$3:$F$1164
         ),
         ""
      ),
      IF(_xlpm.result="", "", _xlpm.result)
   )
)</f>
        <v/>
      </c>
      <c r="G804" s="27" t="str" cm="1">
        <f t="array" ref="G804">IF(
   A804="",
   "",
   _xlfn.LET(
      _xlpm.result,
      IFERROR(
         _xlfn.XLOOKUP(
            1,
            (Table8[رقم الصنف]=A804) *
            (IF($B$9="الكل",1, YEAR('ادخال البيانات'!$N$3:$N$1164)=VALUE($B$9))) *
            (IF($B$10="الكل",1, MONTH('ادخال البيانات'!$N$3:$N$1164)=VALUE($B$10))) *
            (IF($B$11="الكل",1, INT((DAY('ادخال البيانات'!$N$3:$N$1164)-1)/7)+1 = VALUE($B$11))),
            'ادخال البيانات'!$G$3:$G$1164
         ),
         ""
      ),
      IF(_xlpm.result="", "", _xlpm.result)
   )
)</f>
        <v/>
      </c>
      <c r="H804" s="27" t="str" cm="1">
        <f t="array" ref="H804">IF(
   A804="",
   "",
   _xlfn.LET(
      _xlpm.result,
      IFERROR(
         _xlfn.XLOOKUP(
            1,
            (Table8[رقم الصنف]=A804) *
            (IF($B$9="الكل",1, YEAR('ادخال البيانات'!$N$3:$N$1164)=VALUE($B$9))) *
            (IF($B$10="الكل",1, MONTH('ادخال البيانات'!$N$3:$N$1164)=VALUE($B$10))) *
            (IF($B$11="الكل",1, INT((DAY('ادخال البيانات'!$N$3:$N$1164)-1)/7)+1 = VALUE($B$11))),
            'ادخال البيانات'!$H$3:$H$1164
         ),
         ""
      ),
      IF(_xlpm.result="", "", _xlpm.result)
   )
)</f>
        <v/>
      </c>
      <c r="I804" s="27" t="str" cm="1">
        <f t="array" ref="I804">IF(
   A804="",
   "",
   _xlfn.LET(
      _xlpm.result,
      IFERROR(
         _xlfn.XLOOKUP(
            1,
            (Table8[رقم الصنف]=A804) *
            (IF($B$9="الكل",1, YEAR('ادخال البيانات'!$N$3:$N$1164)=VALUE($B$9))) *
            (IF($B$10="الكل",1, MONTH('ادخال البيانات'!$N$3:$N$1164)=VALUE($B$10))) *
            (IF($B$11="الكل",1, INT((DAY('ادخال البيانات'!$N$3:$N$1164)-1)/7)+1 = VALUE($B$11))),
            'ادخال البيانات'!$I$3:$I$1164
         ),
         ""
      ),
      IF(_xlpm.result="", "", _xlpm.result)
   )
)</f>
        <v/>
      </c>
      <c r="J804" s="27" t="str" cm="1">
        <f t="array" ref="J804">IF(
   A804="",
   "",
   _xlfn.LET(
      _xlpm.result,
      IFERROR(
         _xlfn.XLOOKUP(
            1,
            (Table8[رقم الصنف]=A804) *
            (IF($B$9="الكل",1, YEAR('ادخال البيانات'!$N$3:$N$1164)=VALUE($B$9))) *
            (IF($B$10="الكل",1, MONTH('ادخال البيانات'!$N$3:$N$1164)=VALUE($B$10))) *
            (IF($B$11="الكل",1, INT((DAY('ادخال البيانات'!$N$3:$N$1164)-1)/7)+1 = VALUE($B$11))),
            'ادخال البيانات'!$J$3:$J$1164
         ),
         ""
      ),
      IF(_xlpm.result="", "", _xlpm.result)
   )
)</f>
        <v/>
      </c>
      <c r="K804" s="27" t="str" cm="1">
        <f t="array" ref="K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4" s="27" t="str" cm="1">
        <f t="array" ref="L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4" s="27" t="str" cm="1">
        <f t="array" ref="M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4" s="28" t="str" cm="1">
        <f t="array" ref="N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4" s="28" t="str" cm="1">
        <f t="array" ref="O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4" s="27" t="str" cm="1">
        <f t="array" ref="P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Table8[جهة العطل]
         ),
         ""
      ),
      IF(_xlpm.result="", "", _xlpm.result)
   )
)</f>
        <v/>
      </c>
      <c r="Q804" s="27" t="str" cm="1">
        <f t="array" ref="Q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Table8[المركز]
         ),
         ""
      ),
      IF(_xlpm.result="", "", _xlpm.result)
   )
)</f>
        <v/>
      </c>
      <c r="R804" s="27" t="str" cm="1">
        <f t="array" ref="R804">IF(
   A804="",
   "",
   _xlfn.LET(
      _xlpm.result,
      IFERROR(
         _xlfn.XLOOKUP(
            1,
            (Table8[رقم الصنف]=A804) *
            (IF($B$9="الكل",1, YEAR('ادخال البيانات'!$N$3:$N$1164) = VALUE($B$9))) *
            (IF($B$10="الكل",1, MONTH('ادخال البيانات'!$N$3:$N$1164) = VALUE($B$10))) *
            (IF($B$11="الكل",1, INT((DAY('ادخال البيانات'!$N$3:$N$1164) - 1) / 7) + 1 = VALUE($B$11))),
            Table8[ملاحظة]
         ),
         ""
      ),
      IF(_xlpm.result="", "", _xlpm.result)
   )
)</f>
        <v/>
      </c>
      <c r="S804" s="46" t="str">
        <f t="shared" ca="1" si="13"/>
        <v/>
      </c>
    </row>
    <row r="805" spans="1:19" ht="15.6" thickTop="1" thickBot="1" x14ac:dyDescent="0.35">
      <c r="A805" s="39"/>
      <c r="B805" s="27" t="str" cm="1">
        <f t="array" ref="B805">IF(
   OR(A805="", $B$9="", $B$10="", $B$11=""),
   "",
   _xlfn.LET(
      _xlpm.result,
      IFERROR(
         _xlfn.XLOOKUP(
            1,
            (Table8[رقم الصنف]=A805)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5" s="27" t="str" cm="1">
        <f t="array" ref="C805">IF(
   A805="",
   "",
   _xlfn.LET(
      _xlpm.result,
      IFERROR(
         _xlfn.XLOOKUP(
            1,
            (Table8[رقم الصنف]=A805) *
            (IF($B$9="الكل",1, YEAR('ادخال البيانات'!$N$3:$N$1164) = VALUE($B$9))) *
            (IF($B$10="الكل",1, MONTH('ادخال البيانات'!$N$3:$N$1164) = VALUE($B$10))) *
            (IF($B$11="الكل",1, INT((DAY('ادخال البيانات'!$N$3:$N$1164)-1)/7)+1 = VALUE($B$11))),
            'ادخال البيانات'!$C$3:$C$1164
         ),
         ""
      ),
      IF(_xlpm.result="", "", _xlpm.result)
   )
)</f>
        <v/>
      </c>
      <c r="D805" s="27" t="str" cm="1">
        <f t="array" ref="D805">IF(
   OR(A805="", $B$9="", $B$10="", $B$11=""),
   "",
   _xlfn.LET(
      _xlpm.result,
      IFERROR(
         _xlfn.XLOOKUP(
            1,
            (Table8[رقم الصنف]=A805) *
            (IF($B$9="الكل",1, YEAR('ادخال البيانات'!$N$3:$N$1164)=VALUE($B$9))) *
            (IF($B$10="الكل",1, MONTH('ادخال البيانات'!$N$3:$N$1164)=VALUE($B$10))) *
            (IF($B$11="الكل",1, INT((DAY('ادخال البيانات'!$N$3:$N$1164)-1)/7)+1 = VALUE($B$11))),
            'ادخال البيانات'!$D$3:$D$1164
         ),
         ""
      ),
      IF(_xlpm.result="", "", _xlpm.result)
   )
)</f>
        <v/>
      </c>
      <c r="E805" s="27" t="str" cm="1">
        <f t="array" ref="E805">IF(
   A805="",
   "",
   _xlfn.LET(
      _xlpm.result,
      IFERROR(
         _xlfn.XLOOKUP(
            1,
            (Table8[رقم الصنف]=A805) *
            (IF($B$9="الكل",1, YEAR('ادخال البيانات'!$N$3:$N$1164)=VALUE($B$9))) *
            (IF($B$10="الكل",1, MONTH('ادخال البيانات'!$N$3:$N$1164)=VALUE($B$10))) *
            (IF($B$11="الكل",1, INT((DAY('ادخال البيانات'!$N$3:$N$1164)-1)/7)+1 = VALUE($B$11))),
            'ادخال البيانات'!$E$3:$E$1164
         ),
         ""
      ),
      IF(_xlpm.result="", "", _xlpm.result)
   )
)</f>
        <v/>
      </c>
      <c r="F805" s="27" t="str" cm="1">
        <f t="array" ref="F805">IF(
   A805="",
   "",
   _xlfn.LET(
      _xlpm.result,
      IFERROR(
         _xlfn.XLOOKUP(
            1,
            (Table8[رقم الصنف]=A805) *
            (IF($B$9="الكل",1, YEAR('ادخال البيانات'!$N$3:$N$1164) = VALUE($B$9))) *
            (IF($B$10="الكل",1, MONTH('ادخال البيانات'!$N$3:$N$1164) = VALUE($B$10))) *
            (IF($B$11="الكل",1, INT((DAY('ادخال البيانات'!$N$3:$N$1164)-1)/7)+1 = VALUE($B$11))),
            'ادخال البيانات'!$F$3:$F$1164
         ),
         ""
      ),
      IF(_xlpm.result="", "", _xlpm.result)
   )
)</f>
        <v/>
      </c>
      <c r="G805" s="27" t="str" cm="1">
        <f t="array" ref="G805">IF(
   A805="",
   "",
   _xlfn.LET(
      _xlpm.result,
      IFERROR(
         _xlfn.XLOOKUP(
            1,
            (Table8[رقم الصنف]=A805) *
            (IF($B$9="الكل",1, YEAR('ادخال البيانات'!$N$3:$N$1164)=VALUE($B$9))) *
            (IF($B$10="الكل",1, MONTH('ادخال البيانات'!$N$3:$N$1164)=VALUE($B$10))) *
            (IF($B$11="الكل",1, INT((DAY('ادخال البيانات'!$N$3:$N$1164)-1)/7)+1 = VALUE($B$11))),
            'ادخال البيانات'!$G$3:$G$1164
         ),
         ""
      ),
      IF(_xlpm.result="", "", _xlpm.result)
   )
)</f>
        <v/>
      </c>
      <c r="H805" s="27" t="str" cm="1">
        <f t="array" ref="H805">IF(
   A805="",
   "",
   _xlfn.LET(
      _xlpm.result,
      IFERROR(
         _xlfn.XLOOKUP(
            1,
            (Table8[رقم الصنف]=A805) *
            (IF($B$9="الكل",1, YEAR('ادخال البيانات'!$N$3:$N$1164)=VALUE($B$9))) *
            (IF($B$10="الكل",1, MONTH('ادخال البيانات'!$N$3:$N$1164)=VALUE($B$10))) *
            (IF($B$11="الكل",1, INT((DAY('ادخال البيانات'!$N$3:$N$1164)-1)/7)+1 = VALUE($B$11))),
            'ادخال البيانات'!$H$3:$H$1164
         ),
         ""
      ),
      IF(_xlpm.result="", "", _xlpm.result)
   )
)</f>
        <v/>
      </c>
      <c r="I805" s="27" t="str" cm="1">
        <f t="array" ref="I805">IF(
   A805="",
   "",
   _xlfn.LET(
      _xlpm.result,
      IFERROR(
         _xlfn.XLOOKUP(
            1,
            (Table8[رقم الصنف]=A805) *
            (IF($B$9="الكل",1, YEAR('ادخال البيانات'!$N$3:$N$1164)=VALUE($B$9))) *
            (IF($B$10="الكل",1, MONTH('ادخال البيانات'!$N$3:$N$1164)=VALUE($B$10))) *
            (IF($B$11="الكل",1, INT((DAY('ادخال البيانات'!$N$3:$N$1164)-1)/7)+1 = VALUE($B$11))),
            'ادخال البيانات'!$I$3:$I$1164
         ),
         ""
      ),
      IF(_xlpm.result="", "", _xlpm.result)
   )
)</f>
        <v/>
      </c>
      <c r="J805" s="27" t="str" cm="1">
        <f t="array" ref="J805">IF(
   A805="",
   "",
   _xlfn.LET(
      _xlpm.result,
      IFERROR(
         _xlfn.XLOOKUP(
            1,
            (Table8[رقم الصنف]=A805) *
            (IF($B$9="الكل",1, YEAR('ادخال البيانات'!$N$3:$N$1164)=VALUE($B$9))) *
            (IF($B$10="الكل",1, MONTH('ادخال البيانات'!$N$3:$N$1164)=VALUE($B$10))) *
            (IF($B$11="الكل",1, INT((DAY('ادخال البيانات'!$N$3:$N$1164)-1)/7)+1 = VALUE($B$11))),
            'ادخال البيانات'!$J$3:$J$1164
         ),
         ""
      ),
      IF(_xlpm.result="", "", _xlpm.result)
   )
)</f>
        <v/>
      </c>
      <c r="K805" s="27" t="str" cm="1">
        <f t="array" ref="K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5" s="27" t="str" cm="1">
        <f t="array" ref="L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5" s="27" t="str" cm="1">
        <f t="array" ref="M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5" s="28" t="str" cm="1">
        <f t="array" ref="N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5" s="28" t="str" cm="1">
        <f t="array" ref="O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5" s="27" t="str" cm="1">
        <f t="array" ref="P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Table8[جهة العطل]
         ),
         ""
      ),
      IF(_xlpm.result="", "", _xlpm.result)
   )
)</f>
        <v/>
      </c>
      <c r="Q805" s="27" t="str" cm="1">
        <f t="array" ref="Q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Table8[المركز]
         ),
         ""
      ),
      IF(_xlpm.result="", "", _xlpm.result)
   )
)</f>
        <v/>
      </c>
      <c r="R805" s="27" t="str" cm="1">
        <f t="array" ref="R805">IF(
   A805="",
   "",
   _xlfn.LET(
      _xlpm.result,
      IFERROR(
         _xlfn.XLOOKUP(
            1,
            (Table8[رقم الصنف]=A805) *
            (IF($B$9="الكل",1, YEAR('ادخال البيانات'!$N$3:$N$1164) = VALUE($B$9))) *
            (IF($B$10="الكل",1, MONTH('ادخال البيانات'!$N$3:$N$1164) = VALUE($B$10))) *
            (IF($B$11="الكل",1, INT((DAY('ادخال البيانات'!$N$3:$N$1164) - 1) / 7) + 1 = VALUE($B$11))),
            Table8[ملاحظة]
         ),
         ""
      ),
      IF(_xlpm.result="", "", _xlpm.result)
   )
)</f>
        <v/>
      </c>
      <c r="S805" s="46" t="str">
        <f t="shared" ca="1" si="13"/>
        <v/>
      </c>
    </row>
    <row r="806" spans="1:19" ht="15.6" thickTop="1" thickBot="1" x14ac:dyDescent="0.35">
      <c r="A806" s="39"/>
      <c r="B806" s="27" t="str" cm="1">
        <f t="array" ref="B806">IF(
   OR(A806="", $B$9="", $B$10="", $B$11=""),
   "",
   _xlfn.LET(
      _xlpm.result,
      IFERROR(
         _xlfn.XLOOKUP(
            1,
            (Table8[رقم الصنف]=A806)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6" s="27" t="str" cm="1">
        <f t="array" ref="C806">IF(
   A806="",
   "",
   _xlfn.LET(
      _xlpm.result,
      IFERROR(
         _xlfn.XLOOKUP(
            1,
            (Table8[رقم الصنف]=A806) *
            (IF($B$9="الكل",1, YEAR('ادخال البيانات'!$N$3:$N$1164) = VALUE($B$9))) *
            (IF($B$10="الكل",1, MONTH('ادخال البيانات'!$N$3:$N$1164) = VALUE($B$10))) *
            (IF($B$11="الكل",1, INT((DAY('ادخال البيانات'!$N$3:$N$1164)-1)/7)+1 = VALUE($B$11))),
            'ادخال البيانات'!$C$3:$C$1164
         ),
         ""
      ),
      IF(_xlpm.result="", "", _xlpm.result)
   )
)</f>
        <v/>
      </c>
      <c r="D806" s="27" t="str" cm="1">
        <f t="array" ref="D806">IF(
   OR(A806="", $B$9="", $B$10="", $B$11=""),
   "",
   _xlfn.LET(
      _xlpm.result,
      IFERROR(
         _xlfn.XLOOKUP(
            1,
            (Table8[رقم الصنف]=A806) *
            (IF($B$9="الكل",1, YEAR('ادخال البيانات'!$N$3:$N$1164)=VALUE($B$9))) *
            (IF($B$10="الكل",1, MONTH('ادخال البيانات'!$N$3:$N$1164)=VALUE($B$10))) *
            (IF($B$11="الكل",1, INT((DAY('ادخال البيانات'!$N$3:$N$1164)-1)/7)+1 = VALUE($B$11))),
            'ادخال البيانات'!$D$3:$D$1164
         ),
         ""
      ),
      IF(_xlpm.result="", "", _xlpm.result)
   )
)</f>
        <v/>
      </c>
      <c r="E806" s="27" t="str" cm="1">
        <f t="array" ref="E806">IF(
   A806="",
   "",
   _xlfn.LET(
      _xlpm.result,
      IFERROR(
         _xlfn.XLOOKUP(
            1,
            (Table8[رقم الصنف]=A806) *
            (IF($B$9="الكل",1, YEAR('ادخال البيانات'!$N$3:$N$1164)=VALUE($B$9))) *
            (IF($B$10="الكل",1, MONTH('ادخال البيانات'!$N$3:$N$1164)=VALUE($B$10))) *
            (IF($B$11="الكل",1, INT((DAY('ادخال البيانات'!$N$3:$N$1164)-1)/7)+1 = VALUE($B$11))),
            'ادخال البيانات'!$E$3:$E$1164
         ),
         ""
      ),
      IF(_xlpm.result="", "", _xlpm.result)
   )
)</f>
        <v/>
      </c>
      <c r="F806" s="27" t="str" cm="1">
        <f t="array" ref="F806">IF(
   A806="",
   "",
   _xlfn.LET(
      _xlpm.result,
      IFERROR(
         _xlfn.XLOOKUP(
            1,
            (Table8[رقم الصنف]=A806) *
            (IF($B$9="الكل",1, YEAR('ادخال البيانات'!$N$3:$N$1164) = VALUE($B$9))) *
            (IF($B$10="الكل",1, MONTH('ادخال البيانات'!$N$3:$N$1164) = VALUE($B$10))) *
            (IF($B$11="الكل",1, INT((DAY('ادخال البيانات'!$N$3:$N$1164)-1)/7)+1 = VALUE($B$11))),
            'ادخال البيانات'!$F$3:$F$1164
         ),
         ""
      ),
      IF(_xlpm.result="", "", _xlpm.result)
   )
)</f>
        <v/>
      </c>
      <c r="G806" s="27" t="str" cm="1">
        <f t="array" ref="G806">IF(
   A806="",
   "",
   _xlfn.LET(
      _xlpm.result,
      IFERROR(
         _xlfn.XLOOKUP(
            1,
            (Table8[رقم الصنف]=A806) *
            (IF($B$9="الكل",1, YEAR('ادخال البيانات'!$N$3:$N$1164)=VALUE($B$9))) *
            (IF($B$10="الكل",1, MONTH('ادخال البيانات'!$N$3:$N$1164)=VALUE($B$10))) *
            (IF($B$11="الكل",1, INT((DAY('ادخال البيانات'!$N$3:$N$1164)-1)/7)+1 = VALUE($B$11))),
            'ادخال البيانات'!$G$3:$G$1164
         ),
         ""
      ),
      IF(_xlpm.result="", "", _xlpm.result)
   )
)</f>
        <v/>
      </c>
      <c r="H806" s="27" t="str" cm="1">
        <f t="array" ref="H806">IF(
   A806="",
   "",
   _xlfn.LET(
      _xlpm.result,
      IFERROR(
         _xlfn.XLOOKUP(
            1,
            (Table8[رقم الصنف]=A806) *
            (IF($B$9="الكل",1, YEAR('ادخال البيانات'!$N$3:$N$1164)=VALUE($B$9))) *
            (IF($B$10="الكل",1, MONTH('ادخال البيانات'!$N$3:$N$1164)=VALUE($B$10))) *
            (IF($B$11="الكل",1, INT((DAY('ادخال البيانات'!$N$3:$N$1164)-1)/7)+1 = VALUE($B$11))),
            'ادخال البيانات'!$H$3:$H$1164
         ),
         ""
      ),
      IF(_xlpm.result="", "", _xlpm.result)
   )
)</f>
        <v/>
      </c>
      <c r="I806" s="27" t="str" cm="1">
        <f t="array" ref="I806">IF(
   A806="",
   "",
   _xlfn.LET(
      _xlpm.result,
      IFERROR(
         _xlfn.XLOOKUP(
            1,
            (Table8[رقم الصنف]=A806) *
            (IF($B$9="الكل",1, YEAR('ادخال البيانات'!$N$3:$N$1164)=VALUE($B$9))) *
            (IF($B$10="الكل",1, MONTH('ادخال البيانات'!$N$3:$N$1164)=VALUE($B$10))) *
            (IF($B$11="الكل",1, INT((DAY('ادخال البيانات'!$N$3:$N$1164)-1)/7)+1 = VALUE($B$11))),
            'ادخال البيانات'!$I$3:$I$1164
         ),
         ""
      ),
      IF(_xlpm.result="", "", _xlpm.result)
   )
)</f>
        <v/>
      </c>
      <c r="J806" s="27" t="str" cm="1">
        <f t="array" ref="J806">IF(
   A806="",
   "",
   _xlfn.LET(
      _xlpm.result,
      IFERROR(
         _xlfn.XLOOKUP(
            1,
            (Table8[رقم الصنف]=A806) *
            (IF($B$9="الكل",1, YEAR('ادخال البيانات'!$N$3:$N$1164)=VALUE($B$9))) *
            (IF($B$10="الكل",1, MONTH('ادخال البيانات'!$N$3:$N$1164)=VALUE($B$10))) *
            (IF($B$11="الكل",1, INT((DAY('ادخال البيانات'!$N$3:$N$1164)-1)/7)+1 = VALUE($B$11))),
            'ادخال البيانات'!$J$3:$J$1164
         ),
         ""
      ),
      IF(_xlpm.result="", "", _xlpm.result)
   )
)</f>
        <v/>
      </c>
      <c r="K806" s="27" t="str" cm="1">
        <f t="array" ref="K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6" s="27" t="str" cm="1">
        <f t="array" ref="L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6" s="27" t="str" cm="1">
        <f t="array" ref="M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6" s="28" t="str" cm="1">
        <f t="array" ref="N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6" s="28" t="str" cm="1">
        <f t="array" ref="O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6" s="27" t="str" cm="1">
        <f t="array" ref="P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Table8[جهة العطل]
         ),
         ""
      ),
      IF(_xlpm.result="", "", _xlpm.result)
   )
)</f>
        <v/>
      </c>
      <c r="Q806" s="27" t="str" cm="1">
        <f t="array" ref="Q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Table8[المركز]
         ),
         ""
      ),
      IF(_xlpm.result="", "", _xlpm.result)
   )
)</f>
        <v/>
      </c>
      <c r="R806" s="27" t="str" cm="1">
        <f t="array" ref="R806">IF(
   A806="",
   "",
   _xlfn.LET(
      _xlpm.result,
      IFERROR(
         _xlfn.XLOOKUP(
            1,
            (Table8[رقم الصنف]=A806) *
            (IF($B$9="الكل",1, YEAR('ادخال البيانات'!$N$3:$N$1164) = VALUE($B$9))) *
            (IF($B$10="الكل",1, MONTH('ادخال البيانات'!$N$3:$N$1164) = VALUE($B$10))) *
            (IF($B$11="الكل",1, INT((DAY('ادخال البيانات'!$N$3:$N$1164) - 1) / 7) + 1 = VALUE($B$11))),
            Table8[ملاحظة]
         ),
         ""
      ),
      IF(_xlpm.result="", "", _xlpm.result)
   )
)</f>
        <v/>
      </c>
      <c r="S806" s="46" t="str">
        <f t="shared" ca="1" si="13"/>
        <v/>
      </c>
    </row>
    <row r="807" spans="1:19" ht="15.6" thickTop="1" thickBot="1" x14ac:dyDescent="0.35">
      <c r="A807" s="39"/>
      <c r="B807" s="27" t="str" cm="1">
        <f t="array" ref="B807">IF(
   OR(A807="", $B$9="", $B$10="", $B$11=""),
   "",
   _xlfn.LET(
      _xlpm.result,
      IFERROR(
         _xlfn.XLOOKUP(
            1,
            (Table8[رقم الصنف]=A807)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7" s="27" t="str" cm="1">
        <f t="array" ref="C807">IF(
   A807="",
   "",
   _xlfn.LET(
      _xlpm.result,
      IFERROR(
         _xlfn.XLOOKUP(
            1,
            (Table8[رقم الصنف]=A807) *
            (IF($B$9="الكل",1, YEAR('ادخال البيانات'!$N$3:$N$1164) = VALUE($B$9))) *
            (IF($B$10="الكل",1, MONTH('ادخال البيانات'!$N$3:$N$1164) = VALUE($B$10))) *
            (IF($B$11="الكل",1, INT((DAY('ادخال البيانات'!$N$3:$N$1164)-1)/7)+1 = VALUE($B$11))),
            'ادخال البيانات'!$C$3:$C$1164
         ),
         ""
      ),
      IF(_xlpm.result="", "", _xlpm.result)
   )
)</f>
        <v/>
      </c>
      <c r="D807" s="27" t="str" cm="1">
        <f t="array" ref="D807">IF(
   OR(A807="", $B$9="", $B$10="", $B$11=""),
   "",
   _xlfn.LET(
      _xlpm.result,
      IFERROR(
         _xlfn.XLOOKUP(
            1,
            (Table8[رقم الصنف]=A807) *
            (IF($B$9="الكل",1, YEAR('ادخال البيانات'!$N$3:$N$1164)=VALUE($B$9))) *
            (IF($B$10="الكل",1, MONTH('ادخال البيانات'!$N$3:$N$1164)=VALUE($B$10))) *
            (IF($B$11="الكل",1, INT((DAY('ادخال البيانات'!$N$3:$N$1164)-1)/7)+1 = VALUE($B$11))),
            'ادخال البيانات'!$D$3:$D$1164
         ),
         ""
      ),
      IF(_xlpm.result="", "", _xlpm.result)
   )
)</f>
        <v/>
      </c>
      <c r="E807" s="27" t="str" cm="1">
        <f t="array" ref="E807">IF(
   A807="",
   "",
   _xlfn.LET(
      _xlpm.result,
      IFERROR(
         _xlfn.XLOOKUP(
            1,
            (Table8[رقم الصنف]=A807) *
            (IF($B$9="الكل",1, YEAR('ادخال البيانات'!$N$3:$N$1164)=VALUE($B$9))) *
            (IF($B$10="الكل",1, MONTH('ادخال البيانات'!$N$3:$N$1164)=VALUE($B$10))) *
            (IF($B$11="الكل",1, INT((DAY('ادخال البيانات'!$N$3:$N$1164)-1)/7)+1 = VALUE($B$11))),
            'ادخال البيانات'!$E$3:$E$1164
         ),
         ""
      ),
      IF(_xlpm.result="", "", _xlpm.result)
   )
)</f>
        <v/>
      </c>
      <c r="F807" s="27" t="str" cm="1">
        <f t="array" ref="F807">IF(
   A807="",
   "",
   _xlfn.LET(
      _xlpm.result,
      IFERROR(
         _xlfn.XLOOKUP(
            1,
            (Table8[رقم الصنف]=A807) *
            (IF($B$9="الكل",1, YEAR('ادخال البيانات'!$N$3:$N$1164) = VALUE($B$9))) *
            (IF($B$10="الكل",1, MONTH('ادخال البيانات'!$N$3:$N$1164) = VALUE($B$10))) *
            (IF($B$11="الكل",1, INT((DAY('ادخال البيانات'!$N$3:$N$1164)-1)/7)+1 = VALUE($B$11))),
            'ادخال البيانات'!$F$3:$F$1164
         ),
         ""
      ),
      IF(_xlpm.result="", "", _xlpm.result)
   )
)</f>
        <v/>
      </c>
      <c r="G807" s="27" t="str" cm="1">
        <f t="array" ref="G807">IF(
   A807="",
   "",
   _xlfn.LET(
      _xlpm.result,
      IFERROR(
         _xlfn.XLOOKUP(
            1,
            (Table8[رقم الصنف]=A807) *
            (IF($B$9="الكل",1, YEAR('ادخال البيانات'!$N$3:$N$1164)=VALUE($B$9))) *
            (IF($B$10="الكل",1, MONTH('ادخال البيانات'!$N$3:$N$1164)=VALUE($B$10))) *
            (IF($B$11="الكل",1, INT((DAY('ادخال البيانات'!$N$3:$N$1164)-1)/7)+1 = VALUE($B$11))),
            'ادخال البيانات'!$G$3:$G$1164
         ),
         ""
      ),
      IF(_xlpm.result="", "", _xlpm.result)
   )
)</f>
        <v/>
      </c>
      <c r="H807" s="27" t="str" cm="1">
        <f t="array" ref="H807">IF(
   A807="",
   "",
   _xlfn.LET(
      _xlpm.result,
      IFERROR(
         _xlfn.XLOOKUP(
            1,
            (Table8[رقم الصنف]=A807) *
            (IF($B$9="الكل",1, YEAR('ادخال البيانات'!$N$3:$N$1164)=VALUE($B$9))) *
            (IF($B$10="الكل",1, MONTH('ادخال البيانات'!$N$3:$N$1164)=VALUE($B$10))) *
            (IF($B$11="الكل",1, INT((DAY('ادخال البيانات'!$N$3:$N$1164)-1)/7)+1 = VALUE($B$11))),
            'ادخال البيانات'!$H$3:$H$1164
         ),
         ""
      ),
      IF(_xlpm.result="", "", _xlpm.result)
   )
)</f>
        <v/>
      </c>
      <c r="I807" s="27" t="str" cm="1">
        <f t="array" ref="I807">IF(
   A807="",
   "",
   _xlfn.LET(
      _xlpm.result,
      IFERROR(
         _xlfn.XLOOKUP(
            1,
            (Table8[رقم الصنف]=A807) *
            (IF($B$9="الكل",1, YEAR('ادخال البيانات'!$N$3:$N$1164)=VALUE($B$9))) *
            (IF($B$10="الكل",1, MONTH('ادخال البيانات'!$N$3:$N$1164)=VALUE($B$10))) *
            (IF($B$11="الكل",1, INT((DAY('ادخال البيانات'!$N$3:$N$1164)-1)/7)+1 = VALUE($B$11))),
            'ادخال البيانات'!$I$3:$I$1164
         ),
         ""
      ),
      IF(_xlpm.result="", "", _xlpm.result)
   )
)</f>
        <v/>
      </c>
      <c r="J807" s="27" t="str" cm="1">
        <f t="array" ref="J807">IF(
   A807="",
   "",
   _xlfn.LET(
      _xlpm.result,
      IFERROR(
         _xlfn.XLOOKUP(
            1,
            (Table8[رقم الصنف]=A807) *
            (IF($B$9="الكل",1, YEAR('ادخال البيانات'!$N$3:$N$1164)=VALUE($B$9))) *
            (IF($B$10="الكل",1, MONTH('ادخال البيانات'!$N$3:$N$1164)=VALUE($B$10))) *
            (IF($B$11="الكل",1, INT((DAY('ادخال البيانات'!$N$3:$N$1164)-1)/7)+1 = VALUE($B$11))),
            'ادخال البيانات'!$J$3:$J$1164
         ),
         ""
      ),
      IF(_xlpm.result="", "", _xlpm.result)
   )
)</f>
        <v/>
      </c>
      <c r="K807" s="27" t="str" cm="1">
        <f t="array" ref="K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7" s="27" t="str" cm="1">
        <f t="array" ref="L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7" s="27" t="str" cm="1">
        <f t="array" ref="M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7" s="28" t="str" cm="1">
        <f t="array" ref="N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7" s="28" t="str" cm="1">
        <f t="array" ref="O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7" s="27" t="str" cm="1">
        <f t="array" ref="P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Table8[جهة العطل]
         ),
         ""
      ),
      IF(_xlpm.result="", "", _xlpm.result)
   )
)</f>
        <v/>
      </c>
      <c r="Q807" s="27" t="str" cm="1">
        <f t="array" ref="Q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Table8[المركز]
         ),
         ""
      ),
      IF(_xlpm.result="", "", _xlpm.result)
   )
)</f>
        <v/>
      </c>
      <c r="R807" s="27" t="str" cm="1">
        <f t="array" ref="R807">IF(
   A807="",
   "",
   _xlfn.LET(
      _xlpm.result,
      IFERROR(
         _xlfn.XLOOKUP(
            1,
            (Table8[رقم الصنف]=A807) *
            (IF($B$9="الكل",1, YEAR('ادخال البيانات'!$N$3:$N$1164) = VALUE($B$9))) *
            (IF($B$10="الكل",1, MONTH('ادخال البيانات'!$N$3:$N$1164) = VALUE($B$10))) *
            (IF($B$11="الكل",1, INT((DAY('ادخال البيانات'!$N$3:$N$1164) - 1) / 7) + 1 = VALUE($B$11))),
            Table8[ملاحظة]
         ),
         ""
      ),
      IF(_xlpm.result="", "", _xlpm.result)
   )
)</f>
        <v/>
      </c>
      <c r="S807" s="46" t="str">
        <f t="shared" ca="1" si="13"/>
        <v/>
      </c>
    </row>
    <row r="808" spans="1:19" ht="15.6" thickTop="1" thickBot="1" x14ac:dyDescent="0.35">
      <c r="A808" s="39"/>
      <c r="B808" s="27" t="str" cm="1">
        <f t="array" ref="B808">IF(
   OR(A808="", $B$9="", $B$10="", $B$11=""),
   "",
   _xlfn.LET(
      _xlpm.result,
      IFERROR(
         _xlfn.XLOOKUP(
            1,
            (Table8[رقم الصنف]=A808)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8" s="27" t="str" cm="1">
        <f t="array" ref="C808">IF(
   A808="",
   "",
   _xlfn.LET(
      _xlpm.result,
      IFERROR(
         _xlfn.XLOOKUP(
            1,
            (Table8[رقم الصنف]=A808) *
            (IF($B$9="الكل",1, YEAR('ادخال البيانات'!$N$3:$N$1164) = VALUE($B$9))) *
            (IF($B$10="الكل",1, MONTH('ادخال البيانات'!$N$3:$N$1164) = VALUE($B$10))) *
            (IF($B$11="الكل",1, INT((DAY('ادخال البيانات'!$N$3:$N$1164)-1)/7)+1 = VALUE($B$11))),
            'ادخال البيانات'!$C$3:$C$1164
         ),
         ""
      ),
      IF(_xlpm.result="", "", _xlpm.result)
   )
)</f>
        <v/>
      </c>
      <c r="D808" s="27" t="str" cm="1">
        <f t="array" ref="D808">IF(
   OR(A808="", $B$9="", $B$10="", $B$11=""),
   "",
   _xlfn.LET(
      _xlpm.result,
      IFERROR(
         _xlfn.XLOOKUP(
            1,
            (Table8[رقم الصنف]=A808) *
            (IF($B$9="الكل",1, YEAR('ادخال البيانات'!$N$3:$N$1164)=VALUE($B$9))) *
            (IF($B$10="الكل",1, MONTH('ادخال البيانات'!$N$3:$N$1164)=VALUE($B$10))) *
            (IF($B$11="الكل",1, INT((DAY('ادخال البيانات'!$N$3:$N$1164)-1)/7)+1 = VALUE($B$11))),
            'ادخال البيانات'!$D$3:$D$1164
         ),
         ""
      ),
      IF(_xlpm.result="", "", _xlpm.result)
   )
)</f>
        <v/>
      </c>
      <c r="E808" s="27" t="str" cm="1">
        <f t="array" ref="E808">IF(
   A808="",
   "",
   _xlfn.LET(
      _xlpm.result,
      IFERROR(
         _xlfn.XLOOKUP(
            1,
            (Table8[رقم الصنف]=A808) *
            (IF($B$9="الكل",1, YEAR('ادخال البيانات'!$N$3:$N$1164)=VALUE($B$9))) *
            (IF($B$10="الكل",1, MONTH('ادخال البيانات'!$N$3:$N$1164)=VALUE($B$10))) *
            (IF($B$11="الكل",1, INT((DAY('ادخال البيانات'!$N$3:$N$1164)-1)/7)+1 = VALUE($B$11))),
            'ادخال البيانات'!$E$3:$E$1164
         ),
         ""
      ),
      IF(_xlpm.result="", "", _xlpm.result)
   )
)</f>
        <v/>
      </c>
      <c r="F808" s="27" t="str" cm="1">
        <f t="array" ref="F808">IF(
   A808="",
   "",
   _xlfn.LET(
      _xlpm.result,
      IFERROR(
         _xlfn.XLOOKUP(
            1,
            (Table8[رقم الصنف]=A808) *
            (IF($B$9="الكل",1, YEAR('ادخال البيانات'!$N$3:$N$1164) = VALUE($B$9))) *
            (IF($B$10="الكل",1, MONTH('ادخال البيانات'!$N$3:$N$1164) = VALUE($B$10))) *
            (IF($B$11="الكل",1, INT((DAY('ادخال البيانات'!$N$3:$N$1164)-1)/7)+1 = VALUE($B$11))),
            'ادخال البيانات'!$F$3:$F$1164
         ),
         ""
      ),
      IF(_xlpm.result="", "", _xlpm.result)
   )
)</f>
        <v/>
      </c>
      <c r="G808" s="27" t="str" cm="1">
        <f t="array" ref="G808">IF(
   A808="",
   "",
   _xlfn.LET(
      _xlpm.result,
      IFERROR(
         _xlfn.XLOOKUP(
            1,
            (Table8[رقم الصنف]=A808) *
            (IF($B$9="الكل",1, YEAR('ادخال البيانات'!$N$3:$N$1164)=VALUE($B$9))) *
            (IF($B$10="الكل",1, MONTH('ادخال البيانات'!$N$3:$N$1164)=VALUE($B$10))) *
            (IF($B$11="الكل",1, INT((DAY('ادخال البيانات'!$N$3:$N$1164)-1)/7)+1 = VALUE($B$11))),
            'ادخال البيانات'!$G$3:$G$1164
         ),
         ""
      ),
      IF(_xlpm.result="", "", _xlpm.result)
   )
)</f>
        <v/>
      </c>
      <c r="H808" s="27" t="str" cm="1">
        <f t="array" ref="H808">IF(
   A808="",
   "",
   _xlfn.LET(
      _xlpm.result,
      IFERROR(
         _xlfn.XLOOKUP(
            1,
            (Table8[رقم الصنف]=A808) *
            (IF($B$9="الكل",1, YEAR('ادخال البيانات'!$N$3:$N$1164)=VALUE($B$9))) *
            (IF($B$10="الكل",1, MONTH('ادخال البيانات'!$N$3:$N$1164)=VALUE($B$10))) *
            (IF($B$11="الكل",1, INT((DAY('ادخال البيانات'!$N$3:$N$1164)-1)/7)+1 = VALUE($B$11))),
            'ادخال البيانات'!$H$3:$H$1164
         ),
         ""
      ),
      IF(_xlpm.result="", "", _xlpm.result)
   )
)</f>
        <v/>
      </c>
      <c r="I808" s="27" t="str" cm="1">
        <f t="array" ref="I808">IF(
   A808="",
   "",
   _xlfn.LET(
      _xlpm.result,
      IFERROR(
         _xlfn.XLOOKUP(
            1,
            (Table8[رقم الصنف]=A808) *
            (IF($B$9="الكل",1, YEAR('ادخال البيانات'!$N$3:$N$1164)=VALUE($B$9))) *
            (IF($B$10="الكل",1, MONTH('ادخال البيانات'!$N$3:$N$1164)=VALUE($B$10))) *
            (IF($B$11="الكل",1, INT((DAY('ادخال البيانات'!$N$3:$N$1164)-1)/7)+1 = VALUE($B$11))),
            'ادخال البيانات'!$I$3:$I$1164
         ),
         ""
      ),
      IF(_xlpm.result="", "", _xlpm.result)
   )
)</f>
        <v/>
      </c>
      <c r="J808" s="27" t="str" cm="1">
        <f t="array" ref="J808">IF(
   A808="",
   "",
   _xlfn.LET(
      _xlpm.result,
      IFERROR(
         _xlfn.XLOOKUP(
            1,
            (Table8[رقم الصنف]=A808) *
            (IF($B$9="الكل",1, YEAR('ادخال البيانات'!$N$3:$N$1164)=VALUE($B$9))) *
            (IF($B$10="الكل",1, MONTH('ادخال البيانات'!$N$3:$N$1164)=VALUE($B$10))) *
            (IF($B$11="الكل",1, INT((DAY('ادخال البيانات'!$N$3:$N$1164)-1)/7)+1 = VALUE($B$11))),
            'ادخال البيانات'!$J$3:$J$1164
         ),
         ""
      ),
      IF(_xlpm.result="", "", _xlpm.result)
   )
)</f>
        <v/>
      </c>
      <c r="K808" s="27" t="str" cm="1">
        <f t="array" ref="K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8" s="27" t="str" cm="1">
        <f t="array" ref="L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8" s="27" t="str" cm="1">
        <f t="array" ref="M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8" s="28" t="str" cm="1">
        <f t="array" ref="N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8" s="28" t="str" cm="1">
        <f t="array" ref="O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8" s="27" t="str" cm="1">
        <f t="array" ref="P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Table8[جهة العطل]
         ),
         ""
      ),
      IF(_xlpm.result="", "", _xlpm.result)
   )
)</f>
        <v/>
      </c>
      <c r="Q808" s="27" t="str" cm="1">
        <f t="array" ref="Q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Table8[المركز]
         ),
         ""
      ),
      IF(_xlpm.result="", "", _xlpm.result)
   )
)</f>
        <v/>
      </c>
      <c r="R808" s="27" t="str" cm="1">
        <f t="array" ref="R808">IF(
   A808="",
   "",
   _xlfn.LET(
      _xlpm.result,
      IFERROR(
         _xlfn.XLOOKUP(
            1,
            (Table8[رقم الصنف]=A808) *
            (IF($B$9="الكل",1, YEAR('ادخال البيانات'!$N$3:$N$1164) = VALUE($B$9))) *
            (IF($B$10="الكل",1, MONTH('ادخال البيانات'!$N$3:$N$1164) = VALUE($B$10))) *
            (IF($B$11="الكل",1, INT((DAY('ادخال البيانات'!$N$3:$N$1164) - 1) / 7) + 1 = VALUE($B$11))),
            Table8[ملاحظة]
         ),
         ""
      ),
      IF(_xlpm.result="", "", _xlpm.result)
   )
)</f>
        <v/>
      </c>
      <c r="S808" s="46" t="str">
        <f t="shared" ca="1" si="13"/>
        <v/>
      </c>
    </row>
    <row r="809" spans="1:19" ht="15.6" thickTop="1" thickBot="1" x14ac:dyDescent="0.35">
      <c r="A809" s="39"/>
      <c r="B809" s="27" t="str" cm="1">
        <f t="array" ref="B809">IF(
   OR(A809="", $B$9="", $B$10="", $B$11=""),
   "",
   _xlfn.LET(
      _xlpm.result,
      IFERROR(
         _xlfn.XLOOKUP(
            1,
            (Table8[رقم الصنف]=A809)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09" s="27" t="str" cm="1">
        <f t="array" ref="C809">IF(
   A809="",
   "",
   _xlfn.LET(
      _xlpm.result,
      IFERROR(
         _xlfn.XLOOKUP(
            1,
            (Table8[رقم الصنف]=A809) *
            (IF($B$9="الكل",1, YEAR('ادخال البيانات'!$N$3:$N$1164) = VALUE($B$9))) *
            (IF($B$10="الكل",1, MONTH('ادخال البيانات'!$N$3:$N$1164) = VALUE($B$10))) *
            (IF($B$11="الكل",1, INT((DAY('ادخال البيانات'!$N$3:$N$1164)-1)/7)+1 = VALUE($B$11))),
            'ادخال البيانات'!$C$3:$C$1164
         ),
         ""
      ),
      IF(_xlpm.result="", "", _xlpm.result)
   )
)</f>
        <v/>
      </c>
      <c r="D809" s="27" t="str" cm="1">
        <f t="array" ref="D809">IF(
   OR(A809="", $B$9="", $B$10="", $B$11=""),
   "",
   _xlfn.LET(
      _xlpm.result,
      IFERROR(
         _xlfn.XLOOKUP(
            1,
            (Table8[رقم الصنف]=A809) *
            (IF($B$9="الكل",1, YEAR('ادخال البيانات'!$N$3:$N$1164)=VALUE($B$9))) *
            (IF($B$10="الكل",1, MONTH('ادخال البيانات'!$N$3:$N$1164)=VALUE($B$10))) *
            (IF($B$11="الكل",1, INT((DAY('ادخال البيانات'!$N$3:$N$1164)-1)/7)+1 = VALUE($B$11))),
            'ادخال البيانات'!$D$3:$D$1164
         ),
         ""
      ),
      IF(_xlpm.result="", "", _xlpm.result)
   )
)</f>
        <v/>
      </c>
      <c r="E809" s="27" t="str" cm="1">
        <f t="array" ref="E809">IF(
   A809="",
   "",
   _xlfn.LET(
      _xlpm.result,
      IFERROR(
         _xlfn.XLOOKUP(
            1,
            (Table8[رقم الصنف]=A809) *
            (IF($B$9="الكل",1, YEAR('ادخال البيانات'!$N$3:$N$1164)=VALUE($B$9))) *
            (IF($B$10="الكل",1, MONTH('ادخال البيانات'!$N$3:$N$1164)=VALUE($B$10))) *
            (IF($B$11="الكل",1, INT((DAY('ادخال البيانات'!$N$3:$N$1164)-1)/7)+1 = VALUE($B$11))),
            'ادخال البيانات'!$E$3:$E$1164
         ),
         ""
      ),
      IF(_xlpm.result="", "", _xlpm.result)
   )
)</f>
        <v/>
      </c>
      <c r="F809" s="27" t="str" cm="1">
        <f t="array" ref="F809">IF(
   A809="",
   "",
   _xlfn.LET(
      _xlpm.result,
      IFERROR(
         _xlfn.XLOOKUP(
            1,
            (Table8[رقم الصنف]=A809) *
            (IF($B$9="الكل",1, YEAR('ادخال البيانات'!$N$3:$N$1164) = VALUE($B$9))) *
            (IF($B$10="الكل",1, MONTH('ادخال البيانات'!$N$3:$N$1164) = VALUE($B$10))) *
            (IF($B$11="الكل",1, INT((DAY('ادخال البيانات'!$N$3:$N$1164)-1)/7)+1 = VALUE($B$11))),
            'ادخال البيانات'!$F$3:$F$1164
         ),
         ""
      ),
      IF(_xlpm.result="", "", _xlpm.result)
   )
)</f>
        <v/>
      </c>
      <c r="G809" s="27" t="str" cm="1">
        <f t="array" ref="G809">IF(
   A809="",
   "",
   _xlfn.LET(
      _xlpm.result,
      IFERROR(
         _xlfn.XLOOKUP(
            1,
            (Table8[رقم الصنف]=A809) *
            (IF($B$9="الكل",1, YEAR('ادخال البيانات'!$N$3:$N$1164)=VALUE($B$9))) *
            (IF($B$10="الكل",1, MONTH('ادخال البيانات'!$N$3:$N$1164)=VALUE($B$10))) *
            (IF($B$11="الكل",1, INT((DAY('ادخال البيانات'!$N$3:$N$1164)-1)/7)+1 = VALUE($B$11))),
            'ادخال البيانات'!$G$3:$G$1164
         ),
         ""
      ),
      IF(_xlpm.result="", "", _xlpm.result)
   )
)</f>
        <v/>
      </c>
      <c r="H809" s="27" t="str" cm="1">
        <f t="array" ref="H809">IF(
   A809="",
   "",
   _xlfn.LET(
      _xlpm.result,
      IFERROR(
         _xlfn.XLOOKUP(
            1,
            (Table8[رقم الصنف]=A809) *
            (IF($B$9="الكل",1, YEAR('ادخال البيانات'!$N$3:$N$1164)=VALUE($B$9))) *
            (IF($B$10="الكل",1, MONTH('ادخال البيانات'!$N$3:$N$1164)=VALUE($B$10))) *
            (IF($B$11="الكل",1, INT((DAY('ادخال البيانات'!$N$3:$N$1164)-1)/7)+1 = VALUE($B$11))),
            'ادخال البيانات'!$H$3:$H$1164
         ),
         ""
      ),
      IF(_xlpm.result="", "", _xlpm.result)
   )
)</f>
        <v/>
      </c>
      <c r="I809" s="27" t="str" cm="1">
        <f t="array" ref="I809">IF(
   A809="",
   "",
   _xlfn.LET(
      _xlpm.result,
      IFERROR(
         _xlfn.XLOOKUP(
            1,
            (Table8[رقم الصنف]=A809) *
            (IF($B$9="الكل",1, YEAR('ادخال البيانات'!$N$3:$N$1164)=VALUE($B$9))) *
            (IF($B$10="الكل",1, MONTH('ادخال البيانات'!$N$3:$N$1164)=VALUE($B$10))) *
            (IF($B$11="الكل",1, INT((DAY('ادخال البيانات'!$N$3:$N$1164)-1)/7)+1 = VALUE($B$11))),
            'ادخال البيانات'!$I$3:$I$1164
         ),
         ""
      ),
      IF(_xlpm.result="", "", _xlpm.result)
   )
)</f>
        <v/>
      </c>
      <c r="J809" s="27" t="str" cm="1">
        <f t="array" ref="J809">IF(
   A809="",
   "",
   _xlfn.LET(
      _xlpm.result,
      IFERROR(
         _xlfn.XLOOKUP(
            1,
            (Table8[رقم الصنف]=A809) *
            (IF($B$9="الكل",1, YEAR('ادخال البيانات'!$N$3:$N$1164)=VALUE($B$9))) *
            (IF($B$10="الكل",1, MONTH('ادخال البيانات'!$N$3:$N$1164)=VALUE($B$10))) *
            (IF($B$11="الكل",1, INT((DAY('ادخال البيانات'!$N$3:$N$1164)-1)/7)+1 = VALUE($B$11))),
            'ادخال البيانات'!$J$3:$J$1164
         ),
         ""
      ),
      IF(_xlpm.result="", "", _xlpm.result)
   )
)</f>
        <v/>
      </c>
      <c r="K809" s="27" t="str" cm="1">
        <f t="array" ref="K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09" s="27" t="str" cm="1">
        <f t="array" ref="L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09" s="27" t="str" cm="1">
        <f t="array" ref="M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09" s="28" t="str" cm="1">
        <f t="array" ref="N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09" s="28" t="str" cm="1">
        <f t="array" ref="O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09" s="27" t="str" cm="1">
        <f t="array" ref="P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Table8[جهة العطل]
         ),
         ""
      ),
      IF(_xlpm.result="", "", _xlpm.result)
   )
)</f>
        <v/>
      </c>
      <c r="Q809" s="27" t="str" cm="1">
        <f t="array" ref="Q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Table8[المركز]
         ),
         ""
      ),
      IF(_xlpm.result="", "", _xlpm.result)
   )
)</f>
        <v/>
      </c>
      <c r="R809" s="27" t="str" cm="1">
        <f t="array" ref="R809">IF(
   A809="",
   "",
   _xlfn.LET(
      _xlpm.result,
      IFERROR(
         _xlfn.XLOOKUP(
            1,
            (Table8[رقم الصنف]=A809) *
            (IF($B$9="الكل",1, YEAR('ادخال البيانات'!$N$3:$N$1164) = VALUE($B$9))) *
            (IF($B$10="الكل",1, MONTH('ادخال البيانات'!$N$3:$N$1164) = VALUE($B$10))) *
            (IF($B$11="الكل",1, INT((DAY('ادخال البيانات'!$N$3:$N$1164) - 1) / 7) + 1 = VALUE($B$11))),
            Table8[ملاحظة]
         ),
         ""
      ),
      IF(_xlpm.result="", "", _xlpm.result)
   )
)</f>
        <v/>
      </c>
      <c r="S809" s="46" t="str">
        <f t="shared" ca="1" si="13"/>
        <v/>
      </c>
    </row>
    <row r="810" spans="1:19" ht="15.6" thickTop="1" thickBot="1" x14ac:dyDescent="0.35">
      <c r="A810" s="39"/>
      <c r="B810" s="27" t="str" cm="1">
        <f t="array" ref="B810">IF(
   OR(A810="", $B$9="", $B$10="", $B$11=""),
   "",
   _xlfn.LET(
      _xlpm.result,
      IFERROR(
         _xlfn.XLOOKUP(
            1,
            (Table8[رقم الصنف]=A810)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0" s="27" t="str" cm="1">
        <f t="array" ref="C810">IF(
   A810="",
   "",
   _xlfn.LET(
      _xlpm.result,
      IFERROR(
         _xlfn.XLOOKUP(
            1,
            (Table8[رقم الصنف]=A810) *
            (IF($B$9="الكل",1, YEAR('ادخال البيانات'!$N$3:$N$1164) = VALUE($B$9))) *
            (IF($B$10="الكل",1, MONTH('ادخال البيانات'!$N$3:$N$1164) = VALUE($B$10))) *
            (IF($B$11="الكل",1, INT((DAY('ادخال البيانات'!$N$3:$N$1164)-1)/7)+1 = VALUE($B$11))),
            'ادخال البيانات'!$C$3:$C$1164
         ),
         ""
      ),
      IF(_xlpm.result="", "", _xlpm.result)
   )
)</f>
        <v/>
      </c>
      <c r="D810" s="27" t="str" cm="1">
        <f t="array" ref="D810">IF(
   OR(A810="", $B$9="", $B$10="", $B$11=""),
   "",
   _xlfn.LET(
      _xlpm.result,
      IFERROR(
         _xlfn.XLOOKUP(
            1,
            (Table8[رقم الصنف]=A810) *
            (IF($B$9="الكل",1, YEAR('ادخال البيانات'!$N$3:$N$1164)=VALUE($B$9))) *
            (IF($B$10="الكل",1, MONTH('ادخال البيانات'!$N$3:$N$1164)=VALUE($B$10))) *
            (IF($B$11="الكل",1, INT((DAY('ادخال البيانات'!$N$3:$N$1164)-1)/7)+1 = VALUE($B$11))),
            'ادخال البيانات'!$D$3:$D$1164
         ),
         ""
      ),
      IF(_xlpm.result="", "", _xlpm.result)
   )
)</f>
        <v/>
      </c>
      <c r="E810" s="27" t="str" cm="1">
        <f t="array" ref="E810">IF(
   A810="",
   "",
   _xlfn.LET(
      _xlpm.result,
      IFERROR(
         _xlfn.XLOOKUP(
            1,
            (Table8[رقم الصنف]=A810) *
            (IF($B$9="الكل",1, YEAR('ادخال البيانات'!$N$3:$N$1164)=VALUE($B$9))) *
            (IF($B$10="الكل",1, MONTH('ادخال البيانات'!$N$3:$N$1164)=VALUE($B$10))) *
            (IF($B$11="الكل",1, INT((DAY('ادخال البيانات'!$N$3:$N$1164)-1)/7)+1 = VALUE($B$11))),
            'ادخال البيانات'!$E$3:$E$1164
         ),
         ""
      ),
      IF(_xlpm.result="", "", _xlpm.result)
   )
)</f>
        <v/>
      </c>
      <c r="F810" s="27" t="str" cm="1">
        <f t="array" ref="F810">IF(
   A810="",
   "",
   _xlfn.LET(
      _xlpm.result,
      IFERROR(
         _xlfn.XLOOKUP(
            1,
            (Table8[رقم الصنف]=A810) *
            (IF($B$9="الكل",1, YEAR('ادخال البيانات'!$N$3:$N$1164) = VALUE($B$9))) *
            (IF($B$10="الكل",1, MONTH('ادخال البيانات'!$N$3:$N$1164) = VALUE($B$10))) *
            (IF($B$11="الكل",1, INT((DAY('ادخال البيانات'!$N$3:$N$1164)-1)/7)+1 = VALUE($B$11))),
            'ادخال البيانات'!$F$3:$F$1164
         ),
         ""
      ),
      IF(_xlpm.result="", "", _xlpm.result)
   )
)</f>
        <v/>
      </c>
      <c r="G810" s="27" t="str" cm="1">
        <f t="array" ref="G810">IF(
   A810="",
   "",
   _xlfn.LET(
      _xlpm.result,
      IFERROR(
         _xlfn.XLOOKUP(
            1,
            (Table8[رقم الصنف]=A810) *
            (IF($B$9="الكل",1, YEAR('ادخال البيانات'!$N$3:$N$1164)=VALUE($B$9))) *
            (IF($B$10="الكل",1, MONTH('ادخال البيانات'!$N$3:$N$1164)=VALUE($B$10))) *
            (IF($B$11="الكل",1, INT((DAY('ادخال البيانات'!$N$3:$N$1164)-1)/7)+1 = VALUE($B$11))),
            'ادخال البيانات'!$G$3:$G$1164
         ),
         ""
      ),
      IF(_xlpm.result="", "", _xlpm.result)
   )
)</f>
        <v/>
      </c>
      <c r="H810" s="27" t="str" cm="1">
        <f t="array" ref="H810">IF(
   A810="",
   "",
   _xlfn.LET(
      _xlpm.result,
      IFERROR(
         _xlfn.XLOOKUP(
            1,
            (Table8[رقم الصنف]=A810) *
            (IF($B$9="الكل",1, YEAR('ادخال البيانات'!$N$3:$N$1164)=VALUE($B$9))) *
            (IF($B$10="الكل",1, MONTH('ادخال البيانات'!$N$3:$N$1164)=VALUE($B$10))) *
            (IF($B$11="الكل",1, INT((DAY('ادخال البيانات'!$N$3:$N$1164)-1)/7)+1 = VALUE($B$11))),
            'ادخال البيانات'!$H$3:$H$1164
         ),
         ""
      ),
      IF(_xlpm.result="", "", _xlpm.result)
   )
)</f>
        <v/>
      </c>
      <c r="I810" s="27" t="str" cm="1">
        <f t="array" ref="I810">IF(
   A810="",
   "",
   _xlfn.LET(
      _xlpm.result,
      IFERROR(
         _xlfn.XLOOKUP(
            1,
            (Table8[رقم الصنف]=A810) *
            (IF($B$9="الكل",1, YEAR('ادخال البيانات'!$N$3:$N$1164)=VALUE($B$9))) *
            (IF($B$10="الكل",1, MONTH('ادخال البيانات'!$N$3:$N$1164)=VALUE($B$10))) *
            (IF($B$11="الكل",1, INT((DAY('ادخال البيانات'!$N$3:$N$1164)-1)/7)+1 = VALUE($B$11))),
            'ادخال البيانات'!$I$3:$I$1164
         ),
         ""
      ),
      IF(_xlpm.result="", "", _xlpm.result)
   )
)</f>
        <v/>
      </c>
      <c r="J810" s="27" t="str" cm="1">
        <f t="array" ref="J810">IF(
   A810="",
   "",
   _xlfn.LET(
      _xlpm.result,
      IFERROR(
         _xlfn.XLOOKUP(
            1,
            (Table8[رقم الصنف]=A810) *
            (IF($B$9="الكل",1, YEAR('ادخال البيانات'!$N$3:$N$1164)=VALUE($B$9))) *
            (IF($B$10="الكل",1, MONTH('ادخال البيانات'!$N$3:$N$1164)=VALUE($B$10))) *
            (IF($B$11="الكل",1, INT((DAY('ادخال البيانات'!$N$3:$N$1164)-1)/7)+1 = VALUE($B$11))),
            'ادخال البيانات'!$J$3:$J$1164
         ),
         ""
      ),
      IF(_xlpm.result="", "", _xlpm.result)
   )
)</f>
        <v/>
      </c>
      <c r="K810" s="27" t="str" cm="1">
        <f t="array" ref="K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0" s="27" t="str" cm="1">
        <f t="array" ref="L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0" s="27" t="str" cm="1">
        <f t="array" ref="M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0" s="28" t="str" cm="1">
        <f t="array" ref="N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0" s="28" t="str" cm="1">
        <f t="array" ref="O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0" s="27" t="str" cm="1">
        <f t="array" ref="P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Table8[جهة العطل]
         ),
         ""
      ),
      IF(_xlpm.result="", "", _xlpm.result)
   )
)</f>
        <v/>
      </c>
      <c r="Q810" s="27" t="str" cm="1">
        <f t="array" ref="Q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Table8[المركز]
         ),
         ""
      ),
      IF(_xlpm.result="", "", _xlpm.result)
   )
)</f>
        <v/>
      </c>
      <c r="R810" s="27" t="str" cm="1">
        <f t="array" ref="R810">IF(
   A810="",
   "",
   _xlfn.LET(
      _xlpm.result,
      IFERROR(
         _xlfn.XLOOKUP(
            1,
            (Table8[رقم الصنف]=A810) *
            (IF($B$9="الكل",1, YEAR('ادخال البيانات'!$N$3:$N$1164) = VALUE($B$9))) *
            (IF($B$10="الكل",1, MONTH('ادخال البيانات'!$N$3:$N$1164) = VALUE($B$10))) *
            (IF($B$11="الكل",1, INT((DAY('ادخال البيانات'!$N$3:$N$1164) - 1) / 7) + 1 = VALUE($B$11))),
            Table8[ملاحظة]
         ),
         ""
      ),
      IF(_xlpm.result="", "", _xlpm.result)
   )
)</f>
        <v/>
      </c>
      <c r="S810" s="46" t="str">
        <f t="shared" ca="1" si="13"/>
        <v/>
      </c>
    </row>
    <row r="811" spans="1:19" ht="15.6" thickTop="1" thickBot="1" x14ac:dyDescent="0.35">
      <c r="A811" s="39"/>
      <c r="B811" s="27" t="str" cm="1">
        <f t="array" ref="B811">IF(
   OR(A811="", $B$9="", $B$10="", $B$11=""),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1" s="27" t="str" cm="1">
        <f t="array" ref="C811">IF(
   A811="",
   "",
   _xlfn.LET(
      _xlpm.result,
      IFERROR(
         _xlfn.XLOOKUP(
            1,
            (Table8[رقم الصنف]=A811) *
            (IF($B$9="الكل",1, YEAR('ادخال البيانات'!$N$3:$N$1164) = VALUE($B$9))) *
            (IF($B$10="الكل",1, MONTH('ادخال البيانات'!$N$3:$N$1164) = VALUE($B$10))) *
            (IF($B$11="الكل",1, INT((DAY('ادخال البيانات'!$N$3:$N$1164)-1)/7)+1 = VALUE($B$11))),
            'ادخال البيانات'!$C$3:$C$1164
         ),
         ""
      ),
      IF(_xlpm.result="", "", _xlpm.result)
   )
)</f>
        <v/>
      </c>
      <c r="D811" s="27" t="str" cm="1">
        <f t="array" ref="D811">IF(
   OR(A811="", $B$9="", $B$10="", $B$11=""),
   "",
   _xlfn.LET(
      _xlpm.result,
      IFERROR(
         _xlfn.XLOOKUP(
            1,
            (Table8[رقم الصنف]=A811) *
            (IF($B$9="الكل",1, YEAR('ادخال البيانات'!$N$3:$N$1164)=VALUE($B$9))) *
            (IF($B$10="الكل",1, MONTH('ادخال البيانات'!$N$3:$N$1164)=VALUE($B$10))) *
            (IF($B$11="الكل",1, INT((DAY('ادخال البيانات'!$N$3:$N$1164)-1)/7)+1 = VALUE($B$11))),
            'ادخال البيانات'!$D$3:$D$1164
         ),
         ""
      ),
      IF(_xlpm.result="", "", _xlpm.result)
   )
)</f>
        <v/>
      </c>
      <c r="E811" s="27" t="str" cm="1">
        <f t="array" ref="E811">IF(
   A811="",
   "",
   _xlfn.LET(
      _xlpm.result,
      IFERROR(
         _xlfn.XLOOKUP(
            1,
            (Table8[رقم الصنف]=A811) *
            (IF($B$9="الكل",1, YEAR('ادخال البيانات'!$N$3:$N$1164)=VALUE($B$9))) *
            (IF($B$10="الكل",1, MONTH('ادخال البيانات'!$N$3:$N$1164)=VALUE($B$10))) *
            (IF($B$11="الكل",1, INT((DAY('ادخال البيانات'!$N$3:$N$1164)-1)/7)+1 = VALUE($B$11))),
            'ادخال البيانات'!$E$3:$E$1164
         ),
         ""
      ),
      IF(_xlpm.result="", "", _xlpm.result)
   )
)</f>
        <v/>
      </c>
      <c r="F811" s="27" t="str" cm="1">
        <f t="array" ref="F811">IF(
   A811="",
   "",
   _xlfn.LET(
      _xlpm.result,
      IFERROR(
         _xlfn.XLOOKUP(
            1,
            (Table8[رقم الصنف]=A811) *
            (IF($B$9="الكل",1, YEAR('ادخال البيانات'!$N$3:$N$1164) = VALUE($B$9))) *
            (IF($B$10="الكل",1, MONTH('ادخال البيانات'!$N$3:$N$1164) = VALUE($B$10))) *
            (IF($B$11="الكل",1, INT((DAY('ادخال البيانات'!$N$3:$N$1164)-1)/7)+1 = VALUE($B$11))),
            'ادخال البيانات'!$F$3:$F$1164
         ),
         ""
      ),
      IF(_xlpm.result="", "", _xlpm.result)
   )
)</f>
        <v/>
      </c>
      <c r="G811" s="27" t="str" cm="1">
        <f t="array" ref="G811">IF(
   A811="",
   "",
   _xlfn.LET(
      _xlpm.result,
      IFERROR(
         _xlfn.XLOOKUP(
            1,
            (Table8[رقم الصنف]=A811) *
            (IF($B$9="الكل",1, YEAR('ادخال البيانات'!$N$3:$N$1164)=VALUE($B$9))) *
            (IF($B$10="الكل",1, MONTH('ادخال البيانات'!$N$3:$N$1164)=VALUE($B$10))) *
            (IF($B$11="الكل",1, INT((DAY('ادخال البيانات'!$N$3:$N$1164)-1)/7)+1 = VALUE($B$11))),
            'ادخال البيانات'!$G$3:$G$1164
         ),
         ""
      ),
      IF(_xlpm.result="", "", _xlpm.result)
   )
)</f>
        <v/>
      </c>
      <c r="H811" s="27" t="str" cm="1">
        <f t="array" ref="H811">IF(
   A811="",
   "",
   _xlfn.LET(
      _xlpm.result,
      IFERROR(
         _xlfn.XLOOKUP(
            1,
            (Table8[رقم الصنف]=A811) *
            (IF($B$9="الكل",1, YEAR('ادخال البيانات'!$N$3:$N$1164)=VALUE($B$9))) *
            (IF($B$10="الكل",1, MONTH('ادخال البيانات'!$N$3:$N$1164)=VALUE($B$10))) *
            (IF($B$11="الكل",1, INT((DAY('ادخال البيانات'!$N$3:$N$1164)-1)/7)+1 = VALUE($B$11))),
            'ادخال البيانات'!$H$3:$H$1164
         ),
         ""
      ),
      IF(_xlpm.result="", "", _xlpm.result)
   )
)</f>
        <v/>
      </c>
      <c r="I811" s="27" t="str" cm="1">
        <f t="array" ref="I811">IF(
   A811="",
   "",
   _xlfn.LET(
      _xlpm.result,
      IFERROR(
         _xlfn.XLOOKUP(
            1,
            (Table8[رقم الصنف]=A811) *
            (IF($B$9="الكل",1, YEAR('ادخال البيانات'!$N$3:$N$1164)=VALUE($B$9))) *
            (IF($B$10="الكل",1, MONTH('ادخال البيانات'!$N$3:$N$1164)=VALUE($B$10))) *
            (IF($B$11="الكل",1, INT((DAY('ادخال البيانات'!$N$3:$N$1164)-1)/7)+1 = VALUE($B$11))),
            'ادخال البيانات'!$I$3:$I$1164
         ),
         ""
      ),
      IF(_xlpm.result="", "", _xlpm.result)
   )
)</f>
        <v/>
      </c>
      <c r="J811" s="27" t="str" cm="1">
        <f t="array" ref="J811">IF(
   A811="",
   "",
   _xlfn.LET(
      _xlpm.result,
      IFERROR(
         _xlfn.XLOOKUP(
            1,
            (Table8[رقم الصنف]=A811) *
            (IF($B$9="الكل",1, YEAR('ادخال البيانات'!$N$3:$N$1164)=VALUE($B$9))) *
            (IF($B$10="الكل",1, MONTH('ادخال البيانات'!$N$3:$N$1164)=VALUE($B$10))) *
            (IF($B$11="الكل",1, INT((DAY('ادخال البيانات'!$N$3:$N$1164)-1)/7)+1 = VALUE($B$11))),
            'ادخال البيانات'!$J$3:$J$1164
         ),
         ""
      ),
      IF(_xlpm.result="", "", _xlpm.result)
   )
)</f>
        <v/>
      </c>
      <c r="K811" s="27" t="str" cm="1">
        <f t="array" ref="K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1" s="27" t="str" cm="1">
        <f t="array" ref="L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1" s="27" t="str" cm="1">
        <f t="array" ref="M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1" s="28" t="str" cm="1">
        <f t="array" ref="N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1" s="28" t="str" cm="1">
        <f t="array" ref="O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1" s="27" t="str" cm="1">
        <f t="array" ref="P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Table8[جهة العطل]
         ),
         ""
      ),
      IF(_xlpm.result="", "", _xlpm.result)
   )
)</f>
        <v/>
      </c>
      <c r="Q811" s="27" t="str" cm="1">
        <f t="array" ref="Q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Table8[المركز]
         ),
         ""
      ),
      IF(_xlpm.result="", "", _xlpm.result)
   )
)</f>
        <v/>
      </c>
      <c r="R811" s="27" t="str" cm="1">
        <f t="array" ref="R811">IF(
   A811="",
   "",
   _xlfn.LET(
      _xlpm.result,
      IFERROR(
         _xlfn.XLOOKUP(
            1,
            (Table8[رقم الصنف]=A811) *
            (IF($B$9="الكل",1, YEAR('ادخال البيانات'!$N$3:$N$1164) = VALUE($B$9))) *
            (IF($B$10="الكل",1, MONTH('ادخال البيانات'!$N$3:$N$1164) = VALUE($B$10))) *
            (IF($B$11="الكل",1, INT((DAY('ادخال البيانات'!$N$3:$N$1164) - 1) / 7) + 1 = VALUE($B$11))),
            Table8[ملاحظة]
         ),
         ""
      ),
      IF(_xlpm.result="", "", _xlpm.result)
   )
)</f>
        <v/>
      </c>
      <c r="S811" s="46" t="str">
        <f t="shared" ca="1" si="13"/>
        <v/>
      </c>
    </row>
    <row r="812" spans="1:19" ht="15.6" thickTop="1" thickBot="1" x14ac:dyDescent="0.35">
      <c r="A812" s="39"/>
      <c r="B812" s="27" t="str" cm="1">
        <f t="array" ref="B812">IF(
   OR(A812="", $B$9="", $B$10="", $B$11=""),
   "",
   _xlfn.LET(
      _xlpm.result,
      IFERROR(
         _xlfn.XLOOKUP(
            1,
            (Table8[رقم الصنف]=A812)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2" s="27" t="str" cm="1">
        <f t="array" ref="C812">IF(
   A812="",
   "",
   _xlfn.LET(
      _xlpm.result,
      IFERROR(
         _xlfn.XLOOKUP(
            1,
            (Table8[رقم الصنف]=A812) *
            (IF($B$9="الكل",1, YEAR('ادخال البيانات'!$N$3:$N$1164) = VALUE($B$9))) *
            (IF($B$10="الكل",1, MONTH('ادخال البيانات'!$N$3:$N$1164) = VALUE($B$10))) *
            (IF($B$11="الكل",1, INT((DAY('ادخال البيانات'!$N$3:$N$1164)-1)/7)+1 = VALUE($B$11))),
            'ادخال البيانات'!$C$3:$C$1164
         ),
         ""
      ),
      IF(_xlpm.result="", "", _xlpm.result)
   )
)</f>
        <v/>
      </c>
      <c r="D812" s="27" t="str" cm="1">
        <f t="array" ref="D812">IF(
   OR(A812="", $B$9="", $B$10="", $B$11=""),
   "",
   _xlfn.LET(
      _xlpm.result,
      IFERROR(
         _xlfn.XLOOKUP(
            1,
            (Table8[رقم الصنف]=A812) *
            (IF($B$9="الكل",1, YEAR('ادخال البيانات'!$N$3:$N$1164)=VALUE($B$9))) *
            (IF($B$10="الكل",1, MONTH('ادخال البيانات'!$N$3:$N$1164)=VALUE($B$10))) *
            (IF($B$11="الكل",1, INT((DAY('ادخال البيانات'!$N$3:$N$1164)-1)/7)+1 = VALUE($B$11))),
            'ادخال البيانات'!$D$3:$D$1164
         ),
         ""
      ),
      IF(_xlpm.result="", "", _xlpm.result)
   )
)</f>
        <v/>
      </c>
      <c r="E812" s="27" t="str" cm="1">
        <f t="array" ref="E812">IF(
   A812="",
   "",
   _xlfn.LET(
      _xlpm.result,
      IFERROR(
         _xlfn.XLOOKUP(
            1,
            (Table8[رقم الصنف]=A812) *
            (IF($B$9="الكل",1, YEAR('ادخال البيانات'!$N$3:$N$1164)=VALUE($B$9))) *
            (IF($B$10="الكل",1, MONTH('ادخال البيانات'!$N$3:$N$1164)=VALUE($B$10))) *
            (IF($B$11="الكل",1, INT((DAY('ادخال البيانات'!$N$3:$N$1164)-1)/7)+1 = VALUE($B$11))),
            'ادخال البيانات'!$E$3:$E$1164
         ),
         ""
      ),
      IF(_xlpm.result="", "", _xlpm.result)
   )
)</f>
        <v/>
      </c>
      <c r="F812" s="27" t="str" cm="1">
        <f t="array" ref="F812">IF(
   A812="",
   "",
   _xlfn.LET(
      _xlpm.result,
      IFERROR(
         _xlfn.XLOOKUP(
            1,
            (Table8[رقم الصنف]=A812) *
            (IF($B$9="الكل",1, YEAR('ادخال البيانات'!$N$3:$N$1164) = VALUE($B$9))) *
            (IF($B$10="الكل",1, MONTH('ادخال البيانات'!$N$3:$N$1164) = VALUE($B$10))) *
            (IF($B$11="الكل",1, INT((DAY('ادخال البيانات'!$N$3:$N$1164)-1)/7)+1 = VALUE($B$11))),
            'ادخال البيانات'!$F$3:$F$1164
         ),
         ""
      ),
      IF(_xlpm.result="", "", _xlpm.result)
   )
)</f>
        <v/>
      </c>
      <c r="G812" s="27" t="str" cm="1">
        <f t="array" ref="G812">IF(
   A812="",
   "",
   _xlfn.LET(
      _xlpm.result,
      IFERROR(
         _xlfn.XLOOKUP(
            1,
            (Table8[رقم الصنف]=A812) *
            (IF($B$9="الكل",1, YEAR('ادخال البيانات'!$N$3:$N$1164)=VALUE($B$9))) *
            (IF($B$10="الكل",1, MONTH('ادخال البيانات'!$N$3:$N$1164)=VALUE($B$10))) *
            (IF($B$11="الكل",1, INT((DAY('ادخال البيانات'!$N$3:$N$1164)-1)/7)+1 = VALUE($B$11))),
            'ادخال البيانات'!$G$3:$G$1164
         ),
         ""
      ),
      IF(_xlpm.result="", "", _xlpm.result)
   )
)</f>
        <v/>
      </c>
      <c r="H812" s="27" t="str" cm="1">
        <f t="array" ref="H812">IF(
   A812="",
   "",
   _xlfn.LET(
      _xlpm.result,
      IFERROR(
         _xlfn.XLOOKUP(
            1,
            (Table8[رقم الصنف]=A812) *
            (IF($B$9="الكل",1, YEAR('ادخال البيانات'!$N$3:$N$1164)=VALUE($B$9))) *
            (IF($B$10="الكل",1, MONTH('ادخال البيانات'!$N$3:$N$1164)=VALUE($B$10))) *
            (IF($B$11="الكل",1, INT((DAY('ادخال البيانات'!$N$3:$N$1164)-1)/7)+1 = VALUE($B$11))),
            'ادخال البيانات'!$H$3:$H$1164
         ),
         ""
      ),
      IF(_xlpm.result="", "", _xlpm.result)
   )
)</f>
        <v/>
      </c>
      <c r="I812" s="27" t="str" cm="1">
        <f t="array" ref="I812">IF(
   A812="",
   "",
   _xlfn.LET(
      _xlpm.result,
      IFERROR(
         _xlfn.XLOOKUP(
            1,
            (Table8[رقم الصنف]=A812) *
            (IF($B$9="الكل",1, YEAR('ادخال البيانات'!$N$3:$N$1164)=VALUE($B$9))) *
            (IF($B$10="الكل",1, MONTH('ادخال البيانات'!$N$3:$N$1164)=VALUE($B$10))) *
            (IF($B$11="الكل",1, INT((DAY('ادخال البيانات'!$N$3:$N$1164)-1)/7)+1 = VALUE($B$11))),
            'ادخال البيانات'!$I$3:$I$1164
         ),
         ""
      ),
      IF(_xlpm.result="", "", _xlpm.result)
   )
)</f>
        <v/>
      </c>
      <c r="J812" s="27" t="str" cm="1">
        <f t="array" ref="J812">IF(
   A812="",
   "",
   _xlfn.LET(
      _xlpm.result,
      IFERROR(
         _xlfn.XLOOKUP(
            1,
            (Table8[رقم الصنف]=A812) *
            (IF($B$9="الكل",1, YEAR('ادخال البيانات'!$N$3:$N$1164)=VALUE($B$9))) *
            (IF($B$10="الكل",1, MONTH('ادخال البيانات'!$N$3:$N$1164)=VALUE($B$10))) *
            (IF($B$11="الكل",1, INT((DAY('ادخال البيانات'!$N$3:$N$1164)-1)/7)+1 = VALUE($B$11))),
            'ادخال البيانات'!$J$3:$J$1164
         ),
         ""
      ),
      IF(_xlpm.result="", "", _xlpm.result)
   )
)</f>
        <v/>
      </c>
      <c r="K812" s="27" t="str" cm="1">
        <f t="array" ref="K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2" s="27" t="str" cm="1">
        <f t="array" ref="L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2" s="27" t="str" cm="1">
        <f t="array" ref="M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2" s="28" t="str" cm="1">
        <f t="array" ref="N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2" s="28" t="str" cm="1">
        <f t="array" ref="O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2" s="27" t="str" cm="1">
        <f t="array" ref="P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Table8[جهة العطل]
         ),
         ""
      ),
      IF(_xlpm.result="", "", _xlpm.result)
   )
)</f>
        <v/>
      </c>
      <c r="Q812" s="27" t="str" cm="1">
        <f t="array" ref="Q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Table8[المركز]
         ),
         ""
      ),
      IF(_xlpm.result="", "", _xlpm.result)
   )
)</f>
        <v/>
      </c>
      <c r="R812" s="27" t="str" cm="1">
        <f t="array" ref="R812">IF(
   A812="",
   "",
   _xlfn.LET(
      _xlpm.result,
      IFERROR(
         _xlfn.XLOOKUP(
            1,
            (Table8[رقم الصنف]=A812) *
            (IF($B$9="الكل",1, YEAR('ادخال البيانات'!$N$3:$N$1164) = VALUE($B$9))) *
            (IF($B$10="الكل",1, MONTH('ادخال البيانات'!$N$3:$N$1164) = VALUE($B$10))) *
            (IF($B$11="الكل",1, INT((DAY('ادخال البيانات'!$N$3:$N$1164) - 1) / 7) + 1 = VALUE($B$11))),
            Table8[ملاحظة]
         ),
         ""
      ),
      IF(_xlpm.result="", "", _xlpm.result)
   )
)</f>
        <v/>
      </c>
      <c r="S812" s="46" t="str">
        <f t="shared" ca="1" si="13"/>
        <v/>
      </c>
    </row>
    <row r="813" spans="1:19" ht="15.6" thickTop="1" thickBot="1" x14ac:dyDescent="0.35">
      <c r="A813" s="39"/>
      <c r="B813" s="27" t="str" cm="1">
        <f t="array" ref="B813">IF(
   OR(A813="", $B$9="", $B$10="", $B$11=""),
   "",
   _xlfn.LET(
      _xlpm.result,
      IFERROR(
         _xlfn.XLOOKUP(
            1,
            (Table8[رقم الصنف]=A813)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3" s="27" t="str" cm="1">
        <f t="array" ref="C813">IF(
   A813="",
   "",
   _xlfn.LET(
      _xlpm.result,
      IFERROR(
         _xlfn.XLOOKUP(
            1,
            (Table8[رقم الصنف]=A813) *
            (IF($B$9="الكل",1, YEAR('ادخال البيانات'!$N$3:$N$1164) = VALUE($B$9))) *
            (IF($B$10="الكل",1, MONTH('ادخال البيانات'!$N$3:$N$1164) = VALUE($B$10))) *
            (IF($B$11="الكل",1, INT((DAY('ادخال البيانات'!$N$3:$N$1164)-1)/7)+1 = VALUE($B$11))),
            'ادخال البيانات'!$C$3:$C$1164
         ),
         ""
      ),
      IF(_xlpm.result="", "", _xlpm.result)
   )
)</f>
        <v/>
      </c>
      <c r="D813" s="27" t="str" cm="1">
        <f t="array" ref="D813">IF(
   OR(A813="", $B$9="", $B$10="", $B$11=""),
   "",
   _xlfn.LET(
      _xlpm.result,
      IFERROR(
         _xlfn.XLOOKUP(
            1,
            (Table8[رقم الصنف]=A813) *
            (IF($B$9="الكل",1, YEAR('ادخال البيانات'!$N$3:$N$1164)=VALUE($B$9))) *
            (IF($B$10="الكل",1, MONTH('ادخال البيانات'!$N$3:$N$1164)=VALUE($B$10))) *
            (IF($B$11="الكل",1, INT((DAY('ادخال البيانات'!$N$3:$N$1164)-1)/7)+1 = VALUE($B$11))),
            'ادخال البيانات'!$D$3:$D$1164
         ),
         ""
      ),
      IF(_xlpm.result="", "", _xlpm.result)
   )
)</f>
        <v/>
      </c>
      <c r="E813" s="27" t="str" cm="1">
        <f t="array" ref="E813">IF(
   A813="",
   "",
   _xlfn.LET(
      _xlpm.result,
      IFERROR(
         _xlfn.XLOOKUP(
            1,
            (Table8[رقم الصنف]=A813) *
            (IF($B$9="الكل",1, YEAR('ادخال البيانات'!$N$3:$N$1164)=VALUE($B$9))) *
            (IF($B$10="الكل",1, MONTH('ادخال البيانات'!$N$3:$N$1164)=VALUE($B$10))) *
            (IF($B$11="الكل",1, INT((DAY('ادخال البيانات'!$N$3:$N$1164)-1)/7)+1 = VALUE($B$11))),
            'ادخال البيانات'!$E$3:$E$1164
         ),
         ""
      ),
      IF(_xlpm.result="", "", _xlpm.result)
   )
)</f>
        <v/>
      </c>
      <c r="F813" s="27" t="str" cm="1">
        <f t="array" ref="F813">IF(
   A813="",
   "",
   _xlfn.LET(
      _xlpm.result,
      IFERROR(
         _xlfn.XLOOKUP(
            1,
            (Table8[رقم الصنف]=A813) *
            (IF($B$9="الكل",1, YEAR('ادخال البيانات'!$N$3:$N$1164) = VALUE($B$9))) *
            (IF($B$10="الكل",1, MONTH('ادخال البيانات'!$N$3:$N$1164) = VALUE($B$10))) *
            (IF($B$11="الكل",1, INT((DAY('ادخال البيانات'!$N$3:$N$1164)-1)/7)+1 = VALUE($B$11))),
            'ادخال البيانات'!$F$3:$F$1164
         ),
         ""
      ),
      IF(_xlpm.result="", "", _xlpm.result)
   )
)</f>
        <v/>
      </c>
      <c r="G813" s="27" t="str" cm="1">
        <f t="array" ref="G813">IF(
   A813="",
   "",
   _xlfn.LET(
      _xlpm.result,
      IFERROR(
         _xlfn.XLOOKUP(
            1,
            (Table8[رقم الصنف]=A813) *
            (IF($B$9="الكل",1, YEAR('ادخال البيانات'!$N$3:$N$1164)=VALUE($B$9))) *
            (IF($B$10="الكل",1, MONTH('ادخال البيانات'!$N$3:$N$1164)=VALUE($B$10))) *
            (IF($B$11="الكل",1, INT((DAY('ادخال البيانات'!$N$3:$N$1164)-1)/7)+1 = VALUE($B$11))),
            'ادخال البيانات'!$G$3:$G$1164
         ),
         ""
      ),
      IF(_xlpm.result="", "", _xlpm.result)
   )
)</f>
        <v/>
      </c>
      <c r="H813" s="27" t="str" cm="1">
        <f t="array" ref="H813">IF(
   A813="",
   "",
   _xlfn.LET(
      _xlpm.result,
      IFERROR(
         _xlfn.XLOOKUP(
            1,
            (Table8[رقم الصنف]=A813) *
            (IF($B$9="الكل",1, YEAR('ادخال البيانات'!$N$3:$N$1164)=VALUE($B$9))) *
            (IF($B$10="الكل",1, MONTH('ادخال البيانات'!$N$3:$N$1164)=VALUE($B$10))) *
            (IF($B$11="الكل",1, INT((DAY('ادخال البيانات'!$N$3:$N$1164)-1)/7)+1 = VALUE($B$11))),
            'ادخال البيانات'!$H$3:$H$1164
         ),
         ""
      ),
      IF(_xlpm.result="", "", _xlpm.result)
   )
)</f>
        <v/>
      </c>
      <c r="I813" s="27" t="str" cm="1">
        <f t="array" ref="I813">IF(
   A813="",
   "",
   _xlfn.LET(
      _xlpm.result,
      IFERROR(
         _xlfn.XLOOKUP(
            1,
            (Table8[رقم الصنف]=A813) *
            (IF($B$9="الكل",1, YEAR('ادخال البيانات'!$N$3:$N$1164)=VALUE($B$9))) *
            (IF($B$10="الكل",1, MONTH('ادخال البيانات'!$N$3:$N$1164)=VALUE($B$10))) *
            (IF($B$11="الكل",1, INT((DAY('ادخال البيانات'!$N$3:$N$1164)-1)/7)+1 = VALUE($B$11))),
            'ادخال البيانات'!$I$3:$I$1164
         ),
         ""
      ),
      IF(_xlpm.result="", "", _xlpm.result)
   )
)</f>
        <v/>
      </c>
      <c r="J813" s="27" t="str" cm="1">
        <f t="array" ref="J813">IF(
   A813="",
   "",
   _xlfn.LET(
      _xlpm.result,
      IFERROR(
         _xlfn.XLOOKUP(
            1,
            (Table8[رقم الصنف]=A813) *
            (IF($B$9="الكل",1, YEAR('ادخال البيانات'!$N$3:$N$1164)=VALUE($B$9))) *
            (IF($B$10="الكل",1, MONTH('ادخال البيانات'!$N$3:$N$1164)=VALUE($B$10))) *
            (IF($B$11="الكل",1, INT((DAY('ادخال البيانات'!$N$3:$N$1164)-1)/7)+1 = VALUE($B$11))),
            'ادخال البيانات'!$J$3:$J$1164
         ),
         ""
      ),
      IF(_xlpm.result="", "", _xlpm.result)
   )
)</f>
        <v/>
      </c>
      <c r="K813" s="27" t="str" cm="1">
        <f t="array" ref="K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3" s="27" t="str" cm="1">
        <f t="array" ref="L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3" s="27" t="str" cm="1">
        <f t="array" ref="M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3" s="28" t="str" cm="1">
        <f t="array" ref="N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3" s="28" t="str" cm="1">
        <f t="array" ref="O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3" s="27" t="str" cm="1">
        <f t="array" ref="P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Table8[جهة العطل]
         ),
         ""
      ),
      IF(_xlpm.result="", "", _xlpm.result)
   )
)</f>
        <v/>
      </c>
      <c r="Q813" s="27" t="str" cm="1">
        <f t="array" ref="Q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Table8[المركز]
         ),
         ""
      ),
      IF(_xlpm.result="", "", _xlpm.result)
   )
)</f>
        <v/>
      </c>
      <c r="R813" s="27" t="str" cm="1">
        <f t="array" ref="R813">IF(
   A813="",
   "",
   _xlfn.LET(
      _xlpm.result,
      IFERROR(
         _xlfn.XLOOKUP(
            1,
            (Table8[رقم الصنف]=A813) *
            (IF($B$9="الكل",1, YEAR('ادخال البيانات'!$N$3:$N$1164) = VALUE($B$9))) *
            (IF($B$10="الكل",1, MONTH('ادخال البيانات'!$N$3:$N$1164) = VALUE($B$10))) *
            (IF($B$11="الكل",1, INT((DAY('ادخال البيانات'!$N$3:$N$1164) - 1) / 7) + 1 = VALUE($B$11))),
            Table8[ملاحظة]
         ),
         ""
      ),
      IF(_xlpm.result="", "", _xlpm.result)
   )
)</f>
        <v/>
      </c>
      <c r="S813" s="46" t="str">
        <f t="shared" ca="1" si="13"/>
        <v/>
      </c>
    </row>
    <row r="814" spans="1:19" ht="15.6" thickTop="1" thickBot="1" x14ac:dyDescent="0.35">
      <c r="A814" s="39"/>
      <c r="B814" s="27" t="str" cm="1">
        <f t="array" ref="B814">IF(
   OR(A814="", $B$9="", $B$10="", $B$11=""),
   "",
   _xlfn.LET(
      _xlpm.result,
      IFERROR(
         _xlfn.XLOOKUP(
            1,
            (Table8[رقم الصنف]=A814)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4" s="27" t="str" cm="1">
        <f t="array" ref="C814">IF(
   A814="",
   "",
   _xlfn.LET(
      _xlpm.result,
      IFERROR(
         _xlfn.XLOOKUP(
            1,
            (Table8[رقم الصنف]=A814) *
            (IF($B$9="الكل",1, YEAR('ادخال البيانات'!$N$3:$N$1164) = VALUE($B$9))) *
            (IF($B$10="الكل",1, MONTH('ادخال البيانات'!$N$3:$N$1164) = VALUE($B$10))) *
            (IF($B$11="الكل",1, INT((DAY('ادخال البيانات'!$N$3:$N$1164)-1)/7)+1 = VALUE($B$11))),
            'ادخال البيانات'!$C$3:$C$1164
         ),
         ""
      ),
      IF(_xlpm.result="", "", _xlpm.result)
   )
)</f>
        <v/>
      </c>
      <c r="D814" s="27" t="str" cm="1">
        <f t="array" ref="D814">IF(
   OR(A814="", $B$9="", $B$10="", $B$11=""),
   "",
   _xlfn.LET(
      _xlpm.result,
      IFERROR(
         _xlfn.XLOOKUP(
            1,
            (Table8[رقم الصنف]=A814) *
            (IF($B$9="الكل",1, YEAR('ادخال البيانات'!$N$3:$N$1164)=VALUE($B$9))) *
            (IF($B$10="الكل",1, MONTH('ادخال البيانات'!$N$3:$N$1164)=VALUE($B$10))) *
            (IF($B$11="الكل",1, INT((DAY('ادخال البيانات'!$N$3:$N$1164)-1)/7)+1 = VALUE($B$11))),
            'ادخال البيانات'!$D$3:$D$1164
         ),
         ""
      ),
      IF(_xlpm.result="", "", _xlpm.result)
   )
)</f>
        <v/>
      </c>
      <c r="E814" s="27" t="str" cm="1">
        <f t="array" ref="E814">IF(
   A814="",
   "",
   _xlfn.LET(
      _xlpm.result,
      IFERROR(
         _xlfn.XLOOKUP(
            1,
            (Table8[رقم الصنف]=A814) *
            (IF($B$9="الكل",1, YEAR('ادخال البيانات'!$N$3:$N$1164)=VALUE($B$9))) *
            (IF($B$10="الكل",1, MONTH('ادخال البيانات'!$N$3:$N$1164)=VALUE($B$10))) *
            (IF($B$11="الكل",1, INT((DAY('ادخال البيانات'!$N$3:$N$1164)-1)/7)+1 = VALUE($B$11))),
            'ادخال البيانات'!$E$3:$E$1164
         ),
         ""
      ),
      IF(_xlpm.result="", "", _xlpm.result)
   )
)</f>
        <v/>
      </c>
      <c r="F814" s="27" t="str" cm="1">
        <f t="array" ref="F814">IF(
   A814="",
   "",
   _xlfn.LET(
      _xlpm.result,
      IFERROR(
         _xlfn.XLOOKUP(
            1,
            (Table8[رقم الصنف]=A814) *
            (IF($B$9="الكل",1, YEAR('ادخال البيانات'!$N$3:$N$1164) = VALUE($B$9))) *
            (IF($B$10="الكل",1, MONTH('ادخال البيانات'!$N$3:$N$1164) = VALUE($B$10))) *
            (IF($B$11="الكل",1, INT((DAY('ادخال البيانات'!$N$3:$N$1164)-1)/7)+1 = VALUE($B$11))),
            'ادخال البيانات'!$F$3:$F$1164
         ),
         ""
      ),
      IF(_xlpm.result="", "", _xlpm.result)
   )
)</f>
        <v/>
      </c>
      <c r="G814" s="27" t="str" cm="1">
        <f t="array" ref="G814">IF(
   A814="",
   "",
   _xlfn.LET(
      _xlpm.result,
      IFERROR(
         _xlfn.XLOOKUP(
            1,
            (Table8[رقم الصنف]=A814) *
            (IF($B$9="الكل",1, YEAR('ادخال البيانات'!$N$3:$N$1164)=VALUE($B$9))) *
            (IF($B$10="الكل",1, MONTH('ادخال البيانات'!$N$3:$N$1164)=VALUE($B$10))) *
            (IF($B$11="الكل",1, INT((DAY('ادخال البيانات'!$N$3:$N$1164)-1)/7)+1 = VALUE($B$11))),
            'ادخال البيانات'!$G$3:$G$1164
         ),
         ""
      ),
      IF(_xlpm.result="", "", _xlpm.result)
   )
)</f>
        <v/>
      </c>
      <c r="H814" s="27" t="str" cm="1">
        <f t="array" ref="H814">IF(
   A814="",
   "",
   _xlfn.LET(
      _xlpm.result,
      IFERROR(
         _xlfn.XLOOKUP(
            1,
            (Table8[رقم الصنف]=A814) *
            (IF($B$9="الكل",1, YEAR('ادخال البيانات'!$N$3:$N$1164)=VALUE($B$9))) *
            (IF($B$10="الكل",1, MONTH('ادخال البيانات'!$N$3:$N$1164)=VALUE($B$10))) *
            (IF($B$11="الكل",1, INT((DAY('ادخال البيانات'!$N$3:$N$1164)-1)/7)+1 = VALUE($B$11))),
            'ادخال البيانات'!$H$3:$H$1164
         ),
         ""
      ),
      IF(_xlpm.result="", "", _xlpm.result)
   )
)</f>
        <v/>
      </c>
      <c r="I814" s="27" t="str" cm="1">
        <f t="array" ref="I814">IF(
   A814="",
   "",
   _xlfn.LET(
      _xlpm.result,
      IFERROR(
         _xlfn.XLOOKUP(
            1,
            (Table8[رقم الصنف]=A814) *
            (IF($B$9="الكل",1, YEAR('ادخال البيانات'!$N$3:$N$1164)=VALUE($B$9))) *
            (IF($B$10="الكل",1, MONTH('ادخال البيانات'!$N$3:$N$1164)=VALUE($B$10))) *
            (IF($B$11="الكل",1, INT((DAY('ادخال البيانات'!$N$3:$N$1164)-1)/7)+1 = VALUE($B$11))),
            'ادخال البيانات'!$I$3:$I$1164
         ),
         ""
      ),
      IF(_xlpm.result="", "", _xlpm.result)
   )
)</f>
        <v/>
      </c>
      <c r="J814" s="27" t="str" cm="1">
        <f t="array" ref="J814">IF(
   A814="",
   "",
   _xlfn.LET(
      _xlpm.result,
      IFERROR(
         _xlfn.XLOOKUP(
            1,
            (Table8[رقم الصنف]=A814) *
            (IF($B$9="الكل",1, YEAR('ادخال البيانات'!$N$3:$N$1164)=VALUE($B$9))) *
            (IF($B$10="الكل",1, MONTH('ادخال البيانات'!$N$3:$N$1164)=VALUE($B$10))) *
            (IF($B$11="الكل",1, INT((DAY('ادخال البيانات'!$N$3:$N$1164)-1)/7)+1 = VALUE($B$11))),
            'ادخال البيانات'!$J$3:$J$1164
         ),
         ""
      ),
      IF(_xlpm.result="", "", _xlpm.result)
   )
)</f>
        <v/>
      </c>
      <c r="K814" s="27" t="str" cm="1">
        <f t="array" ref="K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4" s="27" t="str" cm="1">
        <f t="array" ref="L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4" s="27" t="str" cm="1">
        <f t="array" ref="M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4" s="28" t="str" cm="1">
        <f t="array" ref="N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4" s="28" t="str" cm="1">
        <f t="array" ref="O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4" s="27" t="str" cm="1">
        <f t="array" ref="P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Table8[جهة العطل]
         ),
         ""
      ),
      IF(_xlpm.result="", "", _xlpm.result)
   )
)</f>
        <v/>
      </c>
      <c r="Q814" s="27" t="str" cm="1">
        <f t="array" ref="Q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Table8[المركز]
         ),
         ""
      ),
      IF(_xlpm.result="", "", _xlpm.result)
   )
)</f>
        <v/>
      </c>
      <c r="R814" s="27" t="str" cm="1">
        <f t="array" ref="R814">IF(
   A814="",
   "",
   _xlfn.LET(
      _xlpm.result,
      IFERROR(
         _xlfn.XLOOKUP(
            1,
            (Table8[رقم الصنف]=A814) *
            (IF($B$9="الكل",1, YEAR('ادخال البيانات'!$N$3:$N$1164) = VALUE($B$9))) *
            (IF($B$10="الكل",1, MONTH('ادخال البيانات'!$N$3:$N$1164) = VALUE($B$10))) *
            (IF($B$11="الكل",1, INT((DAY('ادخال البيانات'!$N$3:$N$1164) - 1) / 7) + 1 = VALUE($B$11))),
            Table8[ملاحظة]
         ),
         ""
      ),
      IF(_xlpm.result="", "", _xlpm.result)
   )
)</f>
        <v/>
      </c>
      <c r="S814" s="46" t="str">
        <f t="shared" ca="1" si="13"/>
        <v/>
      </c>
    </row>
    <row r="815" spans="1:19" ht="15.6" thickTop="1" thickBot="1" x14ac:dyDescent="0.35">
      <c r="A815" s="39"/>
      <c r="B815" s="27" t="str" cm="1">
        <f t="array" ref="B815">IF(
   OR(A815="", $B$9="", $B$10="", $B$11=""),
   "",
   _xlfn.LET(
      _xlpm.result,
      IFERROR(
         _xlfn.XLOOKUP(
            1,
            (Table8[رقم الصنف]=A815)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5" s="27" t="str" cm="1">
        <f t="array" ref="C815">IF(
   A815="",
   "",
   _xlfn.LET(
      _xlpm.result,
      IFERROR(
         _xlfn.XLOOKUP(
            1,
            (Table8[رقم الصنف]=A815) *
            (IF($B$9="الكل",1, YEAR('ادخال البيانات'!$N$3:$N$1164) = VALUE($B$9))) *
            (IF($B$10="الكل",1, MONTH('ادخال البيانات'!$N$3:$N$1164) = VALUE($B$10))) *
            (IF($B$11="الكل",1, INT((DAY('ادخال البيانات'!$N$3:$N$1164)-1)/7)+1 = VALUE($B$11))),
            'ادخال البيانات'!$C$3:$C$1164
         ),
         ""
      ),
      IF(_xlpm.result="", "", _xlpm.result)
   )
)</f>
        <v/>
      </c>
      <c r="D815" s="27" t="str" cm="1">
        <f t="array" ref="D815">IF(
   OR(A815="", $B$9="", $B$10="", $B$11=""),
   "",
   _xlfn.LET(
      _xlpm.result,
      IFERROR(
         _xlfn.XLOOKUP(
            1,
            (Table8[رقم الصنف]=A815) *
            (IF($B$9="الكل",1, YEAR('ادخال البيانات'!$N$3:$N$1164)=VALUE($B$9))) *
            (IF($B$10="الكل",1, MONTH('ادخال البيانات'!$N$3:$N$1164)=VALUE($B$10))) *
            (IF($B$11="الكل",1, INT((DAY('ادخال البيانات'!$N$3:$N$1164)-1)/7)+1 = VALUE($B$11))),
            'ادخال البيانات'!$D$3:$D$1164
         ),
         ""
      ),
      IF(_xlpm.result="", "", _xlpm.result)
   )
)</f>
        <v/>
      </c>
      <c r="E815" s="27" t="str" cm="1">
        <f t="array" ref="E815">IF(
   A815="",
   "",
   _xlfn.LET(
      _xlpm.result,
      IFERROR(
         _xlfn.XLOOKUP(
            1,
            (Table8[رقم الصنف]=A815) *
            (IF($B$9="الكل",1, YEAR('ادخال البيانات'!$N$3:$N$1164)=VALUE($B$9))) *
            (IF($B$10="الكل",1, MONTH('ادخال البيانات'!$N$3:$N$1164)=VALUE($B$10))) *
            (IF($B$11="الكل",1, INT((DAY('ادخال البيانات'!$N$3:$N$1164)-1)/7)+1 = VALUE($B$11))),
            'ادخال البيانات'!$E$3:$E$1164
         ),
         ""
      ),
      IF(_xlpm.result="", "", _xlpm.result)
   )
)</f>
        <v/>
      </c>
      <c r="F815" s="27" t="str" cm="1">
        <f t="array" ref="F815">IF(
   A815="",
   "",
   _xlfn.LET(
      _xlpm.result,
      IFERROR(
         _xlfn.XLOOKUP(
            1,
            (Table8[رقم الصنف]=A815) *
            (IF($B$9="الكل",1, YEAR('ادخال البيانات'!$N$3:$N$1164) = VALUE($B$9))) *
            (IF($B$10="الكل",1, MONTH('ادخال البيانات'!$N$3:$N$1164) = VALUE($B$10))) *
            (IF($B$11="الكل",1, INT((DAY('ادخال البيانات'!$N$3:$N$1164)-1)/7)+1 = VALUE($B$11))),
            'ادخال البيانات'!$F$3:$F$1164
         ),
         ""
      ),
      IF(_xlpm.result="", "", _xlpm.result)
   )
)</f>
        <v/>
      </c>
      <c r="G815" s="27" t="str" cm="1">
        <f t="array" ref="G815">IF(
   A815="",
   "",
   _xlfn.LET(
      _xlpm.result,
      IFERROR(
         _xlfn.XLOOKUP(
            1,
            (Table8[رقم الصنف]=A815) *
            (IF($B$9="الكل",1, YEAR('ادخال البيانات'!$N$3:$N$1164)=VALUE($B$9))) *
            (IF($B$10="الكل",1, MONTH('ادخال البيانات'!$N$3:$N$1164)=VALUE($B$10))) *
            (IF($B$11="الكل",1, INT((DAY('ادخال البيانات'!$N$3:$N$1164)-1)/7)+1 = VALUE($B$11))),
            'ادخال البيانات'!$G$3:$G$1164
         ),
         ""
      ),
      IF(_xlpm.result="", "", _xlpm.result)
   )
)</f>
        <v/>
      </c>
      <c r="H815" s="27" t="str" cm="1">
        <f t="array" ref="H815">IF(
   A815="",
   "",
   _xlfn.LET(
      _xlpm.result,
      IFERROR(
         _xlfn.XLOOKUP(
            1,
            (Table8[رقم الصنف]=A815) *
            (IF($B$9="الكل",1, YEAR('ادخال البيانات'!$N$3:$N$1164)=VALUE($B$9))) *
            (IF($B$10="الكل",1, MONTH('ادخال البيانات'!$N$3:$N$1164)=VALUE($B$10))) *
            (IF($B$11="الكل",1, INT((DAY('ادخال البيانات'!$N$3:$N$1164)-1)/7)+1 = VALUE($B$11))),
            'ادخال البيانات'!$H$3:$H$1164
         ),
         ""
      ),
      IF(_xlpm.result="", "", _xlpm.result)
   )
)</f>
        <v/>
      </c>
      <c r="I815" s="27" t="str" cm="1">
        <f t="array" ref="I815">IF(
   A815="",
   "",
   _xlfn.LET(
      _xlpm.result,
      IFERROR(
         _xlfn.XLOOKUP(
            1,
            (Table8[رقم الصنف]=A815) *
            (IF($B$9="الكل",1, YEAR('ادخال البيانات'!$N$3:$N$1164)=VALUE($B$9))) *
            (IF($B$10="الكل",1, MONTH('ادخال البيانات'!$N$3:$N$1164)=VALUE($B$10))) *
            (IF($B$11="الكل",1, INT((DAY('ادخال البيانات'!$N$3:$N$1164)-1)/7)+1 = VALUE($B$11))),
            'ادخال البيانات'!$I$3:$I$1164
         ),
         ""
      ),
      IF(_xlpm.result="", "", _xlpm.result)
   )
)</f>
        <v/>
      </c>
      <c r="J815" s="27" t="str" cm="1">
        <f t="array" ref="J815">IF(
   A815="",
   "",
   _xlfn.LET(
      _xlpm.result,
      IFERROR(
         _xlfn.XLOOKUP(
            1,
            (Table8[رقم الصنف]=A815) *
            (IF($B$9="الكل",1, YEAR('ادخال البيانات'!$N$3:$N$1164)=VALUE($B$9))) *
            (IF($B$10="الكل",1, MONTH('ادخال البيانات'!$N$3:$N$1164)=VALUE($B$10))) *
            (IF($B$11="الكل",1, INT((DAY('ادخال البيانات'!$N$3:$N$1164)-1)/7)+1 = VALUE($B$11))),
            'ادخال البيانات'!$J$3:$J$1164
         ),
         ""
      ),
      IF(_xlpm.result="", "", _xlpm.result)
   )
)</f>
        <v/>
      </c>
      <c r="K815" s="27" t="str" cm="1">
        <f t="array" ref="K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5" s="27" t="str" cm="1">
        <f t="array" ref="L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5" s="27" t="str" cm="1">
        <f t="array" ref="M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5" s="28" t="str" cm="1">
        <f t="array" ref="N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5" s="28" t="str" cm="1">
        <f t="array" ref="O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5" s="27" t="str" cm="1">
        <f t="array" ref="P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Table8[جهة العطل]
         ),
         ""
      ),
      IF(_xlpm.result="", "", _xlpm.result)
   )
)</f>
        <v/>
      </c>
      <c r="Q815" s="27" t="str" cm="1">
        <f t="array" ref="Q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Table8[المركز]
         ),
         ""
      ),
      IF(_xlpm.result="", "", _xlpm.result)
   )
)</f>
        <v/>
      </c>
      <c r="R815" s="27" t="str" cm="1">
        <f t="array" ref="R815">IF(
   A815="",
   "",
   _xlfn.LET(
      _xlpm.result,
      IFERROR(
         _xlfn.XLOOKUP(
            1,
            (Table8[رقم الصنف]=A815) *
            (IF($B$9="الكل",1, YEAR('ادخال البيانات'!$N$3:$N$1164) = VALUE($B$9))) *
            (IF($B$10="الكل",1, MONTH('ادخال البيانات'!$N$3:$N$1164) = VALUE($B$10))) *
            (IF($B$11="الكل",1, INT((DAY('ادخال البيانات'!$N$3:$N$1164) - 1) / 7) + 1 = VALUE($B$11))),
            Table8[ملاحظة]
         ),
         ""
      ),
      IF(_xlpm.result="", "", _xlpm.result)
   )
)</f>
        <v/>
      </c>
      <c r="S815" s="46" t="str">
        <f t="shared" ca="1" si="13"/>
        <v/>
      </c>
    </row>
    <row r="816" spans="1:19" ht="15.6" thickTop="1" thickBot="1" x14ac:dyDescent="0.35">
      <c r="A816" s="39"/>
      <c r="B816" s="27" t="str" cm="1">
        <f t="array" ref="B816">IF(
   OR(A816="", $B$9="", $B$10="", $B$11=""),
   "",
   _xlfn.LET(
      _xlpm.result,
      IFERROR(
         _xlfn.XLOOKUP(
            1,
            (Table8[رقم الصنف]=A816)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6" s="27" t="str" cm="1">
        <f t="array" ref="C816">IF(
   A816="",
   "",
   _xlfn.LET(
      _xlpm.result,
      IFERROR(
         _xlfn.XLOOKUP(
            1,
            (Table8[رقم الصنف]=A816) *
            (IF($B$9="الكل",1, YEAR('ادخال البيانات'!$N$3:$N$1164) = VALUE($B$9))) *
            (IF($B$10="الكل",1, MONTH('ادخال البيانات'!$N$3:$N$1164) = VALUE($B$10))) *
            (IF($B$11="الكل",1, INT((DAY('ادخال البيانات'!$N$3:$N$1164)-1)/7)+1 = VALUE($B$11))),
            'ادخال البيانات'!$C$3:$C$1164
         ),
         ""
      ),
      IF(_xlpm.result="", "", _xlpm.result)
   )
)</f>
        <v/>
      </c>
      <c r="D816" s="27" t="str" cm="1">
        <f t="array" ref="D816">IF(
   OR(A816="", $B$9="", $B$10="", $B$11=""),
   "",
   _xlfn.LET(
      _xlpm.result,
      IFERROR(
         _xlfn.XLOOKUP(
            1,
            (Table8[رقم الصنف]=A816) *
            (IF($B$9="الكل",1, YEAR('ادخال البيانات'!$N$3:$N$1164)=VALUE($B$9))) *
            (IF($B$10="الكل",1, MONTH('ادخال البيانات'!$N$3:$N$1164)=VALUE($B$10))) *
            (IF($B$11="الكل",1, INT((DAY('ادخال البيانات'!$N$3:$N$1164)-1)/7)+1 = VALUE($B$11))),
            'ادخال البيانات'!$D$3:$D$1164
         ),
         ""
      ),
      IF(_xlpm.result="", "", _xlpm.result)
   )
)</f>
        <v/>
      </c>
      <c r="E816" s="27" t="str" cm="1">
        <f t="array" ref="E816">IF(
   A816="",
   "",
   _xlfn.LET(
      _xlpm.result,
      IFERROR(
         _xlfn.XLOOKUP(
            1,
            (Table8[رقم الصنف]=A816) *
            (IF($B$9="الكل",1, YEAR('ادخال البيانات'!$N$3:$N$1164)=VALUE($B$9))) *
            (IF($B$10="الكل",1, MONTH('ادخال البيانات'!$N$3:$N$1164)=VALUE($B$10))) *
            (IF($B$11="الكل",1, INT((DAY('ادخال البيانات'!$N$3:$N$1164)-1)/7)+1 = VALUE($B$11))),
            'ادخال البيانات'!$E$3:$E$1164
         ),
         ""
      ),
      IF(_xlpm.result="", "", _xlpm.result)
   )
)</f>
        <v/>
      </c>
      <c r="F816" s="27" t="str" cm="1">
        <f t="array" ref="F816">IF(
   A816="",
   "",
   _xlfn.LET(
      _xlpm.result,
      IFERROR(
         _xlfn.XLOOKUP(
            1,
            (Table8[رقم الصنف]=A816) *
            (IF($B$9="الكل",1, YEAR('ادخال البيانات'!$N$3:$N$1164) = VALUE($B$9))) *
            (IF($B$10="الكل",1, MONTH('ادخال البيانات'!$N$3:$N$1164) = VALUE($B$10))) *
            (IF($B$11="الكل",1, INT((DAY('ادخال البيانات'!$N$3:$N$1164)-1)/7)+1 = VALUE($B$11))),
            'ادخال البيانات'!$F$3:$F$1164
         ),
         ""
      ),
      IF(_xlpm.result="", "", _xlpm.result)
   )
)</f>
        <v/>
      </c>
      <c r="G816" s="27" t="str" cm="1">
        <f t="array" ref="G816">IF(
   A816="",
   "",
   _xlfn.LET(
      _xlpm.result,
      IFERROR(
         _xlfn.XLOOKUP(
            1,
            (Table8[رقم الصنف]=A816) *
            (IF($B$9="الكل",1, YEAR('ادخال البيانات'!$N$3:$N$1164)=VALUE($B$9))) *
            (IF($B$10="الكل",1, MONTH('ادخال البيانات'!$N$3:$N$1164)=VALUE($B$10))) *
            (IF($B$11="الكل",1, INT((DAY('ادخال البيانات'!$N$3:$N$1164)-1)/7)+1 = VALUE($B$11))),
            'ادخال البيانات'!$G$3:$G$1164
         ),
         ""
      ),
      IF(_xlpm.result="", "", _xlpm.result)
   )
)</f>
        <v/>
      </c>
      <c r="H816" s="27" t="str" cm="1">
        <f t="array" ref="H816">IF(
   A816="",
   "",
   _xlfn.LET(
      _xlpm.result,
      IFERROR(
         _xlfn.XLOOKUP(
            1,
            (Table8[رقم الصنف]=A816) *
            (IF($B$9="الكل",1, YEAR('ادخال البيانات'!$N$3:$N$1164)=VALUE($B$9))) *
            (IF($B$10="الكل",1, MONTH('ادخال البيانات'!$N$3:$N$1164)=VALUE($B$10))) *
            (IF($B$11="الكل",1, INT((DAY('ادخال البيانات'!$N$3:$N$1164)-1)/7)+1 = VALUE($B$11))),
            'ادخال البيانات'!$H$3:$H$1164
         ),
         ""
      ),
      IF(_xlpm.result="", "", _xlpm.result)
   )
)</f>
        <v/>
      </c>
      <c r="I816" s="27" t="str" cm="1">
        <f t="array" ref="I816">IF(
   A816="",
   "",
   _xlfn.LET(
      _xlpm.result,
      IFERROR(
         _xlfn.XLOOKUP(
            1,
            (Table8[رقم الصنف]=A816) *
            (IF($B$9="الكل",1, YEAR('ادخال البيانات'!$N$3:$N$1164)=VALUE($B$9))) *
            (IF($B$10="الكل",1, MONTH('ادخال البيانات'!$N$3:$N$1164)=VALUE($B$10))) *
            (IF($B$11="الكل",1, INT((DAY('ادخال البيانات'!$N$3:$N$1164)-1)/7)+1 = VALUE($B$11))),
            'ادخال البيانات'!$I$3:$I$1164
         ),
         ""
      ),
      IF(_xlpm.result="", "", _xlpm.result)
   )
)</f>
        <v/>
      </c>
      <c r="J816" s="27" t="str" cm="1">
        <f t="array" ref="J816">IF(
   A816="",
   "",
   _xlfn.LET(
      _xlpm.result,
      IFERROR(
         _xlfn.XLOOKUP(
            1,
            (Table8[رقم الصنف]=A816) *
            (IF($B$9="الكل",1, YEAR('ادخال البيانات'!$N$3:$N$1164)=VALUE($B$9))) *
            (IF($B$10="الكل",1, MONTH('ادخال البيانات'!$N$3:$N$1164)=VALUE($B$10))) *
            (IF($B$11="الكل",1, INT((DAY('ادخال البيانات'!$N$3:$N$1164)-1)/7)+1 = VALUE($B$11))),
            'ادخال البيانات'!$J$3:$J$1164
         ),
         ""
      ),
      IF(_xlpm.result="", "", _xlpm.result)
   )
)</f>
        <v/>
      </c>
      <c r="K816" s="27" t="str" cm="1">
        <f t="array" ref="K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6" s="27" t="str" cm="1">
        <f t="array" ref="L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6" s="27" t="str" cm="1">
        <f t="array" ref="M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6" s="28" t="str" cm="1">
        <f t="array" ref="N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6" s="28" t="str" cm="1">
        <f t="array" ref="O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6" s="27" t="str" cm="1">
        <f t="array" ref="P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Table8[جهة العطل]
         ),
         ""
      ),
      IF(_xlpm.result="", "", _xlpm.result)
   )
)</f>
        <v/>
      </c>
      <c r="Q816" s="27" t="str" cm="1">
        <f t="array" ref="Q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Table8[المركز]
         ),
         ""
      ),
      IF(_xlpm.result="", "", _xlpm.result)
   )
)</f>
        <v/>
      </c>
      <c r="R816" s="27" t="str" cm="1">
        <f t="array" ref="R816">IF(
   A816="",
   "",
   _xlfn.LET(
      _xlpm.result,
      IFERROR(
         _xlfn.XLOOKUP(
            1,
            (Table8[رقم الصنف]=A816) *
            (IF($B$9="الكل",1, YEAR('ادخال البيانات'!$N$3:$N$1164) = VALUE($B$9))) *
            (IF($B$10="الكل",1, MONTH('ادخال البيانات'!$N$3:$N$1164) = VALUE($B$10))) *
            (IF($B$11="الكل",1, INT((DAY('ادخال البيانات'!$N$3:$N$1164) - 1) / 7) + 1 = VALUE($B$11))),
            Table8[ملاحظة]
         ),
         ""
      ),
      IF(_xlpm.result="", "", _xlpm.result)
   )
)</f>
        <v/>
      </c>
      <c r="S816" s="46" t="str">
        <f t="shared" ca="1" si="13"/>
        <v/>
      </c>
    </row>
    <row r="817" spans="1:19" ht="15.6" thickTop="1" thickBot="1" x14ac:dyDescent="0.35">
      <c r="A817" s="39"/>
      <c r="B817" s="27" t="str" cm="1">
        <f t="array" ref="B817">IF(
   OR(A817="", $B$9="", $B$10="", $B$11=""),
   "",
   _xlfn.LET(
      _xlpm.result,
      IFERROR(
         _xlfn.XLOOKUP(
            1,
            (Table8[رقم الصنف]=A817)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7" s="27" t="str" cm="1">
        <f t="array" ref="C817">IF(
   A817="",
   "",
   _xlfn.LET(
      _xlpm.result,
      IFERROR(
         _xlfn.XLOOKUP(
            1,
            (Table8[رقم الصنف]=A817) *
            (IF($B$9="الكل",1, YEAR('ادخال البيانات'!$N$3:$N$1164) = VALUE($B$9))) *
            (IF($B$10="الكل",1, MONTH('ادخال البيانات'!$N$3:$N$1164) = VALUE($B$10))) *
            (IF($B$11="الكل",1, INT((DAY('ادخال البيانات'!$N$3:$N$1164)-1)/7)+1 = VALUE($B$11))),
            'ادخال البيانات'!$C$3:$C$1164
         ),
         ""
      ),
      IF(_xlpm.result="", "", _xlpm.result)
   )
)</f>
        <v/>
      </c>
      <c r="D817" s="27" t="str" cm="1">
        <f t="array" ref="D817">IF(
   OR(A817="", $B$9="", $B$10="", $B$11=""),
   "",
   _xlfn.LET(
      _xlpm.result,
      IFERROR(
         _xlfn.XLOOKUP(
            1,
            (Table8[رقم الصنف]=A817) *
            (IF($B$9="الكل",1, YEAR('ادخال البيانات'!$N$3:$N$1164)=VALUE($B$9))) *
            (IF($B$10="الكل",1, MONTH('ادخال البيانات'!$N$3:$N$1164)=VALUE($B$10))) *
            (IF($B$11="الكل",1, INT((DAY('ادخال البيانات'!$N$3:$N$1164)-1)/7)+1 = VALUE($B$11))),
            'ادخال البيانات'!$D$3:$D$1164
         ),
         ""
      ),
      IF(_xlpm.result="", "", _xlpm.result)
   )
)</f>
        <v/>
      </c>
      <c r="E817" s="27" t="str" cm="1">
        <f t="array" ref="E817">IF(
   A817="",
   "",
   _xlfn.LET(
      _xlpm.result,
      IFERROR(
         _xlfn.XLOOKUP(
            1,
            (Table8[رقم الصنف]=A817) *
            (IF($B$9="الكل",1, YEAR('ادخال البيانات'!$N$3:$N$1164)=VALUE($B$9))) *
            (IF($B$10="الكل",1, MONTH('ادخال البيانات'!$N$3:$N$1164)=VALUE($B$10))) *
            (IF($B$11="الكل",1, INT((DAY('ادخال البيانات'!$N$3:$N$1164)-1)/7)+1 = VALUE($B$11))),
            'ادخال البيانات'!$E$3:$E$1164
         ),
         ""
      ),
      IF(_xlpm.result="", "", _xlpm.result)
   )
)</f>
        <v/>
      </c>
      <c r="F817" s="27" t="str" cm="1">
        <f t="array" ref="F817">IF(
   A817="",
   "",
   _xlfn.LET(
      _xlpm.result,
      IFERROR(
         _xlfn.XLOOKUP(
            1,
            (Table8[رقم الصنف]=A817) *
            (IF($B$9="الكل",1, YEAR('ادخال البيانات'!$N$3:$N$1164) = VALUE($B$9))) *
            (IF($B$10="الكل",1, MONTH('ادخال البيانات'!$N$3:$N$1164) = VALUE($B$10))) *
            (IF($B$11="الكل",1, INT((DAY('ادخال البيانات'!$N$3:$N$1164)-1)/7)+1 = VALUE($B$11))),
            'ادخال البيانات'!$F$3:$F$1164
         ),
         ""
      ),
      IF(_xlpm.result="", "", _xlpm.result)
   )
)</f>
        <v/>
      </c>
      <c r="G817" s="27" t="str" cm="1">
        <f t="array" ref="G817">IF(
   A817="",
   "",
   _xlfn.LET(
      _xlpm.result,
      IFERROR(
         _xlfn.XLOOKUP(
            1,
            (Table8[رقم الصنف]=A817) *
            (IF($B$9="الكل",1, YEAR('ادخال البيانات'!$N$3:$N$1164)=VALUE($B$9))) *
            (IF($B$10="الكل",1, MONTH('ادخال البيانات'!$N$3:$N$1164)=VALUE($B$10))) *
            (IF($B$11="الكل",1, INT((DAY('ادخال البيانات'!$N$3:$N$1164)-1)/7)+1 = VALUE($B$11))),
            'ادخال البيانات'!$G$3:$G$1164
         ),
         ""
      ),
      IF(_xlpm.result="", "", _xlpm.result)
   )
)</f>
        <v/>
      </c>
      <c r="H817" s="27" t="str" cm="1">
        <f t="array" ref="H817">IF(
   A817="",
   "",
   _xlfn.LET(
      _xlpm.result,
      IFERROR(
         _xlfn.XLOOKUP(
            1,
            (Table8[رقم الصنف]=A817) *
            (IF($B$9="الكل",1, YEAR('ادخال البيانات'!$N$3:$N$1164)=VALUE($B$9))) *
            (IF($B$10="الكل",1, MONTH('ادخال البيانات'!$N$3:$N$1164)=VALUE($B$10))) *
            (IF($B$11="الكل",1, INT((DAY('ادخال البيانات'!$N$3:$N$1164)-1)/7)+1 = VALUE($B$11))),
            'ادخال البيانات'!$H$3:$H$1164
         ),
         ""
      ),
      IF(_xlpm.result="", "", _xlpm.result)
   )
)</f>
        <v/>
      </c>
      <c r="I817" s="27" t="str" cm="1">
        <f t="array" ref="I817">IF(
   A817="",
   "",
   _xlfn.LET(
      _xlpm.result,
      IFERROR(
         _xlfn.XLOOKUP(
            1,
            (Table8[رقم الصنف]=A817) *
            (IF($B$9="الكل",1, YEAR('ادخال البيانات'!$N$3:$N$1164)=VALUE($B$9))) *
            (IF($B$10="الكل",1, MONTH('ادخال البيانات'!$N$3:$N$1164)=VALUE($B$10))) *
            (IF($B$11="الكل",1, INT((DAY('ادخال البيانات'!$N$3:$N$1164)-1)/7)+1 = VALUE($B$11))),
            'ادخال البيانات'!$I$3:$I$1164
         ),
         ""
      ),
      IF(_xlpm.result="", "", _xlpm.result)
   )
)</f>
        <v/>
      </c>
      <c r="J817" s="27" t="str" cm="1">
        <f t="array" ref="J817">IF(
   A817="",
   "",
   _xlfn.LET(
      _xlpm.result,
      IFERROR(
         _xlfn.XLOOKUP(
            1,
            (Table8[رقم الصنف]=A817) *
            (IF($B$9="الكل",1, YEAR('ادخال البيانات'!$N$3:$N$1164)=VALUE($B$9))) *
            (IF($B$10="الكل",1, MONTH('ادخال البيانات'!$N$3:$N$1164)=VALUE($B$10))) *
            (IF($B$11="الكل",1, INT((DAY('ادخال البيانات'!$N$3:$N$1164)-1)/7)+1 = VALUE($B$11))),
            'ادخال البيانات'!$J$3:$J$1164
         ),
         ""
      ),
      IF(_xlpm.result="", "", _xlpm.result)
   )
)</f>
        <v/>
      </c>
      <c r="K817" s="27" t="str" cm="1">
        <f t="array" ref="K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7" s="27" t="str" cm="1">
        <f t="array" ref="L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7" s="27" t="str" cm="1">
        <f t="array" ref="M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7" s="28" t="str" cm="1">
        <f t="array" ref="N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7" s="28" t="str" cm="1">
        <f t="array" ref="O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7" s="27" t="str" cm="1">
        <f t="array" ref="P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Table8[جهة العطل]
         ),
         ""
      ),
      IF(_xlpm.result="", "", _xlpm.result)
   )
)</f>
        <v/>
      </c>
      <c r="Q817" s="27" t="str" cm="1">
        <f t="array" ref="Q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Table8[المركز]
         ),
         ""
      ),
      IF(_xlpm.result="", "", _xlpm.result)
   )
)</f>
        <v/>
      </c>
      <c r="R817" s="27" t="str" cm="1">
        <f t="array" ref="R817">IF(
   A817="",
   "",
   _xlfn.LET(
      _xlpm.result,
      IFERROR(
         _xlfn.XLOOKUP(
            1,
            (Table8[رقم الصنف]=A817) *
            (IF($B$9="الكل",1, YEAR('ادخال البيانات'!$N$3:$N$1164) = VALUE($B$9))) *
            (IF($B$10="الكل",1, MONTH('ادخال البيانات'!$N$3:$N$1164) = VALUE($B$10))) *
            (IF($B$11="الكل",1, INT((DAY('ادخال البيانات'!$N$3:$N$1164) - 1) / 7) + 1 = VALUE($B$11))),
            Table8[ملاحظة]
         ),
         ""
      ),
      IF(_xlpm.result="", "", _xlpm.result)
   )
)</f>
        <v/>
      </c>
      <c r="S817" s="46" t="str">
        <f t="shared" ca="1" si="13"/>
        <v/>
      </c>
    </row>
    <row r="818" spans="1:19" ht="15.6" thickTop="1" thickBot="1" x14ac:dyDescent="0.35">
      <c r="A818" s="39"/>
      <c r="B818" s="27" t="str" cm="1">
        <f t="array" ref="B818">IF(
   OR(A818="", $B$9="", $B$10="", $B$11=""),
   "",
   _xlfn.LET(
      _xlpm.result,
      IFERROR(
         _xlfn.XLOOKUP(
            1,
            (Table8[رقم الصنف]=A818)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8" s="27" t="str" cm="1">
        <f t="array" ref="C818">IF(
   A818="",
   "",
   _xlfn.LET(
      _xlpm.result,
      IFERROR(
         _xlfn.XLOOKUP(
            1,
            (Table8[رقم الصنف]=A818) *
            (IF($B$9="الكل",1, YEAR('ادخال البيانات'!$N$3:$N$1164) = VALUE($B$9))) *
            (IF($B$10="الكل",1, MONTH('ادخال البيانات'!$N$3:$N$1164) = VALUE($B$10))) *
            (IF($B$11="الكل",1, INT((DAY('ادخال البيانات'!$N$3:$N$1164)-1)/7)+1 = VALUE($B$11))),
            'ادخال البيانات'!$C$3:$C$1164
         ),
         ""
      ),
      IF(_xlpm.result="", "", _xlpm.result)
   )
)</f>
        <v/>
      </c>
      <c r="D818" s="27" t="str" cm="1">
        <f t="array" ref="D818">IF(
   OR(A818="", $B$9="", $B$10="", $B$11=""),
   "",
   _xlfn.LET(
      _xlpm.result,
      IFERROR(
         _xlfn.XLOOKUP(
            1,
            (Table8[رقم الصنف]=A818) *
            (IF($B$9="الكل",1, YEAR('ادخال البيانات'!$N$3:$N$1164)=VALUE($B$9))) *
            (IF($B$10="الكل",1, MONTH('ادخال البيانات'!$N$3:$N$1164)=VALUE($B$10))) *
            (IF($B$11="الكل",1, INT((DAY('ادخال البيانات'!$N$3:$N$1164)-1)/7)+1 = VALUE($B$11))),
            'ادخال البيانات'!$D$3:$D$1164
         ),
         ""
      ),
      IF(_xlpm.result="", "", _xlpm.result)
   )
)</f>
        <v/>
      </c>
      <c r="E818" s="27" t="str" cm="1">
        <f t="array" ref="E818">IF(
   A818="",
   "",
   _xlfn.LET(
      _xlpm.result,
      IFERROR(
         _xlfn.XLOOKUP(
            1,
            (Table8[رقم الصنف]=A818) *
            (IF($B$9="الكل",1, YEAR('ادخال البيانات'!$N$3:$N$1164)=VALUE($B$9))) *
            (IF($B$10="الكل",1, MONTH('ادخال البيانات'!$N$3:$N$1164)=VALUE($B$10))) *
            (IF($B$11="الكل",1, INT((DAY('ادخال البيانات'!$N$3:$N$1164)-1)/7)+1 = VALUE($B$11))),
            'ادخال البيانات'!$E$3:$E$1164
         ),
         ""
      ),
      IF(_xlpm.result="", "", _xlpm.result)
   )
)</f>
        <v/>
      </c>
      <c r="F818" s="27" t="str" cm="1">
        <f t="array" ref="F818">IF(
   A818="",
   "",
   _xlfn.LET(
      _xlpm.result,
      IFERROR(
         _xlfn.XLOOKUP(
            1,
            (Table8[رقم الصنف]=A818) *
            (IF($B$9="الكل",1, YEAR('ادخال البيانات'!$N$3:$N$1164) = VALUE($B$9))) *
            (IF($B$10="الكل",1, MONTH('ادخال البيانات'!$N$3:$N$1164) = VALUE($B$10))) *
            (IF($B$11="الكل",1, INT((DAY('ادخال البيانات'!$N$3:$N$1164)-1)/7)+1 = VALUE($B$11))),
            'ادخال البيانات'!$F$3:$F$1164
         ),
         ""
      ),
      IF(_xlpm.result="", "", _xlpm.result)
   )
)</f>
        <v/>
      </c>
      <c r="G818" s="27" t="str" cm="1">
        <f t="array" ref="G818">IF(
   A818="",
   "",
   _xlfn.LET(
      _xlpm.result,
      IFERROR(
         _xlfn.XLOOKUP(
            1,
            (Table8[رقم الصنف]=A818) *
            (IF($B$9="الكل",1, YEAR('ادخال البيانات'!$N$3:$N$1164)=VALUE($B$9))) *
            (IF($B$10="الكل",1, MONTH('ادخال البيانات'!$N$3:$N$1164)=VALUE($B$10))) *
            (IF($B$11="الكل",1, INT((DAY('ادخال البيانات'!$N$3:$N$1164)-1)/7)+1 = VALUE($B$11))),
            'ادخال البيانات'!$G$3:$G$1164
         ),
         ""
      ),
      IF(_xlpm.result="", "", _xlpm.result)
   )
)</f>
        <v/>
      </c>
      <c r="H818" s="27" t="str" cm="1">
        <f t="array" ref="H818">IF(
   A818="",
   "",
   _xlfn.LET(
      _xlpm.result,
      IFERROR(
         _xlfn.XLOOKUP(
            1,
            (Table8[رقم الصنف]=A818) *
            (IF($B$9="الكل",1, YEAR('ادخال البيانات'!$N$3:$N$1164)=VALUE($B$9))) *
            (IF($B$10="الكل",1, MONTH('ادخال البيانات'!$N$3:$N$1164)=VALUE($B$10))) *
            (IF($B$11="الكل",1, INT((DAY('ادخال البيانات'!$N$3:$N$1164)-1)/7)+1 = VALUE($B$11))),
            'ادخال البيانات'!$H$3:$H$1164
         ),
         ""
      ),
      IF(_xlpm.result="", "", _xlpm.result)
   )
)</f>
        <v/>
      </c>
      <c r="I818" s="27" t="str" cm="1">
        <f t="array" ref="I818">IF(
   A818="",
   "",
   _xlfn.LET(
      _xlpm.result,
      IFERROR(
         _xlfn.XLOOKUP(
            1,
            (Table8[رقم الصنف]=A818) *
            (IF($B$9="الكل",1, YEAR('ادخال البيانات'!$N$3:$N$1164)=VALUE($B$9))) *
            (IF($B$10="الكل",1, MONTH('ادخال البيانات'!$N$3:$N$1164)=VALUE($B$10))) *
            (IF($B$11="الكل",1, INT((DAY('ادخال البيانات'!$N$3:$N$1164)-1)/7)+1 = VALUE($B$11))),
            'ادخال البيانات'!$I$3:$I$1164
         ),
         ""
      ),
      IF(_xlpm.result="", "", _xlpm.result)
   )
)</f>
        <v/>
      </c>
      <c r="J818" s="27" t="str" cm="1">
        <f t="array" ref="J818">IF(
   A818="",
   "",
   _xlfn.LET(
      _xlpm.result,
      IFERROR(
         _xlfn.XLOOKUP(
            1,
            (Table8[رقم الصنف]=A818) *
            (IF($B$9="الكل",1, YEAR('ادخال البيانات'!$N$3:$N$1164)=VALUE($B$9))) *
            (IF($B$10="الكل",1, MONTH('ادخال البيانات'!$N$3:$N$1164)=VALUE($B$10))) *
            (IF($B$11="الكل",1, INT((DAY('ادخال البيانات'!$N$3:$N$1164)-1)/7)+1 = VALUE($B$11))),
            'ادخال البيانات'!$J$3:$J$1164
         ),
         ""
      ),
      IF(_xlpm.result="", "", _xlpm.result)
   )
)</f>
        <v/>
      </c>
      <c r="K818" s="27" t="str" cm="1">
        <f t="array" ref="K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8" s="27" t="str" cm="1">
        <f t="array" ref="L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8" s="27" t="str" cm="1">
        <f t="array" ref="M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8" s="28" t="str" cm="1">
        <f t="array" ref="N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8" s="28" t="str" cm="1">
        <f t="array" ref="O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8" s="27" t="str" cm="1">
        <f t="array" ref="P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Table8[جهة العطل]
         ),
         ""
      ),
      IF(_xlpm.result="", "", _xlpm.result)
   )
)</f>
        <v/>
      </c>
      <c r="Q818" s="27" t="str" cm="1">
        <f t="array" ref="Q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Table8[المركز]
         ),
         ""
      ),
      IF(_xlpm.result="", "", _xlpm.result)
   )
)</f>
        <v/>
      </c>
      <c r="R818" s="27" t="str" cm="1">
        <f t="array" ref="R818">IF(
   A818="",
   "",
   _xlfn.LET(
      _xlpm.result,
      IFERROR(
         _xlfn.XLOOKUP(
            1,
            (Table8[رقم الصنف]=A818) *
            (IF($B$9="الكل",1, YEAR('ادخال البيانات'!$N$3:$N$1164) = VALUE($B$9))) *
            (IF($B$10="الكل",1, MONTH('ادخال البيانات'!$N$3:$N$1164) = VALUE($B$10))) *
            (IF($B$11="الكل",1, INT((DAY('ادخال البيانات'!$N$3:$N$1164) - 1) / 7) + 1 = VALUE($B$11))),
            Table8[ملاحظة]
         ),
         ""
      ),
      IF(_xlpm.result="", "", _xlpm.result)
   )
)</f>
        <v/>
      </c>
      <c r="S818" s="46" t="str">
        <f t="shared" ca="1" si="13"/>
        <v/>
      </c>
    </row>
    <row r="819" spans="1:19" ht="15.6" thickTop="1" thickBot="1" x14ac:dyDescent="0.35">
      <c r="A819" s="39"/>
      <c r="B819" s="27" t="str" cm="1">
        <f t="array" ref="B819">IF(
   OR(A819="", $B$9="", $B$10="", $B$11=""),
   "",
   _xlfn.LET(
      _xlpm.result,
      IFERROR(
         _xlfn.XLOOKUP(
            1,
            (Table8[رقم الصنف]=A819)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19" s="27" t="str" cm="1">
        <f t="array" ref="C819">IF(
   A819="",
   "",
   _xlfn.LET(
      _xlpm.result,
      IFERROR(
         _xlfn.XLOOKUP(
            1,
            (Table8[رقم الصنف]=A819) *
            (IF($B$9="الكل",1, YEAR('ادخال البيانات'!$N$3:$N$1164) = VALUE($B$9))) *
            (IF($B$10="الكل",1, MONTH('ادخال البيانات'!$N$3:$N$1164) = VALUE($B$10))) *
            (IF($B$11="الكل",1, INT((DAY('ادخال البيانات'!$N$3:$N$1164)-1)/7)+1 = VALUE($B$11))),
            'ادخال البيانات'!$C$3:$C$1164
         ),
         ""
      ),
      IF(_xlpm.result="", "", _xlpm.result)
   )
)</f>
        <v/>
      </c>
      <c r="D819" s="27" t="str" cm="1">
        <f t="array" ref="D819">IF(
   OR(A819="", $B$9="", $B$10="", $B$11=""),
   "",
   _xlfn.LET(
      _xlpm.result,
      IFERROR(
         _xlfn.XLOOKUP(
            1,
            (Table8[رقم الصنف]=A819) *
            (IF($B$9="الكل",1, YEAR('ادخال البيانات'!$N$3:$N$1164)=VALUE($B$9))) *
            (IF($B$10="الكل",1, MONTH('ادخال البيانات'!$N$3:$N$1164)=VALUE($B$10))) *
            (IF($B$11="الكل",1, INT((DAY('ادخال البيانات'!$N$3:$N$1164)-1)/7)+1 = VALUE($B$11))),
            'ادخال البيانات'!$D$3:$D$1164
         ),
         ""
      ),
      IF(_xlpm.result="", "", _xlpm.result)
   )
)</f>
        <v/>
      </c>
      <c r="E819" s="27" t="str" cm="1">
        <f t="array" ref="E819">IF(
   A819="",
   "",
   _xlfn.LET(
      _xlpm.result,
      IFERROR(
         _xlfn.XLOOKUP(
            1,
            (Table8[رقم الصنف]=A819) *
            (IF($B$9="الكل",1, YEAR('ادخال البيانات'!$N$3:$N$1164)=VALUE($B$9))) *
            (IF($B$10="الكل",1, MONTH('ادخال البيانات'!$N$3:$N$1164)=VALUE($B$10))) *
            (IF($B$11="الكل",1, INT((DAY('ادخال البيانات'!$N$3:$N$1164)-1)/7)+1 = VALUE($B$11))),
            'ادخال البيانات'!$E$3:$E$1164
         ),
         ""
      ),
      IF(_xlpm.result="", "", _xlpm.result)
   )
)</f>
        <v/>
      </c>
      <c r="F819" s="27" t="str" cm="1">
        <f t="array" ref="F819">IF(
   A819="",
   "",
   _xlfn.LET(
      _xlpm.result,
      IFERROR(
         _xlfn.XLOOKUP(
            1,
            (Table8[رقم الصنف]=A819) *
            (IF($B$9="الكل",1, YEAR('ادخال البيانات'!$N$3:$N$1164) = VALUE($B$9))) *
            (IF($B$10="الكل",1, MONTH('ادخال البيانات'!$N$3:$N$1164) = VALUE($B$10))) *
            (IF($B$11="الكل",1, INT((DAY('ادخال البيانات'!$N$3:$N$1164)-1)/7)+1 = VALUE($B$11))),
            'ادخال البيانات'!$F$3:$F$1164
         ),
         ""
      ),
      IF(_xlpm.result="", "", _xlpm.result)
   )
)</f>
        <v/>
      </c>
      <c r="G819" s="27" t="str" cm="1">
        <f t="array" ref="G819">IF(
   A819="",
   "",
   _xlfn.LET(
      _xlpm.result,
      IFERROR(
         _xlfn.XLOOKUP(
            1,
            (Table8[رقم الصنف]=A819) *
            (IF($B$9="الكل",1, YEAR('ادخال البيانات'!$N$3:$N$1164)=VALUE($B$9))) *
            (IF($B$10="الكل",1, MONTH('ادخال البيانات'!$N$3:$N$1164)=VALUE($B$10))) *
            (IF($B$11="الكل",1, INT((DAY('ادخال البيانات'!$N$3:$N$1164)-1)/7)+1 = VALUE($B$11))),
            'ادخال البيانات'!$G$3:$G$1164
         ),
         ""
      ),
      IF(_xlpm.result="", "", _xlpm.result)
   )
)</f>
        <v/>
      </c>
      <c r="H819" s="27" t="str" cm="1">
        <f t="array" ref="H819">IF(
   A819="",
   "",
   _xlfn.LET(
      _xlpm.result,
      IFERROR(
         _xlfn.XLOOKUP(
            1,
            (Table8[رقم الصنف]=A819) *
            (IF($B$9="الكل",1, YEAR('ادخال البيانات'!$N$3:$N$1164)=VALUE($B$9))) *
            (IF($B$10="الكل",1, MONTH('ادخال البيانات'!$N$3:$N$1164)=VALUE($B$10))) *
            (IF($B$11="الكل",1, INT((DAY('ادخال البيانات'!$N$3:$N$1164)-1)/7)+1 = VALUE($B$11))),
            'ادخال البيانات'!$H$3:$H$1164
         ),
         ""
      ),
      IF(_xlpm.result="", "", _xlpm.result)
   )
)</f>
        <v/>
      </c>
      <c r="I819" s="27" t="str" cm="1">
        <f t="array" ref="I819">IF(
   A819="",
   "",
   _xlfn.LET(
      _xlpm.result,
      IFERROR(
         _xlfn.XLOOKUP(
            1,
            (Table8[رقم الصنف]=A819) *
            (IF($B$9="الكل",1, YEAR('ادخال البيانات'!$N$3:$N$1164)=VALUE($B$9))) *
            (IF($B$10="الكل",1, MONTH('ادخال البيانات'!$N$3:$N$1164)=VALUE($B$10))) *
            (IF($B$11="الكل",1, INT((DAY('ادخال البيانات'!$N$3:$N$1164)-1)/7)+1 = VALUE($B$11))),
            'ادخال البيانات'!$I$3:$I$1164
         ),
         ""
      ),
      IF(_xlpm.result="", "", _xlpm.result)
   )
)</f>
        <v/>
      </c>
      <c r="J819" s="27" t="str" cm="1">
        <f t="array" ref="J819">IF(
   A819="",
   "",
   _xlfn.LET(
      _xlpm.result,
      IFERROR(
         _xlfn.XLOOKUP(
            1,
            (Table8[رقم الصنف]=A819) *
            (IF($B$9="الكل",1, YEAR('ادخال البيانات'!$N$3:$N$1164)=VALUE($B$9))) *
            (IF($B$10="الكل",1, MONTH('ادخال البيانات'!$N$3:$N$1164)=VALUE($B$10))) *
            (IF($B$11="الكل",1, INT((DAY('ادخال البيانات'!$N$3:$N$1164)-1)/7)+1 = VALUE($B$11))),
            'ادخال البيانات'!$J$3:$J$1164
         ),
         ""
      ),
      IF(_xlpm.result="", "", _xlpm.result)
   )
)</f>
        <v/>
      </c>
      <c r="K819" s="27" t="str" cm="1">
        <f t="array" ref="K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19" s="27" t="str" cm="1">
        <f t="array" ref="L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19" s="27" t="str" cm="1">
        <f t="array" ref="M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19" s="28" t="str" cm="1">
        <f t="array" ref="N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19" s="28" t="str" cm="1">
        <f t="array" ref="O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19" s="27" t="str" cm="1">
        <f t="array" ref="P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Table8[جهة العطل]
         ),
         ""
      ),
      IF(_xlpm.result="", "", _xlpm.result)
   )
)</f>
        <v/>
      </c>
      <c r="Q819" s="27" t="str" cm="1">
        <f t="array" ref="Q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Table8[المركز]
         ),
         ""
      ),
      IF(_xlpm.result="", "", _xlpm.result)
   )
)</f>
        <v/>
      </c>
      <c r="R819" s="27" t="str" cm="1">
        <f t="array" ref="R819">IF(
   A819="",
   "",
   _xlfn.LET(
      _xlpm.result,
      IFERROR(
         _xlfn.XLOOKUP(
            1,
            (Table8[رقم الصنف]=A819) *
            (IF($B$9="الكل",1, YEAR('ادخال البيانات'!$N$3:$N$1164) = VALUE($B$9))) *
            (IF($B$10="الكل",1, MONTH('ادخال البيانات'!$N$3:$N$1164) = VALUE($B$10))) *
            (IF($B$11="الكل",1, INT((DAY('ادخال البيانات'!$N$3:$N$1164) - 1) / 7) + 1 = VALUE($B$11))),
            Table8[ملاحظة]
         ),
         ""
      ),
      IF(_xlpm.result="", "", _xlpm.result)
   )
)</f>
        <v/>
      </c>
      <c r="S819" s="46" t="str">
        <f t="shared" ca="1" si="13"/>
        <v/>
      </c>
    </row>
    <row r="820" spans="1:19" ht="15.6" thickTop="1" thickBot="1" x14ac:dyDescent="0.35">
      <c r="A820" s="39"/>
      <c r="B820" s="27" t="str" cm="1">
        <f t="array" ref="B820">IF(
   OR(A820="", $B$9="", $B$10="", $B$11=""),
   "",
   _xlfn.LET(
      _xlpm.result,
      IFERROR(
         _xlfn.XLOOKUP(
            1,
            (Table8[رقم الصنف]=A820)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0" s="27" t="str" cm="1">
        <f t="array" ref="C820">IF(
   A820="",
   "",
   _xlfn.LET(
      _xlpm.result,
      IFERROR(
         _xlfn.XLOOKUP(
            1,
            (Table8[رقم الصنف]=A820) *
            (IF($B$9="الكل",1, YEAR('ادخال البيانات'!$N$3:$N$1164) = VALUE($B$9))) *
            (IF($B$10="الكل",1, MONTH('ادخال البيانات'!$N$3:$N$1164) = VALUE($B$10))) *
            (IF($B$11="الكل",1, INT((DAY('ادخال البيانات'!$N$3:$N$1164)-1)/7)+1 = VALUE($B$11))),
            'ادخال البيانات'!$C$3:$C$1164
         ),
         ""
      ),
      IF(_xlpm.result="", "", _xlpm.result)
   )
)</f>
        <v/>
      </c>
      <c r="D820" s="27" t="str" cm="1">
        <f t="array" ref="D820">IF(
   OR(A820="", $B$9="", $B$10="", $B$11=""),
   "",
   _xlfn.LET(
      _xlpm.result,
      IFERROR(
         _xlfn.XLOOKUP(
            1,
            (Table8[رقم الصنف]=A820) *
            (IF($B$9="الكل",1, YEAR('ادخال البيانات'!$N$3:$N$1164)=VALUE($B$9))) *
            (IF($B$10="الكل",1, MONTH('ادخال البيانات'!$N$3:$N$1164)=VALUE($B$10))) *
            (IF($B$11="الكل",1, INT((DAY('ادخال البيانات'!$N$3:$N$1164)-1)/7)+1 = VALUE($B$11))),
            'ادخال البيانات'!$D$3:$D$1164
         ),
         ""
      ),
      IF(_xlpm.result="", "", _xlpm.result)
   )
)</f>
        <v/>
      </c>
      <c r="E820" s="27" t="str" cm="1">
        <f t="array" ref="E820">IF(
   A820="",
   "",
   _xlfn.LET(
      _xlpm.result,
      IFERROR(
         _xlfn.XLOOKUP(
            1,
            (Table8[رقم الصنف]=A820) *
            (IF($B$9="الكل",1, YEAR('ادخال البيانات'!$N$3:$N$1164)=VALUE($B$9))) *
            (IF($B$10="الكل",1, MONTH('ادخال البيانات'!$N$3:$N$1164)=VALUE($B$10))) *
            (IF($B$11="الكل",1, INT((DAY('ادخال البيانات'!$N$3:$N$1164)-1)/7)+1 = VALUE($B$11))),
            'ادخال البيانات'!$E$3:$E$1164
         ),
         ""
      ),
      IF(_xlpm.result="", "", _xlpm.result)
   )
)</f>
        <v/>
      </c>
      <c r="F820" s="27" t="str" cm="1">
        <f t="array" ref="F820">IF(
   A820="",
   "",
   _xlfn.LET(
      _xlpm.result,
      IFERROR(
         _xlfn.XLOOKUP(
            1,
            (Table8[رقم الصنف]=A820) *
            (IF($B$9="الكل",1, YEAR('ادخال البيانات'!$N$3:$N$1164) = VALUE($B$9))) *
            (IF($B$10="الكل",1, MONTH('ادخال البيانات'!$N$3:$N$1164) = VALUE($B$10))) *
            (IF($B$11="الكل",1, INT((DAY('ادخال البيانات'!$N$3:$N$1164)-1)/7)+1 = VALUE($B$11))),
            'ادخال البيانات'!$F$3:$F$1164
         ),
         ""
      ),
      IF(_xlpm.result="", "", _xlpm.result)
   )
)</f>
        <v/>
      </c>
      <c r="G820" s="27" t="str" cm="1">
        <f t="array" ref="G820">IF(
   A820="",
   "",
   _xlfn.LET(
      _xlpm.result,
      IFERROR(
         _xlfn.XLOOKUP(
            1,
            (Table8[رقم الصنف]=A820) *
            (IF($B$9="الكل",1, YEAR('ادخال البيانات'!$N$3:$N$1164)=VALUE($B$9))) *
            (IF($B$10="الكل",1, MONTH('ادخال البيانات'!$N$3:$N$1164)=VALUE($B$10))) *
            (IF($B$11="الكل",1, INT((DAY('ادخال البيانات'!$N$3:$N$1164)-1)/7)+1 = VALUE($B$11))),
            'ادخال البيانات'!$G$3:$G$1164
         ),
         ""
      ),
      IF(_xlpm.result="", "", _xlpm.result)
   )
)</f>
        <v/>
      </c>
      <c r="H820" s="27" t="str" cm="1">
        <f t="array" ref="H820">IF(
   A820="",
   "",
   _xlfn.LET(
      _xlpm.result,
      IFERROR(
         _xlfn.XLOOKUP(
            1,
            (Table8[رقم الصنف]=A820) *
            (IF($B$9="الكل",1, YEAR('ادخال البيانات'!$N$3:$N$1164)=VALUE($B$9))) *
            (IF($B$10="الكل",1, MONTH('ادخال البيانات'!$N$3:$N$1164)=VALUE($B$10))) *
            (IF($B$11="الكل",1, INT((DAY('ادخال البيانات'!$N$3:$N$1164)-1)/7)+1 = VALUE($B$11))),
            'ادخال البيانات'!$H$3:$H$1164
         ),
         ""
      ),
      IF(_xlpm.result="", "", _xlpm.result)
   )
)</f>
        <v/>
      </c>
      <c r="I820" s="27" t="str" cm="1">
        <f t="array" ref="I820">IF(
   A820="",
   "",
   _xlfn.LET(
      _xlpm.result,
      IFERROR(
         _xlfn.XLOOKUP(
            1,
            (Table8[رقم الصنف]=A820) *
            (IF($B$9="الكل",1, YEAR('ادخال البيانات'!$N$3:$N$1164)=VALUE($B$9))) *
            (IF($B$10="الكل",1, MONTH('ادخال البيانات'!$N$3:$N$1164)=VALUE($B$10))) *
            (IF($B$11="الكل",1, INT((DAY('ادخال البيانات'!$N$3:$N$1164)-1)/7)+1 = VALUE($B$11))),
            'ادخال البيانات'!$I$3:$I$1164
         ),
         ""
      ),
      IF(_xlpm.result="", "", _xlpm.result)
   )
)</f>
        <v/>
      </c>
      <c r="J820" s="27" t="str" cm="1">
        <f t="array" ref="J820">IF(
   A820="",
   "",
   _xlfn.LET(
      _xlpm.result,
      IFERROR(
         _xlfn.XLOOKUP(
            1,
            (Table8[رقم الصنف]=A820) *
            (IF($B$9="الكل",1, YEAR('ادخال البيانات'!$N$3:$N$1164)=VALUE($B$9))) *
            (IF($B$10="الكل",1, MONTH('ادخال البيانات'!$N$3:$N$1164)=VALUE($B$10))) *
            (IF($B$11="الكل",1, INT((DAY('ادخال البيانات'!$N$3:$N$1164)-1)/7)+1 = VALUE($B$11))),
            'ادخال البيانات'!$J$3:$J$1164
         ),
         ""
      ),
      IF(_xlpm.result="", "", _xlpm.result)
   )
)</f>
        <v/>
      </c>
      <c r="K820" s="27" t="str" cm="1">
        <f t="array" ref="K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0" s="27" t="str" cm="1">
        <f t="array" ref="L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0" s="27" t="str" cm="1">
        <f t="array" ref="M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0" s="28" t="str" cm="1">
        <f t="array" ref="N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0" s="28" t="str" cm="1">
        <f t="array" ref="O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0" s="27" t="str" cm="1">
        <f t="array" ref="P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Table8[جهة العطل]
         ),
         ""
      ),
      IF(_xlpm.result="", "", _xlpm.result)
   )
)</f>
        <v/>
      </c>
      <c r="Q820" s="27" t="str" cm="1">
        <f t="array" ref="Q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Table8[المركز]
         ),
         ""
      ),
      IF(_xlpm.result="", "", _xlpm.result)
   )
)</f>
        <v/>
      </c>
      <c r="R820" s="27" t="str" cm="1">
        <f t="array" ref="R820">IF(
   A820="",
   "",
   _xlfn.LET(
      _xlpm.result,
      IFERROR(
         _xlfn.XLOOKUP(
            1,
            (Table8[رقم الصنف]=A820) *
            (IF($B$9="الكل",1, YEAR('ادخال البيانات'!$N$3:$N$1164) = VALUE($B$9))) *
            (IF($B$10="الكل",1, MONTH('ادخال البيانات'!$N$3:$N$1164) = VALUE($B$10))) *
            (IF($B$11="الكل",1, INT((DAY('ادخال البيانات'!$N$3:$N$1164) - 1) / 7) + 1 = VALUE($B$11))),
            Table8[ملاحظة]
         ),
         ""
      ),
      IF(_xlpm.result="", "", _xlpm.result)
   )
)</f>
        <v/>
      </c>
      <c r="S820" s="46" t="str">
        <f t="shared" ca="1" si="13"/>
        <v/>
      </c>
    </row>
    <row r="821" spans="1:19" ht="15.6" thickTop="1" thickBot="1" x14ac:dyDescent="0.35">
      <c r="A821" s="39"/>
      <c r="B821" s="27" t="str" cm="1">
        <f t="array" ref="B821">IF(
   OR(A821="", $B$9="", $B$10="", $B$11=""),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1" s="27" t="str" cm="1">
        <f t="array" ref="C821">IF(
   A821="",
   "",
   _xlfn.LET(
      _xlpm.result,
      IFERROR(
         _xlfn.XLOOKUP(
            1,
            (Table8[رقم الصنف]=A821) *
            (IF($B$9="الكل",1, YEAR('ادخال البيانات'!$N$3:$N$1164) = VALUE($B$9))) *
            (IF($B$10="الكل",1, MONTH('ادخال البيانات'!$N$3:$N$1164) = VALUE($B$10))) *
            (IF($B$11="الكل",1, INT((DAY('ادخال البيانات'!$N$3:$N$1164)-1)/7)+1 = VALUE($B$11))),
            'ادخال البيانات'!$C$3:$C$1164
         ),
         ""
      ),
      IF(_xlpm.result="", "", _xlpm.result)
   )
)</f>
        <v/>
      </c>
      <c r="D821" s="27" t="str" cm="1">
        <f t="array" ref="D821">IF(
   OR(A821="", $B$9="", $B$10="", $B$11=""),
   "",
   _xlfn.LET(
      _xlpm.result,
      IFERROR(
         _xlfn.XLOOKUP(
            1,
            (Table8[رقم الصنف]=A821) *
            (IF($B$9="الكل",1, YEAR('ادخال البيانات'!$N$3:$N$1164)=VALUE($B$9))) *
            (IF($B$10="الكل",1, MONTH('ادخال البيانات'!$N$3:$N$1164)=VALUE($B$10))) *
            (IF($B$11="الكل",1, INT((DAY('ادخال البيانات'!$N$3:$N$1164)-1)/7)+1 = VALUE($B$11))),
            'ادخال البيانات'!$D$3:$D$1164
         ),
         ""
      ),
      IF(_xlpm.result="", "", _xlpm.result)
   )
)</f>
        <v/>
      </c>
      <c r="E821" s="27" t="str" cm="1">
        <f t="array" ref="E821">IF(
   A821="",
   "",
   _xlfn.LET(
      _xlpm.result,
      IFERROR(
         _xlfn.XLOOKUP(
            1,
            (Table8[رقم الصنف]=A821) *
            (IF($B$9="الكل",1, YEAR('ادخال البيانات'!$N$3:$N$1164)=VALUE($B$9))) *
            (IF($B$10="الكل",1, MONTH('ادخال البيانات'!$N$3:$N$1164)=VALUE($B$10))) *
            (IF($B$11="الكل",1, INT((DAY('ادخال البيانات'!$N$3:$N$1164)-1)/7)+1 = VALUE($B$11))),
            'ادخال البيانات'!$E$3:$E$1164
         ),
         ""
      ),
      IF(_xlpm.result="", "", _xlpm.result)
   )
)</f>
        <v/>
      </c>
      <c r="F821" s="27" t="str" cm="1">
        <f t="array" ref="F821">IF(
   A821="",
   "",
   _xlfn.LET(
      _xlpm.result,
      IFERROR(
         _xlfn.XLOOKUP(
            1,
            (Table8[رقم الصنف]=A821) *
            (IF($B$9="الكل",1, YEAR('ادخال البيانات'!$N$3:$N$1164) = VALUE($B$9))) *
            (IF($B$10="الكل",1, MONTH('ادخال البيانات'!$N$3:$N$1164) = VALUE($B$10))) *
            (IF($B$11="الكل",1, INT((DAY('ادخال البيانات'!$N$3:$N$1164)-1)/7)+1 = VALUE($B$11))),
            'ادخال البيانات'!$F$3:$F$1164
         ),
         ""
      ),
      IF(_xlpm.result="", "", _xlpm.result)
   )
)</f>
        <v/>
      </c>
      <c r="G821" s="27" t="str" cm="1">
        <f t="array" ref="G821">IF(
   A821="",
   "",
   _xlfn.LET(
      _xlpm.result,
      IFERROR(
         _xlfn.XLOOKUP(
            1,
            (Table8[رقم الصنف]=A821) *
            (IF($B$9="الكل",1, YEAR('ادخال البيانات'!$N$3:$N$1164)=VALUE($B$9))) *
            (IF($B$10="الكل",1, MONTH('ادخال البيانات'!$N$3:$N$1164)=VALUE($B$10))) *
            (IF($B$11="الكل",1, INT((DAY('ادخال البيانات'!$N$3:$N$1164)-1)/7)+1 = VALUE($B$11))),
            'ادخال البيانات'!$G$3:$G$1164
         ),
         ""
      ),
      IF(_xlpm.result="", "", _xlpm.result)
   )
)</f>
        <v/>
      </c>
      <c r="H821" s="27" t="str" cm="1">
        <f t="array" ref="H821">IF(
   A821="",
   "",
   _xlfn.LET(
      _xlpm.result,
      IFERROR(
         _xlfn.XLOOKUP(
            1,
            (Table8[رقم الصنف]=A821) *
            (IF($B$9="الكل",1, YEAR('ادخال البيانات'!$N$3:$N$1164)=VALUE($B$9))) *
            (IF($B$10="الكل",1, MONTH('ادخال البيانات'!$N$3:$N$1164)=VALUE($B$10))) *
            (IF($B$11="الكل",1, INT((DAY('ادخال البيانات'!$N$3:$N$1164)-1)/7)+1 = VALUE($B$11))),
            'ادخال البيانات'!$H$3:$H$1164
         ),
         ""
      ),
      IF(_xlpm.result="", "", _xlpm.result)
   )
)</f>
        <v/>
      </c>
      <c r="I821" s="27" t="str" cm="1">
        <f t="array" ref="I821">IF(
   A821="",
   "",
   _xlfn.LET(
      _xlpm.result,
      IFERROR(
         _xlfn.XLOOKUP(
            1,
            (Table8[رقم الصنف]=A821) *
            (IF($B$9="الكل",1, YEAR('ادخال البيانات'!$N$3:$N$1164)=VALUE($B$9))) *
            (IF($B$10="الكل",1, MONTH('ادخال البيانات'!$N$3:$N$1164)=VALUE($B$10))) *
            (IF($B$11="الكل",1, INT((DAY('ادخال البيانات'!$N$3:$N$1164)-1)/7)+1 = VALUE($B$11))),
            'ادخال البيانات'!$I$3:$I$1164
         ),
         ""
      ),
      IF(_xlpm.result="", "", _xlpm.result)
   )
)</f>
        <v/>
      </c>
      <c r="J821" s="27" t="str" cm="1">
        <f t="array" ref="J821">IF(
   A821="",
   "",
   _xlfn.LET(
      _xlpm.result,
      IFERROR(
         _xlfn.XLOOKUP(
            1,
            (Table8[رقم الصنف]=A821) *
            (IF($B$9="الكل",1, YEAR('ادخال البيانات'!$N$3:$N$1164)=VALUE($B$9))) *
            (IF($B$10="الكل",1, MONTH('ادخال البيانات'!$N$3:$N$1164)=VALUE($B$10))) *
            (IF($B$11="الكل",1, INT((DAY('ادخال البيانات'!$N$3:$N$1164)-1)/7)+1 = VALUE($B$11))),
            'ادخال البيانات'!$J$3:$J$1164
         ),
         ""
      ),
      IF(_xlpm.result="", "", _xlpm.result)
   )
)</f>
        <v/>
      </c>
      <c r="K821" s="27" t="str" cm="1">
        <f t="array" ref="K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1" s="27" t="str" cm="1">
        <f t="array" ref="L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1" s="27" t="str" cm="1">
        <f t="array" ref="M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1" s="28" t="str" cm="1">
        <f t="array" ref="N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1" s="28" t="str" cm="1">
        <f t="array" ref="O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1" s="27" t="str" cm="1">
        <f t="array" ref="P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Table8[جهة العطل]
         ),
         ""
      ),
      IF(_xlpm.result="", "", _xlpm.result)
   )
)</f>
        <v/>
      </c>
      <c r="Q821" s="27" t="str" cm="1">
        <f t="array" ref="Q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Table8[المركز]
         ),
         ""
      ),
      IF(_xlpm.result="", "", _xlpm.result)
   )
)</f>
        <v/>
      </c>
      <c r="R821" s="27" t="str" cm="1">
        <f t="array" ref="R821">IF(
   A821="",
   "",
   _xlfn.LET(
      _xlpm.result,
      IFERROR(
         _xlfn.XLOOKUP(
            1,
            (Table8[رقم الصنف]=A821) *
            (IF($B$9="الكل",1, YEAR('ادخال البيانات'!$N$3:$N$1164) = VALUE($B$9))) *
            (IF($B$10="الكل",1, MONTH('ادخال البيانات'!$N$3:$N$1164) = VALUE($B$10))) *
            (IF($B$11="الكل",1, INT((DAY('ادخال البيانات'!$N$3:$N$1164) - 1) / 7) + 1 = VALUE($B$11))),
            Table8[ملاحظة]
         ),
         ""
      ),
      IF(_xlpm.result="", "", _xlpm.result)
   )
)</f>
        <v/>
      </c>
      <c r="S821" s="46" t="str">
        <f t="shared" ca="1" si="13"/>
        <v/>
      </c>
    </row>
    <row r="822" spans="1:19" ht="15.6" thickTop="1" thickBot="1" x14ac:dyDescent="0.35">
      <c r="A822" s="39"/>
      <c r="B822" s="27" t="str" cm="1">
        <f t="array" ref="B822">IF(
   OR(A822="", $B$9="", $B$10="", $B$11=""),
   "",
   _xlfn.LET(
      _xlpm.result,
      IFERROR(
         _xlfn.XLOOKUP(
            1,
            (Table8[رقم الصنف]=A822)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2" s="27" t="str" cm="1">
        <f t="array" ref="C822">IF(
   A822="",
   "",
   _xlfn.LET(
      _xlpm.result,
      IFERROR(
         _xlfn.XLOOKUP(
            1,
            (Table8[رقم الصنف]=A822) *
            (IF($B$9="الكل",1, YEAR('ادخال البيانات'!$N$3:$N$1164) = VALUE($B$9))) *
            (IF($B$10="الكل",1, MONTH('ادخال البيانات'!$N$3:$N$1164) = VALUE($B$10))) *
            (IF($B$11="الكل",1, INT((DAY('ادخال البيانات'!$N$3:$N$1164)-1)/7)+1 = VALUE($B$11))),
            'ادخال البيانات'!$C$3:$C$1164
         ),
         ""
      ),
      IF(_xlpm.result="", "", _xlpm.result)
   )
)</f>
        <v/>
      </c>
      <c r="D822" s="27" t="str" cm="1">
        <f t="array" ref="D822">IF(
   OR(A822="", $B$9="", $B$10="", $B$11=""),
   "",
   _xlfn.LET(
      _xlpm.result,
      IFERROR(
         _xlfn.XLOOKUP(
            1,
            (Table8[رقم الصنف]=A822) *
            (IF($B$9="الكل",1, YEAR('ادخال البيانات'!$N$3:$N$1164)=VALUE($B$9))) *
            (IF($B$10="الكل",1, MONTH('ادخال البيانات'!$N$3:$N$1164)=VALUE($B$10))) *
            (IF($B$11="الكل",1, INT((DAY('ادخال البيانات'!$N$3:$N$1164)-1)/7)+1 = VALUE($B$11))),
            'ادخال البيانات'!$D$3:$D$1164
         ),
         ""
      ),
      IF(_xlpm.result="", "", _xlpm.result)
   )
)</f>
        <v/>
      </c>
      <c r="E822" s="27" t="str" cm="1">
        <f t="array" ref="E822">IF(
   A822="",
   "",
   _xlfn.LET(
      _xlpm.result,
      IFERROR(
         _xlfn.XLOOKUP(
            1,
            (Table8[رقم الصنف]=A822) *
            (IF($B$9="الكل",1, YEAR('ادخال البيانات'!$N$3:$N$1164)=VALUE($B$9))) *
            (IF($B$10="الكل",1, MONTH('ادخال البيانات'!$N$3:$N$1164)=VALUE($B$10))) *
            (IF($B$11="الكل",1, INT((DAY('ادخال البيانات'!$N$3:$N$1164)-1)/7)+1 = VALUE($B$11))),
            'ادخال البيانات'!$E$3:$E$1164
         ),
         ""
      ),
      IF(_xlpm.result="", "", _xlpm.result)
   )
)</f>
        <v/>
      </c>
      <c r="F822" s="27" t="str" cm="1">
        <f t="array" ref="F822">IF(
   A822="",
   "",
   _xlfn.LET(
      _xlpm.result,
      IFERROR(
         _xlfn.XLOOKUP(
            1,
            (Table8[رقم الصنف]=A822) *
            (IF($B$9="الكل",1, YEAR('ادخال البيانات'!$N$3:$N$1164) = VALUE($B$9))) *
            (IF($B$10="الكل",1, MONTH('ادخال البيانات'!$N$3:$N$1164) = VALUE($B$10))) *
            (IF($B$11="الكل",1, INT((DAY('ادخال البيانات'!$N$3:$N$1164)-1)/7)+1 = VALUE($B$11))),
            'ادخال البيانات'!$F$3:$F$1164
         ),
         ""
      ),
      IF(_xlpm.result="", "", _xlpm.result)
   )
)</f>
        <v/>
      </c>
      <c r="G822" s="27" t="str" cm="1">
        <f t="array" ref="G822">IF(
   A822="",
   "",
   _xlfn.LET(
      _xlpm.result,
      IFERROR(
         _xlfn.XLOOKUP(
            1,
            (Table8[رقم الصنف]=A822) *
            (IF($B$9="الكل",1, YEAR('ادخال البيانات'!$N$3:$N$1164)=VALUE($B$9))) *
            (IF($B$10="الكل",1, MONTH('ادخال البيانات'!$N$3:$N$1164)=VALUE($B$10))) *
            (IF($B$11="الكل",1, INT((DAY('ادخال البيانات'!$N$3:$N$1164)-1)/7)+1 = VALUE($B$11))),
            'ادخال البيانات'!$G$3:$G$1164
         ),
         ""
      ),
      IF(_xlpm.result="", "", _xlpm.result)
   )
)</f>
        <v/>
      </c>
      <c r="H822" s="27" t="str" cm="1">
        <f t="array" ref="H822">IF(
   A822="",
   "",
   _xlfn.LET(
      _xlpm.result,
      IFERROR(
         _xlfn.XLOOKUP(
            1,
            (Table8[رقم الصنف]=A822) *
            (IF($B$9="الكل",1, YEAR('ادخال البيانات'!$N$3:$N$1164)=VALUE($B$9))) *
            (IF($B$10="الكل",1, MONTH('ادخال البيانات'!$N$3:$N$1164)=VALUE($B$10))) *
            (IF($B$11="الكل",1, INT((DAY('ادخال البيانات'!$N$3:$N$1164)-1)/7)+1 = VALUE($B$11))),
            'ادخال البيانات'!$H$3:$H$1164
         ),
         ""
      ),
      IF(_xlpm.result="", "", _xlpm.result)
   )
)</f>
        <v/>
      </c>
      <c r="I822" s="27" t="str" cm="1">
        <f t="array" ref="I822">IF(
   A822="",
   "",
   _xlfn.LET(
      _xlpm.result,
      IFERROR(
         _xlfn.XLOOKUP(
            1,
            (Table8[رقم الصنف]=A822) *
            (IF($B$9="الكل",1, YEAR('ادخال البيانات'!$N$3:$N$1164)=VALUE($B$9))) *
            (IF($B$10="الكل",1, MONTH('ادخال البيانات'!$N$3:$N$1164)=VALUE($B$10))) *
            (IF($B$11="الكل",1, INT((DAY('ادخال البيانات'!$N$3:$N$1164)-1)/7)+1 = VALUE($B$11))),
            'ادخال البيانات'!$I$3:$I$1164
         ),
         ""
      ),
      IF(_xlpm.result="", "", _xlpm.result)
   )
)</f>
        <v/>
      </c>
      <c r="J822" s="27" t="str" cm="1">
        <f t="array" ref="J822">IF(
   A822="",
   "",
   _xlfn.LET(
      _xlpm.result,
      IFERROR(
         _xlfn.XLOOKUP(
            1,
            (Table8[رقم الصنف]=A822) *
            (IF($B$9="الكل",1, YEAR('ادخال البيانات'!$N$3:$N$1164)=VALUE($B$9))) *
            (IF($B$10="الكل",1, MONTH('ادخال البيانات'!$N$3:$N$1164)=VALUE($B$10))) *
            (IF($B$11="الكل",1, INT((DAY('ادخال البيانات'!$N$3:$N$1164)-1)/7)+1 = VALUE($B$11))),
            'ادخال البيانات'!$J$3:$J$1164
         ),
         ""
      ),
      IF(_xlpm.result="", "", _xlpm.result)
   )
)</f>
        <v/>
      </c>
      <c r="K822" s="27" t="str" cm="1">
        <f t="array" ref="K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2" s="27" t="str" cm="1">
        <f t="array" ref="L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2" s="27" t="str" cm="1">
        <f t="array" ref="M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2" s="28" t="str" cm="1">
        <f t="array" ref="N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2" s="28" t="str" cm="1">
        <f t="array" ref="O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2" s="27" t="str" cm="1">
        <f t="array" ref="P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Table8[جهة العطل]
         ),
         ""
      ),
      IF(_xlpm.result="", "", _xlpm.result)
   )
)</f>
        <v/>
      </c>
      <c r="Q822" s="27" t="str" cm="1">
        <f t="array" ref="Q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Table8[المركز]
         ),
         ""
      ),
      IF(_xlpm.result="", "", _xlpm.result)
   )
)</f>
        <v/>
      </c>
      <c r="R822" s="27" t="str" cm="1">
        <f t="array" ref="R822">IF(
   A822="",
   "",
   _xlfn.LET(
      _xlpm.result,
      IFERROR(
         _xlfn.XLOOKUP(
            1,
            (Table8[رقم الصنف]=A822) *
            (IF($B$9="الكل",1, YEAR('ادخال البيانات'!$N$3:$N$1164) = VALUE($B$9))) *
            (IF($B$10="الكل",1, MONTH('ادخال البيانات'!$N$3:$N$1164) = VALUE($B$10))) *
            (IF($B$11="الكل",1, INT((DAY('ادخال البيانات'!$N$3:$N$1164) - 1) / 7) + 1 = VALUE($B$11))),
            Table8[ملاحظة]
         ),
         ""
      ),
      IF(_xlpm.result="", "", _xlpm.result)
   )
)</f>
        <v/>
      </c>
      <c r="S822" s="46" t="str">
        <f t="shared" ca="1" si="13"/>
        <v/>
      </c>
    </row>
    <row r="823" spans="1:19" ht="15.6" thickTop="1" thickBot="1" x14ac:dyDescent="0.35">
      <c r="A823" s="39"/>
      <c r="B823" s="27" t="str" cm="1">
        <f t="array" ref="B823">IF(
   OR(A823="", $B$9="", $B$10="", $B$11=""),
   "",
   _xlfn.LET(
      _xlpm.result,
      IFERROR(
         _xlfn.XLOOKUP(
            1,
            (Table8[رقم الصنف]=A823)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3" s="27" t="str" cm="1">
        <f t="array" ref="C823">IF(
   A823="",
   "",
   _xlfn.LET(
      _xlpm.result,
      IFERROR(
         _xlfn.XLOOKUP(
            1,
            (Table8[رقم الصنف]=A823) *
            (IF($B$9="الكل",1, YEAR('ادخال البيانات'!$N$3:$N$1164) = VALUE($B$9))) *
            (IF($B$10="الكل",1, MONTH('ادخال البيانات'!$N$3:$N$1164) = VALUE($B$10))) *
            (IF($B$11="الكل",1, INT((DAY('ادخال البيانات'!$N$3:$N$1164)-1)/7)+1 = VALUE($B$11))),
            'ادخال البيانات'!$C$3:$C$1164
         ),
         ""
      ),
      IF(_xlpm.result="", "", _xlpm.result)
   )
)</f>
        <v/>
      </c>
      <c r="D823" s="27" t="str" cm="1">
        <f t="array" ref="D823">IF(
   OR(A823="", $B$9="", $B$10="", $B$11=""),
   "",
   _xlfn.LET(
      _xlpm.result,
      IFERROR(
         _xlfn.XLOOKUP(
            1,
            (Table8[رقم الصنف]=A823) *
            (IF($B$9="الكل",1, YEAR('ادخال البيانات'!$N$3:$N$1164)=VALUE($B$9))) *
            (IF($B$10="الكل",1, MONTH('ادخال البيانات'!$N$3:$N$1164)=VALUE($B$10))) *
            (IF($B$11="الكل",1, INT((DAY('ادخال البيانات'!$N$3:$N$1164)-1)/7)+1 = VALUE($B$11))),
            'ادخال البيانات'!$D$3:$D$1164
         ),
         ""
      ),
      IF(_xlpm.result="", "", _xlpm.result)
   )
)</f>
        <v/>
      </c>
      <c r="E823" s="27" t="str" cm="1">
        <f t="array" ref="E823">IF(
   A823="",
   "",
   _xlfn.LET(
      _xlpm.result,
      IFERROR(
         _xlfn.XLOOKUP(
            1,
            (Table8[رقم الصنف]=A823) *
            (IF($B$9="الكل",1, YEAR('ادخال البيانات'!$N$3:$N$1164)=VALUE($B$9))) *
            (IF($B$10="الكل",1, MONTH('ادخال البيانات'!$N$3:$N$1164)=VALUE($B$10))) *
            (IF($B$11="الكل",1, INT((DAY('ادخال البيانات'!$N$3:$N$1164)-1)/7)+1 = VALUE($B$11))),
            'ادخال البيانات'!$E$3:$E$1164
         ),
         ""
      ),
      IF(_xlpm.result="", "", _xlpm.result)
   )
)</f>
        <v/>
      </c>
      <c r="F823" s="27" t="str" cm="1">
        <f t="array" ref="F823">IF(
   A823="",
   "",
   _xlfn.LET(
      _xlpm.result,
      IFERROR(
         _xlfn.XLOOKUP(
            1,
            (Table8[رقم الصنف]=A823) *
            (IF($B$9="الكل",1, YEAR('ادخال البيانات'!$N$3:$N$1164) = VALUE($B$9))) *
            (IF($B$10="الكل",1, MONTH('ادخال البيانات'!$N$3:$N$1164) = VALUE($B$10))) *
            (IF($B$11="الكل",1, INT((DAY('ادخال البيانات'!$N$3:$N$1164)-1)/7)+1 = VALUE($B$11))),
            'ادخال البيانات'!$F$3:$F$1164
         ),
         ""
      ),
      IF(_xlpm.result="", "", _xlpm.result)
   )
)</f>
        <v/>
      </c>
      <c r="G823" s="27" t="str" cm="1">
        <f t="array" ref="G823">IF(
   A823="",
   "",
   _xlfn.LET(
      _xlpm.result,
      IFERROR(
         _xlfn.XLOOKUP(
            1,
            (Table8[رقم الصنف]=A823) *
            (IF($B$9="الكل",1, YEAR('ادخال البيانات'!$N$3:$N$1164)=VALUE($B$9))) *
            (IF($B$10="الكل",1, MONTH('ادخال البيانات'!$N$3:$N$1164)=VALUE($B$10))) *
            (IF($B$11="الكل",1, INT((DAY('ادخال البيانات'!$N$3:$N$1164)-1)/7)+1 = VALUE($B$11))),
            'ادخال البيانات'!$G$3:$G$1164
         ),
         ""
      ),
      IF(_xlpm.result="", "", _xlpm.result)
   )
)</f>
        <v/>
      </c>
      <c r="H823" s="27" t="str" cm="1">
        <f t="array" ref="H823">IF(
   A823="",
   "",
   _xlfn.LET(
      _xlpm.result,
      IFERROR(
         _xlfn.XLOOKUP(
            1,
            (Table8[رقم الصنف]=A823) *
            (IF($B$9="الكل",1, YEAR('ادخال البيانات'!$N$3:$N$1164)=VALUE($B$9))) *
            (IF($B$10="الكل",1, MONTH('ادخال البيانات'!$N$3:$N$1164)=VALUE($B$10))) *
            (IF($B$11="الكل",1, INT((DAY('ادخال البيانات'!$N$3:$N$1164)-1)/7)+1 = VALUE($B$11))),
            'ادخال البيانات'!$H$3:$H$1164
         ),
         ""
      ),
      IF(_xlpm.result="", "", _xlpm.result)
   )
)</f>
        <v/>
      </c>
      <c r="I823" s="27" t="str" cm="1">
        <f t="array" ref="I823">IF(
   A823="",
   "",
   _xlfn.LET(
      _xlpm.result,
      IFERROR(
         _xlfn.XLOOKUP(
            1,
            (Table8[رقم الصنف]=A823) *
            (IF($B$9="الكل",1, YEAR('ادخال البيانات'!$N$3:$N$1164)=VALUE($B$9))) *
            (IF($B$10="الكل",1, MONTH('ادخال البيانات'!$N$3:$N$1164)=VALUE($B$10))) *
            (IF($B$11="الكل",1, INT((DAY('ادخال البيانات'!$N$3:$N$1164)-1)/7)+1 = VALUE($B$11))),
            'ادخال البيانات'!$I$3:$I$1164
         ),
         ""
      ),
      IF(_xlpm.result="", "", _xlpm.result)
   )
)</f>
        <v/>
      </c>
      <c r="J823" s="27" t="str" cm="1">
        <f t="array" ref="J823">IF(
   A823="",
   "",
   _xlfn.LET(
      _xlpm.result,
      IFERROR(
         _xlfn.XLOOKUP(
            1,
            (Table8[رقم الصنف]=A823) *
            (IF($B$9="الكل",1, YEAR('ادخال البيانات'!$N$3:$N$1164)=VALUE($B$9))) *
            (IF($B$10="الكل",1, MONTH('ادخال البيانات'!$N$3:$N$1164)=VALUE($B$10))) *
            (IF($B$11="الكل",1, INT((DAY('ادخال البيانات'!$N$3:$N$1164)-1)/7)+1 = VALUE($B$11))),
            'ادخال البيانات'!$J$3:$J$1164
         ),
         ""
      ),
      IF(_xlpm.result="", "", _xlpm.result)
   )
)</f>
        <v/>
      </c>
      <c r="K823" s="27" t="str" cm="1">
        <f t="array" ref="K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3" s="27" t="str" cm="1">
        <f t="array" ref="L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3" s="27" t="str" cm="1">
        <f t="array" ref="M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3" s="28" t="str" cm="1">
        <f t="array" ref="N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3" s="28" t="str" cm="1">
        <f t="array" ref="O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3" s="27" t="str" cm="1">
        <f t="array" ref="P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Table8[جهة العطل]
         ),
         ""
      ),
      IF(_xlpm.result="", "", _xlpm.result)
   )
)</f>
        <v/>
      </c>
      <c r="Q823" s="27" t="str" cm="1">
        <f t="array" ref="Q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Table8[المركز]
         ),
         ""
      ),
      IF(_xlpm.result="", "", _xlpm.result)
   )
)</f>
        <v/>
      </c>
      <c r="R823" s="27" t="str" cm="1">
        <f t="array" ref="R823">IF(
   A823="",
   "",
   _xlfn.LET(
      _xlpm.result,
      IFERROR(
         _xlfn.XLOOKUP(
            1,
            (Table8[رقم الصنف]=A823) *
            (IF($B$9="الكل",1, YEAR('ادخال البيانات'!$N$3:$N$1164) = VALUE($B$9))) *
            (IF($B$10="الكل",1, MONTH('ادخال البيانات'!$N$3:$N$1164) = VALUE($B$10))) *
            (IF($B$11="الكل",1, INT((DAY('ادخال البيانات'!$N$3:$N$1164) - 1) / 7) + 1 = VALUE($B$11))),
            Table8[ملاحظة]
         ),
         ""
      ),
      IF(_xlpm.result="", "", _xlpm.result)
   )
)</f>
        <v/>
      </c>
      <c r="S823" s="46" t="str">
        <f t="shared" ca="1" si="13"/>
        <v/>
      </c>
    </row>
    <row r="824" spans="1:19" ht="15.6" thickTop="1" thickBot="1" x14ac:dyDescent="0.35">
      <c r="A824" s="39"/>
      <c r="B824" s="27" t="str" cm="1">
        <f t="array" ref="B824">IF(
   OR(A824="", $B$9="", $B$10="", $B$11=""),
   "",
   _xlfn.LET(
      _xlpm.result,
      IFERROR(
         _xlfn.XLOOKUP(
            1,
            (Table8[رقم الصنف]=A824)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4" s="27" t="str" cm="1">
        <f t="array" ref="C824">IF(
   A824="",
   "",
   _xlfn.LET(
      _xlpm.result,
      IFERROR(
         _xlfn.XLOOKUP(
            1,
            (Table8[رقم الصنف]=A824) *
            (IF($B$9="الكل",1, YEAR('ادخال البيانات'!$N$3:$N$1164) = VALUE($B$9))) *
            (IF($B$10="الكل",1, MONTH('ادخال البيانات'!$N$3:$N$1164) = VALUE($B$10))) *
            (IF($B$11="الكل",1, INT((DAY('ادخال البيانات'!$N$3:$N$1164)-1)/7)+1 = VALUE($B$11))),
            'ادخال البيانات'!$C$3:$C$1164
         ),
         ""
      ),
      IF(_xlpm.result="", "", _xlpm.result)
   )
)</f>
        <v/>
      </c>
      <c r="D824" s="27" t="str" cm="1">
        <f t="array" ref="D824">IF(
   OR(A824="", $B$9="", $B$10="", $B$11=""),
   "",
   _xlfn.LET(
      _xlpm.result,
      IFERROR(
         _xlfn.XLOOKUP(
            1,
            (Table8[رقم الصنف]=A824) *
            (IF($B$9="الكل",1, YEAR('ادخال البيانات'!$N$3:$N$1164)=VALUE($B$9))) *
            (IF($B$10="الكل",1, MONTH('ادخال البيانات'!$N$3:$N$1164)=VALUE($B$10))) *
            (IF($B$11="الكل",1, INT((DAY('ادخال البيانات'!$N$3:$N$1164)-1)/7)+1 = VALUE($B$11))),
            'ادخال البيانات'!$D$3:$D$1164
         ),
         ""
      ),
      IF(_xlpm.result="", "", _xlpm.result)
   )
)</f>
        <v/>
      </c>
      <c r="E824" s="27" t="str" cm="1">
        <f t="array" ref="E824">IF(
   A824="",
   "",
   _xlfn.LET(
      _xlpm.result,
      IFERROR(
         _xlfn.XLOOKUP(
            1,
            (Table8[رقم الصنف]=A824) *
            (IF($B$9="الكل",1, YEAR('ادخال البيانات'!$N$3:$N$1164)=VALUE($B$9))) *
            (IF($B$10="الكل",1, MONTH('ادخال البيانات'!$N$3:$N$1164)=VALUE($B$10))) *
            (IF($B$11="الكل",1, INT((DAY('ادخال البيانات'!$N$3:$N$1164)-1)/7)+1 = VALUE($B$11))),
            'ادخال البيانات'!$E$3:$E$1164
         ),
         ""
      ),
      IF(_xlpm.result="", "", _xlpm.result)
   )
)</f>
        <v/>
      </c>
      <c r="F824" s="27" t="str" cm="1">
        <f t="array" ref="F824">IF(
   A824="",
   "",
   _xlfn.LET(
      _xlpm.result,
      IFERROR(
         _xlfn.XLOOKUP(
            1,
            (Table8[رقم الصنف]=A824) *
            (IF($B$9="الكل",1, YEAR('ادخال البيانات'!$N$3:$N$1164) = VALUE($B$9))) *
            (IF($B$10="الكل",1, MONTH('ادخال البيانات'!$N$3:$N$1164) = VALUE($B$10))) *
            (IF($B$11="الكل",1, INT((DAY('ادخال البيانات'!$N$3:$N$1164)-1)/7)+1 = VALUE($B$11))),
            'ادخال البيانات'!$F$3:$F$1164
         ),
         ""
      ),
      IF(_xlpm.result="", "", _xlpm.result)
   )
)</f>
        <v/>
      </c>
      <c r="G824" s="27" t="str" cm="1">
        <f t="array" ref="G824">IF(
   A824="",
   "",
   _xlfn.LET(
      _xlpm.result,
      IFERROR(
         _xlfn.XLOOKUP(
            1,
            (Table8[رقم الصنف]=A824) *
            (IF($B$9="الكل",1, YEAR('ادخال البيانات'!$N$3:$N$1164)=VALUE($B$9))) *
            (IF($B$10="الكل",1, MONTH('ادخال البيانات'!$N$3:$N$1164)=VALUE($B$10))) *
            (IF($B$11="الكل",1, INT((DAY('ادخال البيانات'!$N$3:$N$1164)-1)/7)+1 = VALUE($B$11))),
            'ادخال البيانات'!$G$3:$G$1164
         ),
         ""
      ),
      IF(_xlpm.result="", "", _xlpm.result)
   )
)</f>
        <v/>
      </c>
      <c r="H824" s="27" t="str" cm="1">
        <f t="array" ref="H824">IF(
   A824="",
   "",
   _xlfn.LET(
      _xlpm.result,
      IFERROR(
         _xlfn.XLOOKUP(
            1,
            (Table8[رقم الصنف]=A824) *
            (IF($B$9="الكل",1, YEAR('ادخال البيانات'!$N$3:$N$1164)=VALUE($B$9))) *
            (IF($B$10="الكل",1, MONTH('ادخال البيانات'!$N$3:$N$1164)=VALUE($B$10))) *
            (IF($B$11="الكل",1, INT((DAY('ادخال البيانات'!$N$3:$N$1164)-1)/7)+1 = VALUE($B$11))),
            'ادخال البيانات'!$H$3:$H$1164
         ),
         ""
      ),
      IF(_xlpm.result="", "", _xlpm.result)
   )
)</f>
        <v/>
      </c>
      <c r="I824" s="27" t="str" cm="1">
        <f t="array" ref="I824">IF(
   A824="",
   "",
   _xlfn.LET(
      _xlpm.result,
      IFERROR(
         _xlfn.XLOOKUP(
            1,
            (Table8[رقم الصنف]=A824) *
            (IF($B$9="الكل",1, YEAR('ادخال البيانات'!$N$3:$N$1164)=VALUE($B$9))) *
            (IF($B$10="الكل",1, MONTH('ادخال البيانات'!$N$3:$N$1164)=VALUE($B$10))) *
            (IF($B$11="الكل",1, INT((DAY('ادخال البيانات'!$N$3:$N$1164)-1)/7)+1 = VALUE($B$11))),
            'ادخال البيانات'!$I$3:$I$1164
         ),
         ""
      ),
      IF(_xlpm.result="", "", _xlpm.result)
   )
)</f>
        <v/>
      </c>
      <c r="J824" s="27" t="str" cm="1">
        <f t="array" ref="J824">IF(
   A824="",
   "",
   _xlfn.LET(
      _xlpm.result,
      IFERROR(
         _xlfn.XLOOKUP(
            1,
            (Table8[رقم الصنف]=A824) *
            (IF($B$9="الكل",1, YEAR('ادخال البيانات'!$N$3:$N$1164)=VALUE($B$9))) *
            (IF($B$10="الكل",1, MONTH('ادخال البيانات'!$N$3:$N$1164)=VALUE($B$10))) *
            (IF($B$11="الكل",1, INT((DAY('ادخال البيانات'!$N$3:$N$1164)-1)/7)+1 = VALUE($B$11))),
            'ادخال البيانات'!$J$3:$J$1164
         ),
         ""
      ),
      IF(_xlpm.result="", "", _xlpm.result)
   )
)</f>
        <v/>
      </c>
      <c r="K824" s="27" t="str" cm="1">
        <f t="array" ref="K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4" s="27" t="str" cm="1">
        <f t="array" ref="L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4" s="27" t="str" cm="1">
        <f t="array" ref="M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4" s="28" t="str" cm="1">
        <f t="array" ref="N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4" s="28" t="str" cm="1">
        <f t="array" ref="O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4" s="27" t="str" cm="1">
        <f t="array" ref="P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Table8[جهة العطل]
         ),
         ""
      ),
      IF(_xlpm.result="", "", _xlpm.result)
   )
)</f>
        <v/>
      </c>
      <c r="Q824" s="27" t="str" cm="1">
        <f t="array" ref="Q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Table8[المركز]
         ),
         ""
      ),
      IF(_xlpm.result="", "", _xlpm.result)
   )
)</f>
        <v/>
      </c>
      <c r="R824" s="27" t="str" cm="1">
        <f t="array" ref="R824">IF(
   A824="",
   "",
   _xlfn.LET(
      _xlpm.result,
      IFERROR(
         _xlfn.XLOOKUP(
            1,
            (Table8[رقم الصنف]=A824) *
            (IF($B$9="الكل",1, YEAR('ادخال البيانات'!$N$3:$N$1164) = VALUE($B$9))) *
            (IF($B$10="الكل",1, MONTH('ادخال البيانات'!$N$3:$N$1164) = VALUE($B$10))) *
            (IF($B$11="الكل",1, INT((DAY('ادخال البيانات'!$N$3:$N$1164) - 1) / 7) + 1 = VALUE($B$11))),
            Table8[ملاحظة]
         ),
         ""
      ),
      IF(_xlpm.result="", "", _xlpm.result)
   )
)</f>
        <v/>
      </c>
      <c r="S824" s="46" t="str">
        <f t="shared" ca="1" si="13"/>
        <v/>
      </c>
    </row>
    <row r="825" spans="1:19" ht="15.6" thickTop="1" thickBot="1" x14ac:dyDescent="0.35">
      <c r="A825" s="39"/>
      <c r="B825" s="27" t="str" cm="1">
        <f t="array" ref="B825">IF(
   OR(A825="", $B$9="", $B$10="", $B$11=""),
   "",
   _xlfn.LET(
      _xlpm.result,
      IFERROR(
         _xlfn.XLOOKUP(
            1,
            (Table8[رقم الصنف]=A825)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5" s="27" t="str" cm="1">
        <f t="array" ref="C825">IF(
   A825="",
   "",
   _xlfn.LET(
      _xlpm.result,
      IFERROR(
         _xlfn.XLOOKUP(
            1,
            (Table8[رقم الصنف]=A825) *
            (IF($B$9="الكل",1, YEAR('ادخال البيانات'!$N$3:$N$1164) = VALUE($B$9))) *
            (IF($B$10="الكل",1, MONTH('ادخال البيانات'!$N$3:$N$1164) = VALUE($B$10))) *
            (IF($B$11="الكل",1, INT((DAY('ادخال البيانات'!$N$3:$N$1164)-1)/7)+1 = VALUE($B$11))),
            'ادخال البيانات'!$C$3:$C$1164
         ),
         ""
      ),
      IF(_xlpm.result="", "", _xlpm.result)
   )
)</f>
        <v/>
      </c>
      <c r="D825" s="27" t="str" cm="1">
        <f t="array" ref="D825">IF(
   OR(A825="", $B$9="", $B$10="", $B$11=""),
   "",
   _xlfn.LET(
      _xlpm.result,
      IFERROR(
         _xlfn.XLOOKUP(
            1,
            (Table8[رقم الصنف]=A825) *
            (IF($B$9="الكل",1, YEAR('ادخال البيانات'!$N$3:$N$1164)=VALUE($B$9))) *
            (IF($B$10="الكل",1, MONTH('ادخال البيانات'!$N$3:$N$1164)=VALUE($B$10))) *
            (IF($B$11="الكل",1, INT((DAY('ادخال البيانات'!$N$3:$N$1164)-1)/7)+1 = VALUE($B$11))),
            'ادخال البيانات'!$D$3:$D$1164
         ),
         ""
      ),
      IF(_xlpm.result="", "", _xlpm.result)
   )
)</f>
        <v/>
      </c>
      <c r="E825" s="27" t="str" cm="1">
        <f t="array" ref="E825">IF(
   A825="",
   "",
   _xlfn.LET(
      _xlpm.result,
      IFERROR(
         _xlfn.XLOOKUP(
            1,
            (Table8[رقم الصنف]=A825) *
            (IF($B$9="الكل",1, YEAR('ادخال البيانات'!$N$3:$N$1164)=VALUE($B$9))) *
            (IF($B$10="الكل",1, MONTH('ادخال البيانات'!$N$3:$N$1164)=VALUE($B$10))) *
            (IF($B$11="الكل",1, INT((DAY('ادخال البيانات'!$N$3:$N$1164)-1)/7)+1 = VALUE($B$11))),
            'ادخال البيانات'!$E$3:$E$1164
         ),
         ""
      ),
      IF(_xlpm.result="", "", _xlpm.result)
   )
)</f>
        <v/>
      </c>
      <c r="F825" s="27" t="str" cm="1">
        <f t="array" ref="F825">IF(
   A825="",
   "",
   _xlfn.LET(
      _xlpm.result,
      IFERROR(
         _xlfn.XLOOKUP(
            1,
            (Table8[رقم الصنف]=A825) *
            (IF($B$9="الكل",1, YEAR('ادخال البيانات'!$N$3:$N$1164) = VALUE($B$9))) *
            (IF($B$10="الكل",1, MONTH('ادخال البيانات'!$N$3:$N$1164) = VALUE($B$10))) *
            (IF($B$11="الكل",1, INT((DAY('ادخال البيانات'!$N$3:$N$1164)-1)/7)+1 = VALUE($B$11))),
            'ادخال البيانات'!$F$3:$F$1164
         ),
         ""
      ),
      IF(_xlpm.result="", "", _xlpm.result)
   )
)</f>
        <v/>
      </c>
      <c r="G825" s="27" t="str" cm="1">
        <f t="array" ref="G825">IF(
   A825="",
   "",
   _xlfn.LET(
      _xlpm.result,
      IFERROR(
         _xlfn.XLOOKUP(
            1,
            (Table8[رقم الصنف]=A825) *
            (IF($B$9="الكل",1, YEAR('ادخال البيانات'!$N$3:$N$1164)=VALUE($B$9))) *
            (IF($B$10="الكل",1, MONTH('ادخال البيانات'!$N$3:$N$1164)=VALUE($B$10))) *
            (IF($B$11="الكل",1, INT((DAY('ادخال البيانات'!$N$3:$N$1164)-1)/7)+1 = VALUE($B$11))),
            'ادخال البيانات'!$G$3:$G$1164
         ),
         ""
      ),
      IF(_xlpm.result="", "", _xlpm.result)
   )
)</f>
        <v/>
      </c>
      <c r="H825" s="27" t="str" cm="1">
        <f t="array" ref="H825">IF(
   A825="",
   "",
   _xlfn.LET(
      _xlpm.result,
      IFERROR(
         _xlfn.XLOOKUP(
            1,
            (Table8[رقم الصنف]=A825) *
            (IF($B$9="الكل",1, YEAR('ادخال البيانات'!$N$3:$N$1164)=VALUE($B$9))) *
            (IF($B$10="الكل",1, MONTH('ادخال البيانات'!$N$3:$N$1164)=VALUE($B$10))) *
            (IF($B$11="الكل",1, INT((DAY('ادخال البيانات'!$N$3:$N$1164)-1)/7)+1 = VALUE($B$11))),
            'ادخال البيانات'!$H$3:$H$1164
         ),
         ""
      ),
      IF(_xlpm.result="", "", _xlpm.result)
   )
)</f>
        <v/>
      </c>
      <c r="I825" s="27" t="str" cm="1">
        <f t="array" ref="I825">IF(
   A825="",
   "",
   _xlfn.LET(
      _xlpm.result,
      IFERROR(
         _xlfn.XLOOKUP(
            1,
            (Table8[رقم الصنف]=A825) *
            (IF($B$9="الكل",1, YEAR('ادخال البيانات'!$N$3:$N$1164)=VALUE($B$9))) *
            (IF($B$10="الكل",1, MONTH('ادخال البيانات'!$N$3:$N$1164)=VALUE($B$10))) *
            (IF($B$11="الكل",1, INT((DAY('ادخال البيانات'!$N$3:$N$1164)-1)/7)+1 = VALUE($B$11))),
            'ادخال البيانات'!$I$3:$I$1164
         ),
         ""
      ),
      IF(_xlpm.result="", "", _xlpm.result)
   )
)</f>
        <v/>
      </c>
      <c r="J825" s="27" t="str" cm="1">
        <f t="array" ref="J825">IF(
   A825="",
   "",
   _xlfn.LET(
      _xlpm.result,
      IFERROR(
         _xlfn.XLOOKUP(
            1,
            (Table8[رقم الصنف]=A825) *
            (IF($B$9="الكل",1, YEAR('ادخال البيانات'!$N$3:$N$1164)=VALUE($B$9))) *
            (IF($B$10="الكل",1, MONTH('ادخال البيانات'!$N$3:$N$1164)=VALUE($B$10))) *
            (IF($B$11="الكل",1, INT((DAY('ادخال البيانات'!$N$3:$N$1164)-1)/7)+1 = VALUE($B$11))),
            'ادخال البيانات'!$J$3:$J$1164
         ),
         ""
      ),
      IF(_xlpm.result="", "", _xlpm.result)
   )
)</f>
        <v/>
      </c>
      <c r="K825" s="27" t="str" cm="1">
        <f t="array" ref="K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5" s="27" t="str" cm="1">
        <f t="array" ref="L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5" s="27" t="str" cm="1">
        <f t="array" ref="M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5" s="28" t="str" cm="1">
        <f t="array" ref="N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5" s="28" t="str" cm="1">
        <f t="array" ref="O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5" s="27" t="str" cm="1">
        <f t="array" ref="P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Table8[جهة العطل]
         ),
         ""
      ),
      IF(_xlpm.result="", "", _xlpm.result)
   )
)</f>
        <v/>
      </c>
      <c r="Q825" s="27" t="str" cm="1">
        <f t="array" ref="Q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Table8[المركز]
         ),
         ""
      ),
      IF(_xlpm.result="", "", _xlpm.result)
   )
)</f>
        <v/>
      </c>
      <c r="R825" s="27" t="str" cm="1">
        <f t="array" ref="R825">IF(
   A825="",
   "",
   _xlfn.LET(
      _xlpm.result,
      IFERROR(
         _xlfn.XLOOKUP(
            1,
            (Table8[رقم الصنف]=A825) *
            (IF($B$9="الكل",1, YEAR('ادخال البيانات'!$N$3:$N$1164) = VALUE($B$9))) *
            (IF($B$10="الكل",1, MONTH('ادخال البيانات'!$N$3:$N$1164) = VALUE($B$10))) *
            (IF($B$11="الكل",1, INT((DAY('ادخال البيانات'!$N$3:$N$1164) - 1) / 7) + 1 = VALUE($B$11))),
            Table8[ملاحظة]
         ),
         ""
      ),
      IF(_xlpm.result="", "", _xlpm.result)
   )
)</f>
        <v/>
      </c>
      <c r="S825" s="46" t="str">
        <f t="shared" ca="1" si="13"/>
        <v/>
      </c>
    </row>
    <row r="826" spans="1:19" ht="15.6" thickTop="1" thickBot="1" x14ac:dyDescent="0.35">
      <c r="A826" s="39"/>
      <c r="B826" s="27" t="str" cm="1">
        <f t="array" ref="B826">IF(
   OR(A826="", $B$9="", $B$10="", $B$11=""),
   "",
   _xlfn.LET(
      _xlpm.result,
      IFERROR(
         _xlfn.XLOOKUP(
            1,
            (Table8[رقم الصنف]=A826)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6" s="27" t="str" cm="1">
        <f t="array" ref="C826">IF(
   A826="",
   "",
   _xlfn.LET(
      _xlpm.result,
      IFERROR(
         _xlfn.XLOOKUP(
            1,
            (Table8[رقم الصنف]=A826) *
            (IF($B$9="الكل",1, YEAR('ادخال البيانات'!$N$3:$N$1164) = VALUE($B$9))) *
            (IF($B$10="الكل",1, MONTH('ادخال البيانات'!$N$3:$N$1164) = VALUE($B$10))) *
            (IF($B$11="الكل",1, INT((DAY('ادخال البيانات'!$N$3:$N$1164)-1)/7)+1 = VALUE($B$11))),
            'ادخال البيانات'!$C$3:$C$1164
         ),
         ""
      ),
      IF(_xlpm.result="", "", _xlpm.result)
   )
)</f>
        <v/>
      </c>
      <c r="D826" s="27" t="str" cm="1">
        <f t="array" ref="D826">IF(
   OR(A826="", $B$9="", $B$10="", $B$11=""),
   "",
   _xlfn.LET(
      _xlpm.result,
      IFERROR(
         _xlfn.XLOOKUP(
            1,
            (Table8[رقم الصنف]=A826) *
            (IF($B$9="الكل",1, YEAR('ادخال البيانات'!$N$3:$N$1164)=VALUE($B$9))) *
            (IF($B$10="الكل",1, MONTH('ادخال البيانات'!$N$3:$N$1164)=VALUE($B$10))) *
            (IF($B$11="الكل",1, INT((DAY('ادخال البيانات'!$N$3:$N$1164)-1)/7)+1 = VALUE($B$11))),
            'ادخال البيانات'!$D$3:$D$1164
         ),
         ""
      ),
      IF(_xlpm.result="", "", _xlpm.result)
   )
)</f>
        <v/>
      </c>
      <c r="E826" s="27" t="str" cm="1">
        <f t="array" ref="E826">IF(
   A826="",
   "",
   _xlfn.LET(
      _xlpm.result,
      IFERROR(
         _xlfn.XLOOKUP(
            1,
            (Table8[رقم الصنف]=A826) *
            (IF($B$9="الكل",1, YEAR('ادخال البيانات'!$N$3:$N$1164)=VALUE($B$9))) *
            (IF($B$10="الكل",1, MONTH('ادخال البيانات'!$N$3:$N$1164)=VALUE($B$10))) *
            (IF($B$11="الكل",1, INT((DAY('ادخال البيانات'!$N$3:$N$1164)-1)/7)+1 = VALUE($B$11))),
            'ادخال البيانات'!$E$3:$E$1164
         ),
         ""
      ),
      IF(_xlpm.result="", "", _xlpm.result)
   )
)</f>
        <v/>
      </c>
      <c r="F826" s="27" t="str" cm="1">
        <f t="array" ref="F826">IF(
   A826="",
   "",
   _xlfn.LET(
      _xlpm.result,
      IFERROR(
         _xlfn.XLOOKUP(
            1,
            (Table8[رقم الصنف]=A826) *
            (IF($B$9="الكل",1, YEAR('ادخال البيانات'!$N$3:$N$1164) = VALUE($B$9))) *
            (IF($B$10="الكل",1, MONTH('ادخال البيانات'!$N$3:$N$1164) = VALUE($B$10))) *
            (IF($B$11="الكل",1, INT((DAY('ادخال البيانات'!$N$3:$N$1164)-1)/7)+1 = VALUE($B$11))),
            'ادخال البيانات'!$F$3:$F$1164
         ),
         ""
      ),
      IF(_xlpm.result="", "", _xlpm.result)
   )
)</f>
        <v/>
      </c>
      <c r="G826" s="27" t="str" cm="1">
        <f t="array" ref="G826">IF(
   A826="",
   "",
   _xlfn.LET(
      _xlpm.result,
      IFERROR(
         _xlfn.XLOOKUP(
            1,
            (Table8[رقم الصنف]=A826) *
            (IF($B$9="الكل",1, YEAR('ادخال البيانات'!$N$3:$N$1164)=VALUE($B$9))) *
            (IF($B$10="الكل",1, MONTH('ادخال البيانات'!$N$3:$N$1164)=VALUE($B$10))) *
            (IF($B$11="الكل",1, INT((DAY('ادخال البيانات'!$N$3:$N$1164)-1)/7)+1 = VALUE($B$11))),
            'ادخال البيانات'!$G$3:$G$1164
         ),
         ""
      ),
      IF(_xlpm.result="", "", _xlpm.result)
   )
)</f>
        <v/>
      </c>
      <c r="H826" s="27" t="str" cm="1">
        <f t="array" ref="H826">IF(
   A826="",
   "",
   _xlfn.LET(
      _xlpm.result,
      IFERROR(
         _xlfn.XLOOKUP(
            1,
            (Table8[رقم الصنف]=A826) *
            (IF($B$9="الكل",1, YEAR('ادخال البيانات'!$N$3:$N$1164)=VALUE($B$9))) *
            (IF($B$10="الكل",1, MONTH('ادخال البيانات'!$N$3:$N$1164)=VALUE($B$10))) *
            (IF($B$11="الكل",1, INT((DAY('ادخال البيانات'!$N$3:$N$1164)-1)/7)+1 = VALUE($B$11))),
            'ادخال البيانات'!$H$3:$H$1164
         ),
         ""
      ),
      IF(_xlpm.result="", "", _xlpm.result)
   )
)</f>
        <v/>
      </c>
      <c r="I826" s="27" t="str" cm="1">
        <f t="array" ref="I826">IF(
   A826="",
   "",
   _xlfn.LET(
      _xlpm.result,
      IFERROR(
         _xlfn.XLOOKUP(
            1,
            (Table8[رقم الصنف]=A826) *
            (IF($B$9="الكل",1, YEAR('ادخال البيانات'!$N$3:$N$1164)=VALUE($B$9))) *
            (IF($B$10="الكل",1, MONTH('ادخال البيانات'!$N$3:$N$1164)=VALUE($B$10))) *
            (IF($B$11="الكل",1, INT((DAY('ادخال البيانات'!$N$3:$N$1164)-1)/7)+1 = VALUE($B$11))),
            'ادخال البيانات'!$I$3:$I$1164
         ),
         ""
      ),
      IF(_xlpm.result="", "", _xlpm.result)
   )
)</f>
        <v/>
      </c>
      <c r="J826" s="27" t="str" cm="1">
        <f t="array" ref="J826">IF(
   A826="",
   "",
   _xlfn.LET(
      _xlpm.result,
      IFERROR(
         _xlfn.XLOOKUP(
            1,
            (Table8[رقم الصنف]=A826) *
            (IF($B$9="الكل",1, YEAR('ادخال البيانات'!$N$3:$N$1164)=VALUE($B$9))) *
            (IF($B$10="الكل",1, MONTH('ادخال البيانات'!$N$3:$N$1164)=VALUE($B$10))) *
            (IF($B$11="الكل",1, INT((DAY('ادخال البيانات'!$N$3:$N$1164)-1)/7)+1 = VALUE($B$11))),
            'ادخال البيانات'!$J$3:$J$1164
         ),
         ""
      ),
      IF(_xlpm.result="", "", _xlpm.result)
   )
)</f>
        <v/>
      </c>
      <c r="K826" s="27" t="str" cm="1">
        <f t="array" ref="K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6" s="27" t="str" cm="1">
        <f t="array" ref="L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6" s="27" t="str" cm="1">
        <f t="array" ref="M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6" s="28" t="str" cm="1">
        <f t="array" ref="N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6" s="28" t="str" cm="1">
        <f t="array" ref="O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6" s="27" t="str" cm="1">
        <f t="array" ref="P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Table8[جهة العطل]
         ),
         ""
      ),
      IF(_xlpm.result="", "", _xlpm.result)
   )
)</f>
        <v/>
      </c>
      <c r="Q826" s="27" t="str" cm="1">
        <f t="array" ref="Q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Table8[المركز]
         ),
         ""
      ),
      IF(_xlpm.result="", "", _xlpm.result)
   )
)</f>
        <v/>
      </c>
      <c r="R826" s="27" t="str" cm="1">
        <f t="array" ref="R826">IF(
   A826="",
   "",
   _xlfn.LET(
      _xlpm.result,
      IFERROR(
         _xlfn.XLOOKUP(
            1,
            (Table8[رقم الصنف]=A826) *
            (IF($B$9="الكل",1, YEAR('ادخال البيانات'!$N$3:$N$1164) = VALUE($B$9))) *
            (IF($B$10="الكل",1, MONTH('ادخال البيانات'!$N$3:$N$1164) = VALUE($B$10))) *
            (IF($B$11="الكل",1, INT((DAY('ادخال البيانات'!$N$3:$N$1164) - 1) / 7) + 1 = VALUE($B$11))),
            Table8[ملاحظة]
         ),
         ""
      ),
      IF(_xlpm.result="", "", _xlpm.result)
   )
)</f>
        <v/>
      </c>
      <c r="S826" s="46" t="str">
        <f t="shared" ca="1" si="13"/>
        <v/>
      </c>
    </row>
    <row r="827" spans="1:19" ht="15.6" thickTop="1" thickBot="1" x14ac:dyDescent="0.35">
      <c r="A827" s="39"/>
      <c r="B827" s="27" t="str" cm="1">
        <f t="array" ref="B827">IF(
   OR(A827="", $B$9="", $B$10="", $B$11=""),
   "",
   _xlfn.LET(
      _xlpm.result,
      IFERROR(
         _xlfn.XLOOKUP(
            1,
            (Table8[رقم الصنف]=A827)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7" s="27" t="str" cm="1">
        <f t="array" ref="C827">IF(
   A827="",
   "",
   _xlfn.LET(
      _xlpm.result,
      IFERROR(
         _xlfn.XLOOKUP(
            1,
            (Table8[رقم الصنف]=A827) *
            (IF($B$9="الكل",1, YEAR('ادخال البيانات'!$N$3:$N$1164) = VALUE($B$9))) *
            (IF($B$10="الكل",1, MONTH('ادخال البيانات'!$N$3:$N$1164) = VALUE($B$10))) *
            (IF($B$11="الكل",1, INT((DAY('ادخال البيانات'!$N$3:$N$1164)-1)/7)+1 = VALUE($B$11))),
            'ادخال البيانات'!$C$3:$C$1164
         ),
         ""
      ),
      IF(_xlpm.result="", "", _xlpm.result)
   )
)</f>
        <v/>
      </c>
      <c r="D827" s="27" t="str" cm="1">
        <f t="array" ref="D827">IF(
   OR(A827="", $B$9="", $B$10="", $B$11=""),
   "",
   _xlfn.LET(
      _xlpm.result,
      IFERROR(
         _xlfn.XLOOKUP(
            1,
            (Table8[رقم الصنف]=A827) *
            (IF($B$9="الكل",1, YEAR('ادخال البيانات'!$N$3:$N$1164)=VALUE($B$9))) *
            (IF($B$10="الكل",1, MONTH('ادخال البيانات'!$N$3:$N$1164)=VALUE($B$10))) *
            (IF($B$11="الكل",1, INT((DAY('ادخال البيانات'!$N$3:$N$1164)-1)/7)+1 = VALUE($B$11))),
            'ادخال البيانات'!$D$3:$D$1164
         ),
         ""
      ),
      IF(_xlpm.result="", "", _xlpm.result)
   )
)</f>
        <v/>
      </c>
      <c r="E827" s="27" t="str" cm="1">
        <f t="array" ref="E827">IF(
   A827="",
   "",
   _xlfn.LET(
      _xlpm.result,
      IFERROR(
         _xlfn.XLOOKUP(
            1,
            (Table8[رقم الصنف]=A827) *
            (IF($B$9="الكل",1, YEAR('ادخال البيانات'!$N$3:$N$1164)=VALUE($B$9))) *
            (IF($B$10="الكل",1, MONTH('ادخال البيانات'!$N$3:$N$1164)=VALUE($B$10))) *
            (IF($B$11="الكل",1, INT((DAY('ادخال البيانات'!$N$3:$N$1164)-1)/7)+1 = VALUE($B$11))),
            'ادخال البيانات'!$E$3:$E$1164
         ),
         ""
      ),
      IF(_xlpm.result="", "", _xlpm.result)
   )
)</f>
        <v/>
      </c>
      <c r="F827" s="27" t="str" cm="1">
        <f t="array" ref="F827">IF(
   A827="",
   "",
   _xlfn.LET(
      _xlpm.result,
      IFERROR(
         _xlfn.XLOOKUP(
            1,
            (Table8[رقم الصنف]=A827) *
            (IF($B$9="الكل",1, YEAR('ادخال البيانات'!$N$3:$N$1164) = VALUE($B$9))) *
            (IF($B$10="الكل",1, MONTH('ادخال البيانات'!$N$3:$N$1164) = VALUE($B$10))) *
            (IF($B$11="الكل",1, INT((DAY('ادخال البيانات'!$N$3:$N$1164)-1)/7)+1 = VALUE($B$11))),
            'ادخال البيانات'!$F$3:$F$1164
         ),
         ""
      ),
      IF(_xlpm.result="", "", _xlpm.result)
   )
)</f>
        <v/>
      </c>
      <c r="G827" s="27" t="str" cm="1">
        <f t="array" ref="G827">IF(
   A827="",
   "",
   _xlfn.LET(
      _xlpm.result,
      IFERROR(
         _xlfn.XLOOKUP(
            1,
            (Table8[رقم الصنف]=A827) *
            (IF($B$9="الكل",1, YEAR('ادخال البيانات'!$N$3:$N$1164)=VALUE($B$9))) *
            (IF($B$10="الكل",1, MONTH('ادخال البيانات'!$N$3:$N$1164)=VALUE($B$10))) *
            (IF($B$11="الكل",1, INT((DAY('ادخال البيانات'!$N$3:$N$1164)-1)/7)+1 = VALUE($B$11))),
            'ادخال البيانات'!$G$3:$G$1164
         ),
         ""
      ),
      IF(_xlpm.result="", "", _xlpm.result)
   )
)</f>
        <v/>
      </c>
      <c r="H827" s="27" t="str" cm="1">
        <f t="array" ref="H827">IF(
   A827="",
   "",
   _xlfn.LET(
      _xlpm.result,
      IFERROR(
         _xlfn.XLOOKUP(
            1,
            (Table8[رقم الصنف]=A827) *
            (IF($B$9="الكل",1, YEAR('ادخال البيانات'!$N$3:$N$1164)=VALUE($B$9))) *
            (IF($B$10="الكل",1, MONTH('ادخال البيانات'!$N$3:$N$1164)=VALUE($B$10))) *
            (IF($B$11="الكل",1, INT((DAY('ادخال البيانات'!$N$3:$N$1164)-1)/7)+1 = VALUE($B$11))),
            'ادخال البيانات'!$H$3:$H$1164
         ),
         ""
      ),
      IF(_xlpm.result="", "", _xlpm.result)
   )
)</f>
        <v/>
      </c>
      <c r="I827" s="27" t="str" cm="1">
        <f t="array" ref="I827">IF(
   A827="",
   "",
   _xlfn.LET(
      _xlpm.result,
      IFERROR(
         _xlfn.XLOOKUP(
            1,
            (Table8[رقم الصنف]=A827) *
            (IF($B$9="الكل",1, YEAR('ادخال البيانات'!$N$3:$N$1164)=VALUE($B$9))) *
            (IF($B$10="الكل",1, MONTH('ادخال البيانات'!$N$3:$N$1164)=VALUE($B$10))) *
            (IF($B$11="الكل",1, INT((DAY('ادخال البيانات'!$N$3:$N$1164)-1)/7)+1 = VALUE($B$11))),
            'ادخال البيانات'!$I$3:$I$1164
         ),
         ""
      ),
      IF(_xlpm.result="", "", _xlpm.result)
   )
)</f>
        <v/>
      </c>
      <c r="J827" s="27" t="str" cm="1">
        <f t="array" ref="J827">IF(
   A827="",
   "",
   _xlfn.LET(
      _xlpm.result,
      IFERROR(
         _xlfn.XLOOKUP(
            1,
            (Table8[رقم الصنف]=A827) *
            (IF($B$9="الكل",1, YEAR('ادخال البيانات'!$N$3:$N$1164)=VALUE($B$9))) *
            (IF($B$10="الكل",1, MONTH('ادخال البيانات'!$N$3:$N$1164)=VALUE($B$10))) *
            (IF($B$11="الكل",1, INT((DAY('ادخال البيانات'!$N$3:$N$1164)-1)/7)+1 = VALUE($B$11))),
            'ادخال البيانات'!$J$3:$J$1164
         ),
         ""
      ),
      IF(_xlpm.result="", "", _xlpm.result)
   )
)</f>
        <v/>
      </c>
      <c r="K827" s="27" t="str" cm="1">
        <f t="array" ref="K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7" s="27" t="str" cm="1">
        <f t="array" ref="L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7" s="27" t="str" cm="1">
        <f t="array" ref="M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7" s="28" t="str" cm="1">
        <f t="array" ref="N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7" s="28" t="str" cm="1">
        <f t="array" ref="O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7" s="27" t="str" cm="1">
        <f t="array" ref="P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Table8[جهة العطل]
         ),
         ""
      ),
      IF(_xlpm.result="", "", _xlpm.result)
   )
)</f>
        <v/>
      </c>
      <c r="Q827" s="27" t="str" cm="1">
        <f t="array" ref="Q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Table8[المركز]
         ),
         ""
      ),
      IF(_xlpm.result="", "", _xlpm.result)
   )
)</f>
        <v/>
      </c>
      <c r="R827" s="27" t="str" cm="1">
        <f t="array" ref="R827">IF(
   A827="",
   "",
   _xlfn.LET(
      _xlpm.result,
      IFERROR(
         _xlfn.XLOOKUP(
            1,
            (Table8[رقم الصنف]=A827) *
            (IF($B$9="الكل",1, YEAR('ادخال البيانات'!$N$3:$N$1164) = VALUE($B$9))) *
            (IF($B$10="الكل",1, MONTH('ادخال البيانات'!$N$3:$N$1164) = VALUE($B$10))) *
            (IF($B$11="الكل",1, INT((DAY('ادخال البيانات'!$N$3:$N$1164) - 1) / 7) + 1 = VALUE($B$11))),
            Table8[ملاحظة]
         ),
         ""
      ),
      IF(_xlpm.result="", "", _xlpm.result)
   )
)</f>
        <v/>
      </c>
      <c r="S827" s="46" t="str">
        <f t="shared" ca="1" si="13"/>
        <v/>
      </c>
    </row>
    <row r="828" spans="1:19" ht="15.6" thickTop="1" thickBot="1" x14ac:dyDescent="0.35">
      <c r="A828" s="39"/>
      <c r="B828" s="27" t="str" cm="1">
        <f t="array" ref="B828">IF(
   OR(A828="", $B$9="", $B$10="", $B$11=""),
   "",
   _xlfn.LET(
      _xlpm.result,
      IFERROR(
         _xlfn.XLOOKUP(
            1,
            (Table8[رقم الصنف]=A828)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8" s="27" t="str" cm="1">
        <f t="array" ref="C828">IF(
   A828="",
   "",
   _xlfn.LET(
      _xlpm.result,
      IFERROR(
         _xlfn.XLOOKUP(
            1,
            (Table8[رقم الصنف]=A828) *
            (IF($B$9="الكل",1, YEAR('ادخال البيانات'!$N$3:$N$1164) = VALUE($B$9))) *
            (IF($B$10="الكل",1, MONTH('ادخال البيانات'!$N$3:$N$1164) = VALUE($B$10))) *
            (IF($B$11="الكل",1, INT((DAY('ادخال البيانات'!$N$3:$N$1164)-1)/7)+1 = VALUE($B$11))),
            'ادخال البيانات'!$C$3:$C$1164
         ),
         ""
      ),
      IF(_xlpm.result="", "", _xlpm.result)
   )
)</f>
        <v/>
      </c>
      <c r="D828" s="27" t="str" cm="1">
        <f t="array" ref="D828">IF(
   OR(A828="", $B$9="", $B$10="", $B$11=""),
   "",
   _xlfn.LET(
      _xlpm.result,
      IFERROR(
         _xlfn.XLOOKUP(
            1,
            (Table8[رقم الصنف]=A828) *
            (IF($B$9="الكل",1, YEAR('ادخال البيانات'!$N$3:$N$1164)=VALUE($B$9))) *
            (IF($B$10="الكل",1, MONTH('ادخال البيانات'!$N$3:$N$1164)=VALUE($B$10))) *
            (IF($B$11="الكل",1, INT((DAY('ادخال البيانات'!$N$3:$N$1164)-1)/7)+1 = VALUE($B$11))),
            'ادخال البيانات'!$D$3:$D$1164
         ),
         ""
      ),
      IF(_xlpm.result="", "", _xlpm.result)
   )
)</f>
        <v/>
      </c>
      <c r="E828" s="27" t="str" cm="1">
        <f t="array" ref="E828">IF(
   A828="",
   "",
   _xlfn.LET(
      _xlpm.result,
      IFERROR(
         _xlfn.XLOOKUP(
            1,
            (Table8[رقم الصنف]=A828) *
            (IF($B$9="الكل",1, YEAR('ادخال البيانات'!$N$3:$N$1164)=VALUE($B$9))) *
            (IF($B$10="الكل",1, MONTH('ادخال البيانات'!$N$3:$N$1164)=VALUE($B$10))) *
            (IF($B$11="الكل",1, INT((DAY('ادخال البيانات'!$N$3:$N$1164)-1)/7)+1 = VALUE($B$11))),
            'ادخال البيانات'!$E$3:$E$1164
         ),
         ""
      ),
      IF(_xlpm.result="", "", _xlpm.result)
   )
)</f>
        <v/>
      </c>
      <c r="F828" s="27" t="str" cm="1">
        <f t="array" ref="F828">IF(
   A828="",
   "",
   _xlfn.LET(
      _xlpm.result,
      IFERROR(
         _xlfn.XLOOKUP(
            1,
            (Table8[رقم الصنف]=A828) *
            (IF($B$9="الكل",1, YEAR('ادخال البيانات'!$N$3:$N$1164) = VALUE($B$9))) *
            (IF($B$10="الكل",1, MONTH('ادخال البيانات'!$N$3:$N$1164) = VALUE($B$10))) *
            (IF($B$11="الكل",1, INT((DAY('ادخال البيانات'!$N$3:$N$1164)-1)/7)+1 = VALUE($B$11))),
            'ادخال البيانات'!$F$3:$F$1164
         ),
         ""
      ),
      IF(_xlpm.result="", "", _xlpm.result)
   )
)</f>
        <v/>
      </c>
      <c r="G828" s="27" t="str" cm="1">
        <f t="array" ref="G828">IF(
   A828="",
   "",
   _xlfn.LET(
      _xlpm.result,
      IFERROR(
         _xlfn.XLOOKUP(
            1,
            (Table8[رقم الصنف]=A828) *
            (IF($B$9="الكل",1, YEAR('ادخال البيانات'!$N$3:$N$1164)=VALUE($B$9))) *
            (IF($B$10="الكل",1, MONTH('ادخال البيانات'!$N$3:$N$1164)=VALUE($B$10))) *
            (IF($B$11="الكل",1, INT((DAY('ادخال البيانات'!$N$3:$N$1164)-1)/7)+1 = VALUE($B$11))),
            'ادخال البيانات'!$G$3:$G$1164
         ),
         ""
      ),
      IF(_xlpm.result="", "", _xlpm.result)
   )
)</f>
        <v/>
      </c>
      <c r="H828" s="27" t="str" cm="1">
        <f t="array" ref="H828">IF(
   A828="",
   "",
   _xlfn.LET(
      _xlpm.result,
      IFERROR(
         _xlfn.XLOOKUP(
            1,
            (Table8[رقم الصنف]=A828) *
            (IF($B$9="الكل",1, YEAR('ادخال البيانات'!$N$3:$N$1164)=VALUE($B$9))) *
            (IF($B$10="الكل",1, MONTH('ادخال البيانات'!$N$3:$N$1164)=VALUE($B$10))) *
            (IF($B$11="الكل",1, INT((DAY('ادخال البيانات'!$N$3:$N$1164)-1)/7)+1 = VALUE($B$11))),
            'ادخال البيانات'!$H$3:$H$1164
         ),
         ""
      ),
      IF(_xlpm.result="", "", _xlpm.result)
   )
)</f>
        <v/>
      </c>
      <c r="I828" s="27" t="str" cm="1">
        <f t="array" ref="I828">IF(
   A828="",
   "",
   _xlfn.LET(
      _xlpm.result,
      IFERROR(
         _xlfn.XLOOKUP(
            1,
            (Table8[رقم الصنف]=A828) *
            (IF($B$9="الكل",1, YEAR('ادخال البيانات'!$N$3:$N$1164)=VALUE($B$9))) *
            (IF($B$10="الكل",1, MONTH('ادخال البيانات'!$N$3:$N$1164)=VALUE($B$10))) *
            (IF($B$11="الكل",1, INT((DAY('ادخال البيانات'!$N$3:$N$1164)-1)/7)+1 = VALUE($B$11))),
            'ادخال البيانات'!$I$3:$I$1164
         ),
         ""
      ),
      IF(_xlpm.result="", "", _xlpm.result)
   )
)</f>
        <v/>
      </c>
      <c r="J828" s="27" t="str" cm="1">
        <f t="array" ref="J828">IF(
   A828="",
   "",
   _xlfn.LET(
      _xlpm.result,
      IFERROR(
         _xlfn.XLOOKUP(
            1,
            (Table8[رقم الصنف]=A828) *
            (IF($B$9="الكل",1, YEAR('ادخال البيانات'!$N$3:$N$1164)=VALUE($B$9))) *
            (IF($B$10="الكل",1, MONTH('ادخال البيانات'!$N$3:$N$1164)=VALUE($B$10))) *
            (IF($B$11="الكل",1, INT((DAY('ادخال البيانات'!$N$3:$N$1164)-1)/7)+1 = VALUE($B$11))),
            'ادخال البيانات'!$J$3:$J$1164
         ),
         ""
      ),
      IF(_xlpm.result="", "", _xlpm.result)
   )
)</f>
        <v/>
      </c>
      <c r="K828" s="27" t="str" cm="1">
        <f t="array" ref="K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8" s="27" t="str" cm="1">
        <f t="array" ref="L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8" s="27" t="str" cm="1">
        <f t="array" ref="M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8" s="28" t="str" cm="1">
        <f t="array" ref="N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8" s="28" t="str" cm="1">
        <f t="array" ref="O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8" s="27" t="str" cm="1">
        <f t="array" ref="P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Table8[جهة العطل]
         ),
         ""
      ),
      IF(_xlpm.result="", "", _xlpm.result)
   )
)</f>
        <v/>
      </c>
      <c r="Q828" s="27" t="str" cm="1">
        <f t="array" ref="Q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Table8[المركز]
         ),
         ""
      ),
      IF(_xlpm.result="", "", _xlpm.result)
   )
)</f>
        <v/>
      </c>
      <c r="R828" s="27" t="str" cm="1">
        <f t="array" ref="R828">IF(
   A828="",
   "",
   _xlfn.LET(
      _xlpm.result,
      IFERROR(
         _xlfn.XLOOKUP(
            1,
            (Table8[رقم الصنف]=A828) *
            (IF($B$9="الكل",1, YEAR('ادخال البيانات'!$N$3:$N$1164) = VALUE($B$9))) *
            (IF($B$10="الكل",1, MONTH('ادخال البيانات'!$N$3:$N$1164) = VALUE($B$10))) *
            (IF($B$11="الكل",1, INT((DAY('ادخال البيانات'!$N$3:$N$1164) - 1) / 7) + 1 = VALUE($B$11))),
            Table8[ملاحظة]
         ),
         ""
      ),
      IF(_xlpm.result="", "", _xlpm.result)
   )
)</f>
        <v/>
      </c>
      <c r="S828" s="46" t="str">
        <f t="shared" ca="1" si="13"/>
        <v/>
      </c>
    </row>
    <row r="829" spans="1:19" ht="15.6" thickTop="1" thickBot="1" x14ac:dyDescent="0.35">
      <c r="A829" s="39"/>
      <c r="B829" s="27" t="str" cm="1">
        <f t="array" ref="B829">IF(
   OR(A829="", $B$9="", $B$10="", $B$11=""),
   "",
   _xlfn.LET(
      _xlpm.result,
      IFERROR(
         _xlfn.XLOOKUP(
            1,
            (Table8[رقم الصنف]=A829)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29" s="27" t="str" cm="1">
        <f t="array" ref="C829">IF(
   A829="",
   "",
   _xlfn.LET(
      _xlpm.result,
      IFERROR(
         _xlfn.XLOOKUP(
            1,
            (Table8[رقم الصنف]=A829) *
            (IF($B$9="الكل",1, YEAR('ادخال البيانات'!$N$3:$N$1164) = VALUE($B$9))) *
            (IF($B$10="الكل",1, MONTH('ادخال البيانات'!$N$3:$N$1164) = VALUE($B$10))) *
            (IF($B$11="الكل",1, INT((DAY('ادخال البيانات'!$N$3:$N$1164)-1)/7)+1 = VALUE($B$11))),
            'ادخال البيانات'!$C$3:$C$1164
         ),
         ""
      ),
      IF(_xlpm.result="", "", _xlpm.result)
   )
)</f>
        <v/>
      </c>
      <c r="D829" s="27" t="str" cm="1">
        <f t="array" ref="D829">IF(
   OR(A829="", $B$9="", $B$10="", $B$11=""),
   "",
   _xlfn.LET(
      _xlpm.result,
      IFERROR(
         _xlfn.XLOOKUP(
            1,
            (Table8[رقم الصنف]=A829) *
            (IF($B$9="الكل",1, YEAR('ادخال البيانات'!$N$3:$N$1164)=VALUE($B$9))) *
            (IF($B$10="الكل",1, MONTH('ادخال البيانات'!$N$3:$N$1164)=VALUE($B$10))) *
            (IF($B$11="الكل",1, INT((DAY('ادخال البيانات'!$N$3:$N$1164)-1)/7)+1 = VALUE($B$11))),
            'ادخال البيانات'!$D$3:$D$1164
         ),
         ""
      ),
      IF(_xlpm.result="", "", _xlpm.result)
   )
)</f>
        <v/>
      </c>
      <c r="E829" s="27" t="str" cm="1">
        <f t="array" ref="E829">IF(
   A829="",
   "",
   _xlfn.LET(
      _xlpm.result,
      IFERROR(
         _xlfn.XLOOKUP(
            1,
            (Table8[رقم الصنف]=A829) *
            (IF($B$9="الكل",1, YEAR('ادخال البيانات'!$N$3:$N$1164)=VALUE($B$9))) *
            (IF($B$10="الكل",1, MONTH('ادخال البيانات'!$N$3:$N$1164)=VALUE($B$10))) *
            (IF($B$11="الكل",1, INT((DAY('ادخال البيانات'!$N$3:$N$1164)-1)/7)+1 = VALUE($B$11))),
            'ادخال البيانات'!$E$3:$E$1164
         ),
         ""
      ),
      IF(_xlpm.result="", "", _xlpm.result)
   )
)</f>
        <v/>
      </c>
      <c r="F829" s="27" t="str" cm="1">
        <f t="array" ref="F829">IF(
   A829="",
   "",
   _xlfn.LET(
      _xlpm.result,
      IFERROR(
         _xlfn.XLOOKUP(
            1,
            (Table8[رقم الصنف]=A829) *
            (IF($B$9="الكل",1, YEAR('ادخال البيانات'!$N$3:$N$1164) = VALUE($B$9))) *
            (IF($B$10="الكل",1, MONTH('ادخال البيانات'!$N$3:$N$1164) = VALUE($B$10))) *
            (IF($B$11="الكل",1, INT((DAY('ادخال البيانات'!$N$3:$N$1164)-1)/7)+1 = VALUE($B$11))),
            'ادخال البيانات'!$F$3:$F$1164
         ),
         ""
      ),
      IF(_xlpm.result="", "", _xlpm.result)
   )
)</f>
        <v/>
      </c>
      <c r="G829" s="27" t="str" cm="1">
        <f t="array" ref="G829">IF(
   A829="",
   "",
   _xlfn.LET(
      _xlpm.result,
      IFERROR(
         _xlfn.XLOOKUP(
            1,
            (Table8[رقم الصنف]=A829) *
            (IF($B$9="الكل",1, YEAR('ادخال البيانات'!$N$3:$N$1164)=VALUE($B$9))) *
            (IF($B$10="الكل",1, MONTH('ادخال البيانات'!$N$3:$N$1164)=VALUE($B$10))) *
            (IF($B$11="الكل",1, INT((DAY('ادخال البيانات'!$N$3:$N$1164)-1)/7)+1 = VALUE($B$11))),
            'ادخال البيانات'!$G$3:$G$1164
         ),
         ""
      ),
      IF(_xlpm.result="", "", _xlpm.result)
   )
)</f>
        <v/>
      </c>
      <c r="H829" s="27" t="str" cm="1">
        <f t="array" ref="H829">IF(
   A829="",
   "",
   _xlfn.LET(
      _xlpm.result,
      IFERROR(
         _xlfn.XLOOKUP(
            1,
            (Table8[رقم الصنف]=A829) *
            (IF($B$9="الكل",1, YEAR('ادخال البيانات'!$N$3:$N$1164)=VALUE($B$9))) *
            (IF($B$10="الكل",1, MONTH('ادخال البيانات'!$N$3:$N$1164)=VALUE($B$10))) *
            (IF($B$11="الكل",1, INT((DAY('ادخال البيانات'!$N$3:$N$1164)-1)/7)+1 = VALUE($B$11))),
            'ادخال البيانات'!$H$3:$H$1164
         ),
         ""
      ),
      IF(_xlpm.result="", "", _xlpm.result)
   )
)</f>
        <v/>
      </c>
      <c r="I829" s="27" t="str" cm="1">
        <f t="array" ref="I829">IF(
   A829="",
   "",
   _xlfn.LET(
      _xlpm.result,
      IFERROR(
         _xlfn.XLOOKUP(
            1,
            (Table8[رقم الصنف]=A829) *
            (IF($B$9="الكل",1, YEAR('ادخال البيانات'!$N$3:$N$1164)=VALUE($B$9))) *
            (IF($B$10="الكل",1, MONTH('ادخال البيانات'!$N$3:$N$1164)=VALUE($B$10))) *
            (IF($B$11="الكل",1, INT((DAY('ادخال البيانات'!$N$3:$N$1164)-1)/7)+1 = VALUE($B$11))),
            'ادخال البيانات'!$I$3:$I$1164
         ),
         ""
      ),
      IF(_xlpm.result="", "", _xlpm.result)
   )
)</f>
        <v/>
      </c>
      <c r="J829" s="27" t="str" cm="1">
        <f t="array" ref="J829">IF(
   A829="",
   "",
   _xlfn.LET(
      _xlpm.result,
      IFERROR(
         _xlfn.XLOOKUP(
            1,
            (Table8[رقم الصنف]=A829) *
            (IF($B$9="الكل",1, YEAR('ادخال البيانات'!$N$3:$N$1164)=VALUE($B$9))) *
            (IF($B$10="الكل",1, MONTH('ادخال البيانات'!$N$3:$N$1164)=VALUE($B$10))) *
            (IF($B$11="الكل",1, INT((DAY('ادخال البيانات'!$N$3:$N$1164)-1)/7)+1 = VALUE($B$11))),
            'ادخال البيانات'!$J$3:$J$1164
         ),
         ""
      ),
      IF(_xlpm.result="", "", _xlpm.result)
   )
)</f>
        <v/>
      </c>
      <c r="K829" s="27" t="str" cm="1">
        <f t="array" ref="K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29" s="27" t="str" cm="1">
        <f t="array" ref="L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29" s="27" t="str" cm="1">
        <f t="array" ref="M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29" s="28" t="str" cm="1">
        <f t="array" ref="N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29" s="28" t="str" cm="1">
        <f t="array" ref="O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29" s="27" t="str" cm="1">
        <f t="array" ref="P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Table8[جهة العطل]
         ),
         ""
      ),
      IF(_xlpm.result="", "", _xlpm.result)
   )
)</f>
        <v/>
      </c>
      <c r="Q829" s="27" t="str" cm="1">
        <f t="array" ref="Q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Table8[المركز]
         ),
         ""
      ),
      IF(_xlpm.result="", "", _xlpm.result)
   )
)</f>
        <v/>
      </c>
      <c r="R829" s="27" t="str" cm="1">
        <f t="array" ref="R829">IF(
   A829="",
   "",
   _xlfn.LET(
      _xlpm.result,
      IFERROR(
         _xlfn.XLOOKUP(
            1,
            (Table8[رقم الصنف]=A829) *
            (IF($B$9="الكل",1, YEAR('ادخال البيانات'!$N$3:$N$1164) = VALUE($B$9))) *
            (IF($B$10="الكل",1, MONTH('ادخال البيانات'!$N$3:$N$1164) = VALUE($B$10))) *
            (IF($B$11="الكل",1, INT((DAY('ادخال البيانات'!$N$3:$N$1164) - 1) / 7) + 1 = VALUE($B$11))),
            Table8[ملاحظة]
         ),
         ""
      ),
      IF(_xlpm.result="", "", _xlpm.result)
   )
)</f>
        <v/>
      </c>
      <c r="S829" s="46" t="str">
        <f t="shared" ca="1" si="13"/>
        <v/>
      </c>
    </row>
    <row r="830" spans="1:19" ht="15.6" thickTop="1" thickBot="1" x14ac:dyDescent="0.35">
      <c r="A830" s="39"/>
      <c r="B830" s="27" t="str" cm="1">
        <f t="array" ref="B830">IF(
   OR(A830="", $B$9="", $B$10="", $B$11=""),
   "",
   _xlfn.LET(
      _xlpm.result,
      IFERROR(
         _xlfn.XLOOKUP(
            1,
            (Table8[رقم الصنف]=A830)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0" s="27" t="str" cm="1">
        <f t="array" ref="C830">IF(
   A830="",
   "",
   _xlfn.LET(
      _xlpm.result,
      IFERROR(
         _xlfn.XLOOKUP(
            1,
            (Table8[رقم الصنف]=A830) *
            (IF($B$9="الكل",1, YEAR('ادخال البيانات'!$N$3:$N$1164) = VALUE($B$9))) *
            (IF($B$10="الكل",1, MONTH('ادخال البيانات'!$N$3:$N$1164) = VALUE($B$10))) *
            (IF($B$11="الكل",1, INT((DAY('ادخال البيانات'!$N$3:$N$1164)-1)/7)+1 = VALUE($B$11))),
            'ادخال البيانات'!$C$3:$C$1164
         ),
         ""
      ),
      IF(_xlpm.result="", "", _xlpm.result)
   )
)</f>
        <v/>
      </c>
      <c r="D830" s="27" t="str" cm="1">
        <f t="array" ref="D830">IF(
   OR(A830="", $B$9="", $B$10="", $B$11=""),
   "",
   _xlfn.LET(
      _xlpm.result,
      IFERROR(
         _xlfn.XLOOKUP(
            1,
            (Table8[رقم الصنف]=A830) *
            (IF($B$9="الكل",1, YEAR('ادخال البيانات'!$N$3:$N$1164)=VALUE($B$9))) *
            (IF($B$10="الكل",1, MONTH('ادخال البيانات'!$N$3:$N$1164)=VALUE($B$10))) *
            (IF($B$11="الكل",1, INT((DAY('ادخال البيانات'!$N$3:$N$1164)-1)/7)+1 = VALUE($B$11))),
            'ادخال البيانات'!$D$3:$D$1164
         ),
         ""
      ),
      IF(_xlpm.result="", "", _xlpm.result)
   )
)</f>
        <v/>
      </c>
      <c r="E830" s="27" t="str" cm="1">
        <f t="array" ref="E830">IF(
   A830="",
   "",
   _xlfn.LET(
      _xlpm.result,
      IFERROR(
         _xlfn.XLOOKUP(
            1,
            (Table8[رقم الصنف]=A830) *
            (IF($B$9="الكل",1, YEAR('ادخال البيانات'!$N$3:$N$1164)=VALUE($B$9))) *
            (IF($B$10="الكل",1, MONTH('ادخال البيانات'!$N$3:$N$1164)=VALUE($B$10))) *
            (IF($B$11="الكل",1, INT((DAY('ادخال البيانات'!$N$3:$N$1164)-1)/7)+1 = VALUE($B$11))),
            'ادخال البيانات'!$E$3:$E$1164
         ),
         ""
      ),
      IF(_xlpm.result="", "", _xlpm.result)
   )
)</f>
        <v/>
      </c>
      <c r="F830" s="27" t="str" cm="1">
        <f t="array" ref="F830">IF(
   A830="",
   "",
   _xlfn.LET(
      _xlpm.result,
      IFERROR(
         _xlfn.XLOOKUP(
            1,
            (Table8[رقم الصنف]=A830) *
            (IF($B$9="الكل",1, YEAR('ادخال البيانات'!$N$3:$N$1164) = VALUE($B$9))) *
            (IF($B$10="الكل",1, MONTH('ادخال البيانات'!$N$3:$N$1164) = VALUE($B$10))) *
            (IF($B$11="الكل",1, INT((DAY('ادخال البيانات'!$N$3:$N$1164)-1)/7)+1 = VALUE($B$11))),
            'ادخال البيانات'!$F$3:$F$1164
         ),
         ""
      ),
      IF(_xlpm.result="", "", _xlpm.result)
   )
)</f>
        <v/>
      </c>
      <c r="G830" s="27" t="str" cm="1">
        <f t="array" ref="G830">IF(
   A830="",
   "",
   _xlfn.LET(
      _xlpm.result,
      IFERROR(
         _xlfn.XLOOKUP(
            1,
            (Table8[رقم الصنف]=A830) *
            (IF($B$9="الكل",1, YEAR('ادخال البيانات'!$N$3:$N$1164)=VALUE($B$9))) *
            (IF($B$10="الكل",1, MONTH('ادخال البيانات'!$N$3:$N$1164)=VALUE($B$10))) *
            (IF($B$11="الكل",1, INT((DAY('ادخال البيانات'!$N$3:$N$1164)-1)/7)+1 = VALUE($B$11))),
            'ادخال البيانات'!$G$3:$G$1164
         ),
         ""
      ),
      IF(_xlpm.result="", "", _xlpm.result)
   )
)</f>
        <v/>
      </c>
      <c r="H830" s="27" t="str" cm="1">
        <f t="array" ref="H830">IF(
   A830="",
   "",
   _xlfn.LET(
      _xlpm.result,
      IFERROR(
         _xlfn.XLOOKUP(
            1,
            (Table8[رقم الصنف]=A830) *
            (IF($B$9="الكل",1, YEAR('ادخال البيانات'!$N$3:$N$1164)=VALUE($B$9))) *
            (IF($B$10="الكل",1, MONTH('ادخال البيانات'!$N$3:$N$1164)=VALUE($B$10))) *
            (IF($B$11="الكل",1, INT((DAY('ادخال البيانات'!$N$3:$N$1164)-1)/7)+1 = VALUE($B$11))),
            'ادخال البيانات'!$H$3:$H$1164
         ),
         ""
      ),
      IF(_xlpm.result="", "", _xlpm.result)
   )
)</f>
        <v/>
      </c>
      <c r="I830" s="27" t="str" cm="1">
        <f t="array" ref="I830">IF(
   A830="",
   "",
   _xlfn.LET(
      _xlpm.result,
      IFERROR(
         _xlfn.XLOOKUP(
            1,
            (Table8[رقم الصنف]=A830) *
            (IF($B$9="الكل",1, YEAR('ادخال البيانات'!$N$3:$N$1164)=VALUE($B$9))) *
            (IF($B$10="الكل",1, MONTH('ادخال البيانات'!$N$3:$N$1164)=VALUE($B$10))) *
            (IF($B$11="الكل",1, INT((DAY('ادخال البيانات'!$N$3:$N$1164)-1)/7)+1 = VALUE($B$11))),
            'ادخال البيانات'!$I$3:$I$1164
         ),
         ""
      ),
      IF(_xlpm.result="", "", _xlpm.result)
   )
)</f>
        <v/>
      </c>
      <c r="J830" s="27" t="str" cm="1">
        <f t="array" ref="J830">IF(
   A830="",
   "",
   _xlfn.LET(
      _xlpm.result,
      IFERROR(
         _xlfn.XLOOKUP(
            1,
            (Table8[رقم الصنف]=A830) *
            (IF($B$9="الكل",1, YEAR('ادخال البيانات'!$N$3:$N$1164)=VALUE($B$9))) *
            (IF($B$10="الكل",1, MONTH('ادخال البيانات'!$N$3:$N$1164)=VALUE($B$10))) *
            (IF($B$11="الكل",1, INT((DAY('ادخال البيانات'!$N$3:$N$1164)-1)/7)+1 = VALUE($B$11))),
            'ادخال البيانات'!$J$3:$J$1164
         ),
         ""
      ),
      IF(_xlpm.result="", "", _xlpm.result)
   )
)</f>
        <v/>
      </c>
      <c r="K830" s="27" t="str" cm="1">
        <f t="array" ref="K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0" s="27" t="str" cm="1">
        <f t="array" ref="L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0" s="27" t="str" cm="1">
        <f t="array" ref="M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0" s="28" t="str" cm="1">
        <f t="array" ref="N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0" s="28" t="str" cm="1">
        <f t="array" ref="O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0" s="27" t="str" cm="1">
        <f t="array" ref="P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Table8[جهة العطل]
         ),
         ""
      ),
      IF(_xlpm.result="", "", _xlpm.result)
   )
)</f>
        <v/>
      </c>
      <c r="Q830" s="27" t="str" cm="1">
        <f t="array" ref="Q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Table8[المركز]
         ),
         ""
      ),
      IF(_xlpm.result="", "", _xlpm.result)
   )
)</f>
        <v/>
      </c>
      <c r="R830" s="27" t="str" cm="1">
        <f t="array" ref="R830">IF(
   A830="",
   "",
   _xlfn.LET(
      _xlpm.result,
      IFERROR(
         _xlfn.XLOOKUP(
            1,
            (Table8[رقم الصنف]=A830) *
            (IF($B$9="الكل",1, YEAR('ادخال البيانات'!$N$3:$N$1164) = VALUE($B$9))) *
            (IF($B$10="الكل",1, MONTH('ادخال البيانات'!$N$3:$N$1164) = VALUE($B$10))) *
            (IF($B$11="الكل",1, INT((DAY('ادخال البيانات'!$N$3:$N$1164) - 1) / 7) + 1 = VALUE($B$11))),
            Table8[ملاحظة]
         ),
         ""
      ),
      IF(_xlpm.result="", "", _xlpm.result)
   )
)</f>
        <v/>
      </c>
      <c r="S830" s="46" t="str">
        <f t="shared" ca="1" si="13"/>
        <v/>
      </c>
    </row>
    <row r="831" spans="1:19" ht="15.6" thickTop="1" thickBot="1" x14ac:dyDescent="0.35">
      <c r="A831" s="39"/>
      <c r="B831" s="27" t="str" cm="1">
        <f t="array" ref="B831">IF(
   OR(A831="", $B$9="", $B$10="", $B$11=""),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1" s="27" t="str" cm="1">
        <f t="array" ref="C831">IF(
   A831="",
   "",
   _xlfn.LET(
      _xlpm.result,
      IFERROR(
         _xlfn.XLOOKUP(
            1,
            (Table8[رقم الصنف]=A831) *
            (IF($B$9="الكل",1, YEAR('ادخال البيانات'!$N$3:$N$1164) = VALUE($B$9))) *
            (IF($B$10="الكل",1, MONTH('ادخال البيانات'!$N$3:$N$1164) = VALUE($B$10))) *
            (IF($B$11="الكل",1, INT((DAY('ادخال البيانات'!$N$3:$N$1164)-1)/7)+1 = VALUE($B$11))),
            'ادخال البيانات'!$C$3:$C$1164
         ),
         ""
      ),
      IF(_xlpm.result="", "", _xlpm.result)
   )
)</f>
        <v/>
      </c>
      <c r="D831" s="27" t="str" cm="1">
        <f t="array" ref="D831">IF(
   OR(A831="", $B$9="", $B$10="", $B$11=""),
   "",
   _xlfn.LET(
      _xlpm.result,
      IFERROR(
         _xlfn.XLOOKUP(
            1,
            (Table8[رقم الصنف]=A831) *
            (IF($B$9="الكل",1, YEAR('ادخال البيانات'!$N$3:$N$1164)=VALUE($B$9))) *
            (IF($B$10="الكل",1, MONTH('ادخال البيانات'!$N$3:$N$1164)=VALUE($B$10))) *
            (IF($B$11="الكل",1, INT((DAY('ادخال البيانات'!$N$3:$N$1164)-1)/7)+1 = VALUE($B$11))),
            'ادخال البيانات'!$D$3:$D$1164
         ),
         ""
      ),
      IF(_xlpm.result="", "", _xlpm.result)
   )
)</f>
        <v/>
      </c>
      <c r="E831" s="27" t="str" cm="1">
        <f t="array" ref="E831">IF(
   A831="",
   "",
   _xlfn.LET(
      _xlpm.result,
      IFERROR(
         _xlfn.XLOOKUP(
            1,
            (Table8[رقم الصنف]=A831) *
            (IF($B$9="الكل",1, YEAR('ادخال البيانات'!$N$3:$N$1164)=VALUE($B$9))) *
            (IF($B$10="الكل",1, MONTH('ادخال البيانات'!$N$3:$N$1164)=VALUE($B$10))) *
            (IF($B$11="الكل",1, INT((DAY('ادخال البيانات'!$N$3:$N$1164)-1)/7)+1 = VALUE($B$11))),
            'ادخال البيانات'!$E$3:$E$1164
         ),
         ""
      ),
      IF(_xlpm.result="", "", _xlpm.result)
   )
)</f>
        <v/>
      </c>
      <c r="F831" s="27" t="str" cm="1">
        <f t="array" ref="F831">IF(
   A831="",
   "",
   _xlfn.LET(
      _xlpm.result,
      IFERROR(
         _xlfn.XLOOKUP(
            1,
            (Table8[رقم الصنف]=A831) *
            (IF($B$9="الكل",1, YEAR('ادخال البيانات'!$N$3:$N$1164) = VALUE($B$9))) *
            (IF($B$10="الكل",1, MONTH('ادخال البيانات'!$N$3:$N$1164) = VALUE($B$10))) *
            (IF($B$11="الكل",1, INT((DAY('ادخال البيانات'!$N$3:$N$1164)-1)/7)+1 = VALUE($B$11))),
            'ادخال البيانات'!$F$3:$F$1164
         ),
         ""
      ),
      IF(_xlpm.result="", "", _xlpm.result)
   )
)</f>
        <v/>
      </c>
      <c r="G831" s="27" t="str" cm="1">
        <f t="array" ref="G831">IF(
   A831="",
   "",
   _xlfn.LET(
      _xlpm.result,
      IFERROR(
         _xlfn.XLOOKUP(
            1,
            (Table8[رقم الصنف]=A831) *
            (IF($B$9="الكل",1, YEAR('ادخال البيانات'!$N$3:$N$1164)=VALUE($B$9))) *
            (IF($B$10="الكل",1, MONTH('ادخال البيانات'!$N$3:$N$1164)=VALUE($B$10))) *
            (IF($B$11="الكل",1, INT((DAY('ادخال البيانات'!$N$3:$N$1164)-1)/7)+1 = VALUE($B$11))),
            'ادخال البيانات'!$G$3:$G$1164
         ),
         ""
      ),
      IF(_xlpm.result="", "", _xlpm.result)
   )
)</f>
        <v/>
      </c>
      <c r="H831" s="27" t="str" cm="1">
        <f t="array" ref="H831">IF(
   A831="",
   "",
   _xlfn.LET(
      _xlpm.result,
      IFERROR(
         _xlfn.XLOOKUP(
            1,
            (Table8[رقم الصنف]=A831) *
            (IF($B$9="الكل",1, YEAR('ادخال البيانات'!$N$3:$N$1164)=VALUE($B$9))) *
            (IF($B$10="الكل",1, MONTH('ادخال البيانات'!$N$3:$N$1164)=VALUE($B$10))) *
            (IF($B$11="الكل",1, INT((DAY('ادخال البيانات'!$N$3:$N$1164)-1)/7)+1 = VALUE($B$11))),
            'ادخال البيانات'!$H$3:$H$1164
         ),
         ""
      ),
      IF(_xlpm.result="", "", _xlpm.result)
   )
)</f>
        <v/>
      </c>
      <c r="I831" s="27" t="str" cm="1">
        <f t="array" ref="I831">IF(
   A831="",
   "",
   _xlfn.LET(
      _xlpm.result,
      IFERROR(
         _xlfn.XLOOKUP(
            1,
            (Table8[رقم الصنف]=A831) *
            (IF($B$9="الكل",1, YEAR('ادخال البيانات'!$N$3:$N$1164)=VALUE($B$9))) *
            (IF($B$10="الكل",1, MONTH('ادخال البيانات'!$N$3:$N$1164)=VALUE($B$10))) *
            (IF($B$11="الكل",1, INT((DAY('ادخال البيانات'!$N$3:$N$1164)-1)/7)+1 = VALUE($B$11))),
            'ادخال البيانات'!$I$3:$I$1164
         ),
         ""
      ),
      IF(_xlpm.result="", "", _xlpm.result)
   )
)</f>
        <v/>
      </c>
      <c r="J831" s="27" t="str" cm="1">
        <f t="array" ref="J831">IF(
   A831="",
   "",
   _xlfn.LET(
      _xlpm.result,
      IFERROR(
         _xlfn.XLOOKUP(
            1,
            (Table8[رقم الصنف]=A831) *
            (IF($B$9="الكل",1, YEAR('ادخال البيانات'!$N$3:$N$1164)=VALUE($B$9))) *
            (IF($B$10="الكل",1, MONTH('ادخال البيانات'!$N$3:$N$1164)=VALUE($B$10))) *
            (IF($B$11="الكل",1, INT((DAY('ادخال البيانات'!$N$3:$N$1164)-1)/7)+1 = VALUE($B$11))),
            'ادخال البيانات'!$J$3:$J$1164
         ),
         ""
      ),
      IF(_xlpm.result="", "", _xlpm.result)
   )
)</f>
        <v/>
      </c>
      <c r="K831" s="27" t="str" cm="1">
        <f t="array" ref="K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1" s="27" t="str" cm="1">
        <f t="array" ref="L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1" s="27" t="str" cm="1">
        <f t="array" ref="M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1" s="28" t="str" cm="1">
        <f t="array" ref="N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1" s="28" t="str" cm="1">
        <f t="array" ref="O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1" s="27" t="str" cm="1">
        <f t="array" ref="P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Table8[جهة العطل]
         ),
         ""
      ),
      IF(_xlpm.result="", "", _xlpm.result)
   )
)</f>
        <v/>
      </c>
      <c r="Q831" s="27" t="str" cm="1">
        <f t="array" ref="Q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Table8[المركز]
         ),
         ""
      ),
      IF(_xlpm.result="", "", _xlpm.result)
   )
)</f>
        <v/>
      </c>
      <c r="R831" s="27" t="str" cm="1">
        <f t="array" ref="R831">IF(
   A831="",
   "",
   _xlfn.LET(
      _xlpm.result,
      IFERROR(
         _xlfn.XLOOKUP(
            1,
            (Table8[رقم الصنف]=A831) *
            (IF($B$9="الكل",1, YEAR('ادخال البيانات'!$N$3:$N$1164) = VALUE($B$9))) *
            (IF($B$10="الكل",1, MONTH('ادخال البيانات'!$N$3:$N$1164) = VALUE($B$10))) *
            (IF($B$11="الكل",1, INT((DAY('ادخال البيانات'!$N$3:$N$1164) - 1) / 7) + 1 = VALUE($B$11))),
            Table8[ملاحظة]
         ),
         ""
      ),
      IF(_xlpm.result="", "", _xlpm.result)
   )
)</f>
        <v/>
      </c>
      <c r="S831" s="46" t="str">
        <f t="shared" ca="1" si="13"/>
        <v/>
      </c>
    </row>
    <row r="832" spans="1:19" ht="15.6" thickTop="1" thickBot="1" x14ac:dyDescent="0.35">
      <c r="A832" s="39"/>
      <c r="B832" s="27" t="str" cm="1">
        <f t="array" ref="B832">IF(
   OR(A832="", $B$9="", $B$10="", $B$11=""),
   "",
   _xlfn.LET(
      _xlpm.result,
      IFERROR(
         _xlfn.XLOOKUP(
            1,
            (Table8[رقم الصنف]=A832)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2" s="27" t="str" cm="1">
        <f t="array" ref="C832">IF(
   A832="",
   "",
   _xlfn.LET(
      _xlpm.result,
      IFERROR(
         _xlfn.XLOOKUP(
            1,
            (Table8[رقم الصنف]=A832) *
            (IF($B$9="الكل",1, YEAR('ادخال البيانات'!$N$3:$N$1164) = VALUE($B$9))) *
            (IF($B$10="الكل",1, MONTH('ادخال البيانات'!$N$3:$N$1164) = VALUE($B$10))) *
            (IF($B$11="الكل",1, INT((DAY('ادخال البيانات'!$N$3:$N$1164)-1)/7)+1 = VALUE($B$11))),
            'ادخال البيانات'!$C$3:$C$1164
         ),
         ""
      ),
      IF(_xlpm.result="", "", _xlpm.result)
   )
)</f>
        <v/>
      </c>
      <c r="D832" s="27" t="str" cm="1">
        <f t="array" ref="D832">IF(
   OR(A832="", $B$9="", $B$10="", $B$11=""),
   "",
   _xlfn.LET(
      _xlpm.result,
      IFERROR(
         _xlfn.XLOOKUP(
            1,
            (Table8[رقم الصنف]=A832) *
            (IF($B$9="الكل",1, YEAR('ادخال البيانات'!$N$3:$N$1164)=VALUE($B$9))) *
            (IF($B$10="الكل",1, MONTH('ادخال البيانات'!$N$3:$N$1164)=VALUE($B$10))) *
            (IF($B$11="الكل",1, INT((DAY('ادخال البيانات'!$N$3:$N$1164)-1)/7)+1 = VALUE($B$11))),
            'ادخال البيانات'!$D$3:$D$1164
         ),
         ""
      ),
      IF(_xlpm.result="", "", _xlpm.result)
   )
)</f>
        <v/>
      </c>
      <c r="E832" s="27" t="str" cm="1">
        <f t="array" ref="E832">IF(
   A832="",
   "",
   _xlfn.LET(
      _xlpm.result,
      IFERROR(
         _xlfn.XLOOKUP(
            1,
            (Table8[رقم الصنف]=A832) *
            (IF($B$9="الكل",1, YEAR('ادخال البيانات'!$N$3:$N$1164)=VALUE($B$9))) *
            (IF($B$10="الكل",1, MONTH('ادخال البيانات'!$N$3:$N$1164)=VALUE($B$10))) *
            (IF($B$11="الكل",1, INT((DAY('ادخال البيانات'!$N$3:$N$1164)-1)/7)+1 = VALUE($B$11))),
            'ادخال البيانات'!$E$3:$E$1164
         ),
         ""
      ),
      IF(_xlpm.result="", "", _xlpm.result)
   )
)</f>
        <v/>
      </c>
      <c r="F832" s="27" t="str" cm="1">
        <f t="array" ref="F832">IF(
   A832="",
   "",
   _xlfn.LET(
      _xlpm.result,
      IFERROR(
         _xlfn.XLOOKUP(
            1,
            (Table8[رقم الصنف]=A832) *
            (IF($B$9="الكل",1, YEAR('ادخال البيانات'!$N$3:$N$1164) = VALUE($B$9))) *
            (IF($B$10="الكل",1, MONTH('ادخال البيانات'!$N$3:$N$1164) = VALUE($B$10))) *
            (IF($B$11="الكل",1, INT((DAY('ادخال البيانات'!$N$3:$N$1164)-1)/7)+1 = VALUE($B$11))),
            'ادخال البيانات'!$F$3:$F$1164
         ),
         ""
      ),
      IF(_xlpm.result="", "", _xlpm.result)
   )
)</f>
        <v/>
      </c>
      <c r="G832" s="27" t="str" cm="1">
        <f t="array" ref="G832">IF(
   A832="",
   "",
   _xlfn.LET(
      _xlpm.result,
      IFERROR(
         _xlfn.XLOOKUP(
            1,
            (Table8[رقم الصنف]=A832) *
            (IF($B$9="الكل",1, YEAR('ادخال البيانات'!$N$3:$N$1164)=VALUE($B$9))) *
            (IF($B$10="الكل",1, MONTH('ادخال البيانات'!$N$3:$N$1164)=VALUE($B$10))) *
            (IF($B$11="الكل",1, INT((DAY('ادخال البيانات'!$N$3:$N$1164)-1)/7)+1 = VALUE($B$11))),
            'ادخال البيانات'!$G$3:$G$1164
         ),
         ""
      ),
      IF(_xlpm.result="", "", _xlpm.result)
   )
)</f>
        <v/>
      </c>
      <c r="H832" s="27" t="str" cm="1">
        <f t="array" ref="H832">IF(
   A832="",
   "",
   _xlfn.LET(
      _xlpm.result,
      IFERROR(
         _xlfn.XLOOKUP(
            1,
            (Table8[رقم الصنف]=A832) *
            (IF($B$9="الكل",1, YEAR('ادخال البيانات'!$N$3:$N$1164)=VALUE($B$9))) *
            (IF($B$10="الكل",1, MONTH('ادخال البيانات'!$N$3:$N$1164)=VALUE($B$10))) *
            (IF($B$11="الكل",1, INT((DAY('ادخال البيانات'!$N$3:$N$1164)-1)/7)+1 = VALUE($B$11))),
            'ادخال البيانات'!$H$3:$H$1164
         ),
         ""
      ),
      IF(_xlpm.result="", "", _xlpm.result)
   )
)</f>
        <v/>
      </c>
      <c r="I832" s="27" t="str" cm="1">
        <f t="array" ref="I832">IF(
   A832="",
   "",
   _xlfn.LET(
      _xlpm.result,
      IFERROR(
         _xlfn.XLOOKUP(
            1,
            (Table8[رقم الصنف]=A832) *
            (IF($B$9="الكل",1, YEAR('ادخال البيانات'!$N$3:$N$1164)=VALUE($B$9))) *
            (IF($B$10="الكل",1, MONTH('ادخال البيانات'!$N$3:$N$1164)=VALUE($B$10))) *
            (IF($B$11="الكل",1, INT((DAY('ادخال البيانات'!$N$3:$N$1164)-1)/7)+1 = VALUE($B$11))),
            'ادخال البيانات'!$I$3:$I$1164
         ),
         ""
      ),
      IF(_xlpm.result="", "", _xlpm.result)
   )
)</f>
        <v/>
      </c>
      <c r="J832" s="27" t="str" cm="1">
        <f t="array" ref="J832">IF(
   A832="",
   "",
   _xlfn.LET(
      _xlpm.result,
      IFERROR(
         _xlfn.XLOOKUP(
            1,
            (Table8[رقم الصنف]=A832) *
            (IF($B$9="الكل",1, YEAR('ادخال البيانات'!$N$3:$N$1164)=VALUE($B$9))) *
            (IF($B$10="الكل",1, MONTH('ادخال البيانات'!$N$3:$N$1164)=VALUE($B$10))) *
            (IF($B$11="الكل",1, INT((DAY('ادخال البيانات'!$N$3:$N$1164)-1)/7)+1 = VALUE($B$11))),
            'ادخال البيانات'!$J$3:$J$1164
         ),
         ""
      ),
      IF(_xlpm.result="", "", _xlpm.result)
   )
)</f>
        <v/>
      </c>
      <c r="K832" s="27" t="str" cm="1">
        <f t="array" ref="K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2" s="27" t="str" cm="1">
        <f t="array" ref="L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2" s="27" t="str" cm="1">
        <f t="array" ref="M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2" s="28" t="str" cm="1">
        <f t="array" ref="N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2" s="28" t="str" cm="1">
        <f t="array" ref="O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2" s="27" t="str" cm="1">
        <f t="array" ref="P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Table8[جهة العطل]
         ),
         ""
      ),
      IF(_xlpm.result="", "", _xlpm.result)
   )
)</f>
        <v/>
      </c>
      <c r="Q832" s="27" t="str" cm="1">
        <f t="array" ref="Q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Table8[المركز]
         ),
         ""
      ),
      IF(_xlpm.result="", "", _xlpm.result)
   )
)</f>
        <v/>
      </c>
      <c r="R832" s="27" t="str" cm="1">
        <f t="array" ref="R832">IF(
   A832="",
   "",
   _xlfn.LET(
      _xlpm.result,
      IFERROR(
         _xlfn.XLOOKUP(
            1,
            (Table8[رقم الصنف]=A832) *
            (IF($B$9="الكل",1, YEAR('ادخال البيانات'!$N$3:$N$1164) = VALUE($B$9))) *
            (IF($B$10="الكل",1, MONTH('ادخال البيانات'!$N$3:$N$1164) = VALUE($B$10))) *
            (IF($B$11="الكل",1, INT((DAY('ادخال البيانات'!$N$3:$N$1164) - 1) / 7) + 1 = VALUE($B$11))),
            Table8[ملاحظة]
         ),
         ""
      ),
      IF(_xlpm.result="", "", _xlpm.result)
   )
)</f>
        <v/>
      </c>
      <c r="S832" s="46" t="str">
        <f t="shared" ca="1" si="13"/>
        <v/>
      </c>
    </row>
    <row r="833" spans="1:19" ht="15.6" thickTop="1" thickBot="1" x14ac:dyDescent="0.35">
      <c r="A833" s="39"/>
      <c r="B833" s="27" t="str" cm="1">
        <f t="array" ref="B833">IF(
   OR(A833="", $B$9="", $B$10="", $B$11=""),
   "",
   _xlfn.LET(
      _xlpm.result,
      IFERROR(
         _xlfn.XLOOKUP(
            1,
            (Table8[رقم الصنف]=A833)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3" s="27" t="str" cm="1">
        <f t="array" ref="C833">IF(
   A833="",
   "",
   _xlfn.LET(
      _xlpm.result,
      IFERROR(
         _xlfn.XLOOKUP(
            1,
            (Table8[رقم الصنف]=A833) *
            (IF($B$9="الكل",1, YEAR('ادخال البيانات'!$N$3:$N$1164) = VALUE($B$9))) *
            (IF($B$10="الكل",1, MONTH('ادخال البيانات'!$N$3:$N$1164) = VALUE($B$10))) *
            (IF($B$11="الكل",1, INT((DAY('ادخال البيانات'!$N$3:$N$1164)-1)/7)+1 = VALUE($B$11))),
            'ادخال البيانات'!$C$3:$C$1164
         ),
         ""
      ),
      IF(_xlpm.result="", "", _xlpm.result)
   )
)</f>
        <v/>
      </c>
      <c r="D833" s="27" t="str" cm="1">
        <f t="array" ref="D833">IF(
   OR(A833="", $B$9="", $B$10="", $B$11=""),
   "",
   _xlfn.LET(
      _xlpm.result,
      IFERROR(
         _xlfn.XLOOKUP(
            1,
            (Table8[رقم الصنف]=A833) *
            (IF($B$9="الكل",1, YEAR('ادخال البيانات'!$N$3:$N$1164)=VALUE($B$9))) *
            (IF($B$10="الكل",1, MONTH('ادخال البيانات'!$N$3:$N$1164)=VALUE($B$10))) *
            (IF($B$11="الكل",1, INT((DAY('ادخال البيانات'!$N$3:$N$1164)-1)/7)+1 = VALUE($B$11))),
            'ادخال البيانات'!$D$3:$D$1164
         ),
         ""
      ),
      IF(_xlpm.result="", "", _xlpm.result)
   )
)</f>
        <v/>
      </c>
      <c r="E833" s="27" t="str" cm="1">
        <f t="array" ref="E833">IF(
   A833="",
   "",
   _xlfn.LET(
      _xlpm.result,
      IFERROR(
         _xlfn.XLOOKUP(
            1,
            (Table8[رقم الصنف]=A833) *
            (IF($B$9="الكل",1, YEAR('ادخال البيانات'!$N$3:$N$1164)=VALUE($B$9))) *
            (IF($B$10="الكل",1, MONTH('ادخال البيانات'!$N$3:$N$1164)=VALUE($B$10))) *
            (IF($B$11="الكل",1, INT((DAY('ادخال البيانات'!$N$3:$N$1164)-1)/7)+1 = VALUE($B$11))),
            'ادخال البيانات'!$E$3:$E$1164
         ),
         ""
      ),
      IF(_xlpm.result="", "", _xlpm.result)
   )
)</f>
        <v/>
      </c>
      <c r="F833" s="27" t="str" cm="1">
        <f t="array" ref="F833">IF(
   A833="",
   "",
   _xlfn.LET(
      _xlpm.result,
      IFERROR(
         _xlfn.XLOOKUP(
            1,
            (Table8[رقم الصنف]=A833) *
            (IF($B$9="الكل",1, YEAR('ادخال البيانات'!$N$3:$N$1164) = VALUE($B$9))) *
            (IF($B$10="الكل",1, MONTH('ادخال البيانات'!$N$3:$N$1164) = VALUE($B$10))) *
            (IF($B$11="الكل",1, INT((DAY('ادخال البيانات'!$N$3:$N$1164)-1)/7)+1 = VALUE($B$11))),
            'ادخال البيانات'!$F$3:$F$1164
         ),
         ""
      ),
      IF(_xlpm.result="", "", _xlpm.result)
   )
)</f>
        <v/>
      </c>
      <c r="G833" s="27" t="str" cm="1">
        <f t="array" ref="G833">IF(
   A833="",
   "",
   _xlfn.LET(
      _xlpm.result,
      IFERROR(
         _xlfn.XLOOKUP(
            1,
            (Table8[رقم الصنف]=A833) *
            (IF($B$9="الكل",1, YEAR('ادخال البيانات'!$N$3:$N$1164)=VALUE($B$9))) *
            (IF($B$10="الكل",1, MONTH('ادخال البيانات'!$N$3:$N$1164)=VALUE($B$10))) *
            (IF($B$11="الكل",1, INT((DAY('ادخال البيانات'!$N$3:$N$1164)-1)/7)+1 = VALUE($B$11))),
            'ادخال البيانات'!$G$3:$G$1164
         ),
         ""
      ),
      IF(_xlpm.result="", "", _xlpm.result)
   )
)</f>
        <v/>
      </c>
      <c r="H833" s="27" t="str" cm="1">
        <f t="array" ref="H833">IF(
   A833="",
   "",
   _xlfn.LET(
      _xlpm.result,
      IFERROR(
         _xlfn.XLOOKUP(
            1,
            (Table8[رقم الصنف]=A833) *
            (IF($B$9="الكل",1, YEAR('ادخال البيانات'!$N$3:$N$1164)=VALUE($B$9))) *
            (IF($B$10="الكل",1, MONTH('ادخال البيانات'!$N$3:$N$1164)=VALUE($B$10))) *
            (IF($B$11="الكل",1, INT((DAY('ادخال البيانات'!$N$3:$N$1164)-1)/7)+1 = VALUE($B$11))),
            'ادخال البيانات'!$H$3:$H$1164
         ),
         ""
      ),
      IF(_xlpm.result="", "", _xlpm.result)
   )
)</f>
        <v/>
      </c>
      <c r="I833" s="27" t="str" cm="1">
        <f t="array" ref="I833">IF(
   A833="",
   "",
   _xlfn.LET(
      _xlpm.result,
      IFERROR(
         _xlfn.XLOOKUP(
            1,
            (Table8[رقم الصنف]=A833) *
            (IF($B$9="الكل",1, YEAR('ادخال البيانات'!$N$3:$N$1164)=VALUE($B$9))) *
            (IF($B$10="الكل",1, MONTH('ادخال البيانات'!$N$3:$N$1164)=VALUE($B$10))) *
            (IF($B$11="الكل",1, INT((DAY('ادخال البيانات'!$N$3:$N$1164)-1)/7)+1 = VALUE($B$11))),
            'ادخال البيانات'!$I$3:$I$1164
         ),
         ""
      ),
      IF(_xlpm.result="", "", _xlpm.result)
   )
)</f>
        <v/>
      </c>
      <c r="J833" s="27" t="str" cm="1">
        <f t="array" ref="J833">IF(
   A833="",
   "",
   _xlfn.LET(
      _xlpm.result,
      IFERROR(
         _xlfn.XLOOKUP(
            1,
            (Table8[رقم الصنف]=A833) *
            (IF($B$9="الكل",1, YEAR('ادخال البيانات'!$N$3:$N$1164)=VALUE($B$9))) *
            (IF($B$10="الكل",1, MONTH('ادخال البيانات'!$N$3:$N$1164)=VALUE($B$10))) *
            (IF($B$11="الكل",1, INT((DAY('ادخال البيانات'!$N$3:$N$1164)-1)/7)+1 = VALUE($B$11))),
            'ادخال البيانات'!$J$3:$J$1164
         ),
         ""
      ),
      IF(_xlpm.result="", "", _xlpm.result)
   )
)</f>
        <v/>
      </c>
      <c r="K833" s="27" t="str" cm="1">
        <f t="array" ref="K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3" s="27" t="str" cm="1">
        <f t="array" ref="L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3" s="27" t="str" cm="1">
        <f t="array" ref="M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3" s="28" t="str" cm="1">
        <f t="array" ref="N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3" s="28" t="str" cm="1">
        <f t="array" ref="O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3" s="27" t="str" cm="1">
        <f t="array" ref="P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Table8[جهة العطل]
         ),
         ""
      ),
      IF(_xlpm.result="", "", _xlpm.result)
   )
)</f>
        <v/>
      </c>
      <c r="Q833" s="27" t="str" cm="1">
        <f t="array" ref="Q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Table8[المركز]
         ),
         ""
      ),
      IF(_xlpm.result="", "", _xlpm.result)
   )
)</f>
        <v/>
      </c>
      <c r="R833" s="27" t="str" cm="1">
        <f t="array" ref="R833">IF(
   A833="",
   "",
   _xlfn.LET(
      _xlpm.result,
      IFERROR(
         _xlfn.XLOOKUP(
            1,
            (Table8[رقم الصنف]=A833) *
            (IF($B$9="الكل",1, YEAR('ادخال البيانات'!$N$3:$N$1164) = VALUE($B$9))) *
            (IF($B$10="الكل",1, MONTH('ادخال البيانات'!$N$3:$N$1164) = VALUE($B$10))) *
            (IF($B$11="الكل",1, INT((DAY('ادخال البيانات'!$N$3:$N$1164) - 1) / 7) + 1 = VALUE($B$11))),
            Table8[ملاحظة]
         ),
         ""
      ),
      IF(_xlpm.result="", "", _xlpm.result)
   )
)</f>
        <v/>
      </c>
      <c r="S833" s="46" t="str">
        <f t="shared" ca="1" si="13"/>
        <v/>
      </c>
    </row>
    <row r="834" spans="1:19" ht="15.6" thickTop="1" thickBot="1" x14ac:dyDescent="0.35">
      <c r="A834" s="39"/>
      <c r="B834" s="27" t="str" cm="1">
        <f t="array" ref="B834">IF(
   OR(A834="", $B$9="", $B$10="", $B$11=""),
   "",
   _xlfn.LET(
      _xlpm.result,
      IFERROR(
         _xlfn.XLOOKUP(
            1,
            (Table8[رقم الصنف]=A834)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4" s="27" t="str" cm="1">
        <f t="array" ref="C834">IF(
   A834="",
   "",
   _xlfn.LET(
      _xlpm.result,
      IFERROR(
         _xlfn.XLOOKUP(
            1,
            (Table8[رقم الصنف]=A834) *
            (IF($B$9="الكل",1, YEAR('ادخال البيانات'!$N$3:$N$1164) = VALUE($B$9))) *
            (IF($B$10="الكل",1, MONTH('ادخال البيانات'!$N$3:$N$1164) = VALUE($B$10))) *
            (IF($B$11="الكل",1, INT((DAY('ادخال البيانات'!$N$3:$N$1164)-1)/7)+1 = VALUE($B$11))),
            'ادخال البيانات'!$C$3:$C$1164
         ),
         ""
      ),
      IF(_xlpm.result="", "", _xlpm.result)
   )
)</f>
        <v/>
      </c>
      <c r="D834" s="27" t="str" cm="1">
        <f t="array" ref="D834">IF(
   OR(A834="", $B$9="", $B$10="", $B$11=""),
   "",
   _xlfn.LET(
      _xlpm.result,
      IFERROR(
         _xlfn.XLOOKUP(
            1,
            (Table8[رقم الصنف]=A834) *
            (IF($B$9="الكل",1, YEAR('ادخال البيانات'!$N$3:$N$1164)=VALUE($B$9))) *
            (IF($B$10="الكل",1, MONTH('ادخال البيانات'!$N$3:$N$1164)=VALUE($B$10))) *
            (IF($B$11="الكل",1, INT((DAY('ادخال البيانات'!$N$3:$N$1164)-1)/7)+1 = VALUE($B$11))),
            'ادخال البيانات'!$D$3:$D$1164
         ),
         ""
      ),
      IF(_xlpm.result="", "", _xlpm.result)
   )
)</f>
        <v/>
      </c>
      <c r="E834" s="27" t="str" cm="1">
        <f t="array" ref="E834">IF(
   A834="",
   "",
   _xlfn.LET(
      _xlpm.result,
      IFERROR(
         _xlfn.XLOOKUP(
            1,
            (Table8[رقم الصنف]=A834) *
            (IF($B$9="الكل",1, YEAR('ادخال البيانات'!$N$3:$N$1164)=VALUE($B$9))) *
            (IF($B$10="الكل",1, MONTH('ادخال البيانات'!$N$3:$N$1164)=VALUE($B$10))) *
            (IF($B$11="الكل",1, INT((DAY('ادخال البيانات'!$N$3:$N$1164)-1)/7)+1 = VALUE($B$11))),
            'ادخال البيانات'!$E$3:$E$1164
         ),
         ""
      ),
      IF(_xlpm.result="", "", _xlpm.result)
   )
)</f>
        <v/>
      </c>
      <c r="F834" s="27" t="str" cm="1">
        <f t="array" ref="F834">IF(
   A834="",
   "",
   _xlfn.LET(
      _xlpm.result,
      IFERROR(
         _xlfn.XLOOKUP(
            1,
            (Table8[رقم الصنف]=A834) *
            (IF($B$9="الكل",1, YEAR('ادخال البيانات'!$N$3:$N$1164) = VALUE($B$9))) *
            (IF($B$10="الكل",1, MONTH('ادخال البيانات'!$N$3:$N$1164) = VALUE($B$10))) *
            (IF($B$11="الكل",1, INT((DAY('ادخال البيانات'!$N$3:$N$1164)-1)/7)+1 = VALUE($B$11))),
            'ادخال البيانات'!$F$3:$F$1164
         ),
         ""
      ),
      IF(_xlpm.result="", "", _xlpm.result)
   )
)</f>
        <v/>
      </c>
      <c r="G834" s="27" t="str" cm="1">
        <f t="array" ref="G834">IF(
   A834="",
   "",
   _xlfn.LET(
      _xlpm.result,
      IFERROR(
         _xlfn.XLOOKUP(
            1,
            (Table8[رقم الصنف]=A834) *
            (IF($B$9="الكل",1, YEAR('ادخال البيانات'!$N$3:$N$1164)=VALUE($B$9))) *
            (IF($B$10="الكل",1, MONTH('ادخال البيانات'!$N$3:$N$1164)=VALUE($B$10))) *
            (IF($B$11="الكل",1, INT((DAY('ادخال البيانات'!$N$3:$N$1164)-1)/7)+1 = VALUE($B$11))),
            'ادخال البيانات'!$G$3:$G$1164
         ),
         ""
      ),
      IF(_xlpm.result="", "", _xlpm.result)
   )
)</f>
        <v/>
      </c>
      <c r="H834" s="27" t="str" cm="1">
        <f t="array" ref="H834">IF(
   A834="",
   "",
   _xlfn.LET(
      _xlpm.result,
      IFERROR(
         _xlfn.XLOOKUP(
            1,
            (Table8[رقم الصنف]=A834) *
            (IF($B$9="الكل",1, YEAR('ادخال البيانات'!$N$3:$N$1164)=VALUE($B$9))) *
            (IF($B$10="الكل",1, MONTH('ادخال البيانات'!$N$3:$N$1164)=VALUE($B$10))) *
            (IF($B$11="الكل",1, INT((DAY('ادخال البيانات'!$N$3:$N$1164)-1)/7)+1 = VALUE($B$11))),
            'ادخال البيانات'!$H$3:$H$1164
         ),
         ""
      ),
      IF(_xlpm.result="", "", _xlpm.result)
   )
)</f>
        <v/>
      </c>
      <c r="I834" s="27" t="str" cm="1">
        <f t="array" ref="I834">IF(
   A834="",
   "",
   _xlfn.LET(
      _xlpm.result,
      IFERROR(
         _xlfn.XLOOKUP(
            1,
            (Table8[رقم الصنف]=A834) *
            (IF($B$9="الكل",1, YEAR('ادخال البيانات'!$N$3:$N$1164)=VALUE($B$9))) *
            (IF($B$10="الكل",1, MONTH('ادخال البيانات'!$N$3:$N$1164)=VALUE($B$10))) *
            (IF($B$11="الكل",1, INT((DAY('ادخال البيانات'!$N$3:$N$1164)-1)/7)+1 = VALUE($B$11))),
            'ادخال البيانات'!$I$3:$I$1164
         ),
         ""
      ),
      IF(_xlpm.result="", "", _xlpm.result)
   )
)</f>
        <v/>
      </c>
      <c r="J834" s="27" t="str" cm="1">
        <f t="array" ref="J834">IF(
   A834="",
   "",
   _xlfn.LET(
      _xlpm.result,
      IFERROR(
         _xlfn.XLOOKUP(
            1,
            (Table8[رقم الصنف]=A834) *
            (IF($B$9="الكل",1, YEAR('ادخال البيانات'!$N$3:$N$1164)=VALUE($B$9))) *
            (IF($B$10="الكل",1, MONTH('ادخال البيانات'!$N$3:$N$1164)=VALUE($B$10))) *
            (IF($B$11="الكل",1, INT((DAY('ادخال البيانات'!$N$3:$N$1164)-1)/7)+1 = VALUE($B$11))),
            'ادخال البيانات'!$J$3:$J$1164
         ),
         ""
      ),
      IF(_xlpm.result="", "", _xlpm.result)
   )
)</f>
        <v/>
      </c>
      <c r="K834" s="27" t="str" cm="1">
        <f t="array" ref="K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4" s="27" t="str" cm="1">
        <f t="array" ref="L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4" s="27" t="str" cm="1">
        <f t="array" ref="M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4" s="28" t="str" cm="1">
        <f t="array" ref="N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4" s="28" t="str" cm="1">
        <f t="array" ref="O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4" s="27" t="str" cm="1">
        <f t="array" ref="P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Table8[جهة العطل]
         ),
         ""
      ),
      IF(_xlpm.result="", "", _xlpm.result)
   )
)</f>
        <v/>
      </c>
      <c r="Q834" s="27" t="str" cm="1">
        <f t="array" ref="Q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Table8[المركز]
         ),
         ""
      ),
      IF(_xlpm.result="", "", _xlpm.result)
   )
)</f>
        <v/>
      </c>
      <c r="R834" s="27" t="str" cm="1">
        <f t="array" ref="R834">IF(
   A834="",
   "",
   _xlfn.LET(
      _xlpm.result,
      IFERROR(
         _xlfn.XLOOKUP(
            1,
            (Table8[رقم الصنف]=A834) *
            (IF($B$9="الكل",1, YEAR('ادخال البيانات'!$N$3:$N$1164) = VALUE($B$9))) *
            (IF($B$10="الكل",1, MONTH('ادخال البيانات'!$N$3:$N$1164) = VALUE($B$10))) *
            (IF($B$11="الكل",1, INT((DAY('ادخال البيانات'!$N$3:$N$1164) - 1) / 7) + 1 = VALUE($B$11))),
            Table8[ملاحظة]
         ),
         ""
      ),
      IF(_xlpm.result="", "", _xlpm.result)
   )
)</f>
        <v/>
      </c>
      <c r="S834" s="46" t="str">
        <f t="shared" ca="1" si="13"/>
        <v/>
      </c>
    </row>
    <row r="835" spans="1:19" ht="15.6" thickTop="1" thickBot="1" x14ac:dyDescent="0.35">
      <c r="A835" s="39"/>
      <c r="B835" s="27" t="str" cm="1">
        <f t="array" ref="B835">IF(
   OR(A835="", $B$9="", $B$10="", $B$11=""),
   "",
   _xlfn.LET(
      _xlpm.result,
      IFERROR(
         _xlfn.XLOOKUP(
            1,
            (Table8[رقم الصنف]=A835)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5" s="27" t="str" cm="1">
        <f t="array" ref="C835">IF(
   A835="",
   "",
   _xlfn.LET(
      _xlpm.result,
      IFERROR(
         _xlfn.XLOOKUP(
            1,
            (Table8[رقم الصنف]=A835) *
            (IF($B$9="الكل",1, YEAR('ادخال البيانات'!$N$3:$N$1164) = VALUE($B$9))) *
            (IF($B$10="الكل",1, MONTH('ادخال البيانات'!$N$3:$N$1164) = VALUE($B$10))) *
            (IF($B$11="الكل",1, INT((DAY('ادخال البيانات'!$N$3:$N$1164)-1)/7)+1 = VALUE($B$11))),
            'ادخال البيانات'!$C$3:$C$1164
         ),
         ""
      ),
      IF(_xlpm.result="", "", _xlpm.result)
   )
)</f>
        <v/>
      </c>
      <c r="D835" s="27" t="str" cm="1">
        <f t="array" ref="D835">IF(
   OR(A835="", $B$9="", $B$10="", $B$11=""),
   "",
   _xlfn.LET(
      _xlpm.result,
      IFERROR(
         _xlfn.XLOOKUP(
            1,
            (Table8[رقم الصنف]=A835) *
            (IF($B$9="الكل",1, YEAR('ادخال البيانات'!$N$3:$N$1164)=VALUE($B$9))) *
            (IF($B$10="الكل",1, MONTH('ادخال البيانات'!$N$3:$N$1164)=VALUE($B$10))) *
            (IF($B$11="الكل",1, INT((DAY('ادخال البيانات'!$N$3:$N$1164)-1)/7)+1 = VALUE($B$11))),
            'ادخال البيانات'!$D$3:$D$1164
         ),
         ""
      ),
      IF(_xlpm.result="", "", _xlpm.result)
   )
)</f>
        <v/>
      </c>
      <c r="E835" s="27" t="str" cm="1">
        <f t="array" ref="E835">IF(
   A835="",
   "",
   _xlfn.LET(
      _xlpm.result,
      IFERROR(
         _xlfn.XLOOKUP(
            1,
            (Table8[رقم الصنف]=A835) *
            (IF($B$9="الكل",1, YEAR('ادخال البيانات'!$N$3:$N$1164)=VALUE($B$9))) *
            (IF($B$10="الكل",1, MONTH('ادخال البيانات'!$N$3:$N$1164)=VALUE($B$10))) *
            (IF($B$11="الكل",1, INT((DAY('ادخال البيانات'!$N$3:$N$1164)-1)/7)+1 = VALUE($B$11))),
            'ادخال البيانات'!$E$3:$E$1164
         ),
         ""
      ),
      IF(_xlpm.result="", "", _xlpm.result)
   )
)</f>
        <v/>
      </c>
      <c r="F835" s="27" t="str" cm="1">
        <f t="array" ref="F835">IF(
   A835="",
   "",
   _xlfn.LET(
      _xlpm.result,
      IFERROR(
         _xlfn.XLOOKUP(
            1,
            (Table8[رقم الصنف]=A835) *
            (IF($B$9="الكل",1, YEAR('ادخال البيانات'!$N$3:$N$1164) = VALUE($B$9))) *
            (IF($B$10="الكل",1, MONTH('ادخال البيانات'!$N$3:$N$1164) = VALUE($B$10))) *
            (IF($B$11="الكل",1, INT((DAY('ادخال البيانات'!$N$3:$N$1164)-1)/7)+1 = VALUE($B$11))),
            'ادخال البيانات'!$F$3:$F$1164
         ),
         ""
      ),
      IF(_xlpm.result="", "", _xlpm.result)
   )
)</f>
        <v/>
      </c>
      <c r="G835" s="27" t="str" cm="1">
        <f t="array" ref="G835">IF(
   A835="",
   "",
   _xlfn.LET(
      _xlpm.result,
      IFERROR(
         _xlfn.XLOOKUP(
            1,
            (Table8[رقم الصنف]=A835) *
            (IF($B$9="الكل",1, YEAR('ادخال البيانات'!$N$3:$N$1164)=VALUE($B$9))) *
            (IF($B$10="الكل",1, MONTH('ادخال البيانات'!$N$3:$N$1164)=VALUE($B$10))) *
            (IF($B$11="الكل",1, INT((DAY('ادخال البيانات'!$N$3:$N$1164)-1)/7)+1 = VALUE($B$11))),
            'ادخال البيانات'!$G$3:$G$1164
         ),
         ""
      ),
      IF(_xlpm.result="", "", _xlpm.result)
   )
)</f>
        <v/>
      </c>
      <c r="H835" s="27" t="str" cm="1">
        <f t="array" ref="H835">IF(
   A835="",
   "",
   _xlfn.LET(
      _xlpm.result,
      IFERROR(
         _xlfn.XLOOKUP(
            1,
            (Table8[رقم الصنف]=A835) *
            (IF($B$9="الكل",1, YEAR('ادخال البيانات'!$N$3:$N$1164)=VALUE($B$9))) *
            (IF($B$10="الكل",1, MONTH('ادخال البيانات'!$N$3:$N$1164)=VALUE($B$10))) *
            (IF($B$11="الكل",1, INT((DAY('ادخال البيانات'!$N$3:$N$1164)-1)/7)+1 = VALUE($B$11))),
            'ادخال البيانات'!$H$3:$H$1164
         ),
         ""
      ),
      IF(_xlpm.result="", "", _xlpm.result)
   )
)</f>
        <v/>
      </c>
      <c r="I835" s="27" t="str" cm="1">
        <f t="array" ref="I835">IF(
   A835="",
   "",
   _xlfn.LET(
      _xlpm.result,
      IFERROR(
         _xlfn.XLOOKUP(
            1,
            (Table8[رقم الصنف]=A835) *
            (IF($B$9="الكل",1, YEAR('ادخال البيانات'!$N$3:$N$1164)=VALUE($B$9))) *
            (IF($B$10="الكل",1, MONTH('ادخال البيانات'!$N$3:$N$1164)=VALUE($B$10))) *
            (IF($B$11="الكل",1, INT((DAY('ادخال البيانات'!$N$3:$N$1164)-1)/7)+1 = VALUE($B$11))),
            'ادخال البيانات'!$I$3:$I$1164
         ),
         ""
      ),
      IF(_xlpm.result="", "", _xlpm.result)
   )
)</f>
        <v/>
      </c>
      <c r="J835" s="27" t="str" cm="1">
        <f t="array" ref="J835">IF(
   A835="",
   "",
   _xlfn.LET(
      _xlpm.result,
      IFERROR(
         _xlfn.XLOOKUP(
            1,
            (Table8[رقم الصنف]=A835) *
            (IF($B$9="الكل",1, YEAR('ادخال البيانات'!$N$3:$N$1164)=VALUE($B$9))) *
            (IF($B$10="الكل",1, MONTH('ادخال البيانات'!$N$3:$N$1164)=VALUE($B$10))) *
            (IF($B$11="الكل",1, INT((DAY('ادخال البيانات'!$N$3:$N$1164)-1)/7)+1 = VALUE($B$11))),
            'ادخال البيانات'!$J$3:$J$1164
         ),
         ""
      ),
      IF(_xlpm.result="", "", _xlpm.result)
   )
)</f>
        <v/>
      </c>
      <c r="K835" s="27" t="str" cm="1">
        <f t="array" ref="K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5" s="27" t="str" cm="1">
        <f t="array" ref="L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5" s="27" t="str" cm="1">
        <f t="array" ref="M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5" s="28" t="str" cm="1">
        <f t="array" ref="N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5" s="28" t="str" cm="1">
        <f t="array" ref="O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5" s="27" t="str" cm="1">
        <f t="array" ref="P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Table8[جهة العطل]
         ),
         ""
      ),
      IF(_xlpm.result="", "", _xlpm.result)
   )
)</f>
        <v/>
      </c>
      <c r="Q835" s="27" t="str" cm="1">
        <f t="array" ref="Q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Table8[المركز]
         ),
         ""
      ),
      IF(_xlpm.result="", "", _xlpm.result)
   )
)</f>
        <v/>
      </c>
      <c r="R835" s="27" t="str" cm="1">
        <f t="array" ref="R835">IF(
   A835="",
   "",
   _xlfn.LET(
      _xlpm.result,
      IFERROR(
         _xlfn.XLOOKUP(
            1,
            (Table8[رقم الصنف]=A835) *
            (IF($B$9="الكل",1, YEAR('ادخال البيانات'!$N$3:$N$1164) = VALUE($B$9))) *
            (IF($B$10="الكل",1, MONTH('ادخال البيانات'!$N$3:$N$1164) = VALUE($B$10))) *
            (IF($B$11="الكل",1, INT((DAY('ادخال البيانات'!$N$3:$N$1164) - 1) / 7) + 1 = VALUE($B$11))),
            Table8[ملاحظة]
         ),
         ""
      ),
      IF(_xlpm.result="", "", _xlpm.result)
   )
)</f>
        <v/>
      </c>
      <c r="S835" s="46" t="str">
        <f t="shared" ca="1" si="13"/>
        <v/>
      </c>
    </row>
    <row r="836" spans="1:19" ht="15.6" thickTop="1" thickBot="1" x14ac:dyDescent="0.35">
      <c r="A836" s="39"/>
      <c r="B836" s="27" t="str" cm="1">
        <f t="array" ref="B836">IF(
   OR(A836="", $B$9="", $B$10="", $B$11=""),
   "",
   _xlfn.LET(
      _xlpm.result,
      IFERROR(
         _xlfn.XLOOKUP(
            1,
            (Table8[رقم الصنف]=A836)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6" s="27" t="str" cm="1">
        <f t="array" ref="C836">IF(
   A836="",
   "",
   _xlfn.LET(
      _xlpm.result,
      IFERROR(
         _xlfn.XLOOKUP(
            1,
            (Table8[رقم الصنف]=A836) *
            (IF($B$9="الكل",1, YEAR('ادخال البيانات'!$N$3:$N$1164) = VALUE($B$9))) *
            (IF($B$10="الكل",1, MONTH('ادخال البيانات'!$N$3:$N$1164) = VALUE($B$10))) *
            (IF($B$11="الكل",1, INT((DAY('ادخال البيانات'!$N$3:$N$1164)-1)/7)+1 = VALUE($B$11))),
            'ادخال البيانات'!$C$3:$C$1164
         ),
         ""
      ),
      IF(_xlpm.result="", "", _xlpm.result)
   )
)</f>
        <v/>
      </c>
      <c r="D836" s="27" t="str" cm="1">
        <f t="array" ref="D836">IF(
   OR(A836="", $B$9="", $B$10="", $B$11=""),
   "",
   _xlfn.LET(
      _xlpm.result,
      IFERROR(
         _xlfn.XLOOKUP(
            1,
            (Table8[رقم الصنف]=A836) *
            (IF($B$9="الكل",1, YEAR('ادخال البيانات'!$N$3:$N$1164)=VALUE($B$9))) *
            (IF($B$10="الكل",1, MONTH('ادخال البيانات'!$N$3:$N$1164)=VALUE($B$10))) *
            (IF($B$11="الكل",1, INT((DAY('ادخال البيانات'!$N$3:$N$1164)-1)/7)+1 = VALUE($B$11))),
            'ادخال البيانات'!$D$3:$D$1164
         ),
         ""
      ),
      IF(_xlpm.result="", "", _xlpm.result)
   )
)</f>
        <v/>
      </c>
      <c r="E836" s="27" t="str" cm="1">
        <f t="array" ref="E836">IF(
   A836="",
   "",
   _xlfn.LET(
      _xlpm.result,
      IFERROR(
         _xlfn.XLOOKUP(
            1,
            (Table8[رقم الصنف]=A836) *
            (IF($B$9="الكل",1, YEAR('ادخال البيانات'!$N$3:$N$1164)=VALUE($B$9))) *
            (IF($B$10="الكل",1, MONTH('ادخال البيانات'!$N$3:$N$1164)=VALUE($B$10))) *
            (IF($B$11="الكل",1, INT((DAY('ادخال البيانات'!$N$3:$N$1164)-1)/7)+1 = VALUE($B$11))),
            'ادخال البيانات'!$E$3:$E$1164
         ),
         ""
      ),
      IF(_xlpm.result="", "", _xlpm.result)
   )
)</f>
        <v/>
      </c>
      <c r="F836" s="27" t="str" cm="1">
        <f t="array" ref="F836">IF(
   A836="",
   "",
   _xlfn.LET(
      _xlpm.result,
      IFERROR(
         _xlfn.XLOOKUP(
            1,
            (Table8[رقم الصنف]=A836) *
            (IF($B$9="الكل",1, YEAR('ادخال البيانات'!$N$3:$N$1164) = VALUE($B$9))) *
            (IF($B$10="الكل",1, MONTH('ادخال البيانات'!$N$3:$N$1164) = VALUE($B$10))) *
            (IF($B$11="الكل",1, INT((DAY('ادخال البيانات'!$N$3:$N$1164)-1)/7)+1 = VALUE($B$11))),
            'ادخال البيانات'!$F$3:$F$1164
         ),
         ""
      ),
      IF(_xlpm.result="", "", _xlpm.result)
   )
)</f>
        <v/>
      </c>
      <c r="G836" s="27" t="str" cm="1">
        <f t="array" ref="G836">IF(
   A836="",
   "",
   _xlfn.LET(
      _xlpm.result,
      IFERROR(
         _xlfn.XLOOKUP(
            1,
            (Table8[رقم الصنف]=A836) *
            (IF($B$9="الكل",1, YEAR('ادخال البيانات'!$N$3:$N$1164)=VALUE($B$9))) *
            (IF($B$10="الكل",1, MONTH('ادخال البيانات'!$N$3:$N$1164)=VALUE($B$10))) *
            (IF($B$11="الكل",1, INT((DAY('ادخال البيانات'!$N$3:$N$1164)-1)/7)+1 = VALUE($B$11))),
            'ادخال البيانات'!$G$3:$G$1164
         ),
         ""
      ),
      IF(_xlpm.result="", "", _xlpm.result)
   )
)</f>
        <v/>
      </c>
      <c r="H836" s="27" t="str" cm="1">
        <f t="array" ref="H836">IF(
   A836="",
   "",
   _xlfn.LET(
      _xlpm.result,
      IFERROR(
         _xlfn.XLOOKUP(
            1,
            (Table8[رقم الصنف]=A836) *
            (IF($B$9="الكل",1, YEAR('ادخال البيانات'!$N$3:$N$1164)=VALUE($B$9))) *
            (IF($B$10="الكل",1, MONTH('ادخال البيانات'!$N$3:$N$1164)=VALUE($B$10))) *
            (IF($B$11="الكل",1, INT((DAY('ادخال البيانات'!$N$3:$N$1164)-1)/7)+1 = VALUE($B$11))),
            'ادخال البيانات'!$H$3:$H$1164
         ),
         ""
      ),
      IF(_xlpm.result="", "", _xlpm.result)
   )
)</f>
        <v/>
      </c>
      <c r="I836" s="27" t="str" cm="1">
        <f t="array" ref="I836">IF(
   A836="",
   "",
   _xlfn.LET(
      _xlpm.result,
      IFERROR(
         _xlfn.XLOOKUP(
            1,
            (Table8[رقم الصنف]=A836) *
            (IF($B$9="الكل",1, YEAR('ادخال البيانات'!$N$3:$N$1164)=VALUE($B$9))) *
            (IF($B$10="الكل",1, MONTH('ادخال البيانات'!$N$3:$N$1164)=VALUE($B$10))) *
            (IF($B$11="الكل",1, INT((DAY('ادخال البيانات'!$N$3:$N$1164)-1)/7)+1 = VALUE($B$11))),
            'ادخال البيانات'!$I$3:$I$1164
         ),
         ""
      ),
      IF(_xlpm.result="", "", _xlpm.result)
   )
)</f>
        <v/>
      </c>
      <c r="J836" s="27" t="str" cm="1">
        <f t="array" ref="J836">IF(
   A836="",
   "",
   _xlfn.LET(
      _xlpm.result,
      IFERROR(
         _xlfn.XLOOKUP(
            1,
            (Table8[رقم الصنف]=A836) *
            (IF($B$9="الكل",1, YEAR('ادخال البيانات'!$N$3:$N$1164)=VALUE($B$9))) *
            (IF($B$10="الكل",1, MONTH('ادخال البيانات'!$N$3:$N$1164)=VALUE($B$10))) *
            (IF($B$11="الكل",1, INT((DAY('ادخال البيانات'!$N$3:$N$1164)-1)/7)+1 = VALUE($B$11))),
            'ادخال البيانات'!$J$3:$J$1164
         ),
         ""
      ),
      IF(_xlpm.result="", "", _xlpm.result)
   )
)</f>
        <v/>
      </c>
      <c r="K836" s="27" t="str" cm="1">
        <f t="array" ref="K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6" s="27" t="str" cm="1">
        <f t="array" ref="L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6" s="27" t="str" cm="1">
        <f t="array" ref="M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6" s="28" t="str" cm="1">
        <f t="array" ref="N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6" s="28" t="str" cm="1">
        <f t="array" ref="O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6" s="27" t="str" cm="1">
        <f t="array" ref="P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Table8[جهة العطل]
         ),
         ""
      ),
      IF(_xlpm.result="", "", _xlpm.result)
   )
)</f>
        <v/>
      </c>
      <c r="Q836" s="27" t="str" cm="1">
        <f t="array" ref="Q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Table8[المركز]
         ),
         ""
      ),
      IF(_xlpm.result="", "", _xlpm.result)
   )
)</f>
        <v/>
      </c>
      <c r="R836" s="27" t="str" cm="1">
        <f t="array" ref="R836">IF(
   A836="",
   "",
   _xlfn.LET(
      _xlpm.result,
      IFERROR(
         _xlfn.XLOOKUP(
            1,
            (Table8[رقم الصنف]=A836) *
            (IF($B$9="الكل",1, YEAR('ادخال البيانات'!$N$3:$N$1164) = VALUE($B$9))) *
            (IF($B$10="الكل",1, MONTH('ادخال البيانات'!$N$3:$N$1164) = VALUE($B$10))) *
            (IF($B$11="الكل",1, INT((DAY('ادخال البيانات'!$N$3:$N$1164) - 1) / 7) + 1 = VALUE($B$11))),
            Table8[ملاحظة]
         ),
         ""
      ),
      IF(_xlpm.result="", "", _xlpm.result)
   )
)</f>
        <v/>
      </c>
      <c r="S836" s="46" t="str">
        <f t="shared" ca="1" si="13"/>
        <v/>
      </c>
    </row>
    <row r="837" spans="1:19" ht="15.6" thickTop="1" thickBot="1" x14ac:dyDescent="0.35">
      <c r="A837" s="39"/>
      <c r="B837" s="27" t="str" cm="1">
        <f t="array" ref="B837">IF(
   OR(A837="", $B$9="", $B$10="", $B$11=""),
   "",
   _xlfn.LET(
      _xlpm.result,
      IFERROR(
         _xlfn.XLOOKUP(
            1,
            (Table8[رقم الصنف]=A837)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7" s="27" t="str" cm="1">
        <f t="array" ref="C837">IF(
   A837="",
   "",
   _xlfn.LET(
      _xlpm.result,
      IFERROR(
         _xlfn.XLOOKUP(
            1,
            (Table8[رقم الصنف]=A837) *
            (IF($B$9="الكل",1, YEAR('ادخال البيانات'!$N$3:$N$1164) = VALUE($B$9))) *
            (IF($B$10="الكل",1, MONTH('ادخال البيانات'!$N$3:$N$1164) = VALUE($B$10))) *
            (IF($B$11="الكل",1, INT((DAY('ادخال البيانات'!$N$3:$N$1164)-1)/7)+1 = VALUE($B$11))),
            'ادخال البيانات'!$C$3:$C$1164
         ),
         ""
      ),
      IF(_xlpm.result="", "", _xlpm.result)
   )
)</f>
        <v/>
      </c>
      <c r="D837" s="27" t="str" cm="1">
        <f t="array" ref="D837">IF(
   OR(A837="", $B$9="", $B$10="", $B$11=""),
   "",
   _xlfn.LET(
      _xlpm.result,
      IFERROR(
         _xlfn.XLOOKUP(
            1,
            (Table8[رقم الصنف]=A837) *
            (IF($B$9="الكل",1, YEAR('ادخال البيانات'!$N$3:$N$1164)=VALUE($B$9))) *
            (IF($B$10="الكل",1, MONTH('ادخال البيانات'!$N$3:$N$1164)=VALUE($B$10))) *
            (IF($B$11="الكل",1, INT((DAY('ادخال البيانات'!$N$3:$N$1164)-1)/7)+1 = VALUE($B$11))),
            'ادخال البيانات'!$D$3:$D$1164
         ),
         ""
      ),
      IF(_xlpm.result="", "", _xlpm.result)
   )
)</f>
        <v/>
      </c>
      <c r="E837" s="27" t="str" cm="1">
        <f t="array" ref="E837">IF(
   A837="",
   "",
   _xlfn.LET(
      _xlpm.result,
      IFERROR(
         _xlfn.XLOOKUP(
            1,
            (Table8[رقم الصنف]=A837) *
            (IF($B$9="الكل",1, YEAR('ادخال البيانات'!$N$3:$N$1164)=VALUE($B$9))) *
            (IF($B$10="الكل",1, MONTH('ادخال البيانات'!$N$3:$N$1164)=VALUE($B$10))) *
            (IF($B$11="الكل",1, INT((DAY('ادخال البيانات'!$N$3:$N$1164)-1)/7)+1 = VALUE($B$11))),
            'ادخال البيانات'!$E$3:$E$1164
         ),
         ""
      ),
      IF(_xlpm.result="", "", _xlpm.result)
   )
)</f>
        <v/>
      </c>
      <c r="F837" s="27" t="str" cm="1">
        <f t="array" ref="F837">IF(
   A837="",
   "",
   _xlfn.LET(
      _xlpm.result,
      IFERROR(
         _xlfn.XLOOKUP(
            1,
            (Table8[رقم الصنف]=A837) *
            (IF($B$9="الكل",1, YEAR('ادخال البيانات'!$N$3:$N$1164) = VALUE($B$9))) *
            (IF($B$10="الكل",1, MONTH('ادخال البيانات'!$N$3:$N$1164) = VALUE($B$10))) *
            (IF($B$11="الكل",1, INT((DAY('ادخال البيانات'!$N$3:$N$1164)-1)/7)+1 = VALUE($B$11))),
            'ادخال البيانات'!$F$3:$F$1164
         ),
         ""
      ),
      IF(_xlpm.result="", "", _xlpm.result)
   )
)</f>
        <v/>
      </c>
      <c r="G837" s="27" t="str" cm="1">
        <f t="array" ref="G837">IF(
   A837="",
   "",
   _xlfn.LET(
      _xlpm.result,
      IFERROR(
         _xlfn.XLOOKUP(
            1,
            (Table8[رقم الصنف]=A837) *
            (IF($B$9="الكل",1, YEAR('ادخال البيانات'!$N$3:$N$1164)=VALUE($B$9))) *
            (IF($B$10="الكل",1, MONTH('ادخال البيانات'!$N$3:$N$1164)=VALUE($B$10))) *
            (IF($B$11="الكل",1, INT((DAY('ادخال البيانات'!$N$3:$N$1164)-1)/7)+1 = VALUE($B$11))),
            'ادخال البيانات'!$G$3:$G$1164
         ),
         ""
      ),
      IF(_xlpm.result="", "", _xlpm.result)
   )
)</f>
        <v/>
      </c>
      <c r="H837" s="27" t="str" cm="1">
        <f t="array" ref="H837">IF(
   A837="",
   "",
   _xlfn.LET(
      _xlpm.result,
      IFERROR(
         _xlfn.XLOOKUP(
            1,
            (Table8[رقم الصنف]=A837) *
            (IF($B$9="الكل",1, YEAR('ادخال البيانات'!$N$3:$N$1164)=VALUE($B$9))) *
            (IF($B$10="الكل",1, MONTH('ادخال البيانات'!$N$3:$N$1164)=VALUE($B$10))) *
            (IF($B$11="الكل",1, INT((DAY('ادخال البيانات'!$N$3:$N$1164)-1)/7)+1 = VALUE($B$11))),
            'ادخال البيانات'!$H$3:$H$1164
         ),
         ""
      ),
      IF(_xlpm.result="", "", _xlpm.result)
   )
)</f>
        <v/>
      </c>
      <c r="I837" s="27" t="str" cm="1">
        <f t="array" ref="I837">IF(
   A837="",
   "",
   _xlfn.LET(
      _xlpm.result,
      IFERROR(
         _xlfn.XLOOKUP(
            1,
            (Table8[رقم الصنف]=A837) *
            (IF($B$9="الكل",1, YEAR('ادخال البيانات'!$N$3:$N$1164)=VALUE($B$9))) *
            (IF($B$10="الكل",1, MONTH('ادخال البيانات'!$N$3:$N$1164)=VALUE($B$10))) *
            (IF($B$11="الكل",1, INT((DAY('ادخال البيانات'!$N$3:$N$1164)-1)/7)+1 = VALUE($B$11))),
            'ادخال البيانات'!$I$3:$I$1164
         ),
         ""
      ),
      IF(_xlpm.result="", "", _xlpm.result)
   )
)</f>
        <v/>
      </c>
      <c r="J837" s="27" t="str" cm="1">
        <f t="array" ref="J837">IF(
   A837="",
   "",
   _xlfn.LET(
      _xlpm.result,
      IFERROR(
         _xlfn.XLOOKUP(
            1,
            (Table8[رقم الصنف]=A837) *
            (IF($B$9="الكل",1, YEAR('ادخال البيانات'!$N$3:$N$1164)=VALUE($B$9))) *
            (IF($B$10="الكل",1, MONTH('ادخال البيانات'!$N$3:$N$1164)=VALUE($B$10))) *
            (IF($B$11="الكل",1, INT((DAY('ادخال البيانات'!$N$3:$N$1164)-1)/7)+1 = VALUE($B$11))),
            'ادخال البيانات'!$J$3:$J$1164
         ),
         ""
      ),
      IF(_xlpm.result="", "", _xlpm.result)
   )
)</f>
        <v/>
      </c>
      <c r="K837" s="27" t="str" cm="1">
        <f t="array" ref="K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7" s="27" t="str" cm="1">
        <f t="array" ref="L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7" s="27" t="str" cm="1">
        <f t="array" ref="M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7" s="28" t="str" cm="1">
        <f t="array" ref="N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7" s="28" t="str" cm="1">
        <f t="array" ref="O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7" s="27" t="str" cm="1">
        <f t="array" ref="P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Table8[جهة العطل]
         ),
         ""
      ),
      IF(_xlpm.result="", "", _xlpm.result)
   )
)</f>
        <v/>
      </c>
      <c r="Q837" s="27" t="str" cm="1">
        <f t="array" ref="Q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Table8[المركز]
         ),
         ""
      ),
      IF(_xlpm.result="", "", _xlpm.result)
   )
)</f>
        <v/>
      </c>
      <c r="R837" s="27" t="str" cm="1">
        <f t="array" ref="R837">IF(
   A837="",
   "",
   _xlfn.LET(
      _xlpm.result,
      IFERROR(
         _xlfn.XLOOKUP(
            1,
            (Table8[رقم الصنف]=A837) *
            (IF($B$9="الكل",1, YEAR('ادخال البيانات'!$N$3:$N$1164) = VALUE($B$9))) *
            (IF($B$10="الكل",1, MONTH('ادخال البيانات'!$N$3:$N$1164) = VALUE($B$10))) *
            (IF($B$11="الكل",1, INT((DAY('ادخال البيانات'!$N$3:$N$1164) - 1) / 7) + 1 = VALUE($B$11))),
            Table8[ملاحظة]
         ),
         ""
      ),
      IF(_xlpm.result="", "", _xlpm.result)
   )
)</f>
        <v/>
      </c>
      <c r="S837" s="46" t="str">
        <f t="shared" ca="1" si="13"/>
        <v/>
      </c>
    </row>
    <row r="838" spans="1:19" ht="15.6" thickTop="1" thickBot="1" x14ac:dyDescent="0.35">
      <c r="A838" s="39"/>
      <c r="B838" s="27" t="str" cm="1">
        <f t="array" ref="B838">IF(
   OR(A838="", $B$9="", $B$10="", $B$11=""),
   "",
   _xlfn.LET(
      _xlpm.result,
      IFERROR(
         _xlfn.XLOOKUP(
            1,
            (Table8[رقم الصنف]=A838)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8" s="27" t="str" cm="1">
        <f t="array" ref="C838">IF(
   A838="",
   "",
   _xlfn.LET(
      _xlpm.result,
      IFERROR(
         _xlfn.XLOOKUP(
            1,
            (Table8[رقم الصنف]=A838) *
            (IF($B$9="الكل",1, YEAR('ادخال البيانات'!$N$3:$N$1164) = VALUE($B$9))) *
            (IF($B$10="الكل",1, MONTH('ادخال البيانات'!$N$3:$N$1164) = VALUE($B$10))) *
            (IF($B$11="الكل",1, INT((DAY('ادخال البيانات'!$N$3:$N$1164)-1)/7)+1 = VALUE($B$11))),
            'ادخال البيانات'!$C$3:$C$1164
         ),
         ""
      ),
      IF(_xlpm.result="", "", _xlpm.result)
   )
)</f>
        <v/>
      </c>
      <c r="D838" s="27" t="str" cm="1">
        <f t="array" ref="D838">IF(
   OR(A838="", $B$9="", $B$10="", $B$11=""),
   "",
   _xlfn.LET(
      _xlpm.result,
      IFERROR(
         _xlfn.XLOOKUP(
            1,
            (Table8[رقم الصنف]=A838) *
            (IF($B$9="الكل",1, YEAR('ادخال البيانات'!$N$3:$N$1164)=VALUE($B$9))) *
            (IF($B$10="الكل",1, MONTH('ادخال البيانات'!$N$3:$N$1164)=VALUE($B$10))) *
            (IF($B$11="الكل",1, INT((DAY('ادخال البيانات'!$N$3:$N$1164)-1)/7)+1 = VALUE($B$11))),
            'ادخال البيانات'!$D$3:$D$1164
         ),
         ""
      ),
      IF(_xlpm.result="", "", _xlpm.result)
   )
)</f>
        <v/>
      </c>
      <c r="E838" s="27" t="str" cm="1">
        <f t="array" ref="E838">IF(
   A838="",
   "",
   _xlfn.LET(
      _xlpm.result,
      IFERROR(
         _xlfn.XLOOKUP(
            1,
            (Table8[رقم الصنف]=A838) *
            (IF($B$9="الكل",1, YEAR('ادخال البيانات'!$N$3:$N$1164)=VALUE($B$9))) *
            (IF($B$10="الكل",1, MONTH('ادخال البيانات'!$N$3:$N$1164)=VALUE($B$10))) *
            (IF($B$11="الكل",1, INT((DAY('ادخال البيانات'!$N$3:$N$1164)-1)/7)+1 = VALUE($B$11))),
            'ادخال البيانات'!$E$3:$E$1164
         ),
         ""
      ),
      IF(_xlpm.result="", "", _xlpm.result)
   )
)</f>
        <v/>
      </c>
      <c r="F838" s="27" t="str" cm="1">
        <f t="array" ref="F838">IF(
   A838="",
   "",
   _xlfn.LET(
      _xlpm.result,
      IFERROR(
         _xlfn.XLOOKUP(
            1,
            (Table8[رقم الصنف]=A838) *
            (IF($B$9="الكل",1, YEAR('ادخال البيانات'!$N$3:$N$1164) = VALUE($B$9))) *
            (IF($B$10="الكل",1, MONTH('ادخال البيانات'!$N$3:$N$1164) = VALUE($B$10))) *
            (IF($B$11="الكل",1, INT((DAY('ادخال البيانات'!$N$3:$N$1164)-1)/7)+1 = VALUE($B$11))),
            'ادخال البيانات'!$F$3:$F$1164
         ),
         ""
      ),
      IF(_xlpm.result="", "", _xlpm.result)
   )
)</f>
        <v/>
      </c>
      <c r="G838" s="27" t="str" cm="1">
        <f t="array" ref="G838">IF(
   A838="",
   "",
   _xlfn.LET(
      _xlpm.result,
      IFERROR(
         _xlfn.XLOOKUP(
            1,
            (Table8[رقم الصنف]=A838) *
            (IF($B$9="الكل",1, YEAR('ادخال البيانات'!$N$3:$N$1164)=VALUE($B$9))) *
            (IF($B$10="الكل",1, MONTH('ادخال البيانات'!$N$3:$N$1164)=VALUE($B$10))) *
            (IF($B$11="الكل",1, INT((DAY('ادخال البيانات'!$N$3:$N$1164)-1)/7)+1 = VALUE($B$11))),
            'ادخال البيانات'!$G$3:$G$1164
         ),
         ""
      ),
      IF(_xlpm.result="", "", _xlpm.result)
   )
)</f>
        <v/>
      </c>
      <c r="H838" s="27" t="str" cm="1">
        <f t="array" ref="H838">IF(
   A838="",
   "",
   _xlfn.LET(
      _xlpm.result,
      IFERROR(
         _xlfn.XLOOKUP(
            1,
            (Table8[رقم الصنف]=A838) *
            (IF($B$9="الكل",1, YEAR('ادخال البيانات'!$N$3:$N$1164)=VALUE($B$9))) *
            (IF($B$10="الكل",1, MONTH('ادخال البيانات'!$N$3:$N$1164)=VALUE($B$10))) *
            (IF($B$11="الكل",1, INT((DAY('ادخال البيانات'!$N$3:$N$1164)-1)/7)+1 = VALUE($B$11))),
            'ادخال البيانات'!$H$3:$H$1164
         ),
         ""
      ),
      IF(_xlpm.result="", "", _xlpm.result)
   )
)</f>
        <v/>
      </c>
      <c r="I838" s="27" t="str" cm="1">
        <f t="array" ref="I838">IF(
   A838="",
   "",
   _xlfn.LET(
      _xlpm.result,
      IFERROR(
         _xlfn.XLOOKUP(
            1,
            (Table8[رقم الصنف]=A838) *
            (IF($B$9="الكل",1, YEAR('ادخال البيانات'!$N$3:$N$1164)=VALUE($B$9))) *
            (IF($B$10="الكل",1, MONTH('ادخال البيانات'!$N$3:$N$1164)=VALUE($B$10))) *
            (IF($B$11="الكل",1, INT((DAY('ادخال البيانات'!$N$3:$N$1164)-1)/7)+1 = VALUE($B$11))),
            'ادخال البيانات'!$I$3:$I$1164
         ),
         ""
      ),
      IF(_xlpm.result="", "", _xlpm.result)
   )
)</f>
        <v/>
      </c>
      <c r="J838" s="27" t="str" cm="1">
        <f t="array" ref="J838">IF(
   A838="",
   "",
   _xlfn.LET(
      _xlpm.result,
      IFERROR(
         _xlfn.XLOOKUP(
            1,
            (Table8[رقم الصنف]=A838) *
            (IF($B$9="الكل",1, YEAR('ادخال البيانات'!$N$3:$N$1164)=VALUE($B$9))) *
            (IF($B$10="الكل",1, MONTH('ادخال البيانات'!$N$3:$N$1164)=VALUE($B$10))) *
            (IF($B$11="الكل",1, INT((DAY('ادخال البيانات'!$N$3:$N$1164)-1)/7)+1 = VALUE($B$11))),
            'ادخال البيانات'!$J$3:$J$1164
         ),
         ""
      ),
      IF(_xlpm.result="", "", _xlpm.result)
   )
)</f>
        <v/>
      </c>
      <c r="K838" s="27" t="str" cm="1">
        <f t="array" ref="K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8" s="27" t="str" cm="1">
        <f t="array" ref="L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8" s="27" t="str" cm="1">
        <f t="array" ref="M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8" s="28" t="str" cm="1">
        <f t="array" ref="N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8" s="28" t="str" cm="1">
        <f t="array" ref="O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8" s="27" t="str" cm="1">
        <f t="array" ref="P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Table8[جهة العطل]
         ),
         ""
      ),
      IF(_xlpm.result="", "", _xlpm.result)
   )
)</f>
        <v/>
      </c>
      <c r="Q838" s="27" t="str" cm="1">
        <f t="array" ref="Q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Table8[المركز]
         ),
         ""
      ),
      IF(_xlpm.result="", "", _xlpm.result)
   )
)</f>
        <v/>
      </c>
      <c r="R838" s="27" t="str" cm="1">
        <f t="array" ref="R838">IF(
   A838="",
   "",
   _xlfn.LET(
      _xlpm.result,
      IFERROR(
         _xlfn.XLOOKUP(
            1,
            (Table8[رقم الصنف]=A838) *
            (IF($B$9="الكل",1, YEAR('ادخال البيانات'!$N$3:$N$1164) = VALUE($B$9))) *
            (IF($B$10="الكل",1, MONTH('ادخال البيانات'!$N$3:$N$1164) = VALUE($B$10))) *
            (IF($B$11="الكل",1, INT((DAY('ادخال البيانات'!$N$3:$N$1164) - 1) / 7) + 1 = VALUE($B$11))),
            Table8[ملاحظة]
         ),
         ""
      ),
      IF(_xlpm.result="", "", _xlpm.result)
   )
)</f>
        <v/>
      </c>
      <c r="S838" s="46" t="str">
        <f t="shared" ca="1" si="13"/>
        <v/>
      </c>
    </row>
    <row r="839" spans="1:19" ht="15.6" thickTop="1" thickBot="1" x14ac:dyDescent="0.35">
      <c r="A839" s="39"/>
      <c r="B839" s="27" t="str" cm="1">
        <f t="array" ref="B839">IF(
   OR(A839="", $B$9="", $B$10="", $B$11=""),
   "",
   _xlfn.LET(
      _xlpm.result,
      IFERROR(
         _xlfn.XLOOKUP(
            1,
            (Table8[رقم الصنف]=A839)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39" s="27" t="str" cm="1">
        <f t="array" ref="C839">IF(
   A839="",
   "",
   _xlfn.LET(
      _xlpm.result,
      IFERROR(
         _xlfn.XLOOKUP(
            1,
            (Table8[رقم الصنف]=A839) *
            (IF($B$9="الكل",1, YEAR('ادخال البيانات'!$N$3:$N$1164) = VALUE($B$9))) *
            (IF($B$10="الكل",1, MONTH('ادخال البيانات'!$N$3:$N$1164) = VALUE($B$10))) *
            (IF($B$11="الكل",1, INT((DAY('ادخال البيانات'!$N$3:$N$1164)-1)/7)+1 = VALUE($B$11))),
            'ادخال البيانات'!$C$3:$C$1164
         ),
         ""
      ),
      IF(_xlpm.result="", "", _xlpm.result)
   )
)</f>
        <v/>
      </c>
      <c r="D839" s="27" t="str" cm="1">
        <f t="array" ref="D839">IF(
   OR(A839="", $B$9="", $B$10="", $B$11=""),
   "",
   _xlfn.LET(
      _xlpm.result,
      IFERROR(
         _xlfn.XLOOKUP(
            1,
            (Table8[رقم الصنف]=A839) *
            (IF($B$9="الكل",1, YEAR('ادخال البيانات'!$N$3:$N$1164)=VALUE($B$9))) *
            (IF($B$10="الكل",1, MONTH('ادخال البيانات'!$N$3:$N$1164)=VALUE($B$10))) *
            (IF($B$11="الكل",1, INT((DAY('ادخال البيانات'!$N$3:$N$1164)-1)/7)+1 = VALUE($B$11))),
            'ادخال البيانات'!$D$3:$D$1164
         ),
         ""
      ),
      IF(_xlpm.result="", "", _xlpm.result)
   )
)</f>
        <v/>
      </c>
      <c r="E839" s="27" t="str" cm="1">
        <f t="array" ref="E839">IF(
   A839="",
   "",
   _xlfn.LET(
      _xlpm.result,
      IFERROR(
         _xlfn.XLOOKUP(
            1,
            (Table8[رقم الصنف]=A839) *
            (IF($B$9="الكل",1, YEAR('ادخال البيانات'!$N$3:$N$1164)=VALUE($B$9))) *
            (IF($B$10="الكل",1, MONTH('ادخال البيانات'!$N$3:$N$1164)=VALUE($B$10))) *
            (IF($B$11="الكل",1, INT((DAY('ادخال البيانات'!$N$3:$N$1164)-1)/7)+1 = VALUE($B$11))),
            'ادخال البيانات'!$E$3:$E$1164
         ),
         ""
      ),
      IF(_xlpm.result="", "", _xlpm.result)
   )
)</f>
        <v/>
      </c>
      <c r="F839" s="27" t="str" cm="1">
        <f t="array" ref="F839">IF(
   A839="",
   "",
   _xlfn.LET(
      _xlpm.result,
      IFERROR(
         _xlfn.XLOOKUP(
            1,
            (Table8[رقم الصنف]=A839) *
            (IF($B$9="الكل",1, YEAR('ادخال البيانات'!$N$3:$N$1164) = VALUE($B$9))) *
            (IF($B$10="الكل",1, MONTH('ادخال البيانات'!$N$3:$N$1164) = VALUE($B$10))) *
            (IF($B$11="الكل",1, INT((DAY('ادخال البيانات'!$N$3:$N$1164)-1)/7)+1 = VALUE($B$11))),
            'ادخال البيانات'!$F$3:$F$1164
         ),
         ""
      ),
      IF(_xlpm.result="", "", _xlpm.result)
   )
)</f>
        <v/>
      </c>
      <c r="G839" s="27" t="str" cm="1">
        <f t="array" ref="G839">IF(
   A839="",
   "",
   _xlfn.LET(
      _xlpm.result,
      IFERROR(
         _xlfn.XLOOKUP(
            1,
            (Table8[رقم الصنف]=A839) *
            (IF($B$9="الكل",1, YEAR('ادخال البيانات'!$N$3:$N$1164)=VALUE($B$9))) *
            (IF($B$10="الكل",1, MONTH('ادخال البيانات'!$N$3:$N$1164)=VALUE($B$10))) *
            (IF($B$11="الكل",1, INT((DAY('ادخال البيانات'!$N$3:$N$1164)-1)/7)+1 = VALUE($B$11))),
            'ادخال البيانات'!$G$3:$G$1164
         ),
         ""
      ),
      IF(_xlpm.result="", "", _xlpm.result)
   )
)</f>
        <v/>
      </c>
      <c r="H839" s="27" t="str" cm="1">
        <f t="array" ref="H839">IF(
   A839="",
   "",
   _xlfn.LET(
      _xlpm.result,
      IFERROR(
         _xlfn.XLOOKUP(
            1,
            (Table8[رقم الصنف]=A839) *
            (IF($B$9="الكل",1, YEAR('ادخال البيانات'!$N$3:$N$1164)=VALUE($B$9))) *
            (IF($B$10="الكل",1, MONTH('ادخال البيانات'!$N$3:$N$1164)=VALUE($B$10))) *
            (IF($B$11="الكل",1, INT((DAY('ادخال البيانات'!$N$3:$N$1164)-1)/7)+1 = VALUE($B$11))),
            'ادخال البيانات'!$H$3:$H$1164
         ),
         ""
      ),
      IF(_xlpm.result="", "", _xlpm.result)
   )
)</f>
        <v/>
      </c>
      <c r="I839" s="27" t="str" cm="1">
        <f t="array" ref="I839">IF(
   A839="",
   "",
   _xlfn.LET(
      _xlpm.result,
      IFERROR(
         _xlfn.XLOOKUP(
            1,
            (Table8[رقم الصنف]=A839) *
            (IF($B$9="الكل",1, YEAR('ادخال البيانات'!$N$3:$N$1164)=VALUE($B$9))) *
            (IF($B$10="الكل",1, MONTH('ادخال البيانات'!$N$3:$N$1164)=VALUE($B$10))) *
            (IF($B$11="الكل",1, INT((DAY('ادخال البيانات'!$N$3:$N$1164)-1)/7)+1 = VALUE($B$11))),
            'ادخال البيانات'!$I$3:$I$1164
         ),
         ""
      ),
      IF(_xlpm.result="", "", _xlpm.result)
   )
)</f>
        <v/>
      </c>
      <c r="J839" s="27" t="str" cm="1">
        <f t="array" ref="J839">IF(
   A839="",
   "",
   _xlfn.LET(
      _xlpm.result,
      IFERROR(
         _xlfn.XLOOKUP(
            1,
            (Table8[رقم الصنف]=A839) *
            (IF($B$9="الكل",1, YEAR('ادخال البيانات'!$N$3:$N$1164)=VALUE($B$9))) *
            (IF($B$10="الكل",1, MONTH('ادخال البيانات'!$N$3:$N$1164)=VALUE($B$10))) *
            (IF($B$11="الكل",1, INT((DAY('ادخال البيانات'!$N$3:$N$1164)-1)/7)+1 = VALUE($B$11))),
            'ادخال البيانات'!$J$3:$J$1164
         ),
         ""
      ),
      IF(_xlpm.result="", "", _xlpm.result)
   )
)</f>
        <v/>
      </c>
      <c r="K839" s="27" t="str" cm="1">
        <f t="array" ref="K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39" s="27" t="str" cm="1">
        <f t="array" ref="L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39" s="27" t="str" cm="1">
        <f t="array" ref="M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39" s="28" t="str" cm="1">
        <f t="array" ref="N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39" s="28" t="str" cm="1">
        <f t="array" ref="O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39" s="27" t="str" cm="1">
        <f t="array" ref="P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Table8[جهة العطل]
         ),
         ""
      ),
      IF(_xlpm.result="", "", _xlpm.result)
   )
)</f>
        <v/>
      </c>
      <c r="Q839" s="27" t="str" cm="1">
        <f t="array" ref="Q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Table8[المركز]
         ),
         ""
      ),
      IF(_xlpm.result="", "", _xlpm.result)
   )
)</f>
        <v/>
      </c>
      <c r="R839" s="27" t="str" cm="1">
        <f t="array" ref="R839">IF(
   A839="",
   "",
   _xlfn.LET(
      _xlpm.result,
      IFERROR(
         _xlfn.XLOOKUP(
            1,
            (Table8[رقم الصنف]=A839) *
            (IF($B$9="الكل",1, YEAR('ادخال البيانات'!$N$3:$N$1164) = VALUE($B$9))) *
            (IF($B$10="الكل",1, MONTH('ادخال البيانات'!$N$3:$N$1164) = VALUE($B$10))) *
            (IF($B$11="الكل",1, INT((DAY('ادخال البيانات'!$N$3:$N$1164) - 1) / 7) + 1 = VALUE($B$11))),
            Table8[ملاحظة]
         ),
         ""
      ),
      IF(_xlpm.result="", "", _xlpm.result)
   )
)</f>
        <v/>
      </c>
      <c r="S839" s="46" t="str">
        <f t="shared" ca="1" si="13"/>
        <v/>
      </c>
    </row>
    <row r="840" spans="1:19" ht="15.6" thickTop="1" thickBot="1" x14ac:dyDescent="0.35">
      <c r="A840" s="39"/>
      <c r="B840" s="27" t="str" cm="1">
        <f t="array" ref="B840">IF(
   OR(A840="", $B$9="", $B$10="", $B$11=""),
   "",
   _xlfn.LET(
      _xlpm.result,
      IFERROR(
         _xlfn.XLOOKUP(
            1,
            (Table8[رقم الصنف]=A840)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0" s="27" t="str" cm="1">
        <f t="array" ref="C840">IF(
   A840="",
   "",
   _xlfn.LET(
      _xlpm.result,
      IFERROR(
         _xlfn.XLOOKUP(
            1,
            (Table8[رقم الصنف]=A840) *
            (IF($B$9="الكل",1, YEAR('ادخال البيانات'!$N$3:$N$1164) = VALUE($B$9))) *
            (IF($B$10="الكل",1, MONTH('ادخال البيانات'!$N$3:$N$1164) = VALUE($B$10))) *
            (IF($B$11="الكل",1, INT((DAY('ادخال البيانات'!$N$3:$N$1164)-1)/7)+1 = VALUE($B$11))),
            'ادخال البيانات'!$C$3:$C$1164
         ),
         ""
      ),
      IF(_xlpm.result="", "", _xlpm.result)
   )
)</f>
        <v/>
      </c>
      <c r="D840" s="27" t="str" cm="1">
        <f t="array" ref="D840">IF(
   OR(A840="", $B$9="", $B$10="", $B$11=""),
   "",
   _xlfn.LET(
      _xlpm.result,
      IFERROR(
         _xlfn.XLOOKUP(
            1,
            (Table8[رقم الصنف]=A840) *
            (IF($B$9="الكل",1, YEAR('ادخال البيانات'!$N$3:$N$1164)=VALUE($B$9))) *
            (IF($B$10="الكل",1, MONTH('ادخال البيانات'!$N$3:$N$1164)=VALUE($B$10))) *
            (IF($B$11="الكل",1, INT((DAY('ادخال البيانات'!$N$3:$N$1164)-1)/7)+1 = VALUE($B$11))),
            'ادخال البيانات'!$D$3:$D$1164
         ),
         ""
      ),
      IF(_xlpm.result="", "", _xlpm.result)
   )
)</f>
        <v/>
      </c>
      <c r="E840" s="27" t="str" cm="1">
        <f t="array" ref="E840">IF(
   A840="",
   "",
   _xlfn.LET(
      _xlpm.result,
      IFERROR(
         _xlfn.XLOOKUP(
            1,
            (Table8[رقم الصنف]=A840) *
            (IF($B$9="الكل",1, YEAR('ادخال البيانات'!$N$3:$N$1164)=VALUE($B$9))) *
            (IF($B$10="الكل",1, MONTH('ادخال البيانات'!$N$3:$N$1164)=VALUE($B$10))) *
            (IF($B$11="الكل",1, INT((DAY('ادخال البيانات'!$N$3:$N$1164)-1)/7)+1 = VALUE($B$11))),
            'ادخال البيانات'!$E$3:$E$1164
         ),
         ""
      ),
      IF(_xlpm.result="", "", _xlpm.result)
   )
)</f>
        <v/>
      </c>
      <c r="F840" s="27" t="str" cm="1">
        <f t="array" ref="F840">IF(
   A840="",
   "",
   _xlfn.LET(
      _xlpm.result,
      IFERROR(
         _xlfn.XLOOKUP(
            1,
            (Table8[رقم الصنف]=A840) *
            (IF($B$9="الكل",1, YEAR('ادخال البيانات'!$N$3:$N$1164) = VALUE($B$9))) *
            (IF($B$10="الكل",1, MONTH('ادخال البيانات'!$N$3:$N$1164) = VALUE($B$10))) *
            (IF($B$11="الكل",1, INT((DAY('ادخال البيانات'!$N$3:$N$1164)-1)/7)+1 = VALUE($B$11))),
            'ادخال البيانات'!$F$3:$F$1164
         ),
         ""
      ),
      IF(_xlpm.result="", "", _xlpm.result)
   )
)</f>
        <v/>
      </c>
      <c r="G840" s="27" t="str" cm="1">
        <f t="array" ref="G840">IF(
   A840="",
   "",
   _xlfn.LET(
      _xlpm.result,
      IFERROR(
         _xlfn.XLOOKUP(
            1,
            (Table8[رقم الصنف]=A840) *
            (IF($B$9="الكل",1, YEAR('ادخال البيانات'!$N$3:$N$1164)=VALUE($B$9))) *
            (IF($B$10="الكل",1, MONTH('ادخال البيانات'!$N$3:$N$1164)=VALUE($B$10))) *
            (IF($B$11="الكل",1, INT((DAY('ادخال البيانات'!$N$3:$N$1164)-1)/7)+1 = VALUE($B$11))),
            'ادخال البيانات'!$G$3:$G$1164
         ),
         ""
      ),
      IF(_xlpm.result="", "", _xlpm.result)
   )
)</f>
        <v/>
      </c>
      <c r="H840" s="27" t="str" cm="1">
        <f t="array" ref="H840">IF(
   A840="",
   "",
   _xlfn.LET(
      _xlpm.result,
      IFERROR(
         _xlfn.XLOOKUP(
            1,
            (Table8[رقم الصنف]=A840) *
            (IF($B$9="الكل",1, YEAR('ادخال البيانات'!$N$3:$N$1164)=VALUE($B$9))) *
            (IF($B$10="الكل",1, MONTH('ادخال البيانات'!$N$3:$N$1164)=VALUE($B$10))) *
            (IF($B$11="الكل",1, INT((DAY('ادخال البيانات'!$N$3:$N$1164)-1)/7)+1 = VALUE($B$11))),
            'ادخال البيانات'!$H$3:$H$1164
         ),
         ""
      ),
      IF(_xlpm.result="", "", _xlpm.result)
   )
)</f>
        <v/>
      </c>
      <c r="I840" s="27" t="str" cm="1">
        <f t="array" ref="I840">IF(
   A840="",
   "",
   _xlfn.LET(
      _xlpm.result,
      IFERROR(
         _xlfn.XLOOKUP(
            1,
            (Table8[رقم الصنف]=A840) *
            (IF($B$9="الكل",1, YEAR('ادخال البيانات'!$N$3:$N$1164)=VALUE($B$9))) *
            (IF($B$10="الكل",1, MONTH('ادخال البيانات'!$N$3:$N$1164)=VALUE($B$10))) *
            (IF($B$11="الكل",1, INT((DAY('ادخال البيانات'!$N$3:$N$1164)-1)/7)+1 = VALUE($B$11))),
            'ادخال البيانات'!$I$3:$I$1164
         ),
         ""
      ),
      IF(_xlpm.result="", "", _xlpm.result)
   )
)</f>
        <v/>
      </c>
      <c r="J840" s="27" t="str" cm="1">
        <f t="array" ref="J840">IF(
   A840="",
   "",
   _xlfn.LET(
      _xlpm.result,
      IFERROR(
         _xlfn.XLOOKUP(
            1,
            (Table8[رقم الصنف]=A840) *
            (IF($B$9="الكل",1, YEAR('ادخال البيانات'!$N$3:$N$1164)=VALUE($B$9))) *
            (IF($B$10="الكل",1, MONTH('ادخال البيانات'!$N$3:$N$1164)=VALUE($B$10))) *
            (IF($B$11="الكل",1, INT((DAY('ادخال البيانات'!$N$3:$N$1164)-1)/7)+1 = VALUE($B$11))),
            'ادخال البيانات'!$J$3:$J$1164
         ),
         ""
      ),
      IF(_xlpm.result="", "", _xlpm.result)
   )
)</f>
        <v/>
      </c>
      <c r="K840" s="27" t="str" cm="1">
        <f t="array" ref="K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0" s="27" t="str" cm="1">
        <f t="array" ref="L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0" s="27" t="str" cm="1">
        <f t="array" ref="M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0" s="28" t="str" cm="1">
        <f t="array" ref="N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0" s="28" t="str" cm="1">
        <f t="array" ref="O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0" s="27" t="str" cm="1">
        <f t="array" ref="P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Table8[جهة العطل]
         ),
         ""
      ),
      IF(_xlpm.result="", "", _xlpm.result)
   )
)</f>
        <v/>
      </c>
      <c r="Q840" s="27" t="str" cm="1">
        <f t="array" ref="Q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Table8[المركز]
         ),
         ""
      ),
      IF(_xlpm.result="", "", _xlpm.result)
   )
)</f>
        <v/>
      </c>
      <c r="R840" s="27" t="str" cm="1">
        <f t="array" ref="R840">IF(
   A840="",
   "",
   _xlfn.LET(
      _xlpm.result,
      IFERROR(
         _xlfn.XLOOKUP(
            1,
            (Table8[رقم الصنف]=A840) *
            (IF($B$9="الكل",1, YEAR('ادخال البيانات'!$N$3:$N$1164) = VALUE($B$9))) *
            (IF($B$10="الكل",1, MONTH('ادخال البيانات'!$N$3:$N$1164) = VALUE($B$10))) *
            (IF($B$11="الكل",1, INT((DAY('ادخال البيانات'!$N$3:$N$1164) - 1) / 7) + 1 = VALUE($B$11))),
            Table8[ملاحظة]
         ),
         ""
      ),
      IF(_xlpm.result="", "", _xlpm.result)
   )
)</f>
        <v/>
      </c>
      <c r="S840" s="46" t="str">
        <f t="shared" ca="1" si="13"/>
        <v/>
      </c>
    </row>
    <row r="841" spans="1:19" ht="15.6" thickTop="1" thickBot="1" x14ac:dyDescent="0.35">
      <c r="A841" s="39"/>
      <c r="B841" s="27" t="str" cm="1">
        <f t="array" ref="B841">IF(
   OR(A841="", $B$9="", $B$10="", $B$11=""),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1" s="27" t="str" cm="1">
        <f t="array" ref="C841">IF(
   A841="",
   "",
   _xlfn.LET(
      _xlpm.result,
      IFERROR(
         _xlfn.XLOOKUP(
            1,
            (Table8[رقم الصنف]=A841) *
            (IF($B$9="الكل",1, YEAR('ادخال البيانات'!$N$3:$N$1164) = VALUE($B$9))) *
            (IF($B$10="الكل",1, MONTH('ادخال البيانات'!$N$3:$N$1164) = VALUE($B$10))) *
            (IF($B$11="الكل",1, INT((DAY('ادخال البيانات'!$N$3:$N$1164)-1)/7)+1 = VALUE($B$11))),
            'ادخال البيانات'!$C$3:$C$1164
         ),
         ""
      ),
      IF(_xlpm.result="", "", _xlpm.result)
   )
)</f>
        <v/>
      </c>
      <c r="D841" s="27" t="str" cm="1">
        <f t="array" ref="D841">IF(
   OR(A841="", $B$9="", $B$10="", $B$11=""),
   "",
   _xlfn.LET(
      _xlpm.result,
      IFERROR(
         _xlfn.XLOOKUP(
            1,
            (Table8[رقم الصنف]=A841) *
            (IF($B$9="الكل",1, YEAR('ادخال البيانات'!$N$3:$N$1164)=VALUE($B$9))) *
            (IF($B$10="الكل",1, MONTH('ادخال البيانات'!$N$3:$N$1164)=VALUE($B$10))) *
            (IF($B$11="الكل",1, INT((DAY('ادخال البيانات'!$N$3:$N$1164)-1)/7)+1 = VALUE($B$11))),
            'ادخال البيانات'!$D$3:$D$1164
         ),
         ""
      ),
      IF(_xlpm.result="", "", _xlpm.result)
   )
)</f>
        <v/>
      </c>
      <c r="E841" s="27" t="str" cm="1">
        <f t="array" ref="E841">IF(
   A841="",
   "",
   _xlfn.LET(
      _xlpm.result,
      IFERROR(
         _xlfn.XLOOKUP(
            1,
            (Table8[رقم الصنف]=A841) *
            (IF($B$9="الكل",1, YEAR('ادخال البيانات'!$N$3:$N$1164)=VALUE($B$9))) *
            (IF($B$10="الكل",1, MONTH('ادخال البيانات'!$N$3:$N$1164)=VALUE($B$10))) *
            (IF($B$11="الكل",1, INT((DAY('ادخال البيانات'!$N$3:$N$1164)-1)/7)+1 = VALUE($B$11))),
            'ادخال البيانات'!$E$3:$E$1164
         ),
         ""
      ),
      IF(_xlpm.result="", "", _xlpm.result)
   )
)</f>
        <v/>
      </c>
      <c r="F841" s="27" t="str" cm="1">
        <f t="array" ref="F841">IF(
   A841="",
   "",
   _xlfn.LET(
      _xlpm.result,
      IFERROR(
         _xlfn.XLOOKUP(
            1,
            (Table8[رقم الصنف]=A841) *
            (IF($B$9="الكل",1, YEAR('ادخال البيانات'!$N$3:$N$1164) = VALUE($B$9))) *
            (IF($B$10="الكل",1, MONTH('ادخال البيانات'!$N$3:$N$1164) = VALUE($B$10))) *
            (IF($B$11="الكل",1, INT((DAY('ادخال البيانات'!$N$3:$N$1164)-1)/7)+1 = VALUE($B$11))),
            'ادخال البيانات'!$F$3:$F$1164
         ),
         ""
      ),
      IF(_xlpm.result="", "", _xlpm.result)
   )
)</f>
        <v/>
      </c>
      <c r="G841" s="27" t="str" cm="1">
        <f t="array" ref="G841">IF(
   A841="",
   "",
   _xlfn.LET(
      _xlpm.result,
      IFERROR(
         _xlfn.XLOOKUP(
            1,
            (Table8[رقم الصنف]=A841) *
            (IF($B$9="الكل",1, YEAR('ادخال البيانات'!$N$3:$N$1164)=VALUE($B$9))) *
            (IF($B$10="الكل",1, MONTH('ادخال البيانات'!$N$3:$N$1164)=VALUE($B$10))) *
            (IF($B$11="الكل",1, INT((DAY('ادخال البيانات'!$N$3:$N$1164)-1)/7)+1 = VALUE($B$11))),
            'ادخال البيانات'!$G$3:$G$1164
         ),
         ""
      ),
      IF(_xlpm.result="", "", _xlpm.result)
   )
)</f>
        <v/>
      </c>
      <c r="H841" s="27" t="str" cm="1">
        <f t="array" ref="H841">IF(
   A841="",
   "",
   _xlfn.LET(
      _xlpm.result,
      IFERROR(
         _xlfn.XLOOKUP(
            1,
            (Table8[رقم الصنف]=A841) *
            (IF($B$9="الكل",1, YEAR('ادخال البيانات'!$N$3:$N$1164)=VALUE($B$9))) *
            (IF($B$10="الكل",1, MONTH('ادخال البيانات'!$N$3:$N$1164)=VALUE($B$10))) *
            (IF($B$11="الكل",1, INT((DAY('ادخال البيانات'!$N$3:$N$1164)-1)/7)+1 = VALUE($B$11))),
            'ادخال البيانات'!$H$3:$H$1164
         ),
         ""
      ),
      IF(_xlpm.result="", "", _xlpm.result)
   )
)</f>
        <v/>
      </c>
      <c r="I841" s="27" t="str" cm="1">
        <f t="array" ref="I841">IF(
   A841="",
   "",
   _xlfn.LET(
      _xlpm.result,
      IFERROR(
         _xlfn.XLOOKUP(
            1,
            (Table8[رقم الصنف]=A841) *
            (IF($B$9="الكل",1, YEAR('ادخال البيانات'!$N$3:$N$1164)=VALUE($B$9))) *
            (IF($B$10="الكل",1, MONTH('ادخال البيانات'!$N$3:$N$1164)=VALUE($B$10))) *
            (IF($B$11="الكل",1, INT((DAY('ادخال البيانات'!$N$3:$N$1164)-1)/7)+1 = VALUE($B$11))),
            'ادخال البيانات'!$I$3:$I$1164
         ),
         ""
      ),
      IF(_xlpm.result="", "", _xlpm.result)
   )
)</f>
        <v/>
      </c>
      <c r="J841" s="27" t="str" cm="1">
        <f t="array" ref="J841">IF(
   A841="",
   "",
   _xlfn.LET(
      _xlpm.result,
      IFERROR(
         _xlfn.XLOOKUP(
            1,
            (Table8[رقم الصنف]=A841) *
            (IF($B$9="الكل",1, YEAR('ادخال البيانات'!$N$3:$N$1164)=VALUE($B$9))) *
            (IF($B$10="الكل",1, MONTH('ادخال البيانات'!$N$3:$N$1164)=VALUE($B$10))) *
            (IF($B$11="الكل",1, INT((DAY('ادخال البيانات'!$N$3:$N$1164)-1)/7)+1 = VALUE($B$11))),
            'ادخال البيانات'!$J$3:$J$1164
         ),
         ""
      ),
      IF(_xlpm.result="", "", _xlpm.result)
   )
)</f>
        <v/>
      </c>
      <c r="K841" s="27" t="str" cm="1">
        <f t="array" ref="K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1" s="27" t="str" cm="1">
        <f t="array" ref="L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1" s="27" t="str" cm="1">
        <f t="array" ref="M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1" s="28" t="str" cm="1">
        <f t="array" ref="N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1" s="28" t="str" cm="1">
        <f t="array" ref="O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1" s="27" t="str" cm="1">
        <f t="array" ref="P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Table8[جهة العطل]
         ),
         ""
      ),
      IF(_xlpm.result="", "", _xlpm.result)
   )
)</f>
        <v/>
      </c>
      <c r="Q841" s="27" t="str" cm="1">
        <f t="array" ref="Q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Table8[المركز]
         ),
         ""
      ),
      IF(_xlpm.result="", "", _xlpm.result)
   )
)</f>
        <v/>
      </c>
      <c r="R841" s="27" t="str" cm="1">
        <f t="array" ref="R841">IF(
   A841="",
   "",
   _xlfn.LET(
      _xlpm.result,
      IFERROR(
         _xlfn.XLOOKUP(
            1,
            (Table8[رقم الصنف]=A841) *
            (IF($B$9="الكل",1, YEAR('ادخال البيانات'!$N$3:$N$1164) = VALUE($B$9))) *
            (IF($B$10="الكل",1, MONTH('ادخال البيانات'!$N$3:$N$1164) = VALUE($B$10))) *
            (IF($B$11="الكل",1, INT((DAY('ادخال البيانات'!$N$3:$N$1164) - 1) / 7) + 1 = VALUE($B$11))),
            Table8[ملاحظة]
         ),
         ""
      ),
      IF(_xlpm.result="", "", _xlpm.result)
   )
)</f>
        <v/>
      </c>
      <c r="S841" s="46" t="str">
        <f t="shared" ca="1" si="13"/>
        <v/>
      </c>
    </row>
    <row r="842" spans="1:19" ht="15.6" thickTop="1" thickBot="1" x14ac:dyDescent="0.35">
      <c r="A842" s="39"/>
      <c r="B842" s="27" t="str" cm="1">
        <f t="array" ref="B842">IF(
   OR(A842="", $B$9="", $B$10="", $B$11=""),
   "",
   _xlfn.LET(
      _xlpm.result,
      IFERROR(
         _xlfn.XLOOKUP(
            1,
            (Table8[رقم الصنف]=A842)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2" s="27" t="str" cm="1">
        <f t="array" ref="C842">IF(
   A842="",
   "",
   _xlfn.LET(
      _xlpm.result,
      IFERROR(
         _xlfn.XLOOKUP(
            1,
            (Table8[رقم الصنف]=A842) *
            (IF($B$9="الكل",1, YEAR('ادخال البيانات'!$N$3:$N$1164) = VALUE($B$9))) *
            (IF($B$10="الكل",1, MONTH('ادخال البيانات'!$N$3:$N$1164) = VALUE($B$10))) *
            (IF($B$11="الكل",1, INT((DAY('ادخال البيانات'!$N$3:$N$1164)-1)/7)+1 = VALUE($B$11))),
            'ادخال البيانات'!$C$3:$C$1164
         ),
         ""
      ),
      IF(_xlpm.result="", "", _xlpm.result)
   )
)</f>
        <v/>
      </c>
      <c r="D842" s="27" t="str" cm="1">
        <f t="array" ref="D842">IF(
   OR(A842="", $B$9="", $B$10="", $B$11=""),
   "",
   _xlfn.LET(
      _xlpm.result,
      IFERROR(
         _xlfn.XLOOKUP(
            1,
            (Table8[رقم الصنف]=A842) *
            (IF($B$9="الكل",1, YEAR('ادخال البيانات'!$N$3:$N$1164)=VALUE($B$9))) *
            (IF($B$10="الكل",1, MONTH('ادخال البيانات'!$N$3:$N$1164)=VALUE($B$10))) *
            (IF($B$11="الكل",1, INT((DAY('ادخال البيانات'!$N$3:$N$1164)-1)/7)+1 = VALUE($B$11))),
            'ادخال البيانات'!$D$3:$D$1164
         ),
         ""
      ),
      IF(_xlpm.result="", "", _xlpm.result)
   )
)</f>
        <v/>
      </c>
      <c r="E842" s="27" t="str" cm="1">
        <f t="array" ref="E842">IF(
   A842="",
   "",
   _xlfn.LET(
      _xlpm.result,
      IFERROR(
         _xlfn.XLOOKUP(
            1,
            (Table8[رقم الصنف]=A842) *
            (IF($B$9="الكل",1, YEAR('ادخال البيانات'!$N$3:$N$1164)=VALUE($B$9))) *
            (IF($B$10="الكل",1, MONTH('ادخال البيانات'!$N$3:$N$1164)=VALUE($B$10))) *
            (IF($B$11="الكل",1, INT((DAY('ادخال البيانات'!$N$3:$N$1164)-1)/7)+1 = VALUE($B$11))),
            'ادخال البيانات'!$E$3:$E$1164
         ),
         ""
      ),
      IF(_xlpm.result="", "", _xlpm.result)
   )
)</f>
        <v/>
      </c>
      <c r="F842" s="27" t="str" cm="1">
        <f t="array" ref="F842">IF(
   A842="",
   "",
   _xlfn.LET(
      _xlpm.result,
      IFERROR(
         _xlfn.XLOOKUP(
            1,
            (Table8[رقم الصنف]=A842) *
            (IF($B$9="الكل",1, YEAR('ادخال البيانات'!$N$3:$N$1164) = VALUE($B$9))) *
            (IF($B$10="الكل",1, MONTH('ادخال البيانات'!$N$3:$N$1164) = VALUE($B$10))) *
            (IF($B$11="الكل",1, INT((DAY('ادخال البيانات'!$N$3:$N$1164)-1)/7)+1 = VALUE($B$11))),
            'ادخال البيانات'!$F$3:$F$1164
         ),
         ""
      ),
      IF(_xlpm.result="", "", _xlpm.result)
   )
)</f>
        <v/>
      </c>
      <c r="G842" s="27" t="str" cm="1">
        <f t="array" ref="G842">IF(
   A842="",
   "",
   _xlfn.LET(
      _xlpm.result,
      IFERROR(
         _xlfn.XLOOKUP(
            1,
            (Table8[رقم الصنف]=A842) *
            (IF($B$9="الكل",1, YEAR('ادخال البيانات'!$N$3:$N$1164)=VALUE($B$9))) *
            (IF($B$10="الكل",1, MONTH('ادخال البيانات'!$N$3:$N$1164)=VALUE($B$10))) *
            (IF($B$11="الكل",1, INT((DAY('ادخال البيانات'!$N$3:$N$1164)-1)/7)+1 = VALUE($B$11))),
            'ادخال البيانات'!$G$3:$G$1164
         ),
         ""
      ),
      IF(_xlpm.result="", "", _xlpm.result)
   )
)</f>
        <v/>
      </c>
      <c r="H842" s="27" t="str" cm="1">
        <f t="array" ref="H842">IF(
   A842="",
   "",
   _xlfn.LET(
      _xlpm.result,
      IFERROR(
         _xlfn.XLOOKUP(
            1,
            (Table8[رقم الصنف]=A842) *
            (IF($B$9="الكل",1, YEAR('ادخال البيانات'!$N$3:$N$1164)=VALUE($B$9))) *
            (IF($B$10="الكل",1, MONTH('ادخال البيانات'!$N$3:$N$1164)=VALUE($B$10))) *
            (IF($B$11="الكل",1, INT((DAY('ادخال البيانات'!$N$3:$N$1164)-1)/7)+1 = VALUE($B$11))),
            'ادخال البيانات'!$H$3:$H$1164
         ),
         ""
      ),
      IF(_xlpm.result="", "", _xlpm.result)
   )
)</f>
        <v/>
      </c>
      <c r="I842" s="27" t="str" cm="1">
        <f t="array" ref="I842">IF(
   A842="",
   "",
   _xlfn.LET(
      _xlpm.result,
      IFERROR(
         _xlfn.XLOOKUP(
            1,
            (Table8[رقم الصنف]=A842) *
            (IF($B$9="الكل",1, YEAR('ادخال البيانات'!$N$3:$N$1164)=VALUE($B$9))) *
            (IF($B$10="الكل",1, MONTH('ادخال البيانات'!$N$3:$N$1164)=VALUE($B$10))) *
            (IF($B$11="الكل",1, INT((DAY('ادخال البيانات'!$N$3:$N$1164)-1)/7)+1 = VALUE($B$11))),
            'ادخال البيانات'!$I$3:$I$1164
         ),
         ""
      ),
      IF(_xlpm.result="", "", _xlpm.result)
   )
)</f>
        <v/>
      </c>
      <c r="J842" s="27" t="str" cm="1">
        <f t="array" ref="J842">IF(
   A842="",
   "",
   _xlfn.LET(
      _xlpm.result,
      IFERROR(
         _xlfn.XLOOKUP(
            1,
            (Table8[رقم الصنف]=A842) *
            (IF($B$9="الكل",1, YEAR('ادخال البيانات'!$N$3:$N$1164)=VALUE($B$9))) *
            (IF($B$10="الكل",1, MONTH('ادخال البيانات'!$N$3:$N$1164)=VALUE($B$10))) *
            (IF($B$11="الكل",1, INT((DAY('ادخال البيانات'!$N$3:$N$1164)-1)/7)+1 = VALUE($B$11))),
            'ادخال البيانات'!$J$3:$J$1164
         ),
         ""
      ),
      IF(_xlpm.result="", "", _xlpm.result)
   )
)</f>
        <v/>
      </c>
      <c r="K842" s="27" t="str" cm="1">
        <f t="array" ref="K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2" s="27" t="str" cm="1">
        <f t="array" ref="L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2" s="27" t="str" cm="1">
        <f t="array" ref="M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2" s="28" t="str" cm="1">
        <f t="array" ref="N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2" s="28" t="str" cm="1">
        <f t="array" ref="O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2" s="27" t="str" cm="1">
        <f t="array" ref="P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Table8[جهة العطل]
         ),
         ""
      ),
      IF(_xlpm.result="", "", _xlpm.result)
   )
)</f>
        <v/>
      </c>
      <c r="Q842" s="27" t="str" cm="1">
        <f t="array" ref="Q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Table8[المركز]
         ),
         ""
      ),
      IF(_xlpm.result="", "", _xlpm.result)
   )
)</f>
        <v/>
      </c>
      <c r="R842" s="27" t="str" cm="1">
        <f t="array" ref="R842">IF(
   A842="",
   "",
   _xlfn.LET(
      _xlpm.result,
      IFERROR(
         _xlfn.XLOOKUP(
            1,
            (Table8[رقم الصنف]=A842) *
            (IF($B$9="الكل",1, YEAR('ادخال البيانات'!$N$3:$N$1164) = VALUE($B$9))) *
            (IF($B$10="الكل",1, MONTH('ادخال البيانات'!$N$3:$N$1164) = VALUE($B$10))) *
            (IF($B$11="الكل",1, INT((DAY('ادخال البيانات'!$N$3:$N$1164) - 1) / 7) + 1 = VALUE($B$11))),
            Table8[ملاحظة]
         ),
         ""
      ),
      IF(_xlpm.result="", "", _xlpm.result)
   )
)</f>
        <v/>
      </c>
      <c r="S842" s="46" t="str">
        <f t="shared" ca="1" si="13"/>
        <v/>
      </c>
    </row>
    <row r="843" spans="1:19" ht="15.6" thickTop="1" thickBot="1" x14ac:dyDescent="0.35">
      <c r="A843" s="39"/>
      <c r="B843" s="27" t="str" cm="1">
        <f t="array" ref="B843">IF(
   OR(A843="", $B$9="", $B$10="", $B$11=""),
   "",
   _xlfn.LET(
      _xlpm.result,
      IFERROR(
         _xlfn.XLOOKUP(
            1,
            (Table8[رقم الصنف]=A843)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3" s="27" t="str" cm="1">
        <f t="array" ref="C843">IF(
   A843="",
   "",
   _xlfn.LET(
      _xlpm.result,
      IFERROR(
         _xlfn.XLOOKUP(
            1,
            (Table8[رقم الصنف]=A843) *
            (IF($B$9="الكل",1, YEAR('ادخال البيانات'!$N$3:$N$1164) = VALUE($B$9))) *
            (IF($B$10="الكل",1, MONTH('ادخال البيانات'!$N$3:$N$1164) = VALUE($B$10))) *
            (IF($B$11="الكل",1, INT((DAY('ادخال البيانات'!$N$3:$N$1164)-1)/7)+1 = VALUE($B$11))),
            'ادخال البيانات'!$C$3:$C$1164
         ),
         ""
      ),
      IF(_xlpm.result="", "", _xlpm.result)
   )
)</f>
        <v/>
      </c>
      <c r="D843" s="27" t="str" cm="1">
        <f t="array" ref="D843">IF(
   OR(A843="", $B$9="", $B$10="", $B$11=""),
   "",
   _xlfn.LET(
      _xlpm.result,
      IFERROR(
         _xlfn.XLOOKUP(
            1,
            (Table8[رقم الصنف]=A843) *
            (IF($B$9="الكل",1, YEAR('ادخال البيانات'!$N$3:$N$1164)=VALUE($B$9))) *
            (IF($B$10="الكل",1, MONTH('ادخال البيانات'!$N$3:$N$1164)=VALUE($B$10))) *
            (IF($B$11="الكل",1, INT((DAY('ادخال البيانات'!$N$3:$N$1164)-1)/7)+1 = VALUE($B$11))),
            'ادخال البيانات'!$D$3:$D$1164
         ),
         ""
      ),
      IF(_xlpm.result="", "", _xlpm.result)
   )
)</f>
        <v/>
      </c>
      <c r="E843" s="27" t="str" cm="1">
        <f t="array" ref="E843">IF(
   A843="",
   "",
   _xlfn.LET(
      _xlpm.result,
      IFERROR(
         _xlfn.XLOOKUP(
            1,
            (Table8[رقم الصنف]=A843) *
            (IF($B$9="الكل",1, YEAR('ادخال البيانات'!$N$3:$N$1164)=VALUE($B$9))) *
            (IF($B$10="الكل",1, MONTH('ادخال البيانات'!$N$3:$N$1164)=VALUE($B$10))) *
            (IF($B$11="الكل",1, INT((DAY('ادخال البيانات'!$N$3:$N$1164)-1)/7)+1 = VALUE($B$11))),
            'ادخال البيانات'!$E$3:$E$1164
         ),
         ""
      ),
      IF(_xlpm.result="", "", _xlpm.result)
   )
)</f>
        <v/>
      </c>
      <c r="F843" s="27" t="str" cm="1">
        <f t="array" ref="F843">IF(
   A843="",
   "",
   _xlfn.LET(
      _xlpm.result,
      IFERROR(
         _xlfn.XLOOKUP(
            1,
            (Table8[رقم الصنف]=A843) *
            (IF($B$9="الكل",1, YEAR('ادخال البيانات'!$N$3:$N$1164) = VALUE($B$9))) *
            (IF($B$10="الكل",1, MONTH('ادخال البيانات'!$N$3:$N$1164) = VALUE($B$10))) *
            (IF($B$11="الكل",1, INT((DAY('ادخال البيانات'!$N$3:$N$1164)-1)/7)+1 = VALUE($B$11))),
            'ادخال البيانات'!$F$3:$F$1164
         ),
         ""
      ),
      IF(_xlpm.result="", "", _xlpm.result)
   )
)</f>
        <v/>
      </c>
      <c r="G843" s="27" t="str" cm="1">
        <f t="array" ref="G843">IF(
   A843="",
   "",
   _xlfn.LET(
      _xlpm.result,
      IFERROR(
         _xlfn.XLOOKUP(
            1,
            (Table8[رقم الصنف]=A843) *
            (IF($B$9="الكل",1, YEAR('ادخال البيانات'!$N$3:$N$1164)=VALUE($B$9))) *
            (IF($B$10="الكل",1, MONTH('ادخال البيانات'!$N$3:$N$1164)=VALUE($B$10))) *
            (IF($B$11="الكل",1, INT((DAY('ادخال البيانات'!$N$3:$N$1164)-1)/7)+1 = VALUE($B$11))),
            'ادخال البيانات'!$G$3:$G$1164
         ),
         ""
      ),
      IF(_xlpm.result="", "", _xlpm.result)
   )
)</f>
        <v/>
      </c>
      <c r="H843" s="27" t="str" cm="1">
        <f t="array" ref="H843">IF(
   A843="",
   "",
   _xlfn.LET(
      _xlpm.result,
      IFERROR(
         _xlfn.XLOOKUP(
            1,
            (Table8[رقم الصنف]=A843) *
            (IF($B$9="الكل",1, YEAR('ادخال البيانات'!$N$3:$N$1164)=VALUE($B$9))) *
            (IF($B$10="الكل",1, MONTH('ادخال البيانات'!$N$3:$N$1164)=VALUE($B$10))) *
            (IF($B$11="الكل",1, INT((DAY('ادخال البيانات'!$N$3:$N$1164)-1)/7)+1 = VALUE($B$11))),
            'ادخال البيانات'!$H$3:$H$1164
         ),
         ""
      ),
      IF(_xlpm.result="", "", _xlpm.result)
   )
)</f>
        <v/>
      </c>
      <c r="I843" s="27" t="str" cm="1">
        <f t="array" ref="I843">IF(
   A843="",
   "",
   _xlfn.LET(
      _xlpm.result,
      IFERROR(
         _xlfn.XLOOKUP(
            1,
            (Table8[رقم الصنف]=A843) *
            (IF($B$9="الكل",1, YEAR('ادخال البيانات'!$N$3:$N$1164)=VALUE($B$9))) *
            (IF($B$10="الكل",1, MONTH('ادخال البيانات'!$N$3:$N$1164)=VALUE($B$10))) *
            (IF($B$11="الكل",1, INT((DAY('ادخال البيانات'!$N$3:$N$1164)-1)/7)+1 = VALUE($B$11))),
            'ادخال البيانات'!$I$3:$I$1164
         ),
         ""
      ),
      IF(_xlpm.result="", "", _xlpm.result)
   )
)</f>
        <v/>
      </c>
      <c r="J843" s="27" t="str" cm="1">
        <f t="array" ref="J843">IF(
   A843="",
   "",
   _xlfn.LET(
      _xlpm.result,
      IFERROR(
         _xlfn.XLOOKUP(
            1,
            (Table8[رقم الصنف]=A843) *
            (IF($B$9="الكل",1, YEAR('ادخال البيانات'!$N$3:$N$1164)=VALUE($B$9))) *
            (IF($B$10="الكل",1, MONTH('ادخال البيانات'!$N$3:$N$1164)=VALUE($B$10))) *
            (IF($B$11="الكل",1, INT((DAY('ادخال البيانات'!$N$3:$N$1164)-1)/7)+1 = VALUE($B$11))),
            'ادخال البيانات'!$J$3:$J$1164
         ),
         ""
      ),
      IF(_xlpm.result="", "", _xlpm.result)
   )
)</f>
        <v/>
      </c>
      <c r="K843" s="27" t="str" cm="1">
        <f t="array" ref="K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3" s="27" t="str" cm="1">
        <f t="array" ref="L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3" s="27" t="str" cm="1">
        <f t="array" ref="M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3" s="28" t="str" cm="1">
        <f t="array" ref="N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3" s="28" t="str" cm="1">
        <f t="array" ref="O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3" s="27" t="str" cm="1">
        <f t="array" ref="P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Table8[جهة العطل]
         ),
         ""
      ),
      IF(_xlpm.result="", "", _xlpm.result)
   )
)</f>
        <v/>
      </c>
      <c r="Q843" s="27" t="str" cm="1">
        <f t="array" ref="Q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Table8[المركز]
         ),
         ""
      ),
      IF(_xlpm.result="", "", _xlpm.result)
   )
)</f>
        <v/>
      </c>
      <c r="R843" s="27" t="str" cm="1">
        <f t="array" ref="R843">IF(
   A843="",
   "",
   _xlfn.LET(
      _xlpm.result,
      IFERROR(
         _xlfn.XLOOKUP(
            1,
            (Table8[رقم الصنف]=A843) *
            (IF($B$9="الكل",1, YEAR('ادخال البيانات'!$N$3:$N$1164) = VALUE($B$9))) *
            (IF($B$10="الكل",1, MONTH('ادخال البيانات'!$N$3:$N$1164) = VALUE($B$10))) *
            (IF($B$11="الكل",1, INT((DAY('ادخال البيانات'!$N$3:$N$1164) - 1) / 7) + 1 = VALUE($B$11))),
            Table8[ملاحظة]
         ),
         ""
      ),
      IF(_xlpm.result="", "", _xlpm.result)
   )
)</f>
        <v/>
      </c>
      <c r="S843" s="46" t="str">
        <f t="shared" ca="1" si="13"/>
        <v/>
      </c>
    </row>
    <row r="844" spans="1:19" ht="15.6" thickTop="1" thickBot="1" x14ac:dyDescent="0.35">
      <c r="A844" s="39"/>
      <c r="B844" s="27" t="str" cm="1">
        <f t="array" ref="B844">IF(
   OR(A844="", $B$9="", $B$10="", $B$11=""),
   "",
   _xlfn.LET(
      _xlpm.result,
      IFERROR(
         _xlfn.XLOOKUP(
            1,
            (Table8[رقم الصنف]=A844)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4" s="27" t="str" cm="1">
        <f t="array" ref="C844">IF(
   A844="",
   "",
   _xlfn.LET(
      _xlpm.result,
      IFERROR(
         _xlfn.XLOOKUP(
            1,
            (Table8[رقم الصنف]=A844) *
            (IF($B$9="الكل",1, YEAR('ادخال البيانات'!$N$3:$N$1164) = VALUE($B$9))) *
            (IF($B$10="الكل",1, MONTH('ادخال البيانات'!$N$3:$N$1164) = VALUE($B$10))) *
            (IF($B$11="الكل",1, INT((DAY('ادخال البيانات'!$N$3:$N$1164)-1)/7)+1 = VALUE($B$11))),
            'ادخال البيانات'!$C$3:$C$1164
         ),
         ""
      ),
      IF(_xlpm.result="", "", _xlpm.result)
   )
)</f>
        <v/>
      </c>
      <c r="D844" s="27" t="str" cm="1">
        <f t="array" ref="D844">IF(
   OR(A844="", $B$9="", $B$10="", $B$11=""),
   "",
   _xlfn.LET(
      _xlpm.result,
      IFERROR(
         _xlfn.XLOOKUP(
            1,
            (Table8[رقم الصنف]=A844) *
            (IF($B$9="الكل",1, YEAR('ادخال البيانات'!$N$3:$N$1164)=VALUE($B$9))) *
            (IF($B$10="الكل",1, MONTH('ادخال البيانات'!$N$3:$N$1164)=VALUE($B$10))) *
            (IF($B$11="الكل",1, INT((DAY('ادخال البيانات'!$N$3:$N$1164)-1)/7)+1 = VALUE($B$11))),
            'ادخال البيانات'!$D$3:$D$1164
         ),
         ""
      ),
      IF(_xlpm.result="", "", _xlpm.result)
   )
)</f>
        <v/>
      </c>
      <c r="E844" s="27" t="str" cm="1">
        <f t="array" ref="E844">IF(
   A844="",
   "",
   _xlfn.LET(
      _xlpm.result,
      IFERROR(
         _xlfn.XLOOKUP(
            1,
            (Table8[رقم الصنف]=A844) *
            (IF($B$9="الكل",1, YEAR('ادخال البيانات'!$N$3:$N$1164)=VALUE($B$9))) *
            (IF($B$10="الكل",1, MONTH('ادخال البيانات'!$N$3:$N$1164)=VALUE($B$10))) *
            (IF($B$11="الكل",1, INT((DAY('ادخال البيانات'!$N$3:$N$1164)-1)/7)+1 = VALUE($B$11))),
            'ادخال البيانات'!$E$3:$E$1164
         ),
         ""
      ),
      IF(_xlpm.result="", "", _xlpm.result)
   )
)</f>
        <v/>
      </c>
      <c r="F844" s="27" t="str" cm="1">
        <f t="array" ref="F844">IF(
   A844="",
   "",
   _xlfn.LET(
      _xlpm.result,
      IFERROR(
         _xlfn.XLOOKUP(
            1,
            (Table8[رقم الصنف]=A844) *
            (IF($B$9="الكل",1, YEAR('ادخال البيانات'!$N$3:$N$1164) = VALUE($B$9))) *
            (IF($B$10="الكل",1, MONTH('ادخال البيانات'!$N$3:$N$1164) = VALUE($B$10))) *
            (IF($B$11="الكل",1, INT((DAY('ادخال البيانات'!$N$3:$N$1164)-1)/7)+1 = VALUE($B$11))),
            'ادخال البيانات'!$F$3:$F$1164
         ),
         ""
      ),
      IF(_xlpm.result="", "", _xlpm.result)
   )
)</f>
        <v/>
      </c>
      <c r="G844" s="27" t="str" cm="1">
        <f t="array" ref="G844">IF(
   A844="",
   "",
   _xlfn.LET(
      _xlpm.result,
      IFERROR(
         _xlfn.XLOOKUP(
            1,
            (Table8[رقم الصنف]=A844) *
            (IF($B$9="الكل",1, YEAR('ادخال البيانات'!$N$3:$N$1164)=VALUE($B$9))) *
            (IF($B$10="الكل",1, MONTH('ادخال البيانات'!$N$3:$N$1164)=VALUE($B$10))) *
            (IF($B$11="الكل",1, INT((DAY('ادخال البيانات'!$N$3:$N$1164)-1)/7)+1 = VALUE($B$11))),
            'ادخال البيانات'!$G$3:$G$1164
         ),
         ""
      ),
      IF(_xlpm.result="", "", _xlpm.result)
   )
)</f>
        <v/>
      </c>
      <c r="H844" s="27" t="str" cm="1">
        <f t="array" ref="H844">IF(
   A844="",
   "",
   _xlfn.LET(
      _xlpm.result,
      IFERROR(
         _xlfn.XLOOKUP(
            1,
            (Table8[رقم الصنف]=A844) *
            (IF($B$9="الكل",1, YEAR('ادخال البيانات'!$N$3:$N$1164)=VALUE($B$9))) *
            (IF($B$10="الكل",1, MONTH('ادخال البيانات'!$N$3:$N$1164)=VALUE($B$10))) *
            (IF($B$11="الكل",1, INT((DAY('ادخال البيانات'!$N$3:$N$1164)-1)/7)+1 = VALUE($B$11))),
            'ادخال البيانات'!$H$3:$H$1164
         ),
         ""
      ),
      IF(_xlpm.result="", "", _xlpm.result)
   )
)</f>
        <v/>
      </c>
      <c r="I844" s="27" t="str" cm="1">
        <f t="array" ref="I844">IF(
   A844="",
   "",
   _xlfn.LET(
      _xlpm.result,
      IFERROR(
         _xlfn.XLOOKUP(
            1,
            (Table8[رقم الصنف]=A844) *
            (IF($B$9="الكل",1, YEAR('ادخال البيانات'!$N$3:$N$1164)=VALUE($B$9))) *
            (IF($B$10="الكل",1, MONTH('ادخال البيانات'!$N$3:$N$1164)=VALUE($B$10))) *
            (IF($B$11="الكل",1, INT((DAY('ادخال البيانات'!$N$3:$N$1164)-1)/7)+1 = VALUE($B$11))),
            'ادخال البيانات'!$I$3:$I$1164
         ),
         ""
      ),
      IF(_xlpm.result="", "", _xlpm.result)
   )
)</f>
        <v/>
      </c>
      <c r="J844" s="27" t="str" cm="1">
        <f t="array" ref="J844">IF(
   A844="",
   "",
   _xlfn.LET(
      _xlpm.result,
      IFERROR(
         _xlfn.XLOOKUP(
            1,
            (Table8[رقم الصنف]=A844) *
            (IF($B$9="الكل",1, YEAR('ادخال البيانات'!$N$3:$N$1164)=VALUE($B$9))) *
            (IF($B$10="الكل",1, MONTH('ادخال البيانات'!$N$3:$N$1164)=VALUE($B$10))) *
            (IF($B$11="الكل",1, INT((DAY('ادخال البيانات'!$N$3:$N$1164)-1)/7)+1 = VALUE($B$11))),
            'ادخال البيانات'!$J$3:$J$1164
         ),
         ""
      ),
      IF(_xlpm.result="", "", _xlpm.result)
   )
)</f>
        <v/>
      </c>
      <c r="K844" s="27" t="str" cm="1">
        <f t="array" ref="K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4" s="27" t="str" cm="1">
        <f t="array" ref="L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4" s="27" t="str" cm="1">
        <f t="array" ref="M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4" s="28" t="str" cm="1">
        <f t="array" ref="N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4" s="28" t="str" cm="1">
        <f t="array" ref="O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4" s="27" t="str" cm="1">
        <f t="array" ref="P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Table8[جهة العطل]
         ),
         ""
      ),
      IF(_xlpm.result="", "", _xlpm.result)
   )
)</f>
        <v/>
      </c>
      <c r="Q844" s="27" t="str" cm="1">
        <f t="array" ref="Q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Table8[المركز]
         ),
         ""
      ),
      IF(_xlpm.result="", "", _xlpm.result)
   )
)</f>
        <v/>
      </c>
      <c r="R844" s="27" t="str" cm="1">
        <f t="array" ref="R844">IF(
   A844="",
   "",
   _xlfn.LET(
      _xlpm.result,
      IFERROR(
         _xlfn.XLOOKUP(
            1,
            (Table8[رقم الصنف]=A844) *
            (IF($B$9="الكل",1, YEAR('ادخال البيانات'!$N$3:$N$1164) = VALUE($B$9))) *
            (IF($B$10="الكل",1, MONTH('ادخال البيانات'!$N$3:$N$1164) = VALUE($B$10))) *
            (IF($B$11="الكل",1, INT((DAY('ادخال البيانات'!$N$3:$N$1164) - 1) / 7) + 1 = VALUE($B$11))),
            Table8[ملاحظة]
         ),
         ""
      ),
      IF(_xlpm.result="", "", _xlpm.result)
   )
)</f>
        <v/>
      </c>
      <c r="S844" s="46" t="str">
        <f t="shared" ref="S844:S907" ca="1" si="14">IF(
   L844="تم الاصلاح",
   "تم الاصلاح",
   IF(N844="","", TODAY()-N844)
)</f>
        <v/>
      </c>
    </row>
    <row r="845" spans="1:19" ht="15.6" thickTop="1" thickBot="1" x14ac:dyDescent="0.35">
      <c r="A845" s="39"/>
      <c r="B845" s="27" t="str" cm="1">
        <f t="array" ref="B845">IF(
   OR(A845="", $B$9="", $B$10="", $B$11=""),
   "",
   _xlfn.LET(
      _xlpm.result,
      IFERROR(
         _xlfn.XLOOKUP(
            1,
            (Table8[رقم الصنف]=A845)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5" s="27" t="str" cm="1">
        <f t="array" ref="C845">IF(
   A845="",
   "",
   _xlfn.LET(
      _xlpm.result,
      IFERROR(
         _xlfn.XLOOKUP(
            1,
            (Table8[رقم الصنف]=A845) *
            (IF($B$9="الكل",1, YEAR('ادخال البيانات'!$N$3:$N$1164) = VALUE($B$9))) *
            (IF($B$10="الكل",1, MONTH('ادخال البيانات'!$N$3:$N$1164) = VALUE($B$10))) *
            (IF($B$11="الكل",1, INT((DAY('ادخال البيانات'!$N$3:$N$1164)-1)/7)+1 = VALUE($B$11))),
            'ادخال البيانات'!$C$3:$C$1164
         ),
         ""
      ),
      IF(_xlpm.result="", "", _xlpm.result)
   )
)</f>
        <v/>
      </c>
      <c r="D845" s="27" t="str" cm="1">
        <f t="array" ref="D845">IF(
   OR(A845="", $B$9="", $B$10="", $B$11=""),
   "",
   _xlfn.LET(
      _xlpm.result,
      IFERROR(
         _xlfn.XLOOKUP(
            1,
            (Table8[رقم الصنف]=A845) *
            (IF($B$9="الكل",1, YEAR('ادخال البيانات'!$N$3:$N$1164)=VALUE($B$9))) *
            (IF($B$10="الكل",1, MONTH('ادخال البيانات'!$N$3:$N$1164)=VALUE($B$10))) *
            (IF($B$11="الكل",1, INT((DAY('ادخال البيانات'!$N$3:$N$1164)-1)/7)+1 = VALUE($B$11))),
            'ادخال البيانات'!$D$3:$D$1164
         ),
         ""
      ),
      IF(_xlpm.result="", "", _xlpm.result)
   )
)</f>
        <v/>
      </c>
      <c r="E845" s="27" t="str" cm="1">
        <f t="array" ref="E845">IF(
   A845="",
   "",
   _xlfn.LET(
      _xlpm.result,
      IFERROR(
         _xlfn.XLOOKUP(
            1,
            (Table8[رقم الصنف]=A845) *
            (IF($B$9="الكل",1, YEAR('ادخال البيانات'!$N$3:$N$1164)=VALUE($B$9))) *
            (IF($B$10="الكل",1, MONTH('ادخال البيانات'!$N$3:$N$1164)=VALUE($B$10))) *
            (IF($B$11="الكل",1, INT((DAY('ادخال البيانات'!$N$3:$N$1164)-1)/7)+1 = VALUE($B$11))),
            'ادخال البيانات'!$E$3:$E$1164
         ),
         ""
      ),
      IF(_xlpm.result="", "", _xlpm.result)
   )
)</f>
        <v/>
      </c>
      <c r="F845" s="27" t="str" cm="1">
        <f t="array" ref="F845">IF(
   A845="",
   "",
   _xlfn.LET(
      _xlpm.result,
      IFERROR(
         _xlfn.XLOOKUP(
            1,
            (Table8[رقم الصنف]=A845) *
            (IF($B$9="الكل",1, YEAR('ادخال البيانات'!$N$3:$N$1164) = VALUE($B$9))) *
            (IF($B$10="الكل",1, MONTH('ادخال البيانات'!$N$3:$N$1164) = VALUE($B$10))) *
            (IF($B$11="الكل",1, INT((DAY('ادخال البيانات'!$N$3:$N$1164)-1)/7)+1 = VALUE($B$11))),
            'ادخال البيانات'!$F$3:$F$1164
         ),
         ""
      ),
      IF(_xlpm.result="", "", _xlpm.result)
   )
)</f>
        <v/>
      </c>
      <c r="G845" s="27" t="str" cm="1">
        <f t="array" ref="G845">IF(
   A845="",
   "",
   _xlfn.LET(
      _xlpm.result,
      IFERROR(
         _xlfn.XLOOKUP(
            1,
            (Table8[رقم الصنف]=A845) *
            (IF($B$9="الكل",1, YEAR('ادخال البيانات'!$N$3:$N$1164)=VALUE($B$9))) *
            (IF($B$10="الكل",1, MONTH('ادخال البيانات'!$N$3:$N$1164)=VALUE($B$10))) *
            (IF($B$11="الكل",1, INT((DAY('ادخال البيانات'!$N$3:$N$1164)-1)/7)+1 = VALUE($B$11))),
            'ادخال البيانات'!$G$3:$G$1164
         ),
         ""
      ),
      IF(_xlpm.result="", "", _xlpm.result)
   )
)</f>
        <v/>
      </c>
      <c r="H845" s="27" t="str" cm="1">
        <f t="array" ref="H845">IF(
   A845="",
   "",
   _xlfn.LET(
      _xlpm.result,
      IFERROR(
         _xlfn.XLOOKUP(
            1,
            (Table8[رقم الصنف]=A845) *
            (IF($B$9="الكل",1, YEAR('ادخال البيانات'!$N$3:$N$1164)=VALUE($B$9))) *
            (IF($B$10="الكل",1, MONTH('ادخال البيانات'!$N$3:$N$1164)=VALUE($B$10))) *
            (IF($B$11="الكل",1, INT((DAY('ادخال البيانات'!$N$3:$N$1164)-1)/7)+1 = VALUE($B$11))),
            'ادخال البيانات'!$H$3:$H$1164
         ),
         ""
      ),
      IF(_xlpm.result="", "", _xlpm.result)
   )
)</f>
        <v/>
      </c>
      <c r="I845" s="27" t="str" cm="1">
        <f t="array" ref="I845">IF(
   A845="",
   "",
   _xlfn.LET(
      _xlpm.result,
      IFERROR(
         _xlfn.XLOOKUP(
            1,
            (Table8[رقم الصنف]=A845) *
            (IF($B$9="الكل",1, YEAR('ادخال البيانات'!$N$3:$N$1164)=VALUE($B$9))) *
            (IF($B$10="الكل",1, MONTH('ادخال البيانات'!$N$3:$N$1164)=VALUE($B$10))) *
            (IF($B$11="الكل",1, INT((DAY('ادخال البيانات'!$N$3:$N$1164)-1)/7)+1 = VALUE($B$11))),
            'ادخال البيانات'!$I$3:$I$1164
         ),
         ""
      ),
      IF(_xlpm.result="", "", _xlpm.result)
   )
)</f>
        <v/>
      </c>
      <c r="J845" s="27" t="str" cm="1">
        <f t="array" ref="J845">IF(
   A845="",
   "",
   _xlfn.LET(
      _xlpm.result,
      IFERROR(
         _xlfn.XLOOKUP(
            1,
            (Table8[رقم الصنف]=A845) *
            (IF($B$9="الكل",1, YEAR('ادخال البيانات'!$N$3:$N$1164)=VALUE($B$9))) *
            (IF($B$10="الكل",1, MONTH('ادخال البيانات'!$N$3:$N$1164)=VALUE($B$10))) *
            (IF($B$11="الكل",1, INT((DAY('ادخال البيانات'!$N$3:$N$1164)-1)/7)+1 = VALUE($B$11))),
            'ادخال البيانات'!$J$3:$J$1164
         ),
         ""
      ),
      IF(_xlpm.result="", "", _xlpm.result)
   )
)</f>
        <v/>
      </c>
      <c r="K845" s="27" t="str" cm="1">
        <f t="array" ref="K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5" s="27" t="str" cm="1">
        <f t="array" ref="L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5" s="27" t="str" cm="1">
        <f t="array" ref="M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5" s="28" t="str" cm="1">
        <f t="array" ref="N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5" s="28" t="str" cm="1">
        <f t="array" ref="O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5" s="27" t="str" cm="1">
        <f t="array" ref="P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Table8[جهة العطل]
         ),
         ""
      ),
      IF(_xlpm.result="", "", _xlpm.result)
   )
)</f>
        <v/>
      </c>
      <c r="Q845" s="27" t="str" cm="1">
        <f t="array" ref="Q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Table8[المركز]
         ),
         ""
      ),
      IF(_xlpm.result="", "", _xlpm.result)
   )
)</f>
        <v/>
      </c>
      <c r="R845" s="27" t="str" cm="1">
        <f t="array" ref="R845">IF(
   A845="",
   "",
   _xlfn.LET(
      _xlpm.result,
      IFERROR(
         _xlfn.XLOOKUP(
            1,
            (Table8[رقم الصنف]=A845) *
            (IF($B$9="الكل",1, YEAR('ادخال البيانات'!$N$3:$N$1164) = VALUE($B$9))) *
            (IF($B$10="الكل",1, MONTH('ادخال البيانات'!$N$3:$N$1164) = VALUE($B$10))) *
            (IF($B$11="الكل",1, INT((DAY('ادخال البيانات'!$N$3:$N$1164) - 1) / 7) + 1 = VALUE($B$11))),
            Table8[ملاحظة]
         ),
         ""
      ),
      IF(_xlpm.result="", "", _xlpm.result)
   )
)</f>
        <v/>
      </c>
      <c r="S845" s="46" t="str">
        <f t="shared" ca="1" si="14"/>
        <v/>
      </c>
    </row>
    <row r="846" spans="1:19" ht="15.6" thickTop="1" thickBot="1" x14ac:dyDescent="0.35">
      <c r="A846" s="39"/>
      <c r="B846" s="27" t="str" cm="1">
        <f t="array" ref="B846">IF(
   OR(A846="", $B$9="", $B$10="", $B$11=""),
   "",
   _xlfn.LET(
      _xlpm.result,
      IFERROR(
         _xlfn.XLOOKUP(
            1,
            (Table8[رقم الصنف]=A846)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6" s="27" t="str" cm="1">
        <f t="array" ref="C846">IF(
   A846="",
   "",
   _xlfn.LET(
      _xlpm.result,
      IFERROR(
         _xlfn.XLOOKUP(
            1,
            (Table8[رقم الصنف]=A846) *
            (IF($B$9="الكل",1, YEAR('ادخال البيانات'!$N$3:$N$1164) = VALUE($B$9))) *
            (IF($B$10="الكل",1, MONTH('ادخال البيانات'!$N$3:$N$1164) = VALUE($B$10))) *
            (IF($B$11="الكل",1, INT((DAY('ادخال البيانات'!$N$3:$N$1164)-1)/7)+1 = VALUE($B$11))),
            'ادخال البيانات'!$C$3:$C$1164
         ),
         ""
      ),
      IF(_xlpm.result="", "", _xlpm.result)
   )
)</f>
        <v/>
      </c>
      <c r="D846" s="27" t="str" cm="1">
        <f t="array" ref="D846">IF(
   OR(A846="", $B$9="", $B$10="", $B$11=""),
   "",
   _xlfn.LET(
      _xlpm.result,
      IFERROR(
         _xlfn.XLOOKUP(
            1,
            (Table8[رقم الصنف]=A846) *
            (IF($B$9="الكل",1, YEAR('ادخال البيانات'!$N$3:$N$1164)=VALUE($B$9))) *
            (IF($B$10="الكل",1, MONTH('ادخال البيانات'!$N$3:$N$1164)=VALUE($B$10))) *
            (IF($B$11="الكل",1, INT((DAY('ادخال البيانات'!$N$3:$N$1164)-1)/7)+1 = VALUE($B$11))),
            'ادخال البيانات'!$D$3:$D$1164
         ),
         ""
      ),
      IF(_xlpm.result="", "", _xlpm.result)
   )
)</f>
        <v/>
      </c>
      <c r="E846" s="27" t="str" cm="1">
        <f t="array" ref="E846">IF(
   A846="",
   "",
   _xlfn.LET(
      _xlpm.result,
      IFERROR(
         _xlfn.XLOOKUP(
            1,
            (Table8[رقم الصنف]=A846) *
            (IF($B$9="الكل",1, YEAR('ادخال البيانات'!$N$3:$N$1164)=VALUE($B$9))) *
            (IF($B$10="الكل",1, MONTH('ادخال البيانات'!$N$3:$N$1164)=VALUE($B$10))) *
            (IF($B$11="الكل",1, INT((DAY('ادخال البيانات'!$N$3:$N$1164)-1)/7)+1 = VALUE($B$11))),
            'ادخال البيانات'!$E$3:$E$1164
         ),
         ""
      ),
      IF(_xlpm.result="", "", _xlpm.result)
   )
)</f>
        <v/>
      </c>
      <c r="F846" s="27" t="str" cm="1">
        <f t="array" ref="F846">IF(
   A846="",
   "",
   _xlfn.LET(
      _xlpm.result,
      IFERROR(
         _xlfn.XLOOKUP(
            1,
            (Table8[رقم الصنف]=A846) *
            (IF($B$9="الكل",1, YEAR('ادخال البيانات'!$N$3:$N$1164) = VALUE($B$9))) *
            (IF($B$10="الكل",1, MONTH('ادخال البيانات'!$N$3:$N$1164) = VALUE($B$10))) *
            (IF($B$11="الكل",1, INT((DAY('ادخال البيانات'!$N$3:$N$1164)-1)/7)+1 = VALUE($B$11))),
            'ادخال البيانات'!$F$3:$F$1164
         ),
         ""
      ),
      IF(_xlpm.result="", "", _xlpm.result)
   )
)</f>
        <v/>
      </c>
      <c r="G846" s="27" t="str" cm="1">
        <f t="array" ref="G846">IF(
   A846="",
   "",
   _xlfn.LET(
      _xlpm.result,
      IFERROR(
         _xlfn.XLOOKUP(
            1,
            (Table8[رقم الصنف]=A846) *
            (IF($B$9="الكل",1, YEAR('ادخال البيانات'!$N$3:$N$1164)=VALUE($B$9))) *
            (IF($B$10="الكل",1, MONTH('ادخال البيانات'!$N$3:$N$1164)=VALUE($B$10))) *
            (IF($B$11="الكل",1, INT((DAY('ادخال البيانات'!$N$3:$N$1164)-1)/7)+1 = VALUE($B$11))),
            'ادخال البيانات'!$G$3:$G$1164
         ),
         ""
      ),
      IF(_xlpm.result="", "", _xlpm.result)
   )
)</f>
        <v/>
      </c>
      <c r="H846" s="27" t="str" cm="1">
        <f t="array" ref="H846">IF(
   A846="",
   "",
   _xlfn.LET(
      _xlpm.result,
      IFERROR(
         _xlfn.XLOOKUP(
            1,
            (Table8[رقم الصنف]=A846) *
            (IF($B$9="الكل",1, YEAR('ادخال البيانات'!$N$3:$N$1164)=VALUE($B$9))) *
            (IF($B$10="الكل",1, MONTH('ادخال البيانات'!$N$3:$N$1164)=VALUE($B$10))) *
            (IF($B$11="الكل",1, INT((DAY('ادخال البيانات'!$N$3:$N$1164)-1)/7)+1 = VALUE($B$11))),
            'ادخال البيانات'!$H$3:$H$1164
         ),
         ""
      ),
      IF(_xlpm.result="", "", _xlpm.result)
   )
)</f>
        <v/>
      </c>
      <c r="I846" s="27" t="str" cm="1">
        <f t="array" ref="I846">IF(
   A846="",
   "",
   _xlfn.LET(
      _xlpm.result,
      IFERROR(
         _xlfn.XLOOKUP(
            1,
            (Table8[رقم الصنف]=A846) *
            (IF($B$9="الكل",1, YEAR('ادخال البيانات'!$N$3:$N$1164)=VALUE($B$9))) *
            (IF($B$10="الكل",1, MONTH('ادخال البيانات'!$N$3:$N$1164)=VALUE($B$10))) *
            (IF($B$11="الكل",1, INT((DAY('ادخال البيانات'!$N$3:$N$1164)-1)/7)+1 = VALUE($B$11))),
            'ادخال البيانات'!$I$3:$I$1164
         ),
         ""
      ),
      IF(_xlpm.result="", "", _xlpm.result)
   )
)</f>
        <v/>
      </c>
      <c r="J846" s="27" t="str" cm="1">
        <f t="array" ref="J846">IF(
   A846="",
   "",
   _xlfn.LET(
      _xlpm.result,
      IFERROR(
         _xlfn.XLOOKUP(
            1,
            (Table8[رقم الصنف]=A846) *
            (IF($B$9="الكل",1, YEAR('ادخال البيانات'!$N$3:$N$1164)=VALUE($B$9))) *
            (IF($B$10="الكل",1, MONTH('ادخال البيانات'!$N$3:$N$1164)=VALUE($B$10))) *
            (IF($B$11="الكل",1, INT((DAY('ادخال البيانات'!$N$3:$N$1164)-1)/7)+1 = VALUE($B$11))),
            'ادخال البيانات'!$J$3:$J$1164
         ),
         ""
      ),
      IF(_xlpm.result="", "", _xlpm.result)
   )
)</f>
        <v/>
      </c>
      <c r="K846" s="27" t="str" cm="1">
        <f t="array" ref="K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6" s="27" t="str" cm="1">
        <f t="array" ref="L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6" s="27" t="str" cm="1">
        <f t="array" ref="M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6" s="28" t="str" cm="1">
        <f t="array" ref="N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6" s="28" t="str" cm="1">
        <f t="array" ref="O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6" s="27" t="str" cm="1">
        <f t="array" ref="P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Table8[جهة العطل]
         ),
         ""
      ),
      IF(_xlpm.result="", "", _xlpm.result)
   )
)</f>
        <v/>
      </c>
      <c r="Q846" s="27" t="str" cm="1">
        <f t="array" ref="Q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Table8[المركز]
         ),
         ""
      ),
      IF(_xlpm.result="", "", _xlpm.result)
   )
)</f>
        <v/>
      </c>
      <c r="R846" s="27" t="str" cm="1">
        <f t="array" ref="R846">IF(
   A846="",
   "",
   _xlfn.LET(
      _xlpm.result,
      IFERROR(
         _xlfn.XLOOKUP(
            1,
            (Table8[رقم الصنف]=A846) *
            (IF($B$9="الكل",1, YEAR('ادخال البيانات'!$N$3:$N$1164) = VALUE($B$9))) *
            (IF($B$10="الكل",1, MONTH('ادخال البيانات'!$N$3:$N$1164) = VALUE($B$10))) *
            (IF($B$11="الكل",1, INT((DAY('ادخال البيانات'!$N$3:$N$1164) - 1) / 7) + 1 = VALUE($B$11))),
            Table8[ملاحظة]
         ),
         ""
      ),
      IF(_xlpm.result="", "", _xlpm.result)
   )
)</f>
        <v/>
      </c>
      <c r="S846" s="46" t="str">
        <f t="shared" ca="1" si="14"/>
        <v/>
      </c>
    </row>
    <row r="847" spans="1:19" ht="15.6" thickTop="1" thickBot="1" x14ac:dyDescent="0.35">
      <c r="A847" s="39"/>
      <c r="B847" s="27" t="str" cm="1">
        <f t="array" ref="B847">IF(
   OR(A847="", $B$9="", $B$10="", $B$11=""),
   "",
   _xlfn.LET(
      _xlpm.result,
      IFERROR(
         _xlfn.XLOOKUP(
            1,
            (Table8[رقم الصنف]=A847)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7" s="27" t="str" cm="1">
        <f t="array" ref="C847">IF(
   A847="",
   "",
   _xlfn.LET(
      _xlpm.result,
      IFERROR(
         _xlfn.XLOOKUP(
            1,
            (Table8[رقم الصنف]=A847) *
            (IF($B$9="الكل",1, YEAR('ادخال البيانات'!$N$3:$N$1164) = VALUE($B$9))) *
            (IF($B$10="الكل",1, MONTH('ادخال البيانات'!$N$3:$N$1164) = VALUE($B$10))) *
            (IF($B$11="الكل",1, INT((DAY('ادخال البيانات'!$N$3:$N$1164)-1)/7)+1 = VALUE($B$11))),
            'ادخال البيانات'!$C$3:$C$1164
         ),
         ""
      ),
      IF(_xlpm.result="", "", _xlpm.result)
   )
)</f>
        <v/>
      </c>
      <c r="D847" s="27" t="str" cm="1">
        <f t="array" ref="D847">IF(
   OR(A847="", $B$9="", $B$10="", $B$11=""),
   "",
   _xlfn.LET(
      _xlpm.result,
      IFERROR(
         _xlfn.XLOOKUP(
            1,
            (Table8[رقم الصنف]=A847) *
            (IF($B$9="الكل",1, YEAR('ادخال البيانات'!$N$3:$N$1164)=VALUE($B$9))) *
            (IF($B$10="الكل",1, MONTH('ادخال البيانات'!$N$3:$N$1164)=VALUE($B$10))) *
            (IF($B$11="الكل",1, INT((DAY('ادخال البيانات'!$N$3:$N$1164)-1)/7)+1 = VALUE($B$11))),
            'ادخال البيانات'!$D$3:$D$1164
         ),
         ""
      ),
      IF(_xlpm.result="", "", _xlpm.result)
   )
)</f>
        <v/>
      </c>
      <c r="E847" s="27" t="str" cm="1">
        <f t="array" ref="E847">IF(
   A847="",
   "",
   _xlfn.LET(
      _xlpm.result,
      IFERROR(
         _xlfn.XLOOKUP(
            1,
            (Table8[رقم الصنف]=A847) *
            (IF($B$9="الكل",1, YEAR('ادخال البيانات'!$N$3:$N$1164)=VALUE($B$9))) *
            (IF($B$10="الكل",1, MONTH('ادخال البيانات'!$N$3:$N$1164)=VALUE($B$10))) *
            (IF($B$11="الكل",1, INT((DAY('ادخال البيانات'!$N$3:$N$1164)-1)/7)+1 = VALUE($B$11))),
            'ادخال البيانات'!$E$3:$E$1164
         ),
         ""
      ),
      IF(_xlpm.result="", "", _xlpm.result)
   )
)</f>
        <v/>
      </c>
      <c r="F847" s="27" t="str" cm="1">
        <f t="array" ref="F847">IF(
   A847="",
   "",
   _xlfn.LET(
      _xlpm.result,
      IFERROR(
         _xlfn.XLOOKUP(
            1,
            (Table8[رقم الصنف]=A847) *
            (IF($B$9="الكل",1, YEAR('ادخال البيانات'!$N$3:$N$1164) = VALUE($B$9))) *
            (IF($B$10="الكل",1, MONTH('ادخال البيانات'!$N$3:$N$1164) = VALUE($B$10))) *
            (IF($B$11="الكل",1, INT((DAY('ادخال البيانات'!$N$3:$N$1164)-1)/7)+1 = VALUE($B$11))),
            'ادخال البيانات'!$F$3:$F$1164
         ),
         ""
      ),
      IF(_xlpm.result="", "", _xlpm.result)
   )
)</f>
        <v/>
      </c>
      <c r="G847" s="27" t="str" cm="1">
        <f t="array" ref="G847">IF(
   A847="",
   "",
   _xlfn.LET(
      _xlpm.result,
      IFERROR(
         _xlfn.XLOOKUP(
            1,
            (Table8[رقم الصنف]=A847) *
            (IF($B$9="الكل",1, YEAR('ادخال البيانات'!$N$3:$N$1164)=VALUE($B$9))) *
            (IF($B$10="الكل",1, MONTH('ادخال البيانات'!$N$3:$N$1164)=VALUE($B$10))) *
            (IF($B$11="الكل",1, INT((DAY('ادخال البيانات'!$N$3:$N$1164)-1)/7)+1 = VALUE($B$11))),
            'ادخال البيانات'!$G$3:$G$1164
         ),
         ""
      ),
      IF(_xlpm.result="", "", _xlpm.result)
   )
)</f>
        <v/>
      </c>
      <c r="H847" s="27" t="str" cm="1">
        <f t="array" ref="H847">IF(
   A847="",
   "",
   _xlfn.LET(
      _xlpm.result,
      IFERROR(
         _xlfn.XLOOKUP(
            1,
            (Table8[رقم الصنف]=A847) *
            (IF($B$9="الكل",1, YEAR('ادخال البيانات'!$N$3:$N$1164)=VALUE($B$9))) *
            (IF($B$10="الكل",1, MONTH('ادخال البيانات'!$N$3:$N$1164)=VALUE($B$10))) *
            (IF($B$11="الكل",1, INT((DAY('ادخال البيانات'!$N$3:$N$1164)-1)/7)+1 = VALUE($B$11))),
            'ادخال البيانات'!$H$3:$H$1164
         ),
         ""
      ),
      IF(_xlpm.result="", "", _xlpm.result)
   )
)</f>
        <v/>
      </c>
      <c r="I847" s="27" t="str" cm="1">
        <f t="array" ref="I847">IF(
   A847="",
   "",
   _xlfn.LET(
      _xlpm.result,
      IFERROR(
         _xlfn.XLOOKUP(
            1,
            (Table8[رقم الصنف]=A847) *
            (IF($B$9="الكل",1, YEAR('ادخال البيانات'!$N$3:$N$1164)=VALUE($B$9))) *
            (IF($B$10="الكل",1, MONTH('ادخال البيانات'!$N$3:$N$1164)=VALUE($B$10))) *
            (IF($B$11="الكل",1, INT((DAY('ادخال البيانات'!$N$3:$N$1164)-1)/7)+1 = VALUE($B$11))),
            'ادخال البيانات'!$I$3:$I$1164
         ),
         ""
      ),
      IF(_xlpm.result="", "", _xlpm.result)
   )
)</f>
        <v/>
      </c>
      <c r="J847" s="27" t="str" cm="1">
        <f t="array" ref="J847">IF(
   A847="",
   "",
   _xlfn.LET(
      _xlpm.result,
      IFERROR(
         _xlfn.XLOOKUP(
            1,
            (Table8[رقم الصنف]=A847) *
            (IF($B$9="الكل",1, YEAR('ادخال البيانات'!$N$3:$N$1164)=VALUE($B$9))) *
            (IF($B$10="الكل",1, MONTH('ادخال البيانات'!$N$3:$N$1164)=VALUE($B$10))) *
            (IF($B$11="الكل",1, INT((DAY('ادخال البيانات'!$N$3:$N$1164)-1)/7)+1 = VALUE($B$11))),
            'ادخال البيانات'!$J$3:$J$1164
         ),
         ""
      ),
      IF(_xlpm.result="", "", _xlpm.result)
   )
)</f>
        <v/>
      </c>
      <c r="K847" s="27" t="str" cm="1">
        <f t="array" ref="K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7" s="27" t="str" cm="1">
        <f t="array" ref="L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7" s="27" t="str" cm="1">
        <f t="array" ref="M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7" s="28" t="str" cm="1">
        <f t="array" ref="N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7" s="28" t="str" cm="1">
        <f t="array" ref="O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7" s="27" t="str" cm="1">
        <f t="array" ref="P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Table8[جهة العطل]
         ),
         ""
      ),
      IF(_xlpm.result="", "", _xlpm.result)
   )
)</f>
        <v/>
      </c>
      <c r="Q847" s="27" t="str" cm="1">
        <f t="array" ref="Q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Table8[المركز]
         ),
         ""
      ),
      IF(_xlpm.result="", "", _xlpm.result)
   )
)</f>
        <v/>
      </c>
      <c r="R847" s="27" t="str" cm="1">
        <f t="array" ref="R847">IF(
   A847="",
   "",
   _xlfn.LET(
      _xlpm.result,
      IFERROR(
         _xlfn.XLOOKUP(
            1,
            (Table8[رقم الصنف]=A847) *
            (IF($B$9="الكل",1, YEAR('ادخال البيانات'!$N$3:$N$1164) = VALUE($B$9))) *
            (IF($B$10="الكل",1, MONTH('ادخال البيانات'!$N$3:$N$1164) = VALUE($B$10))) *
            (IF($B$11="الكل",1, INT((DAY('ادخال البيانات'!$N$3:$N$1164) - 1) / 7) + 1 = VALUE($B$11))),
            Table8[ملاحظة]
         ),
         ""
      ),
      IF(_xlpm.result="", "", _xlpm.result)
   )
)</f>
        <v/>
      </c>
      <c r="S847" s="46" t="str">
        <f t="shared" ca="1" si="14"/>
        <v/>
      </c>
    </row>
    <row r="848" spans="1:19" ht="15.6" thickTop="1" thickBot="1" x14ac:dyDescent="0.35">
      <c r="A848" s="39"/>
      <c r="B848" s="27" t="str" cm="1">
        <f t="array" ref="B848">IF(
   OR(A848="", $B$9="", $B$10="", $B$11=""),
   "",
   _xlfn.LET(
      _xlpm.result,
      IFERROR(
         _xlfn.XLOOKUP(
            1,
            (Table8[رقم الصنف]=A848)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8" s="27" t="str" cm="1">
        <f t="array" ref="C848">IF(
   A848="",
   "",
   _xlfn.LET(
      _xlpm.result,
      IFERROR(
         _xlfn.XLOOKUP(
            1,
            (Table8[رقم الصنف]=A848) *
            (IF($B$9="الكل",1, YEAR('ادخال البيانات'!$N$3:$N$1164) = VALUE($B$9))) *
            (IF($B$10="الكل",1, MONTH('ادخال البيانات'!$N$3:$N$1164) = VALUE($B$10))) *
            (IF($B$11="الكل",1, INT((DAY('ادخال البيانات'!$N$3:$N$1164)-1)/7)+1 = VALUE($B$11))),
            'ادخال البيانات'!$C$3:$C$1164
         ),
         ""
      ),
      IF(_xlpm.result="", "", _xlpm.result)
   )
)</f>
        <v/>
      </c>
      <c r="D848" s="27" t="str" cm="1">
        <f t="array" ref="D848">IF(
   OR(A848="", $B$9="", $B$10="", $B$11=""),
   "",
   _xlfn.LET(
      _xlpm.result,
      IFERROR(
         _xlfn.XLOOKUP(
            1,
            (Table8[رقم الصنف]=A848) *
            (IF($B$9="الكل",1, YEAR('ادخال البيانات'!$N$3:$N$1164)=VALUE($B$9))) *
            (IF($B$10="الكل",1, MONTH('ادخال البيانات'!$N$3:$N$1164)=VALUE($B$10))) *
            (IF($B$11="الكل",1, INT((DAY('ادخال البيانات'!$N$3:$N$1164)-1)/7)+1 = VALUE($B$11))),
            'ادخال البيانات'!$D$3:$D$1164
         ),
         ""
      ),
      IF(_xlpm.result="", "", _xlpm.result)
   )
)</f>
        <v/>
      </c>
      <c r="E848" s="27" t="str" cm="1">
        <f t="array" ref="E848">IF(
   A848="",
   "",
   _xlfn.LET(
      _xlpm.result,
      IFERROR(
         _xlfn.XLOOKUP(
            1,
            (Table8[رقم الصنف]=A848) *
            (IF($B$9="الكل",1, YEAR('ادخال البيانات'!$N$3:$N$1164)=VALUE($B$9))) *
            (IF($B$10="الكل",1, MONTH('ادخال البيانات'!$N$3:$N$1164)=VALUE($B$10))) *
            (IF($B$11="الكل",1, INT((DAY('ادخال البيانات'!$N$3:$N$1164)-1)/7)+1 = VALUE($B$11))),
            'ادخال البيانات'!$E$3:$E$1164
         ),
         ""
      ),
      IF(_xlpm.result="", "", _xlpm.result)
   )
)</f>
        <v/>
      </c>
      <c r="F848" s="27" t="str" cm="1">
        <f t="array" ref="F848">IF(
   A848="",
   "",
   _xlfn.LET(
      _xlpm.result,
      IFERROR(
         _xlfn.XLOOKUP(
            1,
            (Table8[رقم الصنف]=A848) *
            (IF($B$9="الكل",1, YEAR('ادخال البيانات'!$N$3:$N$1164) = VALUE($B$9))) *
            (IF($B$10="الكل",1, MONTH('ادخال البيانات'!$N$3:$N$1164) = VALUE($B$10))) *
            (IF($B$11="الكل",1, INT((DAY('ادخال البيانات'!$N$3:$N$1164)-1)/7)+1 = VALUE($B$11))),
            'ادخال البيانات'!$F$3:$F$1164
         ),
         ""
      ),
      IF(_xlpm.result="", "", _xlpm.result)
   )
)</f>
        <v/>
      </c>
      <c r="G848" s="27" t="str" cm="1">
        <f t="array" ref="G848">IF(
   A848="",
   "",
   _xlfn.LET(
      _xlpm.result,
      IFERROR(
         _xlfn.XLOOKUP(
            1,
            (Table8[رقم الصنف]=A848) *
            (IF($B$9="الكل",1, YEAR('ادخال البيانات'!$N$3:$N$1164)=VALUE($B$9))) *
            (IF($B$10="الكل",1, MONTH('ادخال البيانات'!$N$3:$N$1164)=VALUE($B$10))) *
            (IF($B$11="الكل",1, INT((DAY('ادخال البيانات'!$N$3:$N$1164)-1)/7)+1 = VALUE($B$11))),
            'ادخال البيانات'!$G$3:$G$1164
         ),
         ""
      ),
      IF(_xlpm.result="", "", _xlpm.result)
   )
)</f>
        <v/>
      </c>
      <c r="H848" s="27" t="str" cm="1">
        <f t="array" ref="H848">IF(
   A848="",
   "",
   _xlfn.LET(
      _xlpm.result,
      IFERROR(
         _xlfn.XLOOKUP(
            1,
            (Table8[رقم الصنف]=A848) *
            (IF($B$9="الكل",1, YEAR('ادخال البيانات'!$N$3:$N$1164)=VALUE($B$9))) *
            (IF($B$10="الكل",1, MONTH('ادخال البيانات'!$N$3:$N$1164)=VALUE($B$10))) *
            (IF($B$11="الكل",1, INT((DAY('ادخال البيانات'!$N$3:$N$1164)-1)/7)+1 = VALUE($B$11))),
            'ادخال البيانات'!$H$3:$H$1164
         ),
         ""
      ),
      IF(_xlpm.result="", "", _xlpm.result)
   )
)</f>
        <v/>
      </c>
      <c r="I848" s="27" t="str" cm="1">
        <f t="array" ref="I848">IF(
   A848="",
   "",
   _xlfn.LET(
      _xlpm.result,
      IFERROR(
         _xlfn.XLOOKUP(
            1,
            (Table8[رقم الصنف]=A848) *
            (IF($B$9="الكل",1, YEAR('ادخال البيانات'!$N$3:$N$1164)=VALUE($B$9))) *
            (IF($B$10="الكل",1, MONTH('ادخال البيانات'!$N$3:$N$1164)=VALUE($B$10))) *
            (IF($B$11="الكل",1, INT((DAY('ادخال البيانات'!$N$3:$N$1164)-1)/7)+1 = VALUE($B$11))),
            'ادخال البيانات'!$I$3:$I$1164
         ),
         ""
      ),
      IF(_xlpm.result="", "", _xlpm.result)
   )
)</f>
        <v/>
      </c>
      <c r="J848" s="27" t="str" cm="1">
        <f t="array" ref="J848">IF(
   A848="",
   "",
   _xlfn.LET(
      _xlpm.result,
      IFERROR(
         _xlfn.XLOOKUP(
            1,
            (Table8[رقم الصنف]=A848) *
            (IF($B$9="الكل",1, YEAR('ادخال البيانات'!$N$3:$N$1164)=VALUE($B$9))) *
            (IF($B$10="الكل",1, MONTH('ادخال البيانات'!$N$3:$N$1164)=VALUE($B$10))) *
            (IF($B$11="الكل",1, INT((DAY('ادخال البيانات'!$N$3:$N$1164)-1)/7)+1 = VALUE($B$11))),
            'ادخال البيانات'!$J$3:$J$1164
         ),
         ""
      ),
      IF(_xlpm.result="", "", _xlpm.result)
   )
)</f>
        <v/>
      </c>
      <c r="K848" s="27" t="str" cm="1">
        <f t="array" ref="K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8" s="27" t="str" cm="1">
        <f t="array" ref="L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8" s="27" t="str" cm="1">
        <f t="array" ref="M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8" s="28" t="str" cm="1">
        <f t="array" ref="N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8" s="28" t="str" cm="1">
        <f t="array" ref="O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8" s="27" t="str" cm="1">
        <f t="array" ref="P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Table8[جهة العطل]
         ),
         ""
      ),
      IF(_xlpm.result="", "", _xlpm.result)
   )
)</f>
        <v/>
      </c>
      <c r="Q848" s="27" t="str" cm="1">
        <f t="array" ref="Q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Table8[المركز]
         ),
         ""
      ),
      IF(_xlpm.result="", "", _xlpm.result)
   )
)</f>
        <v/>
      </c>
      <c r="R848" s="27" t="str" cm="1">
        <f t="array" ref="R848">IF(
   A848="",
   "",
   _xlfn.LET(
      _xlpm.result,
      IFERROR(
         _xlfn.XLOOKUP(
            1,
            (Table8[رقم الصنف]=A848) *
            (IF($B$9="الكل",1, YEAR('ادخال البيانات'!$N$3:$N$1164) = VALUE($B$9))) *
            (IF($B$10="الكل",1, MONTH('ادخال البيانات'!$N$3:$N$1164) = VALUE($B$10))) *
            (IF($B$11="الكل",1, INT((DAY('ادخال البيانات'!$N$3:$N$1164) - 1) / 7) + 1 = VALUE($B$11))),
            Table8[ملاحظة]
         ),
         ""
      ),
      IF(_xlpm.result="", "", _xlpm.result)
   )
)</f>
        <v/>
      </c>
      <c r="S848" s="46" t="str">
        <f t="shared" ca="1" si="14"/>
        <v/>
      </c>
    </row>
    <row r="849" spans="1:19" ht="15.6" thickTop="1" thickBot="1" x14ac:dyDescent="0.35">
      <c r="A849" s="39"/>
      <c r="B849" s="27" t="str" cm="1">
        <f t="array" ref="B849">IF(
   OR(A849="", $B$9="", $B$10="", $B$11=""),
   "",
   _xlfn.LET(
      _xlpm.result,
      IFERROR(
         _xlfn.XLOOKUP(
            1,
            (Table8[رقم الصنف]=A849)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49" s="27" t="str" cm="1">
        <f t="array" ref="C849">IF(
   A849="",
   "",
   _xlfn.LET(
      _xlpm.result,
      IFERROR(
         _xlfn.XLOOKUP(
            1,
            (Table8[رقم الصنف]=A849) *
            (IF($B$9="الكل",1, YEAR('ادخال البيانات'!$N$3:$N$1164) = VALUE($B$9))) *
            (IF($B$10="الكل",1, MONTH('ادخال البيانات'!$N$3:$N$1164) = VALUE($B$10))) *
            (IF($B$11="الكل",1, INT((DAY('ادخال البيانات'!$N$3:$N$1164)-1)/7)+1 = VALUE($B$11))),
            'ادخال البيانات'!$C$3:$C$1164
         ),
         ""
      ),
      IF(_xlpm.result="", "", _xlpm.result)
   )
)</f>
        <v/>
      </c>
      <c r="D849" s="27" t="str" cm="1">
        <f t="array" ref="D849">IF(
   OR(A849="", $B$9="", $B$10="", $B$11=""),
   "",
   _xlfn.LET(
      _xlpm.result,
      IFERROR(
         _xlfn.XLOOKUP(
            1,
            (Table8[رقم الصنف]=A849) *
            (IF($B$9="الكل",1, YEAR('ادخال البيانات'!$N$3:$N$1164)=VALUE($B$9))) *
            (IF($B$10="الكل",1, MONTH('ادخال البيانات'!$N$3:$N$1164)=VALUE($B$10))) *
            (IF($B$11="الكل",1, INT((DAY('ادخال البيانات'!$N$3:$N$1164)-1)/7)+1 = VALUE($B$11))),
            'ادخال البيانات'!$D$3:$D$1164
         ),
         ""
      ),
      IF(_xlpm.result="", "", _xlpm.result)
   )
)</f>
        <v/>
      </c>
      <c r="E849" s="27" t="str" cm="1">
        <f t="array" ref="E849">IF(
   A849="",
   "",
   _xlfn.LET(
      _xlpm.result,
      IFERROR(
         _xlfn.XLOOKUP(
            1,
            (Table8[رقم الصنف]=A849) *
            (IF($B$9="الكل",1, YEAR('ادخال البيانات'!$N$3:$N$1164)=VALUE($B$9))) *
            (IF($B$10="الكل",1, MONTH('ادخال البيانات'!$N$3:$N$1164)=VALUE($B$10))) *
            (IF($B$11="الكل",1, INT((DAY('ادخال البيانات'!$N$3:$N$1164)-1)/7)+1 = VALUE($B$11))),
            'ادخال البيانات'!$E$3:$E$1164
         ),
         ""
      ),
      IF(_xlpm.result="", "", _xlpm.result)
   )
)</f>
        <v/>
      </c>
      <c r="F849" s="27" t="str" cm="1">
        <f t="array" ref="F849">IF(
   A849="",
   "",
   _xlfn.LET(
      _xlpm.result,
      IFERROR(
         _xlfn.XLOOKUP(
            1,
            (Table8[رقم الصنف]=A849) *
            (IF($B$9="الكل",1, YEAR('ادخال البيانات'!$N$3:$N$1164) = VALUE($B$9))) *
            (IF($B$10="الكل",1, MONTH('ادخال البيانات'!$N$3:$N$1164) = VALUE($B$10))) *
            (IF($B$11="الكل",1, INT((DAY('ادخال البيانات'!$N$3:$N$1164)-1)/7)+1 = VALUE($B$11))),
            'ادخال البيانات'!$F$3:$F$1164
         ),
         ""
      ),
      IF(_xlpm.result="", "", _xlpm.result)
   )
)</f>
        <v/>
      </c>
      <c r="G849" s="27" t="str" cm="1">
        <f t="array" ref="G849">IF(
   A849="",
   "",
   _xlfn.LET(
      _xlpm.result,
      IFERROR(
         _xlfn.XLOOKUP(
            1,
            (Table8[رقم الصنف]=A849) *
            (IF($B$9="الكل",1, YEAR('ادخال البيانات'!$N$3:$N$1164)=VALUE($B$9))) *
            (IF($B$10="الكل",1, MONTH('ادخال البيانات'!$N$3:$N$1164)=VALUE($B$10))) *
            (IF($B$11="الكل",1, INT((DAY('ادخال البيانات'!$N$3:$N$1164)-1)/7)+1 = VALUE($B$11))),
            'ادخال البيانات'!$G$3:$G$1164
         ),
         ""
      ),
      IF(_xlpm.result="", "", _xlpm.result)
   )
)</f>
        <v/>
      </c>
      <c r="H849" s="27" t="str" cm="1">
        <f t="array" ref="H849">IF(
   A849="",
   "",
   _xlfn.LET(
      _xlpm.result,
      IFERROR(
         _xlfn.XLOOKUP(
            1,
            (Table8[رقم الصنف]=A849) *
            (IF($B$9="الكل",1, YEAR('ادخال البيانات'!$N$3:$N$1164)=VALUE($B$9))) *
            (IF($B$10="الكل",1, MONTH('ادخال البيانات'!$N$3:$N$1164)=VALUE($B$10))) *
            (IF($B$11="الكل",1, INT((DAY('ادخال البيانات'!$N$3:$N$1164)-1)/7)+1 = VALUE($B$11))),
            'ادخال البيانات'!$H$3:$H$1164
         ),
         ""
      ),
      IF(_xlpm.result="", "", _xlpm.result)
   )
)</f>
        <v/>
      </c>
      <c r="I849" s="27" t="str" cm="1">
        <f t="array" ref="I849">IF(
   A849="",
   "",
   _xlfn.LET(
      _xlpm.result,
      IFERROR(
         _xlfn.XLOOKUP(
            1,
            (Table8[رقم الصنف]=A849) *
            (IF($B$9="الكل",1, YEAR('ادخال البيانات'!$N$3:$N$1164)=VALUE($B$9))) *
            (IF($B$10="الكل",1, MONTH('ادخال البيانات'!$N$3:$N$1164)=VALUE($B$10))) *
            (IF($B$11="الكل",1, INT((DAY('ادخال البيانات'!$N$3:$N$1164)-1)/7)+1 = VALUE($B$11))),
            'ادخال البيانات'!$I$3:$I$1164
         ),
         ""
      ),
      IF(_xlpm.result="", "", _xlpm.result)
   )
)</f>
        <v/>
      </c>
      <c r="J849" s="27" t="str" cm="1">
        <f t="array" ref="J849">IF(
   A849="",
   "",
   _xlfn.LET(
      _xlpm.result,
      IFERROR(
         _xlfn.XLOOKUP(
            1,
            (Table8[رقم الصنف]=A849) *
            (IF($B$9="الكل",1, YEAR('ادخال البيانات'!$N$3:$N$1164)=VALUE($B$9))) *
            (IF($B$10="الكل",1, MONTH('ادخال البيانات'!$N$3:$N$1164)=VALUE($B$10))) *
            (IF($B$11="الكل",1, INT((DAY('ادخال البيانات'!$N$3:$N$1164)-1)/7)+1 = VALUE($B$11))),
            'ادخال البيانات'!$J$3:$J$1164
         ),
         ""
      ),
      IF(_xlpm.result="", "", _xlpm.result)
   )
)</f>
        <v/>
      </c>
      <c r="K849" s="27" t="str" cm="1">
        <f t="array" ref="K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49" s="27" t="str" cm="1">
        <f t="array" ref="L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49" s="27" t="str" cm="1">
        <f t="array" ref="M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49" s="28" t="str" cm="1">
        <f t="array" ref="N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49" s="28" t="str" cm="1">
        <f t="array" ref="O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49" s="27" t="str" cm="1">
        <f t="array" ref="P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Table8[جهة العطل]
         ),
         ""
      ),
      IF(_xlpm.result="", "", _xlpm.result)
   )
)</f>
        <v/>
      </c>
      <c r="Q849" s="27" t="str" cm="1">
        <f t="array" ref="Q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Table8[المركز]
         ),
         ""
      ),
      IF(_xlpm.result="", "", _xlpm.result)
   )
)</f>
        <v/>
      </c>
      <c r="R849" s="27" t="str" cm="1">
        <f t="array" ref="R849">IF(
   A849="",
   "",
   _xlfn.LET(
      _xlpm.result,
      IFERROR(
         _xlfn.XLOOKUP(
            1,
            (Table8[رقم الصنف]=A849) *
            (IF($B$9="الكل",1, YEAR('ادخال البيانات'!$N$3:$N$1164) = VALUE($B$9))) *
            (IF($B$10="الكل",1, MONTH('ادخال البيانات'!$N$3:$N$1164) = VALUE($B$10))) *
            (IF($B$11="الكل",1, INT((DAY('ادخال البيانات'!$N$3:$N$1164) - 1) / 7) + 1 = VALUE($B$11))),
            Table8[ملاحظة]
         ),
         ""
      ),
      IF(_xlpm.result="", "", _xlpm.result)
   )
)</f>
        <v/>
      </c>
      <c r="S849" s="46" t="str">
        <f t="shared" ca="1" si="14"/>
        <v/>
      </c>
    </row>
    <row r="850" spans="1:19" ht="15.6" thickTop="1" thickBot="1" x14ac:dyDescent="0.35">
      <c r="A850" s="39"/>
      <c r="B850" s="27" t="str" cm="1">
        <f t="array" ref="B850">IF(
   OR(A850="", $B$9="", $B$10="", $B$11=""),
   "",
   _xlfn.LET(
      _xlpm.result,
      IFERROR(
         _xlfn.XLOOKUP(
            1,
            (Table8[رقم الصنف]=A850)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0" s="27" t="str" cm="1">
        <f t="array" ref="C850">IF(
   A850="",
   "",
   _xlfn.LET(
      _xlpm.result,
      IFERROR(
         _xlfn.XLOOKUP(
            1,
            (Table8[رقم الصنف]=A850) *
            (IF($B$9="الكل",1, YEAR('ادخال البيانات'!$N$3:$N$1164) = VALUE($B$9))) *
            (IF($B$10="الكل",1, MONTH('ادخال البيانات'!$N$3:$N$1164) = VALUE($B$10))) *
            (IF($B$11="الكل",1, INT((DAY('ادخال البيانات'!$N$3:$N$1164)-1)/7)+1 = VALUE($B$11))),
            'ادخال البيانات'!$C$3:$C$1164
         ),
         ""
      ),
      IF(_xlpm.result="", "", _xlpm.result)
   )
)</f>
        <v/>
      </c>
      <c r="D850" s="27" t="str" cm="1">
        <f t="array" ref="D850">IF(
   OR(A850="", $B$9="", $B$10="", $B$11=""),
   "",
   _xlfn.LET(
      _xlpm.result,
      IFERROR(
         _xlfn.XLOOKUP(
            1,
            (Table8[رقم الصنف]=A850) *
            (IF($B$9="الكل",1, YEAR('ادخال البيانات'!$N$3:$N$1164)=VALUE($B$9))) *
            (IF($B$10="الكل",1, MONTH('ادخال البيانات'!$N$3:$N$1164)=VALUE($B$10))) *
            (IF($B$11="الكل",1, INT((DAY('ادخال البيانات'!$N$3:$N$1164)-1)/7)+1 = VALUE($B$11))),
            'ادخال البيانات'!$D$3:$D$1164
         ),
         ""
      ),
      IF(_xlpm.result="", "", _xlpm.result)
   )
)</f>
        <v/>
      </c>
      <c r="E850" s="27" t="str" cm="1">
        <f t="array" ref="E850">IF(
   A850="",
   "",
   _xlfn.LET(
      _xlpm.result,
      IFERROR(
         _xlfn.XLOOKUP(
            1,
            (Table8[رقم الصنف]=A850) *
            (IF($B$9="الكل",1, YEAR('ادخال البيانات'!$N$3:$N$1164)=VALUE($B$9))) *
            (IF($B$10="الكل",1, MONTH('ادخال البيانات'!$N$3:$N$1164)=VALUE($B$10))) *
            (IF($B$11="الكل",1, INT((DAY('ادخال البيانات'!$N$3:$N$1164)-1)/7)+1 = VALUE($B$11))),
            'ادخال البيانات'!$E$3:$E$1164
         ),
         ""
      ),
      IF(_xlpm.result="", "", _xlpm.result)
   )
)</f>
        <v/>
      </c>
      <c r="F850" s="27" t="str" cm="1">
        <f t="array" ref="F850">IF(
   A850="",
   "",
   _xlfn.LET(
      _xlpm.result,
      IFERROR(
         _xlfn.XLOOKUP(
            1,
            (Table8[رقم الصنف]=A850) *
            (IF($B$9="الكل",1, YEAR('ادخال البيانات'!$N$3:$N$1164) = VALUE($B$9))) *
            (IF($B$10="الكل",1, MONTH('ادخال البيانات'!$N$3:$N$1164) = VALUE($B$10))) *
            (IF($B$11="الكل",1, INT((DAY('ادخال البيانات'!$N$3:$N$1164)-1)/7)+1 = VALUE($B$11))),
            'ادخال البيانات'!$F$3:$F$1164
         ),
         ""
      ),
      IF(_xlpm.result="", "", _xlpm.result)
   )
)</f>
        <v/>
      </c>
      <c r="G850" s="27" t="str" cm="1">
        <f t="array" ref="G850">IF(
   A850="",
   "",
   _xlfn.LET(
      _xlpm.result,
      IFERROR(
         _xlfn.XLOOKUP(
            1,
            (Table8[رقم الصنف]=A850) *
            (IF($B$9="الكل",1, YEAR('ادخال البيانات'!$N$3:$N$1164)=VALUE($B$9))) *
            (IF($B$10="الكل",1, MONTH('ادخال البيانات'!$N$3:$N$1164)=VALUE($B$10))) *
            (IF($B$11="الكل",1, INT((DAY('ادخال البيانات'!$N$3:$N$1164)-1)/7)+1 = VALUE($B$11))),
            'ادخال البيانات'!$G$3:$G$1164
         ),
         ""
      ),
      IF(_xlpm.result="", "", _xlpm.result)
   )
)</f>
        <v/>
      </c>
      <c r="H850" s="27" t="str" cm="1">
        <f t="array" ref="H850">IF(
   A850="",
   "",
   _xlfn.LET(
      _xlpm.result,
      IFERROR(
         _xlfn.XLOOKUP(
            1,
            (Table8[رقم الصنف]=A850) *
            (IF($B$9="الكل",1, YEAR('ادخال البيانات'!$N$3:$N$1164)=VALUE($B$9))) *
            (IF($B$10="الكل",1, MONTH('ادخال البيانات'!$N$3:$N$1164)=VALUE($B$10))) *
            (IF($B$11="الكل",1, INT((DAY('ادخال البيانات'!$N$3:$N$1164)-1)/7)+1 = VALUE($B$11))),
            'ادخال البيانات'!$H$3:$H$1164
         ),
         ""
      ),
      IF(_xlpm.result="", "", _xlpm.result)
   )
)</f>
        <v/>
      </c>
      <c r="I850" s="27" t="str" cm="1">
        <f t="array" ref="I850">IF(
   A850="",
   "",
   _xlfn.LET(
      _xlpm.result,
      IFERROR(
         _xlfn.XLOOKUP(
            1,
            (Table8[رقم الصنف]=A850) *
            (IF($B$9="الكل",1, YEAR('ادخال البيانات'!$N$3:$N$1164)=VALUE($B$9))) *
            (IF($B$10="الكل",1, MONTH('ادخال البيانات'!$N$3:$N$1164)=VALUE($B$10))) *
            (IF($B$11="الكل",1, INT((DAY('ادخال البيانات'!$N$3:$N$1164)-1)/7)+1 = VALUE($B$11))),
            'ادخال البيانات'!$I$3:$I$1164
         ),
         ""
      ),
      IF(_xlpm.result="", "", _xlpm.result)
   )
)</f>
        <v/>
      </c>
      <c r="J850" s="27" t="str" cm="1">
        <f t="array" ref="J850">IF(
   A850="",
   "",
   _xlfn.LET(
      _xlpm.result,
      IFERROR(
         _xlfn.XLOOKUP(
            1,
            (Table8[رقم الصنف]=A850) *
            (IF($B$9="الكل",1, YEAR('ادخال البيانات'!$N$3:$N$1164)=VALUE($B$9))) *
            (IF($B$10="الكل",1, MONTH('ادخال البيانات'!$N$3:$N$1164)=VALUE($B$10))) *
            (IF($B$11="الكل",1, INT((DAY('ادخال البيانات'!$N$3:$N$1164)-1)/7)+1 = VALUE($B$11))),
            'ادخال البيانات'!$J$3:$J$1164
         ),
         ""
      ),
      IF(_xlpm.result="", "", _xlpm.result)
   )
)</f>
        <v/>
      </c>
      <c r="K850" s="27" t="str" cm="1">
        <f t="array" ref="K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0" s="27" t="str" cm="1">
        <f t="array" ref="L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0" s="27" t="str" cm="1">
        <f t="array" ref="M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0" s="28" t="str" cm="1">
        <f t="array" ref="N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0" s="28" t="str" cm="1">
        <f t="array" ref="O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0" s="27" t="str" cm="1">
        <f t="array" ref="P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Table8[جهة العطل]
         ),
         ""
      ),
      IF(_xlpm.result="", "", _xlpm.result)
   )
)</f>
        <v/>
      </c>
      <c r="Q850" s="27" t="str" cm="1">
        <f t="array" ref="Q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Table8[المركز]
         ),
         ""
      ),
      IF(_xlpm.result="", "", _xlpm.result)
   )
)</f>
        <v/>
      </c>
      <c r="R850" s="27" t="str" cm="1">
        <f t="array" ref="R850">IF(
   A850="",
   "",
   _xlfn.LET(
      _xlpm.result,
      IFERROR(
         _xlfn.XLOOKUP(
            1,
            (Table8[رقم الصنف]=A850) *
            (IF($B$9="الكل",1, YEAR('ادخال البيانات'!$N$3:$N$1164) = VALUE($B$9))) *
            (IF($B$10="الكل",1, MONTH('ادخال البيانات'!$N$3:$N$1164) = VALUE($B$10))) *
            (IF($B$11="الكل",1, INT((DAY('ادخال البيانات'!$N$3:$N$1164) - 1) / 7) + 1 = VALUE($B$11))),
            Table8[ملاحظة]
         ),
         ""
      ),
      IF(_xlpm.result="", "", _xlpm.result)
   )
)</f>
        <v/>
      </c>
      <c r="S850" s="46" t="str">
        <f t="shared" ca="1" si="14"/>
        <v/>
      </c>
    </row>
    <row r="851" spans="1:19" ht="15.6" thickTop="1" thickBot="1" x14ac:dyDescent="0.35">
      <c r="A851" s="39"/>
      <c r="B851" s="27" t="str" cm="1">
        <f t="array" ref="B851">IF(
   OR(A851="", $B$9="", $B$10="", $B$11=""),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1" s="27" t="str" cm="1">
        <f t="array" ref="C851">IF(
   A851="",
   "",
   _xlfn.LET(
      _xlpm.result,
      IFERROR(
         _xlfn.XLOOKUP(
            1,
            (Table8[رقم الصنف]=A851) *
            (IF($B$9="الكل",1, YEAR('ادخال البيانات'!$N$3:$N$1164) = VALUE($B$9))) *
            (IF($B$10="الكل",1, MONTH('ادخال البيانات'!$N$3:$N$1164) = VALUE($B$10))) *
            (IF($B$11="الكل",1, INT((DAY('ادخال البيانات'!$N$3:$N$1164)-1)/7)+1 = VALUE($B$11))),
            'ادخال البيانات'!$C$3:$C$1164
         ),
         ""
      ),
      IF(_xlpm.result="", "", _xlpm.result)
   )
)</f>
        <v/>
      </c>
      <c r="D851" s="27" t="str" cm="1">
        <f t="array" ref="D851">IF(
   OR(A851="", $B$9="", $B$10="", $B$11=""),
   "",
   _xlfn.LET(
      _xlpm.result,
      IFERROR(
         _xlfn.XLOOKUP(
            1,
            (Table8[رقم الصنف]=A851) *
            (IF($B$9="الكل",1, YEAR('ادخال البيانات'!$N$3:$N$1164)=VALUE($B$9))) *
            (IF($B$10="الكل",1, MONTH('ادخال البيانات'!$N$3:$N$1164)=VALUE($B$10))) *
            (IF($B$11="الكل",1, INT((DAY('ادخال البيانات'!$N$3:$N$1164)-1)/7)+1 = VALUE($B$11))),
            'ادخال البيانات'!$D$3:$D$1164
         ),
         ""
      ),
      IF(_xlpm.result="", "", _xlpm.result)
   )
)</f>
        <v/>
      </c>
      <c r="E851" s="27" t="str" cm="1">
        <f t="array" ref="E851">IF(
   A851="",
   "",
   _xlfn.LET(
      _xlpm.result,
      IFERROR(
         _xlfn.XLOOKUP(
            1,
            (Table8[رقم الصنف]=A851) *
            (IF($B$9="الكل",1, YEAR('ادخال البيانات'!$N$3:$N$1164)=VALUE($B$9))) *
            (IF($B$10="الكل",1, MONTH('ادخال البيانات'!$N$3:$N$1164)=VALUE($B$10))) *
            (IF($B$11="الكل",1, INT((DAY('ادخال البيانات'!$N$3:$N$1164)-1)/7)+1 = VALUE($B$11))),
            'ادخال البيانات'!$E$3:$E$1164
         ),
         ""
      ),
      IF(_xlpm.result="", "", _xlpm.result)
   )
)</f>
        <v/>
      </c>
      <c r="F851" s="27" t="str" cm="1">
        <f t="array" ref="F851">IF(
   A851="",
   "",
   _xlfn.LET(
      _xlpm.result,
      IFERROR(
         _xlfn.XLOOKUP(
            1,
            (Table8[رقم الصنف]=A851) *
            (IF($B$9="الكل",1, YEAR('ادخال البيانات'!$N$3:$N$1164) = VALUE($B$9))) *
            (IF($B$10="الكل",1, MONTH('ادخال البيانات'!$N$3:$N$1164) = VALUE($B$10))) *
            (IF($B$11="الكل",1, INT((DAY('ادخال البيانات'!$N$3:$N$1164)-1)/7)+1 = VALUE($B$11))),
            'ادخال البيانات'!$F$3:$F$1164
         ),
         ""
      ),
      IF(_xlpm.result="", "", _xlpm.result)
   )
)</f>
        <v/>
      </c>
      <c r="G851" s="27" t="str" cm="1">
        <f t="array" ref="G851">IF(
   A851="",
   "",
   _xlfn.LET(
      _xlpm.result,
      IFERROR(
         _xlfn.XLOOKUP(
            1,
            (Table8[رقم الصنف]=A851) *
            (IF($B$9="الكل",1, YEAR('ادخال البيانات'!$N$3:$N$1164)=VALUE($B$9))) *
            (IF($B$10="الكل",1, MONTH('ادخال البيانات'!$N$3:$N$1164)=VALUE($B$10))) *
            (IF($B$11="الكل",1, INT((DAY('ادخال البيانات'!$N$3:$N$1164)-1)/7)+1 = VALUE($B$11))),
            'ادخال البيانات'!$G$3:$G$1164
         ),
         ""
      ),
      IF(_xlpm.result="", "", _xlpm.result)
   )
)</f>
        <v/>
      </c>
      <c r="H851" s="27" t="str" cm="1">
        <f t="array" ref="H851">IF(
   A851="",
   "",
   _xlfn.LET(
      _xlpm.result,
      IFERROR(
         _xlfn.XLOOKUP(
            1,
            (Table8[رقم الصنف]=A851) *
            (IF($B$9="الكل",1, YEAR('ادخال البيانات'!$N$3:$N$1164)=VALUE($B$9))) *
            (IF($B$10="الكل",1, MONTH('ادخال البيانات'!$N$3:$N$1164)=VALUE($B$10))) *
            (IF($B$11="الكل",1, INT((DAY('ادخال البيانات'!$N$3:$N$1164)-1)/7)+1 = VALUE($B$11))),
            'ادخال البيانات'!$H$3:$H$1164
         ),
         ""
      ),
      IF(_xlpm.result="", "", _xlpm.result)
   )
)</f>
        <v/>
      </c>
      <c r="I851" s="27" t="str" cm="1">
        <f t="array" ref="I851">IF(
   A851="",
   "",
   _xlfn.LET(
      _xlpm.result,
      IFERROR(
         _xlfn.XLOOKUP(
            1,
            (Table8[رقم الصنف]=A851) *
            (IF($B$9="الكل",1, YEAR('ادخال البيانات'!$N$3:$N$1164)=VALUE($B$9))) *
            (IF($B$10="الكل",1, MONTH('ادخال البيانات'!$N$3:$N$1164)=VALUE($B$10))) *
            (IF($B$11="الكل",1, INT((DAY('ادخال البيانات'!$N$3:$N$1164)-1)/7)+1 = VALUE($B$11))),
            'ادخال البيانات'!$I$3:$I$1164
         ),
         ""
      ),
      IF(_xlpm.result="", "", _xlpm.result)
   )
)</f>
        <v/>
      </c>
      <c r="J851" s="27" t="str" cm="1">
        <f t="array" ref="J851">IF(
   A851="",
   "",
   _xlfn.LET(
      _xlpm.result,
      IFERROR(
         _xlfn.XLOOKUP(
            1,
            (Table8[رقم الصنف]=A851) *
            (IF($B$9="الكل",1, YEAR('ادخال البيانات'!$N$3:$N$1164)=VALUE($B$9))) *
            (IF($B$10="الكل",1, MONTH('ادخال البيانات'!$N$3:$N$1164)=VALUE($B$10))) *
            (IF($B$11="الكل",1, INT((DAY('ادخال البيانات'!$N$3:$N$1164)-1)/7)+1 = VALUE($B$11))),
            'ادخال البيانات'!$J$3:$J$1164
         ),
         ""
      ),
      IF(_xlpm.result="", "", _xlpm.result)
   )
)</f>
        <v/>
      </c>
      <c r="K851" s="27" t="str" cm="1">
        <f t="array" ref="K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1" s="27" t="str" cm="1">
        <f t="array" ref="L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1" s="27" t="str" cm="1">
        <f t="array" ref="M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1" s="28" t="str" cm="1">
        <f t="array" ref="N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1" s="28" t="str" cm="1">
        <f t="array" ref="O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1" s="27" t="str" cm="1">
        <f t="array" ref="P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Table8[جهة العطل]
         ),
         ""
      ),
      IF(_xlpm.result="", "", _xlpm.result)
   )
)</f>
        <v/>
      </c>
      <c r="Q851" s="27" t="str" cm="1">
        <f t="array" ref="Q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Table8[المركز]
         ),
         ""
      ),
      IF(_xlpm.result="", "", _xlpm.result)
   )
)</f>
        <v/>
      </c>
      <c r="R851" s="27" t="str" cm="1">
        <f t="array" ref="R851">IF(
   A851="",
   "",
   _xlfn.LET(
      _xlpm.result,
      IFERROR(
         _xlfn.XLOOKUP(
            1,
            (Table8[رقم الصنف]=A851) *
            (IF($B$9="الكل",1, YEAR('ادخال البيانات'!$N$3:$N$1164) = VALUE($B$9))) *
            (IF($B$10="الكل",1, MONTH('ادخال البيانات'!$N$3:$N$1164) = VALUE($B$10))) *
            (IF($B$11="الكل",1, INT((DAY('ادخال البيانات'!$N$3:$N$1164) - 1) / 7) + 1 = VALUE($B$11))),
            Table8[ملاحظة]
         ),
         ""
      ),
      IF(_xlpm.result="", "", _xlpm.result)
   )
)</f>
        <v/>
      </c>
      <c r="S851" s="46" t="str">
        <f t="shared" ca="1" si="14"/>
        <v/>
      </c>
    </row>
    <row r="852" spans="1:19" ht="15.6" thickTop="1" thickBot="1" x14ac:dyDescent="0.35">
      <c r="A852" s="39"/>
      <c r="B852" s="27" t="str" cm="1">
        <f t="array" ref="B852">IF(
   OR(A852="", $B$9="", $B$10="", $B$11=""),
   "",
   _xlfn.LET(
      _xlpm.result,
      IFERROR(
         _xlfn.XLOOKUP(
            1,
            (Table8[رقم الصنف]=A852)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2" s="27" t="str" cm="1">
        <f t="array" ref="C852">IF(
   A852="",
   "",
   _xlfn.LET(
      _xlpm.result,
      IFERROR(
         _xlfn.XLOOKUP(
            1,
            (Table8[رقم الصنف]=A852) *
            (IF($B$9="الكل",1, YEAR('ادخال البيانات'!$N$3:$N$1164) = VALUE($B$9))) *
            (IF($B$10="الكل",1, MONTH('ادخال البيانات'!$N$3:$N$1164) = VALUE($B$10))) *
            (IF($B$11="الكل",1, INT((DAY('ادخال البيانات'!$N$3:$N$1164)-1)/7)+1 = VALUE($B$11))),
            'ادخال البيانات'!$C$3:$C$1164
         ),
         ""
      ),
      IF(_xlpm.result="", "", _xlpm.result)
   )
)</f>
        <v/>
      </c>
      <c r="D852" s="27" t="str" cm="1">
        <f t="array" ref="D852">IF(
   OR(A852="", $B$9="", $B$10="", $B$11=""),
   "",
   _xlfn.LET(
      _xlpm.result,
      IFERROR(
         _xlfn.XLOOKUP(
            1,
            (Table8[رقم الصنف]=A852) *
            (IF($B$9="الكل",1, YEAR('ادخال البيانات'!$N$3:$N$1164)=VALUE($B$9))) *
            (IF($B$10="الكل",1, MONTH('ادخال البيانات'!$N$3:$N$1164)=VALUE($B$10))) *
            (IF($B$11="الكل",1, INT((DAY('ادخال البيانات'!$N$3:$N$1164)-1)/7)+1 = VALUE($B$11))),
            'ادخال البيانات'!$D$3:$D$1164
         ),
         ""
      ),
      IF(_xlpm.result="", "", _xlpm.result)
   )
)</f>
        <v/>
      </c>
      <c r="E852" s="27" t="str" cm="1">
        <f t="array" ref="E852">IF(
   A852="",
   "",
   _xlfn.LET(
      _xlpm.result,
      IFERROR(
         _xlfn.XLOOKUP(
            1,
            (Table8[رقم الصنف]=A852) *
            (IF($B$9="الكل",1, YEAR('ادخال البيانات'!$N$3:$N$1164)=VALUE($B$9))) *
            (IF($B$10="الكل",1, MONTH('ادخال البيانات'!$N$3:$N$1164)=VALUE($B$10))) *
            (IF($B$11="الكل",1, INT((DAY('ادخال البيانات'!$N$3:$N$1164)-1)/7)+1 = VALUE($B$11))),
            'ادخال البيانات'!$E$3:$E$1164
         ),
         ""
      ),
      IF(_xlpm.result="", "", _xlpm.result)
   )
)</f>
        <v/>
      </c>
      <c r="F852" s="27" t="str" cm="1">
        <f t="array" ref="F852">IF(
   A852="",
   "",
   _xlfn.LET(
      _xlpm.result,
      IFERROR(
         _xlfn.XLOOKUP(
            1,
            (Table8[رقم الصنف]=A852) *
            (IF($B$9="الكل",1, YEAR('ادخال البيانات'!$N$3:$N$1164) = VALUE($B$9))) *
            (IF($B$10="الكل",1, MONTH('ادخال البيانات'!$N$3:$N$1164) = VALUE($B$10))) *
            (IF($B$11="الكل",1, INT((DAY('ادخال البيانات'!$N$3:$N$1164)-1)/7)+1 = VALUE($B$11))),
            'ادخال البيانات'!$F$3:$F$1164
         ),
         ""
      ),
      IF(_xlpm.result="", "", _xlpm.result)
   )
)</f>
        <v/>
      </c>
      <c r="G852" s="27" t="str" cm="1">
        <f t="array" ref="G852">IF(
   A852="",
   "",
   _xlfn.LET(
      _xlpm.result,
      IFERROR(
         _xlfn.XLOOKUP(
            1,
            (Table8[رقم الصنف]=A852) *
            (IF($B$9="الكل",1, YEAR('ادخال البيانات'!$N$3:$N$1164)=VALUE($B$9))) *
            (IF($B$10="الكل",1, MONTH('ادخال البيانات'!$N$3:$N$1164)=VALUE($B$10))) *
            (IF($B$11="الكل",1, INT((DAY('ادخال البيانات'!$N$3:$N$1164)-1)/7)+1 = VALUE($B$11))),
            'ادخال البيانات'!$G$3:$G$1164
         ),
         ""
      ),
      IF(_xlpm.result="", "", _xlpm.result)
   )
)</f>
        <v/>
      </c>
      <c r="H852" s="27" t="str" cm="1">
        <f t="array" ref="H852">IF(
   A852="",
   "",
   _xlfn.LET(
      _xlpm.result,
      IFERROR(
         _xlfn.XLOOKUP(
            1,
            (Table8[رقم الصنف]=A852) *
            (IF($B$9="الكل",1, YEAR('ادخال البيانات'!$N$3:$N$1164)=VALUE($B$9))) *
            (IF($B$10="الكل",1, MONTH('ادخال البيانات'!$N$3:$N$1164)=VALUE($B$10))) *
            (IF($B$11="الكل",1, INT((DAY('ادخال البيانات'!$N$3:$N$1164)-1)/7)+1 = VALUE($B$11))),
            'ادخال البيانات'!$H$3:$H$1164
         ),
         ""
      ),
      IF(_xlpm.result="", "", _xlpm.result)
   )
)</f>
        <v/>
      </c>
      <c r="I852" s="27" t="str" cm="1">
        <f t="array" ref="I852">IF(
   A852="",
   "",
   _xlfn.LET(
      _xlpm.result,
      IFERROR(
         _xlfn.XLOOKUP(
            1,
            (Table8[رقم الصنف]=A852) *
            (IF($B$9="الكل",1, YEAR('ادخال البيانات'!$N$3:$N$1164)=VALUE($B$9))) *
            (IF($B$10="الكل",1, MONTH('ادخال البيانات'!$N$3:$N$1164)=VALUE($B$10))) *
            (IF($B$11="الكل",1, INT((DAY('ادخال البيانات'!$N$3:$N$1164)-1)/7)+1 = VALUE($B$11))),
            'ادخال البيانات'!$I$3:$I$1164
         ),
         ""
      ),
      IF(_xlpm.result="", "", _xlpm.result)
   )
)</f>
        <v/>
      </c>
      <c r="J852" s="27" t="str" cm="1">
        <f t="array" ref="J852">IF(
   A852="",
   "",
   _xlfn.LET(
      _xlpm.result,
      IFERROR(
         _xlfn.XLOOKUP(
            1,
            (Table8[رقم الصنف]=A852) *
            (IF($B$9="الكل",1, YEAR('ادخال البيانات'!$N$3:$N$1164)=VALUE($B$9))) *
            (IF($B$10="الكل",1, MONTH('ادخال البيانات'!$N$3:$N$1164)=VALUE($B$10))) *
            (IF($B$11="الكل",1, INT((DAY('ادخال البيانات'!$N$3:$N$1164)-1)/7)+1 = VALUE($B$11))),
            'ادخال البيانات'!$J$3:$J$1164
         ),
         ""
      ),
      IF(_xlpm.result="", "", _xlpm.result)
   )
)</f>
        <v/>
      </c>
      <c r="K852" s="27" t="str" cm="1">
        <f t="array" ref="K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2" s="27" t="str" cm="1">
        <f t="array" ref="L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2" s="27" t="str" cm="1">
        <f t="array" ref="M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2" s="28" t="str" cm="1">
        <f t="array" ref="N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2" s="28" t="str" cm="1">
        <f t="array" ref="O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2" s="27" t="str" cm="1">
        <f t="array" ref="P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Table8[جهة العطل]
         ),
         ""
      ),
      IF(_xlpm.result="", "", _xlpm.result)
   )
)</f>
        <v/>
      </c>
      <c r="Q852" s="27" t="str" cm="1">
        <f t="array" ref="Q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Table8[المركز]
         ),
         ""
      ),
      IF(_xlpm.result="", "", _xlpm.result)
   )
)</f>
        <v/>
      </c>
      <c r="R852" s="27" t="str" cm="1">
        <f t="array" ref="R852">IF(
   A852="",
   "",
   _xlfn.LET(
      _xlpm.result,
      IFERROR(
         _xlfn.XLOOKUP(
            1,
            (Table8[رقم الصنف]=A852) *
            (IF($B$9="الكل",1, YEAR('ادخال البيانات'!$N$3:$N$1164) = VALUE($B$9))) *
            (IF($B$10="الكل",1, MONTH('ادخال البيانات'!$N$3:$N$1164) = VALUE($B$10))) *
            (IF($B$11="الكل",1, INT((DAY('ادخال البيانات'!$N$3:$N$1164) - 1) / 7) + 1 = VALUE($B$11))),
            Table8[ملاحظة]
         ),
         ""
      ),
      IF(_xlpm.result="", "", _xlpm.result)
   )
)</f>
        <v/>
      </c>
      <c r="S852" s="46" t="str">
        <f t="shared" ca="1" si="14"/>
        <v/>
      </c>
    </row>
    <row r="853" spans="1:19" ht="15.6" thickTop="1" thickBot="1" x14ac:dyDescent="0.35">
      <c r="A853" s="39"/>
      <c r="B853" s="27" t="str" cm="1">
        <f t="array" ref="B853">IF(
   OR(A853="", $B$9="", $B$10="", $B$11=""),
   "",
   _xlfn.LET(
      _xlpm.result,
      IFERROR(
         _xlfn.XLOOKUP(
            1,
            (Table8[رقم الصنف]=A853)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3" s="27" t="str" cm="1">
        <f t="array" ref="C853">IF(
   A853="",
   "",
   _xlfn.LET(
      _xlpm.result,
      IFERROR(
         _xlfn.XLOOKUP(
            1,
            (Table8[رقم الصنف]=A853) *
            (IF($B$9="الكل",1, YEAR('ادخال البيانات'!$N$3:$N$1164) = VALUE($B$9))) *
            (IF($B$10="الكل",1, MONTH('ادخال البيانات'!$N$3:$N$1164) = VALUE($B$10))) *
            (IF($B$11="الكل",1, INT((DAY('ادخال البيانات'!$N$3:$N$1164)-1)/7)+1 = VALUE($B$11))),
            'ادخال البيانات'!$C$3:$C$1164
         ),
         ""
      ),
      IF(_xlpm.result="", "", _xlpm.result)
   )
)</f>
        <v/>
      </c>
      <c r="D853" s="27" t="str" cm="1">
        <f t="array" ref="D853">IF(
   OR(A853="", $B$9="", $B$10="", $B$11=""),
   "",
   _xlfn.LET(
      _xlpm.result,
      IFERROR(
         _xlfn.XLOOKUP(
            1,
            (Table8[رقم الصنف]=A853) *
            (IF($B$9="الكل",1, YEAR('ادخال البيانات'!$N$3:$N$1164)=VALUE($B$9))) *
            (IF($B$10="الكل",1, MONTH('ادخال البيانات'!$N$3:$N$1164)=VALUE($B$10))) *
            (IF($B$11="الكل",1, INT((DAY('ادخال البيانات'!$N$3:$N$1164)-1)/7)+1 = VALUE($B$11))),
            'ادخال البيانات'!$D$3:$D$1164
         ),
         ""
      ),
      IF(_xlpm.result="", "", _xlpm.result)
   )
)</f>
        <v/>
      </c>
      <c r="E853" s="27" t="str" cm="1">
        <f t="array" ref="E853">IF(
   A853="",
   "",
   _xlfn.LET(
      _xlpm.result,
      IFERROR(
         _xlfn.XLOOKUP(
            1,
            (Table8[رقم الصنف]=A853) *
            (IF($B$9="الكل",1, YEAR('ادخال البيانات'!$N$3:$N$1164)=VALUE($B$9))) *
            (IF($B$10="الكل",1, MONTH('ادخال البيانات'!$N$3:$N$1164)=VALUE($B$10))) *
            (IF($B$11="الكل",1, INT((DAY('ادخال البيانات'!$N$3:$N$1164)-1)/7)+1 = VALUE($B$11))),
            'ادخال البيانات'!$E$3:$E$1164
         ),
         ""
      ),
      IF(_xlpm.result="", "", _xlpm.result)
   )
)</f>
        <v/>
      </c>
      <c r="F853" s="27" t="str" cm="1">
        <f t="array" ref="F853">IF(
   A853="",
   "",
   _xlfn.LET(
      _xlpm.result,
      IFERROR(
         _xlfn.XLOOKUP(
            1,
            (Table8[رقم الصنف]=A853) *
            (IF($B$9="الكل",1, YEAR('ادخال البيانات'!$N$3:$N$1164) = VALUE($B$9))) *
            (IF($B$10="الكل",1, MONTH('ادخال البيانات'!$N$3:$N$1164) = VALUE($B$10))) *
            (IF($B$11="الكل",1, INT((DAY('ادخال البيانات'!$N$3:$N$1164)-1)/7)+1 = VALUE($B$11))),
            'ادخال البيانات'!$F$3:$F$1164
         ),
         ""
      ),
      IF(_xlpm.result="", "", _xlpm.result)
   )
)</f>
        <v/>
      </c>
      <c r="G853" s="27" t="str" cm="1">
        <f t="array" ref="G853">IF(
   A853="",
   "",
   _xlfn.LET(
      _xlpm.result,
      IFERROR(
         _xlfn.XLOOKUP(
            1,
            (Table8[رقم الصنف]=A853) *
            (IF($B$9="الكل",1, YEAR('ادخال البيانات'!$N$3:$N$1164)=VALUE($B$9))) *
            (IF($B$10="الكل",1, MONTH('ادخال البيانات'!$N$3:$N$1164)=VALUE($B$10))) *
            (IF($B$11="الكل",1, INT((DAY('ادخال البيانات'!$N$3:$N$1164)-1)/7)+1 = VALUE($B$11))),
            'ادخال البيانات'!$G$3:$G$1164
         ),
         ""
      ),
      IF(_xlpm.result="", "", _xlpm.result)
   )
)</f>
        <v/>
      </c>
      <c r="H853" s="27" t="str" cm="1">
        <f t="array" ref="H853">IF(
   A853="",
   "",
   _xlfn.LET(
      _xlpm.result,
      IFERROR(
         _xlfn.XLOOKUP(
            1,
            (Table8[رقم الصنف]=A853) *
            (IF($B$9="الكل",1, YEAR('ادخال البيانات'!$N$3:$N$1164)=VALUE($B$9))) *
            (IF($B$10="الكل",1, MONTH('ادخال البيانات'!$N$3:$N$1164)=VALUE($B$10))) *
            (IF($B$11="الكل",1, INT((DAY('ادخال البيانات'!$N$3:$N$1164)-1)/7)+1 = VALUE($B$11))),
            'ادخال البيانات'!$H$3:$H$1164
         ),
         ""
      ),
      IF(_xlpm.result="", "", _xlpm.result)
   )
)</f>
        <v/>
      </c>
      <c r="I853" s="27" t="str" cm="1">
        <f t="array" ref="I853">IF(
   A853="",
   "",
   _xlfn.LET(
      _xlpm.result,
      IFERROR(
         _xlfn.XLOOKUP(
            1,
            (Table8[رقم الصنف]=A853) *
            (IF($B$9="الكل",1, YEAR('ادخال البيانات'!$N$3:$N$1164)=VALUE($B$9))) *
            (IF($B$10="الكل",1, MONTH('ادخال البيانات'!$N$3:$N$1164)=VALUE($B$10))) *
            (IF($B$11="الكل",1, INT((DAY('ادخال البيانات'!$N$3:$N$1164)-1)/7)+1 = VALUE($B$11))),
            'ادخال البيانات'!$I$3:$I$1164
         ),
         ""
      ),
      IF(_xlpm.result="", "", _xlpm.result)
   )
)</f>
        <v/>
      </c>
      <c r="J853" s="27" t="str" cm="1">
        <f t="array" ref="J853">IF(
   A853="",
   "",
   _xlfn.LET(
      _xlpm.result,
      IFERROR(
         _xlfn.XLOOKUP(
            1,
            (Table8[رقم الصنف]=A853) *
            (IF($B$9="الكل",1, YEAR('ادخال البيانات'!$N$3:$N$1164)=VALUE($B$9))) *
            (IF($B$10="الكل",1, MONTH('ادخال البيانات'!$N$3:$N$1164)=VALUE($B$10))) *
            (IF($B$11="الكل",1, INT((DAY('ادخال البيانات'!$N$3:$N$1164)-1)/7)+1 = VALUE($B$11))),
            'ادخال البيانات'!$J$3:$J$1164
         ),
         ""
      ),
      IF(_xlpm.result="", "", _xlpm.result)
   )
)</f>
        <v/>
      </c>
      <c r="K853" s="27" t="str" cm="1">
        <f t="array" ref="K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3" s="27" t="str" cm="1">
        <f t="array" ref="L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3" s="27" t="str" cm="1">
        <f t="array" ref="M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3" s="28" t="str" cm="1">
        <f t="array" ref="N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3" s="28" t="str" cm="1">
        <f t="array" ref="O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3" s="27" t="str" cm="1">
        <f t="array" ref="P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Table8[جهة العطل]
         ),
         ""
      ),
      IF(_xlpm.result="", "", _xlpm.result)
   )
)</f>
        <v/>
      </c>
      <c r="Q853" s="27" t="str" cm="1">
        <f t="array" ref="Q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Table8[المركز]
         ),
         ""
      ),
      IF(_xlpm.result="", "", _xlpm.result)
   )
)</f>
        <v/>
      </c>
      <c r="R853" s="27" t="str" cm="1">
        <f t="array" ref="R853">IF(
   A853="",
   "",
   _xlfn.LET(
      _xlpm.result,
      IFERROR(
         _xlfn.XLOOKUP(
            1,
            (Table8[رقم الصنف]=A853) *
            (IF($B$9="الكل",1, YEAR('ادخال البيانات'!$N$3:$N$1164) = VALUE($B$9))) *
            (IF($B$10="الكل",1, MONTH('ادخال البيانات'!$N$3:$N$1164) = VALUE($B$10))) *
            (IF($B$11="الكل",1, INT((DAY('ادخال البيانات'!$N$3:$N$1164) - 1) / 7) + 1 = VALUE($B$11))),
            Table8[ملاحظة]
         ),
         ""
      ),
      IF(_xlpm.result="", "", _xlpm.result)
   )
)</f>
        <v/>
      </c>
      <c r="S853" s="46" t="str">
        <f t="shared" ca="1" si="14"/>
        <v/>
      </c>
    </row>
    <row r="854" spans="1:19" ht="15.6" thickTop="1" thickBot="1" x14ac:dyDescent="0.35">
      <c r="A854" s="39"/>
      <c r="B854" s="27" t="str" cm="1">
        <f t="array" ref="B854">IF(
   OR(A854="", $B$9="", $B$10="", $B$11=""),
   "",
   _xlfn.LET(
      _xlpm.result,
      IFERROR(
         _xlfn.XLOOKUP(
            1,
            (Table8[رقم الصنف]=A854)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4" s="27" t="str" cm="1">
        <f t="array" ref="C854">IF(
   A854="",
   "",
   _xlfn.LET(
      _xlpm.result,
      IFERROR(
         _xlfn.XLOOKUP(
            1,
            (Table8[رقم الصنف]=A854) *
            (IF($B$9="الكل",1, YEAR('ادخال البيانات'!$N$3:$N$1164) = VALUE($B$9))) *
            (IF($B$10="الكل",1, MONTH('ادخال البيانات'!$N$3:$N$1164) = VALUE($B$10))) *
            (IF($B$11="الكل",1, INT((DAY('ادخال البيانات'!$N$3:$N$1164)-1)/7)+1 = VALUE($B$11))),
            'ادخال البيانات'!$C$3:$C$1164
         ),
         ""
      ),
      IF(_xlpm.result="", "", _xlpm.result)
   )
)</f>
        <v/>
      </c>
      <c r="D854" s="27" t="str" cm="1">
        <f t="array" ref="D854">IF(
   OR(A854="", $B$9="", $B$10="", $B$11=""),
   "",
   _xlfn.LET(
      _xlpm.result,
      IFERROR(
         _xlfn.XLOOKUP(
            1,
            (Table8[رقم الصنف]=A854) *
            (IF($B$9="الكل",1, YEAR('ادخال البيانات'!$N$3:$N$1164)=VALUE($B$9))) *
            (IF($B$10="الكل",1, MONTH('ادخال البيانات'!$N$3:$N$1164)=VALUE($B$10))) *
            (IF($B$11="الكل",1, INT((DAY('ادخال البيانات'!$N$3:$N$1164)-1)/7)+1 = VALUE($B$11))),
            'ادخال البيانات'!$D$3:$D$1164
         ),
         ""
      ),
      IF(_xlpm.result="", "", _xlpm.result)
   )
)</f>
        <v/>
      </c>
      <c r="E854" s="27" t="str" cm="1">
        <f t="array" ref="E854">IF(
   A854="",
   "",
   _xlfn.LET(
      _xlpm.result,
      IFERROR(
         _xlfn.XLOOKUP(
            1,
            (Table8[رقم الصنف]=A854) *
            (IF($B$9="الكل",1, YEAR('ادخال البيانات'!$N$3:$N$1164)=VALUE($B$9))) *
            (IF($B$10="الكل",1, MONTH('ادخال البيانات'!$N$3:$N$1164)=VALUE($B$10))) *
            (IF($B$11="الكل",1, INT((DAY('ادخال البيانات'!$N$3:$N$1164)-1)/7)+1 = VALUE($B$11))),
            'ادخال البيانات'!$E$3:$E$1164
         ),
         ""
      ),
      IF(_xlpm.result="", "", _xlpm.result)
   )
)</f>
        <v/>
      </c>
      <c r="F854" s="27" t="str" cm="1">
        <f t="array" ref="F854">IF(
   A854="",
   "",
   _xlfn.LET(
      _xlpm.result,
      IFERROR(
         _xlfn.XLOOKUP(
            1,
            (Table8[رقم الصنف]=A854) *
            (IF($B$9="الكل",1, YEAR('ادخال البيانات'!$N$3:$N$1164) = VALUE($B$9))) *
            (IF($B$10="الكل",1, MONTH('ادخال البيانات'!$N$3:$N$1164) = VALUE($B$10))) *
            (IF($B$11="الكل",1, INT((DAY('ادخال البيانات'!$N$3:$N$1164)-1)/7)+1 = VALUE($B$11))),
            'ادخال البيانات'!$F$3:$F$1164
         ),
         ""
      ),
      IF(_xlpm.result="", "", _xlpm.result)
   )
)</f>
        <v/>
      </c>
      <c r="G854" s="27" t="str" cm="1">
        <f t="array" ref="G854">IF(
   A854="",
   "",
   _xlfn.LET(
      _xlpm.result,
      IFERROR(
         _xlfn.XLOOKUP(
            1,
            (Table8[رقم الصنف]=A854) *
            (IF($B$9="الكل",1, YEAR('ادخال البيانات'!$N$3:$N$1164)=VALUE($B$9))) *
            (IF($B$10="الكل",1, MONTH('ادخال البيانات'!$N$3:$N$1164)=VALUE($B$10))) *
            (IF($B$11="الكل",1, INT((DAY('ادخال البيانات'!$N$3:$N$1164)-1)/7)+1 = VALUE($B$11))),
            'ادخال البيانات'!$G$3:$G$1164
         ),
         ""
      ),
      IF(_xlpm.result="", "", _xlpm.result)
   )
)</f>
        <v/>
      </c>
      <c r="H854" s="27" t="str" cm="1">
        <f t="array" ref="H854">IF(
   A854="",
   "",
   _xlfn.LET(
      _xlpm.result,
      IFERROR(
         _xlfn.XLOOKUP(
            1,
            (Table8[رقم الصنف]=A854) *
            (IF($B$9="الكل",1, YEAR('ادخال البيانات'!$N$3:$N$1164)=VALUE($B$9))) *
            (IF($B$10="الكل",1, MONTH('ادخال البيانات'!$N$3:$N$1164)=VALUE($B$10))) *
            (IF($B$11="الكل",1, INT((DAY('ادخال البيانات'!$N$3:$N$1164)-1)/7)+1 = VALUE($B$11))),
            'ادخال البيانات'!$H$3:$H$1164
         ),
         ""
      ),
      IF(_xlpm.result="", "", _xlpm.result)
   )
)</f>
        <v/>
      </c>
      <c r="I854" s="27" t="str" cm="1">
        <f t="array" ref="I854">IF(
   A854="",
   "",
   _xlfn.LET(
      _xlpm.result,
      IFERROR(
         _xlfn.XLOOKUP(
            1,
            (Table8[رقم الصنف]=A854) *
            (IF($B$9="الكل",1, YEAR('ادخال البيانات'!$N$3:$N$1164)=VALUE($B$9))) *
            (IF($B$10="الكل",1, MONTH('ادخال البيانات'!$N$3:$N$1164)=VALUE($B$10))) *
            (IF($B$11="الكل",1, INT((DAY('ادخال البيانات'!$N$3:$N$1164)-1)/7)+1 = VALUE($B$11))),
            'ادخال البيانات'!$I$3:$I$1164
         ),
         ""
      ),
      IF(_xlpm.result="", "", _xlpm.result)
   )
)</f>
        <v/>
      </c>
      <c r="J854" s="27" t="str" cm="1">
        <f t="array" ref="J854">IF(
   A854="",
   "",
   _xlfn.LET(
      _xlpm.result,
      IFERROR(
         _xlfn.XLOOKUP(
            1,
            (Table8[رقم الصنف]=A854) *
            (IF($B$9="الكل",1, YEAR('ادخال البيانات'!$N$3:$N$1164)=VALUE($B$9))) *
            (IF($B$10="الكل",1, MONTH('ادخال البيانات'!$N$3:$N$1164)=VALUE($B$10))) *
            (IF($B$11="الكل",1, INT((DAY('ادخال البيانات'!$N$3:$N$1164)-1)/7)+1 = VALUE($B$11))),
            'ادخال البيانات'!$J$3:$J$1164
         ),
         ""
      ),
      IF(_xlpm.result="", "", _xlpm.result)
   )
)</f>
        <v/>
      </c>
      <c r="K854" s="27" t="str" cm="1">
        <f t="array" ref="K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4" s="27" t="str" cm="1">
        <f t="array" ref="L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4" s="27" t="str" cm="1">
        <f t="array" ref="M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4" s="28" t="str" cm="1">
        <f t="array" ref="N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4" s="28" t="str" cm="1">
        <f t="array" ref="O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4" s="27" t="str" cm="1">
        <f t="array" ref="P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Table8[جهة العطل]
         ),
         ""
      ),
      IF(_xlpm.result="", "", _xlpm.result)
   )
)</f>
        <v/>
      </c>
      <c r="Q854" s="27" t="str" cm="1">
        <f t="array" ref="Q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Table8[المركز]
         ),
         ""
      ),
      IF(_xlpm.result="", "", _xlpm.result)
   )
)</f>
        <v/>
      </c>
      <c r="R854" s="27" t="str" cm="1">
        <f t="array" ref="R854">IF(
   A854="",
   "",
   _xlfn.LET(
      _xlpm.result,
      IFERROR(
         _xlfn.XLOOKUP(
            1,
            (Table8[رقم الصنف]=A854) *
            (IF($B$9="الكل",1, YEAR('ادخال البيانات'!$N$3:$N$1164) = VALUE($B$9))) *
            (IF($B$10="الكل",1, MONTH('ادخال البيانات'!$N$3:$N$1164) = VALUE($B$10))) *
            (IF($B$11="الكل",1, INT((DAY('ادخال البيانات'!$N$3:$N$1164) - 1) / 7) + 1 = VALUE($B$11))),
            Table8[ملاحظة]
         ),
         ""
      ),
      IF(_xlpm.result="", "", _xlpm.result)
   )
)</f>
        <v/>
      </c>
      <c r="S854" s="46" t="str">
        <f t="shared" ca="1" si="14"/>
        <v/>
      </c>
    </row>
    <row r="855" spans="1:19" ht="15.6" thickTop="1" thickBot="1" x14ac:dyDescent="0.35">
      <c r="A855" s="39"/>
      <c r="B855" s="27" t="str" cm="1">
        <f t="array" ref="B855">IF(
   OR(A855="", $B$9="", $B$10="", $B$11=""),
   "",
   _xlfn.LET(
      _xlpm.result,
      IFERROR(
         _xlfn.XLOOKUP(
            1,
            (Table8[رقم الصنف]=A855)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5" s="27" t="str" cm="1">
        <f t="array" ref="C855">IF(
   A855="",
   "",
   _xlfn.LET(
      _xlpm.result,
      IFERROR(
         _xlfn.XLOOKUP(
            1,
            (Table8[رقم الصنف]=A855) *
            (IF($B$9="الكل",1, YEAR('ادخال البيانات'!$N$3:$N$1164) = VALUE($B$9))) *
            (IF($B$10="الكل",1, MONTH('ادخال البيانات'!$N$3:$N$1164) = VALUE($B$10))) *
            (IF($B$11="الكل",1, INT((DAY('ادخال البيانات'!$N$3:$N$1164)-1)/7)+1 = VALUE($B$11))),
            'ادخال البيانات'!$C$3:$C$1164
         ),
         ""
      ),
      IF(_xlpm.result="", "", _xlpm.result)
   )
)</f>
        <v/>
      </c>
      <c r="D855" s="27" t="str" cm="1">
        <f t="array" ref="D855">IF(
   OR(A855="", $B$9="", $B$10="", $B$11=""),
   "",
   _xlfn.LET(
      _xlpm.result,
      IFERROR(
         _xlfn.XLOOKUP(
            1,
            (Table8[رقم الصنف]=A855) *
            (IF($B$9="الكل",1, YEAR('ادخال البيانات'!$N$3:$N$1164)=VALUE($B$9))) *
            (IF($B$10="الكل",1, MONTH('ادخال البيانات'!$N$3:$N$1164)=VALUE($B$10))) *
            (IF($B$11="الكل",1, INT((DAY('ادخال البيانات'!$N$3:$N$1164)-1)/7)+1 = VALUE($B$11))),
            'ادخال البيانات'!$D$3:$D$1164
         ),
         ""
      ),
      IF(_xlpm.result="", "", _xlpm.result)
   )
)</f>
        <v/>
      </c>
      <c r="E855" s="27" t="str" cm="1">
        <f t="array" ref="E855">IF(
   A855="",
   "",
   _xlfn.LET(
      _xlpm.result,
      IFERROR(
         _xlfn.XLOOKUP(
            1,
            (Table8[رقم الصنف]=A855) *
            (IF($B$9="الكل",1, YEAR('ادخال البيانات'!$N$3:$N$1164)=VALUE($B$9))) *
            (IF($B$10="الكل",1, MONTH('ادخال البيانات'!$N$3:$N$1164)=VALUE($B$10))) *
            (IF($B$11="الكل",1, INT((DAY('ادخال البيانات'!$N$3:$N$1164)-1)/7)+1 = VALUE($B$11))),
            'ادخال البيانات'!$E$3:$E$1164
         ),
         ""
      ),
      IF(_xlpm.result="", "", _xlpm.result)
   )
)</f>
        <v/>
      </c>
      <c r="F855" s="27" t="str" cm="1">
        <f t="array" ref="F855">IF(
   A855="",
   "",
   _xlfn.LET(
      _xlpm.result,
      IFERROR(
         _xlfn.XLOOKUP(
            1,
            (Table8[رقم الصنف]=A855) *
            (IF($B$9="الكل",1, YEAR('ادخال البيانات'!$N$3:$N$1164) = VALUE($B$9))) *
            (IF($B$10="الكل",1, MONTH('ادخال البيانات'!$N$3:$N$1164) = VALUE($B$10))) *
            (IF($B$11="الكل",1, INT((DAY('ادخال البيانات'!$N$3:$N$1164)-1)/7)+1 = VALUE($B$11))),
            'ادخال البيانات'!$F$3:$F$1164
         ),
         ""
      ),
      IF(_xlpm.result="", "", _xlpm.result)
   )
)</f>
        <v/>
      </c>
      <c r="G855" s="27" t="str" cm="1">
        <f t="array" ref="G855">IF(
   A855="",
   "",
   _xlfn.LET(
      _xlpm.result,
      IFERROR(
         _xlfn.XLOOKUP(
            1,
            (Table8[رقم الصنف]=A855) *
            (IF($B$9="الكل",1, YEAR('ادخال البيانات'!$N$3:$N$1164)=VALUE($B$9))) *
            (IF($B$10="الكل",1, MONTH('ادخال البيانات'!$N$3:$N$1164)=VALUE($B$10))) *
            (IF($B$11="الكل",1, INT((DAY('ادخال البيانات'!$N$3:$N$1164)-1)/7)+1 = VALUE($B$11))),
            'ادخال البيانات'!$G$3:$G$1164
         ),
         ""
      ),
      IF(_xlpm.result="", "", _xlpm.result)
   )
)</f>
        <v/>
      </c>
      <c r="H855" s="27" t="str" cm="1">
        <f t="array" ref="H855">IF(
   A855="",
   "",
   _xlfn.LET(
      _xlpm.result,
      IFERROR(
         _xlfn.XLOOKUP(
            1,
            (Table8[رقم الصنف]=A855) *
            (IF($B$9="الكل",1, YEAR('ادخال البيانات'!$N$3:$N$1164)=VALUE($B$9))) *
            (IF($B$10="الكل",1, MONTH('ادخال البيانات'!$N$3:$N$1164)=VALUE($B$10))) *
            (IF($B$11="الكل",1, INT((DAY('ادخال البيانات'!$N$3:$N$1164)-1)/7)+1 = VALUE($B$11))),
            'ادخال البيانات'!$H$3:$H$1164
         ),
         ""
      ),
      IF(_xlpm.result="", "", _xlpm.result)
   )
)</f>
        <v/>
      </c>
      <c r="I855" s="27" t="str" cm="1">
        <f t="array" ref="I855">IF(
   A855="",
   "",
   _xlfn.LET(
      _xlpm.result,
      IFERROR(
         _xlfn.XLOOKUP(
            1,
            (Table8[رقم الصنف]=A855) *
            (IF($B$9="الكل",1, YEAR('ادخال البيانات'!$N$3:$N$1164)=VALUE($B$9))) *
            (IF($B$10="الكل",1, MONTH('ادخال البيانات'!$N$3:$N$1164)=VALUE($B$10))) *
            (IF($B$11="الكل",1, INT((DAY('ادخال البيانات'!$N$3:$N$1164)-1)/7)+1 = VALUE($B$11))),
            'ادخال البيانات'!$I$3:$I$1164
         ),
         ""
      ),
      IF(_xlpm.result="", "", _xlpm.result)
   )
)</f>
        <v/>
      </c>
      <c r="J855" s="27" t="str" cm="1">
        <f t="array" ref="J855">IF(
   A855="",
   "",
   _xlfn.LET(
      _xlpm.result,
      IFERROR(
         _xlfn.XLOOKUP(
            1,
            (Table8[رقم الصنف]=A855) *
            (IF($B$9="الكل",1, YEAR('ادخال البيانات'!$N$3:$N$1164)=VALUE($B$9))) *
            (IF($B$10="الكل",1, MONTH('ادخال البيانات'!$N$3:$N$1164)=VALUE($B$10))) *
            (IF($B$11="الكل",1, INT((DAY('ادخال البيانات'!$N$3:$N$1164)-1)/7)+1 = VALUE($B$11))),
            'ادخال البيانات'!$J$3:$J$1164
         ),
         ""
      ),
      IF(_xlpm.result="", "", _xlpm.result)
   )
)</f>
        <v/>
      </c>
      <c r="K855" s="27" t="str" cm="1">
        <f t="array" ref="K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5" s="27" t="str" cm="1">
        <f t="array" ref="L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5" s="27" t="str" cm="1">
        <f t="array" ref="M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5" s="28" t="str" cm="1">
        <f t="array" ref="N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5" s="28" t="str" cm="1">
        <f t="array" ref="O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5" s="27" t="str" cm="1">
        <f t="array" ref="P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Table8[جهة العطل]
         ),
         ""
      ),
      IF(_xlpm.result="", "", _xlpm.result)
   )
)</f>
        <v/>
      </c>
      <c r="Q855" s="27" t="str" cm="1">
        <f t="array" ref="Q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Table8[المركز]
         ),
         ""
      ),
      IF(_xlpm.result="", "", _xlpm.result)
   )
)</f>
        <v/>
      </c>
      <c r="R855" s="27" t="str" cm="1">
        <f t="array" ref="R855">IF(
   A855="",
   "",
   _xlfn.LET(
      _xlpm.result,
      IFERROR(
         _xlfn.XLOOKUP(
            1,
            (Table8[رقم الصنف]=A855) *
            (IF($B$9="الكل",1, YEAR('ادخال البيانات'!$N$3:$N$1164) = VALUE($B$9))) *
            (IF($B$10="الكل",1, MONTH('ادخال البيانات'!$N$3:$N$1164) = VALUE($B$10))) *
            (IF($B$11="الكل",1, INT((DAY('ادخال البيانات'!$N$3:$N$1164) - 1) / 7) + 1 = VALUE($B$11))),
            Table8[ملاحظة]
         ),
         ""
      ),
      IF(_xlpm.result="", "", _xlpm.result)
   )
)</f>
        <v/>
      </c>
      <c r="S855" s="46" t="str">
        <f t="shared" ca="1" si="14"/>
        <v/>
      </c>
    </row>
    <row r="856" spans="1:19" ht="15.6" thickTop="1" thickBot="1" x14ac:dyDescent="0.35">
      <c r="A856" s="39"/>
      <c r="B856" s="27" t="str" cm="1">
        <f t="array" ref="B856">IF(
   OR(A856="", $B$9="", $B$10="", $B$11=""),
   "",
   _xlfn.LET(
      _xlpm.result,
      IFERROR(
         _xlfn.XLOOKUP(
            1,
            (Table8[رقم الصنف]=A856)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6" s="27" t="str" cm="1">
        <f t="array" ref="C856">IF(
   A856="",
   "",
   _xlfn.LET(
      _xlpm.result,
      IFERROR(
         _xlfn.XLOOKUP(
            1,
            (Table8[رقم الصنف]=A856) *
            (IF($B$9="الكل",1, YEAR('ادخال البيانات'!$N$3:$N$1164) = VALUE($B$9))) *
            (IF($B$10="الكل",1, MONTH('ادخال البيانات'!$N$3:$N$1164) = VALUE($B$10))) *
            (IF($B$11="الكل",1, INT((DAY('ادخال البيانات'!$N$3:$N$1164)-1)/7)+1 = VALUE($B$11))),
            'ادخال البيانات'!$C$3:$C$1164
         ),
         ""
      ),
      IF(_xlpm.result="", "", _xlpm.result)
   )
)</f>
        <v/>
      </c>
      <c r="D856" s="27" t="str" cm="1">
        <f t="array" ref="D856">IF(
   OR(A856="", $B$9="", $B$10="", $B$11=""),
   "",
   _xlfn.LET(
      _xlpm.result,
      IFERROR(
         _xlfn.XLOOKUP(
            1,
            (Table8[رقم الصنف]=A856) *
            (IF($B$9="الكل",1, YEAR('ادخال البيانات'!$N$3:$N$1164)=VALUE($B$9))) *
            (IF($B$10="الكل",1, MONTH('ادخال البيانات'!$N$3:$N$1164)=VALUE($B$10))) *
            (IF($B$11="الكل",1, INT((DAY('ادخال البيانات'!$N$3:$N$1164)-1)/7)+1 = VALUE($B$11))),
            'ادخال البيانات'!$D$3:$D$1164
         ),
         ""
      ),
      IF(_xlpm.result="", "", _xlpm.result)
   )
)</f>
        <v/>
      </c>
      <c r="E856" s="27" t="str" cm="1">
        <f t="array" ref="E856">IF(
   A856="",
   "",
   _xlfn.LET(
      _xlpm.result,
      IFERROR(
         _xlfn.XLOOKUP(
            1,
            (Table8[رقم الصنف]=A856) *
            (IF($B$9="الكل",1, YEAR('ادخال البيانات'!$N$3:$N$1164)=VALUE($B$9))) *
            (IF($B$10="الكل",1, MONTH('ادخال البيانات'!$N$3:$N$1164)=VALUE($B$10))) *
            (IF($B$11="الكل",1, INT((DAY('ادخال البيانات'!$N$3:$N$1164)-1)/7)+1 = VALUE($B$11))),
            'ادخال البيانات'!$E$3:$E$1164
         ),
         ""
      ),
      IF(_xlpm.result="", "", _xlpm.result)
   )
)</f>
        <v/>
      </c>
      <c r="F856" s="27" t="str" cm="1">
        <f t="array" ref="F856">IF(
   A856="",
   "",
   _xlfn.LET(
      _xlpm.result,
      IFERROR(
         _xlfn.XLOOKUP(
            1,
            (Table8[رقم الصنف]=A856) *
            (IF($B$9="الكل",1, YEAR('ادخال البيانات'!$N$3:$N$1164) = VALUE($B$9))) *
            (IF($B$10="الكل",1, MONTH('ادخال البيانات'!$N$3:$N$1164) = VALUE($B$10))) *
            (IF($B$11="الكل",1, INT((DAY('ادخال البيانات'!$N$3:$N$1164)-1)/7)+1 = VALUE($B$11))),
            'ادخال البيانات'!$F$3:$F$1164
         ),
         ""
      ),
      IF(_xlpm.result="", "", _xlpm.result)
   )
)</f>
        <v/>
      </c>
      <c r="G856" s="27" t="str" cm="1">
        <f t="array" ref="G856">IF(
   A856="",
   "",
   _xlfn.LET(
      _xlpm.result,
      IFERROR(
         _xlfn.XLOOKUP(
            1,
            (Table8[رقم الصنف]=A856) *
            (IF($B$9="الكل",1, YEAR('ادخال البيانات'!$N$3:$N$1164)=VALUE($B$9))) *
            (IF($B$10="الكل",1, MONTH('ادخال البيانات'!$N$3:$N$1164)=VALUE($B$10))) *
            (IF($B$11="الكل",1, INT((DAY('ادخال البيانات'!$N$3:$N$1164)-1)/7)+1 = VALUE($B$11))),
            'ادخال البيانات'!$G$3:$G$1164
         ),
         ""
      ),
      IF(_xlpm.result="", "", _xlpm.result)
   )
)</f>
        <v/>
      </c>
      <c r="H856" s="27" t="str" cm="1">
        <f t="array" ref="H856">IF(
   A856="",
   "",
   _xlfn.LET(
      _xlpm.result,
      IFERROR(
         _xlfn.XLOOKUP(
            1,
            (Table8[رقم الصنف]=A856) *
            (IF($B$9="الكل",1, YEAR('ادخال البيانات'!$N$3:$N$1164)=VALUE($B$9))) *
            (IF($B$10="الكل",1, MONTH('ادخال البيانات'!$N$3:$N$1164)=VALUE($B$10))) *
            (IF($B$11="الكل",1, INT((DAY('ادخال البيانات'!$N$3:$N$1164)-1)/7)+1 = VALUE($B$11))),
            'ادخال البيانات'!$H$3:$H$1164
         ),
         ""
      ),
      IF(_xlpm.result="", "", _xlpm.result)
   )
)</f>
        <v/>
      </c>
      <c r="I856" s="27" t="str" cm="1">
        <f t="array" ref="I856">IF(
   A856="",
   "",
   _xlfn.LET(
      _xlpm.result,
      IFERROR(
         _xlfn.XLOOKUP(
            1,
            (Table8[رقم الصنف]=A856) *
            (IF($B$9="الكل",1, YEAR('ادخال البيانات'!$N$3:$N$1164)=VALUE($B$9))) *
            (IF($B$10="الكل",1, MONTH('ادخال البيانات'!$N$3:$N$1164)=VALUE($B$10))) *
            (IF($B$11="الكل",1, INT((DAY('ادخال البيانات'!$N$3:$N$1164)-1)/7)+1 = VALUE($B$11))),
            'ادخال البيانات'!$I$3:$I$1164
         ),
         ""
      ),
      IF(_xlpm.result="", "", _xlpm.result)
   )
)</f>
        <v/>
      </c>
      <c r="J856" s="27" t="str" cm="1">
        <f t="array" ref="J856">IF(
   A856="",
   "",
   _xlfn.LET(
      _xlpm.result,
      IFERROR(
         _xlfn.XLOOKUP(
            1,
            (Table8[رقم الصنف]=A856) *
            (IF($B$9="الكل",1, YEAR('ادخال البيانات'!$N$3:$N$1164)=VALUE($B$9))) *
            (IF($B$10="الكل",1, MONTH('ادخال البيانات'!$N$3:$N$1164)=VALUE($B$10))) *
            (IF($B$11="الكل",1, INT((DAY('ادخال البيانات'!$N$3:$N$1164)-1)/7)+1 = VALUE($B$11))),
            'ادخال البيانات'!$J$3:$J$1164
         ),
         ""
      ),
      IF(_xlpm.result="", "", _xlpm.result)
   )
)</f>
        <v/>
      </c>
      <c r="K856" s="27" t="str" cm="1">
        <f t="array" ref="K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6" s="27" t="str" cm="1">
        <f t="array" ref="L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6" s="27" t="str" cm="1">
        <f t="array" ref="M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6" s="28" t="str" cm="1">
        <f t="array" ref="N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6" s="28" t="str" cm="1">
        <f t="array" ref="O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6" s="27" t="str" cm="1">
        <f t="array" ref="P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Table8[جهة العطل]
         ),
         ""
      ),
      IF(_xlpm.result="", "", _xlpm.result)
   )
)</f>
        <v/>
      </c>
      <c r="Q856" s="27" t="str" cm="1">
        <f t="array" ref="Q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Table8[المركز]
         ),
         ""
      ),
      IF(_xlpm.result="", "", _xlpm.result)
   )
)</f>
        <v/>
      </c>
      <c r="R856" s="27" t="str" cm="1">
        <f t="array" ref="R856">IF(
   A856="",
   "",
   _xlfn.LET(
      _xlpm.result,
      IFERROR(
         _xlfn.XLOOKUP(
            1,
            (Table8[رقم الصنف]=A856) *
            (IF($B$9="الكل",1, YEAR('ادخال البيانات'!$N$3:$N$1164) = VALUE($B$9))) *
            (IF($B$10="الكل",1, MONTH('ادخال البيانات'!$N$3:$N$1164) = VALUE($B$10))) *
            (IF($B$11="الكل",1, INT((DAY('ادخال البيانات'!$N$3:$N$1164) - 1) / 7) + 1 = VALUE($B$11))),
            Table8[ملاحظة]
         ),
         ""
      ),
      IF(_xlpm.result="", "", _xlpm.result)
   )
)</f>
        <v/>
      </c>
      <c r="S856" s="46" t="str">
        <f t="shared" ca="1" si="14"/>
        <v/>
      </c>
    </row>
    <row r="857" spans="1:19" ht="15.6" thickTop="1" thickBot="1" x14ac:dyDescent="0.35">
      <c r="A857" s="39"/>
      <c r="B857" s="27" t="str" cm="1">
        <f t="array" ref="B857">IF(
   OR(A857="", $B$9="", $B$10="", $B$11=""),
   "",
   _xlfn.LET(
      _xlpm.result,
      IFERROR(
         _xlfn.XLOOKUP(
            1,
            (Table8[رقم الصنف]=A857)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7" s="27" t="str" cm="1">
        <f t="array" ref="C857">IF(
   A857="",
   "",
   _xlfn.LET(
      _xlpm.result,
      IFERROR(
         _xlfn.XLOOKUP(
            1,
            (Table8[رقم الصنف]=A857) *
            (IF($B$9="الكل",1, YEAR('ادخال البيانات'!$N$3:$N$1164) = VALUE($B$9))) *
            (IF($B$10="الكل",1, MONTH('ادخال البيانات'!$N$3:$N$1164) = VALUE($B$10))) *
            (IF($B$11="الكل",1, INT((DAY('ادخال البيانات'!$N$3:$N$1164)-1)/7)+1 = VALUE($B$11))),
            'ادخال البيانات'!$C$3:$C$1164
         ),
         ""
      ),
      IF(_xlpm.result="", "", _xlpm.result)
   )
)</f>
        <v/>
      </c>
      <c r="D857" s="27" t="str" cm="1">
        <f t="array" ref="D857">IF(
   OR(A857="", $B$9="", $B$10="", $B$11=""),
   "",
   _xlfn.LET(
      _xlpm.result,
      IFERROR(
         _xlfn.XLOOKUP(
            1,
            (Table8[رقم الصنف]=A857) *
            (IF($B$9="الكل",1, YEAR('ادخال البيانات'!$N$3:$N$1164)=VALUE($B$9))) *
            (IF($B$10="الكل",1, MONTH('ادخال البيانات'!$N$3:$N$1164)=VALUE($B$10))) *
            (IF($B$11="الكل",1, INT((DAY('ادخال البيانات'!$N$3:$N$1164)-1)/7)+1 = VALUE($B$11))),
            'ادخال البيانات'!$D$3:$D$1164
         ),
         ""
      ),
      IF(_xlpm.result="", "", _xlpm.result)
   )
)</f>
        <v/>
      </c>
      <c r="E857" s="27" t="str" cm="1">
        <f t="array" ref="E857">IF(
   A857="",
   "",
   _xlfn.LET(
      _xlpm.result,
      IFERROR(
         _xlfn.XLOOKUP(
            1,
            (Table8[رقم الصنف]=A857) *
            (IF($B$9="الكل",1, YEAR('ادخال البيانات'!$N$3:$N$1164)=VALUE($B$9))) *
            (IF($B$10="الكل",1, MONTH('ادخال البيانات'!$N$3:$N$1164)=VALUE($B$10))) *
            (IF($B$11="الكل",1, INT((DAY('ادخال البيانات'!$N$3:$N$1164)-1)/7)+1 = VALUE($B$11))),
            'ادخال البيانات'!$E$3:$E$1164
         ),
         ""
      ),
      IF(_xlpm.result="", "", _xlpm.result)
   )
)</f>
        <v/>
      </c>
      <c r="F857" s="27" t="str" cm="1">
        <f t="array" ref="F857">IF(
   A857="",
   "",
   _xlfn.LET(
      _xlpm.result,
      IFERROR(
         _xlfn.XLOOKUP(
            1,
            (Table8[رقم الصنف]=A857) *
            (IF($B$9="الكل",1, YEAR('ادخال البيانات'!$N$3:$N$1164) = VALUE($B$9))) *
            (IF($B$10="الكل",1, MONTH('ادخال البيانات'!$N$3:$N$1164) = VALUE($B$10))) *
            (IF($B$11="الكل",1, INT((DAY('ادخال البيانات'!$N$3:$N$1164)-1)/7)+1 = VALUE($B$11))),
            'ادخال البيانات'!$F$3:$F$1164
         ),
         ""
      ),
      IF(_xlpm.result="", "", _xlpm.result)
   )
)</f>
        <v/>
      </c>
      <c r="G857" s="27" t="str" cm="1">
        <f t="array" ref="G857">IF(
   A857="",
   "",
   _xlfn.LET(
      _xlpm.result,
      IFERROR(
         _xlfn.XLOOKUP(
            1,
            (Table8[رقم الصنف]=A857) *
            (IF($B$9="الكل",1, YEAR('ادخال البيانات'!$N$3:$N$1164)=VALUE($B$9))) *
            (IF($B$10="الكل",1, MONTH('ادخال البيانات'!$N$3:$N$1164)=VALUE($B$10))) *
            (IF($B$11="الكل",1, INT((DAY('ادخال البيانات'!$N$3:$N$1164)-1)/7)+1 = VALUE($B$11))),
            'ادخال البيانات'!$G$3:$G$1164
         ),
         ""
      ),
      IF(_xlpm.result="", "", _xlpm.result)
   )
)</f>
        <v/>
      </c>
      <c r="H857" s="27" t="str" cm="1">
        <f t="array" ref="H857">IF(
   A857="",
   "",
   _xlfn.LET(
      _xlpm.result,
      IFERROR(
         _xlfn.XLOOKUP(
            1,
            (Table8[رقم الصنف]=A857) *
            (IF($B$9="الكل",1, YEAR('ادخال البيانات'!$N$3:$N$1164)=VALUE($B$9))) *
            (IF($B$10="الكل",1, MONTH('ادخال البيانات'!$N$3:$N$1164)=VALUE($B$10))) *
            (IF($B$11="الكل",1, INT((DAY('ادخال البيانات'!$N$3:$N$1164)-1)/7)+1 = VALUE($B$11))),
            'ادخال البيانات'!$H$3:$H$1164
         ),
         ""
      ),
      IF(_xlpm.result="", "", _xlpm.result)
   )
)</f>
        <v/>
      </c>
      <c r="I857" s="27" t="str" cm="1">
        <f t="array" ref="I857">IF(
   A857="",
   "",
   _xlfn.LET(
      _xlpm.result,
      IFERROR(
         _xlfn.XLOOKUP(
            1,
            (Table8[رقم الصنف]=A857) *
            (IF($B$9="الكل",1, YEAR('ادخال البيانات'!$N$3:$N$1164)=VALUE($B$9))) *
            (IF($B$10="الكل",1, MONTH('ادخال البيانات'!$N$3:$N$1164)=VALUE($B$10))) *
            (IF($B$11="الكل",1, INT((DAY('ادخال البيانات'!$N$3:$N$1164)-1)/7)+1 = VALUE($B$11))),
            'ادخال البيانات'!$I$3:$I$1164
         ),
         ""
      ),
      IF(_xlpm.result="", "", _xlpm.result)
   )
)</f>
        <v/>
      </c>
      <c r="J857" s="27" t="str" cm="1">
        <f t="array" ref="J857">IF(
   A857="",
   "",
   _xlfn.LET(
      _xlpm.result,
      IFERROR(
         _xlfn.XLOOKUP(
            1,
            (Table8[رقم الصنف]=A857) *
            (IF($B$9="الكل",1, YEAR('ادخال البيانات'!$N$3:$N$1164)=VALUE($B$9))) *
            (IF($B$10="الكل",1, MONTH('ادخال البيانات'!$N$3:$N$1164)=VALUE($B$10))) *
            (IF($B$11="الكل",1, INT((DAY('ادخال البيانات'!$N$3:$N$1164)-1)/7)+1 = VALUE($B$11))),
            'ادخال البيانات'!$J$3:$J$1164
         ),
         ""
      ),
      IF(_xlpm.result="", "", _xlpm.result)
   )
)</f>
        <v/>
      </c>
      <c r="K857" s="27" t="str" cm="1">
        <f t="array" ref="K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7" s="27" t="str" cm="1">
        <f t="array" ref="L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7" s="27" t="str" cm="1">
        <f t="array" ref="M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7" s="28" t="str" cm="1">
        <f t="array" ref="N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7" s="28" t="str" cm="1">
        <f t="array" ref="O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7" s="27" t="str" cm="1">
        <f t="array" ref="P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Table8[جهة العطل]
         ),
         ""
      ),
      IF(_xlpm.result="", "", _xlpm.result)
   )
)</f>
        <v/>
      </c>
      <c r="Q857" s="27" t="str" cm="1">
        <f t="array" ref="Q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Table8[المركز]
         ),
         ""
      ),
      IF(_xlpm.result="", "", _xlpm.result)
   )
)</f>
        <v/>
      </c>
      <c r="R857" s="27" t="str" cm="1">
        <f t="array" ref="R857">IF(
   A857="",
   "",
   _xlfn.LET(
      _xlpm.result,
      IFERROR(
         _xlfn.XLOOKUP(
            1,
            (Table8[رقم الصنف]=A857) *
            (IF($B$9="الكل",1, YEAR('ادخال البيانات'!$N$3:$N$1164) = VALUE($B$9))) *
            (IF($B$10="الكل",1, MONTH('ادخال البيانات'!$N$3:$N$1164) = VALUE($B$10))) *
            (IF($B$11="الكل",1, INT((DAY('ادخال البيانات'!$N$3:$N$1164) - 1) / 7) + 1 = VALUE($B$11))),
            Table8[ملاحظة]
         ),
         ""
      ),
      IF(_xlpm.result="", "", _xlpm.result)
   )
)</f>
        <v/>
      </c>
      <c r="S857" s="46" t="str">
        <f t="shared" ca="1" si="14"/>
        <v/>
      </c>
    </row>
    <row r="858" spans="1:19" ht="15.6" thickTop="1" thickBot="1" x14ac:dyDescent="0.35">
      <c r="A858" s="39"/>
      <c r="B858" s="27" t="str" cm="1">
        <f t="array" ref="B858">IF(
   OR(A858="", $B$9="", $B$10="", $B$11=""),
   "",
   _xlfn.LET(
      _xlpm.result,
      IFERROR(
         _xlfn.XLOOKUP(
            1,
            (Table8[رقم الصنف]=A858)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8" s="27" t="str" cm="1">
        <f t="array" ref="C858">IF(
   A858="",
   "",
   _xlfn.LET(
      _xlpm.result,
      IFERROR(
         _xlfn.XLOOKUP(
            1,
            (Table8[رقم الصنف]=A858) *
            (IF($B$9="الكل",1, YEAR('ادخال البيانات'!$N$3:$N$1164) = VALUE($B$9))) *
            (IF($B$10="الكل",1, MONTH('ادخال البيانات'!$N$3:$N$1164) = VALUE($B$10))) *
            (IF($B$11="الكل",1, INT((DAY('ادخال البيانات'!$N$3:$N$1164)-1)/7)+1 = VALUE($B$11))),
            'ادخال البيانات'!$C$3:$C$1164
         ),
         ""
      ),
      IF(_xlpm.result="", "", _xlpm.result)
   )
)</f>
        <v/>
      </c>
      <c r="D858" s="27" t="str" cm="1">
        <f t="array" ref="D858">IF(
   OR(A858="", $B$9="", $B$10="", $B$11=""),
   "",
   _xlfn.LET(
      _xlpm.result,
      IFERROR(
         _xlfn.XLOOKUP(
            1,
            (Table8[رقم الصنف]=A858) *
            (IF($B$9="الكل",1, YEAR('ادخال البيانات'!$N$3:$N$1164)=VALUE($B$9))) *
            (IF($B$10="الكل",1, MONTH('ادخال البيانات'!$N$3:$N$1164)=VALUE($B$10))) *
            (IF($B$11="الكل",1, INT((DAY('ادخال البيانات'!$N$3:$N$1164)-1)/7)+1 = VALUE($B$11))),
            'ادخال البيانات'!$D$3:$D$1164
         ),
         ""
      ),
      IF(_xlpm.result="", "", _xlpm.result)
   )
)</f>
        <v/>
      </c>
      <c r="E858" s="27" t="str" cm="1">
        <f t="array" ref="E858">IF(
   A858="",
   "",
   _xlfn.LET(
      _xlpm.result,
      IFERROR(
         _xlfn.XLOOKUP(
            1,
            (Table8[رقم الصنف]=A858) *
            (IF($B$9="الكل",1, YEAR('ادخال البيانات'!$N$3:$N$1164)=VALUE($B$9))) *
            (IF($B$10="الكل",1, MONTH('ادخال البيانات'!$N$3:$N$1164)=VALUE($B$10))) *
            (IF($B$11="الكل",1, INT((DAY('ادخال البيانات'!$N$3:$N$1164)-1)/7)+1 = VALUE($B$11))),
            'ادخال البيانات'!$E$3:$E$1164
         ),
         ""
      ),
      IF(_xlpm.result="", "", _xlpm.result)
   )
)</f>
        <v/>
      </c>
      <c r="F858" s="27" t="str" cm="1">
        <f t="array" ref="F858">IF(
   A858="",
   "",
   _xlfn.LET(
      _xlpm.result,
      IFERROR(
         _xlfn.XLOOKUP(
            1,
            (Table8[رقم الصنف]=A858) *
            (IF($B$9="الكل",1, YEAR('ادخال البيانات'!$N$3:$N$1164) = VALUE($B$9))) *
            (IF($B$10="الكل",1, MONTH('ادخال البيانات'!$N$3:$N$1164) = VALUE($B$10))) *
            (IF($B$11="الكل",1, INT((DAY('ادخال البيانات'!$N$3:$N$1164)-1)/7)+1 = VALUE($B$11))),
            'ادخال البيانات'!$F$3:$F$1164
         ),
         ""
      ),
      IF(_xlpm.result="", "", _xlpm.result)
   )
)</f>
        <v/>
      </c>
      <c r="G858" s="27" t="str" cm="1">
        <f t="array" ref="G858">IF(
   A858="",
   "",
   _xlfn.LET(
      _xlpm.result,
      IFERROR(
         _xlfn.XLOOKUP(
            1,
            (Table8[رقم الصنف]=A858) *
            (IF($B$9="الكل",1, YEAR('ادخال البيانات'!$N$3:$N$1164)=VALUE($B$9))) *
            (IF($B$10="الكل",1, MONTH('ادخال البيانات'!$N$3:$N$1164)=VALUE($B$10))) *
            (IF($B$11="الكل",1, INT((DAY('ادخال البيانات'!$N$3:$N$1164)-1)/7)+1 = VALUE($B$11))),
            'ادخال البيانات'!$G$3:$G$1164
         ),
         ""
      ),
      IF(_xlpm.result="", "", _xlpm.result)
   )
)</f>
        <v/>
      </c>
      <c r="H858" s="27" t="str" cm="1">
        <f t="array" ref="H858">IF(
   A858="",
   "",
   _xlfn.LET(
      _xlpm.result,
      IFERROR(
         _xlfn.XLOOKUP(
            1,
            (Table8[رقم الصنف]=A858) *
            (IF($B$9="الكل",1, YEAR('ادخال البيانات'!$N$3:$N$1164)=VALUE($B$9))) *
            (IF($B$10="الكل",1, MONTH('ادخال البيانات'!$N$3:$N$1164)=VALUE($B$10))) *
            (IF($B$11="الكل",1, INT((DAY('ادخال البيانات'!$N$3:$N$1164)-1)/7)+1 = VALUE($B$11))),
            'ادخال البيانات'!$H$3:$H$1164
         ),
         ""
      ),
      IF(_xlpm.result="", "", _xlpm.result)
   )
)</f>
        <v/>
      </c>
      <c r="I858" s="27" t="str" cm="1">
        <f t="array" ref="I858">IF(
   A858="",
   "",
   _xlfn.LET(
      _xlpm.result,
      IFERROR(
         _xlfn.XLOOKUP(
            1,
            (Table8[رقم الصنف]=A858) *
            (IF($B$9="الكل",1, YEAR('ادخال البيانات'!$N$3:$N$1164)=VALUE($B$9))) *
            (IF($B$10="الكل",1, MONTH('ادخال البيانات'!$N$3:$N$1164)=VALUE($B$10))) *
            (IF($B$11="الكل",1, INT((DAY('ادخال البيانات'!$N$3:$N$1164)-1)/7)+1 = VALUE($B$11))),
            'ادخال البيانات'!$I$3:$I$1164
         ),
         ""
      ),
      IF(_xlpm.result="", "", _xlpm.result)
   )
)</f>
        <v/>
      </c>
      <c r="J858" s="27" t="str" cm="1">
        <f t="array" ref="J858">IF(
   A858="",
   "",
   _xlfn.LET(
      _xlpm.result,
      IFERROR(
         _xlfn.XLOOKUP(
            1,
            (Table8[رقم الصنف]=A858) *
            (IF($B$9="الكل",1, YEAR('ادخال البيانات'!$N$3:$N$1164)=VALUE($B$9))) *
            (IF($B$10="الكل",1, MONTH('ادخال البيانات'!$N$3:$N$1164)=VALUE($B$10))) *
            (IF($B$11="الكل",1, INT((DAY('ادخال البيانات'!$N$3:$N$1164)-1)/7)+1 = VALUE($B$11))),
            'ادخال البيانات'!$J$3:$J$1164
         ),
         ""
      ),
      IF(_xlpm.result="", "", _xlpm.result)
   )
)</f>
        <v/>
      </c>
      <c r="K858" s="27" t="str" cm="1">
        <f t="array" ref="K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8" s="27" t="str" cm="1">
        <f t="array" ref="L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8" s="27" t="str" cm="1">
        <f t="array" ref="M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8" s="28" t="str" cm="1">
        <f t="array" ref="N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8" s="28" t="str" cm="1">
        <f t="array" ref="O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8" s="27" t="str" cm="1">
        <f t="array" ref="P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Table8[جهة العطل]
         ),
         ""
      ),
      IF(_xlpm.result="", "", _xlpm.result)
   )
)</f>
        <v/>
      </c>
      <c r="Q858" s="27" t="str" cm="1">
        <f t="array" ref="Q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Table8[المركز]
         ),
         ""
      ),
      IF(_xlpm.result="", "", _xlpm.result)
   )
)</f>
        <v/>
      </c>
      <c r="R858" s="27" t="str" cm="1">
        <f t="array" ref="R858">IF(
   A858="",
   "",
   _xlfn.LET(
      _xlpm.result,
      IFERROR(
         _xlfn.XLOOKUP(
            1,
            (Table8[رقم الصنف]=A858) *
            (IF($B$9="الكل",1, YEAR('ادخال البيانات'!$N$3:$N$1164) = VALUE($B$9))) *
            (IF($B$10="الكل",1, MONTH('ادخال البيانات'!$N$3:$N$1164) = VALUE($B$10))) *
            (IF($B$11="الكل",1, INT((DAY('ادخال البيانات'!$N$3:$N$1164) - 1) / 7) + 1 = VALUE($B$11))),
            Table8[ملاحظة]
         ),
         ""
      ),
      IF(_xlpm.result="", "", _xlpm.result)
   )
)</f>
        <v/>
      </c>
      <c r="S858" s="46" t="str">
        <f t="shared" ca="1" si="14"/>
        <v/>
      </c>
    </row>
    <row r="859" spans="1:19" ht="15.6" thickTop="1" thickBot="1" x14ac:dyDescent="0.35">
      <c r="A859" s="39"/>
      <c r="B859" s="27" t="str" cm="1">
        <f t="array" ref="B859">IF(
   OR(A859="", $B$9="", $B$10="", $B$11=""),
   "",
   _xlfn.LET(
      _xlpm.result,
      IFERROR(
         _xlfn.XLOOKUP(
            1,
            (Table8[رقم الصنف]=A859)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59" s="27" t="str" cm="1">
        <f t="array" ref="C859">IF(
   A859="",
   "",
   _xlfn.LET(
      _xlpm.result,
      IFERROR(
         _xlfn.XLOOKUP(
            1,
            (Table8[رقم الصنف]=A859) *
            (IF($B$9="الكل",1, YEAR('ادخال البيانات'!$N$3:$N$1164) = VALUE($B$9))) *
            (IF($B$10="الكل",1, MONTH('ادخال البيانات'!$N$3:$N$1164) = VALUE($B$10))) *
            (IF($B$11="الكل",1, INT((DAY('ادخال البيانات'!$N$3:$N$1164)-1)/7)+1 = VALUE($B$11))),
            'ادخال البيانات'!$C$3:$C$1164
         ),
         ""
      ),
      IF(_xlpm.result="", "", _xlpm.result)
   )
)</f>
        <v/>
      </c>
      <c r="D859" s="27" t="str" cm="1">
        <f t="array" ref="D859">IF(
   OR(A859="", $B$9="", $B$10="", $B$11=""),
   "",
   _xlfn.LET(
      _xlpm.result,
      IFERROR(
         _xlfn.XLOOKUP(
            1,
            (Table8[رقم الصنف]=A859) *
            (IF($B$9="الكل",1, YEAR('ادخال البيانات'!$N$3:$N$1164)=VALUE($B$9))) *
            (IF($B$10="الكل",1, MONTH('ادخال البيانات'!$N$3:$N$1164)=VALUE($B$10))) *
            (IF($B$11="الكل",1, INT((DAY('ادخال البيانات'!$N$3:$N$1164)-1)/7)+1 = VALUE($B$11))),
            'ادخال البيانات'!$D$3:$D$1164
         ),
         ""
      ),
      IF(_xlpm.result="", "", _xlpm.result)
   )
)</f>
        <v/>
      </c>
      <c r="E859" s="27" t="str" cm="1">
        <f t="array" ref="E859">IF(
   A859="",
   "",
   _xlfn.LET(
      _xlpm.result,
      IFERROR(
         _xlfn.XLOOKUP(
            1,
            (Table8[رقم الصنف]=A859) *
            (IF($B$9="الكل",1, YEAR('ادخال البيانات'!$N$3:$N$1164)=VALUE($B$9))) *
            (IF($B$10="الكل",1, MONTH('ادخال البيانات'!$N$3:$N$1164)=VALUE($B$10))) *
            (IF($B$11="الكل",1, INT((DAY('ادخال البيانات'!$N$3:$N$1164)-1)/7)+1 = VALUE($B$11))),
            'ادخال البيانات'!$E$3:$E$1164
         ),
         ""
      ),
      IF(_xlpm.result="", "", _xlpm.result)
   )
)</f>
        <v/>
      </c>
      <c r="F859" s="27" t="str" cm="1">
        <f t="array" ref="F859">IF(
   A859="",
   "",
   _xlfn.LET(
      _xlpm.result,
      IFERROR(
         _xlfn.XLOOKUP(
            1,
            (Table8[رقم الصنف]=A859) *
            (IF($B$9="الكل",1, YEAR('ادخال البيانات'!$N$3:$N$1164) = VALUE($B$9))) *
            (IF($B$10="الكل",1, MONTH('ادخال البيانات'!$N$3:$N$1164) = VALUE($B$10))) *
            (IF($B$11="الكل",1, INT((DAY('ادخال البيانات'!$N$3:$N$1164)-1)/7)+1 = VALUE($B$11))),
            'ادخال البيانات'!$F$3:$F$1164
         ),
         ""
      ),
      IF(_xlpm.result="", "", _xlpm.result)
   )
)</f>
        <v/>
      </c>
      <c r="G859" s="27" t="str" cm="1">
        <f t="array" ref="G859">IF(
   A859="",
   "",
   _xlfn.LET(
      _xlpm.result,
      IFERROR(
         _xlfn.XLOOKUP(
            1,
            (Table8[رقم الصنف]=A859) *
            (IF($B$9="الكل",1, YEAR('ادخال البيانات'!$N$3:$N$1164)=VALUE($B$9))) *
            (IF($B$10="الكل",1, MONTH('ادخال البيانات'!$N$3:$N$1164)=VALUE($B$10))) *
            (IF($B$11="الكل",1, INT((DAY('ادخال البيانات'!$N$3:$N$1164)-1)/7)+1 = VALUE($B$11))),
            'ادخال البيانات'!$G$3:$G$1164
         ),
         ""
      ),
      IF(_xlpm.result="", "", _xlpm.result)
   )
)</f>
        <v/>
      </c>
      <c r="H859" s="27" t="str" cm="1">
        <f t="array" ref="H859">IF(
   A859="",
   "",
   _xlfn.LET(
      _xlpm.result,
      IFERROR(
         _xlfn.XLOOKUP(
            1,
            (Table8[رقم الصنف]=A859) *
            (IF($B$9="الكل",1, YEAR('ادخال البيانات'!$N$3:$N$1164)=VALUE($B$9))) *
            (IF($B$10="الكل",1, MONTH('ادخال البيانات'!$N$3:$N$1164)=VALUE($B$10))) *
            (IF($B$11="الكل",1, INT((DAY('ادخال البيانات'!$N$3:$N$1164)-1)/7)+1 = VALUE($B$11))),
            'ادخال البيانات'!$H$3:$H$1164
         ),
         ""
      ),
      IF(_xlpm.result="", "", _xlpm.result)
   )
)</f>
        <v/>
      </c>
      <c r="I859" s="27" t="str" cm="1">
        <f t="array" ref="I859">IF(
   A859="",
   "",
   _xlfn.LET(
      _xlpm.result,
      IFERROR(
         _xlfn.XLOOKUP(
            1,
            (Table8[رقم الصنف]=A859) *
            (IF($B$9="الكل",1, YEAR('ادخال البيانات'!$N$3:$N$1164)=VALUE($B$9))) *
            (IF($B$10="الكل",1, MONTH('ادخال البيانات'!$N$3:$N$1164)=VALUE($B$10))) *
            (IF($B$11="الكل",1, INT((DAY('ادخال البيانات'!$N$3:$N$1164)-1)/7)+1 = VALUE($B$11))),
            'ادخال البيانات'!$I$3:$I$1164
         ),
         ""
      ),
      IF(_xlpm.result="", "", _xlpm.result)
   )
)</f>
        <v/>
      </c>
      <c r="J859" s="27" t="str" cm="1">
        <f t="array" ref="J859">IF(
   A859="",
   "",
   _xlfn.LET(
      _xlpm.result,
      IFERROR(
         _xlfn.XLOOKUP(
            1,
            (Table8[رقم الصنف]=A859) *
            (IF($B$9="الكل",1, YEAR('ادخال البيانات'!$N$3:$N$1164)=VALUE($B$9))) *
            (IF($B$10="الكل",1, MONTH('ادخال البيانات'!$N$3:$N$1164)=VALUE($B$10))) *
            (IF($B$11="الكل",1, INT((DAY('ادخال البيانات'!$N$3:$N$1164)-1)/7)+1 = VALUE($B$11))),
            'ادخال البيانات'!$J$3:$J$1164
         ),
         ""
      ),
      IF(_xlpm.result="", "", _xlpm.result)
   )
)</f>
        <v/>
      </c>
      <c r="K859" s="27" t="str" cm="1">
        <f t="array" ref="K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59" s="27" t="str" cm="1">
        <f t="array" ref="L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59" s="27" t="str" cm="1">
        <f t="array" ref="M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59" s="28" t="str" cm="1">
        <f t="array" ref="N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59" s="28" t="str" cm="1">
        <f t="array" ref="O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59" s="27" t="str" cm="1">
        <f t="array" ref="P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Table8[جهة العطل]
         ),
         ""
      ),
      IF(_xlpm.result="", "", _xlpm.result)
   )
)</f>
        <v/>
      </c>
      <c r="Q859" s="27" t="str" cm="1">
        <f t="array" ref="Q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Table8[المركز]
         ),
         ""
      ),
      IF(_xlpm.result="", "", _xlpm.result)
   )
)</f>
        <v/>
      </c>
      <c r="R859" s="27" t="str" cm="1">
        <f t="array" ref="R859">IF(
   A859="",
   "",
   _xlfn.LET(
      _xlpm.result,
      IFERROR(
         _xlfn.XLOOKUP(
            1,
            (Table8[رقم الصنف]=A859) *
            (IF($B$9="الكل",1, YEAR('ادخال البيانات'!$N$3:$N$1164) = VALUE($B$9))) *
            (IF($B$10="الكل",1, MONTH('ادخال البيانات'!$N$3:$N$1164) = VALUE($B$10))) *
            (IF($B$11="الكل",1, INT((DAY('ادخال البيانات'!$N$3:$N$1164) - 1) / 7) + 1 = VALUE($B$11))),
            Table8[ملاحظة]
         ),
         ""
      ),
      IF(_xlpm.result="", "", _xlpm.result)
   )
)</f>
        <v/>
      </c>
      <c r="S859" s="46" t="str">
        <f t="shared" ca="1" si="14"/>
        <v/>
      </c>
    </row>
    <row r="860" spans="1:19" ht="15.6" thickTop="1" thickBot="1" x14ac:dyDescent="0.35">
      <c r="A860" s="39"/>
      <c r="B860" s="27" t="str" cm="1">
        <f t="array" ref="B860">IF(
   OR(A860="", $B$9="", $B$10="", $B$11=""),
   "",
   _xlfn.LET(
      _xlpm.result,
      IFERROR(
         _xlfn.XLOOKUP(
            1,
            (Table8[رقم الصنف]=A860)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0" s="27" t="str" cm="1">
        <f t="array" ref="C860">IF(
   A860="",
   "",
   _xlfn.LET(
      _xlpm.result,
      IFERROR(
         _xlfn.XLOOKUP(
            1,
            (Table8[رقم الصنف]=A860) *
            (IF($B$9="الكل",1, YEAR('ادخال البيانات'!$N$3:$N$1164) = VALUE($B$9))) *
            (IF($B$10="الكل",1, MONTH('ادخال البيانات'!$N$3:$N$1164) = VALUE($B$10))) *
            (IF($B$11="الكل",1, INT((DAY('ادخال البيانات'!$N$3:$N$1164)-1)/7)+1 = VALUE($B$11))),
            'ادخال البيانات'!$C$3:$C$1164
         ),
         ""
      ),
      IF(_xlpm.result="", "", _xlpm.result)
   )
)</f>
        <v/>
      </c>
      <c r="D860" s="27" t="str" cm="1">
        <f t="array" ref="D860">IF(
   OR(A860="", $B$9="", $B$10="", $B$11=""),
   "",
   _xlfn.LET(
      _xlpm.result,
      IFERROR(
         _xlfn.XLOOKUP(
            1,
            (Table8[رقم الصنف]=A860) *
            (IF($B$9="الكل",1, YEAR('ادخال البيانات'!$N$3:$N$1164)=VALUE($B$9))) *
            (IF($B$10="الكل",1, MONTH('ادخال البيانات'!$N$3:$N$1164)=VALUE($B$10))) *
            (IF($B$11="الكل",1, INT((DAY('ادخال البيانات'!$N$3:$N$1164)-1)/7)+1 = VALUE($B$11))),
            'ادخال البيانات'!$D$3:$D$1164
         ),
         ""
      ),
      IF(_xlpm.result="", "", _xlpm.result)
   )
)</f>
        <v/>
      </c>
      <c r="E860" s="27" t="str" cm="1">
        <f t="array" ref="E860">IF(
   A860="",
   "",
   _xlfn.LET(
      _xlpm.result,
      IFERROR(
         _xlfn.XLOOKUP(
            1,
            (Table8[رقم الصنف]=A860) *
            (IF($B$9="الكل",1, YEAR('ادخال البيانات'!$N$3:$N$1164)=VALUE($B$9))) *
            (IF($B$10="الكل",1, MONTH('ادخال البيانات'!$N$3:$N$1164)=VALUE($B$10))) *
            (IF($B$11="الكل",1, INT((DAY('ادخال البيانات'!$N$3:$N$1164)-1)/7)+1 = VALUE($B$11))),
            'ادخال البيانات'!$E$3:$E$1164
         ),
         ""
      ),
      IF(_xlpm.result="", "", _xlpm.result)
   )
)</f>
        <v/>
      </c>
      <c r="F860" s="27" t="str" cm="1">
        <f t="array" ref="F860">IF(
   A860="",
   "",
   _xlfn.LET(
      _xlpm.result,
      IFERROR(
         _xlfn.XLOOKUP(
            1,
            (Table8[رقم الصنف]=A860) *
            (IF($B$9="الكل",1, YEAR('ادخال البيانات'!$N$3:$N$1164) = VALUE($B$9))) *
            (IF($B$10="الكل",1, MONTH('ادخال البيانات'!$N$3:$N$1164) = VALUE($B$10))) *
            (IF($B$11="الكل",1, INT((DAY('ادخال البيانات'!$N$3:$N$1164)-1)/7)+1 = VALUE($B$11))),
            'ادخال البيانات'!$F$3:$F$1164
         ),
         ""
      ),
      IF(_xlpm.result="", "", _xlpm.result)
   )
)</f>
        <v/>
      </c>
      <c r="G860" s="27" t="str" cm="1">
        <f t="array" ref="G860">IF(
   A860="",
   "",
   _xlfn.LET(
      _xlpm.result,
      IFERROR(
         _xlfn.XLOOKUP(
            1,
            (Table8[رقم الصنف]=A860) *
            (IF($B$9="الكل",1, YEAR('ادخال البيانات'!$N$3:$N$1164)=VALUE($B$9))) *
            (IF($B$10="الكل",1, MONTH('ادخال البيانات'!$N$3:$N$1164)=VALUE($B$10))) *
            (IF($B$11="الكل",1, INT((DAY('ادخال البيانات'!$N$3:$N$1164)-1)/7)+1 = VALUE($B$11))),
            'ادخال البيانات'!$G$3:$G$1164
         ),
         ""
      ),
      IF(_xlpm.result="", "", _xlpm.result)
   )
)</f>
        <v/>
      </c>
      <c r="H860" s="27" t="str" cm="1">
        <f t="array" ref="H860">IF(
   A860="",
   "",
   _xlfn.LET(
      _xlpm.result,
      IFERROR(
         _xlfn.XLOOKUP(
            1,
            (Table8[رقم الصنف]=A860) *
            (IF($B$9="الكل",1, YEAR('ادخال البيانات'!$N$3:$N$1164)=VALUE($B$9))) *
            (IF($B$10="الكل",1, MONTH('ادخال البيانات'!$N$3:$N$1164)=VALUE($B$10))) *
            (IF($B$11="الكل",1, INT((DAY('ادخال البيانات'!$N$3:$N$1164)-1)/7)+1 = VALUE($B$11))),
            'ادخال البيانات'!$H$3:$H$1164
         ),
         ""
      ),
      IF(_xlpm.result="", "", _xlpm.result)
   )
)</f>
        <v/>
      </c>
      <c r="I860" s="27" t="str" cm="1">
        <f t="array" ref="I860">IF(
   A860="",
   "",
   _xlfn.LET(
      _xlpm.result,
      IFERROR(
         _xlfn.XLOOKUP(
            1,
            (Table8[رقم الصنف]=A860) *
            (IF($B$9="الكل",1, YEAR('ادخال البيانات'!$N$3:$N$1164)=VALUE($B$9))) *
            (IF($B$10="الكل",1, MONTH('ادخال البيانات'!$N$3:$N$1164)=VALUE($B$10))) *
            (IF($B$11="الكل",1, INT((DAY('ادخال البيانات'!$N$3:$N$1164)-1)/7)+1 = VALUE($B$11))),
            'ادخال البيانات'!$I$3:$I$1164
         ),
         ""
      ),
      IF(_xlpm.result="", "", _xlpm.result)
   )
)</f>
        <v/>
      </c>
      <c r="J860" s="27" t="str" cm="1">
        <f t="array" ref="J860">IF(
   A860="",
   "",
   _xlfn.LET(
      _xlpm.result,
      IFERROR(
         _xlfn.XLOOKUP(
            1,
            (Table8[رقم الصنف]=A860) *
            (IF($B$9="الكل",1, YEAR('ادخال البيانات'!$N$3:$N$1164)=VALUE($B$9))) *
            (IF($B$10="الكل",1, MONTH('ادخال البيانات'!$N$3:$N$1164)=VALUE($B$10))) *
            (IF($B$11="الكل",1, INT((DAY('ادخال البيانات'!$N$3:$N$1164)-1)/7)+1 = VALUE($B$11))),
            'ادخال البيانات'!$J$3:$J$1164
         ),
         ""
      ),
      IF(_xlpm.result="", "", _xlpm.result)
   )
)</f>
        <v/>
      </c>
      <c r="K860" s="27" t="str" cm="1">
        <f t="array" ref="K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0" s="27" t="str" cm="1">
        <f t="array" ref="L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0" s="27" t="str" cm="1">
        <f t="array" ref="M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0" s="28" t="str" cm="1">
        <f t="array" ref="N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0" s="28" t="str" cm="1">
        <f t="array" ref="O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0" s="27" t="str" cm="1">
        <f t="array" ref="P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Table8[جهة العطل]
         ),
         ""
      ),
      IF(_xlpm.result="", "", _xlpm.result)
   )
)</f>
        <v/>
      </c>
      <c r="Q860" s="27" t="str" cm="1">
        <f t="array" ref="Q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Table8[المركز]
         ),
         ""
      ),
      IF(_xlpm.result="", "", _xlpm.result)
   )
)</f>
        <v/>
      </c>
      <c r="R860" s="27" t="str" cm="1">
        <f t="array" ref="R860">IF(
   A860="",
   "",
   _xlfn.LET(
      _xlpm.result,
      IFERROR(
         _xlfn.XLOOKUP(
            1,
            (Table8[رقم الصنف]=A860) *
            (IF($B$9="الكل",1, YEAR('ادخال البيانات'!$N$3:$N$1164) = VALUE($B$9))) *
            (IF($B$10="الكل",1, MONTH('ادخال البيانات'!$N$3:$N$1164) = VALUE($B$10))) *
            (IF($B$11="الكل",1, INT((DAY('ادخال البيانات'!$N$3:$N$1164) - 1) / 7) + 1 = VALUE($B$11))),
            Table8[ملاحظة]
         ),
         ""
      ),
      IF(_xlpm.result="", "", _xlpm.result)
   )
)</f>
        <v/>
      </c>
      <c r="S860" s="46" t="str">
        <f t="shared" ca="1" si="14"/>
        <v/>
      </c>
    </row>
    <row r="861" spans="1:19" ht="15.6" thickTop="1" thickBot="1" x14ac:dyDescent="0.35">
      <c r="A861" s="39"/>
      <c r="B861" s="27" t="str" cm="1">
        <f t="array" ref="B861">IF(
   OR(A861="", $B$9="", $B$10="", $B$11=""),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1" s="27" t="str" cm="1">
        <f t="array" ref="C861">IF(
   A861="",
   "",
   _xlfn.LET(
      _xlpm.result,
      IFERROR(
         _xlfn.XLOOKUP(
            1,
            (Table8[رقم الصنف]=A861) *
            (IF($B$9="الكل",1, YEAR('ادخال البيانات'!$N$3:$N$1164) = VALUE($B$9))) *
            (IF($B$10="الكل",1, MONTH('ادخال البيانات'!$N$3:$N$1164) = VALUE($B$10))) *
            (IF($B$11="الكل",1, INT((DAY('ادخال البيانات'!$N$3:$N$1164)-1)/7)+1 = VALUE($B$11))),
            'ادخال البيانات'!$C$3:$C$1164
         ),
         ""
      ),
      IF(_xlpm.result="", "", _xlpm.result)
   )
)</f>
        <v/>
      </c>
      <c r="D861" s="27" t="str" cm="1">
        <f t="array" ref="D861">IF(
   OR(A861="", $B$9="", $B$10="", $B$11=""),
   "",
   _xlfn.LET(
      _xlpm.result,
      IFERROR(
         _xlfn.XLOOKUP(
            1,
            (Table8[رقم الصنف]=A861) *
            (IF($B$9="الكل",1, YEAR('ادخال البيانات'!$N$3:$N$1164)=VALUE($B$9))) *
            (IF($B$10="الكل",1, MONTH('ادخال البيانات'!$N$3:$N$1164)=VALUE($B$10))) *
            (IF($B$11="الكل",1, INT((DAY('ادخال البيانات'!$N$3:$N$1164)-1)/7)+1 = VALUE($B$11))),
            'ادخال البيانات'!$D$3:$D$1164
         ),
         ""
      ),
      IF(_xlpm.result="", "", _xlpm.result)
   )
)</f>
        <v/>
      </c>
      <c r="E861" s="27" t="str" cm="1">
        <f t="array" ref="E861">IF(
   A861="",
   "",
   _xlfn.LET(
      _xlpm.result,
      IFERROR(
         _xlfn.XLOOKUP(
            1,
            (Table8[رقم الصنف]=A861) *
            (IF($B$9="الكل",1, YEAR('ادخال البيانات'!$N$3:$N$1164)=VALUE($B$9))) *
            (IF($B$10="الكل",1, MONTH('ادخال البيانات'!$N$3:$N$1164)=VALUE($B$10))) *
            (IF($B$11="الكل",1, INT((DAY('ادخال البيانات'!$N$3:$N$1164)-1)/7)+1 = VALUE($B$11))),
            'ادخال البيانات'!$E$3:$E$1164
         ),
         ""
      ),
      IF(_xlpm.result="", "", _xlpm.result)
   )
)</f>
        <v/>
      </c>
      <c r="F861" s="27" t="str" cm="1">
        <f t="array" ref="F861">IF(
   A861="",
   "",
   _xlfn.LET(
      _xlpm.result,
      IFERROR(
         _xlfn.XLOOKUP(
            1,
            (Table8[رقم الصنف]=A861) *
            (IF($B$9="الكل",1, YEAR('ادخال البيانات'!$N$3:$N$1164) = VALUE($B$9))) *
            (IF($B$10="الكل",1, MONTH('ادخال البيانات'!$N$3:$N$1164) = VALUE($B$10))) *
            (IF($B$11="الكل",1, INT((DAY('ادخال البيانات'!$N$3:$N$1164)-1)/7)+1 = VALUE($B$11))),
            'ادخال البيانات'!$F$3:$F$1164
         ),
         ""
      ),
      IF(_xlpm.result="", "", _xlpm.result)
   )
)</f>
        <v/>
      </c>
      <c r="G861" s="27" t="str" cm="1">
        <f t="array" ref="G861">IF(
   A861="",
   "",
   _xlfn.LET(
      _xlpm.result,
      IFERROR(
         _xlfn.XLOOKUP(
            1,
            (Table8[رقم الصنف]=A861) *
            (IF($B$9="الكل",1, YEAR('ادخال البيانات'!$N$3:$N$1164)=VALUE($B$9))) *
            (IF($B$10="الكل",1, MONTH('ادخال البيانات'!$N$3:$N$1164)=VALUE($B$10))) *
            (IF($B$11="الكل",1, INT((DAY('ادخال البيانات'!$N$3:$N$1164)-1)/7)+1 = VALUE($B$11))),
            'ادخال البيانات'!$G$3:$G$1164
         ),
         ""
      ),
      IF(_xlpm.result="", "", _xlpm.result)
   )
)</f>
        <v/>
      </c>
      <c r="H861" s="27" t="str" cm="1">
        <f t="array" ref="H861">IF(
   A861="",
   "",
   _xlfn.LET(
      _xlpm.result,
      IFERROR(
         _xlfn.XLOOKUP(
            1,
            (Table8[رقم الصنف]=A861) *
            (IF($B$9="الكل",1, YEAR('ادخال البيانات'!$N$3:$N$1164)=VALUE($B$9))) *
            (IF($B$10="الكل",1, MONTH('ادخال البيانات'!$N$3:$N$1164)=VALUE($B$10))) *
            (IF($B$11="الكل",1, INT((DAY('ادخال البيانات'!$N$3:$N$1164)-1)/7)+1 = VALUE($B$11))),
            'ادخال البيانات'!$H$3:$H$1164
         ),
         ""
      ),
      IF(_xlpm.result="", "", _xlpm.result)
   )
)</f>
        <v/>
      </c>
      <c r="I861" s="27" t="str" cm="1">
        <f t="array" ref="I861">IF(
   A861="",
   "",
   _xlfn.LET(
      _xlpm.result,
      IFERROR(
         _xlfn.XLOOKUP(
            1,
            (Table8[رقم الصنف]=A861) *
            (IF($B$9="الكل",1, YEAR('ادخال البيانات'!$N$3:$N$1164)=VALUE($B$9))) *
            (IF($B$10="الكل",1, MONTH('ادخال البيانات'!$N$3:$N$1164)=VALUE($B$10))) *
            (IF($B$11="الكل",1, INT((DAY('ادخال البيانات'!$N$3:$N$1164)-1)/7)+1 = VALUE($B$11))),
            'ادخال البيانات'!$I$3:$I$1164
         ),
         ""
      ),
      IF(_xlpm.result="", "", _xlpm.result)
   )
)</f>
        <v/>
      </c>
      <c r="J861" s="27" t="str" cm="1">
        <f t="array" ref="J861">IF(
   A861="",
   "",
   _xlfn.LET(
      _xlpm.result,
      IFERROR(
         _xlfn.XLOOKUP(
            1,
            (Table8[رقم الصنف]=A861) *
            (IF($B$9="الكل",1, YEAR('ادخال البيانات'!$N$3:$N$1164)=VALUE($B$9))) *
            (IF($B$10="الكل",1, MONTH('ادخال البيانات'!$N$3:$N$1164)=VALUE($B$10))) *
            (IF($B$11="الكل",1, INT((DAY('ادخال البيانات'!$N$3:$N$1164)-1)/7)+1 = VALUE($B$11))),
            'ادخال البيانات'!$J$3:$J$1164
         ),
         ""
      ),
      IF(_xlpm.result="", "", _xlpm.result)
   )
)</f>
        <v/>
      </c>
      <c r="K861" s="27" t="str" cm="1">
        <f t="array" ref="K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1" s="27" t="str" cm="1">
        <f t="array" ref="L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1" s="27" t="str" cm="1">
        <f t="array" ref="M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1" s="28" t="str" cm="1">
        <f t="array" ref="N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1" s="28" t="str" cm="1">
        <f t="array" ref="O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1" s="27" t="str" cm="1">
        <f t="array" ref="P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Table8[جهة العطل]
         ),
         ""
      ),
      IF(_xlpm.result="", "", _xlpm.result)
   )
)</f>
        <v/>
      </c>
      <c r="Q861" s="27" t="str" cm="1">
        <f t="array" ref="Q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Table8[المركز]
         ),
         ""
      ),
      IF(_xlpm.result="", "", _xlpm.result)
   )
)</f>
        <v/>
      </c>
      <c r="R861" s="27" t="str" cm="1">
        <f t="array" ref="R861">IF(
   A861="",
   "",
   _xlfn.LET(
      _xlpm.result,
      IFERROR(
         _xlfn.XLOOKUP(
            1,
            (Table8[رقم الصنف]=A861) *
            (IF($B$9="الكل",1, YEAR('ادخال البيانات'!$N$3:$N$1164) = VALUE($B$9))) *
            (IF($B$10="الكل",1, MONTH('ادخال البيانات'!$N$3:$N$1164) = VALUE($B$10))) *
            (IF($B$11="الكل",1, INT((DAY('ادخال البيانات'!$N$3:$N$1164) - 1) / 7) + 1 = VALUE($B$11))),
            Table8[ملاحظة]
         ),
         ""
      ),
      IF(_xlpm.result="", "", _xlpm.result)
   )
)</f>
        <v/>
      </c>
      <c r="S861" s="46" t="str">
        <f t="shared" ca="1" si="14"/>
        <v/>
      </c>
    </row>
    <row r="862" spans="1:19" ht="15.6" thickTop="1" thickBot="1" x14ac:dyDescent="0.35">
      <c r="A862" s="39"/>
      <c r="B862" s="27" t="str" cm="1">
        <f t="array" ref="B862">IF(
   OR(A862="", $B$9="", $B$10="", $B$11=""),
   "",
   _xlfn.LET(
      _xlpm.result,
      IFERROR(
         _xlfn.XLOOKUP(
            1,
            (Table8[رقم الصنف]=A862)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2" s="27" t="str" cm="1">
        <f t="array" ref="C862">IF(
   A862="",
   "",
   _xlfn.LET(
      _xlpm.result,
      IFERROR(
         _xlfn.XLOOKUP(
            1,
            (Table8[رقم الصنف]=A862) *
            (IF($B$9="الكل",1, YEAR('ادخال البيانات'!$N$3:$N$1164) = VALUE($B$9))) *
            (IF($B$10="الكل",1, MONTH('ادخال البيانات'!$N$3:$N$1164) = VALUE($B$10))) *
            (IF($B$11="الكل",1, INT((DAY('ادخال البيانات'!$N$3:$N$1164)-1)/7)+1 = VALUE($B$11))),
            'ادخال البيانات'!$C$3:$C$1164
         ),
         ""
      ),
      IF(_xlpm.result="", "", _xlpm.result)
   )
)</f>
        <v/>
      </c>
      <c r="D862" s="27" t="str" cm="1">
        <f t="array" ref="D862">IF(
   OR(A862="", $B$9="", $B$10="", $B$11=""),
   "",
   _xlfn.LET(
      _xlpm.result,
      IFERROR(
         _xlfn.XLOOKUP(
            1,
            (Table8[رقم الصنف]=A862) *
            (IF($B$9="الكل",1, YEAR('ادخال البيانات'!$N$3:$N$1164)=VALUE($B$9))) *
            (IF($B$10="الكل",1, MONTH('ادخال البيانات'!$N$3:$N$1164)=VALUE($B$10))) *
            (IF($B$11="الكل",1, INT((DAY('ادخال البيانات'!$N$3:$N$1164)-1)/7)+1 = VALUE($B$11))),
            'ادخال البيانات'!$D$3:$D$1164
         ),
         ""
      ),
      IF(_xlpm.result="", "", _xlpm.result)
   )
)</f>
        <v/>
      </c>
      <c r="E862" s="27" t="str" cm="1">
        <f t="array" ref="E862">IF(
   A862="",
   "",
   _xlfn.LET(
      _xlpm.result,
      IFERROR(
         _xlfn.XLOOKUP(
            1,
            (Table8[رقم الصنف]=A862) *
            (IF($B$9="الكل",1, YEAR('ادخال البيانات'!$N$3:$N$1164)=VALUE($B$9))) *
            (IF($B$10="الكل",1, MONTH('ادخال البيانات'!$N$3:$N$1164)=VALUE($B$10))) *
            (IF($B$11="الكل",1, INT((DAY('ادخال البيانات'!$N$3:$N$1164)-1)/7)+1 = VALUE($B$11))),
            'ادخال البيانات'!$E$3:$E$1164
         ),
         ""
      ),
      IF(_xlpm.result="", "", _xlpm.result)
   )
)</f>
        <v/>
      </c>
      <c r="F862" s="27" t="str" cm="1">
        <f t="array" ref="F862">IF(
   A862="",
   "",
   _xlfn.LET(
      _xlpm.result,
      IFERROR(
         _xlfn.XLOOKUP(
            1,
            (Table8[رقم الصنف]=A862) *
            (IF($B$9="الكل",1, YEAR('ادخال البيانات'!$N$3:$N$1164) = VALUE($B$9))) *
            (IF($B$10="الكل",1, MONTH('ادخال البيانات'!$N$3:$N$1164) = VALUE($B$10))) *
            (IF($B$11="الكل",1, INT((DAY('ادخال البيانات'!$N$3:$N$1164)-1)/7)+1 = VALUE($B$11))),
            'ادخال البيانات'!$F$3:$F$1164
         ),
         ""
      ),
      IF(_xlpm.result="", "", _xlpm.result)
   )
)</f>
        <v/>
      </c>
      <c r="G862" s="27" t="str" cm="1">
        <f t="array" ref="G862">IF(
   A862="",
   "",
   _xlfn.LET(
      _xlpm.result,
      IFERROR(
         _xlfn.XLOOKUP(
            1,
            (Table8[رقم الصنف]=A862) *
            (IF($B$9="الكل",1, YEAR('ادخال البيانات'!$N$3:$N$1164)=VALUE($B$9))) *
            (IF($B$10="الكل",1, MONTH('ادخال البيانات'!$N$3:$N$1164)=VALUE($B$10))) *
            (IF($B$11="الكل",1, INT((DAY('ادخال البيانات'!$N$3:$N$1164)-1)/7)+1 = VALUE($B$11))),
            'ادخال البيانات'!$G$3:$G$1164
         ),
         ""
      ),
      IF(_xlpm.result="", "", _xlpm.result)
   )
)</f>
        <v/>
      </c>
      <c r="H862" s="27" t="str" cm="1">
        <f t="array" ref="H862">IF(
   A862="",
   "",
   _xlfn.LET(
      _xlpm.result,
      IFERROR(
         _xlfn.XLOOKUP(
            1,
            (Table8[رقم الصنف]=A862) *
            (IF($B$9="الكل",1, YEAR('ادخال البيانات'!$N$3:$N$1164)=VALUE($B$9))) *
            (IF($B$10="الكل",1, MONTH('ادخال البيانات'!$N$3:$N$1164)=VALUE($B$10))) *
            (IF($B$11="الكل",1, INT((DAY('ادخال البيانات'!$N$3:$N$1164)-1)/7)+1 = VALUE($B$11))),
            'ادخال البيانات'!$H$3:$H$1164
         ),
         ""
      ),
      IF(_xlpm.result="", "", _xlpm.result)
   )
)</f>
        <v/>
      </c>
      <c r="I862" s="27" t="str" cm="1">
        <f t="array" ref="I862">IF(
   A862="",
   "",
   _xlfn.LET(
      _xlpm.result,
      IFERROR(
         _xlfn.XLOOKUP(
            1,
            (Table8[رقم الصنف]=A862) *
            (IF($B$9="الكل",1, YEAR('ادخال البيانات'!$N$3:$N$1164)=VALUE($B$9))) *
            (IF($B$10="الكل",1, MONTH('ادخال البيانات'!$N$3:$N$1164)=VALUE($B$10))) *
            (IF($B$11="الكل",1, INT((DAY('ادخال البيانات'!$N$3:$N$1164)-1)/7)+1 = VALUE($B$11))),
            'ادخال البيانات'!$I$3:$I$1164
         ),
         ""
      ),
      IF(_xlpm.result="", "", _xlpm.result)
   )
)</f>
        <v/>
      </c>
      <c r="J862" s="27" t="str" cm="1">
        <f t="array" ref="J862">IF(
   A862="",
   "",
   _xlfn.LET(
      _xlpm.result,
      IFERROR(
         _xlfn.XLOOKUP(
            1,
            (Table8[رقم الصنف]=A862) *
            (IF($B$9="الكل",1, YEAR('ادخال البيانات'!$N$3:$N$1164)=VALUE($B$9))) *
            (IF($B$10="الكل",1, MONTH('ادخال البيانات'!$N$3:$N$1164)=VALUE($B$10))) *
            (IF($B$11="الكل",1, INT((DAY('ادخال البيانات'!$N$3:$N$1164)-1)/7)+1 = VALUE($B$11))),
            'ادخال البيانات'!$J$3:$J$1164
         ),
         ""
      ),
      IF(_xlpm.result="", "", _xlpm.result)
   )
)</f>
        <v/>
      </c>
      <c r="K862" s="27" t="str" cm="1">
        <f t="array" ref="K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2" s="27" t="str" cm="1">
        <f t="array" ref="L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2" s="27" t="str" cm="1">
        <f t="array" ref="M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2" s="28" t="str" cm="1">
        <f t="array" ref="N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2" s="28" t="str" cm="1">
        <f t="array" ref="O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2" s="27" t="str" cm="1">
        <f t="array" ref="P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Table8[جهة العطل]
         ),
         ""
      ),
      IF(_xlpm.result="", "", _xlpm.result)
   )
)</f>
        <v/>
      </c>
      <c r="Q862" s="27" t="str" cm="1">
        <f t="array" ref="Q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Table8[المركز]
         ),
         ""
      ),
      IF(_xlpm.result="", "", _xlpm.result)
   )
)</f>
        <v/>
      </c>
      <c r="R862" s="27" t="str" cm="1">
        <f t="array" ref="R862">IF(
   A862="",
   "",
   _xlfn.LET(
      _xlpm.result,
      IFERROR(
         _xlfn.XLOOKUP(
            1,
            (Table8[رقم الصنف]=A862) *
            (IF($B$9="الكل",1, YEAR('ادخال البيانات'!$N$3:$N$1164) = VALUE($B$9))) *
            (IF($B$10="الكل",1, MONTH('ادخال البيانات'!$N$3:$N$1164) = VALUE($B$10))) *
            (IF($B$11="الكل",1, INT((DAY('ادخال البيانات'!$N$3:$N$1164) - 1) / 7) + 1 = VALUE($B$11))),
            Table8[ملاحظة]
         ),
         ""
      ),
      IF(_xlpm.result="", "", _xlpm.result)
   )
)</f>
        <v/>
      </c>
      <c r="S862" s="46" t="str">
        <f t="shared" ca="1" si="14"/>
        <v/>
      </c>
    </row>
    <row r="863" spans="1:19" ht="15.6" thickTop="1" thickBot="1" x14ac:dyDescent="0.35">
      <c r="A863" s="39"/>
      <c r="B863" s="27" t="str" cm="1">
        <f t="array" ref="B863">IF(
   OR(A863="", $B$9="", $B$10="", $B$11=""),
   "",
   _xlfn.LET(
      _xlpm.result,
      IFERROR(
         _xlfn.XLOOKUP(
            1,
            (Table8[رقم الصنف]=A863)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3" s="27" t="str" cm="1">
        <f t="array" ref="C863">IF(
   A863="",
   "",
   _xlfn.LET(
      _xlpm.result,
      IFERROR(
         _xlfn.XLOOKUP(
            1,
            (Table8[رقم الصنف]=A863) *
            (IF($B$9="الكل",1, YEAR('ادخال البيانات'!$N$3:$N$1164) = VALUE($B$9))) *
            (IF($B$10="الكل",1, MONTH('ادخال البيانات'!$N$3:$N$1164) = VALUE($B$10))) *
            (IF($B$11="الكل",1, INT((DAY('ادخال البيانات'!$N$3:$N$1164)-1)/7)+1 = VALUE($B$11))),
            'ادخال البيانات'!$C$3:$C$1164
         ),
         ""
      ),
      IF(_xlpm.result="", "", _xlpm.result)
   )
)</f>
        <v/>
      </c>
      <c r="D863" s="27" t="str" cm="1">
        <f t="array" ref="D863">IF(
   OR(A863="", $B$9="", $B$10="", $B$11=""),
   "",
   _xlfn.LET(
      _xlpm.result,
      IFERROR(
         _xlfn.XLOOKUP(
            1,
            (Table8[رقم الصنف]=A863) *
            (IF($B$9="الكل",1, YEAR('ادخال البيانات'!$N$3:$N$1164)=VALUE($B$9))) *
            (IF($B$10="الكل",1, MONTH('ادخال البيانات'!$N$3:$N$1164)=VALUE($B$10))) *
            (IF($B$11="الكل",1, INT((DAY('ادخال البيانات'!$N$3:$N$1164)-1)/7)+1 = VALUE($B$11))),
            'ادخال البيانات'!$D$3:$D$1164
         ),
         ""
      ),
      IF(_xlpm.result="", "", _xlpm.result)
   )
)</f>
        <v/>
      </c>
      <c r="E863" s="27" t="str" cm="1">
        <f t="array" ref="E863">IF(
   A863="",
   "",
   _xlfn.LET(
      _xlpm.result,
      IFERROR(
         _xlfn.XLOOKUP(
            1,
            (Table8[رقم الصنف]=A863) *
            (IF($B$9="الكل",1, YEAR('ادخال البيانات'!$N$3:$N$1164)=VALUE($B$9))) *
            (IF($B$10="الكل",1, MONTH('ادخال البيانات'!$N$3:$N$1164)=VALUE($B$10))) *
            (IF($B$11="الكل",1, INT((DAY('ادخال البيانات'!$N$3:$N$1164)-1)/7)+1 = VALUE($B$11))),
            'ادخال البيانات'!$E$3:$E$1164
         ),
         ""
      ),
      IF(_xlpm.result="", "", _xlpm.result)
   )
)</f>
        <v/>
      </c>
      <c r="F863" s="27" t="str" cm="1">
        <f t="array" ref="F863">IF(
   A863="",
   "",
   _xlfn.LET(
      _xlpm.result,
      IFERROR(
         _xlfn.XLOOKUP(
            1,
            (Table8[رقم الصنف]=A863) *
            (IF($B$9="الكل",1, YEAR('ادخال البيانات'!$N$3:$N$1164) = VALUE($B$9))) *
            (IF($B$10="الكل",1, MONTH('ادخال البيانات'!$N$3:$N$1164) = VALUE($B$10))) *
            (IF($B$11="الكل",1, INT((DAY('ادخال البيانات'!$N$3:$N$1164)-1)/7)+1 = VALUE($B$11))),
            'ادخال البيانات'!$F$3:$F$1164
         ),
         ""
      ),
      IF(_xlpm.result="", "", _xlpm.result)
   )
)</f>
        <v/>
      </c>
      <c r="G863" s="27" t="str" cm="1">
        <f t="array" ref="G863">IF(
   A863="",
   "",
   _xlfn.LET(
      _xlpm.result,
      IFERROR(
         _xlfn.XLOOKUP(
            1,
            (Table8[رقم الصنف]=A863) *
            (IF($B$9="الكل",1, YEAR('ادخال البيانات'!$N$3:$N$1164)=VALUE($B$9))) *
            (IF($B$10="الكل",1, MONTH('ادخال البيانات'!$N$3:$N$1164)=VALUE($B$10))) *
            (IF($B$11="الكل",1, INT((DAY('ادخال البيانات'!$N$3:$N$1164)-1)/7)+1 = VALUE($B$11))),
            'ادخال البيانات'!$G$3:$G$1164
         ),
         ""
      ),
      IF(_xlpm.result="", "", _xlpm.result)
   )
)</f>
        <v/>
      </c>
      <c r="H863" s="27" t="str" cm="1">
        <f t="array" ref="H863">IF(
   A863="",
   "",
   _xlfn.LET(
      _xlpm.result,
      IFERROR(
         _xlfn.XLOOKUP(
            1,
            (Table8[رقم الصنف]=A863) *
            (IF($B$9="الكل",1, YEAR('ادخال البيانات'!$N$3:$N$1164)=VALUE($B$9))) *
            (IF($B$10="الكل",1, MONTH('ادخال البيانات'!$N$3:$N$1164)=VALUE($B$10))) *
            (IF($B$11="الكل",1, INT((DAY('ادخال البيانات'!$N$3:$N$1164)-1)/7)+1 = VALUE($B$11))),
            'ادخال البيانات'!$H$3:$H$1164
         ),
         ""
      ),
      IF(_xlpm.result="", "", _xlpm.result)
   )
)</f>
        <v/>
      </c>
      <c r="I863" s="27" t="str" cm="1">
        <f t="array" ref="I863">IF(
   A863="",
   "",
   _xlfn.LET(
      _xlpm.result,
      IFERROR(
         _xlfn.XLOOKUP(
            1,
            (Table8[رقم الصنف]=A863) *
            (IF($B$9="الكل",1, YEAR('ادخال البيانات'!$N$3:$N$1164)=VALUE($B$9))) *
            (IF($B$10="الكل",1, MONTH('ادخال البيانات'!$N$3:$N$1164)=VALUE($B$10))) *
            (IF($B$11="الكل",1, INT((DAY('ادخال البيانات'!$N$3:$N$1164)-1)/7)+1 = VALUE($B$11))),
            'ادخال البيانات'!$I$3:$I$1164
         ),
         ""
      ),
      IF(_xlpm.result="", "", _xlpm.result)
   )
)</f>
        <v/>
      </c>
      <c r="J863" s="27" t="str" cm="1">
        <f t="array" ref="J863">IF(
   A863="",
   "",
   _xlfn.LET(
      _xlpm.result,
      IFERROR(
         _xlfn.XLOOKUP(
            1,
            (Table8[رقم الصنف]=A863) *
            (IF($B$9="الكل",1, YEAR('ادخال البيانات'!$N$3:$N$1164)=VALUE($B$9))) *
            (IF($B$10="الكل",1, MONTH('ادخال البيانات'!$N$3:$N$1164)=VALUE($B$10))) *
            (IF($B$11="الكل",1, INT((DAY('ادخال البيانات'!$N$3:$N$1164)-1)/7)+1 = VALUE($B$11))),
            'ادخال البيانات'!$J$3:$J$1164
         ),
         ""
      ),
      IF(_xlpm.result="", "", _xlpm.result)
   )
)</f>
        <v/>
      </c>
      <c r="K863" s="27" t="str" cm="1">
        <f t="array" ref="K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3" s="27" t="str" cm="1">
        <f t="array" ref="L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3" s="27" t="str" cm="1">
        <f t="array" ref="M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3" s="28" t="str" cm="1">
        <f t="array" ref="N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3" s="28" t="str" cm="1">
        <f t="array" ref="O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3" s="27" t="str" cm="1">
        <f t="array" ref="P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Table8[جهة العطل]
         ),
         ""
      ),
      IF(_xlpm.result="", "", _xlpm.result)
   )
)</f>
        <v/>
      </c>
      <c r="Q863" s="27" t="str" cm="1">
        <f t="array" ref="Q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Table8[المركز]
         ),
         ""
      ),
      IF(_xlpm.result="", "", _xlpm.result)
   )
)</f>
        <v/>
      </c>
      <c r="R863" s="27" t="str" cm="1">
        <f t="array" ref="R863">IF(
   A863="",
   "",
   _xlfn.LET(
      _xlpm.result,
      IFERROR(
         _xlfn.XLOOKUP(
            1,
            (Table8[رقم الصنف]=A863) *
            (IF($B$9="الكل",1, YEAR('ادخال البيانات'!$N$3:$N$1164) = VALUE($B$9))) *
            (IF($B$10="الكل",1, MONTH('ادخال البيانات'!$N$3:$N$1164) = VALUE($B$10))) *
            (IF($B$11="الكل",1, INT((DAY('ادخال البيانات'!$N$3:$N$1164) - 1) / 7) + 1 = VALUE($B$11))),
            Table8[ملاحظة]
         ),
         ""
      ),
      IF(_xlpm.result="", "", _xlpm.result)
   )
)</f>
        <v/>
      </c>
      <c r="S863" s="46" t="str">
        <f t="shared" ca="1" si="14"/>
        <v/>
      </c>
    </row>
    <row r="864" spans="1:19" ht="15.6" thickTop="1" thickBot="1" x14ac:dyDescent="0.35">
      <c r="A864" s="39"/>
      <c r="B864" s="27" t="str" cm="1">
        <f t="array" ref="B864">IF(
   OR(A864="", $B$9="", $B$10="", $B$11=""),
   "",
   _xlfn.LET(
      _xlpm.result,
      IFERROR(
         _xlfn.XLOOKUP(
            1,
            (Table8[رقم الصنف]=A864)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4" s="27" t="str" cm="1">
        <f t="array" ref="C864">IF(
   A864="",
   "",
   _xlfn.LET(
      _xlpm.result,
      IFERROR(
         _xlfn.XLOOKUP(
            1,
            (Table8[رقم الصنف]=A864) *
            (IF($B$9="الكل",1, YEAR('ادخال البيانات'!$N$3:$N$1164) = VALUE($B$9))) *
            (IF($B$10="الكل",1, MONTH('ادخال البيانات'!$N$3:$N$1164) = VALUE($B$10))) *
            (IF($B$11="الكل",1, INT((DAY('ادخال البيانات'!$N$3:$N$1164)-1)/7)+1 = VALUE($B$11))),
            'ادخال البيانات'!$C$3:$C$1164
         ),
         ""
      ),
      IF(_xlpm.result="", "", _xlpm.result)
   )
)</f>
        <v/>
      </c>
      <c r="D864" s="27" t="str" cm="1">
        <f t="array" ref="D864">IF(
   OR(A864="", $B$9="", $B$10="", $B$11=""),
   "",
   _xlfn.LET(
      _xlpm.result,
      IFERROR(
         _xlfn.XLOOKUP(
            1,
            (Table8[رقم الصنف]=A864) *
            (IF($B$9="الكل",1, YEAR('ادخال البيانات'!$N$3:$N$1164)=VALUE($B$9))) *
            (IF($B$10="الكل",1, MONTH('ادخال البيانات'!$N$3:$N$1164)=VALUE($B$10))) *
            (IF($B$11="الكل",1, INT((DAY('ادخال البيانات'!$N$3:$N$1164)-1)/7)+1 = VALUE($B$11))),
            'ادخال البيانات'!$D$3:$D$1164
         ),
         ""
      ),
      IF(_xlpm.result="", "", _xlpm.result)
   )
)</f>
        <v/>
      </c>
      <c r="E864" s="27" t="str" cm="1">
        <f t="array" ref="E864">IF(
   A864="",
   "",
   _xlfn.LET(
      _xlpm.result,
      IFERROR(
         _xlfn.XLOOKUP(
            1,
            (Table8[رقم الصنف]=A864) *
            (IF($B$9="الكل",1, YEAR('ادخال البيانات'!$N$3:$N$1164)=VALUE($B$9))) *
            (IF($B$10="الكل",1, MONTH('ادخال البيانات'!$N$3:$N$1164)=VALUE($B$10))) *
            (IF($B$11="الكل",1, INT((DAY('ادخال البيانات'!$N$3:$N$1164)-1)/7)+1 = VALUE($B$11))),
            'ادخال البيانات'!$E$3:$E$1164
         ),
         ""
      ),
      IF(_xlpm.result="", "", _xlpm.result)
   )
)</f>
        <v/>
      </c>
      <c r="F864" s="27" t="str" cm="1">
        <f t="array" ref="F864">IF(
   A864="",
   "",
   _xlfn.LET(
      _xlpm.result,
      IFERROR(
         _xlfn.XLOOKUP(
            1,
            (Table8[رقم الصنف]=A864) *
            (IF($B$9="الكل",1, YEAR('ادخال البيانات'!$N$3:$N$1164) = VALUE($B$9))) *
            (IF($B$10="الكل",1, MONTH('ادخال البيانات'!$N$3:$N$1164) = VALUE($B$10))) *
            (IF($B$11="الكل",1, INT((DAY('ادخال البيانات'!$N$3:$N$1164)-1)/7)+1 = VALUE($B$11))),
            'ادخال البيانات'!$F$3:$F$1164
         ),
         ""
      ),
      IF(_xlpm.result="", "", _xlpm.result)
   )
)</f>
        <v/>
      </c>
      <c r="G864" s="27" t="str" cm="1">
        <f t="array" ref="G864">IF(
   A864="",
   "",
   _xlfn.LET(
      _xlpm.result,
      IFERROR(
         _xlfn.XLOOKUP(
            1,
            (Table8[رقم الصنف]=A864) *
            (IF($B$9="الكل",1, YEAR('ادخال البيانات'!$N$3:$N$1164)=VALUE($B$9))) *
            (IF($B$10="الكل",1, MONTH('ادخال البيانات'!$N$3:$N$1164)=VALUE($B$10))) *
            (IF($B$11="الكل",1, INT((DAY('ادخال البيانات'!$N$3:$N$1164)-1)/7)+1 = VALUE($B$11))),
            'ادخال البيانات'!$G$3:$G$1164
         ),
         ""
      ),
      IF(_xlpm.result="", "", _xlpm.result)
   )
)</f>
        <v/>
      </c>
      <c r="H864" s="27" t="str" cm="1">
        <f t="array" ref="H864">IF(
   A864="",
   "",
   _xlfn.LET(
      _xlpm.result,
      IFERROR(
         _xlfn.XLOOKUP(
            1,
            (Table8[رقم الصنف]=A864) *
            (IF($B$9="الكل",1, YEAR('ادخال البيانات'!$N$3:$N$1164)=VALUE($B$9))) *
            (IF($B$10="الكل",1, MONTH('ادخال البيانات'!$N$3:$N$1164)=VALUE($B$10))) *
            (IF($B$11="الكل",1, INT((DAY('ادخال البيانات'!$N$3:$N$1164)-1)/7)+1 = VALUE($B$11))),
            'ادخال البيانات'!$H$3:$H$1164
         ),
         ""
      ),
      IF(_xlpm.result="", "", _xlpm.result)
   )
)</f>
        <v/>
      </c>
      <c r="I864" s="27" t="str" cm="1">
        <f t="array" ref="I864">IF(
   A864="",
   "",
   _xlfn.LET(
      _xlpm.result,
      IFERROR(
         _xlfn.XLOOKUP(
            1,
            (Table8[رقم الصنف]=A864) *
            (IF($B$9="الكل",1, YEAR('ادخال البيانات'!$N$3:$N$1164)=VALUE($B$9))) *
            (IF($B$10="الكل",1, MONTH('ادخال البيانات'!$N$3:$N$1164)=VALUE($B$10))) *
            (IF($B$11="الكل",1, INT((DAY('ادخال البيانات'!$N$3:$N$1164)-1)/7)+1 = VALUE($B$11))),
            'ادخال البيانات'!$I$3:$I$1164
         ),
         ""
      ),
      IF(_xlpm.result="", "", _xlpm.result)
   )
)</f>
        <v/>
      </c>
      <c r="J864" s="27" t="str" cm="1">
        <f t="array" ref="J864">IF(
   A864="",
   "",
   _xlfn.LET(
      _xlpm.result,
      IFERROR(
         _xlfn.XLOOKUP(
            1,
            (Table8[رقم الصنف]=A864) *
            (IF($B$9="الكل",1, YEAR('ادخال البيانات'!$N$3:$N$1164)=VALUE($B$9))) *
            (IF($B$10="الكل",1, MONTH('ادخال البيانات'!$N$3:$N$1164)=VALUE($B$10))) *
            (IF($B$11="الكل",1, INT((DAY('ادخال البيانات'!$N$3:$N$1164)-1)/7)+1 = VALUE($B$11))),
            'ادخال البيانات'!$J$3:$J$1164
         ),
         ""
      ),
      IF(_xlpm.result="", "", _xlpm.result)
   )
)</f>
        <v/>
      </c>
      <c r="K864" s="27" t="str" cm="1">
        <f t="array" ref="K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4" s="27" t="str" cm="1">
        <f t="array" ref="L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4" s="27" t="str" cm="1">
        <f t="array" ref="M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4" s="28" t="str" cm="1">
        <f t="array" ref="N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4" s="28" t="str" cm="1">
        <f t="array" ref="O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4" s="27" t="str" cm="1">
        <f t="array" ref="P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Table8[جهة العطل]
         ),
         ""
      ),
      IF(_xlpm.result="", "", _xlpm.result)
   )
)</f>
        <v/>
      </c>
      <c r="Q864" s="27" t="str" cm="1">
        <f t="array" ref="Q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Table8[المركز]
         ),
         ""
      ),
      IF(_xlpm.result="", "", _xlpm.result)
   )
)</f>
        <v/>
      </c>
      <c r="R864" s="27" t="str" cm="1">
        <f t="array" ref="R864">IF(
   A864="",
   "",
   _xlfn.LET(
      _xlpm.result,
      IFERROR(
         _xlfn.XLOOKUP(
            1,
            (Table8[رقم الصنف]=A864) *
            (IF($B$9="الكل",1, YEAR('ادخال البيانات'!$N$3:$N$1164) = VALUE($B$9))) *
            (IF($B$10="الكل",1, MONTH('ادخال البيانات'!$N$3:$N$1164) = VALUE($B$10))) *
            (IF($B$11="الكل",1, INT((DAY('ادخال البيانات'!$N$3:$N$1164) - 1) / 7) + 1 = VALUE($B$11))),
            Table8[ملاحظة]
         ),
         ""
      ),
      IF(_xlpm.result="", "", _xlpm.result)
   )
)</f>
        <v/>
      </c>
      <c r="S864" s="46" t="str">
        <f t="shared" ca="1" si="14"/>
        <v/>
      </c>
    </row>
    <row r="865" spans="1:19" ht="15.6" thickTop="1" thickBot="1" x14ac:dyDescent="0.35">
      <c r="A865" s="39"/>
      <c r="B865" s="27" t="str" cm="1">
        <f t="array" ref="B865">IF(
   OR(A865="", $B$9="", $B$10="", $B$11=""),
   "",
   _xlfn.LET(
      _xlpm.result,
      IFERROR(
         _xlfn.XLOOKUP(
            1,
            (Table8[رقم الصنف]=A865)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5" s="27" t="str" cm="1">
        <f t="array" ref="C865">IF(
   A865="",
   "",
   _xlfn.LET(
      _xlpm.result,
      IFERROR(
         _xlfn.XLOOKUP(
            1,
            (Table8[رقم الصنف]=A865) *
            (IF($B$9="الكل",1, YEAR('ادخال البيانات'!$N$3:$N$1164) = VALUE($B$9))) *
            (IF($B$10="الكل",1, MONTH('ادخال البيانات'!$N$3:$N$1164) = VALUE($B$10))) *
            (IF($B$11="الكل",1, INT((DAY('ادخال البيانات'!$N$3:$N$1164)-1)/7)+1 = VALUE($B$11))),
            'ادخال البيانات'!$C$3:$C$1164
         ),
         ""
      ),
      IF(_xlpm.result="", "", _xlpm.result)
   )
)</f>
        <v/>
      </c>
      <c r="D865" s="27" t="str" cm="1">
        <f t="array" ref="D865">IF(
   OR(A865="", $B$9="", $B$10="", $B$11=""),
   "",
   _xlfn.LET(
      _xlpm.result,
      IFERROR(
         _xlfn.XLOOKUP(
            1,
            (Table8[رقم الصنف]=A865) *
            (IF($B$9="الكل",1, YEAR('ادخال البيانات'!$N$3:$N$1164)=VALUE($B$9))) *
            (IF($B$10="الكل",1, MONTH('ادخال البيانات'!$N$3:$N$1164)=VALUE($B$10))) *
            (IF($B$11="الكل",1, INT((DAY('ادخال البيانات'!$N$3:$N$1164)-1)/7)+1 = VALUE($B$11))),
            'ادخال البيانات'!$D$3:$D$1164
         ),
         ""
      ),
      IF(_xlpm.result="", "", _xlpm.result)
   )
)</f>
        <v/>
      </c>
      <c r="E865" s="27" t="str" cm="1">
        <f t="array" ref="E865">IF(
   A865="",
   "",
   _xlfn.LET(
      _xlpm.result,
      IFERROR(
         _xlfn.XLOOKUP(
            1,
            (Table8[رقم الصنف]=A865) *
            (IF($B$9="الكل",1, YEAR('ادخال البيانات'!$N$3:$N$1164)=VALUE($B$9))) *
            (IF($B$10="الكل",1, MONTH('ادخال البيانات'!$N$3:$N$1164)=VALUE($B$10))) *
            (IF($B$11="الكل",1, INT((DAY('ادخال البيانات'!$N$3:$N$1164)-1)/7)+1 = VALUE($B$11))),
            'ادخال البيانات'!$E$3:$E$1164
         ),
         ""
      ),
      IF(_xlpm.result="", "", _xlpm.result)
   )
)</f>
        <v/>
      </c>
      <c r="F865" s="27" t="str" cm="1">
        <f t="array" ref="F865">IF(
   A865="",
   "",
   _xlfn.LET(
      _xlpm.result,
      IFERROR(
         _xlfn.XLOOKUP(
            1,
            (Table8[رقم الصنف]=A865) *
            (IF($B$9="الكل",1, YEAR('ادخال البيانات'!$N$3:$N$1164) = VALUE($B$9))) *
            (IF($B$10="الكل",1, MONTH('ادخال البيانات'!$N$3:$N$1164) = VALUE($B$10))) *
            (IF($B$11="الكل",1, INT((DAY('ادخال البيانات'!$N$3:$N$1164)-1)/7)+1 = VALUE($B$11))),
            'ادخال البيانات'!$F$3:$F$1164
         ),
         ""
      ),
      IF(_xlpm.result="", "", _xlpm.result)
   )
)</f>
        <v/>
      </c>
      <c r="G865" s="27" t="str" cm="1">
        <f t="array" ref="G865">IF(
   A865="",
   "",
   _xlfn.LET(
      _xlpm.result,
      IFERROR(
         _xlfn.XLOOKUP(
            1,
            (Table8[رقم الصنف]=A865) *
            (IF($B$9="الكل",1, YEAR('ادخال البيانات'!$N$3:$N$1164)=VALUE($B$9))) *
            (IF($B$10="الكل",1, MONTH('ادخال البيانات'!$N$3:$N$1164)=VALUE($B$10))) *
            (IF($B$11="الكل",1, INT((DAY('ادخال البيانات'!$N$3:$N$1164)-1)/7)+1 = VALUE($B$11))),
            'ادخال البيانات'!$G$3:$G$1164
         ),
         ""
      ),
      IF(_xlpm.result="", "", _xlpm.result)
   )
)</f>
        <v/>
      </c>
      <c r="H865" s="27" t="str" cm="1">
        <f t="array" ref="H865">IF(
   A865="",
   "",
   _xlfn.LET(
      _xlpm.result,
      IFERROR(
         _xlfn.XLOOKUP(
            1,
            (Table8[رقم الصنف]=A865) *
            (IF($B$9="الكل",1, YEAR('ادخال البيانات'!$N$3:$N$1164)=VALUE($B$9))) *
            (IF($B$10="الكل",1, MONTH('ادخال البيانات'!$N$3:$N$1164)=VALUE($B$10))) *
            (IF($B$11="الكل",1, INT((DAY('ادخال البيانات'!$N$3:$N$1164)-1)/7)+1 = VALUE($B$11))),
            'ادخال البيانات'!$H$3:$H$1164
         ),
         ""
      ),
      IF(_xlpm.result="", "", _xlpm.result)
   )
)</f>
        <v/>
      </c>
      <c r="I865" s="27" t="str" cm="1">
        <f t="array" ref="I865">IF(
   A865="",
   "",
   _xlfn.LET(
      _xlpm.result,
      IFERROR(
         _xlfn.XLOOKUP(
            1,
            (Table8[رقم الصنف]=A865) *
            (IF($B$9="الكل",1, YEAR('ادخال البيانات'!$N$3:$N$1164)=VALUE($B$9))) *
            (IF($B$10="الكل",1, MONTH('ادخال البيانات'!$N$3:$N$1164)=VALUE($B$10))) *
            (IF($B$11="الكل",1, INT((DAY('ادخال البيانات'!$N$3:$N$1164)-1)/7)+1 = VALUE($B$11))),
            'ادخال البيانات'!$I$3:$I$1164
         ),
         ""
      ),
      IF(_xlpm.result="", "", _xlpm.result)
   )
)</f>
        <v/>
      </c>
      <c r="J865" s="27" t="str" cm="1">
        <f t="array" ref="J865">IF(
   A865="",
   "",
   _xlfn.LET(
      _xlpm.result,
      IFERROR(
         _xlfn.XLOOKUP(
            1,
            (Table8[رقم الصنف]=A865) *
            (IF($B$9="الكل",1, YEAR('ادخال البيانات'!$N$3:$N$1164)=VALUE($B$9))) *
            (IF($B$10="الكل",1, MONTH('ادخال البيانات'!$N$3:$N$1164)=VALUE($B$10))) *
            (IF($B$11="الكل",1, INT((DAY('ادخال البيانات'!$N$3:$N$1164)-1)/7)+1 = VALUE($B$11))),
            'ادخال البيانات'!$J$3:$J$1164
         ),
         ""
      ),
      IF(_xlpm.result="", "", _xlpm.result)
   )
)</f>
        <v/>
      </c>
      <c r="K865" s="27" t="str" cm="1">
        <f t="array" ref="K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5" s="27" t="str" cm="1">
        <f t="array" ref="L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5" s="27" t="str" cm="1">
        <f t="array" ref="M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5" s="28" t="str" cm="1">
        <f t="array" ref="N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5" s="28" t="str" cm="1">
        <f t="array" ref="O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5" s="27" t="str" cm="1">
        <f t="array" ref="P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Table8[جهة العطل]
         ),
         ""
      ),
      IF(_xlpm.result="", "", _xlpm.result)
   )
)</f>
        <v/>
      </c>
      <c r="Q865" s="27" t="str" cm="1">
        <f t="array" ref="Q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Table8[المركز]
         ),
         ""
      ),
      IF(_xlpm.result="", "", _xlpm.result)
   )
)</f>
        <v/>
      </c>
      <c r="R865" s="27" t="str" cm="1">
        <f t="array" ref="R865">IF(
   A865="",
   "",
   _xlfn.LET(
      _xlpm.result,
      IFERROR(
         _xlfn.XLOOKUP(
            1,
            (Table8[رقم الصنف]=A865) *
            (IF($B$9="الكل",1, YEAR('ادخال البيانات'!$N$3:$N$1164) = VALUE($B$9))) *
            (IF($B$10="الكل",1, MONTH('ادخال البيانات'!$N$3:$N$1164) = VALUE($B$10))) *
            (IF($B$11="الكل",1, INT((DAY('ادخال البيانات'!$N$3:$N$1164) - 1) / 7) + 1 = VALUE($B$11))),
            Table8[ملاحظة]
         ),
         ""
      ),
      IF(_xlpm.result="", "", _xlpm.result)
   )
)</f>
        <v/>
      </c>
      <c r="S865" s="46" t="str">
        <f t="shared" ca="1" si="14"/>
        <v/>
      </c>
    </row>
    <row r="866" spans="1:19" ht="15.6" thickTop="1" thickBot="1" x14ac:dyDescent="0.35">
      <c r="A866" s="39"/>
      <c r="B866" s="27" t="str" cm="1">
        <f t="array" ref="B866">IF(
   OR(A866="", $B$9="", $B$10="", $B$11=""),
   "",
   _xlfn.LET(
      _xlpm.result,
      IFERROR(
         _xlfn.XLOOKUP(
            1,
            (Table8[رقم الصنف]=A866)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6" s="27" t="str" cm="1">
        <f t="array" ref="C866">IF(
   A866="",
   "",
   _xlfn.LET(
      _xlpm.result,
      IFERROR(
         _xlfn.XLOOKUP(
            1,
            (Table8[رقم الصنف]=A866) *
            (IF($B$9="الكل",1, YEAR('ادخال البيانات'!$N$3:$N$1164) = VALUE($B$9))) *
            (IF($B$10="الكل",1, MONTH('ادخال البيانات'!$N$3:$N$1164) = VALUE($B$10))) *
            (IF($B$11="الكل",1, INT((DAY('ادخال البيانات'!$N$3:$N$1164)-1)/7)+1 = VALUE($B$11))),
            'ادخال البيانات'!$C$3:$C$1164
         ),
         ""
      ),
      IF(_xlpm.result="", "", _xlpm.result)
   )
)</f>
        <v/>
      </c>
      <c r="D866" s="27" t="str" cm="1">
        <f t="array" ref="D866">IF(
   OR(A866="", $B$9="", $B$10="", $B$11=""),
   "",
   _xlfn.LET(
      _xlpm.result,
      IFERROR(
         _xlfn.XLOOKUP(
            1,
            (Table8[رقم الصنف]=A866) *
            (IF($B$9="الكل",1, YEAR('ادخال البيانات'!$N$3:$N$1164)=VALUE($B$9))) *
            (IF($B$10="الكل",1, MONTH('ادخال البيانات'!$N$3:$N$1164)=VALUE($B$10))) *
            (IF($B$11="الكل",1, INT((DAY('ادخال البيانات'!$N$3:$N$1164)-1)/7)+1 = VALUE($B$11))),
            'ادخال البيانات'!$D$3:$D$1164
         ),
         ""
      ),
      IF(_xlpm.result="", "", _xlpm.result)
   )
)</f>
        <v/>
      </c>
      <c r="E866" s="27" t="str" cm="1">
        <f t="array" ref="E866">IF(
   A866="",
   "",
   _xlfn.LET(
      _xlpm.result,
      IFERROR(
         _xlfn.XLOOKUP(
            1,
            (Table8[رقم الصنف]=A866) *
            (IF($B$9="الكل",1, YEAR('ادخال البيانات'!$N$3:$N$1164)=VALUE($B$9))) *
            (IF($B$10="الكل",1, MONTH('ادخال البيانات'!$N$3:$N$1164)=VALUE($B$10))) *
            (IF($B$11="الكل",1, INT((DAY('ادخال البيانات'!$N$3:$N$1164)-1)/7)+1 = VALUE($B$11))),
            'ادخال البيانات'!$E$3:$E$1164
         ),
         ""
      ),
      IF(_xlpm.result="", "", _xlpm.result)
   )
)</f>
        <v/>
      </c>
      <c r="F866" s="27" t="str" cm="1">
        <f t="array" ref="F866">IF(
   A866="",
   "",
   _xlfn.LET(
      _xlpm.result,
      IFERROR(
         _xlfn.XLOOKUP(
            1,
            (Table8[رقم الصنف]=A866) *
            (IF($B$9="الكل",1, YEAR('ادخال البيانات'!$N$3:$N$1164) = VALUE($B$9))) *
            (IF($B$10="الكل",1, MONTH('ادخال البيانات'!$N$3:$N$1164) = VALUE($B$10))) *
            (IF($B$11="الكل",1, INT((DAY('ادخال البيانات'!$N$3:$N$1164)-1)/7)+1 = VALUE($B$11))),
            'ادخال البيانات'!$F$3:$F$1164
         ),
         ""
      ),
      IF(_xlpm.result="", "", _xlpm.result)
   )
)</f>
        <v/>
      </c>
      <c r="G866" s="27" t="str" cm="1">
        <f t="array" ref="G866">IF(
   A866="",
   "",
   _xlfn.LET(
      _xlpm.result,
      IFERROR(
         _xlfn.XLOOKUP(
            1,
            (Table8[رقم الصنف]=A866) *
            (IF($B$9="الكل",1, YEAR('ادخال البيانات'!$N$3:$N$1164)=VALUE($B$9))) *
            (IF($B$10="الكل",1, MONTH('ادخال البيانات'!$N$3:$N$1164)=VALUE($B$10))) *
            (IF($B$11="الكل",1, INT((DAY('ادخال البيانات'!$N$3:$N$1164)-1)/7)+1 = VALUE($B$11))),
            'ادخال البيانات'!$G$3:$G$1164
         ),
         ""
      ),
      IF(_xlpm.result="", "", _xlpm.result)
   )
)</f>
        <v/>
      </c>
      <c r="H866" s="27" t="str" cm="1">
        <f t="array" ref="H866">IF(
   A866="",
   "",
   _xlfn.LET(
      _xlpm.result,
      IFERROR(
         _xlfn.XLOOKUP(
            1,
            (Table8[رقم الصنف]=A866) *
            (IF($B$9="الكل",1, YEAR('ادخال البيانات'!$N$3:$N$1164)=VALUE($B$9))) *
            (IF($B$10="الكل",1, MONTH('ادخال البيانات'!$N$3:$N$1164)=VALUE($B$10))) *
            (IF($B$11="الكل",1, INT((DAY('ادخال البيانات'!$N$3:$N$1164)-1)/7)+1 = VALUE($B$11))),
            'ادخال البيانات'!$H$3:$H$1164
         ),
         ""
      ),
      IF(_xlpm.result="", "", _xlpm.result)
   )
)</f>
        <v/>
      </c>
      <c r="I866" s="27" t="str" cm="1">
        <f t="array" ref="I866">IF(
   A866="",
   "",
   _xlfn.LET(
      _xlpm.result,
      IFERROR(
         _xlfn.XLOOKUP(
            1,
            (Table8[رقم الصنف]=A866) *
            (IF($B$9="الكل",1, YEAR('ادخال البيانات'!$N$3:$N$1164)=VALUE($B$9))) *
            (IF($B$10="الكل",1, MONTH('ادخال البيانات'!$N$3:$N$1164)=VALUE($B$10))) *
            (IF($B$11="الكل",1, INT((DAY('ادخال البيانات'!$N$3:$N$1164)-1)/7)+1 = VALUE($B$11))),
            'ادخال البيانات'!$I$3:$I$1164
         ),
         ""
      ),
      IF(_xlpm.result="", "", _xlpm.result)
   )
)</f>
        <v/>
      </c>
      <c r="J866" s="27" t="str" cm="1">
        <f t="array" ref="J866">IF(
   A866="",
   "",
   _xlfn.LET(
      _xlpm.result,
      IFERROR(
         _xlfn.XLOOKUP(
            1,
            (Table8[رقم الصنف]=A866) *
            (IF($B$9="الكل",1, YEAR('ادخال البيانات'!$N$3:$N$1164)=VALUE($B$9))) *
            (IF($B$10="الكل",1, MONTH('ادخال البيانات'!$N$3:$N$1164)=VALUE($B$10))) *
            (IF($B$11="الكل",1, INT((DAY('ادخال البيانات'!$N$3:$N$1164)-1)/7)+1 = VALUE($B$11))),
            'ادخال البيانات'!$J$3:$J$1164
         ),
         ""
      ),
      IF(_xlpm.result="", "", _xlpm.result)
   )
)</f>
        <v/>
      </c>
      <c r="K866" s="27" t="str" cm="1">
        <f t="array" ref="K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6" s="27" t="str" cm="1">
        <f t="array" ref="L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6" s="27" t="str" cm="1">
        <f t="array" ref="M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6" s="28" t="str" cm="1">
        <f t="array" ref="N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6" s="28" t="str" cm="1">
        <f t="array" ref="O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6" s="27" t="str" cm="1">
        <f t="array" ref="P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Table8[جهة العطل]
         ),
         ""
      ),
      IF(_xlpm.result="", "", _xlpm.result)
   )
)</f>
        <v/>
      </c>
      <c r="Q866" s="27" t="str" cm="1">
        <f t="array" ref="Q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Table8[المركز]
         ),
         ""
      ),
      IF(_xlpm.result="", "", _xlpm.result)
   )
)</f>
        <v/>
      </c>
      <c r="R866" s="27" t="str" cm="1">
        <f t="array" ref="R866">IF(
   A866="",
   "",
   _xlfn.LET(
      _xlpm.result,
      IFERROR(
         _xlfn.XLOOKUP(
            1,
            (Table8[رقم الصنف]=A866) *
            (IF($B$9="الكل",1, YEAR('ادخال البيانات'!$N$3:$N$1164) = VALUE($B$9))) *
            (IF($B$10="الكل",1, MONTH('ادخال البيانات'!$N$3:$N$1164) = VALUE($B$10))) *
            (IF($B$11="الكل",1, INT((DAY('ادخال البيانات'!$N$3:$N$1164) - 1) / 7) + 1 = VALUE($B$11))),
            Table8[ملاحظة]
         ),
         ""
      ),
      IF(_xlpm.result="", "", _xlpm.result)
   )
)</f>
        <v/>
      </c>
      <c r="S866" s="46" t="str">
        <f t="shared" ca="1" si="14"/>
        <v/>
      </c>
    </row>
    <row r="867" spans="1:19" ht="15.6" thickTop="1" thickBot="1" x14ac:dyDescent="0.35">
      <c r="A867" s="39"/>
      <c r="B867" s="27" t="str" cm="1">
        <f t="array" ref="B867">IF(
   OR(A867="", $B$9="", $B$10="", $B$11=""),
   "",
   _xlfn.LET(
      _xlpm.result,
      IFERROR(
         _xlfn.XLOOKUP(
            1,
            (Table8[رقم الصنف]=A867)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7" s="27" t="str" cm="1">
        <f t="array" ref="C867">IF(
   A867="",
   "",
   _xlfn.LET(
      _xlpm.result,
      IFERROR(
         _xlfn.XLOOKUP(
            1,
            (Table8[رقم الصنف]=A867) *
            (IF($B$9="الكل",1, YEAR('ادخال البيانات'!$N$3:$N$1164) = VALUE($B$9))) *
            (IF($B$10="الكل",1, MONTH('ادخال البيانات'!$N$3:$N$1164) = VALUE($B$10))) *
            (IF($B$11="الكل",1, INT((DAY('ادخال البيانات'!$N$3:$N$1164)-1)/7)+1 = VALUE($B$11))),
            'ادخال البيانات'!$C$3:$C$1164
         ),
         ""
      ),
      IF(_xlpm.result="", "", _xlpm.result)
   )
)</f>
        <v/>
      </c>
      <c r="D867" s="27" t="str" cm="1">
        <f t="array" ref="D867">IF(
   OR(A867="", $B$9="", $B$10="", $B$11=""),
   "",
   _xlfn.LET(
      _xlpm.result,
      IFERROR(
         _xlfn.XLOOKUP(
            1,
            (Table8[رقم الصنف]=A867) *
            (IF($B$9="الكل",1, YEAR('ادخال البيانات'!$N$3:$N$1164)=VALUE($B$9))) *
            (IF($B$10="الكل",1, MONTH('ادخال البيانات'!$N$3:$N$1164)=VALUE($B$10))) *
            (IF($B$11="الكل",1, INT((DAY('ادخال البيانات'!$N$3:$N$1164)-1)/7)+1 = VALUE($B$11))),
            'ادخال البيانات'!$D$3:$D$1164
         ),
         ""
      ),
      IF(_xlpm.result="", "", _xlpm.result)
   )
)</f>
        <v/>
      </c>
      <c r="E867" s="27" t="str" cm="1">
        <f t="array" ref="E867">IF(
   A867="",
   "",
   _xlfn.LET(
      _xlpm.result,
      IFERROR(
         _xlfn.XLOOKUP(
            1,
            (Table8[رقم الصنف]=A867) *
            (IF($B$9="الكل",1, YEAR('ادخال البيانات'!$N$3:$N$1164)=VALUE($B$9))) *
            (IF($B$10="الكل",1, MONTH('ادخال البيانات'!$N$3:$N$1164)=VALUE($B$10))) *
            (IF($B$11="الكل",1, INT((DAY('ادخال البيانات'!$N$3:$N$1164)-1)/7)+1 = VALUE($B$11))),
            'ادخال البيانات'!$E$3:$E$1164
         ),
         ""
      ),
      IF(_xlpm.result="", "", _xlpm.result)
   )
)</f>
        <v/>
      </c>
      <c r="F867" s="27" t="str" cm="1">
        <f t="array" ref="F867">IF(
   A867="",
   "",
   _xlfn.LET(
      _xlpm.result,
      IFERROR(
         _xlfn.XLOOKUP(
            1,
            (Table8[رقم الصنف]=A867) *
            (IF($B$9="الكل",1, YEAR('ادخال البيانات'!$N$3:$N$1164) = VALUE($B$9))) *
            (IF($B$10="الكل",1, MONTH('ادخال البيانات'!$N$3:$N$1164) = VALUE($B$10))) *
            (IF($B$11="الكل",1, INT((DAY('ادخال البيانات'!$N$3:$N$1164)-1)/7)+1 = VALUE($B$11))),
            'ادخال البيانات'!$F$3:$F$1164
         ),
         ""
      ),
      IF(_xlpm.result="", "", _xlpm.result)
   )
)</f>
        <v/>
      </c>
      <c r="G867" s="27" t="str" cm="1">
        <f t="array" ref="G867">IF(
   A867="",
   "",
   _xlfn.LET(
      _xlpm.result,
      IFERROR(
         _xlfn.XLOOKUP(
            1,
            (Table8[رقم الصنف]=A867) *
            (IF($B$9="الكل",1, YEAR('ادخال البيانات'!$N$3:$N$1164)=VALUE($B$9))) *
            (IF($B$10="الكل",1, MONTH('ادخال البيانات'!$N$3:$N$1164)=VALUE($B$10))) *
            (IF($B$11="الكل",1, INT((DAY('ادخال البيانات'!$N$3:$N$1164)-1)/7)+1 = VALUE($B$11))),
            'ادخال البيانات'!$G$3:$G$1164
         ),
         ""
      ),
      IF(_xlpm.result="", "", _xlpm.result)
   )
)</f>
        <v/>
      </c>
      <c r="H867" s="27" t="str" cm="1">
        <f t="array" ref="H867">IF(
   A867="",
   "",
   _xlfn.LET(
      _xlpm.result,
      IFERROR(
         _xlfn.XLOOKUP(
            1,
            (Table8[رقم الصنف]=A867) *
            (IF($B$9="الكل",1, YEAR('ادخال البيانات'!$N$3:$N$1164)=VALUE($B$9))) *
            (IF($B$10="الكل",1, MONTH('ادخال البيانات'!$N$3:$N$1164)=VALUE($B$10))) *
            (IF($B$11="الكل",1, INT((DAY('ادخال البيانات'!$N$3:$N$1164)-1)/7)+1 = VALUE($B$11))),
            'ادخال البيانات'!$H$3:$H$1164
         ),
         ""
      ),
      IF(_xlpm.result="", "", _xlpm.result)
   )
)</f>
        <v/>
      </c>
      <c r="I867" s="27" t="str" cm="1">
        <f t="array" ref="I867">IF(
   A867="",
   "",
   _xlfn.LET(
      _xlpm.result,
      IFERROR(
         _xlfn.XLOOKUP(
            1,
            (Table8[رقم الصنف]=A867) *
            (IF($B$9="الكل",1, YEAR('ادخال البيانات'!$N$3:$N$1164)=VALUE($B$9))) *
            (IF($B$10="الكل",1, MONTH('ادخال البيانات'!$N$3:$N$1164)=VALUE($B$10))) *
            (IF($B$11="الكل",1, INT((DAY('ادخال البيانات'!$N$3:$N$1164)-1)/7)+1 = VALUE($B$11))),
            'ادخال البيانات'!$I$3:$I$1164
         ),
         ""
      ),
      IF(_xlpm.result="", "", _xlpm.result)
   )
)</f>
        <v/>
      </c>
      <c r="J867" s="27" t="str" cm="1">
        <f t="array" ref="J867">IF(
   A867="",
   "",
   _xlfn.LET(
      _xlpm.result,
      IFERROR(
         _xlfn.XLOOKUP(
            1,
            (Table8[رقم الصنف]=A867) *
            (IF($B$9="الكل",1, YEAR('ادخال البيانات'!$N$3:$N$1164)=VALUE($B$9))) *
            (IF($B$10="الكل",1, MONTH('ادخال البيانات'!$N$3:$N$1164)=VALUE($B$10))) *
            (IF($B$11="الكل",1, INT((DAY('ادخال البيانات'!$N$3:$N$1164)-1)/7)+1 = VALUE($B$11))),
            'ادخال البيانات'!$J$3:$J$1164
         ),
         ""
      ),
      IF(_xlpm.result="", "", _xlpm.result)
   )
)</f>
        <v/>
      </c>
      <c r="K867" s="27" t="str" cm="1">
        <f t="array" ref="K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7" s="27" t="str" cm="1">
        <f t="array" ref="L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7" s="27" t="str" cm="1">
        <f t="array" ref="M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7" s="28" t="str" cm="1">
        <f t="array" ref="N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7" s="28" t="str" cm="1">
        <f t="array" ref="O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7" s="27" t="str" cm="1">
        <f t="array" ref="P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Table8[جهة العطل]
         ),
         ""
      ),
      IF(_xlpm.result="", "", _xlpm.result)
   )
)</f>
        <v/>
      </c>
      <c r="Q867" s="27" t="str" cm="1">
        <f t="array" ref="Q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Table8[المركز]
         ),
         ""
      ),
      IF(_xlpm.result="", "", _xlpm.result)
   )
)</f>
        <v/>
      </c>
      <c r="R867" s="27" t="str" cm="1">
        <f t="array" ref="R867">IF(
   A867="",
   "",
   _xlfn.LET(
      _xlpm.result,
      IFERROR(
         _xlfn.XLOOKUP(
            1,
            (Table8[رقم الصنف]=A867) *
            (IF($B$9="الكل",1, YEAR('ادخال البيانات'!$N$3:$N$1164) = VALUE($B$9))) *
            (IF($B$10="الكل",1, MONTH('ادخال البيانات'!$N$3:$N$1164) = VALUE($B$10))) *
            (IF($B$11="الكل",1, INT((DAY('ادخال البيانات'!$N$3:$N$1164) - 1) / 7) + 1 = VALUE($B$11))),
            Table8[ملاحظة]
         ),
         ""
      ),
      IF(_xlpm.result="", "", _xlpm.result)
   )
)</f>
        <v/>
      </c>
      <c r="S867" s="46" t="str">
        <f t="shared" ca="1" si="14"/>
        <v/>
      </c>
    </row>
    <row r="868" spans="1:19" ht="15.6" thickTop="1" thickBot="1" x14ac:dyDescent="0.35">
      <c r="A868" s="39"/>
      <c r="B868" s="27" t="str" cm="1">
        <f t="array" ref="B868">IF(
   OR(A868="", $B$9="", $B$10="", $B$11=""),
   "",
   _xlfn.LET(
      _xlpm.result,
      IFERROR(
         _xlfn.XLOOKUP(
            1,
            (Table8[رقم الصنف]=A868)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8" s="27" t="str" cm="1">
        <f t="array" ref="C868">IF(
   A868="",
   "",
   _xlfn.LET(
      _xlpm.result,
      IFERROR(
         _xlfn.XLOOKUP(
            1,
            (Table8[رقم الصنف]=A868) *
            (IF($B$9="الكل",1, YEAR('ادخال البيانات'!$N$3:$N$1164) = VALUE($B$9))) *
            (IF($B$10="الكل",1, MONTH('ادخال البيانات'!$N$3:$N$1164) = VALUE($B$10))) *
            (IF($B$11="الكل",1, INT((DAY('ادخال البيانات'!$N$3:$N$1164)-1)/7)+1 = VALUE($B$11))),
            'ادخال البيانات'!$C$3:$C$1164
         ),
         ""
      ),
      IF(_xlpm.result="", "", _xlpm.result)
   )
)</f>
        <v/>
      </c>
      <c r="D868" s="27" t="str" cm="1">
        <f t="array" ref="D868">IF(
   OR(A868="", $B$9="", $B$10="", $B$11=""),
   "",
   _xlfn.LET(
      _xlpm.result,
      IFERROR(
         _xlfn.XLOOKUP(
            1,
            (Table8[رقم الصنف]=A868) *
            (IF($B$9="الكل",1, YEAR('ادخال البيانات'!$N$3:$N$1164)=VALUE($B$9))) *
            (IF($B$10="الكل",1, MONTH('ادخال البيانات'!$N$3:$N$1164)=VALUE($B$10))) *
            (IF($B$11="الكل",1, INT((DAY('ادخال البيانات'!$N$3:$N$1164)-1)/7)+1 = VALUE($B$11))),
            'ادخال البيانات'!$D$3:$D$1164
         ),
         ""
      ),
      IF(_xlpm.result="", "", _xlpm.result)
   )
)</f>
        <v/>
      </c>
      <c r="E868" s="27" t="str" cm="1">
        <f t="array" ref="E868">IF(
   A868="",
   "",
   _xlfn.LET(
      _xlpm.result,
      IFERROR(
         _xlfn.XLOOKUP(
            1,
            (Table8[رقم الصنف]=A868) *
            (IF($B$9="الكل",1, YEAR('ادخال البيانات'!$N$3:$N$1164)=VALUE($B$9))) *
            (IF($B$10="الكل",1, MONTH('ادخال البيانات'!$N$3:$N$1164)=VALUE($B$10))) *
            (IF($B$11="الكل",1, INT((DAY('ادخال البيانات'!$N$3:$N$1164)-1)/7)+1 = VALUE($B$11))),
            'ادخال البيانات'!$E$3:$E$1164
         ),
         ""
      ),
      IF(_xlpm.result="", "", _xlpm.result)
   )
)</f>
        <v/>
      </c>
      <c r="F868" s="27" t="str" cm="1">
        <f t="array" ref="F868">IF(
   A868="",
   "",
   _xlfn.LET(
      _xlpm.result,
      IFERROR(
         _xlfn.XLOOKUP(
            1,
            (Table8[رقم الصنف]=A868) *
            (IF($B$9="الكل",1, YEAR('ادخال البيانات'!$N$3:$N$1164) = VALUE($B$9))) *
            (IF($B$10="الكل",1, MONTH('ادخال البيانات'!$N$3:$N$1164) = VALUE($B$10))) *
            (IF($B$11="الكل",1, INT((DAY('ادخال البيانات'!$N$3:$N$1164)-1)/7)+1 = VALUE($B$11))),
            'ادخال البيانات'!$F$3:$F$1164
         ),
         ""
      ),
      IF(_xlpm.result="", "", _xlpm.result)
   )
)</f>
        <v/>
      </c>
      <c r="G868" s="27" t="str" cm="1">
        <f t="array" ref="G868">IF(
   A868="",
   "",
   _xlfn.LET(
      _xlpm.result,
      IFERROR(
         _xlfn.XLOOKUP(
            1,
            (Table8[رقم الصنف]=A868) *
            (IF($B$9="الكل",1, YEAR('ادخال البيانات'!$N$3:$N$1164)=VALUE($B$9))) *
            (IF($B$10="الكل",1, MONTH('ادخال البيانات'!$N$3:$N$1164)=VALUE($B$10))) *
            (IF($B$11="الكل",1, INT((DAY('ادخال البيانات'!$N$3:$N$1164)-1)/7)+1 = VALUE($B$11))),
            'ادخال البيانات'!$G$3:$G$1164
         ),
         ""
      ),
      IF(_xlpm.result="", "", _xlpm.result)
   )
)</f>
        <v/>
      </c>
      <c r="H868" s="27" t="str" cm="1">
        <f t="array" ref="H868">IF(
   A868="",
   "",
   _xlfn.LET(
      _xlpm.result,
      IFERROR(
         _xlfn.XLOOKUP(
            1,
            (Table8[رقم الصنف]=A868) *
            (IF($B$9="الكل",1, YEAR('ادخال البيانات'!$N$3:$N$1164)=VALUE($B$9))) *
            (IF($B$10="الكل",1, MONTH('ادخال البيانات'!$N$3:$N$1164)=VALUE($B$10))) *
            (IF($B$11="الكل",1, INT((DAY('ادخال البيانات'!$N$3:$N$1164)-1)/7)+1 = VALUE($B$11))),
            'ادخال البيانات'!$H$3:$H$1164
         ),
         ""
      ),
      IF(_xlpm.result="", "", _xlpm.result)
   )
)</f>
        <v/>
      </c>
      <c r="I868" s="27" t="str" cm="1">
        <f t="array" ref="I868">IF(
   A868="",
   "",
   _xlfn.LET(
      _xlpm.result,
      IFERROR(
         _xlfn.XLOOKUP(
            1,
            (Table8[رقم الصنف]=A868) *
            (IF($B$9="الكل",1, YEAR('ادخال البيانات'!$N$3:$N$1164)=VALUE($B$9))) *
            (IF($B$10="الكل",1, MONTH('ادخال البيانات'!$N$3:$N$1164)=VALUE($B$10))) *
            (IF($B$11="الكل",1, INT((DAY('ادخال البيانات'!$N$3:$N$1164)-1)/7)+1 = VALUE($B$11))),
            'ادخال البيانات'!$I$3:$I$1164
         ),
         ""
      ),
      IF(_xlpm.result="", "", _xlpm.result)
   )
)</f>
        <v/>
      </c>
      <c r="J868" s="27" t="str" cm="1">
        <f t="array" ref="J868">IF(
   A868="",
   "",
   _xlfn.LET(
      _xlpm.result,
      IFERROR(
         _xlfn.XLOOKUP(
            1,
            (Table8[رقم الصنف]=A868) *
            (IF($B$9="الكل",1, YEAR('ادخال البيانات'!$N$3:$N$1164)=VALUE($B$9))) *
            (IF($B$10="الكل",1, MONTH('ادخال البيانات'!$N$3:$N$1164)=VALUE($B$10))) *
            (IF($B$11="الكل",1, INT((DAY('ادخال البيانات'!$N$3:$N$1164)-1)/7)+1 = VALUE($B$11))),
            'ادخال البيانات'!$J$3:$J$1164
         ),
         ""
      ),
      IF(_xlpm.result="", "", _xlpm.result)
   )
)</f>
        <v/>
      </c>
      <c r="K868" s="27" t="str" cm="1">
        <f t="array" ref="K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8" s="27" t="str" cm="1">
        <f t="array" ref="L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8" s="27" t="str" cm="1">
        <f t="array" ref="M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8" s="28" t="str" cm="1">
        <f t="array" ref="N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8" s="28" t="str" cm="1">
        <f t="array" ref="O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8" s="27" t="str" cm="1">
        <f t="array" ref="P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Table8[جهة العطل]
         ),
         ""
      ),
      IF(_xlpm.result="", "", _xlpm.result)
   )
)</f>
        <v/>
      </c>
      <c r="Q868" s="27" t="str" cm="1">
        <f t="array" ref="Q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Table8[المركز]
         ),
         ""
      ),
      IF(_xlpm.result="", "", _xlpm.result)
   )
)</f>
        <v/>
      </c>
      <c r="R868" s="27" t="str" cm="1">
        <f t="array" ref="R868">IF(
   A868="",
   "",
   _xlfn.LET(
      _xlpm.result,
      IFERROR(
         _xlfn.XLOOKUP(
            1,
            (Table8[رقم الصنف]=A868) *
            (IF($B$9="الكل",1, YEAR('ادخال البيانات'!$N$3:$N$1164) = VALUE($B$9))) *
            (IF($B$10="الكل",1, MONTH('ادخال البيانات'!$N$3:$N$1164) = VALUE($B$10))) *
            (IF($B$11="الكل",1, INT((DAY('ادخال البيانات'!$N$3:$N$1164) - 1) / 7) + 1 = VALUE($B$11))),
            Table8[ملاحظة]
         ),
         ""
      ),
      IF(_xlpm.result="", "", _xlpm.result)
   )
)</f>
        <v/>
      </c>
      <c r="S868" s="46" t="str">
        <f t="shared" ca="1" si="14"/>
        <v/>
      </c>
    </row>
    <row r="869" spans="1:19" ht="15.6" thickTop="1" thickBot="1" x14ac:dyDescent="0.35">
      <c r="A869" s="39"/>
      <c r="B869" s="27" t="str" cm="1">
        <f t="array" ref="B869">IF(
   OR(A869="", $B$9="", $B$10="", $B$11=""),
   "",
   _xlfn.LET(
      _xlpm.result,
      IFERROR(
         _xlfn.XLOOKUP(
            1,
            (Table8[رقم الصنف]=A869)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69" s="27" t="str" cm="1">
        <f t="array" ref="C869">IF(
   A869="",
   "",
   _xlfn.LET(
      _xlpm.result,
      IFERROR(
         _xlfn.XLOOKUP(
            1,
            (Table8[رقم الصنف]=A869) *
            (IF($B$9="الكل",1, YEAR('ادخال البيانات'!$N$3:$N$1164) = VALUE($B$9))) *
            (IF($B$10="الكل",1, MONTH('ادخال البيانات'!$N$3:$N$1164) = VALUE($B$10))) *
            (IF($B$11="الكل",1, INT((DAY('ادخال البيانات'!$N$3:$N$1164)-1)/7)+1 = VALUE($B$11))),
            'ادخال البيانات'!$C$3:$C$1164
         ),
         ""
      ),
      IF(_xlpm.result="", "", _xlpm.result)
   )
)</f>
        <v/>
      </c>
      <c r="D869" s="27" t="str" cm="1">
        <f t="array" ref="D869">IF(
   OR(A869="", $B$9="", $B$10="", $B$11=""),
   "",
   _xlfn.LET(
      _xlpm.result,
      IFERROR(
         _xlfn.XLOOKUP(
            1,
            (Table8[رقم الصنف]=A869) *
            (IF($B$9="الكل",1, YEAR('ادخال البيانات'!$N$3:$N$1164)=VALUE($B$9))) *
            (IF($B$10="الكل",1, MONTH('ادخال البيانات'!$N$3:$N$1164)=VALUE($B$10))) *
            (IF($B$11="الكل",1, INT((DAY('ادخال البيانات'!$N$3:$N$1164)-1)/7)+1 = VALUE($B$11))),
            'ادخال البيانات'!$D$3:$D$1164
         ),
         ""
      ),
      IF(_xlpm.result="", "", _xlpm.result)
   )
)</f>
        <v/>
      </c>
      <c r="E869" s="27" t="str" cm="1">
        <f t="array" ref="E869">IF(
   A869="",
   "",
   _xlfn.LET(
      _xlpm.result,
      IFERROR(
         _xlfn.XLOOKUP(
            1,
            (Table8[رقم الصنف]=A869) *
            (IF($B$9="الكل",1, YEAR('ادخال البيانات'!$N$3:$N$1164)=VALUE($B$9))) *
            (IF($B$10="الكل",1, MONTH('ادخال البيانات'!$N$3:$N$1164)=VALUE($B$10))) *
            (IF($B$11="الكل",1, INT((DAY('ادخال البيانات'!$N$3:$N$1164)-1)/7)+1 = VALUE($B$11))),
            'ادخال البيانات'!$E$3:$E$1164
         ),
         ""
      ),
      IF(_xlpm.result="", "", _xlpm.result)
   )
)</f>
        <v/>
      </c>
      <c r="F869" s="27" t="str" cm="1">
        <f t="array" ref="F869">IF(
   A869="",
   "",
   _xlfn.LET(
      _xlpm.result,
      IFERROR(
         _xlfn.XLOOKUP(
            1,
            (Table8[رقم الصنف]=A869) *
            (IF($B$9="الكل",1, YEAR('ادخال البيانات'!$N$3:$N$1164) = VALUE($B$9))) *
            (IF($B$10="الكل",1, MONTH('ادخال البيانات'!$N$3:$N$1164) = VALUE($B$10))) *
            (IF($B$11="الكل",1, INT((DAY('ادخال البيانات'!$N$3:$N$1164)-1)/7)+1 = VALUE($B$11))),
            'ادخال البيانات'!$F$3:$F$1164
         ),
         ""
      ),
      IF(_xlpm.result="", "", _xlpm.result)
   )
)</f>
        <v/>
      </c>
      <c r="G869" s="27" t="str" cm="1">
        <f t="array" ref="G869">IF(
   A869="",
   "",
   _xlfn.LET(
      _xlpm.result,
      IFERROR(
         _xlfn.XLOOKUP(
            1,
            (Table8[رقم الصنف]=A869) *
            (IF($B$9="الكل",1, YEAR('ادخال البيانات'!$N$3:$N$1164)=VALUE($B$9))) *
            (IF($B$10="الكل",1, MONTH('ادخال البيانات'!$N$3:$N$1164)=VALUE($B$10))) *
            (IF($B$11="الكل",1, INT((DAY('ادخال البيانات'!$N$3:$N$1164)-1)/7)+1 = VALUE($B$11))),
            'ادخال البيانات'!$G$3:$G$1164
         ),
         ""
      ),
      IF(_xlpm.result="", "", _xlpm.result)
   )
)</f>
        <v/>
      </c>
      <c r="H869" s="27" t="str" cm="1">
        <f t="array" ref="H869">IF(
   A869="",
   "",
   _xlfn.LET(
      _xlpm.result,
      IFERROR(
         _xlfn.XLOOKUP(
            1,
            (Table8[رقم الصنف]=A869) *
            (IF($B$9="الكل",1, YEAR('ادخال البيانات'!$N$3:$N$1164)=VALUE($B$9))) *
            (IF($B$10="الكل",1, MONTH('ادخال البيانات'!$N$3:$N$1164)=VALUE($B$10))) *
            (IF($B$11="الكل",1, INT((DAY('ادخال البيانات'!$N$3:$N$1164)-1)/7)+1 = VALUE($B$11))),
            'ادخال البيانات'!$H$3:$H$1164
         ),
         ""
      ),
      IF(_xlpm.result="", "", _xlpm.result)
   )
)</f>
        <v/>
      </c>
      <c r="I869" s="27" t="str" cm="1">
        <f t="array" ref="I869">IF(
   A869="",
   "",
   _xlfn.LET(
      _xlpm.result,
      IFERROR(
         _xlfn.XLOOKUP(
            1,
            (Table8[رقم الصنف]=A869) *
            (IF($B$9="الكل",1, YEAR('ادخال البيانات'!$N$3:$N$1164)=VALUE($B$9))) *
            (IF($B$10="الكل",1, MONTH('ادخال البيانات'!$N$3:$N$1164)=VALUE($B$10))) *
            (IF($B$11="الكل",1, INT((DAY('ادخال البيانات'!$N$3:$N$1164)-1)/7)+1 = VALUE($B$11))),
            'ادخال البيانات'!$I$3:$I$1164
         ),
         ""
      ),
      IF(_xlpm.result="", "", _xlpm.result)
   )
)</f>
        <v/>
      </c>
      <c r="J869" s="27" t="str" cm="1">
        <f t="array" ref="J869">IF(
   A869="",
   "",
   _xlfn.LET(
      _xlpm.result,
      IFERROR(
         _xlfn.XLOOKUP(
            1,
            (Table8[رقم الصنف]=A869) *
            (IF($B$9="الكل",1, YEAR('ادخال البيانات'!$N$3:$N$1164)=VALUE($B$9))) *
            (IF($B$10="الكل",1, MONTH('ادخال البيانات'!$N$3:$N$1164)=VALUE($B$10))) *
            (IF($B$11="الكل",1, INT((DAY('ادخال البيانات'!$N$3:$N$1164)-1)/7)+1 = VALUE($B$11))),
            'ادخال البيانات'!$J$3:$J$1164
         ),
         ""
      ),
      IF(_xlpm.result="", "", _xlpm.result)
   )
)</f>
        <v/>
      </c>
      <c r="K869" s="27" t="str" cm="1">
        <f t="array" ref="K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69" s="27" t="str" cm="1">
        <f t="array" ref="L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69" s="27" t="str" cm="1">
        <f t="array" ref="M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69" s="28" t="str" cm="1">
        <f t="array" ref="N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69" s="28" t="str" cm="1">
        <f t="array" ref="O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69" s="27" t="str" cm="1">
        <f t="array" ref="P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Table8[جهة العطل]
         ),
         ""
      ),
      IF(_xlpm.result="", "", _xlpm.result)
   )
)</f>
        <v/>
      </c>
      <c r="Q869" s="27" t="str" cm="1">
        <f t="array" ref="Q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Table8[المركز]
         ),
         ""
      ),
      IF(_xlpm.result="", "", _xlpm.result)
   )
)</f>
        <v/>
      </c>
      <c r="R869" s="27" t="str" cm="1">
        <f t="array" ref="R869">IF(
   A869="",
   "",
   _xlfn.LET(
      _xlpm.result,
      IFERROR(
         _xlfn.XLOOKUP(
            1,
            (Table8[رقم الصنف]=A869) *
            (IF($B$9="الكل",1, YEAR('ادخال البيانات'!$N$3:$N$1164) = VALUE($B$9))) *
            (IF($B$10="الكل",1, MONTH('ادخال البيانات'!$N$3:$N$1164) = VALUE($B$10))) *
            (IF($B$11="الكل",1, INT((DAY('ادخال البيانات'!$N$3:$N$1164) - 1) / 7) + 1 = VALUE($B$11))),
            Table8[ملاحظة]
         ),
         ""
      ),
      IF(_xlpm.result="", "", _xlpm.result)
   )
)</f>
        <v/>
      </c>
      <c r="S869" s="46" t="str">
        <f t="shared" ca="1" si="14"/>
        <v/>
      </c>
    </row>
    <row r="870" spans="1:19" ht="15.6" thickTop="1" thickBot="1" x14ac:dyDescent="0.35">
      <c r="A870" s="39"/>
      <c r="B870" s="27" t="str" cm="1">
        <f t="array" ref="B870">IF(
   OR(A870="", $B$9="", $B$10="", $B$11=""),
   "",
   _xlfn.LET(
      _xlpm.result,
      IFERROR(
         _xlfn.XLOOKUP(
            1,
            (Table8[رقم الصنف]=A870)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0" s="27" t="str" cm="1">
        <f t="array" ref="C870">IF(
   A870="",
   "",
   _xlfn.LET(
      _xlpm.result,
      IFERROR(
         _xlfn.XLOOKUP(
            1,
            (Table8[رقم الصنف]=A870) *
            (IF($B$9="الكل",1, YEAR('ادخال البيانات'!$N$3:$N$1164) = VALUE($B$9))) *
            (IF($B$10="الكل",1, MONTH('ادخال البيانات'!$N$3:$N$1164) = VALUE($B$10))) *
            (IF($B$11="الكل",1, INT((DAY('ادخال البيانات'!$N$3:$N$1164)-1)/7)+1 = VALUE($B$11))),
            'ادخال البيانات'!$C$3:$C$1164
         ),
         ""
      ),
      IF(_xlpm.result="", "", _xlpm.result)
   )
)</f>
        <v/>
      </c>
      <c r="D870" s="27" t="str" cm="1">
        <f t="array" ref="D870">IF(
   OR(A870="", $B$9="", $B$10="", $B$11=""),
   "",
   _xlfn.LET(
      _xlpm.result,
      IFERROR(
         _xlfn.XLOOKUP(
            1,
            (Table8[رقم الصنف]=A870) *
            (IF($B$9="الكل",1, YEAR('ادخال البيانات'!$N$3:$N$1164)=VALUE($B$9))) *
            (IF($B$10="الكل",1, MONTH('ادخال البيانات'!$N$3:$N$1164)=VALUE($B$10))) *
            (IF($B$11="الكل",1, INT((DAY('ادخال البيانات'!$N$3:$N$1164)-1)/7)+1 = VALUE($B$11))),
            'ادخال البيانات'!$D$3:$D$1164
         ),
         ""
      ),
      IF(_xlpm.result="", "", _xlpm.result)
   )
)</f>
        <v/>
      </c>
      <c r="E870" s="27" t="str" cm="1">
        <f t="array" ref="E870">IF(
   A870="",
   "",
   _xlfn.LET(
      _xlpm.result,
      IFERROR(
         _xlfn.XLOOKUP(
            1,
            (Table8[رقم الصنف]=A870) *
            (IF($B$9="الكل",1, YEAR('ادخال البيانات'!$N$3:$N$1164)=VALUE($B$9))) *
            (IF($B$10="الكل",1, MONTH('ادخال البيانات'!$N$3:$N$1164)=VALUE($B$10))) *
            (IF($B$11="الكل",1, INT((DAY('ادخال البيانات'!$N$3:$N$1164)-1)/7)+1 = VALUE($B$11))),
            'ادخال البيانات'!$E$3:$E$1164
         ),
         ""
      ),
      IF(_xlpm.result="", "", _xlpm.result)
   )
)</f>
        <v/>
      </c>
      <c r="F870" s="27" t="str" cm="1">
        <f t="array" ref="F870">IF(
   A870="",
   "",
   _xlfn.LET(
      _xlpm.result,
      IFERROR(
         _xlfn.XLOOKUP(
            1,
            (Table8[رقم الصنف]=A870) *
            (IF($B$9="الكل",1, YEAR('ادخال البيانات'!$N$3:$N$1164) = VALUE($B$9))) *
            (IF($B$10="الكل",1, MONTH('ادخال البيانات'!$N$3:$N$1164) = VALUE($B$10))) *
            (IF($B$11="الكل",1, INT((DAY('ادخال البيانات'!$N$3:$N$1164)-1)/7)+1 = VALUE($B$11))),
            'ادخال البيانات'!$F$3:$F$1164
         ),
         ""
      ),
      IF(_xlpm.result="", "", _xlpm.result)
   )
)</f>
        <v/>
      </c>
      <c r="G870" s="27" t="str" cm="1">
        <f t="array" ref="G870">IF(
   A870="",
   "",
   _xlfn.LET(
      _xlpm.result,
      IFERROR(
         _xlfn.XLOOKUP(
            1,
            (Table8[رقم الصنف]=A870) *
            (IF($B$9="الكل",1, YEAR('ادخال البيانات'!$N$3:$N$1164)=VALUE($B$9))) *
            (IF($B$10="الكل",1, MONTH('ادخال البيانات'!$N$3:$N$1164)=VALUE($B$10))) *
            (IF($B$11="الكل",1, INT((DAY('ادخال البيانات'!$N$3:$N$1164)-1)/7)+1 = VALUE($B$11))),
            'ادخال البيانات'!$G$3:$G$1164
         ),
         ""
      ),
      IF(_xlpm.result="", "", _xlpm.result)
   )
)</f>
        <v/>
      </c>
      <c r="H870" s="27" t="str" cm="1">
        <f t="array" ref="H870">IF(
   A870="",
   "",
   _xlfn.LET(
      _xlpm.result,
      IFERROR(
         _xlfn.XLOOKUP(
            1,
            (Table8[رقم الصنف]=A870) *
            (IF($B$9="الكل",1, YEAR('ادخال البيانات'!$N$3:$N$1164)=VALUE($B$9))) *
            (IF($B$10="الكل",1, MONTH('ادخال البيانات'!$N$3:$N$1164)=VALUE($B$10))) *
            (IF($B$11="الكل",1, INT((DAY('ادخال البيانات'!$N$3:$N$1164)-1)/7)+1 = VALUE($B$11))),
            'ادخال البيانات'!$H$3:$H$1164
         ),
         ""
      ),
      IF(_xlpm.result="", "", _xlpm.result)
   )
)</f>
        <v/>
      </c>
      <c r="I870" s="27" t="str" cm="1">
        <f t="array" ref="I870">IF(
   A870="",
   "",
   _xlfn.LET(
      _xlpm.result,
      IFERROR(
         _xlfn.XLOOKUP(
            1,
            (Table8[رقم الصنف]=A870) *
            (IF($B$9="الكل",1, YEAR('ادخال البيانات'!$N$3:$N$1164)=VALUE($B$9))) *
            (IF($B$10="الكل",1, MONTH('ادخال البيانات'!$N$3:$N$1164)=VALUE($B$10))) *
            (IF($B$11="الكل",1, INT((DAY('ادخال البيانات'!$N$3:$N$1164)-1)/7)+1 = VALUE($B$11))),
            'ادخال البيانات'!$I$3:$I$1164
         ),
         ""
      ),
      IF(_xlpm.result="", "", _xlpm.result)
   )
)</f>
        <v/>
      </c>
      <c r="J870" s="27" t="str" cm="1">
        <f t="array" ref="J870">IF(
   A870="",
   "",
   _xlfn.LET(
      _xlpm.result,
      IFERROR(
         _xlfn.XLOOKUP(
            1,
            (Table8[رقم الصنف]=A870) *
            (IF($B$9="الكل",1, YEAR('ادخال البيانات'!$N$3:$N$1164)=VALUE($B$9))) *
            (IF($B$10="الكل",1, MONTH('ادخال البيانات'!$N$3:$N$1164)=VALUE($B$10))) *
            (IF($B$11="الكل",1, INT((DAY('ادخال البيانات'!$N$3:$N$1164)-1)/7)+1 = VALUE($B$11))),
            'ادخال البيانات'!$J$3:$J$1164
         ),
         ""
      ),
      IF(_xlpm.result="", "", _xlpm.result)
   )
)</f>
        <v/>
      </c>
      <c r="K870" s="27" t="str" cm="1">
        <f t="array" ref="K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0" s="27" t="str" cm="1">
        <f t="array" ref="L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0" s="27" t="str" cm="1">
        <f t="array" ref="M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0" s="28" t="str" cm="1">
        <f t="array" ref="N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0" s="28" t="str" cm="1">
        <f t="array" ref="O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0" s="27" t="str" cm="1">
        <f t="array" ref="P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Table8[جهة العطل]
         ),
         ""
      ),
      IF(_xlpm.result="", "", _xlpm.result)
   )
)</f>
        <v/>
      </c>
      <c r="Q870" s="27" t="str" cm="1">
        <f t="array" ref="Q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Table8[المركز]
         ),
         ""
      ),
      IF(_xlpm.result="", "", _xlpm.result)
   )
)</f>
        <v/>
      </c>
      <c r="R870" s="27" t="str" cm="1">
        <f t="array" ref="R870">IF(
   A870="",
   "",
   _xlfn.LET(
      _xlpm.result,
      IFERROR(
         _xlfn.XLOOKUP(
            1,
            (Table8[رقم الصنف]=A870) *
            (IF($B$9="الكل",1, YEAR('ادخال البيانات'!$N$3:$N$1164) = VALUE($B$9))) *
            (IF($B$10="الكل",1, MONTH('ادخال البيانات'!$N$3:$N$1164) = VALUE($B$10))) *
            (IF($B$11="الكل",1, INT((DAY('ادخال البيانات'!$N$3:$N$1164) - 1) / 7) + 1 = VALUE($B$11))),
            Table8[ملاحظة]
         ),
         ""
      ),
      IF(_xlpm.result="", "", _xlpm.result)
   )
)</f>
        <v/>
      </c>
      <c r="S870" s="46" t="str">
        <f t="shared" ca="1" si="14"/>
        <v/>
      </c>
    </row>
    <row r="871" spans="1:19" ht="15.6" thickTop="1" thickBot="1" x14ac:dyDescent="0.35">
      <c r="A871" s="39"/>
      <c r="B871" s="27" t="str" cm="1">
        <f t="array" ref="B871">IF(
   OR(A871="", $B$9="", $B$10="", $B$11=""),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1" s="27" t="str" cm="1">
        <f t="array" ref="C871">IF(
   A871="",
   "",
   _xlfn.LET(
      _xlpm.result,
      IFERROR(
         _xlfn.XLOOKUP(
            1,
            (Table8[رقم الصنف]=A871) *
            (IF($B$9="الكل",1, YEAR('ادخال البيانات'!$N$3:$N$1164) = VALUE($B$9))) *
            (IF($B$10="الكل",1, MONTH('ادخال البيانات'!$N$3:$N$1164) = VALUE($B$10))) *
            (IF($B$11="الكل",1, INT((DAY('ادخال البيانات'!$N$3:$N$1164)-1)/7)+1 = VALUE($B$11))),
            'ادخال البيانات'!$C$3:$C$1164
         ),
         ""
      ),
      IF(_xlpm.result="", "", _xlpm.result)
   )
)</f>
        <v/>
      </c>
      <c r="D871" s="27" t="str" cm="1">
        <f t="array" ref="D871">IF(
   OR(A871="", $B$9="", $B$10="", $B$11=""),
   "",
   _xlfn.LET(
      _xlpm.result,
      IFERROR(
         _xlfn.XLOOKUP(
            1,
            (Table8[رقم الصنف]=A871) *
            (IF($B$9="الكل",1, YEAR('ادخال البيانات'!$N$3:$N$1164)=VALUE($B$9))) *
            (IF($B$10="الكل",1, MONTH('ادخال البيانات'!$N$3:$N$1164)=VALUE($B$10))) *
            (IF($B$11="الكل",1, INT((DAY('ادخال البيانات'!$N$3:$N$1164)-1)/7)+1 = VALUE($B$11))),
            'ادخال البيانات'!$D$3:$D$1164
         ),
         ""
      ),
      IF(_xlpm.result="", "", _xlpm.result)
   )
)</f>
        <v/>
      </c>
      <c r="E871" s="27" t="str" cm="1">
        <f t="array" ref="E871">IF(
   A871="",
   "",
   _xlfn.LET(
      _xlpm.result,
      IFERROR(
         _xlfn.XLOOKUP(
            1,
            (Table8[رقم الصنف]=A871) *
            (IF($B$9="الكل",1, YEAR('ادخال البيانات'!$N$3:$N$1164)=VALUE($B$9))) *
            (IF($B$10="الكل",1, MONTH('ادخال البيانات'!$N$3:$N$1164)=VALUE($B$10))) *
            (IF($B$11="الكل",1, INT((DAY('ادخال البيانات'!$N$3:$N$1164)-1)/7)+1 = VALUE($B$11))),
            'ادخال البيانات'!$E$3:$E$1164
         ),
         ""
      ),
      IF(_xlpm.result="", "", _xlpm.result)
   )
)</f>
        <v/>
      </c>
      <c r="F871" s="27" t="str" cm="1">
        <f t="array" ref="F871">IF(
   A871="",
   "",
   _xlfn.LET(
      _xlpm.result,
      IFERROR(
         _xlfn.XLOOKUP(
            1,
            (Table8[رقم الصنف]=A871) *
            (IF($B$9="الكل",1, YEAR('ادخال البيانات'!$N$3:$N$1164) = VALUE($B$9))) *
            (IF($B$10="الكل",1, MONTH('ادخال البيانات'!$N$3:$N$1164) = VALUE($B$10))) *
            (IF($B$11="الكل",1, INT((DAY('ادخال البيانات'!$N$3:$N$1164)-1)/7)+1 = VALUE($B$11))),
            'ادخال البيانات'!$F$3:$F$1164
         ),
         ""
      ),
      IF(_xlpm.result="", "", _xlpm.result)
   )
)</f>
        <v/>
      </c>
      <c r="G871" s="27" t="str" cm="1">
        <f t="array" ref="G871">IF(
   A871="",
   "",
   _xlfn.LET(
      _xlpm.result,
      IFERROR(
         _xlfn.XLOOKUP(
            1,
            (Table8[رقم الصنف]=A871) *
            (IF($B$9="الكل",1, YEAR('ادخال البيانات'!$N$3:$N$1164)=VALUE($B$9))) *
            (IF($B$10="الكل",1, MONTH('ادخال البيانات'!$N$3:$N$1164)=VALUE($B$10))) *
            (IF($B$11="الكل",1, INT((DAY('ادخال البيانات'!$N$3:$N$1164)-1)/7)+1 = VALUE($B$11))),
            'ادخال البيانات'!$G$3:$G$1164
         ),
         ""
      ),
      IF(_xlpm.result="", "", _xlpm.result)
   )
)</f>
        <v/>
      </c>
      <c r="H871" s="27" t="str" cm="1">
        <f t="array" ref="H871">IF(
   A871="",
   "",
   _xlfn.LET(
      _xlpm.result,
      IFERROR(
         _xlfn.XLOOKUP(
            1,
            (Table8[رقم الصنف]=A871) *
            (IF($B$9="الكل",1, YEAR('ادخال البيانات'!$N$3:$N$1164)=VALUE($B$9))) *
            (IF($B$10="الكل",1, MONTH('ادخال البيانات'!$N$3:$N$1164)=VALUE($B$10))) *
            (IF($B$11="الكل",1, INT((DAY('ادخال البيانات'!$N$3:$N$1164)-1)/7)+1 = VALUE($B$11))),
            'ادخال البيانات'!$H$3:$H$1164
         ),
         ""
      ),
      IF(_xlpm.result="", "", _xlpm.result)
   )
)</f>
        <v/>
      </c>
      <c r="I871" s="27" t="str" cm="1">
        <f t="array" ref="I871">IF(
   A871="",
   "",
   _xlfn.LET(
      _xlpm.result,
      IFERROR(
         _xlfn.XLOOKUP(
            1,
            (Table8[رقم الصنف]=A871) *
            (IF($B$9="الكل",1, YEAR('ادخال البيانات'!$N$3:$N$1164)=VALUE($B$9))) *
            (IF($B$10="الكل",1, MONTH('ادخال البيانات'!$N$3:$N$1164)=VALUE($B$10))) *
            (IF($B$11="الكل",1, INT((DAY('ادخال البيانات'!$N$3:$N$1164)-1)/7)+1 = VALUE($B$11))),
            'ادخال البيانات'!$I$3:$I$1164
         ),
         ""
      ),
      IF(_xlpm.result="", "", _xlpm.result)
   )
)</f>
        <v/>
      </c>
      <c r="J871" s="27" t="str" cm="1">
        <f t="array" ref="J871">IF(
   A871="",
   "",
   _xlfn.LET(
      _xlpm.result,
      IFERROR(
         _xlfn.XLOOKUP(
            1,
            (Table8[رقم الصنف]=A871) *
            (IF($B$9="الكل",1, YEAR('ادخال البيانات'!$N$3:$N$1164)=VALUE($B$9))) *
            (IF($B$10="الكل",1, MONTH('ادخال البيانات'!$N$3:$N$1164)=VALUE($B$10))) *
            (IF($B$11="الكل",1, INT((DAY('ادخال البيانات'!$N$3:$N$1164)-1)/7)+1 = VALUE($B$11))),
            'ادخال البيانات'!$J$3:$J$1164
         ),
         ""
      ),
      IF(_xlpm.result="", "", _xlpm.result)
   )
)</f>
        <v/>
      </c>
      <c r="K871" s="27" t="str" cm="1">
        <f t="array" ref="K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1" s="27" t="str" cm="1">
        <f t="array" ref="L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1" s="27" t="str" cm="1">
        <f t="array" ref="M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1" s="28" t="str" cm="1">
        <f t="array" ref="N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1" s="28" t="str" cm="1">
        <f t="array" ref="O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1" s="27" t="str" cm="1">
        <f t="array" ref="P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Table8[جهة العطل]
         ),
         ""
      ),
      IF(_xlpm.result="", "", _xlpm.result)
   )
)</f>
        <v/>
      </c>
      <c r="Q871" s="27" t="str" cm="1">
        <f t="array" ref="Q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Table8[المركز]
         ),
         ""
      ),
      IF(_xlpm.result="", "", _xlpm.result)
   )
)</f>
        <v/>
      </c>
      <c r="R871" s="27" t="str" cm="1">
        <f t="array" ref="R871">IF(
   A871="",
   "",
   _xlfn.LET(
      _xlpm.result,
      IFERROR(
         _xlfn.XLOOKUP(
            1,
            (Table8[رقم الصنف]=A871) *
            (IF($B$9="الكل",1, YEAR('ادخال البيانات'!$N$3:$N$1164) = VALUE($B$9))) *
            (IF($B$10="الكل",1, MONTH('ادخال البيانات'!$N$3:$N$1164) = VALUE($B$10))) *
            (IF($B$11="الكل",1, INT((DAY('ادخال البيانات'!$N$3:$N$1164) - 1) / 7) + 1 = VALUE($B$11))),
            Table8[ملاحظة]
         ),
         ""
      ),
      IF(_xlpm.result="", "", _xlpm.result)
   )
)</f>
        <v/>
      </c>
      <c r="S871" s="46" t="str">
        <f t="shared" ca="1" si="14"/>
        <v/>
      </c>
    </row>
    <row r="872" spans="1:19" ht="15.6" thickTop="1" thickBot="1" x14ac:dyDescent="0.35">
      <c r="A872" s="39"/>
      <c r="B872" s="27" t="str" cm="1">
        <f t="array" ref="B872">IF(
   OR(A872="", $B$9="", $B$10="", $B$11=""),
   "",
   _xlfn.LET(
      _xlpm.result,
      IFERROR(
         _xlfn.XLOOKUP(
            1,
            (Table8[رقم الصنف]=A872)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2" s="27" t="str" cm="1">
        <f t="array" ref="C872">IF(
   A872="",
   "",
   _xlfn.LET(
      _xlpm.result,
      IFERROR(
         _xlfn.XLOOKUP(
            1,
            (Table8[رقم الصنف]=A872) *
            (IF($B$9="الكل",1, YEAR('ادخال البيانات'!$N$3:$N$1164) = VALUE($B$9))) *
            (IF($B$10="الكل",1, MONTH('ادخال البيانات'!$N$3:$N$1164) = VALUE($B$10))) *
            (IF($B$11="الكل",1, INT((DAY('ادخال البيانات'!$N$3:$N$1164)-1)/7)+1 = VALUE($B$11))),
            'ادخال البيانات'!$C$3:$C$1164
         ),
         ""
      ),
      IF(_xlpm.result="", "", _xlpm.result)
   )
)</f>
        <v/>
      </c>
      <c r="D872" s="27" t="str" cm="1">
        <f t="array" ref="D872">IF(
   OR(A872="", $B$9="", $B$10="", $B$11=""),
   "",
   _xlfn.LET(
      _xlpm.result,
      IFERROR(
         _xlfn.XLOOKUP(
            1,
            (Table8[رقم الصنف]=A872) *
            (IF($B$9="الكل",1, YEAR('ادخال البيانات'!$N$3:$N$1164)=VALUE($B$9))) *
            (IF($B$10="الكل",1, MONTH('ادخال البيانات'!$N$3:$N$1164)=VALUE($B$10))) *
            (IF($B$11="الكل",1, INT((DAY('ادخال البيانات'!$N$3:$N$1164)-1)/7)+1 = VALUE($B$11))),
            'ادخال البيانات'!$D$3:$D$1164
         ),
         ""
      ),
      IF(_xlpm.result="", "", _xlpm.result)
   )
)</f>
        <v/>
      </c>
      <c r="E872" s="27" t="str" cm="1">
        <f t="array" ref="E872">IF(
   A872="",
   "",
   _xlfn.LET(
      _xlpm.result,
      IFERROR(
         _xlfn.XLOOKUP(
            1,
            (Table8[رقم الصنف]=A872) *
            (IF($B$9="الكل",1, YEAR('ادخال البيانات'!$N$3:$N$1164)=VALUE($B$9))) *
            (IF($B$10="الكل",1, MONTH('ادخال البيانات'!$N$3:$N$1164)=VALUE($B$10))) *
            (IF($B$11="الكل",1, INT((DAY('ادخال البيانات'!$N$3:$N$1164)-1)/7)+1 = VALUE($B$11))),
            'ادخال البيانات'!$E$3:$E$1164
         ),
         ""
      ),
      IF(_xlpm.result="", "", _xlpm.result)
   )
)</f>
        <v/>
      </c>
      <c r="F872" s="27" t="str" cm="1">
        <f t="array" ref="F872">IF(
   A872="",
   "",
   _xlfn.LET(
      _xlpm.result,
      IFERROR(
         _xlfn.XLOOKUP(
            1,
            (Table8[رقم الصنف]=A872) *
            (IF($B$9="الكل",1, YEAR('ادخال البيانات'!$N$3:$N$1164) = VALUE($B$9))) *
            (IF($B$10="الكل",1, MONTH('ادخال البيانات'!$N$3:$N$1164) = VALUE($B$10))) *
            (IF($B$11="الكل",1, INT((DAY('ادخال البيانات'!$N$3:$N$1164)-1)/7)+1 = VALUE($B$11))),
            'ادخال البيانات'!$F$3:$F$1164
         ),
         ""
      ),
      IF(_xlpm.result="", "", _xlpm.result)
   )
)</f>
        <v/>
      </c>
      <c r="G872" s="27" t="str" cm="1">
        <f t="array" ref="G872">IF(
   A872="",
   "",
   _xlfn.LET(
      _xlpm.result,
      IFERROR(
         _xlfn.XLOOKUP(
            1,
            (Table8[رقم الصنف]=A872) *
            (IF($B$9="الكل",1, YEAR('ادخال البيانات'!$N$3:$N$1164)=VALUE($B$9))) *
            (IF($B$10="الكل",1, MONTH('ادخال البيانات'!$N$3:$N$1164)=VALUE($B$10))) *
            (IF($B$11="الكل",1, INT((DAY('ادخال البيانات'!$N$3:$N$1164)-1)/7)+1 = VALUE($B$11))),
            'ادخال البيانات'!$G$3:$G$1164
         ),
         ""
      ),
      IF(_xlpm.result="", "", _xlpm.result)
   )
)</f>
        <v/>
      </c>
      <c r="H872" s="27" t="str" cm="1">
        <f t="array" ref="H872">IF(
   A872="",
   "",
   _xlfn.LET(
      _xlpm.result,
      IFERROR(
         _xlfn.XLOOKUP(
            1,
            (Table8[رقم الصنف]=A872) *
            (IF($B$9="الكل",1, YEAR('ادخال البيانات'!$N$3:$N$1164)=VALUE($B$9))) *
            (IF($B$10="الكل",1, MONTH('ادخال البيانات'!$N$3:$N$1164)=VALUE($B$10))) *
            (IF($B$11="الكل",1, INT((DAY('ادخال البيانات'!$N$3:$N$1164)-1)/7)+1 = VALUE($B$11))),
            'ادخال البيانات'!$H$3:$H$1164
         ),
         ""
      ),
      IF(_xlpm.result="", "", _xlpm.result)
   )
)</f>
        <v/>
      </c>
      <c r="I872" s="27" t="str" cm="1">
        <f t="array" ref="I872">IF(
   A872="",
   "",
   _xlfn.LET(
      _xlpm.result,
      IFERROR(
         _xlfn.XLOOKUP(
            1,
            (Table8[رقم الصنف]=A872) *
            (IF($B$9="الكل",1, YEAR('ادخال البيانات'!$N$3:$N$1164)=VALUE($B$9))) *
            (IF($B$10="الكل",1, MONTH('ادخال البيانات'!$N$3:$N$1164)=VALUE($B$10))) *
            (IF($B$11="الكل",1, INT((DAY('ادخال البيانات'!$N$3:$N$1164)-1)/7)+1 = VALUE($B$11))),
            'ادخال البيانات'!$I$3:$I$1164
         ),
         ""
      ),
      IF(_xlpm.result="", "", _xlpm.result)
   )
)</f>
        <v/>
      </c>
      <c r="J872" s="27" t="str" cm="1">
        <f t="array" ref="J872">IF(
   A872="",
   "",
   _xlfn.LET(
      _xlpm.result,
      IFERROR(
         _xlfn.XLOOKUP(
            1,
            (Table8[رقم الصنف]=A872) *
            (IF($B$9="الكل",1, YEAR('ادخال البيانات'!$N$3:$N$1164)=VALUE($B$9))) *
            (IF($B$10="الكل",1, MONTH('ادخال البيانات'!$N$3:$N$1164)=VALUE($B$10))) *
            (IF($B$11="الكل",1, INT((DAY('ادخال البيانات'!$N$3:$N$1164)-1)/7)+1 = VALUE($B$11))),
            'ادخال البيانات'!$J$3:$J$1164
         ),
         ""
      ),
      IF(_xlpm.result="", "", _xlpm.result)
   )
)</f>
        <v/>
      </c>
      <c r="K872" s="27" t="str" cm="1">
        <f t="array" ref="K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2" s="27" t="str" cm="1">
        <f t="array" ref="L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2" s="27" t="str" cm="1">
        <f t="array" ref="M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2" s="28" t="str" cm="1">
        <f t="array" ref="N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2" s="28" t="str" cm="1">
        <f t="array" ref="O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2" s="27" t="str" cm="1">
        <f t="array" ref="P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Table8[جهة العطل]
         ),
         ""
      ),
      IF(_xlpm.result="", "", _xlpm.result)
   )
)</f>
        <v/>
      </c>
      <c r="Q872" s="27" t="str" cm="1">
        <f t="array" ref="Q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Table8[المركز]
         ),
         ""
      ),
      IF(_xlpm.result="", "", _xlpm.result)
   )
)</f>
        <v/>
      </c>
      <c r="R872" s="27" t="str" cm="1">
        <f t="array" ref="R872">IF(
   A872="",
   "",
   _xlfn.LET(
      _xlpm.result,
      IFERROR(
         _xlfn.XLOOKUP(
            1,
            (Table8[رقم الصنف]=A872) *
            (IF($B$9="الكل",1, YEAR('ادخال البيانات'!$N$3:$N$1164) = VALUE($B$9))) *
            (IF($B$10="الكل",1, MONTH('ادخال البيانات'!$N$3:$N$1164) = VALUE($B$10))) *
            (IF($B$11="الكل",1, INT((DAY('ادخال البيانات'!$N$3:$N$1164) - 1) / 7) + 1 = VALUE($B$11))),
            Table8[ملاحظة]
         ),
         ""
      ),
      IF(_xlpm.result="", "", _xlpm.result)
   )
)</f>
        <v/>
      </c>
      <c r="S872" s="46" t="str">
        <f t="shared" ca="1" si="14"/>
        <v/>
      </c>
    </row>
    <row r="873" spans="1:19" ht="15.6" thickTop="1" thickBot="1" x14ac:dyDescent="0.35">
      <c r="A873" s="39"/>
      <c r="B873" s="27" t="str" cm="1">
        <f t="array" ref="B873">IF(
   OR(A873="", $B$9="", $B$10="", $B$11=""),
   "",
   _xlfn.LET(
      _xlpm.result,
      IFERROR(
         _xlfn.XLOOKUP(
            1,
            (Table8[رقم الصنف]=A873)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3" s="27" t="str" cm="1">
        <f t="array" ref="C873">IF(
   A873="",
   "",
   _xlfn.LET(
      _xlpm.result,
      IFERROR(
         _xlfn.XLOOKUP(
            1,
            (Table8[رقم الصنف]=A873) *
            (IF($B$9="الكل",1, YEAR('ادخال البيانات'!$N$3:$N$1164) = VALUE($B$9))) *
            (IF($B$10="الكل",1, MONTH('ادخال البيانات'!$N$3:$N$1164) = VALUE($B$10))) *
            (IF($B$11="الكل",1, INT((DAY('ادخال البيانات'!$N$3:$N$1164)-1)/7)+1 = VALUE($B$11))),
            'ادخال البيانات'!$C$3:$C$1164
         ),
         ""
      ),
      IF(_xlpm.result="", "", _xlpm.result)
   )
)</f>
        <v/>
      </c>
      <c r="D873" s="27" t="str" cm="1">
        <f t="array" ref="D873">IF(
   OR(A873="", $B$9="", $B$10="", $B$11=""),
   "",
   _xlfn.LET(
      _xlpm.result,
      IFERROR(
         _xlfn.XLOOKUP(
            1,
            (Table8[رقم الصنف]=A873) *
            (IF($B$9="الكل",1, YEAR('ادخال البيانات'!$N$3:$N$1164)=VALUE($B$9))) *
            (IF($B$10="الكل",1, MONTH('ادخال البيانات'!$N$3:$N$1164)=VALUE($B$10))) *
            (IF($B$11="الكل",1, INT((DAY('ادخال البيانات'!$N$3:$N$1164)-1)/7)+1 = VALUE($B$11))),
            'ادخال البيانات'!$D$3:$D$1164
         ),
         ""
      ),
      IF(_xlpm.result="", "", _xlpm.result)
   )
)</f>
        <v/>
      </c>
      <c r="E873" s="27" t="str" cm="1">
        <f t="array" ref="E873">IF(
   A873="",
   "",
   _xlfn.LET(
      _xlpm.result,
      IFERROR(
         _xlfn.XLOOKUP(
            1,
            (Table8[رقم الصنف]=A873) *
            (IF($B$9="الكل",1, YEAR('ادخال البيانات'!$N$3:$N$1164)=VALUE($B$9))) *
            (IF($B$10="الكل",1, MONTH('ادخال البيانات'!$N$3:$N$1164)=VALUE($B$10))) *
            (IF($B$11="الكل",1, INT((DAY('ادخال البيانات'!$N$3:$N$1164)-1)/7)+1 = VALUE($B$11))),
            'ادخال البيانات'!$E$3:$E$1164
         ),
         ""
      ),
      IF(_xlpm.result="", "", _xlpm.result)
   )
)</f>
        <v/>
      </c>
      <c r="F873" s="27" t="str" cm="1">
        <f t="array" ref="F873">IF(
   A873="",
   "",
   _xlfn.LET(
      _xlpm.result,
      IFERROR(
         _xlfn.XLOOKUP(
            1,
            (Table8[رقم الصنف]=A873) *
            (IF($B$9="الكل",1, YEAR('ادخال البيانات'!$N$3:$N$1164) = VALUE($B$9))) *
            (IF($B$10="الكل",1, MONTH('ادخال البيانات'!$N$3:$N$1164) = VALUE($B$10))) *
            (IF($B$11="الكل",1, INT((DAY('ادخال البيانات'!$N$3:$N$1164)-1)/7)+1 = VALUE($B$11))),
            'ادخال البيانات'!$F$3:$F$1164
         ),
         ""
      ),
      IF(_xlpm.result="", "", _xlpm.result)
   )
)</f>
        <v/>
      </c>
      <c r="G873" s="27" t="str" cm="1">
        <f t="array" ref="G873">IF(
   A873="",
   "",
   _xlfn.LET(
      _xlpm.result,
      IFERROR(
         _xlfn.XLOOKUP(
            1,
            (Table8[رقم الصنف]=A873) *
            (IF($B$9="الكل",1, YEAR('ادخال البيانات'!$N$3:$N$1164)=VALUE($B$9))) *
            (IF($B$10="الكل",1, MONTH('ادخال البيانات'!$N$3:$N$1164)=VALUE($B$10))) *
            (IF($B$11="الكل",1, INT((DAY('ادخال البيانات'!$N$3:$N$1164)-1)/7)+1 = VALUE($B$11))),
            'ادخال البيانات'!$G$3:$G$1164
         ),
         ""
      ),
      IF(_xlpm.result="", "", _xlpm.result)
   )
)</f>
        <v/>
      </c>
      <c r="H873" s="27" t="str" cm="1">
        <f t="array" ref="H873">IF(
   A873="",
   "",
   _xlfn.LET(
      _xlpm.result,
      IFERROR(
         _xlfn.XLOOKUP(
            1,
            (Table8[رقم الصنف]=A873) *
            (IF($B$9="الكل",1, YEAR('ادخال البيانات'!$N$3:$N$1164)=VALUE($B$9))) *
            (IF($B$10="الكل",1, MONTH('ادخال البيانات'!$N$3:$N$1164)=VALUE($B$10))) *
            (IF($B$11="الكل",1, INT((DAY('ادخال البيانات'!$N$3:$N$1164)-1)/7)+1 = VALUE($B$11))),
            'ادخال البيانات'!$H$3:$H$1164
         ),
         ""
      ),
      IF(_xlpm.result="", "", _xlpm.result)
   )
)</f>
        <v/>
      </c>
      <c r="I873" s="27" t="str" cm="1">
        <f t="array" ref="I873">IF(
   A873="",
   "",
   _xlfn.LET(
      _xlpm.result,
      IFERROR(
         _xlfn.XLOOKUP(
            1,
            (Table8[رقم الصنف]=A873) *
            (IF($B$9="الكل",1, YEAR('ادخال البيانات'!$N$3:$N$1164)=VALUE($B$9))) *
            (IF($B$10="الكل",1, MONTH('ادخال البيانات'!$N$3:$N$1164)=VALUE($B$10))) *
            (IF($B$11="الكل",1, INT((DAY('ادخال البيانات'!$N$3:$N$1164)-1)/7)+1 = VALUE($B$11))),
            'ادخال البيانات'!$I$3:$I$1164
         ),
         ""
      ),
      IF(_xlpm.result="", "", _xlpm.result)
   )
)</f>
        <v/>
      </c>
      <c r="J873" s="27" t="str" cm="1">
        <f t="array" ref="J873">IF(
   A873="",
   "",
   _xlfn.LET(
      _xlpm.result,
      IFERROR(
         _xlfn.XLOOKUP(
            1,
            (Table8[رقم الصنف]=A873) *
            (IF($B$9="الكل",1, YEAR('ادخال البيانات'!$N$3:$N$1164)=VALUE($B$9))) *
            (IF($B$10="الكل",1, MONTH('ادخال البيانات'!$N$3:$N$1164)=VALUE($B$10))) *
            (IF($B$11="الكل",1, INT((DAY('ادخال البيانات'!$N$3:$N$1164)-1)/7)+1 = VALUE($B$11))),
            'ادخال البيانات'!$J$3:$J$1164
         ),
         ""
      ),
      IF(_xlpm.result="", "", _xlpm.result)
   )
)</f>
        <v/>
      </c>
      <c r="K873" s="27" t="str" cm="1">
        <f t="array" ref="K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3" s="27" t="str" cm="1">
        <f t="array" ref="L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3" s="27" t="str" cm="1">
        <f t="array" ref="M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3" s="28" t="str" cm="1">
        <f t="array" ref="N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3" s="28" t="str" cm="1">
        <f t="array" ref="O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3" s="27" t="str" cm="1">
        <f t="array" ref="P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Table8[جهة العطل]
         ),
         ""
      ),
      IF(_xlpm.result="", "", _xlpm.result)
   )
)</f>
        <v/>
      </c>
      <c r="Q873" s="27" t="str" cm="1">
        <f t="array" ref="Q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Table8[المركز]
         ),
         ""
      ),
      IF(_xlpm.result="", "", _xlpm.result)
   )
)</f>
        <v/>
      </c>
      <c r="R873" s="27" t="str" cm="1">
        <f t="array" ref="R873">IF(
   A873="",
   "",
   _xlfn.LET(
      _xlpm.result,
      IFERROR(
         _xlfn.XLOOKUP(
            1,
            (Table8[رقم الصنف]=A873) *
            (IF($B$9="الكل",1, YEAR('ادخال البيانات'!$N$3:$N$1164) = VALUE($B$9))) *
            (IF($B$10="الكل",1, MONTH('ادخال البيانات'!$N$3:$N$1164) = VALUE($B$10))) *
            (IF($B$11="الكل",1, INT((DAY('ادخال البيانات'!$N$3:$N$1164) - 1) / 7) + 1 = VALUE($B$11))),
            Table8[ملاحظة]
         ),
         ""
      ),
      IF(_xlpm.result="", "", _xlpm.result)
   )
)</f>
        <v/>
      </c>
      <c r="S873" s="46" t="str">
        <f t="shared" ca="1" si="14"/>
        <v/>
      </c>
    </row>
    <row r="874" spans="1:19" ht="15.6" thickTop="1" thickBot="1" x14ac:dyDescent="0.35">
      <c r="A874" s="39"/>
      <c r="B874" s="27" t="str" cm="1">
        <f t="array" ref="B874">IF(
   OR(A874="", $B$9="", $B$10="", $B$11=""),
   "",
   _xlfn.LET(
      _xlpm.result,
      IFERROR(
         _xlfn.XLOOKUP(
            1,
            (Table8[رقم الصنف]=A874)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4" s="27" t="str" cm="1">
        <f t="array" ref="C874">IF(
   A874="",
   "",
   _xlfn.LET(
      _xlpm.result,
      IFERROR(
         _xlfn.XLOOKUP(
            1,
            (Table8[رقم الصنف]=A874) *
            (IF($B$9="الكل",1, YEAR('ادخال البيانات'!$N$3:$N$1164) = VALUE($B$9))) *
            (IF($B$10="الكل",1, MONTH('ادخال البيانات'!$N$3:$N$1164) = VALUE($B$10))) *
            (IF($B$11="الكل",1, INT((DAY('ادخال البيانات'!$N$3:$N$1164)-1)/7)+1 = VALUE($B$11))),
            'ادخال البيانات'!$C$3:$C$1164
         ),
         ""
      ),
      IF(_xlpm.result="", "", _xlpm.result)
   )
)</f>
        <v/>
      </c>
      <c r="D874" s="27" t="str" cm="1">
        <f t="array" ref="D874">IF(
   OR(A874="", $B$9="", $B$10="", $B$11=""),
   "",
   _xlfn.LET(
      _xlpm.result,
      IFERROR(
         _xlfn.XLOOKUP(
            1,
            (Table8[رقم الصنف]=A874) *
            (IF($B$9="الكل",1, YEAR('ادخال البيانات'!$N$3:$N$1164)=VALUE($B$9))) *
            (IF($B$10="الكل",1, MONTH('ادخال البيانات'!$N$3:$N$1164)=VALUE($B$10))) *
            (IF($B$11="الكل",1, INT((DAY('ادخال البيانات'!$N$3:$N$1164)-1)/7)+1 = VALUE($B$11))),
            'ادخال البيانات'!$D$3:$D$1164
         ),
         ""
      ),
      IF(_xlpm.result="", "", _xlpm.result)
   )
)</f>
        <v/>
      </c>
      <c r="E874" s="27" t="str" cm="1">
        <f t="array" ref="E874">IF(
   A874="",
   "",
   _xlfn.LET(
      _xlpm.result,
      IFERROR(
         _xlfn.XLOOKUP(
            1,
            (Table8[رقم الصنف]=A874) *
            (IF($B$9="الكل",1, YEAR('ادخال البيانات'!$N$3:$N$1164)=VALUE($B$9))) *
            (IF($B$10="الكل",1, MONTH('ادخال البيانات'!$N$3:$N$1164)=VALUE($B$10))) *
            (IF($B$11="الكل",1, INT((DAY('ادخال البيانات'!$N$3:$N$1164)-1)/7)+1 = VALUE($B$11))),
            'ادخال البيانات'!$E$3:$E$1164
         ),
         ""
      ),
      IF(_xlpm.result="", "", _xlpm.result)
   )
)</f>
        <v/>
      </c>
      <c r="F874" s="27" t="str" cm="1">
        <f t="array" ref="F874">IF(
   A874="",
   "",
   _xlfn.LET(
      _xlpm.result,
      IFERROR(
         _xlfn.XLOOKUP(
            1,
            (Table8[رقم الصنف]=A874) *
            (IF($B$9="الكل",1, YEAR('ادخال البيانات'!$N$3:$N$1164) = VALUE($B$9))) *
            (IF($B$10="الكل",1, MONTH('ادخال البيانات'!$N$3:$N$1164) = VALUE($B$10))) *
            (IF($B$11="الكل",1, INT((DAY('ادخال البيانات'!$N$3:$N$1164)-1)/7)+1 = VALUE($B$11))),
            'ادخال البيانات'!$F$3:$F$1164
         ),
         ""
      ),
      IF(_xlpm.result="", "", _xlpm.result)
   )
)</f>
        <v/>
      </c>
      <c r="G874" s="27" t="str" cm="1">
        <f t="array" ref="G874">IF(
   A874="",
   "",
   _xlfn.LET(
      _xlpm.result,
      IFERROR(
         _xlfn.XLOOKUP(
            1,
            (Table8[رقم الصنف]=A874) *
            (IF($B$9="الكل",1, YEAR('ادخال البيانات'!$N$3:$N$1164)=VALUE($B$9))) *
            (IF($B$10="الكل",1, MONTH('ادخال البيانات'!$N$3:$N$1164)=VALUE($B$10))) *
            (IF($B$11="الكل",1, INT((DAY('ادخال البيانات'!$N$3:$N$1164)-1)/7)+1 = VALUE($B$11))),
            'ادخال البيانات'!$G$3:$G$1164
         ),
         ""
      ),
      IF(_xlpm.result="", "", _xlpm.result)
   )
)</f>
        <v/>
      </c>
      <c r="H874" s="27" t="str" cm="1">
        <f t="array" ref="H874">IF(
   A874="",
   "",
   _xlfn.LET(
      _xlpm.result,
      IFERROR(
         _xlfn.XLOOKUP(
            1,
            (Table8[رقم الصنف]=A874) *
            (IF($B$9="الكل",1, YEAR('ادخال البيانات'!$N$3:$N$1164)=VALUE($B$9))) *
            (IF($B$10="الكل",1, MONTH('ادخال البيانات'!$N$3:$N$1164)=VALUE($B$10))) *
            (IF($B$11="الكل",1, INT((DAY('ادخال البيانات'!$N$3:$N$1164)-1)/7)+1 = VALUE($B$11))),
            'ادخال البيانات'!$H$3:$H$1164
         ),
         ""
      ),
      IF(_xlpm.result="", "", _xlpm.result)
   )
)</f>
        <v/>
      </c>
      <c r="I874" s="27" t="str" cm="1">
        <f t="array" ref="I874">IF(
   A874="",
   "",
   _xlfn.LET(
      _xlpm.result,
      IFERROR(
         _xlfn.XLOOKUP(
            1,
            (Table8[رقم الصنف]=A874) *
            (IF($B$9="الكل",1, YEAR('ادخال البيانات'!$N$3:$N$1164)=VALUE($B$9))) *
            (IF($B$10="الكل",1, MONTH('ادخال البيانات'!$N$3:$N$1164)=VALUE($B$10))) *
            (IF($B$11="الكل",1, INT((DAY('ادخال البيانات'!$N$3:$N$1164)-1)/7)+1 = VALUE($B$11))),
            'ادخال البيانات'!$I$3:$I$1164
         ),
         ""
      ),
      IF(_xlpm.result="", "", _xlpm.result)
   )
)</f>
        <v/>
      </c>
      <c r="J874" s="27" t="str" cm="1">
        <f t="array" ref="J874">IF(
   A874="",
   "",
   _xlfn.LET(
      _xlpm.result,
      IFERROR(
         _xlfn.XLOOKUP(
            1,
            (Table8[رقم الصنف]=A874) *
            (IF($B$9="الكل",1, YEAR('ادخال البيانات'!$N$3:$N$1164)=VALUE($B$9))) *
            (IF($B$10="الكل",1, MONTH('ادخال البيانات'!$N$3:$N$1164)=VALUE($B$10))) *
            (IF($B$11="الكل",1, INT((DAY('ادخال البيانات'!$N$3:$N$1164)-1)/7)+1 = VALUE($B$11))),
            'ادخال البيانات'!$J$3:$J$1164
         ),
         ""
      ),
      IF(_xlpm.result="", "", _xlpm.result)
   )
)</f>
        <v/>
      </c>
      <c r="K874" s="27" t="str" cm="1">
        <f t="array" ref="K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4" s="27" t="str" cm="1">
        <f t="array" ref="L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4" s="27" t="str" cm="1">
        <f t="array" ref="M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4" s="28" t="str" cm="1">
        <f t="array" ref="N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4" s="28" t="str" cm="1">
        <f t="array" ref="O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4" s="27" t="str" cm="1">
        <f t="array" ref="P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Table8[جهة العطل]
         ),
         ""
      ),
      IF(_xlpm.result="", "", _xlpm.result)
   )
)</f>
        <v/>
      </c>
      <c r="Q874" s="27" t="str" cm="1">
        <f t="array" ref="Q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Table8[المركز]
         ),
         ""
      ),
      IF(_xlpm.result="", "", _xlpm.result)
   )
)</f>
        <v/>
      </c>
      <c r="R874" s="27" t="str" cm="1">
        <f t="array" ref="R874">IF(
   A874="",
   "",
   _xlfn.LET(
      _xlpm.result,
      IFERROR(
         _xlfn.XLOOKUP(
            1,
            (Table8[رقم الصنف]=A874) *
            (IF($B$9="الكل",1, YEAR('ادخال البيانات'!$N$3:$N$1164) = VALUE($B$9))) *
            (IF($B$10="الكل",1, MONTH('ادخال البيانات'!$N$3:$N$1164) = VALUE($B$10))) *
            (IF($B$11="الكل",1, INT((DAY('ادخال البيانات'!$N$3:$N$1164) - 1) / 7) + 1 = VALUE($B$11))),
            Table8[ملاحظة]
         ),
         ""
      ),
      IF(_xlpm.result="", "", _xlpm.result)
   )
)</f>
        <v/>
      </c>
      <c r="S874" s="46" t="str">
        <f t="shared" ca="1" si="14"/>
        <v/>
      </c>
    </row>
    <row r="875" spans="1:19" ht="15.6" thickTop="1" thickBot="1" x14ac:dyDescent="0.35">
      <c r="A875" s="39"/>
      <c r="B875" s="27" t="str" cm="1">
        <f t="array" ref="B875">IF(
   OR(A875="", $B$9="", $B$10="", $B$11=""),
   "",
   _xlfn.LET(
      _xlpm.result,
      IFERROR(
         _xlfn.XLOOKUP(
            1,
            (Table8[رقم الصنف]=A875)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5" s="27" t="str" cm="1">
        <f t="array" ref="C875">IF(
   A875="",
   "",
   _xlfn.LET(
      _xlpm.result,
      IFERROR(
         _xlfn.XLOOKUP(
            1,
            (Table8[رقم الصنف]=A875) *
            (IF($B$9="الكل",1, YEAR('ادخال البيانات'!$N$3:$N$1164) = VALUE($B$9))) *
            (IF($B$10="الكل",1, MONTH('ادخال البيانات'!$N$3:$N$1164) = VALUE($B$10))) *
            (IF($B$11="الكل",1, INT((DAY('ادخال البيانات'!$N$3:$N$1164)-1)/7)+1 = VALUE($B$11))),
            'ادخال البيانات'!$C$3:$C$1164
         ),
         ""
      ),
      IF(_xlpm.result="", "", _xlpm.result)
   )
)</f>
        <v/>
      </c>
      <c r="D875" s="27" t="str" cm="1">
        <f t="array" ref="D875">IF(
   OR(A875="", $B$9="", $B$10="", $B$11=""),
   "",
   _xlfn.LET(
      _xlpm.result,
      IFERROR(
         _xlfn.XLOOKUP(
            1,
            (Table8[رقم الصنف]=A875) *
            (IF($B$9="الكل",1, YEAR('ادخال البيانات'!$N$3:$N$1164)=VALUE($B$9))) *
            (IF($B$10="الكل",1, MONTH('ادخال البيانات'!$N$3:$N$1164)=VALUE($B$10))) *
            (IF($B$11="الكل",1, INT((DAY('ادخال البيانات'!$N$3:$N$1164)-1)/7)+1 = VALUE($B$11))),
            'ادخال البيانات'!$D$3:$D$1164
         ),
         ""
      ),
      IF(_xlpm.result="", "", _xlpm.result)
   )
)</f>
        <v/>
      </c>
      <c r="E875" s="27" t="str" cm="1">
        <f t="array" ref="E875">IF(
   A875="",
   "",
   _xlfn.LET(
      _xlpm.result,
      IFERROR(
         _xlfn.XLOOKUP(
            1,
            (Table8[رقم الصنف]=A875) *
            (IF($B$9="الكل",1, YEAR('ادخال البيانات'!$N$3:$N$1164)=VALUE($B$9))) *
            (IF($B$10="الكل",1, MONTH('ادخال البيانات'!$N$3:$N$1164)=VALUE($B$10))) *
            (IF($B$11="الكل",1, INT((DAY('ادخال البيانات'!$N$3:$N$1164)-1)/7)+1 = VALUE($B$11))),
            'ادخال البيانات'!$E$3:$E$1164
         ),
         ""
      ),
      IF(_xlpm.result="", "", _xlpm.result)
   )
)</f>
        <v/>
      </c>
      <c r="F875" s="27" t="str" cm="1">
        <f t="array" ref="F875">IF(
   A875="",
   "",
   _xlfn.LET(
      _xlpm.result,
      IFERROR(
         _xlfn.XLOOKUP(
            1,
            (Table8[رقم الصنف]=A875) *
            (IF($B$9="الكل",1, YEAR('ادخال البيانات'!$N$3:$N$1164) = VALUE($B$9))) *
            (IF($B$10="الكل",1, MONTH('ادخال البيانات'!$N$3:$N$1164) = VALUE($B$10))) *
            (IF($B$11="الكل",1, INT((DAY('ادخال البيانات'!$N$3:$N$1164)-1)/7)+1 = VALUE($B$11))),
            'ادخال البيانات'!$F$3:$F$1164
         ),
         ""
      ),
      IF(_xlpm.result="", "", _xlpm.result)
   )
)</f>
        <v/>
      </c>
      <c r="G875" s="27" t="str" cm="1">
        <f t="array" ref="G875">IF(
   A875="",
   "",
   _xlfn.LET(
      _xlpm.result,
      IFERROR(
         _xlfn.XLOOKUP(
            1,
            (Table8[رقم الصنف]=A875) *
            (IF($B$9="الكل",1, YEAR('ادخال البيانات'!$N$3:$N$1164)=VALUE($B$9))) *
            (IF($B$10="الكل",1, MONTH('ادخال البيانات'!$N$3:$N$1164)=VALUE($B$10))) *
            (IF($B$11="الكل",1, INT((DAY('ادخال البيانات'!$N$3:$N$1164)-1)/7)+1 = VALUE($B$11))),
            'ادخال البيانات'!$G$3:$G$1164
         ),
         ""
      ),
      IF(_xlpm.result="", "", _xlpm.result)
   )
)</f>
        <v/>
      </c>
      <c r="H875" s="27" t="str" cm="1">
        <f t="array" ref="H875">IF(
   A875="",
   "",
   _xlfn.LET(
      _xlpm.result,
      IFERROR(
         _xlfn.XLOOKUP(
            1,
            (Table8[رقم الصنف]=A875) *
            (IF($B$9="الكل",1, YEAR('ادخال البيانات'!$N$3:$N$1164)=VALUE($B$9))) *
            (IF($B$10="الكل",1, MONTH('ادخال البيانات'!$N$3:$N$1164)=VALUE($B$10))) *
            (IF($B$11="الكل",1, INT((DAY('ادخال البيانات'!$N$3:$N$1164)-1)/7)+1 = VALUE($B$11))),
            'ادخال البيانات'!$H$3:$H$1164
         ),
         ""
      ),
      IF(_xlpm.result="", "", _xlpm.result)
   )
)</f>
        <v/>
      </c>
      <c r="I875" s="27" t="str" cm="1">
        <f t="array" ref="I875">IF(
   A875="",
   "",
   _xlfn.LET(
      _xlpm.result,
      IFERROR(
         _xlfn.XLOOKUP(
            1,
            (Table8[رقم الصنف]=A875) *
            (IF($B$9="الكل",1, YEAR('ادخال البيانات'!$N$3:$N$1164)=VALUE($B$9))) *
            (IF($B$10="الكل",1, MONTH('ادخال البيانات'!$N$3:$N$1164)=VALUE($B$10))) *
            (IF($B$11="الكل",1, INT((DAY('ادخال البيانات'!$N$3:$N$1164)-1)/7)+1 = VALUE($B$11))),
            'ادخال البيانات'!$I$3:$I$1164
         ),
         ""
      ),
      IF(_xlpm.result="", "", _xlpm.result)
   )
)</f>
        <v/>
      </c>
      <c r="J875" s="27" t="str" cm="1">
        <f t="array" ref="J875">IF(
   A875="",
   "",
   _xlfn.LET(
      _xlpm.result,
      IFERROR(
         _xlfn.XLOOKUP(
            1,
            (Table8[رقم الصنف]=A875) *
            (IF($B$9="الكل",1, YEAR('ادخال البيانات'!$N$3:$N$1164)=VALUE($B$9))) *
            (IF($B$10="الكل",1, MONTH('ادخال البيانات'!$N$3:$N$1164)=VALUE($B$10))) *
            (IF($B$11="الكل",1, INT((DAY('ادخال البيانات'!$N$3:$N$1164)-1)/7)+1 = VALUE($B$11))),
            'ادخال البيانات'!$J$3:$J$1164
         ),
         ""
      ),
      IF(_xlpm.result="", "", _xlpm.result)
   )
)</f>
        <v/>
      </c>
      <c r="K875" s="27" t="str" cm="1">
        <f t="array" ref="K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5" s="27" t="str" cm="1">
        <f t="array" ref="L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5" s="27" t="str" cm="1">
        <f t="array" ref="M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5" s="28" t="str" cm="1">
        <f t="array" ref="N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5" s="28" t="str" cm="1">
        <f t="array" ref="O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5" s="27" t="str" cm="1">
        <f t="array" ref="P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Table8[جهة العطل]
         ),
         ""
      ),
      IF(_xlpm.result="", "", _xlpm.result)
   )
)</f>
        <v/>
      </c>
      <c r="Q875" s="27" t="str" cm="1">
        <f t="array" ref="Q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Table8[المركز]
         ),
         ""
      ),
      IF(_xlpm.result="", "", _xlpm.result)
   )
)</f>
        <v/>
      </c>
      <c r="R875" s="27" t="str" cm="1">
        <f t="array" ref="R875">IF(
   A875="",
   "",
   _xlfn.LET(
      _xlpm.result,
      IFERROR(
         _xlfn.XLOOKUP(
            1,
            (Table8[رقم الصنف]=A875) *
            (IF($B$9="الكل",1, YEAR('ادخال البيانات'!$N$3:$N$1164) = VALUE($B$9))) *
            (IF($B$10="الكل",1, MONTH('ادخال البيانات'!$N$3:$N$1164) = VALUE($B$10))) *
            (IF($B$11="الكل",1, INT((DAY('ادخال البيانات'!$N$3:$N$1164) - 1) / 7) + 1 = VALUE($B$11))),
            Table8[ملاحظة]
         ),
         ""
      ),
      IF(_xlpm.result="", "", _xlpm.result)
   )
)</f>
        <v/>
      </c>
      <c r="S875" s="46" t="str">
        <f t="shared" ca="1" si="14"/>
        <v/>
      </c>
    </row>
    <row r="876" spans="1:19" ht="15.6" thickTop="1" thickBot="1" x14ac:dyDescent="0.35">
      <c r="A876" s="39"/>
      <c r="B876" s="27" t="str" cm="1">
        <f t="array" ref="B876">IF(
   OR(A876="", $B$9="", $B$10="", $B$11=""),
   "",
   _xlfn.LET(
      _xlpm.result,
      IFERROR(
         _xlfn.XLOOKUP(
            1,
            (Table8[رقم الصنف]=A876)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6" s="27" t="str" cm="1">
        <f t="array" ref="C876">IF(
   A876="",
   "",
   _xlfn.LET(
      _xlpm.result,
      IFERROR(
         _xlfn.XLOOKUP(
            1,
            (Table8[رقم الصنف]=A876) *
            (IF($B$9="الكل",1, YEAR('ادخال البيانات'!$N$3:$N$1164) = VALUE($B$9))) *
            (IF($B$10="الكل",1, MONTH('ادخال البيانات'!$N$3:$N$1164) = VALUE($B$10))) *
            (IF($B$11="الكل",1, INT((DAY('ادخال البيانات'!$N$3:$N$1164)-1)/7)+1 = VALUE($B$11))),
            'ادخال البيانات'!$C$3:$C$1164
         ),
         ""
      ),
      IF(_xlpm.result="", "", _xlpm.result)
   )
)</f>
        <v/>
      </c>
      <c r="D876" s="27" t="str" cm="1">
        <f t="array" ref="D876">IF(
   OR(A876="", $B$9="", $B$10="", $B$11=""),
   "",
   _xlfn.LET(
      _xlpm.result,
      IFERROR(
         _xlfn.XLOOKUP(
            1,
            (Table8[رقم الصنف]=A876) *
            (IF($B$9="الكل",1, YEAR('ادخال البيانات'!$N$3:$N$1164)=VALUE($B$9))) *
            (IF($B$10="الكل",1, MONTH('ادخال البيانات'!$N$3:$N$1164)=VALUE($B$10))) *
            (IF($B$11="الكل",1, INT((DAY('ادخال البيانات'!$N$3:$N$1164)-1)/7)+1 = VALUE($B$11))),
            'ادخال البيانات'!$D$3:$D$1164
         ),
         ""
      ),
      IF(_xlpm.result="", "", _xlpm.result)
   )
)</f>
        <v/>
      </c>
      <c r="E876" s="27" t="str" cm="1">
        <f t="array" ref="E876">IF(
   A876="",
   "",
   _xlfn.LET(
      _xlpm.result,
      IFERROR(
         _xlfn.XLOOKUP(
            1,
            (Table8[رقم الصنف]=A876) *
            (IF($B$9="الكل",1, YEAR('ادخال البيانات'!$N$3:$N$1164)=VALUE($B$9))) *
            (IF($B$10="الكل",1, MONTH('ادخال البيانات'!$N$3:$N$1164)=VALUE($B$10))) *
            (IF($B$11="الكل",1, INT((DAY('ادخال البيانات'!$N$3:$N$1164)-1)/7)+1 = VALUE($B$11))),
            'ادخال البيانات'!$E$3:$E$1164
         ),
         ""
      ),
      IF(_xlpm.result="", "", _xlpm.result)
   )
)</f>
        <v/>
      </c>
      <c r="F876" s="27" t="str" cm="1">
        <f t="array" ref="F876">IF(
   A876="",
   "",
   _xlfn.LET(
      _xlpm.result,
      IFERROR(
         _xlfn.XLOOKUP(
            1,
            (Table8[رقم الصنف]=A876) *
            (IF($B$9="الكل",1, YEAR('ادخال البيانات'!$N$3:$N$1164) = VALUE($B$9))) *
            (IF($B$10="الكل",1, MONTH('ادخال البيانات'!$N$3:$N$1164) = VALUE($B$10))) *
            (IF($B$11="الكل",1, INT((DAY('ادخال البيانات'!$N$3:$N$1164)-1)/7)+1 = VALUE($B$11))),
            'ادخال البيانات'!$F$3:$F$1164
         ),
         ""
      ),
      IF(_xlpm.result="", "", _xlpm.result)
   )
)</f>
        <v/>
      </c>
      <c r="G876" s="27" t="str" cm="1">
        <f t="array" ref="G876">IF(
   A876="",
   "",
   _xlfn.LET(
      _xlpm.result,
      IFERROR(
         _xlfn.XLOOKUP(
            1,
            (Table8[رقم الصنف]=A876) *
            (IF($B$9="الكل",1, YEAR('ادخال البيانات'!$N$3:$N$1164)=VALUE($B$9))) *
            (IF($B$10="الكل",1, MONTH('ادخال البيانات'!$N$3:$N$1164)=VALUE($B$10))) *
            (IF($B$11="الكل",1, INT((DAY('ادخال البيانات'!$N$3:$N$1164)-1)/7)+1 = VALUE($B$11))),
            'ادخال البيانات'!$G$3:$G$1164
         ),
         ""
      ),
      IF(_xlpm.result="", "", _xlpm.result)
   )
)</f>
        <v/>
      </c>
      <c r="H876" s="27" t="str" cm="1">
        <f t="array" ref="H876">IF(
   A876="",
   "",
   _xlfn.LET(
      _xlpm.result,
      IFERROR(
         _xlfn.XLOOKUP(
            1,
            (Table8[رقم الصنف]=A876) *
            (IF($B$9="الكل",1, YEAR('ادخال البيانات'!$N$3:$N$1164)=VALUE($B$9))) *
            (IF($B$10="الكل",1, MONTH('ادخال البيانات'!$N$3:$N$1164)=VALUE($B$10))) *
            (IF($B$11="الكل",1, INT((DAY('ادخال البيانات'!$N$3:$N$1164)-1)/7)+1 = VALUE($B$11))),
            'ادخال البيانات'!$H$3:$H$1164
         ),
         ""
      ),
      IF(_xlpm.result="", "", _xlpm.result)
   )
)</f>
        <v/>
      </c>
      <c r="I876" s="27" t="str" cm="1">
        <f t="array" ref="I876">IF(
   A876="",
   "",
   _xlfn.LET(
      _xlpm.result,
      IFERROR(
         _xlfn.XLOOKUP(
            1,
            (Table8[رقم الصنف]=A876) *
            (IF($B$9="الكل",1, YEAR('ادخال البيانات'!$N$3:$N$1164)=VALUE($B$9))) *
            (IF($B$10="الكل",1, MONTH('ادخال البيانات'!$N$3:$N$1164)=VALUE($B$10))) *
            (IF($B$11="الكل",1, INT((DAY('ادخال البيانات'!$N$3:$N$1164)-1)/7)+1 = VALUE($B$11))),
            'ادخال البيانات'!$I$3:$I$1164
         ),
         ""
      ),
      IF(_xlpm.result="", "", _xlpm.result)
   )
)</f>
        <v/>
      </c>
      <c r="J876" s="27" t="str" cm="1">
        <f t="array" ref="J876">IF(
   A876="",
   "",
   _xlfn.LET(
      _xlpm.result,
      IFERROR(
         _xlfn.XLOOKUP(
            1,
            (Table8[رقم الصنف]=A876) *
            (IF($B$9="الكل",1, YEAR('ادخال البيانات'!$N$3:$N$1164)=VALUE($B$9))) *
            (IF($B$10="الكل",1, MONTH('ادخال البيانات'!$N$3:$N$1164)=VALUE($B$10))) *
            (IF($B$11="الكل",1, INT((DAY('ادخال البيانات'!$N$3:$N$1164)-1)/7)+1 = VALUE($B$11))),
            'ادخال البيانات'!$J$3:$J$1164
         ),
         ""
      ),
      IF(_xlpm.result="", "", _xlpm.result)
   )
)</f>
        <v/>
      </c>
      <c r="K876" s="27" t="str" cm="1">
        <f t="array" ref="K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6" s="27" t="str" cm="1">
        <f t="array" ref="L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6" s="27" t="str" cm="1">
        <f t="array" ref="M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6" s="28" t="str" cm="1">
        <f t="array" ref="N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6" s="28" t="str" cm="1">
        <f t="array" ref="O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6" s="27" t="str" cm="1">
        <f t="array" ref="P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Table8[جهة العطل]
         ),
         ""
      ),
      IF(_xlpm.result="", "", _xlpm.result)
   )
)</f>
        <v/>
      </c>
      <c r="Q876" s="27" t="str" cm="1">
        <f t="array" ref="Q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Table8[المركز]
         ),
         ""
      ),
      IF(_xlpm.result="", "", _xlpm.result)
   )
)</f>
        <v/>
      </c>
      <c r="R876" s="27" t="str" cm="1">
        <f t="array" ref="R876">IF(
   A876="",
   "",
   _xlfn.LET(
      _xlpm.result,
      IFERROR(
         _xlfn.XLOOKUP(
            1,
            (Table8[رقم الصنف]=A876) *
            (IF($B$9="الكل",1, YEAR('ادخال البيانات'!$N$3:$N$1164) = VALUE($B$9))) *
            (IF($B$10="الكل",1, MONTH('ادخال البيانات'!$N$3:$N$1164) = VALUE($B$10))) *
            (IF($B$11="الكل",1, INT((DAY('ادخال البيانات'!$N$3:$N$1164) - 1) / 7) + 1 = VALUE($B$11))),
            Table8[ملاحظة]
         ),
         ""
      ),
      IF(_xlpm.result="", "", _xlpm.result)
   )
)</f>
        <v/>
      </c>
      <c r="S876" s="46" t="str">
        <f t="shared" ca="1" si="14"/>
        <v/>
      </c>
    </row>
    <row r="877" spans="1:19" ht="15.6" thickTop="1" thickBot="1" x14ac:dyDescent="0.35">
      <c r="A877" s="39"/>
      <c r="B877" s="27" t="str" cm="1">
        <f t="array" ref="B877">IF(
   OR(A877="", $B$9="", $B$10="", $B$11=""),
   "",
   _xlfn.LET(
      _xlpm.result,
      IFERROR(
         _xlfn.XLOOKUP(
            1,
            (Table8[رقم الصنف]=A877)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7" s="27" t="str" cm="1">
        <f t="array" ref="C877">IF(
   A877="",
   "",
   _xlfn.LET(
      _xlpm.result,
      IFERROR(
         _xlfn.XLOOKUP(
            1,
            (Table8[رقم الصنف]=A877) *
            (IF($B$9="الكل",1, YEAR('ادخال البيانات'!$N$3:$N$1164) = VALUE($B$9))) *
            (IF($B$10="الكل",1, MONTH('ادخال البيانات'!$N$3:$N$1164) = VALUE($B$10))) *
            (IF($B$11="الكل",1, INT((DAY('ادخال البيانات'!$N$3:$N$1164)-1)/7)+1 = VALUE($B$11))),
            'ادخال البيانات'!$C$3:$C$1164
         ),
         ""
      ),
      IF(_xlpm.result="", "", _xlpm.result)
   )
)</f>
        <v/>
      </c>
      <c r="D877" s="27" t="str" cm="1">
        <f t="array" ref="D877">IF(
   OR(A877="", $B$9="", $B$10="", $B$11=""),
   "",
   _xlfn.LET(
      _xlpm.result,
      IFERROR(
         _xlfn.XLOOKUP(
            1,
            (Table8[رقم الصنف]=A877) *
            (IF($B$9="الكل",1, YEAR('ادخال البيانات'!$N$3:$N$1164)=VALUE($B$9))) *
            (IF($B$10="الكل",1, MONTH('ادخال البيانات'!$N$3:$N$1164)=VALUE($B$10))) *
            (IF($B$11="الكل",1, INT((DAY('ادخال البيانات'!$N$3:$N$1164)-1)/7)+1 = VALUE($B$11))),
            'ادخال البيانات'!$D$3:$D$1164
         ),
         ""
      ),
      IF(_xlpm.result="", "", _xlpm.result)
   )
)</f>
        <v/>
      </c>
      <c r="E877" s="27" t="str" cm="1">
        <f t="array" ref="E877">IF(
   A877="",
   "",
   _xlfn.LET(
      _xlpm.result,
      IFERROR(
         _xlfn.XLOOKUP(
            1,
            (Table8[رقم الصنف]=A877) *
            (IF($B$9="الكل",1, YEAR('ادخال البيانات'!$N$3:$N$1164)=VALUE($B$9))) *
            (IF($B$10="الكل",1, MONTH('ادخال البيانات'!$N$3:$N$1164)=VALUE($B$10))) *
            (IF($B$11="الكل",1, INT((DAY('ادخال البيانات'!$N$3:$N$1164)-1)/7)+1 = VALUE($B$11))),
            'ادخال البيانات'!$E$3:$E$1164
         ),
         ""
      ),
      IF(_xlpm.result="", "", _xlpm.result)
   )
)</f>
        <v/>
      </c>
      <c r="F877" s="27" t="str" cm="1">
        <f t="array" ref="F877">IF(
   A877="",
   "",
   _xlfn.LET(
      _xlpm.result,
      IFERROR(
         _xlfn.XLOOKUP(
            1,
            (Table8[رقم الصنف]=A877) *
            (IF($B$9="الكل",1, YEAR('ادخال البيانات'!$N$3:$N$1164) = VALUE($B$9))) *
            (IF($B$10="الكل",1, MONTH('ادخال البيانات'!$N$3:$N$1164) = VALUE($B$10))) *
            (IF($B$11="الكل",1, INT((DAY('ادخال البيانات'!$N$3:$N$1164)-1)/7)+1 = VALUE($B$11))),
            'ادخال البيانات'!$F$3:$F$1164
         ),
         ""
      ),
      IF(_xlpm.result="", "", _xlpm.result)
   )
)</f>
        <v/>
      </c>
      <c r="G877" s="27" t="str" cm="1">
        <f t="array" ref="G877">IF(
   A877="",
   "",
   _xlfn.LET(
      _xlpm.result,
      IFERROR(
         _xlfn.XLOOKUP(
            1,
            (Table8[رقم الصنف]=A877) *
            (IF($B$9="الكل",1, YEAR('ادخال البيانات'!$N$3:$N$1164)=VALUE($B$9))) *
            (IF($B$10="الكل",1, MONTH('ادخال البيانات'!$N$3:$N$1164)=VALUE($B$10))) *
            (IF($B$11="الكل",1, INT((DAY('ادخال البيانات'!$N$3:$N$1164)-1)/7)+1 = VALUE($B$11))),
            'ادخال البيانات'!$G$3:$G$1164
         ),
         ""
      ),
      IF(_xlpm.result="", "", _xlpm.result)
   )
)</f>
        <v/>
      </c>
      <c r="H877" s="27" t="str" cm="1">
        <f t="array" ref="H877">IF(
   A877="",
   "",
   _xlfn.LET(
      _xlpm.result,
      IFERROR(
         _xlfn.XLOOKUP(
            1,
            (Table8[رقم الصنف]=A877) *
            (IF($B$9="الكل",1, YEAR('ادخال البيانات'!$N$3:$N$1164)=VALUE($B$9))) *
            (IF($B$10="الكل",1, MONTH('ادخال البيانات'!$N$3:$N$1164)=VALUE($B$10))) *
            (IF($B$11="الكل",1, INT((DAY('ادخال البيانات'!$N$3:$N$1164)-1)/7)+1 = VALUE($B$11))),
            'ادخال البيانات'!$H$3:$H$1164
         ),
         ""
      ),
      IF(_xlpm.result="", "", _xlpm.result)
   )
)</f>
        <v/>
      </c>
      <c r="I877" s="27" t="str" cm="1">
        <f t="array" ref="I877">IF(
   A877="",
   "",
   _xlfn.LET(
      _xlpm.result,
      IFERROR(
         _xlfn.XLOOKUP(
            1,
            (Table8[رقم الصنف]=A877) *
            (IF($B$9="الكل",1, YEAR('ادخال البيانات'!$N$3:$N$1164)=VALUE($B$9))) *
            (IF($B$10="الكل",1, MONTH('ادخال البيانات'!$N$3:$N$1164)=VALUE($B$10))) *
            (IF($B$11="الكل",1, INT((DAY('ادخال البيانات'!$N$3:$N$1164)-1)/7)+1 = VALUE($B$11))),
            'ادخال البيانات'!$I$3:$I$1164
         ),
         ""
      ),
      IF(_xlpm.result="", "", _xlpm.result)
   )
)</f>
        <v/>
      </c>
      <c r="J877" s="27" t="str" cm="1">
        <f t="array" ref="J877">IF(
   A877="",
   "",
   _xlfn.LET(
      _xlpm.result,
      IFERROR(
         _xlfn.XLOOKUP(
            1,
            (Table8[رقم الصنف]=A877) *
            (IF($B$9="الكل",1, YEAR('ادخال البيانات'!$N$3:$N$1164)=VALUE($B$9))) *
            (IF($B$10="الكل",1, MONTH('ادخال البيانات'!$N$3:$N$1164)=VALUE($B$10))) *
            (IF($B$11="الكل",1, INT((DAY('ادخال البيانات'!$N$3:$N$1164)-1)/7)+1 = VALUE($B$11))),
            'ادخال البيانات'!$J$3:$J$1164
         ),
         ""
      ),
      IF(_xlpm.result="", "", _xlpm.result)
   )
)</f>
        <v/>
      </c>
      <c r="K877" s="27" t="str" cm="1">
        <f t="array" ref="K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7" s="27" t="str" cm="1">
        <f t="array" ref="L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7" s="27" t="str" cm="1">
        <f t="array" ref="M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7" s="28" t="str" cm="1">
        <f t="array" ref="N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7" s="28" t="str" cm="1">
        <f t="array" ref="O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7" s="27" t="str" cm="1">
        <f t="array" ref="P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Table8[جهة العطل]
         ),
         ""
      ),
      IF(_xlpm.result="", "", _xlpm.result)
   )
)</f>
        <v/>
      </c>
      <c r="Q877" s="27" t="str" cm="1">
        <f t="array" ref="Q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Table8[المركز]
         ),
         ""
      ),
      IF(_xlpm.result="", "", _xlpm.result)
   )
)</f>
        <v/>
      </c>
      <c r="R877" s="27" t="str" cm="1">
        <f t="array" ref="R877">IF(
   A877="",
   "",
   _xlfn.LET(
      _xlpm.result,
      IFERROR(
         _xlfn.XLOOKUP(
            1,
            (Table8[رقم الصنف]=A877) *
            (IF($B$9="الكل",1, YEAR('ادخال البيانات'!$N$3:$N$1164) = VALUE($B$9))) *
            (IF($B$10="الكل",1, MONTH('ادخال البيانات'!$N$3:$N$1164) = VALUE($B$10))) *
            (IF($B$11="الكل",1, INT((DAY('ادخال البيانات'!$N$3:$N$1164) - 1) / 7) + 1 = VALUE($B$11))),
            Table8[ملاحظة]
         ),
         ""
      ),
      IF(_xlpm.result="", "", _xlpm.result)
   )
)</f>
        <v/>
      </c>
      <c r="S877" s="46" t="str">
        <f t="shared" ca="1" si="14"/>
        <v/>
      </c>
    </row>
    <row r="878" spans="1:19" ht="15.6" thickTop="1" thickBot="1" x14ac:dyDescent="0.35">
      <c r="A878" s="39"/>
      <c r="B878" s="27" t="str" cm="1">
        <f t="array" ref="B878">IF(
   OR(A878="", $B$9="", $B$10="", $B$11=""),
   "",
   _xlfn.LET(
      _xlpm.result,
      IFERROR(
         _xlfn.XLOOKUP(
            1,
            (Table8[رقم الصنف]=A878)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8" s="27" t="str" cm="1">
        <f t="array" ref="C878">IF(
   A878="",
   "",
   _xlfn.LET(
      _xlpm.result,
      IFERROR(
         _xlfn.XLOOKUP(
            1,
            (Table8[رقم الصنف]=A878) *
            (IF($B$9="الكل",1, YEAR('ادخال البيانات'!$N$3:$N$1164) = VALUE($B$9))) *
            (IF($B$10="الكل",1, MONTH('ادخال البيانات'!$N$3:$N$1164) = VALUE($B$10))) *
            (IF($B$11="الكل",1, INT((DAY('ادخال البيانات'!$N$3:$N$1164)-1)/7)+1 = VALUE($B$11))),
            'ادخال البيانات'!$C$3:$C$1164
         ),
         ""
      ),
      IF(_xlpm.result="", "", _xlpm.result)
   )
)</f>
        <v/>
      </c>
      <c r="D878" s="27" t="str" cm="1">
        <f t="array" ref="D878">IF(
   OR(A878="", $B$9="", $B$10="", $B$11=""),
   "",
   _xlfn.LET(
      _xlpm.result,
      IFERROR(
         _xlfn.XLOOKUP(
            1,
            (Table8[رقم الصنف]=A878) *
            (IF($B$9="الكل",1, YEAR('ادخال البيانات'!$N$3:$N$1164)=VALUE($B$9))) *
            (IF($B$10="الكل",1, MONTH('ادخال البيانات'!$N$3:$N$1164)=VALUE($B$10))) *
            (IF($B$11="الكل",1, INT((DAY('ادخال البيانات'!$N$3:$N$1164)-1)/7)+1 = VALUE($B$11))),
            'ادخال البيانات'!$D$3:$D$1164
         ),
         ""
      ),
      IF(_xlpm.result="", "", _xlpm.result)
   )
)</f>
        <v/>
      </c>
      <c r="E878" s="27" t="str" cm="1">
        <f t="array" ref="E878">IF(
   A878="",
   "",
   _xlfn.LET(
      _xlpm.result,
      IFERROR(
         _xlfn.XLOOKUP(
            1,
            (Table8[رقم الصنف]=A878) *
            (IF($B$9="الكل",1, YEAR('ادخال البيانات'!$N$3:$N$1164)=VALUE($B$9))) *
            (IF($B$10="الكل",1, MONTH('ادخال البيانات'!$N$3:$N$1164)=VALUE($B$10))) *
            (IF($B$11="الكل",1, INT((DAY('ادخال البيانات'!$N$3:$N$1164)-1)/7)+1 = VALUE($B$11))),
            'ادخال البيانات'!$E$3:$E$1164
         ),
         ""
      ),
      IF(_xlpm.result="", "", _xlpm.result)
   )
)</f>
        <v/>
      </c>
      <c r="F878" s="27" t="str" cm="1">
        <f t="array" ref="F878">IF(
   A878="",
   "",
   _xlfn.LET(
      _xlpm.result,
      IFERROR(
         _xlfn.XLOOKUP(
            1,
            (Table8[رقم الصنف]=A878) *
            (IF($B$9="الكل",1, YEAR('ادخال البيانات'!$N$3:$N$1164) = VALUE($B$9))) *
            (IF($B$10="الكل",1, MONTH('ادخال البيانات'!$N$3:$N$1164) = VALUE($B$10))) *
            (IF($B$11="الكل",1, INT((DAY('ادخال البيانات'!$N$3:$N$1164)-1)/7)+1 = VALUE($B$11))),
            'ادخال البيانات'!$F$3:$F$1164
         ),
         ""
      ),
      IF(_xlpm.result="", "", _xlpm.result)
   )
)</f>
        <v/>
      </c>
      <c r="G878" s="27" t="str" cm="1">
        <f t="array" ref="G878">IF(
   A878="",
   "",
   _xlfn.LET(
      _xlpm.result,
      IFERROR(
         _xlfn.XLOOKUP(
            1,
            (Table8[رقم الصنف]=A878) *
            (IF($B$9="الكل",1, YEAR('ادخال البيانات'!$N$3:$N$1164)=VALUE($B$9))) *
            (IF($B$10="الكل",1, MONTH('ادخال البيانات'!$N$3:$N$1164)=VALUE($B$10))) *
            (IF($B$11="الكل",1, INT((DAY('ادخال البيانات'!$N$3:$N$1164)-1)/7)+1 = VALUE($B$11))),
            'ادخال البيانات'!$G$3:$G$1164
         ),
         ""
      ),
      IF(_xlpm.result="", "", _xlpm.result)
   )
)</f>
        <v/>
      </c>
      <c r="H878" s="27" t="str" cm="1">
        <f t="array" ref="H878">IF(
   A878="",
   "",
   _xlfn.LET(
      _xlpm.result,
      IFERROR(
         _xlfn.XLOOKUP(
            1,
            (Table8[رقم الصنف]=A878) *
            (IF($B$9="الكل",1, YEAR('ادخال البيانات'!$N$3:$N$1164)=VALUE($B$9))) *
            (IF($B$10="الكل",1, MONTH('ادخال البيانات'!$N$3:$N$1164)=VALUE($B$10))) *
            (IF($B$11="الكل",1, INT((DAY('ادخال البيانات'!$N$3:$N$1164)-1)/7)+1 = VALUE($B$11))),
            'ادخال البيانات'!$H$3:$H$1164
         ),
         ""
      ),
      IF(_xlpm.result="", "", _xlpm.result)
   )
)</f>
        <v/>
      </c>
      <c r="I878" s="27" t="str" cm="1">
        <f t="array" ref="I878">IF(
   A878="",
   "",
   _xlfn.LET(
      _xlpm.result,
      IFERROR(
         _xlfn.XLOOKUP(
            1,
            (Table8[رقم الصنف]=A878) *
            (IF($B$9="الكل",1, YEAR('ادخال البيانات'!$N$3:$N$1164)=VALUE($B$9))) *
            (IF($B$10="الكل",1, MONTH('ادخال البيانات'!$N$3:$N$1164)=VALUE($B$10))) *
            (IF($B$11="الكل",1, INT((DAY('ادخال البيانات'!$N$3:$N$1164)-1)/7)+1 = VALUE($B$11))),
            'ادخال البيانات'!$I$3:$I$1164
         ),
         ""
      ),
      IF(_xlpm.result="", "", _xlpm.result)
   )
)</f>
        <v/>
      </c>
      <c r="J878" s="27" t="str" cm="1">
        <f t="array" ref="J878">IF(
   A878="",
   "",
   _xlfn.LET(
      _xlpm.result,
      IFERROR(
         _xlfn.XLOOKUP(
            1,
            (Table8[رقم الصنف]=A878) *
            (IF($B$9="الكل",1, YEAR('ادخال البيانات'!$N$3:$N$1164)=VALUE($B$9))) *
            (IF($B$10="الكل",1, MONTH('ادخال البيانات'!$N$3:$N$1164)=VALUE($B$10))) *
            (IF($B$11="الكل",1, INT((DAY('ادخال البيانات'!$N$3:$N$1164)-1)/7)+1 = VALUE($B$11))),
            'ادخال البيانات'!$J$3:$J$1164
         ),
         ""
      ),
      IF(_xlpm.result="", "", _xlpm.result)
   )
)</f>
        <v/>
      </c>
      <c r="K878" s="27" t="str" cm="1">
        <f t="array" ref="K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8" s="27" t="str" cm="1">
        <f t="array" ref="L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8" s="27" t="str" cm="1">
        <f t="array" ref="M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8" s="28" t="str" cm="1">
        <f t="array" ref="N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8" s="28" t="str" cm="1">
        <f t="array" ref="O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8" s="27" t="str" cm="1">
        <f t="array" ref="P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Table8[جهة العطل]
         ),
         ""
      ),
      IF(_xlpm.result="", "", _xlpm.result)
   )
)</f>
        <v/>
      </c>
      <c r="Q878" s="27" t="str" cm="1">
        <f t="array" ref="Q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Table8[المركز]
         ),
         ""
      ),
      IF(_xlpm.result="", "", _xlpm.result)
   )
)</f>
        <v/>
      </c>
      <c r="R878" s="27" t="str" cm="1">
        <f t="array" ref="R878">IF(
   A878="",
   "",
   _xlfn.LET(
      _xlpm.result,
      IFERROR(
         _xlfn.XLOOKUP(
            1,
            (Table8[رقم الصنف]=A878) *
            (IF($B$9="الكل",1, YEAR('ادخال البيانات'!$N$3:$N$1164) = VALUE($B$9))) *
            (IF($B$10="الكل",1, MONTH('ادخال البيانات'!$N$3:$N$1164) = VALUE($B$10))) *
            (IF($B$11="الكل",1, INT((DAY('ادخال البيانات'!$N$3:$N$1164) - 1) / 7) + 1 = VALUE($B$11))),
            Table8[ملاحظة]
         ),
         ""
      ),
      IF(_xlpm.result="", "", _xlpm.result)
   )
)</f>
        <v/>
      </c>
      <c r="S878" s="46" t="str">
        <f t="shared" ca="1" si="14"/>
        <v/>
      </c>
    </row>
    <row r="879" spans="1:19" ht="15.6" thickTop="1" thickBot="1" x14ac:dyDescent="0.35">
      <c r="A879" s="39"/>
      <c r="B879" s="27" t="str" cm="1">
        <f t="array" ref="B879">IF(
   OR(A879="", $B$9="", $B$10="", $B$11=""),
   "",
   _xlfn.LET(
      _xlpm.result,
      IFERROR(
         _xlfn.XLOOKUP(
            1,
            (Table8[رقم الصنف]=A879)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79" s="27" t="str" cm="1">
        <f t="array" ref="C879">IF(
   A879="",
   "",
   _xlfn.LET(
      _xlpm.result,
      IFERROR(
         _xlfn.XLOOKUP(
            1,
            (Table8[رقم الصنف]=A879) *
            (IF($B$9="الكل",1, YEAR('ادخال البيانات'!$N$3:$N$1164) = VALUE($B$9))) *
            (IF($B$10="الكل",1, MONTH('ادخال البيانات'!$N$3:$N$1164) = VALUE($B$10))) *
            (IF($B$11="الكل",1, INT((DAY('ادخال البيانات'!$N$3:$N$1164)-1)/7)+1 = VALUE($B$11))),
            'ادخال البيانات'!$C$3:$C$1164
         ),
         ""
      ),
      IF(_xlpm.result="", "", _xlpm.result)
   )
)</f>
        <v/>
      </c>
      <c r="D879" s="27" t="str" cm="1">
        <f t="array" ref="D879">IF(
   OR(A879="", $B$9="", $B$10="", $B$11=""),
   "",
   _xlfn.LET(
      _xlpm.result,
      IFERROR(
         _xlfn.XLOOKUP(
            1,
            (Table8[رقم الصنف]=A879) *
            (IF($B$9="الكل",1, YEAR('ادخال البيانات'!$N$3:$N$1164)=VALUE($B$9))) *
            (IF($B$10="الكل",1, MONTH('ادخال البيانات'!$N$3:$N$1164)=VALUE($B$10))) *
            (IF($B$11="الكل",1, INT((DAY('ادخال البيانات'!$N$3:$N$1164)-1)/7)+1 = VALUE($B$11))),
            'ادخال البيانات'!$D$3:$D$1164
         ),
         ""
      ),
      IF(_xlpm.result="", "", _xlpm.result)
   )
)</f>
        <v/>
      </c>
      <c r="E879" s="27" t="str" cm="1">
        <f t="array" ref="E879">IF(
   A879="",
   "",
   _xlfn.LET(
      _xlpm.result,
      IFERROR(
         _xlfn.XLOOKUP(
            1,
            (Table8[رقم الصنف]=A879) *
            (IF($B$9="الكل",1, YEAR('ادخال البيانات'!$N$3:$N$1164)=VALUE($B$9))) *
            (IF($B$10="الكل",1, MONTH('ادخال البيانات'!$N$3:$N$1164)=VALUE($B$10))) *
            (IF($B$11="الكل",1, INT((DAY('ادخال البيانات'!$N$3:$N$1164)-1)/7)+1 = VALUE($B$11))),
            'ادخال البيانات'!$E$3:$E$1164
         ),
         ""
      ),
      IF(_xlpm.result="", "", _xlpm.result)
   )
)</f>
        <v/>
      </c>
      <c r="F879" s="27" t="str" cm="1">
        <f t="array" ref="F879">IF(
   A879="",
   "",
   _xlfn.LET(
      _xlpm.result,
      IFERROR(
         _xlfn.XLOOKUP(
            1,
            (Table8[رقم الصنف]=A879) *
            (IF($B$9="الكل",1, YEAR('ادخال البيانات'!$N$3:$N$1164) = VALUE($B$9))) *
            (IF($B$10="الكل",1, MONTH('ادخال البيانات'!$N$3:$N$1164) = VALUE($B$10))) *
            (IF($B$11="الكل",1, INT((DAY('ادخال البيانات'!$N$3:$N$1164)-1)/7)+1 = VALUE($B$11))),
            'ادخال البيانات'!$F$3:$F$1164
         ),
         ""
      ),
      IF(_xlpm.result="", "", _xlpm.result)
   )
)</f>
        <v/>
      </c>
      <c r="G879" s="27" t="str" cm="1">
        <f t="array" ref="G879">IF(
   A879="",
   "",
   _xlfn.LET(
      _xlpm.result,
      IFERROR(
         _xlfn.XLOOKUP(
            1,
            (Table8[رقم الصنف]=A879) *
            (IF($B$9="الكل",1, YEAR('ادخال البيانات'!$N$3:$N$1164)=VALUE($B$9))) *
            (IF($B$10="الكل",1, MONTH('ادخال البيانات'!$N$3:$N$1164)=VALUE($B$10))) *
            (IF($B$11="الكل",1, INT((DAY('ادخال البيانات'!$N$3:$N$1164)-1)/7)+1 = VALUE($B$11))),
            'ادخال البيانات'!$G$3:$G$1164
         ),
         ""
      ),
      IF(_xlpm.result="", "", _xlpm.result)
   )
)</f>
        <v/>
      </c>
      <c r="H879" s="27" t="str" cm="1">
        <f t="array" ref="H879">IF(
   A879="",
   "",
   _xlfn.LET(
      _xlpm.result,
      IFERROR(
         _xlfn.XLOOKUP(
            1,
            (Table8[رقم الصنف]=A879) *
            (IF($B$9="الكل",1, YEAR('ادخال البيانات'!$N$3:$N$1164)=VALUE($B$9))) *
            (IF($B$10="الكل",1, MONTH('ادخال البيانات'!$N$3:$N$1164)=VALUE($B$10))) *
            (IF($B$11="الكل",1, INT((DAY('ادخال البيانات'!$N$3:$N$1164)-1)/7)+1 = VALUE($B$11))),
            'ادخال البيانات'!$H$3:$H$1164
         ),
         ""
      ),
      IF(_xlpm.result="", "", _xlpm.result)
   )
)</f>
        <v/>
      </c>
      <c r="I879" s="27" t="str" cm="1">
        <f t="array" ref="I879">IF(
   A879="",
   "",
   _xlfn.LET(
      _xlpm.result,
      IFERROR(
         _xlfn.XLOOKUP(
            1,
            (Table8[رقم الصنف]=A879) *
            (IF($B$9="الكل",1, YEAR('ادخال البيانات'!$N$3:$N$1164)=VALUE($B$9))) *
            (IF($B$10="الكل",1, MONTH('ادخال البيانات'!$N$3:$N$1164)=VALUE($B$10))) *
            (IF($B$11="الكل",1, INT((DAY('ادخال البيانات'!$N$3:$N$1164)-1)/7)+1 = VALUE($B$11))),
            'ادخال البيانات'!$I$3:$I$1164
         ),
         ""
      ),
      IF(_xlpm.result="", "", _xlpm.result)
   )
)</f>
        <v/>
      </c>
      <c r="J879" s="27" t="str" cm="1">
        <f t="array" ref="J879">IF(
   A879="",
   "",
   _xlfn.LET(
      _xlpm.result,
      IFERROR(
         _xlfn.XLOOKUP(
            1,
            (Table8[رقم الصنف]=A879) *
            (IF($B$9="الكل",1, YEAR('ادخال البيانات'!$N$3:$N$1164)=VALUE($B$9))) *
            (IF($B$10="الكل",1, MONTH('ادخال البيانات'!$N$3:$N$1164)=VALUE($B$10))) *
            (IF($B$11="الكل",1, INT((DAY('ادخال البيانات'!$N$3:$N$1164)-1)/7)+1 = VALUE($B$11))),
            'ادخال البيانات'!$J$3:$J$1164
         ),
         ""
      ),
      IF(_xlpm.result="", "", _xlpm.result)
   )
)</f>
        <v/>
      </c>
      <c r="K879" s="27" t="str" cm="1">
        <f t="array" ref="K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79" s="27" t="str" cm="1">
        <f t="array" ref="L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79" s="27" t="str" cm="1">
        <f t="array" ref="M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79" s="28" t="str" cm="1">
        <f t="array" ref="N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79" s="28" t="str" cm="1">
        <f t="array" ref="O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79" s="27" t="str" cm="1">
        <f t="array" ref="P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Table8[جهة العطل]
         ),
         ""
      ),
      IF(_xlpm.result="", "", _xlpm.result)
   )
)</f>
        <v/>
      </c>
      <c r="Q879" s="27" t="str" cm="1">
        <f t="array" ref="Q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Table8[المركز]
         ),
         ""
      ),
      IF(_xlpm.result="", "", _xlpm.result)
   )
)</f>
        <v/>
      </c>
      <c r="R879" s="27" t="str" cm="1">
        <f t="array" ref="R879">IF(
   A879="",
   "",
   _xlfn.LET(
      _xlpm.result,
      IFERROR(
         _xlfn.XLOOKUP(
            1,
            (Table8[رقم الصنف]=A879) *
            (IF($B$9="الكل",1, YEAR('ادخال البيانات'!$N$3:$N$1164) = VALUE($B$9))) *
            (IF($B$10="الكل",1, MONTH('ادخال البيانات'!$N$3:$N$1164) = VALUE($B$10))) *
            (IF($B$11="الكل",1, INT((DAY('ادخال البيانات'!$N$3:$N$1164) - 1) / 7) + 1 = VALUE($B$11))),
            Table8[ملاحظة]
         ),
         ""
      ),
      IF(_xlpm.result="", "", _xlpm.result)
   )
)</f>
        <v/>
      </c>
      <c r="S879" s="46" t="str">
        <f t="shared" ca="1" si="14"/>
        <v/>
      </c>
    </row>
    <row r="880" spans="1:19" ht="15.6" thickTop="1" thickBot="1" x14ac:dyDescent="0.35">
      <c r="A880" s="39"/>
      <c r="B880" s="27" t="str" cm="1">
        <f t="array" ref="B880">IF(
   OR(A880="", $B$9="", $B$10="", $B$11=""),
   "",
   _xlfn.LET(
      _xlpm.result,
      IFERROR(
         _xlfn.XLOOKUP(
            1,
            (Table8[رقم الصنف]=A880)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0" s="27" t="str" cm="1">
        <f t="array" ref="C880">IF(
   A880="",
   "",
   _xlfn.LET(
      _xlpm.result,
      IFERROR(
         _xlfn.XLOOKUP(
            1,
            (Table8[رقم الصنف]=A880) *
            (IF($B$9="الكل",1, YEAR('ادخال البيانات'!$N$3:$N$1164) = VALUE($B$9))) *
            (IF($B$10="الكل",1, MONTH('ادخال البيانات'!$N$3:$N$1164) = VALUE($B$10))) *
            (IF($B$11="الكل",1, INT((DAY('ادخال البيانات'!$N$3:$N$1164)-1)/7)+1 = VALUE($B$11))),
            'ادخال البيانات'!$C$3:$C$1164
         ),
         ""
      ),
      IF(_xlpm.result="", "", _xlpm.result)
   )
)</f>
        <v/>
      </c>
      <c r="D880" s="27" t="str" cm="1">
        <f t="array" ref="D880">IF(
   OR(A880="", $B$9="", $B$10="", $B$11=""),
   "",
   _xlfn.LET(
      _xlpm.result,
      IFERROR(
         _xlfn.XLOOKUP(
            1,
            (Table8[رقم الصنف]=A880) *
            (IF($B$9="الكل",1, YEAR('ادخال البيانات'!$N$3:$N$1164)=VALUE($B$9))) *
            (IF($B$10="الكل",1, MONTH('ادخال البيانات'!$N$3:$N$1164)=VALUE($B$10))) *
            (IF($B$11="الكل",1, INT((DAY('ادخال البيانات'!$N$3:$N$1164)-1)/7)+1 = VALUE($B$11))),
            'ادخال البيانات'!$D$3:$D$1164
         ),
         ""
      ),
      IF(_xlpm.result="", "", _xlpm.result)
   )
)</f>
        <v/>
      </c>
      <c r="E880" s="27" t="str" cm="1">
        <f t="array" ref="E880">IF(
   A880="",
   "",
   _xlfn.LET(
      _xlpm.result,
      IFERROR(
         _xlfn.XLOOKUP(
            1,
            (Table8[رقم الصنف]=A880) *
            (IF($B$9="الكل",1, YEAR('ادخال البيانات'!$N$3:$N$1164)=VALUE($B$9))) *
            (IF($B$10="الكل",1, MONTH('ادخال البيانات'!$N$3:$N$1164)=VALUE($B$10))) *
            (IF($B$11="الكل",1, INT((DAY('ادخال البيانات'!$N$3:$N$1164)-1)/7)+1 = VALUE($B$11))),
            'ادخال البيانات'!$E$3:$E$1164
         ),
         ""
      ),
      IF(_xlpm.result="", "", _xlpm.result)
   )
)</f>
        <v/>
      </c>
      <c r="F880" s="27" t="str" cm="1">
        <f t="array" ref="F880">IF(
   A880="",
   "",
   _xlfn.LET(
      _xlpm.result,
      IFERROR(
         _xlfn.XLOOKUP(
            1,
            (Table8[رقم الصنف]=A880) *
            (IF($B$9="الكل",1, YEAR('ادخال البيانات'!$N$3:$N$1164) = VALUE($B$9))) *
            (IF($B$10="الكل",1, MONTH('ادخال البيانات'!$N$3:$N$1164) = VALUE($B$10))) *
            (IF($B$11="الكل",1, INT((DAY('ادخال البيانات'!$N$3:$N$1164)-1)/7)+1 = VALUE($B$11))),
            'ادخال البيانات'!$F$3:$F$1164
         ),
         ""
      ),
      IF(_xlpm.result="", "", _xlpm.result)
   )
)</f>
        <v/>
      </c>
      <c r="G880" s="27" t="str" cm="1">
        <f t="array" ref="G880">IF(
   A880="",
   "",
   _xlfn.LET(
      _xlpm.result,
      IFERROR(
         _xlfn.XLOOKUP(
            1,
            (Table8[رقم الصنف]=A880) *
            (IF($B$9="الكل",1, YEAR('ادخال البيانات'!$N$3:$N$1164)=VALUE($B$9))) *
            (IF($B$10="الكل",1, MONTH('ادخال البيانات'!$N$3:$N$1164)=VALUE($B$10))) *
            (IF($B$11="الكل",1, INT((DAY('ادخال البيانات'!$N$3:$N$1164)-1)/7)+1 = VALUE($B$11))),
            'ادخال البيانات'!$G$3:$G$1164
         ),
         ""
      ),
      IF(_xlpm.result="", "", _xlpm.result)
   )
)</f>
        <v/>
      </c>
      <c r="H880" s="27" t="str" cm="1">
        <f t="array" ref="H880">IF(
   A880="",
   "",
   _xlfn.LET(
      _xlpm.result,
      IFERROR(
         _xlfn.XLOOKUP(
            1,
            (Table8[رقم الصنف]=A880) *
            (IF($B$9="الكل",1, YEAR('ادخال البيانات'!$N$3:$N$1164)=VALUE($B$9))) *
            (IF($B$10="الكل",1, MONTH('ادخال البيانات'!$N$3:$N$1164)=VALUE($B$10))) *
            (IF($B$11="الكل",1, INT((DAY('ادخال البيانات'!$N$3:$N$1164)-1)/7)+1 = VALUE($B$11))),
            'ادخال البيانات'!$H$3:$H$1164
         ),
         ""
      ),
      IF(_xlpm.result="", "", _xlpm.result)
   )
)</f>
        <v/>
      </c>
      <c r="I880" s="27" t="str" cm="1">
        <f t="array" ref="I880">IF(
   A880="",
   "",
   _xlfn.LET(
      _xlpm.result,
      IFERROR(
         _xlfn.XLOOKUP(
            1,
            (Table8[رقم الصنف]=A880) *
            (IF($B$9="الكل",1, YEAR('ادخال البيانات'!$N$3:$N$1164)=VALUE($B$9))) *
            (IF($B$10="الكل",1, MONTH('ادخال البيانات'!$N$3:$N$1164)=VALUE($B$10))) *
            (IF($B$11="الكل",1, INT((DAY('ادخال البيانات'!$N$3:$N$1164)-1)/7)+1 = VALUE($B$11))),
            'ادخال البيانات'!$I$3:$I$1164
         ),
         ""
      ),
      IF(_xlpm.result="", "", _xlpm.result)
   )
)</f>
        <v/>
      </c>
      <c r="J880" s="27" t="str" cm="1">
        <f t="array" ref="J880">IF(
   A880="",
   "",
   _xlfn.LET(
      _xlpm.result,
      IFERROR(
         _xlfn.XLOOKUP(
            1,
            (Table8[رقم الصنف]=A880) *
            (IF($B$9="الكل",1, YEAR('ادخال البيانات'!$N$3:$N$1164)=VALUE($B$9))) *
            (IF($B$10="الكل",1, MONTH('ادخال البيانات'!$N$3:$N$1164)=VALUE($B$10))) *
            (IF($B$11="الكل",1, INT((DAY('ادخال البيانات'!$N$3:$N$1164)-1)/7)+1 = VALUE($B$11))),
            'ادخال البيانات'!$J$3:$J$1164
         ),
         ""
      ),
      IF(_xlpm.result="", "", _xlpm.result)
   )
)</f>
        <v/>
      </c>
      <c r="K880" s="27" t="str" cm="1">
        <f t="array" ref="K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0" s="27" t="str" cm="1">
        <f t="array" ref="L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0" s="27" t="str" cm="1">
        <f t="array" ref="M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0" s="28" t="str" cm="1">
        <f t="array" ref="N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0" s="28" t="str" cm="1">
        <f t="array" ref="O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0" s="27" t="str" cm="1">
        <f t="array" ref="P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Table8[جهة العطل]
         ),
         ""
      ),
      IF(_xlpm.result="", "", _xlpm.result)
   )
)</f>
        <v/>
      </c>
      <c r="Q880" s="27" t="str" cm="1">
        <f t="array" ref="Q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Table8[المركز]
         ),
         ""
      ),
      IF(_xlpm.result="", "", _xlpm.result)
   )
)</f>
        <v/>
      </c>
      <c r="R880" s="27" t="str" cm="1">
        <f t="array" ref="R880">IF(
   A880="",
   "",
   _xlfn.LET(
      _xlpm.result,
      IFERROR(
         _xlfn.XLOOKUP(
            1,
            (Table8[رقم الصنف]=A880) *
            (IF($B$9="الكل",1, YEAR('ادخال البيانات'!$N$3:$N$1164) = VALUE($B$9))) *
            (IF($B$10="الكل",1, MONTH('ادخال البيانات'!$N$3:$N$1164) = VALUE($B$10))) *
            (IF($B$11="الكل",1, INT((DAY('ادخال البيانات'!$N$3:$N$1164) - 1) / 7) + 1 = VALUE($B$11))),
            Table8[ملاحظة]
         ),
         ""
      ),
      IF(_xlpm.result="", "", _xlpm.result)
   )
)</f>
        <v/>
      </c>
      <c r="S880" s="46" t="str">
        <f t="shared" ca="1" si="14"/>
        <v/>
      </c>
    </row>
    <row r="881" spans="1:19" ht="15.6" thickTop="1" thickBot="1" x14ac:dyDescent="0.35">
      <c r="A881" s="39"/>
      <c r="B881" s="27" t="str" cm="1">
        <f t="array" ref="B881">IF(
   OR(A881="", $B$9="", $B$10="", $B$11=""),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1" s="27" t="str" cm="1">
        <f t="array" ref="C881">IF(
   A881="",
   "",
   _xlfn.LET(
      _xlpm.result,
      IFERROR(
         _xlfn.XLOOKUP(
            1,
            (Table8[رقم الصنف]=A881) *
            (IF($B$9="الكل",1, YEAR('ادخال البيانات'!$N$3:$N$1164) = VALUE($B$9))) *
            (IF($B$10="الكل",1, MONTH('ادخال البيانات'!$N$3:$N$1164) = VALUE($B$10))) *
            (IF($B$11="الكل",1, INT((DAY('ادخال البيانات'!$N$3:$N$1164)-1)/7)+1 = VALUE($B$11))),
            'ادخال البيانات'!$C$3:$C$1164
         ),
         ""
      ),
      IF(_xlpm.result="", "", _xlpm.result)
   )
)</f>
        <v/>
      </c>
      <c r="D881" s="27" t="str" cm="1">
        <f t="array" ref="D881">IF(
   OR(A881="", $B$9="", $B$10="", $B$11=""),
   "",
   _xlfn.LET(
      _xlpm.result,
      IFERROR(
         _xlfn.XLOOKUP(
            1,
            (Table8[رقم الصنف]=A881) *
            (IF($B$9="الكل",1, YEAR('ادخال البيانات'!$N$3:$N$1164)=VALUE($B$9))) *
            (IF($B$10="الكل",1, MONTH('ادخال البيانات'!$N$3:$N$1164)=VALUE($B$10))) *
            (IF($B$11="الكل",1, INT((DAY('ادخال البيانات'!$N$3:$N$1164)-1)/7)+1 = VALUE($B$11))),
            'ادخال البيانات'!$D$3:$D$1164
         ),
         ""
      ),
      IF(_xlpm.result="", "", _xlpm.result)
   )
)</f>
        <v/>
      </c>
      <c r="E881" s="27" t="str" cm="1">
        <f t="array" ref="E881">IF(
   A881="",
   "",
   _xlfn.LET(
      _xlpm.result,
      IFERROR(
         _xlfn.XLOOKUP(
            1,
            (Table8[رقم الصنف]=A881) *
            (IF($B$9="الكل",1, YEAR('ادخال البيانات'!$N$3:$N$1164)=VALUE($B$9))) *
            (IF($B$10="الكل",1, MONTH('ادخال البيانات'!$N$3:$N$1164)=VALUE($B$10))) *
            (IF($B$11="الكل",1, INT((DAY('ادخال البيانات'!$N$3:$N$1164)-1)/7)+1 = VALUE($B$11))),
            'ادخال البيانات'!$E$3:$E$1164
         ),
         ""
      ),
      IF(_xlpm.result="", "", _xlpm.result)
   )
)</f>
        <v/>
      </c>
      <c r="F881" s="27" t="str" cm="1">
        <f t="array" ref="F881">IF(
   A881="",
   "",
   _xlfn.LET(
      _xlpm.result,
      IFERROR(
         _xlfn.XLOOKUP(
            1,
            (Table8[رقم الصنف]=A881) *
            (IF($B$9="الكل",1, YEAR('ادخال البيانات'!$N$3:$N$1164) = VALUE($B$9))) *
            (IF($B$10="الكل",1, MONTH('ادخال البيانات'!$N$3:$N$1164) = VALUE($B$10))) *
            (IF($B$11="الكل",1, INT((DAY('ادخال البيانات'!$N$3:$N$1164)-1)/7)+1 = VALUE($B$11))),
            'ادخال البيانات'!$F$3:$F$1164
         ),
         ""
      ),
      IF(_xlpm.result="", "", _xlpm.result)
   )
)</f>
        <v/>
      </c>
      <c r="G881" s="27" t="str" cm="1">
        <f t="array" ref="G881">IF(
   A881="",
   "",
   _xlfn.LET(
      _xlpm.result,
      IFERROR(
         _xlfn.XLOOKUP(
            1,
            (Table8[رقم الصنف]=A881) *
            (IF($B$9="الكل",1, YEAR('ادخال البيانات'!$N$3:$N$1164)=VALUE($B$9))) *
            (IF($B$10="الكل",1, MONTH('ادخال البيانات'!$N$3:$N$1164)=VALUE($B$10))) *
            (IF($B$11="الكل",1, INT((DAY('ادخال البيانات'!$N$3:$N$1164)-1)/7)+1 = VALUE($B$11))),
            'ادخال البيانات'!$G$3:$G$1164
         ),
         ""
      ),
      IF(_xlpm.result="", "", _xlpm.result)
   )
)</f>
        <v/>
      </c>
      <c r="H881" s="27" t="str" cm="1">
        <f t="array" ref="H881">IF(
   A881="",
   "",
   _xlfn.LET(
      _xlpm.result,
      IFERROR(
         _xlfn.XLOOKUP(
            1,
            (Table8[رقم الصنف]=A881) *
            (IF($B$9="الكل",1, YEAR('ادخال البيانات'!$N$3:$N$1164)=VALUE($B$9))) *
            (IF($B$10="الكل",1, MONTH('ادخال البيانات'!$N$3:$N$1164)=VALUE($B$10))) *
            (IF($B$11="الكل",1, INT((DAY('ادخال البيانات'!$N$3:$N$1164)-1)/7)+1 = VALUE($B$11))),
            'ادخال البيانات'!$H$3:$H$1164
         ),
         ""
      ),
      IF(_xlpm.result="", "", _xlpm.result)
   )
)</f>
        <v/>
      </c>
      <c r="I881" s="27" t="str" cm="1">
        <f t="array" ref="I881">IF(
   A881="",
   "",
   _xlfn.LET(
      _xlpm.result,
      IFERROR(
         _xlfn.XLOOKUP(
            1,
            (Table8[رقم الصنف]=A881) *
            (IF($B$9="الكل",1, YEAR('ادخال البيانات'!$N$3:$N$1164)=VALUE($B$9))) *
            (IF($B$10="الكل",1, MONTH('ادخال البيانات'!$N$3:$N$1164)=VALUE($B$10))) *
            (IF($B$11="الكل",1, INT((DAY('ادخال البيانات'!$N$3:$N$1164)-1)/7)+1 = VALUE($B$11))),
            'ادخال البيانات'!$I$3:$I$1164
         ),
         ""
      ),
      IF(_xlpm.result="", "", _xlpm.result)
   )
)</f>
        <v/>
      </c>
      <c r="J881" s="27" t="str" cm="1">
        <f t="array" ref="J881">IF(
   A881="",
   "",
   _xlfn.LET(
      _xlpm.result,
      IFERROR(
         _xlfn.XLOOKUP(
            1,
            (Table8[رقم الصنف]=A881) *
            (IF($B$9="الكل",1, YEAR('ادخال البيانات'!$N$3:$N$1164)=VALUE($B$9))) *
            (IF($B$10="الكل",1, MONTH('ادخال البيانات'!$N$3:$N$1164)=VALUE($B$10))) *
            (IF($B$11="الكل",1, INT((DAY('ادخال البيانات'!$N$3:$N$1164)-1)/7)+1 = VALUE($B$11))),
            'ادخال البيانات'!$J$3:$J$1164
         ),
         ""
      ),
      IF(_xlpm.result="", "", _xlpm.result)
   )
)</f>
        <v/>
      </c>
      <c r="K881" s="27" t="str" cm="1">
        <f t="array" ref="K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1" s="27" t="str" cm="1">
        <f t="array" ref="L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1" s="27" t="str" cm="1">
        <f t="array" ref="M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1" s="28" t="str" cm="1">
        <f t="array" ref="N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1" s="28" t="str" cm="1">
        <f t="array" ref="O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1" s="27" t="str" cm="1">
        <f t="array" ref="P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Table8[جهة العطل]
         ),
         ""
      ),
      IF(_xlpm.result="", "", _xlpm.result)
   )
)</f>
        <v/>
      </c>
      <c r="Q881" s="27" t="str" cm="1">
        <f t="array" ref="Q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Table8[المركز]
         ),
         ""
      ),
      IF(_xlpm.result="", "", _xlpm.result)
   )
)</f>
        <v/>
      </c>
      <c r="R881" s="27" t="str" cm="1">
        <f t="array" ref="R881">IF(
   A881="",
   "",
   _xlfn.LET(
      _xlpm.result,
      IFERROR(
         _xlfn.XLOOKUP(
            1,
            (Table8[رقم الصنف]=A881) *
            (IF($B$9="الكل",1, YEAR('ادخال البيانات'!$N$3:$N$1164) = VALUE($B$9))) *
            (IF($B$10="الكل",1, MONTH('ادخال البيانات'!$N$3:$N$1164) = VALUE($B$10))) *
            (IF($B$11="الكل",1, INT((DAY('ادخال البيانات'!$N$3:$N$1164) - 1) / 7) + 1 = VALUE($B$11))),
            Table8[ملاحظة]
         ),
         ""
      ),
      IF(_xlpm.result="", "", _xlpm.result)
   )
)</f>
        <v/>
      </c>
      <c r="S881" s="46" t="str">
        <f t="shared" ca="1" si="14"/>
        <v/>
      </c>
    </row>
    <row r="882" spans="1:19" ht="15.6" thickTop="1" thickBot="1" x14ac:dyDescent="0.35">
      <c r="A882" s="39"/>
      <c r="B882" s="27" t="str" cm="1">
        <f t="array" ref="B882">IF(
   OR(A882="", $B$9="", $B$10="", $B$11=""),
   "",
   _xlfn.LET(
      _xlpm.result,
      IFERROR(
         _xlfn.XLOOKUP(
            1,
            (Table8[رقم الصنف]=A882)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2" s="27" t="str" cm="1">
        <f t="array" ref="C882">IF(
   A882="",
   "",
   _xlfn.LET(
      _xlpm.result,
      IFERROR(
         _xlfn.XLOOKUP(
            1,
            (Table8[رقم الصنف]=A882) *
            (IF($B$9="الكل",1, YEAR('ادخال البيانات'!$N$3:$N$1164) = VALUE($B$9))) *
            (IF($B$10="الكل",1, MONTH('ادخال البيانات'!$N$3:$N$1164) = VALUE($B$10))) *
            (IF($B$11="الكل",1, INT((DAY('ادخال البيانات'!$N$3:$N$1164)-1)/7)+1 = VALUE($B$11))),
            'ادخال البيانات'!$C$3:$C$1164
         ),
         ""
      ),
      IF(_xlpm.result="", "", _xlpm.result)
   )
)</f>
        <v/>
      </c>
      <c r="D882" s="27" t="str" cm="1">
        <f t="array" ref="D882">IF(
   OR(A882="", $B$9="", $B$10="", $B$11=""),
   "",
   _xlfn.LET(
      _xlpm.result,
      IFERROR(
         _xlfn.XLOOKUP(
            1,
            (Table8[رقم الصنف]=A882) *
            (IF($B$9="الكل",1, YEAR('ادخال البيانات'!$N$3:$N$1164)=VALUE($B$9))) *
            (IF($B$10="الكل",1, MONTH('ادخال البيانات'!$N$3:$N$1164)=VALUE($B$10))) *
            (IF($B$11="الكل",1, INT((DAY('ادخال البيانات'!$N$3:$N$1164)-1)/7)+1 = VALUE($B$11))),
            'ادخال البيانات'!$D$3:$D$1164
         ),
         ""
      ),
      IF(_xlpm.result="", "", _xlpm.result)
   )
)</f>
        <v/>
      </c>
      <c r="E882" s="27" t="str" cm="1">
        <f t="array" ref="E882">IF(
   A882="",
   "",
   _xlfn.LET(
      _xlpm.result,
      IFERROR(
         _xlfn.XLOOKUP(
            1,
            (Table8[رقم الصنف]=A882) *
            (IF($B$9="الكل",1, YEAR('ادخال البيانات'!$N$3:$N$1164)=VALUE($B$9))) *
            (IF($B$10="الكل",1, MONTH('ادخال البيانات'!$N$3:$N$1164)=VALUE($B$10))) *
            (IF($B$11="الكل",1, INT((DAY('ادخال البيانات'!$N$3:$N$1164)-1)/7)+1 = VALUE($B$11))),
            'ادخال البيانات'!$E$3:$E$1164
         ),
         ""
      ),
      IF(_xlpm.result="", "", _xlpm.result)
   )
)</f>
        <v/>
      </c>
      <c r="F882" s="27" t="str" cm="1">
        <f t="array" ref="F882">IF(
   A882="",
   "",
   _xlfn.LET(
      _xlpm.result,
      IFERROR(
         _xlfn.XLOOKUP(
            1,
            (Table8[رقم الصنف]=A882) *
            (IF($B$9="الكل",1, YEAR('ادخال البيانات'!$N$3:$N$1164) = VALUE($B$9))) *
            (IF($B$10="الكل",1, MONTH('ادخال البيانات'!$N$3:$N$1164) = VALUE($B$10))) *
            (IF($B$11="الكل",1, INT((DAY('ادخال البيانات'!$N$3:$N$1164)-1)/7)+1 = VALUE($B$11))),
            'ادخال البيانات'!$F$3:$F$1164
         ),
         ""
      ),
      IF(_xlpm.result="", "", _xlpm.result)
   )
)</f>
        <v/>
      </c>
      <c r="G882" s="27" t="str" cm="1">
        <f t="array" ref="G882">IF(
   A882="",
   "",
   _xlfn.LET(
      _xlpm.result,
      IFERROR(
         _xlfn.XLOOKUP(
            1,
            (Table8[رقم الصنف]=A882) *
            (IF($B$9="الكل",1, YEAR('ادخال البيانات'!$N$3:$N$1164)=VALUE($B$9))) *
            (IF($B$10="الكل",1, MONTH('ادخال البيانات'!$N$3:$N$1164)=VALUE($B$10))) *
            (IF($B$11="الكل",1, INT((DAY('ادخال البيانات'!$N$3:$N$1164)-1)/7)+1 = VALUE($B$11))),
            'ادخال البيانات'!$G$3:$G$1164
         ),
         ""
      ),
      IF(_xlpm.result="", "", _xlpm.result)
   )
)</f>
        <v/>
      </c>
      <c r="H882" s="27" t="str" cm="1">
        <f t="array" ref="H882">IF(
   A882="",
   "",
   _xlfn.LET(
      _xlpm.result,
      IFERROR(
         _xlfn.XLOOKUP(
            1,
            (Table8[رقم الصنف]=A882) *
            (IF($B$9="الكل",1, YEAR('ادخال البيانات'!$N$3:$N$1164)=VALUE($B$9))) *
            (IF($B$10="الكل",1, MONTH('ادخال البيانات'!$N$3:$N$1164)=VALUE($B$10))) *
            (IF($B$11="الكل",1, INT((DAY('ادخال البيانات'!$N$3:$N$1164)-1)/7)+1 = VALUE($B$11))),
            'ادخال البيانات'!$H$3:$H$1164
         ),
         ""
      ),
      IF(_xlpm.result="", "", _xlpm.result)
   )
)</f>
        <v/>
      </c>
      <c r="I882" s="27" t="str" cm="1">
        <f t="array" ref="I882">IF(
   A882="",
   "",
   _xlfn.LET(
      _xlpm.result,
      IFERROR(
         _xlfn.XLOOKUP(
            1,
            (Table8[رقم الصنف]=A882) *
            (IF($B$9="الكل",1, YEAR('ادخال البيانات'!$N$3:$N$1164)=VALUE($B$9))) *
            (IF($B$10="الكل",1, MONTH('ادخال البيانات'!$N$3:$N$1164)=VALUE($B$10))) *
            (IF($B$11="الكل",1, INT((DAY('ادخال البيانات'!$N$3:$N$1164)-1)/7)+1 = VALUE($B$11))),
            'ادخال البيانات'!$I$3:$I$1164
         ),
         ""
      ),
      IF(_xlpm.result="", "", _xlpm.result)
   )
)</f>
        <v/>
      </c>
      <c r="J882" s="27" t="str" cm="1">
        <f t="array" ref="J882">IF(
   A882="",
   "",
   _xlfn.LET(
      _xlpm.result,
      IFERROR(
         _xlfn.XLOOKUP(
            1,
            (Table8[رقم الصنف]=A882) *
            (IF($B$9="الكل",1, YEAR('ادخال البيانات'!$N$3:$N$1164)=VALUE($B$9))) *
            (IF($B$10="الكل",1, MONTH('ادخال البيانات'!$N$3:$N$1164)=VALUE($B$10))) *
            (IF($B$11="الكل",1, INT((DAY('ادخال البيانات'!$N$3:$N$1164)-1)/7)+1 = VALUE($B$11))),
            'ادخال البيانات'!$J$3:$J$1164
         ),
         ""
      ),
      IF(_xlpm.result="", "", _xlpm.result)
   )
)</f>
        <v/>
      </c>
      <c r="K882" s="27" t="str" cm="1">
        <f t="array" ref="K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2" s="27" t="str" cm="1">
        <f t="array" ref="L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2" s="27" t="str" cm="1">
        <f t="array" ref="M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2" s="28" t="str" cm="1">
        <f t="array" ref="N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2" s="28" t="str" cm="1">
        <f t="array" ref="O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2" s="27" t="str" cm="1">
        <f t="array" ref="P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Table8[جهة العطل]
         ),
         ""
      ),
      IF(_xlpm.result="", "", _xlpm.result)
   )
)</f>
        <v/>
      </c>
      <c r="Q882" s="27" t="str" cm="1">
        <f t="array" ref="Q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Table8[المركز]
         ),
         ""
      ),
      IF(_xlpm.result="", "", _xlpm.result)
   )
)</f>
        <v/>
      </c>
      <c r="R882" s="27" t="str" cm="1">
        <f t="array" ref="R882">IF(
   A882="",
   "",
   _xlfn.LET(
      _xlpm.result,
      IFERROR(
         _xlfn.XLOOKUP(
            1,
            (Table8[رقم الصنف]=A882) *
            (IF($B$9="الكل",1, YEAR('ادخال البيانات'!$N$3:$N$1164) = VALUE($B$9))) *
            (IF($B$10="الكل",1, MONTH('ادخال البيانات'!$N$3:$N$1164) = VALUE($B$10))) *
            (IF($B$11="الكل",1, INT((DAY('ادخال البيانات'!$N$3:$N$1164) - 1) / 7) + 1 = VALUE($B$11))),
            Table8[ملاحظة]
         ),
         ""
      ),
      IF(_xlpm.result="", "", _xlpm.result)
   )
)</f>
        <v/>
      </c>
      <c r="S882" s="46" t="str">
        <f t="shared" ca="1" si="14"/>
        <v/>
      </c>
    </row>
    <row r="883" spans="1:19" ht="15.6" thickTop="1" thickBot="1" x14ac:dyDescent="0.35">
      <c r="A883" s="39"/>
      <c r="B883" s="27" t="str" cm="1">
        <f t="array" ref="B883">IF(
   OR(A883="", $B$9="", $B$10="", $B$11=""),
   "",
   _xlfn.LET(
      _xlpm.result,
      IFERROR(
         _xlfn.XLOOKUP(
            1,
            (Table8[رقم الصنف]=A883)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3" s="27" t="str" cm="1">
        <f t="array" ref="C883">IF(
   A883="",
   "",
   _xlfn.LET(
      _xlpm.result,
      IFERROR(
         _xlfn.XLOOKUP(
            1,
            (Table8[رقم الصنف]=A883) *
            (IF($B$9="الكل",1, YEAR('ادخال البيانات'!$N$3:$N$1164) = VALUE($B$9))) *
            (IF($B$10="الكل",1, MONTH('ادخال البيانات'!$N$3:$N$1164) = VALUE($B$10))) *
            (IF($B$11="الكل",1, INT((DAY('ادخال البيانات'!$N$3:$N$1164)-1)/7)+1 = VALUE($B$11))),
            'ادخال البيانات'!$C$3:$C$1164
         ),
         ""
      ),
      IF(_xlpm.result="", "", _xlpm.result)
   )
)</f>
        <v/>
      </c>
      <c r="D883" s="27" t="str" cm="1">
        <f t="array" ref="D883">IF(
   OR(A883="", $B$9="", $B$10="", $B$11=""),
   "",
   _xlfn.LET(
      _xlpm.result,
      IFERROR(
         _xlfn.XLOOKUP(
            1,
            (Table8[رقم الصنف]=A883) *
            (IF($B$9="الكل",1, YEAR('ادخال البيانات'!$N$3:$N$1164)=VALUE($B$9))) *
            (IF($B$10="الكل",1, MONTH('ادخال البيانات'!$N$3:$N$1164)=VALUE($B$10))) *
            (IF($B$11="الكل",1, INT((DAY('ادخال البيانات'!$N$3:$N$1164)-1)/7)+1 = VALUE($B$11))),
            'ادخال البيانات'!$D$3:$D$1164
         ),
         ""
      ),
      IF(_xlpm.result="", "", _xlpm.result)
   )
)</f>
        <v/>
      </c>
      <c r="E883" s="27" t="str" cm="1">
        <f t="array" ref="E883">IF(
   A883="",
   "",
   _xlfn.LET(
      _xlpm.result,
      IFERROR(
         _xlfn.XLOOKUP(
            1,
            (Table8[رقم الصنف]=A883) *
            (IF($B$9="الكل",1, YEAR('ادخال البيانات'!$N$3:$N$1164)=VALUE($B$9))) *
            (IF($B$10="الكل",1, MONTH('ادخال البيانات'!$N$3:$N$1164)=VALUE($B$10))) *
            (IF($B$11="الكل",1, INT((DAY('ادخال البيانات'!$N$3:$N$1164)-1)/7)+1 = VALUE($B$11))),
            'ادخال البيانات'!$E$3:$E$1164
         ),
         ""
      ),
      IF(_xlpm.result="", "", _xlpm.result)
   )
)</f>
        <v/>
      </c>
      <c r="F883" s="27" t="str" cm="1">
        <f t="array" ref="F883">IF(
   A883="",
   "",
   _xlfn.LET(
      _xlpm.result,
      IFERROR(
         _xlfn.XLOOKUP(
            1,
            (Table8[رقم الصنف]=A883) *
            (IF($B$9="الكل",1, YEAR('ادخال البيانات'!$N$3:$N$1164) = VALUE($B$9))) *
            (IF($B$10="الكل",1, MONTH('ادخال البيانات'!$N$3:$N$1164) = VALUE($B$10))) *
            (IF($B$11="الكل",1, INT((DAY('ادخال البيانات'!$N$3:$N$1164)-1)/7)+1 = VALUE($B$11))),
            'ادخال البيانات'!$F$3:$F$1164
         ),
         ""
      ),
      IF(_xlpm.result="", "", _xlpm.result)
   )
)</f>
        <v/>
      </c>
      <c r="G883" s="27" t="str" cm="1">
        <f t="array" ref="G883">IF(
   A883="",
   "",
   _xlfn.LET(
      _xlpm.result,
      IFERROR(
         _xlfn.XLOOKUP(
            1,
            (Table8[رقم الصنف]=A883) *
            (IF($B$9="الكل",1, YEAR('ادخال البيانات'!$N$3:$N$1164)=VALUE($B$9))) *
            (IF($B$10="الكل",1, MONTH('ادخال البيانات'!$N$3:$N$1164)=VALUE($B$10))) *
            (IF($B$11="الكل",1, INT((DAY('ادخال البيانات'!$N$3:$N$1164)-1)/7)+1 = VALUE($B$11))),
            'ادخال البيانات'!$G$3:$G$1164
         ),
         ""
      ),
      IF(_xlpm.result="", "", _xlpm.result)
   )
)</f>
        <v/>
      </c>
      <c r="H883" s="27" t="str" cm="1">
        <f t="array" ref="H883">IF(
   A883="",
   "",
   _xlfn.LET(
      _xlpm.result,
      IFERROR(
         _xlfn.XLOOKUP(
            1,
            (Table8[رقم الصنف]=A883) *
            (IF($B$9="الكل",1, YEAR('ادخال البيانات'!$N$3:$N$1164)=VALUE($B$9))) *
            (IF($B$10="الكل",1, MONTH('ادخال البيانات'!$N$3:$N$1164)=VALUE($B$10))) *
            (IF($B$11="الكل",1, INT((DAY('ادخال البيانات'!$N$3:$N$1164)-1)/7)+1 = VALUE($B$11))),
            'ادخال البيانات'!$H$3:$H$1164
         ),
         ""
      ),
      IF(_xlpm.result="", "", _xlpm.result)
   )
)</f>
        <v/>
      </c>
      <c r="I883" s="27" t="str" cm="1">
        <f t="array" ref="I883">IF(
   A883="",
   "",
   _xlfn.LET(
      _xlpm.result,
      IFERROR(
         _xlfn.XLOOKUP(
            1,
            (Table8[رقم الصنف]=A883) *
            (IF($B$9="الكل",1, YEAR('ادخال البيانات'!$N$3:$N$1164)=VALUE($B$9))) *
            (IF($B$10="الكل",1, MONTH('ادخال البيانات'!$N$3:$N$1164)=VALUE($B$10))) *
            (IF($B$11="الكل",1, INT((DAY('ادخال البيانات'!$N$3:$N$1164)-1)/7)+1 = VALUE($B$11))),
            'ادخال البيانات'!$I$3:$I$1164
         ),
         ""
      ),
      IF(_xlpm.result="", "", _xlpm.result)
   )
)</f>
        <v/>
      </c>
      <c r="J883" s="27" t="str" cm="1">
        <f t="array" ref="J883">IF(
   A883="",
   "",
   _xlfn.LET(
      _xlpm.result,
      IFERROR(
         _xlfn.XLOOKUP(
            1,
            (Table8[رقم الصنف]=A883) *
            (IF($B$9="الكل",1, YEAR('ادخال البيانات'!$N$3:$N$1164)=VALUE($B$9))) *
            (IF($B$10="الكل",1, MONTH('ادخال البيانات'!$N$3:$N$1164)=VALUE($B$10))) *
            (IF($B$11="الكل",1, INT((DAY('ادخال البيانات'!$N$3:$N$1164)-1)/7)+1 = VALUE($B$11))),
            'ادخال البيانات'!$J$3:$J$1164
         ),
         ""
      ),
      IF(_xlpm.result="", "", _xlpm.result)
   )
)</f>
        <v/>
      </c>
      <c r="K883" s="27" t="str" cm="1">
        <f t="array" ref="K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3" s="27" t="str" cm="1">
        <f t="array" ref="L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3" s="27" t="str" cm="1">
        <f t="array" ref="M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3" s="28" t="str" cm="1">
        <f t="array" ref="N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3" s="28" t="str" cm="1">
        <f t="array" ref="O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3" s="27" t="str" cm="1">
        <f t="array" ref="P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Table8[جهة العطل]
         ),
         ""
      ),
      IF(_xlpm.result="", "", _xlpm.result)
   )
)</f>
        <v/>
      </c>
      <c r="Q883" s="27" t="str" cm="1">
        <f t="array" ref="Q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Table8[المركز]
         ),
         ""
      ),
      IF(_xlpm.result="", "", _xlpm.result)
   )
)</f>
        <v/>
      </c>
      <c r="R883" s="27" t="str" cm="1">
        <f t="array" ref="R883">IF(
   A883="",
   "",
   _xlfn.LET(
      _xlpm.result,
      IFERROR(
         _xlfn.XLOOKUP(
            1,
            (Table8[رقم الصنف]=A883) *
            (IF($B$9="الكل",1, YEAR('ادخال البيانات'!$N$3:$N$1164) = VALUE($B$9))) *
            (IF($B$10="الكل",1, MONTH('ادخال البيانات'!$N$3:$N$1164) = VALUE($B$10))) *
            (IF($B$11="الكل",1, INT((DAY('ادخال البيانات'!$N$3:$N$1164) - 1) / 7) + 1 = VALUE($B$11))),
            Table8[ملاحظة]
         ),
         ""
      ),
      IF(_xlpm.result="", "", _xlpm.result)
   )
)</f>
        <v/>
      </c>
      <c r="S883" s="46" t="str">
        <f t="shared" ca="1" si="14"/>
        <v/>
      </c>
    </row>
    <row r="884" spans="1:19" ht="15.6" thickTop="1" thickBot="1" x14ac:dyDescent="0.35">
      <c r="A884" s="39"/>
      <c r="B884" s="27" t="str" cm="1">
        <f t="array" ref="B884">IF(
   OR(A884="", $B$9="", $B$10="", $B$11=""),
   "",
   _xlfn.LET(
      _xlpm.result,
      IFERROR(
         _xlfn.XLOOKUP(
            1,
            (Table8[رقم الصنف]=A884)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4" s="27" t="str" cm="1">
        <f t="array" ref="C884">IF(
   A884="",
   "",
   _xlfn.LET(
      _xlpm.result,
      IFERROR(
         _xlfn.XLOOKUP(
            1,
            (Table8[رقم الصنف]=A884) *
            (IF($B$9="الكل",1, YEAR('ادخال البيانات'!$N$3:$N$1164) = VALUE($B$9))) *
            (IF($B$10="الكل",1, MONTH('ادخال البيانات'!$N$3:$N$1164) = VALUE($B$10))) *
            (IF($B$11="الكل",1, INT((DAY('ادخال البيانات'!$N$3:$N$1164)-1)/7)+1 = VALUE($B$11))),
            'ادخال البيانات'!$C$3:$C$1164
         ),
         ""
      ),
      IF(_xlpm.result="", "", _xlpm.result)
   )
)</f>
        <v/>
      </c>
      <c r="D884" s="27" t="str" cm="1">
        <f t="array" ref="D884">IF(
   OR(A884="", $B$9="", $B$10="", $B$11=""),
   "",
   _xlfn.LET(
      _xlpm.result,
      IFERROR(
         _xlfn.XLOOKUP(
            1,
            (Table8[رقم الصنف]=A884) *
            (IF($B$9="الكل",1, YEAR('ادخال البيانات'!$N$3:$N$1164)=VALUE($B$9))) *
            (IF($B$10="الكل",1, MONTH('ادخال البيانات'!$N$3:$N$1164)=VALUE($B$10))) *
            (IF($B$11="الكل",1, INT((DAY('ادخال البيانات'!$N$3:$N$1164)-1)/7)+1 = VALUE($B$11))),
            'ادخال البيانات'!$D$3:$D$1164
         ),
         ""
      ),
      IF(_xlpm.result="", "", _xlpm.result)
   )
)</f>
        <v/>
      </c>
      <c r="E884" s="27" t="str" cm="1">
        <f t="array" ref="E884">IF(
   A884="",
   "",
   _xlfn.LET(
      _xlpm.result,
      IFERROR(
         _xlfn.XLOOKUP(
            1,
            (Table8[رقم الصنف]=A884) *
            (IF($B$9="الكل",1, YEAR('ادخال البيانات'!$N$3:$N$1164)=VALUE($B$9))) *
            (IF($B$10="الكل",1, MONTH('ادخال البيانات'!$N$3:$N$1164)=VALUE($B$10))) *
            (IF($B$11="الكل",1, INT((DAY('ادخال البيانات'!$N$3:$N$1164)-1)/7)+1 = VALUE($B$11))),
            'ادخال البيانات'!$E$3:$E$1164
         ),
         ""
      ),
      IF(_xlpm.result="", "", _xlpm.result)
   )
)</f>
        <v/>
      </c>
      <c r="F884" s="27" t="str" cm="1">
        <f t="array" ref="F884">IF(
   A884="",
   "",
   _xlfn.LET(
      _xlpm.result,
      IFERROR(
         _xlfn.XLOOKUP(
            1,
            (Table8[رقم الصنف]=A884) *
            (IF($B$9="الكل",1, YEAR('ادخال البيانات'!$N$3:$N$1164) = VALUE($B$9))) *
            (IF($B$10="الكل",1, MONTH('ادخال البيانات'!$N$3:$N$1164) = VALUE($B$10))) *
            (IF($B$11="الكل",1, INT((DAY('ادخال البيانات'!$N$3:$N$1164)-1)/7)+1 = VALUE($B$11))),
            'ادخال البيانات'!$F$3:$F$1164
         ),
         ""
      ),
      IF(_xlpm.result="", "", _xlpm.result)
   )
)</f>
        <v/>
      </c>
      <c r="G884" s="27" t="str" cm="1">
        <f t="array" ref="G884">IF(
   A884="",
   "",
   _xlfn.LET(
      _xlpm.result,
      IFERROR(
         _xlfn.XLOOKUP(
            1,
            (Table8[رقم الصنف]=A884) *
            (IF($B$9="الكل",1, YEAR('ادخال البيانات'!$N$3:$N$1164)=VALUE($B$9))) *
            (IF($B$10="الكل",1, MONTH('ادخال البيانات'!$N$3:$N$1164)=VALUE($B$10))) *
            (IF($B$11="الكل",1, INT((DAY('ادخال البيانات'!$N$3:$N$1164)-1)/7)+1 = VALUE($B$11))),
            'ادخال البيانات'!$G$3:$G$1164
         ),
         ""
      ),
      IF(_xlpm.result="", "", _xlpm.result)
   )
)</f>
        <v/>
      </c>
      <c r="H884" s="27" t="str" cm="1">
        <f t="array" ref="H884">IF(
   A884="",
   "",
   _xlfn.LET(
      _xlpm.result,
      IFERROR(
         _xlfn.XLOOKUP(
            1,
            (Table8[رقم الصنف]=A884) *
            (IF($B$9="الكل",1, YEAR('ادخال البيانات'!$N$3:$N$1164)=VALUE($B$9))) *
            (IF($B$10="الكل",1, MONTH('ادخال البيانات'!$N$3:$N$1164)=VALUE($B$10))) *
            (IF($B$11="الكل",1, INT((DAY('ادخال البيانات'!$N$3:$N$1164)-1)/7)+1 = VALUE($B$11))),
            'ادخال البيانات'!$H$3:$H$1164
         ),
         ""
      ),
      IF(_xlpm.result="", "", _xlpm.result)
   )
)</f>
        <v/>
      </c>
      <c r="I884" s="27" t="str" cm="1">
        <f t="array" ref="I884">IF(
   A884="",
   "",
   _xlfn.LET(
      _xlpm.result,
      IFERROR(
         _xlfn.XLOOKUP(
            1,
            (Table8[رقم الصنف]=A884) *
            (IF($B$9="الكل",1, YEAR('ادخال البيانات'!$N$3:$N$1164)=VALUE($B$9))) *
            (IF($B$10="الكل",1, MONTH('ادخال البيانات'!$N$3:$N$1164)=VALUE($B$10))) *
            (IF($B$11="الكل",1, INT((DAY('ادخال البيانات'!$N$3:$N$1164)-1)/7)+1 = VALUE($B$11))),
            'ادخال البيانات'!$I$3:$I$1164
         ),
         ""
      ),
      IF(_xlpm.result="", "", _xlpm.result)
   )
)</f>
        <v/>
      </c>
      <c r="J884" s="27" t="str" cm="1">
        <f t="array" ref="J884">IF(
   A884="",
   "",
   _xlfn.LET(
      _xlpm.result,
      IFERROR(
         _xlfn.XLOOKUP(
            1,
            (Table8[رقم الصنف]=A884) *
            (IF($B$9="الكل",1, YEAR('ادخال البيانات'!$N$3:$N$1164)=VALUE($B$9))) *
            (IF($B$10="الكل",1, MONTH('ادخال البيانات'!$N$3:$N$1164)=VALUE($B$10))) *
            (IF($B$11="الكل",1, INT((DAY('ادخال البيانات'!$N$3:$N$1164)-1)/7)+1 = VALUE($B$11))),
            'ادخال البيانات'!$J$3:$J$1164
         ),
         ""
      ),
      IF(_xlpm.result="", "", _xlpm.result)
   )
)</f>
        <v/>
      </c>
      <c r="K884" s="27" t="str" cm="1">
        <f t="array" ref="K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4" s="27" t="str" cm="1">
        <f t="array" ref="L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4" s="27" t="str" cm="1">
        <f t="array" ref="M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4" s="28" t="str" cm="1">
        <f t="array" ref="N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4" s="28" t="str" cm="1">
        <f t="array" ref="O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4" s="27" t="str" cm="1">
        <f t="array" ref="P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Table8[جهة العطل]
         ),
         ""
      ),
      IF(_xlpm.result="", "", _xlpm.result)
   )
)</f>
        <v/>
      </c>
      <c r="Q884" s="27" t="str" cm="1">
        <f t="array" ref="Q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Table8[المركز]
         ),
         ""
      ),
      IF(_xlpm.result="", "", _xlpm.result)
   )
)</f>
        <v/>
      </c>
      <c r="R884" s="27" t="str" cm="1">
        <f t="array" ref="R884">IF(
   A884="",
   "",
   _xlfn.LET(
      _xlpm.result,
      IFERROR(
         _xlfn.XLOOKUP(
            1,
            (Table8[رقم الصنف]=A884) *
            (IF($B$9="الكل",1, YEAR('ادخال البيانات'!$N$3:$N$1164) = VALUE($B$9))) *
            (IF($B$10="الكل",1, MONTH('ادخال البيانات'!$N$3:$N$1164) = VALUE($B$10))) *
            (IF($B$11="الكل",1, INT((DAY('ادخال البيانات'!$N$3:$N$1164) - 1) / 7) + 1 = VALUE($B$11))),
            Table8[ملاحظة]
         ),
         ""
      ),
      IF(_xlpm.result="", "", _xlpm.result)
   )
)</f>
        <v/>
      </c>
      <c r="S884" s="46" t="str">
        <f t="shared" ca="1" si="14"/>
        <v/>
      </c>
    </row>
    <row r="885" spans="1:19" ht="15.6" thickTop="1" thickBot="1" x14ac:dyDescent="0.35">
      <c r="A885" s="39"/>
      <c r="B885" s="27" t="str" cm="1">
        <f t="array" ref="B885">IF(
   OR(A885="", $B$9="", $B$10="", $B$11=""),
   "",
   _xlfn.LET(
      _xlpm.result,
      IFERROR(
         _xlfn.XLOOKUP(
            1,
            (Table8[رقم الصنف]=A885)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5" s="27" t="str" cm="1">
        <f t="array" ref="C885">IF(
   A885="",
   "",
   _xlfn.LET(
      _xlpm.result,
      IFERROR(
         _xlfn.XLOOKUP(
            1,
            (Table8[رقم الصنف]=A885) *
            (IF($B$9="الكل",1, YEAR('ادخال البيانات'!$N$3:$N$1164) = VALUE($B$9))) *
            (IF($B$10="الكل",1, MONTH('ادخال البيانات'!$N$3:$N$1164) = VALUE($B$10))) *
            (IF($B$11="الكل",1, INT((DAY('ادخال البيانات'!$N$3:$N$1164)-1)/7)+1 = VALUE($B$11))),
            'ادخال البيانات'!$C$3:$C$1164
         ),
         ""
      ),
      IF(_xlpm.result="", "", _xlpm.result)
   )
)</f>
        <v/>
      </c>
      <c r="D885" s="27" t="str" cm="1">
        <f t="array" ref="D885">IF(
   OR(A885="", $B$9="", $B$10="", $B$11=""),
   "",
   _xlfn.LET(
      _xlpm.result,
      IFERROR(
         _xlfn.XLOOKUP(
            1,
            (Table8[رقم الصنف]=A885) *
            (IF($B$9="الكل",1, YEAR('ادخال البيانات'!$N$3:$N$1164)=VALUE($B$9))) *
            (IF($B$10="الكل",1, MONTH('ادخال البيانات'!$N$3:$N$1164)=VALUE($B$10))) *
            (IF($B$11="الكل",1, INT((DAY('ادخال البيانات'!$N$3:$N$1164)-1)/7)+1 = VALUE($B$11))),
            'ادخال البيانات'!$D$3:$D$1164
         ),
         ""
      ),
      IF(_xlpm.result="", "", _xlpm.result)
   )
)</f>
        <v/>
      </c>
      <c r="E885" s="27" t="str" cm="1">
        <f t="array" ref="E885">IF(
   A885="",
   "",
   _xlfn.LET(
      _xlpm.result,
      IFERROR(
         _xlfn.XLOOKUP(
            1,
            (Table8[رقم الصنف]=A885) *
            (IF($B$9="الكل",1, YEAR('ادخال البيانات'!$N$3:$N$1164)=VALUE($B$9))) *
            (IF($B$10="الكل",1, MONTH('ادخال البيانات'!$N$3:$N$1164)=VALUE($B$10))) *
            (IF($B$11="الكل",1, INT((DAY('ادخال البيانات'!$N$3:$N$1164)-1)/7)+1 = VALUE($B$11))),
            'ادخال البيانات'!$E$3:$E$1164
         ),
         ""
      ),
      IF(_xlpm.result="", "", _xlpm.result)
   )
)</f>
        <v/>
      </c>
      <c r="F885" s="27" t="str" cm="1">
        <f t="array" ref="F885">IF(
   A885="",
   "",
   _xlfn.LET(
      _xlpm.result,
      IFERROR(
         _xlfn.XLOOKUP(
            1,
            (Table8[رقم الصنف]=A885) *
            (IF($B$9="الكل",1, YEAR('ادخال البيانات'!$N$3:$N$1164) = VALUE($B$9))) *
            (IF($B$10="الكل",1, MONTH('ادخال البيانات'!$N$3:$N$1164) = VALUE($B$10))) *
            (IF($B$11="الكل",1, INT((DAY('ادخال البيانات'!$N$3:$N$1164)-1)/7)+1 = VALUE($B$11))),
            'ادخال البيانات'!$F$3:$F$1164
         ),
         ""
      ),
      IF(_xlpm.result="", "", _xlpm.result)
   )
)</f>
        <v/>
      </c>
      <c r="G885" s="27" t="str" cm="1">
        <f t="array" ref="G885">IF(
   A885="",
   "",
   _xlfn.LET(
      _xlpm.result,
      IFERROR(
         _xlfn.XLOOKUP(
            1,
            (Table8[رقم الصنف]=A885) *
            (IF($B$9="الكل",1, YEAR('ادخال البيانات'!$N$3:$N$1164)=VALUE($B$9))) *
            (IF($B$10="الكل",1, MONTH('ادخال البيانات'!$N$3:$N$1164)=VALUE($B$10))) *
            (IF($B$11="الكل",1, INT((DAY('ادخال البيانات'!$N$3:$N$1164)-1)/7)+1 = VALUE($B$11))),
            'ادخال البيانات'!$G$3:$G$1164
         ),
         ""
      ),
      IF(_xlpm.result="", "", _xlpm.result)
   )
)</f>
        <v/>
      </c>
      <c r="H885" s="27" t="str" cm="1">
        <f t="array" ref="H885">IF(
   A885="",
   "",
   _xlfn.LET(
      _xlpm.result,
      IFERROR(
         _xlfn.XLOOKUP(
            1,
            (Table8[رقم الصنف]=A885) *
            (IF($B$9="الكل",1, YEAR('ادخال البيانات'!$N$3:$N$1164)=VALUE($B$9))) *
            (IF($B$10="الكل",1, MONTH('ادخال البيانات'!$N$3:$N$1164)=VALUE($B$10))) *
            (IF($B$11="الكل",1, INT((DAY('ادخال البيانات'!$N$3:$N$1164)-1)/7)+1 = VALUE($B$11))),
            'ادخال البيانات'!$H$3:$H$1164
         ),
         ""
      ),
      IF(_xlpm.result="", "", _xlpm.result)
   )
)</f>
        <v/>
      </c>
      <c r="I885" s="27" t="str" cm="1">
        <f t="array" ref="I885">IF(
   A885="",
   "",
   _xlfn.LET(
      _xlpm.result,
      IFERROR(
         _xlfn.XLOOKUP(
            1,
            (Table8[رقم الصنف]=A885) *
            (IF($B$9="الكل",1, YEAR('ادخال البيانات'!$N$3:$N$1164)=VALUE($B$9))) *
            (IF($B$10="الكل",1, MONTH('ادخال البيانات'!$N$3:$N$1164)=VALUE($B$10))) *
            (IF($B$11="الكل",1, INT((DAY('ادخال البيانات'!$N$3:$N$1164)-1)/7)+1 = VALUE($B$11))),
            'ادخال البيانات'!$I$3:$I$1164
         ),
         ""
      ),
      IF(_xlpm.result="", "", _xlpm.result)
   )
)</f>
        <v/>
      </c>
      <c r="J885" s="27" t="str" cm="1">
        <f t="array" ref="J885">IF(
   A885="",
   "",
   _xlfn.LET(
      _xlpm.result,
      IFERROR(
         _xlfn.XLOOKUP(
            1,
            (Table8[رقم الصنف]=A885) *
            (IF($B$9="الكل",1, YEAR('ادخال البيانات'!$N$3:$N$1164)=VALUE($B$9))) *
            (IF($B$10="الكل",1, MONTH('ادخال البيانات'!$N$3:$N$1164)=VALUE($B$10))) *
            (IF($B$11="الكل",1, INT((DAY('ادخال البيانات'!$N$3:$N$1164)-1)/7)+1 = VALUE($B$11))),
            'ادخال البيانات'!$J$3:$J$1164
         ),
         ""
      ),
      IF(_xlpm.result="", "", _xlpm.result)
   )
)</f>
        <v/>
      </c>
      <c r="K885" s="27" t="str" cm="1">
        <f t="array" ref="K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5" s="27" t="str" cm="1">
        <f t="array" ref="L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5" s="27" t="str" cm="1">
        <f t="array" ref="M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5" s="28" t="str" cm="1">
        <f t="array" ref="N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5" s="28" t="str" cm="1">
        <f t="array" ref="O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5" s="27" t="str" cm="1">
        <f t="array" ref="P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Table8[جهة العطل]
         ),
         ""
      ),
      IF(_xlpm.result="", "", _xlpm.result)
   )
)</f>
        <v/>
      </c>
      <c r="Q885" s="27" t="str" cm="1">
        <f t="array" ref="Q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Table8[المركز]
         ),
         ""
      ),
      IF(_xlpm.result="", "", _xlpm.result)
   )
)</f>
        <v/>
      </c>
      <c r="R885" s="27" t="str" cm="1">
        <f t="array" ref="R885">IF(
   A885="",
   "",
   _xlfn.LET(
      _xlpm.result,
      IFERROR(
         _xlfn.XLOOKUP(
            1,
            (Table8[رقم الصنف]=A885) *
            (IF($B$9="الكل",1, YEAR('ادخال البيانات'!$N$3:$N$1164) = VALUE($B$9))) *
            (IF($B$10="الكل",1, MONTH('ادخال البيانات'!$N$3:$N$1164) = VALUE($B$10))) *
            (IF($B$11="الكل",1, INT((DAY('ادخال البيانات'!$N$3:$N$1164) - 1) / 7) + 1 = VALUE($B$11))),
            Table8[ملاحظة]
         ),
         ""
      ),
      IF(_xlpm.result="", "", _xlpm.result)
   )
)</f>
        <v/>
      </c>
      <c r="S885" s="46" t="str">
        <f t="shared" ca="1" si="14"/>
        <v/>
      </c>
    </row>
    <row r="886" spans="1:19" ht="15.6" thickTop="1" thickBot="1" x14ac:dyDescent="0.35">
      <c r="A886" s="39"/>
      <c r="B886" s="27" t="str" cm="1">
        <f t="array" ref="B886">IF(
   OR(A886="", $B$9="", $B$10="", $B$11=""),
   "",
   _xlfn.LET(
      _xlpm.result,
      IFERROR(
         _xlfn.XLOOKUP(
            1,
            (Table8[رقم الصنف]=A886)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6" s="27" t="str" cm="1">
        <f t="array" ref="C886">IF(
   A886="",
   "",
   _xlfn.LET(
      _xlpm.result,
      IFERROR(
         _xlfn.XLOOKUP(
            1,
            (Table8[رقم الصنف]=A886) *
            (IF($B$9="الكل",1, YEAR('ادخال البيانات'!$N$3:$N$1164) = VALUE($B$9))) *
            (IF($B$10="الكل",1, MONTH('ادخال البيانات'!$N$3:$N$1164) = VALUE($B$10))) *
            (IF($B$11="الكل",1, INT((DAY('ادخال البيانات'!$N$3:$N$1164)-1)/7)+1 = VALUE($B$11))),
            'ادخال البيانات'!$C$3:$C$1164
         ),
         ""
      ),
      IF(_xlpm.result="", "", _xlpm.result)
   )
)</f>
        <v/>
      </c>
      <c r="D886" s="27" t="str" cm="1">
        <f t="array" ref="D886">IF(
   OR(A886="", $B$9="", $B$10="", $B$11=""),
   "",
   _xlfn.LET(
      _xlpm.result,
      IFERROR(
         _xlfn.XLOOKUP(
            1,
            (Table8[رقم الصنف]=A886) *
            (IF($B$9="الكل",1, YEAR('ادخال البيانات'!$N$3:$N$1164)=VALUE($B$9))) *
            (IF($B$10="الكل",1, MONTH('ادخال البيانات'!$N$3:$N$1164)=VALUE($B$10))) *
            (IF($B$11="الكل",1, INT((DAY('ادخال البيانات'!$N$3:$N$1164)-1)/7)+1 = VALUE($B$11))),
            'ادخال البيانات'!$D$3:$D$1164
         ),
         ""
      ),
      IF(_xlpm.result="", "", _xlpm.result)
   )
)</f>
        <v/>
      </c>
      <c r="E886" s="27" t="str" cm="1">
        <f t="array" ref="E886">IF(
   A886="",
   "",
   _xlfn.LET(
      _xlpm.result,
      IFERROR(
         _xlfn.XLOOKUP(
            1,
            (Table8[رقم الصنف]=A886) *
            (IF($B$9="الكل",1, YEAR('ادخال البيانات'!$N$3:$N$1164)=VALUE($B$9))) *
            (IF($B$10="الكل",1, MONTH('ادخال البيانات'!$N$3:$N$1164)=VALUE($B$10))) *
            (IF($B$11="الكل",1, INT((DAY('ادخال البيانات'!$N$3:$N$1164)-1)/7)+1 = VALUE($B$11))),
            'ادخال البيانات'!$E$3:$E$1164
         ),
         ""
      ),
      IF(_xlpm.result="", "", _xlpm.result)
   )
)</f>
        <v/>
      </c>
      <c r="F886" s="27" t="str" cm="1">
        <f t="array" ref="F886">IF(
   A886="",
   "",
   _xlfn.LET(
      _xlpm.result,
      IFERROR(
         _xlfn.XLOOKUP(
            1,
            (Table8[رقم الصنف]=A886) *
            (IF($B$9="الكل",1, YEAR('ادخال البيانات'!$N$3:$N$1164) = VALUE($B$9))) *
            (IF($B$10="الكل",1, MONTH('ادخال البيانات'!$N$3:$N$1164) = VALUE($B$10))) *
            (IF($B$11="الكل",1, INT((DAY('ادخال البيانات'!$N$3:$N$1164)-1)/7)+1 = VALUE($B$11))),
            'ادخال البيانات'!$F$3:$F$1164
         ),
         ""
      ),
      IF(_xlpm.result="", "", _xlpm.result)
   )
)</f>
        <v/>
      </c>
      <c r="G886" s="27" t="str" cm="1">
        <f t="array" ref="G886">IF(
   A886="",
   "",
   _xlfn.LET(
      _xlpm.result,
      IFERROR(
         _xlfn.XLOOKUP(
            1,
            (Table8[رقم الصنف]=A886) *
            (IF($B$9="الكل",1, YEAR('ادخال البيانات'!$N$3:$N$1164)=VALUE($B$9))) *
            (IF($B$10="الكل",1, MONTH('ادخال البيانات'!$N$3:$N$1164)=VALUE($B$10))) *
            (IF($B$11="الكل",1, INT((DAY('ادخال البيانات'!$N$3:$N$1164)-1)/7)+1 = VALUE($B$11))),
            'ادخال البيانات'!$G$3:$G$1164
         ),
         ""
      ),
      IF(_xlpm.result="", "", _xlpm.result)
   )
)</f>
        <v/>
      </c>
      <c r="H886" s="27" t="str" cm="1">
        <f t="array" ref="H886">IF(
   A886="",
   "",
   _xlfn.LET(
      _xlpm.result,
      IFERROR(
         _xlfn.XLOOKUP(
            1,
            (Table8[رقم الصنف]=A886) *
            (IF($B$9="الكل",1, YEAR('ادخال البيانات'!$N$3:$N$1164)=VALUE($B$9))) *
            (IF($B$10="الكل",1, MONTH('ادخال البيانات'!$N$3:$N$1164)=VALUE($B$10))) *
            (IF($B$11="الكل",1, INT((DAY('ادخال البيانات'!$N$3:$N$1164)-1)/7)+1 = VALUE($B$11))),
            'ادخال البيانات'!$H$3:$H$1164
         ),
         ""
      ),
      IF(_xlpm.result="", "", _xlpm.result)
   )
)</f>
        <v/>
      </c>
      <c r="I886" s="27" t="str" cm="1">
        <f t="array" ref="I886">IF(
   A886="",
   "",
   _xlfn.LET(
      _xlpm.result,
      IFERROR(
         _xlfn.XLOOKUP(
            1,
            (Table8[رقم الصنف]=A886) *
            (IF($B$9="الكل",1, YEAR('ادخال البيانات'!$N$3:$N$1164)=VALUE($B$9))) *
            (IF($B$10="الكل",1, MONTH('ادخال البيانات'!$N$3:$N$1164)=VALUE($B$10))) *
            (IF($B$11="الكل",1, INT((DAY('ادخال البيانات'!$N$3:$N$1164)-1)/7)+1 = VALUE($B$11))),
            'ادخال البيانات'!$I$3:$I$1164
         ),
         ""
      ),
      IF(_xlpm.result="", "", _xlpm.result)
   )
)</f>
        <v/>
      </c>
      <c r="J886" s="27" t="str" cm="1">
        <f t="array" ref="J886">IF(
   A886="",
   "",
   _xlfn.LET(
      _xlpm.result,
      IFERROR(
         _xlfn.XLOOKUP(
            1,
            (Table8[رقم الصنف]=A886) *
            (IF($B$9="الكل",1, YEAR('ادخال البيانات'!$N$3:$N$1164)=VALUE($B$9))) *
            (IF($B$10="الكل",1, MONTH('ادخال البيانات'!$N$3:$N$1164)=VALUE($B$10))) *
            (IF($B$11="الكل",1, INT((DAY('ادخال البيانات'!$N$3:$N$1164)-1)/7)+1 = VALUE($B$11))),
            'ادخال البيانات'!$J$3:$J$1164
         ),
         ""
      ),
      IF(_xlpm.result="", "", _xlpm.result)
   )
)</f>
        <v/>
      </c>
      <c r="K886" s="27" t="str" cm="1">
        <f t="array" ref="K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6" s="27" t="str" cm="1">
        <f t="array" ref="L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6" s="27" t="str" cm="1">
        <f t="array" ref="M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6" s="28" t="str" cm="1">
        <f t="array" ref="N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6" s="28" t="str" cm="1">
        <f t="array" ref="O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6" s="27" t="str" cm="1">
        <f t="array" ref="P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Table8[جهة العطل]
         ),
         ""
      ),
      IF(_xlpm.result="", "", _xlpm.result)
   )
)</f>
        <v/>
      </c>
      <c r="Q886" s="27" t="str" cm="1">
        <f t="array" ref="Q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Table8[المركز]
         ),
         ""
      ),
      IF(_xlpm.result="", "", _xlpm.result)
   )
)</f>
        <v/>
      </c>
      <c r="R886" s="27" t="str" cm="1">
        <f t="array" ref="R886">IF(
   A886="",
   "",
   _xlfn.LET(
      _xlpm.result,
      IFERROR(
         _xlfn.XLOOKUP(
            1,
            (Table8[رقم الصنف]=A886) *
            (IF($B$9="الكل",1, YEAR('ادخال البيانات'!$N$3:$N$1164) = VALUE($B$9))) *
            (IF($B$10="الكل",1, MONTH('ادخال البيانات'!$N$3:$N$1164) = VALUE($B$10))) *
            (IF($B$11="الكل",1, INT((DAY('ادخال البيانات'!$N$3:$N$1164) - 1) / 7) + 1 = VALUE($B$11))),
            Table8[ملاحظة]
         ),
         ""
      ),
      IF(_xlpm.result="", "", _xlpm.result)
   )
)</f>
        <v/>
      </c>
      <c r="S886" s="46" t="str">
        <f t="shared" ca="1" si="14"/>
        <v/>
      </c>
    </row>
    <row r="887" spans="1:19" ht="15.6" thickTop="1" thickBot="1" x14ac:dyDescent="0.35">
      <c r="A887" s="39"/>
      <c r="B887" s="27" t="str" cm="1">
        <f t="array" ref="B887">IF(
   OR(A887="", $B$9="", $B$10="", $B$11=""),
   "",
   _xlfn.LET(
      _xlpm.result,
      IFERROR(
         _xlfn.XLOOKUP(
            1,
            (Table8[رقم الصنف]=A887)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7" s="27" t="str" cm="1">
        <f t="array" ref="C887">IF(
   A887="",
   "",
   _xlfn.LET(
      _xlpm.result,
      IFERROR(
         _xlfn.XLOOKUP(
            1,
            (Table8[رقم الصنف]=A887) *
            (IF($B$9="الكل",1, YEAR('ادخال البيانات'!$N$3:$N$1164) = VALUE($B$9))) *
            (IF($B$10="الكل",1, MONTH('ادخال البيانات'!$N$3:$N$1164) = VALUE($B$10))) *
            (IF($B$11="الكل",1, INT((DAY('ادخال البيانات'!$N$3:$N$1164)-1)/7)+1 = VALUE($B$11))),
            'ادخال البيانات'!$C$3:$C$1164
         ),
         ""
      ),
      IF(_xlpm.result="", "", _xlpm.result)
   )
)</f>
        <v/>
      </c>
      <c r="D887" s="27" t="str" cm="1">
        <f t="array" ref="D887">IF(
   OR(A887="", $B$9="", $B$10="", $B$11=""),
   "",
   _xlfn.LET(
      _xlpm.result,
      IFERROR(
         _xlfn.XLOOKUP(
            1,
            (Table8[رقم الصنف]=A887) *
            (IF($B$9="الكل",1, YEAR('ادخال البيانات'!$N$3:$N$1164)=VALUE($B$9))) *
            (IF($B$10="الكل",1, MONTH('ادخال البيانات'!$N$3:$N$1164)=VALUE($B$10))) *
            (IF($B$11="الكل",1, INT((DAY('ادخال البيانات'!$N$3:$N$1164)-1)/7)+1 = VALUE($B$11))),
            'ادخال البيانات'!$D$3:$D$1164
         ),
         ""
      ),
      IF(_xlpm.result="", "", _xlpm.result)
   )
)</f>
        <v/>
      </c>
      <c r="E887" s="27" t="str" cm="1">
        <f t="array" ref="E887">IF(
   A887="",
   "",
   _xlfn.LET(
      _xlpm.result,
      IFERROR(
         _xlfn.XLOOKUP(
            1,
            (Table8[رقم الصنف]=A887) *
            (IF($B$9="الكل",1, YEAR('ادخال البيانات'!$N$3:$N$1164)=VALUE($B$9))) *
            (IF($B$10="الكل",1, MONTH('ادخال البيانات'!$N$3:$N$1164)=VALUE($B$10))) *
            (IF($B$11="الكل",1, INT((DAY('ادخال البيانات'!$N$3:$N$1164)-1)/7)+1 = VALUE($B$11))),
            'ادخال البيانات'!$E$3:$E$1164
         ),
         ""
      ),
      IF(_xlpm.result="", "", _xlpm.result)
   )
)</f>
        <v/>
      </c>
      <c r="F887" s="27" t="str" cm="1">
        <f t="array" ref="F887">IF(
   A887="",
   "",
   _xlfn.LET(
      _xlpm.result,
      IFERROR(
         _xlfn.XLOOKUP(
            1,
            (Table8[رقم الصنف]=A887) *
            (IF($B$9="الكل",1, YEAR('ادخال البيانات'!$N$3:$N$1164) = VALUE($B$9))) *
            (IF($B$10="الكل",1, MONTH('ادخال البيانات'!$N$3:$N$1164) = VALUE($B$10))) *
            (IF($B$11="الكل",1, INT((DAY('ادخال البيانات'!$N$3:$N$1164)-1)/7)+1 = VALUE($B$11))),
            'ادخال البيانات'!$F$3:$F$1164
         ),
         ""
      ),
      IF(_xlpm.result="", "", _xlpm.result)
   )
)</f>
        <v/>
      </c>
      <c r="G887" s="27" t="str" cm="1">
        <f t="array" ref="G887">IF(
   A887="",
   "",
   _xlfn.LET(
      _xlpm.result,
      IFERROR(
         _xlfn.XLOOKUP(
            1,
            (Table8[رقم الصنف]=A887) *
            (IF($B$9="الكل",1, YEAR('ادخال البيانات'!$N$3:$N$1164)=VALUE($B$9))) *
            (IF($B$10="الكل",1, MONTH('ادخال البيانات'!$N$3:$N$1164)=VALUE($B$10))) *
            (IF($B$11="الكل",1, INT((DAY('ادخال البيانات'!$N$3:$N$1164)-1)/7)+1 = VALUE($B$11))),
            'ادخال البيانات'!$G$3:$G$1164
         ),
         ""
      ),
      IF(_xlpm.result="", "", _xlpm.result)
   )
)</f>
        <v/>
      </c>
      <c r="H887" s="27" t="str" cm="1">
        <f t="array" ref="H887">IF(
   A887="",
   "",
   _xlfn.LET(
      _xlpm.result,
      IFERROR(
         _xlfn.XLOOKUP(
            1,
            (Table8[رقم الصنف]=A887) *
            (IF($B$9="الكل",1, YEAR('ادخال البيانات'!$N$3:$N$1164)=VALUE($B$9))) *
            (IF($B$10="الكل",1, MONTH('ادخال البيانات'!$N$3:$N$1164)=VALUE($B$10))) *
            (IF($B$11="الكل",1, INT((DAY('ادخال البيانات'!$N$3:$N$1164)-1)/7)+1 = VALUE($B$11))),
            'ادخال البيانات'!$H$3:$H$1164
         ),
         ""
      ),
      IF(_xlpm.result="", "", _xlpm.result)
   )
)</f>
        <v/>
      </c>
      <c r="I887" s="27" t="str" cm="1">
        <f t="array" ref="I887">IF(
   A887="",
   "",
   _xlfn.LET(
      _xlpm.result,
      IFERROR(
         _xlfn.XLOOKUP(
            1,
            (Table8[رقم الصنف]=A887) *
            (IF($B$9="الكل",1, YEAR('ادخال البيانات'!$N$3:$N$1164)=VALUE($B$9))) *
            (IF($B$10="الكل",1, MONTH('ادخال البيانات'!$N$3:$N$1164)=VALUE($B$10))) *
            (IF($B$11="الكل",1, INT((DAY('ادخال البيانات'!$N$3:$N$1164)-1)/7)+1 = VALUE($B$11))),
            'ادخال البيانات'!$I$3:$I$1164
         ),
         ""
      ),
      IF(_xlpm.result="", "", _xlpm.result)
   )
)</f>
        <v/>
      </c>
      <c r="J887" s="27" t="str" cm="1">
        <f t="array" ref="J887">IF(
   A887="",
   "",
   _xlfn.LET(
      _xlpm.result,
      IFERROR(
         _xlfn.XLOOKUP(
            1,
            (Table8[رقم الصنف]=A887) *
            (IF($B$9="الكل",1, YEAR('ادخال البيانات'!$N$3:$N$1164)=VALUE($B$9))) *
            (IF($B$10="الكل",1, MONTH('ادخال البيانات'!$N$3:$N$1164)=VALUE($B$10))) *
            (IF($B$11="الكل",1, INT((DAY('ادخال البيانات'!$N$3:$N$1164)-1)/7)+1 = VALUE($B$11))),
            'ادخال البيانات'!$J$3:$J$1164
         ),
         ""
      ),
      IF(_xlpm.result="", "", _xlpm.result)
   )
)</f>
        <v/>
      </c>
      <c r="K887" s="27" t="str" cm="1">
        <f t="array" ref="K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7" s="27" t="str" cm="1">
        <f t="array" ref="L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7" s="27" t="str" cm="1">
        <f t="array" ref="M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7" s="28" t="str" cm="1">
        <f t="array" ref="N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7" s="28" t="str" cm="1">
        <f t="array" ref="O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7" s="27" t="str" cm="1">
        <f t="array" ref="P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Table8[جهة العطل]
         ),
         ""
      ),
      IF(_xlpm.result="", "", _xlpm.result)
   )
)</f>
        <v/>
      </c>
      <c r="Q887" s="27" t="str" cm="1">
        <f t="array" ref="Q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Table8[المركز]
         ),
         ""
      ),
      IF(_xlpm.result="", "", _xlpm.result)
   )
)</f>
        <v/>
      </c>
      <c r="R887" s="27" t="str" cm="1">
        <f t="array" ref="R887">IF(
   A887="",
   "",
   _xlfn.LET(
      _xlpm.result,
      IFERROR(
         _xlfn.XLOOKUP(
            1,
            (Table8[رقم الصنف]=A887) *
            (IF($B$9="الكل",1, YEAR('ادخال البيانات'!$N$3:$N$1164) = VALUE($B$9))) *
            (IF($B$10="الكل",1, MONTH('ادخال البيانات'!$N$3:$N$1164) = VALUE($B$10))) *
            (IF($B$11="الكل",1, INT((DAY('ادخال البيانات'!$N$3:$N$1164) - 1) / 7) + 1 = VALUE($B$11))),
            Table8[ملاحظة]
         ),
         ""
      ),
      IF(_xlpm.result="", "", _xlpm.result)
   )
)</f>
        <v/>
      </c>
      <c r="S887" s="46" t="str">
        <f t="shared" ca="1" si="14"/>
        <v/>
      </c>
    </row>
    <row r="888" spans="1:19" ht="15.6" thickTop="1" thickBot="1" x14ac:dyDescent="0.35">
      <c r="A888" s="39"/>
      <c r="B888" s="27" t="str" cm="1">
        <f t="array" ref="B888">IF(
   OR(A888="", $B$9="", $B$10="", $B$11=""),
   "",
   _xlfn.LET(
      _xlpm.result,
      IFERROR(
         _xlfn.XLOOKUP(
            1,
            (Table8[رقم الصنف]=A888)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8" s="27" t="str" cm="1">
        <f t="array" ref="C888">IF(
   A888="",
   "",
   _xlfn.LET(
      _xlpm.result,
      IFERROR(
         _xlfn.XLOOKUP(
            1,
            (Table8[رقم الصنف]=A888) *
            (IF($B$9="الكل",1, YEAR('ادخال البيانات'!$N$3:$N$1164) = VALUE($B$9))) *
            (IF($B$10="الكل",1, MONTH('ادخال البيانات'!$N$3:$N$1164) = VALUE($B$10))) *
            (IF($B$11="الكل",1, INT((DAY('ادخال البيانات'!$N$3:$N$1164)-1)/7)+1 = VALUE($B$11))),
            'ادخال البيانات'!$C$3:$C$1164
         ),
         ""
      ),
      IF(_xlpm.result="", "", _xlpm.result)
   )
)</f>
        <v/>
      </c>
      <c r="D888" s="27" t="str" cm="1">
        <f t="array" ref="D888">IF(
   OR(A888="", $B$9="", $B$10="", $B$11=""),
   "",
   _xlfn.LET(
      _xlpm.result,
      IFERROR(
         _xlfn.XLOOKUP(
            1,
            (Table8[رقم الصنف]=A888) *
            (IF($B$9="الكل",1, YEAR('ادخال البيانات'!$N$3:$N$1164)=VALUE($B$9))) *
            (IF($B$10="الكل",1, MONTH('ادخال البيانات'!$N$3:$N$1164)=VALUE($B$10))) *
            (IF($B$11="الكل",1, INT((DAY('ادخال البيانات'!$N$3:$N$1164)-1)/7)+1 = VALUE($B$11))),
            'ادخال البيانات'!$D$3:$D$1164
         ),
         ""
      ),
      IF(_xlpm.result="", "", _xlpm.result)
   )
)</f>
        <v/>
      </c>
      <c r="E888" s="27" t="str" cm="1">
        <f t="array" ref="E888">IF(
   A888="",
   "",
   _xlfn.LET(
      _xlpm.result,
      IFERROR(
         _xlfn.XLOOKUP(
            1,
            (Table8[رقم الصنف]=A888) *
            (IF($B$9="الكل",1, YEAR('ادخال البيانات'!$N$3:$N$1164)=VALUE($B$9))) *
            (IF($B$10="الكل",1, MONTH('ادخال البيانات'!$N$3:$N$1164)=VALUE($B$10))) *
            (IF($B$11="الكل",1, INT((DAY('ادخال البيانات'!$N$3:$N$1164)-1)/7)+1 = VALUE($B$11))),
            'ادخال البيانات'!$E$3:$E$1164
         ),
         ""
      ),
      IF(_xlpm.result="", "", _xlpm.result)
   )
)</f>
        <v/>
      </c>
      <c r="F888" s="27" t="str" cm="1">
        <f t="array" ref="F888">IF(
   A888="",
   "",
   _xlfn.LET(
      _xlpm.result,
      IFERROR(
         _xlfn.XLOOKUP(
            1,
            (Table8[رقم الصنف]=A888) *
            (IF($B$9="الكل",1, YEAR('ادخال البيانات'!$N$3:$N$1164) = VALUE($B$9))) *
            (IF($B$10="الكل",1, MONTH('ادخال البيانات'!$N$3:$N$1164) = VALUE($B$10))) *
            (IF($B$11="الكل",1, INT((DAY('ادخال البيانات'!$N$3:$N$1164)-1)/7)+1 = VALUE($B$11))),
            'ادخال البيانات'!$F$3:$F$1164
         ),
         ""
      ),
      IF(_xlpm.result="", "", _xlpm.result)
   )
)</f>
        <v/>
      </c>
      <c r="G888" s="27" t="str" cm="1">
        <f t="array" ref="G888">IF(
   A888="",
   "",
   _xlfn.LET(
      _xlpm.result,
      IFERROR(
         _xlfn.XLOOKUP(
            1,
            (Table8[رقم الصنف]=A888) *
            (IF($B$9="الكل",1, YEAR('ادخال البيانات'!$N$3:$N$1164)=VALUE($B$9))) *
            (IF($B$10="الكل",1, MONTH('ادخال البيانات'!$N$3:$N$1164)=VALUE($B$10))) *
            (IF($B$11="الكل",1, INT((DAY('ادخال البيانات'!$N$3:$N$1164)-1)/7)+1 = VALUE($B$11))),
            'ادخال البيانات'!$G$3:$G$1164
         ),
         ""
      ),
      IF(_xlpm.result="", "", _xlpm.result)
   )
)</f>
        <v/>
      </c>
      <c r="H888" s="27" t="str" cm="1">
        <f t="array" ref="H888">IF(
   A888="",
   "",
   _xlfn.LET(
      _xlpm.result,
      IFERROR(
         _xlfn.XLOOKUP(
            1,
            (Table8[رقم الصنف]=A888) *
            (IF($B$9="الكل",1, YEAR('ادخال البيانات'!$N$3:$N$1164)=VALUE($B$9))) *
            (IF($B$10="الكل",1, MONTH('ادخال البيانات'!$N$3:$N$1164)=VALUE($B$10))) *
            (IF($B$11="الكل",1, INT((DAY('ادخال البيانات'!$N$3:$N$1164)-1)/7)+1 = VALUE($B$11))),
            'ادخال البيانات'!$H$3:$H$1164
         ),
         ""
      ),
      IF(_xlpm.result="", "", _xlpm.result)
   )
)</f>
        <v/>
      </c>
      <c r="I888" s="27" t="str" cm="1">
        <f t="array" ref="I888">IF(
   A888="",
   "",
   _xlfn.LET(
      _xlpm.result,
      IFERROR(
         _xlfn.XLOOKUP(
            1,
            (Table8[رقم الصنف]=A888) *
            (IF($B$9="الكل",1, YEAR('ادخال البيانات'!$N$3:$N$1164)=VALUE($B$9))) *
            (IF($B$10="الكل",1, MONTH('ادخال البيانات'!$N$3:$N$1164)=VALUE($B$10))) *
            (IF($B$11="الكل",1, INT((DAY('ادخال البيانات'!$N$3:$N$1164)-1)/7)+1 = VALUE($B$11))),
            'ادخال البيانات'!$I$3:$I$1164
         ),
         ""
      ),
      IF(_xlpm.result="", "", _xlpm.result)
   )
)</f>
        <v/>
      </c>
      <c r="J888" s="27" t="str" cm="1">
        <f t="array" ref="J888">IF(
   A888="",
   "",
   _xlfn.LET(
      _xlpm.result,
      IFERROR(
         _xlfn.XLOOKUP(
            1,
            (Table8[رقم الصنف]=A888) *
            (IF($B$9="الكل",1, YEAR('ادخال البيانات'!$N$3:$N$1164)=VALUE($B$9))) *
            (IF($B$10="الكل",1, MONTH('ادخال البيانات'!$N$3:$N$1164)=VALUE($B$10))) *
            (IF($B$11="الكل",1, INT((DAY('ادخال البيانات'!$N$3:$N$1164)-1)/7)+1 = VALUE($B$11))),
            'ادخال البيانات'!$J$3:$J$1164
         ),
         ""
      ),
      IF(_xlpm.result="", "", _xlpm.result)
   )
)</f>
        <v/>
      </c>
      <c r="K888" s="27" t="str" cm="1">
        <f t="array" ref="K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8" s="27" t="str" cm="1">
        <f t="array" ref="L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8" s="27" t="str" cm="1">
        <f t="array" ref="M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8" s="28" t="str" cm="1">
        <f t="array" ref="N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8" s="28" t="str" cm="1">
        <f t="array" ref="O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8" s="27" t="str" cm="1">
        <f t="array" ref="P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Table8[جهة العطل]
         ),
         ""
      ),
      IF(_xlpm.result="", "", _xlpm.result)
   )
)</f>
        <v/>
      </c>
      <c r="Q888" s="27" t="str" cm="1">
        <f t="array" ref="Q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Table8[المركز]
         ),
         ""
      ),
      IF(_xlpm.result="", "", _xlpm.result)
   )
)</f>
        <v/>
      </c>
      <c r="R888" s="27" t="str" cm="1">
        <f t="array" ref="R888">IF(
   A888="",
   "",
   _xlfn.LET(
      _xlpm.result,
      IFERROR(
         _xlfn.XLOOKUP(
            1,
            (Table8[رقم الصنف]=A888) *
            (IF($B$9="الكل",1, YEAR('ادخال البيانات'!$N$3:$N$1164) = VALUE($B$9))) *
            (IF($B$10="الكل",1, MONTH('ادخال البيانات'!$N$3:$N$1164) = VALUE($B$10))) *
            (IF($B$11="الكل",1, INT((DAY('ادخال البيانات'!$N$3:$N$1164) - 1) / 7) + 1 = VALUE($B$11))),
            Table8[ملاحظة]
         ),
         ""
      ),
      IF(_xlpm.result="", "", _xlpm.result)
   )
)</f>
        <v/>
      </c>
      <c r="S888" s="46" t="str">
        <f t="shared" ca="1" si="14"/>
        <v/>
      </c>
    </row>
    <row r="889" spans="1:19" ht="15.6" thickTop="1" thickBot="1" x14ac:dyDescent="0.35">
      <c r="A889" s="39"/>
      <c r="B889" s="27" t="str" cm="1">
        <f t="array" ref="B889">IF(
   OR(A889="", $B$9="", $B$10="", $B$11=""),
   "",
   _xlfn.LET(
      _xlpm.result,
      IFERROR(
         _xlfn.XLOOKUP(
            1,
            (Table8[رقم الصنف]=A889)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89" s="27" t="str" cm="1">
        <f t="array" ref="C889">IF(
   A889="",
   "",
   _xlfn.LET(
      _xlpm.result,
      IFERROR(
         _xlfn.XLOOKUP(
            1,
            (Table8[رقم الصنف]=A889) *
            (IF($B$9="الكل",1, YEAR('ادخال البيانات'!$N$3:$N$1164) = VALUE($B$9))) *
            (IF($B$10="الكل",1, MONTH('ادخال البيانات'!$N$3:$N$1164) = VALUE($B$10))) *
            (IF($B$11="الكل",1, INT((DAY('ادخال البيانات'!$N$3:$N$1164)-1)/7)+1 = VALUE($B$11))),
            'ادخال البيانات'!$C$3:$C$1164
         ),
         ""
      ),
      IF(_xlpm.result="", "", _xlpm.result)
   )
)</f>
        <v/>
      </c>
      <c r="D889" s="27" t="str" cm="1">
        <f t="array" ref="D889">IF(
   OR(A889="", $B$9="", $B$10="", $B$11=""),
   "",
   _xlfn.LET(
      _xlpm.result,
      IFERROR(
         _xlfn.XLOOKUP(
            1,
            (Table8[رقم الصنف]=A889) *
            (IF($B$9="الكل",1, YEAR('ادخال البيانات'!$N$3:$N$1164)=VALUE($B$9))) *
            (IF($B$10="الكل",1, MONTH('ادخال البيانات'!$N$3:$N$1164)=VALUE($B$10))) *
            (IF($B$11="الكل",1, INT((DAY('ادخال البيانات'!$N$3:$N$1164)-1)/7)+1 = VALUE($B$11))),
            'ادخال البيانات'!$D$3:$D$1164
         ),
         ""
      ),
      IF(_xlpm.result="", "", _xlpm.result)
   )
)</f>
        <v/>
      </c>
      <c r="E889" s="27" t="str" cm="1">
        <f t="array" ref="E889">IF(
   A889="",
   "",
   _xlfn.LET(
      _xlpm.result,
      IFERROR(
         _xlfn.XLOOKUP(
            1,
            (Table8[رقم الصنف]=A889) *
            (IF($B$9="الكل",1, YEAR('ادخال البيانات'!$N$3:$N$1164)=VALUE($B$9))) *
            (IF($B$10="الكل",1, MONTH('ادخال البيانات'!$N$3:$N$1164)=VALUE($B$10))) *
            (IF($B$11="الكل",1, INT((DAY('ادخال البيانات'!$N$3:$N$1164)-1)/7)+1 = VALUE($B$11))),
            'ادخال البيانات'!$E$3:$E$1164
         ),
         ""
      ),
      IF(_xlpm.result="", "", _xlpm.result)
   )
)</f>
        <v/>
      </c>
      <c r="F889" s="27" t="str" cm="1">
        <f t="array" ref="F889">IF(
   A889="",
   "",
   _xlfn.LET(
      _xlpm.result,
      IFERROR(
         _xlfn.XLOOKUP(
            1,
            (Table8[رقم الصنف]=A889) *
            (IF($B$9="الكل",1, YEAR('ادخال البيانات'!$N$3:$N$1164) = VALUE($B$9))) *
            (IF($B$10="الكل",1, MONTH('ادخال البيانات'!$N$3:$N$1164) = VALUE($B$10))) *
            (IF($B$11="الكل",1, INT((DAY('ادخال البيانات'!$N$3:$N$1164)-1)/7)+1 = VALUE($B$11))),
            'ادخال البيانات'!$F$3:$F$1164
         ),
         ""
      ),
      IF(_xlpm.result="", "", _xlpm.result)
   )
)</f>
        <v/>
      </c>
      <c r="G889" s="27" t="str" cm="1">
        <f t="array" ref="G889">IF(
   A889="",
   "",
   _xlfn.LET(
      _xlpm.result,
      IFERROR(
         _xlfn.XLOOKUP(
            1,
            (Table8[رقم الصنف]=A889) *
            (IF($B$9="الكل",1, YEAR('ادخال البيانات'!$N$3:$N$1164)=VALUE($B$9))) *
            (IF($B$10="الكل",1, MONTH('ادخال البيانات'!$N$3:$N$1164)=VALUE($B$10))) *
            (IF($B$11="الكل",1, INT((DAY('ادخال البيانات'!$N$3:$N$1164)-1)/7)+1 = VALUE($B$11))),
            'ادخال البيانات'!$G$3:$G$1164
         ),
         ""
      ),
      IF(_xlpm.result="", "", _xlpm.result)
   )
)</f>
        <v/>
      </c>
      <c r="H889" s="27" t="str" cm="1">
        <f t="array" ref="H889">IF(
   A889="",
   "",
   _xlfn.LET(
      _xlpm.result,
      IFERROR(
         _xlfn.XLOOKUP(
            1,
            (Table8[رقم الصنف]=A889) *
            (IF($B$9="الكل",1, YEAR('ادخال البيانات'!$N$3:$N$1164)=VALUE($B$9))) *
            (IF($B$10="الكل",1, MONTH('ادخال البيانات'!$N$3:$N$1164)=VALUE($B$10))) *
            (IF($B$11="الكل",1, INT((DAY('ادخال البيانات'!$N$3:$N$1164)-1)/7)+1 = VALUE($B$11))),
            'ادخال البيانات'!$H$3:$H$1164
         ),
         ""
      ),
      IF(_xlpm.result="", "", _xlpm.result)
   )
)</f>
        <v/>
      </c>
      <c r="I889" s="27" t="str" cm="1">
        <f t="array" ref="I889">IF(
   A889="",
   "",
   _xlfn.LET(
      _xlpm.result,
      IFERROR(
         _xlfn.XLOOKUP(
            1,
            (Table8[رقم الصنف]=A889) *
            (IF($B$9="الكل",1, YEAR('ادخال البيانات'!$N$3:$N$1164)=VALUE($B$9))) *
            (IF($B$10="الكل",1, MONTH('ادخال البيانات'!$N$3:$N$1164)=VALUE($B$10))) *
            (IF($B$11="الكل",1, INT((DAY('ادخال البيانات'!$N$3:$N$1164)-1)/7)+1 = VALUE($B$11))),
            'ادخال البيانات'!$I$3:$I$1164
         ),
         ""
      ),
      IF(_xlpm.result="", "", _xlpm.result)
   )
)</f>
        <v/>
      </c>
      <c r="J889" s="27" t="str" cm="1">
        <f t="array" ref="J889">IF(
   A889="",
   "",
   _xlfn.LET(
      _xlpm.result,
      IFERROR(
         _xlfn.XLOOKUP(
            1,
            (Table8[رقم الصنف]=A889) *
            (IF($B$9="الكل",1, YEAR('ادخال البيانات'!$N$3:$N$1164)=VALUE($B$9))) *
            (IF($B$10="الكل",1, MONTH('ادخال البيانات'!$N$3:$N$1164)=VALUE($B$10))) *
            (IF($B$11="الكل",1, INT((DAY('ادخال البيانات'!$N$3:$N$1164)-1)/7)+1 = VALUE($B$11))),
            'ادخال البيانات'!$J$3:$J$1164
         ),
         ""
      ),
      IF(_xlpm.result="", "", _xlpm.result)
   )
)</f>
        <v/>
      </c>
      <c r="K889" s="27" t="str" cm="1">
        <f t="array" ref="K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89" s="27" t="str" cm="1">
        <f t="array" ref="L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89" s="27" t="str" cm="1">
        <f t="array" ref="M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89" s="28" t="str" cm="1">
        <f t="array" ref="N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89" s="28" t="str" cm="1">
        <f t="array" ref="O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89" s="27" t="str" cm="1">
        <f t="array" ref="P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Table8[جهة العطل]
         ),
         ""
      ),
      IF(_xlpm.result="", "", _xlpm.result)
   )
)</f>
        <v/>
      </c>
      <c r="Q889" s="27" t="str" cm="1">
        <f t="array" ref="Q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Table8[المركز]
         ),
         ""
      ),
      IF(_xlpm.result="", "", _xlpm.result)
   )
)</f>
        <v/>
      </c>
      <c r="R889" s="27" t="str" cm="1">
        <f t="array" ref="R889">IF(
   A889="",
   "",
   _xlfn.LET(
      _xlpm.result,
      IFERROR(
         _xlfn.XLOOKUP(
            1,
            (Table8[رقم الصنف]=A889) *
            (IF($B$9="الكل",1, YEAR('ادخال البيانات'!$N$3:$N$1164) = VALUE($B$9))) *
            (IF($B$10="الكل",1, MONTH('ادخال البيانات'!$N$3:$N$1164) = VALUE($B$10))) *
            (IF($B$11="الكل",1, INT((DAY('ادخال البيانات'!$N$3:$N$1164) - 1) / 7) + 1 = VALUE($B$11))),
            Table8[ملاحظة]
         ),
         ""
      ),
      IF(_xlpm.result="", "", _xlpm.result)
   )
)</f>
        <v/>
      </c>
      <c r="S889" s="46" t="str">
        <f t="shared" ca="1" si="14"/>
        <v/>
      </c>
    </row>
    <row r="890" spans="1:19" ht="15.6" thickTop="1" thickBot="1" x14ac:dyDescent="0.35">
      <c r="A890" s="39"/>
      <c r="B890" s="27" t="str" cm="1">
        <f t="array" ref="B890">IF(
   OR(A890="", $B$9="", $B$10="", $B$11=""),
   "",
   _xlfn.LET(
      _xlpm.result,
      IFERROR(
         _xlfn.XLOOKUP(
            1,
            (Table8[رقم الصنف]=A890)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0" s="27" t="str" cm="1">
        <f t="array" ref="C890">IF(
   A890="",
   "",
   _xlfn.LET(
      _xlpm.result,
      IFERROR(
         _xlfn.XLOOKUP(
            1,
            (Table8[رقم الصنف]=A890) *
            (IF($B$9="الكل",1, YEAR('ادخال البيانات'!$N$3:$N$1164) = VALUE($B$9))) *
            (IF($B$10="الكل",1, MONTH('ادخال البيانات'!$N$3:$N$1164) = VALUE($B$10))) *
            (IF($B$11="الكل",1, INT((DAY('ادخال البيانات'!$N$3:$N$1164)-1)/7)+1 = VALUE($B$11))),
            'ادخال البيانات'!$C$3:$C$1164
         ),
         ""
      ),
      IF(_xlpm.result="", "", _xlpm.result)
   )
)</f>
        <v/>
      </c>
      <c r="D890" s="27" t="str" cm="1">
        <f t="array" ref="D890">IF(
   OR(A890="", $B$9="", $B$10="", $B$11=""),
   "",
   _xlfn.LET(
      _xlpm.result,
      IFERROR(
         _xlfn.XLOOKUP(
            1,
            (Table8[رقم الصنف]=A890) *
            (IF($B$9="الكل",1, YEAR('ادخال البيانات'!$N$3:$N$1164)=VALUE($B$9))) *
            (IF($B$10="الكل",1, MONTH('ادخال البيانات'!$N$3:$N$1164)=VALUE($B$10))) *
            (IF($B$11="الكل",1, INT((DAY('ادخال البيانات'!$N$3:$N$1164)-1)/7)+1 = VALUE($B$11))),
            'ادخال البيانات'!$D$3:$D$1164
         ),
         ""
      ),
      IF(_xlpm.result="", "", _xlpm.result)
   )
)</f>
        <v/>
      </c>
      <c r="E890" s="27" t="str" cm="1">
        <f t="array" ref="E890">IF(
   A890="",
   "",
   _xlfn.LET(
      _xlpm.result,
      IFERROR(
         _xlfn.XLOOKUP(
            1,
            (Table8[رقم الصنف]=A890) *
            (IF($B$9="الكل",1, YEAR('ادخال البيانات'!$N$3:$N$1164)=VALUE($B$9))) *
            (IF($B$10="الكل",1, MONTH('ادخال البيانات'!$N$3:$N$1164)=VALUE($B$10))) *
            (IF($B$11="الكل",1, INT((DAY('ادخال البيانات'!$N$3:$N$1164)-1)/7)+1 = VALUE($B$11))),
            'ادخال البيانات'!$E$3:$E$1164
         ),
         ""
      ),
      IF(_xlpm.result="", "", _xlpm.result)
   )
)</f>
        <v/>
      </c>
      <c r="F890" s="27" t="str" cm="1">
        <f t="array" ref="F890">IF(
   A890="",
   "",
   _xlfn.LET(
      _xlpm.result,
      IFERROR(
         _xlfn.XLOOKUP(
            1,
            (Table8[رقم الصنف]=A890) *
            (IF($B$9="الكل",1, YEAR('ادخال البيانات'!$N$3:$N$1164) = VALUE($B$9))) *
            (IF($B$10="الكل",1, MONTH('ادخال البيانات'!$N$3:$N$1164) = VALUE($B$10))) *
            (IF($B$11="الكل",1, INT((DAY('ادخال البيانات'!$N$3:$N$1164)-1)/7)+1 = VALUE($B$11))),
            'ادخال البيانات'!$F$3:$F$1164
         ),
         ""
      ),
      IF(_xlpm.result="", "", _xlpm.result)
   )
)</f>
        <v/>
      </c>
      <c r="G890" s="27" t="str" cm="1">
        <f t="array" ref="G890">IF(
   A890="",
   "",
   _xlfn.LET(
      _xlpm.result,
      IFERROR(
         _xlfn.XLOOKUP(
            1,
            (Table8[رقم الصنف]=A890) *
            (IF($B$9="الكل",1, YEAR('ادخال البيانات'!$N$3:$N$1164)=VALUE($B$9))) *
            (IF($B$10="الكل",1, MONTH('ادخال البيانات'!$N$3:$N$1164)=VALUE($B$10))) *
            (IF($B$11="الكل",1, INT((DAY('ادخال البيانات'!$N$3:$N$1164)-1)/7)+1 = VALUE($B$11))),
            'ادخال البيانات'!$G$3:$G$1164
         ),
         ""
      ),
      IF(_xlpm.result="", "", _xlpm.result)
   )
)</f>
        <v/>
      </c>
      <c r="H890" s="27" t="str" cm="1">
        <f t="array" ref="H890">IF(
   A890="",
   "",
   _xlfn.LET(
      _xlpm.result,
      IFERROR(
         _xlfn.XLOOKUP(
            1,
            (Table8[رقم الصنف]=A890) *
            (IF($B$9="الكل",1, YEAR('ادخال البيانات'!$N$3:$N$1164)=VALUE($B$9))) *
            (IF($B$10="الكل",1, MONTH('ادخال البيانات'!$N$3:$N$1164)=VALUE($B$10))) *
            (IF($B$11="الكل",1, INT((DAY('ادخال البيانات'!$N$3:$N$1164)-1)/7)+1 = VALUE($B$11))),
            'ادخال البيانات'!$H$3:$H$1164
         ),
         ""
      ),
      IF(_xlpm.result="", "", _xlpm.result)
   )
)</f>
        <v/>
      </c>
      <c r="I890" s="27" t="str" cm="1">
        <f t="array" ref="I890">IF(
   A890="",
   "",
   _xlfn.LET(
      _xlpm.result,
      IFERROR(
         _xlfn.XLOOKUP(
            1,
            (Table8[رقم الصنف]=A890) *
            (IF($B$9="الكل",1, YEAR('ادخال البيانات'!$N$3:$N$1164)=VALUE($B$9))) *
            (IF($B$10="الكل",1, MONTH('ادخال البيانات'!$N$3:$N$1164)=VALUE($B$10))) *
            (IF($B$11="الكل",1, INT((DAY('ادخال البيانات'!$N$3:$N$1164)-1)/7)+1 = VALUE($B$11))),
            'ادخال البيانات'!$I$3:$I$1164
         ),
         ""
      ),
      IF(_xlpm.result="", "", _xlpm.result)
   )
)</f>
        <v/>
      </c>
      <c r="J890" s="27" t="str" cm="1">
        <f t="array" ref="J890">IF(
   A890="",
   "",
   _xlfn.LET(
      _xlpm.result,
      IFERROR(
         _xlfn.XLOOKUP(
            1,
            (Table8[رقم الصنف]=A890) *
            (IF($B$9="الكل",1, YEAR('ادخال البيانات'!$N$3:$N$1164)=VALUE($B$9))) *
            (IF($B$10="الكل",1, MONTH('ادخال البيانات'!$N$3:$N$1164)=VALUE($B$10))) *
            (IF($B$11="الكل",1, INT((DAY('ادخال البيانات'!$N$3:$N$1164)-1)/7)+1 = VALUE($B$11))),
            'ادخال البيانات'!$J$3:$J$1164
         ),
         ""
      ),
      IF(_xlpm.result="", "", _xlpm.result)
   )
)</f>
        <v/>
      </c>
      <c r="K890" s="27" t="str" cm="1">
        <f t="array" ref="K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0" s="27" t="str" cm="1">
        <f t="array" ref="L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0" s="27" t="str" cm="1">
        <f t="array" ref="M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0" s="28" t="str" cm="1">
        <f t="array" ref="N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0" s="28" t="str" cm="1">
        <f t="array" ref="O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0" s="27" t="str" cm="1">
        <f t="array" ref="P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Table8[جهة العطل]
         ),
         ""
      ),
      IF(_xlpm.result="", "", _xlpm.result)
   )
)</f>
        <v/>
      </c>
      <c r="Q890" s="27" t="str" cm="1">
        <f t="array" ref="Q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Table8[المركز]
         ),
         ""
      ),
      IF(_xlpm.result="", "", _xlpm.result)
   )
)</f>
        <v/>
      </c>
      <c r="R890" s="27" t="str" cm="1">
        <f t="array" ref="R890">IF(
   A890="",
   "",
   _xlfn.LET(
      _xlpm.result,
      IFERROR(
         _xlfn.XLOOKUP(
            1,
            (Table8[رقم الصنف]=A890) *
            (IF($B$9="الكل",1, YEAR('ادخال البيانات'!$N$3:$N$1164) = VALUE($B$9))) *
            (IF($B$10="الكل",1, MONTH('ادخال البيانات'!$N$3:$N$1164) = VALUE($B$10))) *
            (IF($B$11="الكل",1, INT((DAY('ادخال البيانات'!$N$3:$N$1164) - 1) / 7) + 1 = VALUE($B$11))),
            Table8[ملاحظة]
         ),
         ""
      ),
      IF(_xlpm.result="", "", _xlpm.result)
   )
)</f>
        <v/>
      </c>
      <c r="S890" s="46" t="str">
        <f t="shared" ca="1" si="14"/>
        <v/>
      </c>
    </row>
    <row r="891" spans="1:19" ht="15.6" thickTop="1" thickBot="1" x14ac:dyDescent="0.35">
      <c r="A891" s="39"/>
      <c r="B891" s="27" t="str" cm="1">
        <f t="array" ref="B891">IF(
   OR(A891="", $B$9="", $B$10="", $B$11=""),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1" s="27" t="str" cm="1">
        <f t="array" ref="C891">IF(
   A891="",
   "",
   _xlfn.LET(
      _xlpm.result,
      IFERROR(
         _xlfn.XLOOKUP(
            1,
            (Table8[رقم الصنف]=A891) *
            (IF($B$9="الكل",1, YEAR('ادخال البيانات'!$N$3:$N$1164) = VALUE($B$9))) *
            (IF($B$10="الكل",1, MONTH('ادخال البيانات'!$N$3:$N$1164) = VALUE($B$10))) *
            (IF($B$11="الكل",1, INT((DAY('ادخال البيانات'!$N$3:$N$1164)-1)/7)+1 = VALUE($B$11))),
            'ادخال البيانات'!$C$3:$C$1164
         ),
         ""
      ),
      IF(_xlpm.result="", "", _xlpm.result)
   )
)</f>
        <v/>
      </c>
      <c r="D891" s="27" t="str" cm="1">
        <f t="array" ref="D891">IF(
   OR(A891="", $B$9="", $B$10="", $B$11=""),
   "",
   _xlfn.LET(
      _xlpm.result,
      IFERROR(
         _xlfn.XLOOKUP(
            1,
            (Table8[رقم الصنف]=A891) *
            (IF($B$9="الكل",1, YEAR('ادخال البيانات'!$N$3:$N$1164)=VALUE($B$9))) *
            (IF($B$10="الكل",1, MONTH('ادخال البيانات'!$N$3:$N$1164)=VALUE($B$10))) *
            (IF($B$11="الكل",1, INT((DAY('ادخال البيانات'!$N$3:$N$1164)-1)/7)+1 = VALUE($B$11))),
            'ادخال البيانات'!$D$3:$D$1164
         ),
         ""
      ),
      IF(_xlpm.result="", "", _xlpm.result)
   )
)</f>
        <v/>
      </c>
      <c r="E891" s="27" t="str" cm="1">
        <f t="array" ref="E891">IF(
   A891="",
   "",
   _xlfn.LET(
      _xlpm.result,
      IFERROR(
         _xlfn.XLOOKUP(
            1,
            (Table8[رقم الصنف]=A891) *
            (IF($B$9="الكل",1, YEAR('ادخال البيانات'!$N$3:$N$1164)=VALUE($B$9))) *
            (IF($B$10="الكل",1, MONTH('ادخال البيانات'!$N$3:$N$1164)=VALUE($B$10))) *
            (IF($B$11="الكل",1, INT((DAY('ادخال البيانات'!$N$3:$N$1164)-1)/7)+1 = VALUE($B$11))),
            'ادخال البيانات'!$E$3:$E$1164
         ),
         ""
      ),
      IF(_xlpm.result="", "", _xlpm.result)
   )
)</f>
        <v/>
      </c>
      <c r="F891" s="27" t="str" cm="1">
        <f t="array" ref="F891">IF(
   A891="",
   "",
   _xlfn.LET(
      _xlpm.result,
      IFERROR(
         _xlfn.XLOOKUP(
            1,
            (Table8[رقم الصنف]=A891) *
            (IF($B$9="الكل",1, YEAR('ادخال البيانات'!$N$3:$N$1164) = VALUE($B$9))) *
            (IF($B$10="الكل",1, MONTH('ادخال البيانات'!$N$3:$N$1164) = VALUE($B$10))) *
            (IF($B$11="الكل",1, INT((DAY('ادخال البيانات'!$N$3:$N$1164)-1)/7)+1 = VALUE($B$11))),
            'ادخال البيانات'!$F$3:$F$1164
         ),
         ""
      ),
      IF(_xlpm.result="", "", _xlpm.result)
   )
)</f>
        <v/>
      </c>
      <c r="G891" s="27" t="str" cm="1">
        <f t="array" ref="G891">IF(
   A891="",
   "",
   _xlfn.LET(
      _xlpm.result,
      IFERROR(
         _xlfn.XLOOKUP(
            1,
            (Table8[رقم الصنف]=A891) *
            (IF($B$9="الكل",1, YEAR('ادخال البيانات'!$N$3:$N$1164)=VALUE($B$9))) *
            (IF($B$10="الكل",1, MONTH('ادخال البيانات'!$N$3:$N$1164)=VALUE($B$10))) *
            (IF($B$11="الكل",1, INT((DAY('ادخال البيانات'!$N$3:$N$1164)-1)/7)+1 = VALUE($B$11))),
            'ادخال البيانات'!$G$3:$G$1164
         ),
         ""
      ),
      IF(_xlpm.result="", "", _xlpm.result)
   )
)</f>
        <v/>
      </c>
      <c r="H891" s="27" t="str" cm="1">
        <f t="array" ref="H891">IF(
   A891="",
   "",
   _xlfn.LET(
      _xlpm.result,
      IFERROR(
         _xlfn.XLOOKUP(
            1,
            (Table8[رقم الصنف]=A891) *
            (IF($B$9="الكل",1, YEAR('ادخال البيانات'!$N$3:$N$1164)=VALUE($B$9))) *
            (IF($B$10="الكل",1, MONTH('ادخال البيانات'!$N$3:$N$1164)=VALUE($B$10))) *
            (IF($B$11="الكل",1, INT((DAY('ادخال البيانات'!$N$3:$N$1164)-1)/7)+1 = VALUE($B$11))),
            'ادخال البيانات'!$H$3:$H$1164
         ),
         ""
      ),
      IF(_xlpm.result="", "", _xlpm.result)
   )
)</f>
        <v/>
      </c>
      <c r="I891" s="27" t="str" cm="1">
        <f t="array" ref="I891">IF(
   A891="",
   "",
   _xlfn.LET(
      _xlpm.result,
      IFERROR(
         _xlfn.XLOOKUP(
            1,
            (Table8[رقم الصنف]=A891) *
            (IF($B$9="الكل",1, YEAR('ادخال البيانات'!$N$3:$N$1164)=VALUE($B$9))) *
            (IF($B$10="الكل",1, MONTH('ادخال البيانات'!$N$3:$N$1164)=VALUE($B$10))) *
            (IF($B$11="الكل",1, INT((DAY('ادخال البيانات'!$N$3:$N$1164)-1)/7)+1 = VALUE($B$11))),
            'ادخال البيانات'!$I$3:$I$1164
         ),
         ""
      ),
      IF(_xlpm.result="", "", _xlpm.result)
   )
)</f>
        <v/>
      </c>
      <c r="J891" s="27" t="str" cm="1">
        <f t="array" ref="J891">IF(
   A891="",
   "",
   _xlfn.LET(
      _xlpm.result,
      IFERROR(
         _xlfn.XLOOKUP(
            1,
            (Table8[رقم الصنف]=A891) *
            (IF($B$9="الكل",1, YEAR('ادخال البيانات'!$N$3:$N$1164)=VALUE($B$9))) *
            (IF($B$10="الكل",1, MONTH('ادخال البيانات'!$N$3:$N$1164)=VALUE($B$10))) *
            (IF($B$11="الكل",1, INT((DAY('ادخال البيانات'!$N$3:$N$1164)-1)/7)+1 = VALUE($B$11))),
            'ادخال البيانات'!$J$3:$J$1164
         ),
         ""
      ),
      IF(_xlpm.result="", "", _xlpm.result)
   )
)</f>
        <v/>
      </c>
      <c r="K891" s="27" t="str" cm="1">
        <f t="array" ref="K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1" s="27" t="str" cm="1">
        <f t="array" ref="L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1" s="27" t="str" cm="1">
        <f t="array" ref="M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1" s="28" t="str" cm="1">
        <f t="array" ref="N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1" s="28" t="str" cm="1">
        <f t="array" ref="O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1" s="27" t="str" cm="1">
        <f t="array" ref="P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Table8[جهة العطل]
         ),
         ""
      ),
      IF(_xlpm.result="", "", _xlpm.result)
   )
)</f>
        <v/>
      </c>
      <c r="Q891" s="27" t="str" cm="1">
        <f t="array" ref="Q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Table8[المركز]
         ),
         ""
      ),
      IF(_xlpm.result="", "", _xlpm.result)
   )
)</f>
        <v/>
      </c>
      <c r="R891" s="27" t="str" cm="1">
        <f t="array" ref="R891">IF(
   A891="",
   "",
   _xlfn.LET(
      _xlpm.result,
      IFERROR(
         _xlfn.XLOOKUP(
            1,
            (Table8[رقم الصنف]=A891) *
            (IF($B$9="الكل",1, YEAR('ادخال البيانات'!$N$3:$N$1164) = VALUE($B$9))) *
            (IF($B$10="الكل",1, MONTH('ادخال البيانات'!$N$3:$N$1164) = VALUE($B$10))) *
            (IF($B$11="الكل",1, INT((DAY('ادخال البيانات'!$N$3:$N$1164) - 1) / 7) + 1 = VALUE($B$11))),
            Table8[ملاحظة]
         ),
         ""
      ),
      IF(_xlpm.result="", "", _xlpm.result)
   )
)</f>
        <v/>
      </c>
      <c r="S891" s="46" t="str">
        <f t="shared" ca="1" si="14"/>
        <v/>
      </c>
    </row>
    <row r="892" spans="1:19" ht="15.6" thickTop="1" thickBot="1" x14ac:dyDescent="0.35">
      <c r="A892" s="39"/>
      <c r="B892" s="27" t="str" cm="1">
        <f t="array" ref="B892">IF(
   OR(A892="", $B$9="", $B$10="", $B$11=""),
   "",
   _xlfn.LET(
      _xlpm.result,
      IFERROR(
         _xlfn.XLOOKUP(
            1,
            (Table8[رقم الصنف]=A892)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2" s="27" t="str" cm="1">
        <f t="array" ref="C892">IF(
   A892="",
   "",
   _xlfn.LET(
      _xlpm.result,
      IFERROR(
         _xlfn.XLOOKUP(
            1,
            (Table8[رقم الصنف]=A892) *
            (IF($B$9="الكل",1, YEAR('ادخال البيانات'!$N$3:$N$1164) = VALUE($B$9))) *
            (IF($B$10="الكل",1, MONTH('ادخال البيانات'!$N$3:$N$1164) = VALUE($B$10))) *
            (IF($B$11="الكل",1, INT((DAY('ادخال البيانات'!$N$3:$N$1164)-1)/7)+1 = VALUE($B$11))),
            'ادخال البيانات'!$C$3:$C$1164
         ),
         ""
      ),
      IF(_xlpm.result="", "", _xlpm.result)
   )
)</f>
        <v/>
      </c>
      <c r="D892" s="27" t="str" cm="1">
        <f t="array" ref="D892">IF(
   OR(A892="", $B$9="", $B$10="", $B$11=""),
   "",
   _xlfn.LET(
      _xlpm.result,
      IFERROR(
         _xlfn.XLOOKUP(
            1,
            (Table8[رقم الصنف]=A892) *
            (IF($B$9="الكل",1, YEAR('ادخال البيانات'!$N$3:$N$1164)=VALUE($B$9))) *
            (IF($B$10="الكل",1, MONTH('ادخال البيانات'!$N$3:$N$1164)=VALUE($B$10))) *
            (IF($B$11="الكل",1, INT((DAY('ادخال البيانات'!$N$3:$N$1164)-1)/7)+1 = VALUE($B$11))),
            'ادخال البيانات'!$D$3:$D$1164
         ),
         ""
      ),
      IF(_xlpm.result="", "", _xlpm.result)
   )
)</f>
        <v/>
      </c>
      <c r="E892" s="27" t="str" cm="1">
        <f t="array" ref="E892">IF(
   A892="",
   "",
   _xlfn.LET(
      _xlpm.result,
      IFERROR(
         _xlfn.XLOOKUP(
            1,
            (Table8[رقم الصنف]=A892) *
            (IF($B$9="الكل",1, YEAR('ادخال البيانات'!$N$3:$N$1164)=VALUE($B$9))) *
            (IF($B$10="الكل",1, MONTH('ادخال البيانات'!$N$3:$N$1164)=VALUE($B$10))) *
            (IF($B$11="الكل",1, INT((DAY('ادخال البيانات'!$N$3:$N$1164)-1)/7)+1 = VALUE($B$11))),
            'ادخال البيانات'!$E$3:$E$1164
         ),
         ""
      ),
      IF(_xlpm.result="", "", _xlpm.result)
   )
)</f>
        <v/>
      </c>
      <c r="F892" s="27" t="str" cm="1">
        <f t="array" ref="F892">IF(
   A892="",
   "",
   _xlfn.LET(
      _xlpm.result,
      IFERROR(
         _xlfn.XLOOKUP(
            1,
            (Table8[رقم الصنف]=A892) *
            (IF($B$9="الكل",1, YEAR('ادخال البيانات'!$N$3:$N$1164) = VALUE($B$9))) *
            (IF($B$10="الكل",1, MONTH('ادخال البيانات'!$N$3:$N$1164) = VALUE($B$10))) *
            (IF($B$11="الكل",1, INT((DAY('ادخال البيانات'!$N$3:$N$1164)-1)/7)+1 = VALUE($B$11))),
            'ادخال البيانات'!$F$3:$F$1164
         ),
         ""
      ),
      IF(_xlpm.result="", "", _xlpm.result)
   )
)</f>
        <v/>
      </c>
      <c r="G892" s="27" t="str" cm="1">
        <f t="array" ref="G892">IF(
   A892="",
   "",
   _xlfn.LET(
      _xlpm.result,
      IFERROR(
         _xlfn.XLOOKUP(
            1,
            (Table8[رقم الصنف]=A892) *
            (IF($B$9="الكل",1, YEAR('ادخال البيانات'!$N$3:$N$1164)=VALUE($B$9))) *
            (IF($B$10="الكل",1, MONTH('ادخال البيانات'!$N$3:$N$1164)=VALUE($B$10))) *
            (IF($B$11="الكل",1, INT((DAY('ادخال البيانات'!$N$3:$N$1164)-1)/7)+1 = VALUE($B$11))),
            'ادخال البيانات'!$G$3:$G$1164
         ),
         ""
      ),
      IF(_xlpm.result="", "", _xlpm.result)
   )
)</f>
        <v/>
      </c>
      <c r="H892" s="27" t="str" cm="1">
        <f t="array" ref="H892">IF(
   A892="",
   "",
   _xlfn.LET(
      _xlpm.result,
      IFERROR(
         _xlfn.XLOOKUP(
            1,
            (Table8[رقم الصنف]=A892) *
            (IF($B$9="الكل",1, YEAR('ادخال البيانات'!$N$3:$N$1164)=VALUE($B$9))) *
            (IF($B$10="الكل",1, MONTH('ادخال البيانات'!$N$3:$N$1164)=VALUE($B$10))) *
            (IF($B$11="الكل",1, INT((DAY('ادخال البيانات'!$N$3:$N$1164)-1)/7)+1 = VALUE($B$11))),
            'ادخال البيانات'!$H$3:$H$1164
         ),
         ""
      ),
      IF(_xlpm.result="", "", _xlpm.result)
   )
)</f>
        <v/>
      </c>
      <c r="I892" s="27" t="str" cm="1">
        <f t="array" ref="I892">IF(
   A892="",
   "",
   _xlfn.LET(
      _xlpm.result,
      IFERROR(
         _xlfn.XLOOKUP(
            1,
            (Table8[رقم الصنف]=A892) *
            (IF($B$9="الكل",1, YEAR('ادخال البيانات'!$N$3:$N$1164)=VALUE($B$9))) *
            (IF($B$10="الكل",1, MONTH('ادخال البيانات'!$N$3:$N$1164)=VALUE($B$10))) *
            (IF($B$11="الكل",1, INT((DAY('ادخال البيانات'!$N$3:$N$1164)-1)/7)+1 = VALUE($B$11))),
            'ادخال البيانات'!$I$3:$I$1164
         ),
         ""
      ),
      IF(_xlpm.result="", "", _xlpm.result)
   )
)</f>
        <v/>
      </c>
      <c r="J892" s="27" t="str" cm="1">
        <f t="array" ref="J892">IF(
   A892="",
   "",
   _xlfn.LET(
      _xlpm.result,
      IFERROR(
         _xlfn.XLOOKUP(
            1,
            (Table8[رقم الصنف]=A892) *
            (IF($B$9="الكل",1, YEAR('ادخال البيانات'!$N$3:$N$1164)=VALUE($B$9))) *
            (IF($B$10="الكل",1, MONTH('ادخال البيانات'!$N$3:$N$1164)=VALUE($B$10))) *
            (IF($B$11="الكل",1, INT((DAY('ادخال البيانات'!$N$3:$N$1164)-1)/7)+1 = VALUE($B$11))),
            'ادخال البيانات'!$J$3:$J$1164
         ),
         ""
      ),
      IF(_xlpm.result="", "", _xlpm.result)
   )
)</f>
        <v/>
      </c>
      <c r="K892" s="27" t="str" cm="1">
        <f t="array" ref="K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2" s="27" t="str" cm="1">
        <f t="array" ref="L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2" s="27" t="str" cm="1">
        <f t="array" ref="M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2" s="28" t="str" cm="1">
        <f t="array" ref="N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2" s="28" t="str" cm="1">
        <f t="array" ref="O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2" s="27" t="str" cm="1">
        <f t="array" ref="P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Table8[جهة العطل]
         ),
         ""
      ),
      IF(_xlpm.result="", "", _xlpm.result)
   )
)</f>
        <v/>
      </c>
      <c r="Q892" s="27" t="str" cm="1">
        <f t="array" ref="Q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Table8[المركز]
         ),
         ""
      ),
      IF(_xlpm.result="", "", _xlpm.result)
   )
)</f>
        <v/>
      </c>
      <c r="R892" s="27" t="str" cm="1">
        <f t="array" ref="R892">IF(
   A892="",
   "",
   _xlfn.LET(
      _xlpm.result,
      IFERROR(
         _xlfn.XLOOKUP(
            1,
            (Table8[رقم الصنف]=A892) *
            (IF($B$9="الكل",1, YEAR('ادخال البيانات'!$N$3:$N$1164) = VALUE($B$9))) *
            (IF($B$10="الكل",1, MONTH('ادخال البيانات'!$N$3:$N$1164) = VALUE($B$10))) *
            (IF($B$11="الكل",1, INT((DAY('ادخال البيانات'!$N$3:$N$1164) - 1) / 7) + 1 = VALUE($B$11))),
            Table8[ملاحظة]
         ),
         ""
      ),
      IF(_xlpm.result="", "", _xlpm.result)
   )
)</f>
        <v/>
      </c>
      <c r="S892" s="46" t="str">
        <f t="shared" ca="1" si="14"/>
        <v/>
      </c>
    </row>
    <row r="893" spans="1:19" ht="15.6" thickTop="1" thickBot="1" x14ac:dyDescent="0.35">
      <c r="A893" s="39"/>
      <c r="B893" s="27" t="str" cm="1">
        <f t="array" ref="B893">IF(
   OR(A893="", $B$9="", $B$10="", $B$11=""),
   "",
   _xlfn.LET(
      _xlpm.result,
      IFERROR(
         _xlfn.XLOOKUP(
            1,
            (Table8[رقم الصنف]=A893)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3" s="27" t="str" cm="1">
        <f t="array" ref="C893">IF(
   A893="",
   "",
   _xlfn.LET(
      _xlpm.result,
      IFERROR(
         _xlfn.XLOOKUP(
            1,
            (Table8[رقم الصنف]=A893) *
            (IF($B$9="الكل",1, YEAR('ادخال البيانات'!$N$3:$N$1164) = VALUE($B$9))) *
            (IF($B$10="الكل",1, MONTH('ادخال البيانات'!$N$3:$N$1164) = VALUE($B$10))) *
            (IF($B$11="الكل",1, INT((DAY('ادخال البيانات'!$N$3:$N$1164)-1)/7)+1 = VALUE($B$11))),
            'ادخال البيانات'!$C$3:$C$1164
         ),
         ""
      ),
      IF(_xlpm.result="", "", _xlpm.result)
   )
)</f>
        <v/>
      </c>
      <c r="D893" s="27" t="str" cm="1">
        <f t="array" ref="D893">IF(
   OR(A893="", $B$9="", $B$10="", $B$11=""),
   "",
   _xlfn.LET(
      _xlpm.result,
      IFERROR(
         _xlfn.XLOOKUP(
            1,
            (Table8[رقم الصنف]=A893) *
            (IF($B$9="الكل",1, YEAR('ادخال البيانات'!$N$3:$N$1164)=VALUE($B$9))) *
            (IF($B$10="الكل",1, MONTH('ادخال البيانات'!$N$3:$N$1164)=VALUE($B$10))) *
            (IF($B$11="الكل",1, INT((DAY('ادخال البيانات'!$N$3:$N$1164)-1)/7)+1 = VALUE($B$11))),
            'ادخال البيانات'!$D$3:$D$1164
         ),
         ""
      ),
      IF(_xlpm.result="", "", _xlpm.result)
   )
)</f>
        <v/>
      </c>
      <c r="E893" s="27" t="str" cm="1">
        <f t="array" ref="E893">IF(
   A893="",
   "",
   _xlfn.LET(
      _xlpm.result,
      IFERROR(
         _xlfn.XLOOKUP(
            1,
            (Table8[رقم الصنف]=A893) *
            (IF($B$9="الكل",1, YEAR('ادخال البيانات'!$N$3:$N$1164)=VALUE($B$9))) *
            (IF($B$10="الكل",1, MONTH('ادخال البيانات'!$N$3:$N$1164)=VALUE($B$10))) *
            (IF($B$11="الكل",1, INT((DAY('ادخال البيانات'!$N$3:$N$1164)-1)/7)+1 = VALUE($B$11))),
            'ادخال البيانات'!$E$3:$E$1164
         ),
         ""
      ),
      IF(_xlpm.result="", "", _xlpm.result)
   )
)</f>
        <v/>
      </c>
      <c r="F893" s="27" t="str" cm="1">
        <f t="array" ref="F893">IF(
   A893="",
   "",
   _xlfn.LET(
      _xlpm.result,
      IFERROR(
         _xlfn.XLOOKUP(
            1,
            (Table8[رقم الصنف]=A893) *
            (IF($B$9="الكل",1, YEAR('ادخال البيانات'!$N$3:$N$1164) = VALUE($B$9))) *
            (IF($B$10="الكل",1, MONTH('ادخال البيانات'!$N$3:$N$1164) = VALUE($B$10))) *
            (IF($B$11="الكل",1, INT((DAY('ادخال البيانات'!$N$3:$N$1164)-1)/7)+1 = VALUE($B$11))),
            'ادخال البيانات'!$F$3:$F$1164
         ),
         ""
      ),
      IF(_xlpm.result="", "", _xlpm.result)
   )
)</f>
        <v/>
      </c>
      <c r="G893" s="27" t="str" cm="1">
        <f t="array" ref="G893">IF(
   A893="",
   "",
   _xlfn.LET(
      _xlpm.result,
      IFERROR(
         _xlfn.XLOOKUP(
            1,
            (Table8[رقم الصنف]=A893) *
            (IF($B$9="الكل",1, YEAR('ادخال البيانات'!$N$3:$N$1164)=VALUE($B$9))) *
            (IF($B$10="الكل",1, MONTH('ادخال البيانات'!$N$3:$N$1164)=VALUE($B$10))) *
            (IF($B$11="الكل",1, INT((DAY('ادخال البيانات'!$N$3:$N$1164)-1)/7)+1 = VALUE($B$11))),
            'ادخال البيانات'!$G$3:$G$1164
         ),
         ""
      ),
      IF(_xlpm.result="", "", _xlpm.result)
   )
)</f>
        <v/>
      </c>
      <c r="H893" s="27" t="str" cm="1">
        <f t="array" ref="H893">IF(
   A893="",
   "",
   _xlfn.LET(
      _xlpm.result,
      IFERROR(
         _xlfn.XLOOKUP(
            1,
            (Table8[رقم الصنف]=A893) *
            (IF($B$9="الكل",1, YEAR('ادخال البيانات'!$N$3:$N$1164)=VALUE($B$9))) *
            (IF($B$10="الكل",1, MONTH('ادخال البيانات'!$N$3:$N$1164)=VALUE($B$10))) *
            (IF($B$11="الكل",1, INT((DAY('ادخال البيانات'!$N$3:$N$1164)-1)/7)+1 = VALUE($B$11))),
            'ادخال البيانات'!$H$3:$H$1164
         ),
         ""
      ),
      IF(_xlpm.result="", "", _xlpm.result)
   )
)</f>
        <v/>
      </c>
      <c r="I893" s="27" t="str" cm="1">
        <f t="array" ref="I893">IF(
   A893="",
   "",
   _xlfn.LET(
      _xlpm.result,
      IFERROR(
         _xlfn.XLOOKUP(
            1,
            (Table8[رقم الصنف]=A893) *
            (IF($B$9="الكل",1, YEAR('ادخال البيانات'!$N$3:$N$1164)=VALUE($B$9))) *
            (IF($B$10="الكل",1, MONTH('ادخال البيانات'!$N$3:$N$1164)=VALUE($B$10))) *
            (IF($B$11="الكل",1, INT((DAY('ادخال البيانات'!$N$3:$N$1164)-1)/7)+1 = VALUE($B$11))),
            'ادخال البيانات'!$I$3:$I$1164
         ),
         ""
      ),
      IF(_xlpm.result="", "", _xlpm.result)
   )
)</f>
        <v/>
      </c>
      <c r="J893" s="27" t="str" cm="1">
        <f t="array" ref="J893">IF(
   A893="",
   "",
   _xlfn.LET(
      _xlpm.result,
      IFERROR(
         _xlfn.XLOOKUP(
            1,
            (Table8[رقم الصنف]=A893) *
            (IF($B$9="الكل",1, YEAR('ادخال البيانات'!$N$3:$N$1164)=VALUE($B$9))) *
            (IF($B$10="الكل",1, MONTH('ادخال البيانات'!$N$3:$N$1164)=VALUE($B$10))) *
            (IF($B$11="الكل",1, INT((DAY('ادخال البيانات'!$N$3:$N$1164)-1)/7)+1 = VALUE($B$11))),
            'ادخال البيانات'!$J$3:$J$1164
         ),
         ""
      ),
      IF(_xlpm.result="", "", _xlpm.result)
   )
)</f>
        <v/>
      </c>
      <c r="K893" s="27" t="str" cm="1">
        <f t="array" ref="K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3" s="27" t="str" cm="1">
        <f t="array" ref="L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3" s="27" t="str" cm="1">
        <f t="array" ref="M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3" s="28" t="str" cm="1">
        <f t="array" ref="N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3" s="28" t="str" cm="1">
        <f t="array" ref="O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3" s="27" t="str" cm="1">
        <f t="array" ref="P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Table8[جهة العطل]
         ),
         ""
      ),
      IF(_xlpm.result="", "", _xlpm.result)
   )
)</f>
        <v/>
      </c>
      <c r="Q893" s="27" t="str" cm="1">
        <f t="array" ref="Q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Table8[المركز]
         ),
         ""
      ),
      IF(_xlpm.result="", "", _xlpm.result)
   )
)</f>
        <v/>
      </c>
      <c r="R893" s="27" t="str" cm="1">
        <f t="array" ref="R893">IF(
   A893="",
   "",
   _xlfn.LET(
      _xlpm.result,
      IFERROR(
         _xlfn.XLOOKUP(
            1,
            (Table8[رقم الصنف]=A893) *
            (IF($B$9="الكل",1, YEAR('ادخال البيانات'!$N$3:$N$1164) = VALUE($B$9))) *
            (IF($B$10="الكل",1, MONTH('ادخال البيانات'!$N$3:$N$1164) = VALUE($B$10))) *
            (IF($B$11="الكل",1, INT((DAY('ادخال البيانات'!$N$3:$N$1164) - 1) / 7) + 1 = VALUE($B$11))),
            Table8[ملاحظة]
         ),
         ""
      ),
      IF(_xlpm.result="", "", _xlpm.result)
   )
)</f>
        <v/>
      </c>
      <c r="S893" s="46" t="str">
        <f t="shared" ca="1" si="14"/>
        <v/>
      </c>
    </row>
    <row r="894" spans="1:19" ht="15.6" thickTop="1" thickBot="1" x14ac:dyDescent="0.35">
      <c r="A894" s="39"/>
      <c r="B894" s="27" t="str" cm="1">
        <f t="array" ref="B894">IF(
   OR(A894="", $B$9="", $B$10="", $B$11=""),
   "",
   _xlfn.LET(
      _xlpm.result,
      IFERROR(
         _xlfn.XLOOKUP(
            1,
            (Table8[رقم الصنف]=A894)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4" s="27" t="str" cm="1">
        <f t="array" ref="C894">IF(
   A894="",
   "",
   _xlfn.LET(
      _xlpm.result,
      IFERROR(
         _xlfn.XLOOKUP(
            1,
            (Table8[رقم الصنف]=A894) *
            (IF($B$9="الكل",1, YEAR('ادخال البيانات'!$N$3:$N$1164) = VALUE($B$9))) *
            (IF($B$10="الكل",1, MONTH('ادخال البيانات'!$N$3:$N$1164) = VALUE($B$10))) *
            (IF($B$11="الكل",1, INT((DAY('ادخال البيانات'!$N$3:$N$1164)-1)/7)+1 = VALUE($B$11))),
            'ادخال البيانات'!$C$3:$C$1164
         ),
         ""
      ),
      IF(_xlpm.result="", "", _xlpm.result)
   )
)</f>
        <v/>
      </c>
      <c r="D894" s="27" t="str" cm="1">
        <f t="array" ref="D894">IF(
   OR(A894="", $B$9="", $B$10="", $B$11=""),
   "",
   _xlfn.LET(
      _xlpm.result,
      IFERROR(
         _xlfn.XLOOKUP(
            1,
            (Table8[رقم الصنف]=A894) *
            (IF($B$9="الكل",1, YEAR('ادخال البيانات'!$N$3:$N$1164)=VALUE($B$9))) *
            (IF($B$10="الكل",1, MONTH('ادخال البيانات'!$N$3:$N$1164)=VALUE($B$10))) *
            (IF($B$11="الكل",1, INT((DAY('ادخال البيانات'!$N$3:$N$1164)-1)/7)+1 = VALUE($B$11))),
            'ادخال البيانات'!$D$3:$D$1164
         ),
         ""
      ),
      IF(_xlpm.result="", "", _xlpm.result)
   )
)</f>
        <v/>
      </c>
      <c r="E894" s="27" t="str" cm="1">
        <f t="array" ref="E894">IF(
   A894="",
   "",
   _xlfn.LET(
      _xlpm.result,
      IFERROR(
         _xlfn.XLOOKUP(
            1,
            (Table8[رقم الصنف]=A894) *
            (IF($B$9="الكل",1, YEAR('ادخال البيانات'!$N$3:$N$1164)=VALUE($B$9))) *
            (IF($B$10="الكل",1, MONTH('ادخال البيانات'!$N$3:$N$1164)=VALUE($B$10))) *
            (IF($B$11="الكل",1, INT((DAY('ادخال البيانات'!$N$3:$N$1164)-1)/7)+1 = VALUE($B$11))),
            'ادخال البيانات'!$E$3:$E$1164
         ),
         ""
      ),
      IF(_xlpm.result="", "", _xlpm.result)
   )
)</f>
        <v/>
      </c>
      <c r="F894" s="27" t="str" cm="1">
        <f t="array" ref="F894">IF(
   A894="",
   "",
   _xlfn.LET(
      _xlpm.result,
      IFERROR(
         _xlfn.XLOOKUP(
            1,
            (Table8[رقم الصنف]=A894) *
            (IF($B$9="الكل",1, YEAR('ادخال البيانات'!$N$3:$N$1164) = VALUE($B$9))) *
            (IF($B$10="الكل",1, MONTH('ادخال البيانات'!$N$3:$N$1164) = VALUE($B$10))) *
            (IF($B$11="الكل",1, INT((DAY('ادخال البيانات'!$N$3:$N$1164)-1)/7)+1 = VALUE($B$11))),
            'ادخال البيانات'!$F$3:$F$1164
         ),
         ""
      ),
      IF(_xlpm.result="", "", _xlpm.result)
   )
)</f>
        <v/>
      </c>
      <c r="G894" s="27" t="str" cm="1">
        <f t="array" ref="G894">IF(
   A894="",
   "",
   _xlfn.LET(
      _xlpm.result,
      IFERROR(
         _xlfn.XLOOKUP(
            1,
            (Table8[رقم الصنف]=A894) *
            (IF($B$9="الكل",1, YEAR('ادخال البيانات'!$N$3:$N$1164)=VALUE($B$9))) *
            (IF($B$10="الكل",1, MONTH('ادخال البيانات'!$N$3:$N$1164)=VALUE($B$10))) *
            (IF($B$11="الكل",1, INT((DAY('ادخال البيانات'!$N$3:$N$1164)-1)/7)+1 = VALUE($B$11))),
            'ادخال البيانات'!$G$3:$G$1164
         ),
         ""
      ),
      IF(_xlpm.result="", "", _xlpm.result)
   )
)</f>
        <v/>
      </c>
      <c r="H894" s="27" t="str" cm="1">
        <f t="array" ref="H894">IF(
   A894="",
   "",
   _xlfn.LET(
      _xlpm.result,
      IFERROR(
         _xlfn.XLOOKUP(
            1,
            (Table8[رقم الصنف]=A894) *
            (IF($B$9="الكل",1, YEAR('ادخال البيانات'!$N$3:$N$1164)=VALUE($B$9))) *
            (IF($B$10="الكل",1, MONTH('ادخال البيانات'!$N$3:$N$1164)=VALUE($B$10))) *
            (IF($B$11="الكل",1, INT((DAY('ادخال البيانات'!$N$3:$N$1164)-1)/7)+1 = VALUE($B$11))),
            'ادخال البيانات'!$H$3:$H$1164
         ),
         ""
      ),
      IF(_xlpm.result="", "", _xlpm.result)
   )
)</f>
        <v/>
      </c>
      <c r="I894" s="27" t="str" cm="1">
        <f t="array" ref="I894">IF(
   A894="",
   "",
   _xlfn.LET(
      _xlpm.result,
      IFERROR(
         _xlfn.XLOOKUP(
            1,
            (Table8[رقم الصنف]=A894) *
            (IF($B$9="الكل",1, YEAR('ادخال البيانات'!$N$3:$N$1164)=VALUE($B$9))) *
            (IF($B$10="الكل",1, MONTH('ادخال البيانات'!$N$3:$N$1164)=VALUE($B$10))) *
            (IF($B$11="الكل",1, INT((DAY('ادخال البيانات'!$N$3:$N$1164)-1)/7)+1 = VALUE($B$11))),
            'ادخال البيانات'!$I$3:$I$1164
         ),
         ""
      ),
      IF(_xlpm.result="", "", _xlpm.result)
   )
)</f>
        <v/>
      </c>
      <c r="J894" s="27" t="str" cm="1">
        <f t="array" ref="J894">IF(
   A894="",
   "",
   _xlfn.LET(
      _xlpm.result,
      IFERROR(
         _xlfn.XLOOKUP(
            1,
            (Table8[رقم الصنف]=A894) *
            (IF($B$9="الكل",1, YEAR('ادخال البيانات'!$N$3:$N$1164)=VALUE($B$9))) *
            (IF($B$10="الكل",1, MONTH('ادخال البيانات'!$N$3:$N$1164)=VALUE($B$10))) *
            (IF($B$11="الكل",1, INT((DAY('ادخال البيانات'!$N$3:$N$1164)-1)/7)+1 = VALUE($B$11))),
            'ادخال البيانات'!$J$3:$J$1164
         ),
         ""
      ),
      IF(_xlpm.result="", "", _xlpm.result)
   )
)</f>
        <v/>
      </c>
      <c r="K894" s="27" t="str" cm="1">
        <f t="array" ref="K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4" s="27" t="str" cm="1">
        <f t="array" ref="L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4" s="27" t="str" cm="1">
        <f t="array" ref="M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4" s="28" t="str" cm="1">
        <f t="array" ref="N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4" s="28" t="str" cm="1">
        <f t="array" ref="O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4" s="27" t="str" cm="1">
        <f t="array" ref="P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Table8[جهة العطل]
         ),
         ""
      ),
      IF(_xlpm.result="", "", _xlpm.result)
   )
)</f>
        <v/>
      </c>
      <c r="Q894" s="27" t="str" cm="1">
        <f t="array" ref="Q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Table8[المركز]
         ),
         ""
      ),
      IF(_xlpm.result="", "", _xlpm.result)
   )
)</f>
        <v/>
      </c>
      <c r="R894" s="27" t="str" cm="1">
        <f t="array" ref="R894">IF(
   A894="",
   "",
   _xlfn.LET(
      _xlpm.result,
      IFERROR(
         _xlfn.XLOOKUP(
            1,
            (Table8[رقم الصنف]=A894) *
            (IF($B$9="الكل",1, YEAR('ادخال البيانات'!$N$3:$N$1164) = VALUE($B$9))) *
            (IF($B$10="الكل",1, MONTH('ادخال البيانات'!$N$3:$N$1164) = VALUE($B$10))) *
            (IF($B$11="الكل",1, INT((DAY('ادخال البيانات'!$N$3:$N$1164) - 1) / 7) + 1 = VALUE($B$11))),
            Table8[ملاحظة]
         ),
         ""
      ),
      IF(_xlpm.result="", "", _xlpm.result)
   )
)</f>
        <v/>
      </c>
      <c r="S894" s="46" t="str">
        <f t="shared" ca="1" si="14"/>
        <v/>
      </c>
    </row>
    <row r="895" spans="1:19" ht="15.6" thickTop="1" thickBot="1" x14ac:dyDescent="0.35">
      <c r="A895" s="39"/>
      <c r="B895" s="27" t="str" cm="1">
        <f t="array" ref="B895">IF(
   OR(A895="", $B$9="", $B$10="", $B$11=""),
   "",
   _xlfn.LET(
      _xlpm.result,
      IFERROR(
         _xlfn.XLOOKUP(
            1,
            (Table8[رقم الصنف]=A895)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5" s="27" t="str" cm="1">
        <f t="array" ref="C895">IF(
   A895="",
   "",
   _xlfn.LET(
      _xlpm.result,
      IFERROR(
         _xlfn.XLOOKUP(
            1,
            (Table8[رقم الصنف]=A895) *
            (IF($B$9="الكل",1, YEAR('ادخال البيانات'!$N$3:$N$1164) = VALUE($B$9))) *
            (IF($B$10="الكل",1, MONTH('ادخال البيانات'!$N$3:$N$1164) = VALUE($B$10))) *
            (IF($B$11="الكل",1, INT((DAY('ادخال البيانات'!$N$3:$N$1164)-1)/7)+1 = VALUE($B$11))),
            'ادخال البيانات'!$C$3:$C$1164
         ),
         ""
      ),
      IF(_xlpm.result="", "", _xlpm.result)
   )
)</f>
        <v/>
      </c>
      <c r="D895" s="27" t="str" cm="1">
        <f t="array" ref="D895">IF(
   OR(A895="", $B$9="", $B$10="", $B$11=""),
   "",
   _xlfn.LET(
      _xlpm.result,
      IFERROR(
         _xlfn.XLOOKUP(
            1,
            (Table8[رقم الصنف]=A895) *
            (IF($B$9="الكل",1, YEAR('ادخال البيانات'!$N$3:$N$1164)=VALUE($B$9))) *
            (IF($B$10="الكل",1, MONTH('ادخال البيانات'!$N$3:$N$1164)=VALUE($B$10))) *
            (IF($B$11="الكل",1, INT((DAY('ادخال البيانات'!$N$3:$N$1164)-1)/7)+1 = VALUE($B$11))),
            'ادخال البيانات'!$D$3:$D$1164
         ),
         ""
      ),
      IF(_xlpm.result="", "", _xlpm.result)
   )
)</f>
        <v/>
      </c>
      <c r="E895" s="27" t="str" cm="1">
        <f t="array" ref="E895">IF(
   A895="",
   "",
   _xlfn.LET(
      _xlpm.result,
      IFERROR(
         _xlfn.XLOOKUP(
            1,
            (Table8[رقم الصنف]=A895) *
            (IF($B$9="الكل",1, YEAR('ادخال البيانات'!$N$3:$N$1164)=VALUE($B$9))) *
            (IF($B$10="الكل",1, MONTH('ادخال البيانات'!$N$3:$N$1164)=VALUE($B$10))) *
            (IF($B$11="الكل",1, INT((DAY('ادخال البيانات'!$N$3:$N$1164)-1)/7)+1 = VALUE($B$11))),
            'ادخال البيانات'!$E$3:$E$1164
         ),
         ""
      ),
      IF(_xlpm.result="", "", _xlpm.result)
   )
)</f>
        <v/>
      </c>
      <c r="F895" s="27" t="str" cm="1">
        <f t="array" ref="F895">IF(
   A895="",
   "",
   _xlfn.LET(
      _xlpm.result,
      IFERROR(
         _xlfn.XLOOKUP(
            1,
            (Table8[رقم الصنف]=A895) *
            (IF($B$9="الكل",1, YEAR('ادخال البيانات'!$N$3:$N$1164) = VALUE($B$9))) *
            (IF($B$10="الكل",1, MONTH('ادخال البيانات'!$N$3:$N$1164) = VALUE($B$10))) *
            (IF($B$11="الكل",1, INT((DAY('ادخال البيانات'!$N$3:$N$1164)-1)/7)+1 = VALUE($B$11))),
            'ادخال البيانات'!$F$3:$F$1164
         ),
         ""
      ),
      IF(_xlpm.result="", "", _xlpm.result)
   )
)</f>
        <v/>
      </c>
      <c r="G895" s="27" t="str" cm="1">
        <f t="array" ref="G895">IF(
   A895="",
   "",
   _xlfn.LET(
      _xlpm.result,
      IFERROR(
         _xlfn.XLOOKUP(
            1,
            (Table8[رقم الصنف]=A895) *
            (IF($B$9="الكل",1, YEAR('ادخال البيانات'!$N$3:$N$1164)=VALUE($B$9))) *
            (IF($B$10="الكل",1, MONTH('ادخال البيانات'!$N$3:$N$1164)=VALUE($B$10))) *
            (IF($B$11="الكل",1, INT((DAY('ادخال البيانات'!$N$3:$N$1164)-1)/7)+1 = VALUE($B$11))),
            'ادخال البيانات'!$G$3:$G$1164
         ),
         ""
      ),
      IF(_xlpm.result="", "", _xlpm.result)
   )
)</f>
        <v/>
      </c>
      <c r="H895" s="27" t="str" cm="1">
        <f t="array" ref="H895">IF(
   A895="",
   "",
   _xlfn.LET(
      _xlpm.result,
      IFERROR(
         _xlfn.XLOOKUP(
            1,
            (Table8[رقم الصنف]=A895) *
            (IF($B$9="الكل",1, YEAR('ادخال البيانات'!$N$3:$N$1164)=VALUE($B$9))) *
            (IF($B$10="الكل",1, MONTH('ادخال البيانات'!$N$3:$N$1164)=VALUE($B$10))) *
            (IF($B$11="الكل",1, INT((DAY('ادخال البيانات'!$N$3:$N$1164)-1)/7)+1 = VALUE($B$11))),
            'ادخال البيانات'!$H$3:$H$1164
         ),
         ""
      ),
      IF(_xlpm.result="", "", _xlpm.result)
   )
)</f>
        <v/>
      </c>
      <c r="I895" s="27" t="str" cm="1">
        <f t="array" ref="I895">IF(
   A895="",
   "",
   _xlfn.LET(
      _xlpm.result,
      IFERROR(
         _xlfn.XLOOKUP(
            1,
            (Table8[رقم الصنف]=A895) *
            (IF($B$9="الكل",1, YEAR('ادخال البيانات'!$N$3:$N$1164)=VALUE($B$9))) *
            (IF($B$10="الكل",1, MONTH('ادخال البيانات'!$N$3:$N$1164)=VALUE($B$10))) *
            (IF($B$11="الكل",1, INT((DAY('ادخال البيانات'!$N$3:$N$1164)-1)/7)+1 = VALUE($B$11))),
            'ادخال البيانات'!$I$3:$I$1164
         ),
         ""
      ),
      IF(_xlpm.result="", "", _xlpm.result)
   )
)</f>
        <v/>
      </c>
      <c r="J895" s="27" t="str" cm="1">
        <f t="array" ref="J895">IF(
   A895="",
   "",
   _xlfn.LET(
      _xlpm.result,
      IFERROR(
         _xlfn.XLOOKUP(
            1,
            (Table8[رقم الصنف]=A895) *
            (IF($B$9="الكل",1, YEAR('ادخال البيانات'!$N$3:$N$1164)=VALUE($B$9))) *
            (IF($B$10="الكل",1, MONTH('ادخال البيانات'!$N$3:$N$1164)=VALUE($B$10))) *
            (IF($B$11="الكل",1, INT((DAY('ادخال البيانات'!$N$3:$N$1164)-1)/7)+1 = VALUE($B$11))),
            'ادخال البيانات'!$J$3:$J$1164
         ),
         ""
      ),
      IF(_xlpm.result="", "", _xlpm.result)
   )
)</f>
        <v/>
      </c>
      <c r="K895" s="27" t="str" cm="1">
        <f t="array" ref="K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5" s="27" t="str" cm="1">
        <f t="array" ref="L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5" s="27" t="str" cm="1">
        <f t="array" ref="M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5" s="28" t="str" cm="1">
        <f t="array" ref="N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5" s="28" t="str" cm="1">
        <f t="array" ref="O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5" s="27" t="str" cm="1">
        <f t="array" ref="P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Table8[جهة العطل]
         ),
         ""
      ),
      IF(_xlpm.result="", "", _xlpm.result)
   )
)</f>
        <v/>
      </c>
      <c r="Q895" s="27" t="str" cm="1">
        <f t="array" ref="Q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Table8[المركز]
         ),
         ""
      ),
      IF(_xlpm.result="", "", _xlpm.result)
   )
)</f>
        <v/>
      </c>
      <c r="R895" s="27" t="str" cm="1">
        <f t="array" ref="R895">IF(
   A895="",
   "",
   _xlfn.LET(
      _xlpm.result,
      IFERROR(
         _xlfn.XLOOKUP(
            1,
            (Table8[رقم الصنف]=A895) *
            (IF($B$9="الكل",1, YEAR('ادخال البيانات'!$N$3:$N$1164) = VALUE($B$9))) *
            (IF($B$10="الكل",1, MONTH('ادخال البيانات'!$N$3:$N$1164) = VALUE($B$10))) *
            (IF($B$11="الكل",1, INT((DAY('ادخال البيانات'!$N$3:$N$1164) - 1) / 7) + 1 = VALUE($B$11))),
            Table8[ملاحظة]
         ),
         ""
      ),
      IF(_xlpm.result="", "", _xlpm.result)
   )
)</f>
        <v/>
      </c>
      <c r="S895" s="46" t="str">
        <f t="shared" ca="1" si="14"/>
        <v/>
      </c>
    </row>
    <row r="896" spans="1:19" ht="15.6" thickTop="1" thickBot="1" x14ac:dyDescent="0.35">
      <c r="A896" s="39"/>
      <c r="B896" s="27" t="str" cm="1">
        <f t="array" ref="B896">IF(
   OR(A896="", $B$9="", $B$10="", $B$11=""),
   "",
   _xlfn.LET(
      _xlpm.result,
      IFERROR(
         _xlfn.XLOOKUP(
            1,
            (Table8[رقم الصنف]=A896)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6" s="27" t="str" cm="1">
        <f t="array" ref="C896">IF(
   A896="",
   "",
   _xlfn.LET(
      _xlpm.result,
      IFERROR(
         _xlfn.XLOOKUP(
            1,
            (Table8[رقم الصنف]=A896) *
            (IF($B$9="الكل",1, YEAR('ادخال البيانات'!$N$3:$N$1164) = VALUE($B$9))) *
            (IF($B$10="الكل",1, MONTH('ادخال البيانات'!$N$3:$N$1164) = VALUE($B$10))) *
            (IF($B$11="الكل",1, INT((DAY('ادخال البيانات'!$N$3:$N$1164)-1)/7)+1 = VALUE($B$11))),
            'ادخال البيانات'!$C$3:$C$1164
         ),
         ""
      ),
      IF(_xlpm.result="", "", _xlpm.result)
   )
)</f>
        <v/>
      </c>
      <c r="D896" s="27" t="str" cm="1">
        <f t="array" ref="D896">IF(
   OR(A896="", $B$9="", $B$10="", $B$11=""),
   "",
   _xlfn.LET(
      _xlpm.result,
      IFERROR(
         _xlfn.XLOOKUP(
            1,
            (Table8[رقم الصنف]=A896) *
            (IF($B$9="الكل",1, YEAR('ادخال البيانات'!$N$3:$N$1164)=VALUE($B$9))) *
            (IF($B$10="الكل",1, MONTH('ادخال البيانات'!$N$3:$N$1164)=VALUE($B$10))) *
            (IF($B$11="الكل",1, INT((DAY('ادخال البيانات'!$N$3:$N$1164)-1)/7)+1 = VALUE($B$11))),
            'ادخال البيانات'!$D$3:$D$1164
         ),
         ""
      ),
      IF(_xlpm.result="", "", _xlpm.result)
   )
)</f>
        <v/>
      </c>
      <c r="E896" s="27" t="str" cm="1">
        <f t="array" ref="E896">IF(
   A896="",
   "",
   _xlfn.LET(
      _xlpm.result,
      IFERROR(
         _xlfn.XLOOKUP(
            1,
            (Table8[رقم الصنف]=A896) *
            (IF($B$9="الكل",1, YEAR('ادخال البيانات'!$N$3:$N$1164)=VALUE($B$9))) *
            (IF($B$10="الكل",1, MONTH('ادخال البيانات'!$N$3:$N$1164)=VALUE($B$10))) *
            (IF($B$11="الكل",1, INT((DAY('ادخال البيانات'!$N$3:$N$1164)-1)/7)+1 = VALUE($B$11))),
            'ادخال البيانات'!$E$3:$E$1164
         ),
         ""
      ),
      IF(_xlpm.result="", "", _xlpm.result)
   )
)</f>
        <v/>
      </c>
      <c r="F896" s="27" t="str" cm="1">
        <f t="array" ref="F896">IF(
   A896="",
   "",
   _xlfn.LET(
      _xlpm.result,
      IFERROR(
         _xlfn.XLOOKUP(
            1,
            (Table8[رقم الصنف]=A896) *
            (IF($B$9="الكل",1, YEAR('ادخال البيانات'!$N$3:$N$1164) = VALUE($B$9))) *
            (IF($B$10="الكل",1, MONTH('ادخال البيانات'!$N$3:$N$1164) = VALUE($B$10))) *
            (IF($B$11="الكل",1, INT((DAY('ادخال البيانات'!$N$3:$N$1164)-1)/7)+1 = VALUE($B$11))),
            'ادخال البيانات'!$F$3:$F$1164
         ),
         ""
      ),
      IF(_xlpm.result="", "", _xlpm.result)
   )
)</f>
        <v/>
      </c>
      <c r="G896" s="27" t="str" cm="1">
        <f t="array" ref="G896">IF(
   A896="",
   "",
   _xlfn.LET(
      _xlpm.result,
      IFERROR(
         _xlfn.XLOOKUP(
            1,
            (Table8[رقم الصنف]=A896) *
            (IF($B$9="الكل",1, YEAR('ادخال البيانات'!$N$3:$N$1164)=VALUE($B$9))) *
            (IF($B$10="الكل",1, MONTH('ادخال البيانات'!$N$3:$N$1164)=VALUE($B$10))) *
            (IF($B$11="الكل",1, INT((DAY('ادخال البيانات'!$N$3:$N$1164)-1)/7)+1 = VALUE($B$11))),
            'ادخال البيانات'!$G$3:$G$1164
         ),
         ""
      ),
      IF(_xlpm.result="", "", _xlpm.result)
   )
)</f>
        <v/>
      </c>
      <c r="H896" s="27" t="str" cm="1">
        <f t="array" ref="H896">IF(
   A896="",
   "",
   _xlfn.LET(
      _xlpm.result,
      IFERROR(
         _xlfn.XLOOKUP(
            1,
            (Table8[رقم الصنف]=A896) *
            (IF($B$9="الكل",1, YEAR('ادخال البيانات'!$N$3:$N$1164)=VALUE($B$9))) *
            (IF($B$10="الكل",1, MONTH('ادخال البيانات'!$N$3:$N$1164)=VALUE($B$10))) *
            (IF($B$11="الكل",1, INT((DAY('ادخال البيانات'!$N$3:$N$1164)-1)/7)+1 = VALUE($B$11))),
            'ادخال البيانات'!$H$3:$H$1164
         ),
         ""
      ),
      IF(_xlpm.result="", "", _xlpm.result)
   )
)</f>
        <v/>
      </c>
      <c r="I896" s="27" t="str" cm="1">
        <f t="array" ref="I896">IF(
   A896="",
   "",
   _xlfn.LET(
      _xlpm.result,
      IFERROR(
         _xlfn.XLOOKUP(
            1,
            (Table8[رقم الصنف]=A896) *
            (IF($B$9="الكل",1, YEAR('ادخال البيانات'!$N$3:$N$1164)=VALUE($B$9))) *
            (IF($B$10="الكل",1, MONTH('ادخال البيانات'!$N$3:$N$1164)=VALUE($B$10))) *
            (IF($B$11="الكل",1, INT((DAY('ادخال البيانات'!$N$3:$N$1164)-1)/7)+1 = VALUE($B$11))),
            'ادخال البيانات'!$I$3:$I$1164
         ),
         ""
      ),
      IF(_xlpm.result="", "", _xlpm.result)
   )
)</f>
        <v/>
      </c>
      <c r="J896" s="27" t="str" cm="1">
        <f t="array" ref="J896">IF(
   A896="",
   "",
   _xlfn.LET(
      _xlpm.result,
      IFERROR(
         _xlfn.XLOOKUP(
            1,
            (Table8[رقم الصنف]=A896) *
            (IF($B$9="الكل",1, YEAR('ادخال البيانات'!$N$3:$N$1164)=VALUE($B$9))) *
            (IF($B$10="الكل",1, MONTH('ادخال البيانات'!$N$3:$N$1164)=VALUE($B$10))) *
            (IF($B$11="الكل",1, INT((DAY('ادخال البيانات'!$N$3:$N$1164)-1)/7)+1 = VALUE($B$11))),
            'ادخال البيانات'!$J$3:$J$1164
         ),
         ""
      ),
      IF(_xlpm.result="", "", _xlpm.result)
   )
)</f>
        <v/>
      </c>
      <c r="K896" s="27" t="str" cm="1">
        <f t="array" ref="K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6" s="27" t="str" cm="1">
        <f t="array" ref="L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6" s="27" t="str" cm="1">
        <f t="array" ref="M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6" s="28" t="str" cm="1">
        <f t="array" ref="N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6" s="28" t="str" cm="1">
        <f t="array" ref="O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6" s="27" t="str" cm="1">
        <f t="array" ref="P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Table8[جهة العطل]
         ),
         ""
      ),
      IF(_xlpm.result="", "", _xlpm.result)
   )
)</f>
        <v/>
      </c>
      <c r="Q896" s="27" t="str" cm="1">
        <f t="array" ref="Q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Table8[المركز]
         ),
         ""
      ),
      IF(_xlpm.result="", "", _xlpm.result)
   )
)</f>
        <v/>
      </c>
      <c r="R896" s="27" t="str" cm="1">
        <f t="array" ref="R896">IF(
   A896="",
   "",
   _xlfn.LET(
      _xlpm.result,
      IFERROR(
         _xlfn.XLOOKUP(
            1,
            (Table8[رقم الصنف]=A896) *
            (IF($B$9="الكل",1, YEAR('ادخال البيانات'!$N$3:$N$1164) = VALUE($B$9))) *
            (IF($B$10="الكل",1, MONTH('ادخال البيانات'!$N$3:$N$1164) = VALUE($B$10))) *
            (IF($B$11="الكل",1, INT((DAY('ادخال البيانات'!$N$3:$N$1164) - 1) / 7) + 1 = VALUE($B$11))),
            Table8[ملاحظة]
         ),
         ""
      ),
      IF(_xlpm.result="", "", _xlpm.result)
   )
)</f>
        <v/>
      </c>
      <c r="S896" s="46" t="str">
        <f t="shared" ca="1" si="14"/>
        <v/>
      </c>
    </row>
    <row r="897" spans="1:19" ht="15.6" thickTop="1" thickBot="1" x14ac:dyDescent="0.35">
      <c r="A897" s="39"/>
      <c r="B897" s="27" t="str" cm="1">
        <f t="array" ref="B897">IF(
   OR(A897="", $B$9="", $B$10="", $B$11=""),
   "",
   _xlfn.LET(
      _xlpm.result,
      IFERROR(
         _xlfn.XLOOKUP(
            1,
            (Table8[رقم الصنف]=A897)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7" s="27" t="str" cm="1">
        <f t="array" ref="C897">IF(
   A897="",
   "",
   _xlfn.LET(
      _xlpm.result,
      IFERROR(
         _xlfn.XLOOKUP(
            1,
            (Table8[رقم الصنف]=A897) *
            (IF($B$9="الكل",1, YEAR('ادخال البيانات'!$N$3:$N$1164) = VALUE($B$9))) *
            (IF($B$10="الكل",1, MONTH('ادخال البيانات'!$N$3:$N$1164) = VALUE($B$10))) *
            (IF($B$11="الكل",1, INT((DAY('ادخال البيانات'!$N$3:$N$1164)-1)/7)+1 = VALUE($B$11))),
            'ادخال البيانات'!$C$3:$C$1164
         ),
         ""
      ),
      IF(_xlpm.result="", "", _xlpm.result)
   )
)</f>
        <v/>
      </c>
      <c r="D897" s="27" t="str" cm="1">
        <f t="array" ref="D897">IF(
   OR(A897="", $B$9="", $B$10="", $B$11=""),
   "",
   _xlfn.LET(
      _xlpm.result,
      IFERROR(
         _xlfn.XLOOKUP(
            1,
            (Table8[رقم الصنف]=A897) *
            (IF($B$9="الكل",1, YEAR('ادخال البيانات'!$N$3:$N$1164)=VALUE($B$9))) *
            (IF($B$10="الكل",1, MONTH('ادخال البيانات'!$N$3:$N$1164)=VALUE($B$10))) *
            (IF($B$11="الكل",1, INT((DAY('ادخال البيانات'!$N$3:$N$1164)-1)/7)+1 = VALUE($B$11))),
            'ادخال البيانات'!$D$3:$D$1164
         ),
         ""
      ),
      IF(_xlpm.result="", "", _xlpm.result)
   )
)</f>
        <v/>
      </c>
      <c r="E897" s="27" t="str" cm="1">
        <f t="array" ref="E897">IF(
   A897="",
   "",
   _xlfn.LET(
      _xlpm.result,
      IFERROR(
         _xlfn.XLOOKUP(
            1,
            (Table8[رقم الصنف]=A897) *
            (IF($B$9="الكل",1, YEAR('ادخال البيانات'!$N$3:$N$1164)=VALUE($B$9))) *
            (IF($B$10="الكل",1, MONTH('ادخال البيانات'!$N$3:$N$1164)=VALUE($B$10))) *
            (IF($B$11="الكل",1, INT((DAY('ادخال البيانات'!$N$3:$N$1164)-1)/7)+1 = VALUE($B$11))),
            'ادخال البيانات'!$E$3:$E$1164
         ),
         ""
      ),
      IF(_xlpm.result="", "", _xlpm.result)
   )
)</f>
        <v/>
      </c>
      <c r="F897" s="27" t="str" cm="1">
        <f t="array" ref="F897">IF(
   A897="",
   "",
   _xlfn.LET(
      _xlpm.result,
      IFERROR(
         _xlfn.XLOOKUP(
            1,
            (Table8[رقم الصنف]=A897) *
            (IF($B$9="الكل",1, YEAR('ادخال البيانات'!$N$3:$N$1164) = VALUE($B$9))) *
            (IF($B$10="الكل",1, MONTH('ادخال البيانات'!$N$3:$N$1164) = VALUE($B$10))) *
            (IF($B$11="الكل",1, INT((DAY('ادخال البيانات'!$N$3:$N$1164)-1)/7)+1 = VALUE($B$11))),
            'ادخال البيانات'!$F$3:$F$1164
         ),
         ""
      ),
      IF(_xlpm.result="", "", _xlpm.result)
   )
)</f>
        <v/>
      </c>
      <c r="G897" s="27" t="str" cm="1">
        <f t="array" ref="G897">IF(
   A897="",
   "",
   _xlfn.LET(
      _xlpm.result,
      IFERROR(
         _xlfn.XLOOKUP(
            1,
            (Table8[رقم الصنف]=A897) *
            (IF($B$9="الكل",1, YEAR('ادخال البيانات'!$N$3:$N$1164)=VALUE($B$9))) *
            (IF($B$10="الكل",1, MONTH('ادخال البيانات'!$N$3:$N$1164)=VALUE($B$10))) *
            (IF($B$11="الكل",1, INT((DAY('ادخال البيانات'!$N$3:$N$1164)-1)/7)+1 = VALUE($B$11))),
            'ادخال البيانات'!$G$3:$G$1164
         ),
         ""
      ),
      IF(_xlpm.result="", "", _xlpm.result)
   )
)</f>
        <v/>
      </c>
      <c r="H897" s="27" t="str" cm="1">
        <f t="array" ref="H897">IF(
   A897="",
   "",
   _xlfn.LET(
      _xlpm.result,
      IFERROR(
         _xlfn.XLOOKUP(
            1,
            (Table8[رقم الصنف]=A897) *
            (IF($B$9="الكل",1, YEAR('ادخال البيانات'!$N$3:$N$1164)=VALUE($B$9))) *
            (IF($B$10="الكل",1, MONTH('ادخال البيانات'!$N$3:$N$1164)=VALUE($B$10))) *
            (IF($B$11="الكل",1, INT((DAY('ادخال البيانات'!$N$3:$N$1164)-1)/7)+1 = VALUE($B$11))),
            'ادخال البيانات'!$H$3:$H$1164
         ),
         ""
      ),
      IF(_xlpm.result="", "", _xlpm.result)
   )
)</f>
        <v/>
      </c>
      <c r="I897" s="27" t="str" cm="1">
        <f t="array" ref="I897">IF(
   A897="",
   "",
   _xlfn.LET(
      _xlpm.result,
      IFERROR(
         _xlfn.XLOOKUP(
            1,
            (Table8[رقم الصنف]=A897) *
            (IF($B$9="الكل",1, YEAR('ادخال البيانات'!$N$3:$N$1164)=VALUE($B$9))) *
            (IF($B$10="الكل",1, MONTH('ادخال البيانات'!$N$3:$N$1164)=VALUE($B$10))) *
            (IF($B$11="الكل",1, INT((DAY('ادخال البيانات'!$N$3:$N$1164)-1)/7)+1 = VALUE($B$11))),
            'ادخال البيانات'!$I$3:$I$1164
         ),
         ""
      ),
      IF(_xlpm.result="", "", _xlpm.result)
   )
)</f>
        <v/>
      </c>
      <c r="J897" s="27" t="str" cm="1">
        <f t="array" ref="J897">IF(
   A897="",
   "",
   _xlfn.LET(
      _xlpm.result,
      IFERROR(
         _xlfn.XLOOKUP(
            1,
            (Table8[رقم الصنف]=A897) *
            (IF($B$9="الكل",1, YEAR('ادخال البيانات'!$N$3:$N$1164)=VALUE($B$9))) *
            (IF($B$10="الكل",1, MONTH('ادخال البيانات'!$N$3:$N$1164)=VALUE($B$10))) *
            (IF($B$11="الكل",1, INT((DAY('ادخال البيانات'!$N$3:$N$1164)-1)/7)+1 = VALUE($B$11))),
            'ادخال البيانات'!$J$3:$J$1164
         ),
         ""
      ),
      IF(_xlpm.result="", "", _xlpm.result)
   )
)</f>
        <v/>
      </c>
      <c r="K897" s="27" t="str" cm="1">
        <f t="array" ref="K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7" s="27" t="str" cm="1">
        <f t="array" ref="L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7" s="27" t="str" cm="1">
        <f t="array" ref="M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7" s="28" t="str" cm="1">
        <f t="array" ref="N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7" s="28" t="str" cm="1">
        <f t="array" ref="O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7" s="27" t="str" cm="1">
        <f t="array" ref="P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Table8[جهة العطل]
         ),
         ""
      ),
      IF(_xlpm.result="", "", _xlpm.result)
   )
)</f>
        <v/>
      </c>
      <c r="Q897" s="27" t="str" cm="1">
        <f t="array" ref="Q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Table8[المركز]
         ),
         ""
      ),
      IF(_xlpm.result="", "", _xlpm.result)
   )
)</f>
        <v/>
      </c>
      <c r="R897" s="27" t="str" cm="1">
        <f t="array" ref="R897">IF(
   A897="",
   "",
   _xlfn.LET(
      _xlpm.result,
      IFERROR(
         _xlfn.XLOOKUP(
            1,
            (Table8[رقم الصنف]=A897) *
            (IF($B$9="الكل",1, YEAR('ادخال البيانات'!$N$3:$N$1164) = VALUE($B$9))) *
            (IF($B$10="الكل",1, MONTH('ادخال البيانات'!$N$3:$N$1164) = VALUE($B$10))) *
            (IF($B$11="الكل",1, INT((DAY('ادخال البيانات'!$N$3:$N$1164) - 1) / 7) + 1 = VALUE($B$11))),
            Table8[ملاحظة]
         ),
         ""
      ),
      IF(_xlpm.result="", "", _xlpm.result)
   )
)</f>
        <v/>
      </c>
      <c r="S897" s="46" t="str">
        <f t="shared" ca="1" si="14"/>
        <v/>
      </c>
    </row>
    <row r="898" spans="1:19" ht="15.6" thickTop="1" thickBot="1" x14ac:dyDescent="0.35">
      <c r="A898" s="39"/>
      <c r="B898" s="27" t="str" cm="1">
        <f t="array" ref="B898">IF(
   OR(A898="", $B$9="", $B$10="", $B$11=""),
   "",
   _xlfn.LET(
      _xlpm.result,
      IFERROR(
         _xlfn.XLOOKUP(
            1,
            (Table8[رقم الصنف]=A898)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8" s="27" t="str" cm="1">
        <f t="array" ref="C898">IF(
   A898="",
   "",
   _xlfn.LET(
      _xlpm.result,
      IFERROR(
         _xlfn.XLOOKUP(
            1,
            (Table8[رقم الصنف]=A898) *
            (IF($B$9="الكل",1, YEAR('ادخال البيانات'!$N$3:$N$1164) = VALUE($B$9))) *
            (IF($B$10="الكل",1, MONTH('ادخال البيانات'!$N$3:$N$1164) = VALUE($B$10))) *
            (IF($B$11="الكل",1, INT((DAY('ادخال البيانات'!$N$3:$N$1164)-1)/7)+1 = VALUE($B$11))),
            'ادخال البيانات'!$C$3:$C$1164
         ),
         ""
      ),
      IF(_xlpm.result="", "", _xlpm.result)
   )
)</f>
        <v/>
      </c>
      <c r="D898" s="27" t="str" cm="1">
        <f t="array" ref="D898">IF(
   OR(A898="", $B$9="", $B$10="", $B$11=""),
   "",
   _xlfn.LET(
      _xlpm.result,
      IFERROR(
         _xlfn.XLOOKUP(
            1,
            (Table8[رقم الصنف]=A898) *
            (IF($B$9="الكل",1, YEAR('ادخال البيانات'!$N$3:$N$1164)=VALUE($B$9))) *
            (IF($B$10="الكل",1, MONTH('ادخال البيانات'!$N$3:$N$1164)=VALUE($B$10))) *
            (IF($B$11="الكل",1, INT((DAY('ادخال البيانات'!$N$3:$N$1164)-1)/7)+1 = VALUE($B$11))),
            'ادخال البيانات'!$D$3:$D$1164
         ),
         ""
      ),
      IF(_xlpm.result="", "", _xlpm.result)
   )
)</f>
        <v/>
      </c>
      <c r="E898" s="27" t="str" cm="1">
        <f t="array" ref="E898">IF(
   A898="",
   "",
   _xlfn.LET(
      _xlpm.result,
      IFERROR(
         _xlfn.XLOOKUP(
            1,
            (Table8[رقم الصنف]=A898) *
            (IF($B$9="الكل",1, YEAR('ادخال البيانات'!$N$3:$N$1164)=VALUE($B$9))) *
            (IF($B$10="الكل",1, MONTH('ادخال البيانات'!$N$3:$N$1164)=VALUE($B$10))) *
            (IF($B$11="الكل",1, INT((DAY('ادخال البيانات'!$N$3:$N$1164)-1)/7)+1 = VALUE($B$11))),
            'ادخال البيانات'!$E$3:$E$1164
         ),
         ""
      ),
      IF(_xlpm.result="", "", _xlpm.result)
   )
)</f>
        <v/>
      </c>
      <c r="F898" s="27" t="str" cm="1">
        <f t="array" ref="F898">IF(
   A898="",
   "",
   _xlfn.LET(
      _xlpm.result,
      IFERROR(
         _xlfn.XLOOKUP(
            1,
            (Table8[رقم الصنف]=A898) *
            (IF($B$9="الكل",1, YEAR('ادخال البيانات'!$N$3:$N$1164) = VALUE($B$9))) *
            (IF($B$10="الكل",1, MONTH('ادخال البيانات'!$N$3:$N$1164) = VALUE($B$10))) *
            (IF($B$11="الكل",1, INT((DAY('ادخال البيانات'!$N$3:$N$1164)-1)/7)+1 = VALUE($B$11))),
            'ادخال البيانات'!$F$3:$F$1164
         ),
         ""
      ),
      IF(_xlpm.result="", "", _xlpm.result)
   )
)</f>
        <v/>
      </c>
      <c r="G898" s="27" t="str" cm="1">
        <f t="array" ref="G898">IF(
   A898="",
   "",
   _xlfn.LET(
      _xlpm.result,
      IFERROR(
         _xlfn.XLOOKUP(
            1,
            (Table8[رقم الصنف]=A898) *
            (IF($B$9="الكل",1, YEAR('ادخال البيانات'!$N$3:$N$1164)=VALUE($B$9))) *
            (IF($B$10="الكل",1, MONTH('ادخال البيانات'!$N$3:$N$1164)=VALUE($B$10))) *
            (IF($B$11="الكل",1, INT((DAY('ادخال البيانات'!$N$3:$N$1164)-1)/7)+1 = VALUE($B$11))),
            'ادخال البيانات'!$G$3:$G$1164
         ),
         ""
      ),
      IF(_xlpm.result="", "", _xlpm.result)
   )
)</f>
        <v/>
      </c>
      <c r="H898" s="27" t="str" cm="1">
        <f t="array" ref="H898">IF(
   A898="",
   "",
   _xlfn.LET(
      _xlpm.result,
      IFERROR(
         _xlfn.XLOOKUP(
            1,
            (Table8[رقم الصنف]=A898) *
            (IF($B$9="الكل",1, YEAR('ادخال البيانات'!$N$3:$N$1164)=VALUE($B$9))) *
            (IF($B$10="الكل",1, MONTH('ادخال البيانات'!$N$3:$N$1164)=VALUE($B$10))) *
            (IF($B$11="الكل",1, INT((DAY('ادخال البيانات'!$N$3:$N$1164)-1)/7)+1 = VALUE($B$11))),
            'ادخال البيانات'!$H$3:$H$1164
         ),
         ""
      ),
      IF(_xlpm.result="", "", _xlpm.result)
   )
)</f>
        <v/>
      </c>
      <c r="I898" s="27" t="str" cm="1">
        <f t="array" ref="I898">IF(
   A898="",
   "",
   _xlfn.LET(
      _xlpm.result,
      IFERROR(
         _xlfn.XLOOKUP(
            1,
            (Table8[رقم الصنف]=A898) *
            (IF($B$9="الكل",1, YEAR('ادخال البيانات'!$N$3:$N$1164)=VALUE($B$9))) *
            (IF($B$10="الكل",1, MONTH('ادخال البيانات'!$N$3:$N$1164)=VALUE($B$10))) *
            (IF($B$11="الكل",1, INT((DAY('ادخال البيانات'!$N$3:$N$1164)-1)/7)+1 = VALUE($B$11))),
            'ادخال البيانات'!$I$3:$I$1164
         ),
         ""
      ),
      IF(_xlpm.result="", "", _xlpm.result)
   )
)</f>
        <v/>
      </c>
      <c r="J898" s="27" t="str" cm="1">
        <f t="array" ref="J898">IF(
   A898="",
   "",
   _xlfn.LET(
      _xlpm.result,
      IFERROR(
         _xlfn.XLOOKUP(
            1,
            (Table8[رقم الصنف]=A898) *
            (IF($B$9="الكل",1, YEAR('ادخال البيانات'!$N$3:$N$1164)=VALUE($B$9))) *
            (IF($B$10="الكل",1, MONTH('ادخال البيانات'!$N$3:$N$1164)=VALUE($B$10))) *
            (IF($B$11="الكل",1, INT((DAY('ادخال البيانات'!$N$3:$N$1164)-1)/7)+1 = VALUE($B$11))),
            'ادخال البيانات'!$J$3:$J$1164
         ),
         ""
      ),
      IF(_xlpm.result="", "", _xlpm.result)
   )
)</f>
        <v/>
      </c>
      <c r="K898" s="27" t="str" cm="1">
        <f t="array" ref="K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8" s="27" t="str" cm="1">
        <f t="array" ref="L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8" s="27" t="str" cm="1">
        <f t="array" ref="M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8" s="28" t="str" cm="1">
        <f t="array" ref="N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8" s="28" t="str" cm="1">
        <f t="array" ref="O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8" s="27" t="str" cm="1">
        <f t="array" ref="P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Table8[جهة العطل]
         ),
         ""
      ),
      IF(_xlpm.result="", "", _xlpm.result)
   )
)</f>
        <v/>
      </c>
      <c r="Q898" s="27" t="str" cm="1">
        <f t="array" ref="Q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Table8[المركز]
         ),
         ""
      ),
      IF(_xlpm.result="", "", _xlpm.result)
   )
)</f>
        <v/>
      </c>
      <c r="R898" s="27" t="str" cm="1">
        <f t="array" ref="R898">IF(
   A898="",
   "",
   _xlfn.LET(
      _xlpm.result,
      IFERROR(
         _xlfn.XLOOKUP(
            1,
            (Table8[رقم الصنف]=A898) *
            (IF($B$9="الكل",1, YEAR('ادخال البيانات'!$N$3:$N$1164) = VALUE($B$9))) *
            (IF($B$10="الكل",1, MONTH('ادخال البيانات'!$N$3:$N$1164) = VALUE($B$10))) *
            (IF($B$11="الكل",1, INT((DAY('ادخال البيانات'!$N$3:$N$1164) - 1) / 7) + 1 = VALUE($B$11))),
            Table8[ملاحظة]
         ),
         ""
      ),
      IF(_xlpm.result="", "", _xlpm.result)
   )
)</f>
        <v/>
      </c>
      <c r="S898" s="46" t="str">
        <f t="shared" ca="1" si="14"/>
        <v/>
      </c>
    </row>
    <row r="899" spans="1:19" ht="15.6" thickTop="1" thickBot="1" x14ac:dyDescent="0.35">
      <c r="A899" s="39"/>
      <c r="B899" s="27" t="str" cm="1">
        <f t="array" ref="B899">IF(
   OR(A899="", $B$9="", $B$10="", $B$11=""),
   "",
   _xlfn.LET(
      _xlpm.result,
      IFERROR(
         _xlfn.XLOOKUP(
            1,
            (Table8[رقم الصنف]=A899)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899" s="27" t="str" cm="1">
        <f t="array" ref="C899">IF(
   A899="",
   "",
   _xlfn.LET(
      _xlpm.result,
      IFERROR(
         _xlfn.XLOOKUP(
            1,
            (Table8[رقم الصنف]=A899) *
            (IF($B$9="الكل",1, YEAR('ادخال البيانات'!$N$3:$N$1164) = VALUE($B$9))) *
            (IF($B$10="الكل",1, MONTH('ادخال البيانات'!$N$3:$N$1164) = VALUE($B$10))) *
            (IF($B$11="الكل",1, INT((DAY('ادخال البيانات'!$N$3:$N$1164)-1)/7)+1 = VALUE($B$11))),
            'ادخال البيانات'!$C$3:$C$1164
         ),
         ""
      ),
      IF(_xlpm.result="", "", _xlpm.result)
   )
)</f>
        <v/>
      </c>
      <c r="D899" s="27" t="str" cm="1">
        <f t="array" ref="D899">IF(
   OR(A899="", $B$9="", $B$10="", $B$11=""),
   "",
   _xlfn.LET(
      _xlpm.result,
      IFERROR(
         _xlfn.XLOOKUP(
            1,
            (Table8[رقم الصنف]=A899) *
            (IF($B$9="الكل",1, YEAR('ادخال البيانات'!$N$3:$N$1164)=VALUE($B$9))) *
            (IF($B$10="الكل",1, MONTH('ادخال البيانات'!$N$3:$N$1164)=VALUE($B$10))) *
            (IF($B$11="الكل",1, INT((DAY('ادخال البيانات'!$N$3:$N$1164)-1)/7)+1 = VALUE($B$11))),
            'ادخال البيانات'!$D$3:$D$1164
         ),
         ""
      ),
      IF(_xlpm.result="", "", _xlpm.result)
   )
)</f>
        <v/>
      </c>
      <c r="E899" s="27" t="str" cm="1">
        <f t="array" ref="E899">IF(
   A899="",
   "",
   _xlfn.LET(
      _xlpm.result,
      IFERROR(
         _xlfn.XLOOKUP(
            1,
            (Table8[رقم الصنف]=A899) *
            (IF($B$9="الكل",1, YEAR('ادخال البيانات'!$N$3:$N$1164)=VALUE($B$9))) *
            (IF($B$10="الكل",1, MONTH('ادخال البيانات'!$N$3:$N$1164)=VALUE($B$10))) *
            (IF($B$11="الكل",1, INT((DAY('ادخال البيانات'!$N$3:$N$1164)-1)/7)+1 = VALUE($B$11))),
            'ادخال البيانات'!$E$3:$E$1164
         ),
         ""
      ),
      IF(_xlpm.result="", "", _xlpm.result)
   )
)</f>
        <v/>
      </c>
      <c r="F899" s="27" t="str" cm="1">
        <f t="array" ref="F899">IF(
   A899="",
   "",
   _xlfn.LET(
      _xlpm.result,
      IFERROR(
         _xlfn.XLOOKUP(
            1,
            (Table8[رقم الصنف]=A899) *
            (IF($B$9="الكل",1, YEAR('ادخال البيانات'!$N$3:$N$1164) = VALUE($B$9))) *
            (IF($B$10="الكل",1, MONTH('ادخال البيانات'!$N$3:$N$1164) = VALUE($B$10))) *
            (IF($B$11="الكل",1, INT((DAY('ادخال البيانات'!$N$3:$N$1164)-1)/7)+1 = VALUE($B$11))),
            'ادخال البيانات'!$F$3:$F$1164
         ),
         ""
      ),
      IF(_xlpm.result="", "", _xlpm.result)
   )
)</f>
        <v/>
      </c>
      <c r="G899" s="27" t="str" cm="1">
        <f t="array" ref="G899">IF(
   A899="",
   "",
   _xlfn.LET(
      _xlpm.result,
      IFERROR(
         _xlfn.XLOOKUP(
            1,
            (Table8[رقم الصنف]=A899) *
            (IF($B$9="الكل",1, YEAR('ادخال البيانات'!$N$3:$N$1164)=VALUE($B$9))) *
            (IF($B$10="الكل",1, MONTH('ادخال البيانات'!$N$3:$N$1164)=VALUE($B$10))) *
            (IF($B$11="الكل",1, INT((DAY('ادخال البيانات'!$N$3:$N$1164)-1)/7)+1 = VALUE($B$11))),
            'ادخال البيانات'!$G$3:$G$1164
         ),
         ""
      ),
      IF(_xlpm.result="", "", _xlpm.result)
   )
)</f>
        <v/>
      </c>
      <c r="H899" s="27" t="str" cm="1">
        <f t="array" ref="H899">IF(
   A899="",
   "",
   _xlfn.LET(
      _xlpm.result,
      IFERROR(
         _xlfn.XLOOKUP(
            1,
            (Table8[رقم الصنف]=A899) *
            (IF($B$9="الكل",1, YEAR('ادخال البيانات'!$N$3:$N$1164)=VALUE($B$9))) *
            (IF($B$10="الكل",1, MONTH('ادخال البيانات'!$N$3:$N$1164)=VALUE($B$10))) *
            (IF($B$11="الكل",1, INT((DAY('ادخال البيانات'!$N$3:$N$1164)-1)/7)+1 = VALUE($B$11))),
            'ادخال البيانات'!$H$3:$H$1164
         ),
         ""
      ),
      IF(_xlpm.result="", "", _xlpm.result)
   )
)</f>
        <v/>
      </c>
      <c r="I899" s="27" t="str" cm="1">
        <f t="array" ref="I899">IF(
   A899="",
   "",
   _xlfn.LET(
      _xlpm.result,
      IFERROR(
         _xlfn.XLOOKUP(
            1,
            (Table8[رقم الصنف]=A899) *
            (IF($B$9="الكل",1, YEAR('ادخال البيانات'!$N$3:$N$1164)=VALUE($B$9))) *
            (IF($B$10="الكل",1, MONTH('ادخال البيانات'!$N$3:$N$1164)=VALUE($B$10))) *
            (IF($B$11="الكل",1, INT((DAY('ادخال البيانات'!$N$3:$N$1164)-1)/7)+1 = VALUE($B$11))),
            'ادخال البيانات'!$I$3:$I$1164
         ),
         ""
      ),
      IF(_xlpm.result="", "", _xlpm.result)
   )
)</f>
        <v/>
      </c>
      <c r="J899" s="27" t="str" cm="1">
        <f t="array" ref="J899">IF(
   A899="",
   "",
   _xlfn.LET(
      _xlpm.result,
      IFERROR(
         _xlfn.XLOOKUP(
            1,
            (Table8[رقم الصنف]=A899) *
            (IF($B$9="الكل",1, YEAR('ادخال البيانات'!$N$3:$N$1164)=VALUE($B$9))) *
            (IF($B$10="الكل",1, MONTH('ادخال البيانات'!$N$3:$N$1164)=VALUE($B$10))) *
            (IF($B$11="الكل",1, INT((DAY('ادخال البيانات'!$N$3:$N$1164)-1)/7)+1 = VALUE($B$11))),
            'ادخال البيانات'!$J$3:$J$1164
         ),
         ""
      ),
      IF(_xlpm.result="", "", _xlpm.result)
   )
)</f>
        <v/>
      </c>
      <c r="K899" s="27" t="str" cm="1">
        <f t="array" ref="K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899" s="27" t="str" cm="1">
        <f t="array" ref="L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899" s="27" t="str" cm="1">
        <f t="array" ref="M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899" s="28" t="str" cm="1">
        <f t="array" ref="N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899" s="28" t="str" cm="1">
        <f t="array" ref="O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899" s="27" t="str" cm="1">
        <f t="array" ref="P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Table8[جهة العطل]
         ),
         ""
      ),
      IF(_xlpm.result="", "", _xlpm.result)
   )
)</f>
        <v/>
      </c>
      <c r="Q899" s="27" t="str" cm="1">
        <f t="array" ref="Q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Table8[المركز]
         ),
         ""
      ),
      IF(_xlpm.result="", "", _xlpm.result)
   )
)</f>
        <v/>
      </c>
      <c r="R899" s="27" t="str" cm="1">
        <f t="array" ref="R899">IF(
   A899="",
   "",
   _xlfn.LET(
      _xlpm.result,
      IFERROR(
         _xlfn.XLOOKUP(
            1,
            (Table8[رقم الصنف]=A899) *
            (IF($B$9="الكل",1, YEAR('ادخال البيانات'!$N$3:$N$1164) = VALUE($B$9))) *
            (IF($B$10="الكل",1, MONTH('ادخال البيانات'!$N$3:$N$1164) = VALUE($B$10))) *
            (IF($B$11="الكل",1, INT((DAY('ادخال البيانات'!$N$3:$N$1164) - 1) / 7) + 1 = VALUE($B$11))),
            Table8[ملاحظة]
         ),
         ""
      ),
      IF(_xlpm.result="", "", _xlpm.result)
   )
)</f>
        <v/>
      </c>
      <c r="S899" s="46" t="str">
        <f t="shared" ca="1" si="14"/>
        <v/>
      </c>
    </row>
    <row r="900" spans="1:19" ht="15.6" thickTop="1" thickBot="1" x14ac:dyDescent="0.35">
      <c r="A900" s="39"/>
      <c r="B900" s="27" t="str" cm="1">
        <f t="array" ref="B900">IF(
   OR(A900="", $B$9="", $B$10="", $B$11=""),
   "",
   _xlfn.LET(
      _xlpm.result,
      IFERROR(
         _xlfn.XLOOKUP(
            1,
            (Table8[رقم الصنف]=A900)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0" s="27" t="str" cm="1">
        <f t="array" ref="C900">IF(
   A900="",
   "",
   _xlfn.LET(
      _xlpm.result,
      IFERROR(
         _xlfn.XLOOKUP(
            1,
            (Table8[رقم الصنف]=A900) *
            (IF($B$9="الكل",1, YEAR('ادخال البيانات'!$N$3:$N$1164) = VALUE($B$9))) *
            (IF($B$10="الكل",1, MONTH('ادخال البيانات'!$N$3:$N$1164) = VALUE($B$10))) *
            (IF($B$11="الكل",1, INT((DAY('ادخال البيانات'!$N$3:$N$1164)-1)/7)+1 = VALUE($B$11))),
            'ادخال البيانات'!$C$3:$C$1164
         ),
         ""
      ),
      IF(_xlpm.result="", "", _xlpm.result)
   )
)</f>
        <v/>
      </c>
      <c r="D900" s="27" t="str" cm="1">
        <f t="array" ref="D900">IF(
   OR(A900="", $B$9="", $B$10="", $B$11=""),
   "",
   _xlfn.LET(
      _xlpm.result,
      IFERROR(
         _xlfn.XLOOKUP(
            1,
            (Table8[رقم الصنف]=A900) *
            (IF($B$9="الكل",1, YEAR('ادخال البيانات'!$N$3:$N$1164)=VALUE($B$9))) *
            (IF($B$10="الكل",1, MONTH('ادخال البيانات'!$N$3:$N$1164)=VALUE($B$10))) *
            (IF($B$11="الكل",1, INT((DAY('ادخال البيانات'!$N$3:$N$1164)-1)/7)+1 = VALUE($B$11))),
            'ادخال البيانات'!$D$3:$D$1164
         ),
         ""
      ),
      IF(_xlpm.result="", "", _xlpm.result)
   )
)</f>
        <v/>
      </c>
      <c r="E900" s="27" t="str" cm="1">
        <f t="array" ref="E900">IF(
   A900="",
   "",
   _xlfn.LET(
      _xlpm.result,
      IFERROR(
         _xlfn.XLOOKUP(
            1,
            (Table8[رقم الصنف]=A900) *
            (IF($B$9="الكل",1, YEAR('ادخال البيانات'!$N$3:$N$1164)=VALUE($B$9))) *
            (IF($B$10="الكل",1, MONTH('ادخال البيانات'!$N$3:$N$1164)=VALUE($B$10))) *
            (IF($B$11="الكل",1, INT((DAY('ادخال البيانات'!$N$3:$N$1164)-1)/7)+1 = VALUE($B$11))),
            'ادخال البيانات'!$E$3:$E$1164
         ),
         ""
      ),
      IF(_xlpm.result="", "", _xlpm.result)
   )
)</f>
        <v/>
      </c>
      <c r="F900" s="27" t="str" cm="1">
        <f t="array" ref="F900">IF(
   A900="",
   "",
   _xlfn.LET(
      _xlpm.result,
      IFERROR(
         _xlfn.XLOOKUP(
            1,
            (Table8[رقم الصنف]=A900) *
            (IF($B$9="الكل",1, YEAR('ادخال البيانات'!$N$3:$N$1164) = VALUE($B$9))) *
            (IF($B$10="الكل",1, MONTH('ادخال البيانات'!$N$3:$N$1164) = VALUE($B$10))) *
            (IF($B$11="الكل",1, INT((DAY('ادخال البيانات'!$N$3:$N$1164)-1)/7)+1 = VALUE($B$11))),
            'ادخال البيانات'!$F$3:$F$1164
         ),
         ""
      ),
      IF(_xlpm.result="", "", _xlpm.result)
   )
)</f>
        <v/>
      </c>
      <c r="G900" s="27" t="str" cm="1">
        <f t="array" ref="G900">IF(
   A900="",
   "",
   _xlfn.LET(
      _xlpm.result,
      IFERROR(
         _xlfn.XLOOKUP(
            1,
            (Table8[رقم الصنف]=A900) *
            (IF($B$9="الكل",1, YEAR('ادخال البيانات'!$N$3:$N$1164)=VALUE($B$9))) *
            (IF($B$10="الكل",1, MONTH('ادخال البيانات'!$N$3:$N$1164)=VALUE($B$10))) *
            (IF($B$11="الكل",1, INT((DAY('ادخال البيانات'!$N$3:$N$1164)-1)/7)+1 = VALUE($B$11))),
            'ادخال البيانات'!$G$3:$G$1164
         ),
         ""
      ),
      IF(_xlpm.result="", "", _xlpm.result)
   )
)</f>
        <v/>
      </c>
      <c r="H900" s="27" t="str" cm="1">
        <f t="array" ref="H900">IF(
   A900="",
   "",
   _xlfn.LET(
      _xlpm.result,
      IFERROR(
         _xlfn.XLOOKUP(
            1,
            (Table8[رقم الصنف]=A900) *
            (IF($B$9="الكل",1, YEAR('ادخال البيانات'!$N$3:$N$1164)=VALUE($B$9))) *
            (IF($B$10="الكل",1, MONTH('ادخال البيانات'!$N$3:$N$1164)=VALUE($B$10))) *
            (IF($B$11="الكل",1, INT((DAY('ادخال البيانات'!$N$3:$N$1164)-1)/7)+1 = VALUE($B$11))),
            'ادخال البيانات'!$H$3:$H$1164
         ),
         ""
      ),
      IF(_xlpm.result="", "", _xlpm.result)
   )
)</f>
        <v/>
      </c>
      <c r="I900" s="27" t="str" cm="1">
        <f t="array" ref="I900">IF(
   A900="",
   "",
   _xlfn.LET(
      _xlpm.result,
      IFERROR(
         _xlfn.XLOOKUP(
            1,
            (Table8[رقم الصنف]=A900) *
            (IF($B$9="الكل",1, YEAR('ادخال البيانات'!$N$3:$N$1164)=VALUE($B$9))) *
            (IF($B$10="الكل",1, MONTH('ادخال البيانات'!$N$3:$N$1164)=VALUE($B$10))) *
            (IF($B$11="الكل",1, INT((DAY('ادخال البيانات'!$N$3:$N$1164)-1)/7)+1 = VALUE($B$11))),
            'ادخال البيانات'!$I$3:$I$1164
         ),
         ""
      ),
      IF(_xlpm.result="", "", _xlpm.result)
   )
)</f>
        <v/>
      </c>
      <c r="J900" s="27" t="str" cm="1">
        <f t="array" ref="J900">IF(
   A900="",
   "",
   _xlfn.LET(
      _xlpm.result,
      IFERROR(
         _xlfn.XLOOKUP(
            1,
            (Table8[رقم الصنف]=A900) *
            (IF($B$9="الكل",1, YEAR('ادخال البيانات'!$N$3:$N$1164)=VALUE($B$9))) *
            (IF($B$10="الكل",1, MONTH('ادخال البيانات'!$N$3:$N$1164)=VALUE($B$10))) *
            (IF($B$11="الكل",1, INT((DAY('ادخال البيانات'!$N$3:$N$1164)-1)/7)+1 = VALUE($B$11))),
            'ادخال البيانات'!$J$3:$J$1164
         ),
         ""
      ),
      IF(_xlpm.result="", "", _xlpm.result)
   )
)</f>
        <v/>
      </c>
      <c r="K900" s="27" t="str" cm="1">
        <f t="array" ref="K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0" s="27" t="str" cm="1">
        <f t="array" ref="L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0" s="27" t="str" cm="1">
        <f t="array" ref="M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0" s="28" t="str" cm="1">
        <f t="array" ref="N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0" s="28" t="str" cm="1">
        <f t="array" ref="O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0" s="27" t="str" cm="1">
        <f t="array" ref="P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Table8[جهة العطل]
         ),
         ""
      ),
      IF(_xlpm.result="", "", _xlpm.result)
   )
)</f>
        <v/>
      </c>
      <c r="Q900" s="27" t="str" cm="1">
        <f t="array" ref="Q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Table8[المركز]
         ),
         ""
      ),
      IF(_xlpm.result="", "", _xlpm.result)
   )
)</f>
        <v/>
      </c>
      <c r="R900" s="27" t="str" cm="1">
        <f t="array" ref="R900">IF(
   A900="",
   "",
   _xlfn.LET(
      _xlpm.result,
      IFERROR(
         _xlfn.XLOOKUP(
            1,
            (Table8[رقم الصنف]=A900) *
            (IF($B$9="الكل",1, YEAR('ادخال البيانات'!$N$3:$N$1164) = VALUE($B$9))) *
            (IF($B$10="الكل",1, MONTH('ادخال البيانات'!$N$3:$N$1164) = VALUE($B$10))) *
            (IF($B$11="الكل",1, INT((DAY('ادخال البيانات'!$N$3:$N$1164) - 1) / 7) + 1 = VALUE($B$11))),
            Table8[ملاحظة]
         ),
         ""
      ),
      IF(_xlpm.result="", "", _xlpm.result)
   )
)</f>
        <v/>
      </c>
      <c r="S900" s="46" t="str">
        <f t="shared" ca="1" si="14"/>
        <v/>
      </c>
    </row>
    <row r="901" spans="1:19" ht="15.6" thickTop="1" thickBot="1" x14ac:dyDescent="0.35">
      <c r="A901" s="39"/>
      <c r="B901" s="27" t="str" cm="1">
        <f t="array" ref="B901">IF(
   OR(A901="", $B$9="", $B$10="", $B$11=""),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1" s="27" t="str" cm="1">
        <f t="array" ref="C901">IF(
   A901="",
   "",
   _xlfn.LET(
      _xlpm.result,
      IFERROR(
         _xlfn.XLOOKUP(
            1,
            (Table8[رقم الصنف]=A901) *
            (IF($B$9="الكل",1, YEAR('ادخال البيانات'!$N$3:$N$1164) = VALUE($B$9))) *
            (IF($B$10="الكل",1, MONTH('ادخال البيانات'!$N$3:$N$1164) = VALUE($B$10))) *
            (IF($B$11="الكل",1, INT((DAY('ادخال البيانات'!$N$3:$N$1164)-1)/7)+1 = VALUE($B$11))),
            'ادخال البيانات'!$C$3:$C$1164
         ),
         ""
      ),
      IF(_xlpm.result="", "", _xlpm.result)
   )
)</f>
        <v/>
      </c>
      <c r="D901" s="27" t="str" cm="1">
        <f t="array" ref="D901">IF(
   OR(A901="", $B$9="", $B$10="", $B$11=""),
   "",
   _xlfn.LET(
      _xlpm.result,
      IFERROR(
         _xlfn.XLOOKUP(
            1,
            (Table8[رقم الصنف]=A901) *
            (IF($B$9="الكل",1, YEAR('ادخال البيانات'!$N$3:$N$1164)=VALUE($B$9))) *
            (IF($B$10="الكل",1, MONTH('ادخال البيانات'!$N$3:$N$1164)=VALUE($B$10))) *
            (IF($B$11="الكل",1, INT((DAY('ادخال البيانات'!$N$3:$N$1164)-1)/7)+1 = VALUE($B$11))),
            'ادخال البيانات'!$D$3:$D$1164
         ),
         ""
      ),
      IF(_xlpm.result="", "", _xlpm.result)
   )
)</f>
        <v/>
      </c>
      <c r="E901" s="27" t="str" cm="1">
        <f t="array" ref="E901">IF(
   A901="",
   "",
   _xlfn.LET(
      _xlpm.result,
      IFERROR(
         _xlfn.XLOOKUP(
            1,
            (Table8[رقم الصنف]=A901) *
            (IF($B$9="الكل",1, YEAR('ادخال البيانات'!$N$3:$N$1164)=VALUE($B$9))) *
            (IF($B$10="الكل",1, MONTH('ادخال البيانات'!$N$3:$N$1164)=VALUE($B$10))) *
            (IF($B$11="الكل",1, INT((DAY('ادخال البيانات'!$N$3:$N$1164)-1)/7)+1 = VALUE($B$11))),
            'ادخال البيانات'!$E$3:$E$1164
         ),
         ""
      ),
      IF(_xlpm.result="", "", _xlpm.result)
   )
)</f>
        <v/>
      </c>
      <c r="F901" s="27" t="str" cm="1">
        <f t="array" ref="F901">IF(
   A901="",
   "",
   _xlfn.LET(
      _xlpm.result,
      IFERROR(
         _xlfn.XLOOKUP(
            1,
            (Table8[رقم الصنف]=A901) *
            (IF($B$9="الكل",1, YEAR('ادخال البيانات'!$N$3:$N$1164) = VALUE($B$9))) *
            (IF($B$10="الكل",1, MONTH('ادخال البيانات'!$N$3:$N$1164) = VALUE($B$10))) *
            (IF($B$11="الكل",1, INT((DAY('ادخال البيانات'!$N$3:$N$1164)-1)/7)+1 = VALUE($B$11))),
            'ادخال البيانات'!$F$3:$F$1164
         ),
         ""
      ),
      IF(_xlpm.result="", "", _xlpm.result)
   )
)</f>
        <v/>
      </c>
      <c r="G901" s="27" t="str" cm="1">
        <f t="array" ref="G901">IF(
   A901="",
   "",
   _xlfn.LET(
      _xlpm.result,
      IFERROR(
         _xlfn.XLOOKUP(
            1,
            (Table8[رقم الصنف]=A901) *
            (IF($B$9="الكل",1, YEAR('ادخال البيانات'!$N$3:$N$1164)=VALUE($B$9))) *
            (IF($B$10="الكل",1, MONTH('ادخال البيانات'!$N$3:$N$1164)=VALUE($B$10))) *
            (IF($B$11="الكل",1, INT((DAY('ادخال البيانات'!$N$3:$N$1164)-1)/7)+1 = VALUE($B$11))),
            'ادخال البيانات'!$G$3:$G$1164
         ),
         ""
      ),
      IF(_xlpm.result="", "", _xlpm.result)
   )
)</f>
        <v/>
      </c>
      <c r="H901" s="27" t="str" cm="1">
        <f t="array" ref="H901">IF(
   A901="",
   "",
   _xlfn.LET(
      _xlpm.result,
      IFERROR(
         _xlfn.XLOOKUP(
            1,
            (Table8[رقم الصنف]=A901) *
            (IF($B$9="الكل",1, YEAR('ادخال البيانات'!$N$3:$N$1164)=VALUE($B$9))) *
            (IF($B$10="الكل",1, MONTH('ادخال البيانات'!$N$3:$N$1164)=VALUE($B$10))) *
            (IF($B$11="الكل",1, INT((DAY('ادخال البيانات'!$N$3:$N$1164)-1)/7)+1 = VALUE($B$11))),
            'ادخال البيانات'!$H$3:$H$1164
         ),
         ""
      ),
      IF(_xlpm.result="", "", _xlpm.result)
   )
)</f>
        <v/>
      </c>
      <c r="I901" s="27" t="str" cm="1">
        <f t="array" ref="I901">IF(
   A901="",
   "",
   _xlfn.LET(
      _xlpm.result,
      IFERROR(
         _xlfn.XLOOKUP(
            1,
            (Table8[رقم الصنف]=A901) *
            (IF($B$9="الكل",1, YEAR('ادخال البيانات'!$N$3:$N$1164)=VALUE($B$9))) *
            (IF($B$10="الكل",1, MONTH('ادخال البيانات'!$N$3:$N$1164)=VALUE($B$10))) *
            (IF($B$11="الكل",1, INT((DAY('ادخال البيانات'!$N$3:$N$1164)-1)/7)+1 = VALUE($B$11))),
            'ادخال البيانات'!$I$3:$I$1164
         ),
         ""
      ),
      IF(_xlpm.result="", "", _xlpm.result)
   )
)</f>
        <v/>
      </c>
      <c r="J901" s="27" t="str" cm="1">
        <f t="array" ref="J901">IF(
   A901="",
   "",
   _xlfn.LET(
      _xlpm.result,
      IFERROR(
         _xlfn.XLOOKUP(
            1,
            (Table8[رقم الصنف]=A901) *
            (IF($B$9="الكل",1, YEAR('ادخال البيانات'!$N$3:$N$1164)=VALUE($B$9))) *
            (IF($B$10="الكل",1, MONTH('ادخال البيانات'!$N$3:$N$1164)=VALUE($B$10))) *
            (IF($B$11="الكل",1, INT((DAY('ادخال البيانات'!$N$3:$N$1164)-1)/7)+1 = VALUE($B$11))),
            'ادخال البيانات'!$J$3:$J$1164
         ),
         ""
      ),
      IF(_xlpm.result="", "", _xlpm.result)
   )
)</f>
        <v/>
      </c>
      <c r="K901" s="27" t="str" cm="1">
        <f t="array" ref="K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1" s="27" t="str" cm="1">
        <f t="array" ref="L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1" s="27" t="str" cm="1">
        <f t="array" ref="M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1" s="28" t="str" cm="1">
        <f t="array" ref="N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1" s="28" t="str" cm="1">
        <f t="array" ref="O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1" s="27" t="str" cm="1">
        <f t="array" ref="P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Table8[جهة العطل]
         ),
         ""
      ),
      IF(_xlpm.result="", "", _xlpm.result)
   )
)</f>
        <v/>
      </c>
      <c r="Q901" s="27" t="str" cm="1">
        <f t="array" ref="Q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Table8[المركز]
         ),
         ""
      ),
      IF(_xlpm.result="", "", _xlpm.result)
   )
)</f>
        <v/>
      </c>
      <c r="R901" s="27" t="str" cm="1">
        <f t="array" ref="R901">IF(
   A901="",
   "",
   _xlfn.LET(
      _xlpm.result,
      IFERROR(
         _xlfn.XLOOKUP(
            1,
            (Table8[رقم الصنف]=A901) *
            (IF($B$9="الكل",1, YEAR('ادخال البيانات'!$N$3:$N$1164) = VALUE($B$9))) *
            (IF($B$10="الكل",1, MONTH('ادخال البيانات'!$N$3:$N$1164) = VALUE($B$10))) *
            (IF($B$11="الكل",1, INT((DAY('ادخال البيانات'!$N$3:$N$1164) - 1) / 7) + 1 = VALUE($B$11))),
            Table8[ملاحظة]
         ),
         ""
      ),
      IF(_xlpm.result="", "", _xlpm.result)
   )
)</f>
        <v/>
      </c>
      <c r="S901" s="46" t="str">
        <f t="shared" ca="1" si="14"/>
        <v/>
      </c>
    </row>
    <row r="902" spans="1:19" ht="15.6" thickTop="1" thickBot="1" x14ac:dyDescent="0.35">
      <c r="A902" s="39"/>
      <c r="B902" s="27" t="str" cm="1">
        <f t="array" ref="B902">IF(
   OR(A902="", $B$9="", $B$10="", $B$11=""),
   "",
   _xlfn.LET(
      _xlpm.result,
      IFERROR(
         _xlfn.XLOOKUP(
            1,
            (Table8[رقم الصنف]=A902)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2" s="27" t="str" cm="1">
        <f t="array" ref="C902">IF(
   A902="",
   "",
   _xlfn.LET(
      _xlpm.result,
      IFERROR(
         _xlfn.XLOOKUP(
            1,
            (Table8[رقم الصنف]=A902) *
            (IF($B$9="الكل",1, YEAR('ادخال البيانات'!$N$3:$N$1164) = VALUE($B$9))) *
            (IF($B$10="الكل",1, MONTH('ادخال البيانات'!$N$3:$N$1164) = VALUE($B$10))) *
            (IF($B$11="الكل",1, INT((DAY('ادخال البيانات'!$N$3:$N$1164)-1)/7)+1 = VALUE($B$11))),
            'ادخال البيانات'!$C$3:$C$1164
         ),
         ""
      ),
      IF(_xlpm.result="", "", _xlpm.result)
   )
)</f>
        <v/>
      </c>
      <c r="D902" s="27" t="str" cm="1">
        <f t="array" ref="D902">IF(
   OR(A902="", $B$9="", $B$10="", $B$11=""),
   "",
   _xlfn.LET(
      _xlpm.result,
      IFERROR(
         _xlfn.XLOOKUP(
            1,
            (Table8[رقم الصنف]=A902) *
            (IF($B$9="الكل",1, YEAR('ادخال البيانات'!$N$3:$N$1164)=VALUE($B$9))) *
            (IF($B$10="الكل",1, MONTH('ادخال البيانات'!$N$3:$N$1164)=VALUE($B$10))) *
            (IF($B$11="الكل",1, INT((DAY('ادخال البيانات'!$N$3:$N$1164)-1)/7)+1 = VALUE($B$11))),
            'ادخال البيانات'!$D$3:$D$1164
         ),
         ""
      ),
      IF(_xlpm.result="", "", _xlpm.result)
   )
)</f>
        <v/>
      </c>
      <c r="E902" s="27" t="str" cm="1">
        <f t="array" ref="E902">IF(
   A902="",
   "",
   _xlfn.LET(
      _xlpm.result,
      IFERROR(
         _xlfn.XLOOKUP(
            1,
            (Table8[رقم الصنف]=A902) *
            (IF($B$9="الكل",1, YEAR('ادخال البيانات'!$N$3:$N$1164)=VALUE($B$9))) *
            (IF($B$10="الكل",1, MONTH('ادخال البيانات'!$N$3:$N$1164)=VALUE($B$10))) *
            (IF($B$11="الكل",1, INT((DAY('ادخال البيانات'!$N$3:$N$1164)-1)/7)+1 = VALUE($B$11))),
            'ادخال البيانات'!$E$3:$E$1164
         ),
         ""
      ),
      IF(_xlpm.result="", "", _xlpm.result)
   )
)</f>
        <v/>
      </c>
      <c r="F902" s="27" t="str" cm="1">
        <f t="array" ref="F902">IF(
   A902="",
   "",
   _xlfn.LET(
      _xlpm.result,
      IFERROR(
         _xlfn.XLOOKUP(
            1,
            (Table8[رقم الصنف]=A902) *
            (IF($B$9="الكل",1, YEAR('ادخال البيانات'!$N$3:$N$1164) = VALUE($B$9))) *
            (IF($B$10="الكل",1, MONTH('ادخال البيانات'!$N$3:$N$1164) = VALUE($B$10))) *
            (IF($B$11="الكل",1, INT((DAY('ادخال البيانات'!$N$3:$N$1164)-1)/7)+1 = VALUE($B$11))),
            'ادخال البيانات'!$F$3:$F$1164
         ),
         ""
      ),
      IF(_xlpm.result="", "", _xlpm.result)
   )
)</f>
        <v/>
      </c>
      <c r="G902" s="27" t="str" cm="1">
        <f t="array" ref="G902">IF(
   A902="",
   "",
   _xlfn.LET(
      _xlpm.result,
      IFERROR(
         _xlfn.XLOOKUP(
            1,
            (Table8[رقم الصنف]=A902) *
            (IF($B$9="الكل",1, YEAR('ادخال البيانات'!$N$3:$N$1164)=VALUE($B$9))) *
            (IF($B$10="الكل",1, MONTH('ادخال البيانات'!$N$3:$N$1164)=VALUE($B$10))) *
            (IF($B$11="الكل",1, INT((DAY('ادخال البيانات'!$N$3:$N$1164)-1)/7)+1 = VALUE($B$11))),
            'ادخال البيانات'!$G$3:$G$1164
         ),
         ""
      ),
      IF(_xlpm.result="", "", _xlpm.result)
   )
)</f>
        <v/>
      </c>
      <c r="H902" s="27" t="str" cm="1">
        <f t="array" ref="H902">IF(
   A902="",
   "",
   _xlfn.LET(
      _xlpm.result,
      IFERROR(
         _xlfn.XLOOKUP(
            1,
            (Table8[رقم الصنف]=A902) *
            (IF($B$9="الكل",1, YEAR('ادخال البيانات'!$N$3:$N$1164)=VALUE($B$9))) *
            (IF($B$10="الكل",1, MONTH('ادخال البيانات'!$N$3:$N$1164)=VALUE($B$10))) *
            (IF($B$11="الكل",1, INT((DAY('ادخال البيانات'!$N$3:$N$1164)-1)/7)+1 = VALUE($B$11))),
            'ادخال البيانات'!$H$3:$H$1164
         ),
         ""
      ),
      IF(_xlpm.result="", "", _xlpm.result)
   )
)</f>
        <v/>
      </c>
      <c r="I902" s="27" t="str" cm="1">
        <f t="array" ref="I902">IF(
   A902="",
   "",
   _xlfn.LET(
      _xlpm.result,
      IFERROR(
         _xlfn.XLOOKUP(
            1,
            (Table8[رقم الصنف]=A902) *
            (IF($B$9="الكل",1, YEAR('ادخال البيانات'!$N$3:$N$1164)=VALUE($B$9))) *
            (IF($B$10="الكل",1, MONTH('ادخال البيانات'!$N$3:$N$1164)=VALUE($B$10))) *
            (IF($B$11="الكل",1, INT((DAY('ادخال البيانات'!$N$3:$N$1164)-1)/7)+1 = VALUE($B$11))),
            'ادخال البيانات'!$I$3:$I$1164
         ),
         ""
      ),
      IF(_xlpm.result="", "", _xlpm.result)
   )
)</f>
        <v/>
      </c>
      <c r="J902" s="27" t="str" cm="1">
        <f t="array" ref="J902">IF(
   A902="",
   "",
   _xlfn.LET(
      _xlpm.result,
      IFERROR(
         _xlfn.XLOOKUP(
            1,
            (Table8[رقم الصنف]=A902) *
            (IF($B$9="الكل",1, YEAR('ادخال البيانات'!$N$3:$N$1164)=VALUE($B$9))) *
            (IF($B$10="الكل",1, MONTH('ادخال البيانات'!$N$3:$N$1164)=VALUE($B$10))) *
            (IF($B$11="الكل",1, INT((DAY('ادخال البيانات'!$N$3:$N$1164)-1)/7)+1 = VALUE($B$11))),
            'ادخال البيانات'!$J$3:$J$1164
         ),
         ""
      ),
      IF(_xlpm.result="", "", _xlpm.result)
   )
)</f>
        <v/>
      </c>
      <c r="K902" s="27" t="str" cm="1">
        <f t="array" ref="K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2" s="27" t="str" cm="1">
        <f t="array" ref="L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2" s="27" t="str" cm="1">
        <f t="array" ref="M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2" s="28" t="str" cm="1">
        <f t="array" ref="N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2" s="28" t="str" cm="1">
        <f t="array" ref="O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2" s="27" t="str" cm="1">
        <f t="array" ref="P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Table8[جهة العطل]
         ),
         ""
      ),
      IF(_xlpm.result="", "", _xlpm.result)
   )
)</f>
        <v/>
      </c>
      <c r="Q902" s="27" t="str" cm="1">
        <f t="array" ref="Q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Table8[المركز]
         ),
         ""
      ),
      IF(_xlpm.result="", "", _xlpm.result)
   )
)</f>
        <v/>
      </c>
      <c r="R902" s="27" t="str" cm="1">
        <f t="array" ref="R902">IF(
   A902="",
   "",
   _xlfn.LET(
      _xlpm.result,
      IFERROR(
         _xlfn.XLOOKUP(
            1,
            (Table8[رقم الصنف]=A902) *
            (IF($B$9="الكل",1, YEAR('ادخال البيانات'!$N$3:$N$1164) = VALUE($B$9))) *
            (IF($B$10="الكل",1, MONTH('ادخال البيانات'!$N$3:$N$1164) = VALUE($B$10))) *
            (IF($B$11="الكل",1, INT((DAY('ادخال البيانات'!$N$3:$N$1164) - 1) / 7) + 1 = VALUE($B$11))),
            Table8[ملاحظة]
         ),
         ""
      ),
      IF(_xlpm.result="", "", _xlpm.result)
   )
)</f>
        <v/>
      </c>
      <c r="S902" s="46" t="str">
        <f t="shared" ca="1" si="14"/>
        <v/>
      </c>
    </row>
    <row r="903" spans="1:19" ht="15.6" thickTop="1" thickBot="1" x14ac:dyDescent="0.35">
      <c r="A903" s="39"/>
      <c r="B903" s="27" t="str" cm="1">
        <f t="array" ref="B903">IF(
   OR(A903="", $B$9="", $B$10="", $B$11=""),
   "",
   _xlfn.LET(
      _xlpm.result,
      IFERROR(
         _xlfn.XLOOKUP(
            1,
            (Table8[رقم الصنف]=A903)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3" s="27" t="str" cm="1">
        <f t="array" ref="C903">IF(
   A903="",
   "",
   _xlfn.LET(
      _xlpm.result,
      IFERROR(
         _xlfn.XLOOKUP(
            1,
            (Table8[رقم الصنف]=A903) *
            (IF($B$9="الكل",1, YEAR('ادخال البيانات'!$N$3:$N$1164) = VALUE($B$9))) *
            (IF($B$10="الكل",1, MONTH('ادخال البيانات'!$N$3:$N$1164) = VALUE($B$10))) *
            (IF($B$11="الكل",1, INT((DAY('ادخال البيانات'!$N$3:$N$1164)-1)/7)+1 = VALUE($B$11))),
            'ادخال البيانات'!$C$3:$C$1164
         ),
         ""
      ),
      IF(_xlpm.result="", "", _xlpm.result)
   )
)</f>
        <v/>
      </c>
      <c r="D903" s="27" t="str" cm="1">
        <f t="array" ref="D903">IF(
   OR(A903="", $B$9="", $B$10="", $B$11=""),
   "",
   _xlfn.LET(
      _xlpm.result,
      IFERROR(
         _xlfn.XLOOKUP(
            1,
            (Table8[رقم الصنف]=A903) *
            (IF($B$9="الكل",1, YEAR('ادخال البيانات'!$N$3:$N$1164)=VALUE($B$9))) *
            (IF($B$10="الكل",1, MONTH('ادخال البيانات'!$N$3:$N$1164)=VALUE($B$10))) *
            (IF($B$11="الكل",1, INT((DAY('ادخال البيانات'!$N$3:$N$1164)-1)/7)+1 = VALUE($B$11))),
            'ادخال البيانات'!$D$3:$D$1164
         ),
         ""
      ),
      IF(_xlpm.result="", "", _xlpm.result)
   )
)</f>
        <v/>
      </c>
      <c r="E903" s="27" t="str" cm="1">
        <f t="array" ref="E903">IF(
   A903="",
   "",
   _xlfn.LET(
      _xlpm.result,
      IFERROR(
         _xlfn.XLOOKUP(
            1,
            (Table8[رقم الصنف]=A903) *
            (IF($B$9="الكل",1, YEAR('ادخال البيانات'!$N$3:$N$1164)=VALUE($B$9))) *
            (IF($B$10="الكل",1, MONTH('ادخال البيانات'!$N$3:$N$1164)=VALUE($B$10))) *
            (IF($B$11="الكل",1, INT((DAY('ادخال البيانات'!$N$3:$N$1164)-1)/7)+1 = VALUE($B$11))),
            'ادخال البيانات'!$E$3:$E$1164
         ),
         ""
      ),
      IF(_xlpm.result="", "", _xlpm.result)
   )
)</f>
        <v/>
      </c>
      <c r="F903" s="27" t="str" cm="1">
        <f t="array" ref="F903">IF(
   A903="",
   "",
   _xlfn.LET(
      _xlpm.result,
      IFERROR(
         _xlfn.XLOOKUP(
            1,
            (Table8[رقم الصنف]=A903) *
            (IF($B$9="الكل",1, YEAR('ادخال البيانات'!$N$3:$N$1164) = VALUE($B$9))) *
            (IF($B$10="الكل",1, MONTH('ادخال البيانات'!$N$3:$N$1164) = VALUE($B$10))) *
            (IF($B$11="الكل",1, INT((DAY('ادخال البيانات'!$N$3:$N$1164)-1)/7)+1 = VALUE($B$11))),
            'ادخال البيانات'!$F$3:$F$1164
         ),
         ""
      ),
      IF(_xlpm.result="", "", _xlpm.result)
   )
)</f>
        <v/>
      </c>
      <c r="G903" s="27" t="str" cm="1">
        <f t="array" ref="G903">IF(
   A903="",
   "",
   _xlfn.LET(
      _xlpm.result,
      IFERROR(
         _xlfn.XLOOKUP(
            1,
            (Table8[رقم الصنف]=A903) *
            (IF($B$9="الكل",1, YEAR('ادخال البيانات'!$N$3:$N$1164)=VALUE($B$9))) *
            (IF($B$10="الكل",1, MONTH('ادخال البيانات'!$N$3:$N$1164)=VALUE($B$10))) *
            (IF($B$11="الكل",1, INT((DAY('ادخال البيانات'!$N$3:$N$1164)-1)/7)+1 = VALUE($B$11))),
            'ادخال البيانات'!$G$3:$G$1164
         ),
         ""
      ),
      IF(_xlpm.result="", "", _xlpm.result)
   )
)</f>
        <v/>
      </c>
      <c r="H903" s="27" t="str" cm="1">
        <f t="array" ref="H903">IF(
   A903="",
   "",
   _xlfn.LET(
      _xlpm.result,
      IFERROR(
         _xlfn.XLOOKUP(
            1,
            (Table8[رقم الصنف]=A903) *
            (IF($B$9="الكل",1, YEAR('ادخال البيانات'!$N$3:$N$1164)=VALUE($B$9))) *
            (IF($B$10="الكل",1, MONTH('ادخال البيانات'!$N$3:$N$1164)=VALUE($B$10))) *
            (IF($B$11="الكل",1, INT((DAY('ادخال البيانات'!$N$3:$N$1164)-1)/7)+1 = VALUE($B$11))),
            'ادخال البيانات'!$H$3:$H$1164
         ),
         ""
      ),
      IF(_xlpm.result="", "", _xlpm.result)
   )
)</f>
        <v/>
      </c>
      <c r="I903" s="27" t="str" cm="1">
        <f t="array" ref="I903">IF(
   A903="",
   "",
   _xlfn.LET(
      _xlpm.result,
      IFERROR(
         _xlfn.XLOOKUP(
            1,
            (Table8[رقم الصنف]=A903) *
            (IF($B$9="الكل",1, YEAR('ادخال البيانات'!$N$3:$N$1164)=VALUE($B$9))) *
            (IF($B$10="الكل",1, MONTH('ادخال البيانات'!$N$3:$N$1164)=VALUE($B$10))) *
            (IF($B$11="الكل",1, INT((DAY('ادخال البيانات'!$N$3:$N$1164)-1)/7)+1 = VALUE($B$11))),
            'ادخال البيانات'!$I$3:$I$1164
         ),
         ""
      ),
      IF(_xlpm.result="", "", _xlpm.result)
   )
)</f>
        <v/>
      </c>
      <c r="J903" s="27" t="str" cm="1">
        <f t="array" ref="J903">IF(
   A903="",
   "",
   _xlfn.LET(
      _xlpm.result,
      IFERROR(
         _xlfn.XLOOKUP(
            1,
            (Table8[رقم الصنف]=A903) *
            (IF($B$9="الكل",1, YEAR('ادخال البيانات'!$N$3:$N$1164)=VALUE($B$9))) *
            (IF($B$10="الكل",1, MONTH('ادخال البيانات'!$N$3:$N$1164)=VALUE($B$10))) *
            (IF($B$11="الكل",1, INT((DAY('ادخال البيانات'!$N$3:$N$1164)-1)/7)+1 = VALUE($B$11))),
            'ادخال البيانات'!$J$3:$J$1164
         ),
         ""
      ),
      IF(_xlpm.result="", "", _xlpm.result)
   )
)</f>
        <v/>
      </c>
      <c r="K903" s="27" t="str" cm="1">
        <f t="array" ref="K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3" s="27" t="str" cm="1">
        <f t="array" ref="L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3" s="27" t="str" cm="1">
        <f t="array" ref="M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3" s="28" t="str" cm="1">
        <f t="array" ref="N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3" s="28" t="str" cm="1">
        <f t="array" ref="O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3" s="27" t="str" cm="1">
        <f t="array" ref="P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Table8[جهة العطل]
         ),
         ""
      ),
      IF(_xlpm.result="", "", _xlpm.result)
   )
)</f>
        <v/>
      </c>
      <c r="Q903" s="27" t="str" cm="1">
        <f t="array" ref="Q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Table8[المركز]
         ),
         ""
      ),
      IF(_xlpm.result="", "", _xlpm.result)
   )
)</f>
        <v/>
      </c>
      <c r="R903" s="27" t="str" cm="1">
        <f t="array" ref="R903">IF(
   A903="",
   "",
   _xlfn.LET(
      _xlpm.result,
      IFERROR(
         _xlfn.XLOOKUP(
            1,
            (Table8[رقم الصنف]=A903) *
            (IF($B$9="الكل",1, YEAR('ادخال البيانات'!$N$3:$N$1164) = VALUE($B$9))) *
            (IF($B$10="الكل",1, MONTH('ادخال البيانات'!$N$3:$N$1164) = VALUE($B$10))) *
            (IF($B$11="الكل",1, INT((DAY('ادخال البيانات'!$N$3:$N$1164) - 1) / 7) + 1 = VALUE($B$11))),
            Table8[ملاحظة]
         ),
         ""
      ),
      IF(_xlpm.result="", "", _xlpm.result)
   )
)</f>
        <v/>
      </c>
      <c r="S903" s="46" t="str">
        <f t="shared" ca="1" si="14"/>
        <v/>
      </c>
    </row>
    <row r="904" spans="1:19" ht="15.6" thickTop="1" thickBot="1" x14ac:dyDescent="0.35">
      <c r="A904" s="39"/>
      <c r="B904" s="27" t="str" cm="1">
        <f t="array" ref="B904">IF(
   OR(A904="", $B$9="", $B$10="", $B$11=""),
   "",
   _xlfn.LET(
      _xlpm.result,
      IFERROR(
         _xlfn.XLOOKUP(
            1,
            (Table8[رقم الصنف]=A904)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4" s="27" t="str" cm="1">
        <f t="array" ref="C904">IF(
   A904="",
   "",
   _xlfn.LET(
      _xlpm.result,
      IFERROR(
         _xlfn.XLOOKUP(
            1,
            (Table8[رقم الصنف]=A904) *
            (IF($B$9="الكل",1, YEAR('ادخال البيانات'!$N$3:$N$1164) = VALUE($B$9))) *
            (IF($B$10="الكل",1, MONTH('ادخال البيانات'!$N$3:$N$1164) = VALUE($B$10))) *
            (IF($B$11="الكل",1, INT((DAY('ادخال البيانات'!$N$3:$N$1164)-1)/7)+1 = VALUE($B$11))),
            'ادخال البيانات'!$C$3:$C$1164
         ),
         ""
      ),
      IF(_xlpm.result="", "", _xlpm.result)
   )
)</f>
        <v/>
      </c>
      <c r="D904" s="27" t="str" cm="1">
        <f t="array" ref="D904">IF(
   OR(A904="", $B$9="", $B$10="", $B$11=""),
   "",
   _xlfn.LET(
      _xlpm.result,
      IFERROR(
         _xlfn.XLOOKUP(
            1,
            (Table8[رقم الصنف]=A904) *
            (IF($B$9="الكل",1, YEAR('ادخال البيانات'!$N$3:$N$1164)=VALUE($B$9))) *
            (IF($B$10="الكل",1, MONTH('ادخال البيانات'!$N$3:$N$1164)=VALUE($B$10))) *
            (IF($B$11="الكل",1, INT((DAY('ادخال البيانات'!$N$3:$N$1164)-1)/7)+1 = VALUE($B$11))),
            'ادخال البيانات'!$D$3:$D$1164
         ),
         ""
      ),
      IF(_xlpm.result="", "", _xlpm.result)
   )
)</f>
        <v/>
      </c>
      <c r="E904" s="27" t="str" cm="1">
        <f t="array" ref="E904">IF(
   A904="",
   "",
   _xlfn.LET(
      _xlpm.result,
      IFERROR(
         _xlfn.XLOOKUP(
            1,
            (Table8[رقم الصنف]=A904) *
            (IF($B$9="الكل",1, YEAR('ادخال البيانات'!$N$3:$N$1164)=VALUE($B$9))) *
            (IF($B$10="الكل",1, MONTH('ادخال البيانات'!$N$3:$N$1164)=VALUE($B$10))) *
            (IF($B$11="الكل",1, INT((DAY('ادخال البيانات'!$N$3:$N$1164)-1)/7)+1 = VALUE($B$11))),
            'ادخال البيانات'!$E$3:$E$1164
         ),
         ""
      ),
      IF(_xlpm.result="", "", _xlpm.result)
   )
)</f>
        <v/>
      </c>
      <c r="F904" s="27" t="str" cm="1">
        <f t="array" ref="F904">IF(
   A904="",
   "",
   _xlfn.LET(
      _xlpm.result,
      IFERROR(
         _xlfn.XLOOKUP(
            1,
            (Table8[رقم الصنف]=A904) *
            (IF($B$9="الكل",1, YEAR('ادخال البيانات'!$N$3:$N$1164) = VALUE($B$9))) *
            (IF($B$10="الكل",1, MONTH('ادخال البيانات'!$N$3:$N$1164) = VALUE($B$10))) *
            (IF($B$11="الكل",1, INT((DAY('ادخال البيانات'!$N$3:$N$1164)-1)/7)+1 = VALUE($B$11))),
            'ادخال البيانات'!$F$3:$F$1164
         ),
         ""
      ),
      IF(_xlpm.result="", "", _xlpm.result)
   )
)</f>
        <v/>
      </c>
      <c r="G904" s="27" t="str" cm="1">
        <f t="array" ref="G904">IF(
   A904="",
   "",
   _xlfn.LET(
      _xlpm.result,
      IFERROR(
         _xlfn.XLOOKUP(
            1,
            (Table8[رقم الصنف]=A904) *
            (IF($B$9="الكل",1, YEAR('ادخال البيانات'!$N$3:$N$1164)=VALUE($B$9))) *
            (IF($B$10="الكل",1, MONTH('ادخال البيانات'!$N$3:$N$1164)=VALUE($B$10))) *
            (IF($B$11="الكل",1, INT((DAY('ادخال البيانات'!$N$3:$N$1164)-1)/7)+1 = VALUE($B$11))),
            'ادخال البيانات'!$G$3:$G$1164
         ),
         ""
      ),
      IF(_xlpm.result="", "", _xlpm.result)
   )
)</f>
        <v/>
      </c>
      <c r="H904" s="27" t="str" cm="1">
        <f t="array" ref="H904">IF(
   A904="",
   "",
   _xlfn.LET(
      _xlpm.result,
      IFERROR(
         _xlfn.XLOOKUP(
            1,
            (Table8[رقم الصنف]=A904) *
            (IF($B$9="الكل",1, YEAR('ادخال البيانات'!$N$3:$N$1164)=VALUE($B$9))) *
            (IF($B$10="الكل",1, MONTH('ادخال البيانات'!$N$3:$N$1164)=VALUE($B$10))) *
            (IF($B$11="الكل",1, INT((DAY('ادخال البيانات'!$N$3:$N$1164)-1)/7)+1 = VALUE($B$11))),
            'ادخال البيانات'!$H$3:$H$1164
         ),
         ""
      ),
      IF(_xlpm.result="", "", _xlpm.result)
   )
)</f>
        <v/>
      </c>
      <c r="I904" s="27" t="str" cm="1">
        <f t="array" ref="I904">IF(
   A904="",
   "",
   _xlfn.LET(
      _xlpm.result,
      IFERROR(
         _xlfn.XLOOKUP(
            1,
            (Table8[رقم الصنف]=A904) *
            (IF($B$9="الكل",1, YEAR('ادخال البيانات'!$N$3:$N$1164)=VALUE($B$9))) *
            (IF($B$10="الكل",1, MONTH('ادخال البيانات'!$N$3:$N$1164)=VALUE($B$10))) *
            (IF($B$11="الكل",1, INT((DAY('ادخال البيانات'!$N$3:$N$1164)-1)/7)+1 = VALUE($B$11))),
            'ادخال البيانات'!$I$3:$I$1164
         ),
         ""
      ),
      IF(_xlpm.result="", "", _xlpm.result)
   )
)</f>
        <v/>
      </c>
      <c r="J904" s="27" t="str" cm="1">
        <f t="array" ref="J904">IF(
   A904="",
   "",
   _xlfn.LET(
      _xlpm.result,
      IFERROR(
         _xlfn.XLOOKUP(
            1,
            (Table8[رقم الصنف]=A904) *
            (IF($B$9="الكل",1, YEAR('ادخال البيانات'!$N$3:$N$1164)=VALUE($B$9))) *
            (IF($B$10="الكل",1, MONTH('ادخال البيانات'!$N$3:$N$1164)=VALUE($B$10))) *
            (IF($B$11="الكل",1, INT((DAY('ادخال البيانات'!$N$3:$N$1164)-1)/7)+1 = VALUE($B$11))),
            'ادخال البيانات'!$J$3:$J$1164
         ),
         ""
      ),
      IF(_xlpm.result="", "", _xlpm.result)
   )
)</f>
        <v/>
      </c>
      <c r="K904" s="27" t="str" cm="1">
        <f t="array" ref="K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4" s="27" t="str" cm="1">
        <f t="array" ref="L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4" s="27" t="str" cm="1">
        <f t="array" ref="M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4" s="28" t="str" cm="1">
        <f t="array" ref="N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4" s="28" t="str" cm="1">
        <f t="array" ref="O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4" s="27" t="str" cm="1">
        <f t="array" ref="P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Table8[جهة العطل]
         ),
         ""
      ),
      IF(_xlpm.result="", "", _xlpm.result)
   )
)</f>
        <v/>
      </c>
      <c r="Q904" s="27" t="str" cm="1">
        <f t="array" ref="Q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Table8[المركز]
         ),
         ""
      ),
      IF(_xlpm.result="", "", _xlpm.result)
   )
)</f>
        <v/>
      </c>
      <c r="R904" s="27" t="str" cm="1">
        <f t="array" ref="R904">IF(
   A904="",
   "",
   _xlfn.LET(
      _xlpm.result,
      IFERROR(
         _xlfn.XLOOKUP(
            1,
            (Table8[رقم الصنف]=A904) *
            (IF($B$9="الكل",1, YEAR('ادخال البيانات'!$N$3:$N$1164) = VALUE($B$9))) *
            (IF($B$10="الكل",1, MONTH('ادخال البيانات'!$N$3:$N$1164) = VALUE($B$10))) *
            (IF($B$11="الكل",1, INT((DAY('ادخال البيانات'!$N$3:$N$1164) - 1) / 7) + 1 = VALUE($B$11))),
            Table8[ملاحظة]
         ),
         ""
      ),
      IF(_xlpm.result="", "", _xlpm.result)
   )
)</f>
        <v/>
      </c>
      <c r="S904" s="46" t="str">
        <f t="shared" ca="1" si="14"/>
        <v/>
      </c>
    </row>
    <row r="905" spans="1:19" ht="15.6" thickTop="1" thickBot="1" x14ac:dyDescent="0.35">
      <c r="A905" s="39"/>
      <c r="B905" s="27" t="str" cm="1">
        <f t="array" ref="B905">IF(
   OR(A905="", $B$9="", $B$10="", $B$11=""),
   "",
   _xlfn.LET(
      _xlpm.result,
      IFERROR(
         _xlfn.XLOOKUP(
            1,
            (Table8[رقم الصنف]=A905)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5" s="27" t="str" cm="1">
        <f t="array" ref="C905">IF(
   A905="",
   "",
   _xlfn.LET(
      _xlpm.result,
      IFERROR(
         _xlfn.XLOOKUP(
            1,
            (Table8[رقم الصنف]=A905) *
            (IF($B$9="الكل",1, YEAR('ادخال البيانات'!$N$3:$N$1164) = VALUE($B$9))) *
            (IF($B$10="الكل",1, MONTH('ادخال البيانات'!$N$3:$N$1164) = VALUE($B$10))) *
            (IF($B$11="الكل",1, INT((DAY('ادخال البيانات'!$N$3:$N$1164)-1)/7)+1 = VALUE($B$11))),
            'ادخال البيانات'!$C$3:$C$1164
         ),
         ""
      ),
      IF(_xlpm.result="", "", _xlpm.result)
   )
)</f>
        <v/>
      </c>
      <c r="D905" s="27" t="str" cm="1">
        <f t="array" ref="D905">IF(
   OR(A905="", $B$9="", $B$10="", $B$11=""),
   "",
   _xlfn.LET(
      _xlpm.result,
      IFERROR(
         _xlfn.XLOOKUP(
            1,
            (Table8[رقم الصنف]=A905) *
            (IF($B$9="الكل",1, YEAR('ادخال البيانات'!$N$3:$N$1164)=VALUE($B$9))) *
            (IF($B$10="الكل",1, MONTH('ادخال البيانات'!$N$3:$N$1164)=VALUE($B$10))) *
            (IF($B$11="الكل",1, INT((DAY('ادخال البيانات'!$N$3:$N$1164)-1)/7)+1 = VALUE($B$11))),
            'ادخال البيانات'!$D$3:$D$1164
         ),
         ""
      ),
      IF(_xlpm.result="", "", _xlpm.result)
   )
)</f>
        <v/>
      </c>
      <c r="E905" s="27" t="str" cm="1">
        <f t="array" ref="E905">IF(
   A905="",
   "",
   _xlfn.LET(
      _xlpm.result,
      IFERROR(
         _xlfn.XLOOKUP(
            1,
            (Table8[رقم الصنف]=A905) *
            (IF($B$9="الكل",1, YEAR('ادخال البيانات'!$N$3:$N$1164)=VALUE($B$9))) *
            (IF($B$10="الكل",1, MONTH('ادخال البيانات'!$N$3:$N$1164)=VALUE($B$10))) *
            (IF($B$11="الكل",1, INT((DAY('ادخال البيانات'!$N$3:$N$1164)-1)/7)+1 = VALUE($B$11))),
            'ادخال البيانات'!$E$3:$E$1164
         ),
         ""
      ),
      IF(_xlpm.result="", "", _xlpm.result)
   )
)</f>
        <v/>
      </c>
      <c r="F905" s="27" t="str" cm="1">
        <f t="array" ref="F905">IF(
   A905="",
   "",
   _xlfn.LET(
      _xlpm.result,
      IFERROR(
         _xlfn.XLOOKUP(
            1,
            (Table8[رقم الصنف]=A905) *
            (IF($B$9="الكل",1, YEAR('ادخال البيانات'!$N$3:$N$1164) = VALUE($B$9))) *
            (IF($B$10="الكل",1, MONTH('ادخال البيانات'!$N$3:$N$1164) = VALUE($B$10))) *
            (IF($B$11="الكل",1, INT((DAY('ادخال البيانات'!$N$3:$N$1164)-1)/7)+1 = VALUE($B$11))),
            'ادخال البيانات'!$F$3:$F$1164
         ),
         ""
      ),
      IF(_xlpm.result="", "", _xlpm.result)
   )
)</f>
        <v/>
      </c>
      <c r="G905" s="27" t="str" cm="1">
        <f t="array" ref="G905">IF(
   A905="",
   "",
   _xlfn.LET(
      _xlpm.result,
      IFERROR(
         _xlfn.XLOOKUP(
            1,
            (Table8[رقم الصنف]=A905) *
            (IF($B$9="الكل",1, YEAR('ادخال البيانات'!$N$3:$N$1164)=VALUE($B$9))) *
            (IF($B$10="الكل",1, MONTH('ادخال البيانات'!$N$3:$N$1164)=VALUE($B$10))) *
            (IF($B$11="الكل",1, INT((DAY('ادخال البيانات'!$N$3:$N$1164)-1)/7)+1 = VALUE($B$11))),
            'ادخال البيانات'!$G$3:$G$1164
         ),
         ""
      ),
      IF(_xlpm.result="", "", _xlpm.result)
   )
)</f>
        <v/>
      </c>
      <c r="H905" s="27" t="str" cm="1">
        <f t="array" ref="H905">IF(
   A905="",
   "",
   _xlfn.LET(
      _xlpm.result,
      IFERROR(
         _xlfn.XLOOKUP(
            1,
            (Table8[رقم الصنف]=A905) *
            (IF($B$9="الكل",1, YEAR('ادخال البيانات'!$N$3:$N$1164)=VALUE($B$9))) *
            (IF($B$10="الكل",1, MONTH('ادخال البيانات'!$N$3:$N$1164)=VALUE($B$10))) *
            (IF($B$11="الكل",1, INT((DAY('ادخال البيانات'!$N$3:$N$1164)-1)/7)+1 = VALUE($B$11))),
            'ادخال البيانات'!$H$3:$H$1164
         ),
         ""
      ),
      IF(_xlpm.result="", "", _xlpm.result)
   )
)</f>
        <v/>
      </c>
      <c r="I905" s="27" t="str" cm="1">
        <f t="array" ref="I905">IF(
   A905="",
   "",
   _xlfn.LET(
      _xlpm.result,
      IFERROR(
         _xlfn.XLOOKUP(
            1,
            (Table8[رقم الصنف]=A905) *
            (IF($B$9="الكل",1, YEAR('ادخال البيانات'!$N$3:$N$1164)=VALUE($B$9))) *
            (IF($B$10="الكل",1, MONTH('ادخال البيانات'!$N$3:$N$1164)=VALUE($B$10))) *
            (IF($B$11="الكل",1, INT((DAY('ادخال البيانات'!$N$3:$N$1164)-1)/7)+1 = VALUE($B$11))),
            'ادخال البيانات'!$I$3:$I$1164
         ),
         ""
      ),
      IF(_xlpm.result="", "", _xlpm.result)
   )
)</f>
        <v/>
      </c>
      <c r="J905" s="27" t="str" cm="1">
        <f t="array" ref="J905">IF(
   A905="",
   "",
   _xlfn.LET(
      _xlpm.result,
      IFERROR(
         _xlfn.XLOOKUP(
            1,
            (Table8[رقم الصنف]=A905) *
            (IF($B$9="الكل",1, YEAR('ادخال البيانات'!$N$3:$N$1164)=VALUE($B$9))) *
            (IF($B$10="الكل",1, MONTH('ادخال البيانات'!$N$3:$N$1164)=VALUE($B$10))) *
            (IF($B$11="الكل",1, INT((DAY('ادخال البيانات'!$N$3:$N$1164)-1)/7)+1 = VALUE($B$11))),
            'ادخال البيانات'!$J$3:$J$1164
         ),
         ""
      ),
      IF(_xlpm.result="", "", _xlpm.result)
   )
)</f>
        <v/>
      </c>
      <c r="K905" s="27" t="str" cm="1">
        <f t="array" ref="K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5" s="27" t="str" cm="1">
        <f t="array" ref="L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5" s="27" t="str" cm="1">
        <f t="array" ref="M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5" s="28" t="str" cm="1">
        <f t="array" ref="N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5" s="28" t="str" cm="1">
        <f t="array" ref="O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5" s="27" t="str" cm="1">
        <f t="array" ref="P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Table8[جهة العطل]
         ),
         ""
      ),
      IF(_xlpm.result="", "", _xlpm.result)
   )
)</f>
        <v/>
      </c>
      <c r="Q905" s="27" t="str" cm="1">
        <f t="array" ref="Q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Table8[المركز]
         ),
         ""
      ),
      IF(_xlpm.result="", "", _xlpm.result)
   )
)</f>
        <v/>
      </c>
      <c r="R905" s="27" t="str" cm="1">
        <f t="array" ref="R905">IF(
   A905="",
   "",
   _xlfn.LET(
      _xlpm.result,
      IFERROR(
         _xlfn.XLOOKUP(
            1,
            (Table8[رقم الصنف]=A905) *
            (IF($B$9="الكل",1, YEAR('ادخال البيانات'!$N$3:$N$1164) = VALUE($B$9))) *
            (IF($B$10="الكل",1, MONTH('ادخال البيانات'!$N$3:$N$1164) = VALUE($B$10))) *
            (IF($B$11="الكل",1, INT((DAY('ادخال البيانات'!$N$3:$N$1164) - 1) / 7) + 1 = VALUE($B$11))),
            Table8[ملاحظة]
         ),
         ""
      ),
      IF(_xlpm.result="", "", _xlpm.result)
   )
)</f>
        <v/>
      </c>
      <c r="S905" s="46" t="str">
        <f t="shared" ca="1" si="14"/>
        <v/>
      </c>
    </row>
    <row r="906" spans="1:19" ht="15.6" thickTop="1" thickBot="1" x14ac:dyDescent="0.35">
      <c r="A906" s="39"/>
      <c r="B906" s="27" t="str" cm="1">
        <f t="array" ref="B906">IF(
   OR(A906="", $B$9="", $B$10="", $B$11=""),
   "",
   _xlfn.LET(
      _xlpm.result,
      IFERROR(
         _xlfn.XLOOKUP(
            1,
            (Table8[رقم الصنف]=A906)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6" s="27" t="str" cm="1">
        <f t="array" ref="C906">IF(
   A906="",
   "",
   _xlfn.LET(
      _xlpm.result,
      IFERROR(
         _xlfn.XLOOKUP(
            1,
            (Table8[رقم الصنف]=A906) *
            (IF($B$9="الكل",1, YEAR('ادخال البيانات'!$N$3:$N$1164) = VALUE($B$9))) *
            (IF($B$10="الكل",1, MONTH('ادخال البيانات'!$N$3:$N$1164) = VALUE($B$10))) *
            (IF($B$11="الكل",1, INT((DAY('ادخال البيانات'!$N$3:$N$1164)-1)/7)+1 = VALUE($B$11))),
            'ادخال البيانات'!$C$3:$C$1164
         ),
         ""
      ),
      IF(_xlpm.result="", "", _xlpm.result)
   )
)</f>
        <v/>
      </c>
      <c r="D906" s="27" t="str" cm="1">
        <f t="array" ref="D906">IF(
   OR(A906="", $B$9="", $B$10="", $B$11=""),
   "",
   _xlfn.LET(
      _xlpm.result,
      IFERROR(
         _xlfn.XLOOKUP(
            1,
            (Table8[رقم الصنف]=A906) *
            (IF($B$9="الكل",1, YEAR('ادخال البيانات'!$N$3:$N$1164)=VALUE($B$9))) *
            (IF($B$10="الكل",1, MONTH('ادخال البيانات'!$N$3:$N$1164)=VALUE($B$10))) *
            (IF($B$11="الكل",1, INT((DAY('ادخال البيانات'!$N$3:$N$1164)-1)/7)+1 = VALUE($B$11))),
            'ادخال البيانات'!$D$3:$D$1164
         ),
         ""
      ),
      IF(_xlpm.result="", "", _xlpm.result)
   )
)</f>
        <v/>
      </c>
      <c r="E906" s="27" t="str" cm="1">
        <f t="array" ref="E906">IF(
   A906="",
   "",
   _xlfn.LET(
      _xlpm.result,
      IFERROR(
         _xlfn.XLOOKUP(
            1,
            (Table8[رقم الصنف]=A906) *
            (IF($B$9="الكل",1, YEAR('ادخال البيانات'!$N$3:$N$1164)=VALUE($B$9))) *
            (IF($B$10="الكل",1, MONTH('ادخال البيانات'!$N$3:$N$1164)=VALUE($B$10))) *
            (IF($B$11="الكل",1, INT((DAY('ادخال البيانات'!$N$3:$N$1164)-1)/7)+1 = VALUE($B$11))),
            'ادخال البيانات'!$E$3:$E$1164
         ),
         ""
      ),
      IF(_xlpm.result="", "", _xlpm.result)
   )
)</f>
        <v/>
      </c>
      <c r="F906" s="27" t="str" cm="1">
        <f t="array" ref="F906">IF(
   A906="",
   "",
   _xlfn.LET(
      _xlpm.result,
      IFERROR(
         _xlfn.XLOOKUP(
            1,
            (Table8[رقم الصنف]=A906) *
            (IF($B$9="الكل",1, YEAR('ادخال البيانات'!$N$3:$N$1164) = VALUE($B$9))) *
            (IF($B$10="الكل",1, MONTH('ادخال البيانات'!$N$3:$N$1164) = VALUE($B$10))) *
            (IF($B$11="الكل",1, INT((DAY('ادخال البيانات'!$N$3:$N$1164)-1)/7)+1 = VALUE($B$11))),
            'ادخال البيانات'!$F$3:$F$1164
         ),
         ""
      ),
      IF(_xlpm.result="", "", _xlpm.result)
   )
)</f>
        <v/>
      </c>
      <c r="G906" s="27" t="str" cm="1">
        <f t="array" ref="G906">IF(
   A906="",
   "",
   _xlfn.LET(
      _xlpm.result,
      IFERROR(
         _xlfn.XLOOKUP(
            1,
            (Table8[رقم الصنف]=A906) *
            (IF($B$9="الكل",1, YEAR('ادخال البيانات'!$N$3:$N$1164)=VALUE($B$9))) *
            (IF($B$10="الكل",1, MONTH('ادخال البيانات'!$N$3:$N$1164)=VALUE($B$10))) *
            (IF($B$11="الكل",1, INT((DAY('ادخال البيانات'!$N$3:$N$1164)-1)/7)+1 = VALUE($B$11))),
            'ادخال البيانات'!$G$3:$G$1164
         ),
         ""
      ),
      IF(_xlpm.result="", "", _xlpm.result)
   )
)</f>
        <v/>
      </c>
      <c r="H906" s="27" t="str" cm="1">
        <f t="array" ref="H906">IF(
   A906="",
   "",
   _xlfn.LET(
      _xlpm.result,
      IFERROR(
         _xlfn.XLOOKUP(
            1,
            (Table8[رقم الصنف]=A906) *
            (IF($B$9="الكل",1, YEAR('ادخال البيانات'!$N$3:$N$1164)=VALUE($B$9))) *
            (IF($B$10="الكل",1, MONTH('ادخال البيانات'!$N$3:$N$1164)=VALUE($B$10))) *
            (IF($B$11="الكل",1, INT((DAY('ادخال البيانات'!$N$3:$N$1164)-1)/7)+1 = VALUE($B$11))),
            'ادخال البيانات'!$H$3:$H$1164
         ),
         ""
      ),
      IF(_xlpm.result="", "", _xlpm.result)
   )
)</f>
        <v/>
      </c>
      <c r="I906" s="27" t="str" cm="1">
        <f t="array" ref="I906">IF(
   A906="",
   "",
   _xlfn.LET(
      _xlpm.result,
      IFERROR(
         _xlfn.XLOOKUP(
            1,
            (Table8[رقم الصنف]=A906) *
            (IF($B$9="الكل",1, YEAR('ادخال البيانات'!$N$3:$N$1164)=VALUE($B$9))) *
            (IF($B$10="الكل",1, MONTH('ادخال البيانات'!$N$3:$N$1164)=VALUE($B$10))) *
            (IF($B$11="الكل",1, INT((DAY('ادخال البيانات'!$N$3:$N$1164)-1)/7)+1 = VALUE($B$11))),
            'ادخال البيانات'!$I$3:$I$1164
         ),
         ""
      ),
      IF(_xlpm.result="", "", _xlpm.result)
   )
)</f>
        <v/>
      </c>
      <c r="J906" s="27" t="str" cm="1">
        <f t="array" ref="J906">IF(
   A906="",
   "",
   _xlfn.LET(
      _xlpm.result,
      IFERROR(
         _xlfn.XLOOKUP(
            1,
            (Table8[رقم الصنف]=A906) *
            (IF($B$9="الكل",1, YEAR('ادخال البيانات'!$N$3:$N$1164)=VALUE($B$9))) *
            (IF($B$10="الكل",1, MONTH('ادخال البيانات'!$N$3:$N$1164)=VALUE($B$10))) *
            (IF($B$11="الكل",1, INT((DAY('ادخال البيانات'!$N$3:$N$1164)-1)/7)+1 = VALUE($B$11))),
            'ادخال البيانات'!$J$3:$J$1164
         ),
         ""
      ),
      IF(_xlpm.result="", "", _xlpm.result)
   )
)</f>
        <v/>
      </c>
      <c r="K906" s="27" t="str" cm="1">
        <f t="array" ref="K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6" s="27" t="str" cm="1">
        <f t="array" ref="L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6" s="27" t="str" cm="1">
        <f t="array" ref="M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6" s="28" t="str" cm="1">
        <f t="array" ref="N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6" s="28" t="str" cm="1">
        <f t="array" ref="O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6" s="27" t="str" cm="1">
        <f t="array" ref="P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Table8[جهة العطل]
         ),
         ""
      ),
      IF(_xlpm.result="", "", _xlpm.result)
   )
)</f>
        <v/>
      </c>
      <c r="Q906" s="27" t="str" cm="1">
        <f t="array" ref="Q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Table8[المركز]
         ),
         ""
      ),
      IF(_xlpm.result="", "", _xlpm.result)
   )
)</f>
        <v/>
      </c>
      <c r="R906" s="27" t="str" cm="1">
        <f t="array" ref="R906">IF(
   A906="",
   "",
   _xlfn.LET(
      _xlpm.result,
      IFERROR(
         _xlfn.XLOOKUP(
            1,
            (Table8[رقم الصنف]=A906) *
            (IF($B$9="الكل",1, YEAR('ادخال البيانات'!$N$3:$N$1164) = VALUE($B$9))) *
            (IF($B$10="الكل",1, MONTH('ادخال البيانات'!$N$3:$N$1164) = VALUE($B$10))) *
            (IF($B$11="الكل",1, INT((DAY('ادخال البيانات'!$N$3:$N$1164) - 1) / 7) + 1 = VALUE($B$11))),
            Table8[ملاحظة]
         ),
         ""
      ),
      IF(_xlpm.result="", "", _xlpm.result)
   )
)</f>
        <v/>
      </c>
      <c r="S906" s="46" t="str">
        <f t="shared" ca="1" si="14"/>
        <v/>
      </c>
    </row>
    <row r="907" spans="1:19" ht="15.6" thickTop="1" thickBot="1" x14ac:dyDescent="0.35">
      <c r="A907" s="39"/>
      <c r="B907" s="27" t="str" cm="1">
        <f t="array" ref="B907">IF(
   OR(A907="", $B$9="", $B$10="", $B$11=""),
   "",
   _xlfn.LET(
      _xlpm.result,
      IFERROR(
         _xlfn.XLOOKUP(
            1,
            (Table8[رقم الصنف]=A907)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7" s="27" t="str" cm="1">
        <f t="array" ref="C907">IF(
   A907="",
   "",
   _xlfn.LET(
      _xlpm.result,
      IFERROR(
         _xlfn.XLOOKUP(
            1,
            (Table8[رقم الصنف]=A907) *
            (IF($B$9="الكل",1, YEAR('ادخال البيانات'!$N$3:$N$1164) = VALUE($B$9))) *
            (IF($B$10="الكل",1, MONTH('ادخال البيانات'!$N$3:$N$1164) = VALUE($B$10))) *
            (IF($B$11="الكل",1, INT((DAY('ادخال البيانات'!$N$3:$N$1164)-1)/7)+1 = VALUE($B$11))),
            'ادخال البيانات'!$C$3:$C$1164
         ),
         ""
      ),
      IF(_xlpm.result="", "", _xlpm.result)
   )
)</f>
        <v/>
      </c>
      <c r="D907" s="27" t="str" cm="1">
        <f t="array" ref="D907">IF(
   OR(A907="", $B$9="", $B$10="", $B$11=""),
   "",
   _xlfn.LET(
      _xlpm.result,
      IFERROR(
         _xlfn.XLOOKUP(
            1,
            (Table8[رقم الصنف]=A907) *
            (IF($B$9="الكل",1, YEAR('ادخال البيانات'!$N$3:$N$1164)=VALUE($B$9))) *
            (IF($B$10="الكل",1, MONTH('ادخال البيانات'!$N$3:$N$1164)=VALUE($B$10))) *
            (IF($B$11="الكل",1, INT((DAY('ادخال البيانات'!$N$3:$N$1164)-1)/7)+1 = VALUE($B$11))),
            'ادخال البيانات'!$D$3:$D$1164
         ),
         ""
      ),
      IF(_xlpm.result="", "", _xlpm.result)
   )
)</f>
        <v/>
      </c>
      <c r="E907" s="27" t="str" cm="1">
        <f t="array" ref="E907">IF(
   A907="",
   "",
   _xlfn.LET(
      _xlpm.result,
      IFERROR(
         _xlfn.XLOOKUP(
            1,
            (Table8[رقم الصنف]=A907) *
            (IF($B$9="الكل",1, YEAR('ادخال البيانات'!$N$3:$N$1164)=VALUE($B$9))) *
            (IF($B$10="الكل",1, MONTH('ادخال البيانات'!$N$3:$N$1164)=VALUE($B$10))) *
            (IF($B$11="الكل",1, INT((DAY('ادخال البيانات'!$N$3:$N$1164)-1)/7)+1 = VALUE($B$11))),
            'ادخال البيانات'!$E$3:$E$1164
         ),
         ""
      ),
      IF(_xlpm.result="", "", _xlpm.result)
   )
)</f>
        <v/>
      </c>
      <c r="F907" s="27" t="str" cm="1">
        <f t="array" ref="F907">IF(
   A907="",
   "",
   _xlfn.LET(
      _xlpm.result,
      IFERROR(
         _xlfn.XLOOKUP(
            1,
            (Table8[رقم الصنف]=A907) *
            (IF($B$9="الكل",1, YEAR('ادخال البيانات'!$N$3:$N$1164) = VALUE($B$9))) *
            (IF($B$10="الكل",1, MONTH('ادخال البيانات'!$N$3:$N$1164) = VALUE($B$10))) *
            (IF($B$11="الكل",1, INT((DAY('ادخال البيانات'!$N$3:$N$1164)-1)/7)+1 = VALUE($B$11))),
            'ادخال البيانات'!$F$3:$F$1164
         ),
         ""
      ),
      IF(_xlpm.result="", "", _xlpm.result)
   )
)</f>
        <v/>
      </c>
      <c r="G907" s="27" t="str" cm="1">
        <f t="array" ref="G907">IF(
   A907="",
   "",
   _xlfn.LET(
      _xlpm.result,
      IFERROR(
         _xlfn.XLOOKUP(
            1,
            (Table8[رقم الصنف]=A907) *
            (IF($B$9="الكل",1, YEAR('ادخال البيانات'!$N$3:$N$1164)=VALUE($B$9))) *
            (IF($B$10="الكل",1, MONTH('ادخال البيانات'!$N$3:$N$1164)=VALUE($B$10))) *
            (IF($B$11="الكل",1, INT((DAY('ادخال البيانات'!$N$3:$N$1164)-1)/7)+1 = VALUE($B$11))),
            'ادخال البيانات'!$G$3:$G$1164
         ),
         ""
      ),
      IF(_xlpm.result="", "", _xlpm.result)
   )
)</f>
        <v/>
      </c>
      <c r="H907" s="27" t="str" cm="1">
        <f t="array" ref="H907">IF(
   A907="",
   "",
   _xlfn.LET(
      _xlpm.result,
      IFERROR(
         _xlfn.XLOOKUP(
            1,
            (Table8[رقم الصنف]=A907) *
            (IF($B$9="الكل",1, YEAR('ادخال البيانات'!$N$3:$N$1164)=VALUE($B$9))) *
            (IF($B$10="الكل",1, MONTH('ادخال البيانات'!$N$3:$N$1164)=VALUE($B$10))) *
            (IF($B$11="الكل",1, INT((DAY('ادخال البيانات'!$N$3:$N$1164)-1)/7)+1 = VALUE($B$11))),
            'ادخال البيانات'!$H$3:$H$1164
         ),
         ""
      ),
      IF(_xlpm.result="", "", _xlpm.result)
   )
)</f>
        <v/>
      </c>
      <c r="I907" s="27" t="str" cm="1">
        <f t="array" ref="I907">IF(
   A907="",
   "",
   _xlfn.LET(
      _xlpm.result,
      IFERROR(
         _xlfn.XLOOKUP(
            1,
            (Table8[رقم الصنف]=A907) *
            (IF($B$9="الكل",1, YEAR('ادخال البيانات'!$N$3:$N$1164)=VALUE($B$9))) *
            (IF($B$10="الكل",1, MONTH('ادخال البيانات'!$N$3:$N$1164)=VALUE($B$10))) *
            (IF($B$11="الكل",1, INT((DAY('ادخال البيانات'!$N$3:$N$1164)-1)/7)+1 = VALUE($B$11))),
            'ادخال البيانات'!$I$3:$I$1164
         ),
         ""
      ),
      IF(_xlpm.result="", "", _xlpm.result)
   )
)</f>
        <v/>
      </c>
      <c r="J907" s="27" t="str" cm="1">
        <f t="array" ref="J907">IF(
   A907="",
   "",
   _xlfn.LET(
      _xlpm.result,
      IFERROR(
         _xlfn.XLOOKUP(
            1,
            (Table8[رقم الصنف]=A907) *
            (IF($B$9="الكل",1, YEAR('ادخال البيانات'!$N$3:$N$1164)=VALUE($B$9))) *
            (IF($B$10="الكل",1, MONTH('ادخال البيانات'!$N$3:$N$1164)=VALUE($B$10))) *
            (IF($B$11="الكل",1, INT((DAY('ادخال البيانات'!$N$3:$N$1164)-1)/7)+1 = VALUE($B$11))),
            'ادخال البيانات'!$J$3:$J$1164
         ),
         ""
      ),
      IF(_xlpm.result="", "", _xlpm.result)
   )
)</f>
        <v/>
      </c>
      <c r="K907" s="27" t="str" cm="1">
        <f t="array" ref="K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7" s="27" t="str" cm="1">
        <f t="array" ref="L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7" s="27" t="str" cm="1">
        <f t="array" ref="M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7" s="28" t="str" cm="1">
        <f t="array" ref="N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7" s="28" t="str" cm="1">
        <f t="array" ref="O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7" s="27" t="str" cm="1">
        <f t="array" ref="P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Table8[جهة العطل]
         ),
         ""
      ),
      IF(_xlpm.result="", "", _xlpm.result)
   )
)</f>
        <v/>
      </c>
      <c r="Q907" s="27" t="str" cm="1">
        <f t="array" ref="Q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Table8[المركز]
         ),
         ""
      ),
      IF(_xlpm.result="", "", _xlpm.result)
   )
)</f>
        <v/>
      </c>
      <c r="R907" s="27" t="str" cm="1">
        <f t="array" ref="R907">IF(
   A907="",
   "",
   _xlfn.LET(
      _xlpm.result,
      IFERROR(
         _xlfn.XLOOKUP(
            1,
            (Table8[رقم الصنف]=A907) *
            (IF($B$9="الكل",1, YEAR('ادخال البيانات'!$N$3:$N$1164) = VALUE($B$9))) *
            (IF($B$10="الكل",1, MONTH('ادخال البيانات'!$N$3:$N$1164) = VALUE($B$10))) *
            (IF($B$11="الكل",1, INT((DAY('ادخال البيانات'!$N$3:$N$1164) - 1) / 7) + 1 = VALUE($B$11))),
            Table8[ملاحظة]
         ),
         ""
      ),
      IF(_xlpm.result="", "", _xlpm.result)
   )
)</f>
        <v/>
      </c>
      <c r="S907" s="46" t="str">
        <f t="shared" ca="1" si="14"/>
        <v/>
      </c>
    </row>
    <row r="908" spans="1:19" ht="15.6" thickTop="1" thickBot="1" x14ac:dyDescent="0.35">
      <c r="A908" s="39"/>
      <c r="B908" s="27" t="str" cm="1">
        <f t="array" ref="B908">IF(
   OR(A908="", $B$9="", $B$10="", $B$11=""),
   "",
   _xlfn.LET(
      _xlpm.result,
      IFERROR(
         _xlfn.XLOOKUP(
            1,
            (Table8[رقم الصنف]=A908)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8" s="27" t="str" cm="1">
        <f t="array" ref="C908">IF(
   A908="",
   "",
   _xlfn.LET(
      _xlpm.result,
      IFERROR(
         _xlfn.XLOOKUP(
            1,
            (Table8[رقم الصنف]=A908) *
            (IF($B$9="الكل",1, YEAR('ادخال البيانات'!$N$3:$N$1164) = VALUE($B$9))) *
            (IF($B$10="الكل",1, MONTH('ادخال البيانات'!$N$3:$N$1164) = VALUE($B$10))) *
            (IF($B$11="الكل",1, INT((DAY('ادخال البيانات'!$N$3:$N$1164)-1)/7)+1 = VALUE($B$11))),
            'ادخال البيانات'!$C$3:$C$1164
         ),
         ""
      ),
      IF(_xlpm.result="", "", _xlpm.result)
   )
)</f>
        <v/>
      </c>
      <c r="D908" s="27" t="str" cm="1">
        <f t="array" ref="D908">IF(
   OR(A908="", $B$9="", $B$10="", $B$11=""),
   "",
   _xlfn.LET(
      _xlpm.result,
      IFERROR(
         _xlfn.XLOOKUP(
            1,
            (Table8[رقم الصنف]=A908) *
            (IF($B$9="الكل",1, YEAR('ادخال البيانات'!$N$3:$N$1164)=VALUE($B$9))) *
            (IF($B$10="الكل",1, MONTH('ادخال البيانات'!$N$3:$N$1164)=VALUE($B$10))) *
            (IF($B$11="الكل",1, INT((DAY('ادخال البيانات'!$N$3:$N$1164)-1)/7)+1 = VALUE($B$11))),
            'ادخال البيانات'!$D$3:$D$1164
         ),
         ""
      ),
      IF(_xlpm.result="", "", _xlpm.result)
   )
)</f>
        <v/>
      </c>
      <c r="E908" s="27" t="str" cm="1">
        <f t="array" ref="E908">IF(
   A908="",
   "",
   _xlfn.LET(
      _xlpm.result,
      IFERROR(
         _xlfn.XLOOKUP(
            1,
            (Table8[رقم الصنف]=A908) *
            (IF($B$9="الكل",1, YEAR('ادخال البيانات'!$N$3:$N$1164)=VALUE($B$9))) *
            (IF($B$10="الكل",1, MONTH('ادخال البيانات'!$N$3:$N$1164)=VALUE($B$10))) *
            (IF($B$11="الكل",1, INT((DAY('ادخال البيانات'!$N$3:$N$1164)-1)/7)+1 = VALUE($B$11))),
            'ادخال البيانات'!$E$3:$E$1164
         ),
         ""
      ),
      IF(_xlpm.result="", "", _xlpm.result)
   )
)</f>
        <v/>
      </c>
      <c r="F908" s="27" t="str" cm="1">
        <f t="array" ref="F908">IF(
   A908="",
   "",
   _xlfn.LET(
      _xlpm.result,
      IFERROR(
         _xlfn.XLOOKUP(
            1,
            (Table8[رقم الصنف]=A908) *
            (IF($B$9="الكل",1, YEAR('ادخال البيانات'!$N$3:$N$1164) = VALUE($B$9))) *
            (IF($B$10="الكل",1, MONTH('ادخال البيانات'!$N$3:$N$1164) = VALUE($B$10))) *
            (IF($B$11="الكل",1, INT((DAY('ادخال البيانات'!$N$3:$N$1164)-1)/7)+1 = VALUE($B$11))),
            'ادخال البيانات'!$F$3:$F$1164
         ),
         ""
      ),
      IF(_xlpm.result="", "", _xlpm.result)
   )
)</f>
        <v/>
      </c>
      <c r="G908" s="27" t="str" cm="1">
        <f t="array" ref="G908">IF(
   A908="",
   "",
   _xlfn.LET(
      _xlpm.result,
      IFERROR(
         _xlfn.XLOOKUP(
            1,
            (Table8[رقم الصنف]=A908) *
            (IF($B$9="الكل",1, YEAR('ادخال البيانات'!$N$3:$N$1164)=VALUE($B$9))) *
            (IF($B$10="الكل",1, MONTH('ادخال البيانات'!$N$3:$N$1164)=VALUE($B$10))) *
            (IF($B$11="الكل",1, INT((DAY('ادخال البيانات'!$N$3:$N$1164)-1)/7)+1 = VALUE($B$11))),
            'ادخال البيانات'!$G$3:$G$1164
         ),
         ""
      ),
      IF(_xlpm.result="", "", _xlpm.result)
   )
)</f>
        <v/>
      </c>
      <c r="H908" s="27" t="str" cm="1">
        <f t="array" ref="H908">IF(
   A908="",
   "",
   _xlfn.LET(
      _xlpm.result,
      IFERROR(
         _xlfn.XLOOKUP(
            1,
            (Table8[رقم الصنف]=A908) *
            (IF($B$9="الكل",1, YEAR('ادخال البيانات'!$N$3:$N$1164)=VALUE($B$9))) *
            (IF($B$10="الكل",1, MONTH('ادخال البيانات'!$N$3:$N$1164)=VALUE($B$10))) *
            (IF($B$11="الكل",1, INT((DAY('ادخال البيانات'!$N$3:$N$1164)-1)/7)+1 = VALUE($B$11))),
            'ادخال البيانات'!$H$3:$H$1164
         ),
         ""
      ),
      IF(_xlpm.result="", "", _xlpm.result)
   )
)</f>
        <v/>
      </c>
      <c r="I908" s="27" t="str" cm="1">
        <f t="array" ref="I908">IF(
   A908="",
   "",
   _xlfn.LET(
      _xlpm.result,
      IFERROR(
         _xlfn.XLOOKUP(
            1,
            (Table8[رقم الصنف]=A908) *
            (IF($B$9="الكل",1, YEAR('ادخال البيانات'!$N$3:$N$1164)=VALUE($B$9))) *
            (IF($B$10="الكل",1, MONTH('ادخال البيانات'!$N$3:$N$1164)=VALUE($B$10))) *
            (IF($B$11="الكل",1, INT((DAY('ادخال البيانات'!$N$3:$N$1164)-1)/7)+1 = VALUE($B$11))),
            'ادخال البيانات'!$I$3:$I$1164
         ),
         ""
      ),
      IF(_xlpm.result="", "", _xlpm.result)
   )
)</f>
        <v/>
      </c>
      <c r="J908" s="27" t="str" cm="1">
        <f t="array" ref="J908">IF(
   A908="",
   "",
   _xlfn.LET(
      _xlpm.result,
      IFERROR(
         _xlfn.XLOOKUP(
            1,
            (Table8[رقم الصنف]=A908) *
            (IF($B$9="الكل",1, YEAR('ادخال البيانات'!$N$3:$N$1164)=VALUE($B$9))) *
            (IF($B$10="الكل",1, MONTH('ادخال البيانات'!$N$3:$N$1164)=VALUE($B$10))) *
            (IF($B$11="الكل",1, INT((DAY('ادخال البيانات'!$N$3:$N$1164)-1)/7)+1 = VALUE($B$11))),
            'ادخال البيانات'!$J$3:$J$1164
         ),
         ""
      ),
      IF(_xlpm.result="", "", _xlpm.result)
   )
)</f>
        <v/>
      </c>
      <c r="K908" s="27" t="str" cm="1">
        <f t="array" ref="K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8" s="27" t="str" cm="1">
        <f t="array" ref="L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8" s="27" t="str" cm="1">
        <f t="array" ref="M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8" s="28" t="str" cm="1">
        <f t="array" ref="N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8" s="28" t="str" cm="1">
        <f t="array" ref="O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8" s="27" t="str" cm="1">
        <f t="array" ref="P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Table8[جهة العطل]
         ),
         ""
      ),
      IF(_xlpm.result="", "", _xlpm.result)
   )
)</f>
        <v/>
      </c>
      <c r="Q908" s="27" t="str" cm="1">
        <f t="array" ref="Q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Table8[المركز]
         ),
         ""
      ),
      IF(_xlpm.result="", "", _xlpm.result)
   )
)</f>
        <v/>
      </c>
      <c r="R908" s="27" t="str" cm="1">
        <f t="array" ref="R908">IF(
   A908="",
   "",
   _xlfn.LET(
      _xlpm.result,
      IFERROR(
         _xlfn.XLOOKUP(
            1,
            (Table8[رقم الصنف]=A908) *
            (IF($B$9="الكل",1, YEAR('ادخال البيانات'!$N$3:$N$1164) = VALUE($B$9))) *
            (IF($B$10="الكل",1, MONTH('ادخال البيانات'!$N$3:$N$1164) = VALUE($B$10))) *
            (IF($B$11="الكل",1, INT((DAY('ادخال البيانات'!$N$3:$N$1164) - 1) / 7) + 1 = VALUE($B$11))),
            Table8[ملاحظة]
         ),
         ""
      ),
      IF(_xlpm.result="", "", _xlpm.result)
   )
)</f>
        <v/>
      </c>
      <c r="S908" s="46" t="str">
        <f t="shared" ref="S908:S971" ca="1" si="15">IF(
   L908="تم الاصلاح",
   "تم الاصلاح",
   IF(N908="","", TODAY()-N908)
)</f>
        <v/>
      </c>
    </row>
    <row r="909" spans="1:19" ht="15.6" thickTop="1" thickBot="1" x14ac:dyDescent="0.35">
      <c r="A909" s="39"/>
      <c r="B909" s="27" t="str" cm="1">
        <f t="array" ref="B909">IF(
   OR(A909="", $B$9="", $B$10="", $B$11=""),
   "",
   _xlfn.LET(
      _xlpm.result,
      IFERROR(
         _xlfn.XLOOKUP(
            1,
            (Table8[رقم الصنف]=A909)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09" s="27" t="str" cm="1">
        <f t="array" ref="C909">IF(
   A909="",
   "",
   _xlfn.LET(
      _xlpm.result,
      IFERROR(
         _xlfn.XLOOKUP(
            1,
            (Table8[رقم الصنف]=A909) *
            (IF($B$9="الكل",1, YEAR('ادخال البيانات'!$N$3:$N$1164) = VALUE($B$9))) *
            (IF($B$10="الكل",1, MONTH('ادخال البيانات'!$N$3:$N$1164) = VALUE($B$10))) *
            (IF($B$11="الكل",1, INT((DAY('ادخال البيانات'!$N$3:$N$1164)-1)/7)+1 = VALUE($B$11))),
            'ادخال البيانات'!$C$3:$C$1164
         ),
         ""
      ),
      IF(_xlpm.result="", "", _xlpm.result)
   )
)</f>
        <v/>
      </c>
      <c r="D909" s="27" t="str" cm="1">
        <f t="array" ref="D909">IF(
   OR(A909="", $B$9="", $B$10="", $B$11=""),
   "",
   _xlfn.LET(
      _xlpm.result,
      IFERROR(
         _xlfn.XLOOKUP(
            1,
            (Table8[رقم الصنف]=A909) *
            (IF($B$9="الكل",1, YEAR('ادخال البيانات'!$N$3:$N$1164)=VALUE($B$9))) *
            (IF($B$10="الكل",1, MONTH('ادخال البيانات'!$N$3:$N$1164)=VALUE($B$10))) *
            (IF($B$11="الكل",1, INT((DAY('ادخال البيانات'!$N$3:$N$1164)-1)/7)+1 = VALUE($B$11))),
            'ادخال البيانات'!$D$3:$D$1164
         ),
         ""
      ),
      IF(_xlpm.result="", "", _xlpm.result)
   )
)</f>
        <v/>
      </c>
      <c r="E909" s="27" t="str" cm="1">
        <f t="array" ref="E909">IF(
   A909="",
   "",
   _xlfn.LET(
      _xlpm.result,
      IFERROR(
         _xlfn.XLOOKUP(
            1,
            (Table8[رقم الصنف]=A909) *
            (IF($B$9="الكل",1, YEAR('ادخال البيانات'!$N$3:$N$1164)=VALUE($B$9))) *
            (IF($B$10="الكل",1, MONTH('ادخال البيانات'!$N$3:$N$1164)=VALUE($B$10))) *
            (IF($B$11="الكل",1, INT((DAY('ادخال البيانات'!$N$3:$N$1164)-1)/7)+1 = VALUE($B$11))),
            'ادخال البيانات'!$E$3:$E$1164
         ),
         ""
      ),
      IF(_xlpm.result="", "", _xlpm.result)
   )
)</f>
        <v/>
      </c>
      <c r="F909" s="27" t="str" cm="1">
        <f t="array" ref="F909">IF(
   A909="",
   "",
   _xlfn.LET(
      _xlpm.result,
      IFERROR(
         _xlfn.XLOOKUP(
            1,
            (Table8[رقم الصنف]=A909) *
            (IF($B$9="الكل",1, YEAR('ادخال البيانات'!$N$3:$N$1164) = VALUE($B$9))) *
            (IF($B$10="الكل",1, MONTH('ادخال البيانات'!$N$3:$N$1164) = VALUE($B$10))) *
            (IF($B$11="الكل",1, INT((DAY('ادخال البيانات'!$N$3:$N$1164)-1)/7)+1 = VALUE($B$11))),
            'ادخال البيانات'!$F$3:$F$1164
         ),
         ""
      ),
      IF(_xlpm.result="", "", _xlpm.result)
   )
)</f>
        <v/>
      </c>
      <c r="G909" s="27" t="str" cm="1">
        <f t="array" ref="G909">IF(
   A909="",
   "",
   _xlfn.LET(
      _xlpm.result,
      IFERROR(
         _xlfn.XLOOKUP(
            1,
            (Table8[رقم الصنف]=A909) *
            (IF($B$9="الكل",1, YEAR('ادخال البيانات'!$N$3:$N$1164)=VALUE($B$9))) *
            (IF($B$10="الكل",1, MONTH('ادخال البيانات'!$N$3:$N$1164)=VALUE($B$10))) *
            (IF($B$11="الكل",1, INT((DAY('ادخال البيانات'!$N$3:$N$1164)-1)/7)+1 = VALUE($B$11))),
            'ادخال البيانات'!$G$3:$G$1164
         ),
         ""
      ),
      IF(_xlpm.result="", "", _xlpm.result)
   )
)</f>
        <v/>
      </c>
      <c r="H909" s="27" t="str" cm="1">
        <f t="array" ref="H909">IF(
   A909="",
   "",
   _xlfn.LET(
      _xlpm.result,
      IFERROR(
         _xlfn.XLOOKUP(
            1,
            (Table8[رقم الصنف]=A909) *
            (IF($B$9="الكل",1, YEAR('ادخال البيانات'!$N$3:$N$1164)=VALUE($B$9))) *
            (IF($B$10="الكل",1, MONTH('ادخال البيانات'!$N$3:$N$1164)=VALUE($B$10))) *
            (IF($B$11="الكل",1, INT((DAY('ادخال البيانات'!$N$3:$N$1164)-1)/7)+1 = VALUE($B$11))),
            'ادخال البيانات'!$H$3:$H$1164
         ),
         ""
      ),
      IF(_xlpm.result="", "", _xlpm.result)
   )
)</f>
        <v/>
      </c>
      <c r="I909" s="27" t="str" cm="1">
        <f t="array" ref="I909">IF(
   A909="",
   "",
   _xlfn.LET(
      _xlpm.result,
      IFERROR(
         _xlfn.XLOOKUP(
            1,
            (Table8[رقم الصنف]=A909) *
            (IF($B$9="الكل",1, YEAR('ادخال البيانات'!$N$3:$N$1164)=VALUE($B$9))) *
            (IF($B$10="الكل",1, MONTH('ادخال البيانات'!$N$3:$N$1164)=VALUE($B$10))) *
            (IF($B$11="الكل",1, INT((DAY('ادخال البيانات'!$N$3:$N$1164)-1)/7)+1 = VALUE($B$11))),
            'ادخال البيانات'!$I$3:$I$1164
         ),
         ""
      ),
      IF(_xlpm.result="", "", _xlpm.result)
   )
)</f>
        <v/>
      </c>
      <c r="J909" s="27" t="str" cm="1">
        <f t="array" ref="J909">IF(
   A909="",
   "",
   _xlfn.LET(
      _xlpm.result,
      IFERROR(
         _xlfn.XLOOKUP(
            1,
            (Table8[رقم الصنف]=A909) *
            (IF($B$9="الكل",1, YEAR('ادخال البيانات'!$N$3:$N$1164)=VALUE($B$9))) *
            (IF($B$10="الكل",1, MONTH('ادخال البيانات'!$N$3:$N$1164)=VALUE($B$10))) *
            (IF($B$11="الكل",1, INT((DAY('ادخال البيانات'!$N$3:$N$1164)-1)/7)+1 = VALUE($B$11))),
            'ادخال البيانات'!$J$3:$J$1164
         ),
         ""
      ),
      IF(_xlpm.result="", "", _xlpm.result)
   )
)</f>
        <v/>
      </c>
      <c r="K909" s="27" t="str" cm="1">
        <f t="array" ref="K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09" s="27" t="str" cm="1">
        <f t="array" ref="L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09" s="27" t="str" cm="1">
        <f t="array" ref="M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09" s="28" t="str" cm="1">
        <f t="array" ref="N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09" s="28" t="str" cm="1">
        <f t="array" ref="O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09" s="27" t="str" cm="1">
        <f t="array" ref="P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Table8[جهة العطل]
         ),
         ""
      ),
      IF(_xlpm.result="", "", _xlpm.result)
   )
)</f>
        <v/>
      </c>
      <c r="Q909" s="27" t="str" cm="1">
        <f t="array" ref="Q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Table8[المركز]
         ),
         ""
      ),
      IF(_xlpm.result="", "", _xlpm.result)
   )
)</f>
        <v/>
      </c>
      <c r="R909" s="27" t="str" cm="1">
        <f t="array" ref="R909">IF(
   A909="",
   "",
   _xlfn.LET(
      _xlpm.result,
      IFERROR(
         _xlfn.XLOOKUP(
            1,
            (Table8[رقم الصنف]=A909) *
            (IF($B$9="الكل",1, YEAR('ادخال البيانات'!$N$3:$N$1164) = VALUE($B$9))) *
            (IF($B$10="الكل",1, MONTH('ادخال البيانات'!$N$3:$N$1164) = VALUE($B$10))) *
            (IF($B$11="الكل",1, INT((DAY('ادخال البيانات'!$N$3:$N$1164) - 1) / 7) + 1 = VALUE($B$11))),
            Table8[ملاحظة]
         ),
         ""
      ),
      IF(_xlpm.result="", "", _xlpm.result)
   )
)</f>
        <v/>
      </c>
      <c r="S909" s="46" t="str">
        <f t="shared" ca="1" si="15"/>
        <v/>
      </c>
    </row>
    <row r="910" spans="1:19" ht="15.6" thickTop="1" thickBot="1" x14ac:dyDescent="0.35">
      <c r="A910" s="39"/>
      <c r="B910" s="27" t="str" cm="1">
        <f t="array" ref="B910">IF(
   OR(A910="", $B$9="", $B$10="", $B$11=""),
   "",
   _xlfn.LET(
      _xlpm.result,
      IFERROR(
         _xlfn.XLOOKUP(
            1,
            (Table8[رقم الصنف]=A910)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0" s="27" t="str" cm="1">
        <f t="array" ref="C910">IF(
   A910="",
   "",
   _xlfn.LET(
      _xlpm.result,
      IFERROR(
         _xlfn.XLOOKUP(
            1,
            (Table8[رقم الصنف]=A910) *
            (IF($B$9="الكل",1, YEAR('ادخال البيانات'!$N$3:$N$1164) = VALUE($B$9))) *
            (IF($B$10="الكل",1, MONTH('ادخال البيانات'!$N$3:$N$1164) = VALUE($B$10))) *
            (IF($B$11="الكل",1, INT((DAY('ادخال البيانات'!$N$3:$N$1164)-1)/7)+1 = VALUE($B$11))),
            'ادخال البيانات'!$C$3:$C$1164
         ),
         ""
      ),
      IF(_xlpm.result="", "", _xlpm.result)
   )
)</f>
        <v/>
      </c>
      <c r="D910" s="27" t="str" cm="1">
        <f t="array" ref="D910">IF(
   OR(A910="", $B$9="", $B$10="", $B$11=""),
   "",
   _xlfn.LET(
      _xlpm.result,
      IFERROR(
         _xlfn.XLOOKUP(
            1,
            (Table8[رقم الصنف]=A910) *
            (IF($B$9="الكل",1, YEAR('ادخال البيانات'!$N$3:$N$1164)=VALUE($B$9))) *
            (IF($B$10="الكل",1, MONTH('ادخال البيانات'!$N$3:$N$1164)=VALUE($B$10))) *
            (IF($B$11="الكل",1, INT((DAY('ادخال البيانات'!$N$3:$N$1164)-1)/7)+1 = VALUE($B$11))),
            'ادخال البيانات'!$D$3:$D$1164
         ),
         ""
      ),
      IF(_xlpm.result="", "", _xlpm.result)
   )
)</f>
        <v/>
      </c>
      <c r="E910" s="27" t="str" cm="1">
        <f t="array" ref="E910">IF(
   A910="",
   "",
   _xlfn.LET(
      _xlpm.result,
      IFERROR(
         _xlfn.XLOOKUP(
            1,
            (Table8[رقم الصنف]=A910) *
            (IF($B$9="الكل",1, YEAR('ادخال البيانات'!$N$3:$N$1164)=VALUE($B$9))) *
            (IF($B$10="الكل",1, MONTH('ادخال البيانات'!$N$3:$N$1164)=VALUE($B$10))) *
            (IF($B$11="الكل",1, INT((DAY('ادخال البيانات'!$N$3:$N$1164)-1)/7)+1 = VALUE($B$11))),
            'ادخال البيانات'!$E$3:$E$1164
         ),
         ""
      ),
      IF(_xlpm.result="", "", _xlpm.result)
   )
)</f>
        <v/>
      </c>
      <c r="F910" s="27" t="str" cm="1">
        <f t="array" ref="F910">IF(
   A910="",
   "",
   _xlfn.LET(
      _xlpm.result,
      IFERROR(
         _xlfn.XLOOKUP(
            1,
            (Table8[رقم الصنف]=A910) *
            (IF($B$9="الكل",1, YEAR('ادخال البيانات'!$N$3:$N$1164) = VALUE($B$9))) *
            (IF($B$10="الكل",1, MONTH('ادخال البيانات'!$N$3:$N$1164) = VALUE($B$10))) *
            (IF($B$11="الكل",1, INT((DAY('ادخال البيانات'!$N$3:$N$1164)-1)/7)+1 = VALUE($B$11))),
            'ادخال البيانات'!$F$3:$F$1164
         ),
         ""
      ),
      IF(_xlpm.result="", "", _xlpm.result)
   )
)</f>
        <v/>
      </c>
      <c r="G910" s="27" t="str" cm="1">
        <f t="array" ref="G910">IF(
   A910="",
   "",
   _xlfn.LET(
      _xlpm.result,
      IFERROR(
         _xlfn.XLOOKUP(
            1,
            (Table8[رقم الصنف]=A910) *
            (IF($B$9="الكل",1, YEAR('ادخال البيانات'!$N$3:$N$1164)=VALUE($B$9))) *
            (IF($B$10="الكل",1, MONTH('ادخال البيانات'!$N$3:$N$1164)=VALUE($B$10))) *
            (IF($B$11="الكل",1, INT((DAY('ادخال البيانات'!$N$3:$N$1164)-1)/7)+1 = VALUE($B$11))),
            'ادخال البيانات'!$G$3:$G$1164
         ),
         ""
      ),
      IF(_xlpm.result="", "", _xlpm.result)
   )
)</f>
        <v/>
      </c>
      <c r="H910" s="27" t="str" cm="1">
        <f t="array" ref="H910">IF(
   A910="",
   "",
   _xlfn.LET(
      _xlpm.result,
      IFERROR(
         _xlfn.XLOOKUP(
            1,
            (Table8[رقم الصنف]=A910) *
            (IF($B$9="الكل",1, YEAR('ادخال البيانات'!$N$3:$N$1164)=VALUE($B$9))) *
            (IF($B$10="الكل",1, MONTH('ادخال البيانات'!$N$3:$N$1164)=VALUE($B$10))) *
            (IF($B$11="الكل",1, INT((DAY('ادخال البيانات'!$N$3:$N$1164)-1)/7)+1 = VALUE($B$11))),
            'ادخال البيانات'!$H$3:$H$1164
         ),
         ""
      ),
      IF(_xlpm.result="", "", _xlpm.result)
   )
)</f>
        <v/>
      </c>
      <c r="I910" s="27" t="str" cm="1">
        <f t="array" ref="I910">IF(
   A910="",
   "",
   _xlfn.LET(
      _xlpm.result,
      IFERROR(
         _xlfn.XLOOKUP(
            1,
            (Table8[رقم الصنف]=A910) *
            (IF($B$9="الكل",1, YEAR('ادخال البيانات'!$N$3:$N$1164)=VALUE($B$9))) *
            (IF($B$10="الكل",1, MONTH('ادخال البيانات'!$N$3:$N$1164)=VALUE($B$10))) *
            (IF($B$11="الكل",1, INT((DAY('ادخال البيانات'!$N$3:$N$1164)-1)/7)+1 = VALUE($B$11))),
            'ادخال البيانات'!$I$3:$I$1164
         ),
         ""
      ),
      IF(_xlpm.result="", "", _xlpm.result)
   )
)</f>
        <v/>
      </c>
      <c r="J910" s="27" t="str" cm="1">
        <f t="array" ref="J910">IF(
   A910="",
   "",
   _xlfn.LET(
      _xlpm.result,
      IFERROR(
         _xlfn.XLOOKUP(
            1,
            (Table8[رقم الصنف]=A910) *
            (IF($B$9="الكل",1, YEAR('ادخال البيانات'!$N$3:$N$1164)=VALUE($B$9))) *
            (IF($B$10="الكل",1, MONTH('ادخال البيانات'!$N$3:$N$1164)=VALUE($B$10))) *
            (IF($B$11="الكل",1, INT((DAY('ادخال البيانات'!$N$3:$N$1164)-1)/7)+1 = VALUE($B$11))),
            'ادخال البيانات'!$J$3:$J$1164
         ),
         ""
      ),
      IF(_xlpm.result="", "", _xlpm.result)
   )
)</f>
        <v/>
      </c>
      <c r="K910" s="27" t="str" cm="1">
        <f t="array" ref="K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0" s="27" t="str" cm="1">
        <f t="array" ref="L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0" s="27" t="str" cm="1">
        <f t="array" ref="M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0" s="28" t="str" cm="1">
        <f t="array" ref="N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0" s="28" t="str" cm="1">
        <f t="array" ref="O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0" s="27" t="str" cm="1">
        <f t="array" ref="P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Table8[جهة العطل]
         ),
         ""
      ),
      IF(_xlpm.result="", "", _xlpm.result)
   )
)</f>
        <v/>
      </c>
      <c r="Q910" s="27" t="str" cm="1">
        <f t="array" ref="Q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Table8[المركز]
         ),
         ""
      ),
      IF(_xlpm.result="", "", _xlpm.result)
   )
)</f>
        <v/>
      </c>
      <c r="R910" s="27" t="str" cm="1">
        <f t="array" ref="R910">IF(
   A910="",
   "",
   _xlfn.LET(
      _xlpm.result,
      IFERROR(
         _xlfn.XLOOKUP(
            1,
            (Table8[رقم الصنف]=A910) *
            (IF($B$9="الكل",1, YEAR('ادخال البيانات'!$N$3:$N$1164) = VALUE($B$9))) *
            (IF($B$10="الكل",1, MONTH('ادخال البيانات'!$N$3:$N$1164) = VALUE($B$10))) *
            (IF($B$11="الكل",1, INT((DAY('ادخال البيانات'!$N$3:$N$1164) - 1) / 7) + 1 = VALUE($B$11))),
            Table8[ملاحظة]
         ),
         ""
      ),
      IF(_xlpm.result="", "", _xlpm.result)
   )
)</f>
        <v/>
      </c>
      <c r="S910" s="46" t="str">
        <f t="shared" ca="1" si="15"/>
        <v/>
      </c>
    </row>
    <row r="911" spans="1:19" ht="15.6" thickTop="1" thickBot="1" x14ac:dyDescent="0.35">
      <c r="A911" s="39"/>
      <c r="B911" s="27" t="str" cm="1">
        <f t="array" ref="B911">IF(
   OR(A911="", $B$9="", $B$10="", $B$11=""),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1" s="27" t="str" cm="1">
        <f t="array" ref="C911">IF(
   A911="",
   "",
   _xlfn.LET(
      _xlpm.result,
      IFERROR(
         _xlfn.XLOOKUP(
            1,
            (Table8[رقم الصنف]=A911) *
            (IF($B$9="الكل",1, YEAR('ادخال البيانات'!$N$3:$N$1164) = VALUE($B$9))) *
            (IF($B$10="الكل",1, MONTH('ادخال البيانات'!$N$3:$N$1164) = VALUE($B$10))) *
            (IF($B$11="الكل",1, INT((DAY('ادخال البيانات'!$N$3:$N$1164)-1)/7)+1 = VALUE($B$11))),
            'ادخال البيانات'!$C$3:$C$1164
         ),
         ""
      ),
      IF(_xlpm.result="", "", _xlpm.result)
   )
)</f>
        <v/>
      </c>
      <c r="D911" s="27" t="str" cm="1">
        <f t="array" ref="D911">IF(
   OR(A911="", $B$9="", $B$10="", $B$11=""),
   "",
   _xlfn.LET(
      _xlpm.result,
      IFERROR(
         _xlfn.XLOOKUP(
            1,
            (Table8[رقم الصنف]=A911) *
            (IF($B$9="الكل",1, YEAR('ادخال البيانات'!$N$3:$N$1164)=VALUE($B$9))) *
            (IF($B$10="الكل",1, MONTH('ادخال البيانات'!$N$3:$N$1164)=VALUE($B$10))) *
            (IF($B$11="الكل",1, INT((DAY('ادخال البيانات'!$N$3:$N$1164)-1)/7)+1 = VALUE($B$11))),
            'ادخال البيانات'!$D$3:$D$1164
         ),
         ""
      ),
      IF(_xlpm.result="", "", _xlpm.result)
   )
)</f>
        <v/>
      </c>
      <c r="E911" s="27" t="str" cm="1">
        <f t="array" ref="E911">IF(
   A911="",
   "",
   _xlfn.LET(
      _xlpm.result,
      IFERROR(
         _xlfn.XLOOKUP(
            1,
            (Table8[رقم الصنف]=A911) *
            (IF($B$9="الكل",1, YEAR('ادخال البيانات'!$N$3:$N$1164)=VALUE($B$9))) *
            (IF($B$10="الكل",1, MONTH('ادخال البيانات'!$N$3:$N$1164)=VALUE($B$10))) *
            (IF($B$11="الكل",1, INT((DAY('ادخال البيانات'!$N$3:$N$1164)-1)/7)+1 = VALUE($B$11))),
            'ادخال البيانات'!$E$3:$E$1164
         ),
         ""
      ),
      IF(_xlpm.result="", "", _xlpm.result)
   )
)</f>
        <v/>
      </c>
      <c r="F911" s="27" t="str" cm="1">
        <f t="array" ref="F911">IF(
   A911="",
   "",
   _xlfn.LET(
      _xlpm.result,
      IFERROR(
         _xlfn.XLOOKUP(
            1,
            (Table8[رقم الصنف]=A911) *
            (IF($B$9="الكل",1, YEAR('ادخال البيانات'!$N$3:$N$1164) = VALUE($B$9))) *
            (IF($B$10="الكل",1, MONTH('ادخال البيانات'!$N$3:$N$1164) = VALUE($B$10))) *
            (IF($B$11="الكل",1, INT((DAY('ادخال البيانات'!$N$3:$N$1164)-1)/7)+1 = VALUE($B$11))),
            'ادخال البيانات'!$F$3:$F$1164
         ),
         ""
      ),
      IF(_xlpm.result="", "", _xlpm.result)
   )
)</f>
        <v/>
      </c>
      <c r="G911" s="27" t="str" cm="1">
        <f t="array" ref="G911">IF(
   A911="",
   "",
   _xlfn.LET(
      _xlpm.result,
      IFERROR(
         _xlfn.XLOOKUP(
            1,
            (Table8[رقم الصنف]=A911) *
            (IF($B$9="الكل",1, YEAR('ادخال البيانات'!$N$3:$N$1164)=VALUE($B$9))) *
            (IF($B$10="الكل",1, MONTH('ادخال البيانات'!$N$3:$N$1164)=VALUE($B$10))) *
            (IF($B$11="الكل",1, INT((DAY('ادخال البيانات'!$N$3:$N$1164)-1)/7)+1 = VALUE($B$11))),
            'ادخال البيانات'!$G$3:$G$1164
         ),
         ""
      ),
      IF(_xlpm.result="", "", _xlpm.result)
   )
)</f>
        <v/>
      </c>
      <c r="H911" s="27" t="str" cm="1">
        <f t="array" ref="H911">IF(
   A911="",
   "",
   _xlfn.LET(
      _xlpm.result,
      IFERROR(
         _xlfn.XLOOKUP(
            1,
            (Table8[رقم الصنف]=A911) *
            (IF($B$9="الكل",1, YEAR('ادخال البيانات'!$N$3:$N$1164)=VALUE($B$9))) *
            (IF($B$10="الكل",1, MONTH('ادخال البيانات'!$N$3:$N$1164)=VALUE($B$10))) *
            (IF($B$11="الكل",1, INT((DAY('ادخال البيانات'!$N$3:$N$1164)-1)/7)+1 = VALUE($B$11))),
            'ادخال البيانات'!$H$3:$H$1164
         ),
         ""
      ),
      IF(_xlpm.result="", "", _xlpm.result)
   )
)</f>
        <v/>
      </c>
      <c r="I911" s="27" t="str" cm="1">
        <f t="array" ref="I911">IF(
   A911="",
   "",
   _xlfn.LET(
      _xlpm.result,
      IFERROR(
         _xlfn.XLOOKUP(
            1,
            (Table8[رقم الصنف]=A911) *
            (IF($B$9="الكل",1, YEAR('ادخال البيانات'!$N$3:$N$1164)=VALUE($B$9))) *
            (IF($B$10="الكل",1, MONTH('ادخال البيانات'!$N$3:$N$1164)=VALUE($B$10))) *
            (IF($B$11="الكل",1, INT((DAY('ادخال البيانات'!$N$3:$N$1164)-1)/7)+1 = VALUE($B$11))),
            'ادخال البيانات'!$I$3:$I$1164
         ),
         ""
      ),
      IF(_xlpm.result="", "", _xlpm.result)
   )
)</f>
        <v/>
      </c>
      <c r="J911" s="27" t="str" cm="1">
        <f t="array" ref="J911">IF(
   A911="",
   "",
   _xlfn.LET(
      _xlpm.result,
      IFERROR(
         _xlfn.XLOOKUP(
            1,
            (Table8[رقم الصنف]=A911) *
            (IF($B$9="الكل",1, YEAR('ادخال البيانات'!$N$3:$N$1164)=VALUE($B$9))) *
            (IF($B$10="الكل",1, MONTH('ادخال البيانات'!$N$3:$N$1164)=VALUE($B$10))) *
            (IF($B$11="الكل",1, INT((DAY('ادخال البيانات'!$N$3:$N$1164)-1)/7)+1 = VALUE($B$11))),
            'ادخال البيانات'!$J$3:$J$1164
         ),
         ""
      ),
      IF(_xlpm.result="", "", _xlpm.result)
   )
)</f>
        <v/>
      </c>
      <c r="K911" s="27" t="str" cm="1">
        <f t="array" ref="K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1" s="27" t="str" cm="1">
        <f t="array" ref="L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1" s="27" t="str" cm="1">
        <f t="array" ref="M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1" s="28" t="str" cm="1">
        <f t="array" ref="N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1" s="28" t="str" cm="1">
        <f t="array" ref="O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1" s="27" t="str" cm="1">
        <f t="array" ref="P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Table8[جهة العطل]
         ),
         ""
      ),
      IF(_xlpm.result="", "", _xlpm.result)
   )
)</f>
        <v/>
      </c>
      <c r="Q911" s="27" t="str" cm="1">
        <f t="array" ref="Q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Table8[المركز]
         ),
         ""
      ),
      IF(_xlpm.result="", "", _xlpm.result)
   )
)</f>
        <v/>
      </c>
      <c r="R911" s="27" t="str" cm="1">
        <f t="array" ref="R911">IF(
   A911="",
   "",
   _xlfn.LET(
      _xlpm.result,
      IFERROR(
         _xlfn.XLOOKUP(
            1,
            (Table8[رقم الصنف]=A911) *
            (IF($B$9="الكل",1, YEAR('ادخال البيانات'!$N$3:$N$1164) = VALUE($B$9))) *
            (IF($B$10="الكل",1, MONTH('ادخال البيانات'!$N$3:$N$1164) = VALUE($B$10))) *
            (IF($B$11="الكل",1, INT((DAY('ادخال البيانات'!$N$3:$N$1164) - 1) / 7) + 1 = VALUE($B$11))),
            Table8[ملاحظة]
         ),
         ""
      ),
      IF(_xlpm.result="", "", _xlpm.result)
   )
)</f>
        <v/>
      </c>
      <c r="S911" s="46" t="str">
        <f t="shared" ca="1" si="15"/>
        <v/>
      </c>
    </row>
    <row r="912" spans="1:19" ht="15.6" thickTop="1" thickBot="1" x14ac:dyDescent="0.35">
      <c r="A912" s="39"/>
      <c r="B912" s="27" t="str" cm="1">
        <f t="array" ref="B912">IF(
   OR(A912="", $B$9="", $B$10="", $B$11=""),
   "",
   _xlfn.LET(
      _xlpm.result,
      IFERROR(
         _xlfn.XLOOKUP(
            1,
            (Table8[رقم الصنف]=A912)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2" s="27" t="str" cm="1">
        <f t="array" ref="C912">IF(
   A912="",
   "",
   _xlfn.LET(
      _xlpm.result,
      IFERROR(
         _xlfn.XLOOKUP(
            1,
            (Table8[رقم الصنف]=A912) *
            (IF($B$9="الكل",1, YEAR('ادخال البيانات'!$N$3:$N$1164) = VALUE($B$9))) *
            (IF($B$10="الكل",1, MONTH('ادخال البيانات'!$N$3:$N$1164) = VALUE($B$10))) *
            (IF($B$11="الكل",1, INT((DAY('ادخال البيانات'!$N$3:$N$1164)-1)/7)+1 = VALUE($B$11))),
            'ادخال البيانات'!$C$3:$C$1164
         ),
         ""
      ),
      IF(_xlpm.result="", "", _xlpm.result)
   )
)</f>
        <v/>
      </c>
      <c r="D912" s="27" t="str" cm="1">
        <f t="array" ref="D912">IF(
   OR(A912="", $B$9="", $B$10="", $B$11=""),
   "",
   _xlfn.LET(
      _xlpm.result,
      IFERROR(
         _xlfn.XLOOKUP(
            1,
            (Table8[رقم الصنف]=A912) *
            (IF($B$9="الكل",1, YEAR('ادخال البيانات'!$N$3:$N$1164)=VALUE($B$9))) *
            (IF($B$10="الكل",1, MONTH('ادخال البيانات'!$N$3:$N$1164)=VALUE($B$10))) *
            (IF($B$11="الكل",1, INT((DAY('ادخال البيانات'!$N$3:$N$1164)-1)/7)+1 = VALUE($B$11))),
            'ادخال البيانات'!$D$3:$D$1164
         ),
         ""
      ),
      IF(_xlpm.result="", "", _xlpm.result)
   )
)</f>
        <v/>
      </c>
      <c r="E912" s="27" t="str" cm="1">
        <f t="array" ref="E912">IF(
   A912="",
   "",
   _xlfn.LET(
      _xlpm.result,
      IFERROR(
         _xlfn.XLOOKUP(
            1,
            (Table8[رقم الصنف]=A912) *
            (IF($B$9="الكل",1, YEAR('ادخال البيانات'!$N$3:$N$1164)=VALUE($B$9))) *
            (IF($B$10="الكل",1, MONTH('ادخال البيانات'!$N$3:$N$1164)=VALUE($B$10))) *
            (IF($B$11="الكل",1, INT((DAY('ادخال البيانات'!$N$3:$N$1164)-1)/7)+1 = VALUE($B$11))),
            'ادخال البيانات'!$E$3:$E$1164
         ),
         ""
      ),
      IF(_xlpm.result="", "", _xlpm.result)
   )
)</f>
        <v/>
      </c>
      <c r="F912" s="27" t="str" cm="1">
        <f t="array" ref="F912">IF(
   A912="",
   "",
   _xlfn.LET(
      _xlpm.result,
      IFERROR(
         _xlfn.XLOOKUP(
            1,
            (Table8[رقم الصنف]=A912) *
            (IF($B$9="الكل",1, YEAR('ادخال البيانات'!$N$3:$N$1164) = VALUE($B$9))) *
            (IF($B$10="الكل",1, MONTH('ادخال البيانات'!$N$3:$N$1164) = VALUE($B$10))) *
            (IF($B$11="الكل",1, INT((DAY('ادخال البيانات'!$N$3:$N$1164)-1)/7)+1 = VALUE($B$11))),
            'ادخال البيانات'!$F$3:$F$1164
         ),
         ""
      ),
      IF(_xlpm.result="", "", _xlpm.result)
   )
)</f>
        <v/>
      </c>
      <c r="G912" s="27" t="str" cm="1">
        <f t="array" ref="G912">IF(
   A912="",
   "",
   _xlfn.LET(
      _xlpm.result,
      IFERROR(
         _xlfn.XLOOKUP(
            1,
            (Table8[رقم الصنف]=A912) *
            (IF($B$9="الكل",1, YEAR('ادخال البيانات'!$N$3:$N$1164)=VALUE($B$9))) *
            (IF($B$10="الكل",1, MONTH('ادخال البيانات'!$N$3:$N$1164)=VALUE($B$10))) *
            (IF($B$11="الكل",1, INT((DAY('ادخال البيانات'!$N$3:$N$1164)-1)/7)+1 = VALUE($B$11))),
            'ادخال البيانات'!$G$3:$G$1164
         ),
         ""
      ),
      IF(_xlpm.result="", "", _xlpm.result)
   )
)</f>
        <v/>
      </c>
      <c r="H912" s="27" t="str" cm="1">
        <f t="array" ref="H912">IF(
   A912="",
   "",
   _xlfn.LET(
      _xlpm.result,
      IFERROR(
         _xlfn.XLOOKUP(
            1,
            (Table8[رقم الصنف]=A912) *
            (IF($B$9="الكل",1, YEAR('ادخال البيانات'!$N$3:$N$1164)=VALUE($B$9))) *
            (IF($B$10="الكل",1, MONTH('ادخال البيانات'!$N$3:$N$1164)=VALUE($B$10))) *
            (IF($B$11="الكل",1, INT((DAY('ادخال البيانات'!$N$3:$N$1164)-1)/7)+1 = VALUE($B$11))),
            'ادخال البيانات'!$H$3:$H$1164
         ),
         ""
      ),
      IF(_xlpm.result="", "", _xlpm.result)
   )
)</f>
        <v/>
      </c>
      <c r="I912" s="27" t="str" cm="1">
        <f t="array" ref="I912">IF(
   A912="",
   "",
   _xlfn.LET(
      _xlpm.result,
      IFERROR(
         _xlfn.XLOOKUP(
            1,
            (Table8[رقم الصنف]=A912) *
            (IF($B$9="الكل",1, YEAR('ادخال البيانات'!$N$3:$N$1164)=VALUE($B$9))) *
            (IF($B$10="الكل",1, MONTH('ادخال البيانات'!$N$3:$N$1164)=VALUE($B$10))) *
            (IF($B$11="الكل",1, INT((DAY('ادخال البيانات'!$N$3:$N$1164)-1)/7)+1 = VALUE($B$11))),
            'ادخال البيانات'!$I$3:$I$1164
         ),
         ""
      ),
      IF(_xlpm.result="", "", _xlpm.result)
   )
)</f>
        <v/>
      </c>
      <c r="J912" s="27" t="str" cm="1">
        <f t="array" ref="J912">IF(
   A912="",
   "",
   _xlfn.LET(
      _xlpm.result,
      IFERROR(
         _xlfn.XLOOKUP(
            1,
            (Table8[رقم الصنف]=A912) *
            (IF($B$9="الكل",1, YEAR('ادخال البيانات'!$N$3:$N$1164)=VALUE($B$9))) *
            (IF($B$10="الكل",1, MONTH('ادخال البيانات'!$N$3:$N$1164)=VALUE($B$10))) *
            (IF($B$11="الكل",1, INT((DAY('ادخال البيانات'!$N$3:$N$1164)-1)/7)+1 = VALUE($B$11))),
            'ادخال البيانات'!$J$3:$J$1164
         ),
         ""
      ),
      IF(_xlpm.result="", "", _xlpm.result)
   )
)</f>
        <v/>
      </c>
      <c r="K912" s="27" t="str" cm="1">
        <f t="array" ref="K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2" s="27" t="str" cm="1">
        <f t="array" ref="L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2" s="27" t="str" cm="1">
        <f t="array" ref="M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2" s="28" t="str" cm="1">
        <f t="array" ref="N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2" s="28" t="str" cm="1">
        <f t="array" ref="O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2" s="27" t="str" cm="1">
        <f t="array" ref="P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Table8[جهة العطل]
         ),
         ""
      ),
      IF(_xlpm.result="", "", _xlpm.result)
   )
)</f>
        <v/>
      </c>
      <c r="Q912" s="27" t="str" cm="1">
        <f t="array" ref="Q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Table8[المركز]
         ),
         ""
      ),
      IF(_xlpm.result="", "", _xlpm.result)
   )
)</f>
        <v/>
      </c>
      <c r="R912" s="27" t="str" cm="1">
        <f t="array" ref="R912">IF(
   A912="",
   "",
   _xlfn.LET(
      _xlpm.result,
      IFERROR(
         _xlfn.XLOOKUP(
            1,
            (Table8[رقم الصنف]=A912) *
            (IF($B$9="الكل",1, YEAR('ادخال البيانات'!$N$3:$N$1164) = VALUE($B$9))) *
            (IF($B$10="الكل",1, MONTH('ادخال البيانات'!$N$3:$N$1164) = VALUE($B$10))) *
            (IF($B$11="الكل",1, INT((DAY('ادخال البيانات'!$N$3:$N$1164) - 1) / 7) + 1 = VALUE($B$11))),
            Table8[ملاحظة]
         ),
         ""
      ),
      IF(_xlpm.result="", "", _xlpm.result)
   )
)</f>
        <v/>
      </c>
      <c r="S912" s="46" t="str">
        <f t="shared" ca="1" si="15"/>
        <v/>
      </c>
    </row>
    <row r="913" spans="1:19" ht="15.6" thickTop="1" thickBot="1" x14ac:dyDescent="0.35">
      <c r="A913" s="39"/>
      <c r="B913" s="27" t="str" cm="1">
        <f t="array" ref="B913">IF(
   OR(A913="", $B$9="", $B$10="", $B$11=""),
   "",
   _xlfn.LET(
      _xlpm.result,
      IFERROR(
         _xlfn.XLOOKUP(
            1,
            (Table8[رقم الصنف]=A913)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3" s="27" t="str" cm="1">
        <f t="array" ref="C913">IF(
   A913="",
   "",
   _xlfn.LET(
      _xlpm.result,
      IFERROR(
         _xlfn.XLOOKUP(
            1,
            (Table8[رقم الصنف]=A913) *
            (IF($B$9="الكل",1, YEAR('ادخال البيانات'!$N$3:$N$1164) = VALUE($B$9))) *
            (IF($B$10="الكل",1, MONTH('ادخال البيانات'!$N$3:$N$1164) = VALUE($B$10))) *
            (IF($B$11="الكل",1, INT((DAY('ادخال البيانات'!$N$3:$N$1164)-1)/7)+1 = VALUE($B$11))),
            'ادخال البيانات'!$C$3:$C$1164
         ),
         ""
      ),
      IF(_xlpm.result="", "", _xlpm.result)
   )
)</f>
        <v/>
      </c>
      <c r="D913" s="27" t="str" cm="1">
        <f t="array" ref="D913">IF(
   OR(A913="", $B$9="", $B$10="", $B$11=""),
   "",
   _xlfn.LET(
      _xlpm.result,
      IFERROR(
         _xlfn.XLOOKUP(
            1,
            (Table8[رقم الصنف]=A913) *
            (IF($B$9="الكل",1, YEAR('ادخال البيانات'!$N$3:$N$1164)=VALUE($B$9))) *
            (IF($B$10="الكل",1, MONTH('ادخال البيانات'!$N$3:$N$1164)=VALUE($B$10))) *
            (IF($B$11="الكل",1, INT((DAY('ادخال البيانات'!$N$3:$N$1164)-1)/7)+1 = VALUE($B$11))),
            'ادخال البيانات'!$D$3:$D$1164
         ),
         ""
      ),
      IF(_xlpm.result="", "", _xlpm.result)
   )
)</f>
        <v/>
      </c>
      <c r="E913" s="27" t="str" cm="1">
        <f t="array" ref="E913">IF(
   A913="",
   "",
   _xlfn.LET(
      _xlpm.result,
      IFERROR(
         _xlfn.XLOOKUP(
            1,
            (Table8[رقم الصنف]=A913) *
            (IF($B$9="الكل",1, YEAR('ادخال البيانات'!$N$3:$N$1164)=VALUE($B$9))) *
            (IF($B$10="الكل",1, MONTH('ادخال البيانات'!$N$3:$N$1164)=VALUE($B$10))) *
            (IF($B$11="الكل",1, INT((DAY('ادخال البيانات'!$N$3:$N$1164)-1)/7)+1 = VALUE($B$11))),
            'ادخال البيانات'!$E$3:$E$1164
         ),
         ""
      ),
      IF(_xlpm.result="", "", _xlpm.result)
   )
)</f>
        <v/>
      </c>
      <c r="F913" s="27" t="str" cm="1">
        <f t="array" ref="F913">IF(
   A913="",
   "",
   _xlfn.LET(
      _xlpm.result,
      IFERROR(
         _xlfn.XLOOKUP(
            1,
            (Table8[رقم الصنف]=A913) *
            (IF($B$9="الكل",1, YEAR('ادخال البيانات'!$N$3:$N$1164) = VALUE($B$9))) *
            (IF($B$10="الكل",1, MONTH('ادخال البيانات'!$N$3:$N$1164) = VALUE($B$10))) *
            (IF($B$11="الكل",1, INT((DAY('ادخال البيانات'!$N$3:$N$1164)-1)/7)+1 = VALUE($B$11))),
            'ادخال البيانات'!$F$3:$F$1164
         ),
         ""
      ),
      IF(_xlpm.result="", "", _xlpm.result)
   )
)</f>
        <v/>
      </c>
      <c r="G913" s="27" t="str" cm="1">
        <f t="array" ref="G913">IF(
   A913="",
   "",
   _xlfn.LET(
      _xlpm.result,
      IFERROR(
         _xlfn.XLOOKUP(
            1,
            (Table8[رقم الصنف]=A913) *
            (IF($B$9="الكل",1, YEAR('ادخال البيانات'!$N$3:$N$1164)=VALUE($B$9))) *
            (IF($B$10="الكل",1, MONTH('ادخال البيانات'!$N$3:$N$1164)=VALUE($B$10))) *
            (IF($B$11="الكل",1, INT((DAY('ادخال البيانات'!$N$3:$N$1164)-1)/7)+1 = VALUE($B$11))),
            'ادخال البيانات'!$G$3:$G$1164
         ),
         ""
      ),
      IF(_xlpm.result="", "", _xlpm.result)
   )
)</f>
        <v/>
      </c>
      <c r="H913" s="27" t="str" cm="1">
        <f t="array" ref="H913">IF(
   A913="",
   "",
   _xlfn.LET(
      _xlpm.result,
      IFERROR(
         _xlfn.XLOOKUP(
            1,
            (Table8[رقم الصنف]=A913) *
            (IF($B$9="الكل",1, YEAR('ادخال البيانات'!$N$3:$N$1164)=VALUE($B$9))) *
            (IF($B$10="الكل",1, MONTH('ادخال البيانات'!$N$3:$N$1164)=VALUE($B$10))) *
            (IF($B$11="الكل",1, INT((DAY('ادخال البيانات'!$N$3:$N$1164)-1)/7)+1 = VALUE($B$11))),
            'ادخال البيانات'!$H$3:$H$1164
         ),
         ""
      ),
      IF(_xlpm.result="", "", _xlpm.result)
   )
)</f>
        <v/>
      </c>
      <c r="I913" s="27" t="str" cm="1">
        <f t="array" ref="I913">IF(
   A913="",
   "",
   _xlfn.LET(
      _xlpm.result,
      IFERROR(
         _xlfn.XLOOKUP(
            1,
            (Table8[رقم الصنف]=A913) *
            (IF($B$9="الكل",1, YEAR('ادخال البيانات'!$N$3:$N$1164)=VALUE($B$9))) *
            (IF($B$10="الكل",1, MONTH('ادخال البيانات'!$N$3:$N$1164)=VALUE($B$10))) *
            (IF($B$11="الكل",1, INT((DAY('ادخال البيانات'!$N$3:$N$1164)-1)/7)+1 = VALUE($B$11))),
            'ادخال البيانات'!$I$3:$I$1164
         ),
         ""
      ),
      IF(_xlpm.result="", "", _xlpm.result)
   )
)</f>
        <v/>
      </c>
      <c r="J913" s="27" t="str" cm="1">
        <f t="array" ref="J913">IF(
   A913="",
   "",
   _xlfn.LET(
      _xlpm.result,
      IFERROR(
         _xlfn.XLOOKUP(
            1,
            (Table8[رقم الصنف]=A913) *
            (IF($B$9="الكل",1, YEAR('ادخال البيانات'!$N$3:$N$1164)=VALUE($B$9))) *
            (IF($B$10="الكل",1, MONTH('ادخال البيانات'!$N$3:$N$1164)=VALUE($B$10))) *
            (IF($B$11="الكل",1, INT((DAY('ادخال البيانات'!$N$3:$N$1164)-1)/7)+1 = VALUE($B$11))),
            'ادخال البيانات'!$J$3:$J$1164
         ),
         ""
      ),
      IF(_xlpm.result="", "", _xlpm.result)
   )
)</f>
        <v/>
      </c>
      <c r="K913" s="27" t="str" cm="1">
        <f t="array" ref="K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3" s="27" t="str" cm="1">
        <f t="array" ref="L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3" s="27" t="str" cm="1">
        <f t="array" ref="M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3" s="28" t="str" cm="1">
        <f t="array" ref="N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3" s="28" t="str" cm="1">
        <f t="array" ref="O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3" s="27" t="str" cm="1">
        <f t="array" ref="P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Table8[جهة العطل]
         ),
         ""
      ),
      IF(_xlpm.result="", "", _xlpm.result)
   )
)</f>
        <v/>
      </c>
      <c r="Q913" s="27" t="str" cm="1">
        <f t="array" ref="Q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Table8[المركز]
         ),
         ""
      ),
      IF(_xlpm.result="", "", _xlpm.result)
   )
)</f>
        <v/>
      </c>
      <c r="R913" s="27" t="str" cm="1">
        <f t="array" ref="R913">IF(
   A913="",
   "",
   _xlfn.LET(
      _xlpm.result,
      IFERROR(
         _xlfn.XLOOKUP(
            1,
            (Table8[رقم الصنف]=A913) *
            (IF($B$9="الكل",1, YEAR('ادخال البيانات'!$N$3:$N$1164) = VALUE($B$9))) *
            (IF($B$10="الكل",1, MONTH('ادخال البيانات'!$N$3:$N$1164) = VALUE($B$10))) *
            (IF($B$11="الكل",1, INT((DAY('ادخال البيانات'!$N$3:$N$1164) - 1) / 7) + 1 = VALUE($B$11))),
            Table8[ملاحظة]
         ),
         ""
      ),
      IF(_xlpm.result="", "", _xlpm.result)
   )
)</f>
        <v/>
      </c>
      <c r="S913" s="46" t="str">
        <f t="shared" ca="1" si="15"/>
        <v/>
      </c>
    </row>
    <row r="914" spans="1:19" ht="15.6" thickTop="1" thickBot="1" x14ac:dyDescent="0.35">
      <c r="A914" s="39"/>
      <c r="B914" s="27" t="str" cm="1">
        <f t="array" ref="B914">IF(
   OR(A914="", $B$9="", $B$10="", $B$11=""),
   "",
   _xlfn.LET(
      _xlpm.result,
      IFERROR(
         _xlfn.XLOOKUP(
            1,
            (Table8[رقم الصنف]=A914)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4" s="27" t="str" cm="1">
        <f t="array" ref="C914">IF(
   A914="",
   "",
   _xlfn.LET(
      _xlpm.result,
      IFERROR(
         _xlfn.XLOOKUP(
            1,
            (Table8[رقم الصنف]=A914) *
            (IF($B$9="الكل",1, YEAR('ادخال البيانات'!$N$3:$N$1164) = VALUE($B$9))) *
            (IF($B$10="الكل",1, MONTH('ادخال البيانات'!$N$3:$N$1164) = VALUE($B$10))) *
            (IF($B$11="الكل",1, INT((DAY('ادخال البيانات'!$N$3:$N$1164)-1)/7)+1 = VALUE($B$11))),
            'ادخال البيانات'!$C$3:$C$1164
         ),
         ""
      ),
      IF(_xlpm.result="", "", _xlpm.result)
   )
)</f>
        <v/>
      </c>
      <c r="D914" s="27" t="str" cm="1">
        <f t="array" ref="D914">IF(
   OR(A914="", $B$9="", $B$10="", $B$11=""),
   "",
   _xlfn.LET(
      _xlpm.result,
      IFERROR(
         _xlfn.XLOOKUP(
            1,
            (Table8[رقم الصنف]=A914) *
            (IF($B$9="الكل",1, YEAR('ادخال البيانات'!$N$3:$N$1164)=VALUE($B$9))) *
            (IF($B$10="الكل",1, MONTH('ادخال البيانات'!$N$3:$N$1164)=VALUE($B$10))) *
            (IF($B$11="الكل",1, INT((DAY('ادخال البيانات'!$N$3:$N$1164)-1)/7)+1 = VALUE($B$11))),
            'ادخال البيانات'!$D$3:$D$1164
         ),
         ""
      ),
      IF(_xlpm.result="", "", _xlpm.result)
   )
)</f>
        <v/>
      </c>
      <c r="E914" s="27" t="str" cm="1">
        <f t="array" ref="E914">IF(
   A914="",
   "",
   _xlfn.LET(
      _xlpm.result,
      IFERROR(
         _xlfn.XLOOKUP(
            1,
            (Table8[رقم الصنف]=A914) *
            (IF($B$9="الكل",1, YEAR('ادخال البيانات'!$N$3:$N$1164)=VALUE($B$9))) *
            (IF($B$10="الكل",1, MONTH('ادخال البيانات'!$N$3:$N$1164)=VALUE($B$10))) *
            (IF($B$11="الكل",1, INT((DAY('ادخال البيانات'!$N$3:$N$1164)-1)/7)+1 = VALUE($B$11))),
            'ادخال البيانات'!$E$3:$E$1164
         ),
         ""
      ),
      IF(_xlpm.result="", "", _xlpm.result)
   )
)</f>
        <v/>
      </c>
      <c r="F914" s="27" t="str" cm="1">
        <f t="array" ref="F914">IF(
   A914="",
   "",
   _xlfn.LET(
      _xlpm.result,
      IFERROR(
         _xlfn.XLOOKUP(
            1,
            (Table8[رقم الصنف]=A914) *
            (IF($B$9="الكل",1, YEAR('ادخال البيانات'!$N$3:$N$1164) = VALUE($B$9))) *
            (IF($B$10="الكل",1, MONTH('ادخال البيانات'!$N$3:$N$1164) = VALUE($B$10))) *
            (IF($B$11="الكل",1, INT((DAY('ادخال البيانات'!$N$3:$N$1164)-1)/7)+1 = VALUE($B$11))),
            'ادخال البيانات'!$F$3:$F$1164
         ),
         ""
      ),
      IF(_xlpm.result="", "", _xlpm.result)
   )
)</f>
        <v/>
      </c>
      <c r="G914" s="27" t="str" cm="1">
        <f t="array" ref="G914">IF(
   A914="",
   "",
   _xlfn.LET(
      _xlpm.result,
      IFERROR(
         _xlfn.XLOOKUP(
            1,
            (Table8[رقم الصنف]=A914) *
            (IF($B$9="الكل",1, YEAR('ادخال البيانات'!$N$3:$N$1164)=VALUE($B$9))) *
            (IF($B$10="الكل",1, MONTH('ادخال البيانات'!$N$3:$N$1164)=VALUE($B$10))) *
            (IF($B$11="الكل",1, INT((DAY('ادخال البيانات'!$N$3:$N$1164)-1)/7)+1 = VALUE($B$11))),
            'ادخال البيانات'!$G$3:$G$1164
         ),
         ""
      ),
      IF(_xlpm.result="", "", _xlpm.result)
   )
)</f>
        <v/>
      </c>
      <c r="H914" s="27" t="str" cm="1">
        <f t="array" ref="H914">IF(
   A914="",
   "",
   _xlfn.LET(
      _xlpm.result,
      IFERROR(
         _xlfn.XLOOKUP(
            1,
            (Table8[رقم الصنف]=A914) *
            (IF($B$9="الكل",1, YEAR('ادخال البيانات'!$N$3:$N$1164)=VALUE($B$9))) *
            (IF($B$10="الكل",1, MONTH('ادخال البيانات'!$N$3:$N$1164)=VALUE($B$10))) *
            (IF($B$11="الكل",1, INT((DAY('ادخال البيانات'!$N$3:$N$1164)-1)/7)+1 = VALUE($B$11))),
            'ادخال البيانات'!$H$3:$H$1164
         ),
         ""
      ),
      IF(_xlpm.result="", "", _xlpm.result)
   )
)</f>
        <v/>
      </c>
      <c r="I914" s="27" t="str" cm="1">
        <f t="array" ref="I914">IF(
   A914="",
   "",
   _xlfn.LET(
      _xlpm.result,
      IFERROR(
         _xlfn.XLOOKUP(
            1,
            (Table8[رقم الصنف]=A914) *
            (IF($B$9="الكل",1, YEAR('ادخال البيانات'!$N$3:$N$1164)=VALUE($B$9))) *
            (IF($B$10="الكل",1, MONTH('ادخال البيانات'!$N$3:$N$1164)=VALUE($B$10))) *
            (IF($B$11="الكل",1, INT((DAY('ادخال البيانات'!$N$3:$N$1164)-1)/7)+1 = VALUE($B$11))),
            'ادخال البيانات'!$I$3:$I$1164
         ),
         ""
      ),
      IF(_xlpm.result="", "", _xlpm.result)
   )
)</f>
        <v/>
      </c>
      <c r="J914" s="27" t="str" cm="1">
        <f t="array" ref="J914">IF(
   A914="",
   "",
   _xlfn.LET(
      _xlpm.result,
      IFERROR(
         _xlfn.XLOOKUP(
            1,
            (Table8[رقم الصنف]=A914) *
            (IF($B$9="الكل",1, YEAR('ادخال البيانات'!$N$3:$N$1164)=VALUE($B$9))) *
            (IF($B$10="الكل",1, MONTH('ادخال البيانات'!$N$3:$N$1164)=VALUE($B$10))) *
            (IF($B$11="الكل",1, INT((DAY('ادخال البيانات'!$N$3:$N$1164)-1)/7)+1 = VALUE($B$11))),
            'ادخال البيانات'!$J$3:$J$1164
         ),
         ""
      ),
      IF(_xlpm.result="", "", _xlpm.result)
   )
)</f>
        <v/>
      </c>
      <c r="K914" s="27" t="str" cm="1">
        <f t="array" ref="K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4" s="27" t="str" cm="1">
        <f t="array" ref="L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4" s="27" t="str" cm="1">
        <f t="array" ref="M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4" s="28" t="str" cm="1">
        <f t="array" ref="N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4" s="28" t="str" cm="1">
        <f t="array" ref="O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4" s="27" t="str" cm="1">
        <f t="array" ref="P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Table8[جهة العطل]
         ),
         ""
      ),
      IF(_xlpm.result="", "", _xlpm.result)
   )
)</f>
        <v/>
      </c>
      <c r="Q914" s="27" t="str" cm="1">
        <f t="array" ref="Q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Table8[المركز]
         ),
         ""
      ),
      IF(_xlpm.result="", "", _xlpm.result)
   )
)</f>
        <v/>
      </c>
      <c r="R914" s="27" t="str" cm="1">
        <f t="array" ref="R914">IF(
   A914="",
   "",
   _xlfn.LET(
      _xlpm.result,
      IFERROR(
         _xlfn.XLOOKUP(
            1,
            (Table8[رقم الصنف]=A914) *
            (IF($B$9="الكل",1, YEAR('ادخال البيانات'!$N$3:$N$1164) = VALUE($B$9))) *
            (IF($B$10="الكل",1, MONTH('ادخال البيانات'!$N$3:$N$1164) = VALUE($B$10))) *
            (IF($B$11="الكل",1, INT((DAY('ادخال البيانات'!$N$3:$N$1164) - 1) / 7) + 1 = VALUE($B$11))),
            Table8[ملاحظة]
         ),
         ""
      ),
      IF(_xlpm.result="", "", _xlpm.result)
   )
)</f>
        <v/>
      </c>
      <c r="S914" s="46" t="str">
        <f t="shared" ca="1" si="15"/>
        <v/>
      </c>
    </row>
    <row r="915" spans="1:19" ht="15.6" thickTop="1" thickBot="1" x14ac:dyDescent="0.35">
      <c r="A915" s="39"/>
      <c r="B915" s="27" t="str" cm="1">
        <f t="array" ref="B915">IF(
   OR(A915="", $B$9="", $B$10="", $B$11=""),
   "",
   _xlfn.LET(
      _xlpm.result,
      IFERROR(
         _xlfn.XLOOKUP(
            1,
            (Table8[رقم الصنف]=A915)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5" s="27" t="str" cm="1">
        <f t="array" ref="C915">IF(
   A915="",
   "",
   _xlfn.LET(
      _xlpm.result,
      IFERROR(
         _xlfn.XLOOKUP(
            1,
            (Table8[رقم الصنف]=A915) *
            (IF($B$9="الكل",1, YEAR('ادخال البيانات'!$N$3:$N$1164) = VALUE($B$9))) *
            (IF($B$10="الكل",1, MONTH('ادخال البيانات'!$N$3:$N$1164) = VALUE($B$10))) *
            (IF($B$11="الكل",1, INT((DAY('ادخال البيانات'!$N$3:$N$1164)-1)/7)+1 = VALUE($B$11))),
            'ادخال البيانات'!$C$3:$C$1164
         ),
         ""
      ),
      IF(_xlpm.result="", "", _xlpm.result)
   )
)</f>
        <v/>
      </c>
      <c r="D915" s="27" t="str" cm="1">
        <f t="array" ref="D915">IF(
   OR(A915="", $B$9="", $B$10="", $B$11=""),
   "",
   _xlfn.LET(
      _xlpm.result,
      IFERROR(
         _xlfn.XLOOKUP(
            1,
            (Table8[رقم الصنف]=A915) *
            (IF($B$9="الكل",1, YEAR('ادخال البيانات'!$N$3:$N$1164)=VALUE($B$9))) *
            (IF($B$10="الكل",1, MONTH('ادخال البيانات'!$N$3:$N$1164)=VALUE($B$10))) *
            (IF($B$11="الكل",1, INT((DAY('ادخال البيانات'!$N$3:$N$1164)-1)/7)+1 = VALUE($B$11))),
            'ادخال البيانات'!$D$3:$D$1164
         ),
         ""
      ),
      IF(_xlpm.result="", "", _xlpm.result)
   )
)</f>
        <v/>
      </c>
      <c r="E915" s="27" t="str" cm="1">
        <f t="array" ref="E915">IF(
   A915="",
   "",
   _xlfn.LET(
      _xlpm.result,
      IFERROR(
         _xlfn.XLOOKUP(
            1,
            (Table8[رقم الصنف]=A915) *
            (IF($B$9="الكل",1, YEAR('ادخال البيانات'!$N$3:$N$1164)=VALUE($B$9))) *
            (IF($B$10="الكل",1, MONTH('ادخال البيانات'!$N$3:$N$1164)=VALUE($B$10))) *
            (IF($B$11="الكل",1, INT((DAY('ادخال البيانات'!$N$3:$N$1164)-1)/7)+1 = VALUE($B$11))),
            'ادخال البيانات'!$E$3:$E$1164
         ),
         ""
      ),
      IF(_xlpm.result="", "", _xlpm.result)
   )
)</f>
        <v/>
      </c>
      <c r="F915" s="27" t="str" cm="1">
        <f t="array" ref="F915">IF(
   A915="",
   "",
   _xlfn.LET(
      _xlpm.result,
      IFERROR(
         _xlfn.XLOOKUP(
            1,
            (Table8[رقم الصنف]=A915) *
            (IF($B$9="الكل",1, YEAR('ادخال البيانات'!$N$3:$N$1164) = VALUE($B$9))) *
            (IF($B$10="الكل",1, MONTH('ادخال البيانات'!$N$3:$N$1164) = VALUE($B$10))) *
            (IF($B$11="الكل",1, INT((DAY('ادخال البيانات'!$N$3:$N$1164)-1)/7)+1 = VALUE($B$11))),
            'ادخال البيانات'!$F$3:$F$1164
         ),
         ""
      ),
      IF(_xlpm.result="", "", _xlpm.result)
   )
)</f>
        <v/>
      </c>
      <c r="G915" s="27" t="str" cm="1">
        <f t="array" ref="G915">IF(
   A915="",
   "",
   _xlfn.LET(
      _xlpm.result,
      IFERROR(
         _xlfn.XLOOKUP(
            1,
            (Table8[رقم الصنف]=A915) *
            (IF($B$9="الكل",1, YEAR('ادخال البيانات'!$N$3:$N$1164)=VALUE($B$9))) *
            (IF($B$10="الكل",1, MONTH('ادخال البيانات'!$N$3:$N$1164)=VALUE($B$10))) *
            (IF($B$11="الكل",1, INT((DAY('ادخال البيانات'!$N$3:$N$1164)-1)/7)+1 = VALUE($B$11))),
            'ادخال البيانات'!$G$3:$G$1164
         ),
         ""
      ),
      IF(_xlpm.result="", "", _xlpm.result)
   )
)</f>
        <v/>
      </c>
      <c r="H915" s="27" t="str" cm="1">
        <f t="array" ref="H915">IF(
   A915="",
   "",
   _xlfn.LET(
      _xlpm.result,
      IFERROR(
         _xlfn.XLOOKUP(
            1,
            (Table8[رقم الصنف]=A915) *
            (IF($B$9="الكل",1, YEAR('ادخال البيانات'!$N$3:$N$1164)=VALUE($B$9))) *
            (IF($B$10="الكل",1, MONTH('ادخال البيانات'!$N$3:$N$1164)=VALUE($B$10))) *
            (IF($B$11="الكل",1, INT((DAY('ادخال البيانات'!$N$3:$N$1164)-1)/7)+1 = VALUE($B$11))),
            'ادخال البيانات'!$H$3:$H$1164
         ),
         ""
      ),
      IF(_xlpm.result="", "", _xlpm.result)
   )
)</f>
        <v/>
      </c>
      <c r="I915" s="27" t="str" cm="1">
        <f t="array" ref="I915">IF(
   A915="",
   "",
   _xlfn.LET(
      _xlpm.result,
      IFERROR(
         _xlfn.XLOOKUP(
            1,
            (Table8[رقم الصنف]=A915) *
            (IF($B$9="الكل",1, YEAR('ادخال البيانات'!$N$3:$N$1164)=VALUE($B$9))) *
            (IF($B$10="الكل",1, MONTH('ادخال البيانات'!$N$3:$N$1164)=VALUE($B$10))) *
            (IF($B$11="الكل",1, INT((DAY('ادخال البيانات'!$N$3:$N$1164)-1)/7)+1 = VALUE($B$11))),
            'ادخال البيانات'!$I$3:$I$1164
         ),
         ""
      ),
      IF(_xlpm.result="", "", _xlpm.result)
   )
)</f>
        <v/>
      </c>
      <c r="J915" s="27" t="str" cm="1">
        <f t="array" ref="J915">IF(
   A915="",
   "",
   _xlfn.LET(
      _xlpm.result,
      IFERROR(
         _xlfn.XLOOKUP(
            1,
            (Table8[رقم الصنف]=A915) *
            (IF($B$9="الكل",1, YEAR('ادخال البيانات'!$N$3:$N$1164)=VALUE($B$9))) *
            (IF($B$10="الكل",1, MONTH('ادخال البيانات'!$N$3:$N$1164)=VALUE($B$10))) *
            (IF($B$11="الكل",1, INT((DAY('ادخال البيانات'!$N$3:$N$1164)-1)/7)+1 = VALUE($B$11))),
            'ادخال البيانات'!$J$3:$J$1164
         ),
         ""
      ),
      IF(_xlpm.result="", "", _xlpm.result)
   )
)</f>
        <v/>
      </c>
      <c r="K915" s="27" t="str" cm="1">
        <f t="array" ref="K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5" s="27" t="str" cm="1">
        <f t="array" ref="L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5" s="27" t="str" cm="1">
        <f t="array" ref="M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5" s="28" t="str" cm="1">
        <f t="array" ref="N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5" s="28" t="str" cm="1">
        <f t="array" ref="O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5" s="27" t="str" cm="1">
        <f t="array" ref="P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Table8[جهة العطل]
         ),
         ""
      ),
      IF(_xlpm.result="", "", _xlpm.result)
   )
)</f>
        <v/>
      </c>
      <c r="Q915" s="27" t="str" cm="1">
        <f t="array" ref="Q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Table8[المركز]
         ),
         ""
      ),
      IF(_xlpm.result="", "", _xlpm.result)
   )
)</f>
        <v/>
      </c>
      <c r="R915" s="27" t="str" cm="1">
        <f t="array" ref="R915">IF(
   A915="",
   "",
   _xlfn.LET(
      _xlpm.result,
      IFERROR(
         _xlfn.XLOOKUP(
            1,
            (Table8[رقم الصنف]=A915) *
            (IF($B$9="الكل",1, YEAR('ادخال البيانات'!$N$3:$N$1164) = VALUE($B$9))) *
            (IF($B$10="الكل",1, MONTH('ادخال البيانات'!$N$3:$N$1164) = VALUE($B$10))) *
            (IF($B$11="الكل",1, INT((DAY('ادخال البيانات'!$N$3:$N$1164) - 1) / 7) + 1 = VALUE($B$11))),
            Table8[ملاحظة]
         ),
         ""
      ),
      IF(_xlpm.result="", "", _xlpm.result)
   )
)</f>
        <v/>
      </c>
      <c r="S915" s="46" t="str">
        <f t="shared" ca="1" si="15"/>
        <v/>
      </c>
    </row>
    <row r="916" spans="1:19" ht="15.6" thickTop="1" thickBot="1" x14ac:dyDescent="0.35">
      <c r="A916" s="39"/>
      <c r="B916" s="27" t="str" cm="1">
        <f t="array" ref="B916">IF(
   OR(A916="", $B$9="", $B$10="", $B$11=""),
   "",
   _xlfn.LET(
      _xlpm.result,
      IFERROR(
         _xlfn.XLOOKUP(
            1,
            (Table8[رقم الصنف]=A916)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6" s="27" t="str" cm="1">
        <f t="array" ref="C916">IF(
   A916="",
   "",
   _xlfn.LET(
      _xlpm.result,
      IFERROR(
         _xlfn.XLOOKUP(
            1,
            (Table8[رقم الصنف]=A916) *
            (IF($B$9="الكل",1, YEAR('ادخال البيانات'!$N$3:$N$1164) = VALUE($B$9))) *
            (IF($B$10="الكل",1, MONTH('ادخال البيانات'!$N$3:$N$1164) = VALUE($B$10))) *
            (IF($B$11="الكل",1, INT((DAY('ادخال البيانات'!$N$3:$N$1164)-1)/7)+1 = VALUE($B$11))),
            'ادخال البيانات'!$C$3:$C$1164
         ),
         ""
      ),
      IF(_xlpm.result="", "", _xlpm.result)
   )
)</f>
        <v/>
      </c>
      <c r="D916" s="27" t="str" cm="1">
        <f t="array" ref="D916">IF(
   OR(A916="", $B$9="", $B$10="", $B$11=""),
   "",
   _xlfn.LET(
      _xlpm.result,
      IFERROR(
         _xlfn.XLOOKUP(
            1,
            (Table8[رقم الصنف]=A916) *
            (IF($B$9="الكل",1, YEAR('ادخال البيانات'!$N$3:$N$1164)=VALUE($B$9))) *
            (IF($B$10="الكل",1, MONTH('ادخال البيانات'!$N$3:$N$1164)=VALUE($B$10))) *
            (IF($B$11="الكل",1, INT((DAY('ادخال البيانات'!$N$3:$N$1164)-1)/7)+1 = VALUE($B$11))),
            'ادخال البيانات'!$D$3:$D$1164
         ),
         ""
      ),
      IF(_xlpm.result="", "", _xlpm.result)
   )
)</f>
        <v/>
      </c>
      <c r="E916" s="27" t="str" cm="1">
        <f t="array" ref="E916">IF(
   A916="",
   "",
   _xlfn.LET(
      _xlpm.result,
      IFERROR(
         _xlfn.XLOOKUP(
            1,
            (Table8[رقم الصنف]=A916) *
            (IF($B$9="الكل",1, YEAR('ادخال البيانات'!$N$3:$N$1164)=VALUE($B$9))) *
            (IF($B$10="الكل",1, MONTH('ادخال البيانات'!$N$3:$N$1164)=VALUE($B$10))) *
            (IF($B$11="الكل",1, INT((DAY('ادخال البيانات'!$N$3:$N$1164)-1)/7)+1 = VALUE($B$11))),
            'ادخال البيانات'!$E$3:$E$1164
         ),
         ""
      ),
      IF(_xlpm.result="", "", _xlpm.result)
   )
)</f>
        <v/>
      </c>
      <c r="F916" s="27" t="str" cm="1">
        <f t="array" ref="F916">IF(
   A916="",
   "",
   _xlfn.LET(
      _xlpm.result,
      IFERROR(
         _xlfn.XLOOKUP(
            1,
            (Table8[رقم الصنف]=A916) *
            (IF($B$9="الكل",1, YEAR('ادخال البيانات'!$N$3:$N$1164) = VALUE($B$9))) *
            (IF($B$10="الكل",1, MONTH('ادخال البيانات'!$N$3:$N$1164) = VALUE($B$10))) *
            (IF($B$11="الكل",1, INT((DAY('ادخال البيانات'!$N$3:$N$1164)-1)/7)+1 = VALUE($B$11))),
            'ادخال البيانات'!$F$3:$F$1164
         ),
         ""
      ),
      IF(_xlpm.result="", "", _xlpm.result)
   )
)</f>
        <v/>
      </c>
      <c r="G916" s="27" t="str" cm="1">
        <f t="array" ref="G916">IF(
   A916="",
   "",
   _xlfn.LET(
      _xlpm.result,
      IFERROR(
         _xlfn.XLOOKUP(
            1,
            (Table8[رقم الصنف]=A916) *
            (IF($B$9="الكل",1, YEAR('ادخال البيانات'!$N$3:$N$1164)=VALUE($B$9))) *
            (IF($B$10="الكل",1, MONTH('ادخال البيانات'!$N$3:$N$1164)=VALUE($B$10))) *
            (IF($B$11="الكل",1, INT((DAY('ادخال البيانات'!$N$3:$N$1164)-1)/7)+1 = VALUE($B$11))),
            'ادخال البيانات'!$G$3:$G$1164
         ),
         ""
      ),
      IF(_xlpm.result="", "", _xlpm.result)
   )
)</f>
        <v/>
      </c>
      <c r="H916" s="27" t="str" cm="1">
        <f t="array" ref="H916">IF(
   A916="",
   "",
   _xlfn.LET(
      _xlpm.result,
      IFERROR(
         _xlfn.XLOOKUP(
            1,
            (Table8[رقم الصنف]=A916) *
            (IF($B$9="الكل",1, YEAR('ادخال البيانات'!$N$3:$N$1164)=VALUE($B$9))) *
            (IF($B$10="الكل",1, MONTH('ادخال البيانات'!$N$3:$N$1164)=VALUE($B$10))) *
            (IF($B$11="الكل",1, INT((DAY('ادخال البيانات'!$N$3:$N$1164)-1)/7)+1 = VALUE($B$11))),
            'ادخال البيانات'!$H$3:$H$1164
         ),
         ""
      ),
      IF(_xlpm.result="", "", _xlpm.result)
   )
)</f>
        <v/>
      </c>
      <c r="I916" s="27" t="str" cm="1">
        <f t="array" ref="I916">IF(
   A916="",
   "",
   _xlfn.LET(
      _xlpm.result,
      IFERROR(
         _xlfn.XLOOKUP(
            1,
            (Table8[رقم الصنف]=A916) *
            (IF($B$9="الكل",1, YEAR('ادخال البيانات'!$N$3:$N$1164)=VALUE($B$9))) *
            (IF($B$10="الكل",1, MONTH('ادخال البيانات'!$N$3:$N$1164)=VALUE($B$10))) *
            (IF($B$11="الكل",1, INT((DAY('ادخال البيانات'!$N$3:$N$1164)-1)/7)+1 = VALUE($B$11))),
            'ادخال البيانات'!$I$3:$I$1164
         ),
         ""
      ),
      IF(_xlpm.result="", "", _xlpm.result)
   )
)</f>
        <v/>
      </c>
      <c r="J916" s="27" t="str" cm="1">
        <f t="array" ref="J916">IF(
   A916="",
   "",
   _xlfn.LET(
      _xlpm.result,
      IFERROR(
         _xlfn.XLOOKUP(
            1,
            (Table8[رقم الصنف]=A916) *
            (IF($B$9="الكل",1, YEAR('ادخال البيانات'!$N$3:$N$1164)=VALUE($B$9))) *
            (IF($B$10="الكل",1, MONTH('ادخال البيانات'!$N$3:$N$1164)=VALUE($B$10))) *
            (IF($B$11="الكل",1, INT((DAY('ادخال البيانات'!$N$3:$N$1164)-1)/7)+1 = VALUE($B$11))),
            'ادخال البيانات'!$J$3:$J$1164
         ),
         ""
      ),
      IF(_xlpm.result="", "", _xlpm.result)
   )
)</f>
        <v/>
      </c>
      <c r="K916" s="27" t="str" cm="1">
        <f t="array" ref="K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6" s="27" t="str" cm="1">
        <f t="array" ref="L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6" s="27" t="str" cm="1">
        <f t="array" ref="M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6" s="28" t="str" cm="1">
        <f t="array" ref="N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6" s="28" t="str" cm="1">
        <f t="array" ref="O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6" s="27" t="str" cm="1">
        <f t="array" ref="P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Table8[جهة العطل]
         ),
         ""
      ),
      IF(_xlpm.result="", "", _xlpm.result)
   )
)</f>
        <v/>
      </c>
      <c r="Q916" s="27" t="str" cm="1">
        <f t="array" ref="Q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Table8[المركز]
         ),
         ""
      ),
      IF(_xlpm.result="", "", _xlpm.result)
   )
)</f>
        <v/>
      </c>
      <c r="R916" s="27" t="str" cm="1">
        <f t="array" ref="R916">IF(
   A916="",
   "",
   _xlfn.LET(
      _xlpm.result,
      IFERROR(
         _xlfn.XLOOKUP(
            1,
            (Table8[رقم الصنف]=A916) *
            (IF($B$9="الكل",1, YEAR('ادخال البيانات'!$N$3:$N$1164) = VALUE($B$9))) *
            (IF($B$10="الكل",1, MONTH('ادخال البيانات'!$N$3:$N$1164) = VALUE($B$10))) *
            (IF($B$11="الكل",1, INT((DAY('ادخال البيانات'!$N$3:$N$1164) - 1) / 7) + 1 = VALUE($B$11))),
            Table8[ملاحظة]
         ),
         ""
      ),
      IF(_xlpm.result="", "", _xlpm.result)
   )
)</f>
        <v/>
      </c>
      <c r="S916" s="46" t="str">
        <f t="shared" ca="1" si="15"/>
        <v/>
      </c>
    </row>
    <row r="917" spans="1:19" ht="15.6" thickTop="1" thickBot="1" x14ac:dyDescent="0.35">
      <c r="A917" s="39"/>
      <c r="B917" s="27" t="str" cm="1">
        <f t="array" ref="B917">IF(
   OR(A917="", $B$9="", $B$10="", $B$11=""),
   "",
   _xlfn.LET(
      _xlpm.result,
      IFERROR(
         _xlfn.XLOOKUP(
            1,
            (Table8[رقم الصنف]=A917)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7" s="27" t="str" cm="1">
        <f t="array" ref="C917">IF(
   A917="",
   "",
   _xlfn.LET(
      _xlpm.result,
      IFERROR(
         _xlfn.XLOOKUP(
            1,
            (Table8[رقم الصنف]=A917) *
            (IF($B$9="الكل",1, YEAR('ادخال البيانات'!$N$3:$N$1164) = VALUE($B$9))) *
            (IF($B$10="الكل",1, MONTH('ادخال البيانات'!$N$3:$N$1164) = VALUE($B$10))) *
            (IF($B$11="الكل",1, INT((DAY('ادخال البيانات'!$N$3:$N$1164)-1)/7)+1 = VALUE($B$11))),
            'ادخال البيانات'!$C$3:$C$1164
         ),
         ""
      ),
      IF(_xlpm.result="", "", _xlpm.result)
   )
)</f>
        <v/>
      </c>
      <c r="D917" s="27" t="str" cm="1">
        <f t="array" ref="D917">IF(
   OR(A917="", $B$9="", $B$10="", $B$11=""),
   "",
   _xlfn.LET(
      _xlpm.result,
      IFERROR(
         _xlfn.XLOOKUP(
            1,
            (Table8[رقم الصنف]=A917) *
            (IF($B$9="الكل",1, YEAR('ادخال البيانات'!$N$3:$N$1164)=VALUE($B$9))) *
            (IF($B$10="الكل",1, MONTH('ادخال البيانات'!$N$3:$N$1164)=VALUE($B$10))) *
            (IF($B$11="الكل",1, INT((DAY('ادخال البيانات'!$N$3:$N$1164)-1)/7)+1 = VALUE($B$11))),
            'ادخال البيانات'!$D$3:$D$1164
         ),
         ""
      ),
      IF(_xlpm.result="", "", _xlpm.result)
   )
)</f>
        <v/>
      </c>
      <c r="E917" s="27" t="str" cm="1">
        <f t="array" ref="E917">IF(
   A917="",
   "",
   _xlfn.LET(
      _xlpm.result,
      IFERROR(
         _xlfn.XLOOKUP(
            1,
            (Table8[رقم الصنف]=A917) *
            (IF($B$9="الكل",1, YEAR('ادخال البيانات'!$N$3:$N$1164)=VALUE($B$9))) *
            (IF($B$10="الكل",1, MONTH('ادخال البيانات'!$N$3:$N$1164)=VALUE($B$10))) *
            (IF($B$11="الكل",1, INT((DAY('ادخال البيانات'!$N$3:$N$1164)-1)/7)+1 = VALUE($B$11))),
            'ادخال البيانات'!$E$3:$E$1164
         ),
         ""
      ),
      IF(_xlpm.result="", "", _xlpm.result)
   )
)</f>
        <v/>
      </c>
      <c r="F917" s="27" t="str" cm="1">
        <f t="array" ref="F917">IF(
   A917="",
   "",
   _xlfn.LET(
      _xlpm.result,
      IFERROR(
         _xlfn.XLOOKUP(
            1,
            (Table8[رقم الصنف]=A917) *
            (IF($B$9="الكل",1, YEAR('ادخال البيانات'!$N$3:$N$1164) = VALUE($B$9))) *
            (IF($B$10="الكل",1, MONTH('ادخال البيانات'!$N$3:$N$1164) = VALUE($B$10))) *
            (IF($B$11="الكل",1, INT((DAY('ادخال البيانات'!$N$3:$N$1164)-1)/7)+1 = VALUE($B$11))),
            'ادخال البيانات'!$F$3:$F$1164
         ),
         ""
      ),
      IF(_xlpm.result="", "", _xlpm.result)
   )
)</f>
        <v/>
      </c>
      <c r="G917" s="27" t="str" cm="1">
        <f t="array" ref="G917">IF(
   A917="",
   "",
   _xlfn.LET(
      _xlpm.result,
      IFERROR(
         _xlfn.XLOOKUP(
            1,
            (Table8[رقم الصنف]=A917) *
            (IF($B$9="الكل",1, YEAR('ادخال البيانات'!$N$3:$N$1164)=VALUE($B$9))) *
            (IF($B$10="الكل",1, MONTH('ادخال البيانات'!$N$3:$N$1164)=VALUE($B$10))) *
            (IF($B$11="الكل",1, INT((DAY('ادخال البيانات'!$N$3:$N$1164)-1)/7)+1 = VALUE($B$11))),
            'ادخال البيانات'!$G$3:$G$1164
         ),
         ""
      ),
      IF(_xlpm.result="", "", _xlpm.result)
   )
)</f>
        <v/>
      </c>
      <c r="H917" s="27" t="str" cm="1">
        <f t="array" ref="H917">IF(
   A917="",
   "",
   _xlfn.LET(
      _xlpm.result,
      IFERROR(
         _xlfn.XLOOKUP(
            1,
            (Table8[رقم الصنف]=A917) *
            (IF($B$9="الكل",1, YEAR('ادخال البيانات'!$N$3:$N$1164)=VALUE($B$9))) *
            (IF($B$10="الكل",1, MONTH('ادخال البيانات'!$N$3:$N$1164)=VALUE($B$10))) *
            (IF($B$11="الكل",1, INT((DAY('ادخال البيانات'!$N$3:$N$1164)-1)/7)+1 = VALUE($B$11))),
            'ادخال البيانات'!$H$3:$H$1164
         ),
         ""
      ),
      IF(_xlpm.result="", "", _xlpm.result)
   )
)</f>
        <v/>
      </c>
      <c r="I917" s="27" t="str" cm="1">
        <f t="array" ref="I917">IF(
   A917="",
   "",
   _xlfn.LET(
      _xlpm.result,
      IFERROR(
         _xlfn.XLOOKUP(
            1,
            (Table8[رقم الصنف]=A917) *
            (IF($B$9="الكل",1, YEAR('ادخال البيانات'!$N$3:$N$1164)=VALUE($B$9))) *
            (IF($B$10="الكل",1, MONTH('ادخال البيانات'!$N$3:$N$1164)=VALUE($B$10))) *
            (IF($B$11="الكل",1, INT((DAY('ادخال البيانات'!$N$3:$N$1164)-1)/7)+1 = VALUE($B$11))),
            'ادخال البيانات'!$I$3:$I$1164
         ),
         ""
      ),
      IF(_xlpm.result="", "", _xlpm.result)
   )
)</f>
        <v/>
      </c>
      <c r="J917" s="27" t="str" cm="1">
        <f t="array" ref="J917">IF(
   A917="",
   "",
   _xlfn.LET(
      _xlpm.result,
      IFERROR(
         _xlfn.XLOOKUP(
            1,
            (Table8[رقم الصنف]=A917) *
            (IF($B$9="الكل",1, YEAR('ادخال البيانات'!$N$3:$N$1164)=VALUE($B$9))) *
            (IF($B$10="الكل",1, MONTH('ادخال البيانات'!$N$3:$N$1164)=VALUE($B$10))) *
            (IF($B$11="الكل",1, INT((DAY('ادخال البيانات'!$N$3:$N$1164)-1)/7)+1 = VALUE($B$11))),
            'ادخال البيانات'!$J$3:$J$1164
         ),
         ""
      ),
      IF(_xlpm.result="", "", _xlpm.result)
   )
)</f>
        <v/>
      </c>
      <c r="K917" s="27" t="str" cm="1">
        <f t="array" ref="K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7" s="27" t="str" cm="1">
        <f t="array" ref="L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7" s="27" t="str" cm="1">
        <f t="array" ref="M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7" s="28" t="str" cm="1">
        <f t="array" ref="N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7" s="28" t="str" cm="1">
        <f t="array" ref="O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7" s="27" t="str" cm="1">
        <f t="array" ref="P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Table8[جهة العطل]
         ),
         ""
      ),
      IF(_xlpm.result="", "", _xlpm.result)
   )
)</f>
        <v/>
      </c>
      <c r="Q917" s="27" t="str" cm="1">
        <f t="array" ref="Q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Table8[المركز]
         ),
         ""
      ),
      IF(_xlpm.result="", "", _xlpm.result)
   )
)</f>
        <v/>
      </c>
      <c r="R917" s="27" t="str" cm="1">
        <f t="array" ref="R917">IF(
   A917="",
   "",
   _xlfn.LET(
      _xlpm.result,
      IFERROR(
         _xlfn.XLOOKUP(
            1,
            (Table8[رقم الصنف]=A917) *
            (IF($B$9="الكل",1, YEAR('ادخال البيانات'!$N$3:$N$1164) = VALUE($B$9))) *
            (IF($B$10="الكل",1, MONTH('ادخال البيانات'!$N$3:$N$1164) = VALUE($B$10))) *
            (IF($B$11="الكل",1, INT((DAY('ادخال البيانات'!$N$3:$N$1164) - 1) / 7) + 1 = VALUE($B$11))),
            Table8[ملاحظة]
         ),
         ""
      ),
      IF(_xlpm.result="", "", _xlpm.result)
   )
)</f>
        <v/>
      </c>
      <c r="S917" s="46" t="str">
        <f t="shared" ca="1" si="15"/>
        <v/>
      </c>
    </row>
    <row r="918" spans="1:19" ht="15.6" thickTop="1" thickBot="1" x14ac:dyDescent="0.35">
      <c r="A918" s="39"/>
      <c r="B918" s="27" t="str" cm="1">
        <f t="array" ref="B918">IF(
   OR(A918="", $B$9="", $B$10="", $B$11=""),
   "",
   _xlfn.LET(
      _xlpm.result,
      IFERROR(
         _xlfn.XLOOKUP(
            1,
            (Table8[رقم الصنف]=A918)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8" s="27" t="str" cm="1">
        <f t="array" ref="C918">IF(
   A918="",
   "",
   _xlfn.LET(
      _xlpm.result,
      IFERROR(
         _xlfn.XLOOKUP(
            1,
            (Table8[رقم الصنف]=A918) *
            (IF($B$9="الكل",1, YEAR('ادخال البيانات'!$N$3:$N$1164) = VALUE($B$9))) *
            (IF($B$10="الكل",1, MONTH('ادخال البيانات'!$N$3:$N$1164) = VALUE($B$10))) *
            (IF($B$11="الكل",1, INT((DAY('ادخال البيانات'!$N$3:$N$1164)-1)/7)+1 = VALUE($B$11))),
            'ادخال البيانات'!$C$3:$C$1164
         ),
         ""
      ),
      IF(_xlpm.result="", "", _xlpm.result)
   )
)</f>
        <v/>
      </c>
      <c r="D918" s="27" t="str" cm="1">
        <f t="array" ref="D918">IF(
   OR(A918="", $B$9="", $B$10="", $B$11=""),
   "",
   _xlfn.LET(
      _xlpm.result,
      IFERROR(
         _xlfn.XLOOKUP(
            1,
            (Table8[رقم الصنف]=A918) *
            (IF($B$9="الكل",1, YEAR('ادخال البيانات'!$N$3:$N$1164)=VALUE($B$9))) *
            (IF($B$10="الكل",1, MONTH('ادخال البيانات'!$N$3:$N$1164)=VALUE($B$10))) *
            (IF($B$11="الكل",1, INT((DAY('ادخال البيانات'!$N$3:$N$1164)-1)/7)+1 = VALUE($B$11))),
            'ادخال البيانات'!$D$3:$D$1164
         ),
         ""
      ),
      IF(_xlpm.result="", "", _xlpm.result)
   )
)</f>
        <v/>
      </c>
      <c r="E918" s="27" t="str" cm="1">
        <f t="array" ref="E918">IF(
   A918="",
   "",
   _xlfn.LET(
      _xlpm.result,
      IFERROR(
         _xlfn.XLOOKUP(
            1,
            (Table8[رقم الصنف]=A918) *
            (IF($B$9="الكل",1, YEAR('ادخال البيانات'!$N$3:$N$1164)=VALUE($B$9))) *
            (IF($B$10="الكل",1, MONTH('ادخال البيانات'!$N$3:$N$1164)=VALUE($B$10))) *
            (IF($B$11="الكل",1, INT((DAY('ادخال البيانات'!$N$3:$N$1164)-1)/7)+1 = VALUE($B$11))),
            'ادخال البيانات'!$E$3:$E$1164
         ),
         ""
      ),
      IF(_xlpm.result="", "", _xlpm.result)
   )
)</f>
        <v/>
      </c>
      <c r="F918" s="27" t="str" cm="1">
        <f t="array" ref="F918">IF(
   A918="",
   "",
   _xlfn.LET(
      _xlpm.result,
      IFERROR(
         _xlfn.XLOOKUP(
            1,
            (Table8[رقم الصنف]=A918) *
            (IF($B$9="الكل",1, YEAR('ادخال البيانات'!$N$3:$N$1164) = VALUE($B$9))) *
            (IF($B$10="الكل",1, MONTH('ادخال البيانات'!$N$3:$N$1164) = VALUE($B$10))) *
            (IF($B$11="الكل",1, INT((DAY('ادخال البيانات'!$N$3:$N$1164)-1)/7)+1 = VALUE($B$11))),
            'ادخال البيانات'!$F$3:$F$1164
         ),
         ""
      ),
      IF(_xlpm.result="", "", _xlpm.result)
   )
)</f>
        <v/>
      </c>
      <c r="G918" s="27" t="str" cm="1">
        <f t="array" ref="G918">IF(
   A918="",
   "",
   _xlfn.LET(
      _xlpm.result,
      IFERROR(
         _xlfn.XLOOKUP(
            1,
            (Table8[رقم الصنف]=A918) *
            (IF($B$9="الكل",1, YEAR('ادخال البيانات'!$N$3:$N$1164)=VALUE($B$9))) *
            (IF($B$10="الكل",1, MONTH('ادخال البيانات'!$N$3:$N$1164)=VALUE($B$10))) *
            (IF($B$11="الكل",1, INT((DAY('ادخال البيانات'!$N$3:$N$1164)-1)/7)+1 = VALUE($B$11))),
            'ادخال البيانات'!$G$3:$G$1164
         ),
         ""
      ),
      IF(_xlpm.result="", "", _xlpm.result)
   )
)</f>
        <v/>
      </c>
      <c r="H918" s="27" t="str" cm="1">
        <f t="array" ref="H918">IF(
   A918="",
   "",
   _xlfn.LET(
      _xlpm.result,
      IFERROR(
         _xlfn.XLOOKUP(
            1,
            (Table8[رقم الصنف]=A918) *
            (IF($B$9="الكل",1, YEAR('ادخال البيانات'!$N$3:$N$1164)=VALUE($B$9))) *
            (IF($B$10="الكل",1, MONTH('ادخال البيانات'!$N$3:$N$1164)=VALUE($B$10))) *
            (IF($B$11="الكل",1, INT((DAY('ادخال البيانات'!$N$3:$N$1164)-1)/7)+1 = VALUE($B$11))),
            'ادخال البيانات'!$H$3:$H$1164
         ),
         ""
      ),
      IF(_xlpm.result="", "", _xlpm.result)
   )
)</f>
        <v/>
      </c>
      <c r="I918" s="27" t="str" cm="1">
        <f t="array" ref="I918">IF(
   A918="",
   "",
   _xlfn.LET(
      _xlpm.result,
      IFERROR(
         _xlfn.XLOOKUP(
            1,
            (Table8[رقم الصنف]=A918) *
            (IF($B$9="الكل",1, YEAR('ادخال البيانات'!$N$3:$N$1164)=VALUE($B$9))) *
            (IF($B$10="الكل",1, MONTH('ادخال البيانات'!$N$3:$N$1164)=VALUE($B$10))) *
            (IF($B$11="الكل",1, INT((DAY('ادخال البيانات'!$N$3:$N$1164)-1)/7)+1 = VALUE($B$11))),
            'ادخال البيانات'!$I$3:$I$1164
         ),
         ""
      ),
      IF(_xlpm.result="", "", _xlpm.result)
   )
)</f>
        <v/>
      </c>
      <c r="J918" s="27" t="str" cm="1">
        <f t="array" ref="J918">IF(
   A918="",
   "",
   _xlfn.LET(
      _xlpm.result,
      IFERROR(
         _xlfn.XLOOKUP(
            1,
            (Table8[رقم الصنف]=A918) *
            (IF($B$9="الكل",1, YEAR('ادخال البيانات'!$N$3:$N$1164)=VALUE($B$9))) *
            (IF($B$10="الكل",1, MONTH('ادخال البيانات'!$N$3:$N$1164)=VALUE($B$10))) *
            (IF($B$11="الكل",1, INT((DAY('ادخال البيانات'!$N$3:$N$1164)-1)/7)+1 = VALUE($B$11))),
            'ادخال البيانات'!$J$3:$J$1164
         ),
         ""
      ),
      IF(_xlpm.result="", "", _xlpm.result)
   )
)</f>
        <v/>
      </c>
      <c r="K918" s="27" t="str" cm="1">
        <f t="array" ref="K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8" s="27" t="str" cm="1">
        <f t="array" ref="L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8" s="27" t="str" cm="1">
        <f t="array" ref="M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8" s="28" t="str" cm="1">
        <f t="array" ref="N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8" s="28" t="str" cm="1">
        <f t="array" ref="O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8" s="27" t="str" cm="1">
        <f t="array" ref="P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Table8[جهة العطل]
         ),
         ""
      ),
      IF(_xlpm.result="", "", _xlpm.result)
   )
)</f>
        <v/>
      </c>
      <c r="Q918" s="27" t="str" cm="1">
        <f t="array" ref="Q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Table8[المركز]
         ),
         ""
      ),
      IF(_xlpm.result="", "", _xlpm.result)
   )
)</f>
        <v/>
      </c>
      <c r="R918" s="27" t="str" cm="1">
        <f t="array" ref="R918">IF(
   A918="",
   "",
   _xlfn.LET(
      _xlpm.result,
      IFERROR(
         _xlfn.XLOOKUP(
            1,
            (Table8[رقم الصنف]=A918) *
            (IF($B$9="الكل",1, YEAR('ادخال البيانات'!$N$3:$N$1164) = VALUE($B$9))) *
            (IF($B$10="الكل",1, MONTH('ادخال البيانات'!$N$3:$N$1164) = VALUE($B$10))) *
            (IF($B$11="الكل",1, INT((DAY('ادخال البيانات'!$N$3:$N$1164) - 1) / 7) + 1 = VALUE($B$11))),
            Table8[ملاحظة]
         ),
         ""
      ),
      IF(_xlpm.result="", "", _xlpm.result)
   )
)</f>
        <v/>
      </c>
      <c r="S918" s="46" t="str">
        <f t="shared" ca="1" si="15"/>
        <v/>
      </c>
    </row>
    <row r="919" spans="1:19" ht="15.6" thickTop="1" thickBot="1" x14ac:dyDescent="0.35">
      <c r="A919" s="39"/>
      <c r="B919" s="27" t="str" cm="1">
        <f t="array" ref="B919">IF(
   OR(A919="", $B$9="", $B$10="", $B$11=""),
   "",
   _xlfn.LET(
      _xlpm.result,
      IFERROR(
         _xlfn.XLOOKUP(
            1,
            (Table8[رقم الصنف]=A919)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19" s="27" t="str" cm="1">
        <f t="array" ref="C919">IF(
   A919="",
   "",
   _xlfn.LET(
      _xlpm.result,
      IFERROR(
         _xlfn.XLOOKUP(
            1,
            (Table8[رقم الصنف]=A919) *
            (IF($B$9="الكل",1, YEAR('ادخال البيانات'!$N$3:$N$1164) = VALUE($B$9))) *
            (IF($B$10="الكل",1, MONTH('ادخال البيانات'!$N$3:$N$1164) = VALUE($B$10))) *
            (IF($B$11="الكل",1, INT((DAY('ادخال البيانات'!$N$3:$N$1164)-1)/7)+1 = VALUE($B$11))),
            'ادخال البيانات'!$C$3:$C$1164
         ),
         ""
      ),
      IF(_xlpm.result="", "", _xlpm.result)
   )
)</f>
        <v/>
      </c>
      <c r="D919" s="27" t="str" cm="1">
        <f t="array" ref="D919">IF(
   OR(A919="", $B$9="", $B$10="", $B$11=""),
   "",
   _xlfn.LET(
      _xlpm.result,
      IFERROR(
         _xlfn.XLOOKUP(
            1,
            (Table8[رقم الصنف]=A919) *
            (IF($B$9="الكل",1, YEAR('ادخال البيانات'!$N$3:$N$1164)=VALUE($B$9))) *
            (IF($B$10="الكل",1, MONTH('ادخال البيانات'!$N$3:$N$1164)=VALUE($B$10))) *
            (IF($B$11="الكل",1, INT((DAY('ادخال البيانات'!$N$3:$N$1164)-1)/7)+1 = VALUE($B$11))),
            'ادخال البيانات'!$D$3:$D$1164
         ),
         ""
      ),
      IF(_xlpm.result="", "", _xlpm.result)
   )
)</f>
        <v/>
      </c>
      <c r="E919" s="27" t="str" cm="1">
        <f t="array" ref="E919">IF(
   A919="",
   "",
   _xlfn.LET(
      _xlpm.result,
      IFERROR(
         _xlfn.XLOOKUP(
            1,
            (Table8[رقم الصنف]=A919) *
            (IF($B$9="الكل",1, YEAR('ادخال البيانات'!$N$3:$N$1164)=VALUE($B$9))) *
            (IF($B$10="الكل",1, MONTH('ادخال البيانات'!$N$3:$N$1164)=VALUE($B$10))) *
            (IF($B$11="الكل",1, INT((DAY('ادخال البيانات'!$N$3:$N$1164)-1)/7)+1 = VALUE($B$11))),
            'ادخال البيانات'!$E$3:$E$1164
         ),
         ""
      ),
      IF(_xlpm.result="", "", _xlpm.result)
   )
)</f>
        <v/>
      </c>
      <c r="F919" s="27" t="str" cm="1">
        <f t="array" ref="F919">IF(
   A919="",
   "",
   _xlfn.LET(
      _xlpm.result,
      IFERROR(
         _xlfn.XLOOKUP(
            1,
            (Table8[رقم الصنف]=A919) *
            (IF($B$9="الكل",1, YEAR('ادخال البيانات'!$N$3:$N$1164) = VALUE($B$9))) *
            (IF($B$10="الكل",1, MONTH('ادخال البيانات'!$N$3:$N$1164) = VALUE($B$10))) *
            (IF($B$11="الكل",1, INT((DAY('ادخال البيانات'!$N$3:$N$1164)-1)/7)+1 = VALUE($B$11))),
            'ادخال البيانات'!$F$3:$F$1164
         ),
         ""
      ),
      IF(_xlpm.result="", "", _xlpm.result)
   )
)</f>
        <v/>
      </c>
      <c r="G919" s="27" t="str" cm="1">
        <f t="array" ref="G919">IF(
   A919="",
   "",
   _xlfn.LET(
      _xlpm.result,
      IFERROR(
         _xlfn.XLOOKUP(
            1,
            (Table8[رقم الصنف]=A919) *
            (IF($B$9="الكل",1, YEAR('ادخال البيانات'!$N$3:$N$1164)=VALUE($B$9))) *
            (IF($B$10="الكل",1, MONTH('ادخال البيانات'!$N$3:$N$1164)=VALUE($B$10))) *
            (IF($B$11="الكل",1, INT((DAY('ادخال البيانات'!$N$3:$N$1164)-1)/7)+1 = VALUE($B$11))),
            'ادخال البيانات'!$G$3:$G$1164
         ),
         ""
      ),
      IF(_xlpm.result="", "", _xlpm.result)
   )
)</f>
        <v/>
      </c>
      <c r="H919" s="27" t="str" cm="1">
        <f t="array" ref="H919">IF(
   A919="",
   "",
   _xlfn.LET(
      _xlpm.result,
      IFERROR(
         _xlfn.XLOOKUP(
            1,
            (Table8[رقم الصنف]=A919) *
            (IF($B$9="الكل",1, YEAR('ادخال البيانات'!$N$3:$N$1164)=VALUE($B$9))) *
            (IF($B$10="الكل",1, MONTH('ادخال البيانات'!$N$3:$N$1164)=VALUE($B$10))) *
            (IF($B$11="الكل",1, INT((DAY('ادخال البيانات'!$N$3:$N$1164)-1)/7)+1 = VALUE($B$11))),
            'ادخال البيانات'!$H$3:$H$1164
         ),
         ""
      ),
      IF(_xlpm.result="", "", _xlpm.result)
   )
)</f>
        <v/>
      </c>
      <c r="I919" s="27" t="str" cm="1">
        <f t="array" ref="I919">IF(
   A919="",
   "",
   _xlfn.LET(
      _xlpm.result,
      IFERROR(
         _xlfn.XLOOKUP(
            1,
            (Table8[رقم الصنف]=A919) *
            (IF($B$9="الكل",1, YEAR('ادخال البيانات'!$N$3:$N$1164)=VALUE($B$9))) *
            (IF($B$10="الكل",1, MONTH('ادخال البيانات'!$N$3:$N$1164)=VALUE($B$10))) *
            (IF($B$11="الكل",1, INT((DAY('ادخال البيانات'!$N$3:$N$1164)-1)/7)+1 = VALUE($B$11))),
            'ادخال البيانات'!$I$3:$I$1164
         ),
         ""
      ),
      IF(_xlpm.result="", "", _xlpm.result)
   )
)</f>
        <v/>
      </c>
      <c r="J919" s="27" t="str" cm="1">
        <f t="array" ref="J919">IF(
   A919="",
   "",
   _xlfn.LET(
      _xlpm.result,
      IFERROR(
         _xlfn.XLOOKUP(
            1,
            (Table8[رقم الصنف]=A919) *
            (IF($B$9="الكل",1, YEAR('ادخال البيانات'!$N$3:$N$1164)=VALUE($B$9))) *
            (IF($B$10="الكل",1, MONTH('ادخال البيانات'!$N$3:$N$1164)=VALUE($B$10))) *
            (IF($B$11="الكل",1, INT((DAY('ادخال البيانات'!$N$3:$N$1164)-1)/7)+1 = VALUE($B$11))),
            'ادخال البيانات'!$J$3:$J$1164
         ),
         ""
      ),
      IF(_xlpm.result="", "", _xlpm.result)
   )
)</f>
        <v/>
      </c>
      <c r="K919" s="27" t="str" cm="1">
        <f t="array" ref="K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19" s="27" t="str" cm="1">
        <f t="array" ref="L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19" s="27" t="str" cm="1">
        <f t="array" ref="M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19" s="28" t="str" cm="1">
        <f t="array" ref="N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19" s="28" t="str" cm="1">
        <f t="array" ref="O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19" s="27" t="str" cm="1">
        <f t="array" ref="P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Table8[جهة العطل]
         ),
         ""
      ),
      IF(_xlpm.result="", "", _xlpm.result)
   )
)</f>
        <v/>
      </c>
      <c r="Q919" s="27" t="str" cm="1">
        <f t="array" ref="Q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Table8[المركز]
         ),
         ""
      ),
      IF(_xlpm.result="", "", _xlpm.result)
   )
)</f>
        <v/>
      </c>
      <c r="R919" s="27" t="str" cm="1">
        <f t="array" ref="R919">IF(
   A919="",
   "",
   _xlfn.LET(
      _xlpm.result,
      IFERROR(
         _xlfn.XLOOKUP(
            1,
            (Table8[رقم الصنف]=A919) *
            (IF($B$9="الكل",1, YEAR('ادخال البيانات'!$N$3:$N$1164) = VALUE($B$9))) *
            (IF($B$10="الكل",1, MONTH('ادخال البيانات'!$N$3:$N$1164) = VALUE($B$10))) *
            (IF($B$11="الكل",1, INT((DAY('ادخال البيانات'!$N$3:$N$1164) - 1) / 7) + 1 = VALUE($B$11))),
            Table8[ملاحظة]
         ),
         ""
      ),
      IF(_xlpm.result="", "", _xlpm.result)
   )
)</f>
        <v/>
      </c>
      <c r="S919" s="46" t="str">
        <f t="shared" ca="1" si="15"/>
        <v/>
      </c>
    </row>
    <row r="920" spans="1:19" ht="15.6" thickTop="1" thickBot="1" x14ac:dyDescent="0.35">
      <c r="A920" s="39"/>
      <c r="B920" s="27" t="str" cm="1">
        <f t="array" ref="B920">IF(
   OR(A920="", $B$9="", $B$10="", $B$11=""),
   "",
   _xlfn.LET(
      _xlpm.result,
      IFERROR(
         _xlfn.XLOOKUP(
            1,
            (Table8[رقم الصنف]=A920)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0" s="27" t="str" cm="1">
        <f t="array" ref="C920">IF(
   A920="",
   "",
   _xlfn.LET(
      _xlpm.result,
      IFERROR(
         _xlfn.XLOOKUP(
            1,
            (Table8[رقم الصنف]=A920) *
            (IF($B$9="الكل",1, YEAR('ادخال البيانات'!$N$3:$N$1164) = VALUE($B$9))) *
            (IF($B$10="الكل",1, MONTH('ادخال البيانات'!$N$3:$N$1164) = VALUE($B$10))) *
            (IF($B$11="الكل",1, INT((DAY('ادخال البيانات'!$N$3:$N$1164)-1)/7)+1 = VALUE($B$11))),
            'ادخال البيانات'!$C$3:$C$1164
         ),
         ""
      ),
      IF(_xlpm.result="", "", _xlpm.result)
   )
)</f>
        <v/>
      </c>
      <c r="D920" s="27" t="str" cm="1">
        <f t="array" ref="D920">IF(
   OR(A920="", $B$9="", $B$10="", $B$11=""),
   "",
   _xlfn.LET(
      _xlpm.result,
      IFERROR(
         _xlfn.XLOOKUP(
            1,
            (Table8[رقم الصنف]=A920) *
            (IF($B$9="الكل",1, YEAR('ادخال البيانات'!$N$3:$N$1164)=VALUE($B$9))) *
            (IF($B$10="الكل",1, MONTH('ادخال البيانات'!$N$3:$N$1164)=VALUE($B$10))) *
            (IF($B$11="الكل",1, INT((DAY('ادخال البيانات'!$N$3:$N$1164)-1)/7)+1 = VALUE($B$11))),
            'ادخال البيانات'!$D$3:$D$1164
         ),
         ""
      ),
      IF(_xlpm.result="", "", _xlpm.result)
   )
)</f>
        <v/>
      </c>
      <c r="E920" s="27" t="str" cm="1">
        <f t="array" ref="E920">IF(
   A920="",
   "",
   _xlfn.LET(
      _xlpm.result,
      IFERROR(
         _xlfn.XLOOKUP(
            1,
            (Table8[رقم الصنف]=A920) *
            (IF($B$9="الكل",1, YEAR('ادخال البيانات'!$N$3:$N$1164)=VALUE($B$9))) *
            (IF($B$10="الكل",1, MONTH('ادخال البيانات'!$N$3:$N$1164)=VALUE($B$10))) *
            (IF($B$11="الكل",1, INT((DAY('ادخال البيانات'!$N$3:$N$1164)-1)/7)+1 = VALUE($B$11))),
            'ادخال البيانات'!$E$3:$E$1164
         ),
         ""
      ),
      IF(_xlpm.result="", "", _xlpm.result)
   )
)</f>
        <v/>
      </c>
      <c r="F920" s="27" t="str" cm="1">
        <f t="array" ref="F920">IF(
   A920="",
   "",
   _xlfn.LET(
      _xlpm.result,
      IFERROR(
         _xlfn.XLOOKUP(
            1,
            (Table8[رقم الصنف]=A920) *
            (IF($B$9="الكل",1, YEAR('ادخال البيانات'!$N$3:$N$1164) = VALUE($B$9))) *
            (IF($B$10="الكل",1, MONTH('ادخال البيانات'!$N$3:$N$1164) = VALUE($B$10))) *
            (IF($B$11="الكل",1, INT((DAY('ادخال البيانات'!$N$3:$N$1164)-1)/7)+1 = VALUE($B$11))),
            'ادخال البيانات'!$F$3:$F$1164
         ),
         ""
      ),
      IF(_xlpm.result="", "", _xlpm.result)
   )
)</f>
        <v/>
      </c>
      <c r="G920" s="27" t="str" cm="1">
        <f t="array" ref="G920">IF(
   A920="",
   "",
   _xlfn.LET(
      _xlpm.result,
      IFERROR(
         _xlfn.XLOOKUP(
            1,
            (Table8[رقم الصنف]=A920) *
            (IF($B$9="الكل",1, YEAR('ادخال البيانات'!$N$3:$N$1164)=VALUE($B$9))) *
            (IF($B$10="الكل",1, MONTH('ادخال البيانات'!$N$3:$N$1164)=VALUE($B$10))) *
            (IF($B$11="الكل",1, INT((DAY('ادخال البيانات'!$N$3:$N$1164)-1)/7)+1 = VALUE($B$11))),
            'ادخال البيانات'!$G$3:$G$1164
         ),
         ""
      ),
      IF(_xlpm.result="", "", _xlpm.result)
   )
)</f>
        <v/>
      </c>
      <c r="H920" s="27" t="str" cm="1">
        <f t="array" ref="H920">IF(
   A920="",
   "",
   _xlfn.LET(
      _xlpm.result,
      IFERROR(
         _xlfn.XLOOKUP(
            1,
            (Table8[رقم الصنف]=A920) *
            (IF($B$9="الكل",1, YEAR('ادخال البيانات'!$N$3:$N$1164)=VALUE($B$9))) *
            (IF($B$10="الكل",1, MONTH('ادخال البيانات'!$N$3:$N$1164)=VALUE($B$10))) *
            (IF($B$11="الكل",1, INT((DAY('ادخال البيانات'!$N$3:$N$1164)-1)/7)+1 = VALUE($B$11))),
            'ادخال البيانات'!$H$3:$H$1164
         ),
         ""
      ),
      IF(_xlpm.result="", "", _xlpm.result)
   )
)</f>
        <v/>
      </c>
      <c r="I920" s="27" t="str" cm="1">
        <f t="array" ref="I920">IF(
   A920="",
   "",
   _xlfn.LET(
      _xlpm.result,
      IFERROR(
         _xlfn.XLOOKUP(
            1,
            (Table8[رقم الصنف]=A920) *
            (IF($B$9="الكل",1, YEAR('ادخال البيانات'!$N$3:$N$1164)=VALUE($B$9))) *
            (IF($B$10="الكل",1, MONTH('ادخال البيانات'!$N$3:$N$1164)=VALUE($B$10))) *
            (IF($B$11="الكل",1, INT((DAY('ادخال البيانات'!$N$3:$N$1164)-1)/7)+1 = VALUE($B$11))),
            'ادخال البيانات'!$I$3:$I$1164
         ),
         ""
      ),
      IF(_xlpm.result="", "", _xlpm.result)
   )
)</f>
        <v/>
      </c>
      <c r="J920" s="27" t="str" cm="1">
        <f t="array" ref="J920">IF(
   A920="",
   "",
   _xlfn.LET(
      _xlpm.result,
      IFERROR(
         _xlfn.XLOOKUP(
            1,
            (Table8[رقم الصنف]=A920) *
            (IF($B$9="الكل",1, YEAR('ادخال البيانات'!$N$3:$N$1164)=VALUE($B$9))) *
            (IF($B$10="الكل",1, MONTH('ادخال البيانات'!$N$3:$N$1164)=VALUE($B$10))) *
            (IF($B$11="الكل",1, INT((DAY('ادخال البيانات'!$N$3:$N$1164)-1)/7)+1 = VALUE($B$11))),
            'ادخال البيانات'!$J$3:$J$1164
         ),
         ""
      ),
      IF(_xlpm.result="", "", _xlpm.result)
   )
)</f>
        <v/>
      </c>
      <c r="K920" s="27" t="str" cm="1">
        <f t="array" ref="K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0" s="27" t="str" cm="1">
        <f t="array" ref="L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0" s="27" t="str" cm="1">
        <f t="array" ref="M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0" s="28" t="str" cm="1">
        <f t="array" ref="N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0" s="28" t="str" cm="1">
        <f t="array" ref="O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0" s="27" t="str" cm="1">
        <f t="array" ref="P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Table8[جهة العطل]
         ),
         ""
      ),
      IF(_xlpm.result="", "", _xlpm.result)
   )
)</f>
        <v/>
      </c>
      <c r="Q920" s="27" t="str" cm="1">
        <f t="array" ref="Q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Table8[المركز]
         ),
         ""
      ),
      IF(_xlpm.result="", "", _xlpm.result)
   )
)</f>
        <v/>
      </c>
      <c r="R920" s="27" t="str" cm="1">
        <f t="array" ref="R920">IF(
   A920="",
   "",
   _xlfn.LET(
      _xlpm.result,
      IFERROR(
         _xlfn.XLOOKUP(
            1,
            (Table8[رقم الصنف]=A920) *
            (IF($B$9="الكل",1, YEAR('ادخال البيانات'!$N$3:$N$1164) = VALUE($B$9))) *
            (IF($B$10="الكل",1, MONTH('ادخال البيانات'!$N$3:$N$1164) = VALUE($B$10))) *
            (IF($B$11="الكل",1, INT((DAY('ادخال البيانات'!$N$3:$N$1164) - 1) / 7) + 1 = VALUE($B$11))),
            Table8[ملاحظة]
         ),
         ""
      ),
      IF(_xlpm.result="", "", _xlpm.result)
   )
)</f>
        <v/>
      </c>
      <c r="S920" s="46" t="str">
        <f t="shared" ca="1" si="15"/>
        <v/>
      </c>
    </row>
    <row r="921" spans="1:19" ht="15.6" thickTop="1" thickBot="1" x14ac:dyDescent="0.35">
      <c r="A921" s="39"/>
      <c r="B921" s="27" t="str" cm="1">
        <f t="array" ref="B921">IF(
   OR(A921="", $B$9="", $B$10="", $B$11=""),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1" s="27" t="str" cm="1">
        <f t="array" ref="C921">IF(
   A921="",
   "",
   _xlfn.LET(
      _xlpm.result,
      IFERROR(
         _xlfn.XLOOKUP(
            1,
            (Table8[رقم الصنف]=A921) *
            (IF($B$9="الكل",1, YEAR('ادخال البيانات'!$N$3:$N$1164) = VALUE($B$9))) *
            (IF($B$10="الكل",1, MONTH('ادخال البيانات'!$N$3:$N$1164) = VALUE($B$10))) *
            (IF($B$11="الكل",1, INT((DAY('ادخال البيانات'!$N$3:$N$1164)-1)/7)+1 = VALUE($B$11))),
            'ادخال البيانات'!$C$3:$C$1164
         ),
         ""
      ),
      IF(_xlpm.result="", "", _xlpm.result)
   )
)</f>
        <v/>
      </c>
      <c r="D921" s="27" t="str" cm="1">
        <f t="array" ref="D921">IF(
   OR(A921="", $B$9="", $B$10="", $B$11=""),
   "",
   _xlfn.LET(
      _xlpm.result,
      IFERROR(
         _xlfn.XLOOKUP(
            1,
            (Table8[رقم الصنف]=A921) *
            (IF($B$9="الكل",1, YEAR('ادخال البيانات'!$N$3:$N$1164)=VALUE($B$9))) *
            (IF($B$10="الكل",1, MONTH('ادخال البيانات'!$N$3:$N$1164)=VALUE($B$10))) *
            (IF($B$11="الكل",1, INT((DAY('ادخال البيانات'!$N$3:$N$1164)-1)/7)+1 = VALUE($B$11))),
            'ادخال البيانات'!$D$3:$D$1164
         ),
         ""
      ),
      IF(_xlpm.result="", "", _xlpm.result)
   )
)</f>
        <v/>
      </c>
      <c r="E921" s="27" t="str" cm="1">
        <f t="array" ref="E921">IF(
   A921="",
   "",
   _xlfn.LET(
      _xlpm.result,
      IFERROR(
         _xlfn.XLOOKUP(
            1,
            (Table8[رقم الصنف]=A921) *
            (IF($B$9="الكل",1, YEAR('ادخال البيانات'!$N$3:$N$1164)=VALUE($B$9))) *
            (IF($B$10="الكل",1, MONTH('ادخال البيانات'!$N$3:$N$1164)=VALUE($B$10))) *
            (IF($B$11="الكل",1, INT((DAY('ادخال البيانات'!$N$3:$N$1164)-1)/7)+1 = VALUE($B$11))),
            'ادخال البيانات'!$E$3:$E$1164
         ),
         ""
      ),
      IF(_xlpm.result="", "", _xlpm.result)
   )
)</f>
        <v/>
      </c>
      <c r="F921" s="27" t="str" cm="1">
        <f t="array" ref="F921">IF(
   A921="",
   "",
   _xlfn.LET(
      _xlpm.result,
      IFERROR(
         _xlfn.XLOOKUP(
            1,
            (Table8[رقم الصنف]=A921) *
            (IF($B$9="الكل",1, YEAR('ادخال البيانات'!$N$3:$N$1164) = VALUE($B$9))) *
            (IF($B$10="الكل",1, MONTH('ادخال البيانات'!$N$3:$N$1164) = VALUE($B$10))) *
            (IF($B$11="الكل",1, INT((DAY('ادخال البيانات'!$N$3:$N$1164)-1)/7)+1 = VALUE($B$11))),
            'ادخال البيانات'!$F$3:$F$1164
         ),
         ""
      ),
      IF(_xlpm.result="", "", _xlpm.result)
   )
)</f>
        <v/>
      </c>
      <c r="G921" s="27" t="str" cm="1">
        <f t="array" ref="G921">IF(
   A921="",
   "",
   _xlfn.LET(
      _xlpm.result,
      IFERROR(
         _xlfn.XLOOKUP(
            1,
            (Table8[رقم الصنف]=A921) *
            (IF($B$9="الكل",1, YEAR('ادخال البيانات'!$N$3:$N$1164)=VALUE($B$9))) *
            (IF($B$10="الكل",1, MONTH('ادخال البيانات'!$N$3:$N$1164)=VALUE($B$10))) *
            (IF($B$11="الكل",1, INT((DAY('ادخال البيانات'!$N$3:$N$1164)-1)/7)+1 = VALUE($B$11))),
            'ادخال البيانات'!$G$3:$G$1164
         ),
         ""
      ),
      IF(_xlpm.result="", "", _xlpm.result)
   )
)</f>
        <v/>
      </c>
      <c r="H921" s="27" t="str" cm="1">
        <f t="array" ref="H921">IF(
   A921="",
   "",
   _xlfn.LET(
      _xlpm.result,
      IFERROR(
         _xlfn.XLOOKUP(
            1,
            (Table8[رقم الصنف]=A921) *
            (IF($B$9="الكل",1, YEAR('ادخال البيانات'!$N$3:$N$1164)=VALUE($B$9))) *
            (IF($B$10="الكل",1, MONTH('ادخال البيانات'!$N$3:$N$1164)=VALUE($B$10))) *
            (IF($B$11="الكل",1, INT((DAY('ادخال البيانات'!$N$3:$N$1164)-1)/7)+1 = VALUE($B$11))),
            'ادخال البيانات'!$H$3:$H$1164
         ),
         ""
      ),
      IF(_xlpm.result="", "", _xlpm.result)
   )
)</f>
        <v/>
      </c>
      <c r="I921" s="27" t="str" cm="1">
        <f t="array" ref="I921">IF(
   A921="",
   "",
   _xlfn.LET(
      _xlpm.result,
      IFERROR(
         _xlfn.XLOOKUP(
            1,
            (Table8[رقم الصنف]=A921) *
            (IF($B$9="الكل",1, YEAR('ادخال البيانات'!$N$3:$N$1164)=VALUE($B$9))) *
            (IF($B$10="الكل",1, MONTH('ادخال البيانات'!$N$3:$N$1164)=VALUE($B$10))) *
            (IF($B$11="الكل",1, INT((DAY('ادخال البيانات'!$N$3:$N$1164)-1)/7)+1 = VALUE($B$11))),
            'ادخال البيانات'!$I$3:$I$1164
         ),
         ""
      ),
      IF(_xlpm.result="", "", _xlpm.result)
   )
)</f>
        <v/>
      </c>
      <c r="J921" s="27" t="str" cm="1">
        <f t="array" ref="J921">IF(
   A921="",
   "",
   _xlfn.LET(
      _xlpm.result,
      IFERROR(
         _xlfn.XLOOKUP(
            1,
            (Table8[رقم الصنف]=A921) *
            (IF($B$9="الكل",1, YEAR('ادخال البيانات'!$N$3:$N$1164)=VALUE($B$9))) *
            (IF($B$10="الكل",1, MONTH('ادخال البيانات'!$N$3:$N$1164)=VALUE($B$10))) *
            (IF($B$11="الكل",1, INT((DAY('ادخال البيانات'!$N$3:$N$1164)-1)/7)+1 = VALUE($B$11))),
            'ادخال البيانات'!$J$3:$J$1164
         ),
         ""
      ),
      IF(_xlpm.result="", "", _xlpm.result)
   )
)</f>
        <v/>
      </c>
      <c r="K921" s="27" t="str" cm="1">
        <f t="array" ref="K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1" s="27" t="str" cm="1">
        <f t="array" ref="L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1" s="27" t="str" cm="1">
        <f t="array" ref="M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1" s="28" t="str" cm="1">
        <f t="array" ref="N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1" s="28" t="str" cm="1">
        <f t="array" ref="O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1" s="27" t="str" cm="1">
        <f t="array" ref="P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Table8[جهة العطل]
         ),
         ""
      ),
      IF(_xlpm.result="", "", _xlpm.result)
   )
)</f>
        <v/>
      </c>
      <c r="Q921" s="27" t="str" cm="1">
        <f t="array" ref="Q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Table8[المركز]
         ),
         ""
      ),
      IF(_xlpm.result="", "", _xlpm.result)
   )
)</f>
        <v/>
      </c>
      <c r="R921" s="27" t="str" cm="1">
        <f t="array" ref="R921">IF(
   A921="",
   "",
   _xlfn.LET(
      _xlpm.result,
      IFERROR(
         _xlfn.XLOOKUP(
            1,
            (Table8[رقم الصنف]=A921) *
            (IF($B$9="الكل",1, YEAR('ادخال البيانات'!$N$3:$N$1164) = VALUE($B$9))) *
            (IF($B$10="الكل",1, MONTH('ادخال البيانات'!$N$3:$N$1164) = VALUE($B$10))) *
            (IF($B$11="الكل",1, INT((DAY('ادخال البيانات'!$N$3:$N$1164) - 1) / 7) + 1 = VALUE($B$11))),
            Table8[ملاحظة]
         ),
         ""
      ),
      IF(_xlpm.result="", "", _xlpm.result)
   )
)</f>
        <v/>
      </c>
      <c r="S921" s="46" t="str">
        <f t="shared" ca="1" si="15"/>
        <v/>
      </c>
    </row>
    <row r="922" spans="1:19" ht="15.6" thickTop="1" thickBot="1" x14ac:dyDescent="0.35">
      <c r="A922" s="39"/>
      <c r="B922" s="27" t="str" cm="1">
        <f t="array" ref="B922">IF(
   OR(A922="", $B$9="", $B$10="", $B$11=""),
   "",
   _xlfn.LET(
      _xlpm.result,
      IFERROR(
         _xlfn.XLOOKUP(
            1,
            (Table8[رقم الصنف]=A922)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2" s="27" t="str" cm="1">
        <f t="array" ref="C922">IF(
   A922="",
   "",
   _xlfn.LET(
      _xlpm.result,
      IFERROR(
         _xlfn.XLOOKUP(
            1,
            (Table8[رقم الصنف]=A922) *
            (IF($B$9="الكل",1, YEAR('ادخال البيانات'!$N$3:$N$1164) = VALUE($B$9))) *
            (IF($B$10="الكل",1, MONTH('ادخال البيانات'!$N$3:$N$1164) = VALUE($B$10))) *
            (IF($B$11="الكل",1, INT((DAY('ادخال البيانات'!$N$3:$N$1164)-1)/7)+1 = VALUE($B$11))),
            'ادخال البيانات'!$C$3:$C$1164
         ),
         ""
      ),
      IF(_xlpm.result="", "", _xlpm.result)
   )
)</f>
        <v/>
      </c>
      <c r="D922" s="27" t="str" cm="1">
        <f t="array" ref="D922">IF(
   OR(A922="", $B$9="", $B$10="", $B$11=""),
   "",
   _xlfn.LET(
      _xlpm.result,
      IFERROR(
         _xlfn.XLOOKUP(
            1,
            (Table8[رقم الصنف]=A922) *
            (IF($B$9="الكل",1, YEAR('ادخال البيانات'!$N$3:$N$1164)=VALUE($B$9))) *
            (IF($B$10="الكل",1, MONTH('ادخال البيانات'!$N$3:$N$1164)=VALUE($B$10))) *
            (IF($B$11="الكل",1, INT((DAY('ادخال البيانات'!$N$3:$N$1164)-1)/7)+1 = VALUE($B$11))),
            'ادخال البيانات'!$D$3:$D$1164
         ),
         ""
      ),
      IF(_xlpm.result="", "", _xlpm.result)
   )
)</f>
        <v/>
      </c>
      <c r="E922" s="27" t="str" cm="1">
        <f t="array" ref="E922">IF(
   A922="",
   "",
   _xlfn.LET(
      _xlpm.result,
      IFERROR(
         _xlfn.XLOOKUP(
            1,
            (Table8[رقم الصنف]=A922) *
            (IF($B$9="الكل",1, YEAR('ادخال البيانات'!$N$3:$N$1164)=VALUE($B$9))) *
            (IF($B$10="الكل",1, MONTH('ادخال البيانات'!$N$3:$N$1164)=VALUE($B$10))) *
            (IF($B$11="الكل",1, INT((DAY('ادخال البيانات'!$N$3:$N$1164)-1)/7)+1 = VALUE($B$11))),
            'ادخال البيانات'!$E$3:$E$1164
         ),
         ""
      ),
      IF(_xlpm.result="", "", _xlpm.result)
   )
)</f>
        <v/>
      </c>
      <c r="F922" s="27" t="str" cm="1">
        <f t="array" ref="F922">IF(
   A922="",
   "",
   _xlfn.LET(
      _xlpm.result,
      IFERROR(
         _xlfn.XLOOKUP(
            1,
            (Table8[رقم الصنف]=A922) *
            (IF($B$9="الكل",1, YEAR('ادخال البيانات'!$N$3:$N$1164) = VALUE($B$9))) *
            (IF($B$10="الكل",1, MONTH('ادخال البيانات'!$N$3:$N$1164) = VALUE($B$10))) *
            (IF($B$11="الكل",1, INT((DAY('ادخال البيانات'!$N$3:$N$1164)-1)/7)+1 = VALUE($B$11))),
            'ادخال البيانات'!$F$3:$F$1164
         ),
         ""
      ),
      IF(_xlpm.result="", "", _xlpm.result)
   )
)</f>
        <v/>
      </c>
      <c r="G922" s="27" t="str" cm="1">
        <f t="array" ref="G922">IF(
   A922="",
   "",
   _xlfn.LET(
      _xlpm.result,
      IFERROR(
         _xlfn.XLOOKUP(
            1,
            (Table8[رقم الصنف]=A922) *
            (IF($B$9="الكل",1, YEAR('ادخال البيانات'!$N$3:$N$1164)=VALUE($B$9))) *
            (IF($B$10="الكل",1, MONTH('ادخال البيانات'!$N$3:$N$1164)=VALUE($B$10))) *
            (IF($B$11="الكل",1, INT((DAY('ادخال البيانات'!$N$3:$N$1164)-1)/7)+1 = VALUE($B$11))),
            'ادخال البيانات'!$G$3:$G$1164
         ),
         ""
      ),
      IF(_xlpm.result="", "", _xlpm.result)
   )
)</f>
        <v/>
      </c>
      <c r="H922" s="27" t="str" cm="1">
        <f t="array" ref="H922">IF(
   A922="",
   "",
   _xlfn.LET(
      _xlpm.result,
      IFERROR(
         _xlfn.XLOOKUP(
            1,
            (Table8[رقم الصنف]=A922) *
            (IF($B$9="الكل",1, YEAR('ادخال البيانات'!$N$3:$N$1164)=VALUE($B$9))) *
            (IF($B$10="الكل",1, MONTH('ادخال البيانات'!$N$3:$N$1164)=VALUE($B$10))) *
            (IF($B$11="الكل",1, INT((DAY('ادخال البيانات'!$N$3:$N$1164)-1)/7)+1 = VALUE($B$11))),
            'ادخال البيانات'!$H$3:$H$1164
         ),
         ""
      ),
      IF(_xlpm.result="", "", _xlpm.result)
   )
)</f>
        <v/>
      </c>
      <c r="I922" s="27" t="str" cm="1">
        <f t="array" ref="I922">IF(
   A922="",
   "",
   _xlfn.LET(
      _xlpm.result,
      IFERROR(
         _xlfn.XLOOKUP(
            1,
            (Table8[رقم الصنف]=A922) *
            (IF($B$9="الكل",1, YEAR('ادخال البيانات'!$N$3:$N$1164)=VALUE($B$9))) *
            (IF($B$10="الكل",1, MONTH('ادخال البيانات'!$N$3:$N$1164)=VALUE($B$10))) *
            (IF($B$11="الكل",1, INT((DAY('ادخال البيانات'!$N$3:$N$1164)-1)/7)+1 = VALUE($B$11))),
            'ادخال البيانات'!$I$3:$I$1164
         ),
         ""
      ),
      IF(_xlpm.result="", "", _xlpm.result)
   )
)</f>
        <v/>
      </c>
      <c r="J922" s="27" t="str" cm="1">
        <f t="array" ref="J922">IF(
   A922="",
   "",
   _xlfn.LET(
      _xlpm.result,
      IFERROR(
         _xlfn.XLOOKUP(
            1,
            (Table8[رقم الصنف]=A922) *
            (IF($B$9="الكل",1, YEAR('ادخال البيانات'!$N$3:$N$1164)=VALUE($B$9))) *
            (IF($B$10="الكل",1, MONTH('ادخال البيانات'!$N$3:$N$1164)=VALUE($B$10))) *
            (IF($B$11="الكل",1, INT((DAY('ادخال البيانات'!$N$3:$N$1164)-1)/7)+1 = VALUE($B$11))),
            'ادخال البيانات'!$J$3:$J$1164
         ),
         ""
      ),
      IF(_xlpm.result="", "", _xlpm.result)
   )
)</f>
        <v/>
      </c>
      <c r="K922" s="27" t="str" cm="1">
        <f t="array" ref="K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2" s="27" t="str" cm="1">
        <f t="array" ref="L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2" s="27" t="str" cm="1">
        <f t="array" ref="M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2" s="28" t="str" cm="1">
        <f t="array" ref="N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2" s="28" t="str" cm="1">
        <f t="array" ref="O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2" s="27" t="str" cm="1">
        <f t="array" ref="P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Table8[جهة العطل]
         ),
         ""
      ),
      IF(_xlpm.result="", "", _xlpm.result)
   )
)</f>
        <v/>
      </c>
      <c r="Q922" s="27" t="str" cm="1">
        <f t="array" ref="Q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Table8[المركز]
         ),
         ""
      ),
      IF(_xlpm.result="", "", _xlpm.result)
   )
)</f>
        <v/>
      </c>
      <c r="R922" s="27" t="str" cm="1">
        <f t="array" ref="R922">IF(
   A922="",
   "",
   _xlfn.LET(
      _xlpm.result,
      IFERROR(
         _xlfn.XLOOKUP(
            1,
            (Table8[رقم الصنف]=A922) *
            (IF($B$9="الكل",1, YEAR('ادخال البيانات'!$N$3:$N$1164) = VALUE($B$9))) *
            (IF($B$10="الكل",1, MONTH('ادخال البيانات'!$N$3:$N$1164) = VALUE($B$10))) *
            (IF($B$11="الكل",1, INT((DAY('ادخال البيانات'!$N$3:$N$1164) - 1) / 7) + 1 = VALUE($B$11))),
            Table8[ملاحظة]
         ),
         ""
      ),
      IF(_xlpm.result="", "", _xlpm.result)
   )
)</f>
        <v/>
      </c>
      <c r="S922" s="46" t="str">
        <f t="shared" ca="1" si="15"/>
        <v/>
      </c>
    </row>
    <row r="923" spans="1:19" ht="15.6" thickTop="1" thickBot="1" x14ac:dyDescent="0.35">
      <c r="A923" s="39"/>
      <c r="B923" s="27" t="str" cm="1">
        <f t="array" ref="B923">IF(
   OR(A923="", $B$9="", $B$10="", $B$11=""),
   "",
   _xlfn.LET(
      _xlpm.result,
      IFERROR(
         _xlfn.XLOOKUP(
            1,
            (Table8[رقم الصنف]=A923)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3" s="27" t="str" cm="1">
        <f t="array" ref="C923">IF(
   A923="",
   "",
   _xlfn.LET(
      _xlpm.result,
      IFERROR(
         _xlfn.XLOOKUP(
            1,
            (Table8[رقم الصنف]=A923) *
            (IF($B$9="الكل",1, YEAR('ادخال البيانات'!$N$3:$N$1164) = VALUE($B$9))) *
            (IF($B$10="الكل",1, MONTH('ادخال البيانات'!$N$3:$N$1164) = VALUE($B$10))) *
            (IF($B$11="الكل",1, INT((DAY('ادخال البيانات'!$N$3:$N$1164)-1)/7)+1 = VALUE($B$11))),
            'ادخال البيانات'!$C$3:$C$1164
         ),
         ""
      ),
      IF(_xlpm.result="", "", _xlpm.result)
   )
)</f>
        <v/>
      </c>
      <c r="D923" s="27" t="str" cm="1">
        <f t="array" ref="D923">IF(
   OR(A923="", $B$9="", $B$10="", $B$11=""),
   "",
   _xlfn.LET(
      _xlpm.result,
      IFERROR(
         _xlfn.XLOOKUP(
            1,
            (Table8[رقم الصنف]=A923) *
            (IF($B$9="الكل",1, YEAR('ادخال البيانات'!$N$3:$N$1164)=VALUE($B$9))) *
            (IF($B$10="الكل",1, MONTH('ادخال البيانات'!$N$3:$N$1164)=VALUE($B$10))) *
            (IF($B$11="الكل",1, INT((DAY('ادخال البيانات'!$N$3:$N$1164)-1)/7)+1 = VALUE($B$11))),
            'ادخال البيانات'!$D$3:$D$1164
         ),
         ""
      ),
      IF(_xlpm.result="", "", _xlpm.result)
   )
)</f>
        <v/>
      </c>
      <c r="E923" s="27" t="str" cm="1">
        <f t="array" ref="E923">IF(
   A923="",
   "",
   _xlfn.LET(
      _xlpm.result,
      IFERROR(
         _xlfn.XLOOKUP(
            1,
            (Table8[رقم الصنف]=A923) *
            (IF($B$9="الكل",1, YEAR('ادخال البيانات'!$N$3:$N$1164)=VALUE($B$9))) *
            (IF($B$10="الكل",1, MONTH('ادخال البيانات'!$N$3:$N$1164)=VALUE($B$10))) *
            (IF($B$11="الكل",1, INT((DAY('ادخال البيانات'!$N$3:$N$1164)-1)/7)+1 = VALUE($B$11))),
            'ادخال البيانات'!$E$3:$E$1164
         ),
         ""
      ),
      IF(_xlpm.result="", "", _xlpm.result)
   )
)</f>
        <v/>
      </c>
      <c r="F923" s="27" t="str" cm="1">
        <f t="array" ref="F923">IF(
   A923="",
   "",
   _xlfn.LET(
      _xlpm.result,
      IFERROR(
         _xlfn.XLOOKUP(
            1,
            (Table8[رقم الصنف]=A923) *
            (IF($B$9="الكل",1, YEAR('ادخال البيانات'!$N$3:$N$1164) = VALUE($B$9))) *
            (IF($B$10="الكل",1, MONTH('ادخال البيانات'!$N$3:$N$1164) = VALUE($B$10))) *
            (IF($B$11="الكل",1, INT((DAY('ادخال البيانات'!$N$3:$N$1164)-1)/7)+1 = VALUE($B$11))),
            'ادخال البيانات'!$F$3:$F$1164
         ),
         ""
      ),
      IF(_xlpm.result="", "", _xlpm.result)
   )
)</f>
        <v/>
      </c>
      <c r="G923" s="27" t="str" cm="1">
        <f t="array" ref="G923">IF(
   A923="",
   "",
   _xlfn.LET(
      _xlpm.result,
      IFERROR(
         _xlfn.XLOOKUP(
            1,
            (Table8[رقم الصنف]=A923) *
            (IF($B$9="الكل",1, YEAR('ادخال البيانات'!$N$3:$N$1164)=VALUE($B$9))) *
            (IF($B$10="الكل",1, MONTH('ادخال البيانات'!$N$3:$N$1164)=VALUE($B$10))) *
            (IF($B$11="الكل",1, INT((DAY('ادخال البيانات'!$N$3:$N$1164)-1)/7)+1 = VALUE($B$11))),
            'ادخال البيانات'!$G$3:$G$1164
         ),
         ""
      ),
      IF(_xlpm.result="", "", _xlpm.result)
   )
)</f>
        <v/>
      </c>
      <c r="H923" s="27" t="str" cm="1">
        <f t="array" ref="H923">IF(
   A923="",
   "",
   _xlfn.LET(
      _xlpm.result,
      IFERROR(
         _xlfn.XLOOKUP(
            1,
            (Table8[رقم الصنف]=A923) *
            (IF($B$9="الكل",1, YEAR('ادخال البيانات'!$N$3:$N$1164)=VALUE($B$9))) *
            (IF($B$10="الكل",1, MONTH('ادخال البيانات'!$N$3:$N$1164)=VALUE($B$10))) *
            (IF($B$11="الكل",1, INT((DAY('ادخال البيانات'!$N$3:$N$1164)-1)/7)+1 = VALUE($B$11))),
            'ادخال البيانات'!$H$3:$H$1164
         ),
         ""
      ),
      IF(_xlpm.result="", "", _xlpm.result)
   )
)</f>
        <v/>
      </c>
      <c r="I923" s="27" t="str" cm="1">
        <f t="array" ref="I923">IF(
   A923="",
   "",
   _xlfn.LET(
      _xlpm.result,
      IFERROR(
         _xlfn.XLOOKUP(
            1,
            (Table8[رقم الصنف]=A923) *
            (IF($B$9="الكل",1, YEAR('ادخال البيانات'!$N$3:$N$1164)=VALUE($B$9))) *
            (IF($B$10="الكل",1, MONTH('ادخال البيانات'!$N$3:$N$1164)=VALUE($B$10))) *
            (IF($B$11="الكل",1, INT((DAY('ادخال البيانات'!$N$3:$N$1164)-1)/7)+1 = VALUE($B$11))),
            'ادخال البيانات'!$I$3:$I$1164
         ),
         ""
      ),
      IF(_xlpm.result="", "", _xlpm.result)
   )
)</f>
        <v/>
      </c>
      <c r="J923" s="27" t="str" cm="1">
        <f t="array" ref="J923">IF(
   A923="",
   "",
   _xlfn.LET(
      _xlpm.result,
      IFERROR(
         _xlfn.XLOOKUP(
            1,
            (Table8[رقم الصنف]=A923) *
            (IF($B$9="الكل",1, YEAR('ادخال البيانات'!$N$3:$N$1164)=VALUE($B$9))) *
            (IF($B$10="الكل",1, MONTH('ادخال البيانات'!$N$3:$N$1164)=VALUE($B$10))) *
            (IF($B$11="الكل",1, INT((DAY('ادخال البيانات'!$N$3:$N$1164)-1)/7)+1 = VALUE($B$11))),
            'ادخال البيانات'!$J$3:$J$1164
         ),
         ""
      ),
      IF(_xlpm.result="", "", _xlpm.result)
   )
)</f>
        <v/>
      </c>
      <c r="K923" s="27" t="str" cm="1">
        <f t="array" ref="K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3" s="27" t="str" cm="1">
        <f t="array" ref="L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3" s="27" t="str" cm="1">
        <f t="array" ref="M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3" s="28" t="str" cm="1">
        <f t="array" ref="N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3" s="28" t="str" cm="1">
        <f t="array" ref="O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3" s="27" t="str" cm="1">
        <f t="array" ref="P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Table8[جهة العطل]
         ),
         ""
      ),
      IF(_xlpm.result="", "", _xlpm.result)
   )
)</f>
        <v/>
      </c>
      <c r="Q923" s="27" t="str" cm="1">
        <f t="array" ref="Q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Table8[المركز]
         ),
         ""
      ),
      IF(_xlpm.result="", "", _xlpm.result)
   )
)</f>
        <v/>
      </c>
      <c r="R923" s="27" t="str" cm="1">
        <f t="array" ref="R923">IF(
   A923="",
   "",
   _xlfn.LET(
      _xlpm.result,
      IFERROR(
         _xlfn.XLOOKUP(
            1,
            (Table8[رقم الصنف]=A923) *
            (IF($B$9="الكل",1, YEAR('ادخال البيانات'!$N$3:$N$1164) = VALUE($B$9))) *
            (IF($B$10="الكل",1, MONTH('ادخال البيانات'!$N$3:$N$1164) = VALUE($B$10))) *
            (IF($B$11="الكل",1, INT((DAY('ادخال البيانات'!$N$3:$N$1164) - 1) / 7) + 1 = VALUE($B$11))),
            Table8[ملاحظة]
         ),
         ""
      ),
      IF(_xlpm.result="", "", _xlpm.result)
   )
)</f>
        <v/>
      </c>
      <c r="S923" s="46" t="str">
        <f t="shared" ca="1" si="15"/>
        <v/>
      </c>
    </row>
    <row r="924" spans="1:19" ht="15.6" thickTop="1" thickBot="1" x14ac:dyDescent="0.35">
      <c r="A924" s="39"/>
      <c r="B924" s="27" t="str" cm="1">
        <f t="array" ref="B924">IF(
   OR(A924="", $B$9="", $B$10="", $B$11=""),
   "",
   _xlfn.LET(
      _xlpm.result,
      IFERROR(
         _xlfn.XLOOKUP(
            1,
            (Table8[رقم الصنف]=A924)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4" s="27" t="str" cm="1">
        <f t="array" ref="C924">IF(
   A924="",
   "",
   _xlfn.LET(
      _xlpm.result,
      IFERROR(
         _xlfn.XLOOKUP(
            1,
            (Table8[رقم الصنف]=A924) *
            (IF($B$9="الكل",1, YEAR('ادخال البيانات'!$N$3:$N$1164) = VALUE($B$9))) *
            (IF($B$10="الكل",1, MONTH('ادخال البيانات'!$N$3:$N$1164) = VALUE($B$10))) *
            (IF($B$11="الكل",1, INT((DAY('ادخال البيانات'!$N$3:$N$1164)-1)/7)+1 = VALUE($B$11))),
            'ادخال البيانات'!$C$3:$C$1164
         ),
         ""
      ),
      IF(_xlpm.result="", "", _xlpm.result)
   )
)</f>
        <v/>
      </c>
      <c r="D924" s="27" t="str" cm="1">
        <f t="array" ref="D924">IF(
   OR(A924="", $B$9="", $B$10="", $B$11=""),
   "",
   _xlfn.LET(
      _xlpm.result,
      IFERROR(
         _xlfn.XLOOKUP(
            1,
            (Table8[رقم الصنف]=A924) *
            (IF($B$9="الكل",1, YEAR('ادخال البيانات'!$N$3:$N$1164)=VALUE($B$9))) *
            (IF($B$10="الكل",1, MONTH('ادخال البيانات'!$N$3:$N$1164)=VALUE($B$10))) *
            (IF($B$11="الكل",1, INT((DAY('ادخال البيانات'!$N$3:$N$1164)-1)/7)+1 = VALUE($B$11))),
            'ادخال البيانات'!$D$3:$D$1164
         ),
         ""
      ),
      IF(_xlpm.result="", "", _xlpm.result)
   )
)</f>
        <v/>
      </c>
      <c r="E924" s="27" t="str" cm="1">
        <f t="array" ref="E924">IF(
   A924="",
   "",
   _xlfn.LET(
      _xlpm.result,
      IFERROR(
         _xlfn.XLOOKUP(
            1,
            (Table8[رقم الصنف]=A924) *
            (IF($B$9="الكل",1, YEAR('ادخال البيانات'!$N$3:$N$1164)=VALUE($B$9))) *
            (IF($B$10="الكل",1, MONTH('ادخال البيانات'!$N$3:$N$1164)=VALUE($B$10))) *
            (IF($B$11="الكل",1, INT((DAY('ادخال البيانات'!$N$3:$N$1164)-1)/7)+1 = VALUE($B$11))),
            'ادخال البيانات'!$E$3:$E$1164
         ),
         ""
      ),
      IF(_xlpm.result="", "", _xlpm.result)
   )
)</f>
        <v/>
      </c>
      <c r="F924" s="27" t="str" cm="1">
        <f t="array" ref="F924">IF(
   A924="",
   "",
   _xlfn.LET(
      _xlpm.result,
      IFERROR(
         _xlfn.XLOOKUP(
            1,
            (Table8[رقم الصنف]=A924) *
            (IF($B$9="الكل",1, YEAR('ادخال البيانات'!$N$3:$N$1164) = VALUE($B$9))) *
            (IF($B$10="الكل",1, MONTH('ادخال البيانات'!$N$3:$N$1164) = VALUE($B$10))) *
            (IF($B$11="الكل",1, INT((DAY('ادخال البيانات'!$N$3:$N$1164)-1)/7)+1 = VALUE($B$11))),
            'ادخال البيانات'!$F$3:$F$1164
         ),
         ""
      ),
      IF(_xlpm.result="", "", _xlpm.result)
   )
)</f>
        <v/>
      </c>
      <c r="G924" s="27" t="str" cm="1">
        <f t="array" ref="G924">IF(
   A924="",
   "",
   _xlfn.LET(
      _xlpm.result,
      IFERROR(
         _xlfn.XLOOKUP(
            1,
            (Table8[رقم الصنف]=A924) *
            (IF($B$9="الكل",1, YEAR('ادخال البيانات'!$N$3:$N$1164)=VALUE($B$9))) *
            (IF($B$10="الكل",1, MONTH('ادخال البيانات'!$N$3:$N$1164)=VALUE($B$10))) *
            (IF($B$11="الكل",1, INT((DAY('ادخال البيانات'!$N$3:$N$1164)-1)/7)+1 = VALUE($B$11))),
            'ادخال البيانات'!$G$3:$G$1164
         ),
         ""
      ),
      IF(_xlpm.result="", "", _xlpm.result)
   )
)</f>
        <v/>
      </c>
      <c r="H924" s="27" t="str" cm="1">
        <f t="array" ref="H924">IF(
   A924="",
   "",
   _xlfn.LET(
      _xlpm.result,
      IFERROR(
         _xlfn.XLOOKUP(
            1,
            (Table8[رقم الصنف]=A924) *
            (IF($B$9="الكل",1, YEAR('ادخال البيانات'!$N$3:$N$1164)=VALUE($B$9))) *
            (IF($B$10="الكل",1, MONTH('ادخال البيانات'!$N$3:$N$1164)=VALUE($B$10))) *
            (IF($B$11="الكل",1, INT((DAY('ادخال البيانات'!$N$3:$N$1164)-1)/7)+1 = VALUE($B$11))),
            'ادخال البيانات'!$H$3:$H$1164
         ),
         ""
      ),
      IF(_xlpm.result="", "", _xlpm.result)
   )
)</f>
        <v/>
      </c>
      <c r="I924" s="27" t="str" cm="1">
        <f t="array" ref="I924">IF(
   A924="",
   "",
   _xlfn.LET(
      _xlpm.result,
      IFERROR(
         _xlfn.XLOOKUP(
            1,
            (Table8[رقم الصنف]=A924) *
            (IF($B$9="الكل",1, YEAR('ادخال البيانات'!$N$3:$N$1164)=VALUE($B$9))) *
            (IF($B$10="الكل",1, MONTH('ادخال البيانات'!$N$3:$N$1164)=VALUE($B$10))) *
            (IF($B$11="الكل",1, INT((DAY('ادخال البيانات'!$N$3:$N$1164)-1)/7)+1 = VALUE($B$11))),
            'ادخال البيانات'!$I$3:$I$1164
         ),
         ""
      ),
      IF(_xlpm.result="", "", _xlpm.result)
   )
)</f>
        <v/>
      </c>
      <c r="J924" s="27" t="str" cm="1">
        <f t="array" ref="J924">IF(
   A924="",
   "",
   _xlfn.LET(
      _xlpm.result,
      IFERROR(
         _xlfn.XLOOKUP(
            1,
            (Table8[رقم الصنف]=A924) *
            (IF($B$9="الكل",1, YEAR('ادخال البيانات'!$N$3:$N$1164)=VALUE($B$9))) *
            (IF($B$10="الكل",1, MONTH('ادخال البيانات'!$N$3:$N$1164)=VALUE($B$10))) *
            (IF($B$11="الكل",1, INT((DAY('ادخال البيانات'!$N$3:$N$1164)-1)/7)+1 = VALUE($B$11))),
            'ادخال البيانات'!$J$3:$J$1164
         ),
         ""
      ),
      IF(_xlpm.result="", "", _xlpm.result)
   )
)</f>
        <v/>
      </c>
      <c r="K924" s="27" t="str" cm="1">
        <f t="array" ref="K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4" s="27" t="str" cm="1">
        <f t="array" ref="L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4" s="27" t="str" cm="1">
        <f t="array" ref="M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4" s="28" t="str" cm="1">
        <f t="array" ref="N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4" s="28" t="str" cm="1">
        <f t="array" ref="O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4" s="27" t="str" cm="1">
        <f t="array" ref="P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Table8[جهة العطل]
         ),
         ""
      ),
      IF(_xlpm.result="", "", _xlpm.result)
   )
)</f>
        <v/>
      </c>
      <c r="Q924" s="27" t="str" cm="1">
        <f t="array" ref="Q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Table8[المركز]
         ),
         ""
      ),
      IF(_xlpm.result="", "", _xlpm.result)
   )
)</f>
        <v/>
      </c>
      <c r="R924" s="27" t="str" cm="1">
        <f t="array" ref="R924">IF(
   A924="",
   "",
   _xlfn.LET(
      _xlpm.result,
      IFERROR(
         _xlfn.XLOOKUP(
            1,
            (Table8[رقم الصنف]=A924) *
            (IF($B$9="الكل",1, YEAR('ادخال البيانات'!$N$3:$N$1164) = VALUE($B$9))) *
            (IF($B$10="الكل",1, MONTH('ادخال البيانات'!$N$3:$N$1164) = VALUE($B$10))) *
            (IF($B$11="الكل",1, INT((DAY('ادخال البيانات'!$N$3:$N$1164) - 1) / 7) + 1 = VALUE($B$11))),
            Table8[ملاحظة]
         ),
         ""
      ),
      IF(_xlpm.result="", "", _xlpm.result)
   )
)</f>
        <v/>
      </c>
      <c r="S924" s="46" t="str">
        <f t="shared" ca="1" si="15"/>
        <v/>
      </c>
    </row>
    <row r="925" spans="1:19" ht="15.6" thickTop="1" thickBot="1" x14ac:dyDescent="0.35">
      <c r="A925" s="39"/>
      <c r="B925" s="27" t="str" cm="1">
        <f t="array" ref="B925">IF(
   OR(A925="", $B$9="", $B$10="", $B$11=""),
   "",
   _xlfn.LET(
      _xlpm.result,
      IFERROR(
         _xlfn.XLOOKUP(
            1,
            (Table8[رقم الصنف]=A925)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5" s="27" t="str" cm="1">
        <f t="array" ref="C925">IF(
   A925="",
   "",
   _xlfn.LET(
      _xlpm.result,
      IFERROR(
         _xlfn.XLOOKUP(
            1,
            (Table8[رقم الصنف]=A925) *
            (IF($B$9="الكل",1, YEAR('ادخال البيانات'!$N$3:$N$1164) = VALUE($B$9))) *
            (IF($B$10="الكل",1, MONTH('ادخال البيانات'!$N$3:$N$1164) = VALUE($B$10))) *
            (IF($B$11="الكل",1, INT((DAY('ادخال البيانات'!$N$3:$N$1164)-1)/7)+1 = VALUE($B$11))),
            'ادخال البيانات'!$C$3:$C$1164
         ),
         ""
      ),
      IF(_xlpm.result="", "", _xlpm.result)
   )
)</f>
        <v/>
      </c>
      <c r="D925" s="27" t="str" cm="1">
        <f t="array" ref="D925">IF(
   OR(A925="", $B$9="", $B$10="", $B$11=""),
   "",
   _xlfn.LET(
      _xlpm.result,
      IFERROR(
         _xlfn.XLOOKUP(
            1,
            (Table8[رقم الصنف]=A925) *
            (IF($B$9="الكل",1, YEAR('ادخال البيانات'!$N$3:$N$1164)=VALUE($B$9))) *
            (IF($B$10="الكل",1, MONTH('ادخال البيانات'!$N$3:$N$1164)=VALUE($B$10))) *
            (IF($B$11="الكل",1, INT((DAY('ادخال البيانات'!$N$3:$N$1164)-1)/7)+1 = VALUE($B$11))),
            'ادخال البيانات'!$D$3:$D$1164
         ),
         ""
      ),
      IF(_xlpm.result="", "", _xlpm.result)
   )
)</f>
        <v/>
      </c>
      <c r="E925" s="27" t="str" cm="1">
        <f t="array" ref="E925">IF(
   A925="",
   "",
   _xlfn.LET(
      _xlpm.result,
      IFERROR(
         _xlfn.XLOOKUP(
            1,
            (Table8[رقم الصنف]=A925) *
            (IF($B$9="الكل",1, YEAR('ادخال البيانات'!$N$3:$N$1164)=VALUE($B$9))) *
            (IF($B$10="الكل",1, MONTH('ادخال البيانات'!$N$3:$N$1164)=VALUE($B$10))) *
            (IF($B$11="الكل",1, INT((DAY('ادخال البيانات'!$N$3:$N$1164)-1)/7)+1 = VALUE($B$11))),
            'ادخال البيانات'!$E$3:$E$1164
         ),
         ""
      ),
      IF(_xlpm.result="", "", _xlpm.result)
   )
)</f>
        <v/>
      </c>
      <c r="F925" s="27" t="str" cm="1">
        <f t="array" ref="F925">IF(
   A925="",
   "",
   _xlfn.LET(
      _xlpm.result,
      IFERROR(
         _xlfn.XLOOKUP(
            1,
            (Table8[رقم الصنف]=A925) *
            (IF($B$9="الكل",1, YEAR('ادخال البيانات'!$N$3:$N$1164) = VALUE($B$9))) *
            (IF($B$10="الكل",1, MONTH('ادخال البيانات'!$N$3:$N$1164) = VALUE($B$10))) *
            (IF($B$11="الكل",1, INT((DAY('ادخال البيانات'!$N$3:$N$1164)-1)/7)+1 = VALUE($B$11))),
            'ادخال البيانات'!$F$3:$F$1164
         ),
         ""
      ),
      IF(_xlpm.result="", "", _xlpm.result)
   )
)</f>
        <v/>
      </c>
      <c r="G925" s="27" t="str" cm="1">
        <f t="array" ref="G925">IF(
   A925="",
   "",
   _xlfn.LET(
      _xlpm.result,
      IFERROR(
         _xlfn.XLOOKUP(
            1,
            (Table8[رقم الصنف]=A925) *
            (IF($B$9="الكل",1, YEAR('ادخال البيانات'!$N$3:$N$1164)=VALUE($B$9))) *
            (IF($B$10="الكل",1, MONTH('ادخال البيانات'!$N$3:$N$1164)=VALUE($B$10))) *
            (IF($B$11="الكل",1, INT((DAY('ادخال البيانات'!$N$3:$N$1164)-1)/7)+1 = VALUE($B$11))),
            'ادخال البيانات'!$G$3:$G$1164
         ),
         ""
      ),
      IF(_xlpm.result="", "", _xlpm.result)
   )
)</f>
        <v/>
      </c>
      <c r="H925" s="27" t="str" cm="1">
        <f t="array" ref="H925">IF(
   A925="",
   "",
   _xlfn.LET(
      _xlpm.result,
      IFERROR(
         _xlfn.XLOOKUP(
            1,
            (Table8[رقم الصنف]=A925) *
            (IF($B$9="الكل",1, YEAR('ادخال البيانات'!$N$3:$N$1164)=VALUE($B$9))) *
            (IF($B$10="الكل",1, MONTH('ادخال البيانات'!$N$3:$N$1164)=VALUE($B$10))) *
            (IF($B$11="الكل",1, INT((DAY('ادخال البيانات'!$N$3:$N$1164)-1)/7)+1 = VALUE($B$11))),
            'ادخال البيانات'!$H$3:$H$1164
         ),
         ""
      ),
      IF(_xlpm.result="", "", _xlpm.result)
   )
)</f>
        <v/>
      </c>
      <c r="I925" s="27" t="str" cm="1">
        <f t="array" ref="I925">IF(
   A925="",
   "",
   _xlfn.LET(
      _xlpm.result,
      IFERROR(
         _xlfn.XLOOKUP(
            1,
            (Table8[رقم الصنف]=A925) *
            (IF($B$9="الكل",1, YEAR('ادخال البيانات'!$N$3:$N$1164)=VALUE($B$9))) *
            (IF($B$10="الكل",1, MONTH('ادخال البيانات'!$N$3:$N$1164)=VALUE($B$10))) *
            (IF($B$11="الكل",1, INT((DAY('ادخال البيانات'!$N$3:$N$1164)-1)/7)+1 = VALUE($B$11))),
            'ادخال البيانات'!$I$3:$I$1164
         ),
         ""
      ),
      IF(_xlpm.result="", "", _xlpm.result)
   )
)</f>
        <v/>
      </c>
      <c r="J925" s="27" t="str" cm="1">
        <f t="array" ref="J925">IF(
   A925="",
   "",
   _xlfn.LET(
      _xlpm.result,
      IFERROR(
         _xlfn.XLOOKUP(
            1,
            (Table8[رقم الصنف]=A925) *
            (IF($B$9="الكل",1, YEAR('ادخال البيانات'!$N$3:$N$1164)=VALUE($B$9))) *
            (IF($B$10="الكل",1, MONTH('ادخال البيانات'!$N$3:$N$1164)=VALUE($B$10))) *
            (IF($B$11="الكل",1, INT((DAY('ادخال البيانات'!$N$3:$N$1164)-1)/7)+1 = VALUE($B$11))),
            'ادخال البيانات'!$J$3:$J$1164
         ),
         ""
      ),
      IF(_xlpm.result="", "", _xlpm.result)
   )
)</f>
        <v/>
      </c>
      <c r="K925" s="27" t="str" cm="1">
        <f t="array" ref="K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5" s="27" t="str" cm="1">
        <f t="array" ref="L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5" s="27" t="str" cm="1">
        <f t="array" ref="M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5" s="28" t="str" cm="1">
        <f t="array" ref="N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5" s="28" t="str" cm="1">
        <f t="array" ref="O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5" s="27" t="str" cm="1">
        <f t="array" ref="P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Table8[جهة العطل]
         ),
         ""
      ),
      IF(_xlpm.result="", "", _xlpm.result)
   )
)</f>
        <v/>
      </c>
      <c r="Q925" s="27" t="str" cm="1">
        <f t="array" ref="Q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Table8[المركز]
         ),
         ""
      ),
      IF(_xlpm.result="", "", _xlpm.result)
   )
)</f>
        <v/>
      </c>
      <c r="R925" s="27" t="str" cm="1">
        <f t="array" ref="R925">IF(
   A925="",
   "",
   _xlfn.LET(
      _xlpm.result,
      IFERROR(
         _xlfn.XLOOKUP(
            1,
            (Table8[رقم الصنف]=A925) *
            (IF($B$9="الكل",1, YEAR('ادخال البيانات'!$N$3:$N$1164) = VALUE($B$9))) *
            (IF($B$10="الكل",1, MONTH('ادخال البيانات'!$N$3:$N$1164) = VALUE($B$10))) *
            (IF($B$11="الكل",1, INT((DAY('ادخال البيانات'!$N$3:$N$1164) - 1) / 7) + 1 = VALUE($B$11))),
            Table8[ملاحظة]
         ),
         ""
      ),
      IF(_xlpm.result="", "", _xlpm.result)
   )
)</f>
        <v/>
      </c>
      <c r="S925" s="46" t="str">
        <f t="shared" ca="1" si="15"/>
        <v/>
      </c>
    </row>
    <row r="926" spans="1:19" ht="15.6" thickTop="1" thickBot="1" x14ac:dyDescent="0.35">
      <c r="A926" s="39"/>
      <c r="B926" s="27" t="str" cm="1">
        <f t="array" ref="B926">IF(
   OR(A926="", $B$9="", $B$10="", $B$11=""),
   "",
   _xlfn.LET(
      _xlpm.result,
      IFERROR(
         _xlfn.XLOOKUP(
            1,
            (Table8[رقم الصنف]=A926)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6" s="27" t="str" cm="1">
        <f t="array" ref="C926">IF(
   A926="",
   "",
   _xlfn.LET(
      _xlpm.result,
      IFERROR(
         _xlfn.XLOOKUP(
            1,
            (Table8[رقم الصنف]=A926) *
            (IF($B$9="الكل",1, YEAR('ادخال البيانات'!$N$3:$N$1164) = VALUE($B$9))) *
            (IF($B$10="الكل",1, MONTH('ادخال البيانات'!$N$3:$N$1164) = VALUE($B$10))) *
            (IF($B$11="الكل",1, INT((DAY('ادخال البيانات'!$N$3:$N$1164)-1)/7)+1 = VALUE($B$11))),
            'ادخال البيانات'!$C$3:$C$1164
         ),
         ""
      ),
      IF(_xlpm.result="", "", _xlpm.result)
   )
)</f>
        <v/>
      </c>
      <c r="D926" s="27" t="str" cm="1">
        <f t="array" ref="D926">IF(
   OR(A926="", $B$9="", $B$10="", $B$11=""),
   "",
   _xlfn.LET(
      _xlpm.result,
      IFERROR(
         _xlfn.XLOOKUP(
            1,
            (Table8[رقم الصنف]=A926) *
            (IF($B$9="الكل",1, YEAR('ادخال البيانات'!$N$3:$N$1164)=VALUE($B$9))) *
            (IF($B$10="الكل",1, MONTH('ادخال البيانات'!$N$3:$N$1164)=VALUE($B$10))) *
            (IF($B$11="الكل",1, INT((DAY('ادخال البيانات'!$N$3:$N$1164)-1)/7)+1 = VALUE($B$11))),
            'ادخال البيانات'!$D$3:$D$1164
         ),
         ""
      ),
      IF(_xlpm.result="", "", _xlpm.result)
   )
)</f>
        <v/>
      </c>
      <c r="E926" s="27" t="str" cm="1">
        <f t="array" ref="E926">IF(
   A926="",
   "",
   _xlfn.LET(
      _xlpm.result,
      IFERROR(
         _xlfn.XLOOKUP(
            1,
            (Table8[رقم الصنف]=A926) *
            (IF($B$9="الكل",1, YEAR('ادخال البيانات'!$N$3:$N$1164)=VALUE($B$9))) *
            (IF($B$10="الكل",1, MONTH('ادخال البيانات'!$N$3:$N$1164)=VALUE($B$10))) *
            (IF($B$11="الكل",1, INT((DAY('ادخال البيانات'!$N$3:$N$1164)-1)/7)+1 = VALUE($B$11))),
            'ادخال البيانات'!$E$3:$E$1164
         ),
         ""
      ),
      IF(_xlpm.result="", "", _xlpm.result)
   )
)</f>
        <v/>
      </c>
      <c r="F926" s="27" t="str" cm="1">
        <f t="array" ref="F926">IF(
   A926="",
   "",
   _xlfn.LET(
      _xlpm.result,
      IFERROR(
         _xlfn.XLOOKUP(
            1,
            (Table8[رقم الصنف]=A926) *
            (IF($B$9="الكل",1, YEAR('ادخال البيانات'!$N$3:$N$1164) = VALUE($B$9))) *
            (IF($B$10="الكل",1, MONTH('ادخال البيانات'!$N$3:$N$1164) = VALUE($B$10))) *
            (IF($B$11="الكل",1, INT((DAY('ادخال البيانات'!$N$3:$N$1164)-1)/7)+1 = VALUE($B$11))),
            'ادخال البيانات'!$F$3:$F$1164
         ),
         ""
      ),
      IF(_xlpm.result="", "", _xlpm.result)
   )
)</f>
        <v/>
      </c>
      <c r="G926" s="27" t="str" cm="1">
        <f t="array" ref="G926">IF(
   A926="",
   "",
   _xlfn.LET(
      _xlpm.result,
      IFERROR(
         _xlfn.XLOOKUP(
            1,
            (Table8[رقم الصنف]=A926) *
            (IF($B$9="الكل",1, YEAR('ادخال البيانات'!$N$3:$N$1164)=VALUE($B$9))) *
            (IF($B$10="الكل",1, MONTH('ادخال البيانات'!$N$3:$N$1164)=VALUE($B$10))) *
            (IF($B$11="الكل",1, INT((DAY('ادخال البيانات'!$N$3:$N$1164)-1)/7)+1 = VALUE($B$11))),
            'ادخال البيانات'!$G$3:$G$1164
         ),
         ""
      ),
      IF(_xlpm.result="", "", _xlpm.result)
   )
)</f>
        <v/>
      </c>
      <c r="H926" s="27" t="str" cm="1">
        <f t="array" ref="H926">IF(
   A926="",
   "",
   _xlfn.LET(
      _xlpm.result,
      IFERROR(
         _xlfn.XLOOKUP(
            1,
            (Table8[رقم الصنف]=A926) *
            (IF($B$9="الكل",1, YEAR('ادخال البيانات'!$N$3:$N$1164)=VALUE($B$9))) *
            (IF($B$10="الكل",1, MONTH('ادخال البيانات'!$N$3:$N$1164)=VALUE($B$10))) *
            (IF($B$11="الكل",1, INT((DAY('ادخال البيانات'!$N$3:$N$1164)-1)/7)+1 = VALUE($B$11))),
            'ادخال البيانات'!$H$3:$H$1164
         ),
         ""
      ),
      IF(_xlpm.result="", "", _xlpm.result)
   )
)</f>
        <v/>
      </c>
      <c r="I926" s="27" t="str" cm="1">
        <f t="array" ref="I926">IF(
   A926="",
   "",
   _xlfn.LET(
      _xlpm.result,
      IFERROR(
         _xlfn.XLOOKUP(
            1,
            (Table8[رقم الصنف]=A926) *
            (IF($B$9="الكل",1, YEAR('ادخال البيانات'!$N$3:$N$1164)=VALUE($B$9))) *
            (IF($B$10="الكل",1, MONTH('ادخال البيانات'!$N$3:$N$1164)=VALUE($B$10))) *
            (IF($B$11="الكل",1, INT((DAY('ادخال البيانات'!$N$3:$N$1164)-1)/7)+1 = VALUE($B$11))),
            'ادخال البيانات'!$I$3:$I$1164
         ),
         ""
      ),
      IF(_xlpm.result="", "", _xlpm.result)
   )
)</f>
        <v/>
      </c>
      <c r="J926" s="27" t="str" cm="1">
        <f t="array" ref="J926">IF(
   A926="",
   "",
   _xlfn.LET(
      _xlpm.result,
      IFERROR(
         _xlfn.XLOOKUP(
            1,
            (Table8[رقم الصنف]=A926) *
            (IF($B$9="الكل",1, YEAR('ادخال البيانات'!$N$3:$N$1164)=VALUE($B$9))) *
            (IF($B$10="الكل",1, MONTH('ادخال البيانات'!$N$3:$N$1164)=VALUE($B$10))) *
            (IF($B$11="الكل",1, INT((DAY('ادخال البيانات'!$N$3:$N$1164)-1)/7)+1 = VALUE($B$11))),
            'ادخال البيانات'!$J$3:$J$1164
         ),
         ""
      ),
      IF(_xlpm.result="", "", _xlpm.result)
   )
)</f>
        <v/>
      </c>
      <c r="K926" s="27" t="str" cm="1">
        <f t="array" ref="K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6" s="27" t="str" cm="1">
        <f t="array" ref="L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6" s="27" t="str" cm="1">
        <f t="array" ref="M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6" s="28" t="str" cm="1">
        <f t="array" ref="N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6" s="28" t="str" cm="1">
        <f t="array" ref="O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6" s="27" t="str" cm="1">
        <f t="array" ref="P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Table8[جهة العطل]
         ),
         ""
      ),
      IF(_xlpm.result="", "", _xlpm.result)
   )
)</f>
        <v/>
      </c>
      <c r="Q926" s="27" t="str" cm="1">
        <f t="array" ref="Q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Table8[المركز]
         ),
         ""
      ),
      IF(_xlpm.result="", "", _xlpm.result)
   )
)</f>
        <v/>
      </c>
      <c r="R926" s="27" t="str" cm="1">
        <f t="array" ref="R926">IF(
   A926="",
   "",
   _xlfn.LET(
      _xlpm.result,
      IFERROR(
         _xlfn.XLOOKUP(
            1,
            (Table8[رقم الصنف]=A926) *
            (IF($B$9="الكل",1, YEAR('ادخال البيانات'!$N$3:$N$1164) = VALUE($B$9))) *
            (IF($B$10="الكل",1, MONTH('ادخال البيانات'!$N$3:$N$1164) = VALUE($B$10))) *
            (IF($B$11="الكل",1, INT((DAY('ادخال البيانات'!$N$3:$N$1164) - 1) / 7) + 1 = VALUE($B$11))),
            Table8[ملاحظة]
         ),
         ""
      ),
      IF(_xlpm.result="", "", _xlpm.result)
   )
)</f>
        <v/>
      </c>
      <c r="S926" s="46" t="str">
        <f t="shared" ca="1" si="15"/>
        <v/>
      </c>
    </row>
    <row r="927" spans="1:19" ht="15.6" thickTop="1" thickBot="1" x14ac:dyDescent="0.35">
      <c r="A927" s="39"/>
      <c r="B927" s="27" t="str" cm="1">
        <f t="array" ref="B927">IF(
   OR(A927="", $B$9="", $B$10="", $B$11=""),
   "",
   _xlfn.LET(
      _xlpm.result,
      IFERROR(
         _xlfn.XLOOKUP(
            1,
            (Table8[رقم الصنف]=A927)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7" s="27" t="str" cm="1">
        <f t="array" ref="C927">IF(
   A927="",
   "",
   _xlfn.LET(
      _xlpm.result,
      IFERROR(
         _xlfn.XLOOKUP(
            1,
            (Table8[رقم الصنف]=A927) *
            (IF($B$9="الكل",1, YEAR('ادخال البيانات'!$N$3:$N$1164) = VALUE($B$9))) *
            (IF($B$10="الكل",1, MONTH('ادخال البيانات'!$N$3:$N$1164) = VALUE($B$10))) *
            (IF($B$11="الكل",1, INT((DAY('ادخال البيانات'!$N$3:$N$1164)-1)/7)+1 = VALUE($B$11))),
            'ادخال البيانات'!$C$3:$C$1164
         ),
         ""
      ),
      IF(_xlpm.result="", "", _xlpm.result)
   )
)</f>
        <v/>
      </c>
      <c r="D927" s="27" t="str" cm="1">
        <f t="array" ref="D927">IF(
   OR(A927="", $B$9="", $B$10="", $B$11=""),
   "",
   _xlfn.LET(
      _xlpm.result,
      IFERROR(
         _xlfn.XLOOKUP(
            1,
            (Table8[رقم الصنف]=A927) *
            (IF($B$9="الكل",1, YEAR('ادخال البيانات'!$N$3:$N$1164)=VALUE($B$9))) *
            (IF($B$10="الكل",1, MONTH('ادخال البيانات'!$N$3:$N$1164)=VALUE($B$10))) *
            (IF($B$11="الكل",1, INT((DAY('ادخال البيانات'!$N$3:$N$1164)-1)/7)+1 = VALUE($B$11))),
            'ادخال البيانات'!$D$3:$D$1164
         ),
         ""
      ),
      IF(_xlpm.result="", "", _xlpm.result)
   )
)</f>
        <v/>
      </c>
      <c r="E927" s="27" t="str" cm="1">
        <f t="array" ref="E927">IF(
   A927="",
   "",
   _xlfn.LET(
      _xlpm.result,
      IFERROR(
         _xlfn.XLOOKUP(
            1,
            (Table8[رقم الصنف]=A927) *
            (IF($B$9="الكل",1, YEAR('ادخال البيانات'!$N$3:$N$1164)=VALUE($B$9))) *
            (IF($B$10="الكل",1, MONTH('ادخال البيانات'!$N$3:$N$1164)=VALUE($B$10))) *
            (IF($B$11="الكل",1, INT((DAY('ادخال البيانات'!$N$3:$N$1164)-1)/7)+1 = VALUE($B$11))),
            'ادخال البيانات'!$E$3:$E$1164
         ),
         ""
      ),
      IF(_xlpm.result="", "", _xlpm.result)
   )
)</f>
        <v/>
      </c>
      <c r="F927" s="27" t="str" cm="1">
        <f t="array" ref="F927">IF(
   A927="",
   "",
   _xlfn.LET(
      _xlpm.result,
      IFERROR(
         _xlfn.XLOOKUP(
            1,
            (Table8[رقم الصنف]=A927) *
            (IF($B$9="الكل",1, YEAR('ادخال البيانات'!$N$3:$N$1164) = VALUE($B$9))) *
            (IF($B$10="الكل",1, MONTH('ادخال البيانات'!$N$3:$N$1164) = VALUE($B$10))) *
            (IF($B$11="الكل",1, INT((DAY('ادخال البيانات'!$N$3:$N$1164)-1)/7)+1 = VALUE($B$11))),
            'ادخال البيانات'!$F$3:$F$1164
         ),
         ""
      ),
      IF(_xlpm.result="", "", _xlpm.result)
   )
)</f>
        <v/>
      </c>
      <c r="G927" s="27" t="str" cm="1">
        <f t="array" ref="G927">IF(
   A927="",
   "",
   _xlfn.LET(
      _xlpm.result,
      IFERROR(
         _xlfn.XLOOKUP(
            1,
            (Table8[رقم الصنف]=A927) *
            (IF($B$9="الكل",1, YEAR('ادخال البيانات'!$N$3:$N$1164)=VALUE($B$9))) *
            (IF($B$10="الكل",1, MONTH('ادخال البيانات'!$N$3:$N$1164)=VALUE($B$10))) *
            (IF($B$11="الكل",1, INT((DAY('ادخال البيانات'!$N$3:$N$1164)-1)/7)+1 = VALUE($B$11))),
            'ادخال البيانات'!$G$3:$G$1164
         ),
         ""
      ),
      IF(_xlpm.result="", "", _xlpm.result)
   )
)</f>
        <v/>
      </c>
      <c r="H927" s="27" t="str" cm="1">
        <f t="array" ref="H927">IF(
   A927="",
   "",
   _xlfn.LET(
      _xlpm.result,
      IFERROR(
         _xlfn.XLOOKUP(
            1,
            (Table8[رقم الصنف]=A927) *
            (IF($B$9="الكل",1, YEAR('ادخال البيانات'!$N$3:$N$1164)=VALUE($B$9))) *
            (IF($B$10="الكل",1, MONTH('ادخال البيانات'!$N$3:$N$1164)=VALUE($B$10))) *
            (IF($B$11="الكل",1, INT((DAY('ادخال البيانات'!$N$3:$N$1164)-1)/7)+1 = VALUE($B$11))),
            'ادخال البيانات'!$H$3:$H$1164
         ),
         ""
      ),
      IF(_xlpm.result="", "", _xlpm.result)
   )
)</f>
        <v/>
      </c>
      <c r="I927" s="27" t="str" cm="1">
        <f t="array" ref="I927">IF(
   A927="",
   "",
   _xlfn.LET(
      _xlpm.result,
      IFERROR(
         _xlfn.XLOOKUP(
            1,
            (Table8[رقم الصنف]=A927) *
            (IF($B$9="الكل",1, YEAR('ادخال البيانات'!$N$3:$N$1164)=VALUE($B$9))) *
            (IF($B$10="الكل",1, MONTH('ادخال البيانات'!$N$3:$N$1164)=VALUE($B$10))) *
            (IF($B$11="الكل",1, INT((DAY('ادخال البيانات'!$N$3:$N$1164)-1)/7)+1 = VALUE($B$11))),
            'ادخال البيانات'!$I$3:$I$1164
         ),
         ""
      ),
      IF(_xlpm.result="", "", _xlpm.result)
   )
)</f>
        <v/>
      </c>
      <c r="J927" s="27" t="str" cm="1">
        <f t="array" ref="J927">IF(
   A927="",
   "",
   _xlfn.LET(
      _xlpm.result,
      IFERROR(
         _xlfn.XLOOKUP(
            1,
            (Table8[رقم الصنف]=A927) *
            (IF($B$9="الكل",1, YEAR('ادخال البيانات'!$N$3:$N$1164)=VALUE($B$9))) *
            (IF($B$10="الكل",1, MONTH('ادخال البيانات'!$N$3:$N$1164)=VALUE($B$10))) *
            (IF($B$11="الكل",1, INT((DAY('ادخال البيانات'!$N$3:$N$1164)-1)/7)+1 = VALUE($B$11))),
            'ادخال البيانات'!$J$3:$J$1164
         ),
         ""
      ),
      IF(_xlpm.result="", "", _xlpm.result)
   )
)</f>
        <v/>
      </c>
      <c r="K927" s="27" t="str" cm="1">
        <f t="array" ref="K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7" s="27" t="str" cm="1">
        <f t="array" ref="L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7" s="27" t="str" cm="1">
        <f t="array" ref="M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7" s="28" t="str" cm="1">
        <f t="array" ref="N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7" s="28" t="str" cm="1">
        <f t="array" ref="O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7" s="27" t="str" cm="1">
        <f t="array" ref="P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Table8[جهة العطل]
         ),
         ""
      ),
      IF(_xlpm.result="", "", _xlpm.result)
   )
)</f>
        <v/>
      </c>
      <c r="Q927" s="27" t="str" cm="1">
        <f t="array" ref="Q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Table8[المركز]
         ),
         ""
      ),
      IF(_xlpm.result="", "", _xlpm.result)
   )
)</f>
        <v/>
      </c>
      <c r="R927" s="27" t="str" cm="1">
        <f t="array" ref="R927">IF(
   A927="",
   "",
   _xlfn.LET(
      _xlpm.result,
      IFERROR(
         _xlfn.XLOOKUP(
            1,
            (Table8[رقم الصنف]=A927) *
            (IF($B$9="الكل",1, YEAR('ادخال البيانات'!$N$3:$N$1164) = VALUE($B$9))) *
            (IF($B$10="الكل",1, MONTH('ادخال البيانات'!$N$3:$N$1164) = VALUE($B$10))) *
            (IF($B$11="الكل",1, INT((DAY('ادخال البيانات'!$N$3:$N$1164) - 1) / 7) + 1 = VALUE($B$11))),
            Table8[ملاحظة]
         ),
         ""
      ),
      IF(_xlpm.result="", "", _xlpm.result)
   )
)</f>
        <v/>
      </c>
      <c r="S927" s="46" t="str">
        <f t="shared" ca="1" si="15"/>
        <v/>
      </c>
    </row>
    <row r="928" spans="1:19" ht="15.6" thickTop="1" thickBot="1" x14ac:dyDescent="0.35">
      <c r="A928" s="39"/>
      <c r="B928" s="27" t="str" cm="1">
        <f t="array" ref="B928">IF(
   OR(A928="", $B$9="", $B$10="", $B$11=""),
   "",
   _xlfn.LET(
      _xlpm.result,
      IFERROR(
         _xlfn.XLOOKUP(
            1,
            (Table8[رقم الصنف]=A928)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8" s="27" t="str" cm="1">
        <f t="array" ref="C928">IF(
   A928="",
   "",
   _xlfn.LET(
      _xlpm.result,
      IFERROR(
         _xlfn.XLOOKUP(
            1,
            (Table8[رقم الصنف]=A928) *
            (IF($B$9="الكل",1, YEAR('ادخال البيانات'!$N$3:$N$1164) = VALUE($B$9))) *
            (IF($B$10="الكل",1, MONTH('ادخال البيانات'!$N$3:$N$1164) = VALUE($B$10))) *
            (IF($B$11="الكل",1, INT((DAY('ادخال البيانات'!$N$3:$N$1164)-1)/7)+1 = VALUE($B$11))),
            'ادخال البيانات'!$C$3:$C$1164
         ),
         ""
      ),
      IF(_xlpm.result="", "", _xlpm.result)
   )
)</f>
        <v/>
      </c>
      <c r="D928" s="27" t="str" cm="1">
        <f t="array" ref="D928">IF(
   OR(A928="", $B$9="", $B$10="", $B$11=""),
   "",
   _xlfn.LET(
      _xlpm.result,
      IFERROR(
         _xlfn.XLOOKUP(
            1,
            (Table8[رقم الصنف]=A928) *
            (IF($B$9="الكل",1, YEAR('ادخال البيانات'!$N$3:$N$1164)=VALUE($B$9))) *
            (IF($B$10="الكل",1, MONTH('ادخال البيانات'!$N$3:$N$1164)=VALUE($B$10))) *
            (IF($B$11="الكل",1, INT((DAY('ادخال البيانات'!$N$3:$N$1164)-1)/7)+1 = VALUE($B$11))),
            'ادخال البيانات'!$D$3:$D$1164
         ),
         ""
      ),
      IF(_xlpm.result="", "", _xlpm.result)
   )
)</f>
        <v/>
      </c>
      <c r="E928" s="27" t="str" cm="1">
        <f t="array" ref="E928">IF(
   A928="",
   "",
   _xlfn.LET(
      _xlpm.result,
      IFERROR(
         _xlfn.XLOOKUP(
            1,
            (Table8[رقم الصنف]=A928) *
            (IF($B$9="الكل",1, YEAR('ادخال البيانات'!$N$3:$N$1164)=VALUE($B$9))) *
            (IF($B$10="الكل",1, MONTH('ادخال البيانات'!$N$3:$N$1164)=VALUE($B$10))) *
            (IF($B$11="الكل",1, INT((DAY('ادخال البيانات'!$N$3:$N$1164)-1)/7)+1 = VALUE($B$11))),
            'ادخال البيانات'!$E$3:$E$1164
         ),
         ""
      ),
      IF(_xlpm.result="", "", _xlpm.result)
   )
)</f>
        <v/>
      </c>
      <c r="F928" s="27" t="str" cm="1">
        <f t="array" ref="F928">IF(
   A928="",
   "",
   _xlfn.LET(
      _xlpm.result,
      IFERROR(
         _xlfn.XLOOKUP(
            1,
            (Table8[رقم الصنف]=A928) *
            (IF($B$9="الكل",1, YEAR('ادخال البيانات'!$N$3:$N$1164) = VALUE($B$9))) *
            (IF($B$10="الكل",1, MONTH('ادخال البيانات'!$N$3:$N$1164) = VALUE($B$10))) *
            (IF($B$11="الكل",1, INT((DAY('ادخال البيانات'!$N$3:$N$1164)-1)/7)+1 = VALUE($B$11))),
            'ادخال البيانات'!$F$3:$F$1164
         ),
         ""
      ),
      IF(_xlpm.result="", "", _xlpm.result)
   )
)</f>
        <v/>
      </c>
      <c r="G928" s="27" t="str" cm="1">
        <f t="array" ref="G928">IF(
   A928="",
   "",
   _xlfn.LET(
      _xlpm.result,
      IFERROR(
         _xlfn.XLOOKUP(
            1,
            (Table8[رقم الصنف]=A928) *
            (IF($B$9="الكل",1, YEAR('ادخال البيانات'!$N$3:$N$1164)=VALUE($B$9))) *
            (IF($B$10="الكل",1, MONTH('ادخال البيانات'!$N$3:$N$1164)=VALUE($B$10))) *
            (IF($B$11="الكل",1, INT((DAY('ادخال البيانات'!$N$3:$N$1164)-1)/7)+1 = VALUE($B$11))),
            'ادخال البيانات'!$G$3:$G$1164
         ),
         ""
      ),
      IF(_xlpm.result="", "", _xlpm.result)
   )
)</f>
        <v/>
      </c>
      <c r="H928" s="27" t="str" cm="1">
        <f t="array" ref="H928">IF(
   A928="",
   "",
   _xlfn.LET(
      _xlpm.result,
      IFERROR(
         _xlfn.XLOOKUP(
            1,
            (Table8[رقم الصنف]=A928) *
            (IF($B$9="الكل",1, YEAR('ادخال البيانات'!$N$3:$N$1164)=VALUE($B$9))) *
            (IF($B$10="الكل",1, MONTH('ادخال البيانات'!$N$3:$N$1164)=VALUE($B$10))) *
            (IF($B$11="الكل",1, INT((DAY('ادخال البيانات'!$N$3:$N$1164)-1)/7)+1 = VALUE($B$11))),
            'ادخال البيانات'!$H$3:$H$1164
         ),
         ""
      ),
      IF(_xlpm.result="", "", _xlpm.result)
   )
)</f>
        <v/>
      </c>
      <c r="I928" s="27" t="str" cm="1">
        <f t="array" ref="I928">IF(
   A928="",
   "",
   _xlfn.LET(
      _xlpm.result,
      IFERROR(
         _xlfn.XLOOKUP(
            1,
            (Table8[رقم الصنف]=A928) *
            (IF($B$9="الكل",1, YEAR('ادخال البيانات'!$N$3:$N$1164)=VALUE($B$9))) *
            (IF($B$10="الكل",1, MONTH('ادخال البيانات'!$N$3:$N$1164)=VALUE($B$10))) *
            (IF($B$11="الكل",1, INT((DAY('ادخال البيانات'!$N$3:$N$1164)-1)/7)+1 = VALUE($B$11))),
            'ادخال البيانات'!$I$3:$I$1164
         ),
         ""
      ),
      IF(_xlpm.result="", "", _xlpm.result)
   )
)</f>
        <v/>
      </c>
      <c r="J928" s="27" t="str" cm="1">
        <f t="array" ref="J928">IF(
   A928="",
   "",
   _xlfn.LET(
      _xlpm.result,
      IFERROR(
         _xlfn.XLOOKUP(
            1,
            (Table8[رقم الصنف]=A928) *
            (IF($B$9="الكل",1, YEAR('ادخال البيانات'!$N$3:$N$1164)=VALUE($B$9))) *
            (IF($B$10="الكل",1, MONTH('ادخال البيانات'!$N$3:$N$1164)=VALUE($B$10))) *
            (IF($B$11="الكل",1, INT((DAY('ادخال البيانات'!$N$3:$N$1164)-1)/7)+1 = VALUE($B$11))),
            'ادخال البيانات'!$J$3:$J$1164
         ),
         ""
      ),
      IF(_xlpm.result="", "", _xlpm.result)
   )
)</f>
        <v/>
      </c>
      <c r="K928" s="27" t="str" cm="1">
        <f t="array" ref="K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8" s="27" t="str" cm="1">
        <f t="array" ref="L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8" s="27" t="str" cm="1">
        <f t="array" ref="M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8" s="28" t="str" cm="1">
        <f t="array" ref="N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8" s="28" t="str" cm="1">
        <f t="array" ref="O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8" s="27" t="str" cm="1">
        <f t="array" ref="P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Table8[جهة العطل]
         ),
         ""
      ),
      IF(_xlpm.result="", "", _xlpm.result)
   )
)</f>
        <v/>
      </c>
      <c r="Q928" s="27" t="str" cm="1">
        <f t="array" ref="Q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Table8[المركز]
         ),
         ""
      ),
      IF(_xlpm.result="", "", _xlpm.result)
   )
)</f>
        <v/>
      </c>
      <c r="R928" s="27" t="str" cm="1">
        <f t="array" ref="R928">IF(
   A928="",
   "",
   _xlfn.LET(
      _xlpm.result,
      IFERROR(
         _xlfn.XLOOKUP(
            1,
            (Table8[رقم الصنف]=A928) *
            (IF($B$9="الكل",1, YEAR('ادخال البيانات'!$N$3:$N$1164) = VALUE($B$9))) *
            (IF($B$10="الكل",1, MONTH('ادخال البيانات'!$N$3:$N$1164) = VALUE($B$10))) *
            (IF($B$11="الكل",1, INT((DAY('ادخال البيانات'!$N$3:$N$1164) - 1) / 7) + 1 = VALUE($B$11))),
            Table8[ملاحظة]
         ),
         ""
      ),
      IF(_xlpm.result="", "", _xlpm.result)
   )
)</f>
        <v/>
      </c>
      <c r="S928" s="46" t="str">
        <f t="shared" ca="1" si="15"/>
        <v/>
      </c>
    </row>
    <row r="929" spans="1:19" ht="15.6" thickTop="1" thickBot="1" x14ac:dyDescent="0.35">
      <c r="A929" s="39"/>
      <c r="B929" s="27" t="str" cm="1">
        <f t="array" ref="B929">IF(
   OR(A929="", $B$9="", $B$10="", $B$11=""),
   "",
   _xlfn.LET(
      _xlpm.result,
      IFERROR(
         _xlfn.XLOOKUP(
            1,
            (Table8[رقم الصنف]=A929)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29" s="27" t="str" cm="1">
        <f t="array" ref="C929">IF(
   A929="",
   "",
   _xlfn.LET(
      _xlpm.result,
      IFERROR(
         _xlfn.XLOOKUP(
            1,
            (Table8[رقم الصنف]=A929) *
            (IF($B$9="الكل",1, YEAR('ادخال البيانات'!$N$3:$N$1164) = VALUE($B$9))) *
            (IF($B$10="الكل",1, MONTH('ادخال البيانات'!$N$3:$N$1164) = VALUE($B$10))) *
            (IF($B$11="الكل",1, INT((DAY('ادخال البيانات'!$N$3:$N$1164)-1)/7)+1 = VALUE($B$11))),
            'ادخال البيانات'!$C$3:$C$1164
         ),
         ""
      ),
      IF(_xlpm.result="", "", _xlpm.result)
   )
)</f>
        <v/>
      </c>
      <c r="D929" s="27" t="str" cm="1">
        <f t="array" ref="D929">IF(
   OR(A929="", $B$9="", $B$10="", $B$11=""),
   "",
   _xlfn.LET(
      _xlpm.result,
      IFERROR(
         _xlfn.XLOOKUP(
            1,
            (Table8[رقم الصنف]=A929) *
            (IF($B$9="الكل",1, YEAR('ادخال البيانات'!$N$3:$N$1164)=VALUE($B$9))) *
            (IF($B$10="الكل",1, MONTH('ادخال البيانات'!$N$3:$N$1164)=VALUE($B$10))) *
            (IF($B$11="الكل",1, INT((DAY('ادخال البيانات'!$N$3:$N$1164)-1)/7)+1 = VALUE($B$11))),
            'ادخال البيانات'!$D$3:$D$1164
         ),
         ""
      ),
      IF(_xlpm.result="", "", _xlpm.result)
   )
)</f>
        <v/>
      </c>
      <c r="E929" s="27" t="str" cm="1">
        <f t="array" ref="E929">IF(
   A929="",
   "",
   _xlfn.LET(
      _xlpm.result,
      IFERROR(
         _xlfn.XLOOKUP(
            1,
            (Table8[رقم الصنف]=A929) *
            (IF($B$9="الكل",1, YEAR('ادخال البيانات'!$N$3:$N$1164)=VALUE($B$9))) *
            (IF($B$10="الكل",1, MONTH('ادخال البيانات'!$N$3:$N$1164)=VALUE($B$10))) *
            (IF($B$11="الكل",1, INT((DAY('ادخال البيانات'!$N$3:$N$1164)-1)/7)+1 = VALUE($B$11))),
            'ادخال البيانات'!$E$3:$E$1164
         ),
         ""
      ),
      IF(_xlpm.result="", "", _xlpm.result)
   )
)</f>
        <v/>
      </c>
      <c r="F929" s="27" t="str" cm="1">
        <f t="array" ref="F929">IF(
   A929="",
   "",
   _xlfn.LET(
      _xlpm.result,
      IFERROR(
         _xlfn.XLOOKUP(
            1,
            (Table8[رقم الصنف]=A929) *
            (IF($B$9="الكل",1, YEAR('ادخال البيانات'!$N$3:$N$1164) = VALUE($B$9))) *
            (IF($B$10="الكل",1, MONTH('ادخال البيانات'!$N$3:$N$1164) = VALUE($B$10))) *
            (IF($B$11="الكل",1, INT((DAY('ادخال البيانات'!$N$3:$N$1164)-1)/7)+1 = VALUE($B$11))),
            'ادخال البيانات'!$F$3:$F$1164
         ),
         ""
      ),
      IF(_xlpm.result="", "", _xlpm.result)
   )
)</f>
        <v/>
      </c>
      <c r="G929" s="27" t="str" cm="1">
        <f t="array" ref="G929">IF(
   A929="",
   "",
   _xlfn.LET(
      _xlpm.result,
      IFERROR(
         _xlfn.XLOOKUP(
            1,
            (Table8[رقم الصنف]=A929) *
            (IF($B$9="الكل",1, YEAR('ادخال البيانات'!$N$3:$N$1164)=VALUE($B$9))) *
            (IF($B$10="الكل",1, MONTH('ادخال البيانات'!$N$3:$N$1164)=VALUE($B$10))) *
            (IF($B$11="الكل",1, INT((DAY('ادخال البيانات'!$N$3:$N$1164)-1)/7)+1 = VALUE($B$11))),
            'ادخال البيانات'!$G$3:$G$1164
         ),
         ""
      ),
      IF(_xlpm.result="", "", _xlpm.result)
   )
)</f>
        <v/>
      </c>
      <c r="H929" s="27" t="str" cm="1">
        <f t="array" ref="H929">IF(
   A929="",
   "",
   _xlfn.LET(
      _xlpm.result,
      IFERROR(
         _xlfn.XLOOKUP(
            1,
            (Table8[رقم الصنف]=A929) *
            (IF($B$9="الكل",1, YEAR('ادخال البيانات'!$N$3:$N$1164)=VALUE($B$9))) *
            (IF($B$10="الكل",1, MONTH('ادخال البيانات'!$N$3:$N$1164)=VALUE($B$10))) *
            (IF($B$11="الكل",1, INT((DAY('ادخال البيانات'!$N$3:$N$1164)-1)/7)+1 = VALUE($B$11))),
            'ادخال البيانات'!$H$3:$H$1164
         ),
         ""
      ),
      IF(_xlpm.result="", "", _xlpm.result)
   )
)</f>
        <v/>
      </c>
      <c r="I929" s="27" t="str" cm="1">
        <f t="array" ref="I929">IF(
   A929="",
   "",
   _xlfn.LET(
      _xlpm.result,
      IFERROR(
         _xlfn.XLOOKUP(
            1,
            (Table8[رقم الصنف]=A929) *
            (IF($B$9="الكل",1, YEAR('ادخال البيانات'!$N$3:$N$1164)=VALUE($B$9))) *
            (IF($B$10="الكل",1, MONTH('ادخال البيانات'!$N$3:$N$1164)=VALUE($B$10))) *
            (IF($B$11="الكل",1, INT((DAY('ادخال البيانات'!$N$3:$N$1164)-1)/7)+1 = VALUE($B$11))),
            'ادخال البيانات'!$I$3:$I$1164
         ),
         ""
      ),
      IF(_xlpm.result="", "", _xlpm.result)
   )
)</f>
        <v/>
      </c>
      <c r="J929" s="27" t="str" cm="1">
        <f t="array" ref="J929">IF(
   A929="",
   "",
   _xlfn.LET(
      _xlpm.result,
      IFERROR(
         _xlfn.XLOOKUP(
            1,
            (Table8[رقم الصنف]=A929) *
            (IF($B$9="الكل",1, YEAR('ادخال البيانات'!$N$3:$N$1164)=VALUE($B$9))) *
            (IF($B$10="الكل",1, MONTH('ادخال البيانات'!$N$3:$N$1164)=VALUE($B$10))) *
            (IF($B$11="الكل",1, INT((DAY('ادخال البيانات'!$N$3:$N$1164)-1)/7)+1 = VALUE($B$11))),
            'ادخال البيانات'!$J$3:$J$1164
         ),
         ""
      ),
      IF(_xlpm.result="", "", _xlpm.result)
   )
)</f>
        <v/>
      </c>
      <c r="K929" s="27" t="str" cm="1">
        <f t="array" ref="K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29" s="27" t="str" cm="1">
        <f t="array" ref="L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29" s="27" t="str" cm="1">
        <f t="array" ref="M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29" s="28" t="str" cm="1">
        <f t="array" ref="N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29" s="28" t="str" cm="1">
        <f t="array" ref="O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29" s="27" t="str" cm="1">
        <f t="array" ref="P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Table8[جهة العطل]
         ),
         ""
      ),
      IF(_xlpm.result="", "", _xlpm.result)
   )
)</f>
        <v/>
      </c>
      <c r="Q929" s="27" t="str" cm="1">
        <f t="array" ref="Q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Table8[المركز]
         ),
         ""
      ),
      IF(_xlpm.result="", "", _xlpm.result)
   )
)</f>
        <v/>
      </c>
      <c r="R929" s="27" t="str" cm="1">
        <f t="array" ref="R929">IF(
   A929="",
   "",
   _xlfn.LET(
      _xlpm.result,
      IFERROR(
         _xlfn.XLOOKUP(
            1,
            (Table8[رقم الصنف]=A929) *
            (IF($B$9="الكل",1, YEAR('ادخال البيانات'!$N$3:$N$1164) = VALUE($B$9))) *
            (IF($B$10="الكل",1, MONTH('ادخال البيانات'!$N$3:$N$1164) = VALUE($B$10))) *
            (IF($B$11="الكل",1, INT((DAY('ادخال البيانات'!$N$3:$N$1164) - 1) / 7) + 1 = VALUE($B$11))),
            Table8[ملاحظة]
         ),
         ""
      ),
      IF(_xlpm.result="", "", _xlpm.result)
   )
)</f>
        <v/>
      </c>
      <c r="S929" s="46" t="str">
        <f t="shared" ca="1" si="15"/>
        <v/>
      </c>
    </row>
    <row r="930" spans="1:19" ht="15.6" thickTop="1" thickBot="1" x14ac:dyDescent="0.35">
      <c r="A930" s="39"/>
      <c r="B930" s="27" t="str" cm="1">
        <f t="array" ref="B930">IF(
   OR(A930="", $B$9="", $B$10="", $B$11=""),
   "",
   _xlfn.LET(
      _xlpm.result,
      IFERROR(
         _xlfn.XLOOKUP(
            1,
            (Table8[رقم الصنف]=A930)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0" s="27" t="str" cm="1">
        <f t="array" ref="C930">IF(
   A930="",
   "",
   _xlfn.LET(
      _xlpm.result,
      IFERROR(
         _xlfn.XLOOKUP(
            1,
            (Table8[رقم الصنف]=A930) *
            (IF($B$9="الكل",1, YEAR('ادخال البيانات'!$N$3:$N$1164) = VALUE($B$9))) *
            (IF($B$10="الكل",1, MONTH('ادخال البيانات'!$N$3:$N$1164) = VALUE($B$10))) *
            (IF($B$11="الكل",1, INT((DAY('ادخال البيانات'!$N$3:$N$1164)-1)/7)+1 = VALUE($B$11))),
            'ادخال البيانات'!$C$3:$C$1164
         ),
         ""
      ),
      IF(_xlpm.result="", "", _xlpm.result)
   )
)</f>
        <v/>
      </c>
      <c r="D930" s="27" t="str" cm="1">
        <f t="array" ref="D930">IF(
   OR(A930="", $B$9="", $B$10="", $B$11=""),
   "",
   _xlfn.LET(
      _xlpm.result,
      IFERROR(
         _xlfn.XLOOKUP(
            1,
            (Table8[رقم الصنف]=A930) *
            (IF($B$9="الكل",1, YEAR('ادخال البيانات'!$N$3:$N$1164)=VALUE($B$9))) *
            (IF($B$10="الكل",1, MONTH('ادخال البيانات'!$N$3:$N$1164)=VALUE($B$10))) *
            (IF($B$11="الكل",1, INT((DAY('ادخال البيانات'!$N$3:$N$1164)-1)/7)+1 = VALUE($B$11))),
            'ادخال البيانات'!$D$3:$D$1164
         ),
         ""
      ),
      IF(_xlpm.result="", "", _xlpm.result)
   )
)</f>
        <v/>
      </c>
      <c r="E930" s="27" t="str" cm="1">
        <f t="array" ref="E930">IF(
   A930="",
   "",
   _xlfn.LET(
      _xlpm.result,
      IFERROR(
         _xlfn.XLOOKUP(
            1,
            (Table8[رقم الصنف]=A930) *
            (IF($B$9="الكل",1, YEAR('ادخال البيانات'!$N$3:$N$1164)=VALUE($B$9))) *
            (IF($B$10="الكل",1, MONTH('ادخال البيانات'!$N$3:$N$1164)=VALUE($B$10))) *
            (IF($B$11="الكل",1, INT((DAY('ادخال البيانات'!$N$3:$N$1164)-1)/7)+1 = VALUE($B$11))),
            'ادخال البيانات'!$E$3:$E$1164
         ),
         ""
      ),
      IF(_xlpm.result="", "", _xlpm.result)
   )
)</f>
        <v/>
      </c>
      <c r="F930" s="27" t="str" cm="1">
        <f t="array" ref="F930">IF(
   A930="",
   "",
   _xlfn.LET(
      _xlpm.result,
      IFERROR(
         _xlfn.XLOOKUP(
            1,
            (Table8[رقم الصنف]=A930) *
            (IF($B$9="الكل",1, YEAR('ادخال البيانات'!$N$3:$N$1164) = VALUE($B$9))) *
            (IF($B$10="الكل",1, MONTH('ادخال البيانات'!$N$3:$N$1164) = VALUE($B$10))) *
            (IF($B$11="الكل",1, INT((DAY('ادخال البيانات'!$N$3:$N$1164)-1)/7)+1 = VALUE($B$11))),
            'ادخال البيانات'!$F$3:$F$1164
         ),
         ""
      ),
      IF(_xlpm.result="", "", _xlpm.result)
   )
)</f>
        <v/>
      </c>
      <c r="G930" s="27" t="str" cm="1">
        <f t="array" ref="G930">IF(
   A930="",
   "",
   _xlfn.LET(
      _xlpm.result,
      IFERROR(
         _xlfn.XLOOKUP(
            1,
            (Table8[رقم الصنف]=A930) *
            (IF($B$9="الكل",1, YEAR('ادخال البيانات'!$N$3:$N$1164)=VALUE($B$9))) *
            (IF($B$10="الكل",1, MONTH('ادخال البيانات'!$N$3:$N$1164)=VALUE($B$10))) *
            (IF($B$11="الكل",1, INT((DAY('ادخال البيانات'!$N$3:$N$1164)-1)/7)+1 = VALUE($B$11))),
            'ادخال البيانات'!$G$3:$G$1164
         ),
         ""
      ),
      IF(_xlpm.result="", "", _xlpm.result)
   )
)</f>
        <v/>
      </c>
      <c r="H930" s="27" t="str" cm="1">
        <f t="array" ref="H930">IF(
   A930="",
   "",
   _xlfn.LET(
      _xlpm.result,
      IFERROR(
         _xlfn.XLOOKUP(
            1,
            (Table8[رقم الصنف]=A930) *
            (IF($B$9="الكل",1, YEAR('ادخال البيانات'!$N$3:$N$1164)=VALUE($B$9))) *
            (IF($B$10="الكل",1, MONTH('ادخال البيانات'!$N$3:$N$1164)=VALUE($B$10))) *
            (IF($B$11="الكل",1, INT((DAY('ادخال البيانات'!$N$3:$N$1164)-1)/7)+1 = VALUE($B$11))),
            'ادخال البيانات'!$H$3:$H$1164
         ),
         ""
      ),
      IF(_xlpm.result="", "", _xlpm.result)
   )
)</f>
        <v/>
      </c>
      <c r="I930" s="27" t="str" cm="1">
        <f t="array" ref="I930">IF(
   A930="",
   "",
   _xlfn.LET(
      _xlpm.result,
      IFERROR(
         _xlfn.XLOOKUP(
            1,
            (Table8[رقم الصنف]=A930) *
            (IF($B$9="الكل",1, YEAR('ادخال البيانات'!$N$3:$N$1164)=VALUE($B$9))) *
            (IF($B$10="الكل",1, MONTH('ادخال البيانات'!$N$3:$N$1164)=VALUE($B$10))) *
            (IF($B$11="الكل",1, INT((DAY('ادخال البيانات'!$N$3:$N$1164)-1)/7)+1 = VALUE($B$11))),
            'ادخال البيانات'!$I$3:$I$1164
         ),
         ""
      ),
      IF(_xlpm.result="", "", _xlpm.result)
   )
)</f>
        <v/>
      </c>
      <c r="J930" s="27" t="str" cm="1">
        <f t="array" ref="J930">IF(
   A930="",
   "",
   _xlfn.LET(
      _xlpm.result,
      IFERROR(
         _xlfn.XLOOKUP(
            1,
            (Table8[رقم الصنف]=A930) *
            (IF($B$9="الكل",1, YEAR('ادخال البيانات'!$N$3:$N$1164)=VALUE($B$9))) *
            (IF($B$10="الكل",1, MONTH('ادخال البيانات'!$N$3:$N$1164)=VALUE($B$10))) *
            (IF($B$11="الكل",1, INT((DAY('ادخال البيانات'!$N$3:$N$1164)-1)/7)+1 = VALUE($B$11))),
            'ادخال البيانات'!$J$3:$J$1164
         ),
         ""
      ),
      IF(_xlpm.result="", "", _xlpm.result)
   )
)</f>
        <v/>
      </c>
      <c r="K930" s="27" t="str" cm="1">
        <f t="array" ref="K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0" s="27" t="str" cm="1">
        <f t="array" ref="L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0" s="27" t="str" cm="1">
        <f t="array" ref="M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0" s="28" t="str" cm="1">
        <f t="array" ref="N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0" s="28" t="str" cm="1">
        <f t="array" ref="O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0" s="27" t="str" cm="1">
        <f t="array" ref="P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Table8[جهة العطل]
         ),
         ""
      ),
      IF(_xlpm.result="", "", _xlpm.result)
   )
)</f>
        <v/>
      </c>
      <c r="Q930" s="27" t="str" cm="1">
        <f t="array" ref="Q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Table8[المركز]
         ),
         ""
      ),
      IF(_xlpm.result="", "", _xlpm.result)
   )
)</f>
        <v/>
      </c>
      <c r="R930" s="27" t="str" cm="1">
        <f t="array" ref="R930">IF(
   A930="",
   "",
   _xlfn.LET(
      _xlpm.result,
      IFERROR(
         _xlfn.XLOOKUP(
            1,
            (Table8[رقم الصنف]=A930) *
            (IF($B$9="الكل",1, YEAR('ادخال البيانات'!$N$3:$N$1164) = VALUE($B$9))) *
            (IF($B$10="الكل",1, MONTH('ادخال البيانات'!$N$3:$N$1164) = VALUE($B$10))) *
            (IF($B$11="الكل",1, INT((DAY('ادخال البيانات'!$N$3:$N$1164) - 1) / 7) + 1 = VALUE($B$11))),
            Table8[ملاحظة]
         ),
         ""
      ),
      IF(_xlpm.result="", "", _xlpm.result)
   )
)</f>
        <v/>
      </c>
      <c r="S930" s="46" t="str">
        <f t="shared" ca="1" si="15"/>
        <v/>
      </c>
    </row>
    <row r="931" spans="1:19" ht="15.6" thickTop="1" thickBot="1" x14ac:dyDescent="0.35">
      <c r="A931" s="39"/>
      <c r="B931" s="27" t="str" cm="1">
        <f t="array" ref="B931">IF(
   OR(A931="", $B$9="", $B$10="", $B$11=""),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1" s="27" t="str" cm="1">
        <f t="array" ref="C931">IF(
   A931="",
   "",
   _xlfn.LET(
      _xlpm.result,
      IFERROR(
         _xlfn.XLOOKUP(
            1,
            (Table8[رقم الصنف]=A931) *
            (IF($B$9="الكل",1, YEAR('ادخال البيانات'!$N$3:$N$1164) = VALUE($B$9))) *
            (IF($B$10="الكل",1, MONTH('ادخال البيانات'!$N$3:$N$1164) = VALUE($B$10))) *
            (IF($B$11="الكل",1, INT((DAY('ادخال البيانات'!$N$3:$N$1164)-1)/7)+1 = VALUE($B$11))),
            'ادخال البيانات'!$C$3:$C$1164
         ),
         ""
      ),
      IF(_xlpm.result="", "", _xlpm.result)
   )
)</f>
        <v/>
      </c>
      <c r="D931" s="27" t="str" cm="1">
        <f t="array" ref="D931">IF(
   OR(A931="", $B$9="", $B$10="", $B$11=""),
   "",
   _xlfn.LET(
      _xlpm.result,
      IFERROR(
         _xlfn.XLOOKUP(
            1,
            (Table8[رقم الصنف]=A931) *
            (IF($B$9="الكل",1, YEAR('ادخال البيانات'!$N$3:$N$1164)=VALUE($B$9))) *
            (IF($B$10="الكل",1, MONTH('ادخال البيانات'!$N$3:$N$1164)=VALUE($B$10))) *
            (IF($B$11="الكل",1, INT((DAY('ادخال البيانات'!$N$3:$N$1164)-1)/7)+1 = VALUE($B$11))),
            'ادخال البيانات'!$D$3:$D$1164
         ),
         ""
      ),
      IF(_xlpm.result="", "", _xlpm.result)
   )
)</f>
        <v/>
      </c>
      <c r="E931" s="27" t="str" cm="1">
        <f t="array" ref="E931">IF(
   A931="",
   "",
   _xlfn.LET(
      _xlpm.result,
      IFERROR(
         _xlfn.XLOOKUP(
            1,
            (Table8[رقم الصنف]=A931) *
            (IF($B$9="الكل",1, YEAR('ادخال البيانات'!$N$3:$N$1164)=VALUE($B$9))) *
            (IF($B$10="الكل",1, MONTH('ادخال البيانات'!$N$3:$N$1164)=VALUE($B$10))) *
            (IF($B$11="الكل",1, INT((DAY('ادخال البيانات'!$N$3:$N$1164)-1)/7)+1 = VALUE($B$11))),
            'ادخال البيانات'!$E$3:$E$1164
         ),
         ""
      ),
      IF(_xlpm.result="", "", _xlpm.result)
   )
)</f>
        <v/>
      </c>
      <c r="F931" s="27" t="str" cm="1">
        <f t="array" ref="F931">IF(
   A931="",
   "",
   _xlfn.LET(
      _xlpm.result,
      IFERROR(
         _xlfn.XLOOKUP(
            1,
            (Table8[رقم الصنف]=A931) *
            (IF($B$9="الكل",1, YEAR('ادخال البيانات'!$N$3:$N$1164) = VALUE($B$9))) *
            (IF($B$10="الكل",1, MONTH('ادخال البيانات'!$N$3:$N$1164) = VALUE($B$10))) *
            (IF($B$11="الكل",1, INT((DAY('ادخال البيانات'!$N$3:$N$1164)-1)/7)+1 = VALUE($B$11))),
            'ادخال البيانات'!$F$3:$F$1164
         ),
         ""
      ),
      IF(_xlpm.result="", "", _xlpm.result)
   )
)</f>
        <v/>
      </c>
      <c r="G931" s="27" t="str" cm="1">
        <f t="array" ref="G931">IF(
   A931="",
   "",
   _xlfn.LET(
      _xlpm.result,
      IFERROR(
         _xlfn.XLOOKUP(
            1,
            (Table8[رقم الصنف]=A931) *
            (IF($B$9="الكل",1, YEAR('ادخال البيانات'!$N$3:$N$1164)=VALUE($B$9))) *
            (IF($B$10="الكل",1, MONTH('ادخال البيانات'!$N$3:$N$1164)=VALUE($B$10))) *
            (IF($B$11="الكل",1, INT((DAY('ادخال البيانات'!$N$3:$N$1164)-1)/7)+1 = VALUE($B$11))),
            'ادخال البيانات'!$G$3:$G$1164
         ),
         ""
      ),
      IF(_xlpm.result="", "", _xlpm.result)
   )
)</f>
        <v/>
      </c>
      <c r="H931" s="27" t="str" cm="1">
        <f t="array" ref="H931">IF(
   A931="",
   "",
   _xlfn.LET(
      _xlpm.result,
      IFERROR(
         _xlfn.XLOOKUP(
            1,
            (Table8[رقم الصنف]=A931) *
            (IF($B$9="الكل",1, YEAR('ادخال البيانات'!$N$3:$N$1164)=VALUE($B$9))) *
            (IF($B$10="الكل",1, MONTH('ادخال البيانات'!$N$3:$N$1164)=VALUE($B$10))) *
            (IF($B$11="الكل",1, INT((DAY('ادخال البيانات'!$N$3:$N$1164)-1)/7)+1 = VALUE($B$11))),
            'ادخال البيانات'!$H$3:$H$1164
         ),
         ""
      ),
      IF(_xlpm.result="", "", _xlpm.result)
   )
)</f>
        <v/>
      </c>
      <c r="I931" s="27" t="str" cm="1">
        <f t="array" ref="I931">IF(
   A931="",
   "",
   _xlfn.LET(
      _xlpm.result,
      IFERROR(
         _xlfn.XLOOKUP(
            1,
            (Table8[رقم الصنف]=A931) *
            (IF($B$9="الكل",1, YEAR('ادخال البيانات'!$N$3:$N$1164)=VALUE($B$9))) *
            (IF($B$10="الكل",1, MONTH('ادخال البيانات'!$N$3:$N$1164)=VALUE($B$10))) *
            (IF($B$11="الكل",1, INT((DAY('ادخال البيانات'!$N$3:$N$1164)-1)/7)+1 = VALUE($B$11))),
            'ادخال البيانات'!$I$3:$I$1164
         ),
         ""
      ),
      IF(_xlpm.result="", "", _xlpm.result)
   )
)</f>
        <v/>
      </c>
      <c r="J931" s="27" t="str" cm="1">
        <f t="array" ref="J931">IF(
   A931="",
   "",
   _xlfn.LET(
      _xlpm.result,
      IFERROR(
         _xlfn.XLOOKUP(
            1,
            (Table8[رقم الصنف]=A931) *
            (IF($B$9="الكل",1, YEAR('ادخال البيانات'!$N$3:$N$1164)=VALUE($B$9))) *
            (IF($B$10="الكل",1, MONTH('ادخال البيانات'!$N$3:$N$1164)=VALUE($B$10))) *
            (IF($B$11="الكل",1, INT((DAY('ادخال البيانات'!$N$3:$N$1164)-1)/7)+1 = VALUE($B$11))),
            'ادخال البيانات'!$J$3:$J$1164
         ),
         ""
      ),
      IF(_xlpm.result="", "", _xlpm.result)
   )
)</f>
        <v/>
      </c>
      <c r="K931" s="27" t="str" cm="1">
        <f t="array" ref="K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1" s="27" t="str" cm="1">
        <f t="array" ref="L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1" s="27" t="str" cm="1">
        <f t="array" ref="M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1" s="28" t="str" cm="1">
        <f t="array" ref="N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1" s="28" t="str" cm="1">
        <f t="array" ref="O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1" s="27" t="str" cm="1">
        <f t="array" ref="P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Table8[جهة العطل]
         ),
         ""
      ),
      IF(_xlpm.result="", "", _xlpm.result)
   )
)</f>
        <v/>
      </c>
      <c r="Q931" s="27" t="str" cm="1">
        <f t="array" ref="Q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Table8[المركز]
         ),
         ""
      ),
      IF(_xlpm.result="", "", _xlpm.result)
   )
)</f>
        <v/>
      </c>
      <c r="R931" s="27" t="str" cm="1">
        <f t="array" ref="R931">IF(
   A931="",
   "",
   _xlfn.LET(
      _xlpm.result,
      IFERROR(
         _xlfn.XLOOKUP(
            1,
            (Table8[رقم الصنف]=A931) *
            (IF($B$9="الكل",1, YEAR('ادخال البيانات'!$N$3:$N$1164) = VALUE($B$9))) *
            (IF($B$10="الكل",1, MONTH('ادخال البيانات'!$N$3:$N$1164) = VALUE($B$10))) *
            (IF($B$11="الكل",1, INT((DAY('ادخال البيانات'!$N$3:$N$1164) - 1) / 7) + 1 = VALUE($B$11))),
            Table8[ملاحظة]
         ),
         ""
      ),
      IF(_xlpm.result="", "", _xlpm.result)
   )
)</f>
        <v/>
      </c>
      <c r="S931" s="46" t="str">
        <f t="shared" ca="1" si="15"/>
        <v/>
      </c>
    </row>
    <row r="932" spans="1:19" ht="15.6" thickTop="1" thickBot="1" x14ac:dyDescent="0.35">
      <c r="A932" s="39"/>
      <c r="B932" s="27" t="str" cm="1">
        <f t="array" ref="B932">IF(
   OR(A932="", $B$9="", $B$10="", $B$11=""),
   "",
   _xlfn.LET(
      _xlpm.result,
      IFERROR(
         _xlfn.XLOOKUP(
            1,
            (Table8[رقم الصنف]=A932)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2" s="27" t="str" cm="1">
        <f t="array" ref="C932">IF(
   A932="",
   "",
   _xlfn.LET(
      _xlpm.result,
      IFERROR(
         _xlfn.XLOOKUP(
            1,
            (Table8[رقم الصنف]=A932) *
            (IF($B$9="الكل",1, YEAR('ادخال البيانات'!$N$3:$N$1164) = VALUE($B$9))) *
            (IF($B$10="الكل",1, MONTH('ادخال البيانات'!$N$3:$N$1164) = VALUE($B$10))) *
            (IF($B$11="الكل",1, INT((DAY('ادخال البيانات'!$N$3:$N$1164)-1)/7)+1 = VALUE($B$11))),
            'ادخال البيانات'!$C$3:$C$1164
         ),
         ""
      ),
      IF(_xlpm.result="", "", _xlpm.result)
   )
)</f>
        <v/>
      </c>
      <c r="D932" s="27" t="str" cm="1">
        <f t="array" ref="D932">IF(
   OR(A932="", $B$9="", $B$10="", $B$11=""),
   "",
   _xlfn.LET(
      _xlpm.result,
      IFERROR(
         _xlfn.XLOOKUP(
            1,
            (Table8[رقم الصنف]=A932) *
            (IF($B$9="الكل",1, YEAR('ادخال البيانات'!$N$3:$N$1164)=VALUE($B$9))) *
            (IF($B$10="الكل",1, MONTH('ادخال البيانات'!$N$3:$N$1164)=VALUE($B$10))) *
            (IF($B$11="الكل",1, INT((DAY('ادخال البيانات'!$N$3:$N$1164)-1)/7)+1 = VALUE($B$11))),
            'ادخال البيانات'!$D$3:$D$1164
         ),
         ""
      ),
      IF(_xlpm.result="", "", _xlpm.result)
   )
)</f>
        <v/>
      </c>
      <c r="E932" s="27" t="str" cm="1">
        <f t="array" ref="E932">IF(
   A932="",
   "",
   _xlfn.LET(
      _xlpm.result,
      IFERROR(
         _xlfn.XLOOKUP(
            1,
            (Table8[رقم الصنف]=A932) *
            (IF($B$9="الكل",1, YEAR('ادخال البيانات'!$N$3:$N$1164)=VALUE($B$9))) *
            (IF($B$10="الكل",1, MONTH('ادخال البيانات'!$N$3:$N$1164)=VALUE($B$10))) *
            (IF($B$11="الكل",1, INT((DAY('ادخال البيانات'!$N$3:$N$1164)-1)/7)+1 = VALUE($B$11))),
            'ادخال البيانات'!$E$3:$E$1164
         ),
         ""
      ),
      IF(_xlpm.result="", "", _xlpm.result)
   )
)</f>
        <v/>
      </c>
      <c r="F932" s="27" t="str" cm="1">
        <f t="array" ref="F932">IF(
   A932="",
   "",
   _xlfn.LET(
      _xlpm.result,
      IFERROR(
         _xlfn.XLOOKUP(
            1,
            (Table8[رقم الصنف]=A932) *
            (IF($B$9="الكل",1, YEAR('ادخال البيانات'!$N$3:$N$1164) = VALUE($B$9))) *
            (IF($B$10="الكل",1, MONTH('ادخال البيانات'!$N$3:$N$1164) = VALUE($B$10))) *
            (IF($B$11="الكل",1, INT((DAY('ادخال البيانات'!$N$3:$N$1164)-1)/7)+1 = VALUE($B$11))),
            'ادخال البيانات'!$F$3:$F$1164
         ),
         ""
      ),
      IF(_xlpm.result="", "", _xlpm.result)
   )
)</f>
        <v/>
      </c>
      <c r="G932" s="27" t="str" cm="1">
        <f t="array" ref="G932">IF(
   A932="",
   "",
   _xlfn.LET(
      _xlpm.result,
      IFERROR(
         _xlfn.XLOOKUP(
            1,
            (Table8[رقم الصنف]=A932) *
            (IF($B$9="الكل",1, YEAR('ادخال البيانات'!$N$3:$N$1164)=VALUE($B$9))) *
            (IF($B$10="الكل",1, MONTH('ادخال البيانات'!$N$3:$N$1164)=VALUE($B$10))) *
            (IF($B$11="الكل",1, INT((DAY('ادخال البيانات'!$N$3:$N$1164)-1)/7)+1 = VALUE($B$11))),
            'ادخال البيانات'!$G$3:$G$1164
         ),
         ""
      ),
      IF(_xlpm.result="", "", _xlpm.result)
   )
)</f>
        <v/>
      </c>
      <c r="H932" s="27" t="str" cm="1">
        <f t="array" ref="H932">IF(
   A932="",
   "",
   _xlfn.LET(
      _xlpm.result,
      IFERROR(
         _xlfn.XLOOKUP(
            1,
            (Table8[رقم الصنف]=A932) *
            (IF($B$9="الكل",1, YEAR('ادخال البيانات'!$N$3:$N$1164)=VALUE($B$9))) *
            (IF($B$10="الكل",1, MONTH('ادخال البيانات'!$N$3:$N$1164)=VALUE($B$10))) *
            (IF($B$11="الكل",1, INT((DAY('ادخال البيانات'!$N$3:$N$1164)-1)/7)+1 = VALUE($B$11))),
            'ادخال البيانات'!$H$3:$H$1164
         ),
         ""
      ),
      IF(_xlpm.result="", "", _xlpm.result)
   )
)</f>
        <v/>
      </c>
      <c r="I932" s="27" t="str" cm="1">
        <f t="array" ref="I932">IF(
   A932="",
   "",
   _xlfn.LET(
      _xlpm.result,
      IFERROR(
         _xlfn.XLOOKUP(
            1,
            (Table8[رقم الصنف]=A932) *
            (IF($B$9="الكل",1, YEAR('ادخال البيانات'!$N$3:$N$1164)=VALUE($B$9))) *
            (IF($B$10="الكل",1, MONTH('ادخال البيانات'!$N$3:$N$1164)=VALUE($B$10))) *
            (IF($B$11="الكل",1, INT((DAY('ادخال البيانات'!$N$3:$N$1164)-1)/7)+1 = VALUE($B$11))),
            'ادخال البيانات'!$I$3:$I$1164
         ),
         ""
      ),
      IF(_xlpm.result="", "", _xlpm.result)
   )
)</f>
        <v/>
      </c>
      <c r="J932" s="27" t="str" cm="1">
        <f t="array" ref="J932">IF(
   A932="",
   "",
   _xlfn.LET(
      _xlpm.result,
      IFERROR(
         _xlfn.XLOOKUP(
            1,
            (Table8[رقم الصنف]=A932) *
            (IF($B$9="الكل",1, YEAR('ادخال البيانات'!$N$3:$N$1164)=VALUE($B$9))) *
            (IF($B$10="الكل",1, MONTH('ادخال البيانات'!$N$3:$N$1164)=VALUE($B$10))) *
            (IF($B$11="الكل",1, INT((DAY('ادخال البيانات'!$N$3:$N$1164)-1)/7)+1 = VALUE($B$11))),
            'ادخال البيانات'!$J$3:$J$1164
         ),
         ""
      ),
      IF(_xlpm.result="", "", _xlpm.result)
   )
)</f>
        <v/>
      </c>
      <c r="K932" s="27" t="str" cm="1">
        <f t="array" ref="K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2" s="27" t="str" cm="1">
        <f t="array" ref="L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2" s="27" t="str" cm="1">
        <f t="array" ref="M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2" s="28" t="str" cm="1">
        <f t="array" ref="N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2" s="28" t="str" cm="1">
        <f t="array" ref="O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2" s="27" t="str" cm="1">
        <f t="array" ref="P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Table8[جهة العطل]
         ),
         ""
      ),
      IF(_xlpm.result="", "", _xlpm.result)
   )
)</f>
        <v/>
      </c>
      <c r="Q932" s="27" t="str" cm="1">
        <f t="array" ref="Q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Table8[المركز]
         ),
         ""
      ),
      IF(_xlpm.result="", "", _xlpm.result)
   )
)</f>
        <v/>
      </c>
      <c r="R932" s="27" t="str" cm="1">
        <f t="array" ref="R932">IF(
   A932="",
   "",
   _xlfn.LET(
      _xlpm.result,
      IFERROR(
         _xlfn.XLOOKUP(
            1,
            (Table8[رقم الصنف]=A932) *
            (IF($B$9="الكل",1, YEAR('ادخال البيانات'!$N$3:$N$1164) = VALUE($B$9))) *
            (IF($B$10="الكل",1, MONTH('ادخال البيانات'!$N$3:$N$1164) = VALUE($B$10))) *
            (IF($B$11="الكل",1, INT((DAY('ادخال البيانات'!$N$3:$N$1164) - 1) / 7) + 1 = VALUE($B$11))),
            Table8[ملاحظة]
         ),
         ""
      ),
      IF(_xlpm.result="", "", _xlpm.result)
   )
)</f>
        <v/>
      </c>
      <c r="S932" s="46" t="str">
        <f t="shared" ca="1" si="15"/>
        <v/>
      </c>
    </row>
    <row r="933" spans="1:19" ht="15.6" thickTop="1" thickBot="1" x14ac:dyDescent="0.35">
      <c r="A933" s="39"/>
      <c r="B933" s="27" t="str" cm="1">
        <f t="array" ref="B933">IF(
   OR(A933="", $B$9="", $B$10="", $B$11=""),
   "",
   _xlfn.LET(
      _xlpm.result,
      IFERROR(
         _xlfn.XLOOKUP(
            1,
            (Table8[رقم الصنف]=A933)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3" s="27" t="str" cm="1">
        <f t="array" ref="C933">IF(
   A933="",
   "",
   _xlfn.LET(
      _xlpm.result,
      IFERROR(
         _xlfn.XLOOKUP(
            1,
            (Table8[رقم الصنف]=A933) *
            (IF($B$9="الكل",1, YEAR('ادخال البيانات'!$N$3:$N$1164) = VALUE($B$9))) *
            (IF($B$10="الكل",1, MONTH('ادخال البيانات'!$N$3:$N$1164) = VALUE($B$10))) *
            (IF($B$11="الكل",1, INT((DAY('ادخال البيانات'!$N$3:$N$1164)-1)/7)+1 = VALUE($B$11))),
            'ادخال البيانات'!$C$3:$C$1164
         ),
         ""
      ),
      IF(_xlpm.result="", "", _xlpm.result)
   )
)</f>
        <v/>
      </c>
      <c r="D933" s="27" t="str" cm="1">
        <f t="array" ref="D933">IF(
   OR(A933="", $B$9="", $B$10="", $B$11=""),
   "",
   _xlfn.LET(
      _xlpm.result,
      IFERROR(
         _xlfn.XLOOKUP(
            1,
            (Table8[رقم الصنف]=A933) *
            (IF($B$9="الكل",1, YEAR('ادخال البيانات'!$N$3:$N$1164)=VALUE($B$9))) *
            (IF($B$10="الكل",1, MONTH('ادخال البيانات'!$N$3:$N$1164)=VALUE($B$10))) *
            (IF($B$11="الكل",1, INT((DAY('ادخال البيانات'!$N$3:$N$1164)-1)/7)+1 = VALUE($B$11))),
            'ادخال البيانات'!$D$3:$D$1164
         ),
         ""
      ),
      IF(_xlpm.result="", "", _xlpm.result)
   )
)</f>
        <v/>
      </c>
      <c r="E933" s="27" t="str" cm="1">
        <f t="array" ref="E933">IF(
   A933="",
   "",
   _xlfn.LET(
      _xlpm.result,
      IFERROR(
         _xlfn.XLOOKUP(
            1,
            (Table8[رقم الصنف]=A933) *
            (IF($B$9="الكل",1, YEAR('ادخال البيانات'!$N$3:$N$1164)=VALUE($B$9))) *
            (IF($B$10="الكل",1, MONTH('ادخال البيانات'!$N$3:$N$1164)=VALUE($B$10))) *
            (IF($B$11="الكل",1, INT((DAY('ادخال البيانات'!$N$3:$N$1164)-1)/7)+1 = VALUE($B$11))),
            'ادخال البيانات'!$E$3:$E$1164
         ),
         ""
      ),
      IF(_xlpm.result="", "", _xlpm.result)
   )
)</f>
        <v/>
      </c>
      <c r="F933" s="27" t="str" cm="1">
        <f t="array" ref="F933">IF(
   A933="",
   "",
   _xlfn.LET(
      _xlpm.result,
      IFERROR(
         _xlfn.XLOOKUP(
            1,
            (Table8[رقم الصنف]=A933) *
            (IF($B$9="الكل",1, YEAR('ادخال البيانات'!$N$3:$N$1164) = VALUE($B$9))) *
            (IF($B$10="الكل",1, MONTH('ادخال البيانات'!$N$3:$N$1164) = VALUE($B$10))) *
            (IF($B$11="الكل",1, INT((DAY('ادخال البيانات'!$N$3:$N$1164)-1)/7)+1 = VALUE($B$11))),
            'ادخال البيانات'!$F$3:$F$1164
         ),
         ""
      ),
      IF(_xlpm.result="", "", _xlpm.result)
   )
)</f>
        <v/>
      </c>
      <c r="G933" s="27" t="str" cm="1">
        <f t="array" ref="G933">IF(
   A933="",
   "",
   _xlfn.LET(
      _xlpm.result,
      IFERROR(
         _xlfn.XLOOKUP(
            1,
            (Table8[رقم الصنف]=A933) *
            (IF($B$9="الكل",1, YEAR('ادخال البيانات'!$N$3:$N$1164)=VALUE($B$9))) *
            (IF($B$10="الكل",1, MONTH('ادخال البيانات'!$N$3:$N$1164)=VALUE($B$10))) *
            (IF($B$11="الكل",1, INT((DAY('ادخال البيانات'!$N$3:$N$1164)-1)/7)+1 = VALUE($B$11))),
            'ادخال البيانات'!$G$3:$G$1164
         ),
         ""
      ),
      IF(_xlpm.result="", "", _xlpm.result)
   )
)</f>
        <v/>
      </c>
      <c r="H933" s="27" t="str" cm="1">
        <f t="array" ref="H933">IF(
   A933="",
   "",
   _xlfn.LET(
      _xlpm.result,
      IFERROR(
         _xlfn.XLOOKUP(
            1,
            (Table8[رقم الصنف]=A933) *
            (IF($B$9="الكل",1, YEAR('ادخال البيانات'!$N$3:$N$1164)=VALUE($B$9))) *
            (IF($B$10="الكل",1, MONTH('ادخال البيانات'!$N$3:$N$1164)=VALUE($B$10))) *
            (IF($B$11="الكل",1, INT((DAY('ادخال البيانات'!$N$3:$N$1164)-1)/7)+1 = VALUE($B$11))),
            'ادخال البيانات'!$H$3:$H$1164
         ),
         ""
      ),
      IF(_xlpm.result="", "", _xlpm.result)
   )
)</f>
        <v/>
      </c>
      <c r="I933" s="27" t="str" cm="1">
        <f t="array" ref="I933">IF(
   A933="",
   "",
   _xlfn.LET(
      _xlpm.result,
      IFERROR(
         _xlfn.XLOOKUP(
            1,
            (Table8[رقم الصنف]=A933) *
            (IF($B$9="الكل",1, YEAR('ادخال البيانات'!$N$3:$N$1164)=VALUE($B$9))) *
            (IF($B$10="الكل",1, MONTH('ادخال البيانات'!$N$3:$N$1164)=VALUE($B$10))) *
            (IF($B$11="الكل",1, INT((DAY('ادخال البيانات'!$N$3:$N$1164)-1)/7)+1 = VALUE($B$11))),
            'ادخال البيانات'!$I$3:$I$1164
         ),
         ""
      ),
      IF(_xlpm.result="", "", _xlpm.result)
   )
)</f>
        <v/>
      </c>
      <c r="J933" s="27" t="str" cm="1">
        <f t="array" ref="J933">IF(
   A933="",
   "",
   _xlfn.LET(
      _xlpm.result,
      IFERROR(
         _xlfn.XLOOKUP(
            1,
            (Table8[رقم الصنف]=A933) *
            (IF($B$9="الكل",1, YEAR('ادخال البيانات'!$N$3:$N$1164)=VALUE($B$9))) *
            (IF($B$10="الكل",1, MONTH('ادخال البيانات'!$N$3:$N$1164)=VALUE($B$10))) *
            (IF($B$11="الكل",1, INT((DAY('ادخال البيانات'!$N$3:$N$1164)-1)/7)+1 = VALUE($B$11))),
            'ادخال البيانات'!$J$3:$J$1164
         ),
         ""
      ),
      IF(_xlpm.result="", "", _xlpm.result)
   )
)</f>
        <v/>
      </c>
      <c r="K933" s="27" t="str" cm="1">
        <f t="array" ref="K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3" s="27" t="str" cm="1">
        <f t="array" ref="L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3" s="27" t="str" cm="1">
        <f t="array" ref="M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3" s="28" t="str" cm="1">
        <f t="array" ref="N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3" s="28" t="str" cm="1">
        <f t="array" ref="O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3" s="27" t="str" cm="1">
        <f t="array" ref="P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Table8[جهة العطل]
         ),
         ""
      ),
      IF(_xlpm.result="", "", _xlpm.result)
   )
)</f>
        <v/>
      </c>
      <c r="Q933" s="27" t="str" cm="1">
        <f t="array" ref="Q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Table8[المركز]
         ),
         ""
      ),
      IF(_xlpm.result="", "", _xlpm.result)
   )
)</f>
        <v/>
      </c>
      <c r="R933" s="27" t="str" cm="1">
        <f t="array" ref="R933">IF(
   A933="",
   "",
   _xlfn.LET(
      _xlpm.result,
      IFERROR(
         _xlfn.XLOOKUP(
            1,
            (Table8[رقم الصنف]=A933) *
            (IF($B$9="الكل",1, YEAR('ادخال البيانات'!$N$3:$N$1164) = VALUE($B$9))) *
            (IF($B$10="الكل",1, MONTH('ادخال البيانات'!$N$3:$N$1164) = VALUE($B$10))) *
            (IF($B$11="الكل",1, INT((DAY('ادخال البيانات'!$N$3:$N$1164) - 1) / 7) + 1 = VALUE($B$11))),
            Table8[ملاحظة]
         ),
         ""
      ),
      IF(_xlpm.result="", "", _xlpm.result)
   )
)</f>
        <v/>
      </c>
      <c r="S933" s="46" t="str">
        <f t="shared" ca="1" si="15"/>
        <v/>
      </c>
    </row>
    <row r="934" spans="1:19" ht="15.6" thickTop="1" thickBot="1" x14ac:dyDescent="0.35">
      <c r="A934" s="39"/>
      <c r="B934" s="27" t="str" cm="1">
        <f t="array" ref="B934">IF(
   OR(A934="", $B$9="", $B$10="", $B$11=""),
   "",
   _xlfn.LET(
      _xlpm.result,
      IFERROR(
         _xlfn.XLOOKUP(
            1,
            (Table8[رقم الصنف]=A934)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4" s="27" t="str" cm="1">
        <f t="array" ref="C934">IF(
   A934="",
   "",
   _xlfn.LET(
      _xlpm.result,
      IFERROR(
         _xlfn.XLOOKUP(
            1,
            (Table8[رقم الصنف]=A934) *
            (IF($B$9="الكل",1, YEAR('ادخال البيانات'!$N$3:$N$1164) = VALUE($B$9))) *
            (IF($B$10="الكل",1, MONTH('ادخال البيانات'!$N$3:$N$1164) = VALUE($B$10))) *
            (IF($B$11="الكل",1, INT((DAY('ادخال البيانات'!$N$3:$N$1164)-1)/7)+1 = VALUE($B$11))),
            'ادخال البيانات'!$C$3:$C$1164
         ),
         ""
      ),
      IF(_xlpm.result="", "", _xlpm.result)
   )
)</f>
        <v/>
      </c>
      <c r="D934" s="27" t="str" cm="1">
        <f t="array" ref="D934">IF(
   OR(A934="", $B$9="", $B$10="", $B$11=""),
   "",
   _xlfn.LET(
      _xlpm.result,
      IFERROR(
         _xlfn.XLOOKUP(
            1,
            (Table8[رقم الصنف]=A934) *
            (IF($B$9="الكل",1, YEAR('ادخال البيانات'!$N$3:$N$1164)=VALUE($B$9))) *
            (IF($B$10="الكل",1, MONTH('ادخال البيانات'!$N$3:$N$1164)=VALUE($B$10))) *
            (IF($B$11="الكل",1, INT((DAY('ادخال البيانات'!$N$3:$N$1164)-1)/7)+1 = VALUE($B$11))),
            'ادخال البيانات'!$D$3:$D$1164
         ),
         ""
      ),
      IF(_xlpm.result="", "", _xlpm.result)
   )
)</f>
        <v/>
      </c>
      <c r="E934" s="27" t="str" cm="1">
        <f t="array" ref="E934">IF(
   A934="",
   "",
   _xlfn.LET(
      _xlpm.result,
      IFERROR(
         _xlfn.XLOOKUP(
            1,
            (Table8[رقم الصنف]=A934) *
            (IF($B$9="الكل",1, YEAR('ادخال البيانات'!$N$3:$N$1164)=VALUE($B$9))) *
            (IF($B$10="الكل",1, MONTH('ادخال البيانات'!$N$3:$N$1164)=VALUE($B$10))) *
            (IF($B$11="الكل",1, INT((DAY('ادخال البيانات'!$N$3:$N$1164)-1)/7)+1 = VALUE($B$11))),
            'ادخال البيانات'!$E$3:$E$1164
         ),
         ""
      ),
      IF(_xlpm.result="", "", _xlpm.result)
   )
)</f>
        <v/>
      </c>
      <c r="F934" s="27" t="str" cm="1">
        <f t="array" ref="F934">IF(
   A934="",
   "",
   _xlfn.LET(
      _xlpm.result,
      IFERROR(
         _xlfn.XLOOKUP(
            1,
            (Table8[رقم الصنف]=A934) *
            (IF($B$9="الكل",1, YEAR('ادخال البيانات'!$N$3:$N$1164) = VALUE($B$9))) *
            (IF($B$10="الكل",1, MONTH('ادخال البيانات'!$N$3:$N$1164) = VALUE($B$10))) *
            (IF($B$11="الكل",1, INT((DAY('ادخال البيانات'!$N$3:$N$1164)-1)/7)+1 = VALUE($B$11))),
            'ادخال البيانات'!$F$3:$F$1164
         ),
         ""
      ),
      IF(_xlpm.result="", "", _xlpm.result)
   )
)</f>
        <v/>
      </c>
      <c r="G934" s="27" t="str" cm="1">
        <f t="array" ref="G934">IF(
   A934="",
   "",
   _xlfn.LET(
      _xlpm.result,
      IFERROR(
         _xlfn.XLOOKUP(
            1,
            (Table8[رقم الصنف]=A934) *
            (IF($B$9="الكل",1, YEAR('ادخال البيانات'!$N$3:$N$1164)=VALUE($B$9))) *
            (IF($B$10="الكل",1, MONTH('ادخال البيانات'!$N$3:$N$1164)=VALUE($B$10))) *
            (IF($B$11="الكل",1, INT((DAY('ادخال البيانات'!$N$3:$N$1164)-1)/7)+1 = VALUE($B$11))),
            'ادخال البيانات'!$G$3:$G$1164
         ),
         ""
      ),
      IF(_xlpm.result="", "", _xlpm.result)
   )
)</f>
        <v/>
      </c>
      <c r="H934" s="27" t="str" cm="1">
        <f t="array" ref="H934">IF(
   A934="",
   "",
   _xlfn.LET(
      _xlpm.result,
      IFERROR(
         _xlfn.XLOOKUP(
            1,
            (Table8[رقم الصنف]=A934) *
            (IF($B$9="الكل",1, YEAR('ادخال البيانات'!$N$3:$N$1164)=VALUE($B$9))) *
            (IF($B$10="الكل",1, MONTH('ادخال البيانات'!$N$3:$N$1164)=VALUE($B$10))) *
            (IF($B$11="الكل",1, INT((DAY('ادخال البيانات'!$N$3:$N$1164)-1)/7)+1 = VALUE($B$11))),
            'ادخال البيانات'!$H$3:$H$1164
         ),
         ""
      ),
      IF(_xlpm.result="", "", _xlpm.result)
   )
)</f>
        <v/>
      </c>
      <c r="I934" s="27" t="str" cm="1">
        <f t="array" ref="I934">IF(
   A934="",
   "",
   _xlfn.LET(
      _xlpm.result,
      IFERROR(
         _xlfn.XLOOKUP(
            1,
            (Table8[رقم الصنف]=A934) *
            (IF($B$9="الكل",1, YEAR('ادخال البيانات'!$N$3:$N$1164)=VALUE($B$9))) *
            (IF($B$10="الكل",1, MONTH('ادخال البيانات'!$N$3:$N$1164)=VALUE($B$10))) *
            (IF($B$11="الكل",1, INT((DAY('ادخال البيانات'!$N$3:$N$1164)-1)/7)+1 = VALUE($B$11))),
            'ادخال البيانات'!$I$3:$I$1164
         ),
         ""
      ),
      IF(_xlpm.result="", "", _xlpm.result)
   )
)</f>
        <v/>
      </c>
      <c r="J934" s="27" t="str" cm="1">
        <f t="array" ref="J934">IF(
   A934="",
   "",
   _xlfn.LET(
      _xlpm.result,
      IFERROR(
         _xlfn.XLOOKUP(
            1,
            (Table8[رقم الصنف]=A934) *
            (IF($B$9="الكل",1, YEAR('ادخال البيانات'!$N$3:$N$1164)=VALUE($B$9))) *
            (IF($B$10="الكل",1, MONTH('ادخال البيانات'!$N$3:$N$1164)=VALUE($B$10))) *
            (IF($B$11="الكل",1, INT((DAY('ادخال البيانات'!$N$3:$N$1164)-1)/7)+1 = VALUE($B$11))),
            'ادخال البيانات'!$J$3:$J$1164
         ),
         ""
      ),
      IF(_xlpm.result="", "", _xlpm.result)
   )
)</f>
        <v/>
      </c>
      <c r="K934" s="27" t="str" cm="1">
        <f t="array" ref="K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4" s="27" t="str" cm="1">
        <f t="array" ref="L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4" s="27" t="str" cm="1">
        <f t="array" ref="M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4" s="28" t="str" cm="1">
        <f t="array" ref="N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4" s="28" t="str" cm="1">
        <f t="array" ref="O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4" s="27" t="str" cm="1">
        <f t="array" ref="P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Table8[جهة العطل]
         ),
         ""
      ),
      IF(_xlpm.result="", "", _xlpm.result)
   )
)</f>
        <v/>
      </c>
      <c r="Q934" s="27" t="str" cm="1">
        <f t="array" ref="Q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Table8[المركز]
         ),
         ""
      ),
      IF(_xlpm.result="", "", _xlpm.result)
   )
)</f>
        <v/>
      </c>
      <c r="R934" s="27" t="str" cm="1">
        <f t="array" ref="R934">IF(
   A934="",
   "",
   _xlfn.LET(
      _xlpm.result,
      IFERROR(
         _xlfn.XLOOKUP(
            1,
            (Table8[رقم الصنف]=A934) *
            (IF($B$9="الكل",1, YEAR('ادخال البيانات'!$N$3:$N$1164) = VALUE($B$9))) *
            (IF($B$10="الكل",1, MONTH('ادخال البيانات'!$N$3:$N$1164) = VALUE($B$10))) *
            (IF($B$11="الكل",1, INT((DAY('ادخال البيانات'!$N$3:$N$1164) - 1) / 7) + 1 = VALUE($B$11))),
            Table8[ملاحظة]
         ),
         ""
      ),
      IF(_xlpm.result="", "", _xlpm.result)
   )
)</f>
        <v/>
      </c>
      <c r="S934" s="46" t="str">
        <f t="shared" ca="1" si="15"/>
        <v/>
      </c>
    </row>
    <row r="935" spans="1:19" ht="15.6" thickTop="1" thickBot="1" x14ac:dyDescent="0.35">
      <c r="A935" s="39"/>
      <c r="B935" s="27" t="str" cm="1">
        <f t="array" ref="B935">IF(
   OR(A935="", $B$9="", $B$10="", $B$11=""),
   "",
   _xlfn.LET(
      _xlpm.result,
      IFERROR(
         _xlfn.XLOOKUP(
            1,
            (Table8[رقم الصنف]=A935)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5" s="27" t="str" cm="1">
        <f t="array" ref="C935">IF(
   A935="",
   "",
   _xlfn.LET(
      _xlpm.result,
      IFERROR(
         _xlfn.XLOOKUP(
            1,
            (Table8[رقم الصنف]=A935) *
            (IF($B$9="الكل",1, YEAR('ادخال البيانات'!$N$3:$N$1164) = VALUE($B$9))) *
            (IF($B$10="الكل",1, MONTH('ادخال البيانات'!$N$3:$N$1164) = VALUE($B$10))) *
            (IF($B$11="الكل",1, INT((DAY('ادخال البيانات'!$N$3:$N$1164)-1)/7)+1 = VALUE($B$11))),
            'ادخال البيانات'!$C$3:$C$1164
         ),
         ""
      ),
      IF(_xlpm.result="", "", _xlpm.result)
   )
)</f>
        <v/>
      </c>
      <c r="D935" s="27" t="str" cm="1">
        <f t="array" ref="D935">IF(
   OR(A935="", $B$9="", $B$10="", $B$11=""),
   "",
   _xlfn.LET(
      _xlpm.result,
      IFERROR(
         _xlfn.XLOOKUP(
            1,
            (Table8[رقم الصنف]=A935) *
            (IF($B$9="الكل",1, YEAR('ادخال البيانات'!$N$3:$N$1164)=VALUE($B$9))) *
            (IF($B$10="الكل",1, MONTH('ادخال البيانات'!$N$3:$N$1164)=VALUE($B$10))) *
            (IF($B$11="الكل",1, INT((DAY('ادخال البيانات'!$N$3:$N$1164)-1)/7)+1 = VALUE($B$11))),
            'ادخال البيانات'!$D$3:$D$1164
         ),
         ""
      ),
      IF(_xlpm.result="", "", _xlpm.result)
   )
)</f>
        <v/>
      </c>
      <c r="E935" s="27" t="str" cm="1">
        <f t="array" ref="E935">IF(
   A935="",
   "",
   _xlfn.LET(
      _xlpm.result,
      IFERROR(
         _xlfn.XLOOKUP(
            1,
            (Table8[رقم الصنف]=A935) *
            (IF($B$9="الكل",1, YEAR('ادخال البيانات'!$N$3:$N$1164)=VALUE($B$9))) *
            (IF($B$10="الكل",1, MONTH('ادخال البيانات'!$N$3:$N$1164)=VALUE($B$10))) *
            (IF($B$11="الكل",1, INT((DAY('ادخال البيانات'!$N$3:$N$1164)-1)/7)+1 = VALUE($B$11))),
            'ادخال البيانات'!$E$3:$E$1164
         ),
         ""
      ),
      IF(_xlpm.result="", "", _xlpm.result)
   )
)</f>
        <v/>
      </c>
      <c r="F935" s="27" t="str" cm="1">
        <f t="array" ref="F935">IF(
   A935="",
   "",
   _xlfn.LET(
      _xlpm.result,
      IFERROR(
         _xlfn.XLOOKUP(
            1,
            (Table8[رقم الصنف]=A935) *
            (IF($B$9="الكل",1, YEAR('ادخال البيانات'!$N$3:$N$1164) = VALUE($B$9))) *
            (IF($B$10="الكل",1, MONTH('ادخال البيانات'!$N$3:$N$1164) = VALUE($B$10))) *
            (IF($B$11="الكل",1, INT((DAY('ادخال البيانات'!$N$3:$N$1164)-1)/7)+1 = VALUE($B$11))),
            'ادخال البيانات'!$F$3:$F$1164
         ),
         ""
      ),
      IF(_xlpm.result="", "", _xlpm.result)
   )
)</f>
        <v/>
      </c>
      <c r="G935" s="27" t="str" cm="1">
        <f t="array" ref="G935">IF(
   A935="",
   "",
   _xlfn.LET(
      _xlpm.result,
      IFERROR(
         _xlfn.XLOOKUP(
            1,
            (Table8[رقم الصنف]=A935) *
            (IF($B$9="الكل",1, YEAR('ادخال البيانات'!$N$3:$N$1164)=VALUE($B$9))) *
            (IF($B$10="الكل",1, MONTH('ادخال البيانات'!$N$3:$N$1164)=VALUE($B$10))) *
            (IF($B$11="الكل",1, INT((DAY('ادخال البيانات'!$N$3:$N$1164)-1)/7)+1 = VALUE($B$11))),
            'ادخال البيانات'!$G$3:$G$1164
         ),
         ""
      ),
      IF(_xlpm.result="", "", _xlpm.result)
   )
)</f>
        <v/>
      </c>
      <c r="H935" s="27" t="str" cm="1">
        <f t="array" ref="H935">IF(
   A935="",
   "",
   _xlfn.LET(
      _xlpm.result,
      IFERROR(
         _xlfn.XLOOKUP(
            1,
            (Table8[رقم الصنف]=A935) *
            (IF($B$9="الكل",1, YEAR('ادخال البيانات'!$N$3:$N$1164)=VALUE($B$9))) *
            (IF($B$10="الكل",1, MONTH('ادخال البيانات'!$N$3:$N$1164)=VALUE($B$10))) *
            (IF($B$11="الكل",1, INT((DAY('ادخال البيانات'!$N$3:$N$1164)-1)/7)+1 = VALUE($B$11))),
            'ادخال البيانات'!$H$3:$H$1164
         ),
         ""
      ),
      IF(_xlpm.result="", "", _xlpm.result)
   )
)</f>
        <v/>
      </c>
      <c r="I935" s="27" t="str" cm="1">
        <f t="array" ref="I935">IF(
   A935="",
   "",
   _xlfn.LET(
      _xlpm.result,
      IFERROR(
         _xlfn.XLOOKUP(
            1,
            (Table8[رقم الصنف]=A935) *
            (IF($B$9="الكل",1, YEAR('ادخال البيانات'!$N$3:$N$1164)=VALUE($B$9))) *
            (IF($B$10="الكل",1, MONTH('ادخال البيانات'!$N$3:$N$1164)=VALUE($B$10))) *
            (IF($B$11="الكل",1, INT((DAY('ادخال البيانات'!$N$3:$N$1164)-1)/7)+1 = VALUE($B$11))),
            'ادخال البيانات'!$I$3:$I$1164
         ),
         ""
      ),
      IF(_xlpm.result="", "", _xlpm.result)
   )
)</f>
        <v/>
      </c>
      <c r="J935" s="27" t="str" cm="1">
        <f t="array" ref="J935">IF(
   A935="",
   "",
   _xlfn.LET(
      _xlpm.result,
      IFERROR(
         _xlfn.XLOOKUP(
            1,
            (Table8[رقم الصنف]=A935) *
            (IF($B$9="الكل",1, YEAR('ادخال البيانات'!$N$3:$N$1164)=VALUE($B$9))) *
            (IF($B$10="الكل",1, MONTH('ادخال البيانات'!$N$3:$N$1164)=VALUE($B$10))) *
            (IF($B$11="الكل",1, INT((DAY('ادخال البيانات'!$N$3:$N$1164)-1)/7)+1 = VALUE($B$11))),
            'ادخال البيانات'!$J$3:$J$1164
         ),
         ""
      ),
      IF(_xlpm.result="", "", _xlpm.result)
   )
)</f>
        <v/>
      </c>
      <c r="K935" s="27" t="str" cm="1">
        <f t="array" ref="K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5" s="27" t="str" cm="1">
        <f t="array" ref="L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5" s="27" t="str" cm="1">
        <f t="array" ref="M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5" s="28" t="str" cm="1">
        <f t="array" ref="N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5" s="28" t="str" cm="1">
        <f t="array" ref="O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5" s="27" t="str" cm="1">
        <f t="array" ref="P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Table8[جهة العطل]
         ),
         ""
      ),
      IF(_xlpm.result="", "", _xlpm.result)
   )
)</f>
        <v/>
      </c>
      <c r="Q935" s="27" t="str" cm="1">
        <f t="array" ref="Q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Table8[المركز]
         ),
         ""
      ),
      IF(_xlpm.result="", "", _xlpm.result)
   )
)</f>
        <v/>
      </c>
      <c r="R935" s="27" t="str" cm="1">
        <f t="array" ref="R935">IF(
   A935="",
   "",
   _xlfn.LET(
      _xlpm.result,
      IFERROR(
         _xlfn.XLOOKUP(
            1,
            (Table8[رقم الصنف]=A935) *
            (IF($B$9="الكل",1, YEAR('ادخال البيانات'!$N$3:$N$1164) = VALUE($B$9))) *
            (IF($B$10="الكل",1, MONTH('ادخال البيانات'!$N$3:$N$1164) = VALUE($B$10))) *
            (IF($B$11="الكل",1, INT((DAY('ادخال البيانات'!$N$3:$N$1164) - 1) / 7) + 1 = VALUE($B$11))),
            Table8[ملاحظة]
         ),
         ""
      ),
      IF(_xlpm.result="", "", _xlpm.result)
   )
)</f>
        <v/>
      </c>
      <c r="S935" s="46" t="str">
        <f t="shared" ca="1" si="15"/>
        <v/>
      </c>
    </row>
    <row r="936" spans="1:19" ht="15.6" thickTop="1" thickBot="1" x14ac:dyDescent="0.35">
      <c r="A936" s="39"/>
      <c r="B936" s="27" t="str" cm="1">
        <f t="array" ref="B936">IF(
   OR(A936="", $B$9="", $B$10="", $B$11=""),
   "",
   _xlfn.LET(
      _xlpm.result,
      IFERROR(
         _xlfn.XLOOKUP(
            1,
            (Table8[رقم الصنف]=A936)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6" s="27" t="str" cm="1">
        <f t="array" ref="C936">IF(
   A936="",
   "",
   _xlfn.LET(
      _xlpm.result,
      IFERROR(
         _xlfn.XLOOKUP(
            1,
            (Table8[رقم الصنف]=A936) *
            (IF($B$9="الكل",1, YEAR('ادخال البيانات'!$N$3:$N$1164) = VALUE($B$9))) *
            (IF($B$10="الكل",1, MONTH('ادخال البيانات'!$N$3:$N$1164) = VALUE($B$10))) *
            (IF($B$11="الكل",1, INT((DAY('ادخال البيانات'!$N$3:$N$1164)-1)/7)+1 = VALUE($B$11))),
            'ادخال البيانات'!$C$3:$C$1164
         ),
         ""
      ),
      IF(_xlpm.result="", "", _xlpm.result)
   )
)</f>
        <v/>
      </c>
      <c r="D936" s="27" t="str" cm="1">
        <f t="array" ref="D936">IF(
   OR(A936="", $B$9="", $B$10="", $B$11=""),
   "",
   _xlfn.LET(
      _xlpm.result,
      IFERROR(
         _xlfn.XLOOKUP(
            1,
            (Table8[رقم الصنف]=A936) *
            (IF($B$9="الكل",1, YEAR('ادخال البيانات'!$N$3:$N$1164)=VALUE($B$9))) *
            (IF($B$10="الكل",1, MONTH('ادخال البيانات'!$N$3:$N$1164)=VALUE($B$10))) *
            (IF($B$11="الكل",1, INT((DAY('ادخال البيانات'!$N$3:$N$1164)-1)/7)+1 = VALUE($B$11))),
            'ادخال البيانات'!$D$3:$D$1164
         ),
         ""
      ),
      IF(_xlpm.result="", "", _xlpm.result)
   )
)</f>
        <v/>
      </c>
      <c r="E936" s="27" t="str" cm="1">
        <f t="array" ref="E936">IF(
   A936="",
   "",
   _xlfn.LET(
      _xlpm.result,
      IFERROR(
         _xlfn.XLOOKUP(
            1,
            (Table8[رقم الصنف]=A936) *
            (IF($B$9="الكل",1, YEAR('ادخال البيانات'!$N$3:$N$1164)=VALUE($B$9))) *
            (IF($B$10="الكل",1, MONTH('ادخال البيانات'!$N$3:$N$1164)=VALUE($B$10))) *
            (IF($B$11="الكل",1, INT((DAY('ادخال البيانات'!$N$3:$N$1164)-1)/7)+1 = VALUE($B$11))),
            'ادخال البيانات'!$E$3:$E$1164
         ),
         ""
      ),
      IF(_xlpm.result="", "", _xlpm.result)
   )
)</f>
        <v/>
      </c>
      <c r="F936" s="27" t="str" cm="1">
        <f t="array" ref="F936">IF(
   A936="",
   "",
   _xlfn.LET(
      _xlpm.result,
      IFERROR(
         _xlfn.XLOOKUP(
            1,
            (Table8[رقم الصنف]=A936) *
            (IF($B$9="الكل",1, YEAR('ادخال البيانات'!$N$3:$N$1164) = VALUE($B$9))) *
            (IF($B$10="الكل",1, MONTH('ادخال البيانات'!$N$3:$N$1164) = VALUE($B$10))) *
            (IF($B$11="الكل",1, INT((DAY('ادخال البيانات'!$N$3:$N$1164)-1)/7)+1 = VALUE($B$11))),
            'ادخال البيانات'!$F$3:$F$1164
         ),
         ""
      ),
      IF(_xlpm.result="", "", _xlpm.result)
   )
)</f>
        <v/>
      </c>
      <c r="G936" s="27" t="str" cm="1">
        <f t="array" ref="G936">IF(
   A936="",
   "",
   _xlfn.LET(
      _xlpm.result,
      IFERROR(
         _xlfn.XLOOKUP(
            1,
            (Table8[رقم الصنف]=A936) *
            (IF($B$9="الكل",1, YEAR('ادخال البيانات'!$N$3:$N$1164)=VALUE($B$9))) *
            (IF($B$10="الكل",1, MONTH('ادخال البيانات'!$N$3:$N$1164)=VALUE($B$10))) *
            (IF($B$11="الكل",1, INT((DAY('ادخال البيانات'!$N$3:$N$1164)-1)/7)+1 = VALUE($B$11))),
            'ادخال البيانات'!$G$3:$G$1164
         ),
         ""
      ),
      IF(_xlpm.result="", "", _xlpm.result)
   )
)</f>
        <v/>
      </c>
      <c r="H936" s="27" t="str" cm="1">
        <f t="array" ref="H936">IF(
   A936="",
   "",
   _xlfn.LET(
      _xlpm.result,
      IFERROR(
         _xlfn.XLOOKUP(
            1,
            (Table8[رقم الصنف]=A936) *
            (IF($B$9="الكل",1, YEAR('ادخال البيانات'!$N$3:$N$1164)=VALUE($B$9))) *
            (IF($B$10="الكل",1, MONTH('ادخال البيانات'!$N$3:$N$1164)=VALUE($B$10))) *
            (IF($B$11="الكل",1, INT((DAY('ادخال البيانات'!$N$3:$N$1164)-1)/7)+1 = VALUE($B$11))),
            'ادخال البيانات'!$H$3:$H$1164
         ),
         ""
      ),
      IF(_xlpm.result="", "", _xlpm.result)
   )
)</f>
        <v/>
      </c>
      <c r="I936" s="27" t="str" cm="1">
        <f t="array" ref="I936">IF(
   A936="",
   "",
   _xlfn.LET(
      _xlpm.result,
      IFERROR(
         _xlfn.XLOOKUP(
            1,
            (Table8[رقم الصنف]=A936) *
            (IF($B$9="الكل",1, YEAR('ادخال البيانات'!$N$3:$N$1164)=VALUE($B$9))) *
            (IF($B$10="الكل",1, MONTH('ادخال البيانات'!$N$3:$N$1164)=VALUE($B$10))) *
            (IF($B$11="الكل",1, INT((DAY('ادخال البيانات'!$N$3:$N$1164)-1)/7)+1 = VALUE($B$11))),
            'ادخال البيانات'!$I$3:$I$1164
         ),
         ""
      ),
      IF(_xlpm.result="", "", _xlpm.result)
   )
)</f>
        <v/>
      </c>
      <c r="J936" s="27" t="str" cm="1">
        <f t="array" ref="J936">IF(
   A936="",
   "",
   _xlfn.LET(
      _xlpm.result,
      IFERROR(
         _xlfn.XLOOKUP(
            1,
            (Table8[رقم الصنف]=A936) *
            (IF($B$9="الكل",1, YEAR('ادخال البيانات'!$N$3:$N$1164)=VALUE($B$9))) *
            (IF($B$10="الكل",1, MONTH('ادخال البيانات'!$N$3:$N$1164)=VALUE($B$10))) *
            (IF($B$11="الكل",1, INT((DAY('ادخال البيانات'!$N$3:$N$1164)-1)/7)+1 = VALUE($B$11))),
            'ادخال البيانات'!$J$3:$J$1164
         ),
         ""
      ),
      IF(_xlpm.result="", "", _xlpm.result)
   )
)</f>
        <v/>
      </c>
      <c r="K936" s="27" t="str" cm="1">
        <f t="array" ref="K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6" s="27" t="str" cm="1">
        <f t="array" ref="L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6" s="27" t="str" cm="1">
        <f t="array" ref="M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6" s="28" t="str" cm="1">
        <f t="array" ref="N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6" s="28" t="str" cm="1">
        <f t="array" ref="O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6" s="27" t="str" cm="1">
        <f t="array" ref="P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Table8[جهة العطل]
         ),
         ""
      ),
      IF(_xlpm.result="", "", _xlpm.result)
   )
)</f>
        <v/>
      </c>
      <c r="Q936" s="27" t="str" cm="1">
        <f t="array" ref="Q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Table8[المركز]
         ),
         ""
      ),
      IF(_xlpm.result="", "", _xlpm.result)
   )
)</f>
        <v/>
      </c>
      <c r="R936" s="27" t="str" cm="1">
        <f t="array" ref="R936">IF(
   A936="",
   "",
   _xlfn.LET(
      _xlpm.result,
      IFERROR(
         _xlfn.XLOOKUP(
            1,
            (Table8[رقم الصنف]=A936) *
            (IF($B$9="الكل",1, YEAR('ادخال البيانات'!$N$3:$N$1164) = VALUE($B$9))) *
            (IF($B$10="الكل",1, MONTH('ادخال البيانات'!$N$3:$N$1164) = VALUE($B$10))) *
            (IF($B$11="الكل",1, INT((DAY('ادخال البيانات'!$N$3:$N$1164) - 1) / 7) + 1 = VALUE($B$11))),
            Table8[ملاحظة]
         ),
         ""
      ),
      IF(_xlpm.result="", "", _xlpm.result)
   )
)</f>
        <v/>
      </c>
      <c r="S936" s="46" t="str">
        <f t="shared" ca="1" si="15"/>
        <v/>
      </c>
    </row>
    <row r="937" spans="1:19" ht="15.6" thickTop="1" thickBot="1" x14ac:dyDescent="0.35">
      <c r="A937" s="39"/>
      <c r="B937" s="27" t="str" cm="1">
        <f t="array" ref="B937">IF(
   OR(A937="", $B$9="", $B$10="", $B$11=""),
   "",
   _xlfn.LET(
      _xlpm.result,
      IFERROR(
         _xlfn.XLOOKUP(
            1,
            (Table8[رقم الصنف]=A937)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7" s="27" t="str" cm="1">
        <f t="array" ref="C937">IF(
   A937="",
   "",
   _xlfn.LET(
      _xlpm.result,
      IFERROR(
         _xlfn.XLOOKUP(
            1,
            (Table8[رقم الصنف]=A937) *
            (IF($B$9="الكل",1, YEAR('ادخال البيانات'!$N$3:$N$1164) = VALUE($B$9))) *
            (IF($B$10="الكل",1, MONTH('ادخال البيانات'!$N$3:$N$1164) = VALUE($B$10))) *
            (IF($B$11="الكل",1, INT((DAY('ادخال البيانات'!$N$3:$N$1164)-1)/7)+1 = VALUE($B$11))),
            'ادخال البيانات'!$C$3:$C$1164
         ),
         ""
      ),
      IF(_xlpm.result="", "", _xlpm.result)
   )
)</f>
        <v/>
      </c>
      <c r="D937" s="27" t="str" cm="1">
        <f t="array" ref="D937">IF(
   OR(A937="", $B$9="", $B$10="", $B$11=""),
   "",
   _xlfn.LET(
      _xlpm.result,
      IFERROR(
         _xlfn.XLOOKUP(
            1,
            (Table8[رقم الصنف]=A937) *
            (IF($B$9="الكل",1, YEAR('ادخال البيانات'!$N$3:$N$1164)=VALUE($B$9))) *
            (IF($B$10="الكل",1, MONTH('ادخال البيانات'!$N$3:$N$1164)=VALUE($B$10))) *
            (IF($B$11="الكل",1, INT((DAY('ادخال البيانات'!$N$3:$N$1164)-1)/7)+1 = VALUE($B$11))),
            'ادخال البيانات'!$D$3:$D$1164
         ),
         ""
      ),
      IF(_xlpm.result="", "", _xlpm.result)
   )
)</f>
        <v/>
      </c>
      <c r="E937" s="27" t="str" cm="1">
        <f t="array" ref="E937">IF(
   A937="",
   "",
   _xlfn.LET(
      _xlpm.result,
      IFERROR(
         _xlfn.XLOOKUP(
            1,
            (Table8[رقم الصنف]=A937) *
            (IF($B$9="الكل",1, YEAR('ادخال البيانات'!$N$3:$N$1164)=VALUE($B$9))) *
            (IF($B$10="الكل",1, MONTH('ادخال البيانات'!$N$3:$N$1164)=VALUE($B$10))) *
            (IF($B$11="الكل",1, INT((DAY('ادخال البيانات'!$N$3:$N$1164)-1)/7)+1 = VALUE($B$11))),
            'ادخال البيانات'!$E$3:$E$1164
         ),
         ""
      ),
      IF(_xlpm.result="", "", _xlpm.result)
   )
)</f>
        <v/>
      </c>
      <c r="F937" s="27" t="str" cm="1">
        <f t="array" ref="F937">IF(
   A937="",
   "",
   _xlfn.LET(
      _xlpm.result,
      IFERROR(
         _xlfn.XLOOKUP(
            1,
            (Table8[رقم الصنف]=A937) *
            (IF($B$9="الكل",1, YEAR('ادخال البيانات'!$N$3:$N$1164) = VALUE($B$9))) *
            (IF($B$10="الكل",1, MONTH('ادخال البيانات'!$N$3:$N$1164) = VALUE($B$10))) *
            (IF($B$11="الكل",1, INT((DAY('ادخال البيانات'!$N$3:$N$1164)-1)/7)+1 = VALUE($B$11))),
            'ادخال البيانات'!$F$3:$F$1164
         ),
         ""
      ),
      IF(_xlpm.result="", "", _xlpm.result)
   )
)</f>
        <v/>
      </c>
      <c r="G937" s="27" t="str" cm="1">
        <f t="array" ref="G937">IF(
   A937="",
   "",
   _xlfn.LET(
      _xlpm.result,
      IFERROR(
         _xlfn.XLOOKUP(
            1,
            (Table8[رقم الصنف]=A937) *
            (IF($B$9="الكل",1, YEAR('ادخال البيانات'!$N$3:$N$1164)=VALUE($B$9))) *
            (IF($B$10="الكل",1, MONTH('ادخال البيانات'!$N$3:$N$1164)=VALUE($B$10))) *
            (IF($B$11="الكل",1, INT((DAY('ادخال البيانات'!$N$3:$N$1164)-1)/7)+1 = VALUE($B$11))),
            'ادخال البيانات'!$G$3:$G$1164
         ),
         ""
      ),
      IF(_xlpm.result="", "", _xlpm.result)
   )
)</f>
        <v/>
      </c>
      <c r="H937" s="27" t="str" cm="1">
        <f t="array" ref="H937">IF(
   A937="",
   "",
   _xlfn.LET(
      _xlpm.result,
      IFERROR(
         _xlfn.XLOOKUP(
            1,
            (Table8[رقم الصنف]=A937) *
            (IF($B$9="الكل",1, YEAR('ادخال البيانات'!$N$3:$N$1164)=VALUE($B$9))) *
            (IF($B$10="الكل",1, MONTH('ادخال البيانات'!$N$3:$N$1164)=VALUE($B$10))) *
            (IF($B$11="الكل",1, INT((DAY('ادخال البيانات'!$N$3:$N$1164)-1)/7)+1 = VALUE($B$11))),
            'ادخال البيانات'!$H$3:$H$1164
         ),
         ""
      ),
      IF(_xlpm.result="", "", _xlpm.result)
   )
)</f>
        <v/>
      </c>
      <c r="I937" s="27" t="str" cm="1">
        <f t="array" ref="I937">IF(
   A937="",
   "",
   _xlfn.LET(
      _xlpm.result,
      IFERROR(
         _xlfn.XLOOKUP(
            1,
            (Table8[رقم الصنف]=A937) *
            (IF($B$9="الكل",1, YEAR('ادخال البيانات'!$N$3:$N$1164)=VALUE($B$9))) *
            (IF($B$10="الكل",1, MONTH('ادخال البيانات'!$N$3:$N$1164)=VALUE($B$10))) *
            (IF($B$11="الكل",1, INT((DAY('ادخال البيانات'!$N$3:$N$1164)-1)/7)+1 = VALUE($B$11))),
            'ادخال البيانات'!$I$3:$I$1164
         ),
         ""
      ),
      IF(_xlpm.result="", "", _xlpm.result)
   )
)</f>
        <v/>
      </c>
      <c r="J937" s="27" t="str" cm="1">
        <f t="array" ref="J937">IF(
   A937="",
   "",
   _xlfn.LET(
      _xlpm.result,
      IFERROR(
         _xlfn.XLOOKUP(
            1,
            (Table8[رقم الصنف]=A937) *
            (IF($B$9="الكل",1, YEAR('ادخال البيانات'!$N$3:$N$1164)=VALUE($B$9))) *
            (IF($B$10="الكل",1, MONTH('ادخال البيانات'!$N$3:$N$1164)=VALUE($B$10))) *
            (IF($B$11="الكل",1, INT((DAY('ادخال البيانات'!$N$3:$N$1164)-1)/7)+1 = VALUE($B$11))),
            'ادخال البيانات'!$J$3:$J$1164
         ),
         ""
      ),
      IF(_xlpm.result="", "", _xlpm.result)
   )
)</f>
        <v/>
      </c>
      <c r="K937" s="27" t="str" cm="1">
        <f t="array" ref="K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7" s="27" t="str" cm="1">
        <f t="array" ref="L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7" s="27" t="str" cm="1">
        <f t="array" ref="M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7" s="28" t="str" cm="1">
        <f t="array" ref="N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7" s="28" t="str" cm="1">
        <f t="array" ref="O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7" s="27" t="str" cm="1">
        <f t="array" ref="P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Table8[جهة العطل]
         ),
         ""
      ),
      IF(_xlpm.result="", "", _xlpm.result)
   )
)</f>
        <v/>
      </c>
      <c r="Q937" s="27" t="str" cm="1">
        <f t="array" ref="Q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Table8[المركز]
         ),
         ""
      ),
      IF(_xlpm.result="", "", _xlpm.result)
   )
)</f>
        <v/>
      </c>
      <c r="R937" s="27" t="str" cm="1">
        <f t="array" ref="R937">IF(
   A937="",
   "",
   _xlfn.LET(
      _xlpm.result,
      IFERROR(
         _xlfn.XLOOKUP(
            1,
            (Table8[رقم الصنف]=A937) *
            (IF($B$9="الكل",1, YEAR('ادخال البيانات'!$N$3:$N$1164) = VALUE($B$9))) *
            (IF($B$10="الكل",1, MONTH('ادخال البيانات'!$N$3:$N$1164) = VALUE($B$10))) *
            (IF($B$11="الكل",1, INT((DAY('ادخال البيانات'!$N$3:$N$1164) - 1) / 7) + 1 = VALUE($B$11))),
            Table8[ملاحظة]
         ),
         ""
      ),
      IF(_xlpm.result="", "", _xlpm.result)
   )
)</f>
        <v/>
      </c>
      <c r="S937" s="46" t="str">
        <f t="shared" ca="1" si="15"/>
        <v/>
      </c>
    </row>
    <row r="938" spans="1:19" ht="15.6" thickTop="1" thickBot="1" x14ac:dyDescent="0.35">
      <c r="A938" s="39"/>
      <c r="B938" s="27" t="str" cm="1">
        <f t="array" ref="B938">IF(
   OR(A938="", $B$9="", $B$10="", $B$11=""),
   "",
   _xlfn.LET(
      _xlpm.result,
      IFERROR(
         _xlfn.XLOOKUP(
            1,
            (Table8[رقم الصنف]=A938)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8" s="27" t="str" cm="1">
        <f t="array" ref="C938">IF(
   A938="",
   "",
   _xlfn.LET(
      _xlpm.result,
      IFERROR(
         _xlfn.XLOOKUP(
            1,
            (Table8[رقم الصنف]=A938) *
            (IF($B$9="الكل",1, YEAR('ادخال البيانات'!$N$3:$N$1164) = VALUE($B$9))) *
            (IF($B$10="الكل",1, MONTH('ادخال البيانات'!$N$3:$N$1164) = VALUE($B$10))) *
            (IF($B$11="الكل",1, INT((DAY('ادخال البيانات'!$N$3:$N$1164)-1)/7)+1 = VALUE($B$11))),
            'ادخال البيانات'!$C$3:$C$1164
         ),
         ""
      ),
      IF(_xlpm.result="", "", _xlpm.result)
   )
)</f>
        <v/>
      </c>
      <c r="D938" s="27" t="str" cm="1">
        <f t="array" ref="D938">IF(
   OR(A938="", $B$9="", $B$10="", $B$11=""),
   "",
   _xlfn.LET(
      _xlpm.result,
      IFERROR(
         _xlfn.XLOOKUP(
            1,
            (Table8[رقم الصنف]=A938) *
            (IF($B$9="الكل",1, YEAR('ادخال البيانات'!$N$3:$N$1164)=VALUE($B$9))) *
            (IF($B$10="الكل",1, MONTH('ادخال البيانات'!$N$3:$N$1164)=VALUE($B$10))) *
            (IF($B$11="الكل",1, INT((DAY('ادخال البيانات'!$N$3:$N$1164)-1)/7)+1 = VALUE($B$11))),
            'ادخال البيانات'!$D$3:$D$1164
         ),
         ""
      ),
      IF(_xlpm.result="", "", _xlpm.result)
   )
)</f>
        <v/>
      </c>
      <c r="E938" s="27" t="str" cm="1">
        <f t="array" ref="E938">IF(
   A938="",
   "",
   _xlfn.LET(
      _xlpm.result,
      IFERROR(
         _xlfn.XLOOKUP(
            1,
            (Table8[رقم الصنف]=A938) *
            (IF($B$9="الكل",1, YEAR('ادخال البيانات'!$N$3:$N$1164)=VALUE($B$9))) *
            (IF($B$10="الكل",1, MONTH('ادخال البيانات'!$N$3:$N$1164)=VALUE($B$10))) *
            (IF($B$11="الكل",1, INT((DAY('ادخال البيانات'!$N$3:$N$1164)-1)/7)+1 = VALUE($B$11))),
            'ادخال البيانات'!$E$3:$E$1164
         ),
         ""
      ),
      IF(_xlpm.result="", "", _xlpm.result)
   )
)</f>
        <v/>
      </c>
      <c r="F938" s="27" t="str" cm="1">
        <f t="array" ref="F938">IF(
   A938="",
   "",
   _xlfn.LET(
      _xlpm.result,
      IFERROR(
         _xlfn.XLOOKUP(
            1,
            (Table8[رقم الصنف]=A938) *
            (IF($B$9="الكل",1, YEAR('ادخال البيانات'!$N$3:$N$1164) = VALUE($B$9))) *
            (IF($B$10="الكل",1, MONTH('ادخال البيانات'!$N$3:$N$1164) = VALUE($B$10))) *
            (IF($B$11="الكل",1, INT((DAY('ادخال البيانات'!$N$3:$N$1164)-1)/7)+1 = VALUE($B$11))),
            'ادخال البيانات'!$F$3:$F$1164
         ),
         ""
      ),
      IF(_xlpm.result="", "", _xlpm.result)
   )
)</f>
        <v/>
      </c>
      <c r="G938" s="27" t="str" cm="1">
        <f t="array" ref="G938">IF(
   A938="",
   "",
   _xlfn.LET(
      _xlpm.result,
      IFERROR(
         _xlfn.XLOOKUP(
            1,
            (Table8[رقم الصنف]=A938) *
            (IF($B$9="الكل",1, YEAR('ادخال البيانات'!$N$3:$N$1164)=VALUE($B$9))) *
            (IF($B$10="الكل",1, MONTH('ادخال البيانات'!$N$3:$N$1164)=VALUE($B$10))) *
            (IF($B$11="الكل",1, INT((DAY('ادخال البيانات'!$N$3:$N$1164)-1)/7)+1 = VALUE($B$11))),
            'ادخال البيانات'!$G$3:$G$1164
         ),
         ""
      ),
      IF(_xlpm.result="", "", _xlpm.result)
   )
)</f>
        <v/>
      </c>
      <c r="H938" s="27" t="str" cm="1">
        <f t="array" ref="H938">IF(
   A938="",
   "",
   _xlfn.LET(
      _xlpm.result,
      IFERROR(
         _xlfn.XLOOKUP(
            1,
            (Table8[رقم الصنف]=A938) *
            (IF($B$9="الكل",1, YEAR('ادخال البيانات'!$N$3:$N$1164)=VALUE($B$9))) *
            (IF($B$10="الكل",1, MONTH('ادخال البيانات'!$N$3:$N$1164)=VALUE($B$10))) *
            (IF($B$11="الكل",1, INT((DAY('ادخال البيانات'!$N$3:$N$1164)-1)/7)+1 = VALUE($B$11))),
            'ادخال البيانات'!$H$3:$H$1164
         ),
         ""
      ),
      IF(_xlpm.result="", "", _xlpm.result)
   )
)</f>
        <v/>
      </c>
      <c r="I938" s="27" t="str" cm="1">
        <f t="array" ref="I938">IF(
   A938="",
   "",
   _xlfn.LET(
      _xlpm.result,
      IFERROR(
         _xlfn.XLOOKUP(
            1,
            (Table8[رقم الصنف]=A938) *
            (IF($B$9="الكل",1, YEAR('ادخال البيانات'!$N$3:$N$1164)=VALUE($B$9))) *
            (IF($B$10="الكل",1, MONTH('ادخال البيانات'!$N$3:$N$1164)=VALUE($B$10))) *
            (IF($B$11="الكل",1, INT((DAY('ادخال البيانات'!$N$3:$N$1164)-1)/7)+1 = VALUE($B$11))),
            'ادخال البيانات'!$I$3:$I$1164
         ),
         ""
      ),
      IF(_xlpm.result="", "", _xlpm.result)
   )
)</f>
        <v/>
      </c>
      <c r="J938" s="27" t="str" cm="1">
        <f t="array" ref="J938">IF(
   A938="",
   "",
   _xlfn.LET(
      _xlpm.result,
      IFERROR(
         _xlfn.XLOOKUP(
            1,
            (Table8[رقم الصنف]=A938) *
            (IF($B$9="الكل",1, YEAR('ادخال البيانات'!$N$3:$N$1164)=VALUE($B$9))) *
            (IF($B$10="الكل",1, MONTH('ادخال البيانات'!$N$3:$N$1164)=VALUE($B$10))) *
            (IF($B$11="الكل",1, INT((DAY('ادخال البيانات'!$N$3:$N$1164)-1)/7)+1 = VALUE($B$11))),
            'ادخال البيانات'!$J$3:$J$1164
         ),
         ""
      ),
      IF(_xlpm.result="", "", _xlpm.result)
   )
)</f>
        <v/>
      </c>
      <c r="K938" s="27" t="str" cm="1">
        <f t="array" ref="K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8" s="27" t="str" cm="1">
        <f t="array" ref="L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8" s="27" t="str" cm="1">
        <f t="array" ref="M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8" s="28" t="str" cm="1">
        <f t="array" ref="N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8" s="28" t="str" cm="1">
        <f t="array" ref="O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8" s="27" t="str" cm="1">
        <f t="array" ref="P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Table8[جهة العطل]
         ),
         ""
      ),
      IF(_xlpm.result="", "", _xlpm.result)
   )
)</f>
        <v/>
      </c>
      <c r="Q938" s="27" t="str" cm="1">
        <f t="array" ref="Q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Table8[المركز]
         ),
         ""
      ),
      IF(_xlpm.result="", "", _xlpm.result)
   )
)</f>
        <v/>
      </c>
      <c r="R938" s="27" t="str" cm="1">
        <f t="array" ref="R938">IF(
   A938="",
   "",
   _xlfn.LET(
      _xlpm.result,
      IFERROR(
         _xlfn.XLOOKUP(
            1,
            (Table8[رقم الصنف]=A938) *
            (IF($B$9="الكل",1, YEAR('ادخال البيانات'!$N$3:$N$1164) = VALUE($B$9))) *
            (IF($B$10="الكل",1, MONTH('ادخال البيانات'!$N$3:$N$1164) = VALUE($B$10))) *
            (IF($B$11="الكل",1, INT((DAY('ادخال البيانات'!$N$3:$N$1164) - 1) / 7) + 1 = VALUE($B$11))),
            Table8[ملاحظة]
         ),
         ""
      ),
      IF(_xlpm.result="", "", _xlpm.result)
   )
)</f>
        <v/>
      </c>
      <c r="S938" s="46" t="str">
        <f t="shared" ca="1" si="15"/>
        <v/>
      </c>
    </row>
    <row r="939" spans="1:19" ht="15.6" thickTop="1" thickBot="1" x14ac:dyDescent="0.35">
      <c r="A939" s="39"/>
      <c r="B939" s="27" t="str" cm="1">
        <f t="array" ref="B939">IF(
   OR(A939="", $B$9="", $B$10="", $B$11=""),
   "",
   _xlfn.LET(
      _xlpm.result,
      IFERROR(
         _xlfn.XLOOKUP(
            1,
            (Table8[رقم الصنف]=A939)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39" s="27" t="str" cm="1">
        <f t="array" ref="C939">IF(
   A939="",
   "",
   _xlfn.LET(
      _xlpm.result,
      IFERROR(
         _xlfn.XLOOKUP(
            1,
            (Table8[رقم الصنف]=A939) *
            (IF($B$9="الكل",1, YEAR('ادخال البيانات'!$N$3:$N$1164) = VALUE($B$9))) *
            (IF($B$10="الكل",1, MONTH('ادخال البيانات'!$N$3:$N$1164) = VALUE($B$10))) *
            (IF($B$11="الكل",1, INT((DAY('ادخال البيانات'!$N$3:$N$1164)-1)/7)+1 = VALUE($B$11))),
            'ادخال البيانات'!$C$3:$C$1164
         ),
         ""
      ),
      IF(_xlpm.result="", "", _xlpm.result)
   )
)</f>
        <v/>
      </c>
      <c r="D939" s="27" t="str" cm="1">
        <f t="array" ref="D939">IF(
   OR(A939="", $B$9="", $B$10="", $B$11=""),
   "",
   _xlfn.LET(
      _xlpm.result,
      IFERROR(
         _xlfn.XLOOKUP(
            1,
            (Table8[رقم الصنف]=A939) *
            (IF($B$9="الكل",1, YEAR('ادخال البيانات'!$N$3:$N$1164)=VALUE($B$9))) *
            (IF($B$10="الكل",1, MONTH('ادخال البيانات'!$N$3:$N$1164)=VALUE($B$10))) *
            (IF($B$11="الكل",1, INT((DAY('ادخال البيانات'!$N$3:$N$1164)-1)/7)+1 = VALUE($B$11))),
            'ادخال البيانات'!$D$3:$D$1164
         ),
         ""
      ),
      IF(_xlpm.result="", "", _xlpm.result)
   )
)</f>
        <v/>
      </c>
      <c r="E939" s="27" t="str" cm="1">
        <f t="array" ref="E939">IF(
   A939="",
   "",
   _xlfn.LET(
      _xlpm.result,
      IFERROR(
         _xlfn.XLOOKUP(
            1,
            (Table8[رقم الصنف]=A939) *
            (IF($B$9="الكل",1, YEAR('ادخال البيانات'!$N$3:$N$1164)=VALUE($B$9))) *
            (IF($B$10="الكل",1, MONTH('ادخال البيانات'!$N$3:$N$1164)=VALUE($B$10))) *
            (IF($B$11="الكل",1, INT((DAY('ادخال البيانات'!$N$3:$N$1164)-1)/7)+1 = VALUE($B$11))),
            'ادخال البيانات'!$E$3:$E$1164
         ),
         ""
      ),
      IF(_xlpm.result="", "", _xlpm.result)
   )
)</f>
        <v/>
      </c>
      <c r="F939" s="27" t="str" cm="1">
        <f t="array" ref="F939">IF(
   A939="",
   "",
   _xlfn.LET(
      _xlpm.result,
      IFERROR(
         _xlfn.XLOOKUP(
            1,
            (Table8[رقم الصنف]=A939) *
            (IF($B$9="الكل",1, YEAR('ادخال البيانات'!$N$3:$N$1164) = VALUE($B$9))) *
            (IF($B$10="الكل",1, MONTH('ادخال البيانات'!$N$3:$N$1164) = VALUE($B$10))) *
            (IF($B$11="الكل",1, INT((DAY('ادخال البيانات'!$N$3:$N$1164)-1)/7)+1 = VALUE($B$11))),
            'ادخال البيانات'!$F$3:$F$1164
         ),
         ""
      ),
      IF(_xlpm.result="", "", _xlpm.result)
   )
)</f>
        <v/>
      </c>
      <c r="G939" s="27" t="str" cm="1">
        <f t="array" ref="G939">IF(
   A939="",
   "",
   _xlfn.LET(
      _xlpm.result,
      IFERROR(
         _xlfn.XLOOKUP(
            1,
            (Table8[رقم الصنف]=A939) *
            (IF($B$9="الكل",1, YEAR('ادخال البيانات'!$N$3:$N$1164)=VALUE($B$9))) *
            (IF($B$10="الكل",1, MONTH('ادخال البيانات'!$N$3:$N$1164)=VALUE($B$10))) *
            (IF($B$11="الكل",1, INT((DAY('ادخال البيانات'!$N$3:$N$1164)-1)/7)+1 = VALUE($B$11))),
            'ادخال البيانات'!$G$3:$G$1164
         ),
         ""
      ),
      IF(_xlpm.result="", "", _xlpm.result)
   )
)</f>
        <v/>
      </c>
      <c r="H939" s="27" t="str" cm="1">
        <f t="array" ref="H939">IF(
   A939="",
   "",
   _xlfn.LET(
      _xlpm.result,
      IFERROR(
         _xlfn.XLOOKUP(
            1,
            (Table8[رقم الصنف]=A939) *
            (IF($B$9="الكل",1, YEAR('ادخال البيانات'!$N$3:$N$1164)=VALUE($B$9))) *
            (IF($B$10="الكل",1, MONTH('ادخال البيانات'!$N$3:$N$1164)=VALUE($B$10))) *
            (IF($B$11="الكل",1, INT((DAY('ادخال البيانات'!$N$3:$N$1164)-1)/7)+1 = VALUE($B$11))),
            'ادخال البيانات'!$H$3:$H$1164
         ),
         ""
      ),
      IF(_xlpm.result="", "", _xlpm.result)
   )
)</f>
        <v/>
      </c>
      <c r="I939" s="27" t="str" cm="1">
        <f t="array" ref="I939">IF(
   A939="",
   "",
   _xlfn.LET(
      _xlpm.result,
      IFERROR(
         _xlfn.XLOOKUP(
            1,
            (Table8[رقم الصنف]=A939) *
            (IF($B$9="الكل",1, YEAR('ادخال البيانات'!$N$3:$N$1164)=VALUE($B$9))) *
            (IF($B$10="الكل",1, MONTH('ادخال البيانات'!$N$3:$N$1164)=VALUE($B$10))) *
            (IF($B$11="الكل",1, INT((DAY('ادخال البيانات'!$N$3:$N$1164)-1)/7)+1 = VALUE($B$11))),
            'ادخال البيانات'!$I$3:$I$1164
         ),
         ""
      ),
      IF(_xlpm.result="", "", _xlpm.result)
   )
)</f>
        <v/>
      </c>
      <c r="J939" s="27" t="str" cm="1">
        <f t="array" ref="J939">IF(
   A939="",
   "",
   _xlfn.LET(
      _xlpm.result,
      IFERROR(
         _xlfn.XLOOKUP(
            1,
            (Table8[رقم الصنف]=A939) *
            (IF($B$9="الكل",1, YEAR('ادخال البيانات'!$N$3:$N$1164)=VALUE($B$9))) *
            (IF($B$10="الكل",1, MONTH('ادخال البيانات'!$N$3:$N$1164)=VALUE($B$10))) *
            (IF($B$11="الكل",1, INT((DAY('ادخال البيانات'!$N$3:$N$1164)-1)/7)+1 = VALUE($B$11))),
            'ادخال البيانات'!$J$3:$J$1164
         ),
         ""
      ),
      IF(_xlpm.result="", "", _xlpm.result)
   )
)</f>
        <v/>
      </c>
      <c r="K939" s="27" t="str" cm="1">
        <f t="array" ref="K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39" s="27" t="str" cm="1">
        <f t="array" ref="L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39" s="27" t="str" cm="1">
        <f t="array" ref="M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39" s="28" t="str" cm="1">
        <f t="array" ref="N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39" s="28" t="str" cm="1">
        <f t="array" ref="O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39" s="27" t="str" cm="1">
        <f t="array" ref="P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Table8[جهة العطل]
         ),
         ""
      ),
      IF(_xlpm.result="", "", _xlpm.result)
   )
)</f>
        <v/>
      </c>
      <c r="Q939" s="27" t="str" cm="1">
        <f t="array" ref="Q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Table8[المركز]
         ),
         ""
      ),
      IF(_xlpm.result="", "", _xlpm.result)
   )
)</f>
        <v/>
      </c>
      <c r="R939" s="27" t="str" cm="1">
        <f t="array" ref="R939">IF(
   A939="",
   "",
   _xlfn.LET(
      _xlpm.result,
      IFERROR(
         _xlfn.XLOOKUP(
            1,
            (Table8[رقم الصنف]=A939) *
            (IF($B$9="الكل",1, YEAR('ادخال البيانات'!$N$3:$N$1164) = VALUE($B$9))) *
            (IF($B$10="الكل",1, MONTH('ادخال البيانات'!$N$3:$N$1164) = VALUE($B$10))) *
            (IF($B$11="الكل",1, INT((DAY('ادخال البيانات'!$N$3:$N$1164) - 1) / 7) + 1 = VALUE($B$11))),
            Table8[ملاحظة]
         ),
         ""
      ),
      IF(_xlpm.result="", "", _xlpm.result)
   )
)</f>
        <v/>
      </c>
      <c r="S939" s="46" t="str">
        <f t="shared" ca="1" si="15"/>
        <v/>
      </c>
    </row>
    <row r="940" spans="1:19" ht="15.6" thickTop="1" thickBot="1" x14ac:dyDescent="0.35">
      <c r="A940" s="39"/>
      <c r="B940" s="27" t="str" cm="1">
        <f t="array" ref="B940">IF(
   OR(A940="", $B$9="", $B$10="", $B$11=""),
   "",
   _xlfn.LET(
      _xlpm.result,
      IFERROR(
         _xlfn.XLOOKUP(
            1,
            (Table8[رقم الصنف]=A940)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0" s="27" t="str" cm="1">
        <f t="array" ref="C940">IF(
   A940="",
   "",
   _xlfn.LET(
      _xlpm.result,
      IFERROR(
         _xlfn.XLOOKUP(
            1,
            (Table8[رقم الصنف]=A940) *
            (IF($B$9="الكل",1, YEAR('ادخال البيانات'!$N$3:$N$1164) = VALUE($B$9))) *
            (IF($B$10="الكل",1, MONTH('ادخال البيانات'!$N$3:$N$1164) = VALUE($B$10))) *
            (IF($B$11="الكل",1, INT((DAY('ادخال البيانات'!$N$3:$N$1164)-1)/7)+1 = VALUE($B$11))),
            'ادخال البيانات'!$C$3:$C$1164
         ),
         ""
      ),
      IF(_xlpm.result="", "", _xlpm.result)
   )
)</f>
        <v/>
      </c>
      <c r="D940" s="27" t="str" cm="1">
        <f t="array" ref="D940">IF(
   OR(A940="", $B$9="", $B$10="", $B$11=""),
   "",
   _xlfn.LET(
      _xlpm.result,
      IFERROR(
         _xlfn.XLOOKUP(
            1,
            (Table8[رقم الصنف]=A940) *
            (IF($B$9="الكل",1, YEAR('ادخال البيانات'!$N$3:$N$1164)=VALUE($B$9))) *
            (IF($B$10="الكل",1, MONTH('ادخال البيانات'!$N$3:$N$1164)=VALUE($B$10))) *
            (IF($B$11="الكل",1, INT((DAY('ادخال البيانات'!$N$3:$N$1164)-1)/7)+1 = VALUE($B$11))),
            'ادخال البيانات'!$D$3:$D$1164
         ),
         ""
      ),
      IF(_xlpm.result="", "", _xlpm.result)
   )
)</f>
        <v/>
      </c>
      <c r="E940" s="27" t="str" cm="1">
        <f t="array" ref="E940">IF(
   A940="",
   "",
   _xlfn.LET(
      _xlpm.result,
      IFERROR(
         _xlfn.XLOOKUP(
            1,
            (Table8[رقم الصنف]=A940) *
            (IF($B$9="الكل",1, YEAR('ادخال البيانات'!$N$3:$N$1164)=VALUE($B$9))) *
            (IF($B$10="الكل",1, MONTH('ادخال البيانات'!$N$3:$N$1164)=VALUE($B$10))) *
            (IF($B$11="الكل",1, INT((DAY('ادخال البيانات'!$N$3:$N$1164)-1)/7)+1 = VALUE($B$11))),
            'ادخال البيانات'!$E$3:$E$1164
         ),
         ""
      ),
      IF(_xlpm.result="", "", _xlpm.result)
   )
)</f>
        <v/>
      </c>
      <c r="F940" s="27" t="str" cm="1">
        <f t="array" ref="F940">IF(
   A940="",
   "",
   _xlfn.LET(
      _xlpm.result,
      IFERROR(
         _xlfn.XLOOKUP(
            1,
            (Table8[رقم الصنف]=A940) *
            (IF($B$9="الكل",1, YEAR('ادخال البيانات'!$N$3:$N$1164) = VALUE($B$9))) *
            (IF($B$10="الكل",1, MONTH('ادخال البيانات'!$N$3:$N$1164) = VALUE($B$10))) *
            (IF($B$11="الكل",1, INT((DAY('ادخال البيانات'!$N$3:$N$1164)-1)/7)+1 = VALUE($B$11))),
            'ادخال البيانات'!$F$3:$F$1164
         ),
         ""
      ),
      IF(_xlpm.result="", "", _xlpm.result)
   )
)</f>
        <v/>
      </c>
      <c r="G940" s="27" t="str" cm="1">
        <f t="array" ref="G940">IF(
   A940="",
   "",
   _xlfn.LET(
      _xlpm.result,
      IFERROR(
         _xlfn.XLOOKUP(
            1,
            (Table8[رقم الصنف]=A940) *
            (IF($B$9="الكل",1, YEAR('ادخال البيانات'!$N$3:$N$1164)=VALUE($B$9))) *
            (IF($B$10="الكل",1, MONTH('ادخال البيانات'!$N$3:$N$1164)=VALUE($B$10))) *
            (IF($B$11="الكل",1, INT((DAY('ادخال البيانات'!$N$3:$N$1164)-1)/7)+1 = VALUE($B$11))),
            'ادخال البيانات'!$G$3:$G$1164
         ),
         ""
      ),
      IF(_xlpm.result="", "", _xlpm.result)
   )
)</f>
        <v/>
      </c>
      <c r="H940" s="27" t="str" cm="1">
        <f t="array" ref="H940">IF(
   A940="",
   "",
   _xlfn.LET(
      _xlpm.result,
      IFERROR(
         _xlfn.XLOOKUP(
            1,
            (Table8[رقم الصنف]=A940) *
            (IF($B$9="الكل",1, YEAR('ادخال البيانات'!$N$3:$N$1164)=VALUE($B$9))) *
            (IF($B$10="الكل",1, MONTH('ادخال البيانات'!$N$3:$N$1164)=VALUE($B$10))) *
            (IF($B$11="الكل",1, INT((DAY('ادخال البيانات'!$N$3:$N$1164)-1)/7)+1 = VALUE($B$11))),
            'ادخال البيانات'!$H$3:$H$1164
         ),
         ""
      ),
      IF(_xlpm.result="", "", _xlpm.result)
   )
)</f>
        <v/>
      </c>
      <c r="I940" s="27" t="str" cm="1">
        <f t="array" ref="I940">IF(
   A940="",
   "",
   _xlfn.LET(
      _xlpm.result,
      IFERROR(
         _xlfn.XLOOKUP(
            1,
            (Table8[رقم الصنف]=A940) *
            (IF($B$9="الكل",1, YEAR('ادخال البيانات'!$N$3:$N$1164)=VALUE($B$9))) *
            (IF($B$10="الكل",1, MONTH('ادخال البيانات'!$N$3:$N$1164)=VALUE($B$10))) *
            (IF($B$11="الكل",1, INT((DAY('ادخال البيانات'!$N$3:$N$1164)-1)/7)+1 = VALUE($B$11))),
            'ادخال البيانات'!$I$3:$I$1164
         ),
         ""
      ),
      IF(_xlpm.result="", "", _xlpm.result)
   )
)</f>
        <v/>
      </c>
      <c r="J940" s="27" t="str" cm="1">
        <f t="array" ref="J940">IF(
   A940="",
   "",
   _xlfn.LET(
      _xlpm.result,
      IFERROR(
         _xlfn.XLOOKUP(
            1,
            (Table8[رقم الصنف]=A940) *
            (IF($B$9="الكل",1, YEAR('ادخال البيانات'!$N$3:$N$1164)=VALUE($B$9))) *
            (IF($B$10="الكل",1, MONTH('ادخال البيانات'!$N$3:$N$1164)=VALUE($B$10))) *
            (IF($B$11="الكل",1, INT((DAY('ادخال البيانات'!$N$3:$N$1164)-1)/7)+1 = VALUE($B$11))),
            'ادخال البيانات'!$J$3:$J$1164
         ),
         ""
      ),
      IF(_xlpm.result="", "", _xlpm.result)
   )
)</f>
        <v/>
      </c>
      <c r="K940" s="27" t="str" cm="1">
        <f t="array" ref="K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0" s="27" t="str" cm="1">
        <f t="array" ref="L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0" s="27" t="str" cm="1">
        <f t="array" ref="M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0" s="28" t="str" cm="1">
        <f t="array" ref="N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0" s="28" t="str" cm="1">
        <f t="array" ref="O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0" s="27" t="str" cm="1">
        <f t="array" ref="P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Table8[جهة العطل]
         ),
         ""
      ),
      IF(_xlpm.result="", "", _xlpm.result)
   )
)</f>
        <v/>
      </c>
      <c r="Q940" s="27" t="str" cm="1">
        <f t="array" ref="Q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Table8[المركز]
         ),
         ""
      ),
      IF(_xlpm.result="", "", _xlpm.result)
   )
)</f>
        <v/>
      </c>
      <c r="R940" s="27" t="str" cm="1">
        <f t="array" ref="R940">IF(
   A940="",
   "",
   _xlfn.LET(
      _xlpm.result,
      IFERROR(
         _xlfn.XLOOKUP(
            1,
            (Table8[رقم الصنف]=A940) *
            (IF($B$9="الكل",1, YEAR('ادخال البيانات'!$N$3:$N$1164) = VALUE($B$9))) *
            (IF($B$10="الكل",1, MONTH('ادخال البيانات'!$N$3:$N$1164) = VALUE($B$10))) *
            (IF($B$11="الكل",1, INT((DAY('ادخال البيانات'!$N$3:$N$1164) - 1) / 7) + 1 = VALUE($B$11))),
            Table8[ملاحظة]
         ),
         ""
      ),
      IF(_xlpm.result="", "", _xlpm.result)
   )
)</f>
        <v/>
      </c>
      <c r="S940" s="46" t="str">
        <f t="shared" ca="1" si="15"/>
        <v/>
      </c>
    </row>
    <row r="941" spans="1:19" ht="15.6" thickTop="1" thickBot="1" x14ac:dyDescent="0.35">
      <c r="A941" s="39"/>
      <c r="B941" s="27" t="str" cm="1">
        <f t="array" ref="B941">IF(
   OR(A941="", $B$9="", $B$10="", $B$11=""),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1" s="27" t="str" cm="1">
        <f t="array" ref="C941">IF(
   A941="",
   "",
   _xlfn.LET(
      _xlpm.result,
      IFERROR(
         _xlfn.XLOOKUP(
            1,
            (Table8[رقم الصنف]=A941) *
            (IF($B$9="الكل",1, YEAR('ادخال البيانات'!$N$3:$N$1164) = VALUE($B$9))) *
            (IF($B$10="الكل",1, MONTH('ادخال البيانات'!$N$3:$N$1164) = VALUE($B$10))) *
            (IF($B$11="الكل",1, INT((DAY('ادخال البيانات'!$N$3:$N$1164)-1)/7)+1 = VALUE($B$11))),
            'ادخال البيانات'!$C$3:$C$1164
         ),
         ""
      ),
      IF(_xlpm.result="", "", _xlpm.result)
   )
)</f>
        <v/>
      </c>
      <c r="D941" s="27" t="str" cm="1">
        <f t="array" ref="D941">IF(
   OR(A941="", $B$9="", $B$10="", $B$11=""),
   "",
   _xlfn.LET(
      _xlpm.result,
      IFERROR(
         _xlfn.XLOOKUP(
            1,
            (Table8[رقم الصنف]=A941) *
            (IF($B$9="الكل",1, YEAR('ادخال البيانات'!$N$3:$N$1164)=VALUE($B$9))) *
            (IF($B$10="الكل",1, MONTH('ادخال البيانات'!$N$3:$N$1164)=VALUE($B$10))) *
            (IF($B$11="الكل",1, INT((DAY('ادخال البيانات'!$N$3:$N$1164)-1)/7)+1 = VALUE($B$11))),
            'ادخال البيانات'!$D$3:$D$1164
         ),
         ""
      ),
      IF(_xlpm.result="", "", _xlpm.result)
   )
)</f>
        <v/>
      </c>
      <c r="E941" s="27" t="str" cm="1">
        <f t="array" ref="E941">IF(
   A941="",
   "",
   _xlfn.LET(
      _xlpm.result,
      IFERROR(
         _xlfn.XLOOKUP(
            1,
            (Table8[رقم الصنف]=A941) *
            (IF($B$9="الكل",1, YEAR('ادخال البيانات'!$N$3:$N$1164)=VALUE($B$9))) *
            (IF($B$10="الكل",1, MONTH('ادخال البيانات'!$N$3:$N$1164)=VALUE($B$10))) *
            (IF($B$11="الكل",1, INT((DAY('ادخال البيانات'!$N$3:$N$1164)-1)/7)+1 = VALUE($B$11))),
            'ادخال البيانات'!$E$3:$E$1164
         ),
         ""
      ),
      IF(_xlpm.result="", "", _xlpm.result)
   )
)</f>
        <v/>
      </c>
      <c r="F941" s="27" t="str" cm="1">
        <f t="array" ref="F941">IF(
   A941="",
   "",
   _xlfn.LET(
      _xlpm.result,
      IFERROR(
         _xlfn.XLOOKUP(
            1,
            (Table8[رقم الصنف]=A941) *
            (IF($B$9="الكل",1, YEAR('ادخال البيانات'!$N$3:$N$1164) = VALUE($B$9))) *
            (IF($B$10="الكل",1, MONTH('ادخال البيانات'!$N$3:$N$1164) = VALUE($B$10))) *
            (IF($B$11="الكل",1, INT((DAY('ادخال البيانات'!$N$3:$N$1164)-1)/7)+1 = VALUE($B$11))),
            'ادخال البيانات'!$F$3:$F$1164
         ),
         ""
      ),
      IF(_xlpm.result="", "", _xlpm.result)
   )
)</f>
        <v/>
      </c>
      <c r="G941" s="27" t="str" cm="1">
        <f t="array" ref="G941">IF(
   A941="",
   "",
   _xlfn.LET(
      _xlpm.result,
      IFERROR(
         _xlfn.XLOOKUP(
            1,
            (Table8[رقم الصنف]=A941) *
            (IF($B$9="الكل",1, YEAR('ادخال البيانات'!$N$3:$N$1164)=VALUE($B$9))) *
            (IF($B$10="الكل",1, MONTH('ادخال البيانات'!$N$3:$N$1164)=VALUE($B$10))) *
            (IF($B$11="الكل",1, INT((DAY('ادخال البيانات'!$N$3:$N$1164)-1)/7)+1 = VALUE($B$11))),
            'ادخال البيانات'!$G$3:$G$1164
         ),
         ""
      ),
      IF(_xlpm.result="", "", _xlpm.result)
   )
)</f>
        <v/>
      </c>
      <c r="H941" s="27" t="str" cm="1">
        <f t="array" ref="H941">IF(
   A941="",
   "",
   _xlfn.LET(
      _xlpm.result,
      IFERROR(
         _xlfn.XLOOKUP(
            1,
            (Table8[رقم الصنف]=A941) *
            (IF($B$9="الكل",1, YEAR('ادخال البيانات'!$N$3:$N$1164)=VALUE($B$9))) *
            (IF($B$10="الكل",1, MONTH('ادخال البيانات'!$N$3:$N$1164)=VALUE($B$10))) *
            (IF($B$11="الكل",1, INT((DAY('ادخال البيانات'!$N$3:$N$1164)-1)/7)+1 = VALUE($B$11))),
            'ادخال البيانات'!$H$3:$H$1164
         ),
         ""
      ),
      IF(_xlpm.result="", "", _xlpm.result)
   )
)</f>
        <v/>
      </c>
      <c r="I941" s="27" t="str" cm="1">
        <f t="array" ref="I941">IF(
   A941="",
   "",
   _xlfn.LET(
      _xlpm.result,
      IFERROR(
         _xlfn.XLOOKUP(
            1,
            (Table8[رقم الصنف]=A941) *
            (IF($B$9="الكل",1, YEAR('ادخال البيانات'!$N$3:$N$1164)=VALUE($B$9))) *
            (IF($B$10="الكل",1, MONTH('ادخال البيانات'!$N$3:$N$1164)=VALUE($B$10))) *
            (IF($B$11="الكل",1, INT((DAY('ادخال البيانات'!$N$3:$N$1164)-1)/7)+1 = VALUE($B$11))),
            'ادخال البيانات'!$I$3:$I$1164
         ),
         ""
      ),
      IF(_xlpm.result="", "", _xlpm.result)
   )
)</f>
        <v/>
      </c>
      <c r="J941" s="27" t="str" cm="1">
        <f t="array" ref="J941">IF(
   A941="",
   "",
   _xlfn.LET(
      _xlpm.result,
      IFERROR(
         _xlfn.XLOOKUP(
            1,
            (Table8[رقم الصنف]=A941) *
            (IF($B$9="الكل",1, YEAR('ادخال البيانات'!$N$3:$N$1164)=VALUE($B$9))) *
            (IF($B$10="الكل",1, MONTH('ادخال البيانات'!$N$3:$N$1164)=VALUE($B$10))) *
            (IF($B$11="الكل",1, INT((DAY('ادخال البيانات'!$N$3:$N$1164)-1)/7)+1 = VALUE($B$11))),
            'ادخال البيانات'!$J$3:$J$1164
         ),
         ""
      ),
      IF(_xlpm.result="", "", _xlpm.result)
   )
)</f>
        <v/>
      </c>
      <c r="K941" s="27" t="str" cm="1">
        <f t="array" ref="K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1" s="27" t="str" cm="1">
        <f t="array" ref="L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1" s="27" t="str" cm="1">
        <f t="array" ref="M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1" s="28" t="str" cm="1">
        <f t="array" ref="N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1" s="28" t="str" cm="1">
        <f t="array" ref="O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1" s="27" t="str" cm="1">
        <f t="array" ref="P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Table8[جهة العطل]
         ),
         ""
      ),
      IF(_xlpm.result="", "", _xlpm.result)
   )
)</f>
        <v/>
      </c>
      <c r="Q941" s="27" t="str" cm="1">
        <f t="array" ref="Q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Table8[المركز]
         ),
         ""
      ),
      IF(_xlpm.result="", "", _xlpm.result)
   )
)</f>
        <v/>
      </c>
      <c r="R941" s="27" t="str" cm="1">
        <f t="array" ref="R941">IF(
   A941="",
   "",
   _xlfn.LET(
      _xlpm.result,
      IFERROR(
         _xlfn.XLOOKUP(
            1,
            (Table8[رقم الصنف]=A941) *
            (IF($B$9="الكل",1, YEAR('ادخال البيانات'!$N$3:$N$1164) = VALUE($B$9))) *
            (IF($B$10="الكل",1, MONTH('ادخال البيانات'!$N$3:$N$1164) = VALUE($B$10))) *
            (IF($B$11="الكل",1, INT((DAY('ادخال البيانات'!$N$3:$N$1164) - 1) / 7) + 1 = VALUE($B$11))),
            Table8[ملاحظة]
         ),
         ""
      ),
      IF(_xlpm.result="", "", _xlpm.result)
   )
)</f>
        <v/>
      </c>
      <c r="S941" s="46" t="str">
        <f t="shared" ca="1" si="15"/>
        <v/>
      </c>
    </row>
    <row r="942" spans="1:19" ht="15.6" thickTop="1" thickBot="1" x14ac:dyDescent="0.35">
      <c r="A942" s="39"/>
      <c r="B942" s="27" t="str" cm="1">
        <f t="array" ref="B942">IF(
   OR(A942="", $B$9="", $B$10="", $B$11=""),
   "",
   _xlfn.LET(
      _xlpm.result,
      IFERROR(
         _xlfn.XLOOKUP(
            1,
            (Table8[رقم الصنف]=A942)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2" s="27" t="str" cm="1">
        <f t="array" ref="C942">IF(
   A942="",
   "",
   _xlfn.LET(
      _xlpm.result,
      IFERROR(
         _xlfn.XLOOKUP(
            1,
            (Table8[رقم الصنف]=A942) *
            (IF($B$9="الكل",1, YEAR('ادخال البيانات'!$N$3:$N$1164) = VALUE($B$9))) *
            (IF($B$10="الكل",1, MONTH('ادخال البيانات'!$N$3:$N$1164) = VALUE($B$10))) *
            (IF($B$11="الكل",1, INT((DAY('ادخال البيانات'!$N$3:$N$1164)-1)/7)+1 = VALUE($B$11))),
            'ادخال البيانات'!$C$3:$C$1164
         ),
         ""
      ),
      IF(_xlpm.result="", "", _xlpm.result)
   )
)</f>
        <v/>
      </c>
      <c r="D942" s="27" t="str" cm="1">
        <f t="array" ref="D942">IF(
   OR(A942="", $B$9="", $B$10="", $B$11=""),
   "",
   _xlfn.LET(
      _xlpm.result,
      IFERROR(
         _xlfn.XLOOKUP(
            1,
            (Table8[رقم الصنف]=A942) *
            (IF($B$9="الكل",1, YEAR('ادخال البيانات'!$N$3:$N$1164)=VALUE($B$9))) *
            (IF($B$10="الكل",1, MONTH('ادخال البيانات'!$N$3:$N$1164)=VALUE($B$10))) *
            (IF($B$11="الكل",1, INT((DAY('ادخال البيانات'!$N$3:$N$1164)-1)/7)+1 = VALUE($B$11))),
            'ادخال البيانات'!$D$3:$D$1164
         ),
         ""
      ),
      IF(_xlpm.result="", "", _xlpm.result)
   )
)</f>
        <v/>
      </c>
      <c r="E942" s="27" t="str" cm="1">
        <f t="array" ref="E942">IF(
   A942="",
   "",
   _xlfn.LET(
      _xlpm.result,
      IFERROR(
         _xlfn.XLOOKUP(
            1,
            (Table8[رقم الصنف]=A942) *
            (IF($B$9="الكل",1, YEAR('ادخال البيانات'!$N$3:$N$1164)=VALUE($B$9))) *
            (IF($B$10="الكل",1, MONTH('ادخال البيانات'!$N$3:$N$1164)=VALUE($B$10))) *
            (IF($B$11="الكل",1, INT((DAY('ادخال البيانات'!$N$3:$N$1164)-1)/7)+1 = VALUE($B$11))),
            'ادخال البيانات'!$E$3:$E$1164
         ),
         ""
      ),
      IF(_xlpm.result="", "", _xlpm.result)
   )
)</f>
        <v/>
      </c>
      <c r="F942" s="27" t="str" cm="1">
        <f t="array" ref="F942">IF(
   A942="",
   "",
   _xlfn.LET(
      _xlpm.result,
      IFERROR(
         _xlfn.XLOOKUP(
            1,
            (Table8[رقم الصنف]=A942) *
            (IF($B$9="الكل",1, YEAR('ادخال البيانات'!$N$3:$N$1164) = VALUE($B$9))) *
            (IF($B$10="الكل",1, MONTH('ادخال البيانات'!$N$3:$N$1164) = VALUE($B$10))) *
            (IF($B$11="الكل",1, INT((DAY('ادخال البيانات'!$N$3:$N$1164)-1)/7)+1 = VALUE($B$11))),
            'ادخال البيانات'!$F$3:$F$1164
         ),
         ""
      ),
      IF(_xlpm.result="", "", _xlpm.result)
   )
)</f>
        <v/>
      </c>
      <c r="G942" s="27" t="str" cm="1">
        <f t="array" ref="G942">IF(
   A942="",
   "",
   _xlfn.LET(
      _xlpm.result,
      IFERROR(
         _xlfn.XLOOKUP(
            1,
            (Table8[رقم الصنف]=A942) *
            (IF($B$9="الكل",1, YEAR('ادخال البيانات'!$N$3:$N$1164)=VALUE($B$9))) *
            (IF($B$10="الكل",1, MONTH('ادخال البيانات'!$N$3:$N$1164)=VALUE($B$10))) *
            (IF($B$11="الكل",1, INT((DAY('ادخال البيانات'!$N$3:$N$1164)-1)/7)+1 = VALUE($B$11))),
            'ادخال البيانات'!$G$3:$G$1164
         ),
         ""
      ),
      IF(_xlpm.result="", "", _xlpm.result)
   )
)</f>
        <v/>
      </c>
      <c r="H942" s="27" t="str" cm="1">
        <f t="array" ref="H942">IF(
   A942="",
   "",
   _xlfn.LET(
      _xlpm.result,
      IFERROR(
         _xlfn.XLOOKUP(
            1,
            (Table8[رقم الصنف]=A942) *
            (IF($B$9="الكل",1, YEAR('ادخال البيانات'!$N$3:$N$1164)=VALUE($B$9))) *
            (IF($B$10="الكل",1, MONTH('ادخال البيانات'!$N$3:$N$1164)=VALUE($B$10))) *
            (IF($B$11="الكل",1, INT((DAY('ادخال البيانات'!$N$3:$N$1164)-1)/7)+1 = VALUE($B$11))),
            'ادخال البيانات'!$H$3:$H$1164
         ),
         ""
      ),
      IF(_xlpm.result="", "", _xlpm.result)
   )
)</f>
        <v/>
      </c>
      <c r="I942" s="27" t="str" cm="1">
        <f t="array" ref="I942">IF(
   A942="",
   "",
   _xlfn.LET(
      _xlpm.result,
      IFERROR(
         _xlfn.XLOOKUP(
            1,
            (Table8[رقم الصنف]=A942) *
            (IF($B$9="الكل",1, YEAR('ادخال البيانات'!$N$3:$N$1164)=VALUE($B$9))) *
            (IF($B$10="الكل",1, MONTH('ادخال البيانات'!$N$3:$N$1164)=VALUE($B$10))) *
            (IF($B$11="الكل",1, INT((DAY('ادخال البيانات'!$N$3:$N$1164)-1)/7)+1 = VALUE($B$11))),
            'ادخال البيانات'!$I$3:$I$1164
         ),
         ""
      ),
      IF(_xlpm.result="", "", _xlpm.result)
   )
)</f>
        <v/>
      </c>
      <c r="J942" s="27" t="str" cm="1">
        <f t="array" ref="J942">IF(
   A942="",
   "",
   _xlfn.LET(
      _xlpm.result,
      IFERROR(
         _xlfn.XLOOKUP(
            1,
            (Table8[رقم الصنف]=A942) *
            (IF($B$9="الكل",1, YEAR('ادخال البيانات'!$N$3:$N$1164)=VALUE($B$9))) *
            (IF($B$10="الكل",1, MONTH('ادخال البيانات'!$N$3:$N$1164)=VALUE($B$10))) *
            (IF($B$11="الكل",1, INT((DAY('ادخال البيانات'!$N$3:$N$1164)-1)/7)+1 = VALUE($B$11))),
            'ادخال البيانات'!$J$3:$J$1164
         ),
         ""
      ),
      IF(_xlpm.result="", "", _xlpm.result)
   )
)</f>
        <v/>
      </c>
      <c r="K942" s="27" t="str" cm="1">
        <f t="array" ref="K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2" s="27" t="str" cm="1">
        <f t="array" ref="L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2" s="27" t="str" cm="1">
        <f t="array" ref="M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2" s="28" t="str" cm="1">
        <f t="array" ref="N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2" s="28" t="str" cm="1">
        <f t="array" ref="O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2" s="27" t="str" cm="1">
        <f t="array" ref="P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Table8[جهة العطل]
         ),
         ""
      ),
      IF(_xlpm.result="", "", _xlpm.result)
   )
)</f>
        <v/>
      </c>
      <c r="Q942" s="27" t="str" cm="1">
        <f t="array" ref="Q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Table8[المركز]
         ),
         ""
      ),
      IF(_xlpm.result="", "", _xlpm.result)
   )
)</f>
        <v/>
      </c>
      <c r="R942" s="27" t="str" cm="1">
        <f t="array" ref="R942">IF(
   A942="",
   "",
   _xlfn.LET(
      _xlpm.result,
      IFERROR(
         _xlfn.XLOOKUP(
            1,
            (Table8[رقم الصنف]=A942) *
            (IF($B$9="الكل",1, YEAR('ادخال البيانات'!$N$3:$N$1164) = VALUE($B$9))) *
            (IF($B$10="الكل",1, MONTH('ادخال البيانات'!$N$3:$N$1164) = VALUE($B$10))) *
            (IF($B$11="الكل",1, INT((DAY('ادخال البيانات'!$N$3:$N$1164) - 1) / 7) + 1 = VALUE($B$11))),
            Table8[ملاحظة]
         ),
         ""
      ),
      IF(_xlpm.result="", "", _xlpm.result)
   )
)</f>
        <v/>
      </c>
      <c r="S942" s="46" t="str">
        <f t="shared" ca="1" si="15"/>
        <v/>
      </c>
    </row>
    <row r="943" spans="1:19" ht="15.6" thickTop="1" thickBot="1" x14ac:dyDescent="0.35">
      <c r="A943" s="39"/>
      <c r="B943" s="27" t="str" cm="1">
        <f t="array" ref="B943">IF(
   OR(A943="", $B$9="", $B$10="", $B$11=""),
   "",
   _xlfn.LET(
      _xlpm.result,
      IFERROR(
         _xlfn.XLOOKUP(
            1,
            (Table8[رقم الصنف]=A943)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3" s="27" t="str" cm="1">
        <f t="array" ref="C943">IF(
   A943="",
   "",
   _xlfn.LET(
      _xlpm.result,
      IFERROR(
         _xlfn.XLOOKUP(
            1,
            (Table8[رقم الصنف]=A943) *
            (IF($B$9="الكل",1, YEAR('ادخال البيانات'!$N$3:$N$1164) = VALUE($B$9))) *
            (IF($B$10="الكل",1, MONTH('ادخال البيانات'!$N$3:$N$1164) = VALUE($B$10))) *
            (IF($B$11="الكل",1, INT((DAY('ادخال البيانات'!$N$3:$N$1164)-1)/7)+1 = VALUE($B$11))),
            'ادخال البيانات'!$C$3:$C$1164
         ),
         ""
      ),
      IF(_xlpm.result="", "", _xlpm.result)
   )
)</f>
        <v/>
      </c>
      <c r="D943" s="27" t="str" cm="1">
        <f t="array" ref="D943">IF(
   OR(A943="", $B$9="", $B$10="", $B$11=""),
   "",
   _xlfn.LET(
      _xlpm.result,
      IFERROR(
         _xlfn.XLOOKUP(
            1,
            (Table8[رقم الصنف]=A943) *
            (IF($B$9="الكل",1, YEAR('ادخال البيانات'!$N$3:$N$1164)=VALUE($B$9))) *
            (IF($B$10="الكل",1, MONTH('ادخال البيانات'!$N$3:$N$1164)=VALUE($B$10))) *
            (IF($B$11="الكل",1, INT((DAY('ادخال البيانات'!$N$3:$N$1164)-1)/7)+1 = VALUE($B$11))),
            'ادخال البيانات'!$D$3:$D$1164
         ),
         ""
      ),
      IF(_xlpm.result="", "", _xlpm.result)
   )
)</f>
        <v/>
      </c>
      <c r="E943" s="27" t="str" cm="1">
        <f t="array" ref="E943">IF(
   A943="",
   "",
   _xlfn.LET(
      _xlpm.result,
      IFERROR(
         _xlfn.XLOOKUP(
            1,
            (Table8[رقم الصنف]=A943) *
            (IF($B$9="الكل",1, YEAR('ادخال البيانات'!$N$3:$N$1164)=VALUE($B$9))) *
            (IF($B$10="الكل",1, MONTH('ادخال البيانات'!$N$3:$N$1164)=VALUE($B$10))) *
            (IF($B$11="الكل",1, INT((DAY('ادخال البيانات'!$N$3:$N$1164)-1)/7)+1 = VALUE($B$11))),
            'ادخال البيانات'!$E$3:$E$1164
         ),
         ""
      ),
      IF(_xlpm.result="", "", _xlpm.result)
   )
)</f>
        <v/>
      </c>
      <c r="F943" s="27" t="str" cm="1">
        <f t="array" ref="F943">IF(
   A943="",
   "",
   _xlfn.LET(
      _xlpm.result,
      IFERROR(
         _xlfn.XLOOKUP(
            1,
            (Table8[رقم الصنف]=A943) *
            (IF($B$9="الكل",1, YEAR('ادخال البيانات'!$N$3:$N$1164) = VALUE($B$9))) *
            (IF($B$10="الكل",1, MONTH('ادخال البيانات'!$N$3:$N$1164) = VALUE($B$10))) *
            (IF($B$11="الكل",1, INT((DAY('ادخال البيانات'!$N$3:$N$1164)-1)/7)+1 = VALUE($B$11))),
            'ادخال البيانات'!$F$3:$F$1164
         ),
         ""
      ),
      IF(_xlpm.result="", "", _xlpm.result)
   )
)</f>
        <v/>
      </c>
      <c r="G943" s="27" t="str" cm="1">
        <f t="array" ref="G943">IF(
   A943="",
   "",
   _xlfn.LET(
      _xlpm.result,
      IFERROR(
         _xlfn.XLOOKUP(
            1,
            (Table8[رقم الصنف]=A943) *
            (IF($B$9="الكل",1, YEAR('ادخال البيانات'!$N$3:$N$1164)=VALUE($B$9))) *
            (IF($B$10="الكل",1, MONTH('ادخال البيانات'!$N$3:$N$1164)=VALUE($B$10))) *
            (IF($B$11="الكل",1, INT((DAY('ادخال البيانات'!$N$3:$N$1164)-1)/7)+1 = VALUE($B$11))),
            'ادخال البيانات'!$G$3:$G$1164
         ),
         ""
      ),
      IF(_xlpm.result="", "", _xlpm.result)
   )
)</f>
        <v/>
      </c>
      <c r="H943" s="27" t="str" cm="1">
        <f t="array" ref="H943">IF(
   A943="",
   "",
   _xlfn.LET(
      _xlpm.result,
      IFERROR(
         _xlfn.XLOOKUP(
            1,
            (Table8[رقم الصنف]=A943) *
            (IF($B$9="الكل",1, YEAR('ادخال البيانات'!$N$3:$N$1164)=VALUE($B$9))) *
            (IF($B$10="الكل",1, MONTH('ادخال البيانات'!$N$3:$N$1164)=VALUE($B$10))) *
            (IF($B$11="الكل",1, INT((DAY('ادخال البيانات'!$N$3:$N$1164)-1)/7)+1 = VALUE($B$11))),
            'ادخال البيانات'!$H$3:$H$1164
         ),
         ""
      ),
      IF(_xlpm.result="", "", _xlpm.result)
   )
)</f>
        <v/>
      </c>
      <c r="I943" s="27" t="str" cm="1">
        <f t="array" ref="I943">IF(
   A943="",
   "",
   _xlfn.LET(
      _xlpm.result,
      IFERROR(
         _xlfn.XLOOKUP(
            1,
            (Table8[رقم الصنف]=A943) *
            (IF($B$9="الكل",1, YEAR('ادخال البيانات'!$N$3:$N$1164)=VALUE($B$9))) *
            (IF($B$10="الكل",1, MONTH('ادخال البيانات'!$N$3:$N$1164)=VALUE($B$10))) *
            (IF($B$11="الكل",1, INT((DAY('ادخال البيانات'!$N$3:$N$1164)-1)/7)+1 = VALUE($B$11))),
            'ادخال البيانات'!$I$3:$I$1164
         ),
         ""
      ),
      IF(_xlpm.result="", "", _xlpm.result)
   )
)</f>
        <v/>
      </c>
      <c r="J943" s="27" t="str" cm="1">
        <f t="array" ref="J943">IF(
   A943="",
   "",
   _xlfn.LET(
      _xlpm.result,
      IFERROR(
         _xlfn.XLOOKUP(
            1,
            (Table8[رقم الصنف]=A943) *
            (IF($B$9="الكل",1, YEAR('ادخال البيانات'!$N$3:$N$1164)=VALUE($B$9))) *
            (IF($B$10="الكل",1, MONTH('ادخال البيانات'!$N$3:$N$1164)=VALUE($B$10))) *
            (IF($B$11="الكل",1, INT((DAY('ادخال البيانات'!$N$3:$N$1164)-1)/7)+1 = VALUE($B$11))),
            'ادخال البيانات'!$J$3:$J$1164
         ),
         ""
      ),
      IF(_xlpm.result="", "", _xlpm.result)
   )
)</f>
        <v/>
      </c>
      <c r="K943" s="27" t="str" cm="1">
        <f t="array" ref="K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3" s="27" t="str" cm="1">
        <f t="array" ref="L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3" s="27" t="str" cm="1">
        <f t="array" ref="M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3" s="28" t="str" cm="1">
        <f t="array" ref="N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3" s="28" t="str" cm="1">
        <f t="array" ref="O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3" s="27" t="str" cm="1">
        <f t="array" ref="P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Table8[جهة العطل]
         ),
         ""
      ),
      IF(_xlpm.result="", "", _xlpm.result)
   )
)</f>
        <v/>
      </c>
      <c r="Q943" s="27" t="str" cm="1">
        <f t="array" ref="Q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Table8[المركز]
         ),
         ""
      ),
      IF(_xlpm.result="", "", _xlpm.result)
   )
)</f>
        <v/>
      </c>
      <c r="R943" s="27" t="str" cm="1">
        <f t="array" ref="R943">IF(
   A943="",
   "",
   _xlfn.LET(
      _xlpm.result,
      IFERROR(
         _xlfn.XLOOKUP(
            1,
            (Table8[رقم الصنف]=A943) *
            (IF($B$9="الكل",1, YEAR('ادخال البيانات'!$N$3:$N$1164) = VALUE($B$9))) *
            (IF($B$10="الكل",1, MONTH('ادخال البيانات'!$N$3:$N$1164) = VALUE($B$10))) *
            (IF($B$11="الكل",1, INT((DAY('ادخال البيانات'!$N$3:$N$1164) - 1) / 7) + 1 = VALUE($B$11))),
            Table8[ملاحظة]
         ),
         ""
      ),
      IF(_xlpm.result="", "", _xlpm.result)
   )
)</f>
        <v/>
      </c>
      <c r="S943" s="46" t="str">
        <f t="shared" ca="1" si="15"/>
        <v/>
      </c>
    </row>
    <row r="944" spans="1:19" ht="15.6" thickTop="1" thickBot="1" x14ac:dyDescent="0.35">
      <c r="A944" s="39"/>
      <c r="B944" s="27" t="str" cm="1">
        <f t="array" ref="B944">IF(
   OR(A944="", $B$9="", $B$10="", $B$11=""),
   "",
   _xlfn.LET(
      _xlpm.result,
      IFERROR(
         _xlfn.XLOOKUP(
            1,
            (Table8[رقم الصنف]=A944)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4" s="27" t="str" cm="1">
        <f t="array" ref="C944">IF(
   A944="",
   "",
   _xlfn.LET(
      _xlpm.result,
      IFERROR(
         _xlfn.XLOOKUP(
            1,
            (Table8[رقم الصنف]=A944) *
            (IF($B$9="الكل",1, YEAR('ادخال البيانات'!$N$3:$N$1164) = VALUE($B$9))) *
            (IF($B$10="الكل",1, MONTH('ادخال البيانات'!$N$3:$N$1164) = VALUE($B$10))) *
            (IF($B$11="الكل",1, INT((DAY('ادخال البيانات'!$N$3:$N$1164)-1)/7)+1 = VALUE($B$11))),
            'ادخال البيانات'!$C$3:$C$1164
         ),
         ""
      ),
      IF(_xlpm.result="", "", _xlpm.result)
   )
)</f>
        <v/>
      </c>
      <c r="D944" s="27" t="str" cm="1">
        <f t="array" ref="D944">IF(
   OR(A944="", $B$9="", $B$10="", $B$11=""),
   "",
   _xlfn.LET(
      _xlpm.result,
      IFERROR(
         _xlfn.XLOOKUP(
            1,
            (Table8[رقم الصنف]=A944) *
            (IF($B$9="الكل",1, YEAR('ادخال البيانات'!$N$3:$N$1164)=VALUE($B$9))) *
            (IF($B$10="الكل",1, MONTH('ادخال البيانات'!$N$3:$N$1164)=VALUE($B$10))) *
            (IF($B$11="الكل",1, INT((DAY('ادخال البيانات'!$N$3:$N$1164)-1)/7)+1 = VALUE($B$11))),
            'ادخال البيانات'!$D$3:$D$1164
         ),
         ""
      ),
      IF(_xlpm.result="", "", _xlpm.result)
   )
)</f>
        <v/>
      </c>
      <c r="E944" s="27" t="str" cm="1">
        <f t="array" ref="E944">IF(
   A944="",
   "",
   _xlfn.LET(
      _xlpm.result,
      IFERROR(
         _xlfn.XLOOKUP(
            1,
            (Table8[رقم الصنف]=A944) *
            (IF($B$9="الكل",1, YEAR('ادخال البيانات'!$N$3:$N$1164)=VALUE($B$9))) *
            (IF($B$10="الكل",1, MONTH('ادخال البيانات'!$N$3:$N$1164)=VALUE($B$10))) *
            (IF($B$11="الكل",1, INT((DAY('ادخال البيانات'!$N$3:$N$1164)-1)/7)+1 = VALUE($B$11))),
            'ادخال البيانات'!$E$3:$E$1164
         ),
         ""
      ),
      IF(_xlpm.result="", "", _xlpm.result)
   )
)</f>
        <v/>
      </c>
      <c r="F944" s="27" t="str" cm="1">
        <f t="array" ref="F944">IF(
   A944="",
   "",
   _xlfn.LET(
      _xlpm.result,
      IFERROR(
         _xlfn.XLOOKUP(
            1,
            (Table8[رقم الصنف]=A944) *
            (IF($B$9="الكل",1, YEAR('ادخال البيانات'!$N$3:$N$1164) = VALUE($B$9))) *
            (IF($B$10="الكل",1, MONTH('ادخال البيانات'!$N$3:$N$1164) = VALUE($B$10))) *
            (IF($B$11="الكل",1, INT((DAY('ادخال البيانات'!$N$3:$N$1164)-1)/7)+1 = VALUE($B$11))),
            'ادخال البيانات'!$F$3:$F$1164
         ),
         ""
      ),
      IF(_xlpm.result="", "", _xlpm.result)
   )
)</f>
        <v/>
      </c>
      <c r="G944" s="27" t="str" cm="1">
        <f t="array" ref="G944">IF(
   A944="",
   "",
   _xlfn.LET(
      _xlpm.result,
      IFERROR(
         _xlfn.XLOOKUP(
            1,
            (Table8[رقم الصنف]=A944) *
            (IF($B$9="الكل",1, YEAR('ادخال البيانات'!$N$3:$N$1164)=VALUE($B$9))) *
            (IF($B$10="الكل",1, MONTH('ادخال البيانات'!$N$3:$N$1164)=VALUE($B$10))) *
            (IF($B$11="الكل",1, INT((DAY('ادخال البيانات'!$N$3:$N$1164)-1)/7)+1 = VALUE($B$11))),
            'ادخال البيانات'!$G$3:$G$1164
         ),
         ""
      ),
      IF(_xlpm.result="", "", _xlpm.result)
   )
)</f>
        <v/>
      </c>
      <c r="H944" s="27" t="str" cm="1">
        <f t="array" ref="H944">IF(
   A944="",
   "",
   _xlfn.LET(
      _xlpm.result,
      IFERROR(
         _xlfn.XLOOKUP(
            1,
            (Table8[رقم الصنف]=A944) *
            (IF($B$9="الكل",1, YEAR('ادخال البيانات'!$N$3:$N$1164)=VALUE($B$9))) *
            (IF($B$10="الكل",1, MONTH('ادخال البيانات'!$N$3:$N$1164)=VALUE($B$10))) *
            (IF($B$11="الكل",1, INT((DAY('ادخال البيانات'!$N$3:$N$1164)-1)/7)+1 = VALUE($B$11))),
            'ادخال البيانات'!$H$3:$H$1164
         ),
         ""
      ),
      IF(_xlpm.result="", "", _xlpm.result)
   )
)</f>
        <v/>
      </c>
      <c r="I944" s="27" t="str" cm="1">
        <f t="array" ref="I944">IF(
   A944="",
   "",
   _xlfn.LET(
      _xlpm.result,
      IFERROR(
         _xlfn.XLOOKUP(
            1,
            (Table8[رقم الصنف]=A944) *
            (IF($B$9="الكل",1, YEAR('ادخال البيانات'!$N$3:$N$1164)=VALUE($B$9))) *
            (IF($B$10="الكل",1, MONTH('ادخال البيانات'!$N$3:$N$1164)=VALUE($B$10))) *
            (IF($B$11="الكل",1, INT((DAY('ادخال البيانات'!$N$3:$N$1164)-1)/7)+1 = VALUE($B$11))),
            'ادخال البيانات'!$I$3:$I$1164
         ),
         ""
      ),
      IF(_xlpm.result="", "", _xlpm.result)
   )
)</f>
        <v/>
      </c>
      <c r="J944" s="27" t="str" cm="1">
        <f t="array" ref="J944">IF(
   A944="",
   "",
   _xlfn.LET(
      _xlpm.result,
      IFERROR(
         _xlfn.XLOOKUP(
            1,
            (Table8[رقم الصنف]=A944) *
            (IF($B$9="الكل",1, YEAR('ادخال البيانات'!$N$3:$N$1164)=VALUE($B$9))) *
            (IF($B$10="الكل",1, MONTH('ادخال البيانات'!$N$3:$N$1164)=VALUE($B$10))) *
            (IF($B$11="الكل",1, INT((DAY('ادخال البيانات'!$N$3:$N$1164)-1)/7)+1 = VALUE($B$11))),
            'ادخال البيانات'!$J$3:$J$1164
         ),
         ""
      ),
      IF(_xlpm.result="", "", _xlpm.result)
   )
)</f>
        <v/>
      </c>
      <c r="K944" s="27" t="str" cm="1">
        <f t="array" ref="K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4" s="27" t="str" cm="1">
        <f t="array" ref="L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4" s="27" t="str" cm="1">
        <f t="array" ref="M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4" s="28" t="str" cm="1">
        <f t="array" ref="N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4" s="28" t="str" cm="1">
        <f t="array" ref="O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4" s="27" t="str" cm="1">
        <f t="array" ref="P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Table8[جهة العطل]
         ),
         ""
      ),
      IF(_xlpm.result="", "", _xlpm.result)
   )
)</f>
        <v/>
      </c>
      <c r="Q944" s="27" t="str" cm="1">
        <f t="array" ref="Q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Table8[المركز]
         ),
         ""
      ),
      IF(_xlpm.result="", "", _xlpm.result)
   )
)</f>
        <v/>
      </c>
      <c r="R944" s="27" t="str" cm="1">
        <f t="array" ref="R944">IF(
   A944="",
   "",
   _xlfn.LET(
      _xlpm.result,
      IFERROR(
         _xlfn.XLOOKUP(
            1,
            (Table8[رقم الصنف]=A944) *
            (IF($B$9="الكل",1, YEAR('ادخال البيانات'!$N$3:$N$1164) = VALUE($B$9))) *
            (IF($B$10="الكل",1, MONTH('ادخال البيانات'!$N$3:$N$1164) = VALUE($B$10))) *
            (IF($B$11="الكل",1, INT((DAY('ادخال البيانات'!$N$3:$N$1164) - 1) / 7) + 1 = VALUE($B$11))),
            Table8[ملاحظة]
         ),
         ""
      ),
      IF(_xlpm.result="", "", _xlpm.result)
   )
)</f>
        <v/>
      </c>
      <c r="S944" s="46" t="str">
        <f t="shared" ca="1" si="15"/>
        <v/>
      </c>
    </row>
    <row r="945" spans="1:19" ht="15.6" thickTop="1" thickBot="1" x14ac:dyDescent="0.35">
      <c r="A945" s="39"/>
      <c r="B945" s="27" t="str" cm="1">
        <f t="array" ref="B945">IF(
   OR(A945="", $B$9="", $B$10="", $B$11=""),
   "",
   _xlfn.LET(
      _xlpm.result,
      IFERROR(
         _xlfn.XLOOKUP(
            1,
            (Table8[رقم الصنف]=A945)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5" s="27" t="str" cm="1">
        <f t="array" ref="C945">IF(
   A945="",
   "",
   _xlfn.LET(
      _xlpm.result,
      IFERROR(
         _xlfn.XLOOKUP(
            1,
            (Table8[رقم الصنف]=A945) *
            (IF($B$9="الكل",1, YEAR('ادخال البيانات'!$N$3:$N$1164) = VALUE($B$9))) *
            (IF($B$10="الكل",1, MONTH('ادخال البيانات'!$N$3:$N$1164) = VALUE($B$10))) *
            (IF($B$11="الكل",1, INT((DAY('ادخال البيانات'!$N$3:$N$1164)-1)/7)+1 = VALUE($B$11))),
            'ادخال البيانات'!$C$3:$C$1164
         ),
         ""
      ),
      IF(_xlpm.result="", "", _xlpm.result)
   )
)</f>
        <v/>
      </c>
      <c r="D945" s="27" t="str" cm="1">
        <f t="array" ref="D945">IF(
   OR(A945="", $B$9="", $B$10="", $B$11=""),
   "",
   _xlfn.LET(
      _xlpm.result,
      IFERROR(
         _xlfn.XLOOKUP(
            1,
            (Table8[رقم الصنف]=A945) *
            (IF($B$9="الكل",1, YEAR('ادخال البيانات'!$N$3:$N$1164)=VALUE($B$9))) *
            (IF($B$10="الكل",1, MONTH('ادخال البيانات'!$N$3:$N$1164)=VALUE($B$10))) *
            (IF($B$11="الكل",1, INT((DAY('ادخال البيانات'!$N$3:$N$1164)-1)/7)+1 = VALUE($B$11))),
            'ادخال البيانات'!$D$3:$D$1164
         ),
         ""
      ),
      IF(_xlpm.result="", "", _xlpm.result)
   )
)</f>
        <v/>
      </c>
      <c r="E945" s="27" t="str" cm="1">
        <f t="array" ref="E945">IF(
   A945="",
   "",
   _xlfn.LET(
      _xlpm.result,
      IFERROR(
         _xlfn.XLOOKUP(
            1,
            (Table8[رقم الصنف]=A945) *
            (IF($B$9="الكل",1, YEAR('ادخال البيانات'!$N$3:$N$1164)=VALUE($B$9))) *
            (IF($B$10="الكل",1, MONTH('ادخال البيانات'!$N$3:$N$1164)=VALUE($B$10))) *
            (IF($B$11="الكل",1, INT((DAY('ادخال البيانات'!$N$3:$N$1164)-1)/7)+1 = VALUE($B$11))),
            'ادخال البيانات'!$E$3:$E$1164
         ),
         ""
      ),
      IF(_xlpm.result="", "", _xlpm.result)
   )
)</f>
        <v/>
      </c>
      <c r="F945" s="27" t="str" cm="1">
        <f t="array" ref="F945">IF(
   A945="",
   "",
   _xlfn.LET(
      _xlpm.result,
      IFERROR(
         _xlfn.XLOOKUP(
            1,
            (Table8[رقم الصنف]=A945) *
            (IF($B$9="الكل",1, YEAR('ادخال البيانات'!$N$3:$N$1164) = VALUE($B$9))) *
            (IF($B$10="الكل",1, MONTH('ادخال البيانات'!$N$3:$N$1164) = VALUE($B$10))) *
            (IF($B$11="الكل",1, INT((DAY('ادخال البيانات'!$N$3:$N$1164)-1)/7)+1 = VALUE($B$11))),
            'ادخال البيانات'!$F$3:$F$1164
         ),
         ""
      ),
      IF(_xlpm.result="", "", _xlpm.result)
   )
)</f>
        <v/>
      </c>
      <c r="G945" s="27" t="str" cm="1">
        <f t="array" ref="G945">IF(
   A945="",
   "",
   _xlfn.LET(
      _xlpm.result,
      IFERROR(
         _xlfn.XLOOKUP(
            1,
            (Table8[رقم الصنف]=A945) *
            (IF($B$9="الكل",1, YEAR('ادخال البيانات'!$N$3:$N$1164)=VALUE($B$9))) *
            (IF($B$10="الكل",1, MONTH('ادخال البيانات'!$N$3:$N$1164)=VALUE($B$10))) *
            (IF($B$11="الكل",1, INT((DAY('ادخال البيانات'!$N$3:$N$1164)-1)/7)+1 = VALUE($B$11))),
            'ادخال البيانات'!$G$3:$G$1164
         ),
         ""
      ),
      IF(_xlpm.result="", "", _xlpm.result)
   )
)</f>
        <v/>
      </c>
      <c r="H945" s="27" t="str" cm="1">
        <f t="array" ref="H945">IF(
   A945="",
   "",
   _xlfn.LET(
      _xlpm.result,
      IFERROR(
         _xlfn.XLOOKUP(
            1,
            (Table8[رقم الصنف]=A945) *
            (IF($B$9="الكل",1, YEAR('ادخال البيانات'!$N$3:$N$1164)=VALUE($B$9))) *
            (IF($B$10="الكل",1, MONTH('ادخال البيانات'!$N$3:$N$1164)=VALUE($B$10))) *
            (IF($B$11="الكل",1, INT((DAY('ادخال البيانات'!$N$3:$N$1164)-1)/7)+1 = VALUE($B$11))),
            'ادخال البيانات'!$H$3:$H$1164
         ),
         ""
      ),
      IF(_xlpm.result="", "", _xlpm.result)
   )
)</f>
        <v/>
      </c>
      <c r="I945" s="27" t="str" cm="1">
        <f t="array" ref="I945">IF(
   A945="",
   "",
   _xlfn.LET(
      _xlpm.result,
      IFERROR(
         _xlfn.XLOOKUP(
            1,
            (Table8[رقم الصنف]=A945) *
            (IF($B$9="الكل",1, YEAR('ادخال البيانات'!$N$3:$N$1164)=VALUE($B$9))) *
            (IF($B$10="الكل",1, MONTH('ادخال البيانات'!$N$3:$N$1164)=VALUE($B$10))) *
            (IF($B$11="الكل",1, INT((DAY('ادخال البيانات'!$N$3:$N$1164)-1)/7)+1 = VALUE($B$11))),
            'ادخال البيانات'!$I$3:$I$1164
         ),
         ""
      ),
      IF(_xlpm.result="", "", _xlpm.result)
   )
)</f>
        <v/>
      </c>
      <c r="J945" s="27" t="str" cm="1">
        <f t="array" ref="J945">IF(
   A945="",
   "",
   _xlfn.LET(
      _xlpm.result,
      IFERROR(
         _xlfn.XLOOKUP(
            1,
            (Table8[رقم الصنف]=A945) *
            (IF($B$9="الكل",1, YEAR('ادخال البيانات'!$N$3:$N$1164)=VALUE($B$9))) *
            (IF($B$10="الكل",1, MONTH('ادخال البيانات'!$N$3:$N$1164)=VALUE($B$10))) *
            (IF($B$11="الكل",1, INT((DAY('ادخال البيانات'!$N$3:$N$1164)-1)/7)+1 = VALUE($B$11))),
            'ادخال البيانات'!$J$3:$J$1164
         ),
         ""
      ),
      IF(_xlpm.result="", "", _xlpm.result)
   )
)</f>
        <v/>
      </c>
      <c r="K945" s="27" t="str" cm="1">
        <f t="array" ref="K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5" s="27" t="str" cm="1">
        <f t="array" ref="L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5" s="27" t="str" cm="1">
        <f t="array" ref="M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5" s="28" t="str" cm="1">
        <f t="array" ref="N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5" s="28" t="str" cm="1">
        <f t="array" ref="O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5" s="27" t="str" cm="1">
        <f t="array" ref="P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Table8[جهة العطل]
         ),
         ""
      ),
      IF(_xlpm.result="", "", _xlpm.result)
   )
)</f>
        <v/>
      </c>
      <c r="Q945" s="27" t="str" cm="1">
        <f t="array" ref="Q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Table8[المركز]
         ),
         ""
      ),
      IF(_xlpm.result="", "", _xlpm.result)
   )
)</f>
        <v/>
      </c>
      <c r="R945" s="27" t="str" cm="1">
        <f t="array" ref="R945">IF(
   A945="",
   "",
   _xlfn.LET(
      _xlpm.result,
      IFERROR(
         _xlfn.XLOOKUP(
            1,
            (Table8[رقم الصنف]=A945) *
            (IF($B$9="الكل",1, YEAR('ادخال البيانات'!$N$3:$N$1164) = VALUE($B$9))) *
            (IF($B$10="الكل",1, MONTH('ادخال البيانات'!$N$3:$N$1164) = VALUE($B$10))) *
            (IF($B$11="الكل",1, INT((DAY('ادخال البيانات'!$N$3:$N$1164) - 1) / 7) + 1 = VALUE($B$11))),
            Table8[ملاحظة]
         ),
         ""
      ),
      IF(_xlpm.result="", "", _xlpm.result)
   )
)</f>
        <v/>
      </c>
      <c r="S945" s="46" t="str">
        <f t="shared" ca="1" si="15"/>
        <v/>
      </c>
    </row>
    <row r="946" spans="1:19" ht="15.6" thickTop="1" thickBot="1" x14ac:dyDescent="0.35">
      <c r="A946" s="39"/>
      <c r="B946" s="27" t="str" cm="1">
        <f t="array" ref="B946">IF(
   OR(A946="", $B$9="", $B$10="", $B$11=""),
   "",
   _xlfn.LET(
      _xlpm.result,
      IFERROR(
         _xlfn.XLOOKUP(
            1,
            (Table8[رقم الصنف]=A946)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6" s="27" t="str" cm="1">
        <f t="array" ref="C946">IF(
   A946="",
   "",
   _xlfn.LET(
      _xlpm.result,
      IFERROR(
         _xlfn.XLOOKUP(
            1,
            (Table8[رقم الصنف]=A946) *
            (IF($B$9="الكل",1, YEAR('ادخال البيانات'!$N$3:$N$1164) = VALUE($B$9))) *
            (IF($B$10="الكل",1, MONTH('ادخال البيانات'!$N$3:$N$1164) = VALUE($B$10))) *
            (IF($B$11="الكل",1, INT((DAY('ادخال البيانات'!$N$3:$N$1164)-1)/7)+1 = VALUE($B$11))),
            'ادخال البيانات'!$C$3:$C$1164
         ),
         ""
      ),
      IF(_xlpm.result="", "", _xlpm.result)
   )
)</f>
        <v/>
      </c>
      <c r="D946" s="27" t="str" cm="1">
        <f t="array" ref="D946">IF(
   OR(A946="", $B$9="", $B$10="", $B$11=""),
   "",
   _xlfn.LET(
      _xlpm.result,
      IFERROR(
         _xlfn.XLOOKUP(
            1,
            (Table8[رقم الصنف]=A946) *
            (IF($B$9="الكل",1, YEAR('ادخال البيانات'!$N$3:$N$1164)=VALUE($B$9))) *
            (IF($B$10="الكل",1, MONTH('ادخال البيانات'!$N$3:$N$1164)=VALUE($B$10))) *
            (IF($B$11="الكل",1, INT((DAY('ادخال البيانات'!$N$3:$N$1164)-1)/7)+1 = VALUE($B$11))),
            'ادخال البيانات'!$D$3:$D$1164
         ),
         ""
      ),
      IF(_xlpm.result="", "", _xlpm.result)
   )
)</f>
        <v/>
      </c>
      <c r="E946" s="27" t="str" cm="1">
        <f t="array" ref="E946">IF(
   A946="",
   "",
   _xlfn.LET(
      _xlpm.result,
      IFERROR(
         _xlfn.XLOOKUP(
            1,
            (Table8[رقم الصنف]=A946) *
            (IF($B$9="الكل",1, YEAR('ادخال البيانات'!$N$3:$N$1164)=VALUE($B$9))) *
            (IF($B$10="الكل",1, MONTH('ادخال البيانات'!$N$3:$N$1164)=VALUE($B$10))) *
            (IF($B$11="الكل",1, INT((DAY('ادخال البيانات'!$N$3:$N$1164)-1)/7)+1 = VALUE($B$11))),
            'ادخال البيانات'!$E$3:$E$1164
         ),
         ""
      ),
      IF(_xlpm.result="", "", _xlpm.result)
   )
)</f>
        <v/>
      </c>
      <c r="F946" s="27" t="str" cm="1">
        <f t="array" ref="F946">IF(
   A946="",
   "",
   _xlfn.LET(
      _xlpm.result,
      IFERROR(
         _xlfn.XLOOKUP(
            1,
            (Table8[رقم الصنف]=A946) *
            (IF($B$9="الكل",1, YEAR('ادخال البيانات'!$N$3:$N$1164) = VALUE($B$9))) *
            (IF($B$10="الكل",1, MONTH('ادخال البيانات'!$N$3:$N$1164) = VALUE($B$10))) *
            (IF($B$11="الكل",1, INT((DAY('ادخال البيانات'!$N$3:$N$1164)-1)/7)+1 = VALUE($B$11))),
            'ادخال البيانات'!$F$3:$F$1164
         ),
         ""
      ),
      IF(_xlpm.result="", "", _xlpm.result)
   )
)</f>
        <v/>
      </c>
      <c r="G946" s="27" t="str" cm="1">
        <f t="array" ref="G946">IF(
   A946="",
   "",
   _xlfn.LET(
      _xlpm.result,
      IFERROR(
         _xlfn.XLOOKUP(
            1,
            (Table8[رقم الصنف]=A946) *
            (IF($B$9="الكل",1, YEAR('ادخال البيانات'!$N$3:$N$1164)=VALUE($B$9))) *
            (IF($B$10="الكل",1, MONTH('ادخال البيانات'!$N$3:$N$1164)=VALUE($B$10))) *
            (IF($B$11="الكل",1, INT((DAY('ادخال البيانات'!$N$3:$N$1164)-1)/7)+1 = VALUE($B$11))),
            'ادخال البيانات'!$G$3:$G$1164
         ),
         ""
      ),
      IF(_xlpm.result="", "", _xlpm.result)
   )
)</f>
        <v/>
      </c>
      <c r="H946" s="27" t="str" cm="1">
        <f t="array" ref="H946">IF(
   A946="",
   "",
   _xlfn.LET(
      _xlpm.result,
      IFERROR(
         _xlfn.XLOOKUP(
            1,
            (Table8[رقم الصنف]=A946) *
            (IF($B$9="الكل",1, YEAR('ادخال البيانات'!$N$3:$N$1164)=VALUE($B$9))) *
            (IF($B$10="الكل",1, MONTH('ادخال البيانات'!$N$3:$N$1164)=VALUE($B$10))) *
            (IF($B$11="الكل",1, INT((DAY('ادخال البيانات'!$N$3:$N$1164)-1)/7)+1 = VALUE($B$11))),
            'ادخال البيانات'!$H$3:$H$1164
         ),
         ""
      ),
      IF(_xlpm.result="", "", _xlpm.result)
   )
)</f>
        <v/>
      </c>
      <c r="I946" s="27" t="str" cm="1">
        <f t="array" ref="I946">IF(
   A946="",
   "",
   _xlfn.LET(
      _xlpm.result,
      IFERROR(
         _xlfn.XLOOKUP(
            1,
            (Table8[رقم الصنف]=A946) *
            (IF($B$9="الكل",1, YEAR('ادخال البيانات'!$N$3:$N$1164)=VALUE($B$9))) *
            (IF($B$10="الكل",1, MONTH('ادخال البيانات'!$N$3:$N$1164)=VALUE($B$10))) *
            (IF($B$11="الكل",1, INT((DAY('ادخال البيانات'!$N$3:$N$1164)-1)/7)+1 = VALUE($B$11))),
            'ادخال البيانات'!$I$3:$I$1164
         ),
         ""
      ),
      IF(_xlpm.result="", "", _xlpm.result)
   )
)</f>
        <v/>
      </c>
      <c r="J946" s="27" t="str" cm="1">
        <f t="array" ref="J946">IF(
   A946="",
   "",
   _xlfn.LET(
      _xlpm.result,
      IFERROR(
         _xlfn.XLOOKUP(
            1,
            (Table8[رقم الصنف]=A946) *
            (IF($B$9="الكل",1, YEAR('ادخال البيانات'!$N$3:$N$1164)=VALUE($B$9))) *
            (IF($B$10="الكل",1, MONTH('ادخال البيانات'!$N$3:$N$1164)=VALUE($B$10))) *
            (IF($B$11="الكل",1, INT((DAY('ادخال البيانات'!$N$3:$N$1164)-1)/7)+1 = VALUE($B$11))),
            'ادخال البيانات'!$J$3:$J$1164
         ),
         ""
      ),
      IF(_xlpm.result="", "", _xlpm.result)
   )
)</f>
        <v/>
      </c>
      <c r="K946" s="27" t="str" cm="1">
        <f t="array" ref="K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6" s="27" t="str" cm="1">
        <f t="array" ref="L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6" s="27" t="str" cm="1">
        <f t="array" ref="M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6" s="28" t="str" cm="1">
        <f t="array" ref="N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6" s="28" t="str" cm="1">
        <f t="array" ref="O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6" s="27" t="str" cm="1">
        <f t="array" ref="P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Table8[جهة العطل]
         ),
         ""
      ),
      IF(_xlpm.result="", "", _xlpm.result)
   )
)</f>
        <v/>
      </c>
      <c r="Q946" s="27" t="str" cm="1">
        <f t="array" ref="Q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Table8[المركز]
         ),
         ""
      ),
      IF(_xlpm.result="", "", _xlpm.result)
   )
)</f>
        <v/>
      </c>
      <c r="R946" s="27" t="str" cm="1">
        <f t="array" ref="R946">IF(
   A946="",
   "",
   _xlfn.LET(
      _xlpm.result,
      IFERROR(
         _xlfn.XLOOKUP(
            1,
            (Table8[رقم الصنف]=A946) *
            (IF($B$9="الكل",1, YEAR('ادخال البيانات'!$N$3:$N$1164) = VALUE($B$9))) *
            (IF($B$10="الكل",1, MONTH('ادخال البيانات'!$N$3:$N$1164) = VALUE($B$10))) *
            (IF($B$11="الكل",1, INT((DAY('ادخال البيانات'!$N$3:$N$1164) - 1) / 7) + 1 = VALUE($B$11))),
            Table8[ملاحظة]
         ),
         ""
      ),
      IF(_xlpm.result="", "", _xlpm.result)
   )
)</f>
        <v/>
      </c>
      <c r="S946" s="46" t="str">
        <f t="shared" ca="1" si="15"/>
        <v/>
      </c>
    </row>
    <row r="947" spans="1:19" ht="15.6" thickTop="1" thickBot="1" x14ac:dyDescent="0.35">
      <c r="A947" s="39"/>
      <c r="B947" s="27" t="str" cm="1">
        <f t="array" ref="B947">IF(
   OR(A947="", $B$9="", $B$10="", $B$11=""),
   "",
   _xlfn.LET(
      _xlpm.result,
      IFERROR(
         _xlfn.XLOOKUP(
            1,
            (Table8[رقم الصنف]=A947)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7" s="27" t="str" cm="1">
        <f t="array" ref="C947">IF(
   A947="",
   "",
   _xlfn.LET(
      _xlpm.result,
      IFERROR(
         _xlfn.XLOOKUP(
            1,
            (Table8[رقم الصنف]=A947) *
            (IF($B$9="الكل",1, YEAR('ادخال البيانات'!$N$3:$N$1164) = VALUE($B$9))) *
            (IF($B$10="الكل",1, MONTH('ادخال البيانات'!$N$3:$N$1164) = VALUE($B$10))) *
            (IF($B$11="الكل",1, INT((DAY('ادخال البيانات'!$N$3:$N$1164)-1)/7)+1 = VALUE($B$11))),
            'ادخال البيانات'!$C$3:$C$1164
         ),
         ""
      ),
      IF(_xlpm.result="", "", _xlpm.result)
   )
)</f>
        <v/>
      </c>
      <c r="D947" s="27" t="str" cm="1">
        <f t="array" ref="D947">IF(
   OR(A947="", $B$9="", $B$10="", $B$11=""),
   "",
   _xlfn.LET(
      _xlpm.result,
      IFERROR(
         _xlfn.XLOOKUP(
            1,
            (Table8[رقم الصنف]=A947) *
            (IF($B$9="الكل",1, YEAR('ادخال البيانات'!$N$3:$N$1164)=VALUE($B$9))) *
            (IF($B$10="الكل",1, MONTH('ادخال البيانات'!$N$3:$N$1164)=VALUE($B$10))) *
            (IF($B$11="الكل",1, INT((DAY('ادخال البيانات'!$N$3:$N$1164)-1)/7)+1 = VALUE($B$11))),
            'ادخال البيانات'!$D$3:$D$1164
         ),
         ""
      ),
      IF(_xlpm.result="", "", _xlpm.result)
   )
)</f>
        <v/>
      </c>
      <c r="E947" s="27" t="str" cm="1">
        <f t="array" ref="E947">IF(
   A947="",
   "",
   _xlfn.LET(
      _xlpm.result,
      IFERROR(
         _xlfn.XLOOKUP(
            1,
            (Table8[رقم الصنف]=A947) *
            (IF($B$9="الكل",1, YEAR('ادخال البيانات'!$N$3:$N$1164)=VALUE($B$9))) *
            (IF($B$10="الكل",1, MONTH('ادخال البيانات'!$N$3:$N$1164)=VALUE($B$10))) *
            (IF($B$11="الكل",1, INT((DAY('ادخال البيانات'!$N$3:$N$1164)-1)/7)+1 = VALUE($B$11))),
            'ادخال البيانات'!$E$3:$E$1164
         ),
         ""
      ),
      IF(_xlpm.result="", "", _xlpm.result)
   )
)</f>
        <v/>
      </c>
      <c r="F947" s="27" t="str" cm="1">
        <f t="array" ref="F947">IF(
   A947="",
   "",
   _xlfn.LET(
      _xlpm.result,
      IFERROR(
         _xlfn.XLOOKUP(
            1,
            (Table8[رقم الصنف]=A947) *
            (IF($B$9="الكل",1, YEAR('ادخال البيانات'!$N$3:$N$1164) = VALUE($B$9))) *
            (IF($B$10="الكل",1, MONTH('ادخال البيانات'!$N$3:$N$1164) = VALUE($B$10))) *
            (IF($B$11="الكل",1, INT((DAY('ادخال البيانات'!$N$3:$N$1164)-1)/7)+1 = VALUE($B$11))),
            'ادخال البيانات'!$F$3:$F$1164
         ),
         ""
      ),
      IF(_xlpm.result="", "", _xlpm.result)
   )
)</f>
        <v/>
      </c>
      <c r="G947" s="27" t="str" cm="1">
        <f t="array" ref="G947">IF(
   A947="",
   "",
   _xlfn.LET(
      _xlpm.result,
      IFERROR(
         _xlfn.XLOOKUP(
            1,
            (Table8[رقم الصنف]=A947) *
            (IF($B$9="الكل",1, YEAR('ادخال البيانات'!$N$3:$N$1164)=VALUE($B$9))) *
            (IF($B$10="الكل",1, MONTH('ادخال البيانات'!$N$3:$N$1164)=VALUE($B$10))) *
            (IF($B$11="الكل",1, INT((DAY('ادخال البيانات'!$N$3:$N$1164)-1)/7)+1 = VALUE($B$11))),
            'ادخال البيانات'!$G$3:$G$1164
         ),
         ""
      ),
      IF(_xlpm.result="", "", _xlpm.result)
   )
)</f>
        <v/>
      </c>
      <c r="H947" s="27" t="str" cm="1">
        <f t="array" ref="H947">IF(
   A947="",
   "",
   _xlfn.LET(
      _xlpm.result,
      IFERROR(
         _xlfn.XLOOKUP(
            1,
            (Table8[رقم الصنف]=A947) *
            (IF($B$9="الكل",1, YEAR('ادخال البيانات'!$N$3:$N$1164)=VALUE($B$9))) *
            (IF($B$10="الكل",1, MONTH('ادخال البيانات'!$N$3:$N$1164)=VALUE($B$10))) *
            (IF($B$11="الكل",1, INT((DAY('ادخال البيانات'!$N$3:$N$1164)-1)/7)+1 = VALUE($B$11))),
            'ادخال البيانات'!$H$3:$H$1164
         ),
         ""
      ),
      IF(_xlpm.result="", "", _xlpm.result)
   )
)</f>
        <v/>
      </c>
      <c r="I947" s="27" t="str" cm="1">
        <f t="array" ref="I947">IF(
   A947="",
   "",
   _xlfn.LET(
      _xlpm.result,
      IFERROR(
         _xlfn.XLOOKUP(
            1,
            (Table8[رقم الصنف]=A947) *
            (IF($B$9="الكل",1, YEAR('ادخال البيانات'!$N$3:$N$1164)=VALUE($B$9))) *
            (IF($B$10="الكل",1, MONTH('ادخال البيانات'!$N$3:$N$1164)=VALUE($B$10))) *
            (IF($B$11="الكل",1, INT((DAY('ادخال البيانات'!$N$3:$N$1164)-1)/7)+1 = VALUE($B$11))),
            'ادخال البيانات'!$I$3:$I$1164
         ),
         ""
      ),
      IF(_xlpm.result="", "", _xlpm.result)
   )
)</f>
        <v/>
      </c>
      <c r="J947" s="27" t="str" cm="1">
        <f t="array" ref="J947">IF(
   A947="",
   "",
   _xlfn.LET(
      _xlpm.result,
      IFERROR(
         _xlfn.XLOOKUP(
            1,
            (Table8[رقم الصنف]=A947) *
            (IF($B$9="الكل",1, YEAR('ادخال البيانات'!$N$3:$N$1164)=VALUE($B$9))) *
            (IF($B$10="الكل",1, MONTH('ادخال البيانات'!$N$3:$N$1164)=VALUE($B$10))) *
            (IF($B$11="الكل",1, INT((DAY('ادخال البيانات'!$N$3:$N$1164)-1)/7)+1 = VALUE($B$11))),
            'ادخال البيانات'!$J$3:$J$1164
         ),
         ""
      ),
      IF(_xlpm.result="", "", _xlpm.result)
   )
)</f>
        <v/>
      </c>
      <c r="K947" s="27" t="str" cm="1">
        <f t="array" ref="K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7" s="27" t="str" cm="1">
        <f t="array" ref="L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7" s="27" t="str" cm="1">
        <f t="array" ref="M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7" s="28" t="str" cm="1">
        <f t="array" ref="N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7" s="28" t="str" cm="1">
        <f t="array" ref="O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7" s="27" t="str" cm="1">
        <f t="array" ref="P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Table8[جهة العطل]
         ),
         ""
      ),
      IF(_xlpm.result="", "", _xlpm.result)
   )
)</f>
        <v/>
      </c>
      <c r="Q947" s="27" t="str" cm="1">
        <f t="array" ref="Q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Table8[المركز]
         ),
         ""
      ),
      IF(_xlpm.result="", "", _xlpm.result)
   )
)</f>
        <v/>
      </c>
      <c r="R947" s="27" t="str" cm="1">
        <f t="array" ref="R947">IF(
   A947="",
   "",
   _xlfn.LET(
      _xlpm.result,
      IFERROR(
         _xlfn.XLOOKUP(
            1,
            (Table8[رقم الصنف]=A947) *
            (IF($B$9="الكل",1, YEAR('ادخال البيانات'!$N$3:$N$1164) = VALUE($B$9))) *
            (IF($B$10="الكل",1, MONTH('ادخال البيانات'!$N$3:$N$1164) = VALUE($B$10))) *
            (IF($B$11="الكل",1, INT((DAY('ادخال البيانات'!$N$3:$N$1164) - 1) / 7) + 1 = VALUE($B$11))),
            Table8[ملاحظة]
         ),
         ""
      ),
      IF(_xlpm.result="", "", _xlpm.result)
   )
)</f>
        <v/>
      </c>
      <c r="S947" s="46" t="str">
        <f t="shared" ca="1" si="15"/>
        <v/>
      </c>
    </row>
    <row r="948" spans="1:19" ht="15.6" thickTop="1" thickBot="1" x14ac:dyDescent="0.35">
      <c r="A948" s="39"/>
      <c r="B948" s="27" t="str" cm="1">
        <f t="array" ref="B948">IF(
   OR(A948="", $B$9="", $B$10="", $B$11=""),
   "",
   _xlfn.LET(
      _xlpm.result,
      IFERROR(
         _xlfn.XLOOKUP(
            1,
            (Table8[رقم الصنف]=A948)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8" s="27" t="str" cm="1">
        <f t="array" ref="C948">IF(
   A948="",
   "",
   _xlfn.LET(
      _xlpm.result,
      IFERROR(
         _xlfn.XLOOKUP(
            1,
            (Table8[رقم الصنف]=A948) *
            (IF($B$9="الكل",1, YEAR('ادخال البيانات'!$N$3:$N$1164) = VALUE($B$9))) *
            (IF($B$10="الكل",1, MONTH('ادخال البيانات'!$N$3:$N$1164) = VALUE($B$10))) *
            (IF($B$11="الكل",1, INT((DAY('ادخال البيانات'!$N$3:$N$1164)-1)/7)+1 = VALUE($B$11))),
            'ادخال البيانات'!$C$3:$C$1164
         ),
         ""
      ),
      IF(_xlpm.result="", "", _xlpm.result)
   )
)</f>
        <v/>
      </c>
      <c r="D948" s="27" t="str" cm="1">
        <f t="array" ref="D948">IF(
   OR(A948="", $B$9="", $B$10="", $B$11=""),
   "",
   _xlfn.LET(
      _xlpm.result,
      IFERROR(
         _xlfn.XLOOKUP(
            1,
            (Table8[رقم الصنف]=A948) *
            (IF($B$9="الكل",1, YEAR('ادخال البيانات'!$N$3:$N$1164)=VALUE($B$9))) *
            (IF($B$10="الكل",1, MONTH('ادخال البيانات'!$N$3:$N$1164)=VALUE($B$10))) *
            (IF($B$11="الكل",1, INT((DAY('ادخال البيانات'!$N$3:$N$1164)-1)/7)+1 = VALUE($B$11))),
            'ادخال البيانات'!$D$3:$D$1164
         ),
         ""
      ),
      IF(_xlpm.result="", "", _xlpm.result)
   )
)</f>
        <v/>
      </c>
      <c r="E948" s="27" t="str" cm="1">
        <f t="array" ref="E948">IF(
   A948="",
   "",
   _xlfn.LET(
      _xlpm.result,
      IFERROR(
         _xlfn.XLOOKUP(
            1,
            (Table8[رقم الصنف]=A948) *
            (IF($B$9="الكل",1, YEAR('ادخال البيانات'!$N$3:$N$1164)=VALUE($B$9))) *
            (IF($B$10="الكل",1, MONTH('ادخال البيانات'!$N$3:$N$1164)=VALUE($B$10))) *
            (IF($B$11="الكل",1, INT((DAY('ادخال البيانات'!$N$3:$N$1164)-1)/7)+1 = VALUE($B$11))),
            'ادخال البيانات'!$E$3:$E$1164
         ),
         ""
      ),
      IF(_xlpm.result="", "", _xlpm.result)
   )
)</f>
        <v/>
      </c>
      <c r="F948" s="27" t="str" cm="1">
        <f t="array" ref="F948">IF(
   A948="",
   "",
   _xlfn.LET(
      _xlpm.result,
      IFERROR(
         _xlfn.XLOOKUP(
            1,
            (Table8[رقم الصنف]=A948) *
            (IF($B$9="الكل",1, YEAR('ادخال البيانات'!$N$3:$N$1164) = VALUE($B$9))) *
            (IF($B$10="الكل",1, MONTH('ادخال البيانات'!$N$3:$N$1164) = VALUE($B$10))) *
            (IF($B$11="الكل",1, INT((DAY('ادخال البيانات'!$N$3:$N$1164)-1)/7)+1 = VALUE($B$11))),
            'ادخال البيانات'!$F$3:$F$1164
         ),
         ""
      ),
      IF(_xlpm.result="", "", _xlpm.result)
   )
)</f>
        <v/>
      </c>
      <c r="G948" s="27" t="str" cm="1">
        <f t="array" ref="G948">IF(
   A948="",
   "",
   _xlfn.LET(
      _xlpm.result,
      IFERROR(
         _xlfn.XLOOKUP(
            1,
            (Table8[رقم الصنف]=A948) *
            (IF($B$9="الكل",1, YEAR('ادخال البيانات'!$N$3:$N$1164)=VALUE($B$9))) *
            (IF($B$10="الكل",1, MONTH('ادخال البيانات'!$N$3:$N$1164)=VALUE($B$10))) *
            (IF($B$11="الكل",1, INT((DAY('ادخال البيانات'!$N$3:$N$1164)-1)/7)+1 = VALUE($B$11))),
            'ادخال البيانات'!$G$3:$G$1164
         ),
         ""
      ),
      IF(_xlpm.result="", "", _xlpm.result)
   )
)</f>
        <v/>
      </c>
      <c r="H948" s="27" t="str" cm="1">
        <f t="array" ref="H948">IF(
   A948="",
   "",
   _xlfn.LET(
      _xlpm.result,
      IFERROR(
         _xlfn.XLOOKUP(
            1,
            (Table8[رقم الصنف]=A948) *
            (IF($B$9="الكل",1, YEAR('ادخال البيانات'!$N$3:$N$1164)=VALUE($B$9))) *
            (IF($B$10="الكل",1, MONTH('ادخال البيانات'!$N$3:$N$1164)=VALUE($B$10))) *
            (IF($B$11="الكل",1, INT((DAY('ادخال البيانات'!$N$3:$N$1164)-1)/7)+1 = VALUE($B$11))),
            'ادخال البيانات'!$H$3:$H$1164
         ),
         ""
      ),
      IF(_xlpm.result="", "", _xlpm.result)
   )
)</f>
        <v/>
      </c>
      <c r="I948" s="27" t="str" cm="1">
        <f t="array" ref="I948">IF(
   A948="",
   "",
   _xlfn.LET(
      _xlpm.result,
      IFERROR(
         _xlfn.XLOOKUP(
            1,
            (Table8[رقم الصنف]=A948) *
            (IF($B$9="الكل",1, YEAR('ادخال البيانات'!$N$3:$N$1164)=VALUE($B$9))) *
            (IF($B$10="الكل",1, MONTH('ادخال البيانات'!$N$3:$N$1164)=VALUE($B$10))) *
            (IF($B$11="الكل",1, INT((DAY('ادخال البيانات'!$N$3:$N$1164)-1)/7)+1 = VALUE($B$11))),
            'ادخال البيانات'!$I$3:$I$1164
         ),
         ""
      ),
      IF(_xlpm.result="", "", _xlpm.result)
   )
)</f>
        <v/>
      </c>
      <c r="J948" s="27" t="str" cm="1">
        <f t="array" ref="J948">IF(
   A948="",
   "",
   _xlfn.LET(
      _xlpm.result,
      IFERROR(
         _xlfn.XLOOKUP(
            1,
            (Table8[رقم الصنف]=A948) *
            (IF($B$9="الكل",1, YEAR('ادخال البيانات'!$N$3:$N$1164)=VALUE($B$9))) *
            (IF($B$10="الكل",1, MONTH('ادخال البيانات'!$N$3:$N$1164)=VALUE($B$10))) *
            (IF($B$11="الكل",1, INT((DAY('ادخال البيانات'!$N$3:$N$1164)-1)/7)+1 = VALUE($B$11))),
            'ادخال البيانات'!$J$3:$J$1164
         ),
         ""
      ),
      IF(_xlpm.result="", "", _xlpm.result)
   )
)</f>
        <v/>
      </c>
      <c r="K948" s="27" t="str" cm="1">
        <f t="array" ref="K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8" s="27" t="str" cm="1">
        <f t="array" ref="L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8" s="27" t="str" cm="1">
        <f t="array" ref="M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8" s="28" t="str" cm="1">
        <f t="array" ref="N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8" s="28" t="str" cm="1">
        <f t="array" ref="O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8" s="27" t="str" cm="1">
        <f t="array" ref="P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Table8[جهة العطل]
         ),
         ""
      ),
      IF(_xlpm.result="", "", _xlpm.result)
   )
)</f>
        <v/>
      </c>
      <c r="Q948" s="27" t="str" cm="1">
        <f t="array" ref="Q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Table8[المركز]
         ),
         ""
      ),
      IF(_xlpm.result="", "", _xlpm.result)
   )
)</f>
        <v/>
      </c>
      <c r="R948" s="27" t="str" cm="1">
        <f t="array" ref="R948">IF(
   A948="",
   "",
   _xlfn.LET(
      _xlpm.result,
      IFERROR(
         _xlfn.XLOOKUP(
            1,
            (Table8[رقم الصنف]=A948) *
            (IF($B$9="الكل",1, YEAR('ادخال البيانات'!$N$3:$N$1164) = VALUE($B$9))) *
            (IF($B$10="الكل",1, MONTH('ادخال البيانات'!$N$3:$N$1164) = VALUE($B$10))) *
            (IF($B$11="الكل",1, INT((DAY('ادخال البيانات'!$N$3:$N$1164) - 1) / 7) + 1 = VALUE($B$11))),
            Table8[ملاحظة]
         ),
         ""
      ),
      IF(_xlpm.result="", "", _xlpm.result)
   )
)</f>
        <v/>
      </c>
      <c r="S948" s="46" t="str">
        <f t="shared" ca="1" si="15"/>
        <v/>
      </c>
    </row>
    <row r="949" spans="1:19" ht="15.6" thickTop="1" thickBot="1" x14ac:dyDescent="0.35">
      <c r="A949" s="39"/>
      <c r="B949" s="27" t="str" cm="1">
        <f t="array" ref="B949">IF(
   OR(A949="", $B$9="", $B$10="", $B$11=""),
   "",
   _xlfn.LET(
      _xlpm.result,
      IFERROR(
         _xlfn.XLOOKUP(
            1,
            (Table8[رقم الصنف]=A949)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49" s="27" t="str" cm="1">
        <f t="array" ref="C949">IF(
   A949="",
   "",
   _xlfn.LET(
      _xlpm.result,
      IFERROR(
         _xlfn.XLOOKUP(
            1,
            (Table8[رقم الصنف]=A949) *
            (IF($B$9="الكل",1, YEAR('ادخال البيانات'!$N$3:$N$1164) = VALUE($B$9))) *
            (IF($B$10="الكل",1, MONTH('ادخال البيانات'!$N$3:$N$1164) = VALUE($B$10))) *
            (IF($B$11="الكل",1, INT((DAY('ادخال البيانات'!$N$3:$N$1164)-1)/7)+1 = VALUE($B$11))),
            'ادخال البيانات'!$C$3:$C$1164
         ),
         ""
      ),
      IF(_xlpm.result="", "", _xlpm.result)
   )
)</f>
        <v/>
      </c>
      <c r="D949" s="27" t="str" cm="1">
        <f t="array" ref="D949">IF(
   OR(A949="", $B$9="", $B$10="", $B$11=""),
   "",
   _xlfn.LET(
      _xlpm.result,
      IFERROR(
         _xlfn.XLOOKUP(
            1,
            (Table8[رقم الصنف]=A949) *
            (IF($B$9="الكل",1, YEAR('ادخال البيانات'!$N$3:$N$1164)=VALUE($B$9))) *
            (IF($B$10="الكل",1, MONTH('ادخال البيانات'!$N$3:$N$1164)=VALUE($B$10))) *
            (IF($B$11="الكل",1, INT((DAY('ادخال البيانات'!$N$3:$N$1164)-1)/7)+1 = VALUE($B$11))),
            'ادخال البيانات'!$D$3:$D$1164
         ),
         ""
      ),
      IF(_xlpm.result="", "", _xlpm.result)
   )
)</f>
        <v/>
      </c>
      <c r="E949" s="27" t="str" cm="1">
        <f t="array" ref="E949">IF(
   A949="",
   "",
   _xlfn.LET(
      _xlpm.result,
      IFERROR(
         _xlfn.XLOOKUP(
            1,
            (Table8[رقم الصنف]=A949) *
            (IF($B$9="الكل",1, YEAR('ادخال البيانات'!$N$3:$N$1164)=VALUE($B$9))) *
            (IF($B$10="الكل",1, MONTH('ادخال البيانات'!$N$3:$N$1164)=VALUE($B$10))) *
            (IF($B$11="الكل",1, INT((DAY('ادخال البيانات'!$N$3:$N$1164)-1)/7)+1 = VALUE($B$11))),
            'ادخال البيانات'!$E$3:$E$1164
         ),
         ""
      ),
      IF(_xlpm.result="", "", _xlpm.result)
   )
)</f>
        <v/>
      </c>
      <c r="F949" s="27" t="str" cm="1">
        <f t="array" ref="F949">IF(
   A949="",
   "",
   _xlfn.LET(
      _xlpm.result,
      IFERROR(
         _xlfn.XLOOKUP(
            1,
            (Table8[رقم الصنف]=A949) *
            (IF($B$9="الكل",1, YEAR('ادخال البيانات'!$N$3:$N$1164) = VALUE($B$9))) *
            (IF($B$10="الكل",1, MONTH('ادخال البيانات'!$N$3:$N$1164) = VALUE($B$10))) *
            (IF($B$11="الكل",1, INT((DAY('ادخال البيانات'!$N$3:$N$1164)-1)/7)+1 = VALUE($B$11))),
            'ادخال البيانات'!$F$3:$F$1164
         ),
         ""
      ),
      IF(_xlpm.result="", "", _xlpm.result)
   )
)</f>
        <v/>
      </c>
      <c r="G949" s="27" t="str" cm="1">
        <f t="array" ref="G949">IF(
   A949="",
   "",
   _xlfn.LET(
      _xlpm.result,
      IFERROR(
         _xlfn.XLOOKUP(
            1,
            (Table8[رقم الصنف]=A949) *
            (IF($B$9="الكل",1, YEAR('ادخال البيانات'!$N$3:$N$1164)=VALUE($B$9))) *
            (IF($B$10="الكل",1, MONTH('ادخال البيانات'!$N$3:$N$1164)=VALUE($B$10))) *
            (IF($B$11="الكل",1, INT((DAY('ادخال البيانات'!$N$3:$N$1164)-1)/7)+1 = VALUE($B$11))),
            'ادخال البيانات'!$G$3:$G$1164
         ),
         ""
      ),
      IF(_xlpm.result="", "", _xlpm.result)
   )
)</f>
        <v/>
      </c>
      <c r="H949" s="27" t="str" cm="1">
        <f t="array" ref="H949">IF(
   A949="",
   "",
   _xlfn.LET(
      _xlpm.result,
      IFERROR(
         _xlfn.XLOOKUP(
            1,
            (Table8[رقم الصنف]=A949) *
            (IF($B$9="الكل",1, YEAR('ادخال البيانات'!$N$3:$N$1164)=VALUE($B$9))) *
            (IF($B$10="الكل",1, MONTH('ادخال البيانات'!$N$3:$N$1164)=VALUE($B$10))) *
            (IF($B$11="الكل",1, INT((DAY('ادخال البيانات'!$N$3:$N$1164)-1)/7)+1 = VALUE($B$11))),
            'ادخال البيانات'!$H$3:$H$1164
         ),
         ""
      ),
      IF(_xlpm.result="", "", _xlpm.result)
   )
)</f>
        <v/>
      </c>
      <c r="I949" s="27" t="str" cm="1">
        <f t="array" ref="I949">IF(
   A949="",
   "",
   _xlfn.LET(
      _xlpm.result,
      IFERROR(
         _xlfn.XLOOKUP(
            1,
            (Table8[رقم الصنف]=A949) *
            (IF($B$9="الكل",1, YEAR('ادخال البيانات'!$N$3:$N$1164)=VALUE($B$9))) *
            (IF($B$10="الكل",1, MONTH('ادخال البيانات'!$N$3:$N$1164)=VALUE($B$10))) *
            (IF($B$11="الكل",1, INT((DAY('ادخال البيانات'!$N$3:$N$1164)-1)/7)+1 = VALUE($B$11))),
            'ادخال البيانات'!$I$3:$I$1164
         ),
         ""
      ),
      IF(_xlpm.result="", "", _xlpm.result)
   )
)</f>
        <v/>
      </c>
      <c r="J949" s="27" t="str" cm="1">
        <f t="array" ref="J949">IF(
   A949="",
   "",
   _xlfn.LET(
      _xlpm.result,
      IFERROR(
         _xlfn.XLOOKUP(
            1,
            (Table8[رقم الصنف]=A949) *
            (IF($B$9="الكل",1, YEAR('ادخال البيانات'!$N$3:$N$1164)=VALUE($B$9))) *
            (IF($B$10="الكل",1, MONTH('ادخال البيانات'!$N$3:$N$1164)=VALUE($B$10))) *
            (IF($B$11="الكل",1, INT((DAY('ادخال البيانات'!$N$3:$N$1164)-1)/7)+1 = VALUE($B$11))),
            'ادخال البيانات'!$J$3:$J$1164
         ),
         ""
      ),
      IF(_xlpm.result="", "", _xlpm.result)
   )
)</f>
        <v/>
      </c>
      <c r="K949" s="27" t="str" cm="1">
        <f t="array" ref="K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49" s="27" t="str" cm="1">
        <f t="array" ref="L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49" s="27" t="str" cm="1">
        <f t="array" ref="M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49" s="28" t="str" cm="1">
        <f t="array" ref="N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49" s="28" t="str" cm="1">
        <f t="array" ref="O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49" s="27" t="str" cm="1">
        <f t="array" ref="P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Table8[جهة العطل]
         ),
         ""
      ),
      IF(_xlpm.result="", "", _xlpm.result)
   )
)</f>
        <v/>
      </c>
      <c r="Q949" s="27" t="str" cm="1">
        <f t="array" ref="Q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Table8[المركز]
         ),
         ""
      ),
      IF(_xlpm.result="", "", _xlpm.result)
   )
)</f>
        <v/>
      </c>
      <c r="R949" s="27" t="str" cm="1">
        <f t="array" ref="R949">IF(
   A949="",
   "",
   _xlfn.LET(
      _xlpm.result,
      IFERROR(
         _xlfn.XLOOKUP(
            1,
            (Table8[رقم الصنف]=A949) *
            (IF($B$9="الكل",1, YEAR('ادخال البيانات'!$N$3:$N$1164) = VALUE($B$9))) *
            (IF($B$10="الكل",1, MONTH('ادخال البيانات'!$N$3:$N$1164) = VALUE($B$10))) *
            (IF($B$11="الكل",1, INT((DAY('ادخال البيانات'!$N$3:$N$1164) - 1) / 7) + 1 = VALUE($B$11))),
            Table8[ملاحظة]
         ),
         ""
      ),
      IF(_xlpm.result="", "", _xlpm.result)
   )
)</f>
        <v/>
      </c>
      <c r="S949" s="46" t="str">
        <f t="shared" ca="1" si="15"/>
        <v/>
      </c>
    </row>
    <row r="950" spans="1:19" ht="15.6" thickTop="1" thickBot="1" x14ac:dyDescent="0.35">
      <c r="A950" s="39"/>
      <c r="B950" s="27" t="str" cm="1">
        <f t="array" ref="B950">IF(
   OR(A950="", $B$9="", $B$10="", $B$11=""),
   "",
   _xlfn.LET(
      _xlpm.result,
      IFERROR(
         _xlfn.XLOOKUP(
            1,
            (Table8[رقم الصنف]=A950)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0" s="27" t="str" cm="1">
        <f t="array" ref="C950">IF(
   A950="",
   "",
   _xlfn.LET(
      _xlpm.result,
      IFERROR(
         _xlfn.XLOOKUP(
            1,
            (Table8[رقم الصنف]=A950) *
            (IF($B$9="الكل",1, YEAR('ادخال البيانات'!$N$3:$N$1164) = VALUE($B$9))) *
            (IF($B$10="الكل",1, MONTH('ادخال البيانات'!$N$3:$N$1164) = VALUE($B$10))) *
            (IF($B$11="الكل",1, INT((DAY('ادخال البيانات'!$N$3:$N$1164)-1)/7)+1 = VALUE($B$11))),
            'ادخال البيانات'!$C$3:$C$1164
         ),
         ""
      ),
      IF(_xlpm.result="", "", _xlpm.result)
   )
)</f>
        <v/>
      </c>
      <c r="D950" s="27" t="str" cm="1">
        <f t="array" ref="D950">IF(
   OR(A950="", $B$9="", $B$10="", $B$11=""),
   "",
   _xlfn.LET(
      _xlpm.result,
      IFERROR(
         _xlfn.XLOOKUP(
            1,
            (Table8[رقم الصنف]=A950) *
            (IF($B$9="الكل",1, YEAR('ادخال البيانات'!$N$3:$N$1164)=VALUE($B$9))) *
            (IF($B$10="الكل",1, MONTH('ادخال البيانات'!$N$3:$N$1164)=VALUE($B$10))) *
            (IF($B$11="الكل",1, INT((DAY('ادخال البيانات'!$N$3:$N$1164)-1)/7)+1 = VALUE($B$11))),
            'ادخال البيانات'!$D$3:$D$1164
         ),
         ""
      ),
      IF(_xlpm.result="", "", _xlpm.result)
   )
)</f>
        <v/>
      </c>
      <c r="E950" s="27" t="str" cm="1">
        <f t="array" ref="E950">IF(
   A950="",
   "",
   _xlfn.LET(
      _xlpm.result,
      IFERROR(
         _xlfn.XLOOKUP(
            1,
            (Table8[رقم الصنف]=A950) *
            (IF($B$9="الكل",1, YEAR('ادخال البيانات'!$N$3:$N$1164)=VALUE($B$9))) *
            (IF($B$10="الكل",1, MONTH('ادخال البيانات'!$N$3:$N$1164)=VALUE($B$10))) *
            (IF($B$11="الكل",1, INT((DAY('ادخال البيانات'!$N$3:$N$1164)-1)/7)+1 = VALUE($B$11))),
            'ادخال البيانات'!$E$3:$E$1164
         ),
         ""
      ),
      IF(_xlpm.result="", "", _xlpm.result)
   )
)</f>
        <v/>
      </c>
      <c r="F950" s="27" t="str" cm="1">
        <f t="array" ref="F950">IF(
   A950="",
   "",
   _xlfn.LET(
      _xlpm.result,
      IFERROR(
         _xlfn.XLOOKUP(
            1,
            (Table8[رقم الصنف]=A950) *
            (IF($B$9="الكل",1, YEAR('ادخال البيانات'!$N$3:$N$1164) = VALUE($B$9))) *
            (IF($B$10="الكل",1, MONTH('ادخال البيانات'!$N$3:$N$1164) = VALUE($B$10))) *
            (IF($B$11="الكل",1, INT((DAY('ادخال البيانات'!$N$3:$N$1164)-1)/7)+1 = VALUE($B$11))),
            'ادخال البيانات'!$F$3:$F$1164
         ),
         ""
      ),
      IF(_xlpm.result="", "", _xlpm.result)
   )
)</f>
        <v/>
      </c>
      <c r="G950" s="27" t="str" cm="1">
        <f t="array" ref="G950">IF(
   A950="",
   "",
   _xlfn.LET(
      _xlpm.result,
      IFERROR(
         _xlfn.XLOOKUP(
            1,
            (Table8[رقم الصنف]=A950) *
            (IF($B$9="الكل",1, YEAR('ادخال البيانات'!$N$3:$N$1164)=VALUE($B$9))) *
            (IF($B$10="الكل",1, MONTH('ادخال البيانات'!$N$3:$N$1164)=VALUE($B$10))) *
            (IF($B$11="الكل",1, INT((DAY('ادخال البيانات'!$N$3:$N$1164)-1)/7)+1 = VALUE($B$11))),
            'ادخال البيانات'!$G$3:$G$1164
         ),
         ""
      ),
      IF(_xlpm.result="", "", _xlpm.result)
   )
)</f>
        <v/>
      </c>
      <c r="H950" s="27" t="str" cm="1">
        <f t="array" ref="H950">IF(
   A950="",
   "",
   _xlfn.LET(
      _xlpm.result,
      IFERROR(
         _xlfn.XLOOKUP(
            1,
            (Table8[رقم الصنف]=A950) *
            (IF($B$9="الكل",1, YEAR('ادخال البيانات'!$N$3:$N$1164)=VALUE($B$9))) *
            (IF($B$10="الكل",1, MONTH('ادخال البيانات'!$N$3:$N$1164)=VALUE($B$10))) *
            (IF($B$11="الكل",1, INT((DAY('ادخال البيانات'!$N$3:$N$1164)-1)/7)+1 = VALUE($B$11))),
            'ادخال البيانات'!$H$3:$H$1164
         ),
         ""
      ),
      IF(_xlpm.result="", "", _xlpm.result)
   )
)</f>
        <v/>
      </c>
      <c r="I950" s="27" t="str" cm="1">
        <f t="array" ref="I950">IF(
   A950="",
   "",
   _xlfn.LET(
      _xlpm.result,
      IFERROR(
         _xlfn.XLOOKUP(
            1,
            (Table8[رقم الصنف]=A950) *
            (IF($B$9="الكل",1, YEAR('ادخال البيانات'!$N$3:$N$1164)=VALUE($B$9))) *
            (IF($B$10="الكل",1, MONTH('ادخال البيانات'!$N$3:$N$1164)=VALUE($B$10))) *
            (IF($B$11="الكل",1, INT((DAY('ادخال البيانات'!$N$3:$N$1164)-1)/7)+1 = VALUE($B$11))),
            'ادخال البيانات'!$I$3:$I$1164
         ),
         ""
      ),
      IF(_xlpm.result="", "", _xlpm.result)
   )
)</f>
        <v/>
      </c>
      <c r="J950" s="27" t="str" cm="1">
        <f t="array" ref="J950">IF(
   A950="",
   "",
   _xlfn.LET(
      _xlpm.result,
      IFERROR(
         _xlfn.XLOOKUP(
            1,
            (Table8[رقم الصنف]=A950) *
            (IF($B$9="الكل",1, YEAR('ادخال البيانات'!$N$3:$N$1164)=VALUE($B$9))) *
            (IF($B$10="الكل",1, MONTH('ادخال البيانات'!$N$3:$N$1164)=VALUE($B$10))) *
            (IF($B$11="الكل",1, INT((DAY('ادخال البيانات'!$N$3:$N$1164)-1)/7)+1 = VALUE($B$11))),
            'ادخال البيانات'!$J$3:$J$1164
         ),
         ""
      ),
      IF(_xlpm.result="", "", _xlpm.result)
   )
)</f>
        <v/>
      </c>
      <c r="K950" s="27" t="str" cm="1">
        <f t="array" ref="K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0" s="27" t="str" cm="1">
        <f t="array" ref="L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0" s="27" t="str" cm="1">
        <f t="array" ref="M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0" s="28" t="str" cm="1">
        <f t="array" ref="N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0" s="28" t="str" cm="1">
        <f t="array" ref="O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0" s="27" t="str" cm="1">
        <f t="array" ref="P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Table8[جهة العطل]
         ),
         ""
      ),
      IF(_xlpm.result="", "", _xlpm.result)
   )
)</f>
        <v/>
      </c>
      <c r="Q950" s="27" t="str" cm="1">
        <f t="array" ref="Q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Table8[المركز]
         ),
         ""
      ),
      IF(_xlpm.result="", "", _xlpm.result)
   )
)</f>
        <v/>
      </c>
      <c r="R950" s="27" t="str" cm="1">
        <f t="array" ref="R950">IF(
   A950="",
   "",
   _xlfn.LET(
      _xlpm.result,
      IFERROR(
         _xlfn.XLOOKUP(
            1,
            (Table8[رقم الصنف]=A950) *
            (IF($B$9="الكل",1, YEAR('ادخال البيانات'!$N$3:$N$1164) = VALUE($B$9))) *
            (IF($B$10="الكل",1, MONTH('ادخال البيانات'!$N$3:$N$1164) = VALUE($B$10))) *
            (IF($B$11="الكل",1, INT((DAY('ادخال البيانات'!$N$3:$N$1164) - 1) / 7) + 1 = VALUE($B$11))),
            Table8[ملاحظة]
         ),
         ""
      ),
      IF(_xlpm.result="", "", _xlpm.result)
   )
)</f>
        <v/>
      </c>
      <c r="S950" s="46" t="str">
        <f t="shared" ca="1" si="15"/>
        <v/>
      </c>
    </row>
    <row r="951" spans="1:19" ht="15.6" thickTop="1" thickBot="1" x14ac:dyDescent="0.35">
      <c r="A951" s="39"/>
      <c r="B951" s="27" t="str" cm="1">
        <f t="array" ref="B951">IF(
   OR(A951="", $B$9="", $B$10="", $B$11=""),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1" s="27" t="str" cm="1">
        <f t="array" ref="C951">IF(
   A951="",
   "",
   _xlfn.LET(
      _xlpm.result,
      IFERROR(
         _xlfn.XLOOKUP(
            1,
            (Table8[رقم الصنف]=A951) *
            (IF($B$9="الكل",1, YEAR('ادخال البيانات'!$N$3:$N$1164) = VALUE($B$9))) *
            (IF($B$10="الكل",1, MONTH('ادخال البيانات'!$N$3:$N$1164) = VALUE($B$10))) *
            (IF($B$11="الكل",1, INT((DAY('ادخال البيانات'!$N$3:$N$1164)-1)/7)+1 = VALUE($B$11))),
            'ادخال البيانات'!$C$3:$C$1164
         ),
         ""
      ),
      IF(_xlpm.result="", "", _xlpm.result)
   )
)</f>
        <v/>
      </c>
      <c r="D951" s="27" t="str" cm="1">
        <f t="array" ref="D951">IF(
   OR(A951="", $B$9="", $B$10="", $B$11=""),
   "",
   _xlfn.LET(
      _xlpm.result,
      IFERROR(
         _xlfn.XLOOKUP(
            1,
            (Table8[رقم الصنف]=A951) *
            (IF($B$9="الكل",1, YEAR('ادخال البيانات'!$N$3:$N$1164)=VALUE($B$9))) *
            (IF($B$10="الكل",1, MONTH('ادخال البيانات'!$N$3:$N$1164)=VALUE($B$10))) *
            (IF($B$11="الكل",1, INT((DAY('ادخال البيانات'!$N$3:$N$1164)-1)/7)+1 = VALUE($B$11))),
            'ادخال البيانات'!$D$3:$D$1164
         ),
         ""
      ),
      IF(_xlpm.result="", "", _xlpm.result)
   )
)</f>
        <v/>
      </c>
      <c r="E951" s="27" t="str" cm="1">
        <f t="array" ref="E951">IF(
   A951="",
   "",
   _xlfn.LET(
      _xlpm.result,
      IFERROR(
         _xlfn.XLOOKUP(
            1,
            (Table8[رقم الصنف]=A951) *
            (IF($B$9="الكل",1, YEAR('ادخال البيانات'!$N$3:$N$1164)=VALUE($B$9))) *
            (IF($B$10="الكل",1, MONTH('ادخال البيانات'!$N$3:$N$1164)=VALUE($B$10))) *
            (IF($B$11="الكل",1, INT((DAY('ادخال البيانات'!$N$3:$N$1164)-1)/7)+1 = VALUE($B$11))),
            'ادخال البيانات'!$E$3:$E$1164
         ),
         ""
      ),
      IF(_xlpm.result="", "", _xlpm.result)
   )
)</f>
        <v/>
      </c>
      <c r="F951" s="27" t="str" cm="1">
        <f t="array" ref="F951">IF(
   A951="",
   "",
   _xlfn.LET(
      _xlpm.result,
      IFERROR(
         _xlfn.XLOOKUP(
            1,
            (Table8[رقم الصنف]=A951) *
            (IF($B$9="الكل",1, YEAR('ادخال البيانات'!$N$3:$N$1164) = VALUE($B$9))) *
            (IF($B$10="الكل",1, MONTH('ادخال البيانات'!$N$3:$N$1164) = VALUE($B$10))) *
            (IF($B$11="الكل",1, INT((DAY('ادخال البيانات'!$N$3:$N$1164)-1)/7)+1 = VALUE($B$11))),
            'ادخال البيانات'!$F$3:$F$1164
         ),
         ""
      ),
      IF(_xlpm.result="", "", _xlpm.result)
   )
)</f>
        <v/>
      </c>
      <c r="G951" s="27" t="str" cm="1">
        <f t="array" ref="G951">IF(
   A951="",
   "",
   _xlfn.LET(
      _xlpm.result,
      IFERROR(
         _xlfn.XLOOKUP(
            1,
            (Table8[رقم الصنف]=A951) *
            (IF($B$9="الكل",1, YEAR('ادخال البيانات'!$N$3:$N$1164)=VALUE($B$9))) *
            (IF($B$10="الكل",1, MONTH('ادخال البيانات'!$N$3:$N$1164)=VALUE($B$10))) *
            (IF($B$11="الكل",1, INT((DAY('ادخال البيانات'!$N$3:$N$1164)-1)/7)+1 = VALUE($B$11))),
            'ادخال البيانات'!$G$3:$G$1164
         ),
         ""
      ),
      IF(_xlpm.result="", "", _xlpm.result)
   )
)</f>
        <v/>
      </c>
      <c r="H951" s="27" t="str" cm="1">
        <f t="array" ref="H951">IF(
   A951="",
   "",
   _xlfn.LET(
      _xlpm.result,
      IFERROR(
         _xlfn.XLOOKUP(
            1,
            (Table8[رقم الصنف]=A951) *
            (IF($B$9="الكل",1, YEAR('ادخال البيانات'!$N$3:$N$1164)=VALUE($B$9))) *
            (IF($B$10="الكل",1, MONTH('ادخال البيانات'!$N$3:$N$1164)=VALUE($B$10))) *
            (IF($B$11="الكل",1, INT((DAY('ادخال البيانات'!$N$3:$N$1164)-1)/7)+1 = VALUE($B$11))),
            'ادخال البيانات'!$H$3:$H$1164
         ),
         ""
      ),
      IF(_xlpm.result="", "", _xlpm.result)
   )
)</f>
        <v/>
      </c>
      <c r="I951" s="27" t="str" cm="1">
        <f t="array" ref="I951">IF(
   A951="",
   "",
   _xlfn.LET(
      _xlpm.result,
      IFERROR(
         _xlfn.XLOOKUP(
            1,
            (Table8[رقم الصنف]=A951) *
            (IF($B$9="الكل",1, YEAR('ادخال البيانات'!$N$3:$N$1164)=VALUE($B$9))) *
            (IF($B$10="الكل",1, MONTH('ادخال البيانات'!$N$3:$N$1164)=VALUE($B$10))) *
            (IF($B$11="الكل",1, INT((DAY('ادخال البيانات'!$N$3:$N$1164)-1)/7)+1 = VALUE($B$11))),
            'ادخال البيانات'!$I$3:$I$1164
         ),
         ""
      ),
      IF(_xlpm.result="", "", _xlpm.result)
   )
)</f>
        <v/>
      </c>
      <c r="J951" s="27" t="str" cm="1">
        <f t="array" ref="J951">IF(
   A951="",
   "",
   _xlfn.LET(
      _xlpm.result,
      IFERROR(
         _xlfn.XLOOKUP(
            1,
            (Table8[رقم الصنف]=A951) *
            (IF($B$9="الكل",1, YEAR('ادخال البيانات'!$N$3:$N$1164)=VALUE($B$9))) *
            (IF($B$10="الكل",1, MONTH('ادخال البيانات'!$N$3:$N$1164)=VALUE($B$10))) *
            (IF($B$11="الكل",1, INT((DAY('ادخال البيانات'!$N$3:$N$1164)-1)/7)+1 = VALUE($B$11))),
            'ادخال البيانات'!$J$3:$J$1164
         ),
         ""
      ),
      IF(_xlpm.result="", "", _xlpm.result)
   )
)</f>
        <v/>
      </c>
      <c r="K951" s="27" t="str" cm="1">
        <f t="array" ref="K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1" s="27" t="str" cm="1">
        <f t="array" ref="L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1" s="27" t="str" cm="1">
        <f t="array" ref="M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1" s="28" t="str" cm="1">
        <f t="array" ref="N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1" s="28" t="str" cm="1">
        <f t="array" ref="O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1" s="27" t="str" cm="1">
        <f t="array" ref="P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Table8[جهة العطل]
         ),
         ""
      ),
      IF(_xlpm.result="", "", _xlpm.result)
   )
)</f>
        <v/>
      </c>
      <c r="Q951" s="27" t="str" cm="1">
        <f t="array" ref="Q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Table8[المركز]
         ),
         ""
      ),
      IF(_xlpm.result="", "", _xlpm.result)
   )
)</f>
        <v/>
      </c>
      <c r="R951" s="27" t="str" cm="1">
        <f t="array" ref="R951">IF(
   A951="",
   "",
   _xlfn.LET(
      _xlpm.result,
      IFERROR(
         _xlfn.XLOOKUP(
            1,
            (Table8[رقم الصنف]=A951) *
            (IF($B$9="الكل",1, YEAR('ادخال البيانات'!$N$3:$N$1164) = VALUE($B$9))) *
            (IF($B$10="الكل",1, MONTH('ادخال البيانات'!$N$3:$N$1164) = VALUE($B$10))) *
            (IF($B$11="الكل",1, INT((DAY('ادخال البيانات'!$N$3:$N$1164) - 1) / 7) + 1 = VALUE($B$11))),
            Table8[ملاحظة]
         ),
         ""
      ),
      IF(_xlpm.result="", "", _xlpm.result)
   )
)</f>
        <v/>
      </c>
      <c r="S951" s="46" t="str">
        <f t="shared" ca="1" si="15"/>
        <v/>
      </c>
    </row>
    <row r="952" spans="1:19" ht="15.6" thickTop="1" thickBot="1" x14ac:dyDescent="0.35">
      <c r="A952" s="39"/>
      <c r="B952" s="27" t="str" cm="1">
        <f t="array" ref="B952">IF(
   OR(A952="", $B$9="", $B$10="", $B$11=""),
   "",
   _xlfn.LET(
      _xlpm.result,
      IFERROR(
         _xlfn.XLOOKUP(
            1,
            (Table8[رقم الصنف]=A952)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2" s="27" t="str" cm="1">
        <f t="array" ref="C952">IF(
   A952="",
   "",
   _xlfn.LET(
      _xlpm.result,
      IFERROR(
         _xlfn.XLOOKUP(
            1,
            (Table8[رقم الصنف]=A952) *
            (IF($B$9="الكل",1, YEAR('ادخال البيانات'!$N$3:$N$1164) = VALUE($B$9))) *
            (IF($B$10="الكل",1, MONTH('ادخال البيانات'!$N$3:$N$1164) = VALUE($B$10))) *
            (IF($B$11="الكل",1, INT((DAY('ادخال البيانات'!$N$3:$N$1164)-1)/7)+1 = VALUE($B$11))),
            'ادخال البيانات'!$C$3:$C$1164
         ),
         ""
      ),
      IF(_xlpm.result="", "", _xlpm.result)
   )
)</f>
        <v/>
      </c>
      <c r="D952" s="27" t="str" cm="1">
        <f t="array" ref="D952">IF(
   OR(A952="", $B$9="", $B$10="", $B$11=""),
   "",
   _xlfn.LET(
      _xlpm.result,
      IFERROR(
         _xlfn.XLOOKUP(
            1,
            (Table8[رقم الصنف]=A952) *
            (IF($B$9="الكل",1, YEAR('ادخال البيانات'!$N$3:$N$1164)=VALUE($B$9))) *
            (IF($B$10="الكل",1, MONTH('ادخال البيانات'!$N$3:$N$1164)=VALUE($B$10))) *
            (IF($B$11="الكل",1, INT((DAY('ادخال البيانات'!$N$3:$N$1164)-1)/7)+1 = VALUE($B$11))),
            'ادخال البيانات'!$D$3:$D$1164
         ),
         ""
      ),
      IF(_xlpm.result="", "", _xlpm.result)
   )
)</f>
        <v/>
      </c>
      <c r="E952" s="27" t="str" cm="1">
        <f t="array" ref="E952">IF(
   A952="",
   "",
   _xlfn.LET(
      _xlpm.result,
      IFERROR(
         _xlfn.XLOOKUP(
            1,
            (Table8[رقم الصنف]=A952) *
            (IF($B$9="الكل",1, YEAR('ادخال البيانات'!$N$3:$N$1164)=VALUE($B$9))) *
            (IF($B$10="الكل",1, MONTH('ادخال البيانات'!$N$3:$N$1164)=VALUE($B$10))) *
            (IF($B$11="الكل",1, INT((DAY('ادخال البيانات'!$N$3:$N$1164)-1)/7)+1 = VALUE($B$11))),
            'ادخال البيانات'!$E$3:$E$1164
         ),
         ""
      ),
      IF(_xlpm.result="", "", _xlpm.result)
   )
)</f>
        <v/>
      </c>
      <c r="F952" s="27" t="str" cm="1">
        <f t="array" ref="F952">IF(
   A952="",
   "",
   _xlfn.LET(
      _xlpm.result,
      IFERROR(
         _xlfn.XLOOKUP(
            1,
            (Table8[رقم الصنف]=A952) *
            (IF($B$9="الكل",1, YEAR('ادخال البيانات'!$N$3:$N$1164) = VALUE($B$9))) *
            (IF($B$10="الكل",1, MONTH('ادخال البيانات'!$N$3:$N$1164) = VALUE($B$10))) *
            (IF($B$11="الكل",1, INT((DAY('ادخال البيانات'!$N$3:$N$1164)-1)/7)+1 = VALUE($B$11))),
            'ادخال البيانات'!$F$3:$F$1164
         ),
         ""
      ),
      IF(_xlpm.result="", "", _xlpm.result)
   )
)</f>
        <v/>
      </c>
      <c r="G952" s="27" t="str" cm="1">
        <f t="array" ref="G952">IF(
   A952="",
   "",
   _xlfn.LET(
      _xlpm.result,
      IFERROR(
         _xlfn.XLOOKUP(
            1,
            (Table8[رقم الصنف]=A952) *
            (IF($B$9="الكل",1, YEAR('ادخال البيانات'!$N$3:$N$1164)=VALUE($B$9))) *
            (IF($B$10="الكل",1, MONTH('ادخال البيانات'!$N$3:$N$1164)=VALUE($B$10))) *
            (IF($B$11="الكل",1, INT((DAY('ادخال البيانات'!$N$3:$N$1164)-1)/7)+1 = VALUE($B$11))),
            'ادخال البيانات'!$G$3:$G$1164
         ),
         ""
      ),
      IF(_xlpm.result="", "", _xlpm.result)
   )
)</f>
        <v/>
      </c>
      <c r="H952" s="27" t="str" cm="1">
        <f t="array" ref="H952">IF(
   A952="",
   "",
   _xlfn.LET(
      _xlpm.result,
      IFERROR(
         _xlfn.XLOOKUP(
            1,
            (Table8[رقم الصنف]=A952) *
            (IF($B$9="الكل",1, YEAR('ادخال البيانات'!$N$3:$N$1164)=VALUE($B$9))) *
            (IF($B$10="الكل",1, MONTH('ادخال البيانات'!$N$3:$N$1164)=VALUE($B$10))) *
            (IF($B$11="الكل",1, INT((DAY('ادخال البيانات'!$N$3:$N$1164)-1)/7)+1 = VALUE($B$11))),
            'ادخال البيانات'!$H$3:$H$1164
         ),
         ""
      ),
      IF(_xlpm.result="", "", _xlpm.result)
   )
)</f>
        <v/>
      </c>
      <c r="I952" s="27" t="str" cm="1">
        <f t="array" ref="I952">IF(
   A952="",
   "",
   _xlfn.LET(
      _xlpm.result,
      IFERROR(
         _xlfn.XLOOKUP(
            1,
            (Table8[رقم الصنف]=A952) *
            (IF($B$9="الكل",1, YEAR('ادخال البيانات'!$N$3:$N$1164)=VALUE($B$9))) *
            (IF($B$10="الكل",1, MONTH('ادخال البيانات'!$N$3:$N$1164)=VALUE($B$10))) *
            (IF($B$11="الكل",1, INT((DAY('ادخال البيانات'!$N$3:$N$1164)-1)/7)+1 = VALUE($B$11))),
            'ادخال البيانات'!$I$3:$I$1164
         ),
         ""
      ),
      IF(_xlpm.result="", "", _xlpm.result)
   )
)</f>
        <v/>
      </c>
      <c r="J952" s="27" t="str" cm="1">
        <f t="array" ref="J952">IF(
   A952="",
   "",
   _xlfn.LET(
      _xlpm.result,
      IFERROR(
         _xlfn.XLOOKUP(
            1,
            (Table8[رقم الصنف]=A952) *
            (IF($B$9="الكل",1, YEAR('ادخال البيانات'!$N$3:$N$1164)=VALUE($B$9))) *
            (IF($B$10="الكل",1, MONTH('ادخال البيانات'!$N$3:$N$1164)=VALUE($B$10))) *
            (IF($B$11="الكل",1, INT((DAY('ادخال البيانات'!$N$3:$N$1164)-1)/7)+1 = VALUE($B$11))),
            'ادخال البيانات'!$J$3:$J$1164
         ),
         ""
      ),
      IF(_xlpm.result="", "", _xlpm.result)
   )
)</f>
        <v/>
      </c>
      <c r="K952" s="27" t="str" cm="1">
        <f t="array" ref="K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2" s="27" t="str" cm="1">
        <f t="array" ref="L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2" s="27" t="str" cm="1">
        <f t="array" ref="M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2" s="28" t="str" cm="1">
        <f t="array" ref="N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2" s="28" t="str" cm="1">
        <f t="array" ref="O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2" s="27" t="str" cm="1">
        <f t="array" ref="P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Table8[جهة العطل]
         ),
         ""
      ),
      IF(_xlpm.result="", "", _xlpm.result)
   )
)</f>
        <v/>
      </c>
      <c r="Q952" s="27" t="str" cm="1">
        <f t="array" ref="Q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Table8[المركز]
         ),
         ""
      ),
      IF(_xlpm.result="", "", _xlpm.result)
   )
)</f>
        <v/>
      </c>
      <c r="R952" s="27" t="str" cm="1">
        <f t="array" ref="R952">IF(
   A952="",
   "",
   _xlfn.LET(
      _xlpm.result,
      IFERROR(
         _xlfn.XLOOKUP(
            1,
            (Table8[رقم الصنف]=A952) *
            (IF($B$9="الكل",1, YEAR('ادخال البيانات'!$N$3:$N$1164) = VALUE($B$9))) *
            (IF($B$10="الكل",1, MONTH('ادخال البيانات'!$N$3:$N$1164) = VALUE($B$10))) *
            (IF($B$11="الكل",1, INT((DAY('ادخال البيانات'!$N$3:$N$1164) - 1) / 7) + 1 = VALUE($B$11))),
            Table8[ملاحظة]
         ),
         ""
      ),
      IF(_xlpm.result="", "", _xlpm.result)
   )
)</f>
        <v/>
      </c>
      <c r="S952" s="46" t="str">
        <f t="shared" ca="1" si="15"/>
        <v/>
      </c>
    </row>
    <row r="953" spans="1:19" ht="15.6" thickTop="1" thickBot="1" x14ac:dyDescent="0.35">
      <c r="A953" s="39"/>
      <c r="B953" s="27" t="str" cm="1">
        <f t="array" ref="B953">IF(
   OR(A953="", $B$9="", $B$10="", $B$11=""),
   "",
   _xlfn.LET(
      _xlpm.result,
      IFERROR(
         _xlfn.XLOOKUP(
            1,
            (Table8[رقم الصنف]=A953)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3" s="27" t="str" cm="1">
        <f t="array" ref="C953">IF(
   A953="",
   "",
   _xlfn.LET(
      _xlpm.result,
      IFERROR(
         _xlfn.XLOOKUP(
            1,
            (Table8[رقم الصنف]=A953) *
            (IF($B$9="الكل",1, YEAR('ادخال البيانات'!$N$3:$N$1164) = VALUE($B$9))) *
            (IF($B$10="الكل",1, MONTH('ادخال البيانات'!$N$3:$N$1164) = VALUE($B$10))) *
            (IF($B$11="الكل",1, INT((DAY('ادخال البيانات'!$N$3:$N$1164)-1)/7)+1 = VALUE($B$11))),
            'ادخال البيانات'!$C$3:$C$1164
         ),
         ""
      ),
      IF(_xlpm.result="", "", _xlpm.result)
   )
)</f>
        <v/>
      </c>
      <c r="D953" s="27" t="str" cm="1">
        <f t="array" ref="D953">IF(
   OR(A953="", $B$9="", $B$10="", $B$11=""),
   "",
   _xlfn.LET(
      _xlpm.result,
      IFERROR(
         _xlfn.XLOOKUP(
            1,
            (Table8[رقم الصنف]=A953) *
            (IF($B$9="الكل",1, YEAR('ادخال البيانات'!$N$3:$N$1164)=VALUE($B$9))) *
            (IF($B$10="الكل",1, MONTH('ادخال البيانات'!$N$3:$N$1164)=VALUE($B$10))) *
            (IF($B$11="الكل",1, INT((DAY('ادخال البيانات'!$N$3:$N$1164)-1)/7)+1 = VALUE($B$11))),
            'ادخال البيانات'!$D$3:$D$1164
         ),
         ""
      ),
      IF(_xlpm.result="", "", _xlpm.result)
   )
)</f>
        <v/>
      </c>
      <c r="E953" s="27" t="str" cm="1">
        <f t="array" ref="E953">IF(
   A953="",
   "",
   _xlfn.LET(
      _xlpm.result,
      IFERROR(
         _xlfn.XLOOKUP(
            1,
            (Table8[رقم الصنف]=A953) *
            (IF($B$9="الكل",1, YEAR('ادخال البيانات'!$N$3:$N$1164)=VALUE($B$9))) *
            (IF($B$10="الكل",1, MONTH('ادخال البيانات'!$N$3:$N$1164)=VALUE($B$10))) *
            (IF($B$11="الكل",1, INT((DAY('ادخال البيانات'!$N$3:$N$1164)-1)/7)+1 = VALUE($B$11))),
            'ادخال البيانات'!$E$3:$E$1164
         ),
         ""
      ),
      IF(_xlpm.result="", "", _xlpm.result)
   )
)</f>
        <v/>
      </c>
      <c r="F953" s="27" t="str" cm="1">
        <f t="array" ref="F953">IF(
   A953="",
   "",
   _xlfn.LET(
      _xlpm.result,
      IFERROR(
         _xlfn.XLOOKUP(
            1,
            (Table8[رقم الصنف]=A953) *
            (IF($B$9="الكل",1, YEAR('ادخال البيانات'!$N$3:$N$1164) = VALUE($B$9))) *
            (IF($B$10="الكل",1, MONTH('ادخال البيانات'!$N$3:$N$1164) = VALUE($B$10))) *
            (IF($B$11="الكل",1, INT((DAY('ادخال البيانات'!$N$3:$N$1164)-1)/7)+1 = VALUE($B$11))),
            'ادخال البيانات'!$F$3:$F$1164
         ),
         ""
      ),
      IF(_xlpm.result="", "", _xlpm.result)
   )
)</f>
        <v/>
      </c>
      <c r="G953" s="27" t="str" cm="1">
        <f t="array" ref="G953">IF(
   A953="",
   "",
   _xlfn.LET(
      _xlpm.result,
      IFERROR(
         _xlfn.XLOOKUP(
            1,
            (Table8[رقم الصنف]=A953) *
            (IF($B$9="الكل",1, YEAR('ادخال البيانات'!$N$3:$N$1164)=VALUE($B$9))) *
            (IF($B$10="الكل",1, MONTH('ادخال البيانات'!$N$3:$N$1164)=VALUE($B$10))) *
            (IF($B$11="الكل",1, INT((DAY('ادخال البيانات'!$N$3:$N$1164)-1)/7)+1 = VALUE($B$11))),
            'ادخال البيانات'!$G$3:$G$1164
         ),
         ""
      ),
      IF(_xlpm.result="", "", _xlpm.result)
   )
)</f>
        <v/>
      </c>
      <c r="H953" s="27" t="str" cm="1">
        <f t="array" ref="H953">IF(
   A953="",
   "",
   _xlfn.LET(
      _xlpm.result,
      IFERROR(
         _xlfn.XLOOKUP(
            1,
            (Table8[رقم الصنف]=A953) *
            (IF($B$9="الكل",1, YEAR('ادخال البيانات'!$N$3:$N$1164)=VALUE($B$9))) *
            (IF($B$10="الكل",1, MONTH('ادخال البيانات'!$N$3:$N$1164)=VALUE($B$10))) *
            (IF($B$11="الكل",1, INT((DAY('ادخال البيانات'!$N$3:$N$1164)-1)/7)+1 = VALUE($B$11))),
            'ادخال البيانات'!$H$3:$H$1164
         ),
         ""
      ),
      IF(_xlpm.result="", "", _xlpm.result)
   )
)</f>
        <v/>
      </c>
      <c r="I953" s="27" t="str" cm="1">
        <f t="array" ref="I953">IF(
   A953="",
   "",
   _xlfn.LET(
      _xlpm.result,
      IFERROR(
         _xlfn.XLOOKUP(
            1,
            (Table8[رقم الصنف]=A953) *
            (IF($B$9="الكل",1, YEAR('ادخال البيانات'!$N$3:$N$1164)=VALUE($B$9))) *
            (IF($B$10="الكل",1, MONTH('ادخال البيانات'!$N$3:$N$1164)=VALUE($B$10))) *
            (IF($B$11="الكل",1, INT((DAY('ادخال البيانات'!$N$3:$N$1164)-1)/7)+1 = VALUE($B$11))),
            'ادخال البيانات'!$I$3:$I$1164
         ),
         ""
      ),
      IF(_xlpm.result="", "", _xlpm.result)
   )
)</f>
        <v/>
      </c>
      <c r="J953" s="27" t="str" cm="1">
        <f t="array" ref="J953">IF(
   A953="",
   "",
   _xlfn.LET(
      _xlpm.result,
      IFERROR(
         _xlfn.XLOOKUP(
            1,
            (Table8[رقم الصنف]=A953) *
            (IF($B$9="الكل",1, YEAR('ادخال البيانات'!$N$3:$N$1164)=VALUE($B$9))) *
            (IF($B$10="الكل",1, MONTH('ادخال البيانات'!$N$3:$N$1164)=VALUE($B$10))) *
            (IF($B$11="الكل",1, INT((DAY('ادخال البيانات'!$N$3:$N$1164)-1)/7)+1 = VALUE($B$11))),
            'ادخال البيانات'!$J$3:$J$1164
         ),
         ""
      ),
      IF(_xlpm.result="", "", _xlpm.result)
   )
)</f>
        <v/>
      </c>
      <c r="K953" s="27" t="str" cm="1">
        <f t="array" ref="K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3" s="27" t="str" cm="1">
        <f t="array" ref="L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3" s="27" t="str" cm="1">
        <f t="array" ref="M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3" s="28" t="str" cm="1">
        <f t="array" ref="N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3" s="28" t="str" cm="1">
        <f t="array" ref="O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3" s="27" t="str" cm="1">
        <f t="array" ref="P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Table8[جهة العطل]
         ),
         ""
      ),
      IF(_xlpm.result="", "", _xlpm.result)
   )
)</f>
        <v/>
      </c>
      <c r="Q953" s="27" t="str" cm="1">
        <f t="array" ref="Q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Table8[المركز]
         ),
         ""
      ),
      IF(_xlpm.result="", "", _xlpm.result)
   )
)</f>
        <v/>
      </c>
      <c r="R953" s="27" t="str" cm="1">
        <f t="array" ref="R953">IF(
   A953="",
   "",
   _xlfn.LET(
      _xlpm.result,
      IFERROR(
         _xlfn.XLOOKUP(
            1,
            (Table8[رقم الصنف]=A953) *
            (IF($B$9="الكل",1, YEAR('ادخال البيانات'!$N$3:$N$1164) = VALUE($B$9))) *
            (IF($B$10="الكل",1, MONTH('ادخال البيانات'!$N$3:$N$1164) = VALUE($B$10))) *
            (IF($B$11="الكل",1, INT((DAY('ادخال البيانات'!$N$3:$N$1164) - 1) / 7) + 1 = VALUE($B$11))),
            Table8[ملاحظة]
         ),
         ""
      ),
      IF(_xlpm.result="", "", _xlpm.result)
   )
)</f>
        <v/>
      </c>
      <c r="S953" s="46" t="str">
        <f t="shared" ca="1" si="15"/>
        <v/>
      </c>
    </row>
    <row r="954" spans="1:19" ht="15.6" thickTop="1" thickBot="1" x14ac:dyDescent="0.35">
      <c r="A954" s="39"/>
      <c r="B954" s="27" t="str" cm="1">
        <f t="array" ref="B954">IF(
   OR(A954="", $B$9="", $B$10="", $B$11=""),
   "",
   _xlfn.LET(
      _xlpm.result,
      IFERROR(
         _xlfn.XLOOKUP(
            1,
            (Table8[رقم الصنف]=A954)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4" s="27" t="str" cm="1">
        <f t="array" ref="C954">IF(
   A954="",
   "",
   _xlfn.LET(
      _xlpm.result,
      IFERROR(
         _xlfn.XLOOKUP(
            1,
            (Table8[رقم الصنف]=A954) *
            (IF($B$9="الكل",1, YEAR('ادخال البيانات'!$N$3:$N$1164) = VALUE($B$9))) *
            (IF($B$10="الكل",1, MONTH('ادخال البيانات'!$N$3:$N$1164) = VALUE($B$10))) *
            (IF($B$11="الكل",1, INT((DAY('ادخال البيانات'!$N$3:$N$1164)-1)/7)+1 = VALUE($B$11))),
            'ادخال البيانات'!$C$3:$C$1164
         ),
         ""
      ),
      IF(_xlpm.result="", "", _xlpm.result)
   )
)</f>
        <v/>
      </c>
      <c r="D954" s="27" t="str" cm="1">
        <f t="array" ref="D954">IF(
   OR(A954="", $B$9="", $B$10="", $B$11=""),
   "",
   _xlfn.LET(
      _xlpm.result,
      IFERROR(
         _xlfn.XLOOKUP(
            1,
            (Table8[رقم الصنف]=A954) *
            (IF($B$9="الكل",1, YEAR('ادخال البيانات'!$N$3:$N$1164)=VALUE($B$9))) *
            (IF($B$10="الكل",1, MONTH('ادخال البيانات'!$N$3:$N$1164)=VALUE($B$10))) *
            (IF($B$11="الكل",1, INT((DAY('ادخال البيانات'!$N$3:$N$1164)-1)/7)+1 = VALUE($B$11))),
            'ادخال البيانات'!$D$3:$D$1164
         ),
         ""
      ),
      IF(_xlpm.result="", "", _xlpm.result)
   )
)</f>
        <v/>
      </c>
      <c r="E954" s="27" t="str" cm="1">
        <f t="array" ref="E954">IF(
   A954="",
   "",
   _xlfn.LET(
      _xlpm.result,
      IFERROR(
         _xlfn.XLOOKUP(
            1,
            (Table8[رقم الصنف]=A954) *
            (IF($B$9="الكل",1, YEAR('ادخال البيانات'!$N$3:$N$1164)=VALUE($B$9))) *
            (IF($B$10="الكل",1, MONTH('ادخال البيانات'!$N$3:$N$1164)=VALUE($B$10))) *
            (IF($B$11="الكل",1, INT((DAY('ادخال البيانات'!$N$3:$N$1164)-1)/7)+1 = VALUE($B$11))),
            'ادخال البيانات'!$E$3:$E$1164
         ),
         ""
      ),
      IF(_xlpm.result="", "", _xlpm.result)
   )
)</f>
        <v/>
      </c>
      <c r="F954" s="27" t="str" cm="1">
        <f t="array" ref="F954">IF(
   A954="",
   "",
   _xlfn.LET(
      _xlpm.result,
      IFERROR(
         _xlfn.XLOOKUP(
            1,
            (Table8[رقم الصنف]=A954) *
            (IF($B$9="الكل",1, YEAR('ادخال البيانات'!$N$3:$N$1164) = VALUE($B$9))) *
            (IF($B$10="الكل",1, MONTH('ادخال البيانات'!$N$3:$N$1164) = VALUE($B$10))) *
            (IF($B$11="الكل",1, INT((DAY('ادخال البيانات'!$N$3:$N$1164)-1)/7)+1 = VALUE($B$11))),
            'ادخال البيانات'!$F$3:$F$1164
         ),
         ""
      ),
      IF(_xlpm.result="", "", _xlpm.result)
   )
)</f>
        <v/>
      </c>
      <c r="G954" s="27" t="str" cm="1">
        <f t="array" ref="G954">IF(
   A954="",
   "",
   _xlfn.LET(
      _xlpm.result,
      IFERROR(
         _xlfn.XLOOKUP(
            1,
            (Table8[رقم الصنف]=A954) *
            (IF($B$9="الكل",1, YEAR('ادخال البيانات'!$N$3:$N$1164)=VALUE($B$9))) *
            (IF($B$10="الكل",1, MONTH('ادخال البيانات'!$N$3:$N$1164)=VALUE($B$10))) *
            (IF($B$11="الكل",1, INT((DAY('ادخال البيانات'!$N$3:$N$1164)-1)/7)+1 = VALUE($B$11))),
            'ادخال البيانات'!$G$3:$G$1164
         ),
         ""
      ),
      IF(_xlpm.result="", "", _xlpm.result)
   )
)</f>
        <v/>
      </c>
      <c r="H954" s="27" t="str" cm="1">
        <f t="array" ref="H954">IF(
   A954="",
   "",
   _xlfn.LET(
      _xlpm.result,
      IFERROR(
         _xlfn.XLOOKUP(
            1,
            (Table8[رقم الصنف]=A954) *
            (IF($B$9="الكل",1, YEAR('ادخال البيانات'!$N$3:$N$1164)=VALUE($B$9))) *
            (IF($B$10="الكل",1, MONTH('ادخال البيانات'!$N$3:$N$1164)=VALUE($B$10))) *
            (IF($B$11="الكل",1, INT((DAY('ادخال البيانات'!$N$3:$N$1164)-1)/7)+1 = VALUE($B$11))),
            'ادخال البيانات'!$H$3:$H$1164
         ),
         ""
      ),
      IF(_xlpm.result="", "", _xlpm.result)
   )
)</f>
        <v/>
      </c>
      <c r="I954" s="27" t="str" cm="1">
        <f t="array" ref="I954">IF(
   A954="",
   "",
   _xlfn.LET(
      _xlpm.result,
      IFERROR(
         _xlfn.XLOOKUP(
            1,
            (Table8[رقم الصنف]=A954) *
            (IF($B$9="الكل",1, YEAR('ادخال البيانات'!$N$3:$N$1164)=VALUE($B$9))) *
            (IF($B$10="الكل",1, MONTH('ادخال البيانات'!$N$3:$N$1164)=VALUE($B$10))) *
            (IF($B$11="الكل",1, INT((DAY('ادخال البيانات'!$N$3:$N$1164)-1)/7)+1 = VALUE($B$11))),
            'ادخال البيانات'!$I$3:$I$1164
         ),
         ""
      ),
      IF(_xlpm.result="", "", _xlpm.result)
   )
)</f>
        <v/>
      </c>
      <c r="J954" s="27" t="str" cm="1">
        <f t="array" ref="J954">IF(
   A954="",
   "",
   _xlfn.LET(
      _xlpm.result,
      IFERROR(
         _xlfn.XLOOKUP(
            1,
            (Table8[رقم الصنف]=A954) *
            (IF($B$9="الكل",1, YEAR('ادخال البيانات'!$N$3:$N$1164)=VALUE($B$9))) *
            (IF($B$10="الكل",1, MONTH('ادخال البيانات'!$N$3:$N$1164)=VALUE($B$10))) *
            (IF($B$11="الكل",1, INT((DAY('ادخال البيانات'!$N$3:$N$1164)-1)/7)+1 = VALUE($B$11))),
            'ادخال البيانات'!$J$3:$J$1164
         ),
         ""
      ),
      IF(_xlpm.result="", "", _xlpm.result)
   )
)</f>
        <v/>
      </c>
      <c r="K954" s="27" t="str" cm="1">
        <f t="array" ref="K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4" s="27" t="str" cm="1">
        <f t="array" ref="L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4" s="27" t="str" cm="1">
        <f t="array" ref="M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4" s="28" t="str" cm="1">
        <f t="array" ref="N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4" s="28" t="str" cm="1">
        <f t="array" ref="O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4" s="27" t="str" cm="1">
        <f t="array" ref="P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Table8[جهة العطل]
         ),
         ""
      ),
      IF(_xlpm.result="", "", _xlpm.result)
   )
)</f>
        <v/>
      </c>
      <c r="Q954" s="27" t="str" cm="1">
        <f t="array" ref="Q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Table8[المركز]
         ),
         ""
      ),
      IF(_xlpm.result="", "", _xlpm.result)
   )
)</f>
        <v/>
      </c>
      <c r="R954" s="27" t="str" cm="1">
        <f t="array" ref="R954">IF(
   A954="",
   "",
   _xlfn.LET(
      _xlpm.result,
      IFERROR(
         _xlfn.XLOOKUP(
            1,
            (Table8[رقم الصنف]=A954) *
            (IF($B$9="الكل",1, YEAR('ادخال البيانات'!$N$3:$N$1164) = VALUE($B$9))) *
            (IF($B$10="الكل",1, MONTH('ادخال البيانات'!$N$3:$N$1164) = VALUE($B$10))) *
            (IF($B$11="الكل",1, INT((DAY('ادخال البيانات'!$N$3:$N$1164) - 1) / 7) + 1 = VALUE($B$11))),
            Table8[ملاحظة]
         ),
         ""
      ),
      IF(_xlpm.result="", "", _xlpm.result)
   )
)</f>
        <v/>
      </c>
      <c r="S954" s="46" t="str">
        <f t="shared" ca="1" si="15"/>
        <v/>
      </c>
    </row>
    <row r="955" spans="1:19" ht="15.6" thickTop="1" thickBot="1" x14ac:dyDescent="0.35">
      <c r="A955" s="39"/>
      <c r="B955" s="27" t="str" cm="1">
        <f t="array" ref="B955">IF(
   OR(A955="", $B$9="", $B$10="", $B$11=""),
   "",
   _xlfn.LET(
      _xlpm.result,
      IFERROR(
         _xlfn.XLOOKUP(
            1,
            (Table8[رقم الصنف]=A955)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5" s="27" t="str" cm="1">
        <f t="array" ref="C955">IF(
   A955="",
   "",
   _xlfn.LET(
      _xlpm.result,
      IFERROR(
         _xlfn.XLOOKUP(
            1,
            (Table8[رقم الصنف]=A955) *
            (IF($B$9="الكل",1, YEAR('ادخال البيانات'!$N$3:$N$1164) = VALUE($B$9))) *
            (IF($B$10="الكل",1, MONTH('ادخال البيانات'!$N$3:$N$1164) = VALUE($B$10))) *
            (IF($B$11="الكل",1, INT((DAY('ادخال البيانات'!$N$3:$N$1164)-1)/7)+1 = VALUE($B$11))),
            'ادخال البيانات'!$C$3:$C$1164
         ),
         ""
      ),
      IF(_xlpm.result="", "", _xlpm.result)
   )
)</f>
        <v/>
      </c>
      <c r="D955" s="27" t="str" cm="1">
        <f t="array" ref="D955">IF(
   OR(A955="", $B$9="", $B$10="", $B$11=""),
   "",
   _xlfn.LET(
      _xlpm.result,
      IFERROR(
         _xlfn.XLOOKUP(
            1,
            (Table8[رقم الصنف]=A955) *
            (IF($B$9="الكل",1, YEAR('ادخال البيانات'!$N$3:$N$1164)=VALUE($B$9))) *
            (IF($B$10="الكل",1, MONTH('ادخال البيانات'!$N$3:$N$1164)=VALUE($B$10))) *
            (IF($B$11="الكل",1, INT((DAY('ادخال البيانات'!$N$3:$N$1164)-1)/7)+1 = VALUE($B$11))),
            'ادخال البيانات'!$D$3:$D$1164
         ),
         ""
      ),
      IF(_xlpm.result="", "", _xlpm.result)
   )
)</f>
        <v/>
      </c>
      <c r="E955" s="27" t="str" cm="1">
        <f t="array" ref="E955">IF(
   A955="",
   "",
   _xlfn.LET(
      _xlpm.result,
      IFERROR(
         _xlfn.XLOOKUP(
            1,
            (Table8[رقم الصنف]=A955) *
            (IF($B$9="الكل",1, YEAR('ادخال البيانات'!$N$3:$N$1164)=VALUE($B$9))) *
            (IF($B$10="الكل",1, MONTH('ادخال البيانات'!$N$3:$N$1164)=VALUE($B$10))) *
            (IF($B$11="الكل",1, INT((DAY('ادخال البيانات'!$N$3:$N$1164)-1)/7)+1 = VALUE($B$11))),
            'ادخال البيانات'!$E$3:$E$1164
         ),
         ""
      ),
      IF(_xlpm.result="", "", _xlpm.result)
   )
)</f>
        <v/>
      </c>
      <c r="F955" s="27" t="str" cm="1">
        <f t="array" ref="F955">IF(
   A955="",
   "",
   _xlfn.LET(
      _xlpm.result,
      IFERROR(
         _xlfn.XLOOKUP(
            1,
            (Table8[رقم الصنف]=A955) *
            (IF($B$9="الكل",1, YEAR('ادخال البيانات'!$N$3:$N$1164) = VALUE($B$9))) *
            (IF($B$10="الكل",1, MONTH('ادخال البيانات'!$N$3:$N$1164) = VALUE($B$10))) *
            (IF($B$11="الكل",1, INT((DAY('ادخال البيانات'!$N$3:$N$1164)-1)/7)+1 = VALUE($B$11))),
            'ادخال البيانات'!$F$3:$F$1164
         ),
         ""
      ),
      IF(_xlpm.result="", "", _xlpm.result)
   )
)</f>
        <v/>
      </c>
      <c r="G955" s="27" t="str" cm="1">
        <f t="array" ref="G955">IF(
   A955="",
   "",
   _xlfn.LET(
      _xlpm.result,
      IFERROR(
         _xlfn.XLOOKUP(
            1,
            (Table8[رقم الصنف]=A955) *
            (IF($B$9="الكل",1, YEAR('ادخال البيانات'!$N$3:$N$1164)=VALUE($B$9))) *
            (IF($B$10="الكل",1, MONTH('ادخال البيانات'!$N$3:$N$1164)=VALUE($B$10))) *
            (IF($B$11="الكل",1, INT((DAY('ادخال البيانات'!$N$3:$N$1164)-1)/7)+1 = VALUE($B$11))),
            'ادخال البيانات'!$G$3:$G$1164
         ),
         ""
      ),
      IF(_xlpm.result="", "", _xlpm.result)
   )
)</f>
        <v/>
      </c>
      <c r="H955" s="27" t="str" cm="1">
        <f t="array" ref="H955">IF(
   A955="",
   "",
   _xlfn.LET(
      _xlpm.result,
      IFERROR(
         _xlfn.XLOOKUP(
            1,
            (Table8[رقم الصنف]=A955) *
            (IF($B$9="الكل",1, YEAR('ادخال البيانات'!$N$3:$N$1164)=VALUE($B$9))) *
            (IF($B$10="الكل",1, MONTH('ادخال البيانات'!$N$3:$N$1164)=VALUE($B$10))) *
            (IF($B$11="الكل",1, INT((DAY('ادخال البيانات'!$N$3:$N$1164)-1)/7)+1 = VALUE($B$11))),
            'ادخال البيانات'!$H$3:$H$1164
         ),
         ""
      ),
      IF(_xlpm.result="", "", _xlpm.result)
   )
)</f>
        <v/>
      </c>
      <c r="I955" s="27" t="str" cm="1">
        <f t="array" ref="I955">IF(
   A955="",
   "",
   _xlfn.LET(
      _xlpm.result,
      IFERROR(
         _xlfn.XLOOKUP(
            1,
            (Table8[رقم الصنف]=A955) *
            (IF($B$9="الكل",1, YEAR('ادخال البيانات'!$N$3:$N$1164)=VALUE($B$9))) *
            (IF($B$10="الكل",1, MONTH('ادخال البيانات'!$N$3:$N$1164)=VALUE($B$10))) *
            (IF($B$11="الكل",1, INT((DAY('ادخال البيانات'!$N$3:$N$1164)-1)/7)+1 = VALUE($B$11))),
            'ادخال البيانات'!$I$3:$I$1164
         ),
         ""
      ),
      IF(_xlpm.result="", "", _xlpm.result)
   )
)</f>
        <v/>
      </c>
      <c r="J955" s="27" t="str" cm="1">
        <f t="array" ref="J955">IF(
   A955="",
   "",
   _xlfn.LET(
      _xlpm.result,
      IFERROR(
         _xlfn.XLOOKUP(
            1,
            (Table8[رقم الصنف]=A955) *
            (IF($B$9="الكل",1, YEAR('ادخال البيانات'!$N$3:$N$1164)=VALUE($B$9))) *
            (IF($B$10="الكل",1, MONTH('ادخال البيانات'!$N$3:$N$1164)=VALUE($B$10))) *
            (IF($B$11="الكل",1, INT((DAY('ادخال البيانات'!$N$3:$N$1164)-1)/7)+1 = VALUE($B$11))),
            'ادخال البيانات'!$J$3:$J$1164
         ),
         ""
      ),
      IF(_xlpm.result="", "", _xlpm.result)
   )
)</f>
        <v/>
      </c>
      <c r="K955" s="27" t="str" cm="1">
        <f t="array" ref="K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5" s="27" t="str" cm="1">
        <f t="array" ref="L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5" s="27" t="str" cm="1">
        <f t="array" ref="M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5" s="28" t="str" cm="1">
        <f t="array" ref="N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5" s="28" t="str" cm="1">
        <f t="array" ref="O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5" s="27" t="str" cm="1">
        <f t="array" ref="P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Table8[جهة العطل]
         ),
         ""
      ),
      IF(_xlpm.result="", "", _xlpm.result)
   )
)</f>
        <v/>
      </c>
      <c r="Q955" s="27" t="str" cm="1">
        <f t="array" ref="Q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Table8[المركز]
         ),
         ""
      ),
      IF(_xlpm.result="", "", _xlpm.result)
   )
)</f>
        <v/>
      </c>
      <c r="R955" s="27" t="str" cm="1">
        <f t="array" ref="R955">IF(
   A955="",
   "",
   _xlfn.LET(
      _xlpm.result,
      IFERROR(
         _xlfn.XLOOKUP(
            1,
            (Table8[رقم الصنف]=A955) *
            (IF($B$9="الكل",1, YEAR('ادخال البيانات'!$N$3:$N$1164) = VALUE($B$9))) *
            (IF($B$10="الكل",1, MONTH('ادخال البيانات'!$N$3:$N$1164) = VALUE($B$10))) *
            (IF($B$11="الكل",1, INT((DAY('ادخال البيانات'!$N$3:$N$1164) - 1) / 7) + 1 = VALUE($B$11))),
            Table8[ملاحظة]
         ),
         ""
      ),
      IF(_xlpm.result="", "", _xlpm.result)
   )
)</f>
        <v/>
      </c>
      <c r="S955" s="46" t="str">
        <f t="shared" ca="1" si="15"/>
        <v/>
      </c>
    </row>
    <row r="956" spans="1:19" ht="15.6" thickTop="1" thickBot="1" x14ac:dyDescent="0.35">
      <c r="A956" s="39"/>
      <c r="B956" s="27" t="str" cm="1">
        <f t="array" ref="B956">IF(
   OR(A956="", $B$9="", $B$10="", $B$11=""),
   "",
   _xlfn.LET(
      _xlpm.result,
      IFERROR(
         _xlfn.XLOOKUP(
            1,
            (Table8[رقم الصنف]=A956)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6" s="27" t="str" cm="1">
        <f t="array" ref="C956">IF(
   A956="",
   "",
   _xlfn.LET(
      _xlpm.result,
      IFERROR(
         _xlfn.XLOOKUP(
            1,
            (Table8[رقم الصنف]=A956) *
            (IF($B$9="الكل",1, YEAR('ادخال البيانات'!$N$3:$N$1164) = VALUE($B$9))) *
            (IF($B$10="الكل",1, MONTH('ادخال البيانات'!$N$3:$N$1164) = VALUE($B$10))) *
            (IF($B$11="الكل",1, INT((DAY('ادخال البيانات'!$N$3:$N$1164)-1)/7)+1 = VALUE($B$11))),
            'ادخال البيانات'!$C$3:$C$1164
         ),
         ""
      ),
      IF(_xlpm.result="", "", _xlpm.result)
   )
)</f>
        <v/>
      </c>
      <c r="D956" s="27" t="str" cm="1">
        <f t="array" ref="D956">IF(
   OR(A956="", $B$9="", $B$10="", $B$11=""),
   "",
   _xlfn.LET(
      _xlpm.result,
      IFERROR(
         _xlfn.XLOOKUP(
            1,
            (Table8[رقم الصنف]=A956) *
            (IF($B$9="الكل",1, YEAR('ادخال البيانات'!$N$3:$N$1164)=VALUE($B$9))) *
            (IF($B$10="الكل",1, MONTH('ادخال البيانات'!$N$3:$N$1164)=VALUE($B$10))) *
            (IF($B$11="الكل",1, INT((DAY('ادخال البيانات'!$N$3:$N$1164)-1)/7)+1 = VALUE($B$11))),
            'ادخال البيانات'!$D$3:$D$1164
         ),
         ""
      ),
      IF(_xlpm.result="", "", _xlpm.result)
   )
)</f>
        <v/>
      </c>
      <c r="E956" s="27" t="str" cm="1">
        <f t="array" ref="E956">IF(
   A956="",
   "",
   _xlfn.LET(
      _xlpm.result,
      IFERROR(
         _xlfn.XLOOKUP(
            1,
            (Table8[رقم الصنف]=A956) *
            (IF($B$9="الكل",1, YEAR('ادخال البيانات'!$N$3:$N$1164)=VALUE($B$9))) *
            (IF($B$10="الكل",1, MONTH('ادخال البيانات'!$N$3:$N$1164)=VALUE($B$10))) *
            (IF($B$11="الكل",1, INT((DAY('ادخال البيانات'!$N$3:$N$1164)-1)/7)+1 = VALUE($B$11))),
            'ادخال البيانات'!$E$3:$E$1164
         ),
         ""
      ),
      IF(_xlpm.result="", "", _xlpm.result)
   )
)</f>
        <v/>
      </c>
      <c r="F956" s="27" t="str" cm="1">
        <f t="array" ref="F956">IF(
   A956="",
   "",
   _xlfn.LET(
      _xlpm.result,
      IFERROR(
         _xlfn.XLOOKUP(
            1,
            (Table8[رقم الصنف]=A956) *
            (IF($B$9="الكل",1, YEAR('ادخال البيانات'!$N$3:$N$1164) = VALUE($B$9))) *
            (IF($B$10="الكل",1, MONTH('ادخال البيانات'!$N$3:$N$1164) = VALUE($B$10))) *
            (IF($B$11="الكل",1, INT((DAY('ادخال البيانات'!$N$3:$N$1164)-1)/7)+1 = VALUE($B$11))),
            'ادخال البيانات'!$F$3:$F$1164
         ),
         ""
      ),
      IF(_xlpm.result="", "", _xlpm.result)
   )
)</f>
        <v/>
      </c>
      <c r="G956" s="27" t="str" cm="1">
        <f t="array" ref="G956">IF(
   A956="",
   "",
   _xlfn.LET(
      _xlpm.result,
      IFERROR(
         _xlfn.XLOOKUP(
            1,
            (Table8[رقم الصنف]=A956) *
            (IF($B$9="الكل",1, YEAR('ادخال البيانات'!$N$3:$N$1164)=VALUE($B$9))) *
            (IF($B$10="الكل",1, MONTH('ادخال البيانات'!$N$3:$N$1164)=VALUE($B$10))) *
            (IF($B$11="الكل",1, INT((DAY('ادخال البيانات'!$N$3:$N$1164)-1)/7)+1 = VALUE($B$11))),
            'ادخال البيانات'!$G$3:$G$1164
         ),
         ""
      ),
      IF(_xlpm.result="", "", _xlpm.result)
   )
)</f>
        <v/>
      </c>
      <c r="H956" s="27" t="str" cm="1">
        <f t="array" ref="H956">IF(
   A956="",
   "",
   _xlfn.LET(
      _xlpm.result,
      IFERROR(
         _xlfn.XLOOKUP(
            1,
            (Table8[رقم الصنف]=A956) *
            (IF($B$9="الكل",1, YEAR('ادخال البيانات'!$N$3:$N$1164)=VALUE($B$9))) *
            (IF($B$10="الكل",1, MONTH('ادخال البيانات'!$N$3:$N$1164)=VALUE($B$10))) *
            (IF($B$11="الكل",1, INT((DAY('ادخال البيانات'!$N$3:$N$1164)-1)/7)+1 = VALUE($B$11))),
            'ادخال البيانات'!$H$3:$H$1164
         ),
         ""
      ),
      IF(_xlpm.result="", "", _xlpm.result)
   )
)</f>
        <v/>
      </c>
      <c r="I956" s="27" t="str" cm="1">
        <f t="array" ref="I956">IF(
   A956="",
   "",
   _xlfn.LET(
      _xlpm.result,
      IFERROR(
         _xlfn.XLOOKUP(
            1,
            (Table8[رقم الصنف]=A956) *
            (IF($B$9="الكل",1, YEAR('ادخال البيانات'!$N$3:$N$1164)=VALUE($B$9))) *
            (IF($B$10="الكل",1, MONTH('ادخال البيانات'!$N$3:$N$1164)=VALUE($B$10))) *
            (IF($B$11="الكل",1, INT((DAY('ادخال البيانات'!$N$3:$N$1164)-1)/7)+1 = VALUE($B$11))),
            'ادخال البيانات'!$I$3:$I$1164
         ),
         ""
      ),
      IF(_xlpm.result="", "", _xlpm.result)
   )
)</f>
        <v/>
      </c>
      <c r="J956" s="27" t="str" cm="1">
        <f t="array" ref="J956">IF(
   A956="",
   "",
   _xlfn.LET(
      _xlpm.result,
      IFERROR(
         _xlfn.XLOOKUP(
            1,
            (Table8[رقم الصنف]=A956) *
            (IF($B$9="الكل",1, YEAR('ادخال البيانات'!$N$3:$N$1164)=VALUE($B$9))) *
            (IF($B$10="الكل",1, MONTH('ادخال البيانات'!$N$3:$N$1164)=VALUE($B$10))) *
            (IF($B$11="الكل",1, INT((DAY('ادخال البيانات'!$N$3:$N$1164)-1)/7)+1 = VALUE($B$11))),
            'ادخال البيانات'!$J$3:$J$1164
         ),
         ""
      ),
      IF(_xlpm.result="", "", _xlpm.result)
   )
)</f>
        <v/>
      </c>
      <c r="K956" s="27" t="str" cm="1">
        <f t="array" ref="K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6" s="27" t="str" cm="1">
        <f t="array" ref="L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6" s="27" t="str" cm="1">
        <f t="array" ref="M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6" s="28" t="str" cm="1">
        <f t="array" ref="N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6" s="28" t="str" cm="1">
        <f t="array" ref="O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6" s="27" t="str" cm="1">
        <f t="array" ref="P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Table8[جهة العطل]
         ),
         ""
      ),
      IF(_xlpm.result="", "", _xlpm.result)
   )
)</f>
        <v/>
      </c>
      <c r="Q956" s="27" t="str" cm="1">
        <f t="array" ref="Q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Table8[المركز]
         ),
         ""
      ),
      IF(_xlpm.result="", "", _xlpm.result)
   )
)</f>
        <v/>
      </c>
      <c r="R956" s="27" t="str" cm="1">
        <f t="array" ref="R956">IF(
   A956="",
   "",
   _xlfn.LET(
      _xlpm.result,
      IFERROR(
         _xlfn.XLOOKUP(
            1,
            (Table8[رقم الصنف]=A956) *
            (IF($B$9="الكل",1, YEAR('ادخال البيانات'!$N$3:$N$1164) = VALUE($B$9))) *
            (IF($B$10="الكل",1, MONTH('ادخال البيانات'!$N$3:$N$1164) = VALUE($B$10))) *
            (IF($B$11="الكل",1, INT((DAY('ادخال البيانات'!$N$3:$N$1164) - 1) / 7) + 1 = VALUE($B$11))),
            Table8[ملاحظة]
         ),
         ""
      ),
      IF(_xlpm.result="", "", _xlpm.result)
   )
)</f>
        <v/>
      </c>
      <c r="S956" s="46" t="str">
        <f t="shared" ca="1" si="15"/>
        <v/>
      </c>
    </row>
    <row r="957" spans="1:19" ht="15.6" thickTop="1" thickBot="1" x14ac:dyDescent="0.35">
      <c r="A957" s="39"/>
      <c r="B957" s="27" t="str" cm="1">
        <f t="array" ref="B957">IF(
   OR(A957="", $B$9="", $B$10="", $B$11=""),
   "",
   _xlfn.LET(
      _xlpm.result,
      IFERROR(
         _xlfn.XLOOKUP(
            1,
            (Table8[رقم الصنف]=A957)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7" s="27" t="str" cm="1">
        <f t="array" ref="C957">IF(
   A957="",
   "",
   _xlfn.LET(
      _xlpm.result,
      IFERROR(
         _xlfn.XLOOKUP(
            1,
            (Table8[رقم الصنف]=A957) *
            (IF($B$9="الكل",1, YEAR('ادخال البيانات'!$N$3:$N$1164) = VALUE($B$9))) *
            (IF($B$10="الكل",1, MONTH('ادخال البيانات'!$N$3:$N$1164) = VALUE($B$10))) *
            (IF($B$11="الكل",1, INT((DAY('ادخال البيانات'!$N$3:$N$1164)-1)/7)+1 = VALUE($B$11))),
            'ادخال البيانات'!$C$3:$C$1164
         ),
         ""
      ),
      IF(_xlpm.result="", "", _xlpm.result)
   )
)</f>
        <v/>
      </c>
      <c r="D957" s="27" t="str" cm="1">
        <f t="array" ref="D957">IF(
   OR(A957="", $B$9="", $B$10="", $B$11=""),
   "",
   _xlfn.LET(
      _xlpm.result,
      IFERROR(
         _xlfn.XLOOKUP(
            1,
            (Table8[رقم الصنف]=A957) *
            (IF($B$9="الكل",1, YEAR('ادخال البيانات'!$N$3:$N$1164)=VALUE($B$9))) *
            (IF($B$10="الكل",1, MONTH('ادخال البيانات'!$N$3:$N$1164)=VALUE($B$10))) *
            (IF($B$11="الكل",1, INT((DAY('ادخال البيانات'!$N$3:$N$1164)-1)/7)+1 = VALUE($B$11))),
            'ادخال البيانات'!$D$3:$D$1164
         ),
         ""
      ),
      IF(_xlpm.result="", "", _xlpm.result)
   )
)</f>
        <v/>
      </c>
      <c r="E957" s="27" t="str" cm="1">
        <f t="array" ref="E957">IF(
   A957="",
   "",
   _xlfn.LET(
      _xlpm.result,
      IFERROR(
         _xlfn.XLOOKUP(
            1,
            (Table8[رقم الصنف]=A957) *
            (IF($B$9="الكل",1, YEAR('ادخال البيانات'!$N$3:$N$1164)=VALUE($B$9))) *
            (IF($B$10="الكل",1, MONTH('ادخال البيانات'!$N$3:$N$1164)=VALUE($B$10))) *
            (IF($B$11="الكل",1, INT((DAY('ادخال البيانات'!$N$3:$N$1164)-1)/7)+1 = VALUE($B$11))),
            'ادخال البيانات'!$E$3:$E$1164
         ),
         ""
      ),
      IF(_xlpm.result="", "", _xlpm.result)
   )
)</f>
        <v/>
      </c>
      <c r="F957" s="27" t="str" cm="1">
        <f t="array" ref="F957">IF(
   A957="",
   "",
   _xlfn.LET(
      _xlpm.result,
      IFERROR(
         _xlfn.XLOOKUP(
            1,
            (Table8[رقم الصنف]=A957) *
            (IF($B$9="الكل",1, YEAR('ادخال البيانات'!$N$3:$N$1164) = VALUE($B$9))) *
            (IF($B$10="الكل",1, MONTH('ادخال البيانات'!$N$3:$N$1164) = VALUE($B$10))) *
            (IF($B$11="الكل",1, INT((DAY('ادخال البيانات'!$N$3:$N$1164)-1)/7)+1 = VALUE($B$11))),
            'ادخال البيانات'!$F$3:$F$1164
         ),
         ""
      ),
      IF(_xlpm.result="", "", _xlpm.result)
   )
)</f>
        <v/>
      </c>
      <c r="G957" s="27" t="str" cm="1">
        <f t="array" ref="G957">IF(
   A957="",
   "",
   _xlfn.LET(
      _xlpm.result,
      IFERROR(
         _xlfn.XLOOKUP(
            1,
            (Table8[رقم الصنف]=A957) *
            (IF($B$9="الكل",1, YEAR('ادخال البيانات'!$N$3:$N$1164)=VALUE($B$9))) *
            (IF($B$10="الكل",1, MONTH('ادخال البيانات'!$N$3:$N$1164)=VALUE($B$10))) *
            (IF($B$11="الكل",1, INT((DAY('ادخال البيانات'!$N$3:$N$1164)-1)/7)+1 = VALUE($B$11))),
            'ادخال البيانات'!$G$3:$G$1164
         ),
         ""
      ),
      IF(_xlpm.result="", "", _xlpm.result)
   )
)</f>
        <v/>
      </c>
      <c r="H957" s="27" t="str" cm="1">
        <f t="array" ref="H957">IF(
   A957="",
   "",
   _xlfn.LET(
      _xlpm.result,
      IFERROR(
         _xlfn.XLOOKUP(
            1,
            (Table8[رقم الصنف]=A957) *
            (IF($B$9="الكل",1, YEAR('ادخال البيانات'!$N$3:$N$1164)=VALUE($B$9))) *
            (IF($B$10="الكل",1, MONTH('ادخال البيانات'!$N$3:$N$1164)=VALUE($B$10))) *
            (IF($B$11="الكل",1, INT((DAY('ادخال البيانات'!$N$3:$N$1164)-1)/7)+1 = VALUE($B$11))),
            'ادخال البيانات'!$H$3:$H$1164
         ),
         ""
      ),
      IF(_xlpm.result="", "", _xlpm.result)
   )
)</f>
        <v/>
      </c>
      <c r="I957" s="27" t="str" cm="1">
        <f t="array" ref="I957">IF(
   A957="",
   "",
   _xlfn.LET(
      _xlpm.result,
      IFERROR(
         _xlfn.XLOOKUP(
            1,
            (Table8[رقم الصنف]=A957) *
            (IF($B$9="الكل",1, YEAR('ادخال البيانات'!$N$3:$N$1164)=VALUE($B$9))) *
            (IF($B$10="الكل",1, MONTH('ادخال البيانات'!$N$3:$N$1164)=VALUE($B$10))) *
            (IF($B$11="الكل",1, INT((DAY('ادخال البيانات'!$N$3:$N$1164)-1)/7)+1 = VALUE($B$11))),
            'ادخال البيانات'!$I$3:$I$1164
         ),
         ""
      ),
      IF(_xlpm.result="", "", _xlpm.result)
   )
)</f>
        <v/>
      </c>
      <c r="J957" s="27" t="str" cm="1">
        <f t="array" ref="J957">IF(
   A957="",
   "",
   _xlfn.LET(
      _xlpm.result,
      IFERROR(
         _xlfn.XLOOKUP(
            1,
            (Table8[رقم الصنف]=A957) *
            (IF($B$9="الكل",1, YEAR('ادخال البيانات'!$N$3:$N$1164)=VALUE($B$9))) *
            (IF($B$10="الكل",1, MONTH('ادخال البيانات'!$N$3:$N$1164)=VALUE($B$10))) *
            (IF($B$11="الكل",1, INT((DAY('ادخال البيانات'!$N$3:$N$1164)-1)/7)+1 = VALUE($B$11))),
            'ادخال البيانات'!$J$3:$J$1164
         ),
         ""
      ),
      IF(_xlpm.result="", "", _xlpm.result)
   )
)</f>
        <v/>
      </c>
      <c r="K957" s="27" t="str" cm="1">
        <f t="array" ref="K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7" s="27" t="str" cm="1">
        <f t="array" ref="L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7" s="27" t="str" cm="1">
        <f t="array" ref="M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7" s="28" t="str" cm="1">
        <f t="array" ref="N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7" s="28" t="str" cm="1">
        <f t="array" ref="O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7" s="27" t="str" cm="1">
        <f t="array" ref="P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Table8[جهة العطل]
         ),
         ""
      ),
      IF(_xlpm.result="", "", _xlpm.result)
   )
)</f>
        <v/>
      </c>
      <c r="Q957" s="27" t="str" cm="1">
        <f t="array" ref="Q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Table8[المركز]
         ),
         ""
      ),
      IF(_xlpm.result="", "", _xlpm.result)
   )
)</f>
        <v/>
      </c>
      <c r="R957" s="27" t="str" cm="1">
        <f t="array" ref="R957">IF(
   A957="",
   "",
   _xlfn.LET(
      _xlpm.result,
      IFERROR(
         _xlfn.XLOOKUP(
            1,
            (Table8[رقم الصنف]=A957) *
            (IF($B$9="الكل",1, YEAR('ادخال البيانات'!$N$3:$N$1164) = VALUE($B$9))) *
            (IF($B$10="الكل",1, MONTH('ادخال البيانات'!$N$3:$N$1164) = VALUE($B$10))) *
            (IF($B$11="الكل",1, INT((DAY('ادخال البيانات'!$N$3:$N$1164) - 1) / 7) + 1 = VALUE($B$11))),
            Table8[ملاحظة]
         ),
         ""
      ),
      IF(_xlpm.result="", "", _xlpm.result)
   )
)</f>
        <v/>
      </c>
      <c r="S957" s="46" t="str">
        <f t="shared" ca="1" si="15"/>
        <v/>
      </c>
    </row>
    <row r="958" spans="1:19" ht="15.6" thickTop="1" thickBot="1" x14ac:dyDescent="0.35">
      <c r="A958" s="39"/>
      <c r="B958" s="27" t="str" cm="1">
        <f t="array" ref="B958">IF(
   OR(A958="", $B$9="", $B$10="", $B$11=""),
   "",
   _xlfn.LET(
      _xlpm.result,
      IFERROR(
         _xlfn.XLOOKUP(
            1,
            (Table8[رقم الصنف]=A958)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8" s="27" t="str" cm="1">
        <f t="array" ref="C958">IF(
   A958="",
   "",
   _xlfn.LET(
      _xlpm.result,
      IFERROR(
         _xlfn.XLOOKUP(
            1,
            (Table8[رقم الصنف]=A958) *
            (IF($B$9="الكل",1, YEAR('ادخال البيانات'!$N$3:$N$1164) = VALUE($B$9))) *
            (IF($B$10="الكل",1, MONTH('ادخال البيانات'!$N$3:$N$1164) = VALUE($B$10))) *
            (IF($B$11="الكل",1, INT((DAY('ادخال البيانات'!$N$3:$N$1164)-1)/7)+1 = VALUE($B$11))),
            'ادخال البيانات'!$C$3:$C$1164
         ),
         ""
      ),
      IF(_xlpm.result="", "", _xlpm.result)
   )
)</f>
        <v/>
      </c>
      <c r="D958" s="27" t="str" cm="1">
        <f t="array" ref="D958">IF(
   OR(A958="", $B$9="", $B$10="", $B$11=""),
   "",
   _xlfn.LET(
      _xlpm.result,
      IFERROR(
         _xlfn.XLOOKUP(
            1,
            (Table8[رقم الصنف]=A958) *
            (IF($B$9="الكل",1, YEAR('ادخال البيانات'!$N$3:$N$1164)=VALUE($B$9))) *
            (IF($B$10="الكل",1, MONTH('ادخال البيانات'!$N$3:$N$1164)=VALUE($B$10))) *
            (IF($B$11="الكل",1, INT((DAY('ادخال البيانات'!$N$3:$N$1164)-1)/7)+1 = VALUE($B$11))),
            'ادخال البيانات'!$D$3:$D$1164
         ),
         ""
      ),
      IF(_xlpm.result="", "", _xlpm.result)
   )
)</f>
        <v/>
      </c>
      <c r="E958" s="27" t="str" cm="1">
        <f t="array" ref="E958">IF(
   A958="",
   "",
   _xlfn.LET(
      _xlpm.result,
      IFERROR(
         _xlfn.XLOOKUP(
            1,
            (Table8[رقم الصنف]=A958) *
            (IF($B$9="الكل",1, YEAR('ادخال البيانات'!$N$3:$N$1164)=VALUE($B$9))) *
            (IF($B$10="الكل",1, MONTH('ادخال البيانات'!$N$3:$N$1164)=VALUE($B$10))) *
            (IF($B$11="الكل",1, INT((DAY('ادخال البيانات'!$N$3:$N$1164)-1)/7)+1 = VALUE($B$11))),
            'ادخال البيانات'!$E$3:$E$1164
         ),
         ""
      ),
      IF(_xlpm.result="", "", _xlpm.result)
   )
)</f>
        <v/>
      </c>
      <c r="F958" s="27" t="str" cm="1">
        <f t="array" ref="F958">IF(
   A958="",
   "",
   _xlfn.LET(
      _xlpm.result,
      IFERROR(
         _xlfn.XLOOKUP(
            1,
            (Table8[رقم الصنف]=A958) *
            (IF($B$9="الكل",1, YEAR('ادخال البيانات'!$N$3:$N$1164) = VALUE($B$9))) *
            (IF($B$10="الكل",1, MONTH('ادخال البيانات'!$N$3:$N$1164) = VALUE($B$10))) *
            (IF($B$11="الكل",1, INT((DAY('ادخال البيانات'!$N$3:$N$1164)-1)/7)+1 = VALUE($B$11))),
            'ادخال البيانات'!$F$3:$F$1164
         ),
         ""
      ),
      IF(_xlpm.result="", "", _xlpm.result)
   )
)</f>
        <v/>
      </c>
      <c r="G958" s="27" t="str" cm="1">
        <f t="array" ref="G958">IF(
   A958="",
   "",
   _xlfn.LET(
      _xlpm.result,
      IFERROR(
         _xlfn.XLOOKUP(
            1,
            (Table8[رقم الصنف]=A958) *
            (IF($B$9="الكل",1, YEAR('ادخال البيانات'!$N$3:$N$1164)=VALUE($B$9))) *
            (IF($B$10="الكل",1, MONTH('ادخال البيانات'!$N$3:$N$1164)=VALUE($B$10))) *
            (IF($B$11="الكل",1, INT((DAY('ادخال البيانات'!$N$3:$N$1164)-1)/7)+1 = VALUE($B$11))),
            'ادخال البيانات'!$G$3:$G$1164
         ),
         ""
      ),
      IF(_xlpm.result="", "", _xlpm.result)
   )
)</f>
        <v/>
      </c>
      <c r="H958" s="27" t="str" cm="1">
        <f t="array" ref="H958">IF(
   A958="",
   "",
   _xlfn.LET(
      _xlpm.result,
      IFERROR(
         _xlfn.XLOOKUP(
            1,
            (Table8[رقم الصنف]=A958) *
            (IF($B$9="الكل",1, YEAR('ادخال البيانات'!$N$3:$N$1164)=VALUE($B$9))) *
            (IF($B$10="الكل",1, MONTH('ادخال البيانات'!$N$3:$N$1164)=VALUE($B$10))) *
            (IF($B$11="الكل",1, INT((DAY('ادخال البيانات'!$N$3:$N$1164)-1)/7)+1 = VALUE($B$11))),
            'ادخال البيانات'!$H$3:$H$1164
         ),
         ""
      ),
      IF(_xlpm.result="", "", _xlpm.result)
   )
)</f>
        <v/>
      </c>
      <c r="I958" s="27" t="str" cm="1">
        <f t="array" ref="I958">IF(
   A958="",
   "",
   _xlfn.LET(
      _xlpm.result,
      IFERROR(
         _xlfn.XLOOKUP(
            1,
            (Table8[رقم الصنف]=A958) *
            (IF($B$9="الكل",1, YEAR('ادخال البيانات'!$N$3:$N$1164)=VALUE($B$9))) *
            (IF($B$10="الكل",1, MONTH('ادخال البيانات'!$N$3:$N$1164)=VALUE($B$10))) *
            (IF($B$11="الكل",1, INT((DAY('ادخال البيانات'!$N$3:$N$1164)-1)/7)+1 = VALUE($B$11))),
            'ادخال البيانات'!$I$3:$I$1164
         ),
         ""
      ),
      IF(_xlpm.result="", "", _xlpm.result)
   )
)</f>
        <v/>
      </c>
      <c r="J958" s="27" t="str" cm="1">
        <f t="array" ref="J958">IF(
   A958="",
   "",
   _xlfn.LET(
      _xlpm.result,
      IFERROR(
         _xlfn.XLOOKUP(
            1,
            (Table8[رقم الصنف]=A958) *
            (IF($B$9="الكل",1, YEAR('ادخال البيانات'!$N$3:$N$1164)=VALUE($B$9))) *
            (IF($B$10="الكل",1, MONTH('ادخال البيانات'!$N$3:$N$1164)=VALUE($B$10))) *
            (IF($B$11="الكل",1, INT((DAY('ادخال البيانات'!$N$3:$N$1164)-1)/7)+1 = VALUE($B$11))),
            'ادخال البيانات'!$J$3:$J$1164
         ),
         ""
      ),
      IF(_xlpm.result="", "", _xlpm.result)
   )
)</f>
        <v/>
      </c>
      <c r="K958" s="27" t="str" cm="1">
        <f t="array" ref="K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8" s="27" t="str" cm="1">
        <f t="array" ref="L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8" s="27" t="str" cm="1">
        <f t="array" ref="M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8" s="28" t="str" cm="1">
        <f t="array" ref="N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8" s="28" t="str" cm="1">
        <f t="array" ref="O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8" s="27" t="str" cm="1">
        <f t="array" ref="P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Table8[جهة العطل]
         ),
         ""
      ),
      IF(_xlpm.result="", "", _xlpm.result)
   )
)</f>
        <v/>
      </c>
      <c r="Q958" s="27" t="str" cm="1">
        <f t="array" ref="Q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Table8[المركز]
         ),
         ""
      ),
      IF(_xlpm.result="", "", _xlpm.result)
   )
)</f>
        <v/>
      </c>
      <c r="R958" s="27" t="str" cm="1">
        <f t="array" ref="R958">IF(
   A958="",
   "",
   _xlfn.LET(
      _xlpm.result,
      IFERROR(
         _xlfn.XLOOKUP(
            1,
            (Table8[رقم الصنف]=A958) *
            (IF($B$9="الكل",1, YEAR('ادخال البيانات'!$N$3:$N$1164) = VALUE($B$9))) *
            (IF($B$10="الكل",1, MONTH('ادخال البيانات'!$N$3:$N$1164) = VALUE($B$10))) *
            (IF($B$11="الكل",1, INT((DAY('ادخال البيانات'!$N$3:$N$1164) - 1) / 7) + 1 = VALUE($B$11))),
            Table8[ملاحظة]
         ),
         ""
      ),
      IF(_xlpm.result="", "", _xlpm.result)
   )
)</f>
        <v/>
      </c>
      <c r="S958" s="46" t="str">
        <f t="shared" ca="1" si="15"/>
        <v/>
      </c>
    </row>
    <row r="959" spans="1:19" ht="15.6" thickTop="1" thickBot="1" x14ac:dyDescent="0.35">
      <c r="A959" s="39"/>
      <c r="B959" s="27" t="str" cm="1">
        <f t="array" ref="B959">IF(
   OR(A959="", $B$9="", $B$10="", $B$11=""),
   "",
   _xlfn.LET(
      _xlpm.result,
      IFERROR(
         _xlfn.XLOOKUP(
            1,
            (Table8[رقم الصنف]=A959)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59" s="27" t="str" cm="1">
        <f t="array" ref="C959">IF(
   A959="",
   "",
   _xlfn.LET(
      _xlpm.result,
      IFERROR(
         _xlfn.XLOOKUP(
            1,
            (Table8[رقم الصنف]=A959) *
            (IF($B$9="الكل",1, YEAR('ادخال البيانات'!$N$3:$N$1164) = VALUE($B$9))) *
            (IF($B$10="الكل",1, MONTH('ادخال البيانات'!$N$3:$N$1164) = VALUE($B$10))) *
            (IF($B$11="الكل",1, INT((DAY('ادخال البيانات'!$N$3:$N$1164)-1)/7)+1 = VALUE($B$11))),
            'ادخال البيانات'!$C$3:$C$1164
         ),
         ""
      ),
      IF(_xlpm.result="", "", _xlpm.result)
   )
)</f>
        <v/>
      </c>
      <c r="D959" s="27" t="str" cm="1">
        <f t="array" ref="D959">IF(
   OR(A959="", $B$9="", $B$10="", $B$11=""),
   "",
   _xlfn.LET(
      _xlpm.result,
      IFERROR(
         _xlfn.XLOOKUP(
            1,
            (Table8[رقم الصنف]=A959) *
            (IF($B$9="الكل",1, YEAR('ادخال البيانات'!$N$3:$N$1164)=VALUE($B$9))) *
            (IF($B$10="الكل",1, MONTH('ادخال البيانات'!$N$3:$N$1164)=VALUE($B$10))) *
            (IF($B$11="الكل",1, INT((DAY('ادخال البيانات'!$N$3:$N$1164)-1)/7)+1 = VALUE($B$11))),
            'ادخال البيانات'!$D$3:$D$1164
         ),
         ""
      ),
      IF(_xlpm.result="", "", _xlpm.result)
   )
)</f>
        <v/>
      </c>
      <c r="E959" s="27" t="str" cm="1">
        <f t="array" ref="E959">IF(
   A959="",
   "",
   _xlfn.LET(
      _xlpm.result,
      IFERROR(
         _xlfn.XLOOKUP(
            1,
            (Table8[رقم الصنف]=A959) *
            (IF($B$9="الكل",1, YEAR('ادخال البيانات'!$N$3:$N$1164)=VALUE($B$9))) *
            (IF($B$10="الكل",1, MONTH('ادخال البيانات'!$N$3:$N$1164)=VALUE($B$10))) *
            (IF($B$11="الكل",1, INT((DAY('ادخال البيانات'!$N$3:$N$1164)-1)/7)+1 = VALUE($B$11))),
            'ادخال البيانات'!$E$3:$E$1164
         ),
         ""
      ),
      IF(_xlpm.result="", "", _xlpm.result)
   )
)</f>
        <v/>
      </c>
      <c r="F959" s="27" t="str" cm="1">
        <f t="array" ref="F959">IF(
   A959="",
   "",
   _xlfn.LET(
      _xlpm.result,
      IFERROR(
         _xlfn.XLOOKUP(
            1,
            (Table8[رقم الصنف]=A959) *
            (IF($B$9="الكل",1, YEAR('ادخال البيانات'!$N$3:$N$1164) = VALUE($B$9))) *
            (IF($B$10="الكل",1, MONTH('ادخال البيانات'!$N$3:$N$1164) = VALUE($B$10))) *
            (IF($B$11="الكل",1, INT((DAY('ادخال البيانات'!$N$3:$N$1164)-1)/7)+1 = VALUE($B$11))),
            'ادخال البيانات'!$F$3:$F$1164
         ),
         ""
      ),
      IF(_xlpm.result="", "", _xlpm.result)
   )
)</f>
        <v/>
      </c>
      <c r="G959" s="27" t="str" cm="1">
        <f t="array" ref="G959">IF(
   A959="",
   "",
   _xlfn.LET(
      _xlpm.result,
      IFERROR(
         _xlfn.XLOOKUP(
            1,
            (Table8[رقم الصنف]=A959) *
            (IF($B$9="الكل",1, YEAR('ادخال البيانات'!$N$3:$N$1164)=VALUE($B$9))) *
            (IF($B$10="الكل",1, MONTH('ادخال البيانات'!$N$3:$N$1164)=VALUE($B$10))) *
            (IF($B$11="الكل",1, INT((DAY('ادخال البيانات'!$N$3:$N$1164)-1)/7)+1 = VALUE($B$11))),
            'ادخال البيانات'!$G$3:$G$1164
         ),
         ""
      ),
      IF(_xlpm.result="", "", _xlpm.result)
   )
)</f>
        <v/>
      </c>
      <c r="H959" s="27" t="str" cm="1">
        <f t="array" ref="H959">IF(
   A959="",
   "",
   _xlfn.LET(
      _xlpm.result,
      IFERROR(
         _xlfn.XLOOKUP(
            1,
            (Table8[رقم الصنف]=A959) *
            (IF($B$9="الكل",1, YEAR('ادخال البيانات'!$N$3:$N$1164)=VALUE($B$9))) *
            (IF($B$10="الكل",1, MONTH('ادخال البيانات'!$N$3:$N$1164)=VALUE($B$10))) *
            (IF($B$11="الكل",1, INT((DAY('ادخال البيانات'!$N$3:$N$1164)-1)/7)+1 = VALUE($B$11))),
            'ادخال البيانات'!$H$3:$H$1164
         ),
         ""
      ),
      IF(_xlpm.result="", "", _xlpm.result)
   )
)</f>
        <v/>
      </c>
      <c r="I959" s="27" t="str" cm="1">
        <f t="array" ref="I959">IF(
   A959="",
   "",
   _xlfn.LET(
      _xlpm.result,
      IFERROR(
         _xlfn.XLOOKUP(
            1,
            (Table8[رقم الصنف]=A959) *
            (IF($B$9="الكل",1, YEAR('ادخال البيانات'!$N$3:$N$1164)=VALUE($B$9))) *
            (IF($B$10="الكل",1, MONTH('ادخال البيانات'!$N$3:$N$1164)=VALUE($B$10))) *
            (IF($B$11="الكل",1, INT((DAY('ادخال البيانات'!$N$3:$N$1164)-1)/7)+1 = VALUE($B$11))),
            'ادخال البيانات'!$I$3:$I$1164
         ),
         ""
      ),
      IF(_xlpm.result="", "", _xlpm.result)
   )
)</f>
        <v/>
      </c>
      <c r="J959" s="27" t="str" cm="1">
        <f t="array" ref="J959">IF(
   A959="",
   "",
   _xlfn.LET(
      _xlpm.result,
      IFERROR(
         _xlfn.XLOOKUP(
            1,
            (Table8[رقم الصنف]=A959) *
            (IF($B$9="الكل",1, YEAR('ادخال البيانات'!$N$3:$N$1164)=VALUE($B$9))) *
            (IF($B$10="الكل",1, MONTH('ادخال البيانات'!$N$3:$N$1164)=VALUE($B$10))) *
            (IF($B$11="الكل",1, INT((DAY('ادخال البيانات'!$N$3:$N$1164)-1)/7)+1 = VALUE($B$11))),
            'ادخال البيانات'!$J$3:$J$1164
         ),
         ""
      ),
      IF(_xlpm.result="", "", _xlpm.result)
   )
)</f>
        <v/>
      </c>
      <c r="K959" s="27" t="str" cm="1">
        <f t="array" ref="K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59" s="27" t="str" cm="1">
        <f t="array" ref="L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59" s="27" t="str" cm="1">
        <f t="array" ref="M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59" s="28" t="str" cm="1">
        <f t="array" ref="N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59" s="28" t="str" cm="1">
        <f t="array" ref="O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59" s="27" t="str" cm="1">
        <f t="array" ref="P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Table8[جهة العطل]
         ),
         ""
      ),
      IF(_xlpm.result="", "", _xlpm.result)
   )
)</f>
        <v/>
      </c>
      <c r="Q959" s="27" t="str" cm="1">
        <f t="array" ref="Q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Table8[المركز]
         ),
         ""
      ),
      IF(_xlpm.result="", "", _xlpm.result)
   )
)</f>
        <v/>
      </c>
      <c r="R959" s="27" t="str" cm="1">
        <f t="array" ref="R959">IF(
   A959="",
   "",
   _xlfn.LET(
      _xlpm.result,
      IFERROR(
         _xlfn.XLOOKUP(
            1,
            (Table8[رقم الصنف]=A959) *
            (IF($B$9="الكل",1, YEAR('ادخال البيانات'!$N$3:$N$1164) = VALUE($B$9))) *
            (IF($B$10="الكل",1, MONTH('ادخال البيانات'!$N$3:$N$1164) = VALUE($B$10))) *
            (IF($B$11="الكل",1, INT((DAY('ادخال البيانات'!$N$3:$N$1164) - 1) / 7) + 1 = VALUE($B$11))),
            Table8[ملاحظة]
         ),
         ""
      ),
      IF(_xlpm.result="", "", _xlpm.result)
   )
)</f>
        <v/>
      </c>
      <c r="S959" s="46" t="str">
        <f t="shared" ca="1" si="15"/>
        <v/>
      </c>
    </row>
    <row r="960" spans="1:19" ht="15.6" thickTop="1" thickBot="1" x14ac:dyDescent="0.35">
      <c r="A960" s="39"/>
      <c r="B960" s="27" t="str" cm="1">
        <f t="array" ref="B960">IF(
   OR(A960="", $B$9="", $B$10="", $B$11=""),
   "",
   _xlfn.LET(
      _xlpm.result,
      IFERROR(
         _xlfn.XLOOKUP(
            1,
            (Table8[رقم الصنف]=A960)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0" s="27" t="str" cm="1">
        <f t="array" ref="C960">IF(
   A960="",
   "",
   _xlfn.LET(
      _xlpm.result,
      IFERROR(
         _xlfn.XLOOKUP(
            1,
            (Table8[رقم الصنف]=A960) *
            (IF($B$9="الكل",1, YEAR('ادخال البيانات'!$N$3:$N$1164) = VALUE($B$9))) *
            (IF($B$10="الكل",1, MONTH('ادخال البيانات'!$N$3:$N$1164) = VALUE($B$10))) *
            (IF($B$11="الكل",1, INT((DAY('ادخال البيانات'!$N$3:$N$1164)-1)/7)+1 = VALUE($B$11))),
            'ادخال البيانات'!$C$3:$C$1164
         ),
         ""
      ),
      IF(_xlpm.result="", "", _xlpm.result)
   )
)</f>
        <v/>
      </c>
      <c r="D960" s="27" t="str" cm="1">
        <f t="array" ref="D960">IF(
   OR(A960="", $B$9="", $B$10="", $B$11=""),
   "",
   _xlfn.LET(
      _xlpm.result,
      IFERROR(
         _xlfn.XLOOKUP(
            1,
            (Table8[رقم الصنف]=A960) *
            (IF($B$9="الكل",1, YEAR('ادخال البيانات'!$N$3:$N$1164)=VALUE($B$9))) *
            (IF($B$10="الكل",1, MONTH('ادخال البيانات'!$N$3:$N$1164)=VALUE($B$10))) *
            (IF($B$11="الكل",1, INT((DAY('ادخال البيانات'!$N$3:$N$1164)-1)/7)+1 = VALUE($B$11))),
            'ادخال البيانات'!$D$3:$D$1164
         ),
         ""
      ),
      IF(_xlpm.result="", "", _xlpm.result)
   )
)</f>
        <v/>
      </c>
      <c r="E960" s="27" t="str" cm="1">
        <f t="array" ref="E960">IF(
   A960="",
   "",
   _xlfn.LET(
      _xlpm.result,
      IFERROR(
         _xlfn.XLOOKUP(
            1,
            (Table8[رقم الصنف]=A960) *
            (IF($B$9="الكل",1, YEAR('ادخال البيانات'!$N$3:$N$1164)=VALUE($B$9))) *
            (IF($B$10="الكل",1, MONTH('ادخال البيانات'!$N$3:$N$1164)=VALUE($B$10))) *
            (IF($B$11="الكل",1, INT((DAY('ادخال البيانات'!$N$3:$N$1164)-1)/7)+1 = VALUE($B$11))),
            'ادخال البيانات'!$E$3:$E$1164
         ),
         ""
      ),
      IF(_xlpm.result="", "", _xlpm.result)
   )
)</f>
        <v/>
      </c>
      <c r="F960" s="27" t="str" cm="1">
        <f t="array" ref="F960">IF(
   A960="",
   "",
   _xlfn.LET(
      _xlpm.result,
      IFERROR(
         _xlfn.XLOOKUP(
            1,
            (Table8[رقم الصنف]=A960) *
            (IF($B$9="الكل",1, YEAR('ادخال البيانات'!$N$3:$N$1164) = VALUE($B$9))) *
            (IF($B$10="الكل",1, MONTH('ادخال البيانات'!$N$3:$N$1164) = VALUE($B$10))) *
            (IF($B$11="الكل",1, INT((DAY('ادخال البيانات'!$N$3:$N$1164)-1)/7)+1 = VALUE($B$11))),
            'ادخال البيانات'!$F$3:$F$1164
         ),
         ""
      ),
      IF(_xlpm.result="", "", _xlpm.result)
   )
)</f>
        <v/>
      </c>
      <c r="G960" s="27" t="str" cm="1">
        <f t="array" ref="G960">IF(
   A960="",
   "",
   _xlfn.LET(
      _xlpm.result,
      IFERROR(
         _xlfn.XLOOKUP(
            1,
            (Table8[رقم الصنف]=A960) *
            (IF($B$9="الكل",1, YEAR('ادخال البيانات'!$N$3:$N$1164)=VALUE($B$9))) *
            (IF($B$10="الكل",1, MONTH('ادخال البيانات'!$N$3:$N$1164)=VALUE($B$10))) *
            (IF($B$11="الكل",1, INT((DAY('ادخال البيانات'!$N$3:$N$1164)-1)/7)+1 = VALUE($B$11))),
            'ادخال البيانات'!$G$3:$G$1164
         ),
         ""
      ),
      IF(_xlpm.result="", "", _xlpm.result)
   )
)</f>
        <v/>
      </c>
      <c r="H960" s="27" t="str" cm="1">
        <f t="array" ref="H960">IF(
   A960="",
   "",
   _xlfn.LET(
      _xlpm.result,
      IFERROR(
         _xlfn.XLOOKUP(
            1,
            (Table8[رقم الصنف]=A960) *
            (IF($B$9="الكل",1, YEAR('ادخال البيانات'!$N$3:$N$1164)=VALUE($B$9))) *
            (IF($B$10="الكل",1, MONTH('ادخال البيانات'!$N$3:$N$1164)=VALUE($B$10))) *
            (IF($B$11="الكل",1, INT((DAY('ادخال البيانات'!$N$3:$N$1164)-1)/7)+1 = VALUE($B$11))),
            'ادخال البيانات'!$H$3:$H$1164
         ),
         ""
      ),
      IF(_xlpm.result="", "", _xlpm.result)
   )
)</f>
        <v/>
      </c>
      <c r="I960" s="27" t="str" cm="1">
        <f t="array" ref="I960">IF(
   A960="",
   "",
   _xlfn.LET(
      _xlpm.result,
      IFERROR(
         _xlfn.XLOOKUP(
            1,
            (Table8[رقم الصنف]=A960) *
            (IF($B$9="الكل",1, YEAR('ادخال البيانات'!$N$3:$N$1164)=VALUE($B$9))) *
            (IF($B$10="الكل",1, MONTH('ادخال البيانات'!$N$3:$N$1164)=VALUE($B$10))) *
            (IF($B$11="الكل",1, INT((DAY('ادخال البيانات'!$N$3:$N$1164)-1)/7)+1 = VALUE($B$11))),
            'ادخال البيانات'!$I$3:$I$1164
         ),
         ""
      ),
      IF(_xlpm.result="", "", _xlpm.result)
   )
)</f>
        <v/>
      </c>
      <c r="J960" s="27" t="str" cm="1">
        <f t="array" ref="J960">IF(
   A960="",
   "",
   _xlfn.LET(
      _xlpm.result,
      IFERROR(
         _xlfn.XLOOKUP(
            1,
            (Table8[رقم الصنف]=A960) *
            (IF($B$9="الكل",1, YEAR('ادخال البيانات'!$N$3:$N$1164)=VALUE($B$9))) *
            (IF($B$10="الكل",1, MONTH('ادخال البيانات'!$N$3:$N$1164)=VALUE($B$10))) *
            (IF($B$11="الكل",1, INT((DAY('ادخال البيانات'!$N$3:$N$1164)-1)/7)+1 = VALUE($B$11))),
            'ادخال البيانات'!$J$3:$J$1164
         ),
         ""
      ),
      IF(_xlpm.result="", "", _xlpm.result)
   )
)</f>
        <v/>
      </c>
      <c r="K960" s="27" t="str" cm="1">
        <f t="array" ref="K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0" s="27" t="str" cm="1">
        <f t="array" ref="L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0" s="27" t="str" cm="1">
        <f t="array" ref="M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0" s="28" t="str" cm="1">
        <f t="array" ref="N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0" s="28" t="str" cm="1">
        <f t="array" ref="O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0" s="27" t="str" cm="1">
        <f t="array" ref="P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Table8[جهة العطل]
         ),
         ""
      ),
      IF(_xlpm.result="", "", _xlpm.result)
   )
)</f>
        <v/>
      </c>
      <c r="Q960" s="27" t="str" cm="1">
        <f t="array" ref="Q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Table8[المركز]
         ),
         ""
      ),
      IF(_xlpm.result="", "", _xlpm.result)
   )
)</f>
        <v/>
      </c>
      <c r="R960" s="27" t="str" cm="1">
        <f t="array" ref="R960">IF(
   A960="",
   "",
   _xlfn.LET(
      _xlpm.result,
      IFERROR(
         _xlfn.XLOOKUP(
            1,
            (Table8[رقم الصنف]=A960) *
            (IF($B$9="الكل",1, YEAR('ادخال البيانات'!$N$3:$N$1164) = VALUE($B$9))) *
            (IF($B$10="الكل",1, MONTH('ادخال البيانات'!$N$3:$N$1164) = VALUE($B$10))) *
            (IF($B$11="الكل",1, INT((DAY('ادخال البيانات'!$N$3:$N$1164) - 1) / 7) + 1 = VALUE($B$11))),
            Table8[ملاحظة]
         ),
         ""
      ),
      IF(_xlpm.result="", "", _xlpm.result)
   )
)</f>
        <v/>
      </c>
      <c r="S960" s="46" t="str">
        <f t="shared" ca="1" si="15"/>
        <v/>
      </c>
    </row>
    <row r="961" spans="1:19" ht="15.6" thickTop="1" thickBot="1" x14ac:dyDescent="0.35">
      <c r="A961" s="39"/>
      <c r="B961" s="27" t="str" cm="1">
        <f t="array" ref="B961">IF(
   OR(A961="", $B$9="", $B$10="", $B$11=""),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1" s="27" t="str" cm="1">
        <f t="array" ref="C961">IF(
   A961="",
   "",
   _xlfn.LET(
      _xlpm.result,
      IFERROR(
         _xlfn.XLOOKUP(
            1,
            (Table8[رقم الصنف]=A961) *
            (IF($B$9="الكل",1, YEAR('ادخال البيانات'!$N$3:$N$1164) = VALUE($B$9))) *
            (IF($B$10="الكل",1, MONTH('ادخال البيانات'!$N$3:$N$1164) = VALUE($B$10))) *
            (IF($B$11="الكل",1, INT((DAY('ادخال البيانات'!$N$3:$N$1164)-1)/7)+1 = VALUE($B$11))),
            'ادخال البيانات'!$C$3:$C$1164
         ),
         ""
      ),
      IF(_xlpm.result="", "", _xlpm.result)
   )
)</f>
        <v/>
      </c>
      <c r="D961" s="27" t="str" cm="1">
        <f t="array" ref="D961">IF(
   OR(A961="", $B$9="", $B$10="", $B$11=""),
   "",
   _xlfn.LET(
      _xlpm.result,
      IFERROR(
         _xlfn.XLOOKUP(
            1,
            (Table8[رقم الصنف]=A961) *
            (IF($B$9="الكل",1, YEAR('ادخال البيانات'!$N$3:$N$1164)=VALUE($B$9))) *
            (IF($B$10="الكل",1, MONTH('ادخال البيانات'!$N$3:$N$1164)=VALUE($B$10))) *
            (IF($B$11="الكل",1, INT((DAY('ادخال البيانات'!$N$3:$N$1164)-1)/7)+1 = VALUE($B$11))),
            'ادخال البيانات'!$D$3:$D$1164
         ),
         ""
      ),
      IF(_xlpm.result="", "", _xlpm.result)
   )
)</f>
        <v/>
      </c>
      <c r="E961" s="27" t="str" cm="1">
        <f t="array" ref="E961">IF(
   A961="",
   "",
   _xlfn.LET(
      _xlpm.result,
      IFERROR(
         _xlfn.XLOOKUP(
            1,
            (Table8[رقم الصنف]=A961) *
            (IF($B$9="الكل",1, YEAR('ادخال البيانات'!$N$3:$N$1164)=VALUE($B$9))) *
            (IF($B$10="الكل",1, MONTH('ادخال البيانات'!$N$3:$N$1164)=VALUE($B$10))) *
            (IF($B$11="الكل",1, INT((DAY('ادخال البيانات'!$N$3:$N$1164)-1)/7)+1 = VALUE($B$11))),
            'ادخال البيانات'!$E$3:$E$1164
         ),
         ""
      ),
      IF(_xlpm.result="", "", _xlpm.result)
   )
)</f>
        <v/>
      </c>
      <c r="F961" s="27" t="str" cm="1">
        <f t="array" ref="F961">IF(
   A961="",
   "",
   _xlfn.LET(
      _xlpm.result,
      IFERROR(
         _xlfn.XLOOKUP(
            1,
            (Table8[رقم الصنف]=A961) *
            (IF($B$9="الكل",1, YEAR('ادخال البيانات'!$N$3:$N$1164) = VALUE($B$9))) *
            (IF($B$10="الكل",1, MONTH('ادخال البيانات'!$N$3:$N$1164) = VALUE($B$10))) *
            (IF($B$11="الكل",1, INT((DAY('ادخال البيانات'!$N$3:$N$1164)-1)/7)+1 = VALUE($B$11))),
            'ادخال البيانات'!$F$3:$F$1164
         ),
         ""
      ),
      IF(_xlpm.result="", "", _xlpm.result)
   )
)</f>
        <v/>
      </c>
      <c r="G961" s="27" t="str" cm="1">
        <f t="array" ref="G961">IF(
   A961="",
   "",
   _xlfn.LET(
      _xlpm.result,
      IFERROR(
         _xlfn.XLOOKUP(
            1,
            (Table8[رقم الصنف]=A961) *
            (IF($B$9="الكل",1, YEAR('ادخال البيانات'!$N$3:$N$1164)=VALUE($B$9))) *
            (IF($B$10="الكل",1, MONTH('ادخال البيانات'!$N$3:$N$1164)=VALUE($B$10))) *
            (IF($B$11="الكل",1, INT((DAY('ادخال البيانات'!$N$3:$N$1164)-1)/7)+1 = VALUE($B$11))),
            'ادخال البيانات'!$G$3:$G$1164
         ),
         ""
      ),
      IF(_xlpm.result="", "", _xlpm.result)
   )
)</f>
        <v/>
      </c>
      <c r="H961" s="27" t="str" cm="1">
        <f t="array" ref="H961">IF(
   A961="",
   "",
   _xlfn.LET(
      _xlpm.result,
      IFERROR(
         _xlfn.XLOOKUP(
            1,
            (Table8[رقم الصنف]=A961) *
            (IF($B$9="الكل",1, YEAR('ادخال البيانات'!$N$3:$N$1164)=VALUE($B$9))) *
            (IF($B$10="الكل",1, MONTH('ادخال البيانات'!$N$3:$N$1164)=VALUE($B$10))) *
            (IF($B$11="الكل",1, INT((DAY('ادخال البيانات'!$N$3:$N$1164)-1)/7)+1 = VALUE($B$11))),
            'ادخال البيانات'!$H$3:$H$1164
         ),
         ""
      ),
      IF(_xlpm.result="", "", _xlpm.result)
   )
)</f>
        <v/>
      </c>
      <c r="I961" s="27" t="str" cm="1">
        <f t="array" ref="I961">IF(
   A961="",
   "",
   _xlfn.LET(
      _xlpm.result,
      IFERROR(
         _xlfn.XLOOKUP(
            1,
            (Table8[رقم الصنف]=A961) *
            (IF($B$9="الكل",1, YEAR('ادخال البيانات'!$N$3:$N$1164)=VALUE($B$9))) *
            (IF($B$10="الكل",1, MONTH('ادخال البيانات'!$N$3:$N$1164)=VALUE($B$10))) *
            (IF($B$11="الكل",1, INT((DAY('ادخال البيانات'!$N$3:$N$1164)-1)/7)+1 = VALUE($B$11))),
            'ادخال البيانات'!$I$3:$I$1164
         ),
         ""
      ),
      IF(_xlpm.result="", "", _xlpm.result)
   )
)</f>
        <v/>
      </c>
      <c r="J961" s="27" t="str" cm="1">
        <f t="array" ref="J961">IF(
   A961="",
   "",
   _xlfn.LET(
      _xlpm.result,
      IFERROR(
         _xlfn.XLOOKUP(
            1,
            (Table8[رقم الصنف]=A961) *
            (IF($B$9="الكل",1, YEAR('ادخال البيانات'!$N$3:$N$1164)=VALUE($B$9))) *
            (IF($B$10="الكل",1, MONTH('ادخال البيانات'!$N$3:$N$1164)=VALUE($B$10))) *
            (IF($B$11="الكل",1, INT((DAY('ادخال البيانات'!$N$3:$N$1164)-1)/7)+1 = VALUE($B$11))),
            'ادخال البيانات'!$J$3:$J$1164
         ),
         ""
      ),
      IF(_xlpm.result="", "", _xlpm.result)
   )
)</f>
        <v/>
      </c>
      <c r="K961" s="27" t="str" cm="1">
        <f t="array" ref="K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1" s="27" t="str" cm="1">
        <f t="array" ref="L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1" s="27" t="str" cm="1">
        <f t="array" ref="M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1" s="28" t="str" cm="1">
        <f t="array" ref="N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1" s="28" t="str" cm="1">
        <f t="array" ref="O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1" s="27" t="str" cm="1">
        <f t="array" ref="P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Table8[جهة العطل]
         ),
         ""
      ),
      IF(_xlpm.result="", "", _xlpm.result)
   )
)</f>
        <v/>
      </c>
      <c r="Q961" s="27" t="str" cm="1">
        <f t="array" ref="Q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Table8[المركز]
         ),
         ""
      ),
      IF(_xlpm.result="", "", _xlpm.result)
   )
)</f>
        <v/>
      </c>
      <c r="R961" s="27" t="str" cm="1">
        <f t="array" ref="R961">IF(
   A961="",
   "",
   _xlfn.LET(
      _xlpm.result,
      IFERROR(
         _xlfn.XLOOKUP(
            1,
            (Table8[رقم الصنف]=A961) *
            (IF($B$9="الكل",1, YEAR('ادخال البيانات'!$N$3:$N$1164) = VALUE($B$9))) *
            (IF($B$10="الكل",1, MONTH('ادخال البيانات'!$N$3:$N$1164) = VALUE($B$10))) *
            (IF($B$11="الكل",1, INT((DAY('ادخال البيانات'!$N$3:$N$1164) - 1) / 7) + 1 = VALUE($B$11))),
            Table8[ملاحظة]
         ),
         ""
      ),
      IF(_xlpm.result="", "", _xlpm.result)
   )
)</f>
        <v/>
      </c>
      <c r="S961" s="46" t="str">
        <f t="shared" ca="1" si="15"/>
        <v/>
      </c>
    </row>
    <row r="962" spans="1:19" ht="15.6" thickTop="1" thickBot="1" x14ac:dyDescent="0.35">
      <c r="A962" s="39"/>
      <c r="B962" s="27" t="str" cm="1">
        <f t="array" ref="B962">IF(
   OR(A962="", $B$9="", $B$10="", $B$11=""),
   "",
   _xlfn.LET(
      _xlpm.result,
      IFERROR(
         _xlfn.XLOOKUP(
            1,
            (Table8[رقم الصنف]=A962)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2" s="27" t="str" cm="1">
        <f t="array" ref="C962">IF(
   A962="",
   "",
   _xlfn.LET(
      _xlpm.result,
      IFERROR(
         _xlfn.XLOOKUP(
            1,
            (Table8[رقم الصنف]=A962) *
            (IF($B$9="الكل",1, YEAR('ادخال البيانات'!$N$3:$N$1164) = VALUE($B$9))) *
            (IF($B$10="الكل",1, MONTH('ادخال البيانات'!$N$3:$N$1164) = VALUE($B$10))) *
            (IF($B$11="الكل",1, INT((DAY('ادخال البيانات'!$N$3:$N$1164)-1)/7)+1 = VALUE($B$11))),
            'ادخال البيانات'!$C$3:$C$1164
         ),
         ""
      ),
      IF(_xlpm.result="", "", _xlpm.result)
   )
)</f>
        <v/>
      </c>
      <c r="D962" s="27" t="str" cm="1">
        <f t="array" ref="D962">IF(
   OR(A962="", $B$9="", $B$10="", $B$11=""),
   "",
   _xlfn.LET(
      _xlpm.result,
      IFERROR(
         _xlfn.XLOOKUP(
            1,
            (Table8[رقم الصنف]=A962) *
            (IF($B$9="الكل",1, YEAR('ادخال البيانات'!$N$3:$N$1164)=VALUE($B$9))) *
            (IF($B$10="الكل",1, MONTH('ادخال البيانات'!$N$3:$N$1164)=VALUE($B$10))) *
            (IF($B$11="الكل",1, INT((DAY('ادخال البيانات'!$N$3:$N$1164)-1)/7)+1 = VALUE($B$11))),
            'ادخال البيانات'!$D$3:$D$1164
         ),
         ""
      ),
      IF(_xlpm.result="", "", _xlpm.result)
   )
)</f>
        <v/>
      </c>
      <c r="E962" s="27" t="str" cm="1">
        <f t="array" ref="E962">IF(
   A962="",
   "",
   _xlfn.LET(
      _xlpm.result,
      IFERROR(
         _xlfn.XLOOKUP(
            1,
            (Table8[رقم الصنف]=A962) *
            (IF($B$9="الكل",1, YEAR('ادخال البيانات'!$N$3:$N$1164)=VALUE($B$9))) *
            (IF($B$10="الكل",1, MONTH('ادخال البيانات'!$N$3:$N$1164)=VALUE($B$10))) *
            (IF($B$11="الكل",1, INT((DAY('ادخال البيانات'!$N$3:$N$1164)-1)/7)+1 = VALUE($B$11))),
            'ادخال البيانات'!$E$3:$E$1164
         ),
         ""
      ),
      IF(_xlpm.result="", "", _xlpm.result)
   )
)</f>
        <v/>
      </c>
      <c r="F962" s="27" t="str" cm="1">
        <f t="array" ref="F962">IF(
   A962="",
   "",
   _xlfn.LET(
      _xlpm.result,
      IFERROR(
         _xlfn.XLOOKUP(
            1,
            (Table8[رقم الصنف]=A962) *
            (IF($B$9="الكل",1, YEAR('ادخال البيانات'!$N$3:$N$1164) = VALUE($B$9))) *
            (IF($B$10="الكل",1, MONTH('ادخال البيانات'!$N$3:$N$1164) = VALUE($B$10))) *
            (IF($B$11="الكل",1, INT((DAY('ادخال البيانات'!$N$3:$N$1164)-1)/7)+1 = VALUE($B$11))),
            'ادخال البيانات'!$F$3:$F$1164
         ),
         ""
      ),
      IF(_xlpm.result="", "", _xlpm.result)
   )
)</f>
        <v/>
      </c>
      <c r="G962" s="27" t="str" cm="1">
        <f t="array" ref="G962">IF(
   A962="",
   "",
   _xlfn.LET(
      _xlpm.result,
      IFERROR(
         _xlfn.XLOOKUP(
            1,
            (Table8[رقم الصنف]=A962) *
            (IF($B$9="الكل",1, YEAR('ادخال البيانات'!$N$3:$N$1164)=VALUE($B$9))) *
            (IF($B$10="الكل",1, MONTH('ادخال البيانات'!$N$3:$N$1164)=VALUE($B$10))) *
            (IF($B$11="الكل",1, INT((DAY('ادخال البيانات'!$N$3:$N$1164)-1)/7)+1 = VALUE($B$11))),
            'ادخال البيانات'!$G$3:$G$1164
         ),
         ""
      ),
      IF(_xlpm.result="", "", _xlpm.result)
   )
)</f>
        <v/>
      </c>
      <c r="H962" s="27" t="str" cm="1">
        <f t="array" ref="H962">IF(
   A962="",
   "",
   _xlfn.LET(
      _xlpm.result,
      IFERROR(
         _xlfn.XLOOKUP(
            1,
            (Table8[رقم الصنف]=A962) *
            (IF($B$9="الكل",1, YEAR('ادخال البيانات'!$N$3:$N$1164)=VALUE($B$9))) *
            (IF($B$10="الكل",1, MONTH('ادخال البيانات'!$N$3:$N$1164)=VALUE($B$10))) *
            (IF($B$11="الكل",1, INT((DAY('ادخال البيانات'!$N$3:$N$1164)-1)/7)+1 = VALUE($B$11))),
            'ادخال البيانات'!$H$3:$H$1164
         ),
         ""
      ),
      IF(_xlpm.result="", "", _xlpm.result)
   )
)</f>
        <v/>
      </c>
      <c r="I962" s="27" t="str" cm="1">
        <f t="array" ref="I962">IF(
   A962="",
   "",
   _xlfn.LET(
      _xlpm.result,
      IFERROR(
         _xlfn.XLOOKUP(
            1,
            (Table8[رقم الصنف]=A962) *
            (IF($B$9="الكل",1, YEAR('ادخال البيانات'!$N$3:$N$1164)=VALUE($B$9))) *
            (IF($B$10="الكل",1, MONTH('ادخال البيانات'!$N$3:$N$1164)=VALUE($B$10))) *
            (IF($B$11="الكل",1, INT((DAY('ادخال البيانات'!$N$3:$N$1164)-1)/7)+1 = VALUE($B$11))),
            'ادخال البيانات'!$I$3:$I$1164
         ),
         ""
      ),
      IF(_xlpm.result="", "", _xlpm.result)
   )
)</f>
        <v/>
      </c>
      <c r="J962" s="27" t="str" cm="1">
        <f t="array" ref="J962">IF(
   A962="",
   "",
   _xlfn.LET(
      _xlpm.result,
      IFERROR(
         _xlfn.XLOOKUP(
            1,
            (Table8[رقم الصنف]=A962) *
            (IF($B$9="الكل",1, YEAR('ادخال البيانات'!$N$3:$N$1164)=VALUE($B$9))) *
            (IF($B$10="الكل",1, MONTH('ادخال البيانات'!$N$3:$N$1164)=VALUE($B$10))) *
            (IF($B$11="الكل",1, INT((DAY('ادخال البيانات'!$N$3:$N$1164)-1)/7)+1 = VALUE($B$11))),
            'ادخال البيانات'!$J$3:$J$1164
         ),
         ""
      ),
      IF(_xlpm.result="", "", _xlpm.result)
   )
)</f>
        <v/>
      </c>
      <c r="K962" s="27" t="str" cm="1">
        <f t="array" ref="K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2" s="27" t="str" cm="1">
        <f t="array" ref="L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2" s="27" t="str" cm="1">
        <f t="array" ref="M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2" s="28" t="str" cm="1">
        <f t="array" ref="N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2" s="28" t="str" cm="1">
        <f t="array" ref="O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2" s="27" t="str" cm="1">
        <f t="array" ref="P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Table8[جهة العطل]
         ),
         ""
      ),
      IF(_xlpm.result="", "", _xlpm.result)
   )
)</f>
        <v/>
      </c>
      <c r="Q962" s="27" t="str" cm="1">
        <f t="array" ref="Q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Table8[المركز]
         ),
         ""
      ),
      IF(_xlpm.result="", "", _xlpm.result)
   )
)</f>
        <v/>
      </c>
      <c r="R962" s="27" t="str" cm="1">
        <f t="array" ref="R962">IF(
   A962="",
   "",
   _xlfn.LET(
      _xlpm.result,
      IFERROR(
         _xlfn.XLOOKUP(
            1,
            (Table8[رقم الصنف]=A962) *
            (IF($B$9="الكل",1, YEAR('ادخال البيانات'!$N$3:$N$1164) = VALUE($B$9))) *
            (IF($B$10="الكل",1, MONTH('ادخال البيانات'!$N$3:$N$1164) = VALUE($B$10))) *
            (IF($B$11="الكل",1, INT((DAY('ادخال البيانات'!$N$3:$N$1164) - 1) / 7) + 1 = VALUE($B$11))),
            Table8[ملاحظة]
         ),
         ""
      ),
      IF(_xlpm.result="", "", _xlpm.result)
   )
)</f>
        <v/>
      </c>
      <c r="S962" s="46" t="str">
        <f t="shared" ca="1" si="15"/>
        <v/>
      </c>
    </row>
    <row r="963" spans="1:19" ht="15.6" thickTop="1" thickBot="1" x14ac:dyDescent="0.35">
      <c r="A963" s="39"/>
      <c r="B963" s="27" t="str" cm="1">
        <f t="array" ref="B963">IF(
   OR(A963="", $B$9="", $B$10="", $B$11=""),
   "",
   _xlfn.LET(
      _xlpm.result,
      IFERROR(
         _xlfn.XLOOKUP(
            1,
            (Table8[رقم الصنف]=A963)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3" s="27" t="str" cm="1">
        <f t="array" ref="C963">IF(
   A963="",
   "",
   _xlfn.LET(
      _xlpm.result,
      IFERROR(
         _xlfn.XLOOKUP(
            1,
            (Table8[رقم الصنف]=A963) *
            (IF($B$9="الكل",1, YEAR('ادخال البيانات'!$N$3:$N$1164) = VALUE($B$9))) *
            (IF($B$10="الكل",1, MONTH('ادخال البيانات'!$N$3:$N$1164) = VALUE($B$10))) *
            (IF($B$11="الكل",1, INT((DAY('ادخال البيانات'!$N$3:$N$1164)-1)/7)+1 = VALUE($B$11))),
            'ادخال البيانات'!$C$3:$C$1164
         ),
         ""
      ),
      IF(_xlpm.result="", "", _xlpm.result)
   )
)</f>
        <v/>
      </c>
      <c r="D963" s="27" t="str" cm="1">
        <f t="array" ref="D963">IF(
   OR(A963="", $B$9="", $B$10="", $B$11=""),
   "",
   _xlfn.LET(
      _xlpm.result,
      IFERROR(
         _xlfn.XLOOKUP(
            1,
            (Table8[رقم الصنف]=A963) *
            (IF($B$9="الكل",1, YEAR('ادخال البيانات'!$N$3:$N$1164)=VALUE($B$9))) *
            (IF($B$10="الكل",1, MONTH('ادخال البيانات'!$N$3:$N$1164)=VALUE($B$10))) *
            (IF($B$11="الكل",1, INT((DAY('ادخال البيانات'!$N$3:$N$1164)-1)/7)+1 = VALUE($B$11))),
            'ادخال البيانات'!$D$3:$D$1164
         ),
         ""
      ),
      IF(_xlpm.result="", "", _xlpm.result)
   )
)</f>
        <v/>
      </c>
      <c r="E963" s="27" t="str" cm="1">
        <f t="array" ref="E963">IF(
   A963="",
   "",
   _xlfn.LET(
      _xlpm.result,
      IFERROR(
         _xlfn.XLOOKUP(
            1,
            (Table8[رقم الصنف]=A963) *
            (IF($B$9="الكل",1, YEAR('ادخال البيانات'!$N$3:$N$1164)=VALUE($B$9))) *
            (IF($B$10="الكل",1, MONTH('ادخال البيانات'!$N$3:$N$1164)=VALUE($B$10))) *
            (IF($B$11="الكل",1, INT((DAY('ادخال البيانات'!$N$3:$N$1164)-1)/7)+1 = VALUE($B$11))),
            'ادخال البيانات'!$E$3:$E$1164
         ),
         ""
      ),
      IF(_xlpm.result="", "", _xlpm.result)
   )
)</f>
        <v/>
      </c>
      <c r="F963" s="27" t="str" cm="1">
        <f t="array" ref="F963">IF(
   A963="",
   "",
   _xlfn.LET(
      _xlpm.result,
      IFERROR(
         _xlfn.XLOOKUP(
            1,
            (Table8[رقم الصنف]=A963) *
            (IF($B$9="الكل",1, YEAR('ادخال البيانات'!$N$3:$N$1164) = VALUE($B$9))) *
            (IF($B$10="الكل",1, MONTH('ادخال البيانات'!$N$3:$N$1164) = VALUE($B$10))) *
            (IF($B$11="الكل",1, INT((DAY('ادخال البيانات'!$N$3:$N$1164)-1)/7)+1 = VALUE($B$11))),
            'ادخال البيانات'!$F$3:$F$1164
         ),
         ""
      ),
      IF(_xlpm.result="", "", _xlpm.result)
   )
)</f>
        <v/>
      </c>
      <c r="G963" s="27" t="str" cm="1">
        <f t="array" ref="G963">IF(
   A963="",
   "",
   _xlfn.LET(
      _xlpm.result,
      IFERROR(
         _xlfn.XLOOKUP(
            1,
            (Table8[رقم الصنف]=A963) *
            (IF($B$9="الكل",1, YEAR('ادخال البيانات'!$N$3:$N$1164)=VALUE($B$9))) *
            (IF($B$10="الكل",1, MONTH('ادخال البيانات'!$N$3:$N$1164)=VALUE($B$10))) *
            (IF($B$11="الكل",1, INT((DAY('ادخال البيانات'!$N$3:$N$1164)-1)/7)+1 = VALUE($B$11))),
            'ادخال البيانات'!$G$3:$G$1164
         ),
         ""
      ),
      IF(_xlpm.result="", "", _xlpm.result)
   )
)</f>
        <v/>
      </c>
      <c r="H963" s="27" t="str" cm="1">
        <f t="array" ref="H963">IF(
   A963="",
   "",
   _xlfn.LET(
      _xlpm.result,
      IFERROR(
         _xlfn.XLOOKUP(
            1,
            (Table8[رقم الصنف]=A963) *
            (IF($B$9="الكل",1, YEAR('ادخال البيانات'!$N$3:$N$1164)=VALUE($B$9))) *
            (IF($B$10="الكل",1, MONTH('ادخال البيانات'!$N$3:$N$1164)=VALUE($B$10))) *
            (IF($B$11="الكل",1, INT((DAY('ادخال البيانات'!$N$3:$N$1164)-1)/7)+1 = VALUE($B$11))),
            'ادخال البيانات'!$H$3:$H$1164
         ),
         ""
      ),
      IF(_xlpm.result="", "", _xlpm.result)
   )
)</f>
        <v/>
      </c>
      <c r="I963" s="27" t="str" cm="1">
        <f t="array" ref="I963">IF(
   A963="",
   "",
   _xlfn.LET(
      _xlpm.result,
      IFERROR(
         _xlfn.XLOOKUP(
            1,
            (Table8[رقم الصنف]=A963) *
            (IF($B$9="الكل",1, YEAR('ادخال البيانات'!$N$3:$N$1164)=VALUE($B$9))) *
            (IF($B$10="الكل",1, MONTH('ادخال البيانات'!$N$3:$N$1164)=VALUE($B$10))) *
            (IF($B$11="الكل",1, INT((DAY('ادخال البيانات'!$N$3:$N$1164)-1)/7)+1 = VALUE($B$11))),
            'ادخال البيانات'!$I$3:$I$1164
         ),
         ""
      ),
      IF(_xlpm.result="", "", _xlpm.result)
   )
)</f>
        <v/>
      </c>
      <c r="J963" s="27" t="str" cm="1">
        <f t="array" ref="J963">IF(
   A963="",
   "",
   _xlfn.LET(
      _xlpm.result,
      IFERROR(
         _xlfn.XLOOKUP(
            1,
            (Table8[رقم الصنف]=A963) *
            (IF($B$9="الكل",1, YEAR('ادخال البيانات'!$N$3:$N$1164)=VALUE($B$9))) *
            (IF($B$10="الكل",1, MONTH('ادخال البيانات'!$N$3:$N$1164)=VALUE($B$10))) *
            (IF($B$11="الكل",1, INT((DAY('ادخال البيانات'!$N$3:$N$1164)-1)/7)+1 = VALUE($B$11))),
            'ادخال البيانات'!$J$3:$J$1164
         ),
         ""
      ),
      IF(_xlpm.result="", "", _xlpm.result)
   )
)</f>
        <v/>
      </c>
      <c r="K963" s="27" t="str" cm="1">
        <f t="array" ref="K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3" s="27" t="str" cm="1">
        <f t="array" ref="L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3" s="27" t="str" cm="1">
        <f t="array" ref="M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3" s="28" t="str" cm="1">
        <f t="array" ref="N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3" s="28" t="str" cm="1">
        <f t="array" ref="O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3" s="27" t="str" cm="1">
        <f t="array" ref="P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Table8[جهة العطل]
         ),
         ""
      ),
      IF(_xlpm.result="", "", _xlpm.result)
   )
)</f>
        <v/>
      </c>
      <c r="Q963" s="27" t="str" cm="1">
        <f t="array" ref="Q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Table8[المركز]
         ),
         ""
      ),
      IF(_xlpm.result="", "", _xlpm.result)
   )
)</f>
        <v/>
      </c>
      <c r="R963" s="27" t="str" cm="1">
        <f t="array" ref="R963">IF(
   A963="",
   "",
   _xlfn.LET(
      _xlpm.result,
      IFERROR(
         _xlfn.XLOOKUP(
            1,
            (Table8[رقم الصنف]=A963) *
            (IF($B$9="الكل",1, YEAR('ادخال البيانات'!$N$3:$N$1164) = VALUE($B$9))) *
            (IF($B$10="الكل",1, MONTH('ادخال البيانات'!$N$3:$N$1164) = VALUE($B$10))) *
            (IF($B$11="الكل",1, INT((DAY('ادخال البيانات'!$N$3:$N$1164) - 1) / 7) + 1 = VALUE($B$11))),
            Table8[ملاحظة]
         ),
         ""
      ),
      IF(_xlpm.result="", "", _xlpm.result)
   )
)</f>
        <v/>
      </c>
      <c r="S963" s="46" t="str">
        <f t="shared" ca="1" si="15"/>
        <v/>
      </c>
    </row>
    <row r="964" spans="1:19" ht="15.6" thickTop="1" thickBot="1" x14ac:dyDescent="0.35">
      <c r="A964" s="39"/>
      <c r="B964" s="27" t="str" cm="1">
        <f t="array" ref="B964">IF(
   OR(A964="", $B$9="", $B$10="", $B$11=""),
   "",
   _xlfn.LET(
      _xlpm.result,
      IFERROR(
         _xlfn.XLOOKUP(
            1,
            (Table8[رقم الصنف]=A964)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4" s="27" t="str" cm="1">
        <f t="array" ref="C964">IF(
   A964="",
   "",
   _xlfn.LET(
      _xlpm.result,
      IFERROR(
         _xlfn.XLOOKUP(
            1,
            (Table8[رقم الصنف]=A964) *
            (IF($B$9="الكل",1, YEAR('ادخال البيانات'!$N$3:$N$1164) = VALUE($B$9))) *
            (IF($B$10="الكل",1, MONTH('ادخال البيانات'!$N$3:$N$1164) = VALUE($B$10))) *
            (IF($B$11="الكل",1, INT((DAY('ادخال البيانات'!$N$3:$N$1164)-1)/7)+1 = VALUE($B$11))),
            'ادخال البيانات'!$C$3:$C$1164
         ),
         ""
      ),
      IF(_xlpm.result="", "", _xlpm.result)
   )
)</f>
        <v/>
      </c>
      <c r="D964" s="27" t="str" cm="1">
        <f t="array" ref="D964">IF(
   OR(A964="", $B$9="", $B$10="", $B$11=""),
   "",
   _xlfn.LET(
      _xlpm.result,
      IFERROR(
         _xlfn.XLOOKUP(
            1,
            (Table8[رقم الصنف]=A964) *
            (IF($B$9="الكل",1, YEAR('ادخال البيانات'!$N$3:$N$1164)=VALUE($B$9))) *
            (IF($B$10="الكل",1, MONTH('ادخال البيانات'!$N$3:$N$1164)=VALUE($B$10))) *
            (IF($B$11="الكل",1, INT((DAY('ادخال البيانات'!$N$3:$N$1164)-1)/7)+1 = VALUE($B$11))),
            'ادخال البيانات'!$D$3:$D$1164
         ),
         ""
      ),
      IF(_xlpm.result="", "", _xlpm.result)
   )
)</f>
        <v/>
      </c>
      <c r="E964" s="27" t="str" cm="1">
        <f t="array" ref="E964">IF(
   A964="",
   "",
   _xlfn.LET(
      _xlpm.result,
      IFERROR(
         _xlfn.XLOOKUP(
            1,
            (Table8[رقم الصنف]=A964) *
            (IF($B$9="الكل",1, YEAR('ادخال البيانات'!$N$3:$N$1164)=VALUE($B$9))) *
            (IF($B$10="الكل",1, MONTH('ادخال البيانات'!$N$3:$N$1164)=VALUE($B$10))) *
            (IF($B$11="الكل",1, INT((DAY('ادخال البيانات'!$N$3:$N$1164)-1)/7)+1 = VALUE($B$11))),
            'ادخال البيانات'!$E$3:$E$1164
         ),
         ""
      ),
      IF(_xlpm.result="", "", _xlpm.result)
   )
)</f>
        <v/>
      </c>
      <c r="F964" s="27" t="str" cm="1">
        <f t="array" ref="F964">IF(
   A964="",
   "",
   _xlfn.LET(
      _xlpm.result,
      IFERROR(
         _xlfn.XLOOKUP(
            1,
            (Table8[رقم الصنف]=A964) *
            (IF($B$9="الكل",1, YEAR('ادخال البيانات'!$N$3:$N$1164) = VALUE($B$9))) *
            (IF($B$10="الكل",1, MONTH('ادخال البيانات'!$N$3:$N$1164) = VALUE($B$10))) *
            (IF($B$11="الكل",1, INT((DAY('ادخال البيانات'!$N$3:$N$1164)-1)/7)+1 = VALUE($B$11))),
            'ادخال البيانات'!$F$3:$F$1164
         ),
         ""
      ),
      IF(_xlpm.result="", "", _xlpm.result)
   )
)</f>
        <v/>
      </c>
      <c r="G964" s="27" t="str" cm="1">
        <f t="array" ref="G964">IF(
   A964="",
   "",
   _xlfn.LET(
      _xlpm.result,
      IFERROR(
         _xlfn.XLOOKUP(
            1,
            (Table8[رقم الصنف]=A964) *
            (IF($B$9="الكل",1, YEAR('ادخال البيانات'!$N$3:$N$1164)=VALUE($B$9))) *
            (IF($B$10="الكل",1, MONTH('ادخال البيانات'!$N$3:$N$1164)=VALUE($B$10))) *
            (IF($B$11="الكل",1, INT((DAY('ادخال البيانات'!$N$3:$N$1164)-1)/7)+1 = VALUE($B$11))),
            'ادخال البيانات'!$G$3:$G$1164
         ),
         ""
      ),
      IF(_xlpm.result="", "", _xlpm.result)
   )
)</f>
        <v/>
      </c>
      <c r="H964" s="27" t="str" cm="1">
        <f t="array" ref="H964">IF(
   A964="",
   "",
   _xlfn.LET(
      _xlpm.result,
      IFERROR(
         _xlfn.XLOOKUP(
            1,
            (Table8[رقم الصنف]=A964) *
            (IF($B$9="الكل",1, YEAR('ادخال البيانات'!$N$3:$N$1164)=VALUE($B$9))) *
            (IF($B$10="الكل",1, MONTH('ادخال البيانات'!$N$3:$N$1164)=VALUE($B$10))) *
            (IF($B$11="الكل",1, INT((DAY('ادخال البيانات'!$N$3:$N$1164)-1)/7)+1 = VALUE($B$11))),
            'ادخال البيانات'!$H$3:$H$1164
         ),
         ""
      ),
      IF(_xlpm.result="", "", _xlpm.result)
   )
)</f>
        <v/>
      </c>
      <c r="I964" s="27" t="str" cm="1">
        <f t="array" ref="I964">IF(
   A964="",
   "",
   _xlfn.LET(
      _xlpm.result,
      IFERROR(
         _xlfn.XLOOKUP(
            1,
            (Table8[رقم الصنف]=A964) *
            (IF($B$9="الكل",1, YEAR('ادخال البيانات'!$N$3:$N$1164)=VALUE($B$9))) *
            (IF($B$10="الكل",1, MONTH('ادخال البيانات'!$N$3:$N$1164)=VALUE($B$10))) *
            (IF($B$11="الكل",1, INT((DAY('ادخال البيانات'!$N$3:$N$1164)-1)/7)+1 = VALUE($B$11))),
            'ادخال البيانات'!$I$3:$I$1164
         ),
         ""
      ),
      IF(_xlpm.result="", "", _xlpm.result)
   )
)</f>
        <v/>
      </c>
      <c r="J964" s="27" t="str" cm="1">
        <f t="array" ref="J964">IF(
   A964="",
   "",
   _xlfn.LET(
      _xlpm.result,
      IFERROR(
         _xlfn.XLOOKUP(
            1,
            (Table8[رقم الصنف]=A964) *
            (IF($B$9="الكل",1, YEAR('ادخال البيانات'!$N$3:$N$1164)=VALUE($B$9))) *
            (IF($B$10="الكل",1, MONTH('ادخال البيانات'!$N$3:$N$1164)=VALUE($B$10))) *
            (IF($B$11="الكل",1, INT((DAY('ادخال البيانات'!$N$3:$N$1164)-1)/7)+1 = VALUE($B$11))),
            'ادخال البيانات'!$J$3:$J$1164
         ),
         ""
      ),
      IF(_xlpm.result="", "", _xlpm.result)
   )
)</f>
        <v/>
      </c>
      <c r="K964" s="27" t="str" cm="1">
        <f t="array" ref="K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4" s="27" t="str" cm="1">
        <f t="array" ref="L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4" s="27" t="str" cm="1">
        <f t="array" ref="M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4" s="28" t="str" cm="1">
        <f t="array" ref="N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4" s="28" t="str" cm="1">
        <f t="array" ref="O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4" s="27" t="str" cm="1">
        <f t="array" ref="P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Table8[جهة العطل]
         ),
         ""
      ),
      IF(_xlpm.result="", "", _xlpm.result)
   )
)</f>
        <v/>
      </c>
      <c r="Q964" s="27" t="str" cm="1">
        <f t="array" ref="Q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Table8[المركز]
         ),
         ""
      ),
      IF(_xlpm.result="", "", _xlpm.result)
   )
)</f>
        <v/>
      </c>
      <c r="R964" s="27" t="str" cm="1">
        <f t="array" ref="R964">IF(
   A964="",
   "",
   _xlfn.LET(
      _xlpm.result,
      IFERROR(
         _xlfn.XLOOKUP(
            1,
            (Table8[رقم الصنف]=A964) *
            (IF($B$9="الكل",1, YEAR('ادخال البيانات'!$N$3:$N$1164) = VALUE($B$9))) *
            (IF($B$10="الكل",1, MONTH('ادخال البيانات'!$N$3:$N$1164) = VALUE($B$10))) *
            (IF($B$11="الكل",1, INT((DAY('ادخال البيانات'!$N$3:$N$1164) - 1) / 7) + 1 = VALUE($B$11))),
            Table8[ملاحظة]
         ),
         ""
      ),
      IF(_xlpm.result="", "", _xlpm.result)
   )
)</f>
        <v/>
      </c>
      <c r="S964" s="46" t="str">
        <f t="shared" ca="1" si="15"/>
        <v/>
      </c>
    </row>
    <row r="965" spans="1:19" ht="15.6" thickTop="1" thickBot="1" x14ac:dyDescent="0.35">
      <c r="A965" s="39"/>
      <c r="B965" s="27" t="str" cm="1">
        <f t="array" ref="B965">IF(
   OR(A965="", $B$9="", $B$10="", $B$11=""),
   "",
   _xlfn.LET(
      _xlpm.result,
      IFERROR(
         _xlfn.XLOOKUP(
            1,
            (Table8[رقم الصنف]=A965)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5" s="27" t="str" cm="1">
        <f t="array" ref="C965">IF(
   A965="",
   "",
   _xlfn.LET(
      _xlpm.result,
      IFERROR(
         _xlfn.XLOOKUP(
            1,
            (Table8[رقم الصنف]=A965) *
            (IF($B$9="الكل",1, YEAR('ادخال البيانات'!$N$3:$N$1164) = VALUE($B$9))) *
            (IF($B$10="الكل",1, MONTH('ادخال البيانات'!$N$3:$N$1164) = VALUE($B$10))) *
            (IF($B$11="الكل",1, INT((DAY('ادخال البيانات'!$N$3:$N$1164)-1)/7)+1 = VALUE($B$11))),
            'ادخال البيانات'!$C$3:$C$1164
         ),
         ""
      ),
      IF(_xlpm.result="", "", _xlpm.result)
   )
)</f>
        <v/>
      </c>
      <c r="D965" s="27" t="str" cm="1">
        <f t="array" ref="D965">IF(
   OR(A965="", $B$9="", $B$10="", $B$11=""),
   "",
   _xlfn.LET(
      _xlpm.result,
      IFERROR(
         _xlfn.XLOOKUP(
            1,
            (Table8[رقم الصنف]=A965) *
            (IF($B$9="الكل",1, YEAR('ادخال البيانات'!$N$3:$N$1164)=VALUE($B$9))) *
            (IF($B$10="الكل",1, MONTH('ادخال البيانات'!$N$3:$N$1164)=VALUE($B$10))) *
            (IF($B$11="الكل",1, INT((DAY('ادخال البيانات'!$N$3:$N$1164)-1)/7)+1 = VALUE($B$11))),
            'ادخال البيانات'!$D$3:$D$1164
         ),
         ""
      ),
      IF(_xlpm.result="", "", _xlpm.result)
   )
)</f>
        <v/>
      </c>
      <c r="E965" s="27" t="str" cm="1">
        <f t="array" ref="E965">IF(
   A965="",
   "",
   _xlfn.LET(
      _xlpm.result,
      IFERROR(
         _xlfn.XLOOKUP(
            1,
            (Table8[رقم الصنف]=A965) *
            (IF($B$9="الكل",1, YEAR('ادخال البيانات'!$N$3:$N$1164)=VALUE($B$9))) *
            (IF($B$10="الكل",1, MONTH('ادخال البيانات'!$N$3:$N$1164)=VALUE($B$10))) *
            (IF($B$11="الكل",1, INT((DAY('ادخال البيانات'!$N$3:$N$1164)-1)/7)+1 = VALUE($B$11))),
            'ادخال البيانات'!$E$3:$E$1164
         ),
         ""
      ),
      IF(_xlpm.result="", "", _xlpm.result)
   )
)</f>
        <v/>
      </c>
      <c r="F965" s="27" t="str" cm="1">
        <f t="array" ref="F965">IF(
   A965="",
   "",
   _xlfn.LET(
      _xlpm.result,
      IFERROR(
         _xlfn.XLOOKUP(
            1,
            (Table8[رقم الصنف]=A965) *
            (IF($B$9="الكل",1, YEAR('ادخال البيانات'!$N$3:$N$1164) = VALUE($B$9))) *
            (IF($B$10="الكل",1, MONTH('ادخال البيانات'!$N$3:$N$1164) = VALUE($B$10))) *
            (IF($B$11="الكل",1, INT((DAY('ادخال البيانات'!$N$3:$N$1164)-1)/7)+1 = VALUE($B$11))),
            'ادخال البيانات'!$F$3:$F$1164
         ),
         ""
      ),
      IF(_xlpm.result="", "", _xlpm.result)
   )
)</f>
        <v/>
      </c>
      <c r="G965" s="27" t="str" cm="1">
        <f t="array" ref="G965">IF(
   A965="",
   "",
   _xlfn.LET(
      _xlpm.result,
      IFERROR(
         _xlfn.XLOOKUP(
            1,
            (Table8[رقم الصنف]=A965) *
            (IF($B$9="الكل",1, YEAR('ادخال البيانات'!$N$3:$N$1164)=VALUE($B$9))) *
            (IF($B$10="الكل",1, MONTH('ادخال البيانات'!$N$3:$N$1164)=VALUE($B$10))) *
            (IF($B$11="الكل",1, INT((DAY('ادخال البيانات'!$N$3:$N$1164)-1)/7)+1 = VALUE($B$11))),
            'ادخال البيانات'!$G$3:$G$1164
         ),
         ""
      ),
      IF(_xlpm.result="", "", _xlpm.result)
   )
)</f>
        <v/>
      </c>
      <c r="H965" s="27" t="str" cm="1">
        <f t="array" ref="H965">IF(
   A965="",
   "",
   _xlfn.LET(
      _xlpm.result,
      IFERROR(
         _xlfn.XLOOKUP(
            1,
            (Table8[رقم الصنف]=A965) *
            (IF($B$9="الكل",1, YEAR('ادخال البيانات'!$N$3:$N$1164)=VALUE($B$9))) *
            (IF($B$10="الكل",1, MONTH('ادخال البيانات'!$N$3:$N$1164)=VALUE($B$10))) *
            (IF($B$11="الكل",1, INT((DAY('ادخال البيانات'!$N$3:$N$1164)-1)/7)+1 = VALUE($B$11))),
            'ادخال البيانات'!$H$3:$H$1164
         ),
         ""
      ),
      IF(_xlpm.result="", "", _xlpm.result)
   )
)</f>
        <v/>
      </c>
      <c r="I965" s="27" t="str" cm="1">
        <f t="array" ref="I965">IF(
   A965="",
   "",
   _xlfn.LET(
      _xlpm.result,
      IFERROR(
         _xlfn.XLOOKUP(
            1,
            (Table8[رقم الصنف]=A965) *
            (IF($B$9="الكل",1, YEAR('ادخال البيانات'!$N$3:$N$1164)=VALUE($B$9))) *
            (IF($B$10="الكل",1, MONTH('ادخال البيانات'!$N$3:$N$1164)=VALUE($B$10))) *
            (IF($B$11="الكل",1, INT((DAY('ادخال البيانات'!$N$3:$N$1164)-1)/7)+1 = VALUE($B$11))),
            'ادخال البيانات'!$I$3:$I$1164
         ),
         ""
      ),
      IF(_xlpm.result="", "", _xlpm.result)
   )
)</f>
        <v/>
      </c>
      <c r="J965" s="27" t="str" cm="1">
        <f t="array" ref="J965">IF(
   A965="",
   "",
   _xlfn.LET(
      _xlpm.result,
      IFERROR(
         _xlfn.XLOOKUP(
            1,
            (Table8[رقم الصنف]=A965) *
            (IF($B$9="الكل",1, YEAR('ادخال البيانات'!$N$3:$N$1164)=VALUE($B$9))) *
            (IF($B$10="الكل",1, MONTH('ادخال البيانات'!$N$3:$N$1164)=VALUE($B$10))) *
            (IF($B$11="الكل",1, INT((DAY('ادخال البيانات'!$N$3:$N$1164)-1)/7)+1 = VALUE($B$11))),
            'ادخال البيانات'!$J$3:$J$1164
         ),
         ""
      ),
      IF(_xlpm.result="", "", _xlpm.result)
   )
)</f>
        <v/>
      </c>
      <c r="K965" s="27" t="str" cm="1">
        <f t="array" ref="K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5" s="27" t="str" cm="1">
        <f t="array" ref="L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5" s="27" t="str" cm="1">
        <f t="array" ref="M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5" s="28" t="str" cm="1">
        <f t="array" ref="N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5" s="28" t="str" cm="1">
        <f t="array" ref="O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5" s="27" t="str" cm="1">
        <f t="array" ref="P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Table8[جهة العطل]
         ),
         ""
      ),
      IF(_xlpm.result="", "", _xlpm.result)
   )
)</f>
        <v/>
      </c>
      <c r="Q965" s="27" t="str" cm="1">
        <f t="array" ref="Q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Table8[المركز]
         ),
         ""
      ),
      IF(_xlpm.result="", "", _xlpm.result)
   )
)</f>
        <v/>
      </c>
      <c r="R965" s="27" t="str" cm="1">
        <f t="array" ref="R965">IF(
   A965="",
   "",
   _xlfn.LET(
      _xlpm.result,
      IFERROR(
         _xlfn.XLOOKUP(
            1,
            (Table8[رقم الصنف]=A965) *
            (IF($B$9="الكل",1, YEAR('ادخال البيانات'!$N$3:$N$1164) = VALUE($B$9))) *
            (IF($B$10="الكل",1, MONTH('ادخال البيانات'!$N$3:$N$1164) = VALUE($B$10))) *
            (IF($B$11="الكل",1, INT((DAY('ادخال البيانات'!$N$3:$N$1164) - 1) / 7) + 1 = VALUE($B$11))),
            Table8[ملاحظة]
         ),
         ""
      ),
      IF(_xlpm.result="", "", _xlpm.result)
   )
)</f>
        <v/>
      </c>
      <c r="S965" s="46" t="str">
        <f t="shared" ca="1" si="15"/>
        <v/>
      </c>
    </row>
    <row r="966" spans="1:19" ht="15.6" thickTop="1" thickBot="1" x14ac:dyDescent="0.35">
      <c r="A966" s="39"/>
      <c r="B966" s="27" t="str" cm="1">
        <f t="array" ref="B966">IF(
   OR(A966="", $B$9="", $B$10="", $B$11=""),
   "",
   _xlfn.LET(
      _xlpm.result,
      IFERROR(
         _xlfn.XLOOKUP(
            1,
            (Table8[رقم الصنف]=A966)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6" s="27" t="str" cm="1">
        <f t="array" ref="C966">IF(
   A966="",
   "",
   _xlfn.LET(
      _xlpm.result,
      IFERROR(
         _xlfn.XLOOKUP(
            1,
            (Table8[رقم الصنف]=A966) *
            (IF($B$9="الكل",1, YEAR('ادخال البيانات'!$N$3:$N$1164) = VALUE($B$9))) *
            (IF($B$10="الكل",1, MONTH('ادخال البيانات'!$N$3:$N$1164) = VALUE($B$10))) *
            (IF($B$11="الكل",1, INT((DAY('ادخال البيانات'!$N$3:$N$1164)-1)/7)+1 = VALUE($B$11))),
            'ادخال البيانات'!$C$3:$C$1164
         ),
         ""
      ),
      IF(_xlpm.result="", "", _xlpm.result)
   )
)</f>
        <v/>
      </c>
      <c r="D966" s="27" t="str" cm="1">
        <f t="array" ref="D966">IF(
   OR(A966="", $B$9="", $B$10="", $B$11=""),
   "",
   _xlfn.LET(
      _xlpm.result,
      IFERROR(
         _xlfn.XLOOKUP(
            1,
            (Table8[رقم الصنف]=A966) *
            (IF($B$9="الكل",1, YEAR('ادخال البيانات'!$N$3:$N$1164)=VALUE($B$9))) *
            (IF($B$10="الكل",1, MONTH('ادخال البيانات'!$N$3:$N$1164)=VALUE($B$10))) *
            (IF($B$11="الكل",1, INT((DAY('ادخال البيانات'!$N$3:$N$1164)-1)/7)+1 = VALUE($B$11))),
            'ادخال البيانات'!$D$3:$D$1164
         ),
         ""
      ),
      IF(_xlpm.result="", "", _xlpm.result)
   )
)</f>
        <v/>
      </c>
      <c r="E966" s="27" t="str" cm="1">
        <f t="array" ref="E966">IF(
   A966="",
   "",
   _xlfn.LET(
      _xlpm.result,
      IFERROR(
         _xlfn.XLOOKUP(
            1,
            (Table8[رقم الصنف]=A966) *
            (IF($B$9="الكل",1, YEAR('ادخال البيانات'!$N$3:$N$1164)=VALUE($B$9))) *
            (IF($B$10="الكل",1, MONTH('ادخال البيانات'!$N$3:$N$1164)=VALUE($B$10))) *
            (IF($B$11="الكل",1, INT((DAY('ادخال البيانات'!$N$3:$N$1164)-1)/7)+1 = VALUE($B$11))),
            'ادخال البيانات'!$E$3:$E$1164
         ),
         ""
      ),
      IF(_xlpm.result="", "", _xlpm.result)
   )
)</f>
        <v/>
      </c>
      <c r="F966" s="27" t="str" cm="1">
        <f t="array" ref="F966">IF(
   A966="",
   "",
   _xlfn.LET(
      _xlpm.result,
      IFERROR(
         _xlfn.XLOOKUP(
            1,
            (Table8[رقم الصنف]=A966) *
            (IF($B$9="الكل",1, YEAR('ادخال البيانات'!$N$3:$N$1164) = VALUE($B$9))) *
            (IF($B$10="الكل",1, MONTH('ادخال البيانات'!$N$3:$N$1164) = VALUE($B$10))) *
            (IF($B$11="الكل",1, INT((DAY('ادخال البيانات'!$N$3:$N$1164)-1)/7)+1 = VALUE($B$11))),
            'ادخال البيانات'!$F$3:$F$1164
         ),
         ""
      ),
      IF(_xlpm.result="", "", _xlpm.result)
   )
)</f>
        <v/>
      </c>
      <c r="G966" s="27" t="str" cm="1">
        <f t="array" ref="G966">IF(
   A966="",
   "",
   _xlfn.LET(
      _xlpm.result,
      IFERROR(
         _xlfn.XLOOKUP(
            1,
            (Table8[رقم الصنف]=A966) *
            (IF($B$9="الكل",1, YEAR('ادخال البيانات'!$N$3:$N$1164)=VALUE($B$9))) *
            (IF($B$10="الكل",1, MONTH('ادخال البيانات'!$N$3:$N$1164)=VALUE($B$10))) *
            (IF($B$11="الكل",1, INT((DAY('ادخال البيانات'!$N$3:$N$1164)-1)/7)+1 = VALUE($B$11))),
            'ادخال البيانات'!$G$3:$G$1164
         ),
         ""
      ),
      IF(_xlpm.result="", "", _xlpm.result)
   )
)</f>
        <v/>
      </c>
      <c r="H966" s="27" t="str" cm="1">
        <f t="array" ref="H966">IF(
   A966="",
   "",
   _xlfn.LET(
      _xlpm.result,
      IFERROR(
         _xlfn.XLOOKUP(
            1,
            (Table8[رقم الصنف]=A966) *
            (IF($B$9="الكل",1, YEAR('ادخال البيانات'!$N$3:$N$1164)=VALUE($B$9))) *
            (IF($B$10="الكل",1, MONTH('ادخال البيانات'!$N$3:$N$1164)=VALUE($B$10))) *
            (IF($B$11="الكل",1, INT((DAY('ادخال البيانات'!$N$3:$N$1164)-1)/7)+1 = VALUE($B$11))),
            'ادخال البيانات'!$H$3:$H$1164
         ),
         ""
      ),
      IF(_xlpm.result="", "", _xlpm.result)
   )
)</f>
        <v/>
      </c>
      <c r="I966" s="27" t="str" cm="1">
        <f t="array" ref="I966">IF(
   A966="",
   "",
   _xlfn.LET(
      _xlpm.result,
      IFERROR(
         _xlfn.XLOOKUP(
            1,
            (Table8[رقم الصنف]=A966) *
            (IF($B$9="الكل",1, YEAR('ادخال البيانات'!$N$3:$N$1164)=VALUE($B$9))) *
            (IF($B$10="الكل",1, MONTH('ادخال البيانات'!$N$3:$N$1164)=VALUE($B$10))) *
            (IF($B$11="الكل",1, INT((DAY('ادخال البيانات'!$N$3:$N$1164)-1)/7)+1 = VALUE($B$11))),
            'ادخال البيانات'!$I$3:$I$1164
         ),
         ""
      ),
      IF(_xlpm.result="", "", _xlpm.result)
   )
)</f>
        <v/>
      </c>
      <c r="J966" s="27" t="str" cm="1">
        <f t="array" ref="J966">IF(
   A966="",
   "",
   _xlfn.LET(
      _xlpm.result,
      IFERROR(
         _xlfn.XLOOKUP(
            1,
            (Table8[رقم الصنف]=A966) *
            (IF($B$9="الكل",1, YEAR('ادخال البيانات'!$N$3:$N$1164)=VALUE($B$9))) *
            (IF($B$10="الكل",1, MONTH('ادخال البيانات'!$N$3:$N$1164)=VALUE($B$10))) *
            (IF($B$11="الكل",1, INT((DAY('ادخال البيانات'!$N$3:$N$1164)-1)/7)+1 = VALUE($B$11))),
            'ادخال البيانات'!$J$3:$J$1164
         ),
         ""
      ),
      IF(_xlpm.result="", "", _xlpm.result)
   )
)</f>
        <v/>
      </c>
      <c r="K966" s="27" t="str" cm="1">
        <f t="array" ref="K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6" s="27" t="str" cm="1">
        <f t="array" ref="L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6" s="27" t="str" cm="1">
        <f t="array" ref="M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6" s="28" t="str" cm="1">
        <f t="array" ref="N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6" s="28" t="str" cm="1">
        <f t="array" ref="O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6" s="27" t="str" cm="1">
        <f t="array" ref="P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Table8[جهة العطل]
         ),
         ""
      ),
      IF(_xlpm.result="", "", _xlpm.result)
   )
)</f>
        <v/>
      </c>
      <c r="Q966" s="27" t="str" cm="1">
        <f t="array" ref="Q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Table8[المركز]
         ),
         ""
      ),
      IF(_xlpm.result="", "", _xlpm.result)
   )
)</f>
        <v/>
      </c>
      <c r="R966" s="27" t="str" cm="1">
        <f t="array" ref="R966">IF(
   A966="",
   "",
   _xlfn.LET(
      _xlpm.result,
      IFERROR(
         _xlfn.XLOOKUP(
            1,
            (Table8[رقم الصنف]=A966) *
            (IF($B$9="الكل",1, YEAR('ادخال البيانات'!$N$3:$N$1164) = VALUE($B$9))) *
            (IF($B$10="الكل",1, MONTH('ادخال البيانات'!$N$3:$N$1164) = VALUE($B$10))) *
            (IF($B$11="الكل",1, INT((DAY('ادخال البيانات'!$N$3:$N$1164) - 1) / 7) + 1 = VALUE($B$11))),
            Table8[ملاحظة]
         ),
         ""
      ),
      IF(_xlpm.result="", "", _xlpm.result)
   )
)</f>
        <v/>
      </c>
      <c r="S966" s="46" t="str">
        <f t="shared" ca="1" si="15"/>
        <v/>
      </c>
    </row>
    <row r="967" spans="1:19" ht="15.6" thickTop="1" thickBot="1" x14ac:dyDescent="0.35">
      <c r="A967" s="39"/>
      <c r="B967" s="27" t="str" cm="1">
        <f t="array" ref="B967">IF(
   OR(A967="", $B$9="", $B$10="", $B$11=""),
   "",
   _xlfn.LET(
      _xlpm.result,
      IFERROR(
         _xlfn.XLOOKUP(
            1,
            (Table8[رقم الصنف]=A967)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7" s="27" t="str" cm="1">
        <f t="array" ref="C967">IF(
   A967="",
   "",
   _xlfn.LET(
      _xlpm.result,
      IFERROR(
         _xlfn.XLOOKUP(
            1,
            (Table8[رقم الصنف]=A967) *
            (IF($B$9="الكل",1, YEAR('ادخال البيانات'!$N$3:$N$1164) = VALUE($B$9))) *
            (IF($B$10="الكل",1, MONTH('ادخال البيانات'!$N$3:$N$1164) = VALUE($B$10))) *
            (IF($B$11="الكل",1, INT((DAY('ادخال البيانات'!$N$3:$N$1164)-1)/7)+1 = VALUE($B$11))),
            'ادخال البيانات'!$C$3:$C$1164
         ),
         ""
      ),
      IF(_xlpm.result="", "", _xlpm.result)
   )
)</f>
        <v/>
      </c>
      <c r="D967" s="27" t="str" cm="1">
        <f t="array" ref="D967">IF(
   OR(A967="", $B$9="", $B$10="", $B$11=""),
   "",
   _xlfn.LET(
      _xlpm.result,
      IFERROR(
         _xlfn.XLOOKUP(
            1,
            (Table8[رقم الصنف]=A967) *
            (IF($B$9="الكل",1, YEAR('ادخال البيانات'!$N$3:$N$1164)=VALUE($B$9))) *
            (IF($B$10="الكل",1, MONTH('ادخال البيانات'!$N$3:$N$1164)=VALUE($B$10))) *
            (IF($B$11="الكل",1, INT((DAY('ادخال البيانات'!$N$3:$N$1164)-1)/7)+1 = VALUE($B$11))),
            'ادخال البيانات'!$D$3:$D$1164
         ),
         ""
      ),
      IF(_xlpm.result="", "", _xlpm.result)
   )
)</f>
        <v/>
      </c>
      <c r="E967" s="27" t="str" cm="1">
        <f t="array" ref="E967">IF(
   A967="",
   "",
   _xlfn.LET(
      _xlpm.result,
      IFERROR(
         _xlfn.XLOOKUP(
            1,
            (Table8[رقم الصنف]=A967) *
            (IF($B$9="الكل",1, YEAR('ادخال البيانات'!$N$3:$N$1164)=VALUE($B$9))) *
            (IF($B$10="الكل",1, MONTH('ادخال البيانات'!$N$3:$N$1164)=VALUE($B$10))) *
            (IF($B$11="الكل",1, INT((DAY('ادخال البيانات'!$N$3:$N$1164)-1)/7)+1 = VALUE($B$11))),
            'ادخال البيانات'!$E$3:$E$1164
         ),
         ""
      ),
      IF(_xlpm.result="", "", _xlpm.result)
   )
)</f>
        <v/>
      </c>
      <c r="F967" s="27" t="str" cm="1">
        <f t="array" ref="F967">IF(
   A967="",
   "",
   _xlfn.LET(
      _xlpm.result,
      IFERROR(
         _xlfn.XLOOKUP(
            1,
            (Table8[رقم الصنف]=A967) *
            (IF($B$9="الكل",1, YEAR('ادخال البيانات'!$N$3:$N$1164) = VALUE($B$9))) *
            (IF($B$10="الكل",1, MONTH('ادخال البيانات'!$N$3:$N$1164) = VALUE($B$10))) *
            (IF($B$11="الكل",1, INT((DAY('ادخال البيانات'!$N$3:$N$1164)-1)/7)+1 = VALUE($B$11))),
            'ادخال البيانات'!$F$3:$F$1164
         ),
         ""
      ),
      IF(_xlpm.result="", "", _xlpm.result)
   )
)</f>
        <v/>
      </c>
      <c r="G967" s="27" t="str" cm="1">
        <f t="array" ref="G967">IF(
   A967="",
   "",
   _xlfn.LET(
      _xlpm.result,
      IFERROR(
         _xlfn.XLOOKUP(
            1,
            (Table8[رقم الصنف]=A967) *
            (IF($B$9="الكل",1, YEAR('ادخال البيانات'!$N$3:$N$1164)=VALUE($B$9))) *
            (IF($B$10="الكل",1, MONTH('ادخال البيانات'!$N$3:$N$1164)=VALUE($B$10))) *
            (IF($B$11="الكل",1, INT((DAY('ادخال البيانات'!$N$3:$N$1164)-1)/7)+1 = VALUE($B$11))),
            'ادخال البيانات'!$G$3:$G$1164
         ),
         ""
      ),
      IF(_xlpm.result="", "", _xlpm.result)
   )
)</f>
        <v/>
      </c>
      <c r="H967" s="27" t="str" cm="1">
        <f t="array" ref="H967">IF(
   A967="",
   "",
   _xlfn.LET(
      _xlpm.result,
      IFERROR(
         _xlfn.XLOOKUP(
            1,
            (Table8[رقم الصنف]=A967) *
            (IF($B$9="الكل",1, YEAR('ادخال البيانات'!$N$3:$N$1164)=VALUE($B$9))) *
            (IF($B$10="الكل",1, MONTH('ادخال البيانات'!$N$3:$N$1164)=VALUE($B$10))) *
            (IF($B$11="الكل",1, INT((DAY('ادخال البيانات'!$N$3:$N$1164)-1)/7)+1 = VALUE($B$11))),
            'ادخال البيانات'!$H$3:$H$1164
         ),
         ""
      ),
      IF(_xlpm.result="", "", _xlpm.result)
   )
)</f>
        <v/>
      </c>
      <c r="I967" s="27" t="str" cm="1">
        <f t="array" ref="I967">IF(
   A967="",
   "",
   _xlfn.LET(
      _xlpm.result,
      IFERROR(
         _xlfn.XLOOKUP(
            1,
            (Table8[رقم الصنف]=A967) *
            (IF($B$9="الكل",1, YEAR('ادخال البيانات'!$N$3:$N$1164)=VALUE($B$9))) *
            (IF($B$10="الكل",1, MONTH('ادخال البيانات'!$N$3:$N$1164)=VALUE($B$10))) *
            (IF($B$11="الكل",1, INT((DAY('ادخال البيانات'!$N$3:$N$1164)-1)/7)+1 = VALUE($B$11))),
            'ادخال البيانات'!$I$3:$I$1164
         ),
         ""
      ),
      IF(_xlpm.result="", "", _xlpm.result)
   )
)</f>
        <v/>
      </c>
      <c r="J967" s="27" t="str" cm="1">
        <f t="array" ref="J967">IF(
   A967="",
   "",
   _xlfn.LET(
      _xlpm.result,
      IFERROR(
         _xlfn.XLOOKUP(
            1,
            (Table8[رقم الصنف]=A967) *
            (IF($B$9="الكل",1, YEAR('ادخال البيانات'!$N$3:$N$1164)=VALUE($B$9))) *
            (IF($B$10="الكل",1, MONTH('ادخال البيانات'!$N$3:$N$1164)=VALUE($B$10))) *
            (IF($B$11="الكل",1, INT((DAY('ادخال البيانات'!$N$3:$N$1164)-1)/7)+1 = VALUE($B$11))),
            'ادخال البيانات'!$J$3:$J$1164
         ),
         ""
      ),
      IF(_xlpm.result="", "", _xlpm.result)
   )
)</f>
        <v/>
      </c>
      <c r="K967" s="27" t="str" cm="1">
        <f t="array" ref="K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7" s="27" t="str" cm="1">
        <f t="array" ref="L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7" s="27" t="str" cm="1">
        <f t="array" ref="M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7" s="28" t="str" cm="1">
        <f t="array" ref="N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7" s="28" t="str" cm="1">
        <f t="array" ref="O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7" s="27" t="str" cm="1">
        <f t="array" ref="P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Table8[جهة العطل]
         ),
         ""
      ),
      IF(_xlpm.result="", "", _xlpm.result)
   )
)</f>
        <v/>
      </c>
      <c r="Q967" s="27" t="str" cm="1">
        <f t="array" ref="Q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Table8[المركز]
         ),
         ""
      ),
      IF(_xlpm.result="", "", _xlpm.result)
   )
)</f>
        <v/>
      </c>
      <c r="R967" s="27" t="str" cm="1">
        <f t="array" ref="R967">IF(
   A967="",
   "",
   _xlfn.LET(
      _xlpm.result,
      IFERROR(
         _xlfn.XLOOKUP(
            1,
            (Table8[رقم الصنف]=A967) *
            (IF($B$9="الكل",1, YEAR('ادخال البيانات'!$N$3:$N$1164) = VALUE($B$9))) *
            (IF($B$10="الكل",1, MONTH('ادخال البيانات'!$N$3:$N$1164) = VALUE($B$10))) *
            (IF($B$11="الكل",1, INT((DAY('ادخال البيانات'!$N$3:$N$1164) - 1) / 7) + 1 = VALUE($B$11))),
            Table8[ملاحظة]
         ),
         ""
      ),
      IF(_xlpm.result="", "", _xlpm.result)
   )
)</f>
        <v/>
      </c>
      <c r="S967" s="46" t="str">
        <f t="shared" ca="1" si="15"/>
        <v/>
      </c>
    </row>
    <row r="968" spans="1:19" ht="15.6" thickTop="1" thickBot="1" x14ac:dyDescent="0.35">
      <c r="A968" s="39"/>
      <c r="B968" s="27" t="str" cm="1">
        <f t="array" ref="B968">IF(
   OR(A968="", $B$9="", $B$10="", $B$11=""),
   "",
   _xlfn.LET(
      _xlpm.result,
      IFERROR(
         _xlfn.XLOOKUP(
            1,
            (Table8[رقم الصنف]=A968)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8" s="27" t="str" cm="1">
        <f t="array" ref="C968">IF(
   A968="",
   "",
   _xlfn.LET(
      _xlpm.result,
      IFERROR(
         _xlfn.XLOOKUP(
            1,
            (Table8[رقم الصنف]=A968) *
            (IF($B$9="الكل",1, YEAR('ادخال البيانات'!$N$3:$N$1164) = VALUE($B$9))) *
            (IF($B$10="الكل",1, MONTH('ادخال البيانات'!$N$3:$N$1164) = VALUE($B$10))) *
            (IF($B$11="الكل",1, INT((DAY('ادخال البيانات'!$N$3:$N$1164)-1)/7)+1 = VALUE($B$11))),
            'ادخال البيانات'!$C$3:$C$1164
         ),
         ""
      ),
      IF(_xlpm.result="", "", _xlpm.result)
   )
)</f>
        <v/>
      </c>
      <c r="D968" s="27" t="str" cm="1">
        <f t="array" ref="D968">IF(
   OR(A968="", $B$9="", $B$10="", $B$11=""),
   "",
   _xlfn.LET(
      _xlpm.result,
      IFERROR(
         _xlfn.XLOOKUP(
            1,
            (Table8[رقم الصنف]=A968) *
            (IF($B$9="الكل",1, YEAR('ادخال البيانات'!$N$3:$N$1164)=VALUE($B$9))) *
            (IF($B$10="الكل",1, MONTH('ادخال البيانات'!$N$3:$N$1164)=VALUE($B$10))) *
            (IF($B$11="الكل",1, INT((DAY('ادخال البيانات'!$N$3:$N$1164)-1)/7)+1 = VALUE($B$11))),
            'ادخال البيانات'!$D$3:$D$1164
         ),
         ""
      ),
      IF(_xlpm.result="", "", _xlpm.result)
   )
)</f>
        <v/>
      </c>
      <c r="E968" s="27" t="str" cm="1">
        <f t="array" ref="E968">IF(
   A968="",
   "",
   _xlfn.LET(
      _xlpm.result,
      IFERROR(
         _xlfn.XLOOKUP(
            1,
            (Table8[رقم الصنف]=A968) *
            (IF($B$9="الكل",1, YEAR('ادخال البيانات'!$N$3:$N$1164)=VALUE($B$9))) *
            (IF($B$10="الكل",1, MONTH('ادخال البيانات'!$N$3:$N$1164)=VALUE($B$10))) *
            (IF($B$11="الكل",1, INT((DAY('ادخال البيانات'!$N$3:$N$1164)-1)/7)+1 = VALUE($B$11))),
            'ادخال البيانات'!$E$3:$E$1164
         ),
         ""
      ),
      IF(_xlpm.result="", "", _xlpm.result)
   )
)</f>
        <v/>
      </c>
      <c r="F968" s="27" t="str" cm="1">
        <f t="array" ref="F968">IF(
   A968="",
   "",
   _xlfn.LET(
      _xlpm.result,
      IFERROR(
         _xlfn.XLOOKUP(
            1,
            (Table8[رقم الصنف]=A968) *
            (IF($B$9="الكل",1, YEAR('ادخال البيانات'!$N$3:$N$1164) = VALUE($B$9))) *
            (IF($B$10="الكل",1, MONTH('ادخال البيانات'!$N$3:$N$1164) = VALUE($B$10))) *
            (IF($B$11="الكل",1, INT((DAY('ادخال البيانات'!$N$3:$N$1164)-1)/7)+1 = VALUE($B$11))),
            'ادخال البيانات'!$F$3:$F$1164
         ),
         ""
      ),
      IF(_xlpm.result="", "", _xlpm.result)
   )
)</f>
        <v/>
      </c>
      <c r="G968" s="27" t="str" cm="1">
        <f t="array" ref="G968">IF(
   A968="",
   "",
   _xlfn.LET(
      _xlpm.result,
      IFERROR(
         _xlfn.XLOOKUP(
            1,
            (Table8[رقم الصنف]=A968) *
            (IF($B$9="الكل",1, YEAR('ادخال البيانات'!$N$3:$N$1164)=VALUE($B$9))) *
            (IF($B$10="الكل",1, MONTH('ادخال البيانات'!$N$3:$N$1164)=VALUE($B$10))) *
            (IF($B$11="الكل",1, INT((DAY('ادخال البيانات'!$N$3:$N$1164)-1)/7)+1 = VALUE($B$11))),
            'ادخال البيانات'!$G$3:$G$1164
         ),
         ""
      ),
      IF(_xlpm.result="", "", _xlpm.result)
   )
)</f>
        <v/>
      </c>
      <c r="H968" s="27" t="str" cm="1">
        <f t="array" ref="H968">IF(
   A968="",
   "",
   _xlfn.LET(
      _xlpm.result,
      IFERROR(
         _xlfn.XLOOKUP(
            1,
            (Table8[رقم الصنف]=A968) *
            (IF($B$9="الكل",1, YEAR('ادخال البيانات'!$N$3:$N$1164)=VALUE($B$9))) *
            (IF($B$10="الكل",1, MONTH('ادخال البيانات'!$N$3:$N$1164)=VALUE($B$10))) *
            (IF($B$11="الكل",1, INT((DAY('ادخال البيانات'!$N$3:$N$1164)-1)/7)+1 = VALUE($B$11))),
            'ادخال البيانات'!$H$3:$H$1164
         ),
         ""
      ),
      IF(_xlpm.result="", "", _xlpm.result)
   )
)</f>
        <v/>
      </c>
      <c r="I968" s="27" t="str" cm="1">
        <f t="array" ref="I968">IF(
   A968="",
   "",
   _xlfn.LET(
      _xlpm.result,
      IFERROR(
         _xlfn.XLOOKUP(
            1,
            (Table8[رقم الصنف]=A968) *
            (IF($B$9="الكل",1, YEAR('ادخال البيانات'!$N$3:$N$1164)=VALUE($B$9))) *
            (IF($B$10="الكل",1, MONTH('ادخال البيانات'!$N$3:$N$1164)=VALUE($B$10))) *
            (IF($B$11="الكل",1, INT((DAY('ادخال البيانات'!$N$3:$N$1164)-1)/7)+1 = VALUE($B$11))),
            'ادخال البيانات'!$I$3:$I$1164
         ),
         ""
      ),
      IF(_xlpm.result="", "", _xlpm.result)
   )
)</f>
        <v/>
      </c>
      <c r="J968" s="27" t="str" cm="1">
        <f t="array" ref="J968">IF(
   A968="",
   "",
   _xlfn.LET(
      _xlpm.result,
      IFERROR(
         _xlfn.XLOOKUP(
            1,
            (Table8[رقم الصنف]=A968) *
            (IF($B$9="الكل",1, YEAR('ادخال البيانات'!$N$3:$N$1164)=VALUE($B$9))) *
            (IF($B$10="الكل",1, MONTH('ادخال البيانات'!$N$3:$N$1164)=VALUE($B$10))) *
            (IF($B$11="الكل",1, INT((DAY('ادخال البيانات'!$N$3:$N$1164)-1)/7)+1 = VALUE($B$11))),
            'ادخال البيانات'!$J$3:$J$1164
         ),
         ""
      ),
      IF(_xlpm.result="", "", _xlpm.result)
   )
)</f>
        <v/>
      </c>
      <c r="K968" s="27" t="str" cm="1">
        <f t="array" ref="K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8" s="27" t="str" cm="1">
        <f t="array" ref="L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8" s="27" t="str" cm="1">
        <f t="array" ref="M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8" s="28" t="str" cm="1">
        <f t="array" ref="N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8" s="28" t="str" cm="1">
        <f t="array" ref="O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8" s="27" t="str" cm="1">
        <f t="array" ref="P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Table8[جهة العطل]
         ),
         ""
      ),
      IF(_xlpm.result="", "", _xlpm.result)
   )
)</f>
        <v/>
      </c>
      <c r="Q968" s="27" t="str" cm="1">
        <f t="array" ref="Q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Table8[المركز]
         ),
         ""
      ),
      IF(_xlpm.result="", "", _xlpm.result)
   )
)</f>
        <v/>
      </c>
      <c r="R968" s="27" t="str" cm="1">
        <f t="array" ref="R968">IF(
   A968="",
   "",
   _xlfn.LET(
      _xlpm.result,
      IFERROR(
         _xlfn.XLOOKUP(
            1,
            (Table8[رقم الصنف]=A968) *
            (IF($B$9="الكل",1, YEAR('ادخال البيانات'!$N$3:$N$1164) = VALUE($B$9))) *
            (IF($B$10="الكل",1, MONTH('ادخال البيانات'!$N$3:$N$1164) = VALUE($B$10))) *
            (IF($B$11="الكل",1, INT((DAY('ادخال البيانات'!$N$3:$N$1164) - 1) / 7) + 1 = VALUE($B$11))),
            Table8[ملاحظة]
         ),
         ""
      ),
      IF(_xlpm.result="", "", _xlpm.result)
   )
)</f>
        <v/>
      </c>
      <c r="S968" s="46" t="str">
        <f t="shared" ca="1" si="15"/>
        <v/>
      </c>
    </row>
    <row r="969" spans="1:19" ht="15.6" thickTop="1" thickBot="1" x14ac:dyDescent="0.35">
      <c r="A969" s="39"/>
      <c r="B969" s="27" t="str" cm="1">
        <f t="array" ref="B969">IF(
   OR(A969="", $B$9="", $B$10="", $B$11=""),
   "",
   _xlfn.LET(
      _xlpm.result,
      IFERROR(
         _xlfn.XLOOKUP(
            1,
            (Table8[رقم الصنف]=A969)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69" s="27" t="str" cm="1">
        <f t="array" ref="C969">IF(
   A969="",
   "",
   _xlfn.LET(
      _xlpm.result,
      IFERROR(
         _xlfn.XLOOKUP(
            1,
            (Table8[رقم الصنف]=A969) *
            (IF($B$9="الكل",1, YEAR('ادخال البيانات'!$N$3:$N$1164) = VALUE($B$9))) *
            (IF($B$10="الكل",1, MONTH('ادخال البيانات'!$N$3:$N$1164) = VALUE($B$10))) *
            (IF($B$11="الكل",1, INT((DAY('ادخال البيانات'!$N$3:$N$1164)-1)/7)+1 = VALUE($B$11))),
            'ادخال البيانات'!$C$3:$C$1164
         ),
         ""
      ),
      IF(_xlpm.result="", "", _xlpm.result)
   )
)</f>
        <v/>
      </c>
      <c r="D969" s="27" t="str" cm="1">
        <f t="array" ref="D969">IF(
   OR(A969="", $B$9="", $B$10="", $B$11=""),
   "",
   _xlfn.LET(
      _xlpm.result,
      IFERROR(
         _xlfn.XLOOKUP(
            1,
            (Table8[رقم الصنف]=A969) *
            (IF($B$9="الكل",1, YEAR('ادخال البيانات'!$N$3:$N$1164)=VALUE($B$9))) *
            (IF($B$10="الكل",1, MONTH('ادخال البيانات'!$N$3:$N$1164)=VALUE($B$10))) *
            (IF($B$11="الكل",1, INT((DAY('ادخال البيانات'!$N$3:$N$1164)-1)/7)+1 = VALUE($B$11))),
            'ادخال البيانات'!$D$3:$D$1164
         ),
         ""
      ),
      IF(_xlpm.result="", "", _xlpm.result)
   )
)</f>
        <v/>
      </c>
      <c r="E969" s="27" t="str" cm="1">
        <f t="array" ref="E969">IF(
   A969="",
   "",
   _xlfn.LET(
      _xlpm.result,
      IFERROR(
         _xlfn.XLOOKUP(
            1,
            (Table8[رقم الصنف]=A969) *
            (IF($B$9="الكل",1, YEAR('ادخال البيانات'!$N$3:$N$1164)=VALUE($B$9))) *
            (IF($B$10="الكل",1, MONTH('ادخال البيانات'!$N$3:$N$1164)=VALUE($B$10))) *
            (IF($B$11="الكل",1, INT((DAY('ادخال البيانات'!$N$3:$N$1164)-1)/7)+1 = VALUE($B$11))),
            'ادخال البيانات'!$E$3:$E$1164
         ),
         ""
      ),
      IF(_xlpm.result="", "", _xlpm.result)
   )
)</f>
        <v/>
      </c>
      <c r="F969" s="27" t="str" cm="1">
        <f t="array" ref="F969">IF(
   A969="",
   "",
   _xlfn.LET(
      _xlpm.result,
      IFERROR(
         _xlfn.XLOOKUP(
            1,
            (Table8[رقم الصنف]=A969) *
            (IF($B$9="الكل",1, YEAR('ادخال البيانات'!$N$3:$N$1164) = VALUE($B$9))) *
            (IF($B$10="الكل",1, MONTH('ادخال البيانات'!$N$3:$N$1164) = VALUE($B$10))) *
            (IF($B$11="الكل",1, INT((DAY('ادخال البيانات'!$N$3:$N$1164)-1)/7)+1 = VALUE($B$11))),
            'ادخال البيانات'!$F$3:$F$1164
         ),
         ""
      ),
      IF(_xlpm.result="", "", _xlpm.result)
   )
)</f>
        <v/>
      </c>
      <c r="G969" s="27" t="str" cm="1">
        <f t="array" ref="G969">IF(
   A969="",
   "",
   _xlfn.LET(
      _xlpm.result,
      IFERROR(
         _xlfn.XLOOKUP(
            1,
            (Table8[رقم الصنف]=A969) *
            (IF($B$9="الكل",1, YEAR('ادخال البيانات'!$N$3:$N$1164)=VALUE($B$9))) *
            (IF($B$10="الكل",1, MONTH('ادخال البيانات'!$N$3:$N$1164)=VALUE($B$10))) *
            (IF($B$11="الكل",1, INT((DAY('ادخال البيانات'!$N$3:$N$1164)-1)/7)+1 = VALUE($B$11))),
            'ادخال البيانات'!$G$3:$G$1164
         ),
         ""
      ),
      IF(_xlpm.result="", "", _xlpm.result)
   )
)</f>
        <v/>
      </c>
      <c r="H969" s="27" t="str" cm="1">
        <f t="array" ref="H969">IF(
   A969="",
   "",
   _xlfn.LET(
      _xlpm.result,
      IFERROR(
         _xlfn.XLOOKUP(
            1,
            (Table8[رقم الصنف]=A969) *
            (IF($B$9="الكل",1, YEAR('ادخال البيانات'!$N$3:$N$1164)=VALUE($B$9))) *
            (IF($B$10="الكل",1, MONTH('ادخال البيانات'!$N$3:$N$1164)=VALUE($B$10))) *
            (IF($B$11="الكل",1, INT((DAY('ادخال البيانات'!$N$3:$N$1164)-1)/7)+1 = VALUE($B$11))),
            'ادخال البيانات'!$H$3:$H$1164
         ),
         ""
      ),
      IF(_xlpm.result="", "", _xlpm.result)
   )
)</f>
        <v/>
      </c>
      <c r="I969" s="27" t="str" cm="1">
        <f t="array" ref="I969">IF(
   A969="",
   "",
   _xlfn.LET(
      _xlpm.result,
      IFERROR(
         _xlfn.XLOOKUP(
            1,
            (Table8[رقم الصنف]=A969) *
            (IF($B$9="الكل",1, YEAR('ادخال البيانات'!$N$3:$N$1164)=VALUE($B$9))) *
            (IF($B$10="الكل",1, MONTH('ادخال البيانات'!$N$3:$N$1164)=VALUE($B$10))) *
            (IF($B$11="الكل",1, INT((DAY('ادخال البيانات'!$N$3:$N$1164)-1)/7)+1 = VALUE($B$11))),
            'ادخال البيانات'!$I$3:$I$1164
         ),
         ""
      ),
      IF(_xlpm.result="", "", _xlpm.result)
   )
)</f>
        <v/>
      </c>
      <c r="J969" s="27" t="str" cm="1">
        <f t="array" ref="J969">IF(
   A969="",
   "",
   _xlfn.LET(
      _xlpm.result,
      IFERROR(
         _xlfn.XLOOKUP(
            1,
            (Table8[رقم الصنف]=A969) *
            (IF($B$9="الكل",1, YEAR('ادخال البيانات'!$N$3:$N$1164)=VALUE($B$9))) *
            (IF($B$10="الكل",1, MONTH('ادخال البيانات'!$N$3:$N$1164)=VALUE($B$10))) *
            (IF($B$11="الكل",1, INT((DAY('ادخال البيانات'!$N$3:$N$1164)-1)/7)+1 = VALUE($B$11))),
            'ادخال البيانات'!$J$3:$J$1164
         ),
         ""
      ),
      IF(_xlpm.result="", "", _xlpm.result)
   )
)</f>
        <v/>
      </c>
      <c r="K969" s="27" t="str" cm="1">
        <f t="array" ref="K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69" s="27" t="str" cm="1">
        <f t="array" ref="L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69" s="27" t="str" cm="1">
        <f t="array" ref="M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69" s="28" t="str" cm="1">
        <f t="array" ref="N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69" s="28" t="str" cm="1">
        <f t="array" ref="O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69" s="27" t="str" cm="1">
        <f t="array" ref="P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Table8[جهة العطل]
         ),
         ""
      ),
      IF(_xlpm.result="", "", _xlpm.result)
   )
)</f>
        <v/>
      </c>
      <c r="Q969" s="27" t="str" cm="1">
        <f t="array" ref="Q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Table8[المركز]
         ),
         ""
      ),
      IF(_xlpm.result="", "", _xlpm.result)
   )
)</f>
        <v/>
      </c>
      <c r="R969" s="27" t="str" cm="1">
        <f t="array" ref="R969">IF(
   A969="",
   "",
   _xlfn.LET(
      _xlpm.result,
      IFERROR(
         _xlfn.XLOOKUP(
            1,
            (Table8[رقم الصنف]=A969) *
            (IF($B$9="الكل",1, YEAR('ادخال البيانات'!$N$3:$N$1164) = VALUE($B$9))) *
            (IF($B$10="الكل",1, MONTH('ادخال البيانات'!$N$3:$N$1164) = VALUE($B$10))) *
            (IF($B$11="الكل",1, INT((DAY('ادخال البيانات'!$N$3:$N$1164) - 1) / 7) + 1 = VALUE($B$11))),
            Table8[ملاحظة]
         ),
         ""
      ),
      IF(_xlpm.result="", "", _xlpm.result)
   )
)</f>
        <v/>
      </c>
      <c r="S969" s="46" t="str">
        <f t="shared" ca="1" si="15"/>
        <v/>
      </c>
    </row>
    <row r="970" spans="1:19" ht="15.6" thickTop="1" thickBot="1" x14ac:dyDescent="0.35">
      <c r="A970" s="39"/>
      <c r="B970" s="27" t="str" cm="1">
        <f t="array" ref="B970">IF(
   OR(A970="", $B$9="", $B$10="", $B$11=""),
   "",
   _xlfn.LET(
      _xlpm.result,
      IFERROR(
         _xlfn.XLOOKUP(
            1,
            (Table8[رقم الصنف]=A970)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0" s="27" t="str" cm="1">
        <f t="array" ref="C970">IF(
   A970="",
   "",
   _xlfn.LET(
      _xlpm.result,
      IFERROR(
         _xlfn.XLOOKUP(
            1,
            (Table8[رقم الصنف]=A970) *
            (IF($B$9="الكل",1, YEAR('ادخال البيانات'!$N$3:$N$1164) = VALUE($B$9))) *
            (IF($B$10="الكل",1, MONTH('ادخال البيانات'!$N$3:$N$1164) = VALUE($B$10))) *
            (IF($B$11="الكل",1, INT((DAY('ادخال البيانات'!$N$3:$N$1164)-1)/7)+1 = VALUE($B$11))),
            'ادخال البيانات'!$C$3:$C$1164
         ),
         ""
      ),
      IF(_xlpm.result="", "", _xlpm.result)
   )
)</f>
        <v/>
      </c>
      <c r="D970" s="27" t="str" cm="1">
        <f t="array" ref="D970">IF(
   OR(A970="", $B$9="", $B$10="", $B$11=""),
   "",
   _xlfn.LET(
      _xlpm.result,
      IFERROR(
         _xlfn.XLOOKUP(
            1,
            (Table8[رقم الصنف]=A970) *
            (IF($B$9="الكل",1, YEAR('ادخال البيانات'!$N$3:$N$1164)=VALUE($B$9))) *
            (IF($B$10="الكل",1, MONTH('ادخال البيانات'!$N$3:$N$1164)=VALUE($B$10))) *
            (IF($B$11="الكل",1, INT((DAY('ادخال البيانات'!$N$3:$N$1164)-1)/7)+1 = VALUE($B$11))),
            'ادخال البيانات'!$D$3:$D$1164
         ),
         ""
      ),
      IF(_xlpm.result="", "", _xlpm.result)
   )
)</f>
        <v/>
      </c>
      <c r="E970" s="27" t="str" cm="1">
        <f t="array" ref="E970">IF(
   A970="",
   "",
   _xlfn.LET(
      _xlpm.result,
      IFERROR(
         _xlfn.XLOOKUP(
            1,
            (Table8[رقم الصنف]=A970) *
            (IF($B$9="الكل",1, YEAR('ادخال البيانات'!$N$3:$N$1164)=VALUE($B$9))) *
            (IF($B$10="الكل",1, MONTH('ادخال البيانات'!$N$3:$N$1164)=VALUE($B$10))) *
            (IF($B$11="الكل",1, INT((DAY('ادخال البيانات'!$N$3:$N$1164)-1)/7)+1 = VALUE($B$11))),
            'ادخال البيانات'!$E$3:$E$1164
         ),
         ""
      ),
      IF(_xlpm.result="", "", _xlpm.result)
   )
)</f>
        <v/>
      </c>
      <c r="F970" s="27" t="str" cm="1">
        <f t="array" ref="F970">IF(
   A970="",
   "",
   _xlfn.LET(
      _xlpm.result,
      IFERROR(
         _xlfn.XLOOKUP(
            1,
            (Table8[رقم الصنف]=A970) *
            (IF($B$9="الكل",1, YEAR('ادخال البيانات'!$N$3:$N$1164) = VALUE($B$9))) *
            (IF($B$10="الكل",1, MONTH('ادخال البيانات'!$N$3:$N$1164) = VALUE($B$10))) *
            (IF($B$11="الكل",1, INT((DAY('ادخال البيانات'!$N$3:$N$1164)-1)/7)+1 = VALUE($B$11))),
            'ادخال البيانات'!$F$3:$F$1164
         ),
         ""
      ),
      IF(_xlpm.result="", "", _xlpm.result)
   )
)</f>
        <v/>
      </c>
      <c r="G970" s="27" t="str" cm="1">
        <f t="array" ref="G970">IF(
   A970="",
   "",
   _xlfn.LET(
      _xlpm.result,
      IFERROR(
         _xlfn.XLOOKUP(
            1,
            (Table8[رقم الصنف]=A970) *
            (IF($B$9="الكل",1, YEAR('ادخال البيانات'!$N$3:$N$1164)=VALUE($B$9))) *
            (IF($B$10="الكل",1, MONTH('ادخال البيانات'!$N$3:$N$1164)=VALUE($B$10))) *
            (IF($B$11="الكل",1, INT((DAY('ادخال البيانات'!$N$3:$N$1164)-1)/7)+1 = VALUE($B$11))),
            'ادخال البيانات'!$G$3:$G$1164
         ),
         ""
      ),
      IF(_xlpm.result="", "", _xlpm.result)
   )
)</f>
        <v/>
      </c>
      <c r="H970" s="27" t="str" cm="1">
        <f t="array" ref="H970">IF(
   A970="",
   "",
   _xlfn.LET(
      _xlpm.result,
      IFERROR(
         _xlfn.XLOOKUP(
            1,
            (Table8[رقم الصنف]=A970) *
            (IF($B$9="الكل",1, YEAR('ادخال البيانات'!$N$3:$N$1164)=VALUE($B$9))) *
            (IF($B$10="الكل",1, MONTH('ادخال البيانات'!$N$3:$N$1164)=VALUE($B$10))) *
            (IF($B$11="الكل",1, INT((DAY('ادخال البيانات'!$N$3:$N$1164)-1)/7)+1 = VALUE($B$11))),
            'ادخال البيانات'!$H$3:$H$1164
         ),
         ""
      ),
      IF(_xlpm.result="", "", _xlpm.result)
   )
)</f>
        <v/>
      </c>
      <c r="I970" s="27" t="str" cm="1">
        <f t="array" ref="I970">IF(
   A970="",
   "",
   _xlfn.LET(
      _xlpm.result,
      IFERROR(
         _xlfn.XLOOKUP(
            1,
            (Table8[رقم الصنف]=A970) *
            (IF($B$9="الكل",1, YEAR('ادخال البيانات'!$N$3:$N$1164)=VALUE($B$9))) *
            (IF($B$10="الكل",1, MONTH('ادخال البيانات'!$N$3:$N$1164)=VALUE($B$10))) *
            (IF($B$11="الكل",1, INT((DAY('ادخال البيانات'!$N$3:$N$1164)-1)/7)+1 = VALUE($B$11))),
            'ادخال البيانات'!$I$3:$I$1164
         ),
         ""
      ),
      IF(_xlpm.result="", "", _xlpm.result)
   )
)</f>
        <v/>
      </c>
      <c r="J970" s="27" t="str" cm="1">
        <f t="array" ref="J970">IF(
   A970="",
   "",
   _xlfn.LET(
      _xlpm.result,
      IFERROR(
         _xlfn.XLOOKUP(
            1,
            (Table8[رقم الصنف]=A970) *
            (IF($B$9="الكل",1, YEAR('ادخال البيانات'!$N$3:$N$1164)=VALUE($B$9))) *
            (IF($B$10="الكل",1, MONTH('ادخال البيانات'!$N$3:$N$1164)=VALUE($B$10))) *
            (IF($B$11="الكل",1, INT((DAY('ادخال البيانات'!$N$3:$N$1164)-1)/7)+1 = VALUE($B$11))),
            'ادخال البيانات'!$J$3:$J$1164
         ),
         ""
      ),
      IF(_xlpm.result="", "", _xlpm.result)
   )
)</f>
        <v/>
      </c>
      <c r="K970" s="27" t="str" cm="1">
        <f t="array" ref="K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0" s="27" t="str" cm="1">
        <f t="array" ref="L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0" s="27" t="str" cm="1">
        <f t="array" ref="M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0" s="28" t="str" cm="1">
        <f t="array" ref="N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0" s="28" t="str" cm="1">
        <f t="array" ref="O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0" s="27" t="str" cm="1">
        <f t="array" ref="P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Table8[جهة العطل]
         ),
         ""
      ),
      IF(_xlpm.result="", "", _xlpm.result)
   )
)</f>
        <v/>
      </c>
      <c r="Q970" s="27" t="str" cm="1">
        <f t="array" ref="Q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Table8[المركز]
         ),
         ""
      ),
      IF(_xlpm.result="", "", _xlpm.result)
   )
)</f>
        <v/>
      </c>
      <c r="R970" s="27" t="str" cm="1">
        <f t="array" ref="R970">IF(
   A970="",
   "",
   _xlfn.LET(
      _xlpm.result,
      IFERROR(
         _xlfn.XLOOKUP(
            1,
            (Table8[رقم الصنف]=A970) *
            (IF($B$9="الكل",1, YEAR('ادخال البيانات'!$N$3:$N$1164) = VALUE($B$9))) *
            (IF($B$10="الكل",1, MONTH('ادخال البيانات'!$N$3:$N$1164) = VALUE($B$10))) *
            (IF($B$11="الكل",1, INT((DAY('ادخال البيانات'!$N$3:$N$1164) - 1) / 7) + 1 = VALUE($B$11))),
            Table8[ملاحظة]
         ),
         ""
      ),
      IF(_xlpm.result="", "", _xlpm.result)
   )
)</f>
        <v/>
      </c>
      <c r="S970" s="46" t="str">
        <f t="shared" ca="1" si="15"/>
        <v/>
      </c>
    </row>
    <row r="971" spans="1:19" ht="15.6" thickTop="1" thickBot="1" x14ac:dyDescent="0.35">
      <c r="A971" s="39"/>
      <c r="B971" s="27" t="str" cm="1">
        <f t="array" ref="B971">IF(
   OR(A971="", $B$9="", $B$10="", $B$11=""),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1" s="27" t="str" cm="1">
        <f t="array" ref="C971">IF(
   A971="",
   "",
   _xlfn.LET(
      _xlpm.result,
      IFERROR(
         _xlfn.XLOOKUP(
            1,
            (Table8[رقم الصنف]=A971) *
            (IF($B$9="الكل",1, YEAR('ادخال البيانات'!$N$3:$N$1164) = VALUE($B$9))) *
            (IF($B$10="الكل",1, MONTH('ادخال البيانات'!$N$3:$N$1164) = VALUE($B$10))) *
            (IF($B$11="الكل",1, INT((DAY('ادخال البيانات'!$N$3:$N$1164)-1)/7)+1 = VALUE($B$11))),
            'ادخال البيانات'!$C$3:$C$1164
         ),
         ""
      ),
      IF(_xlpm.result="", "", _xlpm.result)
   )
)</f>
        <v/>
      </c>
      <c r="D971" s="27" t="str" cm="1">
        <f t="array" ref="D971">IF(
   OR(A971="", $B$9="", $B$10="", $B$11=""),
   "",
   _xlfn.LET(
      _xlpm.result,
      IFERROR(
         _xlfn.XLOOKUP(
            1,
            (Table8[رقم الصنف]=A971) *
            (IF($B$9="الكل",1, YEAR('ادخال البيانات'!$N$3:$N$1164)=VALUE($B$9))) *
            (IF($B$10="الكل",1, MONTH('ادخال البيانات'!$N$3:$N$1164)=VALUE($B$10))) *
            (IF($B$11="الكل",1, INT((DAY('ادخال البيانات'!$N$3:$N$1164)-1)/7)+1 = VALUE($B$11))),
            'ادخال البيانات'!$D$3:$D$1164
         ),
         ""
      ),
      IF(_xlpm.result="", "", _xlpm.result)
   )
)</f>
        <v/>
      </c>
      <c r="E971" s="27" t="str" cm="1">
        <f t="array" ref="E971">IF(
   A971="",
   "",
   _xlfn.LET(
      _xlpm.result,
      IFERROR(
         _xlfn.XLOOKUP(
            1,
            (Table8[رقم الصنف]=A971) *
            (IF($B$9="الكل",1, YEAR('ادخال البيانات'!$N$3:$N$1164)=VALUE($B$9))) *
            (IF($B$10="الكل",1, MONTH('ادخال البيانات'!$N$3:$N$1164)=VALUE($B$10))) *
            (IF($B$11="الكل",1, INT((DAY('ادخال البيانات'!$N$3:$N$1164)-1)/7)+1 = VALUE($B$11))),
            'ادخال البيانات'!$E$3:$E$1164
         ),
         ""
      ),
      IF(_xlpm.result="", "", _xlpm.result)
   )
)</f>
        <v/>
      </c>
      <c r="F971" s="27" t="str" cm="1">
        <f t="array" ref="F971">IF(
   A971="",
   "",
   _xlfn.LET(
      _xlpm.result,
      IFERROR(
         _xlfn.XLOOKUP(
            1,
            (Table8[رقم الصنف]=A971) *
            (IF($B$9="الكل",1, YEAR('ادخال البيانات'!$N$3:$N$1164) = VALUE($B$9))) *
            (IF($B$10="الكل",1, MONTH('ادخال البيانات'!$N$3:$N$1164) = VALUE($B$10))) *
            (IF($B$11="الكل",1, INT((DAY('ادخال البيانات'!$N$3:$N$1164)-1)/7)+1 = VALUE($B$11))),
            'ادخال البيانات'!$F$3:$F$1164
         ),
         ""
      ),
      IF(_xlpm.result="", "", _xlpm.result)
   )
)</f>
        <v/>
      </c>
      <c r="G971" s="27" t="str" cm="1">
        <f t="array" ref="G971">IF(
   A971="",
   "",
   _xlfn.LET(
      _xlpm.result,
      IFERROR(
         _xlfn.XLOOKUP(
            1,
            (Table8[رقم الصنف]=A971) *
            (IF($B$9="الكل",1, YEAR('ادخال البيانات'!$N$3:$N$1164)=VALUE($B$9))) *
            (IF($B$10="الكل",1, MONTH('ادخال البيانات'!$N$3:$N$1164)=VALUE($B$10))) *
            (IF($B$11="الكل",1, INT((DAY('ادخال البيانات'!$N$3:$N$1164)-1)/7)+1 = VALUE($B$11))),
            'ادخال البيانات'!$G$3:$G$1164
         ),
         ""
      ),
      IF(_xlpm.result="", "", _xlpm.result)
   )
)</f>
        <v/>
      </c>
      <c r="H971" s="27" t="str" cm="1">
        <f t="array" ref="H971">IF(
   A971="",
   "",
   _xlfn.LET(
      _xlpm.result,
      IFERROR(
         _xlfn.XLOOKUP(
            1,
            (Table8[رقم الصنف]=A971) *
            (IF($B$9="الكل",1, YEAR('ادخال البيانات'!$N$3:$N$1164)=VALUE($B$9))) *
            (IF($B$10="الكل",1, MONTH('ادخال البيانات'!$N$3:$N$1164)=VALUE($B$10))) *
            (IF($B$11="الكل",1, INT((DAY('ادخال البيانات'!$N$3:$N$1164)-1)/7)+1 = VALUE($B$11))),
            'ادخال البيانات'!$H$3:$H$1164
         ),
         ""
      ),
      IF(_xlpm.result="", "", _xlpm.result)
   )
)</f>
        <v/>
      </c>
      <c r="I971" s="27" t="str" cm="1">
        <f t="array" ref="I971">IF(
   A971="",
   "",
   _xlfn.LET(
      _xlpm.result,
      IFERROR(
         _xlfn.XLOOKUP(
            1,
            (Table8[رقم الصنف]=A971) *
            (IF($B$9="الكل",1, YEAR('ادخال البيانات'!$N$3:$N$1164)=VALUE($B$9))) *
            (IF($B$10="الكل",1, MONTH('ادخال البيانات'!$N$3:$N$1164)=VALUE($B$10))) *
            (IF($B$11="الكل",1, INT((DAY('ادخال البيانات'!$N$3:$N$1164)-1)/7)+1 = VALUE($B$11))),
            'ادخال البيانات'!$I$3:$I$1164
         ),
         ""
      ),
      IF(_xlpm.result="", "", _xlpm.result)
   )
)</f>
        <v/>
      </c>
      <c r="J971" s="27" t="str" cm="1">
        <f t="array" ref="J971">IF(
   A971="",
   "",
   _xlfn.LET(
      _xlpm.result,
      IFERROR(
         _xlfn.XLOOKUP(
            1,
            (Table8[رقم الصنف]=A971) *
            (IF($B$9="الكل",1, YEAR('ادخال البيانات'!$N$3:$N$1164)=VALUE($B$9))) *
            (IF($B$10="الكل",1, MONTH('ادخال البيانات'!$N$3:$N$1164)=VALUE($B$10))) *
            (IF($B$11="الكل",1, INT((DAY('ادخال البيانات'!$N$3:$N$1164)-1)/7)+1 = VALUE($B$11))),
            'ادخال البيانات'!$J$3:$J$1164
         ),
         ""
      ),
      IF(_xlpm.result="", "", _xlpm.result)
   )
)</f>
        <v/>
      </c>
      <c r="K971" s="27" t="str" cm="1">
        <f t="array" ref="K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1" s="27" t="str" cm="1">
        <f t="array" ref="L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1" s="27" t="str" cm="1">
        <f t="array" ref="M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1" s="28" t="str" cm="1">
        <f t="array" ref="N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1" s="28" t="str" cm="1">
        <f t="array" ref="O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1" s="27" t="str" cm="1">
        <f t="array" ref="P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Table8[جهة العطل]
         ),
         ""
      ),
      IF(_xlpm.result="", "", _xlpm.result)
   )
)</f>
        <v/>
      </c>
      <c r="Q971" s="27" t="str" cm="1">
        <f t="array" ref="Q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Table8[المركز]
         ),
         ""
      ),
      IF(_xlpm.result="", "", _xlpm.result)
   )
)</f>
        <v/>
      </c>
      <c r="R971" s="27" t="str" cm="1">
        <f t="array" ref="R971">IF(
   A971="",
   "",
   _xlfn.LET(
      _xlpm.result,
      IFERROR(
         _xlfn.XLOOKUP(
            1,
            (Table8[رقم الصنف]=A971) *
            (IF($B$9="الكل",1, YEAR('ادخال البيانات'!$N$3:$N$1164) = VALUE($B$9))) *
            (IF($B$10="الكل",1, MONTH('ادخال البيانات'!$N$3:$N$1164) = VALUE($B$10))) *
            (IF($B$11="الكل",1, INT((DAY('ادخال البيانات'!$N$3:$N$1164) - 1) / 7) + 1 = VALUE($B$11))),
            Table8[ملاحظة]
         ),
         ""
      ),
      IF(_xlpm.result="", "", _xlpm.result)
   )
)</f>
        <v/>
      </c>
      <c r="S971" s="46" t="str">
        <f t="shared" ca="1" si="15"/>
        <v/>
      </c>
    </row>
    <row r="972" spans="1:19" ht="15.6" thickTop="1" thickBot="1" x14ac:dyDescent="0.35">
      <c r="A972" s="39"/>
      <c r="B972" s="27" t="str" cm="1">
        <f t="array" ref="B972">IF(
   OR(A972="", $B$9="", $B$10="", $B$11=""),
   "",
   _xlfn.LET(
      _xlpm.result,
      IFERROR(
         _xlfn.XLOOKUP(
            1,
            (Table8[رقم الصنف]=A972)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2" s="27" t="str" cm="1">
        <f t="array" ref="C972">IF(
   A972="",
   "",
   _xlfn.LET(
      _xlpm.result,
      IFERROR(
         _xlfn.XLOOKUP(
            1,
            (Table8[رقم الصنف]=A972) *
            (IF($B$9="الكل",1, YEAR('ادخال البيانات'!$N$3:$N$1164) = VALUE($B$9))) *
            (IF($B$10="الكل",1, MONTH('ادخال البيانات'!$N$3:$N$1164) = VALUE($B$10))) *
            (IF($B$11="الكل",1, INT((DAY('ادخال البيانات'!$N$3:$N$1164)-1)/7)+1 = VALUE($B$11))),
            'ادخال البيانات'!$C$3:$C$1164
         ),
         ""
      ),
      IF(_xlpm.result="", "", _xlpm.result)
   )
)</f>
        <v/>
      </c>
      <c r="D972" s="27" t="str" cm="1">
        <f t="array" ref="D972">IF(
   OR(A972="", $B$9="", $B$10="", $B$11=""),
   "",
   _xlfn.LET(
      _xlpm.result,
      IFERROR(
         _xlfn.XLOOKUP(
            1,
            (Table8[رقم الصنف]=A972) *
            (IF($B$9="الكل",1, YEAR('ادخال البيانات'!$N$3:$N$1164)=VALUE($B$9))) *
            (IF($B$10="الكل",1, MONTH('ادخال البيانات'!$N$3:$N$1164)=VALUE($B$10))) *
            (IF($B$11="الكل",1, INT((DAY('ادخال البيانات'!$N$3:$N$1164)-1)/7)+1 = VALUE($B$11))),
            'ادخال البيانات'!$D$3:$D$1164
         ),
         ""
      ),
      IF(_xlpm.result="", "", _xlpm.result)
   )
)</f>
        <v/>
      </c>
      <c r="E972" s="27" t="str" cm="1">
        <f t="array" ref="E972">IF(
   A972="",
   "",
   _xlfn.LET(
      _xlpm.result,
      IFERROR(
         _xlfn.XLOOKUP(
            1,
            (Table8[رقم الصنف]=A972) *
            (IF($B$9="الكل",1, YEAR('ادخال البيانات'!$N$3:$N$1164)=VALUE($B$9))) *
            (IF($B$10="الكل",1, MONTH('ادخال البيانات'!$N$3:$N$1164)=VALUE($B$10))) *
            (IF($B$11="الكل",1, INT((DAY('ادخال البيانات'!$N$3:$N$1164)-1)/7)+1 = VALUE($B$11))),
            'ادخال البيانات'!$E$3:$E$1164
         ),
         ""
      ),
      IF(_xlpm.result="", "", _xlpm.result)
   )
)</f>
        <v/>
      </c>
      <c r="F972" s="27" t="str" cm="1">
        <f t="array" ref="F972">IF(
   A972="",
   "",
   _xlfn.LET(
      _xlpm.result,
      IFERROR(
         _xlfn.XLOOKUP(
            1,
            (Table8[رقم الصنف]=A972) *
            (IF($B$9="الكل",1, YEAR('ادخال البيانات'!$N$3:$N$1164) = VALUE($B$9))) *
            (IF($B$10="الكل",1, MONTH('ادخال البيانات'!$N$3:$N$1164) = VALUE($B$10))) *
            (IF($B$11="الكل",1, INT((DAY('ادخال البيانات'!$N$3:$N$1164)-1)/7)+1 = VALUE($B$11))),
            'ادخال البيانات'!$F$3:$F$1164
         ),
         ""
      ),
      IF(_xlpm.result="", "", _xlpm.result)
   )
)</f>
        <v/>
      </c>
      <c r="G972" s="27" t="str" cm="1">
        <f t="array" ref="G972">IF(
   A972="",
   "",
   _xlfn.LET(
      _xlpm.result,
      IFERROR(
         _xlfn.XLOOKUP(
            1,
            (Table8[رقم الصنف]=A972) *
            (IF($B$9="الكل",1, YEAR('ادخال البيانات'!$N$3:$N$1164)=VALUE($B$9))) *
            (IF($B$10="الكل",1, MONTH('ادخال البيانات'!$N$3:$N$1164)=VALUE($B$10))) *
            (IF($B$11="الكل",1, INT((DAY('ادخال البيانات'!$N$3:$N$1164)-1)/7)+1 = VALUE($B$11))),
            'ادخال البيانات'!$G$3:$G$1164
         ),
         ""
      ),
      IF(_xlpm.result="", "", _xlpm.result)
   )
)</f>
        <v/>
      </c>
      <c r="H972" s="27" t="str" cm="1">
        <f t="array" ref="H972">IF(
   A972="",
   "",
   _xlfn.LET(
      _xlpm.result,
      IFERROR(
         _xlfn.XLOOKUP(
            1,
            (Table8[رقم الصنف]=A972) *
            (IF($B$9="الكل",1, YEAR('ادخال البيانات'!$N$3:$N$1164)=VALUE($B$9))) *
            (IF($B$10="الكل",1, MONTH('ادخال البيانات'!$N$3:$N$1164)=VALUE($B$10))) *
            (IF($B$11="الكل",1, INT((DAY('ادخال البيانات'!$N$3:$N$1164)-1)/7)+1 = VALUE($B$11))),
            'ادخال البيانات'!$H$3:$H$1164
         ),
         ""
      ),
      IF(_xlpm.result="", "", _xlpm.result)
   )
)</f>
        <v/>
      </c>
      <c r="I972" s="27" t="str" cm="1">
        <f t="array" ref="I972">IF(
   A972="",
   "",
   _xlfn.LET(
      _xlpm.result,
      IFERROR(
         _xlfn.XLOOKUP(
            1,
            (Table8[رقم الصنف]=A972) *
            (IF($B$9="الكل",1, YEAR('ادخال البيانات'!$N$3:$N$1164)=VALUE($B$9))) *
            (IF($B$10="الكل",1, MONTH('ادخال البيانات'!$N$3:$N$1164)=VALUE($B$10))) *
            (IF($B$11="الكل",1, INT((DAY('ادخال البيانات'!$N$3:$N$1164)-1)/7)+1 = VALUE($B$11))),
            'ادخال البيانات'!$I$3:$I$1164
         ),
         ""
      ),
      IF(_xlpm.result="", "", _xlpm.result)
   )
)</f>
        <v/>
      </c>
      <c r="J972" s="27" t="str" cm="1">
        <f t="array" ref="J972">IF(
   A972="",
   "",
   _xlfn.LET(
      _xlpm.result,
      IFERROR(
         _xlfn.XLOOKUP(
            1,
            (Table8[رقم الصنف]=A972) *
            (IF($B$9="الكل",1, YEAR('ادخال البيانات'!$N$3:$N$1164)=VALUE($B$9))) *
            (IF($B$10="الكل",1, MONTH('ادخال البيانات'!$N$3:$N$1164)=VALUE($B$10))) *
            (IF($B$11="الكل",1, INT((DAY('ادخال البيانات'!$N$3:$N$1164)-1)/7)+1 = VALUE($B$11))),
            'ادخال البيانات'!$J$3:$J$1164
         ),
         ""
      ),
      IF(_xlpm.result="", "", _xlpm.result)
   )
)</f>
        <v/>
      </c>
      <c r="K972" s="27" t="str" cm="1">
        <f t="array" ref="K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2" s="27" t="str" cm="1">
        <f t="array" ref="L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2" s="27" t="str" cm="1">
        <f t="array" ref="M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2" s="28" t="str" cm="1">
        <f t="array" ref="N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2" s="28" t="str" cm="1">
        <f t="array" ref="O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2" s="27" t="str" cm="1">
        <f t="array" ref="P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Table8[جهة العطل]
         ),
         ""
      ),
      IF(_xlpm.result="", "", _xlpm.result)
   )
)</f>
        <v/>
      </c>
      <c r="Q972" s="27" t="str" cm="1">
        <f t="array" ref="Q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Table8[المركز]
         ),
         ""
      ),
      IF(_xlpm.result="", "", _xlpm.result)
   )
)</f>
        <v/>
      </c>
      <c r="R972" s="27" t="str" cm="1">
        <f t="array" ref="R972">IF(
   A972="",
   "",
   _xlfn.LET(
      _xlpm.result,
      IFERROR(
         _xlfn.XLOOKUP(
            1,
            (Table8[رقم الصنف]=A972) *
            (IF($B$9="الكل",1, YEAR('ادخال البيانات'!$N$3:$N$1164) = VALUE($B$9))) *
            (IF($B$10="الكل",1, MONTH('ادخال البيانات'!$N$3:$N$1164) = VALUE($B$10))) *
            (IF($B$11="الكل",1, INT((DAY('ادخال البيانات'!$N$3:$N$1164) - 1) / 7) + 1 = VALUE($B$11))),
            Table8[ملاحظة]
         ),
         ""
      ),
      IF(_xlpm.result="", "", _xlpm.result)
   )
)</f>
        <v/>
      </c>
      <c r="S972" s="46" t="str">
        <f t="shared" ref="S972:S1035" ca="1" si="16">IF(
   L972="تم الاصلاح",
   "تم الاصلاح",
   IF(N972="","", TODAY()-N972)
)</f>
        <v/>
      </c>
    </row>
    <row r="973" spans="1:19" ht="15.6" thickTop="1" thickBot="1" x14ac:dyDescent="0.35">
      <c r="A973" s="39"/>
      <c r="B973" s="27" t="str" cm="1">
        <f t="array" ref="B973">IF(
   OR(A973="", $B$9="", $B$10="", $B$11=""),
   "",
   _xlfn.LET(
      _xlpm.result,
      IFERROR(
         _xlfn.XLOOKUP(
            1,
            (Table8[رقم الصنف]=A973)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3" s="27" t="str" cm="1">
        <f t="array" ref="C973">IF(
   A973="",
   "",
   _xlfn.LET(
      _xlpm.result,
      IFERROR(
         _xlfn.XLOOKUP(
            1,
            (Table8[رقم الصنف]=A973) *
            (IF($B$9="الكل",1, YEAR('ادخال البيانات'!$N$3:$N$1164) = VALUE($B$9))) *
            (IF($B$10="الكل",1, MONTH('ادخال البيانات'!$N$3:$N$1164) = VALUE($B$10))) *
            (IF($B$11="الكل",1, INT((DAY('ادخال البيانات'!$N$3:$N$1164)-1)/7)+1 = VALUE($B$11))),
            'ادخال البيانات'!$C$3:$C$1164
         ),
         ""
      ),
      IF(_xlpm.result="", "", _xlpm.result)
   )
)</f>
        <v/>
      </c>
      <c r="D973" s="27" t="str" cm="1">
        <f t="array" ref="D973">IF(
   OR(A973="", $B$9="", $B$10="", $B$11=""),
   "",
   _xlfn.LET(
      _xlpm.result,
      IFERROR(
         _xlfn.XLOOKUP(
            1,
            (Table8[رقم الصنف]=A973) *
            (IF($B$9="الكل",1, YEAR('ادخال البيانات'!$N$3:$N$1164)=VALUE($B$9))) *
            (IF($B$10="الكل",1, MONTH('ادخال البيانات'!$N$3:$N$1164)=VALUE($B$10))) *
            (IF($B$11="الكل",1, INT((DAY('ادخال البيانات'!$N$3:$N$1164)-1)/7)+1 = VALUE($B$11))),
            'ادخال البيانات'!$D$3:$D$1164
         ),
         ""
      ),
      IF(_xlpm.result="", "", _xlpm.result)
   )
)</f>
        <v/>
      </c>
      <c r="E973" s="27" t="str" cm="1">
        <f t="array" ref="E973">IF(
   A973="",
   "",
   _xlfn.LET(
      _xlpm.result,
      IFERROR(
         _xlfn.XLOOKUP(
            1,
            (Table8[رقم الصنف]=A973) *
            (IF($B$9="الكل",1, YEAR('ادخال البيانات'!$N$3:$N$1164)=VALUE($B$9))) *
            (IF($B$10="الكل",1, MONTH('ادخال البيانات'!$N$3:$N$1164)=VALUE($B$10))) *
            (IF($B$11="الكل",1, INT((DAY('ادخال البيانات'!$N$3:$N$1164)-1)/7)+1 = VALUE($B$11))),
            'ادخال البيانات'!$E$3:$E$1164
         ),
         ""
      ),
      IF(_xlpm.result="", "", _xlpm.result)
   )
)</f>
        <v/>
      </c>
      <c r="F973" s="27" t="str" cm="1">
        <f t="array" ref="F973">IF(
   A973="",
   "",
   _xlfn.LET(
      _xlpm.result,
      IFERROR(
         _xlfn.XLOOKUP(
            1,
            (Table8[رقم الصنف]=A973) *
            (IF($B$9="الكل",1, YEAR('ادخال البيانات'!$N$3:$N$1164) = VALUE($B$9))) *
            (IF($B$10="الكل",1, MONTH('ادخال البيانات'!$N$3:$N$1164) = VALUE($B$10))) *
            (IF($B$11="الكل",1, INT((DAY('ادخال البيانات'!$N$3:$N$1164)-1)/7)+1 = VALUE($B$11))),
            'ادخال البيانات'!$F$3:$F$1164
         ),
         ""
      ),
      IF(_xlpm.result="", "", _xlpm.result)
   )
)</f>
        <v/>
      </c>
      <c r="G973" s="27" t="str" cm="1">
        <f t="array" ref="G973">IF(
   A973="",
   "",
   _xlfn.LET(
      _xlpm.result,
      IFERROR(
         _xlfn.XLOOKUP(
            1,
            (Table8[رقم الصنف]=A973) *
            (IF($B$9="الكل",1, YEAR('ادخال البيانات'!$N$3:$N$1164)=VALUE($B$9))) *
            (IF($B$10="الكل",1, MONTH('ادخال البيانات'!$N$3:$N$1164)=VALUE($B$10))) *
            (IF($B$11="الكل",1, INT((DAY('ادخال البيانات'!$N$3:$N$1164)-1)/7)+1 = VALUE($B$11))),
            'ادخال البيانات'!$G$3:$G$1164
         ),
         ""
      ),
      IF(_xlpm.result="", "", _xlpm.result)
   )
)</f>
        <v/>
      </c>
      <c r="H973" s="27" t="str" cm="1">
        <f t="array" ref="H973">IF(
   A973="",
   "",
   _xlfn.LET(
      _xlpm.result,
      IFERROR(
         _xlfn.XLOOKUP(
            1,
            (Table8[رقم الصنف]=A973) *
            (IF($B$9="الكل",1, YEAR('ادخال البيانات'!$N$3:$N$1164)=VALUE($B$9))) *
            (IF($B$10="الكل",1, MONTH('ادخال البيانات'!$N$3:$N$1164)=VALUE($B$10))) *
            (IF($B$11="الكل",1, INT((DAY('ادخال البيانات'!$N$3:$N$1164)-1)/7)+1 = VALUE($B$11))),
            'ادخال البيانات'!$H$3:$H$1164
         ),
         ""
      ),
      IF(_xlpm.result="", "", _xlpm.result)
   )
)</f>
        <v/>
      </c>
      <c r="I973" s="27" t="str" cm="1">
        <f t="array" ref="I973">IF(
   A973="",
   "",
   _xlfn.LET(
      _xlpm.result,
      IFERROR(
         _xlfn.XLOOKUP(
            1,
            (Table8[رقم الصنف]=A973) *
            (IF($B$9="الكل",1, YEAR('ادخال البيانات'!$N$3:$N$1164)=VALUE($B$9))) *
            (IF($B$10="الكل",1, MONTH('ادخال البيانات'!$N$3:$N$1164)=VALUE($B$10))) *
            (IF($B$11="الكل",1, INT((DAY('ادخال البيانات'!$N$3:$N$1164)-1)/7)+1 = VALUE($B$11))),
            'ادخال البيانات'!$I$3:$I$1164
         ),
         ""
      ),
      IF(_xlpm.result="", "", _xlpm.result)
   )
)</f>
        <v/>
      </c>
      <c r="J973" s="27" t="str" cm="1">
        <f t="array" ref="J973">IF(
   A973="",
   "",
   _xlfn.LET(
      _xlpm.result,
      IFERROR(
         _xlfn.XLOOKUP(
            1,
            (Table8[رقم الصنف]=A973) *
            (IF($B$9="الكل",1, YEAR('ادخال البيانات'!$N$3:$N$1164)=VALUE($B$9))) *
            (IF($B$10="الكل",1, MONTH('ادخال البيانات'!$N$3:$N$1164)=VALUE($B$10))) *
            (IF($B$11="الكل",1, INT((DAY('ادخال البيانات'!$N$3:$N$1164)-1)/7)+1 = VALUE($B$11))),
            'ادخال البيانات'!$J$3:$J$1164
         ),
         ""
      ),
      IF(_xlpm.result="", "", _xlpm.result)
   )
)</f>
        <v/>
      </c>
      <c r="K973" s="27" t="str" cm="1">
        <f t="array" ref="K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3" s="27" t="str" cm="1">
        <f t="array" ref="L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3" s="27" t="str" cm="1">
        <f t="array" ref="M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3" s="28" t="str" cm="1">
        <f t="array" ref="N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3" s="28" t="str" cm="1">
        <f t="array" ref="O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3" s="27" t="str" cm="1">
        <f t="array" ref="P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Table8[جهة العطل]
         ),
         ""
      ),
      IF(_xlpm.result="", "", _xlpm.result)
   )
)</f>
        <v/>
      </c>
      <c r="Q973" s="27" t="str" cm="1">
        <f t="array" ref="Q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Table8[المركز]
         ),
         ""
      ),
      IF(_xlpm.result="", "", _xlpm.result)
   )
)</f>
        <v/>
      </c>
      <c r="R973" s="27" t="str" cm="1">
        <f t="array" ref="R973">IF(
   A973="",
   "",
   _xlfn.LET(
      _xlpm.result,
      IFERROR(
         _xlfn.XLOOKUP(
            1,
            (Table8[رقم الصنف]=A973) *
            (IF($B$9="الكل",1, YEAR('ادخال البيانات'!$N$3:$N$1164) = VALUE($B$9))) *
            (IF($B$10="الكل",1, MONTH('ادخال البيانات'!$N$3:$N$1164) = VALUE($B$10))) *
            (IF($B$11="الكل",1, INT((DAY('ادخال البيانات'!$N$3:$N$1164) - 1) / 7) + 1 = VALUE($B$11))),
            Table8[ملاحظة]
         ),
         ""
      ),
      IF(_xlpm.result="", "", _xlpm.result)
   )
)</f>
        <v/>
      </c>
      <c r="S973" s="46" t="str">
        <f t="shared" ca="1" si="16"/>
        <v/>
      </c>
    </row>
    <row r="974" spans="1:19" ht="15.6" thickTop="1" thickBot="1" x14ac:dyDescent="0.35">
      <c r="A974" s="39"/>
      <c r="B974" s="27" t="str" cm="1">
        <f t="array" ref="B974">IF(
   OR(A974="", $B$9="", $B$10="", $B$11=""),
   "",
   _xlfn.LET(
      _xlpm.result,
      IFERROR(
         _xlfn.XLOOKUP(
            1,
            (Table8[رقم الصنف]=A974)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4" s="27" t="str" cm="1">
        <f t="array" ref="C974">IF(
   A974="",
   "",
   _xlfn.LET(
      _xlpm.result,
      IFERROR(
         _xlfn.XLOOKUP(
            1,
            (Table8[رقم الصنف]=A974) *
            (IF($B$9="الكل",1, YEAR('ادخال البيانات'!$N$3:$N$1164) = VALUE($B$9))) *
            (IF($B$10="الكل",1, MONTH('ادخال البيانات'!$N$3:$N$1164) = VALUE($B$10))) *
            (IF($B$11="الكل",1, INT((DAY('ادخال البيانات'!$N$3:$N$1164)-1)/7)+1 = VALUE($B$11))),
            'ادخال البيانات'!$C$3:$C$1164
         ),
         ""
      ),
      IF(_xlpm.result="", "", _xlpm.result)
   )
)</f>
        <v/>
      </c>
      <c r="D974" s="27" t="str" cm="1">
        <f t="array" ref="D974">IF(
   OR(A974="", $B$9="", $B$10="", $B$11=""),
   "",
   _xlfn.LET(
      _xlpm.result,
      IFERROR(
         _xlfn.XLOOKUP(
            1,
            (Table8[رقم الصنف]=A974) *
            (IF($B$9="الكل",1, YEAR('ادخال البيانات'!$N$3:$N$1164)=VALUE($B$9))) *
            (IF($B$10="الكل",1, MONTH('ادخال البيانات'!$N$3:$N$1164)=VALUE($B$10))) *
            (IF($B$11="الكل",1, INT((DAY('ادخال البيانات'!$N$3:$N$1164)-1)/7)+1 = VALUE($B$11))),
            'ادخال البيانات'!$D$3:$D$1164
         ),
         ""
      ),
      IF(_xlpm.result="", "", _xlpm.result)
   )
)</f>
        <v/>
      </c>
      <c r="E974" s="27" t="str" cm="1">
        <f t="array" ref="E974">IF(
   A974="",
   "",
   _xlfn.LET(
      _xlpm.result,
      IFERROR(
         _xlfn.XLOOKUP(
            1,
            (Table8[رقم الصنف]=A974) *
            (IF($B$9="الكل",1, YEAR('ادخال البيانات'!$N$3:$N$1164)=VALUE($B$9))) *
            (IF($B$10="الكل",1, MONTH('ادخال البيانات'!$N$3:$N$1164)=VALUE($B$10))) *
            (IF($B$11="الكل",1, INT((DAY('ادخال البيانات'!$N$3:$N$1164)-1)/7)+1 = VALUE($B$11))),
            'ادخال البيانات'!$E$3:$E$1164
         ),
         ""
      ),
      IF(_xlpm.result="", "", _xlpm.result)
   )
)</f>
        <v/>
      </c>
      <c r="F974" s="27" t="str" cm="1">
        <f t="array" ref="F974">IF(
   A974="",
   "",
   _xlfn.LET(
      _xlpm.result,
      IFERROR(
         _xlfn.XLOOKUP(
            1,
            (Table8[رقم الصنف]=A974) *
            (IF($B$9="الكل",1, YEAR('ادخال البيانات'!$N$3:$N$1164) = VALUE($B$9))) *
            (IF($B$10="الكل",1, MONTH('ادخال البيانات'!$N$3:$N$1164) = VALUE($B$10))) *
            (IF($B$11="الكل",1, INT((DAY('ادخال البيانات'!$N$3:$N$1164)-1)/7)+1 = VALUE($B$11))),
            'ادخال البيانات'!$F$3:$F$1164
         ),
         ""
      ),
      IF(_xlpm.result="", "", _xlpm.result)
   )
)</f>
        <v/>
      </c>
      <c r="G974" s="27" t="str" cm="1">
        <f t="array" ref="G974">IF(
   A974="",
   "",
   _xlfn.LET(
      _xlpm.result,
      IFERROR(
         _xlfn.XLOOKUP(
            1,
            (Table8[رقم الصنف]=A974) *
            (IF($B$9="الكل",1, YEAR('ادخال البيانات'!$N$3:$N$1164)=VALUE($B$9))) *
            (IF($B$10="الكل",1, MONTH('ادخال البيانات'!$N$3:$N$1164)=VALUE($B$10))) *
            (IF($B$11="الكل",1, INT((DAY('ادخال البيانات'!$N$3:$N$1164)-1)/7)+1 = VALUE($B$11))),
            'ادخال البيانات'!$G$3:$G$1164
         ),
         ""
      ),
      IF(_xlpm.result="", "", _xlpm.result)
   )
)</f>
        <v/>
      </c>
      <c r="H974" s="27" t="str" cm="1">
        <f t="array" ref="H974">IF(
   A974="",
   "",
   _xlfn.LET(
      _xlpm.result,
      IFERROR(
         _xlfn.XLOOKUP(
            1,
            (Table8[رقم الصنف]=A974) *
            (IF($B$9="الكل",1, YEAR('ادخال البيانات'!$N$3:$N$1164)=VALUE($B$9))) *
            (IF($B$10="الكل",1, MONTH('ادخال البيانات'!$N$3:$N$1164)=VALUE($B$10))) *
            (IF($B$11="الكل",1, INT((DAY('ادخال البيانات'!$N$3:$N$1164)-1)/7)+1 = VALUE($B$11))),
            'ادخال البيانات'!$H$3:$H$1164
         ),
         ""
      ),
      IF(_xlpm.result="", "", _xlpm.result)
   )
)</f>
        <v/>
      </c>
      <c r="I974" s="27" t="str" cm="1">
        <f t="array" ref="I974">IF(
   A974="",
   "",
   _xlfn.LET(
      _xlpm.result,
      IFERROR(
         _xlfn.XLOOKUP(
            1,
            (Table8[رقم الصنف]=A974) *
            (IF($B$9="الكل",1, YEAR('ادخال البيانات'!$N$3:$N$1164)=VALUE($B$9))) *
            (IF($B$10="الكل",1, MONTH('ادخال البيانات'!$N$3:$N$1164)=VALUE($B$10))) *
            (IF($B$11="الكل",1, INT((DAY('ادخال البيانات'!$N$3:$N$1164)-1)/7)+1 = VALUE($B$11))),
            'ادخال البيانات'!$I$3:$I$1164
         ),
         ""
      ),
      IF(_xlpm.result="", "", _xlpm.result)
   )
)</f>
        <v/>
      </c>
      <c r="J974" s="27" t="str" cm="1">
        <f t="array" ref="J974">IF(
   A974="",
   "",
   _xlfn.LET(
      _xlpm.result,
      IFERROR(
         _xlfn.XLOOKUP(
            1,
            (Table8[رقم الصنف]=A974) *
            (IF($B$9="الكل",1, YEAR('ادخال البيانات'!$N$3:$N$1164)=VALUE($B$9))) *
            (IF($B$10="الكل",1, MONTH('ادخال البيانات'!$N$3:$N$1164)=VALUE($B$10))) *
            (IF($B$11="الكل",1, INT((DAY('ادخال البيانات'!$N$3:$N$1164)-1)/7)+1 = VALUE($B$11))),
            'ادخال البيانات'!$J$3:$J$1164
         ),
         ""
      ),
      IF(_xlpm.result="", "", _xlpm.result)
   )
)</f>
        <v/>
      </c>
      <c r="K974" s="27" t="str" cm="1">
        <f t="array" ref="K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4" s="27" t="str" cm="1">
        <f t="array" ref="L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4" s="27" t="str" cm="1">
        <f t="array" ref="M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4" s="28" t="str" cm="1">
        <f t="array" ref="N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4" s="28" t="str" cm="1">
        <f t="array" ref="O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4" s="27" t="str" cm="1">
        <f t="array" ref="P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Table8[جهة العطل]
         ),
         ""
      ),
      IF(_xlpm.result="", "", _xlpm.result)
   )
)</f>
        <v/>
      </c>
      <c r="Q974" s="27" t="str" cm="1">
        <f t="array" ref="Q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Table8[المركز]
         ),
         ""
      ),
      IF(_xlpm.result="", "", _xlpm.result)
   )
)</f>
        <v/>
      </c>
      <c r="R974" s="27" t="str" cm="1">
        <f t="array" ref="R974">IF(
   A974="",
   "",
   _xlfn.LET(
      _xlpm.result,
      IFERROR(
         _xlfn.XLOOKUP(
            1,
            (Table8[رقم الصنف]=A974) *
            (IF($B$9="الكل",1, YEAR('ادخال البيانات'!$N$3:$N$1164) = VALUE($B$9))) *
            (IF($B$10="الكل",1, MONTH('ادخال البيانات'!$N$3:$N$1164) = VALUE($B$10))) *
            (IF($B$11="الكل",1, INT((DAY('ادخال البيانات'!$N$3:$N$1164) - 1) / 7) + 1 = VALUE($B$11))),
            Table8[ملاحظة]
         ),
         ""
      ),
      IF(_xlpm.result="", "", _xlpm.result)
   )
)</f>
        <v/>
      </c>
      <c r="S974" s="46" t="str">
        <f t="shared" ca="1" si="16"/>
        <v/>
      </c>
    </row>
    <row r="975" spans="1:19" ht="15.6" thickTop="1" thickBot="1" x14ac:dyDescent="0.35">
      <c r="A975" s="39"/>
      <c r="B975" s="27" t="str" cm="1">
        <f t="array" ref="B975">IF(
   OR(A975="", $B$9="", $B$10="", $B$11=""),
   "",
   _xlfn.LET(
      _xlpm.result,
      IFERROR(
         _xlfn.XLOOKUP(
            1,
            (Table8[رقم الصنف]=A975)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5" s="27" t="str" cm="1">
        <f t="array" ref="C975">IF(
   A975="",
   "",
   _xlfn.LET(
      _xlpm.result,
      IFERROR(
         _xlfn.XLOOKUP(
            1,
            (Table8[رقم الصنف]=A975) *
            (IF($B$9="الكل",1, YEAR('ادخال البيانات'!$N$3:$N$1164) = VALUE($B$9))) *
            (IF($B$10="الكل",1, MONTH('ادخال البيانات'!$N$3:$N$1164) = VALUE($B$10))) *
            (IF($B$11="الكل",1, INT((DAY('ادخال البيانات'!$N$3:$N$1164)-1)/7)+1 = VALUE($B$11))),
            'ادخال البيانات'!$C$3:$C$1164
         ),
         ""
      ),
      IF(_xlpm.result="", "", _xlpm.result)
   )
)</f>
        <v/>
      </c>
      <c r="D975" s="27" t="str" cm="1">
        <f t="array" ref="D975">IF(
   OR(A975="", $B$9="", $B$10="", $B$11=""),
   "",
   _xlfn.LET(
      _xlpm.result,
      IFERROR(
         _xlfn.XLOOKUP(
            1,
            (Table8[رقم الصنف]=A975) *
            (IF($B$9="الكل",1, YEAR('ادخال البيانات'!$N$3:$N$1164)=VALUE($B$9))) *
            (IF($B$10="الكل",1, MONTH('ادخال البيانات'!$N$3:$N$1164)=VALUE($B$10))) *
            (IF($B$11="الكل",1, INT((DAY('ادخال البيانات'!$N$3:$N$1164)-1)/7)+1 = VALUE($B$11))),
            'ادخال البيانات'!$D$3:$D$1164
         ),
         ""
      ),
      IF(_xlpm.result="", "", _xlpm.result)
   )
)</f>
        <v/>
      </c>
      <c r="E975" s="27" t="str" cm="1">
        <f t="array" ref="E975">IF(
   A975="",
   "",
   _xlfn.LET(
      _xlpm.result,
      IFERROR(
         _xlfn.XLOOKUP(
            1,
            (Table8[رقم الصنف]=A975) *
            (IF($B$9="الكل",1, YEAR('ادخال البيانات'!$N$3:$N$1164)=VALUE($B$9))) *
            (IF($B$10="الكل",1, MONTH('ادخال البيانات'!$N$3:$N$1164)=VALUE($B$10))) *
            (IF($B$11="الكل",1, INT((DAY('ادخال البيانات'!$N$3:$N$1164)-1)/7)+1 = VALUE($B$11))),
            'ادخال البيانات'!$E$3:$E$1164
         ),
         ""
      ),
      IF(_xlpm.result="", "", _xlpm.result)
   )
)</f>
        <v/>
      </c>
      <c r="F975" s="27" t="str" cm="1">
        <f t="array" ref="F975">IF(
   A975="",
   "",
   _xlfn.LET(
      _xlpm.result,
      IFERROR(
         _xlfn.XLOOKUP(
            1,
            (Table8[رقم الصنف]=A975) *
            (IF($B$9="الكل",1, YEAR('ادخال البيانات'!$N$3:$N$1164) = VALUE($B$9))) *
            (IF($B$10="الكل",1, MONTH('ادخال البيانات'!$N$3:$N$1164) = VALUE($B$10))) *
            (IF($B$11="الكل",1, INT((DAY('ادخال البيانات'!$N$3:$N$1164)-1)/7)+1 = VALUE($B$11))),
            'ادخال البيانات'!$F$3:$F$1164
         ),
         ""
      ),
      IF(_xlpm.result="", "", _xlpm.result)
   )
)</f>
        <v/>
      </c>
      <c r="G975" s="27" t="str" cm="1">
        <f t="array" ref="G975">IF(
   A975="",
   "",
   _xlfn.LET(
      _xlpm.result,
      IFERROR(
         _xlfn.XLOOKUP(
            1,
            (Table8[رقم الصنف]=A975) *
            (IF($B$9="الكل",1, YEAR('ادخال البيانات'!$N$3:$N$1164)=VALUE($B$9))) *
            (IF($B$10="الكل",1, MONTH('ادخال البيانات'!$N$3:$N$1164)=VALUE($B$10))) *
            (IF($B$11="الكل",1, INT((DAY('ادخال البيانات'!$N$3:$N$1164)-1)/7)+1 = VALUE($B$11))),
            'ادخال البيانات'!$G$3:$G$1164
         ),
         ""
      ),
      IF(_xlpm.result="", "", _xlpm.result)
   )
)</f>
        <v/>
      </c>
      <c r="H975" s="27" t="str" cm="1">
        <f t="array" ref="H975">IF(
   A975="",
   "",
   _xlfn.LET(
      _xlpm.result,
      IFERROR(
         _xlfn.XLOOKUP(
            1,
            (Table8[رقم الصنف]=A975) *
            (IF($B$9="الكل",1, YEAR('ادخال البيانات'!$N$3:$N$1164)=VALUE($B$9))) *
            (IF($B$10="الكل",1, MONTH('ادخال البيانات'!$N$3:$N$1164)=VALUE($B$10))) *
            (IF($B$11="الكل",1, INT((DAY('ادخال البيانات'!$N$3:$N$1164)-1)/7)+1 = VALUE($B$11))),
            'ادخال البيانات'!$H$3:$H$1164
         ),
         ""
      ),
      IF(_xlpm.result="", "", _xlpm.result)
   )
)</f>
        <v/>
      </c>
      <c r="I975" s="27" t="str" cm="1">
        <f t="array" ref="I975">IF(
   A975="",
   "",
   _xlfn.LET(
      _xlpm.result,
      IFERROR(
         _xlfn.XLOOKUP(
            1,
            (Table8[رقم الصنف]=A975) *
            (IF($B$9="الكل",1, YEAR('ادخال البيانات'!$N$3:$N$1164)=VALUE($B$9))) *
            (IF($B$10="الكل",1, MONTH('ادخال البيانات'!$N$3:$N$1164)=VALUE($B$10))) *
            (IF($B$11="الكل",1, INT((DAY('ادخال البيانات'!$N$3:$N$1164)-1)/7)+1 = VALUE($B$11))),
            'ادخال البيانات'!$I$3:$I$1164
         ),
         ""
      ),
      IF(_xlpm.result="", "", _xlpm.result)
   )
)</f>
        <v/>
      </c>
      <c r="J975" s="27" t="str" cm="1">
        <f t="array" ref="J975">IF(
   A975="",
   "",
   _xlfn.LET(
      _xlpm.result,
      IFERROR(
         _xlfn.XLOOKUP(
            1,
            (Table8[رقم الصنف]=A975) *
            (IF($B$9="الكل",1, YEAR('ادخال البيانات'!$N$3:$N$1164)=VALUE($B$9))) *
            (IF($B$10="الكل",1, MONTH('ادخال البيانات'!$N$3:$N$1164)=VALUE($B$10))) *
            (IF($B$11="الكل",1, INT((DAY('ادخال البيانات'!$N$3:$N$1164)-1)/7)+1 = VALUE($B$11))),
            'ادخال البيانات'!$J$3:$J$1164
         ),
         ""
      ),
      IF(_xlpm.result="", "", _xlpm.result)
   )
)</f>
        <v/>
      </c>
      <c r="K975" s="27" t="str" cm="1">
        <f t="array" ref="K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5" s="27" t="str" cm="1">
        <f t="array" ref="L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5" s="27" t="str" cm="1">
        <f t="array" ref="M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5" s="28" t="str" cm="1">
        <f t="array" ref="N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5" s="28" t="str" cm="1">
        <f t="array" ref="O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5" s="27" t="str" cm="1">
        <f t="array" ref="P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Table8[جهة العطل]
         ),
         ""
      ),
      IF(_xlpm.result="", "", _xlpm.result)
   )
)</f>
        <v/>
      </c>
      <c r="Q975" s="27" t="str" cm="1">
        <f t="array" ref="Q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Table8[المركز]
         ),
         ""
      ),
      IF(_xlpm.result="", "", _xlpm.result)
   )
)</f>
        <v/>
      </c>
      <c r="R975" s="27" t="str" cm="1">
        <f t="array" ref="R975">IF(
   A975="",
   "",
   _xlfn.LET(
      _xlpm.result,
      IFERROR(
         _xlfn.XLOOKUP(
            1,
            (Table8[رقم الصنف]=A975) *
            (IF($B$9="الكل",1, YEAR('ادخال البيانات'!$N$3:$N$1164) = VALUE($B$9))) *
            (IF($B$10="الكل",1, MONTH('ادخال البيانات'!$N$3:$N$1164) = VALUE($B$10))) *
            (IF($B$11="الكل",1, INT((DAY('ادخال البيانات'!$N$3:$N$1164) - 1) / 7) + 1 = VALUE($B$11))),
            Table8[ملاحظة]
         ),
         ""
      ),
      IF(_xlpm.result="", "", _xlpm.result)
   )
)</f>
        <v/>
      </c>
      <c r="S975" s="46" t="str">
        <f t="shared" ca="1" si="16"/>
        <v/>
      </c>
    </row>
    <row r="976" spans="1:19" ht="15.6" thickTop="1" thickBot="1" x14ac:dyDescent="0.35">
      <c r="A976" s="39"/>
      <c r="B976" s="27" t="str" cm="1">
        <f t="array" ref="B976">IF(
   OR(A976="", $B$9="", $B$10="", $B$11=""),
   "",
   _xlfn.LET(
      _xlpm.result,
      IFERROR(
         _xlfn.XLOOKUP(
            1,
            (Table8[رقم الصنف]=A976)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6" s="27" t="str" cm="1">
        <f t="array" ref="C976">IF(
   A976="",
   "",
   _xlfn.LET(
      _xlpm.result,
      IFERROR(
         _xlfn.XLOOKUP(
            1,
            (Table8[رقم الصنف]=A976) *
            (IF($B$9="الكل",1, YEAR('ادخال البيانات'!$N$3:$N$1164) = VALUE($B$9))) *
            (IF($B$10="الكل",1, MONTH('ادخال البيانات'!$N$3:$N$1164) = VALUE($B$10))) *
            (IF($B$11="الكل",1, INT((DAY('ادخال البيانات'!$N$3:$N$1164)-1)/7)+1 = VALUE($B$11))),
            'ادخال البيانات'!$C$3:$C$1164
         ),
         ""
      ),
      IF(_xlpm.result="", "", _xlpm.result)
   )
)</f>
        <v/>
      </c>
      <c r="D976" s="27" t="str" cm="1">
        <f t="array" ref="D976">IF(
   OR(A976="", $B$9="", $B$10="", $B$11=""),
   "",
   _xlfn.LET(
      _xlpm.result,
      IFERROR(
         _xlfn.XLOOKUP(
            1,
            (Table8[رقم الصنف]=A976) *
            (IF($B$9="الكل",1, YEAR('ادخال البيانات'!$N$3:$N$1164)=VALUE($B$9))) *
            (IF($B$10="الكل",1, MONTH('ادخال البيانات'!$N$3:$N$1164)=VALUE($B$10))) *
            (IF($B$11="الكل",1, INT((DAY('ادخال البيانات'!$N$3:$N$1164)-1)/7)+1 = VALUE($B$11))),
            'ادخال البيانات'!$D$3:$D$1164
         ),
         ""
      ),
      IF(_xlpm.result="", "", _xlpm.result)
   )
)</f>
        <v/>
      </c>
      <c r="E976" s="27" t="str" cm="1">
        <f t="array" ref="E976">IF(
   A976="",
   "",
   _xlfn.LET(
      _xlpm.result,
      IFERROR(
         _xlfn.XLOOKUP(
            1,
            (Table8[رقم الصنف]=A976) *
            (IF($B$9="الكل",1, YEAR('ادخال البيانات'!$N$3:$N$1164)=VALUE($B$9))) *
            (IF($B$10="الكل",1, MONTH('ادخال البيانات'!$N$3:$N$1164)=VALUE($B$10))) *
            (IF($B$11="الكل",1, INT((DAY('ادخال البيانات'!$N$3:$N$1164)-1)/7)+1 = VALUE($B$11))),
            'ادخال البيانات'!$E$3:$E$1164
         ),
         ""
      ),
      IF(_xlpm.result="", "", _xlpm.result)
   )
)</f>
        <v/>
      </c>
      <c r="F976" s="27" t="str" cm="1">
        <f t="array" ref="F976">IF(
   A976="",
   "",
   _xlfn.LET(
      _xlpm.result,
      IFERROR(
         _xlfn.XLOOKUP(
            1,
            (Table8[رقم الصنف]=A976) *
            (IF($B$9="الكل",1, YEAR('ادخال البيانات'!$N$3:$N$1164) = VALUE($B$9))) *
            (IF($B$10="الكل",1, MONTH('ادخال البيانات'!$N$3:$N$1164) = VALUE($B$10))) *
            (IF($B$11="الكل",1, INT((DAY('ادخال البيانات'!$N$3:$N$1164)-1)/7)+1 = VALUE($B$11))),
            'ادخال البيانات'!$F$3:$F$1164
         ),
         ""
      ),
      IF(_xlpm.result="", "", _xlpm.result)
   )
)</f>
        <v/>
      </c>
      <c r="G976" s="27" t="str" cm="1">
        <f t="array" ref="G976">IF(
   A976="",
   "",
   _xlfn.LET(
      _xlpm.result,
      IFERROR(
         _xlfn.XLOOKUP(
            1,
            (Table8[رقم الصنف]=A976) *
            (IF($B$9="الكل",1, YEAR('ادخال البيانات'!$N$3:$N$1164)=VALUE($B$9))) *
            (IF($B$10="الكل",1, MONTH('ادخال البيانات'!$N$3:$N$1164)=VALUE($B$10))) *
            (IF($B$11="الكل",1, INT((DAY('ادخال البيانات'!$N$3:$N$1164)-1)/7)+1 = VALUE($B$11))),
            'ادخال البيانات'!$G$3:$G$1164
         ),
         ""
      ),
      IF(_xlpm.result="", "", _xlpm.result)
   )
)</f>
        <v/>
      </c>
      <c r="H976" s="27" t="str" cm="1">
        <f t="array" ref="H976">IF(
   A976="",
   "",
   _xlfn.LET(
      _xlpm.result,
      IFERROR(
         _xlfn.XLOOKUP(
            1,
            (Table8[رقم الصنف]=A976) *
            (IF($B$9="الكل",1, YEAR('ادخال البيانات'!$N$3:$N$1164)=VALUE($B$9))) *
            (IF($B$10="الكل",1, MONTH('ادخال البيانات'!$N$3:$N$1164)=VALUE($B$10))) *
            (IF($B$11="الكل",1, INT((DAY('ادخال البيانات'!$N$3:$N$1164)-1)/7)+1 = VALUE($B$11))),
            'ادخال البيانات'!$H$3:$H$1164
         ),
         ""
      ),
      IF(_xlpm.result="", "", _xlpm.result)
   )
)</f>
        <v/>
      </c>
      <c r="I976" s="27" t="str" cm="1">
        <f t="array" ref="I976">IF(
   A976="",
   "",
   _xlfn.LET(
      _xlpm.result,
      IFERROR(
         _xlfn.XLOOKUP(
            1,
            (Table8[رقم الصنف]=A976) *
            (IF($B$9="الكل",1, YEAR('ادخال البيانات'!$N$3:$N$1164)=VALUE($B$9))) *
            (IF($B$10="الكل",1, MONTH('ادخال البيانات'!$N$3:$N$1164)=VALUE($B$10))) *
            (IF($B$11="الكل",1, INT((DAY('ادخال البيانات'!$N$3:$N$1164)-1)/7)+1 = VALUE($B$11))),
            'ادخال البيانات'!$I$3:$I$1164
         ),
         ""
      ),
      IF(_xlpm.result="", "", _xlpm.result)
   )
)</f>
        <v/>
      </c>
      <c r="J976" s="27" t="str" cm="1">
        <f t="array" ref="J976">IF(
   A976="",
   "",
   _xlfn.LET(
      _xlpm.result,
      IFERROR(
         _xlfn.XLOOKUP(
            1,
            (Table8[رقم الصنف]=A976) *
            (IF($B$9="الكل",1, YEAR('ادخال البيانات'!$N$3:$N$1164)=VALUE($B$9))) *
            (IF($B$10="الكل",1, MONTH('ادخال البيانات'!$N$3:$N$1164)=VALUE($B$10))) *
            (IF($B$11="الكل",1, INT((DAY('ادخال البيانات'!$N$3:$N$1164)-1)/7)+1 = VALUE($B$11))),
            'ادخال البيانات'!$J$3:$J$1164
         ),
         ""
      ),
      IF(_xlpm.result="", "", _xlpm.result)
   )
)</f>
        <v/>
      </c>
      <c r="K976" s="27" t="str" cm="1">
        <f t="array" ref="K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6" s="27" t="str" cm="1">
        <f t="array" ref="L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6" s="27" t="str" cm="1">
        <f t="array" ref="M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6" s="28" t="str" cm="1">
        <f t="array" ref="N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6" s="28" t="str" cm="1">
        <f t="array" ref="O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6" s="27" t="str" cm="1">
        <f t="array" ref="P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Table8[جهة العطل]
         ),
         ""
      ),
      IF(_xlpm.result="", "", _xlpm.result)
   )
)</f>
        <v/>
      </c>
      <c r="Q976" s="27" t="str" cm="1">
        <f t="array" ref="Q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Table8[المركز]
         ),
         ""
      ),
      IF(_xlpm.result="", "", _xlpm.result)
   )
)</f>
        <v/>
      </c>
      <c r="R976" s="27" t="str" cm="1">
        <f t="array" ref="R976">IF(
   A976="",
   "",
   _xlfn.LET(
      _xlpm.result,
      IFERROR(
         _xlfn.XLOOKUP(
            1,
            (Table8[رقم الصنف]=A976) *
            (IF($B$9="الكل",1, YEAR('ادخال البيانات'!$N$3:$N$1164) = VALUE($B$9))) *
            (IF($B$10="الكل",1, MONTH('ادخال البيانات'!$N$3:$N$1164) = VALUE($B$10))) *
            (IF($B$11="الكل",1, INT((DAY('ادخال البيانات'!$N$3:$N$1164) - 1) / 7) + 1 = VALUE($B$11))),
            Table8[ملاحظة]
         ),
         ""
      ),
      IF(_xlpm.result="", "", _xlpm.result)
   )
)</f>
        <v/>
      </c>
      <c r="S976" s="46" t="str">
        <f t="shared" ca="1" si="16"/>
        <v/>
      </c>
    </row>
    <row r="977" spans="1:19" ht="15.6" thickTop="1" thickBot="1" x14ac:dyDescent="0.35">
      <c r="A977" s="39"/>
      <c r="B977" s="27" t="str" cm="1">
        <f t="array" ref="B977">IF(
   OR(A977="", $B$9="", $B$10="", $B$11=""),
   "",
   _xlfn.LET(
      _xlpm.result,
      IFERROR(
         _xlfn.XLOOKUP(
            1,
            (Table8[رقم الصنف]=A977)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7" s="27" t="str" cm="1">
        <f t="array" ref="C977">IF(
   A977="",
   "",
   _xlfn.LET(
      _xlpm.result,
      IFERROR(
         _xlfn.XLOOKUP(
            1,
            (Table8[رقم الصنف]=A977) *
            (IF($B$9="الكل",1, YEAR('ادخال البيانات'!$N$3:$N$1164) = VALUE($B$9))) *
            (IF($B$10="الكل",1, MONTH('ادخال البيانات'!$N$3:$N$1164) = VALUE($B$10))) *
            (IF($B$11="الكل",1, INT((DAY('ادخال البيانات'!$N$3:$N$1164)-1)/7)+1 = VALUE($B$11))),
            'ادخال البيانات'!$C$3:$C$1164
         ),
         ""
      ),
      IF(_xlpm.result="", "", _xlpm.result)
   )
)</f>
        <v/>
      </c>
      <c r="D977" s="27" t="str" cm="1">
        <f t="array" ref="D977">IF(
   OR(A977="", $B$9="", $B$10="", $B$11=""),
   "",
   _xlfn.LET(
      _xlpm.result,
      IFERROR(
         _xlfn.XLOOKUP(
            1,
            (Table8[رقم الصنف]=A977) *
            (IF($B$9="الكل",1, YEAR('ادخال البيانات'!$N$3:$N$1164)=VALUE($B$9))) *
            (IF($B$10="الكل",1, MONTH('ادخال البيانات'!$N$3:$N$1164)=VALUE($B$10))) *
            (IF($B$11="الكل",1, INT((DAY('ادخال البيانات'!$N$3:$N$1164)-1)/7)+1 = VALUE($B$11))),
            'ادخال البيانات'!$D$3:$D$1164
         ),
         ""
      ),
      IF(_xlpm.result="", "", _xlpm.result)
   )
)</f>
        <v/>
      </c>
      <c r="E977" s="27" t="str" cm="1">
        <f t="array" ref="E977">IF(
   A977="",
   "",
   _xlfn.LET(
      _xlpm.result,
      IFERROR(
         _xlfn.XLOOKUP(
            1,
            (Table8[رقم الصنف]=A977) *
            (IF($B$9="الكل",1, YEAR('ادخال البيانات'!$N$3:$N$1164)=VALUE($B$9))) *
            (IF($B$10="الكل",1, MONTH('ادخال البيانات'!$N$3:$N$1164)=VALUE($B$10))) *
            (IF($B$11="الكل",1, INT((DAY('ادخال البيانات'!$N$3:$N$1164)-1)/7)+1 = VALUE($B$11))),
            'ادخال البيانات'!$E$3:$E$1164
         ),
         ""
      ),
      IF(_xlpm.result="", "", _xlpm.result)
   )
)</f>
        <v/>
      </c>
      <c r="F977" s="27" t="str" cm="1">
        <f t="array" ref="F977">IF(
   A977="",
   "",
   _xlfn.LET(
      _xlpm.result,
      IFERROR(
         _xlfn.XLOOKUP(
            1,
            (Table8[رقم الصنف]=A977) *
            (IF($B$9="الكل",1, YEAR('ادخال البيانات'!$N$3:$N$1164) = VALUE($B$9))) *
            (IF($B$10="الكل",1, MONTH('ادخال البيانات'!$N$3:$N$1164) = VALUE($B$10))) *
            (IF($B$11="الكل",1, INT((DAY('ادخال البيانات'!$N$3:$N$1164)-1)/7)+1 = VALUE($B$11))),
            'ادخال البيانات'!$F$3:$F$1164
         ),
         ""
      ),
      IF(_xlpm.result="", "", _xlpm.result)
   )
)</f>
        <v/>
      </c>
      <c r="G977" s="27" t="str" cm="1">
        <f t="array" ref="G977">IF(
   A977="",
   "",
   _xlfn.LET(
      _xlpm.result,
      IFERROR(
         _xlfn.XLOOKUP(
            1,
            (Table8[رقم الصنف]=A977) *
            (IF($B$9="الكل",1, YEAR('ادخال البيانات'!$N$3:$N$1164)=VALUE($B$9))) *
            (IF($B$10="الكل",1, MONTH('ادخال البيانات'!$N$3:$N$1164)=VALUE($B$10))) *
            (IF($B$11="الكل",1, INT((DAY('ادخال البيانات'!$N$3:$N$1164)-1)/7)+1 = VALUE($B$11))),
            'ادخال البيانات'!$G$3:$G$1164
         ),
         ""
      ),
      IF(_xlpm.result="", "", _xlpm.result)
   )
)</f>
        <v/>
      </c>
      <c r="H977" s="27" t="str" cm="1">
        <f t="array" ref="H977">IF(
   A977="",
   "",
   _xlfn.LET(
      _xlpm.result,
      IFERROR(
         _xlfn.XLOOKUP(
            1,
            (Table8[رقم الصنف]=A977) *
            (IF($B$9="الكل",1, YEAR('ادخال البيانات'!$N$3:$N$1164)=VALUE($B$9))) *
            (IF($B$10="الكل",1, MONTH('ادخال البيانات'!$N$3:$N$1164)=VALUE($B$10))) *
            (IF($B$11="الكل",1, INT((DAY('ادخال البيانات'!$N$3:$N$1164)-1)/7)+1 = VALUE($B$11))),
            'ادخال البيانات'!$H$3:$H$1164
         ),
         ""
      ),
      IF(_xlpm.result="", "", _xlpm.result)
   )
)</f>
        <v/>
      </c>
      <c r="I977" s="27" t="str" cm="1">
        <f t="array" ref="I977">IF(
   A977="",
   "",
   _xlfn.LET(
      _xlpm.result,
      IFERROR(
         _xlfn.XLOOKUP(
            1,
            (Table8[رقم الصنف]=A977) *
            (IF($B$9="الكل",1, YEAR('ادخال البيانات'!$N$3:$N$1164)=VALUE($B$9))) *
            (IF($B$10="الكل",1, MONTH('ادخال البيانات'!$N$3:$N$1164)=VALUE($B$10))) *
            (IF($B$11="الكل",1, INT((DAY('ادخال البيانات'!$N$3:$N$1164)-1)/7)+1 = VALUE($B$11))),
            'ادخال البيانات'!$I$3:$I$1164
         ),
         ""
      ),
      IF(_xlpm.result="", "", _xlpm.result)
   )
)</f>
        <v/>
      </c>
      <c r="J977" s="27" t="str" cm="1">
        <f t="array" ref="J977">IF(
   A977="",
   "",
   _xlfn.LET(
      _xlpm.result,
      IFERROR(
         _xlfn.XLOOKUP(
            1,
            (Table8[رقم الصنف]=A977) *
            (IF($B$9="الكل",1, YEAR('ادخال البيانات'!$N$3:$N$1164)=VALUE($B$9))) *
            (IF($B$10="الكل",1, MONTH('ادخال البيانات'!$N$3:$N$1164)=VALUE($B$10))) *
            (IF($B$11="الكل",1, INT((DAY('ادخال البيانات'!$N$3:$N$1164)-1)/7)+1 = VALUE($B$11))),
            'ادخال البيانات'!$J$3:$J$1164
         ),
         ""
      ),
      IF(_xlpm.result="", "", _xlpm.result)
   )
)</f>
        <v/>
      </c>
      <c r="K977" s="27" t="str" cm="1">
        <f t="array" ref="K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7" s="27" t="str" cm="1">
        <f t="array" ref="L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7" s="27" t="str" cm="1">
        <f t="array" ref="M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7" s="28" t="str" cm="1">
        <f t="array" ref="N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7" s="28" t="str" cm="1">
        <f t="array" ref="O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7" s="27" t="str" cm="1">
        <f t="array" ref="P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Table8[جهة العطل]
         ),
         ""
      ),
      IF(_xlpm.result="", "", _xlpm.result)
   )
)</f>
        <v/>
      </c>
      <c r="Q977" s="27" t="str" cm="1">
        <f t="array" ref="Q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Table8[المركز]
         ),
         ""
      ),
      IF(_xlpm.result="", "", _xlpm.result)
   )
)</f>
        <v/>
      </c>
      <c r="R977" s="27" t="str" cm="1">
        <f t="array" ref="R977">IF(
   A977="",
   "",
   _xlfn.LET(
      _xlpm.result,
      IFERROR(
         _xlfn.XLOOKUP(
            1,
            (Table8[رقم الصنف]=A977) *
            (IF($B$9="الكل",1, YEAR('ادخال البيانات'!$N$3:$N$1164) = VALUE($B$9))) *
            (IF($B$10="الكل",1, MONTH('ادخال البيانات'!$N$3:$N$1164) = VALUE($B$10))) *
            (IF($B$11="الكل",1, INT((DAY('ادخال البيانات'!$N$3:$N$1164) - 1) / 7) + 1 = VALUE($B$11))),
            Table8[ملاحظة]
         ),
         ""
      ),
      IF(_xlpm.result="", "", _xlpm.result)
   )
)</f>
        <v/>
      </c>
      <c r="S977" s="46" t="str">
        <f t="shared" ca="1" si="16"/>
        <v/>
      </c>
    </row>
    <row r="978" spans="1:19" ht="15.6" thickTop="1" thickBot="1" x14ac:dyDescent="0.35">
      <c r="A978" s="39"/>
      <c r="B978" s="27" t="str" cm="1">
        <f t="array" ref="B978">IF(
   OR(A978="", $B$9="", $B$10="", $B$11=""),
   "",
   _xlfn.LET(
      _xlpm.result,
      IFERROR(
         _xlfn.XLOOKUP(
            1,
            (Table8[رقم الصنف]=A978)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8" s="27" t="str" cm="1">
        <f t="array" ref="C978">IF(
   A978="",
   "",
   _xlfn.LET(
      _xlpm.result,
      IFERROR(
         _xlfn.XLOOKUP(
            1,
            (Table8[رقم الصنف]=A978) *
            (IF($B$9="الكل",1, YEAR('ادخال البيانات'!$N$3:$N$1164) = VALUE($B$9))) *
            (IF($B$10="الكل",1, MONTH('ادخال البيانات'!$N$3:$N$1164) = VALUE($B$10))) *
            (IF($B$11="الكل",1, INT((DAY('ادخال البيانات'!$N$3:$N$1164)-1)/7)+1 = VALUE($B$11))),
            'ادخال البيانات'!$C$3:$C$1164
         ),
         ""
      ),
      IF(_xlpm.result="", "", _xlpm.result)
   )
)</f>
        <v/>
      </c>
      <c r="D978" s="27" t="str" cm="1">
        <f t="array" ref="D978">IF(
   OR(A978="", $B$9="", $B$10="", $B$11=""),
   "",
   _xlfn.LET(
      _xlpm.result,
      IFERROR(
         _xlfn.XLOOKUP(
            1,
            (Table8[رقم الصنف]=A978) *
            (IF($B$9="الكل",1, YEAR('ادخال البيانات'!$N$3:$N$1164)=VALUE($B$9))) *
            (IF($B$10="الكل",1, MONTH('ادخال البيانات'!$N$3:$N$1164)=VALUE($B$10))) *
            (IF($B$11="الكل",1, INT((DAY('ادخال البيانات'!$N$3:$N$1164)-1)/7)+1 = VALUE($B$11))),
            'ادخال البيانات'!$D$3:$D$1164
         ),
         ""
      ),
      IF(_xlpm.result="", "", _xlpm.result)
   )
)</f>
        <v/>
      </c>
      <c r="E978" s="27" t="str" cm="1">
        <f t="array" ref="E978">IF(
   A978="",
   "",
   _xlfn.LET(
      _xlpm.result,
      IFERROR(
         _xlfn.XLOOKUP(
            1,
            (Table8[رقم الصنف]=A978) *
            (IF($B$9="الكل",1, YEAR('ادخال البيانات'!$N$3:$N$1164)=VALUE($B$9))) *
            (IF($B$10="الكل",1, MONTH('ادخال البيانات'!$N$3:$N$1164)=VALUE($B$10))) *
            (IF($B$11="الكل",1, INT((DAY('ادخال البيانات'!$N$3:$N$1164)-1)/7)+1 = VALUE($B$11))),
            'ادخال البيانات'!$E$3:$E$1164
         ),
         ""
      ),
      IF(_xlpm.result="", "", _xlpm.result)
   )
)</f>
        <v/>
      </c>
      <c r="F978" s="27" t="str" cm="1">
        <f t="array" ref="F978">IF(
   A978="",
   "",
   _xlfn.LET(
      _xlpm.result,
      IFERROR(
         _xlfn.XLOOKUP(
            1,
            (Table8[رقم الصنف]=A978) *
            (IF($B$9="الكل",1, YEAR('ادخال البيانات'!$N$3:$N$1164) = VALUE($B$9))) *
            (IF($B$10="الكل",1, MONTH('ادخال البيانات'!$N$3:$N$1164) = VALUE($B$10))) *
            (IF($B$11="الكل",1, INT((DAY('ادخال البيانات'!$N$3:$N$1164)-1)/7)+1 = VALUE($B$11))),
            'ادخال البيانات'!$F$3:$F$1164
         ),
         ""
      ),
      IF(_xlpm.result="", "", _xlpm.result)
   )
)</f>
        <v/>
      </c>
      <c r="G978" s="27" t="str" cm="1">
        <f t="array" ref="G978">IF(
   A978="",
   "",
   _xlfn.LET(
      _xlpm.result,
      IFERROR(
         _xlfn.XLOOKUP(
            1,
            (Table8[رقم الصنف]=A978) *
            (IF($B$9="الكل",1, YEAR('ادخال البيانات'!$N$3:$N$1164)=VALUE($B$9))) *
            (IF($B$10="الكل",1, MONTH('ادخال البيانات'!$N$3:$N$1164)=VALUE($B$10))) *
            (IF($B$11="الكل",1, INT((DAY('ادخال البيانات'!$N$3:$N$1164)-1)/7)+1 = VALUE($B$11))),
            'ادخال البيانات'!$G$3:$G$1164
         ),
         ""
      ),
      IF(_xlpm.result="", "", _xlpm.result)
   )
)</f>
        <v/>
      </c>
      <c r="H978" s="27" t="str" cm="1">
        <f t="array" ref="H978">IF(
   A978="",
   "",
   _xlfn.LET(
      _xlpm.result,
      IFERROR(
         _xlfn.XLOOKUP(
            1,
            (Table8[رقم الصنف]=A978) *
            (IF($B$9="الكل",1, YEAR('ادخال البيانات'!$N$3:$N$1164)=VALUE($B$9))) *
            (IF($B$10="الكل",1, MONTH('ادخال البيانات'!$N$3:$N$1164)=VALUE($B$10))) *
            (IF($B$11="الكل",1, INT((DAY('ادخال البيانات'!$N$3:$N$1164)-1)/7)+1 = VALUE($B$11))),
            'ادخال البيانات'!$H$3:$H$1164
         ),
         ""
      ),
      IF(_xlpm.result="", "", _xlpm.result)
   )
)</f>
        <v/>
      </c>
      <c r="I978" s="27" t="str" cm="1">
        <f t="array" ref="I978">IF(
   A978="",
   "",
   _xlfn.LET(
      _xlpm.result,
      IFERROR(
         _xlfn.XLOOKUP(
            1,
            (Table8[رقم الصنف]=A978) *
            (IF($B$9="الكل",1, YEAR('ادخال البيانات'!$N$3:$N$1164)=VALUE($B$9))) *
            (IF($B$10="الكل",1, MONTH('ادخال البيانات'!$N$3:$N$1164)=VALUE($B$10))) *
            (IF($B$11="الكل",1, INT((DAY('ادخال البيانات'!$N$3:$N$1164)-1)/7)+1 = VALUE($B$11))),
            'ادخال البيانات'!$I$3:$I$1164
         ),
         ""
      ),
      IF(_xlpm.result="", "", _xlpm.result)
   )
)</f>
        <v/>
      </c>
      <c r="J978" s="27" t="str" cm="1">
        <f t="array" ref="J978">IF(
   A978="",
   "",
   _xlfn.LET(
      _xlpm.result,
      IFERROR(
         _xlfn.XLOOKUP(
            1,
            (Table8[رقم الصنف]=A978) *
            (IF($B$9="الكل",1, YEAR('ادخال البيانات'!$N$3:$N$1164)=VALUE($B$9))) *
            (IF($B$10="الكل",1, MONTH('ادخال البيانات'!$N$3:$N$1164)=VALUE($B$10))) *
            (IF($B$11="الكل",1, INT((DAY('ادخال البيانات'!$N$3:$N$1164)-1)/7)+1 = VALUE($B$11))),
            'ادخال البيانات'!$J$3:$J$1164
         ),
         ""
      ),
      IF(_xlpm.result="", "", _xlpm.result)
   )
)</f>
        <v/>
      </c>
      <c r="K978" s="27" t="str" cm="1">
        <f t="array" ref="K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8" s="27" t="str" cm="1">
        <f t="array" ref="L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8" s="27" t="str" cm="1">
        <f t="array" ref="M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8" s="28" t="str" cm="1">
        <f t="array" ref="N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8" s="28" t="str" cm="1">
        <f t="array" ref="O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8" s="27" t="str" cm="1">
        <f t="array" ref="P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Table8[جهة العطل]
         ),
         ""
      ),
      IF(_xlpm.result="", "", _xlpm.result)
   )
)</f>
        <v/>
      </c>
      <c r="Q978" s="27" t="str" cm="1">
        <f t="array" ref="Q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Table8[المركز]
         ),
         ""
      ),
      IF(_xlpm.result="", "", _xlpm.result)
   )
)</f>
        <v/>
      </c>
      <c r="R978" s="27" t="str" cm="1">
        <f t="array" ref="R978">IF(
   A978="",
   "",
   _xlfn.LET(
      _xlpm.result,
      IFERROR(
         _xlfn.XLOOKUP(
            1,
            (Table8[رقم الصنف]=A978) *
            (IF($B$9="الكل",1, YEAR('ادخال البيانات'!$N$3:$N$1164) = VALUE($B$9))) *
            (IF($B$10="الكل",1, MONTH('ادخال البيانات'!$N$3:$N$1164) = VALUE($B$10))) *
            (IF($B$11="الكل",1, INT((DAY('ادخال البيانات'!$N$3:$N$1164) - 1) / 7) + 1 = VALUE($B$11))),
            Table8[ملاحظة]
         ),
         ""
      ),
      IF(_xlpm.result="", "", _xlpm.result)
   )
)</f>
        <v/>
      </c>
      <c r="S978" s="46" t="str">
        <f t="shared" ca="1" si="16"/>
        <v/>
      </c>
    </row>
    <row r="979" spans="1:19" ht="15.6" thickTop="1" thickBot="1" x14ac:dyDescent="0.35">
      <c r="A979" s="39"/>
      <c r="B979" s="27" t="str" cm="1">
        <f t="array" ref="B979">IF(
   OR(A979="", $B$9="", $B$10="", $B$11=""),
   "",
   _xlfn.LET(
      _xlpm.result,
      IFERROR(
         _xlfn.XLOOKUP(
            1,
            (Table8[رقم الصنف]=A979)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79" s="27" t="str" cm="1">
        <f t="array" ref="C979">IF(
   A979="",
   "",
   _xlfn.LET(
      _xlpm.result,
      IFERROR(
         _xlfn.XLOOKUP(
            1,
            (Table8[رقم الصنف]=A979) *
            (IF($B$9="الكل",1, YEAR('ادخال البيانات'!$N$3:$N$1164) = VALUE($B$9))) *
            (IF($B$10="الكل",1, MONTH('ادخال البيانات'!$N$3:$N$1164) = VALUE($B$10))) *
            (IF($B$11="الكل",1, INT((DAY('ادخال البيانات'!$N$3:$N$1164)-1)/7)+1 = VALUE($B$11))),
            'ادخال البيانات'!$C$3:$C$1164
         ),
         ""
      ),
      IF(_xlpm.result="", "", _xlpm.result)
   )
)</f>
        <v/>
      </c>
      <c r="D979" s="27" t="str" cm="1">
        <f t="array" ref="D979">IF(
   OR(A979="", $B$9="", $B$10="", $B$11=""),
   "",
   _xlfn.LET(
      _xlpm.result,
      IFERROR(
         _xlfn.XLOOKUP(
            1,
            (Table8[رقم الصنف]=A979) *
            (IF($B$9="الكل",1, YEAR('ادخال البيانات'!$N$3:$N$1164)=VALUE($B$9))) *
            (IF($B$10="الكل",1, MONTH('ادخال البيانات'!$N$3:$N$1164)=VALUE($B$10))) *
            (IF($B$11="الكل",1, INT((DAY('ادخال البيانات'!$N$3:$N$1164)-1)/7)+1 = VALUE($B$11))),
            'ادخال البيانات'!$D$3:$D$1164
         ),
         ""
      ),
      IF(_xlpm.result="", "", _xlpm.result)
   )
)</f>
        <v/>
      </c>
      <c r="E979" s="27" t="str" cm="1">
        <f t="array" ref="E979">IF(
   A979="",
   "",
   _xlfn.LET(
      _xlpm.result,
      IFERROR(
         _xlfn.XLOOKUP(
            1,
            (Table8[رقم الصنف]=A979) *
            (IF($B$9="الكل",1, YEAR('ادخال البيانات'!$N$3:$N$1164)=VALUE($B$9))) *
            (IF($B$10="الكل",1, MONTH('ادخال البيانات'!$N$3:$N$1164)=VALUE($B$10))) *
            (IF($B$11="الكل",1, INT((DAY('ادخال البيانات'!$N$3:$N$1164)-1)/7)+1 = VALUE($B$11))),
            'ادخال البيانات'!$E$3:$E$1164
         ),
         ""
      ),
      IF(_xlpm.result="", "", _xlpm.result)
   )
)</f>
        <v/>
      </c>
      <c r="F979" s="27" t="str" cm="1">
        <f t="array" ref="F979">IF(
   A979="",
   "",
   _xlfn.LET(
      _xlpm.result,
      IFERROR(
         _xlfn.XLOOKUP(
            1,
            (Table8[رقم الصنف]=A979) *
            (IF($B$9="الكل",1, YEAR('ادخال البيانات'!$N$3:$N$1164) = VALUE($B$9))) *
            (IF($B$10="الكل",1, MONTH('ادخال البيانات'!$N$3:$N$1164) = VALUE($B$10))) *
            (IF($B$11="الكل",1, INT((DAY('ادخال البيانات'!$N$3:$N$1164)-1)/7)+1 = VALUE($B$11))),
            'ادخال البيانات'!$F$3:$F$1164
         ),
         ""
      ),
      IF(_xlpm.result="", "", _xlpm.result)
   )
)</f>
        <v/>
      </c>
      <c r="G979" s="27" t="str" cm="1">
        <f t="array" ref="G979">IF(
   A979="",
   "",
   _xlfn.LET(
      _xlpm.result,
      IFERROR(
         _xlfn.XLOOKUP(
            1,
            (Table8[رقم الصنف]=A979) *
            (IF($B$9="الكل",1, YEAR('ادخال البيانات'!$N$3:$N$1164)=VALUE($B$9))) *
            (IF($B$10="الكل",1, MONTH('ادخال البيانات'!$N$3:$N$1164)=VALUE($B$10))) *
            (IF($B$11="الكل",1, INT((DAY('ادخال البيانات'!$N$3:$N$1164)-1)/7)+1 = VALUE($B$11))),
            'ادخال البيانات'!$G$3:$G$1164
         ),
         ""
      ),
      IF(_xlpm.result="", "", _xlpm.result)
   )
)</f>
        <v/>
      </c>
      <c r="H979" s="27" t="str" cm="1">
        <f t="array" ref="H979">IF(
   A979="",
   "",
   _xlfn.LET(
      _xlpm.result,
      IFERROR(
         _xlfn.XLOOKUP(
            1,
            (Table8[رقم الصنف]=A979) *
            (IF($B$9="الكل",1, YEAR('ادخال البيانات'!$N$3:$N$1164)=VALUE($B$9))) *
            (IF($B$10="الكل",1, MONTH('ادخال البيانات'!$N$3:$N$1164)=VALUE($B$10))) *
            (IF($B$11="الكل",1, INT((DAY('ادخال البيانات'!$N$3:$N$1164)-1)/7)+1 = VALUE($B$11))),
            'ادخال البيانات'!$H$3:$H$1164
         ),
         ""
      ),
      IF(_xlpm.result="", "", _xlpm.result)
   )
)</f>
        <v/>
      </c>
      <c r="I979" s="27" t="str" cm="1">
        <f t="array" ref="I979">IF(
   A979="",
   "",
   _xlfn.LET(
      _xlpm.result,
      IFERROR(
         _xlfn.XLOOKUP(
            1,
            (Table8[رقم الصنف]=A979) *
            (IF($B$9="الكل",1, YEAR('ادخال البيانات'!$N$3:$N$1164)=VALUE($B$9))) *
            (IF($B$10="الكل",1, MONTH('ادخال البيانات'!$N$3:$N$1164)=VALUE($B$10))) *
            (IF($B$11="الكل",1, INT((DAY('ادخال البيانات'!$N$3:$N$1164)-1)/7)+1 = VALUE($B$11))),
            'ادخال البيانات'!$I$3:$I$1164
         ),
         ""
      ),
      IF(_xlpm.result="", "", _xlpm.result)
   )
)</f>
        <v/>
      </c>
      <c r="J979" s="27" t="str" cm="1">
        <f t="array" ref="J979">IF(
   A979="",
   "",
   _xlfn.LET(
      _xlpm.result,
      IFERROR(
         _xlfn.XLOOKUP(
            1,
            (Table8[رقم الصنف]=A979) *
            (IF($B$9="الكل",1, YEAR('ادخال البيانات'!$N$3:$N$1164)=VALUE($B$9))) *
            (IF($B$10="الكل",1, MONTH('ادخال البيانات'!$N$3:$N$1164)=VALUE($B$10))) *
            (IF($B$11="الكل",1, INT((DAY('ادخال البيانات'!$N$3:$N$1164)-1)/7)+1 = VALUE($B$11))),
            'ادخال البيانات'!$J$3:$J$1164
         ),
         ""
      ),
      IF(_xlpm.result="", "", _xlpm.result)
   )
)</f>
        <v/>
      </c>
      <c r="K979" s="27" t="str" cm="1">
        <f t="array" ref="K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79" s="27" t="str" cm="1">
        <f t="array" ref="L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79" s="27" t="str" cm="1">
        <f t="array" ref="M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79" s="28" t="str" cm="1">
        <f t="array" ref="N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79" s="28" t="str" cm="1">
        <f t="array" ref="O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79" s="27" t="str" cm="1">
        <f t="array" ref="P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Table8[جهة العطل]
         ),
         ""
      ),
      IF(_xlpm.result="", "", _xlpm.result)
   )
)</f>
        <v/>
      </c>
      <c r="Q979" s="27" t="str" cm="1">
        <f t="array" ref="Q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Table8[المركز]
         ),
         ""
      ),
      IF(_xlpm.result="", "", _xlpm.result)
   )
)</f>
        <v/>
      </c>
      <c r="R979" s="27" t="str" cm="1">
        <f t="array" ref="R979">IF(
   A979="",
   "",
   _xlfn.LET(
      _xlpm.result,
      IFERROR(
         _xlfn.XLOOKUP(
            1,
            (Table8[رقم الصنف]=A979) *
            (IF($B$9="الكل",1, YEAR('ادخال البيانات'!$N$3:$N$1164) = VALUE($B$9))) *
            (IF($B$10="الكل",1, MONTH('ادخال البيانات'!$N$3:$N$1164) = VALUE($B$10))) *
            (IF($B$11="الكل",1, INT((DAY('ادخال البيانات'!$N$3:$N$1164) - 1) / 7) + 1 = VALUE($B$11))),
            Table8[ملاحظة]
         ),
         ""
      ),
      IF(_xlpm.result="", "", _xlpm.result)
   )
)</f>
        <v/>
      </c>
      <c r="S979" s="46" t="str">
        <f t="shared" ca="1" si="16"/>
        <v/>
      </c>
    </row>
    <row r="980" spans="1:19" ht="15.6" thickTop="1" thickBot="1" x14ac:dyDescent="0.35">
      <c r="A980" s="39"/>
      <c r="B980" s="27" t="str" cm="1">
        <f t="array" ref="B980">IF(
   OR(A980="", $B$9="", $B$10="", $B$11=""),
   "",
   _xlfn.LET(
      _xlpm.result,
      IFERROR(
         _xlfn.XLOOKUP(
            1,
            (Table8[رقم الصنف]=A980)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0" s="27" t="str" cm="1">
        <f t="array" ref="C980">IF(
   A980="",
   "",
   _xlfn.LET(
      _xlpm.result,
      IFERROR(
         _xlfn.XLOOKUP(
            1,
            (Table8[رقم الصنف]=A980) *
            (IF($B$9="الكل",1, YEAR('ادخال البيانات'!$N$3:$N$1164) = VALUE($B$9))) *
            (IF($B$10="الكل",1, MONTH('ادخال البيانات'!$N$3:$N$1164) = VALUE($B$10))) *
            (IF($B$11="الكل",1, INT((DAY('ادخال البيانات'!$N$3:$N$1164)-1)/7)+1 = VALUE($B$11))),
            'ادخال البيانات'!$C$3:$C$1164
         ),
         ""
      ),
      IF(_xlpm.result="", "", _xlpm.result)
   )
)</f>
        <v/>
      </c>
      <c r="D980" s="27" t="str" cm="1">
        <f t="array" ref="D980">IF(
   OR(A980="", $B$9="", $B$10="", $B$11=""),
   "",
   _xlfn.LET(
      _xlpm.result,
      IFERROR(
         _xlfn.XLOOKUP(
            1,
            (Table8[رقم الصنف]=A980) *
            (IF($B$9="الكل",1, YEAR('ادخال البيانات'!$N$3:$N$1164)=VALUE($B$9))) *
            (IF($B$10="الكل",1, MONTH('ادخال البيانات'!$N$3:$N$1164)=VALUE($B$10))) *
            (IF($B$11="الكل",1, INT((DAY('ادخال البيانات'!$N$3:$N$1164)-1)/7)+1 = VALUE($B$11))),
            'ادخال البيانات'!$D$3:$D$1164
         ),
         ""
      ),
      IF(_xlpm.result="", "", _xlpm.result)
   )
)</f>
        <v/>
      </c>
      <c r="E980" s="27" t="str" cm="1">
        <f t="array" ref="E980">IF(
   A980="",
   "",
   _xlfn.LET(
      _xlpm.result,
      IFERROR(
         _xlfn.XLOOKUP(
            1,
            (Table8[رقم الصنف]=A980) *
            (IF($B$9="الكل",1, YEAR('ادخال البيانات'!$N$3:$N$1164)=VALUE($B$9))) *
            (IF($B$10="الكل",1, MONTH('ادخال البيانات'!$N$3:$N$1164)=VALUE($B$10))) *
            (IF($B$11="الكل",1, INT((DAY('ادخال البيانات'!$N$3:$N$1164)-1)/7)+1 = VALUE($B$11))),
            'ادخال البيانات'!$E$3:$E$1164
         ),
         ""
      ),
      IF(_xlpm.result="", "", _xlpm.result)
   )
)</f>
        <v/>
      </c>
      <c r="F980" s="27" t="str" cm="1">
        <f t="array" ref="F980">IF(
   A980="",
   "",
   _xlfn.LET(
      _xlpm.result,
      IFERROR(
         _xlfn.XLOOKUP(
            1,
            (Table8[رقم الصنف]=A980) *
            (IF($B$9="الكل",1, YEAR('ادخال البيانات'!$N$3:$N$1164) = VALUE($B$9))) *
            (IF($B$10="الكل",1, MONTH('ادخال البيانات'!$N$3:$N$1164) = VALUE($B$10))) *
            (IF($B$11="الكل",1, INT((DAY('ادخال البيانات'!$N$3:$N$1164)-1)/7)+1 = VALUE($B$11))),
            'ادخال البيانات'!$F$3:$F$1164
         ),
         ""
      ),
      IF(_xlpm.result="", "", _xlpm.result)
   )
)</f>
        <v/>
      </c>
      <c r="G980" s="27" t="str" cm="1">
        <f t="array" ref="G980">IF(
   A980="",
   "",
   _xlfn.LET(
      _xlpm.result,
      IFERROR(
         _xlfn.XLOOKUP(
            1,
            (Table8[رقم الصنف]=A980) *
            (IF($B$9="الكل",1, YEAR('ادخال البيانات'!$N$3:$N$1164)=VALUE($B$9))) *
            (IF($B$10="الكل",1, MONTH('ادخال البيانات'!$N$3:$N$1164)=VALUE($B$10))) *
            (IF($B$11="الكل",1, INT((DAY('ادخال البيانات'!$N$3:$N$1164)-1)/7)+1 = VALUE($B$11))),
            'ادخال البيانات'!$G$3:$G$1164
         ),
         ""
      ),
      IF(_xlpm.result="", "", _xlpm.result)
   )
)</f>
        <v/>
      </c>
      <c r="H980" s="27" t="str" cm="1">
        <f t="array" ref="H980">IF(
   A980="",
   "",
   _xlfn.LET(
      _xlpm.result,
      IFERROR(
         _xlfn.XLOOKUP(
            1,
            (Table8[رقم الصنف]=A980) *
            (IF($B$9="الكل",1, YEAR('ادخال البيانات'!$N$3:$N$1164)=VALUE($B$9))) *
            (IF($B$10="الكل",1, MONTH('ادخال البيانات'!$N$3:$N$1164)=VALUE($B$10))) *
            (IF($B$11="الكل",1, INT((DAY('ادخال البيانات'!$N$3:$N$1164)-1)/7)+1 = VALUE($B$11))),
            'ادخال البيانات'!$H$3:$H$1164
         ),
         ""
      ),
      IF(_xlpm.result="", "", _xlpm.result)
   )
)</f>
        <v/>
      </c>
      <c r="I980" s="27" t="str" cm="1">
        <f t="array" ref="I980">IF(
   A980="",
   "",
   _xlfn.LET(
      _xlpm.result,
      IFERROR(
         _xlfn.XLOOKUP(
            1,
            (Table8[رقم الصنف]=A980) *
            (IF($B$9="الكل",1, YEAR('ادخال البيانات'!$N$3:$N$1164)=VALUE($B$9))) *
            (IF($B$10="الكل",1, MONTH('ادخال البيانات'!$N$3:$N$1164)=VALUE($B$10))) *
            (IF($B$11="الكل",1, INT((DAY('ادخال البيانات'!$N$3:$N$1164)-1)/7)+1 = VALUE($B$11))),
            'ادخال البيانات'!$I$3:$I$1164
         ),
         ""
      ),
      IF(_xlpm.result="", "", _xlpm.result)
   )
)</f>
        <v/>
      </c>
      <c r="J980" s="27" t="str" cm="1">
        <f t="array" ref="J980">IF(
   A980="",
   "",
   _xlfn.LET(
      _xlpm.result,
      IFERROR(
         _xlfn.XLOOKUP(
            1,
            (Table8[رقم الصنف]=A980) *
            (IF($B$9="الكل",1, YEAR('ادخال البيانات'!$N$3:$N$1164)=VALUE($B$9))) *
            (IF($B$10="الكل",1, MONTH('ادخال البيانات'!$N$3:$N$1164)=VALUE($B$10))) *
            (IF($B$11="الكل",1, INT((DAY('ادخال البيانات'!$N$3:$N$1164)-1)/7)+1 = VALUE($B$11))),
            'ادخال البيانات'!$J$3:$J$1164
         ),
         ""
      ),
      IF(_xlpm.result="", "", _xlpm.result)
   )
)</f>
        <v/>
      </c>
      <c r="K980" s="27" t="str" cm="1">
        <f t="array" ref="K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0" s="27" t="str" cm="1">
        <f t="array" ref="L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0" s="27" t="str" cm="1">
        <f t="array" ref="M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0" s="28" t="str" cm="1">
        <f t="array" ref="N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0" s="28" t="str" cm="1">
        <f t="array" ref="O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0" s="27" t="str" cm="1">
        <f t="array" ref="P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Table8[جهة العطل]
         ),
         ""
      ),
      IF(_xlpm.result="", "", _xlpm.result)
   )
)</f>
        <v/>
      </c>
      <c r="Q980" s="27" t="str" cm="1">
        <f t="array" ref="Q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Table8[المركز]
         ),
         ""
      ),
      IF(_xlpm.result="", "", _xlpm.result)
   )
)</f>
        <v/>
      </c>
      <c r="R980" s="27" t="str" cm="1">
        <f t="array" ref="R980">IF(
   A980="",
   "",
   _xlfn.LET(
      _xlpm.result,
      IFERROR(
         _xlfn.XLOOKUP(
            1,
            (Table8[رقم الصنف]=A980) *
            (IF($B$9="الكل",1, YEAR('ادخال البيانات'!$N$3:$N$1164) = VALUE($B$9))) *
            (IF($B$10="الكل",1, MONTH('ادخال البيانات'!$N$3:$N$1164) = VALUE($B$10))) *
            (IF($B$11="الكل",1, INT((DAY('ادخال البيانات'!$N$3:$N$1164) - 1) / 7) + 1 = VALUE($B$11))),
            Table8[ملاحظة]
         ),
         ""
      ),
      IF(_xlpm.result="", "", _xlpm.result)
   )
)</f>
        <v/>
      </c>
      <c r="S980" s="46" t="str">
        <f t="shared" ca="1" si="16"/>
        <v/>
      </c>
    </row>
    <row r="981" spans="1:19" ht="15.6" thickTop="1" thickBot="1" x14ac:dyDescent="0.35">
      <c r="A981" s="39"/>
      <c r="B981" s="27" t="str" cm="1">
        <f t="array" ref="B981">IF(
   OR(A981="", $B$9="", $B$10="", $B$11=""),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1" s="27" t="str" cm="1">
        <f t="array" ref="C981">IF(
   A981="",
   "",
   _xlfn.LET(
      _xlpm.result,
      IFERROR(
         _xlfn.XLOOKUP(
            1,
            (Table8[رقم الصنف]=A981) *
            (IF($B$9="الكل",1, YEAR('ادخال البيانات'!$N$3:$N$1164) = VALUE($B$9))) *
            (IF($B$10="الكل",1, MONTH('ادخال البيانات'!$N$3:$N$1164) = VALUE($B$10))) *
            (IF($B$11="الكل",1, INT((DAY('ادخال البيانات'!$N$3:$N$1164)-1)/7)+1 = VALUE($B$11))),
            'ادخال البيانات'!$C$3:$C$1164
         ),
         ""
      ),
      IF(_xlpm.result="", "", _xlpm.result)
   )
)</f>
        <v/>
      </c>
      <c r="D981" s="27" t="str" cm="1">
        <f t="array" ref="D981">IF(
   OR(A981="", $B$9="", $B$10="", $B$11=""),
   "",
   _xlfn.LET(
      _xlpm.result,
      IFERROR(
         _xlfn.XLOOKUP(
            1,
            (Table8[رقم الصنف]=A981) *
            (IF($B$9="الكل",1, YEAR('ادخال البيانات'!$N$3:$N$1164)=VALUE($B$9))) *
            (IF($B$10="الكل",1, MONTH('ادخال البيانات'!$N$3:$N$1164)=VALUE($B$10))) *
            (IF($B$11="الكل",1, INT((DAY('ادخال البيانات'!$N$3:$N$1164)-1)/7)+1 = VALUE($B$11))),
            'ادخال البيانات'!$D$3:$D$1164
         ),
         ""
      ),
      IF(_xlpm.result="", "", _xlpm.result)
   )
)</f>
        <v/>
      </c>
      <c r="E981" s="27" t="str" cm="1">
        <f t="array" ref="E981">IF(
   A981="",
   "",
   _xlfn.LET(
      _xlpm.result,
      IFERROR(
         _xlfn.XLOOKUP(
            1,
            (Table8[رقم الصنف]=A981) *
            (IF($B$9="الكل",1, YEAR('ادخال البيانات'!$N$3:$N$1164)=VALUE($B$9))) *
            (IF($B$10="الكل",1, MONTH('ادخال البيانات'!$N$3:$N$1164)=VALUE($B$10))) *
            (IF($B$11="الكل",1, INT((DAY('ادخال البيانات'!$N$3:$N$1164)-1)/7)+1 = VALUE($B$11))),
            'ادخال البيانات'!$E$3:$E$1164
         ),
         ""
      ),
      IF(_xlpm.result="", "", _xlpm.result)
   )
)</f>
        <v/>
      </c>
      <c r="F981" s="27" t="str" cm="1">
        <f t="array" ref="F981">IF(
   A981="",
   "",
   _xlfn.LET(
      _xlpm.result,
      IFERROR(
         _xlfn.XLOOKUP(
            1,
            (Table8[رقم الصنف]=A981) *
            (IF($B$9="الكل",1, YEAR('ادخال البيانات'!$N$3:$N$1164) = VALUE($B$9))) *
            (IF($B$10="الكل",1, MONTH('ادخال البيانات'!$N$3:$N$1164) = VALUE($B$10))) *
            (IF($B$11="الكل",1, INT((DAY('ادخال البيانات'!$N$3:$N$1164)-1)/7)+1 = VALUE($B$11))),
            'ادخال البيانات'!$F$3:$F$1164
         ),
         ""
      ),
      IF(_xlpm.result="", "", _xlpm.result)
   )
)</f>
        <v/>
      </c>
      <c r="G981" s="27" t="str" cm="1">
        <f t="array" ref="G981">IF(
   A981="",
   "",
   _xlfn.LET(
      _xlpm.result,
      IFERROR(
         _xlfn.XLOOKUP(
            1,
            (Table8[رقم الصنف]=A981) *
            (IF($B$9="الكل",1, YEAR('ادخال البيانات'!$N$3:$N$1164)=VALUE($B$9))) *
            (IF($B$10="الكل",1, MONTH('ادخال البيانات'!$N$3:$N$1164)=VALUE($B$10))) *
            (IF($B$11="الكل",1, INT((DAY('ادخال البيانات'!$N$3:$N$1164)-1)/7)+1 = VALUE($B$11))),
            'ادخال البيانات'!$G$3:$G$1164
         ),
         ""
      ),
      IF(_xlpm.result="", "", _xlpm.result)
   )
)</f>
        <v/>
      </c>
      <c r="H981" s="27" t="str" cm="1">
        <f t="array" ref="H981">IF(
   A981="",
   "",
   _xlfn.LET(
      _xlpm.result,
      IFERROR(
         _xlfn.XLOOKUP(
            1,
            (Table8[رقم الصنف]=A981) *
            (IF($B$9="الكل",1, YEAR('ادخال البيانات'!$N$3:$N$1164)=VALUE($B$9))) *
            (IF($B$10="الكل",1, MONTH('ادخال البيانات'!$N$3:$N$1164)=VALUE($B$10))) *
            (IF($B$11="الكل",1, INT((DAY('ادخال البيانات'!$N$3:$N$1164)-1)/7)+1 = VALUE($B$11))),
            'ادخال البيانات'!$H$3:$H$1164
         ),
         ""
      ),
      IF(_xlpm.result="", "", _xlpm.result)
   )
)</f>
        <v/>
      </c>
      <c r="I981" s="27" t="str" cm="1">
        <f t="array" ref="I981">IF(
   A981="",
   "",
   _xlfn.LET(
      _xlpm.result,
      IFERROR(
         _xlfn.XLOOKUP(
            1,
            (Table8[رقم الصنف]=A981) *
            (IF($B$9="الكل",1, YEAR('ادخال البيانات'!$N$3:$N$1164)=VALUE($B$9))) *
            (IF($B$10="الكل",1, MONTH('ادخال البيانات'!$N$3:$N$1164)=VALUE($B$10))) *
            (IF($B$11="الكل",1, INT((DAY('ادخال البيانات'!$N$3:$N$1164)-1)/7)+1 = VALUE($B$11))),
            'ادخال البيانات'!$I$3:$I$1164
         ),
         ""
      ),
      IF(_xlpm.result="", "", _xlpm.result)
   )
)</f>
        <v/>
      </c>
      <c r="J981" s="27" t="str" cm="1">
        <f t="array" ref="J981">IF(
   A981="",
   "",
   _xlfn.LET(
      _xlpm.result,
      IFERROR(
         _xlfn.XLOOKUP(
            1,
            (Table8[رقم الصنف]=A981) *
            (IF($B$9="الكل",1, YEAR('ادخال البيانات'!$N$3:$N$1164)=VALUE($B$9))) *
            (IF($B$10="الكل",1, MONTH('ادخال البيانات'!$N$3:$N$1164)=VALUE($B$10))) *
            (IF($B$11="الكل",1, INT((DAY('ادخال البيانات'!$N$3:$N$1164)-1)/7)+1 = VALUE($B$11))),
            'ادخال البيانات'!$J$3:$J$1164
         ),
         ""
      ),
      IF(_xlpm.result="", "", _xlpm.result)
   )
)</f>
        <v/>
      </c>
      <c r="K981" s="27" t="str" cm="1">
        <f t="array" ref="K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1" s="27" t="str" cm="1">
        <f t="array" ref="L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1" s="27" t="str" cm="1">
        <f t="array" ref="M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1" s="28" t="str" cm="1">
        <f t="array" ref="N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1" s="28" t="str" cm="1">
        <f t="array" ref="O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1" s="27" t="str" cm="1">
        <f t="array" ref="P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Table8[جهة العطل]
         ),
         ""
      ),
      IF(_xlpm.result="", "", _xlpm.result)
   )
)</f>
        <v/>
      </c>
      <c r="Q981" s="27" t="str" cm="1">
        <f t="array" ref="Q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Table8[المركز]
         ),
         ""
      ),
      IF(_xlpm.result="", "", _xlpm.result)
   )
)</f>
        <v/>
      </c>
      <c r="R981" s="27" t="str" cm="1">
        <f t="array" ref="R981">IF(
   A981="",
   "",
   _xlfn.LET(
      _xlpm.result,
      IFERROR(
         _xlfn.XLOOKUP(
            1,
            (Table8[رقم الصنف]=A981) *
            (IF($B$9="الكل",1, YEAR('ادخال البيانات'!$N$3:$N$1164) = VALUE($B$9))) *
            (IF($B$10="الكل",1, MONTH('ادخال البيانات'!$N$3:$N$1164) = VALUE($B$10))) *
            (IF($B$11="الكل",1, INT((DAY('ادخال البيانات'!$N$3:$N$1164) - 1) / 7) + 1 = VALUE($B$11))),
            Table8[ملاحظة]
         ),
         ""
      ),
      IF(_xlpm.result="", "", _xlpm.result)
   )
)</f>
        <v/>
      </c>
      <c r="S981" s="46" t="str">
        <f t="shared" ca="1" si="16"/>
        <v/>
      </c>
    </row>
    <row r="982" spans="1:19" ht="15.6" thickTop="1" thickBot="1" x14ac:dyDescent="0.35">
      <c r="A982" s="39"/>
      <c r="B982" s="27" t="str" cm="1">
        <f t="array" ref="B982">IF(
   OR(A982="", $B$9="", $B$10="", $B$11=""),
   "",
   _xlfn.LET(
      _xlpm.result,
      IFERROR(
         _xlfn.XLOOKUP(
            1,
            (Table8[رقم الصنف]=A982)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2" s="27" t="str" cm="1">
        <f t="array" ref="C982">IF(
   A982="",
   "",
   _xlfn.LET(
      _xlpm.result,
      IFERROR(
         _xlfn.XLOOKUP(
            1,
            (Table8[رقم الصنف]=A982) *
            (IF($B$9="الكل",1, YEAR('ادخال البيانات'!$N$3:$N$1164) = VALUE($B$9))) *
            (IF($B$10="الكل",1, MONTH('ادخال البيانات'!$N$3:$N$1164) = VALUE($B$10))) *
            (IF($B$11="الكل",1, INT((DAY('ادخال البيانات'!$N$3:$N$1164)-1)/7)+1 = VALUE($B$11))),
            'ادخال البيانات'!$C$3:$C$1164
         ),
         ""
      ),
      IF(_xlpm.result="", "", _xlpm.result)
   )
)</f>
        <v/>
      </c>
      <c r="D982" s="27" t="str" cm="1">
        <f t="array" ref="D982">IF(
   OR(A982="", $B$9="", $B$10="", $B$11=""),
   "",
   _xlfn.LET(
      _xlpm.result,
      IFERROR(
         _xlfn.XLOOKUP(
            1,
            (Table8[رقم الصنف]=A982) *
            (IF($B$9="الكل",1, YEAR('ادخال البيانات'!$N$3:$N$1164)=VALUE($B$9))) *
            (IF($B$10="الكل",1, MONTH('ادخال البيانات'!$N$3:$N$1164)=VALUE($B$10))) *
            (IF($B$11="الكل",1, INT((DAY('ادخال البيانات'!$N$3:$N$1164)-1)/7)+1 = VALUE($B$11))),
            'ادخال البيانات'!$D$3:$D$1164
         ),
         ""
      ),
      IF(_xlpm.result="", "", _xlpm.result)
   )
)</f>
        <v/>
      </c>
      <c r="E982" s="27" t="str" cm="1">
        <f t="array" ref="E982">IF(
   A982="",
   "",
   _xlfn.LET(
      _xlpm.result,
      IFERROR(
         _xlfn.XLOOKUP(
            1,
            (Table8[رقم الصنف]=A982) *
            (IF($B$9="الكل",1, YEAR('ادخال البيانات'!$N$3:$N$1164)=VALUE($B$9))) *
            (IF($B$10="الكل",1, MONTH('ادخال البيانات'!$N$3:$N$1164)=VALUE($B$10))) *
            (IF($B$11="الكل",1, INT((DAY('ادخال البيانات'!$N$3:$N$1164)-1)/7)+1 = VALUE($B$11))),
            'ادخال البيانات'!$E$3:$E$1164
         ),
         ""
      ),
      IF(_xlpm.result="", "", _xlpm.result)
   )
)</f>
        <v/>
      </c>
      <c r="F982" s="27" t="str" cm="1">
        <f t="array" ref="F982">IF(
   A982="",
   "",
   _xlfn.LET(
      _xlpm.result,
      IFERROR(
         _xlfn.XLOOKUP(
            1,
            (Table8[رقم الصنف]=A982) *
            (IF($B$9="الكل",1, YEAR('ادخال البيانات'!$N$3:$N$1164) = VALUE($B$9))) *
            (IF($B$10="الكل",1, MONTH('ادخال البيانات'!$N$3:$N$1164) = VALUE($B$10))) *
            (IF($B$11="الكل",1, INT((DAY('ادخال البيانات'!$N$3:$N$1164)-1)/7)+1 = VALUE($B$11))),
            'ادخال البيانات'!$F$3:$F$1164
         ),
         ""
      ),
      IF(_xlpm.result="", "", _xlpm.result)
   )
)</f>
        <v/>
      </c>
      <c r="G982" s="27" t="str" cm="1">
        <f t="array" ref="G982">IF(
   A982="",
   "",
   _xlfn.LET(
      _xlpm.result,
      IFERROR(
         _xlfn.XLOOKUP(
            1,
            (Table8[رقم الصنف]=A982) *
            (IF($B$9="الكل",1, YEAR('ادخال البيانات'!$N$3:$N$1164)=VALUE($B$9))) *
            (IF($B$10="الكل",1, MONTH('ادخال البيانات'!$N$3:$N$1164)=VALUE($B$10))) *
            (IF($B$11="الكل",1, INT((DAY('ادخال البيانات'!$N$3:$N$1164)-1)/7)+1 = VALUE($B$11))),
            'ادخال البيانات'!$G$3:$G$1164
         ),
         ""
      ),
      IF(_xlpm.result="", "", _xlpm.result)
   )
)</f>
        <v/>
      </c>
      <c r="H982" s="27" t="str" cm="1">
        <f t="array" ref="H982">IF(
   A982="",
   "",
   _xlfn.LET(
      _xlpm.result,
      IFERROR(
         _xlfn.XLOOKUP(
            1,
            (Table8[رقم الصنف]=A982) *
            (IF($B$9="الكل",1, YEAR('ادخال البيانات'!$N$3:$N$1164)=VALUE($B$9))) *
            (IF($B$10="الكل",1, MONTH('ادخال البيانات'!$N$3:$N$1164)=VALUE($B$10))) *
            (IF($B$11="الكل",1, INT((DAY('ادخال البيانات'!$N$3:$N$1164)-1)/7)+1 = VALUE($B$11))),
            'ادخال البيانات'!$H$3:$H$1164
         ),
         ""
      ),
      IF(_xlpm.result="", "", _xlpm.result)
   )
)</f>
        <v/>
      </c>
      <c r="I982" s="27" t="str" cm="1">
        <f t="array" ref="I982">IF(
   A982="",
   "",
   _xlfn.LET(
      _xlpm.result,
      IFERROR(
         _xlfn.XLOOKUP(
            1,
            (Table8[رقم الصنف]=A982) *
            (IF($B$9="الكل",1, YEAR('ادخال البيانات'!$N$3:$N$1164)=VALUE($B$9))) *
            (IF($B$10="الكل",1, MONTH('ادخال البيانات'!$N$3:$N$1164)=VALUE($B$10))) *
            (IF($B$11="الكل",1, INT((DAY('ادخال البيانات'!$N$3:$N$1164)-1)/7)+1 = VALUE($B$11))),
            'ادخال البيانات'!$I$3:$I$1164
         ),
         ""
      ),
      IF(_xlpm.result="", "", _xlpm.result)
   )
)</f>
        <v/>
      </c>
      <c r="J982" s="27" t="str" cm="1">
        <f t="array" ref="J982">IF(
   A982="",
   "",
   _xlfn.LET(
      _xlpm.result,
      IFERROR(
         _xlfn.XLOOKUP(
            1,
            (Table8[رقم الصنف]=A982) *
            (IF($B$9="الكل",1, YEAR('ادخال البيانات'!$N$3:$N$1164)=VALUE($B$9))) *
            (IF($B$10="الكل",1, MONTH('ادخال البيانات'!$N$3:$N$1164)=VALUE($B$10))) *
            (IF($B$11="الكل",1, INT((DAY('ادخال البيانات'!$N$3:$N$1164)-1)/7)+1 = VALUE($B$11))),
            'ادخال البيانات'!$J$3:$J$1164
         ),
         ""
      ),
      IF(_xlpm.result="", "", _xlpm.result)
   )
)</f>
        <v/>
      </c>
      <c r="K982" s="27" t="str" cm="1">
        <f t="array" ref="K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2" s="27" t="str" cm="1">
        <f t="array" ref="L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2" s="27" t="str" cm="1">
        <f t="array" ref="M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2" s="28" t="str" cm="1">
        <f t="array" ref="N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2" s="28" t="str" cm="1">
        <f t="array" ref="O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2" s="27" t="str" cm="1">
        <f t="array" ref="P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Table8[جهة العطل]
         ),
         ""
      ),
      IF(_xlpm.result="", "", _xlpm.result)
   )
)</f>
        <v/>
      </c>
      <c r="Q982" s="27" t="str" cm="1">
        <f t="array" ref="Q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Table8[المركز]
         ),
         ""
      ),
      IF(_xlpm.result="", "", _xlpm.result)
   )
)</f>
        <v/>
      </c>
      <c r="R982" s="27" t="str" cm="1">
        <f t="array" ref="R982">IF(
   A982="",
   "",
   _xlfn.LET(
      _xlpm.result,
      IFERROR(
         _xlfn.XLOOKUP(
            1,
            (Table8[رقم الصنف]=A982) *
            (IF($B$9="الكل",1, YEAR('ادخال البيانات'!$N$3:$N$1164) = VALUE($B$9))) *
            (IF($B$10="الكل",1, MONTH('ادخال البيانات'!$N$3:$N$1164) = VALUE($B$10))) *
            (IF($B$11="الكل",1, INT((DAY('ادخال البيانات'!$N$3:$N$1164) - 1) / 7) + 1 = VALUE($B$11))),
            Table8[ملاحظة]
         ),
         ""
      ),
      IF(_xlpm.result="", "", _xlpm.result)
   )
)</f>
        <v/>
      </c>
      <c r="S982" s="46" t="str">
        <f t="shared" ca="1" si="16"/>
        <v/>
      </c>
    </row>
    <row r="983" spans="1:19" ht="15.6" thickTop="1" thickBot="1" x14ac:dyDescent="0.35">
      <c r="A983" s="39"/>
      <c r="B983" s="27" t="str" cm="1">
        <f t="array" ref="B983">IF(
   OR(A983="", $B$9="", $B$10="", $B$11=""),
   "",
   _xlfn.LET(
      _xlpm.result,
      IFERROR(
         _xlfn.XLOOKUP(
            1,
            (Table8[رقم الصنف]=A983)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3" s="27" t="str" cm="1">
        <f t="array" ref="C983">IF(
   A983="",
   "",
   _xlfn.LET(
      _xlpm.result,
      IFERROR(
         _xlfn.XLOOKUP(
            1,
            (Table8[رقم الصنف]=A983) *
            (IF($B$9="الكل",1, YEAR('ادخال البيانات'!$N$3:$N$1164) = VALUE($B$9))) *
            (IF($B$10="الكل",1, MONTH('ادخال البيانات'!$N$3:$N$1164) = VALUE($B$10))) *
            (IF($B$11="الكل",1, INT((DAY('ادخال البيانات'!$N$3:$N$1164)-1)/7)+1 = VALUE($B$11))),
            'ادخال البيانات'!$C$3:$C$1164
         ),
         ""
      ),
      IF(_xlpm.result="", "", _xlpm.result)
   )
)</f>
        <v/>
      </c>
      <c r="D983" s="27" t="str" cm="1">
        <f t="array" ref="D983">IF(
   OR(A983="", $B$9="", $B$10="", $B$11=""),
   "",
   _xlfn.LET(
      _xlpm.result,
      IFERROR(
         _xlfn.XLOOKUP(
            1,
            (Table8[رقم الصنف]=A983) *
            (IF($B$9="الكل",1, YEAR('ادخال البيانات'!$N$3:$N$1164)=VALUE($B$9))) *
            (IF($B$10="الكل",1, MONTH('ادخال البيانات'!$N$3:$N$1164)=VALUE($B$10))) *
            (IF($B$11="الكل",1, INT((DAY('ادخال البيانات'!$N$3:$N$1164)-1)/7)+1 = VALUE($B$11))),
            'ادخال البيانات'!$D$3:$D$1164
         ),
         ""
      ),
      IF(_xlpm.result="", "", _xlpm.result)
   )
)</f>
        <v/>
      </c>
      <c r="E983" s="27" t="str" cm="1">
        <f t="array" ref="E983">IF(
   A983="",
   "",
   _xlfn.LET(
      _xlpm.result,
      IFERROR(
         _xlfn.XLOOKUP(
            1,
            (Table8[رقم الصنف]=A983) *
            (IF($B$9="الكل",1, YEAR('ادخال البيانات'!$N$3:$N$1164)=VALUE($B$9))) *
            (IF($B$10="الكل",1, MONTH('ادخال البيانات'!$N$3:$N$1164)=VALUE($B$10))) *
            (IF($B$11="الكل",1, INT((DAY('ادخال البيانات'!$N$3:$N$1164)-1)/7)+1 = VALUE($B$11))),
            'ادخال البيانات'!$E$3:$E$1164
         ),
         ""
      ),
      IF(_xlpm.result="", "", _xlpm.result)
   )
)</f>
        <v/>
      </c>
      <c r="F983" s="27" t="str" cm="1">
        <f t="array" ref="F983">IF(
   A983="",
   "",
   _xlfn.LET(
      _xlpm.result,
      IFERROR(
         _xlfn.XLOOKUP(
            1,
            (Table8[رقم الصنف]=A983) *
            (IF($B$9="الكل",1, YEAR('ادخال البيانات'!$N$3:$N$1164) = VALUE($B$9))) *
            (IF($B$10="الكل",1, MONTH('ادخال البيانات'!$N$3:$N$1164) = VALUE($B$10))) *
            (IF($B$11="الكل",1, INT((DAY('ادخال البيانات'!$N$3:$N$1164)-1)/7)+1 = VALUE($B$11))),
            'ادخال البيانات'!$F$3:$F$1164
         ),
         ""
      ),
      IF(_xlpm.result="", "", _xlpm.result)
   )
)</f>
        <v/>
      </c>
      <c r="G983" s="27" t="str" cm="1">
        <f t="array" ref="G983">IF(
   A983="",
   "",
   _xlfn.LET(
      _xlpm.result,
      IFERROR(
         _xlfn.XLOOKUP(
            1,
            (Table8[رقم الصنف]=A983) *
            (IF($B$9="الكل",1, YEAR('ادخال البيانات'!$N$3:$N$1164)=VALUE($B$9))) *
            (IF($B$10="الكل",1, MONTH('ادخال البيانات'!$N$3:$N$1164)=VALUE($B$10))) *
            (IF($B$11="الكل",1, INT((DAY('ادخال البيانات'!$N$3:$N$1164)-1)/7)+1 = VALUE($B$11))),
            'ادخال البيانات'!$G$3:$G$1164
         ),
         ""
      ),
      IF(_xlpm.result="", "", _xlpm.result)
   )
)</f>
        <v/>
      </c>
      <c r="H983" s="27" t="str" cm="1">
        <f t="array" ref="H983">IF(
   A983="",
   "",
   _xlfn.LET(
      _xlpm.result,
      IFERROR(
         _xlfn.XLOOKUP(
            1,
            (Table8[رقم الصنف]=A983) *
            (IF($B$9="الكل",1, YEAR('ادخال البيانات'!$N$3:$N$1164)=VALUE($B$9))) *
            (IF($B$10="الكل",1, MONTH('ادخال البيانات'!$N$3:$N$1164)=VALUE($B$10))) *
            (IF($B$11="الكل",1, INT((DAY('ادخال البيانات'!$N$3:$N$1164)-1)/7)+1 = VALUE($B$11))),
            'ادخال البيانات'!$H$3:$H$1164
         ),
         ""
      ),
      IF(_xlpm.result="", "", _xlpm.result)
   )
)</f>
        <v/>
      </c>
      <c r="I983" s="27" t="str" cm="1">
        <f t="array" ref="I983">IF(
   A983="",
   "",
   _xlfn.LET(
      _xlpm.result,
      IFERROR(
         _xlfn.XLOOKUP(
            1,
            (Table8[رقم الصنف]=A983) *
            (IF($B$9="الكل",1, YEAR('ادخال البيانات'!$N$3:$N$1164)=VALUE($B$9))) *
            (IF($B$10="الكل",1, MONTH('ادخال البيانات'!$N$3:$N$1164)=VALUE($B$10))) *
            (IF($B$11="الكل",1, INT((DAY('ادخال البيانات'!$N$3:$N$1164)-1)/7)+1 = VALUE($B$11))),
            'ادخال البيانات'!$I$3:$I$1164
         ),
         ""
      ),
      IF(_xlpm.result="", "", _xlpm.result)
   )
)</f>
        <v/>
      </c>
      <c r="J983" s="27" t="str" cm="1">
        <f t="array" ref="J983">IF(
   A983="",
   "",
   _xlfn.LET(
      _xlpm.result,
      IFERROR(
         _xlfn.XLOOKUP(
            1,
            (Table8[رقم الصنف]=A983) *
            (IF($B$9="الكل",1, YEAR('ادخال البيانات'!$N$3:$N$1164)=VALUE($B$9))) *
            (IF($B$10="الكل",1, MONTH('ادخال البيانات'!$N$3:$N$1164)=VALUE($B$10))) *
            (IF($B$11="الكل",1, INT((DAY('ادخال البيانات'!$N$3:$N$1164)-1)/7)+1 = VALUE($B$11))),
            'ادخال البيانات'!$J$3:$J$1164
         ),
         ""
      ),
      IF(_xlpm.result="", "", _xlpm.result)
   )
)</f>
        <v/>
      </c>
      <c r="K983" s="27" t="str" cm="1">
        <f t="array" ref="K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3" s="27" t="str" cm="1">
        <f t="array" ref="L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3" s="27" t="str" cm="1">
        <f t="array" ref="M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3" s="28" t="str" cm="1">
        <f t="array" ref="N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3" s="28" t="str" cm="1">
        <f t="array" ref="O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3" s="27" t="str" cm="1">
        <f t="array" ref="P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Table8[جهة العطل]
         ),
         ""
      ),
      IF(_xlpm.result="", "", _xlpm.result)
   )
)</f>
        <v/>
      </c>
      <c r="Q983" s="27" t="str" cm="1">
        <f t="array" ref="Q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Table8[المركز]
         ),
         ""
      ),
      IF(_xlpm.result="", "", _xlpm.result)
   )
)</f>
        <v/>
      </c>
      <c r="R983" s="27" t="str" cm="1">
        <f t="array" ref="R983">IF(
   A983="",
   "",
   _xlfn.LET(
      _xlpm.result,
      IFERROR(
         _xlfn.XLOOKUP(
            1,
            (Table8[رقم الصنف]=A983) *
            (IF($B$9="الكل",1, YEAR('ادخال البيانات'!$N$3:$N$1164) = VALUE($B$9))) *
            (IF($B$10="الكل",1, MONTH('ادخال البيانات'!$N$3:$N$1164) = VALUE($B$10))) *
            (IF($B$11="الكل",1, INT((DAY('ادخال البيانات'!$N$3:$N$1164) - 1) / 7) + 1 = VALUE($B$11))),
            Table8[ملاحظة]
         ),
         ""
      ),
      IF(_xlpm.result="", "", _xlpm.result)
   )
)</f>
        <v/>
      </c>
      <c r="S983" s="46" t="str">
        <f t="shared" ca="1" si="16"/>
        <v/>
      </c>
    </row>
    <row r="984" spans="1:19" ht="15.6" thickTop="1" thickBot="1" x14ac:dyDescent="0.35">
      <c r="A984" s="39"/>
      <c r="B984" s="27" t="str" cm="1">
        <f t="array" ref="B984">IF(
   OR(A984="", $B$9="", $B$10="", $B$11=""),
   "",
   _xlfn.LET(
      _xlpm.result,
      IFERROR(
         _xlfn.XLOOKUP(
            1,
            (Table8[رقم الصنف]=A984)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4" s="27" t="str" cm="1">
        <f t="array" ref="C984">IF(
   A984="",
   "",
   _xlfn.LET(
      _xlpm.result,
      IFERROR(
         _xlfn.XLOOKUP(
            1,
            (Table8[رقم الصنف]=A984) *
            (IF($B$9="الكل",1, YEAR('ادخال البيانات'!$N$3:$N$1164) = VALUE($B$9))) *
            (IF($B$10="الكل",1, MONTH('ادخال البيانات'!$N$3:$N$1164) = VALUE($B$10))) *
            (IF($B$11="الكل",1, INT((DAY('ادخال البيانات'!$N$3:$N$1164)-1)/7)+1 = VALUE($B$11))),
            'ادخال البيانات'!$C$3:$C$1164
         ),
         ""
      ),
      IF(_xlpm.result="", "", _xlpm.result)
   )
)</f>
        <v/>
      </c>
      <c r="D984" s="27" t="str" cm="1">
        <f t="array" ref="D984">IF(
   OR(A984="", $B$9="", $B$10="", $B$11=""),
   "",
   _xlfn.LET(
      _xlpm.result,
      IFERROR(
         _xlfn.XLOOKUP(
            1,
            (Table8[رقم الصنف]=A984) *
            (IF($B$9="الكل",1, YEAR('ادخال البيانات'!$N$3:$N$1164)=VALUE($B$9))) *
            (IF($B$10="الكل",1, MONTH('ادخال البيانات'!$N$3:$N$1164)=VALUE($B$10))) *
            (IF($B$11="الكل",1, INT((DAY('ادخال البيانات'!$N$3:$N$1164)-1)/7)+1 = VALUE($B$11))),
            'ادخال البيانات'!$D$3:$D$1164
         ),
         ""
      ),
      IF(_xlpm.result="", "", _xlpm.result)
   )
)</f>
        <v/>
      </c>
      <c r="E984" s="27" t="str" cm="1">
        <f t="array" ref="E984">IF(
   A984="",
   "",
   _xlfn.LET(
      _xlpm.result,
      IFERROR(
         _xlfn.XLOOKUP(
            1,
            (Table8[رقم الصنف]=A984) *
            (IF($B$9="الكل",1, YEAR('ادخال البيانات'!$N$3:$N$1164)=VALUE($B$9))) *
            (IF($B$10="الكل",1, MONTH('ادخال البيانات'!$N$3:$N$1164)=VALUE($B$10))) *
            (IF($B$11="الكل",1, INT((DAY('ادخال البيانات'!$N$3:$N$1164)-1)/7)+1 = VALUE($B$11))),
            'ادخال البيانات'!$E$3:$E$1164
         ),
         ""
      ),
      IF(_xlpm.result="", "", _xlpm.result)
   )
)</f>
        <v/>
      </c>
      <c r="F984" s="27" t="str" cm="1">
        <f t="array" ref="F984">IF(
   A984="",
   "",
   _xlfn.LET(
      _xlpm.result,
      IFERROR(
         _xlfn.XLOOKUP(
            1,
            (Table8[رقم الصنف]=A984) *
            (IF($B$9="الكل",1, YEAR('ادخال البيانات'!$N$3:$N$1164) = VALUE($B$9))) *
            (IF($B$10="الكل",1, MONTH('ادخال البيانات'!$N$3:$N$1164) = VALUE($B$10))) *
            (IF($B$11="الكل",1, INT((DAY('ادخال البيانات'!$N$3:$N$1164)-1)/7)+1 = VALUE($B$11))),
            'ادخال البيانات'!$F$3:$F$1164
         ),
         ""
      ),
      IF(_xlpm.result="", "", _xlpm.result)
   )
)</f>
        <v/>
      </c>
      <c r="G984" s="27" t="str" cm="1">
        <f t="array" ref="G984">IF(
   A984="",
   "",
   _xlfn.LET(
      _xlpm.result,
      IFERROR(
         _xlfn.XLOOKUP(
            1,
            (Table8[رقم الصنف]=A984) *
            (IF($B$9="الكل",1, YEAR('ادخال البيانات'!$N$3:$N$1164)=VALUE($B$9))) *
            (IF($B$10="الكل",1, MONTH('ادخال البيانات'!$N$3:$N$1164)=VALUE($B$10))) *
            (IF($B$11="الكل",1, INT((DAY('ادخال البيانات'!$N$3:$N$1164)-1)/7)+1 = VALUE($B$11))),
            'ادخال البيانات'!$G$3:$G$1164
         ),
         ""
      ),
      IF(_xlpm.result="", "", _xlpm.result)
   )
)</f>
        <v/>
      </c>
      <c r="H984" s="27" t="str" cm="1">
        <f t="array" ref="H984">IF(
   A984="",
   "",
   _xlfn.LET(
      _xlpm.result,
      IFERROR(
         _xlfn.XLOOKUP(
            1,
            (Table8[رقم الصنف]=A984) *
            (IF($B$9="الكل",1, YEAR('ادخال البيانات'!$N$3:$N$1164)=VALUE($B$9))) *
            (IF($B$10="الكل",1, MONTH('ادخال البيانات'!$N$3:$N$1164)=VALUE($B$10))) *
            (IF($B$11="الكل",1, INT((DAY('ادخال البيانات'!$N$3:$N$1164)-1)/7)+1 = VALUE($B$11))),
            'ادخال البيانات'!$H$3:$H$1164
         ),
         ""
      ),
      IF(_xlpm.result="", "", _xlpm.result)
   )
)</f>
        <v/>
      </c>
      <c r="I984" s="27" t="str" cm="1">
        <f t="array" ref="I984">IF(
   A984="",
   "",
   _xlfn.LET(
      _xlpm.result,
      IFERROR(
         _xlfn.XLOOKUP(
            1,
            (Table8[رقم الصنف]=A984) *
            (IF($B$9="الكل",1, YEAR('ادخال البيانات'!$N$3:$N$1164)=VALUE($B$9))) *
            (IF($B$10="الكل",1, MONTH('ادخال البيانات'!$N$3:$N$1164)=VALUE($B$10))) *
            (IF($B$11="الكل",1, INT((DAY('ادخال البيانات'!$N$3:$N$1164)-1)/7)+1 = VALUE($B$11))),
            'ادخال البيانات'!$I$3:$I$1164
         ),
         ""
      ),
      IF(_xlpm.result="", "", _xlpm.result)
   )
)</f>
        <v/>
      </c>
      <c r="J984" s="27" t="str" cm="1">
        <f t="array" ref="J984">IF(
   A984="",
   "",
   _xlfn.LET(
      _xlpm.result,
      IFERROR(
         _xlfn.XLOOKUP(
            1,
            (Table8[رقم الصنف]=A984) *
            (IF($B$9="الكل",1, YEAR('ادخال البيانات'!$N$3:$N$1164)=VALUE($B$9))) *
            (IF($B$10="الكل",1, MONTH('ادخال البيانات'!$N$3:$N$1164)=VALUE($B$10))) *
            (IF($B$11="الكل",1, INT((DAY('ادخال البيانات'!$N$3:$N$1164)-1)/7)+1 = VALUE($B$11))),
            'ادخال البيانات'!$J$3:$J$1164
         ),
         ""
      ),
      IF(_xlpm.result="", "", _xlpm.result)
   )
)</f>
        <v/>
      </c>
      <c r="K984" s="27" t="str" cm="1">
        <f t="array" ref="K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4" s="27" t="str" cm="1">
        <f t="array" ref="L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4" s="27" t="str" cm="1">
        <f t="array" ref="M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4" s="28" t="str" cm="1">
        <f t="array" ref="N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4" s="28" t="str" cm="1">
        <f t="array" ref="O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4" s="27" t="str" cm="1">
        <f t="array" ref="P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Table8[جهة العطل]
         ),
         ""
      ),
      IF(_xlpm.result="", "", _xlpm.result)
   )
)</f>
        <v/>
      </c>
      <c r="Q984" s="27" t="str" cm="1">
        <f t="array" ref="Q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Table8[المركز]
         ),
         ""
      ),
      IF(_xlpm.result="", "", _xlpm.result)
   )
)</f>
        <v/>
      </c>
      <c r="R984" s="27" t="str" cm="1">
        <f t="array" ref="R984">IF(
   A984="",
   "",
   _xlfn.LET(
      _xlpm.result,
      IFERROR(
         _xlfn.XLOOKUP(
            1,
            (Table8[رقم الصنف]=A984) *
            (IF($B$9="الكل",1, YEAR('ادخال البيانات'!$N$3:$N$1164) = VALUE($B$9))) *
            (IF($B$10="الكل",1, MONTH('ادخال البيانات'!$N$3:$N$1164) = VALUE($B$10))) *
            (IF($B$11="الكل",1, INT((DAY('ادخال البيانات'!$N$3:$N$1164) - 1) / 7) + 1 = VALUE($B$11))),
            Table8[ملاحظة]
         ),
         ""
      ),
      IF(_xlpm.result="", "", _xlpm.result)
   )
)</f>
        <v/>
      </c>
      <c r="S984" s="46" t="str">
        <f t="shared" ca="1" si="16"/>
        <v/>
      </c>
    </row>
    <row r="985" spans="1:19" ht="15.6" thickTop="1" thickBot="1" x14ac:dyDescent="0.35">
      <c r="A985" s="39"/>
      <c r="B985" s="27" t="str" cm="1">
        <f t="array" ref="B985">IF(
   OR(A985="", $B$9="", $B$10="", $B$11=""),
   "",
   _xlfn.LET(
      _xlpm.result,
      IFERROR(
         _xlfn.XLOOKUP(
            1,
            (Table8[رقم الصنف]=A985)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5" s="27" t="str" cm="1">
        <f t="array" ref="C985">IF(
   A985="",
   "",
   _xlfn.LET(
      _xlpm.result,
      IFERROR(
         _xlfn.XLOOKUP(
            1,
            (Table8[رقم الصنف]=A985) *
            (IF($B$9="الكل",1, YEAR('ادخال البيانات'!$N$3:$N$1164) = VALUE($B$9))) *
            (IF($B$10="الكل",1, MONTH('ادخال البيانات'!$N$3:$N$1164) = VALUE($B$10))) *
            (IF($B$11="الكل",1, INT((DAY('ادخال البيانات'!$N$3:$N$1164)-1)/7)+1 = VALUE($B$11))),
            'ادخال البيانات'!$C$3:$C$1164
         ),
         ""
      ),
      IF(_xlpm.result="", "", _xlpm.result)
   )
)</f>
        <v/>
      </c>
      <c r="D985" s="27" t="str" cm="1">
        <f t="array" ref="D985">IF(
   OR(A985="", $B$9="", $B$10="", $B$11=""),
   "",
   _xlfn.LET(
      _xlpm.result,
      IFERROR(
         _xlfn.XLOOKUP(
            1,
            (Table8[رقم الصنف]=A985) *
            (IF($B$9="الكل",1, YEAR('ادخال البيانات'!$N$3:$N$1164)=VALUE($B$9))) *
            (IF($B$10="الكل",1, MONTH('ادخال البيانات'!$N$3:$N$1164)=VALUE($B$10))) *
            (IF($B$11="الكل",1, INT((DAY('ادخال البيانات'!$N$3:$N$1164)-1)/7)+1 = VALUE($B$11))),
            'ادخال البيانات'!$D$3:$D$1164
         ),
         ""
      ),
      IF(_xlpm.result="", "", _xlpm.result)
   )
)</f>
        <v/>
      </c>
      <c r="E985" s="27" t="str" cm="1">
        <f t="array" ref="E985">IF(
   A985="",
   "",
   _xlfn.LET(
      _xlpm.result,
      IFERROR(
         _xlfn.XLOOKUP(
            1,
            (Table8[رقم الصنف]=A985) *
            (IF($B$9="الكل",1, YEAR('ادخال البيانات'!$N$3:$N$1164)=VALUE($B$9))) *
            (IF($B$10="الكل",1, MONTH('ادخال البيانات'!$N$3:$N$1164)=VALUE($B$10))) *
            (IF($B$11="الكل",1, INT((DAY('ادخال البيانات'!$N$3:$N$1164)-1)/7)+1 = VALUE($B$11))),
            'ادخال البيانات'!$E$3:$E$1164
         ),
         ""
      ),
      IF(_xlpm.result="", "", _xlpm.result)
   )
)</f>
        <v/>
      </c>
      <c r="F985" s="27" t="str" cm="1">
        <f t="array" ref="F985">IF(
   A985="",
   "",
   _xlfn.LET(
      _xlpm.result,
      IFERROR(
         _xlfn.XLOOKUP(
            1,
            (Table8[رقم الصنف]=A985) *
            (IF($B$9="الكل",1, YEAR('ادخال البيانات'!$N$3:$N$1164) = VALUE($B$9))) *
            (IF($B$10="الكل",1, MONTH('ادخال البيانات'!$N$3:$N$1164) = VALUE($B$10))) *
            (IF($B$11="الكل",1, INT((DAY('ادخال البيانات'!$N$3:$N$1164)-1)/7)+1 = VALUE($B$11))),
            'ادخال البيانات'!$F$3:$F$1164
         ),
         ""
      ),
      IF(_xlpm.result="", "", _xlpm.result)
   )
)</f>
        <v/>
      </c>
      <c r="G985" s="27" t="str" cm="1">
        <f t="array" ref="G985">IF(
   A985="",
   "",
   _xlfn.LET(
      _xlpm.result,
      IFERROR(
         _xlfn.XLOOKUP(
            1,
            (Table8[رقم الصنف]=A985) *
            (IF($B$9="الكل",1, YEAR('ادخال البيانات'!$N$3:$N$1164)=VALUE($B$9))) *
            (IF($B$10="الكل",1, MONTH('ادخال البيانات'!$N$3:$N$1164)=VALUE($B$10))) *
            (IF($B$11="الكل",1, INT((DAY('ادخال البيانات'!$N$3:$N$1164)-1)/7)+1 = VALUE($B$11))),
            'ادخال البيانات'!$G$3:$G$1164
         ),
         ""
      ),
      IF(_xlpm.result="", "", _xlpm.result)
   )
)</f>
        <v/>
      </c>
      <c r="H985" s="27" t="str" cm="1">
        <f t="array" ref="H985">IF(
   A985="",
   "",
   _xlfn.LET(
      _xlpm.result,
      IFERROR(
         _xlfn.XLOOKUP(
            1,
            (Table8[رقم الصنف]=A985) *
            (IF($B$9="الكل",1, YEAR('ادخال البيانات'!$N$3:$N$1164)=VALUE($B$9))) *
            (IF($B$10="الكل",1, MONTH('ادخال البيانات'!$N$3:$N$1164)=VALUE($B$10))) *
            (IF($B$11="الكل",1, INT((DAY('ادخال البيانات'!$N$3:$N$1164)-1)/7)+1 = VALUE($B$11))),
            'ادخال البيانات'!$H$3:$H$1164
         ),
         ""
      ),
      IF(_xlpm.result="", "", _xlpm.result)
   )
)</f>
        <v/>
      </c>
      <c r="I985" s="27" t="str" cm="1">
        <f t="array" ref="I985">IF(
   A985="",
   "",
   _xlfn.LET(
      _xlpm.result,
      IFERROR(
         _xlfn.XLOOKUP(
            1,
            (Table8[رقم الصنف]=A985) *
            (IF($B$9="الكل",1, YEAR('ادخال البيانات'!$N$3:$N$1164)=VALUE($B$9))) *
            (IF($B$10="الكل",1, MONTH('ادخال البيانات'!$N$3:$N$1164)=VALUE($B$10))) *
            (IF($B$11="الكل",1, INT((DAY('ادخال البيانات'!$N$3:$N$1164)-1)/7)+1 = VALUE($B$11))),
            'ادخال البيانات'!$I$3:$I$1164
         ),
         ""
      ),
      IF(_xlpm.result="", "", _xlpm.result)
   )
)</f>
        <v/>
      </c>
      <c r="J985" s="27" t="str" cm="1">
        <f t="array" ref="J985">IF(
   A985="",
   "",
   _xlfn.LET(
      _xlpm.result,
      IFERROR(
         _xlfn.XLOOKUP(
            1,
            (Table8[رقم الصنف]=A985) *
            (IF($B$9="الكل",1, YEAR('ادخال البيانات'!$N$3:$N$1164)=VALUE($B$9))) *
            (IF($B$10="الكل",1, MONTH('ادخال البيانات'!$N$3:$N$1164)=VALUE($B$10))) *
            (IF($B$11="الكل",1, INT((DAY('ادخال البيانات'!$N$3:$N$1164)-1)/7)+1 = VALUE($B$11))),
            'ادخال البيانات'!$J$3:$J$1164
         ),
         ""
      ),
      IF(_xlpm.result="", "", _xlpm.result)
   )
)</f>
        <v/>
      </c>
      <c r="K985" s="27" t="str" cm="1">
        <f t="array" ref="K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5" s="27" t="str" cm="1">
        <f t="array" ref="L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5" s="27" t="str" cm="1">
        <f t="array" ref="M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5" s="28" t="str" cm="1">
        <f t="array" ref="N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5" s="28" t="str" cm="1">
        <f t="array" ref="O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5" s="27" t="str" cm="1">
        <f t="array" ref="P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Table8[جهة العطل]
         ),
         ""
      ),
      IF(_xlpm.result="", "", _xlpm.result)
   )
)</f>
        <v/>
      </c>
      <c r="Q985" s="27" t="str" cm="1">
        <f t="array" ref="Q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Table8[المركز]
         ),
         ""
      ),
      IF(_xlpm.result="", "", _xlpm.result)
   )
)</f>
        <v/>
      </c>
      <c r="R985" s="27" t="str" cm="1">
        <f t="array" ref="R985">IF(
   A985="",
   "",
   _xlfn.LET(
      _xlpm.result,
      IFERROR(
         _xlfn.XLOOKUP(
            1,
            (Table8[رقم الصنف]=A985) *
            (IF($B$9="الكل",1, YEAR('ادخال البيانات'!$N$3:$N$1164) = VALUE($B$9))) *
            (IF($B$10="الكل",1, MONTH('ادخال البيانات'!$N$3:$N$1164) = VALUE($B$10))) *
            (IF($B$11="الكل",1, INT((DAY('ادخال البيانات'!$N$3:$N$1164) - 1) / 7) + 1 = VALUE($B$11))),
            Table8[ملاحظة]
         ),
         ""
      ),
      IF(_xlpm.result="", "", _xlpm.result)
   )
)</f>
        <v/>
      </c>
      <c r="S985" s="46" t="str">
        <f t="shared" ca="1" si="16"/>
        <v/>
      </c>
    </row>
    <row r="986" spans="1:19" ht="15.6" thickTop="1" thickBot="1" x14ac:dyDescent="0.35">
      <c r="A986" s="39"/>
      <c r="B986" s="27" t="str" cm="1">
        <f t="array" ref="B986">IF(
   OR(A986="", $B$9="", $B$10="", $B$11=""),
   "",
   _xlfn.LET(
      _xlpm.result,
      IFERROR(
         _xlfn.XLOOKUP(
            1,
            (Table8[رقم الصنف]=A986)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6" s="27" t="str" cm="1">
        <f t="array" ref="C986">IF(
   A986="",
   "",
   _xlfn.LET(
      _xlpm.result,
      IFERROR(
         _xlfn.XLOOKUP(
            1,
            (Table8[رقم الصنف]=A986) *
            (IF($B$9="الكل",1, YEAR('ادخال البيانات'!$N$3:$N$1164) = VALUE($B$9))) *
            (IF($B$10="الكل",1, MONTH('ادخال البيانات'!$N$3:$N$1164) = VALUE($B$10))) *
            (IF($B$11="الكل",1, INT((DAY('ادخال البيانات'!$N$3:$N$1164)-1)/7)+1 = VALUE($B$11))),
            'ادخال البيانات'!$C$3:$C$1164
         ),
         ""
      ),
      IF(_xlpm.result="", "", _xlpm.result)
   )
)</f>
        <v/>
      </c>
      <c r="D986" s="27" t="str" cm="1">
        <f t="array" ref="D986">IF(
   OR(A986="", $B$9="", $B$10="", $B$11=""),
   "",
   _xlfn.LET(
      _xlpm.result,
      IFERROR(
         _xlfn.XLOOKUP(
            1,
            (Table8[رقم الصنف]=A986) *
            (IF($B$9="الكل",1, YEAR('ادخال البيانات'!$N$3:$N$1164)=VALUE($B$9))) *
            (IF($B$10="الكل",1, MONTH('ادخال البيانات'!$N$3:$N$1164)=VALUE($B$10))) *
            (IF($B$11="الكل",1, INT((DAY('ادخال البيانات'!$N$3:$N$1164)-1)/7)+1 = VALUE($B$11))),
            'ادخال البيانات'!$D$3:$D$1164
         ),
         ""
      ),
      IF(_xlpm.result="", "", _xlpm.result)
   )
)</f>
        <v/>
      </c>
      <c r="E986" s="27" t="str" cm="1">
        <f t="array" ref="E986">IF(
   A986="",
   "",
   _xlfn.LET(
      _xlpm.result,
      IFERROR(
         _xlfn.XLOOKUP(
            1,
            (Table8[رقم الصنف]=A986) *
            (IF($B$9="الكل",1, YEAR('ادخال البيانات'!$N$3:$N$1164)=VALUE($B$9))) *
            (IF($B$10="الكل",1, MONTH('ادخال البيانات'!$N$3:$N$1164)=VALUE($B$10))) *
            (IF($B$11="الكل",1, INT((DAY('ادخال البيانات'!$N$3:$N$1164)-1)/7)+1 = VALUE($B$11))),
            'ادخال البيانات'!$E$3:$E$1164
         ),
         ""
      ),
      IF(_xlpm.result="", "", _xlpm.result)
   )
)</f>
        <v/>
      </c>
      <c r="F986" s="27" t="str" cm="1">
        <f t="array" ref="F986">IF(
   A986="",
   "",
   _xlfn.LET(
      _xlpm.result,
      IFERROR(
         _xlfn.XLOOKUP(
            1,
            (Table8[رقم الصنف]=A986) *
            (IF($B$9="الكل",1, YEAR('ادخال البيانات'!$N$3:$N$1164) = VALUE($B$9))) *
            (IF($B$10="الكل",1, MONTH('ادخال البيانات'!$N$3:$N$1164) = VALUE($B$10))) *
            (IF($B$11="الكل",1, INT((DAY('ادخال البيانات'!$N$3:$N$1164)-1)/7)+1 = VALUE($B$11))),
            'ادخال البيانات'!$F$3:$F$1164
         ),
         ""
      ),
      IF(_xlpm.result="", "", _xlpm.result)
   )
)</f>
        <v/>
      </c>
      <c r="G986" s="27" t="str" cm="1">
        <f t="array" ref="G986">IF(
   A986="",
   "",
   _xlfn.LET(
      _xlpm.result,
      IFERROR(
         _xlfn.XLOOKUP(
            1,
            (Table8[رقم الصنف]=A986) *
            (IF($B$9="الكل",1, YEAR('ادخال البيانات'!$N$3:$N$1164)=VALUE($B$9))) *
            (IF($B$10="الكل",1, MONTH('ادخال البيانات'!$N$3:$N$1164)=VALUE($B$10))) *
            (IF($B$11="الكل",1, INT((DAY('ادخال البيانات'!$N$3:$N$1164)-1)/7)+1 = VALUE($B$11))),
            'ادخال البيانات'!$G$3:$G$1164
         ),
         ""
      ),
      IF(_xlpm.result="", "", _xlpm.result)
   )
)</f>
        <v/>
      </c>
      <c r="H986" s="27" t="str" cm="1">
        <f t="array" ref="H986">IF(
   A986="",
   "",
   _xlfn.LET(
      _xlpm.result,
      IFERROR(
         _xlfn.XLOOKUP(
            1,
            (Table8[رقم الصنف]=A986) *
            (IF($B$9="الكل",1, YEAR('ادخال البيانات'!$N$3:$N$1164)=VALUE($B$9))) *
            (IF($B$10="الكل",1, MONTH('ادخال البيانات'!$N$3:$N$1164)=VALUE($B$10))) *
            (IF($B$11="الكل",1, INT((DAY('ادخال البيانات'!$N$3:$N$1164)-1)/7)+1 = VALUE($B$11))),
            'ادخال البيانات'!$H$3:$H$1164
         ),
         ""
      ),
      IF(_xlpm.result="", "", _xlpm.result)
   )
)</f>
        <v/>
      </c>
      <c r="I986" s="27" t="str" cm="1">
        <f t="array" ref="I986">IF(
   A986="",
   "",
   _xlfn.LET(
      _xlpm.result,
      IFERROR(
         _xlfn.XLOOKUP(
            1,
            (Table8[رقم الصنف]=A986) *
            (IF($B$9="الكل",1, YEAR('ادخال البيانات'!$N$3:$N$1164)=VALUE($B$9))) *
            (IF($B$10="الكل",1, MONTH('ادخال البيانات'!$N$3:$N$1164)=VALUE($B$10))) *
            (IF($B$11="الكل",1, INT((DAY('ادخال البيانات'!$N$3:$N$1164)-1)/7)+1 = VALUE($B$11))),
            'ادخال البيانات'!$I$3:$I$1164
         ),
         ""
      ),
      IF(_xlpm.result="", "", _xlpm.result)
   )
)</f>
        <v/>
      </c>
      <c r="J986" s="27" t="str" cm="1">
        <f t="array" ref="J986">IF(
   A986="",
   "",
   _xlfn.LET(
      _xlpm.result,
      IFERROR(
         _xlfn.XLOOKUP(
            1,
            (Table8[رقم الصنف]=A986) *
            (IF($B$9="الكل",1, YEAR('ادخال البيانات'!$N$3:$N$1164)=VALUE($B$9))) *
            (IF($B$10="الكل",1, MONTH('ادخال البيانات'!$N$3:$N$1164)=VALUE($B$10))) *
            (IF($B$11="الكل",1, INT((DAY('ادخال البيانات'!$N$3:$N$1164)-1)/7)+1 = VALUE($B$11))),
            'ادخال البيانات'!$J$3:$J$1164
         ),
         ""
      ),
      IF(_xlpm.result="", "", _xlpm.result)
   )
)</f>
        <v/>
      </c>
      <c r="K986" s="27" t="str" cm="1">
        <f t="array" ref="K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6" s="27" t="str" cm="1">
        <f t="array" ref="L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6" s="27" t="str" cm="1">
        <f t="array" ref="M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6" s="28" t="str" cm="1">
        <f t="array" ref="N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6" s="28" t="str" cm="1">
        <f t="array" ref="O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6" s="27" t="str" cm="1">
        <f t="array" ref="P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Table8[جهة العطل]
         ),
         ""
      ),
      IF(_xlpm.result="", "", _xlpm.result)
   )
)</f>
        <v/>
      </c>
      <c r="Q986" s="27" t="str" cm="1">
        <f t="array" ref="Q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Table8[المركز]
         ),
         ""
      ),
      IF(_xlpm.result="", "", _xlpm.result)
   )
)</f>
        <v/>
      </c>
      <c r="R986" s="27" t="str" cm="1">
        <f t="array" ref="R986">IF(
   A986="",
   "",
   _xlfn.LET(
      _xlpm.result,
      IFERROR(
         _xlfn.XLOOKUP(
            1,
            (Table8[رقم الصنف]=A986) *
            (IF($B$9="الكل",1, YEAR('ادخال البيانات'!$N$3:$N$1164) = VALUE($B$9))) *
            (IF($B$10="الكل",1, MONTH('ادخال البيانات'!$N$3:$N$1164) = VALUE($B$10))) *
            (IF($B$11="الكل",1, INT((DAY('ادخال البيانات'!$N$3:$N$1164) - 1) / 7) + 1 = VALUE($B$11))),
            Table8[ملاحظة]
         ),
         ""
      ),
      IF(_xlpm.result="", "", _xlpm.result)
   )
)</f>
        <v/>
      </c>
      <c r="S986" s="46" t="str">
        <f t="shared" ca="1" si="16"/>
        <v/>
      </c>
    </row>
    <row r="987" spans="1:19" ht="15.6" thickTop="1" thickBot="1" x14ac:dyDescent="0.35">
      <c r="A987" s="39"/>
      <c r="B987" s="27" t="str" cm="1">
        <f t="array" ref="B987">IF(
   OR(A987="", $B$9="", $B$10="", $B$11=""),
   "",
   _xlfn.LET(
      _xlpm.result,
      IFERROR(
         _xlfn.XLOOKUP(
            1,
            (Table8[رقم الصنف]=A987)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7" s="27" t="str" cm="1">
        <f t="array" ref="C987">IF(
   A987="",
   "",
   _xlfn.LET(
      _xlpm.result,
      IFERROR(
         _xlfn.XLOOKUP(
            1,
            (Table8[رقم الصنف]=A987) *
            (IF($B$9="الكل",1, YEAR('ادخال البيانات'!$N$3:$N$1164) = VALUE($B$9))) *
            (IF($B$10="الكل",1, MONTH('ادخال البيانات'!$N$3:$N$1164) = VALUE($B$10))) *
            (IF($B$11="الكل",1, INT((DAY('ادخال البيانات'!$N$3:$N$1164)-1)/7)+1 = VALUE($B$11))),
            'ادخال البيانات'!$C$3:$C$1164
         ),
         ""
      ),
      IF(_xlpm.result="", "", _xlpm.result)
   )
)</f>
        <v/>
      </c>
      <c r="D987" s="27" t="str" cm="1">
        <f t="array" ref="D987">IF(
   OR(A987="", $B$9="", $B$10="", $B$11=""),
   "",
   _xlfn.LET(
      _xlpm.result,
      IFERROR(
         _xlfn.XLOOKUP(
            1,
            (Table8[رقم الصنف]=A987) *
            (IF($B$9="الكل",1, YEAR('ادخال البيانات'!$N$3:$N$1164)=VALUE($B$9))) *
            (IF($B$10="الكل",1, MONTH('ادخال البيانات'!$N$3:$N$1164)=VALUE($B$10))) *
            (IF($B$11="الكل",1, INT((DAY('ادخال البيانات'!$N$3:$N$1164)-1)/7)+1 = VALUE($B$11))),
            'ادخال البيانات'!$D$3:$D$1164
         ),
         ""
      ),
      IF(_xlpm.result="", "", _xlpm.result)
   )
)</f>
        <v/>
      </c>
      <c r="E987" s="27" t="str" cm="1">
        <f t="array" ref="E987">IF(
   A987="",
   "",
   _xlfn.LET(
      _xlpm.result,
      IFERROR(
         _xlfn.XLOOKUP(
            1,
            (Table8[رقم الصنف]=A987) *
            (IF($B$9="الكل",1, YEAR('ادخال البيانات'!$N$3:$N$1164)=VALUE($B$9))) *
            (IF($B$10="الكل",1, MONTH('ادخال البيانات'!$N$3:$N$1164)=VALUE($B$10))) *
            (IF($B$11="الكل",1, INT((DAY('ادخال البيانات'!$N$3:$N$1164)-1)/7)+1 = VALUE($B$11))),
            'ادخال البيانات'!$E$3:$E$1164
         ),
         ""
      ),
      IF(_xlpm.result="", "", _xlpm.result)
   )
)</f>
        <v/>
      </c>
      <c r="F987" s="27" t="str" cm="1">
        <f t="array" ref="F987">IF(
   A987="",
   "",
   _xlfn.LET(
      _xlpm.result,
      IFERROR(
         _xlfn.XLOOKUP(
            1,
            (Table8[رقم الصنف]=A987) *
            (IF($B$9="الكل",1, YEAR('ادخال البيانات'!$N$3:$N$1164) = VALUE($B$9))) *
            (IF($B$10="الكل",1, MONTH('ادخال البيانات'!$N$3:$N$1164) = VALUE($B$10))) *
            (IF($B$11="الكل",1, INT((DAY('ادخال البيانات'!$N$3:$N$1164)-1)/7)+1 = VALUE($B$11))),
            'ادخال البيانات'!$F$3:$F$1164
         ),
         ""
      ),
      IF(_xlpm.result="", "", _xlpm.result)
   )
)</f>
        <v/>
      </c>
      <c r="G987" s="27" t="str" cm="1">
        <f t="array" ref="G987">IF(
   A987="",
   "",
   _xlfn.LET(
      _xlpm.result,
      IFERROR(
         _xlfn.XLOOKUP(
            1,
            (Table8[رقم الصنف]=A987) *
            (IF($B$9="الكل",1, YEAR('ادخال البيانات'!$N$3:$N$1164)=VALUE($B$9))) *
            (IF($B$10="الكل",1, MONTH('ادخال البيانات'!$N$3:$N$1164)=VALUE($B$10))) *
            (IF($B$11="الكل",1, INT((DAY('ادخال البيانات'!$N$3:$N$1164)-1)/7)+1 = VALUE($B$11))),
            'ادخال البيانات'!$G$3:$G$1164
         ),
         ""
      ),
      IF(_xlpm.result="", "", _xlpm.result)
   )
)</f>
        <v/>
      </c>
      <c r="H987" s="27" t="str" cm="1">
        <f t="array" ref="H987">IF(
   A987="",
   "",
   _xlfn.LET(
      _xlpm.result,
      IFERROR(
         _xlfn.XLOOKUP(
            1,
            (Table8[رقم الصنف]=A987) *
            (IF($B$9="الكل",1, YEAR('ادخال البيانات'!$N$3:$N$1164)=VALUE($B$9))) *
            (IF($B$10="الكل",1, MONTH('ادخال البيانات'!$N$3:$N$1164)=VALUE($B$10))) *
            (IF($B$11="الكل",1, INT((DAY('ادخال البيانات'!$N$3:$N$1164)-1)/7)+1 = VALUE($B$11))),
            'ادخال البيانات'!$H$3:$H$1164
         ),
         ""
      ),
      IF(_xlpm.result="", "", _xlpm.result)
   )
)</f>
        <v/>
      </c>
      <c r="I987" s="27" t="str" cm="1">
        <f t="array" ref="I987">IF(
   A987="",
   "",
   _xlfn.LET(
      _xlpm.result,
      IFERROR(
         _xlfn.XLOOKUP(
            1,
            (Table8[رقم الصنف]=A987) *
            (IF($B$9="الكل",1, YEAR('ادخال البيانات'!$N$3:$N$1164)=VALUE($B$9))) *
            (IF($B$10="الكل",1, MONTH('ادخال البيانات'!$N$3:$N$1164)=VALUE($B$10))) *
            (IF($B$11="الكل",1, INT((DAY('ادخال البيانات'!$N$3:$N$1164)-1)/7)+1 = VALUE($B$11))),
            'ادخال البيانات'!$I$3:$I$1164
         ),
         ""
      ),
      IF(_xlpm.result="", "", _xlpm.result)
   )
)</f>
        <v/>
      </c>
      <c r="J987" s="27" t="str" cm="1">
        <f t="array" ref="J987">IF(
   A987="",
   "",
   _xlfn.LET(
      _xlpm.result,
      IFERROR(
         _xlfn.XLOOKUP(
            1,
            (Table8[رقم الصنف]=A987) *
            (IF($B$9="الكل",1, YEAR('ادخال البيانات'!$N$3:$N$1164)=VALUE($B$9))) *
            (IF($B$10="الكل",1, MONTH('ادخال البيانات'!$N$3:$N$1164)=VALUE($B$10))) *
            (IF($B$11="الكل",1, INT((DAY('ادخال البيانات'!$N$3:$N$1164)-1)/7)+1 = VALUE($B$11))),
            'ادخال البيانات'!$J$3:$J$1164
         ),
         ""
      ),
      IF(_xlpm.result="", "", _xlpm.result)
   )
)</f>
        <v/>
      </c>
      <c r="K987" s="27" t="str" cm="1">
        <f t="array" ref="K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7" s="27" t="str" cm="1">
        <f t="array" ref="L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7" s="27" t="str" cm="1">
        <f t="array" ref="M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7" s="28" t="str" cm="1">
        <f t="array" ref="N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7" s="28" t="str" cm="1">
        <f t="array" ref="O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7" s="27" t="str" cm="1">
        <f t="array" ref="P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Table8[جهة العطل]
         ),
         ""
      ),
      IF(_xlpm.result="", "", _xlpm.result)
   )
)</f>
        <v/>
      </c>
      <c r="Q987" s="27" t="str" cm="1">
        <f t="array" ref="Q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Table8[المركز]
         ),
         ""
      ),
      IF(_xlpm.result="", "", _xlpm.result)
   )
)</f>
        <v/>
      </c>
      <c r="R987" s="27" t="str" cm="1">
        <f t="array" ref="R987">IF(
   A987="",
   "",
   _xlfn.LET(
      _xlpm.result,
      IFERROR(
         _xlfn.XLOOKUP(
            1,
            (Table8[رقم الصنف]=A987) *
            (IF($B$9="الكل",1, YEAR('ادخال البيانات'!$N$3:$N$1164) = VALUE($B$9))) *
            (IF($B$10="الكل",1, MONTH('ادخال البيانات'!$N$3:$N$1164) = VALUE($B$10))) *
            (IF($B$11="الكل",1, INT((DAY('ادخال البيانات'!$N$3:$N$1164) - 1) / 7) + 1 = VALUE($B$11))),
            Table8[ملاحظة]
         ),
         ""
      ),
      IF(_xlpm.result="", "", _xlpm.result)
   )
)</f>
        <v/>
      </c>
      <c r="S987" s="46" t="str">
        <f t="shared" ca="1" si="16"/>
        <v/>
      </c>
    </row>
    <row r="988" spans="1:19" ht="15.6" thickTop="1" thickBot="1" x14ac:dyDescent="0.35">
      <c r="A988" s="39"/>
      <c r="B988" s="27" t="str" cm="1">
        <f t="array" ref="B988">IF(
   OR(A988="", $B$9="", $B$10="", $B$11=""),
   "",
   _xlfn.LET(
      _xlpm.result,
      IFERROR(
         _xlfn.XLOOKUP(
            1,
            (Table8[رقم الصنف]=A988)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8" s="27" t="str" cm="1">
        <f t="array" ref="C988">IF(
   A988="",
   "",
   _xlfn.LET(
      _xlpm.result,
      IFERROR(
         _xlfn.XLOOKUP(
            1,
            (Table8[رقم الصنف]=A988) *
            (IF($B$9="الكل",1, YEAR('ادخال البيانات'!$N$3:$N$1164) = VALUE($B$9))) *
            (IF($B$10="الكل",1, MONTH('ادخال البيانات'!$N$3:$N$1164) = VALUE($B$10))) *
            (IF($B$11="الكل",1, INT((DAY('ادخال البيانات'!$N$3:$N$1164)-1)/7)+1 = VALUE($B$11))),
            'ادخال البيانات'!$C$3:$C$1164
         ),
         ""
      ),
      IF(_xlpm.result="", "", _xlpm.result)
   )
)</f>
        <v/>
      </c>
      <c r="D988" s="27" t="str" cm="1">
        <f t="array" ref="D988">IF(
   OR(A988="", $B$9="", $B$10="", $B$11=""),
   "",
   _xlfn.LET(
      _xlpm.result,
      IFERROR(
         _xlfn.XLOOKUP(
            1,
            (Table8[رقم الصنف]=A988) *
            (IF($B$9="الكل",1, YEAR('ادخال البيانات'!$N$3:$N$1164)=VALUE($B$9))) *
            (IF($B$10="الكل",1, MONTH('ادخال البيانات'!$N$3:$N$1164)=VALUE($B$10))) *
            (IF($B$11="الكل",1, INT((DAY('ادخال البيانات'!$N$3:$N$1164)-1)/7)+1 = VALUE($B$11))),
            'ادخال البيانات'!$D$3:$D$1164
         ),
         ""
      ),
      IF(_xlpm.result="", "", _xlpm.result)
   )
)</f>
        <v/>
      </c>
      <c r="E988" s="27" t="str" cm="1">
        <f t="array" ref="E988">IF(
   A988="",
   "",
   _xlfn.LET(
      _xlpm.result,
      IFERROR(
         _xlfn.XLOOKUP(
            1,
            (Table8[رقم الصنف]=A988) *
            (IF($B$9="الكل",1, YEAR('ادخال البيانات'!$N$3:$N$1164)=VALUE($B$9))) *
            (IF($B$10="الكل",1, MONTH('ادخال البيانات'!$N$3:$N$1164)=VALUE($B$10))) *
            (IF($B$11="الكل",1, INT((DAY('ادخال البيانات'!$N$3:$N$1164)-1)/7)+1 = VALUE($B$11))),
            'ادخال البيانات'!$E$3:$E$1164
         ),
         ""
      ),
      IF(_xlpm.result="", "", _xlpm.result)
   )
)</f>
        <v/>
      </c>
      <c r="F988" s="27" t="str" cm="1">
        <f t="array" ref="F988">IF(
   A988="",
   "",
   _xlfn.LET(
      _xlpm.result,
      IFERROR(
         _xlfn.XLOOKUP(
            1,
            (Table8[رقم الصنف]=A988) *
            (IF($B$9="الكل",1, YEAR('ادخال البيانات'!$N$3:$N$1164) = VALUE($B$9))) *
            (IF($B$10="الكل",1, MONTH('ادخال البيانات'!$N$3:$N$1164) = VALUE($B$10))) *
            (IF($B$11="الكل",1, INT((DAY('ادخال البيانات'!$N$3:$N$1164)-1)/7)+1 = VALUE($B$11))),
            'ادخال البيانات'!$F$3:$F$1164
         ),
         ""
      ),
      IF(_xlpm.result="", "", _xlpm.result)
   )
)</f>
        <v/>
      </c>
      <c r="G988" s="27" t="str" cm="1">
        <f t="array" ref="G988">IF(
   A988="",
   "",
   _xlfn.LET(
      _xlpm.result,
      IFERROR(
         _xlfn.XLOOKUP(
            1,
            (Table8[رقم الصنف]=A988) *
            (IF($B$9="الكل",1, YEAR('ادخال البيانات'!$N$3:$N$1164)=VALUE($B$9))) *
            (IF($B$10="الكل",1, MONTH('ادخال البيانات'!$N$3:$N$1164)=VALUE($B$10))) *
            (IF($B$11="الكل",1, INT((DAY('ادخال البيانات'!$N$3:$N$1164)-1)/7)+1 = VALUE($B$11))),
            'ادخال البيانات'!$G$3:$G$1164
         ),
         ""
      ),
      IF(_xlpm.result="", "", _xlpm.result)
   )
)</f>
        <v/>
      </c>
      <c r="H988" s="27" t="str" cm="1">
        <f t="array" ref="H988">IF(
   A988="",
   "",
   _xlfn.LET(
      _xlpm.result,
      IFERROR(
         _xlfn.XLOOKUP(
            1,
            (Table8[رقم الصنف]=A988) *
            (IF($B$9="الكل",1, YEAR('ادخال البيانات'!$N$3:$N$1164)=VALUE($B$9))) *
            (IF($B$10="الكل",1, MONTH('ادخال البيانات'!$N$3:$N$1164)=VALUE($B$10))) *
            (IF($B$11="الكل",1, INT((DAY('ادخال البيانات'!$N$3:$N$1164)-1)/7)+1 = VALUE($B$11))),
            'ادخال البيانات'!$H$3:$H$1164
         ),
         ""
      ),
      IF(_xlpm.result="", "", _xlpm.result)
   )
)</f>
        <v/>
      </c>
      <c r="I988" s="27" t="str" cm="1">
        <f t="array" ref="I988">IF(
   A988="",
   "",
   _xlfn.LET(
      _xlpm.result,
      IFERROR(
         _xlfn.XLOOKUP(
            1,
            (Table8[رقم الصنف]=A988) *
            (IF($B$9="الكل",1, YEAR('ادخال البيانات'!$N$3:$N$1164)=VALUE($B$9))) *
            (IF($B$10="الكل",1, MONTH('ادخال البيانات'!$N$3:$N$1164)=VALUE($B$10))) *
            (IF($B$11="الكل",1, INT((DAY('ادخال البيانات'!$N$3:$N$1164)-1)/7)+1 = VALUE($B$11))),
            'ادخال البيانات'!$I$3:$I$1164
         ),
         ""
      ),
      IF(_xlpm.result="", "", _xlpm.result)
   )
)</f>
        <v/>
      </c>
      <c r="J988" s="27" t="str" cm="1">
        <f t="array" ref="J988">IF(
   A988="",
   "",
   _xlfn.LET(
      _xlpm.result,
      IFERROR(
         _xlfn.XLOOKUP(
            1,
            (Table8[رقم الصنف]=A988) *
            (IF($B$9="الكل",1, YEAR('ادخال البيانات'!$N$3:$N$1164)=VALUE($B$9))) *
            (IF($B$10="الكل",1, MONTH('ادخال البيانات'!$N$3:$N$1164)=VALUE($B$10))) *
            (IF($B$11="الكل",1, INT((DAY('ادخال البيانات'!$N$3:$N$1164)-1)/7)+1 = VALUE($B$11))),
            'ادخال البيانات'!$J$3:$J$1164
         ),
         ""
      ),
      IF(_xlpm.result="", "", _xlpm.result)
   )
)</f>
        <v/>
      </c>
      <c r="K988" s="27" t="str" cm="1">
        <f t="array" ref="K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8" s="27" t="str" cm="1">
        <f t="array" ref="L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8" s="27" t="str" cm="1">
        <f t="array" ref="M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8" s="28" t="str" cm="1">
        <f t="array" ref="N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8" s="28" t="str" cm="1">
        <f t="array" ref="O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8" s="27" t="str" cm="1">
        <f t="array" ref="P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Table8[جهة العطل]
         ),
         ""
      ),
      IF(_xlpm.result="", "", _xlpm.result)
   )
)</f>
        <v/>
      </c>
      <c r="Q988" s="27" t="str" cm="1">
        <f t="array" ref="Q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Table8[المركز]
         ),
         ""
      ),
      IF(_xlpm.result="", "", _xlpm.result)
   )
)</f>
        <v/>
      </c>
      <c r="R988" s="27" t="str" cm="1">
        <f t="array" ref="R988">IF(
   A988="",
   "",
   _xlfn.LET(
      _xlpm.result,
      IFERROR(
         _xlfn.XLOOKUP(
            1,
            (Table8[رقم الصنف]=A988) *
            (IF($B$9="الكل",1, YEAR('ادخال البيانات'!$N$3:$N$1164) = VALUE($B$9))) *
            (IF($B$10="الكل",1, MONTH('ادخال البيانات'!$N$3:$N$1164) = VALUE($B$10))) *
            (IF($B$11="الكل",1, INT((DAY('ادخال البيانات'!$N$3:$N$1164) - 1) / 7) + 1 = VALUE($B$11))),
            Table8[ملاحظة]
         ),
         ""
      ),
      IF(_xlpm.result="", "", _xlpm.result)
   )
)</f>
        <v/>
      </c>
      <c r="S988" s="46" t="str">
        <f t="shared" ca="1" si="16"/>
        <v/>
      </c>
    </row>
    <row r="989" spans="1:19" ht="15.6" thickTop="1" thickBot="1" x14ac:dyDescent="0.35">
      <c r="A989" s="39"/>
      <c r="B989" s="27" t="str" cm="1">
        <f t="array" ref="B989">IF(
   OR(A989="", $B$9="", $B$10="", $B$11=""),
   "",
   _xlfn.LET(
      _xlpm.result,
      IFERROR(
         _xlfn.XLOOKUP(
            1,
            (Table8[رقم الصنف]=A989)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89" s="27" t="str" cm="1">
        <f t="array" ref="C989">IF(
   A989="",
   "",
   _xlfn.LET(
      _xlpm.result,
      IFERROR(
         _xlfn.XLOOKUP(
            1,
            (Table8[رقم الصنف]=A989) *
            (IF($B$9="الكل",1, YEAR('ادخال البيانات'!$N$3:$N$1164) = VALUE($B$9))) *
            (IF($B$10="الكل",1, MONTH('ادخال البيانات'!$N$3:$N$1164) = VALUE($B$10))) *
            (IF($B$11="الكل",1, INT((DAY('ادخال البيانات'!$N$3:$N$1164)-1)/7)+1 = VALUE($B$11))),
            'ادخال البيانات'!$C$3:$C$1164
         ),
         ""
      ),
      IF(_xlpm.result="", "", _xlpm.result)
   )
)</f>
        <v/>
      </c>
      <c r="D989" s="27" t="str" cm="1">
        <f t="array" ref="D989">IF(
   OR(A989="", $B$9="", $B$10="", $B$11=""),
   "",
   _xlfn.LET(
      _xlpm.result,
      IFERROR(
         _xlfn.XLOOKUP(
            1,
            (Table8[رقم الصنف]=A989) *
            (IF($B$9="الكل",1, YEAR('ادخال البيانات'!$N$3:$N$1164)=VALUE($B$9))) *
            (IF($B$10="الكل",1, MONTH('ادخال البيانات'!$N$3:$N$1164)=VALUE($B$10))) *
            (IF($B$11="الكل",1, INT((DAY('ادخال البيانات'!$N$3:$N$1164)-1)/7)+1 = VALUE($B$11))),
            'ادخال البيانات'!$D$3:$D$1164
         ),
         ""
      ),
      IF(_xlpm.result="", "", _xlpm.result)
   )
)</f>
        <v/>
      </c>
      <c r="E989" s="27" t="str" cm="1">
        <f t="array" ref="E989">IF(
   A989="",
   "",
   _xlfn.LET(
      _xlpm.result,
      IFERROR(
         _xlfn.XLOOKUP(
            1,
            (Table8[رقم الصنف]=A989) *
            (IF($B$9="الكل",1, YEAR('ادخال البيانات'!$N$3:$N$1164)=VALUE($B$9))) *
            (IF($B$10="الكل",1, MONTH('ادخال البيانات'!$N$3:$N$1164)=VALUE($B$10))) *
            (IF($B$11="الكل",1, INT((DAY('ادخال البيانات'!$N$3:$N$1164)-1)/7)+1 = VALUE($B$11))),
            'ادخال البيانات'!$E$3:$E$1164
         ),
         ""
      ),
      IF(_xlpm.result="", "", _xlpm.result)
   )
)</f>
        <v/>
      </c>
      <c r="F989" s="27" t="str" cm="1">
        <f t="array" ref="F989">IF(
   A989="",
   "",
   _xlfn.LET(
      _xlpm.result,
      IFERROR(
         _xlfn.XLOOKUP(
            1,
            (Table8[رقم الصنف]=A989) *
            (IF($B$9="الكل",1, YEAR('ادخال البيانات'!$N$3:$N$1164) = VALUE($B$9))) *
            (IF($B$10="الكل",1, MONTH('ادخال البيانات'!$N$3:$N$1164) = VALUE($B$10))) *
            (IF($B$11="الكل",1, INT((DAY('ادخال البيانات'!$N$3:$N$1164)-1)/7)+1 = VALUE($B$11))),
            'ادخال البيانات'!$F$3:$F$1164
         ),
         ""
      ),
      IF(_xlpm.result="", "", _xlpm.result)
   )
)</f>
        <v/>
      </c>
      <c r="G989" s="27" t="str" cm="1">
        <f t="array" ref="G989">IF(
   A989="",
   "",
   _xlfn.LET(
      _xlpm.result,
      IFERROR(
         _xlfn.XLOOKUP(
            1,
            (Table8[رقم الصنف]=A989) *
            (IF($B$9="الكل",1, YEAR('ادخال البيانات'!$N$3:$N$1164)=VALUE($B$9))) *
            (IF($B$10="الكل",1, MONTH('ادخال البيانات'!$N$3:$N$1164)=VALUE($B$10))) *
            (IF($B$11="الكل",1, INT((DAY('ادخال البيانات'!$N$3:$N$1164)-1)/7)+1 = VALUE($B$11))),
            'ادخال البيانات'!$G$3:$G$1164
         ),
         ""
      ),
      IF(_xlpm.result="", "", _xlpm.result)
   )
)</f>
        <v/>
      </c>
      <c r="H989" s="27" t="str" cm="1">
        <f t="array" ref="H989">IF(
   A989="",
   "",
   _xlfn.LET(
      _xlpm.result,
      IFERROR(
         _xlfn.XLOOKUP(
            1,
            (Table8[رقم الصنف]=A989) *
            (IF($B$9="الكل",1, YEAR('ادخال البيانات'!$N$3:$N$1164)=VALUE($B$9))) *
            (IF($B$10="الكل",1, MONTH('ادخال البيانات'!$N$3:$N$1164)=VALUE($B$10))) *
            (IF($B$11="الكل",1, INT((DAY('ادخال البيانات'!$N$3:$N$1164)-1)/7)+1 = VALUE($B$11))),
            'ادخال البيانات'!$H$3:$H$1164
         ),
         ""
      ),
      IF(_xlpm.result="", "", _xlpm.result)
   )
)</f>
        <v/>
      </c>
      <c r="I989" s="27" t="str" cm="1">
        <f t="array" ref="I989">IF(
   A989="",
   "",
   _xlfn.LET(
      _xlpm.result,
      IFERROR(
         _xlfn.XLOOKUP(
            1,
            (Table8[رقم الصنف]=A989) *
            (IF($B$9="الكل",1, YEAR('ادخال البيانات'!$N$3:$N$1164)=VALUE($B$9))) *
            (IF($B$10="الكل",1, MONTH('ادخال البيانات'!$N$3:$N$1164)=VALUE($B$10))) *
            (IF($B$11="الكل",1, INT((DAY('ادخال البيانات'!$N$3:$N$1164)-1)/7)+1 = VALUE($B$11))),
            'ادخال البيانات'!$I$3:$I$1164
         ),
         ""
      ),
      IF(_xlpm.result="", "", _xlpm.result)
   )
)</f>
        <v/>
      </c>
      <c r="J989" s="27" t="str" cm="1">
        <f t="array" ref="J989">IF(
   A989="",
   "",
   _xlfn.LET(
      _xlpm.result,
      IFERROR(
         _xlfn.XLOOKUP(
            1,
            (Table8[رقم الصنف]=A989) *
            (IF($B$9="الكل",1, YEAR('ادخال البيانات'!$N$3:$N$1164)=VALUE($B$9))) *
            (IF($B$10="الكل",1, MONTH('ادخال البيانات'!$N$3:$N$1164)=VALUE($B$10))) *
            (IF($B$11="الكل",1, INT((DAY('ادخال البيانات'!$N$3:$N$1164)-1)/7)+1 = VALUE($B$11))),
            'ادخال البيانات'!$J$3:$J$1164
         ),
         ""
      ),
      IF(_xlpm.result="", "", _xlpm.result)
   )
)</f>
        <v/>
      </c>
      <c r="K989" s="27" t="str" cm="1">
        <f t="array" ref="K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89" s="27" t="str" cm="1">
        <f t="array" ref="L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89" s="27" t="str" cm="1">
        <f t="array" ref="M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89" s="28" t="str" cm="1">
        <f t="array" ref="N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89" s="28" t="str" cm="1">
        <f t="array" ref="O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89" s="27" t="str" cm="1">
        <f t="array" ref="P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Table8[جهة العطل]
         ),
         ""
      ),
      IF(_xlpm.result="", "", _xlpm.result)
   )
)</f>
        <v/>
      </c>
      <c r="Q989" s="27" t="str" cm="1">
        <f t="array" ref="Q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Table8[المركز]
         ),
         ""
      ),
      IF(_xlpm.result="", "", _xlpm.result)
   )
)</f>
        <v/>
      </c>
      <c r="R989" s="27" t="str" cm="1">
        <f t="array" ref="R989">IF(
   A989="",
   "",
   _xlfn.LET(
      _xlpm.result,
      IFERROR(
         _xlfn.XLOOKUP(
            1,
            (Table8[رقم الصنف]=A989) *
            (IF($B$9="الكل",1, YEAR('ادخال البيانات'!$N$3:$N$1164) = VALUE($B$9))) *
            (IF($B$10="الكل",1, MONTH('ادخال البيانات'!$N$3:$N$1164) = VALUE($B$10))) *
            (IF($B$11="الكل",1, INT((DAY('ادخال البيانات'!$N$3:$N$1164) - 1) / 7) + 1 = VALUE($B$11))),
            Table8[ملاحظة]
         ),
         ""
      ),
      IF(_xlpm.result="", "", _xlpm.result)
   )
)</f>
        <v/>
      </c>
      <c r="S989" s="46" t="str">
        <f t="shared" ca="1" si="16"/>
        <v/>
      </c>
    </row>
    <row r="990" spans="1:19" ht="15.6" thickTop="1" thickBot="1" x14ac:dyDescent="0.35">
      <c r="A990" s="39"/>
      <c r="B990" s="27" t="str" cm="1">
        <f t="array" ref="B990">IF(
   OR(A990="", $B$9="", $B$10="", $B$11=""),
   "",
   _xlfn.LET(
      _xlpm.result,
      IFERROR(
         _xlfn.XLOOKUP(
            1,
            (Table8[رقم الصنف]=A990)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0" s="27" t="str" cm="1">
        <f t="array" ref="C990">IF(
   A990="",
   "",
   _xlfn.LET(
      _xlpm.result,
      IFERROR(
         _xlfn.XLOOKUP(
            1,
            (Table8[رقم الصنف]=A990) *
            (IF($B$9="الكل",1, YEAR('ادخال البيانات'!$N$3:$N$1164) = VALUE($B$9))) *
            (IF($B$10="الكل",1, MONTH('ادخال البيانات'!$N$3:$N$1164) = VALUE($B$10))) *
            (IF($B$11="الكل",1, INT((DAY('ادخال البيانات'!$N$3:$N$1164)-1)/7)+1 = VALUE($B$11))),
            'ادخال البيانات'!$C$3:$C$1164
         ),
         ""
      ),
      IF(_xlpm.result="", "", _xlpm.result)
   )
)</f>
        <v/>
      </c>
      <c r="D990" s="27" t="str" cm="1">
        <f t="array" ref="D990">IF(
   OR(A990="", $B$9="", $B$10="", $B$11=""),
   "",
   _xlfn.LET(
      _xlpm.result,
      IFERROR(
         _xlfn.XLOOKUP(
            1,
            (Table8[رقم الصنف]=A990) *
            (IF($B$9="الكل",1, YEAR('ادخال البيانات'!$N$3:$N$1164)=VALUE($B$9))) *
            (IF($B$10="الكل",1, MONTH('ادخال البيانات'!$N$3:$N$1164)=VALUE($B$10))) *
            (IF($B$11="الكل",1, INT((DAY('ادخال البيانات'!$N$3:$N$1164)-1)/7)+1 = VALUE($B$11))),
            'ادخال البيانات'!$D$3:$D$1164
         ),
         ""
      ),
      IF(_xlpm.result="", "", _xlpm.result)
   )
)</f>
        <v/>
      </c>
      <c r="E990" s="27" t="str" cm="1">
        <f t="array" ref="E990">IF(
   A990="",
   "",
   _xlfn.LET(
      _xlpm.result,
      IFERROR(
         _xlfn.XLOOKUP(
            1,
            (Table8[رقم الصنف]=A990) *
            (IF($B$9="الكل",1, YEAR('ادخال البيانات'!$N$3:$N$1164)=VALUE($B$9))) *
            (IF($B$10="الكل",1, MONTH('ادخال البيانات'!$N$3:$N$1164)=VALUE($B$10))) *
            (IF($B$11="الكل",1, INT((DAY('ادخال البيانات'!$N$3:$N$1164)-1)/7)+1 = VALUE($B$11))),
            'ادخال البيانات'!$E$3:$E$1164
         ),
         ""
      ),
      IF(_xlpm.result="", "", _xlpm.result)
   )
)</f>
        <v/>
      </c>
      <c r="F990" s="27" t="str" cm="1">
        <f t="array" ref="F990">IF(
   A990="",
   "",
   _xlfn.LET(
      _xlpm.result,
      IFERROR(
         _xlfn.XLOOKUP(
            1,
            (Table8[رقم الصنف]=A990) *
            (IF($B$9="الكل",1, YEAR('ادخال البيانات'!$N$3:$N$1164) = VALUE($B$9))) *
            (IF($B$10="الكل",1, MONTH('ادخال البيانات'!$N$3:$N$1164) = VALUE($B$10))) *
            (IF($B$11="الكل",1, INT((DAY('ادخال البيانات'!$N$3:$N$1164)-1)/7)+1 = VALUE($B$11))),
            'ادخال البيانات'!$F$3:$F$1164
         ),
         ""
      ),
      IF(_xlpm.result="", "", _xlpm.result)
   )
)</f>
        <v/>
      </c>
      <c r="G990" s="27" t="str" cm="1">
        <f t="array" ref="G990">IF(
   A990="",
   "",
   _xlfn.LET(
      _xlpm.result,
      IFERROR(
         _xlfn.XLOOKUP(
            1,
            (Table8[رقم الصنف]=A990) *
            (IF($B$9="الكل",1, YEAR('ادخال البيانات'!$N$3:$N$1164)=VALUE($B$9))) *
            (IF($B$10="الكل",1, MONTH('ادخال البيانات'!$N$3:$N$1164)=VALUE($B$10))) *
            (IF($B$11="الكل",1, INT((DAY('ادخال البيانات'!$N$3:$N$1164)-1)/7)+1 = VALUE($B$11))),
            'ادخال البيانات'!$G$3:$G$1164
         ),
         ""
      ),
      IF(_xlpm.result="", "", _xlpm.result)
   )
)</f>
        <v/>
      </c>
      <c r="H990" s="27" t="str" cm="1">
        <f t="array" ref="H990">IF(
   A990="",
   "",
   _xlfn.LET(
      _xlpm.result,
      IFERROR(
         _xlfn.XLOOKUP(
            1,
            (Table8[رقم الصنف]=A990) *
            (IF($B$9="الكل",1, YEAR('ادخال البيانات'!$N$3:$N$1164)=VALUE($B$9))) *
            (IF($B$10="الكل",1, MONTH('ادخال البيانات'!$N$3:$N$1164)=VALUE($B$10))) *
            (IF($B$11="الكل",1, INT((DAY('ادخال البيانات'!$N$3:$N$1164)-1)/7)+1 = VALUE($B$11))),
            'ادخال البيانات'!$H$3:$H$1164
         ),
         ""
      ),
      IF(_xlpm.result="", "", _xlpm.result)
   )
)</f>
        <v/>
      </c>
      <c r="I990" s="27" t="str" cm="1">
        <f t="array" ref="I990">IF(
   A990="",
   "",
   _xlfn.LET(
      _xlpm.result,
      IFERROR(
         _xlfn.XLOOKUP(
            1,
            (Table8[رقم الصنف]=A990) *
            (IF($B$9="الكل",1, YEAR('ادخال البيانات'!$N$3:$N$1164)=VALUE($B$9))) *
            (IF($B$10="الكل",1, MONTH('ادخال البيانات'!$N$3:$N$1164)=VALUE($B$10))) *
            (IF($B$11="الكل",1, INT((DAY('ادخال البيانات'!$N$3:$N$1164)-1)/7)+1 = VALUE($B$11))),
            'ادخال البيانات'!$I$3:$I$1164
         ),
         ""
      ),
      IF(_xlpm.result="", "", _xlpm.result)
   )
)</f>
        <v/>
      </c>
      <c r="J990" s="27" t="str" cm="1">
        <f t="array" ref="J990">IF(
   A990="",
   "",
   _xlfn.LET(
      _xlpm.result,
      IFERROR(
         _xlfn.XLOOKUP(
            1,
            (Table8[رقم الصنف]=A990) *
            (IF($B$9="الكل",1, YEAR('ادخال البيانات'!$N$3:$N$1164)=VALUE($B$9))) *
            (IF($B$10="الكل",1, MONTH('ادخال البيانات'!$N$3:$N$1164)=VALUE($B$10))) *
            (IF($B$11="الكل",1, INT((DAY('ادخال البيانات'!$N$3:$N$1164)-1)/7)+1 = VALUE($B$11))),
            'ادخال البيانات'!$J$3:$J$1164
         ),
         ""
      ),
      IF(_xlpm.result="", "", _xlpm.result)
   )
)</f>
        <v/>
      </c>
      <c r="K990" s="27" t="str" cm="1">
        <f t="array" ref="K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0" s="27" t="str" cm="1">
        <f t="array" ref="L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0" s="27" t="str" cm="1">
        <f t="array" ref="M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0" s="28" t="str" cm="1">
        <f t="array" ref="N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0" s="28" t="str" cm="1">
        <f t="array" ref="O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0" s="27" t="str" cm="1">
        <f t="array" ref="P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Table8[جهة العطل]
         ),
         ""
      ),
      IF(_xlpm.result="", "", _xlpm.result)
   )
)</f>
        <v/>
      </c>
      <c r="Q990" s="27" t="str" cm="1">
        <f t="array" ref="Q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Table8[المركز]
         ),
         ""
      ),
      IF(_xlpm.result="", "", _xlpm.result)
   )
)</f>
        <v/>
      </c>
      <c r="R990" s="27" t="str" cm="1">
        <f t="array" ref="R990">IF(
   A990="",
   "",
   _xlfn.LET(
      _xlpm.result,
      IFERROR(
         _xlfn.XLOOKUP(
            1,
            (Table8[رقم الصنف]=A990) *
            (IF($B$9="الكل",1, YEAR('ادخال البيانات'!$N$3:$N$1164) = VALUE($B$9))) *
            (IF($B$10="الكل",1, MONTH('ادخال البيانات'!$N$3:$N$1164) = VALUE($B$10))) *
            (IF($B$11="الكل",1, INT((DAY('ادخال البيانات'!$N$3:$N$1164) - 1) / 7) + 1 = VALUE($B$11))),
            Table8[ملاحظة]
         ),
         ""
      ),
      IF(_xlpm.result="", "", _xlpm.result)
   )
)</f>
        <v/>
      </c>
      <c r="S990" s="46" t="str">
        <f t="shared" ca="1" si="16"/>
        <v/>
      </c>
    </row>
    <row r="991" spans="1:19" ht="15.6" thickTop="1" thickBot="1" x14ac:dyDescent="0.35">
      <c r="A991" s="39"/>
      <c r="B991" s="27" t="str" cm="1">
        <f t="array" ref="B991">IF(
   OR(A991="", $B$9="", $B$10="", $B$11=""),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1" s="27" t="str" cm="1">
        <f t="array" ref="C991">IF(
   A991="",
   "",
   _xlfn.LET(
      _xlpm.result,
      IFERROR(
         _xlfn.XLOOKUP(
            1,
            (Table8[رقم الصنف]=A991) *
            (IF($B$9="الكل",1, YEAR('ادخال البيانات'!$N$3:$N$1164) = VALUE($B$9))) *
            (IF($B$10="الكل",1, MONTH('ادخال البيانات'!$N$3:$N$1164) = VALUE($B$10))) *
            (IF($B$11="الكل",1, INT((DAY('ادخال البيانات'!$N$3:$N$1164)-1)/7)+1 = VALUE($B$11))),
            'ادخال البيانات'!$C$3:$C$1164
         ),
         ""
      ),
      IF(_xlpm.result="", "", _xlpm.result)
   )
)</f>
        <v/>
      </c>
      <c r="D991" s="27" t="str" cm="1">
        <f t="array" ref="D991">IF(
   OR(A991="", $B$9="", $B$10="", $B$11=""),
   "",
   _xlfn.LET(
      _xlpm.result,
      IFERROR(
         _xlfn.XLOOKUP(
            1,
            (Table8[رقم الصنف]=A991) *
            (IF($B$9="الكل",1, YEAR('ادخال البيانات'!$N$3:$N$1164)=VALUE($B$9))) *
            (IF($B$10="الكل",1, MONTH('ادخال البيانات'!$N$3:$N$1164)=VALUE($B$10))) *
            (IF($B$11="الكل",1, INT((DAY('ادخال البيانات'!$N$3:$N$1164)-1)/7)+1 = VALUE($B$11))),
            'ادخال البيانات'!$D$3:$D$1164
         ),
         ""
      ),
      IF(_xlpm.result="", "", _xlpm.result)
   )
)</f>
        <v/>
      </c>
      <c r="E991" s="27" t="str" cm="1">
        <f t="array" ref="E991">IF(
   A991="",
   "",
   _xlfn.LET(
      _xlpm.result,
      IFERROR(
         _xlfn.XLOOKUP(
            1,
            (Table8[رقم الصنف]=A991) *
            (IF($B$9="الكل",1, YEAR('ادخال البيانات'!$N$3:$N$1164)=VALUE($B$9))) *
            (IF($B$10="الكل",1, MONTH('ادخال البيانات'!$N$3:$N$1164)=VALUE($B$10))) *
            (IF($B$11="الكل",1, INT((DAY('ادخال البيانات'!$N$3:$N$1164)-1)/7)+1 = VALUE($B$11))),
            'ادخال البيانات'!$E$3:$E$1164
         ),
         ""
      ),
      IF(_xlpm.result="", "", _xlpm.result)
   )
)</f>
        <v/>
      </c>
      <c r="F991" s="27" t="str" cm="1">
        <f t="array" ref="F991">IF(
   A991="",
   "",
   _xlfn.LET(
      _xlpm.result,
      IFERROR(
         _xlfn.XLOOKUP(
            1,
            (Table8[رقم الصنف]=A991) *
            (IF($B$9="الكل",1, YEAR('ادخال البيانات'!$N$3:$N$1164) = VALUE($B$9))) *
            (IF($B$10="الكل",1, MONTH('ادخال البيانات'!$N$3:$N$1164) = VALUE($B$10))) *
            (IF($B$11="الكل",1, INT((DAY('ادخال البيانات'!$N$3:$N$1164)-1)/7)+1 = VALUE($B$11))),
            'ادخال البيانات'!$F$3:$F$1164
         ),
         ""
      ),
      IF(_xlpm.result="", "", _xlpm.result)
   )
)</f>
        <v/>
      </c>
      <c r="G991" s="27" t="str" cm="1">
        <f t="array" ref="G991">IF(
   A991="",
   "",
   _xlfn.LET(
      _xlpm.result,
      IFERROR(
         _xlfn.XLOOKUP(
            1,
            (Table8[رقم الصنف]=A991) *
            (IF($B$9="الكل",1, YEAR('ادخال البيانات'!$N$3:$N$1164)=VALUE($B$9))) *
            (IF($B$10="الكل",1, MONTH('ادخال البيانات'!$N$3:$N$1164)=VALUE($B$10))) *
            (IF($B$11="الكل",1, INT((DAY('ادخال البيانات'!$N$3:$N$1164)-1)/7)+1 = VALUE($B$11))),
            'ادخال البيانات'!$G$3:$G$1164
         ),
         ""
      ),
      IF(_xlpm.result="", "", _xlpm.result)
   )
)</f>
        <v/>
      </c>
      <c r="H991" s="27" t="str" cm="1">
        <f t="array" ref="H991">IF(
   A991="",
   "",
   _xlfn.LET(
      _xlpm.result,
      IFERROR(
         _xlfn.XLOOKUP(
            1,
            (Table8[رقم الصنف]=A991) *
            (IF($B$9="الكل",1, YEAR('ادخال البيانات'!$N$3:$N$1164)=VALUE($B$9))) *
            (IF($B$10="الكل",1, MONTH('ادخال البيانات'!$N$3:$N$1164)=VALUE($B$10))) *
            (IF($B$11="الكل",1, INT((DAY('ادخال البيانات'!$N$3:$N$1164)-1)/7)+1 = VALUE($B$11))),
            'ادخال البيانات'!$H$3:$H$1164
         ),
         ""
      ),
      IF(_xlpm.result="", "", _xlpm.result)
   )
)</f>
        <v/>
      </c>
      <c r="I991" s="27" t="str" cm="1">
        <f t="array" ref="I991">IF(
   A991="",
   "",
   _xlfn.LET(
      _xlpm.result,
      IFERROR(
         _xlfn.XLOOKUP(
            1,
            (Table8[رقم الصنف]=A991) *
            (IF($B$9="الكل",1, YEAR('ادخال البيانات'!$N$3:$N$1164)=VALUE($B$9))) *
            (IF($B$10="الكل",1, MONTH('ادخال البيانات'!$N$3:$N$1164)=VALUE($B$10))) *
            (IF($B$11="الكل",1, INT((DAY('ادخال البيانات'!$N$3:$N$1164)-1)/7)+1 = VALUE($B$11))),
            'ادخال البيانات'!$I$3:$I$1164
         ),
         ""
      ),
      IF(_xlpm.result="", "", _xlpm.result)
   )
)</f>
        <v/>
      </c>
      <c r="J991" s="27" t="str" cm="1">
        <f t="array" ref="J991">IF(
   A991="",
   "",
   _xlfn.LET(
      _xlpm.result,
      IFERROR(
         _xlfn.XLOOKUP(
            1,
            (Table8[رقم الصنف]=A991) *
            (IF($B$9="الكل",1, YEAR('ادخال البيانات'!$N$3:$N$1164)=VALUE($B$9))) *
            (IF($B$10="الكل",1, MONTH('ادخال البيانات'!$N$3:$N$1164)=VALUE($B$10))) *
            (IF($B$11="الكل",1, INT((DAY('ادخال البيانات'!$N$3:$N$1164)-1)/7)+1 = VALUE($B$11))),
            'ادخال البيانات'!$J$3:$J$1164
         ),
         ""
      ),
      IF(_xlpm.result="", "", _xlpm.result)
   )
)</f>
        <v/>
      </c>
      <c r="K991" s="27" t="str" cm="1">
        <f t="array" ref="K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1" s="27" t="str" cm="1">
        <f t="array" ref="L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1" s="27" t="str" cm="1">
        <f t="array" ref="M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1" s="28" t="str" cm="1">
        <f t="array" ref="N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1" s="28" t="str" cm="1">
        <f t="array" ref="O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1" s="27" t="str" cm="1">
        <f t="array" ref="P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Table8[جهة العطل]
         ),
         ""
      ),
      IF(_xlpm.result="", "", _xlpm.result)
   )
)</f>
        <v/>
      </c>
      <c r="Q991" s="27" t="str" cm="1">
        <f t="array" ref="Q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Table8[المركز]
         ),
         ""
      ),
      IF(_xlpm.result="", "", _xlpm.result)
   )
)</f>
        <v/>
      </c>
      <c r="R991" s="27" t="str" cm="1">
        <f t="array" ref="R991">IF(
   A991="",
   "",
   _xlfn.LET(
      _xlpm.result,
      IFERROR(
         _xlfn.XLOOKUP(
            1,
            (Table8[رقم الصنف]=A991) *
            (IF($B$9="الكل",1, YEAR('ادخال البيانات'!$N$3:$N$1164) = VALUE($B$9))) *
            (IF($B$10="الكل",1, MONTH('ادخال البيانات'!$N$3:$N$1164) = VALUE($B$10))) *
            (IF($B$11="الكل",1, INT((DAY('ادخال البيانات'!$N$3:$N$1164) - 1) / 7) + 1 = VALUE($B$11))),
            Table8[ملاحظة]
         ),
         ""
      ),
      IF(_xlpm.result="", "", _xlpm.result)
   )
)</f>
        <v/>
      </c>
      <c r="S991" s="46" t="str">
        <f t="shared" ca="1" si="16"/>
        <v/>
      </c>
    </row>
    <row r="992" spans="1:19" ht="15.6" thickTop="1" thickBot="1" x14ac:dyDescent="0.35">
      <c r="A992" s="39"/>
      <c r="B992" s="27" t="str" cm="1">
        <f t="array" ref="B992">IF(
   OR(A992="", $B$9="", $B$10="", $B$11=""),
   "",
   _xlfn.LET(
      _xlpm.result,
      IFERROR(
         _xlfn.XLOOKUP(
            1,
            (Table8[رقم الصنف]=A992)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2" s="27" t="str" cm="1">
        <f t="array" ref="C992">IF(
   A992="",
   "",
   _xlfn.LET(
      _xlpm.result,
      IFERROR(
         _xlfn.XLOOKUP(
            1,
            (Table8[رقم الصنف]=A992) *
            (IF($B$9="الكل",1, YEAR('ادخال البيانات'!$N$3:$N$1164) = VALUE($B$9))) *
            (IF($B$10="الكل",1, MONTH('ادخال البيانات'!$N$3:$N$1164) = VALUE($B$10))) *
            (IF($B$11="الكل",1, INT((DAY('ادخال البيانات'!$N$3:$N$1164)-1)/7)+1 = VALUE($B$11))),
            'ادخال البيانات'!$C$3:$C$1164
         ),
         ""
      ),
      IF(_xlpm.result="", "", _xlpm.result)
   )
)</f>
        <v/>
      </c>
      <c r="D992" s="27" t="str" cm="1">
        <f t="array" ref="D992">IF(
   OR(A992="", $B$9="", $B$10="", $B$11=""),
   "",
   _xlfn.LET(
      _xlpm.result,
      IFERROR(
         _xlfn.XLOOKUP(
            1,
            (Table8[رقم الصنف]=A992) *
            (IF($B$9="الكل",1, YEAR('ادخال البيانات'!$N$3:$N$1164)=VALUE($B$9))) *
            (IF($B$10="الكل",1, MONTH('ادخال البيانات'!$N$3:$N$1164)=VALUE($B$10))) *
            (IF($B$11="الكل",1, INT((DAY('ادخال البيانات'!$N$3:$N$1164)-1)/7)+1 = VALUE($B$11))),
            'ادخال البيانات'!$D$3:$D$1164
         ),
         ""
      ),
      IF(_xlpm.result="", "", _xlpm.result)
   )
)</f>
        <v/>
      </c>
      <c r="E992" s="27" t="str" cm="1">
        <f t="array" ref="E992">IF(
   A992="",
   "",
   _xlfn.LET(
      _xlpm.result,
      IFERROR(
         _xlfn.XLOOKUP(
            1,
            (Table8[رقم الصنف]=A992) *
            (IF($B$9="الكل",1, YEAR('ادخال البيانات'!$N$3:$N$1164)=VALUE($B$9))) *
            (IF($B$10="الكل",1, MONTH('ادخال البيانات'!$N$3:$N$1164)=VALUE($B$10))) *
            (IF($B$11="الكل",1, INT((DAY('ادخال البيانات'!$N$3:$N$1164)-1)/7)+1 = VALUE($B$11))),
            'ادخال البيانات'!$E$3:$E$1164
         ),
         ""
      ),
      IF(_xlpm.result="", "", _xlpm.result)
   )
)</f>
        <v/>
      </c>
      <c r="F992" s="27" t="str" cm="1">
        <f t="array" ref="F992">IF(
   A992="",
   "",
   _xlfn.LET(
      _xlpm.result,
      IFERROR(
         _xlfn.XLOOKUP(
            1,
            (Table8[رقم الصنف]=A992) *
            (IF($B$9="الكل",1, YEAR('ادخال البيانات'!$N$3:$N$1164) = VALUE($B$9))) *
            (IF($B$10="الكل",1, MONTH('ادخال البيانات'!$N$3:$N$1164) = VALUE($B$10))) *
            (IF($B$11="الكل",1, INT((DAY('ادخال البيانات'!$N$3:$N$1164)-1)/7)+1 = VALUE($B$11))),
            'ادخال البيانات'!$F$3:$F$1164
         ),
         ""
      ),
      IF(_xlpm.result="", "", _xlpm.result)
   )
)</f>
        <v/>
      </c>
      <c r="G992" s="27" t="str" cm="1">
        <f t="array" ref="G992">IF(
   A992="",
   "",
   _xlfn.LET(
      _xlpm.result,
      IFERROR(
         _xlfn.XLOOKUP(
            1,
            (Table8[رقم الصنف]=A992) *
            (IF($B$9="الكل",1, YEAR('ادخال البيانات'!$N$3:$N$1164)=VALUE($B$9))) *
            (IF($B$10="الكل",1, MONTH('ادخال البيانات'!$N$3:$N$1164)=VALUE($B$10))) *
            (IF($B$11="الكل",1, INT((DAY('ادخال البيانات'!$N$3:$N$1164)-1)/7)+1 = VALUE($B$11))),
            'ادخال البيانات'!$G$3:$G$1164
         ),
         ""
      ),
      IF(_xlpm.result="", "", _xlpm.result)
   )
)</f>
        <v/>
      </c>
      <c r="H992" s="27" t="str" cm="1">
        <f t="array" ref="H992">IF(
   A992="",
   "",
   _xlfn.LET(
      _xlpm.result,
      IFERROR(
         _xlfn.XLOOKUP(
            1,
            (Table8[رقم الصنف]=A992) *
            (IF($B$9="الكل",1, YEAR('ادخال البيانات'!$N$3:$N$1164)=VALUE($B$9))) *
            (IF($B$10="الكل",1, MONTH('ادخال البيانات'!$N$3:$N$1164)=VALUE($B$10))) *
            (IF($B$11="الكل",1, INT((DAY('ادخال البيانات'!$N$3:$N$1164)-1)/7)+1 = VALUE($B$11))),
            'ادخال البيانات'!$H$3:$H$1164
         ),
         ""
      ),
      IF(_xlpm.result="", "", _xlpm.result)
   )
)</f>
        <v/>
      </c>
      <c r="I992" s="27" t="str" cm="1">
        <f t="array" ref="I992">IF(
   A992="",
   "",
   _xlfn.LET(
      _xlpm.result,
      IFERROR(
         _xlfn.XLOOKUP(
            1,
            (Table8[رقم الصنف]=A992) *
            (IF($B$9="الكل",1, YEAR('ادخال البيانات'!$N$3:$N$1164)=VALUE($B$9))) *
            (IF($B$10="الكل",1, MONTH('ادخال البيانات'!$N$3:$N$1164)=VALUE($B$10))) *
            (IF($B$11="الكل",1, INT((DAY('ادخال البيانات'!$N$3:$N$1164)-1)/7)+1 = VALUE($B$11))),
            'ادخال البيانات'!$I$3:$I$1164
         ),
         ""
      ),
      IF(_xlpm.result="", "", _xlpm.result)
   )
)</f>
        <v/>
      </c>
      <c r="J992" s="27" t="str" cm="1">
        <f t="array" ref="J992">IF(
   A992="",
   "",
   _xlfn.LET(
      _xlpm.result,
      IFERROR(
         _xlfn.XLOOKUP(
            1,
            (Table8[رقم الصنف]=A992) *
            (IF($B$9="الكل",1, YEAR('ادخال البيانات'!$N$3:$N$1164)=VALUE($B$9))) *
            (IF($B$10="الكل",1, MONTH('ادخال البيانات'!$N$3:$N$1164)=VALUE($B$10))) *
            (IF($B$11="الكل",1, INT((DAY('ادخال البيانات'!$N$3:$N$1164)-1)/7)+1 = VALUE($B$11))),
            'ادخال البيانات'!$J$3:$J$1164
         ),
         ""
      ),
      IF(_xlpm.result="", "", _xlpm.result)
   )
)</f>
        <v/>
      </c>
      <c r="K992" s="27" t="str" cm="1">
        <f t="array" ref="K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2" s="27" t="str" cm="1">
        <f t="array" ref="L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2" s="27" t="str" cm="1">
        <f t="array" ref="M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2" s="28" t="str" cm="1">
        <f t="array" ref="N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2" s="28" t="str" cm="1">
        <f t="array" ref="O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2" s="27" t="str" cm="1">
        <f t="array" ref="P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Table8[جهة العطل]
         ),
         ""
      ),
      IF(_xlpm.result="", "", _xlpm.result)
   )
)</f>
        <v/>
      </c>
      <c r="Q992" s="27" t="str" cm="1">
        <f t="array" ref="Q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Table8[المركز]
         ),
         ""
      ),
      IF(_xlpm.result="", "", _xlpm.result)
   )
)</f>
        <v/>
      </c>
      <c r="R992" s="27" t="str" cm="1">
        <f t="array" ref="R992">IF(
   A992="",
   "",
   _xlfn.LET(
      _xlpm.result,
      IFERROR(
         _xlfn.XLOOKUP(
            1,
            (Table8[رقم الصنف]=A992) *
            (IF($B$9="الكل",1, YEAR('ادخال البيانات'!$N$3:$N$1164) = VALUE($B$9))) *
            (IF($B$10="الكل",1, MONTH('ادخال البيانات'!$N$3:$N$1164) = VALUE($B$10))) *
            (IF($B$11="الكل",1, INT((DAY('ادخال البيانات'!$N$3:$N$1164) - 1) / 7) + 1 = VALUE($B$11))),
            Table8[ملاحظة]
         ),
         ""
      ),
      IF(_xlpm.result="", "", _xlpm.result)
   )
)</f>
        <v/>
      </c>
      <c r="S992" s="46" t="str">
        <f t="shared" ca="1" si="16"/>
        <v/>
      </c>
    </row>
    <row r="993" spans="1:19" ht="15.6" thickTop="1" thickBot="1" x14ac:dyDescent="0.35">
      <c r="A993" s="39"/>
      <c r="B993" s="27" t="str" cm="1">
        <f t="array" ref="B993">IF(
   OR(A993="", $B$9="", $B$10="", $B$11=""),
   "",
   _xlfn.LET(
      _xlpm.result,
      IFERROR(
         _xlfn.XLOOKUP(
            1,
            (Table8[رقم الصنف]=A993)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3" s="27" t="str" cm="1">
        <f t="array" ref="C993">IF(
   A993="",
   "",
   _xlfn.LET(
      _xlpm.result,
      IFERROR(
         _xlfn.XLOOKUP(
            1,
            (Table8[رقم الصنف]=A993) *
            (IF($B$9="الكل",1, YEAR('ادخال البيانات'!$N$3:$N$1164) = VALUE($B$9))) *
            (IF($B$10="الكل",1, MONTH('ادخال البيانات'!$N$3:$N$1164) = VALUE($B$10))) *
            (IF($B$11="الكل",1, INT((DAY('ادخال البيانات'!$N$3:$N$1164)-1)/7)+1 = VALUE($B$11))),
            'ادخال البيانات'!$C$3:$C$1164
         ),
         ""
      ),
      IF(_xlpm.result="", "", _xlpm.result)
   )
)</f>
        <v/>
      </c>
      <c r="D993" s="27" t="str" cm="1">
        <f t="array" ref="D993">IF(
   OR(A993="", $B$9="", $B$10="", $B$11=""),
   "",
   _xlfn.LET(
      _xlpm.result,
      IFERROR(
         _xlfn.XLOOKUP(
            1,
            (Table8[رقم الصنف]=A993) *
            (IF($B$9="الكل",1, YEAR('ادخال البيانات'!$N$3:$N$1164)=VALUE($B$9))) *
            (IF($B$10="الكل",1, MONTH('ادخال البيانات'!$N$3:$N$1164)=VALUE($B$10))) *
            (IF($B$11="الكل",1, INT((DAY('ادخال البيانات'!$N$3:$N$1164)-1)/7)+1 = VALUE($B$11))),
            'ادخال البيانات'!$D$3:$D$1164
         ),
         ""
      ),
      IF(_xlpm.result="", "", _xlpm.result)
   )
)</f>
        <v/>
      </c>
      <c r="E993" s="27" t="str" cm="1">
        <f t="array" ref="E993">IF(
   A993="",
   "",
   _xlfn.LET(
      _xlpm.result,
      IFERROR(
         _xlfn.XLOOKUP(
            1,
            (Table8[رقم الصنف]=A993) *
            (IF($B$9="الكل",1, YEAR('ادخال البيانات'!$N$3:$N$1164)=VALUE($B$9))) *
            (IF($B$10="الكل",1, MONTH('ادخال البيانات'!$N$3:$N$1164)=VALUE($B$10))) *
            (IF($B$11="الكل",1, INT((DAY('ادخال البيانات'!$N$3:$N$1164)-1)/7)+1 = VALUE($B$11))),
            'ادخال البيانات'!$E$3:$E$1164
         ),
         ""
      ),
      IF(_xlpm.result="", "", _xlpm.result)
   )
)</f>
        <v/>
      </c>
      <c r="F993" s="27" t="str" cm="1">
        <f t="array" ref="F993">IF(
   A993="",
   "",
   _xlfn.LET(
      _xlpm.result,
      IFERROR(
         _xlfn.XLOOKUP(
            1,
            (Table8[رقم الصنف]=A993) *
            (IF($B$9="الكل",1, YEAR('ادخال البيانات'!$N$3:$N$1164) = VALUE($B$9))) *
            (IF($B$10="الكل",1, MONTH('ادخال البيانات'!$N$3:$N$1164) = VALUE($B$10))) *
            (IF($B$11="الكل",1, INT((DAY('ادخال البيانات'!$N$3:$N$1164)-1)/7)+1 = VALUE($B$11))),
            'ادخال البيانات'!$F$3:$F$1164
         ),
         ""
      ),
      IF(_xlpm.result="", "", _xlpm.result)
   )
)</f>
        <v/>
      </c>
      <c r="G993" s="27" t="str" cm="1">
        <f t="array" ref="G993">IF(
   A993="",
   "",
   _xlfn.LET(
      _xlpm.result,
      IFERROR(
         _xlfn.XLOOKUP(
            1,
            (Table8[رقم الصنف]=A993) *
            (IF($B$9="الكل",1, YEAR('ادخال البيانات'!$N$3:$N$1164)=VALUE($B$9))) *
            (IF($B$10="الكل",1, MONTH('ادخال البيانات'!$N$3:$N$1164)=VALUE($B$10))) *
            (IF($B$11="الكل",1, INT((DAY('ادخال البيانات'!$N$3:$N$1164)-1)/7)+1 = VALUE($B$11))),
            'ادخال البيانات'!$G$3:$G$1164
         ),
         ""
      ),
      IF(_xlpm.result="", "", _xlpm.result)
   )
)</f>
        <v/>
      </c>
      <c r="H993" s="27" t="str" cm="1">
        <f t="array" ref="H993">IF(
   A993="",
   "",
   _xlfn.LET(
      _xlpm.result,
      IFERROR(
         _xlfn.XLOOKUP(
            1,
            (Table8[رقم الصنف]=A993) *
            (IF($B$9="الكل",1, YEAR('ادخال البيانات'!$N$3:$N$1164)=VALUE($B$9))) *
            (IF($B$10="الكل",1, MONTH('ادخال البيانات'!$N$3:$N$1164)=VALUE($B$10))) *
            (IF($B$11="الكل",1, INT((DAY('ادخال البيانات'!$N$3:$N$1164)-1)/7)+1 = VALUE($B$11))),
            'ادخال البيانات'!$H$3:$H$1164
         ),
         ""
      ),
      IF(_xlpm.result="", "", _xlpm.result)
   )
)</f>
        <v/>
      </c>
      <c r="I993" s="27" t="str" cm="1">
        <f t="array" ref="I993">IF(
   A993="",
   "",
   _xlfn.LET(
      _xlpm.result,
      IFERROR(
         _xlfn.XLOOKUP(
            1,
            (Table8[رقم الصنف]=A993) *
            (IF($B$9="الكل",1, YEAR('ادخال البيانات'!$N$3:$N$1164)=VALUE($B$9))) *
            (IF($B$10="الكل",1, MONTH('ادخال البيانات'!$N$3:$N$1164)=VALUE($B$10))) *
            (IF($B$11="الكل",1, INT((DAY('ادخال البيانات'!$N$3:$N$1164)-1)/7)+1 = VALUE($B$11))),
            'ادخال البيانات'!$I$3:$I$1164
         ),
         ""
      ),
      IF(_xlpm.result="", "", _xlpm.result)
   )
)</f>
        <v/>
      </c>
      <c r="J993" s="27" t="str" cm="1">
        <f t="array" ref="J993">IF(
   A993="",
   "",
   _xlfn.LET(
      _xlpm.result,
      IFERROR(
         _xlfn.XLOOKUP(
            1,
            (Table8[رقم الصنف]=A993) *
            (IF($B$9="الكل",1, YEAR('ادخال البيانات'!$N$3:$N$1164)=VALUE($B$9))) *
            (IF($B$10="الكل",1, MONTH('ادخال البيانات'!$N$3:$N$1164)=VALUE($B$10))) *
            (IF($B$11="الكل",1, INT((DAY('ادخال البيانات'!$N$3:$N$1164)-1)/7)+1 = VALUE($B$11))),
            'ادخال البيانات'!$J$3:$J$1164
         ),
         ""
      ),
      IF(_xlpm.result="", "", _xlpm.result)
   )
)</f>
        <v/>
      </c>
      <c r="K993" s="27" t="str" cm="1">
        <f t="array" ref="K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3" s="27" t="str" cm="1">
        <f t="array" ref="L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3" s="27" t="str" cm="1">
        <f t="array" ref="M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3" s="28" t="str" cm="1">
        <f t="array" ref="N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3" s="28" t="str" cm="1">
        <f t="array" ref="O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3" s="27" t="str" cm="1">
        <f t="array" ref="P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Table8[جهة العطل]
         ),
         ""
      ),
      IF(_xlpm.result="", "", _xlpm.result)
   )
)</f>
        <v/>
      </c>
      <c r="Q993" s="27" t="str" cm="1">
        <f t="array" ref="Q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Table8[المركز]
         ),
         ""
      ),
      IF(_xlpm.result="", "", _xlpm.result)
   )
)</f>
        <v/>
      </c>
      <c r="R993" s="27" t="str" cm="1">
        <f t="array" ref="R993">IF(
   A993="",
   "",
   _xlfn.LET(
      _xlpm.result,
      IFERROR(
         _xlfn.XLOOKUP(
            1,
            (Table8[رقم الصنف]=A993) *
            (IF($B$9="الكل",1, YEAR('ادخال البيانات'!$N$3:$N$1164) = VALUE($B$9))) *
            (IF($B$10="الكل",1, MONTH('ادخال البيانات'!$N$3:$N$1164) = VALUE($B$10))) *
            (IF($B$11="الكل",1, INT((DAY('ادخال البيانات'!$N$3:$N$1164) - 1) / 7) + 1 = VALUE($B$11))),
            Table8[ملاحظة]
         ),
         ""
      ),
      IF(_xlpm.result="", "", _xlpm.result)
   )
)</f>
        <v/>
      </c>
      <c r="S993" s="46" t="str">
        <f t="shared" ca="1" si="16"/>
        <v/>
      </c>
    </row>
    <row r="994" spans="1:19" ht="15.6" thickTop="1" thickBot="1" x14ac:dyDescent="0.35">
      <c r="A994" s="39"/>
      <c r="B994" s="27" t="str" cm="1">
        <f t="array" ref="B994">IF(
   OR(A994="", $B$9="", $B$10="", $B$11=""),
   "",
   _xlfn.LET(
      _xlpm.result,
      IFERROR(
         _xlfn.XLOOKUP(
            1,
            (Table8[رقم الصنف]=A994)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4" s="27" t="str" cm="1">
        <f t="array" ref="C994">IF(
   A994="",
   "",
   _xlfn.LET(
      _xlpm.result,
      IFERROR(
         _xlfn.XLOOKUP(
            1,
            (Table8[رقم الصنف]=A994) *
            (IF($B$9="الكل",1, YEAR('ادخال البيانات'!$N$3:$N$1164) = VALUE($B$9))) *
            (IF($B$10="الكل",1, MONTH('ادخال البيانات'!$N$3:$N$1164) = VALUE($B$10))) *
            (IF($B$11="الكل",1, INT((DAY('ادخال البيانات'!$N$3:$N$1164)-1)/7)+1 = VALUE($B$11))),
            'ادخال البيانات'!$C$3:$C$1164
         ),
         ""
      ),
      IF(_xlpm.result="", "", _xlpm.result)
   )
)</f>
        <v/>
      </c>
      <c r="D994" s="27" t="str" cm="1">
        <f t="array" ref="D994">IF(
   OR(A994="", $B$9="", $B$10="", $B$11=""),
   "",
   _xlfn.LET(
      _xlpm.result,
      IFERROR(
         _xlfn.XLOOKUP(
            1,
            (Table8[رقم الصنف]=A994) *
            (IF($B$9="الكل",1, YEAR('ادخال البيانات'!$N$3:$N$1164)=VALUE($B$9))) *
            (IF($B$10="الكل",1, MONTH('ادخال البيانات'!$N$3:$N$1164)=VALUE($B$10))) *
            (IF($B$11="الكل",1, INT((DAY('ادخال البيانات'!$N$3:$N$1164)-1)/7)+1 = VALUE($B$11))),
            'ادخال البيانات'!$D$3:$D$1164
         ),
         ""
      ),
      IF(_xlpm.result="", "", _xlpm.result)
   )
)</f>
        <v/>
      </c>
      <c r="E994" s="27" t="str" cm="1">
        <f t="array" ref="E994">IF(
   A994="",
   "",
   _xlfn.LET(
      _xlpm.result,
      IFERROR(
         _xlfn.XLOOKUP(
            1,
            (Table8[رقم الصنف]=A994) *
            (IF($B$9="الكل",1, YEAR('ادخال البيانات'!$N$3:$N$1164)=VALUE($B$9))) *
            (IF($B$10="الكل",1, MONTH('ادخال البيانات'!$N$3:$N$1164)=VALUE($B$10))) *
            (IF($B$11="الكل",1, INT((DAY('ادخال البيانات'!$N$3:$N$1164)-1)/7)+1 = VALUE($B$11))),
            'ادخال البيانات'!$E$3:$E$1164
         ),
         ""
      ),
      IF(_xlpm.result="", "", _xlpm.result)
   )
)</f>
        <v/>
      </c>
      <c r="F994" s="27" t="str" cm="1">
        <f t="array" ref="F994">IF(
   A994="",
   "",
   _xlfn.LET(
      _xlpm.result,
      IFERROR(
         _xlfn.XLOOKUP(
            1,
            (Table8[رقم الصنف]=A994) *
            (IF($B$9="الكل",1, YEAR('ادخال البيانات'!$N$3:$N$1164) = VALUE($B$9))) *
            (IF($B$10="الكل",1, MONTH('ادخال البيانات'!$N$3:$N$1164) = VALUE($B$10))) *
            (IF($B$11="الكل",1, INT((DAY('ادخال البيانات'!$N$3:$N$1164)-1)/7)+1 = VALUE($B$11))),
            'ادخال البيانات'!$F$3:$F$1164
         ),
         ""
      ),
      IF(_xlpm.result="", "", _xlpm.result)
   )
)</f>
        <v/>
      </c>
      <c r="G994" s="27" t="str" cm="1">
        <f t="array" ref="G994">IF(
   A994="",
   "",
   _xlfn.LET(
      _xlpm.result,
      IFERROR(
         _xlfn.XLOOKUP(
            1,
            (Table8[رقم الصنف]=A994) *
            (IF($B$9="الكل",1, YEAR('ادخال البيانات'!$N$3:$N$1164)=VALUE($B$9))) *
            (IF($B$10="الكل",1, MONTH('ادخال البيانات'!$N$3:$N$1164)=VALUE($B$10))) *
            (IF($B$11="الكل",1, INT((DAY('ادخال البيانات'!$N$3:$N$1164)-1)/7)+1 = VALUE($B$11))),
            'ادخال البيانات'!$G$3:$G$1164
         ),
         ""
      ),
      IF(_xlpm.result="", "", _xlpm.result)
   )
)</f>
        <v/>
      </c>
      <c r="H994" s="27" t="str" cm="1">
        <f t="array" ref="H994">IF(
   A994="",
   "",
   _xlfn.LET(
      _xlpm.result,
      IFERROR(
         _xlfn.XLOOKUP(
            1,
            (Table8[رقم الصنف]=A994) *
            (IF($B$9="الكل",1, YEAR('ادخال البيانات'!$N$3:$N$1164)=VALUE($B$9))) *
            (IF($B$10="الكل",1, MONTH('ادخال البيانات'!$N$3:$N$1164)=VALUE($B$10))) *
            (IF($B$11="الكل",1, INT((DAY('ادخال البيانات'!$N$3:$N$1164)-1)/7)+1 = VALUE($B$11))),
            'ادخال البيانات'!$H$3:$H$1164
         ),
         ""
      ),
      IF(_xlpm.result="", "", _xlpm.result)
   )
)</f>
        <v/>
      </c>
      <c r="I994" s="27" t="str" cm="1">
        <f t="array" ref="I994">IF(
   A994="",
   "",
   _xlfn.LET(
      _xlpm.result,
      IFERROR(
         _xlfn.XLOOKUP(
            1,
            (Table8[رقم الصنف]=A994) *
            (IF($B$9="الكل",1, YEAR('ادخال البيانات'!$N$3:$N$1164)=VALUE($B$9))) *
            (IF($B$10="الكل",1, MONTH('ادخال البيانات'!$N$3:$N$1164)=VALUE($B$10))) *
            (IF($B$11="الكل",1, INT((DAY('ادخال البيانات'!$N$3:$N$1164)-1)/7)+1 = VALUE($B$11))),
            'ادخال البيانات'!$I$3:$I$1164
         ),
         ""
      ),
      IF(_xlpm.result="", "", _xlpm.result)
   )
)</f>
        <v/>
      </c>
      <c r="J994" s="27" t="str" cm="1">
        <f t="array" ref="J994">IF(
   A994="",
   "",
   _xlfn.LET(
      _xlpm.result,
      IFERROR(
         _xlfn.XLOOKUP(
            1,
            (Table8[رقم الصنف]=A994) *
            (IF($B$9="الكل",1, YEAR('ادخال البيانات'!$N$3:$N$1164)=VALUE($B$9))) *
            (IF($B$10="الكل",1, MONTH('ادخال البيانات'!$N$3:$N$1164)=VALUE($B$10))) *
            (IF($B$11="الكل",1, INT((DAY('ادخال البيانات'!$N$3:$N$1164)-1)/7)+1 = VALUE($B$11))),
            'ادخال البيانات'!$J$3:$J$1164
         ),
         ""
      ),
      IF(_xlpm.result="", "", _xlpm.result)
   )
)</f>
        <v/>
      </c>
      <c r="K994" s="27" t="str" cm="1">
        <f t="array" ref="K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4" s="27" t="str" cm="1">
        <f t="array" ref="L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4" s="27" t="str" cm="1">
        <f t="array" ref="M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4" s="28" t="str" cm="1">
        <f t="array" ref="N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4" s="28" t="str" cm="1">
        <f t="array" ref="O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4" s="27" t="str" cm="1">
        <f t="array" ref="P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Table8[جهة العطل]
         ),
         ""
      ),
      IF(_xlpm.result="", "", _xlpm.result)
   )
)</f>
        <v/>
      </c>
      <c r="Q994" s="27" t="str" cm="1">
        <f t="array" ref="Q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Table8[المركز]
         ),
         ""
      ),
      IF(_xlpm.result="", "", _xlpm.result)
   )
)</f>
        <v/>
      </c>
      <c r="R994" s="27" t="str" cm="1">
        <f t="array" ref="R994">IF(
   A994="",
   "",
   _xlfn.LET(
      _xlpm.result,
      IFERROR(
         _xlfn.XLOOKUP(
            1,
            (Table8[رقم الصنف]=A994) *
            (IF($B$9="الكل",1, YEAR('ادخال البيانات'!$N$3:$N$1164) = VALUE($B$9))) *
            (IF($B$10="الكل",1, MONTH('ادخال البيانات'!$N$3:$N$1164) = VALUE($B$10))) *
            (IF($B$11="الكل",1, INT((DAY('ادخال البيانات'!$N$3:$N$1164) - 1) / 7) + 1 = VALUE($B$11))),
            Table8[ملاحظة]
         ),
         ""
      ),
      IF(_xlpm.result="", "", _xlpm.result)
   )
)</f>
        <v/>
      </c>
      <c r="S994" s="46" t="str">
        <f t="shared" ca="1" si="16"/>
        <v/>
      </c>
    </row>
    <row r="995" spans="1:19" ht="15.6" thickTop="1" thickBot="1" x14ac:dyDescent="0.35">
      <c r="A995" s="39"/>
      <c r="B995" s="27" t="str" cm="1">
        <f t="array" ref="B995">IF(
   OR(A995="", $B$9="", $B$10="", $B$11=""),
   "",
   _xlfn.LET(
      _xlpm.result,
      IFERROR(
         _xlfn.XLOOKUP(
            1,
            (Table8[رقم الصنف]=A995)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5" s="27" t="str" cm="1">
        <f t="array" ref="C995">IF(
   A995="",
   "",
   _xlfn.LET(
      _xlpm.result,
      IFERROR(
         _xlfn.XLOOKUP(
            1,
            (Table8[رقم الصنف]=A995) *
            (IF($B$9="الكل",1, YEAR('ادخال البيانات'!$N$3:$N$1164) = VALUE($B$9))) *
            (IF($B$10="الكل",1, MONTH('ادخال البيانات'!$N$3:$N$1164) = VALUE($B$10))) *
            (IF($B$11="الكل",1, INT((DAY('ادخال البيانات'!$N$3:$N$1164)-1)/7)+1 = VALUE($B$11))),
            'ادخال البيانات'!$C$3:$C$1164
         ),
         ""
      ),
      IF(_xlpm.result="", "", _xlpm.result)
   )
)</f>
        <v/>
      </c>
      <c r="D995" s="27" t="str" cm="1">
        <f t="array" ref="D995">IF(
   OR(A995="", $B$9="", $B$10="", $B$11=""),
   "",
   _xlfn.LET(
      _xlpm.result,
      IFERROR(
         _xlfn.XLOOKUP(
            1,
            (Table8[رقم الصنف]=A995) *
            (IF($B$9="الكل",1, YEAR('ادخال البيانات'!$N$3:$N$1164)=VALUE($B$9))) *
            (IF($B$10="الكل",1, MONTH('ادخال البيانات'!$N$3:$N$1164)=VALUE($B$10))) *
            (IF($B$11="الكل",1, INT((DAY('ادخال البيانات'!$N$3:$N$1164)-1)/7)+1 = VALUE($B$11))),
            'ادخال البيانات'!$D$3:$D$1164
         ),
         ""
      ),
      IF(_xlpm.result="", "", _xlpm.result)
   )
)</f>
        <v/>
      </c>
      <c r="E995" s="27" t="str" cm="1">
        <f t="array" ref="E995">IF(
   A995="",
   "",
   _xlfn.LET(
      _xlpm.result,
      IFERROR(
         _xlfn.XLOOKUP(
            1,
            (Table8[رقم الصنف]=A995) *
            (IF($B$9="الكل",1, YEAR('ادخال البيانات'!$N$3:$N$1164)=VALUE($B$9))) *
            (IF($B$10="الكل",1, MONTH('ادخال البيانات'!$N$3:$N$1164)=VALUE($B$10))) *
            (IF($B$11="الكل",1, INT((DAY('ادخال البيانات'!$N$3:$N$1164)-1)/7)+1 = VALUE($B$11))),
            'ادخال البيانات'!$E$3:$E$1164
         ),
         ""
      ),
      IF(_xlpm.result="", "", _xlpm.result)
   )
)</f>
        <v/>
      </c>
      <c r="F995" s="27" t="str" cm="1">
        <f t="array" ref="F995">IF(
   A995="",
   "",
   _xlfn.LET(
      _xlpm.result,
      IFERROR(
         _xlfn.XLOOKUP(
            1,
            (Table8[رقم الصنف]=A995) *
            (IF($B$9="الكل",1, YEAR('ادخال البيانات'!$N$3:$N$1164) = VALUE($B$9))) *
            (IF($B$10="الكل",1, MONTH('ادخال البيانات'!$N$3:$N$1164) = VALUE($B$10))) *
            (IF($B$11="الكل",1, INT((DAY('ادخال البيانات'!$N$3:$N$1164)-1)/7)+1 = VALUE($B$11))),
            'ادخال البيانات'!$F$3:$F$1164
         ),
         ""
      ),
      IF(_xlpm.result="", "", _xlpm.result)
   )
)</f>
        <v/>
      </c>
      <c r="G995" s="27" t="str" cm="1">
        <f t="array" ref="G995">IF(
   A995="",
   "",
   _xlfn.LET(
      _xlpm.result,
      IFERROR(
         _xlfn.XLOOKUP(
            1,
            (Table8[رقم الصنف]=A995) *
            (IF($B$9="الكل",1, YEAR('ادخال البيانات'!$N$3:$N$1164)=VALUE($B$9))) *
            (IF($B$10="الكل",1, MONTH('ادخال البيانات'!$N$3:$N$1164)=VALUE($B$10))) *
            (IF($B$11="الكل",1, INT((DAY('ادخال البيانات'!$N$3:$N$1164)-1)/7)+1 = VALUE($B$11))),
            'ادخال البيانات'!$G$3:$G$1164
         ),
         ""
      ),
      IF(_xlpm.result="", "", _xlpm.result)
   )
)</f>
        <v/>
      </c>
      <c r="H995" s="27" t="str" cm="1">
        <f t="array" ref="H995">IF(
   A995="",
   "",
   _xlfn.LET(
      _xlpm.result,
      IFERROR(
         _xlfn.XLOOKUP(
            1,
            (Table8[رقم الصنف]=A995) *
            (IF($B$9="الكل",1, YEAR('ادخال البيانات'!$N$3:$N$1164)=VALUE($B$9))) *
            (IF($B$10="الكل",1, MONTH('ادخال البيانات'!$N$3:$N$1164)=VALUE($B$10))) *
            (IF($B$11="الكل",1, INT((DAY('ادخال البيانات'!$N$3:$N$1164)-1)/7)+1 = VALUE($B$11))),
            'ادخال البيانات'!$H$3:$H$1164
         ),
         ""
      ),
      IF(_xlpm.result="", "", _xlpm.result)
   )
)</f>
        <v/>
      </c>
      <c r="I995" s="27" t="str" cm="1">
        <f t="array" ref="I995">IF(
   A995="",
   "",
   _xlfn.LET(
      _xlpm.result,
      IFERROR(
         _xlfn.XLOOKUP(
            1,
            (Table8[رقم الصنف]=A995) *
            (IF($B$9="الكل",1, YEAR('ادخال البيانات'!$N$3:$N$1164)=VALUE($B$9))) *
            (IF($B$10="الكل",1, MONTH('ادخال البيانات'!$N$3:$N$1164)=VALUE($B$10))) *
            (IF($B$11="الكل",1, INT((DAY('ادخال البيانات'!$N$3:$N$1164)-1)/7)+1 = VALUE($B$11))),
            'ادخال البيانات'!$I$3:$I$1164
         ),
         ""
      ),
      IF(_xlpm.result="", "", _xlpm.result)
   )
)</f>
        <v/>
      </c>
      <c r="J995" s="27" t="str" cm="1">
        <f t="array" ref="J995">IF(
   A995="",
   "",
   _xlfn.LET(
      _xlpm.result,
      IFERROR(
         _xlfn.XLOOKUP(
            1,
            (Table8[رقم الصنف]=A995) *
            (IF($B$9="الكل",1, YEAR('ادخال البيانات'!$N$3:$N$1164)=VALUE($B$9))) *
            (IF($B$10="الكل",1, MONTH('ادخال البيانات'!$N$3:$N$1164)=VALUE($B$10))) *
            (IF($B$11="الكل",1, INT((DAY('ادخال البيانات'!$N$3:$N$1164)-1)/7)+1 = VALUE($B$11))),
            'ادخال البيانات'!$J$3:$J$1164
         ),
         ""
      ),
      IF(_xlpm.result="", "", _xlpm.result)
   )
)</f>
        <v/>
      </c>
      <c r="K995" s="27" t="str" cm="1">
        <f t="array" ref="K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5" s="27" t="str" cm="1">
        <f t="array" ref="L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5" s="27" t="str" cm="1">
        <f t="array" ref="M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5" s="28" t="str" cm="1">
        <f t="array" ref="N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5" s="28" t="str" cm="1">
        <f t="array" ref="O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5" s="27" t="str" cm="1">
        <f t="array" ref="P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Table8[جهة العطل]
         ),
         ""
      ),
      IF(_xlpm.result="", "", _xlpm.result)
   )
)</f>
        <v/>
      </c>
      <c r="Q995" s="27" t="str" cm="1">
        <f t="array" ref="Q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Table8[المركز]
         ),
         ""
      ),
      IF(_xlpm.result="", "", _xlpm.result)
   )
)</f>
        <v/>
      </c>
      <c r="R995" s="27" t="str" cm="1">
        <f t="array" ref="R995">IF(
   A995="",
   "",
   _xlfn.LET(
      _xlpm.result,
      IFERROR(
         _xlfn.XLOOKUP(
            1,
            (Table8[رقم الصنف]=A995) *
            (IF($B$9="الكل",1, YEAR('ادخال البيانات'!$N$3:$N$1164) = VALUE($B$9))) *
            (IF($B$10="الكل",1, MONTH('ادخال البيانات'!$N$3:$N$1164) = VALUE($B$10))) *
            (IF($B$11="الكل",1, INT((DAY('ادخال البيانات'!$N$3:$N$1164) - 1) / 7) + 1 = VALUE($B$11))),
            Table8[ملاحظة]
         ),
         ""
      ),
      IF(_xlpm.result="", "", _xlpm.result)
   )
)</f>
        <v/>
      </c>
      <c r="S995" s="46" t="str">
        <f t="shared" ca="1" si="16"/>
        <v/>
      </c>
    </row>
    <row r="996" spans="1:19" ht="15.6" thickTop="1" thickBot="1" x14ac:dyDescent="0.35">
      <c r="A996" s="39"/>
      <c r="B996" s="27" t="str" cm="1">
        <f t="array" ref="B996">IF(
   OR(A996="", $B$9="", $B$10="", $B$11=""),
   "",
   _xlfn.LET(
      _xlpm.result,
      IFERROR(
         _xlfn.XLOOKUP(
            1,
            (Table8[رقم الصنف]=A996)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6" s="27" t="str" cm="1">
        <f t="array" ref="C996">IF(
   A996="",
   "",
   _xlfn.LET(
      _xlpm.result,
      IFERROR(
         _xlfn.XLOOKUP(
            1,
            (Table8[رقم الصنف]=A996) *
            (IF($B$9="الكل",1, YEAR('ادخال البيانات'!$N$3:$N$1164) = VALUE($B$9))) *
            (IF($B$10="الكل",1, MONTH('ادخال البيانات'!$N$3:$N$1164) = VALUE($B$10))) *
            (IF($B$11="الكل",1, INT((DAY('ادخال البيانات'!$N$3:$N$1164)-1)/7)+1 = VALUE($B$11))),
            'ادخال البيانات'!$C$3:$C$1164
         ),
         ""
      ),
      IF(_xlpm.result="", "", _xlpm.result)
   )
)</f>
        <v/>
      </c>
      <c r="D996" s="27" t="str" cm="1">
        <f t="array" ref="D996">IF(
   OR(A996="", $B$9="", $B$10="", $B$11=""),
   "",
   _xlfn.LET(
      _xlpm.result,
      IFERROR(
         _xlfn.XLOOKUP(
            1,
            (Table8[رقم الصنف]=A996) *
            (IF($B$9="الكل",1, YEAR('ادخال البيانات'!$N$3:$N$1164)=VALUE($B$9))) *
            (IF($B$10="الكل",1, MONTH('ادخال البيانات'!$N$3:$N$1164)=VALUE($B$10))) *
            (IF($B$11="الكل",1, INT((DAY('ادخال البيانات'!$N$3:$N$1164)-1)/7)+1 = VALUE($B$11))),
            'ادخال البيانات'!$D$3:$D$1164
         ),
         ""
      ),
      IF(_xlpm.result="", "", _xlpm.result)
   )
)</f>
        <v/>
      </c>
      <c r="E996" s="27" t="str" cm="1">
        <f t="array" ref="E996">IF(
   A996="",
   "",
   _xlfn.LET(
      _xlpm.result,
      IFERROR(
         _xlfn.XLOOKUP(
            1,
            (Table8[رقم الصنف]=A996) *
            (IF($B$9="الكل",1, YEAR('ادخال البيانات'!$N$3:$N$1164)=VALUE($B$9))) *
            (IF($B$10="الكل",1, MONTH('ادخال البيانات'!$N$3:$N$1164)=VALUE($B$10))) *
            (IF($B$11="الكل",1, INT((DAY('ادخال البيانات'!$N$3:$N$1164)-1)/7)+1 = VALUE($B$11))),
            'ادخال البيانات'!$E$3:$E$1164
         ),
         ""
      ),
      IF(_xlpm.result="", "", _xlpm.result)
   )
)</f>
        <v/>
      </c>
      <c r="F996" s="27" t="str" cm="1">
        <f t="array" ref="F996">IF(
   A996="",
   "",
   _xlfn.LET(
      _xlpm.result,
      IFERROR(
         _xlfn.XLOOKUP(
            1,
            (Table8[رقم الصنف]=A996) *
            (IF($B$9="الكل",1, YEAR('ادخال البيانات'!$N$3:$N$1164) = VALUE($B$9))) *
            (IF($B$10="الكل",1, MONTH('ادخال البيانات'!$N$3:$N$1164) = VALUE($B$10))) *
            (IF($B$11="الكل",1, INT((DAY('ادخال البيانات'!$N$3:$N$1164)-1)/7)+1 = VALUE($B$11))),
            'ادخال البيانات'!$F$3:$F$1164
         ),
         ""
      ),
      IF(_xlpm.result="", "", _xlpm.result)
   )
)</f>
        <v/>
      </c>
      <c r="G996" s="27" t="str" cm="1">
        <f t="array" ref="G996">IF(
   A996="",
   "",
   _xlfn.LET(
      _xlpm.result,
      IFERROR(
         _xlfn.XLOOKUP(
            1,
            (Table8[رقم الصنف]=A996) *
            (IF($B$9="الكل",1, YEAR('ادخال البيانات'!$N$3:$N$1164)=VALUE($B$9))) *
            (IF($B$10="الكل",1, MONTH('ادخال البيانات'!$N$3:$N$1164)=VALUE($B$10))) *
            (IF($B$11="الكل",1, INT((DAY('ادخال البيانات'!$N$3:$N$1164)-1)/7)+1 = VALUE($B$11))),
            'ادخال البيانات'!$G$3:$G$1164
         ),
         ""
      ),
      IF(_xlpm.result="", "", _xlpm.result)
   )
)</f>
        <v/>
      </c>
      <c r="H996" s="27" t="str" cm="1">
        <f t="array" ref="H996">IF(
   A996="",
   "",
   _xlfn.LET(
      _xlpm.result,
      IFERROR(
         _xlfn.XLOOKUP(
            1,
            (Table8[رقم الصنف]=A996) *
            (IF($B$9="الكل",1, YEAR('ادخال البيانات'!$N$3:$N$1164)=VALUE($B$9))) *
            (IF($B$10="الكل",1, MONTH('ادخال البيانات'!$N$3:$N$1164)=VALUE($B$10))) *
            (IF($B$11="الكل",1, INT((DAY('ادخال البيانات'!$N$3:$N$1164)-1)/7)+1 = VALUE($B$11))),
            'ادخال البيانات'!$H$3:$H$1164
         ),
         ""
      ),
      IF(_xlpm.result="", "", _xlpm.result)
   )
)</f>
        <v/>
      </c>
      <c r="I996" s="27" t="str" cm="1">
        <f t="array" ref="I996">IF(
   A996="",
   "",
   _xlfn.LET(
      _xlpm.result,
      IFERROR(
         _xlfn.XLOOKUP(
            1,
            (Table8[رقم الصنف]=A996) *
            (IF($B$9="الكل",1, YEAR('ادخال البيانات'!$N$3:$N$1164)=VALUE($B$9))) *
            (IF($B$10="الكل",1, MONTH('ادخال البيانات'!$N$3:$N$1164)=VALUE($B$10))) *
            (IF($B$11="الكل",1, INT((DAY('ادخال البيانات'!$N$3:$N$1164)-1)/7)+1 = VALUE($B$11))),
            'ادخال البيانات'!$I$3:$I$1164
         ),
         ""
      ),
      IF(_xlpm.result="", "", _xlpm.result)
   )
)</f>
        <v/>
      </c>
      <c r="J996" s="27" t="str" cm="1">
        <f t="array" ref="J996">IF(
   A996="",
   "",
   _xlfn.LET(
      _xlpm.result,
      IFERROR(
         _xlfn.XLOOKUP(
            1,
            (Table8[رقم الصنف]=A996) *
            (IF($B$9="الكل",1, YEAR('ادخال البيانات'!$N$3:$N$1164)=VALUE($B$9))) *
            (IF($B$10="الكل",1, MONTH('ادخال البيانات'!$N$3:$N$1164)=VALUE($B$10))) *
            (IF($B$11="الكل",1, INT((DAY('ادخال البيانات'!$N$3:$N$1164)-1)/7)+1 = VALUE($B$11))),
            'ادخال البيانات'!$J$3:$J$1164
         ),
         ""
      ),
      IF(_xlpm.result="", "", _xlpm.result)
   )
)</f>
        <v/>
      </c>
      <c r="K996" s="27" t="str" cm="1">
        <f t="array" ref="K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6" s="27" t="str" cm="1">
        <f t="array" ref="L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6" s="27" t="str" cm="1">
        <f t="array" ref="M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6" s="28" t="str" cm="1">
        <f t="array" ref="N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6" s="28" t="str" cm="1">
        <f t="array" ref="O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6" s="27" t="str" cm="1">
        <f t="array" ref="P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Table8[جهة العطل]
         ),
         ""
      ),
      IF(_xlpm.result="", "", _xlpm.result)
   )
)</f>
        <v/>
      </c>
      <c r="Q996" s="27" t="str" cm="1">
        <f t="array" ref="Q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Table8[المركز]
         ),
         ""
      ),
      IF(_xlpm.result="", "", _xlpm.result)
   )
)</f>
        <v/>
      </c>
      <c r="R996" s="27" t="str" cm="1">
        <f t="array" ref="R996">IF(
   A996="",
   "",
   _xlfn.LET(
      _xlpm.result,
      IFERROR(
         _xlfn.XLOOKUP(
            1,
            (Table8[رقم الصنف]=A996) *
            (IF($B$9="الكل",1, YEAR('ادخال البيانات'!$N$3:$N$1164) = VALUE($B$9))) *
            (IF($B$10="الكل",1, MONTH('ادخال البيانات'!$N$3:$N$1164) = VALUE($B$10))) *
            (IF($B$11="الكل",1, INT((DAY('ادخال البيانات'!$N$3:$N$1164) - 1) / 7) + 1 = VALUE($B$11))),
            Table8[ملاحظة]
         ),
         ""
      ),
      IF(_xlpm.result="", "", _xlpm.result)
   )
)</f>
        <v/>
      </c>
      <c r="S996" s="46" t="str">
        <f t="shared" ca="1" si="16"/>
        <v/>
      </c>
    </row>
    <row r="997" spans="1:19" ht="15.6" thickTop="1" thickBot="1" x14ac:dyDescent="0.35">
      <c r="A997" s="39"/>
      <c r="B997" s="27" t="str" cm="1">
        <f t="array" ref="B997">IF(
   OR(A997="", $B$9="", $B$10="", $B$11=""),
   "",
   _xlfn.LET(
      _xlpm.result,
      IFERROR(
         _xlfn.XLOOKUP(
            1,
            (Table8[رقم الصنف]=A997)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7" s="27" t="str" cm="1">
        <f t="array" ref="C997">IF(
   A997="",
   "",
   _xlfn.LET(
      _xlpm.result,
      IFERROR(
         _xlfn.XLOOKUP(
            1,
            (Table8[رقم الصنف]=A997) *
            (IF($B$9="الكل",1, YEAR('ادخال البيانات'!$N$3:$N$1164) = VALUE($B$9))) *
            (IF($B$10="الكل",1, MONTH('ادخال البيانات'!$N$3:$N$1164) = VALUE($B$10))) *
            (IF($B$11="الكل",1, INT((DAY('ادخال البيانات'!$N$3:$N$1164)-1)/7)+1 = VALUE($B$11))),
            'ادخال البيانات'!$C$3:$C$1164
         ),
         ""
      ),
      IF(_xlpm.result="", "", _xlpm.result)
   )
)</f>
        <v/>
      </c>
      <c r="D997" s="27" t="str" cm="1">
        <f t="array" ref="D997">IF(
   OR(A997="", $B$9="", $B$10="", $B$11=""),
   "",
   _xlfn.LET(
      _xlpm.result,
      IFERROR(
         _xlfn.XLOOKUP(
            1,
            (Table8[رقم الصنف]=A997) *
            (IF($B$9="الكل",1, YEAR('ادخال البيانات'!$N$3:$N$1164)=VALUE($B$9))) *
            (IF($B$10="الكل",1, MONTH('ادخال البيانات'!$N$3:$N$1164)=VALUE($B$10))) *
            (IF($B$11="الكل",1, INT((DAY('ادخال البيانات'!$N$3:$N$1164)-1)/7)+1 = VALUE($B$11))),
            'ادخال البيانات'!$D$3:$D$1164
         ),
         ""
      ),
      IF(_xlpm.result="", "", _xlpm.result)
   )
)</f>
        <v/>
      </c>
      <c r="E997" s="27" t="str" cm="1">
        <f t="array" ref="E997">IF(
   A997="",
   "",
   _xlfn.LET(
      _xlpm.result,
      IFERROR(
         _xlfn.XLOOKUP(
            1,
            (Table8[رقم الصنف]=A997) *
            (IF($B$9="الكل",1, YEAR('ادخال البيانات'!$N$3:$N$1164)=VALUE($B$9))) *
            (IF($B$10="الكل",1, MONTH('ادخال البيانات'!$N$3:$N$1164)=VALUE($B$10))) *
            (IF($B$11="الكل",1, INT((DAY('ادخال البيانات'!$N$3:$N$1164)-1)/7)+1 = VALUE($B$11))),
            'ادخال البيانات'!$E$3:$E$1164
         ),
         ""
      ),
      IF(_xlpm.result="", "", _xlpm.result)
   )
)</f>
        <v/>
      </c>
      <c r="F997" s="27" t="str" cm="1">
        <f t="array" ref="F997">IF(
   A997="",
   "",
   _xlfn.LET(
      _xlpm.result,
      IFERROR(
         _xlfn.XLOOKUP(
            1,
            (Table8[رقم الصنف]=A997) *
            (IF($B$9="الكل",1, YEAR('ادخال البيانات'!$N$3:$N$1164) = VALUE($B$9))) *
            (IF($B$10="الكل",1, MONTH('ادخال البيانات'!$N$3:$N$1164) = VALUE($B$10))) *
            (IF($B$11="الكل",1, INT((DAY('ادخال البيانات'!$N$3:$N$1164)-1)/7)+1 = VALUE($B$11))),
            'ادخال البيانات'!$F$3:$F$1164
         ),
         ""
      ),
      IF(_xlpm.result="", "", _xlpm.result)
   )
)</f>
        <v/>
      </c>
      <c r="G997" s="27" t="str" cm="1">
        <f t="array" ref="G997">IF(
   A997="",
   "",
   _xlfn.LET(
      _xlpm.result,
      IFERROR(
         _xlfn.XLOOKUP(
            1,
            (Table8[رقم الصنف]=A997) *
            (IF($B$9="الكل",1, YEAR('ادخال البيانات'!$N$3:$N$1164)=VALUE($B$9))) *
            (IF($B$10="الكل",1, MONTH('ادخال البيانات'!$N$3:$N$1164)=VALUE($B$10))) *
            (IF($B$11="الكل",1, INT((DAY('ادخال البيانات'!$N$3:$N$1164)-1)/7)+1 = VALUE($B$11))),
            'ادخال البيانات'!$G$3:$G$1164
         ),
         ""
      ),
      IF(_xlpm.result="", "", _xlpm.result)
   )
)</f>
        <v/>
      </c>
      <c r="H997" s="27" t="str" cm="1">
        <f t="array" ref="H997">IF(
   A997="",
   "",
   _xlfn.LET(
      _xlpm.result,
      IFERROR(
         _xlfn.XLOOKUP(
            1,
            (Table8[رقم الصنف]=A997) *
            (IF($B$9="الكل",1, YEAR('ادخال البيانات'!$N$3:$N$1164)=VALUE($B$9))) *
            (IF($B$10="الكل",1, MONTH('ادخال البيانات'!$N$3:$N$1164)=VALUE($B$10))) *
            (IF($B$11="الكل",1, INT((DAY('ادخال البيانات'!$N$3:$N$1164)-1)/7)+1 = VALUE($B$11))),
            'ادخال البيانات'!$H$3:$H$1164
         ),
         ""
      ),
      IF(_xlpm.result="", "", _xlpm.result)
   )
)</f>
        <v/>
      </c>
      <c r="I997" s="27" t="str" cm="1">
        <f t="array" ref="I997">IF(
   A997="",
   "",
   _xlfn.LET(
      _xlpm.result,
      IFERROR(
         _xlfn.XLOOKUP(
            1,
            (Table8[رقم الصنف]=A997) *
            (IF($B$9="الكل",1, YEAR('ادخال البيانات'!$N$3:$N$1164)=VALUE($B$9))) *
            (IF($B$10="الكل",1, MONTH('ادخال البيانات'!$N$3:$N$1164)=VALUE($B$10))) *
            (IF($B$11="الكل",1, INT((DAY('ادخال البيانات'!$N$3:$N$1164)-1)/7)+1 = VALUE($B$11))),
            'ادخال البيانات'!$I$3:$I$1164
         ),
         ""
      ),
      IF(_xlpm.result="", "", _xlpm.result)
   )
)</f>
        <v/>
      </c>
      <c r="J997" s="27" t="str" cm="1">
        <f t="array" ref="J997">IF(
   A997="",
   "",
   _xlfn.LET(
      _xlpm.result,
      IFERROR(
         _xlfn.XLOOKUP(
            1,
            (Table8[رقم الصنف]=A997) *
            (IF($B$9="الكل",1, YEAR('ادخال البيانات'!$N$3:$N$1164)=VALUE($B$9))) *
            (IF($B$10="الكل",1, MONTH('ادخال البيانات'!$N$3:$N$1164)=VALUE($B$10))) *
            (IF($B$11="الكل",1, INT((DAY('ادخال البيانات'!$N$3:$N$1164)-1)/7)+1 = VALUE($B$11))),
            'ادخال البيانات'!$J$3:$J$1164
         ),
         ""
      ),
      IF(_xlpm.result="", "", _xlpm.result)
   )
)</f>
        <v/>
      </c>
      <c r="K997" s="27" t="str" cm="1">
        <f t="array" ref="K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7" s="27" t="str" cm="1">
        <f t="array" ref="L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7" s="27" t="str" cm="1">
        <f t="array" ref="M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7" s="28" t="str" cm="1">
        <f t="array" ref="N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7" s="28" t="str" cm="1">
        <f t="array" ref="O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7" s="27" t="str" cm="1">
        <f t="array" ref="P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Table8[جهة العطل]
         ),
         ""
      ),
      IF(_xlpm.result="", "", _xlpm.result)
   )
)</f>
        <v/>
      </c>
      <c r="Q997" s="27" t="str" cm="1">
        <f t="array" ref="Q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Table8[المركز]
         ),
         ""
      ),
      IF(_xlpm.result="", "", _xlpm.result)
   )
)</f>
        <v/>
      </c>
      <c r="R997" s="27" t="str" cm="1">
        <f t="array" ref="R997">IF(
   A997="",
   "",
   _xlfn.LET(
      _xlpm.result,
      IFERROR(
         _xlfn.XLOOKUP(
            1,
            (Table8[رقم الصنف]=A997) *
            (IF($B$9="الكل",1, YEAR('ادخال البيانات'!$N$3:$N$1164) = VALUE($B$9))) *
            (IF($B$10="الكل",1, MONTH('ادخال البيانات'!$N$3:$N$1164) = VALUE($B$10))) *
            (IF($B$11="الكل",1, INT((DAY('ادخال البيانات'!$N$3:$N$1164) - 1) / 7) + 1 = VALUE($B$11))),
            Table8[ملاحظة]
         ),
         ""
      ),
      IF(_xlpm.result="", "", _xlpm.result)
   )
)</f>
        <v/>
      </c>
      <c r="S997" s="46" t="str">
        <f t="shared" ca="1" si="16"/>
        <v/>
      </c>
    </row>
    <row r="998" spans="1:19" ht="15.6" thickTop="1" thickBot="1" x14ac:dyDescent="0.35">
      <c r="A998" s="39"/>
      <c r="B998" s="27" t="str" cm="1">
        <f t="array" ref="B998">IF(
   OR(A998="", $B$9="", $B$10="", $B$11=""),
   "",
   _xlfn.LET(
      _xlpm.result,
      IFERROR(
         _xlfn.XLOOKUP(
            1,
            (Table8[رقم الصنف]=A998)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8" s="27" t="str" cm="1">
        <f t="array" ref="C998">IF(
   A998="",
   "",
   _xlfn.LET(
      _xlpm.result,
      IFERROR(
         _xlfn.XLOOKUP(
            1,
            (Table8[رقم الصنف]=A998) *
            (IF($B$9="الكل",1, YEAR('ادخال البيانات'!$N$3:$N$1164) = VALUE($B$9))) *
            (IF($B$10="الكل",1, MONTH('ادخال البيانات'!$N$3:$N$1164) = VALUE($B$10))) *
            (IF($B$11="الكل",1, INT((DAY('ادخال البيانات'!$N$3:$N$1164)-1)/7)+1 = VALUE($B$11))),
            'ادخال البيانات'!$C$3:$C$1164
         ),
         ""
      ),
      IF(_xlpm.result="", "", _xlpm.result)
   )
)</f>
        <v/>
      </c>
      <c r="D998" s="27" t="str" cm="1">
        <f t="array" ref="D998">IF(
   OR(A998="", $B$9="", $B$10="", $B$11=""),
   "",
   _xlfn.LET(
      _xlpm.result,
      IFERROR(
         _xlfn.XLOOKUP(
            1,
            (Table8[رقم الصنف]=A998) *
            (IF($B$9="الكل",1, YEAR('ادخال البيانات'!$N$3:$N$1164)=VALUE($B$9))) *
            (IF($B$10="الكل",1, MONTH('ادخال البيانات'!$N$3:$N$1164)=VALUE($B$10))) *
            (IF($B$11="الكل",1, INT((DAY('ادخال البيانات'!$N$3:$N$1164)-1)/7)+1 = VALUE($B$11))),
            'ادخال البيانات'!$D$3:$D$1164
         ),
         ""
      ),
      IF(_xlpm.result="", "", _xlpm.result)
   )
)</f>
        <v/>
      </c>
      <c r="E998" s="27" t="str" cm="1">
        <f t="array" ref="E998">IF(
   A998="",
   "",
   _xlfn.LET(
      _xlpm.result,
      IFERROR(
         _xlfn.XLOOKUP(
            1,
            (Table8[رقم الصنف]=A998) *
            (IF($B$9="الكل",1, YEAR('ادخال البيانات'!$N$3:$N$1164)=VALUE($B$9))) *
            (IF($B$10="الكل",1, MONTH('ادخال البيانات'!$N$3:$N$1164)=VALUE($B$10))) *
            (IF($B$11="الكل",1, INT((DAY('ادخال البيانات'!$N$3:$N$1164)-1)/7)+1 = VALUE($B$11))),
            'ادخال البيانات'!$E$3:$E$1164
         ),
         ""
      ),
      IF(_xlpm.result="", "", _xlpm.result)
   )
)</f>
        <v/>
      </c>
      <c r="F998" s="27" t="str" cm="1">
        <f t="array" ref="F998">IF(
   A998="",
   "",
   _xlfn.LET(
      _xlpm.result,
      IFERROR(
         _xlfn.XLOOKUP(
            1,
            (Table8[رقم الصنف]=A998) *
            (IF($B$9="الكل",1, YEAR('ادخال البيانات'!$N$3:$N$1164) = VALUE($B$9))) *
            (IF($B$10="الكل",1, MONTH('ادخال البيانات'!$N$3:$N$1164) = VALUE($B$10))) *
            (IF($B$11="الكل",1, INT((DAY('ادخال البيانات'!$N$3:$N$1164)-1)/7)+1 = VALUE($B$11))),
            'ادخال البيانات'!$F$3:$F$1164
         ),
         ""
      ),
      IF(_xlpm.result="", "", _xlpm.result)
   )
)</f>
        <v/>
      </c>
      <c r="G998" s="27" t="str" cm="1">
        <f t="array" ref="G998">IF(
   A998="",
   "",
   _xlfn.LET(
      _xlpm.result,
      IFERROR(
         _xlfn.XLOOKUP(
            1,
            (Table8[رقم الصنف]=A998) *
            (IF($B$9="الكل",1, YEAR('ادخال البيانات'!$N$3:$N$1164)=VALUE($B$9))) *
            (IF($B$10="الكل",1, MONTH('ادخال البيانات'!$N$3:$N$1164)=VALUE($B$10))) *
            (IF($B$11="الكل",1, INT((DAY('ادخال البيانات'!$N$3:$N$1164)-1)/7)+1 = VALUE($B$11))),
            'ادخال البيانات'!$G$3:$G$1164
         ),
         ""
      ),
      IF(_xlpm.result="", "", _xlpm.result)
   )
)</f>
        <v/>
      </c>
      <c r="H998" s="27" t="str" cm="1">
        <f t="array" ref="H998">IF(
   A998="",
   "",
   _xlfn.LET(
      _xlpm.result,
      IFERROR(
         _xlfn.XLOOKUP(
            1,
            (Table8[رقم الصنف]=A998) *
            (IF($B$9="الكل",1, YEAR('ادخال البيانات'!$N$3:$N$1164)=VALUE($B$9))) *
            (IF($B$10="الكل",1, MONTH('ادخال البيانات'!$N$3:$N$1164)=VALUE($B$10))) *
            (IF($B$11="الكل",1, INT((DAY('ادخال البيانات'!$N$3:$N$1164)-1)/7)+1 = VALUE($B$11))),
            'ادخال البيانات'!$H$3:$H$1164
         ),
         ""
      ),
      IF(_xlpm.result="", "", _xlpm.result)
   )
)</f>
        <v/>
      </c>
      <c r="I998" s="27" t="str" cm="1">
        <f t="array" ref="I998">IF(
   A998="",
   "",
   _xlfn.LET(
      _xlpm.result,
      IFERROR(
         _xlfn.XLOOKUP(
            1,
            (Table8[رقم الصنف]=A998) *
            (IF($B$9="الكل",1, YEAR('ادخال البيانات'!$N$3:$N$1164)=VALUE($B$9))) *
            (IF($B$10="الكل",1, MONTH('ادخال البيانات'!$N$3:$N$1164)=VALUE($B$10))) *
            (IF($B$11="الكل",1, INT((DAY('ادخال البيانات'!$N$3:$N$1164)-1)/7)+1 = VALUE($B$11))),
            'ادخال البيانات'!$I$3:$I$1164
         ),
         ""
      ),
      IF(_xlpm.result="", "", _xlpm.result)
   )
)</f>
        <v/>
      </c>
      <c r="J998" s="27" t="str" cm="1">
        <f t="array" ref="J998">IF(
   A998="",
   "",
   _xlfn.LET(
      _xlpm.result,
      IFERROR(
         _xlfn.XLOOKUP(
            1,
            (Table8[رقم الصنف]=A998) *
            (IF($B$9="الكل",1, YEAR('ادخال البيانات'!$N$3:$N$1164)=VALUE($B$9))) *
            (IF($B$10="الكل",1, MONTH('ادخال البيانات'!$N$3:$N$1164)=VALUE($B$10))) *
            (IF($B$11="الكل",1, INT((DAY('ادخال البيانات'!$N$3:$N$1164)-1)/7)+1 = VALUE($B$11))),
            'ادخال البيانات'!$J$3:$J$1164
         ),
         ""
      ),
      IF(_xlpm.result="", "", _xlpm.result)
   )
)</f>
        <v/>
      </c>
      <c r="K998" s="27" t="str" cm="1">
        <f t="array" ref="K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8" s="27" t="str" cm="1">
        <f t="array" ref="L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8" s="27" t="str" cm="1">
        <f t="array" ref="M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8" s="28" t="str" cm="1">
        <f t="array" ref="N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8" s="28" t="str" cm="1">
        <f t="array" ref="O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8" s="27" t="str" cm="1">
        <f t="array" ref="P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Table8[جهة العطل]
         ),
         ""
      ),
      IF(_xlpm.result="", "", _xlpm.result)
   )
)</f>
        <v/>
      </c>
      <c r="Q998" s="27" t="str" cm="1">
        <f t="array" ref="Q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Table8[المركز]
         ),
         ""
      ),
      IF(_xlpm.result="", "", _xlpm.result)
   )
)</f>
        <v/>
      </c>
      <c r="R998" s="27" t="str" cm="1">
        <f t="array" ref="R998">IF(
   A998="",
   "",
   _xlfn.LET(
      _xlpm.result,
      IFERROR(
         _xlfn.XLOOKUP(
            1,
            (Table8[رقم الصنف]=A998) *
            (IF($B$9="الكل",1, YEAR('ادخال البيانات'!$N$3:$N$1164) = VALUE($B$9))) *
            (IF($B$10="الكل",1, MONTH('ادخال البيانات'!$N$3:$N$1164) = VALUE($B$10))) *
            (IF($B$11="الكل",1, INT((DAY('ادخال البيانات'!$N$3:$N$1164) - 1) / 7) + 1 = VALUE($B$11))),
            Table8[ملاحظة]
         ),
         ""
      ),
      IF(_xlpm.result="", "", _xlpm.result)
   )
)</f>
        <v/>
      </c>
      <c r="S998" s="46" t="str">
        <f t="shared" ca="1" si="16"/>
        <v/>
      </c>
    </row>
    <row r="999" spans="1:19" ht="15.6" thickTop="1" thickBot="1" x14ac:dyDescent="0.35">
      <c r="A999" s="39"/>
      <c r="B999" s="27" t="str" cm="1">
        <f t="array" ref="B999">IF(
   OR(A999="", $B$9="", $B$10="", $B$11=""),
   "",
   _xlfn.LET(
      _xlpm.result,
      IFERROR(
         _xlfn.XLOOKUP(
            1,
            (Table8[رقم الصنف]=A999)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999" s="27" t="str" cm="1">
        <f t="array" ref="C999">IF(
   A999="",
   "",
   _xlfn.LET(
      _xlpm.result,
      IFERROR(
         _xlfn.XLOOKUP(
            1,
            (Table8[رقم الصنف]=A999) *
            (IF($B$9="الكل",1, YEAR('ادخال البيانات'!$N$3:$N$1164) = VALUE($B$9))) *
            (IF($B$10="الكل",1, MONTH('ادخال البيانات'!$N$3:$N$1164) = VALUE($B$10))) *
            (IF($B$11="الكل",1, INT((DAY('ادخال البيانات'!$N$3:$N$1164)-1)/7)+1 = VALUE($B$11))),
            'ادخال البيانات'!$C$3:$C$1164
         ),
         ""
      ),
      IF(_xlpm.result="", "", _xlpm.result)
   )
)</f>
        <v/>
      </c>
      <c r="D999" s="27" t="str" cm="1">
        <f t="array" ref="D999">IF(
   OR(A999="", $B$9="", $B$10="", $B$11=""),
   "",
   _xlfn.LET(
      _xlpm.result,
      IFERROR(
         _xlfn.XLOOKUP(
            1,
            (Table8[رقم الصنف]=A999) *
            (IF($B$9="الكل",1, YEAR('ادخال البيانات'!$N$3:$N$1164)=VALUE($B$9))) *
            (IF($B$10="الكل",1, MONTH('ادخال البيانات'!$N$3:$N$1164)=VALUE($B$10))) *
            (IF($B$11="الكل",1, INT((DAY('ادخال البيانات'!$N$3:$N$1164)-1)/7)+1 = VALUE($B$11))),
            'ادخال البيانات'!$D$3:$D$1164
         ),
         ""
      ),
      IF(_xlpm.result="", "", _xlpm.result)
   )
)</f>
        <v/>
      </c>
      <c r="E999" s="27" t="str" cm="1">
        <f t="array" ref="E999">IF(
   A999="",
   "",
   _xlfn.LET(
      _xlpm.result,
      IFERROR(
         _xlfn.XLOOKUP(
            1,
            (Table8[رقم الصنف]=A999) *
            (IF($B$9="الكل",1, YEAR('ادخال البيانات'!$N$3:$N$1164)=VALUE($B$9))) *
            (IF($B$10="الكل",1, MONTH('ادخال البيانات'!$N$3:$N$1164)=VALUE($B$10))) *
            (IF($B$11="الكل",1, INT((DAY('ادخال البيانات'!$N$3:$N$1164)-1)/7)+1 = VALUE($B$11))),
            'ادخال البيانات'!$E$3:$E$1164
         ),
         ""
      ),
      IF(_xlpm.result="", "", _xlpm.result)
   )
)</f>
        <v/>
      </c>
      <c r="F999" s="27" t="str" cm="1">
        <f t="array" ref="F999">IF(
   A999="",
   "",
   _xlfn.LET(
      _xlpm.result,
      IFERROR(
         _xlfn.XLOOKUP(
            1,
            (Table8[رقم الصنف]=A999) *
            (IF($B$9="الكل",1, YEAR('ادخال البيانات'!$N$3:$N$1164) = VALUE($B$9))) *
            (IF($B$10="الكل",1, MONTH('ادخال البيانات'!$N$3:$N$1164) = VALUE($B$10))) *
            (IF($B$11="الكل",1, INT((DAY('ادخال البيانات'!$N$3:$N$1164)-1)/7)+1 = VALUE($B$11))),
            'ادخال البيانات'!$F$3:$F$1164
         ),
         ""
      ),
      IF(_xlpm.result="", "", _xlpm.result)
   )
)</f>
        <v/>
      </c>
      <c r="G999" s="27" t="str" cm="1">
        <f t="array" ref="G999">IF(
   A999="",
   "",
   _xlfn.LET(
      _xlpm.result,
      IFERROR(
         _xlfn.XLOOKUP(
            1,
            (Table8[رقم الصنف]=A999) *
            (IF($B$9="الكل",1, YEAR('ادخال البيانات'!$N$3:$N$1164)=VALUE($B$9))) *
            (IF($B$10="الكل",1, MONTH('ادخال البيانات'!$N$3:$N$1164)=VALUE($B$10))) *
            (IF($B$11="الكل",1, INT((DAY('ادخال البيانات'!$N$3:$N$1164)-1)/7)+1 = VALUE($B$11))),
            'ادخال البيانات'!$G$3:$G$1164
         ),
         ""
      ),
      IF(_xlpm.result="", "", _xlpm.result)
   )
)</f>
        <v/>
      </c>
      <c r="H999" s="27" t="str" cm="1">
        <f t="array" ref="H999">IF(
   A999="",
   "",
   _xlfn.LET(
      _xlpm.result,
      IFERROR(
         _xlfn.XLOOKUP(
            1,
            (Table8[رقم الصنف]=A999) *
            (IF($B$9="الكل",1, YEAR('ادخال البيانات'!$N$3:$N$1164)=VALUE($B$9))) *
            (IF($B$10="الكل",1, MONTH('ادخال البيانات'!$N$3:$N$1164)=VALUE($B$10))) *
            (IF($B$11="الكل",1, INT((DAY('ادخال البيانات'!$N$3:$N$1164)-1)/7)+1 = VALUE($B$11))),
            'ادخال البيانات'!$H$3:$H$1164
         ),
         ""
      ),
      IF(_xlpm.result="", "", _xlpm.result)
   )
)</f>
        <v/>
      </c>
      <c r="I999" s="27" t="str" cm="1">
        <f t="array" ref="I999">IF(
   A999="",
   "",
   _xlfn.LET(
      _xlpm.result,
      IFERROR(
         _xlfn.XLOOKUP(
            1,
            (Table8[رقم الصنف]=A999) *
            (IF($B$9="الكل",1, YEAR('ادخال البيانات'!$N$3:$N$1164)=VALUE($B$9))) *
            (IF($B$10="الكل",1, MONTH('ادخال البيانات'!$N$3:$N$1164)=VALUE($B$10))) *
            (IF($B$11="الكل",1, INT((DAY('ادخال البيانات'!$N$3:$N$1164)-1)/7)+1 = VALUE($B$11))),
            'ادخال البيانات'!$I$3:$I$1164
         ),
         ""
      ),
      IF(_xlpm.result="", "", _xlpm.result)
   )
)</f>
        <v/>
      </c>
      <c r="J999" s="27" t="str" cm="1">
        <f t="array" ref="J999">IF(
   A999="",
   "",
   _xlfn.LET(
      _xlpm.result,
      IFERROR(
         _xlfn.XLOOKUP(
            1,
            (Table8[رقم الصنف]=A999) *
            (IF($B$9="الكل",1, YEAR('ادخال البيانات'!$N$3:$N$1164)=VALUE($B$9))) *
            (IF($B$10="الكل",1, MONTH('ادخال البيانات'!$N$3:$N$1164)=VALUE($B$10))) *
            (IF($B$11="الكل",1, INT((DAY('ادخال البيانات'!$N$3:$N$1164)-1)/7)+1 = VALUE($B$11))),
            'ادخال البيانات'!$J$3:$J$1164
         ),
         ""
      ),
      IF(_xlpm.result="", "", _xlpm.result)
   )
)</f>
        <v/>
      </c>
      <c r="K999" s="27" t="str" cm="1">
        <f t="array" ref="K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999" s="27" t="str" cm="1">
        <f t="array" ref="L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999" s="27" t="str" cm="1">
        <f t="array" ref="M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999" s="28" t="str" cm="1">
        <f t="array" ref="N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999" s="28" t="str" cm="1">
        <f t="array" ref="O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999" s="27" t="str" cm="1">
        <f t="array" ref="P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Table8[جهة العطل]
         ),
         ""
      ),
      IF(_xlpm.result="", "", _xlpm.result)
   )
)</f>
        <v/>
      </c>
      <c r="Q999" s="27" t="str" cm="1">
        <f t="array" ref="Q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Table8[المركز]
         ),
         ""
      ),
      IF(_xlpm.result="", "", _xlpm.result)
   )
)</f>
        <v/>
      </c>
      <c r="R999" s="27" t="str" cm="1">
        <f t="array" ref="R999">IF(
   A999="",
   "",
   _xlfn.LET(
      _xlpm.result,
      IFERROR(
         _xlfn.XLOOKUP(
            1,
            (Table8[رقم الصنف]=A999) *
            (IF($B$9="الكل",1, YEAR('ادخال البيانات'!$N$3:$N$1164) = VALUE($B$9))) *
            (IF($B$10="الكل",1, MONTH('ادخال البيانات'!$N$3:$N$1164) = VALUE($B$10))) *
            (IF($B$11="الكل",1, INT((DAY('ادخال البيانات'!$N$3:$N$1164) - 1) / 7) + 1 = VALUE($B$11))),
            Table8[ملاحظة]
         ),
         ""
      ),
      IF(_xlpm.result="", "", _xlpm.result)
   )
)</f>
        <v/>
      </c>
      <c r="S999" s="46" t="str">
        <f t="shared" ca="1" si="16"/>
        <v/>
      </c>
    </row>
    <row r="1000" spans="1:19" ht="15.6" thickTop="1" thickBot="1" x14ac:dyDescent="0.35">
      <c r="A1000" s="39"/>
      <c r="B1000" s="27" t="str" cm="1">
        <f t="array" ref="B1000">IF(
   OR(A1000="", $B$9="", $B$10="", $B$11=""),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0" s="27" t="str" cm="1">
        <f t="array" ref="C1000">IF(
   A1000="",
   "",
   _xlfn.LET(
      _xlpm.result,
      IFERROR(
         _xlfn.XLOOKUP(
            1,
            (Table8[رقم الصنف]=A1000) *
            (IF($B$9="الكل",1, YEAR('ادخال البيانات'!$N$3:$N$1164) = VALUE($B$9))) *
            (IF($B$10="الكل",1, MONTH('ادخال البيانات'!$N$3:$N$1164) = VALUE($B$10))) *
            (IF($B$11="الكل",1, INT((DAY('ادخال البيانات'!$N$3:$N$1164)-1)/7)+1 = VALUE($B$11))),
            'ادخال البيانات'!$C$3:$C$1164
         ),
         ""
      ),
      IF(_xlpm.result="", "", _xlpm.result)
   )
)</f>
        <v/>
      </c>
      <c r="D1000" s="27" t="str" cm="1">
        <f t="array" ref="D1000">IF(
   OR(A1000="", $B$9="", $B$10="", $B$11=""),
   "",
   _xlfn.LET(
      _xlpm.result,
      IFERROR(
         _xlfn.XLOOKUP(
            1,
            (Table8[رقم الصنف]=A1000) *
            (IF($B$9="الكل",1, YEAR('ادخال البيانات'!$N$3:$N$1164)=VALUE($B$9))) *
            (IF($B$10="الكل",1, MONTH('ادخال البيانات'!$N$3:$N$1164)=VALUE($B$10))) *
            (IF($B$11="الكل",1, INT((DAY('ادخال البيانات'!$N$3:$N$1164)-1)/7)+1 = VALUE($B$11))),
            'ادخال البيانات'!$D$3:$D$1164
         ),
         ""
      ),
      IF(_xlpm.result="", "", _xlpm.result)
   )
)</f>
        <v/>
      </c>
      <c r="E1000" s="27" t="str" cm="1">
        <f t="array" ref="E1000">IF(
   A1000="",
   "",
   _xlfn.LET(
      _xlpm.result,
      IFERROR(
         _xlfn.XLOOKUP(
            1,
            (Table8[رقم الصنف]=A1000) *
            (IF($B$9="الكل",1, YEAR('ادخال البيانات'!$N$3:$N$1164)=VALUE($B$9))) *
            (IF($B$10="الكل",1, MONTH('ادخال البيانات'!$N$3:$N$1164)=VALUE($B$10))) *
            (IF($B$11="الكل",1, INT((DAY('ادخال البيانات'!$N$3:$N$1164)-1)/7)+1 = VALUE($B$11))),
            'ادخال البيانات'!$E$3:$E$1164
         ),
         ""
      ),
      IF(_xlpm.result="", "", _xlpm.result)
   )
)</f>
        <v/>
      </c>
      <c r="F1000" s="27" t="str" cm="1">
        <f t="array" ref="F1000">IF(
   A1000="",
   "",
   _xlfn.LET(
      _xlpm.result,
      IFERROR(
         _xlfn.XLOOKUP(
            1,
            (Table8[رقم الصنف]=A1000) *
            (IF($B$9="الكل",1, YEAR('ادخال البيانات'!$N$3:$N$1164) = VALUE($B$9))) *
            (IF($B$10="الكل",1, MONTH('ادخال البيانات'!$N$3:$N$1164) = VALUE($B$10))) *
            (IF($B$11="الكل",1, INT((DAY('ادخال البيانات'!$N$3:$N$1164)-1)/7)+1 = VALUE($B$11))),
            'ادخال البيانات'!$F$3:$F$1164
         ),
         ""
      ),
      IF(_xlpm.result="", "", _xlpm.result)
   )
)</f>
        <v/>
      </c>
      <c r="G1000" s="27" t="str" cm="1">
        <f t="array" ref="G1000">IF(
   A1000="",
   "",
   _xlfn.LET(
      _xlpm.result,
      IFERROR(
         _xlfn.XLOOKUP(
            1,
            (Table8[رقم الصنف]=A1000) *
            (IF($B$9="الكل",1, YEAR('ادخال البيانات'!$N$3:$N$1164)=VALUE($B$9))) *
            (IF($B$10="الكل",1, MONTH('ادخال البيانات'!$N$3:$N$1164)=VALUE($B$10))) *
            (IF($B$11="الكل",1, INT((DAY('ادخال البيانات'!$N$3:$N$1164)-1)/7)+1 = VALUE($B$11))),
            'ادخال البيانات'!$G$3:$G$1164
         ),
         ""
      ),
      IF(_xlpm.result="", "", _xlpm.result)
   )
)</f>
        <v/>
      </c>
      <c r="H1000" s="27" t="str" cm="1">
        <f t="array" ref="H1000">IF(
   A1000="",
   "",
   _xlfn.LET(
      _xlpm.result,
      IFERROR(
         _xlfn.XLOOKUP(
            1,
            (Table8[رقم الصنف]=A1000) *
            (IF($B$9="الكل",1, YEAR('ادخال البيانات'!$N$3:$N$1164)=VALUE($B$9))) *
            (IF($B$10="الكل",1, MONTH('ادخال البيانات'!$N$3:$N$1164)=VALUE($B$10))) *
            (IF($B$11="الكل",1, INT((DAY('ادخال البيانات'!$N$3:$N$1164)-1)/7)+1 = VALUE($B$11))),
            'ادخال البيانات'!$H$3:$H$1164
         ),
         ""
      ),
      IF(_xlpm.result="", "", _xlpm.result)
   )
)</f>
        <v/>
      </c>
      <c r="I1000" s="27" t="str" cm="1">
        <f t="array" ref="I1000">IF(
   A1000="",
   "",
   _xlfn.LET(
      _xlpm.result,
      IFERROR(
         _xlfn.XLOOKUP(
            1,
            (Table8[رقم الصنف]=A1000) *
            (IF($B$9="الكل",1, YEAR('ادخال البيانات'!$N$3:$N$1164)=VALUE($B$9))) *
            (IF($B$10="الكل",1, MONTH('ادخال البيانات'!$N$3:$N$1164)=VALUE($B$10))) *
            (IF($B$11="الكل",1, INT((DAY('ادخال البيانات'!$N$3:$N$1164)-1)/7)+1 = VALUE($B$11))),
            'ادخال البيانات'!$I$3:$I$1164
         ),
         ""
      ),
      IF(_xlpm.result="", "", _xlpm.result)
   )
)</f>
        <v/>
      </c>
      <c r="J1000" s="27" t="str" cm="1">
        <f t="array" ref="J1000">IF(
   A1000="",
   "",
   _xlfn.LET(
      _xlpm.result,
      IFERROR(
         _xlfn.XLOOKUP(
            1,
            (Table8[رقم الصنف]=A1000) *
            (IF($B$9="الكل",1, YEAR('ادخال البيانات'!$N$3:$N$1164)=VALUE($B$9))) *
            (IF($B$10="الكل",1, MONTH('ادخال البيانات'!$N$3:$N$1164)=VALUE($B$10))) *
            (IF($B$11="الكل",1, INT((DAY('ادخال البيانات'!$N$3:$N$1164)-1)/7)+1 = VALUE($B$11))),
            'ادخال البيانات'!$J$3:$J$1164
         ),
         ""
      ),
      IF(_xlpm.result="", "", _xlpm.result)
   )
)</f>
        <v/>
      </c>
      <c r="K1000" s="27" t="str" cm="1">
        <f t="array" ref="K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0" s="27" t="str" cm="1">
        <f t="array" ref="L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0" s="27" t="str" cm="1">
        <f t="array" ref="M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0" s="28" t="str" cm="1">
        <f t="array" ref="N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0" s="28" t="str" cm="1">
        <f t="array" ref="O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0" s="27" t="str" cm="1">
        <f t="array" ref="P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Table8[جهة العطل]
         ),
         ""
      ),
      IF(_xlpm.result="", "", _xlpm.result)
   )
)</f>
        <v/>
      </c>
      <c r="Q1000" s="27" t="str" cm="1">
        <f t="array" ref="Q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Table8[المركز]
         ),
         ""
      ),
      IF(_xlpm.result="", "", _xlpm.result)
   )
)</f>
        <v/>
      </c>
      <c r="R1000" s="27" t="str" cm="1">
        <f t="array" ref="R1000">IF(
   A1000="",
   "",
   _xlfn.LET(
      _xlpm.result,
      IFERROR(
         _xlfn.XLOOKUP(
            1,
            (Table8[رقم الصنف]=A1000) *
            (IF($B$9="الكل",1, YEAR('ادخال البيانات'!$N$3:$N$1164) = VALUE($B$9))) *
            (IF($B$10="الكل",1, MONTH('ادخال البيانات'!$N$3:$N$1164) = VALUE($B$10))) *
            (IF($B$11="الكل",1, INT((DAY('ادخال البيانات'!$N$3:$N$1164) - 1) / 7) + 1 = VALUE($B$11))),
            Table8[ملاحظة]
         ),
         ""
      ),
      IF(_xlpm.result="", "", _xlpm.result)
   )
)</f>
        <v/>
      </c>
      <c r="S1000" s="46" t="str">
        <f t="shared" ca="1" si="16"/>
        <v/>
      </c>
    </row>
    <row r="1001" spans="1:19" ht="15.6" thickTop="1" thickBot="1" x14ac:dyDescent="0.35">
      <c r="A1001" s="39"/>
      <c r="B1001" s="27" t="str" cm="1">
        <f t="array" ref="B1001">IF(
   OR(A1001="", $B$9="", $B$10="", $B$11=""),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1" s="27" t="str" cm="1">
        <f t="array" ref="C1001">IF(
   A1001="",
   "",
   _xlfn.LET(
      _xlpm.result,
      IFERROR(
         _xlfn.XLOOKUP(
            1,
            (Table8[رقم الصنف]=A1001) *
            (IF($B$9="الكل",1, YEAR('ادخال البيانات'!$N$3:$N$1164) = VALUE($B$9))) *
            (IF($B$10="الكل",1, MONTH('ادخال البيانات'!$N$3:$N$1164) = VALUE($B$10))) *
            (IF($B$11="الكل",1, INT((DAY('ادخال البيانات'!$N$3:$N$1164)-1)/7)+1 = VALUE($B$11))),
            'ادخال البيانات'!$C$3:$C$1164
         ),
         ""
      ),
      IF(_xlpm.result="", "", _xlpm.result)
   )
)</f>
        <v/>
      </c>
      <c r="D1001" s="27" t="str" cm="1">
        <f t="array" ref="D1001">IF(
   OR(A1001="", $B$9="", $B$10="", $B$11=""),
   "",
   _xlfn.LET(
      _xlpm.result,
      IFERROR(
         _xlfn.XLOOKUP(
            1,
            (Table8[رقم الصنف]=A1001) *
            (IF($B$9="الكل",1, YEAR('ادخال البيانات'!$N$3:$N$1164)=VALUE($B$9))) *
            (IF($B$10="الكل",1, MONTH('ادخال البيانات'!$N$3:$N$1164)=VALUE($B$10))) *
            (IF($B$11="الكل",1, INT((DAY('ادخال البيانات'!$N$3:$N$1164)-1)/7)+1 = VALUE($B$11))),
            'ادخال البيانات'!$D$3:$D$1164
         ),
         ""
      ),
      IF(_xlpm.result="", "", _xlpm.result)
   )
)</f>
        <v/>
      </c>
      <c r="E1001" s="27" t="str" cm="1">
        <f t="array" ref="E1001">IF(
   A1001="",
   "",
   _xlfn.LET(
      _xlpm.result,
      IFERROR(
         _xlfn.XLOOKUP(
            1,
            (Table8[رقم الصنف]=A1001) *
            (IF($B$9="الكل",1, YEAR('ادخال البيانات'!$N$3:$N$1164)=VALUE($B$9))) *
            (IF($B$10="الكل",1, MONTH('ادخال البيانات'!$N$3:$N$1164)=VALUE($B$10))) *
            (IF($B$11="الكل",1, INT((DAY('ادخال البيانات'!$N$3:$N$1164)-1)/7)+1 = VALUE($B$11))),
            'ادخال البيانات'!$E$3:$E$1164
         ),
         ""
      ),
      IF(_xlpm.result="", "", _xlpm.result)
   )
)</f>
        <v/>
      </c>
      <c r="F1001" s="27" t="str" cm="1">
        <f t="array" ref="F1001">IF(
   A1001="",
   "",
   _xlfn.LET(
      _xlpm.result,
      IFERROR(
         _xlfn.XLOOKUP(
            1,
            (Table8[رقم الصنف]=A1001) *
            (IF($B$9="الكل",1, YEAR('ادخال البيانات'!$N$3:$N$1164) = VALUE($B$9))) *
            (IF($B$10="الكل",1, MONTH('ادخال البيانات'!$N$3:$N$1164) = VALUE($B$10))) *
            (IF($B$11="الكل",1, INT((DAY('ادخال البيانات'!$N$3:$N$1164)-1)/7)+1 = VALUE($B$11))),
            'ادخال البيانات'!$F$3:$F$1164
         ),
         ""
      ),
      IF(_xlpm.result="", "", _xlpm.result)
   )
)</f>
        <v/>
      </c>
      <c r="G1001" s="27" t="str" cm="1">
        <f t="array" ref="G1001">IF(
   A1001="",
   "",
   _xlfn.LET(
      _xlpm.result,
      IFERROR(
         _xlfn.XLOOKUP(
            1,
            (Table8[رقم الصنف]=A1001) *
            (IF($B$9="الكل",1, YEAR('ادخال البيانات'!$N$3:$N$1164)=VALUE($B$9))) *
            (IF($B$10="الكل",1, MONTH('ادخال البيانات'!$N$3:$N$1164)=VALUE($B$10))) *
            (IF($B$11="الكل",1, INT((DAY('ادخال البيانات'!$N$3:$N$1164)-1)/7)+1 = VALUE($B$11))),
            'ادخال البيانات'!$G$3:$G$1164
         ),
         ""
      ),
      IF(_xlpm.result="", "", _xlpm.result)
   )
)</f>
        <v/>
      </c>
      <c r="H1001" s="27" t="str" cm="1">
        <f t="array" ref="H1001">IF(
   A1001="",
   "",
   _xlfn.LET(
      _xlpm.result,
      IFERROR(
         _xlfn.XLOOKUP(
            1,
            (Table8[رقم الصنف]=A1001) *
            (IF($B$9="الكل",1, YEAR('ادخال البيانات'!$N$3:$N$1164)=VALUE($B$9))) *
            (IF($B$10="الكل",1, MONTH('ادخال البيانات'!$N$3:$N$1164)=VALUE($B$10))) *
            (IF($B$11="الكل",1, INT((DAY('ادخال البيانات'!$N$3:$N$1164)-1)/7)+1 = VALUE($B$11))),
            'ادخال البيانات'!$H$3:$H$1164
         ),
         ""
      ),
      IF(_xlpm.result="", "", _xlpm.result)
   )
)</f>
        <v/>
      </c>
      <c r="I1001" s="27" t="str" cm="1">
        <f t="array" ref="I1001">IF(
   A1001="",
   "",
   _xlfn.LET(
      _xlpm.result,
      IFERROR(
         _xlfn.XLOOKUP(
            1,
            (Table8[رقم الصنف]=A1001) *
            (IF($B$9="الكل",1, YEAR('ادخال البيانات'!$N$3:$N$1164)=VALUE($B$9))) *
            (IF($B$10="الكل",1, MONTH('ادخال البيانات'!$N$3:$N$1164)=VALUE($B$10))) *
            (IF($B$11="الكل",1, INT((DAY('ادخال البيانات'!$N$3:$N$1164)-1)/7)+1 = VALUE($B$11))),
            'ادخال البيانات'!$I$3:$I$1164
         ),
         ""
      ),
      IF(_xlpm.result="", "", _xlpm.result)
   )
)</f>
        <v/>
      </c>
      <c r="J1001" s="27" t="str" cm="1">
        <f t="array" ref="J1001">IF(
   A1001="",
   "",
   _xlfn.LET(
      _xlpm.result,
      IFERROR(
         _xlfn.XLOOKUP(
            1,
            (Table8[رقم الصنف]=A1001) *
            (IF($B$9="الكل",1, YEAR('ادخال البيانات'!$N$3:$N$1164)=VALUE($B$9))) *
            (IF($B$10="الكل",1, MONTH('ادخال البيانات'!$N$3:$N$1164)=VALUE($B$10))) *
            (IF($B$11="الكل",1, INT((DAY('ادخال البيانات'!$N$3:$N$1164)-1)/7)+1 = VALUE($B$11))),
            'ادخال البيانات'!$J$3:$J$1164
         ),
         ""
      ),
      IF(_xlpm.result="", "", _xlpm.result)
   )
)</f>
        <v/>
      </c>
      <c r="K1001" s="27" t="str" cm="1">
        <f t="array" ref="K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1" s="27" t="str" cm="1">
        <f t="array" ref="L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1" s="27" t="str" cm="1">
        <f t="array" ref="M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1" s="28" t="str" cm="1">
        <f t="array" ref="N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1" s="28" t="str" cm="1">
        <f t="array" ref="O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1" s="27" t="str" cm="1">
        <f t="array" ref="P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Table8[جهة العطل]
         ),
         ""
      ),
      IF(_xlpm.result="", "", _xlpm.result)
   )
)</f>
        <v/>
      </c>
      <c r="Q1001" s="27" t="str" cm="1">
        <f t="array" ref="Q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Table8[المركز]
         ),
         ""
      ),
      IF(_xlpm.result="", "", _xlpm.result)
   )
)</f>
        <v/>
      </c>
      <c r="R1001" s="27" t="str" cm="1">
        <f t="array" ref="R1001">IF(
   A1001="",
   "",
   _xlfn.LET(
      _xlpm.result,
      IFERROR(
         _xlfn.XLOOKUP(
            1,
            (Table8[رقم الصنف]=A1001) *
            (IF($B$9="الكل",1, YEAR('ادخال البيانات'!$N$3:$N$1164) = VALUE($B$9))) *
            (IF($B$10="الكل",1, MONTH('ادخال البيانات'!$N$3:$N$1164) = VALUE($B$10))) *
            (IF($B$11="الكل",1, INT((DAY('ادخال البيانات'!$N$3:$N$1164) - 1) / 7) + 1 = VALUE($B$11))),
            Table8[ملاحظة]
         ),
         ""
      ),
      IF(_xlpm.result="", "", _xlpm.result)
   )
)</f>
        <v/>
      </c>
      <c r="S1001" s="46" t="str">
        <f t="shared" ca="1" si="16"/>
        <v/>
      </c>
    </row>
    <row r="1002" spans="1:19" ht="15.6" thickTop="1" thickBot="1" x14ac:dyDescent="0.35">
      <c r="A1002" s="39"/>
      <c r="B1002" s="27" t="str" cm="1">
        <f t="array" ref="B1002">IF(
   OR(A1002="", $B$9="", $B$10="", $B$11=""),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2" s="27" t="str" cm="1">
        <f t="array" ref="C1002">IF(
   A1002="",
   "",
   _xlfn.LET(
      _xlpm.result,
      IFERROR(
         _xlfn.XLOOKUP(
            1,
            (Table8[رقم الصنف]=A1002) *
            (IF($B$9="الكل",1, YEAR('ادخال البيانات'!$N$3:$N$1164) = VALUE($B$9))) *
            (IF($B$10="الكل",1, MONTH('ادخال البيانات'!$N$3:$N$1164) = VALUE($B$10))) *
            (IF($B$11="الكل",1, INT((DAY('ادخال البيانات'!$N$3:$N$1164)-1)/7)+1 = VALUE($B$11))),
            'ادخال البيانات'!$C$3:$C$1164
         ),
         ""
      ),
      IF(_xlpm.result="", "", _xlpm.result)
   )
)</f>
        <v/>
      </c>
      <c r="D1002" s="27" t="str" cm="1">
        <f t="array" ref="D1002">IF(
   OR(A1002="", $B$9="", $B$10="", $B$11=""),
   "",
   _xlfn.LET(
      _xlpm.result,
      IFERROR(
         _xlfn.XLOOKUP(
            1,
            (Table8[رقم الصنف]=A1002) *
            (IF($B$9="الكل",1, YEAR('ادخال البيانات'!$N$3:$N$1164)=VALUE($B$9))) *
            (IF($B$10="الكل",1, MONTH('ادخال البيانات'!$N$3:$N$1164)=VALUE($B$10))) *
            (IF($B$11="الكل",1, INT((DAY('ادخال البيانات'!$N$3:$N$1164)-1)/7)+1 = VALUE($B$11))),
            'ادخال البيانات'!$D$3:$D$1164
         ),
         ""
      ),
      IF(_xlpm.result="", "", _xlpm.result)
   )
)</f>
        <v/>
      </c>
      <c r="E1002" s="27" t="str" cm="1">
        <f t="array" ref="E1002">IF(
   A1002="",
   "",
   _xlfn.LET(
      _xlpm.result,
      IFERROR(
         _xlfn.XLOOKUP(
            1,
            (Table8[رقم الصنف]=A1002) *
            (IF($B$9="الكل",1, YEAR('ادخال البيانات'!$N$3:$N$1164)=VALUE($B$9))) *
            (IF($B$10="الكل",1, MONTH('ادخال البيانات'!$N$3:$N$1164)=VALUE($B$10))) *
            (IF($B$11="الكل",1, INT((DAY('ادخال البيانات'!$N$3:$N$1164)-1)/7)+1 = VALUE($B$11))),
            'ادخال البيانات'!$E$3:$E$1164
         ),
         ""
      ),
      IF(_xlpm.result="", "", _xlpm.result)
   )
)</f>
        <v/>
      </c>
      <c r="F1002" s="27" t="str" cm="1">
        <f t="array" ref="F1002">IF(
   A1002="",
   "",
   _xlfn.LET(
      _xlpm.result,
      IFERROR(
         _xlfn.XLOOKUP(
            1,
            (Table8[رقم الصنف]=A1002) *
            (IF($B$9="الكل",1, YEAR('ادخال البيانات'!$N$3:$N$1164) = VALUE($B$9))) *
            (IF($B$10="الكل",1, MONTH('ادخال البيانات'!$N$3:$N$1164) = VALUE($B$10))) *
            (IF($B$11="الكل",1, INT((DAY('ادخال البيانات'!$N$3:$N$1164)-1)/7)+1 = VALUE($B$11))),
            'ادخال البيانات'!$F$3:$F$1164
         ),
         ""
      ),
      IF(_xlpm.result="", "", _xlpm.result)
   )
)</f>
        <v/>
      </c>
      <c r="G1002" s="27" t="str" cm="1">
        <f t="array" ref="G1002">IF(
   A1002="",
   "",
   _xlfn.LET(
      _xlpm.result,
      IFERROR(
         _xlfn.XLOOKUP(
            1,
            (Table8[رقم الصنف]=A1002) *
            (IF($B$9="الكل",1, YEAR('ادخال البيانات'!$N$3:$N$1164)=VALUE($B$9))) *
            (IF($B$10="الكل",1, MONTH('ادخال البيانات'!$N$3:$N$1164)=VALUE($B$10))) *
            (IF($B$11="الكل",1, INT((DAY('ادخال البيانات'!$N$3:$N$1164)-1)/7)+1 = VALUE($B$11))),
            'ادخال البيانات'!$G$3:$G$1164
         ),
         ""
      ),
      IF(_xlpm.result="", "", _xlpm.result)
   )
)</f>
        <v/>
      </c>
      <c r="H1002" s="27" t="str" cm="1">
        <f t="array" ref="H1002">IF(
   A1002="",
   "",
   _xlfn.LET(
      _xlpm.result,
      IFERROR(
         _xlfn.XLOOKUP(
            1,
            (Table8[رقم الصنف]=A1002) *
            (IF($B$9="الكل",1, YEAR('ادخال البيانات'!$N$3:$N$1164)=VALUE($B$9))) *
            (IF($B$10="الكل",1, MONTH('ادخال البيانات'!$N$3:$N$1164)=VALUE($B$10))) *
            (IF($B$11="الكل",1, INT((DAY('ادخال البيانات'!$N$3:$N$1164)-1)/7)+1 = VALUE($B$11))),
            'ادخال البيانات'!$H$3:$H$1164
         ),
         ""
      ),
      IF(_xlpm.result="", "", _xlpm.result)
   )
)</f>
        <v/>
      </c>
      <c r="I1002" s="27" t="str" cm="1">
        <f t="array" ref="I1002">IF(
   A1002="",
   "",
   _xlfn.LET(
      _xlpm.result,
      IFERROR(
         _xlfn.XLOOKUP(
            1,
            (Table8[رقم الصنف]=A1002) *
            (IF($B$9="الكل",1, YEAR('ادخال البيانات'!$N$3:$N$1164)=VALUE($B$9))) *
            (IF($B$10="الكل",1, MONTH('ادخال البيانات'!$N$3:$N$1164)=VALUE($B$10))) *
            (IF($B$11="الكل",1, INT((DAY('ادخال البيانات'!$N$3:$N$1164)-1)/7)+1 = VALUE($B$11))),
            'ادخال البيانات'!$I$3:$I$1164
         ),
         ""
      ),
      IF(_xlpm.result="", "", _xlpm.result)
   )
)</f>
        <v/>
      </c>
      <c r="J1002" s="27" t="str" cm="1">
        <f t="array" ref="J1002">IF(
   A1002="",
   "",
   _xlfn.LET(
      _xlpm.result,
      IFERROR(
         _xlfn.XLOOKUP(
            1,
            (Table8[رقم الصنف]=A1002) *
            (IF($B$9="الكل",1, YEAR('ادخال البيانات'!$N$3:$N$1164)=VALUE($B$9))) *
            (IF($B$10="الكل",1, MONTH('ادخال البيانات'!$N$3:$N$1164)=VALUE($B$10))) *
            (IF($B$11="الكل",1, INT((DAY('ادخال البيانات'!$N$3:$N$1164)-1)/7)+1 = VALUE($B$11))),
            'ادخال البيانات'!$J$3:$J$1164
         ),
         ""
      ),
      IF(_xlpm.result="", "", _xlpm.result)
   )
)</f>
        <v/>
      </c>
      <c r="K1002" s="27" t="str" cm="1">
        <f t="array" ref="K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2" s="27" t="str" cm="1">
        <f t="array" ref="L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2" s="27" t="str" cm="1">
        <f t="array" ref="M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2" s="28" t="str" cm="1">
        <f t="array" ref="N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2" s="28" t="str" cm="1">
        <f t="array" ref="O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2" s="27" t="str" cm="1">
        <f t="array" ref="P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Table8[جهة العطل]
         ),
         ""
      ),
      IF(_xlpm.result="", "", _xlpm.result)
   )
)</f>
        <v/>
      </c>
      <c r="Q1002" s="27" t="str" cm="1">
        <f t="array" ref="Q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Table8[المركز]
         ),
         ""
      ),
      IF(_xlpm.result="", "", _xlpm.result)
   )
)</f>
        <v/>
      </c>
      <c r="R1002" s="27" t="str" cm="1">
        <f t="array" ref="R1002">IF(
   A1002="",
   "",
   _xlfn.LET(
      _xlpm.result,
      IFERROR(
         _xlfn.XLOOKUP(
            1,
            (Table8[رقم الصنف]=A1002) *
            (IF($B$9="الكل",1, YEAR('ادخال البيانات'!$N$3:$N$1164) = VALUE($B$9))) *
            (IF($B$10="الكل",1, MONTH('ادخال البيانات'!$N$3:$N$1164) = VALUE($B$10))) *
            (IF($B$11="الكل",1, INT((DAY('ادخال البيانات'!$N$3:$N$1164) - 1) / 7) + 1 = VALUE($B$11))),
            Table8[ملاحظة]
         ),
         ""
      ),
      IF(_xlpm.result="", "", _xlpm.result)
   )
)</f>
        <v/>
      </c>
      <c r="S1002" s="46" t="str">
        <f t="shared" ca="1" si="16"/>
        <v/>
      </c>
    </row>
    <row r="1003" spans="1:19" ht="15.6" thickTop="1" thickBot="1" x14ac:dyDescent="0.35">
      <c r="A1003" s="39"/>
      <c r="B1003" s="27" t="str" cm="1">
        <f t="array" ref="B1003">IF(
   OR(A1003="", $B$9="", $B$10="", $B$11=""),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3" s="27" t="str" cm="1">
        <f t="array" ref="C1003">IF(
   A1003="",
   "",
   _xlfn.LET(
      _xlpm.result,
      IFERROR(
         _xlfn.XLOOKUP(
            1,
            (Table8[رقم الصنف]=A1003) *
            (IF($B$9="الكل",1, YEAR('ادخال البيانات'!$N$3:$N$1164) = VALUE($B$9))) *
            (IF($B$10="الكل",1, MONTH('ادخال البيانات'!$N$3:$N$1164) = VALUE($B$10))) *
            (IF($B$11="الكل",1, INT((DAY('ادخال البيانات'!$N$3:$N$1164)-1)/7)+1 = VALUE($B$11))),
            'ادخال البيانات'!$C$3:$C$1164
         ),
         ""
      ),
      IF(_xlpm.result="", "", _xlpm.result)
   )
)</f>
        <v/>
      </c>
      <c r="D1003" s="27" t="str" cm="1">
        <f t="array" ref="D1003">IF(
   OR(A1003="", $B$9="", $B$10="", $B$11=""),
   "",
   _xlfn.LET(
      _xlpm.result,
      IFERROR(
         _xlfn.XLOOKUP(
            1,
            (Table8[رقم الصنف]=A1003) *
            (IF($B$9="الكل",1, YEAR('ادخال البيانات'!$N$3:$N$1164)=VALUE($B$9))) *
            (IF($B$10="الكل",1, MONTH('ادخال البيانات'!$N$3:$N$1164)=VALUE($B$10))) *
            (IF($B$11="الكل",1, INT((DAY('ادخال البيانات'!$N$3:$N$1164)-1)/7)+1 = VALUE($B$11))),
            'ادخال البيانات'!$D$3:$D$1164
         ),
         ""
      ),
      IF(_xlpm.result="", "", _xlpm.result)
   )
)</f>
        <v/>
      </c>
      <c r="E1003" s="27" t="str" cm="1">
        <f t="array" ref="E1003">IF(
   A1003="",
   "",
   _xlfn.LET(
      _xlpm.result,
      IFERROR(
         _xlfn.XLOOKUP(
            1,
            (Table8[رقم الصنف]=A1003) *
            (IF($B$9="الكل",1, YEAR('ادخال البيانات'!$N$3:$N$1164)=VALUE($B$9))) *
            (IF($B$10="الكل",1, MONTH('ادخال البيانات'!$N$3:$N$1164)=VALUE($B$10))) *
            (IF($B$11="الكل",1, INT((DAY('ادخال البيانات'!$N$3:$N$1164)-1)/7)+1 = VALUE($B$11))),
            'ادخال البيانات'!$E$3:$E$1164
         ),
         ""
      ),
      IF(_xlpm.result="", "", _xlpm.result)
   )
)</f>
        <v/>
      </c>
      <c r="F1003" s="27" t="str" cm="1">
        <f t="array" ref="F1003">IF(
   A1003="",
   "",
   _xlfn.LET(
      _xlpm.result,
      IFERROR(
         _xlfn.XLOOKUP(
            1,
            (Table8[رقم الصنف]=A1003) *
            (IF($B$9="الكل",1, YEAR('ادخال البيانات'!$N$3:$N$1164) = VALUE($B$9))) *
            (IF($B$10="الكل",1, MONTH('ادخال البيانات'!$N$3:$N$1164) = VALUE($B$10))) *
            (IF($B$11="الكل",1, INT((DAY('ادخال البيانات'!$N$3:$N$1164)-1)/7)+1 = VALUE($B$11))),
            'ادخال البيانات'!$F$3:$F$1164
         ),
         ""
      ),
      IF(_xlpm.result="", "", _xlpm.result)
   )
)</f>
        <v/>
      </c>
      <c r="G1003" s="27" t="str" cm="1">
        <f t="array" ref="G1003">IF(
   A1003="",
   "",
   _xlfn.LET(
      _xlpm.result,
      IFERROR(
         _xlfn.XLOOKUP(
            1,
            (Table8[رقم الصنف]=A1003) *
            (IF($B$9="الكل",1, YEAR('ادخال البيانات'!$N$3:$N$1164)=VALUE($B$9))) *
            (IF($B$10="الكل",1, MONTH('ادخال البيانات'!$N$3:$N$1164)=VALUE($B$10))) *
            (IF($B$11="الكل",1, INT((DAY('ادخال البيانات'!$N$3:$N$1164)-1)/7)+1 = VALUE($B$11))),
            'ادخال البيانات'!$G$3:$G$1164
         ),
         ""
      ),
      IF(_xlpm.result="", "", _xlpm.result)
   )
)</f>
        <v/>
      </c>
      <c r="H1003" s="27" t="str" cm="1">
        <f t="array" ref="H1003">IF(
   A1003="",
   "",
   _xlfn.LET(
      _xlpm.result,
      IFERROR(
         _xlfn.XLOOKUP(
            1,
            (Table8[رقم الصنف]=A1003) *
            (IF($B$9="الكل",1, YEAR('ادخال البيانات'!$N$3:$N$1164)=VALUE($B$9))) *
            (IF($B$10="الكل",1, MONTH('ادخال البيانات'!$N$3:$N$1164)=VALUE($B$10))) *
            (IF($B$11="الكل",1, INT((DAY('ادخال البيانات'!$N$3:$N$1164)-1)/7)+1 = VALUE($B$11))),
            'ادخال البيانات'!$H$3:$H$1164
         ),
         ""
      ),
      IF(_xlpm.result="", "", _xlpm.result)
   )
)</f>
        <v/>
      </c>
      <c r="I1003" s="27" t="str" cm="1">
        <f t="array" ref="I1003">IF(
   A1003="",
   "",
   _xlfn.LET(
      _xlpm.result,
      IFERROR(
         _xlfn.XLOOKUP(
            1,
            (Table8[رقم الصنف]=A1003) *
            (IF($B$9="الكل",1, YEAR('ادخال البيانات'!$N$3:$N$1164)=VALUE($B$9))) *
            (IF($B$10="الكل",1, MONTH('ادخال البيانات'!$N$3:$N$1164)=VALUE($B$10))) *
            (IF($B$11="الكل",1, INT((DAY('ادخال البيانات'!$N$3:$N$1164)-1)/7)+1 = VALUE($B$11))),
            'ادخال البيانات'!$I$3:$I$1164
         ),
         ""
      ),
      IF(_xlpm.result="", "", _xlpm.result)
   )
)</f>
        <v/>
      </c>
      <c r="J1003" s="27" t="str" cm="1">
        <f t="array" ref="J1003">IF(
   A1003="",
   "",
   _xlfn.LET(
      _xlpm.result,
      IFERROR(
         _xlfn.XLOOKUP(
            1,
            (Table8[رقم الصنف]=A1003) *
            (IF($B$9="الكل",1, YEAR('ادخال البيانات'!$N$3:$N$1164)=VALUE($B$9))) *
            (IF($B$10="الكل",1, MONTH('ادخال البيانات'!$N$3:$N$1164)=VALUE($B$10))) *
            (IF($B$11="الكل",1, INT((DAY('ادخال البيانات'!$N$3:$N$1164)-1)/7)+1 = VALUE($B$11))),
            'ادخال البيانات'!$J$3:$J$1164
         ),
         ""
      ),
      IF(_xlpm.result="", "", _xlpm.result)
   )
)</f>
        <v/>
      </c>
      <c r="K1003" s="27" t="str" cm="1">
        <f t="array" ref="K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3" s="27" t="str" cm="1">
        <f t="array" ref="L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3" s="27" t="str" cm="1">
        <f t="array" ref="M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3" s="28" t="str" cm="1">
        <f t="array" ref="N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3" s="28" t="str" cm="1">
        <f t="array" ref="O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3" s="27" t="str" cm="1">
        <f t="array" ref="P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Table8[جهة العطل]
         ),
         ""
      ),
      IF(_xlpm.result="", "", _xlpm.result)
   )
)</f>
        <v/>
      </c>
      <c r="Q1003" s="27" t="str" cm="1">
        <f t="array" ref="Q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Table8[المركز]
         ),
         ""
      ),
      IF(_xlpm.result="", "", _xlpm.result)
   )
)</f>
        <v/>
      </c>
      <c r="R1003" s="27" t="str" cm="1">
        <f t="array" ref="R1003">IF(
   A1003="",
   "",
   _xlfn.LET(
      _xlpm.result,
      IFERROR(
         _xlfn.XLOOKUP(
            1,
            (Table8[رقم الصنف]=A1003) *
            (IF($B$9="الكل",1, YEAR('ادخال البيانات'!$N$3:$N$1164) = VALUE($B$9))) *
            (IF($B$10="الكل",1, MONTH('ادخال البيانات'!$N$3:$N$1164) = VALUE($B$10))) *
            (IF($B$11="الكل",1, INT((DAY('ادخال البيانات'!$N$3:$N$1164) - 1) / 7) + 1 = VALUE($B$11))),
            Table8[ملاحظة]
         ),
         ""
      ),
      IF(_xlpm.result="", "", _xlpm.result)
   )
)</f>
        <v/>
      </c>
      <c r="S1003" s="46" t="str">
        <f t="shared" ca="1" si="16"/>
        <v/>
      </c>
    </row>
    <row r="1004" spans="1:19" ht="15.6" thickTop="1" thickBot="1" x14ac:dyDescent="0.35">
      <c r="A1004" s="39"/>
      <c r="B1004" s="27" t="str" cm="1">
        <f t="array" ref="B1004">IF(
   OR(A1004="", $B$9="", $B$10="", $B$11=""),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4" s="27" t="str" cm="1">
        <f t="array" ref="C1004">IF(
   A1004="",
   "",
   _xlfn.LET(
      _xlpm.result,
      IFERROR(
         _xlfn.XLOOKUP(
            1,
            (Table8[رقم الصنف]=A1004) *
            (IF($B$9="الكل",1, YEAR('ادخال البيانات'!$N$3:$N$1164) = VALUE($B$9))) *
            (IF($B$10="الكل",1, MONTH('ادخال البيانات'!$N$3:$N$1164) = VALUE($B$10))) *
            (IF($B$11="الكل",1, INT((DAY('ادخال البيانات'!$N$3:$N$1164)-1)/7)+1 = VALUE($B$11))),
            'ادخال البيانات'!$C$3:$C$1164
         ),
         ""
      ),
      IF(_xlpm.result="", "", _xlpm.result)
   )
)</f>
        <v/>
      </c>
      <c r="D1004" s="27" t="str" cm="1">
        <f t="array" ref="D1004">IF(
   OR(A1004="", $B$9="", $B$10="", $B$11=""),
   "",
   _xlfn.LET(
      _xlpm.result,
      IFERROR(
         _xlfn.XLOOKUP(
            1,
            (Table8[رقم الصنف]=A1004) *
            (IF($B$9="الكل",1, YEAR('ادخال البيانات'!$N$3:$N$1164)=VALUE($B$9))) *
            (IF($B$10="الكل",1, MONTH('ادخال البيانات'!$N$3:$N$1164)=VALUE($B$10))) *
            (IF($B$11="الكل",1, INT((DAY('ادخال البيانات'!$N$3:$N$1164)-1)/7)+1 = VALUE($B$11))),
            'ادخال البيانات'!$D$3:$D$1164
         ),
         ""
      ),
      IF(_xlpm.result="", "", _xlpm.result)
   )
)</f>
        <v/>
      </c>
      <c r="E1004" s="27" t="str" cm="1">
        <f t="array" ref="E1004">IF(
   A1004="",
   "",
   _xlfn.LET(
      _xlpm.result,
      IFERROR(
         _xlfn.XLOOKUP(
            1,
            (Table8[رقم الصنف]=A1004) *
            (IF($B$9="الكل",1, YEAR('ادخال البيانات'!$N$3:$N$1164)=VALUE($B$9))) *
            (IF($B$10="الكل",1, MONTH('ادخال البيانات'!$N$3:$N$1164)=VALUE($B$10))) *
            (IF($B$11="الكل",1, INT((DAY('ادخال البيانات'!$N$3:$N$1164)-1)/7)+1 = VALUE($B$11))),
            'ادخال البيانات'!$E$3:$E$1164
         ),
         ""
      ),
      IF(_xlpm.result="", "", _xlpm.result)
   )
)</f>
        <v/>
      </c>
      <c r="F1004" s="27" t="str" cm="1">
        <f t="array" ref="F1004">IF(
   A1004="",
   "",
   _xlfn.LET(
      _xlpm.result,
      IFERROR(
         _xlfn.XLOOKUP(
            1,
            (Table8[رقم الصنف]=A1004) *
            (IF($B$9="الكل",1, YEAR('ادخال البيانات'!$N$3:$N$1164) = VALUE($B$9))) *
            (IF($B$10="الكل",1, MONTH('ادخال البيانات'!$N$3:$N$1164) = VALUE($B$10))) *
            (IF($B$11="الكل",1, INT((DAY('ادخال البيانات'!$N$3:$N$1164)-1)/7)+1 = VALUE($B$11))),
            'ادخال البيانات'!$F$3:$F$1164
         ),
         ""
      ),
      IF(_xlpm.result="", "", _xlpm.result)
   )
)</f>
        <v/>
      </c>
      <c r="G1004" s="27" t="str" cm="1">
        <f t="array" ref="G1004">IF(
   A1004="",
   "",
   _xlfn.LET(
      _xlpm.result,
      IFERROR(
         _xlfn.XLOOKUP(
            1,
            (Table8[رقم الصنف]=A1004) *
            (IF($B$9="الكل",1, YEAR('ادخال البيانات'!$N$3:$N$1164)=VALUE($B$9))) *
            (IF($B$10="الكل",1, MONTH('ادخال البيانات'!$N$3:$N$1164)=VALUE($B$10))) *
            (IF($B$11="الكل",1, INT((DAY('ادخال البيانات'!$N$3:$N$1164)-1)/7)+1 = VALUE($B$11))),
            'ادخال البيانات'!$G$3:$G$1164
         ),
         ""
      ),
      IF(_xlpm.result="", "", _xlpm.result)
   )
)</f>
        <v/>
      </c>
      <c r="H1004" s="27" t="str" cm="1">
        <f t="array" ref="H1004">IF(
   A1004="",
   "",
   _xlfn.LET(
      _xlpm.result,
      IFERROR(
         _xlfn.XLOOKUP(
            1,
            (Table8[رقم الصنف]=A1004) *
            (IF($B$9="الكل",1, YEAR('ادخال البيانات'!$N$3:$N$1164)=VALUE($B$9))) *
            (IF($B$10="الكل",1, MONTH('ادخال البيانات'!$N$3:$N$1164)=VALUE($B$10))) *
            (IF($B$11="الكل",1, INT((DAY('ادخال البيانات'!$N$3:$N$1164)-1)/7)+1 = VALUE($B$11))),
            'ادخال البيانات'!$H$3:$H$1164
         ),
         ""
      ),
      IF(_xlpm.result="", "", _xlpm.result)
   )
)</f>
        <v/>
      </c>
      <c r="I1004" s="27" t="str" cm="1">
        <f t="array" ref="I1004">IF(
   A1004="",
   "",
   _xlfn.LET(
      _xlpm.result,
      IFERROR(
         _xlfn.XLOOKUP(
            1,
            (Table8[رقم الصنف]=A1004) *
            (IF($B$9="الكل",1, YEAR('ادخال البيانات'!$N$3:$N$1164)=VALUE($B$9))) *
            (IF($B$10="الكل",1, MONTH('ادخال البيانات'!$N$3:$N$1164)=VALUE($B$10))) *
            (IF($B$11="الكل",1, INT((DAY('ادخال البيانات'!$N$3:$N$1164)-1)/7)+1 = VALUE($B$11))),
            'ادخال البيانات'!$I$3:$I$1164
         ),
         ""
      ),
      IF(_xlpm.result="", "", _xlpm.result)
   )
)</f>
        <v/>
      </c>
      <c r="J1004" s="27" t="str" cm="1">
        <f t="array" ref="J1004">IF(
   A1004="",
   "",
   _xlfn.LET(
      _xlpm.result,
      IFERROR(
         _xlfn.XLOOKUP(
            1,
            (Table8[رقم الصنف]=A1004) *
            (IF($B$9="الكل",1, YEAR('ادخال البيانات'!$N$3:$N$1164)=VALUE($B$9))) *
            (IF($B$10="الكل",1, MONTH('ادخال البيانات'!$N$3:$N$1164)=VALUE($B$10))) *
            (IF($B$11="الكل",1, INT((DAY('ادخال البيانات'!$N$3:$N$1164)-1)/7)+1 = VALUE($B$11))),
            'ادخال البيانات'!$J$3:$J$1164
         ),
         ""
      ),
      IF(_xlpm.result="", "", _xlpm.result)
   )
)</f>
        <v/>
      </c>
      <c r="K1004" s="27" t="str" cm="1">
        <f t="array" ref="K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4" s="27" t="str" cm="1">
        <f t="array" ref="L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4" s="27" t="str" cm="1">
        <f t="array" ref="M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4" s="28" t="str" cm="1">
        <f t="array" ref="N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4" s="28" t="str" cm="1">
        <f t="array" ref="O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4" s="27" t="str" cm="1">
        <f t="array" ref="P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Table8[جهة العطل]
         ),
         ""
      ),
      IF(_xlpm.result="", "", _xlpm.result)
   )
)</f>
        <v/>
      </c>
      <c r="Q1004" s="27" t="str" cm="1">
        <f t="array" ref="Q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Table8[المركز]
         ),
         ""
      ),
      IF(_xlpm.result="", "", _xlpm.result)
   )
)</f>
        <v/>
      </c>
      <c r="R1004" s="27" t="str" cm="1">
        <f t="array" ref="R1004">IF(
   A1004="",
   "",
   _xlfn.LET(
      _xlpm.result,
      IFERROR(
         _xlfn.XLOOKUP(
            1,
            (Table8[رقم الصنف]=A1004) *
            (IF($B$9="الكل",1, YEAR('ادخال البيانات'!$N$3:$N$1164) = VALUE($B$9))) *
            (IF($B$10="الكل",1, MONTH('ادخال البيانات'!$N$3:$N$1164) = VALUE($B$10))) *
            (IF($B$11="الكل",1, INT((DAY('ادخال البيانات'!$N$3:$N$1164) - 1) / 7) + 1 = VALUE($B$11))),
            Table8[ملاحظة]
         ),
         ""
      ),
      IF(_xlpm.result="", "", _xlpm.result)
   )
)</f>
        <v/>
      </c>
      <c r="S1004" s="46" t="str">
        <f t="shared" ca="1" si="16"/>
        <v/>
      </c>
    </row>
    <row r="1005" spans="1:19" ht="15.6" thickTop="1" thickBot="1" x14ac:dyDescent="0.35">
      <c r="A1005" s="39"/>
      <c r="B1005" s="27" t="str" cm="1">
        <f t="array" ref="B1005">IF(
   OR(A1005="", $B$9="", $B$10="", $B$11=""),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5" s="27" t="str" cm="1">
        <f t="array" ref="C1005">IF(
   A1005="",
   "",
   _xlfn.LET(
      _xlpm.result,
      IFERROR(
         _xlfn.XLOOKUP(
            1,
            (Table8[رقم الصنف]=A1005) *
            (IF($B$9="الكل",1, YEAR('ادخال البيانات'!$N$3:$N$1164) = VALUE($B$9))) *
            (IF($B$10="الكل",1, MONTH('ادخال البيانات'!$N$3:$N$1164) = VALUE($B$10))) *
            (IF($B$11="الكل",1, INT((DAY('ادخال البيانات'!$N$3:$N$1164)-1)/7)+1 = VALUE($B$11))),
            'ادخال البيانات'!$C$3:$C$1164
         ),
         ""
      ),
      IF(_xlpm.result="", "", _xlpm.result)
   )
)</f>
        <v/>
      </c>
      <c r="D1005" s="27" t="str" cm="1">
        <f t="array" ref="D1005">IF(
   OR(A1005="", $B$9="", $B$10="", $B$11=""),
   "",
   _xlfn.LET(
      _xlpm.result,
      IFERROR(
         _xlfn.XLOOKUP(
            1,
            (Table8[رقم الصنف]=A1005) *
            (IF($B$9="الكل",1, YEAR('ادخال البيانات'!$N$3:$N$1164)=VALUE($B$9))) *
            (IF($B$10="الكل",1, MONTH('ادخال البيانات'!$N$3:$N$1164)=VALUE($B$10))) *
            (IF($B$11="الكل",1, INT((DAY('ادخال البيانات'!$N$3:$N$1164)-1)/7)+1 = VALUE($B$11))),
            'ادخال البيانات'!$D$3:$D$1164
         ),
         ""
      ),
      IF(_xlpm.result="", "", _xlpm.result)
   )
)</f>
        <v/>
      </c>
      <c r="E1005" s="27" t="str" cm="1">
        <f t="array" ref="E1005">IF(
   A1005="",
   "",
   _xlfn.LET(
      _xlpm.result,
      IFERROR(
         _xlfn.XLOOKUP(
            1,
            (Table8[رقم الصنف]=A1005) *
            (IF($B$9="الكل",1, YEAR('ادخال البيانات'!$N$3:$N$1164)=VALUE($B$9))) *
            (IF($B$10="الكل",1, MONTH('ادخال البيانات'!$N$3:$N$1164)=VALUE($B$10))) *
            (IF($B$11="الكل",1, INT((DAY('ادخال البيانات'!$N$3:$N$1164)-1)/7)+1 = VALUE($B$11))),
            'ادخال البيانات'!$E$3:$E$1164
         ),
         ""
      ),
      IF(_xlpm.result="", "", _xlpm.result)
   )
)</f>
        <v/>
      </c>
      <c r="F1005" s="27" t="str" cm="1">
        <f t="array" ref="F1005">IF(
   A1005="",
   "",
   _xlfn.LET(
      _xlpm.result,
      IFERROR(
         _xlfn.XLOOKUP(
            1,
            (Table8[رقم الصنف]=A1005) *
            (IF($B$9="الكل",1, YEAR('ادخال البيانات'!$N$3:$N$1164) = VALUE($B$9))) *
            (IF($B$10="الكل",1, MONTH('ادخال البيانات'!$N$3:$N$1164) = VALUE($B$10))) *
            (IF($B$11="الكل",1, INT((DAY('ادخال البيانات'!$N$3:$N$1164)-1)/7)+1 = VALUE($B$11))),
            'ادخال البيانات'!$F$3:$F$1164
         ),
         ""
      ),
      IF(_xlpm.result="", "", _xlpm.result)
   )
)</f>
        <v/>
      </c>
      <c r="G1005" s="27" t="str" cm="1">
        <f t="array" ref="G1005">IF(
   A1005="",
   "",
   _xlfn.LET(
      _xlpm.result,
      IFERROR(
         _xlfn.XLOOKUP(
            1,
            (Table8[رقم الصنف]=A1005) *
            (IF($B$9="الكل",1, YEAR('ادخال البيانات'!$N$3:$N$1164)=VALUE($B$9))) *
            (IF($B$10="الكل",1, MONTH('ادخال البيانات'!$N$3:$N$1164)=VALUE($B$10))) *
            (IF($B$11="الكل",1, INT((DAY('ادخال البيانات'!$N$3:$N$1164)-1)/7)+1 = VALUE($B$11))),
            'ادخال البيانات'!$G$3:$G$1164
         ),
         ""
      ),
      IF(_xlpm.result="", "", _xlpm.result)
   )
)</f>
        <v/>
      </c>
      <c r="H1005" s="27" t="str" cm="1">
        <f t="array" ref="H1005">IF(
   A1005="",
   "",
   _xlfn.LET(
      _xlpm.result,
      IFERROR(
         _xlfn.XLOOKUP(
            1,
            (Table8[رقم الصنف]=A1005) *
            (IF($B$9="الكل",1, YEAR('ادخال البيانات'!$N$3:$N$1164)=VALUE($B$9))) *
            (IF($B$10="الكل",1, MONTH('ادخال البيانات'!$N$3:$N$1164)=VALUE($B$10))) *
            (IF($B$11="الكل",1, INT((DAY('ادخال البيانات'!$N$3:$N$1164)-1)/7)+1 = VALUE($B$11))),
            'ادخال البيانات'!$H$3:$H$1164
         ),
         ""
      ),
      IF(_xlpm.result="", "", _xlpm.result)
   )
)</f>
        <v/>
      </c>
      <c r="I1005" s="27" t="str" cm="1">
        <f t="array" ref="I1005">IF(
   A1005="",
   "",
   _xlfn.LET(
      _xlpm.result,
      IFERROR(
         _xlfn.XLOOKUP(
            1,
            (Table8[رقم الصنف]=A1005) *
            (IF($B$9="الكل",1, YEAR('ادخال البيانات'!$N$3:$N$1164)=VALUE($B$9))) *
            (IF($B$10="الكل",1, MONTH('ادخال البيانات'!$N$3:$N$1164)=VALUE($B$10))) *
            (IF($B$11="الكل",1, INT((DAY('ادخال البيانات'!$N$3:$N$1164)-1)/7)+1 = VALUE($B$11))),
            'ادخال البيانات'!$I$3:$I$1164
         ),
         ""
      ),
      IF(_xlpm.result="", "", _xlpm.result)
   )
)</f>
        <v/>
      </c>
      <c r="J1005" s="27" t="str" cm="1">
        <f t="array" ref="J1005">IF(
   A1005="",
   "",
   _xlfn.LET(
      _xlpm.result,
      IFERROR(
         _xlfn.XLOOKUP(
            1,
            (Table8[رقم الصنف]=A1005) *
            (IF($B$9="الكل",1, YEAR('ادخال البيانات'!$N$3:$N$1164)=VALUE($B$9))) *
            (IF($B$10="الكل",1, MONTH('ادخال البيانات'!$N$3:$N$1164)=VALUE($B$10))) *
            (IF($B$11="الكل",1, INT((DAY('ادخال البيانات'!$N$3:$N$1164)-1)/7)+1 = VALUE($B$11))),
            'ادخال البيانات'!$J$3:$J$1164
         ),
         ""
      ),
      IF(_xlpm.result="", "", _xlpm.result)
   )
)</f>
        <v/>
      </c>
      <c r="K1005" s="27" t="str" cm="1">
        <f t="array" ref="K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5" s="27" t="str" cm="1">
        <f t="array" ref="L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5" s="27" t="str" cm="1">
        <f t="array" ref="M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5" s="28" t="str" cm="1">
        <f t="array" ref="N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5" s="28" t="str" cm="1">
        <f t="array" ref="O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5" s="27" t="str" cm="1">
        <f t="array" ref="P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Table8[جهة العطل]
         ),
         ""
      ),
      IF(_xlpm.result="", "", _xlpm.result)
   )
)</f>
        <v/>
      </c>
      <c r="Q1005" s="27" t="str" cm="1">
        <f t="array" ref="Q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Table8[المركز]
         ),
         ""
      ),
      IF(_xlpm.result="", "", _xlpm.result)
   )
)</f>
        <v/>
      </c>
      <c r="R1005" s="27" t="str" cm="1">
        <f t="array" ref="R1005">IF(
   A1005="",
   "",
   _xlfn.LET(
      _xlpm.result,
      IFERROR(
         _xlfn.XLOOKUP(
            1,
            (Table8[رقم الصنف]=A1005) *
            (IF($B$9="الكل",1, YEAR('ادخال البيانات'!$N$3:$N$1164) = VALUE($B$9))) *
            (IF($B$10="الكل",1, MONTH('ادخال البيانات'!$N$3:$N$1164) = VALUE($B$10))) *
            (IF($B$11="الكل",1, INT((DAY('ادخال البيانات'!$N$3:$N$1164) - 1) / 7) + 1 = VALUE($B$11))),
            Table8[ملاحظة]
         ),
         ""
      ),
      IF(_xlpm.result="", "", _xlpm.result)
   )
)</f>
        <v/>
      </c>
      <c r="S1005" s="46" t="str">
        <f t="shared" ca="1" si="16"/>
        <v/>
      </c>
    </row>
    <row r="1006" spans="1:19" ht="15.6" thickTop="1" thickBot="1" x14ac:dyDescent="0.35">
      <c r="A1006" s="39"/>
      <c r="B1006" s="27" t="str" cm="1">
        <f t="array" ref="B1006">IF(
   OR(A1006="", $B$9="", $B$10="", $B$11=""),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6" s="27" t="str" cm="1">
        <f t="array" ref="C1006">IF(
   A1006="",
   "",
   _xlfn.LET(
      _xlpm.result,
      IFERROR(
         _xlfn.XLOOKUP(
            1,
            (Table8[رقم الصنف]=A1006) *
            (IF($B$9="الكل",1, YEAR('ادخال البيانات'!$N$3:$N$1164) = VALUE($B$9))) *
            (IF($B$10="الكل",1, MONTH('ادخال البيانات'!$N$3:$N$1164) = VALUE($B$10))) *
            (IF($B$11="الكل",1, INT((DAY('ادخال البيانات'!$N$3:$N$1164)-1)/7)+1 = VALUE($B$11))),
            'ادخال البيانات'!$C$3:$C$1164
         ),
         ""
      ),
      IF(_xlpm.result="", "", _xlpm.result)
   )
)</f>
        <v/>
      </c>
      <c r="D1006" s="27" t="str" cm="1">
        <f t="array" ref="D1006">IF(
   OR(A1006="", $B$9="", $B$10="", $B$11=""),
   "",
   _xlfn.LET(
      _xlpm.result,
      IFERROR(
         _xlfn.XLOOKUP(
            1,
            (Table8[رقم الصنف]=A1006) *
            (IF($B$9="الكل",1, YEAR('ادخال البيانات'!$N$3:$N$1164)=VALUE($B$9))) *
            (IF($B$10="الكل",1, MONTH('ادخال البيانات'!$N$3:$N$1164)=VALUE($B$10))) *
            (IF($B$11="الكل",1, INT((DAY('ادخال البيانات'!$N$3:$N$1164)-1)/7)+1 = VALUE($B$11))),
            'ادخال البيانات'!$D$3:$D$1164
         ),
         ""
      ),
      IF(_xlpm.result="", "", _xlpm.result)
   )
)</f>
        <v/>
      </c>
      <c r="E1006" s="27" t="str" cm="1">
        <f t="array" ref="E1006">IF(
   A1006="",
   "",
   _xlfn.LET(
      _xlpm.result,
      IFERROR(
         _xlfn.XLOOKUP(
            1,
            (Table8[رقم الصنف]=A1006) *
            (IF($B$9="الكل",1, YEAR('ادخال البيانات'!$N$3:$N$1164)=VALUE($B$9))) *
            (IF($B$10="الكل",1, MONTH('ادخال البيانات'!$N$3:$N$1164)=VALUE($B$10))) *
            (IF($B$11="الكل",1, INT((DAY('ادخال البيانات'!$N$3:$N$1164)-1)/7)+1 = VALUE($B$11))),
            'ادخال البيانات'!$E$3:$E$1164
         ),
         ""
      ),
      IF(_xlpm.result="", "", _xlpm.result)
   )
)</f>
        <v/>
      </c>
      <c r="F1006" s="27" t="str" cm="1">
        <f t="array" ref="F1006">IF(
   A1006="",
   "",
   _xlfn.LET(
      _xlpm.result,
      IFERROR(
         _xlfn.XLOOKUP(
            1,
            (Table8[رقم الصنف]=A1006) *
            (IF($B$9="الكل",1, YEAR('ادخال البيانات'!$N$3:$N$1164) = VALUE($B$9))) *
            (IF($B$10="الكل",1, MONTH('ادخال البيانات'!$N$3:$N$1164) = VALUE($B$10))) *
            (IF($B$11="الكل",1, INT((DAY('ادخال البيانات'!$N$3:$N$1164)-1)/7)+1 = VALUE($B$11))),
            'ادخال البيانات'!$F$3:$F$1164
         ),
         ""
      ),
      IF(_xlpm.result="", "", _xlpm.result)
   )
)</f>
        <v/>
      </c>
      <c r="G1006" s="27" t="str" cm="1">
        <f t="array" ref="G1006">IF(
   A1006="",
   "",
   _xlfn.LET(
      _xlpm.result,
      IFERROR(
         _xlfn.XLOOKUP(
            1,
            (Table8[رقم الصنف]=A1006) *
            (IF($B$9="الكل",1, YEAR('ادخال البيانات'!$N$3:$N$1164)=VALUE($B$9))) *
            (IF($B$10="الكل",1, MONTH('ادخال البيانات'!$N$3:$N$1164)=VALUE($B$10))) *
            (IF($B$11="الكل",1, INT((DAY('ادخال البيانات'!$N$3:$N$1164)-1)/7)+1 = VALUE($B$11))),
            'ادخال البيانات'!$G$3:$G$1164
         ),
         ""
      ),
      IF(_xlpm.result="", "", _xlpm.result)
   )
)</f>
        <v/>
      </c>
      <c r="H1006" s="27" t="str" cm="1">
        <f t="array" ref="H1006">IF(
   A1006="",
   "",
   _xlfn.LET(
      _xlpm.result,
      IFERROR(
         _xlfn.XLOOKUP(
            1,
            (Table8[رقم الصنف]=A1006) *
            (IF($B$9="الكل",1, YEAR('ادخال البيانات'!$N$3:$N$1164)=VALUE($B$9))) *
            (IF($B$10="الكل",1, MONTH('ادخال البيانات'!$N$3:$N$1164)=VALUE($B$10))) *
            (IF($B$11="الكل",1, INT((DAY('ادخال البيانات'!$N$3:$N$1164)-1)/7)+1 = VALUE($B$11))),
            'ادخال البيانات'!$H$3:$H$1164
         ),
         ""
      ),
      IF(_xlpm.result="", "", _xlpm.result)
   )
)</f>
        <v/>
      </c>
      <c r="I1006" s="27" t="str" cm="1">
        <f t="array" ref="I1006">IF(
   A1006="",
   "",
   _xlfn.LET(
      _xlpm.result,
      IFERROR(
         _xlfn.XLOOKUP(
            1,
            (Table8[رقم الصنف]=A1006) *
            (IF($B$9="الكل",1, YEAR('ادخال البيانات'!$N$3:$N$1164)=VALUE($B$9))) *
            (IF($B$10="الكل",1, MONTH('ادخال البيانات'!$N$3:$N$1164)=VALUE($B$10))) *
            (IF($B$11="الكل",1, INT((DAY('ادخال البيانات'!$N$3:$N$1164)-1)/7)+1 = VALUE($B$11))),
            'ادخال البيانات'!$I$3:$I$1164
         ),
         ""
      ),
      IF(_xlpm.result="", "", _xlpm.result)
   )
)</f>
        <v/>
      </c>
      <c r="J1006" s="27" t="str" cm="1">
        <f t="array" ref="J1006">IF(
   A1006="",
   "",
   _xlfn.LET(
      _xlpm.result,
      IFERROR(
         _xlfn.XLOOKUP(
            1,
            (Table8[رقم الصنف]=A1006) *
            (IF($B$9="الكل",1, YEAR('ادخال البيانات'!$N$3:$N$1164)=VALUE($B$9))) *
            (IF($B$10="الكل",1, MONTH('ادخال البيانات'!$N$3:$N$1164)=VALUE($B$10))) *
            (IF($B$11="الكل",1, INT((DAY('ادخال البيانات'!$N$3:$N$1164)-1)/7)+1 = VALUE($B$11))),
            'ادخال البيانات'!$J$3:$J$1164
         ),
         ""
      ),
      IF(_xlpm.result="", "", _xlpm.result)
   )
)</f>
        <v/>
      </c>
      <c r="K1006" s="27" t="str" cm="1">
        <f t="array" ref="K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6" s="27" t="str" cm="1">
        <f t="array" ref="L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6" s="27" t="str" cm="1">
        <f t="array" ref="M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6" s="28" t="str" cm="1">
        <f t="array" ref="N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6" s="28" t="str" cm="1">
        <f t="array" ref="O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6" s="27" t="str" cm="1">
        <f t="array" ref="P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Table8[جهة العطل]
         ),
         ""
      ),
      IF(_xlpm.result="", "", _xlpm.result)
   )
)</f>
        <v/>
      </c>
      <c r="Q1006" s="27" t="str" cm="1">
        <f t="array" ref="Q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Table8[المركز]
         ),
         ""
      ),
      IF(_xlpm.result="", "", _xlpm.result)
   )
)</f>
        <v/>
      </c>
      <c r="R1006" s="27" t="str" cm="1">
        <f t="array" ref="R1006">IF(
   A1006="",
   "",
   _xlfn.LET(
      _xlpm.result,
      IFERROR(
         _xlfn.XLOOKUP(
            1,
            (Table8[رقم الصنف]=A1006) *
            (IF($B$9="الكل",1, YEAR('ادخال البيانات'!$N$3:$N$1164) = VALUE($B$9))) *
            (IF($B$10="الكل",1, MONTH('ادخال البيانات'!$N$3:$N$1164) = VALUE($B$10))) *
            (IF($B$11="الكل",1, INT((DAY('ادخال البيانات'!$N$3:$N$1164) - 1) / 7) + 1 = VALUE($B$11))),
            Table8[ملاحظة]
         ),
         ""
      ),
      IF(_xlpm.result="", "", _xlpm.result)
   )
)</f>
        <v/>
      </c>
      <c r="S1006" s="46" t="str">
        <f t="shared" ca="1" si="16"/>
        <v/>
      </c>
    </row>
    <row r="1007" spans="1:19" ht="15.6" thickTop="1" thickBot="1" x14ac:dyDescent="0.35">
      <c r="A1007" s="39"/>
      <c r="B1007" s="27" t="str" cm="1">
        <f t="array" ref="B1007">IF(
   OR(A1007="", $B$9="", $B$10="", $B$11=""),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7" s="27" t="str" cm="1">
        <f t="array" ref="C1007">IF(
   A1007="",
   "",
   _xlfn.LET(
      _xlpm.result,
      IFERROR(
         _xlfn.XLOOKUP(
            1,
            (Table8[رقم الصنف]=A1007) *
            (IF($B$9="الكل",1, YEAR('ادخال البيانات'!$N$3:$N$1164) = VALUE($B$9))) *
            (IF($B$10="الكل",1, MONTH('ادخال البيانات'!$N$3:$N$1164) = VALUE($B$10))) *
            (IF($B$11="الكل",1, INT((DAY('ادخال البيانات'!$N$3:$N$1164)-1)/7)+1 = VALUE($B$11))),
            'ادخال البيانات'!$C$3:$C$1164
         ),
         ""
      ),
      IF(_xlpm.result="", "", _xlpm.result)
   )
)</f>
        <v/>
      </c>
      <c r="D1007" s="27" t="str" cm="1">
        <f t="array" ref="D1007">IF(
   OR(A1007="", $B$9="", $B$10="", $B$11=""),
   "",
   _xlfn.LET(
      _xlpm.result,
      IFERROR(
         _xlfn.XLOOKUP(
            1,
            (Table8[رقم الصنف]=A1007) *
            (IF($B$9="الكل",1, YEAR('ادخال البيانات'!$N$3:$N$1164)=VALUE($B$9))) *
            (IF($B$10="الكل",1, MONTH('ادخال البيانات'!$N$3:$N$1164)=VALUE($B$10))) *
            (IF($B$11="الكل",1, INT((DAY('ادخال البيانات'!$N$3:$N$1164)-1)/7)+1 = VALUE($B$11))),
            'ادخال البيانات'!$D$3:$D$1164
         ),
         ""
      ),
      IF(_xlpm.result="", "", _xlpm.result)
   )
)</f>
        <v/>
      </c>
      <c r="E1007" s="27" t="str" cm="1">
        <f t="array" ref="E1007">IF(
   A1007="",
   "",
   _xlfn.LET(
      _xlpm.result,
      IFERROR(
         _xlfn.XLOOKUP(
            1,
            (Table8[رقم الصنف]=A1007) *
            (IF($B$9="الكل",1, YEAR('ادخال البيانات'!$N$3:$N$1164)=VALUE($B$9))) *
            (IF($B$10="الكل",1, MONTH('ادخال البيانات'!$N$3:$N$1164)=VALUE($B$10))) *
            (IF($B$11="الكل",1, INT((DAY('ادخال البيانات'!$N$3:$N$1164)-1)/7)+1 = VALUE($B$11))),
            'ادخال البيانات'!$E$3:$E$1164
         ),
         ""
      ),
      IF(_xlpm.result="", "", _xlpm.result)
   )
)</f>
        <v/>
      </c>
      <c r="F1007" s="27" t="str" cm="1">
        <f t="array" ref="F1007">IF(
   A1007="",
   "",
   _xlfn.LET(
      _xlpm.result,
      IFERROR(
         _xlfn.XLOOKUP(
            1,
            (Table8[رقم الصنف]=A1007) *
            (IF($B$9="الكل",1, YEAR('ادخال البيانات'!$N$3:$N$1164) = VALUE($B$9))) *
            (IF($B$10="الكل",1, MONTH('ادخال البيانات'!$N$3:$N$1164) = VALUE($B$10))) *
            (IF($B$11="الكل",1, INT((DAY('ادخال البيانات'!$N$3:$N$1164)-1)/7)+1 = VALUE($B$11))),
            'ادخال البيانات'!$F$3:$F$1164
         ),
         ""
      ),
      IF(_xlpm.result="", "", _xlpm.result)
   )
)</f>
        <v/>
      </c>
      <c r="G1007" s="27" t="str" cm="1">
        <f t="array" ref="G1007">IF(
   A1007="",
   "",
   _xlfn.LET(
      _xlpm.result,
      IFERROR(
         _xlfn.XLOOKUP(
            1,
            (Table8[رقم الصنف]=A1007) *
            (IF($B$9="الكل",1, YEAR('ادخال البيانات'!$N$3:$N$1164)=VALUE($B$9))) *
            (IF($B$10="الكل",1, MONTH('ادخال البيانات'!$N$3:$N$1164)=VALUE($B$10))) *
            (IF($B$11="الكل",1, INT((DAY('ادخال البيانات'!$N$3:$N$1164)-1)/7)+1 = VALUE($B$11))),
            'ادخال البيانات'!$G$3:$G$1164
         ),
         ""
      ),
      IF(_xlpm.result="", "", _xlpm.result)
   )
)</f>
        <v/>
      </c>
      <c r="H1007" s="27" t="str" cm="1">
        <f t="array" ref="H1007">IF(
   A1007="",
   "",
   _xlfn.LET(
      _xlpm.result,
      IFERROR(
         _xlfn.XLOOKUP(
            1,
            (Table8[رقم الصنف]=A1007) *
            (IF($B$9="الكل",1, YEAR('ادخال البيانات'!$N$3:$N$1164)=VALUE($B$9))) *
            (IF($B$10="الكل",1, MONTH('ادخال البيانات'!$N$3:$N$1164)=VALUE($B$10))) *
            (IF($B$11="الكل",1, INT((DAY('ادخال البيانات'!$N$3:$N$1164)-1)/7)+1 = VALUE($B$11))),
            'ادخال البيانات'!$H$3:$H$1164
         ),
         ""
      ),
      IF(_xlpm.result="", "", _xlpm.result)
   )
)</f>
        <v/>
      </c>
      <c r="I1007" s="27" t="str" cm="1">
        <f t="array" ref="I1007">IF(
   A1007="",
   "",
   _xlfn.LET(
      _xlpm.result,
      IFERROR(
         _xlfn.XLOOKUP(
            1,
            (Table8[رقم الصنف]=A1007) *
            (IF($B$9="الكل",1, YEAR('ادخال البيانات'!$N$3:$N$1164)=VALUE($B$9))) *
            (IF($B$10="الكل",1, MONTH('ادخال البيانات'!$N$3:$N$1164)=VALUE($B$10))) *
            (IF($B$11="الكل",1, INT((DAY('ادخال البيانات'!$N$3:$N$1164)-1)/7)+1 = VALUE($B$11))),
            'ادخال البيانات'!$I$3:$I$1164
         ),
         ""
      ),
      IF(_xlpm.result="", "", _xlpm.result)
   )
)</f>
        <v/>
      </c>
      <c r="J1007" s="27" t="str" cm="1">
        <f t="array" ref="J1007">IF(
   A1007="",
   "",
   _xlfn.LET(
      _xlpm.result,
      IFERROR(
         _xlfn.XLOOKUP(
            1,
            (Table8[رقم الصنف]=A1007) *
            (IF($B$9="الكل",1, YEAR('ادخال البيانات'!$N$3:$N$1164)=VALUE($B$9))) *
            (IF($B$10="الكل",1, MONTH('ادخال البيانات'!$N$3:$N$1164)=VALUE($B$10))) *
            (IF($B$11="الكل",1, INT((DAY('ادخال البيانات'!$N$3:$N$1164)-1)/7)+1 = VALUE($B$11))),
            'ادخال البيانات'!$J$3:$J$1164
         ),
         ""
      ),
      IF(_xlpm.result="", "", _xlpm.result)
   )
)</f>
        <v/>
      </c>
      <c r="K1007" s="27" t="str" cm="1">
        <f t="array" ref="K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7" s="27" t="str" cm="1">
        <f t="array" ref="L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7" s="27" t="str" cm="1">
        <f t="array" ref="M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7" s="28" t="str" cm="1">
        <f t="array" ref="N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7" s="28" t="str" cm="1">
        <f t="array" ref="O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7" s="27" t="str" cm="1">
        <f t="array" ref="P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Table8[جهة العطل]
         ),
         ""
      ),
      IF(_xlpm.result="", "", _xlpm.result)
   )
)</f>
        <v/>
      </c>
      <c r="Q1007" s="27" t="str" cm="1">
        <f t="array" ref="Q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Table8[المركز]
         ),
         ""
      ),
      IF(_xlpm.result="", "", _xlpm.result)
   )
)</f>
        <v/>
      </c>
      <c r="R1007" s="27" t="str" cm="1">
        <f t="array" ref="R1007">IF(
   A1007="",
   "",
   _xlfn.LET(
      _xlpm.result,
      IFERROR(
         _xlfn.XLOOKUP(
            1,
            (Table8[رقم الصنف]=A1007) *
            (IF($B$9="الكل",1, YEAR('ادخال البيانات'!$N$3:$N$1164) = VALUE($B$9))) *
            (IF($B$10="الكل",1, MONTH('ادخال البيانات'!$N$3:$N$1164) = VALUE($B$10))) *
            (IF($B$11="الكل",1, INT((DAY('ادخال البيانات'!$N$3:$N$1164) - 1) / 7) + 1 = VALUE($B$11))),
            Table8[ملاحظة]
         ),
         ""
      ),
      IF(_xlpm.result="", "", _xlpm.result)
   )
)</f>
        <v/>
      </c>
      <c r="S1007" s="46" t="str">
        <f t="shared" ca="1" si="16"/>
        <v/>
      </c>
    </row>
    <row r="1008" spans="1:19" ht="15.6" thickTop="1" thickBot="1" x14ac:dyDescent="0.35">
      <c r="A1008" s="39"/>
      <c r="B1008" s="27" t="str" cm="1">
        <f t="array" ref="B1008">IF(
   OR(A1008="", $B$9="", $B$10="", $B$11=""),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8" s="27" t="str" cm="1">
        <f t="array" ref="C1008">IF(
   A1008="",
   "",
   _xlfn.LET(
      _xlpm.result,
      IFERROR(
         _xlfn.XLOOKUP(
            1,
            (Table8[رقم الصنف]=A1008) *
            (IF($B$9="الكل",1, YEAR('ادخال البيانات'!$N$3:$N$1164) = VALUE($B$9))) *
            (IF($B$10="الكل",1, MONTH('ادخال البيانات'!$N$3:$N$1164) = VALUE($B$10))) *
            (IF($B$11="الكل",1, INT((DAY('ادخال البيانات'!$N$3:$N$1164)-1)/7)+1 = VALUE($B$11))),
            'ادخال البيانات'!$C$3:$C$1164
         ),
         ""
      ),
      IF(_xlpm.result="", "", _xlpm.result)
   )
)</f>
        <v/>
      </c>
      <c r="D1008" s="27" t="str" cm="1">
        <f t="array" ref="D1008">IF(
   OR(A1008="", $B$9="", $B$10="", $B$11=""),
   "",
   _xlfn.LET(
      _xlpm.result,
      IFERROR(
         _xlfn.XLOOKUP(
            1,
            (Table8[رقم الصنف]=A1008) *
            (IF($B$9="الكل",1, YEAR('ادخال البيانات'!$N$3:$N$1164)=VALUE($B$9))) *
            (IF($B$10="الكل",1, MONTH('ادخال البيانات'!$N$3:$N$1164)=VALUE($B$10))) *
            (IF($B$11="الكل",1, INT((DAY('ادخال البيانات'!$N$3:$N$1164)-1)/7)+1 = VALUE($B$11))),
            'ادخال البيانات'!$D$3:$D$1164
         ),
         ""
      ),
      IF(_xlpm.result="", "", _xlpm.result)
   )
)</f>
        <v/>
      </c>
      <c r="E1008" s="27" t="str" cm="1">
        <f t="array" ref="E1008">IF(
   A1008="",
   "",
   _xlfn.LET(
      _xlpm.result,
      IFERROR(
         _xlfn.XLOOKUP(
            1,
            (Table8[رقم الصنف]=A1008) *
            (IF($B$9="الكل",1, YEAR('ادخال البيانات'!$N$3:$N$1164)=VALUE($B$9))) *
            (IF($B$10="الكل",1, MONTH('ادخال البيانات'!$N$3:$N$1164)=VALUE($B$10))) *
            (IF($B$11="الكل",1, INT((DAY('ادخال البيانات'!$N$3:$N$1164)-1)/7)+1 = VALUE($B$11))),
            'ادخال البيانات'!$E$3:$E$1164
         ),
         ""
      ),
      IF(_xlpm.result="", "", _xlpm.result)
   )
)</f>
        <v/>
      </c>
      <c r="F1008" s="27" t="str" cm="1">
        <f t="array" ref="F1008">IF(
   A1008="",
   "",
   _xlfn.LET(
      _xlpm.result,
      IFERROR(
         _xlfn.XLOOKUP(
            1,
            (Table8[رقم الصنف]=A1008) *
            (IF($B$9="الكل",1, YEAR('ادخال البيانات'!$N$3:$N$1164) = VALUE($B$9))) *
            (IF($B$10="الكل",1, MONTH('ادخال البيانات'!$N$3:$N$1164) = VALUE($B$10))) *
            (IF($B$11="الكل",1, INT((DAY('ادخال البيانات'!$N$3:$N$1164)-1)/7)+1 = VALUE($B$11))),
            'ادخال البيانات'!$F$3:$F$1164
         ),
         ""
      ),
      IF(_xlpm.result="", "", _xlpm.result)
   )
)</f>
        <v/>
      </c>
      <c r="G1008" s="27" t="str" cm="1">
        <f t="array" ref="G1008">IF(
   A1008="",
   "",
   _xlfn.LET(
      _xlpm.result,
      IFERROR(
         _xlfn.XLOOKUP(
            1,
            (Table8[رقم الصنف]=A1008) *
            (IF($B$9="الكل",1, YEAR('ادخال البيانات'!$N$3:$N$1164)=VALUE($B$9))) *
            (IF($B$10="الكل",1, MONTH('ادخال البيانات'!$N$3:$N$1164)=VALUE($B$10))) *
            (IF($B$11="الكل",1, INT((DAY('ادخال البيانات'!$N$3:$N$1164)-1)/7)+1 = VALUE($B$11))),
            'ادخال البيانات'!$G$3:$G$1164
         ),
         ""
      ),
      IF(_xlpm.result="", "", _xlpm.result)
   )
)</f>
        <v/>
      </c>
      <c r="H1008" s="27" t="str" cm="1">
        <f t="array" ref="H1008">IF(
   A1008="",
   "",
   _xlfn.LET(
      _xlpm.result,
      IFERROR(
         _xlfn.XLOOKUP(
            1,
            (Table8[رقم الصنف]=A1008) *
            (IF($B$9="الكل",1, YEAR('ادخال البيانات'!$N$3:$N$1164)=VALUE($B$9))) *
            (IF($B$10="الكل",1, MONTH('ادخال البيانات'!$N$3:$N$1164)=VALUE($B$10))) *
            (IF($B$11="الكل",1, INT((DAY('ادخال البيانات'!$N$3:$N$1164)-1)/7)+1 = VALUE($B$11))),
            'ادخال البيانات'!$H$3:$H$1164
         ),
         ""
      ),
      IF(_xlpm.result="", "", _xlpm.result)
   )
)</f>
        <v/>
      </c>
      <c r="I1008" s="27" t="str" cm="1">
        <f t="array" ref="I1008">IF(
   A1008="",
   "",
   _xlfn.LET(
      _xlpm.result,
      IFERROR(
         _xlfn.XLOOKUP(
            1,
            (Table8[رقم الصنف]=A1008) *
            (IF($B$9="الكل",1, YEAR('ادخال البيانات'!$N$3:$N$1164)=VALUE($B$9))) *
            (IF($B$10="الكل",1, MONTH('ادخال البيانات'!$N$3:$N$1164)=VALUE($B$10))) *
            (IF($B$11="الكل",1, INT((DAY('ادخال البيانات'!$N$3:$N$1164)-1)/7)+1 = VALUE($B$11))),
            'ادخال البيانات'!$I$3:$I$1164
         ),
         ""
      ),
      IF(_xlpm.result="", "", _xlpm.result)
   )
)</f>
        <v/>
      </c>
      <c r="J1008" s="27" t="str" cm="1">
        <f t="array" ref="J1008">IF(
   A1008="",
   "",
   _xlfn.LET(
      _xlpm.result,
      IFERROR(
         _xlfn.XLOOKUP(
            1,
            (Table8[رقم الصنف]=A1008) *
            (IF($B$9="الكل",1, YEAR('ادخال البيانات'!$N$3:$N$1164)=VALUE($B$9))) *
            (IF($B$10="الكل",1, MONTH('ادخال البيانات'!$N$3:$N$1164)=VALUE($B$10))) *
            (IF($B$11="الكل",1, INT((DAY('ادخال البيانات'!$N$3:$N$1164)-1)/7)+1 = VALUE($B$11))),
            'ادخال البيانات'!$J$3:$J$1164
         ),
         ""
      ),
      IF(_xlpm.result="", "", _xlpm.result)
   )
)</f>
        <v/>
      </c>
      <c r="K1008" s="27" t="str" cm="1">
        <f t="array" ref="K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8" s="27" t="str" cm="1">
        <f t="array" ref="L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8" s="27" t="str" cm="1">
        <f t="array" ref="M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8" s="28" t="str" cm="1">
        <f t="array" ref="N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8" s="28" t="str" cm="1">
        <f t="array" ref="O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8" s="27" t="str" cm="1">
        <f t="array" ref="P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Table8[جهة العطل]
         ),
         ""
      ),
      IF(_xlpm.result="", "", _xlpm.result)
   )
)</f>
        <v/>
      </c>
      <c r="Q1008" s="27" t="str" cm="1">
        <f t="array" ref="Q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Table8[المركز]
         ),
         ""
      ),
      IF(_xlpm.result="", "", _xlpm.result)
   )
)</f>
        <v/>
      </c>
      <c r="R1008" s="27" t="str" cm="1">
        <f t="array" ref="R1008">IF(
   A1008="",
   "",
   _xlfn.LET(
      _xlpm.result,
      IFERROR(
         _xlfn.XLOOKUP(
            1,
            (Table8[رقم الصنف]=A1008) *
            (IF($B$9="الكل",1, YEAR('ادخال البيانات'!$N$3:$N$1164) = VALUE($B$9))) *
            (IF($B$10="الكل",1, MONTH('ادخال البيانات'!$N$3:$N$1164) = VALUE($B$10))) *
            (IF($B$11="الكل",1, INT((DAY('ادخال البيانات'!$N$3:$N$1164) - 1) / 7) + 1 = VALUE($B$11))),
            Table8[ملاحظة]
         ),
         ""
      ),
      IF(_xlpm.result="", "", _xlpm.result)
   )
)</f>
        <v/>
      </c>
      <c r="S1008" s="46" t="str">
        <f t="shared" ca="1" si="16"/>
        <v/>
      </c>
    </row>
    <row r="1009" spans="1:19" ht="15.6" thickTop="1" thickBot="1" x14ac:dyDescent="0.35">
      <c r="A1009" s="39"/>
      <c r="B1009" s="27" t="str" cm="1">
        <f t="array" ref="B1009">IF(
   OR(A1009="", $B$9="", $B$10="", $B$11=""),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09" s="27" t="str" cm="1">
        <f t="array" ref="C1009">IF(
   A1009="",
   "",
   _xlfn.LET(
      _xlpm.result,
      IFERROR(
         _xlfn.XLOOKUP(
            1,
            (Table8[رقم الصنف]=A1009) *
            (IF($B$9="الكل",1, YEAR('ادخال البيانات'!$N$3:$N$1164) = VALUE($B$9))) *
            (IF($B$10="الكل",1, MONTH('ادخال البيانات'!$N$3:$N$1164) = VALUE($B$10))) *
            (IF($B$11="الكل",1, INT((DAY('ادخال البيانات'!$N$3:$N$1164)-1)/7)+1 = VALUE($B$11))),
            'ادخال البيانات'!$C$3:$C$1164
         ),
         ""
      ),
      IF(_xlpm.result="", "", _xlpm.result)
   )
)</f>
        <v/>
      </c>
      <c r="D1009" s="27" t="str" cm="1">
        <f t="array" ref="D1009">IF(
   OR(A1009="", $B$9="", $B$10="", $B$11=""),
   "",
   _xlfn.LET(
      _xlpm.result,
      IFERROR(
         _xlfn.XLOOKUP(
            1,
            (Table8[رقم الصنف]=A1009) *
            (IF($B$9="الكل",1, YEAR('ادخال البيانات'!$N$3:$N$1164)=VALUE($B$9))) *
            (IF($B$10="الكل",1, MONTH('ادخال البيانات'!$N$3:$N$1164)=VALUE($B$10))) *
            (IF($B$11="الكل",1, INT((DAY('ادخال البيانات'!$N$3:$N$1164)-1)/7)+1 = VALUE($B$11))),
            'ادخال البيانات'!$D$3:$D$1164
         ),
         ""
      ),
      IF(_xlpm.result="", "", _xlpm.result)
   )
)</f>
        <v/>
      </c>
      <c r="E1009" s="27" t="str" cm="1">
        <f t="array" ref="E1009">IF(
   A1009="",
   "",
   _xlfn.LET(
      _xlpm.result,
      IFERROR(
         _xlfn.XLOOKUP(
            1,
            (Table8[رقم الصنف]=A1009) *
            (IF($B$9="الكل",1, YEAR('ادخال البيانات'!$N$3:$N$1164)=VALUE($B$9))) *
            (IF($B$10="الكل",1, MONTH('ادخال البيانات'!$N$3:$N$1164)=VALUE($B$10))) *
            (IF($B$11="الكل",1, INT((DAY('ادخال البيانات'!$N$3:$N$1164)-1)/7)+1 = VALUE($B$11))),
            'ادخال البيانات'!$E$3:$E$1164
         ),
         ""
      ),
      IF(_xlpm.result="", "", _xlpm.result)
   )
)</f>
        <v/>
      </c>
      <c r="F1009" s="27" t="str" cm="1">
        <f t="array" ref="F1009">IF(
   A1009="",
   "",
   _xlfn.LET(
      _xlpm.result,
      IFERROR(
         _xlfn.XLOOKUP(
            1,
            (Table8[رقم الصنف]=A1009) *
            (IF($B$9="الكل",1, YEAR('ادخال البيانات'!$N$3:$N$1164) = VALUE($B$9))) *
            (IF($B$10="الكل",1, MONTH('ادخال البيانات'!$N$3:$N$1164) = VALUE($B$10))) *
            (IF($B$11="الكل",1, INT((DAY('ادخال البيانات'!$N$3:$N$1164)-1)/7)+1 = VALUE($B$11))),
            'ادخال البيانات'!$F$3:$F$1164
         ),
         ""
      ),
      IF(_xlpm.result="", "", _xlpm.result)
   )
)</f>
        <v/>
      </c>
      <c r="G1009" s="27" t="str" cm="1">
        <f t="array" ref="G1009">IF(
   A1009="",
   "",
   _xlfn.LET(
      _xlpm.result,
      IFERROR(
         _xlfn.XLOOKUP(
            1,
            (Table8[رقم الصنف]=A1009) *
            (IF($B$9="الكل",1, YEAR('ادخال البيانات'!$N$3:$N$1164)=VALUE($B$9))) *
            (IF($B$10="الكل",1, MONTH('ادخال البيانات'!$N$3:$N$1164)=VALUE($B$10))) *
            (IF($B$11="الكل",1, INT((DAY('ادخال البيانات'!$N$3:$N$1164)-1)/7)+1 = VALUE($B$11))),
            'ادخال البيانات'!$G$3:$G$1164
         ),
         ""
      ),
      IF(_xlpm.result="", "", _xlpm.result)
   )
)</f>
        <v/>
      </c>
      <c r="H1009" s="27" t="str" cm="1">
        <f t="array" ref="H1009">IF(
   A1009="",
   "",
   _xlfn.LET(
      _xlpm.result,
      IFERROR(
         _xlfn.XLOOKUP(
            1,
            (Table8[رقم الصنف]=A1009) *
            (IF($B$9="الكل",1, YEAR('ادخال البيانات'!$N$3:$N$1164)=VALUE($B$9))) *
            (IF($B$10="الكل",1, MONTH('ادخال البيانات'!$N$3:$N$1164)=VALUE($B$10))) *
            (IF($B$11="الكل",1, INT((DAY('ادخال البيانات'!$N$3:$N$1164)-1)/7)+1 = VALUE($B$11))),
            'ادخال البيانات'!$H$3:$H$1164
         ),
         ""
      ),
      IF(_xlpm.result="", "", _xlpm.result)
   )
)</f>
        <v/>
      </c>
      <c r="I1009" s="27" t="str" cm="1">
        <f t="array" ref="I1009">IF(
   A1009="",
   "",
   _xlfn.LET(
      _xlpm.result,
      IFERROR(
         _xlfn.XLOOKUP(
            1,
            (Table8[رقم الصنف]=A1009) *
            (IF($B$9="الكل",1, YEAR('ادخال البيانات'!$N$3:$N$1164)=VALUE($B$9))) *
            (IF($B$10="الكل",1, MONTH('ادخال البيانات'!$N$3:$N$1164)=VALUE($B$10))) *
            (IF($B$11="الكل",1, INT((DAY('ادخال البيانات'!$N$3:$N$1164)-1)/7)+1 = VALUE($B$11))),
            'ادخال البيانات'!$I$3:$I$1164
         ),
         ""
      ),
      IF(_xlpm.result="", "", _xlpm.result)
   )
)</f>
        <v/>
      </c>
      <c r="J1009" s="27" t="str" cm="1">
        <f t="array" ref="J1009">IF(
   A1009="",
   "",
   _xlfn.LET(
      _xlpm.result,
      IFERROR(
         _xlfn.XLOOKUP(
            1,
            (Table8[رقم الصنف]=A1009) *
            (IF($B$9="الكل",1, YEAR('ادخال البيانات'!$N$3:$N$1164)=VALUE($B$9))) *
            (IF($B$10="الكل",1, MONTH('ادخال البيانات'!$N$3:$N$1164)=VALUE($B$10))) *
            (IF($B$11="الكل",1, INT((DAY('ادخال البيانات'!$N$3:$N$1164)-1)/7)+1 = VALUE($B$11))),
            'ادخال البيانات'!$J$3:$J$1164
         ),
         ""
      ),
      IF(_xlpm.result="", "", _xlpm.result)
   )
)</f>
        <v/>
      </c>
      <c r="K1009" s="27" t="str" cm="1">
        <f t="array" ref="K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09" s="27" t="str" cm="1">
        <f t="array" ref="L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09" s="27" t="str" cm="1">
        <f t="array" ref="M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09" s="28" t="str" cm="1">
        <f t="array" ref="N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09" s="28" t="str" cm="1">
        <f t="array" ref="O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09" s="27" t="str" cm="1">
        <f t="array" ref="P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Table8[جهة العطل]
         ),
         ""
      ),
      IF(_xlpm.result="", "", _xlpm.result)
   )
)</f>
        <v/>
      </c>
      <c r="Q1009" s="27" t="str" cm="1">
        <f t="array" ref="Q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Table8[المركز]
         ),
         ""
      ),
      IF(_xlpm.result="", "", _xlpm.result)
   )
)</f>
        <v/>
      </c>
      <c r="R1009" s="27" t="str" cm="1">
        <f t="array" ref="R1009">IF(
   A1009="",
   "",
   _xlfn.LET(
      _xlpm.result,
      IFERROR(
         _xlfn.XLOOKUP(
            1,
            (Table8[رقم الصنف]=A1009) *
            (IF($B$9="الكل",1, YEAR('ادخال البيانات'!$N$3:$N$1164) = VALUE($B$9))) *
            (IF($B$10="الكل",1, MONTH('ادخال البيانات'!$N$3:$N$1164) = VALUE($B$10))) *
            (IF($B$11="الكل",1, INT((DAY('ادخال البيانات'!$N$3:$N$1164) - 1) / 7) + 1 = VALUE($B$11))),
            Table8[ملاحظة]
         ),
         ""
      ),
      IF(_xlpm.result="", "", _xlpm.result)
   )
)</f>
        <v/>
      </c>
      <c r="S1009" s="46" t="str">
        <f t="shared" ca="1" si="16"/>
        <v/>
      </c>
    </row>
    <row r="1010" spans="1:19" ht="15.6" thickTop="1" thickBot="1" x14ac:dyDescent="0.35">
      <c r="A1010" s="39"/>
      <c r="B1010" s="27" t="str" cm="1">
        <f t="array" ref="B1010">IF(
   OR(A1010="", $B$9="", $B$10="", $B$11=""),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0" s="27" t="str" cm="1">
        <f t="array" ref="C1010">IF(
   A1010="",
   "",
   _xlfn.LET(
      _xlpm.result,
      IFERROR(
         _xlfn.XLOOKUP(
            1,
            (Table8[رقم الصنف]=A1010) *
            (IF($B$9="الكل",1, YEAR('ادخال البيانات'!$N$3:$N$1164) = VALUE($B$9))) *
            (IF($B$10="الكل",1, MONTH('ادخال البيانات'!$N$3:$N$1164) = VALUE($B$10))) *
            (IF($B$11="الكل",1, INT((DAY('ادخال البيانات'!$N$3:$N$1164)-1)/7)+1 = VALUE($B$11))),
            'ادخال البيانات'!$C$3:$C$1164
         ),
         ""
      ),
      IF(_xlpm.result="", "", _xlpm.result)
   )
)</f>
        <v/>
      </c>
      <c r="D1010" s="27" t="str" cm="1">
        <f t="array" ref="D1010">IF(
   OR(A1010="", $B$9="", $B$10="", $B$11=""),
   "",
   _xlfn.LET(
      _xlpm.result,
      IFERROR(
         _xlfn.XLOOKUP(
            1,
            (Table8[رقم الصنف]=A1010) *
            (IF($B$9="الكل",1, YEAR('ادخال البيانات'!$N$3:$N$1164)=VALUE($B$9))) *
            (IF($B$10="الكل",1, MONTH('ادخال البيانات'!$N$3:$N$1164)=VALUE($B$10))) *
            (IF($B$11="الكل",1, INT((DAY('ادخال البيانات'!$N$3:$N$1164)-1)/7)+1 = VALUE($B$11))),
            'ادخال البيانات'!$D$3:$D$1164
         ),
         ""
      ),
      IF(_xlpm.result="", "", _xlpm.result)
   )
)</f>
        <v/>
      </c>
      <c r="E1010" s="27" t="str" cm="1">
        <f t="array" ref="E1010">IF(
   A1010="",
   "",
   _xlfn.LET(
      _xlpm.result,
      IFERROR(
         _xlfn.XLOOKUP(
            1,
            (Table8[رقم الصنف]=A1010) *
            (IF($B$9="الكل",1, YEAR('ادخال البيانات'!$N$3:$N$1164)=VALUE($B$9))) *
            (IF($B$10="الكل",1, MONTH('ادخال البيانات'!$N$3:$N$1164)=VALUE($B$10))) *
            (IF($B$11="الكل",1, INT((DAY('ادخال البيانات'!$N$3:$N$1164)-1)/7)+1 = VALUE($B$11))),
            'ادخال البيانات'!$E$3:$E$1164
         ),
         ""
      ),
      IF(_xlpm.result="", "", _xlpm.result)
   )
)</f>
        <v/>
      </c>
      <c r="F1010" s="27" t="str" cm="1">
        <f t="array" ref="F1010">IF(
   A1010="",
   "",
   _xlfn.LET(
      _xlpm.result,
      IFERROR(
         _xlfn.XLOOKUP(
            1,
            (Table8[رقم الصنف]=A1010) *
            (IF($B$9="الكل",1, YEAR('ادخال البيانات'!$N$3:$N$1164) = VALUE($B$9))) *
            (IF($B$10="الكل",1, MONTH('ادخال البيانات'!$N$3:$N$1164) = VALUE($B$10))) *
            (IF($B$11="الكل",1, INT((DAY('ادخال البيانات'!$N$3:$N$1164)-1)/7)+1 = VALUE($B$11))),
            'ادخال البيانات'!$F$3:$F$1164
         ),
         ""
      ),
      IF(_xlpm.result="", "", _xlpm.result)
   )
)</f>
        <v/>
      </c>
      <c r="G1010" s="27" t="str" cm="1">
        <f t="array" ref="G1010">IF(
   A1010="",
   "",
   _xlfn.LET(
      _xlpm.result,
      IFERROR(
         _xlfn.XLOOKUP(
            1,
            (Table8[رقم الصنف]=A1010) *
            (IF($B$9="الكل",1, YEAR('ادخال البيانات'!$N$3:$N$1164)=VALUE($B$9))) *
            (IF($B$10="الكل",1, MONTH('ادخال البيانات'!$N$3:$N$1164)=VALUE($B$10))) *
            (IF($B$11="الكل",1, INT((DAY('ادخال البيانات'!$N$3:$N$1164)-1)/7)+1 = VALUE($B$11))),
            'ادخال البيانات'!$G$3:$G$1164
         ),
         ""
      ),
      IF(_xlpm.result="", "", _xlpm.result)
   )
)</f>
        <v/>
      </c>
      <c r="H1010" s="27" t="str" cm="1">
        <f t="array" ref="H1010">IF(
   A1010="",
   "",
   _xlfn.LET(
      _xlpm.result,
      IFERROR(
         _xlfn.XLOOKUP(
            1,
            (Table8[رقم الصنف]=A1010) *
            (IF($B$9="الكل",1, YEAR('ادخال البيانات'!$N$3:$N$1164)=VALUE($B$9))) *
            (IF($B$10="الكل",1, MONTH('ادخال البيانات'!$N$3:$N$1164)=VALUE($B$10))) *
            (IF($B$11="الكل",1, INT((DAY('ادخال البيانات'!$N$3:$N$1164)-1)/7)+1 = VALUE($B$11))),
            'ادخال البيانات'!$H$3:$H$1164
         ),
         ""
      ),
      IF(_xlpm.result="", "", _xlpm.result)
   )
)</f>
        <v/>
      </c>
      <c r="I1010" s="27" t="str" cm="1">
        <f t="array" ref="I1010">IF(
   A1010="",
   "",
   _xlfn.LET(
      _xlpm.result,
      IFERROR(
         _xlfn.XLOOKUP(
            1,
            (Table8[رقم الصنف]=A1010) *
            (IF($B$9="الكل",1, YEAR('ادخال البيانات'!$N$3:$N$1164)=VALUE($B$9))) *
            (IF($B$10="الكل",1, MONTH('ادخال البيانات'!$N$3:$N$1164)=VALUE($B$10))) *
            (IF($B$11="الكل",1, INT((DAY('ادخال البيانات'!$N$3:$N$1164)-1)/7)+1 = VALUE($B$11))),
            'ادخال البيانات'!$I$3:$I$1164
         ),
         ""
      ),
      IF(_xlpm.result="", "", _xlpm.result)
   )
)</f>
        <v/>
      </c>
      <c r="J1010" s="27" t="str" cm="1">
        <f t="array" ref="J1010">IF(
   A1010="",
   "",
   _xlfn.LET(
      _xlpm.result,
      IFERROR(
         _xlfn.XLOOKUP(
            1,
            (Table8[رقم الصنف]=A1010) *
            (IF($B$9="الكل",1, YEAR('ادخال البيانات'!$N$3:$N$1164)=VALUE($B$9))) *
            (IF($B$10="الكل",1, MONTH('ادخال البيانات'!$N$3:$N$1164)=VALUE($B$10))) *
            (IF($B$11="الكل",1, INT((DAY('ادخال البيانات'!$N$3:$N$1164)-1)/7)+1 = VALUE($B$11))),
            'ادخال البيانات'!$J$3:$J$1164
         ),
         ""
      ),
      IF(_xlpm.result="", "", _xlpm.result)
   )
)</f>
        <v/>
      </c>
      <c r="K1010" s="27" t="str" cm="1">
        <f t="array" ref="K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0" s="27" t="str" cm="1">
        <f t="array" ref="L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0" s="27" t="str" cm="1">
        <f t="array" ref="M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0" s="28" t="str" cm="1">
        <f t="array" ref="N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0" s="28" t="str" cm="1">
        <f t="array" ref="O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0" s="27" t="str" cm="1">
        <f t="array" ref="P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Table8[جهة العطل]
         ),
         ""
      ),
      IF(_xlpm.result="", "", _xlpm.result)
   )
)</f>
        <v/>
      </c>
      <c r="Q1010" s="27" t="str" cm="1">
        <f t="array" ref="Q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Table8[المركز]
         ),
         ""
      ),
      IF(_xlpm.result="", "", _xlpm.result)
   )
)</f>
        <v/>
      </c>
      <c r="R1010" s="27" t="str" cm="1">
        <f t="array" ref="R1010">IF(
   A1010="",
   "",
   _xlfn.LET(
      _xlpm.result,
      IFERROR(
         _xlfn.XLOOKUP(
            1,
            (Table8[رقم الصنف]=A1010) *
            (IF($B$9="الكل",1, YEAR('ادخال البيانات'!$N$3:$N$1164) = VALUE($B$9))) *
            (IF($B$10="الكل",1, MONTH('ادخال البيانات'!$N$3:$N$1164) = VALUE($B$10))) *
            (IF($B$11="الكل",1, INT((DAY('ادخال البيانات'!$N$3:$N$1164) - 1) / 7) + 1 = VALUE($B$11))),
            Table8[ملاحظة]
         ),
         ""
      ),
      IF(_xlpm.result="", "", _xlpm.result)
   )
)</f>
        <v/>
      </c>
      <c r="S1010" s="46" t="str">
        <f t="shared" ca="1" si="16"/>
        <v/>
      </c>
    </row>
    <row r="1011" spans="1:19" ht="15.6" thickTop="1" thickBot="1" x14ac:dyDescent="0.35">
      <c r="A1011" s="39"/>
      <c r="B1011" s="27" t="str" cm="1">
        <f t="array" ref="B1011">IF(
   OR(A1011="", $B$9="", $B$10="", $B$11=""),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1" s="27" t="str" cm="1">
        <f t="array" ref="C1011">IF(
   A1011="",
   "",
   _xlfn.LET(
      _xlpm.result,
      IFERROR(
         _xlfn.XLOOKUP(
            1,
            (Table8[رقم الصنف]=A1011) *
            (IF($B$9="الكل",1, YEAR('ادخال البيانات'!$N$3:$N$1164) = VALUE($B$9))) *
            (IF($B$10="الكل",1, MONTH('ادخال البيانات'!$N$3:$N$1164) = VALUE($B$10))) *
            (IF($B$11="الكل",1, INT((DAY('ادخال البيانات'!$N$3:$N$1164)-1)/7)+1 = VALUE($B$11))),
            'ادخال البيانات'!$C$3:$C$1164
         ),
         ""
      ),
      IF(_xlpm.result="", "", _xlpm.result)
   )
)</f>
        <v/>
      </c>
      <c r="D1011" s="27" t="str" cm="1">
        <f t="array" ref="D1011">IF(
   OR(A1011="", $B$9="", $B$10="", $B$11=""),
   "",
   _xlfn.LET(
      _xlpm.result,
      IFERROR(
         _xlfn.XLOOKUP(
            1,
            (Table8[رقم الصنف]=A1011) *
            (IF($B$9="الكل",1, YEAR('ادخال البيانات'!$N$3:$N$1164)=VALUE($B$9))) *
            (IF($B$10="الكل",1, MONTH('ادخال البيانات'!$N$3:$N$1164)=VALUE($B$10))) *
            (IF($B$11="الكل",1, INT((DAY('ادخال البيانات'!$N$3:$N$1164)-1)/7)+1 = VALUE($B$11))),
            'ادخال البيانات'!$D$3:$D$1164
         ),
         ""
      ),
      IF(_xlpm.result="", "", _xlpm.result)
   )
)</f>
        <v/>
      </c>
      <c r="E1011" s="27" t="str" cm="1">
        <f t="array" ref="E1011">IF(
   A1011="",
   "",
   _xlfn.LET(
      _xlpm.result,
      IFERROR(
         _xlfn.XLOOKUP(
            1,
            (Table8[رقم الصنف]=A1011) *
            (IF($B$9="الكل",1, YEAR('ادخال البيانات'!$N$3:$N$1164)=VALUE($B$9))) *
            (IF($B$10="الكل",1, MONTH('ادخال البيانات'!$N$3:$N$1164)=VALUE($B$10))) *
            (IF($B$11="الكل",1, INT((DAY('ادخال البيانات'!$N$3:$N$1164)-1)/7)+1 = VALUE($B$11))),
            'ادخال البيانات'!$E$3:$E$1164
         ),
         ""
      ),
      IF(_xlpm.result="", "", _xlpm.result)
   )
)</f>
        <v/>
      </c>
      <c r="F1011" s="27" t="str" cm="1">
        <f t="array" ref="F1011">IF(
   A1011="",
   "",
   _xlfn.LET(
      _xlpm.result,
      IFERROR(
         _xlfn.XLOOKUP(
            1,
            (Table8[رقم الصنف]=A1011) *
            (IF($B$9="الكل",1, YEAR('ادخال البيانات'!$N$3:$N$1164) = VALUE($B$9))) *
            (IF($B$10="الكل",1, MONTH('ادخال البيانات'!$N$3:$N$1164) = VALUE($B$10))) *
            (IF($B$11="الكل",1, INT((DAY('ادخال البيانات'!$N$3:$N$1164)-1)/7)+1 = VALUE($B$11))),
            'ادخال البيانات'!$F$3:$F$1164
         ),
         ""
      ),
      IF(_xlpm.result="", "", _xlpm.result)
   )
)</f>
        <v/>
      </c>
      <c r="G1011" s="27" t="str" cm="1">
        <f t="array" ref="G1011">IF(
   A1011="",
   "",
   _xlfn.LET(
      _xlpm.result,
      IFERROR(
         _xlfn.XLOOKUP(
            1,
            (Table8[رقم الصنف]=A1011) *
            (IF($B$9="الكل",1, YEAR('ادخال البيانات'!$N$3:$N$1164)=VALUE($B$9))) *
            (IF($B$10="الكل",1, MONTH('ادخال البيانات'!$N$3:$N$1164)=VALUE($B$10))) *
            (IF($B$11="الكل",1, INT((DAY('ادخال البيانات'!$N$3:$N$1164)-1)/7)+1 = VALUE($B$11))),
            'ادخال البيانات'!$G$3:$G$1164
         ),
         ""
      ),
      IF(_xlpm.result="", "", _xlpm.result)
   )
)</f>
        <v/>
      </c>
      <c r="H1011" s="27" t="str" cm="1">
        <f t="array" ref="H1011">IF(
   A1011="",
   "",
   _xlfn.LET(
      _xlpm.result,
      IFERROR(
         _xlfn.XLOOKUP(
            1,
            (Table8[رقم الصنف]=A1011) *
            (IF($B$9="الكل",1, YEAR('ادخال البيانات'!$N$3:$N$1164)=VALUE($B$9))) *
            (IF($B$10="الكل",1, MONTH('ادخال البيانات'!$N$3:$N$1164)=VALUE($B$10))) *
            (IF($B$11="الكل",1, INT((DAY('ادخال البيانات'!$N$3:$N$1164)-1)/7)+1 = VALUE($B$11))),
            'ادخال البيانات'!$H$3:$H$1164
         ),
         ""
      ),
      IF(_xlpm.result="", "", _xlpm.result)
   )
)</f>
        <v/>
      </c>
      <c r="I1011" s="27" t="str" cm="1">
        <f t="array" ref="I1011">IF(
   A1011="",
   "",
   _xlfn.LET(
      _xlpm.result,
      IFERROR(
         _xlfn.XLOOKUP(
            1,
            (Table8[رقم الصنف]=A1011) *
            (IF($B$9="الكل",1, YEAR('ادخال البيانات'!$N$3:$N$1164)=VALUE($B$9))) *
            (IF($B$10="الكل",1, MONTH('ادخال البيانات'!$N$3:$N$1164)=VALUE($B$10))) *
            (IF($B$11="الكل",1, INT((DAY('ادخال البيانات'!$N$3:$N$1164)-1)/7)+1 = VALUE($B$11))),
            'ادخال البيانات'!$I$3:$I$1164
         ),
         ""
      ),
      IF(_xlpm.result="", "", _xlpm.result)
   )
)</f>
        <v/>
      </c>
      <c r="J1011" s="27" t="str" cm="1">
        <f t="array" ref="J1011">IF(
   A1011="",
   "",
   _xlfn.LET(
      _xlpm.result,
      IFERROR(
         _xlfn.XLOOKUP(
            1,
            (Table8[رقم الصنف]=A1011) *
            (IF($B$9="الكل",1, YEAR('ادخال البيانات'!$N$3:$N$1164)=VALUE($B$9))) *
            (IF($B$10="الكل",1, MONTH('ادخال البيانات'!$N$3:$N$1164)=VALUE($B$10))) *
            (IF($B$11="الكل",1, INT((DAY('ادخال البيانات'!$N$3:$N$1164)-1)/7)+1 = VALUE($B$11))),
            'ادخال البيانات'!$J$3:$J$1164
         ),
         ""
      ),
      IF(_xlpm.result="", "", _xlpm.result)
   )
)</f>
        <v/>
      </c>
      <c r="K1011" s="27" t="str" cm="1">
        <f t="array" ref="K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1" s="27" t="str" cm="1">
        <f t="array" ref="L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1" s="27" t="str" cm="1">
        <f t="array" ref="M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1" s="28" t="str" cm="1">
        <f t="array" ref="N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1" s="28" t="str" cm="1">
        <f t="array" ref="O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1" s="27" t="str" cm="1">
        <f t="array" ref="P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Table8[جهة العطل]
         ),
         ""
      ),
      IF(_xlpm.result="", "", _xlpm.result)
   )
)</f>
        <v/>
      </c>
      <c r="Q1011" s="27" t="str" cm="1">
        <f t="array" ref="Q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Table8[المركز]
         ),
         ""
      ),
      IF(_xlpm.result="", "", _xlpm.result)
   )
)</f>
        <v/>
      </c>
      <c r="R1011" s="27" t="str" cm="1">
        <f t="array" ref="R1011">IF(
   A1011="",
   "",
   _xlfn.LET(
      _xlpm.result,
      IFERROR(
         _xlfn.XLOOKUP(
            1,
            (Table8[رقم الصنف]=A1011) *
            (IF($B$9="الكل",1, YEAR('ادخال البيانات'!$N$3:$N$1164) = VALUE($B$9))) *
            (IF($B$10="الكل",1, MONTH('ادخال البيانات'!$N$3:$N$1164) = VALUE($B$10))) *
            (IF($B$11="الكل",1, INT((DAY('ادخال البيانات'!$N$3:$N$1164) - 1) / 7) + 1 = VALUE($B$11))),
            Table8[ملاحظة]
         ),
         ""
      ),
      IF(_xlpm.result="", "", _xlpm.result)
   )
)</f>
        <v/>
      </c>
      <c r="S1011" s="46" t="str">
        <f t="shared" ca="1" si="16"/>
        <v/>
      </c>
    </row>
    <row r="1012" spans="1:19" ht="15.6" thickTop="1" thickBot="1" x14ac:dyDescent="0.35">
      <c r="A1012" s="39"/>
      <c r="B1012" s="27" t="str" cm="1">
        <f t="array" ref="B1012">IF(
   OR(A1012="", $B$9="", $B$10="", $B$11=""),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2" s="27" t="str" cm="1">
        <f t="array" ref="C1012">IF(
   A1012="",
   "",
   _xlfn.LET(
      _xlpm.result,
      IFERROR(
         _xlfn.XLOOKUP(
            1,
            (Table8[رقم الصنف]=A1012) *
            (IF($B$9="الكل",1, YEAR('ادخال البيانات'!$N$3:$N$1164) = VALUE($B$9))) *
            (IF($B$10="الكل",1, MONTH('ادخال البيانات'!$N$3:$N$1164) = VALUE($B$10))) *
            (IF($B$11="الكل",1, INT((DAY('ادخال البيانات'!$N$3:$N$1164)-1)/7)+1 = VALUE($B$11))),
            'ادخال البيانات'!$C$3:$C$1164
         ),
         ""
      ),
      IF(_xlpm.result="", "", _xlpm.result)
   )
)</f>
        <v/>
      </c>
      <c r="D1012" s="27" t="str" cm="1">
        <f t="array" ref="D1012">IF(
   OR(A1012="", $B$9="", $B$10="", $B$11=""),
   "",
   _xlfn.LET(
      _xlpm.result,
      IFERROR(
         _xlfn.XLOOKUP(
            1,
            (Table8[رقم الصنف]=A1012) *
            (IF($B$9="الكل",1, YEAR('ادخال البيانات'!$N$3:$N$1164)=VALUE($B$9))) *
            (IF($B$10="الكل",1, MONTH('ادخال البيانات'!$N$3:$N$1164)=VALUE($B$10))) *
            (IF($B$11="الكل",1, INT((DAY('ادخال البيانات'!$N$3:$N$1164)-1)/7)+1 = VALUE($B$11))),
            'ادخال البيانات'!$D$3:$D$1164
         ),
         ""
      ),
      IF(_xlpm.result="", "", _xlpm.result)
   )
)</f>
        <v/>
      </c>
      <c r="E1012" s="27" t="str" cm="1">
        <f t="array" ref="E1012">IF(
   A1012="",
   "",
   _xlfn.LET(
      _xlpm.result,
      IFERROR(
         _xlfn.XLOOKUP(
            1,
            (Table8[رقم الصنف]=A1012) *
            (IF($B$9="الكل",1, YEAR('ادخال البيانات'!$N$3:$N$1164)=VALUE($B$9))) *
            (IF($B$10="الكل",1, MONTH('ادخال البيانات'!$N$3:$N$1164)=VALUE($B$10))) *
            (IF($B$11="الكل",1, INT((DAY('ادخال البيانات'!$N$3:$N$1164)-1)/7)+1 = VALUE($B$11))),
            'ادخال البيانات'!$E$3:$E$1164
         ),
         ""
      ),
      IF(_xlpm.result="", "", _xlpm.result)
   )
)</f>
        <v/>
      </c>
      <c r="F1012" s="27" t="str" cm="1">
        <f t="array" ref="F1012">IF(
   A1012="",
   "",
   _xlfn.LET(
      _xlpm.result,
      IFERROR(
         _xlfn.XLOOKUP(
            1,
            (Table8[رقم الصنف]=A1012) *
            (IF($B$9="الكل",1, YEAR('ادخال البيانات'!$N$3:$N$1164) = VALUE($B$9))) *
            (IF($B$10="الكل",1, MONTH('ادخال البيانات'!$N$3:$N$1164) = VALUE($B$10))) *
            (IF($B$11="الكل",1, INT((DAY('ادخال البيانات'!$N$3:$N$1164)-1)/7)+1 = VALUE($B$11))),
            'ادخال البيانات'!$F$3:$F$1164
         ),
         ""
      ),
      IF(_xlpm.result="", "", _xlpm.result)
   )
)</f>
        <v/>
      </c>
      <c r="G1012" s="27" t="str" cm="1">
        <f t="array" ref="G1012">IF(
   A1012="",
   "",
   _xlfn.LET(
      _xlpm.result,
      IFERROR(
         _xlfn.XLOOKUP(
            1,
            (Table8[رقم الصنف]=A1012) *
            (IF($B$9="الكل",1, YEAR('ادخال البيانات'!$N$3:$N$1164)=VALUE($B$9))) *
            (IF($B$10="الكل",1, MONTH('ادخال البيانات'!$N$3:$N$1164)=VALUE($B$10))) *
            (IF($B$11="الكل",1, INT((DAY('ادخال البيانات'!$N$3:$N$1164)-1)/7)+1 = VALUE($B$11))),
            'ادخال البيانات'!$G$3:$G$1164
         ),
         ""
      ),
      IF(_xlpm.result="", "", _xlpm.result)
   )
)</f>
        <v/>
      </c>
      <c r="H1012" s="27" t="str" cm="1">
        <f t="array" ref="H1012">IF(
   A1012="",
   "",
   _xlfn.LET(
      _xlpm.result,
      IFERROR(
         _xlfn.XLOOKUP(
            1,
            (Table8[رقم الصنف]=A1012) *
            (IF($B$9="الكل",1, YEAR('ادخال البيانات'!$N$3:$N$1164)=VALUE($B$9))) *
            (IF($B$10="الكل",1, MONTH('ادخال البيانات'!$N$3:$N$1164)=VALUE($B$10))) *
            (IF($B$11="الكل",1, INT((DAY('ادخال البيانات'!$N$3:$N$1164)-1)/7)+1 = VALUE($B$11))),
            'ادخال البيانات'!$H$3:$H$1164
         ),
         ""
      ),
      IF(_xlpm.result="", "", _xlpm.result)
   )
)</f>
        <v/>
      </c>
      <c r="I1012" s="27" t="str" cm="1">
        <f t="array" ref="I1012">IF(
   A1012="",
   "",
   _xlfn.LET(
      _xlpm.result,
      IFERROR(
         _xlfn.XLOOKUP(
            1,
            (Table8[رقم الصنف]=A1012) *
            (IF($B$9="الكل",1, YEAR('ادخال البيانات'!$N$3:$N$1164)=VALUE($B$9))) *
            (IF($B$10="الكل",1, MONTH('ادخال البيانات'!$N$3:$N$1164)=VALUE($B$10))) *
            (IF($B$11="الكل",1, INT((DAY('ادخال البيانات'!$N$3:$N$1164)-1)/7)+1 = VALUE($B$11))),
            'ادخال البيانات'!$I$3:$I$1164
         ),
         ""
      ),
      IF(_xlpm.result="", "", _xlpm.result)
   )
)</f>
        <v/>
      </c>
      <c r="J1012" s="27" t="str" cm="1">
        <f t="array" ref="J1012">IF(
   A1012="",
   "",
   _xlfn.LET(
      _xlpm.result,
      IFERROR(
         _xlfn.XLOOKUP(
            1,
            (Table8[رقم الصنف]=A1012) *
            (IF($B$9="الكل",1, YEAR('ادخال البيانات'!$N$3:$N$1164)=VALUE($B$9))) *
            (IF($B$10="الكل",1, MONTH('ادخال البيانات'!$N$3:$N$1164)=VALUE($B$10))) *
            (IF($B$11="الكل",1, INT((DAY('ادخال البيانات'!$N$3:$N$1164)-1)/7)+1 = VALUE($B$11))),
            'ادخال البيانات'!$J$3:$J$1164
         ),
         ""
      ),
      IF(_xlpm.result="", "", _xlpm.result)
   )
)</f>
        <v/>
      </c>
      <c r="K1012" s="27" t="str" cm="1">
        <f t="array" ref="K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2" s="27" t="str" cm="1">
        <f t="array" ref="L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2" s="27" t="str" cm="1">
        <f t="array" ref="M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2" s="28" t="str" cm="1">
        <f t="array" ref="N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2" s="28" t="str" cm="1">
        <f t="array" ref="O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2" s="27" t="str" cm="1">
        <f t="array" ref="P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Table8[جهة العطل]
         ),
         ""
      ),
      IF(_xlpm.result="", "", _xlpm.result)
   )
)</f>
        <v/>
      </c>
      <c r="Q1012" s="27" t="str" cm="1">
        <f t="array" ref="Q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Table8[المركز]
         ),
         ""
      ),
      IF(_xlpm.result="", "", _xlpm.result)
   )
)</f>
        <v/>
      </c>
      <c r="R1012" s="27" t="str" cm="1">
        <f t="array" ref="R1012">IF(
   A1012="",
   "",
   _xlfn.LET(
      _xlpm.result,
      IFERROR(
         _xlfn.XLOOKUP(
            1,
            (Table8[رقم الصنف]=A1012) *
            (IF($B$9="الكل",1, YEAR('ادخال البيانات'!$N$3:$N$1164) = VALUE($B$9))) *
            (IF($B$10="الكل",1, MONTH('ادخال البيانات'!$N$3:$N$1164) = VALUE($B$10))) *
            (IF($B$11="الكل",1, INT((DAY('ادخال البيانات'!$N$3:$N$1164) - 1) / 7) + 1 = VALUE($B$11))),
            Table8[ملاحظة]
         ),
         ""
      ),
      IF(_xlpm.result="", "", _xlpm.result)
   )
)</f>
        <v/>
      </c>
      <c r="S1012" s="46" t="str">
        <f t="shared" ca="1" si="16"/>
        <v/>
      </c>
    </row>
    <row r="1013" spans="1:19" ht="15.6" thickTop="1" thickBot="1" x14ac:dyDescent="0.35">
      <c r="A1013" s="39"/>
      <c r="B1013" s="27" t="str" cm="1">
        <f t="array" ref="B1013">IF(
   OR(A1013="", $B$9="", $B$10="", $B$11=""),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3" s="27" t="str" cm="1">
        <f t="array" ref="C1013">IF(
   A1013="",
   "",
   _xlfn.LET(
      _xlpm.result,
      IFERROR(
         _xlfn.XLOOKUP(
            1,
            (Table8[رقم الصنف]=A1013) *
            (IF($B$9="الكل",1, YEAR('ادخال البيانات'!$N$3:$N$1164) = VALUE($B$9))) *
            (IF($B$10="الكل",1, MONTH('ادخال البيانات'!$N$3:$N$1164) = VALUE($B$10))) *
            (IF($B$11="الكل",1, INT((DAY('ادخال البيانات'!$N$3:$N$1164)-1)/7)+1 = VALUE($B$11))),
            'ادخال البيانات'!$C$3:$C$1164
         ),
         ""
      ),
      IF(_xlpm.result="", "", _xlpm.result)
   )
)</f>
        <v/>
      </c>
      <c r="D1013" s="27" t="str" cm="1">
        <f t="array" ref="D1013">IF(
   OR(A1013="", $B$9="", $B$10="", $B$11=""),
   "",
   _xlfn.LET(
      _xlpm.result,
      IFERROR(
         _xlfn.XLOOKUP(
            1,
            (Table8[رقم الصنف]=A1013) *
            (IF($B$9="الكل",1, YEAR('ادخال البيانات'!$N$3:$N$1164)=VALUE($B$9))) *
            (IF($B$10="الكل",1, MONTH('ادخال البيانات'!$N$3:$N$1164)=VALUE($B$10))) *
            (IF($B$11="الكل",1, INT((DAY('ادخال البيانات'!$N$3:$N$1164)-1)/7)+1 = VALUE($B$11))),
            'ادخال البيانات'!$D$3:$D$1164
         ),
         ""
      ),
      IF(_xlpm.result="", "", _xlpm.result)
   )
)</f>
        <v/>
      </c>
      <c r="E1013" s="27" t="str" cm="1">
        <f t="array" ref="E1013">IF(
   A1013="",
   "",
   _xlfn.LET(
      _xlpm.result,
      IFERROR(
         _xlfn.XLOOKUP(
            1,
            (Table8[رقم الصنف]=A1013) *
            (IF($B$9="الكل",1, YEAR('ادخال البيانات'!$N$3:$N$1164)=VALUE($B$9))) *
            (IF($B$10="الكل",1, MONTH('ادخال البيانات'!$N$3:$N$1164)=VALUE($B$10))) *
            (IF($B$11="الكل",1, INT((DAY('ادخال البيانات'!$N$3:$N$1164)-1)/7)+1 = VALUE($B$11))),
            'ادخال البيانات'!$E$3:$E$1164
         ),
         ""
      ),
      IF(_xlpm.result="", "", _xlpm.result)
   )
)</f>
        <v/>
      </c>
      <c r="F1013" s="27" t="str" cm="1">
        <f t="array" ref="F1013">IF(
   A1013="",
   "",
   _xlfn.LET(
      _xlpm.result,
      IFERROR(
         _xlfn.XLOOKUP(
            1,
            (Table8[رقم الصنف]=A1013) *
            (IF($B$9="الكل",1, YEAR('ادخال البيانات'!$N$3:$N$1164) = VALUE($B$9))) *
            (IF($B$10="الكل",1, MONTH('ادخال البيانات'!$N$3:$N$1164) = VALUE($B$10))) *
            (IF($B$11="الكل",1, INT((DAY('ادخال البيانات'!$N$3:$N$1164)-1)/7)+1 = VALUE($B$11))),
            'ادخال البيانات'!$F$3:$F$1164
         ),
         ""
      ),
      IF(_xlpm.result="", "", _xlpm.result)
   )
)</f>
        <v/>
      </c>
      <c r="G1013" s="27" t="str" cm="1">
        <f t="array" ref="G1013">IF(
   A1013="",
   "",
   _xlfn.LET(
      _xlpm.result,
      IFERROR(
         _xlfn.XLOOKUP(
            1,
            (Table8[رقم الصنف]=A1013) *
            (IF($B$9="الكل",1, YEAR('ادخال البيانات'!$N$3:$N$1164)=VALUE($B$9))) *
            (IF($B$10="الكل",1, MONTH('ادخال البيانات'!$N$3:$N$1164)=VALUE($B$10))) *
            (IF($B$11="الكل",1, INT((DAY('ادخال البيانات'!$N$3:$N$1164)-1)/7)+1 = VALUE($B$11))),
            'ادخال البيانات'!$G$3:$G$1164
         ),
         ""
      ),
      IF(_xlpm.result="", "", _xlpm.result)
   )
)</f>
        <v/>
      </c>
      <c r="H1013" s="27" t="str" cm="1">
        <f t="array" ref="H1013">IF(
   A1013="",
   "",
   _xlfn.LET(
      _xlpm.result,
      IFERROR(
         _xlfn.XLOOKUP(
            1,
            (Table8[رقم الصنف]=A1013) *
            (IF($B$9="الكل",1, YEAR('ادخال البيانات'!$N$3:$N$1164)=VALUE($B$9))) *
            (IF($B$10="الكل",1, MONTH('ادخال البيانات'!$N$3:$N$1164)=VALUE($B$10))) *
            (IF($B$11="الكل",1, INT((DAY('ادخال البيانات'!$N$3:$N$1164)-1)/7)+1 = VALUE($B$11))),
            'ادخال البيانات'!$H$3:$H$1164
         ),
         ""
      ),
      IF(_xlpm.result="", "", _xlpm.result)
   )
)</f>
        <v/>
      </c>
      <c r="I1013" s="27" t="str" cm="1">
        <f t="array" ref="I1013">IF(
   A1013="",
   "",
   _xlfn.LET(
      _xlpm.result,
      IFERROR(
         _xlfn.XLOOKUP(
            1,
            (Table8[رقم الصنف]=A1013) *
            (IF($B$9="الكل",1, YEAR('ادخال البيانات'!$N$3:$N$1164)=VALUE($B$9))) *
            (IF($B$10="الكل",1, MONTH('ادخال البيانات'!$N$3:$N$1164)=VALUE($B$10))) *
            (IF($B$11="الكل",1, INT((DAY('ادخال البيانات'!$N$3:$N$1164)-1)/7)+1 = VALUE($B$11))),
            'ادخال البيانات'!$I$3:$I$1164
         ),
         ""
      ),
      IF(_xlpm.result="", "", _xlpm.result)
   )
)</f>
        <v/>
      </c>
      <c r="J1013" s="27" t="str" cm="1">
        <f t="array" ref="J1013">IF(
   A1013="",
   "",
   _xlfn.LET(
      _xlpm.result,
      IFERROR(
         _xlfn.XLOOKUP(
            1,
            (Table8[رقم الصنف]=A1013) *
            (IF($B$9="الكل",1, YEAR('ادخال البيانات'!$N$3:$N$1164)=VALUE($B$9))) *
            (IF($B$10="الكل",1, MONTH('ادخال البيانات'!$N$3:$N$1164)=VALUE($B$10))) *
            (IF($B$11="الكل",1, INT((DAY('ادخال البيانات'!$N$3:$N$1164)-1)/7)+1 = VALUE($B$11))),
            'ادخال البيانات'!$J$3:$J$1164
         ),
         ""
      ),
      IF(_xlpm.result="", "", _xlpm.result)
   )
)</f>
        <v/>
      </c>
      <c r="K1013" s="27" t="str" cm="1">
        <f t="array" ref="K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3" s="27" t="str" cm="1">
        <f t="array" ref="L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3" s="27" t="str" cm="1">
        <f t="array" ref="M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3" s="28" t="str" cm="1">
        <f t="array" ref="N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3" s="28" t="str" cm="1">
        <f t="array" ref="O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3" s="27" t="str" cm="1">
        <f t="array" ref="P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Table8[جهة العطل]
         ),
         ""
      ),
      IF(_xlpm.result="", "", _xlpm.result)
   )
)</f>
        <v/>
      </c>
      <c r="Q1013" s="27" t="str" cm="1">
        <f t="array" ref="Q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Table8[المركز]
         ),
         ""
      ),
      IF(_xlpm.result="", "", _xlpm.result)
   )
)</f>
        <v/>
      </c>
      <c r="R1013" s="27" t="str" cm="1">
        <f t="array" ref="R1013">IF(
   A1013="",
   "",
   _xlfn.LET(
      _xlpm.result,
      IFERROR(
         _xlfn.XLOOKUP(
            1,
            (Table8[رقم الصنف]=A1013) *
            (IF($B$9="الكل",1, YEAR('ادخال البيانات'!$N$3:$N$1164) = VALUE($B$9))) *
            (IF($B$10="الكل",1, MONTH('ادخال البيانات'!$N$3:$N$1164) = VALUE($B$10))) *
            (IF($B$11="الكل",1, INT((DAY('ادخال البيانات'!$N$3:$N$1164) - 1) / 7) + 1 = VALUE($B$11))),
            Table8[ملاحظة]
         ),
         ""
      ),
      IF(_xlpm.result="", "", _xlpm.result)
   )
)</f>
        <v/>
      </c>
      <c r="S1013" s="46" t="str">
        <f t="shared" ca="1" si="16"/>
        <v/>
      </c>
    </row>
    <row r="1014" spans="1:19" ht="15.6" thickTop="1" thickBot="1" x14ac:dyDescent="0.35">
      <c r="A1014" s="39"/>
      <c r="B1014" s="27" t="str" cm="1">
        <f t="array" ref="B1014">IF(
   OR(A1014="", $B$9="", $B$10="", $B$11=""),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4" s="27" t="str" cm="1">
        <f t="array" ref="C1014">IF(
   A1014="",
   "",
   _xlfn.LET(
      _xlpm.result,
      IFERROR(
         _xlfn.XLOOKUP(
            1,
            (Table8[رقم الصنف]=A1014) *
            (IF($B$9="الكل",1, YEAR('ادخال البيانات'!$N$3:$N$1164) = VALUE($B$9))) *
            (IF($B$10="الكل",1, MONTH('ادخال البيانات'!$N$3:$N$1164) = VALUE($B$10))) *
            (IF($B$11="الكل",1, INT((DAY('ادخال البيانات'!$N$3:$N$1164)-1)/7)+1 = VALUE($B$11))),
            'ادخال البيانات'!$C$3:$C$1164
         ),
         ""
      ),
      IF(_xlpm.result="", "", _xlpm.result)
   )
)</f>
        <v/>
      </c>
      <c r="D1014" s="27" t="str" cm="1">
        <f t="array" ref="D1014">IF(
   OR(A1014="", $B$9="", $B$10="", $B$11=""),
   "",
   _xlfn.LET(
      _xlpm.result,
      IFERROR(
         _xlfn.XLOOKUP(
            1,
            (Table8[رقم الصنف]=A1014) *
            (IF($B$9="الكل",1, YEAR('ادخال البيانات'!$N$3:$N$1164)=VALUE($B$9))) *
            (IF($B$10="الكل",1, MONTH('ادخال البيانات'!$N$3:$N$1164)=VALUE($B$10))) *
            (IF($B$11="الكل",1, INT((DAY('ادخال البيانات'!$N$3:$N$1164)-1)/7)+1 = VALUE($B$11))),
            'ادخال البيانات'!$D$3:$D$1164
         ),
         ""
      ),
      IF(_xlpm.result="", "", _xlpm.result)
   )
)</f>
        <v/>
      </c>
      <c r="E1014" s="27" t="str" cm="1">
        <f t="array" ref="E1014">IF(
   A1014="",
   "",
   _xlfn.LET(
      _xlpm.result,
      IFERROR(
         _xlfn.XLOOKUP(
            1,
            (Table8[رقم الصنف]=A1014) *
            (IF($B$9="الكل",1, YEAR('ادخال البيانات'!$N$3:$N$1164)=VALUE($B$9))) *
            (IF($B$10="الكل",1, MONTH('ادخال البيانات'!$N$3:$N$1164)=VALUE($B$10))) *
            (IF($B$11="الكل",1, INT((DAY('ادخال البيانات'!$N$3:$N$1164)-1)/7)+1 = VALUE($B$11))),
            'ادخال البيانات'!$E$3:$E$1164
         ),
         ""
      ),
      IF(_xlpm.result="", "", _xlpm.result)
   )
)</f>
        <v/>
      </c>
      <c r="F1014" s="27" t="str" cm="1">
        <f t="array" ref="F1014">IF(
   A1014="",
   "",
   _xlfn.LET(
      _xlpm.result,
      IFERROR(
         _xlfn.XLOOKUP(
            1,
            (Table8[رقم الصنف]=A1014) *
            (IF($B$9="الكل",1, YEAR('ادخال البيانات'!$N$3:$N$1164) = VALUE($B$9))) *
            (IF($B$10="الكل",1, MONTH('ادخال البيانات'!$N$3:$N$1164) = VALUE($B$10))) *
            (IF($B$11="الكل",1, INT((DAY('ادخال البيانات'!$N$3:$N$1164)-1)/7)+1 = VALUE($B$11))),
            'ادخال البيانات'!$F$3:$F$1164
         ),
         ""
      ),
      IF(_xlpm.result="", "", _xlpm.result)
   )
)</f>
        <v/>
      </c>
      <c r="G1014" s="27" t="str" cm="1">
        <f t="array" ref="G1014">IF(
   A1014="",
   "",
   _xlfn.LET(
      _xlpm.result,
      IFERROR(
         _xlfn.XLOOKUP(
            1,
            (Table8[رقم الصنف]=A1014) *
            (IF($B$9="الكل",1, YEAR('ادخال البيانات'!$N$3:$N$1164)=VALUE($B$9))) *
            (IF($B$10="الكل",1, MONTH('ادخال البيانات'!$N$3:$N$1164)=VALUE($B$10))) *
            (IF($B$11="الكل",1, INT((DAY('ادخال البيانات'!$N$3:$N$1164)-1)/7)+1 = VALUE($B$11))),
            'ادخال البيانات'!$G$3:$G$1164
         ),
         ""
      ),
      IF(_xlpm.result="", "", _xlpm.result)
   )
)</f>
        <v/>
      </c>
      <c r="H1014" s="27" t="str" cm="1">
        <f t="array" ref="H1014">IF(
   A1014="",
   "",
   _xlfn.LET(
      _xlpm.result,
      IFERROR(
         _xlfn.XLOOKUP(
            1,
            (Table8[رقم الصنف]=A1014) *
            (IF($B$9="الكل",1, YEAR('ادخال البيانات'!$N$3:$N$1164)=VALUE($B$9))) *
            (IF($B$10="الكل",1, MONTH('ادخال البيانات'!$N$3:$N$1164)=VALUE($B$10))) *
            (IF($B$11="الكل",1, INT((DAY('ادخال البيانات'!$N$3:$N$1164)-1)/7)+1 = VALUE($B$11))),
            'ادخال البيانات'!$H$3:$H$1164
         ),
         ""
      ),
      IF(_xlpm.result="", "", _xlpm.result)
   )
)</f>
        <v/>
      </c>
      <c r="I1014" s="27" t="str" cm="1">
        <f t="array" ref="I1014">IF(
   A1014="",
   "",
   _xlfn.LET(
      _xlpm.result,
      IFERROR(
         _xlfn.XLOOKUP(
            1,
            (Table8[رقم الصنف]=A1014) *
            (IF($B$9="الكل",1, YEAR('ادخال البيانات'!$N$3:$N$1164)=VALUE($B$9))) *
            (IF($B$10="الكل",1, MONTH('ادخال البيانات'!$N$3:$N$1164)=VALUE($B$10))) *
            (IF($B$11="الكل",1, INT((DAY('ادخال البيانات'!$N$3:$N$1164)-1)/7)+1 = VALUE($B$11))),
            'ادخال البيانات'!$I$3:$I$1164
         ),
         ""
      ),
      IF(_xlpm.result="", "", _xlpm.result)
   )
)</f>
        <v/>
      </c>
      <c r="J1014" s="27" t="str" cm="1">
        <f t="array" ref="J1014">IF(
   A1014="",
   "",
   _xlfn.LET(
      _xlpm.result,
      IFERROR(
         _xlfn.XLOOKUP(
            1,
            (Table8[رقم الصنف]=A1014) *
            (IF($B$9="الكل",1, YEAR('ادخال البيانات'!$N$3:$N$1164)=VALUE($B$9))) *
            (IF($B$10="الكل",1, MONTH('ادخال البيانات'!$N$3:$N$1164)=VALUE($B$10))) *
            (IF($B$11="الكل",1, INT((DAY('ادخال البيانات'!$N$3:$N$1164)-1)/7)+1 = VALUE($B$11))),
            'ادخال البيانات'!$J$3:$J$1164
         ),
         ""
      ),
      IF(_xlpm.result="", "", _xlpm.result)
   )
)</f>
        <v/>
      </c>
      <c r="K1014" s="27" t="str" cm="1">
        <f t="array" ref="K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4" s="27" t="str" cm="1">
        <f t="array" ref="L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4" s="27" t="str" cm="1">
        <f t="array" ref="M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4" s="28" t="str" cm="1">
        <f t="array" ref="N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4" s="28" t="str" cm="1">
        <f t="array" ref="O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4" s="27" t="str" cm="1">
        <f t="array" ref="P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Table8[جهة العطل]
         ),
         ""
      ),
      IF(_xlpm.result="", "", _xlpm.result)
   )
)</f>
        <v/>
      </c>
      <c r="Q1014" s="27" t="str" cm="1">
        <f t="array" ref="Q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Table8[المركز]
         ),
         ""
      ),
      IF(_xlpm.result="", "", _xlpm.result)
   )
)</f>
        <v/>
      </c>
      <c r="R1014" s="27" t="str" cm="1">
        <f t="array" ref="R1014">IF(
   A1014="",
   "",
   _xlfn.LET(
      _xlpm.result,
      IFERROR(
         _xlfn.XLOOKUP(
            1,
            (Table8[رقم الصنف]=A1014) *
            (IF($B$9="الكل",1, YEAR('ادخال البيانات'!$N$3:$N$1164) = VALUE($B$9))) *
            (IF($B$10="الكل",1, MONTH('ادخال البيانات'!$N$3:$N$1164) = VALUE($B$10))) *
            (IF($B$11="الكل",1, INT((DAY('ادخال البيانات'!$N$3:$N$1164) - 1) / 7) + 1 = VALUE($B$11))),
            Table8[ملاحظة]
         ),
         ""
      ),
      IF(_xlpm.result="", "", _xlpm.result)
   )
)</f>
        <v/>
      </c>
      <c r="S1014" s="46" t="str">
        <f t="shared" ca="1" si="16"/>
        <v/>
      </c>
    </row>
    <row r="1015" spans="1:19" ht="15.6" thickTop="1" thickBot="1" x14ac:dyDescent="0.35">
      <c r="A1015" s="39"/>
      <c r="B1015" s="27" t="str" cm="1">
        <f t="array" ref="B1015">IF(
   OR(A1015="", $B$9="", $B$10="", $B$11=""),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5" s="27" t="str" cm="1">
        <f t="array" ref="C1015">IF(
   A1015="",
   "",
   _xlfn.LET(
      _xlpm.result,
      IFERROR(
         _xlfn.XLOOKUP(
            1,
            (Table8[رقم الصنف]=A1015) *
            (IF($B$9="الكل",1, YEAR('ادخال البيانات'!$N$3:$N$1164) = VALUE($B$9))) *
            (IF($B$10="الكل",1, MONTH('ادخال البيانات'!$N$3:$N$1164) = VALUE($B$10))) *
            (IF($B$11="الكل",1, INT((DAY('ادخال البيانات'!$N$3:$N$1164)-1)/7)+1 = VALUE($B$11))),
            'ادخال البيانات'!$C$3:$C$1164
         ),
         ""
      ),
      IF(_xlpm.result="", "", _xlpm.result)
   )
)</f>
        <v/>
      </c>
      <c r="D1015" s="27" t="str" cm="1">
        <f t="array" ref="D1015">IF(
   OR(A1015="", $B$9="", $B$10="", $B$11=""),
   "",
   _xlfn.LET(
      _xlpm.result,
      IFERROR(
         _xlfn.XLOOKUP(
            1,
            (Table8[رقم الصنف]=A1015) *
            (IF($B$9="الكل",1, YEAR('ادخال البيانات'!$N$3:$N$1164)=VALUE($B$9))) *
            (IF($B$10="الكل",1, MONTH('ادخال البيانات'!$N$3:$N$1164)=VALUE($B$10))) *
            (IF($B$11="الكل",1, INT((DAY('ادخال البيانات'!$N$3:$N$1164)-1)/7)+1 = VALUE($B$11))),
            'ادخال البيانات'!$D$3:$D$1164
         ),
         ""
      ),
      IF(_xlpm.result="", "", _xlpm.result)
   )
)</f>
        <v/>
      </c>
      <c r="E1015" s="27" t="str" cm="1">
        <f t="array" ref="E1015">IF(
   A1015="",
   "",
   _xlfn.LET(
      _xlpm.result,
      IFERROR(
         _xlfn.XLOOKUP(
            1,
            (Table8[رقم الصنف]=A1015) *
            (IF($B$9="الكل",1, YEAR('ادخال البيانات'!$N$3:$N$1164)=VALUE($B$9))) *
            (IF($B$10="الكل",1, MONTH('ادخال البيانات'!$N$3:$N$1164)=VALUE($B$10))) *
            (IF($B$11="الكل",1, INT((DAY('ادخال البيانات'!$N$3:$N$1164)-1)/7)+1 = VALUE($B$11))),
            'ادخال البيانات'!$E$3:$E$1164
         ),
         ""
      ),
      IF(_xlpm.result="", "", _xlpm.result)
   )
)</f>
        <v/>
      </c>
      <c r="F1015" s="27" t="str" cm="1">
        <f t="array" ref="F1015">IF(
   A1015="",
   "",
   _xlfn.LET(
      _xlpm.result,
      IFERROR(
         _xlfn.XLOOKUP(
            1,
            (Table8[رقم الصنف]=A1015) *
            (IF($B$9="الكل",1, YEAR('ادخال البيانات'!$N$3:$N$1164) = VALUE($B$9))) *
            (IF($B$10="الكل",1, MONTH('ادخال البيانات'!$N$3:$N$1164) = VALUE($B$10))) *
            (IF($B$11="الكل",1, INT((DAY('ادخال البيانات'!$N$3:$N$1164)-1)/7)+1 = VALUE($B$11))),
            'ادخال البيانات'!$F$3:$F$1164
         ),
         ""
      ),
      IF(_xlpm.result="", "", _xlpm.result)
   )
)</f>
        <v/>
      </c>
      <c r="G1015" s="27" t="str" cm="1">
        <f t="array" ref="G1015">IF(
   A1015="",
   "",
   _xlfn.LET(
      _xlpm.result,
      IFERROR(
         _xlfn.XLOOKUP(
            1,
            (Table8[رقم الصنف]=A1015) *
            (IF($B$9="الكل",1, YEAR('ادخال البيانات'!$N$3:$N$1164)=VALUE($B$9))) *
            (IF($B$10="الكل",1, MONTH('ادخال البيانات'!$N$3:$N$1164)=VALUE($B$10))) *
            (IF($B$11="الكل",1, INT((DAY('ادخال البيانات'!$N$3:$N$1164)-1)/7)+1 = VALUE($B$11))),
            'ادخال البيانات'!$G$3:$G$1164
         ),
         ""
      ),
      IF(_xlpm.result="", "", _xlpm.result)
   )
)</f>
        <v/>
      </c>
      <c r="H1015" s="27" t="str" cm="1">
        <f t="array" ref="H1015">IF(
   A1015="",
   "",
   _xlfn.LET(
      _xlpm.result,
      IFERROR(
         _xlfn.XLOOKUP(
            1,
            (Table8[رقم الصنف]=A1015) *
            (IF($B$9="الكل",1, YEAR('ادخال البيانات'!$N$3:$N$1164)=VALUE($B$9))) *
            (IF($B$10="الكل",1, MONTH('ادخال البيانات'!$N$3:$N$1164)=VALUE($B$10))) *
            (IF($B$11="الكل",1, INT((DAY('ادخال البيانات'!$N$3:$N$1164)-1)/7)+1 = VALUE($B$11))),
            'ادخال البيانات'!$H$3:$H$1164
         ),
         ""
      ),
      IF(_xlpm.result="", "", _xlpm.result)
   )
)</f>
        <v/>
      </c>
      <c r="I1015" s="27" t="str" cm="1">
        <f t="array" ref="I1015">IF(
   A1015="",
   "",
   _xlfn.LET(
      _xlpm.result,
      IFERROR(
         _xlfn.XLOOKUP(
            1,
            (Table8[رقم الصنف]=A1015) *
            (IF($B$9="الكل",1, YEAR('ادخال البيانات'!$N$3:$N$1164)=VALUE($B$9))) *
            (IF($B$10="الكل",1, MONTH('ادخال البيانات'!$N$3:$N$1164)=VALUE($B$10))) *
            (IF($B$11="الكل",1, INT((DAY('ادخال البيانات'!$N$3:$N$1164)-1)/7)+1 = VALUE($B$11))),
            'ادخال البيانات'!$I$3:$I$1164
         ),
         ""
      ),
      IF(_xlpm.result="", "", _xlpm.result)
   )
)</f>
        <v/>
      </c>
      <c r="J1015" s="27" t="str" cm="1">
        <f t="array" ref="J1015">IF(
   A1015="",
   "",
   _xlfn.LET(
      _xlpm.result,
      IFERROR(
         _xlfn.XLOOKUP(
            1,
            (Table8[رقم الصنف]=A1015) *
            (IF($B$9="الكل",1, YEAR('ادخال البيانات'!$N$3:$N$1164)=VALUE($B$9))) *
            (IF($B$10="الكل",1, MONTH('ادخال البيانات'!$N$3:$N$1164)=VALUE($B$10))) *
            (IF($B$11="الكل",1, INT((DAY('ادخال البيانات'!$N$3:$N$1164)-1)/7)+1 = VALUE($B$11))),
            'ادخال البيانات'!$J$3:$J$1164
         ),
         ""
      ),
      IF(_xlpm.result="", "", _xlpm.result)
   )
)</f>
        <v/>
      </c>
      <c r="K1015" s="27" t="str" cm="1">
        <f t="array" ref="K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5" s="27" t="str" cm="1">
        <f t="array" ref="L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5" s="27" t="str" cm="1">
        <f t="array" ref="M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5" s="28" t="str" cm="1">
        <f t="array" ref="N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5" s="28" t="str" cm="1">
        <f t="array" ref="O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5" s="27" t="str" cm="1">
        <f t="array" ref="P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Table8[جهة العطل]
         ),
         ""
      ),
      IF(_xlpm.result="", "", _xlpm.result)
   )
)</f>
        <v/>
      </c>
      <c r="Q1015" s="27" t="str" cm="1">
        <f t="array" ref="Q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Table8[المركز]
         ),
         ""
      ),
      IF(_xlpm.result="", "", _xlpm.result)
   )
)</f>
        <v/>
      </c>
      <c r="R1015" s="27" t="str" cm="1">
        <f t="array" ref="R1015">IF(
   A1015="",
   "",
   _xlfn.LET(
      _xlpm.result,
      IFERROR(
         _xlfn.XLOOKUP(
            1,
            (Table8[رقم الصنف]=A1015) *
            (IF($B$9="الكل",1, YEAR('ادخال البيانات'!$N$3:$N$1164) = VALUE($B$9))) *
            (IF($B$10="الكل",1, MONTH('ادخال البيانات'!$N$3:$N$1164) = VALUE($B$10))) *
            (IF($B$11="الكل",1, INT((DAY('ادخال البيانات'!$N$3:$N$1164) - 1) / 7) + 1 = VALUE($B$11))),
            Table8[ملاحظة]
         ),
         ""
      ),
      IF(_xlpm.result="", "", _xlpm.result)
   )
)</f>
        <v/>
      </c>
      <c r="S1015" s="46" t="str">
        <f t="shared" ca="1" si="16"/>
        <v/>
      </c>
    </row>
    <row r="1016" spans="1:19" ht="15.6" thickTop="1" thickBot="1" x14ac:dyDescent="0.35">
      <c r="A1016" s="39"/>
      <c r="B1016" s="27" t="str" cm="1">
        <f t="array" ref="B1016">IF(
   OR(A1016="", $B$9="", $B$10="", $B$11=""),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6" s="27" t="str" cm="1">
        <f t="array" ref="C1016">IF(
   A1016="",
   "",
   _xlfn.LET(
      _xlpm.result,
      IFERROR(
         _xlfn.XLOOKUP(
            1,
            (Table8[رقم الصنف]=A1016) *
            (IF($B$9="الكل",1, YEAR('ادخال البيانات'!$N$3:$N$1164) = VALUE($B$9))) *
            (IF($B$10="الكل",1, MONTH('ادخال البيانات'!$N$3:$N$1164) = VALUE($B$10))) *
            (IF($B$11="الكل",1, INT((DAY('ادخال البيانات'!$N$3:$N$1164)-1)/7)+1 = VALUE($B$11))),
            'ادخال البيانات'!$C$3:$C$1164
         ),
         ""
      ),
      IF(_xlpm.result="", "", _xlpm.result)
   )
)</f>
        <v/>
      </c>
      <c r="D1016" s="27" t="str" cm="1">
        <f t="array" ref="D1016">IF(
   OR(A1016="", $B$9="", $B$10="", $B$11=""),
   "",
   _xlfn.LET(
      _xlpm.result,
      IFERROR(
         _xlfn.XLOOKUP(
            1,
            (Table8[رقم الصنف]=A1016) *
            (IF($B$9="الكل",1, YEAR('ادخال البيانات'!$N$3:$N$1164)=VALUE($B$9))) *
            (IF($B$10="الكل",1, MONTH('ادخال البيانات'!$N$3:$N$1164)=VALUE($B$10))) *
            (IF($B$11="الكل",1, INT((DAY('ادخال البيانات'!$N$3:$N$1164)-1)/7)+1 = VALUE($B$11))),
            'ادخال البيانات'!$D$3:$D$1164
         ),
         ""
      ),
      IF(_xlpm.result="", "", _xlpm.result)
   )
)</f>
        <v/>
      </c>
      <c r="E1016" s="27" t="str" cm="1">
        <f t="array" ref="E1016">IF(
   A1016="",
   "",
   _xlfn.LET(
      _xlpm.result,
      IFERROR(
         _xlfn.XLOOKUP(
            1,
            (Table8[رقم الصنف]=A1016) *
            (IF($B$9="الكل",1, YEAR('ادخال البيانات'!$N$3:$N$1164)=VALUE($B$9))) *
            (IF($B$10="الكل",1, MONTH('ادخال البيانات'!$N$3:$N$1164)=VALUE($B$10))) *
            (IF($B$11="الكل",1, INT((DAY('ادخال البيانات'!$N$3:$N$1164)-1)/7)+1 = VALUE($B$11))),
            'ادخال البيانات'!$E$3:$E$1164
         ),
         ""
      ),
      IF(_xlpm.result="", "", _xlpm.result)
   )
)</f>
        <v/>
      </c>
      <c r="F1016" s="27" t="str" cm="1">
        <f t="array" ref="F1016">IF(
   A1016="",
   "",
   _xlfn.LET(
      _xlpm.result,
      IFERROR(
         _xlfn.XLOOKUP(
            1,
            (Table8[رقم الصنف]=A1016) *
            (IF($B$9="الكل",1, YEAR('ادخال البيانات'!$N$3:$N$1164) = VALUE($B$9))) *
            (IF($B$10="الكل",1, MONTH('ادخال البيانات'!$N$3:$N$1164) = VALUE($B$10))) *
            (IF($B$11="الكل",1, INT((DAY('ادخال البيانات'!$N$3:$N$1164)-1)/7)+1 = VALUE($B$11))),
            'ادخال البيانات'!$F$3:$F$1164
         ),
         ""
      ),
      IF(_xlpm.result="", "", _xlpm.result)
   )
)</f>
        <v/>
      </c>
      <c r="G1016" s="27" t="str" cm="1">
        <f t="array" ref="G1016">IF(
   A1016="",
   "",
   _xlfn.LET(
      _xlpm.result,
      IFERROR(
         _xlfn.XLOOKUP(
            1,
            (Table8[رقم الصنف]=A1016) *
            (IF($B$9="الكل",1, YEAR('ادخال البيانات'!$N$3:$N$1164)=VALUE($B$9))) *
            (IF($B$10="الكل",1, MONTH('ادخال البيانات'!$N$3:$N$1164)=VALUE($B$10))) *
            (IF($B$11="الكل",1, INT((DAY('ادخال البيانات'!$N$3:$N$1164)-1)/7)+1 = VALUE($B$11))),
            'ادخال البيانات'!$G$3:$G$1164
         ),
         ""
      ),
      IF(_xlpm.result="", "", _xlpm.result)
   )
)</f>
        <v/>
      </c>
      <c r="H1016" s="27" t="str" cm="1">
        <f t="array" ref="H1016">IF(
   A1016="",
   "",
   _xlfn.LET(
      _xlpm.result,
      IFERROR(
         _xlfn.XLOOKUP(
            1,
            (Table8[رقم الصنف]=A1016) *
            (IF($B$9="الكل",1, YEAR('ادخال البيانات'!$N$3:$N$1164)=VALUE($B$9))) *
            (IF($B$10="الكل",1, MONTH('ادخال البيانات'!$N$3:$N$1164)=VALUE($B$10))) *
            (IF($B$11="الكل",1, INT((DAY('ادخال البيانات'!$N$3:$N$1164)-1)/7)+1 = VALUE($B$11))),
            'ادخال البيانات'!$H$3:$H$1164
         ),
         ""
      ),
      IF(_xlpm.result="", "", _xlpm.result)
   )
)</f>
        <v/>
      </c>
      <c r="I1016" s="27" t="str" cm="1">
        <f t="array" ref="I1016">IF(
   A1016="",
   "",
   _xlfn.LET(
      _xlpm.result,
      IFERROR(
         _xlfn.XLOOKUP(
            1,
            (Table8[رقم الصنف]=A1016) *
            (IF($B$9="الكل",1, YEAR('ادخال البيانات'!$N$3:$N$1164)=VALUE($B$9))) *
            (IF($B$10="الكل",1, MONTH('ادخال البيانات'!$N$3:$N$1164)=VALUE($B$10))) *
            (IF($B$11="الكل",1, INT((DAY('ادخال البيانات'!$N$3:$N$1164)-1)/7)+1 = VALUE($B$11))),
            'ادخال البيانات'!$I$3:$I$1164
         ),
         ""
      ),
      IF(_xlpm.result="", "", _xlpm.result)
   )
)</f>
        <v/>
      </c>
      <c r="J1016" s="27" t="str" cm="1">
        <f t="array" ref="J1016">IF(
   A1016="",
   "",
   _xlfn.LET(
      _xlpm.result,
      IFERROR(
         _xlfn.XLOOKUP(
            1,
            (Table8[رقم الصنف]=A1016) *
            (IF($B$9="الكل",1, YEAR('ادخال البيانات'!$N$3:$N$1164)=VALUE($B$9))) *
            (IF($B$10="الكل",1, MONTH('ادخال البيانات'!$N$3:$N$1164)=VALUE($B$10))) *
            (IF($B$11="الكل",1, INT((DAY('ادخال البيانات'!$N$3:$N$1164)-1)/7)+1 = VALUE($B$11))),
            'ادخال البيانات'!$J$3:$J$1164
         ),
         ""
      ),
      IF(_xlpm.result="", "", _xlpm.result)
   )
)</f>
        <v/>
      </c>
      <c r="K1016" s="27" t="str" cm="1">
        <f t="array" ref="K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6" s="27" t="str" cm="1">
        <f t="array" ref="L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6" s="27" t="str" cm="1">
        <f t="array" ref="M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6" s="28" t="str" cm="1">
        <f t="array" ref="N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6" s="28" t="str" cm="1">
        <f t="array" ref="O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6" s="27" t="str" cm="1">
        <f t="array" ref="P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Table8[جهة العطل]
         ),
         ""
      ),
      IF(_xlpm.result="", "", _xlpm.result)
   )
)</f>
        <v/>
      </c>
      <c r="Q1016" s="27" t="str" cm="1">
        <f t="array" ref="Q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Table8[المركز]
         ),
         ""
      ),
      IF(_xlpm.result="", "", _xlpm.result)
   )
)</f>
        <v/>
      </c>
      <c r="R1016" s="27" t="str" cm="1">
        <f t="array" ref="R1016">IF(
   A1016="",
   "",
   _xlfn.LET(
      _xlpm.result,
      IFERROR(
         _xlfn.XLOOKUP(
            1,
            (Table8[رقم الصنف]=A1016) *
            (IF($B$9="الكل",1, YEAR('ادخال البيانات'!$N$3:$N$1164) = VALUE($B$9))) *
            (IF($B$10="الكل",1, MONTH('ادخال البيانات'!$N$3:$N$1164) = VALUE($B$10))) *
            (IF($B$11="الكل",1, INT((DAY('ادخال البيانات'!$N$3:$N$1164) - 1) / 7) + 1 = VALUE($B$11))),
            Table8[ملاحظة]
         ),
         ""
      ),
      IF(_xlpm.result="", "", _xlpm.result)
   )
)</f>
        <v/>
      </c>
      <c r="S1016" s="46" t="str">
        <f t="shared" ca="1" si="16"/>
        <v/>
      </c>
    </row>
    <row r="1017" spans="1:19" ht="15.6" thickTop="1" thickBot="1" x14ac:dyDescent="0.35">
      <c r="A1017" s="39"/>
      <c r="B1017" s="27" t="str" cm="1">
        <f t="array" ref="B1017">IF(
   OR(A1017="", $B$9="", $B$10="", $B$11=""),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7" s="27" t="str" cm="1">
        <f t="array" ref="C1017">IF(
   A1017="",
   "",
   _xlfn.LET(
      _xlpm.result,
      IFERROR(
         _xlfn.XLOOKUP(
            1,
            (Table8[رقم الصنف]=A1017) *
            (IF($B$9="الكل",1, YEAR('ادخال البيانات'!$N$3:$N$1164) = VALUE($B$9))) *
            (IF($B$10="الكل",1, MONTH('ادخال البيانات'!$N$3:$N$1164) = VALUE($B$10))) *
            (IF($B$11="الكل",1, INT((DAY('ادخال البيانات'!$N$3:$N$1164)-1)/7)+1 = VALUE($B$11))),
            'ادخال البيانات'!$C$3:$C$1164
         ),
         ""
      ),
      IF(_xlpm.result="", "", _xlpm.result)
   )
)</f>
        <v/>
      </c>
      <c r="D1017" s="27" t="str" cm="1">
        <f t="array" ref="D1017">IF(
   OR(A1017="", $B$9="", $B$10="", $B$11=""),
   "",
   _xlfn.LET(
      _xlpm.result,
      IFERROR(
         _xlfn.XLOOKUP(
            1,
            (Table8[رقم الصنف]=A1017) *
            (IF($B$9="الكل",1, YEAR('ادخال البيانات'!$N$3:$N$1164)=VALUE($B$9))) *
            (IF($B$10="الكل",1, MONTH('ادخال البيانات'!$N$3:$N$1164)=VALUE($B$10))) *
            (IF($B$11="الكل",1, INT((DAY('ادخال البيانات'!$N$3:$N$1164)-1)/7)+1 = VALUE($B$11))),
            'ادخال البيانات'!$D$3:$D$1164
         ),
         ""
      ),
      IF(_xlpm.result="", "", _xlpm.result)
   )
)</f>
        <v/>
      </c>
      <c r="E1017" s="27" t="str" cm="1">
        <f t="array" ref="E1017">IF(
   A1017="",
   "",
   _xlfn.LET(
      _xlpm.result,
      IFERROR(
         _xlfn.XLOOKUP(
            1,
            (Table8[رقم الصنف]=A1017) *
            (IF($B$9="الكل",1, YEAR('ادخال البيانات'!$N$3:$N$1164)=VALUE($B$9))) *
            (IF($B$10="الكل",1, MONTH('ادخال البيانات'!$N$3:$N$1164)=VALUE($B$10))) *
            (IF($B$11="الكل",1, INT((DAY('ادخال البيانات'!$N$3:$N$1164)-1)/7)+1 = VALUE($B$11))),
            'ادخال البيانات'!$E$3:$E$1164
         ),
         ""
      ),
      IF(_xlpm.result="", "", _xlpm.result)
   )
)</f>
        <v/>
      </c>
      <c r="F1017" s="27" t="str" cm="1">
        <f t="array" ref="F1017">IF(
   A1017="",
   "",
   _xlfn.LET(
      _xlpm.result,
      IFERROR(
         _xlfn.XLOOKUP(
            1,
            (Table8[رقم الصنف]=A1017) *
            (IF($B$9="الكل",1, YEAR('ادخال البيانات'!$N$3:$N$1164) = VALUE($B$9))) *
            (IF($B$10="الكل",1, MONTH('ادخال البيانات'!$N$3:$N$1164) = VALUE($B$10))) *
            (IF($B$11="الكل",1, INT((DAY('ادخال البيانات'!$N$3:$N$1164)-1)/7)+1 = VALUE($B$11))),
            'ادخال البيانات'!$F$3:$F$1164
         ),
         ""
      ),
      IF(_xlpm.result="", "", _xlpm.result)
   )
)</f>
        <v/>
      </c>
      <c r="G1017" s="27" t="str" cm="1">
        <f t="array" ref="G1017">IF(
   A1017="",
   "",
   _xlfn.LET(
      _xlpm.result,
      IFERROR(
         _xlfn.XLOOKUP(
            1,
            (Table8[رقم الصنف]=A1017) *
            (IF($B$9="الكل",1, YEAR('ادخال البيانات'!$N$3:$N$1164)=VALUE($B$9))) *
            (IF($B$10="الكل",1, MONTH('ادخال البيانات'!$N$3:$N$1164)=VALUE($B$10))) *
            (IF($B$11="الكل",1, INT((DAY('ادخال البيانات'!$N$3:$N$1164)-1)/7)+1 = VALUE($B$11))),
            'ادخال البيانات'!$G$3:$G$1164
         ),
         ""
      ),
      IF(_xlpm.result="", "", _xlpm.result)
   )
)</f>
        <v/>
      </c>
      <c r="H1017" s="27" t="str" cm="1">
        <f t="array" ref="H1017">IF(
   A1017="",
   "",
   _xlfn.LET(
      _xlpm.result,
      IFERROR(
         _xlfn.XLOOKUP(
            1,
            (Table8[رقم الصنف]=A1017) *
            (IF($B$9="الكل",1, YEAR('ادخال البيانات'!$N$3:$N$1164)=VALUE($B$9))) *
            (IF($B$10="الكل",1, MONTH('ادخال البيانات'!$N$3:$N$1164)=VALUE($B$10))) *
            (IF($B$11="الكل",1, INT((DAY('ادخال البيانات'!$N$3:$N$1164)-1)/7)+1 = VALUE($B$11))),
            'ادخال البيانات'!$H$3:$H$1164
         ),
         ""
      ),
      IF(_xlpm.result="", "", _xlpm.result)
   )
)</f>
        <v/>
      </c>
      <c r="I1017" s="27" t="str" cm="1">
        <f t="array" ref="I1017">IF(
   A1017="",
   "",
   _xlfn.LET(
      _xlpm.result,
      IFERROR(
         _xlfn.XLOOKUP(
            1,
            (Table8[رقم الصنف]=A1017) *
            (IF($B$9="الكل",1, YEAR('ادخال البيانات'!$N$3:$N$1164)=VALUE($B$9))) *
            (IF($B$10="الكل",1, MONTH('ادخال البيانات'!$N$3:$N$1164)=VALUE($B$10))) *
            (IF($B$11="الكل",1, INT((DAY('ادخال البيانات'!$N$3:$N$1164)-1)/7)+1 = VALUE($B$11))),
            'ادخال البيانات'!$I$3:$I$1164
         ),
         ""
      ),
      IF(_xlpm.result="", "", _xlpm.result)
   )
)</f>
        <v/>
      </c>
      <c r="J1017" s="27" t="str" cm="1">
        <f t="array" ref="J1017">IF(
   A1017="",
   "",
   _xlfn.LET(
      _xlpm.result,
      IFERROR(
         _xlfn.XLOOKUP(
            1,
            (Table8[رقم الصنف]=A1017) *
            (IF($B$9="الكل",1, YEAR('ادخال البيانات'!$N$3:$N$1164)=VALUE($B$9))) *
            (IF($B$10="الكل",1, MONTH('ادخال البيانات'!$N$3:$N$1164)=VALUE($B$10))) *
            (IF($B$11="الكل",1, INT((DAY('ادخال البيانات'!$N$3:$N$1164)-1)/7)+1 = VALUE($B$11))),
            'ادخال البيانات'!$J$3:$J$1164
         ),
         ""
      ),
      IF(_xlpm.result="", "", _xlpm.result)
   )
)</f>
        <v/>
      </c>
      <c r="K1017" s="27" t="str" cm="1">
        <f t="array" ref="K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7" s="27" t="str" cm="1">
        <f t="array" ref="L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7" s="27" t="str" cm="1">
        <f t="array" ref="M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7" s="28" t="str" cm="1">
        <f t="array" ref="N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7" s="28" t="str" cm="1">
        <f t="array" ref="O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7" s="27" t="str" cm="1">
        <f t="array" ref="P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Table8[جهة العطل]
         ),
         ""
      ),
      IF(_xlpm.result="", "", _xlpm.result)
   )
)</f>
        <v/>
      </c>
      <c r="Q1017" s="27" t="str" cm="1">
        <f t="array" ref="Q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Table8[المركز]
         ),
         ""
      ),
      IF(_xlpm.result="", "", _xlpm.result)
   )
)</f>
        <v/>
      </c>
      <c r="R1017" s="27" t="str" cm="1">
        <f t="array" ref="R1017">IF(
   A1017="",
   "",
   _xlfn.LET(
      _xlpm.result,
      IFERROR(
         _xlfn.XLOOKUP(
            1,
            (Table8[رقم الصنف]=A1017) *
            (IF($B$9="الكل",1, YEAR('ادخال البيانات'!$N$3:$N$1164) = VALUE($B$9))) *
            (IF($B$10="الكل",1, MONTH('ادخال البيانات'!$N$3:$N$1164) = VALUE($B$10))) *
            (IF($B$11="الكل",1, INT((DAY('ادخال البيانات'!$N$3:$N$1164) - 1) / 7) + 1 = VALUE($B$11))),
            Table8[ملاحظة]
         ),
         ""
      ),
      IF(_xlpm.result="", "", _xlpm.result)
   )
)</f>
        <v/>
      </c>
      <c r="S1017" s="46" t="str">
        <f t="shared" ca="1" si="16"/>
        <v/>
      </c>
    </row>
    <row r="1018" spans="1:19" ht="15.6" thickTop="1" thickBot="1" x14ac:dyDescent="0.35">
      <c r="A1018" s="39"/>
      <c r="B1018" s="27" t="str" cm="1">
        <f t="array" ref="B1018">IF(
   OR(A1018="", $B$9="", $B$10="", $B$11=""),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8" s="27" t="str" cm="1">
        <f t="array" ref="C1018">IF(
   A1018="",
   "",
   _xlfn.LET(
      _xlpm.result,
      IFERROR(
         _xlfn.XLOOKUP(
            1,
            (Table8[رقم الصنف]=A1018) *
            (IF($B$9="الكل",1, YEAR('ادخال البيانات'!$N$3:$N$1164) = VALUE($B$9))) *
            (IF($B$10="الكل",1, MONTH('ادخال البيانات'!$N$3:$N$1164) = VALUE($B$10))) *
            (IF($B$11="الكل",1, INT((DAY('ادخال البيانات'!$N$3:$N$1164)-1)/7)+1 = VALUE($B$11))),
            'ادخال البيانات'!$C$3:$C$1164
         ),
         ""
      ),
      IF(_xlpm.result="", "", _xlpm.result)
   )
)</f>
        <v/>
      </c>
      <c r="D1018" s="27" t="str" cm="1">
        <f t="array" ref="D1018">IF(
   OR(A1018="", $B$9="", $B$10="", $B$11=""),
   "",
   _xlfn.LET(
      _xlpm.result,
      IFERROR(
         _xlfn.XLOOKUP(
            1,
            (Table8[رقم الصنف]=A1018) *
            (IF($B$9="الكل",1, YEAR('ادخال البيانات'!$N$3:$N$1164)=VALUE($B$9))) *
            (IF($B$10="الكل",1, MONTH('ادخال البيانات'!$N$3:$N$1164)=VALUE($B$10))) *
            (IF($B$11="الكل",1, INT((DAY('ادخال البيانات'!$N$3:$N$1164)-1)/7)+1 = VALUE($B$11))),
            'ادخال البيانات'!$D$3:$D$1164
         ),
         ""
      ),
      IF(_xlpm.result="", "", _xlpm.result)
   )
)</f>
        <v/>
      </c>
      <c r="E1018" s="27" t="str" cm="1">
        <f t="array" ref="E1018">IF(
   A1018="",
   "",
   _xlfn.LET(
      _xlpm.result,
      IFERROR(
         _xlfn.XLOOKUP(
            1,
            (Table8[رقم الصنف]=A1018) *
            (IF($B$9="الكل",1, YEAR('ادخال البيانات'!$N$3:$N$1164)=VALUE($B$9))) *
            (IF($B$10="الكل",1, MONTH('ادخال البيانات'!$N$3:$N$1164)=VALUE($B$10))) *
            (IF($B$11="الكل",1, INT((DAY('ادخال البيانات'!$N$3:$N$1164)-1)/7)+1 = VALUE($B$11))),
            'ادخال البيانات'!$E$3:$E$1164
         ),
         ""
      ),
      IF(_xlpm.result="", "", _xlpm.result)
   )
)</f>
        <v/>
      </c>
      <c r="F1018" s="27" t="str" cm="1">
        <f t="array" ref="F1018">IF(
   A1018="",
   "",
   _xlfn.LET(
      _xlpm.result,
      IFERROR(
         _xlfn.XLOOKUP(
            1,
            (Table8[رقم الصنف]=A1018) *
            (IF($B$9="الكل",1, YEAR('ادخال البيانات'!$N$3:$N$1164) = VALUE($B$9))) *
            (IF($B$10="الكل",1, MONTH('ادخال البيانات'!$N$3:$N$1164) = VALUE($B$10))) *
            (IF($B$11="الكل",1, INT((DAY('ادخال البيانات'!$N$3:$N$1164)-1)/7)+1 = VALUE($B$11))),
            'ادخال البيانات'!$F$3:$F$1164
         ),
         ""
      ),
      IF(_xlpm.result="", "", _xlpm.result)
   )
)</f>
        <v/>
      </c>
      <c r="G1018" s="27" t="str" cm="1">
        <f t="array" ref="G1018">IF(
   A1018="",
   "",
   _xlfn.LET(
      _xlpm.result,
      IFERROR(
         _xlfn.XLOOKUP(
            1,
            (Table8[رقم الصنف]=A1018) *
            (IF($B$9="الكل",1, YEAR('ادخال البيانات'!$N$3:$N$1164)=VALUE($B$9))) *
            (IF($B$10="الكل",1, MONTH('ادخال البيانات'!$N$3:$N$1164)=VALUE($B$10))) *
            (IF($B$11="الكل",1, INT((DAY('ادخال البيانات'!$N$3:$N$1164)-1)/7)+1 = VALUE($B$11))),
            'ادخال البيانات'!$G$3:$G$1164
         ),
         ""
      ),
      IF(_xlpm.result="", "", _xlpm.result)
   )
)</f>
        <v/>
      </c>
      <c r="H1018" s="27" t="str" cm="1">
        <f t="array" ref="H1018">IF(
   A1018="",
   "",
   _xlfn.LET(
      _xlpm.result,
      IFERROR(
         _xlfn.XLOOKUP(
            1,
            (Table8[رقم الصنف]=A1018) *
            (IF($B$9="الكل",1, YEAR('ادخال البيانات'!$N$3:$N$1164)=VALUE($B$9))) *
            (IF($B$10="الكل",1, MONTH('ادخال البيانات'!$N$3:$N$1164)=VALUE($B$10))) *
            (IF($B$11="الكل",1, INT((DAY('ادخال البيانات'!$N$3:$N$1164)-1)/7)+1 = VALUE($B$11))),
            'ادخال البيانات'!$H$3:$H$1164
         ),
         ""
      ),
      IF(_xlpm.result="", "", _xlpm.result)
   )
)</f>
        <v/>
      </c>
      <c r="I1018" s="27" t="str" cm="1">
        <f t="array" ref="I1018">IF(
   A1018="",
   "",
   _xlfn.LET(
      _xlpm.result,
      IFERROR(
         _xlfn.XLOOKUP(
            1,
            (Table8[رقم الصنف]=A1018) *
            (IF($B$9="الكل",1, YEAR('ادخال البيانات'!$N$3:$N$1164)=VALUE($B$9))) *
            (IF($B$10="الكل",1, MONTH('ادخال البيانات'!$N$3:$N$1164)=VALUE($B$10))) *
            (IF($B$11="الكل",1, INT((DAY('ادخال البيانات'!$N$3:$N$1164)-1)/7)+1 = VALUE($B$11))),
            'ادخال البيانات'!$I$3:$I$1164
         ),
         ""
      ),
      IF(_xlpm.result="", "", _xlpm.result)
   )
)</f>
        <v/>
      </c>
      <c r="J1018" s="27" t="str" cm="1">
        <f t="array" ref="J1018">IF(
   A1018="",
   "",
   _xlfn.LET(
      _xlpm.result,
      IFERROR(
         _xlfn.XLOOKUP(
            1,
            (Table8[رقم الصنف]=A1018) *
            (IF($B$9="الكل",1, YEAR('ادخال البيانات'!$N$3:$N$1164)=VALUE($B$9))) *
            (IF($B$10="الكل",1, MONTH('ادخال البيانات'!$N$3:$N$1164)=VALUE($B$10))) *
            (IF($B$11="الكل",1, INT((DAY('ادخال البيانات'!$N$3:$N$1164)-1)/7)+1 = VALUE($B$11))),
            'ادخال البيانات'!$J$3:$J$1164
         ),
         ""
      ),
      IF(_xlpm.result="", "", _xlpm.result)
   )
)</f>
        <v/>
      </c>
      <c r="K1018" s="27" t="str" cm="1">
        <f t="array" ref="K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8" s="27" t="str" cm="1">
        <f t="array" ref="L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8" s="27" t="str" cm="1">
        <f t="array" ref="M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8" s="28" t="str" cm="1">
        <f t="array" ref="N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8" s="28" t="str" cm="1">
        <f t="array" ref="O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8" s="27" t="str" cm="1">
        <f t="array" ref="P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Table8[جهة العطل]
         ),
         ""
      ),
      IF(_xlpm.result="", "", _xlpm.result)
   )
)</f>
        <v/>
      </c>
      <c r="Q1018" s="27" t="str" cm="1">
        <f t="array" ref="Q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Table8[المركز]
         ),
         ""
      ),
      IF(_xlpm.result="", "", _xlpm.result)
   )
)</f>
        <v/>
      </c>
      <c r="R1018" s="27" t="str" cm="1">
        <f t="array" ref="R1018">IF(
   A1018="",
   "",
   _xlfn.LET(
      _xlpm.result,
      IFERROR(
         _xlfn.XLOOKUP(
            1,
            (Table8[رقم الصنف]=A1018) *
            (IF($B$9="الكل",1, YEAR('ادخال البيانات'!$N$3:$N$1164) = VALUE($B$9))) *
            (IF($B$10="الكل",1, MONTH('ادخال البيانات'!$N$3:$N$1164) = VALUE($B$10))) *
            (IF($B$11="الكل",1, INT((DAY('ادخال البيانات'!$N$3:$N$1164) - 1) / 7) + 1 = VALUE($B$11))),
            Table8[ملاحظة]
         ),
         ""
      ),
      IF(_xlpm.result="", "", _xlpm.result)
   )
)</f>
        <v/>
      </c>
      <c r="S1018" s="46" t="str">
        <f t="shared" ca="1" si="16"/>
        <v/>
      </c>
    </row>
    <row r="1019" spans="1:19" ht="15.6" thickTop="1" thickBot="1" x14ac:dyDescent="0.35">
      <c r="A1019" s="39"/>
      <c r="B1019" s="27" t="str" cm="1">
        <f t="array" ref="B1019">IF(
   OR(A1019="", $B$9="", $B$10="", $B$11=""),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19" s="27" t="str" cm="1">
        <f t="array" ref="C1019">IF(
   A1019="",
   "",
   _xlfn.LET(
      _xlpm.result,
      IFERROR(
         _xlfn.XLOOKUP(
            1,
            (Table8[رقم الصنف]=A1019) *
            (IF($B$9="الكل",1, YEAR('ادخال البيانات'!$N$3:$N$1164) = VALUE($B$9))) *
            (IF($B$10="الكل",1, MONTH('ادخال البيانات'!$N$3:$N$1164) = VALUE($B$10))) *
            (IF($B$11="الكل",1, INT((DAY('ادخال البيانات'!$N$3:$N$1164)-1)/7)+1 = VALUE($B$11))),
            'ادخال البيانات'!$C$3:$C$1164
         ),
         ""
      ),
      IF(_xlpm.result="", "", _xlpm.result)
   )
)</f>
        <v/>
      </c>
      <c r="D1019" s="27" t="str" cm="1">
        <f t="array" ref="D1019">IF(
   OR(A1019="", $B$9="", $B$10="", $B$11=""),
   "",
   _xlfn.LET(
      _xlpm.result,
      IFERROR(
         _xlfn.XLOOKUP(
            1,
            (Table8[رقم الصنف]=A1019) *
            (IF($B$9="الكل",1, YEAR('ادخال البيانات'!$N$3:$N$1164)=VALUE($B$9))) *
            (IF($B$10="الكل",1, MONTH('ادخال البيانات'!$N$3:$N$1164)=VALUE($B$10))) *
            (IF($B$11="الكل",1, INT((DAY('ادخال البيانات'!$N$3:$N$1164)-1)/7)+1 = VALUE($B$11))),
            'ادخال البيانات'!$D$3:$D$1164
         ),
         ""
      ),
      IF(_xlpm.result="", "", _xlpm.result)
   )
)</f>
        <v/>
      </c>
      <c r="E1019" s="27" t="str" cm="1">
        <f t="array" ref="E1019">IF(
   A1019="",
   "",
   _xlfn.LET(
      _xlpm.result,
      IFERROR(
         _xlfn.XLOOKUP(
            1,
            (Table8[رقم الصنف]=A1019) *
            (IF($B$9="الكل",1, YEAR('ادخال البيانات'!$N$3:$N$1164)=VALUE($B$9))) *
            (IF($B$10="الكل",1, MONTH('ادخال البيانات'!$N$3:$N$1164)=VALUE($B$10))) *
            (IF($B$11="الكل",1, INT((DAY('ادخال البيانات'!$N$3:$N$1164)-1)/7)+1 = VALUE($B$11))),
            'ادخال البيانات'!$E$3:$E$1164
         ),
         ""
      ),
      IF(_xlpm.result="", "", _xlpm.result)
   )
)</f>
        <v/>
      </c>
      <c r="F1019" s="27" t="str" cm="1">
        <f t="array" ref="F1019">IF(
   A1019="",
   "",
   _xlfn.LET(
      _xlpm.result,
      IFERROR(
         _xlfn.XLOOKUP(
            1,
            (Table8[رقم الصنف]=A1019) *
            (IF($B$9="الكل",1, YEAR('ادخال البيانات'!$N$3:$N$1164) = VALUE($B$9))) *
            (IF($B$10="الكل",1, MONTH('ادخال البيانات'!$N$3:$N$1164) = VALUE($B$10))) *
            (IF($B$11="الكل",1, INT((DAY('ادخال البيانات'!$N$3:$N$1164)-1)/7)+1 = VALUE($B$11))),
            'ادخال البيانات'!$F$3:$F$1164
         ),
         ""
      ),
      IF(_xlpm.result="", "", _xlpm.result)
   )
)</f>
        <v/>
      </c>
      <c r="G1019" s="27" t="str" cm="1">
        <f t="array" ref="G1019">IF(
   A1019="",
   "",
   _xlfn.LET(
      _xlpm.result,
      IFERROR(
         _xlfn.XLOOKUP(
            1,
            (Table8[رقم الصنف]=A1019) *
            (IF($B$9="الكل",1, YEAR('ادخال البيانات'!$N$3:$N$1164)=VALUE($B$9))) *
            (IF($B$10="الكل",1, MONTH('ادخال البيانات'!$N$3:$N$1164)=VALUE($B$10))) *
            (IF($B$11="الكل",1, INT((DAY('ادخال البيانات'!$N$3:$N$1164)-1)/7)+1 = VALUE($B$11))),
            'ادخال البيانات'!$G$3:$G$1164
         ),
         ""
      ),
      IF(_xlpm.result="", "", _xlpm.result)
   )
)</f>
        <v/>
      </c>
      <c r="H1019" s="27" t="str" cm="1">
        <f t="array" ref="H1019">IF(
   A1019="",
   "",
   _xlfn.LET(
      _xlpm.result,
      IFERROR(
         _xlfn.XLOOKUP(
            1,
            (Table8[رقم الصنف]=A1019) *
            (IF($B$9="الكل",1, YEAR('ادخال البيانات'!$N$3:$N$1164)=VALUE($B$9))) *
            (IF($B$10="الكل",1, MONTH('ادخال البيانات'!$N$3:$N$1164)=VALUE($B$10))) *
            (IF($B$11="الكل",1, INT((DAY('ادخال البيانات'!$N$3:$N$1164)-1)/7)+1 = VALUE($B$11))),
            'ادخال البيانات'!$H$3:$H$1164
         ),
         ""
      ),
      IF(_xlpm.result="", "", _xlpm.result)
   )
)</f>
        <v/>
      </c>
      <c r="I1019" s="27" t="str" cm="1">
        <f t="array" ref="I1019">IF(
   A1019="",
   "",
   _xlfn.LET(
      _xlpm.result,
      IFERROR(
         _xlfn.XLOOKUP(
            1,
            (Table8[رقم الصنف]=A1019) *
            (IF($B$9="الكل",1, YEAR('ادخال البيانات'!$N$3:$N$1164)=VALUE($B$9))) *
            (IF($B$10="الكل",1, MONTH('ادخال البيانات'!$N$3:$N$1164)=VALUE($B$10))) *
            (IF($B$11="الكل",1, INT((DAY('ادخال البيانات'!$N$3:$N$1164)-1)/7)+1 = VALUE($B$11))),
            'ادخال البيانات'!$I$3:$I$1164
         ),
         ""
      ),
      IF(_xlpm.result="", "", _xlpm.result)
   )
)</f>
        <v/>
      </c>
      <c r="J1019" s="27" t="str" cm="1">
        <f t="array" ref="J1019">IF(
   A1019="",
   "",
   _xlfn.LET(
      _xlpm.result,
      IFERROR(
         _xlfn.XLOOKUP(
            1,
            (Table8[رقم الصنف]=A1019) *
            (IF($B$9="الكل",1, YEAR('ادخال البيانات'!$N$3:$N$1164)=VALUE($B$9))) *
            (IF($B$10="الكل",1, MONTH('ادخال البيانات'!$N$3:$N$1164)=VALUE($B$10))) *
            (IF($B$11="الكل",1, INT((DAY('ادخال البيانات'!$N$3:$N$1164)-1)/7)+1 = VALUE($B$11))),
            'ادخال البيانات'!$J$3:$J$1164
         ),
         ""
      ),
      IF(_xlpm.result="", "", _xlpm.result)
   )
)</f>
        <v/>
      </c>
      <c r="K1019" s="27" t="str" cm="1">
        <f t="array" ref="K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19" s="27" t="str" cm="1">
        <f t="array" ref="L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19" s="27" t="str" cm="1">
        <f t="array" ref="M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19" s="28" t="str" cm="1">
        <f t="array" ref="N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19" s="28" t="str" cm="1">
        <f t="array" ref="O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19" s="27" t="str" cm="1">
        <f t="array" ref="P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Table8[جهة العطل]
         ),
         ""
      ),
      IF(_xlpm.result="", "", _xlpm.result)
   )
)</f>
        <v/>
      </c>
      <c r="Q1019" s="27" t="str" cm="1">
        <f t="array" ref="Q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Table8[المركز]
         ),
         ""
      ),
      IF(_xlpm.result="", "", _xlpm.result)
   )
)</f>
        <v/>
      </c>
      <c r="R1019" s="27" t="str" cm="1">
        <f t="array" ref="R1019">IF(
   A1019="",
   "",
   _xlfn.LET(
      _xlpm.result,
      IFERROR(
         _xlfn.XLOOKUP(
            1,
            (Table8[رقم الصنف]=A1019) *
            (IF($B$9="الكل",1, YEAR('ادخال البيانات'!$N$3:$N$1164) = VALUE($B$9))) *
            (IF($B$10="الكل",1, MONTH('ادخال البيانات'!$N$3:$N$1164) = VALUE($B$10))) *
            (IF($B$11="الكل",1, INT((DAY('ادخال البيانات'!$N$3:$N$1164) - 1) / 7) + 1 = VALUE($B$11))),
            Table8[ملاحظة]
         ),
         ""
      ),
      IF(_xlpm.result="", "", _xlpm.result)
   )
)</f>
        <v/>
      </c>
      <c r="S1019" s="46" t="str">
        <f t="shared" ca="1" si="16"/>
        <v/>
      </c>
    </row>
    <row r="1020" spans="1:19" ht="15.6" thickTop="1" thickBot="1" x14ac:dyDescent="0.35">
      <c r="A1020" s="39"/>
      <c r="B1020" s="27" t="str" cm="1">
        <f t="array" ref="B1020">IF(
   OR(A1020="", $B$9="", $B$10="", $B$11=""),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0" s="27" t="str" cm="1">
        <f t="array" ref="C1020">IF(
   A1020="",
   "",
   _xlfn.LET(
      _xlpm.result,
      IFERROR(
         _xlfn.XLOOKUP(
            1,
            (Table8[رقم الصنف]=A1020) *
            (IF($B$9="الكل",1, YEAR('ادخال البيانات'!$N$3:$N$1164) = VALUE($B$9))) *
            (IF($B$10="الكل",1, MONTH('ادخال البيانات'!$N$3:$N$1164) = VALUE($B$10))) *
            (IF($B$11="الكل",1, INT((DAY('ادخال البيانات'!$N$3:$N$1164)-1)/7)+1 = VALUE($B$11))),
            'ادخال البيانات'!$C$3:$C$1164
         ),
         ""
      ),
      IF(_xlpm.result="", "", _xlpm.result)
   )
)</f>
        <v/>
      </c>
      <c r="D1020" s="27" t="str" cm="1">
        <f t="array" ref="D1020">IF(
   OR(A1020="", $B$9="", $B$10="", $B$11=""),
   "",
   _xlfn.LET(
      _xlpm.result,
      IFERROR(
         _xlfn.XLOOKUP(
            1,
            (Table8[رقم الصنف]=A1020) *
            (IF($B$9="الكل",1, YEAR('ادخال البيانات'!$N$3:$N$1164)=VALUE($B$9))) *
            (IF($B$10="الكل",1, MONTH('ادخال البيانات'!$N$3:$N$1164)=VALUE($B$10))) *
            (IF($B$11="الكل",1, INT((DAY('ادخال البيانات'!$N$3:$N$1164)-1)/7)+1 = VALUE($B$11))),
            'ادخال البيانات'!$D$3:$D$1164
         ),
         ""
      ),
      IF(_xlpm.result="", "", _xlpm.result)
   )
)</f>
        <v/>
      </c>
      <c r="E1020" s="27" t="str" cm="1">
        <f t="array" ref="E1020">IF(
   A1020="",
   "",
   _xlfn.LET(
      _xlpm.result,
      IFERROR(
         _xlfn.XLOOKUP(
            1,
            (Table8[رقم الصنف]=A1020) *
            (IF($B$9="الكل",1, YEAR('ادخال البيانات'!$N$3:$N$1164)=VALUE($B$9))) *
            (IF($B$10="الكل",1, MONTH('ادخال البيانات'!$N$3:$N$1164)=VALUE($B$10))) *
            (IF($B$11="الكل",1, INT((DAY('ادخال البيانات'!$N$3:$N$1164)-1)/7)+1 = VALUE($B$11))),
            'ادخال البيانات'!$E$3:$E$1164
         ),
         ""
      ),
      IF(_xlpm.result="", "", _xlpm.result)
   )
)</f>
        <v/>
      </c>
      <c r="F1020" s="27" t="str" cm="1">
        <f t="array" ref="F1020">IF(
   A1020="",
   "",
   _xlfn.LET(
      _xlpm.result,
      IFERROR(
         _xlfn.XLOOKUP(
            1,
            (Table8[رقم الصنف]=A1020) *
            (IF($B$9="الكل",1, YEAR('ادخال البيانات'!$N$3:$N$1164) = VALUE($B$9))) *
            (IF($B$10="الكل",1, MONTH('ادخال البيانات'!$N$3:$N$1164) = VALUE($B$10))) *
            (IF($B$11="الكل",1, INT((DAY('ادخال البيانات'!$N$3:$N$1164)-1)/7)+1 = VALUE($B$11))),
            'ادخال البيانات'!$F$3:$F$1164
         ),
         ""
      ),
      IF(_xlpm.result="", "", _xlpm.result)
   )
)</f>
        <v/>
      </c>
      <c r="G1020" s="27" t="str" cm="1">
        <f t="array" ref="G1020">IF(
   A1020="",
   "",
   _xlfn.LET(
      _xlpm.result,
      IFERROR(
         _xlfn.XLOOKUP(
            1,
            (Table8[رقم الصنف]=A1020) *
            (IF($B$9="الكل",1, YEAR('ادخال البيانات'!$N$3:$N$1164)=VALUE($B$9))) *
            (IF($B$10="الكل",1, MONTH('ادخال البيانات'!$N$3:$N$1164)=VALUE($B$10))) *
            (IF($B$11="الكل",1, INT((DAY('ادخال البيانات'!$N$3:$N$1164)-1)/7)+1 = VALUE($B$11))),
            'ادخال البيانات'!$G$3:$G$1164
         ),
         ""
      ),
      IF(_xlpm.result="", "", _xlpm.result)
   )
)</f>
        <v/>
      </c>
      <c r="H1020" s="27" t="str" cm="1">
        <f t="array" ref="H1020">IF(
   A1020="",
   "",
   _xlfn.LET(
      _xlpm.result,
      IFERROR(
         _xlfn.XLOOKUP(
            1,
            (Table8[رقم الصنف]=A1020) *
            (IF($B$9="الكل",1, YEAR('ادخال البيانات'!$N$3:$N$1164)=VALUE($B$9))) *
            (IF($B$10="الكل",1, MONTH('ادخال البيانات'!$N$3:$N$1164)=VALUE($B$10))) *
            (IF($B$11="الكل",1, INT((DAY('ادخال البيانات'!$N$3:$N$1164)-1)/7)+1 = VALUE($B$11))),
            'ادخال البيانات'!$H$3:$H$1164
         ),
         ""
      ),
      IF(_xlpm.result="", "", _xlpm.result)
   )
)</f>
        <v/>
      </c>
      <c r="I1020" s="27" t="str" cm="1">
        <f t="array" ref="I1020">IF(
   A1020="",
   "",
   _xlfn.LET(
      _xlpm.result,
      IFERROR(
         _xlfn.XLOOKUP(
            1,
            (Table8[رقم الصنف]=A1020) *
            (IF($B$9="الكل",1, YEAR('ادخال البيانات'!$N$3:$N$1164)=VALUE($B$9))) *
            (IF($B$10="الكل",1, MONTH('ادخال البيانات'!$N$3:$N$1164)=VALUE($B$10))) *
            (IF($B$11="الكل",1, INT((DAY('ادخال البيانات'!$N$3:$N$1164)-1)/7)+1 = VALUE($B$11))),
            'ادخال البيانات'!$I$3:$I$1164
         ),
         ""
      ),
      IF(_xlpm.result="", "", _xlpm.result)
   )
)</f>
        <v/>
      </c>
      <c r="J1020" s="27" t="str" cm="1">
        <f t="array" ref="J1020">IF(
   A1020="",
   "",
   _xlfn.LET(
      _xlpm.result,
      IFERROR(
         _xlfn.XLOOKUP(
            1,
            (Table8[رقم الصنف]=A1020) *
            (IF($B$9="الكل",1, YEAR('ادخال البيانات'!$N$3:$N$1164)=VALUE($B$9))) *
            (IF($B$10="الكل",1, MONTH('ادخال البيانات'!$N$3:$N$1164)=VALUE($B$10))) *
            (IF($B$11="الكل",1, INT((DAY('ادخال البيانات'!$N$3:$N$1164)-1)/7)+1 = VALUE($B$11))),
            'ادخال البيانات'!$J$3:$J$1164
         ),
         ""
      ),
      IF(_xlpm.result="", "", _xlpm.result)
   )
)</f>
        <v/>
      </c>
      <c r="K1020" s="27" t="str" cm="1">
        <f t="array" ref="K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0" s="27" t="str" cm="1">
        <f t="array" ref="L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0" s="27" t="str" cm="1">
        <f t="array" ref="M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0" s="28" t="str" cm="1">
        <f t="array" ref="N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0" s="28" t="str" cm="1">
        <f t="array" ref="O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0" s="27" t="str" cm="1">
        <f t="array" ref="P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Table8[جهة العطل]
         ),
         ""
      ),
      IF(_xlpm.result="", "", _xlpm.result)
   )
)</f>
        <v/>
      </c>
      <c r="Q1020" s="27" t="str" cm="1">
        <f t="array" ref="Q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Table8[المركز]
         ),
         ""
      ),
      IF(_xlpm.result="", "", _xlpm.result)
   )
)</f>
        <v/>
      </c>
      <c r="R1020" s="27" t="str" cm="1">
        <f t="array" ref="R1020">IF(
   A1020="",
   "",
   _xlfn.LET(
      _xlpm.result,
      IFERROR(
         _xlfn.XLOOKUP(
            1,
            (Table8[رقم الصنف]=A1020) *
            (IF($B$9="الكل",1, YEAR('ادخال البيانات'!$N$3:$N$1164) = VALUE($B$9))) *
            (IF($B$10="الكل",1, MONTH('ادخال البيانات'!$N$3:$N$1164) = VALUE($B$10))) *
            (IF($B$11="الكل",1, INT((DAY('ادخال البيانات'!$N$3:$N$1164) - 1) / 7) + 1 = VALUE($B$11))),
            Table8[ملاحظة]
         ),
         ""
      ),
      IF(_xlpm.result="", "", _xlpm.result)
   )
)</f>
        <v/>
      </c>
      <c r="S1020" s="46" t="str">
        <f t="shared" ca="1" si="16"/>
        <v/>
      </c>
    </row>
    <row r="1021" spans="1:19" ht="15.6" thickTop="1" thickBot="1" x14ac:dyDescent="0.35">
      <c r="A1021" s="39"/>
      <c r="B1021" s="27" t="str" cm="1">
        <f t="array" ref="B1021">IF(
   OR(A1021="", $B$9="", $B$10="", $B$11=""),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1" s="27" t="str" cm="1">
        <f t="array" ref="C1021">IF(
   A1021="",
   "",
   _xlfn.LET(
      _xlpm.result,
      IFERROR(
         _xlfn.XLOOKUP(
            1,
            (Table8[رقم الصنف]=A1021) *
            (IF($B$9="الكل",1, YEAR('ادخال البيانات'!$N$3:$N$1164) = VALUE($B$9))) *
            (IF($B$10="الكل",1, MONTH('ادخال البيانات'!$N$3:$N$1164) = VALUE($B$10))) *
            (IF($B$11="الكل",1, INT((DAY('ادخال البيانات'!$N$3:$N$1164)-1)/7)+1 = VALUE($B$11))),
            'ادخال البيانات'!$C$3:$C$1164
         ),
         ""
      ),
      IF(_xlpm.result="", "", _xlpm.result)
   )
)</f>
        <v/>
      </c>
      <c r="D1021" s="27" t="str" cm="1">
        <f t="array" ref="D1021">IF(
   OR(A1021="", $B$9="", $B$10="", $B$11=""),
   "",
   _xlfn.LET(
      _xlpm.result,
      IFERROR(
         _xlfn.XLOOKUP(
            1,
            (Table8[رقم الصنف]=A1021) *
            (IF($B$9="الكل",1, YEAR('ادخال البيانات'!$N$3:$N$1164)=VALUE($B$9))) *
            (IF($B$10="الكل",1, MONTH('ادخال البيانات'!$N$3:$N$1164)=VALUE($B$10))) *
            (IF($B$11="الكل",1, INT((DAY('ادخال البيانات'!$N$3:$N$1164)-1)/7)+1 = VALUE($B$11))),
            'ادخال البيانات'!$D$3:$D$1164
         ),
         ""
      ),
      IF(_xlpm.result="", "", _xlpm.result)
   )
)</f>
        <v/>
      </c>
      <c r="E1021" s="27" t="str" cm="1">
        <f t="array" ref="E1021">IF(
   A1021="",
   "",
   _xlfn.LET(
      _xlpm.result,
      IFERROR(
         _xlfn.XLOOKUP(
            1,
            (Table8[رقم الصنف]=A1021) *
            (IF($B$9="الكل",1, YEAR('ادخال البيانات'!$N$3:$N$1164)=VALUE($B$9))) *
            (IF($B$10="الكل",1, MONTH('ادخال البيانات'!$N$3:$N$1164)=VALUE($B$10))) *
            (IF($B$11="الكل",1, INT((DAY('ادخال البيانات'!$N$3:$N$1164)-1)/7)+1 = VALUE($B$11))),
            'ادخال البيانات'!$E$3:$E$1164
         ),
         ""
      ),
      IF(_xlpm.result="", "", _xlpm.result)
   )
)</f>
        <v/>
      </c>
      <c r="F1021" s="27" t="str" cm="1">
        <f t="array" ref="F1021">IF(
   A1021="",
   "",
   _xlfn.LET(
      _xlpm.result,
      IFERROR(
         _xlfn.XLOOKUP(
            1,
            (Table8[رقم الصنف]=A1021) *
            (IF($B$9="الكل",1, YEAR('ادخال البيانات'!$N$3:$N$1164) = VALUE($B$9))) *
            (IF($B$10="الكل",1, MONTH('ادخال البيانات'!$N$3:$N$1164) = VALUE($B$10))) *
            (IF($B$11="الكل",1, INT((DAY('ادخال البيانات'!$N$3:$N$1164)-1)/7)+1 = VALUE($B$11))),
            'ادخال البيانات'!$F$3:$F$1164
         ),
         ""
      ),
      IF(_xlpm.result="", "", _xlpm.result)
   )
)</f>
        <v/>
      </c>
      <c r="G1021" s="27" t="str" cm="1">
        <f t="array" ref="G1021">IF(
   A1021="",
   "",
   _xlfn.LET(
      _xlpm.result,
      IFERROR(
         _xlfn.XLOOKUP(
            1,
            (Table8[رقم الصنف]=A1021) *
            (IF($B$9="الكل",1, YEAR('ادخال البيانات'!$N$3:$N$1164)=VALUE($B$9))) *
            (IF($B$10="الكل",1, MONTH('ادخال البيانات'!$N$3:$N$1164)=VALUE($B$10))) *
            (IF($B$11="الكل",1, INT((DAY('ادخال البيانات'!$N$3:$N$1164)-1)/7)+1 = VALUE($B$11))),
            'ادخال البيانات'!$G$3:$G$1164
         ),
         ""
      ),
      IF(_xlpm.result="", "", _xlpm.result)
   )
)</f>
        <v/>
      </c>
      <c r="H1021" s="27" t="str" cm="1">
        <f t="array" ref="H1021">IF(
   A1021="",
   "",
   _xlfn.LET(
      _xlpm.result,
      IFERROR(
         _xlfn.XLOOKUP(
            1,
            (Table8[رقم الصنف]=A1021) *
            (IF($B$9="الكل",1, YEAR('ادخال البيانات'!$N$3:$N$1164)=VALUE($B$9))) *
            (IF($B$10="الكل",1, MONTH('ادخال البيانات'!$N$3:$N$1164)=VALUE($B$10))) *
            (IF($B$11="الكل",1, INT((DAY('ادخال البيانات'!$N$3:$N$1164)-1)/7)+1 = VALUE($B$11))),
            'ادخال البيانات'!$H$3:$H$1164
         ),
         ""
      ),
      IF(_xlpm.result="", "", _xlpm.result)
   )
)</f>
        <v/>
      </c>
      <c r="I1021" s="27" t="str" cm="1">
        <f t="array" ref="I1021">IF(
   A1021="",
   "",
   _xlfn.LET(
      _xlpm.result,
      IFERROR(
         _xlfn.XLOOKUP(
            1,
            (Table8[رقم الصنف]=A1021) *
            (IF($B$9="الكل",1, YEAR('ادخال البيانات'!$N$3:$N$1164)=VALUE($B$9))) *
            (IF($B$10="الكل",1, MONTH('ادخال البيانات'!$N$3:$N$1164)=VALUE($B$10))) *
            (IF($B$11="الكل",1, INT((DAY('ادخال البيانات'!$N$3:$N$1164)-1)/7)+1 = VALUE($B$11))),
            'ادخال البيانات'!$I$3:$I$1164
         ),
         ""
      ),
      IF(_xlpm.result="", "", _xlpm.result)
   )
)</f>
        <v/>
      </c>
      <c r="J1021" s="27" t="str" cm="1">
        <f t="array" ref="J1021">IF(
   A1021="",
   "",
   _xlfn.LET(
      _xlpm.result,
      IFERROR(
         _xlfn.XLOOKUP(
            1,
            (Table8[رقم الصنف]=A1021) *
            (IF($B$9="الكل",1, YEAR('ادخال البيانات'!$N$3:$N$1164)=VALUE($B$9))) *
            (IF($B$10="الكل",1, MONTH('ادخال البيانات'!$N$3:$N$1164)=VALUE($B$10))) *
            (IF($B$11="الكل",1, INT((DAY('ادخال البيانات'!$N$3:$N$1164)-1)/7)+1 = VALUE($B$11))),
            'ادخال البيانات'!$J$3:$J$1164
         ),
         ""
      ),
      IF(_xlpm.result="", "", _xlpm.result)
   )
)</f>
        <v/>
      </c>
      <c r="K1021" s="27" t="str" cm="1">
        <f t="array" ref="K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1" s="27" t="str" cm="1">
        <f t="array" ref="L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1" s="27" t="str" cm="1">
        <f t="array" ref="M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1" s="28" t="str" cm="1">
        <f t="array" ref="N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1" s="28" t="str" cm="1">
        <f t="array" ref="O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1" s="27" t="str" cm="1">
        <f t="array" ref="P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Table8[جهة العطل]
         ),
         ""
      ),
      IF(_xlpm.result="", "", _xlpm.result)
   )
)</f>
        <v/>
      </c>
      <c r="Q1021" s="27" t="str" cm="1">
        <f t="array" ref="Q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Table8[المركز]
         ),
         ""
      ),
      IF(_xlpm.result="", "", _xlpm.result)
   )
)</f>
        <v/>
      </c>
      <c r="R1021" s="27" t="str" cm="1">
        <f t="array" ref="R1021">IF(
   A1021="",
   "",
   _xlfn.LET(
      _xlpm.result,
      IFERROR(
         _xlfn.XLOOKUP(
            1,
            (Table8[رقم الصنف]=A1021) *
            (IF($B$9="الكل",1, YEAR('ادخال البيانات'!$N$3:$N$1164) = VALUE($B$9))) *
            (IF($B$10="الكل",1, MONTH('ادخال البيانات'!$N$3:$N$1164) = VALUE($B$10))) *
            (IF($B$11="الكل",1, INT((DAY('ادخال البيانات'!$N$3:$N$1164) - 1) / 7) + 1 = VALUE($B$11))),
            Table8[ملاحظة]
         ),
         ""
      ),
      IF(_xlpm.result="", "", _xlpm.result)
   )
)</f>
        <v/>
      </c>
      <c r="S1021" s="46" t="str">
        <f t="shared" ca="1" si="16"/>
        <v/>
      </c>
    </row>
    <row r="1022" spans="1:19" ht="15.6" thickTop="1" thickBot="1" x14ac:dyDescent="0.35">
      <c r="A1022" s="39"/>
      <c r="B1022" s="27" t="str" cm="1">
        <f t="array" ref="B1022">IF(
   OR(A1022="", $B$9="", $B$10="", $B$11=""),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2" s="27" t="str" cm="1">
        <f t="array" ref="C1022">IF(
   A1022="",
   "",
   _xlfn.LET(
      _xlpm.result,
      IFERROR(
         _xlfn.XLOOKUP(
            1,
            (Table8[رقم الصنف]=A1022) *
            (IF($B$9="الكل",1, YEAR('ادخال البيانات'!$N$3:$N$1164) = VALUE($B$9))) *
            (IF($B$10="الكل",1, MONTH('ادخال البيانات'!$N$3:$N$1164) = VALUE($B$10))) *
            (IF($B$11="الكل",1, INT((DAY('ادخال البيانات'!$N$3:$N$1164)-1)/7)+1 = VALUE($B$11))),
            'ادخال البيانات'!$C$3:$C$1164
         ),
         ""
      ),
      IF(_xlpm.result="", "", _xlpm.result)
   )
)</f>
        <v/>
      </c>
      <c r="D1022" s="27" t="str" cm="1">
        <f t="array" ref="D1022">IF(
   OR(A1022="", $B$9="", $B$10="", $B$11=""),
   "",
   _xlfn.LET(
      _xlpm.result,
      IFERROR(
         _xlfn.XLOOKUP(
            1,
            (Table8[رقم الصنف]=A1022) *
            (IF($B$9="الكل",1, YEAR('ادخال البيانات'!$N$3:$N$1164)=VALUE($B$9))) *
            (IF($B$10="الكل",1, MONTH('ادخال البيانات'!$N$3:$N$1164)=VALUE($B$10))) *
            (IF($B$11="الكل",1, INT((DAY('ادخال البيانات'!$N$3:$N$1164)-1)/7)+1 = VALUE($B$11))),
            'ادخال البيانات'!$D$3:$D$1164
         ),
         ""
      ),
      IF(_xlpm.result="", "", _xlpm.result)
   )
)</f>
        <v/>
      </c>
      <c r="E1022" s="27" t="str" cm="1">
        <f t="array" ref="E1022">IF(
   A1022="",
   "",
   _xlfn.LET(
      _xlpm.result,
      IFERROR(
         _xlfn.XLOOKUP(
            1,
            (Table8[رقم الصنف]=A1022) *
            (IF($B$9="الكل",1, YEAR('ادخال البيانات'!$N$3:$N$1164)=VALUE($B$9))) *
            (IF($B$10="الكل",1, MONTH('ادخال البيانات'!$N$3:$N$1164)=VALUE($B$10))) *
            (IF($B$11="الكل",1, INT((DAY('ادخال البيانات'!$N$3:$N$1164)-1)/7)+1 = VALUE($B$11))),
            'ادخال البيانات'!$E$3:$E$1164
         ),
         ""
      ),
      IF(_xlpm.result="", "", _xlpm.result)
   )
)</f>
        <v/>
      </c>
      <c r="F1022" s="27" t="str" cm="1">
        <f t="array" ref="F1022">IF(
   A1022="",
   "",
   _xlfn.LET(
      _xlpm.result,
      IFERROR(
         _xlfn.XLOOKUP(
            1,
            (Table8[رقم الصنف]=A1022) *
            (IF($B$9="الكل",1, YEAR('ادخال البيانات'!$N$3:$N$1164) = VALUE($B$9))) *
            (IF($B$10="الكل",1, MONTH('ادخال البيانات'!$N$3:$N$1164) = VALUE($B$10))) *
            (IF($B$11="الكل",1, INT((DAY('ادخال البيانات'!$N$3:$N$1164)-1)/7)+1 = VALUE($B$11))),
            'ادخال البيانات'!$F$3:$F$1164
         ),
         ""
      ),
      IF(_xlpm.result="", "", _xlpm.result)
   )
)</f>
        <v/>
      </c>
      <c r="G1022" s="27" t="str" cm="1">
        <f t="array" ref="G1022">IF(
   A1022="",
   "",
   _xlfn.LET(
      _xlpm.result,
      IFERROR(
         _xlfn.XLOOKUP(
            1,
            (Table8[رقم الصنف]=A1022) *
            (IF($B$9="الكل",1, YEAR('ادخال البيانات'!$N$3:$N$1164)=VALUE($B$9))) *
            (IF($B$10="الكل",1, MONTH('ادخال البيانات'!$N$3:$N$1164)=VALUE($B$10))) *
            (IF($B$11="الكل",1, INT((DAY('ادخال البيانات'!$N$3:$N$1164)-1)/7)+1 = VALUE($B$11))),
            'ادخال البيانات'!$G$3:$G$1164
         ),
         ""
      ),
      IF(_xlpm.result="", "", _xlpm.result)
   )
)</f>
        <v/>
      </c>
      <c r="H1022" s="27" t="str" cm="1">
        <f t="array" ref="H1022">IF(
   A1022="",
   "",
   _xlfn.LET(
      _xlpm.result,
      IFERROR(
         _xlfn.XLOOKUP(
            1,
            (Table8[رقم الصنف]=A1022) *
            (IF($B$9="الكل",1, YEAR('ادخال البيانات'!$N$3:$N$1164)=VALUE($B$9))) *
            (IF($B$10="الكل",1, MONTH('ادخال البيانات'!$N$3:$N$1164)=VALUE($B$10))) *
            (IF($B$11="الكل",1, INT((DAY('ادخال البيانات'!$N$3:$N$1164)-1)/7)+1 = VALUE($B$11))),
            'ادخال البيانات'!$H$3:$H$1164
         ),
         ""
      ),
      IF(_xlpm.result="", "", _xlpm.result)
   )
)</f>
        <v/>
      </c>
      <c r="I1022" s="27" t="str" cm="1">
        <f t="array" ref="I1022">IF(
   A1022="",
   "",
   _xlfn.LET(
      _xlpm.result,
      IFERROR(
         _xlfn.XLOOKUP(
            1,
            (Table8[رقم الصنف]=A1022) *
            (IF($B$9="الكل",1, YEAR('ادخال البيانات'!$N$3:$N$1164)=VALUE($B$9))) *
            (IF($B$10="الكل",1, MONTH('ادخال البيانات'!$N$3:$N$1164)=VALUE($B$10))) *
            (IF($B$11="الكل",1, INT((DAY('ادخال البيانات'!$N$3:$N$1164)-1)/7)+1 = VALUE($B$11))),
            'ادخال البيانات'!$I$3:$I$1164
         ),
         ""
      ),
      IF(_xlpm.result="", "", _xlpm.result)
   )
)</f>
        <v/>
      </c>
      <c r="J1022" s="27" t="str" cm="1">
        <f t="array" ref="J1022">IF(
   A1022="",
   "",
   _xlfn.LET(
      _xlpm.result,
      IFERROR(
         _xlfn.XLOOKUP(
            1,
            (Table8[رقم الصنف]=A1022) *
            (IF($B$9="الكل",1, YEAR('ادخال البيانات'!$N$3:$N$1164)=VALUE($B$9))) *
            (IF($B$10="الكل",1, MONTH('ادخال البيانات'!$N$3:$N$1164)=VALUE($B$10))) *
            (IF($B$11="الكل",1, INT((DAY('ادخال البيانات'!$N$3:$N$1164)-1)/7)+1 = VALUE($B$11))),
            'ادخال البيانات'!$J$3:$J$1164
         ),
         ""
      ),
      IF(_xlpm.result="", "", _xlpm.result)
   )
)</f>
        <v/>
      </c>
      <c r="K1022" s="27" t="str" cm="1">
        <f t="array" ref="K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2" s="27" t="str" cm="1">
        <f t="array" ref="L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2" s="27" t="str" cm="1">
        <f t="array" ref="M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2" s="28" t="str" cm="1">
        <f t="array" ref="N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2" s="28" t="str" cm="1">
        <f t="array" ref="O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2" s="27" t="str" cm="1">
        <f t="array" ref="P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Table8[جهة العطل]
         ),
         ""
      ),
      IF(_xlpm.result="", "", _xlpm.result)
   )
)</f>
        <v/>
      </c>
      <c r="Q1022" s="27" t="str" cm="1">
        <f t="array" ref="Q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Table8[المركز]
         ),
         ""
      ),
      IF(_xlpm.result="", "", _xlpm.result)
   )
)</f>
        <v/>
      </c>
      <c r="R1022" s="27" t="str" cm="1">
        <f t="array" ref="R1022">IF(
   A1022="",
   "",
   _xlfn.LET(
      _xlpm.result,
      IFERROR(
         _xlfn.XLOOKUP(
            1,
            (Table8[رقم الصنف]=A1022) *
            (IF($B$9="الكل",1, YEAR('ادخال البيانات'!$N$3:$N$1164) = VALUE($B$9))) *
            (IF($B$10="الكل",1, MONTH('ادخال البيانات'!$N$3:$N$1164) = VALUE($B$10))) *
            (IF($B$11="الكل",1, INT((DAY('ادخال البيانات'!$N$3:$N$1164) - 1) / 7) + 1 = VALUE($B$11))),
            Table8[ملاحظة]
         ),
         ""
      ),
      IF(_xlpm.result="", "", _xlpm.result)
   )
)</f>
        <v/>
      </c>
      <c r="S1022" s="46" t="str">
        <f t="shared" ca="1" si="16"/>
        <v/>
      </c>
    </row>
    <row r="1023" spans="1:19" ht="15.6" thickTop="1" thickBot="1" x14ac:dyDescent="0.35">
      <c r="A1023" s="39"/>
      <c r="B1023" s="27" t="str" cm="1">
        <f t="array" ref="B1023">IF(
   OR(A1023="", $B$9="", $B$10="", $B$11=""),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3" s="27" t="str" cm="1">
        <f t="array" ref="C1023">IF(
   A1023="",
   "",
   _xlfn.LET(
      _xlpm.result,
      IFERROR(
         _xlfn.XLOOKUP(
            1,
            (Table8[رقم الصنف]=A1023) *
            (IF($B$9="الكل",1, YEAR('ادخال البيانات'!$N$3:$N$1164) = VALUE($B$9))) *
            (IF($B$10="الكل",1, MONTH('ادخال البيانات'!$N$3:$N$1164) = VALUE($B$10))) *
            (IF($B$11="الكل",1, INT((DAY('ادخال البيانات'!$N$3:$N$1164)-1)/7)+1 = VALUE($B$11))),
            'ادخال البيانات'!$C$3:$C$1164
         ),
         ""
      ),
      IF(_xlpm.result="", "", _xlpm.result)
   )
)</f>
        <v/>
      </c>
      <c r="D1023" s="27" t="str" cm="1">
        <f t="array" ref="D1023">IF(
   OR(A1023="", $B$9="", $B$10="", $B$11=""),
   "",
   _xlfn.LET(
      _xlpm.result,
      IFERROR(
         _xlfn.XLOOKUP(
            1,
            (Table8[رقم الصنف]=A1023) *
            (IF($B$9="الكل",1, YEAR('ادخال البيانات'!$N$3:$N$1164)=VALUE($B$9))) *
            (IF($B$10="الكل",1, MONTH('ادخال البيانات'!$N$3:$N$1164)=VALUE($B$10))) *
            (IF($B$11="الكل",1, INT((DAY('ادخال البيانات'!$N$3:$N$1164)-1)/7)+1 = VALUE($B$11))),
            'ادخال البيانات'!$D$3:$D$1164
         ),
         ""
      ),
      IF(_xlpm.result="", "", _xlpm.result)
   )
)</f>
        <v/>
      </c>
      <c r="E1023" s="27" t="str" cm="1">
        <f t="array" ref="E1023">IF(
   A1023="",
   "",
   _xlfn.LET(
      _xlpm.result,
      IFERROR(
         _xlfn.XLOOKUP(
            1,
            (Table8[رقم الصنف]=A1023) *
            (IF($B$9="الكل",1, YEAR('ادخال البيانات'!$N$3:$N$1164)=VALUE($B$9))) *
            (IF($B$10="الكل",1, MONTH('ادخال البيانات'!$N$3:$N$1164)=VALUE($B$10))) *
            (IF($B$11="الكل",1, INT((DAY('ادخال البيانات'!$N$3:$N$1164)-1)/7)+1 = VALUE($B$11))),
            'ادخال البيانات'!$E$3:$E$1164
         ),
         ""
      ),
      IF(_xlpm.result="", "", _xlpm.result)
   )
)</f>
        <v/>
      </c>
      <c r="F1023" s="27" t="str" cm="1">
        <f t="array" ref="F1023">IF(
   A1023="",
   "",
   _xlfn.LET(
      _xlpm.result,
      IFERROR(
         _xlfn.XLOOKUP(
            1,
            (Table8[رقم الصنف]=A1023) *
            (IF($B$9="الكل",1, YEAR('ادخال البيانات'!$N$3:$N$1164) = VALUE($B$9))) *
            (IF($B$10="الكل",1, MONTH('ادخال البيانات'!$N$3:$N$1164) = VALUE($B$10))) *
            (IF($B$11="الكل",1, INT((DAY('ادخال البيانات'!$N$3:$N$1164)-1)/7)+1 = VALUE($B$11))),
            'ادخال البيانات'!$F$3:$F$1164
         ),
         ""
      ),
      IF(_xlpm.result="", "", _xlpm.result)
   )
)</f>
        <v/>
      </c>
      <c r="G1023" s="27" t="str" cm="1">
        <f t="array" ref="G1023">IF(
   A1023="",
   "",
   _xlfn.LET(
      _xlpm.result,
      IFERROR(
         _xlfn.XLOOKUP(
            1,
            (Table8[رقم الصنف]=A1023) *
            (IF($B$9="الكل",1, YEAR('ادخال البيانات'!$N$3:$N$1164)=VALUE($B$9))) *
            (IF($B$10="الكل",1, MONTH('ادخال البيانات'!$N$3:$N$1164)=VALUE($B$10))) *
            (IF($B$11="الكل",1, INT((DAY('ادخال البيانات'!$N$3:$N$1164)-1)/7)+1 = VALUE($B$11))),
            'ادخال البيانات'!$G$3:$G$1164
         ),
         ""
      ),
      IF(_xlpm.result="", "", _xlpm.result)
   )
)</f>
        <v/>
      </c>
      <c r="H1023" s="27" t="str" cm="1">
        <f t="array" ref="H1023">IF(
   A1023="",
   "",
   _xlfn.LET(
      _xlpm.result,
      IFERROR(
         _xlfn.XLOOKUP(
            1,
            (Table8[رقم الصنف]=A1023) *
            (IF($B$9="الكل",1, YEAR('ادخال البيانات'!$N$3:$N$1164)=VALUE($B$9))) *
            (IF($B$10="الكل",1, MONTH('ادخال البيانات'!$N$3:$N$1164)=VALUE($B$10))) *
            (IF($B$11="الكل",1, INT((DAY('ادخال البيانات'!$N$3:$N$1164)-1)/7)+1 = VALUE($B$11))),
            'ادخال البيانات'!$H$3:$H$1164
         ),
         ""
      ),
      IF(_xlpm.result="", "", _xlpm.result)
   )
)</f>
        <v/>
      </c>
      <c r="I1023" s="27" t="str" cm="1">
        <f t="array" ref="I1023">IF(
   A1023="",
   "",
   _xlfn.LET(
      _xlpm.result,
      IFERROR(
         _xlfn.XLOOKUP(
            1,
            (Table8[رقم الصنف]=A1023) *
            (IF($B$9="الكل",1, YEAR('ادخال البيانات'!$N$3:$N$1164)=VALUE($B$9))) *
            (IF($B$10="الكل",1, MONTH('ادخال البيانات'!$N$3:$N$1164)=VALUE($B$10))) *
            (IF($B$11="الكل",1, INT((DAY('ادخال البيانات'!$N$3:$N$1164)-1)/7)+1 = VALUE($B$11))),
            'ادخال البيانات'!$I$3:$I$1164
         ),
         ""
      ),
      IF(_xlpm.result="", "", _xlpm.result)
   )
)</f>
        <v/>
      </c>
      <c r="J1023" s="27" t="str" cm="1">
        <f t="array" ref="J1023">IF(
   A1023="",
   "",
   _xlfn.LET(
      _xlpm.result,
      IFERROR(
         _xlfn.XLOOKUP(
            1,
            (Table8[رقم الصنف]=A1023) *
            (IF($B$9="الكل",1, YEAR('ادخال البيانات'!$N$3:$N$1164)=VALUE($B$9))) *
            (IF($B$10="الكل",1, MONTH('ادخال البيانات'!$N$3:$N$1164)=VALUE($B$10))) *
            (IF($B$11="الكل",1, INT((DAY('ادخال البيانات'!$N$3:$N$1164)-1)/7)+1 = VALUE($B$11))),
            'ادخال البيانات'!$J$3:$J$1164
         ),
         ""
      ),
      IF(_xlpm.result="", "", _xlpm.result)
   )
)</f>
        <v/>
      </c>
      <c r="K1023" s="27" t="str" cm="1">
        <f t="array" ref="K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3" s="27" t="str" cm="1">
        <f t="array" ref="L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3" s="27" t="str" cm="1">
        <f t="array" ref="M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3" s="28" t="str" cm="1">
        <f t="array" ref="N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3" s="28" t="str" cm="1">
        <f t="array" ref="O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3" s="27" t="str" cm="1">
        <f t="array" ref="P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Table8[جهة العطل]
         ),
         ""
      ),
      IF(_xlpm.result="", "", _xlpm.result)
   )
)</f>
        <v/>
      </c>
      <c r="Q1023" s="27" t="str" cm="1">
        <f t="array" ref="Q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Table8[المركز]
         ),
         ""
      ),
      IF(_xlpm.result="", "", _xlpm.result)
   )
)</f>
        <v/>
      </c>
      <c r="R1023" s="27" t="str" cm="1">
        <f t="array" ref="R1023">IF(
   A1023="",
   "",
   _xlfn.LET(
      _xlpm.result,
      IFERROR(
         _xlfn.XLOOKUP(
            1,
            (Table8[رقم الصنف]=A1023) *
            (IF($B$9="الكل",1, YEAR('ادخال البيانات'!$N$3:$N$1164) = VALUE($B$9))) *
            (IF($B$10="الكل",1, MONTH('ادخال البيانات'!$N$3:$N$1164) = VALUE($B$10))) *
            (IF($B$11="الكل",1, INT((DAY('ادخال البيانات'!$N$3:$N$1164) - 1) / 7) + 1 = VALUE($B$11))),
            Table8[ملاحظة]
         ),
         ""
      ),
      IF(_xlpm.result="", "", _xlpm.result)
   )
)</f>
        <v/>
      </c>
      <c r="S1023" s="46" t="str">
        <f t="shared" ca="1" si="16"/>
        <v/>
      </c>
    </row>
    <row r="1024" spans="1:19" ht="15.6" thickTop="1" thickBot="1" x14ac:dyDescent="0.35">
      <c r="A1024" s="39"/>
      <c r="B1024" s="27" t="str" cm="1">
        <f t="array" ref="B1024">IF(
   OR(A1024="", $B$9="", $B$10="", $B$11=""),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4" s="27" t="str" cm="1">
        <f t="array" ref="C1024">IF(
   A1024="",
   "",
   _xlfn.LET(
      _xlpm.result,
      IFERROR(
         _xlfn.XLOOKUP(
            1,
            (Table8[رقم الصنف]=A1024) *
            (IF($B$9="الكل",1, YEAR('ادخال البيانات'!$N$3:$N$1164) = VALUE($B$9))) *
            (IF($B$10="الكل",1, MONTH('ادخال البيانات'!$N$3:$N$1164) = VALUE($B$10))) *
            (IF($B$11="الكل",1, INT((DAY('ادخال البيانات'!$N$3:$N$1164)-1)/7)+1 = VALUE($B$11))),
            'ادخال البيانات'!$C$3:$C$1164
         ),
         ""
      ),
      IF(_xlpm.result="", "", _xlpm.result)
   )
)</f>
        <v/>
      </c>
      <c r="D1024" s="27" t="str" cm="1">
        <f t="array" ref="D1024">IF(
   OR(A1024="", $B$9="", $B$10="", $B$11=""),
   "",
   _xlfn.LET(
      _xlpm.result,
      IFERROR(
         _xlfn.XLOOKUP(
            1,
            (Table8[رقم الصنف]=A1024) *
            (IF($B$9="الكل",1, YEAR('ادخال البيانات'!$N$3:$N$1164)=VALUE($B$9))) *
            (IF($B$10="الكل",1, MONTH('ادخال البيانات'!$N$3:$N$1164)=VALUE($B$10))) *
            (IF($B$11="الكل",1, INT((DAY('ادخال البيانات'!$N$3:$N$1164)-1)/7)+1 = VALUE($B$11))),
            'ادخال البيانات'!$D$3:$D$1164
         ),
         ""
      ),
      IF(_xlpm.result="", "", _xlpm.result)
   )
)</f>
        <v/>
      </c>
      <c r="E1024" s="27" t="str" cm="1">
        <f t="array" ref="E1024">IF(
   A1024="",
   "",
   _xlfn.LET(
      _xlpm.result,
      IFERROR(
         _xlfn.XLOOKUP(
            1,
            (Table8[رقم الصنف]=A1024) *
            (IF($B$9="الكل",1, YEAR('ادخال البيانات'!$N$3:$N$1164)=VALUE($B$9))) *
            (IF($B$10="الكل",1, MONTH('ادخال البيانات'!$N$3:$N$1164)=VALUE($B$10))) *
            (IF($B$11="الكل",1, INT((DAY('ادخال البيانات'!$N$3:$N$1164)-1)/7)+1 = VALUE($B$11))),
            'ادخال البيانات'!$E$3:$E$1164
         ),
         ""
      ),
      IF(_xlpm.result="", "", _xlpm.result)
   )
)</f>
        <v/>
      </c>
      <c r="F1024" s="27" t="str" cm="1">
        <f t="array" ref="F1024">IF(
   A1024="",
   "",
   _xlfn.LET(
      _xlpm.result,
      IFERROR(
         _xlfn.XLOOKUP(
            1,
            (Table8[رقم الصنف]=A1024) *
            (IF($B$9="الكل",1, YEAR('ادخال البيانات'!$N$3:$N$1164) = VALUE($B$9))) *
            (IF($B$10="الكل",1, MONTH('ادخال البيانات'!$N$3:$N$1164) = VALUE($B$10))) *
            (IF($B$11="الكل",1, INT((DAY('ادخال البيانات'!$N$3:$N$1164)-1)/7)+1 = VALUE($B$11))),
            'ادخال البيانات'!$F$3:$F$1164
         ),
         ""
      ),
      IF(_xlpm.result="", "", _xlpm.result)
   )
)</f>
        <v/>
      </c>
      <c r="G1024" s="27" t="str" cm="1">
        <f t="array" ref="G1024">IF(
   A1024="",
   "",
   _xlfn.LET(
      _xlpm.result,
      IFERROR(
         _xlfn.XLOOKUP(
            1,
            (Table8[رقم الصنف]=A1024) *
            (IF($B$9="الكل",1, YEAR('ادخال البيانات'!$N$3:$N$1164)=VALUE($B$9))) *
            (IF($B$10="الكل",1, MONTH('ادخال البيانات'!$N$3:$N$1164)=VALUE($B$10))) *
            (IF($B$11="الكل",1, INT((DAY('ادخال البيانات'!$N$3:$N$1164)-1)/7)+1 = VALUE($B$11))),
            'ادخال البيانات'!$G$3:$G$1164
         ),
         ""
      ),
      IF(_xlpm.result="", "", _xlpm.result)
   )
)</f>
        <v/>
      </c>
      <c r="H1024" s="27" t="str" cm="1">
        <f t="array" ref="H1024">IF(
   A1024="",
   "",
   _xlfn.LET(
      _xlpm.result,
      IFERROR(
         _xlfn.XLOOKUP(
            1,
            (Table8[رقم الصنف]=A1024) *
            (IF($B$9="الكل",1, YEAR('ادخال البيانات'!$N$3:$N$1164)=VALUE($B$9))) *
            (IF($B$10="الكل",1, MONTH('ادخال البيانات'!$N$3:$N$1164)=VALUE($B$10))) *
            (IF($B$11="الكل",1, INT((DAY('ادخال البيانات'!$N$3:$N$1164)-1)/7)+1 = VALUE($B$11))),
            'ادخال البيانات'!$H$3:$H$1164
         ),
         ""
      ),
      IF(_xlpm.result="", "", _xlpm.result)
   )
)</f>
        <v/>
      </c>
      <c r="I1024" s="27" t="str" cm="1">
        <f t="array" ref="I1024">IF(
   A1024="",
   "",
   _xlfn.LET(
      _xlpm.result,
      IFERROR(
         _xlfn.XLOOKUP(
            1,
            (Table8[رقم الصنف]=A1024) *
            (IF($B$9="الكل",1, YEAR('ادخال البيانات'!$N$3:$N$1164)=VALUE($B$9))) *
            (IF($B$10="الكل",1, MONTH('ادخال البيانات'!$N$3:$N$1164)=VALUE($B$10))) *
            (IF($B$11="الكل",1, INT((DAY('ادخال البيانات'!$N$3:$N$1164)-1)/7)+1 = VALUE($B$11))),
            'ادخال البيانات'!$I$3:$I$1164
         ),
         ""
      ),
      IF(_xlpm.result="", "", _xlpm.result)
   )
)</f>
        <v/>
      </c>
      <c r="J1024" s="27" t="str" cm="1">
        <f t="array" ref="J1024">IF(
   A1024="",
   "",
   _xlfn.LET(
      _xlpm.result,
      IFERROR(
         _xlfn.XLOOKUP(
            1,
            (Table8[رقم الصنف]=A1024) *
            (IF($B$9="الكل",1, YEAR('ادخال البيانات'!$N$3:$N$1164)=VALUE($B$9))) *
            (IF($B$10="الكل",1, MONTH('ادخال البيانات'!$N$3:$N$1164)=VALUE($B$10))) *
            (IF($B$11="الكل",1, INT((DAY('ادخال البيانات'!$N$3:$N$1164)-1)/7)+1 = VALUE($B$11))),
            'ادخال البيانات'!$J$3:$J$1164
         ),
         ""
      ),
      IF(_xlpm.result="", "", _xlpm.result)
   )
)</f>
        <v/>
      </c>
      <c r="K1024" s="27" t="str" cm="1">
        <f t="array" ref="K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4" s="27" t="str" cm="1">
        <f t="array" ref="L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4" s="27" t="str" cm="1">
        <f t="array" ref="M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4" s="28" t="str" cm="1">
        <f t="array" ref="N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4" s="28" t="str" cm="1">
        <f t="array" ref="O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4" s="27" t="str" cm="1">
        <f t="array" ref="P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Table8[جهة العطل]
         ),
         ""
      ),
      IF(_xlpm.result="", "", _xlpm.result)
   )
)</f>
        <v/>
      </c>
      <c r="Q1024" s="27" t="str" cm="1">
        <f t="array" ref="Q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Table8[المركز]
         ),
         ""
      ),
      IF(_xlpm.result="", "", _xlpm.result)
   )
)</f>
        <v/>
      </c>
      <c r="R1024" s="27" t="str" cm="1">
        <f t="array" ref="R1024">IF(
   A1024="",
   "",
   _xlfn.LET(
      _xlpm.result,
      IFERROR(
         _xlfn.XLOOKUP(
            1,
            (Table8[رقم الصنف]=A1024) *
            (IF($B$9="الكل",1, YEAR('ادخال البيانات'!$N$3:$N$1164) = VALUE($B$9))) *
            (IF($B$10="الكل",1, MONTH('ادخال البيانات'!$N$3:$N$1164) = VALUE($B$10))) *
            (IF($B$11="الكل",1, INT((DAY('ادخال البيانات'!$N$3:$N$1164) - 1) / 7) + 1 = VALUE($B$11))),
            Table8[ملاحظة]
         ),
         ""
      ),
      IF(_xlpm.result="", "", _xlpm.result)
   )
)</f>
        <v/>
      </c>
      <c r="S1024" s="46" t="str">
        <f t="shared" ca="1" si="16"/>
        <v/>
      </c>
    </row>
    <row r="1025" spans="1:19" ht="15.6" thickTop="1" thickBot="1" x14ac:dyDescent="0.35">
      <c r="A1025" s="39"/>
      <c r="B1025" s="27" t="str" cm="1">
        <f t="array" ref="B1025">IF(
   OR(A1025="", $B$9="", $B$10="", $B$11=""),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5" s="27" t="str" cm="1">
        <f t="array" ref="C1025">IF(
   A1025="",
   "",
   _xlfn.LET(
      _xlpm.result,
      IFERROR(
         _xlfn.XLOOKUP(
            1,
            (Table8[رقم الصنف]=A1025) *
            (IF($B$9="الكل",1, YEAR('ادخال البيانات'!$N$3:$N$1164) = VALUE($B$9))) *
            (IF($B$10="الكل",1, MONTH('ادخال البيانات'!$N$3:$N$1164) = VALUE($B$10))) *
            (IF($B$11="الكل",1, INT((DAY('ادخال البيانات'!$N$3:$N$1164)-1)/7)+1 = VALUE($B$11))),
            'ادخال البيانات'!$C$3:$C$1164
         ),
         ""
      ),
      IF(_xlpm.result="", "", _xlpm.result)
   )
)</f>
        <v/>
      </c>
      <c r="D1025" s="27" t="str" cm="1">
        <f t="array" ref="D1025">IF(
   OR(A1025="", $B$9="", $B$10="", $B$11=""),
   "",
   _xlfn.LET(
      _xlpm.result,
      IFERROR(
         _xlfn.XLOOKUP(
            1,
            (Table8[رقم الصنف]=A1025) *
            (IF($B$9="الكل",1, YEAR('ادخال البيانات'!$N$3:$N$1164)=VALUE($B$9))) *
            (IF($B$10="الكل",1, MONTH('ادخال البيانات'!$N$3:$N$1164)=VALUE($B$10))) *
            (IF($B$11="الكل",1, INT((DAY('ادخال البيانات'!$N$3:$N$1164)-1)/7)+1 = VALUE($B$11))),
            'ادخال البيانات'!$D$3:$D$1164
         ),
         ""
      ),
      IF(_xlpm.result="", "", _xlpm.result)
   )
)</f>
        <v/>
      </c>
      <c r="E1025" s="27" t="str" cm="1">
        <f t="array" ref="E1025">IF(
   A1025="",
   "",
   _xlfn.LET(
      _xlpm.result,
      IFERROR(
         _xlfn.XLOOKUP(
            1,
            (Table8[رقم الصنف]=A1025) *
            (IF($B$9="الكل",1, YEAR('ادخال البيانات'!$N$3:$N$1164)=VALUE($B$9))) *
            (IF($B$10="الكل",1, MONTH('ادخال البيانات'!$N$3:$N$1164)=VALUE($B$10))) *
            (IF($B$11="الكل",1, INT((DAY('ادخال البيانات'!$N$3:$N$1164)-1)/7)+1 = VALUE($B$11))),
            'ادخال البيانات'!$E$3:$E$1164
         ),
         ""
      ),
      IF(_xlpm.result="", "", _xlpm.result)
   )
)</f>
        <v/>
      </c>
      <c r="F1025" s="27" t="str" cm="1">
        <f t="array" ref="F1025">IF(
   A1025="",
   "",
   _xlfn.LET(
      _xlpm.result,
      IFERROR(
         _xlfn.XLOOKUP(
            1,
            (Table8[رقم الصنف]=A1025) *
            (IF($B$9="الكل",1, YEAR('ادخال البيانات'!$N$3:$N$1164) = VALUE($B$9))) *
            (IF($B$10="الكل",1, MONTH('ادخال البيانات'!$N$3:$N$1164) = VALUE($B$10))) *
            (IF($B$11="الكل",1, INT((DAY('ادخال البيانات'!$N$3:$N$1164)-1)/7)+1 = VALUE($B$11))),
            'ادخال البيانات'!$F$3:$F$1164
         ),
         ""
      ),
      IF(_xlpm.result="", "", _xlpm.result)
   )
)</f>
        <v/>
      </c>
      <c r="G1025" s="27" t="str" cm="1">
        <f t="array" ref="G1025">IF(
   A1025="",
   "",
   _xlfn.LET(
      _xlpm.result,
      IFERROR(
         _xlfn.XLOOKUP(
            1,
            (Table8[رقم الصنف]=A1025) *
            (IF($B$9="الكل",1, YEAR('ادخال البيانات'!$N$3:$N$1164)=VALUE($B$9))) *
            (IF($B$10="الكل",1, MONTH('ادخال البيانات'!$N$3:$N$1164)=VALUE($B$10))) *
            (IF($B$11="الكل",1, INT((DAY('ادخال البيانات'!$N$3:$N$1164)-1)/7)+1 = VALUE($B$11))),
            'ادخال البيانات'!$G$3:$G$1164
         ),
         ""
      ),
      IF(_xlpm.result="", "", _xlpm.result)
   )
)</f>
        <v/>
      </c>
      <c r="H1025" s="27" t="str" cm="1">
        <f t="array" ref="H1025">IF(
   A1025="",
   "",
   _xlfn.LET(
      _xlpm.result,
      IFERROR(
         _xlfn.XLOOKUP(
            1,
            (Table8[رقم الصنف]=A1025) *
            (IF($B$9="الكل",1, YEAR('ادخال البيانات'!$N$3:$N$1164)=VALUE($B$9))) *
            (IF($B$10="الكل",1, MONTH('ادخال البيانات'!$N$3:$N$1164)=VALUE($B$10))) *
            (IF($B$11="الكل",1, INT((DAY('ادخال البيانات'!$N$3:$N$1164)-1)/7)+1 = VALUE($B$11))),
            'ادخال البيانات'!$H$3:$H$1164
         ),
         ""
      ),
      IF(_xlpm.result="", "", _xlpm.result)
   )
)</f>
        <v/>
      </c>
      <c r="I1025" s="27" t="str" cm="1">
        <f t="array" ref="I1025">IF(
   A1025="",
   "",
   _xlfn.LET(
      _xlpm.result,
      IFERROR(
         _xlfn.XLOOKUP(
            1,
            (Table8[رقم الصنف]=A1025) *
            (IF($B$9="الكل",1, YEAR('ادخال البيانات'!$N$3:$N$1164)=VALUE($B$9))) *
            (IF($B$10="الكل",1, MONTH('ادخال البيانات'!$N$3:$N$1164)=VALUE($B$10))) *
            (IF($B$11="الكل",1, INT((DAY('ادخال البيانات'!$N$3:$N$1164)-1)/7)+1 = VALUE($B$11))),
            'ادخال البيانات'!$I$3:$I$1164
         ),
         ""
      ),
      IF(_xlpm.result="", "", _xlpm.result)
   )
)</f>
        <v/>
      </c>
      <c r="J1025" s="27" t="str" cm="1">
        <f t="array" ref="J1025">IF(
   A1025="",
   "",
   _xlfn.LET(
      _xlpm.result,
      IFERROR(
         _xlfn.XLOOKUP(
            1,
            (Table8[رقم الصنف]=A1025) *
            (IF($B$9="الكل",1, YEAR('ادخال البيانات'!$N$3:$N$1164)=VALUE($B$9))) *
            (IF($B$10="الكل",1, MONTH('ادخال البيانات'!$N$3:$N$1164)=VALUE($B$10))) *
            (IF($B$11="الكل",1, INT((DAY('ادخال البيانات'!$N$3:$N$1164)-1)/7)+1 = VALUE($B$11))),
            'ادخال البيانات'!$J$3:$J$1164
         ),
         ""
      ),
      IF(_xlpm.result="", "", _xlpm.result)
   )
)</f>
        <v/>
      </c>
      <c r="K1025" s="27" t="str" cm="1">
        <f t="array" ref="K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5" s="27" t="str" cm="1">
        <f t="array" ref="L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5" s="27" t="str" cm="1">
        <f t="array" ref="M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5" s="28" t="str" cm="1">
        <f t="array" ref="N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5" s="28" t="str" cm="1">
        <f t="array" ref="O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5" s="27" t="str" cm="1">
        <f t="array" ref="P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Table8[جهة العطل]
         ),
         ""
      ),
      IF(_xlpm.result="", "", _xlpm.result)
   )
)</f>
        <v/>
      </c>
      <c r="Q1025" s="27" t="str" cm="1">
        <f t="array" ref="Q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Table8[المركز]
         ),
         ""
      ),
      IF(_xlpm.result="", "", _xlpm.result)
   )
)</f>
        <v/>
      </c>
      <c r="R1025" s="27" t="str" cm="1">
        <f t="array" ref="R1025">IF(
   A1025="",
   "",
   _xlfn.LET(
      _xlpm.result,
      IFERROR(
         _xlfn.XLOOKUP(
            1,
            (Table8[رقم الصنف]=A1025) *
            (IF($B$9="الكل",1, YEAR('ادخال البيانات'!$N$3:$N$1164) = VALUE($B$9))) *
            (IF($B$10="الكل",1, MONTH('ادخال البيانات'!$N$3:$N$1164) = VALUE($B$10))) *
            (IF($B$11="الكل",1, INT((DAY('ادخال البيانات'!$N$3:$N$1164) - 1) / 7) + 1 = VALUE($B$11))),
            Table8[ملاحظة]
         ),
         ""
      ),
      IF(_xlpm.result="", "", _xlpm.result)
   )
)</f>
        <v/>
      </c>
      <c r="S1025" s="46" t="str">
        <f t="shared" ca="1" si="16"/>
        <v/>
      </c>
    </row>
    <row r="1026" spans="1:19" ht="15.6" thickTop="1" thickBot="1" x14ac:dyDescent="0.35">
      <c r="A1026" s="39"/>
      <c r="B1026" s="27" t="str" cm="1">
        <f t="array" ref="B1026">IF(
   OR(A1026="", $B$9="", $B$10="", $B$11=""),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6" s="27" t="str" cm="1">
        <f t="array" ref="C1026">IF(
   A1026="",
   "",
   _xlfn.LET(
      _xlpm.result,
      IFERROR(
         _xlfn.XLOOKUP(
            1,
            (Table8[رقم الصنف]=A1026) *
            (IF($B$9="الكل",1, YEAR('ادخال البيانات'!$N$3:$N$1164) = VALUE($B$9))) *
            (IF($B$10="الكل",1, MONTH('ادخال البيانات'!$N$3:$N$1164) = VALUE($B$10))) *
            (IF($B$11="الكل",1, INT((DAY('ادخال البيانات'!$N$3:$N$1164)-1)/7)+1 = VALUE($B$11))),
            'ادخال البيانات'!$C$3:$C$1164
         ),
         ""
      ),
      IF(_xlpm.result="", "", _xlpm.result)
   )
)</f>
        <v/>
      </c>
      <c r="D1026" s="27" t="str" cm="1">
        <f t="array" ref="D1026">IF(
   OR(A1026="", $B$9="", $B$10="", $B$11=""),
   "",
   _xlfn.LET(
      _xlpm.result,
      IFERROR(
         _xlfn.XLOOKUP(
            1,
            (Table8[رقم الصنف]=A1026) *
            (IF($B$9="الكل",1, YEAR('ادخال البيانات'!$N$3:$N$1164)=VALUE($B$9))) *
            (IF($B$10="الكل",1, MONTH('ادخال البيانات'!$N$3:$N$1164)=VALUE($B$10))) *
            (IF($B$11="الكل",1, INT((DAY('ادخال البيانات'!$N$3:$N$1164)-1)/7)+1 = VALUE($B$11))),
            'ادخال البيانات'!$D$3:$D$1164
         ),
         ""
      ),
      IF(_xlpm.result="", "", _xlpm.result)
   )
)</f>
        <v/>
      </c>
      <c r="E1026" s="27" t="str" cm="1">
        <f t="array" ref="E1026">IF(
   A1026="",
   "",
   _xlfn.LET(
      _xlpm.result,
      IFERROR(
         _xlfn.XLOOKUP(
            1,
            (Table8[رقم الصنف]=A1026) *
            (IF($B$9="الكل",1, YEAR('ادخال البيانات'!$N$3:$N$1164)=VALUE($B$9))) *
            (IF($B$10="الكل",1, MONTH('ادخال البيانات'!$N$3:$N$1164)=VALUE($B$10))) *
            (IF($B$11="الكل",1, INT((DAY('ادخال البيانات'!$N$3:$N$1164)-1)/7)+1 = VALUE($B$11))),
            'ادخال البيانات'!$E$3:$E$1164
         ),
         ""
      ),
      IF(_xlpm.result="", "", _xlpm.result)
   )
)</f>
        <v/>
      </c>
      <c r="F1026" s="27" t="str" cm="1">
        <f t="array" ref="F1026">IF(
   A1026="",
   "",
   _xlfn.LET(
      _xlpm.result,
      IFERROR(
         _xlfn.XLOOKUP(
            1,
            (Table8[رقم الصنف]=A1026) *
            (IF($B$9="الكل",1, YEAR('ادخال البيانات'!$N$3:$N$1164) = VALUE($B$9))) *
            (IF($B$10="الكل",1, MONTH('ادخال البيانات'!$N$3:$N$1164) = VALUE($B$10))) *
            (IF($B$11="الكل",1, INT((DAY('ادخال البيانات'!$N$3:$N$1164)-1)/7)+1 = VALUE($B$11))),
            'ادخال البيانات'!$F$3:$F$1164
         ),
         ""
      ),
      IF(_xlpm.result="", "", _xlpm.result)
   )
)</f>
        <v/>
      </c>
      <c r="G1026" s="27" t="str" cm="1">
        <f t="array" ref="G1026">IF(
   A1026="",
   "",
   _xlfn.LET(
      _xlpm.result,
      IFERROR(
         _xlfn.XLOOKUP(
            1,
            (Table8[رقم الصنف]=A1026) *
            (IF($B$9="الكل",1, YEAR('ادخال البيانات'!$N$3:$N$1164)=VALUE($B$9))) *
            (IF($B$10="الكل",1, MONTH('ادخال البيانات'!$N$3:$N$1164)=VALUE($B$10))) *
            (IF($B$11="الكل",1, INT((DAY('ادخال البيانات'!$N$3:$N$1164)-1)/7)+1 = VALUE($B$11))),
            'ادخال البيانات'!$G$3:$G$1164
         ),
         ""
      ),
      IF(_xlpm.result="", "", _xlpm.result)
   )
)</f>
        <v/>
      </c>
      <c r="H1026" s="27" t="str" cm="1">
        <f t="array" ref="H1026">IF(
   A1026="",
   "",
   _xlfn.LET(
      _xlpm.result,
      IFERROR(
         _xlfn.XLOOKUP(
            1,
            (Table8[رقم الصنف]=A1026) *
            (IF($B$9="الكل",1, YEAR('ادخال البيانات'!$N$3:$N$1164)=VALUE($B$9))) *
            (IF($B$10="الكل",1, MONTH('ادخال البيانات'!$N$3:$N$1164)=VALUE($B$10))) *
            (IF($B$11="الكل",1, INT((DAY('ادخال البيانات'!$N$3:$N$1164)-1)/7)+1 = VALUE($B$11))),
            'ادخال البيانات'!$H$3:$H$1164
         ),
         ""
      ),
      IF(_xlpm.result="", "", _xlpm.result)
   )
)</f>
        <v/>
      </c>
      <c r="I1026" s="27" t="str" cm="1">
        <f t="array" ref="I1026">IF(
   A1026="",
   "",
   _xlfn.LET(
      _xlpm.result,
      IFERROR(
         _xlfn.XLOOKUP(
            1,
            (Table8[رقم الصنف]=A1026) *
            (IF($B$9="الكل",1, YEAR('ادخال البيانات'!$N$3:$N$1164)=VALUE($B$9))) *
            (IF($B$10="الكل",1, MONTH('ادخال البيانات'!$N$3:$N$1164)=VALUE($B$10))) *
            (IF($B$11="الكل",1, INT((DAY('ادخال البيانات'!$N$3:$N$1164)-1)/7)+1 = VALUE($B$11))),
            'ادخال البيانات'!$I$3:$I$1164
         ),
         ""
      ),
      IF(_xlpm.result="", "", _xlpm.result)
   )
)</f>
        <v/>
      </c>
      <c r="J1026" s="27" t="str" cm="1">
        <f t="array" ref="J1026">IF(
   A1026="",
   "",
   _xlfn.LET(
      _xlpm.result,
      IFERROR(
         _xlfn.XLOOKUP(
            1,
            (Table8[رقم الصنف]=A1026) *
            (IF($B$9="الكل",1, YEAR('ادخال البيانات'!$N$3:$N$1164)=VALUE($B$9))) *
            (IF($B$10="الكل",1, MONTH('ادخال البيانات'!$N$3:$N$1164)=VALUE($B$10))) *
            (IF($B$11="الكل",1, INT((DAY('ادخال البيانات'!$N$3:$N$1164)-1)/7)+1 = VALUE($B$11))),
            'ادخال البيانات'!$J$3:$J$1164
         ),
         ""
      ),
      IF(_xlpm.result="", "", _xlpm.result)
   )
)</f>
        <v/>
      </c>
      <c r="K1026" s="27" t="str" cm="1">
        <f t="array" ref="K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6" s="27" t="str" cm="1">
        <f t="array" ref="L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6" s="27" t="str" cm="1">
        <f t="array" ref="M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6" s="28" t="str" cm="1">
        <f t="array" ref="N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6" s="28" t="str" cm="1">
        <f t="array" ref="O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6" s="27" t="str" cm="1">
        <f t="array" ref="P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Table8[جهة العطل]
         ),
         ""
      ),
      IF(_xlpm.result="", "", _xlpm.result)
   )
)</f>
        <v/>
      </c>
      <c r="Q1026" s="27" t="str" cm="1">
        <f t="array" ref="Q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Table8[المركز]
         ),
         ""
      ),
      IF(_xlpm.result="", "", _xlpm.result)
   )
)</f>
        <v/>
      </c>
      <c r="R1026" s="27" t="str" cm="1">
        <f t="array" ref="R1026">IF(
   A1026="",
   "",
   _xlfn.LET(
      _xlpm.result,
      IFERROR(
         _xlfn.XLOOKUP(
            1,
            (Table8[رقم الصنف]=A1026) *
            (IF($B$9="الكل",1, YEAR('ادخال البيانات'!$N$3:$N$1164) = VALUE($B$9))) *
            (IF($B$10="الكل",1, MONTH('ادخال البيانات'!$N$3:$N$1164) = VALUE($B$10))) *
            (IF($B$11="الكل",1, INT((DAY('ادخال البيانات'!$N$3:$N$1164) - 1) / 7) + 1 = VALUE($B$11))),
            Table8[ملاحظة]
         ),
         ""
      ),
      IF(_xlpm.result="", "", _xlpm.result)
   )
)</f>
        <v/>
      </c>
      <c r="S1026" s="46" t="str">
        <f t="shared" ca="1" si="16"/>
        <v/>
      </c>
    </row>
    <row r="1027" spans="1:19" ht="15.6" thickTop="1" thickBot="1" x14ac:dyDescent="0.35">
      <c r="A1027" s="39"/>
      <c r="B1027" s="27" t="str" cm="1">
        <f t="array" ref="B1027">IF(
   OR(A1027="", $B$9="", $B$10="", $B$11=""),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7" s="27" t="str" cm="1">
        <f t="array" ref="C1027">IF(
   A1027="",
   "",
   _xlfn.LET(
      _xlpm.result,
      IFERROR(
         _xlfn.XLOOKUP(
            1,
            (Table8[رقم الصنف]=A1027) *
            (IF($B$9="الكل",1, YEAR('ادخال البيانات'!$N$3:$N$1164) = VALUE($B$9))) *
            (IF($B$10="الكل",1, MONTH('ادخال البيانات'!$N$3:$N$1164) = VALUE($B$10))) *
            (IF($B$11="الكل",1, INT((DAY('ادخال البيانات'!$N$3:$N$1164)-1)/7)+1 = VALUE($B$11))),
            'ادخال البيانات'!$C$3:$C$1164
         ),
         ""
      ),
      IF(_xlpm.result="", "", _xlpm.result)
   )
)</f>
        <v/>
      </c>
      <c r="D1027" s="27" t="str" cm="1">
        <f t="array" ref="D1027">IF(
   OR(A1027="", $B$9="", $B$10="", $B$11=""),
   "",
   _xlfn.LET(
      _xlpm.result,
      IFERROR(
         _xlfn.XLOOKUP(
            1,
            (Table8[رقم الصنف]=A1027) *
            (IF($B$9="الكل",1, YEAR('ادخال البيانات'!$N$3:$N$1164)=VALUE($B$9))) *
            (IF($B$10="الكل",1, MONTH('ادخال البيانات'!$N$3:$N$1164)=VALUE($B$10))) *
            (IF($B$11="الكل",1, INT((DAY('ادخال البيانات'!$N$3:$N$1164)-1)/7)+1 = VALUE($B$11))),
            'ادخال البيانات'!$D$3:$D$1164
         ),
         ""
      ),
      IF(_xlpm.result="", "", _xlpm.result)
   )
)</f>
        <v/>
      </c>
      <c r="E1027" s="27" t="str" cm="1">
        <f t="array" ref="E1027">IF(
   A1027="",
   "",
   _xlfn.LET(
      _xlpm.result,
      IFERROR(
         _xlfn.XLOOKUP(
            1,
            (Table8[رقم الصنف]=A1027) *
            (IF($B$9="الكل",1, YEAR('ادخال البيانات'!$N$3:$N$1164)=VALUE($B$9))) *
            (IF($B$10="الكل",1, MONTH('ادخال البيانات'!$N$3:$N$1164)=VALUE($B$10))) *
            (IF($B$11="الكل",1, INT((DAY('ادخال البيانات'!$N$3:$N$1164)-1)/7)+1 = VALUE($B$11))),
            'ادخال البيانات'!$E$3:$E$1164
         ),
         ""
      ),
      IF(_xlpm.result="", "", _xlpm.result)
   )
)</f>
        <v/>
      </c>
      <c r="F1027" s="27" t="str" cm="1">
        <f t="array" ref="F1027">IF(
   A1027="",
   "",
   _xlfn.LET(
      _xlpm.result,
      IFERROR(
         _xlfn.XLOOKUP(
            1,
            (Table8[رقم الصنف]=A1027) *
            (IF($B$9="الكل",1, YEAR('ادخال البيانات'!$N$3:$N$1164) = VALUE($B$9))) *
            (IF($B$10="الكل",1, MONTH('ادخال البيانات'!$N$3:$N$1164) = VALUE($B$10))) *
            (IF($B$11="الكل",1, INT((DAY('ادخال البيانات'!$N$3:$N$1164)-1)/7)+1 = VALUE($B$11))),
            'ادخال البيانات'!$F$3:$F$1164
         ),
         ""
      ),
      IF(_xlpm.result="", "", _xlpm.result)
   )
)</f>
        <v/>
      </c>
      <c r="G1027" s="27" t="str" cm="1">
        <f t="array" ref="G1027">IF(
   A1027="",
   "",
   _xlfn.LET(
      _xlpm.result,
      IFERROR(
         _xlfn.XLOOKUP(
            1,
            (Table8[رقم الصنف]=A1027) *
            (IF($B$9="الكل",1, YEAR('ادخال البيانات'!$N$3:$N$1164)=VALUE($B$9))) *
            (IF($B$10="الكل",1, MONTH('ادخال البيانات'!$N$3:$N$1164)=VALUE($B$10))) *
            (IF($B$11="الكل",1, INT((DAY('ادخال البيانات'!$N$3:$N$1164)-1)/7)+1 = VALUE($B$11))),
            'ادخال البيانات'!$G$3:$G$1164
         ),
         ""
      ),
      IF(_xlpm.result="", "", _xlpm.result)
   )
)</f>
        <v/>
      </c>
      <c r="H1027" s="27" t="str" cm="1">
        <f t="array" ref="H1027">IF(
   A1027="",
   "",
   _xlfn.LET(
      _xlpm.result,
      IFERROR(
         _xlfn.XLOOKUP(
            1,
            (Table8[رقم الصنف]=A1027) *
            (IF($B$9="الكل",1, YEAR('ادخال البيانات'!$N$3:$N$1164)=VALUE($B$9))) *
            (IF($B$10="الكل",1, MONTH('ادخال البيانات'!$N$3:$N$1164)=VALUE($B$10))) *
            (IF($B$11="الكل",1, INT((DAY('ادخال البيانات'!$N$3:$N$1164)-1)/7)+1 = VALUE($B$11))),
            'ادخال البيانات'!$H$3:$H$1164
         ),
         ""
      ),
      IF(_xlpm.result="", "", _xlpm.result)
   )
)</f>
        <v/>
      </c>
      <c r="I1027" s="27" t="str" cm="1">
        <f t="array" ref="I1027">IF(
   A1027="",
   "",
   _xlfn.LET(
      _xlpm.result,
      IFERROR(
         _xlfn.XLOOKUP(
            1,
            (Table8[رقم الصنف]=A1027) *
            (IF($B$9="الكل",1, YEAR('ادخال البيانات'!$N$3:$N$1164)=VALUE($B$9))) *
            (IF($B$10="الكل",1, MONTH('ادخال البيانات'!$N$3:$N$1164)=VALUE($B$10))) *
            (IF($B$11="الكل",1, INT((DAY('ادخال البيانات'!$N$3:$N$1164)-1)/7)+1 = VALUE($B$11))),
            'ادخال البيانات'!$I$3:$I$1164
         ),
         ""
      ),
      IF(_xlpm.result="", "", _xlpm.result)
   )
)</f>
        <v/>
      </c>
      <c r="J1027" s="27" t="str" cm="1">
        <f t="array" ref="J1027">IF(
   A1027="",
   "",
   _xlfn.LET(
      _xlpm.result,
      IFERROR(
         _xlfn.XLOOKUP(
            1,
            (Table8[رقم الصنف]=A1027) *
            (IF($B$9="الكل",1, YEAR('ادخال البيانات'!$N$3:$N$1164)=VALUE($B$9))) *
            (IF($B$10="الكل",1, MONTH('ادخال البيانات'!$N$3:$N$1164)=VALUE($B$10))) *
            (IF($B$11="الكل",1, INT((DAY('ادخال البيانات'!$N$3:$N$1164)-1)/7)+1 = VALUE($B$11))),
            'ادخال البيانات'!$J$3:$J$1164
         ),
         ""
      ),
      IF(_xlpm.result="", "", _xlpm.result)
   )
)</f>
        <v/>
      </c>
      <c r="K1027" s="27" t="str" cm="1">
        <f t="array" ref="K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7" s="27" t="str" cm="1">
        <f t="array" ref="L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7" s="27" t="str" cm="1">
        <f t="array" ref="M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7" s="28" t="str" cm="1">
        <f t="array" ref="N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7" s="28" t="str" cm="1">
        <f t="array" ref="O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7" s="27" t="str" cm="1">
        <f t="array" ref="P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Table8[جهة العطل]
         ),
         ""
      ),
      IF(_xlpm.result="", "", _xlpm.result)
   )
)</f>
        <v/>
      </c>
      <c r="Q1027" s="27" t="str" cm="1">
        <f t="array" ref="Q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Table8[المركز]
         ),
         ""
      ),
      IF(_xlpm.result="", "", _xlpm.result)
   )
)</f>
        <v/>
      </c>
      <c r="R1027" s="27" t="str" cm="1">
        <f t="array" ref="R1027">IF(
   A1027="",
   "",
   _xlfn.LET(
      _xlpm.result,
      IFERROR(
         _xlfn.XLOOKUP(
            1,
            (Table8[رقم الصنف]=A1027) *
            (IF($B$9="الكل",1, YEAR('ادخال البيانات'!$N$3:$N$1164) = VALUE($B$9))) *
            (IF($B$10="الكل",1, MONTH('ادخال البيانات'!$N$3:$N$1164) = VALUE($B$10))) *
            (IF($B$11="الكل",1, INT((DAY('ادخال البيانات'!$N$3:$N$1164) - 1) / 7) + 1 = VALUE($B$11))),
            Table8[ملاحظة]
         ),
         ""
      ),
      IF(_xlpm.result="", "", _xlpm.result)
   )
)</f>
        <v/>
      </c>
      <c r="S1027" s="46" t="str">
        <f t="shared" ca="1" si="16"/>
        <v/>
      </c>
    </row>
    <row r="1028" spans="1:19" ht="15.6" thickTop="1" thickBot="1" x14ac:dyDescent="0.35">
      <c r="A1028" s="39"/>
      <c r="B1028" s="27" t="str" cm="1">
        <f t="array" ref="B1028">IF(
   OR(A1028="", $B$9="", $B$10="", $B$11=""),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8" s="27" t="str" cm="1">
        <f t="array" ref="C1028">IF(
   A1028="",
   "",
   _xlfn.LET(
      _xlpm.result,
      IFERROR(
         _xlfn.XLOOKUP(
            1,
            (Table8[رقم الصنف]=A1028) *
            (IF($B$9="الكل",1, YEAR('ادخال البيانات'!$N$3:$N$1164) = VALUE($B$9))) *
            (IF($B$10="الكل",1, MONTH('ادخال البيانات'!$N$3:$N$1164) = VALUE($B$10))) *
            (IF($B$11="الكل",1, INT((DAY('ادخال البيانات'!$N$3:$N$1164)-1)/7)+1 = VALUE($B$11))),
            'ادخال البيانات'!$C$3:$C$1164
         ),
         ""
      ),
      IF(_xlpm.result="", "", _xlpm.result)
   )
)</f>
        <v/>
      </c>
      <c r="D1028" s="27" t="str" cm="1">
        <f t="array" ref="D1028">IF(
   OR(A1028="", $B$9="", $B$10="", $B$11=""),
   "",
   _xlfn.LET(
      _xlpm.result,
      IFERROR(
         _xlfn.XLOOKUP(
            1,
            (Table8[رقم الصنف]=A1028) *
            (IF($B$9="الكل",1, YEAR('ادخال البيانات'!$N$3:$N$1164)=VALUE($B$9))) *
            (IF($B$10="الكل",1, MONTH('ادخال البيانات'!$N$3:$N$1164)=VALUE($B$10))) *
            (IF($B$11="الكل",1, INT((DAY('ادخال البيانات'!$N$3:$N$1164)-1)/7)+1 = VALUE($B$11))),
            'ادخال البيانات'!$D$3:$D$1164
         ),
         ""
      ),
      IF(_xlpm.result="", "", _xlpm.result)
   )
)</f>
        <v/>
      </c>
      <c r="E1028" s="27" t="str" cm="1">
        <f t="array" ref="E1028">IF(
   A1028="",
   "",
   _xlfn.LET(
      _xlpm.result,
      IFERROR(
         _xlfn.XLOOKUP(
            1,
            (Table8[رقم الصنف]=A1028) *
            (IF($B$9="الكل",1, YEAR('ادخال البيانات'!$N$3:$N$1164)=VALUE($B$9))) *
            (IF($B$10="الكل",1, MONTH('ادخال البيانات'!$N$3:$N$1164)=VALUE($B$10))) *
            (IF($B$11="الكل",1, INT((DAY('ادخال البيانات'!$N$3:$N$1164)-1)/7)+1 = VALUE($B$11))),
            'ادخال البيانات'!$E$3:$E$1164
         ),
         ""
      ),
      IF(_xlpm.result="", "", _xlpm.result)
   )
)</f>
        <v/>
      </c>
      <c r="F1028" s="27" t="str" cm="1">
        <f t="array" ref="F1028">IF(
   A1028="",
   "",
   _xlfn.LET(
      _xlpm.result,
      IFERROR(
         _xlfn.XLOOKUP(
            1,
            (Table8[رقم الصنف]=A1028) *
            (IF($B$9="الكل",1, YEAR('ادخال البيانات'!$N$3:$N$1164) = VALUE($B$9))) *
            (IF($B$10="الكل",1, MONTH('ادخال البيانات'!$N$3:$N$1164) = VALUE($B$10))) *
            (IF($B$11="الكل",1, INT((DAY('ادخال البيانات'!$N$3:$N$1164)-1)/7)+1 = VALUE($B$11))),
            'ادخال البيانات'!$F$3:$F$1164
         ),
         ""
      ),
      IF(_xlpm.result="", "", _xlpm.result)
   )
)</f>
        <v/>
      </c>
      <c r="G1028" s="27" t="str" cm="1">
        <f t="array" ref="G1028">IF(
   A1028="",
   "",
   _xlfn.LET(
      _xlpm.result,
      IFERROR(
         _xlfn.XLOOKUP(
            1,
            (Table8[رقم الصنف]=A1028) *
            (IF($B$9="الكل",1, YEAR('ادخال البيانات'!$N$3:$N$1164)=VALUE($B$9))) *
            (IF($B$10="الكل",1, MONTH('ادخال البيانات'!$N$3:$N$1164)=VALUE($B$10))) *
            (IF($B$11="الكل",1, INT((DAY('ادخال البيانات'!$N$3:$N$1164)-1)/7)+1 = VALUE($B$11))),
            'ادخال البيانات'!$G$3:$G$1164
         ),
         ""
      ),
      IF(_xlpm.result="", "", _xlpm.result)
   )
)</f>
        <v/>
      </c>
      <c r="H1028" s="27" t="str" cm="1">
        <f t="array" ref="H1028">IF(
   A1028="",
   "",
   _xlfn.LET(
      _xlpm.result,
      IFERROR(
         _xlfn.XLOOKUP(
            1,
            (Table8[رقم الصنف]=A1028) *
            (IF($B$9="الكل",1, YEAR('ادخال البيانات'!$N$3:$N$1164)=VALUE($B$9))) *
            (IF($B$10="الكل",1, MONTH('ادخال البيانات'!$N$3:$N$1164)=VALUE($B$10))) *
            (IF($B$11="الكل",1, INT((DAY('ادخال البيانات'!$N$3:$N$1164)-1)/7)+1 = VALUE($B$11))),
            'ادخال البيانات'!$H$3:$H$1164
         ),
         ""
      ),
      IF(_xlpm.result="", "", _xlpm.result)
   )
)</f>
        <v/>
      </c>
      <c r="I1028" s="27" t="str" cm="1">
        <f t="array" ref="I1028">IF(
   A1028="",
   "",
   _xlfn.LET(
      _xlpm.result,
      IFERROR(
         _xlfn.XLOOKUP(
            1,
            (Table8[رقم الصنف]=A1028) *
            (IF($B$9="الكل",1, YEAR('ادخال البيانات'!$N$3:$N$1164)=VALUE($B$9))) *
            (IF($B$10="الكل",1, MONTH('ادخال البيانات'!$N$3:$N$1164)=VALUE($B$10))) *
            (IF($B$11="الكل",1, INT((DAY('ادخال البيانات'!$N$3:$N$1164)-1)/7)+1 = VALUE($B$11))),
            'ادخال البيانات'!$I$3:$I$1164
         ),
         ""
      ),
      IF(_xlpm.result="", "", _xlpm.result)
   )
)</f>
        <v/>
      </c>
      <c r="J1028" s="27" t="str" cm="1">
        <f t="array" ref="J1028">IF(
   A1028="",
   "",
   _xlfn.LET(
      _xlpm.result,
      IFERROR(
         _xlfn.XLOOKUP(
            1,
            (Table8[رقم الصنف]=A1028) *
            (IF($B$9="الكل",1, YEAR('ادخال البيانات'!$N$3:$N$1164)=VALUE($B$9))) *
            (IF($B$10="الكل",1, MONTH('ادخال البيانات'!$N$3:$N$1164)=VALUE($B$10))) *
            (IF($B$11="الكل",1, INT((DAY('ادخال البيانات'!$N$3:$N$1164)-1)/7)+1 = VALUE($B$11))),
            'ادخال البيانات'!$J$3:$J$1164
         ),
         ""
      ),
      IF(_xlpm.result="", "", _xlpm.result)
   )
)</f>
        <v/>
      </c>
      <c r="K1028" s="27" t="str" cm="1">
        <f t="array" ref="K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8" s="27" t="str" cm="1">
        <f t="array" ref="L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8" s="27" t="str" cm="1">
        <f t="array" ref="M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8" s="28" t="str" cm="1">
        <f t="array" ref="N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8" s="28" t="str" cm="1">
        <f t="array" ref="O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8" s="27" t="str" cm="1">
        <f t="array" ref="P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Table8[جهة العطل]
         ),
         ""
      ),
      IF(_xlpm.result="", "", _xlpm.result)
   )
)</f>
        <v/>
      </c>
      <c r="Q1028" s="27" t="str" cm="1">
        <f t="array" ref="Q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Table8[المركز]
         ),
         ""
      ),
      IF(_xlpm.result="", "", _xlpm.result)
   )
)</f>
        <v/>
      </c>
      <c r="R1028" s="27" t="str" cm="1">
        <f t="array" ref="R1028">IF(
   A1028="",
   "",
   _xlfn.LET(
      _xlpm.result,
      IFERROR(
         _xlfn.XLOOKUP(
            1,
            (Table8[رقم الصنف]=A1028) *
            (IF($B$9="الكل",1, YEAR('ادخال البيانات'!$N$3:$N$1164) = VALUE($B$9))) *
            (IF($B$10="الكل",1, MONTH('ادخال البيانات'!$N$3:$N$1164) = VALUE($B$10))) *
            (IF($B$11="الكل",1, INT((DAY('ادخال البيانات'!$N$3:$N$1164) - 1) / 7) + 1 = VALUE($B$11))),
            Table8[ملاحظة]
         ),
         ""
      ),
      IF(_xlpm.result="", "", _xlpm.result)
   )
)</f>
        <v/>
      </c>
      <c r="S1028" s="46" t="str">
        <f t="shared" ca="1" si="16"/>
        <v/>
      </c>
    </row>
    <row r="1029" spans="1:19" ht="15.6" thickTop="1" thickBot="1" x14ac:dyDescent="0.35">
      <c r="A1029" s="39"/>
      <c r="B1029" s="27" t="str" cm="1">
        <f t="array" ref="B1029">IF(
   OR(A1029="", $B$9="", $B$10="", $B$11=""),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29" s="27" t="str" cm="1">
        <f t="array" ref="C1029">IF(
   A1029="",
   "",
   _xlfn.LET(
      _xlpm.result,
      IFERROR(
         _xlfn.XLOOKUP(
            1,
            (Table8[رقم الصنف]=A1029) *
            (IF($B$9="الكل",1, YEAR('ادخال البيانات'!$N$3:$N$1164) = VALUE($B$9))) *
            (IF($B$10="الكل",1, MONTH('ادخال البيانات'!$N$3:$N$1164) = VALUE($B$10))) *
            (IF($B$11="الكل",1, INT((DAY('ادخال البيانات'!$N$3:$N$1164)-1)/7)+1 = VALUE($B$11))),
            'ادخال البيانات'!$C$3:$C$1164
         ),
         ""
      ),
      IF(_xlpm.result="", "", _xlpm.result)
   )
)</f>
        <v/>
      </c>
      <c r="D1029" s="27" t="str" cm="1">
        <f t="array" ref="D1029">IF(
   OR(A1029="", $B$9="", $B$10="", $B$11=""),
   "",
   _xlfn.LET(
      _xlpm.result,
      IFERROR(
         _xlfn.XLOOKUP(
            1,
            (Table8[رقم الصنف]=A1029) *
            (IF($B$9="الكل",1, YEAR('ادخال البيانات'!$N$3:$N$1164)=VALUE($B$9))) *
            (IF($B$10="الكل",1, MONTH('ادخال البيانات'!$N$3:$N$1164)=VALUE($B$10))) *
            (IF($B$11="الكل",1, INT((DAY('ادخال البيانات'!$N$3:$N$1164)-1)/7)+1 = VALUE($B$11))),
            'ادخال البيانات'!$D$3:$D$1164
         ),
         ""
      ),
      IF(_xlpm.result="", "", _xlpm.result)
   )
)</f>
        <v/>
      </c>
      <c r="E1029" s="27" t="str" cm="1">
        <f t="array" ref="E1029">IF(
   A1029="",
   "",
   _xlfn.LET(
      _xlpm.result,
      IFERROR(
         _xlfn.XLOOKUP(
            1,
            (Table8[رقم الصنف]=A1029) *
            (IF($B$9="الكل",1, YEAR('ادخال البيانات'!$N$3:$N$1164)=VALUE($B$9))) *
            (IF($B$10="الكل",1, MONTH('ادخال البيانات'!$N$3:$N$1164)=VALUE($B$10))) *
            (IF($B$11="الكل",1, INT((DAY('ادخال البيانات'!$N$3:$N$1164)-1)/7)+1 = VALUE($B$11))),
            'ادخال البيانات'!$E$3:$E$1164
         ),
         ""
      ),
      IF(_xlpm.result="", "", _xlpm.result)
   )
)</f>
        <v/>
      </c>
      <c r="F1029" s="27" t="str" cm="1">
        <f t="array" ref="F1029">IF(
   A1029="",
   "",
   _xlfn.LET(
      _xlpm.result,
      IFERROR(
         _xlfn.XLOOKUP(
            1,
            (Table8[رقم الصنف]=A1029) *
            (IF($B$9="الكل",1, YEAR('ادخال البيانات'!$N$3:$N$1164) = VALUE($B$9))) *
            (IF($B$10="الكل",1, MONTH('ادخال البيانات'!$N$3:$N$1164) = VALUE($B$10))) *
            (IF($B$11="الكل",1, INT((DAY('ادخال البيانات'!$N$3:$N$1164)-1)/7)+1 = VALUE($B$11))),
            'ادخال البيانات'!$F$3:$F$1164
         ),
         ""
      ),
      IF(_xlpm.result="", "", _xlpm.result)
   )
)</f>
        <v/>
      </c>
      <c r="G1029" s="27" t="str" cm="1">
        <f t="array" ref="G1029">IF(
   A1029="",
   "",
   _xlfn.LET(
      _xlpm.result,
      IFERROR(
         _xlfn.XLOOKUP(
            1,
            (Table8[رقم الصنف]=A1029) *
            (IF($B$9="الكل",1, YEAR('ادخال البيانات'!$N$3:$N$1164)=VALUE($B$9))) *
            (IF($B$10="الكل",1, MONTH('ادخال البيانات'!$N$3:$N$1164)=VALUE($B$10))) *
            (IF($B$11="الكل",1, INT((DAY('ادخال البيانات'!$N$3:$N$1164)-1)/7)+1 = VALUE($B$11))),
            'ادخال البيانات'!$G$3:$G$1164
         ),
         ""
      ),
      IF(_xlpm.result="", "", _xlpm.result)
   )
)</f>
        <v/>
      </c>
      <c r="H1029" s="27" t="str" cm="1">
        <f t="array" ref="H1029">IF(
   A1029="",
   "",
   _xlfn.LET(
      _xlpm.result,
      IFERROR(
         _xlfn.XLOOKUP(
            1,
            (Table8[رقم الصنف]=A1029) *
            (IF($B$9="الكل",1, YEAR('ادخال البيانات'!$N$3:$N$1164)=VALUE($B$9))) *
            (IF($B$10="الكل",1, MONTH('ادخال البيانات'!$N$3:$N$1164)=VALUE($B$10))) *
            (IF($B$11="الكل",1, INT((DAY('ادخال البيانات'!$N$3:$N$1164)-1)/7)+1 = VALUE($B$11))),
            'ادخال البيانات'!$H$3:$H$1164
         ),
         ""
      ),
      IF(_xlpm.result="", "", _xlpm.result)
   )
)</f>
        <v/>
      </c>
      <c r="I1029" s="27" t="str" cm="1">
        <f t="array" ref="I1029">IF(
   A1029="",
   "",
   _xlfn.LET(
      _xlpm.result,
      IFERROR(
         _xlfn.XLOOKUP(
            1,
            (Table8[رقم الصنف]=A1029) *
            (IF($B$9="الكل",1, YEAR('ادخال البيانات'!$N$3:$N$1164)=VALUE($B$9))) *
            (IF($B$10="الكل",1, MONTH('ادخال البيانات'!$N$3:$N$1164)=VALUE($B$10))) *
            (IF($B$11="الكل",1, INT((DAY('ادخال البيانات'!$N$3:$N$1164)-1)/7)+1 = VALUE($B$11))),
            'ادخال البيانات'!$I$3:$I$1164
         ),
         ""
      ),
      IF(_xlpm.result="", "", _xlpm.result)
   )
)</f>
        <v/>
      </c>
      <c r="J1029" s="27" t="str" cm="1">
        <f t="array" ref="J1029">IF(
   A1029="",
   "",
   _xlfn.LET(
      _xlpm.result,
      IFERROR(
         _xlfn.XLOOKUP(
            1,
            (Table8[رقم الصنف]=A1029) *
            (IF($B$9="الكل",1, YEAR('ادخال البيانات'!$N$3:$N$1164)=VALUE($B$9))) *
            (IF($B$10="الكل",1, MONTH('ادخال البيانات'!$N$3:$N$1164)=VALUE($B$10))) *
            (IF($B$11="الكل",1, INT((DAY('ادخال البيانات'!$N$3:$N$1164)-1)/7)+1 = VALUE($B$11))),
            'ادخال البيانات'!$J$3:$J$1164
         ),
         ""
      ),
      IF(_xlpm.result="", "", _xlpm.result)
   )
)</f>
        <v/>
      </c>
      <c r="K1029" s="27" t="str" cm="1">
        <f t="array" ref="K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29" s="27" t="str" cm="1">
        <f t="array" ref="L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29" s="27" t="str" cm="1">
        <f t="array" ref="M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29" s="28" t="str" cm="1">
        <f t="array" ref="N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29" s="28" t="str" cm="1">
        <f t="array" ref="O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29" s="27" t="str" cm="1">
        <f t="array" ref="P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Table8[جهة العطل]
         ),
         ""
      ),
      IF(_xlpm.result="", "", _xlpm.result)
   )
)</f>
        <v/>
      </c>
      <c r="Q1029" s="27" t="str" cm="1">
        <f t="array" ref="Q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Table8[المركز]
         ),
         ""
      ),
      IF(_xlpm.result="", "", _xlpm.result)
   )
)</f>
        <v/>
      </c>
      <c r="R1029" s="27" t="str" cm="1">
        <f t="array" ref="R1029">IF(
   A1029="",
   "",
   _xlfn.LET(
      _xlpm.result,
      IFERROR(
         _xlfn.XLOOKUP(
            1,
            (Table8[رقم الصنف]=A1029) *
            (IF($B$9="الكل",1, YEAR('ادخال البيانات'!$N$3:$N$1164) = VALUE($B$9))) *
            (IF($B$10="الكل",1, MONTH('ادخال البيانات'!$N$3:$N$1164) = VALUE($B$10))) *
            (IF($B$11="الكل",1, INT((DAY('ادخال البيانات'!$N$3:$N$1164) - 1) / 7) + 1 = VALUE($B$11))),
            Table8[ملاحظة]
         ),
         ""
      ),
      IF(_xlpm.result="", "", _xlpm.result)
   )
)</f>
        <v/>
      </c>
      <c r="S1029" s="46" t="str">
        <f t="shared" ca="1" si="16"/>
        <v/>
      </c>
    </row>
    <row r="1030" spans="1:19" ht="15.6" thickTop="1" thickBot="1" x14ac:dyDescent="0.35">
      <c r="A1030" s="39"/>
      <c r="B1030" s="27" t="str" cm="1">
        <f t="array" ref="B1030">IF(
   OR(A1030="", $B$9="", $B$10="", $B$11=""),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0" s="27" t="str" cm="1">
        <f t="array" ref="C1030">IF(
   A1030="",
   "",
   _xlfn.LET(
      _xlpm.result,
      IFERROR(
         _xlfn.XLOOKUP(
            1,
            (Table8[رقم الصنف]=A1030) *
            (IF($B$9="الكل",1, YEAR('ادخال البيانات'!$N$3:$N$1164) = VALUE($B$9))) *
            (IF($B$10="الكل",1, MONTH('ادخال البيانات'!$N$3:$N$1164) = VALUE($B$10))) *
            (IF($B$11="الكل",1, INT((DAY('ادخال البيانات'!$N$3:$N$1164)-1)/7)+1 = VALUE($B$11))),
            'ادخال البيانات'!$C$3:$C$1164
         ),
         ""
      ),
      IF(_xlpm.result="", "", _xlpm.result)
   )
)</f>
        <v/>
      </c>
      <c r="D1030" s="27" t="str" cm="1">
        <f t="array" ref="D1030">IF(
   OR(A1030="", $B$9="", $B$10="", $B$11=""),
   "",
   _xlfn.LET(
      _xlpm.result,
      IFERROR(
         _xlfn.XLOOKUP(
            1,
            (Table8[رقم الصنف]=A1030) *
            (IF($B$9="الكل",1, YEAR('ادخال البيانات'!$N$3:$N$1164)=VALUE($B$9))) *
            (IF($B$10="الكل",1, MONTH('ادخال البيانات'!$N$3:$N$1164)=VALUE($B$10))) *
            (IF($B$11="الكل",1, INT((DAY('ادخال البيانات'!$N$3:$N$1164)-1)/7)+1 = VALUE($B$11))),
            'ادخال البيانات'!$D$3:$D$1164
         ),
         ""
      ),
      IF(_xlpm.result="", "", _xlpm.result)
   )
)</f>
        <v/>
      </c>
      <c r="E1030" s="27" t="str" cm="1">
        <f t="array" ref="E1030">IF(
   A1030="",
   "",
   _xlfn.LET(
      _xlpm.result,
      IFERROR(
         _xlfn.XLOOKUP(
            1,
            (Table8[رقم الصنف]=A1030) *
            (IF($B$9="الكل",1, YEAR('ادخال البيانات'!$N$3:$N$1164)=VALUE($B$9))) *
            (IF($B$10="الكل",1, MONTH('ادخال البيانات'!$N$3:$N$1164)=VALUE($B$10))) *
            (IF($B$11="الكل",1, INT((DAY('ادخال البيانات'!$N$3:$N$1164)-1)/7)+1 = VALUE($B$11))),
            'ادخال البيانات'!$E$3:$E$1164
         ),
         ""
      ),
      IF(_xlpm.result="", "", _xlpm.result)
   )
)</f>
        <v/>
      </c>
      <c r="F1030" s="27" t="str" cm="1">
        <f t="array" ref="F1030">IF(
   A1030="",
   "",
   _xlfn.LET(
      _xlpm.result,
      IFERROR(
         _xlfn.XLOOKUP(
            1,
            (Table8[رقم الصنف]=A1030) *
            (IF($B$9="الكل",1, YEAR('ادخال البيانات'!$N$3:$N$1164) = VALUE($B$9))) *
            (IF($B$10="الكل",1, MONTH('ادخال البيانات'!$N$3:$N$1164) = VALUE($B$10))) *
            (IF($B$11="الكل",1, INT((DAY('ادخال البيانات'!$N$3:$N$1164)-1)/7)+1 = VALUE($B$11))),
            'ادخال البيانات'!$F$3:$F$1164
         ),
         ""
      ),
      IF(_xlpm.result="", "", _xlpm.result)
   )
)</f>
        <v/>
      </c>
      <c r="G1030" s="27" t="str" cm="1">
        <f t="array" ref="G1030">IF(
   A1030="",
   "",
   _xlfn.LET(
      _xlpm.result,
      IFERROR(
         _xlfn.XLOOKUP(
            1,
            (Table8[رقم الصنف]=A1030) *
            (IF($B$9="الكل",1, YEAR('ادخال البيانات'!$N$3:$N$1164)=VALUE($B$9))) *
            (IF($B$10="الكل",1, MONTH('ادخال البيانات'!$N$3:$N$1164)=VALUE($B$10))) *
            (IF($B$11="الكل",1, INT((DAY('ادخال البيانات'!$N$3:$N$1164)-1)/7)+1 = VALUE($B$11))),
            'ادخال البيانات'!$G$3:$G$1164
         ),
         ""
      ),
      IF(_xlpm.result="", "", _xlpm.result)
   )
)</f>
        <v/>
      </c>
      <c r="H1030" s="27" t="str" cm="1">
        <f t="array" ref="H1030">IF(
   A1030="",
   "",
   _xlfn.LET(
      _xlpm.result,
      IFERROR(
         _xlfn.XLOOKUP(
            1,
            (Table8[رقم الصنف]=A1030) *
            (IF($B$9="الكل",1, YEAR('ادخال البيانات'!$N$3:$N$1164)=VALUE($B$9))) *
            (IF($B$10="الكل",1, MONTH('ادخال البيانات'!$N$3:$N$1164)=VALUE($B$10))) *
            (IF($B$11="الكل",1, INT((DAY('ادخال البيانات'!$N$3:$N$1164)-1)/7)+1 = VALUE($B$11))),
            'ادخال البيانات'!$H$3:$H$1164
         ),
         ""
      ),
      IF(_xlpm.result="", "", _xlpm.result)
   )
)</f>
        <v/>
      </c>
      <c r="I1030" s="27" t="str" cm="1">
        <f t="array" ref="I1030">IF(
   A1030="",
   "",
   _xlfn.LET(
      _xlpm.result,
      IFERROR(
         _xlfn.XLOOKUP(
            1,
            (Table8[رقم الصنف]=A1030) *
            (IF($B$9="الكل",1, YEAR('ادخال البيانات'!$N$3:$N$1164)=VALUE($B$9))) *
            (IF($B$10="الكل",1, MONTH('ادخال البيانات'!$N$3:$N$1164)=VALUE($B$10))) *
            (IF($B$11="الكل",1, INT((DAY('ادخال البيانات'!$N$3:$N$1164)-1)/7)+1 = VALUE($B$11))),
            'ادخال البيانات'!$I$3:$I$1164
         ),
         ""
      ),
      IF(_xlpm.result="", "", _xlpm.result)
   )
)</f>
        <v/>
      </c>
      <c r="J1030" s="27" t="str" cm="1">
        <f t="array" ref="J1030">IF(
   A1030="",
   "",
   _xlfn.LET(
      _xlpm.result,
      IFERROR(
         _xlfn.XLOOKUP(
            1,
            (Table8[رقم الصنف]=A1030) *
            (IF($B$9="الكل",1, YEAR('ادخال البيانات'!$N$3:$N$1164)=VALUE($B$9))) *
            (IF($B$10="الكل",1, MONTH('ادخال البيانات'!$N$3:$N$1164)=VALUE($B$10))) *
            (IF($B$11="الكل",1, INT((DAY('ادخال البيانات'!$N$3:$N$1164)-1)/7)+1 = VALUE($B$11))),
            'ادخال البيانات'!$J$3:$J$1164
         ),
         ""
      ),
      IF(_xlpm.result="", "", _xlpm.result)
   )
)</f>
        <v/>
      </c>
      <c r="K1030" s="27" t="str" cm="1">
        <f t="array" ref="K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0" s="27" t="str" cm="1">
        <f t="array" ref="L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0" s="27" t="str" cm="1">
        <f t="array" ref="M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0" s="28" t="str" cm="1">
        <f t="array" ref="N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0" s="28" t="str" cm="1">
        <f t="array" ref="O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0" s="27" t="str" cm="1">
        <f t="array" ref="P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Table8[جهة العطل]
         ),
         ""
      ),
      IF(_xlpm.result="", "", _xlpm.result)
   )
)</f>
        <v/>
      </c>
      <c r="Q1030" s="27" t="str" cm="1">
        <f t="array" ref="Q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Table8[المركز]
         ),
         ""
      ),
      IF(_xlpm.result="", "", _xlpm.result)
   )
)</f>
        <v/>
      </c>
      <c r="R1030" s="27" t="str" cm="1">
        <f t="array" ref="R1030">IF(
   A1030="",
   "",
   _xlfn.LET(
      _xlpm.result,
      IFERROR(
         _xlfn.XLOOKUP(
            1,
            (Table8[رقم الصنف]=A1030) *
            (IF($B$9="الكل",1, YEAR('ادخال البيانات'!$N$3:$N$1164) = VALUE($B$9))) *
            (IF($B$10="الكل",1, MONTH('ادخال البيانات'!$N$3:$N$1164) = VALUE($B$10))) *
            (IF($B$11="الكل",1, INT((DAY('ادخال البيانات'!$N$3:$N$1164) - 1) / 7) + 1 = VALUE($B$11))),
            Table8[ملاحظة]
         ),
         ""
      ),
      IF(_xlpm.result="", "", _xlpm.result)
   )
)</f>
        <v/>
      </c>
      <c r="S1030" s="46" t="str">
        <f t="shared" ca="1" si="16"/>
        <v/>
      </c>
    </row>
    <row r="1031" spans="1:19" ht="15.6" thickTop="1" thickBot="1" x14ac:dyDescent="0.35">
      <c r="A1031" s="39"/>
      <c r="B1031" s="27" t="str" cm="1">
        <f t="array" ref="B1031">IF(
   OR(A1031="", $B$9="", $B$10="", $B$11=""),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1" s="27" t="str" cm="1">
        <f t="array" ref="C1031">IF(
   A1031="",
   "",
   _xlfn.LET(
      _xlpm.result,
      IFERROR(
         _xlfn.XLOOKUP(
            1,
            (Table8[رقم الصنف]=A1031) *
            (IF($B$9="الكل",1, YEAR('ادخال البيانات'!$N$3:$N$1164) = VALUE($B$9))) *
            (IF($B$10="الكل",1, MONTH('ادخال البيانات'!$N$3:$N$1164) = VALUE($B$10))) *
            (IF($B$11="الكل",1, INT((DAY('ادخال البيانات'!$N$3:$N$1164)-1)/7)+1 = VALUE($B$11))),
            'ادخال البيانات'!$C$3:$C$1164
         ),
         ""
      ),
      IF(_xlpm.result="", "", _xlpm.result)
   )
)</f>
        <v/>
      </c>
      <c r="D1031" s="27" t="str" cm="1">
        <f t="array" ref="D1031">IF(
   OR(A1031="", $B$9="", $B$10="", $B$11=""),
   "",
   _xlfn.LET(
      _xlpm.result,
      IFERROR(
         _xlfn.XLOOKUP(
            1,
            (Table8[رقم الصنف]=A1031) *
            (IF($B$9="الكل",1, YEAR('ادخال البيانات'!$N$3:$N$1164)=VALUE($B$9))) *
            (IF($B$10="الكل",1, MONTH('ادخال البيانات'!$N$3:$N$1164)=VALUE($B$10))) *
            (IF($B$11="الكل",1, INT((DAY('ادخال البيانات'!$N$3:$N$1164)-1)/7)+1 = VALUE($B$11))),
            'ادخال البيانات'!$D$3:$D$1164
         ),
         ""
      ),
      IF(_xlpm.result="", "", _xlpm.result)
   )
)</f>
        <v/>
      </c>
      <c r="E1031" s="27" t="str" cm="1">
        <f t="array" ref="E1031">IF(
   A1031="",
   "",
   _xlfn.LET(
      _xlpm.result,
      IFERROR(
         _xlfn.XLOOKUP(
            1,
            (Table8[رقم الصنف]=A1031) *
            (IF($B$9="الكل",1, YEAR('ادخال البيانات'!$N$3:$N$1164)=VALUE($B$9))) *
            (IF($B$10="الكل",1, MONTH('ادخال البيانات'!$N$3:$N$1164)=VALUE($B$10))) *
            (IF($B$11="الكل",1, INT((DAY('ادخال البيانات'!$N$3:$N$1164)-1)/7)+1 = VALUE($B$11))),
            'ادخال البيانات'!$E$3:$E$1164
         ),
         ""
      ),
      IF(_xlpm.result="", "", _xlpm.result)
   )
)</f>
        <v/>
      </c>
      <c r="F1031" s="27" t="str" cm="1">
        <f t="array" ref="F1031">IF(
   A1031="",
   "",
   _xlfn.LET(
      _xlpm.result,
      IFERROR(
         _xlfn.XLOOKUP(
            1,
            (Table8[رقم الصنف]=A1031) *
            (IF($B$9="الكل",1, YEAR('ادخال البيانات'!$N$3:$N$1164) = VALUE($B$9))) *
            (IF($B$10="الكل",1, MONTH('ادخال البيانات'!$N$3:$N$1164) = VALUE($B$10))) *
            (IF($B$11="الكل",1, INT((DAY('ادخال البيانات'!$N$3:$N$1164)-1)/7)+1 = VALUE($B$11))),
            'ادخال البيانات'!$F$3:$F$1164
         ),
         ""
      ),
      IF(_xlpm.result="", "", _xlpm.result)
   )
)</f>
        <v/>
      </c>
      <c r="G1031" s="27" t="str" cm="1">
        <f t="array" ref="G1031">IF(
   A1031="",
   "",
   _xlfn.LET(
      _xlpm.result,
      IFERROR(
         _xlfn.XLOOKUP(
            1,
            (Table8[رقم الصنف]=A1031) *
            (IF($B$9="الكل",1, YEAR('ادخال البيانات'!$N$3:$N$1164)=VALUE($B$9))) *
            (IF($B$10="الكل",1, MONTH('ادخال البيانات'!$N$3:$N$1164)=VALUE($B$10))) *
            (IF($B$11="الكل",1, INT((DAY('ادخال البيانات'!$N$3:$N$1164)-1)/7)+1 = VALUE($B$11))),
            'ادخال البيانات'!$G$3:$G$1164
         ),
         ""
      ),
      IF(_xlpm.result="", "", _xlpm.result)
   )
)</f>
        <v/>
      </c>
      <c r="H1031" s="27" t="str" cm="1">
        <f t="array" ref="H1031">IF(
   A1031="",
   "",
   _xlfn.LET(
      _xlpm.result,
      IFERROR(
         _xlfn.XLOOKUP(
            1,
            (Table8[رقم الصنف]=A1031) *
            (IF($B$9="الكل",1, YEAR('ادخال البيانات'!$N$3:$N$1164)=VALUE($B$9))) *
            (IF($B$10="الكل",1, MONTH('ادخال البيانات'!$N$3:$N$1164)=VALUE($B$10))) *
            (IF($B$11="الكل",1, INT((DAY('ادخال البيانات'!$N$3:$N$1164)-1)/7)+1 = VALUE($B$11))),
            'ادخال البيانات'!$H$3:$H$1164
         ),
         ""
      ),
      IF(_xlpm.result="", "", _xlpm.result)
   )
)</f>
        <v/>
      </c>
      <c r="I1031" s="27" t="str" cm="1">
        <f t="array" ref="I1031">IF(
   A1031="",
   "",
   _xlfn.LET(
      _xlpm.result,
      IFERROR(
         _xlfn.XLOOKUP(
            1,
            (Table8[رقم الصنف]=A1031) *
            (IF($B$9="الكل",1, YEAR('ادخال البيانات'!$N$3:$N$1164)=VALUE($B$9))) *
            (IF($B$10="الكل",1, MONTH('ادخال البيانات'!$N$3:$N$1164)=VALUE($B$10))) *
            (IF($B$11="الكل",1, INT((DAY('ادخال البيانات'!$N$3:$N$1164)-1)/7)+1 = VALUE($B$11))),
            'ادخال البيانات'!$I$3:$I$1164
         ),
         ""
      ),
      IF(_xlpm.result="", "", _xlpm.result)
   )
)</f>
        <v/>
      </c>
      <c r="J1031" s="27" t="str" cm="1">
        <f t="array" ref="J1031">IF(
   A1031="",
   "",
   _xlfn.LET(
      _xlpm.result,
      IFERROR(
         _xlfn.XLOOKUP(
            1,
            (Table8[رقم الصنف]=A1031) *
            (IF($B$9="الكل",1, YEAR('ادخال البيانات'!$N$3:$N$1164)=VALUE($B$9))) *
            (IF($B$10="الكل",1, MONTH('ادخال البيانات'!$N$3:$N$1164)=VALUE($B$10))) *
            (IF($B$11="الكل",1, INT((DAY('ادخال البيانات'!$N$3:$N$1164)-1)/7)+1 = VALUE($B$11))),
            'ادخال البيانات'!$J$3:$J$1164
         ),
         ""
      ),
      IF(_xlpm.result="", "", _xlpm.result)
   )
)</f>
        <v/>
      </c>
      <c r="K1031" s="27" t="str" cm="1">
        <f t="array" ref="K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1" s="27" t="str" cm="1">
        <f t="array" ref="L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1" s="27" t="str" cm="1">
        <f t="array" ref="M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1" s="28" t="str" cm="1">
        <f t="array" ref="N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1" s="28" t="str" cm="1">
        <f t="array" ref="O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1" s="27" t="str" cm="1">
        <f t="array" ref="P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Table8[جهة العطل]
         ),
         ""
      ),
      IF(_xlpm.result="", "", _xlpm.result)
   )
)</f>
        <v/>
      </c>
      <c r="Q1031" s="27" t="str" cm="1">
        <f t="array" ref="Q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Table8[المركز]
         ),
         ""
      ),
      IF(_xlpm.result="", "", _xlpm.result)
   )
)</f>
        <v/>
      </c>
      <c r="R1031" s="27" t="str" cm="1">
        <f t="array" ref="R1031">IF(
   A1031="",
   "",
   _xlfn.LET(
      _xlpm.result,
      IFERROR(
         _xlfn.XLOOKUP(
            1,
            (Table8[رقم الصنف]=A1031) *
            (IF($B$9="الكل",1, YEAR('ادخال البيانات'!$N$3:$N$1164) = VALUE($B$9))) *
            (IF($B$10="الكل",1, MONTH('ادخال البيانات'!$N$3:$N$1164) = VALUE($B$10))) *
            (IF($B$11="الكل",1, INT((DAY('ادخال البيانات'!$N$3:$N$1164) - 1) / 7) + 1 = VALUE($B$11))),
            Table8[ملاحظة]
         ),
         ""
      ),
      IF(_xlpm.result="", "", _xlpm.result)
   )
)</f>
        <v/>
      </c>
      <c r="S1031" s="46" t="str">
        <f t="shared" ca="1" si="16"/>
        <v/>
      </c>
    </row>
    <row r="1032" spans="1:19" ht="15.6" thickTop="1" thickBot="1" x14ac:dyDescent="0.35">
      <c r="A1032" s="39"/>
      <c r="B1032" s="27" t="str" cm="1">
        <f t="array" ref="B1032">IF(
   OR(A1032="", $B$9="", $B$10="", $B$11=""),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2" s="27" t="str" cm="1">
        <f t="array" ref="C1032">IF(
   A1032="",
   "",
   _xlfn.LET(
      _xlpm.result,
      IFERROR(
         _xlfn.XLOOKUP(
            1,
            (Table8[رقم الصنف]=A1032) *
            (IF($B$9="الكل",1, YEAR('ادخال البيانات'!$N$3:$N$1164) = VALUE($B$9))) *
            (IF($B$10="الكل",1, MONTH('ادخال البيانات'!$N$3:$N$1164) = VALUE($B$10))) *
            (IF($B$11="الكل",1, INT((DAY('ادخال البيانات'!$N$3:$N$1164)-1)/7)+1 = VALUE($B$11))),
            'ادخال البيانات'!$C$3:$C$1164
         ),
         ""
      ),
      IF(_xlpm.result="", "", _xlpm.result)
   )
)</f>
        <v/>
      </c>
      <c r="D1032" s="27" t="str" cm="1">
        <f t="array" ref="D1032">IF(
   OR(A1032="", $B$9="", $B$10="", $B$11=""),
   "",
   _xlfn.LET(
      _xlpm.result,
      IFERROR(
         _xlfn.XLOOKUP(
            1,
            (Table8[رقم الصنف]=A1032) *
            (IF($B$9="الكل",1, YEAR('ادخال البيانات'!$N$3:$N$1164)=VALUE($B$9))) *
            (IF($B$10="الكل",1, MONTH('ادخال البيانات'!$N$3:$N$1164)=VALUE($B$10))) *
            (IF($B$11="الكل",1, INT((DAY('ادخال البيانات'!$N$3:$N$1164)-1)/7)+1 = VALUE($B$11))),
            'ادخال البيانات'!$D$3:$D$1164
         ),
         ""
      ),
      IF(_xlpm.result="", "", _xlpm.result)
   )
)</f>
        <v/>
      </c>
      <c r="E1032" s="27" t="str" cm="1">
        <f t="array" ref="E1032">IF(
   A1032="",
   "",
   _xlfn.LET(
      _xlpm.result,
      IFERROR(
         _xlfn.XLOOKUP(
            1,
            (Table8[رقم الصنف]=A1032) *
            (IF($B$9="الكل",1, YEAR('ادخال البيانات'!$N$3:$N$1164)=VALUE($B$9))) *
            (IF($B$10="الكل",1, MONTH('ادخال البيانات'!$N$3:$N$1164)=VALUE($B$10))) *
            (IF($B$11="الكل",1, INT((DAY('ادخال البيانات'!$N$3:$N$1164)-1)/7)+1 = VALUE($B$11))),
            'ادخال البيانات'!$E$3:$E$1164
         ),
         ""
      ),
      IF(_xlpm.result="", "", _xlpm.result)
   )
)</f>
        <v/>
      </c>
      <c r="F1032" s="27" t="str" cm="1">
        <f t="array" ref="F1032">IF(
   A1032="",
   "",
   _xlfn.LET(
      _xlpm.result,
      IFERROR(
         _xlfn.XLOOKUP(
            1,
            (Table8[رقم الصنف]=A1032) *
            (IF($B$9="الكل",1, YEAR('ادخال البيانات'!$N$3:$N$1164) = VALUE($B$9))) *
            (IF($B$10="الكل",1, MONTH('ادخال البيانات'!$N$3:$N$1164) = VALUE($B$10))) *
            (IF($B$11="الكل",1, INT((DAY('ادخال البيانات'!$N$3:$N$1164)-1)/7)+1 = VALUE($B$11))),
            'ادخال البيانات'!$F$3:$F$1164
         ),
         ""
      ),
      IF(_xlpm.result="", "", _xlpm.result)
   )
)</f>
        <v/>
      </c>
      <c r="G1032" s="27" t="str" cm="1">
        <f t="array" ref="G1032">IF(
   A1032="",
   "",
   _xlfn.LET(
      _xlpm.result,
      IFERROR(
         _xlfn.XLOOKUP(
            1,
            (Table8[رقم الصنف]=A1032) *
            (IF($B$9="الكل",1, YEAR('ادخال البيانات'!$N$3:$N$1164)=VALUE($B$9))) *
            (IF($B$10="الكل",1, MONTH('ادخال البيانات'!$N$3:$N$1164)=VALUE($B$10))) *
            (IF($B$11="الكل",1, INT((DAY('ادخال البيانات'!$N$3:$N$1164)-1)/7)+1 = VALUE($B$11))),
            'ادخال البيانات'!$G$3:$G$1164
         ),
         ""
      ),
      IF(_xlpm.result="", "", _xlpm.result)
   )
)</f>
        <v/>
      </c>
      <c r="H1032" s="27" t="str" cm="1">
        <f t="array" ref="H1032">IF(
   A1032="",
   "",
   _xlfn.LET(
      _xlpm.result,
      IFERROR(
         _xlfn.XLOOKUP(
            1,
            (Table8[رقم الصنف]=A1032) *
            (IF($B$9="الكل",1, YEAR('ادخال البيانات'!$N$3:$N$1164)=VALUE($B$9))) *
            (IF($B$10="الكل",1, MONTH('ادخال البيانات'!$N$3:$N$1164)=VALUE($B$10))) *
            (IF($B$11="الكل",1, INT((DAY('ادخال البيانات'!$N$3:$N$1164)-1)/7)+1 = VALUE($B$11))),
            'ادخال البيانات'!$H$3:$H$1164
         ),
         ""
      ),
      IF(_xlpm.result="", "", _xlpm.result)
   )
)</f>
        <v/>
      </c>
      <c r="I1032" s="27" t="str" cm="1">
        <f t="array" ref="I1032">IF(
   A1032="",
   "",
   _xlfn.LET(
      _xlpm.result,
      IFERROR(
         _xlfn.XLOOKUP(
            1,
            (Table8[رقم الصنف]=A1032) *
            (IF($B$9="الكل",1, YEAR('ادخال البيانات'!$N$3:$N$1164)=VALUE($B$9))) *
            (IF($B$10="الكل",1, MONTH('ادخال البيانات'!$N$3:$N$1164)=VALUE($B$10))) *
            (IF($B$11="الكل",1, INT((DAY('ادخال البيانات'!$N$3:$N$1164)-1)/7)+1 = VALUE($B$11))),
            'ادخال البيانات'!$I$3:$I$1164
         ),
         ""
      ),
      IF(_xlpm.result="", "", _xlpm.result)
   )
)</f>
        <v/>
      </c>
      <c r="J1032" s="27" t="str" cm="1">
        <f t="array" ref="J1032">IF(
   A1032="",
   "",
   _xlfn.LET(
      _xlpm.result,
      IFERROR(
         _xlfn.XLOOKUP(
            1,
            (Table8[رقم الصنف]=A1032) *
            (IF($B$9="الكل",1, YEAR('ادخال البيانات'!$N$3:$N$1164)=VALUE($B$9))) *
            (IF($B$10="الكل",1, MONTH('ادخال البيانات'!$N$3:$N$1164)=VALUE($B$10))) *
            (IF($B$11="الكل",1, INT((DAY('ادخال البيانات'!$N$3:$N$1164)-1)/7)+1 = VALUE($B$11))),
            'ادخال البيانات'!$J$3:$J$1164
         ),
         ""
      ),
      IF(_xlpm.result="", "", _xlpm.result)
   )
)</f>
        <v/>
      </c>
      <c r="K1032" s="27" t="str" cm="1">
        <f t="array" ref="K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2" s="27" t="str" cm="1">
        <f t="array" ref="L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2" s="27" t="str" cm="1">
        <f t="array" ref="M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2" s="28" t="str" cm="1">
        <f t="array" ref="N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2" s="28" t="str" cm="1">
        <f t="array" ref="O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2" s="27" t="str" cm="1">
        <f t="array" ref="P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Table8[جهة العطل]
         ),
         ""
      ),
      IF(_xlpm.result="", "", _xlpm.result)
   )
)</f>
        <v/>
      </c>
      <c r="Q1032" s="27" t="str" cm="1">
        <f t="array" ref="Q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Table8[المركز]
         ),
         ""
      ),
      IF(_xlpm.result="", "", _xlpm.result)
   )
)</f>
        <v/>
      </c>
      <c r="R1032" s="27" t="str" cm="1">
        <f t="array" ref="R1032">IF(
   A1032="",
   "",
   _xlfn.LET(
      _xlpm.result,
      IFERROR(
         _xlfn.XLOOKUP(
            1,
            (Table8[رقم الصنف]=A1032) *
            (IF($B$9="الكل",1, YEAR('ادخال البيانات'!$N$3:$N$1164) = VALUE($B$9))) *
            (IF($B$10="الكل",1, MONTH('ادخال البيانات'!$N$3:$N$1164) = VALUE($B$10))) *
            (IF($B$11="الكل",1, INT((DAY('ادخال البيانات'!$N$3:$N$1164) - 1) / 7) + 1 = VALUE($B$11))),
            Table8[ملاحظة]
         ),
         ""
      ),
      IF(_xlpm.result="", "", _xlpm.result)
   )
)</f>
        <v/>
      </c>
      <c r="S1032" s="46" t="str">
        <f t="shared" ca="1" si="16"/>
        <v/>
      </c>
    </row>
    <row r="1033" spans="1:19" ht="15.6" thickTop="1" thickBot="1" x14ac:dyDescent="0.35">
      <c r="A1033" s="39"/>
      <c r="B1033" s="27" t="str" cm="1">
        <f t="array" ref="B1033">IF(
   OR(A1033="", $B$9="", $B$10="", $B$11=""),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3" s="27" t="str" cm="1">
        <f t="array" ref="C1033">IF(
   A1033="",
   "",
   _xlfn.LET(
      _xlpm.result,
      IFERROR(
         _xlfn.XLOOKUP(
            1,
            (Table8[رقم الصنف]=A1033) *
            (IF($B$9="الكل",1, YEAR('ادخال البيانات'!$N$3:$N$1164) = VALUE($B$9))) *
            (IF($B$10="الكل",1, MONTH('ادخال البيانات'!$N$3:$N$1164) = VALUE($B$10))) *
            (IF($B$11="الكل",1, INT((DAY('ادخال البيانات'!$N$3:$N$1164)-1)/7)+1 = VALUE($B$11))),
            'ادخال البيانات'!$C$3:$C$1164
         ),
         ""
      ),
      IF(_xlpm.result="", "", _xlpm.result)
   )
)</f>
        <v/>
      </c>
      <c r="D1033" s="27" t="str" cm="1">
        <f t="array" ref="D1033">IF(
   OR(A1033="", $B$9="", $B$10="", $B$11=""),
   "",
   _xlfn.LET(
      _xlpm.result,
      IFERROR(
         _xlfn.XLOOKUP(
            1,
            (Table8[رقم الصنف]=A1033) *
            (IF($B$9="الكل",1, YEAR('ادخال البيانات'!$N$3:$N$1164)=VALUE($B$9))) *
            (IF($B$10="الكل",1, MONTH('ادخال البيانات'!$N$3:$N$1164)=VALUE($B$10))) *
            (IF($B$11="الكل",1, INT((DAY('ادخال البيانات'!$N$3:$N$1164)-1)/7)+1 = VALUE($B$11))),
            'ادخال البيانات'!$D$3:$D$1164
         ),
         ""
      ),
      IF(_xlpm.result="", "", _xlpm.result)
   )
)</f>
        <v/>
      </c>
      <c r="E1033" s="27" t="str" cm="1">
        <f t="array" ref="E1033">IF(
   A1033="",
   "",
   _xlfn.LET(
      _xlpm.result,
      IFERROR(
         _xlfn.XLOOKUP(
            1,
            (Table8[رقم الصنف]=A1033) *
            (IF($B$9="الكل",1, YEAR('ادخال البيانات'!$N$3:$N$1164)=VALUE($B$9))) *
            (IF($B$10="الكل",1, MONTH('ادخال البيانات'!$N$3:$N$1164)=VALUE($B$10))) *
            (IF($B$11="الكل",1, INT((DAY('ادخال البيانات'!$N$3:$N$1164)-1)/7)+1 = VALUE($B$11))),
            'ادخال البيانات'!$E$3:$E$1164
         ),
         ""
      ),
      IF(_xlpm.result="", "", _xlpm.result)
   )
)</f>
        <v/>
      </c>
      <c r="F1033" s="27" t="str" cm="1">
        <f t="array" ref="F1033">IF(
   A1033="",
   "",
   _xlfn.LET(
      _xlpm.result,
      IFERROR(
         _xlfn.XLOOKUP(
            1,
            (Table8[رقم الصنف]=A1033) *
            (IF($B$9="الكل",1, YEAR('ادخال البيانات'!$N$3:$N$1164) = VALUE($B$9))) *
            (IF($B$10="الكل",1, MONTH('ادخال البيانات'!$N$3:$N$1164) = VALUE($B$10))) *
            (IF($B$11="الكل",1, INT((DAY('ادخال البيانات'!$N$3:$N$1164)-1)/7)+1 = VALUE($B$11))),
            'ادخال البيانات'!$F$3:$F$1164
         ),
         ""
      ),
      IF(_xlpm.result="", "", _xlpm.result)
   )
)</f>
        <v/>
      </c>
      <c r="G1033" s="27" t="str" cm="1">
        <f t="array" ref="G1033">IF(
   A1033="",
   "",
   _xlfn.LET(
      _xlpm.result,
      IFERROR(
         _xlfn.XLOOKUP(
            1,
            (Table8[رقم الصنف]=A1033) *
            (IF($B$9="الكل",1, YEAR('ادخال البيانات'!$N$3:$N$1164)=VALUE($B$9))) *
            (IF($B$10="الكل",1, MONTH('ادخال البيانات'!$N$3:$N$1164)=VALUE($B$10))) *
            (IF($B$11="الكل",1, INT((DAY('ادخال البيانات'!$N$3:$N$1164)-1)/7)+1 = VALUE($B$11))),
            'ادخال البيانات'!$G$3:$G$1164
         ),
         ""
      ),
      IF(_xlpm.result="", "", _xlpm.result)
   )
)</f>
        <v/>
      </c>
      <c r="H1033" s="27" t="str" cm="1">
        <f t="array" ref="H1033">IF(
   A1033="",
   "",
   _xlfn.LET(
      _xlpm.result,
      IFERROR(
         _xlfn.XLOOKUP(
            1,
            (Table8[رقم الصنف]=A1033) *
            (IF($B$9="الكل",1, YEAR('ادخال البيانات'!$N$3:$N$1164)=VALUE($B$9))) *
            (IF($B$10="الكل",1, MONTH('ادخال البيانات'!$N$3:$N$1164)=VALUE($B$10))) *
            (IF($B$11="الكل",1, INT((DAY('ادخال البيانات'!$N$3:$N$1164)-1)/7)+1 = VALUE($B$11))),
            'ادخال البيانات'!$H$3:$H$1164
         ),
         ""
      ),
      IF(_xlpm.result="", "", _xlpm.result)
   )
)</f>
        <v/>
      </c>
      <c r="I1033" s="27" t="str" cm="1">
        <f t="array" ref="I1033">IF(
   A1033="",
   "",
   _xlfn.LET(
      _xlpm.result,
      IFERROR(
         _xlfn.XLOOKUP(
            1,
            (Table8[رقم الصنف]=A1033) *
            (IF($B$9="الكل",1, YEAR('ادخال البيانات'!$N$3:$N$1164)=VALUE($B$9))) *
            (IF($B$10="الكل",1, MONTH('ادخال البيانات'!$N$3:$N$1164)=VALUE($B$10))) *
            (IF($B$11="الكل",1, INT((DAY('ادخال البيانات'!$N$3:$N$1164)-1)/7)+1 = VALUE($B$11))),
            'ادخال البيانات'!$I$3:$I$1164
         ),
         ""
      ),
      IF(_xlpm.result="", "", _xlpm.result)
   )
)</f>
        <v/>
      </c>
      <c r="J1033" s="27" t="str" cm="1">
        <f t="array" ref="J1033">IF(
   A1033="",
   "",
   _xlfn.LET(
      _xlpm.result,
      IFERROR(
         _xlfn.XLOOKUP(
            1,
            (Table8[رقم الصنف]=A1033) *
            (IF($B$9="الكل",1, YEAR('ادخال البيانات'!$N$3:$N$1164)=VALUE($B$9))) *
            (IF($B$10="الكل",1, MONTH('ادخال البيانات'!$N$3:$N$1164)=VALUE($B$10))) *
            (IF($B$11="الكل",1, INT((DAY('ادخال البيانات'!$N$3:$N$1164)-1)/7)+1 = VALUE($B$11))),
            'ادخال البيانات'!$J$3:$J$1164
         ),
         ""
      ),
      IF(_xlpm.result="", "", _xlpm.result)
   )
)</f>
        <v/>
      </c>
      <c r="K1033" s="27" t="str" cm="1">
        <f t="array" ref="K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3" s="27" t="str" cm="1">
        <f t="array" ref="L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3" s="27" t="str" cm="1">
        <f t="array" ref="M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3" s="28" t="str" cm="1">
        <f t="array" ref="N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3" s="28" t="str" cm="1">
        <f t="array" ref="O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3" s="27" t="str" cm="1">
        <f t="array" ref="P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Table8[جهة العطل]
         ),
         ""
      ),
      IF(_xlpm.result="", "", _xlpm.result)
   )
)</f>
        <v/>
      </c>
      <c r="Q1033" s="27" t="str" cm="1">
        <f t="array" ref="Q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Table8[المركز]
         ),
         ""
      ),
      IF(_xlpm.result="", "", _xlpm.result)
   )
)</f>
        <v/>
      </c>
      <c r="R1033" s="27" t="str" cm="1">
        <f t="array" ref="R1033">IF(
   A1033="",
   "",
   _xlfn.LET(
      _xlpm.result,
      IFERROR(
         _xlfn.XLOOKUP(
            1,
            (Table8[رقم الصنف]=A1033) *
            (IF($B$9="الكل",1, YEAR('ادخال البيانات'!$N$3:$N$1164) = VALUE($B$9))) *
            (IF($B$10="الكل",1, MONTH('ادخال البيانات'!$N$3:$N$1164) = VALUE($B$10))) *
            (IF($B$11="الكل",1, INT((DAY('ادخال البيانات'!$N$3:$N$1164) - 1) / 7) + 1 = VALUE($B$11))),
            Table8[ملاحظة]
         ),
         ""
      ),
      IF(_xlpm.result="", "", _xlpm.result)
   )
)</f>
        <v/>
      </c>
      <c r="S1033" s="46" t="str">
        <f t="shared" ca="1" si="16"/>
        <v/>
      </c>
    </row>
    <row r="1034" spans="1:19" ht="15.6" thickTop="1" thickBot="1" x14ac:dyDescent="0.35">
      <c r="A1034" s="39"/>
      <c r="B1034" s="27" t="str" cm="1">
        <f t="array" ref="B1034">IF(
   OR(A1034="", $B$9="", $B$10="", $B$11=""),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4" s="27" t="str" cm="1">
        <f t="array" ref="C1034">IF(
   A1034="",
   "",
   _xlfn.LET(
      _xlpm.result,
      IFERROR(
         _xlfn.XLOOKUP(
            1,
            (Table8[رقم الصنف]=A1034) *
            (IF($B$9="الكل",1, YEAR('ادخال البيانات'!$N$3:$N$1164) = VALUE($B$9))) *
            (IF($B$10="الكل",1, MONTH('ادخال البيانات'!$N$3:$N$1164) = VALUE($B$10))) *
            (IF($B$11="الكل",1, INT((DAY('ادخال البيانات'!$N$3:$N$1164)-1)/7)+1 = VALUE($B$11))),
            'ادخال البيانات'!$C$3:$C$1164
         ),
         ""
      ),
      IF(_xlpm.result="", "", _xlpm.result)
   )
)</f>
        <v/>
      </c>
      <c r="D1034" s="27" t="str" cm="1">
        <f t="array" ref="D1034">IF(
   OR(A1034="", $B$9="", $B$10="", $B$11=""),
   "",
   _xlfn.LET(
      _xlpm.result,
      IFERROR(
         _xlfn.XLOOKUP(
            1,
            (Table8[رقم الصنف]=A1034) *
            (IF($B$9="الكل",1, YEAR('ادخال البيانات'!$N$3:$N$1164)=VALUE($B$9))) *
            (IF($B$10="الكل",1, MONTH('ادخال البيانات'!$N$3:$N$1164)=VALUE($B$10))) *
            (IF($B$11="الكل",1, INT((DAY('ادخال البيانات'!$N$3:$N$1164)-1)/7)+1 = VALUE($B$11))),
            'ادخال البيانات'!$D$3:$D$1164
         ),
         ""
      ),
      IF(_xlpm.result="", "", _xlpm.result)
   )
)</f>
        <v/>
      </c>
      <c r="E1034" s="27" t="str" cm="1">
        <f t="array" ref="E1034">IF(
   A1034="",
   "",
   _xlfn.LET(
      _xlpm.result,
      IFERROR(
         _xlfn.XLOOKUP(
            1,
            (Table8[رقم الصنف]=A1034) *
            (IF($B$9="الكل",1, YEAR('ادخال البيانات'!$N$3:$N$1164)=VALUE($B$9))) *
            (IF($B$10="الكل",1, MONTH('ادخال البيانات'!$N$3:$N$1164)=VALUE($B$10))) *
            (IF($B$11="الكل",1, INT((DAY('ادخال البيانات'!$N$3:$N$1164)-1)/7)+1 = VALUE($B$11))),
            'ادخال البيانات'!$E$3:$E$1164
         ),
         ""
      ),
      IF(_xlpm.result="", "", _xlpm.result)
   )
)</f>
        <v/>
      </c>
      <c r="F1034" s="27" t="str" cm="1">
        <f t="array" ref="F1034">IF(
   A1034="",
   "",
   _xlfn.LET(
      _xlpm.result,
      IFERROR(
         _xlfn.XLOOKUP(
            1,
            (Table8[رقم الصنف]=A1034) *
            (IF($B$9="الكل",1, YEAR('ادخال البيانات'!$N$3:$N$1164) = VALUE($B$9))) *
            (IF($B$10="الكل",1, MONTH('ادخال البيانات'!$N$3:$N$1164) = VALUE($B$10))) *
            (IF($B$11="الكل",1, INT((DAY('ادخال البيانات'!$N$3:$N$1164)-1)/7)+1 = VALUE($B$11))),
            'ادخال البيانات'!$F$3:$F$1164
         ),
         ""
      ),
      IF(_xlpm.result="", "", _xlpm.result)
   )
)</f>
        <v/>
      </c>
      <c r="G1034" s="27" t="str" cm="1">
        <f t="array" ref="G1034">IF(
   A1034="",
   "",
   _xlfn.LET(
      _xlpm.result,
      IFERROR(
         _xlfn.XLOOKUP(
            1,
            (Table8[رقم الصنف]=A1034) *
            (IF($B$9="الكل",1, YEAR('ادخال البيانات'!$N$3:$N$1164)=VALUE($B$9))) *
            (IF($B$10="الكل",1, MONTH('ادخال البيانات'!$N$3:$N$1164)=VALUE($B$10))) *
            (IF($B$11="الكل",1, INT((DAY('ادخال البيانات'!$N$3:$N$1164)-1)/7)+1 = VALUE($B$11))),
            'ادخال البيانات'!$G$3:$G$1164
         ),
         ""
      ),
      IF(_xlpm.result="", "", _xlpm.result)
   )
)</f>
        <v/>
      </c>
      <c r="H1034" s="27" t="str" cm="1">
        <f t="array" ref="H1034">IF(
   A1034="",
   "",
   _xlfn.LET(
      _xlpm.result,
      IFERROR(
         _xlfn.XLOOKUP(
            1,
            (Table8[رقم الصنف]=A1034) *
            (IF($B$9="الكل",1, YEAR('ادخال البيانات'!$N$3:$N$1164)=VALUE($B$9))) *
            (IF($B$10="الكل",1, MONTH('ادخال البيانات'!$N$3:$N$1164)=VALUE($B$10))) *
            (IF($B$11="الكل",1, INT((DAY('ادخال البيانات'!$N$3:$N$1164)-1)/7)+1 = VALUE($B$11))),
            'ادخال البيانات'!$H$3:$H$1164
         ),
         ""
      ),
      IF(_xlpm.result="", "", _xlpm.result)
   )
)</f>
        <v/>
      </c>
      <c r="I1034" s="27" t="str" cm="1">
        <f t="array" ref="I1034">IF(
   A1034="",
   "",
   _xlfn.LET(
      _xlpm.result,
      IFERROR(
         _xlfn.XLOOKUP(
            1,
            (Table8[رقم الصنف]=A1034) *
            (IF($B$9="الكل",1, YEAR('ادخال البيانات'!$N$3:$N$1164)=VALUE($B$9))) *
            (IF($B$10="الكل",1, MONTH('ادخال البيانات'!$N$3:$N$1164)=VALUE($B$10))) *
            (IF($B$11="الكل",1, INT((DAY('ادخال البيانات'!$N$3:$N$1164)-1)/7)+1 = VALUE($B$11))),
            'ادخال البيانات'!$I$3:$I$1164
         ),
         ""
      ),
      IF(_xlpm.result="", "", _xlpm.result)
   )
)</f>
        <v/>
      </c>
      <c r="J1034" s="27" t="str" cm="1">
        <f t="array" ref="J1034">IF(
   A1034="",
   "",
   _xlfn.LET(
      _xlpm.result,
      IFERROR(
         _xlfn.XLOOKUP(
            1,
            (Table8[رقم الصنف]=A1034) *
            (IF($B$9="الكل",1, YEAR('ادخال البيانات'!$N$3:$N$1164)=VALUE($B$9))) *
            (IF($B$10="الكل",1, MONTH('ادخال البيانات'!$N$3:$N$1164)=VALUE($B$10))) *
            (IF($B$11="الكل",1, INT((DAY('ادخال البيانات'!$N$3:$N$1164)-1)/7)+1 = VALUE($B$11))),
            'ادخال البيانات'!$J$3:$J$1164
         ),
         ""
      ),
      IF(_xlpm.result="", "", _xlpm.result)
   )
)</f>
        <v/>
      </c>
      <c r="K1034" s="27" t="str" cm="1">
        <f t="array" ref="K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4" s="27" t="str" cm="1">
        <f t="array" ref="L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4" s="27" t="str" cm="1">
        <f t="array" ref="M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4" s="28" t="str" cm="1">
        <f t="array" ref="N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4" s="28" t="str" cm="1">
        <f t="array" ref="O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4" s="27" t="str" cm="1">
        <f t="array" ref="P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Table8[جهة العطل]
         ),
         ""
      ),
      IF(_xlpm.result="", "", _xlpm.result)
   )
)</f>
        <v/>
      </c>
      <c r="Q1034" s="27" t="str" cm="1">
        <f t="array" ref="Q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Table8[المركز]
         ),
         ""
      ),
      IF(_xlpm.result="", "", _xlpm.result)
   )
)</f>
        <v/>
      </c>
      <c r="R1034" s="27" t="str" cm="1">
        <f t="array" ref="R1034">IF(
   A1034="",
   "",
   _xlfn.LET(
      _xlpm.result,
      IFERROR(
         _xlfn.XLOOKUP(
            1,
            (Table8[رقم الصنف]=A1034) *
            (IF($B$9="الكل",1, YEAR('ادخال البيانات'!$N$3:$N$1164) = VALUE($B$9))) *
            (IF($B$10="الكل",1, MONTH('ادخال البيانات'!$N$3:$N$1164) = VALUE($B$10))) *
            (IF($B$11="الكل",1, INT((DAY('ادخال البيانات'!$N$3:$N$1164) - 1) / 7) + 1 = VALUE($B$11))),
            Table8[ملاحظة]
         ),
         ""
      ),
      IF(_xlpm.result="", "", _xlpm.result)
   )
)</f>
        <v/>
      </c>
      <c r="S1034" s="46" t="str">
        <f t="shared" ca="1" si="16"/>
        <v/>
      </c>
    </row>
    <row r="1035" spans="1:19" ht="15.6" thickTop="1" thickBot="1" x14ac:dyDescent="0.35">
      <c r="A1035" s="39"/>
      <c r="B1035" s="27" t="str" cm="1">
        <f t="array" ref="B1035">IF(
   OR(A1035="", $B$9="", $B$10="", $B$11=""),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5" s="27" t="str" cm="1">
        <f t="array" ref="C1035">IF(
   A1035="",
   "",
   _xlfn.LET(
      _xlpm.result,
      IFERROR(
         _xlfn.XLOOKUP(
            1,
            (Table8[رقم الصنف]=A1035) *
            (IF($B$9="الكل",1, YEAR('ادخال البيانات'!$N$3:$N$1164) = VALUE($B$9))) *
            (IF($B$10="الكل",1, MONTH('ادخال البيانات'!$N$3:$N$1164) = VALUE($B$10))) *
            (IF($B$11="الكل",1, INT((DAY('ادخال البيانات'!$N$3:$N$1164)-1)/7)+1 = VALUE($B$11))),
            'ادخال البيانات'!$C$3:$C$1164
         ),
         ""
      ),
      IF(_xlpm.result="", "", _xlpm.result)
   )
)</f>
        <v/>
      </c>
      <c r="D1035" s="27" t="str" cm="1">
        <f t="array" ref="D1035">IF(
   OR(A1035="", $B$9="", $B$10="", $B$11=""),
   "",
   _xlfn.LET(
      _xlpm.result,
      IFERROR(
         _xlfn.XLOOKUP(
            1,
            (Table8[رقم الصنف]=A1035) *
            (IF($B$9="الكل",1, YEAR('ادخال البيانات'!$N$3:$N$1164)=VALUE($B$9))) *
            (IF($B$10="الكل",1, MONTH('ادخال البيانات'!$N$3:$N$1164)=VALUE($B$10))) *
            (IF($B$11="الكل",1, INT((DAY('ادخال البيانات'!$N$3:$N$1164)-1)/7)+1 = VALUE($B$11))),
            'ادخال البيانات'!$D$3:$D$1164
         ),
         ""
      ),
      IF(_xlpm.result="", "", _xlpm.result)
   )
)</f>
        <v/>
      </c>
      <c r="E1035" s="27" t="str" cm="1">
        <f t="array" ref="E1035">IF(
   A1035="",
   "",
   _xlfn.LET(
      _xlpm.result,
      IFERROR(
         _xlfn.XLOOKUP(
            1,
            (Table8[رقم الصنف]=A1035) *
            (IF($B$9="الكل",1, YEAR('ادخال البيانات'!$N$3:$N$1164)=VALUE($B$9))) *
            (IF($B$10="الكل",1, MONTH('ادخال البيانات'!$N$3:$N$1164)=VALUE($B$10))) *
            (IF($B$11="الكل",1, INT((DAY('ادخال البيانات'!$N$3:$N$1164)-1)/7)+1 = VALUE($B$11))),
            'ادخال البيانات'!$E$3:$E$1164
         ),
         ""
      ),
      IF(_xlpm.result="", "", _xlpm.result)
   )
)</f>
        <v/>
      </c>
      <c r="F1035" s="27" t="str" cm="1">
        <f t="array" ref="F1035">IF(
   A1035="",
   "",
   _xlfn.LET(
      _xlpm.result,
      IFERROR(
         _xlfn.XLOOKUP(
            1,
            (Table8[رقم الصنف]=A1035) *
            (IF($B$9="الكل",1, YEAR('ادخال البيانات'!$N$3:$N$1164) = VALUE($B$9))) *
            (IF($B$10="الكل",1, MONTH('ادخال البيانات'!$N$3:$N$1164) = VALUE($B$10))) *
            (IF($B$11="الكل",1, INT((DAY('ادخال البيانات'!$N$3:$N$1164)-1)/7)+1 = VALUE($B$11))),
            'ادخال البيانات'!$F$3:$F$1164
         ),
         ""
      ),
      IF(_xlpm.result="", "", _xlpm.result)
   )
)</f>
        <v/>
      </c>
      <c r="G1035" s="27" t="str" cm="1">
        <f t="array" ref="G1035">IF(
   A1035="",
   "",
   _xlfn.LET(
      _xlpm.result,
      IFERROR(
         _xlfn.XLOOKUP(
            1,
            (Table8[رقم الصنف]=A1035) *
            (IF($B$9="الكل",1, YEAR('ادخال البيانات'!$N$3:$N$1164)=VALUE($B$9))) *
            (IF($B$10="الكل",1, MONTH('ادخال البيانات'!$N$3:$N$1164)=VALUE($B$10))) *
            (IF($B$11="الكل",1, INT((DAY('ادخال البيانات'!$N$3:$N$1164)-1)/7)+1 = VALUE($B$11))),
            'ادخال البيانات'!$G$3:$G$1164
         ),
         ""
      ),
      IF(_xlpm.result="", "", _xlpm.result)
   )
)</f>
        <v/>
      </c>
      <c r="H1035" s="27" t="str" cm="1">
        <f t="array" ref="H1035">IF(
   A1035="",
   "",
   _xlfn.LET(
      _xlpm.result,
      IFERROR(
         _xlfn.XLOOKUP(
            1,
            (Table8[رقم الصنف]=A1035) *
            (IF($B$9="الكل",1, YEAR('ادخال البيانات'!$N$3:$N$1164)=VALUE($B$9))) *
            (IF($B$10="الكل",1, MONTH('ادخال البيانات'!$N$3:$N$1164)=VALUE($B$10))) *
            (IF($B$11="الكل",1, INT((DAY('ادخال البيانات'!$N$3:$N$1164)-1)/7)+1 = VALUE($B$11))),
            'ادخال البيانات'!$H$3:$H$1164
         ),
         ""
      ),
      IF(_xlpm.result="", "", _xlpm.result)
   )
)</f>
        <v/>
      </c>
      <c r="I1035" s="27" t="str" cm="1">
        <f t="array" ref="I1035">IF(
   A1035="",
   "",
   _xlfn.LET(
      _xlpm.result,
      IFERROR(
         _xlfn.XLOOKUP(
            1,
            (Table8[رقم الصنف]=A1035) *
            (IF($B$9="الكل",1, YEAR('ادخال البيانات'!$N$3:$N$1164)=VALUE($B$9))) *
            (IF($B$10="الكل",1, MONTH('ادخال البيانات'!$N$3:$N$1164)=VALUE($B$10))) *
            (IF($B$11="الكل",1, INT((DAY('ادخال البيانات'!$N$3:$N$1164)-1)/7)+1 = VALUE($B$11))),
            'ادخال البيانات'!$I$3:$I$1164
         ),
         ""
      ),
      IF(_xlpm.result="", "", _xlpm.result)
   )
)</f>
        <v/>
      </c>
      <c r="J1035" s="27" t="str" cm="1">
        <f t="array" ref="J1035">IF(
   A1035="",
   "",
   _xlfn.LET(
      _xlpm.result,
      IFERROR(
         _xlfn.XLOOKUP(
            1,
            (Table8[رقم الصنف]=A1035) *
            (IF($B$9="الكل",1, YEAR('ادخال البيانات'!$N$3:$N$1164)=VALUE($B$9))) *
            (IF($B$10="الكل",1, MONTH('ادخال البيانات'!$N$3:$N$1164)=VALUE($B$10))) *
            (IF($B$11="الكل",1, INT((DAY('ادخال البيانات'!$N$3:$N$1164)-1)/7)+1 = VALUE($B$11))),
            'ادخال البيانات'!$J$3:$J$1164
         ),
         ""
      ),
      IF(_xlpm.result="", "", _xlpm.result)
   )
)</f>
        <v/>
      </c>
      <c r="K1035" s="27" t="str" cm="1">
        <f t="array" ref="K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5" s="27" t="str" cm="1">
        <f t="array" ref="L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5" s="27" t="str" cm="1">
        <f t="array" ref="M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5" s="28" t="str" cm="1">
        <f t="array" ref="N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5" s="28" t="str" cm="1">
        <f t="array" ref="O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5" s="27" t="str" cm="1">
        <f t="array" ref="P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Table8[جهة العطل]
         ),
         ""
      ),
      IF(_xlpm.result="", "", _xlpm.result)
   )
)</f>
        <v/>
      </c>
      <c r="Q1035" s="27" t="str" cm="1">
        <f t="array" ref="Q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Table8[المركز]
         ),
         ""
      ),
      IF(_xlpm.result="", "", _xlpm.result)
   )
)</f>
        <v/>
      </c>
      <c r="R1035" s="27" t="str" cm="1">
        <f t="array" ref="R1035">IF(
   A1035="",
   "",
   _xlfn.LET(
      _xlpm.result,
      IFERROR(
         _xlfn.XLOOKUP(
            1,
            (Table8[رقم الصنف]=A1035) *
            (IF($B$9="الكل",1, YEAR('ادخال البيانات'!$N$3:$N$1164) = VALUE($B$9))) *
            (IF($B$10="الكل",1, MONTH('ادخال البيانات'!$N$3:$N$1164) = VALUE($B$10))) *
            (IF($B$11="الكل",1, INT((DAY('ادخال البيانات'!$N$3:$N$1164) - 1) / 7) + 1 = VALUE($B$11))),
            Table8[ملاحظة]
         ),
         ""
      ),
      IF(_xlpm.result="", "", _xlpm.result)
   )
)</f>
        <v/>
      </c>
      <c r="S1035" s="46" t="str">
        <f t="shared" ca="1" si="16"/>
        <v/>
      </c>
    </row>
    <row r="1036" spans="1:19" ht="15.6" thickTop="1" thickBot="1" x14ac:dyDescent="0.35">
      <c r="A1036" s="39"/>
      <c r="B1036" s="27" t="str" cm="1">
        <f t="array" ref="B1036">IF(
   OR(A1036="", $B$9="", $B$10="", $B$11=""),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6" s="27" t="str" cm="1">
        <f t="array" ref="C1036">IF(
   A1036="",
   "",
   _xlfn.LET(
      _xlpm.result,
      IFERROR(
         _xlfn.XLOOKUP(
            1,
            (Table8[رقم الصنف]=A1036) *
            (IF($B$9="الكل",1, YEAR('ادخال البيانات'!$N$3:$N$1164) = VALUE($B$9))) *
            (IF($B$10="الكل",1, MONTH('ادخال البيانات'!$N$3:$N$1164) = VALUE($B$10))) *
            (IF($B$11="الكل",1, INT((DAY('ادخال البيانات'!$N$3:$N$1164)-1)/7)+1 = VALUE($B$11))),
            'ادخال البيانات'!$C$3:$C$1164
         ),
         ""
      ),
      IF(_xlpm.result="", "", _xlpm.result)
   )
)</f>
        <v/>
      </c>
      <c r="D1036" s="27" t="str" cm="1">
        <f t="array" ref="D1036">IF(
   OR(A1036="", $B$9="", $B$10="", $B$11=""),
   "",
   _xlfn.LET(
      _xlpm.result,
      IFERROR(
         _xlfn.XLOOKUP(
            1,
            (Table8[رقم الصنف]=A1036) *
            (IF($B$9="الكل",1, YEAR('ادخال البيانات'!$N$3:$N$1164)=VALUE($B$9))) *
            (IF($B$10="الكل",1, MONTH('ادخال البيانات'!$N$3:$N$1164)=VALUE($B$10))) *
            (IF($B$11="الكل",1, INT((DAY('ادخال البيانات'!$N$3:$N$1164)-1)/7)+1 = VALUE($B$11))),
            'ادخال البيانات'!$D$3:$D$1164
         ),
         ""
      ),
      IF(_xlpm.result="", "", _xlpm.result)
   )
)</f>
        <v/>
      </c>
      <c r="E1036" s="27" t="str" cm="1">
        <f t="array" ref="E1036">IF(
   A1036="",
   "",
   _xlfn.LET(
      _xlpm.result,
      IFERROR(
         _xlfn.XLOOKUP(
            1,
            (Table8[رقم الصنف]=A1036) *
            (IF($B$9="الكل",1, YEAR('ادخال البيانات'!$N$3:$N$1164)=VALUE($B$9))) *
            (IF($B$10="الكل",1, MONTH('ادخال البيانات'!$N$3:$N$1164)=VALUE($B$10))) *
            (IF($B$11="الكل",1, INT((DAY('ادخال البيانات'!$N$3:$N$1164)-1)/7)+1 = VALUE($B$11))),
            'ادخال البيانات'!$E$3:$E$1164
         ),
         ""
      ),
      IF(_xlpm.result="", "", _xlpm.result)
   )
)</f>
        <v/>
      </c>
      <c r="F1036" s="27" t="str" cm="1">
        <f t="array" ref="F1036">IF(
   A1036="",
   "",
   _xlfn.LET(
      _xlpm.result,
      IFERROR(
         _xlfn.XLOOKUP(
            1,
            (Table8[رقم الصنف]=A1036) *
            (IF($B$9="الكل",1, YEAR('ادخال البيانات'!$N$3:$N$1164) = VALUE($B$9))) *
            (IF($B$10="الكل",1, MONTH('ادخال البيانات'!$N$3:$N$1164) = VALUE($B$10))) *
            (IF($B$11="الكل",1, INT((DAY('ادخال البيانات'!$N$3:$N$1164)-1)/7)+1 = VALUE($B$11))),
            'ادخال البيانات'!$F$3:$F$1164
         ),
         ""
      ),
      IF(_xlpm.result="", "", _xlpm.result)
   )
)</f>
        <v/>
      </c>
      <c r="G1036" s="27" t="str" cm="1">
        <f t="array" ref="G1036">IF(
   A1036="",
   "",
   _xlfn.LET(
      _xlpm.result,
      IFERROR(
         _xlfn.XLOOKUP(
            1,
            (Table8[رقم الصنف]=A1036) *
            (IF($B$9="الكل",1, YEAR('ادخال البيانات'!$N$3:$N$1164)=VALUE($B$9))) *
            (IF($B$10="الكل",1, MONTH('ادخال البيانات'!$N$3:$N$1164)=VALUE($B$10))) *
            (IF($B$11="الكل",1, INT((DAY('ادخال البيانات'!$N$3:$N$1164)-1)/7)+1 = VALUE($B$11))),
            'ادخال البيانات'!$G$3:$G$1164
         ),
         ""
      ),
      IF(_xlpm.result="", "", _xlpm.result)
   )
)</f>
        <v/>
      </c>
      <c r="H1036" s="27" t="str" cm="1">
        <f t="array" ref="H1036">IF(
   A1036="",
   "",
   _xlfn.LET(
      _xlpm.result,
      IFERROR(
         _xlfn.XLOOKUP(
            1,
            (Table8[رقم الصنف]=A1036) *
            (IF($B$9="الكل",1, YEAR('ادخال البيانات'!$N$3:$N$1164)=VALUE($B$9))) *
            (IF($B$10="الكل",1, MONTH('ادخال البيانات'!$N$3:$N$1164)=VALUE($B$10))) *
            (IF($B$11="الكل",1, INT((DAY('ادخال البيانات'!$N$3:$N$1164)-1)/7)+1 = VALUE($B$11))),
            'ادخال البيانات'!$H$3:$H$1164
         ),
         ""
      ),
      IF(_xlpm.result="", "", _xlpm.result)
   )
)</f>
        <v/>
      </c>
      <c r="I1036" s="27" t="str" cm="1">
        <f t="array" ref="I1036">IF(
   A1036="",
   "",
   _xlfn.LET(
      _xlpm.result,
      IFERROR(
         _xlfn.XLOOKUP(
            1,
            (Table8[رقم الصنف]=A1036) *
            (IF($B$9="الكل",1, YEAR('ادخال البيانات'!$N$3:$N$1164)=VALUE($B$9))) *
            (IF($B$10="الكل",1, MONTH('ادخال البيانات'!$N$3:$N$1164)=VALUE($B$10))) *
            (IF($B$11="الكل",1, INT((DAY('ادخال البيانات'!$N$3:$N$1164)-1)/7)+1 = VALUE($B$11))),
            'ادخال البيانات'!$I$3:$I$1164
         ),
         ""
      ),
      IF(_xlpm.result="", "", _xlpm.result)
   )
)</f>
        <v/>
      </c>
      <c r="J1036" s="27" t="str" cm="1">
        <f t="array" ref="J1036">IF(
   A1036="",
   "",
   _xlfn.LET(
      _xlpm.result,
      IFERROR(
         _xlfn.XLOOKUP(
            1,
            (Table8[رقم الصنف]=A1036) *
            (IF($B$9="الكل",1, YEAR('ادخال البيانات'!$N$3:$N$1164)=VALUE($B$9))) *
            (IF($B$10="الكل",1, MONTH('ادخال البيانات'!$N$3:$N$1164)=VALUE($B$10))) *
            (IF($B$11="الكل",1, INT((DAY('ادخال البيانات'!$N$3:$N$1164)-1)/7)+1 = VALUE($B$11))),
            'ادخال البيانات'!$J$3:$J$1164
         ),
         ""
      ),
      IF(_xlpm.result="", "", _xlpm.result)
   )
)</f>
        <v/>
      </c>
      <c r="K1036" s="27" t="str" cm="1">
        <f t="array" ref="K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6" s="27" t="str" cm="1">
        <f t="array" ref="L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6" s="27" t="str" cm="1">
        <f t="array" ref="M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6" s="28" t="str" cm="1">
        <f t="array" ref="N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6" s="28" t="str" cm="1">
        <f t="array" ref="O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6" s="27" t="str" cm="1">
        <f t="array" ref="P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Table8[جهة العطل]
         ),
         ""
      ),
      IF(_xlpm.result="", "", _xlpm.result)
   )
)</f>
        <v/>
      </c>
      <c r="Q1036" s="27" t="str" cm="1">
        <f t="array" ref="Q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Table8[المركز]
         ),
         ""
      ),
      IF(_xlpm.result="", "", _xlpm.result)
   )
)</f>
        <v/>
      </c>
      <c r="R1036" s="27" t="str" cm="1">
        <f t="array" ref="R1036">IF(
   A1036="",
   "",
   _xlfn.LET(
      _xlpm.result,
      IFERROR(
         _xlfn.XLOOKUP(
            1,
            (Table8[رقم الصنف]=A1036) *
            (IF($B$9="الكل",1, YEAR('ادخال البيانات'!$N$3:$N$1164) = VALUE($B$9))) *
            (IF($B$10="الكل",1, MONTH('ادخال البيانات'!$N$3:$N$1164) = VALUE($B$10))) *
            (IF($B$11="الكل",1, INT((DAY('ادخال البيانات'!$N$3:$N$1164) - 1) / 7) + 1 = VALUE($B$11))),
            Table8[ملاحظة]
         ),
         ""
      ),
      IF(_xlpm.result="", "", _xlpm.result)
   )
)</f>
        <v/>
      </c>
      <c r="S1036" s="46" t="str">
        <f t="shared" ref="S1036:S1099" ca="1" si="17">IF(
   L1036="تم الاصلاح",
   "تم الاصلاح",
   IF(N1036="","", TODAY()-N1036)
)</f>
        <v/>
      </c>
    </row>
    <row r="1037" spans="1:19" ht="15.6" thickTop="1" thickBot="1" x14ac:dyDescent="0.35">
      <c r="A1037" s="39"/>
      <c r="B1037" s="27" t="str" cm="1">
        <f t="array" ref="B1037">IF(
   OR(A1037="", $B$9="", $B$10="", $B$11=""),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7" s="27" t="str" cm="1">
        <f t="array" ref="C1037">IF(
   A1037="",
   "",
   _xlfn.LET(
      _xlpm.result,
      IFERROR(
         _xlfn.XLOOKUP(
            1,
            (Table8[رقم الصنف]=A1037) *
            (IF($B$9="الكل",1, YEAR('ادخال البيانات'!$N$3:$N$1164) = VALUE($B$9))) *
            (IF($B$10="الكل",1, MONTH('ادخال البيانات'!$N$3:$N$1164) = VALUE($B$10))) *
            (IF($B$11="الكل",1, INT((DAY('ادخال البيانات'!$N$3:$N$1164)-1)/7)+1 = VALUE($B$11))),
            'ادخال البيانات'!$C$3:$C$1164
         ),
         ""
      ),
      IF(_xlpm.result="", "", _xlpm.result)
   )
)</f>
        <v/>
      </c>
      <c r="D1037" s="27" t="str" cm="1">
        <f t="array" ref="D1037">IF(
   OR(A1037="", $B$9="", $B$10="", $B$11=""),
   "",
   _xlfn.LET(
      _xlpm.result,
      IFERROR(
         _xlfn.XLOOKUP(
            1,
            (Table8[رقم الصنف]=A1037) *
            (IF($B$9="الكل",1, YEAR('ادخال البيانات'!$N$3:$N$1164)=VALUE($B$9))) *
            (IF($B$10="الكل",1, MONTH('ادخال البيانات'!$N$3:$N$1164)=VALUE($B$10))) *
            (IF($B$11="الكل",1, INT((DAY('ادخال البيانات'!$N$3:$N$1164)-1)/7)+1 = VALUE($B$11))),
            'ادخال البيانات'!$D$3:$D$1164
         ),
         ""
      ),
      IF(_xlpm.result="", "", _xlpm.result)
   )
)</f>
        <v/>
      </c>
      <c r="E1037" s="27" t="str" cm="1">
        <f t="array" ref="E1037">IF(
   A1037="",
   "",
   _xlfn.LET(
      _xlpm.result,
      IFERROR(
         _xlfn.XLOOKUP(
            1,
            (Table8[رقم الصنف]=A1037) *
            (IF($B$9="الكل",1, YEAR('ادخال البيانات'!$N$3:$N$1164)=VALUE($B$9))) *
            (IF($B$10="الكل",1, MONTH('ادخال البيانات'!$N$3:$N$1164)=VALUE($B$10))) *
            (IF($B$11="الكل",1, INT((DAY('ادخال البيانات'!$N$3:$N$1164)-1)/7)+1 = VALUE($B$11))),
            'ادخال البيانات'!$E$3:$E$1164
         ),
         ""
      ),
      IF(_xlpm.result="", "", _xlpm.result)
   )
)</f>
        <v/>
      </c>
      <c r="F1037" s="27" t="str" cm="1">
        <f t="array" ref="F1037">IF(
   A1037="",
   "",
   _xlfn.LET(
      _xlpm.result,
      IFERROR(
         _xlfn.XLOOKUP(
            1,
            (Table8[رقم الصنف]=A1037) *
            (IF($B$9="الكل",1, YEAR('ادخال البيانات'!$N$3:$N$1164) = VALUE($B$9))) *
            (IF($B$10="الكل",1, MONTH('ادخال البيانات'!$N$3:$N$1164) = VALUE($B$10))) *
            (IF($B$11="الكل",1, INT((DAY('ادخال البيانات'!$N$3:$N$1164)-1)/7)+1 = VALUE($B$11))),
            'ادخال البيانات'!$F$3:$F$1164
         ),
         ""
      ),
      IF(_xlpm.result="", "", _xlpm.result)
   )
)</f>
        <v/>
      </c>
      <c r="G1037" s="27" t="str" cm="1">
        <f t="array" ref="G1037">IF(
   A1037="",
   "",
   _xlfn.LET(
      _xlpm.result,
      IFERROR(
         _xlfn.XLOOKUP(
            1,
            (Table8[رقم الصنف]=A1037) *
            (IF($B$9="الكل",1, YEAR('ادخال البيانات'!$N$3:$N$1164)=VALUE($B$9))) *
            (IF($B$10="الكل",1, MONTH('ادخال البيانات'!$N$3:$N$1164)=VALUE($B$10))) *
            (IF($B$11="الكل",1, INT((DAY('ادخال البيانات'!$N$3:$N$1164)-1)/7)+1 = VALUE($B$11))),
            'ادخال البيانات'!$G$3:$G$1164
         ),
         ""
      ),
      IF(_xlpm.result="", "", _xlpm.result)
   )
)</f>
        <v/>
      </c>
      <c r="H1037" s="27" t="str" cm="1">
        <f t="array" ref="H1037">IF(
   A1037="",
   "",
   _xlfn.LET(
      _xlpm.result,
      IFERROR(
         _xlfn.XLOOKUP(
            1,
            (Table8[رقم الصنف]=A1037) *
            (IF($B$9="الكل",1, YEAR('ادخال البيانات'!$N$3:$N$1164)=VALUE($B$9))) *
            (IF($B$10="الكل",1, MONTH('ادخال البيانات'!$N$3:$N$1164)=VALUE($B$10))) *
            (IF($B$11="الكل",1, INT((DAY('ادخال البيانات'!$N$3:$N$1164)-1)/7)+1 = VALUE($B$11))),
            'ادخال البيانات'!$H$3:$H$1164
         ),
         ""
      ),
      IF(_xlpm.result="", "", _xlpm.result)
   )
)</f>
        <v/>
      </c>
      <c r="I1037" s="27" t="str" cm="1">
        <f t="array" ref="I1037">IF(
   A1037="",
   "",
   _xlfn.LET(
      _xlpm.result,
      IFERROR(
         _xlfn.XLOOKUP(
            1,
            (Table8[رقم الصنف]=A1037) *
            (IF($B$9="الكل",1, YEAR('ادخال البيانات'!$N$3:$N$1164)=VALUE($B$9))) *
            (IF($B$10="الكل",1, MONTH('ادخال البيانات'!$N$3:$N$1164)=VALUE($B$10))) *
            (IF($B$11="الكل",1, INT((DAY('ادخال البيانات'!$N$3:$N$1164)-1)/7)+1 = VALUE($B$11))),
            'ادخال البيانات'!$I$3:$I$1164
         ),
         ""
      ),
      IF(_xlpm.result="", "", _xlpm.result)
   )
)</f>
        <v/>
      </c>
      <c r="J1037" s="27" t="str" cm="1">
        <f t="array" ref="J1037">IF(
   A1037="",
   "",
   _xlfn.LET(
      _xlpm.result,
      IFERROR(
         _xlfn.XLOOKUP(
            1,
            (Table8[رقم الصنف]=A1037) *
            (IF($B$9="الكل",1, YEAR('ادخال البيانات'!$N$3:$N$1164)=VALUE($B$9))) *
            (IF($B$10="الكل",1, MONTH('ادخال البيانات'!$N$3:$N$1164)=VALUE($B$10))) *
            (IF($B$11="الكل",1, INT((DAY('ادخال البيانات'!$N$3:$N$1164)-1)/7)+1 = VALUE($B$11))),
            'ادخال البيانات'!$J$3:$J$1164
         ),
         ""
      ),
      IF(_xlpm.result="", "", _xlpm.result)
   )
)</f>
        <v/>
      </c>
      <c r="K1037" s="27" t="str" cm="1">
        <f t="array" ref="K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7" s="27" t="str" cm="1">
        <f t="array" ref="L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7" s="27" t="str" cm="1">
        <f t="array" ref="M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7" s="28" t="str" cm="1">
        <f t="array" ref="N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7" s="28" t="str" cm="1">
        <f t="array" ref="O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7" s="27" t="str" cm="1">
        <f t="array" ref="P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Table8[جهة العطل]
         ),
         ""
      ),
      IF(_xlpm.result="", "", _xlpm.result)
   )
)</f>
        <v/>
      </c>
      <c r="Q1037" s="27" t="str" cm="1">
        <f t="array" ref="Q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Table8[المركز]
         ),
         ""
      ),
      IF(_xlpm.result="", "", _xlpm.result)
   )
)</f>
        <v/>
      </c>
      <c r="R1037" s="27" t="str" cm="1">
        <f t="array" ref="R1037">IF(
   A1037="",
   "",
   _xlfn.LET(
      _xlpm.result,
      IFERROR(
         _xlfn.XLOOKUP(
            1,
            (Table8[رقم الصنف]=A1037) *
            (IF($B$9="الكل",1, YEAR('ادخال البيانات'!$N$3:$N$1164) = VALUE($B$9))) *
            (IF($B$10="الكل",1, MONTH('ادخال البيانات'!$N$3:$N$1164) = VALUE($B$10))) *
            (IF($B$11="الكل",1, INT((DAY('ادخال البيانات'!$N$3:$N$1164) - 1) / 7) + 1 = VALUE($B$11))),
            Table8[ملاحظة]
         ),
         ""
      ),
      IF(_xlpm.result="", "", _xlpm.result)
   )
)</f>
        <v/>
      </c>
      <c r="S1037" s="46" t="str">
        <f t="shared" ca="1" si="17"/>
        <v/>
      </c>
    </row>
    <row r="1038" spans="1:19" ht="15.6" thickTop="1" thickBot="1" x14ac:dyDescent="0.35">
      <c r="A1038" s="39"/>
      <c r="B1038" s="27" t="str" cm="1">
        <f t="array" ref="B1038">IF(
   OR(A1038="", $B$9="", $B$10="", $B$11=""),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8" s="27" t="str" cm="1">
        <f t="array" ref="C1038">IF(
   A1038="",
   "",
   _xlfn.LET(
      _xlpm.result,
      IFERROR(
         _xlfn.XLOOKUP(
            1,
            (Table8[رقم الصنف]=A1038) *
            (IF($B$9="الكل",1, YEAR('ادخال البيانات'!$N$3:$N$1164) = VALUE($B$9))) *
            (IF($B$10="الكل",1, MONTH('ادخال البيانات'!$N$3:$N$1164) = VALUE($B$10))) *
            (IF($B$11="الكل",1, INT((DAY('ادخال البيانات'!$N$3:$N$1164)-1)/7)+1 = VALUE($B$11))),
            'ادخال البيانات'!$C$3:$C$1164
         ),
         ""
      ),
      IF(_xlpm.result="", "", _xlpm.result)
   )
)</f>
        <v/>
      </c>
      <c r="D1038" s="27" t="str" cm="1">
        <f t="array" ref="D1038">IF(
   OR(A1038="", $B$9="", $B$10="", $B$11=""),
   "",
   _xlfn.LET(
      _xlpm.result,
      IFERROR(
         _xlfn.XLOOKUP(
            1,
            (Table8[رقم الصنف]=A1038) *
            (IF($B$9="الكل",1, YEAR('ادخال البيانات'!$N$3:$N$1164)=VALUE($B$9))) *
            (IF($B$10="الكل",1, MONTH('ادخال البيانات'!$N$3:$N$1164)=VALUE($B$10))) *
            (IF($B$11="الكل",1, INT((DAY('ادخال البيانات'!$N$3:$N$1164)-1)/7)+1 = VALUE($B$11))),
            'ادخال البيانات'!$D$3:$D$1164
         ),
         ""
      ),
      IF(_xlpm.result="", "", _xlpm.result)
   )
)</f>
        <v/>
      </c>
      <c r="E1038" s="27" t="str" cm="1">
        <f t="array" ref="E1038">IF(
   A1038="",
   "",
   _xlfn.LET(
      _xlpm.result,
      IFERROR(
         _xlfn.XLOOKUP(
            1,
            (Table8[رقم الصنف]=A1038) *
            (IF($B$9="الكل",1, YEAR('ادخال البيانات'!$N$3:$N$1164)=VALUE($B$9))) *
            (IF($B$10="الكل",1, MONTH('ادخال البيانات'!$N$3:$N$1164)=VALUE($B$10))) *
            (IF($B$11="الكل",1, INT((DAY('ادخال البيانات'!$N$3:$N$1164)-1)/7)+1 = VALUE($B$11))),
            'ادخال البيانات'!$E$3:$E$1164
         ),
         ""
      ),
      IF(_xlpm.result="", "", _xlpm.result)
   )
)</f>
        <v/>
      </c>
      <c r="F1038" s="27" t="str" cm="1">
        <f t="array" ref="F1038">IF(
   A1038="",
   "",
   _xlfn.LET(
      _xlpm.result,
      IFERROR(
         _xlfn.XLOOKUP(
            1,
            (Table8[رقم الصنف]=A1038) *
            (IF($B$9="الكل",1, YEAR('ادخال البيانات'!$N$3:$N$1164) = VALUE($B$9))) *
            (IF($B$10="الكل",1, MONTH('ادخال البيانات'!$N$3:$N$1164) = VALUE($B$10))) *
            (IF($B$11="الكل",1, INT((DAY('ادخال البيانات'!$N$3:$N$1164)-1)/7)+1 = VALUE($B$11))),
            'ادخال البيانات'!$F$3:$F$1164
         ),
         ""
      ),
      IF(_xlpm.result="", "", _xlpm.result)
   )
)</f>
        <v/>
      </c>
      <c r="G1038" s="27" t="str" cm="1">
        <f t="array" ref="G1038">IF(
   A1038="",
   "",
   _xlfn.LET(
      _xlpm.result,
      IFERROR(
         _xlfn.XLOOKUP(
            1,
            (Table8[رقم الصنف]=A1038) *
            (IF($B$9="الكل",1, YEAR('ادخال البيانات'!$N$3:$N$1164)=VALUE($B$9))) *
            (IF($B$10="الكل",1, MONTH('ادخال البيانات'!$N$3:$N$1164)=VALUE($B$10))) *
            (IF($B$11="الكل",1, INT((DAY('ادخال البيانات'!$N$3:$N$1164)-1)/7)+1 = VALUE($B$11))),
            'ادخال البيانات'!$G$3:$G$1164
         ),
         ""
      ),
      IF(_xlpm.result="", "", _xlpm.result)
   )
)</f>
        <v/>
      </c>
      <c r="H1038" s="27" t="str" cm="1">
        <f t="array" ref="H1038">IF(
   A1038="",
   "",
   _xlfn.LET(
      _xlpm.result,
      IFERROR(
         _xlfn.XLOOKUP(
            1,
            (Table8[رقم الصنف]=A1038) *
            (IF($B$9="الكل",1, YEAR('ادخال البيانات'!$N$3:$N$1164)=VALUE($B$9))) *
            (IF($B$10="الكل",1, MONTH('ادخال البيانات'!$N$3:$N$1164)=VALUE($B$10))) *
            (IF($B$11="الكل",1, INT((DAY('ادخال البيانات'!$N$3:$N$1164)-1)/7)+1 = VALUE($B$11))),
            'ادخال البيانات'!$H$3:$H$1164
         ),
         ""
      ),
      IF(_xlpm.result="", "", _xlpm.result)
   )
)</f>
        <v/>
      </c>
      <c r="I1038" s="27" t="str" cm="1">
        <f t="array" ref="I1038">IF(
   A1038="",
   "",
   _xlfn.LET(
      _xlpm.result,
      IFERROR(
         _xlfn.XLOOKUP(
            1,
            (Table8[رقم الصنف]=A1038) *
            (IF($B$9="الكل",1, YEAR('ادخال البيانات'!$N$3:$N$1164)=VALUE($B$9))) *
            (IF($B$10="الكل",1, MONTH('ادخال البيانات'!$N$3:$N$1164)=VALUE($B$10))) *
            (IF($B$11="الكل",1, INT((DAY('ادخال البيانات'!$N$3:$N$1164)-1)/7)+1 = VALUE($B$11))),
            'ادخال البيانات'!$I$3:$I$1164
         ),
         ""
      ),
      IF(_xlpm.result="", "", _xlpm.result)
   )
)</f>
        <v/>
      </c>
      <c r="J1038" s="27" t="str" cm="1">
        <f t="array" ref="J1038">IF(
   A1038="",
   "",
   _xlfn.LET(
      _xlpm.result,
      IFERROR(
         _xlfn.XLOOKUP(
            1,
            (Table8[رقم الصنف]=A1038) *
            (IF($B$9="الكل",1, YEAR('ادخال البيانات'!$N$3:$N$1164)=VALUE($B$9))) *
            (IF($B$10="الكل",1, MONTH('ادخال البيانات'!$N$3:$N$1164)=VALUE($B$10))) *
            (IF($B$11="الكل",1, INT((DAY('ادخال البيانات'!$N$3:$N$1164)-1)/7)+1 = VALUE($B$11))),
            'ادخال البيانات'!$J$3:$J$1164
         ),
         ""
      ),
      IF(_xlpm.result="", "", _xlpm.result)
   )
)</f>
        <v/>
      </c>
      <c r="K1038" s="27" t="str" cm="1">
        <f t="array" ref="K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8" s="27" t="str" cm="1">
        <f t="array" ref="L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8" s="27" t="str" cm="1">
        <f t="array" ref="M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8" s="28" t="str" cm="1">
        <f t="array" ref="N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8" s="28" t="str" cm="1">
        <f t="array" ref="O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8" s="27" t="str" cm="1">
        <f t="array" ref="P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Table8[جهة العطل]
         ),
         ""
      ),
      IF(_xlpm.result="", "", _xlpm.result)
   )
)</f>
        <v/>
      </c>
      <c r="Q1038" s="27" t="str" cm="1">
        <f t="array" ref="Q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Table8[المركز]
         ),
         ""
      ),
      IF(_xlpm.result="", "", _xlpm.result)
   )
)</f>
        <v/>
      </c>
      <c r="R1038" s="27" t="str" cm="1">
        <f t="array" ref="R1038">IF(
   A1038="",
   "",
   _xlfn.LET(
      _xlpm.result,
      IFERROR(
         _xlfn.XLOOKUP(
            1,
            (Table8[رقم الصنف]=A1038) *
            (IF($B$9="الكل",1, YEAR('ادخال البيانات'!$N$3:$N$1164) = VALUE($B$9))) *
            (IF($B$10="الكل",1, MONTH('ادخال البيانات'!$N$3:$N$1164) = VALUE($B$10))) *
            (IF($B$11="الكل",1, INT((DAY('ادخال البيانات'!$N$3:$N$1164) - 1) / 7) + 1 = VALUE($B$11))),
            Table8[ملاحظة]
         ),
         ""
      ),
      IF(_xlpm.result="", "", _xlpm.result)
   )
)</f>
        <v/>
      </c>
      <c r="S1038" s="46" t="str">
        <f t="shared" ca="1" si="17"/>
        <v/>
      </c>
    </row>
    <row r="1039" spans="1:19" ht="15.6" thickTop="1" thickBot="1" x14ac:dyDescent="0.35">
      <c r="A1039" s="39"/>
      <c r="B1039" s="27" t="str" cm="1">
        <f t="array" ref="B1039">IF(
   OR(A1039="", $B$9="", $B$10="", $B$11=""),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39" s="27" t="str" cm="1">
        <f t="array" ref="C1039">IF(
   A1039="",
   "",
   _xlfn.LET(
      _xlpm.result,
      IFERROR(
         _xlfn.XLOOKUP(
            1,
            (Table8[رقم الصنف]=A1039) *
            (IF($B$9="الكل",1, YEAR('ادخال البيانات'!$N$3:$N$1164) = VALUE($B$9))) *
            (IF($B$10="الكل",1, MONTH('ادخال البيانات'!$N$3:$N$1164) = VALUE($B$10))) *
            (IF($B$11="الكل",1, INT((DAY('ادخال البيانات'!$N$3:$N$1164)-1)/7)+1 = VALUE($B$11))),
            'ادخال البيانات'!$C$3:$C$1164
         ),
         ""
      ),
      IF(_xlpm.result="", "", _xlpm.result)
   )
)</f>
        <v/>
      </c>
      <c r="D1039" s="27" t="str" cm="1">
        <f t="array" ref="D1039">IF(
   OR(A1039="", $B$9="", $B$10="", $B$11=""),
   "",
   _xlfn.LET(
      _xlpm.result,
      IFERROR(
         _xlfn.XLOOKUP(
            1,
            (Table8[رقم الصنف]=A1039) *
            (IF($B$9="الكل",1, YEAR('ادخال البيانات'!$N$3:$N$1164)=VALUE($B$9))) *
            (IF($B$10="الكل",1, MONTH('ادخال البيانات'!$N$3:$N$1164)=VALUE($B$10))) *
            (IF($B$11="الكل",1, INT((DAY('ادخال البيانات'!$N$3:$N$1164)-1)/7)+1 = VALUE($B$11))),
            'ادخال البيانات'!$D$3:$D$1164
         ),
         ""
      ),
      IF(_xlpm.result="", "", _xlpm.result)
   )
)</f>
        <v/>
      </c>
      <c r="E1039" s="27" t="str" cm="1">
        <f t="array" ref="E1039">IF(
   A1039="",
   "",
   _xlfn.LET(
      _xlpm.result,
      IFERROR(
         _xlfn.XLOOKUP(
            1,
            (Table8[رقم الصنف]=A1039) *
            (IF($B$9="الكل",1, YEAR('ادخال البيانات'!$N$3:$N$1164)=VALUE($B$9))) *
            (IF($B$10="الكل",1, MONTH('ادخال البيانات'!$N$3:$N$1164)=VALUE($B$10))) *
            (IF($B$11="الكل",1, INT((DAY('ادخال البيانات'!$N$3:$N$1164)-1)/7)+1 = VALUE($B$11))),
            'ادخال البيانات'!$E$3:$E$1164
         ),
         ""
      ),
      IF(_xlpm.result="", "", _xlpm.result)
   )
)</f>
        <v/>
      </c>
      <c r="F1039" s="27" t="str" cm="1">
        <f t="array" ref="F1039">IF(
   A1039="",
   "",
   _xlfn.LET(
      _xlpm.result,
      IFERROR(
         _xlfn.XLOOKUP(
            1,
            (Table8[رقم الصنف]=A1039) *
            (IF($B$9="الكل",1, YEAR('ادخال البيانات'!$N$3:$N$1164) = VALUE($B$9))) *
            (IF($B$10="الكل",1, MONTH('ادخال البيانات'!$N$3:$N$1164) = VALUE($B$10))) *
            (IF($B$11="الكل",1, INT((DAY('ادخال البيانات'!$N$3:$N$1164)-1)/7)+1 = VALUE($B$11))),
            'ادخال البيانات'!$F$3:$F$1164
         ),
         ""
      ),
      IF(_xlpm.result="", "", _xlpm.result)
   )
)</f>
        <v/>
      </c>
      <c r="G1039" s="27" t="str" cm="1">
        <f t="array" ref="G1039">IF(
   A1039="",
   "",
   _xlfn.LET(
      _xlpm.result,
      IFERROR(
         _xlfn.XLOOKUP(
            1,
            (Table8[رقم الصنف]=A1039) *
            (IF($B$9="الكل",1, YEAR('ادخال البيانات'!$N$3:$N$1164)=VALUE($B$9))) *
            (IF($B$10="الكل",1, MONTH('ادخال البيانات'!$N$3:$N$1164)=VALUE($B$10))) *
            (IF($B$11="الكل",1, INT((DAY('ادخال البيانات'!$N$3:$N$1164)-1)/7)+1 = VALUE($B$11))),
            'ادخال البيانات'!$G$3:$G$1164
         ),
         ""
      ),
      IF(_xlpm.result="", "", _xlpm.result)
   )
)</f>
        <v/>
      </c>
      <c r="H1039" s="27" t="str" cm="1">
        <f t="array" ref="H1039">IF(
   A1039="",
   "",
   _xlfn.LET(
      _xlpm.result,
      IFERROR(
         _xlfn.XLOOKUP(
            1,
            (Table8[رقم الصنف]=A1039) *
            (IF($B$9="الكل",1, YEAR('ادخال البيانات'!$N$3:$N$1164)=VALUE($B$9))) *
            (IF($B$10="الكل",1, MONTH('ادخال البيانات'!$N$3:$N$1164)=VALUE($B$10))) *
            (IF($B$11="الكل",1, INT((DAY('ادخال البيانات'!$N$3:$N$1164)-1)/7)+1 = VALUE($B$11))),
            'ادخال البيانات'!$H$3:$H$1164
         ),
         ""
      ),
      IF(_xlpm.result="", "", _xlpm.result)
   )
)</f>
        <v/>
      </c>
      <c r="I1039" s="27" t="str" cm="1">
        <f t="array" ref="I1039">IF(
   A1039="",
   "",
   _xlfn.LET(
      _xlpm.result,
      IFERROR(
         _xlfn.XLOOKUP(
            1,
            (Table8[رقم الصنف]=A1039) *
            (IF($B$9="الكل",1, YEAR('ادخال البيانات'!$N$3:$N$1164)=VALUE($B$9))) *
            (IF($B$10="الكل",1, MONTH('ادخال البيانات'!$N$3:$N$1164)=VALUE($B$10))) *
            (IF($B$11="الكل",1, INT((DAY('ادخال البيانات'!$N$3:$N$1164)-1)/7)+1 = VALUE($B$11))),
            'ادخال البيانات'!$I$3:$I$1164
         ),
         ""
      ),
      IF(_xlpm.result="", "", _xlpm.result)
   )
)</f>
        <v/>
      </c>
      <c r="J1039" s="27" t="str" cm="1">
        <f t="array" ref="J1039">IF(
   A1039="",
   "",
   _xlfn.LET(
      _xlpm.result,
      IFERROR(
         _xlfn.XLOOKUP(
            1,
            (Table8[رقم الصنف]=A1039) *
            (IF($B$9="الكل",1, YEAR('ادخال البيانات'!$N$3:$N$1164)=VALUE($B$9))) *
            (IF($B$10="الكل",1, MONTH('ادخال البيانات'!$N$3:$N$1164)=VALUE($B$10))) *
            (IF($B$11="الكل",1, INT((DAY('ادخال البيانات'!$N$3:$N$1164)-1)/7)+1 = VALUE($B$11))),
            'ادخال البيانات'!$J$3:$J$1164
         ),
         ""
      ),
      IF(_xlpm.result="", "", _xlpm.result)
   )
)</f>
        <v/>
      </c>
      <c r="K1039" s="27" t="str" cm="1">
        <f t="array" ref="K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39" s="27" t="str" cm="1">
        <f t="array" ref="L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39" s="27" t="str" cm="1">
        <f t="array" ref="M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39" s="28" t="str" cm="1">
        <f t="array" ref="N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39" s="28" t="str" cm="1">
        <f t="array" ref="O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39" s="27" t="str" cm="1">
        <f t="array" ref="P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Table8[جهة العطل]
         ),
         ""
      ),
      IF(_xlpm.result="", "", _xlpm.result)
   )
)</f>
        <v/>
      </c>
      <c r="Q1039" s="27" t="str" cm="1">
        <f t="array" ref="Q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Table8[المركز]
         ),
         ""
      ),
      IF(_xlpm.result="", "", _xlpm.result)
   )
)</f>
        <v/>
      </c>
      <c r="R1039" s="27" t="str" cm="1">
        <f t="array" ref="R1039">IF(
   A1039="",
   "",
   _xlfn.LET(
      _xlpm.result,
      IFERROR(
         _xlfn.XLOOKUP(
            1,
            (Table8[رقم الصنف]=A1039) *
            (IF($B$9="الكل",1, YEAR('ادخال البيانات'!$N$3:$N$1164) = VALUE($B$9))) *
            (IF($B$10="الكل",1, MONTH('ادخال البيانات'!$N$3:$N$1164) = VALUE($B$10))) *
            (IF($B$11="الكل",1, INT((DAY('ادخال البيانات'!$N$3:$N$1164) - 1) / 7) + 1 = VALUE($B$11))),
            Table8[ملاحظة]
         ),
         ""
      ),
      IF(_xlpm.result="", "", _xlpm.result)
   )
)</f>
        <v/>
      </c>
      <c r="S1039" s="46" t="str">
        <f t="shared" ca="1" si="17"/>
        <v/>
      </c>
    </row>
    <row r="1040" spans="1:19" ht="15.6" thickTop="1" thickBot="1" x14ac:dyDescent="0.35">
      <c r="A1040" s="39"/>
      <c r="B1040" s="27" t="str" cm="1">
        <f t="array" ref="B1040">IF(
   OR(A1040="", $B$9="", $B$10="", $B$11=""),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0" s="27" t="str" cm="1">
        <f t="array" ref="C1040">IF(
   A1040="",
   "",
   _xlfn.LET(
      _xlpm.result,
      IFERROR(
         _xlfn.XLOOKUP(
            1,
            (Table8[رقم الصنف]=A1040) *
            (IF($B$9="الكل",1, YEAR('ادخال البيانات'!$N$3:$N$1164) = VALUE($B$9))) *
            (IF($B$10="الكل",1, MONTH('ادخال البيانات'!$N$3:$N$1164) = VALUE($B$10))) *
            (IF($B$11="الكل",1, INT((DAY('ادخال البيانات'!$N$3:$N$1164)-1)/7)+1 = VALUE($B$11))),
            'ادخال البيانات'!$C$3:$C$1164
         ),
         ""
      ),
      IF(_xlpm.result="", "", _xlpm.result)
   )
)</f>
        <v/>
      </c>
      <c r="D1040" s="27" t="str" cm="1">
        <f t="array" ref="D1040">IF(
   OR(A1040="", $B$9="", $B$10="", $B$11=""),
   "",
   _xlfn.LET(
      _xlpm.result,
      IFERROR(
         _xlfn.XLOOKUP(
            1,
            (Table8[رقم الصنف]=A1040) *
            (IF($B$9="الكل",1, YEAR('ادخال البيانات'!$N$3:$N$1164)=VALUE($B$9))) *
            (IF($B$10="الكل",1, MONTH('ادخال البيانات'!$N$3:$N$1164)=VALUE($B$10))) *
            (IF($B$11="الكل",1, INT((DAY('ادخال البيانات'!$N$3:$N$1164)-1)/7)+1 = VALUE($B$11))),
            'ادخال البيانات'!$D$3:$D$1164
         ),
         ""
      ),
      IF(_xlpm.result="", "", _xlpm.result)
   )
)</f>
        <v/>
      </c>
      <c r="E1040" s="27" t="str" cm="1">
        <f t="array" ref="E1040">IF(
   A1040="",
   "",
   _xlfn.LET(
      _xlpm.result,
      IFERROR(
         _xlfn.XLOOKUP(
            1,
            (Table8[رقم الصنف]=A1040) *
            (IF($B$9="الكل",1, YEAR('ادخال البيانات'!$N$3:$N$1164)=VALUE($B$9))) *
            (IF($B$10="الكل",1, MONTH('ادخال البيانات'!$N$3:$N$1164)=VALUE($B$10))) *
            (IF($B$11="الكل",1, INT((DAY('ادخال البيانات'!$N$3:$N$1164)-1)/7)+1 = VALUE($B$11))),
            'ادخال البيانات'!$E$3:$E$1164
         ),
         ""
      ),
      IF(_xlpm.result="", "", _xlpm.result)
   )
)</f>
        <v/>
      </c>
      <c r="F1040" s="27" t="str" cm="1">
        <f t="array" ref="F1040">IF(
   A1040="",
   "",
   _xlfn.LET(
      _xlpm.result,
      IFERROR(
         _xlfn.XLOOKUP(
            1,
            (Table8[رقم الصنف]=A1040) *
            (IF($B$9="الكل",1, YEAR('ادخال البيانات'!$N$3:$N$1164) = VALUE($B$9))) *
            (IF($B$10="الكل",1, MONTH('ادخال البيانات'!$N$3:$N$1164) = VALUE($B$10))) *
            (IF($B$11="الكل",1, INT((DAY('ادخال البيانات'!$N$3:$N$1164)-1)/7)+1 = VALUE($B$11))),
            'ادخال البيانات'!$F$3:$F$1164
         ),
         ""
      ),
      IF(_xlpm.result="", "", _xlpm.result)
   )
)</f>
        <v/>
      </c>
      <c r="G1040" s="27" t="str" cm="1">
        <f t="array" ref="G1040">IF(
   A1040="",
   "",
   _xlfn.LET(
      _xlpm.result,
      IFERROR(
         _xlfn.XLOOKUP(
            1,
            (Table8[رقم الصنف]=A1040) *
            (IF($B$9="الكل",1, YEAR('ادخال البيانات'!$N$3:$N$1164)=VALUE($B$9))) *
            (IF($B$10="الكل",1, MONTH('ادخال البيانات'!$N$3:$N$1164)=VALUE($B$10))) *
            (IF($B$11="الكل",1, INT((DAY('ادخال البيانات'!$N$3:$N$1164)-1)/7)+1 = VALUE($B$11))),
            'ادخال البيانات'!$G$3:$G$1164
         ),
         ""
      ),
      IF(_xlpm.result="", "", _xlpm.result)
   )
)</f>
        <v/>
      </c>
      <c r="H1040" s="27" t="str" cm="1">
        <f t="array" ref="H1040">IF(
   A1040="",
   "",
   _xlfn.LET(
      _xlpm.result,
      IFERROR(
         _xlfn.XLOOKUP(
            1,
            (Table8[رقم الصنف]=A1040) *
            (IF($B$9="الكل",1, YEAR('ادخال البيانات'!$N$3:$N$1164)=VALUE($B$9))) *
            (IF($B$10="الكل",1, MONTH('ادخال البيانات'!$N$3:$N$1164)=VALUE($B$10))) *
            (IF($B$11="الكل",1, INT((DAY('ادخال البيانات'!$N$3:$N$1164)-1)/7)+1 = VALUE($B$11))),
            'ادخال البيانات'!$H$3:$H$1164
         ),
         ""
      ),
      IF(_xlpm.result="", "", _xlpm.result)
   )
)</f>
        <v/>
      </c>
      <c r="I1040" s="27" t="str" cm="1">
        <f t="array" ref="I1040">IF(
   A1040="",
   "",
   _xlfn.LET(
      _xlpm.result,
      IFERROR(
         _xlfn.XLOOKUP(
            1,
            (Table8[رقم الصنف]=A1040) *
            (IF($B$9="الكل",1, YEAR('ادخال البيانات'!$N$3:$N$1164)=VALUE($B$9))) *
            (IF($B$10="الكل",1, MONTH('ادخال البيانات'!$N$3:$N$1164)=VALUE($B$10))) *
            (IF($B$11="الكل",1, INT((DAY('ادخال البيانات'!$N$3:$N$1164)-1)/7)+1 = VALUE($B$11))),
            'ادخال البيانات'!$I$3:$I$1164
         ),
         ""
      ),
      IF(_xlpm.result="", "", _xlpm.result)
   )
)</f>
        <v/>
      </c>
      <c r="J1040" s="27" t="str" cm="1">
        <f t="array" ref="J1040">IF(
   A1040="",
   "",
   _xlfn.LET(
      _xlpm.result,
      IFERROR(
         _xlfn.XLOOKUP(
            1,
            (Table8[رقم الصنف]=A1040) *
            (IF($B$9="الكل",1, YEAR('ادخال البيانات'!$N$3:$N$1164)=VALUE($B$9))) *
            (IF($B$10="الكل",1, MONTH('ادخال البيانات'!$N$3:$N$1164)=VALUE($B$10))) *
            (IF($B$11="الكل",1, INT((DAY('ادخال البيانات'!$N$3:$N$1164)-1)/7)+1 = VALUE($B$11))),
            'ادخال البيانات'!$J$3:$J$1164
         ),
         ""
      ),
      IF(_xlpm.result="", "", _xlpm.result)
   )
)</f>
        <v/>
      </c>
      <c r="K1040" s="27" t="str" cm="1">
        <f t="array" ref="K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0" s="27" t="str" cm="1">
        <f t="array" ref="L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0" s="27" t="str" cm="1">
        <f t="array" ref="M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0" s="28" t="str" cm="1">
        <f t="array" ref="N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0" s="28" t="str" cm="1">
        <f t="array" ref="O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0" s="27" t="str" cm="1">
        <f t="array" ref="P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Table8[جهة العطل]
         ),
         ""
      ),
      IF(_xlpm.result="", "", _xlpm.result)
   )
)</f>
        <v/>
      </c>
      <c r="Q1040" s="27" t="str" cm="1">
        <f t="array" ref="Q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Table8[المركز]
         ),
         ""
      ),
      IF(_xlpm.result="", "", _xlpm.result)
   )
)</f>
        <v/>
      </c>
      <c r="R1040" s="27" t="str" cm="1">
        <f t="array" ref="R1040">IF(
   A1040="",
   "",
   _xlfn.LET(
      _xlpm.result,
      IFERROR(
         _xlfn.XLOOKUP(
            1,
            (Table8[رقم الصنف]=A1040) *
            (IF($B$9="الكل",1, YEAR('ادخال البيانات'!$N$3:$N$1164) = VALUE($B$9))) *
            (IF($B$10="الكل",1, MONTH('ادخال البيانات'!$N$3:$N$1164) = VALUE($B$10))) *
            (IF($B$11="الكل",1, INT((DAY('ادخال البيانات'!$N$3:$N$1164) - 1) / 7) + 1 = VALUE($B$11))),
            Table8[ملاحظة]
         ),
         ""
      ),
      IF(_xlpm.result="", "", _xlpm.result)
   )
)</f>
        <v/>
      </c>
      <c r="S1040" s="46" t="str">
        <f t="shared" ca="1" si="17"/>
        <v/>
      </c>
    </row>
    <row r="1041" spans="1:19" ht="15.6" thickTop="1" thickBot="1" x14ac:dyDescent="0.35">
      <c r="A1041" s="39"/>
      <c r="B1041" s="27" t="str" cm="1">
        <f t="array" ref="B1041">IF(
   OR(A1041="", $B$9="", $B$10="", $B$11=""),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1" s="27" t="str" cm="1">
        <f t="array" ref="C1041">IF(
   A1041="",
   "",
   _xlfn.LET(
      _xlpm.result,
      IFERROR(
         _xlfn.XLOOKUP(
            1,
            (Table8[رقم الصنف]=A1041) *
            (IF($B$9="الكل",1, YEAR('ادخال البيانات'!$N$3:$N$1164) = VALUE($B$9))) *
            (IF($B$10="الكل",1, MONTH('ادخال البيانات'!$N$3:$N$1164) = VALUE($B$10))) *
            (IF($B$11="الكل",1, INT((DAY('ادخال البيانات'!$N$3:$N$1164)-1)/7)+1 = VALUE($B$11))),
            'ادخال البيانات'!$C$3:$C$1164
         ),
         ""
      ),
      IF(_xlpm.result="", "", _xlpm.result)
   )
)</f>
        <v/>
      </c>
      <c r="D1041" s="27" t="str" cm="1">
        <f t="array" ref="D1041">IF(
   OR(A1041="", $B$9="", $B$10="", $B$11=""),
   "",
   _xlfn.LET(
      _xlpm.result,
      IFERROR(
         _xlfn.XLOOKUP(
            1,
            (Table8[رقم الصنف]=A1041) *
            (IF($B$9="الكل",1, YEAR('ادخال البيانات'!$N$3:$N$1164)=VALUE($B$9))) *
            (IF($B$10="الكل",1, MONTH('ادخال البيانات'!$N$3:$N$1164)=VALUE($B$10))) *
            (IF($B$11="الكل",1, INT((DAY('ادخال البيانات'!$N$3:$N$1164)-1)/7)+1 = VALUE($B$11))),
            'ادخال البيانات'!$D$3:$D$1164
         ),
         ""
      ),
      IF(_xlpm.result="", "", _xlpm.result)
   )
)</f>
        <v/>
      </c>
      <c r="E1041" s="27" t="str" cm="1">
        <f t="array" ref="E1041">IF(
   A1041="",
   "",
   _xlfn.LET(
      _xlpm.result,
      IFERROR(
         _xlfn.XLOOKUP(
            1,
            (Table8[رقم الصنف]=A1041) *
            (IF($B$9="الكل",1, YEAR('ادخال البيانات'!$N$3:$N$1164)=VALUE($B$9))) *
            (IF($B$10="الكل",1, MONTH('ادخال البيانات'!$N$3:$N$1164)=VALUE($B$10))) *
            (IF($B$11="الكل",1, INT((DAY('ادخال البيانات'!$N$3:$N$1164)-1)/7)+1 = VALUE($B$11))),
            'ادخال البيانات'!$E$3:$E$1164
         ),
         ""
      ),
      IF(_xlpm.result="", "", _xlpm.result)
   )
)</f>
        <v/>
      </c>
      <c r="F1041" s="27" t="str" cm="1">
        <f t="array" ref="F1041">IF(
   A1041="",
   "",
   _xlfn.LET(
      _xlpm.result,
      IFERROR(
         _xlfn.XLOOKUP(
            1,
            (Table8[رقم الصنف]=A1041) *
            (IF($B$9="الكل",1, YEAR('ادخال البيانات'!$N$3:$N$1164) = VALUE($B$9))) *
            (IF($B$10="الكل",1, MONTH('ادخال البيانات'!$N$3:$N$1164) = VALUE($B$10))) *
            (IF($B$11="الكل",1, INT((DAY('ادخال البيانات'!$N$3:$N$1164)-1)/7)+1 = VALUE($B$11))),
            'ادخال البيانات'!$F$3:$F$1164
         ),
         ""
      ),
      IF(_xlpm.result="", "", _xlpm.result)
   )
)</f>
        <v/>
      </c>
      <c r="G1041" s="27" t="str" cm="1">
        <f t="array" ref="G1041">IF(
   A1041="",
   "",
   _xlfn.LET(
      _xlpm.result,
      IFERROR(
         _xlfn.XLOOKUP(
            1,
            (Table8[رقم الصنف]=A1041) *
            (IF($B$9="الكل",1, YEAR('ادخال البيانات'!$N$3:$N$1164)=VALUE($B$9))) *
            (IF($B$10="الكل",1, MONTH('ادخال البيانات'!$N$3:$N$1164)=VALUE($B$10))) *
            (IF($B$11="الكل",1, INT((DAY('ادخال البيانات'!$N$3:$N$1164)-1)/7)+1 = VALUE($B$11))),
            'ادخال البيانات'!$G$3:$G$1164
         ),
         ""
      ),
      IF(_xlpm.result="", "", _xlpm.result)
   )
)</f>
        <v/>
      </c>
      <c r="H1041" s="27" t="str" cm="1">
        <f t="array" ref="H1041">IF(
   A1041="",
   "",
   _xlfn.LET(
      _xlpm.result,
      IFERROR(
         _xlfn.XLOOKUP(
            1,
            (Table8[رقم الصنف]=A1041) *
            (IF($B$9="الكل",1, YEAR('ادخال البيانات'!$N$3:$N$1164)=VALUE($B$9))) *
            (IF($B$10="الكل",1, MONTH('ادخال البيانات'!$N$3:$N$1164)=VALUE($B$10))) *
            (IF($B$11="الكل",1, INT((DAY('ادخال البيانات'!$N$3:$N$1164)-1)/7)+1 = VALUE($B$11))),
            'ادخال البيانات'!$H$3:$H$1164
         ),
         ""
      ),
      IF(_xlpm.result="", "", _xlpm.result)
   )
)</f>
        <v/>
      </c>
      <c r="I1041" s="27" t="str" cm="1">
        <f t="array" ref="I1041">IF(
   A1041="",
   "",
   _xlfn.LET(
      _xlpm.result,
      IFERROR(
         _xlfn.XLOOKUP(
            1,
            (Table8[رقم الصنف]=A1041) *
            (IF($B$9="الكل",1, YEAR('ادخال البيانات'!$N$3:$N$1164)=VALUE($B$9))) *
            (IF($B$10="الكل",1, MONTH('ادخال البيانات'!$N$3:$N$1164)=VALUE($B$10))) *
            (IF($B$11="الكل",1, INT((DAY('ادخال البيانات'!$N$3:$N$1164)-1)/7)+1 = VALUE($B$11))),
            'ادخال البيانات'!$I$3:$I$1164
         ),
         ""
      ),
      IF(_xlpm.result="", "", _xlpm.result)
   )
)</f>
        <v/>
      </c>
      <c r="J1041" s="27" t="str" cm="1">
        <f t="array" ref="J1041">IF(
   A1041="",
   "",
   _xlfn.LET(
      _xlpm.result,
      IFERROR(
         _xlfn.XLOOKUP(
            1,
            (Table8[رقم الصنف]=A1041) *
            (IF($B$9="الكل",1, YEAR('ادخال البيانات'!$N$3:$N$1164)=VALUE($B$9))) *
            (IF($B$10="الكل",1, MONTH('ادخال البيانات'!$N$3:$N$1164)=VALUE($B$10))) *
            (IF($B$11="الكل",1, INT((DAY('ادخال البيانات'!$N$3:$N$1164)-1)/7)+1 = VALUE($B$11))),
            'ادخال البيانات'!$J$3:$J$1164
         ),
         ""
      ),
      IF(_xlpm.result="", "", _xlpm.result)
   )
)</f>
        <v/>
      </c>
      <c r="K1041" s="27" t="str" cm="1">
        <f t="array" ref="K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1" s="27" t="str" cm="1">
        <f t="array" ref="L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1" s="27" t="str" cm="1">
        <f t="array" ref="M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1" s="28" t="str" cm="1">
        <f t="array" ref="N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1" s="28" t="str" cm="1">
        <f t="array" ref="O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1" s="27" t="str" cm="1">
        <f t="array" ref="P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Table8[جهة العطل]
         ),
         ""
      ),
      IF(_xlpm.result="", "", _xlpm.result)
   )
)</f>
        <v/>
      </c>
      <c r="Q1041" s="27" t="str" cm="1">
        <f t="array" ref="Q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Table8[المركز]
         ),
         ""
      ),
      IF(_xlpm.result="", "", _xlpm.result)
   )
)</f>
        <v/>
      </c>
      <c r="R1041" s="27" t="str" cm="1">
        <f t="array" ref="R1041">IF(
   A1041="",
   "",
   _xlfn.LET(
      _xlpm.result,
      IFERROR(
         _xlfn.XLOOKUP(
            1,
            (Table8[رقم الصنف]=A1041) *
            (IF($B$9="الكل",1, YEAR('ادخال البيانات'!$N$3:$N$1164) = VALUE($B$9))) *
            (IF($B$10="الكل",1, MONTH('ادخال البيانات'!$N$3:$N$1164) = VALUE($B$10))) *
            (IF($B$11="الكل",1, INT((DAY('ادخال البيانات'!$N$3:$N$1164) - 1) / 7) + 1 = VALUE($B$11))),
            Table8[ملاحظة]
         ),
         ""
      ),
      IF(_xlpm.result="", "", _xlpm.result)
   )
)</f>
        <v/>
      </c>
      <c r="S1041" s="46" t="str">
        <f t="shared" ca="1" si="17"/>
        <v/>
      </c>
    </row>
    <row r="1042" spans="1:19" ht="15.6" thickTop="1" thickBot="1" x14ac:dyDescent="0.35">
      <c r="A1042" s="39"/>
      <c r="B1042" s="27" t="str" cm="1">
        <f t="array" ref="B1042">IF(
   OR(A1042="", $B$9="", $B$10="", $B$11=""),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2" s="27" t="str" cm="1">
        <f t="array" ref="C1042">IF(
   A1042="",
   "",
   _xlfn.LET(
      _xlpm.result,
      IFERROR(
         _xlfn.XLOOKUP(
            1,
            (Table8[رقم الصنف]=A1042) *
            (IF($B$9="الكل",1, YEAR('ادخال البيانات'!$N$3:$N$1164) = VALUE($B$9))) *
            (IF($B$10="الكل",1, MONTH('ادخال البيانات'!$N$3:$N$1164) = VALUE($B$10))) *
            (IF($B$11="الكل",1, INT((DAY('ادخال البيانات'!$N$3:$N$1164)-1)/7)+1 = VALUE($B$11))),
            'ادخال البيانات'!$C$3:$C$1164
         ),
         ""
      ),
      IF(_xlpm.result="", "", _xlpm.result)
   )
)</f>
        <v/>
      </c>
      <c r="D1042" s="27" t="str" cm="1">
        <f t="array" ref="D1042">IF(
   OR(A1042="", $B$9="", $B$10="", $B$11=""),
   "",
   _xlfn.LET(
      _xlpm.result,
      IFERROR(
         _xlfn.XLOOKUP(
            1,
            (Table8[رقم الصنف]=A1042) *
            (IF($B$9="الكل",1, YEAR('ادخال البيانات'!$N$3:$N$1164)=VALUE($B$9))) *
            (IF($B$10="الكل",1, MONTH('ادخال البيانات'!$N$3:$N$1164)=VALUE($B$10))) *
            (IF($B$11="الكل",1, INT((DAY('ادخال البيانات'!$N$3:$N$1164)-1)/7)+1 = VALUE($B$11))),
            'ادخال البيانات'!$D$3:$D$1164
         ),
         ""
      ),
      IF(_xlpm.result="", "", _xlpm.result)
   )
)</f>
        <v/>
      </c>
      <c r="E1042" s="27" t="str" cm="1">
        <f t="array" ref="E1042">IF(
   A1042="",
   "",
   _xlfn.LET(
      _xlpm.result,
      IFERROR(
         _xlfn.XLOOKUP(
            1,
            (Table8[رقم الصنف]=A1042) *
            (IF($B$9="الكل",1, YEAR('ادخال البيانات'!$N$3:$N$1164)=VALUE($B$9))) *
            (IF($B$10="الكل",1, MONTH('ادخال البيانات'!$N$3:$N$1164)=VALUE($B$10))) *
            (IF($B$11="الكل",1, INT((DAY('ادخال البيانات'!$N$3:$N$1164)-1)/7)+1 = VALUE($B$11))),
            'ادخال البيانات'!$E$3:$E$1164
         ),
         ""
      ),
      IF(_xlpm.result="", "", _xlpm.result)
   )
)</f>
        <v/>
      </c>
      <c r="F1042" s="27" t="str" cm="1">
        <f t="array" ref="F1042">IF(
   A1042="",
   "",
   _xlfn.LET(
      _xlpm.result,
      IFERROR(
         _xlfn.XLOOKUP(
            1,
            (Table8[رقم الصنف]=A1042) *
            (IF($B$9="الكل",1, YEAR('ادخال البيانات'!$N$3:$N$1164) = VALUE($B$9))) *
            (IF($B$10="الكل",1, MONTH('ادخال البيانات'!$N$3:$N$1164) = VALUE($B$10))) *
            (IF($B$11="الكل",1, INT((DAY('ادخال البيانات'!$N$3:$N$1164)-1)/7)+1 = VALUE($B$11))),
            'ادخال البيانات'!$F$3:$F$1164
         ),
         ""
      ),
      IF(_xlpm.result="", "", _xlpm.result)
   )
)</f>
        <v/>
      </c>
      <c r="G1042" s="27" t="str" cm="1">
        <f t="array" ref="G1042">IF(
   A1042="",
   "",
   _xlfn.LET(
      _xlpm.result,
      IFERROR(
         _xlfn.XLOOKUP(
            1,
            (Table8[رقم الصنف]=A1042) *
            (IF($B$9="الكل",1, YEAR('ادخال البيانات'!$N$3:$N$1164)=VALUE($B$9))) *
            (IF($B$10="الكل",1, MONTH('ادخال البيانات'!$N$3:$N$1164)=VALUE($B$10))) *
            (IF($B$11="الكل",1, INT((DAY('ادخال البيانات'!$N$3:$N$1164)-1)/7)+1 = VALUE($B$11))),
            'ادخال البيانات'!$G$3:$G$1164
         ),
         ""
      ),
      IF(_xlpm.result="", "", _xlpm.result)
   )
)</f>
        <v/>
      </c>
      <c r="H1042" s="27" t="str" cm="1">
        <f t="array" ref="H1042">IF(
   A1042="",
   "",
   _xlfn.LET(
      _xlpm.result,
      IFERROR(
         _xlfn.XLOOKUP(
            1,
            (Table8[رقم الصنف]=A1042) *
            (IF($B$9="الكل",1, YEAR('ادخال البيانات'!$N$3:$N$1164)=VALUE($B$9))) *
            (IF($B$10="الكل",1, MONTH('ادخال البيانات'!$N$3:$N$1164)=VALUE($B$10))) *
            (IF($B$11="الكل",1, INT((DAY('ادخال البيانات'!$N$3:$N$1164)-1)/7)+1 = VALUE($B$11))),
            'ادخال البيانات'!$H$3:$H$1164
         ),
         ""
      ),
      IF(_xlpm.result="", "", _xlpm.result)
   )
)</f>
        <v/>
      </c>
      <c r="I1042" s="27" t="str" cm="1">
        <f t="array" ref="I1042">IF(
   A1042="",
   "",
   _xlfn.LET(
      _xlpm.result,
      IFERROR(
         _xlfn.XLOOKUP(
            1,
            (Table8[رقم الصنف]=A1042) *
            (IF($B$9="الكل",1, YEAR('ادخال البيانات'!$N$3:$N$1164)=VALUE($B$9))) *
            (IF($B$10="الكل",1, MONTH('ادخال البيانات'!$N$3:$N$1164)=VALUE($B$10))) *
            (IF($B$11="الكل",1, INT((DAY('ادخال البيانات'!$N$3:$N$1164)-1)/7)+1 = VALUE($B$11))),
            'ادخال البيانات'!$I$3:$I$1164
         ),
         ""
      ),
      IF(_xlpm.result="", "", _xlpm.result)
   )
)</f>
        <v/>
      </c>
      <c r="J1042" s="27" t="str" cm="1">
        <f t="array" ref="J1042">IF(
   A1042="",
   "",
   _xlfn.LET(
      _xlpm.result,
      IFERROR(
         _xlfn.XLOOKUP(
            1,
            (Table8[رقم الصنف]=A1042) *
            (IF($B$9="الكل",1, YEAR('ادخال البيانات'!$N$3:$N$1164)=VALUE($B$9))) *
            (IF($B$10="الكل",1, MONTH('ادخال البيانات'!$N$3:$N$1164)=VALUE($B$10))) *
            (IF($B$11="الكل",1, INT((DAY('ادخال البيانات'!$N$3:$N$1164)-1)/7)+1 = VALUE($B$11))),
            'ادخال البيانات'!$J$3:$J$1164
         ),
         ""
      ),
      IF(_xlpm.result="", "", _xlpm.result)
   )
)</f>
        <v/>
      </c>
      <c r="K1042" s="27" t="str" cm="1">
        <f t="array" ref="K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2" s="27" t="str" cm="1">
        <f t="array" ref="L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2" s="27" t="str" cm="1">
        <f t="array" ref="M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2" s="28" t="str" cm="1">
        <f t="array" ref="N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2" s="28" t="str" cm="1">
        <f t="array" ref="O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2" s="27" t="str" cm="1">
        <f t="array" ref="P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Table8[جهة العطل]
         ),
         ""
      ),
      IF(_xlpm.result="", "", _xlpm.result)
   )
)</f>
        <v/>
      </c>
      <c r="Q1042" s="27" t="str" cm="1">
        <f t="array" ref="Q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Table8[المركز]
         ),
         ""
      ),
      IF(_xlpm.result="", "", _xlpm.result)
   )
)</f>
        <v/>
      </c>
      <c r="R1042" s="27" t="str" cm="1">
        <f t="array" ref="R1042">IF(
   A1042="",
   "",
   _xlfn.LET(
      _xlpm.result,
      IFERROR(
         _xlfn.XLOOKUP(
            1,
            (Table8[رقم الصنف]=A1042) *
            (IF($B$9="الكل",1, YEAR('ادخال البيانات'!$N$3:$N$1164) = VALUE($B$9))) *
            (IF($B$10="الكل",1, MONTH('ادخال البيانات'!$N$3:$N$1164) = VALUE($B$10))) *
            (IF($B$11="الكل",1, INT((DAY('ادخال البيانات'!$N$3:$N$1164) - 1) / 7) + 1 = VALUE($B$11))),
            Table8[ملاحظة]
         ),
         ""
      ),
      IF(_xlpm.result="", "", _xlpm.result)
   )
)</f>
        <v/>
      </c>
      <c r="S1042" s="46" t="str">
        <f t="shared" ca="1" si="17"/>
        <v/>
      </c>
    </row>
    <row r="1043" spans="1:19" ht="15.6" thickTop="1" thickBot="1" x14ac:dyDescent="0.35">
      <c r="A1043" s="39"/>
      <c r="B1043" s="27" t="str" cm="1">
        <f t="array" ref="B1043">IF(
   OR(A1043="", $B$9="", $B$10="", $B$11=""),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3" s="27" t="str" cm="1">
        <f t="array" ref="C1043">IF(
   A1043="",
   "",
   _xlfn.LET(
      _xlpm.result,
      IFERROR(
         _xlfn.XLOOKUP(
            1,
            (Table8[رقم الصنف]=A1043) *
            (IF($B$9="الكل",1, YEAR('ادخال البيانات'!$N$3:$N$1164) = VALUE($B$9))) *
            (IF($B$10="الكل",1, MONTH('ادخال البيانات'!$N$3:$N$1164) = VALUE($B$10))) *
            (IF($B$11="الكل",1, INT((DAY('ادخال البيانات'!$N$3:$N$1164)-1)/7)+1 = VALUE($B$11))),
            'ادخال البيانات'!$C$3:$C$1164
         ),
         ""
      ),
      IF(_xlpm.result="", "", _xlpm.result)
   )
)</f>
        <v/>
      </c>
      <c r="D1043" s="27" t="str" cm="1">
        <f t="array" ref="D1043">IF(
   OR(A1043="", $B$9="", $B$10="", $B$11=""),
   "",
   _xlfn.LET(
      _xlpm.result,
      IFERROR(
         _xlfn.XLOOKUP(
            1,
            (Table8[رقم الصنف]=A1043) *
            (IF($B$9="الكل",1, YEAR('ادخال البيانات'!$N$3:$N$1164)=VALUE($B$9))) *
            (IF($B$10="الكل",1, MONTH('ادخال البيانات'!$N$3:$N$1164)=VALUE($B$10))) *
            (IF($B$11="الكل",1, INT((DAY('ادخال البيانات'!$N$3:$N$1164)-1)/7)+1 = VALUE($B$11))),
            'ادخال البيانات'!$D$3:$D$1164
         ),
         ""
      ),
      IF(_xlpm.result="", "", _xlpm.result)
   )
)</f>
        <v/>
      </c>
      <c r="E1043" s="27" t="str" cm="1">
        <f t="array" ref="E1043">IF(
   A1043="",
   "",
   _xlfn.LET(
      _xlpm.result,
      IFERROR(
         _xlfn.XLOOKUP(
            1,
            (Table8[رقم الصنف]=A1043) *
            (IF($B$9="الكل",1, YEAR('ادخال البيانات'!$N$3:$N$1164)=VALUE($B$9))) *
            (IF($B$10="الكل",1, MONTH('ادخال البيانات'!$N$3:$N$1164)=VALUE($B$10))) *
            (IF($B$11="الكل",1, INT((DAY('ادخال البيانات'!$N$3:$N$1164)-1)/7)+1 = VALUE($B$11))),
            'ادخال البيانات'!$E$3:$E$1164
         ),
         ""
      ),
      IF(_xlpm.result="", "", _xlpm.result)
   )
)</f>
        <v/>
      </c>
      <c r="F1043" s="27" t="str" cm="1">
        <f t="array" ref="F1043">IF(
   A1043="",
   "",
   _xlfn.LET(
      _xlpm.result,
      IFERROR(
         _xlfn.XLOOKUP(
            1,
            (Table8[رقم الصنف]=A1043) *
            (IF($B$9="الكل",1, YEAR('ادخال البيانات'!$N$3:$N$1164) = VALUE($B$9))) *
            (IF($B$10="الكل",1, MONTH('ادخال البيانات'!$N$3:$N$1164) = VALUE($B$10))) *
            (IF($B$11="الكل",1, INT((DAY('ادخال البيانات'!$N$3:$N$1164)-1)/7)+1 = VALUE($B$11))),
            'ادخال البيانات'!$F$3:$F$1164
         ),
         ""
      ),
      IF(_xlpm.result="", "", _xlpm.result)
   )
)</f>
        <v/>
      </c>
      <c r="G1043" s="27" t="str" cm="1">
        <f t="array" ref="G1043">IF(
   A1043="",
   "",
   _xlfn.LET(
      _xlpm.result,
      IFERROR(
         _xlfn.XLOOKUP(
            1,
            (Table8[رقم الصنف]=A1043) *
            (IF($B$9="الكل",1, YEAR('ادخال البيانات'!$N$3:$N$1164)=VALUE($B$9))) *
            (IF($B$10="الكل",1, MONTH('ادخال البيانات'!$N$3:$N$1164)=VALUE($B$10))) *
            (IF($B$11="الكل",1, INT((DAY('ادخال البيانات'!$N$3:$N$1164)-1)/7)+1 = VALUE($B$11))),
            'ادخال البيانات'!$G$3:$G$1164
         ),
         ""
      ),
      IF(_xlpm.result="", "", _xlpm.result)
   )
)</f>
        <v/>
      </c>
      <c r="H1043" s="27" t="str" cm="1">
        <f t="array" ref="H1043">IF(
   A1043="",
   "",
   _xlfn.LET(
      _xlpm.result,
      IFERROR(
         _xlfn.XLOOKUP(
            1,
            (Table8[رقم الصنف]=A1043) *
            (IF($B$9="الكل",1, YEAR('ادخال البيانات'!$N$3:$N$1164)=VALUE($B$9))) *
            (IF($B$10="الكل",1, MONTH('ادخال البيانات'!$N$3:$N$1164)=VALUE($B$10))) *
            (IF($B$11="الكل",1, INT((DAY('ادخال البيانات'!$N$3:$N$1164)-1)/7)+1 = VALUE($B$11))),
            'ادخال البيانات'!$H$3:$H$1164
         ),
         ""
      ),
      IF(_xlpm.result="", "", _xlpm.result)
   )
)</f>
        <v/>
      </c>
      <c r="I1043" s="27" t="str" cm="1">
        <f t="array" ref="I1043">IF(
   A1043="",
   "",
   _xlfn.LET(
      _xlpm.result,
      IFERROR(
         _xlfn.XLOOKUP(
            1,
            (Table8[رقم الصنف]=A1043) *
            (IF($B$9="الكل",1, YEAR('ادخال البيانات'!$N$3:$N$1164)=VALUE($B$9))) *
            (IF($B$10="الكل",1, MONTH('ادخال البيانات'!$N$3:$N$1164)=VALUE($B$10))) *
            (IF($B$11="الكل",1, INT((DAY('ادخال البيانات'!$N$3:$N$1164)-1)/7)+1 = VALUE($B$11))),
            'ادخال البيانات'!$I$3:$I$1164
         ),
         ""
      ),
      IF(_xlpm.result="", "", _xlpm.result)
   )
)</f>
        <v/>
      </c>
      <c r="J1043" s="27" t="str" cm="1">
        <f t="array" ref="J1043">IF(
   A1043="",
   "",
   _xlfn.LET(
      _xlpm.result,
      IFERROR(
         _xlfn.XLOOKUP(
            1,
            (Table8[رقم الصنف]=A1043) *
            (IF($B$9="الكل",1, YEAR('ادخال البيانات'!$N$3:$N$1164)=VALUE($B$9))) *
            (IF($B$10="الكل",1, MONTH('ادخال البيانات'!$N$3:$N$1164)=VALUE($B$10))) *
            (IF($B$11="الكل",1, INT((DAY('ادخال البيانات'!$N$3:$N$1164)-1)/7)+1 = VALUE($B$11))),
            'ادخال البيانات'!$J$3:$J$1164
         ),
         ""
      ),
      IF(_xlpm.result="", "", _xlpm.result)
   )
)</f>
        <v/>
      </c>
      <c r="K1043" s="27" t="str" cm="1">
        <f t="array" ref="K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3" s="27" t="str" cm="1">
        <f t="array" ref="L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3" s="27" t="str" cm="1">
        <f t="array" ref="M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3" s="28" t="str" cm="1">
        <f t="array" ref="N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3" s="28" t="str" cm="1">
        <f t="array" ref="O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3" s="27" t="str" cm="1">
        <f t="array" ref="P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Table8[جهة العطل]
         ),
         ""
      ),
      IF(_xlpm.result="", "", _xlpm.result)
   )
)</f>
        <v/>
      </c>
      <c r="Q1043" s="27" t="str" cm="1">
        <f t="array" ref="Q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Table8[المركز]
         ),
         ""
      ),
      IF(_xlpm.result="", "", _xlpm.result)
   )
)</f>
        <v/>
      </c>
      <c r="R1043" s="27" t="str" cm="1">
        <f t="array" ref="R1043">IF(
   A1043="",
   "",
   _xlfn.LET(
      _xlpm.result,
      IFERROR(
         _xlfn.XLOOKUP(
            1,
            (Table8[رقم الصنف]=A1043) *
            (IF($B$9="الكل",1, YEAR('ادخال البيانات'!$N$3:$N$1164) = VALUE($B$9))) *
            (IF($B$10="الكل",1, MONTH('ادخال البيانات'!$N$3:$N$1164) = VALUE($B$10))) *
            (IF($B$11="الكل",1, INT((DAY('ادخال البيانات'!$N$3:$N$1164) - 1) / 7) + 1 = VALUE($B$11))),
            Table8[ملاحظة]
         ),
         ""
      ),
      IF(_xlpm.result="", "", _xlpm.result)
   )
)</f>
        <v/>
      </c>
      <c r="S1043" s="46" t="str">
        <f t="shared" ca="1" si="17"/>
        <v/>
      </c>
    </row>
    <row r="1044" spans="1:19" ht="15.6" thickTop="1" thickBot="1" x14ac:dyDescent="0.35">
      <c r="A1044" s="39"/>
      <c r="B1044" s="27" t="str" cm="1">
        <f t="array" ref="B1044">IF(
   OR(A1044="", $B$9="", $B$10="", $B$11=""),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4" s="27" t="str" cm="1">
        <f t="array" ref="C1044">IF(
   A1044="",
   "",
   _xlfn.LET(
      _xlpm.result,
      IFERROR(
         _xlfn.XLOOKUP(
            1,
            (Table8[رقم الصنف]=A1044) *
            (IF($B$9="الكل",1, YEAR('ادخال البيانات'!$N$3:$N$1164) = VALUE($B$9))) *
            (IF($B$10="الكل",1, MONTH('ادخال البيانات'!$N$3:$N$1164) = VALUE($B$10))) *
            (IF($B$11="الكل",1, INT((DAY('ادخال البيانات'!$N$3:$N$1164)-1)/7)+1 = VALUE($B$11))),
            'ادخال البيانات'!$C$3:$C$1164
         ),
         ""
      ),
      IF(_xlpm.result="", "", _xlpm.result)
   )
)</f>
        <v/>
      </c>
      <c r="D1044" s="27" t="str" cm="1">
        <f t="array" ref="D1044">IF(
   OR(A1044="", $B$9="", $B$10="", $B$11=""),
   "",
   _xlfn.LET(
      _xlpm.result,
      IFERROR(
         _xlfn.XLOOKUP(
            1,
            (Table8[رقم الصنف]=A1044) *
            (IF($B$9="الكل",1, YEAR('ادخال البيانات'!$N$3:$N$1164)=VALUE($B$9))) *
            (IF($B$10="الكل",1, MONTH('ادخال البيانات'!$N$3:$N$1164)=VALUE($B$10))) *
            (IF($B$11="الكل",1, INT((DAY('ادخال البيانات'!$N$3:$N$1164)-1)/7)+1 = VALUE($B$11))),
            'ادخال البيانات'!$D$3:$D$1164
         ),
         ""
      ),
      IF(_xlpm.result="", "", _xlpm.result)
   )
)</f>
        <v/>
      </c>
      <c r="E1044" s="27" t="str" cm="1">
        <f t="array" ref="E1044">IF(
   A1044="",
   "",
   _xlfn.LET(
      _xlpm.result,
      IFERROR(
         _xlfn.XLOOKUP(
            1,
            (Table8[رقم الصنف]=A1044) *
            (IF($B$9="الكل",1, YEAR('ادخال البيانات'!$N$3:$N$1164)=VALUE($B$9))) *
            (IF($B$10="الكل",1, MONTH('ادخال البيانات'!$N$3:$N$1164)=VALUE($B$10))) *
            (IF($B$11="الكل",1, INT((DAY('ادخال البيانات'!$N$3:$N$1164)-1)/7)+1 = VALUE($B$11))),
            'ادخال البيانات'!$E$3:$E$1164
         ),
         ""
      ),
      IF(_xlpm.result="", "", _xlpm.result)
   )
)</f>
        <v/>
      </c>
      <c r="F1044" s="27" t="str" cm="1">
        <f t="array" ref="F1044">IF(
   A1044="",
   "",
   _xlfn.LET(
      _xlpm.result,
      IFERROR(
         _xlfn.XLOOKUP(
            1,
            (Table8[رقم الصنف]=A1044) *
            (IF($B$9="الكل",1, YEAR('ادخال البيانات'!$N$3:$N$1164) = VALUE($B$9))) *
            (IF($B$10="الكل",1, MONTH('ادخال البيانات'!$N$3:$N$1164) = VALUE($B$10))) *
            (IF($B$11="الكل",1, INT((DAY('ادخال البيانات'!$N$3:$N$1164)-1)/7)+1 = VALUE($B$11))),
            'ادخال البيانات'!$F$3:$F$1164
         ),
         ""
      ),
      IF(_xlpm.result="", "", _xlpm.result)
   )
)</f>
        <v/>
      </c>
      <c r="G1044" s="27" t="str" cm="1">
        <f t="array" ref="G1044">IF(
   A1044="",
   "",
   _xlfn.LET(
      _xlpm.result,
      IFERROR(
         _xlfn.XLOOKUP(
            1,
            (Table8[رقم الصنف]=A1044) *
            (IF($B$9="الكل",1, YEAR('ادخال البيانات'!$N$3:$N$1164)=VALUE($B$9))) *
            (IF($B$10="الكل",1, MONTH('ادخال البيانات'!$N$3:$N$1164)=VALUE($B$10))) *
            (IF($B$11="الكل",1, INT((DAY('ادخال البيانات'!$N$3:$N$1164)-1)/7)+1 = VALUE($B$11))),
            'ادخال البيانات'!$G$3:$G$1164
         ),
         ""
      ),
      IF(_xlpm.result="", "", _xlpm.result)
   )
)</f>
        <v/>
      </c>
      <c r="H1044" s="27" t="str" cm="1">
        <f t="array" ref="H1044">IF(
   A1044="",
   "",
   _xlfn.LET(
      _xlpm.result,
      IFERROR(
         _xlfn.XLOOKUP(
            1,
            (Table8[رقم الصنف]=A1044) *
            (IF($B$9="الكل",1, YEAR('ادخال البيانات'!$N$3:$N$1164)=VALUE($B$9))) *
            (IF($B$10="الكل",1, MONTH('ادخال البيانات'!$N$3:$N$1164)=VALUE($B$10))) *
            (IF($B$11="الكل",1, INT((DAY('ادخال البيانات'!$N$3:$N$1164)-1)/7)+1 = VALUE($B$11))),
            'ادخال البيانات'!$H$3:$H$1164
         ),
         ""
      ),
      IF(_xlpm.result="", "", _xlpm.result)
   )
)</f>
        <v/>
      </c>
      <c r="I1044" s="27" t="str" cm="1">
        <f t="array" ref="I1044">IF(
   A1044="",
   "",
   _xlfn.LET(
      _xlpm.result,
      IFERROR(
         _xlfn.XLOOKUP(
            1,
            (Table8[رقم الصنف]=A1044) *
            (IF($B$9="الكل",1, YEAR('ادخال البيانات'!$N$3:$N$1164)=VALUE($B$9))) *
            (IF($B$10="الكل",1, MONTH('ادخال البيانات'!$N$3:$N$1164)=VALUE($B$10))) *
            (IF($B$11="الكل",1, INT((DAY('ادخال البيانات'!$N$3:$N$1164)-1)/7)+1 = VALUE($B$11))),
            'ادخال البيانات'!$I$3:$I$1164
         ),
         ""
      ),
      IF(_xlpm.result="", "", _xlpm.result)
   )
)</f>
        <v/>
      </c>
      <c r="J1044" s="27" t="str" cm="1">
        <f t="array" ref="J1044">IF(
   A1044="",
   "",
   _xlfn.LET(
      _xlpm.result,
      IFERROR(
         _xlfn.XLOOKUP(
            1,
            (Table8[رقم الصنف]=A1044) *
            (IF($B$9="الكل",1, YEAR('ادخال البيانات'!$N$3:$N$1164)=VALUE($B$9))) *
            (IF($B$10="الكل",1, MONTH('ادخال البيانات'!$N$3:$N$1164)=VALUE($B$10))) *
            (IF($B$11="الكل",1, INT((DAY('ادخال البيانات'!$N$3:$N$1164)-1)/7)+1 = VALUE($B$11))),
            'ادخال البيانات'!$J$3:$J$1164
         ),
         ""
      ),
      IF(_xlpm.result="", "", _xlpm.result)
   )
)</f>
        <v/>
      </c>
      <c r="K1044" s="27" t="str" cm="1">
        <f t="array" ref="K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4" s="27" t="str" cm="1">
        <f t="array" ref="L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4" s="27" t="str" cm="1">
        <f t="array" ref="M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4" s="28" t="str" cm="1">
        <f t="array" ref="N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4" s="28" t="str" cm="1">
        <f t="array" ref="O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4" s="27" t="str" cm="1">
        <f t="array" ref="P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Table8[جهة العطل]
         ),
         ""
      ),
      IF(_xlpm.result="", "", _xlpm.result)
   )
)</f>
        <v/>
      </c>
      <c r="Q1044" s="27" t="str" cm="1">
        <f t="array" ref="Q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Table8[المركز]
         ),
         ""
      ),
      IF(_xlpm.result="", "", _xlpm.result)
   )
)</f>
        <v/>
      </c>
      <c r="R1044" s="27" t="str" cm="1">
        <f t="array" ref="R1044">IF(
   A1044="",
   "",
   _xlfn.LET(
      _xlpm.result,
      IFERROR(
         _xlfn.XLOOKUP(
            1,
            (Table8[رقم الصنف]=A1044) *
            (IF($B$9="الكل",1, YEAR('ادخال البيانات'!$N$3:$N$1164) = VALUE($B$9))) *
            (IF($B$10="الكل",1, MONTH('ادخال البيانات'!$N$3:$N$1164) = VALUE($B$10))) *
            (IF($B$11="الكل",1, INT((DAY('ادخال البيانات'!$N$3:$N$1164) - 1) / 7) + 1 = VALUE($B$11))),
            Table8[ملاحظة]
         ),
         ""
      ),
      IF(_xlpm.result="", "", _xlpm.result)
   )
)</f>
        <v/>
      </c>
      <c r="S1044" s="46" t="str">
        <f t="shared" ca="1" si="17"/>
        <v/>
      </c>
    </row>
    <row r="1045" spans="1:19" ht="15.6" thickTop="1" thickBot="1" x14ac:dyDescent="0.35">
      <c r="A1045" s="39"/>
      <c r="B1045" s="27" t="str" cm="1">
        <f t="array" ref="B1045">IF(
   OR(A1045="", $B$9="", $B$10="", $B$11=""),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5" s="27" t="str" cm="1">
        <f t="array" ref="C1045">IF(
   A1045="",
   "",
   _xlfn.LET(
      _xlpm.result,
      IFERROR(
         _xlfn.XLOOKUP(
            1,
            (Table8[رقم الصنف]=A1045) *
            (IF($B$9="الكل",1, YEAR('ادخال البيانات'!$N$3:$N$1164) = VALUE($B$9))) *
            (IF($B$10="الكل",1, MONTH('ادخال البيانات'!$N$3:$N$1164) = VALUE($B$10))) *
            (IF($B$11="الكل",1, INT((DAY('ادخال البيانات'!$N$3:$N$1164)-1)/7)+1 = VALUE($B$11))),
            'ادخال البيانات'!$C$3:$C$1164
         ),
         ""
      ),
      IF(_xlpm.result="", "", _xlpm.result)
   )
)</f>
        <v/>
      </c>
      <c r="D1045" s="27" t="str" cm="1">
        <f t="array" ref="D1045">IF(
   OR(A1045="", $B$9="", $B$10="", $B$11=""),
   "",
   _xlfn.LET(
      _xlpm.result,
      IFERROR(
         _xlfn.XLOOKUP(
            1,
            (Table8[رقم الصنف]=A1045) *
            (IF($B$9="الكل",1, YEAR('ادخال البيانات'!$N$3:$N$1164)=VALUE($B$9))) *
            (IF($B$10="الكل",1, MONTH('ادخال البيانات'!$N$3:$N$1164)=VALUE($B$10))) *
            (IF($B$11="الكل",1, INT((DAY('ادخال البيانات'!$N$3:$N$1164)-1)/7)+1 = VALUE($B$11))),
            'ادخال البيانات'!$D$3:$D$1164
         ),
         ""
      ),
      IF(_xlpm.result="", "", _xlpm.result)
   )
)</f>
        <v/>
      </c>
      <c r="E1045" s="27" t="str" cm="1">
        <f t="array" ref="E1045">IF(
   A1045="",
   "",
   _xlfn.LET(
      _xlpm.result,
      IFERROR(
         _xlfn.XLOOKUP(
            1,
            (Table8[رقم الصنف]=A1045) *
            (IF($B$9="الكل",1, YEAR('ادخال البيانات'!$N$3:$N$1164)=VALUE($B$9))) *
            (IF($B$10="الكل",1, MONTH('ادخال البيانات'!$N$3:$N$1164)=VALUE($B$10))) *
            (IF($B$11="الكل",1, INT((DAY('ادخال البيانات'!$N$3:$N$1164)-1)/7)+1 = VALUE($B$11))),
            'ادخال البيانات'!$E$3:$E$1164
         ),
         ""
      ),
      IF(_xlpm.result="", "", _xlpm.result)
   )
)</f>
        <v/>
      </c>
      <c r="F1045" s="27" t="str" cm="1">
        <f t="array" ref="F1045">IF(
   A1045="",
   "",
   _xlfn.LET(
      _xlpm.result,
      IFERROR(
         _xlfn.XLOOKUP(
            1,
            (Table8[رقم الصنف]=A1045) *
            (IF($B$9="الكل",1, YEAR('ادخال البيانات'!$N$3:$N$1164) = VALUE($B$9))) *
            (IF($B$10="الكل",1, MONTH('ادخال البيانات'!$N$3:$N$1164) = VALUE($B$10))) *
            (IF($B$11="الكل",1, INT((DAY('ادخال البيانات'!$N$3:$N$1164)-1)/7)+1 = VALUE($B$11))),
            'ادخال البيانات'!$F$3:$F$1164
         ),
         ""
      ),
      IF(_xlpm.result="", "", _xlpm.result)
   )
)</f>
        <v/>
      </c>
      <c r="G1045" s="27" t="str" cm="1">
        <f t="array" ref="G1045">IF(
   A1045="",
   "",
   _xlfn.LET(
      _xlpm.result,
      IFERROR(
         _xlfn.XLOOKUP(
            1,
            (Table8[رقم الصنف]=A1045) *
            (IF($B$9="الكل",1, YEAR('ادخال البيانات'!$N$3:$N$1164)=VALUE($B$9))) *
            (IF($B$10="الكل",1, MONTH('ادخال البيانات'!$N$3:$N$1164)=VALUE($B$10))) *
            (IF($B$11="الكل",1, INT((DAY('ادخال البيانات'!$N$3:$N$1164)-1)/7)+1 = VALUE($B$11))),
            'ادخال البيانات'!$G$3:$G$1164
         ),
         ""
      ),
      IF(_xlpm.result="", "", _xlpm.result)
   )
)</f>
        <v/>
      </c>
      <c r="H1045" s="27" t="str" cm="1">
        <f t="array" ref="H1045">IF(
   A1045="",
   "",
   _xlfn.LET(
      _xlpm.result,
      IFERROR(
         _xlfn.XLOOKUP(
            1,
            (Table8[رقم الصنف]=A1045) *
            (IF($B$9="الكل",1, YEAR('ادخال البيانات'!$N$3:$N$1164)=VALUE($B$9))) *
            (IF($B$10="الكل",1, MONTH('ادخال البيانات'!$N$3:$N$1164)=VALUE($B$10))) *
            (IF($B$11="الكل",1, INT((DAY('ادخال البيانات'!$N$3:$N$1164)-1)/7)+1 = VALUE($B$11))),
            'ادخال البيانات'!$H$3:$H$1164
         ),
         ""
      ),
      IF(_xlpm.result="", "", _xlpm.result)
   )
)</f>
        <v/>
      </c>
      <c r="I1045" s="27" t="str" cm="1">
        <f t="array" ref="I1045">IF(
   A1045="",
   "",
   _xlfn.LET(
      _xlpm.result,
      IFERROR(
         _xlfn.XLOOKUP(
            1,
            (Table8[رقم الصنف]=A1045) *
            (IF($B$9="الكل",1, YEAR('ادخال البيانات'!$N$3:$N$1164)=VALUE($B$9))) *
            (IF($B$10="الكل",1, MONTH('ادخال البيانات'!$N$3:$N$1164)=VALUE($B$10))) *
            (IF($B$11="الكل",1, INT((DAY('ادخال البيانات'!$N$3:$N$1164)-1)/7)+1 = VALUE($B$11))),
            'ادخال البيانات'!$I$3:$I$1164
         ),
         ""
      ),
      IF(_xlpm.result="", "", _xlpm.result)
   )
)</f>
        <v/>
      </c>
      <c r="J1045" s="27" t="str" cm="1">
        <f t="array" ref="J1045">IF(
   A1045="",
   "",
   _xlfn.LET(
      _xlpm.result,
      IFERROR(
         _xlfn.XLOOKUP(
            1,
            (Table8[رقم الصنف]=A1045) *
            (IF($B$9="الكل",1, YEAR('ادخال البيانات'!$N$3:$N$1164)=VALUE($B$9))) *
            (IF($B$10="الكل",1, MONTH('ادخال البيانات'!$N$3:$N$1164)=VALUE($B$10))) *
            (IF($B$11="الكل",1, INT((DAY('ادخال البيانات'!$N$3:$N$1164)-1)/7)+1 = VALUE($B$11))),
            'ادخال البيانات'!$J$3:$J$1164
         ),
         ""
      ),
      IF(_xlpm.result="", "", _xlpm.result)
   )
)</f>
        <v/>
      </c>
      <c r="K1045" s="27" t="str" cm="1">
        <f t="array" ref="K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5" s="27" t="str" cm="1">
        <f t="array" ref="L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5" s="27" t="str" cm="1">
        <f t="array" ref="M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5" s="28" t="str" cm="1">
        <f t="array" ref="N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5" s="28" t="str" cm="1">
        <f t="array" ref="O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5" s="27" t="str" cm="1">
        <f t="array" ref="P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Table8[جهة العطل]
         ),
         ""
      ),
      IF(_xlpm.result="", "", _xlpm.result)
   )
)</f>
        <v/>
      </c>
      <c r="Q1045" s="27" t="str" cm="1">
        <f t="array" ref="Q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Table8[المركز]
         ),
         ""
      ),
      IF(_xlpm.result="", "", _xlpm.result)
   )
)</f>
        <v/>
      </c>
      <c r="R1045" s="27" t="str" cm="1">
        <f t="array" ref="R1045">IF(
   A1045="",
   "",
   _xlfn.LET(
      _xlpm.result,
      IFERROR(
         _xlfn.XLOOKUP(
            1,
            (Table8[رقم الصنف]=A1045) *
            (IF($B$9="الكل",1, YEAR('ادخال البيانات'!$N$3:$N$1164) = VALUE($B$9))) *
            (IF($B$10="الكل",1, MONTH('ادخال البيانات'!$N$3:$N$1164) = VALUE($B$10))) *
            (IF($B$11="الكل",1, INT((DAY('ادخال البيانات'!$N$3:$N$1164) - 1) / 7) + 1 = VALUE($B$11))),
            Table8[ملاحظة]
         ),
         ""
      ),
      IF(_xlpm.result="", "", _xlpm.result)
   )
)</f>
        <v/>
      </c>
      <c r="S1045" s="46" t="str">
        <f t="shared" ca="1" si="17"/>
        <v/>
      </c>
    </row>
    <row r="1046" spans="1:19" ht="15.6" thickTop="1" thickBot="1" x14ac:dyDescent="0.35">
      <c r="A1046" s="39"/>
      <c r="B1046" s="27" t="str" cm="1">
        <f t="array" ref="B1046">IF(
   OR(A1046="", $B$9="", $B$10="", $B$11=""),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6" s="27" t="str" cm="1">
        <f t="array" ref="C1046">IF(
   A1046="",
   "",
   _xlfn.LET(
      _xlpm.result,
      IFERROR(
         _xlfn.XLOOKUP(
            1,
            (Table8[رقم الصنف]=A1046) *
            (IF($B$9="الكل",1, YEAR('ادخال البيانات'!$N$3:$N$1164) = VALUE($B$9))) *
            (IF($B$10="الكل",1, MONTH('ادخال البيانات'!$N$3:$N$1164) = VALUE($B$10))) *
            (IF($B$11="الكل",1, INT((DAY('ادخال البيانات'!$N$3:$N$1164)-1)/7)+1 = VALUE($B$11))),
            'ادخال البيانات'!$C$3:$C$1164
         ),
         ""
      ),
      IF(_xlpm.result="", "", _xlpm.result)
   )
)</f>
        <v/>
      </c>
      <c r="D1046" s="27" t="str" cm="1">
        <f t="array" ref="D1046">IF(
   OR(A1046="", $B$9="", $B$10="", $B$11=""),
   "",
   _xlfn.LET(
      _xlpm.result,
      IFERROR(
         _xlfn.XLOOKUP(
            1,
            (Table8[رقم الصنف]=A1046) *
            (IF($B$9="الكل",1, YEAR('ادخال البيانات'!$N$3:$N$1164)=VALUE($B$9))) *
            (IF($B$10="الكل",1, MONTH('ادخال البيانات'!$N$3:$N$1164)=VALUE($B$10))) *
            (IF($B$11="الكل",1, INT((DAY('ادخال البيانات'!$N$3:$N$1164)-1)/7)+1 = VALUE($B$11))),
            'ادخال البيانات'!$D$3:$D$1164
         ),
         ""
      ),
      IF(_xlpm.result="", "", _xlpm.result)
   )
)</f>
        <v/>
      </c>
      <c r="E1046" s="27" t="str" cm="1">
        <f t="array" ref="E1046">IF(
   A1046="",
   "",
   _xlfn.LET(
      _xlpm.result,
      IFERROR(
         _xlfn.XLOOKUP(
            1,
            (Table8[رقم الصنف]=A1046) *
            (IF($B$9="الكل",1, YEAR('ادخال البيانات'!$N$3:$N$1164)=VALUE($B$9))) *
            (IF($B$10="الكل",1, MONTH('ادخال البيانات'!$N$3:$N$1164)=VALUE($B$10))) *
            (IF($B$11="الكل",1, INT((DAY('ادخال البيانات'!$N$3:$N$1164)-1)/7)+1 = VALUE($B$11))),
            'ادخال البيانات'!$E$3:$E$1164
         ),
         ""
      ),
      IF(_xlpm.result="", "", _xlpm.result)
   )
)</f>
        <v/>
      </c>
      <c r="F1046" s="27" t="str" cm="1">
        <f t="array" ref="F1046">IF(
   A1046="",
   "",
   _xlfn.LET(
      _xlpm.result,
      IFERROR(
         _xlfn.XLOOKUP(
            1,
            (Table8[رقم الصنف]=A1046) *
            (IF($B$9="الكل",1, YEAR('ادخال البيانات'!$N$3:$N$1164) = VALUE($B$9))) *
            (IF($B$10="الكل",1, MONTH('ادخال البيانات'!$N$3:$N$1164) = VALUE($B$10))) *
            (IF($B$11="الكل",1, INT((DAY('ادخال البيانات'!$N$3:$N$1164)-1)/7)+1 = VALUE($B$11))),
            'ادخال البيانات'!$F$3:$F$1164
         ),
         ""
      ),
      IF(_xlpm.result="", "", _xlpm.result)
   )
)</f>
        <v/>
      </c>
      <c r="G1046" s="27" t="str" cm="1">
        <f t="array" ref="G1046">IF(
   A1046="",
   "",
   _xlfn.LET(
      _xlpm.result,
      IFERROR(
         _xlfn.XLOOKUP(
            1,
            (Table8[رقم الصنف]=A1046) *
            (IF($B$9="الكل",1, YEAR('ادخال البيانات'!$N$3:$N$1164)=VALUE($B$9))) *
            (IF($B$10="الكل",1, MONTH('ادخال البيانات'!$N$3:$N$1164)=VALUE($B$10))) *
            (IF($B$11="الكل",1, INT((DAY('ادخال البيانات'!$N$3:$N$1164)-1)/7)+1 = VALUE($B$11))),
            'ادخال البيانات'!$G$3:$G$1164
         ),
         ""
      ),
      IF(_xlpm.result="", "", _xlpm.result)
   )
)</f>
        <v/>
      </c>
      <c r="H1046" s="27" t="str" cm="1">
        <f t="array" ref="H1046">IF(
   A1046="",
   "",
   _xlfn.LET(
      _xlpm.result,
      IFERROR(
         _xlfn.XLOOKUP(
            1,
            (Table8[رقم الصنف]=A1046) *
            (IF($B$9="الكل",1, YEAR('ادخال البيانات'!$N$3:$N$1164)=VALUE($B$9))) *
            (IF($B$10="الكل",1, MONTH('ادخال البيانات'!$N$3:$N$1164)=VALUE($B$10))) *
            (IF($B$11="الكل",1, INT((DAY('ادخال البيانات'!$N$3:$N$1164)-1)/7)+1 = VALUE($B$11))),
            'ادخال البيانات'!$H$3:$H$1164
         ),
         ""
      ),
      IF(_xlpm.result="", "", _xlpm.result)
   )
)</f>
        <v/>
      </c>
      <c r="I1046" s="27" t="str" cm="1">
        <f t="array" ref="I1046">IF(
   A1046="",
   "",
   _xlfn.LET(
      _xlpm.result,
      IFERROR(
         _xlfn.XLOOKUP(
            1,
            (Table8[رقم الصنف]=A1046) *
            (IF($B$9="الكل",1, YEAR('ادخال البيانات'!$N$3:$N$1164)=VALUE($B$9))) *
            (IF($B$10="الكل",1, MONTH('ادخال البيانات'!$N$3:$N$1164)=VALUE($B$10))) *
            (IF($B$11="الكل",1, INT((DAY('ادخال البيانات'!$N$3:$N$1164)-1)/7)+1 = VALUE($B$11))),
            'ادخال البيانات'!$I$3:$I$1164
         ),
         ""
      ),
      IF(_xlpm.result="", "", _xlpm.result)
   )
)</f>
        <v/>
      </c>
      <c r="J1046" s="27" t="str" cm="1">
        <f t="array" ref="J1046">IF(
   A1046="",
   "",
   _xlfn.LET(
      _xlpm.result,
      IFERROR(
         _xlfn.XLOOKUP(
            1,
            (Table8[رقم الصنف]=A1046) *
            (IF($B$9="الكل",1, YEAR('ادخال البيانات'!$N$3:$N$1164)=VALUE($B$9))) *
            (IF($B$10="الكل",1, MONTH('ادخال البيانات'!$N$3:$N$1164)=VALUE($B$10))) *
            (IF($B$11="الكل",1, INT((DAY('ادخال البيانات'!$N$3:$N$1164)-1)/7)+1 = VALUE($B$11))),
            'ادخال البيانات'!$J$3:$J$1164
         ),
         ""
      ),
      IF(_xlpm.result="", "", _xlpm.result)
   )
)</f>
        <v/>
      </c>
      <c r="K1046" s="27" t="str" cm="1">
        <f t="array" ref="K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6" s="27" t="str" cm="1">
        <f t="array" ref="L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6" s="27" t="str" cm="1">
        <f t="array" ref="M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6" s="28" t="str" cm="1">
        <f t="array" ref="N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6" s="28" t="str" cm="1">
        <f t="array" ref="O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6" s="27" t="str" cm="1">
        <f t="array" ref="P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Table8[جهة العطل]
         ),
         ""
      ),
      IF(_xlpm.result="", "", _xlpm.result)
   )
)</f>
        <v/>
      </c>
      <c r="Q1046" s="27" t="str" cm="1">
        <f t="array" ref="Q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Table8[المركز]
         ),
         ""
      ),
      IF(_xlpm.result="", "", _xlpm.result)
   )
)</f>
        <v/>
      </c>
      <c r="R1046" s="27" t="str" cm="1">
        <f t="array" ref="R1046">IF(
   A1046="",
   "",
   _xlfn.LET(
      _xlpm.result,
      IFERROR(
         _xlfn.XLOOKUP(
            1,
            (Table8[رقم الصنف]=A1046) *
            (IF($B$9="الكل",1, YEAR('ادخال البيانات'!$N$3:$N$1164) = VALUE($B$9))) *
            (IF($B$10="الكل",1, MONTH('ادخال البيانات'!$N$3:$N$1164) = VALUE($B$10))) *
            (IF($B$11="الكل",1, INT((DAY('ادخال البيانات'!$N$3:$N$1164) - 1) / 7) + 1 = VALUE($B$11))),
            Table8[ملاحظة]
         ),
         ""
      ),
      IF(_xlpm.result="", "", _xlpm.result)
   )
)</f>
        <v/>
      </c>
      <c r="S1046" s="46" t="str">
        <f t="shared" ca="1" si="17"/>
        <v/>
      </c>
    </row>
    <row r="1047" spans="1:19" ht="15.6" thickTop="1" thickBot="1" x14ac:dyDescent="0.35">
      <c r="A1047" s="39"/>
      <c r="B1047" s="27" t="str" cm="1">
        <f t="array" ref="B1047">IF(
   OR(A1047="", $B$9="", $B$10="", $B$11=""),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7" s="27" t="str" cm="1">
        <f t="array" ref="C1047">IF(
   A1047="",
   "",
   _xlfn.LET(
      _xlpm.result,
      IFERROR(
         _xlfn.XLOOKUP(
            1,
            (Table8[رقم الصنف]=A1047) *
            (IF($B$9="الكل",1, YEAR('ادخال البيانات'!$N$3:$N$1164) = VALUE($B$9))) *
            (IF($B$10="الكل",1, MONTH('ادخال البيانات'!$N$3:$N$1164) = VALUE($B$10))) *
            (IF($B$11="الكل",1, INT((DAY('ادخال البيانات'!$N$3:$N$1164)-1)/7)+1 = VALUE($B$11))),
            'ادخال البيانات'!$C$3:$C$1164
         ),
         ""
      ),
      IF(_xlpm.result="", "", _xlpm.result)
   )
)</f>
        <v/>
      </c>
      <c r="D1047" s="27" t="str" cm="1">
        <f t="array" ref="D1047">IF(
   OR(A1047="", $B$9="", $B$10="", $B$11=""),
   "",
   _xlfn.LET(
      _xlpm.result,
      IFERROR(
         _xlfn.XLOOKUP(
            1,
            (Table8[رقم الصنف]=A1047) *
            (IF($B$9="الكل",1, YEAR('ادخال البيانات'!$N$3:$N$1164)=VALUE($B$9))) *
            (IF($B$10="الكل",1, MONTH('ادخال البيانات'!$N$3:$N$1164)=VALUE($B$10))) *
            (IF($B$11="الكل",1, INT((DAY('ادخال البيانات'!$N$3:$N$1164)-1)/7)+1 = VALUE($B$11))),
            'ادخال البيانات'!$D$3:$D$1164
         ),
         ""
      ),
      IF(_xlpm.result="", "", _xlpm.result)
   )
)</f>
        <v/>
      </c>
      <c r="E1047" s="27" t="str" cm="1">
        <f t="array" ref="E1047">IF(
   A1047="",
   "",
   _xlfn.LET(
      _xlpm.result,
      IFERROR(
         _xlfn.XLOOKUP(
            1,
            (Table8[رقم الصنف]=A1047) *
            (IF($B$9="الكل",1, YEAR('ادخال البيانات'!$N$3:$N$1164)=VALUE($B$9))) *
            (IF($B$10="الكل",1, MONTH('ادخال البيانات'!$N$3:$N$1164)=VALUE($B$10))) *
            (IF($B$11="الكل",1, INT((DAY('ادخال البيانات'!$N$3:$N$1164)-1)/7)+1 = VALUE($B$11))),
            'ادخال البيانات'!$E$3:$E$1164
         ),
         ""
      ),
      IF(_xlpm.result="", "", _xlpm.result)
   )
)</f>
        <v/>
      </c>
      <c r="F1047" s="27" t="str" cm="1">
        <f t="array" ref="F1047">IF(
   A1047="",
   "",
   _xlfn.LET(
      _xlpm.result,
      IFERROR(
         _xlfn.XLOOKUP(
            1,
            (Table8[رقم الصنف]=A1047) *
            (IF($B$9="الكل",1, YEAR('ادخال البيانات'!$N$3:$N$1164) = VALUE($B$9))) *
            (IF($B$10="الكل",1, MONTH('ادخال البيانات'!$N$3:$N$1164) = VALUE($B$10))) *
            (IF($B$11="الكل",1, INT((DAY('ادخال البيانات'!$N$3:$N$1164)-1)/7)+1 = VALUE($B$11))),
            'ادخال البيانات'!$F$3:$F$1164
         ),
         ""
      ),
      IF(_xlpm.result="", "", _xlpm.result)
   )
)</f>
        <v/>
      </c>
      <c r="G1047" s="27" t="str" cm="1">
        <f t="array" ref="G1047">IF(
   A1047="",
   "",
   _xlfn.LET(
      _xlpm.result,
      IFERROR(
         _xlfn.XLOOKUP(
            1,
            (Table8[رقم الصنف]=A1047) *
            (IF($B$9="الكل",1, YEAR('ادخال البيانات'!$N$3:$N$1164)=VALUE($B$9))) *
            (IF($B$10="الكل",1, MONTH('ادخال البيانات'!$N$3:$N$1164)=VALUE($B$10))) *
            (IF($B$11="الكل",1, INT((DAY('ادخال البيانات'!$N$3:$N$1164)-1)/7)+1 = VALUE($B$11))),
            'ادخال البيانات'!$G$3:$G$1164
         ),
         ""
      ),
      IF(_xlpm.result="", "", _xlpm.result)
   )
)</f>
        <v/>
      </c>
      <c r="H1047" s="27" t="str" cm="1">
        <f t="array" ref="H1047">IF(
   A1047="",
   "",
   _xlfn.LET(
      _xlpm.result,
      IFERROR(
         _xlfn.XLOOKUP(
            1,
            (Table8[رقم الصنف]=A1047) *
            (IF($B$9="الكل",1, YEAR('ادخال البيانات'!$N$3:$N$1164)=VALUE($B$9))) *
            (IF($B$10="الكل",1, MONTH('ادخال البيانات'!$N$3:$N$1164)=VALUE($B$10))) *
            (IF($B$11="الكل",1, INT((DAY('ادخال البيانات'!$N$3:$N$1164)-1)/7)+1 = VALUE($B$11))),
            'ادخال البيانات'!$H$3:$H$1164
         ),
         ""
      ),
      IF(_xlpm.result="", "", _xlpm.result)
   )
)</f>
        <v/>
      </c>
      <c r="I1047" s="27" t="str" cm="1">
        <f t="array" ref="I1047">IF(
   A1047="",
   "",
   _xlfn.LET(
      _xlpm.result,
      IFERROR(
         _xlfn.XLOOKUP(
            1,
            (Table8[رقم الصنف]=A1047) *
            (IF($B$9="الكل",1, YEAR('ادخال البيانات'!$N$3:$N$1164)=VALUE($B$9))) *
            (IF($B$10="الكل",1, MONTH('ادخال البيانات'!$N$3:$N$1164)=VALUE($B$10))) *
            (IF($B$11="الكل",1, INT((DAY('ادخال البيانات'!$N$3:$N$1164)-1)/7)+1 = VALUE($B$11))),
            'ادخال البيانات'!$I$3:$I$1164
         ),
         ""
      ),
      IF(_xlpm.result="", "", _xlpm.result)
   )
)</f>
        <v/>
      </c>
      <c r="J1047" s="27" t="str" cm="1">
        <f t="array" ref="J1047">IF(
   A1047="",
   "",
   _xlfn.LET(
      _xlpm.result,
      IFERROR(
         _xlfn.XLOOKUP(
            1,
            (Table8[رقم الصنف]=A1047) *
            (IF($B$9="الكل",1, YEAR('ادخال البيانات'!$N$3:$N$1164)=VALUE($B$9))) *
            (IF($B$10="الكل",1, MONTH('ادخال البيانات'!$N$3:$N$1164)=VALUE($B$10))) *
            (IF($B$11="الكل",1, INT((DAY('ادخال البيانات'!$N$3:$N$1164)-1)/7)+1 = VALUE($B$11))),
            'ادخال البيانات'!$J$3:$J$1164
         ),
         ""
      ),
      IF(_xlpm.result="", "", _xlpm.result)
   )
)</f>
        <v/>
      </c>
      <c r="K1047" s="27" t="str" cm="1">
        <f t="array" ref="K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7" s="27" t="str" cm="1">
        <f t="array" ref="L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7" s="27" t="str" cm="1">
        <f t="array" ref="M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7" s="28" t="str" cm="1">
        <f t="array" ref="N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7" s="28" t="str" cm="1">
        <f t="array" ref="O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7" s="27" t="str" cm="1">
        <f t="array" ref="P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Table8[جهة العطل]
         ),
         ""
      ),
      IF(_xlpm.result="", "", _xlpm.result)
   )
)</f>
        <v/>
      </c>
      <c r="Q1047" s="27" t="str" cm="1">
        <f t="array" ref="Q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Table8[المركز]
         ),
         ""
      ),
      IF(_xlpm.result="", "", _xlpm.result)
   )
)</f>
        <v/>
      </c>
      <c r="R1047" s="27" t="str" cm="1">
        <f t="array" ref="R1047">IF(
   A1047="",
   "",
   _xlfn.LET(
      _xlpm.result,
      IFERROR(
         _xlfn.XLOOKUP(
            1,
            (Table8[رقم الصنف]=A1047) *
            (IF($B$9="الكل",1, YEAR('ادخال البيانات'!$N$3:$N$1164) = VALUE($B$9))) *
            (IF($B$10="الكل",1, MONTH('ادخال البيانات'!$N$3:$N$1164) = VALUE($B$10))) *
            (IF($B$11="الكل",1, INT((DAY('ادخال البيانات'!$N$3:$N$1164) - 1) / 7) + 1 = VALUE($B$11))),
            Table8[ملاحظة]
         ),
         ""
      ),
      IF(_xlpm.result="", "", _xlpm.result)
   )
)</f>
        <v/>
      </c>
      <c r="S1047" s="46" t="str">
        <f t="shared" ca="1" si="17"/>
        <v/>
      </c>
    </row>
    <row r="1048" spans="1:19" ht="15.6" thickTop="1" thickBot="1" x14ac:dyDescent="0.35">
      <c r="A1048" s="39"/>
      <c r="B1048" s="27" t="str" cm="1">
        <f t="array" ref="B1048">IF(
   OR(A1048="", $B$9="", $B$10="", $B$11=""),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8" s="27" t="str" cm="1">
        <f t="array" ref="C1048">IF(
   A1048="",
   "",
   _xlfn.LET(
      _xlpm.result,
      IFERROR(
         _xlfn.XLOOKUP(
            1,
            (Table8[رقم الصنف]=A1048) *
            (IF($B$9="الكل",1, YEAR('ادخال البيانات'!$N$3:$N$1164) = VALUE($B$9))) *
            (IF($B$10="الكل",1, MONTH('ادخال البيانات'!$N$3:$N$1164) = VALUE($B$10))) *
            (IF($B$11="الكل",1, INT((DAY('ادخال البيانات'!$N$3:$N$1164)-1)/7)+1 = VALUE($B$11))),
            'ادخال البيانات'!$C$3:$C$1164
         ),
         ""
      ),
      IF(_xlpm.result="", "", _xlpm.result)
   )
)</f>
        <v/>
      </c>
      <c r="D1048" s="27" t="str" cm="1">
        <f t="array" ref="D1048">IF(
   OR(A1048="", $B$9="", $B$10="", $B$11=""),
   "",
   _xlfn.LET(
      _xlpm.result,
      IFERROR(
         _xlfn.XLOOKUP(
            1,
            (Table8[رقم الصنف]=A1048) *
            (IF($B$9="الكل",1, YEAR('ادخال البيانات'!$N$3:$N$1164)=VALUE($B$9))) *
            (IF($B$10="الكل",1, MONTH('ادخال البيانات'!$N$3:$N$1164)=VALUE($B$10))) *
            (IF($B$11="الكل",1, INT((DAY('ادخال البيانات'!$N$3:$N$1164)-1)/7)+1 = VALUE($B$11))),
            'ادخال البيانات'!$D$3:$D$1164
         ),
         ""
      ),
      IF(_xlpm.result="", "", _xlpm.result)
   )
)</f>
        <v/>
      </c>
      <c r="E1048" s="27" t="str" cm="1">
        <f t="array" ref="E1048">IF(
   A1048="",
   "",
   _xlfn.LET(
      _xlpm.result,
      IFERROR(
         _xlfn.XLOOKUP(
            1,
            (Table8[رقم الصنف]=A1048) *
            (IF($B$9="الكل",1, YEAR('ادخال البيانات'!$N$3:$N$1164)=VALUE($B$9))) *
            (IF($B$10="الكل",1, MONTH('ادخال البيانات'!$N$3:$N$1164)=VALUE($B$10))) *
            (IF($B$11="الكل",1, INT((DAY('ادخال البيانات'!$N$3:$N$1164)-1)/7)+1 = VALUE($B$11))),
            'ادخال البيانات'!$E$3:$E$1164
         ),
         ""
      ),
      IF(_xlpm.result="", "", _xlpm.result)
   )
)</f>
        <v/>
      </c>
      <c r="F1048" s="27" t="str" cm="1">
        <f t="array" ref="F1048">IF(
   A1048="",
   "",
   _xlfn.LET(
      _xlpm.result,
      IFERROR(
         _xlfn.XLOOKUP(
            1,
            (Table8[رقم الصنف]=A1048) *
            (IF($B$9="الكل",1, YEAR('ادخال البيانات'!$N$3:$N$1164) = VALUE($B$9))) *
            (IF($B$10="الكل",1, MONTH('ادخال البيانات'!$N$3:$N$1164) = VALUE($B$10))) *
            (IF($B$11="الكل",1, INT((DAY('ادخال البيانات'!$N$3:$N$1164)-1)/7)+1 = VALUE($B$11))),
            'ادخال البيانات'!$F$3:$F$1164
         ),
         ""
      ),
      IF(_xlpm.result="", "", _xlpm.result)
   )
)</f>
        <v/>
      </c>
      <c r="G1048" s="27" t="str" cm="1">
        <f t="array" ref="G1048">IF(
   A1048="",
   "",
   _xlfn.LET(
      _xlpm.result,
      IFERROR(
         _xlfn.XLOOKUP(
            1,
            (Table8[رقم الصنف]=A1048) *
            (IF($B$9="الكل",1, YEAR('ادخال البيانات'!$N$3:$N$1164)=VALUE($B$9))) *
            (IF($B$10="الكل",1, MONTH('ادخال البيانات'!$N$3:$N$1164)=VALUE($B$10))) *
            (IF($B$11="الكل",1, INT((DAY('ادخال البيانات'!$N$3:$N$1164)-1)/7)+1 = VALUE($B$11))),
            'ادخال البيانات'!$G$3:$G$1164
         ),
         ""
      ),
      IF(_xlpm.result="", "", _xlpm.result)
   )
)</f>
        <v/>
      </c>
      <c r="H1048" s="27" t="str" cm="1">
        <f t="array" ref="H1048">IF(
   A1048="",
   "",
   _xlfn.LET(
      _xlpm.result,
      IFERROR(
         _xlfn.XLOOKUP(
            1,
            (Table8[رقم الصنف]=A1048) *
            (IF($B$9="الكل",1, YEAR('ادخال البيانات'!$N$3:$N$1164)=VALUE($B$9))) *
            (IF($B$10="الكل",1, MONTH('ادخال البيانات'!$N$3:$N$1164)=VALUE($B$10))) *
            (IF($B$11="الكل",1, INT((DAY('ادخال البيانات'!$N$3:$N$1164)-1)/7)+1 = VALUE($B$11))),
            'ادخال البيانات'!$H$3:$H$1164
         ),
         ""
      ),
      IF(_xlpm.result="", "", _xlpm.result)
   )
)</f>
        <v/>
      </c>
      <c r="I1048" s="27" t="str" cm="1">
        <f t="array" ref="I1048">IF(
   A1048="",
   "",
   _xlfn.LET(
      _xlpm.result,
      IFERROR(
         _xlfn.XLOOKUP(
            1,
            (Table8[رقم الصنف]=A1048) *
            (IF($B$9="الكل",1, YEAR('ادخال البيانات'!$N$3:$N$1164)=VALUE($B$9))) *
            (IF($B$10="الكل",1, MONTH('ادخال البيانات'!$N$3:$N$1164)=VALUE($B$10))) *
            (IF($B$11="الكل",1, INT((DAY('ادخال البيانات'!$N$3:$N$1164)-1)/7)+1 = VALUE($B$11))),
            'ادخال البيانات'!$I$3:$I$1164
         ),
         ""
      ),
      IF(_xlpm.result="", "", _xlpm.result)
   )
)</f>
        <v/>
      </c>
      <c r="J1048" s="27" t="str" cm="1">
        <f t="array" ref="J1048">IF(
   A1048="",
   "",
   _xlfn.LET(
      _xlpm.result,
      IFERROR(
         _xlfn.XLOOKUP(
            1,
            (Table8[رقم الصنف]=A1048) *
            (IF($B$9="الكل",1, YEAR('ادخال البيانات'!$N$3:$N$1164)=VALUE($B$9))) *
            (IF($B$10="الكل",1, MONTH('ادخال البيانات'!$N$3:$N$1164)=VALUE($B$10))) *
            (IF($B$11="الكل",1, INT((DAY('ادخال البيانات'!$N$3:$N$1164)-1)/7)+1 = VALUE($B$11))),
            'ادخال البيانات'!$J$3:$J$1164
         ),
         ""
      ),
      IF(_xlpm.result="", "", _xlpm.result)
   )
)</f>
        <v/>
      </c>
      <c r="K1048" s="27" t="str" cm="1">
        <f t="array" ref="K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8" s="27" t="str" cm="1">
        <f t="array" ref="L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8" s="27" t="str" cm="1">
        <f t="array" ref="M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8" s="28" t="str" cm="1">
        <f t="array" ref="N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8" s="28" t="str" cm="1">
        <f t="array" ref="O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8" s="27" t="str" cm="1">
        <f t="array" ref="P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Table8[جهة العطل]
         ),
         ""
      ),
      IF(_xlpm.result="", "", _xlpm.result)
   )
)</f>
        <v/>
      </c>
      <c r="Q1048" s="27" t="str" cm="1">
        <f t="array" ref="Q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Table8[المركز]
         ),
         ""
      ),
      IF(_xlpm.result="", "", _xlpm.result)
   )
)</f>
        <v/>
      </c>
      <c r="R1048" s="27" t="str" cm="1">
        <f t="array" ref="R1048">IF(
   A1048="",
   "",
   _xlfn.LET(
      _xlpm.result,
      IFERROR(
         _xlfn.XLOOKUP(
            1,
            (Table8[رقم الصنف]=A1048) *
            (IF($B$9="الكل",1, YEAR('ادخال البيانات'!$N$3:$N$1164) = VALUE($B$9))) *
            (IF($B$10="الكل",1, MONTH('ادخال البيانات'!$N$3:$N$1164) = VALUE($B$10))) *
            (IF($B$11="الكل",1, INT((DAY('ادخال البيانات'!$N$3:$N$1164) - 1) / 7) + 1 = VALUE($B$11))),
            Table8[ملاحظة]
         ),
         ""
      ),
      IF(_xlpm.result="", "", _xlpm.result)
   )
)</f>
        <v/>
      </c>
      <c r="S1048" s="46" t="str">
        <f t="shared" ca="1" si="17"/>
        <v/>
      </c>
    </row>
    <row r="1049" spans="1:19" ht="15.6" thickTop="1" thickBot="1" x14ac:dyDescent="0.35">
      <c r="A1049" s="39"/>
      <c r="B1049" s="27" t="str" cm="1">
        <f t="array" ref="B1049">IF(
   OR(A1049="", $B$9="", $B$10="", $B$11=""),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49" s="27" t="str" cm="1">
        <f t="array" ref="C1049">IF(
   A1049="",
   "",
   _xlfn.LET(
      _xlpm.result,
      IFERROR(
         _xlfn.XLOOKUP(
            1,
            (Table8[رقم الصنف]=A1049) *
            (IF($B$9="الكل",1, YEAR('ادخال البيانات'!$N$3:$N$1164) = VALUE($B$9))) *
            (IF($B$10="الكل",1, MONTH('ادخال البيانات'!$N$3:$N$1164) = VALUE($B$10))) *
            (IF($B$11="الكل",1, INT((DAY('ادخال البيانات'!$N$3:$N$1164)-1)/7)+1 = VALUE($B$11))),
            'ادخال البيانات'!$C$3:$C$1164
         ),
         ""
      ),
      IF(_xlpm.result="", "", _xlpm.result)
   )
)</f>
        <v/>
      </c>
      <c r="D1049" s="27" t="str" cm="1">
        <f t="array" ref="D1049">IF(
   OR(A1049="", $B$9="", $B$10="", $B$11=""),
   "",
   _xlfn.LET(
      _xlpm.result,
      IFERROR(
         _xlfn.XLOOKUP(
            1,
            (Table8[رقم الصنف]=A1049) *
            (IF($B$9="الكل",1, YEAR('ادخال البيانات'!$N$3:$N$1164)=VALUE($B$9))) *
            (IF($B$10="الكل",1, MONTH('ادخال البيانات'!$N$3:$N$1164)=VALUE($B$10))) *
            (IF($B$11="الكل",1, INT((DAY('ادخال البيانات'!$N$3:$N$1164)-1)/7)+1 = VALUE($B$11))),
            'ادخال البيانات'!$D$3:$D$1164
         ),
         ""
      ),
      IF(_xlpm.result="", "", _xlpm.result)
   )
)</f>
        <v/>
      </c>
      <c r="E1049" s="27" t="str" cm="1">
        <f t="array" ref="E1049">IF(
   A1049="",
   "",
   _xlfn.LET(
      _xlpm.result,
      IFERROR(
         _xlfn.XLOOKUP(
            1,
            (Table8[رقم الصنف]=A1049) *
            (IF($B$9="الكل",1, YEAR('ادخال البيانات'!$N$3:$N$1164)=VALUE($B$9))) *
            (IF($B$10="الكل",1, MONTH('ادخال البيانات'!$N$3:$N$1164)=VALUE($B$10))) *
            (IF($B$11="الكل",1, INT((DAY('ادخال البيانات'!$N$3:$N$1164)-1)/7)+1 = VALUE($B$11))),
            'ادخال البيانات'!$E$3:$E$1164
         ),
         ""
      ),
      IF(_xlpm.result="", "", _xlpm.result)
   )
)</f>
        <v/>
      </c>
      <c r="F1049" s="27" t="str" cm="1">
        <f t="array" ref="F1049">IF(
   A1049="",
   "",
   _xlfn.LET(
      _xlpm.result,
      IFERROR(
         _xlfn.XLOOKUP(
            1,
            (Table8[رقم الصنف]=A1049) *
            (IF($B$9="الكل",1, YEAR('ادخال البيانات'!$N$3:$N$1164) = VALUE($B$9))) *
            (IF($B$10="الكل",1, MONTH('ادخال البيانات'!$N$3:$N$1164) = VALUE($B$10))) *
            (IF($B$11="الكل",1, INT((DAY('ادخال البيانات'!$N$3:$N$1164)-1)/7)+1 = VALUE($B$11))),
            'ادخال البيانات'!$F$3:$F$1164
         ),
         ""
      ),
      IF(_xlpm.result="", "", _xlpm.result)
   )
)</f>
        <v/>
      </c>
      <c r="G1049" s="27" t="str" cm="1">
        <f t="array" ref="G1049">IF(
   A1049="",
   "",
   _xlfn.LET(
      _xlpm.result,
      IFERROR(
         _xlfn.XLOOKUP(
            1,
            (Table8[رقم الصنف]=A1049) *
            (IF($B$9="الكل",1, YEAR('ادخال البيانات'!$N$3:$N$1164)=VALUE($B$9))) *
            (IF($B$10="الكل",1, MONTH('ادخال البيانات'!$N$3:$N$1164)=VALUE($B$10))) *
            (IF($B$11="الكل",1, INT((DAY('ادخال البيانات'!$N$3:$N$1164)-1)/7)+1 = VALUE($B$11))),
            'ادخال البيانات'!$G$3:$G$1164
         ),
         ""
      ),
      IF(_xlpm.result="", "", _xlpm.result)
   )
)</f>
        <v/>
      </c>
      <c r="H1049" s="27" t="str" cm="1">
        <f t="array" ref="H1049">IF(
   A1049="",
   "",
   _xlfn.LET(
      _xlpm.result,
      IFERROR(
         _xlfn.XLOOKUP(
            1,
            (Table8[رقم الصنف]=A1049) *
            (IF($B$9="الكل",1, YEAR('ادخال البيانات'!$N$3:$N$1164)=VALUE($B$9))) *
            (IF($B$10="الكل",1, MONTH('ادخال البيانات'!$N$3:$N$1164)=VALUE($B$10))) *
            (IF($B$11="الكل",1, INT((DAY('ادخال البيانات'!$N$3:$N$1164)-1)/7)+1 = VALUE($B$11))),
            'ادخال البيانات'!$H$3:$H$1164
         ),
         ""
      ),
      IF(_xlpm.result="", "", _xlpm.result)
   )
)</f>
        <v/>
      </c>
      <c r="I1049" s="27" t="str" cm="1">
        <f t="array" ref="I1049">IF(
   A1049="",
   "",
   _xlfn.LET(
      _xlpm.result,
      IFERROR(
         _xlfn.XLOOKUP(
            1,
            (Table8[رقم الصنف]=A1049) *
            (IF($B$9="الكل",1, YEAR('ادخال البيانات'!$N$3:$N$1164)=VALUE($B$9))) *
            (IF($B$10="الكل",1, MONTH('ادخال البيانات'!$N$3:$N$1164)=VALUE($B$10))) *
            (IF($B$11="الكل",1, INT((DAY('ادخال البيانات'!$N$3:$N$1164)-1)/7)+1 = VALUE($B$11))),
            'ادخال البيانات'!$I$3:$I$1164
         ),
         ""
      ),
      IF(_xlpm.result="", "", _xlpm.result)
   )
)</f>
        <v/>
      </c>
      <c r="J1049" s="27" t="str" cm="1">
        <f t="array" ref="J1049">IF(
   A1049="",
   "",
   _xlfn.LET(
      _xlpm.result,
      IFERROR(
         _xlfn.XLOOKUP(
            1,
            (Table8[رقم الصنف]=A1049) *
            (IF($B$9="الكل",1, YEAR('ادخال البيانات'!$N$3:$N$1164)=VALUE($B$9))) *
            (IF($B$10="الكل",1, MONTH('ادخال البيانات'!$N$3:$N$1164)=VALUE($B$10))) *
            (IF($B$11="الكل",1, INT((DAY('ادخال البيانات'!$N$3:$N$1164)-1)/7)+1 = VALUE($B$11))),
            'ادخال البيانات'!$J$3:$J$1164
         ),
         ""
      ),
      IF(_xlpm.result="", "", _xlpm.result)
   )
)</f>
        <v/>
      </c>
      <c r="K1049" s="27" t="str" cm="1">
        <f t="array" ref="K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49" s="27" t="str" cm="1">
        <f t="array" ref="L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49" s="27" t="str" cm="1">
        <f t="array" ref="M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49" s="28" t="str" cm="1">
        <f t="array" ref="N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49" s="28" t="str" cm="1">
        <f t="array" ref="O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49" s="27" t="str" cm="1">
        <f t="array" ref="P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Table8[جهة العطل]
         ),
         ""
      ),
      IF(_xlpm.result="", "", _xlpm.result)
   )
)</f>
        <v/>
      </c>
      <c r="Q1049" s="27" t="str" cm="1">
        <f t="array" ref="Q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Table8[المركز]
         ),
         ""
      ),
      IF(_xlpm.result="", "", _xlpm.result)
   )
)</f>
        <v/>
      </c>
      <c r="R1049" s="27" t="str" cm="1">
        <f t="array" ref="R1049">IF(
   A1049="",
   "",
   _xlfn.LET(
      _xlpm.result,
      IFERROR(
         _xlfn.XLOOKUP(
            1,
            (Table8[رقم الصنف]=A1049) *
            (IF($B$9="الكل",1, YEAR('ادخال البيانات'!$N$3:$N$1164) = VALUE($B$9))) *
            (IF($B$10="الكل",1, MONTH('ادخال البيانات'!$N$3:$N$1164) = VALUE($B$10))) *
            (IF($B$11="الكل",1, INT((DAY('ادخال البيانات'!$N$3:$N$1164) - 1) / 7) + 1 = VALUE($B$11))),
            Table8[ملاحظة]
         ),
         ""
      ),
      IF(_xlpm.result="", "", _xlpm.result)
   )
)</f>
        <v/>
      </c>
      <c r="S1049" s="46" t="str">
        <f t="shared" ca="1" si="17"/>
        <v/>
      </c>
    </row>
    <row r="1050" spans="1:19" ht="15.6" thickTop="1" thickBot="1" x14ac:dyDescent="0.35">
      <c r="A1050" s="39"/>
      <c r="B1050" s="27" t="str" cm="1">
        <f t="array" ref="B1050">IF(
   OR(A1050="", $B$9="", $B$10="", $B$11=""),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0" s="27" t="str" cm="1">
        <f t="array" ref="C1050">IF(
   A1050="",
   "",
   _xlfn.LET(
      _xlpm.result,
      IFERROR(
         _xlfn.XLOOKUP(
            1,
            (Table8[رقم الصنف]=A1050) *
            (IF($B$9="الكل",1, YEAR('ادخال البيانات'!$N$3:$N$1164) = VALUE($B$9))) *
            (IF($B$10="الكل",1, MONTH('ادخال البيانات'!$N$3:$N$1164) = VALUE($B$10))) *
            (IF($B$11="الكل",1, INT((DAY('ادخال البيانات'!$N$3:$N$1164)-1)/7)+1 = VALUE($B$11))),
            'ادخال البيانات'!$C$3:$C$1164
         ),
         ""
      ),
      IF(_xlpm.result="", "", _xlpm.result)
   )
)</f>
        <v/>
      </c>
      <c r="D1050" s="27" t="str" cm="1">
        <f t="array" ref="D1050">IF(
   OR(A1050="", $B$9="", $B$10="", $B$11=""),
   "",
   _xlfn.LET(
      _xlpm.result,
      IFERROR(
         _xlfn.XLOOKUP(
            1,
            (Table8[رقم الصنف]=A1050) *
            (IF($B$9="الكل",1, YEAR('ادخال البيانات'!$N$3:$N$1164)=VALUE($B$9))) *
            (IF($B$10="الكل",1, MONTH('ادخال البيانات'!$N$3:$N$1164)=VALUE($B$10))) *
            (IF($B$11="الكل",1, INT((DAY('ادخال البيانات'!$N$3:$N$1164)-1)/7)+1 = VALUE($B$11))),
            'ادخال البيانات'!$D$3:$D$1164
         ),
         ""
      ),
      IF(_xlpm.result="", "", _xlpm.result)
   )
)</f>
        <v/>
      </c>
      <c r="E1050" s="27" t="str" cm="1">
        <f t="array" ref="E1050">IF(
   A1050="",
   "",
   _xlfn.LET(
      _xlpm.result,
      IFERROR(
         _xlfn.XLOOKUP(
            1,
            (Table8[رقم الصنف]=A1050) *
            (IF($B$9="الكل",1, YEAR('ادخال البيانات'!$N$3:$N$1164)=VALUE($B$9))) *
            (IF($B$10="الكل",1, MONTH('ادخال البيانات'!$N$3:$N$1164)=VALUE($B$10))) *
            (IF($B$11="الكل",1, INT((DAY('ادخال البيانات'!$N$3:$N$1164)-1)/7)+1 = VALUE($B$11))),
            'ادخال البيانات'!$E$3:$E$1164
         ),
         ""
      ),
      IF(_xlpm.result="", "", _xlpm.result)
   )
)</f>
        <v/>
      </c>
      <c r="F1050" s="27" t="str" cm="1">
        <f t="array" ref="F1050">IF(
   A1050="",
   "",
   _xlfn.LET(
      _xlpm.result,
      IFERROR(
         _xlfn.XLOOKUP(
            1,
            (Table8[رقم الصنف]=A1050) *
            (IF($B$9="الكل",1, YEAR('ادخال البيانات'!$N$3:$N$1164) = VALUE($B$9))) *
            (IF($B$10="الكل",1, MONTH('ادخال البيانات'!$N$3:$N$1164) = VALUE($B$10))) *
            (IF($B$11="الكل",1, INT((DAY('ادخال البيانات'!$N$3:$N$1164)-1)/7)+1 = VALUE($B$11))),
            'ادخال البيانات'!$F$3:$F$1164
         ),
         ""
      ),
      IF(_xlpm.result="", "", _xlpm.result)
   )
)</f>
        <v/>
      </c>
      <c r="G1050" s="27" t="str" cm="1">
        <f t="array" ref="G1050">IF(
   A1050="",
   "",
   _xlfn.LET(
      _xlpm.result,
      IFERROR(
         _xlfn.XLOOKUP(
            1,
            (Table8[رقم الصنف]=A1050) *
            (IF($B$9="الكل",1, YEAR('ادخال البيانات'!$N$3:$N$1164)=VALUE($B$9))) *
            (IF($B$10="الكل",1, MONTH('ادخال البيانات'!$N$3:$N$1164)=VALUE($B$10))) *
            (IF($B$11="الكل",1, INT((DAY('ادخال البيانات'!$N$3:$N$1164)-1)/7)+1 = VALUE($B$11))),
            'ادخال البيانات'!$G$3:$G$1164
         ),
         ""
      ),
      IF(_xlpm.result="", "", _xlpm.result)
   )
)</f>
        <v/>
      </c>
      <c r="H1050" s="27" t="str" cm="1">
        <f t="array" ref="H1050">IF(
   A1050="",
   "",
   _xlfn.LET(
      _xlpm.result,
      IFERROR(
         _xlfn.XLOOKUP(
            1,
            (Table8[رقم الصنف]=A1050) *
            (IF($B$9="الكل",1, YEAR('ادخال البيانات'!$N$3:$N$1164)=VALUE($B$9))) *
            (IF($B$10="الكل",1, MONTH('ادخال البيانات'!$N$3:$N$1164)=VALUE($B$10))) *
            (IF($B$11="الكل",1, INT((DAY('ادخال البيانات'!$N$3:$N$1164)-1)/7)+1 = VALUE($B$11))),
            'ادخال البيانات'!$H$3:$H$1164
         ),
         ""
      ),
      IF(_xlpm.result="", "", _xlpm.result)
   )
)</f>
        <v/>
      </c>
      <c r="I1050" s="27" t="str" cm="1">
        <f t="array" ref="I1050">IF(
   A1050="",
   "",
   _xlfn.LET(
      _xlpm.result,
      IFERROR(
         _xlfn.XLOOKUP(
            1,
            (Table8[رقم الصنف]=A1050) *
            (IF($B$9="الكل",1, YEAR('ادخال البيانات'!$N$3:$N$1164)=VALUE($B$9))) *
            (IF($B$10="الكل",1, MONTH('ادخال البيانات'!$N$3:$N$1164)=VALUE($B$10))) *
            (IF($B$11="الكل",1, INT((DAY('ادخال البيانات'!$N$3:$N$1164)-1)/7)+1 = VALUE($B$11))),
            'ادخال البيانات'!$I$3:$I$1164
         ),
         ""
      ),
      IF(_xlpm.result="", "", _xlpm.result)
   )
)</f>
        <v/>
      </c>
      <c r="J1050" s="27" t="str" cm="1">
        <f t="array" ref="J1050">IF(
   A1050="",
   "",
   _xlfn.LET(
      _xlpm.result,
      IFERROR(
         _xlfn.XLOOKUP(
            1,
            (Table8[رقم الصنف]=A1050) *
            (IF($B$9="الكل",1, YEAR('ادخال البيانات'!$N$3:$N$1164)=VALUE($B$9))) *
            (IF($B$10="الكل",1, MONTH('ادخال البيانات'!$N$3:$N$1164)=VALUE($B$10))) *
            (IF($B$11="الكل",1, INT((DAY('ادخال البيانات'!$N$3:$N$1164)-1)/7)+1 = VALUE($B$11))),
            'ادخال البيانات'!$J$3:$J$1164
         ),
         ""
      ),
      IF(_xlpm.result="", "", _xlpm.result)
   )
)</f>
        <v/>
      </c>
      <c r="K1050" s="27" t="str" cm="1">
        <f t="array" ref="K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0" s="27" t="str" cm="1">
        <f t="array" ref="L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0" s="27" t="str" cm="1">
        <f t="array" ref="M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0" s="28" t="str" cm="1">
        <f t="array" ref="N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0" s="28" t="str" cm="1">
        <f t="array" ref="O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0" s="27" t="str" cm="1">
        <f t="array" ref="P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Table8[جهة العطل]
         ),
         ""
      ),
      IF(_xlpm.result="", "", _xlpm.result)
   )
)</f>
        <v/>
      </c>
      <c r="Q1050" s="27" t="str" cm="1">
        <f t="array" ref="Q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Table8[المركز]
         ),
         ""
      ),
      IF(_xlpm.result="", "", _xlpm.result)
   )
)</f>
        <v/>
      </c>
      <c r="R1050" s="27" t="str" cm="1">
        <f t="array" ref="R1050">IF(
   A1050="",
   "",
   _xlfn.LET(
      _xlpm.result,
      IFERROR(
         _xlfn.XLOOKUP(
            1,
            (Table8[رقم الصنف]=A1050) *
            (IF($B$9="الكل",1, YEAR('ادخال البيانات'!$N$3:$N$1164) = VALUE($B$9))) *
            (IF($B$10="الكل",1, MONTH('ادخال البيانات'!$N$3:$N$1164) = VALUE($B$10))) *
            (IF($B$11="الكل",1, INT((DAY('ادخال البيانات'!$N$3:$N$1164) - 1) / 7) + 1 = VALUE($B$11))),
            Table8[ملاحظة]
         ),
         ""
      ),
      IF(_xlpm.result="", "", _xlpm.result)
   )
)</f>
        <v/>
      </c>
      <c r="S1050" s="46" t="str">
        <f t="shared" ca="1" si="17"/>
        <v/>
      </c>
    </row>
    <row r="1051" spans="1:19" ht="15.6" thickTop="1" thickBot="1" x14ac:dyDescent="0.35">
      <c r="A1051" s="39"/>
      <c r="B1051" s="27" t="str" cm="1">
        <f t="array" ref="B1051">IF(
   OR(A1051="", $B$9="", $B$10="", $B$11=""),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1" s="27" t="str" cm="1">
        <f t="array" ref="C1051">IF(
   A1051="",
   "",
   _xlfn.LET(
      _xlpm.result,
      IFERROR(
         _xlfn.XLOOKUP(
            1,
            (Table8[رقم الصنف]=A1051) *
            (IF($B$9="الكل",1, YEAR('ادخال البيانات'!$N$3:$N$1164) = VALUE($B$9))) *
            (IF($B$10="الكل",1, MONTH('ادخال البيانات'!$N$3:$N$1164) = VALUE($B$10))) *
            (IF($B$11="الكل",1, INT((DAY('ادخال البيانات'!$N$3:$N$1164)-1)/7)+1 = VALUE($B$11))),
            'ادخال البيانات'!$C$3:$C$1164
         ),
         ""
      ),
      IF(_xlpm.result="", "", _xlpm.result)
   )
)</f>
        <v/>
      </c>
      <c r="D1051" s="27" t="str" cm="1">
        <f t="array" ref="D1051">IF(
   OR(A1051="", $B$9="", $B$10="", $B$11=""),
   "",
   _xlfn.LET(
      _xlpm.result,
      IFERROR(
         _xlfn.XLOOKUP(
            1,
            (Table8[رقم الصنف]=A1051) *
            (IF($B$9="الكل",1, YEAR('ادخال البيانات'!$N$3:$N$1164)=VALUE($B$9))) *
            (IF($B$10="الكل",1, MONTH('ادخال البيانات'!$N$3:$N$1164)=VALUE($B$10))) *
            (IF($B$11="الكل",1, INT((DAY('ادخال البيانات'!$N$3:$N$1164)-1)/7)+1 = VALUE($B$11))),
            'ادخال البيانات'!$D$3:$D$1164
         ),
         ""
      ),
      IF(_xlpm.result="", "", _xlpm.result)
   )
)</f>
        <v/>
      </c>
      <c r="E1051" s="27" t="str" cm="1">
        <f t="array" ref="E1051">IF(
   A1051="",
   "",
   _xlfn.LET(
      _xlpm.result,
      IFERROR(
         _xlfn.XLOOKUP(
            1,
            (Table8[رقم الصنف]=A1051) *
            (IF($B$9="الكل",1, YEAR('ادخال البيانات'!$N$3:$N$1164)=VALUE($B$9))) *
            (IF($B$10="الكل",1, MONTH('ادخال البيانات'!$N$3:$N$1164)=VALUE($B$10))) *
            (IF($B$11="الكل",1, INT((DAY('ادخال البيانات'!$N$3:$N$1164)-1)/7)+1 = VALUE($B$11))),
            'ادخال البيانات'!$E$3:$E$1164
         ),
         ""
      ),
      IF(_xlpm.result="", "", _xlpm.result)
   )
)</f>
        <v/>
      </c>
      <c r="F1051" s="27" t="str" cm="1">
        <f t="array" ref="F1051">IF(
   A1051="",
   "",
   _xlfn.LET(
      _xlpm.result,
      IFERROR(
         _xlfn.XLOOKUP(
            1,
            (Table8[رقم الصنف]=A1051) *
            (IF($B$9="الكل",1, YEAR('ادخال البيانات'!$N$3:$N$1164) = VALUE($B$9))) *
            (IF($B$10="الكل",1, MONTH('ادخال البيانات'!$N$3:$N$1164) = VALUE($B$10))) *
            (IF($B$11="الكل",1, INT((DAY('ادخال البيانات'!$N$3:$N$1164)-1)/7)+1 = VALUE($B$11))),
            'ادخال البيانات'!$F$3:$F$1164
         ),
         ""
      ),
      IF(_xlpm.result="", "", _xlpm.result)
   )
)</f>
        <v/>
      </c>
      <c r="G1051" s="27" t="str" cm="1">
        <f t="array" ref="G1051">IF(
   A1051="",
   "",
   _xlfn.LET(
      _xlpm.result,
      IFERROR(
         _xlfn.XLOOKUP(
            1,
            (Table8[رقم الصنف]=A1051) *
            (IF($B$9="الكل",1, YEAR('ادخال البيانات'!$N$3:$N$1164)=VALUE($B$9))) *
            (IF($B$10="الكل",1, MONTH('ادخال البيانات'!$N$3:$N$1164)=VALUE($B$10))) *
            (IF($B$11="الكل",1, INT((DAY('ادخال البيانات'!$N$3:$N$1164)-1)/7)+1 = VALUE($B$11))),
            'ادخال البيانات'!$G$3:$G$1164
         ),
         ""
      ),
      IF(_xlpm.result="", "", _xlpm.result)
   )
)</f>
        <v/>
      </c>
      <c r="H1051" s="27" t="str" cm="1">
        <f t="array" ref="H1051">IF(
   A1051="",
   "",
   _xlfn.LET(
      _xlpm.result,
      IFERROR(
         _xlfn.XLOOKUP(
            1,
            (Table8[رقم الصنف]=A1051) *
            (IF($B$9="الكل",1, YEAR('ادخال البيانات'!$N$3:$N$1164)=VALUE($B$9))) *
            (IF($B$10="الكل",1, MONTH('ادخال البيانات'!$N$3:$N$1164)=VALUE($B$10))) *
            (IF($B$11="الكل",1, INT((DAY('ادخال البيانات'!$N$3:$N$1164)-1)/7)+1 = VALUE($B$11))),
            'ادخال البيانات'!$H$3:$H$1164
         ),
         ""
      ),
      IF(_xlpm.result="", "", _xlpm.result)
   )
)</f>
        <v/>
      </c>
      <c r="I1051" s="27" t="str" cm="1">
        <f t="array" ref="I1051">IF(
   A1051="",
   "",
   _xlfn.LET(
      _xlpm.result,
      IFERROR(
         _xlfn.XLOOKUP(
            1,
            (Table8[رقم الصنف]=A1051) *
            (IF($B$9="الكل",1, YEAR('ادخال البيانات'!$N$3:$N$1164)=VALUE($B$9))) *
            (IF($B$10="الكل",1, MONTH('ادخال البيانات'!$N$3:$N$1164)=VALUE($B$10))) *
            (IF($B$11="الكل",1, INT((DAY('ادخال البيانات'!$N$3:$N$1164)-1)/7)+1 = VALUE($B$11))),
            'ادخال البيانات'!$I$3:$I$1164
         ),
         ""
      ),
      IF(_xlpm.result="", "", _xlpm.result)
   )
)</f>
        <v/>
      </c>
      <c r="J1051" s="27" t="str" cm="1">
        <f t="array" ref="J1051">IF(
   A1051="",
   "",
   _xlfn.LET(
      _xlpm.result,
      IFERROR(
         _xlfn.XLOOKUP(
            1,
            (Table8[رقم الصنف]=A1051) *
            (IF($B$9="الكل",1, YEAR('ادخال البيانات'!$N$3:$N$1164)=VALUE($B$9))) *
            (IF($B$10="الكل",1, MONTH('ادخال البيانات'!$N$3:$N$1164)=VALUE($B$10))) *
            (IF($B$11="الكل",1, INT((DAY('ادخال البيانات'!$N$3:$N$1164)-1)/7)+1 = VALUE($B$11))),
            'ادخال البيانات'!$J$3:$J$1164
         ),
         ""
      ),
      IF(_xlpm.result="", "", _xlpm.result)
   )
)</f>
        <v/>
      </c>
      <c r="K1051" s="27" t="str" cm="1">
        <f t="array" ref="K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1" s="27" t="str" cm="1">
        <f t="array" ref="L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1" s="27" t="str" cm="1">
        <f t="array" ref="M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1" s="28" t="str" cm="1">
        <f t="array" ref="N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1" s="28" t="str" cm="1">
        <f t="array" ref="O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1" s="27" t="str" cm="1">
        <f t="array" ref="P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Table8[جهة العطل]
         ),
         ""
      ),
      IF(_xlpm.result="", "", _xlpm.result)
   )
)</f>
        <v/>
      </c>
      <c r="Q1051" s="27" t="str" cm="1">
        <f t="array" ref="Q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Table8[المركز]
         ),
         ""
      ),
      IF(_xlpm.result="", "", _xlpm.result)
   )
)</f>
        <v/>
      </c>
      <c r="R1051" s="27" t="str" cm="1">
        <f t="array" ref="R1051">IF(
   A1051="",
   "",
   _xlfn.LET(
      _xlpm.result,
      IFERROR(
         _xlfn.XLOOKUP(
            1,
            (Table8[رقم الصنف]=A1051) *
            (IF($B$9="الكل",1, YEAR('ادخال البيانات'!$N$3:$N$1164) = VALUE($B$9))) *
            (IF($B$10="الكل",1, MONTH('ادخال البيانات'!$N$3:$N$1164) = VALUE($B$10))) *
            (IF($B$11="الكل",1, INT((DAY('ادخال البيانات'!$N$3:$N$1164) - 1) / 7) + 1 = VALUE($B$11))),
            Table8[ملاحظة]
         ),
         ""
      ),
      IF(_xlpm.result="", "", _xlpm.result)
   )
)</f>
        <v/>
      </c>
      <c r="S1051" s="46" t="str">
        <f t="shared" ca="1" si="17"/>
        <v/>
      </c>
    </row>
    <row r="1052" spans="1:19" ht="15.6" thickTop="1" thickBot="1" x14ac:dyDescent="0.35">
      <c r="A1052" s="39"/>
      <c r="B1052" s="27" t="str" cm="1">
        <f t="array" ref="B1052">IF(
   OR(A1052="", $B$9="", $B$10="", $B$11=""),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2" s="27" t="str" cm="1">
        <f t="array" ref="C1052">IF(
   A1052="",
   "",
   _xlfn.LET(
      _xlpm.result,
      IFERROR(
         _xlfn.XLOOKUP(
            1,
            (Table8[رقم الصنف]=A1052) *
            (IF($B$9="الكل",1, YEAR('ادخال البيانات'!$N$3:$N$1164) = VALUE($B$9))) *
            (IF($B$10="الكل",1, MONTH('ادخال البيانات'!$N$3:$N$1164) = VALUE($B$10))) *
            (IF($B$11="الكل",1, INT((DAY('ادخال البيانات'!$N$3:$N$1164)-1)/7)+1 = VALUE($B$11))),
            'ادخال البيانات'!$C$3:$C$1164
         ),
         ""
      ),
      IF(_xlpm.result="", "", _xlpm.result)
   )
)</f>
        <v/>
      </c>
      <c r="D1052" s="27" t="str" cm="1">
        <f t="array" ref="D1052">IF(
   OR(A1052="", $B$9="", $B$10="", $B$11=""),
   "",
   _xlfn.LET(
      _xlpm.result,
      IFERROR(
         _xlfn.XLOOKUP(
            1,
            (Table8[رقم الصنف]=A1052) *
            (IF($B$9="الكل",1, YEAR('ادخال البيانات'!$N$3:$N$1164)=VALUE($B$9))) *
            (IF($B$10="الكل",1, MONTH('ادخال البيانات'!$N$3:$N$1164)=VALUE($B$10))) *
            (IF($B$11="الكل",1, INT((DAY('ادخال البيانات'!$N$3:$N$1164)-1)/7)+1 = VALUE($B$11))),
            'ادخال البيانات'!$D$3:$D$1164
         ),
         ""
      ),
      IF(_xlpm.result="", "", _xlpm.result)
   )
)</f>
        <v/>
      </c>
      <c r="E1052" s="27" t="str" cm="1">
        <f t="array" ref="E1052">IF(
   A1052="",
   "",
   _xlfn.LET(
      _xlpm.result,
      IFERROR(
         _xlfn.XLOOKUP(
            1,
            (Table8[رقم الصنف]=A1052) *
            (IF($B$9="الكل",1, YEAR('ادخال البيانات'!$N$3:$N$1164)=VALUE($B$9))) *
            (IF($B$10="الكل",1, MONTH('ادخال البيانات'!$N$3:$N$1164)=VALUE($B$10))) *
            (IF($B$11="الكل",1, INT((DAY('ادخال البيانات'!$N$3:$N$1164)-1)/7)+1 = VALUE($B$11))),
            'ادخال البيانات'!$E$3:$E$1164
         ),
         ""
      ),
      IF(_xlpm.result="", "", _xlpm.result)
   )
)</f>
        <v/>
      </c>
      <c r="F1052" s="27" t="str" cm="1">
        <f t="array" ref="F1052">IF(
   A1052="",
   "",
   _xlfn.LET(
      _xlpm.result,
      IFERROR(
         _xlfn.XLOOKUP(
            1,
            (Table8[رقم الصنف]=A1052) *
            (IF($B$9="الكل",1, YEAR('ادخال البيانات'!$N$3:$N$1164) = VALUE($B$9))) *
            (IF($B$10="الكل",1, MONTH('ادخال البيانات'!$N$3:$N$1164) = VALUE($B$10))) *
            (IF($B$11="الكل",1, INT((DAY('ادخال البيانات'!$N$3:$N$1164)-1)/7)+1 = VALUE($B$11))),
            'ادخال البيانات'!$F$3:$F$1164
         ),
         ""
      ),
      IF(_xlpm.result="", "", _xlpm.result)
   )
)</f>
        <v/>
      </c>
      <c r="G1052" s="27" t="str" cm="1">
        <f t="array" ref="G1052">IF(
   A1052="",
   "",
   _xlfn.LET(
      _xlpm.result,
      IFERROR(
         _xlfn.XLOOKUP(
            1,
            (Table8[رقم الصنف]=A1052) *
            (IF($B$9="الكل",1, YEAR('ادخال البيانات'!$N$3:$N$1164)=VALUE($B$9))) *
            (IF($B$10="الكل",1, MONTH('ادخال البيانات'!$N$3:$N$1164)=VALUE($B$10))) *
            (IF($B$11="الكل",1, INT((DAY('ادخال البيانات'!$N$3:$N$1164)-1)/7)+1 = VALUE($B$11))),
            'ادخال البيانات'!$G$3:$G$1164
         ),
         ""
      ),
      IF(_xlpm.result="", "", _xlpm.result)
   )
)</f>
        <v/>
      </c>
      <c r="H1052" s="27" t="str" cm="1">
        <f t="array" ref="H1052">IF(
   A1052="",
   "",
   _xlfn.LET(
      _xlpm.result,
      IFERROR(
         _xlfn.XLOOKUP(
            1,
            (Table8[رقم الصنف]=A1052) *
            (IF($B$9="الكل",1, YEAR('ادخال البيانات'!$N$3:$N$1164)=VALUE($B$9))) *
            (IF($B$10="الكل",1, MONTH('ادخال البيانات'!$N$3:$N$1164)=VALUE($B$10))) *
            (IF($B$11="الكل",1, INT((DAY('ادخال البيانات'!$N$3:$N$1164)-1)/7)+1 = VALUE($B$11))),
            'ادخال البيانات'!$H$3:$H$1164
         ),
         ""
      ),
      IF(_xlpm.result="", "", _xlpm.result)
   )
)</f>
        <v/>
      </c>
      <c r="I1052" s="27" t="str" cm="1">
        <f t="array" ref="I1052">IF(
   A1052="",
   "",
   _xlfn.LET(
      _xlpm.result,
      IFERROR(
         _xlfn.XLOOKUP(
            1,
            (Table8[رقم الصنف]=A1052) *
            (IF($B$9="الكل",1, YEAR('ادخال البيانات'!$N$3:$N$1164)=VALUE($B$9))) *
            (IF($B$10="الكل",1, MONTH('ادخال البيانات'!$N$3:$N$1164)=VALUE($B$10))) *
            (IF($B$11="الكل",1, INT((DAY('ادخال البيانات'!$N$3:$N$1164)-1)/7)+1 = VALUE($B$11))),
            'ادخال البيانات'!$I$3:$I$1164
         ),
         ""
      ),
      IF(_xlpm.result="", "", _xlpm.result)
   )
)</f>
        <v/>
      </c>
      <c r="J1052" s="27" t="str" cm="1">
        <f t="array" ref="J1052">IF(
   A1052="",
   "",
   _xlfn.LET(
      _xlpm.result,
      IFERROR(
         _xlfn.XLOOKUP(
            1,
            (Table8[رقم الصنف]=A1052) *
            (IF($B$9="الكل",1, YEAR('ادخال البيانات'!$N$3:$N$1164)=VALUE($B$9))) *
            (IF($B$10="الكل",1, MONTH('ادخال البيانات'!$N$3:$N$1164)=VALUE($B$10))) *
            (IF($B$11="الكل",1, INT((DAY('ادخال البيانات'!$N$3:$N$1164)-1)/7)+1 = VALUE($B$11))),
            'ادخال البيانات'!$J$3:$J$1164
         ),
         ""
      ),
      IF(_xlpm.result="", "", _xlpm.result)
   )
)</f>
        <v/>
      </c>
      <c r="K1052" s="27" t="str" cm="1">
        <f t="array" ref="K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2" s="27" t="str" cm="1">
        <f t="array" ref="L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2" s="27" t="str" cm="1">
        <f t="array" ref="M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2" s="28" t="str" cm="1">
        <f t="array" ref="N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2" s="28" t="str" cm="1">
        <f t="array" ref="O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2" s="27" t="str" cm="1">
        <f t="array" ref="P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Table8[جهة العطل]
         ),
         ""
      ),
      IF(_xlpm.result="", "", _xlpm.result)
   )
)</f>
        <v/>
      </c>
      <c r="Q1052" s="27" t="str" cm="1">
        <f t="array" ref="Q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Table8[المركز]
         ),
         ""
      ),
      IF(_xlpm.result="", "", _xlpm.result)
   )
)</f>
        <v/>
      </c>
      <c r="R1052" s="27" t="str" cm="1">
        <f t="array" ref="R1052">IF(
   A1052="",
   "",
   _xlfn.LET(
      _xlpm.result,
      IFERROR(
         _xlfn.XLOOKUP(
            1,
            (Table8[رقم الصنف]=A1052) *
            (IF($B$9="الكل",1, YEAR('ادخال البيانات'!$N$3:$N$1164) = VALUE($B$9))) *
            (IF($B$10="الكل",1, MONTH('ادخال البيانات'!$N$3:$N$1164) = VALUE($B$10))) *
            (IF($B$11="الكل",1, INT((DAY('ادخال البيانات'!$N$3:$N$1164) - 1) / 7) + 1 = VALUE($B$11))),
            Table8[ملاحظة]
         ),
         ""
      ),
      IF(_xlpm.result="", "", _xlpm.result)
   )
)</f>
        <v/>
      </c>
      <c r="S1052" s="46" t="str">
        <f t="shared" ca="1" si="17"/>
        <v/>
      </c>
    </row>
    <row r="1053" spans="1:19" ht="15.6" thickTop="1" thickBot="1" x14ac:dyDescent="0.35">
      <c r="A1053" s="39"/>
      <c r="B1053" s="27" t="str" cm="1">
        <f t="array" ref="B1053">IF(
   OR(A1053="", $B$9="", $B$10="", $B$11=""),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3" s="27" t="str" cm="1">
        <f t="array" ref="C1053">IF(
   A1053="",
   "",
   _xlfn.LET(
      _xlpm.result,
      IFERROR(
         _xlfn.XLOOKUP(
            1,
            (Table8[رقم الصنف]=A1053) *
            (IF($B$9="الكل",1, YEAR('ادخال البيانات'!$N$3:$N$1164) = VALUE($B$9))) *
            (IF($B$10="الكل",1, MONTH('ادخال البيانات'!$N$3:$N$1164) = VALUE($B$10))) *
            (IF($B$11="الكل",1, INT((DAY('ادخال البيانات'!$N$3:$N$1164)-1)/7)+1 = VALUE($B$11))),
            'ادخال البيانات'!$C$3:$C$1164
         ),
         ""
      ),
      IF(_xlpm.result="", "", _xlpm.result)
   )
)</f>
        <v/>
      </c>
      <c r="D1053" s="27" t="str" cm="1">
        <f t="array" ref="D1053">IF(
   OR(A1053="", $B$9="", $B$10="", $B$11=""),
   "",
   _xlfn.LET(
      _xlpm.result,
      IFERROR(
         _xlfn.XLOOKUP(
            1,
            (Table8[رقم الصنف]=A1053) *
            (IF($B$9="الكل",1, YEAR('ادخال البيانات'!$N$3:$N$1164)=VALUE($B$9))) *
            (IF($B$10="الكل",1, MONTH('ادخال البيانات'!$N$3:$N$1164)=VALUE($B$10))) *
            (IF($B$11="الكل",1, INT((DAY('ادخال البيانات'!$N$3:$N$1164)-1)/7)+1 = VALUE($B$11))),
            'ادخال البيانات'!$D$3:$D$1164
         ),
         ""
      ),
      IF(_xlpm.result="", "", _xlpm.result)
   )
)</f>
        <v/>
      </c>
      <c r="E1053" s="27" t="str" cm="1">
        <f t="array" ref="E1053">IF(
   A1053="",
   "",
   _xlfn.LET(
      _xlpm.result,
      IFERROR(
         _xlfn.XLOOKUP(
            1,
            (Table8[رقم الصنف]=A1053) *
            (IF($B$9="الكل",1, YEAR('ادخال البيانات'!$N$3:$N$1164)=VALUE($B$9))) *
            (IF($B$10="الكل",1, MONTH('ادخال البيانات'!$N$3:$N$1164)=VALUE($B$10))) *
            (IF($B$11="الكل",1, INT((DAY('ادخال البيانات'!$N$3:$N$1164)-1)/7)+1 = VALUE($B$11))),
            'ادخال البيانات'!$E$3:$E$1164
         ),
         ""
      ),
      IF(_xlpm.result="", "", _xlpm.result)
   )
)</f>
        <v/>
      </c>
      <c r="F1053" s="27" t="str" cm="1">
        <f t="array" ref="F1053">IF(
   A1053="",
   "",
   _xlfn.LET(
      _xlpm.result,
      IFERROR(
         _xlfn.XLOOKUP(
            1,
            (Table8[رقم الصنف]=A1053) *
            (IF($B$9="الكل",1, YEAR('ادخال البيانات'!$N$3:$N$1164) = VALUE($B$9))) *
            (IF($B$10="الكل",1, MONTH('ادخال البيانات'!$N$3:$N$1164) = VALUE($B$10))) *
            (IF($B$11="الكل",1, INT((DAY('ادخال البيانات'!$N$3:$N$1164)-1)/7)+1 = VALUE($B$11))),
            'ادخال البيانات'!$F$3:$F$1164
         ),
         ""
      ),
      IF(_xlpm.result="", "", _xlpm.result)
   )
)</f>
        <v/>
      </c>
      <c r="G1053" s="27" t="str" cm="1">
        <f t="array" ref="G1053">IF(
   A1053="",
   "",
   _xlfn.LET(
      _xlpm.result,
      IFERROR(
         _xlfn.XLOOKUP(
            1,
            (Table8[رقم الصنف]=A1053) *
            (IF($B$9="الكل",1, YEAR('ادخال البيانات'!$N$3:$N$1164)=VALUE($B$9))) *
            (IF($B$10="الكل",1, MONTH('ادخال البيانات'!$N$3:$N$1164)=VALUE($B$10))) *
            (IF($B$11="الكل",1, INT((DAY('ادخال البيانات'!$N$3:$N$1164)-1)/7)+1 = VALUE($B$11))),
            'ادخال البيانات'!$G$3:$G$1164
         ),
         ""
      ),
      IF(_xlpm.result="", "", _xlpm.result)
   )
)</f>
        <v/>
      </c>
      <c r="H1053" s="27" t="str" cm="1">
        <f t="array" ref="H1053">IF(
   A1053="",
   "",
   _xlfn.LET(
      _xlpm.result,
      IFERROR(
         _xlfn.XLOOKUP(
            1,
            (Table8[رقم الصنف]=A1053) *
            (IF($B$9="الكل",1, YEAR('ادخال البيانات'!$N$3:$N$1164)=VALUE($B$9))) *
            (IF($B$10="الكل",1, MONTH('ادخال البيانات'!$N$3:$N$1164)=VALUE($B$10))) *
            (IF($B$11="الكل",1, INT((DAY('ادخال البيانات'!$N$3:$N$1164)-1)/7)+1 = VALUE($B$11))),
            'ادخال البيانات'!$H$3:$H$1164
         ),
         ""
      ),
      IF(_xlpm.result="", "", _xlpm.result)
   )
)</f>
        <v/>
      </c>
      <c r="I1053" s="27" t="str" cm="1">
        <f t="array" ref="I1053">IF(
   A1053="",
   "",
   _xlfn.LET(
      _xlpm.result,
      IFERROR(
         _xlfn.XLOOKUP(
            1,
            (Table8[رقم الصنف]=A1053) *
            (IF($B$9="الكل",1, YEAR('ادخال البيانات'!$N$3:$N$1164)=VALUE($B$9))) *
            (IF($B$10="الكل",1, MONTH('ادخال البيانات'!$N$3:$N$1164)=VALUE($B$10))) *
            (IF($B$11="الكل",1, INT((DAY('ادخال البيانات'!$N$3:$N$1164)-1)/7)+1 = VALUE($B$11))),
            'ادخال البيانات'!$I$3:$I$1164
         ),
         ""
      ),
      IF(_xlpm.result="", "", _xlpm.result)
   )
)</f>
        <v/>
      </c>
      <c r="J1053" s="27" t="str" cm="1">
        <f t="array" ref="J1053">IF(
   A1053="",
   "",
   _xlfn.LET(
      _xlpm.result,
      IFERROR(
         _xlfn.XLOOKUP(
            1,
            (Table8[رقم الصنف]=A1053) *
            (IF($B$9="الكل",1, YEAR('ادخال البيانات'!$N$3:$N$1164)=VALUE($B$9))) *
            (IF($B$10="الكل",1, MONTH('ادخال البيانات'!$N$3:$N$1164)=VALUE($B$10))) *
            (IF($B$11="الكل",1, INT((DAY('ادخال البيانات'!$N$3:$N$1164)-1)/7)+1 = VALUE($B$11))),
            'ادخال البيانات'!$J$3:$J$1164
         ),
         ""
      ),
      IF(_xlpm.result="", "", _xlpm.result)
   )
)</f>
        <v/>
      </c>
      <c r="K1053" s="27" t="str" cm="1">
        <f t="array" ref="K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3" s="27" t="str" cm="1">
        <f t="array" ref="L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3" s="27" t="str" cm="1">
        <f t="array" ref="M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3" s="28" t="str" cm="1">
        <f t="array" ref="N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3" s="28" t="str" cm="1">
        <f t="array" ref="O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3" s="27" t="str" cm="1">
        <f t="array" ref="P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Table8[جهة العطل]
         ),
         ""
      ),
      IF(_xlpm.result="", "", _xlpm.result)
   )
)</f>
        <v/>
      </c>
      <c r="Q1053" s="27" t="str" cm="1">
        <f t="array" ref="Q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Table8[المركز]
         ),
         ""
      ),
      IF(_xlpm.result="", "", _xlpm.result)
   )
)</f>
        <v/>
      </c>
      <c r="R1053" s="27" t="str" cm="1">
        <f t="array" ref="R1053">IF(
   A1053="",
   "",
   _xlfn.LET(
      _xlpm.result,
      IFERROR(
         _xlfn.XLOOKUP(
            1,
            (Table8[رقم الصنف]=A1053) *
            (IF($B$9="الكل",1, YEAR('ادخال البيانات'!$N$3:$N$1164) = VALUE($B$9))) *
            (IF($B$10="الكل",1, MONTH('ادخال البيانات'!$N$3:$N$1164) = VALUE($B$10))) *
            (IF($B$11="الكل",1, INT((DAY('ادخال البيانات'!$N$3:$N$1164) - 1) / 7) + 1 = VALUE($B$11))),
            Table8[ملاحظة]
         ),
         ""
      ),
      IF(_xlpm.result="", "", _xlpm.result)
   )
)</f>
        <v/>
      </c>
      <c r="S1053" s="46" t="str">
        <f t="shared" ca="1" si="17"/>
        <v/>
      </c>
    </row>
    <row r="1054" spans="1:19" ht="15.6" thickTop="1" thickBot="1" x14ac:dyDescent="0.35">
      <c r="A1054" s="39"/>
      <c r="B1054" s="27" t="str" cm="1">
        <f t="array" ref="B1054">IF(
   OR(A1054="", $B$9="", $B$10="", $B$11=""),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4" s="27" t="str" cm="1">
        <f t="array" ref="C1054">IF(
   A1054="",
   "",
   _xlfn.LET(
      _xlpm.result,
      IFERROR(
         _xlfn.XLOOKUP(
            1,
            (Table8[رقم الصنف]=A1054) *
            (IF($B$9="الكل",1, YEAR('ادخال البيانات'!$N$3:$N$1164) = VALUE($B$9))) *
            (IF($B$10="الكل",1, MONTH('ادخال البيانات'!$N$3:$N$1164) = VALUE($B$10))) *
            (IF($B$11="الكل",1, INT((DAY('ادخال البيانات'!$N$3:$N$1164)-1)/7)+1 = VALUE($B$11))),
            'ادخال البيانات'!$C$3:$C$1164
         ),
         ""
      ),
      IF(_xlpm.result="", "", _xlpm.result)
   )
)</f>
        <v/>
      </c>
      <c r="D1054" s="27" t="str" cm="1">
        <f t="array" ref="D1054">IF(
   OR(A1054="", $B$9="", $B$10="", $B$11=""),
   "",
   _xlfn.LET(
      _xlpm.result,
      IFERROR(
         _xlfn.XLOOKUP(
            1,
            (Table8[رقم الصنف]=A1054) *
            (IF($B$9="الكل",1, YEAR('ادخال البيانات'!$N$3:$N$1164)=VALUE($B$9))) *
            (IF($B$10="الكل",1, MONTH('ادخال البيانات'!$N$3:$N$1164)=VALUE($B$10))) *
            (IF($B$11="الكل",1, INT((DAY('ادخال البيانات'!$N$3:$N$1164)-1)/7)+1 = VALUE($B$11))),
            'ادخال البيانات'!$D$3:$D$1164
         ),
         ""
      ),
      IF(_xlpm.result="", "", _xlpm.result)
   )
)</f>
        <v/>
      </c>
      <c r="E1054" s="27" t="str" cm="1">
        <f t="array" ref="E1054">IF(
   A1054="",
   "",
   _xlfn.LET(
      _xlpm.result,
      IFERROR(
         _xlfn.XLOOKUP(
            1,
            (Table8[رقم الصنف]=A1054) *
            (IF($B$9="الكل",1, YEAR('ادخال البيانات'!$N$3:$N$1164)=VALUE($B$9))) *
            (IF($B$10="الكل",1, MONTH('ادخال البيانات'!$N$3:$N$1164)=VALUE($B$10))) *
            (IF($B$11="الكل",1, INT((DAY('ادخال البيانات'!$N$3:$N$1164)-1)/7)+1 = VALUE($B$11))),
            'ادخال البيانات'!$E$3:$E$1164
         ),
         ""
      ),
      IF(_xlpm.result="", "", _xlpm.result)
   )
)</f>
        <v/>
      </c>
      <c r="F1054" s="27" t="str" cm="1">
        <f t="array" ref="F1054">IF(
   A1054="",
   "",
   _xlfn.LET(
      _xlpm.result,
      IFERROR(
         _xlfn.XLOOKUP(
            1,
            (Table8[رقم الصنف]=A1054) *
            (IF($B$9="الكل",1, YEAR('ادخال البيانات'!$N$3:$N$1164) = VALUE($B$9))) *
            (IF($B$10="الكل",1, MONTH('ادخال البيانات'!$N$3:$N$1164) = VALUE($B$10))) *
            (IF($B$11="الكل",1, INT((DAY('ادخال البيانات'!$N$3:$N$1164)-1)/7)+1 = VALUE($B$11))),
            'ادخال البيانات'!$F$3:$F$1164
         ),
         ""
      ),
      IF(_xlpm.result="", "", _xlpm.result)
   )
)</f>
        <v/>
      </c>
      <c r="G1054" s="27" t="str" cm="1">
        <f t="array" ref="G1054">IF(
   A1054="",
   "",
   _xlfn.LET(
      _xlpm.result,
      IFERROR(
         _xlfn.XLOOKUP(
            1,
            (Table8[رقم الصنف]=A1054) *
            (IF($B$9="الكل",1, YEAR('ادخال البيانات'!$N$3:$N$1164)=VALUE($B$9))) *
            (IF($B$10="الكل",1, MONTH('ادخال البيانات'!$N$3:$N$1164)=VALUE($B$10))) *
            (IF($B$11="الكل",1, INT((DAY('ادخال البيانات'!$N$3:$N$1164)-1)/7)+1 = VALUE($B$11))),
            'ادخال البيانات'!$G$3:$G$1164
         ),
         ""
      ),
      IF(_xlpm.result="", "", _xlpm.result)
   )
)</f>
        <v/>
      </c>
      <c r="H1054" s="27" t="str" cm="1">
        <f t="array" ref="H1054">IF(
   A1054="",
   "",
   _xlfn.LET(
      _xlpm.result,
      IFERROR(
         _xlfn.XLOOKUP(
            1,
            (Table8[رقم الصنف]=A1054) *
            (IF($B$9="الكل",1, YEAR('ادخال البيانات'!$N$3:$N$1164)=VALUE($B$9))) *
            (IF($B$10="الكل",1, MONTH('ادخال البيانات'!$N$3:$N$1164)=VALUE($B$10))) *
            (IF($B$11="الكل",1, INT((DAY('ادخال البيانات'!$N$3:$N$1164)-1)/7)+1 = VALUE($B$11))),
            'ادخال البيانات'!$H$3:$H$1164
         ),
         ""
      ),
      IF(_xlpm.result="", "", _xlpm.result)
   )
)</f>
        <v/>
      </c>
      <c r="I1054" s="27" t="str" cm="1">
        <f t="array" ref="I1054">IF(
   A1054="",
   "",
   _xlfn.LET(
      _xlpm.result,
      IFERROR(
         _xlfn.XLOOKUP(
            1,
            (Table8[رقم الصنف]=A1054) *
            (IF($B$9="الكل",1, YEAR('ادخال البيانات'!$N$3:$N$1164)=VALUE($B$9))) *
            (IF($B$10="الكل",1, MONTH('ادخال البيانات'!$N$3:$N$1164)=VALUE($B$10))) *
            (IF($B$11="الكل",1, INT((DAY('ادخال البيانات'!$N$3:$N$1164)-1)/7)+1 = VALUE($B$11))),
            'ادخال البيانات'!$I$3:$I$1164
         ),
         ""
      ),
      IF(_xlpm.result="", "", _xlpm.result)
   )
)</f>
        <v/>
      </c>
      <c r="J1054" s="27" t="str" cm="1">
        <f t="array" ref="J1054">IF(
   A1054="",
   "",
   _xlfn.LET(
      _xlpm.result,
      IFERROR(
         _xlfn.XLOOKUP(
            1,
            (Table8[رقم الصنف]=A1054) *
            (IF($B$9="الكل",1, YEAR('ادخال البيانات'!$N$3:$N$1164)=VALUE($B$9))) *
            (IF($B$10="الكل",1, MONTH('ادخال البيانات'!$N$3:$N$1164)=VALUE($B$10))) *
            (IF($B$11="الكل",1, INT((DAY('ادخال البيانات'!$N$3:$N$1164)-1)/7)+1 = VALUE($B$11))),
            'ادخال البيانات'!$J$3:$J$1164
         ),
         ""
      ),
      IF(_xlpm.result="", "", _xlpm.result)
   )
)</f>
        <v/>
      </c>
      <c r="K1054" s="27" t="str" cm="1">
        <f t="array" ref="K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4" s="27" t="str" cm="1">
        <f t="array" ref="L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4" s="27" t="str" cm="1">
        <f t="array" ref="M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4" s="28" t="str" cm="1">
        <f t="array" ref="N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4" s="28" t="str" cm="1">
        <f t="array" ref="O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4" s="27" t="str" cm="1">
        <f t="array" ref="P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Table8[جهة العطل]
         ),
         ""
      ),
      IF(_xlpm.result="", "", _xlpm.result)
   )
)</f>
        <v/>
      </c>
      <c r="Q1054" s="27" t="str" cm="1">
        <f t="array" ref="Q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Table8[المركز]
         ),
         ""
      ),
      IF(_xlpm.result="", "", _xlpm.result)
   )
)</f>
        <v/>
      </c>
      <c r="R1054" s="27" t="str" cm="1">
        <f t="array" ref="R1054">IF(
   A1054="",
   "",
   _xlfn.LET(
      _xlpm.result,
      IFERROR(
         _xlfn.XLOOKUP(
            1,
            (Table8[رقم الصنف]=A1054) *
            (IF($B$9="الكل",1, YEAR('ادخال البيانات'!$N$3:$N$1164) = VALUE($B$9))) *
            (IF($B$10="الكل",1, MONTH('ادخال البيانات'!$N$3:$N$1164) = VALUE($B$10))) *
            (IF($B$11="الكل",1, INT((DAY('ادخال البيانات'!$N$3:$N$1164) - 1) / 7) + 1 = VALUE($B$11))),
            Table8[ملاحظة]
         ),
         ""
      ),
      IF(_xlpm.result="", "", _xlpm.result)
   )
)</f>
        <v/>
      </c>
      <c r="S1054" s="46" t="str">
        <f t="shared" ca="1" si="17"/>
        <v/>
      </c>
    </row>
    <row r="1055" spans="1:19" ht="15.6" thickTop="1" thickBot="1" x14ac:dyDescent="0.35">
      <c r="A1055" s="39"/>
      <c r="B1055" s="27" t="str" cm="1">
        <f t="array" ref="B1055">IF(
   OR(A1055="", $B$9="", $B$10="", $B$11=""),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5" s="27" t="str" cm="1">
        <f t="array" ref="C1055">IF(
   A1055="",
   "",
   _xlfn.LET(
      _xlpm.result,
      IFERROR(
         _xlfn.XLOOKUP(
            1,
            (Table8[رقم الصنف]=A1055) *
            (IF($B$9="الكل",1, YEAR('ادخال البيانات'!$N$3:$N$1164) = VALUE($B$9))) *
            (IF($B$10="الكل",1, MONTH('ادخال البيانات'!$N$3:$N$1164) = VALUE($B$10))) *
            (IF($B$11="الكل",1, INT((DAY('ادخال البيانات'!$N$3:$N$1164)-1)/7)+1 = VALUE($B$11))),
            'ادخال البيانات'!$C$3:$C$1164
         ),
         ""
      ),
      IF(_xlpm.result="", "", _xlpm.result)
   )
)</f>
        <v/>
      </c>
      <c r="D1055" s="27" t="str" cm="1">
        <f t="array" ref="D1055">IF(
   OR(A1055="", $B$9="", $B$10="", $B$11=""),
   "",
   _xlfn.LET(
      _xlpm.result,
      IFERROR(
         _xlfn.XLOOKUP(
            1,
            (Table8[رقم الصنف]=A1055) *
            (IF($B$9="الكل",1, YEAR('ادخال البيانات'!$N$3:$N$1164)=VALUE($B$9))) *
            (IF($B$10="الكل",1, MONTH('ادخال البيانات'!$N$3:$N$1164)=VALUE($B$10))) *
            (IF($B$11="الكل",1, INT((DAY('ادخال البيانات'!$N$3:$N$1164)-1)/7)+1 = VALUE($B$11))),
            'ادخال البيانات'!$D$3:$D$1164
         ),
         ""
      ),
      IF(_xlpm.result="", "", _xlpm.result)
   )
)</f>
        <v/>
      </c>
      <c r="E1055" s="27" t="str" cm="1">
        <f t="array" ref="E1055">IF(
   A1055="",
   "",
   _xlfn.LET(
      _xlpm.result,
      IFERROR(
         _xlfn.XLOOKUP(
            1,
            (Table8[رقم الصنف]=A1055) *
            (IF($B$9="الكل",1, YEAR('ادخال البيانات'!$N$3:$N$1164)=VALUE($B$9))) *
            (IF($B$10="الكل",1, MONTH('ادخال البيانات'!$N$3:$N$1164)=VALUE($B$10))) *
            (IF($B$11="الكل",1, INT((DAY('ادخال البيانات'!$N$3:$N$1164)-1)/7)+1 = VALUE($B$11))),
            'ادخال البيانات'!$E$3:$E$1164
         ),
         ""
      ),
      IF(_xlpm.result="", "", _xlpm.result)
   )
)</f>
        <v/>
      </c>
      <c r="F1055" s="27" t="str" cm="1">
        <f t="array" ref="F1055">IF(
   A1055="",
   "",
   _xlfn.LET(
      _xlpm.result,
      IFERROR(
         _xlfn.XLOOKUP(
            1,
            (Table8[رقم الصنف]=A1055) *
            (IF($B$9="الكل",1, YEAR('ادخال البيانات'!$N$3:$N$1164) = VALUE($B$9))) *
            (IF($B$10="الكل",1, MONTH('ادخال البيانات'!$N$3:$N$1164) = VALUE($B$10))) *
            (IF($B$11="الكل",1, INT((DAY('ادخال البيانات'!$N$3:$N$1164)-1)/7)+1 = VALUE($B$11))),
            'ادخال البيانات'!$F$3:$F$1164
         ),
         ""
      ),
      IF(_xlpm.result="", "", _xlpm.result)
   )
)</f>
        <v/>
      </c>
      <c r="G1055" s="27" t="str" cm="1">
        <f t="array" ref="G1055">IF(
   A1055="",
   "",
   _xlfn.LET(
      _xlpm.result,
      IFERROR(
         _xlfn.XLOOKUP(
            1,
            (Table8[رقم الصنف]=A1055) *
            (IF($B$9="الكل",1, YEAR('ادخال البيانات'!$N$3:$N$1164)=VALUE($B$9))) *
            (IF($B$10="الكل",1, MONTH('ادخال البيانات'!$N$3:$N$1164)=VALUE($B$10))) *
            (IF($B$11="الكل",1, INT((DAY('ادخال البيانات'!$N$3:$N$1164)-1)/7)+1 = VALUE($B$11))),
            'ادخال البيانات'!$G$3:$G$1164
         ),
         ""
      ),
      IF(_xlpm.result="", "", _xlpm.result)
   )
)</f>
        <v/>
      </c>
      <c r="H1055" s="27" t="str" cm="1">
        <f t="array" ref="H1055">IF(
   A1055="",
   "",
   _xlfn.LET(
      _xlpm.result,
      IFERROR(
         _xlfn.XLOOKUP(
            1,
            (Table8[رقم الصنف]=A1055) *
            (IF($B$9="الكل",1, YEAR('ادخال البيانات'!$N$3:$N$1164)=VALUE($B$9))) *
            (IF($B$10="الكل",1, MONTH('ادخال البيانات'!$N$3:$N$1164)=VALUE($B$10))) *
            (IF($B$11="الكل",1, INT((DAY('ادخال البيانات'!$N$3:$N$1164)-1)/7)+1 = VALUE($B$11))),
            'ادخال البيانات'!$H$3:$H$1164
         ),
         ""
      ),
      IF(_xlpm.result="", "", _xlpm.result)
   )
)</f>
        <v/>
      </c>
      <c r="I1055" s="27" t="str" cm="1">
        <f t="array" ref="I1055">IF(
   A1055="",
   "",
   _xlfn.LET(
      _xlpm.result,
      IFERROR(
         _xlfn.XLOOKUP(
            1,
            (Table8[رقم الصنف]=A1055) *
            (IF($B$9="الكل",1, YEAR('ادخال البيانات'!$N$3:$N$1164)=VALUE($B$9))) *
            (IF($B$10="الكل",1, MONTH('ادخال البيانات'!$N$3:$N$1164)=VALUE($B$10))) *
            (IF($B$11="الكل",1, INT((DAY('ادخال البيانات'!$N$3:$N$1164)-1)/7)+1 = VALUE($B$11))),
            'ادخال البيانات'!$I$3:$I$1164
         ),
         ""
      ),
      IF(_xlpm.result="", "", _xlpm.result)
   )
)</f>
        <v/>
      </c>
      <c r="J1055" s="27" t="str" cm="1">
        <f t="array" ref="J1055">IF(
   A1055="",
   "",
   _xlfn.LET(
      _xlpm.result,
      IFERROR(
         _xlfn.XLOOKUP(
            1,
            (Table8[رقم الصنف]=A1055) *
            (IF($B$9="الكل",1, YEAR('ادخال البيانات'!$N$3:$N$1164)=VALUE($B$9))) *
            (IF($B$10="الكل",1, MONTH('ادخال البيانات'!$N$3:$N$1164)=VALUE($B$10))) *
            (IF($B$11="الكل",1, INT((DAY('ادخال البيانات'!$N$3:$N$1164)-1)/7)+1 = VALUE($B$11))),
            'ادخال البيانات'!$J$3:$J$1164
         ),
         ""
      ),
      IF(_xlpm.result="", "", _xlpm.result)
   )
)</f>
        <v/>
      </c>
      <c r="K1055" s="27" t="str" cm="1">
        <f t="array" ref="K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5" s="27" t="str" cm="1">
        <f t="array" ref="L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5" s="27" t="str" cm="1">
        <f t="array" ref="M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5" s="28" t="str" cm="1">
        <f t="array" ref="N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5" s="28" t="str" cm="1">
        <f t="array" ref="O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5" s="27" t="str" cm="1">
        <f t="array" ref="P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Table8[جهة العطل]
         ),
         ""
      ),
      IF(_xlpm.result="", "", _xlpm.result)
   )
)</f>
        <v/>
      </c>
      <c r="Q1055" s="27" t="str" cm="1">
        <f t="array" ref="Q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Table8[المركز]
         ),
         ""
      ),
      IF(_xlpm.result="", "", _xlpm.result)
   )
)</f>
        <v/>
      </c>
      <c r="R1055" s="27" t="str" cm="1">
        <f t="array" ref="R1055">IF(
   A1055="",
   "",
   _xlfn.LET(
      _xlpm.result,
      IFERROR(
         _xlfn.XLOOKUP(
            1,
            (Table8[رقم الصنف]=A1055) *
            (IF($B$9="الكل",1, YEAR('ادخال البيانات'!$N$3:$N$1164) = VALUE($B$9))) *
            (IF($B$10="الكل",1, MONTH('ادخال البيانات'!$N$3:$N$1164) = VALUE($B$10))) *
            (IF($B$11="الكل",1, INT((DAY('ادخال البيانات'!$N$3:$N$1164) - 1) / 7) + 1 = VALUE($B$11))),
            Table8[ملاحظة]
         ),
         ""
      ),
      IF(_xlpm.result="", "", _xlpm.result)
   )
)</f>
        <v/>
      </c>
      <c r="S1055" s="46" t="str">
        <f t="shared" ca="1" si="17"/>
        <v/>
      </c>
    </row>
    <row r="1056" spans="1:19" ht="15.6" thickTop="1" thickBot="1" x14ac:dyDescent="0.35">
      <c r="A1056" s="39"/>
      <c r="B1056" s="27" t="str" cm="1">
        <f t="array" ref="B1056">IF(
   OR(A1056="", $B$9="", $B$10="", $B$11=""),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6" s="27" t="str" cm="1">
        <f t="array" ref="C1056">IF(
   A1056="",
   "",
   _xlfn.LET(
      _xlpm.result,
      IFERROR(
         _xlfn.XLOOKUP(
            1,
            (Table8[رقم الصنف]=A1056) *
            (IF($B$9="الكل",1, YEAR('ادخال البيانات'!$N$3:$N$1164) = VALUE($B$9))) *
            (IF($B$10="الكل",1, MONTH('ادخال البيانات'!$N$3:$N$1164) = VALUE($B$10))) *
            (IF($B$11="الكل",1, INT((DAY('ادخال البيانات'!$N$3:$N$1164)-1)/7)+1 = VALUE($B$11))),
            'ادخال البيانات'!$C$3:$C$1164
         ),
         ""
      ),
      IF(_xlpm.result="", "", _xlpm.result)
   )
)</f>
        <v/>
      </c>
      <c r="D1056" s="27" t="str" cm="1">
        <f t="array" ref="D1056">IF(
   OR(A1056="", $B$9="", $B$10="", $B$11=""),
   "",
   _xlfn.LET(
      _xlpm.result,
      IFERROR(
         _xlfn.XLOOKUP(
            1,
            (Table8[رقم الصنف]=A1056) *
            (IF($B$9="الكل",1, YEAR('ادخال البيانات'!$N$3:$N$1164)=VALUE($B$9))) *
            (IF($B$10="الكل",1, MONTH('ادخال البيانات'!$N$3:$N$1164)=VALUE($B$10))) *
            (IF($B$11="الكل",1, INT((DAY('ادخال البيانات'!$N$3:$N$1164)-1)/7)+1 = VALUE($B$11))),
            'ادخال البيانات'!$D$3:$D$1164
         ),
         ""
      ),
      IF(_xlpm.result="", "", _xlpm.result)
   )
)</f>
        <v/>
      </c>
      <c r="E1056" s="27" t="str" cm="1">
        <f t="array" ref="E1056">IF(
   A1056="",
   "",
   _xlfn.LET(
      _xlpm.result,
      IFERROR(
         _xlfn.XLOOKUP(
            1,
            (Table8[رقم الصنف]=A1056) *
            (IF($B$9="الكل",1, YEAR('ادخال البيانات'!$N$3:$N$1164)=VALUE($B$9))) *
            (IF($B$10="الكل",1, MONTH('ادخال البيانات'!$N$3:$N$1164)=VALUE($B$10))) *
            (IF($B$11="الكل",1, INT((DAY('ادخال البيانات'!$N$3:$N$1164)-1)/7)+1 = VALUE($B$11))),
            'ادخال البيانات'!$E$3:$E$1164
         ),
         ""
      ),
      IF(_xlpm.result="", "", _xlpm.result)
   )
)</f>
        <v/>
      </c>
      <c r="F1056" s="27" t="str" cm="1">
        <f t="array" ref="F1056">IF(
   A1056="",
   "",
   _xlfn.LET(
      _xlpm.result,
      IFERROR(
         _xlfn.XLOOKUP(
            1,
            (Table8[رقم الصنف]=A1056) *
            (IF($B$9="الكل",1, YEAR('ادخال البيانات'!$N$3:$N$1164) = VALUE($B$9))) *
            (IF($B$10="الكل",1, MONTH('ادخال البيانات'!$N$3:$N$1164) = VALUE($B$10))) *
            (IF($B$11="الكل",1, INT((DAY('ادخال البيانات'!$N$3:$N$1164)-1)/7)+1 = VALUE($B$11))),
            'ادخال البيانات'!$F$3:$F$1164
         ),
         ""
      ),
      IF(_xlpm.result="", "", _xlpm.result)
   )
)</f>
        <v/>
      </c>
      <c r="G1056" s="27" t="str" cm="1">
        <f t="array" ref="G1056">IF(
   A1056="",
   "",
   _xlfn.LET(
      _xlpm.result,
      IFERROR(
         _xlfn.XLOOKUP(
            1,
            (Table8[رقم الصنف]=A1056) *
            (IF($B$9="الكل",1, YEAR('ادخال البيانات'!$N$3:$N$1164)=VALUE($B$9))) *
            (IF($B$10="الكل",1, MONTH('ادخال البيانات'!$N$3:$N$1164)=VALUE($B$10))) *
            (IF($B$11="الكل",1, INT((DAY('ادخال البيانات'!$N$3:$N$1164)-1)/7)+1 = VALUE($B$11))),
            'ادخال البيانات'!$G$3:$G$1164
         ),
         ""
      ),
      IF(_xlpm.result="", "", _xlpm.result)
   )
)</f>
        <v/>
      </c>
      <c r="H1056" s="27" t="str" cm="1">
        <f t="array" ref="H1056">IF(
   A1056="",
   "",
   _xlfn.LET(
      _xlpm.result,
      IFERROR(
         _xlfn.XLOOKUP(
            1,
            (Table8[رقم الصنف]=A1056) *
            (IF($B$9="الكل",1, YEAR('ادخال البيانات'!$N$3:$N$1164)=VALUE($B$9))) *
            (IF($B$10="الكل",1, MONTH('ادخال البيانات'!$N$3:$N$1164)=VALUE($B$10))) *
            (IF($B$11="الكل",1, INT((DAY('ادخال البيانات'!$N$3:$N$1164)-1)/7)+1 = VALUE($B$11))),
            'ادخال البيانات'!$H$3:$H$1164
         ),
         ""
      ),
      IF(_xlpm.result="", "", _xlpm.result)
   )
)</f>
        <v/>
      </c>
      <c r="I1056" s="27" t="str" cm="1">
        <f t="array" ref="I1056">IF(
   A1056="",
   "",
   _xlfn.LET(
      _xlpm.result,
      IFERROR(
         _xlfn.XLOOKUP(
            1,
            (Table8[رقم الصنف]=A1056) *
            (IF($B$9="الكل",1, YEAR('ادخال البيانات'!$N$3:$N$1164)=VALUE($B$9))) *
            (IF($B$10="الكل",1, MONTH('ادخال البيانات'!$N$3:$N$1164)=VALUE($B$10))) *
            (IF($B$11="الكل",1, INT((DAY('ادخال البيانات'!$N$3:$N$1164)-1)/7)+1 = VALUE($B$11))),
            'ادخال البيانات'!$I$3:$I$1164
         ),
         ""
      ),
      IF(_xlpm.result="", "", _xlpm.result)
   )
)</f>
        <v/>
      </c>
      <c r="J1056" s="27" t="str" cm="1">
        <f t="array" ref="J1056">IF(
   A1056="",
   "",
   _xlfn.LET(
      _xlpm.result,
      IFERROR(
         _xlfn.XLOOKUP(
            1,
            (Table8[رقم الصنف]=A1056) *
            (IF($B$9="الكل",1, YEAR('ادخال البيانات'!$N$3:$N$1164)=VALUE($B$9))) *
            (IF($B$10="الكل",1, MONTH('ادخال البيانات'!$N$3:$N$1164)=VALUE($B$10))) *
            (IF($B$11="الكل",1, INT((DAY('ادخال البيانات'!$N$3:$N$1164)-1)/7)+1 = VALUE($B$11))),
            'ادخال البيانات'!$J$3:$J$1164
         ),
         ""
      ),
      IF(_xlpm.result="", "", _xlpm.result)
   )
)</f>
        <v/>
      </c>
      <c r="K1056" s="27" t="str" cm="1">
        <f t="array" ref="K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6" s="27" t="str" cm="1">
        <f t="array" ref="L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6" s="27" t="str" cm="1">
        <f t="array" ref="M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6" s="28" t="str" cm="1">
        <f t="array" ref="N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6" s="28" t="str" cm="1">
        <f t="array" ref="O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6" s="27" t="str" cm="1">
        <f t="array" ref="P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Table8[جهة العطل]
         ),
         ""
      ),
      IF(_xlpm.result="", "", _xlpm.result)
   )
)</f>
        <v/>
      </c>
      <c r="Q1056" s="27" t="str" cm="1">
        <f t="array" ref="Q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Table8[المركز]
         ),
         ""
      ),
      IF(_xlpm.result="", "", _xlpm.result)
   )
)</f>
        <v/>
      </c>
      <c r="R1056" s="27" t="str" cm="1">
        <f t="array" ref="R1056">IF(
   A1056="",
   "",
   _xlfn.LET(
      _xlpm.result,
      IFERROR(
         _xlfn.XLOOKUP(
            1,
            (Table8[رقم الصنف]=A1056) *
            (IF($B$9="الكل",1, YEAR('ادخال البيانات'!$N$3:$N$1164) = VALUE($B$9))) *
            (IF($B$10="الكل",1, MONTH('ادخال البيانات'!$N$3:$N$1164) = VALUE($B$10))) *
            (IF($B$11="الكل",1, INT((DAY('ادخال البيانات'!$N$3:$N$1164) - 1) / 7) + 1 = VALUE($B$11))),
            Table8[ملاحظة]
         ),
         ""
      ),
      IF(_xlpm.result="", "", _xlpm.result)
   )
)</f>
        <v/>
      </c>
      <c r="S1056" s="46" t="str">
        <f t="shared" ca="1" si="17"/>
        <v/>
      </c>
    </row>
    <row r="1057" spans="1:19" ht="15.6" thickTop="1" thickBot="1" x14ac:dyDescent="0.35">
      <c r="A1057" s="39"/>
      <c r="B1057" s="27" t="str" cm="1">
        <f t="array" ref="B1057">IF(
   OR(A1057="", $B$9="", $B$10="", $B$11=""),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7" s="27" t="str" cm="1">
        <f t="array" ref="C1057">IF(
   A1057="",
   "",
   _xlfn.LET(
      _xlpm.result,
      IFERROR(
         _xlfn.XLOOKUP(
            1,
            (Table8[رقم الصنف]=A1057) *
            (IF($B$9="الكل",1, YEAR('ادخال البيانات'!$N$3:$N$1164) = VALUE($B$9))) *
            (IF($B$10="الكل",1, MONTH('ادخال البيانات'!$N$3:$N$1164) = VALUE($B$10))) *
            (IF($B$11="الكل",1, INT((DAY('ادخال البيانات'!$N$3:$N$1164)-1)/7)+1 = VALUE($B$11))),
            'ادخال البيانات'!$C$3:$C$1164
         ),
         ""
      ),
      IF(_xlpm.result="", "", _xlpm.result)
   )
)</f>
        <v/>
      </c>
      <c r="D1057" s="27" t="str" cm="1">
        <f t="array" ref="D1057">IF(
   OR(A1057="", $B$9="", $B$10="", $B$11=""),
   "",
   _xlfn.LET(
      _xlpm.result,
      IFERROR(
         _xlfn.XLOOKUP(
            1,
            (Table8[رقم الصنف]=A1057) *
            (IF($B$9="الكل",1, YEAR('ادخال البيانات'!$N$3:$N$1164)=VALUE($B$9))) *
            (IF($B$10="الكل",1, MONTH('ادخال البيانات'!$N$3:$N$1164)=VALUE($B$10))) *
            (IF($B$11="الكل",1, INT((DAY('ادخال البيانات'!$N$3:$N$1164)-1)/7)+1 = VALUE($B$11))),
            'ادخال البيانات'!$D$3:$D$1164
         ),
         ""
      ),
      IF(_xlpm.result="", "", _xlpm.result)
   )
)</f>
        <v/>
      </c>
      <c r="E1057" s="27" t="str" cm="1">
        <f t="array" ref="E1057">IF(
   A1057="",
   "",
   _xlfn.LET(
      _xlpm.result,
      IFERROR(
         _xlfn.XLOOKUP(
            1,
            (Table8[رقم الصنف]=A1057) *
            (IF($B$9="الكل",1, YEAR('ادخال البيانات'!$N$3:$N$1164)=VALUE($B$9))) *
            (IF($B$10="الكل",1, MONTH('ادخال البيانات'!$N$3:$N$1164)=VALUE($B$10))) *
            (IF($B$11="الكل",1, INT((DAY('ادخال البيانات'!$N$3:$N$1164)-1)/7)+1 = VALUE($B$11))),
            'ادخال البيانات'!$E$3:$E$1164
         ),
         ""
      ),
      IF(_xlpm.result="", "", _xlpm.result)
   )
)</f>
        <v/>
      </c>
      <c r="F1057" s="27" t="str" cm="1">
        <f t="array" ref="F1057">IF(
   A1057="",
   "",
   _xlfn.LET(
      _xlpm.result,
      IFERROR(
         _xlfn.XLOOKUP(
            1,
            (Table8[رقم الصنف]=A1057) *
            (IF($B$9="الكل",1, YEAR('ادخال البيانات'!$N$3:$N$1164) = VALUE($B$9))) *
            (IF($B$10="الكل",1, MONTH('ادخال البيانات'!$N$3:$N$1164) = VALUE($B$10))) *
            (IF($B$11="الكل",1, INT((DAY('ادخال البيانات'!$N$3:$N$1164)-1)/7)+1 = VALUE($B$11))),
            'ادخال البيانات'!$F$3:$F$1164
         ),
         ""
      ),
      IF(_xlpm.result="", "", _xlpm.result)
   )
)</f>
        <v/>
      </c>
      <c r="G1057" s="27" t="str" cm="1">
        <f t="array" ref="G1057">IF(
   A1057="",
   "",
   _xlfn.LET(
      _xlpm.result,
      IFERROR(
         _xlfn.XLOOKUP(
            1,
            (Table8[رقم الصنف]=A1057) *
            (IF($B$9="الكل",1, YEAR('ادخال البيانات'!$N$3:$N$1164)=VALUE($B$9))) *
            (IF($B$10="الكل",1, MONTH('ادخال البيانات'!$N$3:$N$1164)=VALUE($B$10))) *
            (IF($B$11="الكل",1, INT((DAY('ادخال البيانات'!$N$3:$N$1164)-1)/7)+1 = VALUE($B$11))),
            'ادخال البيانات'!$G$3:$G$1164
         ),
         ""
      ),
      IF(_xlpm.result="", "", _xlpm.result)
   )
)</f>
        <v/>
      </c>
      <c r="H1057" s="27" t="str" cm="1">
        <f t="array" ref="H1057">IF(
   A1057="",
   "",
   _xlfn.LET(
      _xlpm.result,
      IFERROR(
         _xlfn.XLOOKUP(
            1,
            (Table8[رقم الصنف]=A1057) *
            (IF($B$9="الكل",1, YEAR('ادخال البيانات'!$N$3:$N$1164)=VALUE($B$9))) *
            (IF($B$10="الكل",1, MONTH('ادخال البيانات'!$N$3:$N$1164)=VALUE($B$10))) *
            (IF($B$11="الكل",1, INT((DAY('ادخال البيانات'!$N$3:$N$1164)-1)/7)+1 = VALUE($B$11))),
            'ادخال البيانات'!$H$3:$H$1164
         ),
         ""
      ),
      IF(_xlpm.result="", "", _xlpm.result)
   )
)</f>
        <v/>
      </c>
      <c r="I1057" s="27" t="str" cm="1">
        <f t="array" ref="I1057">IF(
   A1057="",
   "",
   _xlfn.LET(
      _xlpm.result,
      IFERROR(
         _xlfn.XLOOKUP(
            1,
            (Table8[رقم الصنف]=A1057) *
            (IF($B$9="الكل",1, YEAR('ادخال البيانات'!$N$3:$N$1164)=VALUE($B$9))) *
            (IF($B$10="الكل",1, MONTH('ادخال البيانات'!$N$3:$N$1164)=VALUE($B$10))) *
            (IF($B$11="الكل",1, INT((DAY('ادخال البيانات'!$N$3:$N$1164)-1)/7)+1 = VALUE($B$11))),
            'ادخال البيانات'!$I$3:$I$1164
         ),
         ""
      ),
      IF(_xlpm.result="", "", _xlpm.result)
   )
)</f>
        <v/>
      </c>
      <c r="J1057" s="27" t="str" cm="1">
        <f t="array" ref="J1057">IF(
   A1057="",
   "",
   _xlfn.LET(
      _xlpm.result,
      IFERROR(
         _xlfn.XLOOKUP(
            1,
            (Table8[رقم الصنف]=A1057) *
            (IF($B$9="الكل",1, YEAR('ادخال البيانات'!$N$3:$N$1164)=VALUE($B$9))) *
            (IF($B$10="الكل",1, MONTH('ادخال البيانات'!$N$3:$N$1164)=VALUE($B$10))) *
            (IF($B$11="الكل",1, INT((DAY('ادخال البيانات'!$N$3:$N$1164)-1)/7)+1 = VALUE($B$11))),
            'ادخال البيانات'!$J$3:$J$1164
         ),
         ""
      ),
      IF(_xlpm.result="", "", _xlpm.result)
   )
)</f>
        <v/>
      </c>
      <c r="K1057" s="27" t="str" cm="1">
        <f t="array" ref="K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7" s="27" t="str" cm="1">
        <f t="array" ref="L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7" s="27" t="str" cm="1">
        <f t="array" ref="M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7" s="28" t="str" cm="1">
        <f t="array" ref="N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7" s="28" t="str" cm="1">
        <f t="array" ref="O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7" s="27" t="str" cm="1">
        <f t="array" ref="P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Table8[جهة العطل]
         ),
         ""
      ),
      IF(_xlpm.result="", "", _xlpm.result)
   )
)</f>
        <v/>
      </c>
      <c r="Q1057" s="27" t="str" cm="1">
        <f t="array" ref="Q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Table8[المركز]
         ),
         ""
      ),
      IF(_xlpm.result="", "", _xlpm.result)
   )
)</f>
        <v/>
      </c>
      <c r="R1057" s="27" t="str" cm="1">
        <f t="array" ref="R1057">IF(
   A1057="",
   "",
   _xlfn.LET(
      _xlpm.result,
      IFERROR(
         _xlfn.XLOOKUP(
            1,
            (Table8[رقم الصنف]=A1057) *
            (IF($B$9="الكل",1, YEAR('ادخال البيانات'!$N$3:$N$1164) = VALUE($B$9))) *
            (IF($B$10="الكل",1, MONTH('ادخال البيانات'!$N$3:$N$1164) = VALUE($B$10))) *
            (IF($B$11="الكل",1, INT((DAY('ادخال البيانات'!$N$3:$N$1164) - 1) / 7) + 1 = VALUE($B$11))),
            Table8[ملاحظة]
         ),
         ""
      ),
      IF(_xlpm.result="", "", _xlpm.result)
   )
)</f>
        <v/>
      </c>
      <c r="S1057" s="46" t="str">
        <f t="shared" ca="1" si="17"/>
        <v/>
      </c>
    </row>
    <row r="1058" spans="1:19" ht="15.6" thickTop="1" thickBot="1" x14ac:dyDescent="0.35">
      <c r="A1058" s="39"/>
      <c r="B1058" s="27" t="str" cm="1">
        <f t="array" ref="B1058">IF(
   OR(A1058="", $B$9="", $B$10="", $B$11=""),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8" s="27" t="str" cm="1">
        <f t="array" ref="C1058">IF(
   A1058="",
   "",
   _xlfn.LET(
      _xlpm.result,
      IFERROR(
         _xlfn.XLOOKUP(
            1,
            (Table8[رقم الصنف]=A1058) *
            (IF($B$9="الكل",1, YEAR('ادخال البيانات'!$N$3:$N$1164) = VALUE($B$9))) *
            (IF($B$10="الكل",1, MONTH('ادخال البيانات'!$N$3:$N$1164) = VALUE($B$10))) *
            (IF($B$11="الكل",1, INT((DAY('ادخال البيانات'!$N$3:$N$1164)-1)/7)+1 = VALUE($B$11))),
            'ادخال البيانات'!$C$3:$C$1164
         ),
         ""
      ),
      IF(_xlpm.result="", "", _xlpm.result)
   )
)</f>
        <v/>
      </c>
      <c r="D1058" s="27" t="str" cm="1">
        <f t="array" ref="D1058">IF(
   OR(A1058="", $B$9="", $B$10="", $B$11=""),
   "",
   _xlfn.LET(
      _xlpm.result,
      IFERROR(
         _xlfn.XLOOKUP(
            1,
            (Table8[رقم الصنف]=A1058) *
            (IF($B$9="الكل",1, YEAR('ادخال البيانات'!$N$3:$N$1164)=VALUE($B$9))) *
            (IF($B$10="الكل",1, MONTH('ادخال البيانات'!$N$3:$N$1164)=VALUE($B$10))) *
            (IF($B$11="الكل",1, INT((DAY('ادخال البيانات'!$N$3:$N$1164)-1)/7)+1 = VALUE($B$11))),
            'ادخال البيانات'!$D$3:$D$1164
         ),
         ""
      ),
      IF(_xlpm.result="", "", _xlpm.result)
   )
)</f>
        <v/>
      </c>
      <c r="E1058" s="27" t="str" cm="1">
        <f t="array" ref="E1058">IF(
   A1058="",
   "",
   _xlfn.LET(
      _xlpm.result,
      IFERROR(
         _xlfn.XLOOKUP(
            1,
            (Table8[رقم الصنف]=A1058) *
            (IF($B$9="الكل",1, YEAR('ادخال البيانات'!$N$3:$N$1164)=VALUE($B$9))) *
            (IF($B$10="الكل",1, MONTH('ادخال البيانات'!$N$3:$N$1164)=VALUE($B$10))) *
            (IF($B$11="الكل",1, INT((DAY('ادخال البيانات'!$N$3:$N$1164)-1)/7)+1 = VALUE($B$11))),
            'ادخال البيانات'!$E$3:$E$1164
         ),
         ""
      ),
      IF(_xlpm.result="", "", _xlpm.result)
   )
)</f>
        <v/>
      </c>
      <c r="F1058" s="27" t="str" cm="1">
        <f t="array" ref="F1058">IF(
   A1058="",
   "",
   _xlfn.LET(
      _xlpm.result,
      IFERROR(
         _xlfn.XLOOKUP(
            1,
            (Table8[رقم الصنف]=A1058) *
            (IF($B$9="الكل",1, YEAR('ادخال البيانات'!$N$3:$N$1164) = VALUE($B$9))) *
            (IF($B$10="الكل",1, MONTH('ادخال البيانات'!$N$3:$N$1164) = VALUE($B$10))) *
            (IF($B$11="الكل",1, INT((DAY('ادخال البيانات'!$N$3:$N$1164)-1)/7)+1 = VALUE($B$11))),
            'ادخال البيانات'!$F$3:$F$1164
         ),
         ""
      ),
      IF(_xlpm.result="", "", _xlpm.result)
   )
)</f>
        <v/>
      </c>
      <c r="G1058" s="27" t="str" cm="1">
        <f t="array" ref="G1058">IF(
   A1058="",
   "",
   _xlfn.LET(
      _xlpm.result,
      IFERROR(
         _xlfn.XLOOKUP(
            1,
            (Table8[رقم الصنف]=A1058) *
            (IF($B$9="الكل",1, YEAR('ادخال البيانات'!$N$3:$N$1164)=VALUE($B$9))) *
            (IF($B$10="الكل",1, MONTH('ادخال البيانات'!$N$3:$N$1164)=VALUE($B$10))) *
            (IF($B$11="الكل",1, INT((DAY('ادخال البيانات'!$N$3:$N$1164)-1)/7)+1 = VALUE($B$11))),
            'ادخال البيانات'!$G$3:$G$1164
         ),
         ""
      ),
      IF(_xlpm.result="", "", _xlpm.result)
   )
)</f>
        <v/>
      </c>
      <c r="H1058" s="27" t="str" cm="1">
        <f t="array" ref="H1058">IF(
   A1058="",
   "",
   _xlfn.LET(
      _xlpm.result,
      IFERROR(
         _xlfn.XLOOKUP(
            1,
            (Table8[رقم الصنف]=A1058) *
            (IF($B$9="الكل",1, YEAR('ادخال البيانات'!$N$3:$N$1164)=VALUE($B$9))) *
            (IF($B$10="الكل",1, MONTH('ادخال البيانات'!$N$3:$N$1164)=VALUE($B$10))) *
            (IF($B$11="الكل",1, INT((DAY('ادخال البيانات'!$N$3:$N$1164)-1)/7)+1 = VALUE($B$11))),
            'ادخال البيانات'!$H$3:$H$1164
         ),
         ""
      ),
      IF(_xlpm.result="", "", _xlpm.result)
   )
)</f>
        <v/>
      </c>
      <c r="I1058" s="27" t="str" cm="1">
        <f t="array" ref="I1058">IF(
   A1058="",
   "",
   _xlfn.LET(
      _xlpm.result,
      IFERROR(
         _xlfn.XLOOKUP(
            1,
            (Table8[رقم الصنف]=A1058) *
            (IF($B$9="الكل",1, YEAR('ادخال البيانات'!$N$3:$N$1164)=VALUE($B$9))) *
            (IF($B$10="الكل",1, MONTH('ادخال البيانات'!$N$3:$N$1164)=VALUE($B$10))) *
            (IF($B$11="الكل",1, INT((DAY('ادخال البيانات'!$N$3:$N$1164)-1)/7)+1 = VALUE($B$11))),
            'ادخال البيانات'!$I$3:$I$1164
         ),
         ""
      ),
      IF(_xlpm.result="", "", _xlpm.result)
   )
)</f>
        <v/>
      </c>
      <c r="J1058" s="27" t="str" cm="1">
        <f t="array" ref="J1058">IF(
   A1058="",
   "",
   _xlfn.LET(
      _xlpm.result,
      IFERROR(
         _xlfn.XLOOKUP(
            1,
            (Table8[رقم الصنف]=A1058) *
            (IF($B$9="الكل",1, YEAR('ادخال البيانات'!$N$3:$N$1164)=VALUE($B$9))) *
            (IF($B$10="الكل",1, MONTH('ادخال البيانات'!$N$3:$N$1164)=VALUE($B$10))) *
            (IF($B$11="الكل",1, INT((DAY('ادخال البيانات'!$N$3:$N$1164)-1)/7)+1 = VALUE($B$11))),
            'ادخال البيانات'!$J$3:$J$1164
         ),
         ""
      ),
      IF(_xlpm.result="", "", _xlpm.result)
   )
)</f>
        <v/>
      </c>
      <c r="K1058" s="27" t="str" cm="1">
        <f t="array" ref="K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8" s="27" t="str" cm="1">
        <f t="array" ref="L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8" s="27" t="str" cm="1">
        <f t="array" ref="M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8" s="28" t="str" cm="1">
        <f t="array" ref="N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8" s="28" t="str" cm="1">
        <f t="array" ref="O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8" s="27" t="str" cm="1">
        <f t="array" ref="P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Table8[جهة العطل]
         ),
         ""
      ),
      IF(_xlpm.result="", "", _xlpm.result)
   )
)</f>
        <v/>
      </c>
      <c r="Q1058" s="27" t="str" cm="1">
        <f t="array" ref="Q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Table8[المركز]
         ),
         ""
      ),
      IF(_xlpm.result="", "", _xlpm.result)
   )
)</f>
        <v/>
      </c>
      <c r="R1058" s="27" t="str" cm="1">
        <f t="array" ref="R1058">IF(
   A1058="",
   "",
   _xlfn.LET(
      _xlpm.result,
      IFERROR(
         _xlfn.XLOOKUP(
            1,
            (Table8[رقم الصنف]=A1058) *
            (IF($B$9="الكل",1, YEAR('ادخال البيانات'!$N$3:$N$1164) = VALUE($B$9))) *
            (IF($B$10="الكل",1, MONTH('ادخال البيانات'!$N$3:$N$1164) = VALUE($B$10))) *
            (IF($B$11="الكل",1, INT((DAY('ادخال البيانات'!$N$3:$N$1164) - 1) / 7) + 1 = VALUE($B$11))),
            Table8[ملاحظة]
         ),
         ""
      ),
      IF(_xlpm.result="", "", _xlpm.result)
   )
)</f>
        <v/>
      </c>
      <c r="S1058" s="46" t="str">
        <f t="shared" ca="1" si="17"/>
        <v/>
      </c>
    </row>
    <row r="1059" spans="1:19" ht="15.6" thickTop="1" thickBot="1" x14ac:dyDescent="0.35">
      <c r="A1059" s="39"/>
      <c r="B1059" s="27" t="str" cm="1">
        <f t="array" ref="B1059">IF(
   OR(A1059="", $B$9="", $B$10="", $B$11=""),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59" s="27" t="str" cm="1">
        <f t="array" ref="C1059">IF(
   A1059="",
   "",
   _xlfn.LET(
      _xlpm.result,
      IFERROR(
         _xlfn.XLOOKUP(
            1,
            (Table8[رقم الصنف]=A1059) *
            (IF($B$9="الكل",1, YEAR('ادخال البيانات'!$N$3:$N$1164) = VALUE($B$9))) *
            (IF($B$10="الكل",1, MONTH('ادخال البيانات'!$N$3:$N$1164) = VALUE($B$10))) *
            (IF($B$11="الكل",1, INT((DAY('ادخال البيانات'!$N$3:$N$1164)-1)/7)+1 = VALUE($B$11))),
            'ادخال البيانات'!$C$3:$C$1164
         ),
         ""
      ),
      IF(_xlpm.result="", "", _xlpm.result)
   )
)</f>
        <v/>
      </c>
      <c r="D1059" s="27" t="str" cm="1">
        <f t="array" ref="D1059">IF(
   OR(A1059="", $B$9="", $B$10="", $B$11=""),
   "",
   _xlfn.LET(
      _xlpm.result,
      IFERROR(
         _xlfn.XLOOKUP(
            1,
            (Table8[رقم الصنف]=A1059) *
            (IF($B$9="الكل",1, YEAR('ادخال البيانات'!$N$3:$N$1164)=VALUE($B$9))) *
            (IF($B$10="الكل",1, MONTH('ادخال البيانات'!$N$3:$N$1164)=VALUE($B$10))) *
            (IF($B$11="الكل",1, INT((DAY('ادخال البيانات'!$N$3:$N$1164)-1)/7)+1 = VALUE($B$11))),
            'ادخال البيانات'!$D$3:$D$1164
         ),
         ""
      ),
      IF(_xlpm.result="", "", _xlpm.result)
   )
)</f>
        <v/>
      </c>
      <c r="E1059" s="27" t="str" cm="1">
        <f t="array" ref="E1059">IF(
   A1059="",
   "",
   _xlfn.LET(
      _xlpm.result,
      IFERROR(
         _xlfn.XLOOKUP(
            1,
            (Table8[رقم الصنف]=A1059) *
            (IF($B$9="الكل",1, YEAR('ادخال البيانات'!$N$3:$N$1164)=VALUE($B$9))) *
            (IF($B$10="الكل",1, MONTH('ادخال البيانات'!$N$3:$N$1164)=VALUE($B$10))) *
            (IF($B$11="الكل",1, INT((DAY('ادخال البيانات'!$N$3:$N$1164)-1)/7)+1 = VALUE($B$11))),
            'ادخال البيانات'!$E$3:$E$1164
         ),
         ""
      ),
      IF(_xlpm.result="", "", _xlpm.result)
   )
)</f>
        <v/>
      </c>
      <c r="F1059" s="27" t="str" cm="1">
        <f t="array" ref="F1059">IF(
   A1059="",
   "",
   _xlfn.LET(
      _xlpm.result,
      IFERROR(
         _xlfn.XLOOKUP(
            1,
            (Table8[رقم الصنف]=A1059) *
            (IF($B$9="الكل",1, YEAR('ادخال البيانات'!$N$3:$N$1164) = VALUE($B$9))) *
            (IF($B$10="الكل",1, MONTH('ادخال البيانات'!$N$3:$N$1164) = VALUE($B$10))) *
            (IF($B$11="الكل",1, INT((DAY('ادخال البيانات'!$N$3:$N$1164)-1)/7)+1 = VALUE($B$11))),
            'ادخال البيانات'!$F$3:$F$1164
         ),
         ""
      ),
      IF(_xlpm.result="", "", _xlpm.result)
   )
)</f>
        <v/>
      </c>
      <c r="G1059" s="27" t="str" cm="1">
        <f t="array" ref="G1059">IF(
   A1059="",
   "",
   _xlfn.LET(
      _xlpm.result,
      IFERROR(
         _xlfn.XLOOKUP(
            1,
            (Table8[رقم الصنف]=A1059) *
            (IF($B$9="الكل",1, YEAR('ادخال البيانات'!$N$3:$N$1164)=VALUE($B$9))) *
            (IF($B$10="الكل",1, MONTH('ادخال البيانات'!$N$3:$N$1164)=VALUE($B$10))) *
            (IF($B$11="الكل",1, INT((DAY('ادخال البيانات'!$N$3:$N$1164)-1)/7)+1 = VALUE($B$11))),
            'ادخال البيانات'!$G$3:$G$1164
         ),
         ""
      ),
      IF(_xlpm.result="", "", _xlpm.result)
   )
)</f>
        <v/>
      </c>
      <c r="H1059" s="27" t="str" cm="1">
        <f t="array" ref="H1059">IF(
   A1059="",
   "",
   _xlfn.LET(
      _xlpm.result,
      IFERROR(
         _xlfn.XLOOKUP(
            1,
            (Table8[رقم الصنف]=A1059) *
            (IF($B$9="الكل",1, YEAR('ادخال البيانات'!$N$3:$N$1164)=VALUE($B$9))) *
            (IF($B$10="الكل",1, MONTH('ادخال البيانات'!$N$3:$N$1164)=VALUE($B$10))) *
            (IF($B$11="الكل",1, INT((DAY('ادخال البيانات'!$N$3:$N$1164)-1)/7)+1 = VALUE($B$11))),
            'ادخال البيانات'!$H$3:$H$1164
         ),
         ""
      ),
      IF(_xlpm.result="", "", _xlpm.result)
   )
)</f>
        <v/>
      </c>
      <c r="I1059" s="27" t="str" cm="1">
        <f t="array" ref="I1059">IF(
   A1059="",
   "",
   _xlfn.LET(
      _xlpm.result,
      IFERROR(
         _xlfn.XLOOKUP(
            1,
            (Table8[رقم الصنف]=A1059) *
            (IF($B$9="الكل",1, YEAR('ادخال البيانات'!$N$3:$N$1164)=VALUE($B$9))) *
            (IF($B$10="الكل",1, MONTH('ادخال البيانات'!$N$3:$N$1164)=VALUE($B$10))) *
            (IF($B$11="الكل",1, INT((DAY('ادخال البيانات'!$N$3:$N$1164)-1)/7)+1 = VALUE($B$11))),
            'ادخال البيانات'!$I$3:$I$1164
         ),
         ""
      ),
      IF(_xlpm.result="", "", _xlpm.result)
   )
)</f>
        <v/>
      </c>
      <c r="J1059" s="27" t="str" cm="1">
        <f t="array" ref="J1059">IF(
   A1059="",
   "",
   _xlfn.LET(
      _xlpm.result,
      IFERROR(
         _xlfn.XLOOKUP(
            1,
            (Table8[رقم الصنف]=A1059) *
            (IF($B$9="الكل",1, YEAR('ادخال البيانات'!$N$3:$N$1164)=VALUE($B$9))) *
            (IF($B$10="الكل",1, MONTH('ادخال البيانات'!$N$3:$N$1164)=VALUE($B$10))) *
            (IF($B$11="الكل",1, INT((DAY('ادخال البيانات'!$N$3:$N$1164)-1)/7)+1 = VALUE($B$11))),
            'ادخال البيانات'!$J$3:$J$1164
         ),
         ""
      ),
      IF(_xlpm.result="", "", _xlpm.result)
   )
)</f>
        <v/>
      </c>
      <c r="K1059" s="27" t="str" cm="1">
        <f t="array" ref="K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59" s="27" t="str" cm="1">
        <f t="array" ref="L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59" s="27" t="str" cm="1">
        <f t="array" ref="M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59" s="28" t="str" cm="1">
        <f t="array" ref="N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59" s="28" t="str" cm="1">
        <f t="array" ref="O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59" s="27" t="str" cm="1">
        <f t="array" ref="P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Table8[جهة العطل]
         ),
         ""
      ),
      IF(_xlpm.result="", "", _xlpm.result)
   )
)</f>
        <v/>
      </c>
      <c r="Q1059" s="27" t="str" cm="1">
        <f t="array" ref="Q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Table8[المركز]
         ),
         ""
      ),
      IF(_xlpm.result="", "", _xlpm.result)
   )
)</f>
        <v/>
      </c>
      <c r="R1059" s="27" t="str" cm="1">
        <f t="array" ref="R1059">IF(
   A1059="",
   "",
   _xlfn.LET(
      _xlpm.result,
      IFERROR(
         _xlfn.XLOOKUP(
            1,
            (Table8[رقم الصنف]=A1059) *
            (IF($B$9="الكل",1, YEAR('ادخال البيانات'!$N$3:$N$1164) = VALUE($B$9))) *
            (IF($B$10="الكل",1, MONTH('ادخال البيانات'!$N$3:$N$1164) = VALUE($B$10))) *
            (IF($B$11="الكل",1, INT((DAY('ادخال البيانات'!$N$3:$N$1164) - 1) / 7) + 1 = VALUE($B$11))),
            Table8[ملاحظة]
         ),
         ""
      ),
      IF(_xlpm.result="", "", _xlpm.result)
   )
)</f>
        <v/>
      </c>
      <c r="S1059" s="46" t="str">
        <f t="shared" ca="1" si="17"/>
        <v/>
      </c>
    </row>
    <row r="1060" spans="1:19" ht="15.6" thickTop="1" thickBot="1" x14ac:dyDescent="0.35">
      <c r="A1060" s="39"/>
      <c r="B1060" s="27" t="str" cm="1">
        <f t="array" ref="B1060">IF(
   OR(A1060="", $B$9="", $B$10="", $B$11=""),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0" s="27" t="str" cm="1">
        <f t="array" ref="C1060">IF(
   A1060="",
   "",
   _xlfn.LET(
      _xlpm.result,
      IFERROR(
         _xlfn.XLOOKUP(
            1,
            (Table8[رقم الصنف]=A1060) *
            (IF($B$9="الكل",1, YEAR('ادخال البيانات'!$N$3:$N$1164) = VALUE($B$9))) *
            (IF($B$10="الكل",1, MONTH('ادخال البيانات'!$N$3:$N$1164) = VALUE($B$10))) *
            (IF($B$11="الكل",1, INT((DAY('ادخال البيانات'!$N$3:$N$1164)-1)/7)+1 = VALUE($B$11))),
            'ادخال البيانات'!$C$3:$C$1164
         ),
         ""
      ),
      IF(_xlpm.result="", "", _xlpm.result)
   )
)</f>
        <v/>
      </c>
      <c r="D1060" s="27" t="str" cm="1">
        <f t="array" ref="D1060">IF(
   OR(A1060="", $B$9="", $B$10="", $B$11=""),
   "",
   _xlfn.LET(
      _xlpm.result,
      IFERROR(
         _xlfn.XLOOKUP(
            1,
            (Table8[رقم الصنف]=A1060) *
            (IF($B$9="الكل",1, YEAR('ادخال البيانات'!$N$3:$N$1164)=VALUE($B$9))) *
            (IF($B$10="الكل",1, MONTH('ادخال البيانات'!$N$3:$N$1164)=VALUE($B$10))) *
            (IF($B$11="الكل",1, INT((DAY('ادخال البيانات'!$N$3:$N$1164)-1)/7)+1 = VALUE($B$11))),
            'ادخال البيانات'!$D$3:$D$1164
         ),
         ""
      ),
      IF(_xlpm.result="", "", _xlpm.result)
   )
)</f>
        <v/>
      </c>
      <c r="E1060" s="27" t="str" cm="1">
        <f t="array" ref="E1060">IF(
   A1060="",
   "",
   _xlfn.LET(
      _xlpm.result,
      IFERROR(
         _xlfn.XLOOKUP(
            1,
            (Table8[رقم الصنف]=A1060) *
            (IF($B$9="الكل",1, YEAR('ادخال البيانات'!$N$3:$N$1164)=VALUE($B$9))) *
            (IF($B$10="الكل",1, MONTH('ادخال البيانات'!$N$3:$N$1164)=VALUE($B$10))) *
            (IF($B$11="الكل",1, INT((DAY('ادخال البيانات'!$N$3:$N$1164)-1)/7)+1 = VALUE($B$11))),
            'ادخال البيانات'!$E$3:$E$1164
         ),
         ""
      ),
      IF(_xlpm.result="", "", _xlpm.result)
   )
)</f>
        <v/>
      </c>
      <c r="F1060" s="27" t="str" cm="1">
        <f t="array" ref="F1060">IF(
   A1060="",
   "",
   _xlfn.LET(
      _xlpm.result,
      IFERROR(
         _xlfn.XLOOKUP(
            1,
            (Table8[رقم الصنف]=A1060) *
            (IF($B$9="الكل",1, YEAR('ادخال البيانات'!$N$3:$N$1164) = VALUE($B$9))) *
            (IF($B$10="الكل",1, MONTH('ادخال البيانات'!$N$3:$N$1164) = VALUE($B$10))) *
            (IF($B$11="الكل",1, INT((DAY('ادخال البيانات'!$N$3:$N$1164)-1)/7)+1 = VALUE($B$11))),
            'ادخال البيانات'!$F$3:$F$1164
         ),
         ""
      ),
      IF(_xlpm.result="", "", _xlpm.result)
   )
)</f>
        <v/>
      </c>
      <c r="G1060" s="27" t="str" cm="1">
        <f t="array" ref="G1060">IF(
   A1060="",
   "",
   _xlfn.LET(
      _xlpm.result,
      IFERROR(
         _xlfn.XLOOKUP(
            1,
            (Table8[رقم الصنف]=A1060) *
            (IF($B$9="الكل",1, YEAR('ادخال البيانات'!$N$3:$N$1164)=VALUE($B$9))) *
            (IF($B$10="الكل",1, MONTH('ادخال البيانات'!$N$3:$N$1164)=VALUE($B$10))) *
            (IF($B$11="الكل",1, INT((DAY('ادخال البيانات'!$N$3:$N$1164)-1)/7)+1 = VALUE($B$11))),
            'ادخال البيانات'!$G$3:$G$1164
         ),
         ""
      ),
      IF(_xlpm.result="", "", _xlpm.result)
   )
)</f>
        <v/>
      </c>
      <c r="H1060" s="27" t="str" cm="1">
        <f t="array" ref="H1060">IF(
   A1060="",
   "",
   _xlfn.LET(
      _xlpm.result,
      IFERROR(
         _xlfn.XLOOKUP(
            1,
            (Table8[رقم الصنف]=A1060) *
            (IF($B$9="الكل",1, YEAR('ادخال البيانات'!$N$3:$N$1164)=VALUE($B$9))) *
            (IF($B$10="الكل",1, MONTH('ادخال البيانات'!$N$3:$N$1164)=VALUE($B$10))) *
            (IF($B$11="الكل",1, INT((DAY('ادخال البيانات'!$N$3:$N$1164)-1)/7)+1 = VALUE($B$11))),
            'ادخال البيانات'!$H$3:$H$1164
         ),
         ""
      ),
      IF(_xlpm.result="", "", _xlpm.result)
   )
)</f>
        <v/>
      </c>
      <c r="I1060" s="27" t="str" cm="1">
        <f t="array" ref="I1060">IF(
   A1060="",
   "",
   _xlfn.LET(
      _xlpm.result,
      IFERROR(
         _xlfn.XLOOKUP(
            1,
            (Table8[رقم الصنف]=A1060) *
            (IF($B$9="الكل",1, YEAR('ادخال البيانات'!$N$3:$N$1164)=VALUE($B$9))) *
            (IF($B$10="الكل",1, MONTH('ادخال البيانات'!$N$3:$N$1164)=VALUE($B$10))) *
            (IF($B$11="الكل",1, INT((DAY('ادخال البيانات'!$N$3:$N$1164)-1)/7)+1 = VALUE($B$11))),
            'ادخال البيانات'!$I$3:$I$1164
         ),
         ""
      ),
      IF(_xlpm.result="", "", _xlpm.result)
   )
)</f>
        <v/>
      </c>
      <c r="J1060" s="27" t="str" cm="1">
        <f t="array" ref="J1060">IF(
   A1060="",
   "",
   _xlfn.LET(
      _xlpm.result,
      IFERROR(
         _xlfn.XLOOKUP(
            1,
            (Table8[رقم الصنف]=A1060) *
            (IF($B$9="الكل",1, YEAR('ادخال البيانات'!$N$3:$N$1164)=VALUE($B$9))) *
            (IF($B$10="الكل",1, MONTH('ادخال البيانات'!$N$3:$N$1164)=VALUE($B$10))) *
            (IF($B$11="الكل",1, INT((DAY('ادخال البيانات'!$N$3:$N$1164)-1)/7)+1 = VALUE($B$11))),
            'ادخال البيانات'!$J$3:$J$1164
         ),
         ""
      ),
      IF(_xlpm.result="", "", _xlpm.result)
   )
)</f>
        <v/>
      </c>
      <c r="K1060" s="27" t="str" cm="1">
        <f t="array" ref="K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0" s="27" t="str" cm="1">
        <f t="array" ref="L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0" s="27" t="str" cm="1">
        <f t="array" ref="M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0" s="28" t="str" cm="1">
        <f t="array" ref="N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0" s="28" t="str" cm="1">
        <f t="array" ref="O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0" s="27" t="str" cm="1">
        <f t="array" ref="P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Table8[جهة العطل]
         ),
         ""
      ),
      IF(_xlpm.result="", "", _xlpm.result)
   )
)</f>
        <v/>
      </c>
      <c r="Q1060" s="27" t="str" cm="1">
        <f t="array" ref="Q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Table8[المركز]
         ),
         ""
      ),
      IF(_xlpm.result="", "", _xlpm.result)
   )
)</f>
        <v/>
      </c>
      <c r="R1060" s="27" t="str" cm="1">
        <f t="array" ref="R1060">IF(
   A1060="",
   "",
   _xlfn.LET(
      _xlpm.result,
      IFERROR(
         _xlfn.XLOOKUP(
            1,
            (Table8[رقم الصنف]=A1060) *
            (IF($B$9="الكل",1, YEAR('ادخال البيانات'!$N$3:$N$1164) = VALUE($B$9))) *
            (IF($B$10="الكل",1, MONTH('ادخال البيانات'!$N$3:$N$1164) = VALUE($B$10))) *
            (IF($B$11="الكل",1, INT((DAY('ادخال البيانات'!$N$3:$N$1164) - 1) / 7) + 1 = VALUE($B$11))),
            Table8[ملاحظة]
         ),
         ""
      ),
      IF(_xlpm.result="", "", _xlpm.result)
   )
)</f>
        <v/>
      </c>
      <c r="S1060" s="46" t="str">
        <f t="shared" ca="1" si="17"/>
        <v/>
      </c>
    </row>
    <row r="1061" spans="1:19" ht="15.6" thickTop="1" thickBot="1" x14ac:dyDescent="0.35">
      <c r="A1061" s="39"/>
      <c r="B1061" s="27" t="str" cm="1">
        <f t="array" ref="B1061">IF(
   OR(A1061="", $B$9="", $B$10="", $B$11=""),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1" s="27" t="str" cm="1">
        <f t="array" ref="C1061">IF(
   A1061="",
   "",
   _xlfn.LET(
      _xlpm.result,
      IFERROR(
         _xlfn.XLOOKUP(
            1,
            (Table8[رقم الصنف]=A1061) *
            (IF($B$9="الكل",1, YEAR('ادخال البيانات'!$N$3:$N$1164) = VALUE($B$9))) *
            (IF($B$10="الكل",1, MONTH('ادخال البيانات'!$N$3:$N$1164) = VALUE($B$10))) *
            (IF($B$11="الكل",1, INT((DAY('ادخال البيانات'!$N$3:$N$1164)-1)/7)+1 = VALUE($B$11))),
            'ادخال البيانات'!$C$3:$C$1164
         ),
         ""
      ),
      IF(_xlpm.result="", "", _xlpm.result)
   )
)</f>
        <v/>
      </c>
      <c r="D1061" s="27" t="str" cm="1">
        <f t="array" ref="D1061">IF(
   OR(A1061="", $B$9="", $B$10="", $B$11=""),
   "",
   _xlfn.LET(
      _xlpm.result,
      IFERROR(
         _xlfn.XLOOKUP(
            1,
            (Table8[رقم الصنف]=A1061) *
            (IF($B$9="الكل",1, YEAR('ادخال البيانات'!$N$3:$N$1164)=VALUE($B$9))) *
            (IF($B$10="الكل",1, MONTH('ادخال البيانات'!$N$3:$N$1164)=VALUE($B$10))) *
            (IF($B$11="الكل",1, INT((DAY('ادخال البيانات'!$N$3:$N$1164)-1)/7)+1 = VALUE($B$11))),
            'ادخال البيانات'!$D$3:$D$1164
         ),
         ""
      ),
      IF(_xlpm.result="", "", _xlpm.result)
   )
)</f>
        <v/>
      </c>
      <c r="E1061" s="27" t="str" cm="1">
        <f t="array" ref="E1061">IF(
   A1061="",
   "",
   _xlfn.LET(
      _xlpm.result,
      IFERROR(
         _xlfn.XLOOKUP(
            1,
            (Table8[رقم الصنف]=A1061) *
            (IF($B$9="الكل",1, YEAR('ادخال البيانات'!$N$3:$N$1164)=VALUE($B$9))) *
            (IF($B$10="الكل",1, MONTH('ادخال البيانات'!$N$3:$N$1164)=VALUE($B$10))) *
            (IF($B$11="الكل",1, INT((DAY('ادخال البيانات'!$N$3:$N$1164)-1)/7)+1 = VALUE($B$11))),
            'ادخال البيانات'!$E$3:$E$1164
         ),
         ""
      ),
      IF(_xlpm.result="", "", _xlpm.result)
   )
)</f>
        <v/>
      </c>
      <c r="F1061" s="27" t="str" cm="1">
        <f t="array" ref="F1061">IF(
   A1061="",
   "",
   _xlfn.LET(
      _xlpm.result,
      IFERROR(
         _xlfn.XLOOKUP(
            1,
            (Table8[رقم الصنف]=A1061) *
            (IF($B$9="الكل",1, YEAR('ادخال البيانات'!$N$3:$N$1164) = VALUE($B$9))) *
            (IF($B$10="الكل",1, MONTH('ادخال البيانات'!$N$3:$N$1164) = VALUE($B$10))) *
            (IF($B$11="الكل",1, INT((DAY('ادخال البيانات'!$N$3:$N$1164)-1)/7)+1 = VALUE($B$11))),
            'ادخال البيانات'!$F$3:$F$1164
         ),
         ""
      ),
      IF(_xlpm.result="", "", _xlpm.result)
   )
)</f>
        <v/>
      </c>
      <c r="G1061" s="27" t="str" cm="1">
        <f t="array" ref="G1061">IF(
   A1061="",
   "",
   _xlfn.LET(
      _xlpm.result,
      IFERROR(
         _xlfn.XLOOKUP(
            1,
            (Table8[رقم الصنف]=A1061) *
            (IF($B$9="الكل",1, YEAR('ادخال البيانات'!$N$3:$N$1164)=VALUE($B$9))) *
            (IF($B$10="الكل",1, MONTH('ادخال البيانات'!$N$3:$N$1164)=VALUE($B$10))) *
            (IF($B$11="الكل",1, INT((DAY('ادخال البيانات'!$N$3:$N$1164)-1)/7)+1 = VALUE($B$11))),
            'ادخال البيانات'!$G$3:$G$1164
         ),
         ""
      ),
      IF(_xlpm.result="", "", _xlpm.result)
   )
)</f>
        <v/>
      </c>
      <c r="H1061" s="27" t="str" cm="1">
        <f t="array" ref="H1061">IF(
   A1061="",
   "",
   _xlfn.LET(
      _xlpm.result,
      IFERROR(
         _xlfn.XLOOKUP(
            1,
            (Table8[رقم الصنف]=A1061) *
            (IF($B$9="الكل",1, YEAR('ادخال البيانات'!$N$3:$N$1164)=VALUE($B$9))) *
            (IF($B$10="الكل",1, MONTH('ادخال البيانات'!$N$3:$N$1164)=VALUE($B$10))) *
            (IF($B$11="الكل",1, INT((DAY('ادخال البيانات'!$N$3:$N$1164)-1)/7)+1 = VALUE($B$11))),
            'ادخال البيانات'!$H$3:$H$1164
         ),
         ""
      ),
      IF(_xlpm.result="", "", _xlpm.result)
   )
)</f>
        <v/>
      </c>
      <c r="I1061" s="27" t="str" cm="1">
        <f t="array" ref="I1061">IF(
   A1061="",
   "",
   _xlfn.LET(
      _xlpm.result,
      IFERROR(
         _xlfn.XLOOKUP(
            1,
            (Table8[رقم الصنف]=A1061) *
            (IF($B$9="الكل",1, YEAR('ادخال البيانات'!$N$3:$N$1164)=VALUE($B$9))) *
            (IF($B$10="الكل",1, MONTH('ادخال البيانات'!$N$3:$N$1164)=VALUE($B$10))) *
            (IF($B$11="الكل",1, INT((DAY('ادخال البيانات'!$N$3:$N$1164)-1)/7)+1 = VALUE($B$11))),
            'ادخال البيانات'!$I$3:$I$1164
         ),
         ""
      ),
      IF(_xlpm.result="", "", _xlpm.result)
   )
)</f>
        <v/>
      </c>
      <c r="J1061" s="27" t="str" cm="1">
        <f t="array" ref="J1061">IF(
   A1061="",
   "",
   _xlfn.LET(
      _xlpm.result,
      IFERROR(
         _xlfn.XLOOKUP(
            1,
            (Table8[رقم الصنف]=A1061) *
            (IF($B$9="الكل",1, YEAR('ادخال البيانات'!$N$3:$N$1164)=VALUE($B$9))) *
            (IF($B$10="الكل",1, MONTH('ادخال البيانات'!$N$3:$N$1164)=VALUE($B$10))) *
            (IF($B$11="الكل",1, INT((DAY('ادخال البيانات'!$N$3:$N$1164)-1)/7)+1 = VALUE($B$11))),
            'ادخال البيانات'!$J$3:$J$1164
         ),
         ""
      ),
      IF(_xlpm.result="", "", _xlpm.result)
   )
)</f>
        <v/>
      </c>
      <c r="K1061" s="27" t="str" cm="1">
        <f t="array" ref="K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1" s="27" t="str" cm="1">
        <f t="array" ref="L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1" s="27" t="str" cm="1">
        <f t="array" ref="M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1" s="28" t="str" cm="1">
        <f t="array" ref="N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1" s="28" t="str" cm="1">
        <f t="array" ref="O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1" s="27" t="str" cm="1">
        <f t="array" ref="P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Table8[جهة العطل]
         ),
         ""
      ),
      IF(_xlpm.result="", "", _xlpm.result)
   )
)</f>
        <v/>
      </c>
      <c r="Q1061" s="27" t="str" cm="1">
        <f t="array" ref="Q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Table8[المركز]
         ),
         ""
      ),
      IF(_xlpm.result="", "", _xlpm.result)
   )
)</f>
        <v/>
      </c>
      <c r="R1061" s="27" t="str" cm="1">
        <f t="array" ref="R1061">IF(
   A1061="",
   "",
   _xlfn.LET(
      _xlpm.result,
      IFERROR(
         _xlfn.XLOOKUP(
            1,
            (Table8[رقم الصنف]=A1061) *
            (IF($B$9="الكل",1, YEAR('ادخال البيانات'!$N$3:$N$1164) = VALUE($B$9))) *
            (IF($B$10="الكل",1, MONTH('ادخال البيانات'!$N$3:$N$1164) = VALUE($B$10))) *
            (IF($B$11="الكل",1, INT((DAY('ادخال البيانات'!$N$3:$N$1164) - 1) / 7) + 1 = VALUE($B$11))),
            Table8[ملاحظة]
         ),
         ""
      ),
      IF(_xlpm.result="", "", _xlpm.result)
   )
)</f>
        <v/>
      </c>
      <c r="S1061" s="46" t="str">
        <f t="shared" ca="1" si="17"/>
        <v/>
      </c>
    </row>
    <row r="1062" spans="1:19" ht="15.6" thickTop="1" thickBot="1" x14ac:dyDescent="0.35">
      <c r="A1062" s="39"/>
      <c r="B1062" s="27" t="str" cm="1">
        <f t="array" ref="B1062">IF(
   OR(A1062="", $B$9="", $B$10="", $B$11=""),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2" s="27" t="str" cm="1">
        <f t="array" ref="C1062">IF(
   A1062="",
   "",
   _xlfn.LET(
      _xlpm.result,
      IFERROR(
         _xlfn.XLOOKUP(
            1,
            (Table8[رقم الصنف]=A1062) *
            (IF($B$9="الكل",1, YEAR('ادخال البيانات'!$N$3:$N$1164) = VALUE($B$9))) *
            (IF($B$10="الكل",1, MONTH('ادخال البيانات'!$N$3:$N$1164) = VALUE($B$10))) *
            (IF($B$11="الكل",1, INT((DAY('ادخال البيانات'!$N$3:$N$1164)-1)/7)+1 = VALUE($B$11))),
            'ادخال البيانات'!$C$3:$C$1164
         ),
         ""
      ),
      IF(_xlpm.result="", "", _xlpm.result)
   )
)</f>
        <v/>
      </c>
      <c r="D1062" s="27" t="str" cm="1">
        <f t="array" ref="D1062">IF(
   OR(A1062="", $B$9="", $B$10="", $B$11=""),
   "",
   _xlfn.LET(
      _xlpm.result,
      IFERROR(
         _xlfn.XLOOKUP(
            1,
            (Table8[رقم الصنف]=A1062) *
            (IF($B$9="الكل",1, YEAR('ادخال البيانات'!$N$3:$N$1164)=VALUE($B$9))) *
            (IF($B$10="الكل",1, MONTH('ادخال البيانات'!$N$3:$N$1164)=VALUE($B$10))) *
            (IF($B$11="الكل",1, INT((DAY('ادخال البيانات'!$N$3:$N$1164)-1)/7)+1 = VALUE($B$11))),
            'ادخال البيانات'!$D$3:$D$1164
         ),
         ""
      ),
      IF(_xlpm.result="", "", _xlpm.result)
   )
)</f>
        <v/>
      </c>
      <c r="E1062" s="27" t="str" cm="1">
        <f t="array" ref="E1062">IF(
   A1062="",
   "",
   _xlfn.LET(
      _xlpm.result,
      IFERROR(
         _xlfn.XLOOKUP(
            1,
            (Table8[رقم الصنف]=A1062) *
            (IF($B$9="الكل",1, YEAR('ادخال البيانات'!$N$3:$N$1164)=VALUE($B$9))) *
            (IF($B$10="الكل",1, MONTH('ادخال البيانات'!$N$3:$N$1164)=VALUE($B$10))) *
            (IF($B$11="الكل",1, INT((DAY('ادخال البيانات'!$N$3:$N$1164)-1)/7)+1 = VALUE($B$11))),
            'ادخال البيانات'!$E$3:$E$1164
         ),
         ""
      ),
      IF(_xlpm.result="", "", _xlpm.result)
   )
)</f>
        <v/>
      </c>
      <c r="F1062" s="27" t="str" cm="1">
        <f t="array" ref="F1062">IF(
   A1062="",
   "",
   _xlfn.LET(
      _xlpm.result,
      IFERROR(
         _xlfn.XLOOKUP(
            1,
            (Table8[رقم الصنف]=A1062) *
            (IF($B$9="الكل",1, YEAR('ادخال البيانات'!$N$3:$N$1164) = VALUE($B$9))) *
            (IF($B$10="الكل",1, MONTH('ادخال البيانات'!$N$3:$N$1164) = VALUE($B$10))) *
            (IF($B$11="الكل",1, INT((DAY('ادخال البيانات'!$N$3:$N$1164)-1)/7)+1 = VALUE($B$11))),
            'ادخال البيانات'!$F$3:$F$1164
         ),
         ""
      ),
      IF(_xlpm.result="", "", _xlpm.result)
   )
)</f>
        <v/>
      </c>
      <c r="G1062" s="27" t="str" cm="1">
        <f t="array" ref="G1062">IF(
   A1062="",
   "",
   _xlfn.LET(
      _xlpm.result,
      IFERROR(
         _xlfn.XLOOKUP(
            1,
            (Table8[رقم الصنف]=A1062) *
            (IF($B$9="الكل",1, YEAR('ادخال البيانات'!$N$3:$N$1164)=VALUE($B$9))) *
            (IF($B$10="الكل",1, MONTH('ادخال البيانات'!$N$3:$N$1164)=VALUE($B$10))) *
            (IF($B$11="الكل",1, INT((DAY('ادخال البيانات'!$N$3:$N$1164)-1)/7)+1 = VALUE($B$11))),
            'ادخال البيانات'!$G$3:$G$1164
         ),
         ""
      ),
      IF(_xlpm.result="", "", _xlpm.result)
   )
)</f>
        <v/>
      </c>
      <c r="H1062" s="27" t="str" cm="1">
        <f t="array" ref="H1062">IF(
   A1062="",
   "",
   _xlfn.LET(
      _xlpm.result,
      IFERROR(
         _xlfn.XLOOKUP(
            1,
            (Table8[رقم الصنف]=A1062) *
            (IF($B$9="الكل",1, YEAR('ادخال البيانات'!$N$3:$N$1164)=VALUE($B$9))) *
            (IF($B$10="الكل",1, MONTH('ادخال البيانات'!$N$3:$N$1164)=VALUE($B$10))) *
            (IF($B$11="الكل",1, INT((DAY('ادخال البيانات'!$N$3:$N$1164)-1)/7)+1 = VALUE($B$11))),
            'ادخال البيانات'!$H$3:$H$1164
         ),
         ""
      ),
      IF(_xlpm.result="", "", _xlpm.result)
   )
)</f>
        <v/>
      </c>
      <c r="I1062" s="27" t="str" cm="1">
        <f t="array" ref="I1062">IF(
   A1062="",
   "",
   _xlfn.LET(
      _xlpm.result,
      IFERROR(
         _xlfn.XLOOKUP(
            1,
            (Table8[رقم الصنف]=A1062) *
            (IF($B$9="الكل",1, YEAR('ادخال البيانات'!$N$3:$N$1164)=VALUE($B$9))) *
            (IF($B$10="الكل",1, MONTH('ادخال البيانات'!$N$3:$N$1164)=VALUE($B$10))) *
            (IF($B$11="الكل",1, INT((DAY('ادخال البيانات'!$N$3:$N$1164)-1)/7)+1 = VALUE($B$11))),
            'ادخال البيانات'!$I$3:$I$1164
         ),
         ""
      ),
      IF(_xlpm.result="", "", _xlpm.result)
   )
)</f>
        <v/>
      </c>
      <c r="J1062" s="27" t="str" cm="1">
        <f t="array" ref="J1062">IF(
   A1062="",
   "",
   _xlfn.LET(
      _xlpm.result,
      IFERROR(
         _xlfn.XLOOKUP(
            1,
            (Table8[رقم الصنف]=A1062) *
            (IF($B$9="الكل",1, YEAR('ادخال البيانات'!$N$3:$N$1164)=VALUE($B$9))) *
            (IF($B$10="الكل",1, MONTH('ادخال البيانات'!$N$3:$N$1164)=VALUE($B$10))) *
            (IF($B$11="الكل",1, INT((DAY('ادخال البيانات'!$N$3:$N$1164)-1)/7)+1 = VALUE($B$11))),
            'ادخال البيانات'!$J$3:$J$1164
         ),
         ""
      ),
      IF(_xlpm.result="", "", _xlpm.result)
   )
)</f>
        <v/>
      </c>
      <c r="K1062" s="27" t="str" cm="1">
        <f t="array" ref="K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2" s="27" t="str" cm="1">
        <f t="array" ref="L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2" s="27" t="str" cm="1">
        <f t="array" ref="M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2" s="28" t="str" cm="1">
        <f t="array" ref="N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2" s="28" t="str" cm="1">
        <f t="array" ref="O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2" s="27" t="str" cm="1">
        <f t="array" ref="P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Table8[جهة العطل]
         ),
         ""
      ),
      IF(_xlpm.result="", "", _xlpm.result)
   )
)</f>
        <v/>
      </c>
      <c r="Q1062" s="27" t="str" cm="1">
        <f t="array" ref="Q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Table8[المركز]
         ),
         ""
      ),
      IF(_xlpm.result="", "", _xlpm.result)
   )
)</f>
        <v/>
      </c>
      <c r="R1062" s="27" t="str" cm="1">
        <f t="array" ref="R1062">IF(
   A1062="",
   "",
   _xlfn.LET(
      _xlpm.result,
      IFERROR(
         _xlfn.XLOOKUP(
            1,
            (Table8[رقم الصنف]=A1062) *
            (IF($B$9="الكل",1, YEAR('ادخال البيانات'!$N$3:$N$1164) = VALUE($B$9))) *
            (IF($B$10="الكل",1, MONTH('ادخال البيانات'!$N$3:$N$1164) = VALUE($B$10))) *
            (IF($B$11="الكل",1, INT((DAY('ادخال البيانات'!$N$3:$N$1164) - 1) / 7) + 1 = VALUE($B$11))),
            Table8[ملاحظة]
         ),
         ""
      ),
      IF(_xlpm.result="", "", _xlpm.result)
   )
)</f>
        <v/>
      </c>
      <c r="S1062" s="46" t="str">
        <f t="shared" ca="1" si="17"/>
        <v/>
      </c>
    </row>
    <row r="1063" spans="1:19" ht="15.6" thickTop="1" thickBot="1" x14ac:dyDescent="0.35">
      <c r="A1063" s="39"/>
      <c r="B1063" s="27" t="str" cm="1">
        <f t="array" ref="B1063">IF(
   OR(A1063="", $B$9="", $B$10="", $B$11=""),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3" s="27" t="str" cm="1">
        <f t="array" ref="C1063">IF(
   A1063="",
   "",
   _xlfn.LET(
      _xlpm.result,
      IFERROR(
         _xlfn.XLOOKUP(
            1,
            (Table8[رقم الصنف]=A1063) *
            (IF($B$9="الكل",1, YEAR('ادخال البيانات'!$N$3:$N$1164) = VALUE($B$9))) *
            (IF($B$10="الكل",1, MONTH('ادخال البيانات'!$N$3:$N$1164) = VALUE($B$10))) *
            (IF($B$11="الكل",1, INT((DAY('ادخال البيانات'!$N$3:$N$1164)-1)/7)+1 = VALUE($B$11))),
            'ادخال البيانات'!$C$3:$C$1164
         ),
         ""
      ),
      IF(_xlpm.result="", "", _xlpm.result)
   )
)</f>
        <v/>
      </c>
      <c r="D1063" s="27" t="str" cm="1">
        <f t="array" ref="D1063">IF(
   OR(A1063="", $B$9="", $B$10="", $B$11=""),
   "",
   _xlfn.LET(
      _xlpm.result,
      IFERROR(
         _xlfn.XLOOKUP(
            1,
            (Table8[رقم الصنف]=A1063) *
            (IF($B$9="الكل",1, YEAR('ادخال البيانات'!$N$3:$N$1164)=VALUE($B$9))) *
            (IF($B$10="الكل",1, MONTH('ادخال البيانات'!$N$3:$N$1164)=VALUE($B$10))) *
            (IF($B$11="الكل",1, INT((DAY('ادخال البيانات'!$N$3:$N$1164)-1)/7)+1 = VALUE($B$11))),
            'ادخال البيانات'!$D$3:$D$1164
         ),
         ""
      ),
      IF(_xlpm.result="", "", _xlpm.result)
   )
)</f>
        <v/>
      </c>
      <c r="E1063" s="27" t="str" cm="1">
        <f t="array" ref="E1063">IF(
   A1063="",
   "",
   _xlfn.LET(
      _xlpm.result,
      IFERROR(
         _xlfn.XLOOKUP(
            1,
            (Table8[رقم الصنف]=A1063) *
            (IF($B$9="الكل",1, YEAR('ادخال البيانات'!$N$3:$N$1164)=VALUE($B$9))) *
            (IF($B$10="الكل",1, MONTH('ادخال البيانات'!$N$3:$N$1164)=VALUE($B$10))) *
            (IF($B$11="الكل",1, INT((DAY('ادخال البيانات'!$N$3:$N$1164)-1)/7)+1 = VALUE($B$11))),
            'ادخال البيانات'!$E$3:$E$1164
         ),
         ""
      ),
      IF(_xlpm.result="", "", _xlpm.result)
   )
)</f>
        <v/>
      </c>
      <c r="F1063" s="27" t="str" cm="1">
        <f t="array" ref="F1063">IF(
   A1063="",
   "",
   _xlfn.LET(
      _xlpm.result,
      IFERROR(
         _xlfn.XLOOKUP(
            1,
            (Table8[رقم الصنف]=A1063) *
            (IF($B$9="الكل",1, YEAR('ادخال البيانات'!$N$3:$N$1164) = VALUE($B$9))) *
            (IF($B$10="الكل",1, MONTH('ادخال البيانات'!$N$3:$N$1164) = VALUE($B$10))) *
            (IF($B$11="الكل",1, INT((DAY('ادخال البيانات'!$N$3:$N$1164)-1)/7)+1 = VALUE($B$11))),
            'ادخال البيانات'!$F$3:$F$1164
         ),
         ""
      ),
      IF(_xlpm.result="", "", _xlpm.result)
   )
)</f>
        <v/>
      </c>
      <c r="G1063" s="27" t="str" cm="1">
        <f t="array" ref="G1063">IF(
   A1063="",
   "",
   _xlfn.LET(
      _xlpm.result,
      IFERROR(
         _xlfn.XLOOKUP(
            1,
            (Table8[رقم الصنف]=A1063) *
            (IF($B$9="الكل",1, YEAR('ادخال البيانات'!$N$3:$N$1164)=VALUE($B$9))) *
            (IF($B$10="الكل",1, MONTH('ادخال البيانات'!$N$3:$N$1164)=VALUE($B$10))) *
            (IF($B$11="الكل",1, INT((DAY('ادخال البيانات'!$N$3:$N$1164)-1)/7)+1 = VALUE($B$11))),
            'ادخال البيانات'!$G$3:$G$1164
         ),
         ""
      ),
      IF(_xlpm.result="", "", _xlpm.result)
   )
)</f>
        <v/>
      </c>
      <c r="H1063" s="27" t="str" cm="1">
        <f t="array" ref="H1063">IF(
   A1063="",
   "",
   _xlfn.LET(
      _xlpm.result,
      IFERROR(
         _xlfn.XLOOKUP(
            1,
            (Table8[رقم الصنف]=A1063) *
            (IF($B$9="الكل",1, YEAR('ادخال البيانات'!$N$3:$N$1164)=VALUE($B$9))) *
            (IF($B$10="الكل",1, MONTH('ادخال البيانات'!$N$3:$N$1164)=VALUE($B$10))) *
            (IF($B$11="الكل",1, INT((DAY('ادخال البيانات'!$N$3:$N$1164)-1)/7)+1 = VALUE($B$11))),
            'ادخال البيانات'!$H$3:$H$1164
         ),
         ""
      ),
      IF(_xlpm.result="", "", _xlpm.result)
   )
)</f>
        <v/>
      </c>
      <c r="I1063" s="27" t="str" cm="1">
        <f t="array" ref="I1063">IF(
   A1063="",
   "",
   _xlfn.LET(
      _xlpm.result,
      IFERROR(
         _xlfn.XLOOKUP(
            1,
            (Table8[رقم الصنف]=A1063) *
            (IF($B$9="الكل",1, YEAR('ادخال البيانات'!$N$3:$N$1164)=VALUE($B$9))) *
            (IF($B$10="الكل",1, MONTH('ادخال البيانات'!$N$3:$N$1164)=VALUE($B$10))) *
            (IF($B$11="الكل",1, INT((DAY('ادخال البيانات'!$N$3:$N$1164)-1)/7)+1 = VALUE($B$11))),
            'ادخال البيانات'!$I$3:$I$1164
         ),
         ""
      ),
      IF(_xlpm.result="", "", _xlpm.result)
   )
)</f>
        <v/>
      </c>
      <c r="J1063" s="27" t="str" cm="1">
        <f t="array" ref="J1063">IF(
   A1063="",
   "",
   _xlfn.LET(
      _xlpm.result,
      IFERROR(
         _xlfn.XLOOKUP(
            1,
            (Table8[رقم الصنف]=A1063) *
            (IF($B$9="الكل",1, YEAR('ادخال البيانات'!$N$3:$N$1164)=VALUE($B$9))) *
            (IF($B$10="الكل",1, MONTH('ادخال البيانات'!$N$3:$N$1164)=VALUE($B$10))) *
            (IF($B$11="الكل",1, INT((DAY('ادخال البيانات'!$N$3:$N$1164)-1)/7)+1 = VALUE($B$11))),
            'ادخال البيانات'!$J$3:$J$1164
         ),
         ""
      ),
      IF(_xlpm.result="", "", _xlpm.result)
   )
)</f>
        <v/>
      </c>
      <c r="K1063" s="27" t="str" cm="1">
        <f t="array" ref="K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3" s="27" t="str" cm="1">
        <f t="array" ref="L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3" s="27" t="str" cm="1">
        <f t="array" ref="M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3" s="28" t="str" cm="1">
        <f t="array" ref="N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3" s="28" t="str" cm="1">
        <f t="array" ref="O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3" s="27" t="str" cm="1">
        <f t="array" ref="P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Table8[جهة العطل]
         ),
         ""
      ),
      IF(_xlpm.result="", "", _xlpm.result)
   )
)</f>
        <v/>
      </c>
      <c r="Q1063" s="27" t="str" cm="1">
        <f t="array" ref="Q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Table8[المركز]
         ),
         ""
      ),
      IF(_xlpm.result="", "", _xlpm.result)
   )
)</f>
        <v/>
      </c>
      <c r="R1063" s="27" t="str" cm="1">
        <f t="array" ref="R1063">IF(
   A1063="",
   "",
   _xlfn.LET(
      _xlpm.result,
      IFERROR(
         _xlfn.XLOOKUP(
            1,
            (Table8[رقم الصنف]=A1063) *
            (IF($B$9="الكل",1, YEAR('ادخال البيانات'!$N$3:$N$1164) = VALUE($B$9))) *
            (IF($B$10="الكل",1, MONTH('ادخال البيانات'!$N$3:$N$1164) = VALUE($B$10))) *
            (IF($B$11="الكل",1, INT((DAY('ادخال البيانات'!$N$3:$N$1164) - 1) / 7) + 1 = VALUE($B$11))),
            Table8[ملاحظة]
         ),
         ""
      ),
      IF(_xlpm.result="", "", _xlpm.result)
   )
)</f>
        <v/>
      </c>
      <c r="S1063" s="46" t="str">
        <f t="shared" ca="1" si="17"/>
        <v/>
      </c>
    </row>
    <row r="1064" spans="1:19" ht="15.6" thickTop="1" thickBot="1" x14ac:dyDescent="0.35">
      <c r="A1064" s="39"/>
      <c r="B1064" s="27" t="str" cm="1">
        <f t="array" ref="B1064">IF(
   OR(A1064="", $B$9="", $B$10="", $B$11=""),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4" s="27" t="str" cm="1">
        <f t="array" ref="C1064">IF(
   A1064="",
   "",
   _xlfn.LET(
      _xlpm.result,
      IFERROR(
         _xlfn.XLOOKUP(
            1,
            (Table8[رقم الصنف]=A1064) *
            (IF($B$9="الكل",1, YEAR('ادخال البيانات'!$N$3:$N$1164) = VALUE($B$9))) *
            (IF($B$10="الكل",1, MONTH('ادخال البيانات'!$N$3:$N$1164) = VALUE($B$10))) *
            (IF($B$11="الكل",1, INT((DAY('ادخال البيانات'!$N$3:$N$1164)-1)/7)+1 = VALUE($B$11))),
            'ادخال البيانات'!$C$3:$C$1164
         ),
         ""
      ),
      IF(_xlpm.result="", "", _xlpm.result)
   )
)</f>
        <v/>
      </c>
      <c r="D1064" s="27" t="str" cm="1">
        <f t="array" ref="D1064">IF(
   OR(A1064="", $B$9="", $B$10="", $B$11=""),
   "",
   _xlfn.LET(
      _xlpm.result,
      IFERROR(
         _xlfn.XLOOKUP(
            1,
            (Table8[رقم الصنف]=A1064) *
            (IF($B$9="الكل",1, YEAR('ادخال البيانات'!$N$3:$N$1164)=VALUE($B$9))) *
            (IF($B$10="الكل",1, MONTH('ادخال البيانات'!$N$3:$N$1164)=VALUE($B$10))) *
            (IF($B$11="الكل",1, INT((DAY('ادخال البيانات'!$N$3:$N$1164)-1)/7)+1 = VALUE($B$11))),
            'ادخال البيانات'!$D$3:$D$1164
         ),
         ""
      ),
      IF(_xlpm.result="", "", _xlpm.result)
   )
)</f>
        <v/>
      </c>
      <c r="E1064" s="27" t="str" cm="1">
        <f t="array" ref="E1064">IF(
   A1064="",
   "",
   _xlfn.LET(
      _xlpm.result,
      IFERROR(
         _xlfn.XLOOKUP(
            1,
            (Table8[رقم الصنف]=A1064) *
            (IF($B$9="الكل",1, YEAR('ادخال البيانات'!$N$3:$N$1164)=VALUE($B$9))) *
            (IF($B$10="الكل",1, MONTH('ادخال البيانات'!$N$3:$N$1164)=VALUE($B$10))) *
            (IF($B$11="الكل",1, INT((DAY('ادخال البيانات'!$N$3:$N$1164)-1)/7)+1 = VALUE($B$11))),
            'ادخال البيانات'!$E$3:$E$1164
         ),
         ""
      ),
      IF(_xlpm.result="", "", _xlpm.result)
   )
)</f>
        <v/>
      </c>
      <c r="F1064" s="27" t="str" cm="1">
        <f t="array" ref="F1064">IF(
   A1064="",
   "",
   _xlfn.LET(
      _xlpm.result,
      IFERROR(
         _xlfn.XLOOKUP(
            1,
            (Table8[رقم الصنف]=A1064) *
            (IF($B$9="الكل",1, YEAR('ادخال البيانات'!$N$3:$N$1164) = VALUE($B$9))) *
            (IF($B$10="الكل",1, MONTH('ادخال البيانات'!$N$3:$N$1164) = VALUE($B$10))) *
            (IF($B$11="الكل",1, INT((DAY('ادخال البيانات'!$N$3:$N$1164)-1)/7)+1 = VALUE($B$11))),
            'ادخال البيانات'!$F$3:$F$1164
         ),
         ""
      ),
      IF(_xlpm.result="", "", _xlpm.result)
   )
)</f>
        <v/>
      </c>
      <c r="G1064" s="27" t="str" cm="1">
        <f t="array" ref="G1064">IF(
   A1064="",
   "",
   _xlfn.LET(
      _xlpm.result,
      IFERROR(
         _xlfn.XLOOKUP(
            1,
            (Table8[رقم الصنف]=A1064) *
            (IF($B$9="الكل",1, YEAR('ادخال البيانات'!$N$3:$N$1164)=VALUE($B$9))) *
            (IF($B$10="الكل",1, MONTH('ادخال البيانات'!$N$3:$N$1164)=VALUE($B$10))) *
            (IF($B$11="الكل",1, INT((DAY('ادخال البيانات'!$N$3:$N$1164)-1)/7)+1 = VALUE($B$11))),
            'ادخال البيانات'!$G$3:$G$1164
         ),
         ""
      ),
      IF(_xlpm.result="", "", _xlpm.result)
   )
)</f>
        <v/>
      </c>
      <c r="H1064" s="27" t="str" cm="1">
        <f t="array" ref="H1064">IF(
   A1064="",
   "",
   _xlfn.LET(
      _xlpm.result,
      IFERROR(
         _xlfn.XLOOKUP(
            1,
            (Table8[رقم الصنف]=A1064) *
            (IF($B$9="الكل",1, YEAR('ادخال البيانات'!$N$3:$N$1164)=VALUE($B$9))) *
            (IF($B$10="الكل",1, MONTH('ادخال البيانات'!$N$3:$N$1164)=VALUE($B$10))) *
            (IF($B$11="الكل",1, INT((DAY('ادخال البيانات'!$N$3:$N$1164)-1)/7)+1 = VALUE($B$11))),
            'ادخال البيانات'!$H$3:$H$1164
         ),
         ""
      ),
      IF(_xlpm.result="", "", _xlpm.result)
   )
)</f>
        <v/>
      </c>
      <c r="I1064" s="27" t="str" cm="1">
        <f t="array" ref="I1064">IF(
   A1064="",
   "",
   _xlfn.LET(
      _xlpm.result,
      IFERROR(
         _xlfn.XLOOKUP(
            1,
            (Table8[رقم الصنف]=A1064) *
            (IF($B$9="الكل",1, YEAR('ادخال البيانات'!$N$3:$N$1164)=VALUE($B$9))) *
            (IF($B$10="الكل",1, MONTH('ادخال البيانات'!$N$3:$N$1164)=VALUE($B$10))) *
            (IF($B$11="الكل",1, INT((DAY('ادخال البيانات'!$N$3:$N$1164)-1)/7)+1 = VALUE($B$11))),
            'ادخال البيانات'!$I$3:$I$1164
         ),
         ""
      ),
      IF(_xlpm.result="", "", _xlpm.result)
   )
)</f>
        <v/>
      </c>
      <c r="J1064" s="27" t="str" cm="1">
        <f t="array" ref="J1064">IF(
   A1064="",
   "",
   _xlfn.LET(
      _xlpm.result,
      IFERROR(
         _xlfn.XLOOKUP(
            1,
            (Table8[رقم الصنف]=A1064) *
            (IF($B$9="الكل",1, YEAR('ادخال البيانات'!$N$3:$N$1164)=VALUE($B$9))) *
            (IF($B$10="الكل",1, MONTH('ادخال البيانات'!$N$3:$N$1164)=VALUE($B$10))) *
            (IF($B$11="الكل",1, INT((DAY('ادخال البيانات'!$N$3:$N$1164)-1)/7)+1 = VALUE($B$11))),
            'ادخال البيانات'!$J$3:$J$1164
         ),
         ""
      ),
      IF(_xlpm.result="", "", _xlpm.result)
   )
)</f>
        <v/>
      </c>
      <c r="K1064" s="27" t="str" cm="1">
        <f t="array" ref="K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4" s="27" t="str" cm="1">
        <f t="array" ref="L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4" s="27" t="str" cm="1">
        <f t="array" ref="M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4" s="28" t="str" cm="1">
        <f t="array" ref="N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4" s="28" t="str" cm="1">
        <f t="array" ref="O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4" s="27" t="str" cm="1">
        <f t="array" ref="P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Table8[جهة العطل]
         ),
         ""
      ),
      IF(_xlpm.result="", "", _xlpm.result)
   )
)</f>
        <v/>
      </c>
      <c r="Q1064" s="27" t="str" cm="1">
        <f t="array" ref="Q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Table8[المركز]
         ),
         ""
      ),
      IF(_xlpm.result="", "", _xlpm.result)
   )
)</f>
        <v/>
      </c>
      <c r="R1064" s="27" t="str" cm="1">
        <f t="array" ref="R1064">IF(
   A1064="",
   "",
   _xlfn.LET(
      _xlpm.result,
      IFERROR(
         _xlfn.XLOOKUP(
            1,
            (Table8[رقم الصنف]=A1064) *
            (IF($B$9="الكل",1, YEAR('ادخال البيانات'!$N$3:$N$1164) = VALUE($B$9))) *
            (IF($B$10="الكل",1, MONTH('ادخال البيانات'!$N$3:$N$1164) = VALUE($B$10))) *
            (IF($B$11="الكل",1, INT((DAY('ادخال البيانات'!$N$3:$N$1164) - 1) / 7) + 1 = VALUE($B$11))),
            Table8[ملاحظة]
         ),
         ""
      ),
      IF(_xlpm.result="", "", _xlpm.result)
   )
)</f>
        <v/>
      </c>
      <c r="S1064" s="46" t="str">
        <f t="shared" ca="1" si="17"/>
        <v/>
      </c>
    </row>
    <row r="1065" spans="1:19" ht="15.6" thickTop="1" thickBot="1" x14ac:dyDescent="0.35">
      <c r="A1065" s="39"/>
      <c r="B1065" s="27" t="str" cm="1">
        <f t="array" ref="B1065">IF(
   OR(A1065="", $B$9="", $B$10="", $B$11=""),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5" s="27" t="str" cm="1">
        <f t="array" ref="C1065">IF(
   A1065="",
   "",
   _xlfn.LET(
      _xlpm.result,
      IFERROR(
         _xlfn.XLOOKUP(
            1,
            (Table8[رقم الصنف]=A1065) *
            (IF($B$9="الكل",1, YEAR('ادخال البيانات'!$N$3:$N$1164) = VALUE($B$9))) *
            (IF($B$10="الكل",1, MONTH('ادخال البيانات'!$N$3:$N$1164) = VALUE($B$10))) *
            (IF($B$11="الكل",1, INT((DAY('ادخال البيانات'!$N$3:$N$1164)-1)/7)+1 = VALUE($B$11))),
            'ادخال البيانات'!$C$3:$C$1164
         ),
         ""
      ),
      IF(_xlpm.result="", "", _xlpm.result)
   )
)</f>
        <v/>
      </c>
      <c r="D1065" s="27" t="str" cm="1">
        <f t="array" ref="D1065">IF(
   OR(A1065="", $B$9="", $B$10="", $B$11=""),
   "",
   _xlfn.LET(
      _xlpm.result,
      IFERROR(
         _xlfn.XLOOKUP(
            1,
            (Table8[رقم الصنف]=A1065) *
            (IF($B$9="الكل",1, YEAR('ادخال البيانات'!$N$3:$N$1164)=VALUE($B$9))) *
            (IF($B$10="الكل",1, MONTH('ادخال البيانات'!$N$3:$N$1164)=VALUE($B$10))) *
            (IF($B$11="الكل",1, INT((DAY('ادخال البيانات'!$N$3:$N$1164)-1)/7)+1 = VALUE($B$11))),
            'ادخال البيانات'!$D$3:$D$1164
         ),
         ""
      ),
      IF(_xlpm.result="", "", _xlpm.result)
   )
)</f>
        <v/>
      </c>
      <c r="E1065" s="27" t="str" cm="1">
        <f t="array" ref="E1065">IF(
   A1065="",
   "",
   _xlfn.LET(
      _xlpm.result,
      IFERROR(
         _xlfn.XLOOKUP(
            1,
            (Table8[رقم الصنف]=A1065) *
            (IF($B$9="الكل",1, YEAR('ادخال البيانات'!$N$3:$N$1164)=VALUE($B$9))) *
            (IF($B$10="الكل",1, MONTH('ادخال البيانات'!$N$3:$N$1164)=VALUE($B$10))) *
            (IF($B$11="الكل",1, INT((DAY('ادخال البيانات'!$N$3:$N$1164)-1)/7)+1 = VALUE($B$11))),
            'ادخال البيانات'!$E$3:$E$1164
         ),
         ""
      ),
      IF(_xlpm.result="", "", _xlpm.result)
   )
)</f>
        <v/>
      </c>
      <c r="F1065" s="27" t="str" cm="1">
        <f t="array" ref="F1065">IF(
   A1065="",
   "",
   _xlfn.LET(
      _xlpm.result,
      IFERROR(
         _xlfn.XLOOKUP(
            1,
            (Table8[رقم الصنف]=A1065) *
            (IF($B$9="الكل",1, YEAR('ادخال البيانات'!$N$3:$N$1164) = VALUE($B$9))) *
            (IF($B$10="الكل",1, MONTH('ادخال البيانات'!$N$3:$N$1164) = VALUE($B$10))) *
            (IF($B$11="الكل",1, INT((DAY('ادخال البيانات'!$N$3:$N$1164)-1)/7)+1 = VALUE($B$11))),
            'ادخال البيانات'!$F$3:$F$1164
         ),
         ""
      ),
      IF(_xlpm.result="", "", _xlpm.result)
   )
)</f>
        <v/>
      </c>
      <c r="G1065" s="27" t="str" cm="1">
        <f t="array" ref="G1065">IF(
   A1065="",
   "",
   _xlfn.LET(
      _xlpm.result,
      IFERROR(
         _xlfn.XLOOKUP(
            1,
            (Table8[رقم الصنف]=A1065) *
            (IF($B$9="الكل",1, YEAR('ادخال البيانات'!$N$3:$N$1164)=VALUE($B$9))) *
            (IF($B$10="الكل",1, MONTH('ادخال البيانات'!$N$3:$N$1164)=VALUE($B$10))) *
            (IF($B$11="الكل",1, INT((DAY('ادخال البيانات'!$N$3:$N$1164)-1)/7)+1 = VALUE($B$11))),
            'ادخال البيانات'!$G$3:$G$1164
         ),
         ""
      ),
      IF(_xlpm.result="", "", _xlpm.result)
   )
)</f>
        <v/>
      </c>
      <c r="H1065" s="27" t="str" cm="1">
        <f t="array" ref="H1065">IF(
   A1065="",
   "",
   _xlfn.LET(
      _xlpm.result,
      IFERROR(
         _xlfn.XLOOKUP(
            1,
            (Table8[رقم الصنف]=A1065) *
            (IF($B$9="الكل",1, YEAR('ادخال البيانات'!$N$3:$N$1164)=VALUE($B$9))) *
            (IF($B$10="الكل",1, MONTH('ادخال البيانات'!$N$3:$N$1164)=VALUE($B$10))) *
            (IF($B$11="الكل",1, INT((DAY('ادخال البيانات'!$N$3:$N$1164)-1)/7)+1 = VALUE($B$11))),
            'ادخال البيانات'!$H$3:$H$1164
         ),
         ""
      ),
      IF(_xlpm.result="", "", _xlpm.result)
   )
)</f>
        <v/>
      </c>
      <c r="I1065" s="27" t="str" cm="1">
        <f t="array" ref="I1065">IF(
   A1065="",
   "",
   _xlfn.LET(
      _xlpm.result,
      IFERROR(
         _xlfn.XLOOKUP(
            1,
            (Table8[رقم الصنف]=A1065) *
            (IF($B$9="الكل",1, YEAR('ادخال البيانات'!$N$3:$N$1164)=VALUE($B$9))) *
            (IF($B$10="الكل",1, MONTH('ادخال البيانات'!$N$3:$N$1164)=VALUE($B$10))) *
            (IF($B$11="الكل",1, INT((DAY('ادخال البيانات'!$N$3:$N$1164)-1)/7)+1 = VALUE($B$11))),
            'ادخال البيانات'!$I$3:$I$1164
         ),
         ""
      ),
      IF(_xlpm.result="", "", _xlpm.result)
   )
)</f>
        <v/>
      </c>
      <c r="J1065" s="27" t="str" cm="1">
        <f t="array" ref="J1065">IF(
   A1065="",
   "",
   _xlfn.LET(
      _xlpm.result,
      IFERROR(
         _xlfn.XLOOKUP(
            1,
            (Table8[رقم الصنف]=A1065) *
            (IF($B$9="الكل",1, YEAR('ادخال البيانات'!$N$3:$N$1164)=VALUE($B$9))) *
            (IF($B$10="الكل",1, MONTH('ادخال البيانات'!$N$3:$N$1164)=VALUE($B$10))) *
            (IF($B$11="الكل",1, INT((DAY('ادخال البيانات'!$N$3:$N$1164)-1)/7)+1 = VALUE($B$11))),
            'ادخال البيانات'!$J$3:$J$1164
         ),
         ""
      ),
      IF(_xlpm.result="", "", _xlpm.result)
   )
)</f>
        <v/>
      </c>
      <c r="K1065" s="27" t="str" cm="1">
        <f t="array" ref="K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5" s="27" t="str" cm="1">
        <f t="array" ref="L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5" s="27" t="str" cm="1">
        <f t="array" ref="M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5" s="28" t="str" cm="1">
        <f t="array" ref="N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5" s="28" t="str" cm="1">
        <f t="array" ref="O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5" s="27" t="str" cm="1">
        <f t="array" ref="P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Table8[جهة العطل]
         ),
         ""
      ),
      IF(_xlpm.result="", "", _xlpm.result)
   )
)</f>
        <v/>
      </c>
      <c r="Q1065" s="27" t="str" cm="1">
        <f t="array" ref="Q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Table8[المركز]
         ),
         ""
      ),
      IF(_xlpm.result="", "", _xlpm.result)
   )
)</f>
        <v/>
      </c>
      <c r="R1065" s="27" t="str" cm="1">
        <f t="array" ref="R1065">IF(
   A1065="",
   "",
   _xlfn.LET(
      _xlpm.result,
      IFERROR(
         _xlfn.XLOOKUP(
            1,
            (Table8[رقم الصنف]=A1065) *
            (IF($B$9="الكل",1, YEAR('ادخال البيانات'!$N$3:$N$1164) = VALUE($B$9))) *
            (IF($B$10="الكل",1, MONTH('ادخال البيانات'!$N$3:$N$1164) = VALUE($B$10))) *
            (IF($B$11="الكل",1, INT((DAY('ادخال البيانات'!$N$3:$N$1164) - 1) / 7) + 1 = VALUE($B$11))),
            Table8[ملاحظة]
         ),
         ""
      ),
      IF(_xlpm.result="", "", _xlpm.result)
   )
)</f>
        <v/>
      </c>
      <c r="S1065" s="46" t="str">
        <f t="shared" ca="1" si="17"/>
        <v/>
      </c>
    </row>
    <row r="1066" spans="1:19" ht="15.6" thickTop="1" thickBot="1" x14ac:dyDescent="0.35">
      <c r="A1066" s="39"/>
      <c r="B1066" s="27" t="str" cm="1">
        <f t="array" ref="B1066">IF(
   OR(A1066="", $B$9="", $B$10="", $B$11=""),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6" s="27" t="str" cm="1">
        <f t="array" ref="C1066">IF(
   A1066="",
   "",
   _xlfn.LET(
      _xlpm.result,
      IFERROR(
         _xlfn.XLOOKUP(
            1,
            (Table8[رقم الصنف]=A1066) *
            (IF($B$9="الكل",1, YEAR('ادخال البيانات'!$N$3:$N$1164) = VALUE($B$9))) *
            (IF($B$10="الكل",1, MONTH('ادخال البيانات'!$N$3:$N$1164) = VALUE($B$10))) *
            (IF($B$11="الكل",1, INT((DAY('ادخال البيانات'!$N$3:$N$1164)-1)/7)+1 = VALUE($B$11))),
            'ادخال البيانات'!$C$3:$C$1164
         ),
         ""
      ),
      IF(_xlpm.result="", "", _xlpm.result)
   )
)</f>
        <v/>
      </c>
      <c r="D1066" s="27" t="str" cm="1">
        <f t="array" ref="D1066">IF(
   OR(A1066="", $B$9="", $B$10="", $B$11=""),
   "",
   _xlfn.LET(
      _xlpm.result,
      IFERROR(
         _xlfn.XLOOKUP(
            1,
            (Table8[رقم الصنف]=A1066) *
            (IF($B$9="الكل",1, YEAR('ادخال البيانات'!$N$3:$N$1164)=VALUE($B$9))) *
            (IF($B$10="الكل",1, MONTH('ادخال البيانات'!$N$3:$N$1164)=VALUE($B$10))) *
            (IF($B$11="الكل",1, INT((DAY('ادخال البيانات'!$N$3:$N$1164)-1)/7)+1 = VALUE($B$11))),
            'ادخال البيانات'!$D$3:$D$1164
         ),
         ""
      ),
      IF(_xlpm.result="", "", _xlpm.result)
   )
)</f>
        <v/>
      </c>
      <c r="E1066" s="27" t="str" cm="1">
        <f t="array" ref="E1066">IF(
   A1066="",
   "",
   _xlfn.LET(
      _xlpm.result,
      IFERROR(
         _xlfn.XLOOKUP(
            1,
            (Table8[رقم الصنف]=A1066) *
            (IF($B$9="الكل",1, YEAR('ادخال البيانات'!$N$3:$N$1164)=VALUE($B$9))) *
            (IF($B$10="الكل",1, MONTH('ادخال البيانات'!$N$3:$N$1164)=VALUE($B$10))) *
            (IF($B$11="الكل",1, INT((DAY('ادخال البيانات'!$N$3:$N$1164)-1)/7)+1 = VALUE($B$11))),
            'ادخال البيانات'!$E$3:$E$1164
         ),
         ""
      ),
      IF(_xlpm.result="", "", _xlpm.result)
   )
)</f>
        <v/>
      </c>
      <c r="F1066" s="27" t="str" cm="1">
        <f t="array" ref="F1066">IF(
   A1066="",
   "",
   _xlfn.LET(
      _xlpm.result,
      IFERROR(
         _xlfn.XLOOKUP(
            1,
            (Table8[رقم الصنف]=A1066) *
            (IF($B$9="الكل",1, YEAR('ادخال البيانات'!$N$3:$N$1164) = VALUE($B$9))) *
            (IF($B$10="الكل",1, MONTH('ادخال البيانات'!$N$3:$N$1164) = VALUE($B$10))) *
            (IF($B$11="الكل",1, INT((DAY('ادخال البيانات'!$N$3:$N$1164)-1)/7)+1 = VALUE($B$11))),
            'ادخال البيانات'!$F$3:$F$1164
         ),
         ""
      ),
      IF(_xlpm.result="", "", _xlpm.result)
   )
)</f>
        <v/>
      </c>
      <c r="G1066" s="27" t="str" cm="1">
        <f t="array" ref="G1066">IF(
   A1066="",
   "",
   _xlfn.LET(
      _xlpm.result,
      IFERROR(
         _xlfn.XLOOKUP(
            1,
            (Table8[رقم الصنف]=A1066) *
            (IF($B$9="الكل",1, YEAR('ادخال البيانات'!$N$3:$N$1164)=VALUE($B$9))) *
            (IF($B$10="الكل",1, MONTH('ادخال البيانات'!$N$3:$N$1164)=VALUE($B$10))) *
            (IF($B$11="الكل",1, INT((DAY('ادخال البيانات'!$N$3:$N$1164)-1)/7)+1 = VALUE($B$11))),
            'ادخال البيانات'!$G$3:$G$1164
         ),
         ""
      ),
      IF(_xlpm.result="", "", _xlpm.result)
   )
)</f>
        <v/>
      </c>
      <c r="H1066" s="27" t="str" cm="1">
        <f t="array" ref="H1066">IF(
   A1066="",
   "",
   _xlfn.LET(
      _xlpm.result,
      IFERROR(
         _xlfn.XLOOKUP(
            1,
            (Table8[رقم الصنف]=A1066) *
            (IF($B$9="الكل",1, YEAR('ادخال البيانات'!$N$3:$N$1164)=VALUE($B$9))) *
            (IF($B$10="الكل",1, MONTH('ادخال البيانات'!$N$3:$N$1164)=VALUE($B$10))) *
            (IF($B$11="الكل",1, INT((DAY('ادخال البيانات'!$N$3:$N$1164)-1)/7)+1 = VALUE($B$11))),
            'ادخال البيانات'!$H$3:$H$1164
         ),
         ""
      ),
      IF(_xlpm.result="", "", _xlpm.result)
   )
)</f>
        <v/>
      </c>
      <c r="I1066" s="27" t="str" cm="1">
        <f t="array" ref="I1066">IF(
   A1066="",
   "",
   _xlfn.LET(
      _xlpm.result,
      IFERROR(
         _xlfn.XLOOKUP(
            1,
            (Table8[رقم الصنف]=A1066) *
            (IF($B$9="الكل",1, YEAR('ادخال البيانات'!$N$3:$N$1164)=VALUE($B$9))) *
            (IF($B$10="الكل",1, MONTH('ادخال البيانات'!$N$3:$N$1164)=VALUE($B$10))) *
            (IF($B$11="الكل",1, INT((DAY('ادخال البيانات'!$N$3:$N$1164)-1)/7)+1 = VALUE($B$11))),
            'ادخال البيانات'!$I$3:$I$1164
         ),
         ""
      ),
      IF(_xlpm.result="", "", _xlpm.result)
   )
)</f>
        <v/>
      </c>
      <c r="J1066" s="27" t="str" cm="1">
        <f t="array" ref="J1066">IF(
   A1066="",
   "",
   _xlfn.LET(
      _xlpm.result,
      IFERROR(
         _xlfn.XLOOKUP(
            1,
            (Table8[رقم الصنف]=A1066) *
            (IF($B$9="الكل",1, YEAR('ادخال البيانات'!$N$3:$N$1164)=VALUE($B$9))) *
            (IF($B$10="الكل",1, MONTH('ادخال البيانات'!$N$3:$N$1164)=VALUE($B$10))) *
            (IF($B$11="الكل",1, INT((DAY('ادخال البيانات'!$N$3:$N$1164)-1)/7)+1 = VALUE($B$11))),
            'ادخال البيانات'!$J$3:$J$1164
         ),
         ""
      ),
      IF(_xlpm.result="", "", _xlpm.result)
   )
)</f>
        <v/>
      </c>
      <c r="K1066" s="27" t="str" cm="1">
        <f t="array" ref="K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6" s="27" t="str" cm="1">
        <f t="array" ref="L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6" s="27" t="str" cm="1">
        <f t="array" ref="M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6" s="28" t="str" cm="1">
        <f t="array" ref="N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6" s="28" t="str" cm="1">
        <f t="array" ref="O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6" s="27" t="str" cm="1">
        <f t="array" ref="P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Table8[جهة العطل]
         ),
         ""
      ),
      IF(_xlpm.result="", "", _xlpm.result)
   )
)</f>
        <v/>
      </c>
      <c r="Q1066" s="27" t="str" cm="1">
        <f t="array" ref="Q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Table8[المركز]
         ),
         ""
      ),
      IF(_xlpm.result="", "", _xlpm.result)
   )
)</f>
        <v/>
      </c>
      <c r="R1066" s="27" t="str" cm="1">
        <f t="array" ref="R1066">IF(
   A1066="",
   "",
   _xlfn.LET(
      _xlpm.result,
      IFERROR(
         _xlfn.XLOOKUP(
            1,
            (Table8[رقم الصنف]=A1066) *
            (IF($B$9="الكل",1, YEAR('ادخال البيانات'!$N$3:$N$1164) = VALUE($B$9))) *
            (IF($B$10="الكل",1, MONTH('ادخال البيانات'!$N$3:$N$1164) = VALUE($B$10))) *
            (IF($B$11="الكل",1, INT((DAY('ادخال البيانات'!$N$3:$N$1164) - 1) / 7) + 1 = VALUE($B$11))),
            Table8[ملاحظة]
         ),
         ""
      ),
      IF(_xlpm.result="", "", _xlpm.result)
   )
)</f>
        <v/>
      </c>
      <c r="S1066" s="46" t="str">
        <f t="shared" ca="1" si="17"/>
        <v/>
      </c>
    </row>
    <row r="1067" spans="1:19" ht="15.6" thickTop="1" thickBot="1" x14ac:dyDescent="0.35">
      <c r="A1067" s="39"/>
      <c r="B1067" s="27" t="str" cm="1">
        <f t="array" ref="B1067">IF(
   OR(A1067="", $B$9="", $B$10="", $B$11=""),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7" s="27" t="str" cm="1">
        <f t="array" ref="C1067">IF(
   A1067="",
   "",
   _xlfn.LET(
      _xlpm.result,
      IFERROR(
         _xlfn.XLOOKUP(
            1,
            (Table8[رقم الصنف]=A1067) *
            (IF($B$9="الكل",1, YEAR('ادخال البيانات'!$N$3:$N$1164) = VALUE($B$9))) *
            (IF($B$10="الكل",1, MONTH('ادخال البيانات'!$N$3:$N$1164) = VALUE($B$10))) *
            (IF($B$11="الكل",1, INT((DAY('ادخال البيانات'!$N$3:$N$1164)-1)/7)+1 = VALUE($B$11))),
            'ادخال البيانات'!$C$3:$C$1164
         ),
         ""
      ),
      IF(_xlpm.result="", "", _xlpm.result)
   )
)</f>
        <v/>
      </c>
      <c r="D1067" s="27" t="str" cm="1">
        <f t="array" ref="D1067">IF(
   OR(A1067="", $B$9="", $B$10="", $B$11=""),
   "",
   _xlfn.LET(
      _xlpm.result,
      IFERROR(
         _xlfn.XLOOKUP(
            1,
            (Table8[رقم الصنف]=A1067) *
            (IF($B$9="الكل",1, YEAR('ادخال البيانات'!$N$3:$N$1164)=VALUE($B$9))) *
            (IF($B$10="الكل",1, MONTH('ادخال البيانات'!$N$3:$N$1164)=VALUE($B$10))) *
            (IF($B$11="الكل",1, INT((DAY('ادخال البيانات'!$N$3:$N$1164)-1)/7)+1 = VALUE($B$11))),
            'ادخال البيانات'!$D$3:$D$1164
         ),
         ""
      ),
      IF(_xlpm.result="", "", _xlpm.result)
   )
)</f>
        <v/>
      </c>
      <c r="E1067" s="27" t="str" cm="1">
        <f t="array" ref="E1067">IF(
   A1067="",
   "",
   _xlfn.LET(
      _xlpm.result,
      IFERROR(
         _xlfn.XLOOKUP(
            1,
            (Table8[رقم الصنف]=A1067) *
            (IF($B$9="الكل",1, YEAR('ادخال البيانات'!$N$3:$N$1164)=VALUE($B$9))) *
            (IF($B$10="الكل",1, MONTH('ادخال البيانات'!$N$3:$N$1164)=VALUE($B$10))) *
            (IF($B$11="الكل",1, INT((DAY('ادخال البيانات'!$N$3:$N$1164)-1)/7)+1 = VALUE($B$11))),
            'ادخال البيانات'!$E$3:$E$1164
         ),
         ""
      ),
      IF(_xlpm.result="", "", _xlpm.result)
   )
)</f>
        <v/>
      </c>
      <c r="F1067" s="27" t="str" cm="1">
        <f t="array" ref="F1067">IF(
   A1067="",
   "",
   _xlfn.LET(
      _xlpm.result,
      IFERROR(
         _xlfn.XLOOKUP(
            1,
            (Table8[رقم الصنف]=A1067) *
            (IF($B$9="الكل",1, YEAR('ادخال البيانات'!$N$3:$N$1164) = VALUE($B$9))) *
            (IF($B$10="الكل",1, MONTH('ادخال البيانات'!$N$3:$N$1164) = VALUE($B$10))) *
            (IF($B$11="الكل",1, INT((DAY('ادخال البيانات'!$N$3:$N$1164)-1)/7)+1 = VALUE($B$11))),
            'ادخال البيانات'!$F$3:$F$1164
         ),
         ""
      ),
      IF(_xlpm.result="", "", _xlpm.result)
   )
)</f>
        <v/>
      </c>
      <c r="G1067" s="27" t="str" cm="1">
        <f t="array" ref="G1067">IF(
   A1067="",
   "",
   _xlfn.LET(
      _xlpm.result,
      IFERROR(
         _xlfn.XLOOKUP(
            1,
            (Table8[رقم الصنف]=A1067) *
            (IF($B$9="الكل",1, YEAR('ادخال البيانات'!$N$3:$N$1164)=VALUE($B$9))) *
            (IF($B$10="الكل",1, MONTH('ادخال البيانات'!$N$3:$N$1164)=VALUE($B$10))) *
            (IF($B$11="الكل",1, INT((DAY('ادخال البيانات'!$N$3:$N$1164)-1)/7)+1 = VALUE($B$11))),
            'ادخال البيانات'!$G$3:$G$1164
         ),
         ""
      ),
      IF(_xlpm.result="", "", _xlpm.result)
   )
)</f>
        <v/>
      </c>
      <c r="H1067" s="27" t="str" cm="1">
        <f t="array" ref="H1067">IF(
   A1067="",
   "",
   _xlfn.LET(
      _xlpm.result,
      IFERROR(
         _xlfn.XLOOKUP(
            1,
            (Table8[رقم الصنف]=A1067) *
            (IF($B$9="الكل",1, YEAR('ادخال البيانات'!$N$3:$N$1164)=VALUE($B$9))) *
            (IF($B$10="الكل",1, MONTH('ادخال البيانات'!$N$3:$N$1164)=VALUE($B$10))) *
            (IF($B$11="الكل",1, INT((DAY('ادخال البيانات'!$N$3:$N$1164)-1)/7)+1 = VALUE($B$11))),
            'ادخال البيانات'!$H$3:$H$1164
         ),
         ""
      ),
      IF(_xlpm.result="", "", _xlpm.result)
   )
)</f>
        <v/>
      </c>
      <c r="I1067" s="27" t="str" cm="1">
        <f t="array" ref="I1067">IF(
   A1067="",
   "",
   _xlfn.LET(
      _xlpm.result,
      IFERROR(
         _xlfn.XLOOKUP(
            1,
            (Table8[رقم الصنف]=A1067) *
            (IF($B$9="الكل",1, YEAR('ادخال البيانات'!$N$3:$N$1164)=VALUE($B$9))) *
            (IF($B$10="الكل",1, MONTH('ادخال البيانات'!$N$3:$N$1164)=VALUE($B$10))) *
            (IF($B$11="الكل",1, INT((DAY('ادخال البيانات'!$N$3:$N$1164)-1)/7)+1 = VALUE($B$11))),
            'ادخال البيانات'!$I$3:$I$1164
         ),
         ""
      ),
      IF(_xlpm.result="", "", _xlpm.result)
   )
)</f>
        <v/>
      </c>
      <c r="J1067" s="27" t="str" cm="1">
        <f t="array" ref="J1067">IF(
   A1067="",
   "",
   _xlfn.LET(
      _xlpm.result,
      IFERROR(
         _xlfn.XLOOKUP(
            1,
            (Table8[رقم الصنف]=A1067) *
            (IF($B$9="الكل",1, YEAR('ادخال البيانات'!$N$3:$N$1164)=VALUE($B$9))) *
            (IF($B$10="الكل",1, MONTH('ادخال البيانات'!$N$3:$N$1164)=VALUE($B$10))) *
            (IF($B$11="الكل",1, INT((DAY('ادخال البيانات'!$N$3:$N$1164)-1)/7)+1 = VALUE($B$11))),
            'ادخال البيانات'!$J$3:$J$1164
         ),
         ""
      ),
      IF(_xlpm.result="", "", _xlpm.result)
   )
)</f>
        <v/>
      </c>
      <c r="K1067" s="27" t="str" cm="1">
        <f t="array" ref="K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7" s="27" t="str" cm="1">
        <f t="array" ref="L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7" s="27" t="str" cm="1">
        <f t="array" ref="M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7" s="28" t="str" cm="1">
        <f t="array" ref="N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7" s="28" t="str" cm="1">
        <f t="array" ref="O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7" s="27" t="str" cm="1">
        <f t="array" ref="P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Table8[جهة العطل]
         ),
         ""
      ),
      IF(_xlpm.result="", "", _xlpm.result)
   )
)</f>
        <v/>
      </c>
      <c r="Q1067" s="27" t="str" cm="1">
        <f t="array" ref="Q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Table8[المركز]
         ),
         ""
      ),
      IF(_xlpm.result="", "", _xlpm.result)
   )
)</f>
        <v/>
      </c>
      <c r="R1067" s="27" t="str" cm="1">
        <f t="array" ref="R1067">IF(
   A1067="",
   "",
   _xlfn.LET(
      _xlpm.result,
      IFERROR(
         _xlfn.XLOOKUP(
            1,
            (Table8[رقم الصنف]=A1067) *
            (IF($B$9="الكل",1, YEAR('ادخال البيانات'!$N$3:$N$1164) = VALUE($B$9))) *
            (IF($B$10="الكل",1, MONTH('ادخال البيانات'!$N$3:$N$1164) = VALUE($B$10))) *
            (IF($B$11="الكل",1, INT((DAY('ادخال البيانات'!$N$3:$N$1164) - 1) / 7) + 1 = VALUE($B$11))),
            Table8[ملاحظة]
         ),
         ""
      ),
      IF(_xlpm.result="", "", _xlpm.result)
   )
)</f>
        <v/>
      </c>
      <c r="S1067" s="46" t="str">
        <f t="shared" ca="1" si="17"/>
        <v/>
      </c>
    </row>
    <row r="1068" spans="1:19" ht="15.6" thickTop="1" thickBot="1" x14ac:dyDescent="0.35">
      <c r="A1068" s="39"/>
      <c r="B1068" s="27" t="str" cm="1">
        <f t="array" ref="B1068">IF(
   OR(A1068="", $B$9="", $B$10="", $B$11=""),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8" s="27" t="str" cm="1">
        <f t="array" ref="C1068">IF(
   A1068="",
   "",
   _xlfn.LET(
      _xlpm.result,
      IFERROR(
         _xlfn.XLOOKUP(
            1,
            (Table8[رقم الصنف]=A1068) *
            (IF($B$9="الكل",1, YEAR('ادخال البيانات'!$N$3:$N$1164) = VALUE($B$9))) *
            (IF($B$10="الكل",1, MONTH('ادخال البيانات'!$N$3:$N$1164) = VALUE($B$10))) *
            (IF($B$11="الكل",1, INT((DAY('ادخال البيانات'!$N$3:$N$1164)-1)/7)+1 = VALUE($B$11))),
            'ادخال البيانات'!$C$3:$C$1164
         ),
         ""
      ),
      IF(_xlpm.result="", "", _xlpm.result)
   )
)</f>
        <v/>
      </c>
      <c r="D1068" s="27" t="str" cm="1">
        <f t="array" ref="D1068">IF(
   OR(A1068="", $B$9="", $B$10="", $B$11=""),
   "",
   _xlfn.LET(
      _xlpm.result,
      IFERROR(
         _xlfn.XLOOKUP(
            1,
            (Table8[رقم الصنف]=A1068) *
            (IF($B$9="الكل",1, YEAR('ادخال البيانات'!$N$3:$N$1164)=VALUE($B$9))) *
            (IF($B$10="الكل",1, MONTH('ادخال البيانات'!$N$3:$N$1164)=VALUE($B$10))) *
            (IF($B$11="الكل",1, INT((DAY('ادخال البيانات'!$N$3:$N$1164)-1)/7)+1 = VALUE($B$11))),
            'ادخال البيانات'!$D$3:$D$1164
         ),
         ""
      ),
      IF(_xlpm.result="", "", _xlpm.result)
   )
)</f>
        <v/>
      </c>
      <c r="E1068" s="27" t="str" cm="1">
        <f t="array" ref="E1068">IF(
   A1068="",
   "",
   _xlfn.LET(
      _xlpm.result,
      IFERROR(
         _xlfn.XLOOKUP(
            1,
            (Table8[رقم الصنف]=A1068) *
            (IF($B$9="الكل",1, YEAR('ادخال البيانات'!$N$3:$N$1164)=VALUE($B$9))) *
            (IF($B$10="الكل",1, MONTH('ادخال البيانات'!$N$3:$N$1164)=VALUE($B$10))) *
            (IF($B$11="الكل",1, INT((DAY('ادخال البيانات'!$N$3:$N$1164)-1)/7)+1 = VALUE($B$11))),
            'ادخال البيانات'!$E$3:$E$1164
         ),
         ""
      ),
      IF(_xlpm.result="", "", _xlpm.result)
   )
)</f>
        <v/>
      </c>
      <c r="F1068" s="27" t="str" cm="1">
        <f t="array" ref="F1068">IF(
   A1068="",
   "",
   _xlfn.LET(
      _xlpm.result,
      IFERROR(
         _xlfn.XLOOKUP(
            1,
            (Table8[رقم الصنف]=A1068) *
            (IF($B$9="الكل",1, YEAR('ادخال البيانات'!$N$3:$N$1164) = VALUE($B$9))) *
            (IF($B$10="الكل",1, MONTH('ادخال البيانات'!$N$3:$N$1164) = VALUE($B$10))) *
            (IF($B$11="الكل",1, INT((DAY('ادخال البيانات'!$N$3:$N$1164)-1)/7)+1 = VALUE($B$11))),
            'ادخال البيانات'!$F$3:$F$1164
         ),
         ""
      ),
      IF(_xlpm.result="", "", _xlpm.result)
   )
)</f>
        <v/>
      </c>
      <c r="G1068" s="27" t="str" cm="1">
        <f t="array" ref="G1068">IF(
   A1068="",
   "",
   _xlfn.LET(
      _xlpm.result,
      IFERROR(
         _xlfn.XLOOKUP(
            1,
            (Table8[رقم الصنف]=A1068) *
            (IF($B$9="الكل",1, YEAR('ادخال البيانات'!$N$3:$N$1164)=VALUE($B$9))) *
            (IF($B$10="الكل",1, MONTH('ادخال البيانات'!$N$3:$N$1164)=VALUE($B$10))) *
            (IF($B$11="الكل",1, INT((DAY('ادخال البيانات'!$N$3:$N$1164)-1)/7)+1 = VALUE($B$11))),
            'ادخال البيانات'!$G$3:$G$1164
         ),
         ""
      ),
      IF(_xlpm.result="", "", _xlpm.result)
   )
)</f>
        <v/>
      </c>
      <c r="H1068" s="27" t="str" cm="1">
        <f t="array" ref="H1068">IF(
   A1068="",
   "",
   _xlfn.LET(
      _xlpm.result,
      IFERROR(
         _xlfn.XLOOKUP(
            1,
            (Table8[رقم الصنف]=A1068) *
            (IF($B$9="الكل",1, YEAR('ادخال البيانات'!$N$3:$N$1164)=VALUE($B$9))) *
            (IF($B$10="الكل",1, MONTH('ادخال البيانات'!$N$3:$N$1164)=VALUE($B$10))) *
            (IF($B$11="الكل",1, INT((DAY('ادخال البيانات'!$N$3:$N$1164)-1)/7)+1 = VALUE($B$11))),
            'ادخال البيانات'!$H$3:$H$1164
         ),
         ""
      ),
      IF(_xlpm.result="", "", _xlpm.result)
   )
)</f>
        <v/>
      </c>
      <c r="I1068" s="27" t="str" cm="1">
        <f t="array" ref="I1068">IF(
   A1068="",
   "",
   _xlfn.LET(
      _xlpm.result,
      IFERROR(
         _xlfn.XLOOKUP(
            1,
            (Table8[رقم الصنف]=A1068) *
            (IF($B$9="الكل",1, YEAR('ادخال البيانات'!$N$3:$N$1164)=VALUE($B$9))) *
            (IF($B$10="الكل",1, MONTH('ادخال البيانات'!$N$3:$N$1164)=VALUE($B$10))) *
            (IF($B$11="الكل",1, INT((DAY('ادخال البيانات'!$N$3:$N$1164)-1)/7)+1 = VALUE($B$11))),
            'ادخال البيانات'!$I$3:$I$1164
         ),
         ""
      ),
      IF(_xlpm.result="", "", _xlpm.result)
   )
)</f>
        <v/>
      </c>
      <c r="J1068" s="27" t="str" cm="1">
        <f t="array" ref="J1068">IF(
   A1068="",
   "",
   _xlfn.LET(
      _xlpm.result,
      IFERROR(
         _xlfn.XLOOKUP(
            1,
            (Table8[رقم الصنف]=A1068) *
            (IF($B$9="الكل",1, YEAR('ادخال البيانات'!$N$3:$N$1164)=VALUE($B$9))) *
            (IF($B$10="الكل",1, MONTH('ادخال البيانات'!$N$3:$N$1164)=VALUE($B$10))) *
            (IF($B$11="الكل",1, INT((DAY('ادخال البيانات'!$N$3:$N$1164)-1)/7)+1 = VALUE($B$11))),
            'ادخال البيانات'!$J$3:$J$1164
         ),
         ""
      ),
      IF(_xlpm.result="", "", _xlpm.result)
   )
)</f>
        <v/>
      </c>
      <c r="K1068" s="27" t="str" cm="1">
        <f t="array" ref="K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8" s="27" t="str" cm="1">
        <f t="array" ref="L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8" s="27" t="str" cm="1">
        <f t="array" ref="M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8" s="28" t="str" cm="1">
        <f t="array" ref="N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8" s="28" t="str" cm="1">
        <f t="array" ref="O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8" s="27" t="str" cm="1">
        <f t="array" ref="P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Table8[جهة العطل]
         ),
         ""
      ),
      IF(_xlpm.result="", "", _xlpm.result)
   )
)</f>
        <v/>
      </c>
      <c r="Q1068" s="27" t="str" cm="1">
        <f t="array" ref="Q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Table8[المركز]
         ),
         ""
      ),
      IF(_xlpm.result="", "", _xlpm.result)
   )
)</f>
        <v/>
      </c>
      <c r="R1068" s="27" t="str" cm="1">
        <f t="array" ref="R1068">IF(
   A1068="",
   "",
   _xlfn.LET(
      _xlpm.result,
      IFERROR(
         _xlfn.XLOOKUP(
            1,
            (Table8[رقم الصنف]=A1068) *
            (IF($B$9="الكل",1, YEAR('ادخال البيانات'!$N$3:$N$1164) = VALUE($B$9))) *
            (IF($B$10="الكل",1, MONTH('ادخال البيانات'!$N$3:$N$1164) = VALUE($B$10))) *
            (IF($B$11="الكل",1, INT((DAY('ادخال البيانات'!$N$3:$N$1164) - 1) / 7) + 1 = VALUE($B$11))),
            Table8[ملاحظة]
         ),
         ""
      ),
      IF(_xlpm.result="", "", _xlpm.result)
   )
)</f>
        <v/>
      </c>
      <c r="S1068" s="46" t="str">
        <f t="shared" ca="1" si="17"/>
        <v/>
      </c>
    </row>
    <row r="1069" spans="1:19" ht="15.6" thickTop="1" thickBot="1" x14ac:dyDescent="0.35">
      <c r="A1069" s="39"/>
      <c r="B1069" s="27" t="str" cm="1">
        <f t="array" ref="B1069">IF(
   OR(A1069="", $B$9="", $B$10="", $B$11=""),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69" s="27" t="str" cm="1">
        <f t="array" ref="C1069">IF(
   A1069="",
   "",
   _xlfn.LET(
      _xlpm.result,
      IFERROR(
         _xlfn.XLOOKUP(
            1,
            (Table8[رقم الصنف]=A1069) *
            (IF($B$9="الكل",1, YEAR('ادخال البيانات'!$N$3:$N$1164) = VALUE($B$9))) *
            (IF($B$10="الكل",1, MONTH('ادخال البيانات'!$N$3:$N$1164) = VALUE($B$10))) *
            (IF($B$11="الكل",1, INT((DAY('ادخال البيانات'!$N$3:$N$1164)-1)/7)+1 = VALUE($B$11))),
            'ادخال البيانات'!$C$3:$C$1164
         ),
         ""
      ),
      IF(_xlpm.result="", "", _xlpm.result)
   )
)</f>
        <v/>
      </c>
      <c r="D1069" s="27" t="str" cm="1">
        <f t="array" ref="D1069">IF(
   OR(A1069="", $B$9="", $B$10="", $B$11=""),
   "",
   _xlfn.LET(
      _xlpm.result,
      IFERROR(
         _xlfn.XLOOKUP(
            1,
            (Table8[رقم الصنف]=A1069) *
            (IF($B$9="الكل",1, YEAR('ادخال البيانات'!$N$3:$N$1164)=VALUE($B$9))) *
            (IF($B$10="الكل",1, MONTH('ادخال البيانات'!$N$3:$N$1164)=VALUE($B$10))) *
            (IF($B$11="الكل",1, INT((DAY('ادخال البيانات'!$N$3:$N$1164)-1)/7)+1 = VALUE($B$11))),
            'ادخال البيانات'!$D$3:$D$1164
         ),
         ""
      ),
      IF(_xlpm.result="", "", _xlpm.result)
   )
)</f>
        <v/>
      </c>
      <c r="E1069" s="27" t="str" cm="1">
        <f t="array" ref="E1069">IF(
   A1069="",
   "",
   _xlfn.LET(
      _xlpm.result,
      IFERROR(
         _xlfn.XLOOKUP(
            1,
            (Table8[رقم الصنف]=A1069) *
            (IF($B$9="الكل",1, YEAR('ادخال البيانات'!$N$3:$N$1164)=VALUE($B$9))) *
            (IF($B$10="الكل",1, MONTH('ادخال البيانات'!$N$3:$N$1164)=VALUE($B$10))) *
            (IF($B$11="الكل",1, INT((DAY('ادخال البيانات'!$N$3:$N$1164)-1)/7)+1 = VALUE($B$11))),
            'ادخال البيانات'!$E$3:$E$1164
         ),
         ""
      ),
      IF(_xlpm.result="", "", _xlpm.result)
   )
)</f>
        <v/>
      </c>
      <c r="F1069" s="27" t="str" cm="1">
        <f t="array" ref="F1069">IF(
   A1069="",
   "",
   _xlfn.LET(
      _xlpm.result,
      IFERROR(
         _xlfn.XLOOKUP(
            1,
            (Table8[رقم الصنف]=A1069) *
            (IF($B$9="الكل",1, YEAR('ادخال البيانات'!$N$3:$N$1164) = VALUE($B$9))) *
            (IF($B$10="الكل",1, MONTH('ادخال البيانات'!$N$3:$N$1164) = VALUE($B$10))) *
            (IF($B$11="الكل",1, INT((DAY('ادخال البيانات'!$N$3:$N$1164)-1)/7)+1 = VALUE($B$11))),
            'ادخال البيانات'!$F$3:$F$1164
         ),
         ""
      ),
      IF(_xlpm.result="", "", _xlpm.result)
   )
)</f>
        <v/>
      </c>
      <c r="G1069" s="27" t="str" cm="1">
        <f t="array" ref="G1069">IF(
   A1069="",
   "",
   _xlfn.LET(
      _xlpm.result,
      IFERROR(
         _xlfn.XLOOKUP(
            1,
            (Table8[رقم الصنف]=A1069) *
            (IF($B$9="الكل",1, YEAR('ادخال البيانات'!$N$3:$N$1164)=VALUE($B$9))) *
            (IF($B$10="الكل",1, MONTH('ادخال البيانات'!$N$3:$N$1164)=VALUE($B$10))) *
            (IF($B$11="الكل",1, INT((DAY('ادخال البيانات'!$N$3:$N$1164)-1)/7)+1 = VALUE($B$11))),
            'ادخال البيانات'!$G$3:$G$1164
         ),
         ""
      ),
      IF(_xlpm.result="", "", _xlpm.result)
   )
)</f>
        <v/>
      </c>
      <c r="H1069" s="27" t="str" cm="1">
        <f t="array" ref="H1069">IF(
   A1069="",
   "",
   _xlfn.LET(
      _xlpm.result,
      IFERROR(
         _xlfn.XLOOKUP(
            1,
            (Table8[رقم الصنف]=A1069) *
            (IF($B$9="الكل",1, YEAR('ادخال البيانات'!$N$3:$N$1164)=VALUE($B$9))) *
            (IF($B$10="الكل",1, MONTH('ادخال البيانات'!$N$3:$N$1164)=VALUE($B$10))) *
            (IF($B$11="الكل",1, INT((DAY('ادخال البيانات'!$N$3:$N$1164)-1)/7)+1 = VALUE($B$11))),
            'ادخال البيانات'!$H$3:$H$1164
         ),
         ""
      ),
      IF(_xlpm.result="", "", _xlpm.result)
   )
)</f>
        <v/>
      </c>
      <c r="I1069" s="27" t="str" cm="1">
        <f t="array" ref="I1069">IF(
   A1069="",
   "",
   _xlfn.LET(
      _xlpm.result,
      IFERROR(
         _xlfn.XLOOKUP(
            1,
            (Table8[رقم الصنف]=A1069) *
            (IF($B$9="الكل",1, YEAR('ادخال البيانات'!$N$3:$N$1164)=VALUE($B$9))) *
            (IF($B$10="الكل",1, MONTH('ادخال البيانات'!$N$3:$N$1164)=VALUE($B$10))) *
            (IF($B$11="الكل",1, INT((DAY('ادخال البيانات'!$N$3:$N$1164)-1)/7)+1 = VALUE($B$11))),
            'ادخال البيانات'!$I$3:$I$1164
         ),
         ""
      ),
      IF(_xlpm.result="", "", _xlpm.result)
   )
)</f>
        <v/>
      </c>
      <c r="J1069" s="27" t="str" cm="1">
        <f t="array" ref="J1069">IF(
   A1069="",
   "",
   _xlfn.LET(
      _xlpm.result,
      IFERROR(
         _xlfn.XLOOKUP(
            1,
            (Table8[رقم الصنف]=A1069) *
            (IF($B$9="الكل",1, YEAR('ادخال البيانات'!$N$3:$N$1164)=VALUE($B$9))) *
            (IF($B$10="الكل",1, MONTH('ادخال البيانات'!$N$3:$N$1164)=VALUE($B$10))) *
            (IF($B$11="الكل",1, INT((DAY('ادخال البيانات'!$N$3:$N$1164)-1)/7)+1 = VALUE($B$11))),
            'ادخال البيانات'!$J$3:$J$1164
         ),
         ""
      ),
      IF(_xlpm.result="", "", _xlpm.result)
   )
)</f>
        <v/>
      </c>
      <c r="K1069" s="27" t="str" cm="1">
        <f t="array" ref="K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69" s="27" t="str" cm="1">
        <f t="array" ref="L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69" s="27" t="str" cm="1">
        <f t="array" ref="M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69" s="28" t="str" cm="1">
        <f t="array" ref="N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69" s="28" t="str" cm="1">
        <f t="array" ref="O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69" s="27" t="str" cm="1">
        <f t="array" ref="P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Table8[جهة العطل]
         ),
         ""
      ),
      IF(_xlpm.result="", "", _xlpm.result)
   )
)</f>
        <v/>
      </c>
      <c r="Q1069" s="27" t="str" cm="1">
        <f t="array" ref="Q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Table8[المركز]
         ),
         ""
      ),
      IF(_xlpm.result="", "", _xlpm.result)
   )
)</f>
        <v/>
      </c>
      <c r="R1069" s="27" t="str" cm="1">
        <f t="array" ref="R1069">IF(
   A1069="",
   "",
   _xlfn.LET(
      _xlpm.result,
      IFERROR(
         _xlfn.XLOOKUP(
            1,
            (Table8[رقم الصنف]=A1069) *
            (IF($B$9="الكل",1, YEAR('ادخال البيانات'!$N$3:$N$1164) = VALUE($B$9))) *
            (IF($B$10="الكل",1, MONTH('ادخال البيانات'!$N$3:$N$1164) = VALUE($B$10))) *
            (IF($B$11="الكل",1, INT((DAY('ادخال البيانات'!$N$3:$N$1164) - 1) / 7) + 1 = VALUE($B$11))),
            Table8[ملاحظة]
         ),
         ""
      ),
      IF(_xlpm.result="", "", _xlpm.result)
   )
)</f>
        <v/>
      </c>
      <c r="S1069" s="46" t="str">
        <f t="shared" ca="1" si="17"/>
        <v/>
      </c>
    </row>
    <row r="1070" spans="1:19" ht="15.6" thickTop="1" thickBot="1" x14ac:dyDescent="0.35">
      <c r="A1070" s="39"/>
      <c r="B1070" s="27" t="str" cm="1">
        <f t="array" ref="B1070">IF(
   OR(A1070="", $B$9="", $B$10="", $B$11=""),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0" s="27" t="str" cm="1">
        <f t="array" ref="C1070">IF(
   A1070="",
   "",
   _xlfn.LET(
      _xlpm.result,
      IFERROR(
         _xlfn.XLOOKUP(
            1,
            (Table8[رقم الصنف]=A1070) *
            (IF($B$9="الكل",1, YEAR('ادخال البيانات'!$N$3:$N$1164) = VALUE($B$9))) *
            (IF($B$10="الكل",1, MONTH('ادخال البيانات'!$N$3:$N$1164) = VALUE($B$10))) *
            (IF($B$11="الكل",1, INT((DAY('ادخال البيانات'!$N$3:$N$1164)-1)/7)+1 = VALUE($B$11))),
            'ادخال البيانات'!$C$3:$C$1164
         ),
         ""
      ),
      IF(_xlpm.result="", "", _xlpm.result)
   )
)</f>
        <v/>
      </c>
      <c r="D1070" s="27" t="str" cm="1">
        <f t="array" ref="D1070">IF(
   OR(A1070="", $B$9="", $B$10="", $B$11=""),
   "",
   _xlfn.LET(
      _xlpm.result,
      IFERROR(
         _xlfn.XLOOKUP(
            1,
            (Table8[رقم الصنف]=A1070) *
            (IF($B$9="الكل",1, YEAR('ادخال البيانات'!$N$3:$N$1164)=VALUE($B$9))) *
            (IF($B$10="الكل",1, MONTH('ادخال البيانات'!$N$3:$N$1164)=VALUE($B$10))) *
            (IF($B$11="الكل",1, INT((DAY('ادخال البيانات'!$N$3:$N$1164)-1)/7)+1 = VALUE($B$11))),
            'ادخال البيانات'!$D$3:$D$1164
         ),
         ""
      ),
      IF(_xlpm.result="", "", _xlpm.result)
   )
)</f>
        <v/>
      </c>
      <c r="E1070" s="27" t="str" cm="1">
        <f t="array" ref="E1070">IF(
   A1070="",
   "",
   _xlfn.LET(
      _xlpm.result,
      IFERROR(
         _xlfn.XLOOKUP(
            1,
            (Table8[رقم الصنف]=A1070) *
            (IF($B$9="الكل",1, YEAR('ادخال البيانات'!$N$3:$N$1164)=VALUE($B$9))) *
            (IF($B$10="الكل",1, MONTH('ادخال البيانات'!$N$3:$N$1164)=VALUE($B$10))) *
            (IF($B$11="الكل",1, INT((DAY('ادخال البيانات'!$N$3:$N$1164)-1)/7)+1 = VALUE($B$11))),
            'ادخال البيانات'!$E$3:$E$1164
         ),
         ""
      ),
      IF(_xlpm.result="", "", _xlpm.result)
   )
)</f>
        <v/>
      </c>
      <c r="F1070" s="27" t="str" cm="1">
        <f t="array" ref="F1070">IF(
   A1070="",
   "",
   _xlfn.LET(
      _xlpm.result,
      IFERROR(
         _xlfn.XLOOKUP(
            1,
            (Table8[رقم الصنف]=A1070) *
            (IF($B$9="الكل",1, YEAR('ادخال البيانات'!$N$3:$N$1164) = VALUE($B$9))) *
            (IF($B$10="الكل",1, MONTH('ادخال البيانات'!$N$3:$N$1164) = VALUE($B$10))) *
            (IF($B$11="الكل",1, INT((DAY('ادخال البيانات'!$N$3:$N$1164)-1)/7)+1 = VALUE($B$11))),
            'ادخال البيانات'!$F$3:$F$1164
         ),
         ""
      ),
      IF(_xlpm.result="", "", _xlpm.result)
   )
)</f>
        <v/>
      </c>
      <c r="G1070" s="27" t="str" cm="1">
        <f t="array" ref="G1070">IF(
   A1070="",
   "",
   _xlfn.LET(
      _xlpm.result,
      IFERROR(
         _xlfn.XLOOKUP(
            1,
            (Table8[رقم الصنف]=A1070) *
            (IF($B$9="الكل",1, YEAR('ادخال البيانات'!$N$3:$N$1164)=VALUE($B$9))) *
            (IF($B$10="الكل",1, MONTH('ادخال البيانات'!$N$3:$N$1164)=VALUE($B$10))) *
            (IF($B$11="الكل",1, INT((DAY('ادخال البيانات'!$N$3:$N$1164)-1)/7)+1 = VALUE($B$11))),
            'ادخال البيانات'!$G$3:$G$1164
         ),
         ""
      ),
      IF(_xlpm.result="", "", _xlpm.result)
   )
)</f>
        <v/>
      </c>
      <c r="H1070" s="27" t="str" cm="1">
        <f t="array" ref="H1070">IF(
   A1070="",
   "",
   _xlfn.LET(
      _xlpm.result,
      IFERROR(
         _xlfn.XLOOKUP(
            1,
            (Table8[رقم الصنف]=A1070) *
            (IF($B$9="الكل",1, YEAR('ادخال البيانات'!$N$3:$N$1164)=VALUE($B$9))) *
            (IF($B$10="الكل",1, MONTH('ادخال البيانات'!$N$3:$N$1164)=VALUE($B$10))) *
            (IF($B$11="الكل",1, INT((DAY('ادخال البيانات'!$N$3:$N$1164)-1)/7)+1 = VALUE($B$11))),
            'ادخال البيانات'!$H$3:$H$1164
         ),
         ""
      ),
      IF(_xlpm.result="", "", _xlpm.result)
   )
)</f>
        <v/>
      </c>
      <c r="I1070" s="27" t="str" cm="1">
        <f t="array" ref="I1070">IF(
   A1070="",
   "",
   _xlfn.LET(
      _xlpm.result,
      IFERROR(
         _xlfn.XLOOKUP(
            1,
            (Table8[رقم الصنف]=A1070) *
            (IF($B$9="الكل",1, YEAR('ادخال البيانات'!$N$3:$N$1164)=VALUE($B$9))) *
            (IF($B$10="الكل",1, MONTH('ادخال البيانات'!$N$3:$N$1164)=VALUE($B$10))) *
            (IF($B$11="الكل",1, INT((DAY('ادخال البيانات'!$N$3:$N$1164)-1)/7)+1 = VALUE($B$11))),
            'ادخال البيانات'!$I$3:$I$1164
         ),
         ""
      ),
      IF(_xlpm.result="", "", _xlpm.result)
   )
)</f>
        <v/>
      </c>
      <c r="J1070" s="27" t="str" cm="1">
        <f t="array" ref="J1070">IF(
   A1070="",
   "",
   _xlfn.LET(
      _xlpm.result,
      IFERROR(
         _xlfn.XLOOKUP(
            1,
            (Table8[رقم الصنف]=A1070) *
            (IF($B$9="الكل",1, YEAR('ادخال البيانات'!$N$3:$N$1164)=VALUE($B$9))) *
            (IF($B$10="الكل",1, MONTH('ادخال البيانات'!$N$3:$N$1164)=VALUE($B$10))) *
            (IF($B$11="الكل",1, INT((DAY('ادخال البيانات'!$N$3:$N$1164)-1)/7)+1 = VALUE($B$11))),
            'ادخال البيانات'!$J$3:$J$1164
         ),
         ""
      ),
      IF(_xlpm.result="", "", _xlpm.result)
   )
)</f>
        <v/>
      </c>
      <c r="K1070" s="27" t="str" cm="1">
        <f t="array" ref="K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0" s="27" t="str" cm="1">
        <f t="array" ref="L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0" s="27" t="str" cm="1">
        <f t="array" ref="M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0" s="28" t="str" cm="1">
        <f t="array" ref="N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0" s="28" t="str" cm="1">
        <f t="array" ref="O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0" s="27" t="str" cm="1">
        <f t="array" ref="P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Table8[جهة العطل]
         ),
         ""
      ),
      IF(_xlpm.result="", "", _xlpm.result)
   )
)</f>
        <v/>
      </c>
      <c r="Q1070" s="27" t="str" cm="1">
        <f t="array" ref="Q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Table8[المركز]
         ),
         ""
      ),
      IF(_xlpm.result="", "", _xlpm.result)
   )
)</f>
        <v/>
      </c>
      <c r="R1070" s="27" t="str" cm="1">
        <f t="array" ref="R1070">IF(
   A1070="",
   "",
   _xlfn.LET(
      _xlpm.result,
      IFERROR(
         _xlfn.XLOOKUP(
            1,
            (Table8[رقم الصنف]=A1070) *
            (IF($B$9="الكل",1, YEAR('ادخال البيانات'!$N$3:$N$1164) = VALUE($B$9))) *
            (IF($B$10="الكل",1, MONTH('ادخال البيانات'!$N$3:$N$1164) = VALUE($B$10))) *
            (IF($B$11="الكل",1, INT((DAY('ادخال البيانات'!$N$3:$N$1164) - 1) / 7) + 1 = VALUE($B$11))),
            Table8[ملاحظة]
         ),
         ""
      ),
      IF(_xlpm.result="", "", _xlpm.result)
   )
)</f>
        <v/>
      </c>
      <c r="S1070" s="46" t="str">
        <f t="shared" ca="1" si="17"/>
        <v/>
      </c>
    </row>
    <row r="1071" spans="1:19" ht="15.6" thickTop="1" thickBot="1" x14ac:dyDescent="0.35">
      <c r="A1071" s="39"/>
      <c r="B1071" s="27" t="str" cm="1">
        <f t="array" ref="B1071">IF(
   OR(A1071="", $B$9="", $B$10="", $B$11=""),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1" s="27" t="str" cm="1">
        <f t="array" ref="C1071">IF(
   A1071="",
   "",
   _xlfn.LET(
      _xlpm.result,
      IFERROR(
         _xlfn.XLOOKUP(
            1,
            (Table8[رقم الصنف]=A1071) *
            (IF($B$9="الكل",1, YEAR('ادخال البيانات'!$N$3:$N$1164) = VALUE($B$9))) *
            (IF($B$10="الكل",1, MONTH('ادخال البيانات'!$N$3:$N$1164) = VALUE($B$10))) *
            (IF($B$11="الكل",1, INT((DAY('ادخال البيانات'!$N$3:$N$1164)-1)/7)+1 = VALUE($B$11))),
            'ادخال البيانات'!$C$3:$C$1164
         ),
         ""
      ),
      IF(_xlpm.result="", "", _xlpm.result)
   )
)</f>
        <v/>
      </c>
      <c r="D1071" s="27" t="str" cm="1">
        <f t="array" ref="D1071">IF(
   OR(A1071="", $B$9="", $B$10="", $B$11=""),
   "",
   _xlfn.LET(
      _xlpm.result,
      IFERROR(
         _xlfn.XLOOKUP(
            1,
            (Table8[رقم الصنف]=A1071) *
            (IF($B$9="الكل",1, YEAR('ادخال البيانات'!$N$3:$N$1164)=VALUE($B$9))) *
            (IF($B$10="الكل",1, MONTH('ادخال البيانات'!$N$3:$N$1164)=VALUE($B$10))) *
            (IF($B$11="الكل",1, INT((DAY('ادخال البيانات'!$N$3:$N$1164)-1)/7)+1 = VALUE($B$11))),
            'ادخال البيانات'!$D$3:$D$1164
         ),
         ""
      ),
      IF(_xlpm.result="", "", _xlpm.result)
   )
)</f>
        <v/>
      </c>
      <c r="E1071" s="27" t="str" cm="1">
        <f t="array" ref="E1071">IF(
   A1071="",
   "",
   _xlfn.LET(
      _xlpm.result,
      IFERROR(
         _xlfn.XLOOKUP(
            1,
            (Table8[رقم الصنف]=A1071) *
            (IF($B$9="الكل",1, YEAR('ادخال البيانات'!$N$3:$N$1164)=VALUE($B$9))) *
            (IF($B$10="الكل",1, MONTH('ادخال البيانات'!$N$3:$N$1164)=VALUE($B$10))) *
            (IF($B$11="الكل",1, INT((DAY('ادخال البيانات'!$N$3:$N$1164)-1)/7)+1 = VALUE($B$11))),
            'ادخال البيانات'!$E$3:$E$1164
         ),
         ""
      ),
      IF(_xlpm.result="", "", _xlpm.result)
   )
)</f>
        <v/>
      </c>
      <c r="F1071" s="27" t="str" cm="1">
        <f t="array" ref="F1071">IF(
   A1071="",
   "",
   _xlfn.LET(
      _xlpm.result,
      IFERROR(
         _xlfn.XLOOKUP(
            1,
            (Table8[رقم الصنف]=A1071) *
            (IF($B$9="الكل",1, YEAR('ادخال البيانات'!$N$3:$N$1164) = VALUE($B$9))) *
            (IF($B$10="الكل",1, MONTH('ادخال البيانات'!$N$3:$N$1164) = VALUE($B$10))) *
            (IF($B$11="الكل",1, INT((DAY('ادخال البيانات'!$N$3:$N$1164)-1)/7)+1 = VALUE($B$11))),
            'ادخال البيانات'!$F$3:$F$1164
         ),
         ""
      ),
      IF(_xlpm.result="", "", _xlpm.result)
   )
)</f>
        <v/>
      </c>
      <c r="G1071" s="27" t="str" cm="1">
        <f t="array" ref="G1071">IF(
   A1071="",
   "",
   _xlfn.LET(
      _xlpm.result,
      IFERROR(
         _xlfn.XLOOKUP(
            1,
            (Table8[رقم الصنف]=A1071) *
            (IF($B$9="الكل",1, YEAR('ادخال البيانات'!$N$3:$N$1164)=VALUE($B$9))) *
            (IF($B$10="الكل",1, MONTH('ادخال البيانات'!$N$3:$N$1164)=VALUE($B$10))) *
            (IF($B$11="الكل",1, INT((DAY('ادخال البيانات'!$N$3:$N$1164)-1)/7)+1 = VALUE($B$11))),
            'ادخال البيانات'!$G$3:$G$1164
         ),
         ""
      ),
      IF(_xlpm.result="", "", _xlpm.result)
   )
)</f>
        <v/>
      </c>
      <c r="H1071" s="27" t="str" cm="1">
        <f t="array" ref="H1071">IF(
   A1071="",
   "",
   _xlfn.LET(
      _xlpm.result,
      IFERROR(
         _xlfn.XLOOKUP(
            1,
            (Table8[رقم الصنف]=A1071) *
            (IF($B$9="الكل",1, YEAR('ادخال البيانات'!$N$3:$N$1164)=VALUE($B$9))) *
            (IF($B$10="الكل",1, MONTH('ادخال البيانات'!$N$3:$N$1164)=VALUE($B$10))) *
            (IF($B$11="الكل",1, INT((DAY('ادخال البيانات'!$N$3:$N$1164)-1)/7)+1 = VALUE($B$11))),
            'ادخال البيانات'!$H$3:$H$1164
         ),
         ""
      ),
      IF(_xlpm.result="", "", _xlpm.result)
   )
)</f>
        <v/>
      </c>
      <c r="I1071" s="27" t="str" cm="1">
        <f t="array" ref="I1071">IF(
   A1071="",
   "",
   _xlfn.LET(
      _xlpm.result,
      IFERROR(
         _xlfn.XLOOKUP(
            1,
            (Table8[رقم الصنف]=A1071) *
            (IF($B$9="الكل",1, YEAR('ادخال البيانات'!$N$3:$N$1164)=VALUE($B$9))) *
            (IF($B$10="الكل",1, MONTH('ادخال البيانات'!$N$3:$N$1164)=VALUE($B$10))) *
            (IF($B$11="الكل",1, INT((DAY('ادخال البيانات'!$N$3:$N$1164)-1)/7)+1 = VALUE($B$11))),
            'ادخال البيانات'!$I$3:$I$1164
         ),
         ""
      ),
      IF(_xlpm.result="", "", _xlpm.result)
   )
)</f>
        <v/>
      </c>
      <c r="J1071" s="27" t="str" cm="1">
        <f t="array" ref="J1071">IF(
   A1071="",
   "",
   _xlfn.LET(
      _xlpm.result,
      IFERROR(
         _xlfn.XLOOKUP(
            1,
            (Table8[رقم الصنف]=A1071) *
            (IF($B$9="الكل",1, YEAR('ادخال البيانات'!$N$3:$N$1164)=VALUE($B$9))) *
            (IF($B$10="الكل",1, MONTH('ادخال البيانات'!$N$3:$N$1164)=VALUE($B$10))) *
            (IF($B$11="الكل",1, INT((DAY('ادخال البيانات'!$N$3:$N$1164)-1)/7)+1 = VALUE($B$11))),
            'ادخال البيانات'!$J$3:$J$1164
         ),
         ""
      ),
      IF(_xlpm.result="", "", _xlpm.result)
   )
)</f>
        <v/>
      </c>
      <c r="K1071" s="27" t="str" cm="1">
        <f t="array" ref="K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1" s="27" t="str" cm="1">
        <f t="array" ref="L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1" s="27" t="str" cm="1">
        <f t="array" ref="M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1" s="28" t="str" cm="1">
        <f t="array" ref="N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1" s="28" t="str" cm="1">
        <f t="array" ref="O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1" s="27" t="str" cm="1">
        <f t="array" ref="P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Table8[جهة العطل]
         ),
         ""
      ),
      IF(_xlpm.result="", "", _xlpm.result)
   )
)</f>
        <v/>
      </c>
      <c r="Q1071" s="27" t="str" cm="1">
        <f t="array" ref="Q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Table8[المركز]
         ),
         ""
      ),
      IF(_xlpm.result="", "", _xlpm.result)
   )
)</f>
        <v/>
      </c>
      <c r="R1071" s="27" t="str" cm="1">
        <f t="array" ref="R1071">IF(
   A1071="",
   "",
   _xlfn.LET(
      _xlpm.result,
      IFERROR(
         _xlfn.XLOOKUP(
            1,
            (Table8[رقم الصنف]=A1071) *
            (IF($B$9="الكل",1, YEAR('ادخال البيانات'!$N$3:$N$1164) = VALUE($B$9))) *
            (IF($B$10="الكل",1, MONTH('ادخال البيانات'!$N$3:$N$1164) = VALUE($B$10))) *
            (IF($B$11="الكل",1, INT((DAY('ادخال البيانات'!$N$3:$N$1164) - 1) / 7) + 1 = VALUE($B$11))),
            Table8[ملاحظة]
         ),
         ""
      ),
      IF(_xlpm.result="", "", _xlpm.result)
   )
)</f>
        <v/>
      </c>
      <c r="S1071" s="46" t="str">
        <f t="shared" ca="1" si="17"/>
        <v/>
      </c>
    </row>
    <row r="1072" spans="1:19" ht="15.6" thickTop="1" thickBot="1" x14ac:dyDescent="0.35">
      <c r="A1072" s="39"/>
      <c r="B1072" s="27" t="str" cm="1">
        <f t="array" ref="B1072">IF(
   OR(A1072="", $B$9="", $B$10="", $B$11=""),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2" s="27" t="str" cm="1">
        <f t="array" ref="C1072">IF(
   A1072="",
   "",
   _xlfn.LET(
      _xlpm.result,
      IFERROR(
         _xlfn.XLOOKUP(
            1,
            (Table8[رقم الصنف]=A1072) *
            (IF($B$9="الكل",1, YEAR('ادخال البيانات'!$N$3:$N$1164) = VALUE($B$9))) *
            (IF($B$10="الكل",1, MONTH('ادخال البيانات'!$N$3:$N$1164) = VALUE($B$10))) *
            (IF($B$11="الكل",1, INT((DAY('ادخال البيانات'!$N$3:$N$1164)-1)/7)+1 = VALUE($B$11))),
            'ادخال البيانات'!$C$3:$C$1164
         ),
         ""
      ),
      IF(_xlpm.result="", "", _xlpm.result)
   )
)</f>
        <v/>
      </c>
      <c r="D1072" s="27" t="str" cm="1">
        <f t="array" ref="D1072">IF(
   OR(A1072="", $B$9="", $B$10="", $B$11=""),
   "",
   _xlfn.LET(
      _xlpm.result,
      IFERROR(
         _xlfn.XLOOKUP(
            1,
            (Table8[رقم الصنف]=A1072) *
            (IF($B$9="الكل",1, YEAR('ادخال البيانات'!$N$3:$N$1164)=VALUE($B$9))) *
            (IF($B$10="الكل",1, MONTH('ادخال البيانات'!$N$3:$N$1164)=VALUE($B$10))) *
            (IF($B$11="الكل",1, INT((DAY('ادخال البيانات'!$N$3:$N$1164)-1)/7)+1 = VALUE($B$11))),
            'ادخال البيانات'!$D$3:$D$1164
         ),
         ""
      ),
      IF(_xlpm.result="", "", _xlpm.result)
   )
)</f>
        <v/>
      </c>
      <c r="E1072" s="27" t="str" cm="1">
        <f t="array" ref="E1072">IF(
   A1072="",
   "",
   _xlfn.LET(
      _xlpm.result,
      IFERROR(
         _xlfn.XLOOKUP(
            1,
            (Table8[رقم الصنف]=A1072) *
            (IF($B$9="الكل",1, YEAR('ادخال البيانات'!$N$3:$N$1164)=VALUE($B$9))) *
            (IF($B$10="الكل",1, MONTH('ادخال البيانات'!$N$3:$N$1164)=VALUE($B$10))) *
            (IF($B$11="الكل",1, INT((DAY('ادخال البيانات'!$N$3:$N$1164)-1)/7)+1 = VALUE($B$11))),
            'ادخال البيانات'!$E$3:$E$1164
         ),
         ""
      ),
      IF(_xlpm.result="", "", _xlpm.result)
   )
)</f>
        <v/>
      </c>
      <c r="F1072" s="27" t="str" cm="1">
        <f t="array" ref="F1072">IF(
   A1072="",
   "",
   _xlfn.LET(
      _xlpm.result,
      IFERROR(
         _xlfn.XLOOKUP(
            1,
            (Table8[رقم الصنف]=A1072) *
            (IF($B$9="الكل",1, YEAR('ادخال البيانات'!$N$3:$N$1164) = VALUE($B$9))) *
            (IF($B$10="الكل",1, MONTH('ادخال البيانات'!$N$3:$N$1164) = VALUE($B$10))) *
            (IF($B$11="الكل",1, INT((DAY('ادخال البيانات'!$N$3:$N$1164)-1)/7)+1 = VALUE($B$11))),
            'ادخال البيانات'!$F$3:$F$1164
         ),
         ""
      ),
      IF(_xlpm.result="", "", _xlpm.result)
   )
)</f>
        <v/>
      </c>
      <c r="G1072" s="27" t="str" cm="1">
        <f t="array" ref="G1072">IF(
   A1072="",
   "",
   _xlfn.LET(
      _xlpm.result,
      IFERROR(
         _xlfn.XLOOKUP(
            1,
            (Table8[رقم الصنف]=A1072) *
            (IF($B$9="الكل",1, YEAR('ادخال البيانات'!$N$3:$N$1164)=VALUE($B$9))) *
            (IF($B$10="الكل",1, MONTH('ادخال البيانات'!$N$3:$N$1164)=VALUE($B$10))) *
            (IF($B$11="الكل",1, INT((DAY('ادخال البيانات'!$N$3:$N$1164)-1)/7)+1 = VALUE($B$11))),
            'ادخال البيانات'!$G$3:$G$1164
         ),
         ""
      ),
      IF(_xlpm.result="", "", _xlpm.result)
   )
)</f>
        <v/>
      </c>
      <c r="H1072" s="27" t="str" cm="1">
        <f t="array" ref="H1072">IF(
   A1072="",
   "",
   _xlfn.LET(
      _xlpm.result,
      IFERROR(
         _xlfn.XLOOKUP(
            1,
            (Table8[رقم الصنف]=A1072) *
            (IF($B$9="الكل",1, YEAR('ادخال البيانات'!$N$3:$N$1164)=VALUE($B$9))) *
            (IF($B$10="الكل",1, MONTH('ادخال البيانات'!$N$3:$N$1164)=VALUE($B$10))) *
            (IF($B$11="الكل",1, INT((DAY('ادخال البيانات'!$N$3:$N$1164)-1)/7)+1 = VALUE($B$11))),
            'ادخال البيانات'!$H$3:$H$1164
         ),
         ""
      ),
      IF(_xlpm.result="", "", _xlpm.result)
   )
)</f>
        <v/>
      </c>
      <c r="I1072" s="27" t="str" cm="1">
        <f t="array" ref="I1072">IF(
   A1072="",
   "",
   _xlfn.LET(
      _xlpm.result,
      IFERROR(
         _xlfn.XLOOKUP(
            1,
            (Table8[رقم الصنف]=A1072) *
            (IF($B$9="الكل",1, YEAR('ادخال البيانات'!$N$3:$N$1164)=VALUE($B$9))) *
            (IF($B$10="الكل",1, MONTH('ادخال البيانات'!$N$3:$N$1164)=VALUE($B$10))) *
            (IF($B$11="الكل",1, INT((DAY('ادخال البيانات'!$N$3:$N$1164)-1)/7)+1 = VALUE($B$11))),
            'ادخال البيانات'!$I$3:$I$1164
         ),
         ""
      ),
      IF(_xlpm.result="", "", _xlpm.result)
   )
)</f>
        <v/>
      </c>
      <c r="J1072" s="27" t="str" cm="1">
        <f t="array" ref="J1072">IF(
   A1072="",
   "",
   _xlfn.LET(
      _xlpm.result,
      IFERROR(
         _xlfn.XLOOKUP(
            1,
            (Table8[رقم الصنف]=A1072) *
            (IF($B$9="الكل",1, YEAR('ادخال البيانات'!$N$3:$N$1164)=VALUE($B$9))) *
            (IF($B$10="الكل",1, MONTH('ادخال البيانات'!$N$3:$N$1164)=VALUE($B$10))) *
            (IF($B$11="الكل",1, INT((DAY('ادخال البيانات'!$N$3:$N$1164)-1)/7)+1 = VALUE($B$11))),
            'ادخال البيانات'!$J$3:$J$1164
         ),
         ""
      ),
      IF(_xlpm.result="", "", _xlpm.result)
   )
)</f>
        <v/>
      </c>
      <c r="K1072" s="27" t="str" cm="1">
        <f t="array" ref="K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2" s="27" t="str" cm="1">
        <f t="array" ref="L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2" s="27" t="str" cm="1">
        <f t="array" ref="M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2" s="28" t="str" cm="1">
        <f t="array" ref="N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2" s="28" t="str" cm="1">
        <f t="array" ref="O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2" s="27" t="str" cm="1">
        <f t="array" ref="P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Table8[جهة العطل]
         ),
         ""
      ),
      IF(_xlpm.result="", "", _xlpm.result)
   )
)</f>
        <v/>
      </c>
      <c r="Q1072" s="27" t="str" cm="1">
        <f t="array" ref="Q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Table8[المركز]
         ),
         ""
      ),
      IF(_xlpm.result="", "", _xlpm.result)
   )
)</f>
        <v/>
      </c>
      <c r="R1072" s="27" t="str" cm="1">
        <f t="array" ref="R1072">IF(
   A1072="",
   "",
   _xlfn.LET(
      _xlpm.result,
      IFERROR(
         _xlfn.XLOOKUP(
            1,
            (Table8[رقم الصنف]=A1072) *
            (IF($B$9="الكل",1, YEAR('ادخال البيانات'!$N$3:$N$1164) = VALUE($B$9))) *
            (IF($B$10="الكل",1, MONTH('ادخال البيانات'!$N$3:$N$1164) = VALUE($B$10))) *
            (IF($B$11="الكل",1, INT((DAY('ادخال البيانات'!$N$3:$N$1164) - 1) / 7) + 1 = VALUE($B$11))),
            Table8[ملاحظة]
         ),
         ""
      ),
      IF(_xlpm.result="", "", _xlpm.result)
   )
)</f>
        <v/>
      </c>
      <c r="S1072" s="46" t="str">
        <f t="shared" ca="1" si="17"/>
        <v/>
      </c>
    </row>
    <row r="1073" spans="1:19" ht="15.6" thickTop="1" thickBot="1" x14ac:dyDescent="0.35">
      <c r="A1073" s="39"/>
      <c r="B1073" s="27" t="str" cm="1">
        <f t="array" ref="B1073">IF(
   OR(A1073="", $B$9="", $B$10="", $B$11=""),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3" s="27" t="str" cm="1">
        <f t="array" ref="C1073">IF(
   A1073="",
   "",
   _xlfn.LET(
      _xlpm.result,
      IFERROR(
         _xlfn.XLOOKUP(
            1,
            (Table8[رقم الصنف]=A1073) *
            (IF($B$9="الكل",1, YEAR('ادخال البيانات'!$N$3:$N$1164) = VALUE($B$9))) *
            (IF($B$10="الكل",1, MONTH('ادخال البيانات'!$N$3:$N$1164) = VALUE($B$10))) *
            (IF($B$11="الكل",1, INT((DAY('ادخال البيانات'!$N$3:$N$1164)-1)/7)+1 = VALUE($B$11))),
            'ادخال البيانات'!$C$3:$C$1164
         ),
         ""
      ),
      IF(_xlpm.result="", "", _xlpm.result)
   )
)</f>
        <v/>
      </c>
      <c r="D1073" s="27" t="str" cm="1">
        <f t="array" ref="D1073">IF(
   OR(A1073="", $B$9="", $B$10="", $B$11=""),
   "",
   _xlfn.LET(
      _xlpm.result,
      IFERROR(
         _xlfn.XLOOKUP(
            1,
            (Table8[رقم الصنف]=A1073) *
            (IF($B$9="الكل",1, YEAR('ادخال البيانات'!$N$3:$N$1164)=VALUE($B$9))) *
            (IF($B$10="الكل",1, MONTH('ادخال البيانات'!$N$3:$N$1164)=VALUE($B$10))) *
            (IF($B$11="الكل",1, INT((DAY('ادخال البيانات'!$N$3:$N$1164)-1)/7)+1 = VALUE($B$11))),
            'ادخال البيانات'!$D$3:$D$1164
         ),
         ""
      ),
      IF(_xlpm.result="", "", _xlpm.result)
   )
)</f>
        <v/>
      </c>
      <c r="E1073" s="27" t="str" cm="1">
        <f t="array" ref="E1073">IF(
   A1073="",
   "",
   _xlfn.LET(
      _xlpm.result,
      IFERROR(
         _xlfn.XLOOKUP(
            1,
            (Table8[رقم الصنف]=A1073) *
            (IF($B$9="الكل",1, YEAR('ادخال البيانات'!$N$3:$N$1164)=VALUE($B$9))) *
            (IF($B$10="الكل",1, MONTH('ادخال البيانات'!$N$3:$N$1164)=VALUE($B$10))) *
            (IF($B$11="الكل",1, INT((DAY('ادخال البيانات'!$N$3:$N$1164)-1)/7)+1 = VALUE($B$11))),
            'ادخال البيانات'!$E$3:$E$1164
         ),
         ""
      ),
      IF(_xlpm.result="", "", _xlpm.result)
   )
)</f>
        <v/>
      </c>
      <c r="F1073" s="27" t="str" cm="1">
        <f t="array" ref="F1073">IF(
   A1073="",
   "",
   _xlfn.LET(
      _xlpm.result,
      IFERROR(
         _xlfn.XLOOKUP(
            1,
            (Table8[رقم الصنف]=A1073) *
            (IF($B$9="الكل",1, YEAR('ادخال البيانات'!$N$3:$N$1164) = VALUE($B$9))) *
            (IF($B$10="الكل",1, MONTH('ادخال البيانات'!$N$3:$N$1164) = VALUE($B$10))) *
            (IF($B$11="الكل",1, INT((DAY('ادخال البيانات'!$N$3:$N$1164)-1)/7)+1 = VALUE($B$11))),
            'ادخال البيانات'!$F$3:$F$1164
         ),
         ""
      ),
      IF(_xlpm.result="", "", _xlpm.result)
   )
)</f>
        <v/>
      </c>
      <c r="G1073" s="27" t="str" cm="1">
        <f t="array" ref="G1073">IF(
   A1073="",
   "",
   _xlfn.LET(
      _xlpm.result,
      IFERROR(
         _xlfn.XLOOKUP(
            1,
            (Table8[رقم الصنف]=A1073) *
            (IF($B$9="الكل",1, YEAR('ادخال البيانات'!$N$3:$N$1164)=VALUE($B$9))) *
            (IF($B$10="الكل",1, MONTH('ادخال البيانات'!$N$3:$N$1164)=VALUE($B$10))) *
            (IF($B$11="الكل",1, INT((DAY('ادخال البيانات'!$N$3:$N$1164)-1)/7)+1 = VALUE($B$11))),
            'ادخال البيانات'!$G$3:$G$1164
         ),
         ""
      ),
      IF(_xlpm.result="", "", _xlpm.result)
   )
)</f>
        <v/>
      </c>
      <c r="H1073" s="27" t="str" cm="1">
        <f t="array" ref="H1073">IF(
   A1073="",
   "",
   _xlfn.LET(
      _xlpm.result,
      IFERROR(
         _xlfn.XLOOKUP(
            1,
            (Table8[رقم الصنف]=A1073) *
            (IF($B$9="الكل",1, YEAR('ادخال البيانات'!$N$3:$N$1164)=VALUE($B$9))) *
            (IF($B$10="الكل",1, MONTH('ادخال البيانات'!$N$3:$N$1164)=VALUE($B$10))) *
            (IF($B$11="الكل",1, INT((DAY('ادخال البيانات'!$N$3:$N$1164)-1)/7)+1 = VALUE($B$11))),
            'ادخال البيانات'!$H$3:$H$1164
         ),
         ""
      ),
      IF(_xlpm.result="", "", _xlpm.result)
   )
)</f>
        <v/>
      </c>
      <c r="I1073" s="27" t="str" cm="1">
        <f t="array" ref="I1073">IF(
   A1073="",
   "",
   _xlfn.LET(
      _xlpm.result,
      IFERROR(
         _xlfn.XLOOKUP(
            1,
            (Table8[رقم الصنف]=A1073) *
            (IF($B$9="الكل",1, YEAR('ادخال البيانات'!$N$3:$N$1164)=VALUE($B$9))) *
            (IF($B$10="الكل",1, MONTH('ادخال البيانات'!$N$3:$N$1164)=VALUE($B$10))) *
            (IF($B$11="الكل",1, INT((DAY('ادخال البيانات'!$N$3:$N$1164)-1)/7)+1 = VALUE($B$11))),
            'ادخال البيانات'!$I$3:$I$1164
         ),
         ""
      ),
      IF(_xlpm.result="", "", _xlpm.result)
   )
)</f>
        <v/>
      </c>
      <c r="J1073" s="27" t="str" cm="1">
        <f t="array" ref="J1073">IF(
   A1073="",
   "",
   _xlfn.LET(
      _xlpm.result,
      IFERROR(
         _xlfn.XLOOKUP(
            1,
            (Table8[رقم الصنف]=A1073) *
            (IF($B$9="الكل",1, YEAR('ادخال البيانات'!$N$3:$N$1164)=VALUE($B$9))) *
            (IF($B$10="الكل",1, MONTH('ادخال البيانات'!$N$3:$N$1164)=VALUE($B$10))) *
            (IF($B$11="الكل",1, INT((DAY('ادخال البيانات'!$N$3:$N$1164)-1)/7)+1 = VALUE($B$11))),
            'ادخال البيانات'!$J$3:$J$1164
         ),
         ""
      ),
      IF(_xlpm.result="", "", _xlpm.result)
   )
)</f>
        <v/>
      </c>
      <c r="K1073" s="27" t="str" cm="1">
        <f t="array" ref="K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3" s="27" t="str" cm="1">
        <f t="array" ref="L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3" s="27" t="str" cm="1">
        <f t="array" ref="M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3" s="28" t="str" cm="1">
        <f t="array" ref="N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3" s="28" t="str" cm="1">
        <f t="array" ref="O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3" s="27" t="str" cm="1">
        <f t="array" ref="P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Table8[جهة العطل]
         ),
         ""
      ),
      IF(_xlpm.result="", "", _xlpm.result)
   )
)</f>
        <v/>
      </c>
      <c r="Q1073" s="27" t="str" cm="1">
        <f t="array" ref="Q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Table8[المركز]
         ),
         ""
      ),
      IF(_xlpm.result="", "", _xlpm.result)
   )
)</f>
        <v/>
      </c>
      <c r="R1073" s="27" t="str" cm="1">
        <f t="array" ref="R1073">IF(
   A1073="",
   "",
   _xlfn.LET(
      _xlpm.result,
      IFERROR(
         _xlfn.XLOOKUP(
            1,
            (Table8[رقم الصنف]=A1073) *
            (IF($B$9="الكل",1, YEAR('ادخال البيانات'!$N$3:$N$1164) = VALUE($B$9))) *
            (IF($B$10="الكل",1, MONTH('ادخال البيانات'!$N$3:$N$1164) = VALUE($B$10))) *
            (IF($B$11="الكل",1, INT((DAY('ادخال البيانات'!$N$3:$N$1164) - 1) / 7) + 1 = VALUE($B$11))),
            Table8[ملاحظة]
         ),
         ""
      ),
      IF(_xlpm.result="", "", _xlpm.result)
   )
)</f>
        <v/>
      </c>
      <c r="S1073" s="46" t="str">
        <f t="shared" ca="1" si="17"/>
        <v/>
      </c>
    </row>
    <row r="1074" spans="1:19" ht="15.6" thickTop="1" thickBot="1" x14ac:dyDescent="0.35">
      <c r="A1074" s="39"/>
      <c r="B1074" s="27" t="str" cm="1">
        <f t="array" ref="B1074">IF(
   OR(A1074="", $B$9="", $B$10="", $B$11=""),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4" s="27" t="str" cm="1">
        <f t="array" ref="C1074">IF(
   A1074="",
   "",
   _xlfn.LET(
      _xlpm.result,
      IFERROR(
         _xlfn.XLOOKUP(
            1,
            (Table8[رقم الصنف]=A1074) *
            (IF($B$9="الكل",1, YEAR('ادخال البيانات'!$N$3:$N$1164) = VALUE($B$9))) *
            (IF($B$10="الكل",1, MONTH('ادخال البيانات'!$N$3:$N$1164) = VALUE($B$10))) *
            (IF($B$11="الكل",1, INT((DAY('ادخال البيانات'!$N$3:$N$1164)-1)/7)+1 = VALUE($B$11))),
            'ادخال البيانات'!$C$3:$C$1164
         ),
         ""
      ),
      IF(_xlpm.result="", "", _xlpm.result)
   )
)</f>
        <v/>
      </c>
      <c r="D1074" s="27" t="str" cm="1">
        <f t="array" ref="D1074">IF(
   OR(A1074="", $B$9="", $B$10="", $B$11=""),
   "",
   _xlfn.LET(
      _xlpm.result,
      IFERROR(
         _xlfn.XLOOKUP(
            1,
            (Table8[رقم الصنف]=A1074) *
            (IF($B$9="الكل",1, YEAR('ادخال البيانات'!$N$3:$N$1164)=VALUE($B$9))) *
            (IF($B$10="الكل",1, MONTH('ادخال البيانات'!$N$3:$N$1164)=VALUE($B$10))) *
            (IF($B$11="الكل",1, INT((DAY('ادخال البيانات'!$N$3:$N$1164)-1)/7)+1 = VALUE($B$11))),
            'ادخال البيانات'!$D$3:$D$1164
         ),
         ""
      ),
      IF(_xlpm.result="", "", _xlpm.result)
   )
)</f>
        <v/>
      </c>
      <c r="E1074" s="27" t="str" cm="1">
        <f t="array" ref="E1074">IF(
   A1074="",
   "",
   _xlfn.LET(
      _xlpm.result,
      IFERROR(
         _xlfn.XLOOKUP(
            1,
            (Table8[رقم الصنف]=A1074) *
            (IF($B$9="الكل",1, YEAR('ادخال البيانات'!$N$3:$N$1164)=VALUE($B$9))) *
            (IF($B$10="الكل",1, MONTH('ادخال البيانات'!$N$3:$N$1164)=VALUE($B$10))) *
            (IF($B$11="الكل",1, INT((DAY('ادخال البيانات'!$N$3:$N$1164)-1)/7)+1 = VALUE($B$11))),
            'ادخال البيانات'!$E$3:$E$1164
         ),
         ""
      ),
      IF(_xlpm.result="", "", _xlpm.result)
   )
)</f>
        <v/>
      </c>
      <c r="F1074" s="27" t="str" cm="1">
        <f t="array" ref="F1074">IF(
   A1074="",
   "",
   _xlfn.LET(
      _xlpm.result,
      IFERROR(
         _xlfn.XLOOKUP(
            1,
            (Table8[رقم الصنف]=A1074) *
            (IF($B$9="الكل",1, YEAR('ادخال البيانات'!$N$3:$N$1164) = VALUE($B$9))) *
            (IF($B$10="الكل",1, MONTH('ادخال البيانات'!$N$3:$N$1164) = VALUE($B$10))) *
            (IF($B$11="الكل",1, INT((DAY('ادخال البيانات'!$N$3:$N$1164)-1)/7)+1 = VALUE($B$11))),
            'ادخال البيانات'!$F$3:$F$1164
         ),
         ""
      ),
      IF(_xlpm.result="", "", _xlpm.result)
   )
)</f>
        <v/>
      </c>
      <c r="G1074" s="27" t="str" cm="1">
        <f t="array" ref="G1074">IF(
   A1074="",
   "",
   _xlfn.LET(
      _xlpm.result,
      IFERROR(
         _xlfn.XLOOKUP(
            1,
            (Table8[رقم الصنف]=A1074) *
            (IF($B$9="الكل",1, YEAR('ادخال البيانات'!$N$3:$N$1164)=VALUE($B$9))) *
            (IF($B$10="الكل",1, MONTH('ادخال البيانات'!$N$3:$N$1164)=VALUE($B$10))) *
            (IF($B$11="الكل",1, INT((DAY('ادخال البيانات'!$N$3:$N$1164)-1)/7)+1 = VALUE($B$11))),
            'ادخال البيانات'!$G$3:$G$1164
         ),
         ""
      ),
      IF(_xlpm.result="", "", _xlpm.result)
   )
)</f>
        <v/>
      </c>
      <c r="H1074" s="27" t="str" cm="1">
        <f t="array" ref="H1074">IF(
   A1074="",
   "",
   _xlfn.LET(
      _xlpm.result,
      IFERROR(
         _xlfn.XLOOKUP(
            1,
            (Table8[رقم الصنف]=A1074) *
            (IF($B$9="الكل",1, YEAR('ادخال البيانات'!$N$3:$N$1164)=VALUE($B$9))) *
            (IF($B$10="الكل",1, MONTH('ادخال البيانات'!$N$3:$N$1164)=VALUE($B$10))) *
            (IF($B$11="الكل",1, INT((DAY('ادخال البيانات'!$N$3:$N$1164)-1)/7)+1 = VALUE($B$11))),
            'ادخال البيانات'!$H$3:$H$1164
         ),
         ""
      ),
      IF(_xlpm.result="", "", _xlpm.result)
   )
)</f>
        <v/>
      </c>
      <c r="I1074" s="27" t="str" cm="1">
        <f t="array" ref="I1074">IF(
   A1074="",
   "",
   _xlfn.LET(
      _xlpm.result,
      IFERROR(
         _xlfn.XLOOKUP(
            1,
            (Table8[رقم الصنف]=A1074) *
            (IF($B$9="الكل",1, YEAR('ادخال البيانات'!$N$3:$N$1164)=VALUE($B$9))) *
            (IF($B$10="الكل",1, MONTH('ادخال البيانات'!$N$3:$N$1164)=VALUE($B$10))) *
            (IF($B$11="الكل",1, INT((DAY('ادخال البيانات'!$N$3:$N$1164)-1)/7)+1 = VALUE($B$11))),
            'ادخال البيانات'!$I$3:$I$1164
         ),
         ""
      ),
      IF(_xlpm.result="", "", _xlpm.result)
   )
)</f>
        <v/>
      </c>
      <c r="J1074" s="27" t="str" cm="1">
        <f t="array" ref="J1074">IF(
   A1074="",
   "",
   _xlfn.LET(
      _xlpm.result,
      IFERROR(
         _xlfn.XLOOKUP(
            1,
            (Table8[رقم الصنف]=A1074) *
            (IF($B$9="الكل",1, YEAR('ادخال البيانات'!$N$3:$N$1164)=VALUE($B$9))) *
            (IF($B$10="الكل",1, MONTH('ادخال البيانات'!$N$3:$N$1164)=VALUE($B$10))) *
            (IF($B$11="الكل",1, INT((DAY('ادخال البيانات'!$N$3:$N$1164)-1)/7)+1 = VALUE($B$11))),
            'ادخال البيانات'!$J$3:$J$1164
         ),
         ""
      ),
      IF(_xlpm.result="", "", _xlpm.result)
   )
)</f>
        <v/>
      </c>
      <c r="K1074" s="27" t="str" cm="1">
        <f t="array" ref="K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4" s="27" t="str" cm="1">
        <f t="array" ref="L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4" s="27" t="str" cm="1">
        <f t="array" ref="M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4" s="28" t="str" cm="1">
        <f t="array" ref="N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4" s="28" t="str" cm="1">
        <f t="array" ref="O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4" s="27" t="str" cm="1">
        <f t="array" ref="P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Table8[جهة العطل]
         ),
         ""
      ),
      IF(_xlpm.result="", "", _xlpm.result)
   )
)</f>
        <v/>
      </c>
      <c r="Q1074" s="27" t="str" cm="1">
        <f t="array" ref="Q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Table8[المركز]
         ),
         ""
      ),
      IF(_xlpm.result="", "", _xlpm.result)
   )
)</f>
        <v/>
      </c>
      <c r="R1074" s="27" t="str" cm="1">
        <f t="array" ref="R1074">IF(
   A1074="",
   "",
   _xlfn.LET(
      _xlpm.result,
      IFERROR(
         _xlfn.XLOOKUP(
            1,
            (Table8[رقم الصنف]=A1074) *
            (IF($B$9="الكل",1, YEAR('ادخال البيانات'!$N$3:$N$1164) = VALUE($B$9))) *
            (IF($B$10="الكل",1, MONTH('ادخال البيانات'!$N$3:$N$1164) = VALUE($B$10))) *
            (IF($B$11="الكل",1, INT((DAY('ادخال البيانات'!$N$3:$N$1164) - 1) / 7) + 1 = VALUE($B$11))),
            Table8[ملاحظة]
         ),
         ""
      ),
      IF(_xlpm.result="", "", _xlpm.result)
   )
)</f>
        <v/>
      </c>
      <c r="S1074" s="46" t="str">
        <f t="shared" ca="1" si="17"/>
        <v/>
      </c>
    </row>
    <row r="1075" spans="1:19" ht="15.6" thickTop="1" thickBot="1" x14ac:dyDescent="0.35">
      <c r="A1075" s="39"/>
      <c r="B1075" s="27" t="str" cm="1">
        <f t="array" ref="B1075">IF(
   OR(A1075="", $B$9="", $B$10="", $B$11=""),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5" s="27" t="str" cm="1">
        <f t="array" ref="C1075">IF(
   A1075="",
   "",
   _xlfn.LET(
      _xlpm.result,
      IFERROR(
         _xlfn.XLOOKUP(
            1,
            (Table8[رقم الصنف]=A1075) *
            (IF($B$9="الكل",1, YEAR('ادخال البيانات'!$N$3:$N$1164) = VALUE($B$9))) *
            (IF($B$10="الكل",1, MONTH('ادخال البيانات'!$N$3:$N$1164) = VALUE($B$10))) *
            (IF($B$11="الكل",1, INT((DAY('ادخال البيانات'!$N$3:$N$1164)-1)/7)+1 = VALUE($B$11))),
            'ادخال البيانات'!$C$3:$C$1164
         ),
         ""
      ),
      IF(_xlpm.result="", "", _xlpm.result)
   )
)</f>
        <v/>
      </c>
      <c r="D1075" s="27" t="str" cm="1">
        <f t="array" ref="D1075">IF(
   OR(A1075="", $B$9="", $B$10="", $B$11=""),
   "",
   _xlfn.LET(
      _xlpm.result,
      IFERROR(
         _xlfn.XLOOKUP(
            1,
            (Table8[رقم الصنف]=A1075) *
            (IF($B$9="الكل",1, YEAR('ادخال البيانات'!$N$3:$N$1164)=VALUE($B$9))) *
            (IF($B$10="الكل",1, MONTH('ادخال البيانات'!$N$3:$N$1164)=VALUE($B$10))) *
            (IF($B$11="الكل",1, INT((DAY('ادخال البيانات'!$N$3:$N$1164)-1)/7)+1 = VALUE($B$11))),
            'ادخال البيانات'!$D$3:$D$1164
         ),
         ""
      ),
      IF(_xlpm.result="", "", _xlpm.result)
   )
)</f>
        <v/>
      </c>
      <c r="E1075" s="27" t="str" cm="1">
        <f t="array" ref="E1075">IF(
   A1075="",
   "",
   _xlfn.LET(
      _xlpm.result,
      IFERROR(
         _xlfn.XLOOKUP(
            1,
            (Table8[رقم الصنف]=A1075) *
            (IF($B$9="الكل",1, YEAR('ادخال البيانات'!$N$3:$N$1164)=VALUE($B$9))) *
            (IF($B$10="الكل",1, MONTH('ادخال البيانات'!$N$3:$N$1164)=VALUE($B$10))) *
            (IF($B$11="الكل",1, INT((DAY('ادخال البيانات'!$N$3:$N$1164)-1)/7)+1 = VALUE($B$11))),
            'ادخال البيانات'!$E$3:$E$1164
         ),
         ""
      ),
      IF(_xlpm.result="", "", _xlpm.result)
   )
)</f>
        <v/>
      </c>
      <c r="F1075" s="27" t="str" cm="1">
        <f t="array" ref="F1075">IF(
   A1075="",
   "",
   _xlfn.LET(
      _xlpm.result,
      IFERROR(
         _xlfn.XLOOKUP(
            1,
            (Table8[رقم الصنف]=A1075) *
            (IF($B$9="الكل",1, YEAR('ادخال البيانات'!$N$3:$N$1164) = VALUE($B$9))) *
            (IF($B$10="الكل",1, MONTH('ادخال البيانات'!$N$3:$N$1164) = VALUE($B$10))) *
            (IF($B$11="الكل",1, INT((DAY('ادخال البيانات'!$N$3:$N$1164)-1)/7)+1 = VALUE($B$11))),
            'ادخال البيانات'!$F$3:$F$1164
         ),
         ""
      ),
      IF(_xlpm.result="", "", _xlpm.result)
   )
)</f>
        <v/>
      </c>
      <c r="G1075" s="27" t="str" cm="1">
        <f t="array" ref="G1075">IF(
   A1075="",
   "",
   _xlfn.LET(
      _xlpm.result,
      IFERROR(
         _xlfn.XLOOKUP(
            1,
            (Table8[رقم الصنف]=A1075) *
            (IF($B$9="الكل",1, YEAR('ادخال البيانات'!$N$3:$N$1164)=VALUE($B$9))) *
            (IF($B$10="الكل",1, MONTH('ادخال البيانات'!$N$3:$N$1164)=VALUE($B$10))) *
            (IF($B$11="الكل",1, INT((DAY('ادخال البيانات'!$N$3:$N$1164)-1)/7)+1 = VALUE($B$11))),
            'ادخال البيانات'!$G$3:$G$1164
         ),
         ""
      ),
      IF(_xlpm.result="", "", _xlpm.result)
   )
)</f>
        <v/>
      </c>
      <c r="H1075" s="27" t="str" cm="1">
        <f t="array" ref="H1075">IF(
   A1075="",
   "",
   _xlfn.LET(
      _xlpm.result,
      IFERROR(
         _xlfn.XLOOKUP(
            1,
            (Table8[رقم الصنف]=A1075) *
            (IF($B$9="الكل",1, YEAR('ادخال البيانات'!$N$3:$N$1164)=VALUE($B$9))) *
            (IF($B$10="الكل",1, MONTH('ادخال البيانات'!$N$3:$N$1164)=VALUE($B$10))) *
            (IF($B$11="الكل",1, INT((DAY('ادخال البيانات'!$N$3:$N$1164)-1)/7)+1 = VALUE($B$11))),
            'ادخال البيانات'!$H$3:$H$1164
         ),
         ""
      ),
      IF(_xlpm.result="", "", _xlpm.result)
   )
)</f>
        <v/>
      </c>
      <c r="I1075" s="27" t="str" cm="1">
        <f t="array" ref="I1075">IF(
   A1075="",
   "",
   _xlfn.LET(
      _xlpm.result,
      IFERROR(
         _xlfn.XLOOKUP(
            1,
            (Table8[رقم الصنف]=A1075) *
            (IF($B$9="الكل",1, YEAR('ادخال البيانات'!$N$3:$N$1164)=VALUE($B$9))) *
            (IF($B$10="الكل",1, MONTH('ادخال البيانات'!$N$3:$N$1164)=VALUE($B$10))) *
            (IF($B$11="الكل",1, INT((DAY('ادخال البيانات'!$N$3:$N$1164)-1)/7)+1 = VALUE($B$11))),
            'ادخال البيانات'!$I$3:$I$1164
         ),
         ""
      ),
      IF(_xlpm.result="", "", _xlpm.result)
   )
)</f>
        <v/>
      </c>
      <c r="J1075" s="27" t="str" cm="1">
        <f t="array" ref="J1075">IF(
   A1075="",
   "",
   _xlfn.LET(
      _xlpm.result,
      IFERROR(
         _xlfn.XLOOKUP(
            1,
            (Table8[رقم الصنف]=A1075) *
            (IF($B$9="الكل",1, YEAR('ادخال البيانات'!$N$3:$N$1164)=VALUE($B$9))) *
            (IF($B$10="الكل",1, MONTH('ادخال البيانات'!$N$3:$N$1164)=VALUE($B$10))) *
            (IF($B$11="الكل",1, INT((DAY('ادخال البيانات'!$N$3:$N$1164)-1)/7)+1 = VALUE($B$11))),
            'ادخال البيانات'!$J$3:$J$1164
         ),
         ""
      ),
      IF(_xlpm.result="", "", _xlpm.result)
   )
)</f>
        <v/>
      </c>
      <c r="K1075" s="27" t="str" cm="1">
        <f t="array" ref="K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5" s="27" t="str" cm="1">
        <f t="array" ref="L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5" s="27" t="str" cm="1">
        <f t="array" ref="M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5" s="28" t="str" cm="1">
        <f t="array" ref="N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5" s="28" t="str" cm="1">
        <f t="array" ref="O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5" s="27" t="str" cm="1">
        <f t="array" ref="P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Table8[جهة العطل]
         ),
         ""
      ),
      IF(_xlpm.result="", "", _xlpm.result)
   )
)</f>
        <v/>
      </c>
      <c r="Q1075" s="27" t="str" cm="1">
        <f t="array" ref="Q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Table8[المركز]
         ),
         ""
      ),
      IF(_xlpm.result="", "", _xlpm.result)
   )
)</f>
        <v/>
      </c>
      <c r="R1075" s="27" t="str" cm="1">
        <f t="array" ref="R1075">IF(
   A1075="",
   "",
   _xlfn.LET(
      _xlpm.result,
      IFERROR(
         _xlfn.XLOOKUP(
            1,
            (Table8[رقم الصنف]=A1075) *
            (IF($B$9="الكل",1, YEAR('ادخال البيانات'!$N$3:$N$1164) = VALUE($B$9))) *
            (IF($B$10="الكل",1, MONTH('ادخال البيانات'!$N$3:$N$1164) = VALUE($B$10))) *
            (IF($B$11="الكل",1, INT((DAY('ادخال البيانات'!$N$3:$N$1164) - 1) / 7) + 1 = VALUE($B$11))),
            Table8[ملاحظة]
         ),
         ""
      ),
      IF(_xlpm.result="", "", _xlpm.result)
   )
)</f>
        <v/>
      </c>
      <c r="S1075" s="46" t="str">
        <f t="shared" ca="1" si="17"/>
        <v/>
      </c>
    </row>
    <row r="1076" spans="1:19" ht="15.6" thickTop="1" thickBot="1" x14ac:dyDescent="0.35">
      <c r="A1076" s="39"/>
      <c r="B1076" s="27" t="str" cm="1">
        <f t="array" ref="B1076">IF(
   OR(A1076="", $B$9="", $B$10="", $B$11=""),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6" s="27" t="str" cm="1">
        <f t="array" ref="C1076">IF(
   A1076="",
   "",
   _xlfn.LET(
      _xlpm.result,
      IFERROR(
         _xlfn.XLOOKUP(
            1,
            (Table8[رقم الصنف]=A1076) *
            (IF($B$9="الكل",1, YEAR('ادخال البيانات'!$N$3:$N$1164) = VALUE($B$9))) *
            (IF($B$10="الكل",1, MONTH('ادخال البيانات'!$N$3:$N$1164) = VALUE($B$10))) *
            (IF($B$11="الكل",1, INT((DAY('ادخال البيانات'!$N$3:$N$1164)-1)/7)+1 = VALUE($B$11))),
            'ادخال البيانات'!$C$3:$C$1164
         ),
         ""
      ),
      IF(_xlpm.result="", "", _xlpm.result)
   )
)</f>
        <v/>
      </c>
      <c r="D1076" s="27" t="str" cm="1">
        <f t="array" ref="D1076">IF(
   OR(A1076="", $B$9="", $B$10="", $B$11=""),
   "",
   _xlfn.LET(
      _xlpm.result,
      IFERROR(
         _xlfn.XLOOKUP(
            1,
            (Table8[رقم الصنف]=A1076) *
            (IF($B$9="الكل",1, YEAR('ادخال البيانات'!$N$3:$N$1164)=VALUE($B$9))) *
            (IF($B$10="الكل",1, MONTH('ادخال البيانات'!$N$3:$N$1164)=VALUE($B$10))) *
            (IF($B$11="الكل",1, INT((DAY('ادخال البيانات'!$N$3:$N$1164)-1)/7)+1 = VALUE($B$11))),
            'ادخال البيانات'!$D$3:$D$1164
         ),
         ""
      ),
      IF(_xlpm.result="", "", _xlpm.result)
   )
)</f>
        <v/>
      </c>
      <c r="E1076" s="27" t="str" cm="1">
        <f t="array" ref="E1076">IF(
   A1076="",
   "",
   _xlfn.LET(
      _xlpm.result,
      IFERROR(
         _xlfn.XLOOKUP(
            1,
            (Table8[رقم الصنف]=A1076) *
            (IF($B$9="الكل",1, YEAR('ادخال البيانات'!$N$3:$N$1164)=VALUE($B$9))) *
            (IF($B$10="الكل",1, MONTH('ادخال البيانات'!$N$3:$N$1164)=VALUE($B$10))) *
            (IF($B$11="الكل",1, INT((DAY('ادخال البيانات'!$N$3:$N$1164)-1)/7)+1 = VALUE($B$11))),
            'ادخال البيانات'!$E$3:$E$1164
         ),
         ""
      ),
      IF(_xlpm.result="", "", _xlpm.result)
   )
)</f>
        <v/>
      </c>
      <c r="F1076" s="27" t="str" cm="1">
        <f t="array" ref="F1076">IF(
   A1076="",
   "",
   _xlfn.LET(
      _xlpm.result,
      IFERROR(
         _xlfn.XLOOKUP(
            1,
            (Table8[رقم الصنف]=A1076) *
            (IF($B$9="الكل",1, YEAR('ادخال البيانات'!$N$3:$N$1164) = VALUE($B$9))) *
            (IF($B$10="الكل",1, MONTH('ادخال البيانات'!$N$3:$N$1164) = VALUE($B$10))) *
            (IF($B$11="الكل",1, INT((DAY('ادخال البيانات'!$N$3:$N$1164)-1)/7)+1 = VALUE($B$11))),
            'ادخال البيانات'!$F$3:$F$1164
         ),
         ""
      ),
      IF(_xlpm.result="", "", _xlpm.result)
   )
)</f>
        <v/>
      </c>
      <c r="G1076" s="27" t="str" cm="1">
        <f t="array" ref="G1076">IF(
   A1076="",
   "",
   _xlfn.LET(
      _xlpm.result,
      IFERROR(
         _xlfn.XLOOKUP(
            1,
            (Table8[رقم الصنف]=A1076) *
            (IF($B$9="الكل",1, YEAR('ادخال البيانات'!$N$3:$N$1164)=VALUE($B$9))) *
            (IF($B$10="الكل",1, MONTH('ادخال البيانات'!$N$3:$N$1164)=VALUE($B$10))) *
            (IF($B$11="الكل",1, INT((DAY('ادخال البيانات'!$N$3:$N$1164)-1)/7)+1 = VALUE($B$11))),
            'ادخال البيانات'!$G$3:$G$1164
         ),
         ""
      ),
      IF(_xlpm.result="", "", _xlpm.result)
   )
)</f>
        <v/>
      </c>
      <c r="H1076" s="27" t="str" cm="1">
        <f t="array" ref="H1076">IF(
   A1076="",
   "",
   _xlfn.LET(
      _xlpm.result,
      IFERROR(
         _xlfn.XLOOKUP(
            1,
            (Table8[رقم الصنف]=A1076) *
            (IF($B$9="الكل",1, YEAR('ادخال البيانات'!$N$3:$N$1164)=VALUE($B$9))) *
            (IF($B$10="الكل",1, MONTH('ادخال البيانات'!$N$3:$N$1164)=VALUE($B$10))) *
            (IF($B$11="الكل",1, INT((DAY('ادخال البيانات'!$N$3:$N$1164)-1)/7)+1 = VALUE($B$11))),
            'ادخال البيانات'!$H$3:$H$1164
         ),
         ""
      ),
      IF(_xlpm.result="", "", _xlpm.result)
   )
)</f>
        <v/>
      </c>
      <c r="I1076" s="27" t="str" cm="1">
        <f t="array" ref="I1076">IF(
   A1076="",
   "",
   _xlfn.LET(
      _xlpm.result,
      IFERROR(
         _xlfn.XLOOKUP(
            1,
            (Table8[رقم الصنف]=A1076) *
            (IF($B$9="الكل",1, YEAR('ادخال البيانات'!$N$3:$N$1164)=VALUE($B$9))) *
            (IF($B$10="الكل",1, MONTH('ادخال البيانات'!$N$3:$N$1164)=VALUE($B$10))) *
            (IF($B$11="الكل",1, INT((DAY('ادخال البيانات'!$N$3:$N$1164)-1)/7)+1 = VALUE($B$11))),
            'ادخال البيانات'!$I$3:$I$1164
         ),
         ""
      ),
      IF(_xlpm.result="", "", _xlpm.result)
   )
)</f>
        <v/>
      </c>
      <c r="J1076" s="27" t="str" cm="1">
        <f t="array" ref="J1076">IF(
   A1076="",
   "",
   _xlfn.LET(
      _xlpm.result,
      IFERROR(
         _xlfn.XLOOKUP(
            1,
            (Table8[رقم الصنف]=A1076) *
            (IF($B$9="الكل",1, YEAR('ادخال البيانات'!$N$3:$N$1164)=VALUE($B$9))) *
            (IF($B$10="الكل",1, MONTH('ادخال البيانات'!$N$3:$N$1164)=VALUE($B$10))) *
            (IF($B$11="الكل",1, INT((DAY('ادخال البيانات'!$N$3:$N$1164)-1)/7)+1 = VALUE($B$11))),
            'ادخال البيانات'!$J$3:$J$1164
         ),
         ""
      ),
      IF(_xlpm.result="", "", _xlpm.result)
   )
)</f>
        <v/>
      </c>
      <c r="K1076" s="27" t="str" cm="1">
        <f t="array" ref="K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6" s="27" t="str" cm="1">
        <f t="array" ref="L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6" s="27" t="str" cm="1">
        <f t="array" ref="M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6" s="28" t="str" cm="1">
        <f t="array" ref="N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6" s="28" t="str" cm="1">
        <f t="array" ref="O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6" s="27" t="str" cm="1">
        <f t="array" ref="P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Table8[جهة العطل]
         ),
         ""
      ),
      IF(_xlpm.result="", "", _xlpm.result)
   )
)</f>
        <v/>
      </c>
      <c r="Q1076" s="27" t="str" cm="1">
        <f t="array" ref="Q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Table8[المركز]
         ),
         ""
      ),
      IF(_xlpm.result="", "", _xlpm.result)
   )
)</f>
        <v/>
      </c>
      <c r="R1076" s="27" t="str" cm="1">
        <f t="array" ref="R1076">IF(
   A1076="",
   "",
   _xlfn.LET(
      _xlpm.result,
      IFERROR(
         _xlfn.XLOOKUP(
            1,
            (Table8[رقم الصنف]=A1076) *
            (IF($B$9="الكل",1, YEAR('ادخال البيانات'!$N$3:$N$1164) = VALUE($B$9))) *
            (IF($B$10="الكل",1, MONTH('ادخال البيانات'!$N$3:$N$1164) = VALUE($B$10))) *
            (IF($B$11="الكل",1, INT((DAY('ادخال البيانات'!$N$3:$N$1164) - 1) / 7) + 1 = VALUE($B$11))),
            Table8[ملاحظة]
         ),
         ""
      ),
      IF(_xlpm.result="", "", _xlpm.result)
   )
)</f>
        <v/>
      </c>
      <c r="S1076" s="46" t="str">
        <f t="shared" ca="1" si="17"/>
        <v/>
      </c>
    </row>
    <row r="1077" spans="1:19" ht="15.6" thickTop="1" thickBot="1" x14ac:dyDescent="0.35">
      <c r="A1077" s="39"/>
      <c r="B1077" s="27" t="str" cm="1">
        <f t="array" ref="B1077">IF(
   OR(A1077="", $B$9="", $B$10="", $B$11=""),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7" s="27" t="str" cm="1">
        <f t="array" ref="C1077">IF(
   A1077="",
   "",
   _xlfn.LET(
      _xlpm.result,
      IFERROR(
         _xlfn.XLOOKUP(
            1,
            (Table8[رقم الصنف]=A1077) *
            (IF($B$9="الكل",1, YEAR('ادخال البيانات'!$N$3:$N$1164) = VALUE($B$9))) *
            (IF($B$10="الكل",1, MONTH('ادخال البيانات'!$N$3:$N$1164) = VALUE($B$10))) *
            (IF($B$11="الكل",1, INT((DAY('ادخال البيانات'!$N$3:$N$1164)-1)/7)+1 = VALUE($B$11))),
            'ادخال البيانات'!$C$3:$C$1164
         ),
         ""
      ),
      IF(_xlpm.result="", "", _xlpm.result)
   )
)</f>
        <v/>
      </c>
      <c r="D1077" s="27" t="str" cm="1">
        <f t="array" ref="D1077">IF(
   OR(A1077="", $B$9="", $B$10="", $B$11=""),
   "",
   _xlfn.LET(
      _xlpm.result,
      IFERROR(
         _xlfn.XLOOKUP(
            1,
            (Table8[رقم الصنف]=A1077) *
            (IF($B$9="الكل",1, YEAR('ادخال البيانات'!$N$3:$N$1164)=VALUE($B$9))) *
            (IF($B$10="الكل",1, MONTH('ادخال البيانات'!$N$3:$N$1164)=VALUE($B$10))) *
            (IF($B$11="الكل",1, INT((DAY('ادخال البيانات'!$N$3:$N$1164)-1)/7)+1 = VALUE($B$11))),
            'ادخال البيانات'!$D$3:$D$1164
         ),
         ""
      ),
      IF(_xlpm.result="", "", _xlpm.result)
   )
)</f>
        <v/>
      </c>
      <c r="E1077" s="27" t="str" cm="1">
        <f t="array" ref="E1077">IF(
   A1077="",
   "",
   _xlfn.LET(
      _xlpm.result,
      IFERROR(
         _xlfn.XLOOKUP(
            1,
            (Table8[رقم الصنف]=A1077) *
            (IF($B$9="الكل",1, YEAR('ادخال البيانات'!$N$3:$N$1164)=VALUE($B$9))) *
            (IF($B$10="الكل",1, MONTH('ادخال البيانات'!$N$3:$N$1164)=VALUE($B$10))) *
            (IF($B$11="الكل",1, INT((DAY('ادخال البيانات'!$N$3:$N$1164)-1)/7)+1 = VALUE($B$11))),
            'ادخال البيانات'!$E$3:$E$1164
         ),
         ""
      ),
      IF(_xlpm.result="", "", _xlpm.result)
   )
)</f>
        <v/>
      </c>
      <c r="F1077" s="27" t="str" cm="1">
        <f t="array" ref="F1077">IF(
   A1077="",
   "",
   _xlfn.LET(
      _xlpm.result,
      IFERROR(
         _xlfn.XLOOKUP(
            1,
            (Table8[رقم الصنف]=A1077) *
            (IF($B$9="الكل",1, YEAR('ادخال البيانات'!$N$3:$N$1164) = VALUE($B$9))) *
            (IF($B$10="الكل",1, MONTH('ادخال البيانات'!$N$3:$N$1164) = VALUE($B$10))) *
            (IF($B$11="الكل",1, INT((DAY('ادخال البيانات'!$N$3:$N$1164)-1)/7)+1 = VALUE($B$11))),
            'ادخال البيانات'!$F$3:$F$1164
         ),
         ""
      ),
      IF(_xlpm.result="", "", _xlpm.result)
   )
)</f>
        <v/>
      </c>
      <c r="G1077" s="27" t="str" cm="1">
        <f t="array" ref="G1077">IF(
   A1077="",
   "",
   _xlfn.LET(
      _xlpm.result,
      IFERROR(
         _xlfn.XLOOKUP(
            1,
            (Table8[رقم الصنف]=A1077) *
            (IF($B$9="الكل",1, YEAR('ادخال البيانات'!$N$3:$N$1164)=VALUE($B$9))) *
            (IF($B$10="الكل",1, MONTH('ادخال البيانات'!$N$3:$N$1164)=VALUE($B$10))) *
            (IF($B$11="الكل",1, INT((DAY('ادخال البيانات'!$N$3:$N$1164)-1)/7)+1 = VALUE($B$11))),
            'ادخال البيانات'!$G$3:$G$1164
         ),
         ""
      ),
      IF(_xlpm.result="", "", _xlpm.result)
   )
)</f>
        <v/>
      </c>
      <c r="H1077" s="27" t="str" cm="1">
        <f t="array" ref="H1077">IF(
   A1077="",
   "",
   _xlfn.LET(
      _xlpm.result,
      IFERROR(
         _xlfn.XLOOKUP(
            1,
            (Table8[رقم الصنف]=A1077) *
            (IF($B$9="الكل",1, YEAR('ادخال البيانات'!$N$3:$N$1164)=VALUE($B$9))) *
            (IF($B$10="الكل",1, MONTH('ادخال البيانات'!$N$3:$N$1164)=VALUE($B$10))) *
            (IF($B$11="الكل",1, INT((DAY('ادخال البيانات'!$N$3:$N$1164)-1)/7)+1 = VALUE($B$11))),
            'ادخال البيانات'!$H$3:$H$1164
         ),
         ""
      ),
      IF(_xlpm.result="", "", _xlpm.result)
   )
)</f>
        <v/>
      </c>
      <c r="I1077" s="27" t="str" cm="1">
        <f t="array" ref="I1077">IF(
   A1077="",
   "",
   _xlfn.LET(
      _xlpm.result,
      IFERROR(
         _xlfn.XLOOKUP(
            1,
            (Table8[رقم الصنف]=A1077) *
            (IF($B$9="الكل",1, YEAR('ادخال البيانات'!$N$3:$N$1164)=VALUE($B$9))) *
            (IF($B$10="الكل",1, MONTH('ادخال البيانات'!$N$3:$N$1164)=VALUE($B$10))) *
            (IF($B$11="الكل",1, INT((DAY('ادخال البيانات'!$N$3:$N$1164)-1)/7)+1 = VALUE($B$11))),
            'ادخال البيانات'!$I$3:$I$1164
         ),
         ""
      ),
      IF(_xlpm.result="", "", _xlpm.result)
   )
)</f>
        <v/>
      </c>
      <c r="J1077" s="27" t="str" cm="1">
        <f t="array" ref="J1077">IF(
   A1077="",
   "",
   _xlfn.LET(
      _xlpm.result,
      IFERROR(
         _xlfn.XLOOKUP(
            1,
            (Table8[رقم الصنف]=A1077) *
            (IF($B$9="الكل",1, YEAR('ادخال البيانات'!$N$3:$N$1164)=VALUE($B$9))) *
            (IF($B$10="الكل",1, MONTH('ادخال البيانات'!$N$3:$N$1164)=VALUE($B$10))) *
            (IF($B$11="الكل",1, INT((DAY('ادخال البيانات'!$N$3:$N$1164)-1)/7)+1 = VALUE($B$11))),
            'ادخال البيانات'!$J$3:$J$1164
         ),
         ""
      ),
      IF(_xlpm.result="", "", _xlpm.result)
   )
)</f>
        <v/>
      </c>
      <c r="K1077" s="27" t="str" cm="1">
        <f t="array" ref="K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7" s="27" t="str" cm="1">
        <f t="array" ref="L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7" s="27" t="str" cm="1">
        <f t="array" ref="M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7" s="28" t="str" cm="1">
        <f t="array" ref="N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7" s="28" t="str" cm="1">
        <f t="array" ref="O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7" s="27" t="str" cm="1">
        <f t="array" ref="P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Table8[جهة العطل]
         ),
         ""
      ),
      IF(_xlpm.result="", "", _xlpm.result)
   )
)</f>
        <v/>
      </c>
      <c r="Q1077" s="27" t="str" cm="1">
        <f t="array" ref="Q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Table8[المركز]
         ),
         ""
      ),
      IF(_xlpm.result="", "", _xlpm.result)
   )
)</f>
        <v/>
      </c>
      <c r="R1077" s="27" t="str" cm="1">
        <f t="array" ref="R1077">IF(
   A1077="",
   "",
   _xlfn.LET(
      _xlpm.result,
      IFERROR(
         _xlfn.XLOOKUP(
            1,
            (Table8[رقم الصنف]=A1077) *
            (IF($B$9="الكل",1, YEAR('ادخال البيانات'!$N$3:$N$1164) = VALUE($B$9))) *
            (IF($B$10="الكل",1, MONTH('ادخال البيانات'!$N$3:$N$1164) = VALUE($B$10))) *
            (IF($B$11="الكل",1, INT((DAY('ادخال البيانات'!$N$3:$N$1164) - 1) / 7) + 1 = VALUE($B$11))),
            Table8[ملاحظة]
         ),
         ""
      ),
      IF(_xlpm.result="", "", _xlpm.result)
   )
)</f>
        <v/>
      </c>
      <c r="S1077" s="46" t="str">
        <f t="shared" ca="1" si="17"/>
        <v/>
      </c>
    </row>
    <row r="1078" spans="1:19" ht="15.6" thickTop="1" thickBot="1" x14ac:dyDescent="0.35">
      <c r="A1078" s="39"/>
      <c r="B1078" s="27" t="str" cm="1">
        <f t="array" ref="B1078">IF(
   OR(A1078="", $B$9="", $B$10="", $B$11=""),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8" s="27" t="str" cm="1">
        <f t="array" ref="C1078">IF(
   A1078="",
   "",
   _xlfn.LET(
      _xlpm.result,
      IFERROR(
         _xlfn.XLOOKUP(
            1,
            (Table8[رقم الصنف]=A1078) *
            (IF($B$9="الكل",1, YEAR('ادخال البيانات'!$N$3:$N$1164) = VALUE($B$9))) *
            (IF($B$10="الكل",1, MONTH('ادخال البيانات'!$N$3:$N$1164) = VALUE($B$10))) *
            (IF($B$11="الكل",1, INT((DAY('ادخال البيانات'!$N$3:$N$1164)-1)/7)+1 = VALUE($B$11))),
            'ادخال البيانات'!$C$3:$C$1164
         ),
         ""
      ),
      IF(_xlpm.result="", "", _xlpm.result)
   )
)</f>
        <v/>
      </c>
      <c r="D1078" s="27" t="str" cm="1">
        <f t="array" ref="D1078">IF(
   OR(A1078="", $B$9="", $B$10="", $B$11=""),
   "",
   _xlfn.LET(
      _xlpm.result,
      IFERROR(
         _xlfn.XLOOKUP(
            1,
            (Table8[رقم الصنف]=A1078) *
            (IF($B$9="الكل",1, YEAR('ادخال البيانات'!$N$3:$N$1164)=VALUE($B$9))) *
            (IF($B$10="الكل",1, MONTH('ادخال البيانات'!$N$3:$N$1164)=VALUE($B$10))) *
            (IF($B$11="الكل",1, INT((DAY('ادخال البيانات'!$N$3:$N$1164)-1)/7)+1 = VALUE($B$11))),
            'ادخال البيانات'!$D$3:$D$1164
         ),
         ""
      ),
      IF(_xlpm.result="", "", _xlpm.result)
   )
)</f>
        <v/>
      </c>
      <c r="E1078" s="27" t="str" cm="1">
        <f t="array" ref="E1078">IF(
   A1078="",
   "",
   _xlfn.LET(
      _xlpm.result,
      IFERROR(
         _xlfn.XLOOKUP(
            1,
            (Table8[رقم الصنف]=A1078) *
            (IF($B$9="الكل",1, YEAR('ادخال البيانات'!$N$3:$N$1164)=VALUE($B$9))) *
            (IF($B$10="الكل",1, MONTH('ادخال البيانات'!$N$3:$N$1164)=VALUE($B$10))) *
            (IF($B$11="الكل",1, INT((DAY('ادخال البيانات'!$N$3:$N$1164)-1)/7)+1 = VALUE($B$11))),
            'ادخال البيانات'!$E$3:$E$1164
         ),
         ""
      ),
      IF(_xlpm.result="", "", _xlpm.result)
   )
)</f>
        <v/>
      </c>
      <c r="F1078" s="27" t="str" cm="1">
        <f t="array" ref="F1078">IF(
   A1078="",
   "",
   _xlfn.LET(
      _xlpm.result,
      IFERROR(
         _xlfn.XLOOKUP(
            1,
            (Table8[رقم الصنف]=A1078) *
            (IF($B$9="الكل",1, YEAR('ادخال البيانات'!$N$3:$N$1164) = VALUE($B$9))) *
            (IF($B$10="الكل",1, MONTH('ادخال البيانات'!$N$3:$N$1164) = VALUE($B$10))) *
            (IF($B$11="الكل",1, INT((DAY('ادخال البيانات'!$N$3:$N$1164)-1)/7)+1 = VALUE($B$11))),
            'ادخال البيانات'!$F$3:$F$1164
         ),
         ""
      ),
      IF(_xlpm.result="", "", _xlpm.result)
   )
)</f>
        <v/>
      </c>
      <c r="G1078" s="27" t="str" cm="1">
        <f t="array" ref="G1078">IF(
   A1078="",
   "",
   _xlfn.LET(
      _xlpm.result,
      IFERROR(
         _xlfn.XLOOKUP(
            1,
            (Table8[رقم الصنف]=A1078) *
            (IF($B$9="الكل",1, YEAR('ادخال البيانات'!$N$3:$N$1164)=VALUE($B$9))) *
            (IF($B$10="الكل",1, MONTH('ادخال البيانات'!$N$3:$N$1164)=VALUE($B$10))) *
            (IF($B$11="الكل",1, INT((DAY('ادخال البيانات'!$N$3:$N$1164)-1)/7)+1 = VALUE($B$11))),
            'ادخال البيانات'!$G$3:$G$1164
         ),
         ""
      ),
      IF(_xlpm.result="", "", _xlpm.result)
   )
)</f>
        <v/>
      </c>
      <c r="H1078" s="27" t="str" cm="1">
        <f t="array" ref="H1078">IF(
   A1078="",
   "",
   _xlfn.LET(
      _xlpm.result,
      IFERROR(
         _xlfn.XLOOKUP(
            1,
            (Table8[رقم الصنف]=A1078) *
            (IF($B$9="الكل",1, YEAR('ادخال البيانات'!$N$3:$N$1164)=VALUE($B$9))) *
            (IF($B$10="الكل",1, MONTH('ادخال البيانات'!$N$3:$N$1164)=VALUE($B$10))) *
            (IF($B$11="الكل",1, INT((DAY('ادخال البيانات'!$N$3:$N$1164)-1)/7)+1 = VALUE($B$11))),
            'ادخال البيانات'!$H$3:$H$1164
         ),
         ""
      ),
      IF(_xlpm.result="", "", _xlpm.result)
   )
)</f>
        <v/>
      </c>
      <c r="I1078" s="27" t="str" cm="1">
        <f t="array" ref="I1078">IF(
   A1078="",
   "",
   _xlfn.LET(
      _xlpm.result,
      IFERROR(
         _xlfn.XLOOKUP(
            1,
            (Table8[رقم الصنف]=A1078) *
            (IF($B$9="الكل",1, YEAR('ادخال البيانات'!$N$3:$N$1164)=VALUE($B$9))) *
            (IF($B$10="الكل",1, MONTH('ادخال البيانات'!$N$3:$N$1164)=VALUE($B$10))) *
            (IF($B$11="الكل",1, INT((DAY('ادخال البيانات'!$N$3:$N$1164)-1)/7)+1 = VALUE($B$11))),
            'ادخال البيانات'!$I$3:$I$1164
         ),
         ""
      ),
      IF(_xlpm.result="", "", _xlpm.result)
   )
)</f>
        <v/>
      </c>
      <c r="J1078" s="27" t="str" cm="1">
        <f t="array" ref="J1078">IF(
   A1078="",
   "",
   _xlfn.LET(
      _xlpm.result,
      IFERROR(
         _xlfn.XLOOKUP(
            1,
            (Table8[رقم الصنف]=A1078) *
            (IF($B$9="الكل",1, YEAR('ادخال البيانات'!$N$3:$N$1164)=VALUE($B$9))) *
            (IF($B$10="الكل",1, MONTH('ادخال البيانات'!$N$3:$N$1164)=VALUE($B$10))) *
            (IF($B$11="الكل",1, INT((DAY('ادخال البيانات'!$N$3:$N$1164)-1)/7)+1 = VALUE($B$11))),
            'ادخال البيانات'!$J$3:$J$1164
         ),
         ""
      ),
      IF(_xlpm.result="", "", _xlpm.result)
   )
)</f>
        <v/>
      </c>
      <c r="K1078" s="27" t="str" cm="1">
        <f t="array" ref="K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8" s="27" t="str" cm="1">
        <f t="array" ref="L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8" s="27" t="str" cm="1">
        <f t="array" ref="M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8" s="28" t="str" cm="1">
        <f t="array" ref="N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8" s="28" t="str" cm="1">
        <f t="array" ref="O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8" s="27" t="str" cm="1">
        <f t="array" ref="P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Table8[جهة العطل]
         ),
         ""
      ),
      IF(_xlpm.result="", "", _xlpm.result)
   )
)</f>
        <v/>
      </c>
      <c r="Q1078" s="27" t="str" cm="1">
        <f t="array" ref="Q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Table8[المركز]
         ),
         ""
      ),
      IF(_xlpm.result="", "", _xlpm.result)
   )
)</f>
        <v/>
      </c>
      <c r="R1078" s="27" t="str" cm="1">
        <f t="array" ref="R1078">IF(
   A1078="",
   "",
   _xlfn.LET(
      _xlpm.result,
      IFERROR(
         _xlfn.XLOOKUP(
            1,
            (Table8[رقم الصنف]=A1078) *
            (IF($B$9="الكل",1, YEAR('ادخال البيانات'!$N$3:$N$1164) = VALUE($B$9))) *
            (IF($B$10="الكل",1, MONTH('ادخال البيانات'!$N$3:$N$1164) = VALUE($B$10))) *
            (IF($B$11="الكل",1, INT((DAY('ادخال البيانات'!$N$3:$N$1164) - 1) / 7) + 1 = VALUE($B$11))),
            Table8[ملاحظة]
         ),
         ""
      ),
      IF(_xlpm.result="", "", _xlpm.result)
   )
)</f>
        <v/>
      </c>
      <c r="S1078" s="46" t="str">
        <f t="shared" ca="1" si="17"/>
        <v/>
      </c>
    </row>
    <row r="1079" spans="1:19" ht="15.6" thickTop="1" thickBot="1" x14ac:dyDescent="0.35">
      <c r="A1079" s="39"/>
      <c r="B1079" s="27" t="str" cm="1">
        <f t="array" ref="B1079">IF(
   OR(A1079="", $B$9="", $B$10="", $B$11=""),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79" s="27" t="str" cm="1">
        <f t="array" ref="C1079">IF(
   A1079="",
   "",
   _xlfn.LET(
      _xlpm.result,
      IFERROR(
         _xlfn.XLOOKUP(
            1,
            (Table8[رقم الصنف]=A1079) *
            (IF($B$9="الكل",1, YEAR('ادخال البيانات'!$N$3:$N$1164) = VALUE($B$9))) *
            (IF($B$10="الكل",1, MONTH('ادخال البيانات'!$N$3:$N$1164) = VALUE($B$10))) *
            (IF($B$11="الكل",1, INT((DAY('ادخال البيانات'!$N$3:$N$1164)-1)/7)+1 = VALUE($B$11))),
            'ادخال البيانات'!$C$3:$C$1164
         ),
         ""
      ),
      IF(_xlpm.result="", "", _xlpm.result)
   )
)</f>
        <v/>
      </c>
      <c r="D1079" s="27" t="str" cm="1">
        <f t="array" ref="D1079">IF(
   OR(A1079="", $B$9="", $B$10="", $B$11=""),
   "",
   _xlfn.LET(
      _xlpm.result,
      IFERROR(
         _xlfn.XLOOKUP(
            1,
            (Table8[رقم الصنف]=A1079) *
            (IF($B$9="الكل",1, YEAR('ادخال البيانات'!$N$3:$N$1164)=VALUE($B$9))) *
            (IF($B$10="الكل",1, MONTH('ادخال البيانات'!$N$3:$N$1164)=VALUE($B$10))) *
            (IF($B$11="الكل",1, INT((DAY('ادخال البيانات'!$N$3:$N$1164)-1)/7)+1 = VALUE($B$11))),
            'ادخال البيانات'!$D$3:$D$1164
         ),
         ""
      ),
      IF(_xlpm.result="", "", _xlpm.result)
   )
)</f>
        <v/>
      </c>
      <c r="E1079" s="27" t="str" cm="1">
        <f t="array" ref="E1079">IF(
   A1079="",
   "",
   _xlfn.LET(
      _xlpm.result,
      IFERROR(
         _xlfn.XLOOKUP(
            1,
            (Table8[رقم الصنف]=A1079) *
            (IF($B$9="الكل",1, YEAR('ادخال البيانات'!$N$3:$N$1164)=VALUE($B$9))) *
            (IF($B$10="الكل",1, MONTH('ادخال البيانات'!$N$3:$N$1164)=VALUE($B$10))) *
            (IF($B$11="الكل",1, INT((DAY('ادخال البيانات'!$N$3:$N$1164)-1)/7)+1 = VALUE($B$11))),
            'ادخال البيانات'!$E$3:$E$1164
         ),
         ""
      ),
      IF(_xlpm.result="", "", _xlpm.result)
   )
)</f>
        <v/>
      </c>
      <c r="F1079" s="27" t="str" cm="1">
        <f t="array" ref="F1079">IF(
   A1079="",
   "",
   _xlfn.LET(
      _xlpm.result,
      IFERROR(
         _xlfn.XLOOKUP(
            1,
            (Table8[رقم الصنف]=A1079) *
            (IF($B$9="الكل",1, YEAR('ادخال البيانات'!$N$3:$N$1164) = VALUE($B$9))) *
            (IF($B$10="الكل",1, MONTH('ادخال البيانات'!$N$3:$N$1164) = VALUE($B$10))) *
            (IF($B$11="الكل",1, INT((DAY('ادخال البيانات'!$N$3:$N$1164)-1)/7)+1 = VALUE($B$11))),
            'ادخال البيانات'!$F$3:$F$1164
         ),
         ""
      ),
      IF(_xlpm.result="", "", _xlpm.result)
   )
)</f>
        <v/>
      </c>
      <c r="G1079" s="27" t="str" cm="1">
        <f t="array" ref="G1079">IF(
   A1079="",
   "",
   _xlfn.LET(
      _xlpm.result,
      IFERROR(
         _xlfn.XLOOKUP(
            1,
            (Table8[رقم الصنف]=A1079) *
            (IF($B$9="الكل",1, YEAR('ادخال البيانات'!$N$3:$N$1164)=VALUE($B$9))) *
            (IF($B$10="الكل",1, MONTH('ادخال البيانات'!$N$3:$N$1164)=VALUE($B$10))) *
            (IF($B$11="الكل",1, INT((DAY('ادخال البيانات'!$N$3:$N$1164)-1)/7)+1 = VALUE($B$11))),
            'ادخال البيانات'!$G$3:$G$1164
         ),
         ""
      ),
      IF(_xlpm.result="", "", _xlpm.result)
   )
)</f>
        <v/>
      </c>
      <c r="H1079" s="27" t="str" cm="1">
        <f t="array" ref="H1079">IF(
   A1079="",
   "",
   _xlfn.LET(
      _xlpm.result,
      IFERROR(
         _xlfn.XLOOKUP(
            1,
            (Table8[رقم الصنف]=A1079) *
            (IF($B$9="الكل",1, YEAR('ادخال البيانات'!$N$3:$N$1164)=VALUE($B$9))) *
            (IF($B$10="الكل",1, MONTH('ادخال البيانات'!$N$3:$N$1164)=VALUE($B$10))) *
            (IF($B$11="الكل",1, INT((DAY('ادخال البيانات'!$N$3:$N$1164)-1)/7)+1 = VALUE($B$11))),
            'ادخال البيانات'!$H$3:$H$1164
         ),
         ""
      ),
      IF(_xlpm.result="", "", _xlpm.result)
   )
)</f>
        <v/>
      </c>
      <c r="I1079" s="27" t="str" cm="1">
        <f t="array" ref="I1079">IF(
   A1079="",
   "",
   _xlfn.LET(
      _xlpm.result,
      IFERROR(
         _xlfn.XLOOKUP(
            1,
            (Table8[رقم الصنف]=A1079) *
            (IF($B$9="الكل",1, YEAR('ادخال البيانات'!$N$3:$N$1164)=VALUE($B$9))) *
            (IF($B$10="الكل",1, MONTH('ادخال البيانات'!$N$3:$N$1164)=VALUE($B$10))) *
            (IF($B$11="الكل",1, INT((DAY('ادخال البيانات'!$N$3:$N$1164)-1)/7)+1 = VALUE($B$11))),
            'ادخال البيانات'!$I$3:$I$1164
         ),
         ""
      ),
      IF(_xlpm.result="", "", _xlpm.result)
   )
)</f>
        <v/>
      </c>
      <c r="J1079" s="27" t="str" cm="1">
        <f t="array" ref="J1079">IF(
   A1079="",
   "",
   _xlfn.LET(
      _xlpm.result,
      IFERROR(
         _xlfn.XLOOKUP(
            1,
            (Table8[رقم الصنف]=A1079) *
            (IF($B$9="الكل",1, YEAR('ادخال البيانات'!$N$3:$N$1164)=VALUE($B$9))) *
            (IF($B$10="الكل",1, MONTH('ادخال البيانات'!$N$3:$N$1164)=VALUE($B$10))) *
            (IF($B$11="الكل",1, INT((DAY('ادخال البيانات'!$N$3:$N$1164)-1)/7)+1 = VALUE($B$11))),
            'ادخال البيانات'!$J$3:$J$1164
         ),
         ""
      ),
      IF(_xlpm.result="", "", _xlpm.result)
   )
)</f>
        <v/>
      </c>
      <c r="K1079" s="27" t="str" cm="1">
        <f t="array" ref="K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79" s="27" t="str" cm="1">
        <f t="array" ref="L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79" s="27" t="str" cm="1">
        <f t="array" ref="M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79" s="28" t="str" cm="1">
        <f t="array" ref="N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79" s="28" t="str" cm="1">
        <f t="array" ref="O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79" s="27" t="str" cm="1">
        <f t="array" ref="P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Table8[جهة العطل]
         ),
         ""
      ),
      IF(_xlpm.result="", "", _xlpm.result)
   )
)</f>
        <v/>
      </c>
      <c r="Q1079" s="27" t="str" cm="1">
        <f t="array" ref="Q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Table8[المركز]
         ),
         ""
      ),
      IF(_xlpm.result="", "", _xlpm.result)
   )
)</f>
        <v/>
      </c>
      <c r="R1079" s="27" t="str" cm="1">
        <f t="array" ref="R1079">IF(
   A1079="",
   "",
   _xlfn.LET(
      _xlpm.result,
      IFERROR(
         _xlfn.XLOOKUP(
            1,
            (Table8[رقم الصنف]=A1079) *
            (IF($B$9="الكل",1, YEAR('ادخال البيانات'!$N$3:$N$1164) = VALUE($B$9))) *
            (IF($B$10="الكل",1, MONTH('ادخال البيانات'!$N$3:$N$1164) = VALUE($B$10))) *
            (IF($B$11="الكل",1, INT((DAY('ادخال البيانات'!$N$3:$N$1164) - 1) / 7) + 1 = VALUE($B$11))),
            Table8[ملاحظة]
         ),
         ""
      ),
      IF(_xlpm.result="", "", _xlpm.result)
   )
)</f>
        <v/>
      </c>
      <c r="S1079" s="46" t="str">
        <f t="shared" ca="1" si="17"/>
        <v/>
      </c>
    </row>
    <row r="1080" spans="1:19" ht="15.6" thickTop="1" thickBot="1" x14ac:dyDescent="0.35">
      <c r="A1080" s="39"/>
      <c r="B1080" s="27" t="str" cm="1">
        <f t="array" ref="B1080">IF(
   OR(A1080="", $B$9="", $B$10="", $B$11=""),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0" s="27" t="str" cm="1">
        <f t="array" ref="C1080">IF(
   A1080="",
   "",
   _xlfn.LET(
      _xlpm.result,
      IFERROR(
         _xlfn.XLOOKUP(
            1,
            (Table8[رقم الصنف]=A1080) *
            (IF($B$9="الكل",1, YEAR('ادخال البيانات'!$N$3:$N$1164) = VALUE($B$9))) *
            (IF($B$10="الكل",1, MONTH('ادخال البيانات'!$N$3:$N$1164) = VALUE($B$10))) *
            (IF($B$11="الكل",1, INT((DAY('ادخال البيانات'!$N$3:$N$1164)-1)/7)+1 = VALUE($B$11))),
            'ادخال البيانات'!$C$3:$C$1164
         ),
         ""
      ),
      IF(_xlpm.result="", "", _xlpm.result)
   )
)</f>
        <v/>
      </c>
      <c r="D1080" s="27" t="str" cm="1">
        <f t="array" ref="D1080">IF(
   OR(A1080="", $B$9="", $B$10="", $B$11=""),
   "",
   _xlfn.LET(
      _xlpm.result,
      IFERROR(
         _xlfn.XLOOKUP(
            1,
            (Table8[رقم الصنف]=A1080) *
            (IF($B$9="الكل",1, YEAR('ادخال البيانات'!$N$3:$N$1164)=VALUE($B$9))) *
            (IF($B$10="الكل",1, MONTH('ادخال البيانات'!$N$3:$N$1164)=VALUE($B$10))) *
            (IF($B$11="الكل",1, INT((DAY('ادخال البيانات'!$N$3:$N$1164)-1)/7)+1 = VALUE($B$11))),
            'ادخال البيانات'!$D$3:$D$1164
         ),
         ""
      ),
      IF(_xlpm.result="", "", _xlpm.result)
   )
)</f>
        <v/>
      </c>
      <c r="E1080" s="27" t="str" cm="1">
        <f t="array" ref="E1080">IF(
   A1080="",
   "",
   _xlfn.LET(
      _xlpm.result,
      IFERROR(
         _xlfn.XLOOKUP(
            1,
            (Table8[رقم الصنف]=A1080) *
            (IF($B$9="الكل",1, YEAR('ادخال البيانات'!$N$3:$N$1164)=VALUE($B$9))) *
            (IF($B$10="الكل",1, MONTH('ادخال البيانات'!$N$3:$N$1164)=VALUE($B$10))) *
            (IF($B$11="الكل",1, INT((DAY('ادخال البيانات'!$N$3:$N$1164)-1)/7)+1 = VALUE($B$11))),
            'ادخال البيانات'!$E$3:$E$1164
         ),
         ""
      ),
      IF(_xlpm.result="", "", _xlpm.result)
   )
)</f>
        <v/>
      </c>
      <c r="F1080" s="27" t="str" cm="1">
        <f t="array" ref="F1080">IF(
   A1080="",
   "",
   _xlfn.LET(
      _xlpm.result,
      IFERROR(
         _xlfn.XLOOKUP(
            1,
            (Table8[رقم الصنف]=A1080) *
            (IF($B$9="الكل",1, YEAR('ادخال البيانات'!$N$3:$N$1164) = VALUE($B$9))) *
            (IF($B$10="الكل",1, MONTH('ادخال البيانات'!$N$3:$N$1164) = VALUE($B$10))) *
            (IF($B$11="الكل",1, INT((DAY('ادخال البيانات'!$N$3:$N$1164)-1)/7)+1 = VALUE($B$11))),
            'ادخال البيانات'!$F$3:$F$1164
         ),
         ""
      ),
      IF(_xlpm.result="", "", _xlpm.result)
   )
)</f>
        <v/>
      </c>
      <c r="G1080" s="27" t="str" cm="1">
        <f t="array" ref="G1080">IF(
   A1080="",
   "",
   _xlfn.LET(
      _xlpm.result,
      IFERROR(
         _xlfn.XLOOKUP(
            1,
            (Table8[رقم الصنف]=A1080) *
            (IF($B$9="الكل",1, YEAR('ادخال البيانات'!$N$3:$N$1164)=VALUE($B$9))) *
            (IF($B$10="الكل",1, MONTH('ادخال البيانات'!$N$3:$N$1164)=VALUE($B$10))) *
            (IF($B$11="الكل",1, INT((DAY('ادخال البيانات'!$N$3:$N$1164)-1)/7)+1 = VALUE($B$11))),
            'ادخال البيانات'!$G$3:$G$1164
         ),
         ""
      ),
      IF(_xlpm.result="", "", _xlpm.result)
   )
)</f>
        <v/>
      </c>
      <c r="H1080" s="27" t="str" cm="1">
        <f t="array" ref="H1080">IF(
   A1080="",
   "",
   _xlfn.LET(
      _xlpm.result,
      IFERROR(
         _xlfn.XLOOKUP(
            1,
            (Table8[رقم الصنف]=A1080) *
            (IF($B$9="الكل",1, YEAR('ادخال البيانات'!$N$3:$N$1164)=VALUE($B$9))) *
            (IF($B$10="الكل",1, MONTH('ادخال البيانات'!$N$3:$N$1164)=VALUE($B$10))) *
            (IF($B$11="الكل",1, INT((DAY('ادخال البيانات'!$N$3:$N$1164)-1)/7)+1 = VALUE($B$11))),
            'ادخال البيانات'!$H$3:$H$1164
         ),
         ""
      ),
      IF(_xlpm.result="", "", _xlpm.result)
   )
)</f>
        <v/>
      </c>
      <c r="I1080" s="27" t="str" cm="1">
        <f t="array" ref="I1080">IF(
   A1080="",
   "",
   _xlfn.LET(
      _xlpm.result,
      IFERROR(
         _xlfn.XLOOKUP(
            1,
            (Table8[رقم الصنف]=A1080) *
            (IF($B$9="الكل",1, YEAR('ادخال البيانات'!$N$3:$N$1164)=VALUE($B$9))) *
            (IF($B$10="الكل",1, MONTH('ادخال البيانات'!$N$3:$N$1164)=VALUE($B$10))) *
            (IF($B$11="الكل",1, INT((DAY('ادخال البيانات'!$N$3:$N$1164)-1)/7)+1 = VALUE($B$11))),
            'ادخال البيانات'!$I$3:$I$1164
         ),
         ""
      ),
      IF(_xlpm.result="", "", _xlpm.result)
   )
)</f>
        <v/>
      </c>
      <c r="J1080" s="27" t="str" cm="1">
        <f t="array" ref="J1080">IF(
   A1080="",
   "",
   _xlfn.LET(
      _xlpm.result,
      IFERROR(
         _xlfn.XLOOKUP(
            1,
            (Table8[رقم الصنف]=A1080) *
            (IF($B$9="الكل",1, YEAR('ادخال البيانات'!$N$3:$N$1164)=VALUE($B$9))) *
            (IF($B$10="الكل",1, MONTH('ادخال البيانات'!$N$3:$N$1164)=VALUE($B$10))) *
            (IF($B$11="الكل",1, INT((DAY('ادخال البيانات'!$N$3:$N$1164)-1)/7)+1 = VALUE($B$11))),
            'ادخال البيانات'!$J$3:$J$1164
         ),
         ""
      ),
      IF(_xlpm.result="", "", _xlpm.result)
   )
)</f>
        <v/>
      </c>
      <c r="K1080" s="27" t="str" cm="1">
        <f t="array" ref="K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0" s="27" t="str" cm="1">
        <f t="array" ref="L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0" s="27" t="str" cm="1">
        <f t="array" ref="M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0" s="28" t="str" cm="1">
        <f t="array" ref="N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0" s="28" t="str" cm="1">
        <f t="array" ref="O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0" s="27" t="str" cm="1">
        <f t="array" ref="P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Table8[جهة العطل]
         ),
         ""
      ),
      IF(_xlpm.result="", "", _xlpm.result)
   )
)</f>
        <v/>
      </c>
      <c r="Q1080" s="27" t="str" cm="1">
        <f t="array" ref="Q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Table8[المركز]
         ),
         ""
      ),
      IF(_xlpm.result="", "", _xlpm.result)
   )
)</f>
        <v/>
      </c>
      <c r="R1080" s="27" t="str" cm="1">
        <f t="array" ref="R1080">IF(
   A1080="",
   "",
   _xlfn.LET(
      _xlpm.result,
      IFERROR(
         _xlfn.XLOOKUP(
            1,
            (Table8[رقم الصنف]=A1080) *
            (IF($B$9="الكل",1, YEAR('ادخال البيانات'!$N$3:$N$1164) = VALUE($B$9))) *
            (IF($B$10="الكل",1, MONTH('ادخال البيانات'!$N$3:$N$1164) = VALUE($B$10))) *
            (IF($B$11="الكل",1, INT((DAY('ادخال البيانات'!$N$3:$N$1164) - 1) / 7) + 1 = VALUE($B$11))),
            Table8[ملاحظة]
         ),
         ""
      ),
      IF(_xlpm.result="", "", _xlpm.result)
   )
)</f>
        <v/>
      </c>
      <c r="S1080" s="46" t="str">
        <f t="shared" ca="1" si="17"/>
        <v/>
      </c>
    </row>
    <row r="1081" spans="1:19" ht="15.6" thickTop="1" thickBot="1" x14ac:dyDescent="0.35">
      <c r="A1081" s="39"/>
      <c r="B1081" s="27" t="str" cm="1">
        <f t="array" ref="B1081">IF(
   OR(A1081="", $B$9="", $B$10="", $B$11=""),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1" s="27" t="str" cm="1">
        <f t="array" ref="C1081">IF(
   A1081="",
   "",
   _xlfn.LET(
      _xlpm.result,
      IFERROR(
         _xlfn.XLOOKUP(
            1,
            (Table8[رقم الصنف]=A1081) *
            (IF($B$9="الكل",1, YEAR('ادخال البيانات'!$N$3:$N$1164) = VALUE($B$9))) *
            (IF($B$10="الكل",1, MONTH('ادخال البيانات'!$N$3:$N$1164) = VALUE($B$10))) *
            (IF($B$11="الكل",1, INT((DAY('ادخال البيانات'!$N$3:$N$1164)-1)/7)+1 = VALUE($B$11))),
            'ادخال البيانات'!$C$3:$C$1164
         ),
         ""
      ),
      IF(_xlpm.result="", "", _xlpm.result)
   )
)</f>
        <v/>
      </c>
      <c r="D1081" s="27" t="str" cm="1">
        <f t="array" ref="D1081">IF(
   OR(A1081="", $B$9="", $B$10="", $B$11=""),
   "",
   _xlfn.LET(
      _xlpm.result,
      IFERROR(
         _xlfn.XLOOKUP(
            1,
            (Table8[رقم الصنف]=A1081) *
            (IF($B$9="الكل",1, YEAR('ادخال البيانات'!$N$3:$N$1164)=VALUE($B$9))) *
            (IF($B$10="الكل",1, MONTH('ادخال البيانات'!$N$3:$N$1164)=VALUE($B$10))) *
            (IF($B$11="الكل",1, INT((DAY('ادخال البيانات'!$N$3:$N$1164)-1)/7)+1 = VALUE($B$11))),
            'ادخال البيانات'!$D$3:$D$1164
         ),
         ""
      ),
      IF(_xlpm.result="", "", _xlpm.result)
   )
)</f>
        <v/>
      </c>
      <c r="E1081" s="27" t="str" cm="1">
        <f t="array" ref="E1081">IF(
   A1081="",
   "",
   _xlfn.LET(
      _xlpm.result,
      IFERROR(
         _xlfn.XLOOKUP(
            1,
            (Table8[رقم الصنف]=A1081) *
            (IF($B$9="الكل",1, YEAR('ادخال البيانات'!$N$3:$N$1164)=VALUE($B$9))) *
            (IF($B$10="الكل",1, MONTH('ادخال البيانات'!$N$3:$N$1164)=VALUE($B$10))) *
            (IF($B$11="الكل",1, INT((DAY('ادخال البيانات'!$N$3:$N$1164)-1)/7)+1 = VALUE($B$11))),
            'ادخال البيانات'!$E$3:$E$1164
         ),
         ""
      ),
      IF(_xlpm.result="", "", _xlpm.result)
   )
)</f>
        <v/>
      </c>
      <c r="F1081" s="27" t="str" cm="1">
        <f t="array" ref="F1081">IF(
   A1081="",
   "",
   _xlfn.LET(
      _xlpm.result,
      IFERROR(
         _xlfn.XLOOKUP(
            1,
            (Table8[رقم الصنف]=A1081) *
            (IF($B$9="الكل",1, YEAR('ادخال البيانات'!$N$3:$N$1164) = VALUE($B$9))) *
            (IF($B$10="الكل",1, MONTH('ادخال البيانات'!$N$3:$N$1164) = VALUE($B$10))) *
            (IF($B$11="الكل",1, INT((DAY('ادخال البيانات'!$N$3:$N$1164)-1)/7)+1 = VALUE($B$11))),
            'ادخال البيانات'!$F$3:$F$1164
         ),
         ""
      ),
      IF(_xlpm.result="", "", _xlpm.result)
   )
)</f>
        <v/>
      </c>
      <c r="G1081" s="27" t="str" cm="1">
        <f t="array" ref="G1081">IF(
   A1081="",
   "",
   _xlfn.LET(
      _xlpm.result,
      IFERROR(
         _xlfn.XLOOKUP(
            1,
            (Table8[رقم الصنف]=A1081) *
            (IF($B$9="الكل",1, YEAR('ادخال البيانات'!$N$3:$N$1164)=VALUE($B$9))) *
            (IF($B$10="الكل",1, MONTH('ادخال البيانات'!$N$3:$N$1164)=VALUE($B$10))) *
            (IF($B$11="الكل",1, INT((DAY('ادخال البيانات'!$N$3:$N$1164)-1)/7)+1 = VALUE($B$11))),
            'ادخال البيانات'!$G$3:$G$1164
         ),
         ""
      ),
      IF(_xlpm.result="", "", _xlpm.result)
   )
)</f>
        <v/>
      </c>
      <c r="H1081" s="27" t="str" cm="1">
        <f t="array" ref="H1081">IF(
   A1081="",
   "",
   _xlfn.LET(
      _xlpm.result,
      IFERROR(
         _xlfn.XLOOKUP(
            1,
            (Table8[رقم الصنف]=A1081) *
            (IF($B$9="الكل",1, YEAR('ادخال البيانات'!$N$3:$N$1164)=VALUE($B$9))) *
            (IF($B$10="الكل",1, MONTH('ادخال البيانات'!$N$3:$N$1164)=VALUE($B$10))) *
            (IF($B$11="الكل",1, INT((DAY('ادخال البيانات'!$N$3:$N$1164)-1)/7)+1 = VALUE($B$11))),
            'ادخال البيانات'!$H$3:$H$1164
         ),
         ""
      ),
      IF(_xlpm.result="", "", _xlpm.result)
   )
)</f>
        <v/>
      </c>
      <c r="I1081" s="27" t="str" cm="1">
        <f t="array" ref="I1081">IF(
   A1081="",
   "",
   _xlfn.LET(
      _xlpm.result,
      IFERROR(
         _xlfn.XLOOKUP(
            1,
            (Table8[رقم الصنف]=A1081) *
            (IF($B$9="الكل",1, YEAR('ادخال البيانات'!$N$3:$N$1164)=VALUE($B$9))) *
            (IF($B$10="الكل",1, MONTH('ادخال البيانات'!$N$3:$N$1164)=VALUE($B$10))) *
            (IF($B$11="الكل",1, INT((DAY('ادخال البيانات'!$N$3:$N$1164)-1)/7)+1 = VALUE($B$11))),
            'ادخال البيانات'!$I$3:$I$1164
         ),
         ""
      ),
      IF(_xlpm.result="", "", _xlpm.result)
   )
)</f>
        <v/>
      </c>
      <c r="J1081" s="27" t="str" cm="1">
        <f t="array" ref="J1081">IF(
   A1081="",
   "",
   _xlfn.LET(
      _xlpm.result,
      IFERROR(
         _xlfn.XLOOKUP(
            1,
            (Table8[رقم الصنف]=A1081) *
            (IF($B$9="الكل",1, YEAR('ادخال البيانات'!$N$3:$N$1164)=VALUE($B$9))) *
            (IF($B$10="الكل",1, MONTH('ادخال البيانات'!$N$3:$N$1164)=VALUE($B$10))) *
            (IF($B$11="الكل",1, INT((DAY('ادخال البيانات'!$N$3:$N$1164)-1)/7)+1 = VALUE($B$11))),
            'ادخال البيانات'!$J$3:$J$1164
         ),
         ""
      ),
      IF(_xlpm.result="", "", _xlpm.result)
   )
)</f>
        <v/>
      </c>
      <c r="K1081" s="27" t="str" cm="1">
        <f t="array" ref="K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1" s="27" t="str" cm="1">
        <f t="array" ref="L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1" s="27" t="str" cm="1">
        <f t="array" ref="M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1" s="28" t="str" cm="1">
        <f t="array" ref="N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1" s="28" t="str" cm="1">
        <f t="array" ref="O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1" s="27" t="str" cm="1">
        <f t="array" ref="P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Table8[جهة العطل]
         ),
         ""
      ),
      IF(_xlpm.result="", "", _xlpm.result)
   )
)</f>
        <v/>
      </c>
      <c r="Q1081" s="27" t="str" cm="1">
        <f t="array" ref="Q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Table8[المركز]
         ),
         ""
      ),
      IF(_xlpm.result="", "", _xlpm.result)
   )
)</f>
        <v/>
      </c>
      <c r="R1081" s="27" t="str" cm="1">
        <f t="array" ref="R1081">IF(
   A1081="",
   "",
   _xlfn.LET(
      _xlpm.result,
      IFERROR(
         _xlfn.XLOOKUP(
            1,
            (Table8[رقم الصنف]=A1081) *
            (IF($B$9="الكل",1, YEAR('ادخال البيانات'!$N$3:$N$1164) = VALUE($B$9))) *
            (IF($B$10="الكل",1, MONTH('ادخال البيانات'!$N$3:$N$1164) = VALUE($B$10))) *
            (IF($B$11="الكل",1, INT((DAY('ادخال البيانات'!$N$3:$N$1164) - 1) / 7) + 1 = VALUE($B$11))),
            Table8[ملاحظة]
         ),
         ""
      ),
      IF(_xlpm.result="", "", _xlpm.result)
   )
)</f>
        <v/>
      </c>
      <c r="S1081" s="46" t="str">
        <f t="shared" ca="1" si="17"/>
        <v/>
      </c>
    </row>
    <row r="1082" spans="1:19" ht="15.6" thickTop="1" thickBot="1" x14ac:dyDescent="0.35">
      <c r="A1082" s="39"/>
      <c r="B1082" s="27" t="str" cm="1">
        <f t="array" ref="B1082">IF(
   OR(A1082="", $B$9="", $B$10="", $B$11=""),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2" s="27" t="str" cm="1">
        <f t="array" ref="C1082">IF(
   A1082="",
   "",
   _xlfn.LET(
      _xlpm.result,
      IFERROR(
         _xlfn.XLOOKUP(
            1,
            (Table8[رقم الصنف]=A1082) *
            (IF($B$9="الكل",1, YEAR('ادخال البيانات'!$N$3:$N$1164) = VALUE($B$9))) *
            (IF($B$10="الكل",1, MONTH('ادخال البيانات'!$N$3:$N$1164) = VALUE($B$10))) *
            (IF($B$11="الكل",1, INT((DAY('ادخال البيانات'!$N$3:$N$1164)-1)/7)+1 = VALUE($B$11))),
            'ادخال البيانات'!$C$3:$C$1164
         ),
         ""
      ),
      IF(_xlpm.result="", "", _xlpm.result)
   )
)</f>
        <v/>
      </c>
      <c r="D1082" s="27" t="str" cm="1">
        <f t="array" ref="D1082">IF(
   OR(A1082="", $B$9="", $B$10="", $B$11=""),
   "",
   _xlfn.LET(
      _xlpm.result,
      IFERROR(
         _xlfn.XLOOKUP(
            1,
            (Table8[رقم الصنف]=A1082) *
            (IF($B$9="الكل",1, YEAR('ادخال البيانات'!$N$3:$N$1164)=VALUE($B$9))) *
            (IF($B$10="الكل",1, MONTH('ادخال البيانات'!$N$3:$N$1164)=VALUE($B$10))) *
            (IF($B$11="الكل",1, INT((DAY('ادخال البيانات'!$N$3:$N$1164)-1)/7)+1 = VALUE($B$11))),
            'ادخال البيانات'!$D$3:$D$1164
         ),
         ""
      ),
      IF(_xlpm.result="", "", _xlpm.result)
   )
)</f>
        <v/>
      </c>
      <c r="E1082" s="27" t="str" cm="1">
        <f t="array" ref="E1082">IF(
   A1082="",
   "",
   _xlfn.LET(
      _xlpm.result,
      IFERROR(
         _xlfn.XLOOKUP(
            1,
            (Table8[رقم الصنف]=A1082) *
            (IF($B$9="الكل",1, YEAR('ادخال البيانات'!$N$3:$N$1164)=VALUE($B$9))) *
            (IF($B$10="الكل",1, MONTH('ادخال البيانات'!$N$3:$N$1164)=VALUE($B$10))) *
            (IF($B$11="الكل",1, INT((DAY('ادخال البيانات'!$N$3:$N$1164)-1)/7)+1 = VALUE($B$11))),
            'ادخال البيانات'!$E$3:$E$1164
         ),
         ""
      ),
      IF(_xlpm.result="", "", _xlpm.result)
   )
)</f>
        <v/>
      </c>
      <c r="F1082" s="27" t="str" cm="1">
        <f t="array" ref="F1082">IF(
   A1082="",
   "",
   _xlfn.LET(
      _xlpm.result,
      IFERROR(
         _xlfn.XLOOKUP(
            1,
            (Table8[رقم الصنف]=A1082) *
            (IF($B$9="الكل",1, YEAR('ادخال البيانات'!$N$3:$N$1164) = VALUE($B$9))) *
            (IF($B$10="الكل",1, MONTH('ادخال البيانات'!$N$3:$N$1164) = VALUE($B$10))) *
            (IF($B$11="الكل",1, INT((DAY('ادخال البيانات'!$N$3:$N$1164)-1)/7)+1 = VALUE($B$11))),
            'ادخال البيانات'!$F$3:$F$1164
         ),
         ""
      ),
      IF(_xlpm.result="", "", _xlpm.result)
   )
)</f>
        <v/>
      </c>
      <c r="G1082" s="27" t="str" cm="1">
        <f t="array" ref="G1082">IF(
   A1082="",
   "",
   _xlfn.LET(
      _xlpm.result,
      IFERROR(
         _xlfn.XLOOKUP(
            1,
            (Table8[رقم الصنف]=A1082) *
            (IF($B$9="الكل",1, YEAR('ادخال البيانات'!$N$3:$N$1164)=VALUE($B$9))) *
            (IF($B$10="الكل",1, MONTH('ادخال البيانات'!$N$3:$N$1164)=VALUE($B$10))) *
            (IF($B$11="الكل",1, INT((DAY('ادخال البيانات'!$N$3:$N$1164)-1)/7)+1 = VALUE($B$11))),
            'ادخال البيانات'!$G$3:$G$1164
         ),
         ""
      ),
      IF(_xlpm.result="", "", _xlpm.result)
   )
)</f>
        <v/>
      </c>
      <c r="H1082" s="27" t="str" cm="1">
        <f t="array" ref="H1082">IF(
   A1082="",
   "",
   _xlfn.LET(
      _xlpm.result,
      IFERROR(
         _xlfn.XLOOKUP(
            1,
            (Table8[رقم الصنف]=A1082) *
            (IF($B$9="الكل",1, YEAR('ادخال البيانات'!$N$3:$N$1164)=VALUE($B$9))) *
            (IF($B$10="الكل",1, MONTH('ادخال البيانات'!$N$3:$N$1164)=VALUE($B$10))) *
            (IF($B$11="الكل",1, INT((DAY('ادخال البيانات'!$N$3:$N$1164)-1)/7)+1 = VALUE($B$11))),
            'ادخال البيانات'!$H$3:$H$1164
         ),
         ""
      ),
      IF(_xlpm.result="", "", _xlpm.result)
   )
)</f>
        <v/>
      </c>
      <c r="I1082" s="27" t="str" cm="1">
        <f t="array" ref="I1082">IF(
   A1082="",
   "",
   _xlfn.LET(
      _xlpm.result,
      IFERROR(
         _xlfn.XLOOKUP(
            1,
            (Table8[رقم الصنف]=A1082) *
            (IF($B$9="الكل",1, YEAR('ادخال البيانات'!$N$3:$N$1164)=VALUE($B$9))) *
            (IF($B$10="الكل",1, MONTH('ادخال البيانات'!$N$3:$N$1164)=VALUE($B$10))) *
            (IF($B$11="الكل",1, INT((DAY('ادخال البيانات'!$N$3:$N$1164)-1)/7)+1 = VALUE($B$11))),
            'ادخال البيانات'!$I$3:$I$1164
         ),
         ""
      ),
      IF(_xlpm.result="", "", _xlpm.result)
   )
)</f>
        <v/>
      </c>
      <c r="J1082" s="27" t="str" cm="1">
        <f t="array" ref="J1082">IF(
   A1082="",
   "",
   _xlfn.LET(
      _xlpm.result,
      IFERROR(
         _xlfn.XLOOKUP(
            1,
            (Table8[رقم الصنف]=A1082) *
            (IF($B$9="الكل",1, YEAR('ادخال البيانات'!$N$3:$N$1164)=VALUE($B$9))) *
            (IF($B$10="الكل",1, MONTH('ادخال البيانات'!$N$3:$N$1164)=VALUE($B$10))) *
            (IF($B$11="الكل",1, INT((DAY('ادخال البيانات'!$N$3:$N$1164)-1)/7)+1 = VALUE($B$11))),
            'ادخال البيانات'!$J$3:$J$1164
         ),
         ""
      ),
      IF(_xlpm.result="", "", _xlpm.result)
   )
)</f>
        <v/>
      </c>
      <c r="K1082" s="27" t="str" cm="1">
        <f t="array" ref="K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2" s="27" t="str" cm="1">
        <f t="array" ref="L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2" s="27" t="str" cm="1">
        <f t="array" ref="M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2" s="28" t="str" cm="1">
        <f t="array" ref="N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2" s="28" t="str" cm="1">
        <f t="array" ref="O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2" s="27" t="str" cm="1">
        <f t="array" ref="P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Table8[جهة العطل]
         ),
         ""
      ),
      IF(_xlpm.result="", "", _xlpm.result)
   )
)</f>
        <v/>
      </c>
      <c r="Q1082" s="27" t="str" cm="1">
        <f t="array" ref="Q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Table8[المركز]
         ),
         ""
      ),
      IF(_xlpm.result="", "", _xlpm.result)
   )
)</f>
        <v/>
      </c>
      <c r="R1082" s="27" t="str" cm="1">
        <f t="array" ref="R1082">IF(
   A1082="",
   "",
   _xlfn.LET(
      _xlpm.result,
      IFERROR(
         _xlfn.XLOOKUP(
            1,
            (Table8[رقم الصنف]=A1082) *
            (IF($B$9="الكل",1, YEAR('ادخال البيانات'!$N$3:$N$1164) = VALUE($B$9))) *
            (IF($B$10="الكل",1, MONTH('ادخال البيانات'!$N$3:$N$1164) = VALUE($B$10))) *
            (IF($B$11="الكل",1, INT((DAY('ادخال البيانات'!$N$3:$N$1164) - 1) / 7) + 1 = VALUE($B$11))),
            Table8[ملاحظة]
         ),
         ""
      ),
      IF(_xlpm.result="", "", _xlpm.result)
   )
)</f>
        <v/>
      </c>
      <c r="S1082" s="46" t="str">
        <f t="shared" ca="1" si="17"/>
        <v/>
      </c>
    </row>
    <row r="1083" spans="1:19" ht="15.6" thickTop="1" thickBot="1" x14ac:dyDescent="0.35">
      <c r="A1083" s="39"/>
      <c r="B1083" s="27" t="str" cm="1">
        <f t="array" ref="B1083">IF(
   OR(A1083="", $B$9="", $B$10="", $B$11=""),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3" s="27" t="str" cm="1">
        <f t="array" ref="C1083">IF(
   A1083="",
   "",
   _xlfn.LET(
      _xlpm.result,
      IFERROR(
         _xlfn.XLOOKUP(
            1,
            (Table8[رقم الصنف]=A1083) *
            (IF($B$9="الكل",1, YEAR('ادخال البيانات'!$N$3:$N$1164) = VALUE($B$9))) *
            (IF($B$10="الكل",1, MONTH('ادخال البيانات'!$N$3:$N$1164) = VALUE($B$10))) *
            (IF($B$11="الكل",1, INT((DAY('ادخال البيانات'!$N$3:$N$1164)-1)/7)+1 = VALUE($B$11))),
            'ادخال البيانات'!$C$3:$C$1164
         ),
         ""
      ),
      IF(_xlpm.result="", "", _xlpm.result)
   )
)</f>
        <v/>
      </c>
      <c r="D1083" s="27" t="str" cm="1">
        <f t="array" ref="D1083">IF(
   OR(A1083="", $B$9="", $B$10="", $B$11=""),
   "",
   _xlfn.LET(
      _xlpm.result,
      IFERROR(
         _xlfn.XLOOKUP(
            1,
            (Table8[رقم الصنف]=A1083) *
            (IF($B$9="الكل",1, YEAR('ادخال البيانات'!$N$3:$N$1164)=VALUE($B$9))) *
            (IF($B$10="الكل",1, MONTH('ادخال البيانات'!$N$3:$N$1164)=VALUE($B$10))) *
            (IF($B$11="الكل",1, INT((DAY('ادخال البيانات'!$N$3:$N$1164)-1)/7)+1 = VALUE($B$11))),
            'ادخال البيانات'!$D$3:$D$1164
         ),
         ""
      ),
      IF(_xlpm.result="", "", _xlpm.result)
   )
)</f>
        <v/>
      </c>
      <c r="E1083" s="27" t="str" cm="1">
        <f t="array" ref="E1083">IF(
   A1083="",
   "",
   _xlfn.LET(
      _xlpm.result,
      IFERROR(
         _xlfn.XLOOKUP(
            1,
            (Table8[رقم الصنف]=A1083) *
            (IF($B$9="الكل",1, YEAR('ادخال البيانات'!$N$3:$N$1164)=VALUE($B$9))) *
            (IF($B$10="الكل",1, MONTH('ادخال البيانات'!$N$3:$N$1164)=VALUE($B$10))) *
            (IF($B$11="الكل",1, INT((DAY('ادخال البيانات'!$N$3:$N$1164)-1)/7)+1 = VALUE($B$11))),
            'ادخال البيانات'!$E$3:$E$1164
         ),
         ""
      ),
      IF(_xlpm.result="", "", _xlpm.result)
   )
)</f>
        <v/>
      </c>
      <c r="F1083" s="27" t="str" cm="1">
        <f t="array" ref="F1083">IF(
   A1083="",
   "",
   _xlfn.LET(
      _xlpm.result,
      IFERROR(
         _xlfn.XLOOKUP(
            1,
            (Table8[رقم الصنف]=A1083) *
            (IF($B$9="الكل",1, YEAR('ادخال البيانات'!$N$3:$N$1164) = VALUE($B$9))) *
            (IF($B$10="الكل",1, MONTH('ادخال البيانات'!$N$3:$N$1164) = VALUE($B$10))) *
            (IF($B$11="الكل",1, INT((DAY('ادخال البيانات'!$N$3:$N$1164)-1)/7)+1 = VALUE($B$11))),
            'ادخال البيانات'!$F$3:$F$1164
         ),
         ""
      ),
      IF(_xlpm.result="", "", _xlpm.result)
   )
)</f>
        <v/>
      </c>
      <c r="G1083" s="27" t="str" cm="1">
        <f t="array" ref="G1083">IF(
   A1083="",
   "",
   _xlfn.LET(
      _xlpm.result,
      IFERROR(
         _xlfn.XLOOKUP(
            1,
            (Table8[رقم الصنف]=A1083) *
            (IF($B$9="الكل",1, YEAR('ادخال البيانات'!$N$3:$N$1164)=VALUE($B$9))) *
            (IF($B$10="الكل",1, MONTH('ادخال البيانات'!$N$3:$N$1164)=VALUE($B$10))) *
            (IF($B$11="الكل",1, INT((DAY('ادخال البيانات'!$N$3:$N$1164)-1)/7)+1 = VALUE($B$11))),
            'ادخال البيانات'!$G$3:$G$1164
         ),
         ""
      ),
      IF(_xlpm.result="", "", _xlpm.result)
   )
)</f>
        <v/>
      </c>
      <c r="H1083" s="27" t="str" cm="1">
        <f t="array" ref="H1083">IF(
   A1083="",
   "",
   _xlfn.LET(
      _xlpm.result,
      IFERROR(
         _xlfn.XLOOKUP(
            1,
            (Table8[رقم الصنف]=A1083) *
            (IF($B$9="الكل",1, YEAR('ادخال البيانات'!$N$3:$N$1164)=VALUE($B$9))) *
            (IF($B$10="الكل",1, MONTH('ادخال البيانات'!$N$3:$N$1164)=VALUE($B$10))) *
            (IF($B$11="الكل",1, INT((DAY('ادخال البيانات'!$N$3:$N$1164)-1)/7)+1 = VALUE($B$11))),
            'ادخال البيانات'!$H$3:$H$1164
         ),
         ""
      ),
      IF(_xlpm.result="", "", _xlpm.result)
   )
)</f>
        <v/>
      </c>
      <c r="I1083" s="27" t="str" cm="1">
        <f t="array" ref="I1083">IF(
   A1083="",
   "",
   _xlfn.LET(
      _xlpm.result,
      IFERROR(
         _xlfn.XLOOKUP(
            1,
            (Table8[رقم الصنف]=A1083) *
            (IF($B$9="الكل",1, YEAR('ادخال البيانات'!$N$3:$N$1164)=VALUE($B$9))) *
            (IF($B$10="الكل",1, MONTH('ادخال البيانات'!$N$3:$N$1164)=VALUE($B$10))) *
            (IF($B$11="الكل",1, INT((DAY('ادخال البيانات'!$N$3:$N$1164)-1)/7)+1 = VALUE($B$11))),
            'ادخال البيانات'!$I$3:$I$1164
         ),
         ""
      ),
      IF(_xlpm.result="", "", _xlpm.result)
   )
)</f>
        <v/>
      </c>
      <c r="J1083" s="27" t="str" cm="1">
        <f t="array" ref="J1083">IF(
   A1083="",
   "",
   _xlfn.LET(
      _xlpm.result,
      IFERROR(
         _xlfn.XLOOKUP(
            1,
            (Table8[رقم الصنف]=A1083) *
            (IF($B$9="الكل",1, YEAR('ادخال البيانات'!$N$3:$N$1164)=VALUE($B$9))) *
            (IF($B$10="الكل",1, MONTH('ادخال البيانات'!$N$3:$N$1164)=VALUE($B$10))) *
            (IF($B$11="الكل",1, INT((DAY('ادخال البيانات'!$N$3:$N$1164)-1)/7)+1 = VALUE($B$11))),
            'ادخال البيانات'!$J$3:$J$1164
         ),
         ""
      ),
      IF(_xlpm.result="", "", _xlpm.result)
   )
)</f>
        <v/>
      </c>
      <c r="K1083" s="27" t="str" cm="1">
        <f t="array" ref="K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3" s="27" t="str" cm="1">
        <f t="array" ref="L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3" s="27" t="str" cm="1">
        <f t="array" ref="M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3" s="28" t="str" cm="1">
        <f t="array" ref="N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3" s="28" t="str" cm="1">
        <f t="array" ref="O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3" s="27" t="str" cm="1">
        <f t="array" ref="P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Table8[جهة العطل]
         ),
         ""
      ),
      IF(_xlpm.result="", "", _xlpm.result)
   )
)</f>
        <v/>
      </c>
      <c r="Q1083" s="27" t="str" cm="1">
        <f t="array" ref="Q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Table8[المركز]
         ),
         ""
      ),
      IF(_xlpm.result="", "", _xlpm.result)
   )
)</f>
        <v/>
      </c>
      <c r="R1083" s="27" t="str" cm="1">
        <f t="array" ref="R1083">IF(
   A1083="",
   "",
   _xlfn.LET(
      _xlpm.result,
      IFERROR(
         _xlfn.XLOOKUP(
            1,
            (Table8[رقم الصنف]=A1083) *
            (IF($B$9="الكل",1, YEAR('ادخال البيانات'!$N$3:$N$1164) = VALUE($B$9))) *
            (IF($B$10="الكل",1, MONTH('ادخال البيانات'!$N$3:$N$1164) = VALUE($B$10))) *
            (IF($B$11="الكل",1, INT((DAY('ادخال البيانات'!$N$3:$N$1164) - 1) / 7) + 1 = VALUE($B$11))),
            Table8[ملاحظة]
         ),
         ""
      ),
      IF(_xlpm.result="", "", _xlpm.result)
   )
)</f>
        <v/>
      </c>
      <c r="S1083" s="46" t="str">
        <f t="shared" ca="1" si="17"/>
        <v/>
      </c>
    </row>
    <row r="1084" spans="1:19" ht="15.6" thickTop="1" thickBot="1" x14ac:dyDescent="0.35">
      <c r="A1084" s="39"/>
      <c r="B1084" s="27" t="str" cm="1">
        <f t="array" ref="B1084">IF(
   OR(A1084="", $B$9="", $B$10="", $B$11=""),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4" s="27" t="str" cm="1">
        <f t="array" ref="C1084">IF(
   A1084="",
   "",
   _xlfn.LET(
      _xlpm.result,
      IFERROR(
         _xlfn.XLOOKUP(
            1,
            (Table8[رقم الصنف]=A1084) *
            (IF($B$9="الكل",1, YEAR('ادخال البيانات'!$N$3:$N$1164) = VALUE($B$9))) *
            (IF($B$10="الكل",1, MONTH('ادخال البيانات'!$N$3:$N$1164) = VALUE($B$10))) *
            (IF($B$11="الكل",1, INT((DAY('ادخال البيانات'!$N$3:$N$1164)-1)/7)+1 = VALUE($B$11))),
            'ادخال البيانات'!$C$3:$C$1164
         ),
         ""
      ),
      IF(_xlpm.result="", "", _xlpm.result)
   )
)</f>
        <v/>
      </c>
      <c r="D1084" s="27" t="str" cm="1">
        <f t="array" ref="D1084">IF(
   OR(A1084="", $B$9="", $B$10="", $B$11=""),
   "",
   _xlfn.LET(
      _xlpm.result,
      IFERROR(
         _xlfn.XLOOKUP(
            1,
            (Table8[رقم الصنف]=A1084) *
            (IF($B$9="الكل",1, YEAR('ادخال البيانات'!$N$3:$N$1164)=VALUE($B$9))) *
            (IF($B$10="الكل",1, MONTH('ادخال البيانات'!$N$3:$N$1164)=VALUE($B$10))) *
            (IF($B$11="الكل",1, INT((DAY('ادخال البيانات'!$N$3:$N$1164)-1)/7)+1 = VALUE($B$11))),
            'ادخال البيانات'!$D$3:$D$1164
         ),
         ""
      ),
      IF(_xlpm.result="", "", _xlpm.result)
   )
)</f>
        <v/>
      </c>
      <c r="E1084" s="27" t="str" cm="1">
        <f t="array" ref="E1084">IF(
   A1084="",
   "",
   _xlfn.LET(
      _xlpm.result,
      IFERROR(
         _xlfn.XLOOKUP(
            1,
            (Table8[رقم الصنف]=A1084) *
            (IF($B$9="الكل",1, YEAR('ادخال البيانات'!$N$3:$N$1164)=VALUE($B$9))) *
            (IF($B$10="الكل",1, MONTH('ادخال البيانات'!$N$3:$N$1164)=VALUE($B$10))) *
            (IF($B$11="الكل",1, INT((DAY('ادخال البيانات'!$N$3:$N$1164)-1)/7)+1 = VALUE($B$11))),
            'ادخال البيانات'!$E$3:$E$1164
         ),
         ""
      ),
      IF(_xlpm.result="", "", _xlpm.result)
   )
)</f>
        <v/>
      </c>
      <c r="F1084" s="27" t="str" cm="1">
        <f t="array" ref="F1084">IF(
   A1084="",
   "",
   _xlfn.LET(
      _xlpm.result,
      IFERROR(
         _xlfn.XLOOKUP(
            1,
            (Table8[رقم الصنف]=A1084) *
            (IF($B$9="الكل",1, YEAR('ادخال البيانات'!$N$3:$N$1164) = VALUE($B$9))) *
            (IF($B$10="الكل",1, MONTH('ادخال البيانات'!$N$3:$N$1164) = VALUE($B$10))) *
            (IF($B$11="الكل",1, INT((DAY('ادخال البيانات'!$N$3:$N$1164)-1)/7)+1 = VALUE($B$11))),
            'ادخال البيانات'!$F$3:$F$1164
         ),
         ""
      ),
      IF(_xlpm.result="", "", _xlpm.result)
   )
)</f>
        <v/>
      </c>
      <c r="G1084" s="27" t="str" cm="1">
        <f t="array" ref="G1084">IF(
   A1084="",
   "",
   _xlfn.LET(
      _xlpm.result,
      IFERROR(
         _xlfn.XLOOKUP(
            1,
            (Table8[رقم الصنف]=A1084) *
            (IF($B$9="الكل",1, YEAR('ادخال البيانات'!$N$3:$N$1164)=VALUE($B$9))) *
            (IF($B$10="الكل",1, MONTH('ادخال البيانات'!$N$3:$N$1164)=VALUE($B$10))) *
            (IF($B$11="الكل",1, INT((DAY('ادخال البيانات'!$N$3:$N$1164)-1)/7)+1 = VALUE($B$11))),
            'ادخال البيانات'!$G$3:$G$1164
         ),
         ""
      ),
      IF(_xlpm.result="", "", _xlpm.result)
   )
)</f>
        <v/>
      </c>
      <c r="H1084" s="27" t="str" cm="1">
        <f t="array" ref="H1084">IF(
   A1084="",
   "",
   _xlfn.LET(
      _xlpm.result,
      IFERROR(
         _xlfn.XLOOKUP(
            1,
            (Table8[رقم الصنف]=A1084) *
            (IF($B$9="الكل",1, YEAR('ادخال البيانات'!$N$3:$N$1164)=VALUE($B$9))) *
            (IF($B$10="الكل",1, MONTH('ادخال البيانات'!$N$3:$N$1164)=VALUE($B$10))) *
            (IF($B$11="الكل",1, INT((DAY('ادخال البيانات'!$N$3:$N$1164)-1)/7)+1 = VALUE($B$11))),
            'ادخال البيانات'!$H$3:$H$1164
         ),
         ""
      ),
      IF(_xlpm.result="", "", _xlpm.result)
   )
)</f>
        <v/>
      </c>
      <c r="I1084" s="27" t="str" cm="1">
        <f t="array" ref="I1084">IF(
   A1084="",
   "",
   _xlfn.LET(
      _xlpm.result,
      IFERROR(
         _xlfn.XLOOKUP(
            1,
            (Table8[رقم الصنف]=A1084) *
            (IF($B$9="الكل",1, YEAR('ادخال البيانات'!$N$3:$N$1164)=VALUE($B$9))) *
            (IF($B$10="الكل",1, MONTH('ادخال البيانات'!$N$3:$N$1164)=VALUE($B$10))) *
            (IF($B$11="الكل",1, INT((DAY('ادخال البيانات'!$N$3:$N$1164)-1)/7)+1 = VALUE($B$11))),
            'ادخال البيانات'!$I$3:$I$1164
         ),
         ""
      ),
      IF(_xlpm.result="", "", _xlpm.result)
   )
)</f>
        <v/>
      </c>
      <c r="J1084" s="27" t="str" cm="1">
        <f t="array" ref="J1084">IF(
   A1084="",
   "",
   _xlfn.LET(
      _xlpm.result,
      IFERROR(
         _xlfn.XLOOKUP(
            1,
            (Table8[رقم الصنف]=A1084) *
            (IF($B$9="الكل",1, YEAR('ادخال البيانات'!$N$3:$N$1164)=VALUE($B$9))) *
            (IF($B$10="الكل",1, MONTH('ادخال البيانات'!$N$3:$N$1164)=VALUE($B$10))) *
            (IF($B$11="الكل",1, INT((DAY('ادخال البيانات'!$N$3:$N$1164)-1)/7)+1 = VALUE($B$11))),
            'ادخال البيانات'!$J$3:$J$1164
         ),
         ""
      ),
      IF(_xlpm.result="", "", _xlpm.result)
   )
)</f>
        <v/>
      </c>
      <c r="K1084" s="27" t="str" cm="1">
        <f t="array" ref="K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4" s="27" t="str" cm="1">
        <f t="array" ref="L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4" s="27" t="str" cm="1">
        <f t="array" ref="M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4" s="28" t="str" cm="1">
        <f t="array" ref="N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4" s="28" t="str" cm="1">
        <f t="array" ref="O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4" s="27" t="str" cm="1">
        <f t="array" ref="P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Table8[جهة العطل]
         ),
         ""
      ),
      IF(_xlpm.result="", "", _xlpm.result)
   )
)</f>
        <v/>
      </c>
      <c r="Q1084" s="27" t="str" cm="1">
        <f t="array" ref="Q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Table8[المركز]
         ),
         ""
      ),
      IF(_xlpm.result="", "", _xlpm.result)
   )
)</f>
        <v/>
      </c>
      <c r="R1084" s="27" t="str" cm="1">
        <f t="array" ref="R1084">IF(
   A1084="",
   "",
   _xlfn.LET(
      _xlpm.result,
      IFERROR(
         _xlfn.XLOOKUP(
            1,
            (Table8[رقم الصنف]=A1084) *
            (IF($B$9="الكل",1, YEAR('ادخال البيانات'!$N$3:$N$1164) = VALUE($B$9))) *
            (IF($B$10="الكل",1, MONTH('ادخال البيانات'!$N$3:$N$1164) = VALUE($B$10))) *
            (IF($B$11="الكل",1, INT((DAY('ادخال البيانات'!$N$3:$N$1164) - 1) / 7) + 1 = VALUE($B$11))),
            Table8[ملاحظة]
         ),
         ""
      ),
      IF(_xlpm.result="", "", _xlpm.result)
   )
)</f>
        <v/>
      </c>
      <c r="S1084" s="46" t="str">
        <f t="shared" ca="1" si="17"/>
        <v/>
      </c>
    </row>
    <row r="1085" spans="1:19" ht="15.6" thickTop="1" thickBot="1" x14ac:dyDescent="0.35">
      <c r="A1085" s="39"/>
      <c r="B1085" s="27" t="str" cm="1">
        <f t="array" ref="B1085">IF(
   OR(A1085="", $B$9="", $B$10="", $B$11=""),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5" s="27" t="str" cm="1">
        <f t="array" ref="C1085">IF(
   A1085="",
   "",
   _xlfn.LET(
      _xlpm.result,
      IFERROR(
         _xlfn.XLOOKUP(
            1,
            (Table8[رقم الصنف]=A1085) *
            (IF($B$9="الكل",1, YEAR('ادخال البيانات'!$N$3:$N$1164) = VALUE($B$9))) *
            (IF($B$10="الكل",1, MONTH('ادخال البيانات'!$N$3:$N$1164) = VALUE($B$10))) *
            (IF($B$11="الكل",1, INT((DAY('ادخال البيانات'!$N$3:$N$1164)-1)/7)+1 = VALUE($B$11))),
            'ادخال البيانات'!$C$3:$C$1164
         ),
         ""
      ),
      IF(_xlpm.result="", "", _xlpm.result)
   )
)</f>
        <v/>
      </c>
      <c r="D1085" s="27" t="str" cm="1">
        <f t="array" ref="D1085">IF(
   OR(A1085="", $B$9="", $B$10="", $B$11=""),
   "",
   _xlfn.LET(
      _xlpm.result,
      IFERROR(
         _xlfn.XLOOKUP(
            1,
            (Table8[رقم الصنف]=A1085) *
            (IF($B$9="الكل",1, YEAR('ادخال البيانات'!$N$3:$N$1164)=VALUE($B$9))) *
            (IF($B$10="الكل",1, MONTH('ادخال البيانات'!$N$3:$N$1164)=VALUE($B$10))) *
            (IF($B$11="الكل",1, INT((DAY('ادخال البيانات'!$N$3:$N$1164)-1)/7)+1 = VALUE($B$11))),
            'ادخال البيانات'!$D$3:$D$1164
         ),
         ""
      ),
      IF(_xlpm.result="", "", _xlpm.result)
   )
)</f>
        <v/>
      </c>
      <c r="E1085" s="27" t="str" cm="1">
        <f t="array" ref="E1085">IF(
   A1085="",
   "",
   _xlfn.LET(
      _xlpm.result,
      IFERROR(
         _xlfn.XLOOKUP(
            1,
            (Table8[رقم الصنف]=A1085) *
            (IF($B$9="الكل",1, YEAR('ادخال البيانات'!$N$3:$N$1164)=VALUE($B$9))) *
            (IF($B$10="الكل",1, MONTH('ادخال البيانات'!$N$3:$N$1164)=VALUE($B$10))) *
            (IF($B$11="الكل",1, INT((DAY('ادخال البيانات'!$N$3:$N$1164)-1)/7)+1 = VALUE($B$11))),
            'ادخال البيانات'!$E$3:$E$1164
         ),
         ""
      ),
      IF(_xlpm.result="", "", _xlpm.result)
   )
)</f>
        <v/>
      </c>
      <c r="F1085" s="27" t="str" cm="1">
        <f t="array" ref="F1085">IF(
   A1085="",
   "",
   _xlfn.LET(
      _xlpm.result,
      IFERROR(
         _xlfn.XLOOKUP(
            1,
            (Table8[رقم الصنف]=A1085) *
            (IF($B$9="الكل",1, YEAR('ادخال البيانات'!$N$3:$N$1164) = VALUE($B$9))) *
            (IF($B$10="الكل",1, MONTH('ادخال البيانات'!$N$3:$N$1164) = VALUE($B$10))) *
            (IF($B$11="الكل",1, INT((DAY('ادخال البيانات'!$N$3:$N$1164)-1)/7)+1 = VALUE($B$11))),
            'ادخال البيانات'!$F$3:$F$1164
         ),
         ""
      ),
      IF(_xlpm.result="", "", _xlpm.result)
   )
)</f>
        <v/>
      </c>
      <c r="G1085" s="27" t="str" cm="1">
        <f t="array" ref="G1085">IF(
   A1085="",
   "",
   _xlfn.LET(
      _xlpm.result,
      IFERROR(
         _xlfn.XLOOKUP(
            1,
            (Table8[رقم الصنف]=A1085) *
            (IF($B$9="الكل",1, YEAR('ادخال البيانات'!$N$3:$N$1164)=VALUE($B$9))) *
            (IF($B$10="الكل",1, MONTH('ادخال البيانات'!$N$3:$N$1164)=VALUE($B$10))) *
            (IF($B$11="الكل",1, INT((DAY('ادخال البيانات'!$N$3:$N$1164)-1)/7)+1 = VALUE($B$11))),
            'ادخال البيانات'!$G$3:$G$1164
         ),
         ""
      ),
      IF(_xlpm.result="", "", _xlpm.result)
   )
)</f>
        <v/>
      </c>
      <c r="H1085" s="27" t="str" cm="1">
        <f t="array" ref="H1085">IF(
   A1085="",
   "",
   _xlfn.LET(
      _xlpm.result,
      IFERROR(
         _xlfn.XLOOKUP(
            1,
            (Table8[رقم الصنف]=A1085) *
            (IF($B$9="الكل",1, YEAR('ادخال البيانات'!$N$3:$N$1164)=VALUE($B$9))) *
            (IF($B$10="الكل",1, MONTH('ادخال البيانات'!$N$3:$N$1164)=VALUE($B$10))) *
            (IF($B$11="الكل",1, INT((DAY('ادخال البيانات'!$N$3:$N$1164)-1)/7)+1 = VALUE($B$11))),
            'ادخال البيانات'!$H$3:$H$1164
         ),
         ""
      ),
      IF(_xlpm.result="", "", _xlpm.result)
   )
)</f>
        <v/>
      </c>
      <c r="I1085" s="27" t="str" cm="1">
        <f t="array" ref="I1085">IF(
   A1085="",
   "",
   _xlfn.LET(
      _xlpm.result,
      IFERROR(
         _xlfn.XLOOKUP(
            1,
            (Table8[رقم الصنف]=A1085) *
            (IF($B$9="الكل",1, YEAR('ادخال البيانات'!$N$3:$N$1164)=VALUE($B$9))) *
            (IF($B$10="الكل",1, MONTH('ادخال البيانات'!$N$3:$N$1164)=VALUE($B$10))) *
            (IF($B$11="الكل",1, INT((DAY('ادخال البيانات'!$N$3:$N$1164)-1)/7)+1 = VALUE($B$11))),
            'ادخال البيانات'!$I$3:$I$1164
         ),
         ""
      ),
      IF(_xlpm.result="", "", _xlpm.result)
   )
)</f>
        <v/>
      </c>
      <c r="J1085" s="27" t="str" cm="1">
        <f t="array" ref="J1085">IF(
   A1085="",
   "",
   _xlfn.LET(
      _xlpm.result,
      IFERROR(
         _xlfn.XLOOKUP(
            1,
            (Table8[رقم الصنف]=A1085) *
            (IF($B$9="الكل",1, YEAR('ادخال البيانات'!$N$3:$N$1164)=VALUE($B$9))) *
            (IF($B$10="الكل",1, MONTH('ادخال البيانات'!$N$3:$N$1164)=VALUE($B$10))) *
            (IF($B$11="الكل",1, INT((DAY('ادخال البيانات'!$N$3:$N$1164)-1)/7)+1 = VALUE($B$11))),
            'ادخال البيانات'!$J$3:$J$1164
         ),
         ""
      ),
      IF(_xlpm.result="", "", _xlpm.result)
   )
)</f>
        <v/>
      </c>
      <c r="K1085" s="27" t="str" cm="1">
        <f t="array" ref="K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5" s="27" t="str" cm="1">
        <f t="array" ref="L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5" s="27" t="str" cm="1">
        <f t="array" ref="M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5" s="28" t="str" cm="1">
        <f t="array" ref="N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5" s="28" t="str" cm="1">
        <f t="array" ref="O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5" s="27" t="str" cm="1">
        <f t="array" ref="P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Table8[جهة العطل]
         ),
         ""
      ),
      IF(_xlpm.result="", "", _xlpm.result)
   )
)</f>
        <v/>
      </c>
      <c r="Q1085" s="27" t="str" cm="1">
        <f t="array" ref="Q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Table8[المركز]
         ),
         ""
      ),
      IF(_xlpm.result="", "", _xlpm.result)
   )
)</f>
        <v/>
      </c>
      <c r="R1085" s="27" t="str" cm="1">
        <f t="array" ref="R1085">IF(
   A1085="",
   "",
   _xlfn.LET(
      _xlpm.result,
      IFERROR(
         _xlfn.XLOOKUP(
            1,
            (Table8[رقم الصنف]=A1085) *
            (IF($B$9="الكل",1, YEAR('ادخال البيانات'!$N$3:$N$1164) = VALUE($B$9))) *
            (IF($B$10="الكل",1, MONTH('ادخال البيانات'!$N$3:$N$1164) = VALUE($B$10))) *
            (IF($B$11="الكل",1, INT((DAY('ادخال البيانات'!$N$3:$N$1164) - 1) / 7) + 1 = VALUE($B$11))),
            Table8[ملاحظة]
         ),
         ""
      ),
      IF(_xlpm.result="", "", _xlpm.result)
   )
)</f>
        <v/>
      </c>
      <c r="S1085" s="46" t="str">
        <f t="shared" ca="1" si="17"/>
        <v/>
      </c>
    </row>
    <row r="1086" spans="1:19" ht="15.6" thickTop="1" thickBot="1" x14ac:dyDescent="0.35">
      <c r="A1086" s="39"/>
      <c r="B1086" s="27" t="str" cm="1">
        <f t="array" ref="B1086">IF(
   OR(A1086="", $B$9="", $B$10="", $B$11=""),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6" s="27" t="str" cm="1">
        <f t="array" ref="C1086">IF(
   A1086="",
   "",
   _xlfn.LET(
      _xlpm.result,
      IFERROR(
         _xlfn.XLOOKUP(
            1,
            (Table8[رقم الصنف]=A1086) *
            (IF($B$9="الكل",1, YEAR('ادخال البيانات'!$N$3:$N$1164) = VALUE($B$9))) *
            (IF($B$10="الكل",1, MONTH('ادخال البيانات'!$N$3:$N$1164) = VALUE($B$10))) *
            (IF($B$11="الكل",1, INT((DAY('ادخال البيانات'!$N$3:$N$1164)-1)/7)+1 = VALUE($B$11))),
            'ادخال البيانات'!$C$3:$C$1164
         ),
         ""
      ),
      IF(_xlpm.result="", "", _xlpm.result)
   )
)</f>
        <v/>
      </c>
      <c r="D1086" s="27" t="str" cm="1">
        <f t="array" ref="D1086">IF(
   OR(A1086="", $B$9="", $B$10="", $B$11=""),
   "",
   _xlfn.LET(
      _xlpm.result,
      IFERROR(
         _xlfn.XLOOKUP(
            1,
            (Table8[رقم الصنف]=A1086) *
            (IF($B$9="الكل",1, YEAR('ادخال البيانات'!$N$3:$N$1164)=VALUE($B$9))) *
            (IF($B$10="الكل",1, MONTH('ادخال البيانات'!$N$3:$N$1164)=VALUE($B$10))) *
            (IF($B$11="الكل",1, INT((DAY('ادخال البيانات'!$N$3:$N$1164)-1)/7)+1 = VALUE($B$11))),
            'ادخال البيانات'!$D$3:$D$1164
         ),
         ""
      ),
      IF(_xlpm.result="", "", _xlpm.result)
   )
)</f>
        <v/>
      </c>
      <c r="E1086" s="27" t="str" cm="1">
        <f t="array" ref="E1086">IF(
   A1086="",
   "",
   _xlfn.LET(
      _xlpm.result,
      IFERROR(
         _xlfn.XLOOKUP(
            1,
            (Table8[رقم الصنف]=A1086) *
            (IF($B$9="الكل",1, YEAR('ادخال البيانات'!$N$3:$N$1164)=VALUE($B$9))) *
            (IF($B$10="الكل",1, MONTH('ادخال البيانات'!$N$3:$N$1164)=VALUE($B$10))) *
            (IF($B$11="الكل",1, INT((DAY('ادخال البيانات'!$N$3:$N$1164)-1)/7)+1 = VALUE($B$11))),
            'ادخال البيانات'!$E$3:$E$1164
         ),
         ""
      ),
      IF(_xlpm.result="", "", _xlpm.result)
   )
)</f>
        <v/>
      </c>
      <c r="F1086" s="27" t="str" cm="1">
        <f t="array" ref="F1086">IF(
   A1086="",
   "",
   _xlfn.LET(
      _xlpm.result,
      IFERROR(
         _xlfn.XLOOKUP(
            1,
            (Table8[رقم الصنف]=A1086) *
            (IF($B$9="الكل",1, YEAR('ادخال البيانات'!$N$3:$N$1164) = VALUE($B$9))) *
            (IF($B$10="الكل",1, MONTH('ادخال البيانات'!$N$3:$N$1164) = VALUE($B$10))) *
            (IF($B$11="الكل",1, INT((DAY('ادخال البيانات'!$N$3:$N$1164)-1)/7)+1 = VALUE($B$11))),
            'ادخال البيانات'!$F$3:$F$1164
         ),
         ""
      ),
      IF(_xlpm.result="", "", _xlpm.result)
   )
)</f>
        <v/>
      </c>
      <c r="G1086" s="27" t="str" cm="1">
        <f t="array" ref="G1086">IF(
   A1086="",
   "",
   _xlfn.LET(
      _xlpm.result,
      IFERROR(
         _xlfn.XLOOKUP(
            1,
            (Table8[رقم الصنف]=A1086) *
            (IF($B$9="الكل",1, YEAR('ادخال البيانات'!$N$3:$N$1164)=VALUE($B$9))) *
            (IF($B$10="الكل",1, MONTH('ادخال البيانات'!$N$3:$N$1164)=VALUE($B$10))) *
            (IF($B$11="الكل",1, INT((DAY('ادخال البيانات'!$N$3:$N$1164)-1)/7)+1 = VALUE($B$11))),
            'ادخال البيانات'!$G$3:$G$1164
         ),
         ""
      ),
      IF(_xlpm.result="", "", _xlpm.result)
   )
)</f>
        <v/>
      </c>
      <c r="H1086" s="27" t="str" cm="1">
        <f t="array" ref="H1086">IF(
   A1086="",
   "",
   _xlfn.LET(
      _xlpm.result,
      IFERROR(
         _xlfn.XLOOKUP(
            1,
            (Table8[رقم الصنف]=A1086) *
            (IF($B$9="الكل",1, YEAR('ادخال البيانات'!$N$3:$N$1164)=VALUE($B$9))) *
            (IF($B$10="الكل",1, MONTH('ادخال البيانات'!$N$3:$N$1164)=VALUE($B$10))) *
            (IF($B$11="الكل",1, INT((DAY('ادخال البيانات'!$N$3:$N$1164)-1)/7)+1 = VALUE($B$11))),
            'ادخال البيانات'!$H$3:$H$1164
         ),
         ""
      ),
      IF(_xlpm.result="", "", _xlpm.result)
   )
)</f>
        <v/>
      </c>
      <c r="I1086" s="27" t="str" cm="1">
        <f t="array" ref="I1086">IF(
   A1086="",
   "",
   _xlfn.LET(
      _xlpm.result,
      IFERROR(
         _xlfn.XLOOKUP(
            1,
            (Table8[رقم الصنف]=A1086) *
            (IF($B$9="الكل",1, YEAR('ادخال البيانات'!$N$3:$N$1164)=VALUE($B$9))) *
            (IF($B$10="الكل",1, MONTH('ادخال البيانات'!$N$3:$N$1164)=VALUE($B$10))) *
            (IF($B$11="الكل",1, INT((DAY('ادخال البيانات'!$N$3:$N$1164)-1)/7)+1 = VALUE($B$11))),
            'ادخال البيانات'!$I$3:$I$1164
         ),
         ""
      ),
      IF(_xlpm.result="", "", _xlpm.result)
   )
)</f>
        <v/>
      </c>
      <c r="J1086" s="27" t="str" cm="1">
        <f t="array" ref="J1086">IF(
   A1086="",
   "",
   _xlfn.LET(
      _xlpm.result,
      IFERROR(
         _xlfn.XLOOKUP(
            1,
            (Table8[رقم الصنف]=A1086) *
            (IF($B$9="الكل",1, YEAR('ادخال البيانات'!$N$3:$N$1164)=VALUE($B$9))) *
            (IF($B$10="الكل",1, MONTH('ادخال البيانات'!$N$3:$N$1164)=VALUE($B$10))) *
            (IF($B$11="الكل",1, INT((DAY('ادخال البيانات'!$N$3:$N$1164)-1)/7)+1 = VALUE($B$11))),
            'ادخال البيانات'!$J$3:$J$1164
         ),
         ""
      ),
      IF(_xlpm.result="", "", _xlpm.result)
   )
)</f>
        <v/>
      </c>
      <c r="K1086" s="27" t="str" cm="1">
        <f t="array" ref="K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6" s="27" t="str" cm="1">
        <f t="array" ref="L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6" s="27" t="str" cm="1">
        <f t="array" ref="M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6" s="28" t="str" cm="1">
        <f t="array" ref="N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6" s="28" t="str" cm="1">
        <f t="array" ref="O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6" s="27" t="str" cm="1">
        <f t="array" ref="P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Table8[جهة العطل]
         ),
         ""
      ),
      IF(_xlpm.result="", "", _xlpm.result)
   )
)</f>
        <v/>
      </c>
      <c r="Q1086" s="27" t="str" cm="1">
        <f t="array" ref="Q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Table8[المركز]
         ),
         ""
      ),
      IF(_xlpm.result="", "", _xlpm.result)
   )
)</f>
        <v/>
      </c>
      <c r="R1086" s="27" t="str" cm="1">
        <f t="array" ref="R1086">IF(
   A1086="",
   "",
   _xlfn.LET(
      _xlpm.result,
      IFERROR(
         _xlfn.XLOOKUP(
            1,
            (Table8[رقم الصنف]=A1086) *
            (IF($B$9="الكل",1, YEAR('ادخال البيانات'!$N$3:$N$1164) = VALUE($B$9))) *
            (IF($B$10="الكل",1, MONTH('ادخال البيانات'!$N$3:$N$1164) = VALUE($B$10))) *
            (IF($B$11="الكل",1, INT((DAY('ادخال البيانات'!$N$3:$N$1164) - 1) / 7) + 1 = VALUE($B$11))),
            Table8[ملاحظة]
         ),
         ""
      ),
      IF(_xlpm.result="", "", _xlpm.result)
   )
)</f>
        <v/>
      </c>
      <c r="S1086" s="46" t="str">
        <f t="shared" ca="1" si="17"/>
        <v/>
      </c>
    </row>
    <row r="1087" spans="1:19" ht="15.6" thickTop="1" thickBot="1" x14ac:dyDescent="0.35">
      <c r="A1087" s="39"/>
      <c r="B1087" s="27" t="str" cm="1">
        <f t="array" ref="B1087">IF(
   OR(A1087="", $B$9="", $B$10="", $B$11=""),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7" s="27" t="str" cm="1">
        <f t="array" ref="C1087">IF(
   A1087="",
   "",
   _xlfn.LET(
      _xlpm.result,
      IFERROR(
         _xlfn.XLOOKUP(
            1,
            (Table8[رقم الصنف]=A1087) *
            (IF($B$9="الكل",1, YEAR('ادخال البيانات'!$N$3:$N$1164) = VALUE($B$9))) *
            (IF($B$10="الكل",1, MONTH('ادخال البيانات'!$N$3:$N$1164) = VALUE($B$10))) *
            (IF($B$11="الكل",1, INT((DAY('ادخال البيانات'!$N$3:$N$1164)-1)/7)+1 = VALUE($B$11))),
            'ادخال البيانات'!$C$3:$C$1164
         ),
         ""
      ),
      IF(_xlpm.result="", "", _xlpm.result)
   )
)</f>
        <v/>
      </c>
      <c r="D1087" s="27" t="str" cm="1">
        <f t="array" ref="D1087">IF(
   OR(A1087="", $B$9="", $B$10="", $B$11=""),
   "",
   _xlfn.LET(
      _xlpm.result,
      IFERROR(
         _xlfn.XLOOKUP(
            1,
            (Table8[رقم الصنف]=A1087) *
            (IF($B$9="الكل",1, YEAR('ادخال البيانات'!$N$3:$N$1164)=VALUE($B$9))) *
            (IF($B$10="الكل",1, MONTH('ادخال البيانات'!$N$3:$N$1164)=VALUE($B$10))) *
            (IF($B$11="الكل",1, INT((DAY('ادخال البيانات'!$N$3:$N$1164)-1)/7)+1 = VALUE($B$11))),
            'ادخال البيانات'!$D$3:$D$1164
         ),
         ""
      ),
      IF(_xlpm.result="", "", _xlpm.result)
   )
)</f>
        <v/>
      </c>
      <c r="E1087" s="27" t="str" cm="1">
        <f t="array" ref="E1087">IF(
   A1087="",
   "",
   _xlfn.LET(
      _xlpm.result,
      IFERROR(
         _xlfn.XLOOKUP(
            1,
            (Table8[رقم الصنف]=A1087) *
            (IF($B$9="الكل",1, YEAR('ادخال البيانات'!$N$3:$N$1164)=VALUE($B$9))) *
            (IF($B$10="الكل",1, MONTH('ادخال البيانات'!$N$3:$N$1164)=VALUE($B$10))) *
            (IF($B$11="الكل",1, INT((DAY('ادخال البيانات'!$N$3:$N$1164)-1)/7)+1 = VALUE($B$11))),
            'ادخال البيانات'!$E$3:$E$1164
         ),
         ""
      ),
      IF(_xlpm.result="", "", _xlpm.result)
   )
)</f>
        <v/>
      </c>
      <c r="F1087" s="27" t="str" cm="1">
        <f t="array" ref="F1087">IF(
   A1087="",
   "",
   _xlfn.LET(
      _xlpm.result,
      IFERROR(
         _xlfn.XLOOKUP(
            1,
            (Table8[رقم الصنف]=A1087) *
            (IF($B$9="الكل",1, YEAR('ادخال البيانات'!$N$3:$N$1164) = VALUE($B$9))) *
            (IF($B$10="الكل",1, MONTH('ادخال البيانات'!$N$3:$N$1164) = VALUE($B$10))) *
            (IF($B$11="الكل",1, INT((DAY('ادخال البيانات'!$N$3:$N$1164)-1)/7)+1 = VALUE($B$11))),
            'ادخال البيانات'!$F$3:$F$1164
         ),
         ""
      ),
      IF(_xlpm.result="", "", _xlpm.result)
   )
)</f>
        <v/>
      </c>
      <c r="G1087" s="27" t="str" cm="1">
        <f t="array" ref="G1087">IF(
   A1087="",
   "",
   _xlfn.LET(
      _xlpm.result,
      IFERROR(
         _xlfn.XLOOKUP(
            1,
            (Table8[رقم الصنف]=A1087) *
            (IF($B$9="الكل",1, YEAR('ادخال البيانات'!$N$3:$N$1164)=VALUE($B$9))) *
            (IF($B$10="الكل",1, MONTH('ادخال البيانات'!$N$3:$N$1164)=VALUE($B$10))) *
            (IF($B$11="الكل",1, INT((DAY('ادخال البيانات'!$N$3:$N$1164)-1)/7)+1 = VALUE($B$11))),
            'ادخال البيانات'!$G$3:$G$1164
         ),
         ""
      ),
      IF(_xlpm.result="", "", _xlpm.result)
   )
)</f>
        <v/>
      </c>
      <c r="H1087" s="27" t="str" cm="1">
        <f t="array" ref="H1087">IF(
   A1087="",
   "",
   _xlfn.LET(
      _xlpm.result,
      IFERROR(
         _xlfn.XLOOKUP(
            1,
            (Table8[رقم الصنف]=A1087) *
            (IF($B$9="الكل",1, YEAR('ادخال البيانات'!$N$3:$N$1164)=VALUE($B$9))) *
            (IF($B$10="الكل",1, MONTH('ادخال البيانات'!$N$3:$N$1164)=VALUE($B$10))) *
            (IF($B$11="الكل",1, INT((DAY('ادخال البيانات'!$N$3:$N$1164)-1)/7)+1 = VALUE($B$11))),
            'ادخال البيانات'!$H$3:$H$1164
         ),
         ""
      ),
      IF(_xlpm.result="", "", _xlpm.result)
   )
)</f>
        <v/>
      </c>
      <c r="I1087" s="27" t="str" cm="1">
        <f t="array" ref="I1087">IF(
   A1087="",
   "",
   _xlfn.LET(
      _xlpm.result,
      IFERROR(
         _xlfn.XLOOKUP(
            1,
            (Table8[رقم الصنف]=A1087) *
            (IF($B$9="الكل",1, YEAR('ادخال البيانات'!$N$3:$N$1164)=VALUE($B$9))) *
            (IF($B$10="الكل",1, MONTH('ادخال البيانات'!$N$3:$N$1164)=VALUE($B$10))) *
            (IF($B$11="الكل",1, INT((DAY('ادخال البيانات'!$N$3:$N$1164)-1)/7)+1 = VALUE($B$11))),
            'ادخال البيانات'!$I$3:$I$1164
         ),
         ""
      ),
      IF(_xlpm.result="", "", _xlpm.result)
   )
)</f>
        <v/>
      </c>
      <c r="J1087" s="27" t="str" cm="1">
        <f t="array" ref="J1087">IF(
   A1087="",
   "",
   _xlfn.LET(
      _xlpm.result,
      IFERROR(
         _xlfn.XLOOKUP(
            1,
            (Table8[رقم الصنف]=A1087) *
            (IF($B$9="الكل",1, YEAR('ادخال البيانات'!$N$3:$N$1164)=VALUE($B$9))) *
            (IF($B$10="الكل",1, MONTH('ادخال البيانات'!$N$3:$N$1164)=VALUE($B$10))) *
            (IF($B$11="الكل",1, INT((DAY('ادخال البيانات'!$N$3:$N$1164)-1)/7)+1 = VALUE($B$11))),
            'ادخال البيانات'!$J$3:$J$1164
         ),
         ""
      ),
      IF(_xlpm.result="", "", _xlpm.result)
   )
)</f>
        <v/>
      </c>
      <c r="K1087" s="27" t="str" cm="1">
        <f t="array" ref="K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7" s="27" t="str" cm="1">
        <f t="array" ref="L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7" s="27" t="str" cm="1">
        <f t="array" ref="M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7" s="28" t="str" cm="1">
        <f t="array" ref="N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7" s="28" t="str" cm="1">
        <f t="array" ref="O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7" s="27" t="str" cm="1">
        <f t="array" ref="P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Table8[جهة العطل]
         ),
         ""
      ),
      IF(_xlpm.result="", "", _xlpm.result)
   )
)</f>
        <v/>
      </c>
      <c r="Q1087" s="27" t="str" cm="1">
        <f t="array" ref="Q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Table8[المركز]
         ),
         ""
      ),
      IF(_xlpm.result="", "", _xlpm.result)
   )
)</f>
        <v/>
      </c>
      <c r="R1087" s="27" t="str" cm="1">
        <f t="array" ref="R1087">IF(
   A1087="",
   "",
   _xlfn.LET(
      _xlpm.result,
      IFERROR(
         _xlfn.XLOOKUP(
            1,
            (Table8[رقم الصنف]=A1087) *
            (IF($B$9="الكل",1, YEAR('ادخال البيانات'!$N$3:$N$1164) = VALUE($B$9))) *
            (IF($B$10="الكل",1, MONTH('ادخال البيانات'!$N$3:$N$1164) = VALUE($B$10))) *
            (IF($B$11="الكل",1, INT((DAY('ادخال البيانات'!$N$3:$N$1164) - 1) / 7) + 1 = VALUE($B$11))),
            Table8[ملاحظة]
         ),
         ""
      ),
      IF(_xlpm.result="", "", _xlpm.result)
   )
)</f>
        <v/>
      </c>
      <c r="S1087" s="46" t="str">
        <f t="shared" ca="1" si="17"/>
        <v/>
      </c>
    </row>
    <row r="1088" spans="1:19" ht="15.6" thickTop="1" thickBot="1" x14ac:dyDescent="0.35">
      <c r="A1088" s="39"/>
      <c r="B1088" s="27" t="str" cm="1">
        <f t="array" ref="B1088">IF(
   OR(A1088="", $B$9="", $B$10="", $B$11=""),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8" s="27" t="str" cm="1">
        <f t="array" ref="C1088">IF(
   A1088="",
   "",
   _xlfn.LET(
      _xlpm.result,
      IFERROR(
         _xlfn.XLOOKUP(
            1,
            (Table8[رقم الصنف]=A1088) *
            (IF($B$9="الكل",1, YEAR('ادخال البيانات'!$N$3:$N$1164) = VALUE($B$9))) *
            (IF($B$10="الكل",1, MONTH('ادخال البيانات'!$N$3:$N$1164) = VALUE($B$10))) *
            (IF($B$11="الكل",1, INT((DAY('ادخال البيانات'!$N$3:$N$1164)-1)/7)+1 = VALUE($B$11))),
            'ادخال البيانات'!$C$3:$C$1164
         ),
         ""
      ),
      IF(_xlpm.result="", "", _xlpm.result)
   )
)</f>
        <v/>
      </c>
      <c r="D1088" s="27" t="str" cm="1">
        <f t="array" ref="D1088">IF(
   OR(A1088="", $B$9="", $B$10="", $B$11=""),
   "",
   _xlfn.LET(
      _xlpm.result,
      IFERROR(
         _xlfn.XLOOKUP(
            1,
            (Table8[رقم الصنف]=A1088) *
            (IF($B$9="الكل",1, YEAR('ادخال البيانات'!$N$3:$N$1164)=VALUE($B$9))) *
            (IF($B$10="الكل",1, MONTH('ادخال البيانات'!$N$3:$N$1164)=VALUE($B$10))) *
            (IF($B$11="الكل",1, INT((DAY('ادخال البيانات'!$N$3:$N$1164)-1)/7)+1 = VALUE($B$11))),
            'ادخال البيانات'!$D$3:$D$1164
         ),
         ""
      ),
      IF(_xlpm.result="", "", _xlpm.result)
   )
)</f>
        <v/>
      </c>
      <c r="E1088" s="27" t="str" cm="1">
        <f t="array" ref="E1088">IF(
   A1088="",
   "",
   _xlfn.LET(
      _xlpm.result,
      IFERROR(
         _xlfn.XLOOKUP(
            1,
            (Table8[رقم الصنف]=A1088) *
            (IF($B$9="الكل",1, YEAR('ادخال البيانات'!$N$3:$N$1164)=VALUE($B$9))) *
            (IF($B$10="الكل",1, MONTH('ادخال البيانات'!$N$3:$N$1164)=VALUE($B$10))) *
            (IF($B$11="الكل",1, INT((DAY('ادخال البيانات'!$N$3:$N$1164)-1)/7)+1 = VALUE($B$11))),
            'ادخال البيانات'!$E$3:$E$1164
         ),
         ""
      ),
      IF(_xlpm.result="", "", _xlpm.result)
   )
)</f>
        <v/>
      </c>
      <c r="F1088" s="27" t="str" cm="1">
        <f t="array" ref="F1088">IF(
   A1088="",
   "",
   _xlfn.LET(
      _xlpm.result,
      IFERROR(
         _xlfn.XLOOKUP(
            1,
            (Table8[رقم الصنف]=A1088) *
            (IF($B$9="الكل",1, YEAR('ادخال البيانات'!$N$3:$N$1164) = VALUE($B$9))) *
            (IF($B$10="الكل",1, MONTH('ادخال البيانات'!$N$3:$N$1164) = VALUE($B$10))) *
            (IF($B$11="الكل",1, INT((DAY('ادخال البيانات'!$N$3:$N$1164)-1)/7)+1 = VALUE($B$11))),
            'ادخال البيانات'!$F$3:$F$1164
         ),
         ""
      ),
      IF(_xlpm.result="", "", _xlpm.result)
   )
)</f>
        <v/>
      </c>
      <c r="G1088" s="27" t="str" cm="1">
        <f t="array" ref="G1088">IF(
   A1088="",
   "",
   _xlfn.LET(
      _xlpm.result,
      IFERROR(
         _xlfn.XLOOKUP(
            1,
            (Table8[رقم الصنف]=A1088) *
            (IF($B$9="الكل",1, YEAR('ادخال البيانات'!$N$3:$N$1164)=VALUE($B$9))) *
            (IF($B$10="الكل",1, MONTH('ادخال البيانات'!$N$3:$N$1164)=VALUE($B$10))) *
            (IF($B$11="الكل",1, INT((DAY('ادخال البيانات'!$N$3:$N$1164)-1)/7)+1 = VALUE($B$11))),
            'ادخال البيانات'!$G$3:$G$1164
         ),
         ""
      ),
      IF(_xlpm.result="", "", _xlpm.result)
   )
)</f>
        <v/>
      </c>
      <c r="H1088" s="27" t="str" cm="1">
        <f t="array" ref="H1088">IF(
   A1088="",
   "",
   _xlfn.LET(
      _xlpm.result,
      IFERROR(
         _xlfn.XLOOKUP(
            1,
            (Table8[رقم الصنف]=A1088) *
            (IF($B$9="الكل",1, YEAR('ادخال البيانات'!$N$3:$N$1164)=VALUE($B$9))) *
            (IF($B$10="الكل",1, MONTH('ادخال البيانات'!$N$3:$N$1164)=VALUE($B$10))) *
            (IF($B$11="الكل",1, INT((DAY('ادخال البيانات'!$N$3:$N$1164)-1)/7)+1 = VALUE($B$11))),
            'ادخال البيانات'!$H$3:$H$1164
         ),
         ""
      ),
      IF(_xlpm.result="", "", _xlpm.result)
   )
)</f>
        <v/>
      </c>
      <c r="I1088" s="27" t="str" cm="1">
        <f t="array" ref="I1088">IF(
   A1088="",
   "",
   _xlfn.LET(
      _xlpm.result,
      IFERROR(
         _xlfn.XLOOKUP(
            1,
            (Table8[رقم الصنف]=A1088) *
            (IF($B$9="الكل",1, YEAR('ادخال البيانات'!$N$3:$N$1164)=VALUE($B$9))) *
            (IF($B$10="الكل",1, MONTH('ادخال البيانات'!$N$3:$N$1164)=VALUE($B$10))) *
            (IF($B$11="الكل",1, INT((DAY('ادخال البيانات'!$N$3:$N$1164)-1)/7)+1 = VALUE($B$11))),
            'ادخال البيانات'!$I$3:$I$1164
         ),
         ""
      ),
      IF(_xlpm.result="", "", _xlpm.result)
   )
)</f>
        <v/>
      </c>
      <c r="J1088" s="27" t="str" cm="1">
        <f t="array" ref="J1088">IF(
   A1088="",
   "",
   _xlfn.LET(
      _xlpm.result,
      IFERROR(
         _xlfn.XLOOKUP(
            1,
            (Table8[رقم الصنف]=A1088) *
            (IF($B$9="الكل",1, YEAR('ادخال البيانات'!$N$3:$N$1164)=VALUE($B$9))) *
            (IF($B$10="الكل",1, MONTH('ادخال البيانات'!$N$3:$N$1164)=VALUE($B$10))) *
            (IF($B$11="الكل",1, INT((DAY('ادخال البيانات'!$N$3:$N$1164)-1)/7)+1 = VALUE($B$11))),
            'ادخال البيانات'!$J$3:$J$1164
         ),
         ""
      ),
      IF(_xlpm.result="", "", _xlpm.result)
   )
)</f>
        <v/>
      </c>
      <c r="K1088" s="27" t="str" cm="1">
        <f t="array" ref="K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8" s="27" t="str" cm="1">
        <f t="array" ref="L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8" s="27" t="str" cm="1">
        <f t="array" ref="M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8" s="28" t="str" cm="1">
        <f t="array" ref="N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8" s="28" t="str" cm="1">
        <f t="array" ref="O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8" s="27" t="str" cm="1">
        <f t="array" ref="P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Table8[جهة العطل]
         ),
         ""
      ),
      IF(_xlpm.result="", "", _xlpm.result)
   )
)</f>
        <v/>
      </c>
      <c r="Q1088" s="27" t="str" cm="1">
        <f t="array" ref="Q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Table8[المركز]
         ),
         ""
      ),
      IF(_xlpm.result="", "", _xlpm.result)
   )
)</f>
        <v/>
      </c>
      <c r="R1088" s="27" t="str" cm="1">
        <f t="array" ref="R1088">IF(
   A1088="",
   "",
   _xlfn.LET(
      _xlpm.result,
      IFERROR(
         _xlfn.XLOOKUP(
            1,
            (Table8[رقم الصنف]=A1088) *
            (IF($B$9="الكل",1, YEAR('ادخال البيانات'!$N$3:$N$1164) = VALUE($B$9))) *
            (IF($B$10="الكل",1, MONTH('ادخال البيانات'!$N$3:$N$1164) = VALUE($B$10))) *
            (IF($B$11="الكل",1, INT((DAY('ادخال البيانات'!$N$3:$N$1164) - 1) / 7) + 1 = VALUE($B$11))),
            Table8[ملاحظة]
         ),
         ""
      ),
      IF(_xlpm.result="", "", _xlpm.result)
   )
)</f>
        <v/>
      </c>
      <c r="S1088" s="46" t="str">
        <f t="shared" ca="1" si="17"/>
        <v/>
      </c>
    </row>
    <row r="1089" spans="1:19" ht="15.6" thickTop="1" thickBot="1" x14ac:dyDescent="0.35">
      <c r="A1089" s="39"/>
      <c r="B1089" s="27" t="str" cm="1">
        <f t="array" ref="B1089">IF(
   OR(A1089="", $B$9="", $B$10="", $B$11=""),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89" s="27" t="str" cm="1">
        <f t="array" ref="C1089">IF(
   A1089="",
   "",
   _xlfn.LET(
      _xlpm.result,
      IFERROR(
         _xlfn.XLOOKUP(
            1,
            (Table8[رقم الصنف]=A1089) *
            (IF($B$9="الكل",1, YEAR('ادخال البيانات'!$N$3:$N$1164) = VALUE($B$9))) *
            (IF($B$10="الكل",1, MONTH('ادخال البيانات'!$N$3:$N$1164) = VALUE($B$10))) *
            (IF($B$11="الكل",1, INT((DAY('ادخال البيانات'!$N$3:$N$1164)-1)/7)+1 = VALUE($B$11))),
            'ادخال البيانات'!$C$3:$C$1164
         ),
         ""
      ),
      IF(_xlpm.result="", "", _xlpm.result)
   )
)</f>
        <v/>
      </c>
      <c r="D1089" s="27" t="str" cm="1">
        <f t="array" ref="D1089">IF(
   OR(A1089="", $B$9="", $B$10="", $B$11=""),
   "",
   _xlfn.LET(
      _xlpm.result,
      IFERROR(
         _xlfn.XLOOKUP(
            1,
            (Table8[رقم الصنف]=A1089) *
            (IF($B$9="الكل",1, YEAR('ادخال البيانات'!$N$3:$N$1164)=VALUE($B$9))) *
            (IF($B$10="الكل",1, MONTH('ادخال البيانات'!$N$3:$N$1164)=VALUE($B$10))) *
            (IF($B$11="الكل",1, INT((DAY('ادخال البيانات'!$N$3:$N$1164)-1)/7)+1 = VALUE($B$11))),
            'ادخال البيانات'!$D$3:$D$1164
         ),
         ""
      ),
      IF(_xlpm.result="", "", _xlpm.result)
   )
)</f>
        <v/>
      </c>
      <c r="E1089" s="27" t="str" cm="1">
        <f t="array" ref="E1089">IF(
   A1089="",
   "",
   _xlfn.LET(
      _xlpm.result,
      IFERROR(
         _xlfn.XLOOKUP(
            1,
            (Table8[رقم الصنف]=A1089) *
            (IF($B$9="الكل",1, YEAR('ادخال البيانات'!$N$3:$N$1164)=VALUE($B$9))) *
            (IF($B$10="الكل",1, MONTH('ادخال البيانات'!$N$3:$N$1164)=VALUE($B$10))) *
            (IF($B$11="الكل",1, INT((DAY('ادخال البيانات'!$N$3:$N$1164)-1)/7)+1 = VALUE($B$11))),
            'ادخال البيانات'!$E$3:$E$1164
         ),
         ""
      ),
      IF(_xlpm.result="", "", _xlpm.result)
   )
)</f>
        <v/>
      </c>
      <c r="F1089" s="27" t="str" cm="1">
        <f t="array" ref="F1089">IF(
   A1089="",
   "",
   _xlfn.LET(
      _xlpm.result,
      IFERROR(
         _xlfn.XLOOKUP(
            1,
            (Table8[رقم الصنف]=A1089) *
            (IF($B$9="الكل",1, YEAR('ادخال البيانات'!$N$3:$N$1164) = VALUE($B$9))) *
            (IF($B$10="الكل",1, MONTH('ادخال البيانات'!$N$3:$N$1164) = VALUE($B$10))) *
            (IF($B$11="الكل",1, INT((DAY('ادخال البيانات'!$N$3:$N$1164)-1)/7)+1 = VALUE($B$11))),
            'ادخال البيانات'!$F$3:$F$1164
         ),
         ""
      ),
      IF(_xlpm.result="", "", _xlpm.result)
   )
)</f>
        <v/>
      </c>
      <c r="G1089" s="27" t="str" cm="1">
        <f t="array" ref="G1089">IF(
   A1089="",
   "",
   _xlfn.LET(
      _xlpm.result,
      IFERROR(
         _xlfn.XLOOKUP(
            1,
            (Table8[رقم الصنف]=A1089) *
            (IF($B$9="الكل",1, YEAR('ادخال البيانات'!$N$3:$N$1164)=VALUE($B$9))) *
            (IF($B$10="الكل",1, MONTH('ادخال البيانات'!$N$3:$N$1164)=VALUE($B$10))) *
            (IF($B$11="الكل",1, INT((DAY('ادخال البيانات'!$N$3:$N$1164)-1)/7)+1 = VALUE($B$11))),
            'ادخال البيانات'!$G$3:$G$1164
         ),
         ""
      ),
      IF(_xlpm.result="", "", _xlpm.result)
   )
)</f>
        <v/>
      </c>
      <c r="H1089" s="27" t="str" cm="1">
        <f t="array" ref="H1089">IF(
   A1089="",
   "",
   _xlfn.LET(
      _xlpm.result,
      IFERROR(
         _xlfn.XLOOKUP(
            1,
            (Table8[رقم الصنف]=A1089) *
            (IF($B$9="الكل",1, YEAR('ادخال البيانات'!$N$3:$N$1164)=VALUE($B$9))) *
            (IF($B$10="الكل",1, MONTH('ادخال البيانات'!$N$3:$N$1164)=VALUE($B$10))) *
            (IF($B$11="الكل",1, INT((DAY('ادخال البيانات'!$N$3:$N$1164)-1)/7)+1 = VALUE($B$11))),
            'ادخال البيانات'!$H$3:$H$1164
         ),
         ""
      ),
      IF(_xlpm.result="", "", _xlpm.result)
   )
)</f>
        <v/>
      </c>
      <c r="I1089" s="27" t="str" cm="1">
        <f t="array" ref="I1089">IF(
   A1089="",
   "",
   _xlfn.LET(
      _xlpm.result,
      IFERROR(
         _xlfn.XLOOKUP(
            1,
            (Table8[رقم الصنف]=A1089) *
            (IF($B$9="الكل",1, YEAR('ادخال البيانات'!$N$3:$N$1164)=VALUE($B$9))) *
            (IF($B$10="الكل",1, MONTH('ادخال البيانات'!$N$3:$N$1164)=VALUE($B$10))) *
            (IF($B$11="الكل",1, INT((DAY('ادخال البيانات'!$N$3:$N$1164)-1)/7)+1 = VALUE($B$11))),
            'ادخال البيانات'!$I$3:$I$1164
         ),
         ""
      ),
      IF(_xlpm.result="", "", _xlpm.result)
   )
)</f>
        <v/>
      </c>
      <c r="J1089" s="27" t="str" cm="1">
        <f t="array" ref="J1089">IF(
   A1089="",
   "",
   _xlfn.LET(
      _xlpm.result,
      IFERROR(
         _xlfn.XLOOKUP(
            1,
            (Table8[رقم الصنف]=A1089) *
            (IF($B$9="الكل",1, YEAR('ادخال البيانات'!$N$3:$N$1164)=VALUE($B$9))) *
            (IF($B$10="الكل",1, MONTH('ادخال البيانات'!$N$3:$N$1164)=VALUE($B$10))) *
            (IF($B$11="الكل",1, INT((DAY('ادخال البيانات'!$N$3:$N$1164)-1)/7)+1 = VALUE($B$11))),
            'ادخال البيانات'!$J$3:$J$1164
         ),
         ""
      ),
      IF(_xlpm.result="", "", _xlpm.result)
   )
)</f>
        <v/>
      </c>
      <c r="K1089" s="27" t="str" cm="1">
        <f t="array" ref="K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89" s="27" t="str" cm="1">
        <f t="array" ref="L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89" s="27" t="str" cm="1">
        <f t="array" ref="M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89" s="28" t="str" cm="1">
        <f t="array" ref="N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89" s="28" t="str" cm="1">
        <f t="array" ref="O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89" s="27" t="str" cm="1">
        <f t="array" ref="P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Table8[جهة العطل]
         ),
         ""
      ),
      IF(_xlpm.result="", "", _xlpm.result)
   )
)</f>
        <v/>
      </c>
      <c r="Q1089" s="27" t="str" cm="1">
        <f t="array" ref="Q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Table8[المركز]
         ),
         ""
      ),
      IF(_xlpm.result="", "", _xlpm.result)
   )
)</f>
        <v/>
      </c>
      <c r="R1089" s="27" t="str" cm="1">
        <f t="array" ref="R1089">IF(
   A1089="",
   "",
   _xlfn.LET(
      _xlpm.result,
      IFERROR(
         _xlfn.XLOOKUP(
            1,
            (Table8[رقم الصنف]=A1089) *
            (IF($B$9="الكل",1, YEAR('ادخال البيانات'!$N$3:$N$1164) = VALUE($B$9))) *
            (IF($B$10="الكل",1, MONTH('ادخال البيانات'!$N$3:$N$1164) = VALUE($B$10))) *
            (IF($B$11="الكل",1, INT((DAY('ادخال البيانات'!$N$3:$N$1164) - 1) / 7) + 1 = VALUE($B$11))),
            Table8[ملاحظة]
         ),
         ""
      ),
      IF(_xlpm.result="", "", _xlpm.result)
   )
)</f>
        <v/>
      </c>
      <c r="S1089" s="46" t="str">
        <f t="shared" ca="1" si="17"/>
        <v/>
      </c>
    </row>
    <row r="1090" spans="1:19" ht="15.6" thickTop="1" thickBot="1" x14ac:dyDescent="0.35">
      <c r="A1090" s="39"/>
      <c r="B1090" s="27" t="str" cm="1">
        <f t="array" ref="B1090">IF(
   OR(A1090="", $B$9="", $B$10="", $B$11=""),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0" s="27" t="str" cm="1">
        <f t="array" ref="C1090">IF(
   A1090="",
   "",
   _xlfn.LET(
      _xlpm.result,
      IFERROR(
         _xlfn.XLOOKUP(
            1,
            (Table8[رقم الصنف]=A1090) *
            (IF($B$9="الكل",1, YEAR('ادخال البيانات'!$N$3:$N$1164) = VALUE($B$9))) *
            (IF($B$10="الكل",1, MONTH('ادخال البيانات'!$N$3:$N$1164) = VALUE($B$10))) *
            (IF($B$11="الكل",1, INT((DAY('ادخال البيانات'!$N$3:$N$1164)-1)/7)+1 = VALUE($B$11))),
            'ادخال البيانات'!$C$3:$C$1164
         ),
         ""
      ),
      IF(_xlpm.result="", "", _xlpm.result)
   )
)</f>
        <v/>
      </c>
      <c r="D1090" s="27" t="str" cm="1">
        <f t="array" ref="D1090">IF(
   OR(A1090="", $B$9="", $B$10="", $B$11=""),
   "",
   _xlfn.LET(
      _xlpm.result,
      IFERROR(
         _xlfn.XLOOKUP(
            1,
            (Table8[رقم الصنف]=A1090) *
            (IF($B$9="الكل",1, YEAR('ادخال البيانات'!$N$3:$N$1164)=VALUE($B$9))) *
            (IF($B$10="الكل",1, MONTH('ادخال البيانات'!$N$3:$N$1164)=VALUE($B$10))) *
            (IF($B$11="الكل",1, INT((DAY('ادخال البيانات'!$N$3:$N$1164)-1)/7)+1 = VALUE($B$11))),
            'ادخال البيانات'!$D$3:$D$1164
         ),
         ""
      ),
      IF(_xlpm.result="", "", _xlpm.result)
   )
)</f>
        <v/>
      </c>
      <c r="E1090" s="27" t="str" cm="1">
        <f t="array" ref="E1090">IF(
   A1090="",
   "",
   _xlfn.LET(
      _xlpm.result,
      IFERROR(
         _xlfn.XLOOKUP(
            1,
            (Table8[رقم الصنف]=A1090) *
            (IF($B$9="الكل",1, YEAR('ادخال البيانات'!$N$3:$N$1164)=VALUE($B$9))) *
            (IF($B$10="الكل",1, MONTH('ادخال البيانات'!$N$3:$N$1164)=VALUE($B$10))) *
            (IF($B$11="الكل",1, INT((DAY('ادخال البيانات'!$N$3:$N$1164)-1)/7)+1 = VALUE($B$11))),
            'ادخال البيانات'!$E$3:$E$1164
         ),
         ""
      ),
      IF(_xlpm.result="", "", _xlpm.result)
   )
)</f>
        <v/>
      </c>
      <c r="F1090" s="27" t="str" cm="1">
        <f t="array" ref="F1090">IF(
   A1090="",
   "",
   _xlfn.LET(
      _xlpm.result,
      IFERROR(
         _xlfn.XLOOKUP(
            1,
            (Table8[رقم الصنف]=A1090) *
            (IF($B$9="الكل",1, YEAR('ادخال البيانات'!$N$3:$N$1164) = VALUE($B$9))) *
            (IF($B$10="الكل",1, MONTH('ادخال البيانات'!$N$3:$N$1164) = VALUE($B$10))) *
            (IF($B$11="الكل",1, INT((DAY('ادخال البيانات'!$N$3:$N$1164)-1)/7)+1 = VALUE($B$11))),
            'ادخال البيانات'!$F$3:$F$1164
         ),
         ""
      ),
      IF(_xlpm.result="", "", _xlpm.result)
   )
)</f>
        <v/>
      </c>
      <c r="G1090" s="27" t="str" cm="1">
        <f t="array" ref="G1090">IF(
   A1090="",
   "",
   _xlfn.LET(
      _xlpm.result,
      IFERROR(
         _xlfn.XLOOKUP(
            1,
            (Table8[رقم الصنف]=A1090) *
            (IF($B$9="الكل",1, YEAR('ادخال البيانات'!$N$3:$N$1164)=VALUE($B$9))) *
            (IF($B$10="الكل",1, MONTH('ادخال البيانات'!$N$3:$N$1164)=VALUE($B$10))) *
            (IF($B$11="الكل",1, INT((DAY('ادخال البيانات'!$N$3:$N$1164)-1)/7)+1 = VALUE($B$11))),
            'ادخال البيانات'!$G$3:$G$1164
         ),
         ""
      ),
      IF(_xlpm.result="", "", _xlpm.result)
   )
)</f>
        <v/>
      </c>
      <c r="H1090" s="27" t="str" cm="1">
        <f t="array" ref="H1090">IF(
   A1090="",
   "",
   _xlfn.LET(
      _xlpm.result,
      IFERROR(
         _xlfn.XLOOKUP(
            1,
            (Table8[رقم الصنف]=A1090) *
            (IF($B$9="الكل",1, YEAR('ادخال البيانات'!$N$3:$N$1164)=VALUE($B$9))) *
            (IF($B$10="الكل",1, MONTH('ادخال البيانات'!$N$3:$N$1164)=VALUE($B$10))) *
            (IF($B$11="الكل",1, INT((DAY('ادخال البيانات'!$N$3:$N$1164)-1)/7)+1 = VALUE($B$11))),
            'ادخال البيانات'!$H$3:$H$1164
         ),
         ""
      ),
      IF(_xlpm.result="", "", _xlpm.result)
   )
)</f>
        <v/>
      </c>
      <c r="I1090" s="27" t="str" cm="1">
        <f t="array" ref="I1090">IF(
   A1090="",
   "",
   _xlfn.LET(
      _xlpm.result,
      IFERROR(
         _xlfn.XLOOKUP(
            1,
            (Table8[رقم الصنف]=A1090) *
            (IF($B$9="الكل",1, YEAR('ادخال البيانات'!$N$3:$N$1164)=VALUE($B$9))) *
            (IF($B$10="الكل",1, MONTH('ادخال البيانات'!$N$3:$N$1164)=VALUE($B$10))) *
            (IF($B$11="الكل",1, INT((DAY('ادخال البيانات'!$N$3:$N$1164)-1)/7)+1 = VALUE($B$11))),
            'ادخال البيانات'!$I$3:$I$1164
         ),
         ""
      ),
      IF(_xlpm.result="", "", _xlpm.result)
   )
)</f>
        <v/>
      </c>
      <c r="J1090" s="27" t="str" cm="1">
        <f t="array" ref="J1090">IF(
   A1090="",
   "",
   _xlfn.LET(
      _xlpm.result,
      IFERROR(
         _xlfn.XLOOKUP(
            1,
            (Table8[رقم الصنف]=A1090) *
            (IF($B$9="الكل",1, YEAR('ادخال البيانات'!$N$3:$N$1164)=VALUE($B$9))) *
            (IF($B$10="الكل",1, MONTH('ادخال البيانات'!$N$3:$N$1164)=VALUE($B$10))) *
            (IF($B$11="الكل",1, INT((DAY('ادخال البيانات'!$N$3:$N$1164)-1)/7)+1 = VALUE($B$11))),
            'ادخال البيانات'!$J$3:$J$1164
         ),
         ""
      ),
      IF(_xlpm.result="", "", _xlpm.result)
   )
)</f>
        <v/>
      </c>
      <c r="K1090" s="27" t="str" cm="1">
        <f t="array" ref="K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0" s="27" t="str" cm="1">
        <f t="array" ref="L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0" s="27" t="str" cm="1">
        <f t="array" ref="M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0" s="28" t="str" cm="1">
        <f t="array" ref="N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0" s="28" t="str" cm="1">
        <f t="array" ref="O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0" s="27" t="str" cm="1">
        <f t="array" ref="P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Table8[جهة العطل]
         ),
         ""
      ),
      IF(_xlpm.result="", "", _xlpm.result)
   )
)</f>
        <v/>
      </c>
      <c r="Q1090" s="27" t="str" cm="1">
        <f t="array" ref="Q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Table8[المركز]
         ),
         ""
      ),
      IF(_xlpm.result="", "", _xlpm.result)
   )
)</f>
        <v/>
      </c>
      <c r="R1090" s="27" t="str" cm="1">
        <f t="array" ref="R1090">IF(
   A1090="",
   "",
   _xlfn.LET(
      _xlpm.result,
      IFERROR(
         _xlfn.XLOOKUP(
            1,
            (Table8[رقم الصنف]=A1090) *
            (IF($B$9="الكل",1, YEAR('ادخال البيانات'!$N$3:$N$1164) = VALUE($B$9))) *
            (IF($B$10="الكل",1, MONTH('ادخال البيانات'!$N$3:$N$1164) = VALUE($B$10))) *
            (IF($B$11="الكل",1, INT((DAY('ادخال البيانات'!$N$3:$N$1164) - 1) / 7) + 1 = VALUE($B$11))),
            Table8[ملاحظة]
         ),
         ""
      ),
      IF(_xlpm.result="", "", _xlpm.result)
   )
)</f>
        <v/>
      </c>
      <c r="S1090" s="46" t="str">
        <f t="shared" ca="1" si="17"/>
        <v/>
      </c>
    </row>
    <row r="1091" spans="1:19" ht="15.6" thickTop="1" thickBot="1" x14ac:dyDescent="0.35">
      <c r="A1091" s="39"/>
      <c r="B1091" s="27" t="str" cm="1">
        <f t="array" ref="B1091">IF(
   OR(A1091="", $B$9="", $B$10="", $B$11=""),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1" s="27" t="str" cm="1">
        <f t="array" ref="C1091">IF(
   A1091="",
   "",
   _xlfn.LET(
      _xlpm.result,
      IFERROR(
         _xlfn.XLOOKUP(
            1,
            (Table8[رقم الصنف]=A1091) *
            (IF($B$9="الكل",1, YEAR('ادخال البيانات'!$N$3:$N$1164) = VALUE($B$9))) *
            (IF($B$10="الكل",1, MONTH('ادخال البيانات'!$N$3:$N$1164) = VALUE($B$10))) *
            (IF($B$11="الكل",1, INT((DAY('ادخال البيانات'!$N$3:$N$1164)-1)/7)+1 = VALUE($B$11))),
            'ادخال البيانات'!$C$3:$C$1164
         ),
         ""
      ),
      IF(_xlpm.result="", "", _xlpm.result)
   )
)</f>
        <v/>
      </c>
      <c r="D1091" s="27" t="str" cm="1">
        <f t="array" ref="D1091">IF(
   OR(A1091="", $B$9="", $B$10="", $B$11=""),
   "",
   _xlfn.LET(
      _xlpm.result,
      IFERROR(
         _xlfn.XLOOKUP(
            1,
            (Table8[رقم الصنف]=A1091) *
            (IF($B$9="الكل",1, YEAR('ادخال البيانات'!$N$3:$N$1164)=VALUE($B$9))) *
            (IF($B$10="الكل",1, MONTH('ادخال البيانات'!$N$3:$N$1164)=VALUE($B$10))) *
            (IF($B$11="الكل",1, INT((DAY('ادخال البيانات'!$N$3:$N$1164)-1)/7)+1 = VALUE($B$11))),
            'ادخال البيانات'!$D$3:$D$1164
         ),
         ""
      ),
      IF(_xlpm.result="", "", _xlpm.result)
   )
)</f>
        <v/>
      </c>
      <c r="E1091" s="27" t="str" cm="1">
        <f t="array" ref="E1091">IF(
   A1091="",
   "",
   _xlfn.LET(
      _xlpm.result,
      IFERROR(
         _xlfn.XLOOKUP(
            1,
            (Table8[رقم الصنف]=A1091) *
            (IF($B$9="الكل",1, YEAR('ادخال البيانات'!$N$3:$N$1164)=VALUE($B$9))) *
            (IF($B$10="الكل",1, MONTH('ادخال البيانات'!$N$3:$N$1164)=VALUE($B$10))) *
            (IF($B$11="الكل",1, INT((DAY('ادخال البيانات'!$N$3:$N$1164)-1)/7)+1 = VALUE($B$11))),
            'ادخال البيانات'!$E$3:$E$1164
         ),
         ""
      ),
      IF(_xlpm.result="", "", _xlpm.result)
   )
)</f>
        <v/>
      </c>
      <c r="F1091" s="27" t="str" cm="1">
        <f t="array" ref="F1091">IF(
   A1091="",
   "",
   _xlfn.LET(
      _xlpm.result,
      IFERROR(
         _xlfn.XLOOKUP(
            1,
            (Table8[رقم الصنف]=A1091) *
            (IF($B$9="الكل",1, YEAR('ادخال البيانات'!$N$3:$N$1164) = VALUE($B$9))) *
            (IF($B$10="الكل",1, MONTH('ادخال البيانات'!$N$3:$N$1164) = VALUE($B$10))) *
            (IF($B$11="الكل",1, INT((DAY('ادخال البيانات'!$N$3:$N$1164)-1)/7)+1 = VALUE($B$11))),
            'ادخال البيانات'!$F$3:$F$1164
         ),
         ""
      ),
      IF(_xlpm.result="", "", _xlpm.result)
   )
)</f>
        <v/>
      </c>
      <c r="G1091" s="27" t="str" cm="1">
        <f t="array" ref="G1091">IF(
   A1091="",
   "",
   _xlfn.LET(
      _xlpm.result,
      IFERROR(
         _xlfn.XLOOKUP(
            1,
            (Table8[رقم الصنف]=A1091) *
            (IF($B$9="الكل",1, YEAR('ادخال البيانات'!$N$3:$N$1164)=VALUE($B$9))) *
            (IF($B$10="الكل",1, MONTH('ادخال البيانات'!$N$3:$N$1164)=VALUE($B$10))) *
            (IF($B$11="الكل",1, INT((DAY('ادخال البيانات'!$N$3:$N$1164)-1)/7)+1 = VALUE($B$11))),
            'ادخال البيانات'!$G$3:$G$1164
         ),
         ""
      ),
      IF(_xlpm.result="", "", _xlpm.result)
   )
)</f>
        <v/>
      </c>
      <c r="H1091" s="27" t="str" cm="1">
        <f t="array" ref="H1091">IF(
   A1091="",
   "",
   _xlfn.LET(
      _xlpm.result,
      IFERROR(
         _xlfn.XLOOKUP(
            1,
            (Table8[رقم الصنف]=A1091) *
            (IF($B$9="الكل",1, YEAR('ادخال البيانات'!$N$3:$N$1164)=VALUE($B$9))) *
            (IF($B$10="الكل",1, MONTH('ادخال البيانات'!$N$3:$N$1164)=VALUE($B$10))) *
            (IF($B$11="الكل",1, INT((DAY('ادخال البيانات'!$N$3:$N$1164)-1)/7)+1 = VALUE($B$11))),
            'ادخال البيانات'!$H$3:$H$1164
         ),
         ""
      ),
      IF(_xlpm.result="", "", _xlpm.result)
   )
)</f>
        <v/>
      </c>
      <c r="I1091" s="27" t="str" cm="1">
        <f t="array" ref="I1091">IF(
   A1091="",
   "",
   _xlfn.LET(
      _xlpm.result,
      IFERROR(
         _xlfn.XLOOKUP(
            1,
            (Table8[رقم الصنف]=A1091) *
            (IF($B$9="الكل",1, YEAR('ادخال البيانات'!$N$3:$N$1164)=VALUE($B$9))) *
            (IF($B$10="الكل",1, MONTH('ادخال البيانات'!$N$3:$N$1164)=VALUE($B$10))) *
            (IF($B$11="الكل",1, INT((DAY('ادخال البيانات'!$N$3:$N$1164)-1)/7)+1 = VALUE($B$11))),
            'ادخال البيانات'!$I$3:$I$1164
         ),
         ""
      ),
      IF(_xlpm.result="", "", _xlpm.result)
   )
)</f>
        <v/>
      </c>
      <c r="J1091" s="27" t="str" cm="1">
        <f t="array" ref="J1091">IF(
   A1091="",
   "",
   _xlfn.LET(
      _xlpm.result,
      IFERROR(
         _xlfn.XLOOKUP(
            1,
            (Table8[رقم الصنف]=A1091) *
            (IF($B$9="الكل",1, YEAR('ادخال البيانات'!$N$3:$N$1164)=VALUE($B$9))) *
            (IF($B$10="الكل",1, MONTH('ادخال البيانات'!$N$3:$N$1164)=VALUE($B$10))) *
            (IF($B$11="الكل",1, INT((DAY('ادخال البيانات'!$N$3:$N$1164)-1)/7)+1 = VALUE($B$11))),
            'ادخال البيانات'!$J$3:$J$1164
         ),
         ""
      ),
      IF(_xlpm.result="", "", _xlpm.result)
   )
)</f>
        <v/>
      </c>
      <c r="K1091" s="27" t="str" cm="1">
        <f t="array" ref="K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1" s="27" t="str" cm="1">
        <f t="array" ref="L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1" s="27" t="str" cm="1">
        <f t="array" ref="M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1" s="28" t="str" cm="1">
        <f t="array" ref="N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1" s="28" t="str" cm="1">
        <f t="array" ref="O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1" s="27" t="str" cm="1">
        <f t="array" ref="P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Table8[جهة العطل]
         ),
         ""
      ),
      IF(_xlpm.result="", "", _xlpm.result)
   )
)</f>
        <v/>
      </c>
      <c r="Q1091" s="27" t="str" cm="1">
        <f t="array" ref="Q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Table8[المركز]
         ),
         ""
      ),
      IF(_xlpm.result="", "", _xlpm.result)
   )
)</f>
        <v/>
      </c>
      <c r="R1091" s="27" t="str" cm="1">
        <f t="array" ref="R1091">IF(
   A1091="",
   "",
   _xlfn.LET(
      _xlpm.result,
      IFERROR(
         _xlfn.XLOOKUP(
            1,
            (Table8[رقم الصنف]=A1091) *
            (IF($B$9="الكل",1, YEAR('ادخال البيانات'!$N$3:$N$1164) = VALUE($B$9))) *
            (IF($B$10="الكل",1, MONTH('ادخال البيانات'!$N$3:$N$1164) = VALUE($B$10))) *
            (IF($B$11="الكل",1, INT((DAY('ادخال البيانات'!$N$3:$N$1164) - 1) / 7) + 1 = VALUE($B$11))),
            Table8[ملاحظة]
         ),
         ""
      ),
      IF(_xlpm.result="", "", _xlpm.result)
   )
)</f>
        <v/>
      </c>
      <c r="S1091" s="46" t="str">
        <f t="shared" ca="1" si="17"/>
        <v/>
      </c>
    </row>
    <row r="1092" spans="1:19" ht="15.6" thickTop="1" thickBot="1" x14ac:dyDescent="0.35">
      <c r="A1092" s="39"/>
      <c r="B1092" s="27" t="str" cm="1">
        <f t="array" ref="B1092">IF(
   OR(A1092="", $B$9="", $B$10="", $B$11=""),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2" s="27" t="str" cm="1">
        <f t="array" ref="C1092">IF(
   A1092="",
   "",
   _xlfn.LET(
      _xlpm.result,
      IFERROR(
         _xlfn.XLOOKUP(
            1,
            (Table8[رقم الصنف]=A1092) *
            (IF($B$9="الكل",1, YEAR('ادخال البيانات'!$N$3:$N$1164) = VALUE($B$9))) *
            (IF($B$10="الكل",1, MONTH('ادخال البيانات'!$N$3:$N$1164) = VALUE($B$10))) *
            (IF($B$11="الكل",1, INT((DAY('ادخال البيانات'!$N$3:$N$1164)-1)/7)+1 = VALUE($B$11))),
            'ادخال البيانات'!$C$3:$C$1164
         ),
         ""
      ),
      IF(_xlpm.result="", "", _xlpm.result)
   )
)</f>
        <v/>
      </c>
      <c r="D1092" s="27" t="str" cm="1">
        <f t="array" ref="D1092">IF(
   OR(A1092="", $B$9="", $B$10="", $B$11=""),
   "",
   _xlfn.LET(
      _xlpm.result,
      IFERROR(
         _xlfn.XLOOKUP(
            1,
            (Table8[رقم الصنف]=A1092) *
            (IF($B$9="الكل",1, YEAR('ادخال البيانات'!$N$3:$N$1164)=VALUE($B$9))) *
            (IF($B$10="الكل",1, MONTH('ادخال البيانات'!$N$3:$N$1164)=VALUE($B$10))) *
            (IF($B$11="الكل",1, INT((DAY('ادخال البيانات'!$N$3:$N$1164)-1)/7)+1 = VALUE($B$11))),
            'ادخال البيانات'!$D$3:$D$1164
         ),
         ""
      ),
      IF(_xlpm.result="", "", _xlpm.result)
   )
)</f>
        <v/>
      </c>
      <c r="E1092" s="27" t="str" cm="1">
        <f t="array" ref="E1092">IF(
   A1092="",
   "",
   _xlfn.LET(
      _xlpm.result,
      IFERROR(
         _xlfn.XLOOKUP(
            1,
            (Table8[رقم الصنف]=A1092) *
            (IF($B$9="الكل",1, YEAR('ادخال البيانات'!$N$3:$N$1164)=VALUE($B$9))) *
            (IF($B$10="الكل",1, MONTH('ادخال البيانات'!$N$3:$N$1164)=VALUE($B$10))) *
            (IF($B$11="الكل",1, INT((DAY('ادخال البيانات'!$N$3:$N$1164)-1)/7)+1 = VALUE($B$11))),
            'ادخال البيانات'!$E$3:$E$1164
         ),
         ""
      ),
      IF(_xlpm.result="", "", _xlpm.result)
   )
)</f>
        <v/>
      </c>
      <c r="F1092" s="27" t="str" cm="1">
        <f t="array" ref="F1092">IF(
   A1092="",
   "",
   _xlfn.LET(
      _xlpm.result,
      IFERROR(
         _xlfn.XLOOKUP(
            1,
            (Table8[رقم الصنف]=A1092) *
            (IF($B$9="الكل",1, YEAR('ادخال البيانات'!$N$3:$N$1164) = VALUE($B$9))) *
            (IF($B$10="الكل",1, MONTH('ادخال البيانات'!$N$3:$N$1164) = VALUE($B$10))) *
            (IF($B$11="الكل",1, INT((DAY('ادخال البيانات'!$N$3:$N$1164)-1)/7)+1 = VALUE($B$11))),
            'ادخال البيانات'!$F$3:$F$1164
         ),
         ""
      ),
      IF(_xlpm.result="", "", _xlpm.result)
   )
)</f>
        <v/>
      </c>
      <c r="G1092" s="27" t="str" cm="1">
        <f t="array" ref="G1092">IF(
   A1092="",
   "",
   _xlfn.LET(
      _xlpm.result,
      IFERROR(
         _xlfn.XLOOKUP(
            1,
            (Table8[رقم الصنف]=A1092) *
            (IF($B$9="الكل",1, YEAR('ادخال البيانات'!$N$3:$N$1164)=VALUE($B$9))) *
            (IF($B$10="الكل",1, MONTH('ادخال البيانات'!$N$3:$N$1164)=VALUE($B$10))) *
            (IF($B$11="الكل",1, INT((DAY('ادخال البيانات'!$N$3:$N$1164)-1)/7)+1 = VALUE($B$11))),
            'ادخال البيانات'!$G$3:$G$1164
         ),
         ""
      ),
      IF(_xlpm.result="", "", _xlpm.result)
   )
)</f>
        <v/>
      </c>
      <c r="H1092" s="27" t="str" cm="1">
        <f t="array" ref="H1092">IF(
   A1092="",
   "",
   _xlfn.LET(
      _xlpm.result,
      IFERROR(
         _xlfn.XLOOKUP(
            1,
            (Table8[رقم الصنف]=A1092) *
            (IF($B$9="الكل",1, YEAR('ادخال البيانات'!$N$3:$N$1164)=VALUE($B$9))) *
            (IF($B$10="الكل",1, MONTH('ادخال البيانات'!$N$3:$N$1164)=VALUE($B$10))) *
            (IF($B$11="الكل",1, INT((DAY('ادخال البيانات'!$N$3:$N$1164)-1)/7)+1 = VALUE($B$11))),
            'ادخال البيانات'!$H$3:$H$1164
         ),
         ""
      ),
      IF(_xlpm.result="", "", _xlpm.result)
   )
)</f>
        <v/>
      </c>
      <c r="I1092" s="27" t="str" cm="1">
        <f t="array" ref="I1092">IF(
   A1092="",
   "",
   _xlfn.LET(
      _xlpm.result,
      IFERROR(
         _xlfn.XLOOKUP(
            1,
            (Table8[رقم الصنف]=A1092) *
            (IF($B$9="الكل",1, YEAR('ادخال البيانات'!$N$3:$N$1164)=VALUE($B$9))) *
            (IF($B$10="الكل",1, MONTH('ادخال البيانات'!$N$3:$N$1164)=VALUE($B$10))) *
            (IF($B$11="الكل",1, INT((DAY('ادخال البيانات'!$N$3:$N$1164)-1)/7)+1 = VALUE($B$11))),
            'ادخال البيانات'!$I$3:$I$1164
         ),
         ""
      ),
      IF(_xlpm.result="", "", _xlpm.result)
   )
)</f>
        <v/>
      </c>
      <c r="J1092" s="27" t="str" cm="1">
        <f t="array" ref="J1092">IF(
   A1092="",
   "",
   _xlfn.LET(
      _xlpm.result,
      IFERROR(
         _xlfn.XLOOKUP(
            1,
            (Table8[رقم الصنف]=A1092) *
            (IF($B$9="الكل",1, YEAR('ادخال البيانات'!$N$3:$N$1164)=VALUE($B$9))) *
            (IF($B$10="الكل",1, MONTH('ادخال البيانات'!$N$3:$N$1164)=VALUE($B$10))) *
            (IF($B$11="الكل",1, INT((DAY('ادخال البيانات'!$N$3:$N$1164)-1)/7)+1 = VALUE($B$11))),
            'ادخال البيانات'!$J$3:$J$1164
         ),
         ""
      ),
      IF(_xlpm.result="", "", _xlpm.result)
   )
)</f>
        <v/>
      </c>
      <c r="K1092" s="27" t="str" cm="1">
        <f t="array" ref="K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2" s="27" t="str" cm="1">
        <f t="array" ref="L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2" s="27" t="str" cm="1">
        <f t="array" ref="M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2" s="28" t="str" cm="1">
        <f t="array" ref="N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2" s="28" t="str" cm="1">
        <f t="array" ref="O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2" s="27" t="str" cm="1">
        <f t="array" ref="P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Table8[جهة العطل]
         ),
         ""
      ),
      IF(_xlpm.result="", "", _xlpm.result)
   )
)</f>
        <v/>
      </c>
      <c r="Q1092" s="27" t="str" cm="1">
        <f t="array" ref="Q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Table8[المركز]
         ),
         ""
      ),
      IF(_xlpm.result="", "", _xlpm.result)
   )
)</f>
        <v/>
      </c>
      <c r="R1092" s="27" t="str" cm="1">
        <f t="array" ref="R1092">IF(
   A1092="",
   "",
   _xlfn.LET(
      _xlpm.result,
      IFERROR(
         _xlfn.XLOOKUP(
            1,
            (Table8[رقم الصنف]=A1092) *
            (IF($B$9="الكل",1, YEAR('ادخال البيانات'!$N$3:$N$1164) = VALUE($B$9))) *
            (IF($B$10="الكل",1, MONTH('ادخال البيانات'!$N$3:$N$1164) = VALUE($B$10))) *
            (IF($B$11="الكل",1, INT((DAY('ادخال البيانات'!$N$3:$N$1164) - 1) / 7) + 1 = VALUE($B$11))),
            Table8[ملاحظة]
         ),
         ""
      ),
      IF(_xlpm.result="", "", _xlpm.result)
   )
)</f>
        <v/>
      </c>
      <c r="S1092" s="46" t="str">
        <f t="shared" ca="1" si="17"/>
        <v/>
      </c>
    </row>
    <row r="1093" spans="1:19" ht="15.6" thickTop="1" thickBot="1" x14ac:dyDescent="0.35">
      <c r="A1093" s="39"/>
      <c r="B1093" s="27" t="str" cm="1">
        <f t="array" ref="B1093">IF(
   OR(A1093="", $B$9="", $B$10="", $B$11=""),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3" s="27" t="str" cm="1">
        <f t="array" ref="C1093">IF(
   A1093="",
   "",
   _xlfn.LET(
      _xlpm.result,
      IFERROR(
         _xlfn.XLOOKUP(
            1,
            (Table8[رقم الصنف]=A1093) *
            (IF($B$9="الكل",1, YEAR('ادخال البيانات'!$N$3:$N$1164) = VALUE($B$9))) *
            (IF($B$10="الكل",1, MONTH('ادخال البيانات'!$N$3:$N$1164) = VALUE($B$10))) *
            (IF($B$11="الكل",1, INT((DAY('ادخال البيانات'!$N$3:$N$1164)-1)/7)+1 = VALUE($B$11))),
            'ادخال البيانات'!$C$3:$C$1164
         ),
         ""
      ),
      IF(_xlpm.result="", "", _xlpm.result)
   )
)</f>
        <v/>
      </c>
      <c r="D1093" s="27" t="str" cm="1">
        <f t="array" ref="D1093">IF(
   OR(A1093="", $B$9="", $B$10="", $B$11=""),
   "",
   _xlfn.LET(
      _xlpm.result,
      IFERROR(
         _xlfn.XLOOKUP(
            1,
            (Table8[رقم الصنف]=A1093) *
            (IF($B$9="الكل",1, YEAR('ادخال البيانات'!$N$3:$N$1164)=VALUE($B$9))) *
            (IF($B$10="الكل",1, MONTH('ادخال البيانات'!$N$3:$N$1164)=VALUE($B$10))) *
            (IF($B$11="الكل",1, INT((DAY('ادخال البيانات'!$N$3:$N$1164)-1)/7)+1 = VALUE($B$11))),
            'ادخال البيانات'!$D$3:$D$1164
         ),
         ""
      ),
      IF(_xlpm.result="", "", _xlpm.result)
   )
)</f>
        <v/>
      </c>
      <c r="E1093" s="27" t="str" cm="1">
        <f t="array" ref="E1093">IF(
   A1093="",
   "",
   _xlfn.LET(
      _xlpm.result,
      IFERROR(
         _xlfn.XLOOKUP(
            1,
            (Table8[رقم الصنف]=A1093) *
            (IF($B$9="الكل",1, YEAR('ادخال البيانات'!$N$3:$N$1164)=VALUE($B$9))) *
            (IF($B$10="الكل",1, MONTH('ادخال البيانات'!$N$3:$N$1164)=VALUE($B$10))) *
            (IF($B$11="الكل",1, INT((DAY('ادخال البيانات'!$N$3:$N$1164)-1)/7)+1 = VALUE($B$11))),
            'ادخال البيانات'!$E$3:$E$1164
         ),
         ""
      ),
      IF(_xlpm.result="", "", _xlpm.result)
   )
)</f>
        <v/>
      </c>
      <c r="F1093" s="27" t="str" cm="1">
        <f t="array" ref="F1093">IF(
   A1093="",
   "",
   _xlfn.LET(
      _xlpm.result,
      IFERROR(
         _xlfn.XLOOKUP(
            1,
            (Table8[رقم الصنف]=A1093) *
            (IF($B$9="الكل",1, YEAR('ادخال البيانات'!$N$3:$N$1164) = VALUE($B$9))) *
            (IF($B$10="الكل",1, MONTH('ادخال البيانات'!$N$3:$N$1164) = VALUE($B$10))) *
            (IF($B$11="الكل",1, INT((DAY('ادخال البيانات'!$N$3:$N$1164)-1)/7)+1 = VALUE($B$11))),
            'ادخال البيانات'!$F$3:$F$1164
         ),
         ""
      ),
      IF(_xlpm.result="", "", _xlpm.result)
   )
)</f>
        <v/>
      </c>
      <c r="G1093" s="27" t="str" cm="1">
        <f t="array" ref="G1093">IF(
   A1093="",
   "",
   _xlfn.LET(
      _xlpm.result,
      IFERROR(
         _xlfn.XLOOKUP(
            1,
            (Table8[رقم الصنف]=A1093) *
            (IF($B$9="الكل",1, YEAR('ادخال البيانات'!$N$3:$N$1164)=VALUE($B$9))) *
            (IF($B$10="الكل",1, MONTH('ادخال البيانات'!$N$3:$N$1164)=VALUE($B$10))) *
            (IF($B$11="الكل",1, INT((DAY('ادخال البيانات'!$N$3:$N$1164)-1)/7)+1 = VALUE($B$11))),
            'ادخال البيانات'!$G$3:$G$1164
         ),
         ""
      ),
      IF(_xlpm.result="", "", _xlpm.result)
   )
)</f>
        <v/>
      </c>
      <c r="H1093" s="27" t="str" cm="1">
        <f t="array" ref="H1093">IF(
   A1093="",
   "",
   _xlfn.LET(
      _xlpm.result,
      IFERROR(
         _xlfn.XLOOKUP(
            1,
            (Table8[رقم الصنف]=A1093) *
            (IF($B$9="الكل",1, YEAR('ادخال البيانات'!$N$3:$N$1164)=VALUE($B$9))) *
            (IF($B$10="الكل",1, MONTH('ادخال البيانات'!$N$3:$N$1164)=VALUE($B$10))) *
            (IF($B$11="الكل",1, INT((DAY('ادخال البيانات'!$N$3:$N$1164)-1)/7)+1 = VALUE($B$11))),
            'ادخال البيانات'!$H$3:$H$1164
         ),
         ""
      ),
      IF(_xlpm.result="", "", _xlpm.result)
   )
)</f>
        <v/>
      </c>
      <c r="I1093" s="27" t="str" cm="1">
        <f t="array" ref="I1093">IF(
   A1093="",
   "",
   _xlfn.LET(
      _xlpm.result,
      IFERROR(
         _xlfn.XLOOKUP(
            1,
            (Table8[رقم الصنف]=A1093) *
            (IF($B$9="الكل",1, YEAR('ادخال البيانات'!$N$3:$N$1164)=VALUE($B$9))) *
            (IF($B$10="الكل",1, MONTH('ادخال البيانات'!$N$3:$N$1164)=VALUE($B$10))) *
            (IF($B$11="الكل",1, INT((DAY('ادخال البيانات'!$N$3:$N$1164)-1)/7)+1 = VALUE($B$11))),
            'ادخال البيانات'!$I$3:$I$1164
         ),
         ""
      ),
      IF(_xlpm.result="", "", _xlpm.result)
   )
)</f>
        <v/>
      </c>
      <c r="J1093" s="27" t="str" cm="1">
        <f t="array" ref="J1093">IF(
   A1093="",
   "",
   _xlfn.LET(
      _xlpm.result,
      IFERROR(
         _xlfn.XLOOKUP(
            1,
            (Table8[رقم الصنف]=A1093) *
            (IF($B$9="الكل",1, YEAR('ادخال البيانات'!$N$3:$N$1164)=VALUE($B$9))) *
            (IF($B$10="الكل",1, MONTH('ادخال البيانات'!$N$3:$N$1164)=VALUE($B$10))) *
            (IF($B$11="الكل",1, INT((DAY('ادخال البيانات'!$N$3:$N$1164)-1)/7)+1 = VALUE($B$11))),
            'ادخال البيانات'!$J$3:$J$1164
         ),
         ""
      ),
      IF(_xlpm.result="", "", _xlpm.result)
   )
)</f>
        <v/>
      </c>
      <c r="K1093" s="27" t="str" cm="1">
        <f t="array" ref="K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3" s="27" t="str" cm="1">
        <f t="array" ref="L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3" s="27" t="str" cm="1">
        <f t="array" ref="M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3" s="28" t="str" cm="1">
        <f t="array" ref="N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3" s="28" t="str" cm="1">
        <f t="array" ref="O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3" s="27" t="str" cm="1">
        <f t="array" ref="P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Table8[جهة العطل]
         ),
         ""
      ),
      IF(_xlpm.result="", "", _xlpm.result)
   )
)</f>
        <v/>
      </c>
      <c r="Q1093" s="27" t="str" cm="1">
        <f t="array" ref="Q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Table8[المركز]
         ),
         ""
      ),
      IF(_xlpm.result="", "", _xlpm.result)
   )
)</f>
        <v/>
      </c>
      <c r="R1093" s="27" t="str" cm="1">
        <f t="array" ref="R1093">IF(
   A1093="",
   "",
   _xlfn.LET(
      _xlpm.result,
      IFERROR(
         _xlfn.XLOOKUP(
            1,
            (Table8[رقم الصنف]=A1093) *
            (IF($B$9="الكل",1, YEAR('ادخال البيانات'!$N$3:$N$1164) = VALUE($B$9))) *
            (IF($B$10="الكل",1, MONTH('ادخال البيانات'!$N$3:$N$1164) = VALUE($B$10))) *
            (IF($B$11="الكل",1, INT((DAY('ادخال البيانات'!$N$3:$N$1164) - 1) / 7) + 1 = VALUE($B$11))),
            Table8[ملاحظة]
         ),
         ""
      ),
      IF(_xlpm.result="", "", _xlpm.result)
   )
)</f>
        <v/>
      </c>
      <c r="S1093" s="46" t="str">
        <f t="shared" ca="1" si="17"/>
        <v/>
      </c>
    </row>
    <row r="1094" spans="1:19" ht="15.6" thickTop="1" thickBot="1" x14ac:dyDescent="0.35">
      <c r="A1094" s="39"/>
      <c r="B1094" s="27" t="str" cm="1">
        <f t="array" ref="B1094">IF(
   OR(A1094="", $B$9="", $B$10="", $B$11=""),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4" s="27" t="str" cm="1">
        <f t="array" ref="C1094">IF(
   A1094="",
   "",
   _xlfn.LET(
      _xlpm.result,
      IFERROR(
         _xlfn.XLOOKUP(
            1,
            (Table8[رقم الصنف]=A1094) *
            (IF($B$9="الكل",1, YEAR('ادخال البيانات'!$N$3:$N$1164) = VALUE($B$9))) *
            (IF($B$10="الكل",1, MONTH('ادخال البيانات'!$N$3:$N$1164) = VALUE($B$10))) *
            (IF($B$11="الكل",1, INT((DAY('ادخال البيانات'!$N$3:$N$1164)-1)/7)+1 = VALUE($B$11))),
            'ادخال البيانات'!$C$3:$C$1164
         ),
         ""
      ),
      IF(_xlpm.result="", "", _xlpm.result)
   )
)</f>
        <v/>
      </c>
      <c r="D1094" s="27" t="str" cm="1">
        <f t="array" ref="D1094">IF(
   OR(A1094="", $B$9="", $B$10="", $B$11=""),
   "",
   _xlfn.LET(
      _xlpm.result,
      IFERROR(
         _xlfn.XLOOKUP(
            1,
            (Table8[رقم الصنف]=A1094) *
            (IF($B$9="الكل",1, YEAR('ادخال البيانات'!$N$3:$N$1164)=VALUE($B$9))) *
            (IF($B$10="الكل",1, MONTH('ادخال البيانات'!$N$3:$N$1164)=VALUE($B$10))) *
            (IF($B$11="الكل",1, INT((DAY('ادخال البيانات'!$N$3:$N$1164)-1)/7)+1 = VALUE($B$11))),
            'ادخال البيانات'!$D$3:$D$1164
         ),
         ""
      ),
      IF(_xlpm.result="", "", _xlpm.result)
   )
)</f>
        <v/>
      </c>
      <c r="E1094" s="27" t="str" cm="1">
        <f t="array" ref="E1094">IF(
   A1094="",
   "",
   _xlfn.LET(
      _xlpm.result,
      IFERROR(
         _xlfn.XLOOKUP(
            1,
            (Table8[رقم الصنف]=A1094) *
            (IF($B$9="الكل",1, YEAR('ادخال البيانات'!$N$3:$N$1164)=VALUE($B$9))) *
            (IF($B$10="الكل",1, MONTH('ادخال البيانات'!$N$3:$N$1164)=VALUE($B$10))) *
            (IF($B$11="الكل",1, INT((DAY('ادخال البيانات'!$N$3:$N$1164)-1)/7)+1 = VALUE($B$11))),
            'ادخال البيانات'!$E$3:$E$1164
         ),
         ""
      ),
      IF(_xlpm.result="", "", _xlpm.result)
   )
)</f>
        <v/>
      </c>
      <c r="F1094" s="27" t="str" cm="1">
        <f t="array" ref="F1094">IF(
   A1094="",
   "",
   _xlfn.LET(
      _xlpm.result,
      IFERROR(
         _xlfn.XLOOKUP(
            1,
            (Table8[رقم الصنف]=A1094) *
            (IF($B$9="الكل",1, YEAR('ادخال البيانات'!$N$3:$N$1164) = VALUE($B$9))) *
            (IF($B$10="الكل",1, MONTH('ادخال البيانات'!$N$3:$N$1164) = VALUE($B$10))) *
            (IF($B$11="الكل",1, INT((DAY('ادخال البيانات'!$N$3:$N$1164)-1)/7)+1 = VALUE($B$11))),
            'ادخال البيانات'!$F$3:$F$1164
         ),
         ""
      ),
      IF(_xlpm.result="", "", _xlpm.result)
   )
)</f>
        <v/>
      </c>
      <c r="G1094" s="27" t="str" cm="1">
        <f t="array" ref="G1094">IF(
   A1094="",
   "",
   _xlfn.LET(
      _xlpm.result,
      IFERROR(
         _xlfn.XLOOKUP(
            1,
            (Table8[رقم الصنف]=A1094) *
            (IF($B$9="الكل",1, YEAR('ادخال البيانات'!$N$3:$N$1164)=VALUE($B$9))) *
            (IF($B$10="الكل",1, MONTH('ادخال البيانات'!$N$3:$N$1164)=VALUE($B$10))) *
            (IF($B$11="الكل",1, INT((DAY('ادخال البيانات'!$N$3:$N$1164)-1)/7)+1 = VALUE($B$11))),
            'ادخال البيانات'!$G$3:$G$1164
         ),
         ""
      ),
      IF(_xlpm.result="", "", _xlpm.result)
   )
)</f>
        <v/>
      </c>
      <c r="H1094" s="27" t="str" cm="1">
        <f t="array" ref="H1094">IF(
   A1094="",
   "",
   _xlfn.LET(
      _xlpm.result,
      IFERROR(
         _xlfn.XLOOKUP(
            1,
            (Table8[رقم الصنف]=A1094) *
            (IF($B$9="الكل",1, YEAR('ادخال البيانات'!$N$3:$N$1164)=VALUE($B$9))) *
            (IF($B$10="الكل",1, MONTH('ادخال البيانات'!$N$3:$N$1164)=VALUE($B$10))) *
            (IF($B$11="الكل",1, INT((DAY('ادخال البيانات'!$N$3:$N$1164)-1)/7)+1 = VALUE($B$11))),
            'ادخال البيانات'!$H$3:$H$1164
         ),
         ""
      ),
      IF(_xlpm.result="", "", _xlpm.result)
   )
)</f>
        <v/>
      </c>
      <c r="I1094" s="27" t="str" cm="1">
        <f t="array" ref="I1094">IF(
   A1094="",
   "",
   _xlfn.LET(
      _xlpm.result,
      IFERROR(
         _xlfn.XLOOKUP(
            1,
            (Table8[رقم الصنف]=A1094) *
            (IF($B$9="الكل",1, YEAR('ادخال البيانات'!$N$3:$N$1164)=VALUE($B$9))) *
            (IF($B$10="الكل",1, MONTH('ادخال البيانات'!$N$3:$N$1164)=VALUE($B$10))) *
            (IF($B$11="الكل",1, INT((DAY('ادخال البيانات'!$N$3:$N$1164)-1)/7)+1 = VALUE($B$11))),
            'ادخال البيانات'!$I$3:$I$1164
         ),
         ""
      ),
      IF(_xlpm.result="", "", _xlpm.result)
   )
)</f>
        <v/>
      </c>
      <c r="J1094" s="27" t="str" cm="1">
        <f t="array" ref="J1094">IF(
   A1094="",
   "",
   _xlfn.LET(
      _xlpm.result,
      IFERROR(
         _xlfn.XLOOKUP(
            1,
            (Table8[رقم الصنف]=A1094) *
            (IF($B$9="الكل",1, YEAR('ادخال البيانات'!$N$3:$N$1164)=VALUE($B$9))) *
            (IF($B$10="الكل",1, MONTH('ادخال البيانات'!$N$3:$N$1164)=VALUE($B$10))) *
            (IF($B$11="الكل",1, INT((DAY('ادخال البيانات'!$N$3:$N$1164)-1)/7)+1 = VALUE($B$11))),
            'ادخال البيانات'!$J$3:$J$1164
         ),
         ""
      ),
      IF(_xlpm.result="", "", _xlpm.result)
   )
)</f>
        <v/>
      </c>
      <c r="K1094" s="27" t="str" cm="1">
        <f t="array" ref="K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4" s="27" t="str" cm="1">
        <f t="array" ref="L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4" s="27" t="str" cm="1">
        <f t="array" ref="M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4" s="28" t="str" cm="1">
        <f t="array" ref="N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4" s="28" t="str" cm="1">
        <f t="array" ref="O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4" s="27" t="str" cm="1">
        <f t="array" ref="P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Table8[جهة العطل]
         ),
         ""
      ),
      IF(_xlpm.result="", "", _xlpm.result)
   )
)</f>
        <v/>
      </c>
      <c r="Q1094" s="27" t="str" cm="1">
        <f t="array" ref="Q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Table8[المركز]
         ),
         ""
      ),
      IF(_xlpm.result="", "", _xlpm.result)
   )
)</f>
        <v/>
      </c>
      <c r="R1094" s="27" t="str" cm="1">
        <f t="array" ref="R1094">IF(
   A1094="",
   "",
   _xlfn.LET(
      _xlpm.result,
      IFERROR(
         _xlfn.XLOOKUP(
            1,
            (Table8[رقم الصنف]=A1094) *
            (IF($B$9="الكل",1, YEAR('ادخال البيانات'!$N$3:$N$1164) = VALUE($B$9))) *
            (IF($B$10="الكل",1, MONTH('ادخال البيانات'!$N$3:$N$1164) = VALUE($B$10))) *
            (IF($B$11="الكل",1, INT((DAY('ادخال البيانات'!$N$3:$N$1164) - 1) / 7) + 1 = VALUE($B$11))),
            Table8[ملاحظة]
         ),
         ""
      ),
      IF(_xlpm.result="", "", _xlpm.result)
   )
)</f>
        <v/>
      </c>
      <c r="S1094" s="46" t="str">
        <f t="shared" ca="1" si="17"/>
        <v/>
      </c>
    </row>
    <row r="1095" spans="1:19" ht="15.6" thickTop="1" thickBot="1" x14ac:dyDescent="0.35">
      <c r="A1095" s="39"/>
      <c r="B1095" s="27" t="str" cm="1">
        <f t="array" ref="B1095">IF(
   OR(A1095="", $B$9="", $B$10="", $B$11=""),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5" s="27" t="str" cm="1">
        <f t="array" ref="C1095">IF(
   A1095="",
   "",
   _xlfn.LET(
      _xlpm.result,
      IFERROR(
         _xlfn.XLOOKUP(
            1,
            (Table8[رقم الصنف]=A1095) *
            (IF($B$9="الكل",1, YEAR('ادخال البيانات'!$N$3:$N$1164) = VALUE($B$9))) *
            (IF($B$10="الكل",1, MONTH('ادخال البيانات'!$N$3:$N$1164) = VALUE($B$10))) *
            (IF($B$11="الكل",1, INT((DAY('ادخال البيانات'!$N$3:$N$1164)-1)/7)+1 = VALUE($B$11))),
            'ادخال البيانات'!$C$3:$C$1164
         ),
         ""
      ),
      IF(_xlpm.result="", "", _xlpm.result)
   )
)</f>
        <v/>
      </c>
      <c r="D1095" s="27" t="str" cm="1">
        <f t="array" ref="D1095">IF(
   OR(A1095="", $B$9="", $B$10="", $B$11=""),
   "",
   _xlfn.LET(
      _xlpm.result,
      IFERROR(
         _xlfn.XLOOKUP(
            1,
            (Table8[رقم الصنف]=A1095) *
            (IF($B$9="الكل",1, YEAR('ادخال البيانات'!$N$3:$N$1164)=VALUE($B$9))) *
            (IF($B$10="الكل",1, MONTH('ادخال البيانات'!$N$3:$N$1164)=VALUE($B$10))) *
            (IF($B$11="الكل",1, INT((DAY('ادخال البيانات'!$N$3:$N$1164)-1)/7)+1 = VALUE($B$11))),
            'ادخال البيانات'!$D$3:$D$1164
         ),
         ""
      ),
      IF(_xlpm.result="", "", _xlpm.result)
   )
)</f>
        <v/>
      </c>
      <c r="E1095" s="27" t="str" cm="1">
        <f t="array" ref="E1095">IF(
   A1095="",
   "",
   _xlfn.LET(
      _xlpm.result,
      IFERROR(
         _xlfn.XLOOKUP(
            1,
            (Table8[رقم الصنف]=A1095) *
            (IF($B$9="الكل",1, YEAR('ادخال البيانات'!$N$3:$N$1164)=VALUE($B$9))) *
            (IF($B$10="الكل",1, MONTH('ادخال البيانات'!$N$3:$N$1164)=VALUE($B$10))) *
            (IF($B$11="الكل",1, INT((DAY('ادخال البيانات'!$N$3:$N$1164)-1)/7)+1 = VALUE($B$11))),
            'ادخال البيانات'!$E$3:$E$1164
         ),
         ""
      ),
      IF(_xlpm.result="", "", _xlpm.result)
   )
)</f>
        <v/>
      </c>
      <c r="F1095" s="27" t="str" cm="1">
        <f t="array" ref="F1095">IF(
   A1095="",
   "",
   _xlfn.LET(
      _xlpm.result,
      IFERROR(
         _xlfn.XLOOKUP(
            1,
            (Table8[رقم الصنف]=A1095) *
            (IF($B$9="الكل",1, YEAR('ادخال البيانات'!$N$3:$N$1164) = VALUE($B$9))) *
            (IF($B$10="الكل",1, MONTH('ادخال البيانات'!$N$3:$N$1164) = VALUE($B$10))) *
            (IF($B$11="الكل",1, INT((DAY('ادخال البيانات'!$N$3:$N$1164)-1)/7)+1 = VALUE($B$11))),
            'ادخال البيانات'!$F$3:$F$1164
         ),
         ""
      ),
      IF(_xlpm.result="", "", _xlpm.result)
   )
)</f>
        <v/>
      </c>
      <c r="G1095" s="27" t="str" cm="1">
        <f t="array" ref="G1095">IF(
   A1095="",
   "",
   _xlfn.LET(
      _xlpm.result,
      IFERROR(
         _xlfn.XLOOKUP(
            1,
            (Table8[رقم الصنف]=A1095) *
            (IF($B$9="الكل",1, YEAR('ادخال البيانات'!$N$3:$N$1164)=VALUE($B$9))) *
            (IF($B$10="الكل",1, MONTH('ادخال البيانات'!$N$3:$N$1164)=VALUE($B$10))) *
            (IF($B$11="الكل",1, INT((DAY('ادخال البيانات'!$N$3:$N$1164)-1)/7)+1 = VALUE($B$11))),
            'ادخال البيانات'!$G$3:$G$1164
         ),
         ""
      ),
      IF(_xlpm.result="", "", _xlpm.result)
   )
)</f>
        <v/>
      </c>
      <c r="H1095" s="27" t="str" cm="1">
        <f t="array" ref="H1095">IF(
   A1095="",
   "",
   _xlfn.LET(
      _xlpm.result,
      IFERROR(
         _xlfn.XLOOKUP(
            1,
            (Table8[رقم الصنف]=A1095) *
            (IF($B$9="الكل",1, YEAR('ادخال البيانات'!$N$3:$N$1164)=VALUE($B$9))) *
            (IF($B$10="الكل",1, MONTH('ادخال البيانات'!$N$3:$N$1164)=VALUE($B$10))) *
            (IF($B$11="الكل",1, INT((DAY('ادخال البيانات'!$N$3:$N$1164)-1)/7)+1 = VALUE($B$11))),
            'ادخال البيانات'!$H$3:$H$1164
         ),
         ""
      ),
      IF(_xlpm.result="", "", _xlpm.result)
   )
)</f>
        <v/>
      </c>
      <c r="I1095" s="27" t="str" cm="1">
        <f t="array" ref="I1095">IF(
   A1095="",
   "",
   _xlfn.LET(
      _xlpm.result,
      IFERROR(
         _xlfn.XLOOKUP(
            1,
            (Table8[رقم الصنف]=A1095) *
            (IF($B$9="الكل",1, YEAR('ادخال البيانات'!$N$3:$N$1164)=VALUE($B$9))) *
            (IF($B$10="الكل",1, MONTH('ادخال البيانات'!$N$3:$N$1164)=VALUE($B$10))) *
            (IF($B$11="الكل",1, INT((DAY('ادخال البيانات'!$N$3:$N$1164)-1)/7)+1 = VALUE($B$11))),
            'ادخال البيانات'!$I$3:$I$1164
         ),
         ""
      ),
      IF(_xlpm.result="", "", _xlpm.result)
   )
)</f>
        <v/>
      </c>
      <c r="J1095" s="27" t="str" cm="1">
        <f t="array" ref="J1095">IF(
   A1095="",
   "",
   _xlfn.LET(
      _xlpm.result,
      IFERROR(
         _xlfn.XLOOKUP(
            1,
            (Table8[رقم الصنف]=A1095) *
            (IF($B$9="الكل",1, YEAR('ادخال البيانات'!$N$3:$N$1164)=VALUE($B$9))) *
            (IF($B$10="الكل",1, MONTH('ادخال البيانات'!$N$3:$N$1164)=VALUE($B$10))) *
            (IF($B$11="الكل",1, INT((DAY('ادخال البيانات'!$N$3:$N$1164)-1)/7)+1 = VALUE($B$11))),
            'ادخال البيانات'!$J$3:$J$1164
         ),
         ""
      ),
      IF(_xlpm.result="", "", _xlpm.result)
   )
)</f>
        <v/>
      </c>
      <c r="K1095" s="27" t="str" cm="1">
        <f t="array" ref="K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5" s="27" t="str" cm="1">
        <f t="array" ref="L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5" s="27" t="str" cm="1">
        <f t="array" ref="M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5" s="28" t="str" cm="1">
        <f t="array" ref="N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5" s="28" t="str" cm="1">
        <f t="array" ref="O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5" s="27" t="str" cm="1">
        <f t="array" ref="P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Table8[جهة العطل]
         ),
         ""
      ),
      IF(_xlpm.result="", "", _xlpm.result)
   )
)</f>
        <v/>
      </c>
      <c r="Q1095" s="27" t="str" cm="1">
        <f t="array" ref="Q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Table8[المركز]
         ),
         ""
      ),
      IF(_xlpm.result="", "", _xlpm.result)
   )
)</f>
        <v/>
      </c>
      <c r="R1095" s="27" t="str" cm="1">
        <f t="array" ref="R1095">IF(
   A1095="",
   "",
   _xlfn.LET(
      _xlpm.result,
      IFERROR(
         _xlfn.XLOOKUP(
            1,
            (Table8[رقم الصنف]=A1095) *
            (IF($B$9="الكل",1, YEAR('ادخال البيانات'!$N$3:$N$1164) = VALUE($B$9))) *
            (IF($B$10="الكل",1, MONTH('ادخال البيانات'!$N$3:$N$1164) = VALUE($B$10))) *
            (IF($B$11="الكل",1, INT((DAY('ادخال البيانات'!$N$3:$N$1164) - 1) / 7) + 1 = VALUE($B$11))),
            Table8[ملاحظة]
         ),
         ""
      ),
      IF(_xlpm.result="", "", _xlpm.result)
   )
)</f>
        <v/>
      </c>
      <c r="S1095" s="46" t="str">
        <f t="shared" ca="1" si="17"/>
        <v/>
      </c>
    </row>
    <row r="1096" spans="1:19" ht="15.6" thickTop="1" thickBot="1" x14ac:dyDescent="0.35">
      <c r="A1096" s="39"/>
      <c r="B1096" s="27" t="str" cm="1">
        <f t="array" ref="B1096">IF(
   OR(A1096="", $B$9="", $B$10="", $B$11=""),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6" s="27" t="str" cm="1">
        <f t="array" ref="C1096">IF(
   A1096="",
   "",
   _xlfn.LET(
      _xlpm.result,
      IFERROR(
         _xlfn.XLOOKUP(
            1,
            (Table8[رقم الصنف]=A1096) *
            (IF($B$9="الكل",1, YEAR('ادخال البيانات'!$N$3:$N$1164) = VALUE($B$9))) *
            (IF($B$10="الكل",1, MONTH('ادخال البيانات'!$N$3:$N$1164) = VALUE($B$10))) *
            (IF($B$11="الكل",1, INT((DAY('ادخال البيانات'!$N$3:$N$1164)-1)/7)+1 = VALUE($B$11))),
            'ادخال البيانات'!$C$3:$C$1164
         ),
         ""
      ),
      IF(_xlpm.result="", "", _xlpm.result)
   )
)</f>
        <v/>
      </c>
      <c r="D1096" s="27" t="str" cm="1">
        <f t="array" ref="D1096">IF(
   OR(A1096="", $B$9="", $B$10="", $B$11=""),
   "",
   _xlfn.LET(
      _xlpm.result,
      IFERROR(
         _xlfn.XLOOKUP(
            1,
            (Table8[رقم الصنف]=A1096) *
            (IF($B$9="الكل",1, YEAR('ادخال البيانات'!$N$3:$N$1164)=VALUE($B$9))) *
            (IF($B$10="الكل",1, MONTH('ادخال البيانات'!$N$3:$N$1164)=VALUE($B$10))) *
            (IF($B$11="الكل",1, INT((DAY('ادخال البيانات'!$N$3:$N$1164)-1)/7)+1 = VALUE($B$11))),
            'ادخال البيانات'!$D$3:$D$1164
         ),
         ""
      ),
      IF(_xlpm.result="", "", _xlpm.result)
   )
)</f>
        <v/>
      </c>
      <c r="E1096" s="27" t="str" cm="1">
        <f t="array" ref="E1096">IF(
   A1096="",
   "",
   _xlfn.LET(
      _xlpm.result,
      IFERROR(
         _xlfn.XLOOKUP(
            1,
            (Table8[رقم الصنف]=A1096) *
            (IF($B$9="الكل",1, YEAR('ادخال البيانات'!$N$3:$N$1164)=VALUE($B$9))) *
            (IF($B$10="الكل",1, MONTH('ادخال البيانات'!$N$3:$N$1164)=VALUE($B$10))) *
            (IF($B$11="الكل",1, INT((DAY('ادخال البيانات'!$N$3:$N$1164)-1)/7)+1 = VALUE($B$11))),
            'ادخال البيانات'!$E$3:$E$1164
         ),
         ""
      ),
      IF(_xlpm.result="", "", _xlpm.result)
   )
)</f>
        <v/>
      </c>
      <c r="F1096" s="27" t="str" cm="1">
        <f t="array" ref="F1096">IF(
   A1096="",
   "",
   _xlfn.LET(
      _xlpm.result,
      IFERROR(
         _xlfn.XLOOKUP(
            1,
            (Table8[رقم الصنف]=A1096) *
            (IF($B$9="الكل",1, YEAR('ادخال البيانات'!$N$3:$N$1164) = VALUE($B$9))) *
            (IF($B$10="الكل",1, MONTH('ادخال البيانات'!$N$3:$N$1164) = VALUE($B$10))) *
            (IF($B$11="الكل",1, INT((DAY('ادخال البيانات'!$N$3:$N$1164)-1)/7)+1 = VALUE($B$11))),
            'ادخال البيانات'!$F$3:$F$1164
         ),
         ""
      ),
      IF(_xlpm.result="", "", _xlpm.result)
   )
)</f>
        <v/>
      </c>
      <c r="G1096" s="27" t="str" cm="1">
        <f t="array" ref="G1096">IF(
   A1096="",
   "",
   _xlfn.LET(
      _xlpm.result,
      IFERROR(
         _xlfn.XLOOKUP(
            1,
            (Table8[رقم الصنف]=A1096) *
            (IF($B$9="الكل",1, YEAR('ادخال البيانات'!$N$3:$N$1164)=VALUE($B$9))) *
            (IF($B$10="الكل",1, MONTH('ادخال البيانات'!$N$3:$N$1164)=VALUE($B$10))) *
            (IF($B$11="الكل",1, INT((DAY('ادخال البيانات'!$N$3:$N$1164)-1)/7)+1 = VALUE($B$11))),
            'ادخال البيانات'!$G$3:$G$1164
         ),
         ""
      ),
      IF(_xlpm.result="", "", _xlpm.result)
   )
)</f>
        <v/>
      </c>
      <c r="H1096" s="27" t="str" cm="1">
        <f t="array" ref="H1096">IF(
   A1096="",
   "",
   _xlfn.LET(
      _xlpm.result,
      IFERROR(
         _xlfn.XLOOKUP(
            1,
            (Table8[رقم الصنف]=A1096) *
            (IF($B$9="الكل",1, YEAR('ادخال البيانات'!$N$3:$N$1164)=VALUE($B$9))) *
            (IF($B$10="الكل",1, MONTH('ادخال البيانات'!$N$3:$N$1164)=VALUE($B$10))) *
            (IF($B$11="الكل",1, INT((DAY('ادخال البيانات'!$N$3:$N$1164)-1)/7)+1 = VALUE($B$11))),
            'ادخال البيانات'!$H$3:$H$1164
         ),
         ""
      ),
      IF(_xlpm.result="", "", _xlpm.result)
   )
)</f>
        <v/>
      </c>
      <c r="I1096" s="27" t="str" cm="1">
        <f t="array" ref="I1096">IF(
   A1096="",
   "",
   _xlfn.LET(
      _xlpm.result,
      IFERROR(
         _xlfn.XLOOKUP(
            1,
            (Table8[رقم الصنف]=A1096) *
            (IF($B$9="الكل",1, YEAR('ادخال البيانات'!$N$3:$N$1164)=VALUE($B$9))) *
            (IF($B$10="الكل",1, MONTH('ادخال البيانات'!$N$3:$N$1164)=VALUE($B$10))) *
            (IF($B$11="الكل",1, INT((DAY('ادخال البيانات'!$N$3:$N$1164)-1)/7)+1 = VALUE($B$11))),
            'ادخال البيانات'!$I$3:$I$1164
         ),
         ""
      ),
      IF(_xlpm.result="", "", _xlpm.result)
   )
)</f>
        <v/>
      </c>
      <c r="J1096" s="27" t="str" cm="1">
        <f t="array" ref="J1096">IF(
   A1096="",
   "",
   _xlfn.LET(
      _xlpm.result,
      IFERROR(
         _xlfn.XLOOKUP(
            1,
            (Table8[رقم الصنف]=A1096) *
            (IF($B$9="الكل",1, YEAR('ادخال البيانات'!$N$3:$N$1164)=VALUE($B$9))) *
            (IF($B$10="الكل",1, MONTH('ادخال البيانات'!$N$3:$N$1164)=VALUE($B$10))) *
            (IF($B$11="الكل",1, INT((DAY('ادخال البيانات'!$N$3:$N$1164)-1)/7)+1 = VALUE($B$11))),
            'ادخال البيانات'!$J$3:$J$1164
         ),
         ""
      ),
      IF(_xlpm.result="", "", _xlpm.result)
   )
)</f>
        <v/>
      </c>
      <c r="K1096" s="27" t="str" cm="1">
        <f t="array" ref="K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6" s="27" t="str" cm="1">
        <f t="array" ref="L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6" s="27" t="str" cm="1">
        <f t="array" ref="M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6" s="28" t="str" cm="1">
        <f t="array" ref="N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6" s="28" t="str" cm="1">
        <f t="array" ref="O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6" s="27" t="str" cm="1">
        <f t="array" ref="P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Table8[جهة العطل]
         ),
         ""
      ),
      IF(_xlpm.result="", "", _xlpm.result)
   )
)</f>
        <v/>
      </c>
      <c r="Q1096" s="27" t="str" cm="1">
        <f t="array" ref="Q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Table8[المركز]
         ),
         ""
      ),
      IF(_xlpm.result="", "", _xlpm.result)
   )
)</f>
        <v/>
      </c>
      <c r="R1096" s="27" t="str" cm="1">
        <f t="array" ref="R1096">IF(
   A1096="",
   "",
   _xlfn.LET(
      _xlpm.result,
      IFERROR(
         _xlfn.XLOOKUP(
            1,
            (Table8[رقم الصنف]=A1096) *
            (IF($B$9="الكل",1, YEAR('ادخال البيانات'!$N$3:$N$1164) = VALUE($B$9))) *
            (IF($B$10="الكل",1, MONTH('ادخال البيانات'!$N$3:$N$1164) = VALUE($B$10))) *
            (IF($B$11="الكل",1, INT((DAY('ادخال البيانات'!$N$3:$N$1164) - 1) / 7) + 1 = VALUE($B$11))),
            Table8[ملاحظة]
         ),
         ""
      ),
      IF(_xlpm.result="", "", _xlpm.result)
   )
)</f>
        <v/>
      </c>
      <c r="S1096" s="46" t="str">
        <f t="shared" ca="1" si="17"/>
        <v/>
      </c>
    </row>
    <row r="1097" spans="1:19" ht="15.6" thickTop="1" thickBot="1" x14ac:dyDescent="0.35">
      <c r="A1097" s="39"/>
      <c r="B1097" s="27" t="str" cm="1">
        <f t="array" ref="B1097">IF(
   OR(A1097="", $B$9="", $B$10="", $B$11=""),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7" s="27" t="str" cm="1">
        <f t="array" ref="C1097">IF(
   A1097="",
   "",
   _xlfn.LET(
      _xlpm.result,
      IFERROR(
         _xlfn.XLOOKUP(
            1,
            (Table8[رقم الصنف]=A1097) *
            (IF($B$9="الكل",1, YEAR('ادخال البيانات'!$N$3:$N$1164) = VALUE($B$9))) *
            (IF($B$10="الكل",1, MONTH('ادخال البيانات'!$N$3:$N$1164) = VALUE($B$10))) *
            (IF($B$11="الكل",1, INT((DAY('ادخال البيانات'!$N$3:$N$1164)-1)/7)+1 = VALUE($B$11))),
            'ادخال البيانات'!$C$3:$C$1164
         ),
         ""
      ),
      IF(_xlpm.result="", "", _xlpm.result)
   )
)</f>
        <v/>
      </c>
      <c r="D1097" s="27" t="str" cm="1">
        <f t="array" ref="D1097">IF(
   OR(A1097="", $B$9="", $B$10="", $B$11=""),
   "",
   _xlfn.LET(
      _xlpm.result,
      IFERROR(
         _xlfn.XLOOKUP(
            1,
            (Table8[رقم الصنف]=A1097) *
            (IF($B$9="الكل",1, YEAR('ادخال البيانات'!$N$3:$N$1164)=VALUE($B$9))) *
            (IF($B$10="الكل",1, MONTH('ادخال البيانات'!$N$3:$N$1164)=VALUE($B$10))) *
            (IF($B$11="الكل",1, INT((DAY('ادخال البيانات'!$N$3:$N$1164)-1)/7)+1 = VALUE($B$11))),
            'ادخال البيانات'!$D$3:$D$1164
         ),
         ""
      ),
      IF(_xlpm.result="", "", _xlpm.result)
   )
)</f>
        <v/>
      </c>
      <c r="E1097" s="27" t="str" cm="1">
        <f t="array" ref="E1097">IF(
   A1097="",
   "",
   _xlfn.LET(
      _xlpm.result,
      IFERROR(
         _xlfn.XLOOKUP(
            1,
            (Table8[رقم الصنف]=A1097) *
            (IF($B$9="الكل",1, YEAR('ادخال البيانات'!$N$3:$N$1164)=VALUE($B$9))) *
            (IF($B$10="الكل",1, MONTH('ادخال البيانات'!$N$3:$N$1164)=VALUE($B$10))) *
            (IF($B$11="الكل",1, INT((DAY('ادخال البيانات'!$N$3:$N$1164)-1)/7)+1 = VALUE($B$11))),
            'ادخال البيانات'!$E$3:$E$1164
         ),
         ""
      ),
      IF(_xlpm.result="", "", _xlpm.result)
   )
)</f>
        <v/>
      </c>
      <c r="F1097" s="27" t="str" cm="1">
        <f t="array" ref="F1097">IF(
   A1097="",
   "",
   _xlfn.LET(
      _xlpm.result,
      IFERROR(
         _xlfn.XLOOKUP(
            1,
            (Table8[رقم الصنف]=A1097) *
            (IF($B$9="الكل",1, YEAR('ادخال البيانات'!$N$3:$N$1164) = VALUE($B$9))) *
            (IF($B$10="الكل",1, MONTH('ادخال البيانات'!$N$3:$N$1164) = VALUE($B$10))) *
            (IF($B$11="الكل",1, INT((DAY('ادخال البيانات'!$N$3:$N$1164)-1)/7)+1 = VALUE($B$11))),
            'ادخال البيانات'!$F$3:$F$1164
         ),
         ""
      ),
      IF(_xlpm.result="", "", _xlpm.result)
   )
)</f>
        <v/>
      </c>
      <c r="G1097" s="27" t="str" cm="1">
        <f t="array" ref="G1097">IF(
   A1097="",
   "",
   _xlfn.LET(
      _xlpm.result,
      IFERROR(
         _xlfn.XLOOKUP(
            1,
            (Table8[رقم الصنف]=A1097) *
            (IF($B$9="الكل",1, YEAR('ادخال البيانات'!$N$3:$N$1164)=VALUE($B$9))) *
            (IF($B$10="الكل",1, MONTH('ادخال البيانات'!$N$3:$N$1164)=VALUE($B$10))) *
            (IF($B$11="الكل",1, INT((DAY('ادخال البيانات'!$N$3:$N$1164)-1)/7)+1 = VALUE($B$11))),
            'ادخال البيانات'!$G$3:$G$1164
         ),
         ""
      ),
      IF(_xlpm.result="", "", _xlpm.result)
   )
)</f>
        <v/>
      </c>
      <c r="H1097" s="27" t="str" cm="1">
        <f t="array" ref="H1097">IF(
   A1097="",
   "",
   _xlfn.LET(
      _xlpm.result,
      IFERROR(
         _xlfn.XLOOKUP(
            1,
            (Table8[رقم الصنف]=A1097) *
            (IF($B$9="الكل",1, YEAR('ادخال البيانات'!$N$3:$N$1164)=VALUE($B$9))) *
            (IF($B$10="الكل",1, MONTH('ادخال البيانات'!$N$3:$N$1164)=VALUE($B$10))) *
            (IF($B$11="الكل",1, INT((DAY('ادخال البيانات'!$N$3:$N$1164)-1)/7)+1 = VALUE($B$11))),
            'ادخال البيانات'!$H$3:$H$1164
         ),
         ""
      ),
      IF(_xlpm.result="", "", _xlpm.result)
   )
)</f>
        <v/>
      </c>
      <c r="I1097" s="27" t="str" cm="1">
        <f t="array" ref="I1097">IF(
   A1097="",
   "",
   _xlfn.LET(
      _xlpm.result,
      IFERROR(
         _xlfn.XLOOKUP(
            1,
            (Table8[رقم الصنف]=A1097) *
            (IF($B$9="الكل",1, YEAR('ادخال البيانات'!$N$3:$N$1164)=VALUE($B$9))) *
            (IF($B$10="الكل",1, MONTH('ادخال البيانات'!$N$3:$N$1164)=VALUE($B$10))) *
            (IF($B$11="الكل",1, INT((DAY('ادخال البيانات'!$N$3:$N$1164)-1)/7)+1 = VALUE($B$11))),
            'ادخال البيانات'!$I$3:$I$1164
         ),
         ""
      ),
      IF(_xlpm.result="", "", _xlpm.result)
   )
)</f>
        <v/>
      </c>
      <c r="J1097" s="27" t="str" cm="1">
        <f t="array" ref="J1097">IF(
   A1097="",
   "",
   _xlfn.LET(
      _xlpm.result,
      IFERROR(
         _xlfn.XLOOKUP(
            1,
            (Table8[رقم الصنف]=A1097) *
            (IF($B$9="الكل",1, YEAR('ادخال البيانات'!$N$3:$N$1164)=VALUE($B$9))) *
            (IF($B$10="الكل",1, MONTH('ادخال البيانات'!$N$3:$N$1164)=VALUE($B$10))) *
            (IF($B$11="الكل",1, INT((DAY('ادخال البيانات'!$N$3:$N$1164)-1)/7)+1 = VALUE($B$11))),
            'ادخال البيانات'!$J$3:$J$1164
         ),
         ""
      ),
      IF(_xlpm.result="", "", _xlpm.result)
   )
)</f>
        <v/>
      </c>
      <c r="K1097" s="27" t="str" cm="1">
        <f t="array" ref="K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7" s="27" t="str" cm="1">
        <f t="array" ref="L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7" s="27" t="str" cm="1">
        <f t="array" ref="M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7" s="28" t="str" cm="1">
        <f t="array" ref="N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7" s="28" t="str" cm="1">
        <f t="array" ref="O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7" s="27" t="str" cm="1">
        <f t="array" ref="P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Table8[جهة العطل]
         ),
         ""
      ),
      IF(_xlpm.result="", "", _xlpm.result)
   )
)</f>
        <v/>
      </c>
      <c r="Q1097" s="27" t="str" cm="1">
        <f t="array" ref="Q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Table8[المركز]
         ),
         ""
      ),
      IF(_xlpm.result="", "", _xlpm.result)
   )
)</f>
        <v/>
      </c>
      <c r="R1097" s="27" t="str" cm="1">
        <f t="array" ref="R1097">IF(
   A1097="",
   "",
   _xlfn.LET(
      _xlpm.result,
      IFERROR(
         _xlfn.XLOOKUP(
            1,
            (Table8[رقم الصنف]=A1097) *
            (IF($B$9="الكل",1, YEAR('ادخال البيانات'!$N$3:$N$1164) = VALUE($B$9))) *
            (IF($B$10="الكل",1, MONTH('ادخال البيانات'!$N$3:$N$1164) = VALUE($B$10))) *
            (IF($B$11="الكل",1, INT((DAY('ادخال البيانات'!$N$3:$N$1164) - 1) / 7) + 1 = VALUE($B$11))),
            Table8[ملاحظة]
         ),
         ""
      ),
      IF(_xlpm.result="", "", _xlpm.result)
   )
)</f>
        <v/>
      </c>
      <c r="S1097" s="46" t="str">
        <f t="shared" ca="1" si="17"/>
        <v/>
      </c>
    </row>
    <row r="1098" spans="1:19" ht="15.6" thickTop="1" thickBot="1" x14ac:dyDescent="0.35">
      <c r="A1098" s="39"/>
      <c r="B1098" s="27" t="str" cm="1">
        <f t="array" ref="B1098">IF(
   OR(A1098="", $B$9="", $B$10="", $B$11=""),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8" s="27" t="str" cm="1">
        <f t="array" ref="C1098">IF(
   A1098="",
   "",
   _xlfn.LET(
      _xlpm.result,
      IFERROR(
         _xlfn.XLOOKUP(
            1,
            (Table8[رقم الصنف]=A1098) *
            (IF($B$9="الكل",1, YEAR('ادخال البيانات'!$N$3:$N$1164) = VALUE($B$9))) *
            (IF($B$10="الكل",1, MONTH('ادخال البيانات'!$N$3:$N$1164) = VALUE($B$10))) *
            (IF($B$11="الكل",1, INT((DAY('ادخال البيانات'!$N$3:$N$1164)-1)/7)+1 = VALUE($B$11))),
            'ادخال البيانات'!$C$3:$C$1164
         ),
         ""
      ),
      IF(_xlpm.result="", "", _xlpm.result)
   )
)</f>
        <v/>
      </c>
      <c r="D1098" s="27" t="str" cm="1">
        <f t="array" ref="D1098">IF(
   OR(A1098="", $B$9="", $B$10="", $B$11=""),
   "",
   _xlfn.LET(
      _xlpm.result,
      IFERROR(
         _xlfn.XLOOKUP(
            1,
            (Table8[رقم الصنف]=A1098) *
            (IF($B$9="الكل",1, YEAR('ادخال البيانات'!$N$3:$N$1164)=VALUE($B$9))) *
            (IF($B$10="الكل",1, MONTH('ادخال البيانات'!$N$3:$N$1164)=VALUE($B$10))) *
            (IF($B$11="الكل",1, INT((DAY('ادخال البيانات'!$N$3:$N$1164)-1)/7)+1 = VALUE($B$11))),
            'ادخال البيانات'!$D$3:$D$1164
         ),
         ""
      ),
      IF(_xlpm.result="", "", _xlpm.result)
   )
)</f>
        <v/>
      </c>
      <c r="E1098" s="27" t="str" cm="1">
        <f t="array" ref="E1098">IF(
   A1098="",
   "",
   _xlfn.LET(
      _xlpm.result,
      IFERROR(
         _xlfn.XLOOKUP(
            1,
            (Table8[رقم الصنف]=A1098) *
            (IF($B$9="الكل",1, YEAR('ادخال البيانات'!$N$3:$N$1164)=VALUE($B$9))) *
            (IF($B$10="الكل",1, MONTH('ادخال البيانات'!$N$3:$N$1164)=VALUE($B$10))) *
            (IF($B$11="الكل",1, INT((DAY('ادخال البيانات'!$N$3:$N$1164)-1)/7)+1 = VALUE($B$11))),
            'ادخال البيانات'!$E$3:$E$1164
         ),
         ""
      ),
      IF(_xlpm.result="", "", _xlpm.result)
   )
)</f>
        <v/>
      </c>
      <c r="F1098" s="27" t="str" cm="1">
        <f t="array" ref="F1098">IF(
   A1098="",
   "",
   _xlfn.LET(
      _xlpm.result,
      IFERROR(
         _xlfn.XLOOKUP(
            1,
            (Table8[رقم الصنف]=A1098) *
            (IF($B$9="الكل",1, YEAR('ادخال البيانات'!$N$3:$N$1164) = VALUE($B$9))) *
            (IF($B$10="الكل",1, MONTH('ادخال البيانات'!$N$3:$N$1164) = VALUE($B$10))) *
            (IF($B$11="الكل",1, INT((DAY('ادخال البيانات'!$N$3:$N$1164)-1)/7)+1 = VALUE($B$11))),
            'ادخال البيانات'!$F$3:$F$1164
         ),
         ""
      ),
      IF(_xlpm.result="", "", _xlpm.result)
   )
)</f>
        <v/>
      </c>
      <c r="G1098" s="27" t="str" cm="1">
        <f t="array" ref="G1098">IF(
   A1098="",
   "",
   _xlfn.LET(
      _xlpm.result,
      IFERROR(
         _xlfn.XLOOKUP(
            1,
            (Table8[رقم الصنف]=A1098) *
            (IF($B$9="الكل",1, YEAR('ادخال البيانات'!$N$3:$N$1164)=VALUE($B$9))) *
            (IF($B$10="الكل",1, MONTH('ادخال البيانات'!$N$3:$N$1164)=VALUE($B$10))) *
            (IF($B$11="الكل",1, INT((DAY('ادخال البيانات'!$N$3:$N$1164)-1)/7)+1 = VALUE($B$11))),
            'ادخال البيانات'!$G$3:$G$1164
         ),
         ""
      ),
      IF(_xlpm.result="", "", _xlpm.result)
   )
)</f>
        <v/>
      </c>
      <c r="H1098" s="27" t="str" cm="1">
        <f t="array" ref="H1098">IF(
   A1098="",
   "",
   _xlfn.LET(
      _xlpm.result,
      IFERROR(
         _xlfn.XLOOKUP(
            1,
            (Table8[رقم الصنف]=A1098) *
            (IF($B$9="الكل",1, YEAR('ادخال البيانات'!$N$3:$N$1164)=VALUE($B$9))) *
            (IF($B$10="الكل",1, MONTH('ادخال البيانات'!$N$3:$N$1164)=VALUE($B$10))) *
            (IF($B$11="الكل",1, INT((DAY('ادخال البيانات'!$N$3:$N$1164)-1)/7)+1 = VALUE($B$11))),
            'ادخال البيانات'!$H$3:$H$1164
         ),
         ""
      ),
      IF(_xlpm.result="", "", _xlpm.result)
   )
)</f>
        <v/>
      </c>
      <c r="I1098" s="27" t="str" cm="1">
        <f t="array" ref="I1098">IF(
   A1098="",
   "",
   _xlfn.LET(
      _xlpm.result,
      IFERROR(
         _xlfn.XLOOKUP(
            1,
            (Table8[رقم الصنف]=A1098) *
            (IF($B$9="الكل",1, YEAR('ادخال البيانات'!$N$3:$N$1164)=VALUE($B$9))) *
            (IF($B$10="الكل",1, MONTH('ادخال البيانات'!$N$3:$N$1164)=VALUE($B$10))) *
            (IF($B$11="الكل",1, INT((DAY('ادخال البيانات'!$N$3:$N$1164)-1)/7)+1 = VALUE($B$11))),
            'ادخال البيانات'!$I$3:$I$1164
         ),
         ""
      ),
      IF(_xlpm.result="", "", _xlpm.result)
   )
)</f>
        <v/>
      </c>
      <c r="J1098" s="27" t="str" cm="1">
        <f t="array" ref="J1098">IF(
   A1098="",
   "",
   _xlfn.LET(
      _xlpm.result,
      IFERROR(
         _xlfn.XLOOKUP(
            1,
            (Table8[رقم الصنف]=A1098) *
            (IF($B$9="الكل",1, YEAR('ادخال البيانات'!$N$3:$N$1164)=VALUE($B$9))) *
            (IF($B$10="الكل",1, MONTH('ادخال البيانات'!$N$3:$N$1164)=VALUE($B$10))) *
            (IF($B$11="الكل",1, INT((DAY('ادخال البيانات'!$N$3:$N$1164)-1)/7)+1 = VALUE($B$11))),
            'ادخال البيانات'!$J$3:$J$1164
         ),
         ""
      ),
      IF(_xlpm.result="", "", _xlpm.result)
   )
)</f>
        <v/>
      </c>
      <c r="K1098" s="27" t="str" cm="1">
        <f t="array" ref="K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8" s="27" t="str" cm="1">
        <f t="array" ref="L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8" s="27" t="str" cm="1">
        <f t="array" ref="M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8" s="28" t="str" cm="1">
        <f t="array" ref="N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8" s="28" t="str" cm="1">
        <f t="array" ref="O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8" s="27" t="str" cm="1">
        <f t="array" ref="P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Table8[جهة العطل]
         ),
         ""
      ),
      IF(_xlpm.result="", "", _xlpm.result)
   )
)</f>
        <v/>
      </c>
      <c r="Q1098" s="27" t="str" cm="1">
        <f t="array" ref="Q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Table8[المركز]
         ),
         ""
      ),
      IF(_xlpm.result="", "", _xlpm.result)
   )
)</f>
        <v/>
      </c>
      <c r="R1098" s="27" t="str" cm="1">
        <f t="array" ref="R1098">IF(
   A1098="",
   "",
   _xlfn.LET(
      _xlpm.result,
      IFERROR(
         _xlfn.XLOOKUP(
            1,
            (Table8[رقم الصنف]=A1098) *
            (IF($B$9="الكل",1, YEAR('ادخال البيانات'!$N$3:$N$1164) = VALUE($B$9))) *
            (IF($B$10="الكل",1, MONTH('ادخال البيانات'!$N$3:$N$1164) = VALUE($B$10))) *
            (IF($B$11="الكل",1, INT((DAY('ادخال البيانات'!$N$3:$N$1164) - 1) / 7) + 1 = VALUE($B$11))),
            Table8[ملاحظة]
         ),
         ""
      ),
      IF(_xlpm.result="", "", _xlpm.result)
   )
)</f>
        <v/>
      </c>
      <c r="S1098" s="46" t="str">
        <f t="shared" ca="1" si="17"/>
        <v/>
      </c>
    </row>
    <row r="1099" spans="1:19" ht="15.6" thickTop="1" thickBot="1" x14ac:dyDescent="0.35">
      <c r="A1099" s="39"/>
      <c r="B1099" s="27" t="str" cm="1">
        <f t="array" ref="B1099">IF(
   OR(A1099="", $B$9="", $B$10="", $B$11=""),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099" s="27" t="str" cm="1">
        <f t="array" ref="C1099">IF(
   A1099="",
   "",
   _xlfn.LET(
      _xlpm.result,
      IFERROR(
         _xlfn.XLOOKUP(
            1,
            (Table8[رقم الصنف]=A1099) *
            (IF($B$9="الكل",1, YEAR('ادخال البيانات'!$N$3:$N$1164) = VALUE($B$9))) *
            (IF($B$10="الكل",1, MONTH('ادخال البيانات'!$N$3:$N$1164) = VALUE($B$10))) *
            (IF($B$11="الكل",1, INT((DAY('ادخال البيانات'!$N$3:$N$1164)-1)/7)+1 = VALUE($B$11))),
            'ادخال البيانات'!$C$3:$C$1164
         ),
         ""
      ),
      IF(_xlpm.result="", "", _xlpm.result)
   )
)</f>
        <v/>
      </c>
      <c r="D1099" s="27" t="str" cm="1">
        <f t="array" ref="D1099">IF(
   OR(A1099="", $B$9="", $B$10="", $B$11=""),
   "",
   _xlfn.LET(
      _xlpm.result,
      IFERROR(
         _xlfn.XLOOKUP(
            1,
            (Table8[رقم الصنف]=A1099) *
            (IF($B$9="الكل",1, YEAR('ادخال البيانات'!$N$3:$N$1164)=VALUE($B$9))) *
            (IF($B$10="الكل",1, MONTH('ادخال البيانات'!$N$3:$N$1164)=VALUE($B$10))) *
            (IF($B$11="الكل",1, INT((DAY('ادخال البيانات'!$N$3:$N$1164)-1)/7)+1 = VALUE($B$11))),
            'ادخال البيانات'!$D$3:$D$1164
         ),
         ""
      ),
      IF(_xlpm.result="", "", _xlpm.result)
   )
)</f>
        <v/>
      </c>
      <c r="E1099" s="27" t="str" cm="1">
        <f t="array" ref="E1099">IF(
   A1099="",
   "",
   _xlfn.LET(
      _xlpm.result,
      IFERROR(
         _xlfn.XLOOKUP(
            1,
            (Table8[رقم الصنف]=A1099) *
            (IF($B$9="الكل",1, YEAR('ادخال البيانات'!$N$3:$N$1164)=VALUE($B$9))) *
            (IF($B$10="الكل",1, MONTH('ادخال البيانات'!$N$3:$N$1164)=VALUE($B$10))) *
            (IF($B$11="الكل",1, INT((DAY('ادخال البيانات'!$N$3:$N$1164)-1)/7)+1 = VALUE($B$11))),
            'ادخال البيانات'!$E$3:$E$1164
         ),
         ""
      ),
      IF(_xlpm.result="", "", _xlpm.result)
   )
)</f>
        <v/>
      </c>
      <c r="F1099" s="27" t="str" cm="1">
        <f t="array" ref="F1099">IF(
   A1099="",
   "",
   _xlfn.LET(
      _xlpm.result,
      IFERROR(
         _xlfn.XLOOKUP(
            1,
            (Table8[رقم الصنف]=A1099) *
            (IF($B$9="الكل",1, YEAR('ادخال البيانات'!$N$3:$N$1164) = VALUE($B$9))) *
            (IF($B$10="الكل",1, MONTH('ادخال البيانات'!$N$3:$N$1164) = VALUE($B$10))) *
            (IF($B$11="الكل",1, INT((DAY('ادخال البيانات'!$N$3:$N$1164)-1)/7)+1 = VALUE($B$11))),
            'ادخال البيانات'!$F$3:$F$1164
         ),
         ""
      ),
      IF(_xlpm.result="", "", _xlpm.result)
   )
)</f>
        <v/>
      </c>
      <c r="G1099" s="27" t="str" cm="1">
        <f t="array" ref="G1099">IF(
   A1099="",
   "",
   _xlfn.LET(
      _xlpm.result,
      IFERROR(
         _xlfn.XLOOKUP(
            1,
            (Table8[رقم الصنف]=A1099) *
            (IF($B$9="الكل",1, YEAR('ادخال البيانات'!$N$3:$N$1164)=VALUE($B$9))) *
            (IF($B$10="الكل",1, MONTH('ادخال البيانات'!$N$3:$N$1164)=VALUE($B$10))) *
            (IF($B$11="الكل",1, INT((DAY('ادخال البيانات'!$N$3:$N$1164)-1)/7)+1 = VALUE($B$11))),
            'ادخال البيانات'!$G$3:$G$1164
         ),
         ""
      ),
      IF(_xlpm.result="", "", _xlpm.result)
   )
)</f>
        <v/>
      </c>
      <c r="H1099" s="27" t="str" cm="1">
        <f t="array" ref="H1099">IF(
   A1099="",
   "",
   _xlfn.LET(
      _xlpm.result,
      IFERROR(
         _xlfn.XLOOKUP(
            1,
            (Table8[رقم الصنف]=A1099) *
            (IF($B$9="الكل",1, YEAR('ادخال البيانات'!$N$3:$N$1164)=VALUE($B$9))) *
            (IF($B$10="الكل",1, MONTH('ادخال البيانات'!$N$3:$N$1164)=VALUE($B$10))) *
            (IF($B$11="الكل",1, INT((DAY('ادخال البيانات'!$N$3:$N$1164)-1)/7)+1 = VALUE($B$11))),
            'ادخال البيانات'!$H$3:$H$1164
         ),
         ""
      ),
      IF(_xlpm.result="", "", _xlpm.result)
   )
)</f>
        <v/>
      </c>
      <c r="I1099" s="27" t="str" cm="1">
        <f t="array" ref="I1099">IF(
   A1099="",
   "",
   _xlfn.LET(
      _xlpm.result,
      IFERROR(
         _xlfn.XLOOKUP(
            1,
            (Table8[رقم الصنف]=A1099) *
            (IF($B$9="الكل",1, YEAR('ادخال البيانات'!$N$3:$N$1164)=VALUE($B$9))) *
            (IF($B$10="الكل",1, MONTH('ادخال البيانات'!$N$3:$N$1164)=VALUE($B$10))) *
            (IF($B$11="الكل",1, INT((DAY('ادخال البيانات'!$N$3:$N$1164)-1)/7)+1 = VALUE($B$11))),
            'ادخال البيانات'!$I$3:$I$1164
         ),
         ""
      ),
      IF(_xlpm.result="", "", _xlpm.result)
   )
)</f>
        <v/>
      </c>
      <c r="J1099" s="27" t="str" cm="1">
        <f t="array" ref="J1099">IF(
   A1099="",
   "",
   _xlfn.LET(
      _xlpm.result,
      IFERROR(
         _xlfn.XLOOKUP(
            1,
            (Table8[رقم الصنف]=A1099) *
            (IF($B$9="الكل",1, YEAR('ادخال البيانات'!$N$3:$N$1164)=VALUE($B$9))) *
            (IF($B$10="الكل",1, MONTH('ادخال البيانات'!$N$3:$N$1164)=VALUE($B$10))) *
            (IF($B$11="الكل",1, INT((DAY('ادخال البيانات'!$N$3:$N$1164)-1)/7)+1 = VALUE($B$11))),
            'ادخال البيانات'!$J$3:$J$1164
         ),
         ""
      ),
      IF(_xlpm.result="", "", _xlpm.result)
   )
)</f>
        <v/>
      </c>
      <c r="K1099" s="27" t="str" cm="1">
        <f t="array" ref="K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099" s="27" t="str" cm="1">
        <f t="array" ref="L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099" s="27" t="str" cm="1">
        <f t="array" ref="M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099" s="28" t="str" cm="1">
        <f t="array" ref="N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099" s="28" t="str" cm="1">
        <f t="array" ref="O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099" s="27" t="str" cm="1">
        <f t="array" ref="P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Table8[جهة العطل]
         ),
         ""
      ),
      IF(_xlpm.result="", "", _xlpm.result)
   )
)</f>
        <v/>
      </c>
      <c r="Q1099" s="27" t="str" cm="1">
        <f t="array" ref="Q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Table8[المركز]
         ),
         ""
      ),
      IF(_xlpm.result="", "", _xlpm.result)
   )
)</f>
        <v/>
      </c>
      <c r="R1099" s="27" t="str" cm="1">
        <f t="array" ref="R1099">IF(
   A1099="",
   "",
   _xlfn.LET(
      _xlpm.result,
      IFERROR(
         _xlfn.XLOOKUP(
            1,
            (Table8[رقم الصنف]=A1099) *
            (IF($B$9="الكل",1, YEAR('ادخال البيانات'!$N$3:$N$1164) = VALUE($B$9))) *
            (IF($B$10="الكل",1, MONTH('ادخال البيانات'!$N$3:$N$1164) = VALUE($B$10))) *
            (IF($B$11="الكل",1, INT((DAY('ادخال البيانات'!$N$3:$N$1164) - 1) / 7) + 1 = VALUE($B$11))),
            Table8[ملاحظة]
         ),
         ""
      ),
      IF(_xlpm.result="", "", _xlpm.result)
   )
)</f>
        <v/>
      </c>
      <c r="S1099" s="46" t="str">
        <f t="shared" ca="1" si="17"/>
        <v/>
      </c>
    </row>
    <row r="1100" spans="1:19" ht="15.6" thickTop="1" thickBot="1" x14ac:dyDescent="0.35">
      <c r="A1100" s="39"/>
      <c r="B1100" s="27" t="str" cm="1">
        <f t="array" ref="B1100">IF(
   OR(A1100="", $B$9="", $B$10="", $B$11=""),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0" s="27" t="str" cm="1">
        <f t="array" ref="C1100">IF(
   A1100="",
   "",
   _xlfn.LET(
      _xlpm.result,
      IFERROR(
         _xlfn.XLOOKUP(
            1,
            (Table8[رقم الصنف]=A1100) *
            (IF($B$9="الكل",1, YEAR('ادخال البيانات'!$N$3:$N$1164) = VALUE($B$9))) *
            (IF($B$10="الكل",1, MONTH('ادخال البيانات'!$N$3:$N$1164) = VALUE($B$10))) *
            (IF($B$11="الكل",1, INT((DAY('ادخال البيانات'!$N$3:$N$1164)-1)/7)+1 = VALUE($B$11))),
            'ادخال البيانات'!$C$3:$C$1164
         ),
         ""
      ),
      IF(_xlpm.result="", "", _xlpm.result)
   )
)</f>
        <v/>
      </c>
      <c r="D1100" s="27" t="str" cm="1">
        <f t="array" ref="D1100">IF(
   OR(A1100="", $B$9="", $B$10="", $B$11=""),
   "",
   _xlfn.LET(
      _xlpm.result,
      IFERROR(
         _xlfn.XLOOKUP(
            1,
            (Table8[رقم الصنف]=A1100) *
            (IF($B$9="الكل",1, YEAR('ادخال البيانات'!$N$3:$N$1164)=VALUE($B$9))) *
            (IF($B$10="الكل",1, MONTH('ادخال البيانات'!$N$3:$N$1164)=VALUE($B$10))) *
            (IF($B$11="الكل",1, INT((DAY('ادخال البيانات'!$N$3:$N$1164)-1)/7)+1 = VALUE($B$11))),
            'ادخال البيانات'!$D$3:$D$1164
         ),
         ""
      ),
      IF(_xlpm.result="", "", _xlpm.result)
   )
)</f>
        <v/>
      </c>
      <c r="E1100" s="27" t="str" cm="1">
        <f t="array" ref="E1100">IF(
   A1100="",
   "",
   _xlfn.LET(
      _xlpm.result,
      IFERROR(
         _xlfn.XLOOKUP(
            1,
            (Table8[رقم الصنف]=A1100) *
            (IF($B$9="الكل",1, YEAR('ادخال البيانات'!$N$3:$N$1164)=VALUE($B$9))) *
            (IF($B$10="الكل",1, MONTH('ادخال البيانات'!$N$3:$N$1164)=VALUE($B$10))) *
            (IF($B$11="الكل",1, INT((DAY('ادخال البيانات'!$N$3:$N$1164)-1)/7)+1 = VALUE($B$11))),
            'ادخال البيانات'!$E$3:$E$1164
         ),
         ""
      ),
      IF(_xlpm.result="", "", _xlpm.result)
   )
)</f>
        <v/>
      </c>
      <c r="F1100" s="27" t="str" cm="1">
        <f t="array" ref="F1100">IF(
   A1100="",
   "",
   _xlfn.LET(
      _xlpm.result,
      IFERROR(
         _xlfn.XLOOKUP(
            1,
            (Table8[رقم الصنف]=A1100) *
            (IF($B$9="الكل",1, YEAR('ادخال البيانات'!$N$3:$N$1164) = VALUE($B$9))) *
            (IF($B$10="الكل",1, MONTH('ادخال البيانات'!$N$3:$N$1164) = VALUE($B$10))) *
            (IF($B$11="الكل",1, INT((DAY('ادخال البيانات'!$N$3:$N$1164)-1)/7)+1 = VALUE($B$11))),
            'ادخال البيانات'!$F$3:$F$1164
         ),
         ""
      ),
      IF(_xlpm.result="", "", _xlpm.result)
   )
)</f>
        <v/>
      </c>
      <c r="G1100" s="27" t="str" cm="1">
        <f t="array" ref="G1100">IF(
   A1100="",
   "",
   _xlfn.LET(
      _xlpm.result,
      IFERROR(
         _xlfn.XLOOKUP(
            1,
            (Table8[رقم الصنف]=A1100) *
            (IF($B$9="الكل",1, YEAR('ادخال البيانات'!$N$3:$N$1164)=VALUE($B$9))) *
            (IF($B$10="الكل",1, MONTH('ادخال البيانات'!$N$3:$N$1164)=VALUE($B$10))) *
            (IF($B$11="الكل",1, INT((DAY('ادخال البيانات'!$N$3:$N$1164)-1)/7)+1 = VALUE($B$11))),
            'ادخال البيانات'!$G$3:$G$1164
         ),
         ""
      ),
      IF(_xlpm.result="", "", _xlpm.result)
   )
)</f>
        <v/>
      </c>
      <c r="H1100" s="27" t="str" cm="1">
        <f t="array" ref="H1100">IF(
   A1100="",
   "",
   _xlfn.LET(
      _xlpm.result,
      IFERROR(
         _xlfn.XLOOKUP(
            1,
            (Table8[رقم الصنف]=A1100) *
            (IF($B$9="الكل",1, YEAR('ادخال البيانات'!$N$3:$N$1164)=VALUE($B$9))) *
            (IF($B$10="الكل",1, MONTH('ادخال البيانات'!$N$3:$N$1164)=VALUE($B$10))) *
            (IF($B$11="الكل",1, INT((DAY('ادخال البيانات'!$N$3:$N$1164)-1)/7)+1 = VALUE($B$11))),
            'ادخال البيانات'!$H$3:$H$1164
         ),
         ""
      ),
      IF(_xlpm.result="", "", _xlpm.result)
   )
)</f>
        <v/>
      </c>
      <c r="I1100" s="27" t="str" cm="1">
        <f t="array" ref="I1100">IF(
   A1100="",
   "",
   _xlfn.LET(
      _xlpm.result,
      IFERROR(
         _xlfn.XLOOKUP(
            1,
            (Table8[رقم الصنف]=A1100) *
            (IF($B$9="الكل",1, YEAR('ادخال البيانات'!$N$3:$N$1164)=VALUE($B$9))) *
            (IF($B$10="الكل",1, MONTH('ادخال البيانات'!$N$3:$N$1164)=VALUE($B$10))) *
            (IF($B$11="الكل",1, INT((DAY('ادخال البيانات'!$N$3:$N$1164)-1)/7)+1 = VALUE($B$11))),
            'ادخال البيانات'!$I$3:$I$1164
         ),
         ""
      ),
      IF(_xlpm.result="", "", _xlpm.result)
   )
)</f>
        <v/>
      </c>
      <c r="J1100" s="27" t="str" cm="1">
        <f t="array" ref="J1100">IF(
   A1100="",
   "",
   _xlfn.LET(
      _xlpm.result,
      IFERROR(
         _xlfn.XLOOKUP(
            1,
            (Table8[رقم الصنف]=A1100) *
            (IF($B$9="الكل",1, YEAR('ادخال البيانات'!$N$3:$N$1164)=VALUE($B$9))) *
            (IF($B$10="الكل",1, MONTH('ادخال البيانات'!$N$3:$N$1164)=VALUE($B$10))) *
            (IF($B$11="الكل",1, INT((DAY('ادخال البيانات'!$N$3:$N$1164)-1)/7)+1 = VALUE($B$11))),
            'ادخال البيانات'!$J$3:$J$1164
         ),
         ""
      ),
      IF(_xlpm.result="", "", _xlpm.result)
   )
)</f>
        <v/>
      </c>
      <c r="K1100" s="27" t="str" cm="1">
        <f t="array" ref="K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0" s="27" t="str" cm="1">
        <f t="array" ref="L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0" s="27" t="str" cm="1">
        <f t="array" ref="M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0" s="28" t="str" cm="1">
        <f t="array" ref="N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0" s="28" t="str" cm="1">
        <f t="array" ref="O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0" s="27" t="str" cm="1">
        <f t="array" ref="P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Table8[جهة العطل]
         ),
         ""
      ),
      IF(_xlpm.result="", "", _xlpm.result)
   )
)</f>
        <v/>
      </c>
      <c r="Q1100" s="27" t="str" cm="1">
        <f t="array" ref="Q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Table8[المركز]
         ),
         ""
      ),
      IF(_xlpm.result="", "", _xlpm.result)
   )
)</f>
        <v/>
      </c>
      <c r="R1100" s="27" t="str" cm="1">
        <f t="array" ref="R1100">IF(
   A1100="",
   "",
   _xlfn.LET(
      _xlpm.result,
      IFERROR(
         _xlfn.XLOOKUP(
            1,
            (Table8[رقم الصنف]=A1100) *
            (IF($B$9="الكل",1, YEAR('ادخال البيانات'!$N$3:$N$1164) = VALUE($B$9))) *
            (IF($B$10="الكل",1, MONTH('ادخال البيانات'!$N$3:$N$1164) = VALUE($B$10))) *
            (IF($B$11="الكل",1, INT((DAY('ادخال البيانات'!$N$3:$N$1164) - 1) / 7) + 1 = VALUE($B$11))),
            Table8[ملاحظة]
         ),
         ""
      ),
      IF(_xlpm.result="", "", _xlpm.result)
   )
)</f>
        <v/>
      </c>
      <c r="S1100" s="46" t="str">
        <f t="shared" ref="S1100:S1163" ca="1" si="18">IF(
   L1100="تم الاصلاح",
   "تم الاصلاح",
   IF(N1100="","", TODAY()-N1100)
)</f>
        <v/>
      </c>
    </row>
    <row r="1101" spans="1:19" ht="15.6" thickTop="1" thickBot="1" x14ac:dyDescent="0.35">
      <c r="A1101" s="39"/>
      <c r="B1101" s="27" t="str" cm="1">
        <f t="array" ref="B1101">IF(
   OR(A1101="", $B$9="", $B$10="", $B$11=""),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1" s="27" t="str" cm="1">
        <f t="array" ref="C1101">IF(
   A1101="",
   "",
   _xlfn.LET(
      _xlpm.result,
      IFERROR(
         _xlfn.XLOOKUP(
            1,
            (Table8[رقم الصنف]=A1101) *
            (IF($B$9="الكل",1, YEAR('ادخال البيانات'!$N$3:$N$1164) = VALUE($B$9))) *
            (IF($B$10="الكل",1, MONTH('ادخال البيانات'!$N$3:$N$1164) = VALUE($B$10))) *
            (IF($B$11="الكل",1, INT((DAY('ادخال البيانات'!$N$3:$N$1164)-1)/7)+1 = VALUE($B$11))),
            'ادخال البيانات'!$C$3:$C$1164
         ),
         ""
      ),
      IF(_xlpm.result="", "", _xlpm.result)
   )
)</f>
        <v/>
      </c>
      <c r="D1101" s="27" t="str" cm="1">
        <f t="array" ref="D1101">IF(
   OR(A1101="", $B$9="", $B$10="", $B$11=""),
   "",
   _xlfn.LET(
      _xlpm.result,
      IFERROR(
         _xlfn.XLOOKUP(
            1,
            (Table8[رقم الصنف]=A1101) *
            (IF($B$9="الكل",1, YEAR('ادخال البيانات'!$N$3:$N$1164)=VALUE($B$9))) *
            (IF($B$10="الكل",1, MONTH('ادخال البيانات'!$N$3:$N$1164)=VALUE($B$10))) *
            (IF($B$11="الكل",1, INT((DAY('ادخال البيانات'!$N$3:$N$1164)-1)/7)+1 = VALUE($B$11))),
            'ادخال البيانات'!$D$3:$D$1164
         ),
         ""
      ),
      IF(_xlpm.result="", "", _xlpm.result)
   )
)</f>
        <v/>
      </c>
      <c r="E1101" s="27" t="str" cm="1">
        <f t="array" ref="E1101">IF(
   A1101="",
   "",
   _xlfn.LET(
      _xlpm.result,
      IFERROR(
         _xlfn.XLOOKUP(
            1,
            (Table8[رقم الصنف]=A1101) *
            (IF($B$9="الكل",1, YEAR('ادخال البيانات'!$N$3:$N$1164)=VALUE($B$9))) *
            (IF($B$10="الكل",1, MONTH('ادخال البيانات'!$N$3:$N$1164)=VALUE($B$10))) *
            (IF($B$11="الكل",1, INT((DAY('ادخال البيانات'!$N$3:$N$1164)-1)/7)+1 = VALUE($B$11))),
            'ادخال البيانات'!$E$3:$E$1164
         ),
         ""
      ),
      IF(_xlpm.result="", "", _xlpm.result)
   )
)</f>
        <v/>
      </c>
      <c r="F1101" s="27" t="str" cm="1">
        <f t="array" ref="F1101">IF(
   A1101="",
   "",
   _xlfn.LET(
      _xlpm.result,
      IFERROR(
         _xlfn.XLOOKUP(
            1,
            (Table8[رقم الصنف]=A1101) *
            (IF($B$9="الكل",1, YEAR('ادخال البيانات'!$N$3:$N$1164) = VALUE($B$9))) *
            (IF($B$10="الكل",1, MONTH('ادخال البيانات'!$N$3:$N$1164) = VALUE($B$10))) *
            (IF($B$11="الكل",1, INT((DAY('ادخال البيانات'!$N$3:$N$1164)-1)/7)+1 = VALUE($B$11))),
            'ادخال البيانات'!$F$3:$F$1164
         ),
         ""
      ),
      IF(_xlpm.result="", "", _xlpm.result)
   )
)</f>
        <v/>
      </c>
      <c r="G1101" s="27" t="str" cm="1">
        <f t="array" ref="G1101">IF(
   A1101="",
   "",
   _xlfn.LET(
      _xlpm.result,
      IFERROR(
         _xlfn.XLOOKUP(
            1,
            (Table8[رقم الصنف]=A1101) *
            (IF($B$9="الكل",1, YEAR('ادخال البيانات'!$N$3:$N$1164)=VALUE($B$9))) *
            (IF($B$10="الكل",1, MONTH('ادخال البيانات'!$N$3:$N$1164)=VALUE($B$10))) *
            (IF($B$11="الكل",1, INT((DAY('ادخال البيانات'!$N$3:$N$1164)-1)/7)+1 = VALUE($B$11))),
            'ادخال البيانات'!$G$3:$G$1164
         ),
         ""
      ),
      IF(_xlpm.result="", "", _xlpm.result)
   )
)</f>
        <v/>
      </c>
      <c r="H1101" s="27" t="str" cm="1">
        <f t="array" ref="H1101">IF(
   A1101="",
   "",
   _xlfn.LET(
      _xlpm.result,
      IFERROR(
         _xlfn.XLOOKUP(
            1,
            (Table8[رقم الصنف]=A1101) *
            (IF($B$9="الكل",1, YEAR('ادخال البيانات'!$N$3:$N$1164)=VALUE($B$9))) *
            (IF($B$10="الكل",1, MONTH('ادخال البيانات'!$N$3:$N$1164)=VALUE($B$10))) *
            (IF($B$11="الكل",1, INT((DAY('ادخال البيانات'!$N$3:$N$1164)-1)/7)+1 = VALUE($B$11))),
            'ادخال البيانات'!$H$3:$H$1164
         ),
         ""
      ),
      IF(_xlpm.result="", "", _xlpm.result)
   )
)</f>
        <v/>
      </c>
      <c r="I1101" s="27" t="str" cm="1">
        <f t="array" ref="I1101">IF(
   A1101="",
   "",
   _xlfn.LET(
      _xlpm.result,
      IFERROR(
         _xlfn.XLOOKUP(
            1,
            (Table8[رقم الصنف]=A1101) *
            (IF($B$9="الكل",1, YEAR('ادخال البيانات'!$N$3:$N$1164)=VALUE($B$9))) *
            (IF($B$10="الكل",1, MONTH('ادخال البيانات'!$N$3:$N$1164)=VALUE($B$10))) *
            (IF($B$11="الكل",1, INT((DAY('ادخال البيانات'!$N$3:$N$1164)-1)/7)+1 = VALUE($B$11))),
            'ادخال البيانات'!$I$3:$I$1164
         ),
         ""
      ),
      IF(_xlpm.result="", "", _xlpm.result)
   )
)</f>
        <v/>
      </c>
      <c r="J1101" s="27" t="str" cm="1">
        <f t="array" ref="J1101">IF(
   A1101="",
   "",
   _xlfn.LET(
      _xlpm.result,
      IFERROR(
         _xlfn.XLOOKUP(
            1,
            (Table8[رقم الصنف]=A1101) *
            (IF($B$9="الكل",1, YEAR('ادخال البيانات'!$N$3:$N$1164)=VALUE($B$9))) *
            (IF($B$10="الكل",1, MONTH('ادخال البيانات'!$N$3:$N$1164)=VALUE($B$10))) *
            (IF($B$11="الكل",1, INT((DAY('ادخال البيانات'!$N$3:$N$1164)-1)/7)+1 = VALUE($B$11))),
            'ادخال البيانات'!$J$3:$J$1164
         ),
         ""
      ),
      IF(_xlpm.result="", "", _xlpm.result)
   )
)</f>
        <v/>
      </c>
      <c r="K1101" s="27" t="str" cm="1">
        <f t="array" ref="K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1" s="27" t="str" cm="1">
        <f t="array" ref="L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1" s="27" t="str" cm="1">
        <f t="array" ref="M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1" s="28" t="str" cm="1">
        <f t="array" ref="N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1" s="28" t="str" cm="1">
        <f t="array" ref="O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1" s="27" t="str" cm="1">
        <f t="array" ref="P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Table8[جهة العطل]
         ),
         ""
      ),
      IF(_xlpm.result="", "", _xlpm.result)
   )
)</f>
        <v/>
      </c>
      <c r="Q1101" s="27" t="str" cm="1">
        <f t="array" ref="Q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Table8[المركز]
         ),
         ""
      ),
      IF(_xlpm.result="", "", _xlpm.result)
   )
)</f>
        <v/>
      </c>
      <c r="R1101" s="27" t="str" cm="1">
        <f t="array" ref="R1101">IF(
   A1101="",
   "",
   _xlfn.LET(
      _xlpm.result,
      IFERROR(
         _xlfn.XLOOKUP(
            1,
            (Table8[رقم الصنف]=A1101) *
            (IF($B$9="الكل",1, YEAR('ادخال البيانات'!$N$3:$N$1164) = VALUE($B$9))) *
            (IF($B$10="الكل",1, MONTH('ادخال البيانات'!$N$3:$N$1164) = VALUE($B$10))) *
            (IF($B$11="الكل",1, INT((DAY('ادخال البيانات'!$N$3:$N$1164) - 1) / 7) + 1 = VALUE($B$11))),
            Table8[ملاحظة]
         ),
         ""
      ),
      IF(_xlpm.result="", "", _xlpm.result)
   )
)</f>
        <v/>
      </c>
      <c r="S1101" s="46" t="str">
        <f t="shared" ca="1" si="18"/>
        <v/>
      </c>
    </row>
    <row r="1102" spans="1:19" ht="15.6" thickTop="1" thickBot="1" x14ac:dyDescent="0.35">
      <c r="A1102" s="39"/>
      <c r="B1102" s="27" t="str" cm="1">
        <f t="array" ref="B1102">IF(
   OR(A1102="", $B$9="", $B$10="", $B$11=""),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2" s="27" t="str" cm="1">
        <f t="array" ref="C1102">IF(
   A1102="",
   "",
   _xlfn.LET(
      _xlpm.result,
      IFERROR(
         _xlfn.XLOOKUP(
            1,
            (Table8[رقم الصنف]=A1102) *
            (IF($B$9="الكل",1, YEAR('ادخال البيانات'!$N$3:$N$1164) = VALUE($B$9))) *
            (IF($B$10="الكل",1, MONTH('ادخال البيانات'!$N$3:$N$1164) = VALUE($B$10))) *
            (IF($B$11="الكل",1, INT((DAY('ادخال البيانات'!$N$3:$N$1164)-1)/7)+1 = VALUE($B$11))),
            'ادخال البيانات'!$C$3:$C$1164
         ),
         ""
      ),
      IF(_xlpm.result="", "", _xlpm.result)
   )
)</f>
        <v/>
      </c>
      <c r="D1102" s="27" t="str" cm="1">
        <f t="array" ref="D1102">IF(
   OR(A1102="", $B$9="", $B$10="", $B$11=""),
   "",
   _xlfn.LET(
      _xlpm.result,
      IFERROR(
         _xlfn.XLOOKUP(
            1,
            (Table8[رقم الصنف]=A1102) *
            (IF($B$9="الكل",1, YEAR('ادخال البيانات'!$N$3:$N$1164)=VALUE($B$9))) *
            (IF($B$10="الكل",1, MONTH('ادخال البيانات'!$N$3:$N$1164)=VALUE($B$10))) *
            (IF($B$11="الكل",1, INT((DAY('ادخال البيانات'!$N$3:$N$1164)-1)/7)+1 = VALUE($B$11))),
            'ادخال البيانات'!$D$3:$D$1164
         ),
         ""
      ),
      IF(_xlpm.result="", "", _xlpm.result)
   )
)</f>
        <v/>
      </c>
      <c r="E1102" s="27" t="str" cm="1">
        <f t="array" ref="E1102">IF(
   A1102="",
   "",
   _xlfn.LET(
      _xlpm.result,
      IFERROR(
         _xlfn.XLOOKUP(
            1,
            (Table8[رقم الصنف]=A1102) *
            (IF($B$9="الكل",1, YEAR('ادخال البيانات'!$N$3:$N$1164)=VALUE($B$9))) *
            (IF($B$10="الكل",1, MONTH('ادخال البيانات'!$N$3:$N$1164)=VALUE($B$10))) *
            (IF($B$11="الكل",1, INT((DAY('ادخال البيانات'!$N$3:$N$1164)-1)/7)+1 = VALUE($B$11))),
            'ادخال البيانات'!$E$3:$E$1164
         ),
         ""
      ),
      IF(_xlpm.result="", "", _xlpm.result)
   )
)</f>
        <v/>
      </c>
      <c r="F1102" s="27" t="str" cm="1">
        <f t="array" ref="F1102">IF(
   A1102="",
   "",
   _xlfn.LET(
      _xlpm.result,
      IFERROR(
         _xlfn.XLOOKUP(
            1,
            (Table8[رقم الصنف]=A1102) *
            (IF($B$9="الكل",1, YEAR('ادخال البيانات'!$N$3:$N$1164) = VALUE($B$9))) *
            (IF($B$10="الكل",1, MONTH('ادخال البيانات'!$N$3:$N$1164) = VALUE($B$10))) *
            (IF($B$11="الكل",1, INT((DAY('ادخال البيانات'!$N$3:$N$1164)-1)/7)+1 = VALUE($B$11))),
            'ادخال البيانات'!$F$3:$F$1164
         ),
         ""
      ),
      IF(_xlpm.result="", "", _xlpm.result)
   )
)</f>
        <v/>
      </c>
      <c r="G1102" s="27" t="str" cm="1">
        <f t="array" ref="G1102">IF(
   A1102="",
   "",
   _xlfn.LET(
      _xlpm.result,
      IFERROR(
         _xlfn.XLOOKUP(
            1,
            (Table8[رقم الصنف]=A1102) *
            (IF($B$9="الكل",1, YEAR('ادخال البيانات'!$N$3:$N$1164)=VALUE($B$9))) *
            (IF($B$10="الكل",1, MONTH('ادخال البيانات'!$N$3:$N$1164)=VALUE($B$10))) *
            (IF($B$11="الكل",1, INT((DAY('ادخال البيانات'!$N$3:$N$1164)-1)/7)+1 = VALUE($B$11))),
            'ادخال البيانات'!$G$3:$G$1164
         ),
         ""
      ),
      IF(_xlpm.result="", "", _xlpm.result)
   )
)</f>
        <v/>
      </c>
      <c r="H1102" s="27" t="str" cm="1">
        <f t="array" ref="H1102">IF(
   A1102="",
   "",
   _xlfn.LET(
      _xlpm.result,
      IFERROR(
         _xlfn.XLOOKUP(
            1,
            (Table8[رقم الصنف]=A1102) *
            (IF($B$9="الكل",1, YEAR('ادخال البيانات'!$N$3:$N$1164)=VALUE($B$9))) *
            (IF($B$10="الكل",1, MONTH('ادخال البيانات'!$N$3:$N$1164)=VALUE($B$10))) *
            (IF($B$11="الكل",1, INT((DAY('ادخال البيانات'!$N$3:$N$1164)-1)/7)+1 = VALUE($B$11))),
            'ادخال البيانات'!$H$3:$H$1164
         ),
         ""
      ),
      IF(_xlpm.result="", "", _xlpm.result)
   )
)</f>
        <v/>
      </c>
      <c r="I1102" s="27" t="str" cm="1">
        <f t="array" ref="I1102">IF(
   A1102="",
   "",
   _xlfn.LET(
      _xlpm.result,
      IFERROR(
         _xlfn.XLOOKUP(
            1,
            (Table8[رقم الصنف]=A1102) *
            (IF($B$9="الكل",1, YEAR('ادخال البيانات'!$N$3:$N$1164)=VALUE($B$9))) *
            (IF($B$10="الكل",1, MONTH('ادخال البيانات'!$N$3:$N$1164)=VALUE($B$10))) *
            (IF($B$11="الكل",1, INT((DAY('ادخال البيانات'!$N$3:$N$1164)-1)/7)+1 = VALUE($B$11))),
            'ادخال البيانات'!$I$3:$I$1164
         ),
         ""
      ),
      IF(_xlpm.result="", "", _xlpm.result)
   )
)</f>
        <v/>
      </c>
      <c r="J1102" s="27" t="str" cm="1">
        <f t="array" ref="J1102">IF(
   A1102="",
   "",
   _xlfn.LET(
      _xlpm.result,
      IFERROR(
         _xlfn.XLOOKUP(
            1,
            (Table8[رقم الصنف]=A1102) *
            (IF($B$9="الكل",1, YEAR('ادخال البيانات'!$N$3:$N$1164)=VALUE($B$9))) *
            (IF($B$10="الكل",1, MONTH('ادخال البيانات'!$N$3:$N$1164)=VALUE($B$10))) *
            (IF($B$11="الكل",1, INT((DAY('ادخال البيانات'!$N$3:$N$1164)-1)/7)+1 = VALUE($B$11))),
            'ادخال البيانات'!$J$3:$J$1164
         ),
         ""
      ),
      IF(_xlpm.result="", "", _xlpm.result)
   )
)</f>
        <v/>
      </c>
      <c r="K1102" s="27" t="str" cm="1">
        <f t="array" ref="K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2" s="27" t="str" cm="1">
        <f t="array" ref="L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2" s="27" t="str" cm="1">
        <f t="array" ref="M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2" s="28" t="str" cm="1">
        <f t="array" ref="N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2" s="28" t="str" cm="1">
        <f t="array" ref="O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2" s="27" t="str" cm="1">
        <f t="array" ref="P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Table8[جهة العطل]
         ),
         ""
      ),
      IF(_xlpm.result="", "", _xlpm.result)
   )
)</f>
        <v/>
      </c>
      <c r="Q1102" s="27" t="str" cm="1">
        <f t="array" ref="Q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Table8[المركز]
         ),
         ""
      ),
      IF(_xlpm.result="", "", _xlpm.result)
   )
)</f>
        <v/>
      </c>
      <c r="R1102" s="27" t="str" cm="1">
        <f t="array" ref="R1102">IF(
   A1102="",
   "",
   _xlfn.LET(
      _xlpm.result,
      IFERROR(
         _xlfn.XLOOKUP(
            1,
            (Table8[رقم الصنف]=A1102) *
            (IF($B$9="الكل",1, YEAR('ادخال البيانات'!$N$3:$N$1164) = VALUE($B$9))) *
            (IF($B$10="الكل",1, MONTH('ادخال البيانات'!$N$3:$N$1164) = VALUE($B$10))) *
            (IF($B$11="الكل",1, INT((DAY('ادخال البيانات'!$N$3:$N$1164) - 1) / 7) + 1 = VALUE($B$11))),
            Table8[ملاحظة]
         ),
         ""
      ),
      IF(_xlpm.result="", "", _xlpm.result)
   )
)</f>
        <v/>
      </c>
      <c r="S1102" s="46" t="str">
        <f t="shared" ca="1" si="18"/>
        <v/>
      </c>
    </row>
    <row r="1103" spans="1:19" ht="15.6" thickTop="1" thickBot="1" x14ac:dyDescent="0.35">
      <c r="A1103" s="39"/>
      <c r="B1103" s="27" t="str" cm="1">
        <f t="array" ref="B1103">IF(
   OR(A1103="", $B$9="", $B$10="", $B$11=""),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3" s="27" t="str" cm="1">
        <f t="array" ref="C1103">IF(
   A1103="",
   "",
   _xlfn.LET(
      _xlpm.result,
      IFERROR(
         _xlfn.XLOOKUP(
            1,
            (Table8[رقم الصنف]=A1103) *
            (IF($B$9="الكل",1, YEAR('ادخال البيانات'!$N$3:$N$1164) = VALUE($B$9))) *
            (IF($B$10="الكل",1, MONTH('ادخال البيانات'!$N$3:$N$1164) = VALUE($B$10))) *
            (IF($B$11="الكل",1, INT((DAY('ادخال البيانات'!$N$3:$N$1164)-1)/7)+1 = VALUE($B$11))),
            'ادخال البيانات'!$C$3:$C$1164
         ),
         ""
      ),
      IF(_xlpm.result="", "", _xlpm.result)
   )
)</f>
        <v/>
      </c>
      <c r="D1103" s="27" t="str" cm="1">
        <f t="array" ref="D1103">IF(
   OR(A1103="", $B$9="", $B$10="", $B$11=""),
   "",
   _xlfn.LET(
      _xlpm.result,
      IFERROR(
         _xlfn.XLOOKUP(
            1,
            (Table8[رقم الصنف]=A1103) *
            (IF($B$9="الكل",1, YEAR('ادخال البيانات'!$N$3:$N$1164)=VALUE($B$9))) *
            (IF($B$10="الكل",1, MONTH('ادخال البيانات'!$N$3:$N$1164)=VALUE($B$10))) *
            (IF($B$11="الكل",1, INT((DAY('ادخال البيانات'!$N$3:$N$1164)-1)/7)+1 = VALUE($B$11))),
            'ادخال البيانات'!$D$3:$D$1164
         ),
         ""
      ),
      IF(_xlpm.result="", "", _xlpm.result)
   )
)</f>
        <v/>
      </c>
      <c r="E1103" s="27" t="str" cm="1">
        <f t="array" ref="E1103">IF(
   A1103="",
   "",
   _xlfn.LET(
      _xlpm.result,
      IFERROR(
         _xlfn.XLOOKUP(
            1,
            (Table8[رقم الصنف]=A1103) *
            (IF($B$9="الكل",1, YEAR('ادخال البيانات'!$N$3:$N$1164)=VALUE($B$9))) *
            (IF($B$10="الكل",1, MONTH('ادخال البيانات'!$N$3:$N$1164)=VALUE($B$10))) *
            (IF($B$11="الكل",1, INT((DAY('ادخال البيانات'!$N$3:$N$1164)-1)/7)+1 = VALUE($B$11))),
            'ادخال البيانات'!$E$3:$E$1164
         ),
         ""
      ),
      IF(_xlpm.result="", "", _xlpm.result)
   )
)</f>
        <v/>
      </c>
      <c r="F1103" s="27" t="str" cm="1">
        <f t="array" ref="F1103">IF(
   A1103="",
   "",
   _xlfn.LET(
      _xlpm.result,
      IFERROR(
         _xlfn.XLOOKUP(
            1,
            (Table8[رقم الصنف]=A1103) *
            (IF($B$9="الكل",1, YEAR('ادخال البيانات'!$N$3:$N$1164) = VALUE($B$9))) *
            (IF($B$10="الكل",1, MONTH('ادخال البيانات'!$N$3:$N$1164) = VALUE($B$10))) *
            (IF($B$11="الكل",1, INT((DAY('ادخال البيانات'!$N$3:$N$1164)-1)/7)+1 = VALUE($B$11))),
            'ادخال البيانات'!$F$3:$F$1164
         ),
         ""
      ),
      IF(_xlpm.result="", "", _xlpm.result)
   )
)</f>
        <v/>
      </c>
      <c r="G1103" s="27" t="str" cm="1">
        <f t="array" ref="G1103">IF(
   A1103="",
   "",
   _xlfn.LET(
      _xlpm.result,
      IFERROR(
         _xlfn.XLOOKUP(
            1,
            (Table8[رقم الصنف]=A1103) *
            (IF($B$9="الكل",1, YEAR('ادخال البيانات'!$N$3:$N$1164)=VALUE($B$9))) *
            (IF($B$10="الكل",1, MONTH('ادخال البيانات'!$N$3:$N$1164)=VALUE($B$10))) *
            (IF($B$11="الكل",1, INT((DAY('ادخال البيانات'!$N$3:$N$1164)-1)/7)+1 = VALUE($B$11))),
            'ادخال البيانات'!$G$3:$G$1164
         ),
         ""
      ),
      IF(_xlpm.result="", "", _xlpm.result)
   )
)</f>
        <v/>
      </c>
      <c r="H1103" s="27" t="str" cm="1">
        <f t="array" ref="H1103">IF(
   A1103="",
   "",
   _xlfn.LET(
      _xlpm.result,
      IFERROR(
         _xlfn.XLOOKUP(
            1,
            (Table8[رقم الصنف]=A1103) *
            (IF($B$9="الكل",1, YEAR('ادخال البيانات'!$N$3:$N$1164)=VALUE($B$9))) *
            (IF($B$10="الكل",1, MONTH('ادخال البيانات'!$N$3:$N$1164)=VALUE($B$10))) *
            (IF($B$11="الكل",1, INT((DAY('ادخال البيانات'!$N$3:$N$1164)-1)/7)+1 = VALUE($B$11))),
            'ادخال البيانات'!$H$3:$H$1164
         ),
         ""
      ),
      IF(_xlpm.result="", "", _xlpm.result)
   )
)</f>
        <v/>
      </c>
      <c r="I1103" s="27" t="str" cm="1">
        <f t="array" ref="I1103">IF(
   A1103="",
   "",
   _xlfn.LET(
      _xlpm.result,
      IFERROR(
         _xlfn.XLOOKUP(
            1,
            (Table8[رقم الصنف]=A1103) *
            (IF($B$9="الكل",1, YEAR('ادخال البيانات'!$N$3:$N$1164)=VALUE($B$9))) *
            (IF($B$10="الكل",1, MONTH('ادخال البيانات'!$N$3:$N$1164)=VALUE($B$10))) *
            (IF($B$11="الكل",1, INT((DAY('ادخال البيانات'!$N$3:$N$1164)-1)/7)+1 = VALUE($B$11))),
            'ادخال البيانات'!$I$3:$I$1164
         ),
         ""
      ),
      IF(_xlpm.result="", "", _xlpm.result)
   )
)</f>
        <v/>
      </c>
      <c r="J1103" s="27" t="str" cm="1">
        <f t="array" ref="J1103">IF(
   A1103="",
   "",
   _xlfn.LET(
      _xlpm.result,
      IFERROR(
         _xlfn.XLOOKUP(
            1,
            (Table8[رقم الصنف]=A1103) *
            (IF($B$9="الكل",1, YEAR('ادخال البيانات'!$N$3:$N$1164)=VALUE($B$9))) *
            (IF($B$10="الكل",1, MONTH('ادخال البيانات'!$N$3:$N$1164)=VALUE($B$10))) *
            (IF($B$11="الكل",1, INT((DAY('ادخال البيانات'!$N$3:$N$1164)-1)/7)+1 = VALUE($B$11))),
            'ادخال البيانات'!$J$3:$J$1164
         ),
         ""
      ),
      IF(_xlpm.result="", "", _xlpm.result)
   )
)</f>
        <v/>
      </c>
      <c r="K1103" s="27" t="str" cm="1">
        <f t="array" ref="K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3" s="27" t="str" cm="1">
        <f t="array" ref="L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3" s="27" t="str" cm="1">
        <f t="array" ref="M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3" s="28" t="str" cm="1">
        <f t="array" ref="N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3" s="28" t="str" cm="1">
        <f t="array" ref="O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3" s="27" t="str" cm="1">
        <f t="array" ref="P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Table8[جهة العطل]
         ),
         ""
      ),
      IF(_xlpm.result="", "", _xlpm.result)
   )
)</f>
        <v/>
      </c>
      <c r="Q1103" s="27" t="str" cm="1">
        <f t="array" ref="Q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Table8[المركز]
         ),
         ""
      ),
      IF(_xlpm.result="", "", _xlpm.result)
   )
)</f>
        <v/>
      </c>
      <c r="R1103" s="27" t="str" cm="1">
        <f t="array" ref="R1103">IF(
   A1103="",
   "",
   _xlfn.LET(
      _xlpm.result,
      IFERROR(
         _xlfn.XLOOKUP(
            1,
            (Table8[رقم الصنف]=A1103) *
            (IF($B$9="الكل",1, YEAR('ادخال البيانات'!$N$3:$N$1164) = VALUE($B$9))) *
            (IF($B$10="الكل",1, MONTH('ادخال البيانات'!$N$3:$N$1164) = VALUE($B$10))) *
            (IF($B$11="الكل",1, INT((DAY('ادخال البيانات'!$N$3:$N$1164) - 1) / 7) + 1 = VALUE($B$11))),
            Table8[ملاحظة]
         ),
         ""
      ),
      IF(_xlpm.result="", "", _xlpm.result)
   )
)</f>
        <v/>
      </c>
      <c r="S1103" s="46" t="str">
        <f t="shared" ca="1" si="18"/>
        <v/>
      </c>
    </row>
    <row r="1104" spans="1:19" ht="15.6" thickTop="1" thickBot="1" x14ac:dyDescent="0.35">
      <c r="A1104" s="39"/>
      <c r="B1104" s="27" t="str" cm="1">
        <f t="array" ref="B1104">IF(
   OR(A1104="", $B$9="", $B$10="", $B$11=""),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4" s="27" t="str" cm="1">
        <f t="array" ref="C1104">IF(
   A1104="",
   "",
   _xlfn.LET(
      _xlpm.result,
      IFERROR(
         _xlfn.XLOOKUP(
            1,
            (Table8[رقم الصنف]=A1104) *
            (IF($B$9="الكل",1, YEAR('ادخال البيانات'!$N$3:$N$1164) = VALUE($B$9))) *
            (IF($B$10="الكل",1, MONTH('ادخال البيانات'!$N$3:$N$1164) = VALUE($B$10))) *
            (IF($B$11="الكل",1, INT((DAY('ادخال البيانات'!$N$3:$N$1164)-1)/7)+1 = VALUE($B$11))),
            'ادخال البيانات'!$C$3:$C$1164
         ),
         ""
      ),
      IF(_xlpm.result="", "", _xlpm.result)
   )
)</f>
        <v/>
      </c>
      <c r="D1104" s="27" t="str" cm="1">
        <f t="array" ref="D1104">IF(
   OR(A1104="", $B$9="", $B$10="", $B$11=""),
   "",
   _xlfn.LET(
      _xlpm.result,
      IFERROR(
         _xlfn.XLOOKUP(
            1,
            (Table8[رقم الصنف]=A1104) *
            (IF($B$9="الكل",1, YEAR('ادخال البيانات'!$N$3:$N$1164)=VALUE($B$9))) *
            (IF($B$10="الكل",1, MONTH('ادخال البيانات'!$N$3:$N$1164)=VALUE($B$10))) *
            (IF($B$11="الكل",1, INT((DAY('ادخال البيانات'!$N$3:$N$1164)-1)/7)+1 = VALUE($B$11))),
            'ادخال البيانات'!$D$3:$D$1164
         ),
         ""
      ),
      IF(_xlpm.result="", "", _xlpm.result)
   )
)</f>
        <v/>
      </c>
      <c r="E1104" s="27" t="str" cm="1">
        <f t="array" ref="E1104">IF(
   A1104="",
   "",
   _xlfn.LET(
      _xlpm.result,
      IFERROR(
         _xlfn.XLOOKUP(
            1,
            (Table8[رقم الصنف]=A1104) *
            (IF($B$9="الكل",1, YEAR('ادخال البيانات'!$N$3:$N$1164)=VALUE($B$9))) *
            (IF($B$10="الكل",1, MONTH('ادخال البيانات'!$N$3:$N$1164)=VALUE($B$10))) *
            (IF($B$11="الكل",1, INT((DAY('ادخال البيانات'!$N$3:$N$1164)-1)/7)+1 = VALUE($B$11))),
            'ادخال البيانات'!$E$3:$E$1164
         ),
         ""
      ),
      IF(_xlpm.result="", "", _xlpm.result)
   )
)</f>
        <v/>
      </c>
      <c r="F1104" s="27" t="str" cm="1">
        <f t="array" ref="F1104">IF(
   A1104="",
   "",
   _xlfn.LET(
      _xlpm.result,
      IFERROR(
         _xlfn.XLOOKUP(
            1,
            (Table8[رقم الصنف]=A1104) *
            (IF($B$9="الكل",1, YEAR('ادخال البيانات'!$N$3:$N$1164) = VALUE($B$9))) *
            (IF($B$10="الكل",1, MONTH('ادخال البيانات'!$N$3:$N$1164) = VALUE($B$10))) *
            (IF($B$11="الكل",1, INT((DAY('ادخال البيانات'!$N$3:$N$1164)-1)/7)+1 = VALUE($B$11))),
            'ادخال البيانات'!$F$3:$F$1164
         ),
         ""
      ),
      IF(_xlpm.result="", "", _xlpm.result)
   )
)</f>
        <v/>
      </c>
      <c r="G1104" s="27" t="str" cm="1">
        <f t="array" ref="G1104">IF(
   A1104="",
   "",
   _xlfn.LET(
      _xlpm.result,
      IFERROR(
         _xlfn.XLOOKUP(
            1,
            (Table8[رقم الصنف]=A1104) *
            (IF($B$9="الكل",1, YEAR('ادخال البيانات'!$N$3:$N$1164)=VALUE($B$9))) *
            (IF($B$10="الكل",1, MONTH('ادخال البيانات'!$N$3:$N$1164)=VALUE($B$10))) *
            (IF($B$11="الكل",1, INT((DAY('ادخال البيانات'!$N$3:$N$1164)-1)/7)+1 = VALUE($B$11))),
            'ادخال البيانات'!$G$3:$G$1164
         ),
         ""
      ),
      IF(_xlpm.result="", "", _xlpm.result)
   )
)</f>
        <v/>
      </c>
      <c r="H1104" s="27" t="str" cm="1">
        <f t="array" ref="H1104">IF(
   A1104="",
   "",
   _xlfn.LET(
      _xlpm.result,
      IFERROR(
         _xlfn.XLOOKUP(
            1,
            (Table8[رقم الصنف]=A1104) *
            (IF($B$9="الكل",1, YEAR('ادخال البيانات'!$N$3:$N$1164)=VALUE($B$9))) *
            (IF($B$10="الكل",1, MONTH('ادخال البيانات'!$N$3:$N$1164)=VALUE($B$10))) *
            (IF($B$11="الكل",1, INT((DAY('ادخال البيانات'!$N$3:$N$1164)-1)/7)+1 = VALUE($B$11))),
            'ادخال البيانات'!$H$3:$H$1164
         ),
         ""
      ),
      IF(_xlpm.result="", "", _xlpm.result)
   )
)</f>
        <v/>
      </c>
      <c r="I1104" s="27" t="str" cm="1">
        <f t="array" ref="I1104">IF(
   A1104="",
   "",
   _xlfn.LET(
      _xlpm.result,
      IFERROR(
         _xlfn.XLOOKUP(
            1,
            (Table8[رقم الصنف]=A1104) *
            (IF($B$9="الكل",1, YEAR('ادخال البيانات'!$N$3:$N$1164)=VALUE($B$9))) *
            (IF($B$10="الكل",1, MONTH('ادخال البيانات'!$N$3:$N$1164)=VALUE($B$10))) *
            (IF($B$11="الكل",1, INT((DAY('ادخال البيانات'!$N$3:$N$1164)-1)/7)+1 = VALUE($B$11))),
            'ادخال البيانات'!$I$3:$I$1164
         ),
         ""
      ),
      IF(_xlpm.result="", "", _xlpm.result)
   )
)</f>
        <v/>
      </c>
      <c r="J1104" s="27" t="str" cm="1">
        <f t="array" ref="J1104">IF(
   A1104="",
   "",
   _xlfn.LET(
      _xlpm.result,
      IFERROR(
         _xlfn.XLOOKUP(
            1,
            (Table8[رقم الصنف]=A1104) *
            (IF($B$9="الكل",1, YEAR('ادخال البيانات'!$N$3:$N$1164)=VALUE($B$9))) *
            (IF($B$10="الكل",1, MONTH('ادخال البيانات'!$N$3:$N$1164)=VALUE($B$10))) *
            (IF($B$11="الكل",1, INT((DAY('ادخال البيانات'!$N$3:$N$1164)-1)/7)+1 = VALUE($B$11))),
            'ادخال البيانات'!$J$3:$J$1164
         ),
         ""
      ),
      IF(_xlpm.result="", "", _xlpm.result)
   )
)</f>
        <v/>
      </c>
      <c r="K1104" s="27" t="str" cm="1">
        <f t="array" ref="K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4" s="27" t="str" cm="1">
        <f t="array" ref="L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4" s="27" t="str" cm="1">
        <f t="array" ref="M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4" s="28" t="str" cm="1">
        <f t="array" ref="N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4" s="28" t="str" cm="1">
        <f t="array" ref="O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4" s="27" t="str" cm="1">
        <f t="array" ref="P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Table8[جهة العطل]
         ),
         ""
      ),
      IF(_xlpm.result="", "", _xlpm.result)
   )
)</f>
        <v/>
      </c>
      <c r="Q1104" s="27" t="str" cm="1">
        <f t="array" ref="Q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Table8[المركز]
         ),
         ""
      ),
      IF(_xlpm.result="", "", _xlpm.result)
   )
)</f>
        <v/>
      </c>
      <c r="R1104" s="27" t="str" cm="1">
        <f t="array" ref="R1104">IF(
   A1104="",
   "",
   _xlfn.LET(
      _xlpm.result,
      IFERROR(
         _xlfn.XLOOKUP(
            1,
            (Table8[رقم الصنف]=A1104) *
            (IF($B$9="الكل",1, YEAR('ادخال البيانات'!$N$3:$N$1164) = VALUE($B$9))) *
            (IF($B$10="الكل",1, MONTH('ادخال البيانات'!$N$3:$N$1164) = VALUE($B$10))) *
            (IF($B$11="الكل",1, INT((DAY('ادخال البيانات'!$N$3:$N$1164) - 1) / 7) + 1 = VALUE($B$11))),
            Table8[ملاحظة]
         ),
         ""
      ),
      IF(_xlpm.result="", "", _xlpm.result)
   )
)</f>
        <v/>
      </c>
      <c r="S1104" s="46" t="str">
        <f t="shared" ca="1" si="18"/>
        <v/>
      </c>
    </row>
    <row r="1105" spans="1:19" ht="15.6" thickTop="1" thickBot="1" x14ac:dyDescent="0.35">
      <c r="A1105" s="39"/>
      <c r="B1105" s="27" t="str" cm="1">
        <f t="array" ref="B1105">IF(
   OR(A1105="", $B$9="", $B$10="", $B$11=""),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5" s="27" t="str" cm="1">
        <f t="array" ref="C1105">IF(
   A1105="",
   "",
   _xlfn.LET(
      _xlpm.result,
      IFERROR(
         _xlfn.XLOOKUP(
            1,
            (Table8[رقم الصنف]=A1105) *
            (IF($B$9="الكل",1, YEAR('ادخال البيانات'!$N$3:$N$1164) = VALUE($B$9))) *
            (IF($B$10="الكل",1, MONTH('ادخال البيانات'!$N$3:$N$1164) = VALUE($B$10))) *
            (IF($B$11="الكل",1, INT((DAY('ادخال البيانات'!$N$3:$N$1164)-1)/7)+1 = VALUE($B$11))),
            'ادخال البيانات'!$C$3:$C$1164
         ),
         ""
      ),
      IF(_xlpm.result="", "", _xlpm.result)
   )
)</f>
        <v/>
      </c>
      <c r="D1105" s="27" t="str" cm="1">
        <f t="array" ref="D1105">IF(
   OR(A1105="", $B$9="", $B$10="", $B$11=""),
   "",
   _xlfn.LET(
      _xlpm.result,
      IFERROR(
         _xlfn.XLOOKUP(
            1,
            (Table8[رقم الصنف]=A1105) *
            (IF($B$9="الكل",1, YEAR('ادخال البيانات'!$N$3:$N$1164)=VALUE($B$9))) *
            (IF($B$10="الكل",1, MONTH('ادخال البيانات'!$N$3:$N$1164)=VALUE($B$10))) *
            (IF($B$11="الكل",1, INT((DAY('ادخال البيانات'!$N$3:$N$1164)-1)/7)+1 = VALUE($B$11))),
            'ادخال البيانات'!$D$3:$D$1164
         ),
         ""
      ),
      IF(_xlpm.result="", "", _xlpm.result)
   )
)</f>
        <v/>
      </c>
      <c r="E1105" s="27" t="str" cm="1">
        <f t="array" ref="E1105">IF(
   A1105="",
   "",
   _xlfn.LET(
      _xlpm.result,
      IFERROR(
         _xlfn.XLOOKUP(
            1,
            (Table8[رقم الصنف]=A1105) *
            (IF($B$9="الكل",1, YEAR('ادخال البيانات'!$N$3:$N$1164)=VALUE($B$9))) *
            (IF($B$10="الكل",1, MONTH('ادخال البيانات'!$N$3:$N$1164)=VALUE($B$10))) *
            (IF($B$11="الكل",1, INT((DAY('ادخال البيانات'!$N$3:$N$1164)-1)/7)+1 = VALUE($B$11))),
            'ادخال البيانات'!$E$3:$E$1164
         ),
         ""
      ),
      IF(_xlpm.result="", "", _xlpm.result)
   )
)</f>
        <v/>
      </c>
      <c r="F1105" s="27" t="str" cm="1">
        <f t="array" ref="F1105">IF(
   A1105="",
   "",
   _xlfn.LET(
      _xlpm.result,
      IFERROR(
         _xlfn.XLOOKUP(
            1,
            (Table8[رقم الصنف]=A1105) *
            (IF($B$9="الكل",1, YEAR('ادخال البيانات'!$N$3:$N$1164) = VALUE($B$9))) *
            (IF($B$10="الكل",1, MONTH('ادخال البيانات'!$N$3:$N$1164) = VALUE($B$10))) *
            (IF($B$11="الكل",1, INT((DAY('ادخال البيانات'!$N$3:$N$1164)-1)/7)+1 = VALUE($B$11))),
            'ادخال البيانات'!$F$3:$F$1164
         ),
         ""
      ),
      IF(_xlpm.result="", "", _xlpm.result)
   )
)</f>
        <v/>
      </c>
      <c r="G1105" s="27" t="str" cm="1">
        <f t="array" ref="G1105">IF(
   A1105="",
   "",
   _xlfn.LET(
      _xlpm.result,
      IFERROR(
         _xlfn.XLOOKUP(
            1,
            (Table8[رقم الصنف]=A1105) *
            (IF($B$9="الكل",1, YEAR('ادخال البيانات'!$N$3:$N$1164)=VALUE($B$9))) *
            (IF($B$10="الكل",1, MONTH('ادخال البيانات'!$N$3:$N$1164)=VALUE($B$10))) *
            (IF($B$11="الكل",1, INT((DAY('ادخال البيانات'!$N$3:$N$1164)-1)/7)+1 = VALUE($B$11))),
            'ادخال البيانات'!$G$3:$G$1164
         ),
         ""
      ),
      IF(_xlpm.result="", "", _xlpm.result)
   )
)</f>
        <v/>
      </c>
      <c r="H1105" s="27" t="str" cm="1">
        <f t="array" ref="H1105">IF(
   A1105="",
   "",
   _xlfn.LET(
      _xlpm.result,
      IFERROR(
         _xlfn.XLOOKUP(
            1,
            (Table8[رقم الصنف]=A1105) *
            (IF($B$9="الكل",1, YEAR('ادخال البيانات'!$N$3:$N$1164)=VALUE($B$9))) *
            (IF($B$10="الكل",1, MONTH('ادخال البيانات'!$N$3:$N$1164)=VALUE($B$10))) *
            (IF($B$11="الكل",1, INT((DAY('ادخال البيانات'!$N$3:$N$1164)-1)/7)+1 = VALUE($B$11))),
            'ادخال البيانات'!$H$3:$H$1164
         ),
         ""
      ),
      IF(_xlpm.result="", "", _xlpm.result)
   )
)</f>
        <v/>
      </c>
      <c r="I1105" s="27" t="str" cm="1">
        <f t="array" ref="I1105">IF(
   A1105="",
   "",
   _xlfn.LET(
      _xlpm.result,
      IFERROR(
         _xlfn.XLOOKUP(
            1,
            (Table8[رقم الصنف]=A1105) *
            (IF($B$9="الكل",1, YEAR('ادخال البيانات'!$N$3:$N$1164)=VALUE($B$9))) *
            (IF($B$10="الكل",1, MONTH('ادخال البيانات'!$N$3:$N$1164)=VALUE($B$10))) *
            (IF($B$11="الكل",1, INT((DAY('ادخال البيانات'!$N$3:$N$1164)-1)/7)+1 = VALUE($B$11))),
            'ادخال البيانات'!$I$3:$I$1164
         ),
         ""
      ),
      IF(_xlpm.result="", "", _xlpm.result)
   )
)</f>
        <v/>
      </c>
      <c r="J1105" s="27" t="str" cm="1">
        <f t="array" ref="J1105">IF(
   A1105="",
   "",
   _xlfn.LET(
      _xlpm.result,
      IFERROR(
         _xlfn.XLOOKUP(
            1,
            (Table8[رقم الصنف]=A1105) *
            (IF($B$9="الكل",1, YEAR('ادخال البيانات'!$N$3:$N$1164)=VALUE($B$9))) *
            (IF($B$10="الكل",1, MONTH('ادخال البيانات'!$N$3:$N$1164)=VALUE($B$10))) *
            (IF($B$11="الكل",1, INT((DAY('ادخال البيانات'!$N$3:$N$1164)-1)/7)+1 = VALUE($B$11))),
            'ادخال البيانات'!$J$3:$J$1164
         ),
         ""
      ),
      IF(_xlpm.result="", "", _xlpm.result)
   )
)</f>
        <v/>
      </c>
      <c r="K1105" s="27" t="str" cm="1">
        <f t="array" ref="K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5" s="27" t="str" cm="1">
        <f t="array" ref="L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5" s="27" t="str" cm="1">
        <f t="array" ref="M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5" s="28" t="str" cm="1">
        <f t="array" ref="N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5" s="28" t="str" cm="1">
        <f t="array" ref="O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5" s="27" t="str" cm="1">
        <f t="array" ref="P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Table8[جهة العطل]
         ),
         ""
      ),
      IF(_xlpm.result="", "", _xlpm.result)
   )
)</f>
        <v/>
      </c>
      <c r="Q1105" s="27" t="str" cm="1">
        <f t="array" ref="Q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Table8[المركز]
         ),
         ""
      ),
      IF(_xlpm.result="", "", _xlpm.result)
   )
)</f>
        <v/>
      </c>
      <c r="R1105" s="27" t="str" cm="1">
        <f t="array" ref="R1105">IF(
   A1105="",
   "",
   _xlfn.LET(
      _xlpm.result,
      IFERROR(
         _xlfn.XLOOKUP(
            1,
            (Table8[رقم الصنف]=A1105) *
            (IF($B$9="الكل",1, YEAR('ادخال البيانات'!$N$3:$N$1164) = VALUE($B$9))) *
            (IF($B$10="الكل",1, MONTH('ادخال البيانات'!$N$3:$N$1164) = VALUE($B$10))) *
            (IF($B$11="الكل",1, INT((DAY('ادخال البيانات'!$N$3:$N$1164) - 1) / 7) + 1 = VALUE($B$11))),
            Table8[ملاحظة]
         ),
         ""
      ),
      IF(_xlpm.result="", "", _xlpm.result)
   )
)</f>
        <v/>
      </c>
      <c r="S1105" s="46" t="str">
        <f t="shared" ca="1" si="18"/>
        <v/>
      </c>
    </row>
    <row r="1106" spans="1:19" ht="15.6" thickTop="1" thickBot="1" x14ac:dyDescent="0.35">
      <c r="A1106" s="39"/>
      <c r="B1106" s="27" t="str" cm="1">
        <f t="array" ref="B1106">IF(
   OR(A1106="", $B$9="", $B$10="", $B$11=""),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6" s="27" t="str" cm="1">
        <f t="array" ref="C1106">IF(
   A1106="",
   "",
   _xlfn.LET(
      _xlpm.result,
      IFERROR(
         _xlfn.XLOOKUP(
            1,
            (Table8[رقم الصنف]=A1106) *
            (IF($B$9="الكل",1, YEAR('ادخال البيانات'!$N$3:$N$1164) = VALUE($B$9))) *
            (IF($B$10="الكل",1, MONTH('ادخال البيانات'!$N$3:$N$1164) = VALUE($B$10))) *
            (IF($B$11="الكل",1, INT((DAY('ادخال البيانات'!$N$3:$N$1164)-1)/7)+1 = VALUE($B$11))),
            'ادخال البيانات'!$C$3:$C$1164
         ),
         ""
      ),
      IF(_xlpm.result="", "", _xlpm.result)
   )
)</f>
        <v/>
      </c>
      <c r="D1106" s="27" t="str" cm="1">
        <f t="array" ref="D1106">IF(
   OR(A1106="", $B$9="", $B$10="", $B$11=""),
   "",
   _xlfn.LET(
      _xlpm.result,
      IFERROR(
         _xlfn.XLOOKUP(
            1,
            (Table8[رقم الصنف]=A1106) *
            (IF($B$9="الكل",1, YEAR('ادخال البيانات'!$N$3:$N$1164)=VALUE($B$9))) *
            (IF($B$10="الكل",1, MONTH('ادخال البيانات'!$N$3:$N$1164)=VALUE($B$10))) *
            (IF($B$11="الكل",1, INT((DAY('ادخال البيانات'!$N$3:$N$1164)-1)/7)+1 = VALUE($B$11))),
            'ادخال البيانات'!$D$3:$D$1164
         ),
         ""
      ),
      IF(_xlpm.result="", "", _xlpm.result)
   )
)</f>
        <v/>
      </c>
      <c r="E1106" s="27" t="str" cm="1">
        <f t="array" ref="E1106">IF(
   A1106="",
   "",
   _xlfn.LET(
      _xlpm.result,
      IFERROR(
         _xlfn.XLOOKUP(
            1,
            (Table8[رقم الصنف]=A1106) *
            (IF($B$9="الكل",1, YEAR('ادخال البيانات'!$N$3:$N$1164)=VALUE($B$9))) *
            (IF($B$10="الكل",1, MONTH('ادخال البيانات'!$N$3:$N$1164)=VALUE($B$10))) *
            (IF($B$11="الكل",1, INT((DAY('ادخال البيانات'!$N$3:$N$1164)-1)/7)+1 = VALUE($B$11))),
            'ادخال البيانات'!$E$3:$E$1164
         ),
         ""
      ),
      IF(_xlpm.result="", "", _xlpm.result)
   )
)</f>
        <v/>
      </c>
      <c r="F1106" s="27" t="str" cm="1">
        <f t="array" ref="F1106">IF(
   A1106="",
   "",
   _xlfn.LET(
      _xlpm.result,
      IFERROR(
         _xlfn.XLOOKUP(
            1,
            (Table8[رقم الصنف]=A1106) *
            (IF($B$9="الكل",1, YEAR('ادخال البيانات'!$N$3:$N$1164) = VALUE($B$9))) *
            (IF($B$10="الكل",1, MONTH('ادخال البيانات'!$N$3:$N$1164) = VALUE($B$10))) *
            (IF($B$11="الكل",1, INT((DAY('ادخال البيانات'!$N$3:$N$1164)-1)/7)+1 = VALUE($B$11))),
            'ادخال البيانات'!$F$3:$F$1164
         ),
         ""
      ),
      IF(_xlpm.result="", "", _xlpm.result)
   )
)</f>
        <v/>
      </c>
      <c r="G1106" s="27" t="str" cm="1">
        <f t="array" ref="G1106">IF(
   A1106="",
   "",
   _xlfn.LET(
      _xlpm.result,
      IFERROR(
         _xlfn.XLOOKUP(
            1,
            (Table8[رقم الصنف]=A1106) *
            (IF($B$9="الكل",1, YEAR('ادخال البيانات'!$N$3:$N$1164)=VALUE($B$9))) *
            (IF($B$10="الكل",1, MONTH('ادخال البيانات'!$N$3:$N$1164)=VALUE($B$10))) *
            (IF($B$11="الكل",1, INT((DAY('ادخال البيانات'!$N$3:$N$1164)-1)/7)+1 = VALUE($B$11))),
            'ادخال البيانات'!$G$3:$G$1164
         ),
         ""
      ),
      IF(_xlpm.result="", "", _xlpm.result)
   )
)</f>
        <v/>
      </c>
      <c r="H1106" s="27" t="str" cm="1">
        <f t="array" ref="H1106">IF(
   A1106="",
   "",
   _xlfn.LET(
      _xlpm.result,
      IFERROR(
         _xlfn.XLOOKUP(
            1,
            (Table8[رقم الصنف]=A1106) *
            (IF($B$9="الكل",1, YEAR('ادخال البيانات'!$N$3:$N$1164)=VALUE($B$9))) *
            (IF($B$10="الكل",1, MONTH('ادخال البيانات'!$N$3:$N$1164)=VALUE($B$10))) *
            (IF($B$11="الكل",1, INT((DAY('ادخال البيانات'!$N$3:$N$1164)-1)/7)+1 = VALUE($B$11))),
            'ادخال البيانات'!$H$3:$H$1164
         ),
         ""
      ),
      IF(_xlpm.result="", "", _xlpm.result)
   )
)</f>
        <v/>
      </c>
      <c r="I1106" s="27" t="str" cm="1">
        <f t="array" ref="I1106">IF(
   A1106="",
   "",
   _xlfn.LET(
      _xlpm.result,
      IFERROR(
         _xlfn.XLOOKUP(
            1,
            (Table8[رقم الصنف]=A1106) *
            (IF($B$9="الكل",1, YEAR('ادخال البيانات'!$N$3:$N$1164)=VALUE($B$9))) *
            (IF($B$10="الكل",1, MONTH('ادخال البيانات'!$N$3:$N$1164)=VALUE($B$10))) *
            (IF($B$11="الكل",1, INT((DAY('ادخال البيانات'!$N$3:$N$1164)-1)/7)+1 = VALUE($B$11))),
            'ادخال البيانات'!$I$3:$I$1164
         ),
         ""
      ),
      IF(_xlpm.result="", "", _xlpm.result)
   )
)</f>
        <v/>
      </c>
      <c r="J1106" s="27" t="str" cm="1">
        <f t="array" ref="J1106">IF(
   A1106="",
   "",
   _xlfn.LET(
      _xlpm.result,
      IFERROR(
         _xlfn.XLOOKUP(
            1,
            (Table8[رقم الصنف]=A1106) *
            (IF($B$9="الكل",1, YEAR('ادخال البيانات'!$N$3:$N$1164)=VALUE($B$9))) *
            (IF($B$10="الكل",1, MONTH('ادخال البيانات'!$N$3:$N$1164)=VALUE($B$10))) *
            (IF($B$11="الكل",1, INT((DAY('ادخال البيانات'!$N$3:$N$1164)-1)/7)+1 = VALUE($B$11))),
            'ادخال البيانات'!$J$3:$J$1164
         ),
         ""
      ),
      IF(_xlpm.result="", "", _xlpm.result)
   )
)</f>
        <v/>
      </c>
      <c r="K1106" s="27" t="str" cm="1">
        <f t="array" ref="K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6" s="27" t="str" cm="1">
        <f t="array" ref="L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6" s="27" t="str" cm="1">
        <f t="array" ref="M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6" s="28" t="str" cm="1">
        <f t="array" ref="N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6" s="28" t="str" cm="1">
        <f t="array" ref="O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6" s="27" t="str" cm="1">
        <f t="array" ref="P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Table8[جهة العطل]
         ),
         ""
      ),
      IF(_xlpm.result="", "", _xlpm.result)
   )
)</f>
        <v/>
      </c>
      <c r="Q1106" s="27" t="str" cm="1">
        <f t="array" ref="Q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Table8[المركز]
         ),
         ""
      ),
      IF(_xlpm.result="", "", _xlpm.result)
   )
)</f>
        <v/>
      </c>
      <c r="R1106" s="27" t="str" cm="1">
        <f t="array" ref="R1106">IF(
   A1106="",
   "",
   _xlfn.LET(
      _xlpm.result,
      IFERROR(
         _xlfn.XLOOKUP(
            1,
            (Table8[رقم الصنف]=A1106) *
            (IF($B$9="الكل",1, YEAR('ادخال البيانات'!$N$3:$N$1164) = VALUE($B$9))) *
            (IF($B$10="الكل",1, MONTH('ادخال البيانات'!$N$3:$N$1164) = VALUE($B$10))) *
            (IF($B$11="الكل",1, INT((DAY('ادخال البيانات'!$N$3:$N$1164) - 1) / 7) + 1 = VALUE($B$11))),
            Table8[ملاحظة]
         ),
         ""
      ),
      IF(_xlpm.result="", "", _xlpm.result)
   )
)</f>
        <v/>
      </c>
      <c r="S1106" s="46" t="str">
        <f t="shared" ca="1" si="18"/>
        <v/>
      </c>
    </row>
    <row r="1107" spans="1:19" ht="15.6" thickTop="1" thickBot="1" x14ac:dyDescent="0.35">
      <c r="A1107" s="39"/>
      <c r="B1107" s="27" t="str" cm="1">
        <f t="array" ref="B1107">IF(
   OR(A1107="", $B$9="", $B$10="", $B$11=""),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7" s="27" t="str" cm="1">
        <f t="array" ref="C1107">IF(
   A1107="",
   "",
   _xlfn.LET(
      _xlpm.result,
      IFERROR(
         _xlfn.XLOOKUP(
            1,
            (Table8[رقم الصنف]=A1107) *
            (IF($B$9="الكل",1, YEAR('ادخال البيانات'!$N$3:$N$1164) = VALUE($B$9))) *
            (IF($B$10="الكل",1, MONTH('ادخال البيانات'!$N$3:$N$1164) = VALUE($B$10))) *
            (IF($B$11="الكل",1, INT((DAY('ادخال البيانات'!$N$3:$N$1164)-1)/7)+1 = VALUE($B$11))),
            'ادخال البيانات'!$C$3:$C$1164
         ),
         ""
      ),
      IF(_xlpm.result="", "", _xlpm.result)
   )
)</f>
        <v/>
      </c>
      <c r="D1107" s="27" t="str" cm="1">
        <f t="array" ref="D1107">IF(
   OR(A1107="", $B$9="", $B$10="", $B$11=""),
   "",
   _xlfn.LET(
      _xlpm.result,
      IFERROR(
         _xlfn.XLOOKUP(
            1,
            (Table8[رقم الصنف]=A1107) *
            (IF($B$9="الكل",1, YEAR('ادخال البيانات'!$N$3:$N$1164)=VALUE($B$9))) *
            (IF($B$10="الكل",1, MONTH('ادخال البيانات'!$N$3:$N$1164)=VALUE($B$10))) *
            (IF($B$11="الكل",1, INT((DAY('ادخال البيانات'!$N$3:$N$1164)-1)/7)+1 = VALUE($B$11))),
            'ادخال البيانات'!$D$3:$D$1164
         ),
         ""
      ),
      IF(_xlpm.result="", "", _xlpm.result)
   )
)</f>
        <v/>
      </c>
      <c r="E1107" s="27" t="str" cm="1">
        <f t="array" ref="E1107">IF(
   A1107="",
   "",
   _xlfn.LET(
      _xlpm.result,
      IFERROR(
         _xlfn.XLOOKUP(
            1,
            (Table8[رقم الصنف]=A1107) *
            (IF($B$9="الكل",1, YEAR('ادخال البيانات'!$N$3:$N$1164)=VALUE($B$9))) *
            (IF($B$10="الكل",1, MONTH('ادخال البيانات'!$N$3:$N$1164)=VALUE($B$10))) *
            (IF($B$11="الكل",1, INT((DAY('ادخال البيانات'!$N$3:$N$1164)-1)/7)+1 = VALUE($B$11))),
            'ادخال البيانات'!$E$3:$E$1164
         ),
         ""
      ),
      IF(_xlpm.result="", "", _xlpm.result)
   )
)</f>
        <v/>
      </c>
      <c r="F1107" s="27" t="str" cm="1">
        <f t="array" ref="F1107">IF(
   A1107="",
   "",
   _xlfn.LET(
      _xlpm.result,
      IFERROR(
         _xlfn.XLOOKUP(
            1,
            (Table8[رقم الصنف]=A1107) *
            (IF($B$9="الكل",1, YEAR('ادخال البيانات'!$N$3:$N$1164) = VALUE($B$9))) *
            (IF($B$10="الكل",1, MONTH('ادخال البيانات'!$N$3:$N$1164) = VALUE($B$10))) *
            (IF($B$11="الكل",1, INT((DAY('ادخال البيانات'!$N$3:$N$1164)-1)/7)+1 = VALUE($B$11))),
            'ادخال البيانات'!$F$3:$F$1164
         ),
         ""
      ),
      IF(_xlpm.result="", "", _xlpm.result)
   )
)</f>
        <v/>
      </c>
      <c r="G1107" s="27" t="str" cm="1">
        <f t="array" ref="G1107">IF(
   A1107="",
   "",
   _xlfn.LET(
      _xlpm.result,
      IFERROR(
         _xlfn.XLOOKUP(
            1,
            (Table8[رقم الصنف]=A1107) *
            (IF($B$9="الكل",1, YEAR('ادخال البيانات'!$N$3:$N$1164)=VALUE($B$9))) *
            (IF($B$10="الكل",1, MONTH('ادخال البيانات'!$N$3:$N$1164)=VALUE($B$10))) *
            (IF($B$11="الكل",1, INT((DAY('ادخال البيانات'!$N$3:$N$1164)-1)/7)+1 = VALUE($B$11))),
            'ادخال البيانات'!$G$3:$G$1164
         ),
         ""
      ),
      IF(_xlpm.result="", "", _xlpm.result)
   )
)</f>
        <v/>
      </c>
      <c r="H1107" s="27" t="str" cm="1">
        <f t="array" ref="H1107">IF(
   A1107="",
   "",
   _xlfn.LET(
      _xlpm.result,
      IFERROR(
         _xlfn.XLOOKUP(
            1,
            (Table8[رقم الصنف]=A1107) *
            (IF($B$9="الكل",1, YEAR('ادخال البيانات'!$N$3:$N$1164)=VALUE($B$9))) *
            (IF($B$10="الكل",1, MONTH('ادخال البيانات'!$N$3:$N$1164)=VALUE($B$10))) *
            (IF($B$11="الكل",1, INT((DAY('ادخال البيانات'!$N$3:$N$1164)-1)/7)+1 = VALUE($B$11))),
            'ادخال البيانات'!$H$3:$H$1164
         ),
         ""
      ),
      IF(_xlpm.result="", "", _xlpm.result)
   )
)</f>
        <v/>
      </c>
      <c r="I1107" s="27" t="str" cm="1">
        <f t="array" ref="I1107">IF(
   A1107="",
   "",
   _xlfn.LET(
      _xlpm.result,
      IFERROR(
         _xlfn.XLOOKUP(
            1,
            (Table8[رقم الصنف]=A1107) *
            (IF($B$9="الكل",1, YEAR('ادخال البيانات'!$N$3:$N$1164)=VALUE($B$9))) *
            (IF($B$10="الكل",1, MONTH('ادخال البيانات'!$N$3:$N$1164)=VALUE($B$10))) *
            (IF($B$11="الكل",1, INT((DAY('ادخال البيانات'!$N$3:$N$1164)-1)/7)+1 = VALUE($B$11))),
            'ادخال البيانات'!$I$3:$I$1164
         ),
         ""
      ),
      IF(_xlpm.result="", "", _xlpm.result)
   )
)</f>
        <v/>
      </c>
      <c r="J1107" s="27" t="str" cm="1">
        <f t="array" ref="J1107">IF(
   A1107="",
   "",
   _xlfn.LET(
      _xlpm.result,
      IFERROR(
         _xlfn.XLOOKUP(
            1,
            (Table8[رقم الصنف]=A1107) *
            (IF($B$9="الكل",1, YEAR('ادخال البيانات'!$N$3:$N$1164)=VALUE($B$9))) *
            (IF($B$10="الكل",1, MONTH('ادخال البيانات'!$N$3:$N$1164)=VALUE($B$10))) *
            (IF($B$11="الكل",1, INT((DAY('ادخال البيانات'!$N$3:$N$1164)-1)/7)+1 = VALUE($B$11))),
            'ادخال البيانات'!$J$3:$J$1164
         ),
         ""
      ),
      IF(_xlpm.result="", "", _xlpm.result)
   )
)</f>
        <v/>
      </c>
      <c r="K1107" s="27" t="str" cm="1">
        <f t="array" ref="K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7" s="27" t="str" cm="1">
        <f t="array" ref="L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7" s="27" t="str" cm="1">
        <f t="array" ref="M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7" s="28" t="str" cm="1">
        <f t="array" ref="N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7" s="28" t="str" cm="1">
        <f t="array" ref="O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7" s="27" t="str" cm="1">
        <f t="array" ref="P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Table8[جهة العطل]
         ),
         ""
      ),
      IF(_xlpm.result="", "", _xlpm.result)
   )
)</f>
        <v/>
      </c>
      <c r="Q1107" s="27" t="str" cm="1">
        <f t="array" ref="Q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Table8[المركز]
         ),
         ""
      ),
      IF(_xlpm.result="", "", _xlpm.result)
   )
)</f>
        <v/>
      </c>
      <c r="R1107" s="27" t="str" cm="1">
        <f t="array" ref="R1107">IF(
   A1107="",
   "",
   _xlfn.LET(
      _xlpm.result,
      IFERROR(
         _xlfn.XLOOKUP(
            1,
            (Table8[رقم الصنف]=A1107) *
            (IF($B$9="الكل",1, YEAR('ادخال البيانات'!$N$3:$N$1164) = VALUE($B$9))) *
            (IF($B$10="الكل",1, MONTH('ادخال البيانات'!$N$3:$N$1164) = VALUE($B$10))) *
            (IF($B$11="الكل",1, INT((DAY('ادخال البيانات'!$N$3:$N$1164) - 1) / 7) + 1 = VALUE($B$11))),
            Table8[ملاحظة]
         ),
         ""
      ),
      IF(_xlpm.result="", "", _xlpm.result)
   )
)</f>
        <v/>
      </c>
      <c r="S1107" s="46" t="str">
        <f t="shared" ca="1" si="18"/>
        <v/>
      </c>
    </row>
    <row r="1108" spans="1:19" ht="15.6" thickTop="1" thickBot="1" x14ac:dyDescent="0.35">
      <c r="A1108" s="39"/>
      <c r="B1108" s="27" t="str" cm="1">
        <f t="array" ref="B1108">IF(
   OR(A1108="", $B$9="", $B$10="", $B$11=""),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8" s="27" t="str" cm="1">
        <f t="array" ref="C1108">IF(
   A1108="",
   "",
   _xlfn.LET(
      _xlpm.result,
      IFERROR(
         _xlfn.XLOOKUP(
            1,
            (Table8[رقم الصنف]=A1108) *
            (IF($B$9="الكل",1, YEAR('ادخال البيانات'!$N$3:$N$1164) = VALUE($B$9))) *
            (IF($B$10="الكل",1, MONTH('ادخال البيانات'!$N$3:$N$1164) = VALUE($B$10))) *
            (IF($B$11="الكل",1, INT((DAY('ادخال البيانات'!$N$3:$N$1164)-1)/7)+1 = VALUE($B$11))),
            'ادخال البيانات'!$C$3:$C$1164
         ),
         ""
      ),
      IF(_xlpm.result="", "", _xlpm.result)
   )
)</f>
        <v/>
      </c>
      <c r="D1108" s="27" t="str" cm="1">
        <f t="array" ref="D1108">IF(
   OR(A1108="", $B$9="", $B$10="", $B$11=""),
   "",
   _xlfn.LET(
      _xlpm.result,
      IFERROR(
         _xlfn.XLOOKUP(
            1,
            (Table8[رقم الصنف]=A1108) *
            (IF($B$9="الكل",1, YEAR('ادخال البيانات'!$N$3:$N$1164)=VALUE($B$9))) *
            (IF($B$10="الكل",1, MONTH('ادخال البيانات'!$N$3:$N$1164)=VALUE($B$10))) *
            (IF($B$11="الكل",1, INT((DAY('ادخال البيانات'!$N$3:$N$1164)-1)/7)+1 = VALUE($B$11))),
            'ادخال البيانات'!$D$3:$D$1164
         ),
         ""
      ),
      IF(_xlpm.result="", "", _xlpm.result)
   )
)</f>
        <v/>
      </c>
      <c r="E1108" s="27" t="str" cm="1">
        <f t="array" ref="E1108">IF(
   A1108="",
   "",
   _xlfn.LET(
      _xlpm.result,
      IFERROR(
         _xlfn.XLOOKUP(
            1,
            (Table8[رقم الصنف]=A1108) *
            (IF($B$9="الكل",1, YEAR('ادخال البيانات'!$N$3:$N$1164)=VALUE($B$9))) *
            (IF($B$10="الكل",1, MONTH('ادخال البيانات'!$N$3:$N$1164)=VALUE($B$10))) *
            (IF($B$11="الكل",1, INT((DAY('ادخال البيانات'!$N$3:$N$1164)-1)/7)+1 = VALUE($B$11))),
            'ادخال البيانات'!$E$3:$E$1164
         ),
         ""
      ),
      IF(_xlpm.result="", "", _xlpm.result)
   )
)</f>
        <v/>
      </c>
      <c r="F1108" s="27" t="str" cm="1">
        <f t="array" ref="F1108">IF(
   A1108="",
   "",
   _xlfn.LET(
      _xlpm.result,
      IFERROR(
         _xlfn.XLOOKUP(
            1,
            (Table8[رقم الصنف]=A1108) *
            (IF($B$9="الكل",1, YEAR('ادخال البيانات'!$N$3:$N$1164) = VALUE($B$9))) *
            (IF($B$10="الكل",1, MONTH('ادخال البيانات'!$N$3:$N$1164) = VALUE($B$10))) *
            (IF($B$11="الكل",1, INT((DAY('ادخال البيانات'!$N$3:$N$1164)-1)/7)+1 = VALUE($B$11))),
            'ادخال البيانات'!$F$3:$F$1164
         ),
         ""
      ),
      IF(_xlpm.result="", "", _xlpm.result)
   )
)</f>
        <v/>
      </c>
      <c r="G1108" s="27" t="str" cm="1">
        <f t="array" ref="G1108">IF(
   A1108="",
   "",
   _xlfn.LET(
      _xlpm.result,
      IFERROR(
         _xlfn.XLOOKUP(
            1,
            (Table8[رقم الصنف]=A1108) *
            (IF($B$9="الكل",1, YEAR('ادخال البيانات'!$N$3:$N$1164)=VALUE($B$9))) *
            (IF($B$10="الكل",1, MONTH('ادخال البيانات'!$N$3:$N$1164)=VALUE($B$10))) *
            (IF($B$11="الكل",1, INT((DAY('ادخال البيانات'!$N$3:$N$1164)-1)/7)+1 = VALUE($B$11))),
            'ادخال البيانات'!$G$3:$G$1164
         ),
         ""
      ),
      IF(_xlpm.result="", "", _xlpm.result)
   )
)</f>
        <v/>
      </c>
      <c r="H1108" s="27" t="str" cm="1">
        <f t="array" ref="H1108">IF(
   A1108="",
   "",
   _xlfn.LET(
      _xlpm.result,
      IFERROR(
         _xlfn.XLOOKUP(
            1,
            (Table8[رقم الصنف]=A1108) *
            (IF($B$9="الكل",1, YEAR('ادخال البيانات'!$N$3:$N$1164)=VALUE($B$9))) *
            (IF($B$10="الكل",1, MONTH('ادخال البيانات'!$N$3:$N$1164)=VALUE($B$10))) *
            (IF($B$11="الكل",1, INT((DAY('ادخال البيانات'!$N$3:$N$1164)-1)/7)+1 = VALUE($B$11))),
            'ادخال البيانات'!$H$3:$H$1164
         ),
         ""
      ),
      IF(_xlpm.result="", "", _xlpm.result)
   )
)</f>
        <v/>
      </c>
      <c r="I1108" s="27" t="str" cm="1">
        <f t="array" ref="I1108">IF(
   A1108="",
   "",
   _xlfn.LET(
      _xlpm.result,
      IFERROR(
         _xlfn.XLOOKUP(
            1,
            (Table8[رقم الصنف]=A1108) *
            (IF($B$9="الكل",1, YEAR('ادخال البيانات'!$N$3:$N$1164)=VALUE($B$9))) *
            (IF($B$10="الكل",1, MONTH('ادخال البيانات'!$N$3:$N$1164)=VALUE($B$10))) *
            (IF($B$11="الكل",1, INT((DAY('ادخال البيانات'!$N$3:$N$1164)-1)/7)+1 = VALUE($B$11))),
            'ادخال البيانات'!$I$3:$I$1164
         ),
         ""
      ),
      IF(_xlpm.result="", "", _xlpm.result)
   )
)</f>
        <v/>
      </c>
      <c r="J1108" s="27" t="str" cm="1">
        <f t="array" ref="J1108">IF(
   A1108="",
   "",
   _xlfn.LET(
      _xlpm.result,
      IFERROR(
         _xlfn.XLOOKUP(
            1,
            (Table8[رقم الصنف]=A1108) *
            (IF($B$9="الكل",1, YEAR('ادخال البيانات'!$N$3:$N$1164)=VALUE($B$9))) *
            (IF($B$10="الكل",1, MONTH('ادخال البيانات'!$N$3:$N$1164)=VALUE($B$10))) *
            (IF($B$11="الكل",1, INT((DAY('ادخال البيانات'!$N$3:$N$1164)-1)/7)+1 = VALUE($B$11))),
            'ادخال البيانات'!$J$3:$J$1164
         ),
         ""
      ),
      IF(_xlpm.result="", "", _xlpm.result)
   )
)</f>
        <v/>
      </c>
      <c r="K1108" s="27" t="str" cm="1">
        <f t="array" ref="K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8" s="27" t="str" cm="1">
        <f t="array" ref="L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8" s="27" t="str" cm="1">
        <f t="array" ref="M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8" s="28" t="str" cm="1">
        <f t="array" ref="N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8" s="28" t="str" cm="1">
        <f t="array" ref="O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8" s="27" t="str" cm="1">
        <f t="array" ref="P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Table8[جهة العطل]
         ),
         ""
      ),
      IF(_xlpm.result="", "", _xlpm.result)
   )
)</f>
        <v/>
      </c>
      <c r="Q1108" s="27" t="str" cm="1">
        <f t="array" ref="Q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Table8[المركز]
         ),
         ""
      ),
      IF(_xlpm.result="", "", _xlpm.result)
   )
)</f>
        <v/>
      </c>
      <c r="R1108" s="27" t="str" cm="1">
        <f t="array" ref="R1108">IF(
   A1108="",
   "",
   _xlfn.LET(
      _xlpm.result,
      IFERROR(
         _xlfn.XLOOKUP(
            1,
            (Table8[رقم الصنف]=A1108) *
            (IF($B$9="الكل",1, YEAR('ادخال البيانات'!$N$3:$N$1164) = VALUE($B$9))) *
            (IF($B$10="الكل",1, MONTH('ادخال البيانات'!$N$3:$N$1164) = VALUE($B$10))) *
            (IF($B$11="الكل",1, INT((DAY('ادخال البيانات'!$N$3:$N$1164) - 1) / 7) + 1 = VALUE($B$11))),
            Table8[ملاحظة]
         ),
         ""
      ),
      IF(_xlpm.result="", "", _xlpm.result)
   )
)</f>
        <v/>
      </c>
      <c r="S1108" s="46" t="str">
        <f t="shared" ca="1" si="18"/>
        <v/>
      </c>
    </row>
    <row r="1109" spans="1:19" ht="15.6" thickTop="1" thickBot="1" x14ac:dyDescent="0.35">
      <c r="A1109" s="39"/>
      <c r="B1109" s="27" t="str" cm="1">
        <f t="array" ref="B1109">IF(
   OR(A1109="", $B$9="", $B$10="", $B$11=""),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09" s="27" t="str" cm="1">
        <f t="array" ref="C1109">IF(
   A1109="",
   "",
   _xlfn.LET(
      _xlpm.result,
      IFERROR(
         _xlfn.XLOOKUP(
            1,
            (Table8[رقم الصنف]=A1109) *
            (IF($B$9="الكل",1, YEAR('ادخال البيانات'!$N$3:$N$1164) = VALUE($B$9))) *
            (IF($B$10="الكل",1, MONTH('ادخال البيانات'!$N$3:$N$1164) = VALUE($B$10))) *
            (IF($B$11="الكل",1, INT((DAY('ادخال البيانات'!$N$3:$N$1164)-1)/7)+1 = VALUE($B$11))),
            'ادخال البيانات'!$C$3:$C$1164
         ),
         ""
      ),
      IF(_xlpm.result="", "", _xlpm.result)
   )
)</f>
        <v/>
      </c>
      <c r="D1109" s="27" t="str" cm="1">
        <f t="array" ref="D1109">IF(
   OR(A1109="", $B$9="", $B$10="", $B$11=""),
   "",
   _xlfn.LET(
      _xlpm.result,
      IFERROR(
         _xlfn.XLOOKUP(
            1,
            (Table8[رقم الصنف]=A1109) *
            (IF($B$9="الكل",1, YEAR('ادخال البيانات'!$N$3:$N$1164)=VALUE($B$9))) *
            (IF($B$10="الكل",1, MONTH('ادخال البيانات'!$N$3:$N$1164)=VALUE($B$10))) *
            (IF($B$11="الكل",1, INT((DAY('ادخال البيانات'!$N$3:$N$1164)-1)/7)+1 = VALUE($B$11))),
            'ادخال البيانات'!$D$3:$D$1164
         ),
         ""
      ),
      IF(_xlpm.result="", "", _xlpm.result)
   )
)</f>
        <v/>
      </c>
      <c r="E1109" s="27" t="str" cm="1">
        <f t="array" ref="E1109">IF(
   A1109="",
   "",
   _xlfn.LET(
      _xlpm.result,
      IFERROR(
         _xlfn.XLOOKUP(
            1,
            (Table8[رقم الصنف]=A1109) *
            (IF($B$9="الكل",1, YEAR('ادخال البيانات'!$N$3:$N$1164)=VALUE($B$9))) *
            (IF($B$10="الكل",1, MONTH('ادخال البيانات'!$N$3:$N$1164)=VALUE($B$10))) *
            (IF($B$11="الكل",1, INT((DAY('ادخال البيانات'!$N$3:$N$1164)-1)/7)+1 = VALUE($B$11))),
            'ادخال البيانات'!$E$3:$E$1164
         ),
         ""
      ),
      IF(_xlpm.result="", "", _xlpm.result)
   )
)</f>
        <v/>
      </c>
      <c r="F1109" s="27" t="str" cm="1">
        <f t="array" ref="F1109">IF(
   A1109="",
   "",
   _xlfn.LET(
      _xlpm.result,
      IFERROR(
         _xlfn.XLOOKUP(
            1,
            (Table8[رقم الصنف]=A1109) *
            (IF($B$9="الكل",1, YEAR('ادخال البيانات'!$N$3:$N$1164) = VALUE($B$9))) *
            (IF($B$10="الكل",1, MONTH('ادخال البيانات'!$N$3:$N$1164) = VALUE($B$10))) *
            (IF($B$11="الكل",1, INT((DAY('ادخال البيانات'!$N$3:$N$1164)-1)/7)+1 = VALUE($B$11))),
            'ادخال البيانات'!$F$3:$F$1164
         ),
         ""
      ),
      IF(_xlpm.result="", "", _xlpm.result)
   )
)</f>
        <v/>
      </c>
      <c r="G1109" s="27" t="str" cm="1">
        <f t="array" ref="G1109">IF(
   A1109="",
   "",
   _xlfn.LET(
      _xlpm.result,
      IFERROR(
         _xlfn.XLOOKUP(
            1,
            (Table8[رقم الصنف]=A1109) *
            (IF($B$9="الكل",1, YEAR('ادخال البيانات'!$N$3:$N$1164)=VALUE($B$9))) *
            (IF($B$10="الكل",1, MONTH('ادخال البيانات'!$N$3:$N$1164)=VALUE($B$10))) *
            (IF($B$11="الكل",1, INT((DAY('ادخال البيانات'!$N$3:$N$1164)-1)/7)+1 = VALUE($B$11))),
            'ادخال البيانات'!$G$3:$G$1164
         ),
         ""
      ),
      IF(_xlpm.result="", "", _xlpm.result)
   )
)</f>
        <v/>
      </c>
      <c r="H1109" s="27" t="str" cm="1">
        <f t="array" ref="H1109">IF(
   A1109="",
   "",
   _xlfn.LET(
      _xlpm.result,
      IFERROR(
         _xlfn.XLOOKUP(
            1,
            (Table8[رقم الصنف]=A1109) *
            (IF($B$9="الكل",1, YEAR('ادخال البيانات'!$N$3:$N$1164)=VALUE($B$9))) *
            (IF($B$10="الكل",1, MONTH('ادخال البيانات'!$N$3:$N$1164)=VALUE($B$10))) *
            (IF($B$11="الكل",1, INT((DAY('ادخال البيانات'!$N$3:$N$1164)-1)/7)+1 = VALUE($B$11))),
            'ادخال البيانات'!$H$3:$H$1164
         ),
         ""
      ),
      IF(_xlpm.result="", "", _xlpm.result)
   )
)</f>
        <v/>
      </c>
      <c r="I1109" s="27" t="str" cm="1">
        <f t="array" ref="I1109">IF(
   A1109="",
   "",
   _xlfn.LET(
      _xlpm.result,
      IFERROR(
         _xlfn.XLOOKUP(
            1,
            (Table8[رقم الصنف]=A1109) *
            (IF($B$9="الكل",1, YEAR('ادخال البيانات'!$N$3:$N$1164)=VALUE($B$9))) *
            (IF($B$10="الكل",1, MONTH('ادخال البيانات'!$N$3:$N$1164)=VALUE($B$10))) *
            (IF($B$11="الكل",1, INT((DAY('ادخال البيانات'!$N$3:$N$1164)-1)/7)+1 = VALUE($B$11))),
            'ادخال البيانات'!$I$3:$I$1164
         ),
         ""
      ),
      IF(_xlpm.result="", "", _xlpm.result)
   )
)</f>
        <v/>
      </c>
      <c r="J1109" s="27" t="str" cm="1">
        <f t="array" ref="J1109">IF(
   A1109="",
   "",
   _xlfn.LET(
      _xlpm.result,
      IFERROR(
         _xlfn.XLOOKUP(
            1,
            (Table8[رقم الصنف]=A1109) *
            (IF($B$9="الكل",1, YEAR('ادخال البيانات'!$N$3:$N$1164)=VALUE($B$9))) *
            (IF($B$10="الكل",1, MONTH('ادخال البيانات'!$N$3:$N$1164)=VALUE($B$10))) *
            (IF($B$11="الكل",1, INT((DAY('ادخال البيانات'!$N$3:$N$1164)-1)/7)+1 = VALUE($B$11))),
            'ادخال البيانات'!$J$3:$J$1164
         ),
         ""
      ),
      IF(_xlpm.result="", "", _xlpm.result)
   )
)</f>
        <v/>
      </c>
      <c r="K1109" s="27" t="str" cm="1">
        <f t="array" ref="K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09" s="27" t="str" cm="1">
        <f t="array" ref="L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09" s="27" t="str" cm="1">
        <f t="array" ref="M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09" s="28" t="str" cm="1">
        <f t="array" ref="N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09" s="28" t="str" cm="1">
        <f t="array" ref="O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09" s="27" t="str" cm="1">
        <f t="array" ref="P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Table8[جهة العطل]
         ),
         ""
      ),
      IF(_xlpm.result="", "", _xlpm.result)
   )
)</f>
        <v/>
      </c>
      <c r="Q1109" s="27" t="str" cm="1">
        <f t="array" ref="Q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Table8[المركز]
         ),
         ""
      ),
      IF(_xlpm.result="", "", _xlpm.result)
   )
)</f>
        <v/>
      </c>
      <c r="R1109" s="27" t="str" cm="1">
        <f t="array" ref="R1109">IF(
   A1109="",
   "",
   _xlfn.LET(
      _xlpm.result,
      IFERROR(
         _xlfn.XLOOKUP(
            1,
            (Table8[رقم الصنف]=A1109) *
            (IF($B$9="الكل",1, YEAR('ادخال البيانات'!$N$3:$N$1164) = VALUE($B$9))) *
            (IF($B$10="الكل",1, MONTH('ادخال البيانات'!$N$3:$N$1164) = VALUE($B$10))) *
            (IF($B$11="الكل",1, INT((DAY('ادخال البيانات'!$N$3:$N$1164) - 1) / 7) + 1 = VALUE($B$11))),
            Table8[ملاحظة]
         ),
         ""
      ),
      IF(_xlpm.result="", "", _xlpm.result)
   )
)</f>
        <v/>
      </c>
      <c r="S1109" s="46" t="str">
        <f t="shared" ca="1" si="18"/>
        <v/>
      </c>
    </row>
    <row r="1110" spans="1:19" ht="15.6" thickTop="1" thickBot="1" x14ac:dyDescent="0.35">
      <c r="A1110" s="39"/>
      <c r="B1110" s="27" t="str" cm="1">
        <f t="array" ref="B1110">IF(
   OR(A1110="", $B$9="", $B$10="", $B$11=""),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0" s="27" t="str" cm="1">
        <f t="array" ref="C1110">IF(
   A1110="",
   "",
   _xlfn.LET(
      _xlpm.result,
      IFERROR(
         _xlfn.XLOOKUP(
            1,
            (Table8[رقم الصنف]=A1110) *
            (IF($B$9="الكل",1, YEAR('ادخال البيانات'!$N$3:$N$1164) = VALUE($B$9))) *
            (IF($B$10="الكل",1, MONTH('ادخال البيانات'!$N$3:$N$1164) = VALUE($B$10))) *
            (IF($B$11="الكل",1, INT((DAY('ادخال البيانات'!$N$3:$N$1164)-1)/7)+1 = VALUE($B$11))),
            'ادخال البيانات'!$C$3:$C$1164
         ),
         ""
      ),
      IF(_xlpm.result="", "", _xlpm.result)
   )
)</f>
        <v/>
      </c>
      <c r="D1110" s="27" t="str" cm="1">
        <f t="array" ref="D1110">IF(
   OR(A1110="", $B$9="", $B$10="", $B$11=""),
   "",
   _xlfn.LET(
      _xlpm.result,
      IFERROR(
         _xlfn.XLOOKUP(
            1,
            (Table8[رقم الصنف]=A1110) *
            (IF($B$9="الكل",1, YEAR('ادخال البيانات'!$N$3:$N$1164)=VALUE($B$9))) *
            (IF($B$10="الكل",1, MONTH('ادخال البيانات'!$N$3:$N$1164)=VALUE($B$10))) *
            (IF($B$11="الكل",1, INT((DAY('ادخال البيانات'!$N$3:$N$1164)-1)/7)+1 = VALUE($B$11))),
            'ادخال البيانات'!$D$3:$D$1164
         ),
         ""
      ),
      IF(_xlpm.result="", "", _xlpm.result)
   )
)</f>
        <v/>
      </c>
      <c r="E1110" s="27" t="str" cm="1">
        <f t="array" ref="E1110">IF(
   A1110="",
   "",
   _xlfn.LET(
      _xlpm.result,
      IFERROR(
         _xlfn.XLOOKUP(
            1,
            (Table8[رقم الصنف]=A1110) *
            (IF($B$9="الكل",1, YEAR('ادخال البيانات'!$N$3:$N$1164)=VALUE($B$9))) *
            (IF($B$10="الكل",1, MONTH('ادخال البيانات'!$N$3:$N$1164)=VALUE($B$10))) *
            (IF($B$11="الكل",1, INT((DAY('ادخال البيانات'!$N$3:$N$1164)-1)/7)+1 = VALUE($B$11))),
            'ادخال البيانات'!$E$3:$E$1164
         ),
         ""
      ),
      IF(_xlpm.result="", "", _xlpm.result)
   )
)</f>
        <v/>
      </c>
      <c r="F1110" s="27" t="str" cm="1">
        <f t="array" ref="F1110">IF(
   A1110="",
   "",
   _xlfn.LET(
      _xlpm.result,
      IFERROR(
         _xlfn.XLOOKUP(
            1,
            (Table8[رقم الصنف]=A1110) *
            (IF($B$9="الكل",1, YEAR('ادخال البيانات'!$N$3:$N$1164) = VALUE($B$9))) *
            (IF($B$10="الكل",1, MONTH('ادخال البيانات'!$N$3:$N$1164) = VALUE($B$10))) *
            (IF($B$11="الكل",1, INT((DAY('ادخال البيانات'!$N$3:$N$1164)-1)/7)+1 = VALUE($B$11))),
            'ادخال البيانات'!$F$3:$F$1164
         ),
         ""
      ),
      IF(_xlpm.result="", "", _xlpm.result)
   )
)</f>
        <v/>
      </c>
      <c r="G1110" s="27" t="str" cm="1">
        <f t="array" ref="G1110">IF(
   A1110="",
   "",
   _xlfn.LET(
      _xlpm.result,
      IFERROR(
         _xlfn.XLOOKUP(
            1,
            (Table8[رقم الصنف]=A1110) *
            (IF($B$9="الكل",1, YEAR('ادخال البيانات'!$N$3:$N$1164)=VALUE($B$9))) *
            (IF($B$10="الكل",1, MONTH('ادخال البيانات'!$N$3:$N$1164)=VALUE($B$10))) *
            (IF($B$11="الكل",1, INT((DAY('ادخال البيانات'!$N$3:$N$1164)-1)/7)+1 = VALUE($B$11))),
            'ادخال البيانات'!$G$3:$G$1164
         ),
         ""
      ),
      IF(_xlpm.result="", "", _xlpm.result)
   )
)</f>
        <v/>
      </c>
      <c r="H1110" s="27" t="str" cm="1">
        <f t="array" ref="H1110">IF(
   A1110="",
   "",
   _xlfn.LET(
      _xlpm.result,
      IFERROR(
         _xlfn.XLOOKUP(
            1,
            (Table8[رقم الصنف]=A1110) *
            (IF($B$9="الكل",1, YEAR('ادخال البيانات'!$N$3:$N$1164)=VALUE($B$9))) *
            (IF($B$10="الكل",1, MONTH('ادخال البيانات'!$N$3:$N$1164)=VALUE($B$10))) *
            (IF($B$11="الكل",1, INT((DAY('ادخال البيانات'!$N$3:$N$1164)-1)/7)+1 = VALUE($B$11))),
            'ادخال البيانات'!$H$3:$H$1164
         ),
         ""
      ),
      IF(_xlpm.result="", "", _xlpm.result)
   )
)</f>
        <v/>
      </c>
      <c r="I1110" s="27" t="str" cm="1">
        <f t="array" ref="I1110">IF(
   A1110="",
   "",
   _xlfn.LET(
      _xlpm.result,
      IFERROR(
         _xlfn.XLOOKUP(
            1,
            (Table8[رقم الصنف]=A1110) *
            (IF($B$9="الكل",1, YEAR('ادخال البيانات'!$N$3:$N$1164)=VALUE($B$9))) *
            (IF($B$10="الكل",1, MONTH('ادخال البيانات'!$N$3:$N$1164)=VALUE($B$10))) *
            (IF($B$11="الكل",1, INT((DAY('ادخال البيانات'!$N$3:$N$1164)-1)/7)+1 = VALUE($B$11))),
            'ادخال البيانات'!$I$3:$I$1164
         ),
         ""
      ),
      IF(_xlpm.result="", "", _xlpm.result)
   )
)</f>
        <v/>
      </c>
      <c r="J1110" s="27" t="str" cm="1">
        <f t="array" ref="J1110">IF(
   A1110="",
   "",
   _xlfn.LET(
      _xlpm.result,
      IFERROR(
         _xlfn.XLOOKUP(
            1,
            (Table8[رقم الصنف]=A1110) *
            (IF($B$9="الكل",1, YEAR('ادخال البيانات'!$N$3:$N$1164)=VALUE($B$9))) *
            (IF($B$10="الكل",1, MONTH('ادخال البيانات'!$N$3:$N$1164)=VALUE($B$10))) *
            (IF($B$11="الكل",1, INT((DAY('ادخال البيانات'!$N$3:$N$1164)-1)/7)+1 = VALUE($B$11))),
            'ادخال البيانات'!$J$3:$J$1164
         ),
         ""
      ),
      IF(_xlpm.result="", "", _xlpm.result)
   )
)</f>
        <v/>
      </c>
      <c r="K1110" s="27" t="str" cm="1">
        <f t="array" ref="K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0" s="27" t="str" cm="1">
        <f t="array" ref="L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0" s="27" t="str" cm="1">
        <f t="array" ref="M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0" s="28" t="str" cm="1">
        <f t="array" ref="N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0" s="28" t="str" cm="1">
        <f t="array" ref="O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0" s="27" t="str" cm="1">
        <f t="array" ref="P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Table8[جهة العطل]
         ),
         ""
      ),
      IF(_xlpm.result="", "", _xlpm.result)
   )
)</f>
        <v/>
      </c>
      <c r="Q1110" s="27" t="str" cm="1">
        <f t="array" ref="Q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Table8[المركز]
         ),
         ""
      ),
      IF(_xlpm.result="", "", _xlpm.result)
   )
)</f>
        <v/>
      </c>
      <c r="R1110" s="27" t="str" cm="1">
        <f t="array" ref="R1110">IF(
   A1110="",
   "",
   _xlfn.LET(
      _xlpm.result,
      IFERROR(
         _xlfn.XLOOKUP(
            1,
            (Table8[رقم الصنف]=A1110) *
            (IF($B$9="الكل",1, YEAR('ادخال البيانات'!$N$3:$N$1164) = VALUE($B$9))) *
            (IF($B$10="الكل",1, MONTH('ادخال البيانات'!$N$3:$N$1164) = VALUE($B$10))) *
            (IF($B$11="الكل",1, INT((DAY('ادخال البيانات'!$N$3:$N$1164) - 1) / 7) + 1 = VALUE($B$11))),
            Table8[ملاحظة]
         ),
         ""
      ),
      IF(_xlpm.result="", "", _xlpm.result)
   )
)</f>
        <v/>
      </c>
      <c r="S1110" s="46" t="str">
        <f t="shared" ca="1" si="18"/>
        <v/>
      </c>
    </row>
    <row r="1111" spans="1:19" ht="15.6" thickTop="1" thickBot="1" x14ac:dyDescent="0.35">
      <c r="A1111" s="39"/>
      <c r="B1111" s="27" t="str" cm="1">
        <f t="array" ref="B1111">IF(
   OR(A1111="", $B$9="", $B$10="", $B$11=""),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1" s="27" t="str" cm="1">
        <f t="array" ref="C1111">IF(
   A1111="",
   "",
   _xlfn.LET(
      _xlpm.result,
      IFERROR(
         _xlfn.XLOOKUP(
            1,
            (Table8[رقم الصنف]=A1111) *
            (IF($B$9="الكل",1, YEAR('ادخال البيانات'!$N$3:$N$1164) = VALUE($B$9))) *
            (IF($B$10="الكل",1, MONTH('ادخال البيانات'!$N$3:$N$1164) = VALUE($B$10))) *
            (IF($B$11="الكل",1, INT((DAY('ادخال البيانات'!$N$3:$N$1164)-1)/7)+1 = VALUE($B$11))),
            'ادخال البيانات'!$C$3:$C$1164
         ),
         ""
      ),
      IF(_xlpm.result="", "", _xlpm.result)
   )
)</f>
        <v/>
      </c>
      <c r="D1111" s="27" t="str" cm="1">
        <f t="array" ref="D1111">IF(
   OR(A1111="", $B$9="", $B$10="", $B$11=""),
   "",
   _xlfn.LET(
      _xlpm.result,
      IFERROR(
         _xlfn.XLOOKUP(
            1,
            (Table8[رقم الصنف]=A1111) *
            (IF($B$9="الكل",1, YEAR('ادخال البيانات'!$N$3:$N$1164)=VALUE($B$9))) *
            (IF($B$10="الكل",1, MONTH('ادخال البيانات'!$N$3:$N$1164)=VALUE($B$10))) *
            (IF($B$11="الكل",1, INT((DAY('ادخال البيانات'!$N$3:$N$1164)-1)/7)+1 = VALUE($B$11))),
            'ادخال البيانات'!$D$3:$D$1164
         ),
         ""
      ),
      IF(_xlpm.result="", "", _xlpm.result)
   )
)</f>
        <v/>
      </c>
      <c r="E1111" s="27" t="str" cm="1">
        <f t="array" ref="E1111">IF(
   A1111="",
   "",
   _xlfn.LET(
      _xlpm.result,
      IFERROR(
         _xlfn.XLOOKUP(
            1,
            (Table8[رقم الصنف]=A1111) *
            (IF($B$9="الكل",1, YEAR('ادخال البيانات'!$N$3:$N$1164)=VALUE($B$9))) *
            (IF($B$10="الكل",1, MONTH('ادخال البيانات'!$N$3:$N$1164)=VALUE($B$10))) *
            (IF($B$11="الكل",1, INT((DAY('ادخال البيانات'!$N$3:$N$1164)-1)/7)+1 = VALUE($B$11))),
            'ادخال البيانات'!$E$3:$E$1164
         ),
         ""
      ),
      IF(_xlpm.result="", "", _xlpm.result)
   )
)</f>
        <v/>
      </c>
      <c r="F1111" s="27" t="str" cm="1">
        <f t="array" ref="F1111">IF(
   A1111="",
   "",
   _xlfn.LET(
      _xlpm.result,
      IFERROR(
         _xlfn.XLOOKUP(
            1,
            (Table8[رقم الصنف]=A1111) *
            (IF($B$9="الكل",1, YEAR('ادخال البيانات'!$N$3:$N$1164) = VALUE($B$9))) *
            (IF($B$10="الكل",1, MONTH('ادخال البيانات'!$N$3:$N$1164) = VALUE($B$10))) *
            (IF($B$11="الكل",1, INT((DAY('ادخال البيانات'!$N$3:$N$1164)-1)/7)+1 = VALUE($B$11))),
            'ادخال البيانات'!$F$3:$F$1164
         ),
         ""
      ),
      IF(_xlpm.result="", "", _xlpm.result)
   )
)</f>
        <v/>
      </c>
      <c r="G1111" s="27" t="str" cm="1">
        <f t="array" ref="G1111">IF(
   A1111="",
   "",
   _xlfn.LET(
      _xlpm.result,
      IFERROR(
         _xlfn.XLOOKUP(
            1,
            (Table8[رقم الصنف]=A1111) *
            (IF($B$9="الكل",1, YEAR('ادخال البيانات'!$N$3:$N$1164)=VALUE($B$9))) *
            (IF($B$10="الكل",1, MONTH('ادخال البيانات'!$N$3:$N$1164)=VALUE($B$10))) *
            (IF($B$11="الكل",1, INT((DAY('ادخال البيانات'!$N$3:$N$1164)-1)/7)+1 = VALUE($B$11))),
            'ادخال البيانات'!$G$3:$G$1164
         ),
         ""
      ),
      IF(_xlpm.result="", "", _xlpm.result)
   )
)</f>
        <v/>
      </c>
      <c r="H1111" s="27" t="str" cm="1">
        <f t="array" ref="H1111">IF(
   A1111="",
   "",
   _xlfn.LET(
      _xlpm.result,
      IFERROR(
         _xlfn.XLOOKUP(
            1,
            (Table8[رقم الصنف]=A1111) *
            (IF($B$9="الكل",1, YEAR('ادخال البيانات'!$N$3:$N$1164)=VALUE($B$9))) *
            (IF($B$10="الكل",1, MONTH('ادخال البيانات'!$N$3:$N$1164)=VALUE($B$10))) *
            (IF($B$11="الكل",1, INT((DAY('ادخال البيانات'!$N$3:$N$1164)-1)/7)+1 = VALUE($B$11))),
            'ادخال البيانات'!$H$3:$H$1164
         ),
         ""
      ),
      IF(_xlpm.result="", "", _xlpm.result)
   )
)</f>
        <v/>
      </c>
      <c r="I1111" s="27" t="str" cm="1">
        <f t="array" ref="I1111">IF(
   A1111="",
   "",
   _xlfn.LET(
      _xlpm.result,
      IFERROR(
         _xlfn.XLOOKUP(
            1,
            (Table8[رقم الصنف]=A1111) *
            (IF($B$9="الكل",1, YEAR('ادخال البيانات'!$N$3:$N$1164)=VALUE($B$9))) *
            (IF($B$10="الكل",1, MONTH('ادخال البيانات'!$N$3:$N$1164)=VALUE($B$10))) *
            (IF($B$11="الكل",1, INT((DAY('ادخال البيانات'!$N$3:$N$1164)-1)/7)+1 = VALUE($B$11))),
            'ادخال البيانات'!$I$3:$I$1164
         ),
         ""
      ),
      IF(_xlpm.result="", "", _xlpm.result)
   )
)</f>
        <v/>
      </c>
      <c r="J1111" s="27" t="str" cm="1">
        <f t="array" ref="J1111">IF(
   A1111="",
   "",
   _xlfn.LET(
      _xlpm.result,
      IFERROR(
         _xlfn.XLOOKUP(
            1,
            (Table8[رقم الصنف]=A1111) *
            (IF($B$9="الكل",1, YEAR('ادخال البيانات'!$N$3:$N$1164)=VALUE($B$9))) *
            (IF($B$10="الكل",1, MONTH('ادخال البيانات'!$N$3:$N$1164)=VALUE($B$10))) *
            (IF($B$11="الكل",1, INT((DAY('ادخال البيانات'!$N$3:$N$1164)-1)/7)+1 = VALUE($B$11))),
            'ادخال البيانات'!$J$3:$J$1164
         ),
         ""
      ),
      IF(_xlpm.result="", "", _xlpm.result)
   )
)</f>
        <v/>
      </c>
      <c r="K1111" s="27" t="str" cm="1">
        <f t="array" ref="K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1" s="27" t="str" cm="1">
        <f t="array" ref="L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1" s="27" t="str" cm="1">
        <f t="array" ref="M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1" s="28" t="str" cm="1">
        <f t="array" ref="N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1" s="28" t="str" cm="1">
        <f t="array" ref="O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1" s="27" t="str" cm="1">
        <f t="array" ref="P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Table8[جهة العطل]
         ),
         ""
      ),
      IF(_xlpm.result="", "", _xlpm.result)
   )
)</f>
        <v/>
      </c>
      <c r="Q1111" s="27" t="str" cm="1">
        <f t="array" ref="Q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Table8[المركز]
         ),
         ""
      ),
      IF(_xlpm.result="", "", _xlpm.result)
   )
)</f>
        <v/>
      </c>
      <c r="R1111" s="27" t="str" cm="1">
        <f t="array" ref="R1111">IF(
   A1111="",
   "",
   _xlfn.LET(
      _xlpm.result,
      IFERROR(
         _xlfn.XLOOKUP(
            1,
            (Table8[رقم الصنف]=A1111) *
            (IF($B$9="الكل",1, YEAR('ادخال البيانات'!$N$3:$N$1164) = VALUE($B$9))) *
            (IF($B$10="الكل",1, MONTH('ادخال البيانات'!$N$3:$N$1164) = VALUE($B$10))) *
            (IF($B$11="الكل",1, INT((DAY('ادخال البيانات'!$N$3:$N$1164) - 1) / 7) + 1 = VALUE($B$11))),
            Table8[ملاحظة]
         ),
         ""
      ),
      IF(_xlpm.result="", "", _xlpm.result)
   )
)</f>
        <v/>
      </c>
      <c r="S1111" s="46" t="str">
        <f t="shared" ca="1" si="18"/>
        <v/>
      </c>
    </row>
    <row r="1112" spans="1:19" ht="15.6" thickTop="1" thickBot="1" x14ac:dyDescent="0.35">
      <c r="A1112" s="39"/>
      <c r="B1112" s="27" t="str" cm="1">
        <f t="array" ref="B1112">IF(
   OR(A1112="", $B$9="", $B$10="", $B$11=""),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2" s="27" t="str" cm="1">
        <f t="array" ref="C1112">IF(
   A1112="",
   "",
   _xlfn.LET(
      _xlpm.result,
      IFERROR(
         _xlfn.XLOOKUP(
            1,
            (Table8[رقم الصنف]=A1112) *
            (IF($B$9="الكل",1, YEAR('ادخال البيانات'!$N$3:$N$1164) = VALUE($B$9))) *
            (IF($B$10="الكل",1, MONTH('ادخال البيانات'!$N$3:$N$1164) = VALUE($B$10))) *
            (IF($B$11="الكل",1, INT((DAY('ادخال البيانات'!$N$3:$N$1164)-1)/7)+1 = VALUE($B$11))),
            'ادخال البيانات'!$C$3:$C$1164
         ),
         ""
      ),
      IF(_xlpm.result="", "", _xlpm.result)
   )
)</f>
        <v/>
      </c>
      <c r="D1112" s="27" t="str" cm="1">
        <f t="array" ref="D1112">IF(
   OR(A1112="", $B$9="", $B$10="", $B$11=""),
   "",
   _xlfn.LET(
      _xlpm.result,
      IFERROR(
         _xlfn.XLOOKUP(
            1,
            (Table8[رقم الصنف]=A1112) *
            (IF($B$9="الكل",1, YEAR('ادخال البيانات'!$N$3:$N$1164)=VALUE($B$9))) *
            (IF($B$10="الكل",1, MONTH('ادخال البيانات'!$N$3:$N$1164)=VALUE($B$10))) *
            (IF($B$11="الكل",1, INT((DAY('ادخال البيانات'!$N$3:$N$1164)-1)/7)+1 = VALUE($B$11))),
            'ادخال البيانات'!$D$3:$D$1164
         ),
         ""
      ),
      IF(_xlpm.result="", "", _xlpm.result)
   )
)</f>
        <v/>
      </c>
      <c r="E1112" s="27" t="str" cm="1">
        <f t="array" ref="E1112">IF(
   A1112="",
   "",
   _xlfn.LET(
      _xlpm.result,
      IFERROR(
         _xlfn.XLOOKUP(
            1,
            (Table8[رقم الصنف]=A1112) *
            (IF($B$9="الكل",1, YEAR('ادخال البيانات'!$N$3:$N$1164)=VALUE($B$9))) *
            (IF($B$10="الكل",1, MONTH('ادخال البيانات'!$N$3:$N$1164)=VALUE($B$10))) *
            (IF($B$11="الكل",1, INT((DAY('ادخال البيانات'!$N$3:$N$1164)-1)/7)+1 = VALUE($B$11))),
            'ادخال البيانات'!$E$3:$E$1164
         ),
         ""
      ),
      IF(_xlpm.result="", "", _xlpm.result)
   )
)</f>
        <v/>
      </c>
      <c r="F1112" s="27" t="str" cm="1">
        <f t="array" ref="F1112">IF(
   A1112="",
   "",
   _xlfn.LET(
      _xlpm.result,
      IFERROR(
         _xlfn.XLOOKUP(
            1,
            (Table8[رقم الصنف]=A1112) *
            (IF($B$9="الكل",1, YEAR('ادخال البيانات'!$N$3:$N$1164) = VALUE($B$9))) *
            (IF($B$10="الكل",1, MONTH('ادخال البيانات'!$N$3:$N$1164) = VALUE($B$10))) *
            (IF($B$11="الكل",1, INT((DAY('ادخال البيانات'!$N$3:$N$1164)-1)/7)+1 = VALUE($B$11))),
            'ادخال البيانات'!$F$3:$F$1164
         ),
         ""
      ),
      IF(_xlpm.result="", "", _xlpm.result)
   )
)</f>
        <v/>
      </c>
      <c r="G1112" s="27" t="str" cm="1">
        <f t="array" ref="G1112">IF(
   A1112="",
   "",
   _xlfn.LET(
      _xlpm.result,
      IFERROR(
         _xlfn.XLOOKUP(
            1,
            (Table8[رقم الصنف]=A1112) *
            (IF($B$9="الكل",1, YEAR('ادخال البيانات'!$N$3:$N$1164)=VALUE($B$9))) *
            (IF($B$10="الكل",1, MONTH('ادخال البيانات'!$N$3:$N$1164)=VALUE($B$10))) *
            (IF($B$11="الكل",1, INT((DAY('ادخال البيانات'!$N$3:$N$1164)-1)/7)+1 = VALUE($B$11))),
            'ادخال البيانات'!$G$3:$G$1164
         ),
         ""
      ),
      IF(_xlpm.result="", "", _xlpm.result)
   )
)</f>
        <v/>
      </c>
      <c r="H1112" s="27" t="str" cm="1">
        <f t="array" ref="H1112">IF(
   A1112="",
   "",
   _xlfn.LET(
      _xlpm.result,
      IFERROR(
         _xlfn.XLOOKUP(
            1,
            (Table8[رقم الصنف]=A1112) *
            (IF($B$9="الكل",1, YEAR('ادخال البيانات'!$N$3:$N$1164)=VALUE($B$9))) *
            (IF($B$10="الكل",1, MONTH('ادخال البيانات'!$N$3:$N$1164)=VALUE($B$10))) *
            (IF($B$11="الكل",1, INT((DAY('ادخال البيانات'!$N$3:$N$1164)-1)/7)+1 = VALUE($B$11))),
            'ادخال البيانات'!$H$3:$H$1164
         ),
         ""
      ),
      IF(_xlpm.result="", "", _xlpm.result)
   )
)</f>
        <v/>
      </c>
      <c r="I1112" s="27" t="str" cm="1">
        <f t="array" ref="I1112">IF(
   A1112="",
   "",
   _xlfn.LET(
      _xlpm.result,
      IFERROR(
         _xlfn.XLOOKUP(
            1,
            (Table8[رقم الصنف]=A1112) *
            (IF($B$9="الكل",1, YEAR('ادخال البيانات'!$N$3:$N$1164)=VALUE($B$9))) *
            (IF($B$10="الكل",1, MONTH('ادخال البيانات'!$N$3:$N$1164)=VALUE($B$10))) *
            (IF($B$11="الكل",1, INT((DAY('ادخال البيانات'!$N$3:$N$1164)-1)/7)+1 = VALUE($B$11))),
            'ادخال البيانات'!$I$3:$I$1164
         ),
         ""
      ),
      IF(_xlpm.result="", "", _xlpm.result)
   )
)</f>
        <v/>
      </c>
      <c r="J1112" s="27" t="str" cm="1">
        <f t="array" ref="J1112">IF(
   A1112="",
   "",
   _xlfn.LET(
      _xlpm.result,
      IFERROR(
         _xlfn.XLOOKUP(
            1,
            (Table8[رقم الصنف]=A1112) *
            (IF($B$9="الكل",1, YEAR('ادخال البيانات'!$N$3:$N$1164)=VALUE($B$9))) *
            (IF($B$10="الكل",1, MONTH('ادخال البيانات'!$N$3:$N$1164)=VALUE($B$10))) *
            (IF($B$11="الكل",1, INT((DAY('ادخال البيانات'!$N$3:$N$1164)-1)/7)+1 = VALUE($B$11))),
            'ادخال البيانات'!$J$3:$J$1164
         ),
         ""
      ),
      IF(_xlpm.result="", "", _xlpm.result)
   )
)</f>
        <v/>
      </c>
      <c r="K1112" s="27" t="str" cm="1">
        <f t="array" ref="K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2" s="27" t="str" cm="1">
        <f t="array" ref="L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2" s="27" t="str" cm="1">
        <f t="array" ref="M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2" s="28" t="str" cm="1">
        <f t="array" ref="N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2" s="28" t="str" cm="1">
        <f t="array" ref="O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2" s="27" t="str" cm="1">
        <f t="array" ref="P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Table8[جهة العطل]
         ),
         ""
      ),
      IF(_xlpm.result="", "", _xlpm.result)
   )
)</f>
        <v/>
      </c>
      <c r="Q1112" s="27" t="str" cm="1">
        <f t="array" ref="Q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Table8[المركز]
         ),
         ""
      ),
      IF(_xlpm.result="", "", _xlpm.result)
   )
)</f>
        <v/>
      </c>
      <c r="R1112" s="27" t="str" cm="1">
        <f t="array" ref="R1112">IF(
   A1112="",
   "",
   _xlfn.LET(
      _xlpm.result,
      IFERROR(
         _xlfn.XLOOKUP(
            1,
            (Table8[رقم الصنف]=A1112) *
            (IF($B$9="الكل",1, YEAR('ادخال البيانات'!$N$3:$N$1164) = VALUE($B$9))) *
            (IF($B$10="الكل",1, MONTH('ادخال البيانات'!$N$3:$N$1164) = VALUE($B$10))) *
            (IF($B$11="الكل",1, INT((DAY('ادخال البيانات'!$N$3:$N$1164) - 1) / 7) + 1 = VALUE($B$11))),
            Table8[ملاحظة]
         ),
         ""
      ),
      IF(_xlpm.result="", "", _xlpm.result)
   )
)</f>
        <v/>
      </c>
      <c r="S1112" s="46" t="str">
        <f t="shared" ca="1" si="18"/>
        <v/>
      </c>
    </row>
    <row r="1113" spans="1:19" ht="15.6" thickTop="1" thickBot="1" x14ac:dyDescent="0.35">
      <c r="A1113" s="39"/>
      <c r="B1113" s="27" t="str" cm="1">
        <f t="array" ref="B1113">IF(
   OR(A1113="", $B$9="", $B$10="", $B$11=""),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3" s="27" t="str" cm="1">
        <f t="array" ref="C1113">IF(
   A1113="",
   "",
   _xlfn.LET(
      _xlpm.result,
      IFERROR(
         _xlfn.XLOOKUP(
            1,
            (Table8[رقم الصنف]=A1113) *
            (IF($B$9="الكل",1, YEAR('ادخال البيانات'!$N$3:$N$1164) = VALUE($B$9))) *
            (IF($B$10="الكل",1, MONTH('ادخال البيانات'!$N$3:$N$1164) = VALUE($B$10))) *
            (IF($B$11="الكل",1, INT((DAY('ادخال البيانات'!$N$3:$N$1164)-1)/7)+1 = VALUE($B$11))),
            'ادخال البيانات'!$C$3:$C$1164
         ),
         ""
      ),
      IF(_xlpm.result="", "", _xlpm.result)
   )
)</f>
        <v/>
      </c>
      <c r="D1113" s="27" t="str" cm="1">
        <f t="array" ref="D1113">IF(
   OR(A1113="", $B$9="", $B$10="", $B$11=""),
   "",
   _xlfn.LET(
      _xlpm.result,
      IFERROR(
         _xlfn.XLOOKUP(
            1,
            (Table8[رقم الصنف]=A1113) *
            (IF($B$9="الكل",1, YEAR('ادخال البيانات'!$N$3:$N$1164)=VALUE($B$9))) *
            (IF($B$10="الكل",1, MONTH('ادخال البيانات'!$N$3:$N$1164)=VALUE($B$10))) *
            (IF($B$11="الكل",1, INT((DAY('ادخال البيانات'!$N$3:$N$1164)-1)/7)+1 = VALUE($B$11))),
            'ادخال البيانات'!$D$3:$D$1164
         ),
         ""
      ),
      IF(_xlpm.result="", "", _xlpm.result)
   )
)</f>
        <v/>
      </c>
      <c r="E1113" s="27" t="str" cm="1">
        <f t="array" ref="E1113">IF(
   A1113="",
   "",
   _xlfn.LET(
      _xlpm.result,
      IFERROR(
         _xlfn.XLOOKUP(
            1,
            (Table8[رقم الصنف]=A1113) *
            (IF($B$9="الكل",1, YEAR('ادخال البيانات'!$N$3:$N$1164)=VALUE($B$9))) *
            (IF($B$10="الكل",1, MONTH('ادخال البيانات'!$N$3:$N$1164)=VALUE($B$10))) *
            (IF($B$11="الكل",1, INT((DAY('ادخال البيانات'!$N$3:$N$1164)-1)/7)+1 = VALUE($B$11))),
            'ادخال البيانات'!$E$3:$E$1164
         ),
         ""
      ),
      IF(_xlpm.result="", "", _xlpm.result)
   )
)</f>
        <v/>
      </c>
      <c r="F1113" s="27" t="str" cm="1">
        <f t="array" ref="F1113">IF(
   A1113="",
   "",
   _xlfn.LET(
      _xlpm.result,
      IFERROR(
         _xlfn.XLOOKUP(
            1,
            (Table8[رقم الصنف]=A1113) *
            (IF($B$9="الكل",1, YEAR('ادخال البيانات'!$N$3:$N$1164) = VALUE($B$9))) *
            (IF($B$10="الكل",1, MONTH('ادخال البيانات'!$N$3:$N$1164) = VALUE($B$10))) *
            (IF($B$11="الكل",1, INT((DAY('ادخال البيانات'!$N$3:$N$1164)-1)/7)+1 = VALUE($B$11))),
            'ادخال البيانات'!$F$3:$F$1164
         ),
         ""
      ),
      IF(_xlpm.result="", "", _xlpm.result)
   )
)</f>
        <v/>
      </c>
      <c r="G1113" s="27" t="str" cm="1">
        <f t="array" ref="G1113">IF(
   A1113="",
   "",
   _xlfn.LET(
      _xlpm.result,
      IFERROR(
         _xlfn.XLOOKUP(
            1,
            (Table8[رقم الصنف]=A1113) *
            (IF($B$9="الكل",1, YEAR('ادخال البيانات'!$N$3:$N$1164)=VALUE($B$9))) *
            (IF($B$10="الكل",1, MONTH('ادخال البيانات'!$N$3:$N$1164)=VALUE($B$10))) *
            (IF($B$11="الكل",1, INT((DAY('ادخال البيانات'!$N$3:$N$1164)-1)/7)+1 = VALUE($B$11))),
            'ادخال البيانات'!$G$3:$G$1164
         ),
         ""
      ),
      IF(_xlpm.result="", "", _xlpm.result)
   )
)</f>
        <v/>
      </c>
      <c r="H1113" s="27" t="str" cm="1">
        <f t="array" ref="H1113">IF(
   A1113="",
   "",
   _xlfn.LET(
      _xlpm.result,
      IFERROR(
         _xlfn.XLOOKUP(
            1,
            (Table8[رقم الصنف]=A1113) *
            (IF($B$9="الكل",1, YEAR('ادخال البيانات'!$N$3:$N$1164)=VALUE($B$9))) *
            (IF($B$10="الكل",1, MONTH('ادخال البيانات'!$N$3:$N$1164)=VALUE($B$10))) *
            (IF($B$11="الكل",1, INT((DAY('ادخال البيانات'!$N$3:$N$1164)-1)/7)+1 = VALUE($B$11))),
            'ادخال البيانات'!$H$3:$H$1164
         ),
         ""
      ),
      IF(_xlpm.result="", "", _xlpm.result)
   )
)</f>
        <v/>
      </c>
      <c r="I1113" s="27" t="str" cm="1">
        <f t="array" ref="I1113">IF(
   A1113="",
   "",
   _xlfn.LET(
      _xlpm.result,
      IFERROR(
         _xlfn.XLOOKUP(
            1,
            (Table8[رقم الصنف]=A1113) *
            (IF($B$9="الكل",1, YEAR('ادخال البيانات'!$N$3:$N$1164)=VALUE($B$9))) *
            (IF($B$10="الكل",1, MONTH('ادخال البيانات'!$N$3:$N$1164)=VALUE($B$10))) *
            (IF($B$11="الكل",1, INT((DAY('ادخال البيانات'!$N$3:$N$1164)-1)/7)+1 = VALUE($B$11))),
            'ادخال البيانات'!$I$3:$I$1164
         ),
         ""
      ),
      IF(_xlpm.result="", "", _xlpm.result)
   )
)</f>
        <v/>
      </c>
      <c r="J1113" s="27" t="str" cm="1">
        <f t="array" ref="J1113">IF(
   A1113="",
   "",
   _xlfn.LET(
      _xlpm.result,
      IFERROR(
         _xlfn.XLOOKUP(
            1,
            (Table8[رقم الصنف]=A1113) *
            (IF($B$9="الكل",1, YEAR('ادخال البيانات'!$N$3:$N$1164)=VALUE($B$9))) *
            (IF($B$10="الكل",1, MONTH('ادخال البيانات'!$N$3:$N$1164)=VALUE($B$10))) *
            (IF($B$11="الكل",1, INT((DAY('ادخال البيانات'!$N$3:$N$1164)-1)/7)+1 = VALUE($B$11))),
            'ادخال البيانات'!$J$3:$J$1164
         ),
         ""
      ),
      IF(_xlpm.result="", "", _xlpm.result)
   )
)</f>
        <v/>
      </c>
      <c r="K1113" s="27" t="str" cm="1">
        <f t="array" ref="K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3" s="27" t="str" cm="1">
        <f t="array" ref="L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3" s="27" t="str" cm="1">
        <f t="array" ref="M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3" s="28" t="str" cm="1">
        <f t="array" ref="N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3" s="28" t="str" cm="1">
        <f t="array" ref="O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3" s="27" t="str" cm="1">
        <f t="array" ref="P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Table8[جهة العطل]
         ),
         ""
      ),
      IF(_xlpm.result="", "", _xlpm.result)
   )
)</f>
        <v/>
      </c>
      <c r="Q1113" s="27" t="str" cm="1">
        <f t="array" ref="Q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Table8[المركز]
         ),
         ""
      ),
      IF(_xlpm.result="", "", _xlpm.result)
   )
)</f>
        <v/>
      </c>
      <c r="R1113" s="27" t="str" cm="1">
        <f t="array" ref="R1113">IF(
   A1113="",
   "",
   _xlfn.LET(
      _xlpm.result,
      IFERROR(
         _xlfn.XLOOKUP(
            1,
            (Table8[رقم الصنف]=A1113) *
            (IF($B$9="الكل",1, YEAR('ادخال البيانات'!$N$3:$N$1164) = VALUE($B$9))) *
            (IF($B$10="الكل",1, MONTH('ادخال البيانات'!$N$3:$N$1164) = VALUE($B$10))) *
            (IF($B$11="الكل",1, INT((DAY('ادخال البيانات'!$N$3:$N$1164) - 1) / 7) + 1 = VALUE($B$11))),
            Table8[ملاحظة]
         ),
         ""
      ),
      IF(_xlpm.result="", "", _xlpm.result)
   )
)</f>
        <v/>
      </c>
      <c r="S1113" s="46" t="str">
        <f t="shared" ca="1" si="18"/>
        <v/>
      </c>
    </row>
    <row r="1114" spans="1:19" ht="15.6" thickTop="1" thickBot="1" x14ac:dyDescent="0.35">
      <c r="A1114" s="39"/>
      <c r="B1114" s="27" t="str" cm="1">
        <f t="array" ref="B1114">IF(
   OR(A1114="", $B$9="", $B$10="", $B$11=""),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4" s="27" t="str" cm="1">
        <f t="array" ref="C1114">IF(
   A1114="",
   "",
   _xlfn.LET(
      _xlpm.result,
      IFERROR(
         _xlfn.XLOOKUP(
            1,
            (Table8[رقم الصنف]=A1114) *
            (IF($B$9="الكل",1, YEAR('ادخال البيانات'!$N$3:$N$1164) = VALUE($B$9))) *
            (IF($B$10="الكل",1, MONTH('ادخال البيانات'!$N$3:$N$1164) = VALUE($B$10))) *
            (IF($B$11="الكل",1, INT((DAY('ادخال البيانات'!$N$3:$N$1164)-1)/7)+1 = VALUE($B$11))),
            'ادخال البيانات'!$C$3:$C$1164
         ),
         ""
      ),
      IF(_xlpm.result="", "", _xlpm.result)
   )
)</f>
        <v/>
      </c>
      <c r="D1114" s="27" t="str" cm="1">
        <f t="array" ref="D1114">IF(
   OR(A1114="", $B$9="", $B$10="", $B$11=""),
   "",
   _xlfn.LET(
      _xlpm.result,
      IFERROR(
         _xlfn.XLOOKUP(
            1,
            (Table8[رقم الصنف]=A1114) *
            (IF($B$9="الكل",1, YEAR('ادخال البيانات'!$N$3:$N$1164)=VALUE($B$9))) *
            (IF($B$10="الكل",1, MONTH('ادخال البيانات'!$N$3:$N$1164)=VALUE($B$10))) *
            (IF($B$11="الكل",1, INT((DAY('ادخال البيانات'!$N$3:$N$1164)-1)/7)+1 = VALUE($B$11))),
            'ادخال البيانات'!$D$3:$D$1164
         ),
         ""
      ),
      IF(_xlpm.result="", "", _xlpm.result)
   )
)</f>
        <v/>
      </c>
      <c r="E1114" s="27" t="str" cm="1">
        <f t="array" ref="E1114">IF(
   A1114="",
   "",
   _xlfn.LET(
      _xlpm.result,
      IFERROR(
         _xlfn.XLOOKUP(
            1,
            (Table8[رقم الصنف]=A1114) *
            (IF($B$9="الكل",1, YEAR('ادخال البيانات'!$N$3:$N$1164)=VALUE($B$9))) *
            (IF($B$10="الكل",1, MONTH('ادخال البيانات'!$N$3:$N$1164)=VALUE($B$10))) *
            (IF($B$11="الكل",1, INT((DAY('ادخال البيانات'!$N$3:$N$1164)-1)/7)+1 = VALUE($B$11))),
            'ادخال البيانات'!$E$3:$E$1164
         ),
         ""
      ),
      IF(_xlpm.result="", "", _xlpm.result)
   )
)</f>
        <v/>
      </c>
      <c r="F1114" s="27" t="str" cm="1">
        <f t="array" ref="F1114">IF(
   A1114="",
   "",
   _xlfn.LET(
      _xlpm.result,
      IFERROR(
         _xlfn.XLOOKUP(
            1,
            (Table8[رقم الصنف]=A1114) *
            (IF($B$9="الكل",1, YEAR('ادخال البيانات'!$N$3:$N$1164) = VALUE($B$9))) *
            (IF($B$10="الكل",1, MONTH('ادخال البيانات'!$N$3:$N$1164) = VALUE($B$10))) *
            (IF($B$11="الكل",1, INT((DAY('ادخال البيانات'!$N$3:$N$1164)-1)/7)+1 = VALUE($B$11))),
            'ادخال البيانات'!$F$3:$F$1164
         ),
         ""
      ),
      IF(_xlpm.result="", "", _xlpm.result)
   )
)</f>
        <v/>
      </c>
      <c r="G1114" s="27" t="str" cm="1">
        <f t="array" ref="G1114">IF(
   A1114="",
   "",
   _xlfn.LET(
      _xlpm.result,
      IFERROR(
         _xlfn.XLOOKUP(
            1,
            (Table8[رقم الصنف]=A1114) *
            (IF($B$9="الكل",1, YEAR('ادخال البيانات'!$N$3:$N$1164)=VALUE($B$9))) *
            (IF($B$10="الكل",1, MONTH('ادخال البيانات'!$N$3:$N$1164)=VALUE($B$10))) *
            (IF($B$11="الكل",1, INT((DAY('ادخال البيانات'!$N$3:$N$1164)-1)/7)+1 = VALUE($B$11))),
            'ادخال البيانات'!$G$3:$G$1164
         ),
         ""
      ),
      IF(_xlpm.result="", "", _xlpm.result)
   )
)</f>
        <v/>
      </c>
      <c r="H1114" s="27" t="str" cm="1">
        <f t="array" ref="H1114">IF(
   A1114="",
   "",
   _xlfn.LET(
      _xlpm.result,
      IFERROR(
         _xlfn.XLOOKUP(
            1,
            (Table8[رقم الصنف]=A1114) *
            (IF($B$9="الكل",1, YEAR('ادخال البيانات'!$N$3:$N$1164)=VALUE($B$9))) *
            (IF($B$10="الكل",1, MONTH('ادخال البيانات'!$N$3:$N$1164)=VALUE($B$10))) *
            (IF($B$11="الكل",1, INT((DAY('ادخال البيانات'!$N$3:$N$1164)-1)/7)+1 = VALUE($B$11))),
            'ادخال البيانات'!$H$3:$H$1164
         ),
         ""
      ),
      IF(_xlpm.result="", "", _xlpm.result)
   )
)</f>
        <v/>
      </c>
      <c r="I1114" s="27" t="str" cm="1">
        <f t="array" ref="I1114">IF(
   A1114="",
   "",
   _xlfn.LET(
      _xlpm.result,
      IFERROR(
         _xlfn.XLOOKUP(
            1,
            (Table8[رقم الصنف]=A1114) *
            (IF($B$9="الكل",1, YEAR('ادخال البيانات'!$N$3:$N$1164)=VALUE($B$9))) *
            (IF($B$10="الكل",1, MONTH('ادخال البيانات'!$N$3:$N$1164)=VALUE($B$10))) *
            (IF($B$11="الكل",1, INT((DAY('ادخال البيانات'!$N$3:$N$1164)-1)/7)+1 = VALUE($B$11))),
            'ادخال البيانات'!$I$3:$I$1164
         ),
         ""
      ),
      IF(_xlpm.result="", "", _xlpm.result)
   )
)</f>
        <v/>
      </c>
      <c r="J1114" s="27" t="str" cm="1">
        <f t="array" ref="J1114">IF(
   A1114="",
   "",
   _xlfn.LET(
      _xlpm.result,
      IFERROR(
         _xlfn.XLOOKUP(
            1,
            (Table8[رقم الصنف]=A1114) *
            (IF($B$9="الكل",1, YEAR('ادخال البيانات'!$N$3:$N$1164)=VALUE($B$9))) *
            (IF($B$10="الكل",1, MONTH('ادخال البيانات'!$N$3:$N$1164)=VALUE($B$10))) *
            (IF($B$11="الكل",1, INT((DAY('ادخال البيانات'!$N$3:$N$1164)-1)/7)+1 = VALUE($B$11))),
            'ادخال البيانات'!$J$3:$J$1164
         ),
         ""
      ),
      IF(_xlpm.result="", "", _xlpm.result)
   )
)</f>
        <v/>
      </c>
      <c r="K1114" s="27" t="str" cm="1">
        <f t="array" ref="K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4" s="27" t="str" cm="1">
        <f t="array" ref="L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4" s="27" t="str" cm="1">
        <f t="array" ref="M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4" s="28" t="str" cm="1">
        <f t="array" ref="N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4" s="28" t="str" cm="1">
        <f t="array" ref="O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4" s="27" t="str" cm="1">
        <f t="array" ref="P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Table8[جهة العطل]
         ),
         ""
      ),
      IF(_xlpm.result="", "", _xlpm.result)
   )
)</f>
        <v/>
      </c>
      <c r="Q1114" s="27" t="str" cm="1">
        <f t="array" ref="Q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Table8[المركز]
         ),
         ""
      ),
      IF(_xlpm.result="", "", _xlpm.result)
   )
)</f>
        <v/>
      </c>
      <c r="R1114" s="27" t="str" cm="1">
        <f t="array" ref="R1114">IF(
   A1114="",
   "",
   _xlfn.LET(
      _xlpm.result,
      IFERROR(
         _xlfn.XLOOKUP(
            1,
            (Table8[رقم الصنف]=A1114) *
            (IF($B$9="الكل",1, YEAR('ادخال البيانات'!$N$3:$N$1164) = VALUE($B$9))) *
            (IF($B$10="الكل",1, MONTH('ادخال البيانات'!$N$3:$N$1164) = VALUE($B$10))) *
            (IF($B$11="الكل",1, INT((DAY('ادخال البيانات'!$N$3:$N$1164) - 1) / 7) + 1 = VALUE($B$11))),
            Table8[ملاحظة]
         ),
         ""
      ),
      IF(_xlpm.result="", "", _xlpm.result)
   )
)</f>
        <v/>
      </c>
      <c r="S1114" s="46" t="str">
        <f t="shared" ca="1" si="18"/>
        <v/>
      </c>
    </row>
    <row r="1115" spans="1:19" ht="15.6" thickTop="1" thickBot="1" x14ac:dyDescent="0.35">
      <c r="A1115" s="39"/>
      <c r="B1115" s="27" t="str" cm="1">
        <f t="array" ref="B1115">IF(
   OR(A1115="", $B$9="", $B$10="", $B$11=""),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5" s="27" t="str" cm="1">
        <f t="array" ref="C1115">IF(
   A1115="",
   "",
   _xlfn.LET(
      _xlpm.result,
      IFERROR(
         _xlfn.XLOOKUP(
            1,
            (Table8[رقم الصنف]=A1115) *
            (IF($B$9="الكل",1, YEAR('ادخال البيانات'!$N$3:$N$1164) = VALUE($B$9))) *
            (IF($B$10="الكل",1, MONTH('ادخال البيانات'!$N$3:$N$1164) = VALUE($B$10))) *
            (IF($B$11="الكل",1, INT((DAY('ادخال البيانات'!$N$3:$N$1164)-1)/7)+1 = VALUE($B$11))),
            'ادخال البيانات'!$C$3:$C$1164
         ),
         ""
      ),
      IF(_xlpm.result="", "", _xlpm.result)
   )
)</f>
        <v/>
      </c>
      <c r="D1115" s="27" t="str" cm="1">
        <f t="array" ref="D1115">IF(
   OR(A1115="", $B$9="", $B$10="", $B$11=""),
   "",
   _xlfn.LET(
      _xlpm.result,
      IFERROR(
         _xlfn.XLOOKUP(
            1,
            (Table8[رقم الصنف]=A1115) *
            (IF($B$9="الكل",1, YEAR('ادخال البيانات'!$N$3:$N$1164)=VALUE($B$9))) *
            (IF($B$10="الكل",1, MONTH('ادخال البيانات'!$N$3:$N$1164)=VALUE($B$10))) *
            (IF($B$11="الكل",1, INT((DAY('ادخال البيانات'!$N$3:$N$1164)-1)/7)+1 = VALUE($B$11))),
            'ادخال البيانات'!$D$3:$D$1164
         ),
         ""
      ),
      IF(_xlpm.result="", "", _xlpm.result)
   )
)</f>
        <v/>
      </c>
      <c r="E1115" s="27" t="str" cm="1">
        <f t="array" ref="E1115">IF(
   A1115="",
   "",
   _xlfn.LET(
      _xlpm.result,
      IFERROR(
         _xlfn.XLOOKUP(
            1,
            (Table8[رقم الصنف]=A1115) *
            (IF($B$9="الكل",1, YEAR('ادخال البيانات'!$N$3:$N$1164)=VALUE($B$9))) *
            (IF($B$10="الكل",1, MONTH('ادخال البيانات'!$N$3:$N$1164)=VALUE($B$10))) *
            (IF($B$11="الكل",1, INT((DAY('ادخال البيانات'!$N$3:$N$1164)-1)/7)+1 = VALUE($B$11))),
            'ادخال البيانات'!$E$3:$E$1164
         ),
         ""
      ),
      IF(_xlpm.result="", "", _xlpm.result)
   )
)</f>
        <v/>
      </c>
      <c r="F1115" s="27" t="str" cm="1">
        <f t="array" ref="F1115">IF(
   A1115="",
   "",
   _xlfn.LET(
      _xlpm.result,
      IFERROR(
         _xlfn.XLOOKUP(
            1,
            (Table8[رقم الصنف]=A1115) *
            (IF($B$9="الكل",1, YEAR('ادخال البيانات'!$N$3:$N$1164) = VALUE($B$9))) *
            (IF($B$10="الكل",1, MONTH('ادخال البيانات'!$N$3:$N$1164) = VALUE($B$10))) *
            (IF($B$11="الكل",1, INT((DAY('ادخال البيانات'!$N$3:$N$1164)-1)/7)+1 = VALUE($B$11))),
            'ادخال البيانات'!$F$3:$F$1164
         ),
         ""
      ),
      IF(_xlpm.result="", "", _xlpm.result)
   )
)</f>
        <v/>
      </c>
      <c r="G1115" s="27" t="str" cm="1">
        <f t="array" ref="G1115">IF(
   A1115="",
   "",
   _xlfn.LET(
      _xlpm.result,
      IFERROR(
         _xlfn.XLOOKUP(
            1,
            (Table8[رقم الصنف]=A1115) *
            (IF($B$9="الكل",1, YEAR('ادخال البيانات'!$N$3:$N$1164)=VALUE($B$9))) *
            (IF($B$10="الكل",1, MONTH('ادخال البيانات'!$N$3:$N$1164)=VALUE($B$10))) *
            (IF($B$11="الكل",1, INT((DAY('ادخال البيانات'!$N$3:$N$1164)-1)/7)+1 = VALUE($B$11))),
            'ادخال البيانات'!$G$3:$G$1164
         ),
         ""
      ),
      IF(_xlpm.result="", "", _xlpm.result)
   )
)</f>
        <v/>
      </c>
      <c r="H1115" s="27" t="str" cm="1">
        <f t="array" ref="H1115">IF(
   A1115="",
   "",
   _xlfn.LET(
      _xlpm.result,
      IFERROR(
         _xlfn.XLOOKUP(
            1,
            (Table8[رقم الصنف]=A1115) *
            (IF($B$9="الكل",1, YEAR('ادخال البيانات'!$N$3:$N$1164)=VALUE($B$9))) *
            (IF($B$10="الكل",1, MONTH('ادخال البيانات'!$N$3:$N$1164)=VALUE($B$10))) *
            (IF($B$11="الكل",1, INT((DAY('ادخال البيانات'!$N$3:$N$1164)-1)/7)+1 = VALUE($B$11))),
            'ادخال البيانات'!$H$3:$H$1164
         ),
         ""
      ),
      IF(_xlpm.result="", "", _xlpm.result)
   )
)</f>
        <v/>
      </c>
      <c r="I1115" s="27" t="str" cm="1">
        <f t="array" ref="I1115">IF(
   A1115="",
   "",
   _xlfn.LET(
      _xlpm.result,
      IFERROR(
         _xlfn.XLOOKUP(
            1,
            (Table8[رقم الصنف]=A1115) *
            (IF($B$9="الكل",1, YEAR('ادخال البيانات'!$N$3:$N$1164)=VALUE($B$9))) *
            (IF($B$10="الكل",1, MONTH('ادخال البيانات'!$N$3:$N$1164)=VALUE($B$10))) *
            (IF($B$11="الكل",1, INT((DAY('ادخال البيانات'!$N$3:$N$1164)-1)/7)+1 = VALUE($B$11))),
            'ادخال البيانات'!$I$3:$I$1164
         ),
         ""
      ),
      IF(_xlpm.result="", "", _xlpm.result)
   )
)</f>
        <v/>
      </c>
      <c r="J1115" s="27" t="str" cm="1">
        <f t="array" ref="J1115">IF(
   A1115="",
   "",
   _xlfn.LET(
      _xlpm.result,
      IFERROR(
         _xlfn.XLOOKUP(
            1,
            (Table8[رقم الصنف]=A1115) *
            (IF($B$9="الكل",1, YEAR('ادخال البيانات'!$N$3:$N$1164)=VALUE($B$9))) *
            (IF($B$10="الكل",1, MONTH('ادخال البيانات'!$N$3:$N$1164)=VALUE($B$10))) *
            (IF($B$11="الكل",1, INT((DAY('ادخال البيانات'!$N$3:$N$1164)-1)/7)+1 = VALUE($B$11))),
            'ادخال البيانات'!$J$3:$J$1164
         ),
         ""
      ),
      IF(_xlpm.result="", "", _xlpm.result)
   )
)</f>
        <v/>
      </c>
      <c r="K1115" s="27" t="str" cm="1">
        <f t="array" ref="K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5" s="27" t="str" cm="1">
        <f t="array" ref="L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5" s="27" t="str" cm="1">
        <f t="array" ref="M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5" s="28" t="str" cm="1">
        <f t="array" ref="N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5" s="28" t="str" cm="1">
        <f t="array" ref="O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5" s="27" t="str" cm="1">
        <f t="array" ref="P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Table8[جهة العطل]
         ),
         ""
      ),
      IF(_xlpm.result="", "", _xlpm.result)
   )
)</f>
        <v/>
      </c>
      <c r="Q1115" s="27" t="str" cm="1">
        <f t="array" ref="Q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Table8[المركز]
         ),
         ""
      ),
      IF(_xlpm.result="", "", _xlpm.result)
   )
)</f>
        <v/>
      </c>
      <c r="R1115" s="27" t="str" cm="1">
        <f t="array" ref="R1115">IF(
   A1115="",
   "",
   _xlfn.LET(
      _xlpm.result,
      IFERROR(
         _xlfn.XLOOKUP(
            1,
            (Table8[رقم الصنف]=A1115) *
            (IF($B$9="الكل",1, YEAR('ادخال البيانات'!$N$3:$N$1164) = VALUE($B$9))) *
            (IF($B$10="الكل",1, MONTH('ادخال البيانات'!$N$3:$N$1164) = VALUE($B$10))) *
            (IF($B$11="الكل",1, INT((DAY('ادخال البيانات'!$N$3:$N$1164) - 1) / 7) + 1 = VALUE($B$11))),
            Table8[ملاحظة]
         ),
         ""
      ),
      IF(_xlpm.result="", "", _xlpm.result)
   )
)</f>
        <v/>
      </c>
      <c r="S1115" s="46" t="str">
        <f t="shared" ca="1" si="18"/>
        <v/>
      </c>
    </row>
    <row r="1116" spans="1:19" ht="15.6" thickTop="1" thickBot="1" x14ac:dyDescent="0.35">
      <c r="A1116" s="39"/>
      <c r="B1116" s="27" t="str" cm="1">
        <f t="array" ref="B1116">IF(
   OR(A1116="", $B$9="", $B$10="", $B$11=""),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6" s="27" t="str" cm="1">
        <f t="array" ref="C1116">IF(
   A1116="",
   "",
   _xlfn.LET(
      _xlpm.result,
      IFERROR(
         _xlfn.XLOOKUP(
            1,
            (Table8[رقم الصنف]=A1116) *
            (IF($B$9="الكل",1, YEAR('ادخال البيانات'!$N$3:$N$1164) = VALUE($B$9))) *
            (IF($B$10="الكل",1, MONTH('ادخال البيانات'!$N$3:$N$1164) = VALUE($B$10))) *
            (IF($B$11="الكل",1, INT((DAY('ادخال البيانات'!$N$3:$N$1164)-1)/7)+1 = VALUE($B$11))),
            'ادخال البيانات'!$C$3:$C$1164
         ),
         ""
      ),
      IF(_xlpm.result="", "", _xlpm.result)
   )
)</f>
        <v/>
      </c>
      <c r="D1116" s="27" t="str" cm="1">
        <f t="array" ref="D1116">IF(
   OR(A1116="", $B$9="", $B$10="", $B$11=""),
   "",
   _xlfn.LET(
      _xlpm.result,
      IFERROR(
         _xlfn.XLOOKUP(
            1,
            (Table8[رقم الصنف]=A1116) *
            (IF($B$9="الكل",1, YEAR('ادخال البيانات'!$N$3:$N$1164)=VALUE($B$9))) *
            (IF($B$10="الكل",1, MONTH('ادخال البيانات'!$N$3:$N$1164)=VALUE($B$10))) *
            (IF($B$11="الكل",1, INT((DAY('ادخال البيانات'!$N$3:$N$1164)-1)/7)+1 = VALUE($B$11))),
            'ادخال البيانات'!$D$3:$D$1164
         ),
         ""
      ),
      IF(_xlpm.result="", "", _xlpm.result)
   )
)</f>
        <v/>
      </c>
      <c r="E1116" s="27" t="str" cm="1">
        <f t="array" ref="E1116">IF(
   A1116="",
   "",
   _xlfn.LET(
      _xlpm.result,
      IFERROR(
         _xlfn.XLOOKUP(
            1,
            (Table8[رقم الصنف]=A1116) *
            (IF($B$9="الكل",1, YEAR('ادخال البيانات'!$N$3:$N$1164)=VALUE($B$9))) *
            (IF($B$10="الكل",1, MONTH('ادخال البيانات'!$N$3:$N$1164)=VALUE($B$10))) *
            (IF($B$11="الكل",1, INT((DAY('ادخال البيانات'!$N$3:$N$1164)-1)/7)+1 = VALUE($B$11))),
            'ادخال البيانات'!$E$3:$E$1164
         ),
         ""
      ),
      IF(_xlpm.result="", "", _xlpm.result)
   )
)</f>
        <v/>
      </c>
      <c r="F1116" s="27" t="str" cm="1">
        <f t="array" ref="F1116">IF(
   A1116="",
   "",
   _xlfn.LET(
      _xlpm.result,
      IFERROR(
         _xlfn.XLOOKUP(
            1,
            (Table8[رقم الصنف]=A1116) *
            (IF($B$9="الكل",1, YEAR('ادخال البيانات'!$N$3:$N$1164) = VALUE($B$9))) *
            (IF($B$10="الكل",1, MONTH('ادخال البيانات'!$N$3:$N$1164) = VALUE($B$10))) *
            (IF($B$11="الكل",1, INT((DAY('ادخال البيانات'!$N$3:$N$1164)-1)/7)+1 = VALUE($B$11))),
            'ادخال البيانات'!$F$3:$F$1164
         ),
         ""
      ),
      IF(_xlpm.result="", "", _xlpm.result)
   )
)</f>
        <v/>
      </c>
      <c r="G1116" s="27" t="str" cm="1">
        <f t="array" ref="G1116">IF(
   A1116="",
   "",
   _xlfn.LET(
      _xlpm.result,
      IFERROR(
         _xlfn.XLOOKUP(
            1,
            (Table8[رقم الصنف]=A1116) *
            (IF($B$9="الكل",1, YEAR('ادخال البيانات'!$N$3:$N$1164)=VALUE($B$9))) *
            (IF($B$10="الكل",1, MONTH('ادخال البيانات'!$N$3:$N$1164)=VALUE($B$10))) *
            (IF($B$11="الكل",1, INT((DAY('ادخال البيانات'!$N$3:$N$1164)-1)/7)+1 = VALUE($B$11))),
            'ادخال البيانات'!$G$3:$G$1164
         ),
         ""
      ),
      IF(_xlpm.result="", "", _xlpm.result)
   )
)</f>
        <v/>
      </c>
      <c r="H1116" s="27" t="str" cm="1">
        <f t="array" ref="H1116">IF(
   A1116="",
   "",
   _xlfn.LET(
      _xlpm.result,
      IFERROR(
         _xlfn.XLOOKUP(
            1,
            (Table8[رقم الصنف]=A1116) *
            (IF($B$9="الكل",1, YEAR('ادخال البيانات'!$N$3:$N$1164)=VALUE($B$9))) *
            (IF($B$10="الكل",1, MONTH('ادخال البيانات'!$N$3:$N$1164)=VALUE($B$10))) *
            (IF($B$11="الكل",1, INT((DAY('ادخال البيانات'!$N$3:$N$1164)-1)/7)+1 = VALUE($B$11))),
            'ادخال البيانات'!$H$3:$H$1164
         ),
         ""
      ),
      IF(_xlpm.result="", "", _xlpm.result)
   )
)</f>
        <v/>
      </c>
      <c r="I1116" s="27" t="str" cm="1">
        <f t="array" ref="I1116">IF(
   A1116="",
   "",
   _xlfn.LET(
      _xlpm.result,
      IFERROR(
         _xlfn.XLOOKUP(
            1,
            (Table8[رقم الصنف]=A1116) *
            (IF($B$9="الكل",1, YEAR('ادخال البيانات'!$N$3:$N$1164)=VALUE($B$9))) *
            (IF($B$10="الكل",1, MONTH('ادخال البيانات'!$N$3:$N$1164)=VALUE($B$10))) *
            (IF($B$11="الكل",1, INT((DAY('ادخال البيانات'!$N$3:$N$1164)-1)/7)+1 = VALUE($B$11))),
            'ادخال البيانات'!$I$3:$I$1164
         ),
         ""
      ),
      IF(_xlpm.result="", "", _xlpm.result)
   )
)</f>
        <v/>
      </c>
      <c r="J1116" s="27" t="str" cm="1">
        <f t="array" ref="J1116">IF(
   A1116="",
   "",
   _xlfn.LET(
      _xlpm.result,
      IFERROR(
         _xlfn.XLOOKUP(
            1,
            (Table8[رقم الصنف]=A1116) *
            (IF($B$9="الكل",1, YEAR('ادخال البيانات'!$N$3:$N$1164)=VALUE($B$9))) *
            (IF($B$10="الكل",1, MONTH('ادخال البيانات'!$N$3:$N$1164)=VALUE($B$10))) *
            (IF($B$11="الكل",1, INT((DAY('ادخال البيانات'!$N$3:$N$1164)-1)/7)+1 = VALUE($B$11))),
            'ادخال البيانات'!$J$3:$J$1164
         ),
         ""
      ),
      IF(_xlpm.result="", "", _xlpm.result)
   )
)</f>
        <v/>
      </c>
      <c r="K1116" s="27" t="str" cm="1">
        <f t="array" ref="K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6" s="27" t="str" cm="1">
        <f t="array" ref="L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6" s="27" t="str" cm="1">
        <f t="array" ref="M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6" s="28" t="str" cm="1">
        <f t="array" ref="N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6" s="28" t="str" cm="1">
        <f t="array" ref="O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6" s="27" t="str" cm="1">
        <f t="array" ref="P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Table8[جهة العطل]
         ),
         ""
      ),
      IF(_xlpm.result="", "", _xlpm.result)
   )
)</f>
        <v/>
      </c>
      <c r="Q1116" s="27" t="str" cm="1">
        <f t="array" ref="Q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Table8[المركز]
         ),
         ""
      ),
      IF(_xlpm.result="", "", _xlpm.result)
   )
)</f>
        <v/>
      </c>
      <c r="R1116" s="27" t="str" cm="1">
        <f t="array" ref="R1116">IF(
   A1116="",
   "",
   _xlfn.LET(
      _xlpm.result,
      IFERROR(
         _xlfn.XLOOKUP(
            1,
            (Table8[رقم الصنف]=A1116) *
            (IF($B$9="الكل",1, YEAR('ادخال البيانات'!$N$3:$N$1164) = VALUE($B$9))) *
            (IF($B$10="الكل",1, MONTH('ادخال البيانات'!$N$3:$N$1164) = VALUE($B$10))) *
            (IF($B$11="الكل",1, INT((DAY('ادخال البيانات'!$N$3:$N$1164) - 1) / 7) + 1 = VALUE($B$11))),
            Table8[ملاحظة]
         ),
         ""
      ),
      IF(_xlpm.result="", "", _xlpm.result)
   )
)</f>
        <v/>
      </c>
      <c r="S1116" s="46" t="str">
        <f t="shared" ca="1" si="18"/>
        <v/>
      </c>
    </row>
    <row r="1117" spans="1:19" ht="15.6" thickTop="1" thickBot="1" x14ac:dyDescent="0.35">
      <c r="A1117" s="39"/>
      <c r="B1117" s="27" t="str" cm="1">
        <f t="array" ref="B1117">IF(
   OR(A1117="", $B$9="", $B$10="", $B$11=""),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7" s="27" t="str" cm="1">
        <f t="array" ref="C1117">IF(
   A1117="",
   "",
   _xlfn.LET(
      _xlpm.result,
      IFERROR(
         _xlfn.XLOOKUP(
            1,
            (Table8[رقم الصنف]=A1117) *
            (IF($B$9="الكل",1, YEAR('ادخال البيانات'!$N$3:$N$1164) = VALUE($B$9))) *
            (IF($B$10="الكل",1, MONTH('ادخال البيانات'!$N$3:$N$1164) = VALUE($B$10))) *
            (IF($B$11="الكل",1, INT((DAY('ادخال البيانات'!$N$3:$N$1164)-1)/7)+1 = VALUE($B$11))),
            'ادخال البيانات'!$C$3:$C$1164
         ),
         ""
      ),
      IF(_xlpm.result="", "", _xlpm.result)
   )
)</f>
        <v/>
      </c>
      <c r="D1117" s="27" t="str" cm="1">
        <f t="array" ref="D1117">IF(
   OR(A1117="", $B$9="", $B$10="", $B$11=""),
   "",
   _xlfn.LET(
      _xlpm.result,
      IFERROR(
         _xlfn.XLOOKUP(
            1,
            (Table8[رقم الصنف]=A1117) *
            (IF($B$9="الكل",1, YEAR('ادخال البيانات'!$N$3:$N$1164)=VALUE($B$9))) *
            (IF($B$10="الكل",1, MONTH('ادخال البيانات'!$N$3:$N$1164)=VALUE($B$10))) *
            (IF($B$11="الكل",1, INT((DAY('ادخال البيانات'!$N$3:$N$1164)-1)/7)+1 = VALUE($B$11))),
            'ادخال البيانات'!$D$3:$D$1164
         ),
         ""
      ),
      IF(_xlpm.result="", "", _xlpm.result)
   )
)</f>
        <v/>
      </c>
      <c r="E1117" s="27" t="str" cm="1">
        <f t="array" ref="E1117">IF(
   A1117="",
   "",
   _xlfn.LET(
      _xlpm.result,
      IFERROR(
         _xlfn.XLOOKUP(
            1,
            (Table8[رقم الصنف]=A1117) *
            (IF($B$9="الكل",1, YEAR('ادخال البيانات'!$N$3:$N$1164)=VALUE($B$9))) *
            (IF($B$10="الكل",1, MONTH('ادخال البيانات'!$N$3:$N$1164)=VALUE($B$10))) *
            (IF($B$11="الكل",1, INT((DAY('ادخال البيانات'!$N$3:$N$1164)-1)/7)+1 = VALUE($B$11))),
            'ادخال البيانات'!$E$3:$E$1164
         ),
         ""
      ),
      IF(_xlpm.result="", "", _xlpm.result)
   )
)</f>
        <v/>
      </c>
      <c r="F1117" s="27" t="str" cm="1">
        <f t="array" ref="F1117">IF(
   A1117="",
   "",
   _xlfn.LET(
      _xlpm.result,
      IFERROR(
         _xlfn.XLOOKUP(
            1,
            (Table8[رقم الصنف]=A1117) *
            (IF($B$9="الكل",1, YEAR('ادخال البيانات'!$N$3:$N$1164) = VALUE($B$9))) *
            (IF($B$10="الكل",1, MONTH('ادخال البيانات'!$N$3:$N$1164) = VALUE($B$10))) *
            (IF($B$11="الكل",1, INT((DAY('ادخال البيانات'!$N$3:$N$1164)-1)/7)+1 = VALUE($B$11))),
            'ادخال البيانات'!$F$3:$F$1164
         ),
         ""
      ),
      IF(_xlpm.result="", "", _xlpm.result)
   )
)</f>
        <v/>
      </c>
      <c r="G1117" s="27" t="str" cm="1">
        <f t="array" ref="G1117">IF(
   A1117="",
   "",
   _xlfn.LET(
      _xlpm.result,
      IFERROR(
         _xlfn.XLOOKUP(
            1,
            (Table8[رقم الصنف]=A1117) *
            (IF($B$9="الكل",1, YEAR('ادخال البيانات'!$N$3:$N$1164)=VALUE($B$9))) *
            (IF($B$10="الكل",1, MONTH('ادخال البيانات'!$N$3:$N$1164)=VALUE($B$10))) *
            (IF($B$11="الكل",1, INT((DAY('ادخال البيانات'!$N$3:$N$1164)-1)/7)+1 = VALUE($B$11))),
            'ادخال البيانات'!$G$3:$G$1164
         ),
         ""
      ),
      IF(_xlpm.result="", "", _xlpm.result)
   )
)</f>
        <v/>
      </c>
      <c r="H1117" s="27" t="str" cm="1">
        <f t="array" ref="H1117">IF(
   A1117="",
   "",
   _xlfn.LET(
      _xlpm.result,
      IFERROR(
         _xlfn.XLOOKUP(
            1,
            (Table8[رقم الصنف]=A1117) *
            (IF($B$9="الكل",1, YEAR('ادخال البيانات'!$N$3:$N$1164)=VALUE($B$9))) *
            (IF($B$10="الكل",1, MONTH('ادخال البيانات'!$N$3:$N$1164)=VALUE($B$10))) *
            (IF($B$11="الكل",1, INT((DAY('ادخال البيانات'!$N$3:$N$1164)-1)/7)+1 = VALUE($B$11))),
            'ادخال البيانات'!$H$3:$H$1164
         ),
         ""
      ),
      IF(_xlpm.result="", "", _xlpm.result)
   )
)</f>
        <v/>
      </c>
      <c r="I1117" s="27" t="str" cm="1">
        <f t="array" ref="I1117">IF(
   A1117="",
   "",
   _xlfn.LET(
      _xlpm.result,
      IFERROR(
         _xlfn.XLOOKUP(
            1,
            (Table8[رقم الصنف]=A1117) *
            (IF($B$9="الكل",1, YEAR('ادخال البيانات'!$N$3:$N$1164)=VALUE($B$9))) *
            (IF($B$10="الكل",1, MONTH('ادخال البيانات'!$N$3:$N$1164)=VALUE($B$10))) *
            (IF($B$11="الكل",1, INT((DAY('ادخال البيانات'!$N$3:$N$1164)-1)/7)+1 = VALUE($B$11))),
            'ادخال البيانات'!$I$3:$I$1164
         ),
         ""
      ),
      IF(_xlpm.result="", "", _xlpm.result)
   )
)</f>
        <v/>
      </c>
      <c r="J1117" s="27" t="str" cm="1">
        <f t="array" ref="J1117">IF(
   A1117="",
   "",
   _xlfn.LET(
      _xlpm.result,
      IFERROR(
         _xlfn.XLOOKUP(
            1,
            (Table8[رقم الصنف]=A1117) *
            (IF($B$9="الكل",1, YEAR('ادخال البيانات'!$N$3:$N$1164)=VALUE($B$9))) *
            (IF($B$10="الكل",1, MONTH('ادخال البيانات'!$N$3:$N$1164)=VALUE($B$10))) *
            (IF($B$11="الكل",1, INT((DAY('ادخال البيانات'!$N$3:$N$1164)-1)/7)+1 = VALUE($B$11))),
            'ادخال البيانات'!$J$3:$J$1164
         ),
         ""
      ),
      IF(_xlpm.result="", "", _xlpm.result)
   )
)</f>
        <v/>
      </c>
      <c r="K1117" s="27" t="str" cm="1">
        <f t="array" ref="K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7" s="27" t="str" cm="1">
        <f t="array" ref="L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7" s="27" t="str" cm="1">
        <f t="array" ref="M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7" s="28" t="str" cm="1">
        <f t="array" ref="N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7" s="28" t="str" cm="1">
        <f t="array" ref="O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7" s="27" t="str" cm="1">
        <f t="array" ref="P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Table8[جهة العطل]
         ),
         ""
      ),
      IF(_xlpm.result="", "", _xlpm.result)
   )
)</f>
        <v/>
      </c>
      <c r="Q1117" s="27" t="str" cm="1">
        <f t="array" ref="Q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Table8[المركز]
         ),
         ""
      ),
      IF(_xlpm.result="", "", _xlpm.result)
   )
)</f>
        <v/>
      </c>
      <c r="R1117" s="27" t="str" cm="1">
        <f t="array" ref="R1117">IF(
   A1117="",
   "",
   _xlfn.LET(
      _xlpm.result,
      IFERROR(
         _xlfn.XLOOKUP(
            1,
            (Table8[رقم الصنف]=A1117) *
            (IF($B$9="الكل",1, YEAR('ادخال البيانات'!$N$3:$N$1164) = VALUE($B$9))) *
            (IF($B$10="الكل",1, MONTH('ادخال البيانات'!$N$3:$N$1164) = VALUE($B$10))) *
            (IF($B$11="الكل",1, INT((DAY('ادخال البيانات'!$N$3:$N$1164) - 1) / 7) + 1 = VALUE($B$11))),
            Table8[ملاحظة]
         ),
         ""
      ),
      IF(_xlpm.result="", "", _xlpm.result)
   )
)</f>
        <v/>
      </c>
      <c r="S1117" s="46" t="str">
        <f t="shared" ca="1" si="18"/>
        <v/>
      </c>
    </row>
    <row r="1118" spans="1:19" ht="15.6" thickTop="1" thickBot="1" x14ac:dyDescent="0.35">
      <c r="A1118" s="39"/>
      <c r="B1118" s="27" t="str" cm="1">
        <f t="array" ref="B1118">IF(
   OR(A1118="", $B$9="", $B$10="", $B$11=""),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8" s="27" t="str" cm="1">
        <f t="array" ref="C1118">IF(
   A1118="",
   "",
   _xlfn.LET(
      _xlpm.result,
      IFERROR(
         _xlfn.XLOOKUP(
            1,
            (Table8[رقم الصنف]=A1118) *
            (IF($B$9="الكل",1, YEAR('ادخال البيانات'!$N$3:$N$1164) = VALUE($B$9))) *
            (IF($B$10="الكل",1, MONTH('ادخال البيانات'!$N$3:$N$1164) = VALUE($B$10))) *
            (IF($B$11="الكل",1, INT((DAY('ادخال البيانات'!$N$3:$N$1164)-1)/7)+1 = VALUE($B$11))),
            'ادخال البيانات'!$C$3:$C$1164
         ),
         ""
      ),
      IF(_xlpm.result="", "", _xlpm.result)
   )
)</f>
        <v/>
      </c>
      <c r="D1118" s="27" t="str" cm="1">
        <f t="array" ref="D1118">IF(
   OR(A1118="", $B$9="", $B$10="", $B$11=""),
   "",
   _xlfn.LET(
      _xlpm.result,
      IFERROR(
         _xlfn.XLOOKUP(
            1,
            (Table8[رقم الصنف]=A1118) *
            (IF($B$9="الكل",1, YEAR('ادخال البيانات'!$N$3:$N$1164)=VALUE($B$9))) *
            (IF($B$10="الكل",1, MONTH('ادخال البيانات'!$N$3:$N$1164)=VALUE($B$10))) *
            (IF($B$11="الكل",1, INT((DAY('ادخال البيانات'!$N$3:$N$1164)-1)/7)+1 = VALUE($B$11))),
            'ادخال البيانات'!$D$3:$D$1164
         ),
         ""
      ),
      IF(_xlpm.result="", "", _xlpm.result)
   )
)</f>
        <v/>
      </c>
      <c r="E1118" s="27" t="str" cm="1">
        <f t="array" ref="E1118">IF(
   A1118="",
   "",
   _xlfn.LET(
      _xlpm.result,
      IFERROR(
         _xlfn.XLOOKUP(
            1,
            (Table8[رقم الصنف]=A1118) *
            (IF($B$9="الكل",1, YEAR('ادخال البيانات'!$N$3:$N$1164)=VALUE($B$9))) *
            (IF($B$10="الكل",1, MONTH('ادخال البيانات'!$N$3:$N$1164)=VALUE($B$10))) *
            (IF($B$11="الكل",1, INT((DAY('ادخال البيانات'!$N$3:$N$1164)-1)/7)+1 = VALUE($B$11))),
            'ادخال البيانات'!$E$3:$E$1164
         ),
         ""
      ),
      IF(_xlpm.result="", "", _xlpm.result)
   )
)</f>
        <v/>
      </c>
      <c r="F1118" s="27" t="str" cm="1">
        <f t="array" ref="F1118">IF(
   A1118="",
   "",
   _xlfn.LET(
      _xlpm.result,
      IFERROR(
         _xlfn.XLOOKUP(
            1,
            (Table8[رقم الصنف]=A1118) *
            (IF($B$9="الكل",1, YEAR('ادخال البيانات'!$N$3:$N$1164) = VALUE($B$9))) *
            (IF($B$10="الكل",1, MONTH('ادخال البيانات'!$N$3:$N$1164) = VALUE($B$10))) *
            (IF($B$11="الكل",1, INT((DAY('ادخال البيانات'!$N$3:$N$1164)-1)/7)+1 = VALUE($B$11))),
            'ادخال البيانات'!$F$3:$F$1164
         ),
         ""
      ),
      IF(_xlpm.result="", "", _xlpm.result)
   )
)</f>
        <v/>
      </c>
      <c r="G1118" s="27" t="str" cm="1">
        <f t="array" ref="G1118">IF(
   A1118="",
   "",
   _xlfn.LET(
      _xlpm.result,
      IFERROR(
         _xlfn.XLOOKUP(
            1,
            (Table8[رقم الصنف]=A1118) *
            (IF($B$9="الكل",1, YEAR('ادخال البيانات'!$N$3:$N$1164)=VALUE($B$9))) *
            (IF($B$10="الكل",1, MONTH('ادخال البيانات'!$N$3:$N$1164)=VALUE($B$10))) *
            (IF($B$11="الكل",1, INT((DAY('ادخال البيانات'!$N$3:$N$1164)-1)/7)+1 = VALUE($B$11))),
            'ادخال البيانات'!$G$3:$G$1164
         ),
         ""
      ),
      IF(_xlpm.result="", "", _xlpm.result)
   )
)</f>
        <v/>
      </c>
      <c r="H1118" s="27" t="str" cm="1">
        <f t="array" ref="H1118">IF(
   A1118="",
   "",
   _xlfn.LET(
      _xlpm.result,
      IFERROR(
         _xlfn.XLOOKUP(
            1,
            (Table8[رقم الصنف]=A1118) *
            (IF($B$9="الكل",1, YEAR('ادخال البيانات'!$N$3:$N$1164)=VALUE($B$9))) *
            (IF($B$10="الكل",1, MONTH('ادخال البيانات'!$N$3:$N$1164)=VALUE($B$10))) *
            (IF($B$11="الكل",1, INT((DAY('ادخال البيانات'!$N$3:$N$1164)-1)/7)+1 = VALUE($B$11))),
            'ادخال البيانات'!$H$3:$H$1164
         ),
         ""
      ),
      IF(_xlpm.result="", "", _xlpm.result)
   )
)</f>
        <v/>
      </c>
      <c r="I1118" s="27" t="str" cm="1">
        <f t="array" ref="I1118">IF(
   A1118="",
   "",
   _xlfn.LET(
      _xlpm.result,
      IFERROR(
         _xlfn.XLOOKUP(
            1,
            (Table8[رقم الصنف]=A1118) *
            (IF($B$9="الكل",1, YEAR('ادخال البيانات'!$N$3:$N$1164)=VALUE($B$9))) *
            (IF($B$10="الكل",1, MONTH('ادخال البيانات'!$N$3:$N$1164)=VALUE($B$10))) *
            (IF($B$11="الكل",1, INT((DAY('ادخال البيانات'!$N$3:$N$1164)-1)/7)+1 = VALUE($B$11))),
            'ادخال البيانات'!$I$3:$I$1164
         ),
         ""
      ),
      IF(_xlpm.result="", "", _xlpm.result)
   )
)</f>
        <v/>
      </c>
      <c r="J1118" s="27" t="str" cm="1">
        <f t="array" ref="J1118">IF(
   A1118="",
   "",
   _xlfn.LET(
      _xlpm.result,
      IFERROR(
         _xlfn.XLOOKUP(
            1,
            (Table8[رقم الصنف]=A1118) *
            (IF($B$9="الكل",1, YEAR('ادخال البيانات'!$N$3:$N$1164)=VALUE($B$9))) *
            (IF($B$10="الكل",1, MONTH('ادخال البيانات'!$N$3:$N$1164)=VALUE($B$10))) *
            (IF($B$11="الكل",1, INT((DAY('ادخال البيانات'!$N$3:$N$1164)-1)/7)+1 = VALUE($B$11))),
            'ادخال البيانات'!$J$3:$J$1164
         ),
         ""
      ),
      IF(_xlpm.result="", "", _xlpm.result)
   )
)</f>
        <v/>
      </c>
      <c r="K1118" s="27" t="str" cm="1">
        <f t="array" ref="K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8" s="27" t="str" cm="1">
        <f t="array" ref="L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8" s="27" t="str" cm="1">
        <f t="array" ref="M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8" s="28" t="str" cm="1">
        <f t="array" ref="N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8" s="28" t="str" cm="1">
        <f t="array" ref="O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8" s="27" t="str" cm="1">
        <f t="array" ref="P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Table8[جهة العطل]
         ),
         ""
      ),
      IF(_xlpm.result="", "", _xlpm.result)
   )
)</f>
        <v/>
      </c>
      <c r="Q1118" s="27" t="str" cm="1">
        <f t="array" ref="Q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Table8[المركز]
         ),
         ""
      ),
      IF(_xlpm.result="", "", _xlpm.result)
   )
)</f>
        <v/>
      </c>
      <c r="R1118" s="27" t="str" cm="1">
        <f t="array" ref="R1118">IF(
   A1118="",
   "",
   _xlfn.LET(
      _xlpm.result,
      IFERROR(
         _xlfn.XLOOKUP(
            1,
            (Table8[رقم الصنف]=A1118) *
            (IF($B$9="الكل",1, YEAR('ادخال البيانات'!$N$3:$N$1164) = VALUE($B$9))) *
            (IF($B$10="الكل",1, MONTH('ادخال البيانات'!$N$3:$N$1164) = VALUE($B$10))) *
            (IF($B$11="الكل",1, INT((DAY('ادخال البيانات'!$N$3:$N$1164) - 1) / 7) + 1 = VALUE($B$11))),
            Table8[ملاحظة]
         ),
         ""
      ),
      IF(_xlpm.result="", "", _xlpm.result)
   )
)</f>
        <v/>
      </c>
      <c r="S1118" s="46" t="str">
        <f t="shared" ca="1" si="18"/>
        <v/>
      </c>
    </row>
    <row r="1119" spans="1:19" ht="15.6" thickTop="1" thickBot="1" x14ac:dyDescent="0.35">
      <c r="A1119" s="39"/>
      <c r="B1119" s="27" t="str" cm="1">
        <f t="array" ref="B1119">IF(
   OR(A1119="", $B$9="", $B$10="", $B$11=""),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19" s="27" t="str" cm="1">
        <f t="array" ref="C1119">IF(
   A1119="",
   "",
   _xlfn.LET(
      _xlpm.result,
      IFERROR(
         _xlfn.XLOOKUP(
            1,
            (Table8[رقم الصنف]=A1119) *
            (IF($B$9="الكل",1, YEAR('ادخال البيانات'!$N$3:$N$1164) = VALUE($B$9))) *
            (IF($B$10="الكل",1, MONTH('ادخال البيانات'!$N$3:$N$1164) = VALUE($B$10))) *
            (IF($B$11="الكل",1, INT((DAY('ادخال البيانات'!$N$3:$N$1164)-1)/7)+1 = VALUE($B$11))),
            'ادخال البيانات'!$C$3:$C$1164
         ),
         ""
      ),
      IF(_xlpm.result="", "", _xlpm.result)
   )
)</f>
        <v/>
      </c>
      <c r="D1119" s="27" t="str" cm="1">
        <f t="array" ref="D1119">IF(
   OR(A1119="", $B$9="", $B$10="", $B$11=""),
   "",
   _xlfn.LET(
      _xlpm.result,
      IFERROR(
         _xlfn.XLOOKUP(
            1,
            (Table8[رقم الصنف]=A1119) *
            (IF($B$9="الكل",1, YEAR('ادخال البيانات'!$N$3:$N$1164)=VALUE($B$9))) *
            (IF($B$10="الكل",1, MONTH('ادخال البيانات'!$N$3:$N$1164)=VALUE($B$10))) *
            (IF($B$11="الكل",1, INT((DAY('ادخال البيانات'!$N$3:$N$1164)-1)/7)+1 = VALUE($B$11))),
            'ادخال البيانات'!$D$3:$D$1164
         ),
         ""
      ),
      IF(_xlpm.result="", "", _xlpm.result)
   )
)</f>
        <v/>
      </c>
      <c r="E1119" s="27" t="str" cm="1">
        <f t="array" ref="E1119">IF(
   A1119="",
   "",
   _xlfn.LET(
      _xlpm.result,
      IFERROR(
         _xlfn.XLOOKUP(
            1,
            (Table8[رقم الصنف]=A1119) *
            (IF($B$9="الكل",1, YEAR('ادخال البيانات'!$N$3:$N$1164)=VALUE($B$9))) *
            (IF($B$10="الكل",1, MONTH('ادخال البيانات'!$N$3:$N$1164)=VALUE($B$10))) *
            (IF($B$11="الكل",1, INT((DAY('ادخال البيانات'!$N$3:$N$1164)-1)/7)+1 = VALUE($B$11))),
            'ادخال البيانات'!$E$3:$E$1164
         ),
         ""
      ),
      IF(_xlpm.result="", "", _xlpm.result)
   )
)</f>
        <v/>
      </c>
      <c r="F1119" s="27" t="str" cm="1">
        <f t="array" ref="F1119">IF(
   A1119="",
   "",
   _xlfn.LET(
      _xlpm.result,
      IFERROR(
         _xlfn.XLOOKUP(
            1,
            (Table8[رقم الصنف]=A1119) *
            (IF($B$9="الكل",1, YEAR('ادخال البيانات'!$N$3:$N$1164) = VALUE($B$9))) *
            (IF($B$10="الكل",1, MONTH('ادخال البيانات'!$N$3:$N$1164) = VALUE($B$10))) *
            (IF($B$11="الكل",1, INT((DAY('ادخال البيانات'!$N$3:$N$1164)-1)/7)+1 = VALUE($B$11))),
            'ادخال البيانات'!$F$3:$F$1164
         ),
         ""
      ),
      IF(_xlpm.result="", "", _xlpm.result)
   )
)</f>
        <v/>
      </c>
      <c r="G1119" s="27" t="str" cm="1">
        <f t="array" ref="G1119">IF(
   A1119="",
   "",
   _xlfn.LET(
      _xlpm.result,
      IFERROR(
         _xlfn.XLOOKUP(
            1,
            (Table8[رقم الصنف]=A1119) *
            (IF($B$9="الكل",1, YEAR('ادخال البيانات'!$N$3:$N$1164)=VALUE($B$9))) *
            (IF($B$10="الكل",1, MONTH('ادخال البيانات'!$N$3:$N$1164)=VALUE($B$10))) *
            (IF($B$11="الكل",1, INT((DAY('ادخال البيانات'!$N$3:$N$1164)-1)/7)+1 = VALUE($B$11))),
            'ادخال البيانات'!$G$3:$G$1164
         ),
         ""
      ),
      IF(_xlpm.result="", "", _xlpm.result)
   )
)</f>
        <v/>
      </c>
      <c r="H1119" s="27" t="str" cm="1">
        <f t="array" ref="H1119">IF(
   A1119="",
   "",
   _xlfn.LET(
      _xlpm.result,
      IFERROR(
         _xlfn.XLOOKUP(
            1,
            (Table8[رقم الصنف]=A1119) *
            (IF($B$9="الكل",1, YEAR('ادخال البيانات'!$N$3:$N$1164)=VALUE($B$9))) *
            (IF($B$10="الكل",1, MONTH('ادخال البيانات'!$N$3:$N$1164)=VALUE($B$10))) *
            (IF($B$11="الكل",1, INT((DAY('ادخال البيانات'!$N$3:$N$1164)-1)/7)+1 = VALUE($B$11))),
            'ادخال البيانات'!$H$3:$H$1164
         ),
         ""
      ),
      IF(_xlpm.result="", "", _xlpm.result)
   )
)</f>
        <v/>
      </c>
      <c r="I1119" s="27" t="str" cm="1">
        <f t="array" ref="I1119">IF(
   A1119="",
   "",
   _xlfn.LET(
      _xlpm.result,
      IFERROR(
         _xlfn.XLOOKUP(
            1,
            (Table8[رقم الصنف]=A1119) *
            (IF($B$9="الكل",1, YEAR('ادخال البيانات'!$N$3:$N$1164)=VALUE($B$9))) *
            (IF($B$10="الكل",1, MONTH('ادخال البيانات'!$N$3:$N$1164)=VALUE($B$10))) *
            (IF($B$11="الكل",1, INT((DAY('ادخال البيانات'!$N$3:$N$1164)-1)/7)+1 = VALUE($B$11))),
            'ادخال البيانات'!$I$3:$I$1164
         ),
         ""
      ),
      IF(_xlpm.result="", "", _xlpm.result)
   )
)</f>
        <v/>
      </c>
      <c r="J1119" s="27" t="str" cm="1">
        <f t="array" ref="J1119">IF(
   A1119="",
   "",
   _xlfn.LET(
      _xlpm.result,
      IFERROR(
         _xlfn.XLOOKUP(
            1,
            (Table8[رقم الصنف]=A1119) *
            (IF($B$9="الكل",1, YEAR('ادخال البيانات'!$N$3:$N$1164)=VALUE($B$9))) *
            (IF($B$10="الكل",1, MONTH('ادخال البيانات'!$N$3:$N$1164)=VALUE($B$10))) *
            (IF($B$11="الكل",1, INT((DAY('ادخال البيانات'!$N$3:$N$1164)-1)/7)+1 = VALUE($B$11))),
            'ادخال البيانات'!$J$3:$J$1164
         ),
         ""
      ),
      IF(_xlpm.result="", "", _xlpm.result)
   )
)</f>
        <v/>
      </c>
      <c r="K1119" s="27" t="str" cm="1">
        <f t="array" ref="K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19" s="27" t="str" cm="1">
        <f t="array" ref="L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19" s="27" t="str" cm="1">
        <f t="array" ref="M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19" s="28" t="str" cm="1">
        <f t="array" ref="N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19" s="28" t="str" cm="1">
        <f t="array" ref="O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19" s="27" t="str" cm="1">
        <f t="array" ref="P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Table8[جهة العطل]
         ),
         ""
      ),
      IF(_xlpm.result="", "", _xlpm.result)
   )
)</f>
        <v/>
      </c>
      <c r="Q1119" s="27" t="str" cm="1">
        <f t="array" ref="Q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Table8[المركز]
         ),
         ""
      ),
      IF(_xlpm.result="", "", _xlpm.result)
   )
)</f>
        <v/>
      </c>
      <c r="R1119" s="27" t="str" cm="1">
        <f t="array" ref="R1119">IF(
   A1119="",
   "",
   _xlfn.LET(
      _xlpm.result,
      IFERROR(
         _xlfn.XLOOKUP(
            1,
            (Table8[رقم الصنف]=A1119) *
            (IF($B$9="الكل",1, YEAR('ادخال البيانات'!$N$3:$N$1164) = VALUE($B$9))) *
            (IF($B$10="الكل",1, MONTH('ادخال البيانات'!$N$3:$N$1164) = VALUE($B$10))) *
            (IF($B$11="الكل",1, INT((DAY('ادخال البيانات'!$N$3:$N$1164) - 1) / 7) + 1 = VALUE($B$11))),
            Table8[ملاحظة]
         ),
         ""
      ),
      IF(_xlpm.result="", "", _xlpm.result)
   )
)</f>
        <v/>
      </c>
      <c r="S1119" s="46" t="str">
        <f t="shared" ca="1" si="18"/>
        <v/>
      </c>
    </row>
    <row r="1120" spans="1:19" ht="15.6" thickTop="1" thickBot="1" x14ac:dyDescent="0.35">
      <c r="A1120" s="39"/>
      <c r="B1120" s="27" t="str" cm="1">
        <f t="array" ref="B1120">IF(
   OR(A1120="", $B$9="", $B$10="", $B$11=""),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0" s="27" t="str" cm="1">
        <f t="array" ref="C1120">IF(
   A1120="",
   "",
   _xlfn.LET(
      _xlpm.result,
      IFERROR(
         _xlfn.XLOOKUP(
            1,
            (Table8[رقم الصنف]=A1120) *
            (IF($B$9="الكل",1, YEAR('ادخال البيانات'!$N$3:$N$1164) = VALUE($B$9))) *
            (IF($B$10="الكل",1, MONTH('ادخال البيانات'!$N$3:$N$1164) = VALUE($B$10))) *
            (IF($B$11="الكل",1, INT((DAY('ادخال البيانات'!$N$3:$N$1164)-1)/7)+1 = VALUE($B$11))),
            'ادخال البيانات'!$C$3:$C$1164
         ),
         ""
      ),
      IF(_xlpm.result="", "", _xlpm.result)
   )
)</f>
        <v/>
      </c>
      <c r="D1120" s="27" t="str" cm="1">
        <f t="array" ref="D1120">IF(
   OR(A1120="", $B$9="", $B$10="", $B$11=""),
   "",
   _xlfn.LET(
      _xlpm.result,
      IFERROR(
         _xlfn.XLOOKUP(
            1,
            (Table8[رقم الصنف]=A1120) *
            (IF($B$9="الكل",1, YEAR('ادخال البيانات'!$N$3:$N$1164)=VALUE($B$9))) *
            (IF($B$10="الكل",1, MONTH('ادخال البيانات'!$N$3:$N$1164)=VALUE($B$10))) *
            (IF($B$11="الكل",1, INT((DAY('ادخال البيانات'!$N$3:$N$1164)-1)/7)+1 = VALUE($B$11))),
            'ادخال البيانات'!$D$3:$D$1164
         ),
         ""
      ),
      IF(_xlpm.result="", "", _xlpm.result)
   )
)</f>
        <v/>
      </c>
      <c r="E1120" s="27" t="str" cm="1">
        <f t="array" ref="E1120">IF(
   A1120="",
   "",
   _xlfn.LET(
      _xlpm.result,
      IFERROR(
         _xlfn.XLOOKUP(
            1,
            (Table8[رقم الصنف]=A1120) *
            (IF($B$9="الكل",1, YEAR('ادخال البيانات'!$N$3:$N$1164)=VALUE($B$9))) *
            (IF($B$10="الكل",1, MONTH('ادخال البيانات'!$N$3:$N$1164)=VALUE($B$10))) *
            (IF($B$11="الكل",1, INT((DAY('ادخال البيانات'!$N$3:$N$1164)-1)/7)+1 = VALUE($B$11))),
            'ادخال البيانات'!$E$3:$E$1164
         ),
         ""
      ),
      IF(_xlpm.result="", "", _xlpm.result)
   )
)</f>
        <v/>
      </c>
      <c r="F1120" s="27" t="str" cm="1">
        <f t="array" ref="F1120">IF(
   A1120="",
   "",
   _xlfn.LET(
      _xlpm.result,
      IFERROR(
         _xlfn.XLOOKUP(
            1,
            (Table8[رقم الصنف]=A1120) *
            (IF($B$9="الكل",1, YEAR('ادخال البيانات'!$N$3:$N$1164) = VALUE($B$9))) *
            (IF($B$10="الكل",1, MONTH('ادخال البيانات'!$N$3:$N$1164) = VALUE($B$10))) *
            (IF($B$11="الكل",1, INT((DAY('ادخال البيانات'!$N$3:$N$1164)-1)/7)+1 = VALUE($B$11))),
            'ادخال البيانات'!$F$3:$F$1164
         ),
         ""
      ),
      IF(_xlpm.result="", "", _xlpm.result)
   )
)</f>
        <v/>
      </c>
      <c r="G1120" s="27" t="str" cm="1">
        <f t="array" ref="G1120">IF(
   A1120="",
   "",
   _xlfn.LET(
      _xlpm.result,
      IFERROR(
         _xlfn.XLOOKUP(
            1,
            (Table8[رقم الصنف]=A1120) *
            (IF($B$9="الكل",1, YEAR('ادخال البيانات'!$N$3:$N$1164)=VALUE($B$9))) *
            (IF($B$10="الكل",1, MONTH('ادخال البيانات'!$N$3:$N$1164)=VALUE($B$10))) *
            (IF($B$11="الكل",1, INT((DAY('ادخال البيانات'!$N$3:$N$1164)-1)/7)+1 = VALUE($B$11))),
            'ادخال البيانات'!$G$3:$G$1164
         ),
         ""
      ),
      IF(_xlpm.result="", "", _xlpm.result)
   )
)</f>
        <v/>
      </c>
      <c r="H1120" s="27" t="str" cm="1">
        <f t="array" ref="H1120">IF(
   A1120="",
   "",
   _xlfn.LET(
      _xlpm.result,
      IFERROR(
         _xlfn.XLOOKUP(
            1,
            (Table8[رقم الصنف]=A1120) *
            (IF($B$9="الكل",1, YEAR('ادخال البيانات'!$N$3:$N$1164)=VALUE($B$9))) *
            (IF($B$10="الكل",1, MONTH('ادخال البيانات'!$N$3:$N$1164)=VALUE($B$10))) *
            (IF($B$11="الكل",1, INT((DAY('ادخال البيانات'!$N$3:$N$1164)-1)/7)+1 = VALUE($B$11))),
            'ادخال البيانات'!$H$3:$H$1164
         ),
         ""
      ),
      IF(_xlpm.result="", "", _xlpm.result)
   )
)</f>
        <v/>
      </c>
      <c r="I1120" s="27" t="str" cm="1">
        <f t="array" ref="I1120">IF(
   A1120="",
   "",
   _xlfn.LET(
      _xlpm.result,
      IFERROR(
         _xlfn.XLOOKUP(
            1,
            (Table8[رقم الصنف]=A1120) *
            (IF($B$9="الكل",1, YEAR('ادخال البيانات'!$N$3:$N$1164)=VALUE($B$9))) *
            (IF($B$10="الكل",1, MONTH('ادخال البيانات'!$N$3:$N$1164)=VALUE($B$10))) *
            (IF($B$11="الكل",1, INT((DAY('ادخال البيانات'!$N$3:$N$1164)-1)/7)+1 = VALUE($B$11))),
            'ادخال البيانات'!$I$3:$I$1164
         ),
         ""
      ),
      IF(_xlpm.result="", "", _xlpm.result)
   )
)</f>
        <v/>
      </c>
      <c r="J1120" s="27" t="str" cm="1">
        <f t="array" ref="J1120">IF(
   A1120="",
   "",
   _xlfn.LET(
      _xlpm.result,
      IFERROR(
         _xlfn.XLOOKUP(
            1,
            (Table8[رقم الصنف]=A1120) *
            (IF($B$9="الكل",1, YEAR('ادخال البيانات'!$N$3:$N$1164)=VALUE($B$9))) *
            (IF($B$10="الكل",1, MONTH('ادخال البيانات'!$N$3:$N$1164)=VALUE($B$10))) *
            (IF($B$11="الكل",1, INT((DAY('ادخال البيانات'!$N$3:$N$1164)-1)/7)+1 = VALUE($B$11))),
            'ادخال البيانات'!$J$3:$J$1164
         ),
         ""
      ),
      IF(_xlpm.result="", "", _xlpm.result)
   )
)</f>
        <v/>
      </c>
      <c r="K1120" s="27" t="str" cm="1">
        <f t="array" ref="K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0" s="27" t="str" cm="1">
        <f t="array" ref="L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0" s="27" t="str" cm="1">
        <f t="array" ref="M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0" s="28" t="str" cm="1">
        <f t="array" ref="N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0" s="28" t="str" cm="1">
        <f t="array" ref="O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0" s="27" t="str" cm="1">
        <f t="array" ref="P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Table8[جهة العطل]
         ),
         ""
      ),
      IF(_xlpm.result="", "", _xlpm.result)
   )
)</f>
        <v/>
      </c>
      <c r="Q1120" s="27" t="str" cm="1">
        <f t="array" ref="Q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Table8[المركز]
         ),
         ""
      ),
      IF(_xlpm.result="", "", _xlpm.result)
   )
)</f>
        <v/>
      </c>
      <c r="R1120" s="27" t="str" cm="1">
        <f t="array" ref="R1120">IF(
   A1120="",
   "",
   _xlfn.LET(
      _xlpm.result,
      IFERROR(
         _xlfn.XLOOKUP(
            1,
            (Table8[رقم الصنف]=A1120) *
            (IF($B$9="الكل",1, YEAR('ادخال البيانات'!$N$3:$N$1164) = VALUE($B$9))) *
            (IF($B$10="الكل",1, MONTH('ادخال البيانات'!$N$3:$N$1164) = VALUE($B$10))) *
            (IF($B$11="الكل",1, INT((DAY('ادخال البيانات'!$N$3:$N$1164) - 1) / 7) + 1 = VALUE($B$11))),
            Table8[ملاحظة]
         ),
         ""
      ),
      IF(_xlpm.result="", "", _xlpm.result)
   )
)</f>
        <v/>
      </c>
      <c r="S1120" s="46" t="str">
        <f t="shared" ca="1" si="18"/>
        <v/>
      </c>
    </row>
    <row r="1121" spans="1:19" ht="15.6" thickTop="1" thickBot="1" x14ac:dyDescent="0.35">
      <c r="A1121" s="39"/>
      <c r="B1121" s="27" t="str" cm="1">
        <f t="array" ref="B1121">IF(
   OR(A1121="", $B$9="", $B$10="", $B$11=""),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1" s="27" t="str" cm="1">
        <f t="array" ref="C1121">IF(
   A1121="",
   "",
   _xlfn.LET(
      _xlpm.result,
      IFERROR(
         _xlfn.XLOOKUP(
            1,
            (Table8[رقم الصنف]=A1121) *
            (IF($B$9="الكل",1, YEAR('ادخال البيانات'!$N$3:$N$1164) = VALUE($B$9))) *
            (IF($B$10="الكل",1, MONTH('ادخال البيانات'!$N$3:$N$1164) = VALUE($B$10))) *
            (IF($B$11="الكل",1, INT((DAY('ادخال البيانات'!$N$3:$N$1164)-1)/7)+1 = VALUE($B$11))),
            'ادخال البيانات'!$C$3:$C$1164
         ),
         ""
      ),
      IF(_xlpm.result="", "", _xlpm.result)
   )
)</f>
        <v/>
      </c>
      <c r="D1121" s="27" t="str" cm="1">
        <f t="array" ref="D1121">IF(
   OR(A1121="", $B$9="", $B$10="", $B$11=""),
   "",
   _xlfn.LET(
      _xlpm.result,
      IFERROR(
         _xlfn.XLOOKUP(
            1,
            (Table8[رقم الصنف]=A1121) *
            (IF($B$9="الكل",1, YEAR('ادخال البيانات'!$N$3:$N$1164)=VALUE($B$9))) *
            (IF($B$10="الكل",1, MONTH('ادخال البيانات'!$N$3:$N$1164)=VALUE($B$10))) *
            (IF($B$11="الكل",1, INT((DAY('ادخال البيانات'!$N$3:$N$1164)-1)/7)+1 = VALUE($B$11))),
            'ادخال البيانات'!$D$3:$D$1164
         ),
         ""
      ),
      IF(_xlpm.result="", "", _xlpm.result)
   )
)</f>
        <v/>
      </c>
      <c r="E1121" s="27" t="str" cm="1">
        <f t="array" ref="E1121">IF(
   A1121="",
   "",
   _xlfn.LET(
      _xlpm.result,
      IFERROR(
         _xlfn.XLOOKUP(
            1,
            (Table8[رقم الصنف]=A1121) *
            (IF($B$9="الكل",1, YEAR('ادخال البيانات'!$N$3:$N$1164)=VALUE($B$9))) *
            (IF($B$10="الكل",1, MONTH('ادخال البيانات'!$N$3:$N$1164)=VALUE($B$10))) *
            (IF($B$11="الكل",1, INT((DAY('ادخال البيانات'!$N$3:$N$1164)-1)/7)+1 = VALUE($B$11))),
            'ادخال البيانات'!$E$3:$E$1164
         ),
         ""
      ),
      IF(_xlpm.result="", "", _xlpm.result)
   )
)</f>
        <v/>
      </c>
      <c r="F1121" s="27" t="str" cm="1">
        <f t="array" ref="F1121">IF(
   A1121="",
   "",
   _xlfn.LET(
      _xlpm.result,
      IFERROR(
         _xlfn.XLOOKUP(
            1,
            (Table8[رقم الصنف]=A1121) *
            (IF($B$9="الكل",1, YEAR('ادخال البيانات'!$N$3:$N$1164) = VALUE($B$9))) *
            (IF($B$10="الكل",1, MONTH('ادخال البيانات'!$N$3:$N$1164) = VALUE($B$10))) *
            (IF($B$11="الكل",1, INT((DAY('ادخال البيانات'!$N$3:$N$1164)-1)/7)+1 = VALUE($B$11))),
            'ادخال البيانات'!$F$3:$F$1164
         ),
         ""
      ),
      IF(_xlpm.result="", "", _xlpm.result)
   )
)</f>
        <v/>
      </c>
      <c r="G1121" s="27" t="str" cm="1">
        <f t="array" ref="G1121">IF(
   A1121="",
   "",
   _xlfn.LET(
      _xlpm.result,
      IFERROR(
         _xlfn.XLOOKUP(
            1,
            (Table8[رقم الصنف]=A1121) *
            (IF($B$9="الكل",1, YEAR('ادخال البيانات'!$N$3:$N$1164)=VALUE($B$9))) *
            (IF($B$10="الكل",1, MONTH('ادخال البيانات'!$N$3:$N$1164)=VALUE($B$10))) *
            (IF($B$11="الكل",1, INT((DAY('ادخال البيانات'!$N$3:$N$1164)-1)/7)+1 = VALUE($B$11))),
            'ادخال البيانات'!$G$3:$G$1164
         ),
         ""
      ),
      IF(_xlpm.result="", "", _xlpm.result)
   )
)</f>
        <v/>
      </c>
      <c r="H1121" s="27" t="str" cm="1">
        <f t="array" ref="H1121">IF(
   A1121="",
   "",
   _xlfn.LET(
      _xlpm.result,
      IFERROR(
         _xlfn.XLOOKUP(
            1,
            (Table8[رقم الصنف]=A1121) *
            (IF($B$9="الكل",1, YEAR('ادخال البيانات'!$N$3:$N$1164)=VALUE($B$9))) *
            (IF($B$10="الكل",1, MONTH('ادخال البيانات'!$N$3:$N$1164)=VALUE($B$10))) *
            (IF($B$11="الكل",1, INT((DAY('ادخال البيانات'!$N$3:$N$1164)-1)/7)+1 = VALUE($B$11))),
            'ادخال البيانات'!$H$3:$H$1164
         ),
         ""
      ),
      IF(_xlpm.result="", "", _xlpm.result)
   )
)</f>
        <v/>
      </c>
      <c r="I1121" s="27" t="str" cm="1">
        <f t="array" ref="I1121">IF(
   A1121="",
   "",
   _xlfn.LET(
      _xlpm.result,
      IFERROR(
         _xlfn.XLOOKUP(
            1,
            (Table8[رقم الصنف]=A1121) *
            (IF($B$9="الكل",1, YEAR('ادخال البيانات'!$N$3:$N$1164)=VALUE($B$9))) *
            (IF($B$10="الكل",1, MONTH('ادخال البيانات'!$N$3:$N$1164)=VALUE($B$10))) *
            (IF($B$11="الكل",1, INT((DAY('ادخال البيانات'!$N$3:$N$1164)-1)/7)+1 = VALUE($B$11))),
            'ادخال البيانات'!$I$3:$I$1164
         ),
         ""
      ),
      IF(_xlpm.result="", "", _xlpm.result)
   )
)</f>
        <v/>
      </c>
      <c r="J1121" s="27" t="str" cm="1">
        <f t="array" ref="J1121">IF(
   A1121="",
   "",
   _xlfn.LET(
      _xlpm.result,
      IFERROR(
         _xlfn.XLOOKUP(
            1,
            (Table8[رقم الصنف]=A1121) *
            (IF($B$9="الكل",1, YEAR('ادخال البيانات'!$N$3:$N$1164)=VALUE($B$9))) *
            (IF($B$10="الكل",1, MONTH('ادخال البيانات'!$N$3:$N$1164)=VALUE($B$10))) *
            (IF($B$11="الكل",1, INT((DAY('ادخال البيانات'!$N$3:$N$1164)-1)/7)+1 = VALUE($B$11))),
            'ادخال البيانات'!$J$3:$J$1164
         ),
         ""
      ),
      IF(_xlpm.result="", "", _xlpm.result)
   )
)</f>
        <v/>
      </c>
      <c r="K1121" s="27" t="str" cm="1">
        <f t="array" ref="K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1" s="27" t="str" cm="1">
        <f t="array" ref="L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1" s="27" t="str" cm="1">
        <f t="array" ref="M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1" s="28" t="str" cm="1">
        <f t="array" ref="N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1" s="28" t="str" cm="1">
        <f t="array" ref="O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1" s="27" t="str" cm="1">
        <f t="array" ref="P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Table8[جهة العطل]
         ),
         ""
      ),
      IF(_xlpm.result="", "", _xlpm.result)
   )
)</f>
        <v/>
      </c>
      <c r="Q1121" s="27" t="str" cm="1">
        <f t="array" ref="Q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Table8[المركز]
         ),
         ""
      ),
      IF(_xlpm.result="", "", _xlpm.result)
   )
)</f>
        <v/>
      </c>
      <c r="R1121" s="27" t="str" cm="1">
        <f t="array" ref="R1121">IF(
   A1121="",
   "",
   _xlfn.LET(
      _xlpm.result,
      IFERROR(
         _xlfn.XLOOKUP(
            1,
            (Table8[رقم الصنف]=A1121) *
            (IF($B$9="الكل",1, YEAR('ادخال البيانات'!$N$3:$N$1164) = VALUE($B$9))) *
            (IF($B$10="الكل",1, MONTH('ادخال البيانات'!$N$3:$N$1164) = VALUE($B$10))) *
            (IF($B$11="الكل",1, INT((DAY('ادخال البيانات'!$N$3:$N$1164) - 1) / 7) + 1 = VALUE($B$11))),
            Table8[ملاحظة]
         ),
         ""
      ),
      IF(_xlpm.result="", "", _xlpm.result)
   )
)</f>
        <v/>
      </c>
      <c r="S1121" s="46" t="str">
        <f t="shared" ca="1" si="18"/>
        <v/>
      </c>
    </row>
    <row r="1122" spans="1:19" ht="15.6" thickTop="1" thickBot="1" x14ac:dyDescent="0.35">
      <c r="A1122" s="39"/>
      <c r="B1122" s="27" t="str" cm="1">
        <f t="array" ref="B1122">IF(
   OR(A1122="", $B$9="", $B$10="", $B$11=""),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2" s="27" t="str" cm="1">
        <f t="array" ref="C1122">IF(
   A1122="",
   "",
   _xlfn.LET(
      _xlpm.result,
      IFERROR(
         _xlfn.XLOOKUP(
            1,
            (Table8[رقم الصنف]=A1122) *
            (IF($B$9="الكل",1, YEAR('ادخال البيانات'!$N$3:$N$1164) = VALUE($B$9))) *
            (IF($B$10="الكل",1, MONTH('ادخال البيانات'!$N$3:$N$1164) = VALUE($B$10))) *
            (IF($B$11="الكل",1, INT((DAY('ادخال البيانات'!$N$3:$N$1164)-1)/7)+1 = VALUE($B$11))),
            'ادخال البيانات'!$C$3:$C$1164
         ),
         ""
      ),
      IF(_xlpm.result="", "", _xlpm.result)
   )
)</f>
        <v/>
      </c>
      <c r="D1122" s="27" t="str" cm="1">
        <f t="array" ref="D1122">IF(
   OR(A1122="", $B$9="", $B$10="", $B$11=""),
   "",
   _xlfn.LET(
      _xlpm.result,
      IFERROR(
         _xlfn.XLOOKUP(
            1,
            (Table8[رقم الصنف]=A1122) *
            (IF($B$9="الكل",1, YEAR('ادخال البيانات'!$N$3:$N$1164)=VALUE($B$9))) *
            (IF($B$10="الكل",1, MONTH('ادخال البيانات'!$N$3:$N$1164)=VALUE($B$10))) *
            (IF($B$11="الكل",1, INT((DAY('ادخال البيانات'!$N$3:$N$1164)-1)/7)+1 = VALUE($B$11))),
            'ادخال البيانات'!$D$3:$D$1164
         ),
         ""
      ),
      IF(_xlpm.result="", "", _xlpm.result)
   )
)</f>
        <v/>
      </c>
      <c r="E1122" s="27" t="str" cm="1">
        <f t="array" ref="E1122">IF(
   A1122="",
   "",
   _xlfn.LET(
      _xlpm.result,
      IFERROR(
         _xlfn.XLOOKUP(
            1,
            (Table8[رقم الصنف]=A1122) *
            (IF($B$9="الكل",1, YEAR('ادخال البيانات'!$N$3:$N$1164)=VALUE($B$9))) *
            (IF($B$10="الكل",1, MONTH('ادخال البيانات'!$N$3:$N$1164)=VALUE($B$10))) *
            (IF($B$11="الكل",1, INT((DAY('ادخال البيانات'!$N$3:$N$1164)-1)/7)+1 = VALUE($B$11))),
            'ادخال البيانات'!$E$3:$E$1164
         ),
         ""
      ),
      IF(_xlpm.result="", "", _xlpm.result)
   )
)</f>
        <v/>
      </c>
      <c r="F1122" s="27" t="str" cm="1">
        <f t="array" ref="F1122">IF(
   A1122="",
   "",
   _xlfn.LET(
      _xlpm.result,
      IFERROR(
         _xlfn.XLOOKUP(
            1,
            (Table8[رقم الصنف]=A1122) *
            (IF($B$9="الكل",1, YEAR('ادخال البيانات'!$N$3:$N$1164) = VALUE($B$9))) *
            (IF($B$10="الكل",1, MONTH('ادخال البيانات'!$N$3:$N$1164) = VALUE($B$10))) *
            (IF($B$11="الكل",1, INT((DAY('ادخال البيانات'!$N$3:$N$1164)-1)/7)+1 = VALUE($B$11))),
            'ادخال البيانات'!$F$3:$F$1164
         ),
         ""
      ),
      IF(_xlpm.result="", "", _xlpm.result)
   )
)</f>
        <v/>
      </c>
      <c r="G1122" s="27" t="str" cm="1">
        <f t="array" ref="G1122">IF(
   A1122="",
   "",
   _xlfn.LET(
      _xlpm.result,
      IFERROR(
         _xlfn.XLOOKUP(
            1,
            (Table8[رقم الصنف]=A1122) *
            (IF($B$9="الكل",1, YEAR('ادخال البيانات'!$N$3:$N$1164)=VALUE($B$9))) *
            (IF($B$10="الكل",1, MONTH('ادخال البيانات'!$N$3:$N$1164)=VALUE($B$10))) *
            (IF($B$11="الكل",1, INT((DAY('ادخال البيانات'!$N$3:$N$1164)-1)/7)+1 = VALUE($B$11))),
            'ادخال البيانات'!$G$3:$G$1164
         ),
         ""
      ),
      IF(_xlpm.result="", "", _xlpm.result)
   )
)</f>
        <v/>
      </c>
      <c r="H1122" s="27" t="str" cm="1">
        <f t="array" ref="H1122">IF(
   A1122="",
   "",
   _xlfn.LET(
      _xlpm.result,
      IFERROR(
         _xlfn.XLOOKUP(
            1,
            (Table8[رقم الصنف]=A1122) *
            (IF($B$9="الكل",1, YEAR('ادخال البيانات'!$N$3:$N$1164)=VALUE($B$9))) *
            (IF($B$10="الكل",1, MONTH('ادخال البيانات'!$N$3:$N$1164)=VALUE($B$10))) *
            (IF($B$11="الكل",1, INT((DAY('ادخال البيانات'!$N$3:$N$1164)-1)/7)+1 = VALUE($B$11))),
            'ادخال البيانات'!$H$3:$H$1164
         ),
         ""
      ),
      IF(_xlpm.result="", "", _xlpm.result)
   )
)</f>
        <v/>
      </c>
      <c r="I1122" s="27" t="str" cm="1">
        <f t="array" ref="I1122">IF(
   A1122="",
   "",
   _xlfn.LET(
      _xlpm.result,
      IFERROR(
         _xlfn.XLOOKUP(
            1,
            (Table8[رقم الصنف]=A1122) *
            (IF($B$9="الكل",1, YEAR('ادخال البيانات'!$N$3:$N$1164)=VALUE($B$9))) *
            (IF($B$10="الكل",1, MONTH('ادخال البيانات'!$N$3:$N$1164)=VALUE($B$10))) *
            (IF($B$11="الكل",1, INT((DAY('ادخال البيانات'!$N$3:$N$1164)-1)/7)+1 = VALUE($B$11))),
            'ادخال البيانات'!$I$3:$I$1164
         ),
         ""
      ),
      IF(_xlpm.result="", "", _xlpm.result)
   )
)</f>
        <v/>
      </c>
      <c r="J1122" s="27" t="str" cm="1">
        <f t="array" ref="J1122">IF(
   A1122="",
   "",
   _xlfn.LET(
      _xlpm.result,
      IFERROR(
         _xlfn.XLOOKUP(
            1,
            (Table8[رقم الصنف]=A1122) *
            (IF($B$9="الكل",1, YEAR('ادخال البيانات'!$N$3:$N$1164)=VALUE($B$9))) *
            (IF($B$10="الكل",1, MONTH('ادخال البيانات'!$N$3:$N$1164)=VALUE($B$10))) *
            (IF($B$11="الكل",1, INT((DAY('ادخال البيانات'!$N$3:$N$1164)-1)/7)+1 = VALUE($B$11))),
            'ادخال البيانات'!$J$3:$J$1164
         ),
         ""
      ),
      IF(_xlpm.result="", "", _xlpm.result)
   )
)</f>
        <v/>
      </c>
      <c r="K1122" s="27" t="str" cm="1">
        <f t="array" ref="K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2" s="27" t="str" cm="1">
        <f t="array" ref="L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2" s="27" t="str" cm="1">
        <f t="array" ref="M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2" s="28" t="str" cm="1">
        <f t="array" ref="N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2" s="28" t="str" cm="1">
        <f t="array" ref="O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2" s="27" t="str" cm="1">
        <f t="array" ref="P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Table8[جهة العطل]
         ),
         ""
      ),
      IF(_xlpm.result="", "", _xlpm.result)
   )
)</f>
        <v/>
      </c>
      <c r="Q1122" s="27" t="str" cm="1">
        <f t="array" ref="Q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Table8[المركز]
         ),
         ""
      ),
      IF(_xlpm.result="", "", _xlpm.result)
   )
)</f>
        <v/>
      </c>
      <c r="R1122" s="27" t="str" cm="1">
        <f t="array" ref="R1122">IF(
   A1122="",
   "",
   _xlfn.LET(
      _xlpm.result,
      IFERROR(
         _xlfn.XLOOKUP(
            1,
            (Table8[رقم الصنف]=A1122) *
            (IF($B$9="الكل",1, YEAR('ادخال البيانات'!$N$3:$N$1164) = VALUE($B$9))) *
            (IF($B$10="الكل",1, MONTH('ادخال البيانات'!$N$3:$N$1164) = VALUE($B$10))) *
            (IF($B$11="الكل",1, INT((DAY('ادخال البيانات'!$N$3:$N$1164) - 1) / 7) + 1 = VALUE($B$11))),
            Table8[ملاحظة]
         ),
         ""
      ),
      IF(_xlpm.result="", "", _xlpm.result)
   )
)</f>
        <v/>
      </c>
      <c r="S1122" s="46" t="str">
        <f t="shared" ca="1" si="18"/>
        <v/>
      </c>
    </row>
    <row r="1123" spans="1:19" ht="15.6" thickTop="1" thickBot="1" x14ac:dyDescent="0.35">
      <c r="A1123" s="39"/>
      <c r="B1123" s="27" t="str" cm="1">
        <f t="array" ref="B1123">IF(
   OR(A1123="", $B$9="", $B$10="", $B$11=""),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3" s="27" t="str" cm="1">
        <f t="array" ref="C1123">IF(
   A1123="",
   "",
   _xlfn.LET(
      _xlpm.result,
      IFERROR(
         _xlfn.XLOOKUP(
            1,
            (Table8[رقم الصنف]=A1123) *
            (IF($B$9="الكل",1, YEAR('ادخال البيانات'!$N$3:$N$1164) = VALUE($B$9))) *
            (IF($B$10="الكل",1, MONTH('ادخال البيانات'!$N$3:$N$1164) = VALUE($B$10))) *
            (IF($B$11="الكل",1, INT((DAY('ادخال البيانات'!$N$3:$N$1164)-1)/7)+1 = VALUE($B$11))),
            'ادخال البيانات'!$C$3:$C$1164
         ),
         ""
      ),
      IF(_xlpm.result="", "", _xlpm.result)
   )
)</f>
        <v/>
      </c>
      <c r="D1123" s="27" t="str" cm="1">
        <f t="array" ref="D1123">IF(
   OR(A1123="", $B$9="", $B$10="", $B$11=""),
   "",
   _xlfn.LET(
      _xlpm.result,
      IFERROR(
         _xlfn.XLOOKUP(
            1,
            (Table8[رقم الصنف]=A1123) *
            (IF($B$9="الكل",1, YEAR('ادخال البيانات'!$N$3:$N$1164)=VALUE($B$9))) *
            (IF($B$10="الكل",1, MONTH('ادخال البيانات'!$N$3:$N$1164)=VALUE($B$10))) *
            (IF($B$11="الكل",1, INT((DAY('ادخال البيانات'!$N$3:$N$1164)-1)/7)+1 = VALUE($B$11))),
            'ادخال البيانات'!$D$3:$D$1164
         ),
         ""
      ),
      IF(_xlpm.result="", "", _xlpm.result)
   )
)</f>
        <v/>
      </c>
      <c r="E1123" s="27" t="str" cm="1">
        <f t="array" ref="E1123">IF(
   A1123="",
   "",
   _xlfn.LET(
      _xlpm.result,
      IFERROR(
         _xlfn.XLOOKUP(
            1,
            (Table8[رقم الصنف]=A1123) *
            (IF($B$9="الكل",1, YEAR('ادخال البيانات'!$N$3:$N$1164)=VALUE($B$9))) *
            (IF($B$10="الكل",1, MONTH('ادخال البيانات'!$N$3:$N$1164)=VALUE($B$10))) *
            (IF($B$11="الكل",1, INT((DAY('ادخال البيانات'!$N$3:$N$1164)-1)/7)+1 = VALUE($B$11))),
            'ادخال البيانات'!$E$3:$E$1164
         ),
         ""
      ),
      IF(_xlpm.result="", "", _xlpm.result)
   )
)</f>
        <v/>
      </c>
      <c r="F1123" s="27" t="str" cm="1">
        <f t="array" ref="F1123">IF(
   A1123="",
   "",
   _xlfn.LET(
      _xlpm.result,
      IFERROR(
         _xlfn.XLOOKUP(
            1,
            (Table8[رقم الصنف]=A1123) *
            (IF($B$9="الكل",1, YEAR('ادخال البيانات'!$N$3:$N$1164) = VALUE($B$9))) *
            (IF($B$10="الكل",1, MONTH('ادخال البيانات'!$N$3:$N$1164) = VALUE($B$10))) *
            (IF($B$11="الكل",1, INT((DAY('ادخال البيانات'!$N$3:$N$1164)-1)/7)+1 = VALUE($B$11))),
            'ادخال البيانات'!$F$3:$F$1164
         ),
         ""
      ),
      IF(_xlpm.result="", "", _xlpm.result)
   )
)</f>
        <v/>
      </c>
      <c r="G1123" s="27" t="str" cm="1">
        <f t="array" ref="G1123">IF(
   A1123="",
   "",
   _xlfn.LET(
      _xlpm.result,
      IFERROR(
         _xlfn.XLOOKUP(
            1,
            (Table8[رقم الصنف]=A1123) *
            (IF($B$9="الكل",1, YEAR('ادخال البيانات'!$N$3:$N$1164)=VALUE($B$9))) *
            (IF($B$10="الكل",1, MONTH('ادخال البيانات'!$N$3:$N$1164)=VALUE($B$10))) *
            (IF($B$11="الكل",1, INT((DAY('ادخال البيانات'!$N$3:$N$1164)-1)/7)+1 = VALUE($B$11))),
            'ادخال البيانات'!$G$3:$G$1164
         ),
         ""
      ),
      IF(_xlpm.result="", "", _xlpm.result)
   )
)</f>
        <v/>
      </c>
      <c r="H1123" s="27" t="str" cm="1">
        <f t="array" ref="H1123">IF(
   A1123="",
   "",
   _xlfn.LET(
      _xlpm.result,
      IFERROR(
         _xlfn.XLOOKUP(
            1,
            (Table8[رقم الصنف]=A1123) *
            (IF($B$9="الكل",1, YEAR('ادخال البيانات'!$N$3:$N$1164)=VALUE($B$9))) *
            (IF($B$10="الكل",1, MONTH('ادخال البيانات'!$N$3:$N$1164)=VALUE($B$10))) *
            (IF($B$11="الكل",1, INT((DAY('ادخال البيانات'!$N$3:$N$1164)-1)/7)+1 = VALUE($B$11))),
            'ادخال البيانات'!$H$3:$H$1164
         ),
         ""
      ),
      IF(_xlpm.result="", "", _xlpm.result)
   )
)</f>
        <v/>
      </c>
      <c r="I1123" s="27" t="str" cm="1">
        <f t="array" ref="I1123">IF(
   A1123="",
   "",
   _xlfn.LET(
      _xlpm.result,
      IFERROR(
         _xlfn.XLOOKUP(
            1,
            (Table8[رقم الصنف]=A1123) *
            (IF($B$9="الكل",1, YEAR('ادخال البيانات'!$N$3:$N$1164)=VALUE($B$9))) *
            (IF($B$10="الكل",1, MONTH('ادخال البيانات'!$N$3:$N$1164)=VALUE($B$10))) *
            (IF($B$11="الكل",1, INT((DAY('ادخال البيانات'!$N$3:$N$1164)-1)/7)+1 = VALUE($B$11))),
            'ادخال البيانات'!$I$3:$I$1164
         ),
         ""
      ),
      IF(_xlpm.result="", "", _xlpm.result)
   )
)</f>
        <v/>
      </c>
      <c r="J1123" s="27" t="str" cm="1">
        <f t="array" ref="J1123">IF(
   A1123="",
   "",
   _xlfn.LET(
      _xlpm.result,
      IFERROR(
         _xlfn.XLOOKUP(
            1,
            (Table8[رقم الصنف]=A1123) *
            (IF($B$9="الكل",1, YEAR('ادخال البيانات'!$N$3:$N$1164)=VALUE($B$9))) *
            (IF($B$10="الكل",1, MONTH('ادخال البيانات'!$N$3:$N$1164)=VALUE($B$10))) *
            (IF($B$11="الكل",1, INT((DAY('ادخال البيانات'!$N$3:$N$1164)-1)/7)+1 = VALUE($B$11))),
            'ادخال البيانات'!$J$3:$J$1164
         ),
         ""
      ),
      IF(_xlpm.result="", "", _xlpm.result)
   )
)</f>
        <v/>
      </c>
      <c r="K1123" s="27" t="str" cm="1">
        <f t="array" ref="K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3" s="27" t="str" cm="1">
        <f t="array" ref="L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3" s="27" t="str" cm="1">
        <f t="array" ref="M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3" s="28" t="str" cm="1">
        <f t="array" ref="N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3" s="28" t="str" cm="1">
        <f t="array" ref="O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3" s="27" t="str" cm="1">
        <f t="array" ref="P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Table8[جهة العطل]
         ),
         ""
      ),
      IF(_xlpm.result="", "", _xlpm.result)
   )
)</f>
        <v/>
      </c>
      <c r="Q1123" s="27" t="str" cm="1">
        <f t="array" ref="Q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Table8[المركز]
         ),
         ""
      ),
      IF(_xlpm.result="", "", _xlpm.result)
   )
)</f>
        <v/>
      </c>
      <c r="R1123" s="27" t="str" cm="1">
        <f t="array" ref="R1123">IF(
   A1123="",
   "",
   _xlfn.LET(
      _xlpm.result,
      IFERROR(
         _xlfn.XLOOKUP(
            1,
            (Table8[رقم الصنف]=A1123) *
            (IF($B$9="الكل",1, YEAR('ادخال البيانات'!$N$3:$N$1164) = VALUE($B$9))) *
            (IF($B$10="الكل",1, MONTH('ادخال البيانات'!$N$3:$N$1164) = VALUE($B$10))) *
            (IF($B$11="الكل",1, INT((DAY('ادخال البيانات'!$N$3:$N$1164) - 1) / 7) + 1 = VALUE($B$11))),
            Table8[ملاحظة]
         ),
         ""
      ),
      IF(_xlpm.result="", "", _xlpm.result)
   )
)</f>
        <v/>
      </c>
      <c r="S1123" s="46" t="str">
        <f t="shared" ca="1" si="18"/>
        <v/>
      </c>
    </row>
    <row r="1124" spans="1:19" ht="15.6" thickTop="1" thickBot="1" x14ac:dyDescent="0.35">
      <c r="A1124" s="39"/>
      <c r="B1124" s="27" t="str" cm="1">
        <f t="array" ref="B1124">IF(
   OR(A1124="", $B$9="", $B$10="", $B$11=""),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4" s="27" t="str" cm="1">
        <f t="array" ref="C1124">IF(
   A1124="",
   "",
   _xlfn.LET(
      _xlpm.result,
      IFERROR(
         _xlfn.XLOOKUP(
            1,
            (Table8[رقم الصنف]=A1124) *
            (IF($B$9="الكل",1, YEAR('ادخال البيانات'!$N$3:$N$1164) = VALUE($B$9))) *
            (IF($B$10="الكل",1, MONTH('ادخال البيانات'!$N$3:$N$1164) = VALUE($B$10))) *
            (IF($B$11="الكل",1, INT((DAY('ادخال البيانات'!$N$3:$N$1164)-1)/7)+1 = VALUE($B$11))),
            'ادخال البيانات'!$C$3:$C$1164
         ),
         ""
      ),
      IF(_xlpm.result="", "", _xlpm.result)
   )
)</f>
        <v/>
      </c>
      <c r="D1124" s="27" t="str" cm="1">
        <f t="array" ref="D1124">IF(
   OR(A1124="", $B$9="", $B$10="", $B$11=""),
   "",
   _xlfn.LET(
      _xlpm.result,
      IFERROR(
         _xlfn.XLOOKUP(
            1,
            (Table8[رقم الصنف]=A1124) *
            (IF($B$9="الكل",1, YEAR('ادخال البيانات'!$N$3:$N$1164)=VALUE($B$9))) *
            (IF($B$10="الكل",1, MONTH('ادخال البيانات'!$N$3:$N$1164)=VALUE($B$10))) *
            (IF($B$11="الكل",1, INT((DAY('ادخال البيانات'!$N$3:$N$1164)-1)/7)+1 = VALUE($B$11))),
            'ادخال البيانات'!$D$3:$D$1164
         ),
         ""
      ),
      IF(_xlpm.result="", "", _xlpm.result)
   )
)</f>
        <v/>
      </c>
      <c r="E1124" s="27" t="str" cm="1">
        <f t="array" ref="E1124">IF(
   A1124="",
   "",
   _xlfn.LET(
      _xlpm.result,
      IFERROR(
         _xlfn.XLOOKUP(
            1,
            (Table8[رقم الصنف]=A1124) *
            (IF($B$9="الكل",1, YEAR('ادخال البيانات'!$N$3:$N$1164)=VALUE($B$9))) *
            (IF($B$10="الكل",1, MONTH('ادخال البيانات'!$N$3:$N$1164)=VALUE($B$10))) *
            (IF($B$11="الكل",1, INT((DAY('ادخال البيانات'!$N$3:$N$1164)-1)/7)+1 = VALUE($B$11))),
            'ادخال البيانات'!$E$3:$E$1164
         ),
         ""
      ),
      IF(_xlpm.result="", "", _xlpm.result)
   )
)</f>
        <v/>
      </c>
      <c r="F1124" s="27" t="str" cm="1">
        <f t="array" ref="F1124">IF(
   A1124="",
   "",
   _xlfn.LET(
      _xlpm.result,
      IFERROR(
         _xlfn.XLOOKUP(
            1,
            (Table8[رقم الصنف]=A1124) *
            (IF($B$9="الكل",1, YEAR('ادخال البيانات'!$N$3:$N$1164) = VALUE($B$9))) *
            (IF($B$10="الكل",1, MONTH('ادخال البيانات'!$N$3:$N$1164) = VALUE($B$10))) *
            (IF($B$11="الكل",1, INT((DAY('ادخال البيانات'!$N$3:$N$1164)-1)/7)+1 = VALUE($B$11))),
            'ادخال البيانات'!$F$3:$F$1164
         ),
         ""
      ),
      IF(_xlpm.result="", "", _xlpm.result)
   )
)</f>
        <v/>
      </c>
      <c r="G1124" s="27" t="str" cm="1">
        <f t="array" ref="G1124">IF(
   A1124="",
   "",
   _xlfn.LET(
      _xlpm.result,
      IFERROR(
         _xlfn.XLOOKUP(
            1,
            (Table8[رقم الصنف]=A1124) *
            (IF($B$9="الكل",1, YEAR('ادخال البيانات'!$N$3:$N$1164)=VALUE($B$9))) *
            (IF($B$10="الكل",1, MONTH('ادخال البيانات'!$N$3:$N$1164)=VALUE($B$10))) *
            (IF($B$11="الكل",1, INT((DAY('ادخال البيانات'!$N$3:$N$1164)-1)/7)+1 = VALUE($B$11))),
            'ادخال البيانات'!$G$3:$G$1164
         ),
         ""
      ),
      IF(_xlpm.result="", "", _xlpm.result)
   )
)</f>
        <v/>
      </c>
      <c r="H1124" s="27" t="str" cm="1">
        <f t="array" ref="H1124">IF(
   A1124="",
   "",
   _xlfn.LET(
      _xlpm.result,
      IFERROR(
         _xlfn.XLOOKUP(
            1,
            (Table8[رقم الصنف]=A1124) *
            (IF($B$9="الكل",1, YEAR('ادخال البيانات'!$N$3:$N$1164)=VALUE($B$9))) *
            (IF($B$10="الكل",1, MONTH('ادخال البيانات'!$N$3:$N$1164)=VALUE($B$10))) *
            (IF($B$11="الكل",1, INT((DAY('ادخال البيانات'!$N$3:$N$1164)-1)/7)+1 = VALUE($B$11))),
            'ادخال البيانات'!$H$3:$H$1164
         ),
         ""
      ),
      IF(_xlpm.result="", "", _xlpm.result)
   )
)</f>
        <v/>
      </c>
      <c r="I1124" s="27" t="str" cm="1">
        <f t="array" ref="I1124">IF(
   A1124="",
   "",
   _xlfn.LET(
      _xlpm.result,
      IFERROR(
         _xlfn.XLOOKUP(
            1,
            (Table8[رقم الصنف]=A1124) *
            (IF($B$9="الكل",1, YEAR('ادخال البيانات'!$N$3:$N$1164)=VALUE($B$9))) *
            (IF($B$10="الكل",1, MONTH('ادخال البيانات'!$N$3:$N$1164)=VALUE($B$10))) *
            (IF($B$11="الكل",1, INT((DAY('ادخال البيانات'!$N$3:$N$1164)-1)/7)+1 = VALUE($B$11))),
            'ادخال البيانات'!$I$3:$I$1164
         ),
         ""
      ),
      IF(_xlpm.result="", "", _xlpm.result)
   )
)</f>
        <v/>
      </c>
      <c r="J1124" s="27" t="str" cm="1">
        <f t="array" ref="J1124">IF(
   A1124="",
   "",
   _xlfn.LET(
      _xlpm.result,
      IFERROR(
         _xlfn.XLOOKUP(
            1,
            (Table8[رقم الصنف]=A1124) *
            (IF($B$9="الكل",1, YEAR('ادخال البيانات'!$N$3:$N$1164)=VALUE($B$9))) *
            (IF($B$10="الكل",1, MONTH('ادخال البيانات'!$N$3:$N$1164)=VALUE($B$10))) *
            (IF($B$11="الكل",1, INT((DAY('ادخال البيانات'!$N$3:$N$1164)-1)/7)+1 = VALUE($B$11))),
            'ادخال البيانات'!$J$3:$J$1164
         ),
         ""
      ),
      IF(_xlpm.result="", "", _xlpm.result)
   )
)</f>
        <v/>
      </c>
      <c r="K1124" s="27" t="str" cm="1">
        <f t="array" ref="K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4" s="27" t="str" cm="1">
        <f t="array" ref="L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4" s="27" t="str" cm="1">
        <f t="array" ref="M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4" s="28" t="str" cm="1">
        <f t="array" ref="N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4" s="28" t="str" cm="1">
        <f t="array" ref="O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4" s="27" t="str" cm="1">
        <f t="array" ref="P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Table8[جهة العطل]
         ),
         ""
      ),
      IF(_xlpm.result="", "", _xlpm.result)
   )
)</f>
        <v/>
      </c>
      <c r="Q1124" s="27" t="str" cm="1">
        <f t="array" ref="Q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Table8[المركز]
         ),
         ""
      ),
      IF(_xlpm.result="", "", _xlpm.result)
   )
)</f>
        <v/>
      </c>
      <c r="R1124" s="27" t="str" cm="1">
        <f t="array" ref="R1124">IF(
   A1124="",
   "",
   _xlfn.LET(
      _xlpm.result,
      IFERROR(
         _xlfn.XLOOKUP(
            1,
            (Table8[رقم الصنف]=A1124) *
            (IF($B$9="الكل",1, YEAR('ادخال البيانات'!$N$3:$N$1164) = VALUE($B$9))) *
            (IF($B$10="الكل",1, MONTH('ادخال البيانات'!$N$3:$N$1164) = VALUE($B$10))) *
            (IF($B$11="الكل",1, INT((DAY('ادخال البيانات'!$N$3:$N$1164) - 1) / 7) + 1 = VALUE($B$11))),
            Table8[ملاحظة]
         ),
         ""
      ),
      IF(_xlpm.result="", "", _xlpm.result)
   )
)</f>
        <v/>
      </c>
      <c r="S1124" s="46" t="str">
        <f t="shared" ca="1" si="18"/>
        <v/>
      </c>
    </row>
    <row r="1125" spans="1:19" ht="15.6" thickTop="1" thickBot="1" x14ac:dyDescent="0.35">
      <c r="A1125" s="39"/>
      <c r="B1125" s="27" t="str" cm="1">
        <f t="array" ref="B1125">IF(
   OR(A1125="", $B$9="", $B$10="", $B$11=""),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5" s="27" t="str" cm="1">
        <f t="array" ref="C1125">IF(
   A1125="",
   "",
   _xlfn.LET(
      _xlpm.result,
      IFERROR(
         _xlfn.XLOOKUP(
            1,
            (Table8[رقم الصنف]=A1125) *
            (IF($B$9="الكل",1, YEAR('ادخال البيانات'!$N$3:$N$1164) = VALUE($B$9))) *
            (IF($B$10="الكل",1, MONTH('ادخال البيانات'!$N$3:$N$1164) = VALUE($B$10))) *
            (IF($B$11="الكل",1, INT((DAY('ادخال البيانات'!$N$3:$N$1164)-1)/7)+1 = VALUE($B$11))),
            'ادخال البيانات'!$C$3:$C$1164
         ),
         ""
      ),
      IF(_xlpm.result="", "", _xlpm.result)
   )
)</f>
        <v/>
      </c>
      <c r="D1125" s="27" t="str" cm="1">
        <f t="array" ref="D1125">IF(
   OR(A1125="", $B$9="", $B$10="", $B$11=""),
   "",
   _xlfn.LET(
      _xlpm.result,
      IFERROR(
         _xlfn.XLOOKUP(
            1,
            (Table8[رقم الصنف]=A1125) *
            (IF($B$9="الكل",1, YEAR('ادخال البيانات'!$N$3:$N$1164)=VALUE($B$9))) *
            (IF($B$10="الكل",1, MONTH('ادخال البيانات'!$N$3:$N$1164)=VALUE($B$10))) *
            (IF($B$11="الكل",1, INT((DAY('ادخال البيانات'!$N$3:$N$1164)-1)/7)+1 = VALUE($B$11))),
            'ادخال البيانات'!$D$3:$D$1164
         ),
         ""
      ),
      IF(_xlpm.result="", "", _xlpm.result)
   )
)</f>
        <v/>
      </c>
      <c r="E1125" s="27" t="str" cm="1">
        <f t="array" ref="E1125">IF(
   A1125="",
   "",
   _xlfn.LET(
      _xlpm.result,
      IFERROR(
         _xlfn.XLOOKUP(
            1,
            (Table8[رقم الصنف]=A1125) *
            (IF($B$9="الكل",1, YEAR('ادخال البيانات'!$N$3:$N$1164)=VALUE($B$9))) *
            (IF($B$10="الكل",1, MONTH('ادخال البيانات'!$N$3:$N$1164)=VALUE($B$10))) *
            (IF($B$11="الكل",1, INT((DAY('ادخال البيانات'!$N$3:$N$1164)-1)/7)+1 = VALUE($B$11))),
            'ادخال البيانات'!$E$3:$E$1164
         ),
         ""
      ),
      IF(_xlpm.result="", "", _xlpm.result)
   )
)</f>
        <v/>
      </c>
      <c r="F1125" s="27" t="str" cm="1">
        <f t="array" ref="F1125">IF(
   A1125="",
   "",
   _xlfn.LET(
      _xlpm.result,
      IFERROR(
         _xlfn.XLOOKUP(
            1,
            (Table8[رقم الصنف]=A1125) *
            (IF($B$9="الكل",1, YEAR('ادخال البيانات'!$N$3:$N$1164) = VALUE($B$9))) *
            (IF($B$10="الكل",1, MONTH('ادخال البيانات'!$N$3:$N$1164) = VALUE($B$10))) *
            (IF($B$11="الكل",1, INT((DAY('ادخال البيانات'!$N$3:$N$1164)-1)/7)+1 = VALUE($B$11))),
            'ادخال البيانات'!$F$3:$F$1164
         ),
         ""
      ),
      IF(_xlpm.result="", "", _xlpm.result)
   )
)</f>
        <v/>
      </c>
      <c r="G1125" s="27" t="str" cm="1">
        <f t="array" ref="G1125">IF(
   A1125="",
   "",
   _xlfn.LET(
      _xlpm.result,
      IFERROR(
         _xlfn.XLOOKUP(
            1,
            (Table8[رقم الصنف]=A1125) *
            (IF($B$9="الكل",1, YEAR('ادخال البيانات'!$N$3:$N$1164)=VALUE($B$9))) *
            (IF($B$10="الكل",1, MONTH('ادخال البيانات'!$N$3:$N$1164)=VALUE($B$10))) *
            (IF($B$11="الكل",1, INT((DAY('ادخال البيانات'!$N$3:$N$1164)-1)/7)+1 = VALUE($B$11))),
            'ادخال البيانات'!$G$3:$G$1164
         ),
         ""
      ),
      IF(_xlpm.result="", "", _xlpm.result)
   )
)</f>
        <v/>
      </c>
      <c r="H1125" s="27" t="str" cm="1">
        <f t="array" ref="H1125">IF(
   A1125="",
   "",
   _xlfn.LET(
      _xlpm.result,
      IFERROR(
         _xlfn.XLOOKUP(
            1,
            (Table8[رقم الصنف]=A1125) *
            (IF($B$9="الكل",1, YEAR('ادخال البيانات'!$N$3:$N$1164)=VALUE($B$9))) *
            (IF($B$10="الكل",1, MONTH('ادخال البيانات'!$N$3:$N$1164)=VALUE($B$10))) *
            (IF($B$11="الكل",1, INT((DAY('ادخال البيانات'!$N$3:$N$1164)-1)/7)+1 = VALUE($B$11))),
            'ادخال البيانات'!$H$3:$H$1164
         ),
         ""
      ),
      IF(_xlpm.result="", "", _xlpm.result)
   )
)</f>
        <v/>
      </c>
      <c r="I1125" s="27" t="str" cm="1">
        <f t="array" ref="I1125">IF(
   A1125="",
   "",
   _xlfn.LET(
      _xlpm.result,
      IFERROR(
         _xlfn.XLOOKUP(
            1,
            (Table8[رقم الصنف]=A1125) *
            (IF($B$9="الكل",1, YEAR('ادخال البيانات'!$N$3:$N$1164)=VALUE($B$9))) *
            (IF($B$10="الكل",1, MONTH('ادخال البيانات'!$N$3:$N$1164)=VALUE($B$10))) *
            (IF($B$11="الكل",1, INT((DAY('ادخال البيانات'!$N$3:$N$1164)-1)/7)+1 = VALUE($B$11))),
            'ادخال البيانات'!$I$3:$I$1164
         ),
         ""
      ),
      IF(_xlpm.result="", "", _xlpm.result)
   )
)</f>
        <v/>
      </c>
      <c r="J1125" s="27" t="str" cm="1">
        <f t="array" ref="J1125">IF(
   A1125="",
   "",
   _xlfn.LET(
      _xlpm.result,
      IFERROR(
         _xlfn.XLOOKUP(
            1,
            (Table8[رقم الصنف]=A1125) *
            (IF($B$9="الكل",1, YEAR('ادخال البيانات'!$N$3:$N$1164)=VALUE($B$9))) *
            (IF($B$10="الكل",1, MONTH('ادخال البيانات'!$N$3:$N$1164)=VALUE($B$10))) *
            (IF($B$11="الكل",1, INT((DAY('ادخال البيانات'!$N$3:$N$1164)-1)/7)+1 = VALUE($B$11))),
            'ادخال البيانات'!$J$3:$J$1164
         ),
         ""
      ),
      IF(_xlpm.result="", "", _xlpm.result)
   )
)</f>
        <v/>
      </c>
      <c r="K1125" s="27" t="str" cm="1">
        <f t="array" ref="K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5" s="27" t="str" cm="1">
        <f t="array" ref="L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5" s="27" t="str" cm="1">
        <f t="array" ref="M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5" s="28" t="str" cm="1">
        <f t="array" ref="N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5" s="28" t="str" cm="1">
        <f t="array" ref="O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5" s="27" t="str" cm="1">
        <f t="array" ref="P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Table8[جهة العطل]
         ),
         ""
      ),
      IF(_xlpm.result="", "", _xlpm.result)
   )
)</f>
        <v/>
      </c>
      <c r="Q1125" s="27" t="str" cm="1">
        <f t="array" ref="Q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Table8[المركز]
         ),
         ""
      ),
      IF(_xlpm.result="", "", _xlpm.result)
   )
)</f>
        <v/>
      </c>
      <c r="R1125" s="27" t="str" cm="1">
        <f t="array" ref="R1125">IF(
   A1125="",
   "",
   _xlfn.LET(
      _xlpm.result,
      IFERROR(
         _xlfn.XLOOKUP(
            1,
            (Table8[رقم الصنف]=A1125) *
            (IF($B$9="الكل",1, YEAR('ادخال البيانات'!$N$3:$N$1164) = VALUE($B$9))) *
            (IF($B$10="الكل",1, MONTH('ادخال البيانات'!$N$3:$N$1164) = VALUE($B$10))) *
            (IF($B$11="الكل",1, INT((DAY('ادخال البيانات'!$N$3:$N$1164) - 1) / 7) + 1 = VALUE($B$11))),
            Table8[ملاحظة]
         ),
         ""
      ),
      IF(_xlpm.result="", "", _xlpm.result)
   )
)</f>
        <v/>
      </c>
      <c r="S1125" s="46" t="str">
        <f t="shared" ca="1" si="18"/>
        <v/>
      </c>
    </row>
    <row r="1126" spans="1:19" ht="15.6" thickTop="1" thickBot="1" x14ac:dyDescent="0.35">
      <c r="A1126" s="39"/>
      <c r="B1126" s="27" t="str" cm="1">
        <f t="array" ref="B1126">IF(
   OR(A1126="", $B$9="", $B$10="", $B$11=""),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6" s="27" t="str" cm="1">
        <f t="array" ref="C1126">IF(
   A1126="",
   "",
   _xlfn.LET(
      _xlpm.result,
      IFERROR(
         _xlfn.XLOOKUP(
            1,
            (Table8[رقم الصنف]=A1126) *
            (IF($B$9="الكل",1, YEAR('ادخال البيانات'!$N$3:$N$1164) = VALUE($B$9))) *
            (IF($B$10="الكل",1, MONTH('ادخال البيانات'!$N$3:$N$1164) = VALUE($B$10))) *
            (IF($B$11="الكل",1, INT((DAY('ادخال البيانات'!$N$3:$N$1164)-1)/7)+1 = VALUE($B$11))),
            'ادخال البيانات'!$C$3:$C$1164
         ),
         ""
      ),
      IF(_xlpm.result="", "", _xlpm.result)
   )
)</f>
        <v/>
      </c>
      <c r="D1126" s="27" t="str" cm="1">
        <f t="array" ref="D1126">IF(
   OR(A1126="", $B$9="", $B$10="", $B$11=""),
   "",
   _xlfn.LET(
      _xlpm.result,
      IFERROR(
         _xlfn.XLOOKUP(
            1,
            (Table8[رقم الصنف]=A1126) *
            (IF($B$9="الكل",1, YEAR('ادخال البيانات'!$N$3:$N$1164)=VALUE($B$9))) *
            (IF($B$10="الكل",1, MONTH('ادخال البيانات'!$N$3:$N$1164)=VALUE($B$10))) *
            (IF($B$11="الكل",1, INT((DAY('ادخال البيانات'!$N$3:$N$1164)-1)/7)+1 = VALUE($B$11))),
            'ادخال البيانات'!$D$3:$D$1164
         ),
         ""
      ),
      IF(_xlpm.result="", "", _xlpm.result)
   )
)</f>
        <v/>
      </c>
      <c r="E1126" s="27" t="str" cm="1">
        <f t="array" ref="E1126">IF(
   A1126="",
   "",
   _xlfn.LET(
      _xlpm.result,
      IFERROR(
         _xlfn.XLOOKUP(
            1,
            (Table8[رقم الصنف]=A1126) *
            (IF($B$9="الكل",1, YEAR('ادخال البيانات'!$N$3:$N$1164)=VALUE($B$9))) *
            (IF($B$10="الكل",1, MONTH('ادخال البيانات'!$N$3:$N$1164)=VALUE($B$10))) *
            (IF($B$11="الكل",1, INT((DAY('ادخال البيانات'!$N$3:$N$1164)-1)/7)+1 = VALUE($B$11))),
            'ادخال البيانات'!$E$3:$E$1164
         ),
         ""
      ),
      IF(_xlpm.result="", "", _xlpm.result)
   )
)</f>
        <v/>
      </c>
      <c r="F1126" s="27" t="str" cm="1">
        <f t="array" ref="F1126">IF(
   A1126="",
   "",
   _xlfn.LET(
      _xlpm.result,
      IFERROR(
         _xlfn.XLOOKUP(
            1,
            (Table8[رقم الصنف]=A1126) *
            (IF($B$9="الكل",1, YEAR('ادخال البيانات'!$N$3:$N$1164) = VALUE($B$9))) *
            (IF($B$10="الكل",1, MONTH('ادخال البيانات'!$N$3:$N$1164) = VALUE($B$10))) *
            (IF($B$11="الكل",1, INT((DAY('ادخال البيانات'!$N$3:$N$1164)-1)/7)+1 = VALUE($B$11))),
            'ادخال البيانات'!$F$3:$F$1164
         ),
         ""
      ),
      IF(_xlpm.result="", "", _xlpm.result)
   )
)</f>
        <v/>
      </c>
      <c r="G1126" s="27" t="str" cm="1">
        <f t="array" ref="G1126">IF(
   A1126="",
   "",
   _xlfn.LET(
      _xlpm.result,
      IFERROR(
         _xlfn.XLOOKUP(
            1,
            (Table8[رقم الصنف]=A1126) *
            (IF($B$9="الكل",1, YEAR('ادخال البيانات'!$N$3:$N$1164)=VALUE($B$9))) *
            (IF($B$10="الكل",1, MONTH('ادخال البيانات'!$N$3:$N$1164)=VALUE($B$10))) *
            (IF($B$11="الكل",1, INT((DAY('ادخال البيانات'!$N$3:$N$1164)-1)/7)+1 = VALUE($B$11))),
            'ادخال البيانات'!$G$3:$G$1164
         ),
         ""
      ),
      IF(_xlpm.result="", "", _xlpm.result)
   )
)</f>
        <v/>
      </c>
      <c r="H1126" s="27" t="str" cm="1">
        <f t="array" ref="H1126">IF(
   A1126="",
   "",
   _xlfn.LET(
      _xlpm.result,
      IFERROR(
         _xlfn.XLOOKUP(
            1,
            (Table8[رقم الصنف]=A1126) *
            (IF($B$9="الكل",1, YEAR('ادخال البيانات'!$N$3:$N$1164)=VALUE($B$9))) *
            (IF($B$10="الكل",1, MONTH('ادخال البيانات'!$N$3:$N$1164)=VALUE($B$10))) *
            (IF($B$11="الكل",1, INT((DAY('ادخال البيانات'!$N$3:$N$1164)-1)/7)+1 = VALUE($B$11))),
            'ادخال البيانات'!$H$3:$H$1164
         ),
         ""
      ),
      IF(_xlpm.result="", "", _xlpm.result)
   )
)</f>
        <v/>
      </c>
      <c r="I1126" s="27" t="str" cm="1">
        <f t="array" ref="I1126">IF(
   A1126="",
   "",
   _xlfn.LET(
      _xlpm.result,
      IFERROR(
         _xlfn.XLOOKUP(
            1,
            (Table8[رقم الصنف]=A1126) *
            (IF($B$9="الكل",1, YEAR('ادخال البيانات'!$N$3:$N$1164)=VALUE($B$9))) *
            (IF($B$10="الكل",1, MONTH('ادخال البيانات'!$N$3:$N$1164)=VALUE($B$10))) *
            (IF($B$11="الكل",1, INT((DAY('ادخال البيانات'!$N$3:$N$1164)-1)/7)+1 = VALUE($B$11))),
            'ادخال البيانات'!$I$3:$I$1164
         ),
         ""
      ),
      IF(_xlpm.result="", "", _xlpm.result)
   )
)</f>
        <v/>
      </c>
      <c r="J1126" s="27" t="str" cm="1">
        <f t="array" ref="J1126">IF(
   A1126="",
   "",
   _xlfn.LET(
      _xlpm.result,
      IFERROR(
         _xlfn.XLOOKUP(
            1,
            (Table8[رقم الصنف]=A1126) *
            (IF($B$9="الكل",1, YEAR('ادخال البيانات'!$N$3:$N$1164)=VALUE($B$9))) *
            (IF($B$10="الكل",1, MONTH('ادخال البيانات'!$N$3:$N$1164)=VALUE($B$10))) *
            (IF($B$11="الكل",1, INT((DAY('ادخال البيانات'!$N$3:$N$1164)-1)/7)+1 = VALUE($B$11))),
            'ادخال البيانات'!$J$3:$J$1164
         ),
         ""
      ),
      IF(_xlpm.result="", "", _xlpm.result)
   )
)</f>
        <v/>
      </c>
      <c r="K1126" s="27" t="str" cm="1">
        <f t="array" ref="K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6" s="27" t="str" cm="1">
        <f t="array" ref="L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6" s="27" t="str" cm="1">
        <f t="array" ref="M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6" s="28" t="str" cm="1">
        <f t="array" ref="N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6" s="28" t="str" cm="1">
        <f t="array" ref="O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6" s="27" t="str" cm="1">
        <f t="array" ref="P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Table8[جهة العطل]
         ),
         ""
      ),
      IF(_xlpm.result="", "", _xlpm.result)
   )
)</f>
        <v/>
      </c>
      <c r="Q1126" s="27" t="str" cm="1">
        <f t="array" ref="Q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Table8[المركز]
         ),
         ""
      ),
      IF(_xlpm.result="", "", _xlpm.result)
   )
)</f>
        <v/>
      </c>
      <c r="R1126" s="27" t="str" cm="1">
        <f t="array" ref="R1126">IF(
   A1126="",
   "",
   _xlfn.LET(
      _xlpm.result,
      IFERROR(
         _xlfn.XLOOKUP(
            1,
            (Table8[رقم الصنف]=A1126) *
            (IF($B$9="الكل",1, YEAR('ادخال البيانات'!$N$3:$N$1164) = VALUE($B$9))) *
            (IF($B$10="الكل",1, MONTH('ادخال البيانات'!$N$3:$N$1164) = VALUE($B$10))) *
            (IF($B$11="الكل",1, INT((DAY('ادخال البيانات'!$N$3:$N$1164) - 1) / 7) + 1 = VALUE($B$11))),
            Table8[ملاحظة]
         ),
         ""
      ),
      IF(_xlpm.result="", "", _xlpm.result)
   )
)</f>
        <v/>
      </c>
      <c r="S1126" s="46" t="str">
        <f t="shared" ca="1" si="18"/>
        <v/>
      </c>
    </row>
    <row r="1127" spans="1:19" ht="15.6" thickTop="1" thickBot="1" x14ac:dyDescent="0.35">
      <c r="A1127" s="39"/>
      <c r="B1127" s="27" t="str" cm="1">
        <f t="array" ref="B1127">IF(
   OR(A1127="", $B$9="", $B$10="", $B$11=""),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7" s="27" t="str" cm="1">
        <f t="array" ref="C1127">IF(
   A1127="",
   "",
   _xlfn.LET(
      _xlpm.result,
      IFERROR(
         _xlfn.XLOOKUP(
            1,
            (Table8[رقم الصنف]=A1127) *
            (IF($B$9="الكل",1, YEAR('ادخال البيانات'!$N$3:$N$1164) = VALUE($B$9))) *
            (IF($B$10="الكل",1, MONTH('ادخال البيانات'!$N$3:$N$1164) = VALUE($B$10))) *
            (IF($B$11="الكل",1, INT((DAY('ادخال البيانات'!$N$3:$N$1164)-1)/7)+1 = VALUE($B$11))),
            'ادخال البيانات'!$C$3:$C$1164
         ),
         ""
      ),
      IF(_xlpm.result="", "", _xlpm.result)
   )
)</f>
        <v/>
      </c>
      <c r="D1127" s="27" t="str" cm="1">
        <f t="array" ref="D1127">IF(
   OR(A1127="", $B$9="", $B$10="", $B$11=""),
   "",
   _xlfn.LET(
      _xlpm.result,
      IFERROR(
         _xlfn.XLOOKUP(
            1,
            (Table8[رقم الصنف]=A1127) *
            (IF($B$9="الكل",1, YEAR('ادخال البيانات'!$N$3:$N$1164)=VALUE($B$9))) *
            (IF($B$10="الكل",1, MONTH('ادخال البيانات'!$N$3:$N$1164)=VALUE($B$10))) *
            (IF($B$11="الكل",1, INT((DAY('ادخال البيانات'!$N$3:$N$1164)-1)/7)+1 = VALUE($B$11))),
            'ادخال البيانات'!$D$3:$D$1164
         ),
         ""
      ),
      IF(_xlpm.result="", "", _xlpm.result)
   )
)</f>
        <v/>
      </c>
      <c r="E1127" s="27" t="str" cm="1">
        <f t="array" ref="E1127">IF(
   A1127="",
   "",
   _xlfn.LET(
      _xlpm.result,
      IFERROR(
         _xlfn.XLOOKUP(
            1,
            (Table8[رقم الصنف]=A1127) *
            (IF($B$9="الكل",1, YEAR('ادخال البيانات'!$N$3:$N$1164)=VALUE($B$9))) *
            (IF($B$10="الكل",1, MONTH('ادخال البيانات'!$N$3:$N$1164)=VALUE($B$10))) *
            (IF($B$11="الكل",1, INT((DAY('ادخال البيانات'!$N$3:$N$1164)-1)/7)+1 = VALUE($B$11))),
            'ادخال البيانات'!$E$3:$E$1164
         ),
         ""
      ),
      IF(_xlpm.result="", "", _xlpm.result)
   )
)</f>
        <v/>
      </c>
      <c r="F1127" s="27" t="str" cm="1">
        <f t="array" ref="F1127">IF(
   A1127="",
   "",
   _xlfn.LET(
      _xlpm.result,
      IFERROR(
         _xlfn.XLOOKUP(
            1,
            (Table8[رقم الصنف]=A1127) *
            (IF($B$9="الكل",1, YEAR('ادخال البيانات'!$N$3:$N$1164) = VALUE($B$9))) *
            (IF($B$10="الكل",1, MONTH('ادخال البيانات'!$N$3:$N$1164) = VALUE($B$10))) *
            (IF($B$11="الكل",1, INT((DAY('ادخال البيانات'!$N$3:$N$1164)-1)/7)+1 = VALUE($B$11))),
            'ادخال البيانات'!$F$3:$F$1164
         ),
         ""
      ),
      IF(_xlpm.result="", "", _xlpm.result)
   )
)</f>
        <v/>
      </c>
      <c r="G1127" s="27" t="str" cm="1">
        <f t="array" ref="G1127">IF(
   A1127="",
   "",
   _xlfn.LET(
      _xlpm.result,
      IFERROR(
         _xlfn.XLOOKUP(
            1,
            (Table8[رقم الصنف]=A1127) *
            (IF($B$9="الكل",1, YEAR('ادخال البيانات'!$N$3:$N$1164)=VALUE($B$9))) *
            (IF($B$10="الكل",1, MONTH('ادخال البيانات'!$N$3:$N$1164)=VALUE($B$10))) *
            (IF($B$11="الكل",1, INT((DAY('ادخال البيانات'!$N$3:$N$1164)-1)/7)+1 = VALUE($B$11))),
            'ادخال البيانات'!$G$3:$G$1164
         ),
         ""
      ),
      IF(_xlpm.result="", "", _xlpm.result)
   )
)</f>
        <v/>
      </c>
      <c r="H1127" s="27" t="str" cm="1">
        <f t="array" ref="H1127">IF(
   A1127="",
   "",
   _xlfn.LET(
      _xlpm.result,
      IFERROR(
         _xlfn.XLOOKUP(
            1,
            (Table8[رقم الصنف]=A1127) *
            (IF($B$9="الكل",1, YEAR('ادخال البيانات'!$N$3:$N$1164)=VALUE($B$9))) *
            (IF($B$10="الكل",1, MONTH('ادخال البيانات'!$N$3:$N$1164)=VALUE($B$10))) *
            (IF($B$11="الكل",1, INT((DAY('ادخال البيانات'!$N$3:$N$1164)-1)/7)+1 = VALUE($B$11))),
            'ادخال البيانات'!$H$3:$H$1164
         ),
         ""
      ),
      IF(_xlpm.result="", "", _xlpm.result)
   )
)</f>
        <v/>
      </c>
      <c r="I1127" s="27" t="str" cm="1">
        <f t="array" ref="I1127">IF(
   A1127="",
   "",
   _xlfn.LET(
      _xlpm.result,
      IFERROR(
         _xlfn.XLOOKUP(
            1,
            (Table8[رقم الصنف]=A1127) *
            (IF($B$9="الكل",1, YEAR('ادخال البيانات'!$N$3:$N$1164)=VALUE($B$9))) *
            (IF($B$10="الكل",1, MONTH('ادخال البيانات'!$N$3:$N$1164)=VALUE($B$10))) *
            (IF($B$11="الكل",1, INT((DAY('ادخال البيانات'!$N$3:$N$1164)-1)/7)+1 = VALUE($B$11))),
            'ادخال البيانات'!$I$3:$I$1164
         ),
         ""
      ),
      IF(_xlpm.result="", "", _xlpm.result)
   )
)</f>
        <v/>
      </c>
      <c r="J1127" s="27" t="str" cm="1">
        <f t="array" ref="J1127">IF(
   A1127="",
   "",
   _xlfn.LET(
      _xlpm.result,
      IFERROR(
         _xlfn.XLOOKUP(
            1,
            (Table8[رقم الصنف]=A1127) *
            (IF($B$9="الكل",1, YEAR('ادخال البيانات'!$N$3:$N$1164)=VALUE($B$9))) *
            (IF($B$10="الكل",1, MONTH('ادخال البيانات'!$N$3:$N$1164)=VALUE($B$10))) *
            (IF($B$11="الكل",1, INT((DAY('ادخال البيانات'!$N$3:$N$1164)-1)/7)+1 = VALUE($B$11))),
            'ادخال البيانات'!$J$3:$J$1164
         ),
         ""
      ),
      IF(_xlpm.result="", "", _xlpm.result)
   )
)</f>
        <v/>
      </c>
      <c r="K1127" s="27" t="str" cm="1">
        <f t="array" ref="K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7" s="27" t="str" cm="1">
        <f t="array" ref="L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7" s="27" t="str" cm="1">
        <f t="array" ref="M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7" s="28" t="str" cm="1">
        <f t="array" ref="N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7" s="28" t="str" cm="1">
        <f t="array" ref="O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7" s="27" t="str" cm="1">
        <f t="array" ref="P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Table8[جهة العطل]
         ),
         ""
      ),
      IF(_xlpm.result="", "", _xlpm.result)
   )
)</f>
        <v/>
      </c>
      <c r="Q1127" s="27" t="str" cm="1">
        <f t="array" ref="Q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Table8[المركز]
         ),
         ""
      ),
      IF(_xlpm.result="", "", _xlpm.result)
   )
)</f>
        <v/>
      </c>
      <c r="R1127" s="27" t="str" cm="1">
        <f t="array" ref="R1127">IF(
   A1127="",
   "",
   _xlfn.LET(
      _xlpm.result,
      IFERROR(
         _xlfn.XLOOKUP(
            1,
            (Table8[رقم الصنف]=A1127) *
            (IF($B$9="الكل",1, YEAR('ادخال البيانات'!$N$3:$N$1164) = VALUE($B$9))) *
            (IF($B$10="الكل",1, MONTH('ادخال البيانات'!$N$3:$N$1164) = VALUE($B$10))) *
            (IF($B$11="الكل",1, INT((DAY('ادخال البيانات'!$N$3:$N$1164) - 1) / 7) + 1 = VALUE($B$11))),
            Table8[ملاحظة]
         ),
         ""
      ),
      IF(_xlpm.result="", "", _xlpm.result)
   )
)</f>
        <v/>
      </c>
      <c r="S1127" s="46" t="str">
        <f t="shared" ca="1" si="18"/>
        <v/>
      </c>
    </row>
    <row r="1128" spans="1:19" ht="15.6" thickTop="1" thickBot="1" x14ac:dyDescent="0.35">
      <c r="A1128" s="39"/>
      <c r="B1128" s="27" t="str" cm="1">
        <f t="array" ref="B1128">IF(
   OR(A1128="", $B$9="", $B$10="", $B$11=""),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8" s="27" t="str" cm="1">
        <f t="array" ref="C1128">IF(
   A1128="",
   "",
   _xlfn.LET(
      _xlpm.result,
      IFERROR(
         _xlfn.XLOOKUP(
            1,
            (Table8[رقم الصنف]=A1128) *
            (IF($B$9="الكل",1, YEAR('ادخال البيانات'!$N$3:$N$1164) = VALUE($B$9))) *
            (IF($B$10="الكل",1, MONTH('ادخال البيانات'!$N$3:$N$1164) = VALUE($B$10))) *
            (IF($B$11="الكل",1, INT((DAY('ادخال البيانات'!$N$3:$N$1164)-1)/7)+1 = VALUE($B$11))),
            'ادخال البيانات'!$C$3:$C$1164
         ),
         ""
      ),
      IF(_xlpm.result="", "", _xlpm.result)
   )
)</f>
        <v/>
      </c>
      <c r="D1128" s="27" t="str" cm="1">
        <f t="array" ref="D1128">IF(
   OR(A1128="", $B$9="", $B$10="", $B$11=""),
   "",
   _xlfn.LET(
      _xlpm.result,
      IFERROR(
         _xlfn.XLOOKUP(
            1,
            (Table8[رقم الصنف]=A1128) *
            (IF($B$9="الكل",1, YEAR('ادخال البيانات'!$N$3:$N$1164)=VALUE($B$9))) *
            (IF($B$10="الكل",1, MONTH('ادخال البيانات'!$N$3:$N$1164)=VALUE($B$10))) *
            (IF($B$11="الكل",1, INT((DAY('ادخال البيانات'!$N$3:$N$1164)-1)/7)+1 = VALUE($B$11))),
            'ادخال البيانات'!$D$3:$D$1164
         ),
         ""
      ),
      IF(_xlpm.result="", "", _xlpm.result)
   )
)</f>
        <v/>
      </c>
      <c r="E1128" s="27" t="str" cm="1">
        <f t="array" ref="E1128">IF(
   A1128="",
   "",
   _xlfn.LET(
      _xlpm.result,
      IFERROR(
         _xlfn.XLOOKUP(
            1,
            (Table8[رقم الصنف]=A1128) *
            (IF($B$9="الكل",1, YEAR('ادخال البيانات'!$N$3:$N$1164)=VALUE($B$9))) *
            (IF($B$10="الكل",1, MONTH('ادخال البيانات'!$N$3:$N$1164)=VALUE($B$10))) *
            (IF($B$11="الكل",1, INT((DAY('ادخال البيانات'!$N$3:$N$1164)-1)/7)+1 = VALUE($B$11))),
            'ادخال البيانات'!$E$3:$E$1164
         ),
         ""
      ),
      IF(_xlpm.result="", "", _xlpm.result)
   )
)</f>
        <v/>
      </c>
      <c r="F1128" s="27" t="str" cm="1">
        <f t="array" ref="F1128">IF(
   A1128="",
   "",
   _xlfn.LET(
      _xlpm.result,
      IFERROR(
         _xlfn.XLOOKUP(
            1,
            (Table8[رقم الصنف]=A1128) *
            (IF($B$9="الكل",1, YEAR('ادخال البيانات'!$N$3:$N$1164) = VALUE($B$9))) *
            (IF($B$10="الكل",1, MONTH('ادخال البيانات'!$N$3:$N$1164) = VALUE($B$10))) *
            (IF($B$11="الكل",1, INT((DAY('ادخال البيانات'!$N$3:$N$1164)-1)/7)+1 = VALUE($B$11))),
            'ادخال البيانات'!$F$3:$F$1164
         ),
         ""
      ),
      IF(_xlpm.result="", "", _xlpm.result)
   )
)</f>
        <v/>
      </c>
      <c r="G1128" s="27" t="str" cm="1">
        <f t="array" ref="G1128">IF(
   A1128="",
   "",
   _xlfn.LET(
      _xlpm.result,
      IFERROR(
         _xlfn.XLOOKUP(
            1,
            (Table8[رقم الصنف]=A1128) *
            (IF($B$9="الكل",1, YEAR('ادخال البيانات'!$N$3:$N$1164)=VALUE($B$9))) *
            (IF($B$10="الكل",1, MONTH('ادخال البيانات'!$N$3:$N$1164)=VALUE($B$10))) *
            (IF($B$11="الكل",1, INT((DAY('ادخال البيانات'!$N$3:$N$1164)-1)/7)+1 = VALUE($B$11))),
            'ادخال البيانات'!$G$3:$G$1164
         ),
         ""
      ),
      IF(_xlpm.result="", "", _xlpm.result)
   )
)</f>
        <v/>
      </c>
      <c r="H1128" s="27" t="str" cm="1">
        <f t="array" ref="H1128">IF(
   A1128="",
   "",
   _xlfn.LET(
      _xlpm.result,
      IFERROR(
         _xlfn.XLOOKUP(
            1,
            (Table8[رقم الصنف]=A1128) *
            (IF($B$9="الكل",1, YEAR('ادخال البيانات'!$N$3:$N$1164)=VALUE($B$9))) *
            (IF($B$10="الكل",1, MONTH('ادخال البيانات'!$N$3:$N$1164)=VALUE($B$10))) *
            (IF($B$11="الكل",1, INT((DAY('ادخال البيانات'!$N$3:$N$1164)-1)/7)+1 = VALUE($B$11))),
            'ادخال البيانات'!$H$3:$H$1164
         ),
         ""
      ),
      IF(_xlpm.result="", "", _xlpm.result)
   )
)</f>
        <v/>
      </c>
      <c r="I1128" s="27" t="str" cm="1">
        <f t="array" ref="I1128">IF(
   A1128="",
   "",
   _xlfn.LET(
      _xlpm.result,
      IFERROR(
         _xlfn.XLOOKUP(
            1,
            (Table8[رقم الصنف]=A1128) *
            (IF($B$9="الكل",1, YEAR('ادخال البيانات'!$N$3:$N$1164)=VALUE($B$9))) *
            (IF($B$10="الكل",1, MONTH('ادخال البيانات'!$N$3:$N$1164)=VALUE($B$10))) *
            (IF($B$11="الكل",1, INT((DAY('ادخال البيانات'!$N$3:$N$1164)-1)/7)+1 = VALUE($B$11))),
            'ادخال البيانات'!$I$3:$I$1164
         ),
         ""
      ),
      IF(_xlpm.result="", "", _xlpm.result)
   )
)</f>
        <v/>
      </c>
      <c r="J1128" s="27" t="str" cm="1">
        <f t="array" ref="J1128">IF(
   A1128="",
   "",
   _xlfn.LET(
      _xlpm.result,
      IFERROR(
         _xlfn.XLOOKUP(
            1,
            (Table8[رقم الصنف]=A1128) *
            (IF($B$9="الكل",1, YEAR('ادخال البيانات'!$N$3:$N$1164)=VALUE($B$9))) *
            (IF($B$10="الكل",1, MONTH('ادخال البيانات'!$N$3:$N$1164)=VALUE($B$10))) *
            (IF($B$11="الكل",1, INT((DAY('ادخال البيانات'!$N$3:$N$1164)-1)/7)+1 = VALUE($B$11))),
            'ادخال البيانات'!$J$3:$J$1164
         ),
         ""
      ),
      IF(_xlpm.result="", "", _xlpm.result)
   )
)</f>
        <v/>
      </c>
      <c r="K1128" s="27" t="str" cm="1">
        <f t="array" ref="K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8" s="27" t="str" cm="1">
        <f t="array" ref="L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8" s="27" t="str" cm="1">
        <f t="array" ref="M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8" s="28" t="str" cm="1">
        <f t="array" ref="N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8" s="28" t="str" cm="1">
        <f t="array" ref="O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8" s="27" t="str" cm="1">
        <f t="array" ref="P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Table8[جهة العطل]
         ),
         ""
      ),
      IF(_xlpm.result="", "", _xlpm.result)
   )
)</f>
        <v/>
      </c>
      <c r="Q1128" s="27" t="str" cm="1">
        <f t="array" ref="Q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Table8[المركز]
         ),
         ""
      ),
      IF(_xlpm.result="", "", _xlpm.result)
   )
)</f>
        <v/>
      </c>
      <c r="R1128" s="27" t="str" cm="1">
        <f t="array" ref="R1128">IF(
   A1128="",
   "",
   _xlfn.LET(
      _xlpm.result,
      IFERROR(
         _xlfn.XLOOKUP(
            1,
            (Table8[رقم الصنف]=A1128) *
            (IF($B$9="الكل",1, YEAR('ادخال البيانات'!$N$3:$N$1164) = VALUE($B$9))) *
            (IF($B$10="الكل",1, MONTH('ادخال البيانات'!$N$3:$N$1164) = VALUE($B$10))) *
            (IF($B$11="الكل",1, INT((DAY('ادخال البيانات'!$N$3:$N$1164) - 1) / 7) + 1 = VALUE($B$11))),
            Table8[ملاحظة]
         ),
         ""
      ),
      IF(_xlpm.result="", "", _xlpm.result)
   )
)</f>
        <v/>
      </c>
      <c r="S1128" s="46" t="str">
        <f t="shared" ca="1" si="18"/>
        <v/>
      </c>
    </row>
    <row r="1129" spans="1:19" ht="15.6" thickTop="1" thickBot="1" x14ac:dyDescent="0.35">
      <c r="A1129" s="39"/>
      <c r="B1129" s="27" t="str" cm="1">
        <f t="array" ref="B1129">IF(
   OR(A1129="", $B$9="", $B$10="", $B$11=""),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29" s="27" t="str" cm="1">
        <f t="array" ref="C1129">IF(
   A1129="",
   "",
   _xlfn.LET(
      _xlpm.result,
      IFERROR(
         _xlfn.XLOOKUP(
            1,
            (Table8[رقم الصنف]=A1129) *
            (IF($B$9="الكل",1, YEAR('ادخال البيانات'!$N$3:$N$1164) = VALUE($B$9))) *
            (IF($B$10="الكل",1, MONTH('ادخال البيانات'!$N$3:$N$1164) = VALUE($B$10))) *
            (IF($B$11="الكل",1, INT((DAY('ادخال البيانات'!$N$3:$N$1164)-1)/7)+1 = VALUE($B$11))),
            'ادخال البيانات'!$C$3:$C$1164
         ),
         ""
      ),
      IF(_xlpm.result="", "", _xlpm.result)
   )
)</f>
        <v/>
      </c>
      <c r="D1129" s="27" t="str" cm="1">
        <f t="array" ref="D1129">IF(
   OR(A1129="", $B$9="", $B$10="", $B$11=""),
   "",
   _xlfn.LET(
      _xlpm.result,
      IFERROR(
         _xlfn.XLOOKUP(
            1,
            (Table8[رقم الصنف]=A1129) *
            (IF($B$9="الكل",1, YEAR('ادخال البيانات'!$N$3:$N$1164)=VALUE($B$9))) *
            (IF($B$10="الكل",1, MONTH('ادخال البيانات'!$N$3:$N$1164)=VALUE($B$10))) *
            (IF($B$11="الكل",1, INT((DAY('ادخال البيانات'!$N$3:$N$1164)-1)/7)+1 = VALUE($B$11))),
            'ادخال البيانات'!$D$3:$D$1164
         ),
         ""
      ),
      IF(_xlpm.result="", "", _xlpm.result)
   )
)</f>
        <v/>
      </c>
      <c r="E1129" s="27" t="str" cm="1">
        <f t="array" ref="E1129">IF(
   A1129="",
   "",
   _xlfn.LET(
      _xlpm.result,
      IFERROR(
         _xlfn.XLOOKUP(
            1,
            (Table8[رقم الصنف]=A1129) *
            (IF($B$9="الكل",1, YEAR('ادخال البيانات'!$N$3:$N$1164)=VALUE($B$9))) *
            (IF($B$10="الكل",1, MONTH('ادخال البيانات'!$N$3:$N$1164)=VALUE($B$10))) *
            (IF($B$11="الكل",1, INT((DAY('ادخال البيانات'!$N$3:$N$1164)-1)/7)+1 = VALUE($B$11))),
            'ادخال البيانات'!$E$3:$E$1164
         ),
         ""
      ),
      IF(_xlpm.result="", "", _xlpm.result)
   )
)</f>
        <v/>
      </c>
      <c r="F1129" s="27" t="str" cm="1">
        <f t="array" ref="F1129">IF(
   A1129="",
   "",
   _xlfn.LET(
      _xlpm.result,
      IFERROR(
         _xlfn.XLOOKUP(
            1,
            (Table8[رقم الصنف]=A1129) *
            (IF($B$9="الكل",1, YEAR('ادخال البيانات'!$N$3:$N$1164) = VALUE($B$9))) *
            (IF($B$10="الكل",1, MONTH('ادخال البيانات'!$N$3:$N$1164) = VALUE($B$10))) *
            (IF($B$11="الكل",1, INT((DAY('ادخال البيانات'!$N$3:$N$1164)-1)/7)+1 = VALUE($B$11))),
            'ادخال البيانات'!$F$3:$F$1164
         ),
         ""
      ),
      IF(_xlpm.result="", "", _xlpm.result)
   )
)</f>
        <v/>
      </c>
      <c r="G1129" s="27" t="str" cm="1">
        <f t="array" ref="G1129">IF(
   A1129="",
   "",
   _xlfn.LET(
      _xlpm.result,
      IFERROR(
         _xlfn.XLOOKUP(
            1,
            (Table8[رقم الصنف]=A1129) *
            (IF($B$9="الكل",1, YEAR('ادخال البيانات'!$N$3:$N$1164)=VALUE($B$9))) *
            (IF($B$10="الكل",1, MONTH('ادخال البيانات'!$N$3:$N$1164)=VALUE($B$10))) *
            (IF($B$11="الكل",1, INT((DAY('ادخال البيانات'!$N$3:$N$1164)-1)/7)+1 = VALUE($B$11))),
            'ادخال البيانات'!$G$3:$G$1164
         ),
         ""
      ),
      IF(_xlpm.result="", "", _xlpm.result)
   )
)</f>
        <v/>
      </c>
      <c r="H1129" s="27" t="str" cm="1">
        <f t="array" ref="H1129">IF(
   A1129="",
   "",
   _xlfn.LET(
      _xlpm.result,
      IFERROR(
         _xlfn.XLOOKUP(
            1,
            (Table8[رقم الصنف]=A1129) *
            (IF($B$9="الكل",1, YEAR('ادخال البيانات'!$N$3:$N$1164)=VALUE($B$9))) *
            (IF($B$10="الكل",1, MONTH('ادخال البيانات'!$N$3:$N$1164)=VALUE($B$10))) *
            (IF($B$11="الكل",1, INT((DAY('ادخال البيانات'!$N$3:$N$1164)-1)/7)+1 = VALUE($B$11))),
            'ادخال البيانات'!$H$3:$H$1164
         ),
         ""
      ),
      IF(_xlpm.result="", "", _xlpm.result)
   )
)</f>
        <v/>
      </c>
      <c r="I1129" s="27" t="str" cm="1">
        <f t="array" ref="I1129">IF(
   A1129="",
   "",
   _xlfn.LET(
      _xlpm.result,
      IFERROR(
         _xlfn.XLOOKUP(
            1,
            (Table8[رقم الصنف]=A1129) *
            (IF($B$9="الكل",1, YEAR('ادخال البيانات'!$N$3:$N$1164)=VALUE($B$9))) *
            (IF($B$10="الكل",1, MONTH('ادخال البيانات'!$N$3:$N$1164)=VALUE($B$10))) *
            (IF($B$11="الكل",1, INT((DAY('ادخال البيانات'!$N$3:$N$1164)-1)/7)+1 = VALUE($B$11))),
            'ادخال البيانات'!$I$3:$I$1164
         ),
         ""
      ),
      IF(_xlpm.result="", "", _xlpm.result)
   )
)</f>
        <v/>
      </c>
      <c r="J1129" s="27" t="str" cm="1">
        <f t="array" ref="J1129">IF(
   A1129="",
   "",
   _xlfn.LET(
      _xlpm.result,
      IFERROR(
         _xlfn.XLOOKUP(
            1,
            (Table8[رقم الصنف]=A1129) *
            (IF($B$9="الكل",1, YEAR('ادخال البيانات'!$N$3:$N$1164)=VALUE($B$9))) *
            (IF($B$10="الكل",1, MONTH('ادخال البيانات'!$N$3:$N$1164)=VALUE($B$10))) *
            (IF($B$11="الكل",1, INT((DAY('ادخال البيانات'!$N$3:$N$1164)-1)/7)+1 = VALUE($B$11))),
            'ادخال البيانات'!$J$3:$J$1164
         ),
         ""
      ),
      IF(_xlpm.result="", "", _xlpm.result)
   )
)</f>
        <v/>
      </c>
      <c r="K1129" s="27" t="str" cm="1">
        <f t="array" ref="K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29" s="27" t="str" cm="1">
        <f t="array" ref="L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29" s="27" t="str" cm="1">
        <f t="array" ref="M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29" s="28" t="str" cm="1">
        <f t="array" ref="N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29" s="28" t="str" cm="1">
        <f t="array" ref="O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29" s="27" t="str" cm="1">
        <f t="array" ref="P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Table8[جهة العطل]
         ),
         ""
      ),
      IF(_xlpm.result="", "", _xlpm.result)
   )
)</f>
        <v/>
      </c>
      <c r="Q1129" s="27" t="str" cm="1">
        <f t="array" ref="Q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Table8[المركز]
         ),
         ""
      ),
      IF(_xlpm.result="", "", _xlpm.result)
   )
)</f>
        <v/>
      </c>
      <c r="R1129" s="27" t="str" cm="1">
        <f t="array" ref="R1129">IF(
   A1129="",
   "",
   _xlfn.LET(
      _xlpm.result,
      IFERROR(
         _xlfn.XLOOKUP(
            1,
            (Table8[رقم الصنف]=A1129) *
            (IF($B$9="الكل",1, YEAR('ادخال البيانات'!$N$3:$N$1164) = VALUE($B$9))) *
            (IF($B$10="الكل",1, MONTH('ادخال البيانات'!$N$3:$N$1164) = VALUE($B$10))) *
            (IF($B$11="الكل",1, INT((DAY('ادخال البيانات'!$N$3:$N$1164) - 1) / 7) + 1 = VALUE($B$11))),
            Table8[ملاحظة]
         ),
         ""
      ),
      IF(_xlpm.result="", "", _xlpm.result)
   )
)</f>
        <v/>
      </c>
      <c r="S1129" s="46" t="str">
        <f t="shared" ca="1" si="18"/>
        <v/>
      </c>
    </row>
    <row r="1130" spans="1:19" ht="15.6" thickTop="1" thickBot="1" x14ac:dyDescent="0.35">
      <c r="A1130" s="39"/>
      <c r="B1130" s="27" t="str" cm="1">
        <f t="array" ref="B1130">IF(
   OR(A1130="", $B$9="", $B$10="", $B$11=""),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0" s="27" t="str" cm="1">
        <f t="array" ref="C1130">IF(
   A1130="",
   "",
   _xlfn.LET(
      _xlpm.result,
      IFERROR(
         _xlfn.XLOOKUP(
            1,
            (Table8[رقم الصنف]=A1130) *
            (IF($B$9="الكل",1, YEAR('ادخال البيانات'!$N$3:$N$1164) = VALUE($B$9))) *
            (IF($B$10="الكل",1, MONTH('ادخال البيانات'!$N$3:$N$1164) = VALUE($B$10))) *
            (IF($B$11="الكل",1, INT((DAY('ادخال البيانات'!$N$3:$N$1164)-1)/7)+1 = VALUE($B$11))),
            'ادخال البيانات'!$C$3:$C$1164
         ),
         ""
      ),
      IF(_xlpm.result="", "", _xlpm.result)
   )
)</f>
        <v/>
      </c>
      <c r="D1130" s="27" t="str" cm="1">
        <f t="array" ref="D1130">IF(
   OR(A1130="", $B$9="", $B$10="", $B$11=""),
   "",
   _xlfn.LET(
      _xlpm.result,
      IFERROR(
         _xlfn.XLOOKUP(
            1,
            (Table8[رقم الصنف]=A1130) *
            (IF($B$9="الكل",1, YEAR('ادخال البيانات'!$N$3:$N$1164)=VALUE($B$9))) *
            (IF($B$10="الكل",1, MONTH('ادخال البيانات'!$N$3:$N$1164)=VALUE($B$10))) *
            (IF($B$11="الكل",1, INT((DAY('ادخال البيانات'!$N$3:$N$1164)-1)/7)+1 = VALUE($B$11))),
            'ادخال البيانات'!$D$3:$D$1164
         ),
         ""
      ),
      IF(_xlpm.result="", "", _xlpm.result)
   )
)</f>
        <v/>
      </c>
      <c r="E1130" s="27" t="str" cm="1">
        <f t="array" ref="E1130">IF(
   A1130="",
   "",
   _xlfn.LET(
      _xlpm.result,
      IFERROR(
         _xlfn.XLOOKUP(
            1,
            (Table8[رقم الصنف]=A1130) *
            (IF($B$9="الكل",1, YEAR('ادخال البيانات'!$N$3:$N$1164)=VALUE($B$9))) *
            (IF($B$10="الكل",1, MONTH('ادخال البيانات'!$N$3:$N$1164)=VALUE($B$10))) *
            (IF($B$11="الكل",1, INT((DAY('ادخال البيانات'!$N$3:$N$1164)-1)/7)+1 = VALUE($B$11))),
            'ادخال البيانات'!$E$3:$E$1164
         ),
         ""
      ),
      IF(_xlpm.result="", "", _xlpm.result)
   )
)</f>
        <v/>
      </c>
      <c r="F1130" s="27" t="str" cm="1">
        <f t="array" ref="F1130">IF(
   A1130="",
   "",
   _xlfn.LET(
      _xlpm.result,
      IFERROR(
         _xlfn.XLOOKUP(
            1,
            (Table8[رقم الصنف]=A1130) *
            (IF($B$9="الكل",1, YEAR('ادخال البيانات'!$N$3:$N$1164) = VALUE($B$9))) *
            (IF($B$10="الكل",1, MONTH('ادخال البيانات'!$N$3:$N$1164) = VALUE($B$10))) *
            (IF($B$11="الكل",1, INT((DAY('ادخال البيانات'!$N$3:$N$1164)-1)/7)+1 = VALUE($B$11))),
            'ادخال البيانات'!$F$3:$F$1164
         ),
         ""
      ),
      IF(_xlpm.result="", "", _xlpm.result)
   )
)</f>
        <v/>
      </c>
      <c r="G1130" s="27" t="str" cm="1">
        <f t="array" ref="G1130">IF(
   A1130="",
   "",
   _xlfn.LET(
      _xlpm.result,
      IFERROR(
         _xlfn.XLOOKUP(
            1,
            (Table8[رقم الصنف]=A1130) *
            (IF($B$9="الكل",1, YEAR('ادخال البيانات'!$N$3:$N$1164)=VALUE($B$9))) *
            (IF($B$10="الكل",1, MONTH('ادخال البيانات'!$N$3:$N$1164)=VALUE($B$10))) *
            (IF($B$11="الكل",1, INT((DAY('ادخال البيانات'!$N$3:$N$1164)-1)/7)+1 = VALUE($B$11))),
            'ادخال البيانات'!$G$3:$G$1164
         ),
         ""
      ),
      IF(_xlpm.result="", "", _xlpm.result)
   )
)</f>
        <v/>
      </c>
      <c r="H1130" s="27" t="str" cm="1">
        <f t="array" ref="H1130">IF(
   A1130="",
   "",
   _xlfn.LET(
      _xlpm.result,
      IFERROR(
         _xlfn.XLOOKUP(
            1,
            (Table8[رقم الصنف]=A1130) *
            (IF($B$9="الكل",1, YEAR('ادخال البيانات'!$N$3:$N$1164)=VALUE($B$9))) *
            (IF($B$10="الكل",1, MONTH('ادخال البيانات'!$N$3:$N$1164)=VALUE($B$10))) *
            (IF($B$11="الكل",1, INT((DAY('ادخال البيانات'!$N$3:$N$1164)-1)/7)+1 = VALUE($B$11))),
            'ادخال البيانات'!$H$3:$H$1164
         ),
         ""
      ),
      IF(_xlpm.result="", "", _xlpm.result)
   )
)</f>
        <v/>
      </c>
      <c r="I1130" s="27" t="str" cm="1">
        <f t="array" ref="I1130">IF(
   A1130="",
   "",
   _xlfn.LET(
      _xlpm.result,
      IFERROR(
         _xlfn.XLOOKUP(
            1,
            (Table8[رقم الصنف]=A1130) *
            (IF($B$9="الكل",1, YEAR('ادخال البيانات'!$N$3:$N$1164)=VALUE($B$9))) *
            (IF($B$10="الكل",1, MONTH('ادخال البيانات'!$N$3:$N$1164)=VALUE($B$10))) *
            (IF($B$11="الكل",1, INT((DAY('ادخال البيانات'!$N$3:$N$1164)-1)/7)+1 = VALUE($B$11))),
            'ادخال البيانات'!$I$3:$I$1164
         ),
         ""
      ),
      IF(_xlpm.result="", "", _xlpm.result)
   )
)</f>
        <v/>
      </c>
      <c r="J1130" s="27" t="str" cm="1">
        <f t="array" ref="J1130">IF(
   A1130="",
   "",
   _xlfn.LET(
      _xlpm.result,
      IFERROR(
         _xlfn.XLOOKUP(
            1,
            (Table8[رقم الصنف]=A1130) *
            (IF($B$9="الكل",1, YEAR('ادخال البيانات'!$N$3:$N$1164)=VALUE($B$9))) *
            (IF($B$10="الكل",1, MONTH('ادخال البيانات'!$N$3:$N$1164)=VALUE($B$10))) *
            (IF($B$11="الكل",1, INT((DAY('ادخال البيانات'!$N$3:$N$1164)-1)/7)+1 = VALUE($B$11))),
            'ادخال البيانات'!$J$3:$J$1164
         ),
         ""
      ),
      IF(_xlpm.result="", "", _xlpm.result)
   )
)</f>
        <v/>
      </c>
      <c r="K1130" s="27" t="str" cm="1">
        <f t="array" ref="K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0" s="27" t="str" cm="1">
        <f t="array" ref="L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0" s="27" t="str" cm="1">
        <f t="array" ref="M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0" s="28" t="str" cm="1">
        <f t="array" ref="N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0" s="28" t="str" cm="1">
        <f t="array" ref="O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0" s="27" t="str" cm="1">
        <f t="array" ref="P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Table8[جهة العطل]
         ),
         ""
      ),
      IF(_xlpm.result="", "", _xlpm.result)
   )
)</f>
        <v/>
      </c>
      <c r="Q1130" s="27" t="str" cm="1">
        <f t="array" ref="Q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Table8[المركز]
         ),
         ""
      ),
      IF(_xlpm.result="", "", _xlpm.result)
   )
)</f>
        <v/>
      </c>
      <c r="R1130" s="27" t="str" cm="1">
        <f t="array" ref="R1130">IF(
   A1130="",
   "",
   _xlfn.LET(
      _xlpm.result,
      IFERROR(
         _xlfn.XLOOKUP(
            1,
            (Table8[رقم الصنف]=A1130) *
            (IF($B$9="الكل",1, YEAR('ادخال البيانات'!$N$3:$N$1164) = VALUE($B$9))) *
            (IF($B$10="الكل",1, MONTH('ادخال البيانات'!$N$3:$N$1164) = VALUE($B$10))) *
            (IF($B$11="الكل",1, INT((DAY('ادخال البيانات'!$N$3:$N$1164) - 1) / 7) + 1 = VALUE($B$11))),
            Table8[ملاحظة]
         ),
         ""
      ),
      IF(_xlpm.result="", "", _xlpm.result)
   )
)</f>
        <v/>
      </c>
      <c r="S1130" s="46" t="str">
        <f t="shared" ca="1" si="18"/>
        <v/>
      </c>
    </row>
    <row r="1131" spans="1:19" ht="15.6" thickTop="1" thickBot="1" x14ac:dyDescent="0.35">
      <c r="A1131" s="39"/>
      <c r="B1131" s="27" t="str" cm="1">
        <f t="array" ref="B1131">IF(
   OR(A1131="", $B$9="", $B$10="", $B$11=""),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1" s="27" t="str" cm="1">
        <f t="array" ref="C1131">IF(
   A1131="",
   "",
   _xlfn.LET(
      _xlpm.result,
      IFERROR(
         _xlfn.XLOOKUP(
            1,
            (Table8[رقم الصنف]=A1131) *
            (IF($B$9="الكل",1, YEAR('ادخال البيانات'!$N$3:$N$1164) = VALUE($B$9))) *
            (IF($B$10="الكل",1, MONTH('ادخال البيانات'!$N$3:$N$1164) = VALUE($B$10))) *
            (IF($B$11="الكل",1, INT((DAY('ادخال البيانات'!$N$3:$N$1164)-1)/7)+1 = VALUE($B$11))),
            'ادخال البيانات'!$C$3:$C$1164
         ),
         ""
      ),
      IF(_xlpm.result="", "", _xlpm.result)
   )
)</f>
        <v/>
      </c>
      <c r="D1131" s="27" t="str" cm="1">
        <f t="array" ref="D1131">IF(
   OR(A1131="", $B$9="", $B$10="", $B$11=""),
   "",
   _xlfn.LET(
      _xlpm.result,
      IFERROR(
         _xlfn.XLOOKUP(
            1,
            (Table8[رقم الصنف]=A1131) *
            (IF($B$9="الكل",1, YEAR('ادخال البيانات'!$N$3:$N$1164)=VALUE($B$9))) *
            (IF($B$10="الكل",1, MONTH('ادخال البيانات'!$N$3:$N$1164)=VALUE($B$10))) *
            (IF($B$11="الكل",1, INT((DAY('ادخال البيانات'!$N$3:$N$1164)-1)/7)+1 = VALUE($B$11))),
            'ادخال البيانات'!$D$3:$D$1164
         ),
         ""
      ),
      IF(_xlpm.result="", "", _xlpm.result)
   )
)</f>
        <v/>
      </c>
      <c r="E1131" s="27" t="str" cm="1">
        <f t="array" ref="E1131">IF(
   A1131="",
   "",
   _xlfn.LET(
      _xlpm.result,
      IFERROR(
         _xlfn.XLOOKUP(
            1,
            (Table8[رقم الصنف]=A1131) *
            (IF($B$9="الكل",1, YEAR('ادخال البيانات'!$N$3:$N$1164)=VALUE($B$9))) *
            (IF($B$10="الكل",1, MONTH('ادخال البيانات'!$N$3:$N$1164)=VALUE($B$10))) *
            (IF($B$11="الكل",1, INT((DAY('ادخال البيانات'!$N$3:$N$1164)-1)/7)+1 = VALUE($B$11))),
            'ادخال البيانات'!$E$3:$E$1164
         ),
         ""
      ),
      IF(_xlpm.result="", "", _xlpm.result)
   )
)</f>
        <v/>
      </c>
      <c r="F1131" s="27" t="str" cm="1">
        <f t="array" ref="F1131">IF(
   A1131="",
   "",
   _xlfn.LET(
      _xlpm.result,
      IFERROR(
         _xlfn.XLOOKUP(
            1,
            (Table8[رقم الصنف]=A1131) *
            (IF($B$9="الكل",1, YEAR('ادخال البيانات'!$N$3:$N$1164) = VALUE($B$9))) *
            (IF($B$10="الكل",1, MONTH('ادخال البيانات'!$N$3:$N$1164) = VALUE($B$10))) *
            (IF($B$11="الكل",1, INT((DAY('ادخال البيانات'!$N$3:$N$1164)-1)/7)+1 = VALUE($B$11))),
            'ادخال البيانات'!$F$3:$F$1164
         ),
         ""
      ),
      IF(_xlpm.result="", "", _xlpm.result)
   )
)</f>
        <v/>
      </c>
      <c r="G1131" s="27" t="str" cm="1">
        <f t="array" ref="G1131">IF(
   A1131="",
   "",
   _xlfn.LET(
      _xlpm.result,
      IFERROR(
         _xlfn.XLOOKUP(
            1,
            (Table8[رقم الصنف]=A1131) *
            (IF($B$9="الكل",1, YEAR('ادخال البيانات'!$N$3:$N$1164)=VALUE($B$9))) *
            (IF($B$10="الكل",1, MONTH('ادخال البيانات'!$N$3:$N$1164)=VALUE($B$10))) *
            (IF($B$11="الكل",1, INT((DAY('ادخال البيانات'!$N$3:$N$1164)-1)/7)+1 = VALUE($B$11))),
            'ادخال البيانات'!$G$3:$G$1164
         ),
         ""
      ),
      IF(_xlpm.result="", "", _xlpm.result)
   )
)</f>
        <v/>
      </c>
      <c r="H1131" s="27" t="str" cm="1">
        <f t="array" ref="H1131">IF(
   A1131="",
   "",
   _xlfn.LET(
      _xlpm.result,
      IFERROR(
         _xlfn.XLOOKUP(
            1,
            (Table8[رقم الصنف]=A1131) *
            (IF($B$9="الكل",1, YEAR('ادخال البيانات'!$N$3:$N$1164)=VALUE($B$9))) *
            (IF($B$10="الكل",1, MONTH('ادخال البيانات'!$N$3:$N$1164)=VALUE($B$10))) *
            (IF($B$11="الكل",1, INT((DAY('ادخال البيانات'!$N$3:$N$1164)-1)/7)+1 = VALUE($B$11))),
            'ادخال البيانات'!$H$3:$H$1164
         ),
         ""
      ),
      IF(_xlpm.result="", "", _xlpm.result)
   )
)</f>
        <v/>
      </c>
      <c r="I1131" s="27" t="str" cm="1">
        <f t="array" ref="I1131">IF(
   A1131="",
   "",
   _xlfn.LET(
      _xlpm.result,
      IFERROR(
         _xlfn.XLOOKUP(
            1,
            (Table8[رقم الصنف]=A1131) *
            (IF($B$9="الكل",1, YEAR('ادخال البيانات'!$N$3:$N$1164)=VALUE($B$9))) *
            (IF($B$10="الكل",1, MONTH('ادخال البيانات'!$N$3:$N$1164)=VALUE($B$10))) *
            (IF($B$11="الكل",1, INT((DAY('ادخال البيانات'!$N$3:$N$1164)-1)/7)+1 = VALUE($B$11))),
            'ادخال البيانات'!$I$3:$I$1164
         ),
         ""
      ),
      IF(_xlpm.result="", "", _xlpm.result)
   )
)</f>
        <v/>
      </c>
      <c r="J1131" s="27" t="str" cm="1">
        <f t="array" ref="J1131">IF(
   A1131="",
   "",
   _xlfn.LET(
      _xlpm.result,
      IFERROR(
         _xlfn.XLOOKUP(
            1,
            (Table8[رقم الصنف]=A1131) *
            (IF($B$9="الكل",1, YEAR('ادخال البيانات'!$N$3:$N$1164)=VALUE($B$9))) *
            (IF($B$10="الكل",1, MONTH('ادخال البيانات'!$N$3:$N$1164)=VALUE($B$10))) *
            (IF($B$11="الكل",1, INT((DAY('ادخال البيانات'!$N$3:$N$1164)-1)/7)+1 = VALUE($B$11))),
            'ادخال البيانات'!$J$3:$J$1164
         ),
         ""
      ),
      IF(_xlpm.result="", "", _xlpm.result)
   )
)</f>
        <v/>
      </c>
      <c r="K1131" s="27" t="str" cm="1">
        <f t="array" ref="K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1" s="27" t="str" cm="1">
        <f t="array" ref="L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1" s="27" t="str" cm="1">
        <f t="array" ref="M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1" s="28" t="str" cm="1">
        <f t="array" ref="N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1" s="28" t="str" cm="1">
        <f t="array" ref="O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1" s="27" t="str" cm="1">
        <f t="array" ref="P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Table8[جهة العطل]
         ),
         ""
      ),
      IF(_xlpm.result="", "", _xlpm.result)
   )
)</f>
        <v/>
      </c>
      <c r="Q1131" s="27" t="str" cm="1">
        <f t="array" ref="Q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Table8[المركز]
         ),
         ""
      ),
      IF(_xlpm.result="", "", _xlpm.result)
   )
)</f>
        <v/>
      </c>
      <c r="R1131" s="27" t="str" cm="1">
        <f t="array" ref="R1131">IF(
   A1131="",
   "",
   _xlfn.LET(
      _xlpm.result,
      IFERROR(
         _xlfn.XLOOKUP(
            1,
            (Table8[رقم الصنف]=A1131) *
            (IF($B$9="الكل",1, YEAR('ادخال البيانات'!$N$3:$N$1164) = VALUE($B$9))) *
            (IF($B$10="الكل",1, MONTH('ادخال البيانات'!$N$3:$N$1164) = VALUE($B$10))) *
            (IF($B$11="الكل",1, INT((DAY('ادخال البيانات'!$N$3:$N$1164) - 1) / 7) + 1 = VALUE($B$11))),
            Table8[ملاحظة]
         ),
         ""
      ),
      IF(_xlpm.result="", "", _xlpm.result)
   )
)</f>
        <v/>
      </c>
      <c r="S1131" s="46" t="str">
        <f t="shared" ca="1" si="18"/>
        <v/>
      </c>
    </row>
    <row r="1132" spans="1:19" ht="15.6" thickTop="1" thickBot="1" x14ac:dyDescent="0.35">
      <c r="A1132" s="39"/>
      <c r="B1132" s="27" t="str" cm="1">
        <f t="array" ref="B1132">IF(
   OR(A1132="", $B$9="", $B$10="", $B$11=""),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2" s="27" t="str" cm="1">
        <f t="array" ref="C1132">IF(
   A1132="",
   "",
   _xlfn.LET(
      _xlpm.result,
      IFERROR(
         _xlfn.XLOOKUP(
            1,
            (Table8[رقم الصنف]=A1132) *
            (IF($B$9="الكل",1, YEAR('ادخال البيانات'!$N$3:$N$1164) = VALUE($B$9))) *
            (IF($B$10="الكل",1, MONTH('ادخال البيانات'!$N$3:$N$1164) = VALUE($B$10))) *
            (IF($B$11="الكل",1, INT((DAY('ادخال البيانات'!$N$3:$N$1164)-1)/7)+1 = VALUE($B$11))),
            'ادخال البيانات'!$C$3:$C$1164
         ),
         ""
      ),
      IF(_xlpm.result="", "", _xlpm.result)
   )
)</f>
        <v/>
      </c>
      <c r="D1132" s="27" t="str" cm="1">
        <f t="array" ref="D1132">IF(
   OR(A1132="", $B$9="", $B$10="", $B$11=""),
   "",
   _xlfn.LET(
      _xlpm.result,
      IFERROR(
         _xlfn.XLOOKUP(
            1,
            (Table8[رقم الصنف]=A1132) *
            (IF($B$9="الكل",1, YEAR('ادخال البيانات'!$N$3:$N$1164)=VALUE($B$9))) *
            (IF($B$10="الكل",1, MONTH('ادخال البيانات'!$N$3:$N$1164)=VALUE($B$10))) *
            (IF($B$11="الكل",1, INT((DAY('ادخال البيانات'!$N$3:$N$1164)-1)/7)+1 = VALUE($B$11))),
            'ادخال البيانات'!$D$3:$D$1164
         ),
         ""
      ),
      IF(_xlpm.result="", "", _xlpm.result)
   )
)</f>
        <v/>
      </c>
      <c r="E1132" s="27" t="str" cm="1">
        <f t="array" ref="E1132">IF(
   A1132="",
   "",
   _xlfn.LET(
      _xlpm.result,
      IFERROR(
         _xlfn.XLOOKUP(
            1,
            (Table8[رقم الصنف]=A1132) *
            (IF($B$9="الكل",1, YEAR('ادخال البيانات'!$N$3:$N$1164)=VALUE($B$9))) *
            (IF($B$10="الكل",1, MONTH('ادخال البيانات'!$N$3:$N$1164)=VALUE($B$10))) *
            (IF($B$11="الكل",1, INT((DAY('ادخال البيانات'!$N$3:$N$1164)-1)/7)+1 = VALUE($B$11))),
            'ادخال البيانات'!$E$3:$E$1164
         ),
         ""
      ),
      IF(_xlpm.result="", "", _xlpm.result)
   )
)</f>
        <v/>
      </c>
      <c r="F1132" s="27" t="str" cm="1">
        <f t="array" ref="F1132">IF(
   A1132="",
   "",
   _xlfn.LET(
      _xlpm.result,
      IFERROR(
         _xlfn.XLOOKUP(
            1,
            (Table8[رقم الصنف]=A1132) *
            (IF($B$9="الكل",1, YEAR('ادخال البيانات'!$N$3:$N$1164) = VALUE($B$9))) *
            (IF($B$10="الكل",1, MONTH('ادخال البيانات'!$N$3:$N$1164) = VALUE($B$10))) *
            (IF($B$11="الكل",1, INT((DAY('ادخال البيانات'!$N$3:$N$1164)-1)/7)+1 = VALUE($B$11))),
            'ادخال البيانات'!$F$3:$F$1164
         ),
         ""
      ),
      IF(_xlpm.result="", "", _xlpm.result)
   )
)</f>
        <v/>
      </c>
      <c r="G1132" s="27" t="str" cm="1">
        <f t="array" ref="G1132">IF(
   A1132="",
   "",
   _xlfn.LET(
      _xlpm.result,
      IFERROR(
         _xlfn.XLOOKUP(
            1,
            (Table8[رقم الصنف]=A1132) *
            (IF($B$9="الكل",1, YEAR('ادخال البيانات'!$N$3:$N$1164)=VALUE($B$9))) *
            (IF($B$10="الكل",1, MONTH('ادخال البيانات'!$N$3:$N$1164)=VALUE($B$10))) *
            (IF($B$11="الكل",1, INT((DAY('ادخال البيانات'!$N$3:$N$1164)-1)/7)+1 = VALUE($B$11))),
            'ادخال البيانات'!$G$3:$G$1164
         ),
         ""
      ),
      IF(_xlpm.result="", "", _xlpm.result)
   )
)</f>
        <v/>
      </c>
      <c r="H1132" s="27" t="str" cm="1">
        <f t="array" ref="H1132">IF(
   A1132="",
   "",
   _xlfn.LET(
      _xlpm.result,
      IFERROR(
         _xlfn.XLOOKUP(
            1,
            (Table8[رقم الصنف]=A1132) *
            (IF($B$9="الكل",1, YEAR('ادخال البيانات'!$N$3:$N$1164)=VALUE($B$9))) *
            (IF($B$10="الكل",1, MONTH('ادخال البيانات'!$N$3:$N$1164)=VALUE($B$10))) *
            (IF($B$11="الكل",1, INT((DAY('ادخال البيانات'!$N$3:$N$1164)-1)/7)+1 = VALUE($B$11))),
            'ادخال البيانات'!$H$3:$H$1164
         ),
         ""
      ),
      IF(_xlpm.result="", "", _xlpm.result)
   )
)</f>
        <v/>
      </c>
      <c r="I1132" s="27" t="str" cm="1">
        <f t="array" ref="I1132">IF(
   A1132="",
   "",
   _xlfn.LET(
      _xlpm.result,
      IFERROR(
         _xlfn.XLOOKUP(
            1,
            (Table8[رقم الصنف]=A1132) *
            (IF($B$9="الكل",1, YEAR('ادخال البيانات'!$N$3:$N$1164)=VALUE($B$9))) *
            (IF($B$10="الكل",1, MONTH('ادخال البيانات'!$N$3:$N$1164)=VALUE($B$10))) *
            (IF($B$11="الكل",1, INT((DAY('ادخال البيانات'!$N$3:$N$1164)-1)/7)+1 = VALUE($B$11))),
            'ادخال البيانات'!$I$3:$I$1164
         ),
         ""
      ),
      IF(_xlpm.result="", "", _xlpm.result)
   )
)</f>
        <v/>
      </c>
      <c r="J1132" s="27" t="str" cm="1">
        <f t="array" ref="J1132">IF(
   A1132="",
   "",
   _xlfn.LET(
      _xlpm.result,
      IFERROR(
         _xlfn.XLOOKUP(
            1,
            (Table8[رقم الصنف]=A1132) *
            (IF($B$9="الكل",1, YEAR('ادخال البيانات'!$N$3:$N$1164)=VALUE($B$9))) *
            (IF($B$10="الكل",1, MONTH('ادخال البيانات'!$N$3:$N$1164)=VALUE($B$10))) *
            (IF($B$11="الكل",1, INT((DAY('ادخال البيانات'!$N$3:$N$1164)-1)/7)+1 = VALUE($B$11))),
            'ادخال البيانات'!$J$3:$J$1164
         ),
         ""
      ),
      IF(_xlpm.result="", "", _xlpm.result)
   )
)</f>
        <v/>
      </c>
      <c r="K1132" s="27" t="str" cm="1">
        <f t="array" ref="K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2" s="27" t="str" cm="1">
        <f t="array" ref="L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2" s="27" t="str" cm="1">
        <f t="array" ref="M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2" s="28" t="str" cm="1">
        <f t="array" ref="N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2" s="28" t="str" cm="1">
        <f t="array" ref="O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2" s="27" t="str" cm="1">
        <f t="array" ref="P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Table8[جهة العطل]
         ),
         ""
      ),
      IF(_xlpm.result="", "", _xlpm.result)
   )
)</f>
        <v/>
      </c>
      <c r="Q1132" s="27" t="str" cm="1">
        <f t="array" ref="Q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Table8[المركز]
         ),
         ""
      ),
      IF(_xlpm.result="", "", _xlpm.result)
   )
)</f>
        <v/>
      </c>
      <c r="R1132" s="27" t="str" cm="1">
        <f t="array" ref="R1132">IF(
   A1132="",
   "",
   _xlfn.LET(
      _xlpm.result,
      IFERROR(
         _xlfn.XLOOKUP(
            1,
            (Table8[رقم الصنف]=A1132) *
            (IF($B$9="الكل",1, YEAR('ادخال البيانات'!$N$3:$N$1164) = VALUE($B$9))) *
            (IF($B$10="الكل",1, MONTH('ادخال البيانات'!$N$3:$N$1164) = VALUE($B$10))) *
            (IF($B$11="الكل",1, INT((DAY('ادخال البيانات'!$N$3:$N$1164) - 1) / 7) + 1 = VALUE($B$11))),
            Table8[ملاحظة]
         ),
         ""
      ),
      IF(_xlpm.result="", "", _xlpm.result)
   )
)</f>
        <v/>
      </c>
      <c r="S1132" s="46" t="str">
        <f t="shared" ca="1" si="18"/>
        <v/>
      </c>
    </row>
    <row r="1133" spans="1:19" ht="15.6" thickTop="1" thickBot="1" x14ac:dyDescent="0.35">
      <c r="A1133" s="39"/>
      <c r="B1133" s="27" t="str" cm="1">
        <f t="array" ref="B1133">IF(
   OR(A1133="", $B$9="", $B$10="", $B$11=""),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3" s="27" t="str" cm="1">
        <f t="array" ref="C1133">IF(
   A1133="",
   "",
   _xlfn.LET(
      _xlpm.result,
      IFERROR(
         _xlfn.XLOOKUP(
            1,
            (Table8[رقم الصنف]=A1133) *
            (IF($B$9="الكل",1, YEAR('ادخال البيانات'!$N$3:$N$1164) = VALUE($B$9))) *
            (IF($B$10="الكل",1, MONTH('ادخال البيانات'!$N$3:$N$1164) = VALUE($B$10))) *
            (IF($B$11="الكل",1, INT((DAY('ادخال البيانات'!$N$3:$N$1164)-1)/7)+1 = VALUE($B$11))),
            'ادخال البيانات'!$C$3:$C$1164
         ),
         ""
      ),
      IF(_xlpm.result="", "", _xlpm.result)
   )
)</f>
        <v/>
      </c>
      <c r="D1133" s="27" t="str" cm="1">
        <f t="array" ref="D1133">IF(
   OR(A1133="", $B$9="", $B$10="", $B$11=""),
   "",
   _xlfn.LET(
      _xlpm.result,
      IFERROR(
         _xlfn.XLOOKUP(
            1,
            (Table8[رقم الصنف]=A1133) *
            (IF($B$9="الكل",1, YEAR('ادخال البيانات'!$N$3:$N$1164)=VALUE($B$9))) *
            (IF($B$10="الكل",1, MONTH('ادخال البيانات'!$N$3:$N$1164)=VALUE($B$10))) *
            (IF($B$11="الكل",1, INT((DAY('ادخال البيانات'!$N$3:$N$1164)-1)/7)+1 = VALUE($B$11))),
            'ادخال البيانات'!$D$3:$D$1164
         ),
         ""
      ),
      IF(_xlpm.result="", "", _xlpm.result)
   )
)</f>
        <v/>
      </c>
      <c r="E1133" s="27" t="str" cm="1">
        <f t="array" ref="E1133">IF(
   A1133="",
   "",
   _xlfn.LET(
      _xlpm.result,
      IFERROR(
         _xlfn.XLOOKUP(
            1,
            (Table8[رقم الصنف]=A1133) *
            (IF($B$9="الكل",1, YEAR('ادخال البيانات'!$N$3:$N$1164)=VALUE($B$9))) *
            (IF($B$10="الكل",1, MONTH('ادخال البيانات'!$N$3:$N$1164)=VALUE($B$10))) *
            (IF($B$11="الكل",1, INT((DAY('ادخال البيانات'!$N$3:$N$1164)-1)/7)+1 = VALUE($B$11))),
            'ادخال البيانات'!$E$3:$E$1164
         ),
         ""
      ),
      IF(_xlpm.result="", "", _xlpm.result)
   )
)</f>
        <v/>
      </c>
      <c r="F1133" s="27" t="str" cm="1">
        <f t="array" ref="F1133">IF(
   A1133="",
   "",
   _xlfn.LET(
      _xlpm.result,
      IFERROR(
         _xlfn.XLOOKUP(
            1,
            (Table8[رقم الصنف]=A1133) *
            (IF($B$9="الكل",1, YEAR('ادخال البيانات'!$N$3:$N$1164) = VALUE($B$9))) *
            (IF($B$10="الكل",1, MONTH('ادخال البيانات'!$N$3:$N$1164) = VALUE($B$10))) *
            (IF($B$11="الكل",1, INT((DAY('ادخال البيانات'!$N$3:$N$1164)-1)/7)+1 = VALUE($B$11))),
            'ادخال البيانات'!$F$3:$F$1164
         ),
         ""
      ),
      IF(_xlpm.result="", "", _xlpm.result)
   )
)</f>
        <v/>
      </c>
      <c r="G1133" s="27" t="str" cm="1">
        <f t="array" ref="G1133">IF(
   A1133="",
   "",
   _xlfn.LET(
      _xlpm.result,
      IFERROR(
         _xlfn.XLOOKUP(
            1,
            (Table8[رقم الصنف]=A1133) *
            (IF($B$9="الكل",1, YEAR('ادخال البيانات'!$N$3:$N$1164)=VALUE($B$9))) *
            (IF($B$10="الكل",1, MONTH('ادخال البيانات'!$N$3:$N$1164)=VALUE($B$10))) *
            (IF($B$11="الكل",1, INT((DAY('ادخال البيانات'!$N$3:$N$1164)-1)/7)+1 = VALUE($B$11))),
            'ادخال البيانات'!$G$3:$G$1164
         ),
         ""
      ),
      IF(_xlpm.result="", "", _xlpm.result)
   )
)</f>
        <v/>
      </c>
      <c r="H1133" s="27" t="str" cm="1">
        <f t="array" ref="H1133">IF(
   A1133="",
   "",
   _xlfn.LET(
      _xlpm.result,
      IFERROR(
         _xlfn.XLOOKUP(
            1,
            (Table8[رقم الصنف]=A1133) *
            (IF($B$9="الكل",1, YEAR('ادخال البيانات'!$N$3:$N$1164)=VALUE($B$9))) *
            (IF($B$10="الكل",1, MONTH('ادخال البيانات'!$N$3:$N$1164)=VALUE($B$10))) *
            (IF($B$11="الكل",1, INT((DAY('ادخال البيانات'!$N$3:$N$1164)-1)/7)+1 = VALUE($B$11))),
            'ادخال البيانات'!$H$3:$H$1164
         ),
         ""
      ),
      IF(_xlpm.result="", "", _xlpm.result)
   )
)</f>
        <v/>
      </c>
      <c r="I1133" s="27" t="str" cm="1">
        <f t="array" ref="I1133">IF(
   A1133="",
   "",
   _xlfn.LET(
      _xlpm.result,
      IFERROR(
         _xlfn.XLOOKUP(
            1,
            (Table8[رقم الصنف]=A1133) *
            (IF($B$9="الكل",1, YEAR('ادخال البيانات'!$N$3:$N$1164)=VALUE($B$9))) *
            (IF($B$10="الكل",1, MONTH('ادخال البيانات'!$N$3:$N$1164)=VALUE($B$10))) *
            (IF($B$11="الكل",1, INT((DAY('ادخال البيانات'!$N$3:$N$1164)-1)/7)+1 = VALUE($B$11))),
            'ادخال البيانات'!$I$3:$I$1164
         ),
         ""
      ),
      IF(_xlpm.result="", "", _xlpm.result)
   )
)</f>
        <v/>
      </c>
      <c r="J1133" s="27" t="str" cm="1">
        <f t="array" ref="J1133">IF(
   A1133="",
   "",
   _xlfn.LET(
      _xlpm.result,
      IFERROR(
         _xlfn.XLOOKUP(
            1,
            (Table8[رقم الصنف]=A1133) *
            (IF($B$9="الكل",1, YEAR('ادخال البيانات'!$N$3:$N$1164)=VALUE($B$9))) *
            (IF($B$10="الكل",1, MONTH('ادخال البيانات'!$N$3:$N$1164)=VALUE($B$10))) *
            (IF($B$11="الكل",1, INT((DAY('ادخال البيانات'!$N$3:$N$1164)-1)/7)+1 = VALUE($B$11))),
            'ادخال البيانات'!$J$3:$J$1164
         ),
         ""
      ),
      IF(_xlpm.result="", "", _xlpm.result)
   )
)</f>
        <v/>
      </c>
      <c r="K1133" s="27" t="str" cm="1">
        <f t="array" ref="K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3" s="27" t="str" cm="1">
        <f t="array" ref="L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3" s="27" t="str" cm="1">
        <f t="array" ref="M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3" s="28" t="str" cm="1">
        <f t="array" ref="N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3" s="28" t="str" cm="1">
        <f t="array" ref="O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3" s="27" t="str" cm="1">
        <f t="array" ref="P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Table8[جهة العطل]
         ),
         ""
      ),
      IF(_xlpm.result="", "", _xlpm.result)
   )
)</f>
        <v/>
      </c>
      <c r="Q1133" s="27" t="str" cm="1">
        <f t="array" ref="Q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Table8[المركز]
         ),
         ""
      ),
      IF(_xlpm.result="", "", _xlpm.result)
   )
)</f>
        <v/>
      </c>
      <c r="R1133" s="27" t="str" cm="1">
        <f t="array" ref="R1133">IF(
   A1133="",
   "",
   _xlfn.LET(
      _xlpm.result,
      IFERROR(
         _xlfn.XLOOKUP(
            1,
            (Table8[رقم الصنف]=A1133) *
            (IF($B$9="الكل",1, YEAR('ادخال البيانات'!$N$3:$N$1164) = VALUE($B$9))) *
            (IF($B$10="الكل",1, MONTH('ادخال البيانات'!$N$3:$N$1164) = VALUE($B$10))) *
            (IF($B$11="الكل",1, INT((DAY('ادخال البيانات'!$N$3:$N$1164) - 1) / 7) + 1 = VALUE($B$11))),
            Table8[ملاحظة]
         ),
         ""
      ),
      IF(_xlpm.result="", "", _xlpm.result)
   )
)</f>
        <v/>
      </c>
      <c r="S1133" s="46" t="str">
        <f t="shared" ca="1" si="18"/>
        <v/>
      </c>
    </row>
    <row r="1134" spans="1:19" ht="15.6" thickTop="1" thickBot="1" x14ac:dyDescent="0.35">
      <c r="A1134" s="39"/>
      <c r="B1134" s="27" t="str" cm="1">
        <f t="array" ref="B1134">IF(
   OR(A1134="", $B$9="", $B$10="", $B$11=""),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4" s="27" t="str" cm="1">
        <f t="array" ref="C1134">IF(
   A1134="",
   "",
   _xlfn.LET(
      _xlpm.result,
      IFERROR(
         _xlfn.XLOOKUP(
            1,
            (Table8[رقم الصنف]=A1134) *
            (IF($B$9="الكل",1, YEAR('ادخال البيانات'!$N$3:$N$1164) = VALUE($B$9))) *
            (IF($B$10="الكل",1, MONTH('ادخال البيانات'!$N$3:$N$1164) = VALUE($B$10))) *
            (IF($B$11="الكل",1, INT((DAY('ادخال البيانات'!$N$3:$N$1164)-1)/7)+1 = VALUE($B$11))),
            'ادخال البيانات'!$C$3:$C$1164
         ),
         ""
      ),
      IF(_xlpm.result="", "", _xlpm.result)
   )
)</f>
        <v/>
      </c>
      <c r="D1134" s="27" t="str" cm="1">
        <f t="array" ref="D1134">IF(
   OR(A1134="", $B$9="", $B$10="", $B$11=""),
   "",
   _xlfn.LET(
      _xlpm.result,
      IFERROR(
         _xlfn.XLOOKUP(
            1,
            (Table8[رقم الصنف]=A1134) *
            (IF($B$9="الكل",1, YEAR('ادخال البيانات'!$N$3:$N$1164)=VALUE($B$9))) *
            (IF($B$10="الكل",1, MONTH('ادخال البيانات'!$N$3:$N$1164)=VALUE($B$10))) *
            (IF($B$11="الكل",1, INT((DAY('ادخال البيانات'!$N$3:$N$1164)-1)/7)+1 = VALUE($B$11))),
            'ادخال البيانات'!$D$3:$D$1164
         ),
         ""
      ),
      IF(_xlpm.result="", "", _xlpm.result)
   )
)</f>
        <v/>
      </c>
      <c r="E1134" s="27" t="str" cm="1">
        <f t="array" ref="E1134">IF(
   A1134="",
   "",
   _xlfn.LET(
      _xlpm.result,
      IFERROR(
         _xlfn.XLOOKUP(
            1,
            (Table8[رقم الصنف]=A1134) *
            (IF($B$9="الكل",1, YEAR('ادخال البيانات'!$N$3:$N$1164)=VALUE($B$9))) *
            (IF($B$10="الكل",1, MONTH('ادخال البيانات'!$N$3:$N$1164)=VALUE($B$10))) *
            (IF($B$11="الكل",1, INT((DAY('ادخال البيانات'!$N$3:$N$1164)-1)/7)+1 = VALUE($B$11))),
            'ادخال البيانات'!$E$3:$E$1164
         ),
         ""
      ),
      IF(_xlpm.result="", "", _xlpm.result)
   )
)</f>
        <v/>
      </c>
      <c r="F1134" s="27" t="str" cm="1">
        <f t="array" ref="F1134">IF(
   A1134="",
   "",
   _xlfn.LET(
      _xlpm.result,
      IFERROR(
         _xlfn.XLOOKUP(
            1,
            (Table8[رقم الصنف]=A1134) *
            (IF($B$9="الكل",1, YEAR('ادخال البيانات'!$N$3:$N$1164) = VALUE($B$9))) *
            (IF($B$10="الكل",1, MONTH('ادخال البيانات'!$N$3:$N$1164) = VALUE($B$10))) *
            (IF($B$11="الكل",1, INT((DAY('ادخال البيانات'!$N$3:$N$1164)-1)/7)+1 = VALUE($B$11))),
            'ادخال البيانات'!$F$3:$F$1164
         ),
         ""
      ),
      IF(_xlpm.result="", "", _xlpm.result)
   )
)</f>
        <v/>
      </c>
      <c r="G1134" s="27" t="str" cm="1">
        <f t="array" ref="G1134">IF(
   A1134="",
   "",
   _xlfn.LET(
      _xlpm.result,
      IFERROR(
         _xlfn.XLOOKUP(
            1,
            (Table8[رقم الصنف]=A1134) *
            (IF($B$9="الكل",1, YEAR('ادخال البيانات'!$N$3:$N$1164)=VALUE($B$9))) *
            (IF($B$10="الكل",1, MONTH('ادخال البيانات'!$N$3:$N$1164)=VALUE($B$10))) *
            (IF($B$11="الكل",1, INT((DAY('ادخال البيانات'!$N$3:$N$1164)-1)/7)+1 = VALUE($B$11))),
            'ادخال البيانات'!$G$3:$G$1164
         ),
         ""
      ),
      IF(_xlpm.result="", "", _xlpm.result)
   )
)</f>
        <v/>
      </c>
      <c r="H1134" s="27" t="str" cm="1">
        <f t="array" ref="H1134">IF(
   A1134="",
   "",
   _xlfn.LET(
      _xlpm.result,
      IFERROR(
         _xlfn.XLOOKUP(
            1,
            (Table8[رقم الصنف]=A1134) *
            (IF($B$9="الكل",1, YEAR('ادخال البيانات'!$N$3:$N$1164)=VALUE($B$9))) *
            (IF($B$10="الكل",1, MONTH('ادخال البيانات'!$N$3:$N$1164)=VALUE($B$10))) *
            (IF($B$11="الكل",1, INT((DAY('ادخال البيانات'!$N$3:$N$1164)-1)/7)+1 = VALUE($B$11))),
            'ادخال البيانات'!$H$3:$H$1164
         ),
         ""
      ),
      IF(_xlpm.result="", "", _xlpm.result)
   )
)</f>
        <v/>
      </c>
      <c r="I1134" s="27" t="str" cm="1">
        <f t="array" ref="I1134">IF(
   A1134="",
   "",
   _xlfn.LET(
      _xlpm.result,
      IFERROR(
         _xlfn.XLOOKUP(
            1,
            (Table8[رقم الصنف]=A1134) *
            (IF($B$9="الكل",1, YEAR('ادخال البيانات'!$N$3:$N$1164)=VALUE($B$9))) *
            (IF($B$10="الكل",1, MONTH('ادخال البيانات'!$N$3:$N$1164)=VALUE($B$10))) *
            (IF($B$11="الكل",1, INT((DAY('ادخال البيانات'!$N$3:$N$1164)-1)/7)+1 = VALUE($B$11))),
            'ادخال البيانات'!$I$3:$I$1164
         ),
         ""
      ),
      IF(_xlpm.result="", "", _xlpm.result)
   )
)</f>
        <v/>
      </c>
      <c r="J1134" s="27" t="str" cm="1">
        <f t="array" ref="J1134">IF(
   A1134="",
   "",
   _xlfn.LET(
      _xlpm.result,
      IFERROR(
         _xlfn.XLOOKUP(
            1,
            (Table8[رقم الصنف]=A1134) *
            (IF($B$9="الكل",1, YEAR('ادخال البيانات'!$N$3:$N$1164)=VALUE($B$9))) *
            (IF($B$10="الكل",1, MONTH('ادخال البيانات'!$N$3:$N$1164)=VALUE($B$10))) *
            (IF($B$11="الكل",1, INT((DAY('ادخال البيانات'!$N$3:$N$1164)-1)/7)+1 = VALUE($B$11))),
            'ادخال البيانات'!$J$3:$J$1164
         ),
         ""
      ),
      IF(_xlpm.result="", "", _xlpm.result)
   )
)</f>
        <v/>
      </c>
      <c r="K1134" s="27" t="str" cm="1">
        <f t="array" ref="K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4" s="27" t="str" cm="1">
        <f t="array" ref="L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4" s="27" t="str" cm="1">
        <f t="array" ref="M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4" s="28" t="str" cm="1">
        <f t="array" ref="N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4" s="28" t="str" cm="1">
        <f t="array" ref="O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4" s="27" t="str" cm="1">
        <f t="array" ref="P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Table8[جهة العطل]
         ),
         ""
      ),
      IF(_xlpm.result="", "", _xlpm.result)
   )
)</f>
        <v/>
      </c>
      <c r="Q1134" s="27" t="str" cm="1">
        <f t="array" ref="Q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Table8[المركز]
         ),
         ""
      ),
      IF(_xlpm.result="", "", _xlpm.result)
   )
)</f>
        <v/>
      </c>
      <c r="R1134" s="27" t="str" cm="1">
        <f t="array" ref="R1134">IF(
   A1134="",
   "",
   _xlfn.LET(
      _xlpm.result,
      IFERROR(
         _xlfn.XLOOKUP(
            1,
            (Table8[رقم الصنف]=A1134) *
            (IF($B$9="الكل",1, YEAR('ادخال البيانات'!$N$3:$N$1164) = VALUE($B$9))) *
            (IF($B$10="الكل",1, MONTH('ادخال البيانات'!$N$3:$N$1164) = VALUE($B$10))) *
            (IF($B$11="الكل",1, INT((DAY('ادخال البيانات'!$N$3:$N$1164) - 1) / 7) + 1 = VALUE($B$11))),
            Table8[ملاحظة]
         ),
         ""
      ),
      IF(_xlpm.result="", "", _xlpm.result)
   )
)</f>
        <v/>
      </c>
      <c r="S1134" s="46" t="str">
        <f t="shared" ca="1" si="18"/>
        <v/>
      </c>
    </row>
    <row r="1135" spans="1:19" ht="15.6" thickTop="1" thickBot="1" x14ac:dyDescent="0.35">
      <c r="A1135" s="39"/>
      <c r="B1135" s="27" t="str" cm="1">
        <f t="array" ref="B1135">IF(
   OR(A1135="", $B$9="", $B$10="", $B$11=""),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5" s="27" t="str" cm="1">
        <f t="array" ref="C1135">IF(
   A1135="",
   "",
   _xlfn.LET(
      _xlpm.result,
      IFERROR(
         _xlfn.XLOOKUP(
            1,
            (Table8[رقم الصنف]=A1135) *
            (IF($B$9="الكل",1, YEAR('ادخال البيانات'!$N$3:$N$1164) = VALUE($B$9))) *
            (IF($B$10="الكل",1, MONTH('ادخال البيانات'!$N$3:$N$1164) = VALUE($B$10))) *
            (IF($B$11="الكل",1, INT((DAY('ادخال البيانات'!$N$3:$N$1164)-1)/7)+1 = VALUE($B$11))),
            'ادخال البيانات'!$C$3:$C$1164
         ),
         ""
      ),
      IF(_xlpm.result="", "", _xlpm.result)
   )
)</f>
        <v/>
      </c>
      <c r="D1135" s="27" t="str" cm="1">
        <f t="array" ref="D1135">IF(
   OR(A1135="", $B$9="", $B$10="", $B$11=""),
   "",
   _xlfn.LET(
      _xlpm.result,
      IFERROR(
         _xlfn.XLOOKUP(
            1,
            (Table8[رقم الصنف]=A1135) *
            (IF($B$9="الكل",1, YEAR('ادخال البيانات'!$N$3:$N$1164)=VALUE($B$9))) *
            (IF($B$10="الكل",1, MONTH('ادخال البيانات'!$N$3:$N$1164)=VALUE($B$10))) *
            (IF($B$11="الكل",1, INT((DAY('ادخال البيانات'!$N$3:$N$1164)-1)/7)+1 = VALUE($B$11))),
            'ادخال البيانات'!$D$3:$D$1164
         ),
         ""
      ),
      IF(_xlpm.result="", "", _xlpm.result)
   )
)</f>
        <v/>
      </c>
      <c r="E1135" s="27" t="str" cm="1">
        <f t="array" ref="E1135">IF(
   A1135="",
   "",
   _xlfn.LET(
      _xlpm.result,
      IFERROR(
         _xlfn.XLOOKUP(
            1,
            (Table8[رقم الصنف]=A1135) *
            (IF($B$9="الكل",1, YEAR('ادخال البيانات'!$N$3:$N$1164)=VALUE($B$9))) *
            (IF($B$10="الكل",1, MONTH('ادخال البيانات'!$N$3:$N$1164)=VALUE($B$10))) *
            (IF($B$11="الكل",1, INT((DAY('ادخال البيانات'!$N$3:$N$1164)-1)/7)+1 = VALUE($B$11))),
            'ادخال البيانات'!$E$3:$E$1164
         ),
         ""
      ),
      IF(_xlpm.result="", "", _xlpm.result)
   )
)</f>
        <v/>
      </c>
      <c r="F1135" s="27" t="str" cm="1">
        <f t="array" ref="F1135">IF(
   A1135="",
   "",
   _xlfn.LET(
      _xlpm.result,
      IFERROR(
         _xlfn.XLOOKUP(
            1,
            (Table8[رقم الصنف]=A1135) *
            (IF($B$9="الكل",1, YEAR('ادخال البيانات'!$N$3:$N$1164) = VALUE($B$9))) *
            (IF($B$10="الكل",1, MONTH('ادخال البيانات'!$N$3:$N$1164) = VALUE($B$10))) *
            (IF($B$11="الكل",1, INT((DAY('ادخال البيانات'!$N$3:$N$1164)-1)/7)+1 = VALUE($B$11))),
            'ادخال البيانات'!$F$3:$F$1164
         ),
         ""
      ),
      IF(_xlpm.result="", "", _xlpm.result)
   )
)</f>
        <v/>
      </c>
      <c r="G1135" s="27" t="str" cm="1">
        <f t="array" ref="G1135">IF(
   A1135="",
   "",
   _xlfn.LET(
      _xlpm.result,
      IFERROR(
         _xlfn.XLOOKUP(
            1,
            (Table8[رقم الصنف]=A1135) *
            (IF($B$9="الكل",1, YEAR('ادخال البيانات'!$N$3:$N$1164)=VALUE($B$9))) *
            (IF($B$10="الكل",1, MONTH('ادخال البيانات'!$N$3:$N$1164)=VALUE($B$10))) *
            (IF($B$11="الكل",1, INT((DAY('ادخال البيانات'!$N$3:$N$1164)-1)/7)+1 = VALUE($B$11))),
            'ادخال البيانات'!$G$3:$G$1164
         ),
         ""
      ),
      IF(_xlpm.result="", "", _xlpm.result)
   )
)</f>
        <v/>
      </c>
      <c r="H1135" s="27" t="str" cm="1">
        <f t="array" ref="H1135">IF(
   A1135="",
   "",
   _xlfn.LET(
      _xlpm.result,
      IFERROR(
         _xlfn.XLOOKUP(
            1,
            (Table8[رقم الصنف]=A1135) *
            (IF($B$9="الكل",1, YEAR('ادخال البيانات'!$N$3:$N$1164)=VALUE($B$9))) *
            (IF($B$10="الكل",1, MONTH('ادخال البيانات'!$N$3:$N$1164)=VALUE($B$10))) *
            (IF($B$11="الكل",1, INT((DAY('ادخال البيانات'!$N$3:$N$1164)-1)/7)+1 = VALUE($B$11))),
            'ادخال البيانات'!$H$3:$H$1164
         ),
         ""
      ),
      IF(_xlpm.result="", "", _xlpm.result)
   )
)</f>
        <v/>
      </c>
      <c r="I1135" s="27" t="str" cm="1">
        <f t="array" ref="I1135">IF(
   A1135="",
   "",
   _xlfn.LET(
      _xlpm.result,
      IFERROR(
         _xlfn.XLOOKUP(
            1,
            (Table8[رقم الصنف]=A1135) *
            (IF($B$9="الكل",1, YEAR('ادخال البيانات'!$N$3:$N$1164)=VALUE($B$9))) *
            (IF($B$10="الكل",1, MONTH('ادخال البيانات'!$N$3:$N$1164)=VALUE($B$10))) *
            (IF($B$11="الكل",1, INT((DAY('ادخال البيانات'!$N$3:$N$1164)-1)/7)+1 = VALUE($B$11))),
            'ادخال البيانات'!$I$3:$I$1164
         ),
         ""
      ),
      IF(_xlpm.result="", "", _xlpm.result)
   )
)</f>
        <v/>
      </c>
      <c r="J1135" s="27" t="str" cm="1">
        <f t="array" ref="J1135">IF(
   A1135="",
   "",
   _xlfn.LET(
      _xlpm.result,
      IFERROR(
         _xlfn.XLOOKUP(
            1,
            (Table8[رقم الصنف]=A1135) *
            (IF($B$9="الكل",1, YEAR('ادخال البيانات'!$N$3:$N$1164)=VALUE($B$9))) *
            (IF($B$10="الكل",1, MONTH('ادخال البيانات'!$N$3:$N$1164)=VALUE($B$10))) *
            (IF($B$11="الكل",1, INT((DAY('ادخال البيانات'!$N$3:$N$1164)-1)/7)+1 = VALUE($B$11))),
            'ادخال البيانات'!$J$3:$J$1164
         ),
         ""
      ),
      IF(_xlpm.result="", "", _xlpm.result)
   )
)</f>
        <v/>
      </c>
      <c r="K1135" s="27" t="str" cm="1">
        <f t="array" ref="K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5" s="27" t="str" cm="1">
        <f t="array" ref="L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5" s="27" t="str" cm="1">
        <f t="array" ref="M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5" s="28" t="str" cm="1">
        <f t="array" ref="N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5" s="28" t="str" cm="1">
        <f t="array" ref="O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5" s="27" t="str" cm="1">
        <f t="array" ref="P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Table8[جهة العطل]
         ),
         ""
      ),
      IF(_xlpm.result="", "", _xlpm.result)
   )
)</f>
        <v/>
      </c>
      <c r="Q1135" s="27" t="str" cm="1">
        <f t="array" ref="Q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Table8[المركز]
         ),
         ""
      ),
      IF(_xlpm.result="", "", _xlpm.result)
   )
)</f>
        <v/>
      </c>
      <c r="R1135" s="27" t="str" cm="1">
        <f t="array" ref="R1135">IF(
   A1135="",
   "",
   _xlfn.LET(
      _xlpm.result,
      IFERROR(
         _xlfn.XLOOKUP(
            1,
            (Table8[رقم الصنف]=A1135) *
            (IF($B$9="الكل",1, YEAR('ادخال البيانات'!$N$3:$N$1164) = VALUE($B$9))) *
            (IF($B$10="الكل",1, MONTH('ادخال البيانات'!$N$3:$N$1164) = VALUE($B$10))) *
            (IF($B$11="الكل",1, INT((DAY('ادخال البيانات'!$N$3:$N$1164) - 1) / 7) + 1 = VALUE($B$11))),
            Table8[ملاحظة]
         ),
         ""
      ),
      IF(_xlpm.result="", "", _xlpm.result)
   )
)</f>
        <v/>
      </c>
      <c r="S1135" s="46" t="str">
        <f t="shared" ca="1" si="18"/>
        <v/>
      </c>
    </row>
    <row r="1136" spans="1:19" ht="15.6" thickTop="1" thickBot="1" x14ac:dyDescent="0.35">
      <c r="A1136" s="39"/>
      <c r="B1136" s="27" t="str" cm="1">
        <f t="array" ref="B1136">IF(
   OR(A1136="", $B$9="", $B$10="", $B$11=""),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6" s="27" t="str" cm="1">
        <f t="array" ref="C1136">IF(
   A1136="",
   "",
   _xlfn.LET(
      _xlpm.result,
      IFERROR(
         _xlfn.XLOOKUP(
            1,
            (Table8[رقم الصنف]=A1136) *
            (IF($B$9="الكل",1, YEAR('ادخال البيانات'!$N$3:$N$1164) = VALUE($B$9))) *
            (IF($B$10="الكل",1, MONTH('ادخال البيانات'!$N$3:$N$1164) = VALUE($B$10))) *
            (IF($B$11="الكل",1, INT((DAY('ادخال البيانات'!$N$3:$N$1164)-1)/7)+1 = VALUE($B$11))),
            'ادخال البيانات'!$C$3:$C$1164
         ),
         ""
      ),
      IF(_xlpm.result="", "", _xlpm.result)
   )
)</f>
        <v/>
      </c>
      <c r="D1136" s="27" t="str" cm="1">
        <f t="array" ref="D1136">IF(
   OR(A1136="", $B$9="", $B$10="", $B$11=""),
   "",
   _xlfn.LET(
      _xlpm.result,
      IFERROR(
         _xlfn.XLOOKUP(
            1,
            (Table8[رقم الصنف]=A1136) *
            (IF($B$9="الكل",1, YEAR('ادخال البيانات'!$N$3:$N$1164)=VALUE($B$9))) *
            (IF($B$10="الكل",1, MONTH('ادخال البيانات'!$N$3:$N$1164)=VALUE($B$10))) *
            (IF($B$11="الكل",1, INT((DAY('ادخال البيانات'!$N$3:$N$1164)-1)/7)+1 = VALUE($B$11))),
            'ادخال البيانات'!$D$3:$D$1164
         ),
         ""
      ),
      IF(_xlpm.result="", "", _xlpm.result)
   )
)</f>
        <v/>
      </c>
      <c r="E1136" s="27" t="str" cm="1">
        <f t="array" ref="E1136">IF(
   A1136="",
   "",
   _xlfn.LET(
      _xlpm.result,
      IFERROR(
         _xlfn.XLOOKUP(
            1,
            (Table8[رقم الصنف]=A1136) *
            (IF($B$9="الكل",1, YEAR('ادخال البيانات'!$N$3:$N$1164)=VALUE($B$9))) *
            (IF($B$10="الكل",1, MONTH('ادخال البيانات'!$N$3:$N$1164)=VALUE($B$10))) *
            (IF($B$11="الكل",1, INT((DAY('ادخال البيانات'!$N$3:$N$1164)-1)/7)+1 = VALUE($B$11))),
            'ادخال البيانات'!$E$3:$E$1164
         ),
         ""
      ),
      IF(_xlpm.result="", "", _xlpm.result)
   )
)</f>
        <v/>
      </c>
      <c r="F1136" s="27" t="str" cm="1">
        <f t="array" ref="F1136">IF(
   A1136="",
   "",
   _xlfn.LET(
      _xlpm.result,
      IFERROR(
         _xlfn.XLOOKUP(
            1,
            (Table8[رقم الصنف]=A1136) *
            (IF($B$9="الكل",1, YEAR('ادخال البيانات'!$N$3:$N$1164) = VALUE($B$9))) *
            (IF($B$10="الكل",1, MONTH('ادخال البيانات'!$N$3:$N$1164) = VALUE($B$10))) *
            (IF($B$11="الكل",1, INT((DAY('ادخال البيانات'!$N$3:$N$1164)-1)/7)+1 = VALUE($B$11))),
            'ادخال البيانات'!$F$3:$F$1164
         ),
         ""
      ),
      IF(_xlpm.result="", "", _xlpm.result)
   )
)</f>
        <v/>
      </c>
      <c r="G1136" s="27" t="str" cm="1">
        <f t="array" ref="G1136">IF(
   A1136="",
   "",
   _xlfn.LET(
      _xlpm.result,
      IFERROR(
         _xlfn.XLOOKUP(
            1,
            (Table8[رقم الصنف]=A1136) *
            (IF($B$9="الكل",1, YEAR('ادخال البيانات'!$N$3:$N$1164)=VALUE($B$9))) *
            (IF($B$10="الكل",1, MONTH('ادخال البيانات'!$N$3:$N$1164)=VALUE($B$10))) *
            (IF($B$11="الكل",1, INT((DAY('ادخال البيانات'!$N$3:$N$1164)-1)/7)+1 = VALUE($B$11))),
            'ادخال البيانات'!$G$3:$G$1164
         ),
         ""
      ),
      IF(_xlpm.result="", "", _xlpm.result)
   )
)</f>
        <v/>
      </c>
      <c r="H1136" s="27" t="str" cm="1">
        <f t="array" ref="H1136">IF(
   A1136="",
   "",
   _xlfn.LET(
      _xlpm.result,
      IFERROR(
         _xlfn.XLOOKUP(
            1,
            (Table8[رقم الصنف]=A1136) *
            (IF($B$9="الكل",1, YEAR('ادخال البيانات'!$N$3:$N$1164)=VALUE($B$9))) *
            (IF($B$10="الكل",1, MONTH('ادخال البيانات'!$N$3:$N$1164)=VALUE($B$10))) *
            (IF($B$11="الكل",1, INT((DAY('ادخال البيانات'!$N$3:$N$1164)-1)/7)+1 = VALUE($B$11))),
            'ادخال البيانات'!$H$3:$H$1164
         ),
         ""
      ),
      IF(_xlpm.result="", "", _xlpm.result)
   )
)</f>
        <v/>
      </c>
      <c r="I1136" s="27" t="str" cm="1">
        <f t="array" ref="I1136">IF(
   A1136="",
   "",
   _xlfn.LET(
      _xlpm.result,
      IFERROR(
         _xlfn.XLOOKUP(
            1,
            (Table8[رقم الصنف]=A1136) *
            (IF($B$9="الكل",1, YEAR('ادخال البيانات'!$N$3:$N$1164)=VALUE($B$9))) *
            (IF($B$10="الكل",1, MONTH('ادخال البيانات'!$N$3:$N$1164)=VALUE($B$10))) *
            (IF($B$11="الكل",1, INT((DAY('ادخال البيانات'!$N$3:$N$1164)-1)/7)+1 = VALUE($B$11))),
            'ادخال البيانات'!$I$3:$I$1164
         ),
         ""
      ),
      IF(_xlpm.result="", "", _xlpm.result)
   )
)</f>
        <v/>
      </c>
      <c r="J1136" s="27" t="str" cm="1">
        <f t="array" ref="J1136">IF(
   A1136="",
   "",
   _xlfn.LET(
      _xlpm.result,
      IFERROR(
         _xlfn.XLOOKUP(
            1,
            (Table8[رقم الصنف]=A1136) *
            (IF($B$9="الكل",1, YEAR('ادخال البيانات'!$N$3:$N$1164)=VALUE($B$9))) *
            (IF($B$10="الكل",1, MONTH('ادخال البيانات'!$N$3:$N$1164)=VALUE($B$10))) *
            (IF($B$11="الكل",1, INT((DAY('ادخال البيانات'!$N$3:$N$1164)-1)/7)+1 = VALUE($B$11))),
            'ادخال البيانات'!$J$3:$J$1164
         ),
         ""
      ),
      IF(_xlpm.result="", "", _xlpm.result)
   )
)</f>
        <v/>
      </c>
      <c r="K1136" s="27" t="str" cm="1">
        <f t="array" ref="K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6" s="27" t="str" cm="1">
        <f t="array" ref="L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6" s="27" t="str" cm="1">
        <f t="array" ref="M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6" s="28" t="str" cm="1">
        <f t="array" ref="N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6" s="28" t="str" cm="1">
        <f t="array" ref="O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6" s="27" t="str" cm="1">
        <f t="array" ref="P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Table8[جهة العطل]
         ),
         ""
      ),
      IF(_xlpm.result="", "", _xlpm.result)
   )
)</f>
        <v/>
      </c>
      <c r="Q1136" s="27" t="str" cm="1">
        <f t="array" ref="Q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Table8[المركز]
         ),
         ""
      ),
      IF(_xlpm.result="", "", _xlpm.result)
   )
)</f>
        <v/>
      </c>
      <c r="R1136" s="27" t="str" cm="1">
        <f t="array" ref="R1136">IF(
   A1136="",
   "",
   _xlfn.LET(
      _xlpm.result,
      IFERROR(
         _xlfn.XLOOKUP(
            1,
            (Table8[رقم الصنف]=A1136) *
            (IF($B$9="الكل",1, YEAR('ادخال البيانات'!$N$3:$N$1164) = VALUE($B$9))) *
            (IF($B$10="الكل",1, MONTH('ادخال البيانات'!$N$3:$N$1164) = VALUE($B$10))) *
            (IF($B$11="الكل",1, INT((DAY('ادخال البيانات'!$N$3:$N$1164) - 1) / 7) + 1 = VALUE($B$11))),
            Table8[ملاحظة]
         ),
         ""
      ),
      IF(_xlpm.result="", "", _xlpm.result)
   )
)</f>
        <v/>
      </c>
      <c r="S1136" s="46" t="str">
        <f t="shared" ca="1" si="18"/>
        <v/>
      </c>
    </row>
    <row r="1137" spans="1:19" ht="15.6" thickTop="1" thickBot="1" x14ac:dyDescent="0.35">
      <c r="A1137" s="39"/>
      <c r="B1137" s="27" t="str" cm="1">
        <f t="array" ref="B1137">IF(
   OR(A1137="", $B$9="", $B$10="", $B$11=""),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7" s="27" t="str" cm="1">
        <f t="array" ref="C1137">IF(
   A1137="",
   "",
   _xlfn.LET(
      _xlpm.result,
      IFERROR(
         _xlfn.XLOOKUP(
            1,
            (Table8[رقم الصنف]=A1137) *
            (IF($B$9="الكل",1, YEAR('ادخال البيانات'!$N$3:$N$1164) = VALUE($B$9))) *
            (IF($B$10="الكل",1, MONTH('ادخال البيانات'!$N$3:$N$1164) = VALUE($B$10))) *
            (IF($B$11="الكل",1, INT((DAY('ادخال البيانات'!$N$3:$N$1164)-1)/7)+1 = VALUE($B$11))),
            'ادخال البيانات'!$C$3:$C$1164
         ),
         ""
      ),
      IF(_xlpm.result="", "", _xlpm.result)
   )
)</f>
        <v/>
      </c>
      <c r="D1137" s="27" t="str" cm="1">
        <f t="array" ref="D1137">IF(
   OR(A1137="", $B$9="", $B$10="", $B$11=""),
   "",
   _xlfn.LET(
      _xlpm.result,
      IFERROR(
         _xlfn.XLOOKUP(
            1,
            (Table8[رقم الصنف]=A1137) *
            (IF($B$9="الكل",1, YEAR('ادخال البيانات'!$N$3:$N$1164)=VALUE($B$9))) *
            (IF($B$10="الكل",1, MONTH('ادخال البيانات'!$N$3:$N$1164)=VALUE($B$10))) *
            (IF($B$11="الكل",1, INT((DAY('ادخال البيانات'!$N$3:$N$1164)-1)/7)+1 = VALUE($B$11))),
            'ادخال البيانات'!$D$3:$D$1164
         ),
         ""
      ),
      IF(_xlpm.result="", "", _xlpm.result)
   )
)</f>
        <v/>
      </c>
      <c r="E1137" s="27" t="str" cm="1">
        <f t="array" ref="E1137">IF(
   A1137="",
   "",
   _xlfn.LET(
      _xlpm.result,
      IFERROR(
         _xlfn.XLOOKUP(
            1,
            (Table8[رقم الصنف]=A1137) *
            (IF($B$9="الكل",1, YEAR('ادخال البيانات'!$N$3:$N$1164)=VALUE($B$9))) *
            (IF($B$10="الكل",1, MONTH('ادخال البيانات'!$N$3:$N$1164)=VALUE($B$10))) *
            (IF($B$11="الكل",1, INT((DAY('ادخال البيانات'!$N$3:$N$1164)-1)/7)+1 = VALUE($B$11))),
            'ادخال البيانات'!$E$3:$E$1164
         ),
         ""
      ),
      IF(_xlpm.result="", "", _xlpm.result)
   )
)</f>
        <v/>
      </c>
      <c r="F1137" s="27" t="str" cm="1">
        <f t="array" ref="F1137">IF(
   A1137="",
   "",
   _xlfn.LET(
      _xlpm.result,
      IFERROR(
         _xlfn.XLOOKUP(
            1,
            (Table8[رقم الصنف]=A1137) *
            (IF($B$9="الكل",1, YEAR('ادخال البيانات'!$N$3:$N$1164) = VALUE($B$9))) *
            (IF($B$10="الكل",1, MONTH('ادخال البيانات'!$N$3:$N$1164) = VALUE($B$10))) *
            (IF($B$11="الكل",1, INT((DAY('ادخال البيانات'!$N$3:$N$1164)-1)/7)+1 = VALUE($B$11))),
            'ادخال البيانات'!$F$3:$F$1164
         ),
         ""
      ),
      IF(_xlpm.result="", "", _xlpm.result)
   )
)</f>
        <v/>
      </c>
      <c r="G1137" s="27" t="str" cm="1">
        <f t="array" ref="G1137">IF(
   A1137="",
   "",
   _xlfn.LET(
      _xlpm.result,
      IFERROR(
         _xlfn.XLOOKUP(
            1,
            (Table8[رقم الصنف]=A1137) *
            (IF($B$9="الكل",1, YEAR('ادخال البيانات'!$N$3:$N$1164)=VALUE($B$9))) *
            (IF($B$10="الكل",1, MONTH('ادخال البيانات'!$N$3:$N$1164)=VALUE($B$10))) *
            (IF($B$11="الكل",1, INT((DAY('ادخال البيانات'!$N$3:$N$1164)-1)/7)+1 = VALUE($B$11))),
            'ادخال البيانات'!$G$3:$G$1164
         ),
         ""
      ),
      IF(_xlpm.result="", "", _xlpm.result)
   )
)</f>
        <v/>
      </c>
      <c r="H1137" s="27" t="str" cm="1">
        <f t="array" ref="H1137">IF(
   A1137="",
   "",
   _xlfn.LET(
      _xlpm.result,
      IFERROR(
         _xlfn.XLOOKUP(
            1,
            (Table8[رقم الصنف]=A1137) *
            (IF($B$9="الكل",1, YEAR('ادخال البيانات'!$N$3:$N$1164)=VALUE($B$9))) *
            (IF($B$10="الكل",1, MONTH('ادخال البيانات'!$N$3:$N$1164)=VALUE($B$10))) *
            (IF($B$11="الكل",1, INT((DAY('ادخال البيانات'!$N$3:$N$1164)-1)/7)+1 = VALUE($B$11))),
            'ادخال البيانات'!$H$3:$H$1164
         ),
         ""
      ),
      IF(_xlpm.result="", "", _xlpm.result)
   )
)</f>
        <v/>
      </c>
      <c r="I1137" s="27" t="str" cm="1">
        <f t="array" ref="I1137">IF(
   A1137="",
   "",
   _xlfn.LET(
      _xlpm.result,
      IFERROR(
         _xlfn.XLOOKUP(
            1,
            (Table8[رقم الصنف]=A1137) *
            (IF($B$9="الكل",1, YEAR('ادخال البيانات'!$N$3:$N$1164)=VALUE($B$9))) *
            (IF($B$10="الكل",1, MONTH('ادخال البيانات'!$N$3:$N$1164)=VALUE($B$10))) *
            (IF($B$11="الكل",1, INT((DAY('ادخال البيانات'!$N$3:$N$1164)-1)/7)+1 = VALUE($B$11))),
            'ادخال البيانات'!$I$3:$I$1164
         ),
         ""
      ),
      IF(_xlpm.result="", "", _xlpm.result)
   )
)</f>
        <v/>
      </c>
      <c r="J1137" s="27" t="str" cm="1">
        <f t="array" ref="J1137">IF(
   A1137="",
   "",
   _xlfn.LET(
      _xlpm.result,
      IFERROR(
         _xlfn.XLOOKUP(
            1,
            (Table8[رقم الصنف]=A1137) *
            (IF($B$9="الكل",1, YEAR('ادخال البيانات'!$N$3:$N$1164)=VALUE($B$9))) *
            (IF($B$10="الكل",1, MONTH('ادخال البيانات'!$N$3:$N$1164)=VALUE($B$10))) *
            (IF($B$11="الكل",1, INT((DAY('ادخال البيانات'!$N$3:$N$1164)-1)/7)+1 = VALUE($B$11))),
            'ادخال البيانات'!$J$3:$J$1164
         ),
         ""
      ),
      IF(_xlpm.result="", "", _xlpm.result)
   )
)</f>
        <v/>
      </c>
      <c r="K1137" s="27" t="str" cm="1">
        <f t="array" ref="K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7" s="27" t="str" cm="1">
        <f t="array" ref="L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7" s="27" t="str" cm="1">
        <f t="array" ref="M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7" s="28" t="str" cm="1">
        <f t="array" ref="N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7" s="28" t="str" cm="1">
        <f t="array" ref="O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7" s="27" t="str" cm="1">
        <f t="array" ref="P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Table8[جهة العطل]
         ),
         ""
      ),
      IF(_xlpm.result="", "", _xlpm.result)
   )
)</f>
        <v/>
      </c>
      <c r="Q1137" s="27" t="str" cm="1">
        <f t="array" ref="Q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Table8[المركز]
         ),
         ""
      ),
      IF(_xlpm.result="", "", _xlpm.result)
   )
)</f>
        <v/>
      </c>
      <c r="R1137" s="27" t="str" cm="1">
        <f t="array" ref="R1137">IF(
   A1137="",
   "",
   _xlfn.LET(
      _xlpm.result,
      IFERROR(
         _xlfn.XLOOKUP(
            1,
            (Table8[رقم الصنف]=A1137) *
            (IF($B$9="الكل",1, YEAR('ادخال البيانات'!$N$3:$N$1164) = VALUE($B$9))) *
            (IF($B$10="الكل",1, MONTH('ادخال البيانات'!$N$3:$N$1164) = VALUE($B$10))) *
            (IF($B$11="الكل",1, INT((DAY('ادخال البيانات'!$N$3:$N$1164) - 1) / 7) + 1 = VALUE($B$11))),
            Table8[ملاحظة]
         ),
         ""
      ),
      IF(_xlpm.result="", "", _xlpm.result)
   )
)</f>
        <v/>
      </c>
      <c r="S1137" s="46" t="str">
        <f t="shared" ca="1" si="18"/>
        <v/>
      </c>
    </row>
    <row r="1138" spans="1:19" ht="15.6" thickTop="1" thickBot="1" x14ac:dyDescent="0.35">
      <c r="A1138" s="39"/>
      <c r="B1138" s="27" t="str" cm="1">
        <f t="array" ref="B1138">IF(
   OR(A1138="", $B$9="", $B$10="", $B$11=""),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8" s="27" t="str" cm="1">
        <f t="array" ref="C1138">IF(
   A1138="",
   "",
   _xlfn.LET(
      _xlpm.result,
      IFERROR(
         _xlfn.XLOOKUP(
            1,
            (Table8[رقم الصنف]=A1138) *
            (IF($B$9="الكل",1, YEAR('ادخال البيانات'!$N$3:$N$1164) = VALUE($B$9))) *
            (IF($B$10="الكل",1, MONTH('ادخال البيانات'!$N$3:$N$1164) = VALUE($B$10))) *
            (IF($B$11="الكل",1, INT((DAY('ادخال البيانات'!$N$3:$N$1164)-1)/7)+1 = VALUE($B$11))),
            'ادخال البيانات'!$C$3:$C$1164
         ),
         ""
      ),
      IF(_xlpm.result="", "", _xlpm.result)
   )
)</f>
        <v/>
      </c>
      <c r="D1138" s="27" t="str" cm="1">
        <f t="array" ref="D1138">IF(
   OR(A1138="", $B$9="", $B$10="", $B$11=""),
   "",
   _xlfn.LET(
      _xlpm.result,
      IFERROR(
         _xlfn.XLOOKUP(
            1,
            (Table8[رقم الصنف]=A1138) *
            (IF($B$9="الكل",1, YEAR('ادخال البيانات'!$N$3:$N$1164)=VALUE($B$9))) *
            (IF($B$10="الكل",1, MONTH('ادخال البيانات'!$N$3:$N$1164)=VALUE($B$10))) *
            (IF($B$11="الكل",1, INT((DAY('ادخال البيانات'!$N$3:$N$1164)-1)/7)+1 = VALUE($B$11))),
            'ادخال البيانات'!$D$3:$D$1164
         ),
         ""
      ),
      IF(_xlpm.result="", "", _xlpm.result)
   )
)</f>
        <v/>
      </c>
      <c r="E1138" s="27" t="str" cm="1">
        <f t="array" ref="E1138">IF(
   A1138="",
   "",
   _xlfn.LET(
      _xlpm.result,
      IFERROR(
         _xlfn.XLOOKUP(
            1,
            (Table8[رقم الصنف]=A1138) *
            (IF($B$9="الكل",1, YEAR('ادخال البيانات'!$N$3:$N$1164)=VALUE($B$9))) *
            (IF($B$10="الكل",1, MONTH('ادخال البيانات'!$N$3:$N$1164)=VALUE($B$10))) *
            (IF($B$11="الكل",1, INT((DAY('ادخال البيانات'!$N$3:$N$1164)-1)/7)+1 = VALUE($B$11))),
            'ادخال البيانات'!$E$3:$E$1164
         ),
         ""
      ),
      IF(_xlpm.result="", "", _xlpm.result)
   )
)</f>
        <v/>
      </c>
      <c r="F1138" s="27" t="str" cm="1">
        <f t="array" ref="F1138">IF(
   A1138="",
   "",
   _xlfn.LET(
      _xlpm.result,
      IFERROR(
         _xlfn.XLOOKUP(
            1,
            (Table8[رقم الصنف]=A1138) *
            (IF($B$9="الكل",1, YEAR('ادخال البيانات'!$N$3:$N$1164) = VALUE($B$9))) *
            (IF($B$10="الكل",1, MONTH('ادخال البيانات'!$N$3:$N$1164) = VALUE($B$10))) *
            (IF($B$11="الكل",1, INT((DAY('ادخال البيانات'!$N$3:$N$1164)-1)/7)+1 = VALUE($B$11))),
            'ادخال البيانات'!$F$3:$F$1164
         ),
         ""
      ),
      IF(_xlpm.result="", "", _xlpm.result)
   )
)</f>
        <v/>
      </c>
      <c r="G1138" s="27" t="str" cm="1">
        <f t="array" ref="G1138">IF(
   A1138="",
   "",
   _xlfn.LET(
      _xlpm.result,
      IFERROR(
         _xlfn.XLOOKUP(
            1,
            (Table8[رقم الصنف]=A1138) *
            (IF($B$9="الكل",1, YEAR('ادخال البيانات'!$N$3:$N$1164)=VALUE($B$9))) *
            (IF($B$10="الكل",1, MONTH('ادخال البيانات'!$N$3:$N$1164)=VALUE($B$10))) *
            (IF($B$11="الكل",1, INT((DAY('ادخال البيانات'!$N$3:$N$1164)-1)/7)+1 = VALUE($B$11))),
            'ادخال البيانات'!$G$3:$G$1164
         ),
         ""
      ),
      IF(_xlpm.result="", "", _xlpm.result)
   )
)</f>
        <v/>
      </c>
      <c r="H1138" s="27" t="str" cm="1">
        <f t="array" ref="H1138">IF(
   A1138="",
   "",
   _xlfn.LET(
      _xlpm.result,
      IFERROR(
         _xlfn.XLOOKUP(
            1,
            (Table8[رقم الصنف]=A1138) *
            (IF($B$9="الكل",1, YEAR('ادخال البيانات'!$N$3:$N$1164)=VALUE($B$9))) *
            (IF($B$10="الكل",1, MONTH('ادخال البيانات'!$N$3:$N$1164)=VALUE($B$10))) *
            (IF($B$11="الكل",1, INT((DAY('ادخال البيانات'!$N$3:$N$1164)-1)/7)+1 = VALUE($B$11))),
            'ادخال البيانات'!$H$3:$H$1164
         ),
         ""
      ),
      IF(_xlpm.result="", "", _xlpm.result)
   )
)</f>
        <v/>
      </c>
      <c r="I1138" s="27" t="str" cm="1">
        <f t="array" ref="I1138">IF(
   A1138="",
   "",
   _xlfn.LET(
      _xlpm.result,
      IFERROR(
         _xlfn.XLOOKUP(
            1,
            (Table8[رقم الصنف]=A1138) *
            (IF($B$9="الكل",1, YEAR('ادخال البيانات'!$N$3:$N$1164)=VALUE($B$9))) *
            (IF($B$10="الكل",1, MONTH('ادخال البيانات'!$N$3:$N$1164)=VALUE($B$10))) *
            (IF($B$11="الكل",1, INT((DAY('ادخال البيانات'!$N$3:$N$1164)-1)/7)+1 = VALUE($B$11))),
            'ادخال البيانات'!$I$3:$I$1164
         ),
         ""
      ),
      IF(_xlpm.result="", "", _xlpm.result)
   )
)</f>
        <v/>
      </c>
      <c r="J1138" s="27" t="str" cm="1">
        <f t="array" ref="J1138">IF(
   A1138="",
   "",
   _xlfn.LET(
      _xlpm.result,
      IFERROR(
         _xlfn.XLOOKUP(
            1,
            (Table8[رقم الصنف]=A1138) *
            (IF($B$9="الكل",1, YEAR('ادخال البيانات'!$N$3:$N$1164)=VALUE($B$9))) *
            (IF($B$10="الكل",1, MONTH('ادخال البيانات'!$N$3:$N$1164)=VALUE($B$10))) *
            (IF($B$11="الكل",1, INT((DAY('ادخال البيانات'!$N$3:$N$1164)-1)/7)+1 = VALUE($B$11))),
            'ادخال البيانات'!$J$3:$J$1164
         ),
         ""
      ),
      IF(_xlpm.result="", "", _xlpm.result)
   )
)</f>
        <v/>
      </c>
      <c r="K1138" s="27" t="str" cm="1">
        <f t="array" ref="K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8" s="27" t="str" cm="1">
        <f t="array" ref="L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8" s="27" t="str" cm="1">
        <f t="array" ref="M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8" s="28" t="str" cm="1">
        <f t="array" ref="N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8" s="28" t="str" cm="1">
        <f t="array" ref="O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8" s="27" t="str" cm="1">
        <f t="array" ref="P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Table8[جهة العطل]
         ),
         ""
      ),
      IF(_xlpm.result="", "", _xlpm.result)
   )
)</f>
        <v/>
      </c>
      <c r="Q1138" s="27" t="str" cm="1">
        <f t="array" ref="Q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Table8[المركز]
         ),
         ""
      ),
      IF(_xlpm.result="", "", _xlpm.result)
   )
)</f>
        <v/>
      </c>
      <c r="R1138" s="27" t="str" cm="1">
        <f t="array" ref="R1138">IF(
   A1138="",
   "",
   _xlfn.LET(
      _xlpm.result,
      IFERROR(
         _xlfn.XLOOKUP(
            1,
            (Table8[رقم الصنف]=A1138) *
            (IF($B$9="الكل",1, YEAR('ادخال البيانات'!$N$3:$N$1164) = VALUE($B$9))) *
            (IF($B$10="الكل",1, MONTH('ادخال البيانات'!$N$3:$N$1164) = VALUE($B$10))) *
            (IF($B$11="الكل",1, INT((DAY('ادخال البيانات'!$N$3:$N$1164) - 1) / 7) + 1 = VALUE($B$11))),
            Table8[ملاحظة]
         ),
         ""
      ),
      IF(_xlpm.result="", "", _xlpm.result)
   )
)</f>
        <v/>
      </c>
      <c r="S1138" s="46" t="str">
        <f t="shared" ca="1" si="18"/>
        <v/>
      </c>
    </row>
    <row r="1139" spans="1:19" ht="15.6" thickTop="1" thickBot="1" x14ac:dyDescent="0.35">
      <c r="A1139" s="39"/>
      <c r="B1139" s="27" t="str" cm="1">
        <f t="array" ref="B1139">IF(
   OR(A1139="", $B$9="", $B$10="", $B$11=""),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39" s="27" t="str" cm="1">
        <f t="array" ref="C1139">IF(
   A1139="",
   "",
   _xlfn.LET(
      _xlpm.result,
      IFERROR(
         _xlfn.XLOOKUP(
            1,
            (Table8[رقم الصنف]=A1139) *
            (IF($B$9="الكل",1, YEAR('ادخال البيانات'!$N$3:$N$1164) = VALUE($B$9))) *
            (IF($B$10="الكل",1, MONTH('ادخال البيانات'!$N$3:$N$1164) = VALUE($B$10))) *
            (IF($B$11="الكل",1, INT((DAY('ادخال البيانات'!$N$3:$N$1164)-1)/7)+1 = VALUE($B$11))),
            'ادخال البيانات'!$C$3:$C$1164
         ),
         ""
      ),
      IF(_xlpm.result="", "", _xlpm.result)
   )
)</f>
        <v/>
      </c>
      <c r="D1139" s="27" t="str" cm="1">
        <f t="array" ref="D1139">IF(
   OR(A1139="", $B$9="", $B$10="", $B$11=""),
   "",
   _xlfn.LET(
      _xlpm.result,
      IFERROR(
         _xlfn.XLOOKUP(
            1,
            (Table8[رقم الصنف]=A1139) *
            (IF($B$9="الكل",1, YEAR('ادخال البيانات'!$N$3:$N$1164)=VALUE($B$9))) *
            (IF($B$10="الكل",1, MONTH('ادخال البيانات'!$N$3:$N$1164)=VALUE($B$10))) *
            (IF($B$11="الكل",1, INT((DAY('ادخال البيانات'!$N$3:$N$1164)-1)/7)+1 = VALUE($B$11))),
            'ادخال البيانات'!$D$3:$D$1164
         ),
         ""
      ),
      IF(_xlpm.result="", "", _xlpm.result)
   )
)</f>
        <v/>
      </c>
      <c r="E1139" s="27" t="str" cm="1">
        <f t="array" ref="E1139">IF(
   A1139="",
   "",
   _xlfn.LET(
      _xlpm.result,
      IFERROR(
         _xlfn.XLOOKUP(
            1,
            (Table8[رقم الصنف]=A1139) *
            (IF($B$9="الكل",1, YEAR('ادخال البيانات'!$N$3:$N$1164)=VALUE($B$9))) *
            (IF($B$10="الكل",1, MONTH('ادخال البيانات'!$N$3:$N$1164)=VALUE($B$10))) *
            (IF($B$11="الكل",1, INT((DAY('ادخال البيانات'!$N$3:$N$1164)-1)/7)+1 = VALUE($B$11))),
            'ادخال البيانات'!$E$3:$E$1164
         ),
         ""
      ),
      IF(_xlpm.result="", "", _xlpm.result)
   )
)</f>
        <v/>
      </c>
      <c r="F1139" s="27" t="str" cm="1">
        <f t="array" ref="F1139">IF(
   A1139="",
   "",
   _xlfn.LET(
      _xlpm.result,
      IFERROR(
         _xlfn.XLOOKUP(
            1,
            (Table8[رقم الصنف]=A1139) *
            (IF($B$9="الكل",1, YEAR('ادخال البيانات'!$N$3:$N$1164) = VALUE($B$9))) *
            (IF($B$10="الكل",1, MONTH('ادخال البيانات'!$N$3:$N$1164) = VALUE($B$10))) *
            (IF($B$11="الكل",1, INT((DAY('ادخال البيانات'!$N$3:$N$1164)-1)/7)+1 = VALUE($B$11))),
            'ادخال البيانات'!$F$3:$F$1164
         ),
         ""
      ),
      IF(_xlpm.result="", "", _xlpm.result)
   )
)</f>
        <v/>
      </c>
      <c r="G1139" s="27" t="str" cm="1">
        <f t="array" ref="G1139">IF(
   A1139="",
   "",
   _xlfn.LET(
      _xlpm.result,
      IFERROR(
         _xlfn.XLOOKUP(
            1,
            (Table8[رقم الصنف]=A1139) *
            (IF($B$9="الكل",1, YEAR('ادخال البيانات'!$N$3:$N$1164)=VALUE($B$9))) *
            (IF($B$10="الكل",1, MONTH('ادخال البيانات'!$N$3:$N$1164)=VALUE($B$10))) *
            (IF($B$11="الكل",1, INT((DAY('ادخال البيانات'!$N$3:$N$1164)-1)/7)+1 = VALUE($B$11))),
            'ادخال البيانات'!$G$3:$G$1164
         ),
         ""
      ),
      IF(_xlpm.result="", "", _xlpm.result)
   )
)</f>
        <v/>
      </c>
      <c r="H1139" s="27" t="str" cm="1">
        <f t="array" ref="H1139">IF(
   A1139="",
   "",
   _xlfn.LET(
      _xlpm.result,
      IFERROR(
         _xlfn.XLOOKUP(
            1,
            (Table8[رقم الصنف]=A1139) *
            (IF($B$9="الكل",1, YEAR('ادخال البيانات'!$N$3:$N$1164)=VALUE($B$9))) *
            (IF($B$10="الكل",1, MONTH('ادخال البيانات'!$N$3:$N$1164)=VALUE($B$10))) *
            (IF($B$11="الكل",1, INT((DAY('ادخال البيانات'!$N$3:$N$1164)-1)/7)+1 = VALUE($B$11))),
            'ادخال البيانات'!$H$3:$H$1164
         ),
         ""
      ),
      IF(_xlpm.result="", "", _xlpm.result)
   )
)</f>
        <v/>
      </c>
      <c r="I1139" s="27" t="str" cm="1">
        <f t="array" ref="I1139">IF(
   A1139="",
   "",
   _xlfn.LET(
      _xlpm.result,
      IFERROR(
         _xlfn.XLOOKUP(
            1,
            (Table8[رقم الصنف]=A1139) *
            (IF($B$9="الكل",1, YEAR('ادخال البيانات'!$N$3:$N$1164)=VALUE($B$9))) *
            (IF($B$10="الكل",1, MONTH('ادخال البيانات'!$N$3:$N$1164)=VALUE($B$10))) *
            (IF($B$11="الكل",1, INT((DAY('ادخال البيانات'!$N$3:$N$1164)-1)/7)+1 = VALUE($B$11))),
            'ادخال البيانات'!$I$3:$I$1164
         ),
         ""
      ),
      IF(_xlpm.result="", "", _xlpm.result)
   )
)</f>
        <v/>
      </c>
      <c r="J1139" s="27" t="str" cm="1">
        <f t="array" ref="J1139">IF(
   A1139="",
   "",
   _xlfn.LET(
      _xlpm.result,
      IFERROR(
         _xlfn.XLOOKUP(
            1,
            (Table8[رقم الصنف]=A1139) *
            (IF($B$9="الكل",1, YEAR('ادخال البيانات'!$N$3:$N$1164)=VALUE($B$9))) *
            (IF($B$10="الكل",1, MONTH('ادخال البيانات'!$N$3:$N$1164)=VALUE($B$10))) *
            (IF($B$11="الكل",1, INT((DAY('ادخال البيانات'!$N$3:$N$1164)-1)/7)+1 = VALUE($B$11))),
            'ادخال البيانات'!$J$3:$J$1164
         ),
         ""
      ),
      IF(_xlpm.result="", "", _xlpm.result)
   )
)</f>
        <v/>
      </c>
      <c r="K1139" s="27" t="str" cm="1">
        <f t="array" ref="K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39" s="27" t="str" cm="1">
        <f t="array" ref="L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39" s="27" t="str" cm="1">
        <f t="array" ref="M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39" s="28" t="str" cm="1">
        <f t="array" ref="N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39" s="28" t="str" cm="1">
        <f t="array" ref="O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39" s="27" t="str" cm="1">
        <f t="array" ref="P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Table8[جهة العطل]
         ),
         ""
      ),
      IF(_xlpm.result="", "", _xlpm.result)
   )
)</f>
        <v/>
      </c>
      <c r="Q1139" s="27" t="str" cm="1">
        <f t="array" ref="Q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Table8[المركز]
         ),
         ""
      ),
      IF(_xlpm.result="", "", _xlpm.result)
   )
)</f>
        <v/>
      </c>
      <c r="R1139" s="27" t="str" cm="1">
        <f t="array" ref="R1139">IF(
   A1139="",
   "",
   _xlfn.LET(
      _xlpm.result,
      IFERROR(
         _xlfn.XLOOKUP(
            1,
            (Table8[رقم الصنف]=A1139) *
            (IF($B$9="الكل",1, YEAR('ادخال البيانات'!$N$3:$N$1164) = VALUE($B$9))) *
            (IF($B$10="الكل",1, MONTH('ادخال البيانات'!$N$3:$N$1164) = VALUE($B$10))) *
            (IF($B$11="الكل",1, INT((DAY('ادخال البيانات'!$N$3:$N$1164) - 1) / 7) + 1 = VALUE($B$11))),
            Table8[ملاحظة]
         ),
         ""
      ),
      IF(_xlpm.result="", "", _xlpm.result)
   )
)</f>
        <v/>
      </c>
      <c r="S1139" s="46" t="str">
        <f t="shared" ca="1" si="18"/>
        <v/>
      </c>
    </row>
    <row r="1140" spans="1:19" ht="15.6" thickTop="1" thickBot="1" x14ac:dyDescent="0.35">
      <c r="A1140" s="39"/>
      <c r="B1140" s="27" t="str" cm="1">
        <f t="array" ref="B1140">IF(
   OR(A1140="", $B$9="", $B$10="", $B$11=""),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0" s="27" t="str" cm="1">
        <f t="array" ref="C1140">IF(
   A1140="",
   "",
   _xlfn.LET(
      _xlpm.result,
      IFERROR(
         _xlfn.XLOOKUP(
            1,
            (Table8[رقم الصنف]=A1140) *
            (IF($B$9="الكل",1, YEAR('ادخال البيانات'!$N$3:$N$1164) = VALUE($B$9))) *
            (IF($B$10="الكل",1, MONTH('ادخال البيانات'!$N$3:$N$1164) = VALUE($B$10))) *
            (IF($B$11="الكل",1, INT((DAY('ادخال البيانات'!$N$3:$N$1164)-1)/7)+1 = VALUE($B$11))),
            'ادخال البيانات'!$C$3:$C$1164
         ),
         ""
      ),
      IF(_xlpm.result="", "", _xlpm.result)
   )
)</f>
        <v/>
      </c>
      <c r="D1140" s="27" t="str" cm="1">
        <f t="array" ref="D1140">IF(
   OR(A1140="", $B$9="", $B$10="", $B$11=""),
   "",
   _xlfn.LET(
      _xlpm.result,
      IFERROR(
         _xlfn.XLOOKUP(
            1,
            (Table8[رقم الصنف]=A1140) *
            (IF($B$9="الكل",1, YEAR('ادخال البيانات'!$N$3:$N$1164)=VALUE($B$9))) *
            (IF($B$10="الكل",1, MONTH('ادخال البيانات'!$N$3:$N$1164)=VALUE($B$10))) *
            (IF($B$11="الكل",1, INT((DAY('ادخال البيانات'!$N$3:$N$1164)-1)/7)+1 = VALUE($B$11))),
            'ادخال البيانات'!$D$3:$D$1164
         ),
         ""
      ),
      IF(_xlpm.result="", "", _xlpm.result)
   )
)</f>
        <v/>
      </c>
      <c r="E1140" s="27" t="str" cm="1">
        <f t="array" ref="E1140">IF(
   A1140="",
   "",
   _xlfn.LET(
      _xlpm.result,
      IFERROR(
         _xlfn.XLOOKUP(
            1,
            (Table8[رقم الصنف]=A1140) *
            (IF($B$9="الكل",1, YEAR('ادخال البيانات'!$N$3:$N$1164)=VALUE($B$9))) *
            (IF($B$10="الكل",1, MONTH('ادخال البيانات'!$N$3:$N$1164)=VALUE($B$10))) *
            (IF($B$11="الكل",1, INT((DAY('ادخال البيانات'!$N$3:$N$1164)-1)/7)+1 = VALUE($B$11))),
            'ادخال البيانات'!$E$3:$E$1164
         ),
         ""
      ),
      IF(_xlpm.result="", "", _xlpm.result)
   )
)</f>
        <v/>
      </c>
      <c r="F1140" s="27" t="str" cm="1">
        <f t="array" ref="F1140">IF(
   A1140="",
   "",
   _xlfn.LET(
      _xlpm.result,
      IFERROR(
         _xlfn.XLOOKUP(
            1,
            (Table8[رقم الصنف]=A1140) *
            (IF($B$9="الكل",1, YEAR('ادخال البيانات'!$N$3:$N$1164) = VALUE($B$9))) *
            (IF($B$10="الكل",1, MONTH('ادخال البيانات'!$N$3:$N$1164) = VALUE($B$10))) *
            (IF($B$11="الكل",1, INT((DAY('ادخال البيانات'!$N$3:$N$1164)-1)/7)+1 = VALUE($B$11))),
            'ادخال البيانات'!$F$3:$F$1164
         ),
         ""
      ),
      IF(_xlpm.result="", "", _xlpm.result)
   )
)</f>
        <v/>
      </c>
      <c r="G1140" s="27" t="str" cm="1">
        <f t="array" ref="G1140">IF(
   A1140="",
   "",
   _xlfn.LET(
      _xlpm.result,
      IFERROR(
         _xlfn.XLOOKUP(
            1,
            (Table8[رقم الصنف]=A1140) *
            (IF($B$9="الكل",1, YEAR('ادخال البيانات'!$N$3:$N$1164)=VALUE($B$9))) *
            (IF($B$10="الكل",1, MONTH('ادخال البيانات'!$N$3:$N$1164)=VALUE($B$10))) *
            (IF($B$11="الكل",1, INT((DAY('ادخال البيانات'!$N$3:$N$1164)-1)/7)+1 = VALUE($B$11))),
            'ادخال البيانات'!$G$3:$G$1164
         ),
         ""
      ),
      IF(_xlpm.result="", "", _xlpm.result)
   )
)</f>
        <v/>
      </c>
      <c r="H1140" s="27" t="str" cm="1">
        <f t="array" ref="H1140">IF(
   A1140="",
   "",
   _xlfn.LET(
      _xlpm.result,
      IFERROR(
         _xlfn.XLOOKUP(
            1,
            (Table8[رقم الصنف]=A1140) *
            (IF($B$9="الكل",1, YEAR('ادخال البيانات'!$N$3:$N$1164)=VALUE($B$9))) *
            (IF($B$10="الكل",1, MONTH('ادخال البيانات'!$N$3:$N$1164)=VALUE($B$10))) *
            (IF($B$11="الكل",1, INT((DAY('ادخال البيانات'!$N$3:$N$1164)-1)/7)+1 = VALUE($B$11))),
            'ادخال البيانات'!$H$3:$H$1164
         ),
         ""
      ),
      IF(_xlpm.result="", "", _xlpm.result)
   )
)</f>
        <v/>
      </c>
      <c r="I1140" s="27" t="str" cm="1">
        <f t="array" ref="I1140">IF(
   A1140="",
   "",
   _xlfn.LET(
      _xlpm.result,
      IFERROR(
         _xlfn.XLOOKUP(
            1,
            (Table8[رقم الصنف]=A1140) *
            (IF($B$9="الكل",1, YEAR('ادخال البيانات'!$N$3:$N$1164)=VALUE($B$9))) *
            (IF($B$10="الكل",1, MONTH('ادخال البيانات'!$N$3:$N$1164)=VALUE($B$10))) *
            (IF($B$11="الكل",1, INT((DAY('ادخال البيانات'!$N$3:$N$1164)-1)/7)+1 = VALUE($B$11))),
            'ادخال البيانات'!$I$3:$I$1164
         ),
         ""
      ),
      IF(_xlpm.result="", "", _xlpm.result)
   )
)</f>
        <v/>
      </c>
      <c r="J1140" s="27" t="str" cm="1">
        <f t="array" ref="J1140">IF(
   A1140="",
   "",
   _xlfn.LET(
      _xlpm.result,
      IFERROR(
         _xlfn.XLOOKUP(
            1,
            (Table8[رقم الصنف]=A1140) *
            (IF($B$9="الكل",1, YEAR('ادخال البيانات'!$N$3:$N$1164)=VALUE($B$9))) *
            (IF($B$10="الكل",1, MONTH('ادخال البيانات'!$N$3:$N$1164)=VALUE($B$10))) *
            (IF($B$11="الكل",1, INT((DAY('ادخال البيانات'!$N$3:$N$1164)-1)/7)+1 = VALUE($B$11))),
            'ادخال البيانات'!$J$3:$J$1164
         ),
         ""
      ),
      IF(_xlpm.result="", "", _xlpm.result)
   )
)</f>
        <v/>
      </c>
      <c r="K1140" s="27" t="str" cm="1">
        <f t="array" ref="K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0" s="27" t="str" cm="1">
        <f t="array" ref="L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0" s="27" t="str" cm="1">
        <f t="array" ref="M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0" s="28" t="str" cm="1">
        <f t="array" ref="N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0" s="28" t="str" cm="1">
        <f t="array" ref="O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0" s="27" t="str" cm="1">
        <f t="array" ref="P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Table8[جهة العطل]
         ),
         ""
      ),
      IF(_xlpm.result="", "", _xlpm.result)
   )
)</f>
        <v/>
      </c>
      <c r="Q1140" s="27" t="str" cm="1">
        <f t="array" ref="Q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Table8[المركز]
         ),
         ""
      ),
      IF(_xlpm.result="", "", _xlpm.result)
   )
)</f>
        <v/>
      </c>
      <c r="R1140" s="27" t="str" cm="1">
        <f t="array" ref="R1140">IF(
   A1140="",
   "",
   _xlfn.LET(
      _xlpm.result,
      IFERROR(
         _xlfn.XLOOKUP(
            1,
            (Table8[رقم الصنف]=A1140) *
            (IF($B$9="الكل",1, YEAR('ادخال البيانات'!$N$3:$N$1164) = VALUE($B$9))) *
            (IF($B$10="الكل",1, MONTH('ادخال البيانات'!$N$3:$N$1164) = VALUE($B$10))) *
            (IF($B$11="الكل",1, INT((DAY('ادخال البيانات'!$N$3:$N$1164) - 1) / 7) + 1 = VALUE($B$11))),
            Table8[ملاحظة]
         ),
         ""
      ),
      IF(_xlpm.result="", "", _xlpm.result)
   )
)</f>
        <v/>
      </c>
      <c r="S1140" s="46" t="str">
        <f t="shared" ca="1" si="18"/>
        <v/>
      </c>
    </row>
    <row r="1141" spans="1:19" ht="15.6" thickTop="1" thickBot="1" x14ac:dyDescent="0.35">
      <c r="A1141" s="39"/>
      <c r="B1141" s="27" t="str" cm="1">
        <f t="array" ref="B1141">IF(
   OR(A1141="", $B$9="", $B$10="", $B$11=""),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1" s="27" t="str" cm="1">
        <f t="array" ref="C1141">IF(
   A1141="",
   "",
   _xlfn.LET(
      _xlpm.result,
      IFERROR(
         _xlfn.XLOOKUP(
            1,
            (Table8[رقم الصنف]=A1141) *
            (IF($B$9="الكل",1, YEAR('ادخال البيانات'!$N$3:$N$1164) = VALUE($B$9))) *
            (IF($B$10="الكل",1, MONTH('ادخال البيانات'!$N$3:$N$1164) = VALUE($B$10))) *
            (IF($B$11="الكل",1, INT((DAY('ادخال البيانات'!$N$3:$N$1164)-1)/7)+1 = VALUE($B$11))),
            'ادخال البيانات'!$C$3:$C$1164
         ),
         ""
      ),
      IF(_xlpm.result="", "", _xlpm.result)
   )
)</f>
        <v/>
      </c>
      <c r="D1141" s="27" t="str" cm="1">
        <f t="array" ref="D1141">IF(
   OR(A1141="", $B$9="", $B$10="", $B$11=""),
   "",
   _xlfn.LET(
      _xlpm.result,
      IFERROR(
         _xlfn.XLOOKUP(
            1,
            (Table8[رقم الصنف]=A1141) *
            (IF($B$9="الكل",1, YEAR('ادخال البيانات'!$N$3:$N$1164)=VALUE($B$9))) *
            (IF($B$10="الكل",1, MONTH('ادخال البيانات'!$N$3:$N$1164)=VALUE($B$10))) *
            (IF($B$11="الكل",1, INT((DAY('ادخال البيانات'!$N$3:$N$1164)-1)/7)+1 = VALUE($B$11))),
            'ادخال البيانات'!$D$3:$D$1164
         ),
         ""
      ),
      IF(_xlpm.result="", "", _xlpm.result)
   )
)</f>
        <v/>
      </c>
      <c r="E1141" s="27" t="str" cm="1">
        <f t="array" ref="E1141">IF(
   A1141="",
   "",
   _xlfn.LET(
      _xlpm.result,
      IFERROR(
         _xlfn.XLOOKUP(
            1,
            (Table8[رقم الصنف]=A1141) *
            (IF($B$9="الكل",1, YEAR('ادخال البيانات'!$N$3:$N$1164)=VALUE($B$9))) *
            (IF($B$10="الكل",1, MONTH('ادخال البيانات'!$N$3:$N$1164)=VALUE($B$10))) *
            (IF($B$11="الكل",1, INT((DAY('ادخال البيانات'!$N$3:$N$1164)-1)/7)+1 = VALUE($B$11))),
            'ادخال البيانات'!$E$3:$E$1164
         ),
         ""
      ),
      IF(_xlpm.result="", "", _xlpm.result)
   )
)</f>
        <v/>
      </c>
      <c r="F1141" s="27" t="str" cm="1">
        <f t="array" ref="F1141">IF(
   A1141="",
   "",
   _xlfn.LET(
      _xlpm.result,
      IFERROR(
         _xlfn.XLOOKUP(
            1,
            (Table8[رقم الصنف]=A1141) *
            (IF($B$9="الكل",1, YEAR('ادخال البيانات'!$N$3:$N$1164) = VALUE($B$9))) *
            (IF($B$10="الكل",1, MONTH('ادخال البيانات'!$N$3:$N$1164) = VALUE($B$10))) *
            (IF($B$11="الكل",1, INT((DAY('ادخال البيانات'!$N$3:$N$1164)-1)/7)+1 = VALUE($B$11))),
            'ادخال البيانات'!$F$3:$F$1164
         ),
         ""
      ),
      IF(_xlpm.result="", "", _xlpm.result)
   )
)</f>
        <v/>
      </c>
      <c r="G1141" s="27" t="str" cm="1">
        <f t="array" ref="G1141">IF(
   A1141="",
   "",
   _xlfn.LET(
      _xlpm.result,
      IFERROR(
         _xlfn.XLOOKUP(
            1,
            (Table8[رقم الصنف]=A1141) *
            (IF($B$9="الكل",1, YEAR('ادخال البيانات'!$N$3:$N$1164)=VALUE($B$9))) *
            (IF($B$10="الكل",1, MONTH('ادخال البيانات'!$N$3:$N$1164)=VALUE($B$10))) *
            (IF($B$11="الكل",1, INT((DAY('ادخال البيانات'!$N$3:$N$1164)-1)/7)+1 = VALUE($B$11))),
            'ادخال البيانات'!$G$3:$G$1164
         ),
         ""
      ),
      IF(_xlpm.result="", "", _xlpm.result)
   )
)</f>
        <v/>
      </c>
      <c r="H1141" s="27" t="str" cm="1">
        <f t="array" ref="H1141">IF(
   A1141="",
   "",
   _xlfn.LET(
      _xlpm.result,
      IFERROR(
         _xlfn.XLOOKUP(
            1,
            (Table8[رقم الصنف]=A1141) *
            (IF($B$9="الكل",1, YEAR('ادخال البيانات'!$N$3:$N$1164)=VALUE($B$9))) *
            (IF($B$10="الكل",1, MONTH('ادخال البيانات'!$N$3:$N$1164)=VALUE($B$10))) *
            (IF($B$11="الكل",1, INT((DAY('ادخال البيانات'!$N$3:$N$1164)-1)/7)+1 = VALUE($B$11))),
            'ادخال البيانات'!$H$3:$H$1164
         ),
         ""
      ),
      IF(_xlpm.result="", "", _xlpm.result)
   )
)</f>
        <v/>
      </c>
      <c r="I1141" s="27" t="str" cm="1">
        <f t="array" ref="I1141">IF(
   A1141="",
   "",
   _xlfn.LET(
      _xlpm.result,
      IFERROR(
         _xlfn.XLOOKUP(
            1,
            (Table8[رقم الصنف]=A1141) *
            (IF($B$9="الكل",1, YEAR('ادخال البيانات'!$N$3:$N$1164)=VALUE($B$9))) *
            (IF($B$10="الكل",1, MONTH('ادخال البيانات'!$N$3:$N$1164)=VALUE($B$10))) *
            (IF($B$11="الكل",1, INT((DAY('ادخال البيانات'!$N$3:$N$1164)-1)/7)+1 = VALUE($B$11))),
            'ادخال البيانات'!$I$3:$I$1164
         ),
         ""
      ),
      IF(_xlpm.result="", "", _xlpm.result)
   )
)</f>
        <v/>
      </c>
      <c r="J1141" s="27" t="str" cm="1">
        <f t="array" ref="J1141">IF(
   A1141="",
   "",
   _xlfn.LET(
      _xlpm.result,
      IFERROR(
         _xlfn.XLOOKUP(
            1,
            (Table8[رقم الصنف]=A1141) *
            (IF($B$9="الكل",1, YEAR('ادخال البيانات'!$N$3:$N$1164)=VALUE($B$9))) *
            (IF($B$10="الكل",1, MONTH('ادخال البيانات'!$N$3:$N$1164)=VALUE($B$10))) *
            (IF($B$11="الكل",1, INT((DAY('ادخال البيانات'!$N$3:$N$1164)-1)/7)+1 = VALUE($B$11))),
            'ادخال البيانات'!$J$3:$J$1164
         ),
         ""
      ),
      IF(_xlpm.result="", "", _xlpm.result)
   )
)</f>
        <v/>
      </c>
      <c r="K1141" s="27" t="str" cm="1">
        <f t="array" ref="K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1" s="27" t="str" cm="1">
        <f t="array" ref="L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1" s="27" t="str" cm="1">
        <f t="array" ref="M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1" s="28" t="str" cm="1">
        <f t="array" ref="N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1" s="28" t="str" cm="1">
        <f t="array" ref="O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1" s="27" t="str" cm="1">
        <f t="array" ref="P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Table8[جهة العطل]
         ),
         ""
      ),
      IF(_xlpm.result="", "", _xlpm.result)
   )
)</f>
        <v/>
      </c>
      <c r="Q1141" s="27" t="str" cm="1">
        <f t="array" ref="Q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Table8[المركز]
         ),
         ""
      ),
      IF(_xlpm.result="", "", _xlpm.result)
   )
)</f>
        <v/>
      </c>
      <c r="R1141" s="27" t="str" cm="1">
        <f t="array" ref="R1141">IF(
   A1141="",
   "",
   _xlfn.LET(
      _xlpm.result,
      IFERROR(
         _xlfn.XLOOKUP(
            1,
            (Table8[رقم الصنف]=A1141) *
            (IF($B$9="الكل",1, YEAR('ادخال البيانات'!$N$3:$N$1164) = VALUE($B$9))) *
            (IF($B$10="الكل",1, MONTH('ادخال البيانات'!$N$3:$N$1164) = VALUE($B$10))) *
            (IF($B$11="الكل",1, INT((DAY('ادخال البيانات'!$N$3:$N$1164) - 1) / 7) + 1 = VALUE($B$11))),
            Table8[ملاحظة]
         ),
         ""
      ),
      IF(_xlpm.result="", "", _xlpm.result)
   )
)</f>
        <v/>
      </c>
      <c r="S1141" s="46" t="str">
        <f t="shared" ca="1" si="18"/>
        <v/>
      </c>
    </row>
    <row r="1142" spans="1:19" ht="15.6" thickTop="1" thickBot="1" x14ac:dyDescent="0.35">
      <c r="A1142" s="39"/>
      <c r="B1142" s="27" t="str" cm="1">
        <f t="array" ref="B1142">IF(
   OR(A1142="", $B$9="", $B$10="", $B$11=""),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2" s="27" t="str" cm="1">
        <f t="array" ref="C1142">IF(
   A1142="",
   "",
   _xlfn.LET(
      _xlpm.result,
      IFERROR(
         _xlfn.XLOOKUP(
            1,
            (Table8[رقم الصنف]=A1142) *
            (IF($B$9="الكل",1, YEAR('ادخال البيانات'!$N$3:$N$1164) = VALUE($B$9))) *
            (IF($B$10="الكل",1, MONTH('ادخال البيانات'!$N$3:$N$1164) = VALUE($B$10))) *
            (IF($B$11="الكل",1, INT((DAY('ادخال البيانات'!$N$3:$N$1164)-1)/7)+1 = VALUE($B$11))),
            'ادخال البيانات'!$C$3:$C$1164
         ),
         ""
      ),
      IF(_xlpm.result="", "", _xlpm.result)
   )
)</f>
        <v/>
      </c>
      <c r="D1142" s="27" t="str" cm="1">
        <f t="array" ref="D1142">IF(
   OR(A1142="", $B$9="", $B$10="", $B$11=""),
   "",
   _xlfn.LET(
      _xlpm.result,
      IFERROR(
         _xlfn.XLOOKUP(
            1,
            (Table8[رقم الصنف]=A1142) *
            (IF($B$9="الكل",1, YEAR('ادخال البيانات'!$N$3:$N$1164)=VALUE($B$9))) *
            (IF($B$10="الكل",1, MONTH('ادخال البيانات'!$N$3:$N$1164)=VALUE($B$10))) *
            (IF($B$11="الكل",1, INT((DAY('ادخال البيانات'!$N$3:$N$1164)-1)/7)+1 = VALUE($B$11))),
            'ادخال البيانات'!$D$3:$D$1164
         ),
         ""
      ),
      IF(_xlpm.result="", "", _xlpm.result)
   )
)</f>
        <v/>
      </c>
      <c r="E1142" s="27" t="str" cm="1">
        <f t="array" ref="E1142">IF(
   A1142="",
   "",
   _xlfn.LET(
      _xlpm.result,
      IFERROR(
         _xlfn.XLOOKUP(
            1,
            (Table8[رقم الصنف]=A1142) *
            (IF($B$9="الكل",1, YEAR('ادخال البيانات'!$N$3:$N$1164)=VALUE($B$9))) *
            (IF($B$10="الكل",1, MONTH('ادخال البيانات'!$N$3:$N$1164)=VALUE($B$10))) *
            (IF($B$11="الكل",1, INT((DAY('ادخال البيانات'!$N$3:$N$1164)-1)/7)+1 = VALUE($B$11))),
            'ادخال البيانات'!$E$3:$E$1164
         ),
         ""
      ),
      IF(_xlpm.result="", "", _xlpm.result)
   )
)</f>
        <v/>
      </c>
      <c r="F1142" s="27" t="str" cm="1">
        <f t="array" ref="F1142">IF(
   A1142="",
   "",
   _xlfn.LET(
      _xlpm.result,
      IFERROR(
         _xlfn.XLOOKUP(
            1,
            (Table8[رقم الصنف]=A1142) *
            (IF($B$9="الكل",1, YEAR('ادخال البيانات'!$N$3:$N$1164) = VALUE($B$9))) *
            (IF($B$10="الكل",1, MONTH('ادخال البيانات'!$N$3:$N$1164) = VALUE($B$10))) *
            (IF($B$11="الكل",1, INT((DAY('ادخال البيانات'!$N$3:$N$1164)-1)/7)+1 = VALUE($B$11))),
            'ادخال البيانات'!$F$3:$F$1164
         ),
         ""
      ),
      IF(_xlpm.result="", "", _xlpm.result)
   )
)</f>
        <v/>
      </c>
      <c r="G1142" s="27" t="str" cm="1">
        <f t="array" ref="G1142">IF(
   A1142="",
   "",
   _xlfn.LET(
      _xlpm.result,
      IFERROR(
         _xlfn.XLOOKUP(
            1,
            (Table8[رقم الصنف]=A1142) *
            (IF($B$9="الكل",1, YEAR('ادخال البيانات'!$N$3:$N$1164)=VALUE($B$9))) *
            (IF($B$10="الكل",1, MONTH('ادخال البيانات'!$N$3:$N$1164)=VALUE($B$10))) *
            (IF($B$11="الكل",1, INT((DAY('ادخال البيانات'!$N$3:$N$1164)-1)/7)+1 = VALUE($B$11))),
            'ادخال البيانات'!$G$3:$G$1164
         ),
         ""
      ),
      IF(_xlpm.result="", "", _xlpm.result)
   )
)</f>
        <v/>
      </c>
      <c r="H1142" s="27" t="str" cm="1">
        <f t="array" ref="H1142">IF(
   A1142="",
   "",
   _xlfn.LET(
      _xlpm.result,
      IFERROR(
         _xlfn.XLOOKUP(
            1,
            (Table8[رقم الصنف]=A1142) *
            (IF($B$9="الكل",1, YEAR('ادخال البيانات'!$N$3:$N$1164)=VALUE($B$9))) *
            (IF($B$10="الكل",1, MONTH('ادخال البيانات'!$N$3:$N$1164)=VALUE($B$10))) *
            (IF($B$11="الكل",1, INT((DAY('ادخال البيانات'!$N$3:$N$1164)-1)/7)+1 = VALUE($B$11))),
            'ادخال البيانات'!$H$3:$H$1164
         ),
         ""
      ),
      IF(_xlpm.result="", "", _xlpm.result)
   )
)</f>
        <v/>
      </c>
      <c r="I1142" s="27" t="str" cm="1">
        <f t="array" ref="I1142">IF(
   A1142="",
   "",
   _xlfn.LET(
      _xlpm.result,
      IFERROR(
         _xlfn.XLOOKUP(
            1,
            (Table8[رقم الصنف]=A1142) *
            (IF($B$9="الكل",1, YEAR('ادخال البيانات'!$N$3:$N$1164)=VALUE($B$9))) *
            (IF($B$10="الكل",1, MONTH('ادخال البيانات'!$N$3:$N$1164)=VALUE($B$10))) *
            (IF($B$11="الكل",1, INT((DAY('ادخال البيانات'!$N$3:$N$1164)-1)/7)+1 = VALUE($B$11))),
            'ادخال البيانات'!$I$3:$I$1164
         ),
         ""
      ),
      IF(_xlpm.result="", "", _xlpm.result)
   )
)</f>
        <v/>
      </c>
      <c r="J1142" s="27" t="str" cm="1">
        <f t="array" ref="J1142">IF(
   A1142="",
   "",
   _xlfn.LET(
      _xlpm.result,
      IFERROR(
         _xlfn.XLOOKUP(
            1,
            (Table8[رقم الصنف]=A1142) *
            (IF($B$9="الكل",1, YEAR('ادخال البيانات'!$N$3:$N$1164)=VALUE($B$9))) *
            (IF($B$10="الكل",1, MONTH('ادخال البيانات'!$N$3:$N$1164)=VALUE($B$10))) *
            (IF($B$11="الكل",1, INT((DAY('ادخال البيانات'!$N$3:$N$1164)-1)/7)+1 = VALUE($B$11))),
            'ادخال البيانات'!$J$3:$J$1164
         ),
         ""
      ),
      IF(_xlpm.result="", "", _xlpm.result)
   )
)</f>
        <v/>
      </c>
      <c r="K1142" s="27" t="str" cm="1">
        <f t="array" ref="K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2" s="27" t="str" cm="1">
        <f t="array" ref="L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2" s="27" t="str" cm="1">
        <f t="array" ref="M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2" s="28" t="str" cm="1">
        <f t="array" ref="N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2" s="28" t="str" cm="1">
        <f t="array" ref="O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2" s="27" t="str" cm="1">
        <f t="array" ref="P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Table8[جهة العطل]
         ),
         ""
      ),
      IF(_xlpm.result="", "", _xlpm.result)
   )
)</f>
        <v/>
      </c>
      <c r="Q1142" s="27" t="str" cm="1">
        <f t="array" ref="Q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Table8[المركز]
         ),
         ""
      ),
      IF(_xlpm.result="", "", _xlpm.result)
   )
)</f>
        <v/>
      </c>
      <c r="R1142" s="27" t="str" cm="1">
        <f t="array" ref="R1142">IF(
   A1142="",
   "",
   _xlfn.LET(
      _xlpm.result,
      IFERROR(
         _xlfn.XLOOKUP(
            1,
            (Table8[رقم الصنف]=A1142) *
            (IF($B$9="الكل",1, YEAR('ادخال البيانات'!$N$3:$N$1164) = VALUE($B$9))) *
            (IF($B$10="الكل",1, MONTH('ادخال البيانات'!$N$3:$N$1164) = VALUE($B$10))) *
            (IF($B$11="الكل",1, INT((DAY('ادخال البيانات'!$N$3:$N$1164) - 1) / 7) + 1 = VALUE($B$11))),
            Table8[ملاحظة]
         ),
         ""
      ),
      IF(_xlpm.result="", "", _xlpm.result)
   )
)</f>
        <v/>
      </c>
      <c r="S1142" s="46" t="str">
        <f t="shared" ca="1" si="18"/>
        <v/>
      </c>
    </row>
    <row r="1143" spans="1:19" ht="15.6" thickTop="1" thickBot="1" x14ac:dyDescent="0.35">
      <c r="A1143" s="39"/>
      <c r="B1143" s="27" t="str" cm="1">
        <f t="array" ref="B1143">IF(
   OR(A1143="", $B$9="", $B$10="", $B$11=""),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3" s="27" t="str" cm="1">
        <f t="array" ref="C1143">IF(
   A1143="",
   "",
   _xlfn.LET(
      _xlpm.result,
      IFERROR(
         _xlfn.XLOOKUP(
            1,
            (Table8[رقم الصنف]=A1143) *
            (IF($B$9="الكل",1, YEAR('ادخال البيانات'!$N$3:$N$1164) = VALUE($B$9))) *
            (IF($B$10="الكل",1, MONTH('ادخال البيانات'!$N$3:$N$1164) = VALUE($B$10))) *
            (IF($B$11="الكل",1, INT((DAY('ادخال البيانات'!$N$3:$N$1164)-1)/7)+1 = VALUE($B$11))),
            'ادخال البيانات'!$C$3:$C$1164
         ),
         ""
      ),
      IF(_xlpm.result="", "", _xlpm.result)
   )
)</f>
        <v/>
      </c>
      <c r="D1143" s="27" t="str" cm="1">
        <f t="array" ref="D1143">IF(
   OR(A1143="", $B$9="", $B$10="", $B$11=""),
   "",
   _xlfn.LET(
      _xlpm.result,
      IFERROR(
         _xlfn.XLOOKUP(
            1,
            (Table8[رقم الصنف]=A1143) *
            (IF($B$9="الكل",1, YEAR('ادخال البيانات'!$N$3:$N$1164)=VALUE($B$9))) *
            (IF($B$10="الكل",1, MONTH('ادخال البيانات'!$N$3:$N$1164)=VALUE($B$10))) *
            (IF($B$11="الكل",1, INT((DAY('ادخال البيانات'!$N$3:$N$1164)-1)/7)+1 = VALUE($B$11))),
            'ادخال البيانات'!$D$3:$D$1164
         ),
         ""
      ),
      IF(_xlpm.result="", "", _xlpm.result)
   )
)</f>
        <v/>
      </c>
      <c r="E1143" s="27" t="str" cm="1">
        <f t="array" ref="E1143">IF(
   A1143="",
   "",
   _xlfn.LET(
      _xlpm.result,
      IFERROR(
         _xlfn.XLOOKUP(
            1,
            (Table8[رقم الصنف]=A1143) *
            (IF($B$9="الكل",1, YEAR('ادخال البيانات'!$N$3:$N$1164)=VALUE($B$9))) *
            (IF($B$10="الكل",1, MONTH('ادخال البيانات'!$N$3:$N$1164)=VALUE($B$10))) *
            (IF($B$11="الكل",1, INT((DAY('ادخال البيانات'!$N$3:$N$1164)-1)/7)+1 = VALUE($B$11))),
            'ادخال البيانات'!$E$3:$E$1164
         ),
         ""
      ),
      IF(_xlpm.result="", "", _xlpm.result)
   )
)</f>
        <v/>
      </c>
      <c r="F1143" s="27" t="str" cm="1">
        <f t="array" ref="F1143">IF(
   A1143="",
   "",
   _xlfn.LET(
      _xlpm.result,
      IFERROR(
         _xlfn.XLOOKUP(
            1,
            (Table8[رقم الصنف]=A1143) *
            (IF($B$9="الكل",1, YEAR('ادخال البيانات'!$N$3:$N$1164) = VALUE($B$9))) *
            (IF($B$10="الكل",1, MONTH('ادخال البيانات'!$N$3:$N$1164) = VALUE($B$10))) *
            (IF($B$11="الكل",1, INT((DAY('ادخال البيانات'!$N$3:$N$1164)-1)/7)+1 = VALUE($B$11))),
            'ادخال البيانات'!$F$3:$F$1164
         ),
         ""
      ),
      IF(_xlpm.result="", "", _xlpm.result)
   )
)</f>
        <v/>
      </c>
      <c r="G1143" s="27" t="str" cm="1">
        <f t="array" ref="G1143">IF(
   A1143="",
   "",
   _xlfn.LET(
      _xlpm.result,
      IFERROR(
         _xlfn.XLOOKUP(
            1,
            (Table8[رقم الصنف]=A1143) *
            (IF($B$9="الكل",1, YEAR('ادخال البيانات'!$N$3:$N$1164)=VALUE($B$9))) *
            (IF($B$10="الكل",1, MONTH('ادخال البيانات'!$N$3:$N$1164)=VALUE($B$10))) *
            (IF($B$11="الكل",1, INT((DAY('ادخال البيانات'!$N$3:$N$1164)-1)/7)+1 = VALUE($B$11))),
            'ادخال البيانات'!$G$3:$G$1164
         ),
         ""
      ),
      IF(_xlpm.result="", "", _xlpm.result)
   )
)</f>
        <v/>
      </c>
      <c r="H1143" s="27" t="str" cm="1">
        <f t="array" ref="H1143">IF(
   A1143="",
   "",
   _xlfn.LET(
      _xlpm.result,
      IFERROR(
         _xlfn.XLOOKUP(
            1,
            (Table8[رقم الصنف]=A1143) *
            (IF($B$9="الكل",1, YEAR('ادخال البيانات'!$N$3:$N$1164)=VALUE($B$9))) *
            (IF($B$10="الكل",1, MONTH('ادخال البيانات'!$N$3:$N$1164)=VALUE($B$10))) *
            (IF($B$11="الكل",1, INT((DAY('ادخال البيانات'!$N$3:$N$1164)-1)/7)+1 = VALUE($B$11))),
            'ادخال البيانات'!$H$3:$H$1164
         ),
         ""
      ),
      IF(_xlpm.result="", "", _xlpm.result)
   )
)</f>
        <v/>
      </c>
      <c r="I1143" s="27" t="str" cm="1">
        <f t="array" ref="I1143">IF(
   A1143="",
   "",
   _xlfn.LET(
      _xlpm.result,
      IFERROR(
         _xlfn.XLOOKUP(
            1,
            (Table8[رقم الصنف]=A1143) *
            (IF($B$9="الكل",1, YEAR('ادخال البيانات'!$N$3:$N$1164)=VALUE($B$9))) *
            (IF($B$10="الكل",1, MONTH('ادخال البيانات'!$N$3:$N$1164)=VALUE($B$10))) *
            (IF($B$11="الكل",1, INT((DAY('ادخال البيانات'!$N$3:$N$1164)-1)/7)+1 = VALUE($B$11))),
            'ادخال البيانات'!$I$3:$I$1164
         ),
         ""
      ),
      IF(_xlpm.result="", "", _xlpm.result)
   )
)</f>
        <v/>
      </c>
      <c r="J1143" s="27" t="str" cm="1">
        <f t="array" ref="J1143">IF(
   A1143="",
   "",
   _xlfn.LET(
      _xlpm.result,
      IFERROR(
         _xlfn.XLOOKUP(
            1,
            (Table8[رقم الصنف]=A1143) *
            (IF($B$9="الكل",1, YEAR('ادخال البيانات'!$N$3:$N$1164)=VALUE($B$9))) *
            (IF($B$10="الكل",1, MONTH('ادخال البيانات'!$N$3:$N$1164)=VALUE($B$10))) *
            (IF($B$11="الكل",1, INT((DAY('ادخال البيانات'!$N$3:$N$1164)-1)/7)+1 = VALUE($B$11))),
            'ادخال البيانات'!$J$3:$J$1164
         ),
         ""
      ),
      IF(_xlpm.result="", "", _xlpm.result)
   )
)</f>
        <v/>
      </c>
      <c r="K1143" s="27" t="str" cm="1">
        <f t="array" ref="K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3" s="27" t="str" cm="1">
        <f t="array" ref="L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3" s="27" t="str" cm="1">
        <f t="array" ref="M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3" s="28" t="str" cm="1">
        <f t="array" ref="N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3" s="28" t="str" cm="1">
        <f t="array" ref="O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3" s="27" t="str" cm="1">
        <f t="array" ref="P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Table8[جهة العطل]
         ),
         ""
      ),
      IF(_xlpm.result="", "", _xlpm.result)
   )
)</f>
        <v/>
      </c>
      <c r="Q1143" s="27" t="str" cm="1">
        <f t="array" ref="Q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Table8[المركز]
         ),
         ""
      ),
      IF(_xlpm.result="", "", _xlpm.result)
   )
)</f>
        <v/>
      </c>
      <c r="R1143" s="27" t="str" cm="1">
        <f t="array" ref="R1143">IF(
   A1143="",
   "",
   _xlfn.LET(
      _xlpm.result,
      IFERROR(
         _xlfn.XLOOKUP(
            1,
            (Table8[رقم الصنف]=A1143) *
            (IF($B$9="الكل",1, YEAR('ادخال البيانات'!$N$3:$N$1164) = VALUE($B$9))) *
            (IF($B$10="الكل",1, MONTH('ادخال البيانات'!$N$3:$N$1164) = VALUE($B$10))) *
            (IF($B$11="الكل",1, INT((DAY('ادخال البيانات'!$N$3:$N$1164) - 1) / 7) + 1 = VALUE($B$11))),
            Table8[ملاحظة]
         ),
         ""
      ),
      IF(_xlpm.result="", "", _xlpm.result)
   )
)</f>
        <v/>
      </c>
      <c r="S1143" s="46" t="str">
        <f t="shared" ca="1" si="18"/>
        <v/>
      </c>
    </row>
    <row r="1144" spans="1:19" ht="15.6" thickTop="1" thickBot="1" x14ac:dyDescent="0.35">
      <c r="A1144" s="39"/>
      <c r="B1144" s="27" t="str" cm="1">
        <f t="array" ref="B1144">IF(
   OR(A1144="", $B$9="", $B$10="", $B$11=""),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4" s="27" t="str" cm="1">
        <f t="array" ref="C1144">IF(
   A1144="",
   "",
   _xlfn.LET(
      _xlpm.result,
      IFERROR(
         _xlfn.XLOOKUP(
            1,
            (Table8[رقم الصنف]=A1144) *
            (IF($B$9="الكل",1, YEAR('ادخال البيانات'!$N$3:$N$1164) = VALUE($B$9))) *
            (IF($B$10="الكل",1, MONTH('ادخال البيانات'!$N$3:$N$1164) = VALUE($B$10))) *
            (IF($B$11="الكل",1, INT((DAY('ادخال البيانات'!$N$3:$N$1164)-1)/7)+1 = VALUE($B$11))),
            'ادخال البيانات'!$C$3:$C$1164
         ),
         ""
      ),
      IF(_xlpm.result="", "", _xlpm.result)
   )
)</f>
        <v/>
      </c>
      <c r="D1144" s="27" t="str" cm="1">
        <f t="array" ref="D1144">IF(
   OR(A1144="", $B$9="", $B$10="", $B$11=""),
   "",
   _xlfn.LET(
      _xlpm.result,
      IFERROR(
         _xlfn.XLOOKUP(
            1,
            (Table8[رقم الصنف]=A1144) *
            (IF($B$9="الكل",1, YEAR('ادخال البيانات'!$N$3:$N$1164)=VALUE($B$9))) *
            (IF($B$10="الكل",1, MONTH('ادخال البيانات'!$N$3:$N$1164)=VALUE($B$10))) *
            (IF($B$11="الكل",1, INT((DAY('ادخال البيانات'!$N$3:$N$1164)-1)/7)+1 = VALUE($B$11))),
            'ادخال البيانات'!$D$3:$D$1164
         ),
         ""
      ),
      IF(_xlpm.result="", "", _xlpm.result)
   )
)</f>
        <v/>
      </c>
      <c r="E1144" s="27" t="str" cm="1">
        <f t="array" ref="E1144">IF(
   A1144="",
   "",
   _xlfn.LET(
      _xlpm.result,
      IFERROR(
         _xlfn.XLOOKUP(
            1,
            (Table8[رقم الصنف]=A1144) *
            (IF($B$9="الكل",1, YEAR('ادخال البيانات'!$N$3:$N$1164)=VALUE($B$9))) *
            (IF($B$10="الكل",1, MONTH('ادخال البيانات'!$N$3:$N$1164)=VALUE($B$10))) *
            (IF($B$11="الكل",1, INT((DAY('ادخال البيانات'!$N$3:$N$1164)-1)/7)+1 = VALUE($B$11))),
            'ادخال البيانات'!$E$3:$E$1164
         ),
         ""
      ),
      IF(_xlpm.result="", "", _xlpm.result)
   )
)</f>
        <v/>
      </c>
      <c r="F1144" s="27" t="str" cm="1">
        <f t="array" ref="F1144">IF(
   A1144="",
   "",
   _xlfn.LET(
      _xlpm.result,
      IFERROR(
         _xlfn.XLOOKUP(
            1,
            (Table8[رقم الصنف]=A1144) *
            (IF($B$9="الكل",1, YEAR('ادخال البيانات'!$N$3:$N$1164) = VALUE($B$9))) *
            (IF($B$10="الكل",1, MONTH('ادخال البيانات'!$N$3:$N$1164) = VALUE($B$10))) *
            (IF($B$11="الكل",1, INT((DAY('ادخال البيانات'!$N$3:$N$1164)-1)/7)+1 = VALUE($B$11))),
            'ادخال البيانات'!$F$3:$F$1164
         ),
         ""
      ),
      IF(_xlpm.result="", "", _xlpm.result)
   )
)</f>
        <v/>
      </c>
      <c r="G1144" s="27" t="str" cm="1">
        <f t="array" ref="G1144">IF(
   A1144="",
   "",
   _xlfn.LET(
      _xlpm.result,
      IFERROR(
         _xlfn.XLOOKUP(
            1,
            (Table8[رقم الصنف]=A1144) *
            (IF($B$9="الكل",1, YEAR('ادخال البيانات'!$N$3:$N$1164)=VALUE($B$9))) *
            (IF($B$10="الكل",1, MONTH('ادخال البيانات'!$N$3:$N$1164)=VALUE($B$10))) *
            (IF($B$11="الكل",1, INT((DAY('ادخال البيانات'!$N$3:$N$1164)-1)/7)+1 = VALUE($B$11))),
            'ادخال البيانات'!$G$3:$G$1164
         ),
         ""
      ),
      IF(_xlpm.result="", "", _xlpm.result)
   )
)</f>
        <v/>
      </c>
      <c r="H1144" s="27" t="str" cm="1">
        <f t="array" ref="H1144">IF(
   A1144="",
   "",
   _xlfn.LET(
      _xlpm.result,
      IFERROR(
         _xlfn.XLOOKUP(
            1,
            (Table8[رقم الصنف]=A1144) *
            (IF($B$9="الكل",1, YEAR('ادخال البيانات'!$N$3:$N$1164)=VALUE($B$9))) *
            (IF($B$10="الكل",1, MONTH('ادخال البيانات'!$N$3:$N$1164)=VALUE($B$10))) *
            (IF($B$11="الكل",1, INT((DAY('ادخال البيانات'!$N$3:$N$1164)-1)/7)+1 = VALUE($B$11))),
            'ادخال البيانات'!$H$3:$H$1164
         ),
         ""
      ),
      IF(_xlpm.result="", "", _xlpm.result)
   )
)</f>
        <v/>
      </c>
      <c r="I1144" s="27" t="str" cm="1">
        <f t="array" ref="I1144">IF(
   A1144="",
   "",
   _xlfn.LET(
      _xlpm.result,
      IFERROR(
         _xlfn.XLOOKUP(
            1,
            (Table8[رقم الصنف]=A1144) *
            (IF($B$9="الكل",1, YEAR('ادخال البيانات'!$N$3:$N$1164)=VALUE($B$9))) *
            (IF($B$10="الكل",1, MONTH('ادخال البيانات'!$N$3:$N$1164)=VALUE($B$10))) *
            (IF($B$11="الكل",1, INT((DAY('ادخال البيانات'!$N$3:$N$1164)-1)/7)+1 = VALUE($B$11))),
            'ادخال البيانات'!$I$3:$I$1164
         ),
         ""
      ),
      IF(_xlpm.result="", "", _xlpm.result)
   )
)</f>
        <v/>
      </c>
      <c r="J1144" s="27" t="str" cm="1">
        <f t="array" ref="J1144">IF(
   A1144="",
   "",
   _xlfn.LET(
      _xlpm.result,
      IFERROR(
         _xlfn.XLOOKUP(
            1,
            (Table8[رقم الصنف]=A1144) *
            (IF($B$9="الكل",1, YEAR('ادخال البيانات'!$N$3:$N$1164)=VALUE($B$9))) *
            (IF($B$10="الكل",1, MONTH('ادخال البيانات'!$N$3:$N$1164)=VALUE($B$10))) *
            (IF($B$11="الكل",1, INT((DAY('ادخال البيانات'!$N$3:$N$1164)-1)/7)+1 = VALUE($B$11))),
            'ادخال البيانات'!$J$3:$J$1164
         ),
         ""
      ),
      IF(_xlpm.result="", "", _xlpm.result)
   )
)</f>
        <v/>
      </c>
      <c r="K1144" s="27" t="str" cm="1">
        <f t="array" ref="K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4" s="27" t="str" cm="1">
        <f t="array" ref="L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4" s="27" t="str" cm="1">
        <f t="array" ref="M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4" s="28" t="str" cm="1">
        <f t="array" ref="N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4" s="28" t="str" cm="1">
        <f t="array" ref="O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4" s="27" t="str" cm="1">
        <f t="array" ref="P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Table8[جهة العطل]
         ),
         ""
      ),
      IF(_xlpm.result="", "", _xlpm.result)
   )
)</f>
        <v/>
      </c>
      <c r="Q1144" s="27" t="str" cm="1">
        <f t="array" ref="Q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Table8[المركز]
         ),
         ""
      ),
      IF(_xlpm.result="", "", _xlpm.result)
   )
)</f>
        <v/>
      </c>
      <c r="R1144" s="27" t="str" cm="1">
        <f t="array" ref="R1144">IF(
   A1144="",
   "",
   _xlfn.LET(
      _xlpm.result,
      IFERROR(
         _xlfn.XLOOKUP(
            1,
            (Table8[رقم الصنف]=A1144) *
            (IF($B$9="الكل",1, YEAR('ادخال البيانات'!$N$3:$N$1164) = VALUE($B$9))) *
            (IF($B$10="الكل",1, MONTH('ادخال البيانات'!$N$3:$N$1164) = VALUE($B$10))) *
            (IF($B$11="الكل",1, INT((DAY('ادخال البيانات'!$N$3:$N$1164) - 1) / 7) + 1 = VALUE($B$11))),
            Table8[ملاحظة]
         ),
         ""
      ),
      IF(_xlpm.result="", "", _xlpm.result)
   )
)</f>
        <v/>
      </c>
      <c r="S1144" s="46" t="str">
        <f t="shared" ca="1" si="18"/>
        <v/>
      </c>
    </row>
    <row r="1145" spans="1:19" ht="15.6" thickTop="1" thickBot="1" x14ac:dyDescent="0.35">
      <c r="A1145" s="39"/>
      <c r="B1145" s="27" t="str" cm="1">
        <f t="array" ref="B1145">IF(
   OR(A1145="", $B$9="", $B$10="", $B$11=""),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5" s="27" t="str" cm="1">
        <f t="array" ref="C1145">IF(
   A1145="",
   "",
   _xlfn.LET(
      _xlpm.result,
      IFERROR(
         _xlfn.XLOOKUP(
            1,
            (Table8[رقم الصنف]=A1145) *
            (IF($B$9="الكل",1, YEAR('ادخال البيانات'!$N$3:$N$1164) = VALUE($B$9))) *
            (IF($B$10="الكل",1, MONTH('ادخال البيانات'!$N$3:$N$1164) = VALUE($B$10))) *
            (IF($B$11="الكل",1, INT((DAY('ادخال البيانات'!$N$3:$N$1164)-1)/7)+1 = VALUE($B$11))),
            'ادخال البيانات'!$C$3:$C$1164
         ),
         ""
      ),
      IF(_xlpm.result="", "", _xlpm.result)
   )
)</f>
        <v/>
      </c>
      <c r="D1145" s="27" t="str" cm="1">
        <f t="array" ref="D1145">IF(
   OR(A1145="", $B$9="", $B$10="", $B$11=""),
   "",
   _xlfn.LET(
      _xlpm.result,
      IFERROR(
         _xlfn.XLOOKUP(
            1,
            (Table8[رقم الصنف]=A1145) *
            (IF($B$9="الكل",1, YEAR('ادخال البيانات'!$N$3:$N$1164)=VALUE($B$9))) *
            (IF($B$10="الكل",1, MONTH('ادخال البيانات'!$N$3:$N$1164)=VALUE($B$10))) *
            (IF($B$11="الكل",1, INT((DAY('ادخال البيانات'!$N$3:$N$1164)-1)/7)+1 = VALUE($B$11))),
            'ادخال البيانات'!$D$3:$D$1164
         ),
         ""
      ),
      IF(_xlpm.result="", "", _xlpm.result)
   )
)</f>
        <v/>
      </c>
      <c r="E1145" s="27" t="str" cm="1">
        <f t="array" ref="E1145">IF(
   A1145="",
   "",
   _xlfn.LET(
      _xlpm.result,
      IFERROR(
         _xlfn.XLOOKUP(
            1,
            (Table8[رقم الصنف]=A1145) *
            (IF($B$9="الكل",1, YEAR('ادخال البيانات'!$N$3:$N$1164)=VALUE($B$9))) *
            (IF($B$10="الكل",1, MONTH('ادخال البيانات'!$N$3:$N$1164)=VALUE($B$10))) *
            (IF($B$11="الكل",1, INT((DAY('ادخال البيانات'!$N$3:$N$1164)-1)/7)+1 = VALUE($B$11))),
            'ادخال البيانات'!$E$3:$E$1164
         ),
         ""
      ),
      IF(_xlpm.result="", "", _xlpm.result)
   )
)</f>
        <v/>
      </c>
      <c r="F1145" s="27" t="str" cm="1">
        <f t="array" ref="F1145">IF(
   A1145="",
   "",
   _xlfn.LET(
      _xlpm.result,
      IFERROR(
         _xlfn.XLOOKUP(
            1,
            (Table8[رقم الصنف]=A1145) *
            (IF($B$9="الكل",1, YEAR('ادخال البيانات'!$N$3:$N$1164) = VALUE($B$9))) *
            (IF($B$10="الكل",1, MONTH('ادخال البيانات'!$N$3:$N$1164) = VALUE($B$10))) *
            (IF($B$11="الكل",1, INT((DAY('ادخال البيانات'!$N$3:$N$1164)-1)/7)+1 = VALUE($B$11))),
            'ادخال البيانات'!$F$3:$F$1164
         ),
         ""
      ),
      IF(_xlpm.result="", "", _xlpm.result)
   )
)</f>
        <v/>
      </c>
      <c r="G1145" s="27" t="str" cm="1">
        <f t="array" ref="G1145">IF(
   A1145="",
   "",
   _xlfn.LET(
      _xlpm.result,
      IFERROR(
         _xlfn.XLOOKUP(
            1,
            (Table8[رقم الصنف]=A1145) *
            (IF($B$9="الكل",1, YEAR('ادخال البيانات'!$N$3:$N$1164)=VALUE($B$9))) *
            (IF($B$10="الكل",1, MONTH('ادخال البيانات'!$N$3:$N$1164)=VALUE($B$10))) *
            (IF($B$11="الكل",1, INT((DAY('ادخال البيانات'!$N$3:$N$1164)-1)/7)+1 = VALUE($B$11))),
            'ادخال البيانات'!$G$3:$G$1164
         ),
         ""
      ),
      IF(_xlpm.result="", "", _xlpm.result)
   )
)</f>
        <v/>
      </c>
      <c r="H1145" s="27" t="str" cm="1">
        <f t="array" ref="H1145">IF(
   A1145="",
   "",
   _xlfn.LET(
      _xlpm.result,
      IFERROR(
         _xlfn.XLOOKUP(
            1,
            (Table8[رقم الصنف]=A1145) *
            (IF($B$9="الكل",1, YEAR('ادخال البيانات'!$N$3:$N$1164)=VALUE($B$9))) *
            (IF($B$10="الكل",1, MONTH('ادخال البيانات'!$N$3:$N$1164)=VALUE($B$10))) *
            (IF($B$11="الكل",1, INT((DAY('ادخال البيانات'!$N$3:$N$1164)-1)/7)+1 = VALUE($B$11))),
            'ادخال البيانات'!$H$3:$H$1164
         ),
         ""
      ),
      IF(_xlpm.result="", "", _xlpm.result)
   )
)</f>
        <v/>
      </c>
      <c r="I1145" s="27" t="str" cm="1">
        <f t="array" ref="I1145">IF(
   A1145="",
   "",
   _xlfn.LET(
      _xlpm.result,
      IFERROR(
         _xlfn.XLOOKUP(
            1,
            (Table8[رقم الصنف]=A1145) *
            (IF($B$9="الكل",1, YEAR('ادخال البيانات'!$N$3:$N$1164)=VALUE($B$9))) *
            (IF($B$10="الكل",1, MONTH('ادخال البيانات'!$N$3:$N$1164)=VALUE($B$10))) *
            (IF($B$11="الكل",1, INT((DAY('ادخال البيانات'!$N$3:$N$1164)-1)/7)+1 = VALUE($B$11))),
            'ادخال البيانات'!$I$3:$I$1164
         ),
         ""
      ),
      IF(_xlpm.result="", "", _xlpm.result)
   )
)</f>
        <v/>
      </c>
      <c r="J1145" s="27" t="str" cm="1">
        <f t="array" ref="J1145">IF(
   A1145="",
   "",
   _xlfn.LET(
      _xlpm.result,
      IFERROR(
         _xlfn.XLOOKUP(
            1,
            (Table8[رقم الصنف]=A1145) *
            (IF($B$9="الكل",1, YEAR('ادخال البيانات'!$N$3:$N$1164)=VALUE($B$9))) *
            (IF($B$10="الكل",1, MONTH('ادخال البيانات'!$N$3:$N$1164)=VALUE($B$10))) *
            (IF($B$11="الكل",1, INT((DAY('ادخال البيانات'!$N$3:$N$1164)-1)/7)+1 = VALUE($B$11))),
            'ادخال البيانات'!$J$3:$J$1164
         ),
         ""
      ),
      IF(_xlpm.result="", "", _xlpm.result)
   )
)</f>
        <v/>
      </c>
      <c r="K1145" s="27" t="str" cm="1">
        <f t="array" ref="K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5" s="27" t="str" cm="1">
        <f t="array" ref="L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5" s="27" t="str" cm="1">
        <f t="array" ref="M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5" s="28" t="str" cm="1">
        <f t="array" ref="N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5" s="28" t="str" cm="1">
        <f t="array" ref="O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5" s="27" t="str" cm="1">
        <f t="array" ref="P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Table8[جهة العطل]
         ),
         ""
      ),
      IF(_xlpm.result="", "", _xlpm.result)
   )
)</f>
        <v/>
      </c>
      <c r="Q1145" s="27" t="str" cm="1">
        <f t="array" ref="Q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Table8[المركز]
         ),
         ""
      ),
      IF(_xlpm.result="", "", _xlpm.result)
   )
)</f>
        <v/>
      </c>
      <c r="R1145" s="27" t="str" cm="1">
        <f t="array" ref="R1145">IF(
   A1145="",
   "",
   _xlfn.LET(
      _xlpm.result,
      IFERROR(
         _xlfn.XLOOKUP(
            1,
            (Table8[رقم الصنف]=A1145) *
            (IF($B$9="الكل",1, YEAR('ادخال البيانات'!$N$3:$N$1164) = VALUE($B$9))) *
            (IF($B$10="الكل",1, MONTH('ادخال البيانات'!$N$3:$N$1164) = VALUE($B$10))) *
            (IF($B$11="الكل",1, INT((DAY('ادخال البيانات'!$N$3:$N$1164) - 1) / 7) + 1 = VALUE($B$11))),
            Table8[ملاحظة]
         ),
         ""
      ),
      IF(_xlpm.result="", "", _xlpm.result)
   )
)</f>
        <v/>
      </c>
      <c r="S1145" s="46" t="str">
        <f t="shared" ca="1" si="18"/>
        <v/>
      </c>
    </row>
    <row r="1146" spans="1:19" ht="15.6" thickTop="1" thickBot="1" x14ac:dyDescent="0.35">
      <c r="A1146" s="39"/>
      <c r="B1146" s="27" t="str" cm="1">
        <f t="array" ref="B1146">IF(
   OR(A1146="", $B$9="", $B$10="", $B$11=""),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6" s="27" t="str" cm="1">
        <f t="array" ref="C1146">IF(
   A1146="",
   "",
   _xlfn.LET(
      _xlpm.result,
      IFERROR(
         _xlfn.XLOOKUP(
            1,
            (Table8[رقم الصنف]=A1146) *
            (IF($B$9="الكل",1, YEAR('ادخال البيانات'!$N$3:$N$1164) = VALUE($B$9))) *
            (IF($B$10="الكل",1, MONTH('ادخال البيانات'!$N$3:$N$1164) = VALUE($B$10))) *
            (IF($B$11="الكل",1, INT((DAY('ادخال البيانات'!$N$3:$N$1164)-1)/7)+1 = VALUE($B$11))),
            'ادخال البيانات'!$C$3:$C$1164
         ),
         ""
      ),
      IF(_xlpm.result="", "", _xlpm.result)
   )
)</f>
        <v/>
      </c>
      <c r="D1146" s="27" t="str" cm="1">
        <f t="array" ref="D1146">IF(
   OR(A1146="", $B$9="", $B$10="", $B$11=""),
   "",
   _xlfn.LET(
      _xlpm.result,
      IFERROR(
         _xlfn.XLOOKUP(
            1,
            (Table8[رقم الصنف]=A1146) *
            (IF($B$9="الكل",1, YEAR('ادخال البيانات'!$N$3:$N$1164)=VALUE($B$9))) *
            (IF($B$10="الكل",1, MONTH('ادخال البيانات'!$N$3:$N$1164)=VALUE($B$10))) *
            (IF($B$11="الكل",1, INT((DAY('ادخال البيانات'!$N$3:$N$1164)-1)/7)+1 = VALUE($B$11))),
            'ادخال البيانات'!$D$3:$D$1164
         ),
         ""
      ),
      IF(_xlpm.result="", "", _xlpm.result)
   )
)</f>
        <v/>
      </c>
      <c r="E1146" s="27" t="str" cm="1">
        <f t="array" ref="E1146">IF(
   A1146="",
   "",
   _xlfn.LET(
      _xlpm.result,
      IFERROR(
         _xlfn.XLOOKUP(
            1,
            (Table8[رقم الصنف]=A1146) *
            (IF($B$9="الكل",1, YEAR('ادخال البيانات'!$N$3:$N$1164)=VALUE($B$9))) *
            (IF($B$10="الكل",1, MONTH('ادخال البيانات'!$N$3:$N$1164)=VALUE($B$10))) *
            (IF($B$11="الكل",1, INT((DAY('ادخال البيانات'!$N$3:$N$1164)-1)/7)+1 = VALUE($B$11))),
            'ادخال البيانات'!$E$3:$E$1164
         ),
         ""
      ),
      IF(_xlpm.result="", "", _xlpm.result)
   )
)</f>
        <v/>
      </c>
      <c r="F1146" s="27" t="str" cm="1">
        <f t="array" ref="F1146">IF(
   A1146="",
   "",
   _xlfn.LET(
      _xlpm.result,
      IFERROR(
         _xlfn.XLOOKUP(
            1,
            (Table8[رقم الصنف]=A1146) *
            (IF($B$9="الكل",1, YEAR('ادخال البيانات'!$N$3:$N$1164) = VALUE($B$9))) *
            (IF($B$10="الكل",1, MONTH('ادخال البيانات'!$N$3:$N$1164) = VALUE($B$10))) *
            (IF($B$11="الكل",1, INT((DAY('ادخال البيانات'!$N$3:$N$1164)-1)/7)+1 = VALUE($B$11))),
            'ادخال البيانات'!$F$3:$F$1164
         ),
         ""
      ),
      IF(_xlpm.result="", "", _xlpm.result)
   )
)</f>
        <v/>
      </c>
      <c r="G1146" s="27" t="str" cm="1">
        <f t="array" ref="G1146">IF(
   A1146="",
   "",
   _xlfn.LET(
      _xlpm.result,
      IFERROR(
         _xlfn.XLOOKUP(
            1,
            (Table8[رقم الصنف]=A1146) *
            (IF($B$9="الكل",1, YEAR('ادخال البيانات'!$N$3:$N$1164)=VALUE($B$9))) *
            (IF($B$10="الكل",1, MONTH('ادخال البيانات'!$N$3:$N$1164)=VALUE($B$10))) *
            (IF($B$11="الكل",1, INT((DAY('ادخال البيانات'!$N$3:$N$1164)-1)/7)+1 = VALUE($B$11))),
            'ادخال البيانات'!$G$3:$G$1164
         ),
         ""
      ),
      IF(_xlpm.result="", "", _xlpm.result)
   )
)</f>
        <v/>
      </c>
      <c r="H1146" s="27" t="str" cm="1">
        <f t="array" ref="H1146">IF(
   A1146="",
   "",
   _xlfn.LET(
      _xlpm.result,
      IFERROR(
         _xlfn.XLOOKUP(
            1,
            (Table8[رقم الصنف]=A1146) *
            (IF($B$9="الكل",1, YEAR('ادخال البيانات'!$N$3:$N$1164)=VALUE($B$9))) *
            (IF($B$10="الكل",1, MONTH('ادخال البيانات'!$N$3:$N$1164)=VALUE($B$10))) *
            (IF($B$11="الكل",1, INT((DAY('ادخال البيانات'!$N$3:$N$1164)-1)/7)+1 = VALUE($B$11))),
            'ادخال البيانات'!$H$3:$H$1164
         ),
         ""
      ),
      IF(_xlpm.result="", "", _xlpm.result)
   )
)</f>
        <v/>
      </c>
      <c r="I1146" s="27" t="str" cm="1">
        <f t="array" ref="I1146">IF(
   A1146="",
   "",
   _xlfn.LET(
      _xlpm.result,
      IFERROR(
         _xlfn.XLOOKUP(
            1,
            (Table8[رقم الصنف]=A1146) *
            (IF($B$9="الكل",1, YEAR('ادخال البيانات'!$N$3:$N$1164)=VALUE($B$9))) *
            (IF($B$10="الكل",1, MONTH('ادخال البيانات'!$N$3:$N$1164)=VALUE($B$10))) *
            (IF($B$11="الكل",1, INT((DAY('ادخال البيانات'!$N$3:$N$1164)-1)/7)+1 = VALUE($B$11))),
            'ادخال البيانات'!$I$3:$I$1164
         ),
         ""
      ),
      IF(_xlpm.result="", "", _xlpm.result)
   )
)</f>
        <v/>
      </c>
      <c r="J1146" s="27" t="str" cm="1">
        <f t="array" ref="J1146">IF(
   A1146="",
   "",
   _xlfn.LET(
      _xlpm.result,
      IFERROR(
         _xlfn.XLOOKUP(
            1,
            (Table8[رقم الصنف]=A1146) *
            (IF($B$9="الكل",1, YEAR('ادخال البيانات'!$N$3:$N$1164)=VALUE($B$9))) *
            (IF($B$10="الكل",1, MONTH('ادخال البيانات'!$N$3:$N$1164)=VALUE($B$10))) *
            (IF($B$11="الكل",1, INT((DAY('ادخال البيانات'!$N$3:$N$1164)-1)/7)+1 = VALUE($B$11))),
            'ادخال البيانات'!$J$3:$J$1164
         ),
         ""
      ),
      IF(_xlpm.result="", "", _xlpm.result)
   )
)</f>
        <v/>
      </c>
      <c r="K1146" s="27" t="str" cm="1">
        <f t="array" ref="K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6" s="27" t="str" cm="1">
        <f t="array" ref="L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6" s="27" t="str" cm="1">
        <f t="array" ref="M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6" s="28" t="str" cm="1">
        <f t="array" ref="N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6" s="28" t="str" cm="1">
        <f t="array" ref="O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6" s="27" t="str" cm="1">
        <f t="array" ref="P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Table8[جهة العطل]
         ),
         ""
      ),
      IF(_xlpm.result="", "", _xlpm.result)
   )
)</f>
        <v/>
      </c>
      <c r="Q1146" s="27" t="str" cm="1">
        <f t="array" ref="Q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Table8[المركز]
         ),
         ""
      ),
      IF(_xlpm.result="", "", _xlpm.result)
   )
)</f>
        <v/>
      </c>
      <c r="R1146" s="27" t="str" cm="1">
        <f t="array" ref="R1146">IF(
   A1146="",
   "",
   _xlfn.LET(
      _xlpm.result,
      IFERROR(
         _xlfn.XLOOKUP(
            1,
            (Table8[رقم الصنف]=A1146) *
            (IF($B$9="الكل",1, YEAR('ادخال البيانات'!$N$3:$N$1164) = VALUE($B$9))) *
            (IF($B$10="الكل",1, MONTH('ادخال البيانات'!$N$3:$N$1164) = VALUE($B$10))) *
            (IF($B$11="الكل",1, INT((DAY('ادخال البيانات'!$N$3:$N$1164) - 1) / 7) + 1 = VALUE($B$11))),
            Table8[ملاحظة]
         ),
         ""
      ),
      IF(_xlpm.result="", "", _xlpm.result)
   )
)</f>
        <v/>
      </c>
      <c r="S1146" s="46" t="str">
        <f t="shared" ca="1" si="18"/>
        <v/>
      </c>
    </row>
    <row r="1147" spans="1:19" ht="15.6" thickTop="1" thickBot="1" x14ac:dyDescent="0.35">
      <c r="A1147" s="39"/>
      <c r="B1147" s="27" t="str" cm="1">
        <f t="array" ref="B1147">IF(
   OR(A1147="", $B$9="", $B$10="", $B$11=""),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7" s="27" t="str" cm="1">
        <f t="array" ref="C1147">IF(
   A1147="",
   "",
   _xlfn.LET(
      _xlpm.result,
      IFERROR(
         _xlfn.XLOOKUP(
            1,
            (Table8[رقم الصنف]=A1147) *
            (IF($B$9="الكل",1, YEAR('ادخال البيانات'!$N$3:$N$1164) = VALUE($B$9))) *
            (IF($B$10="الكل",1, MONTH('ادخال البيانات'!$N$3:$N$1164) = VALUE($B$10))) *
            (IF($B$11="الكل",1, INT((DAY('ادخال البيانات'!$N$3:$N$1164)-1)/7)+1 = VALUE($B$11))),
            'ادخال البيانات'!$C$3:$C$1164
         ),
         ""
      ),
      IF(_xlpm.result="", "", _xlpm.result)
   )
)</f>
        <v/>
      </c>
      <c r="D1147" s="27" t="str" cm="1">
        <f t="array" ref="D1147">IF(
   OR(A1147="", $B$9="", $B$10="", $B$11=""),
   "",
   _xlfn.LET(
      _xlpm.result,
      IFERROR(
         _xlfn.XLOOKUP(
            1,
            (Table8[رقم الصنف]=A1147) *
            (IF($B$9="الكل",1, YEAR('ادخال البيانات'!$N$3:$N$1164)=VALUE($B$9))) *
            (IF($B$10="الكل",1, MONTH('ادخال البيانات'!$N$3:$N$1164)=VALUE($B$10))) *
            (IF($B$11="الكل",1, INT((DAY('ادخال البيانات'!$N$3:$N$1164)-1)/7)+1 = VALUE($B$11))),
            'ادخال البيانات'!$D$3:$D$1164
         ),
         ""
      ),
      IF(_xlpm.result="", "", _xlpm.result)
   )
)</f>
        <v/>
      </c>
      <c r="E1147" s="27" t="str" cm="1">
        <f t="array" ref="E1147">IF(
   A1147="",
   "",
   _xlfn.LET(
      _xlpm.result,
      IFERROR(
         _xlfn.XLOOKUP(
            1,
            (Table8[رقم الصنف]=A1147) *
            (IF($B$9="الكل",1, YEAR('ادخال البيانات'!$N$3:$N$1164)=VALUE($B$9))) *
            (IF($B$10="الكل",1, MONTH('ادخال البيانات'!$N$3:$N$1164)=VALUE($B$10))) *
            (IF($B$11="الكل",1, INT((DAY('ادخال البيانات'!$N$3:$N$1164)-1)/7)+1 = VALUE($B$11))),
            'ادخال البيانات'!$E$3:$E$1164
         ),
         ""
      ),
      IF(_xlpm.result="", "", _xlpm.result)
   )
)</f>
        <v/>
      </c>
      <c r="F1147" s="27" t="str" cm="1">
        <f t="array" ref="F1147">IF(
   A1147="",
   "",
   _xlfn.LET(
      _xlpm.result,
      IFERROR(
         _xlfn.XLOOKUP(
            1,
            (Table8[رقم الصنف]=A1147) *
            (IF($B$9="الكل",1, YEAR('ادخال البيانات'!$N$3:$N$1164) = VALUE($B$9))) *
            (IF($B$10="الكل",1, MONTH('ادخال البيانات'!$N$3:$N$1164) = VALUE($B$10))) *
            (IF($B$11="الكل",1, INT((DAY('ادخال البيانات'!$N$3:$N$1164)-1)/7)+1 = VALUE($B$11))),
            'ادخال البيانات'!$F$3:$F$1164
         ),
         ""
      ),
      IF(_xlpm.result="", "", _xlpm.result)
   )
)</f>
        <v/>
      </c>
      <c r="G1147" s="27" t="str" cm="1">
        <f t="array" ref="G1147">IF(
   A1147="",
   "",
   _xlfn.LET(
      _xlpm.result,
      IFERROR(
         _xlfn.XLOOKUP(
            1,
            (Table8[رقم الصنف]=A1147) *
            (IF($B$9="الكل",1, YEAR('ادخال البيانات'!$N$3:$N$1164)=VALUE($B$9))) *
            (IF($B$10="الكل",1, MONTH('ادخال البيانات'!$N$3:$N$1164)=VALUE($B$10))) *
            (IF($B$11="الكل",1, INT((DAY('ادخال البيانات'!$N$3:$N$1164)-1)/7)+1 = VALUE($B$11))),
            'ادخال البيانات'!$G$3:$G$1164
         ),
         ""
      ),
      IF(_xlpm.result="", "", _xlpm.result)
   )
)</f>
        <v/>
      </c>
      <c r="H1147" s="27" t="str" cm="1">
        <f t="array" ref="H1147">IF(
   A1147="",
   "",
   _xlfn.LET(
      _xlpm.result,
      IFERROR(
         _xlfn.XLOOKUP(
            1,
            (Table8[رقم الصنف]=A1147) *
            (IF($B$9="الكل",1, YEAR('ادخال البيانات'!$N$3:$N$1164)=VALUE($B$9))) *
            (IF($B$10="الكل",1, MONTH('ادخال البيانات'!$N$3:$N$1164)=VALUE($B$10))) *
            (IF($B$11="الكل",1, INT((DAY('ادخال البيانات'!$N$3:$N$1164)-1)/7)+1 = VALUE($B$11))),
            'ادخال البيانات'!$H$3:$H$1164
         ),
         ""
      ),
      IF(_xlpm.result="", "", _xlpm.result)
   )
)</f>
        <v/>
      </c>
      <c r="I1147" s="27" t="str" cm="1">
        <f t="array" ref="I1147">IF(
   A1147="",
   "",
   _xlfn.LET(
      _xlpm.result,
      IFERROR(
         _xlfn.XLOOKUP(
            1,
            (Table8[رقم الصنف]=A1147) *
            (IF($B$9="الكل",1, YEAR('ادخال البيانات'!$N$3:$N$1164)=VALUE($B$9))) *
            (IF($B$10="الكل",1, MONTH('ادخال البيانات'!$N$3:$N$1164)=VALUE($B$10))) *
            (IF($B$11="الكل",1, INT((DAY('ادخال البيانات'!$N$3:$N$1164)-1)/7)+1 = VALUE($B$11))),
            'ادخال البيانات'!$I$3:$I$1164
         ),
         ""
      ),
      IF(_xlpm.result="", "", _xlpm.result)
   )
)</f>
        <v/>
      </c>
      <c r="J1147" s="27" t="str" cm="1">
        <f t="array" ref="J1147">IF(
   A1147="",
   "",
   _xlfn.LET(
      _xlpm.result,
      IFERROR(
         _xlfn.XLOOKUP(
            1,
            (Table8[رقم الصنف]=A1147) *
            (IF($B$9="الكل",1, YEAR('ادخال البيانات'!$N$3:$N$1164)=VALUE($B$9))) *
            (IF($B$10="الكل",1, MONTH('ادخال البيانات'!$N$3:$N$1164)=VALUE($B$10))) *
            (IF($B$11="الكل",1, INT((DAY('ادخال البيانات'!$N$3:$N$1164)-1)/7)+1 = VALUE($B$11))),
            'ادخال البيانات'!$J$3:$J$1164
         ),
         ""
      ),
      IF(_xlpm.result="", "", _xlpm.result)
   )
)</f>
        <v/>
      </c>
      <c r="K1147" s="27" t="str" cm="1">
        <f t="array" ref="K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7" s="27" t="str" cm="1">
        <f t="array" ref="L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7" s="27" t="str" cm="1">
        <f t="array" ref="M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7" s="28" t="str" cm="1">
        <f t="array" ref="N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7" s="28" t="str" cm="1">
        <f t="array" ref="O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7" s="27" t="str" cm="1">
        <f t="array" ref="P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Table8[جهة العطل]
         ),
         ""
      ),
      IF(_xlpm.result="", "", _xlpm.result)
   )
)</f>
        <v/>
      </c>
      <c r="Q1147" s="27" t="str" cm="1">
        <f t="array" ref="Q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Table8[المركز]
         ),
         ""
      ),
      IF(_xlpm.result="", "", _xlpm.result)
   )
)</f>
        <v/>
      </c>
      <c r="R1147" s="27" t="str" cm="1">
        <f t="array" ref="R1147">IF(
   A1147="",
   "",
   _xlfn.LET(
      _xlpm.result,
      IFERROR(
         _xlfn.XLOOKUP(
            1,
            (Table8[رقم الصنف]=A1147) *
            (IF($B$9="الكل",1, YEAR('ادخال البيانات'!$N$3:$N$1164) = VALUE($B$9))) *
            (IF($B$10="الكل",1, MONTH('ادخال البيانات'!$N$3:$N$1164) = VALUE($B$10))) *
            (IF($B$11="الكل",1, INT((DAY('ادخال البيانات'!$N$3:$N$1164) - 1) / 7) + 1 = VALUE($B$11))),
            Table8[ملاحظة]
         ),
         ""
      ),
      IF(_xlpm.result="", "", _xlpm.result)
   )
)</f>
        <v/>
      </c>
      <c r="S1147" s="46" t="str">
        <f t="shared" ca="1" si="18"/>
        <v/>
      </c>
    </row>
    <row r="1148" spans="1:19" ht="15.6" thickTop="1" thickBot="1" x14ac:dyDescent="0.35">
      <c r="A1148" s="39"/>
      <c r="B1148" s="27" t="str" cm="1">
        <f t="array" ref="B1148">IF(
   OR(A1148="", $B$9="", $B$10="", $B$11=""),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8" s="27" t="str" cm="1">
        <f t="array" ref="C1148">IF(
   A1148="",
   "",
   _xlfn.LET(
      _xlpm.result,
      IFERROR(
         _xlfn.XLOOKUP(
            1,
            (Table8[رقم الصنف]=A1148) *
            (IF($B$9="الكل",1, YEAR('ادخال البيانات'!$N$3:$N$1164) = VALUE($B$9))) *
            (IF($B$10="الكل",1, MONTH('ادخال البيانات'!$N$3:$N$1164) = VALUE($B$10))) *
            (IF($B$11="الكل",1, INT((DAY('ادخال البيانات'!$N$3:$N$1164)-1)/7)+1 = VALUE($B$11))),
            'ادخال البيانات'!$C$3:$C$1164
         ),
         ""
      ),
      IF(_xlpm.result="", "", _xlpm.result)
   )
)</f>
        <v/>
      </c>
      <c r="D1148" s="27" t="str" cm="1">
        <f t="array" ref="D1148">IF(
   OR(A1148="", $B$9="", $B$10="", $B$11=""),
   "",
   _xlfn.LET(
      _xlpm.result,
      IFERROR(
         _xlfn.XLOOKUP(
            1,
            (Table8[رقم الصنف]=A1148) *
            (IF($B$9="الكل",1, YEAR('ادخال البيانات'!$N$3:$N$1164)=VALUE($B$9))) *
            (IF($B$10="الكل",1, MONTH('ادخال البيانات'!$N$3:$N$1164)=VALUE($B$10))) *
            (IF($B$11="الكل",1, INT((DAY('ادخال البيانات'!$N$3:$N$1164)-1)/7)+1 = VALUE($B$11))),
            'ادخال البيانات'!$D$3:$D$1164
         ),
         ""
      ),
      IF(_xlpm.result="", "", _xlpm.result)
   )
)</f>
        <v/>
      </c>
      <c r="E1148" s="27" t="str" cm="1">
        <f t="array" ref="E1148">IF(
   A1148="",
   "",
   _xlfn.LET(
      _xlpm.result,
      IFERROR(
         _xlfn.XLOOKUP(
            1,
            (Table8[رقم الصنف]=A1148) *
            (IF($B$9="الكل",1, YEAR('ادخال البيانات'!$N$3:$N$1164)=VALUE($B$9))) *
            (IF($B$10="الكل",1, MONTH('ادخال البيانات'!$N$3:$N$1164)=VALUE($B$10))) *
            (IF($B$11="الكل",1, INT((DAY('ادخال البيانات'!$N$3:$N$1164)-1)/7)+1 = VALUE($B$11))),
            'ادخال البيانات'!$E$3:$E$1164
         ),
         ""
      ),
      IF(_xlpm.result="", "", _xlpm.result)
   )
)</f>
        <v/>
      </c>
      <c r="F1148" s="27" t="str" cm="1">
        <f t="array" ref="F1148">IF(
   A1148="",
   "",
   _xlfn.LET(
      _xlpm.result,
      IFERROR(
         _xlfn.XLOOKUP(
            1,
            (Table8[رقم الصنف]=A1148) *
            (IF($B$9="الكل",1, YEAR('ادخال البيانات'!$N$3:$N$1164) = VALUE($B$9))) *
            (IF($B$10="الكل",1, MONTH('ادخال البيانات'!$N$3:$N$1164) = VALUE($B$10))) *
            (IF($B$11="الكل",1, INT((DAY('ادخال البيانات'!$N$3:$N$1164)-1)/7)+1 = VALUE($B$11))),
            'ادخال البيانات'!$F$3:$F$1164
         ),
         ""
      ),
      IF(_xlpm.result="", "", _xlpm.result)
   )
)</f>
        <v/>
      </c>
      <c r="G1148" s="27" t="str" cm="1">
        <f t="array" ref="G1148">IF(
   A1148="",
   "",
   _xlfn.LET(
      _xlpm.result,
      IFERROR(
         _xlfn.XLOOKUP(
            1,
            (Table8[رقم الصنف]=A1148) *
            (IF($B$9="الكل",1, YEAR('ادخال البيانات'!$N$3:$N$1164)=VALUE($B$9))) *
            (IF($B$10="الكل",1, MONTH('ادخال البيانات'!$N$3:$N$1164)=VALUE($B$10))) *
            (IF($B$11="الكل",1, INT((DAY('ادخال البيانات'!$N$3:$N$1164)-1)/7)+1 = VALUE($B$11))),
            'ادخال البيانات'!$G$3:$G$1164
         ),
         ""
      ),
      IF(_xlpm.result="", "", _xlpm.result)
   )
)</f>
        <v/>
      </c>
      <c r="H1148" s="27" t="str" cm="1">
        <f t="array" ref="H1148">IF(
   A1148="",
   "",
   _xlfn.LET(
      _xlpm.result,
      IFERROR(
         _xlfn.XLOOKUP(
            1,
            (Table8[رقم الصنف]=A1148) *
            (IF($B$9="الكل",1, YEAR('ادخال البيانات'!$N$3:$N$1164)=VALUE($B$9))) *
            (IF($B$10="الكل",1, MONTH('ادخال البيانات'!$N$3:$N$1164)=VALUE($B$10))) *
            (IF($B$11="الكل",1, INT((DAY('ادخال البيانات'!$N$3:$N$1164)-1)/7)+1 = VALUE($B$11))),
            'ادخال البيانات'!$H$3:$H$1164
         ),
         ""
      ),
      IF(_xlpm.result="", "", _xlpm.result)
   )
)</f>
        <v/>
      </c>
      <c r="I1148" s="27" t="str" cm="1">
        <f t="array" ref="I1148">IF(
   A1148="",
   "",
   _xlfn.LET(
      _xlpm.result,
      IFERROR(
         _xlfn.XLOOKUP(
            1,
            (Table8[رقم الصنف]=A1148) *
            (IF($B$9="الكل",1, YEAR('ادخال البيانات'!$N$3:$N$1164)=VALUE($B$9))) *
            (IF($B$10="الكل",1, MONTH('ادخال البيانات'!$N$3:$N$1164)=VALUE($B$10))) *
            (IF($B$11="الكل",1, INT((DAY('ادخال البيانات'!$N$3:$N$1164)-1)/7)+1 = VALUE($B$11))),
            'ادخال البيانات'!$I$3:$I$1164
         ),
         ""
      ),
      IF(_xlpm.result="", "", _xlpm.result)
   )
)</f>
        <v/>
      </c>
      <c r="J1148" s="27" t="str" cm="1">
        <f t="array" ref="J1148">IF(
   A1148="",
   "",
   _xlfn.LET(
      _xlpm.result,
      IFERROR(
         _xlfn.XLOOKUP(
            1,
            (Table8[رقم الصنف]=A1148) *
            (IF($B$9="الكل",1, YEAR('ادخال البيانات'!$N$3:$N$1164)=VALUE($B$9))) *
            (IF($B$10="الكل",1, MONTH('ادخال البيانات'!$N$3:$N$1164)=VALUE($B$10))) *
            (IF($B$11="الكل",1, INT((DAY('ادخال البيانات'!$N$3:$N$1164)-1)/7)+1 = VALUE($B$11))),
            'ادخال البيانات'!$J$3:$J$1164
         ),
         ""
      ),
      IF(_xlpm.result="", "", _xlpm.result)
   )
)</f>
        <v/>
      </c>
      <c r="K1148" s="27" t="str" cm="1">
        <f t="array" ref="K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8" s="27" t="str" cm="1">
        <f t="array" ref="L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8" s="27" t="str" cm="1">
        <f t="array" ref="M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8" s="28" t="str" cm="1">
        <f t="array" ref="N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8" s="28" t="str" cm="1">
        <f t="array" ref="O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8" s="27" t="str" cm="1">
        <f t="array" ref="P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Table8[جهة العطل]
         ),
         ""
      ),
      IF(_xlpm.result="", "", _xlpm.result)
   )
)</f>
        <v/>
      </c>
      <c r="Q1148" s="27" t="str" cm="1">
        <f t="array" ref="Q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Table8[المركز]
         ),
         ""
      ),
      IF(_xlpm.result="", "", _xlpm.result)
   )
)</f>
        <v/>
      </c>
      <c r="R1148" s="27" t="str" cm="1">
        <f t="array" ref="R1148">IF(
   A1148="",
   "",
   _xlfn.LET(
      _xlpm.result,
      IFERROR(
         _xlfn.XLOOKUP(
            1,
            (Table8[رقم الصنف]=A1148) *
            (IF($B$9="الكل",1, YEAR('ادخال البيانات'!$N$3:$N$1164) = VALUE($B$9))) *
            (IF($B$10="الكل",1, MONTH('ادخال البيانات'!$N$3:$N$1164) = VALUE($B$10))) *
            (IF($B$11="الكل",1, INT((DAY('ادخال البيانات'!$N$3:$N$1164) - 1) / 7) + 1 = VALUE($B$11))),
            Table8[ملاحظة]
         ),
         ""
      ),
      IF(_xlpm.result="", "", _xlpm.result)
   )
)</f>
        <v/>
      </c>
      <c r="S1148" s="46" t="str">
        <f t="shared" ca="1" si="18"/>
        <v/>
      </c>
    </row>
    <row r="1149" spans="1:19" ht="15.6" thickTop="1" thickBot="1" x14ac:dyDescent="0.35">
      <c r="A1149" s="39"/>
      <c r="B1149" s="27" t="str" cm="1">
        <f t="array" ref="B1149">IF(
   OR(A1149="", $B$9="", $B$10="", $B$11=""),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49" s="27" t="str" cm="1">
        <f t="array" ref="C1149">IF(
   A1149="",
   "",
   _xlfn.LET(
      _xlpm.result,
      IFERROR(
         _xlfn.XLOOKUP(
            1,
            (Table8[رقم الصنف]=A1149) *
            (IF($B$9="الكل",1, YEAR('ادخال البيانات'!$N$3:$N$1164) = VALUE($B$9))) *
            (IF($B$10="الكل",1, MONTH('ادخال البيانات'!$N$3:$N$1164) = VALUE($B$10))) *
            (IF($B$11="الكل",1, INT((DAY('ادخال البيانات'!$N$3:$N$1164)-1)/7)+1 = VALUE($B$11))),
            'ادخال البيانات'!$C$3:$C$1164
         ),
         ""
      ),
      IF(_xlpm.result="", "", _xlpm.result)
   )
)</f>
        <v/>
      </c>
      <c r="D1149" s="27" t="str" cm="1">
        <f t="array" ref="D1149">IF(
   OR(A1149="", $B$9="", $B$10="", $B$11=""),
   "",
   _xlfn.LET(
      _xlpm.result,
      IFERROR(
         _xlfn.XLOOKUP(
            1,
            (Table8[رقم الصنف]=A1149) *
            (IF($B$9="الكل",1, YEAR('ادخال البيانات'!$N$3:$N$1164)=VALUE($B$9))) *
            (IF($B$10="الكل",1, MONTH('ادخال البيانات'!$N$3:$N$1164)=VALUE($B$10))) *
            (IF($B$11="الكل",1, INT((DAY('ادخال البيانات'!$N$3:$N$1164)-1)/7)+1 = VALUE($B$11))),
            'ادخال البيانات'!$D$3:$D$1164
         ),
         ""
      ),
      IF(_xlpm.result="", "", _xlpm.result)
   )
)</f>
        <v/>
      </c>
      <c r="E1149" s="27" t="str" cm="1">
        <f t="array" ref="E1149">IF(
   A1149="",
   "",
   _xlfn.LET(
      _xlpm.result,
      IFERROR(
         _xlfn.XLOOKUP(
            1,
            (Table8[رقم الصنف]=A1149) *
            (IF($B$9="الكل",1, YEAR('ادخال البيانات'!$N$3:$N$1164)=VALUE($B$9))) *
            (IF($B$10="الكل",1, MONTH('ادخال البيانات'!$N$3:$N$1164)=VALUE($B$10))) *
            (IF($B$11="الكل",1, INT((DAY('ادخال البيانات'!$N$3:$N$1164)-1)/7)+1 = VALUE($B$11))),
            'ادخال البيانات'!$E$3:$E$1164
         ),
         ""
      ),
      IF(_xlpm.result="", "", _xlpm.result)
   )
)</f>
        <v/>
      </c>
      <c r="F1149" s="27" t="str" cm="1">
        <f t="array" ref="F1149">IF(
   A1149="",
   "",
   _xlfn.LET(
      _xlpm.result,
      IFERROR(
         _xlfn.XLOOKUP(
            1,
            (Table8[رقم الصنف]=A1149) *
            (IF($B$9="الكل",1, YEAR('ادخال البيانات'!$N$3:$N$1164) = VALUE($B$9))) *
            (IF($B$10="الكل",1, MONTH('ادخال البيانات'!$N$3:$N$1164) = VALUE($B$10))) *
            (IF($B$11="الكل",1, INT((DAY('ادخال البيانات'!$N$3:$N$1164)-1)/7)+1 = VALUE($B$11))),
            'ادخال البيانات'!$F$3:$F$1164
         ),
         ""
      ),
      IF(_xlpm.result="", "", _xlpm.result)
   )
)</f>
        <v/>
      </c>
      <c r="G1149" s="27" t="str" cm="1">
        <f t="array" ref="G1149">IF(
   A1149="",
   "",
   _xlfn.LET(
      _xlpm.result,
      IFERROR(
         _xlfn.XLOOKUP(
            1,
            (Table8[رقم الصنف]=A1149) *
            (IF($B$9="الكل",1, YEAR('ادخال البيانات'!$N$3:$N$1164)=VALUE($B$9))) *
            (IF($B$10="الكل",1, MONTH('ادخال البيانات'!$N$3:$N$1164)=VALUE($B$10))) *
            (IF($B$11="الكل",1, INT((DAY('ادخال البيانات'!$N$3:$N$1164)-1)/7)+1 = VALUE($B$11))),
            'ادخال البيانات'!$G$3:$G$1164
         ),
         ""
      ),
      IF(_xlpm.result="", "", _xlpm.result)
   )
)</f>
        <v/>
      </c>
      <c r="H1149" s="27" t="str" cm="1">
        <f t="array" ref="H1149">IF(
   A1149="",
   "",
   _xlfn.LET(
      _xlpm.result,
      IFERROR(
         _xlfn.XLOOKUP(
            1,
            (Table8[رقم الصنف]=A1149) *
            (IF($B$9="الكل",1, YEAR('ادخال البيانات'!$N$3:$N$1164)=VALUE($B$9))) *
            (IF($B$10="الكل",1, MONTH('ادخال البيانات'!$N$3:$N$1164)=VALUE($B$10))) *
            (IF($B$11="الكل",1, INT((DAY('ادخال البيانات'!$N$3:$N$1164)-1)/7)+1 = VALUE($B$11))),
            'ادخال البيانات'!$H$3:$H$1164
         ),
         ""
      ),
      IF(_xlpm.result="", "", _xlpm.result)
   )
)</f>
        <v/>
      </c>
      <c r="I1149" s="27" t="str" cm="1">
        <f t="array" ref="I1149">IF(
   A1149="",
   "",
   _xlfn.LET(
      _xlpm.result,
      IFERROR(
         _xlfn.XLOOKUP(
            1,
            (Table8[رقم الصنف]=A1149) *
            (IF($B$9="الكل",1, YEAR('ادخال البيانات'!$N$3:$N$1164)=VALUE($B$9))) *
            (IF($B$10="الكل",1, MONTH('ادخال البيانات'!$N$3:$N$1164)=VALUE($B$10))) *
            (IF($B$11="الكل",1, INT((DAY('ادخال البيانات'!$N$3:$N$1164)-1)/7)+1 = VALUE($B$11))),
            'ادخال البيانات'!$I$3:$I$1164
         ),
         ""
      ),
      IF(_xlpm.result="", "", _xlpm.result)
   )
)</f>
        <v/>
      </c>
      <c r="J1149" s="27" t="str" cm="1">
        <f t="array" ref="J1149">IF(
   A1149="",
   "",
   _xlfn.LET(
      _xlpm.result,
      IFERROR(
         _xlfn.XLOOKUP(
            1,
            (Table8[رقم الصنف]=A1149) *
            (IF($B$9="الكل",1, YEAR('ادخال البيانات'!$N$3:$N$1164)=VALUE($B$9))) *
            (IF($B$10="الكل",1, MONTH('ادخال البيانات'!$N$3:$N$1164)=VALUE($B$10))) *
            (IF($B$11="الكل",1, INT((DAY('ادخال البيانات'!$N$3:$N$1164)-1)/7)+1 = VALUE($B$11))),
            'ادخال البيانات'!$J$3:$J$1164
         ),
         ""
      ),
      IF(_xlpm.result="", "", _xlpm.result)
   )
)</f>
        <v/>
      </c>
      <c r="K1149" s="27" t="str" cm="1">
        <f t="array" ref="K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49" s="27" t="str" cm="1">
        <f t="array" ref="L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49" s="27" t="str" cm="1">
        <f t="array" ref="M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49" s="28" t="str" cm="1">
        <f t="array" ref="N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49" s="28" t="str" cm="1">
        <f t="array" ref="O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49" s="27" t="str" cm="1">
        <f t="array" ref="P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Table8[جهة العطل]
         ),
         ""
      ),
      IF(_xlpm.result="", "", _xlpm.result)
   )
)</f>
        <v/>
      </c>
      <c r="Q1149" s="27" t="str" cm="1">
        <f t="array" ref="Q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Table8[المركز]
         ),
         ""
      ),
      IF(_xlpm.result="", "", _xlpm.result)
   )
)</f>
        <v/>
      </c>
      <c r="R1149" s="27" t="str" cm="1">
        <f t="array" ref="R1149">IF(
   A1149="",
   "",
   _xlfn.LET(
      _xlpm.result,
      IFERROR(
         _xlfn.XLOOKUP(
            1,
            (Table8[رقم الصنف]=A1149) *
            (IF($B$9="الكل",1, YEAR('ادخال البيانات'!$N$3:$N$1164) = VALUE($B$9))) *
            (IF($B$10="الكل",1, MONTH('ادخال البيانات'!$N$3:$N$1164) = VALUE($B$10))) *
            (IF($B$11="الكل",1, INT((DAY('ادخال البيانات'!$N$3:$N$1164) - 1) / 7) + 1 = VALUE($B$11))),
            Table8[ملاحظة]
         ),
         ""
      ),
      IF(_xlpm.result="", "", _xlpm.result)
   )
)</f>
        <v/>
      </c>
      <c r="S1149" s="46" t="str">
        <f t="shared" ca="1" si="18"/>
        <v/>
      </c>
    </row>
    <row r="1150" spans="1:19" ht="15.6" thickTop="1" thickBot="1" x14ac:dyDescent="0.35">
      <c r="A1150" s="39"/>
      <c r="B1150" s="27" t="str" cm="1">
        <f t="array" ref="B1150">IF(
   OR(A1150="", $B$9="", $B$10="", $B$11=""),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0" s="27" t="str" cm="1">
        <f t="array" ref="C1150">IF(
   A1150="",
   "",
   _xlfn.LET(
      _xlpm.result,
      IFERROR(
         _xlfn.XLOOKUP(
            1,
            (Table8[رقم الصنف]=A1150) *
            (IF($B$9="الكل",1, YEAR('ادخال البيانات'!$N$3:$N$1164) = VALUE($B$9))) *
            (IF($B$10="الكل",1, MONTH('ادخال البيانات'!$N$3:$N$1164) = VALUE($B$10))) *
            (IF($B$11="الكل",1, INT((DAY('ادخال البيانات'!$N$3:$N$1164)-1)/7)+1 = VALUE($B$11))),
            'ادخال البيانات'!$C$3:$C$1164
         ),
         ""
      ),
      IF(_xlpm.result="", "", _xlpm.result)
   )
)</f>
        <v/>
      </c>
      <c r="D1150" s="27" t="str" cm="1">
        <f t="array" ref="D1150">IF(
   OR(A1150="", $B$9="", $B$10="", $B$11=""),
   "",
   _xlfn.LET(
      _xlpm.result,
      IFERROR(
         _xlfn.XLOOKUP(
            1,
            (Table8[رقم الصنف]=A1150) *
            (IF($B$9="الكل",1, YEAR('ادخال البيانات'!$N$3:$N$1164)=VALUE($B$9))) *
            (IF($B$10="الكل",1, MONTH('ادخال البيانات'!$N$3:$N$1164)=VALUE($B$10))) *
            (IF($B$11="الكل",1, INT((DAY('ادخال البيانات'!$N$3:$N$1164)-1)/7)+1 = VALUE($B$11))),
            'ادخال البيانات'!$D$3:$D$1164
         ),
         ""
      ),
      IF(_xlpm.result="", "", _xlpm.result)
   )
)</f>
        <v/>
      </c>
      <c r="E1150" s="27" t="str" cm="1">
        <f t="array" ref="E1150">IF(
   A1150="",
   "",
   _xlfn.LET(
      _xlpm.result,
      IFERROR(
         _xlfn.XLOOKUP(
            1,
            (Table8[رقم الصنف]=A1150) *
            (IF($B$9="الكل",1, YEAR('ادخال البيانات'!$N$3:$N$1164)=VALUE($B$9))) *
            (IF($B$10="الكل",1, MONTH('ادخال البيانات'!$N$3:$N$1164)=VALUE($B$10))) *
            (IF($B$11="الكل",1, INT((DAY('ادخال البيانات'!$N$3:$N$1164)-1)/7)+1 = VALUE($B$11))),
            'ادخال البيانات'!$E$3:$E$1164
         ),
         ""
      ),
      IF(_xlpm.result="", "", _xlpm.result)
   )
)</f>
        <v/>
      </c>
      <c r="F1150" s="27" t="str" cm="1">
        <f t="array" ref="F1150">IF(
   A1150="",
   "",
   _xlfn.LET(
      _xlpm.result,
      IFERROR(
         _xlfn.XLOOKUP(
            1,
            (Table8[رقم الصنف]=A1150) *
            (IF($B$9="الكل",1, YEAR('ادخال البيانات'!$N$3:$N$1164) = VALUE($B$9))) *
            (IF($B$10="الكل",1, MONTH('ادخال البيانات'!$N$3:$N$1164) = VALUE($B$10))) *
            (IF($B$11="الكل",1, INT((DAY('ادخال البيانات'!$N$3:$N$1164)-1)/7)+1 = VALUE($B$11))),
            'ادخال البيانات'!$F$3:$F$1164
         ),
         ""
      ),
      IF(_xlpm.result="", "", _xlpm.result)
   )
)</f>
        <v/>
      </c>
      <c r="G1150" s="27" t="str" cm="1">
        <f t="array" ref="G1150">IF(
   A1150="",
   "",
   _xlfn.LET(
      _xlpm.result,
      IFERROR(
         _xlfn.XLOOKUP(
            1,
            (Table8[رقم الصنف]=A1150) *
            (IF($B$9="الكل",1, YEAR('ادخال البيانات'!$N$3:$N$1164)=VALUE($B$9))) *
            (IF($B$10="الكل",1, MONTH('ادخال البيانات'!$N$3:$N$1164)=VALUE($B$10))) *
            (IF($B$11="الكل",1, INT((DAY('ادخال البيانات'!$N$3:$N$1164)-1)/7)+1 = VALUE($B$11))),
            'ادخال البيانات'!$G$3:$G$1164
         ),
         ""
      ),
      IF(_xlpm.result="", "", _xlpm.result)
   )
)</f>
        <v/>
      </c>
      <c r="H1150" s="27" t="str" cm="1">
        <f t="array" ref="H1150">IF(
   A1150="",
   "",
   _xlfn.LET(
      _xlpm.result,
      IFERROR(
         _xlfn.XLOOKUP(
            1,
            (Table8[رقم الصنف]=A1150) *
            (IF($B$9="الكل",1, YEAR('ادخال البيانات'!$N$3:$N$1164)=VALUE($B$9))) *
            (IF($B$10="الكل",1, MONTH('ادخال البيانات'!$N$3:$N$1164)=VALUE($B$10))) *
            (IF($B$11="الكل",1, INT((DAY('ادخال البيانات'!$N$3:$N$1164)-1)/7)+1 = VALUE($B$11))),
            'ادخال البيانات'!$H$3:$H$1164
         ),
         ""
      ),
      IF(_xlpm.result="", "", _xlpm.result)
   )
)</f>
        <v/>
      </c>
      <c r="I1150" s="27" t="str" cm="1">
        <f t="array" ref="I1150">IF(
   A1150="",
   "",
   _xlfn.LET(
      _xlpm.result,
      IFERROR(
         _xlfn.XLOOKUP(
            1,
            (Table8[رقم الصنف]=A1150) *
            (IF($B$9="الكل",1, YEAR('ادخال البيانات'!$N$3:$N$1164)=VALUE($B$9))) *
            (IF($B$10="الكل",1, MONTH('ادخال البيانات'!$N$3:$N$1164)=VALUE($B$10))) *
            (IF($B$11="الكل",1, INT((DAY('ادخال البيانات'!$N$3:$N$1164)-1)/7)+1 = VALUE($B$11))),
            'ادخال البيانات'!$I$3:$I$1164
         ),
         ""
      ),
      IF(_xlpm.result="", "", _xlpm.result)
   )
)</f>
        <v/>
      </c>
      <c r="J1150" s="27" t="str" cm="1">
        <f t="array" ref="J1150">IF(
   A1150="",
   "",
   _xlfn.LET(
      _xlpm.result,
      IFERROR(
         _xlfn.XLOOKUP(
            1,
            (Table8[رقم الصنف]=A1150) *
            (IF($B$9="الكل",1, YEAR('ادخال البيانات'!$N$3:$N$1164)=VALUE($B$9))) *
            (IF($B$10="الكل",1, MONTH('ادخال البيانات'!$N$3:$N$1164)=VALUE($B$10))) *
            (IF($B$11="الكل",1, INT((DAY('ادخال البيانات'!$N$3:$N$1164)-1)/7)+1 = VALUE($B$11))),
            'ادخال البيانات'!$J$3:$J$1164
         ),
         ""
      ),
      IF(_xlpm.result="", "", _xlpm.result)
   )
)</f>
        <v/>
      </c>
      <c r="K1150" s="27" t="str" cm="1">
        <f t="array" ref="K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0" s="27" t="str" cm="1">
        <f t="array" ref="L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0" s="27" t="str" cm="1">
        <f t="array" ref="M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0" s="28" t="str" cm="1">
        <f t="array" ref="N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0" s="28" t="str" cm="1">
        <f t="array" ref="O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0" s="27" t="str" cm="1">
        <f t="array" ref="P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Table8[جهة العطل]
         ),
         ""
      ),
      IF(_xlpm.result="", "", _xlpm.result)
   )
)</f>
        <v/>
      </c>
      <c r="Q1150" s="27" t="str" cm="1">
        <f t="array" ref="Q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Table8[المركز]
         ),
         ""
      ),
      IF(_xlpm.result="", "", _xlpm.result)
   )
)</f>
        <v/>
      </c>
      <c r="R1150" s="27" t="str" cm="1">
        <f t="array" ref="R1150">IF(
   A1150="",
   "",
   _xlfn.LET(
      _xlpm.result,
      IFERROR(
         _xlfn.XLOOKUP(
            1,
            (Table8[رقم الصنف]=A1150) *
            (IF($B$9="الكل",1, YEAR('ادخال البيانات'!$N$3:$N$1164) = VALUE($B$9))) *
            (IF($B$10="الكل",1, MONTH('ادخال البيانات'!$N$3:$N$1164) = VALUE($B$10))) *
            (IF($B$11="الكل",1, INT((DAY('ادخال البيانات'!$N$3:$N$1164) - 1) / 7) + 1 = VALUE($B$11))),
            Table8[ملاحظة]
         ),
         ""
      ),
      IF(_xlpm.result="", "", _xlpm.result)
   )
)</f>
        <v/>
      </c>
      <c r="S1150" s="46" t="str">
        <f t="shared" ca="1" si="18"/>
        <v/>
      </c>
    </row>
    <row r="1151" spans="1:19" ht="15.6" thickTop="1" thickBot="1" x14ac:dyDescent="0.35">
      <c r="A1151" s="39"/>
      <c r="B1151" s="27" t="str" cm="1">
        <f t="array" ref="B1151">IF(
   OR(A1151="", $B$9="", $B$10="", $B$11=""),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1" s="27" t="str" cm="1">
        <f t="array" ref="C1151">IF(
   A1151="",
   "",
   _xlfn.LET(
      _xlpm.result,
      IFERROR(
         _xlfn.XLOOKUP(
            1,
            (Table8[رقم الصنف]=A1151) *
            (IF($B$9="الكل",1, YEAR('ادخال البيانات'!$N$3:$N$1164) = VALUE($B$9))) *
            (IF($B$10="الكل",1, MONTH('ادخال البيانات'!$N$3:$N$1164) = VALUE($B$10))) *
            (IF($B$11="الكل",1, INT((DAY('ادخال البيانات'!$N$3:$N$1164)-1)/7)+1 = VALUE($B$11))),
            'ادخال البيانات'!$C$3:$C$1164
         ),
         ""
      ),
      IF(_xlpm.result="", "", _xlpm.result)
   )
)</f>
        <v/>
      </c>
      <c r="D1151" s="27" t="str" cm="1">
        <f t="array" ref="D1151">IF(
   OR(A1151="", $B$9="", $B$10="", $B$11=""),
   "",
   _xlfn.LET(
      _xlpm.result,
      IFERROR(
         _xlfn.XLOOKUP(
            1,
            (Table8[رقم الصنف]=A1151) *
            (IF($B$9="الكل",1, YEAR('ادخال البيانات'!$N$3:$N$1164)=VALUE($B$9))) *
            (IF($B$10="الكل",1, MONTH('ادخال البيانات'!$N$3:$N$1164)=VALUE($B$10))) *
            (IF($B$11="الكل",1, INT((DAY('ادخال البيانات'!$N$3:$N$1164)-1)/7)+1 = VALUE($B$11))),
            'ادخال البيانات'!$D$3:$D$1164
         ),
         ""
      ),
      IF(_xlpm.result="", "", _xlpm.result)
   )
)</f>
        <v/>
      </c>
      <c r="E1151" s="27" t="str" cm="1">
        <f t="array" ref="E1151">IF(
   A1151="",
   "",
   _xlfn.LET(
      _xlpm.result,
      IFERROR(
         _xlfn.XLOOKUP(
            1,
            (Table8[رقم الصنف]=A1151) *
            (IF($B$9="الكل",1, YEAR('ادخال البيانات'!$N$3:$N$1164)=VALUE($B$9))) *
            (IF($B$10="الكل",1, MONTH('ادخال البيانات'!$N$3:$N$1164)=VALUE($B$10))) *
            (IF($B$11="الكل",1, INT((DAY('ادخال البيانات'!$N$3:$N$1164)-1)/7)+1 = VALUE($B$11))),
            'ادخال البيانات'!$E$3:$E$1164
         ),
         ""
      ),
      IF(_xlpm.result="", "", _xlpm.result)
   )
)</f>
        <v/>
      </c>
      <c r="F1151" s="27" t="str" cm="1">
        <f t="array" ref="F1151">IF(
   A1151="",
   "",
   _xlfn.LET(
      _xlpm.result,
      IFERROR(
         _xlfn.XLOOKUP(
            1,
            (Table8[رقم الصنف]=A1151) *
            (IF($B$9="الكل",1, YEAR('ادخال البيانات'!$N$3:$N$1164) = VALUE($B$9))) *
            (IF($B$10="الكل",1, MONTH('ادخال البيانات'!$N$3:$N$1164) = VALUE($B$10))) *
            (IF($B$11="الكل",1, INT((DAY('ادخال البيانات'!$N$3:$N$1164)-1)/7)+1 = VALUE($B$11))),
            'ادخال البيانات'!$F$3:$F$1164
         ),
         ""
      ),
      IF(_xlpm.result="", "", _xlpm.result)
   )
)</f>
        <v/>
      </c>
      <c r="G1151" s="27" t="str" cm="1">
        <f t="array" ref="G1151">IF(
   A1151="",
   "",
   _xlfn.LET(
      _xlpm.result,
      IFERROR(
         _xlfn.XLOOKUP(
            1,
            (Table8[رقم الصنف]=A1151) *
            (IF($B$9="الكل",1, YEAR('ادخال البيانات'!$N$3:$N$1164)=VALUE($B$9))) *
            (IF($B$10="الكل",1, MONTH('ادخال البيانات'!$N$3:$N$1164)=VALUE($B$10))) *
            (IF($B$11="الكل",1, INT((DAY('ادخال البيانات'!$N$3:$N$1164)-1)/7)+1 = VALUE($B$11))),
            'ادخال البيانات'!$G$3:$G$1164
         ),
         ""
      ),
      IF(_xlpm.result="", "", _xlpm.result)
   )
)</f>
        <v/>
      </c>
      <c r="H1151" s="27" t="str" cm="1">
        <f t="array" ref="H1151">IF(
   A1151="",
   "",
   _xlfn.LET(
      _xlpm.result,
      IFERROR(
         _xlfn.XLOOKUP(
            1,
            (Table8[رقم الصنف]=A1151) *
            (IF($B$9="الكل",1, YEAR('ادخال البيانات'!$N$3:$N$1164)=VALUE($B$9))) *
            (IF($B$10="الكل",1, MONTH('ادخال البيانات'!$N$3:$N$1164)=VALUE($B$10))) *
            (IF($B$11="الكل",1, INT((DAY('ادخال البيانات'!$N$3:$N$1164)-1)/7)+1 = VALUE($B$11))),
            'ادخال البيانات'!$H$3:$H$1164
         ),
         ""
      ),
      IF(_xlpm.result="", "", _xlpm.result)
   )
)</f>
        <v/>
      </c>
      <c r="I1151" s="27" t="str" cm="1">
        <f t="array" ref="I1151">IF(
   A1151="",
   "",
   _xlfn.LET(
      _xlpm.result,
      IFERROR(
         _xlfn.XLOOKUP(
            1,
            (Table8[رقم الصنف]=A1151) *
            (IF($B$9="الكل",1, YEAR('ادخال البيانات'!$N$3:$N$1164)=VALUE($B$9))) *
            (IF($B$10="الكل",1, MONTH('ادخال البيانات'!$N$3:$N$1164)=VALUE($B$10))) *
            (IF($B$11="الكل",1, INT((DAY('ادخال البيانات'!$N$3:$N$1164)-1)/7)+1 = VALUE($B$11))),
            'ادخال البيانات'!$I$3:$I$1164
         ),
         ""
      ),
      IF(_xlpm.result="", "", _xlpm.result)
   )
)</f>
        <v/>
      </c>
      <c r="J1151" s="27" t="str" cm="1">
        <f t="array" ref="J1151">IF(
   A1151="",
   "",
   _xlfn.LET(
      _xlpm.result,
      IFERROR(
         _xlfn.XLOOKUP(
            1,
            (Table8[رقم الصنف]=A1151) *
            (IF($B$9="الكل",1, YEAR('ادخال البيانات'!$N$3:$N$1164)=VALUE($B$9))) *
            (IF($B$10="الكل",1, MONTH('ادخال البيانات'!$N$3:$N$1164)=VALUE($B$10))) *
            (IF($B$11="الكل",1, INT((DAY('ادخال البيانات'!$N$3:$N$1164)-1)/7)+1 = VALUE($B$11))),
            'ادخال البيانات'!$J$3:$J$1164
         ),
         ""
      ),
      IF(_xlpm.result="", "", _xlpm.result)
   )
)</f>
        <v/>
      </c>
      <c r="K1151" s="27" t="str" cm="1">
        <f t="array" ref="K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1" s="27" t="str" cm="1">
        <f t="array" ref="L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1" s="27" t="str" cm="1">
        <f t="array" ref="M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1" s="28" t="str" cm="1">
        <f t="array" ref="N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1" s="28" t="str" cm="1">
        <f t="array" ref="O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1" s="27" t="str" cm="1">
        <f t="array" ref="P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Table8[جهة العطل]
         ),
         ""
      ),
      IF(_xlpm.result="", "", _xlpm.result)
   )
)</f>
        <v/>
      </c>
      <c r="Q1151" s="27" t="str" cm="1">
        <f t="array" ref="Q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Table8[المركز]
         ),
         ""
      ),
      IF(_xlpm.result="", "", _xlpm.result)
   )
)</f>
        <v/>
      </c>
      <c r="R1151" s="27" t="str" cm="1">
        <f t="array" ref="R1151">IF(
   A1151="",
   "",
   _xlfn.LET(
      _xlpm.result,
      IFERROR(
         _xlfn.XLOOKUP(
            1,
            (Table8[رقم الصنف]=A1151) *
            (IF($B$9="الكل",1, YEAR('ادخال البيانات'!$N$3:$N$1164) = VALUE($B$9))) *
            (IF($B$10="الكل",1, MONTH('ادخال البيانات'!$N$3:$N$1164) = VALUE($B$10))) *
            (IF($B$11="الكل",1, INT((DAY('ادخال البيانات'!$N$3:$N$1164) - 1) / 7) + 1 = VALUE($B$11))),
            Table8[ملاحظة]
         ),
         ""
      ),
      IF(_xlpm.result="", "", _xlpm.result)
   )
)</f>
        <v/>
      </c>
      <c r="S1151" s="46" t="str">
        <f t="shared" ca="1" si="18"/>
        <v/>
      </c>
    </row>
    <row r="1152" spans="1:19" ht="15.6" thickTop="1" thickBot="1" x14ac:dyDescent="0.35">
      <c r="A1152" s="39"/>
      <c r="B1152" s="27" t="str" cm="1">
        <f t="array" ref="B1152">IF(
   OR(A1152="", $B$9="", $B$10="", $B$11=""),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2" s="27" t="str" cm="1">
        <f t="array" ref="C1152">IF(
   A1152="",
   "",
   _xlfn.LET(
      _xlpm.result,
      IFERROR(
         _xlfn.XLOOKUP(
            1,
            (Table8[رقم الصنف]=A1152) *
            (IF($B$9="الكل",1, YEAR('ادخال البيانات'!$N$3:$N$1164) = VALUE($B$9))) *
            (IF($B$10="الكل",1, MONTH('ادخال البيانات'!$N$3:$N$1164) = VALUE($B$10))) *
            (IF($B$11="الكل",1, INT((DAY('ادخال البيانات'!$N$3:$N$1164)-1)/7)+1 = VALUE($B$11))),
            'ادخال البيانات'!$C$3:$C$1164
         ),
         ""
      ),
      IF(_xlpm.result="", "", _xlpm.result)
   )
)</f>
        <v/>
      </c>
      <c r="D1152" s="27" t="str" cm="1">
        <f t="array" ref="D1152">IF(
   OR(A1152="", $B$9="", $B$10="", $B$11=""),
   "",
   _xlfn.LET(
      _xlpm.result,
      IFERROR(
         _xlfn.XLOOKUP(
            1,
            (Table8[رقم الصنف]=A1152) *
            (IF($B$9="الكل",1, YEAR('ادخال البيانات'!$N$3:$N$1164)=VALUE($B$9))) *
            (IF($B$10="الكل",1, MONTH('ادخال البيانات'!$N$3:$N$1164)=VALUE($B$10))) *
            (IF($B$11="الكل",1, INT((DAY('ادخال البيانات'!$N$3:$N$1164)-1)/7)+1 = VALUE($B$11))),
            'ادخال البيانات'!$D$3:$D$1164
         ),
         ""
      ),
      IF(_xlpm.result="", "", _xlpm.result)
   )
)</f>
        <v/>
      </c>
      <c r="E1152" s="27" t="str" cm="1">
        <f t="array" ref="E1152">IF(
   A1152="",
   "",
   _xlfn.LET(
      _xlpm.result,
      IFERROR(
         _xlfn.XLOOKUP(
            1,
            (Table8[رقم الصنف]=A1152) *
            (IF($B$9="الكل",1, YEAR('ادخال البيانات'!$N$3:$N$1164)=VALUE($B$9))) *
            (IF($B$10="الكل",1, MONTH('ادخال البيانات'!$N$3:$N$1164)=VALUE($B$10))) *
            (IF($B$11="الكل",1, INT((DAY('ادخال البيانات'!$N$3:$N$1164)-1)/7)+1 = VALUE($B$11))),
            'ادخال البيانات'!$E$3:$E$1164
         ),
         ""
      ),
      IF(_xlpm.result="", "", _xlpm.result)
   )
)</f>
        <v/>
      </c>
      <c r="F1152" s="27" t="str" cm="1">
        <f t="array" ref="F1152">IF(
   A1152="",
   "",
   _xlfn.LET(
      _xlpm.result,
      IFERROR(
         _xlfn.XLOOKUP(
            1,
            (Table8[رقم الصنف]=A1152) *
            (IF($B$9="الكل",1, YEAR('ادخال البيانات'!$N$3:$N$1164) = VALUE($B$9))) *
            (IF($B$10="الكل",1, MONTH('ادخال البيانات'!$N$3:$N$1164) = VALUE($B$10))) *
            (IF($B$11="الكل",1, INT((DAY('ادخال البيانات'!$N$3:$N$1164)-1)/7)+1 = VALUE($B$11))),
            'ادخال البيانات'!$F$3:$F$1164
         ),
         ""
      ),
      IF(_xlpm.result="", "", _xlpm.result)
   )
)</f>
        <v/>
      </c>
      <c r="G1152" s="27" t="str" cm="1">
        <f t="array" ref="G1152">IF(
   A1152="",
   "",
   _xlfn.LET(
      _xlpm.result,
      IFERROR(
         _xlfn.XLOOKUP(
            1,
            (Table8[رقم الصنف]=A1152) *
            (IF($B$9="الكل",1, YEAR('ادخال البيانات'!$N$3:$N$1164)=VALUE($B$9))) *
            (IF($B$10="الكل",1, MONTH('ادخال البيانات'!$N$3:$N$1164)=VALUE($B$10))) *
            (IF($B$11="الكل",1, INT((DAY('ادخال البيانات'!$N$3:$N$1164)-1)/7)+1 = VALUE($B$11))),
            'ادخال البيانات'!$G$3:$G$1164
         ),
         ""
      ),
      IF(_xlpm.result="", "", _xlpm.result)
   )
)</f>
        <v/>
      </c>
      <c r="H1152" s="27" t="str" cm="1">
        <f t="array" ref="H1152">IF(
   A1152="",
   "",
   _xlfn.LET(
      _xlpm.result,
      IFERROR(
         _xlfn.XLOOKUP(
            1,
            (Table8[رقم الصنف]=A1152) *
            (IF($B$9="الكل",1, YEAR('ادخال البيانات'!$N$3:$N$1164)=VALUE($B$9))) *
            (IF($B$10="الكل",1, MONTH('ادخال البيانات'!$N$3:$N$1164)=VALUE($B$10))) *
            (IF($B$11="الكل",1, INT((DAY('ادخال البيانات'!$N$3:$N$1164)-1)/7)+1 = VALUE($B$11))),
            'ادخال البيانات'!$H$3:$H$1164
         ),
         ""
      ),
      IF(_xlpm.result="", "", _xlpm.result)
   )
)</f>
        <v/>
      </c>
      <c r="I1152" s="27" t="str" cm="1">
        <f t="array" ref="I1152">IF(
   A1152="",
   "",
   _xlfn.LET(
      _xlpm.result,
      IFERROR(
         _xlfn.XLOOKUP(
            1,
            (Table8[رقم الصنف]=A1152) *
            (IF($B$9="الكل",1, YEAR('ادخال البيانات'!$N$3:$N$1164)=VALUE($B$9))) *
            (IF($B$10="الكل",1, MONTH('ادخال البيانات'!$N$3:$N$1164)=VALUE($B$10))) *
            (IF($B$11="الكل",1, INT((DAY('ادخال البيانات'!$N$3:$N$1164)-1)/7)+1 = VALUE($B$11))),
            'ادخال البيانات'!$I$3:$I$1164
         ),
         ""
      ),
      IF(_xlpm.result="", "", _xlpm.result)
   )
)</f>
        <v/>
      </c>
      <c r="J1152" s="27" t="str" cm="1">
        <f t="array" ref="J1152">IF(
   A1152="",
   "",
   _xlfn.LET(
      _xlpm.result,
      IFERROR(
         _xlfn.XLOOKUP(
            1,
            (Table8[رقم الصنف]=A1152) *
            (IF($B$9="الكل",1, YEAR('ادخال البيانات'!$N$3:$N$1164)=VALUE($B$9))) *
            (IF($B$10="الكل",1, MONTH('ادخال البيانات'!$N$3:$N$1164)=VALUE($B$10))) *
            (IF($B$11="الكل",1, INT((DAY('ادخال البيانات'!$N$3:$N$1164)-1)/7)+1 = VALUE($B$11))),
            'ادخال البيانات'!$J$3:$J$1164
         ),
         ""
      ),
      IF(_xlpm.result="", "", _xlpm.result)
   )
)</f>
        <v/>
      </c>
      <c r="K1152" s="27" t="str" cm="1">
        <f t="array" ref="K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2" s="27" t="str" cm="1">
        <f t="array" ref="L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2" s="27" t="str" cm="1">
        <f t="array" ref="M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2" s="28" t="str" cm="1">
        <f t="array" ref="N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2" s="28" t="str" cm="1">
        <f t="array" ref="O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2" s="27" t="str" cm="1">
        <f t="array" ref="P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Table8[جهة العطل]
         ),
         ""
      ),
      IF(_xlpm.result="", "", _xlpm.result)
   )
)</f>
        <v/>
      </c>
      <c r="Q1152" s="27" t="str" cm="1">
        <f t="array" ref="Q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Table8[المركز]
         ),
         ""
      ),
      IF(_xlpm.result="", "", _xlpm.result)
   )
)</f>
        <v/>
      </c>
      <c r="R1152" s="27" t="str" cm="1">
        <f t="array" ref="R1152">IF(
   A1152="",
   "",
   _xlfn.LET(
      _xlpm.result,
      IFERROR(
         _xlfn.XLOOKUP(
            1,
            (Table8[رقم الصنف]=A1152) *
            (IF($B$9="الكل",1, YEAR('ادخال البيانات'!$N$3:$N$1164) = VALUE($B$9))) *
            (IF($B$10="الكل",1, MONTH('ادخال البيانات'!$N$3:$N$1164) = VALUE($B$10))) *
            (IF($B$11="الكل",1, INT((DAY('ادخال البيانات'!$N$3:$N$1164) - 1) / 7) + 1 = VALUE($B$11))),
            Table8[ملاحظة]
         ),
         ""
      ),
      IF(_xlpm.result="", "", _xlpm.result)
   )
)</f>
        <v/>
      </c>
      <c r="S1152" s="46" t="str">
        <f t="shared" ca="1" si="18"/>
        <v/>
      </c>
    </row>
    <row r="1153" spans="1:19" ht="15.6" thickTop="1" thickBot="1" x14ac:dyDescent="0.35">
      <c r="A1153" s="39"/>
      <c r="B1153" s="27" t="str" cm="1">
        <f t="array" ref="B1153">IF(
   OR(A1153="", $B$9="", $B$10="", $B$11=""),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3" s="27" t="str" cm="1">
        <f t="array" ref="C1153">IF(
   A1153="",
   "",
   _xlfn.LET(
      _xlpm.result,
      IFERROR(
         _xlfn.XLOOKUP(
            1,
            (Table8[رقم الصنف]=A1153) *
            (IF($B$9="الكل",1, YEAR('ادخال البيانات'!$N$3:$N$1164) = VALUE($B$9))) *
            (IF($B$10="الكل",1, MONTH('ادخال البيانات'!$N$3:$N$1164) = VALUE($B$10))) *
            (IF($B$11="الكل",1, INT((DAY('ادخال البيانات'!$N$3:$N$1164)-1)/7)+1 = VALUE($B$11))),
            'ادخال البيانات'!$C$3:$C$1164
         ),
         ""
      ),
      IF(_xlpm.result="", "", _xlpm.result)
   )
)</f>
        <v/>
      </c>
      <c r="D1153" s="27" t="str" cm="1">
        <f t="array" ref="D1153">IF(
   OR(A1153="", $B$9="", $B$10="", $B$11=""),
   "",
   _xlfn.LET(
      _xlpm.result,
      IFERROR(
         _xlfn.XLOOKUP(
            1,
            (Table8[رقم الصنف]=A1153) *
            (IF($B$9="الكل",1, YEAR('ادخال البيانات'!$N$3:$N$1164)=VALUE($B$9))) *
            (IF($B$10="الكل",1, MONTH('ادخال البيانات'!$N$3:$N$1164)=VALUE($B$10))) *
            (IF($B$11="الكل",1, INT((DAY('ادخال البيانات'!$N$3:$N$1164)-1)/7)+1 = VALUE($B$11))),
            'ادخال البيانات'!$D$3:$D$1164
         ),
         ""
      ),
      IF(_xlpm.result="", "", _xlpm.result)
   )
)</f>
        <v/>
      </c>
      <c r="E1153" s="27" t="str" cm="1">
        <f t="array" ref="E1153">IF(
   A1153="",
   "",
   _xlfn.LET(
      _xlpm.result,
      IFERROR(
         _xlfn.XLOOKUP(
            1,
            (Table8[رقم الصنف]=A1153) *
            (IF($B$9="الكل",1, YEAR('ادخال البيانات'!$N$3:$N$1164)=VALUE($B$9))) *
            (IF($B$10="الكل",1, MONTH('ادخال البيانات'!$N$3:$N$1164)=VALUE($B$10))) *
            (IF($B$11="الكل",1, INT((DAY('ادخال البيانات'!$N$3:$N$1164)-1)/7)+1 = VALUE($B$11))),
            'ادخال البيانات'!$E$3:$E$1164
         ),
         ""
      ),
      IF(_xlpm.result="", "", _xlpm.result)
   )
)</f>
        <v/>
      </c>
      <c r="F1153" s="27" t="str" cm="1">
        <f t="array" ref="F1153">IF(
   A1153="",
   "",
   _xlfn.LET(
      _xlpm.result,
      IFERROR(
         _xlfn.XLOOKUP(
            1,
            (Table8[رقم الصنف]=A1153) *
            (IF($B$9="الكل",1, YEAR('ادخال البيانات'!$N$3:$N$1164) = VALUE($B$9))) *
            (IF($B$10="الكل",1, MONTH('ادخال البيانات'!$N$3:$N$1164) = VALUE($B$10))) *
            (IF($B$11="الكل",1, INT((DAY('ادخال البيانات'!$N$3:$N$1164)-1)/7)+1 = VALUE($B$11))),
            'ادخال البيانات'!$F$3:$F$1164
         ),
         ""
      ),
      IF(_xlpm.result="", "", _xlpm.result)
   )
)</f>
        <v/>
      </c>
      <c r="G1153" s="27" t="str" cm="1">
        <f t="array" ref="G1153">IF(
   A1153="",
   "",
   _xlfn.LET(
      _xlpm.result,
      IFERROR(
         _xlfn.XLOOKUP(
            1,
            (Table8[رقم الصنف]=A1153) *
            (IF($B$9="الكل",1, YEAR('ادخال البيانات'!$N$3:$N$1164)=VALUE($B$9))) *
            (IF($B$10="الكل",1, MONTH('ادخال البيانات'!$N$3:$N$1164)=VALUE($B$10))) *
            (IF($B$11="الكل",1, INT((DAY('ادخال البيانات'!$N$3:$N$1164)-1)/7)+1 = VALUE($B$11))),
            'ادخال البيانات'!$G$3:$G$1164
         ),
         ""
      ),
      IF(_xlpm.result="", "", _xlpm.result)
   )
)</f>
        <v/>
      </c>
      <c r="H1153" s="27" t="str" cm="1">
        <f t="array" ref="H1153">IF(
   A1153="",
   "",
   _xlfn.LET(
      _xlpm.result,
      IFERROR(
         _xlfn.XLOOKUP(
            1,
            (Table8[رقم الصنف]=A1153) *
            (IF($B$9="الكل",1, YEAR('ادخال البيانات'!$N$3:$N$1164)=VALUE($B$9))) *
            (IF($B$10="الكل",1, MONTH('ادخال البيانات'!$N$3:$N$1164)=VALUE($B$10))) *
            (IF($B$11="الكل",1, INT((DAY('ادخال البيانات'!$N$3:$N$1164)-1)/7)+1 = VALUE($B$11))),
            'ادخال البيانات'!$H$3:$H$1164
         ),
         ""
      ),
      IF(_xlpm.result="", "", _xlpm.result)
   )
)</f>
        <v/>
      </c>
      <c r="I1153" s="27" t="str" cm="1">
        <f t="array" ref="I1153">IF(
   A1153="",
   "",
   _xlfn.LET(
      _xlpm.result,
      IFERROR(
         _xlfn.XLOOKUP(
            1,
            (Table8[رقم الصنف]=A1153) *
            (IF($B$9="الكل",1, YEAR('ادخال البيانات'!$N$3:$N$1164)=VALUE($B$9))) *
            (IF($B$10="الكل",1, MONTH('ادخال البيانات'!$N$3:$N$1164)=VALUE($B$10))) *
            (IF($B$11="الكل",1, INT((DAY('ادخال البيانات'!$N$3:$N$1164)-1)/7)+1 = VALUE($B$11))),
            'ادخال البيانات'!$I$3:$I$1164
         ),
         ""
      ),
      IF(_xlpm.result="", "", _xlpm.result)
   )
)</f>
        <v/>
      </c>
      <c r="J1153" s="27" t="str" cm="1">
        <f t="array" ref="J1153">IF(
   A1153="",
   "",
   _xlfn.LET(
      _xlpm.result,
      IFERROR(
         _xlfn.XLOOKUP(
            1,
            (Table8[رقم الصنف]=A1153) *
            (IF($B$9="الكل",1, YEAR('ادخال البيانات'!$N$3:$N$1164)=VALUE($B$9))) *
            (IF($B$10="الكل",1, MONTH('ادخال البيانات'!$N$3:$N$1164)=VALUE($B$10))) *
            (IF($B$11="الكل",1, INT((DAY('ادخال البيانات'!$N$3:$N$1164)-1)/7)+1 = VALUE($B$11))),
            'ادخال البيانات'!$J$3:$J$1164
         ),
         ""
      ),
      IF(_xlpm.result="", "", _xlpm.result)
   )
)</f>
        <v/>
      </c>
      <c r="K1153" s="27" t="str" cm="1">
        <f t="array" ref="K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3" s="27" t="str" cm="1">
        <f t="array" ref="L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3" s="27" t="str" cm="1">
        <f t="array" ref="M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3" s="28" t="str" cm="1">
        <f t="array" ref="N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3" s="28" t="str" cm="1">
        <f t="array" ref="O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3" s="27" t="str" cm="1">
        <f t="array" ref="P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Table8[جهة العطل]
         ),
         ""
      ),
      IF(_xlpm.result="", "", _xlpm.result)
   )
)</f>
        <v/>
      </c>
      <c r="Q1153" s="27" t="str" cm="1">
        <f t="array" ref="Q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Table8[المركز]
         ),
         ""
      ),
      IF(_xlpm.result="", "", _xlpm.result)
   )
)</f>
        <v/>
      </c>
      <c r="R1153" s="27" t="str" cm="1">
        <f t="array" ref="R1153">IF(
   A1153="",
   "",
   _xlfn.LET(
      _xlpm.result,
      IFERROR(
         _xlfn.XLOOKUP(
            1,
            (Table8[رقم الصنف]=A1153) *
            (IF($B$9="الكل",1, YEAR('ادخال البيانات'!$N$3:$N$1164) = VALUE($B$9))) *
            (IF($B$10="الكل",1, MONTH('ادخال البيانات'!$N$3:$N$1164) = VALUE($B$10))) *
            (IF($B$11="الكل",1, INT((DAY('ادخال البيانات'!$N$3:$N$1164) - 1) / 7) + 1 = VALUE($B$11))),
            Table8[ملاحظة]
         ),
         ""
      ),
      IF(_xlpm.result="", "", _xlpm.result)
   )
)</f>
        <v/>
      </c>
      <c r="S1153" s="46" t="str">
        <f t="shared" ca="1" si="18"/>
        <v/>
      </c>
    </row>
    <row r="1154" spans="1:19" ht="15.6" thickTop="1" thickBot="1" x14ac:dyDescent="0.35">
      <c r="A1154" s="39"/>
      <c r="B1154" s="27" t="str" cm="1">
        <f t="array" ref="B1154">IF(
   OR(A1154="", $B$9="", $B$10="", $B$11=""),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4" s="27" t="str" cm="1">
        <f t="array" ref="C1154">IF(
   A1154="",
   "",
   _xlfn.LET(
      _xlpm.result,
      IFERROR(
         _xlfn.XLOOKUP(
            1,
            (Table8[رقم الصنف]=A1154) *
            (IF($B$9="الكل",1, YEAR('ادخال البيانات'!$N$3:$N$1164) = VALUE($B$9))) *
            (IF($B$10="الكل",1, MONTH('ادخال البيانات'!$N$3:$N$1164) = VALUE($B$10))) *
            (IF($B$11="الكل",1, INT((DAY('ادخال البيانات'!$N$3:$N$1164)-1)/7)+1 = VALUE($B$11))),
            'ادخال البيانات'!$C$3:$C$1164
         ),
         ""
      ),
      IF(_xlpm.result="", "", _xlpm.result)
   )
)</f>
        <v/>
      </c>
      <c r="D1154" s="27" t="str" cm="1">
        <f t="array" ref="D1154">IF(
   OR(A1154="", $B$9="", $B$10="", $B$11=""),
   "",
   _xlfn.LET(
      _xlpm.result,
      IFERROR(
         _xlfn.XLOOKUP(
            1,
            (Table8[رقم الصنف]=A1154) *
            (IF($B$9="الكل",1, YEAR('ادخال البيانات'!$N$3:$N$1164)=VALUE($B$9))) *
            (IF($B$10="الكل",1, MONTH('ادخال البيانات'!$N$3:$N$1164)=VALUE($B$10))) *
            (IF($B$11="الكل",1, INT((DAY('ادخال البيانات'!$N$3:$N$1164)-1)/7)+1 = VALUE($B$11))),
            'ادخال البيانات'!$D$3:$D$1164
         ),
         ""
      ),
      IF(_xlpm.result="", "", _xlpm.result)
   )
)</f>
        <v/>
      </c>
      <c r="E1154" s="27" t="str" cm="1">
        <f t="array" ref="E1154">IF(
   A1154="",
   "",
   _xlfn.LET(
      _xlpm.result,
      IFERROR(
         _xlfn.XLOOKUP(
            1,
            (Table8[رقم الصنف]=A1154) *
            (IF($B$9="الكل",1, YEAR('ادخال البيانات'!$N$3:$N$1164)=VALUE($B$9))) *
            (IF($B$10="الكل",1, MONTH('ادخال البيانات'!$N$3:$N$1164)=VALUE($B$10))) *
            (IF($B$11="الكل",1, INT((DAY('ادخال البيانات'!$N$3:$N$1164)-1)/7)+1 = VALUE($B$11))),
            'ادخال البيانات'!$E$3:$E$1164
         ),
         ""
      ),
      IF(_xlpm.result="", "", _xlpm.result)
   )
)</f>
        <v/>
      </c>
      <c r="F1154" s="27" t="str" cm="1">
        <f t="array" ref="F1154">IF(
   A1154="",
   "",
   _xlfn.LET(
      _xlpm.result,
      IFERROR(
         _xlfn.XLOOKUP(
            1,
            (Table8[رقم الصنف]=A1154) *
            (IF($B$9="الكل",1, YEAR('ادخال البيانات'!$N$3:$N$1164) = VALUE($B$9))) *
            (IF($B$10="الكل",1, MONTH('ادخال البيانات'!$N$3:$N$1164) = VALUE($B$10))) *
            (IF($B$11="الكل",1, INT((DAY('ادخال البيانات'!$N$3:$N$1164)-1)/7)+1 = VALUE($B$11))),
            'ادخال البيانات'!$F$3:$F$1164
         ),
         ""
      ),
      IF(_xlpm.result="", "", _xlpm.result)
   )
)</f>
        <v/>
      </c>
      <c r="G1154" s="27" t="str" cm="1">
        <f t="array" ref="G1154">IF(
   A1154="",
   "",
   _xlfn.LET(
      _xlpm.result,
      IFERROR(
         _xlfn.XLOOKUP(
            1,
            (Table8[رقم الصنف]=A1154) *
            (IF($B$9="الكل",1, YEAR('ادخال البيانات'!$N$3:$N$1164)=VALUE($B$9))) *
            (IF($B$10="الكل",1, MONTH('ادخال البيانات'!$N$3:$N$1164)=VALUE($B$10))) *
            (IF($B$11="الكل",1, INT((DAY('ادخال البيانات'!$N$3:$N$1164)-1)/7)+1 = VALUE($B$11))),
            'ادخال البيانات'!$G$3:$G$1164
         ),
         ""
      ),
      IF(_xlpm.result="", "", _xlpm.result)
   )
)</f>
        <v/>
      </c>
      <c r="H1154" s="27" t="str" cm="1">
        <f t="array" ref="H1154">IF(
   A1154="",
   "",
   _xlfn.LET(
      _xlpm.result,
      IFERROR(
         _xlfn.XLOOKUP(
            1,
            (Table8[رقم الصنف]=A1154) *
            (IF($B$9="الكل",1, YEAR('ادخال البيانات'!$N$3:$N$1164)=VALUE($B$9))) *
            (IF($B$10="الكل",1, MONTH('ادخال البيانات'!$N$3:$N$1164)=VALUE($B$10))) *
            (IF($B$11="الكل",1, INT((DAY('ادخال البيانات'!$N$3:$N$1164)-1)/7)+1 = VALUE($B$11))),
            'ادخال البيانات'!$H$3:$H$1164
         ),
         ""
      ),
      IF(_xlpm.result="", "", _xlpm.result)
   )
)</f>
        <v/>
      </c>
      <c r="I1154" s="27" t="str" cm="1">
        <f t="array" ref="I1154">IF(
   A1154="",
   "",
   _xlfn.LET(
      _xlpm.result,
      IFERROR(
         _xlfn.XLOOKUP(
            1,
            (Table8[رقم الصنف]=A1154) *
            (IF($B$9="الكل",1, YEAR('ادخال البيانات'!$N$3:$N$1164)=VALUE($B$9))) *
            (IF($B$10="الكل",1, MONTH('ادخال البيانات'!$N$3:$N$1164)=VALUE($B$10))) *
            (IF($B$11="الكل",1, INT((DAY('ادخال البيانات'!$N$3:$N$1164)-1)/7)+1 = VALUE($B$11))),
            'ادخال البيانات'!$I$3:$I$1164
         ),
         ""
      ),
      IF(_xlpm.result="", "", _xlpm.result)
   )
)</f>
        <v/>
      </c>
      <c r="J1154" s="27" t="str" cm="1">
        <f t="array" ref="J1154">IF(
   A1154="",
   "",
   _xlfn.LET(
      _xlpm.result,
      IFERROR(
         _xlfn.XLOOKUP(
            1,
            (Table8[رقم الصنف]=A1154) *
            (IF($B$9="الكل",1, YEAR('ادخال البيانات'!$N$3:$N$1164)=VALUE($B$9))) *
            (IF($B$10="الكل",1, MONTH('ادخال البيانات'!$N$3:$N$1164)=VALUE($B$10))) *
            (IF($B$11="الكل",1, INT((DAY('ادخال البيانات'!$N$3:$N$1164)-1)/7)+1 = VALUE($B$11))),
            'ادخال البيانات'!$J$3:$J$1164
         ),
         ""
      ),
      IF(_xlpm.result="", "", _xlpm.result)
   )
)</f>
        <v/>
      </c>
      <c r="K1154" s="27" t="str" cm="1">
        <f t="array" ref="K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4" s="27" t="str" cm="1">
        <f t="array" ref="L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4" s="27" t="str" cm="1">
        <f t="array" ref="M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4" s="28" t="str" cm="1">
        <f t="array" ref="N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4" s="28" t="str" cm="1">
        <f t="array" ref="O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4" s="27" t="str" cm="1">
        <f t="array" ref="P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Table8[جهة العطل]
         ),
         ""
      ),
      IF(_xlpm.result="", "", _xlpm.result)
   )
)</f>
        <v/>
      </c>
      <c r="Q1154" s="27" t="str" cm="1">
        <f t="array" ref="Q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Table8[المركز]
         ),
         ""
      ),
      IF(_xlpm.result="", "", _xlpm.result)
   )
)</f>
        <v/>
      </c>
      <c r="R1154" s="27" t="str" cm="1">
        <f t="array" ref="R1154">IF(
   A1154="",
   "",
   _xlfn.LET(
      _xlpm.result,
      IFERROR(
         _xlfn.XLOOKUP(
            1,
            (Table8[رقم الصنف]=A1154) *
            (IF($B$9="الكل",1, YEAR('ادخال البيانات'!$N$3:$N$1164) = VALUE($B$9))) *
            (IF($B$10="الكل",1, MONTH('ادخال البيانات'!$N$3:$N$1164) = VALUE($B$10))) *
            (IF($B$11="الكل",1, INT((DAY('ادخال البيانات'!$N$3:$N$1164) - 1) / 7) + 1 = VALUE($B$11))),
            Table8[ملاحظة]
         ),
         ""
      ),
      IF(_xlpm.result="", "", _xlpm.result)
   )
)</f>
        <v/>
      </c>
      <c r="S1154" s="46" t="str">
        <f t="shared" ca="1" si="18"/>
        <v/>
      </c>
    </row>
    <row r="1155" spans="1:19" ht="15.6" thickTop="1" thickBot="1" x14ac:dyDescent="0.35">
      <c r="A1155" s="39"/>
      <c r="B1155" s="27" t="str" cm="1">
        <f t="array" ref="B1155">IF(
   OR(A1155="", $B$9="", $B$10="", $B$11=""),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5" s="27" t="str" cm="1">
        <f t="array" ref="C1155">IF(
   A1155="",
   "",
   _xlfn.LET(
      _xlpm.result,
      IFERROR(
         _xlfn.XLOOKUP(
            1,
            (Table8[رقم الصنف]=A1155) *
            (IF($B$9="الكل",1, YEAR('ادخال البيانات'!$N$3:$N$1164) = VALUE($B$9))) *
            (IF($B$10="الكل",1, MONTH('ادخال البيانات'!$N$3:$N$1164) = VALUE($B$10))) *
            (IF($B$11="الكل",1, INT((DAY('ادخال البيانات'!$N$3:$N$1164)-1)/7)+1 = VALUE($B$11))),
            'ادخال البيانات'!$C$3:$C$1164
         ),
         ""
      ),
      IF(_xlpm.result="", "", _xlpm.result)
   )
)</f>
        <v/>
      </c>
      <c r="D1155" s="27" t="str" cm="1">
        <f t="array" ref="D1155">IF(
   OR(A1155="", $B$9="", $B$10="", $B$11=""),
   "",
   _xlfn.LET(
      _xlpm.result,
      IFERROR(
         _xlfn.XLOOKUP(
            1,
            (Table8[رقم الصنف]=A1155) *
            (IF($B$9="الكل",1, YEAR('ادخال البيانات'!$N$3:$N$1164)=VALUE($B$9))) *
            (IF($B$10="الكل",1, MONTH('ادخال البيانات'!$N$3:$N$1164)=VALUE($B$10))) *
            (IF($B$11="الكل",1, INT((DAY('ادخال البيانات'!$N$3:$N$1164)-1)/7)+1 = VALUE($B$11))),
            'ادخال البيانات'!$D$3:$D$1164
         ),
         ""
      ),
      IF(_xlpm.result="", "", _xlpm.result)
   )
)</f>
        <v/>
      </c>
      <c r="E1155" s="27" t="str" cm="1">
        <f t="array" ref="E1155">IF(
   A1155="",
   "",
   _xlfn.LET(
      _xlpm.result,
      IFERROR(
         _xlfn.XLOOKUP(
            1,
            (Table8[رقم الصنف]=A1155) *
            (IF($B$9="الكل",1, YEAR('ادخال البيانات'!$N$3:$N$1164)=VALUE($B$9))) *
            (IF($B$10="الكل",1, MONTH('ادخال البيانات'!$N$3:$N$1164)=VALUE($B$10))) *
            (IF($B$11="الكل",1, INT((DAY('ادخال البيانات'!$N$3:$N$1164)-1)/7)+1 = VALUE($B$11))),
            'ادخال البيانات'!$E$3:$E$1164
         ),
         ""
      ),
      IF(_xlpm.result="", "", _xlpm.result)
   )
)</f>
        <v/>
      </c>
      <c r="F1155" s="27" t="str" cm="1">
        <f t="array" ref="F1155">IF(
   A1155="",
   "",
   _xlfn.LET(
      _xlpm.result,
      IFERROR(
         _xlfn.XLOOKUP(
            1,
            (Table8[رقم الصنف]=A1155) *
            (IF($B$9="الكل",1, YEAR('ادخال البيانات'!$N$3:$N$1164) = VALUE($B$9))) *
            (IF($B$10="الكل",1, MONTH('ادخال البيانات'!$N$3:$N$1164) = VALUE($B$10))) *
            (IF($B$11="الكل",1, INT((DAY('ادخال البيانات'!$N$3:$N$1164)-1)/7)+1 = VALUE($B$11))),
            'ادخال البيانات'!$F$3:$F$1164
         ),
         ""
      ),
      IF(_xlpm.result="", "", _xlpm.result)
   )
)</f>
        <v/>
      </c>
      <c r="G1155" s="27" t="str" cm="1">
        <f t="array" ref="G1155">IF(
   A1155="",
   "",
   _xlfn.LET(
      _xlpm.result,
      IFERROR(
         _xlfn.XLOOKUP(
            1,
            (Table8[رقم الصنف]=A1155) *
            (IF($B$9="الكل",1, YEAR('ادخال البيانات'!$N$3:$N$1164)=VALUE($B$9))) *
            (IF($B$10="الكل",1, MONTH('ادخال البيانات'!$N$3:$N$1164)=VALUE($B$10))) *
            (IF($B$11="الكل",1, INT((DAY('ادخال البيانات'!$N$3:$N$1164)-1)/7)+1 = VALUE($B$11))),
            'ادخال البيانات'!$G$3:$G$1164
         ),
         ""
      ),
      IF(_xlpm.result="", "", _xlpm.result)
   )
)</f>
        <v/>
      </c>
      <c r="H1155" s="27" t="str" cm="1">
        <f t="array" ref="H1155">IF(
   A1155="",
   "",
   _xlfn.LET(
      _xlpm.result,
      IFERROR(
         _xlfn.XLOOKUP(
            1,
            (Table8[رقم الصنف]=A1155) *
            (IF($B$9="الكل",1, YEAR('ادخال البيانات'!$N$3:$N$1164)=VALUE($B$9))) *
            (IF($B$10="الكل",1, MONTH('ادخال البيانات'!$N$3:$N$1164)=VALUE($B$10))) *
            (IF($B$11="الكل",1, INT((DAY('ادخال البيانات'!$N$3:$N$1164)-1)/7)+1 = VALUE($B$11))),
            'ادخال البيانات'!$H$3:$H$1164
         ),
         ""
      ),
      IF(_xlpm.result="", "", _xlpm.result)
   )
)</f>
        <v/>
      </c>
      <c r="I1155" s="27" t="str" cm="1">
        <f t="array" ref="I1155">IF(
   A1155="",
   "",
   _xlfn.LET(
      _xlpm.result,
      IFERROR(
         _xlfn.XLOOKUP(
            1,
            (Table8[رقم الصنف]=A1155) *
            (IF($B$9="الكل",1, YEAR('ادخال البيانات'!$N$3:$N$1164)=VALUE($B$9))) *
            (IF($B$10="الكل",1, MONTH('ادخال البيانات'!$N$3:$N$1164)=VALUE($B$10))) *
            (IF($B$11="الكل",1, INT((DAY('ادخال البيانات'!$N$3:$N$1164)-1)/7)+1 = VALUE($B$11))),
            'ادخال البيانات'!$I$3:$I$1164
         ),
         ""
      ),
      IF(_xlpm.result="", "", _xlpm.result)
   )
)</f>
        <v/>
      </c>
      <c r="J1155" s="27" t="str" cm="1">
        <f t="array" ref="J1155">IF(
   A1155="",
   "",
   _xlfn.LET(
      _xlpm.result,
      IFERROR(
         _xlfn.XLOOKUP(
            1,
            (Table8[رقم الصنف]=A1155) *
            (IF($B$9="الكل",1, YEAR('ادخال البيانات'!$N$3:$N$1164)=VALUE($B$9))) *
            (IF($B$10="الكل",1, MONTH('ادخال البيانات'!$N$3:$N$1164)=VALUE($B$10))) *
            (IF($B$11="الكل",1, INT((DAY('ادخال البيانات'!$N$3:$N$1164)-1)/7)+1 = VALUE($B$11))),
            'ادخال البيانات'!$J$3:$J$1164
         ),
         ""
      ),
      IF(_xlpm.result="", "", _xlpm.result)
   )
)</f>
        <v/>
      </c>
      <c r="K1155" s="27" t="str" cm="1">
        <f t="array" ref="K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5" s="27" t="str" cm="1">
        <f t="array" ref="L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5" s="27" t="str" cm="1">
        <f t="array" ref="M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5" s="28" t="str" cm="1">
        <f t="array" ref="N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5" s="28" t="str" cm="1">
        <f t="array" ref="O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5" s="27" t="str" cm="1">
        <f t="array" ref="P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Table8[جهة العطل]
         ),
         ""
      ),
      IF(_xlpm.result="", "", _xlpm.result)
   )
)</f>
        <v/>
      </c>
      <c r="Q1155" s="27" t="str" cm="1">
        <f t="array" ref="Q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Table8[المركز]
         ),
         ""
      ),
      IF(_xlpm.result="", "", _xlpm.result)
   )
)</f>
        <v/>
      </c>
      <c r="R1155" s="27" t="str" cm="1">
        <f t="array" ref="R1155">IF(
   A1155="",
   "",
   _xlfn.LET(
      _xlpm.result,
      IFERROR(
         _xlfn.XLOOKUP(
            1,
            (Table8[رقم الصنف]=A1155) *
            (IF($B$9="الكل",1, YEAR('ادخال البيانات'!$N$3:$N$1164) = VALUE($B$9))) *
            (IF($B$10="الكل",1, MONTH('ادخال البيانات'!$N$3:$N$1164) = VALUE($B$10))) *
            (IF($B$11="الكل",1, INT((DAY('ادخال البيانات'!$N$3:$N$1164) - 1) / 7) + 1 = VALUE($B$11))),
            Table8[ملاحظة]
         ),
         ""
      ),
      IF(_xlpm.result="", "", _xlpm.result)
   )
)</f>
        <v/>
      </c>
      <c r="S1155" s="46" t="str">
        <f t="shared" ca="1" si="18"/>
        <v/>
      </c>
    </row>
    <row r="1156" spans="1:19" ht="15.6" thickTop="1" thickBot="1" x14ac:dyDescent="0.35">
      <c r="A1156" s="39"/>
      <c r="B1156" s="27" t="str" cm="1">
        <f t="array" ref="B1156">IF(
   OR(A1156="", $B$9="", $B$10="", $B$11=""),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6" s="27" t="str" cm="1">
        <f t="array" ref="C1156">IF(
   A1156="",
   "",
   _xlfn.LET(
      _xlpm.result,
      IFERROR(
         _xlfn.XLOOKUP(
            1,
            (Table8[رقم الصنف]=A1156) *
            (IF($B$9="الكل",1, YEAR('ادخال البيانات'!$N$3:$N$1164) = VALUE($B$9))) *
            (IF($B$10="الكل",1, MONTH('ادخال البيانات'!$N$3:$N$1164) = VALUE($B$10))) *
            (IF($B$11="الكل",1, INT((DAY('ادخال البيانات'!$N$3:$N$1164)-1)/7)+1 = VALUE($B$11))),
            'ادخال البيانات'!$C$3:$C$1164
         ),
         ""
      ),
      IF(_xlpm.result="", "", _xlpm.result)
   )
)</f>
        <v/>
      </c>
      <c r="D1156" s="27" t="str" cm="1">
        <f t="array" ref="D1156">IF(
   OR(A1156="", $B$9="", $B$10="", $B$11=""),
   "",
   _xlfn.LET(
      _xlpm.result,
      IFERROR(
         _xlfn.XLOOKUP(
            1,
            (Table8[رقم الصنف]=A1156) *
            (IF($B$9="الكل",1, YEAR('ادخال البيانات'!$N$3:$N$1164)=VALUE($B$9))) *
            (IF($B$10="الكل",1, MONTH('ادخال البيانات'!$N$3:$N$1164)=VALUE($B$10))) *
            (IF($B$11="الكل",1, INT((DAY('ادخال البيانات'!$N$3:$N$1164)-1)/7)+1 = VALUE($B$11))),
            'ادخال البيانات'!$D$3:$D$1164
         ),
         ""
      ),
      IF(_xlpm.result="", "", _xlpm.result)
   )
)</f>
        <v/>
      </c>
      <c r="E1156" s="27" t="str" cm="1">
        <f t="array" ref="E1156">IF(
   A1156="",
   "",
   _xlfn.LET(
      _xlpm.result,
      IFERROR(
         _xlfn.XLOOKUP(
            1,
            (Table8[رقم الصنف]=A1156) *
            (IF($B$9="الكل",1, YEAR('ادخال البيانات'!$N$3:$N$1164)=VALUE($B$9))) *
            (IF($B$10="الكل",1, MONTH('ادخال البيانات'!$N$3:$N$1164)=VALUE($B$10))) *
            (IF($B$11="الكل",1, INT((DAY('ادخال البيانات'!$N$3:$N$1164)-1)/7)+1 = VALUE($B$11))),
            'ادخال البيانات'!$E$3:$E$1164
         ),
         ""
      ),
      IF(_xlpm.result="", "", _xlpm.result)
   )
)</f>
        <v/>
      </c>
      <c r="F1156" s="27" t="str" cm="1">
        <f t="array" ref="F1156">IF(
   A1156="",
   "",
   _xlfn.LET(
      _xlpm.result,
      IFERROR(
         _xlfn.XLOOKUP(
            1,
            (Table8[رقم الصنف]=A1156) *
            (IF($B$9="الكل",1, YEAR('ادخال البيانات'!$N$3:$N$1164) = VALUE($B$9))) *
            (IF($B$10="الكل",1, MONTH('ادخال البيانات'!$N$3:$N$1164) = VALUE($B$10))) *
            (IF($B$11="الكل",1, INT((DAY('ادخال البيانات'!$N$3:$N$1164)-1)/7)+1 = VALUE($B$11))),
            'ادخال البيانات'!$F$3:$F$1164
         ),
         ""
      ),
      IF(_xlpm.result="", "", _xlpm.result)
   )
)</f>
        <v/>
      </c>
      <c r="G1156" s="27" t="str" cm="1">
        <f t="array" ref="G1156">IF(
   A1156="",
   "",
   _xlfn.LET(
      _xlpm.result,
      IFERROR(
         _xlfn.XLOOKUP(
            1,
            (Table8[رقم الصنف]=A1156) *
            (IF($B$9="الكل",1, YEAR('ادخال البيانات'!$N$3:$N$1164)=VALUE($B$9))) *
            (IF($B$10="الكل",1, MONTH('ادخال البيانات'!$N$3:$N$1164)=VALUE($B$10))) *
            (IF($B$11="الكل",1, INT((DAY('ادخال البيانات'!$N$3:$N$1164)-1)/7)+1 = VALUE($B$11))),
            'ادخال البيانات'!$G$3:$G$1164
         ),
         ""
      ),
      IF(_xlpm.result="", "", _xlpm.result)
   )
)</f>
        <v/>
      </c>
      <c r="H1156" s="27" t="str" cm="1">
        <f t="array" ref="H1156">IF(
   A1156="",
   "",
   _xlfn.LET(
      _xlpm.result,
      IFERROR(
         _xlfn.XLOOKUP(
            1,
            (Table8[رقم الصنف]=A1156) *
            (IF($B$9="الكل",1, YEAR('ادخال البيانات'!$N$3:$N$1164)=VALUE($B$9))) *
            (IF($B$10="الكل",1, MONTH('ادخال البيانات'!$N$3:$N$1164)=VALUE($B$10))) *
            (IF($B$11="الكل",1, INT((DAY('ادخال البيانات'!$N$3:$N$1164)-1)/7)+1 = VALUE($B$11))),
            'ادخال البيانات'!$H$3:$H$1164
         ),
         ""
      ),
      IF(_xlpm.result="", "", _xlpm.result)
   )
)</f>
        <v/>
      </c>
      <c r="I1156" s="27" t="str" cm="1">
        <f t="array" ref="I1156">IF(
   A1156="",
   "",
   _xlfn.LET(
      _xlpm.result,
      IFERROR(
         _xlfn.XLOOKUP(
            1,
            (Table8[رقم الصنف]=A1156) *
            (IF($B$9="الكل",1, YEAR('ادخال البيانات'!$N$3:$N$1164)=VALUE($B$9))) *
            (IF($B$10="الكل",1, MONTH('ادخال البيانات'!$N$3:$N$1164)=VALUE($B$10))) *
            (IF($B$11="الكل",1, INT((DAY('ادخال البيانات'!$N$3:$N$1164)-1)/7)+1 = VALUE($B$11))),
            'ادخال البيانات'!$I$3:$I$1164
         ),
         ""
      ),
      IF(_xlpm.result="", "", _xlpm.result)
   )
)</f>
        <v/>
      </c>
      <c r="J1156" s="27" t="str" cm="1">
        <f t="array" ref="J1156">IF(
   A1156="",
   "",
   _xlfn.LET(
      _xlpm.result,
      IFERROR(
         _xlfn.XLOOKUP(
            1,
            (Table8[رقم الصنف]=A1156) *
            (IF($B$9="الكل",1, YEAR('ادخال البيانات'!$N$3:$N$1164)=VALUE($B$9))) *
            (IF($B$10="الكل",1, MONTH('ادخال البيانات'!$N$3:$N$1164)=VALUE($B$10))) *
            (IF($B$11="الكل",1, INT((DAY('ادخال البيانات'!$N$3:$N$1164)-1)/7)+1 = VALUE($B$11))),
            'ادخال البيانات'!$J$3:$J$1164
         ),
         ""
      ),
      IF(_xlpm.result="", "", _xlpm.result)
   )
)</f>
        <v/>
      </c>
      <c r="K1156" s="27" t="str" cm="1">
        <f t="array" ref="K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6" s="27" t="str" cm="1">
        <f t="array" ref="L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6" s="27" t="str" cm="1">
        <f t="array" ref="M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6" s="28" t="str" cm="1">
        <f t="array" ref="N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6" s="28" t="str" cm="1">
        <f t="array" ref="O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6" s="27" t="str" cm="1">
        <f t="array" ref="P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Table8[جهة العطل]
         ),
         ""
      ),
      IF(_xlpm.result="", "", _xlpm.result)
   )
)</f>
        <v/>
      </c>
      <c r="Q1156" s="27" t="str" cm="1">
        <f t="array" ref="Q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Table8[المركز]
         ),
         ""
      ),
      IF(_xlpm.result="", "", _xlpm.result)
   )
)</f>
        <v/>
      </c>
      <c r="R1156" s="27" t="str" cm="1">
        <f t="array" ref="R1156">IF(
   A1156="",
   "",
   _xlfn.LET(
      _xlpm.result,
      IFERROR(
         _xlfn.XLOOKUP(
            1,
            (Table8[رقم الصنف]=A1156) *
            (IF($B$9="الكل",1, YEAR('ادخال البيانات'!$N$3:$N$1164) = VALUE($B$9))) *
            (IF($B$10="الكل",1, MONTH('ادخال البيانات'!$N$3:$N$1164) = VALUE($B$10))) *
            (IF($B$11="الكل",1, INT((DAY('ادخال البيانات'!$N$3:$N$1164) - 1) / 7) + 1 = VALUE($B$11))),
            Table8[ملاحظة]
         ),
         ""
      ),
      IF(_xlpm.result="", "", _xlpm.result)
   )
)</f>
        <v/>
      </c>
      <c r="S1156" s="46" t="str">
        <f t="shared" ca="1" si="18"/>
        <v/>
      </c>
    </row>
    <row r="1157" spans="1:19" ht="15.6" thickTop="1" thickBot="1" x14ac:dyDescent="0.35">
      <c r="A1157" s="39"/>
      <c r="B1157" s="27" t="str" cm="1">
        <f t="array" ref="B1157">IF(
   OR(A1157="", $B$9="", $B$10="", $B$11=""),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7" s="27" t="str" cm="1">
        <f t="array" ref="C1157">IF(
   A1157="",
   "",
   _xlfn.LET(
      _xlpm.result,
      IFERROR(
         _xlfn.XLOOKUP(
            1,
            (Table8[رقم الصنف]=A1157) *
            (IF($B$9="الكل",1, YEAR('ادخال البيانات'!$N$3:$N$1164) = VALUE($B$9))) *
            (IF($B$10="الكل",1, MONTH('ادخال البيانات'!$N$3:$N$1164) = VALUE($B$10))) *
            (IF($B$11="الكل",1, INT((DAY('ادخال البيانات'!$N$3:$N$1164)-1)/7)+1 = VALUE($B$11))),
            'ادخال البيانات'!$C$3:$C$1164
         ),
         ""
      ),
      IF(_xlpm.result="", "", _xlpm.result)
   )
)</f>
        <v/>
      </c>
      <c r="D1157" s="27" t="str" cm="1">
        <f t="array" ref="D1157">IF(
   OR(A1157="", $B$9="", $B$10="", $B$11=""),
   "",
   _xlfn.LET(
      _xlpm.result,
      IFERROR(
         _xlfn.XLOOKUP(
            1,
            (Table8[رقم الصنف]=A1157) *
            (IF($B$9="الكل",1, YEAR('ادخال البيانات'!$N$3:$N$1164)=VALUE($B$9))) *
            (IF($B$10="الكل",1, MONTH('ادخال البيانات'!$N$3:$N$1164)=VALUE($B$10))) *
            (IF($B$11="الكل",1, INT((DAY('ادخال البيانات'!$N$3:$N$1164)-1)/7)+1 = VALUE($B$11))),
            'ادخال البيانات'!$D$3:$D$1164
         ),
         ""
      ),
      IF(_xlpm.result="", "", _xlpm.result)
   )
)</f>
        <v/>
      </c>
      <c r="E1157" s="27" t="str" cm="1">
        <f t="array" ref="E1157">IF(
   A1157="",
   "",
   _xlfn.LET(
      _xlpm.result,
      IFERROR(
         _xlfn.XLOOKUP(
            1,
            (Table8[رقم الصنف]=A1157) *
            (IF($B$9="الكل",1, YEAR('ادخال البيانات'!$N$3:$N$1164)=VALUE($B$9))) *
            (IF($B$10="الكل",1, MONTH('ادخال البيانات'!$N$3:$N$1164)=VALUE($B$10))) *
            (IF($B$11="الكل",1, INT((DAY('ادخال البيانات'!$N$3:$N$1164)-1)/7)+1 = VALUE($B$11))),
            'ادخال البيانات'!$E$3:$E$1164
         ),
         ""
      ),
      IF(_xlpm.result="", "", _xlpm.result)
   )
)</f>
        <v/>
      </c>
      <c r="F1157" s="27" t="str" cm="1">
        <f t="array" ref="F1157">IF(
   A1157="",
   "",
   _xlfn.LET(
      _xlpm.result,
      IFERROR(
         _xlfn.XLOOKUP(
            1,
            (Table8[رقم الصنف]=A1157) *
            (IF($B$9="الكل",1, YEAR('ادخال البيانات'!$N$3:$N$1164) = VALUE($B$9))) *
            (IF($B$10="الكل",1, MONTH('ادخال البيانات'!$N$3:$N$1164) = VALUE($B$10))) *
            (IF($B$11="الكل",1, INT((DAY('ادخال البيانات'!$N$3:$N$1164)-1)/7)+1 = VALUE($B$11))),
            'ادخال البيانات'!$F$3:$F$1164
         ),
         ""
      ),
      IF(_xlpm.result="", "", _xlpm.result)
   )
)</f>
        <v/>
      </c>
      <c r="G1157" s="27" t="str" cm="1">
        <f t="array" ref="G1157">IF(
   A1157="",
   "",
   _xlfn.LET(
      _xlpm.result,
      IFERROR(
         _xlfn.XLOOKUP(
            1,
            (Table8[رقم الصنف]=A1157) *
            (IF($B$9="الكل",1, YEAR('ادخال البيانات'!$N$3:$N$1164)=VALUE($B$9))) *
            (IF($B$10="الكل",1, MONTH('ادخال البيانات'!$N$3:$N$1164)=VALUE($B$10))) *
            (IF($B$11="الكل",1, INT((DAY('ادخال البيانات'!$N$3:$N$1164)-1)/7)+1 = VALUE($B$11))),
            'ادخال البيانات'!$G$3:$G$1164
         ),
         ""
      ),
      IF(_xlpm.result="", "", _xlpm.result)
   )
)</f>
        <v/>
      </c>
      <c r="H1157" s="27" t="str" cm="1">
        <f t="array" ref="H1157">IF(
   A1157="",
   "",
   _xlfn.LET(
      _xlpm.result,
      IFERROR(
         _xlfn.XLOOKUP(
            1,
            (Table8[رقم الصنف]=A1157) *
            (IF($B$9="الكل",1, YEAR('ادخال البيانات'!$N$3:$N$1164)=VALUE($B$9))) *
            (IF($B$10="الكل",1, MONTH('ادخال البيانات'!$N$3:$N$1164)=VALUE($B$10))) *
            (IF($B$11="الكل",1, INT((DAY('ادخال البيانات'!$N$3:$N$1164)-1)/7)+1 = VALUE($B$11))),
            'ادخال البيانات'!$H$3:$H$1164
         ),
         ""
      ),
      IF(_xlpm.result="", "", _xlpm.result)
   )
)</f>
        <v/>
      </c>
      <c r="I1157" s="27" t="str" cm="1">
        <f t="array" ref="I1157">IF(
   A1157="",
   "",
   _xlfn.LET(
      _xlpm.result,
      IFERROR(
         _xlfn.XLOOKUP(
            1,
            (Table8[رقم الصنف]=A1157) *
            (IF($B$9="الكل",1, YEAR('ادخال البيانات'!$N$3:$N$1164)=VALUE($B$9))) *
            (IF($B$10="الكل",1, MONTH('ادخال البيانات'!$N$3:$N$1164)=VALUE($B$10))) *
            (IF($B$11="الكل",1, INT((DAY('ادخال البيانات'!$N$3:$N$1164)-1)/7)+1 = VALUE($B$11))),
            'ادخال البيانات'!$I$3:$I$1164
         ),
         ""
      ),
      IF(_xlpm.result="", "", _xlpm.result)
   )
)</f>
        <v/>
      </c>
      <c r="J1157" s="27" t="str" cm="1">
        <f t="array" ref="J1157">IF(
   A1157="",
   "",
   _xlfn.LET(
      _xlpm.result,
      IFERROR(
         _xlfn.XLOOKUP(
            1,
            (Table8[رقم الصنف]=A1157) *
            (IF($B$9="الكل",1, YEAR('ادخال البيانات'!$N$3:$N$1164)=VALUE($B$9))) *
            (IF($B$10="الكل",1, MONTH('ادخال البيانات'!$N$3:$N$1164)=VALUE($B$10))) *
            (IF($B$11="الكل",1, INT((DAY('ادخال البيانات'!$N$3:$N$1164)-1)/7)+1 = VALUE($B$11))),
            'ادخال البيانات'!$J$3:$J$1164
         ),
         ""
      ),
      IF(_xlpm.result="", "", _xlpm.result)
   )
)</f>
        <v/>
      </c>
      <c r="K1157" s="27" t="str" cm="1">
        <f t="array" ref="K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7" s="27" t="str" cm="1">
        <f t="array" ref="L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7" s="27" t="str" cm="1">
        <f t="array" ref="M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7" s="28" t="str" cm="1">
        <f t="array" ref="N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7" s="28" t="str" cm="1">
        <f t="array" ref="O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7" s="27" t="str" cm="1">
        <f t="array" ref="P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Table8[جهة العطل]
         ),
         ""
      ),
      IF(_xlpm.result="", "", _xlpm.result)
   )
)</f>
        <v/>
      </c>
      <c r="Q1157" s="27" t="str" cm="1">
        <f t="array" ref="Q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Table8[المركز]
         ),
         ""
      ),
      IF(_xlpm.result="", "", _xlpm.result)
   )
)</f>
        <v/>
      </c>
      <c r="R1157" s="27" t="str" cm="1">
        <f t="array" ref="R1157">IF(
   A1157="",
   "",
   _xlfn.LET(
      _xlpm.result,
      IFERROR(
         _xlfn.XLOOKUP(
            1,
            (Table8[رقم الصنف]=A1157) *
            (IF($B$9="الكل",1, YEAR('ادخال البيانات'!$N$3:$N$1164) = VALUE($B$9))) *
            (IF($B$10="الكل",1, MONTH('ادخال البيانات'!$N$3:$N$1164) = VALUE($B$10))) *
            (IF($B$11="الكل",1, INT((DAY('ادخال البيانات'!$N$3:$N$1164) - 1) / 7) + 1 = VALUE($B$11))),
            Table8[ملاحظة]
         ),
         ""
      ),
      IF(_xlpm.result="", "", _xlpm.result)
   )
)</f>
        <v/>
      </c>
      <c r="S1157" s="46" t="str">
        <f t="shared" ca="1" si="18"/>
        <v/>
      </c>
    </row>
    <row r="1158" spans="1:19" ht="15.6" thickTop="1" thickBot="1" x14ac:dyDescent="0.35">
      <c r="A1158" s="39"/>
      <c r="B1158" s="27" t="str" cm="1">
        <f t="array" ref="B1158">IF(
   OR(A1158="", $B$9="", $B$10="", $B$11=""),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8" s="27" t="str" cm="1">
        <f t="array" ref="C1158">IF(
   A1158="",
   "",
   _xlfn.LET(
      _xlpm.result,
      IFERROR(
         _xlfn.XLOOKUP(
            1,
            (Table8[رقم الصنف]=A1158) *
            (IF($B$9="الكل",1, YEAR('ادخال البيانات'!$N$3:$N$1164) = VALUE($B$9))) *
            (IF($B$10="الكل",1, MONTH('ادخال البيانات'!$N$3:$N$1164) = VALUE($B$10))) *
            (IF($B$11="الكل",1, INT((DAY('ادخال البيانات'!$N$3:$N$1164)-1)/7)+1 = VALUE($B$11))),
            'ادخال البيانات'!$C$3:$C$1164
         ),
         ""
      ),
      IF(_xlpm.result="", "", _xlpm.result)
   )
)</f>
        <v/>
      </c>
      <c r="D1158" s="27" t="str" cm="1">
        <f t="array" ref="D1158">IF(
   OR(A1158="", $B$9="", $B$10="", $B$11=""),
   "",
   _xlfn.LET(
      _xlpm.result,
      IFERROR(
         _xlfn.XLOOKUP(
            1,
            (Table8[رقم الصنف]=A1158) *
            (IF($B$9="الكل",1, YEAR('ادخال البيانات'!$N$3:$N$1164)=VALUE($B$9))) *
            (IF($B$10="الكل",1, MONTH('ادخال البيانات'!$N$3:$N$1164)=VALUE($B$10))) *
            (IF($B$11="الكل",1, INT((DAY('ادخال البيانات'!$N$3:$N$1164)-1)/7)+1 = VALUE($B$11))),
            'ادخال البيانات'!$D$3:$D$1164
         ),
         ""
      ),
      IF(_xlpm.result="", "", _xlpm.result)
   )
)</f>
        <v/>
      </c>
      <c r="E1158" s="27" t="str" cm="1">
        <f t="array" ref="E1158">IF(
   A1158="",
   "",
   _xlfn.LET(
      _xlpm.result,
      IFERROR(
         _xlfn.XLOOKUP(
            1,
            (Table8[رقم الصنف]=A1158) *
            (IF($B$9="الكل",1, YEAR('ادخال البيانات'!$N$3:$N$1164)=VALUE($B$9))) *
            (IF($B$10="الكل",1, MONTH('ادخال البيانات'!$N$3:$N$1164)=VALUE($B$10))) *
            (IF($B$11="الكل",1, INT((DAY('ادخال البيانات'!$N$3:$N$1164)-1)/7)+1 = VALUE($B$11))),
            'ادخال البيانات'!$E$3:$E$1164
         ),
         ""
      ),
      IF(_xlpm.result="", "", _xlpm.result)
   )
)</f>
        <v/>
      </c>
      <c r="F1158" s="27" t="str" cm="1">
        <f t="array" ref="F1158">IF(
   A1158="",
   "",
   _xlfn.LET(
      _xlpm.result,
      IFERROR(
         _xlfn.XLOOKUP(
            1,
            (Table8[رقم الصنف]=A1158) *
            (IF($B$9="الكل",1, YEAR('ادخال البيانات'!$N$3:$N$1164) = VALUE($B$9))) *
            (IF($B$10="الكل",1, MONTH('ادخال البيانات'!$N$3:$N$1164) = VALUE($B$10))) *
            (IF($B$11="الكل",1, INT((DAY('ادخال البيانات'!$N$3:$N$1164)-1)/7)+1 = VALUE($B$11))),
            'ادخال البيانات'!$F$3:$F$1164
         ),
         ""
      ),
      IF(_xlpm.result="", "", _xlpm.result)
   )
)</f>
        <v/>
      </c>
      <c r="G1158" s="27" t="str" cm="1">
        <f t="array" ref="G1158">IF(
   A1158="",
   "",
   _xlfn.LET(
      _xlpm.result,
      IFERROR(
         _xlfn.XLOOKUP(
            1,
            (Table8[رقم الصنف]=A1158) *
            (IF($B$9="الكل",1, YEAR('ادخال البيانات'!$N$3:$N$1164)=VALUE($B$9))) *
            (IF($B$10="الكل",1, MONTH('ادخال البيانات'!$N$3:$N$1164)=VALUE($B$10))) *
            (IF($B$11="الكل",1, INT((DAY('ادخال البيانات'!$N$3:$N$1164)-1)/7)+1 = VALUE($B$11))),
            'ادخال البيانات'!$G$3:$G$1164
         ),
         ""
      ),
      IF(_xlpm.result="", "", _xlpm.result)
   )
)</f>
        <v/>
      </c>
      <c r="H1158" s="27" t="str" cm="1">
        <f t="array" ref="H1158">IF(
   A1158="",
   "",
   _xlfn.LET(
      _xlpm.result,
      IFERROR(
         _xlfn.XLOOKUP(
            1,
            (Table8[رقم الصنف]=A1158) *
            (IF($B$9="الكل",1, YEAR('ادخال البيانات'!$N$3:$N$1164)=VALUE($B$9))) *
            (IF($B$10="الكل",1, MONTH('ادخال البيانات'!$N$3:$N$1164)=VALUE($B$10))) *
            (IF($B$11="الكل",1, INT((DAY('ادخال البيانات'!$N$3:$N$1164)-1)/7)+1 = VALUE($B$11))),
            'ادخال البيانات'!$H$3:$H$1164
         ),
         ""
      ),
      IF(_xlpm.result="", "", _xlpm.result)
   )
)</f>
        <v/>
      </c>
      <c r="I1158" s="27" t="str" cm="1">
        <f t="array" ref="I1158">IF(
   A1158="",
   "",
   _xlfn.LET(
      _xlpm.result,
      IFERROR(
         _xlfn.XLOOKUP(
            1,
            (Table8[رقم الصنف]=A1158) *
            (IF($B$9="الكل",1, YEAR('ادخال البيانات'!$N$3:$N$1164)=VALUE($B$9))) *
            (IF($B$10="الكل",1, MONTH('ادخال البيانات'!$N$3:$N$1164)=VALUE($B$10))) *
            (IF($B$11="الكل",1, INT((DAY('ادخال البيانات'!$N$3:$N$1164)-1)/7)+1 = VALUE($B$11))),
            'ادخال البيانات'!$I$3:$I$1164
         ),
         ""
      ),
      IF(_xlpm.result="", "", _xlpm.result)
   )
)</f>
        <v/>
      </c>
      <c r="J1158" s="27" t="str" cm="1">
        <f t="array" ref="J1158">IF(
   A1158="",
   "",
   _xlfn.LET(
      _xlpm.result,
      IFERROR(
         _xlfn.XLOOKUP(
            1,
            (Table8[رقم الصنف]=A1158) *
            (IF($B$9="الكل",1, YEAR('ادخال البيانات'!$N$3:$N$1164)=VALUE($B$9))) *
            (IF($B$10="الكل",1, MONTH('ادخال البيانات'!$N$3:$N$1164)=VALUE($B$10))) *
            (IF($B$11="الكل",1, INT((DAY('ادخال البيانات'!$N$3:$N$1164)-1)/7)+1 = VALUE($B$11))),
            'ادخال البيانات'!$J$3:$J$1164
         ),
         ""
      ),
      IF(_xlpm.result="", "", _xlpm.result)
   )
)</f>
        <v/>
      </c>
      <c r="K1158" s="27" t="str" cm="1">
        <f t="array" ref="K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8" s="27" t="str" cm="1">
        <f t="array" ref="L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8" s="27" t="str" cm="1">
        <f t="array" ref="M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8" s="28" t="str" cm="1">
        <f t="array" ref="N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8" s="28" t="str" cm="1">
        <f t="array" ref="O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8" s="27" t="str" cm="1">
        <f t="array" ref="P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Table8[جهة العطل]
         ),
         ""
      ),
      IF(_xlpm.result="", "", _xlpm.result)
   )
)</f>
        <v/>
      </c>
      <c r="Q1158" s="27" t="str" cm="1">
        <f t="array" ref="Q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Table8[المركز]
         ),
         ""
      ),
      IF(_xlpm.result="", "", _xlpm.result)
   )
)</f>
        <v/>
      </c>
      <c r="R1158" s="27" t="str" cm="1">
        <f t="array" ref="R1158">IF(
   A1158="",
   "",
   _xlfn.LET(
      _xlpm.result,
      IFERROR(
         _xlfn.XLOOKUP(
            1,
            (Table8[رقم الصنف]=A1158) *
            (IF($B$9="الكل",1, YEAR('ادخال البيانات'!$N$3:$N$1164) = VALUE($B$9))) *
            (IF($B$10="الكل",1, MONTH('ادخال البيانات'!$N$3:$N$1164) = VALUE($B$10))) *
            (IF($B$11="الكل",1, INT((DAY('ادخال البيانات'!$N$3:$N$1164) - 1) / 7) + 1 = VALUE($B$11))),
            Table8[ملاحظة]
         ),
         ""
      ),
      IF(_xlpm.result="", "", _xlpm.result)
   )
)</f>
        <v/>
      </c>
      <c r="S1158" s="46" t="str">
        <f t="shared" ca="1" si="18"/>
        <v/>
      </c>
    </row>
    <row r="1159" spans="1:19" ht="15.6" thickTop="1" thickBot="1" x14ac:dyDescent="0.35">
      <c r="A1159" s="39"/>
      <c r="B1159" s="27" t="str" cm="1">
        <f t="array" ref="B1159">IF(
   OR(A1159="", $B$9="", $B$10="", $B$11=""),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59" s="27" t="str" cm="1">
        <f t="array" ref="C1159">IF(
   A1159="",
   "",
   _xlfn.LET(
      _xlpm.result,
      IFERROR(
         _xlfn.XLOOKUP(
            1,
            (Table8[رقم الصنف]=A1159) *
            (IF($B$9="الكل",1, YEAR('ادخال البيانات'!$N$3:$N$1164) = VALUE($B$9))) *
            (IF($B$10="الكل",1, MONTH('ادخال البيانات'!$N$3:$N$1164) = VALUE($B$10))) *
            (IF($B$11="الكل",1, INT((DAY('ادخال البيانات'!$N$3:$N$1164)-1)/7)+1 = VALUE($B$11))),
            'ادخال البيانات'!$C$3:$C$1164
         ),
         ""
      ),
      IF(_xlpm.result="", "", _xlpm.result)
   )
)</f>
        <v/>
      </c>
      <c r="D1159" s="27" t="str" cm="1">
        <f t="array" ref="D1159">IF(
   OR(A1159="", $B$9="", $B$10="", $B$11=""),
   "",
   _xlfn.LET(
      _xlpm.result,
      IFERROR(
         _xlfn.XLOOKUP(
            1,
            (Table8[رقم الصنف]=A1159) *
            (IF($B$9="الكل",1, YEAR('ادخال البيانات'!$N$3:$N$1164)=VALUE($B$9))) *
            (IF($B$10="الكل",1, MONTH('ادخال البيانات'!$N$3:$N$1164)=VALUE($B$10))) *
            (IF($B$11="الكل",1, INT((DAY('ادخال البيانات'!$N$3:$N$1164)-1)/7)+1 = VALUE($B$11))),
            'ادخال البيانات'!$D$3:$D$1164
         ),
         ""
      ),
      IF(_xlpm.result="", "", _xlpm.result)
   )
)</f>
        <v/>
      </c>
      <c r="E1159" s="27" t="str" cm="1">
        <f t="array" ref="E1159">IF(
   A1159="",
   "",
   _xlfn.LET(
      _xlpm.result,
      IFERROR(
         _xlfn.XLOOKUP(
            1,
            (Table8[رقم الصنف]=A1159) *
            (IF($B$9="الكل",1, YEAR('ادخال البيانات'!$N$3:$N$1164)=VALUE($B$9))) *
            (IF($B$10="الكل",1, MONTH('ادخال البيانات'!$N$3:$N$1164)=VALUE($B$10))) *
            (IF($B$11="الكل",1, INT((DAY('ادخال البيانات'!$N$3:$N$1164)-1)/7)+1 = VALUE($B$11))),
            'ادخال البيانات'!$E$3:$E$1164
         ),
         ""
      ),
      IF(_xlpm.result="", "", _xlpm.result)
   )
)</f>
        <v/>
      </c>
      <c r="F1159" s="27" t="str" cm="1">
        <f t="array" ref="F1159">IF(
   A1159="",
   "",
   _xlfn.LET(
      _xlpm.result,
      IFERROR(
         _xlfn.XLOOKUP(
            1,
            (Table8[رقم الصنف]=A1159) *
            (IF($B$9="الكل",1, YEAR('ادخال البيانات'!$N$3:$N$1164) = VALUE($B$9))) *
            (IF($B$10="الكل",1, MONTH('ادخال البيانات'!$N$3:$N$1164) = VALUE($B$10))) *
            (IF($B$11="الكل",1, INT((DAY('ادخال البيانات'!$N$3:$N$1164)-1)/7)+1 = VALUE($B$11))),
            'ادخال البيانات'!$F$3:$F$1164
         ),
         ""
      ),
      IF(_xlpm.result="", "", _xlpm.result)
   )
)</f>
        <v/>
      </c>
      <c r="G1159" s="27" t="str" cm="1">
        <f t="array" ref="G1159">IF(
   A1159="",
   "",
   _xlfn.LET(
      _xlpm.result,
      IFERROR(
         _xlfn.XLOOKUP(
            1,
            (Table8[رقم الصنف]=A1159) *
            (IF($B$9="الكل",1, YEAR('ادخال البيانات'!$N$3:$N$1164)=VALUE($B$9))) *
            (IF($B$10="الكل",1, MONTH('ادخال البيانات'!$N$3:$N$1164)=VALUE($B$10))) *
            (IF($B$11="الكل",1, INT((DAY('ادخال البيانات'!$N$3:$N$1164)-1)/7)+1 = VALUE($B$11))),
            'ادخال البيانات'!$G$3:$G$1164
         ),
         ""
      ),
      IF(_xlpm.result="", "", _xlpm.result)
   )
)</f>
        <v/>
      </c>
      <c r="H1159" s="27" t="str" cm="1">
        <f t="array" ref="H1159">IF(
   A1159="",
   "",
   _xlfn.LET(
      _xlpm.result,
      IFERROR(
         _xlfn.XLOOKUP(
            1,
            (Table8[رقم الصنف]=A1159) *
            (IF($B$9="الكل",1, YEAR('ادخال البيانات'!$N$3:$N$1164)=VALUE($B$9))) *
            (IF($B$10="الكل",1, MONTH('ادخال البيانات'!$N$3:$N$1164)=VALUE($B$10))) *
            (IF($B$11="الكل",1, INT((DAY('ادخال البيانات'!$N$3:$N$1164)-1)/7)+1 = VALUE($B$11))),
            'ادخال البيانات'!$H$3:$H$1164
         ),
         ""
      ),
      IF(_xlpm.result="", "", _xlpm.result)
   )
)</f>
        <v/>
      </c>
      <c r="I1159" s="27" t="str" cm="1">
        <f t="array" ref="I1159">IF(
   A1159="",
   "",
   _xlfn.LET(
      _xlpm.result,
      IFERROR(
         _xlfn.XLOOKUP(
            1,
            (Table8[رقم الصنف]=A1159) *
            (IF($B$9="الكل",1, YEAR('ادخال البيانات'!$N$3:$N$1164)=VALUE($B$9))) *
            (IF($B$10="الكل",1, MONTH('ادخال البيانات'!$N$3:$N$1164)=VALUE($B$10))) *
            (IF($B$11="الكل",1, INT((DAY('ادخال البيانات'!$N$3:$N$1164)-1)/7)+1 = VALUE($B$11))),
            'ادخال البيانات'!$I$3:$I$1164
         ),
         ""
      ),
      IF(_xlpm.result="", "", _xlpm.result)
   )
)</f>
        <v/>
      </c>
      <c r="J1159" s="27" t="str" cm="1">
        <f t="array" ref="J1159">IF(
   A1159="",
   "",
   _xlfn.LET(
      _xlpm.result,
      IFERROR(
         _xlfn.XLOOKUP(
            1,
            (Table8[رقم الصنف]=A1159) *
            (IF($B$9="الكل",1, YEAR('ادخال البيانات'!$N$3:$N$1164)=VALUE($B$9))) *
            (IF($B$10="الكل",1, MONTH('ادخال البيانات'!$N$3:$N$1164)=VALUE($B$10))) *
            (IF($B$11="الكل",1, INT((DAY('ادخال البيانات'!$N$3:$N$1164)-1)/7)+1 = VALUE($B$11))),
            'ادخال البيانات'!$J$3:$J$1164
         ),
         ""
      ),
      IF(_xlpm.result="", "", _xlpm.result)
   )
)</f>
        <v/>
      </c>
      <c r="K1159" s="27" t="str" cm="1">
        <f t="array" ref="K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59" s="27" t="str" cm="1">
        <f t="array" ref="L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59" s="27" t="str" cm="1">
        <f t="array" ref="M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59" s="28" t="str" cm="1">
        <f t="array" ref="N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59" s="28" t="str" cm="1">
        <f t="array" ref="O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59" s="27" t="str" cm="1">
        <f t="array" ref="P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Table8[جهة العطل]
         ),
         ""
      ),
      IF(_xlpm.result="", "", _xlpm.result)
   )
)</f>
        <v/>
      </c>
      <c r="Q1159" s="27" t="str" cm="1">
        <f t="array" ref="Q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Table8[المركز]
         ),
         ""
      ),
      IF(_xlpm.result="", "", _xlpm.result)
   )
)</f>
        <v/>
      </c>
      <c r="R1159" s="27" t="str" cm="1">
        <f t="array" ref="R1159">IF(
   A1159="",
   "",
   _xlfn.LET(
      _xlpm.result,
      IFERROR(
         _xlfn.XLOOKUP(
            1,
            (Table8[رقم الصنف]=A1159) *
            (IF($B$9="الكل",1, YEAR('ادخال البيانات'!$N$3:$N$1164) = VALUE($B$9))) *
            (IF($B$10="الكل",1, MONTH('ادخال البيانات'!$N$3:$N$1164) = VALUE($B$10))) *
            (IF($B$11="الكل",1, INT((DAY('ادخال البيانات'!$N$3:$N$1164) - 1) / 7) + 1 = VALUE($B$11))),
            Table8[ملاحظة]
         ),
         ""
      ),
      IF(_xlpm.result="", "", _xlpm.result)
   )
)</f>
        <v/>
      </c>
      <c r="S1159" s="46" t="str">
        <f t="shared" ca="1" si="18"/>
        <v/>
      </c>
    </row>
    <row r="1160" spans="1:19" ht="15.6" thickTop="1" thickBot="1" x14ac:dyDescent="0.35">
      <c r="A1160" s="39"/>
      <c r="B1160" s="27" t="str" cm="1">
        <f t="array" ref="B1160">IF(
   OR(A1160="", $B$9="", $B$10="", $B$11=""),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0" s="27" t="str" cm="1">
        <f t="array" ref="C1160">IF(
   A1160="",
   "",
   _xlfn.LET(
      _xlpm.result,
      IFERROR(
         _xlfn.XLOOKUP(
            1,
            (Table8[رقم الصنف]=A1160) *
            (IF($B$9="الكل",1, YEAR('ادخال البيانات'!$N$3:$N$1164) = VALUE($B$9))) *
            (IF($B$10="الكل",1, MONTH('ادخال البيانات'!$N$3:$N$1164) = VALUE($B$10))) *
            (IF($B$11="الكل",1, INT((DAY('ادخال البيانات'!$N$3:$N$1164)-1)/7)+1 = VALUE($B$11))),
            'ادخال البيانات'!$C$3:$C$1164
         ),
         ""
      ),
      IF(_xlpm.result="", "", _xlpm.result)
   )
)</f>
        <v/>
      </c>
      <c r="D1160" s="27" t="str" cm="1">
        <f t="array" ref="D1160">IF(
   OR(A1160="", $B$9="", $B$10="", $B$11=""),
   "",
   _xlfn.LET(
      _xlpm.result,
      IFERROR(
         _xlfn.XLOOKUP(
            1,
            (Table8[رقم الصنف]=A1160) *
            (IF($B$9="الكل",1, YEAR('ادخال البيانات'!$N$3:$N$1164)=VALUE($B$9))) *
            (IF($B$10="الكل",1, MONTH('ادخال البيانات'!$N$3:$N$1164)=VALUE($B$10))) *
            (IF($B$11="الكل",1, INT((DAY('ادخال البيانات'!$N$3:$N$1164)-1)/7)+1 = VALUE($B$11))),
            'ادخال البيانات'!$D$3:$D$1164
         ),
         ""
      ),
      IF(_xlpm.result="", "", _xlpm.result)
   )
)</f>
        <v/>
      </c>
      <c r="E1160" s="27" t="str" cm="1">
        <f t="array" ref="E1160">IF(
   A1160="",
   "",
   _xlfn.LET(
      _xlpm.result,
      IFERROR(
         _xlfn.XLOOKUP(
            1,
            (Table8[رقم الصنف]=A1160) *
            (IF($B$9="الكل",1, YEAR('ادخال البيانات'!$N$3:$N$1164)=VALUE($B$9))) *
            (IF($B$10="الكل",1, MONTH('ادخال البيانات'!$N$3:$N$1164)=VALUE($B$10))) *
            (IF($B$11="الكل",1, INT((DAY('ادخال البيانات'!$N$3:$N$1164)-1)/7)+1 = VALUE($B$11))),
            'ادخال البيانات'!$E$3:$E$1164
         ),
         ""
      ),
      IF(_xlpm.result="", "", _xlpm.result)
   )
)</f>
        <v/>
      </c>
      <c r="F1160" s="27" t="str" cm="1">
        <f t="array" ref="F1160">IF(
   A1160="",
   "",
   _xlfn.LET(
      _xlpm.result,
      IFERROR(
         _xlfn.XLOOKUP(
            1,
            (Table8[رقم الصنف]=A1160) *
            (IF($B$9="الكل",1, YEAR('ادخال البيانات'!$N$3:$N$1164) = VALUE($B$9))) *
            (IF($B$10="الكل",1, MONTH('ادخال البيانات'!$N$3:$N$1164) = VALUE($B$10))) *
            (IF($B$11="الكل",1, INT((DAY('ادخال البيانات'!$N$3:$N$1164)-1)/7)+1 = VALUE($B$11))),
            'ادخال البيانات'!$F$3:$F$1164
         ),
         ""
      ),
      IF(_xlpm.result="", "", _xlpm.result)
   )
)</f>
        <v/>
      </c>
      <c r="G1160" s="27" t="str" cm="1">
        <f t="array" ref="G1160">IF(
   A1160="",
   "",
   _xlfn.LET(
      _xlpm.result,
      IFERROR(
         _xlfn.XLOOKUP(
            1,
            (Table8[رقم الصنف]=A1160) *
            (IF($B$9="الكل",1, YEAR('ادخال البيانات'!$N$3:$N$1164)=VALUE($B$9))) *
            (IF($B$10="الكل",1, MONTH('ادخال البيانات'!$N$3:$N$1164)=VALUE($B$10))) *
            (IF($B$11="الكل",1, INT((DAY('ادخال البيانات'!$N$3:$N$1164)-1)/7)+1 = VALUE($B$11))),
            'ادخال البيانات'!$G$3:$G$1164
         ),
         ""
      ),
      IF(_xlpm.result="", "", _xlpm.result)
   )
)</f>
        <v/>
      </c>
      <c r="H1160" s="27" t="str" cm="1">
        <f t="array" ref="H1160">IF(
   A1160="",
   "",
   _xlfn.LET(
      _xlpm.result,
      IFERROR(
         _xlfn.XLOOKUP(
            1,
            (Table8[رقم الصنف]=A1160) *
            (IF($B$9="الكل",1, YEAR('ادخال البيانات'!$N$3:$N$1164)=VALUE($B$9))) *
            (IF($B$10="الكل",1, MONTH('ادخال البيانات'!$N$3:$N$1164)=VALUE($B$10))) *
            (IF($B$11="الكل",1, INT((DAY('ادخال البيانات'!$N$3:$N$1164)-1)/7)+1 = VALUE($B$11))),
            'ادخال البيانات'!$H$3:$H$1164
         ),
         ""
      ),
      IF(_xlpm.result="", "", _xlpm.result)
   )
)</f>
        <v/>
      </c>
      <c r="I1160" s="27" t="str" cm="1">
        <f t="array" ref="I1160">IF(
   A1160="",
   "",
   _xlfn.LET(
      _xlpm.result,
      IFERROR(
         _xlfn.XLOOKUP(
            1,
            (Table8[رقم الصنف]=A1160) *
            (IF($B$9="الكل",1, YEAR('ادخال البيانات'!$N$3:$N$1164)=VALUE($B$9))) *
            (IF($B$10="الكل",1, MONTH('ادخال البيانات'!$N$3:$N$1164)=VALUE($B$10))) *
            (IF($B$11="الكل",1, INT((DAY('ادخال البيانات'!$N$3:$N$1164)-1)/7)+1 = VALUE($B$11))),
            'ادخال البيانات'!$I$3:$I$1164
         ),
         ""
      ),
      IF(_xlpm.result="", "", _xlpm.result)
   )
)</f>
        <v/>
      </c>
      <c r="J1160" s="27" t="str" cm="1">
        <f t="array" ref="J1160">IF(
   A1160="",
   "",
   _xlfn.LET(
      _xlpm.result,
      IFERROR(
         _xlfn.XLOOKUP(
            1,
            (Table8[رقم الصنف]=A1160) *
            (IF($B$9="الكل",1, YEAR('ادخال البيانات'!$N$3:$N$1164)=VALUE($B$9))) *
            (IF($B$10="الكل",1, MONTH('ادخال البيانات'!$N$3:$N$1164)=VALUE($B$10))) *
            (IF($B$11="الكل",1, INT((DAY('ادخال البيانات'!$N$3:$N$1164)-1)/7)+1 = VALUE($B$11))),
            'ادخال البيانات'!$J$3:$J$1164
         ),
         ""
      ),
      IF(_xlpm.result="", "", _xlpm.result)
   )
)</f>
        <v/>
      </c>
      <c r="K1160" s="27" t="str" cm="1">
        <f t="array" ref="K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0" s="27" t="str" cm="1">
        <f t="array" ref="L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0" s="27" t="str" cm="1">
        <f t="array" ref="M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0" s="28" t="str" cm="1">
        <f t="array" ref="N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0" s="28" t="str" cm="1">
        <f t="array" ref="O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0" s="27" t="str" cm="1">
        <f t="array" ref="P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Table8[جهة العطل]
         ),
         ""
      ),
      IF(_xlpm.result="", "", _xlpm.result)
   )
)</f>
        <v/>
      </c>
      <c r="Q1160" s="27" t="str" cm="1">
        <f t="array" ref="Q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Table8[المركز]
         ),
         ""
      ),
      IF(_xlpm.result="", "", _xlpm.result)
   )
)</f>
        <v/>
      </c>
      <c r="R1160" s="27" t="str" cm="1">
        <f t="array" ref="R1160">IF(
   A1160="",
   "",
   _xlfn.LET(
      _xlpm.result,
      IFERROR(
         _xlfn.XLOOKUP(
            1,
            (Table8[رقم الصنف]=A1160) *
            (IF($B$9="الكل",1, YEAR('ادخال البيانات'!$N$3:$N$1164) = VALUE($B$9))) *
            (IF($B$10="الكل",1, MONTH('ادخال البيانات'!$N$3:$N$1164) = VALUE($B$10))) *
            (IF($B$11="الكل",1, INT((DAY('ادخال البيانات'!$N$3:$N$1164) - 1) / 7) + 1 = VALUE($B$11))),
            Table8[ملاحظة]
         ),
         ""
      ),
      IF(_xlpm.result="", "", _xlpm.result)
   )
)</f>
        <v/>
      </c>
      <c r="S1160" s="46" t="str">
        <f t="shared" ca="1" si="18"/>
        <v/>
      </c>
    </row>
    <row r="1161" spans="1:19" ht="15.6" thickTop="1" thickBot="1" x14ac:dyDescent="0.35">
      <c r="A1161" s="39"/>
      <c r="B1161" s="27" t="str" cm="1">
        <f t="array" ref="B1161">IF(
   OR(A1161="", $B$9="", $B$10="", $B$11=""),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1" s="27" t="str" cm="1">
        <f t="array" ref="C1161">IF(
   A1161="",
   "",
   _xlfn.LET(
      _xlpm.result,
      IFERROR(
         _xlfn.XLOOKUP(
            1,
            (Table8[رقم الصنف]=A1161) *
            (IF($B$9="الكل",1, YEAR('ادخال البيانات'!$N$3:$N$1164) = VALUE($B$9))) *
            (IF($B$10="الكل",1, MONTH('ادخال البيانات'!$N$3:$N$1164) = VALUE($B$10))) *
            (IF($B$11="الكل",1, INT((DAY('ادخال البيانات'!$N$3:$N$1164)-1)/7)+1 = VALUE($B$11))),
            'ادخال البيانات'!$C$3:$C$1164
         ),
         ""
      ),
      IF(_xlpm.result="", "", _xlpm.result)
   )
)</f>
        <v/>
      </c>
      <c r="D1161" s="27" t="str" cm="1">
        <f t="array" ref="D1161">IF(
   OR(A1161="", $B$9="", $B$10="", $B$11=""),
   "",
   _xlfn.LET(
      _xlpm.result,
      IFERROR(
         _xlfn.XLOOKUP(
            1,
            (Table8[رقم الصنف]=A1161) *
            (IF($B$9="الكل",1, YEAR('ادخال البيانات'!$N$3:$N$1164)=VALUE($B$9))) *
            (IF($B$10="الكل",1, MONTH('ادخال البيانات'!$N$3:$N$1164)=VALUE($B$10))) *
            (IF($B$11="الكل",1, INT((DAY('ادخال البيانات'!$N$3:$N$1164)-1)/7)+1 = VALUE($B$11))),
            'ادخال البيانات'!$D$3:$D$1164
         ),
         ""
      ),
      IF(_xlpm.result="", "", _xlpm.result)
   )
)</f>
        <v/>
      </c>
      <c r="E1161" s="27" t="str" cm="1">
        <f t="array" ref="E1161">IF(
   A1161="",
   "",
   _xlfn.LET(
      _xlpm.result,
      IFERROR(
         _xlfn.XLOOKUP(
            1,
            (Table8[رقم الصنف]=A1161) *
            (IF($B$9="الكل",1, YEAR('ادخال البيانات'!$N$3:$N$1164)=VALUE($B$9))) *
            (IF($B$10="الكل",1, MONTH('ادخال البيانات'!$N$3:$N$1164)=VALUE($B$10))) *
            (IF($B$11="الكل",1, INT((DAY('ادخال البيانات'!$N$3:$N$1164)-1)/7)+1 = VALUE($B$11))),
            'ادخال البيانات'!$E$3:$E$1164
         ),
         ""
      ),
      IF(_xlpm.result="", "", _xlpm.result)
   )
)</f>
        <v/>
      </c>
      <c r="F1161" s="27" t="str" cm="1">
        <f t="array" ref="F1161">IF(
   A1161="",
   "",
   _xlfn.LET(
      _xlpm.result,
      IFERROR(
         _xlfn.XLOOKUP(
            1,
            (Table8[رقم الصنف]=A1161) *
            (IF($B$9="الكل",1, YEAR('ادخال البيانات'!$N$3:$N$1164) = VALUE($B$9))) *
            (IF($B$10="الكل",1, MONTH('ادخال البيانات'!$N$3:$N$1164) = VALUE($B$10))) *
            (IF($B$11="الكل",1, INT((DAY('ادخال البيانات'!$N$3:$N$1164)-1)/7)+1 = VALUE($B$11))),
            'ادخال البيانات'!$F$3:$F$1164
         ),
         ""
      ),
      IF(_xlpm.result="", "", _xlpm.result)
   )
)</f>
        <v/>
      </c>
      <c r="G1161" s="27" t="str" cm="1">
        <f t="array" ref="G1161">IF(
   A1161="",
   "",
   _xlfn.LET(
      _xlpm.result,
      IFERROR(
         _xlfn.XLOOKUP(
            1,
            (Table8[رقم الصنف]=A1161) *
            (IF($B$9="الكل",1, YEAR('ادخال البيانات'!$N$3:$N$1164)=VALUE($B$9))) *
            (IF($B$10="الكل",1, MONTH('ادخال البيانات'!$N$3:$N$1164)=VALUE($B$10))) *
            (IF($B$11="الكل",1, INT((DAY('ادخال البيانات'!$N$3:$N$1164)-1)/7)+1 = VALUE($B$11))),
            'ادخال البيانات'!$G$3:$G$1164
         ),
         ""
      ),
      IF(_xlpm.result="", "", _xlpm.result)
   )
)</f>
        <v/>
      </c>
      <c r="H1161" s="27" t="str" cm="1">
        <f t="array" ref="H1161">IF(
   A1161="",
   "",
   _xlfn.LET(
      _xlpm.result,
      IFERROR(
         _xlfn.XLOOKUP(
            1,
            (Table8[رقم الصنف]=A1161) *
            (IF($B$9="الكل",1, YEAR('ادخال البيانات'!$N$3:$N$1164)=VALUE($B$9))) *
            (IF($B$10="الكل",1, MONTH('ادخال البيانات'!$N$3:$N$1164)=VALUE($B$10))) *
            (IF($B$11="الكل",1, INT((DAY('ادخال البيانات'!$N$3:$N$1164)-1)/7)+1 = VALUE($B$11))),
            'ادخال البيانات'!$H$3:$H$1164
         ),
         ""
      ),
      IF(_xlpm.result="", "", _xlpm.result)
   )
)</f>
        <v/>
      </c>
      <c r="I1161" s="27" t="str" cm="1">
        <f t="array" ref="I1161">IF(
   A1161="",
   "",
   _xlfn.LET(
      _xlpm.result,
      IFERROR(
         _xlfn.XLOOKUP(
            1,
            (Table8[رقم الصنف]=A1161) *
            (IF($B$9="الكل",1, YEAR('ادخال البيانات'!$N$3:$N$1164)=VALUE($B$9))) *
            (IF($B$10="الكل",1, MONTH('ادخال البيانات'!$N$3:$N$1164)=VALUE($B$10))) *
            (IF($B$11="الكل",1, INT((DAY('ادخال البيانات'!$N$3:$N$1164)-1)/7)+1 = VALUE($B$11))),
            'ادخال البيانات'!$I$3:$I$1164
         ),
         ""
      ),
      IF(_xlpm.result="", "", _xlpm.result)
   )
)</f>
        <v/>
      </c>
      <c r="J1161" s="27" t="str" cm="1">
        <f t="array" ref="J1161">IF(
   A1161="",
   "",
   _xlfn.LET(
      _xlpm.result,
      IFERROR(
         _xlfn.XLOOKUP(
            1,
            (Table8[رقم الصنف]=A1161) *
            (IF($B$9="الكل",1, YEAR('ادخال البيانات'!$N$3:$N$1164)=VALUE($B$9))) *
            (IF($B$10="الكل",1, MONTH('ادخال البيانات'!$N$3:$N$1164)=VALUE($B$10))) *
            (IF($B$11="الكل",1, INT((DAY('ادخال البيانات'!$N$3:$N$1164)-1)/7)+1 = VALUE($B$11))),
            'ادخال البيانات'!$J$3:$J$1164
         ),
         ""
      ),
      IF(_xlpm.result="", "", _xlpm.result)
   )
)</f>
        <v/>
      </c>
      <c r="K1161" s="27" t="str" cm="1">
        <f t="array" ref="K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1" s="27" t="str" cm="1">
        <f t="array" ref="L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1" s="27" t="str" cm="1">
        <f t="array" ref="M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1" s="28" t="str" cm="1">
        <f t="array" ref="N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1" s="28" t="str" cm="1">
        <f t="array" ref="O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1" s="27" t="str" cm="1">
        <f t="array" ref="P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Table8[جهة العطل]
         ),
         ""
      ),
      IF(_xlpm.result="", "", _xlpm.result)
   )
)</f>
        <v/>
      </c>
      <c r="Q1161" s="27" t="str" cm="1">
        <f t="array" ref="Q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Table8[المركز]
         ),
         ""
      ),
      IF(_xlpm.result="", "", _xlpm.result)
   )
)</f>
        <v/>
      </c>
      <c r="R1161" s="27" t="str" cm="1">
        <f t="array" ref="R1161">IF(
   A1161="",
   "",
   _xlfn.LET(
      _xlpm.result,
      IFERROR(
         _xlfn.XLOOKUP(
            1,
            (Table8[رقم الصنف]=A1161) *
            (IF($B$9="الكل",1, YEAR('ادخال البيانات'!$N$3:$N$1164) = VALUE($B$9))) *
            (IF($B$10="الكل",1, MONTH('ادخال البيانات'!$N$3:$N$1164) = VALUE($B$10))) *
            (IF($B$11="الكل",1, INT((DAY('ادخال البيانات'!$N$3:$N$1164) - 1) / 7) + 1 = VALUE($B$11))),
            Table8[ملاحظة]
         ),
         ""
      ),
      IF(_xlpm.result="", "", _xlpm.result)
   )
)</f>
        <v/>
      </c>
      <c r="S1161" s="46" t="str">
        <f t="shared" ca="1" si="18"/>
        <v/>
      </c>
    </row>
    <row r="1162" spans="1:19" ht="15.6" thickTop="1" thickBot="1" x14ac:dyDescent="0.35">
      <c r="A1162" s="39"/>
      <c r="B1162" s="27" t="str" cm="1">
        <f t="array" ref="B1162">IF(
   OR(A1162="", $B$9="", $B$10="", $B$11=""),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2" s="27" t="str" cm="1">
        <f t="array" ref="C1162">IF(
   A1162="",
   "",
   _xlfn.LET(
      _xlpm.result,
      IFERROR(
         _xlfn.XLOOKUP(
            1,
            (Table8[رقم الصنف]=A1162) *
            (IF($B$9="الكل",1, YEAR('ادخال البيانات'!$N$3:$N$1164) = VALUE($B$9))) *
            (IF($B$10="الكل",1, MONTH('ادخال البيانات'!$N$3:$N$1164) = VALUE($B$10))) *
            (IF($B$11="الكل",1, INT((DAY('ادخال البيانات'!$N$3:$N$1164)-1)/7)+1 = VALUE($B$11))),
            'ادخال البيانات'!$C$3:$C$1164
         ),
         ""
      ),
      IF(_xlpm.result="", "", _xlpm.result)
   )
)</f>
        <v/>
      </c>
      <c r="D1162" s="27" t="str" cm="1">
        <f t="array" ref="D1162">IF(
   OR(A1162="", $B$9="", $B$10="", $B$11=""),
   "",
   _xlfn.LET(
      _xlpm.result,
      IFERROR(
         _xlfn.XLOOKUP(
            1,
            (Table8[رقم الصنف]=A1162) *
            (IF($B$9="الكل",1, YEAR('ادخال البيانات'!$N$3:$N$1164)=VALUE($B$9))) *
            (IF($B$10="الكل",1, MONTH('ادخال البيانات'!$N$3:$N$1164)=VALUE($B$10))) *
            (IF($B$11="الكل",1, INT((DAY('ادخال البيانات'!$N$3:$N$1164)-1)/7)+1 = VALUE($B$11))),
            'ادخال البيانات'!$D$3:$D$1164
         ),
         ""
      ),
      IF(_xlpm.result="", "", _xlpm.result)
   )
)</f>
        <v/>
      </c>
      <c r="E1162" s="27" t="str" cm="1">
        <f t="array" ref="E1162">IF(
   A1162="",
   "",
   _xlfn.LET(
      _xlpm.result,
      IFERROR(
         _xlfn.XLOOKUP(
            1,
            (Table8[رقم الصنف]=A1162) *
            (IF($B$9="الكل",1, YEAR('ادخال البيانات'!$N$3:$N$1164)=VALUE($B$9))) *
            (IF($B$10="الكل",1, MONTH('ادخال البيانات'!$N$3:$N$1164)=VALUE($B$10))) *
            (IF($B$11="الكل",1, INT((DAY('ادخال البيانات'!$N$3:$N$1164)-1)/7)+1 = VALUE($B$11))),
            'ادخال البيانات'!$E$3:$E$1164
         ),
         ""
      ),
      IF(_xlpm.result="", "", _xlpm.result)
   )
)</f>
        <v/>
      </c>
      <c r="F1162" s="27" t="str" cm="1">
        <f t="array" ref="F1162">IF(
   A1162="",
   "",
   _xlfn.LET(
      _xlpm.result,
      IFERROR(
         _xlfn.XLOOKUP(
            1,
            (Table8[رقم الصنف]=A1162) *
            (IF($B$9="الكل",1, YEAR('ادخال البيانات'!$N$3:$N$1164) = VALUE($B$9))) *
            (IF($B$10="الكل",1, MONTH('ادخال البيانات'!$N$3:$N$1164) = VALUE($B$10))) *
            (IF($B$11="الكل",1, INT((DAY('ادخال البيانات'!$N$3:$N$1164)-1)/7)+1 = VALUE($B$11))),
            'ادخال البيانات'!$F$3:$F$1164
         ),
         ""
      ),
      IF(_xlpm.result="", "", _xlpm.result)
   )
)</f>
        <v/>
      </c>
      <c r="G1162" s="27" t="str" cm="1">
        <f t="array" ref="G1162">IF(
   A1162="",
   "",
   _xlfn.LET(
      _xlpm.result,
      IFERROR(
         _xlfn.XLOOKUP(
            1,
            (Table8[رقم الصنف]=A1162) *
            (IF($B$9="الكل",1, YEAR('ادخال البيانات'!$N$3:$N$1164)=VALUE($B$9))) *
            (IF($B$10="الكل",1, MONTH('ادخال البيانات'!$N$3:$N$1164)=VALUE($B$10))) *
            (IF($B$11="الكل",1, INT((DAY('ادخال البيانات'!$N$3:$N$1164)-1)/7)+1 = VALUE($B$11))),
            'ادخال البيانات'!$G$3:$G$1164
         ),
         ""
      ),
      IF(_xlpm.result="", "", _xlpm.result)
   )
)</f>
        <v/>
      </c>
      <c r="H1162" s="27" t="str" cm="1">
        <f t="array" ref="H1162">IF(
   A1162="",
   "",
   _xlfn.LET(
      _xlpm.result,
      IFERROR(
         _xlfn.XLOOKUP(
            1,
            (Table8[رقم الصنف]=A1162) *
            (IF($B$9="الكل",1, YEAR('ادخال البيانات'!$N$3:$N$1164)=VALUE($B$9))) *
            (IF($B$10="الكل",1, MONTH('ادخال البيانات'!$N$3:$N$1164)=VALUE($B$10))) *
            (IF($B$11="الكل",1, INT((DAY('ادخال البيانات'!$N$3:$N$1164)-1)/7)+1 = VALUE($B$11))),
            'ادخال البيانات'!$H$3:$H$1164
         ),
         ""
      ),
      IF(_xlpm.result="", "", _xlpm.result)
   )
)</f>
        <v/>
      </c>
      <c r="I1162" s="27" t="str" cm="1">
        <f t="array" ref="I1162">IF(
   A1162="",
   "",
   _xlfn.LET(
      _xlpm.result,
      IFERROR(
         _xlfn.XLOOKUP(
            1,
            (Table8[رقم الصنف]=A1162) *
            (IF($B$9="الكل",1, YEAR('ادخال البيانات'!$N$3:$N$1164)=VALUE($B$9))) *
            (IF($B$10="الكل",1, MONTH('ادخال البيانات'!$N$3:$N$1164)=VALUE($B$10))) *
            (IF($B$11="الكل",1, INT((DAY('ادخال البيانات'!$N$3:$N$1164)-1)/7)+1 = VALUE($B$11))),
            'ادخال البيانات'!$I$3:$I$1164
         ),
         ""
      ),
      IF(_xlpm.result="", "", _xlpm.result)
   )
)</f>
        <v/>
      </c>
      <c r="J1162" s="27" t="str" cm="1">
        <f t="array" ref="J1162">IF(
   A1162="",
   "",
   _xlfn.LET(
      _xlpm.result,
      IFERROR(
         _xlfn.XLOOKUP(
            1,
            (Table8[رقم الصنف]=A1162) *
            (IF($B$9="الكل",1, YEAR('ادخال البيانات'!$N$3:$N$1164)=VALUE($B$9))) *
            (IF($B$10="الكل",1, MONTH('ادخال البيانات'!$N$3:$N$1164)=VALUE($B$10))) *
            (IF($B$11="الكل",1, INT((DAY('ادخال البيانات'!$N$3:$N$1164)-1)/7)+1 = VALUE($B$11))),
            'ادخال البيانات'!$J$3:$J$1164
         ),
         ""
      ),
      IF(_xlpm.result="", "", _xlpm.result)
   )
)</f>
        <v/>
      </c>
      <c r="K1162" s="27" t="str" cm="1">
        <f t="array" ref="K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2" s="27" t="str" cm="1">
        <f t="array" ref="L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2" s="27" t="str" cm="1">
        <f t="array" ref="M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2" s="28" t="str" cm="1">
        <f t="array" ref="N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2" s="28" t="str" cm="1">
        <f t="array" ref="O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2" s="27" t="str" cm="1">
        <f t="array" ref="P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Table8[جهة العطل]
         ),
         ""
      ),
      IF(_xlpm.result="", "", _xlpm.result)
   )
)</f>
        <v/>
      </c>
      <c r="Q1162" s="27" t="str" cm="1">
        <f t="array" ref="Q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Table8[المركز]
         ),
         ""
      ),
      IF(_xlpm.result="", "", _xlpm.result)
   )
)</f>
        <v/>
      </c>
      <c r="R1162" s="27" t="str" cm="1">
        <f t="array" ref="R1162">IF(
   A1162="",
   "",
   _xlfn.LET(
      _xlpm.result,
      IFERROR(
         _xlfn.XLOOKUP(
            1,
            (Table8[رقم الصنف]=A1162) *
            (IF($B$9="الكل",1, YEAR('ادخال البيانات'!$N$3:$N$1164) = VALUE($B$9))) *
            (IF($B$10="الكل",1, MONTH('ادخال البيانات'!$N$3:$N$1164) = VALUE($B$10))) *
            (IF($B$11="الكل",1, INT((DAY('ادخال البيانات'!$N$3:$N$1164) - 1) / 7) + 1 = VALUE($B$11))),
            Table8[ملاحظة]
         ),
         ""
      ),
      IF(_xlpm.result="", "", _xlpm.result)
   )
)</f>
        <v/>
      </c>
      <c r="S1162" s="46" t="str">
        <f t="shared" ca="1" si="18"/>
        <v/>
      </c>
    </row>
    <row r="1163" spans="1:19" ht="15.6" thickTop="1" thickBot="1" x14ac:dyDescent="0.35">
      <c r="A1163" s="39"/>
      <c r="B1163" s="27" t="str" cm="1">
        <f t="array" ref="B1163">IF(
   OR(A1163="", $B$9="", $B$10="", $B$11=""),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3" s="27" t="str" cm="1">
        <f t="array" ref="C1163">IF(
   A1163="",
   "",
   _xlfn.LET(
      _xlpm.result,
      IFERROR(
         _xlfn.XLOOKUP(
            1,
            (Table8[رقم الصنف]=A1163) *
            (IF($B$9="الكل",1, YEAR('ادخال البيانات'!$N$3:$N$1164) = VALUE($B$9))) *
            (IF($B$10="الكل",1, MONTH('ادخال البيانات'!$N$3:$N$1164) = VALUE($B$10))) *
            (IF($B$11="الكل",1, INT((DAY('ادخال البيانات'!$N$3:$N$1164)-1)/7)+1 = VALUE($B$11))),
            'ادخال البيانات'!$C$3:$C$1164
         ),
         ""
      ),
      IF(_xlpm.result="", "", _xlpm.result)
   )
)</f>
        <v/>
      </c>
      <c r="D1163" s="27" t="str" cm="1">
        <f t="array" ref="D1163">IF(
   OR(A1163="", $B$9="", $B$10="", $B$11=""),
   "",
   _xlfn.LET(
      _xlpm.result,
      IFERROR(
         _xlfn.XLOOKUP(
            1,
            (Table8[رقم الصنف]=A1163) *
            (IF($B$9="الكل",1, YEAR('ادخال البيانات'!$N$3:$N$1164)=VALUE($B$9))) *
            (IF($B$10="الكل",1, MONTH('ادخال البيانات'!$N$3:$N$1164)=VALUE($B$10))) *
            (IF($B$11="الكل",1, INT((DAY('ادخال البيانات'!$N$3:$N$1164)-1)/7)+1 = VALUE($B$11))),
            'ادخال البيانات'!$D$3:$D$1164
         ),
         ""
      ),
      IF(_xlpm.result="", "", _xlpm.result)
   )
)</f>
        <v/>
      </c>
      <c r="E1163" s="27" t="str" cm="1">
        <f t="array" ref="E1163">IF(
   A1163="",
   "",
   _xlfn.LET(
      _xlpm.result,
      IFERROR(
         _xlfn.XLOOKUP(
            1,
            (Table8[رقم الصنف]=A1163) *
            (IF($B$9="الكل",1, YEAR('ادخال البيانات'!$N$3:$N$1164)=VALUE($B$9))) *
            (IF($B$10="الكل",1, MONTH('ادخال البيانات'!$N$3:$N$1164)=VALUE($B$10))) *
            (IF($B$11="الكل",1, INT((DAY('ادخال البيانات'!$N$3:$N$1164)-1)/7)+1 = VALUE($B$11))),
            'ادخال البيانات'!$E$3:$E$1164
         ),
         ""
      ),
      IF(_xlpm.result="", "", _xlpm.result)
   )
)</f>
        <v/>
      </c>
      <c r="F1163" s="27" t="str" cm="1">
        <f t="array" ref="F1163">IF(
   A1163="",
   "",
   _xlfn.LET(
      _xlpm.result,
      IFERROR(
         _xlfn.XLOOKUP(
            1,
            (Table8[رقم الصنف]=A1163) *
            (IF($B$9="الكل",1, YEAR('ادخال البيانات'!$N$3:$N$1164) = VALUE($B$9))) *
            (IF($B$10="الكل",1, MONTH('ادخال البيانات'!$N$3:$N$1164) = VALUE($B$10))) *
            (IF($B$11="الكل",1, INT((DAY('ادخال البيانات'!$N$3:$N$1164)-1)/7)+1 = VALUE($B$11))),
            'ادخال البيانات'!$F$3:$F$1164
         ),
         ""
      ),
      IF(_xlpm.result="", "", _xlpm.result)
   )
)</f>
        <v/>
      </c>
      <c r="G1163" s="27" t="str" cm="1">
        <f t="array" ref="G1163">IF(
   A1163="",
   "",
   _xlfn.LET(
      _xlpm.result,
      IFERROR(
         _xlfn.XLOOKUP(
            1,
            (Table8[رقم الصنف]=A1163) *
            (IF($B$9="الكل",1, YEAR('ادخال البيانات'!$N$3:$N$1164)=VALUE($B$9))) *
            (IF($B$10="الكل",1, MONTH('ادخال البيانات'!$N$3:$N$1164)=VALUE($B$10))) *
            (IF($B$11="الكل",1, INT((DAY('ادخال البيانات'!$N$3:$N$1164)-1)/7)+1 = VALUE($B$11))),
            'ادخال البيانات'!$G$3:$G$1164
         ),
         ""
      ),
      IF(_xlpm.result="", "", _xlpm.result)
   )
)</f>
        <v/>
      </c>
      <c r="H1163" s="27" t="str" cm="1">
        <f t="array" ref="H1163">IF(
   A1163="",
   "",
   _xlfn.LET(
      _xlpm.result,
      IFERROR(
         _xlfn.XLOOKUP(
            1,
            (Table8[رقم الصنف]=A1163) *
            (IF($B$9="الكل",1, YEAR('ادخال البيانات'!$N$3:$N$1164)=VALUE($B$9))) *
            (IF($B$10="الكل",1, MONTH('ادخال البيانات'!$N$3:$N$1164)=VALUE($B$10))) *
            (IF($B$11="الكل",1, INT((DAY('ادخال البيانات'!$N$3:$N$1164)-1)/7)+1 = VALUE($B$11))),
            'ادخال البيانات'!$H$3:$H$1164
         ),
         ""
      ),
      IF(_xlpm.result="", "", _xlpm.result)
   )
)</f>
        <v/>
      </c>
      <c r="I1163" s="27" t="str" cm="1">
        <f t="array" ref="I1163">IF(
   A1163="",
   "",
   _xlfn.LET(
      _xlpm.result,
      IFERROR(
         _xlfn.XLOOKUP(
            1,
            (Table8[رقم الصنف]=A1163) *
            (IF($B$9="الكل",1, YEAR('ادخال البيانات'!$N$3:$N$1164)=VALUE($B$9))) *
            (IF($B$10="الكل",1, MONTH('ادخال البيانات'!$N$3:$N$1164)=VALUE($B$10))) *
            (IF($B$11="الكل",1, INT((DAY('ادخال البيانات'!$N$3:$N$1164)-1)/7)+1 = VALUE($B$11))),
            'ادخال البيانات'!$I$3:$I$1164
         ),
         ""
      ),
      IF(_xlpm.result="", "", _xlpm.result)
   )
)</f>
        <v/>
      </c>
      <c r="J1163" s="27" t="str" cm="1">
        <f t="array" ref="J1163">IF(
   A1163="",
   "",
   _xlfn.LET(
      _xlpm.result,
      IFERROR(
         _xlfn.XLOOKUP(
            1,
            (Table8[رقم الصنف]=A1163) *
            (IF($B$9="الكل",1, YEAR('ادخال البيانات'!$N$3:$N$1164)=VALUE($B$9))) *
            (IF($B$10="الكل",1, MONTH('ادخال البيانات'!$N$3:$N$1164)=VALUE($B$10))) *
            (IF($B$11="الكل",1, INT((DAY('ادخال البيانات'!$N$3:$N$1164)-1)/7)+1 = VALUE($B$11))),
            'ادخال البيانات'!$J$3:$J$1164
         ),
         ""
      ),
      IF(_xlpm.result="", "", _xlpm.result)
   )
)</f>
        <v/>
      </c>
      <c r="K1163" s="27" t="str" cm="1">
        <f t="array" ref="K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3" s="27" t="str" cm="1">
        <f t="array" ref="L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3" s="27" t="str" cm="1">
        <f t="array" ref="M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3" s="28" t="str" cm="1">
        <f t="array" ref="N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3" s="28" t="str" cm="1">
        <f t="array" ref="O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3" s="27" t="str" cm="1">
        <f t="array" ref="P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Table8[جهة العطل]
         ),
         ""
      ),
      IF(_xlpm.result="", "", _xlpm.result)
   )
)</f>
        <v/>
      </c>
      <c r="Q1163" s="27" t="str" cm="1">
        <f t="array" ref="Q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Table8[المركز]
         ),
         ""
      ),
      IF(_xlpm.result="", "", _xlpm.result)
   )
)</f>
        <v/>
      </c>
      <c r="R1163" s="27" t="str" cm="1">
        <f t="array" ref="R1163">IF(
   A1163="",
   "",
   _xlfn.LET(
      _xlpm.result,
      IFERROR(
         _xlfn.XLOOKUP(
            1,
            (Table8[رقم الصنف]=A1163) *
            (IF($B$9="الكل",1, YEAR('ادخال البيانات'!$N$3:$N$1164) = VALUE($B$9))) *
            (IF($B$10="الكل",1, MONTH('ادخال البيانات'!$N$3:$N$1164) = VALUE($B$10))) *
            (IF($B$11="الكل",1, INT((DAY('ادخال البيانات'!$N$3:$N$1164) - 1) / 7) + 1 = VALUE($B$11))),
            Table8[ملاحظة]
         ),
         ""
      ),
      IF(_xlpm.result="", "", _xlpm.result)
   )
)</f>
        <v/>
      </c>
      <c r="S1163" s="46" t="str">
        <f t="shared" ca="1" si="18"/>
        <v/>
      </c>
    </row>
    <row r="1164" spans="1:19" ht="15.6" thickTop="1" thickBot="1" x14ac:dyDescent="0.35">
      <c r="A1164" s="39"/>
      <c r="B1164" s="27" t="str" cm="1">
        <f t="array" ref="B1164">IF(
   OR(A1164="", $B$9="", $B$10="", $B$11=""),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4" s="27" t="str" cm="1">
        <f t="array" ref="C1164">IF(
   A1164="",
   "",
   _xlfn.LET(
      _xlpm.result,
      IFERROR(
         _xlfn.XLOOKUP(
            1,
            (Table8[رقم الصنف]=A1164) *
            (IF($B$9="الكل",1, YEAR('ادخال البيانات'!$N$3:$N$1164) = VALUE($B$9))) *
            (IF($B$10="الكل",1, MONTH('ادخال البيانات'!$N$3:$N$1164) = VALUE($B$10))) *
            (IF($B$11="الكل",1, INT((DAY('ادخال البيانات'!$N$3:$N$1164)-1)/7)+1 = VALUE($B$11))),
            'ادخال البيانات'!$C$3:$C$1164
         ),
         ""
      ),
      IF(_xlpm.result="", "", _xlpm.result)
   )
)</f>
        <v/>
      </c>
      <c r="D1164" s="27" t="str" cm="1">
        <f t="array" ref="D1164">IF(
   OR(A1164="", $B$9="", $B$10="", $B$11=""),
   "",
   _xlfn.LET(
      _xlpm.result,
      IFERROR(
         _xlfn.XLOOKUP(
            1,
            (Table8[رقم الصنف]=A1164) *
            (IF($B$9="الكل",1, YEAR('ادخال البيانات'!$N$3:$N$1164)=VALUE($B$9))) *
            (IF($B$10="الكل",1, MONTH('ادخال البيانات'!$N$3:$N$1164)=VALUE($B$10))) *
            (IF($B$11="الكل",1, INT((DAY('ادخال البيانات'!$N$3:$N$1164)-1)/7)+1 = VALUE($B$11))),
            'ادخال البيانات'!$D$3:$D$1164
         ),
         ""
      ),
      IF(_xlpm.result="", "", _xlpm.result)
   )
)</f>
        <v/>
      </c>
      <c r="E1164" s="27" t="str" cm="1">
        <f t="array" ref="E1164">IF(
   A1164="",
   "",
   _xlfn.LET(
      _xlpm.result,
      IFERROR(
         _xlfn.XLOOKUP(
            1,
            (Table8[رقم الصنف]=A1164) *
            (IF($B$9="الكل",1, YEAR('ادخال البيانات'!$N$3:$N$1164)=VALUE($B$9))) *
            (IF($B$10="الكل",1, MONTH('ادخال البيانات'!$N$3:$N$1164)=VALUE($B$10))) *
            (IF($B$11="الكل",1, INT((DAY('ادخال البيانات'!$N$3:$N$1164)-1)/7)+1 = VALUE($B$11))),
            'ادخال البيانات'!$E$3:$E$1164
         ),
         ""
      ),
      IF(_xlpm.result="", "", _xlpm.result)
   )
)</f>
        <v/>
      </c>
      <c r="F1164" s="27" t="str" cm="1">
        <f t="array" ref="F1164">IF(
   A1164="",
   "",
   _xlfn.LET(
      _xlpm.result,
      IFERROR(
         _xlfn.XLOOKUP(
            1,
            (Table8[رقم الصنف]=A1164) *
            (IF($B$9="الكل",1, YEAR('ادخال البيانات'!$N$3:$N$1164) = VALUE($B$9))) *
            (IF($B$10="الكل",1, MONTH('ادخال البيانات'!$N$3:$N$1164) = VALUE($B$10))) *
            (IF($B$11="الكل",1, INT((DAY('ادخال البيانات'!$N$3:$N$1164)-1)/7)+1 = VALUE($B$11))),
            'ادخال البيانات'!$F$3:$F$1164
         ),
         ""
      ),
      IF(_xlpm.result="", "", _xlpm.result)
   )
)</f>
        <v/>
      </c>
      <c r="G1164" s="27" t="str" cm="1">
        <f t="array" ref="G1164">IF(
   A1164="",
   "",
   _xlfn.LET(
      _xlpm.result,
      IFERROR(
         _xlfn.XLOOKUP(
            1,
            (Table8[رقم الصنف]=A1164) *
            (IF($B$9="الكل",1, YEAR('ادخال البيانات'!$N$3:$N$1164)=VALUE($B$9))) *
            (IF($B$10="الكل",1, MONTH('ادخال البيانات'!$N$3:$N$1164)=VALUE($B$10))) *
            (IF($B$11="الكل",1, INT((DAY('ادخال البيانات'!$N$3:$N$1164)-1)/7)+1 = VALUE($B$11))),
            'ادخال البيانات'!$G$3:$G$1164
         ),
         ""
      ),
      IF(_xlpm.result="", "", _xlpm.result)
   )
)</f>
        <v/>
      </c>
      <c r="H1164" s="27" t="str" cm="1">
        <f t="array" ref="H1164">IF(
   A1164="",
   "",
   _xlfn.LET(
      _xlpm.result,
      IFERROR(
         _xlfn.XLOOKUP(
            1,
            (Table8[رقم الصنف]=A1164) *
            (IF($B$9="الكل",1, YEAR('ادخال البيانات'!$N$3:$N$1164)=VALUE($B$9))) *
            (IF($B$10="الكل",1, MONTH('ادخال البيانات'!$N$3:$N$1164)=VALUE($B$10))) *
            (IF($B$11="الكل",1, INT((DAY('ادخال البيانات'!$N$3:$N$1164)-1)/7)+1 = VALUE($B$11))),
            'ادخال البيانات'!$H$3:$H$1164
         ),
         ""
      ),
      IF(_xlpm.result="", "", _xlpm.result)
   )
)</f>
        <v/>
      </c>
      <c r="I1164" s="27" t="str" cm="1">
        <f t="array" ref="I1164">IF(
   A1164="",
   "",
   _xlfn.LET(
      _xlpm.result,
      IFERROR(
         _xlfn.XLOOKUP(
            1,
            (Table8[رقم الصنف]=A1164) *
            (IF($B$9="الكل",1, YEAR('ادخال البيانات'!$N$3:$N$1164)=VALUE($B$9))) *
            (IF($B$10="الكل",1, MONTH('ادخال البيانات'!$N$3:$N$1164)=VALUE($B$10))) *
            (IF($B$11="الكل",1, INT((DAY('ادخال البيانات'!$N$3:$N$1164)-1)/7)+1 = VALUE($B$11))),
            'ادخال البيانات'!$I$3:$I$1164
         ),
         ""
      ),
      IF(_xlpm.result="", "", _xlpm.result)
   )
)</f>
        <v/>
      </c>
      <c r="J1164" s="27" t="str" cm="1">
        <f t="array" ref="J1164">IF(
   A1164="",
   "",
   _xlfn.LET(
      _xlpm.result,
      IFERROR(
         _xlfn.XLOOKUP(
            1,
            (Table8[رقم الصنف]=A1164) *
            (IF($B$9="الكل",1, YEAR('ادخال البيانات'!$N$3:$N$1164)=VALUE($B$9))) *
            (IF($B$10="الكل",1, MONTH('ادخال البيانات'!$N$3:$N$1164)=VALUE($B$10))) *
            (IF($B$11="الكل",1, INT((DAY('ادخال البيانات'!$N$3:$N$1164)-1)/7)+1 = VALUE($B$11))),
            'ادخال البيانات'!$J$3:$J$1164
         ),
         ""
      ),
      IF(_xlpm.result="", "", _xlpm.result)
   )
)</f>
        <v/>
      </c>
      <c r="K1164" s="27" t="str" cm="1">
        <f t="array" ref="K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4" s="27" t="str" cm="1">
        <f t="array" ref="L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4" s="27" t="str" cm="1">
        <f t="array" ref="M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4" s="28" t="str" cm="1">
        <f t="array" ref="N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4" s="28" t="str" cm="1">
        <f t="array" ref="O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4" s="27" t="str" cm="1">
        <f t="array" ref="P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Table8[جهة العطل]
         ),
         ""
      ),
      IF(_xlpm.result="", "", _xlpm.result)
   )
)</f>
        <v/>
      </c>
      <c r="Q1164" s="27" t="str" cm="1">
        <f t="array" ref="Q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Table8[المركز]
         ),
         ""
      ),
      IF(_xlpm.result="", "", _xlpm.result)
   )
)</f>
        <v/>
      </c>
      <c r="R1164" s="27" t="str" cm="1">
        <f t="array" ref="R1164">IF(
   A1164="",
   "",
   _xlfn.LET(
      _xlpm.result,
      IFERROR(
         _xlfn.XLOOKUP(
            1,
            (Table8[رقم الصنف]=A1164) *
            (IF($B$9="الكل",1, YEAR('ادخال البيانات'!$N$3:$N$1164) = VALUE($B$9))) *
            (IF($B$10="الكل",1, MONTH('ادخال البيانات'!$N$3:$N$1164) = VALUE($B$10))) *
            (IF($B$11="الكل",1, INT((DAY('ادخال البيانات'!$N$3:$N$1164) - 1) / 7) + 1 = VALUE($B$11))),
            Table8[ملاحظة]
         ),
         ""
      ),
      IF(_xlpm.result="", "", _xlpm.result)
   )
)</f>
        <v/>
      </c>
      <c r="S1164" s="46" t="str">
        <f t="shared" ref="S1164:S1169" ca="1" si="19">IF(
   L1164="تم الاصلاح",
   "تم الاصلاح",
   IF(N1164="","", TODAY()-N1164)
)</f>
        <v/>
      </c>
    </row>
    <row r="1165" spans="1:19" ht="15.6" thickTop="1" thickBot="1" x14ac:dyDescent="0.35">
      <c r="A1165" s="39"/>
      <c r="B1165" s="27" t="str" cm="1">
        <f t="array" ref="B1165">IF(
   OR(A1165="", $B$9="", $B$10="", $B$11=""),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5" s="27" t="str" cm="1">
        <f t="array" ref="C1165">IF(
   A1165="",
   "",
   _xlfn.LET(
      _xlpm.result,
      IFERROR(
         _xlfn.XLOOKUP(
            1,
            (Table8[رقم الصنف]=A1165) *
            (IF($B$9="الكل",1, YEAR('ادخال البيانات'!$N$3:$N$1164) = VALUE($B$9))) *
            (IF($B$10="الكل",1, MONTH('ادخال البيانات'!$N$3:$N$1164) = VALUE($B$10))) *
            (IF($B$11="الكل",1, INT((DAY('ادخال البيانات'!$N$3:$N$1164)-1)/7)+1 = VALUE($B$11))),
            'ادخال البيانات'!$C$3:$C$1164
         ),
         ""
      ),
      IF(_xlpm.result="", "", _xlpm.result)
   )
)</f>
        <v/>
      </c>
      <c r="D1165" s="27" t="str" cm="1">
        <f t="array" ref="D1165">IF(
   OR(A1165="", $B$9="", $B$10="", $B$11=""),
   "",
   _xlfn.LET(
      _xlpm.result,
      IFERROR(
         _xlfn.XLOOKUP(
            1,
            (Table8[رقم الصنف]=A1165) *
            (IF($B$9="الكل",1, YEAR('ادخال البيانات'!$N$3:$N$1164)=VALUE($B$9))) *
            (IF($B$10="الكل",1, MONTH('ادخال البيانات'!$N$3:$N$1164)=VALUE($B$10))) *
            (IF($B$11="الكل",1, INT((DAY('ادخال البيانات'!$N$3:$N$1164)-1)/7)+1 = VALUE($B$11))),
            'ادخال البيانات'!$D$3:$D$1164
         ),
         ""
      ),
      IF(_xlpm.result="", "", _xlpm.result)
   )
)</f>
        <v/>
      </c>
      <c r="E1165" s="27" t="str" cm="1">
        <f t="array" ref="E1165">IF(
   A1165="",
   "",
   _xlfn.LET(
      _xlpm.result,
      IFERROR(
         _xlfn.XLOOKUP(
            1,
            (Table8[رقم الصنف]=A1165) *
            (IF($B$9="الكل",1, YEAR('ادخال البيانات'!$N$3:$N$1164)=VALUE($B$9))) *
            (IF($B$10="الكل",1, MONTH('ادخال البيانات'!$N$3:$N$1164)=VALUE($B$10))) *
            (IF($B$11="الكل",1, INT((DAY('ادخال البيانات'!$N$3:$N$1164)-1)/7)+1 = VALUE($B$11))),
            'ادخال البيانات'!$E$3:$E$1164
         ),
         ""
      ),
      IF(_xlpm.result="", "", _xlpm.result)
   )
)</f>
        <v/>
      </c>
      <c r="F1165" s="27" t="str" cm="1">
        <f t="array" ref="F1165">IF(
   A1165="",
   "",
   _xlfn.LET(
      _xlpm.result,
      IFERROR(
         _xlfn.XLOOKUP(
            1,
            (Table8[رقم الصنف]=A1165) *
            (IF($B$9="الكل",1, YEAR('ادخال البيانات'!$N$3:$N$1164) = VALUE($B$9))) *
            (IF($B$10="الكل",1, MONTH('ادخال البيانات'!$N$3:$N$1164) = VALUE($B$10))) *
            (IF($B$11="الكل",1, INT((DAY('ادخال البيانات'!$N$3:$N$1164)-1)/7)+1 = VALUE($B$11))),
            'ادخال البيانات'!$F$3:$F$1164
         ),
         ""
      ),
      IF(_xlpm.result="", "", _xlpm.result)
   )
)</f>
        <v/>
      </c>
      <c r="G1165" s="27" t="str" cm="1">
        <f t="array" ref="G1165">IF(
   A1165="",
   "",
   _xlfn.LET(
      _xlpm.result,
      IFERROR(
         _xlfn.XLOOKUP(
            1,
            (Table8[رقم الصنف]=A1165) *
            (IF($B$9="الكل",1, YEAR('ادخال البيانات'!$N$3:$N$1164)=VALUE($B$9))) *
            (IF($B$10="الكل",1, MONTH('ادخال البيانات'!$N$3:$N$1164)=VALUE($B$10))) *
            (IF($B$11="الكل",1, INT((DAY('ادخال البيانات'!$N$3:$N$1164)-1)/7)+1 = VALUE($B$11))),
            'ادخال البيانات'!$G$3:$G$1164
         ),
         ""
      ),
      IF(_xlpm.result="", "", _xlpm.result)
   )
)</f>
        <v/>
      </c>
      <c r="H1165" s="27" t="str" cm="1">
        <f t="array" ref="H1165">IF(
   A1165="",
   "",
   _xlfn.LET(
      _xlpm.result,
      IFERROR(
         _xlfn.XLOOKUP(
            1,
            (Table8[رقم الصنف]=A1165) *
            (IF($B$9="الكل",1, YEAR('ادخال البيانات'!$N$3:$N$1164)=VALUE($B$9))) *
            (IF($B$10="الكل",1, MONTH('ادخال البيانات'!$N$3:$N$1164)=VALUE($B$10))) *
            (IF($B$11="الكل",1, INT((DAY('ادخال البيانات'!$N$3:$N$1164)-1)/7)+1 = VALUE($B$11))),
            'ادخال البيانات'!$H$3:$H$1164
         ),
         ""
      ),
      IF(_xlpm.result="", "", _xlpm.result)
   )
)</f>
        <v/>
      </c>
      <c r="I1165" s="27" t="str" cm="1">
        <f t="array" ref="I1165">IF(
   A1165="",
   "",
   _xlfn.LET(
      _xlpm.result,
      IFERROR(
         _xlfn.XLOOKUP(
            1,
            (Table8[رقم الصنف]=A1165) *
            (IF($B$9="الكل",1, YEAR('ادخال البيانات'!$N$3:$N$1164)=VALUE($B$9))) *
            (IF($B$10="الكل",1, MONTH('ادخال البيانات'!$N$3:$N$1164)=VALUE($B$10))) *
            (IF($B$11="الكل",1, INT((DAY('ادخال البيانات'!$N$3:$N$1164)-1)/7)+1 = VALUE($B$11))),
            'ادخال البيانات'!$I$3:$I$1164
         ),
         ""
      ),
      IF(_xlpm.result="", "", _xlpm.result)
   )
)</f>
        <v/>
      </c>
      <c r="J1165" s="27" t="str" cm="1">
        <f t="array" ref="J1165">IF(
   A1165="",
   "",
   _xlfn.LET(
      _xlpm.result,
      IFERROR(
         _xlfn.XLOOKUP(
            1,
            (Table8[رقم الصنف]=A1165) *
            (IF($B$9="الكل",1, YEAR('ادخال البيانات'!$N$3:$N$1164)=VALUE($B$9))) *
            (IF($B$10="الكل",1, MONTH('ادخال البيانات'!$N$3:$N$1164)=VALUE($B$10))) *
            (IF($B$11="الكل",1, INT((DAY('ادخال البيانات'!$N$3:$N$1164)-1)/7)+1 = VALUE($B$11))),
            'ادخال البيانات'!$J$3:$J$1164
         ),
         ""
      ),
      IF(_xlpm.result="", "", _xlpm.result)
   )
)</f>
        <v/>
      </c>
      <c r="K1165" s="27" t="str" cm="1">
        <f t="array" ref="K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5" s="27" t="str" cm="1">
        <f t="array" ref="L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5" s="27" t="str" cm="1">
        <f t="array" ref="M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5" s="28" t="str" cm="1">
        <f t="array" ref="N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5" s="28" t="str" cm="1">
        <f t="array" ref="O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5" s="27" t="str" cm="1">
        <f t="array" ref="P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Table8[جهة العطل]
         ),
         ""
      ),
      IF(_xlpm.result="", "", _xlpm.result)
   )
)</f>
        <v/>
      </c>
      <c r="Q1165" s="27" t="str" cm="1">
        <f t="array" ref="Q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Table8[المركز]
         ),
         ""
      ),
      IF(_xlpm.result="", "", _xlpm.result)
   )
)</f>
        <v/>
      </c>
      <c r="R1165" s="27" t="str" cm="1">
        <f t="array" ref="R1165">IF(
   A1165="",
   "",
   _xlfn.LET(
      _xlpm.result,
      IFERROR(
         _xlfn.XLOOKUP(
            1,
            (Table8[رقم الصنف]=A1165) *
            (IF($B$9="الكل",1, YEAR('ادخال البيانات'!$N$3:$N$1164) = VALUE($B$9))) *
            (IF($B$10="الكل",1, MONTH('ادخال البيانات'!$N$3:$N$1164) = VALUE($B$10))) *
            (IF($B$11="الكل",1, INT((DAY('ادخال البيانات'!$N$3:$N$1164) - 1) / 7) + 1 = VALUE($B$11))),
            Table8[ملاحظة]
         ),
         ""
      ),
      IF(_xlpm.result="", "", _xlpm.result)
   )
)</f>
        <v/>
      </c>
      <c r="S1165" s="46" t="str">
        <f t="shared" ca="1" si="19"/>
        <v/>
      </c>
    </row>
    <row r="1166" spans="1:19" ht="15.6" thickTop="1" thickBot="1" x14ac:dyDescent="0.35">
      <c r="A1166" s="39"/>
      <c r="B1166" s="27" t="str" cm="1">
        <f t="array" ref="B1166">IF(
   OR(A1166="", $B$9="", $B$10="", $B$11=""),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6" s="27" t="str" cm="1">
        <f t="array" ref="C1166">IF(
   A1166="",
   "",
   _xlfn.LET(
      _xlpm.result,
      IFERROR(
         _xlfn.XLOOKUP(
            1,
            (Table8[رقم الصنف]=A1166) *
            (IF($B$9="الكل",1, YEAR('ادخال البيانات'!$N$3:$N$1164) = VALUE($B$9))) *
            (IF($B$10="الكل",1, MONTH('ادخال البيانات'!$N$3:$N$1164) = VALUE($B$10))) *
            (IF($B$11="الكل",1, INT((DAY('ادخال البيانات'!$N$3:$N$1164)-1)/7)+1 = VALUE($B$11))),
            'ادخال البيانات'!$C$3:$C$1164
         ),
         ""
      ),
      IF(_xlpm.result="", "", _xlpm.result)
   )
)</f>
        <v/>
      </c>
      <c r="D1166" s="27" t="str" cm="1">
        <f t="array" ref="D1166">IF(
   OR(A1166="", $B$9="", $B$10="", $B$11=""),
   "",
   _xlfn.LET(
      _xlpm.result,
      IFERROR(
         _xlfn.XLOOKUP(
            1,
            (Table8[رقم الصنف]=A1166) *
            (IF($B$9="الكل",1, YEAR('ادخال البيانات'!$N$3:$N$1164)=VALUE($B$9))) *
            (IF($B$10="الكل",1, MONTH('ادخال البيانات'!$N$3:$N$1164)=VALUE($B$10))) *
            (IF($B$11="الكل",1, INT((DAY('ادخال البيانات'!$N$3:$N$1164)-1)/7)+1 = VALUE($B$11))),
            'ادخال البيانات'!$D$3:$D$1164
         ),
         ""
      ),
      IF(_xlpm.result="", "", _xlpm.result)
   )
)</f>
        <v/>
      </c>
      <c r="E1166" s="27" t="str" cm="1">
        <f t="array" ref="E1166">IF(
   A1166="",
   "",
   _xlfn.LET(
      _xlpm.result,
      IFERROR(
         _xlfn.XLOOKUP(
            1,
            (Table8[رقم الصنف]=A1166) *
            (IF($B$9="الكل",1, YEAR('ادخال البيانات'!$N$3:$N$1164)=VALUE($B$9))) *
            (IF($B$10="الكل",1, MONTH('ادخال البيانات'!$N$3:$N$1164)=VALUE($B$10))) *
            (IF($B$11="الكل",1, INT((DAY('ادخال البيانات'!$N$3:$N$1164)-1)/7)+1 = VALUE($B$11))),
            'ادخال البيانات'!$E$3:$E$1164
         ),
         ""
      ),
      IF(_xlpm.result="", "", _xlpm.result)
   )
)</f>
        <v/>
      </c>
      <c r="F1166" s="27" t="str" cm="1">
        <f t="array" ref="F1166">IF(
   A1166="",
   "",
   _xlfn.LET(
      _xlpm.result,
      IFERROR(
         _xlfn.XLOOKUP(
            1,
            (Table8[رقم الصنف]=A1166) *
            (IF($B$9="الكل",1, YEAR('ادخال البيانات'!$N$3:$N$1164) = VALUE($B$9))) *
            (IF($B$10="الكل",1, MONTH('ادخال البيانات'!$N$3:$N$1164) = VALUE($B$10))) *
            (IF($B$11="الكل",1, INT((DAY('ادخال البيانات'!$N$3:$N$1164)-1)/7)+1 = VALUE($B$11))),
            'ادخال البيانات'!$F$3:$F$1164
         ),
         ""
      ),
      IF(_xlpm.result="", "", _xlpm.result)
   )
)</f>
        <v/>
      </c>
      <c r="G1166" s="27" t="str" cm="1">
        <f t="array" ref="G1166">IF(
   A1166="",
   "",
   _xlfn.LET(
      _xlpm.result,
      IFERROR(
         _xlfn.XLOOKUP(
            1,
            (Table8[رقم الصنف]=A1166) *
            (IF($B$9="الكل",1, YEAR('ادخال البيانات'!$N$3:$N$1164)=VALUE($B$9))) *
            (IF($B$10="الكل",1, MONTH('ادخال البيانات'!$N$3:$N$1164)=VALUE($B$10))) *
            (IF($B$11="الكل",1, INT((DAY('ادخال البيانات'!$N$3:$N$1164)-1)/7)+1 = VALUE($B$11))),
            'ادخال البيانات'!$G$3:$G$1164
         ),
         ""
      ),
      IF(_xlpm.result="", "", _xlpm.result)
   )
)</f>
        <v/>
      </c>
      <c r="H1166" s="27" t="str" cm="1">
        <f t="array" ref="H1166">IF(
   A1166="",
   "",
   _xlfn.LET(
      _xlpm.result,
      IFERROR(
         _xlfn.XLOOKUP(
            1,
            (Table8[رقم الصنف]=A1166) *
            (IF($B$9="الكل",1, YEAR('ادخال البيانات'!$N$3:$N$1164)=VALUE($B$9))) *
            (IF($B$10="الكل",1, MONTH('ادخال البيانات'!$N$3:$N$1164)=VALUE($B$10))) *
            (IF($B$11="الكل",1, INT((DAY('ادخال البيانات'!$N$3:$N$1164)-1)/7)+1 = VALUE($B$11))),
            'ادخال البيانات'!$H$3:$H$1164
         ),
         ""
      ),
      IF(_xlpm.result="", "", _xlpm.result)
   )
)</f>
        <v/>
      </c>
      <c r="I1166" s="27" t="str" cm="1">
        <f t="array" ref="I1166">IF(
   A1166="",
   "",
   _xlfn.LET(
      _xlpm.result,
      IFERROR(
         _xlfn.XLOOKUP(
            1,
            (Table8[رقم الصنف]=A1166) *
            (IF($B$9="الكل",1, YEAR('ادخال البيانات'!$N$3:$N$1164)=VALUE($B$9))) *
            (IF($B$10="الكل",1, MONTH('ادخال البيانات'!$N$3:$N$1164)=VALUE($B$10))) *
            (IF($B$11="الكل",1, INT((DAY('ادخال البيانات'!$N$3:$N$1164)-1)/7)+1 = VALUE($B$11))),
            'ادخال البيانات'!$I$3:$I$1164
         ),
         ""
      ),
      IF(_xlpm.result="", "", _xlpm.result)
   )
)</f>
        <v/>
      </c>
      <c r="J1166" s="27" t="str" cm="1">
        <f t="array" ref="J1166">IF(
   A1166="",
   "",
   _xlfn.LET(
      _xlpm.result,
      IFERROR(
         _xlfn.XLOOKUP(
            1,
            (Table8[رقم الصنف]=A1166) *
            (IF($B$9="الكل",1, YEAR('ادخال البيانات'!$N$3:$N$1164)=VALUE($B$9))) *
            (IF($B$10="الكل",1, MONTH('ادخال البيانات'!$N$3:$N$1164)=VALUE($B$10))) *
            (IF($B$11="الكل",1, INT((DAY('ادخال البيانات'!$N$3:$N$1164)-1)/7)+1 = VALUE($B$11))),
            'ادخال البيانات'!$J$3:$J$1164
         ),
         ""
      ),
      IF(_xlpm.result="", "", _xlpm.result)
   )
)</f>
        <v/>
      </c>
      <c r="K1166" s="27" t="str" cm="1">
        <f t="array" ref="K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6" s="27" t="str" cm="1">
        <f t="array" ref="L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6" s="27" t="str" cm="1">
        <f t="array" ref="M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6" s="28" t="str" cm="1">
        <f t="array" ref="N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6" s="28" t="str" cm="1">
        <f t="array" ref="O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6" s="27" t="str" cm="1">
        <f t="array" ref="P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Table8[جهة العطل]
         ),
         ""
      ),
      IF(_xlpm.result="", "", _xlpm.result)
   )
)</f>
        <v/>
      </c>
      <c r="Q1166" s="27" t="str" cm="1">
        <f t="array" ref="Q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Table8[المركز]
         ),
         ""
      ),
      IF(_xlpm.result="", "", _xlpm.result)
   )
)</f>
        <v/>
      </c>
      <c r="R1166" s="27" t="str" cm="1">
        <f t="array" ref="R1166">IF(
   A1166="",
   "",
   _xlfn.LET(
      _xlpm.result,
      IFERROR(
         _xlfn.XLOOKUP(
            1,
            (Table8[رقم الصنف]=A1166) *
            (IF($B$9="الكل",1, YEAR('ادخال البيانات'!$N$3:$N$1164) = VALUE($B$9))) *
            (IF($B$10="الكل",1, MONTH('ادخال البيانات'!$N$3:$N$1164) = VALUE($B$10))) *
            (IF($B$11="الكل",1, INT((DAY('ادخال البيانات'!$N$3:$N$1164) - 1) / 7) + 1 = VALUE($B$11))),
            Table8[ملاحظة]
         ),
         ""
      ),
      IF(_xlpm.result="", "", _xlpm.result)
   )
)</f>
        <v/>
      </c>
      <c r="S1166" s="46" t="str">
        <f t="shared" ca="1" si="19"/>
        <v/>
      </c>
    </row>
    <row r="1167" spans="1:19" ht="15.6" thickTop="1" thickBot="1" x14ac:dyDescent="0.35">
      <c r="A1167" s="39"/>
      <c r="B1167" s="27" t="str" cm="1">
        <f t="array" ref="B1167">IF(
   OR(A1167="", $B$9="", $B$10="", $B$11=""),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7" s="27" t="str" cm="1">
        <f t="array" ref="C1167">IF(
   A1167="",
   "",
   _xlfn.LET(
      _xlpm.result,
      IFERROR(
         _xlfn.XLOOKUP(
            1,
            (Table8[رقم الصنف]=A1167) *
            (IF($B$9="الكل",1, YEAR('ادخال البيانات'!$N$3:$N$1164) = VALUE($B$9))) *
            (IF($B$10="الكل",1, MONTH('ادخال البيانات'!$N$3:$N$1164) = VALUE($B$10))) *
            (IF($B$11="الكل",1, INT((DAY('ادخال البيانات'!$N$3:$N$1164)-1)/7)+1 = VALUE($B$11))),
            'ادخال البيانات'!$C$3:$C$1164
         ),
         ""
      ),
      IF(_xlpm.result="", "", _xlpm.result)
   )
)</f>
        <v/>
      </c>
      <c r="D1167" s="27" t="str" cm="1">
        <f t="array" ref="D1167">IF(
   OR(A1167="", $B$9="", $B$10="", $B$11=""),
   "",
   _xlfn.LET(
      _xlpm.result,
      IFERROR(
         _xlfn.XLOOKUP(
            1,
            (Table8[رقم الصنف]=A1167) *
            (IF($B$9="الكل",1, YEAR('ادخال البيانات'!$N$3:$N$1164)=VALUE($B$9))) *
            (IF($B$10="الكل",1, MONTH('ادخال البيانات'!$N$3:$N$1164)=VALUE($B$10))) *
            (IF($B$11="الكل",1, INT((DAY('ادخال البيانات'!$N$3:$N$1164)-1)/7)+1 = VALUE($B$11))),
            'ادخال البيانات'!$D$3:$D$1164
         ),
         ""
      ),
      IF(_xlpm.result="", "", _xlpm.result)
   )
)</f>
        <v/>
      </c>
      <c r="E1167" s="27" t="str" cm="1">
        <f t="array" ref="E1167">IF(
   A1167="",
   "",
   _xlfn.LET(
      _xlpm.result,
      IFERROR(
         _xlfn.XLOOKUP(
            1,
            (Table8[رقم الصنف]=A1167) *
            (IF($B$9="الكل",1, YEAR('ادخال البيانات'!$N$3:$N$1164)=VALUE($B$9))) *
            (IF($B$10="الكل",1, MONTH('ادخال البيانات'!$N$3:$N$1164)=VALUE($B$10))) *
            (IF($B$11="الكل",1, INT((DAY('ادخال البيانات'!$N$3:$N$1164)-1)/7)+1 = VALUE($B$11))),
            'ادخال البيانات'!$E$3:$E$1164
         ),
         ""
      ),
      IF(_xlpm.result="", "", _xlpm.result)
   )
)</f>
        <v/>
      </c>
      <c r="F1167" s="27" t="str" cm="1">
        <f t="array" ref="F1167">IF(
   A1167="",
   "",
   _xlfn.LET(
      _xlpm.result,
      IFERROR(
         _xlfn.XLOOKUP(
            1,
            (Table8[رقم الصنف]=A1167) *
            (IF($B$9="الكل",1, YEAR('ادخال البيانات'!$N$3:$N$1164) = VALUE($B$9))) *
            (IF($B$10="الكل",1, MONTH('ادخال البيانات'!$N$3:$N$1164) = VALUE($B$10))) *
            (IF($B$11="الكل",1, INT((DAY('ادخال البيانات'!$N$3:$N$1164)-1)/7)+1 = VALUE($B$11))),
            'ادخال البيانات'!$F$3:$F$1164
         ),
         ""
      ),
      IF(_xlpm.result="", "", _xlpm.result)
   )
)</f>
        <v/>
      </c>
      <c r="G1167" s="27" t="str" cm="1">
        <f t="array" ref="G1167">IF(
   A1167="",
   "",
   _xlfn.LET(
      _xlpm.result,
      IFERROR(
         _xlfn.XLOOKUP(
            1,
            (Table8[رقم الصنف]=A1167) *
            (IF($B$9="الكل",1, YEAR('ادخال البيانات'!$N$3:$N$1164)=VALUE($B$9))) *
            (IF($B$10="الكل",1, MONTH('ادخال البيانات'!$N$3:$N$1164)=VALUE($B$10))) *
            (IF($B$11="الكل",1, INT((DAY('ادخال البيانات'!$N$3:$N$1164)-1)/7)+1 = VALUE($B$11))),
            'ادخال البيانات'!$G$3:$G$1164
         ),
         ""
      ),
      IF(_xlpm.result="", "", _xlpm.result)
   )
)</f>
        <v/>
      </c>
      <c r="H1167" s="27" t="str" cm="1">
        <f t="array" ref="H1167">IF(
   A1167="",
   "",
   _xlfn.LET(
      _xlpm.result,
      IFERROR(
         _xlfn.XLOOKUP(
            1,
            (Table8[رقم الصنف]=A1167) *
            (IF($B$9="الكل",1, YEAR('ادخال البيانات'!$N$3:$N$1164)=VALUE($B$9))) *
            (IF($B$10="الكل",1, MONTH('ادخال البيانات'!$N$3:$N$1164)=VALUE($B$10))) *
            (IF($B$11="الكل",1, INT((DAY('ادخال البيانات'!$N$3:$N$1164)-1)/7)+1 = VALUE($B$11))),
            'ادخال البيانات'!$H$3:$H$1164
         ),
         ""
      ),
      IF(_xlpm.result="", "", _xlpm.result)
   )
)</f>
        <v/>
      </c>
      <c r="I1167" s="27" t="str" cm="1">
        <f t="array" ref="I1167">IF(
   A1167="",
   "",
   _xlfn.LET(
      _xlpm.result,
      IFERROR(
         _xlfn.XLOOKUP(
            1,
            (Table8[رقم الصنف]=A1167) *
            (IF($B$9="الكل",1, YEAR('ادخال البيانات'!$N$3:$N$1164)=VALUE($B$9))) *
            (IF($B$10="الكل",1, MONTH('ادخال البيانات'!$N$3:$N$1164)=VALUE($B$10))) *
            (IF($B$11="الكل",1, INT((DAY('ادخال البيانات'!$N$3:$N$1164)-1)/7)+1 = VALUE($B$11))),
            'ادخال البيانات'!$I$3:$I$1164
         ),
         ""
      ),
      IF(_xlpm.result="", "", _xlpm.result)
   )
)</f>
        <v/>
      </c>
      <c r="J1167" s="27" t="str" cm="1">
        <f t="array" ref="J1167">IF(
   A1167="",
   "",
   _xlfn.LET(
      _xlpm.result,
      IFERROR(
         _xlfn.XLOOKUP(
            1,
            (Table8[رقم الصنف]=A1167) *
            (IF($B$9="الكل",1, YEAR('ادخال البيانات'!$N$3:$N$1164)=VALUE($B$9))) *
            (IF($B$10="الكل",1, MONTH('ادخال البيانات'!$N$3:$N$1164)=VALUE($B$10))) *
            (IF($B$11="الكل",1, INT((DAY('ادخال البيانات'!$N$3:$N$1164)-1)/7)+1 = VALUE($B$11))),
            'ادخال البيانات'!$J$3:$J$1164
         ),
         ""
      ),
      IF(_xlpm.result="", "", _xlpm.result)
   )
)</f>
        <v/>
      </c>
      <c r="K1167" s="27" t="str" cm="1">
        <f t="array" ref="K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7" s="27" t="str" cm="1">
        <f t="array" ref="L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7" s="27" t="str" cm="1">
        <f t="array" ref="M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7" s="28" t="str" cm="1">
        <f t="array" ref="N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7" s="28" t="str" cm="1">
        <f t="array" ref="O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7" s="27" t="str" cm="1">
        <f t="array" ref="P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Table8[جهة العطل]
         ),
         ""
      ),
      IF(_xlpm.result="", "", _xlpm.result)
   )
)</f>
        <v/>
      </c>
      <c r="Q1167" s="27" t="str" cm="1">
        <f t="array" ref="Q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Table8[المركز]
         ),
         ""
      ),
      IF(_xlpm.result="", "", _xlpm.result)
   )
)</f>
        <v/>
      </c>
      <c r="R1167" s="27" t="str" cm="1">
        <f t="array" ref="R1167">IF(
   A1167="",
   "",
   _xlfn.LET(
      _xlpm.result,
      IFERROR(
         _xlfn.XLOOKUP(
            1,
            (Table8[رقم الصنف]=A1167) *
            (IF($B$9="الكل",1, YEAR('ادخال البيانات'!$N$3:$N$1164) = VALUE($B$9))) *
            (IF($B$10="الكل",1, MONTH('ادخال البيانات'!$N$3:$N$1164) = VALUE($B$10))) *
            (IF($B$11="الكل",1, INT((DAY('ادخال البيانات'!$N$3:$N$1164) - 1) / 7) + 1 = VALUE($B$11))),
            Table8[ملاحظة]
         ),
         ""
      ),
      IF(_xlpm.result="", "", _xlpm.result)
   )
)</f>
        <v/>
      </c>
      <c r="S1167" s="46" t="str">
        <f t="shared" ca="1" si="19"/>
        <v/>
      </c>
    </row>
    <row r="1168" spans="1:19" ht="15.6" thickTop="1" thickBot="1" x14ac:dyDescent="0.35">
      <c r="A1168" s="39"/>
      <c r="B1168" s="27" t="str" cm="1">
        <f t="array" ref="B1168">IF(
   OR(A1168="", $B$9="", $B$10="", $B$11=""),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8" s="27" t="str" cm="1">
        <f t="array" ref="C1168">IF(
   A1168="",
   "",
   _xlfn.LET(
      _xlpm.result,
      IFERROR(
         _xlfn.XLOOKUP(
            1,
            (Table8[رقم الصنف]=A1168) *
            (IF($B$9="الكل",1, YEAR('ادخال البيانات'!$N$3:$N$1164) = VALUE($B$9))) *
            (IF($B$10="الكل",1, MONTH('ادخال البيانات'!$N$3:$N$1164) = VALUE($B$10))) *
            (IF($B$11="الكل",1, INT((DAY('ادخال البيانات'!$N$3:$N$1164)-1)/7)+1 = VALUE($B$11))),
            'ادخال البيانات'!$C$3:$C$1164
         ),
         ""
      ),
      IF(_xlpm.result="", "", _xlpm.result)
   )
)</f>
        <v/>
      </c>
      <c r="D1168" s="27" t="str" cm="1">
        <f t="array" ref="D1168">IF(
   OR(A1168="", $B$9="", $B$10="", $B$11=""),
   "",
   _xlfn.LET(
      _xlpm.result,
      IFERROR(
         _xlfn.XLOOKUP(
            1,
            (Table8[رقم الصنف]=A1168) *
            (IF($B$9="الكل",1, YEAR('ادخال البيانات'!$N$3:$N$1164)=VALUE($B$9))) *
            (IF($B$10="الكل",1, MONTH('ادخال البيانات'!$N$3:$N$1164)=VALUE($B$10))) *
            (IF($B$11="الكل",1, INT((DAY('ادخال البيانات'!$N$3:$N$1164)-1)/7)+1 = VALUE($B$11))),
            'ادخال البيانات'!$D$3:$D$1164
         ),
         ""
      ),
      IF(_xlpm.result="", "", _xlpm.result)
   )
)</f>
        <v/>
      </c>
      <c r="E1168" s="27" t="str" cm="1">
        <f t="array" ref="E1168">IF(
   A1168="",
   "",
   _xlfn.LET(
      _xlpm.result,
      IFERROR(
         _xlfn.XLOOKUP(
            1,
            (Table8[رقم الصنف]=A1168) *
            (IF($B$9="الكل",1, YEAR('ادخال البيانات'!$N$3:$N$1164)=VALUE($B$9))) *
            (IF($B$10="الكل",1, MONTH('ادخال البيانات'!$N$3:$N$1164)=VALUE($B$10))) *
            (IF($B$11="الكل",1, INT((DAY('ادخال البيانات'!$N$3:$N$1164)-1)/7)+1 = VALUE($B$11))),
            'ادخال البيانات'!$E$3:$E$1164
         ),
         ""
      ),
      IF(_xlpm.result="", "", _xlpm.result)
   )
)</f>
        <v/>
      </c>
      <c r="F1168" s="27" t="str" cm="1">
        <f t="array" ref="F1168">IF(
   A1168="",
   "",
   _xlfn.LET(
      _xlpm.result,
      IFERROR(
         _xlfn.XLOOKUP(
            1,
            (Table8[رقم الصنف]=A1168) *
            (IF($B$9="الكل",1, YEAR('ادخال البيانات'!$N$3:$N$1164) = VALUE($B$9))) *
            (IF($B$10="الكل",1, MONTH('ادخال البيانات'!$N$3:$N$1164) = VALUE($B$10))) *
            (IF($B$11="الكل",1, INT((DAY('ادخال البيانات'!$N$3:$N$1164)-1)/7)+1 = VALUE($B$11))),
            'ادخال البيانات'!$F$3:$F$1164
         ),
         ""
      ),
      IF(_xlpm.result="", "", _xlpm.result)
   )
)</f>
        <v/>
      </c>
      <c r="G1168" s="27" t="str" cm="1">
        <f t="array" ref="G1168">IF(
   A1168="",
   "",
   _xlfn.LET(
      _xlpm.result,
      IFERROR(
         _xlfn.XLOOKUP(
            1,
            (Table8[رقم الصنف]=A1168) *
            (IF($B$9="الكل",1, YEAR('ادخال البيانات'!$N$3:$N$1164)=VALUE($B$9))) *
            (IF($B$10="الكل",1, MONTH('ادخال البيانات'!$N$3:$N$1164)=VALUE($B$10))) *
            (IF($B$11="الكل",1, INT((DAY('ادخال البيانات'!$N$3:$N$1164)-1)/7)+1 = VALUE($B$11))),
            'ادخال البيانات'!$G$3:$G$1164
         ),
         ""
      ),
      IF(_xlpm.result="", "", _xlpm.result)
   )
)</f>
        <v/>
      </c>
      <c r="H1168" s="27" t="str" cm="1">
        <f t="array" ref="H1168">IF(
   A1168="",
   "",
   _xlfn.LET(
      _xlpm.result,
      IFERROR(
         _xlfn.XLOOKUP(
            1,
            (Table8[رقم الصنف]=A1168) *
            (IF($B$9="الكل",1, YEAR('ادخال البيانات'!$N$3:$N$1164)=VALUE($B$9))) *
            (IF($B$10="الكل",1, MONTH('ادخال البيانات'!$N$3:$N$1164)=VALUE($B$10))) *
            (IF($B$11="الكل",1, INT((DAY('ادخال البيانات'!$N$3:$N$1164)-1)/7)+1 = VALUE($B$11))),
            'ادخال البيانات'!$H$3:$H$1164
         ),
         ""
      ),
      IF(_xlpm.result="", "", _xlpm.result)
   )
)</f>
        <v/>
      </c>
      <c r="I1168" s="27" t="str" cm="1">
        <f t="array" ref="I1168">IF(
   A1168="",
   "",
   _xlfn.LET(
      _xlpm.result,
      IFERROR(
         _xlfn.XLOOKUP(
            1,
            (Table8[رقم الصنف]=A1168) *
            (IF($B$9="الكل",1, YEAR('ادخال البيانات'!$N$3:$N$1164)=VALUE($B$9))) *
            (IF($B$10="الكل",1, MONTH('ادخال البيانات'!$N$3:$N$1164)=VALUE($B$10))) *
            (IF($B$11="الكل",1, INT((DAY('ادخال البيانات'!$N$3:$N$1164)-1)/7)+1 = VALUE($B$11))),
            'ادخال البيانات'!$I$3:$I$1164
         ),
         ""
      ),
      IF(_xlpm.result="", "", _xlpm.result)
   )
)</f>
        <v/>
      </c>
      <c r="J1168" s="27" t="str" cm="1">
        <f t="array" ref="J1168">IF(
   A1168="",
   "",
   _xlfn.LET(
      _xlpm.result,
      IFERROR(
         _xlfn.XLOOKUP(
            1,
            (Table8[رقم الصنف]=A1168) *
            (IF($B$9="الكل",1, YEAR('ادخال البيانات'!$N$3:$N$1164)=VALUE($B$9))) *
            (IF($B$10="الكل",1, MONTH('ادخال البيانات'!$N$3:$N$1164)=VALUE($B$10))) *
            (IF($B$11="الكل",1, INT((DAY('ادخال البيانات'!$N$3:$N$1164)-1)/7)+1 = VALUE($B$11))),
            'ادخال البيانات'!$J$3:$J$1164
         ),
         ""
      ),
      IF(_xlpm.result="", "", _xlpm.result)
   )
)</f>
        <v/>
      </c>
      <c r="K1168" s="27" t="str" cm="1">
        <f t="array" ref="K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8" s="27" t="str" cm="1">
        <f t="array" ref="L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8" s="27" t="str" cm="1">
        <f t="array" ref="M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8" s="28" t="str" cm="1">
        <f t="array" ref="N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8" s="28" t="str" cm="1">
        <f t="array" ref="O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8" s="27" t="str" cm="1">
        <f t="array" ref="P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Table8[جهة العطل]
         ),
         ""
      ),
      IF(_xlpm.result="", "", _xlpm.result)
   )
)</f>
        <v/>
      </c>
      <c r="Q1168" s="27" t="str" cm="1">
        <f t="array" ref="Q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Table8[المركز]
         ),
         ""
      ),
      IF(_xlpm.result="", "", _xlpm.result)
   )
)</f>
        <v/>
      </c>
      <c r="R1168" s="27" t="str" cm="1">
        <f t="array" ref="R1168">IF(
   A1168="",
   "",
   _xlfn.LET(
      _xlpm.result,
      IFERROR(
         _xlfn.XLOOKUP(
            1,
            (Table8[رقم الصنف]=A1168) *
            (IF($B$9="الكل",1, YEAR('ادخال البيانات'!$N$3:$N$1164) = VALUE($B$9))) *
            (IF($B$10="الكل",1, MONTH('ادخال البيانات'!$N$3:$N$1164) = VALUE($B$10))) *
            (IF($B$11="الكل",1, INT((DAY('ادخال البيانات'!$N$3:$N$1164) - 1) / 7) + 1 = VALUE($B$11))),
            Table8[ملاحظة]
         ),
         ""
      ),
      IF(_xlpm.result="", "", _xlpm.result)
   )
)</f>
        <v/>
      </c>
      <c r="S1168" s="46" t="str">
        <f t="shared" ca="1" si="19"/>
        <v/>
      </c>
    </row>
    <row r="1169" spans="1:19" ht="15.6" thickTop="1" thickBot="1" x14ac:dyDescent="0.35">
      <c r="A1169" s="40"/>
      <c r="B1169" s="47" t="str" cm="1">
        <f t="array" ref="B1169">IF(
   OR(A1169="", $B$9="", $B$10="", $B$11=""),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'ادخال البيانات'!$B$3:$B$1164
         ),
         ""
      ),
      IF(_xlpm.result="", "", _xlpm.result)
   )
)</f>
        <v/>
      </c>
      <c r="C1169" s="47" t="str" cm="1">
        <f t="array" ref="C1169">IF(
   A1169="",
   "",
   _xlfn.LET(
      _xlpm.result,
      IFERROR(
         _xlfn.XLOOKUP(
            1,
            (Table8[رقم الصنف]=A1169) *
            (IF($B$9="الكل",1, YEAR('ادخال البيانات'!$N$3:$N$1164) = VALUE($B$9))) *
            (IF($B$10="الكل",1, MONTH('ادخال البيانات'!$N$3:$N$1164) = VALUE($B$10))) *
            (IF($B$11="الكل",1, INT((DAY('ادخال البيانات'!$N$3:$N$1164)-1)/7)+1 = VALUE($B$11))),
            'ادخال البيانات'!$C$3:$C$1164
         ),
         ""
      ),
      IF(_xlpm.result="", "", _xlpm.result)
   )
)</f>
        <v/>
      </c>
      <c r="D1169" s="47" t="str" cm="1">
        <f t="array" ref="D1169">IF(
   OR(A1169="", $B$9="", $B$10="", $B$11=""),
   "",
   _xlfn.LET(
      _xlpm.result,
      IFERROR(
         _xlfn.XLOOKUP(
            1,
            (Table8[رقم الصنف]=A1169) *
            (IF($B$9="الكل",1, YEAR('ادخال البيانات'!$N$3:$N$1164)=VALUE($B$9))) *
            (IF($B$10="الكل",1, MONTH('ادخال البيانات'!$N$3:$N$1164)=VALUE($B$10))) *
            (IF($B$11="الكل",1, INT((DAY('ادخال البيانات'!$N$3:$N$1164)-1)/7)+1 = VALUE($B$11))),
            'ادخال البيانات'!$D$3:$D$1164
         ),
         ""
      ),
      IF(_xlpm.result="", "", _xlpm.result)
   )
)</f>
        <v/>
      </c>
      <c r="E1169" s="47" t="str" cm="1">
        <f t="array" ref="E1169">IF(
   A1169="",
   "",
   _xlfn.LET(
      _xlpm.result,
      IFERROR(
         _xlfn.XLOOKUP(
            1,
            (Table8[رقم الصنف]=A1169) *
            (IF($B$9="الكل",1, YEAR('ادخال البيانات'!$N$3:$N$1164)=VALUE($B$9))) *
            (IF($B$10="الكل",1, MONTH('ادخال البيانات'!$N$3:$N$1164)=VALUE($B$10))) *
            (IF($B$11="الكل",1, INT((DAY('ادخال البيانات'!$N$3:$N$1164)-1)/7)+1 = VALUE($B$11))),
            'ادخال البيانات'!$E$3:$E$1164
         ),
         ""
      ),
      IF(_xlpm.result="", "", _xlpm.result)
   )
)</f>
        <v/>
      </c>
      <c r="F1169" s="47" t="str" cm="1">
        <f t="array" ref="F1169">IF(
   A1169="",
   "",
   _xlfn.LET(
      _xlpm.result,
      IFERROR(
         _xlfn.XLOOKUP(
            1,
            (Table8[رقم الصنف]=A1169) *
            (IF($B$9="الكل",1, YEAR('ادخال البيانات'!$N$3:$N$1164) = VALUE($B$9))) *
            (IF($B$10="الكل",1, MONTH('ادخال البيانات'!$N$3:$N$1164) = VALUE($B$10))) *
            (IF($B$11="الكل",1, INT((DAY('ادخال البيانات'!$N$3:$N$1164)-1)/7)+1 = VALUE($B$11))),
            'ادخال البيانات'!$F$3:$F$1164
         ),
         ""
      ),
      IF(_xlpm.result="", "", _xlpm.result)
   )
)</f>
        <v/>
      </c>
      <c r="G1169" s="47" t="str" cm="1">
        <f t="array" ref="G1169">IF(
   A1169="",
   "",
   _xlfn.LET(
      _xlpm.result,
      IFERROR(
         _xlfn.XLOOKUP(
            1,
            (Table8[رقم الصنف]=A1169) *
            (IF($B$9="الكل",1, YEAR('ادخال البيانات'!$N$3:$N$1164)=VALUE($B$9))) *
            (IF($B$10="الكل",1, MONTH('ادخال البيانات'!$N$3:$N$1164)=VALUE($B$10))) *
            (IF($B$11="الكل",1, INT((DAY('ادخال البيانات'!$N$3:$N$1164)-1)/7)+1 = VALUE($B$11))),
            'ادخال البيانات'!$G$3:$G$1164
         ),
         ""
      ),
      IF(_xlpm.result="", "", _xlpm.result)
   )
)</f>
        <v/>
      </c>
      <c r="H1169" s="47" t="str" cm="1">
        <f t="array" ref="H1169">IF(
   A1169="",
   "",
   _xlfn.LET(
      _xlpm.result,
      IFERROR(
         _xlfn.XLOOKUP(
            1,
            (Table8[رقم الصنف]=A1169) *
            (IF($B$9="الكل",1, YEAR('ادخال البيانات'!$N$3:$N$1164)=VALUE($B$9))) *
            (IF($B$10="الكل",1, MONTH('ادخال البيانات'!$N$3:$N$1164)=VALUE($B$10))) *
            (IF($B$11="الكل",1, INT((DAY('ادخال البيانات'!$N$3:$N$1164)-1)/7)+1 = VALUE($B$11))),
            'ادخال البيانات'!$H$3:$H$1164
         ),
         ""
      ),
      IF(_xlpm.result="", "", _xlpm.result)
   )
)</f>
        <v/>
      </c>
      <c r="I1169" s="47" t="str" cm="1">
        <f t="array" ref="I1169">IF(
   A1169="",
   "",
   _xlfn.LET(
      _xlpm.result,
      IFERROR(
         _xlfn.XLOOKUP(
            1,
            (Table8[رقم الصنف]=A1169) *
            (IF($B$9="الكل",1, YEAR('ادخال البيانات'!$N$3:$N$1164)=VALUE($B$9))) *
            (IF($B$10="الكل",1, MONTH('ادخال البيانات'!$N$3:$N$1164)=VALUE($B$10))) *
            (IF($B$11="الكل",1, INT((DAY('ادخال البيانات'!$N$3:$N$1164)-1)/7)+1 = VALUE($B$11))),
            'ادخال البيانات'!$I$3:$I$1164
         ),
         ""
      ),
      IF(_xlpm.result="", "", _xlpm.result)
   )
)</f>
        <v/>
      </c>
      <c r="J1169" s="47" t="str" cm="1">
        <f t="array" ref="J1169">IF(
   A1169="",
   "",
   _xlfn.LET(
      _xlpm.result,
      IFERROR(
         _xlfn.XLOOKUP(
            1,
            (Table8[رقم الصنف]=A1169) *
            (IF($B$9="الكل",1, YEAR('ادخال البيانات'!$N$3:$N$1164)=VALUE($B$9))) *
            (IF($B$10="الكل",1, MONTH('ادخال البيانات'!$N$3:$N$1164)=VALUE($B$10))) *
            (IF($B$11="الكل",1, INT((DAY('ادخال البيانات'!$N$3:$N$1164)-1)/7)+1 = VALUE($B$11))),
            'ادخال البيانات'!$J$3:$J$1164
         ),
         ""
      ),
      IF(_xlpm.result="", "", _xlpm.result)
   )
)</f>
        <v/>
      </c>
      <c r="K1169" s="47" t="str" cm="1">
        <f t="array" ref="K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'ادخال البيانات'!$K$3:$K$1164
         ),
         ""
      ),
      IF(_xlpm.result="", "", _xlpm.result)
   )
)</f>
        <v/>
      </c>
      <c r="L1169" s="47" t="str" cm="1">
        <f t="array" ref="L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'ادخال البيانات'!$L$3:$L$1164
         ),
         ""
      ),
      IF(_xlpm.result="", "", _xlpm.result)
   )
)</f>
        <v/>
      </c>
      <c r="M1169" s="47" t="str" cm="1">
        <f t="array" ref="M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'ادخال البيانات'!$M$3:$M$1164
         ),
         ""
      ),
      IF(_xlpm.result="", "", _xlpm.result)
   )
)</f>
        <v/>
      </c>
      <c r="N1169" s="48" t="str" cm="1">
        <f t="array" ref="N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'ادخال البيانات'!$N$3:$N$1164
         ),
         ""
      ),
      IF(_xlpm.result="", "", _xlpm.result)
   )
)</f>
        <v/>
      </c>
      <c r="O1169" s="48" t="str" cm="1">
        <f t="array" ref="O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'ادخال البيانات'!$O$3:$O$1164
         ),
         ""
      ),
      IF(_xlpm.result="", "", _xlpm.result)
   )
)</f>
        <v/>
      </c>
      <c r="P1169" s="47" t="str" cm="1">
        <f t="array" ref="P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Table8[جهة العطل]
         ),
         ""
      ),
      IF(_xlpm.result="", "", _xlpm.result)
   )
)</f>
        <v/>
      </c>
      <c r="Q1169" s="47" t="str" cm="1">
        <f t="array" ref="Q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Table8[المركز]
         ),
         ""
      ),
      IF(_xlpm.result="", "", _xlpm.result)
   )
)</f>
        <v/>
      </c>
      <c r="R1169" s="47" t="str" cm="1">
        <f t="array" ref="R1169">IF(
   A1169="",
   "",
   _xlfn.LET(
      _xlpm.result,
      IFERROR(
         _xlfn.XLOOKUP(
            1,
            (Table8[رقم الصنف]=A1169) *
            (IF($B$9="الكل",1, YEAR('ادخال البيانات'!$N$3:$N$1164) = VALUE($B$9))) *
            (IF($B$10="الكل",1, MONTH('ادخال البيانات'!$N$3:$N$1164) = VALUE($B$10))) *
            (IF($B$11="الكل",1, INT((DAY('ادخال البيانات'!$N$3:$N$1164) - 1) / 7) + 1 = VALUE($B$11))),
            Table8[ملاحظة]
         ),
         ""
      ),
      IF(_xlpm.result="", "", _xlpm.result)
   )
)</f>
        <v/>
      </c>
      <c r="S1169" s="49" t="str">
        <f t="shared" ca="1" si="19"/>
        <v/>
      </c>
    </row>
    <row r="1170" spans="1:19" ht="15.6" thickTop="1" thickBot="1" x14ac:dyDescent="0.35">
      <c r="A1170" s="39"/>
      <c r="B1170" s="29"/>
      <c r="C1170" s="29"/>
      <c r="D1170" s="29"/>
      <c r="E1170" s="29"/>
      <c r="F1170" s="29"/>
      <c r="G1170" s="29"/>
      <c r="H1170" s="29"/>
      <c r="I1170" s="29"/>
      <c r="J1170" s="29"/>
      <c r="K1170" s="29"/>
      <c r="L1170" s="29"/>
      <c r="M1170" s="29"/>
      <c r="N1170" s="29"/>
      <c r="O1170" s="30"/>
      <c r="P1170" s="29"/>
      <c r="Q1170" s="29"/>
      <c r="R1170" s="29"/>
      <c r="S1170" s="33"/>
    </row>
    <row r="1171" spans="1:19" ht="15.6" thickTop="1" thickBot="1" x14ac:dyDescent="0.35">
      <c r="A1171" s="39"/>
      <c r="B1171" s="31"/>
      <c r="C1171" s="31"/>
      <c r="D1171" s="31"/>
      <c r="E1171" s="31"/>
      <c r="F1171" s="31"/>
      <c r="G1171" s="31"/>
      <c r="H1171" s="31"/>
      <c r="I1171" s="31"/>
      <c r="J1171" s="31"/>
      <c r="K1171" s="31"/>
      <c r="L1171" s="31"/>
      <c r="M1171" s="31"/>
      <c r="N1171" s="31"/>
      <c r="O1171" s="32"/>
      <c r="P1171" s="31"/>
      <c r="Q1171" s="31"/>
      <c r="R1171" s="31"/>
      <c r="S1171" s="34"/>
    </row>
    <row r="1172" spans="1:19" ht="15.6" thickTop="1" thickBot="1" x14ac:dyDescent="0.35">
      <c r="A1172" s="39"/>
      <c r="B1172" s="29"/>
      <c r="C1172" s="29"/>
      <c r="D1172" s="29"/>
      <c r="E1172" s="29"/>
      <c r="F1172" s="29"/>
      <c r="G1172" s="29"/>
      <c r="H1172" s="29"/>
      <c r="I1172" s="29"/>
      <c r="J1172" s="29"/>
      <c r="K1172" s="29"/>
      <c r="L1172" s="29"/>
      <c r="M1172" s="29"/>
      <c r="N1172" s="29"/>
      <c r="O1172" s="30"/>
      <c r="P1172" s="29"/>
      <c r="Q1172" s="29"/>
      <c r="R1172" s="29"/>
      <c r="S1172" s="33"/>
    </row>
    <row r="1173" spans="1:19" ht="15.6" thickTop="1" thickBot="1" x14ac:dyDescent="0.35">
      <c r="A1173" s="39"/>
      <c r="B1173" s="31"/>
      <c r="C1173" s="31"/>
      <c r="D1173" s="31"/>
      <c r="E1173" s="31"/>
      <c r="F1173" s="31"/>
      <c r="G1173" s="31"/>
      <c r="H1173" s="31"/>
      <c r="I1173" s="31"/>
      <c r="J1173" s="31"/>
      <c r="K1173" s="31"/>
      <c r="L1173" s="31"/>
      <c r="M1173" s="31"/>
      <c r="N1173" s="31"/>
      <c r="O1173" s="32"/>
      <c r="P1173" s="31"/>
      <c r="Q1173" s="31"/>
      <c r="R1173" s="31"/>
      <c r="S1173" s="34"/>
    </row>
    <row r="1174" spans="1:19" ht="15.6" thickTop="1" thickBot="1" x14ac:dyDescent="0.35">
      <c r="A1174" s="39"/>
      <c r="B1174" s="29"/>
      <c r="C1174" s="29"/>
      <c r="D1174" s="29"/>
      <c r="E1174" s="29"/>
      <c r="F1174" s="29"/>
      <c r="G1174" s="29"/>
      <c r="H1174" s="29"/>
      <c r="I1174" s="29"/>
      <c r="J1174" s="29"/>
      <c r="K1174" s="29"/>
      <c r="L1174" s="29"/>
      <c r="M1174" s="29"/>
      <c r="N1174" s="29"/>
      <c r="O1174" s="30"/>
      <c r="P1174" s="29"/>
      <c r="Q1174" s="29"/>
      <c r="R1174" s="29"/>
      <c r="S1174" s="33"/>
    </row>
    <row r="1175" spans="1:19" ht="15.6" thickTop="1" thickBot="1" x14ac:dyDescent="0.35">
      <c r="A1175" s="39"/>
      <c r="B1175" s="31"/>
      <c r="C1175" s="31"/>
      <c r="D1175" s="31"/>
      <c r="E1175" s="31"/>
      <c r="F1175" s="31"/>
      <c r="G1175" s="31"/>
      <c r="H1175" s="31"/>
      <c r="I1175" s="31"/>
      <c r="J1175" s="31"/>
      <c r="K1175" s="31"/>
      <c r="L1175" s="31"/>
      <c r="M1175" s="31"/>
      <c r="N1175" s="31"/>
      <c r="O1175" s="32"/>
      <c r="P1175" s="31"/>
      <c r="Q1175" s="31"/>
      <c r="R1175" s="31"/>
      <c r="S1175" s="34"/>
    </row>
    <row r="1176" spans="1:19" ht="15.6" thickTop="1" thickBot="1" x14ac:dyDescent="0.35">
      <c r="A1176" s="39"/>
      <c r="B1176" s="29"/>
      <c r="C1176" s="29"/>
      <c r="D1176" s="29"/>
      <c r="E1176" s="29"/>
      <c r="F1176" s="29"/>
      <c r="G1176" s="29"/>
      <c r="H1176" s="29"/>
      <c r="I1176" s="29"/>
      <c r="J1176" s="29"/>
      <c r="K1176" s="29"/>
      <c r="L1176" s="29"/>
      <c r="M1176" s="29"/>
      <c r="N1176" s="29"/>
      <c r="O1176" s="30"/>
      <c r="P1176" s="29"/>
      <c r="Q1176" s="29"/>
      <c r="R1176" s="29"/>
      <c r="S1176" s="33"/>
    </row>
    <row r="1177" spans="1:19" ht="15.6" thickTop="1" thickBot="1" x14ac:dyDescent="0.35">
      <c r="A1177" s="39"/>
      <c r="B1177" s="31"/>
      <c r="C1177" s="31"/>
      <c r="D1177" s="31"/>
      <c r="E1177" s="31"/>
      <c r="F1177" s="31"/>
      <c r="G1177" s="31"/>
      <c r="H1177" s="31"/>
      <c r="I1177" s="31"/>
      <c r="J1177" s="31"/>
      <c r="K1177" s="31"/>
      <c r="L1177" s="31"/>
      <c r="M1177" s="31"/>
      <c r="N1177" s="31"/>
      <c r="O1177" s="32"/>
      <c r="P1177" s="31"/>
      <c r="Q1177" s="31"/>
      <c r="R1177" s="31"/>
      <c r="S1177" s="34"/>
    </row>
    <row r="1178" spans="1:19" ht="15.6" thickTop="1" thickBot="1" x14ac:dyDescent="0.35">
      <c r="A1178" s="39"/>
      <c r="B1178" s="29"/>
      <c r="C1178" s="29"/>
      <c r="D1178" s="29"/>
      <c r="E1178" s="29"/>
      <c r="F1178" s="29"/>
      <c r="G1178" s="29"/>
      <c r="H1178" s="29"/>
      <c r="I1178" s="29"/>
      <c r="J1178" s="29"/>
      <c r="K1178" s="29"/>
      <c r="L1178" s="29"/>
      <c r="M1178" s="29"/>
      <c r="N1178" s="29"/>
      <c r="O1178" s="30"/>
      <c r="P1178" s="29"/>
      <c r="Q1178" s="29"/>
      <c r="R1178" s="29"/>
      <c r="S1178" s="33"/>
    </row>
    <row r="1179" spans="1:19" ht="15.6" thickTop="1" thickBot="1" x14ac:dyDescent="0.35">
      <c r="A1179" s="39"/>
      <c r="B1179" s="31"/>
      <c r="C1179" s="31"/>
      <c r="D1179" s="31"/>
      <c r="E1179" s="31"/>
      <c r="F1179" s="31"/>
      <c r="G1179" s="31"/>
      <c r="H1179" s="31"/>
      <c r="I1179" s="31"/>
      <c r="J1179" s="31"/>
      <c r="K1179" s="31"/>
      <c r="L1179" s="31"/>
      <c r="M1179" s="31"/>
      <c r="N1179" s="31"/>
      <c r="O1179" s="32"/>
      <c r="P1179" s="31"/>
      <c r="Q1179" s="31"/>
      <c r="R1179" s="31"/>
      <c r="S1179" s="34"/>
    </row>
    <row r="1180" spans="1:19" ht="15.6" thickTop="1" thickBot="1" x14ac:dyDescent="0.35">
      <c r="A1180" s="39"/>
      <c r="B1180" s="29"/>
      <c r="C1180" s="29"/>
      <c r="D1180" s="29"/>
      <c r="E1180" s="29"/>
      <c r="F1180" s="29"/>
      <c r="G1180" s="29"/>
      <c r="H1180" s="29"/>
      <c r="I1180" s="29"/>
      <c r="J1180" s="29"/>
      <c r="K1180" s="29"/>
      <c r="L1180" s="29"/>
      <c r="M1180" s="29"/>
      <c r="N1180" s="29"/>
      <c r="O1180" s="30"/>
      <c r="P1180" s="29"/>
      <c r="Q1180" s="29"/>
      <c r="R1180" s="29"/>
      <c r="S1180" s="33"/>
    </row>
    <row r="1181" spans="1:19" ht="15.6" thickTop="1" thickBot="1" x14ac:dyDescent="0.35">
      <c r="A1181" s="39"/>
      <c r="B1181" s="31"/>
      <c r="C1181" s="31"/>
      <c r="D1181" s="31"/>
      <c r="E1181" s="31"/>
      <c r="F1181" s="31"/>
      <c r="G1181" s="31"/>
      <c r="H1181" s="31"/>
      <c r="I1181" s="31"/>
      <c r="J1181" s="31"/>
      <c r="K1181" s="31"/>
      <c r="L1181" s="31"/>
      <c r="M1181" s="31"/>
      <c r="N1181" s="31"/>
      <c r="O1181" s="32"/>
      <c r="P1181" s="31"/>
      <c r="Q1181" s="31"/>
      <c r="R1181" s="31"/>
      <c r="S1181" s="34"/>
    </row>
    <row r="1182" spans="1:19" ht="15.6" thickTop="1" thickBot="1" x14ac:dyDescent="0.35">
      <c r="A1182" s="39"/>
      <c r="B1182" s="29"/>
      <c r="C1182" s="29"/>
      <c r="D1182" s="29"/>
      <c r="E1182" s="29"/>
      <c r="F1182" s="29"/>
      <c r="G1182" s="29"/>
      <c r="H1182" s="29"/>
      <c r="I1182" s="29"/>
      <c r="J1182" s="29"/>
      <c r="K1182" s="29"/>
      <c r="L1182" s="29"/>
      <c r="M1182" s="29"/>
      <c r="N1182" s="29"/>
      <c r="O1182" s="30"/>
      <c r="P1182" s="29"/>
      <c r="Q1182" s="29"/>
      <c r="R1182" s="29"/>
      <c r="S1182" s="33"/>
    </row>
    <row r="1183" spans="1:19" ht="15.6" thickTop="1" thickBot="1" x14ac:dyDescent="0.35">
      <c r="A1183" s="39"/>
      <c r="B1183" s="31"/>
      <c r="C1183" s="31"/>
      <c r="D1183" s="31"/>
      <c r="E1183" s="31"/>
      <c r="F1183" s="31"/>
      <c r="G1183" s="31"/>
      <c r="H1183" s="31"/>
      <c r="I1183" s="31"/>
      <c r="J1183" s="31"/>
      <c r="K1183" s="31"/>
      <c r="L1183" s="31"/>
      <c r="M1183" s="31"/>
      <c r="N1183" s="31"/>
      <c r="O1183" s="32"/>
      <c r="P1183" s="31"/>
      <c r="Q1183" s="31"/>
      <c r="R1183" s="31"/>
      <c r="S1183" s="34"/>
    </row>
    <row r="1184" spans="1:19" ht="15.6" thickTop="1" thickBot="1" x14ac:dyDescent="0.35">
      <c r="A1184" s="39"/>
      <c r="B1184" s="29"/>
      <c r="C1184" s="29"/>
      <c r="D1184" s="29"/>
      <c r="E1184" s="29"/>
      <c r="F1184" s="29"/>
      <c r="G1184" s="29"/>
      <c r="H1184" s="29"/>
      <c r="I1184" s="29"/>
      <c r="J1184" s="29"/>
      <c r="K1184" s="29"/>
      <c r="L1184" s="29"/>
      <c r="M1184" s="29"/>
      <c r="N1184" s="29"/>
      <c r="O1184" s="30"/>
      <c r="P1184" s="29"/>
      <c r="Q1184" s="29"/>
      <c r="R1184" s="29"/>
      <c r="S1184" s="33"/>
    </row>
    <row r="1185" spans="1:19" ht="15.6" thickTop="1" thickBot="1" x14ac:dyDescent="0.35">
      <c r="A1185" s="39"/>
      <c r="B1185" s="31"/>
      <c r="C1185" s="31"/>
      <c r="D1185" s="31"/>
      <c r="E1185" s="31"/>
      <c r="F1185" s="31"/>
      <c r="G1185" s="31"/>
      <c r="H1185" s="31"/>
      <c r="I1185" s="31"/>
      <c r="J1185" s="31"/>
      <c r="K1185" s="31"/>
      <c r="L1185" s="31"/>
      <c r="M1185" s="31"/>
      <c r="N1185" s="31"/>
      <c r="O1185" s="32"/>
      <c r="P1185" s="31"/>
      <c r="Q1185" s="31"/>
      <c r="R1185" s="31"/>
      <c r="S1185" s="34"/>
    </row>
    <row r="1186" spans="1:19" ht="15.6" thickTop="1" thickBot="1" x14ac:dyDescent="0.35">
      <c r="A1186" s="39"/>
      <c r="B1186" s="29"/>
      <c r="C1186" s="29"/>
      <c r="D1186" s="29"/>
      <c r="E1186" s="29"/>
      <c r="F1186" s="29"/>
      <c r="G1186" s="29"/>
      <c r="H1186" s="29"/>
      <c r="I1186" s="29"/>
      <c r="J1186" s="29"/>
      <c r="K1186" s="29"/>
      <c r="L1186" s="29"/>
      <c r="M1186" s="29"/>
      <c r="N1186" s="29"/>
      <c r="O1186" s="30"/>
      <c r="P1186" s="29"/>
      <c r="Q1186" s="29"/>
      <c r="R1186" s="29"/>
      <c r="S1186" s="33"/>
    </row>
    <row r="1187" spans="1:19" ht="15.6" thickTop="1" thickBot="1" x14ac:dyDescent="0.35">
      <c r="A1187" s="39"/>
      <c r="B1187" s="31"/>
      <c r="C1187" s="31"/>
      <c r="D1187" s="31"/>
      <c r="E1187" s="31"/>
      <c r="F1187" s="31"/>
      <c r="G1187" s="31"/>
      <c r="H1187" s="31"/>
      <c r="I1187" s="31"/>
      <c r="J1187" s="31"/>
      <c r="K1187" s="31"/>
      <c r="L1187" s="31"/>
      <c r="M1187" s="31"/>
      <c r="N1187" s="31"/>
      <c r="O1187" s="32"/>
      <c r="P1187" s="31"/>
      <c r="Q1187" s="31"/>
      <c r="R1187" s="31"/>
      <c r="S1187" s="34"/>
    </row>
    <row r="1188" spans="1:19" ht="15.6" thickTop="1" thickBot="1" x14ac:dyDescent="0.35">
      <c r="A1188" s="39"/>
      <c r="B1188" s="29"/>
      <c r="C1188" s="29"/>
      <c r="D1188" s="29"/>
      <c r="E1188" s="29"/>
      <c r="F1188" s="29"/>
      <c r="G1188" s="29"/>
      <c r="H1188" s="29"/>
      <c r="I1188" s="29"/>
      <c r="J1188" s="29"/>
      <c r="K1188" s="29"/>
      <c r="L1188" s="29"/>
      <c r="M1188" s="29"/>
      <c r="N1188" s="29"/>
      <c r="O1188" s="30"/>
      <c r="P1188" s="29"/>
      <c r="Q1188" s="29"/>
      <c r="R1188" s="29"/>
      <c r="S1188" s="33"/>
    </row>
    <row r="1189" spans="1:19" ht="15.6" thickTop="1" thickBot="1" x14ac:dyDescent="0.35">
      <c r="A1189" s="39"/>
      <c r="B1189" s="31"/>
      <c r="C1189" s="31"/>
      <c r="D1189" s="31"/>
      <c r="E1189" s="31"/>
      <c r="F1189" s="31"/>
      <c r="G1189" s="31"/>
      <c r="H1189" s="31"/>
      <c r="I1189" s="31"/>
      <c r="J1189" s="31"/>
      <c r="K1189" s="31"/>
      <c r="L1189" s="31"/>
      <c r="M1189" s="31"/>
      <c r="N1189" s="31"/>
      <c r="O1189" s="32"/>
      <c r="P1189" s="31"/>
      <c r="Q1189" s="31"/>
      <c r="R1189" s="31"/>
      <c r="S1189" s="34"/>
    </row>
    <row r="1190" spans="1:19" ht="15.6" thickTop="1" thickBot="1" x14ac:dyDescent="0.35">
      <c r="A1190" s="39"/>
      <c r="B1190" s="29"/>
      <c r="C1190" s="29"/>
      <c r="D1190" s="29"/>
      <c r="E1190" s="29"/>
      <c r="F1190" s="29"/>
      <c r="G1190" s="29"/>
      <c r="H1190" s="29"/>
      <c r="I1190" s="29"/>
      <c r="J1190" s="29"/>
      <c r="K1190" s="29"/>
      <c r="L1190" s="29"/>
      <c r="M1190" s="29"/>
      <c r="N1190" s="29"/>
      <c r="O1190" s="30"/>
      <c r="P1190" s="29"/>
      <c r="Q1190" s="29"/>
      <c r="R1190" s="29"/>
      <c r="S1190" s="33"/>
    </row>
    <row r="1191" spans="1:19" ht="15.6" thickTop="1" thickBot="1" x14ac:dyDescent="0.35">
      <c r="A1191" s="39"/>
      <c r="B1191" s="31"/>
      <c r="C1191" s="31"/>
      <c r="D1191" s="31"/>
      <c r="E1191" s="31"/>
      <c r="F1191" s="31"/>
      <c r="G1191" s="31"/>
      <c r="H1191" s="31"/>
      <c r="I1191" s="31"/>
      <c r="J1191" s="31"/>
      <c r="K1191" s="31"/>
      <c r="L1191" s="31"/>
      <c r="M1191" s="31"/>
      <c r="N1191" s="31"/>
      <c r="O1191" s="32"/>
      <c r="P1191" s="31"/>
      <c r="Q1191" s="31"/>
      <c r="R1191" s="31"/>
      <c r="S1191" s="34"/>
    </row>
    <row r="1192" spans="1:19" ht="15.6" thickTop="1" thickBot="1" x14ac:dyDescent="0.35">
      <c r="A1192" s="39"/>
      <c r="B1192" s="29"/>
      <c r="C1192" s="29"/>
      <c r="D1192" s="29"/>
      <c r="E1192" s="29"/>
      <c r="F1192" s="29"/>
      <c r="G1192" s="29"/>
      <c r="H1192" s="29"/>
      <c r="I1192" s="29"/>
      <c r="J1192" s="29"/>
      <c r="K1192" s="29"/>
      <c r="L1192" s="29"/>
      <c r="M1192" s="29"/>
      <c r="N1192" s="29"/>
      <c r="O1192" s="30"/>
      <c r="P1192" s="29"/>
      <c r="Q1192" s="29"/>
      <c r="R1192" s="29"/>
      <c r="S1192" s="33"/>
    </row>
    <row r="1193" spans="1:19" ht="15.6" thickTop="1" thickBot="1" x14ac:dyDescent="0.35">
      <c r="A1193" s="39"/>
      <c r="B1193" s="31"/>
      <c r="C1193" s="31"/>
      <c r="D1193" s="31"/>
      <c r="E1193" s="31"/>
      <c r="F1193" s="31"/>
      <c r="G1193" s="31"/>
      <c r="H1193" s="31"/>
      <c r="I1193" s="31"/>
      <c r="J1193" s="31"/>
      <c r="K1193" s="31"/>
      <c r="L1193" s="31"/>
      <c r="M1193" s="31"/>
      <c r="N1193" s="31"/>
      <c r="O1193" s="32"/>
      <c r="P1193" s="31"/>
      <c r="Q1193" s="31"/>
      <c r="R1193" s="31"/>
      <c r="S1193" s="34"/>
    </row>
    <row r="1194" spans="1:19" ht="15.6" thickTop="1" thickBot="1" x14ac:dyDescent="0.35">
      <c r="A1194" s="39"/>
      <c r="B1194" s="29"/>
      <c r="C1194" s="29"/>
      <c r="D1194" s="29"/>
      <c r="E1194" s="29"/>
      <c r="F1194" s="29"/>
      <c r="G1194" s="29"/>
      <c r="H1194" s="29"/>
      <c r="I1194" s="29"/>
      <c r="J1194" s="29"/>
      <c r="K1194" s="29"/>
      <c r="L1194" s="29"/>
      <c r="M1194" s="29"/>
      <c r="N1194" s="29"/>
      <c r="O1194" s="30"/>
      <c r="P1194" s="29"/>
      <c r="Q1194" s="29"/>
      <c r="R1194" s="29"/>
      <c r="S1194" s="33"/>
    </row>
    <row r="1195" spans="1:19" ht="15.6" thickTop="1" thickBot="1" x14ac:dyDescent="0.35">
      <c r="A1195" s="39"/>
      <c r="B1195" s="31"/>
      <c r="C1195" s="31"/>
      <c r="D1195" s="31"/>
      <c r="E1195" s="31"/>
      <c r="F1195" s="31"/>
      <c r="G1195" s="31"/>
      <c r="H1195" s="31"/>
      <c r="I1195" s="31"/>
      <c r="J1195" s="31"/>
      <c r="K1195" s="31"/>
      <c r="L1195" s="31"/>
      <c r="M1195" s="31"/>
      <c r="N1195" s="31"/>
      <c r="O1195" s="32"/>
      <c r="P1195" s="31"/>
      <c r="Q1195" s="31"/>
      <c r="R1195" s="31"/>
      <c r="S1195" s="34"/>
    </row>
    <row r="1196" spans="1:19" ht="15.6" thickTop="1" thickBot="1" x14ac:dyDescent="0.35">
      <c r="A1196" s="39"/>
      <c r="B1196" s="29"/>
      <c r="C1196" s="29"/>
      <c r="D1196" s="29"/>
      <c r="E1196" s="29"/>
      <c r="F1196" s="29"/>
      <c r="G1196" s="29"/>
      <c r="H1196" s="29"/>
      <c r="I1196" s="29"/>
      <c r="J1196" s="29"/>
      <c r="K1196" s="29"/>
      <c r="L1196" s="29"/>
      <c r="M1196" s="29"/>
      <c r="N1196" s="29"/>
      <c r="O1196" s="30"/>
      <c r="P1196" s="29"/>
      <c r="Q1196" s="29"/>
      <c r="R1196" s="29"/>
      <c r="S1196" s="33"/>
    </row>
    <row r="1197" spans="1:19" ht="15.6" thickTop="1" thickBot="1" x14ac:dyDescent="0.35">
      <c r="A1197" s="39"/>
      <c r="B1197" s="31"/>
      <c r="C1197" s="31"/>
      <c r="D1197" s="31"/>
      <c r="E1197" s="31"/>
      <c r="F1197" s="31"/>
      <c r="G1197" s="31"/>
      <c r="H1197" s="31"/>
      <c r="I1197" s="31"/>
      <c r="J1197" s="31"/>
      <c r="K1197" s="31"/>
      <c r="L1197" s="31"/>
      <c r="M1197" s="31"/>
      <c r="N1197" s="31"/>
      <c r="O1197" s="32"/>
      <c r="P1197" s="31"/>
      <c r="Q1197" s="31"/>
      <c r="R1197" s="31"/>
      <c r="S1197" s="34"/>
    </row>
    <row r="1198" spans="1:19" ht="15.6" thickTop="1" thickBot="1" x14ac:dyDescent="0.35">
      <c r="A1198" s="39"/>
      <c r="B1198" s="29"/>
      <c r="C1198" s="29"/>
      <c r="D1198" s="29"/>
      <c r="E1198" s="29"/>
      <c r="F1198" s="29"/>
      <c r="G1198" s="29"/>
      <c r="H1198" s="29"/>
      <c r="I1198" s="29"/>
      <c r="J1198" s="29"/>
      <c r="K1198" s="29"/>
      <c r="L1198" s="29"/>
      <c r="M1198" s="29"/>
      <c r="N1198" s="29"/>
      <c r="O1198" s="30"/>
      <c r="P1198" s="29"/>
      <c r="Q1198" s="29"/>
      <c r="R1198" s="29"/>
      <c r="S1198" s="33"/>
    </row>
    <row r="1199" spans="1:19" ht="15.6" thickTop="1" thickBot="1" x14ac:dyDescent="0.35">
      <c r="A1199" s="39"/>
      <c r="B1199" s="31"/>
      <c r="C1199" s="31"/>
      <c r="D1199" s="31"/>
      <c r="E1199" s="31"/>
      <c r="F1199" s="31"/>
      <c r="G1199" s="31"/>
      <c r="H1199" s="31"/>
      <c r="I1199" s="31"/>
      <c r="J1199" s="31"/>
      <c r="K1199" s="31"/>
      <c r="L1199" s="31"/>
      <c r="M1199" s="31"/>
      <c r="N1199" s="31"/>
      <c r="O1199" s="32"/>
      <c r="P1199" s="31"/>
      <c r="Q1199" s="31"/>
      <c r="R1199" s="31"/>
      <c r="S1199" s="34"/>
    </row>
    <row r="1200" spans="1:19" ht="15.6" thickTop="1" thickBot="1" x14ac:dyDescent="0.35">
      <c r="A1200" s="39"/>
      <c r="B1200" s="29"/>
      <c r="C1200" s="29"/>
      <c r="D1200" s="29"/>
      <c r="E1200" s="29"/>
      <c r="F1200" s="29"/>
      <c r="G1200" s="29"/>
      <c r="H1200" s="29"/>
      <c r="I1200" s="29"/>
      <c r="J1200" s="29"/>
      <c r="K1200" s="29"/>
      <c r="L1200" s="29"/>
      <c r="M1200" s="29"/>
      <c r="N1200" s="29"/>
      <c r="O1200" s="30"/>
      <c r="P1200" s="29"/>
      <c r="Q1200" s="29"/>
      <c r="R1200" s="29"/>
      <c r="S1200" s="33"/>
    </row>
    <row r="1201" spans="1:19" ht="15.6" thickTop="1" thickBot="1" x14ac:dyDescent="0.35">
      <c r="A1201" s="39"/>
      <c r="B1201" s="31"/>
      <c r="C1201" s="31"/>
      <c r="D1201" s="31"/>
      <c r="E1201" s="31"/>
      <c r="F1201" s="31"/>
      <c r="G1201" s="31"/>
      <c r="H1201" s="31"/>
      <c r="I1201" s="31"/>
      <c r="J1201" s="31"/>
      <c r="K1201" s="31"/>
      <c r="L1201" s="31"/>
      <c r="M1201" s="31"/>
      <c r="N1201" s="31"/>
      <c r="O1201" s="32"/>
      <c r="P1201" s="31"/>
      <c r="Q1201" s="31"/>
      <c r="R1201" s="31"/>
      <c r="S1201" s="34"/>
    </row>
    <row r="1202" spans="1:19" ht="15.6" thickTop="1" thickBot="1" x14ac:dyDescent="0.35">
      <c r="A1202" s="39"/>
      <c r="B1202" s="29"/>
      <c r="C1202" s="29"/>
      <c r="D1202" s="29"/>
      <c r="E1202" s="29"/>
      <c r="F1202" s="29"/>
      <c r="G1202" s="29"/>
      <c r="H1202" s="29"/>
      <c r="I1202" s="29"/>
      <c r="J1202" s="29"/>
      <c r="K1202" s="29"/>
      <c r="L1202" s="29"/>
      <c r="M1202" s="29"/>
      <c r="N1202" s="29"/>
      <c r="O1202" s="30"/>
      <c r="P1202" s="29"/>
      <c r="Q1202" s="29"/>
      <c r="R1202" s="29"/>
      <c r="S1202" s="33"/>
    </row>
    <row r="1203" spans="1:19" ht="15.6" thickTop="1" thickBot="1" x14ac:dyDescent="0.35">
      <c r="A1203" s="39"/>
      <c r="B1203" s="31"/>
      <c r="C1203" s="31"/>
      <c r="D1203" s="31"/>
      <c r="E1203" s="31"/>
      <c r="F1203" s="31"/>
      <c r="G1203" s="31"/>
      <c r="H1203" s="31"/>
      <c r="I1203" s="31"/>
      <c r="J1203" s="31"/>
      <c r="K1203" s="31"/>
      <c r="L1203" s="31"/>
      <c r="M1203" s="31"/>
      <c r="N1203" s="31"/>
      <c r="O1203" s="32"/>
      <c r="P1203" s="31"/>
      <c r="Q1203" s="31"/>
      <c r="R1203" s="31"/>
      <c r="S1203" s="34"/>
    </row>
    <row r="1204" spans="1:19" ht="15.6" thickTop="1" thickBot="1" x14ac:dyDescent="0.35">
      <c r="A1204" s="39"/>
      <c r="B1204" s="29"/>
      <c r="C1204" s="29"/>
      <c r="D1204" s="29"/>
      <c r="E1204" s="29"/>
      <c r="F1204" s="29"/>
      <c r="G1204" s="29"/>
      <c r="H1204" s="29"/>
      <c r="I1204" s="29"/>
      <c r="J1204" s="29"/>
      <c r="K1204" s="29"/>
      <c r="L1204" s="29"/>
      <c r="M1204" s="29"/>
      <c r="N1204" s="29"/>
      <c r="O1204" s="30"/>
      <c r="P1204" s="29"/>
      <c r="Q1204" s="29"/>
      <c r="R1204" s="29"/>
      <c r="S1204" s="33"/>
    </row>
    <row r="1205" spans="1:19" ht="15.6" thickTop="1" thickBot="1" x14ac:dyDescent="0.35">
      <c r="A1205" s="39"/>
      <c r="B1205" s="31"/>
      <c r="C1205" s="31"/>
      <c r="D1205" s="31"/>
      <c r="E1205" s="31"/>
      <c r="F1205" s="31"/>
      <c r="G1205" s="31"/>
      <c r="H1205" s="31"/>
      <c r="I1205" s="31"/>
      <c r="J1205" s="31"/>
      <c r="K1205" s="31"/>
      <c r="L1205" s="31"/>
      <c r="M1205" s="31"/>
      <c r="N1205" s="31"/>
      <c r="O1205" s="32"/>
      <c r="P1205" s="31"/>
      <c r="Q1205" s="31"/>
      <c r="R1205" s="31"/>
      <c r="S1205" s="34"/>
    </row>
    <row r="1206" spans="1:19" ht="15.6" thickTop="1" thickBot="1" x14ac:dyDescent="0.35">
      <c r="A1206" s="39"/>
      <c r="B1206" s="29"/>
      <c r="C1206" s="29"/>
      <c r="D1206" s="29"/>
      <c r="E1206" s="29"/>
      <c r="F1206" s="29"/>
      <c r="G1206" s="29"/>
      <c r="H1206" s="29"/>
      <c r="I1206" s="29"/>
      <c r="J1206" s="29"/>
      <c r="K1206" s="29"/>
      <c r="L1206" s="29"/>
      <c r="M1206" s="29"/>
      <c r="N1206" s="29"/>
      <c r="O1206" s="30"/>
      <c r="P1206" s="29"/>
      <c r="Q1206" s="29"/>
      <c r="R1206" s="29"/>
      <c r="S1206" s="33"/>
    </row>
    <row r="1207" spans="1:19" ht="15.6" thickTop="1" thickBot="1" x14ac:dyDescent="0.35">
      <c r="A1207" s="39"/>
      <c r="B1207" s="31"/>
      <c r="C1207" s="31"/>
      <c r="D1207" s="31"/>
      <c r="E1207" s="31"/>
      <c r="F1207" s="31"/>
      <c r="G1207" s="31"/>
      <c r="H1207" s="31"/>
      <c r="I1207" s="31"/>
      <c r="J1207" s="31"/>
      <c r="K1207" s="31"/>
      <c r="L1207" s="31"/>
      <c r="M1207" s="31"/>
      <c r="N1207" s="31"/>
      <c r="O1207" s="32"/>
      <c r="P1207" s="31"/>
      <c r="Q1207" s="31"/>
      <c r="R1207" s="31"/>
      <c r="S1207" s="34"/>
    </row>
    <row r="1208" spans="1:19" ht="15.6" thickTop="1" thickBot="1" x14ac:dyDescent="0.35">
      <c r="A1208" s="39"/>
      <c r="B1208" s="29"/>
      <c r="C1208" s="29"/>
      <c r="D1208" s="29"/>
      <c r="E1208" s="29"/>
      <c r="F1208" s="29"/>
      <c r="G1208" s="29"/>
      <c r="H1208" s="29"/>
      <c r="I1208" s="29"/>
      <c r="J1208" s="29"/>
      <c r="K1208" s="29"/>
      <c r="L1208" s="29"/>
      <c r="M1208" s="29"/>
      <c r="N1208" s="29"/>
      <c r="O1208" s="30"/>
      <c r="P1208" s="29"/>
      <c r="Q1208" s="29"/>
      <c r="R1208" s="29"/>
      <c r="S1208" s="33"/>
    </row>
    <row r="1209" spans="1:19" ht="15.6" thickTop="1" thickBot="1" x14ac:dyDescent="0.35">
      <c r="A1209" s="39"/>
      <c r="B1209" s="31"/>
      <c r="C1209" s="31"/>
      <c r="D1209" s="31"/>
      <c r="E1209" s="31"/>
      <c r="F1209" s="31"/>
      <c r="G1209" s="31"/>
      <c r="H1209" s="31"/>
      <c r="I1209" s="31"/>
      <c r="J1209" s="31"/>
      <c r="K1209" s="31"/>
      <c r="L1209" s="31"/>
      <c r="M1209" s="31"/>
      <c r="N1209" s="31"/>
      <c r="O1209" s="32"/>
      <c r="P1209" s="31"/>
      <c r="Q1209" s="31"/>
      <c r="R1209" s="31"/>
      <c r="S1209" s="34"/>
    </row>
    <row r="1210" spans="1:19" ht="15.6" thickTop="1" thickBot="1" x14ac:dyDescent="0.35">
      <c r="A1210" s="39"/>
      <c r="B1210" s="29"/>
      <c r="C1210" s="29"/>
      <c r="D1210" s="29"/>
      <c r="E1210" s="29"/>
      <c r="F1210" s="29"/>
      <c r="G1210" s="29"/>
      <c r="H1210" s="29"/>
      <c r="I1210" s="29"/>
      <c r="J1210" s="29"/>
      <c r="K1210" s="29"/>
      <c r="L1210" s="29"/>
      <c r="M1210" s="29"/>
      <c r="N1210" s="29"/>
      <c r="O1210" s="30"/>
      <c r="P1210" s="29"/>
      <c r="Q1210" s="29"/>
      <c r="R1210" s="29"/>
      <c r="S1210" s="33"/>
    </row>
    <row r="1211" spans="1:19" ht="15.6" thickTop="1" thickBot="1" x14ac:dyDescent="0.35">
      <c r="A1211" s="39"/>
      <c r="B1211" s="31"/>
      <c r="C1211" s="31"/>
      <c r="D1211" s="31"/>
      <c r="E1211" s="31"/>
      <c r="F1211" s="31"/>
      <c r="G1211" s="31"/>
      <c r="H1211" s="31"/>
      <c r="I1211" s="31"/>
      <c r="J1211" s="31"/>
      <c r="K1211" s="31"/>
      <c r="L1211" s="31"/>
      <c r="M1211" s="31"/>
      <c r="N1211" s="31"/>
      <c r="O1211" s="32"/>
      <c r="P1211" s="31"/>
      <c r="Q1211" s="31"/>
      <c r="R1211" s="31"/>
      <c r="S1211" s="34"/>
    </row>
    <row r="1212" spans="1:19" ht="15.6" thickTop="1" thickBot="1" x14ac:dyDescent="0.35">
      <c r="A1212" s="39"/>
      <c r="B1212" s="29"/>
      <c r="C1212" s="29"/>
      <c r="D1212" s="29"/>
      <c r="E1212" s="29"/>
      <c r="F1212" s="29"/>
      <c r="G1212" s="29"/>
      <c r="H1212" s="29"/>
      <c r="I1212" s="29"/>
      <c r="J1212" s="29"/>
      <c r="K1212" s="29"/>
      <c r="L1212" s="29"/>
      <c r="M1212" s="29"/>
      <c r="N1212" s="29"/>
      <c r="O1212" s="30"/>
      <c r="P1212" s="29"/>
      <c r="Q1212" s="29"/>
      <c r="R1212" s="29"/>
      <c r="S1212" s="33"/>
    </row>
    <row r="1213" spans="1:19" ht="15.6" thickTop="1" thickBot="1" x14ac:dyDescent="0.35">
      <c r="A1213" s="39"/>
      <c r="B1213" s="31"/>
      <c r="C1213" s="31"/>
      <c r="D1213" s="31"/>
      <c r="E1213" s="31"/>
      <c r="F1213" s="31"/>
      <c r="G1213" s="31"/>
      <c r="H1213" s="31"/>
      <c r="I1213" s="31"/>
      <c r="J1213" s="31"/>
      <c r="K1213" s="31"/>
      <c r="L1213" s="31"/>
      <c r="M1213" s="31"/>
      <c r="N1213" s="31"/>
      <c r="O1213" s="32"/>
      <c r="P1213" s="31"/>
      <c r="Q1213" s="31"/>
      <c r="R1213" s="31"/>
      <c r="S1213" s="34"/>
    </row>
    <row r="1214" spans="1:19" ht="15.6" thickTop="1" thickBot="1" x14ac:dyDescent="0.35">
      <c r="A1214" s="39"/>
      <c r="B1214" s="29"/>
      <c r="C1214" s="29"/>
      <c r="D1214" s="29"/>
      <c r="E1214" s="29"/>
      <c r="F1214" s="29"/>
      <c r="G1214" s="29"/>
      <c r="H1214" s="29"/>
      <c r="I1214" s="29"/>
      <c r="J1214" s="29"/>
      <c r="K1214" s="29"/>
      <c r="L1214" s="29"/>
      <c r="M1214" s="29"/>
      <c r="N1214" s="29"/>
      <c r="O1214" s="30"/>
      <c r="P1214" s="29"/>
      <c r="Q1214" s="29"/>
      <c r="R1214" s="29"/>
      <c r="S1214" s="33"/>
    </row>
    <row r="1215" spans="1:19" ht="15.6" thickTop="1" thickBot="1" x14ac:dyDescent="0.35">
      <c r="A1215" s="39"/>
      <c r="B1215" s="31"/>
      <c r="C1215" s="31"/>
      <c r="D1215" s="31"/>
      <c r="E1215" s="31"/>
      <c r="F1215" s="31"/>
      <c r="G1215" s="31"/>
      <c r="H1215" s="31"/>
      <c r="I1215" s="31"/>
      <c r="J1215" s="31"/>
      <c r="K1215" s="31"/>
      <c r="L1215" s="31"/>
      <c r="M1215" s="31"/>
      <c r="N1215" s="31"/>
      <c r="O1215" s="32"/>
      <c r="P1215" s="31"/>
      <c r="Q1215" s="31"/>
      <c r="R1215" s="31"/>
      <c r="S1215" s="34"/>
    </row>
    <row r="1216" spans="1:19" ht="15.6" thickTop="1" thickBot="1" x14ac:dyDescent="0.35">
      <c r="A1216" s="39"/>
      <c r="B1216" s="29"/>
      <c r="C1216" s="29"/>
      <c r="D1216" s="29"/>
      <c r="E1216" s="29"/>
      <c r="F1216" s="29"/>
      <c r="G1216" s="29"/>
      <c r="H1216" s="29"/>
      <c r="I1216" s="29"/>
      <c r="J1216" s="29"/>
      <c r="K1216" s="29"/>
      <c r="L1216" s="29"/>
      <c r="M1216" s="29"/>
      <c r="N1216" s="29"/>
      <c r="O1216" s="30"/>
      <c r="P1216" s="29"/>
      <c r="Q1216" s="29"/>
      <c r="R1216" s="29"/>
      <c r="S1216" s="33"/>
    </row>
    <row r="1217" spans="1:19" ht="15.6" thickTop="1" thickBot="1" x14ac:dyDescent="0.35">
      <c r="A1217" s="39"/>
      <c r="B1217" s="31"/>
      <c r="C1217" s="31"/>
      <c r="D1217" s="31"/>
      <c r="E1217" s="31"/>
      <c r="F1217" s="31"/>
      <c r="G1217" s="31"/>
      <c r="H1217" s="31"/>
      <c r="I1217" s="31"/>
      <c r="J1217" s="31"/>
      <c r="K1217" s="31"/>
      <c r="L1217" s="31"/>
      <c r="M1217" s="31"/>
      <c r="N1217" s="31"/>
      <c r="O1217" s="32"/>
      <c r="P1217" s="31"/>
      <c r="Q1217" s="31"/>
      <c r="R1217" s="31"/>
      <c r="S1217" s="34"/>
    </row>
    <row r="1218" spans="1:19" ht="15.6" thickTop="1" thickBot="1" x14ac:dyDescent="0.35">
      <c r="A1218" s="39"/>
      <c r="B1218" s="29"/>
      <c r="C1218" s="29"/>
      <c r="D1218" s="29"/>
      <c r="E1218" s="29"/>
      <c r="F1218" s="29"/>
      <c r="G1218" s="29"/>
      <c r="H1218" s="29"/>
      <c r="I1218" s="29"/>
      <c r="J1218" s="29"/>
      <c r="K1218" s="29"/>
      <c r="L1218" s="29"/>
      <c r="M1218" s="29"/>
      <c r="N1218" s="29"/>
      <c r="O1218" s="30"/>
      <c r="P1218" s="29"/>
      <c r="Q1218" s="29"/>
      <c r="R1218" s="29"/>
      <c r="S1218" s="33"/>
    </row>
    <row r="1219" spans="1:19" ht="15.6" thickTop="1" thickBot="1" x14ac:dyDescent="0.35">
      <c r="A1219" s="39"/>
      <c r="B1219" s="31"/>
      <c r="C1219" s="31"/>
      <c r="D1219" s="31"/>
      <c r="E1219" s="31"/>
      <c r="F1219" s="31"/>
      <c r="G1219" s="31"/>
      <c r="H1219" s="31"/>
      <c r="I1219" s="31"/>
      <c r="J1219" s="31"/>
      <c r="K1219" s="31"/>
      <c r="L1219" s="31"/>
      <c r="M1219" s="31"/>
      <c r="N1219" s="31"/>
      <c r="O1219" s="32"/>
      <c r="P1219" s="31"/>
      <c r="Q1219" s="31"/>
      <c r="R1219" s="31"/>
      <c r="S1219" s="34"/>
    </row>
    <row r="1220" spans="1:19" ht="15.6" thickTop="1" thickBot="1" x14ac:dyDescent="0.35">
      <c r="A1220" s="39"/>
      <c r="B1220" s="29"/>
      <c r="C1220" s="29"/>
      <c r="D1220" s="29"/>
      <c r="E1220" s="29"/>
      <c r="F1220" s="29"/>
      <c r="G1220" s="29"/>
      <c r="H1220" s="29"/>
      <c r="I1220" s="29"/>
      <c r="J1220" s="29"/>
      <c r="K1220" s="29"/>
      <c r="L1220" s="29"/>
      <c r="M1220" s="29"/>
      <c r="N1220" s="29"/>
      <c r="O1220" s="30"/>
      <c r="P1220" s="29"/>
      <c r="Q1220" s="29"/>
      <c r="R1220" s="29"/>
      <c r="S1220" s="33"/>
    </row>
    <row r="1221" spans="1:19" ht="15.6" thickTop="1" thickBot="1" x14ac:dyDescent="0.35">
      <c r="A1221" s="39"/>
      <c r="B1221" s="31"/>
      <c r="C1221" s="31"/>
      <c r="D1221" s="31"/>
      <c r="E1221" s="31"/>
      <c r="F1221" s="31"/>
      <c r="G1221" s="31"/>
      <c r="H1221" s="31"/>
      <c r="I1221" s="31"/>
      <c r="J1221" s="31"/>
      <c r="K1221" s="31"/>
      <c r="L1221" s="31"/>
      <c r="M1221" s="31"/>
      <c r="N1221" s="31"/>
      <c r="O1221" s="32"/>
      <c r="P1221" s="31"/>
      <c r="Q1221" s="31"/>
      <c r="R1221" s="31"/>
      <c r="S1221" s="34"/>
    </row>
    <row r="1222" spans="1:19" ht="15.6" thickTop="1" thickBot="1" x14ac:dyDescent="0.35">
      <c r="A1222" s="39"/>
      <c r="B1222" s="29"/>
      <c r="C1222" s="29"/>
      <c r="D1222" s="29"/>
      <c r="E1222" s="29"/>
      <c r="F1222" s="29"/>
      <c r="G1222" s="29"/>
      <c r="H1222" s="29"/>
      <c r="I1222" s="29"/>
      <c r="J1222" s="29"/>
      <c r="K1222" s="29"/>
      <c r="L1222" s="29"/>
      <c r="M1222" s="29"/>
      <c r="N1222" s="29"/>
      <c r="O1222" s="30"/>
      <c r="P1222" s="29"/>
      <c r="Q1222" s="29"/>
      <c r="R1222" s="29"/>
      <c r="S1222" s="33"/>
    </row>
    <row r="1223" spans="1:19" ht="15.6" thickTop="1" thickBot="1" x14ac:dyDescent="0.35">
      <c r="A1223" s="39"/>
      <c r="B1223" s="31"/>
      <c r="C1223" s="31"/>
      <c r="D1223" s="31"/>
      <c r="E1223" s="31"/>
      <c r="F1223" s="31"/>
      <c r="G1223" s="31"/>
      <c r="H1223" s="31"/>
      <c r="I1223" s="31"/>
      <c r="J1223" s="31"/>
      <c r="K1223" s="31"/>
      <c r="L1223" s="31"/>
      <c r="M1223" s="31"/>
      <c r="N1223" s="31"/>
      <c r="O1223" s="32"/>
      <c r="P1223" s="31"/>
      <c r="Q1223" s="31"/>
      <c r="R1223" s="31"/>
      <c r="S1223" s="34"/>
    </row>
    <row r="1224" spans="1:19" ht="15.6" thickTop="1" thickBot="1" x14ac:dyDescent="0.35">
      <c r="A1224" s="39"/>
      <c r="B1224" s="29"/>
      <c r="C1224" s="29"/>
      <c r="D1224" s="29"/>
      <c r="E1224" s="29"/>
      <c r="F1224" s="29"/>
      <c r="G1224" s="29"/>
      <c r="H1224" s="29"/>
      <c r="I1224" s="29"/>
      <c r="J1224" s="29"/>
      <c r="K1224" s="29"/>
      <c r="L1224" s="29"/>
      <c r="M1224" s="29"/>
      <c r="N1224" s="29"/>
      <c r="O1224" s="30"/>
      <c r="P1224" s="29"/>
      <c r="Q1224" s="29"/>
      <c r="R1224" s="29"/>
      <c r="S1224" s="33"/>
    </row>
    <row r="1225" spans="1:19" ht="15.6" thickTop="1" thickBot="1" x14ac:dyDescent="0.35">
      <c r="A1225" s="39"/>
      <c r="B1225" s="31"/>
      <c r="C1225" s="31"/>
      <c r="D1225" s="31"/>
      <c r="E1225" s="31"/>
      <c r="F1225" s="31"/>
      <c r="G1225" s="31"/>
      <c r="H1225" s="31"/>
      <c r="I1225" s="31"/>
      <c r="J1225" s="31"/>
      <c r="K1225" s="31"/>
      <c r="L1225" s="31"/>
      <c r="M1225" s="31"/>
      <c r="N1225" s="31"/>
      <c r="O1225" s="32"/>
      <c r="P1225" s="31"/>
      <c r="Q1225" s="31"/>
      <c r="R1225" s="31"/>
      <c r="S1225" s="34"/>
    </row>
    <row r="1226" spans="1:19" ht="15.6" thickTop="1" thickBot="1" x14ac:dyDescent="0.35">
      <c r="A1226" s="39"/>
      <c r="B1226" s="29"/>
      <c r="C1226" s="29"/>
      <c r="D1226" s="29"/>
      <c r="E1226" s="29"/>
      <c r="F1226" s="29"/>
      <c r="G1226" s="29"/>
      <c r="H1226" s="29"/>
      <c r="I1226" s="29"/>
      <c r="J1226" s="29"/>
      <c r="K1226" s="29"/>
      <c r="L1226" s="29"/>
      <c r="M1226" s="29"/>
      <c r="N1226" s="29"/>
      <c r="O1226" s="30"/>
      <c r="P1226" s="29"/>
      <c r="Q1226" s="29"/>
      <c r="R1226" s="29"/>
      <c r="S1226" s="33"/>
    </row>
    <row r="1227" spans="1:19" ht="15.6" thickTop="1" thickBot="1" x14ac:dyDescent="0.35">
      <c r="A1227" s="39"/>
      <c r="B1227" s="31"/>
      <c r="C1227" s="31"/>
      <c r="D1227" s="31"/>
      <c r="E1227" s="31"/>
      <c r="F1227" s="31"/>
      <c r="G1227" s="31"/>
      <c r="H1227" s="31"/>
      <c r="I1227" s="31"/>
      <c r="J1227" s="31"/>
      <c r="K1227" s="31"/>
      <c r="L1227" s="31"/>
      <c r="M1227" s="31"/>
      <c r="N1227" s="31"/>
      <c r="O1227" s="32"/>
      <c r="P1227" s="31"/>
      <c r="Q1227" s="31"/>
      <c r="R1227" s="31"/>
      <c r="S1227" s="34"/>
    </row>
    <row r="1228" spans="1:19" ht="15.6" thickTop="1" thickBot="1" x14ac:dyDescent="0.35">
      <c r="A1228" s="39"/>
      <c r="B1228" s="29"/>
      <c r="C1228" s="29"/>
      <c r="D1228" s="29"/>
      <c r="E1228" s="29"/>
      <c r="F1228" s="29"/>
      <c r="G1228" s="29"/>
      <c r="H1228" s="29"/>
      <c r="I1228" s="29"/>
      <c r="J1228" s="29"/>
      <c r="K1228" s="29"/>
      <c r="L1228" s="29"/>
      <c r="M1228" s="29"/>
      <c r="N1228" s="29"/>
      <c r="O1228" s="30"/>
      <c r="P1228" s="29"/>
      <c r="Q1228" s="29"/>
      <c r="R1228" s="29"/>
      <c r="S1228" s="33"/>
    </row>
    <row r="1229" spans="1:19" ht="15.6" thickTop="1" thickBot="1" x14ac:dyDescent="0.35">
      <c r="A1229" s="39"/>
      <c r="B1229" s="31"/>
      <c r="C1229" s="31"/>
      <c r="D1229" s="31"/>
      <c r="E1229" s="31"/>
      <c r="F1229" s="31"/>
      <c r="G1229" s="31"/>
      <c r="H1229" s="31"/>
      <c r="I1229" s="31"/>
      <c r="J1229" s="31"/>
      <c r="K1229" s="31"/>
      <c r="L1229" s="31"/>
      <c r="M1229" s="31"/>
      <c r="N1229" s="31"/>
      <c r="O1229" s="32"/>
      <c r="P1229" s="31"/>
      <c r="Q1229" s="31"/>
      <c r="R1229" s="31"/>
      <c r="S1229" s="34"/>
    </row>
    <row r="1230" spans="1:19" ht="15.6" thickTop="1" thickBot="1" x14ac:dyDescent="0.35">
      <c r="A1230" s="39"/>
      <c r="B1230" s="29"/>
      <c r="C1230" s="29"/>
      <c r="D1230" s="29"/>
      <c r="E1230" s="29"/>
      <c r="F1230" s="29"/>
      <c r="G1230" s="29"/>
      <c r="H1230" s="29"/>
      <c r="I1230" s="29"/>
      <c r="J1230" s="29"/>
      <c r="K1230" s="29"/>
      <c r="L1230" s="29"/>
      <c r="M1230" s="29"/>
      <c r="N1230" s="29"/>
      <c r="O1230" s="30"/>
      <c r="P1230" s="29"/>
      <c r="Q1230" s="29"/>
      <c r="R1230" s="29"/>
      <c r="S1230" s="33"/>
    </row>
    <row r="1231" spans="1:19" ht="15.6" thickTop="1" thickBot="1" x14ac:dyDescent="0.35">
      <c r="A1231" s="39"/>
      <c r="B1231" s="31"/>
      <c r="C1231" s="31"/>
      <c r="D1231" s="31"/>
      <c r="E1231" s="31"/>
      <c r="F1231" s="31"/>
      <c r="G1231" s="31"/>
      <c r="H1231" s="31"/>
      <c r="I1231" s="31"/>
      <c r="J1231" s="31"/>
      <c r="K1231" s="31"/>
      <c r="L1231" s="31"/>
      <c r="M1231" s="31"/>
      <c r="N1231" s="31"/>
      <c r="O1231" s="32"/>
      <c r="P1231" s="31"/>
      <c r="Q1231" s="31"/>
      <c r="R1231" s="31"/>
      <c r="S1231" s="34"/>
    </row>
    <row r="1232" spans="1:19" ht="15.6" thickTop="1" thickBot="1" x14ac:dyDescent="0.35">
      <c r="A1232" s="39"/>
      <c r="B1232" s="29"/>
      <c r="C1232" s="29"/>
      <c r="D1232" s="29"/>
      <c r="E1232" s="29"/>
      <c r="F1232" s="29"/>
      <c r="G1232" s="29"/>
      <c r="H1232" s="29"/>
      <c r="I1232" s="29"/>
      <c r="J1232" s="29"/>
      <c r="K1232" s="29"/>
      <c r="L1232" s="29"/>
      <c r="M1232" s="29"/>
      <c r="N1232" s="29"/>
      <c r="O1232" s="30"/>
      <c r="P1232" s="29"/>
      <c r="Q1232" s="29"/>
      <c r="R1232" s="29"/>
      <c r="S1232" s="33"/>
    </row>
    <row r="1233" spans="1:19" ht="15.6" thickTop="1" thickBot="1" x14ac:dyDescent="0.35">
      <c r="A1233" s="39"/>
      <c r="B1233" s="31"/>
      <c r="C1233" s="31"/>
      <c r="D1233" s="31"/>
      <c r="E1233" s="31"/>
      <c r="F1233" s="31"/>
      <c r="G1233" s="31"/>
      <c r="H1233" s="31"/>
      <c r="I1233" s="31"/>
      <c r="J1233" s="31"/>
      <c r="K1233" s="31"/>
      <c r="L1233" s="31"/>
      <c r="M1233" s="31"/>
      <c r="N1233" s="31"/>
      <c r="O1233" s="32"/>
      <c r="P1233" s="31"/>
      <c r="Q1233" s="31"/>
      <c r="R1233" s="31"/>
      <c r="S1233" s="34"/>
    </row>
    <row r="1234" spans="1:19" ht="15.6" thickTop="1" thickBot="1" x14ac:dyDescent="0.35">
      <c r="A1234" s="39"/>
      <c r="B1234" s="29"/>
      <c r="C1234" s="29"/>
      <c r="D1234" s="29"/>
      <c r="E1234" s="29"/>
      <c r="F1234" s="29"/>
      <c r="G1234" s="29"/>
      <c r="H1234" s="29"/>
      <c r="I1234" s="29"/>
      <c r="J1234" s="29"/>
      <c r="K1234" s="29"/>
      <c r="L1234" s="29"/>
      <c r="M1234" s="29"/>
      <c r="N1234" s="29"/>
      <c r="O1234" s="30"/>
      <c r="P1234" s="29"/>
      <c r="Q1234" s="29"/>
      <c r="R1234" s="29"/>
      <c r="S1234" s="33"/>
    </row>
    <row r="1235" spans="1:19" ht="15.6" thickTop="1" thickBot="1" x14ac:dyDescent="0.35">
      <c r="A1235" s="39"/>
      <c r="B1235" s="31"/>
      <c r="C1235" s="31"/>
      <c r="D1235" s="31"/>
      <c r="E1235" s="31"/>
      <c r="F1235" s="31"/>
      <c r="G1235" s="31"/>
      <c r="H1235" s="31"/>
      <c r="I1235" s="31"/>
      <c r="J1235" s="31"/>
      <c r="K1235" s="31"/>
      <c r="L1235" s="31"/>
      <c r="M1235" s="31"/>
      <c r="N1235" s="31"/>
      <c r="O1235" s="32"/>
      <c r="P1235" s="31"/>
      <c r="Q1235" s="31"/>
      <c r="R1235" s="31"/>
      <c r="S1235" s="34"/>
    </row>
    <row r="1236" spans="1:19" ht="15.6" thickTop="1" thickBot="1" x14ac:dyDescent="0.35">
      <c r="A1236" s="39"/>
      <c r="B1236" s="29"/>
      <c r="C1236" s="29"/>
      <c r="D1236" s="29"/>
      <c r="E1236" s="29"/>
      <c r="F1236" s="29"/>
      <c r="G1236" s="29"/>
      <c r="H1236" s="29"/>
      <c r="I1236" s="29"/>
      <c r="J1236" s="29"/>
      <c r="K1236" s="29"/>
      <c r="L1236" s="29"/>
      <c r="M1236" s="29"/>
      <c r="N1236" s="29"/>
      <c r="O1236" s="30"/>
      <c r="P1236" s="29"/>
      <c r="Q1236" s="29"/>
      <c r="R1236" s="29"/>
      <c r="S1236" s="33"/>
    </row>
    <row r="1237" spans="1:19" ht="15.6" thickTop="1" thickBot="1" x14ac:dyDescent="0.35">
      <c r="A1237" s="39"/>
      <c r="B1237" s="31"/>
      <c r="C1237" s="31"/>
      <c r="D1237" s="31"/>
      <c r="E1237" s="31"/>
      <c r="F1237" s="31"/>
      <c r="G1237" s="31"/>
      <c r="H1237" s="31"/>
      <c r="I1237" s="31"/>
      <c r="J1237" s="31"/>
      <c r="K1237" s="31"/>
      <c r="L1237" s="31"/>
      <c r="M1237" s="31"/>
      <c r="N1237" s="31"/>
      <c r="O1237" s="32"/>
      <c r="P1237" s="31"/>
      <c r="Q1237" s="31"/>
      <c r="R1237" s="31"/>
      <c r="S1237" s="34"/>
    </row>
    <row r="1238" spans="1:19" ht="15.6" thickTop="1" thickBot="1" x14ac:dyDescent="0.35">
      <c r="A1238" s="39"/>
      <c r="B1238" s="29"/>
      <c r="C1238" s="29"/>
      <c r="D1238" s="29"/>
      <c r="E1238" s="29"/>
      <c r="F1238" s="29"/>
      <c r="G1238" s="29"/>
      <c r="H1238" s="29"/>
      <c r="I1238" s="29"/>
      <c r="J1238" s="29"/>
      <c r="K1238" s="29"/>
      <c r="L1238" s="29"/>
      <c r="M1238" s="29"/>
      <c r="N1238" s="29"/>
      <c r="O1238" s="30"/>
      <c r="P1238" s="29"/>
      <c r="Q1238" s="29"/>
      <c r="R1238" s="29"/>
      <c r="S1238" s="33"/>
    </row>
    <row r="1239" spans="1:19" ht="15.6" thickTop="1" thickBot="1" x14ac:dyDescent="0.35">
      <c r="A1239" s="39"/>
      <c r="B1239" s="31"/>
      <c r="C1239" s="31"/>
      <c r="D1239" s="31"/>
      <c r="E1239" s="31"/>
      <c r="F1239" s="31"/>
      <c r="G1239" s="31"/>
      <c r="H1239" s="31"/>
      <c r="I1239" s="31"/>
      <c r="J1239" s="31"/>
      <c r="K1239" s="31"/>
      <c r="L1239" s="31"/>
      <c r="M1239" s="31"/>
      <c r="N1239" s="31"/>
      <c r="O1239" s="32"/>
      <c r="P1239" s="31"/>
      <c r="Q1239" s="31"/>
      <c r="R1239" s="31"/>
      <c r="S1239" s="34"/>
    </row>
    <row r="1240" spans="1:19" ht="15.6" thickTop="1" thickBot="1" x14ac:dyDescent="0.35">
      <c r="A1240" s="39"/>
      <c r="B1240" s="29"/>
      <c r="C1240" s="29"/>
      <c r="D1240" s="29"/>
      <c r="E1240" s="29"/>
      <c r="F1240" s="29"/>
      <c r="G1240" s="29"/>
      <c r="H1240" s="29"/>
      <c r="I1240" s="29"/>
      <c r="J1240" s="29"/>
      <c r="K1240" s="29"/>
      <c r="L1240" s="29"/>
      <c r="M1240" s="29"/>
      <c r="N1240" s="29"/>
      <c r="O1240" s="30"/>
      <c r="P1240" s="29"/>
      <c r="Q1240" s="29"/>
      <c r="R1240" s="29"/>
      <c r="S1240" s="33"/>
    </row>
    <row r="1241" spans="1:19" ht="15.6" thickTop="1" thickBot="1" x14ac:dyDescent="0.35">
      <c r="A1241" s="39"/>
      <c r="B1241" s="31"/>
      <c r="C1241" s="31"/>
      <c r="D1241" s="31"/>
      <c r="E1241" s="31"/>
      <c r="F1241" s="31"/>
      <c r="G1241" s="31"/>
      <c r="H1241" s="31"/>
      <c r="I1241" s="31"/>
      <c r="J1241" s="31"/>
      <c r="K1241" s="31"/>
      <c r="L1241" s="31"/>
      <c r="M1241" s="31"/>
      <c r="N1241" s="31"/>
      <c r="O1241" s="32"/>
      <c r="P1241" s="31"/>
      <c r="Q1241" s="31"/>
      <c r="R1241" s="31"/>
      <c r="S1241" s="34"/>
    </row>
    <row r="1242" spans="1:19" ht="15.6" thickTop="1" thickBot="1" x14ac:dyDescent="0.35">
      <c r="A1242" s="39"/>
      <c r="B1242" s="29"/>
      <c r="C1242" s="29"/>
      <c r="D1242" s="29"/>
      <c r="E1242" s="29"/>
      <c r="F1242" s="29"/>
      <c r="G1242" s="29"/>
      <c r="H1242" s="29"/>
      <c r="I1242" s="29"/>
      <c r="J1242" s="29"/>
      <c r="K1242" s="29"/>
      <c r="L1242" s="29"/>
      <c r="M1242" s="29"/>
      <c r="N1242" s="29"/>
      <c r="O1242" s="30"/>
      <c r="P1242" s="29"/>
      <c r="Q1242" s="29"/>
      <c r="R1242" s="29"/>
      <c r="S1242" s="33"/>
    </row>
    <row r="1243" spans="1:19" ht="15.6" thickTop="1" thickBot="1" x14ac:dyDescent="0.35">
      <c r="A1243" s="39"/>
      <c r="B1243" s="31"/>
      <c r="C1243" s="31"/>
      <c r="D1243" s="31"/>
      <c r="E1243" s="31"/>
      <c r="F1243" s="31"/>
      <c r="G1243" s="31"/>
      <c r="H1243" s="31"/>
      <c r="I1243" s="31"/>
      <c r="J1243" s="31"/>
      <c r="K1243" s="31"/>
      <c r="L1243" s="31"/>
      <c r="M1243" s="31"/>
      <c r="N1243" s="31"/>
      <c r="O1243" s="32"/>
      <c r="P1243" s="31"/>
      <c r="Q1243" s="31"/>
      <c r="R1243" s="31"/>
      <c r="S1243" s="34"/>
    </row>
    <row r="1244" spans="1:19" ht="15.6" thickTop="1" thickBot="1" x14ac:dyDescent="0.35">
      <c r="A1244" s="39"/>
      <c r="B1244" s="29"/>
      <c r="C1244" s="29"/>
      <c r="D1244" s="29"/>
      <c r="E1244" s="29"/>
      <c r="F1244" s="29"/>
      <c r="G1244" s="29"/>
      <c r="H1244" s="29"/>
      <c r="I1244" s="29"/>
      <c r="J1244" s="29"/>
      <c r="K1244" s="29"/>
      <c r="L1244" s="29"/>
      <c r="M1244" s="29"/>
      <c r="N1244" s="29"/>
      <c r="O1244" s="30"/>
      <c r="P1244" s="29"/>
      <c r="Q1244" s="29"/>
      <c r="R1244" s="29"/>
      <c r="S1244" s="33"/>
    </row>
    <row r="1245" spans="1:19" ht="15.6" thickTop="1" thickBot="1" x14ac:dyDescent="0.35">
      <c r="A1245" s="39"/>
      <c r="B1245" s="31"/>
      <c r="C1245" s="31"/>
      <c r="D1245" s="31"/>
      <c r="E1245" s="31"/>
      <c r="F1245" s="31"/>
      <c r="G1245" s="31"/>
      <c r="H1245" s="31"/>
      <c r="I1245" s="31"/>
      <c r="J1245" s="31"/>
      <c r="K1245" s="31"/>
      <c r="L1245" s="31"/>
      <c r="M1245" s="31"/>
      <c r="N1245" s="31"/>
      <c r="O1245" s="32"/>
      <c r="P1245" s="31"/>
      <c r="Q1245" s="31"/>
      <c r="R1245" s="31"/>
      <c r="S1245" s="34"/>
    </row>
    <row r="1246" spans="1:19" ht="15.6" thickTop="1" thickBot="1" x14ac:dyDescent="0.35">
      <c r="A1246" s="39"/>
      <c r="B1246" s="29"/>
      <c r="C1246" s="29"/>
      <c r="D1246" s="29"/>
      <c r="E1246" s="29"/>
      <c r="F1246" s="29"/>
      <c r="G1246" s="29"/>
      <c r="H1246" s="29"/>
      <c r="I1246" s="29"/>
      <c r="J1246" s="29"/>
      <c r="K1246" s="29"/>
      <c r="L1246" s="29"/>
      <c r="M1246" s="29"/>
      <c r="N1246" s="29"/>
      <c r="O1246" s="30"/>
      <c r="P1246" s="29"/>
      <c r="Q1246" s="29"/>
      <c r="R1246" s="29"/>
      <c r="S1246" s="33"/>
    </row>
    <row r="1247" spans="1:19" ht="15.6" thickTop="1" thickBot="1" x14ac:dyDescent="0.35">
      <c r="A1247" s="39"/>
      <c r="B1247" s="31"/>
      <c r="C1247" s="31"/>
      <c r="D1247" s="31"/>
      <c r="E1247" s="31"/>
      <c r="F1247" s="31"/>
      <c r="G1247" s="31"/>
      <c r="H1247" s="31"/>
      <c r="I1247" s="31"/>
      <c r="J1247" s="31"/>
      <c r="K1247" s="31"/>
      <c r="L1247" s="31"/>
      <c r="M1247" s="31"/>
      <c r="N1247" s="31"/>
      <c r="O1247" s="32"/>
      <c r="P1247" s="31"/>
      <c r="Q1247" s="31"/>
      <c r="R1247" s="31"/>
      <c r="S1247" s="34"/>
    </row>
    <row r="1248" spans="1:19" ht="15.6" thickTop="1" thickBot="1" x14ac:dyDescent="0.35">
      <c r="A1248" s="39"/>
      <c r="B1248" s="29"/>
      <c r="C1248" s="29"/>
      <c r="D1248" s="29"/>
      <c r="E1248" s="29"/>
      <c r="F1248" s="29"/>
      <c r="G1248" s="29"/>
      <c r="H1248" s="29"/>
      <c r="I1248" s="29"/>
      <c r="J1248" s="29"/>
      <c r="K1248" s="29"/>
      <c r="L1248" s="29"/>
      <c r="M1248" s="29"/>
      <c r="N1248" s="29"/>
      <c r="O1248" s="30"/>
      <c r="P1248" s="29"/>
      <c r="Q1248" s="29"/>
      <c r="R1248" s="29"/>
      <c r="S1248" s="33"/>
    </row>
    <row r="1249" spans="1:19" ht="15.6" thickTop="1" thickBot="1" x14ac:dyDescent="0.35">
      <c r="A1249" s="39"/>
      <c r="B1249" s="31"/>
      <c r="C1249" s="31"/>
      <c r="D1249" s="31"/>
      <c r="E1249" s="31"/>
      <c r="F1249" s="31"/>
      <c r="G1249" s="31"/>
      <c r="H1249" s="31"/>
      <c r="I1249" s="31"/>
      <c r="J1249" s="31"/>
      <c r="K1249" s="31"/>
      <c r="L1249" s="31"/>
      <c r="M1249" s="31"/>
      <c r="N1249" s="31"/>
      <c r="O1249" s="32"/>
      <c r="P1249" s="31"/>
      <c r="Q1249" s="31"/>
      <c r="R1249" s="31"/>
      <c r="S1249" s="34"/>
    </row>
    <row r="1250" spans="1:19" ht="15.6" thickTop="1" thickBot="1" x14ac:dyDescent="0.35">
      <c r="A1250" s="39"/>
      <c r="B1250" s="29"/>
      <c r="C1250" s="29"/>
      <c r="D1250" s="29"/>
      <c r="E1250" s="29"/>
      <c r="F1250" s="29"/>
      <c r="G1250" s="29"/>
      <c r="H1250" s="29"/>
      <c r="I1250" s="29"/>
      <c r="J1250" s="29"/>
      <c r="K1250" s="29"/>
      <c r="L1250" s="29"/>
      <c r="M1250" s="29"/>
      <c r="N1250" s="29"/>
      <c r="O1250" s="30"/>
      <c r="P1250" s="29"/>
      <c r="Q1250" s="29"/>
      <c r="R1250" s="29"/>
      <c r="S1250" s="33"/>
    </row>
    <row r="1251" spans="1:19" ht="15.6" thickTop="1" thickBot="1" x14ac:dyDescent="0.35">
      <c r="A1251" s="39"/>
      <c r="B1251" s="31"/>
      <c r="C1251" s="31"/>
      <c r="D1251" s="31"/>
      <c r="E1251" s="31"/>
      <c r="F1251" s="31"/>
      <c r="G1251" s="31"/>
      <c r="H1251" s="31"/>
      <c r="I1251" s="31"/>
      <c r="J1251" s="31"/>
      <c r="K1251" s="31"/>
      <c r="L1251" s="31"/>
      <c r="M1251" s="31"/>
      <c r="N1251" s="31"/>
      <c r="O1251" s="32"/>
      <c r="P1251" s="31"/>
      <c r="Q1251" s="31"/>
      <c r="R1251" s="31"/>
      <c r="S1251" s="34"/>
    </row>
    <row r="1252" spans="1:19" ht="15.6" thickTop="1" thickBot="1" x14ac:dyDescent="0.35">
      <c r="A1252" s="39"/>
      <c r="B1252" s="29"/>
      <c r="C1252" s="29"/>
      <c r="D1252" s="29"/>
      <c r="E1252" s="29"/>
      <c r="F1252" s="29"/>
      <c r="G1252" s="29"/>
      <c r="H1252" s="29"/>
      <c r="I1252" s="29"/>
      <c r="J1252" s="29"/>
      <c r="K1252" s="29"/>
      <c r="L1252" s="29"/>
      <c r="M1252" s="29"/>
      <c r="N1252" s="29"/>
      <c r="O1252" s="30"/>
      <c r="P1252" s="29"/>
      <c r="Q1252" s="29"/>
      <c r="R1252" s="29"/>
      <c r="S1252" s="33"/>
    </row>
    <row r="1253" spans="1:19" ht="15.6" thickTop="1" thickBot="1" x14ac:dyDescent="0.35">
      <c r="A1253" s="39"/>
      <c r="B1253" s="31"/>
      <c r="C1253" s="31"/>
      <c r="D1253" s="31"/>
      <c r="E1253" s="31"/>
      <c r="F1253" s="31"/>
      <c r="G1253" s="31"/>
      <c r="H1253" s="31"/>
      <c r="I1253" s="31"/>
      <c r="J1253" s="31"/>
      <c r="K1253" s="31"/>
      <c r="L1253" s="31"/>
      <c r="M1253" s="31"/>
      <c r="N1253" s="31"/>
      <c r="O1253" s="32"/>
      <c r="P1253" s="31"/>
      <c r="Q1253" s="31"/>
      <c r="R1253" s="31"/>
      <c r="S1253" s="34"/>
    </row>
    <row r="1254" spans="1:19" ht="15.6" thickTop="1" thickBot="1" x14ac:dyDescent="0.35">
      <c r="A1254" s="39"/>
      <c r="B1254" s="29"/>
      <c r="C1254" s="29"/>
      <c r="D1254" s="29"/>
      <c r="E1254" s="29"/>
      <c r="F1254" s="29"/>
      <c r="G1254" s="29"/>
      <c r="H1254" s="29"/>
      <c r="I1254" s="29"/>
      <c r="J1254" s="29"/>
      <c r="K1254" s="29"/>
      <c r="L1254" s="29"/>
      <c r="M1254" s="29"/>
      <c r="N1254" s="29"/>
      <c r="O1254" s="30"/>
      <c r="P1254" s="29"/>
      <c r="Q1254" s="29"/>
      <c r="R1254" s="29"/>
      <c r="S1254" s="33"/>
    </row>
    <row r="1255" spans="1:19" ht="15.6" thickTop="1" thickBot="1" x14ac:dyDescent="0.35">
      <c r="A1255" s="39"/>
      <c r="B1255" s="31"/>
      <c r="C1255" s="31"/>
      <c r="D1255" s="31"/>
      <c r="E1255" s="31"/>
      <c r="F1255" s="31"/>
      <c r="G1255" s="31"/>
      <c r="H1255" s="31"/>
      <c r="I1255" s="31"/>
      <c r="J1255" s="31"/>
      <c r="K1255" s="31"/>
      <c r="L1255" s="31"/>
      <c r="M1255" s="31"/>
      <c r="N1255" s="31"/>
      <c r="O1255" s="32"/>
      <c r="P1255" s="31"/>
      <c r="Q1255" s="31"/>
      <c r="R1255" s="31"/>
      <c r="S1255" s="34"/>
    </row>
    <row r="1256" spans="1:19" ht="15.6" thickTop="1" thickBot="1" x14ac:dyDescent="0.35">
      <c r="A1256" s="39"/>
      <c r="B1256" s="29"/>
      <c r="C1256" s="29"/>
      <c r="D1256" s="29"/>
      <c r="E1256" s="29"/>
      <c r="F1256" s="29"/>
      <c r="G1256" s="29"/>
      <c r="H1256" s="29"/>
      <c r="I1256" s="29"/>
      <c r="J1256" s="29"/>
      <c r="K1256" s="29"/>
      <c r="L1256" s="29"/>
      <c r="M1256" s="29"/>
      <c r="N1256" s="29"/>
      <c r="O1256" s="30"/>
      <c r="P1256" s="29"/>
      <c r="Q1256" s="29"/>
      <c r="R1256" s="29"/>
      <c r="S1256" s="33"/>
    </row>
    <row r="1257" spans="1:19" ht="15.6" thickTop="1" thickBot="1" x14ac:dyDescent="0.35">
      <c r="A1257" s="39"/>
      <c r="B1257" s="31"/>
      <c r="C1257" s="31"/>
      <c r="D1257" s="31"/>
      <c r="E1257" s="31"/>
      <c r="F1257" s="31"/>
      <c r="G1257" s="31"/>
      <c r="H1257" s="31"/>
      <c r="I1257" s="31"/>
      <c r="J1257" s="31"/>
      <c r="K1257" s="31"/>
      <c r="L1257" s="31"/>
      <c r="M1257" s="31"/>
      <c r="N1257" s="31"/>
      <c r="O1257" s="32"/>
      <c r="P1257" s="31"/>
      <c r="Q1257" s="31"/>
      <c r="R1257" s="31"/>
      <c r="S1257" s="34"/>
    </row>
    <row r="1258" spans="1:19" ht="15.6" thickTop="1" thickBot="1" x14ac:dyDescent="0.35">
      <c r="A1258" s="39"/>
      <c r="B1258" s="29"/>
      <c r="C1258" s="29"/>
      <c r="D1258" s="29"/>
      <c r="E1258" s="29"/>
      <c r="F1258" s="29"/>
      <c r="G1258" s="29"/>
      <c r="H1258" s="29"/>
      <c r="I1258" s="29"/>
      <c r="J1258" s="29"/>
      <c r="K1258" s="29"/>
      <c r="L1258" s="29"/>
      <c r="M1258" s="29"/>
      <c r="N1258" s="29"/>
      <c r="O1258" s="30"/>
      <c r="P1258" s="29"/>
      <c r="Q1258" s="29"/>
      <c r="R1258" s="29"/>
      <c r="S1258" s="33"/>
    </row>
    <row r="1259" spans="1:19" ht="15.6" thickTop="1" thickBot="1" x14ac:dyDescent="0.35">
      <c r="A1259" s="39"/>
      <c r="B1259" s="31"/>
      <c r="C1259" s="31"/>
      <c r="D1259" s="31"/>
      <c r="E1259" s="31"/>
      <c r="F1259" s="31"/>
      <c r="G1259" s="31"/>
      <c r="H1259" s="31"/>
      <c r="I1259" s="31"/>
      <c r="J1259" s="31"/>
      <c r="K1259" s="31"/>
      <c r="L1259" s="31"/>
      <c r="M1259" s="31"/>
      <c r="N1259" s="31"/>
      <c r="O1259" s="32"/>
      <c r="P1259" s="31"/>
      <c r="Q1259" s="31"/>
      <c r="R1259" s="31"/>
      <c r="S1259" s="34"/>
    </row>
    <row r="1260" spans="1:19" ht="15.6" thickTop="1" thickBot="1" x14ac:dyDescent="0.35">
      <c r="A1260" s="39"/>
      <c r="B1260" s="29"/>
      <c r="C1260" s="29"/>
      <c r="D1260" s="29"/>
      <c r="E1260" s="29"/>
      <c r="F1260" s="29"/>
      <c r="G1260" s="29"/>
      <c r="H1260" s="29"/>
      <c r="I1260" s="29"/>
      <c r="J1260" s="29"/>
      <c r="K1260" s="29"/>
      <c r="L1260" s="29"/>
      <c r="M1260" s="29"/>
      <c r="N1260" s="29"/>
      <c r="O1260" s="30"/>
      <c r="P1260" s="29"/>
      <c r="Q1260" s="29"/>
      <c r="R1260" s="29"/>
      <c r="S1260" s="33"/>
    </row>
    <row r="1261" spans="1:19" ht="15.6" thickTop="1" thickBot="1" x14ac:dyDescent="0.35">
      <c r="A1261" s="39"/>
      <c r="B1261" s="31"/>
      <c r="C1261" s="31"/>
      <c r="D1261" s="31"/>
      <c r="E1261" s="31"/>
      <c r="F1261" s="31"/>
      <c r="G1261" s="31"/>
      <c r="H1261" s="31"/>
      <c r="I1261" s="31"/>
      <c r="J1261" s="31"/>
      <c r="K1261" s="31"/>
      <c r="L1261" s="31"/>
      <c r="M1261" s="31"/>
      <c r="N1261" s="31"/>
      <c r="O1261" s="32"/>
      <c r="P1261" s="31"/>
      <c r="Q1261" s="31"/>
      <c r="R1261" s="31"/>
      <c r="S1261" s="34"/>
    </row>
    <row r="1262" spans="1:19" ht="15.6" thickTop="1" thickBot="1" x14ac:dyDescent="0.35">
      <c r="A1262" s="39"/>
      <c r="B1262" s="29"/>
      <c r="C1262" s="29"/>
      <c r="D1262" s="29"/>
      <c r="E1262" s="29"/>
      <c r="F1262" s="29"/>
      <c r="G1262" s="29"/>
      <c r="H1262" s="29"/>
      <c r="I1262" s="29"/>
      <c r="J1262" s="29"/>
      <c r="K1262" s="29"/>
      <c r="L1262" s="29"/>
      <c r="M1262" s="29"/>
      <c r="N1262" s="29"/>
      <c r="O1262" s="30"/>
      <c r="P1262" s="29"/>
      <c r="Q1262" s="29"/>
      <c r="R1262" s="29"/>
      <c r="S1262" s="33"/>
    </row>
    <row r="1263" spans="1:19" ht="15.6" thickTop="1" thickBot="1" x14ac:dyDescent="0.35">
      <c r="A1263" s="39"/>
      <c r="B1263" s="31"/>
      <c r="C1263" s="31"/>
      <c r="D1263" s="31"/>
      <c r="E1263" s="31"/>
      <c r="F1263" s="31"/>
      <c r="G1263" s="31"/>
      <c r="H1263" s="31"/>
      <c r="I1263" s="31"/>
      <c r="J1263" s="31"/>
      <c r="K1263" s="31"/>
      <c r="L1263" s="31"/>
      <c r="M1263" s="31"/>
      <c r="N1263" s="31"/>
      <c r="O1263" s="32"/>
      <c r="P1263" s="31"/>
      <c r="Q1263" s="31"/>
      <c r="R1263" s="31"/>
      <c r="S1263" s="34"/>
    </row>
    <row r="1264" spans="1:19" ht="15.6" thickTop="1" thickBot="1" x14ac:dyDescent="0.35">
      <c r="A1264" s="39"/>
      <c r="B1264" s="29"/>
      <c r="C1264" s="29"/>
      <c r="D1264" s="29"/>
      <c r="E1264" s="29"/>
      <c r="F1264" s="29"/>
      <c r="G1264" s="29"/>
      <c r="H1264" s="29"/>
      <c r="I1264" s="29"/>
      <c r="J1264" s="29"/>
      <c r="K1264" s="29"/>
      <c r="L1264" s="29"/>
      <c r="M1264" s="29"/>
      <c r="N1264" s="29"/>
      <c r="O1264" s="30"/>
      <c r="P1264" s="29"/>
      <c r="Q1264" s="29"/>
      <c r="R1264" s="29"/>
      <c r="S1264" s="33"/>
    </row>
    <row r="1265" spans="1:19" ht="15.6" thickTop="1" thickBot="1" x14ac:dyDescent="0.35">
      <c r="A1265" s="39"/>
      <c r="B1265" s="31"/>
      <c r="C1265" s="31"/>
      <c r="D1265" s="31"/>
      <c r="E1265" s="31"/>
      <c r="F1265" s="31"/>
      <c r="G1265" s="31"/>
      <c r="H1265" s="31"/>
      <c r="I1265" s="31"/>
      <c r="J1265" s="31"/>
      <c r="K1265" s="31"/>
      <c r="L1265" s="31"/>
      <c r="M1265" s="31"/>
      <c r="N1265" s="31"/>
      <c r="O1265" s="32"/>
      <c r="P1265" s="31"/>
      <c r="Q1265" s="31"/>
      <c r="R1265" s="31"/>
      <c r="S1265" s="34"/>
    </row>
    <row r="1266" spans="1:19" ht="15.6" thickTop="1" thickBot="1" x14ac:dyDescent="0.35">
      <c r="A1266" s="39"/>
      <c r="B1266" s="29"/>
      <c r="C1266" s="29"/>
      <c r="D1266" s="29"/>
      <c r="E1266" s="29"/>
      <c r="F1266" s="29"/>
      <c r="G1266" s="29"/>
      <c r="H1266" s="29"/>
      <c r="I1266" s="29"/>
      <c r="J1266" s="29"/>
      <c r="K1266" s="29"/>
      <c r="L1266" s="29"/>
      <c r="M1266" s="29"/>
      <c r="N1266" s="29"/>
      <c r="O1266" s="30"/>
      <c r="P1266" s="29"/>
      <c r="Q1266" s="29"/>
      <c r="R1266" s="29"/>
      <c r="S1266" s="33"/>
    </row>
    <row r="1267" spans="1:19" ht="15.6" thickTop="1" thickBot="1" x14ac:dyDescent="0.35">
      <c r="A1267" s="39"/>
      <c r="B1267" s="31"/>
      <c r="C1267" s="31"/>
      <c r="D1267" s="31"/>
      <c r="E1267" s="31"/>
      <c r="F1267" s="31"/>
      <c r="G1267" s="31"/>
      <c r="H1267" s="31"/>
      <c r="I1267" s="31"/>
      <c r="J1267" s="31"/>
      <c r="K1267" s="31"/>
      <c r="L1267" s="31"/>
      <c r="M1267" s="31"/>
      <c r="N1267" s="31"/>
      <c r="O1267" s="32"/>
      <c r="P1267" s="31"/>
      <c r="Q1267" s="31"/>
      <c r="R1267" s="31"/>
      <c r="S1267" s="34"/>
    </row>
    <row r="1268" spans="1:19" ht="15.6" thickTop="1" thickBot="1" x14ac:dyDescent="0.35">
      <c r="A1268" s="39"/>
      <c r="B1268" s="29"/>
      <c r="C1268" s="29"/>
      <c r="D1268" s="29"/>
      <c r="E1268" s="29"/>
      <c r="F1268" s="29"/>
      <c r="G1268" s="29"/>
      <c r="H1268" s="29"/>
      <c r="I1268" s="29"/>
      <c r="J1268" s="29"/>
      <c r="K1268" s="29"/>
      <c r="L1268" s="29"/>
      <c r="M1268" s="29"/>
      <c r="N1268" s="29"/>
      <c r="O1268" s="30"/>
      <c r="P1268" s="29"/>
      <c r="Q1268" s="29"/>
      <c r="R1268" s="29"/>
      <c r="S1268" s="33"/>
    </row>
    <row r="1269" spans="1:19" ht="15.6" thickTop="1" thickBot="1" x14ac:dyDescent="0.35">
      <c r="A1269" s="39"/>
      <c r="B1269" s="31"/>
      <c r="C1269" s="31"/>
      <c r="D1269" s="31"/>
      <c r="E1269" s="31"/>
      <c r="F1269" s="31"/>
      <c r="G1269" s="31"/>
      <c r="H1269" s="31"/>
      <c r="I1269" s="31"/>
      <c r="J1269" s="31"/>
      <c r="K1269" s="31"/>
      <c r="L1269" s="31"/>
      <c r="M1269" s="31"/>
      <c r="N1269" s="31"/>
      <c r="O1269" s="32"/>
      <c r="P1269" s="31"/>
      <c r="Q1269" s="31"/>
      <c r="R1269" s="31"/>
      <c r="S1269" s="34"/>
    </row>
    <row r="1270" spans="1:19" ht="15.6" thickTop="1" thickBot="1" x14ac:dyDescent="0.35">
      <c r="A1270" s="39"/>
      <c r="B1270" s="29"/>
      <c r="C1270" s="29"/>
      <c r="D1270" s="29"/>
      <c r="E1270" s="29"/>
      <c r="F1270" s="29"/>
      <c r="G1270" s="29"/>
      <c r="H1270" s="29"/>
      <c r="I1270" s="29"/>
      <c r="J1270" s="29"/>
      <c r="K1270" s="29"/>
      <c r="L1270" s="29"/>
      <c r="M1270" s="29"/>
      <c r="N1270" s="29"/>
      <c r="O1270" s="30"/>
      <c r="P1270" s="29"/>
      <c r="Q1270" s="29"/>
      <c r="R1270" s="29"/>
      <c r="S1270" s="33"/>
    </row>
    <row r="1271" spans="1:19" ht="15.6" thickTop="1" thickBot="1" x14ac:dyDescent="0.35">
      <c r="A1271" s="39"/>
      <c r="B1271" s="31"/>
      <c r="C1271" s="31"/>
      <c r="D1271" s="31"/>
      <c r="E1271" s="31"/>
      <c r="F1271" s="31"/>
      <c r="G1271" s="31"/>
      <c r="H1271" s="31"/>
      <c r="I1271" s="31"/>
      <c r="J1271" s="31"/>
      <c r="K1271" s="31"/>
      <c r="L1271" s="31"/>
      <c r="M1271" s="31"/>
      <c r="N1271" s="31"/>
      <c r="O1271" s="32"/>
      <c r="P1271" s="31"/>
      <c r="Q1271" s="31"/>
      <c r="R1271" s="31"/>
      <c r="S1271" s="34"/>
    </row>
    <row r="1272" spans="1:19" ht="15.6" thickTop="1" thickBot="1" x14ac:dyDescent="0.35">
      <c r="A1272" s="39"/>
      <c r="B1272" s="29"/>
      <c r="C1272" s="29"/>
      <c r="D1272" s="29"/>
      <c r="E1272" s="29"/>
      <c r="F1272" s="29"/>
      <c r="G1272" s="29"/>
      <c r="H1272" s="29"/>
      <c r="I1272" s="29"/>
      <c r="J1272" s="29"/>
      <c r="K1272" s="29"/>
      <c r="L1272" s="29"/>
      <c r="M1272" s="29"/>
      <c r="N1272" s="29"/>
      <c r="O1272" s="30"/>
      <c r="P1272" s="29"/>
      <c r="Q1272" s="29"/>
      <c r="R1272" s="29"/>
      <c r="S1272" s="33"/>
    </row>
    <row r="1273" spans="1:19" ht="15.6" thickTop="1" thickBot="1" x14ac:dyDescent="0.35">
      <c r="A1273" s="39"/>
      <c r="B1273" s="31"/>
      <c r="C1273" s="31"/>
      <c r="D1273" s="31"/>
      <c r="E1273" s="31"/>
      <c r="F1273" s="31"/>
      <c r="G1273" s="31"/>
      <c r="H1273" s="31"/>
      <c r="I1273" s="31"/>
      <c r="J1273" s="31"/>
      <c r="K1273" s="31"/>
      <c r="L1273" s="31"/>
      <c r="M1273" s="31"/>
      <c r="N1273" s="31"/>
      <c r="O1273" s="32"/>
      <c r="P1273" s="31"/>
      <c r="Q1273" s="31"/>
      <c r="R1273" s="31"/>
      <c r="S1273" s="34"/>
    </row>
    <row r="1274" spans="1:19" ht="15.6" thickTop="1" thickBot="1" x14ac:dyDescent="0.35">
      <c r="A1274" s="39"/>
      <c r="B1274" s="29"/>
      <c r="C1274" s="29"/>
      <c r="D1274" s="29"/>
      <c r="E1274" s="29"/>
      <c r="F1274" s="29"/>
      <c r="G1274" s="29"/>
      <c r="H1274" s="29"/>
      <c r="I1274" s="29"/>
      <c r="J1274" s="29"/>
      <c r="K1274" s="29"/>
      <c r="L1274" s="29"/>
      <c r="M1274" s="29"/>
      <c r="N1274" s="29"/>
      <c r="O1274" s="30"/>
      <c r="P1274" s="29"/>
      <c r="Q1274" s="29"/>
      <c r="R1274" s="29"/>
      <c r="S1274" s="33"/>
    </row>
    <row r="1275" spans="1:19" ht="15.6" thickTop="1" thickBot="1" x14ac:dyDescent="0.35">
      <c r="A1275" s="39"/>
      <c r="B1275" s="31"/>
      <c r="C1275" s="31"/>
      <c r="D1275" s="31"/>
      <c r="E1275" s="31"/>
      <c r="F1275" s="31"/>
      <c r="G1275" s="31"/>
      <c r="H1275" s="31"/>
      <c r="I1275" s="31"/>
      <c r="J1275" s="31"/>
      <c r="K1275" s="31"/>
      <c r="L1275" s="31"/>
      <c r="M1275" s="31"/>
      <c r="N1275" s="31"/>
      <c r="O1275" s="32"/>
      <c r="P1275" s="31"/>
      <c r="Q1275" s="31"/>
      <c r="R1275" s="31"/>
      <c r="S1275" s="34"/>
    </row>
    <row r="1276" spans="1:19" ht="15.6" thickTop="1" thickBot="1" x14ac:dyDescent="0.35">
      <c r="A1276" s="39"/>
      <c r="B1276" s="29"/>
      <c r="C1276" s="29"/>
      <c r="D1276" s="29"/>
      <c r="E1276" s="29"/>
      <c r="F1276" s="29"/>
      <c r="G1276" s="29"/>
      <c r="H1276" s="29"/>
      <c r="I1276" s="29"/>
      <c r="J1276" s="29"/>
      <c r="K1276" s="29"/>
      <c r="L1276" s="29"/>
      <c r="M1276" s="29"/>
      <c r="N1276" s="29"/>
      <c r="O1276" s="30"/>
      <c r="P1276" s="29"/>
      <c r="Q1276" s="29"/>
      <c r="R1276" s="29"/>
      <c r="S1276" s="33"/>
    </row>
    <row r="1277" spans="1:19" ht="15.6" thickTop="1" thickBot="1" x14ac:dyDescent="0.35">
      <c r="A1277" s="39"/>
      <c r="B1277" s="31"/>
      <c r="C1277" s="31"/>
      <c r="D1277" s="31"/>
      <c r="E1277" s="31"/>
      <c r="F1277" s="31"/>
      <c r="G1277" s="31"/>
      <c r="H1277" s="31"/>
      <c r="I1277" s="31"/>
      <c r="J1277" s="31"/>
      <c r="K1277" s="31"/>
      <c r="L1277" s="31"/>
      <c r="M1277" s="31"/>
      <c r="N1277" s="31"/>
      <c r="O1277" s="32"/>
      <c r="P1277" s="31"/>
      <c r="Q1277" s="31"/>
      <c r="R1277" s="31"/>
      <c r="S1277" s="34"/>
    </row>
    <row r="1278" spans="1:19" ht="15.6" thickTop="1" thickBot="1" x14ac:dyDescent="0.35">
      <c r="A1278" s="39"/>
      <c r="B1278" s="29"/>
      <c r="C1278" s="29"/>
      <c r="D1278" s="29"/>
      <c r="E1278" s="29"/>
      <c r="F1278" s="29"/>
      <c r="G1278" s="29"/>
      <c r="H1278" s="29"/>
      <c r="I1278" s="29"/>
      <c r="J1278" s="29"/>
      <c r="K1278" s="29"/>
      <c r="L1278" s="29"/>
      <c r="M1278" s="29"/>
      <c r="N1278" s="29"/>
      <c r="O1278" s="30"/>
      <c r="P1278" s="29"/>
      <c r="Q1278" s="29"/>
      <c r="R1278" s="29"/>
      <c r="S1278" s="33"/>
    </row>
    <row r="1279" spans="1:19" ht="15.6" thickTop="1" thickBot="1" x14ac:dyDescent="0.35">
      <c r="A1279" s="39"/>
      <c r="B1279" s="31"/>
      <c r="C1279" s="31"/>
      <c r="D1279" s="31"/>
      <c r="E1279" s="31"/>
      <c r="F1279" s="31"/>
      <c r="G1279" s="31"/>
      <c r="H1279" s="31"/>
      <c r="I1279" s="31"/>
      <c r="J1279" s="31"/>
      <c r="K1279" s="31"/>
      <c r="L1279" s="31"/>
      <c r="M1279" s="31"/>
      <c r="N1279" s="31"/>
      <c r="O1279" s="32"/>
      <c r="P1279" s="31"/>
      <c r="Q1279" s="31"/>
      <c r="R1279" s="31"/>
      <c r="S1279" s="34"/>
    </row>
    <row r="1280" spans="1:19" ht="15.6" thickTop="1" thickBot="1" x14ac:dyDescent="0.35">
      <c r="A1280" s="39"/>
      <c r="B1280" s="29"/>
      <c r="C1280" s="29"/>
      <c r="D1280" s="29"/>
      <c r="E1280" s="29"/>
      <c r="F1280" s="29"/>
      <c r="G1280" s="29"/>
      <c r="H1280" s="29"/>
      <c r="I1280" s="29"/>
      <c r="J1280" s="29"/>
      <c r="K1280" s="29"/>
      <c r="L1280" s="29"/>
      <c r="M1280" s="29"/>
      <c r="N1280" s="29"/>
      <c r="O1280" s="30"/>
      <c r="P1280" s="29"/>
      <c r="Q1280" s="29"/>
      <c r="R1280" s="29"/>
      <c r="S1280" s="33"/>
    </row>
    <row r="1281" spans="1:19" ht="15.6" thickTop="1" thickBot="1" x14ac:dyDescent="0.35">
      <c r="A1281" s="39"/>
      <c r="B1281" s="31"/>
      <c r="C1281" s="31"/>
      <c r="D1281" s="31"/>
      <c r="E1281" s="31"/>
      <c r="F1281" s="31"/>
      <c r="G1281" s="31"/>
      <c r="H1281" s="31"/>
      <c r="I1281" s="31"/>
      <c r="J1281" s="31"/>
      <c r="K1281" s="31"/>
      <c r="L1281" s="31"/>
      <c r="M1281" s="31"/>
      <c r="N1281" s="31"/>
      <c r="O1281" s="32"/>
      <c r="P1281" s="31"/>
      <c r="Q1281" s="31"/>
      <c r="R1281" s="31"/>
      <c r="S1281" s="34"/>
    </row>
    <row r="1282" spans="1:19" ht="15.6" thickTop="1" thickBot="1" x14ac:dyDescent="0.35">
      <c r="A1282" s="39"/>
      <c r="B1282" s="29"/>
      <c r="C1282" s="29"/>
      <c r="D1282" s="29"/>
      <c r="E1282" s="29"/>
      <c r="F1282" s="29"/>
      <c r="G1282" s="29"/>
      <c r="H1282" s="29"/>
      <c r="I1282" s="29"/>
      <c r="J1282" s="29"/>
      <c r="K1282" s="29"/>
      <c r="L1282" s="29"/>
      <c r="M1282" s="29"/>
      <c r="N1282" s="29"/>
      <c r="O1282" s="30"/>
      <c r="P1282" s="29"/>
      <c r="Q1282" s="29"/>
      <c r="R1282" s="29"/>
      <c r="S1282" s="33"/>
    </row>
    <row r="1283" spans="1:19" ht="15.6" thickTop="1" thickBot="1" x14ac:dyDescent="0.35">
      <c r="A1283" s="39"/>
      <c r="B1283" s="31"/>
      <c r="C1283" s="31"/>
      <c r="D1283" s="31"/>
      <c r="E1283" s="31"/>
      <c r="F1283" s="31"/>
      <c r="G1283" s="31"/>
      <c r="H1283" s="31"/>
      <c r="I1283" s="31"/>
      <c r="J1283" s="31"/>
      <c r="K1283" s="31"/>
      <c r="L1283" s="31"/>
      <c r="M1283" s="31"/>
      <c r="N1283" s="31"/>
      <c r="O1283" s="32"/>
      <c r="P1283" s="31"/>
      <c r="Q1283" s="31"/>
      <c r="R1283" s="31"/>
      <c r="S1283" s="34"/>
    </row>
    <row r="1284" spans="1:19" ht="15.6" thickTop="1" thickBot="1" x14ac:dyDescent="0.35">
      <c r="A1284" s="39"/>
      <c r="B1284" s="29"/>
      <c r="C1284" s="29"/>
      <c r="D1284" s="29"/>
      <c r="E1284" s="29"/>
      <c r="F1284" s="29"/>
      <c r="G1284" s="29"/>
      <c r="H1284" s="29"/>
      <c r="I1284" s="29"/>
      <c r="J1284" s="29"/>
      <c r="K1284" s="29"/>
      <c r="L1284" s="29"/>
      <c r="M1284" s="29"/>
      <c r="N1284" s="29"/>
      <c r="O1284" s="30"/>
      <c r="P1284" s="29"/>
      <c r="Q1284" s="29"/>
      <c r="R1284" s="29"/>
      <c r="S1284" s="33"/>
    </row>
    <row r="1285" spans="1:19" ht="15.6" thickTop="1" thickBot="1" x14ac:dyDescent="0.35">
      <c r="A1285" s="39"/>
      <c r="B1285" s="31"/>
      <c r="C1285" s="31"/>
      <c r="D1285" s="31"/>
      <c r="E1285" s="31"/>
      <c r="F1285" s="31"/>
      <c r="G1285" s="31"/>
      <c r="H1285" s="31"/>
      <c r="I1285" s="31"/>
      <c r="J1285" s="31"/>
      <c r="K1285" s="31"/>
      <c r="L1285" s="31"/>
      <c r="M1285" s="31"/>
      <c r="N1285" s="31"/>
      <c r="O1285" s="32"/>
      <c r="P1285" s="31"/>
      <c r="Q1285" s="31"/>
      <c r="R1285" s="31"/>
      <c r="S1285" s="34"/>
    </row>
    <row r="1286" spans="1:19" ht="15.6" thickTop="1" thickBot="1" x14ac:dyDescent="0.35">
      <c r="A1286" s="39"/>
      <c r="B1286" s="29"/>
      <c r="C1286" s="29"/>
      <c r="D1286" s="29"/>
      <c r="E1286" s="29"/>
      <c r="F1286" s="29"/>
      <c r="G1286" s="29"/>
      <c r="H1286" s="29"/>
      <c r="I1286" s="29"/>
      <c r="J1286" s="29"/>
      <c r="K1286" s="29"/>
      <c r="L1286" s="29"/>
      <c r="M1286" s="29"/>
      <c r="N1286" s="29"/>
      <c r="O1286" s="30"/>
      <c r="P1286" s="29"/>
      <c r="Q1286" s="29"/>
      <c r="R1286" s="29"/>
      <c r="S1286" s="33"/>
    </row>
    <row r="1287" spans="1:19" ht="15.6" thickTop="1" thickBot="1" x14ac:dyDescent="0.35">
      <c r="A1287" s="39"/>
      <c r="B1287" s="31"/>
      <c r="C1287" s="31"/>
      <c r="D1287" s="31"/>
      <c r="E1287" s="31"/>
      <c r="F1287" s="31"/>
      <c r="G1287" s="31"/>
      <c r="H1287" s="31"/>
      <c r="I1287" s="31"/>
      <c r="J1287" s="31"/>
      <c r="K1287" s="31"/>
      <c r="L1287" s="31"/>
      <c r="M1287" s="31"/>
      <c r="N1287" s="31"/>
      <c r="O1287" s="32"/>
      <c r="P1287" s="31"/>
      <c r="Q1287" s="31"/>
      <c r="R1287" s="31"/>
      <c r="S1287" s="34"/>
    </row>
    <row r="1288" spans="1:19" ht="15.6" thickTop="1" thickBot="1" x14ac:dyDescent="0.35">
      <c r="A1288" s="39"/>
      <c r="B1288" s="29"/>
      <c r="C1288" s="29"/>
      <c r="D1288" s="29"/>
      <c r="E1288" s="29"/>
      <c r="F1288" s="29"/>
      <c r="G1288" s="29"/>
      <c r="H1288" s="29"/>
      <c r="I1288" s="29"/>
      <c r="J1288" s="29"/>
      <c r="K1288" s="29"/>
      <c r="L1288" s="29"/>
      <c r="M1288" s="29"/>
      <c r="N1288" s="29"/>
      <c r="O1288" s="30"/>
      <c r="P1288" s="29"/>
      <c r="Q1288" s="29"/>
      <c r="R1288" s="29"/>
      <c r="S1288" s="33"/>
    </row>
    <row r="1289" spans="1:19" ht="15.6" thickTop="1" thickBot="1" x14ac:dyDescent="0.35">
      <c r="A1289" s="39"/>
      <c r="B1289" s="31"/>
      <c r="C1289" s="31"/>
      <c r="D1289" s="31"/>
      <c r="E1289" s="31"/>
      <c r="F1289" s="31"/>
      <c r="G1289" s="31"/>
      <c r="H1289" s="31"/>
      <c r="I1289" s="31"/>
      <c r="J1289" s="31"/>
      <c r="K1289" s="31"/>
      <c r="L1289" s="31"/>
      <c r="M1289" s="31"/>
      <c r="N1289" s="31"/>
      <c r="O1289" s="32"/>
      <c r="P1289" s="31"/>
      <c r="Q1289" s="31"/>
      <c r="R1289" s="31"/>
      <c r="S1289" s="34"/>
    </row>
    <row r="1290" spans="1:19" ht="15.6" thickTop="1" thickBot="1" x14ac:dyDescent="0.35">
      <c r="A1290" s="39"/>
      <c r="B1290" s="29"/>
      <c r="C1290" s="29"/>
      <c r="D1290" s="29"/>
      <c r="E1290" s="29"/>
      <c r="F1290" s="29"/>
      <c r="G1290" s="29"/>
      <c r="H1290" s="29"/>
      <c r="I1290" s="29"/>
      <c r="J1290" s="29"/>
      <c r="K1290" s="29"/>
      <c r="L1290" s="29"/>
      <c r="M1290" s="29"/>
      <c r="N1290" s="29"/>
      <c r="O1290" s="30"/>
      <c r="P1290" s="29"/>
      <c r="Q1290" s="29"/>
      <c r="R1290" s="29"/>
      <c r="S1290" s="33"/>
    </row>
    <row r="1291" spans="1:19" ht="15.6" thickTop="1" thickBot="1" x14ac:dyDescent="0.35">
      <c r="A1291" s="39"/>
      <c r="B1291" s="31"/>
      <c r="C1291" s="31"/>
      <c r="D1291" s="31"/>
      <c r="E1291" s="31"/>
      <c r="F1291" s="31"/>
      <c r="G1291" s="31"/>
      <c r="H1291" s="31"/>
      <c r="I1291" s="31"/>
      <c r="J1291" s="31"/>
      <c r="K1291" s="31"/>
      <c r="L1291" s="31"/>
      <c r="M1291" s="31"/>
      <c r="N1291" s="31"/>
      <c r="O1291" s="32"/>
      <c r="P1291" s="31"/>
      <c r="Q1291" s="31"/>
      <c r="R1291" s="31"/>
      <c r="S1291" s="34"/>
    </row>
    <row r="1292" spans="1:19" ht="15.6" thickTop="1" thickBot="1" x14ac:dyDescent="0.35">
      <c r="A1292" s="39"/>
      <c r="B1292" s="29"/>
      <c r="C1292" s="29"/>
      <c r="D1292" s="29"/>
      <c r="E1292" s="29"/>
      <c r="F1292" s="29"/>
      <c r="G1292" s="29"/>
      <c r="H1292" s="29"/>
      <c r="I1292" s="29"/>
      <c r="J1292" s="29"/>
      <c r="K1292" s="29"/>
      <c r="L1292" s="29"/>
      <c r="M1292" s="29"/>
      <c r="N1292" s="29"/>
      <c r="O1292" s="30"/>
      <c r="P1292" s="29"/>
      <c r="Q1292" s="29"/>
      <c r="R1292" s="29"/>
      <c r="S1292" s="33"/>
    </row>
    <row r="1293" spans="1:19" ht="15.6" thickTop="1" thickBot="1" x14ac:dyDescent="0.35">
      <c r="A1293" s="39"/>
      <c r="B1293" s="31"/>
      <c r="C1293" s="31"/>
      <c r="D1293" s="31"/>
      <c r="E1293" s="31"/>
      <c r="F1293" s="31"/>
      <c r="G1293" s="31"/>
      <c r="H1293" s="31"/>
      <c r="I1293" s="31"/>
      <c r="J1293" s="31"/>
      <c r="K1293" s="31"/>
      <c r="L1293" s="31"/>
      <c r="M1293" s="31"/>
      <c r="N1293" s="31"/>
      <c r="O1293" s="32"/>
      <c r="P1293" s="31"/>
      <c r="Q1293" s="31"/>
      <c r="R1293" s="31"/>
      <c r="S1293" s="34"/>
    </row>
    <row r="1294" spans="1:19" ht="15.6" thickTop="1" thickBot="1" x14ac:dyDescent="0.35">
      <c r="A1294" s="39"/>
      <c r="B1294" s="29"/>
      <c r="C1294" s="29"/>
      <c r="D1294" s="29"/>
      <c r="E1294" s="29"/>
      <c r="F1294" s="29"/>
      <c r="G1294" s="29"/>
      <c r="H1294" s="29"/>
      <c r="I1294" s="29"/>
      <c r="J1294" s="29"/>
      <c r="K1294" s="29"/>
      <c r="L1294" s="29"/>
      <c r="M1294" s="29"/>
      <c r="N1294" s="29"/>
      <c r="O1294" s="30"/>
      <c r="P1294" s="29"/>
      <c r="Q1294" s="29"/>
      <c r="R1294" s="29"/>
      <c r="S1294" s="33"/>
    </row>
    <row r="1295" spans="1:19" ht="15.6" thickTop="1" thickBot="1" x14ac:dyDescent="0.35">
      <c r="A1295" s="39"/>
      <c r="B1295" s="31"/>
      <c r="C1295" s="31"/>
      <c r="D1295" s="31"/>
      <c r="E1295" s="31"/>
      <c r="F1295" s="31"/>
      <c r="G1295" s="31"/>
      <c r="H1295" s="31"/>
      <c r="I1295" s="31"/>
      <c r="J1295" s="31"/>
      <c r="K1295" s="31"/>
      <c r="L1295" s="31"/>
      <c r="M1295" s="31"/>
      <c r="N1295" s="31"/>
      <c r="O1295" s="32"/>
      <c r="P1295" s="31"/>
      <c r="Q1295" s="31"/>
      <c r="R1295" s="31"/>
      <c r="S1295" s="34"/>
    </row>
    <row r="1296" spans="1:19" ht="15.6" thickTop="1" thickBot="1" x14ac:dyDescent="0.35">
      <c r="A1296" s="39"/>
      <c r="B1296" s="29"/>
      <c r="C1296" s="29"/>
      <c r="D1296" s="29"/>
      <c r="E1296" s="29"/>
      <c r="F1296" s="29"/>
      <c r="G1296" s="29"/>
      <c r="H1296" s="29"/>
      <c r="I1296" s="29"/>
      <c r="J1296" s="29"/>
      <c r="K1296" s="29"/>
      <c r="L1296" s="29"/>
      <c r="M1296" s="29"/>
      <c r="N1296" s="29"/>
      <c r="O1296" s="30"/>
      <c r="P1296" s="29"/>
      <c r="Q1296" s="29"/>
      <c r="R1296" s="29"/>
      <c r="S1296" s="33"/>
    </row>
    <row r="1297" spans="1:19" ht="15.6" thickTop="1" thickBot="1" x14ac:dyDescent="0.35">
      <c r="A1297" s="39"/>
      <c r="B1297" s="31"/>
      <c r="C1297" s="31"/>
      <c r="D1297" s="31"/>
      <c r="E1297" s="31"/>
      <c r="F1297" s="31"/>
      <c r="G1297" s="31"/>
      <c r="H1297" s="31"/>
      <c r="I1297" s="31"/>
      <c r="J1297" s="31"/>
      <c r="K1297" s="31"/>
      <c r="L1297" s="31"/>
      <c r="M1297" s="31"/>
      <c r="N1297" s="31"/>
      <c r="O1297" s="32"/>
      <c r="P1297" s="31"/>
      <c r="Q1297" s="31"/>
      <c r="R1297" s="31"/>
      <c r="S1297" s="34"/>
    </row>
    <row r="1298" spans="1:19" ht="15.6" thickTop="1" thickBot="1" x14ac:dyDescent="0.35">
      <c r="A1298" s="39"/>
      <c r="B1298" s="29"/>
      <c r="C1298" s="29"/>
      <c r="D1298" s="29"/>
      <c r="E1298" s="29"/>
      <c r="F1298" s="29"/>
      <c r="G1298" s="29"/>
      <c r="H1298" s="29"/>
      <c r="I1298" s="29"/>
      <c r="J1298" s="29"/>
      <c r="K1298" s="29"/>
      <c r="L1298" s="29"/>
      <c r="M1298" s="29"/>
      <c r="N1298" s="29"/>
      <c r="O1298" s="30"/>
      <c r="P1298" s="29"/>
      <c r="Q1298" s="29"/>
      <c r="R1298" s="29"/>
      <c r="S1298" s="33"/>
    </row>
    <row r="1299" spans="1:19" ht="15.6" thickTop="1" thickBot="1" x14ac:dyDescent="0.35">
      <c r="A1299" s="39"/>
      <c r="B1299" s="31"/>
      <c r="C1299" s="31"/>
      <c r="D1299" s="31"/>
      <c r="E1299" s="31"/>
      <c r="F1299" s="31"/>
      <c r="G1299" s="31"/>
      <c r="H1299" s="31"/>
      <c r="I1299" s="31"/>
      <c r="J1299" s="31"/>
      <c r="K1299" s="31"/>
      <c r="L1299" s="31"/>
      <c r="M1299" s="31"/>
      <c r="N1299" s="31"/>
      <c r="O1299" s="32"/>
      <c r="P1299" s="31"/>
      <c r="Q1299" s="31"/>
      <c r="R1299" s="31"/>
      <c r="S1299" s="34"/>
    </row>
    <row r="1300" spans="1:19" ht="15.6" thickTop="1" thickBot="1" x14ac:dyDescent="0.35">
      <c r="A1300" s="39"/>
      <c r="B1300" s="29"/>
      <c r="C1300" s="29"/>
      <c r="D1300" s="29"/>
      <c r="E1300" s="29"/>
      <c r="F1300" s="29"/>
      <c r="G1300" s="29"/>
      <c r="H1300" s="29"/>
      <c r="I1300" s="29"/>
      <c r="J1300" s="29"/>
      <c r="K1300" s="29"/>
      <c r="L1300" s="29"/>
      <c r="M1300" s="29"/>
      <c r="N1300" s="29"/>
      <c r="O1300" s="30"/>
      <c r="P1300" s="29"/>
      <c r="Q1300" s="29"/>
      <c r="R1300" s="29"/>
      <c r="S1300" s="33"/>
    </row>
    <row r="1301" spans="1:19" ht="15.6" thickTop="1" thickBot="1" x14ac:dyDescent="0.35">
      <c r="A1301" s="39"/>
      <c r="B1301" s="31"/>
      <c r="C1301" s="31"/>
      <c r="D1301" s="31"/>
      <c r="E1301" s="31"/>
      <c r="F1301" s="31"/>
      <c r="G1301" s="31"/>
      <c r="H1301" s="31"/>
      <c r="I1301" s="31"/>
      <c r="J1301" s="31"/>
      <c r="K1301" s="31"/>
      <c r="L1301" s="31"/>
      <c r="M1301" s="31"/>
      <c r="N1301" s="31"/>
      <c r="O1301" s="32"/>
      <c r="P1301" s="31"/>
      <c r="Q1301" s="31"/>
      <c r="R1301" s="31"/>
      <c r="S1301" s="34"/>
    </row>
    <row r="1302" spans="1:19" ht="15.6" thickTop="1" thickBot="1" x14ac:dyDescent="0.35">
      <c r="A1302" s="39"/>
      <c r="B1302" s="29"/>
      <c r="C1302" s="29"/>
      <c r="D1302" s="29"/>
      <c r="E1302" s="29"/>
      <c r="F1302" s="29"/>
      <c r="G1302" s="29"/>
      <c r="H1302" s="29"/>
      <c r="I1302" s="29"/>
      <c r="J1302" s="29"/>
      <c r="K1302" s="29"/>
      <c r="L1302" s="29"/>
      <c r="M1302" s="29"/>
      <c r="N1302" s="29"/>
      <c r="O1302" s="30"/>
      <c r="P1302" s="29"/>
      <c r="Q1302" s="29"/>
      <c r="R1302" s="29"/>
      <c r="S1302" s="33"/>
    </row>
    <row r="1303" spans="1:19" ht="15.6" thickTop="1" thickBot="1" x14ac:dyDescent="0.35">
      <c r="A1303" s="39"/>
      <c r="B1303" s="31"/>
      <c r="C1303" s="31"/>
      <c r="D1303" s="31"/>
      <c r="E1303" s="31"/>
      <c r="F1303" s="31"/>
      <c r="G1303" s="31"/>
      <c r="H1303" s="31"/>
      <c r="I1303" s="31"/>
      <c r="J1303" s="31"/>
      <c r="K1303" s="31"/>
      <c r="L1303" s="31"/>
      <c r="M1303" s="31"/>
      <c r="N1303" s="31"/>
      <c r="O1303" s="32"/>
      <c r="P1303" s="31"/>
      <c r="Q1303" s="31"/>
      <c r="R1303" s="31"/>
      <c r="S1303" s="34"/>
    </row>
    <row r="1304" spans="1:19" ht="15.6" thickTop="1" thickBot="1" x14ac:dyDescent="0.35">
      <c r="A1304" s="39"/>
      <c r="B1304" s="29"/>
      <c r="C1304" s="29"/>
      <c r="D1304" s="29"/>
      <c r="E1304" s="29"/>
      <c r="F1304" s="29"/>
      <c r="G1304" s="29"/>
      <c r="H1304" s="29"/>
      <c r="I1304" s="29"/>
      <c r="J1304" s="29"/>
      <c r="K1304" s="29"/>
      <c r="L1304" s="29"/>
      <c r="M1304" s="29"/>
      <c r="N1304" s="29"/>
      <c r="O1304" s="30"/>
      <c r="P1304" s="29"/>
      <c r="Q1304" s="29"/>
      <c r="R1304" s="29"/>
      <c r="S1304" s="33"/>
    </row>
    <row r="1305" spans="1:19" ht="15.6" thickTop="1" thickBot="1" x14ac:dyDescent="0.35">
      <c r="A1305" s="39"/>
      <c r="B1305" s="31"/>
      <c r="C1305" s="31"/>
      <c r="D1305" s="31"/>
      <c r="E1305" s="31"/>
      <c r="F1305" s="31"/>
      <c r="G1305" s="31"/>
      <c r="H1305" s="31"/>
      <c r="I1305" s="31"/>
      <c r="J1305" s="31"/>
      <c r="K1305" s="31"/>
      <c r="L1305" s="31"/>
      <c r="M1305" s="31"/>
      <c r="N1305" s="31"/>
      <c r="O1305" s="32"/>
      <c r="P1305" s="31"/>
      <c r="Q1305" s="31"/>
      <c r="R1305" s="31"/>
      <c r="S1305" s="34"/>
    </row>
    <row r="1306" spans="1:19" ht="15.6" thickTop="1" thickBot="1" x14ac:dyDescent="0.35">
      <c r="A1306" s="39"/>
      <c r="B1306" s="29"/>
      <c r="C1306" s="29"/>
      <c r="D1306" s="29"/>
      <c r="E1306" s="29"/>
      <c r="F1306" s="29"/>
      <c r="G1306" s="29"/>
      <c r="H1306" s="29"/>
      <c r="I1306" s="29"/>
      <c r="J1306" s="29"/>
      <c r="K1306" s="29"/>
      <c r="L1306" s="29"/>
      <c r="M1306" s="29"/>
      <c r="N1306" s="29"/>
      <c r="O1306" s="30"/>
      <c r="P1306" s="29"/>
      <c r="Q1306" s="29"/>
      <c r="R1306" s="29"/>
      <c r="S1306" s="33"/>
    </row>
    <row r="1307" spans="1:19" ht="15.6" thickTop="1" thickBot="1" x14ac:dyDescent="0.35">
      <c r="A1307" s="39"/>
      <c r="B1307" s="31"/>
      <c r="C1307" s="31"/>
      <c r="D1307" s="31"/>
      <c r="E1307" s="31"/>
      <c r="F1307" s="31"/>
      <c r="G1307" s="31"/>
      <c r="H1307" s="31"/>
      <c r="I1307" s="31"/>
      <c r="J1307" s="31"/>
      <c r="K1307" s="31"/>
      <c r="L1307" s="31"/>
      <c r="M1307" s="31"/>
      <c r="N1307" s="31"/>
      <c r="O1307" s="32"/>
      <c r="P1307" s="31"/>
      <c r="Q1307" s="31"/>
      <c r="R1307" s="31"/>
      <c r="S1307" s="34"/>
    </row>
    <row r="1308" spans="1:19" ht="15.6" thickTop="1" thickBot="1" x14ac:dyDescent="0.35">
      <c r="A1308" s="39"/>
      <c r="B1308" s="29"/>
      <c r="C1308" s="29"/>
      <c r="D1308" s="29"/>
      <c r="E1308" s="29"/>
      <c r="F1308" s="29"/>
      <c r="G1308" s="29"/>
      <c r="H1308" s="29"/>
      <c r="I1308" s="29"/>
      <c r="J1308" s="29"/>
      <c r="K1308" s="29"/>
      <c r="L1308" s="29"/>
      <c r="M1308" s="29"/>
      <c r="N1308" s="29"/>
      <c r="O1308" s="30"/>
      <c r="P1308" s="29"/>
      <c r="Q1308" s="29"/>
      <c r="R1308" s="29"/>
      <c r="S1308" s="33"/>
    </row>
    <row r="1309" spans="1:19" ht="15.6" thickTop="1" thickBot="1" x14ac:dyDescent="0.35">
      <c r="A1309" s="39"/>
      <c r="B1309" s="31"/>
      <c r="C1309" s="31"/>
      <c r="D1309" s="31"/>
      <c r="E1309" s="31"/>
      <c r="F1309" s="31"/>
      <c r="G1309" s="31"/>
      <c r="H1309" s="31"/>
      <c r="I1309" s="31"/>
      <c r="J1309" s="31"/>
      <c r="K1309" s="31"/>
      <c r="L1309" s="31"/>
      <c r="M1309" s="31"/>
      <c r="N1309" s="31"/>
      <c r="O1309" s="32"/>
      <c r="P1309" s="31"/>
      <c r="Q1309" s="31"/>
      <c r="R1309" s="31"/>
      <c r="S1309" s="34"/>
    </row>
    <row r="1310" spans="1:19" ht="15.6" thickTop="1" thickBot="1" x14ac:dyDescent="0.35">
      <c r="A1310" s="39"/>
      <c r="B1310" s="29"/>
      <c r="C1310" s="29"/>
      <c r="D1310" s="29"/>
      <c r="E1310" s="29"/>
      <c r="F1310" s="29"/>
      <c r="G1310" s="29"/>
      <c r="H1310" s="29"/>
      <c r="I1310" s="29"/>
      <c r="J1310" s="29"/>
      <c r="K1310" s="29"/>
      <c r="L1310" s="29"/>
      <c r="M1310" s="29"/>
      <c r="N1310" s="29"/>
      <c r="O1310" s="30"/>
      <c r="P1310" s="29"/>
      <c r="Q1310" s="29"/>
      <c r="R1310" s="29"/>
      <c r="S1310" s="33"/>
    </row>
    <row r="1311" spans="1:19" ht="15.6" thickTop="1" thickBot="1" x14ac:dyDescent="0.35">
      <c r="A1311" s="39"/>
      <c r="B1311" s="31"/>
      <c r="C1311" s="31"/>
      <c r="D1311" s="31"/>
      <c r="E1311" s="31"/>
      <c r="F1311" s="31"/>
      <c r="G1311" s="31"/>
      <c r="H1311" s="31"/>
      <c r="I1311" s="31"/>
      <c r="J1311" s="31"/>
      <c r="K1311" s="31"/>
      <c r="L1311" s="31"/>
      <c r="M1311" s="31"/>
      <c r="N1311" s="31"/>
      <c r="O1311" s="32"/>
      <c r="P1311" s="31"/>
      <c r="Q1311" s="31"/>
      <c r="R1311" s="31"/>
      <c r="S1311" s="34"/>
    </row>
    <row r="1312" spans="1:19" ht="15.6" thickTop="1" thickBot="1" x14ac:dyDescent="0.35">
      <c r="A1312" s="39"/>
      <c r="B1312" s="29"/>
      <c r="C1312" s="29"/>
      <c r="D1312" s="29"/>
      <c r="E1312" s="29"/>
      <c r="F1312" s="29"/>
      <c r="G1312" s="29"/>
      <c r="H1312" s="29"/>
      <c r="I1312" s="29"/>
      <c r="J1312" s="29"/>
      <c r="K1312" s="29"/>
      <c r="L1312" s="29"/>
      <c r="M1312" s="29"/>
      <c r="N1312" s="29"/>
      <c r="O1312" s="30"/>
      <c r="P1312" s="29"/>
      <c r="Q1312" s="29"/>
      <c r="R1312" s="29"/>
      <c r="S1312" s="33"/>
    </row>
    <row r="1313" spans="1:19" ht="15.6" thickTop="1" thickBot="1" x14ac:dyDescent="0.35">
      <c r="A1313" s="39"/>
      <c r="B1313" s="31"/>
      <c r="C1313" s="31"/>
      <c r="D1313" s="31"/>
      <c r="E1313" s="31"/>
      <c r="F1313" s="31"/>
      <c r="G1313" s="31"/>
      <c r="H1313" s="31"/>
      <c r="I1313" s="31"/>
      <c r="J1313" s="31"/>
      <c r="K1313" s="31"/>
      <c r="L1313" s="31"/>
      <c r="M1313" s="31"/>
      <c r="N1313" s="31"/>
      <c r="O1313" s="32"/>
      <c r="P1313" s="31"/>
      <c r="Q1313" s="31"/>
      <c r="R1313" s="31"/>
      <c r="S1313" s="34"/>
    </row>
    <row r="1314" spans="1:19" ht="15.6" thickTop="1" thickBot="1" x14ac:dyDescent="0.35">
      <c r="A1314" s="39"/>
      <c r="B1314" s="29"/>
      <c r="C1314" s="29"/>
      <c r="D1314" s="29"/>
      <c r="E1314" s="29"/>
      <c r="F1314" s="29"/>
      <c r="G1314" s="29"/>
      <c r="H1314" s="29"/>
      <c r="I1314" s="29"/>
      <c r="J1314" s="29"/>
      <c r="K1314" s="29"/>
      <c r="L1314" s="29"/>
      <c r="M1314" s="29"/>
      <c r="N1314" s="29"/>
      <c r="O1314" s="30"/>
      <c r="P1314" s="29"/>
      <c r="Q1314" s="29"/>
      <c r="R1314" s="29"/>
      <c r="S1314" s="33"/>
    </row>
    <row r="1315" spans="1:19" ht="15.6" thickTop="1" thickBot="1" x14ac:dyDescent="0.35">
      <c r="A1315" s="39"/>
      <c r="B1315" s="31"/>
      <c r="C1315" s="31"/>
      <c r="D1315" s="31"/>
      <c r="E1315" s="31"/>
      <c r="F1315" s="31"/>
      <c r="G1315" s="31"/>
      <c r="H1315" s="31"/>
      <c r="I1315" s="31"/>
      <c r="J1315" s="31"/>
      <c r="K1315" s="31"/>
      <c r="L1315" s="31"/>
      <c r="M1315" s="31"/>
      <c r="N1315" s="31"/>
      <c r="O1315" s="32"/>
      <c r="P1315" s="31"/>
      <c r="Q1315" s="31"/>
      <c r="R1315" s="31"/>
      <c r="S1315" s="34"/>
    </row>
    <row r="1316" spans="1:19" ht="15.6" thickTop="1" thickBot="1" x14ac:dyDescent="0.35">
      <c r="A1316" s="39"/>
      <c r="B1316" s="29"/>
      <c r="C1316" s="29"/>
      <c r="D1316" s="29"/>
      <c r="E1316" s="29"/>
      <c r="F1316" s="29"/>
      <c r="G1316" s="29"/>
      <c r="H1316" s="29"/>
      <c r="I1316" s="29"/>
      <c r="J1316" s="29"/>
      <c r="K1316" s="29"/>
      <c r="L1316" s="29"/>
      <c r="M1316" s="29"/>
      <c r="N1316" s="29"/>
      <c r="O1316" s="30"/>
      <c r="P1316" s="29"/>
      <c r="Q1316" s="29"/>
      <c r="R1316" s="29"/>
      <c r="S1316" s="33"/>
    </row>
    <row r="1317" spans="1:19" ht="15.6" thickTop="1" thickBot="1" x14ac:dyDescent="0.35">
      <c r="A1317" s="39"/>
      <c r="B1317" s="31"/>
      <c r="C1317" s="31"/>
      <c r="D1317" s="31"/>
      <c r="E1317" s="31"/>
      <c r="F1317" s="31"/>
      <c r="G1317" s="31"/>
      <c r="H1317" s="31"/>
      <c r="I1317" s="31"/>
      <c r="J1317" s="31"/>
      <c r="K1317" s="31"/>
      <c r="L1317" s="31"/>
      <c r="M1317" s="31"/>
      <c r="N1317" s="31"/>
      <c r="O1317" s="32"/>
      <c r="P1317" s="31"/>
      <c r="Q1317" s="31"/>
      <c r="R1317" s="31"/>
      <c r="S1317" s="34"/>
    </row>
    <row r="1318" spans="1:19" ht="15.6" thickTop="1" thickBot="1" x14ac:dyDescent="0.35">
      <c r="A1318" s="39"/>
      <c r="B1318" s="29"/>
      <c r="C1318" s="29"/>
      <c r="D1318" s="29"/>
      <c r="E1318" s="29"/>
      <c r="F1318" s="29"/>
      <c r="G1318" s="29"/>
      <c r="H1318" s="29"/>
      <c r="I1318" s="29"/>
      <c r="J1318" s="29"/>
      <c r="K1318" s="29"/>
      <c r="L1318" s="29"/>
      <c r="M1318" s="29"/>
      <c r="N1318" s="29"/>
      <c r="O1318" s="30"/>
      <c r="P1318" s="29"/>
      <c r="Q1318" s="29"/>
      <c r="R1318" s="29"/>
      <c r="S1318" s="33"/>
    </row>
    <row r="1319" spans="1:19" ht="15.6" thickTop="1" thickBot="1" x14ac:dyDescent="0.35">
      <c r="A1319" s="39"/>
      <c r="B1319" s="31"/>
      <c r="C1319" s="31"/>
      <c r="D1319" s="31"/>
      <c r="E1319" s="31"/>
      <c r="F1319" s="31"/>
      <c r="G1319" s="31"/>
      <c r="H1319" s="31"/>
      <c r="I1319" s="31"/>
      <c r="J1319" s="31"/>
      <c r="K1319" s="31"/>
      <c r="L1319" s="31"/>
      <c r="M1319" s="31"/>
      <c r="N1319" s="31"/>
      <c r="O1319" s="32"/>
      <c r="P1319" s="31"/>
      <c r="Q1319" s="31"/>
      <c r="R1319" s="31"/>
      <c r="S1319" s="34"/>
    </row>
    <row r="1320" spans="1:19" ht="15.6" thickTop="1" thickBot="1" x14ac:dyDescent="0.35">
      <c r="A1320" s="39"/>
      <c r="B1320" s="29"/>
      <c r="C1320" s="29"/>
      <c r="D1320" s="29"/>
      <c r="E1320" s="29"/>
      <c r="F1320" s="29"/>
      <c r="G1320" s="29"/>
      <c r="H1320" s="29"/>
      <c r="I1320" s="29"/>
      <c r="J1320" s="29"/>
      <c r="K1320" s="29"/>
      <c r="L1320" s="29"/>
      <c r="M1320" s="29"/>
      <c r="N1320" s="29"/>
      <c r="O1320" s="30"/>
      <c r="P1320" s="29"/>
      <c r="Q1320" s="29"/>
      <c r="R1320" s="29"/>
      <c r="S1320" s="33"/>
    </row>
    <row r="1321" spans="1:19" ht="15.6" thickTop="1" thickBot="1" x14ac:dyDescent="0.35">
      <c r="A1321" s="39"/>
      <c r="B1321" s="31"/>
      <c r="C1321" s="31"/>
      <c r="D1321" s="31"/>
      <c r="E1321" s="31"/>
      <c r="F1321" s="31"/>
      <c r="G1321" s="31"/>
      <c r="H1321" s="31"/>
      <c r="I1321" s="31"/>
      <c r="J1321" s="31"/>
      <c r="K1321" s="31"/>
      <c r="L1321" s="31"/>
      <c r="M1321" s="31"/>
      <c r="N1321" s="31"/>
      <c r="O1321" s="32"/>
      <c r="P1321" s="31"/>
      <c r="Q1321" s="31"/>
      <c r="R1321" s="31"/>
      <c r="S1321" s="34"/>
    </row>
    <row r="1322" spans="1:19" ht="15.6" thickTop="1" thickBot="1" x14ac:dyDescent="0.35">
      <c r="A1322" s="39"/>
      <c r="B1322" s="29"/>
      <c r="C1322" s="29"/>
      <c r="D1322" s="29"/>
      <c r="E1322" s="29"/>
      <c r="F1322" s="29"/>
      <c r="G1322" s="29"/>
      <c r="H1322" s="29"/>
      <c r="I1322" s="29"/>
      <c r="J1322" s="29"/>
      <c r="K1322" s="29"/>
      <c r="L1322" s="29"/>
      <c r="M1322" s="29"/>
      <c r="N1322" s="29"/>
      <c r="O1322" s="30"/>
      <c r="P1322" s="29"/>
      <c r="Q1322" s="29"/>
      <c r="R1322" s="29"/>
      <c r="S1322" s="33"/>
    </row>
    <row r="1323" spans="1:19" ht="15.6" thickTop="1" thickBot="1" x14ac:dyDescent="0.35">
      <c r="A1323" s="39"/>
      <c r="B1323" s="31"/>
      <c r="C1323" s="31"/>
      <c r="D1323" s="31"/>
      <c r="E1323" s="31"/>
      <c r="F1323" s="31"/>
      <c r="G1323" s="31"/>
      <c r="H1323" s="31"/>
      <c r="I1323" s="31"/>
      <c r="J1323" s="31"/>
      <c r="K1323" s="31"/>
      <c r="L1323" s="31"/>
      <c r="M1323" s="31"/>
      <c r="N1323" s="31"/>
      <c r="O1323" s="32"/>
      <c r="P1323" s="31"/>
      <c r="Q1323" s="31"/>
      <c r="R1323" s="31"/>
      <c r="S1323" s="34"/>
    </row>
    <row r="1324" spans="1:19" ht="15.6" thickTop="1" thickBot="1" x14ac:dyDescent="0.35">
      <c r="A1324" s="39"/>
      <c r="B1324" s="29"/>
      <c r="C1324" s="29"/>
      <c r="D1324" s="29"/>
      <c r="E1324" s="29"/>
      <c r="F1324" s="29"/>
      <c r="G1324" s="29"/>
      <c r="H1324" s="29"/>
      <c r="I1324" s="29"/>
      <c r="J1324" s="29"/>
      <c r="K1324" s="29"/>
      <c r="L1324" s="29"/>
      <c r="M1324" s="29"/>
      <c r="N1324" s="29"/>
      <c r="O1324" s="30"/>
      <c r="P1324" s="29"/>
      <c r="Q1324" s="29"/>
      <c r="R1324" s="29"/>
      <c r="S1324" s="33"/>
    </row>
    <row r="1325" spans="1:19" ht="15.6" thickTop="1" thickBot="1" x14ac:dyDescent="0.35">
      <c r="A1325" s="39"/>
      <c r="B1325" s="31"/>
      <c r="C1325" s="31"/>
      <c r="D1325" s="31"/>
      <c r="E1325" s="31"/>
      <c r="F1325" s="31"/>
      <c r="G1325" s="31"/>
      <c r="H1325" s="31"/>
      <c r="I1325" s="31"/>
      <c r="J1325" s="31"/>
      <c r="K1325" s="31"/>
      <c r="L1325" s="31"/>
      <c r="M1325" s="31"/>
      <c r="N1325" s="31"/>
      <c r="O1325" s="32"/>
      <c r="P1325" s="31"/>
      <c r="Q1325" s="31"/>
      <c r="R1325" s="31"/>
      <c r="S1325" s="34"/>
    </row>
    <row r="1326" spans="1:19" ht="15.6" thickTop="1" thickBot="1" x14ac:dyDescent="0.35">
      <c r="A1326" s="39"/>
      <c r="B1326" s="29"/>
      <c r="C1326" s="29"/>
      <c r="D1326" s="29"/>
      <c r="E1326" s="29"/>
      <c r="F1326" s="29"/>
      <c r="G1326" s="29"/>
      <c r="H1326" s="29"/>
      <c r="I1326" s="29"/>
      <c r="J1326" s="29"/>
      <c r="K1326" s="29"/>
      <c r="L1326" s="29"/>
      <c r="M1326" s="29"/>
      <c r="N1326" s="29"/>
      <c r="O1326" s="30"/>
      <c r="P1326" s="29"/>
      <c r="Q1326" s="29"/>
      <c r="R1326" s="29"/>
      <c r="S1326" s="33"/>
    </row>
    <row r="1327" spans="1:19" ht="15.6" thickTop="1" thickBot="1" x14ac:dyDescent="0.35">
      <c r="A1327" s="39"/>
      <c r="B1327" s="31"/>
      <c r="C1327" s="31"/>
      <c r="D1327" s="31"/>
      <c r="E1327" s="31"/>
      <c r="F1327" s="31"/>
      <c r="G1327" s="31"/>
      <c r="H1327" s="31"/>
      <c r="I1327" s="31"/>
      <c r="J1327" s="31"/>
      <c r="K1327" s="31"/>
      <c r="L1327" s="31"/>
      <c r="M1327" s="31"/>
      <c r="N1327" s="31"/>
      <c r="O1327" s="32"/>
      <c r="P1327" s="31"/>
      <c r="Q1327" s="31"/>
      <c r="R1327" s="31"/>
      <c r="S1327" s="34"/>
    </row>
    <row r="1328" spans="1:19" ht="15.6" thickTop="1" thickBot="1" x14ac:dyDescent="0.35">
      <c r="A1328" s="39"/>
      <c r="B1328" s="29"/>
      <c r="C1328" s="29"/>
      <c r="D1328" s="29"/>
      <c r="E1328" s="29"/>
      <c r="F1328" s="29"/>
      <c r="G1328" s="29"/>
      <c r="H1328" s="29"/>
      <c r="I1328" s="29"/>
      <c r="J1328" s="29"/>
      <c r="K1328" s="29"/>
      <c r="L1328" s="29"/>
      <c r="M1328" s="29"/>
      <c r="N1328" s="29"/>
      <c r="O1328" s="30"/>
      <c r="P1328" s="29"/>
      <c r="Q1328" s="29"/>
      <c r="R1328" s="29"/>
      <c r="S1328" s="33"/>
    </row>
    <row r="1329" spans="1:19" ht="15.6" thickTop="1" thickBot="1" x14ac:dyDescent="0.35">
      <c r="A1329" s="39"/>
      <c r="B1329" s="31"/>
      <c r="C1329" s="31"/>
      <c r="D1329" s="31"/>
      <c r="E1329" s="31"/>
      <c r="F1329" s="31"/>
      <c r="G1329" s="31"/>
      <c r="H1329" s="31"/>
      <c r="I1329" s="31"/>
      <c r="J1329" s="31"/>
      <c r="K1329" s="31"/>
      <c r="L1329" s="31"/>
      <c r="M1329" s="31"/>
      <c r="N1329" s="31"/>
      <c r="O1329" s="32"/>
      <c r="P1329" s="31"/>
      <c r="Q1329" s="31"/>
      <c r="R1329" s="31"/>
      <c r="S1329" s="34"/>
    </row>
    <row r="1330" spans="1:19" ht="15.6" thickTop="1" thickBot="1" x14ac:dyDescent="0.35">
      <c r="A1330" s="39"/>
      <c r="B1330" s="29"/>
      <c r="C1330" s="29"/>
      <c r="D1330" s="29"/>
      <c r="E1330" s="29"/>
      <c r="F1330" s="29"/>
      <c r="G1330" s="29"/>
      <c r="H1330" s="29"/>
      <c r="I1330" s="29"/>
      <c r="J1330" s="29"/>
      <c r="K1330" s="29"/>
      <c r="L1330" s="29"/>
      <c r="M1330" s="29"/>
      <c r="N1330" s="29"/>
      <c r="O1330" s="30"/>
      <c r="P1330" s="29"/>
      <c r="Q1330" s="29"/>
      <c r="R1330" s="29"/>
      <c r="S1330" s="33"/>
    </row>
    <row r="1331" spans="1:19" ht="15.6" thickTop="1" thickBot="1" x14ac:dyDescent="0.35">
      <c r="A1331" s="39"/>
      <c r="B1331" s="31"/>
      <c r="C1331" s="31"/>
      <c r="D1331" s="31"/>
      <c r="E1331" s="31"/>
      <c r="F1331" s="31"/>
      <c r="G1331" s="31"/>
      <c r="H1331" s="31"/>
      <c r="I1331" s="31"/>
      <c r="J1331" s="31"/>
      <c r="K1331" s="31"/>
      <c r="L1331" s="31"/>
      <c r="M1331" s="31"/>
      <c r="N1331" s="31"/>
      <c r="O1331" s="32"/>
      <c r="P1331" s="31"/>
      <c r="Q1331" s="31"/>
      <c r="R1331" s="31"/>
      <c r="S1331" s="34"/>
    </row>
    <row r="1332" spans="1:19" ht="15.6" thickTop="1" thickBot="1" x14ac:dyDescent="0.35">
      <c r="A1332" s="39"/>
      <c r="B1332" s="29"/>
      <c r="C1332" s="29"/>
      <c r="D1332" s="29"/>
      <c r="E1332" s="29"/>
      <c r="F1332" s="29"/>
      <c r="G1332" s="29"/>
      <c r="H1332" s="29"/>
      <c r="I1332" s="29"/>
      <c r="J1332" s="29"/>
      <c r="K1332" s="29"/>
      <c r="L1332" s="29"/>
      <c r="M1332" s="29"/>
      <c r="N1332" s="29"/>
      <c r="O1332" s="30"/>
      <c r="P1332" s="29"/>
      <c r="Q1332" s="29"/>
      <c r="R1332" s="29"/>
      <c r="S1332" s="33"/>
    </row>
    <row r="1333" spans="1:19" ht="15.6" thickTop="1" thickBot="1" x14ac:dyDescent="0.35">
      <c r="A1333" s="39"/>
      <c r="B1333" s="31"/>
      <c r="C1333" s="31"/>
      <c r="D1333" s="31"/>
      <c r="E1333" s="31"/>
      <c r="F1333" s="31"/>
      <c r="G1333" s="31"/>
      <c r="H1333" s="31"/>
      <c r="I1333" s="31"/>
      <c r="J1333" s="31"/>
      <c r="K1333" s="31"/>
      <c r="L1333" s="31"/>
      <c r="M1333" s="31"/>
      <c r="N1333" s="31"/>
      <c r="O1333" s="32"/>
      <c r="P1333" s="31"/>
      <c r="Q1333" s="31"/>
      <c r="R1333" s="31"/>
      <c r="S1333" s="34"/>
    </row>
    <row r="1334" spans="1:19" ht="15.6" thickTop="1" thickBot="1" x14ac:dyDescent="0.35">
      <c r="A1334" s="39"/>
      <c r="B1334" s="29"/>
      <c r="C1334" s="29"/>
      <c r="D1334" s="29"/>
      <c r="E1334" s="29"/>
      <c r="F1334" s="29"/>
      <c r="G1334" s="29"/>
      <c r="H1334" s="29"/>
      <c r="I1334" s="29"/>
      <c r="J1334" s="29"/>
      <c r="K1334" s="29"/>
      <c r="L1334" s="29"/>
      <c r="M1334" s="29"/>
      <c r="N1334" s="29"/>
      <c r="O1334" s="30"/>
      <c r="P1334" s="29"/>
      <c r="Q1334" s="29"/>
      <c r="R1334" s="29"/>
      <c r="S1334" s="33"/>
    </row>
    <row r="1335" spans="1:19" ht="15.6" thickTop="1" thickBot="1" x14ac:dyDescent="0.35">
      <c r="A1335" s="39"/>
      <c r="B1335" s="31"/>
      <c r="C1335" s="31"/>
      <c r="D1335" s="31"/>
      <c r="E1335" s="31"/>
      <c r="F1335" s="31"/>
      <c r="G1335" s="31"/>
      <c r="H1335" s="31"/>
      <c r="I1335" s="31"/>
      <c r="J1335" s="31"/>
      <c r="K1335" s="31"/>
      <c r="L1335" s="31"/>
      <c r="M1335" s="31"/>
      <c r="N1335" s="31"/>
      <c r="O1335" s="32"/>
      <c r="P1335" s="31"/>
      <c r="Q1335" s="31"/>
      <c r="R1335" s="31"/>
      <c r="S1335" s="34"/>
    </row>
    <row r="1336" spans="1:19" ht="15.6" thickTop="1" thickBot="1" x14ac:dyDescent="0.35">
      <c r="A1336" s="39"/>
      <c r="B1336" s="29"/>
      <c r="C1336" s="29"/>
      <c r="D1336" s="29"/>
      <c r="E1336" s="29"/>
      <c r="F1336" s="29"/>
      <c r="G1336" s="29"/>
      <c r="H1336" s="29"/>
      <c r="I1336" s="29"/>
      <c r="J1336" s="29"/>
      <c r="K1336" s="29"/>
      <c r="L1336" s="29"/>
      <c r="M1336" s="29"/>
      <c r="N1336" s="29"/>
      <c r="O1336" s="30"/>
      <c r="P1336" s="29"/>
      <c r="Q1336" s="29"/>
      <c r="R1336" s="29"/>
      <c r="S1336" s="33"/>
    </row>
    <row r="1337" spans="1:19" ht="15.6" thickTop="1" thickBot="1" x14ac:dyDescent="0.35">
      <c r="A1337" s="39"/>
      <c r="B1337" s="31"/>
      <c r="C1337" s="31"/>
      <c r="D1337" s="31"/>
      <c r="E1337" s="31"/>
      <c r="F1337" s="31"/>
      <c r="G1337" s="31"/>
      <c r="H1337" s="31"/>
      <c r="I1337" s="31"/>
      <c r="J1337" s="31"/>
      <c r="K1337" s="31"/>
      <c r="L1337" s="31"/>
      <c r="M1337" s="31"/>
      <c r="N1337" s="31"/>
      <c r="O1337" s="32"/>
      <c r="P1337" s="31"/>
      <c r="Q1337" s="31"/>
      <c r="R1337" s="31"/>
      <c r="S1337" s="34"/>
    </row>
    <row r="1338" spans="1:19" ht="15.6" thickTop="1" thickBot="1" x14ac:dyDescent="0.35">
      <c r="A1338" s="39"/>
      <c r="B1338" s="29"/>
      <c r="C1338" s="29"/>
      <c r="D1338" s="29"/>
      <c r="E1338" s="29"/>
      <c r="F1338" s="29"/>
      <c r="G1338" s="29"/>
      <c r="H1338" s="29"/>
      <c r="I1338" s="29"/>
      <c r="J1338" s="29"/>
      <c r="K1338" s="29"/>
      <c r="L1338" s="29"/>
      <c r="M1338" s="29"/>
      <c r="N1338" s="29"/>
      <c r="O1338" s="30"/>
      <c r="P1338" s="29"/>
      <c r="Q1338" s="29"/>
      <c r="R1338" s="29"/>
      <c r="S1338" s="33"/>
    </row>
    <row r="1339" spans="1:19" ht="15.6" thickTop="1" thickBot="1" x14ac:dyDescent="0.35">
      <c r="A1339" s="39"/>
      <c r="B1339" s="31"/>
      <c r="C1339" s="31"/>
      <c r="D1339" s="31"/>
      <c r="E1339" s="31"/>
      <c r="F1339" s="31"/>
      <c r="G1339" s="31"/>
      <c r="H1339" s="31"/>
      <c r="I1339" s="31"/>
      <c r="J1339" s="31"/>
      <c r="K1339" s="31"/>
      <c r="L1339" s="31"/>
      <c r="M1339" s="31"/>
      <c r="N1339" s="31"/>
      <c r="O1339" s="32"/>
      <c r="P1339" s="31"/>
      <c r="Q1339" s="31"/>
      <c r="R1339" s="31"/>
      <c r="S1339" s="34"/>
    </row>
    <row r="1340" spans="1:19" ht="15.6" thickTop="1" thickBot="1" x14ac:dyDescent="0.35">
      <c r="A1340" s="39"/>
      <c r="B1340" s="29"/>
      <c r="C1340" s="29"/>
      <c r="D1340" s="29"/>
      <c r="E1340" s="29"/>
      <c r="F1340" s="29"/>
      <c r="G1340" s="29"/>
      <c r="H1340" s="29"/>
      <c r="I1340" s="29"/>
      <c r="J1340" s="29"/>
      <c r="K1340" s="29"/>
      <c r="L1340" s="29"/>
      <c r="M1340" s="29"/>
      <c r="N1340" s="29"/>
      <c r="O1340" s="30"/>
      <c r="P1340" s="29"/>
      <c r="Q1340" s="29"/>
      <c r="R1340" s="29"/>
      <c r="S1340" s="33"/>
    </row>
    <row r="1341" spans="1:19" ht="15.6" thickTop="1" thickBot="1" x14ac:dyDescent="0.35">
      <c r="A1341" s="39"/>
      <c r="B1341" s="31"/>
      <c r="C1341" s="31"/>
      <c r="D1341" s="31"/>
      <c r="E1341" s="31"/>
      <c r="F1341" s="31"/>
      <c r="G1341" s="31"/>
      <c r="H1341" s="31"/>
      <c r="I1341" s="31"/>
      <c r="J1341" s="31"/>
      <c r="K1341" s="31"/>
      <c r="L1341" s="31"/>
      <c r="M1341" s="31"/>
      <c r="N1341" s="31"/>
      <c r="O1341" s="32"/>
      <c r="P1341" s="31"/>
      <c r="Q1341" s="31"/>
      <c r="R1341" s="31"/>
      <c r="S1341" s="34"/>
    </row>
    <row r="1342" spans="1:19" ht="15.6" thickTop="1" thickBot="1" x14ac:dyDescent="0.35">
      <c r="A1342" s="39"/>
      <c r="B1342" s="29"/>
      <c r="C1342" s="29"/>
      <c r="D1342" s="29"/>
      <c r="E1342" s="29"/>
      <c r="F1342" s="29"/>
      <c r="G1342" s="29"/>
      <c r="H1342" s="29"/>
      <c r="I1342" s="29"/>
      <c r="J1342" s="29"/>
      <c r="K1342" s="29"/>
      <c r="L1342" s="29"/>
      <c r="M1342" s="29"/>
      <c r="N1342" s="29"/>
      <c r="O1342" s="30"/>
      <c r="P1342" s="29"/>
      <c r="Q1342" s="29"/>
      <c r="R1342" s="29"/>
      <c r="S1342" s="33"/>
    </row>
    <row r="1343" spans="1:19" ht="15.6" thickTop="1" thickBot="1" x14ac:dyDescent="0.35">
      <c r="A1343" s="39"/>
      <c r="B1343" s="31"/>
      <c r="C1343" s="31"/>
      <c r="D1343" s="31"/>
      <c r="E1343" s="31"/>
      <c r="F1343" s="31"/>
      <c r="G1343" s="31"/>
      <c r="H1343" s="31"/>
      <c r="I1343" s="31"/>
      <c r="J1343" s="31"/>
      <c r="K1343" s="31"/>
      <c r="L1343" s="31"/>
      <c r="M1343" s="31"/>
      <c r="N1343" s="31"/>
      <c r="O1343" s="32"/>
      <c r="P1343" s="31"/>
      <c r="Q1343" s="31"/>
      <c r="R1343" s="31"/>
      <c r="S1343" s="34"/>
    </row>
    <row r="1344" spans="1:19" ht="15.6" thickTop="1" thickBot="1" x14ac:dyDescent="0.35">
      <c r="A1344" s="39"/>
      <c r="B1344" s="29"/>
      <c r="C1344" s="29"/>
      <c r="D1344" s="29"/>
      <c r="E1344" s="29"/>
      <c r="F1344" s="29"/>
      <c r="G1344" s="29"/>
      <c r="H1344" s="29"/>
      <c r="I1344" s="29"/>
      <c r="J1344" s="29"/>
      <c r="K1344" s="29"/>
      <c r="L1344" s="29"/>
      <c r="M1344" s="29"/>
      <c r="N1344" s="29"/>
      <c r="O1344" s="30"/>
      <c r="P1344" s="29"/>
      <c r="Q1344" s="29"/>
      <c r="R1344" s="29"/>
      <c r="S1344" s="33"/>
    </row>
    <row r="1345" spans="1:19" ht="15.6" thickTop="1" thickBot="1" x14ac:dyDescent="0.35">
      <c r="A1345" s="39"/>
      <c r="B1345" s="31"/>
      <c r="C1345" s="31"/>
      <c r="D1345" s="31"/>
      <c r="E1345" s="31"/>
      <c r="F1345" s="31"/>
      <c r="G1345" s="31"/>
      <c r="H1345" s="31"/>
      <c r="I1345" s="31"/>
      <c r="J1345" s="31"/>
      <c r="K1345" s="31"/>
      <c r="L1345" s="31"/>
      <c r="M1345" s="31"/>
      <c r="N1345" s="31"/>
      <c r="O1345" s="32"/>
      <c r="P1345" s="31"/>
      <c r="Q1345" s="31"/>
      <c r="R1345" s="31"/>
      <c r="S1345" s="34"/>
    </row>
    <row r="1346" spans="1:19" ht="15.6" thickTop="1" thickBot="1" x14ac:dyDescent="0.35">
      <c r="A1346" s="39"/>
      <c r="B1346" s="29"/>
      <c r="C1346" s="29"/>
      <c r="D1346" s="29"/>
      <c r="E1346" s="29"/>
      <c r="F1346" s="29"/>
      <c r="G1346" s="29"/>
      <c r="H1346" s="29"/>
      <c r="I1346" s="29"/>
      <c r="J1346" s="29"/>
      <c r="K1346" s="29"/>
      <c r="L1346" s="29"/>
      <c r="M1346" s="29"/>
      <c r="N1346" s="29"/>
      <c r="O1346" s="30"/>
      <c r="P1346" s="29"/>
      <c r="Q1346" s="29"/>
      <c r="R1346" s="29"/>
      <c r="S1346" s="33"/>
    </row>
    <row r="1347" spans="1:19" ht="15.6" thickTop="1" thickBot="1" x14ac:dyDescent="0.35">
      <c r="A1347" s="39"/>
      <c r="B1347" s="31"/>
      <c r="C1347" s="31"/>
      <c r="D1347" s="31"/>
      <c r="E1347" s="31"/>
      <c r="F1347" s="31"/>
      <c r="G1347" s="31"/>
      <c r="H1347" s="31"/>
      <c r="I1347" s="31"/>
      <c r="J1347" s="31"/>
      <c r="K1347" s="31"/>
      <c r="L1347" s="31"/>
      <c r="M1347" s="31"/>
      <c r="N1347" s="31"/>
      <c r="O1347" s="32"/>
      <c r="P1347" s="31"/>
      <c r="Q1347" s="31"/>
      <c r="R1347" s="31"/>
      <c r="S1347" s="34"/>
    </row>
    <row r="1348" spans="1:19" ht="15.6" thickTop="1" thickBot="1" x14ac:dyDescent="0.35">
      <c r="A1348" s="39"/>
      <c r="B1348" s="29"/>
      <c r="C1348" s="29"/>
      <c r="D1348" s="29"/>
      <c r="E1348" s="29"/>
      <c r="F1348" s="29"/>
      <c r="G1348" s="29"/>
      <c r="H1348" s="29"/>
      <c r="I1348" s="29"/>
      <c r="J1348" s="29"/>
      <c r="K1348" s="29"/>
      <c r="L1348" s="29"/>
      <c r="M1348" s="29"/>
      <c r="N1348" s="29"/>
      <c r="O1348" s="30"/>
      <c r="P1348" s="29"/>
      <c r="Q1348" s="29"/>
      <c r="R1348" s="29"/>
      <c r="S1348" s="33"/>
    </row>
    <row r="1349" spans="1:19" ht="15.6" thickTop="1" thickBot="1" x14ac:dyDescent="0.35">
      <c r="A1349" s="39"/>
      <c r="B1349" s="31"/>
      <c r="C1349" s="31"/>
      <c r="D1349" s="31"/>
      <c r="E1349" s="31"/>
      <c r="F1349" s="31"/>
      <c r="G1349" s="31"/>
      <c r="H1349" s="31"/>
      <c r="I1349" s="31"/>
      <c r="J1349" s="31"/>
      <c r="K1349" s="31"/>
      <c r="L1349" s="31"/>
      <c r="M1349" s="31"/>
      <c r="N1349" s="31"/>
      <c r="O1349" s="32"/>
      <c r="P1349" s="31"/>
      <c r="Q1349" s="31"/>
      <c r="R1349" s="31"/>
      <c r="S1349" s="34"/>
    </row>
    <row r="1350" spans="1:19" ht="15.6" thickTop="1" thickBot="1" x14ac:dyDescent="0.35">
      <c r="A1350" s="39"/>
      <c r="B1350" s="29"/>
      <c r="C1350" s="29"/>
      <c r="D1350" s="29"/>
      <c r="E1350" s="29"/>
      <c r="F1350" s="29"/>
      <c r="G1350" s="29"/>
      <c r="H1350" s="29"/>
      <c r="I1350" s="29"/>
      <c r="J1350" s="29"/>
      <c r="K1350" s="29"/>
      <c r="L1350" s="29"/>
      <c r="M1350" s="29"/>
      <c r="N1350" s="29"/>
      <c r="O1350" s="30"/>
      <c r="P1350" s="29"/>
      <c r="Q1350" s="29"/>
      <c r="R1350" s="29"/>
      <c r="S1350" s="33"/>
    </row>
    <row r="1351" spans="1:19" ht="15.6" thickTop="1" thickBot="1" x14ac:dyDescent="0.35">
      <c r="A1351" s="39"/>
      <c r="B1351" s="31"/>
      <c r="C1351" s="31"/>
      <c r="D1351" s="31"/>
      <c r="E1351" s="31"/>
      <c r="F1351" s="31"/>
      <c r="G1351" s="31"/>
      <c r="H1351" s="31"/>
      <c r="I1351" s="31"/>
      <c r="J1351" s="31"/>
      <c r="K1351" s="31"/>
      <c r="L1351" s="31"/>
      <c r="M1351" s="31"/>
      <c r="N1351" s="31"/>
      <c r="O1351" s="32"/>
      <c r="P1351" s="31"/>
      <c r="Q1351" s="31"/>
      <c r="R1351" s="31"/>
      <c r="S1351" s="34"/>
    </row>
    <row r="1352" spans="1:19" ht="15.6" thickTop="1" thickBot="1" x14ac:dyDescent="0.35">
      <c r="A1352" s="39"/>
      <c r="B1352" s="29"/>
      <c r="C1352" s="29"/>
      <c r="D1352" s="29"/>
      <c r="E1352" s="29"/>
      <c r="F1352" s="29"/>
      <c r="G1352" s="29"/>
      <c r="H1352" s="29"/>
      <c r="I1352" s="29"/>
      <c r="J1352" s="29"/>
      <c r="K1352" s="29"/>
      <c r="L1352" s="29"/>
      <c r="M1352" s="29"/>
      <c r="N1352" s="29"/>
      <c r="O1352" s="30"/>
      <c r="P1352" s="29"/>
      <c r="Q1352" s="29"/>
      <c r="R1352" s="29"/>
      <c r="S1352" s="33"/>
    </row>
    <row r="1353" spans="1:19" ht="15.6" thickTop="1" thickBot="1" x14ac:dyDescent="0.35">
      <c r="A1353" s="39"/>
      <c r="B1353" s="31"/>
      <c r="C1353" s="31"/>
      <c r="D1353" s="31"/>
      <c r="E1353" s="31"/>
      <c r="F1353" s="31"/>
      <c r="G1353" s="31"/>
      <c r="H1353" s="31"/>
      <c r="I1353" s="31"/>
      <c r="J1353" s="31"/>
      <c r="K1353" s="31"/>
      <c r="L1353" s="31"/>
      <c r="M1353" s="31"/>
      <c r="N1353" s="31"/>
      <c r="O1353" s="32"/>
      <c r="P1353" s="31"/>
      <c r="Q1353" s="31"/>
      <c r="R1353" s="31"/>
      <c r="S1353" s="34"/>
    </row>
    <row r="1354" spans="1:19" ht="15.6" thickTop="1" thickBot="1" x14ac:dyDescent="0.35">
      <c r="A1354" s="39"/>
      <c r="B1354" s="29"/>
      <c r="C1354" s="29"/>
      <c r="D1354" s="29"/>
      <c r="E1354" s="29"/>
      <c r="F1354" s="29"/>
      <c r="G1354" s="29"/>
      <c r="H1354" s="29"/>
      <c r="I1354" s="29"/>
      <c r="J1354" s="29"/>
      <c r="K1354" s="29"/>
      <c r="L1354" s="29"/>
      <c r="M1354" s="29"/>
      <c r="N1354" s="29"/>
      <c r="O1354" s="30"/>
      <c r="P1354" s="29"/>
      <c r="Q1354" s="29"/>
      <c r="R1354" s="29"/>
      <c r="S1354" s="33"/>
    </row>
    <row r="1355" spans="1:19" ht="15.6" thickTop="1" thickBot="1" x14ac:dyDescent="0.35">
      <c r="A1355" s="39"/>
      <c r="B1355" s="31"/>
      <c r="C1355" s="31"/>
      <c r="D1355" s="31"/>
      <c r="E1355" s="31"/>
      <c r="F1355" s="31"/>
      <c r="G1355" s="31"/>
      <c r="H1355" s="31"/>
      <c r="I1355" s="31"/>
      <c r="J1355" s="31"/>
      <c r="K1355" s="31"/>
      <c r="L1355" s="31"/>
      <c r="M1355" s="31"/>
      <c r="N1355" s="31"/>
      <c r="O1355" s="32"/>
      <c r="P1355" s="31"/>
      <c r="Q1355" s="31"/>
      <c r="R1355" s="31"/>
      <c r="S1355" s="34"/>
    </row>
    <row r="1356" spans="1:19" ht="15.6" thickTop="1" thickBot="1" x14ac:dyDescent="0.35">
      <c r="A1356" s="39"/>
      <c r="B1356" s="29"/>
      <c r="C1356" s="29"/>
      <c r="D1356" s="29"/>
      <c r="E1356" s="29"/>
      <c r="F1356" s="29"/>
      <c r="G1356" s="29"/>
      <c r="H1356" s="29"/>
      <c r="I1356" s="29"/>
      <c r="J1356" s="29"/>
      <c r="K1356" s="29"/>
      <c r="L1356" s="29"/>
      <c r="M1356" s="29"/>
      <c r="N1356" s="29"/>
      <c r="O1356" s="30"/>
      <c r="P1356" s="29"/>
      <c r="Q1356" s="29"/>
      <c r="R1356" s="29"/>
      <c r="S1356" s="33"/>
    </row>
    <row r="1357" spans="1:19" ht="15.6" thickTop="1" thickBot="1" x14ac:dyDescent="0.35">
      <c r="A1357" s="39"/>
      <c r="B1357" s="31"/>
      <c r="C1357" s="31"/>
      <c r="D1357" s="31"/>
      <c r="E1357" s="31"/>
      <c r="F1357" s="31"/>
      <c r="G1357" s="31"/>
      <c r="H1357" s="31"/>
      <c r="I1357" s="31"/>
      <c r="J1357" s="31"/>
      <c r="K1357" s="31"/>
      <c r="L1357" s="31"/>
      <c r="M1357" s="31"/>
      <c r="N1357" s="31"/>
      <c r="O1357" s="32"/>
      <c r="P1357" s="31"/>
      <c r="Q1357" s="31"/>
      <c r="R1357" s="31"/>
      <c r="S1357" s="34"/>
    </row>
    <row r="1358" spans="1:19" ht="15.6" thickTop="1" thickBot="1" x14ac:dyDescent="0.35">
      <c r="A1358" s="39"/>
      <c r="B1358" s="29"/>
      <c r="C1358" s="29"/>
      <c r="D1358" s="29"/>
      <c r="E1358" s="29"/>
      <c r="F1358" s="29"/>
      <c r="G1358" s="29"/>
      <c r="H1358" s="29"/>
      <c r="I1358" s="29"/>
      <c r="J1358" s="29"/>
      <c r="K1358" s="29"/>
      <c r="L1358" s="29"/>
      <c r="M1358" s="29"/>
      <c r="N1358" s="29"/>
      <c r="O1358" s="30"/>
      <c r="P1358" s="29"/>
      <c r="Q1358" s="29"/>
      <c r="R1358" s="29"/>
      <c r="S1358" s="33"/>
    </row>
    <row r="1359" spans="1:19" ht="15.6" thickTop="1" thickBot="1" x14ac:dyDescent="0.35">
      <c r="A1359" s="39"/>
      <c r="B1359" s="31"/>
      <c r="C1359" s="31"/>
      <c r="D1359" s="31"/>
      <c r="E1359" s="31"/>
      <c r="F1359" s="31"/>
      <c r="G1359" s="31"/>
      <c r="H1359" s="31"/>
      <c r="I1359" s="31"/>
      <c r="J1359" s="31"/>
      <c r="K1359" s="31"/>
      <c r="L1359" s="31"/>
      <c r="M1359" s="31"/>
      <c r="N1359" s="31"/>
      <c r="O1359" s="32"/>
      <c r="P1359" s="31"/>
      <c r="Q1359" s="31"/>
      <c r="R1359" s="31"/>
      <c r="S1359" s="34"/>
    </row>
    <row r="1360" spans="1:19" ht="15.6" thickTop="1" thickBot="1" x14ac:dyDescent="0.35">
      <c r="A1360" s="39"/>
      <c r="B1360" s="29"/>
      <c r="C1360" s="29"/>
      <c r="D1360" s="29"/>
      <c r="E1360" s="29"/>
      <c r="F1360" s="29"/>
      <c r="G1360" s="29"/>
      <c r="H1360" s="29"/>
      <c r="I1360" s="29"/>
      <c r="J1360" s="29"/>
      <c r="K1360" s="29"/>
      <c r="L1360" s="29"/>
      <c r="M1360" s="29"/>
      <c r="N1360" s="29"/>
      <c r="O1360" s="30"/>
      <c r="P1360" s="29"/>
      <c r="Q1360" s="29"/>
      <c r="R1360" s="29"/>
      <c r="S1360" s="33"/>
    </row>
    <row r="1361" spans="1:19" ht="15.6" thickTop="1" thickBot="1" x14ac:dyDescent="0.35">
      <c r="A1361" s="39"/>
      <c r="B1361" s="31"/>
      <c r="C1361" s="31"/>
      <c r="D1361" s="31"/>
      <c r="E1361" s="31"/>
      <c r="F1361" s="31"/>
      <c r="G1361" s="31"/>
      <c r="H1361" s="31"/>
      <c r="I1361" s="31"/>
      <c r="J1361" s="31"/>
      <c r="K1361" s="31"/>
      <c r="L1361" s="31"/>
      <c r="M1361" s="31"/>
      <c r="N1361" s="31"/>
      <c r="O1361" s="32"/>
      <c r="P1361" s="31"/>
      <c r="Q1361" s="31"/>
      <c r="R1361" s="31"/>
      <c r="S1361" s="34"/>
    </row>
    <row r="1362" spans="1:19" ht="15.6" thickTop="1" thickBot="1" x14ac:dyDescent="0.35">
      <c r="A1362" s="39"/>
      <c r="B1362" s="29"/>
      <c r="C1362" s="29"/>
      <c r="D1362" s="29"/>
      <c r="E1362" s="29"/>
      <c r="F1362" s="29"/>
      <c r="G1362" s="29"/>
      <c r="H1362" s="29"/>
      <c r="I1362" s="29"/>
      <c r="J1362" s="29"/>
      <c r="K1362" s="29"/>
      <c r="L1362" s="29"/>
      <c r="M1362" s="29"/>
      <c r="N1362" s="29"/>
      <c r="O1362" s="30"/>
      <c r="P1362" s="29"/>
      <c r="Q1362" s="29"/>
      <c r="R1362" s="29"/>
      <c r="S1362" s="33"/>
    </row>
    <row r="1363" spans="1:19" ht="15.6" thickTop="1" thickBot="1" x14ac:dyDescent="0.35">
      <c r="A1363" s="39"/>
      <c r="B1363" s="31"/>
      <c r="C1363" s="31"/>
      <c r="D1363" s="31"/>
      <c r="E1363" s="31"/>
      <c r="F1363" s="31"/>
      <c r="G1363" s="31"/>
      <c r="H1363" s="31"/>
      <c r="I1363" s="31"/>
      <c r="J1363" s="31"/>
      <c r="K1363" s="31"/>
      <c r="L1363" s="31"/>
      <c r="M1363" s="31"/>
      <c r="N1363" s="31"/>
      <c r="O1363" s="32"/>
      <c r="P1363" s="31"/>
      <c r="Q1363" s="31"/>
      <c r="R1363" s="31"/>
      <c r="S1363" s="34"/>
    </row>
    <row r="1364" spans="1:19" ht="15.6" thickTop="1" thickBot="1" x14ac:dyDescent="0.35">
      <c r="A1364" s="39"/>
      <c r="B1364" s="29"/>
      <c r="C1364" s="29"/>
      <c r="D1364" s="29"/>
      <c r="E1364" s="29"/>
      <c r="F1364" s="29"/>
      <c r="G1364" s="29"/>
      <c r="H1364" s="29"/>
      <c r="I1364" s="29"/>
      <c r="J1364" s="29"/>
      <c r="K1364" s="29"/>
      <c r="L1364" s="29"/>
      <c r="M1364" s="29"/>
      <c r="N1364" s="29"/>
      <c r="O1364" s="30"/>
      <c r="P1364" s="29"/>
      <c r="Q1364" s="29"/>
      <c r="R1364" s="29"/>
      <c r="S1364" s="33"/>
    </row>
    <row r="1365" spans="1:19" ht="15.6" thickTop="1" thickBot="1" x14ac:dyDescent="0.35">
      <c r="A1365" s="39"/>
      <c r="B1365" s="31"/>
      <c r="C1365" s="31"/>
      <c r="D1365" s="31"/>
      <c r="E1365" s="31"/>
      <c r="F1365" s="31"/>
      <c r="G1365" s="31"/>
      <c r="H1365" s="31"/>
      <c r="I1365" s="31"/>
      <c r="J1365" s="31"/>
      <c r="K1365" s="31"/>
      <c r="L1365" s="31"/>
      <c r="M1365" s="31"/>
      <c r="N1365" s="31"/>
      <c r="O1365" s="32"/>
      <c r="P1365" s="31"/>
      <c r="Q1365" s="31"/>
      <c r="R1365" s="31"/>
      <c r="S1365" s="34"/>
    </row>
    <row r="1366" spans="1:19" ht="15.6" thickTop="1" thickBot="1" x14ac:dyDescent="0.35">
      <c r="A1366" s="39"/>
      <c r="B1366" s="29"/>
      <c r="C1366" s="29"/>
      <c r="D1366" s="29"/>
      <c r="E1366" s="29"/>
      <c r="F1366" s="29"/>
      <c r="G1366" s="29"/>
      <c r="H1366" s="29"/>
      <c r="I1366" s="29"/>
      <c r="J1366" s="29"/>
      <c r="K1366" s="29"/>
      <c r="L1366" s="29"/>
      <c r="M1366" s="29"/>
      <c r="N1366" s="29"/>
      <c r="O1366" s="30"/>
      <c r="P1366" s="29"/>
      <c r="Q1366" s="29"/>
      <c r="R1366" s="29"/>
      <c r="S1366" s="33"/>
    </row>
    <row r="1367" spans="1:19" ht="15.6" thickTop="1" thickBot="1" x14ac:dyDescent="0.35">
      <c r="A1367" s="39"/>
      <c r="B1367" s="31"/>
      <c r="C1367" s="31"/>
      <c r="D1367" s="31"/>
      <c r="E1367" s="31"/>
      <c r="F1367" s="31"/>
      <c r="G1367" s="31"/>
      <c r="H1367" s="31"/>
      <c r="I1367" s="31"/>
      <c r="J1367" s="31"/>
      <c r="K1367" s="31"/>
      <c r="L1367" s="31"/>
      <c r="M1367" s="31"/>
      <c r="N1367" s="31"/>
      <c r="O1367" s="32"/>
      <c r="P1367" s="31"/>
      <c r="Q1367" s="31"/>
      <c r="R1367" s="31"/>
      <c r="S1367" s="34"/>
    </row>
    <row r="1368" spans="1:19" ht="15.6" thickTop="1" thickBot="1" x14ac:dyDescent="0.35">
      <c r="A1368" s="39"/>
      <c r="B1368" s="29"/>
      <c r="C1368" s="29"/>
      <c r="D1368" s="29"/>
      <c r="E1368" s="29"/>
      <c r="F1368" s="29"/>
      <c r="G1368" s="29"/>
      <c r="H1368" s="29"/>
      <c r="I1368" s="29"/>
      <c r="J1368" s="29"/>
      <c r="K1368" s="29"/>
      <c r="L1368" s="29"/>
      <c r="M1368" s="29"/>
      <c r="N1368" s="29"/>
      <c r="O1368" s="30"/>
      <c r="P1368" s="29"/>
      <c r="Q1368" s="29"/>
      <c r="R1368" s="29"/>
      <c r="S1368" s="33"/>
    </row>
    <row r="1369" spans="1:19" ht="15.6" thickTop="1" thickBot="1" x14ac:dyDescent="0.35">
      <c r="A1369" s="39"/>
      <c r="B1369" s="31"/>
      <c r="C1369" s="31"/>
      <c r="D1369" s="31"/>
      <c r="E1369" s="31"/>
      <c r="F1369" s="31"/>
      <c r="G1369" s="31"/>
      <c r="H1369" s="31"/>
      <c r="I1369" s="31"/>
      <c r="J1369" s="31"/>
      <c r="K1369" s="31"/>
      <c r="L1369" s="31"/>
      <c r="M1369" s="31"/>
      <c r="N1369" s="31"/>
      <c r="O1369" s="32"/>
      <c r="P1369" s="31"/>
      <c r="Q1369" s="31"/>
      <c r="R1369" s="31"/>
      <c r="S1369" s="34"/>
    </row>
    <row r="1370" spans="1:19" ht="15.6" thickTop="1" thickBot="1" x14ac:dyDescent="0.35">
      <c r="A1370" s="39"/>
      <c r="B1370" s="29"/>
      <c r="C1370" s="29"/>
      <c r="D1370" s="29"/>
      <c r="E1370" s="29"/>
      <c r="F1370" s="29"/>
      <c r="G1370" s="29"/>
      <c r="H1370" s="29"/>
      <c r="I1370" s="29"/>
      <c r="J1370" s="29"/>
      <c r="K1370" s="29"/>
      <c r="L1370" s="29"/>
      <c r="M1370" s="29"/>
      <c r="N1370" s="29"/>
      <c r="O1370" s="30"/>
      <c r="P1370" s="29"/>
      <c r="Q1370" s="29"/>
      <c r="R1370" s="29"/>
      <c r="S1370" s="33"/>
    </row>
    <row r="1371" spans="1:19" ht="15.6" thickTop="1" thickBot="1" x14ac:dyDescent="0.35">
      <c r="A1371" s="39"/>
      <c r="B1371" s="31"/>
      <c r="C1371" s="31"/>
      <c r="D1371" s="31"/>
      <c r="E1371" s="31"/>
      <c r="F1371" s="31"/>
      <c r="G1371" s="31"/>
      <c r="H1371" s="31"/>
      <c r="I1371" s="31"/>
      <c r="J1371" s="31"/>
      <c r="K1371" s="31"/>
      <c r="L1371" s="31"/>
      <c r="M1371" s="31"/>
      <c r="N1371" s="31"/>
      <c r="O1371" s="32"/>
      <c r="P1371" s="31"/>
      <c r="Q1371" s="31"/>
      <c r="R1371" s="31"/>
      <c r="S1371" s="34"/>
    </row>
    <row r="1372" spans="1:19" ht="15.6" thickTop="1" thickBot="1" x14ac:dyDescent="0.35">
      <c r="A1372" s="39"/>
      <c r="B1372" s="29"/>
      <c r="C1372" s="29"/>
      <c r="D1372" s="29"/>
      <c r="E1372" s="29"/>
      <c r="F1372" s="29"/>
      <c r="G1372" s="29"/>
      <c r="H1372" s="29"/>
      <c r="I1372" s="29"/>
      <c r="J1372" s="29"/>
      <c r="K1372" s="29"/>
      <c r="L1372" s="29"/>
      <c r="M1372" s="29"/>
      <c r="N1372" s="29"/>
      <c r="O1372" s="30"/>
      <c r="P1372" s="29"/>
      <c r="Q1372" s="29"/>
      <c r="R1372" s="29"/>
      <c r="S1372" s="33"/>
    </row>
    <row r="1373" spans="1:19" ht="15.6" thickTop="1" thickBot="1" x14ac:dyDescent="0.35">
      <c r="A1373" s="39"/>
      <c r="B1373" s="31"/>
      <c r="C1373" s="31"/>
      <c r="D1373" s="31"/>
      <c r="E1373" s="31"/>
      <c r="F1373" s="31"/>
      <c r="G1373" s="31"/>
      <c r="H1373" s="31"/>
      <c r="I1373" s="31"/>
      <c r="J1373" s="31"/>
      <c r="K1373" s="31"/>
      <c r="L1373" s="31"/>
      <c r="M1373" s="31"/>
      <c r="N1373" s="31"/>
      <c r="O1373" s="32"/>
      <c r="P1373" s="31"/>
      <c r="Q1373" s="31"/>
      <c r="R1373" s="31"/>
      <c r="S1373" s="34"/>
    </row>
    <row r="1374" spans="1:19" ht="15.6" thickTop="1" thickBot="1" x14ac:dyDescent="0.35">
      <c r="A1374" s="39"/>
      <c r="B1374" s="29"/>
      <c r="C1374" s="29"/>
      <c r="D1374" s="29"/>
      <c r="E1374" s="29"/>
      <c r="F1374" s="29"/>
      <c r="G1374" s="29"/>
      <c r="H1374" s="29"/>
      <c r="I1374" s="29"/>
      <c r="J1374" s="29"/>
      <c r="K1374" s="29"/>
      <c r="L1374" s="29"/>
      <c r="M1374" s="29"/>
      <c r="N1374" s="29"/>
      <c r="O1374" s="30"/>
      <c r="P1374" s="29"/>
      <c r="Q1374" s="29"/>
      <c r="R1374" s="29"/>
      <c r="S1374" s="33"/>
    </row>
    <row r="1375" spans="1:19" ht="15.6" thickTop="1" thickBot="1" x14ac:dyDescent="0.35">
      <c r="A1375" s="39"/>
      <c r="B1375" s="31"/>
      <c r="C1375" s="31"/>
      <c r="D1375" s="31"/>
      <c r="E1375" s="31"/>
      <c r="F1375" s="31"/>
      <c r="G1375" s="31"/>
      <c r="H1375" s="31"/>
      <c r="I1375" s="31"/>
      <c r="J1375" s="31"/>
      <c r="K1375" s="31"/>
      <c r="L1375" s="31"/>
      <c r="M1375" s="31"/>
      <c r="N1375" s="31"/>
      <c r="O1375" s="32"/>
      <c r="P1375" s="31"/>
      <c r="Q1375" s="31"/>
      <c r="R1375" s="31"/>
      <c r="S1375" s="34"/>
    </row>
    <row r="1376" spans="1:19" ht="15.6" thickTop="1" thickBot="1" x14ac:dyDescent="0.35">
      <c r="A1376" s="39"/>
      <c r="B1376" s="29"/>
      <c r="C1376" s="29"/>
      <c r="D1376" s="29"/>
      <c r="E1376" s="29"/>
      <c r="F1376" s="29"/>
      <c r="G1376" s="29"/>
      <c r="H1376" s="29"/>
      <c r="I1376" s="29"/>
      <c r="J1376" s="29"/>
      <c r="K1376" s="29"/>
      <c r="L1376" s="29"/>
      <c r="M1376" s="29"/>
      <c r="N1376" s="29"/>
      <c r="O1376" s="30"/>
      <c r="P1376" s="29"/>
      <c r="Q1376" s="29"/>
      <c r="R1376" s="29"/>
      <c r="S1376" s="33"/>
    </row>
    <row r="1377" spans="1:19" ht="15.6" thickTop="1" thickBot="1" x14ac:dyDescent="0.35">
      <c r="A1377" s="39"/>
      <c r="B1377" s="31"/>
      <c r="C1377" s="31"/>
      <c r="D1377" s="31"/>
      <c r="E1377" s="31"/>
      <c r="F1377" s="31"/>
      <c r="G1377" s="31"/>
      <c r="H1377" s="31"/>
      <c r="I1377" s="31"/>
      <c r="J1377" s="31"/>
      <c r="K1377" s="31"/>
      <c r="L1377" s="31"/>
      <c r="M1377" s="31"/>
      <c r="N1377" s="31"/>
      <c r="O1377" s="32"/>
      <c r="P1377" s="31"/>
      <c r="Q1377" s="31"/>
      <c r="R1377" s="31"/>
      <c r="S1377" s="34"/>
    </row>
    <row r="1378" spans="1:19" ht="15.6" thickTop="1" thickBot="1" x14ac:dyDescent="0.35">
      <c r="A1378" s="39"/>
      <c r="B1378" s="29"/>
      <c r="C1378" s="29"/>
      <c r="D1378" s="29"/>
      <c r="E1378" s="29"/>
      <c r="F1378" s="29"/>
      <c r="G1378" s="29"/>
      <c r="H1378" s="29"/>
      <c r="I1378" s="29"/>
      <c r="J1378" s="29"/>
      <c r="K1378" s="29"/>
      <c r="L1378" s="29"/>
      <c r="M1378" s="29"/>
      <c r="N1378" s="29"/>
      <c r="O1378" s="30"/>
      <c r="P1378" s="29"/>
      <c r="Q1378" s="29"/>
      <c r="R1378" s="29"/>
      <c r="S1378" s="33"/>
    </row>
    <row r="1379" spans="1:19" ht="15.6" thickTop="1" thickBot="1" x14ac:dyDescent="0.35">
      <c r="A1379" s="39"/>
      <c r="B1379" s="31"/>
      <c r="C1379" s="31"/>
      <c r="D1379" s="31"/>
      <c r="E1379" s="31"/>
      <c r="F1379" s="31"/>
      <c r="G1379" s="31"/>
      <c r="H1379" s="31"/>
      <c r="I1379" s="31"/>
      <c r="J1379" s="31"/>
      <c r="K1379" s="31"/>
      <c r="L1379" s="31"/>
      <c r="M1379" s="31"/>
      <c r="N1379" s="31"/>
      <c r="O1379" s="32"/>
      <c r="P1379" s="31"/>
      <c r="Q1379" s="31"/>
      <c r="R1379" s="31"/>
      <c r="S1379" s="34"/>
    </row>
    <row r="1380" spans="1:19" ht="15.6" thickTop="1" thickBot="1" x14ac:dyDescent="0.35">
      <c r="A1380" s="39"/>
      <c r="B1380" s="29"/>
      <c r="C1380" s="29"/>
      <c r="D1380" s="29"/>
      <c r="E1380" s="29"/>
      <c r="F1380" s="29"/>
      <c r="G1380" s="29"/>
      <c r="H1380" s="29"/>
      <c r="I1380" s="29"/>
      <c r="J1380" s="29"/>
      <c r="K1380" s="29"/>
      <c r="L1380" s="29"/>
      <c r="M1380" s="29"/>
      <c r="N1380" s="29"/>
      <c r="O1380" s="30"/>
      <c r="P1380" s="29"/>
      <c r="Q1380" s="29"/>
      <c r="R1380" s="29"/>
      <c r="S1380" s="33"/>
    </row>
    <row r="1381" spans="1:19" ht="15.6" thickTop="1" thickBot="1" x14ac:dyDescent="0.35">
      <c r="A1381" s="39"/>
      <c r="B1381" s="31"/>
      <c r="C1381" s="31"/>
      <c r="D1381" s="31"/>
      <c r="E1381" s="31"/>
      <c r="F1381" s="31"/>
      <c r="G1381" s="31"/>
      <c r="H1381" s="31"/>
      <c r="I1381" s="31"/>
      <c r="J1381" s="31"/>
      <c r="K1381" s="31"/>
      <c r="L1381" s="31"/>
      <c r="M1381" s="31"/>
      <c r="N1381" s="31"/>
      <c r="O1381" s="32"/>
      <c r="P1381" s="31"/>
      <c r="Q1381" s="31"/>
      <c r="R1381" s="31"/>
      <c r="S1381" s="34"/>
    </row>
    <row r="1382" spans="1:19" ht="15.6" thickTop="1" thickBot="1" x14ac:dyDescent="0.35">
      <c r="A1382" s="39"/>
      <c r="B1382" s="29"/>
      <c r="C1382" s="29"/>
      <c r="D1382" s="29"/>
      <c r="E1382" s="29"/>
      <c r="F1382" s="29"/>
      <c r="G1382" s="29"/>
      <c r="H1382" s="29"/>
      <c r="I1382" s="29"/>
      <c r="J1382" s="29"/>
      <c r="K1382" s="29"/>
      <c r="L1382" s="29"/>
      <c r="M1382" s="29"/>
      <c r="N1382" s="29"/>
      <c r="O1382" s="30"/>
      <c r="P1382" s="29"/>
      <c r="Q1382" s="29"/>
      <c r="R1382" s="29"/>
      <c r="S1382" s="33"/>
    </row>
    <row r="1383" spans="1:19" ht="15.6" thickTop="1" thickBot="1" x14ac:dyDescent="0.35">
      <c r="A1383" s="39"/>
      <c r="B1383" s="31"/>
      <c r="C1383" s="31"/>
      <c r="D1383" s="31"/>
      <c r="E1383" s="31"/>
      <c r="F1383" s="31"/>
      <c r="G1383" s="31"/>
      <c r="H1383" s="31"/>
      <c r="I1383" s="31"/>
      <c r="J1383" s="31"/>
      <c r="K1383" s="31"/>
      <c r="L1383" s="31"/>
      <c r="M1383" s="31"/>
      <c r="N1383" s="31"/>
      <c r="O1383" s="32"/>
      <c r="P1383" s="31"/>
      <c r="Q1383" s="31"/>
      <c r="R1383" s="31"/>
      <c r="S1383" s="34"/>
    </row>
    <row r="1384" spans="1:19" ht="15.6" thickTop="1" thickBot="1" x14ac:dyDescent="0.35">
      <c r="A1384" s="39"/>
      <c r="B1384" s="29"/>
      <c r="C1384" s="29"/>
      <c r="D1384" s="29"/>
      <c r="E1384" s="29"/>
      <c r="F1384" s="29"/>
      <c r="G1384" s="29"/>
      <c r="H1384" s="29"/>
      <c r="I1384" s="29"/>
      <c r="J1384" s="29"/>
      <c r="K1384" s="29"/>
      <c r="L1384" s="29"/>
      <c r="M1384" s="29"/>
      <c r="N1384" s="29"/>
      <c r="O1384" s="30"/>
      <c r="P1384" s="29"/>
      <c r="Q1384" s="29"/>
      <c r="R1384" s="29"/>
      <c r="S1384" s="33"/>
    </row>
    <row r="1385" spans="1:19" ht="15.6" thickTop="1" thickBot="1" x14ac:dyDescent="0.35">
      <c r="A1385" s="39"/>
      <c r="B1385" s="31"/>
      <c r="C1385" s="31"/>
      <c r="D1385" s="31"/>
      <c r="E1385" s="31"/>
      <c r="F1385" s="31"/>
      <c r="G1385" s="31"/>
      <c r="H1385" s="31"/>
      <c r="I1385" s="31"/>
      <c r="J1385" s="31"/>
      <c r="K1385" s="31"/>
      <c r="L1385" s="31"/>
      <c r="M1385" s="31"/>
      <c r="N1385" s="31"/>
      <c r="O1385" s="32"/>
      <c r="P1385" s="31"/>
      <c r="Q1385" s="31"/>
      <c r="R1385" s="31"/>
      <c r="S1385" s="34"/>
    </row>
    <row r="1386" spans="1:19" ht="15.6" thickTop="1" thickBot="1" x14ac:dyDescent="0.35">
      <c r="A1386" s="39"/>
      <c r="B1386" s="29"/>
      <c r="C1386" s="29"/>
      <c r="D1386" s="29"/>
      <c r="E1386" s="29"/>
      <c r="F1386" s="29"/>
      <c r="G1386" s="29"/>
      <c r="H1386" s="29"/>
      <c r="I1386" s="29"/>
      <c r="J1386" s="29"/>
      <c r="K1386" s="29"/>
      <c r="L1386" s="29"/>
      <c r="M1386" s="29"/>
      <c r="N1386" s="29"/>
      <c r="O1386" s="30"/>
      <c r="P1386" s="29"/>
      <c r="Q1386" s="29"/>
      <c r="R1386" s="29"/>
      <c r="S1386" s="33"/>
    </row>
    <row r="1387" spans="1:19" ht="15.6" thickTop="1" thickBot="1" x14ac:dyDescent="0.35">
      <c r="A1387" s="39"/>
      <c r="B1387" s="31"/>
      <c r="C1387" s="31"/>
      <c r="D1387" s="31"/>
      <c r="E1387" s="31"/>
      <c r="F1387" s="31"/>
      <c r="G1387" s="31"/>
      <c r="H1387" s="31"/>
      <c r="I1387" s="31"/>
      <c r="J1387" s="31"/>
      <c r="K1387" s="31"/>
      <c r="L1387" s="31"/>
      <c r="M1387" s="31"/>
      <c r="N1387" s="31"/>
      <c r="O1387" s="32"/>
      <c r="P1387" s="31"/>
      <c r="Q1387" s="31"/>
      <c r="R1387" s="31"/>
      <c r="S1387" s="34"/>
    </row>
    <row r="1388" spans="1:19" ht="15.6" thickTop="1" thickBot="1" x14ac:dyDescent="0.35">
      <c r="A1388" s="39"/>
      <c r="B1388" s="29"/>
      <c r="C1388" s="29"/>
      <c r="D1388" s="29"/>
      <c r="E1388" s="29"/>
      <c r="F1388" s="29"/>
      <c r="G1388" s="29"/>
      <c r="H1388" s="29"/>
      <c r="I1388" s="29"/>
      <c r="J1388" s="29"/>
      <c r="K1388" s="29"/>
      <c r="L1388" s="29"/>
      <c r="M1388" s="29"/>
      <c r="N1388" s="29"/>
      <c r="O1388" s="30"/>
      <c r="P1388" s="29"/>
      <c r="Q1388" s="29"/>
      <c r="R1388" s="29"/>
      <c r="S1388" s="33"/>
    </row>
    <row r="1389" spans="1:19" ht="15.6" thickTop="1" thickBot="1" x14ac:dyDescent="0.35">
      <c r="A1389" s="39"/>
      <c r="B1389" s="31"/>
      <c r="C1389" s="31"/>
      <c r="D1389" s="31"/>
      <c r="E1389" s="31"/>
      <c r="F1389" s="31"/>
      <c r="G1389" s="31"/>
      <c r="H1389" s="31"/>
      <c r="I1389" s="31"/>
      <c r="J1389" s="31"/>
      <c r="K1389" s="31"/>
      <c r="L1389" s="31"/>
      <c r="M1389" s="31"/>
      <c r="N1389" s="31"/>
      <c r="O1389" s="32"/>
      <c r="P1389" s="31"/>
      <c r="Q1389" s="31"/>
      <c r="R1389" s="31"/>
      <c r="S1389" s="34"/>
    </row>
    <row r="1390" spans="1:19" ht="15.6" thickTop="1" thickBot="1" x14ac:dyDescent="0.35">
      <c r="A1390" s="39"/>
      <c r="B1390" s="29"/>
      <c r="C1390" s="29"/>
      <c r="D1390" s="29"/>
      <c r="E1390" s="29"/>
      <c r="F1390" s="29"/>
      <c r="G1390" s="29"/>
      <c r="H1390" s="29"/>
      <c r="I1390" s="29"/>
      <c r="J1390" s="29"/>
      <c r="K1390" s="29"/>
      <c r="L1390" s="29"/>
      <c r="M1390" s="29"/>
      <c r="N1390" s="29"/>
      <c r="O1390" s="30"/>
      <c r="P1390" s="29"/>
      <c r="Q1390" s="29"/>
      <c r="R1390" s="29"/>
      <c r="S1390" s="33"/>
    </row>
    <row r="1391" spans="1:19" ht="15.6" thickTop="1" thickBot="1" x14ac:dyDescent="0.35">
      <c r="A1391" s="39"/>
      <c r="B1391" s="31"/>
      <c r="C1391" s="31"/>
      <c r="D1391" s="31"/>
      <c r="E1391" s="31"/>
      <c r="F1391" s="31"/>
      <c r="G1391" s="31"/>
      <c r="H1391" s="31"/>
      <c r="I1391" s="31"/>
      <c r="J1391" s="31"/>
      <c r="K1391" s="31"/>
      <c r="L1391" s="31"/>
      <c r="M1391" s="31"/>
      <c r="N1391" s="31"/>
      <c r="O1391" s="32"/>
      <c r="P1391" s="31"/>
      <c r="Q1391" s="31"/>
      <c r="R1391" s="31"/>
      <c r="S1391" s="34"/>
    </row>
    <row r="1392" spans="1:19" ht="15.6" thickTop="1" thickBot="1" x14ac:dyDescent="0.35">
      <c r="A1392" s="39"/>
      <c r="B1392" s="29"/>
      <c r="C1392" s="29"/>
      <c r="D1392" s="29"/>
      <c r="E1392" s="29"/>
      <c r="F1392" s="29"/>
      <c r="G1392" s="29"/>
      <c r="H1392" s="29"/>
      <c r="I1392" s="29"/>
      <c r="J1392" s="29"/>
      <c r="K1392" s="29"/>
      <c r="L1392" s="29"/>
      <c r="M1392" s="29"/>
      <c r="N1392" s="29"/>
      <c r="O1392" s="30"/>
      <c r="P1392" s="29"/>
      <c r="Q1392" s="29"/>
      <c r="R1392" s="29"/>
      <c r="S1392" s="33"/>
    </row>
    <row r="1393" spans="1:19" ht="15.6" thickTop="1" thickBot="1" x14ac:dyDescent="0.35">
      <c r="A1393" s="39"/>
      <c r="B1393" s="31"/>
      <c r="C1393" s="31"/>
      <c r="D1393" s="31"/>
      <c r="E1393" s="31"/>
      <c r="F1393" s="31"/>
      <c r="G1393" s="31"/>
      <c r="H1393" s="31"/>
      <c r="I1393" s="31"/>
      <c r="J1393" s="31"/>
      <c r="K1393" s="31"/>
      <c r="L1393" s="31"/>
      <c r="M1393" s="31"/>
      <c r="N1393" s="31"/>
      <c r="O1393" s="32"/>
      <c r="P1393" s="31"/>
      <c r="Q1393" s="31"/>
      <c r="R1393" s="31"/>
      <c r="S1393" s="34"/>
    </row>
    <row r="1394" spans="1:19" ht="15.6" thickTop="1" thickBot="1" x14ac:dyDescent="0.35">
      <c r="A1394" s="39"/>
      <c r="B1394" s="29"/>
      <c r="C1394" s="29"/>
      <c r="D1394" s="29"/>
      <c r="E1394" s="29"/>
      <c r="F1394" s="29"/>
      <c r="G1394" s="29"/>
      <c r="H1394" s="29"/>
      <c r="I1394" s="29"/>
      <c r="J1394" s="29"/>
      <c r="K1394" s="29"/>
      <c r="L1394" s="29"/>
      <c r="M1394" s="29"/>
      <c r="N1394" s="29"/>
      <c r="O1394" s="30"/>
      <c r="P1394" s="29"/>
      <c r="Q1394" s="29"/>
      <c r="R1394" s="29"/>
      <c r="S1394" s="33"/>
    </row>
    <row r="1395" spans="1:19" ht="15.6" thickTop="1" thickBot="1" x14ac:dyDescent="0.35">
      <c r="A1395" s="39"/>
      <c r="B1395" s="31"/>
      <c r="C1395" s="31"/>
      <c r="D1395" s="31"/>
      <c r="E1395" s="31"/>
      <c r="F1395" s="31"/>
      <c r="G1395" s="31"/>
      <c r="H1395" s="31"/>
      <c r="I1395" s="31"/>
      <c r="J1395" s="31"/>
      <c r="K1395" s="31"/>
      <c r="L1395" s="31"/>
      <c r="M1395" s="31"/>
      <c r="N1395" s="31"/>
      <c r="O1395" s="32"/>
      <c r="P1395" s="31"/>
      <c r="Q1395" s="31"/>
      <c r="R1395" s="31"/>
      <c r="S1395" s="34"/>
    </row>
    <row r="1396" spans="1:19" ht="15.6" thickTop="1" thickBot="1" x14ac:dyDescent="0.35">
      <c r="A1396" s="39"/>
      <c r="B1396" s="29"/>
      <c r="C1396" s="29"/>
      <c r="D1396" s="29"/>
      <c r="E1396" s="29"/>
      <c r="F1396" s="29"/>
      <c r="G1396" s="29"/>
      <c r="H1396" s="29"/>
      <c r="I1396" s="29"/>
      <c r="J1396" s="29"/>
      <c r="K1396" s="29"/>
      <c r="L1396" s="29"/>
      <c r="M1396" s="29"/>
      <c r="N1396" s="29"/>
      <c r="O1396" s="30"/>
      <c r="P1396" s="29"/>
      <c r="Q1396" s="29"/>
      <c r="R1396" s="29"/>
      <c r="S1396" s="33"/>
    </row>
    <row r="1397" spans="1:19" ht="15.6" thickTop="1" thickBot="1" x14ac:dyDescent="0.35">
      <c r="A1397" s="39"/>
      <c r="B1397" s="31"/>
      <c r="C1397" s="31"/>
      <c r="D1397" s="31"/>
      <c r="E1397" s="31"/>
      <c r="F1397" s="31"/>
      <c r="G1397" s="31"/>
      <c r="H1397" s="31"/>
      <c r="I1397" s="31"/>
      <c r="J1397" s="31"/>
      <c r="K1397" s="31"/>
      <c r="L1397" s="31"/>
      <c r="M1397" s="31"/>
      <c r="N1397" s="31"/>
      <c r="O1397" s="32"/>
      <c r="P1397" s="31"/>
      <c r="Q1397" s="31"/>
      <c r="R1397" s="31"/>
      <c r="S1397" s="34"/>
    </row>
    <row r="1398" spans="1:19" ht="15.6" thickTop="1" thickBot="1" x14ac:dyDescent="0.35">
      <c r="A1398" s="39"/>
      <c r="B1398" s="29"/>
      <c r="C1398" s="29"/>
      <c r="D1398" s="29"/>
      <c r="E1398" s="29"/>
      <c r="F1398" s="29"/>
      <c r="G1398" s="29"/>
      <c r="H1398" s="29"/>
      <c r="I1398" s="29"/>
      <c r="J1398" s="29"/>
      <c r="K1398" s="29"/>
      <c r="L1398" s="29"/>
      <c r="M1398" s="29"/>
      <c r="N1398" s="29"/>
      <c r="O1398" s="30"/>
      <c r="P1398" s="29"/>
      <c r="Q1398" s="29"/>
      <c r="R1398" s="29"/>
      <c r="S1398" s="33"/>
    </row>
    <row r="1399" spans="1:19" ht="15.6" thickTop="1" thickBot="1" x14ac:dyDescent="0.35">
      <c r="A1399" s="39"/>
      <c r="B1399" s="31"/>
      <c r="C1399" s="31"/>
      <c r="D1399" s="31"/>
      <c r="E1399" s="31"/>
      <c r="F1399" s="31"/>
      <c r="G1399" s="31"/>
      <c r="H1399" s="31"/>
      <c r="I1399" s="31"/>
      <c r="J1399" s="31"/>
      <c r="K1399" s="31"/>
      <c r="L1399" s="31"/>
      <c r="M1399" s="31"/>
      <c r="N1399" s="31"/>
      <c r="O1399" s="32"/>
      <c r="P1399" s="31"/>
      <c r="Q1399" s="31"/>
      <c r="R1399" s="31"/>
      <c r="S1399" s="34"/>
    </row>
    <row r="1400" spans="1:19" ht="15.6" thickTop="1" thickBot="1" x14ac:dyDescent="0.35">
      <c r="A1400" s="39"/>
      <c r="B1400" s="29"/>
      <c r="C1400" s="29"/>
      <c r="D1400" s="29"/>
      <c r="E1400" s="29"/>
      <c r="F1400" s="29"/>
      <c r="G1400" s="29"/>
      <c r="H1400" s="29"/>
      <c r="I1400" s="29"/>
      <c r="J1400" s="29"/>
      <c r="K1400" s="29"/>
      <c r="L1400" s="29"/>
      <c r="M1400" s="29"/>
      <c r="N1400" s="29"/>
      <c r="O1400" s="30"/>
      <c r="P1400" s="29"/>
      <c r="Q1400" s="29"/>
      <c r="R1400" s="29"/>
      <c r="S1400" s="33"/>
    </row>
    <row r="1401" spans="1:19" ht="15.6" thickTop="1" thickBot="1" x14ac:dyDescent="0.35">
      <c r="A1401" s="39"/>
      <c r="B1401" s="31"/>
      <c r="C1401" s="31"/>
      <c r="D1401" s="31"/>
      <c r="E1401" s="31"/>
      <c r="F1401" s="31"/>
      <c r="G1401" s="31"/>
      <c r="H1401" s="31"/>
      <c r="I1401" s="31"/>
      <c r="J1401" s="31"/>
      <c r="K1401" s="31"/>
      <c r="L1401" s="31"/>
      <c r="M1401" s="31"/>
      <c r="N1401" s="31"/>
      <c r="O1401" s="32"/>
      <c r="P1401" s="31"/>
      <c r="Q1401" s="31"/>
      <c r="R1401" s="31"/>
      <c r="S1401" s="34"/>
    </row>
    <row r="1402" spans="1:19" ht="15.6" thickTop="1" thickBot="1" x14ac:dyDescent="0.35">
      <c r="A1402" s="39"/>
      <c r="B1402" s="29"/>
      <c r="C1402" s="29"/>
      <c r="D1402" s="29"/>
      <c r="E1402" s="29"/>
      <c r="F1402" s="29"/>
      <c r="G1402" s="29"/>
      <c r="H1402" s="29"/>
      <c r="I1402" s="29"/>
      <c r="J1402" s="29"/>
      <c r="K1402" s="29"/>
      <c r="L1402" s="29"/>
      <c r="M1402" s="29"/>
      <c r="N1402" s="29"/>
      <c r="O1402" s="30"/>
      <c r="P1402" s="29"/>
      <c r="Q1402" s="29"/>
      <c r="R1402" s="29"/>
      <c r="S1402" s="33"/>
    </row>
    <row r="1403" spans="1:19" ht="15.6" thickTop="1" thickBot="1" x14ac:dyDescent="0.35">
      <c r="A1403" s="39"/>
      <c r="B1403" s="31"/>
      <c r="C1403" s="31"/>
      <c r="D1403" s="31"/>
      <c r="E1403" s="31"/>
      <c r="F1403" s="31"/>
      <c r="G1403" s="31"/>
      <c r="H1403" s="31"/>
      <c r="I1403" s="31"/>
      <c r="J1403" s="31"/>
      <c r="K1403" s="31"/>
      <c r="L1403" s="31"/>
      <c r="M1403" s="31"/>
      <c r="N1403" s="31"/>
      <c r="O1403" s="32"/>
      <c r="P1403" s="31"/>
      <c r="Q1403" s="31"/>
      <c r="R1403" s="31"/>
      <c r="S1403" s="34"/>
    </row>
    <row r="1404" spans="1:19" ht="15.6" thickTop="1" thickBot="1" x14ac:dyDescent="0.35">
      <c r="A1404" s="39"/>
      <c r="B1404" s="29"/>
      <c r="C1404" s="29"/>
      <c r="D1404" s="29"/>
      <c r="E1404" s="29"/>
      <c r="F1404" s="29"/>
      <c r="G1404" s="29"/>
      <c r="H1404" s="29"/>
      <c r="I1404" s="29"/>
      <c r="J1404" s="29"/>
      <c r="K1404" s="29"/>
      <c r="L1404" s="29"/>
      <c r="M1404" s="29"/>
      <c r="N1404" s="29"/>
      <c r="O1404" s="30"/>
      <c r="P1404" s="29"/>
      <c r="Q1404" s="29"/>
      <c r="R1404" s="29"/>
      <c r="S1404" s="33"/>
    </row>
    <row r="1405" spans="1:19" ht="15.6" thickTop="1" thickBot="1" x14ac:dyDescent="0.35">
      <c r="A1405" s="39"/>
      <c r="B1405" s="31"/>
      <c r="C1405" s="31"/>
      <c r="D1405" s="31"/>
      <c r="E1405" s="31"/>
      <c r="F1405" s="31"/>
      <c r="G1405" s="31"/>
      <c r="H1405" s="31"/>
      <c r="I1405" s="31"/>
      <c r="J1405" s="31"/>
      <c r="K1405" s="31"/>
      <c r="L1405" s="31"/>
      <c r="M1405" s="31"/>
      <c r="N1405" s="31"/>
      <c r="O1405" s="32"/>
      <c r="P1405" s="31"/>
      <c r="Q1405" s="31"/>
      <c r="R1405" s="31"/>
      <c r="S1405" s="34"/>
    </row>
    <row r="1406" spans="1:19" ht="15.6" thickTop="1" thickBot="1" x14ac:dyDescent="0.35">
      <c r="A1406" s="39"/>
      <c r="B1406" s="29"/>
      <c r="C1406" s="29"/>
      <c r="D1406" s="29"/>
      <c r="E1406" s="29"/>
      <c r="F1406" s="29"/>
      <c r="G1406" s="29"/>
      <c r="H1406" s="29"/>
      <c r="I1406" s="29"/>
      <c r="J1406" s="29"/>
      <c r="K1406" s="29"/>
      <c r="L1406" s="29"/>
      <c r="M1406" s="29"/>
      <c r="N1406" s="29"/>
      <c r="O1406" s="30"/>
      <c r="P1406" s="29"/>
      <c r="Q1406" s="29"/>
      <c r="R1406" s="29"/>
      <c r="S1406" s="33"/>
    </row>
    <row r="1407" spans="1:19" ht="15.6" thickTop="1" thickBot="1" x14ac:dyDescent="0.35">
      <c r="A1407" s="39"/>
      <c r="B1407" s="31"/>
      <c r="C1407" s="31"/>
      <c r="D1407" s="31"/>
      <c r="E1407" s="31"/>
      <c r="F1407" s="31"/>
      <c r="G1407" s="31"/>
      <c r="H1407" s="31"/>
      <c r="I1407" s="31"/>
      <c r="J1407" s="31"/>
      <c r="K1407" s="31"/>
      <c r="L1407" s="31"/>
      <c r="M1407" s="31"/>
      <c r="N1407" s="31"/>
      <c r="O1407" s="32"/>
      <c r="P1407" s="31"/>
      <c r="Q1407" s="31"/>
      <c r="R1407" s="31"/>
      <c r="S1407" s="34"/>
    </row>
    <row r="1408" spans="1:19" ht="15.6" thickTop="1" thickBot="1" x14ac:dyDescent="0.35">
      <c r="A1408" s="39"/>
      <c r="B1408" s="29"/>
      <c r="C1408" s="29"/>
      <c r="D1408" s="29"/>
      <c r="E1408" s="29"/>
      <c r="F1408" s="29"/>
      <c r="G1408" s="29"/>
      <c r="H1408" s="29"/>
      <c r="I1408" s="29"/>
      <c r="J1408" s="29"/>
      <c r="K1408" s="29"/>
      <c r="L1408" s="29"/>
      <c r="M1408" s="29"/>
      <c r="N1408" s="29"/>
      <c r="O1408" s="30"/>
      <c r="P1408" s="29"/>
      <c r="Q1408" s="29"/>
      <c r="R1408" s="29"/>
      <c r="S1408" s="33"/>
    </row>
    <row r="1409" spans="1:19" ht="15.6" thickTop="1" thickBot="1" x14ac:dyDescent="0.35">
      <c r="A1409" s="39"/>
      <c r="B1409" s="31"/>
      <c r="C1409" s="31"/>
      <c r="D1409" s="31"/>
      <c r="E1409" s="31"/>
      <c r="F1409" s="31"/>
      <c r="G1409" s="31"/>
      <c r="H1409" s="31"/>
      <c r="I1409" s="31"/>
      <c r="J1409" s="31"/>
      <c r="K1409" s="31"/>
      <c r="L1409" s="31"/>
      <c r="M1409" s="31"/>
      <c r="N1409" s="31"/>
      <c r="O1409" s="32"/>
      <c r="P1409" s="31"/>
      <c r="Q1409" s="31"/>
      <c r="R1409" s="31"/>
      <c r="S1409" s="34"/>
    </row>
    <row r="1410" spans="1:19" ht="15.6" thickTop="1" thickBot="1" x14ac:dyDescent="0.35">
      <c r="A1410" s="39"/>
      <c r="B1410" s="29"/>
      <c r="C1410" s="29"/>
      <c r="D1410" s="29"/>
      <c r="E1410" s="29"/>
      <c r="F1410" s="29"/>
      <c r="G1410" s="29"/>
      <c r="H1410" s="29"/>
      <c r="I1410" s="29"/>
      <c r="J1410" s="29"/>
      <c r="K1410" s="29"/>
      <c r="L1410" s="29"/>
      <c r="M1410" s="29"/>
      <c r="N1410" s="29"/>
      <c r="O1410" s="30"/>
      <c r="P1410" s="29"/>
      <c r="Q1410" s="29"/>
      <c r="R1410" s="29"/>
      <c r="S1410" s="33"/>
    </row>
    <row r="1411" spans="1:19" ht="15.6" thickTop="1" thickBot="1" x14ac:dyDescent="0.35">
      <c r="A1411" s="39"/>
      <c r="B1411" s="31"/>
      <c r="C1411" s="31"/>
      <c r="D1411" s="31"/>
      <c r="E1411" s="31"/>
      <c r="F1411" s="31"/>
      <c r="G1411" s="31"/>
      <c r="H1411" s="31"/>
      <c r="I1411" s="31"/>
      <c r="J1411" s="31"/>
      <c r="K1411" s="31"/>
      <c r="L1411" s="31"/>
      <c r="M1411" s="31"/>
      <c r="N1411" s="31"/>
      <c r="O1411" s="32"/>
      <c r="P1411" s="31"/>
      <c r="Q1411" s="31"/>
      <c r="R1411" s="31"/>
      <c r="S1411" s="34"/>
    </row>
    <row r="1412" spans="1:19" ht="15.6" thickTop="1" thickBot="1" x14ac:dyDescent="0.35">
      <c r="A1412" s="39"/>
      <c r="B1412" s="29"/>
      <c r="C1412" s="29"/>
      <c r="D1412" s="29"/>
      <c r="E1412" s="29"/>
      <c r="F1412" s="29"/>
      <c r="G1412" s="29"/>
      <c r="H1412" s="29"/>
      <c r="I1412" s="29"/>
      <c r="J1412" s="29"/>
      <c r="K1412" s="29"/>
      <c r="L1412" s="29"/>
      <c r="M1412" s="29"/>
      <c r="N1412" s="29"/>
      <c r="O1412" s="30"/>
      <c r="P1412" s="29"/>
      <c r="Q1412" s="29"/>
      <c r="R1412" s="29"/>
      <c r="S1412" s="33"/>
    </row>
    <row r="1413" spans="1:19" ht="15.6" thickTop="1" thickBot="1" x14ac:dyDescent="0.35">
      <c r="A1413" s="39"/>
      <c r="B1413" s="31"/>
      <c r="C1413" s="31"/>
      <c r="D1413" s="31"/>
      <c r="E1413" s="31"/>
      <c r="F1413" s="31"/>
      <c r="G1413" s="31"/>
      <c r="H1413" s="31"/>
      <c r="I1413" s="31"/>
      <c r="J1413" s="31"/>
      <c r="K1413" s="31"/>
      <c r="L1413" s="31"/>
      <c r="M1413" s="31"/>
      <c r="N1413" s="31"/>
      <c r="O1413" s="32"/>
      <c r="P1413" s="31"/>
      <c r="Q1413" s="31"/>
      <c r="R1413" s="31"/>
      <c r="S1413" s="34"/>
    </row>
    <row r="1414" spans="1:19" ht="15.6" thickTop="1" thickBot="1" x14ac:dyDescent="0.35">
      <c r="A1414" s="39"/>
      <c r="B1414" s="29"/>
      <c r="C1414" s="29"/>
      <c r="D1414" s="29"/>
      <c r="E1414" s="29"/>
      <c r="F1414" s="29"/>
      <c r="G1414" s="29"/>
      <c r="H1414" s="29"/>
      <c r="I1414" s="29"/>
      <c r="J1414" s="29"/>
      <c r="K1414" s="29"/>
      <c r="L1414" s="29"/>
      <c r="M1414" s="29"/>
      <c r="N1414" s="29"/>
      <c r="O1414" s="30"/>
      <c r="P1414" s="29"/>
      <c r="Q1414" s="29"/>
      <c r="R1414" s="29"/>
      <c r="S1414" s="33"/>
    </row>
    <row r="1415" spans="1:19" ht="15.6" thickTop="1" thickBot="1" x14ac:dyDescent="0.35">
      <c r="A1415" s="39"/>
      <c r="B1415" s="31"/>
      <c r="C1415" s="31"/>
      <c r="D1415" s="31"/>
      <c r="E1415" s="31"/>
      <c r="F1415" s="31"/>
      <c r="G1415" s="31"/>
      <c r="H1415" s="31"/>
      <c r="I1415" s="31"/>
      <c r="J1415" s="31"/>
      <c r="K1415" s="31"/>
      <c r="L1415" s="31"/>
      <c r="M1415" s="31"/>
      <c r="N1415" s="31"/>
      <c r="O1415" s="32"/>
      <c r="P1415" s="31"/>
      <c r="Q1415" s="31"/>
      <c r="R1415" s="31"/>
      <c r="S1415" s="34"/>
    </row>
    <row r="1416" spans="1:19" ht="15.6" thickTop="1" thickBot="1" x14ac:dyDescent="0.35">
      <c r="A1416" s="39"/>
      <c r="B1416" s="29"/>
      <c r="C1416" s="29"/>
      <c r="D1416" s="29"/>
      <c r="E1416" s="29"/>
      <c r="F1416" s="29"/>
      <c r="G1416" s="29"/>
      <c r="H1416" s="29"/>
      <c r="I1416" s="29"/>
      <c r="J1416" s="29"/>
      <c r="K1416" s="29"/>
      <c r="L1416" s="29"/>
      <c r="M1416" s="29"/>
      <c r="N1416" s="29"/>
      <c r="O1416" s="30"/>
      <c r="P1416" s="29"/>
      <c r="Q1416" s="29"/>
      <c r="R1416" s="29"/>
      <c r="S1416" s="33"/>
    </row>
    <row r="1417" spans="1:19" ht="15.6" thickTop="1" thickBot="1" x14ac:dyDescent="0.35">
      <c r="A1417" s="39"/>
      <c r="B1417" s="31"/>
      <c r="C1417" s="31"/>
      <c r="D1417" s="31"/>
      <c r="E1417" s="31"/>
      <c r="F1417" s="31"/>
      <c r="G1417" s="31"/>
      <c r="H1417" s="31"/>
      <c r="I1417" s="31"/>
      <c r="J1417" s="31"/>
      <c r="K1417" s="31"/>
      <c r="L1417" s="31"/>
      <c r="M1417" s="31"/>
      <c r="N1417" s="31"/>
      <c r="O1417" s="32"/>
      <c r="P1417" s="31"/>
      <c r="Q1417" s="31"/>
      <c r="R1417" s="31"/>
      <c r="S1417" s="34"/>
    </row>
    <row r="1418" spans="1:19" ht="15.6" thickTop="1" thickBot="1" x14ac:dyDescent="0.35">
      <c r="A1418" s="39"/>
      <c r="B1418" s="29"/>
      <c r="C1418" s="29"/>
      <c r="D1418" s="29"/>
      <c r="E1418" s="29"/>
      <c r="F1418" s="29"/>
      <c r="G1418" s="29"/>
      <c r="H1418" s="29"/>
      <c r="I1418" s="29"/>
      <c r="J1418" s="29"/>
      <c r="K1418" s="29"/>
      <c r="L1418" s="29"/>
      <c r="M1418" s="29"/>
      <c r="N1418" s="29"/>
      <c r="O1418" s="30"/>
      <c r="P1418" s="29"/>
      <c r="Q1418" s="29"/>
      <c r="R1418" s="29"/>
      <c r="S1418" s="33"/>
    </row>
    <row r="1419" spans="1:19" ht="15.6" thickTop="1" thickBot="1" x14ac:dyDescent="0.35">
      <c r="A1419" s="39"/>
      <c r="B1419" s="31"/>
      <c r="C1419" s="31"/>
      <c r="D1419" s="31"/>
      <c r="E1419" s="31"/>
      <c r="F1419" s="31"/>
      <c r="G1419" s="31"/>
      <c r="H1419" s="31"/>
      <c r="I1419" s="31"/>
      <c r="J1419" s="31"/>
      <c r="K1419" s="31"/>
      <c r="L1419" s="31"/>
      <c r="M1419" s="31"/>
      <c r="N1419" s="31"/>
      <c r="O1419" s="32"/>
      <c r="P1419" s="31"/>
      <c r="Q1419" s="31"/>
      <c r="R1419" s="31"/>
      <c r="S1419" s="34"/>
    </row>
    <row r="1420" spans="1:19" ht="15.6" thickTop="1" thickBot="1" x14ac:dyDescent="0.35">
      <c r="A1420" s="39"/>
      <c r="B1420" s="29"/>
      <c r="C1420" s="29"/>
      <c r="D1420" s="29"/>
      <c r="E1420" s="29"/>
      <c r="F1420" s="29"/>
      <c r="G1420" s="29"/>
      <c r="H1420" s="29"/>
      <c r="I1420" s="29"/>
      <c r="J1420" s="29"/>
      <c r="K1420" s="29"/>
      <c r="L1420" s="29"/>
      <c r="M1420" s="29"/>
      <c r="N1420" s="29"/>
      <c r="O1420" s="30"/>
      <c r="P1420" s="29"/>
      <c r="Q1420" s="29"/>
      <c r="R1420" s="29"/>
      <c r="S1420" s="33"/>
    </row>
    <row r="1421" spans="1:19" ht="15.6" thickTop="1" thickBot="1" x14ac:dyDescent="0.35">
      <c r="A1421" s="39"/>
      <c r="B1421" s="31"/>
      <c r="C1421" s="31"/>
      <c r="D1421" s="31"/>
      <c r="E1421" s="31"/>
      <c r="F1421" s="31"/>
      <c r="G1421" s="31"/>
      <c r="H1421" s="31"/>
      <c r="I1421" s="31"/>
      <c r="J1421" s="31"/>
      <c r="K1421" s="31"/>
      <c r="L1421" s="31"/>
      <c r="M1421" s="31"/>
      <c r="N1421" s="31"/>
      <c r="O1421" s="32"/>
      <c r="P1421" s="31"/>
      <c r="Q1421" s="31"/>
      <c r="R1421" s="31"/>
      <c r="S1421" s="34"/>
    </row>
    <row r="1422" spans="1:19" ht="15.6" thickTop="1" thickBot="1" x14ac:dyDescent="0.35">
      <c r="A1422" s="39"/>
      <c r="B1422" s="29"/>
      <c r="C1422" s="29"/>
      <c r="D1422" s="29"/>
      <c r="E1422" s="29"/>
      <c r="F1422" s="29"/>
      <c r="G1422" s="29"/>
      <c r="H1422" s="29"/>
      <c r="I1422" s="29"/>
      <c r="J1422" s="29"/>
      <c r="K1422" s="29"/>
      <c r="L1422" s="29"/>
      <c r="M1422" s="29"/>
      <c r="N1422" s="29"/>
      <c r="O1422" s="30"/>
      <c r="P1422" s="29"/>
      <c r="Q1422" s="29"/>
      <c r="R1422" s="29"/>
      <c r="S1422" s="33"/>
    </row>
    <row r="1423" spans="1:19" ht="15.6" thickTop="1" thickBot="1" x14ac:dyDescent="0.35">
      <c r="A1423" s="39"/>
      <c r="B1423" s="31"/>
      <c r="C1423" s="31"/>
      <c r="D1423" s="31"/>
      <c r="E1423" s="31"/>
      <c r="F1423" s="31"/>
      <c r="G1423" s="31"/>
      <c r="H1423" s="31"/>
      <c r="I1423" s="31"/>
      <c r="J1423" s="31"/>
      <c r="K1423" s="31"/>
      <c r="L1423" s="31"/>
      <c r="M1423" s="31"/>
      <c r="N1423" s="31"/>
      <c r="O1423" s="32"/>
      <c r="P1423" s="31"/>
      <c r="Q1423" s="31"/>
      <c r="R1423" s="31"/>
      <c r="S1423" s="34"/>
    </row>
    <row r="1424" spans="1:19" ht="15.6" thickTop="1" thickBot="1" x14ac:dyDescent="0.35">
      <c r="A1424" s="39"/>
      <c r="B1424" s="29"/>
      <c r="C1424" s="29"/>
      <c r="D1424" s="29"/>
      <c r="E1424" s="29"/>
      <c r="F1424" s="29"/>
      <c r="G1424" s="29"/>
      <c r="H1424" s="29"/>
      <c r="I1424" s="29"/>
      <c r="J1424" s="29"/>
      <c r="K1424" s="29"/>
      <c r="L1424" s="29"/>
      <c r="M1424" s="29"/>
      <c r="N1424" s="29"/>
      <c r="O1424" s="30"/>
      <c r="P1424" s="29"/>
      <c r="Q1424" s="29"/>
      <c r="R1424" s="29"/>
      <c r="S1424" s="33"/>
    </row>
    <row r="1425" spans="1:19" ht="15.6" thickTop="1" thickBot="1" x14ac:dyDescent="0.35">
      <c r="A1425" s="39"/>
      <c r="B1425" s="31"/>
      <c r="C1425" s="31"/>
      <c r="D1425" s="31"/>
      <c r="E1425" s="31"/>
      <c r="F1425" s="31"/>
      <c r="G1425" s="31"/>
      <c r="H1425" s="31"/>
      <c r="I1425" s="31"/>
      <c r="J1425" s="31"/>
      <c r="K1425" s="31"/>
      <c r="L1425" s="31"/>
      <c r="M1425" s="31"/>
      <c r="N1425" s="31"/>
      <c r="O1425" s="32"/>
      <c r="P1425" s="31"/>
      <c r="Q1425" s="31"/>
      <c r="R1425" s="31"/>
      <c r="S1425" s="34"/>
    </row>
    <row r="1426" spans="1:19" ht="15.6" thickTop="1" thickBot="1" x14ac:dyDescent="0.35">
      <c r="A1426" s="39"/>
      <c r="B1426" s="29"/>
      <c r="C1426" s="29"/>
      <c r="D1426" s="29"/>
      <c r="E1426" s="29"/>
      <c r="F1426" s="29"/>
      <c r="G1426" s="29"/>
      <c r="H1426" s="29"/>
      <c r="I1426" s="29"/>
      <c r="J1426" s="29"/>
      <c r="K1426" s="29"/>
      <c r="L1426" s="29"/>
      <c r="M1426" s="29"/>
      <c r="N1426" s="29"/>
      <c r="O1426" s="30"/>
      <c r="P1426" s="29"/>
      <c r="Q1426" s="29"/>
      <c r="R1426" s="29"/>
      <c r="S1426" s="33"/>
    </row>
    <row r="1427" spans="1:19" ht="15.6" thickTop="1" thickBot="1" x14ac:dyDescent="0.35">
      <c r="A1427" s="39"/>
      <c r="B1427" s="31"/>
      <c r="C1427" s="31"/>
      <c r="D1427" s="31"/>
      <c r="E1427" s="31"/>
      <c r="F1427" s="31"/>
      <c r="G1427" s="31"/>
      <c r="H1427" s="31"/>
      <c r="I1427" s="31"/>
      <c r="J1427" s="31"/>
      <c r="K1427" s="31"/>
      <c r="L1427" s="31"/>
      <c r="M1427" s="31"/>
      <c r="N1427" s="31"/>
      <c r="O1427" s="32"/>
      <c r="P1427" s="31"/>
      <c r="Q1427" s="31"/>
      <c r="R1427" s="31"/>
      <c r="S1427" s="34"/>
    </row>
    <row r="1428" spans="1:19" ht="15.6" thickTop="1" thickBot="1" x14ac:dyDescent="0.35">
      <c r="A1428" s="39"/>
      <c r="B1428" s="29"/>
      <c r="C1428" s="29"/>
      <c r="D1428" s="29"/>
      <c r="E1428" s="29"/>
      <c r="F1428" s="29"/>
      <c r="G1428" s="29"/>
      <c r="H1428" s="29"/>
      <c r="I1428" s="29"/>
      <c r="J1428" s="29"/>
      <c r="K1428" s="29"/>
      <c r="L1428" s="29"/>
      <c r="M1428" s="29"/>
      <c r="N1428" s="29"/>
      <c r="O1428" s="30"/>
      <c r="P1428" s="29"/>
      <c r="Q1428" s="29"/>
      <c r="R1428" s="29"/>
      <c r="S1428" s="33"/>
    </row>
    <row r="1429" spans="1:19" ht="15.6" thickTop="1" thickBot="1" x14ac:dyDescent="0.35">
      <c r="A1429" s="39"/>
      <c r="B1429" s="31"/>
      <c r="C1429" s="31"/>
      <c r="D1429" s="31"/>
      <c r="E1429" s="31"/>
      <c r="F1429" s="31"/>
      <c r="G1429" s="31"/>
      <c r="H1429" s="31"/>
      <c r="I1429" s="31"/>
      <c r="J1429" s="31"/>
      <c r="K1429" s="31"/>
      <c r="L1429" s="31"/>
      <c r="M1429" s="31"/>
      <c r="N1429" s="31"/>
      <c r="O1429" s="32"/>
      <c r="P1429" s="31"/>
      <c r="Q1429" s="31"/>
      <c r="R1429" s="31"/>
      <c r="S1429" s="34"/>
    </row>
    <row r="1430" spans="1:19" ht="15.6" thickTop="1" thickBot="1" x14ac:dyDescent="0.35">
      <c r="A1430" s="39"/>
      <c r="B1430" s="29"/>
      <c r="C1430" s="29"/>
      <c r="D1430" s="29"/>
      <c r="E1430" s="29"/>
      <c r="F1430" s="29"/>
      <c r="G1430" s="29"/>
      <c r="H1430" s="29"/>
      <c r="I1430" s="29"/>
      <c r="J1430" s="29"/>
      <c r="K1430" s="29"/>
      <c r="L1430" s="29"/>
      <c r="M1430" s="29"/>
      <c r="N1430" s="29"/>
      <c r="O1430" s="30"/>
      <c r="P1430" s="29"/>
      <c r="Q1430" s="29"/>
      <c r="R1430" s="29"/>
      <c r="S1430" s="33"/>
    </row>
    <row r="1431" spans="1:19" ht="15.6" thickTop="1" thickBot="1" x14ac:dyDescent="0.35">
      <c r="A1431" s="39"/>
      <c r="B1431" s="31"/>
      <c r="C1431" s="31"/>
      <c r="D1431" s="31"/>
      <c r="E1431" s="31"/>
      <c r="F1431" s="31"/>
      <c r="G1431" s="31"/>
      <c r="H1431" s="31"/>
      <c r="I1431" s="31"/>
      <c r="J1431" s="31"/>
      <c r="K1431" s="31"/>
      <c r="L1431" s="31"/>
      <c r="M1431" s="31"/>
      <c r="N1431" s="31"/>
      <c r="O1431" s="32"/>
      <c r="P1431" s="31"/>
      <c r="Q1431" s="31"/>
      <c r="R1431" s="31"/>
      <c r="S1431" s="34"/>
    </row>
    <row r="1432" spans="1:19" ht="15.6" thickTop="1" thickBot="1" x14ac:dyDescent="0.35">
      <c r="A1432" s="39"/>
      <c r="B1432" s="29"/>
      <c r="C1432" s="29"/>
      <c r="D1432" s="29"/>
      <c r="E1432" s="29"/>
      <c r="F1432" s="29"/>
      <c r="G1432" s="29"/>
      <c r="H1432" s="29"/>
      <c r="I1432" s="29"/>
      <c r="J1432" s="29"/>
      <c r="K1432" s="29"/>
      <c r="L1432" s="29"/>
      <c r="M1432" s="29"/>
      <c r="N1432" s="29"/>
      <c r="O1432" s="30"/>
      <c r="P1432" s="29"/>
      <c r="Q1432" s="29"/>
      <c r="R1432" s="29"/>
      <c r="S1432" s="33"/>
    </row>
    <row r="1433" spans="1:19" ht="15.6" thickTop="1" thickBot="1" x14ac:dyDescent="0.35">
      <c r="A1433" s="39"/>
      <c r="B1433" s="31"/>
      <c r="C1433" s="31"/>
      <c r="D1433" s="31"/>
      <c r="E1433" s="31"/>
      <c r="F1433" s="31"/>
      <c r="G1433" s="31"/>
      <c r="H1433" s="31"/>
      <c r="I1433" s="31"/>
      <c r="J1433" s="31"/>
      <c r="K1433" s="31"/>
      <c r="L1433" s="31"/>
      <c r="M1433" s="31"/>
      <c r="N1433" s="31"/>
      <c r="O1433" s="32"/>
      <c r="P1433" s="31"/>
      <c r="Q1433" s="31"/>
      <c r="R1433" s="31"/>
      <c r="S1433" s="34"/>
    </row>
    <row r="1434" spans="1:19" ht="15.6" thickTop="1" thickBot="1" x14ac:dyDescent="0.35">
      <c r="A1434" s="39"/>
      <c r="B1434" s="29"/>
      <c r="C1434" s="29"/>
      <c r="D1434" s="29"/>
      <c r="E1434" s="29"/>
      <c r="F1434" s="29"/>
      <c r="G1434" s="29"/>
      <c r="H1434" s="29"/>
      <c r="I1434" s="29"/>
      <c r="J1434" s="29"/>
      <c r="K1434" s="29"/>
      <c r="L1434" s="29"/>
      <c r="M1434" s="29"/>
      <c r="N1434" s="29"/>
      <c r="O1434" s="30"/>
      <c r="P1434" s="29"/>
      <c r="Q1434" s="29"/>
      <c r="R1434" s="29"/>
      <c r="S1434" s="33"/>
    </row>
    <row r="1435" spans="1:19" ht="15.6" thickTop="1" thickBot="1" x14ac:dyDescent="0.35">
      <c r="A1435" s="39"/>
      <c r="B1435" s="31"/>
      <c r="C1435" s="31"/>
      <c r="D1435" s="31"/>
      <c r="E1435" s="31"/>
      <c r="F1435" s="31"/>
      <c r="G1435" s="31"/>
      <c r="H1435" s="31"/>
      <c r="I1435" s="31"/>
      <c r="J1435" s="31"/>
      <c r="K1435" s="31"/>
      <c r="L1435" s="31"/>
      <c r="M1435" s="31"/>
      <c r="N1435" s="31"/>
      <c r="O1435" s="32"/>
      <c r="P1435" s="31"/>
      <c r="Q1435" s="31"/>
      <c r="R1435" s="31"/>
      <c r="S1435" s="34"/>
    </row>
    <row r="1436" spans="1:19" ht="15.6" thickTop="1" thickBot="1" x14ac:dyDescent="0.35">
      <c r="A1436" s="39"/>
      <c r="B1436" s="29"/>
      <c r="C1436" s="29"/>
      <c r="D1436" s="29"/>
      <c r="E1436" s="29"/>
      <c r="F1436" s="29"/>
      <c r="G1436" s="29"/>
      <c r="H1436" s="29"/>
      <c r="I1436" s="29"/>
      <c r="J1436" s="29"/>
      <c r="K1436" s="29"/>
      <c r="L1436" s="29"/>
      <c r="M1436" s="29"/>
      <c r="N1436" s="29"/>
      <c r="O1436" s="30"/>
      <c r="P1436" s="29"/>
      <c r="Q1436" s="29"/>
      <c r="R1436" s="29"/>
      <c r="S1436" s="33"/>
    </row>
    <row r="1437" spans="1:19" ht="15.6" thickTop="1" thickBot="1" x14ac:dyDescent="0.35">
      <c r="A1437" s="39"/>
      <c r="B1437" s="31"/>
      <c r="C1437" s="31"/>
      <c r="D1437" s="31"/>
      <c r="E1437" s="31"/>
      <c r="F1437" s="31"/>
      <c r="G1437" s="31"/>
      <c r="H1437" s="31"/>
      <c r="I1437" s="31"/>
      <c r="J1437" s="31"/>
      <c r="K1437" s="31"/>
      <c r="L1437" s="31"/>
      <c r="M1437" s="31"/>
      <c r="N1437" s="31"/>
      <c r="O1437" s="32"/>
      <c r="P1437" s="31"/>
      <c r="Q1437" s="31"/>
      <c r="R1437" s="31"/>
      <c r="S1437" s="34"/>
    </row>
    <row r="1438" spans="1:19" ht="15.6" thickTop="1" thickBot="1" x14ac:dyDescent="0.35">
      <c r="A1438" s="39"/>
      <c r="B1438" s="29"/>
      <c r="C1438" s="29"/>
      <c r="D1438" s="29"/>
      <c r="E1438" s="29"/>
      <c r="F1438" s="29"/>
      <c r="G1438" s="29"/>
      <c r="H1438" s="29"/>
      <c r="I1438" s="29"/>
      <c r="J1438" s="29"/>
      <c r="K1438" s="29"/>
      <c r="L1438" s="29"/>
      <c r="M1438" s="29"/>
      <c r="N1438" s="29"/>
      <c r="O1438" s="30"/>
      <c r="P1438" s="29"/>
      <c r="Q1438" s="29"/>
      <c r="R1438" s="29"/>
      <c r="S1438" s="33"/>
    </row>
    <row r="1439" spans="1:19" ht="15.6" thickTop="1" thickBot="1" x14ac:dyDescent="0.35">
      <c r="A1439" s="39"/>
      <c r="B1439" s="31"/>
      <c r="C1439" s="31"/>
      <c r="D1439" s="31"/>
      <c r="E1439" s="31"/>
      <c r="F1439" s="31"/>
      <c r="G1439" s="31"/>
      <c r="H1439" s="31"/>
      <c r="I1439" s="31"/>
      <c r="J1439" s="31"/>
      <c r="K1439" s="31"/>
      <c r="L1439" s="31"/>
      <c r="M1439" s="31"/>
      <c r="N1439" s="31"/>
      <c r="O1439" s="32"/>
      <c r="P1439" s="31"/>
      <c r="Q1439" s="31"/>
      <c r="R1439" s="31"/>
      <c r="S1439" s="34"/>
    </row>
    <row r="1440" spans="1:19" ht="15.6" thickTop="1" thickBot="1" x14ac:dyDescent="0.35">
      <c r="A1440" s="39"/>
      <c r="B1440" s="29"/>
      <c r="C1440" s="29"/>
      <c r="D1440" s="29"/>
      <c r="E1440" s="29"/>
      <c r="F1440" s="29"/>
      <c r="G1440" s="29"/>
      <c r="H1440" s="29"/>
      <c r="I1440" s="29"/>
      <c r="J1440" s="29"/>
      <c r="K1440" s="29"/>
      <c r="L1440" s="29"/>
      <c r="M1440" s="29"/>
      <c r="N1440" s="29"/>
      <c r="O1440" s="30"/>
      <c r="P1440" s="29"/>
      <c r="Q1440" s="29"/>
      <c r="R1440" s="29"/>
      <c r="S1440" s="33"/>
    </row>
    <row r="1441" spans="1:19" ht="15.6" thickTop="1" thickBot="1" x14ac:dyDescent="0.35">
      <c r="A1441" s="39"/>
      <c r="B1441" s="31"/>
      <c r="C1441" s="31"/>
      <c r="D1441" s="31"/>
      <c r="E1441" s="31"/>
      <c r="F1441" s="31"/>
      <c r="G1441" s="31"/>
      <c r="H1441" s="31"/>
      <c r="I1441" s="31"/>
      <c r="J1441" s="31"/>
      <c r="K1441" s="31"/>
      <c r="L1441" s="31"/>
      <c r="M1441" s="31"/>
      <c r="N1441" s="31"/>
      <c r="O1441" s="32"/>
      <c r="P1441" s="31"/>
      <c r="Q1441" s="31"/>
      <c r="R1441" s="31"/>
      <c r="S1441" s="34"/>
    </row>
    <row r="1442" spans="1:19" ht="15.6" thickTop="1" thickBot="1" x14ac:dyDescent="0.35">
      <c r="A1442" s="39"/>
      <c r="B1442" s="29"/>
      <c r="C1442" s="29"/>
      <c r="D1442" s="29"/>
      <c r="E1442" s="29"/>
      <c r="F1442" s="29"/>
      <c r="G1442" s="29"/>
      <c r="H1442" s="29"/>
      <c r="I1442" s="29"/>
      <c r="J1442" s="29"/>
      <c r="K1442" s="29"/>
      <c r="L1442" s="29"/>
      <c r="M1442" s="29"/>
      <c r="N1442" s="29"/>
      <c r="O1442" s="30"/>
      <c r="P1442" s="29"/>
      <c r="Q1442" s="29"/>
      <c r="R1442" s="29"/>
      <c r="S1442" s="33"/>
    </row>
    <row r="1443" spans="1:19" ht="15.6" thickTop="1" thickBot="1" x14ac:dyDescent="0.35">
      <c r="A1443" s="39"/>
      <c r="B1443" s="31"/>
      <c r="C1443" s="31"/>
      <c r="D1443" s="31"/>
      <c r="E1443" s="31"/>
      <c r="F1443" s="31"/>
      <c r="G1443" s="31"/>
      <c r="H1443" s="31"/>
      <c r="I1443" s="31"/>
      <c r="J1443" s="31"/>
      <c r="K1443" s="31"/>
      <c r="L1443" s="31"/>
      <c r="M1443" s="31"/>
      <c r="N1443" s="31"/>
      <c r="O1443" s="32"/>
      <c r="P1443" s="31"/>
      <c r="Q1443" s="31"/>
      <c r="R1443" s="31"/>
      <c r="S1443" s="34"/>
    </row>
    <row r="1444" spans="1:19" ht="15.6" thickTop="1" thickBot="1" x14ac:dyDescent="0.35">
      <c r="A1444" s="39"/>
      <c r="B1444" s="29"/>
      <c r="C1444" s="29"/>
      <c r="D1444" s="29"/>
      <c r="E1444" s="29"/>
      <c r="F1444" s="29"/>
      <c r="G1444" s="29"/>
      <c r="H1444" s="29"/>
      <c r="I1444" s="29"/>
      <c r="J1444" s="29"/>
      <c r="K1444" s="29"/>
      <c r="L1444" s="29"/>
      <c r="M1444" s="29"/>
      <c r="N1444" s="29"/>
      <c r="O1444" s="30"/>
      <c r="P1444" s="29"/>
      <c r="Q1444" s="29"/>
      <c r="R1444" s="29"/>
      <c r="S1444" s="33"/>
    </row>
    <row r="1445" spans="1:19" ht="15.6" thickTop="1" thickBot="1" x14ac:dyDescent="0.35">
      <c r="A1445" s="39"/>
      <c r="B1445" s="31"/>
      <c r="C1445" s="31"/>
      <c r="D1445" s="31"/>
      <c r="E1445" s="31"/>
      <c r="F1445" s="31"/>
      <c r="G1445" s="31"/>
      <c r="H1445" s="31"/>
      <c r="I1445" s="31"/>
      <c r="J1445" s="31"/>
      <c r="K1445" s="31"/>
      <c r="L1445" s="31"/>
      <c r="M1445" s="31"/>
      <c r="N1445" s="31"/>
      <c r="O1445" s="32"/>
      <c r="P1445" s="31"/>
      <c r="Q1445" s="31"/>
      <c r="R1445" s="31"/>
      <c r="S1445" s="34"/>
    </row>
    <row r="1446" spans="1:19" ht="15.6" thickTop="1" thickBot="1" x14ac:dyDescent="0.35">
      <c r="A1446" s="39"/>
      <c r="B1446" s="29"/>
      <c r="C1446" s="29"/>
      <c r="D1446" s="29"/>
      <c r="E1446" s="29"/>
      <c r="F1446" s="29"/>
      <c r="G1446" s="29"/>
      <c r="H1446" s="29"/>
      <c r="I1446" s="29"/>
      <c r="J1446" s="29"/>
      <c r="K1446" s="29"/>
      <c r="L1446" s="29"/>
      <c r="M1446" s="29"/>
      <c r="N1446" s="29"/>
      <c r="O1446" s="30"/>
      <c r="P1446" s="29"/>
      <c r="Q1446" s="29"/>
      <c r="R1446" s="29"/>
      <c r="S1446" s="33"/>
    </row>
    <row r="1447" spans="1:19" ht="15.6" thickTop="1" thickBot="1" x14ac:dyDescent="0.35">
      <c r="A1447" s="39"/>
      <c r="B1447" s="31"/>
      <c r="C1447" s="31"/>
      <c r="D1447" s="31"/>
      <c r="E1447" s="31"/>
      <c r="F1447" s="31"/>
      <c r="G1447" s="31"/>
      <c r="H1447" s="31"/>
      <c r="I1447" s="31"/>
      <c r="J1447" s="31"/>
      <c r="K1447" s="31"/>
      <c r="L1447" s="31"/>
      <c r="M1447" s="31"/>
      <c r="N1447" s="31"/>
      <c r="O1447" s="32"/>
      <c r="P1447" s="31"/>
      <c r="Q1447" s="31"/>
      <c r="R1447" s="31"/>
      <c r="S1447" s="34"/>
    </row>
    <row r="1448" spans="1:19" ht="15.6" thickTop="1" thickBot="1" x14ac:dyDescent="0.35">
      <c r="A1448" s="39"/>
      <c r="B1448" s="29"/>
      <c r="C1448" s="29"/>
      <c r="D1448" s="29"/>
      <c r="E1448" s="29"/>
      <c r="F1448" s="29"/>
      <c r="G1448" s="29"/>
      <c r="H1448" s="29"/>
      <c r="I1448" s="29"/>
      <c r="J1448" s="29"/>
      <c r="K1448" s="29"/>
      <c r="L1448" s="29"/>
      <c r="M1448" s="29"/>
      <c r="N1448" s="29"/>
      <c r="O1448" s="30"/>
      <c r="P1448" s="29"/>
      <c r="Q1448" s="29"/>
      <c r="R1448" s="29"/>
      <c r="S1448" s="33"/>
    </row>
    <row r="1449" spans="1:19" ht="15.6" thickTop="1" thickBot="1" x14ac:dyDescent="0.35">
      <c r="A1449" s="39"/>
      <c r="B1449" s="31"/>
      <c r="C1449" s="31"/>
      <c r="D1449" s="31"/>
      <c r="E1449" s="31"/>
      <c r="F1449" s="31"/>
      <c r="G1449" s="31"/>
      <c r="H1449" s="31"/>
      <c r="I1449" s="31"/>
      <c r="J1449" s="31"/>
      <c r="K1449" s="31"/>
      <c r="L1449" s="31"/>
      <c r="M1449" s="31"/>
      <c r="N1449" s="31"/>
      <c r="O1449" s="32"/>
      <c r="P1449" s="31"/>
      <c r="Q1449" s="31"/>
      <c r="R1449" s="31"/>
      <c r="S1449" s="34"/>
    </row>
    <row r="1450" spans="1:19" ht="15.6" thickTop="1" thickBot="1" x14ac:dyDescent="0.35">
      <c r="A1450" s="39"/>
      <c r="B1450" s="29"/>
      <c r="C1450" s="29"/>
      <c r="D1450" s="29"/>
      <c r="E1450" s="29"/>
      <c r="F1450" s="29"/>
      <c r="G1450" s="29"/>
      <c r="H1450" s="29"/>
      <c r="I1450" s="29"/>
      <c r="J1450" s="29"/>
      <c r="K1450" s="29"/>
      <c r="L1450" s="29"/>
      <c r="M1450" s="29"/>
      <c r="N1450" s="29"/>
      <c r="O1450" s="30"/>
      <c r="P1450" s="29"/>
      <c r="Q1450" s="29"/>
      <c r="R1450" s="29"/>
      <c r="S1450" s="33"/>
    </row>
    <row r="1451" spans="1:19" ht="15.6" thickTop="1" thickBot="1" x14ac:dyDescent="0.35">
      <c r="A1451" s="39"/>
      <c r="B1451" s="31"/>
      <c r="C1451" s="31"/>
      <c r="D1451" s="31"/>
      <c r="E1451" s="31"/>
      <c r="F1451" s="31"/>
      <c r="G1451" s="31"/>
      <c r="H1451" s="31"/>
      <c r="I1451" s="31"/>
      <c r="J1451" s="31"/>
      <c r="K1451" s="31"/>
      <c r="L1451" s="31"/>
      <c r="M1451" s="31"/>
      <c r="N1451" s="31"/>
      <c r="O1451" s="32"/>
      <c r="P1451" s="31"/>
      <c r="Q1451" s="31"/>
      <c r="R1451" s="31"/>
      <c r="S1451" s="34"/>
    </row>
    <row r="1452" spans="1:19" ht="15.6" thickTop="1" thickBot="1" x14ac:dyDescent="0.35">
      <c r="A1452" s="39"/>
      <c r="B1452" s="29"/>
      <c r="C1452" s="29"/>
      <c r="D1452" s="29"/>
      <c r="E1452" s="29"/>
      <c r="F1452" s="29"/>
      <c r="G1452" s="29"/>
      <c r="H1452" s="29"/>
      <c r="I1452" s="29"/>
      <c r="J1452" s="29"/>
      <c r="K1452" s="29"/>
      <c r="L1452" s="29"/>
      <c r="M1452" s="29"/>
      <c r="N1452" s="29"/>
      <c r="O1452" s="30"/>
      <c r="P1452" s="29"/>
      <c r="Q1452" s="29"/>
      <c r="R1452" s="29"/>
      <c r="S1452" s="33"/>
    </row>
    <row r="1453" spans="1:19" ht="15.6" thickTop="1" thickBot="1" x14ac:dyDescent="0.35">
      <c r="A1453" s="39"/>
      <c r="B1453" s="31"/>
      <c r="C1453" s="31"/>
      <c r="D1453" s="31"/>
      <c r="E1453" s="31"/>
      <c r="F1453" s="31"/>
      <c r="G1453" s="31"/>
      <c r="H1453" s="31"/>
      <c r="I1453" s="31"/>
      <c r="J1453" s="31"/>
      <c r="K1453" s="31"/>
      <c r="L1453" s="31"/>
      <c r="M1453" s="31"/>
      <c r="N1453" s="31"/>
      <c r="O1453" s="32"/>
      <c r="P1453" s="31"/>
      <c r="Q1453" s="31"/>
      <c r="R1453" s="31"/>
      <c r="S1453" s="34"/>
    </row>
    <row r="1454" spans="1:19" ht="15.6" thickTop="1" thickBot="1" x14ac:dyDescent="0.35">
      <c r="A1454" s="39"/>
      <c r="B1454" s="29"/>
      <c r="C1454" s="29"/>
      <c r="D1454" s="29"/>
      <c r="E1454" s="29"/>
      <c r="F1454" s="29"/>
      <c r="G1454" s="29"/>
      <c r="H1454" s="29"/>
      <c r="I1454" s="29"/>
      <c r="J1454" s="29"/>
      <c r="K1454" s="29"/>
      <c r="L1454" s="29"/>
      <c r="M1454" s="29"/>
      <c r="N1454" s="29"/>
      <c r="O1454" s="30"/>
      <c r="P1454" s="29"/>
      <c r="Q1454" s="29"/>
      <c r="R1454" s="29"/>
      <c r="S1454" s="33"/>
    </row>
    <row r="1455" spans="1:19" ht="15.6" thickTop="1" thickBot="1" x14ac:dyDescent="0.35">
      <c r="A1455" s="39"/>
      <c r="B1455" s="31"/>
      <c r="C1455" s="31"/>
      <c r="D1455" s="31"/>
      <c r="E1455" s="31"/>
      <c r="F1455" s="31"/>
      <c r="G1455" s="31"/>
      <c r="H1455" s="31"/>
      <c r="I1455" s="31"/>
      <c r="J1455" s="31"/>
      <c r="K1455" s="31"/>
      <c r="L1455" s="31"/>
      <c r="M1455" s="31"/>
      <c r="N1455" s="31"/>
      <c r="O1455" s="32"/>
      <c r="P1455" s="31"/>
      <c r="Q1455" s="31"/>
      <c r="R1455" s="31"/>
      <c r="S1455" s="34"/>
    </row>
    <row r="1456" spans="1:19" ht="15.6" thickTop="1" thickBot="1" x14ac:dyDescent="0.35">
      <c r="A1456" s="39"/>
      <c r="B1456" s="29"/>
      <c r="C1456" s="29"/>
      <c r="D1456" s="29"/>
      <c r="E1456" s="29"/>
      <c r="F1456" s="29"/>
      <c r="G1456" s="29"/>
      <c r="H1456" s="29"/>
      <c r="I1456" s="29"/>
      <c r="J1456" s="29"/>
      <c r="K1456" s="29"/>
      <c r="L1456" s="29"/>
      <c r="M1456" s="29"/>
      <c r="N1456" s="29"/>
      <c r="O1456" s="30"/>
      <c r="P1456" s="29"/>
      <c r="Q1456" s="29"/>
      <c r="R1456" s="29"/>
      <c r="S1456" s="33"/>
    </row>
    <row r="1457" spans="1:19" ht="15.6" thickTop="1" thickBot="1" x14ac:dyDescent="0.35">
      <c r="A1457" s="39"/>
      <c r="B1457" s="31"/>
      <c r="C1457" s="31"/>
      <c r="D1457" s="31"/>
      <c r="E1457" s="31"/>
      <c r="F1457" s="31"/>
      <c r="G1457" s="31"/>
      <c r="H1457" s="31"/>
      <c r="I1457" s="31"/>
      <c r="J1457" s="31"/>
      <c r="K1457" s="31"/>
      <c r="L1457" s="31"/>
      <c r="M1457" s="31"/>
      <c r="N1457" s="31"/>
      <c r="O1457" s="32"/>
      <c r="P1457" s="31"/>
      <c r="Q1457" s="31"/>
      <c r="R1457" s="31"/>
      <c r="S1457" s="34"/>
    </row>
    <row r="1458" spans="1:19" ht="15.6" thickTop="1" thickBot="1" x14ac:dyDescent="0.35">
      <c r="A1458" s="39"/>
      <c r="B1458" s="29"/>
      <c r="C1458" s="29"/>
      <c r="D1458" s="29"/>
      <c r="E1458" s="29"/>
      <c r="F1458" s="29"/>
      <c r="G1458" s="29"/>
      <c r="H1458" s="29"/>
      <c r="I1458" s="29"/>
      <c r="J1458" s="29"/>
      <c r="K1458" s="29"/>
      <c r="L1458" s="29"/>
      <c r="M1458" s="29"/>
      <c r="N1458" s="29"/>
      <c r="O1458" s="30"/>
      <c r="P1458" s="29"/>
      <c r="Q1458" s="29"/>
      <c r="R1458" s="29"/>
      <c r="S1458" s="33"/>
    </row>
    <row r="1459" spans="1:19" ht="15.6" thickTop="1" thickBot="1" x14ac:dyDescent="0.35">
      <c r="A1459" s="39"/>
      <c r="B1459" s="31"/>
      <c r="C1459" s="31"/>
      <c r="D1459" s="31"/>
      <c r="E1459" s="31"/>
      <c r="F1459" s="31"/>
      <c r="G1459" s="31"/>
      <c r="H1459" s="31"/>
      <c r="I1459" s="31"/>
      <c r="J1459" s="31"/>
      <c r="K1459" s="31"/>
      <c r="L1459" s="31"/>
      <c r="M1459" s="31"/>
      <c r="N1459" s="31"/>
      <c r="O1459" s="32"/>
      <c r="P1459" s="31"/>
      <c r="Q1459" s="31"/>
      <c r="R1459" s="31"/>
      <c r="S1459" s="34"/>
    </row>
    <row r="1460" spans="1:19" ht="15.6" thickTop="1" thickBot="1" x14ac:dyDescent="0.35">
      <c r="A1460" s="39"/>
      <c r="B1460" s="29"/>
      <c r="C1460" s="29"/>
      <c r="D1460" s="29"/>
      <c r="E1460" s="29"/>
      <c r="F1460" s="29"/>
      <c r="G1460" s="29"/>
      <c r="H1460" s="29"/>
      <c r="I1460" s="29"/>
      <c r="J1460" s="29"/>
      <c r="K1460" s="29"/>
      <c r="L1460" s="29"/>
      <c r="M1460" s="29"/>
      <c r="N1460" s="29"/>
      <c r="O1460" s="30"/>
      <c r="P1460" s="29"/>
      <c r="Q1460" s="29"/>
      <c r="R1460" s="29"/>
      <c r="S1460" s="33"/>
    </row>
    <row r="1461" spans="1:19" ht="15.6" thickTop="1" thickBot="1" x14ac:dyDescent="0.35">
      <c r="A1461" s="39"/>
      <c r="B1461" s="31"/>
      <c r="C1461" s="31"/>
      <c r="D1461" s="31"/>
      <c r="E1461" s="31"/>
      <c r="F1461" s="31"/>
      <c r="G1461" s="31"/>
      <c r="H1461" s="31"/>
      <c r="I1461" s="31"/>
      <c r="J1461" s="31"/>
      <c r="K1461" s="31"/>
      <c r="L1461" s="31"/>
      <c r="M1461" s="31"/>
      <c r="N1461" s="31"/>
      <c r="O1461" s="32"/>
      <c r="P1461" s="31"/>
      <c r="Q1461" s="31"/>
      <c r="R1461" s="31"/>
      <c r="S1461" s="34"/>
    </row>
    <row r="1462" spans="1:19" ht="15.6" thickTop="1" thickBot="1" x14ac:dyDescent="0.35">
      <c r="A1462" s="39"/>
      <c r="B1462" s="29"/>
      <c r="C1462" s="29"/>
      <c r="D1462" s="29"/>
      <c r="E1462" s="29"/>
      <c r="F1462" s="29"/>
      <c r="G1462" s="29"/>
      <c r="H1462" s="29"/>
      <c r="I1462" s="29"/>
      <c r="J1462" s="29"/>
      <c r="K1462" s="29"/>
      <c r="L1462" s="29"/>
      <c r="M1462" s="29"/>
      <c r="N1462" s="29"/>
      <c r="O1462" s="30"/>
      <c r="P1462" s="29"/>
      <c r="Q1462" s="29"/>
      <c r="R1462" s="29"/>
      <c r="S1462" s="33"/>
    </row>
    <row r="1463" spans="1:19" ht="15.6" thickTop="1" thickBot="1" x14ac:dyDescent="0.35">
      <c r="A1463" s="39"/>
      <c r="B1463" s="31"/>
      <c r="C1463" s="31"/>
      <c r="D1463" s="31"/>
      <c r="E1463" s="31"/>
      <c r="F1463" s="31"/>
      <c r="G1463" s="31"/>
      <c r="H1463" s="31"/>
      <c r="I1463" s="31"/>
      <c r="J1463" s="31"/>
      <c r="K1463" s="31"/>
      <c r="L1463" s="31"/>
      <c r="M1463" s="31"/>
      <c r="N1463" s="31"/>
      <c r="O1463" s="32"/>
      <c r="P1463" s="31"/>
      <c r="Q1463" s="31"/>
      <c r="R1463" s="31"/>
      <c r="S1463" s="34"/>
    </row>
    <row r="1464" spans="1:19" ht="15.6" thickTop="1" thickBot="1" x14ac:dyDescent="0.35">
      <c r="A1464" s="39"/>
      <c r="B1464" s="29"/>
      <c r="C1464" s="29"/>
      <c r="D1464" s="29"/>
      <c r="E1464" s="29"/>
      <c r="F1464" s="29"/>
      <c r="G1464" s="29"/>
      <c r="H1464" s="29"/>
      <c r="I1464" s="29"/>
      <c r="J1464" s="29"/>
      <c r="K1464" s="29"/>
      <c r="L1464" s="29"/>
      <c r="M1464" s="29"/>
      <c r="N1464" s="29"/>
      <c r="O1464" s="30"/>
      <c r="P1464" s="29"/>
      <c r="Q1464" s="29"/>
      <c r="R1464" s="29"/>
      <c r="S1464" s="33"/>
    </row>
    <row r="1465" spans="1:19" ht="15.6" thickTop="1" thickBot="1" x14ac:dyDescent="0.35">
      <c r="A1465" s="39"/>
      <c r="B1465" s="31"/>
      <c r="C1465" s="31"/>
      <c r="D1465" s="31"/>
      <c r="E1465" s="31"/>
      <c r="F1465" s="31"/>
      <c r="G1465" s="31"/>
      <c r="H1465" s="31"/>
      <c r="I1465" s="31"/>
      <c r="J1465" s="31"/>
      <c r="K1465" s="31"/>
      <c r="L1465" s="31"/>
      <c r="M1465" s="31"/>
      <c r="N1465" s="31"/>
      <c r="O1465" s="32"/>
      <c r="P1465" s="31"/>
      <c r="Q1465" s="31"/>
      <c r="R1465" s="31"/>
      <c r="S1465" s="34"/>
    </row>
    <row r="1466" spans="1:19" ht="15.6" thickTop="1" thickBot="1" x14ac:dyDescent="0.35">
      <c r="A1466" s="39"/>
      <c r="B1466" s="29"/>
      <c r="C1466" s="29"/>
      <c r="D1466" s="29"/>
      <c r="E1466" s="29"/>
      <c r="F1466" s="29"/>
      <c r="G1466" s="29"/>
      <c r="H1466" s="29"/>
      <c r="I1466" s="29"/>
      <c r="J1466" s="29"/>
      <c r="K1466" s="29"/>
      <c r="L1466" s="29"/>
      <c r="M1466" s="29"/>
      <c r="N1466" s="29"/>
      <c r="O1466" s="30"/>
      <c r="P1466" s="29"/>
      <c r="Q1466" s="29"/>
      <c r="R1466" s="29"/>
      <c r="S1466" s="33"/>
    </row>
    <row r="1467" spans="1:19" ht="15.6" thickTop="1" thickBot="1" x14ac:dyDescent="0.35">
      <c r="A1467" s="39"/>
      <c r="B1467" s="31"/>
      <c r="C1467" s="31"/>
      <c r="D1467" s="31"/>
      <c r="E1467" s="31"/>
      <c r="F1467" s="31"/>
      <c r="G1467" s="31"/>
      <c r="H1467" s="31"/>
      <c r="I1467" s="31"/>
      <c r="J1467" s="31"/>
      <c r="K1467" s="31"/>
      <c r="L1467" s="31"/>
      <c r="M1467" s="31"/>
      <c r="N1467" s="31"/>
      <c r="O1467" s="32"/>
      <c r="P1467" s="31"/>
      <c r="Q1467" s="31"/>
      <c r="R1467" s="31"/>
      <c r="S1467" s="34"/>
    </row>
    <row r="1468" spans="1:19" ht="15.6" thickTop="1" thickBot="1" x14ac:dyDescent="0.35">
      <c r="A1468" s="39"/>
      <c r="B1468" s="29"/>
      <c r="C1468" s="29"/>
      <c r="D1468" s="29"/>
      <c r="E1468" s="29"/>
      <c r="F1468" s="29"/>
      <c r="G1468" s="29"/>
      <c r="H1468" s="29"/>
      <c r="I1468" s="29"/>
      <c r="J1468" s="29"/>
      <c r="K1468" s="29"/>
      <c r="L1468" s="29"/>
      <c r="M1468" s="29"/>
      <c r="N1468" s="29"/>
      <c r="O1468" s="30"/>
      <c r="P1468" s="29"/>
      <c r="Q1468" s="29"/>
      <c r="R1468" s="29"/>
      <c r="S1468" s="33"/>
    </row>
    <row r="1469" spans="1:19" ht="15.6" thickTop="1" thickBot="1" x14ac:dyDescent="0.35">
      <c r="A1469" s="39"/>
      <c r="B1469" s="31"/>
      <c r="C1469" s="31"/>
      <c r="D1469" s="31"/>
      <c r="E1469" s="31"/>
      <c r="F1469" s="31"/>
      <c r="G1469" s="31"/>
      <c r="H1469" s="31"/>
      <c r="I1469" s="31"/>
      <c r="J1469" s="31"/>
      <c r="K1469" s="31"/>
      <c r="L1469" s="31"/>
      <c r="M1469" s="31"/>
      <c r="N1469" s="31"/>
      <c r="O1469" s="32"/>
      <c r="P1469" s="31"/>
      <c r="Q1469" s="31"/>
      <c r="R1469" s="31"/>
      <c r="S1469" s="34"/>
    </row>
    <row r="1470" spans="1:19" ht="15.6" thickTop="1" thickBot="1" x14ac:dyDescent="0.35">
      <c r="A1470" s="39"/>
      <c r="B1470" s="29"/>
      <c r="C1470" s="29"/>
      <c r="D1470" s="29"/>
      <c r="E1470" s="29"/>
      <c r="F1470" s="29"/>
      <c r="G1470" s="29"/>
      <c r="H1470" s="29"/>
      <c r="I1470" s="29"/>
      <c r="J1470" s="29"/>
      <c r="K1470" s="29"/>
      <c r="L1470" s="29"/>
      <c r="M1470" s="29"/>
      <c r="N1470" s="29"/>
      <c r="O1470" s="30"/>
      <c r="P1470" s="29"/>
      <c r="Q1470" s="29"/>
      <c r="R1470" s="29"/>
      <c r="S1470" s="33"/>
    </row>
    <row r="1471" spans="1:19" ht="15.6" thickTop="1" thickBot="1" x14ac:dyDescent="0.35">
      <c r="A1471" s="39"/>
      <c r="B1471" s="31"/>
      <c r="C1471" s="31"/>
      <c r="D1471" s="31"/>
      <c r="E1471" s="31"/>
      <c r="F1471" s="31"/>
      <c r="G1471" s="31"/>
      <c r="H1471" s="31"/>
      <c r="I1471" s="31"/>
      <c r="J1471" s="31"/>
      <c r="K1471" s="31"/>
      <c r="L1471" s="31"/>
      <c r="M1471" s="31"/>
      <c r="N1471" s="31"/>
      <c r="O1471" s="32"/>
      <c r="P1471" s="31"/>
      <c r="Q1471" s="31"/>
      <c r="R1471" s="31"/>
      <c r="S1471" s="34"/>
    </row>
    <row r="1472" spans="1:19" ht="15.6" thickTop="1" thickBot="1" x14ac:dyDescent="0.35">
      <c r="A1472" s="39"/>
      <c r="B1472" s="29"/>
      <c r="C1472" s="29"/>
      <c r="D1472" s="29"/>
      <c r="E1472" s="29"/>
      <c r="F1472" s="29"/>
      <c r="G1472" s="29"/>
      <c r="H1472" s="29"/>
      <c r="I1472" s="29"/>
      <c r="J1472" s="29"/>
      <c r="K1472" s="29"/>
      <c r="L1472" s="29"/>
      <c r="M1472" s="29"/>
      <c r="N1472" s="29"/>
      <c r="O1472" s="30"/>
      <c r="P1472" s="29"/>
      <c r="Q1472" s="29"/>
      <c r="R1472" s="29"/>
      <c r="S1472" s="33"/>
    </row>
    <row r="1473" spans="1:19" ht="15.6" thickTop="1" thickBot="1" x14ac:dyDescent="0.35">
      <c r="A1473" s="39"/>
      <c r="B1473" s="31"/>
      <c r="C1473" s="31"/>
      <c r="D1473" s="31"/>
      <c r="E1473" s="31"/>
      <c r="F1473" s="31"/>
      <c r="G1473" s="31"/>
      <c r="H1473" s="31"/>
      <c r="I1473" s="31"/>
      <c r="J1473" s="31"/>
      <c r="K1473" s="31"/>
      <c r="L1473" s="31"/>
      <c r="M1473" s="31"/>
      <c r="N1473" s="31"/>
      <c r="O1473" s="32"/>
      <c r="P1473" s="31"/>
      <c r="Q1473" s="31"/>
      <c r="R1473" s="31"/>
      <c r="S1473" s="34"/>
    </row>
    <row r="1474" spans="1:19" ht="15.6" thickTop="1" thickBot="1" x14ac:dyDescent="0.35">
      <c r="A1474" s="39"/>
      <c r="B1474" s="29"/>
      <c r="C1474" s="29"/>
      <c r="D1474" s="29"/>
      <c r="E1474" s="29"/>
      <c r="F1474" s="29"/>
      <c r="G1474" s="29"/>
      <c r="H1474" s="29"/>
      <c r="I1474" s="29"/>
      <c r="J1474" s="29"/>
      <c r="K1474" s="29"/>
      <c r="L1474" s="29"/>
      <c r="M1474" s="29"/>
      <c r="N1474" s="29"/>
      <c r="O1474" s="30"/>
      <c r="P1474" s="29"/>
      <c r="Q1474" s="29"/>
      <c r="R1474" s="29"/>
      <c r="S1474" s="33"/>
    </row>
    <row r="1475" spans="1:19" ht="15.6" thickTop="1" thickBot="1" x14ac:dyDescent="0.35">
      <c r="A1475" s="39"/>
      <c r="B1475" s="31"/>
      <c r="C1475" s="31"/>
      <c r="D1475" s="31"/>
      <c r="E1475" s="31"/>
      <c r="F1475" s="31"/>
      <c r="G1475" s="31"/>
      <c r="H1475" s="31"/>
      <c r="I1475" s="31"/>
      <c r="J1475" s="31"/>
      <c r="K1475" s="31"/>
      <c r="L1475" s="31"/>
      <c r="M1475" s="31"/>
      <c r="N1475" s="31"/>
      <c r="O1475" s="32"/>
      <c r="P1475" s="31"/>
      <c r="Q1475" s="31"/>
      <c r="R1475" s="31"/>
      <c r="S1475" s="34"/>
    </row>
    <row r="1476" spans="1:19" ht="15.6" thickTop="1" thickBot="1" x14ac:dyDescent="0.35">
      <c r="A1476" s="39"/>
      <c r="B1476" s="29"/>
      <c r="C1476" s="29"/>
      <c r="D1476" s="29"/>
      <c r="E1476" s="29"/>
      <c r="F1476" s="29"/>
      <c r="G1476" s="29"/>
      <c r="H1476" s="29"/>
      <c r="I1476" s="29"/>
      <c r="J1476" s="29"/>
      <c r="K1476" s="29"/>
      <c r="L1476" s="29"/>
      <c r="M1476" s="29"/>
      <c r="N1476" s="29"/>
      <c r="O1476" s="30"/>
      <c r="P1476" s="29"/>
      <c r="Q1476" s="29"/>
      <c r="R1476" s="29"/>
      <c r="S1476" s="33"/>
    </row>
    <row r="1477" spans="1:19" ht="15.6" thickTop="1" thickBot="1" x14ac:dyDescent="0.35">
      <c r="A1477" s="39"/>
      <c r="B1477" s="31"/>
      <c r="C1477" s="31"/>
      <c r="D1477" s="31"/>
      <c r="E1477" s="31"/>
      <c r="F1477" s="31"/>
      <c r="G1477" s="31"/>
      <c r="H1477" s="31"/>
      <c r="I1477" s="31"/>
      <c r="J1477" s="31"/>
      <c r="K1477" s="31"/>
      <c r="L1477" s="31"/>
      <c r="M1477" s="31"/>
      <c r="N1477" s="31"/>
      <c r="O1477" s="32"/>
      <c r="P1477" s="31"/>
      <c r="Q1477" s="31"/>
      <c r="R1477" s="31"/>
      <c r="S1477" s="34"/>
    </row>
    <row r="1478" spans="1:19" ht="15.6" thickTop="1" thickBot="1" x14ac:dyDescent="0.35">
      <c r="A1478" s="39"/>
      <c r="B1478" s="29"/>
      <c r="C1478" s="29"/>
      <c r="D1478" s="29"/>
      <c r="E1478" s="29"/>
      <c r="F1478" s="29"/>
      <c r="G1478" s="29"/>
      <c r="H1478" s="29"/>
      <c r="I1478" s="29"/>
      <c r="J1478" s="29"/>
      <c r="K1478" s="29"/>
      <c r="L1478" s="29"/>
      <c r="M1478" s="29"/>
      <c r="N1478" s="29"/>
      <c r="O1478" s="30"/>
      <c r="P1478" s="29"/>
      <c r="Q1478" s="29"/>
      <c r="R1478" s="29"/>
      <c r="S1478" s="33"/>
    </row>
    <row r="1479" spans="1:19" ht="15.6" thickTop="1" thickBot="1" x14ac:dyDescent="0.35">
      <c r="A1479" s="39"/>
      <c r="B1479" s="31"/>
      <c r="C1479" s="31"/>
      <c r="D1479" s="31"/>
      <c r="E1479" s="31"/>
      <c r="F1479" s="31"/>
      <c r="G1479" s="31"/>
      <c r="H1479" s="31"/>
      <c r="I1479" s="31"/>
      <c r="J1479" s="31"/>
      <c r="K1479" s="31"/>
      <c r="L1479" s="31"/>
      <c r="M1479" s="31"/>
      <c r="N1479" s="31"/>
      <c r="O1479" s="32"/>
      <c r="P1479" s="31"/>
      <c r="Q1479" s="31"/>
      <c r="R1479" s="31"/>
      <c r="S1479" s="34"/>
    </row>
    <row r="1480" spans="1:19" ht="15.6" thickTop="1" thickBot="1" x14ac:dyDescent="0.35">
      <c r="A1480" s="39"/>
      <c r="B1480" s="29"/>
      <c r="C1480" s="29"/>
      <c r="D1480" s="29"/>
      <c r="E1480" s="29"/>
      <c r="F1480" s="29"/>
      <c r="G1480" s="29"/>
      <c r="H1480" s="29"/>
      <c r="I1480" s="29"/>
      <c r="J1480" s="29"/>
      <c r="K1480" s="29"/>
      <c r="L1480" s="29"/>
      <c r="M1480" s="29"/>
      <c r="N1480" s="29"/>
      <c r="O1480" s="30"/>
      <c r="P1480" s="29"/>
      <c r="Q1480" s="29"/>
      <c r="R1480" s="29"/>
      <c r="S1480" s="33"/>
    </row>
    <row r="1481" spans="1:19" ht="15.6" thickTop="1" thickBot="1" x14ac:dyDescent="0.35">
      <c r="A1481" s="39"/>
      <c r="B1481" s="31"/>
      <c r="C1481" s="31"/>
      <c r="D1481" s="31"/>
      <c r="E1481" s="31"/>
      <c r="F1481" s="31"/>
      <c r="G1481" s="31"/>
      <c r="H1481" s="31"/>
      <c r="I1481" s="31"/>
      <c r="J1481" s="31"/>
      <c r="K1481" s="31"/>
      <c r="L1481" s="31"/>
      <c r="M1481" s="31"/>
      <c r="N1481" s="31"/>
      <c r="O1481" s="32"/>
      <c r="P1481" s="31"/>
      <c r="Q1481" s="31"/>
      <c r="R1481" s="31"/>
      <c r="S1481" s="34"/>
    </row>
    <row r="1482" spans="1:19" ht="15.6" thickTop="1" thickBot="1" x14ac:dyDescent="0.35">
      <c r="A1482" s="39"/>
      <c r="B1482" s="29"/>
      <c r="C1482" s="29"/>
      <c r="D1482" s="29"/>
      <c r="E1482" s="29"/>
      <c r="F1482" s="29"/>
      <c r="G1482" s="29"/>
      <c r="H1482" s="29"/>
      <c r="I1482" s="29"/>
      <c r="J1482" s="29"/>
      <c r="K1482" s="29"/>
      <c r="L1482" s="29"/>
      <c r="M1482" s="29"/>
      <c r="N1482" s="29"/>
      <c r="O1482" s="30"/>
      <c r="P1482" s="29"/>
      <c r="Q1482" s="29"/>
      <c r="R1482" s="29"/>
      <c r="S1482" s="33"/>
    </row>
    <row r="1483" spans="1:19" ht="15.6" thickTop="1" thickBot="1" x14ac:dyDescent="0.35">
      <c r="A1483" s="39"/>
      <c r="B1483" s="31"/>
      <c r="C1483" s="31"/>
      <c r="D1483" s="31"/>
      <c r="E1483" s="31"/>
      <c r="F1483" s="31"/>
      <c r="G1483" s="31"/>
      <c r="H1483" s="31"/>
      <c r="I1483" s="31"/>
      <c r="J1483" s="31"/>
      <c r="K1483" s="31"/>
      <c r="L1483" s="31"/>
      <c r="M1483" s="31"/>
      <c r="N1483" s="31"/>
      <c r="O1483" s="32"/>
      <c r="P1483" s="31"/>
      <c r="Q1483" s="31"/>
      <c r="R1483" s="31"/>
      <c r="S1483" s="34"/>
    </row>
    <row r="1484" spans="1:19" ht="15.6" thickTop="1" thickBot="1" x14ac:dyDescent="0.35">
      <c r="A1484" s="39"/>
      <c r="B1484" s="29"/>
      <c r="C1484" s="29"/>
      <c r="D1484" s="29"/>
      <c r="E1484" s="29"/>
      <c r="F1484" s="29"/>
      <c r="G1484" s="29"/>
      <c r="H1484" s="29"/>
      <c r="I1484" s="29"/>
      <c r="J1484" s="29"/>
      <c r="K1484" s="29"/>
      <c r="L1484" s="29"/>
      <c r="M1484" s="29"/>
      <c r="N1484" s="29"/>
      <c r="O1484" s="30"/>
      <c r="P1484" s="29"/>
      <c r="Q1484" s="29"/>
      <c r="R1484" s="29"/>
      <c r="S1484" s="33"/>
    </row>
    <row r="1485" spans="1:19" ht="15.6" thickTop="1" thickBot="1" x14ac:dyDescent="0.35">
      <c r="A1485" s="39"/>
      <c r="B1485" s="31"/>
      <c r="C1485" s="31"/>
      <c r="D1485" s="31"/>
      <c r="E1485" s="31"/>
      <c r="F1485" s="31"/>
      <c r="G1485" s="31"/>
      <c r="H1485" s="31"/>
      <c r="I1485" s="31"/>
      <c r="J1485" s="31"/>
      <c r="K1485" s="31"/>
      <c r="L1485" s="31"/>
      <c r="M1485" s="31"/>
      <c r="N1485" s="31"/>
      <c r="O1485" s="32"/>
      <c r="P1485" s="31"/>
      <c r="Q1485" s="31"/>
      <c r="R1485" s="31"/>
      <c r="S1485" s="34"/>
    </row>
    <row r="1486" spans="1:19" ht="15.6" thickTop="1" thickBot="1" x14ac:dyDescent="0.35">
      <c r="A1486" s="39"/>
      <c r="B1486" s="29"/>
      <c r="C1486" s="29"/>
      <c r="D1486" s="29"/>
      <c r="E1486" s="29"/>
      <c r="F1486" s="29"/>
      <c r="G1486" s="29"/>
      <c r="H1486" s="29"/>
      <c r="I1486" s="29"/>
      <c r="J1486" s="29"/>
      <c r="K1486" s="29"/>
      <c r="L1486" s="29"/>
      <c r="M1486" s="29"/>
      <c r="N1486" s="29"/>
      <c r="O1486" s="30"/>
      <c r="P1486" s="29"/>
      <c r="Q1486" s="29"/>
      <c r="R1486" s="29"/>
      <c r="S1486" s="33"/>
    </row>
    <row r="1487" spans="1:19" ht="15.6" thickTop="1" thickBot="1" x14ac:dyDescent="0.35">
      <c r="A1487" s="39"/>
      <c r="B1487" s="31"/>
      <c r="C1487" s="31"/>
      <c r="D1487" s="31"/>
      <c r="E1487" s="31"/>
      <c r="F1487" s="31"/>
      <c r="G1487" s="31"/>
      <c r="H1487" s="31"/>
      <c r="I1487" s="31"/>
      <c r="J1487" s="31"/>
      <c r="K1487" s="31"/>
      <c r="L1487" s="31"/>
      <c r="M1487" s="31"/>
      <c r="N1487" s="31"/>
      <c r="O1487" s="32"/>
      <c r="P1487" s="31"/>
      <c r="Q1487" s="31"/>
      <c r="R1487" s="31"/>
      <c r="S1487" s="34"/>
    </row>
    <row r="1488" spans="1:19" ht="15.6" thickTop="1" thickBot="1" x14ac:dyDescent="0.35">
      <c r="A1488" s="39"/>
      <c r="B1488" s="29"/>
      <c r="C1488" s="29"/>
      <c r="D1488" s="29"/>
      <c r="E1488" s="29"/>
      <c r="F1488" s="29"/>
      <c r="G1488" s="29"/>
      <c r="H1488" s="29"/>
      <c r="I1488" s="29"/>
      <c r="J1488" s="29"/>
      <c r="K1488" s="29"/>
      <c r="L1488" s="29"/>
      <c r="M1488" s="29"/>
      <c r="N1488" s="29"/>
      <c r="O1488" s="30"/>
      <c r="P1488" s="29"/>
      <c r="Q1488" s="29"/>
      <c r="R1488" s="29"/>
      <c r="S1488" s="33"/>
    </row>
    <row r="1489" spans="1:19" ht="15.6" thickTop="1" thickBot="1" x14ac:dyDescent="0.35">
      <c r="A1489" s="39"/>
      <c r="B1489" s="31"/>
      <c r="C1489" s="31"/>
      <c r="D1489" s="31"/>
      <c r="E1489" s="31"/>
      <c r="F1489" s="31"/>
      <c r="G1489" s="31"/>
      <c r="H1489" s="31"/>
      <c r="I1489" s="31"/>
      <c r="J1489" s="31"/>
      <c r="K1489" s="31"/>
      <c r="L1489" s="31"/>
      <c r="M1489" s="31"/>
      <c r="N1489" s="31"/>
      <c r="O1489" s="32"/>
      <c r="P1489" s="31"/>
      <c r="Q1489" s="31"/>
      <c r="R1489" s="31"/>
      <c r="S1489" s="34"/>
    </row>
    <row r="1490" spans="1:19" ht="15.6" thickTop="1" thickBot="1" x14ac:dyDescent="0.35">
      <c r="A1490" s="39"/>
      <c r="B1490" s="29"/>
      <c r="C1490" s="29"/>
      <c r="D1490" s="29"/>
      <c r="E1490" s="29"/>
      <c r="F1490" s="29"/>
      <c r="G1490" s="29"/>
      <c r="H1490" s="29"/>
      <c r="I1490" s="29"/>
      <c r="J1490" s="29"/>
      <c r="K1490" s="29"/>
      <c r="L1490" s="29"/>
      <c r="M1490" s="29"/>
      <c r="N1490" s="29"/>
      <c r="O1490" s="30"/>
      <c r="P1490" s="29"/>
      <c r="Q1490" s="29"/>
      <c r="R1490" s="29"/>
      <c r="S1490" s="33"/>
    </row>
    <row r="1491" spans="1:19" ht="15.6" thickTop="1" thickBot="1" x14ac:dyDescent="0.35">
      <c r="A1491" s="39"/>
      <c r="B1491" s="31"/>
      <c r="C1491" s="31"/>
      <c r="D1491" s="31"/>
      <c r="E1491" s="31"/>
      <c r="F1491" s="31"/>
      <c r="G1491" s="31"/>
      <c r="H1491" s="31"/>
      <c r="I1491" s="31"/>
      <c r="J1491" s="31"/>
      <c r="K1491" s="31"/>
      <c r="L1491" s="31"/>
      <c r="M1491" s="31"/>
      <c r="N1491" s="31"/>
      <c r="O1491" s="32"/>
      <c r="P1491" s="31"/>
      <c r="Q1491" s="31"/>
      <c r="R1491" s="31"/>
      <c r="S1491" s="34"/>
    </row>
    <row r="1492" spans="1:19" ht="15.6" thickTop="1" thickBot="1" x14ac:dyDescent="0.35">
      <c r="A1492" s="39"/>
      <c r="B1492" s="29"/>
      <c r="C1492" s="29"/>
      <c r="D1492" s="29"/>
      <c r="E1492" s="29"/>
      <c r="F1492" s="29"/>
      <c r="G1492" s="29"/>
      <c r="H1492" s="29"/>
      <c r="I1492" s="29"/>
      <c r="J1492" s="29"/>
      <c r="K1492" s="29"/>
      <c r="L1492" s="29"/>
      <c r="M1492" s="29"/>
      <c r="N1492" s="29"/>
      <c r="O1492" s="30"/>
      <c r="P1492" s="29"/>
      <c r="Q1492" s="29"/>
      <c r="R1492" s="29"/>
      <c r="S1492" s="33"/>
    </row>
    <row r="1493" spans="1:19" ht="15.6" thickTop="1" thickBot="1" x14ac:dyDescent="0.35">
      <c r="A1493" s="39"/>
      <c r="B1493" s="31"/>
      <c r="C1493" s="31"/>
      <c r="D1493" s="31"/>
      <c r="E1493" s="31"/>
      <c r="F1493" s="31"/>
      <c r="G1493" s="31"/>
      <c r="H1493" s="31"/>
      <c r="I1493" s="31"/>
      <c r="J1493" s="31"/>
      <c r="K1493" s="31"/>
      <c r="L1493" s="31"/>
      <c r="M1493" s="31"/>
      <c r="N1493" s="31"/>
      <c r="O1493" s="32"/>
      <c r="P1493" s="31"/>
      <c r="Q1493" s="31"/>
      <c r="R1493" s="31"/>
      <c r="S1493" s="34"/>
    </row>
    <row r="1494" spans="1:19" ht="15.6" thickTop="1" thickBot="1" x14ac:dyDescent="0.35">
      <c r="A1494" s="39"/>
      <c r="B1494" s="29"/>
      <c r="C1494" s="29"/>
      <c r="D1494" s="29"/>
      <c r="E1494" s="29"/>
      <c r="F1494" s="29"/>
      <c r="G1494" s="29"/>
      <c r="H1494" s="29"/>
      <c r="I1494" s="29"/>
      <c r="J1494" s="29"/>
      <c r="K1494" s="29"/>
      <c r="L1494" s="29"/>
      <c r="M1494" s="29"/>
      <c r="N1494" s="29"/>
      <c r="O1494" s="30"/>
      <c r="P1494" s="29"/>
      <c r="Q1494" s="29"/>
      <c r="R1494" s="29"/>
      <c r="S1494" s="33"/>
    </row>
    <row r="1495" spans="1:19" ht="15.6" thickTop="1" thickBot="1" x14ac:dyDescent="0.35">
      <c r="A1495" s="39"/>
      <c r="B1495" s="31"/>
      <c r="C1495" s="31"/>
      <c r="D1495" s="31"/>
      <c r="E1495" s="31"/>
      <c r="F1495" s="31"/>
      <c r="G1495" s="31"/>
      <c r="H1495" s="31"/>
      <c r="I1495" s="31"/>
      <c r="J1495" s="31"/>
      <c r="K1495" s="31"/>
      <c r="L1495" s="31"/>
      <c r="M1495" s="31"/>
      <c r="N1495" s="31"/>
      <c r="O1495" s="32"/>
      <c r="P1495" s="31"/>
      <c r="Q1495" s="31"/>
      <c r="R1495" s="31"/>
      <c r="S1495" s="34"/>
    </row>
    <row r="1496" spans="1:19" ht="15.6" thickTop="1" thickBot="1" x14ac:dyDescent="0.35">
      <c r="A1496" s="39"/>
      <c r="B1496" s="29"/>
      <c r="C1496" s="29"/>
      <c r="D1496" s="29"/>
      <c r="E1496" s="29"/>
      <c r="F1496" s="29"/>
      <c r="G1496" s="29"/>
      <c r="H1496" s="29"/>
      <c r="I1496" s="29"/>
      <c r="J1496" s="29"/>
      <c r="K1496" s="29"/>
      <c r="L1496" s="29"/>
      <c r="M1496" s="29"/>
      <c r="N1496" s="29"/>
      <c r="O1496" s="30"/>
      <c r="P1496" s="29"/>
      <c r="Q1496" s="29"/>
      <c r="R1496" s="29"/>
      <c r="S1496" s="33"/>
    </row>
    <row r="1497" spans="1:19" ht="15.6" thickTop="1" thickBot="1" x14ac:dyDescent="0.35">
      <c r="A1497" s="39"/>
      <c r="B1497" s="31"/>
      <c r="C1497" s="31"/>
      <c r="D1497" s="31"/>
      <c r="E1497" s="31"/>
      <c r="F1497" s="31"/>
      <c r="G1497" s="31"/>
      <c r="H1497" s="31"/>
      <c r="I1497" s="31"/>
      <c r="J1497" s="31"/>
      <c r="K1497" s="31"/>
      <c r="L1497" s="31"/>
      <c r="M1497" s="31"/>
      <c r="N1497" s="31"/>
      <c r="O1497" s="32"/>
      <c r="P1497" s="31"/>
      <c r="Q1497" s="31"/>
      <c r="R1497" s="31"/>
      <c r="S1497" s="34"/>
    </row>
    <row r="1498" spans="1:19" ht="15.6" thickTop="1" thickBot="1" x14ac:dyDescent="0.35">
      <c r="A1498" s="39"/>
      <c r="B1498" s="29"/>
      <c r="C1498" s="29"/>
      <c r="D1498" s="29"/>
      <c r="E1498" s="29"/>
      <c r="F1498" s="29"/>
      <c r="G1498" s="29"/>
      <c r="H1498" s="29"/>
      <c r="I1498" s="29"/>
      <c r="J1498" s="29"/>
      <c r="K1498" s="29"/>
      <c r="L1498" s="29"/>
      <c r="M1498" s="29"/>
      <c r="N1498" s="29"/>
      <c r="O1498" s="30"/>
      <c r="P1498" s="29"/>
      <c r="Q1498" s="29"/>
      <c r="R1498" s="29"/>
      <c r="S1498" s="33"/>
    </row>
    <row r="1499" spans="1:19" ht="15.6" thickTop="1" thickBot="1" x14ac:dyDescent="0.35">
      <c r="A1499" s="39"/>
      <c r="B1499" s="31"/>
      <c r="C1499" s="31"/>
      <c r="D1499" s="31"/>
      <c r="E1499" s="31"/>
      <c r="F1499" s="31"/>
      <c r="G1499" s="31"/>
      <c r="H1499" s="31"/>
      <c r="I1499" s="31"/>
      <c r="J1499" s="31"/>
      <c r="K1499" s="31"/>
      <c r="L1499" s="31"/>
      <c r="M1499" s="31"/>
      <c r="N1499" s="31"/>
      <c r="O1499" s="32"/>
      <c r="P1499" s="31"/>
      <c r="Q1499" s="31"/>
      <c r="R1499" s="31"/>
      <c r="S1499" s="34"/>
    </row>
    <row r="1500" spans="1:19" ht="15.6" thickTop="1" thickBot="1" x14ac:dyDescent="0.35">
      <c r="A1500" s="39"/>
      <c r="B1500" s="29"/>
      <c r="C1500" s="29"/>
      <c r="D1500" s="29"/>
      <c r="E1500" s="29"/>
      <c r="F1500" s="29"/>
      <c r="G1500" s="29"/>
      <c r="H1500" s="29"/>
      <c r="I1500" s="29"/>
      <c r="J1500" s="29"/>
      <c r="K1500" s="29"/>
      <c r="L1500" s="29"/>
      <c r="M1500" s="29"/>
      <c r="N1500" s="29"/>
      <c r="O1500" s="30"/>
      <c r="P1500" s="29"/>
      <c r="Q1500" s="29"/>
      <c r="R1500" s="29"/>
      <c r="S1500" s="33"/>
    </row>
    <row r="1501" spans="1:19" ht="15.6" thickTop="1" thickBot="1" x14ac:dyDescent="0.35">
      <c r="A1501" s="39"/>
      <c r="B1501" s="31"/>
      <c r="C1501" s="31"/>
      <c r="D1501" s="31"/>
      <c r="E1501" s="31"/>
      <c r="F1501" s="31"/>
      <c r="G1501" s="31"/>
      <c r="H1501" s="31"/>
      <c r="I1501" s="31"/>
      <c r="J1501" s="31"/>
      <c r="K1501" s="31"/>
      <c r="L1501" s="31"/>
      <c r="M1501" s="31"/>
      <c r="N1501" s="31"/>
      <c r="O1501" s="32"/>
      <c r="P1501" s="31"/>
      <c r="Q1501" s="31"/>
      <c r="R1501" s="31"/>
      <c r="S1501" s="34"/>
    </row>
    <row r="1502" spans="1:19" ht="15.6" thickTop="1" thickBot="1" x14ac:dyDescent="0.35">
      <c r="A1502" s="39"/>
      <c r="B1502" s="29"/>
      <c r="C1502" s="29"/>
      <c r="D1502" s="29"/>
      <c r="E1502" s="29"/>
      <c r="F1502" s="29"/>
      <c r="G1502" s="29"/>
      <c r="H1502" s="29"/>
      <c r="I1502" s="29"/>
      <c r="J1502" s="29"/>
      <c r="K1502" s="29"/>
      <c r="L1502" s="29"/>
      <c r="M1502" s="29"/>
      <c r="N1502" s="29"/>
      <c r="O1502" s="30"/>
      <c r="P1502" s="29"/>
      <c r="Q1502" s="29"/>
      <c r="R1502" s="29"/>
      <c r="S1502" s="33"/>
    </row>
    <row r="1503" spans="1:19" ht="15.6" thickTop="1" thickBot="1" x14ac:dyDescent="0.35">
      <c r="A1503" s="39"/>
      <c r="B1503" s="31"/>
      <c r="C1503" s="31"/>
      <c r="D1503" s="31"/>
      <c r="E1503" s="31"/>
      <c r="F1503" s="31"/>
      <c r="G1503" s="31"/>
      <c r="H1503" s="31"/>
      <c r="I1503" s="31"/>
      <c r="J1503" s="31"/>
      <c r="K1503" s="31"/>
      <c r="L1503" s="31"/>
      <c r="M1503" s="31"/>
      <c r="N1503" s="31"/>
      <c r="O1503" s="32"/>
      <c r="P1503" s="31"/>
      <c r="Q1503" s="31"/>
      <c r="R1503" s="31"/>
      <c r="S1503" s="34"/>
    </row>
    <row r="1504" spans="1:19" ht="15.6" thickTop="1" thickBot="1" x14ac:dyDescent="0.35">
      <c r="A1504" s="39"/>
      <c r="B1504" s="29"/>
      <c r="C1504" s="29"/>
      <c r="D1504" s="29"/>
      <c r="E1504" s="29"/>
      <c r="F1504" s="29"/>
      <c r="G1504" s="29"/>
      <c r="H1504" s="29"/>
      <c r="I1504" s="29"/>
      <c r="J1504" s="29"/>
      <c r="K1504" s="29"/>
      <c r="L1504" s="29"/>
      <c r="M1504" s="29"/>
      <c r="N1504" s="29"/>
      <c r="O1504" s="30"/>
      <c r="P1504" s="29"/>
      <c r="Q1504" s="29"/>
      <c r="R1504" s="29"/>
      <c r="S1504" s="33"/>
    </row>
    <row r="1505" spans="1:19" ht="15.6" thickTop="1" thickBot="1" x14ac:dyDescent="0.35">
      <c r="A1505" s="39"/>
      <c r="B1505" s="31"/>
      <c r="C1505" s="31"/>
      <c r="D1505" s="31"/>
      <c r="E1505" s="31"/>
      <c r="F1505" s="31"/>
      <c r="G1505" s="31"/>
      <c r="H1505" s="31"/>
      <c r="I1505" s="31"/>
      <c r="J1505" s="31"/>
      <c r="K1505" s="31"/>
      <c r="L1505" s="31"/>
      <c r="M1505" s="31"/>
      <c r="N1505" s="31"/>
      <c r="O1505" s="32"/>
      <c r="P1505" s="31"/>
      <c r="Q1505" s="31"/>
      <c r="R1505" s="31"/>
      <c r="S1505" s="34"/>
    </row>
    <row r="1506" spans="1:19" ht="15.6" thickTop="1" thickBot="1" x14ac:dyDescent="0.35">
      <c r="A1506" s="39"/>
      <c r="B1506" s="29"/>
      <c r="C1506" s="29"/>
      <c r="D1506" s="29"/>
      <c r="E1506" s="29"/>
      <c r="F1506" s="29"/>
      <c r="G1506" s="29"/>
      <c r="H1506" s="29"/>
      <c r="I1506" s="29"/>
      <c r="J1506" s="29"/>
      <c r="K1506" s="29"/>
      <c r="L1506" s="29"/>
      <c r="M1506" s="29"/>
      <c r="N1506" s="29"/>
      <c r="O1506" s="30"/>
      <c r="P1506" s="29"/>
      <c r="Q1506" s="29"/>
      <c r="R1506" s="29"/>
      <c r="S1506" s="33"/>
    </row>
    <row r="1507" spans="1:19" ht="15.6" thickTop="1" thickBot="1" x14ac:dyDescent="0.35">
      <c r="A1507" s="39"/>
      <c r="B1507" s="31"/>
      <c r="C1507" s="31"/>
      <c r="D1507" s="31"/>
      <c r="E1507" s="31"/>
      <c r="F1507" s="31"/>
      <c r="G1507" s="31"/>
      <c r="H1507" s="31"/>
      <c r="I1507" s="31"/>
      <c r="J1507" s="31"/>
      <c r="K1507" s="31"/>
      <c r="L1507" s="31"/>
      <c r="M1507" s="31"/>
      <c r="N1507" s="31"/>
      <c r="O1507" s="32"/>
      <c r="P1507" s="31"/>
      <c r="Q1507" s="31"/>
      <c r="R1507" s="31"/>
      <c r="S1507" s="34"/>
    </row>
    <row r="1508" spans="1:19" ht="15.6" thickTop="1" thickBot="1" x14ac:dyDescent="0.35">
      <c r="A1508" s="39"/>
      <c r="B1508" s="29"/>
      <c r="C1508" s="29"/>
      <c r="D1508" s="29"/>
      <c r="E1508" s="29"/>
      <c r="F1508" s="29"/>
      <c r="G1508" s="29"/>
      <c r="H1508" s="29"/>
      <c r="I1508" s="29"/>
      <c r="J1508" s="29"/>
      <c r="K1508" s="29"/>
      <c r="L1508" s="29"/>
      <c r="M1508" s="29"/>
      <c r="N1508" s="29"/>
      <c r="O1508" s="30"/>
      <c r="P1508" s="29"/>
      <c r="Q1508" s="29"/>
      <c r="R1508" s="29"/>
      <c r="S1508" s="33"/>
    </row>
    <row r="1509" spans="1:19" ht="15.6" thickTop="1" thickBot="1" x14ac:dyDescent="0.35">
      <c r="A1509" s="39"/>
      <c r="B1509" s="31"/>
      <c r="C1509" s="31"/>
      <c r="D1509" s="31"/>
      <c r="E1509" s="31"/>
      <c r="F1509" s="31"/>
      <c r="G1509" s="31"/>
      <c r="H1509" s="31"/>
      <c r="I1509" s="31"/>
      <c r="J1509" s="31"/>
      <c r="K1509" s="31"/>
      <c r="L1509" s="31"/>
      <c r="M1509" s="31"/>
      <c r="N1509" s="31"/>
      <c r="O1509" s="32"/>
      <c r="P1509" s="31"/>
      <c r="Q1509" s="31"/>
      <c r="R1509" s="31"/>
      <c r="S1509" s="34"/>
    </row>
    <row r="1510" spans="1:19" ht="15.6" thickTop="1" thickBot="1" x14ac:dyDescent="0.35">
      <c r="A1510" s="39"/>
      <c r="B1510" s="29"/>
      <c r="C1510" s="29"/>
      <c r="D1510" s="29"/>
      <c r="E1510" s="29"/>
      <c r="F1510" s="29"/>
      <c r="G1510" s="29"/>
      <c r="H1510" s="29"/>
      <c r="I1510" s="29"/>
      <c r="J1510" s="29"/>
      <c r="K1510" s="29"/>
      <c r="L1510" s="29"/>
      <c r="M1510" s="29"/>
      <c r="N1510" s="29"/>
      <c r="O1510" s="30"/>
      <c r="P1510" s="29"/>
      <c r="Q1510" s="29"/>
      <c r="R1510" s="29"/>
      <c r="S1510" s="33"/>
    </row>
    <row r="1511" spans="1:19" ht="15.6" thickTop="1" thickBot="1" x14ac:dyDescent="0.35">
      <c r="A1511" s="39"/>
      <c r="B1511" s="31"/>
      <c r="C1511" s="31"/>
      <c r="D1511" s="31"/>
      <c r="E1511" s="31"/>
      <c r="F1511" s="31"/>
      <c r="G1511" s="31"/>
      <c r="H1511" s="31"/>
      <c r="I1511" s="31"/>
      <c r="J1511" s="31"/>
      <c r="K1511" s="31"/>
      <c r="L1511" s="31"/>
      <c r="M1511" s="31"/>
      <c r="N1511" s="31"/>
      <c r="O1511" s="32"/>
      <c r="P1511" s="31"/>
      <c r="Q1511" s="31"/>
      <c r="R1511" s="31"/>
      <c r="S1511" s="34"/>
    </row>
    <row r="1512" spans="1:19" ht="15.6" thickTop="1" thickBot="1" x14ac:dyDescent="0.35">
      <c r="A1512" s="39"/>
      <c r="B1512" s="29"/>
      <c r="C1512" s="29"/>
      <c r="D1512" s="29"/>
      <c r="E1512" s="29"/>
      <c r="F1512" s="29"/>
      <c r="G1512" s="29"/>
      <c r="H1512" s="29"/>
      <c r="I1512" s="29"/>
      <c r="J1512" s="29"/>
      <c r="K1512" s="29"/>
      <c r="L1512" s="29"/>
      <c r="M1512" s="29"/>
      <c r="N1512" s="29"/>
      <c r="O1512" s="30"/>
      <c r="P1512" s="29"/>
      <c r="Q1512" s="29"/>
      <c r="R1512" s="29"/>
      <c r="S1512" s="33"/>
    </row>
    <row r="1513" spans="1:19" ht="15.6" thickTop="1" thickBot="1" x14ac:dyDescent="0.35">
      <c r="A1513" s="39"/>
      <c r="B1513" s="31"/>
      <c r="C1513" s="31"/>
      <c r="D1513" s="31"/>
      <c r="E1513" s="31"/>
      <c r="F1513" s="31"/>
      <c r="G1513" s="31"/>
      <c r="H1513" s="31"/>
      <c r="I1513" s="31"/>
      <c r="J1513" s="31"/>
      <c r="K1513" s="31"/>
      <c r="L1513" s="31"/>
      <c r="M1513" s="31"/>
      <c r="N1513" s="31"/>
      <c r="O1513" s="32"/>
      <c r="P1513" s="31"/>
      <c r="Q1513" s="31"/>
      <c r="R1513" s="31"/>
      <c r="S1513" s="34"/>
    </row>
    <row r="1514" spans="1:19" ht="15.6" thickTop="1" thickBot="1" x14ac:dyDescent="0.35">
      <c r="A1514" s="39"/>
      <c r="B1514" s="29"/>
      <c r="C1514" s="29"/>
      <c r="D1514" s="29"/>
      <c r="E1514" s="29"/>
      <c r="F1514" s="29"/>
      <c r="G1514" s="29"/>
      <c r="H1514" s="29"/>
      <c r="I1514" s="29"/>
      <c r="J1514" s="29"/>
      <c r="K1514" s="29"/>
      <c r="L1514" s="29"/>
      <c r="M1514" s="29"/>
      <c r="N1514" s="29"/>
      <c r="O1514" s="30"/>
      <c r="P1514" s="29"/>
      <c r="Q1514" s="29"/>
      <c r="R1514" s="29"/>
      <c r="S1514" s="33"/>
    </row>
    <row r="1515" spans="1:19" ht="15.6" thickTop="1" thickBot="1" x14ac:dyDescent="0.35">
      <c r="A1515" s="39"/>
      <c r="B1515" s="31"/>
      <c r="C1515" s="31"/>
      <c r="D1515" s="31"/>
      <c r="E1515" s="31"/>
      <c r="F1515" s="31"/>
      <c r="G1515" s="31"/>
      <c r="H1515" s="31"/>
      <c r="I1515" s="31"/>
      <c r="J1515" s="31"/>
      <c r="K1515" s="31"/>
      <c r="L1515" s="31"/>
      <c r="M1515" s="31"/>
      <c r="N1515" s="31"/>
      <c r="O1515" s="32"/>
      <c r="P1515" s="31"/>
      <c r="Q1515" s="31"/>
      <c r="R1515" s="31"/>
      <c r="S1515" s="34"/>
    </row>
    <row r="1516" spans="1:19" ht="15.6" thickTop="1" thickBot="1" x14ac:dyDescent="0.35">
      <c r="A1516" s="39"/>
      <c r="B1516" s="29"/>
      <c r="C1516" s="29"/>
      <c r="D1516" s="29"/>
      <c r="E1516" s="29"/>
      <c r="F1516" s="29"/>
      <c r="G1516" s="29"/>
      <c r="H1516" s="29"/>
      <c r="I1516" s="29"/>
      <c r="J1516" s="29"/>
      <c r="K1516" s="29"/>
      <c r="L1516" s="29"/>
      <c r="M1516" s="29"/>
      <c r="N1516" s="29"/>
      <c r="O1516" s="30"/>
      <c r="P1516" s="29"/>
      <c r="Q1516" s="29"/>
      <c r="R1516" s="29"/>
      <c r="S1516" s="33"/>
    </row>
    <row r="1517" spans="1:19" ht="15.6" thickTop="1" thickBot="1" x14ac:dyDescent="0.35">
      <c r="A1517" s="39"/>
      <c r="B1517" s="31"/>
      <c r="C1517" s="31"/>
      <c r="D1517" s="31"/>
      <c r="E1517" s="31"/>
      <c r="F1517" s="31"/>
      <c r="G1517" s="31"/>
      <c r="H1517" s="31"/>
      <c r="I1517" s="31"/>
      <c r="J1517" s="31"/>
      <c r="K1517" s="31"/>
      <c r="L1517" s="31"/>
      <c r="M1517" s="31"/>
      <c r="N1517" s="31"/>
      <c r="O1517" s="32"/>
      <c r="P1517" s="31"/>
      <c r="Q1517" s="31"/>
      <c r="R1517" s="31"/>
      <c r="S1517" s="34"/>
    </row>
    <row r="1518" spans="1:19" ht="15.6" thickTop="1" thickBot="1" x14ac:dyDescent="0.35">
      <c r="A1518" s="39"/>
      <c r="B1518" s="29"/>
      <c r="C1518" s="29"/>
      <c r="D1518" s="29"/>
      <c r="E1518" s="29"/>
      <c r="F1518" s="29"/>
      <c r="G1518" s="29"/>
      <c r="H1518" s="29"/>
      <c r="I1518" s="29"/>
      <c r="J1518" s="29"/>
      <c r="K1518" s="29"/>
      <c r="L1518" s="29"/>
      <c r="M1518" s="29"/>
      <c r="N1518" s="29"/>
      <c r="O1518" s="30"/>
      <c r="P1518" s="29"/>
      <c r="Q1518" s="29"/>
      <c r="R1518" s="29"/>
      <c r="S1518" s="33"/>
    </row>
    <row r="1519" spans="1:19" ht="15.6" thickTop="1" thickBot="1" x14ac:dyDescent="0.35">
      <c r="A1519" s="39"/>
      <c r="B1519" s="31"/>
      <c r="C1519" s="31"/>
      <c r="D1519" s="31"/>
      <c r="E1519" s="31"/>
      <c r="F1519" s="31"/>
      <c r="G1519" s="31"/>
      <c r="H1519" s="31"/>
      <c r="I1519" s="31"/>
      <c r="J1519" s="31"/>
      <c r="K1519" s="31"/>
      <c r="L1519" s="31"/>
      <c r="M1519" s="31"/>
      <c r="N1519" s="31"/>
      <c r="O1519" s="32"/>
      <c r="P1519" s="31"/>
      <c r="Q1519" s="31"/>
      <c r="R1519" s="31"/>
      <c r="S1519" s="34"/>
    </row>
    <row r="1520" spans="1:19" ht="15.6" thickTop="1" thickBot="1" x14ac:dyDescent="0.35">
      <c r="A1520" s="39"/>
      <c r="B1520" s="29"/>
      <c r="C1520" s="29"/>
      <c r="D1520" s="29"/>
      <c r="E1520" s="29"/>
      <c r="F1520" s="29"/>
      <c r="G1520" s="29"/>
      <c r="H1520" s="29"/>
      <c r="I1520" s="29"/>
      <c r="J1520" s="29"/>
      <c r="K1520" s="29"/>
      <c r="L1520" s="29"/>
      <c r="M1520" s="29"/>
      <c r="N1520" s="29"/>
      <c r="O1520" s="30"/>
      <c r="P1520" s="29"/>
      <c r="Q1520" s="29"/>
      <c r="R1520" s="29"/>
      <c r="S1520" s="33"/>
    </row>
    <row r="1521" spans="1:19" ht="15.6" thickTop="1" thickBot="1" x14ac:dyDescent="0.35">
      <c r="A1521" s="39"/>
      <c r="B1521" s="31"/>
      <c r="C1521" s="31"/>
      <c r="D1521" s="31"/>
      <c r="E1521" s="31"/>
      <c r="F1521" s="31"/>
      <c r="G1521" s="31"/>
      <c r="H1521" s="31"/>
      <c r="I1521" s="31"/>
      <c r="J1521" s="31"/>
      <c r="K1521" s="31"/>
      <c r="L1521" s="31"/>
      <c r="M1521" s="31"/>
      <c r="N1521" s="31"/>
      <c r="O1521" s="32"/>
      <c r="P1521" s="31"/>
      <c r="Q1521" s="31"/>
      <c r="R1521" s="31"/>
      <c r="S1521" s="34"/>
    </row>
    <row r="1522" spans="1:19" ht="15.6" thickTop="1" thickBot="1" x14ac:dyDescent="0.35">
      <c r="A1522" s="39"/>
      <c r="B1522" s="29"/>
      <c r="C1522" s="29"/>
      <c r="D1522" s="29"/>
      <c r="E1522" s="29"/>
      <c r="F1522" s="29"/>
      <c r="G1522" s="29"/>
      <c r="H1522" s="29"/>
      <c r="I1522" s="29"/>
      <c r="J1522" s="29"/>
      <c r="K1522" s="29"/>
      <c r="L1522" s="29"/>
      <c r="M1522" s="29"/>
      <c r="N1522" s="29"/>
      <c r="O1522" s="30"/>
      <c r="P1522" s="29"/>
      <c r="Q1522" s="29"/>
      <c r="R1522" s="29"/>
      <c r="S1522" s="33"/>
    </row>
    <row r="1523" spans="1:19" ht="15.6" thickTop="1" thickBot="1" x14ac:dyDescent="0.35">
      <c r="A1523" s="39"/>
      <c r="B1523" s="31"/>
      <c r="C1523" s="31"/>
      <c r="D1523" s="31"/>
      <c r="E1523" s="31"/>
      <c r="F1523" s="31"/>
      <c r="G1523" s="31"/>
      <c r="H1523" s="31"/>
      <c r="I1523" s="31"/>
      <c r="J1523" s="31"/>
      <c r="K1523" s="31"/>
      <c r="L1523" s="31"/>
      <c r="M1523" s="31"/>
      <c r="N1523" s="31"/>
      <c r="O1523" s="32"/>
      <c r="P1523" s="31"/>
      <c r="Q1523" s="31"/>
      <c r="R1523" s="31"/>
      <c r="S1523" s="34"/>
    </row>
    <row r="1524" spans="1:19" ht="15.6" thickTop="1" thickBot="1" x14ac:dyDescent="0.35">
      <c r="A1524" s="39"/>
      <c r="B1524" s="29"/>
      <c r="C1524" s="29"/>
      <c r="D1524" s="29"/>
      <c r="E1524" s="29"/>
      <c r="F1524" s="29"/>
      <c r="G1524" s="29"/>
      <c r="H1524" s="29"/>
      <c r="I1524" s="29"/>
      <c r="J1524" s="29"/>
      <c r="K1524" s="29"/>
      <c r="L1524" s="29"/>
      <c r="M1524" s="29"/>
      <c r="N1524" s="29"/>
      <c r="O1524" s="30"/>
      <c r="P1524" s="29"/>
      <c r="Q1524" s="29"/>
      <c r="R1524" s="29"/>
      <c r="S1524" s="33"/>
    </row>
    <row r="1525" spans="1:19" ht="15.6" thickTop="1" thickBot="1" x14ac:dyDescent="0.35">
      <c r="A1525" s="39"/>
      <c r="B1525" s="31"/>
      <c r="C1525" s="31"/>
      <c r="D1525" s="31"/>
      <c r="E1525" s="31"/>
      <c r="F1525" s="31"/>
      <c r="G1525" s="31"/>
      <c r="H1525" s="31"/>
      <c r="I1525" s="31"/>
      <c r="J1525" s="31"/>
      <c r="K1525" s="31"/>
      <c r="L1525" s="31"/>
      <c r="M1525" s="31"/>
      <c r="N1525" s="31"/>
      <c r="O1525" s="32"/>
      <c r="P1525" s="31"/>
      <c r="Q1525" s="31"/>
      <c r="R1525" s="31"/>
      <c r="S1525" s="34"/>
    </row>
    <row r="1526" spans="1:19" ht="15.6" thickTop="1" thickBot="1" x14ac:dyDescent="0.35">
      <c r="A1526" s="39"/>
      <c r="B1526" s="29"/>
      <c r="C1526" s="29"/>
      <c r="D1526" s="29"/>
      <c r="E1526" s="29"/>
      <c r="F1526" s="29"/>
      <c r="G1526" s="29"/>
      <c r="H1526" s="29"/>
      <c r="I1526" s="29"/>
      <c r="J1526" s="29"/>
      <c r="K1526" s="29"/>
      <c r="L1526" s="29"/>
      <c r="M1526" s="29"/>
      <c r="N1526" s="29"/>
      <c r="O1526" s="30"/>
      <c r="P1526" s="29"/>
      <c r="Q1526" s="29"/>
      <c r="R1526" s="29"/>
      <c r="S1526" s="33"/>
    </row>
    <row r="1527" spans="1:19" ht="15.6" thickTop="1" thickBot="1" x14ac:dyDescent="0.35">
      <c r="A1527" s="39"/>
      <c r="B1527" s="31"/>
      <c r="C1527" s="31"/>
      <c r="D1527" s="31"/>
      <c r="E1527" s="31"/>
      <c r="F1527" s="31"/>
      <c r="G1527" s="31"/>
      <c r="H1527" s="31"/>
      <c r="I1527" s="31"/>
      <c r="J1527" s="31"/>
      <c r="K1527" s="31"/>
      <c r="L1527" s="31"/>
      <c r="M1527" s="31"/>
      <c r="N1527" s="31"/>
      <c r="O1527" s="32"/>
      <c r="P1527" s="31"/>
      <c r="Q1527" s="31"/>
      <c r="R1527" s="31"/>
      <c r="S1527" s="34"/>
    </row>
    <row r="1528" spans="1:19" ht="15.6" thickTop="1" thickBot="1" x14ac:dyDescent="0.35">
      <c r="A1528" s="39"/>
      <c r="B1528" s="29"/>
      <c r="C1528" s="29"/>
      <c r="D1528" s="29"/>
      <c r="E1528" s="29"/>
      <c r="F1528" s="29"/>
      <c r="G1528" s="29"/>
      <c r="H1528" s="29"/>
      <c r="I1528" s="29"/>
      <c r="J1528" s="29"/>
      <c r="K1528" s="29"/>
      <c r="L1528" s="29"/>
      <c r="M1528" s="29"/>
      <c r="N1528" s="29"/>
      <c r="O1528" s="30"/>
      <c r="P1528" s="29"/>
      <c r="Q1528" s="29"/>
      <c r="R1528" s="29"/>
      <c r="S1528" s="33"/>
    </row>
    <row r="1529" spans="1:19" ht="15.6" thickTop="1" thickBot="1" x14ac:dyDescent="0.35">
      <c r="A1529" s="39"/>
      <c r="B1529" s="31"/>
      <c r="C1529" s="31"/>
      <c r="D1529" s="31"/>
      <c r="E1529" s="31"/>
      <c r="F1529" s="31"/>
      <c r="G1529" s="31"/>
      <c r="H1529" s="31"/>
      <c r="I1529" s="31"/>
      <c r="J1529" s="31"/>
      <c r="K1529" s="31"/>
      <c r="L1529" s="31"/>
      <c r="M1529" s="31"/>
      <c r="N1529" s="31"/>
      <c r="O1529" s="32"/>
      <c r="P1529" s="31"/>
      <c r="Q1529" s="31"/>
      <c r="R1529" s="31"/>
      <c r="S1529" s="34"/>
    </row>
    <row r="1530" spans="1:19" ht="15.6" thickTop="1" thickBot="1" x14ac:dyDescent="0.35">
      <c r="A1530" s="39"/>
      <c r="B1530" s="29"/>
      <c r="C1530" s="29"/>
      <c r="D1530" s="29"/>
      <c r="E1530" s="29"/>
      <c r="F1530" s="29"/>
      <c r="G1530" s="29"/>
      <c r="H1530" s="29"/>
      <c r="I1530" s="29"/>
      <c r="J1530" s="29"/>
      <c r="K1530" s="29"/>
      <c r="L1530" s="29"/>
      <c r="M1530" s="29"/>
      <c r="N1530" s="29"/>
      <c r="O1530" s="30"/>
      <c r="P1530" s="29"/>
      <c r="Q1530" s="29"/>
      <c r="R1530" s="29"/>
      <c r="S1530" s="33"/>
    </row>
    <row r="1531" spans="1:19" ht="15.6" thickTop="1" thickBot="1" x14ac:dyDescent="0.35">
      <c r="A1531" s="39"/>
      <c r="B1531" s="31"/>
      <c r="C1531" s="31"/>
      <c r="D1531" s="31"/>
      <c r="E1531" s="31"/>
      <c r="F1531" s="31"/>
      <c r="G1531" s="31"/>
      <c r="H1531" s="31"/>
      <c r="I1531" s="31"/>
      <c r="J1531" s="31"/>
      <c r="K1531" s="31"/>
      <c r="L1531" s="31"/>
      <c r="M1531" s="31"/>
      <c r="N1531" s="31"/>
      <c r="O1531" s="32"/>
      <c r="P1531" s="31"/>
      <c r="Q1531" s="31"/>
      <c r="R1531" s="31"/>
      <c r="S1531" s="34"/>
    </row>
    <row r="1532" spans="1:19" ht="15.6" thickTop="1" thickBot="1" x14ac:dyDescent="0.35">
      <c r="A1532" s="39"/>
      <c r="B1532" s="29"/>
      <c r="C1532" s="29"/>
      <c r="D1532" s="29"/>
      <c r="E1532" s="29"/>
      <c r="F1532" s="29"/>
      <c r="G1532" s="29"/>
      <c r="H1532" s="29"/>
      <c r="I1532" s="29"/>
      <c r="J1532" s="29"/>
      <c r="K1532" s="29"/>
      <c r="L1532" s="29"/>
      <c r="M1532" s="29"/>
      <c r="N1532" s="29"/>
      <c r="O1532" s="30"/>
      <c r="P1532" s="29"/>
      <c r="Q1532" s="29"/>
      <c r="R1532" s="29"/>
      <c r="S1532" s="33"/>
    </row>
    <row r="1533" spans="1:19" ht="15.6" thickTop="1" thickBot="1" x14ac:dyDescent="0.35">
      <c r="A1533" s="39"/>
      <c r="B1533" s="31"/>
      <c r="C1533" s="31"/>
      <c r="D1533" s="31"/>
      <c r="E1533" s="31"/>
      <c r="F1533" s="31"/>
      <c r="G1533" s="31"/>
      <c r="H1533" s="31"/>
      <c r="I1533" s="31"/>
      <c r="J1533" s="31"/>
      <c r="K1533" s="31"/>
      <c r="L1533" s="31"/>
      <c r="M1533" s="31"/>
      <c r="N1533" s="31"/>
      <c r="O1533" s="32"/>
      <c r="P1533" s="31"/>
      <c r="Q1533" s="31"/>
      <c r="R1533" s="31"/>
      <c r="S1533" s="34"/>
    </row>
    <row r="1534" spans="1:19" ht="15.6" thickTop="1" thickBot="1" x14ac:dyDescent="0.35">
      <c r="A1534" s="39"/>
      <c r="B1534" s="29"/>
      <c r="C1534" s="29"/>
      <c r="D1534" s="29"/>
      <c r="E1534" s="29"/>
      <c r="F1534" s="29"/>
      <c r="G1534" s="29"/>
      <c r="H1534" s="29"/>
      <c r="I1534" s="29"/>
      <c r="J1534" s="29"/>
      <c r="K1534" s="29"/>
      <c r="L1534" s="29"/>
      <c r="M1534" s="29"/>
      <c r="N1534" s="29"/>
      <c r="O1534" s="30"/>
      <c r="P1534" s="29"/>
      <c r="Q1534" s="29"/>
      <c r="R1534" s="29"/>
      <c r="S1534" s="33"/>
    </row>
    <row r="1535" spans="1:19" ht="15.6" thickTop="1" thickBot="1" x14ac:dyDescent="0.35">
      <c r="A1535" s="39"/>
      <c r="B1535" s="31"/>
      <c r="C1535" s="31"/>
      <c r="D1535" s="31"/>
      <c r="E1535" s="31"/>
      <c r="F1535" s="31"/>
      <c r="G1535" s="31"/>
      <c r="H1535" s="31"/>
      <c r="I1535" s="31"/>
      <c r="J1535" s="31"/>
      <c r="K1535" s="31"/>
      <c r="L1535" s="31"/>
      <c r="M1535" s="31"/>
      <c r="N1535" s="31"/>
      <c r="O1535" s="32"/>
      <c r="P1535" s="31"/>
      <c r="Q1535" s="31"/>
      <c r="R1535" s="31"/>
      <c r="S1535" s="34"/>
    </row>
    <row r="1536" spans="1:19" ht="15.6" thickTop="1" thickBot="1" x14ac:dyDescent="0.35">
      <c r="A1536" s="39"/>
      <c r="B1536" s="29"/>
      <c r="C1536" s="29"/>
      <c r="D1536" s="29"/>
      <c r="E1536" s="29"/>
      <c r="F1536" s="29"/>
      <c r="G1536" s="29"/>
      <c r="H1536" s="29"/>
      <c r="I1536" s="29"/>
      <c r="J1536" s="29"/>
      <c r="K1536" s="29"/>
      <c r="L1536" s="29"/>
      <c r="M1536" s="29"/>
      <c r="N1536" s="29"/>
      <c r="O1536" s="30"/>
      <c r="P1536" s="29"/>
      <c r="Q1536" s="29"/>
      <c r="R1536" s="29"/>
      <c r="S1536" s="33"/>
    </row>
    <row r="1537" spans="1:19" ht="15.6" thickTop="1" thickBot="1" x14ac:dyDescent="0.35">
      <c r="A1537" s="39"/>
      <c r="B1537" s="31"/>
      <c r="C1537" s="31"/>
      <c r="D1537" s="31"/>
      <c r="E1537" s="31"/>
      <c r="F1537" s="31"/>
      <c r="G1537" s="31"/>
      <c r="H1537" s="31"/>
      <c r="I1537" s="31"/>
      <c r="J1537" s="31"/>
      <c r="K1537" s="31"/>
      <c r="L1537" s="31"/>
      <c r="M1537" s="31"/>
      <c r="N1537" s="31"/>
      <c r="O1537" s="32"/>
      <c r="P1537" s="31"/>
      <c r="Q1537" s="31"/>
      <c r="R1537" s="31"/>
      <c r="S1537" s="34"/>
    </row>
    <row r="1538" spans="1:19" ht="15.6" thickTop="1" thickBot="1" x14ac:dyDescent="0.35">
      <c r="A1538" s="39"/>
      <c r="B1538" s="29"/>
      <c r="C1538" s="29"/>
      <c r="D1538" s="29"/>
      <c r="E1538" s="29"/>
      <c r="F1538" s="29"/>
      <c r="G1538" s="29"/>
      <c r="H1538" s="29"/>
      <c r="I1538" s="29"/>
      <c r="J1538" s="29"/>
      <c r="K1538" s="29"/>
      <c r="L1538" s="29"/>
      <c r="M1538" s="29"/>
      <c r="N1538" s="29"/>
      <c r="O1538" s="30"/>
      <c r="P1538" s="29"/>
      <c r="Q1538" s="29"/>
      <c r="R1538" s="29"/>
      <c r="S1538" s="33"/>
    </row>
    <row r="1539" spans="1:19" ht="15.6" thickTop="1" thickBot="1" x14ac:dyDescent="0.35">
      <c r="A1539" s="39"/>
      <c r="B1539" s="31"/>
      <c r="C1539" s="31"/>
      <c r="D1539" s="31"/>
      <c r="E1539" s="31"/>
      <c r="F1539" s="31"/>
      <c r="G1539" s="31"/>
      <c r="H1539" s="31"/>
      <c r="I1539" s="31"/>
      <c r="J1539" s="31"/>
      <c r="K1539" s="31"/>
      <c r="L1539" s="31"/>
      <c r="M1539" s="31"/>
      <c r="N1539" s="31"/>
      <c r="O1539" s="32"/>
      <c r="P1539" s="31"/>
      <c r="Q1539" s="31"/>
      <c r="R1539" s="31"/>
      <c r="S1539" s="34"/>
    </row>
    <row r="1540" spans="1:19" ht="15.6" thickTop="1" thickBot="1" x14ac:dyDescent="0.35">
      <c r="A1540" s="39"/>
      <c r="B1540" s="29"/>
      <c r="C1540" s="29"/>
      <c r="D1540" s="29"/>
      <c r="E1540" s="29"/>
      <c r="F1540" s="29"/>
      <c r="G1540" s="29"/>
      <c r="H1540" s="29"/>
      <c r="I1540" s="29"/>
      <c r="J1540" s="29"/>
      <c r="K1540" s="29"/>
      <c r="L1540" s="29"/>
      <c r="M1540" s="29"/>
      <c r="N1540" s="29"/>
      <c r="O1540" s="30"/>
      <c r="P1540" s="29"/>
      <c r="Q1540" s="29"/>
      <c r="R1540" s="29"/>
      <c r="S1540" s="33"/>
    </row>
    <row r="1541" spans="1:19" ht="15.6" thickTop="1" thickBot="1" x14ac:dyDescent="0.35">
      <c r="A1541" s="39"/>
      <c r="B1541" s="31"/>
      <c r="C1541" s="31"/>
      <c r="D1541" s="31"/>
      <c r="E1541" s="31"/>
      <c r="F1541" s="31"/>
      <c r="G1541" s="31"/>
      <c r="H1541" s="31"/>
      <c r="I1541" s="31"/>
      <c r="J1541" s="31"/>
      <c r="K1541" s="31"/>
      <c r="L1541" s="31"/>
      <c r="M1541" s="31"/>
      <c r="N1541" s="31"/>
      <c r="O1541" s="32"/>
      <c r="P1541" s="31"/>
      <c r="Q1541" s="31"/>
      <c r="R1541" s="31"/>
      <c r="S1541" s="34"/>
    </row>
    <row r="1542" spans="1:19" ht="15.6" thickTop="1" thickBot="1" x14ac:dyDescent="0.35">
      <c r="A1542" s="39"/>
      <c r="B1542" s="29"/>
      <c r="C1542" s="29"/>
      <c r="D1542" s="29"/>
      <c r="E1542" s="29"/>
      <c r="F1542" s="29"/>
      <c r="G1542" s="29"/>
      <c r="H1542" s="29"/>
      <c r="I1542" s="29"/>
      <c r="J1542" s="29"/>
      <c r="K1542" s="29"/>
      <c r="L1542" s="29"/>
      <c r="M1542" s="29"/>
      <c r="N1542" s="29"/>
      <c r="O1542" s="30"/>
      <c r="P1542" s="29"/>
      <c r="Q1542" s="29"/>
      <c r="R1542" s="29"/>
      <c r="S1542" s="33"/>
    </row>
    <row r="1543" spans="1:19" ht="15.6" thickTop="1" thickBot="1" x14ac:dyDescent="0.35">
      <c r="A1543" s="39"/>
      <c r="B1543" s="31"/>
      <c r="C1543" s="31"/>
      <c r="D1543" s="31"/>
      <c r="E1543" s="31"/>
      <c r="F1543" s="31"/>
      <c r="G1543" s="31"/>
      <c r="H1543" s="31"/>
      <c r="I1543" s="31"/>
      <c r="J1543" s="31"/>
      <c r="K1543" s="31"/>
      <c r="L1543" s="31"/>
      <c r="M1543" s="31"/>
      <c r="N1543" s="31"/>
      <c r="O1543" s="32"/>
      <c r="P1543" s="31"/>
      <c r="Q1543" s="31"/>
      <c r="R1543" s="31"/>
      <c r="S1543" s="34"/>
    </row>
    <row r="1544" spans="1:19" ht="15.6" thickTop="1" thickBot="1" x14ac:dyDescent="0.35">
      <c r="A1544" s="39"/>
      <c r="B1544" s="29"/>
      <c r="C1544" s="29"/>
      <c r="D1544" s="29"/>
      <c r="E1544" s="29"/>
      <c r="F1544" s="29"/>
      <c r="G1544" s="29"/>
      <c r="H1544" s="29"/>
      <c r="I1544" s="29"/>
      <c r="J1544" s="29"/>
      <c r="K1544" s="29"/>
      <c r="L1544" s="29"/>
      <c r="M1544" s="29"/>
      <c r="N1544" s="29"/>
      <c r="O1544" s="30"/>
      <c r="P1544" s="29"/>
      <c r="Q1544" s="29"/>
      <c r="R1544" s="29"/>
      <c r="S1544" s="33"/>
    </row>
    <row r="1545" spans="1:19" ht="15.6" thickTop="1" thickBot="1" x14ac:dyDescent="0.35">
      <c r="A1545" s="39"/>
      <c r="B1545" s="31"/>
      <c r="C1545" s="31"/>
      <c r="D1545" s="31"/>
      <c r="E1545" s="31"/>
      <c r="F1545" s="31"/>
      <c r="G1545" s="31"/>
      <c r="H1545" s="31"/>
      <c r="I1545" s="31"/>
      <c r="J1545" s="31"/>
      <c r="K1545" s="31"/>
      <c r="L1545" s="31"/>
      <c r="M1545" s="31"/>
      <c r="N1545" s="31"/>
      <c r="O1545" s="32"/>
      <c r="P1545" s="31"/>
      <c r="Q1545" s="31"/>
      <c r="R1545" s="31"/>
      <c r="S1545" s="34"/>
    </row>
    <row r="1546" spans="1:19" ht="15.6" thickTop="1" thickBot="1" x14ac:dyDescent="0.35">
      <c r="A1546" s="39"/>
      <c r="B1546" s="29"/>
      <c r="C1546" s="29"/>
      <c r="D1546" s="29"/>
      <c r="E1546" s="29"/>
      <c r="F1546" s="29"/>
      <c r="G1546" s="29"/>
      <c r="H1546" s="29"/>
      <c r="I1546" s="29"/>
      <c r="J1546" s="29"/>
      <c r="K1546" s="29"/>
      <c r="L1546" s="29"/>
      <c r="M1546" s="29"/>
      <c r="N1546" s="29"/>
      <c r="O1546" s="30"/>
      <c r="P1546" s="29"/>
      <c r="Q1546" s="29"/>
      <c r="R1546" s="29"/>
      <c r="S1546" s="33"/>
    </row>
    <row r="1547" spans="1:19" ht="15.6" thickTop="1" thickBot="1" x14ac:dyDescent="0.35">
      <c r="A1547" s="39"/>
      <c r="B1547" s="31"/>
      <c r="C1547" s="31"/>
      <c r="D1547" s="31"/>
      <c r="E1547" s="31"/>
      <c r="F1547" s="31"/>
      <c r="G1547" s="31"/>
      <c r="H1547" s="31"/>
      <c r="I1547" s="31"/>
      <c r="J1547" s="31"/>
      <c r="K1547" s="31"/>
      <c r="L1547" s="31"/>
      <c r="M1547" s="31"/>
      <c r="N1547" s="31"/>
      <c r="O1547" s="32"/>
      <c r="P1547" s="31"/>
      <c r="Q1547" s="31"/>
      <c r="R1547" s="31"/>
      <c r="S1547" s="34"/>
    </row>
    <row r="1548" spans="1:19" ht="15.6" thickTop="1" thickBot="1" x14ac:dyDescent="0.35">
      <c r="A1548" s="39"/>
      <c r="B1548" s="29"/>
      <c r="C1548" s="29"/>
      <c r="D1548" s="29"/>
      <c r="E1548" s="29"/>
      <c r="F1548" s="29"/>
      <c r="G1548" s="29"/>
      <c r="H1548" s="29"/>
      <c r="I1548" s="29"/>
      <c r="J1548" s="29"/>
      <c r="K1548" s="29"/>
      <c r="L1548" s="29"/>
      <c r="M1548" s="29"/>
      <c r="N1548" s="29"/>
      <c r="O1548" s="30"/>
      <c r="P1548" s="29"/>
      <c r="Q1548" s="29"/>
      <c r="R1548" s="29"/>
      <c r="S1548" s="33"/>
    </row>
    <row r="1549" spans="1:19" ht="15.6" thickTop="1" thickBot="1" x14ac:dyDescent="0.35">
      <c r="A1549" s="39"/>
      <c r="B1549" s="31"/>
      <c r="C1549" s="31"/>
      <c r="D1549" s="31"/>
      <c r="E1549" s="31"/>
      <c r="F1549" s="31"/>
      <c r="G1549" s="31"/>
      <c r="H1549" s="31"/>
      <c r="I1549" s="31"/>
      <c r="J1549" s="31"/>
      <c r="K1549" s="31"/>
      <c r="L1549" s="31"/>
      <c r="M1549" s="31"/>
      <c r="N1549" s="31"/>
      <c r="O1549" s="32"/>
      <c r="P1549" s="31"/>
      <c r="Q1549" s="31"/>
      <c r="R1549" s="31"/>
      <c r="S1549" s="34"/>
    </row>
    <row r="1550" spans="1:19" ht="15.6" thickTop="1" thickBot="1" x14ac:dyDescent="0.35">
      <c r="A1550" s="39"/>
      <c r="B1550" s="29"/>
      <c r="C1550" s="29"/>
      <c r="D1550" s="29"/>
      <c r="E1550" s="29"/>
      <c r="F1550" s="29"/>
      <c r="G1550" s="29"/>
      <c r="H1550" s="29"/>
      <c r="I1550" s="29"/>
      <c r="J1550" s="29"/>
      <c r="K1550" s="29"/>
      <c r="L1550" s="29"/>
      <c r="M1550" s="29"/>
      <c r="N1550" s="29"/>
      <c r="O1550" s="30"/>
      <c r="P1550" s="29"/>
      <c r="Q1550" s="29"/>
      <c r="R1550" s="29"/>
      <c r="S1550" s="33"/>
    </row>
    <row r="1551" spans="1:19" ht="15.6" thickTop="1" thickBot="1" x14ac:dyDescent="0.35">
      <c r="A1551" s="39"/>
      <c r="B1551" s="31"/>
      <c r="C1551" s="31"/>
      <c r="D1551" s="31"/>
      <c r="E1551" s="31"/>
      <c r="F1551" s="31"/>
      <c r="G1551" s="31"/>
      <c r="H1551" s="31"/>
      <c r="I1551" s="31"/>
      <c r="J1551" s="31"/>
      <c r="K1551" s="31"/>
      <c r="L1551" s="31"/>
      <c r="M1551" s="31"/>
      <c r="N1551" s="31"/>
      <c r="O1551" s="32"/>
      <c r="P1551" s="31"/>
      <c r="Q1551" s="31"/>
      <c r="R1551" s="31"/>
      <c r="S1551" s="34"/>
    </row>
    <row r="1552" spans="1:19" ht="15.6" thickTop="1" thickBot="1" x14ac:dyDescent="0.35">
      <c r="A1552" s="39"/>
      <c r="B1552" s="29"/>
      <c r="C1552" s="29"/>
      <c r="D1552" s="29"/>
      <c r="E1552" s="29"/>
      <c r="F1552" s="29"/>
      <c r="G1552" s="29"/>
      <c r="H1552" s="29"/>
      <c r="I1552" s="29"/>
      <c r="J1552" s="29"/>
      <c r="K1552" s="29"/>
      <c r="L1552" s="29"/>
      <c r="M1552" s="29"/>
      <c r="N1552" s="29"/>
      <c r="O1552" s="30"/>
      <c r="P1552" s="29"/>
      <c r="Q1552" s="29"/>
      <c r="R1552" s="29"/>
      <c r="S1552" s="33"/>
    </row>
    <row r="1553" spans="1:19" ht="15.6" thickTop="1" thickBot="1" x14ac:dyDescent="0.35">
      <c r="A1553" s="39"/>
      <c r="B1553" s="31"/>
      <c r="C1553" s="31"/>
      <c r="D1553" s="31"/>
      <c r="E1553" s="31"/>
      <c r="F1553" s="31"/>
      <c r="G1553" s="31"/>
      <c r="H1553" s="31"/>
      <c r="I1553" s="31"/>
      <c r="J1553" s="31"/>
      <c r="K1553" s="31"/>
      <c r="L1553" s="31"/>
      <c r="M1553" s="31"/>
      <c r="N1553" s="31"/>
      <c r="O1553" s="32"/>
      <c r="P1553" s="31"/>
      <c r="Q1553" s="31"/>
      <c r="R1553" s="31"/>
      <c r="S1553" s="34"/>
    </row>
    <row r="1554" spans="1:19" ht="15.6" thickTop="1" thickBot="1" x14ac:dyDescent="0.35">
      <c r="A1554" s="39"/>
      <c r="B1554" s="29"/>
      <c r="C1554" s="29"/>
      <c r="D1554" s="29"/>
      <c r="E1554" s="29"/>
      <c r="F1554" s="29"/>
      <c r="G1554" s="29"/>
      <c r="H1554" s="29"/>
      <c r="I1554" s="29"/>
      <c r="J1554" s="29"/>
      <c r="K1554" s="29"/>
      <c r="L1554" s="29"/>
      <c r="M1554" s="29"/>
      <c r="N1554" s="29"/>
      <c r="O1554" s="30"/>
      <c r="P1554" s="29"/>
      <c r="Q1554" s="29"/>
      <c r="R1554" s="29"/>
      <c r="S1554" s="33"/>
    </row>
    <row r="1555" spans="1:19" ht="15.6" thickTop="1" thickBot="1" x14ac:dyDescent="0.35">
      <c r="A1555" s="39"/>
      <c r="B1555" s="31"/>
      <c r="C1555" s="31"/>
      <c r="D1555" s="31"/>
      <c r="E1555" s="31"/>
      <c r="F1555" s="31"/>
      <c r="G1555" s="31"/>
      <c r="H1555" s="31"/>
      <c r="I1555" s="31"/>
      <c r="J1555" s="31"/>
      <c r="K1555" s="31"/>
      <c r="L1555" s="31"/>
      <c r="M1555" s="31"/>
      <c r="N1555" s="31"/>
      <c r="O1555" s="32"/>
      <c r="P1555" s="31"/>
      <c r="Q1555" s="31"/>
      <c r="R1555" s="31"/>
      <c r="S1555" s="34"/>
    </row>
    <row r="1556" spans="1:19" ht="15.6" thickTop="1" thickBot="1" x14ac:dyDescent="0.35">
      <c r="A1556" s="39"/>
      <c r="B1556" s="29"/>
      <c r="C1556" s="29"/>
      <c r="D1556" s="29"/>
      <c r="E1556" s="29"/>
      <c r="F1556" s="29"/>
      <c r="G1556" s="29"/>
      <c r="H1556" s="29"/>
      <c r="I1556" s="29"/>
      <c r="J1556" s="29"/>
      <c r="K1556" s="29"/>
      <c r="L1556" s="29"/>
      <c r="M1556" s="29"/>
      <c r="N1556" s="29"/>
      <c r="O1556" s="30"/>
      <c r="P1556" s="29"/>
      <c r="Q1556" s="29"/>
      <c r="R1556" s="29"/>
      <c r="S1556" s="33"/>
    </row>
    <row r="1557" spans="1:19" ht="15.6" thickTop="1" thickBot="1" x14ac:dyDescent="0.35">
      <c r="A1557" s="39"/>
      <c r="B1557" s="31"/>
      <c r="C1557" s="31"/>
      <c r="D1557" s="31"/>
      <c r="E1557" s="31"/>
      <c r="F1557" s="31"/>
      <c r="G1557" s="31"/>
      <c r="H1557" s="31"/>
      <c r="I1557" s="31"/>
      <c r="J1557" s="31"/>
      <c r="K1557" s="31"/>
      <c r="L1557" s="31"/>
      <c r="M1557" s="31"/>
      <c r="N1557" s="31"/>
      <c r="O1557" s="32"/>
      <c r="P1557" s="31"/>
      <c r="Q1557" s="31"/>
      <c r="R1557" s="31"/>
      <c r="S1557" s="34"/>
    </row>
    <row r="1558" spans="1:19" ht="15.6" thickTop="1" thickBot="1" x14ac:dyDescent="0.35">
      <c r="A1558" s="39"/>
      <c r="B1558" s="29"/>
      <c r="C1558" s="29"/>
      <c r="D1558" s="29"/>
      <c r="E1558" s="29"/>
      <c r="F1558" s="29"/>
      <c r="G1558" s="29"/>
      <c r="H1558" s="29"/>
      <c r="I1558" s="29"/>
      <c r="J1558" s="29"/>
      <c r="K1558" s="29"/>
      <c r="L1558" s="29"/>
      <c r="M1558" s="29"/>
      <c r="N1558" s="29"/>
      <c r="O1558" s="30"/>
      <c r="P1558" s="29"/>
      <c r="Q1558" s="29"/>
      <c r="R1558" s="29"/>
      <c r="S1558" s="33"/>
    </row>
    <row r="1559" spans="1:19" ht="15.6" thickTop="1" thickBot="1" x14ac:dyDescent="0.35">
      <c r="A1559" s="39"/>
      <c r="B1559" s="31"/>
      <c r="C1559" s="31"/>
      <c r="D1559" s="31"/>
      <c r="E1559" s="31"/>
      <c r="F1559" s="31"/>
      <c r="G1559" s="31"/>
      <c r="H1559" s="31"/>
      <c r="I1559" s="31"/>
      <c r="J1559" s="31"/>
      <c r="K1559" s="31"/>
      <c r="L1559" s="31"/>
      <c r="M1559" s="31"/>
      <c r="N1559" s="31"/>
      <c r="O1559" s="32"/>
      <c r="P1559" s="31"/>
      <c r="Q1559" s="31"/>
      <c r="R1559" s="31"/>
      <c r="S1559" s="34"/>
    </row>
    <row r="1560" spans="1:19" ht="15.6" thickTop="1" thickBot="1" x14ac:dyDescent="0.35">
      <c r="A1560" s="39"/>
      <c r="B1560" s="29"/>
      <c r="C1560" s="29"/>
      <c r="D1560" s="29"/>
      <c r="E1560" s="29"/>
      <c r="F1560" s="29"/>
      <c r="G1560" s="29"/>
      <c r="H1560" s="29"/>
      <c r="I1560" s="29"/>
      <c r="J1560" s="29"/>
      <c r="K1560" s="29"/>
      <c r="L1560" s="29"/>
      <c r="M1560" s="29"/>
      <c r="N1560" s="29"/>
      <c r="O1560" s="30"/>
      <c r="P1560" s="29"/>
      <c r="Q1560" s="29"/>
      <c r="R1560" s="29"/>
      <c r="S1560" s="33"/>
    </row>
    <row r="1561" spans="1:19" ht="15.6" thickTop="1" thickBot="1" x14ac:dyDescent="0.35">
      <c r="A1561" s="39"/>
      <c r="B1561" s="31"/>
      <c r="C1561" s="31"/>
      <c r="D1561" s="31"/>
      <c r="E1561" s="31"/>
      <c r="F1561" s="31"/>
      <c r="G1561" s="31"/>
      <c r="H1561" s="31"/>
      <c r="I1561" s="31"/>
      <c r="J1561" s="31"/>
      <c r="K1561" s="31"/>
      <c r="L1561" s="31"/>
      <c r="M1561" s="31"/>
      <c r="N1561" s="31"/>
      <c r="O1561" s="32"/>
      <c r="P1561" s="31"/>
      <c r="Q1561" s="31"/>
      <c r="R1561" s="31"/>
      <c r="S1561" s="34"/>
    </row>
    <row r="1562" spans="1:19" ht="15.6" thickTop="1" thickBot="1" x14ac:dyDescent="0.35">
      <c r="A1562" s="39"/>
      <c r="B1562" s="29"/>
      <c r="C1562" s="29"/>
      <c r="D1562" s="29"/>
      <c r="E1562" s="29"/>
      <c r="F1562" s="29"/>
      <c r="G1562" s="29"/>
      <c r="H1562" s="29"/>
      <c r="I1562" s="29"/>
      <c r="J1562" s="29"/>
      <c r="K1562" s="29"/>
      <c r="L1562" s="29"/>
      <c r="M1562" s="29"/>
      <c r="N1562" s="29"/>
      <c r="O1562" s="30"/>
      <c r="P1562" s="29"/>
      <c r="Q1562" s="29"/>
      <c r="R1562" s="29"/>
      <c r="S1562" s="33"/>
    </row>
    <row r="1563" spans="1:19" ht="15.6" thickTop="1" thickBot="1" x14ac:dyDescent="0.35">
      <c r="A1563" s="39"/>
      <c r="B1563" s="31"/>
      <c r="C1563" s="31"/>
      <c r="D1563" s="31"/>
      <c r="E1563" s="31"/>
      <c r="F1563" s="31"/>
      <c r="G1563" s="31"/>
      <c r="H1563" s="31"/>
      <c r="I1563" s="31"/>
      <c r="J1563" s="31"/>
      <c r="K1563" s="31"/>
      <c r="L1563" s="31"/>
      <c r="M1563" s="31"/>
      <c r="N1563" s="31"/>
      <c r="O1563" s="32"/>
      <c r="P1563" s="31"/>
      <c r="Q1563" s="31"/>
      <c r="R1563" s="31"/>
      <c r="S1563" s="34"/>
    </row>
    <row r="1564" spans="1:19" ht="15.6" thickTop="1" thickBot="1" x14ac:dyDescent="0.35">
      <c r="A1564" s="39"/>
      <c r="B1564" s="29"/>
      <c r="C1564" s="29"/>
      <c r="D1564" s="29"/>
      <c r="E1564" s="29"/>
      <c r="F1564" s="29"/>
      <c r="G1564" s="29"/>
      <c r="H1564" s="29"/>
      <c r="I1564" s="29"/>
      <c r="J1564" s="29"/>
      <c r="K1564" s="29"/>
      <c r="L1564" s="29"/>
      <c r="M1564" s="29"/>
      <c r="N1564" s="29"/>
      <c r="O1564" s="30"/>
      <c r="P1564" s="29"/>
      <c r="Q1564" s="29"/>
      <c r="R1564" s="29"/>
      <c r="S1564" s="33"/>
    </row>
    <row r="1565" spans="1:19" ht="15.6" thickTop="1" thickBot="1" x14ac:dyDescent="0.35">
      <c r="A1565" s="39"/>
      <c r="B1565" s="31"/>
      <c r="C1565" s="31"/>
      <c r="D1565" s="31"/>
      <c r="E1565" s="31"/>
      <c r="F1565" s="31"/>
      <c r="G1565" s="31"/>
      <c r="H1565" s="31"/>
      <c r="I1565" s="31"/>
      <c r="J1565" s="31"/>
      <c r="K1565" s="31"/>
      <c r="L1565" s="31"/>
      <c r="M1565" s="31"/>
      <c r="N1565" s="31"/>
      <c r="O1565" s="32"/>
      <c r="P1565" s="31"/>
      <c r="Q1565" s="31"/>
      <c r="R1565" s="31"/>
      <c r="S1565" s="34"/>
    </row>
    <row r="1566" spans="1:19" ht="15.6" thickTop="1" thickBot="1" x14ac:dyDescent="0.35">
      <c r="A1566" s="39"/>
      <c r="B1566" s="29"/>
      <c r="C1566" s="29"/>
      <c r="D1566" s="29"/>
      <c r="E1566" s="29"/>
      <c r="F1566" s="29"/>
      <c r="G1566" s="29"/>
      <c r="H1566" s="29"/>
      <c r="I1566" s="29"/>
      <c r="J1566" s="29"/>
      <c r="K1566" s="29"/>
      <c r="L1566" s="29"/>
      <c r="M1566" s="29"/>
      <c r="N1566" s="29"/>
      <c r="O1566" s="30"/>
      <c r="P1566" s="29"/>
      <c r="Q1566" s="29"/>
      <c r="R1566" s="29"/>
      <c r="S1566" s="33"/>
    </row>
    <row r="1567" spans="1:19" ht="15.6" thickTop="1" thickBot="1" x14ac:dyDescent="0.35">
      <c r="A1567" s="39"/>
      <c r="B1567" s="31"/>
      <c r="C1567" s="31"/>
      <c r="D1567" s="31"/>
      <c r="E1567" s="31"/>
      <c r="F1567" s="31"/>
      <c r="G1567" s="31"/>
      <c r="H1567" s="31"/>
      <c r="I1567" s="31"/>
      <c r="J1567" s="31"/>
      <c r="K1567" s="31"/>
      <c r="L1567" s="31"/>
      <c r="M1567" s="31"/>
      <c r="N1567" s="31"/>
      <c r="O1567" s="32"/>
      <c r="P1567" s="31"/>
      <c r="Q1567" s="31"/>
      <c r="R1567" s="31"/>
      <c r="S1567" s="34"/>
    </row>
    <row r="1568" spans="1:19" ht="15.6" thickTop="1" thickBot="1" x14ac:dyDescent="0.35">
      <c r="A1568" s="39"/>
      <c r="B1568" s="29"/>
      <c r="C1568" s="29"/>
      <c r="D1568" s="29"/>
      <c r="E1568" s="29"/>
      <c r="F1568" s="29"/>
      <c r="G1568" s="29"/>
      <c r="H1568" s="29"/>
      <c r="I1568" s="29"/>
      <c r="J1568" s="29"/>
      <c r="K1568" s="29"/>
      <c r="L1568" s="29"/>
      <c r="M1568" s="29"/>
      <c r="N1568" s="29"/>
      <c r="O1568" s="30"/>
      <c r="P1568" s="29"/>
      <c r="Q1568" s="29"/>
      <c r="R1568" s="29"/>
      <c r="S1568" s="33"/>
    </row>
    <row r="1569" spans="1:19" ht="15.6" thickTop="1" thickBot="1" x14ac:dyDescent="0.35">
      <c r="A1569" s="39"/>
      <c r="B1569" s="31"/>
      <c r="C1569" s="31"/>
      <c r="D1569" s="31"/>
      <c r="E1569" s="31"/>
      <c r="F1569" s="31"/>
      <c r="G1569" s="31"/>
      <c r="H1569" s="31"/>
      <c r="I1569" s="31"/>
      <c r="J1569" s="31"/>
      <c r="K1569" s="31"/>
      <c r="L1569" s="31"/>
      <c r="M1569" s="31"/>
      <c r="N1569" s="31"/>
      <c r="O1569" s="32"/>
      <c r="P1569" s="31"/>
      <c r="Q1569" s="31"/>
      <c r="R1569" s="31"/>
      <c r="S1569" s="34"/>
    </row>
    <row r="1570" spans="1:19" ht="15.6" thickTop="1" thickBot="1" x14ac:dyDescent="0.35">
      <c r="A1570" s="39"/>
      <c r="B1570" s="29"/>
      <c r="C1570" s="29"/>
      <c r="D1570" s="29"/>
      <c r="E1570" s="29"/>
      <c r="F1570" s="29"/>
      <c r="G1570" s="29"/>
      <c r="H1570" s="29"/>
      <c r="I1570" s="29"/>
      <c r="J1570" s="29"/>
      <c r="K1570" s="29"/>
      <c r="L1570" s="29"/>
      <c r="M1570" s="29"/>
      <c r="N1570" s="29"/>
      <c r="O1570" s="30"/>
      <c r="P1570" s="29"/>
      <c r="Q1570" s="29"/>
      <c r="R1570" s="29"/>
      <c r="S1570" s="33"/>
    </row>
    <row r="1571" spans="1:19" ht="15.6" thickTop="1" thickBot="1" x14ac:dyDescent="0.35">
      <c r="A1571" s="39"/>
      <c r="B1571" s="31"/>
      <c r="C1571" s="31"/>
      <c r="D1571" s="31"/>
      <c r="E1571" s="31"/>
      <c r="F1571" s="31"/>
      <c r="G1571" s="31"/>
      <c r="H1571" s="31"/>
      <c r="I1571" s="31"/>
      <c r="J1571" s="31"/>
      <c r="K1571" s="31"/>
      <c r="L1571" s="31"/>
      <c r="M1571" s="31"/>
      <c r="N1571" s="31"/>
      <c r="O1571" s="32"/>
      <c r="P1571" s="31"/>
      <c r="Q1571" s="31"/>
      <c r="R1571" s="31"/>
      <c r="S1571" s="34"/>
    </row>
    <row r="1572" spans="1:19" ht="15.6" thickTop="1" thickBot="1" x14ac:dyDescent="0.35">
      <c r="A1572" s="39"/>
      <c r="B1572" s="29"/>
      <c r="C1572" s="29"/>
      <c r="D1572" s="29"/>
      <c r="E1572" s="29"/>
      <c r="F1572" s="29"/>
      <c r="G1572" s="29"/>
      <c r="H1572" s="29"/>
      <c r="I1572" s="29"/>
      <c r="J1572" s="29"/>
      <c r="K1572" s="29"/>
      <c r="L1572" s="29"/>
      <c r="M1572" s="29"/>
      <c r="N1572" s="29"/>
      <c r="O1572" s="30"/>
      <c r="P1572" s="29"/>
      <c r="Q1572" s="29"/>
      <c r="R1572" s="29"/>
      <c r="S1572" s="33"/>
    </row>
    <row r="1573" spans="1:19" ht="15.6" thickTop="1" thickBot="1" x14ac:dyDescent="0.35">
      <c r="A1573" s="39"/>
      <c r="B1573" s="31"/>
      <c r="C1573" s="31"/>
      <c r="D1573" s="31"/>
      <c r="E1573" s="31"/>
      <c r="F1573" s="31"/>
      <c r="G1573" s="31"/>
      <c r="H1573" s="31"/>
      <c r="I1573" s="31"/>
      <c r="J1573" s="31"/>
      <c r="K1573" s="31"/>
      <c r="L1573" s="31"/>
      <c r="M1573" s="31"/>
      <c r="N1573" s="31"/>
      <c r="O1573" s="32"/>
      <c r="P1573" s="31"/>
      <c r="Q1573" s="31"/>
      <c r="R1573" s="31"/>
      <c r="S1573" s="34"/>
    </row>
    <row r="1574" spans="1:19" ht="15.6" thickTop="1" thickBot="1" x14ac:dyDescent="0.35">
      <c r="A1574" s="39"/>
      <c r="B1574" s="29"/>
      <c r="C1574" s="29"/>
      <c r="D1574" s="29"/>
      <c r="E1574" s="29"/>
      <c r="F1574" s="29"/>
      <c r="G1574" s="29"/>
      <c r="H1574" s="29"/>
      <c r="I1574" s="29"/>
      <c r="J1574" s="29"/>
      <c r="K1574" s="29"/>
      <c r="L1574" s="29"/>
      <c r="M1574" s="29"/>
      <c r="N1574" s="29"/>
      <c r="O1574" s="30"/>
      <c r="P1574" s="29"/>
      <c r="Q1574" s="29"/>
      <c r="R1574" s="29"/>
      <c r="S1574" s="33"/>
    </row>
    <row r="1575" spans="1:19" ht="15.6" thickTop="1" thickBot="1" x14ac:dyDescent="0.35">
      <c r="A1575" s="39"/>
      <c r="B1575" s="31"/>
      <c r="C1575" s="31"/>
      <c r="D1575" s="31"/>
      <c r="E1575" s="31"/>
      <c r="F1575" s="31"/>
      <c r="G1575" s="31"/>
      <c r="H1575" s="31"/>
      <c r="I1575" s="31"/>
      <c r="J1575" s="31"/>
      <c r="K1575" s="31"/>
      <c r="L1575" s="31"/>
      <c r="M1575" s="31"/>
      <c r="N1575" s="31"/>
      <c r="O1575" s="32"/>
      <c r="P1575" s="31"/>
      <c r="Q1575" s="31"/>
      <c r="R1575" s="31"/>
      <c r="S1575" s="34"/>
    </row>
    <row r="1576" spans="1:19" ht="15.6" thickTop="1" thickBot="1" x14ac:dyDescent="0.35">
      <c r="A1576" s="39"/>
      <c r="B1576" s="29"/>
      <c r="C1576" s="29"/>
      <c r="D1576" s="29"/>
      <c r="E1576" s="29"/>
      <c r="F1576" s="29"/>
      <c r="G1576" s="29"/>
      <c r="H1576" s="29"/>
      <c r="I1576" s="29"/>
      <c r="J1576" s="29"/>
      <c r="K1576" s="29"/>
      <c r="L1576" s="29"/>
      <c r="M1576" s="29"/>
      <c r="N1576" s="29"/>
      <c r="O1576" s="30"/>
      <c r="P1576" s="29"/>
      <c r="Q1576" s="29"/>
      <c r="R1576" s="29"/>
      <c r="S1576" s="33"/>
    </row>
    <row r="1577" spans="1:19" ht="15.6" thickTop="1" thickBot="1" x14ac:dyDescent="0.35">
      <c r="A1577" s="39"/>
      <c r="B1577" s="31"/>
      <c r="C1577" s="31"/>
      <c r="D1577" s="31"/>
      <c r="E1577" s="31"/>
      <c r="F1577" s="31"/>
      <c r="G1577" s="31"/>
      <c r="H1577" s="31"/>
      <c r="I1577" s="31"/>
      <c r="J1577" s="31"/>
      <c r="K1577" s="31"/>
      <c r="L1577" s="31"/>
      <c r="M1577" s="31"/>
      <c r="N1577" s="31"/>
      <c r="O1577" s="32"/>
      <c r="P1577" s="31"/>
      <c r="Q1577" s="31"/>
      <c r="R1577" s="31"/>
      <c r="S1577" s="34"/>
    </row>
    <row r="1578" spans="1:19" ht="15.6" thickTop="1" thickBot="1" x14ac:dyDescent="0.35">
      <c r="A1578" s="39"/>
      <c r="B1578" s="29"/>
      <c r="C1578" s="29"/>
      <c r="D1578" s="29"/>
      <c r="E1578" s="29"/>
      <c r="F1578" s="29"/>
      <c r="G1578" s="29"/>
      <c r="H1578" s="29"/>
      <c r="I1578" s="29"/>
      <c r="J1578" s="29"/>
      <c r="K1578" s="29"/>
      <c r="L1578" s="29"/>
      <c r="M1578" s="29"/>
      <c r="N1578" s="29"/>
      <c r="O1578" s="30"/>
      <c r="P1578" s="29"/>
      <c r="Q1578" s="29"/>
      <c r="R1578" s="29"/>
      <c r="S1578" s="33"/>
    </row>
    <row r="1579" spans="1:19" ht="15.6" thickTop="1" thickBot="1" x14ac:dyDescent="0.35">
      <c r="A1579" s="39"/>
      <c r="B1579" s="31"/>
      <c r="C1579" s="31"/>
      <c r="D1579" s="31"/>
      <c r="E1579" s="31"/>
      <c r="F1579" s="31"/>
      <c r="G1579" s="31"/>
      <c r="H1579" s="31"/>
      <c r="I1579" s="31"/>
      <c r="J1579" s="31"/>
      <c r="K1579" s="31"/>
      <c r="L1579" s="31"/>
      <c r="M1579" s="31"/>
      <c r="N1579" s="31"/>
      <c r="O1579" s="32"/>
      <c r="P1579" s="31"/>
      <c r="Q1579" s="31"/>
      <c r="R1579" s="31"/>
      <c r="S1579" s="34"/>
    </row>
    <row r="1580" spans="1:19" ht="15.6" thickTop="1" thickBot="1" x14ac:dyDescent="0.35">
      <c r="A1580" s="39"/>
      <c r="B1580" s="29"/>
      <c r="C1580" s="29"/>
      <c r="D1580" s="29"/>
      <c r="E1580" s="29"/>
      <c r="F1580" s="29"/>
      <c r="G1580" s="29"/>
      <c r="H1580" s="29"/>
      <c r="I1580" s="29"/>
      <c r="J1580" s="29"/>
      <c r="K1580" s="29"/>
      <c r="L1580" s="29"/>
      <c r="M1580" s="29"/>
      <c r="N1580" s="29"/>
      <c r="O1580" s="30"/>
      <c r="P1580" s="29"/>
      <c r="Q1580" s="29"/>
      <c r="R1580" s="29"/>
      <c r="S1580" s="33"/>
    </row>
    <row r="1581" spans="1:19" ht="15.6" thickTop="1" thickBot="1" x14ac:dyDescent="0.35">
      <c r="A1581" s="39"/>
      <c r="B1581" s="31"/>
      <c r="C1581" s="31"/>
      <c r="D1581" s="31"/>
      <c r="E1581" s="31"/>
      <c r="F1581" s="31"/>
      <c r="G1581" s="31"/>
      <c r="H1581" s="31"/>
      <c r="I1581" s="31"/>
      <c r="J1581" s="31"/>
      <c r="K1581" s="31"/>
      <c r="L1581" s="31"/>
      <c r="M1581" s="31"/>
      <c r="N1581" s="31"/>
      <c r="O1581" s="32"/>
      <c r="P1581" s="31"/>
      <c r="Q1581" s="31"/>
      <c r="R1581" s="31"/>
      <c r="S1581" s="34"/>
    </row>
    <row r="1582" spans="1:19" ht="15.6" thickTop="1" thickBot="1" x14ac:dyDescent="0.35">
      <c r="A1582" s="39"/>
      <c r="B1582" s="29"/>
      <c r="C1582" s="29"/>
      <c r="D1582" s="29"/>
      <c r="E1582" s="29"/>
      <c r="F1582" s="29"/>
      <c r="G1582" s="29"/>
      <c r="H1582" s="29"/>
      <c r="I1582" s="29"/>
      <c r="J1582" s="29"/>
      <c r="K1582" s="29"/>
      <c r="L1582" s="29"/>
      <c r="M1582" s="29"/>
      <c r="N1582" s="29"/>
      <c r="O1582" s="30"/>
      <c r="P1582" s="29"/>
      <c r="Q1582" s="29"/>
      <c r="R1582" s="29"/>
      <c r="S1582" s="33"/>
    </row>
    <row r="1583" spans="1:19" ht="15.6" thickTop="1" thickBot="1" x14ac:dyDescent="0.35">
      <c r="A1583" s="39"/>
      <c r="B1583" s="31"/>
      <c r="C1583" s="31"/>
      <c r="D1583" s="31"/>
      <c r="E1583" s="31"/>
      <c r="F1583" s="31"/>
      <c r="G1583" s="31"/>
      <c r="H1583" s="31"/>
      <c r="I1583" s="31"/>
      <c r="J1583" s="31"/>
      <c r="K1583" s="31"/>
      <c r="L1583" s="31"/>
      <c r="M1583" s="31"/>
      <c r="N1583" s="31"/>
      <c r="O1583" s="32"/>
      <c r="P1583" s="31"/>
      <c r="Q1583" s="31"/>
      <c r="R1583" s="31"/>
      <c r="S1583" s="34"/>
    </row>
    <row r="1584" spans="1:19" ht="15.6" thickTop="1" thickBot="1" x14ac:dyDescent="0.35">
      <c r="A1584" s="39"/>
      <c r="B1584" s="29"/>
      <c r="C1584" s="29"/>
      <c r="D1584" s="29"/>
      <c r="E1584" s="29"/>
      <c r="F1584" s="29"/>
      <c r="G1584" s="29"/>
      <c r="H1584" s="29"/>
      <c r="I1584" s="29"/>
      <c r="J1584" s="29"/>
      <c r="K1584" s="29"/>
      <c r="L1584" s="29"/>
      <c r="M1584" s="29"/>
      <c r="N1584" s="29"/>
      <c r="O1584" s="30"/>
      <c r="P1584" s="29"/>
      <c r="Q1584" s="29"/>
      <c r="R1584" s="29"/>
      <c r="S1584" s="33"/>
    </row>
    <row r="1585" spans="1:19" ht="15.6" thickTop="1" thickBot="1" x14ac:dyDescent="0.35">
      <c r="A1585" s="39"/>
      <c r="B1585" s="31"/>
      <c r="C1585" s="31"/>
      <c r="D1585" s="31"/>
      <c r="E1585" s="31"/>
      <c r="F1585" s="31"/>
      <c r="G1585" s="31"/>
      <c r="H1585" s="31"/>
      <c r="I1585" s="31"/>
      <c r="J1585" s="31"/>
      <c r="K1585" s="31"/>
      <c r="L1585" s="31"/>
      <c r="M1585" s="31"/>
      <c r="N1585" s="31"/>
      <c r="O1585" s="32"/>
      <c r="P1585" s="31"/>
      <c r="Q1585" s="31"/>
      <c r="R1585" s="31"/>
      <c r="S1585" s="34"/>
    </row>
    <row r="1586" spans="1:19" ht="15.6" thickTop="1" thickBot="1" x14ac:dyDescent="0.35">
      <c r="A1586" s="39"/>
      <c r="B1586" s="29"/>
      <c r="C1586" s="29"/>
      <c r="D1586" s="29"/>
      <c r="E1586" s="29"/>
      <c r="F1586" s="29"/>
      <c r="G1586" s="29"/>
      <c r="H1586" s="29"/>
      <c r="I1586" s="29"/>
      <c r="J1586" s="29"/>
      <c r="K1586" s="29"/>
      <c r="L1586" s="29"/>
      <c r="M1586" s="29"/>
      <c r="N1586" s="29"/>
      <c r="O1586" s="30"/>
      <c r="P1586" s="29"/>
      <c r="Q1586" s="29"/>
      <c r="R1586" s="29"/>
      <c r="S1586" s="33"/>
    </row>
    <row r="1587" spans="1:19" ht="15.6" thickTop="1" thickBot="1" x14ac:dyDescent="0.35">
      <c r="A1587" s="39"/>
      <c r="B1587" s="31"/>
      <c r="C1587" s="31"/>
      <c r="D1587" s="31"/>
      <c r="E1587" s="31"/>
      <c r="F1587" s="31"/>
      <c r="G1587" s="31"/>
      <c r="H1587" s="31"/>
      <c r="I1587" s="31"/>
      <c r="J1587" s="31"/>
      <c r="K1587" s="31"/>
      <c r="L1587" s="31"/>
      <c r="M1587" s="31"/>
      <c r="N1587" s="31"/>
      <c r="O1587" s="32"/>
      <c r="P1587" s="31"/>
      <c r="Q1587" s="31"/>
      <c r="R1587" s="31"/>
      <c r="S1587" s="34"/>
    </row>
    <row r="1588" spans="1:19" ht="15.6" thickTop="1" thickBot="1" x14ac:dyDescent="0.35">
      <c r="A1588" s="39"/>
      <c r="B1588" s="29"/>
      <c r="C1588" s="29"/>
      <c r="D1588" s="29"/>
      <c r="E1588" s="29"/>
      <c r="F1588" s="29"/>
      <c r="G1588" s="29"/>
      <c r="H1588" s="29"/>
      <c r="I1588" s="29"/>
      <c r="J1588" s="29"/>
      <c r="K1588" s="29"/>
      <c r="L1588" s="29"/>
      <c r="M1588" s="29"/>
      <c r="N1588" s="29"/>
      <c r="O1588" s="30"/>
      <c r="P1588" s="29"/>
      <c r="Q1588" s="29"/>
      <c r="R1588" s="29"/>
      <c r="S1588" s="33"/>
    </row>
    <row r="1589" spans="1:19" ht="15.6" thickTop="1" thickBot="1" x14ac:dyDescent="0.35">
      <c r="A1589" s="39"/>
      <c r="B1589" s="31"/>
      <c r="C1589" s="31"/>
      <c r="D1589" s="31"/>
      <c r="E1589" s="31"/>
      <c r="F1589" s="31"/>
      <c r="G1589" s="31"/>
      <c r="H1589" s="31"/>
      <c r="I1589" s="31"/>
      <c r="J1589" s="31"/>
      <c r="K1589" s="31"/>
      <c r="L1589" s="31"/>
      <c r="M1589" s="31"/>
      <c r="N1589" s="31"/>
      <c r="O1589" s="32"/>
      <c r="P1589" s="31"/>
      <c r="Q1589" s="31"/>
      <c r="R1589" s="31"/>
      <c r="S1589" s="34"/>
    </row>
    <row r="1590" spans="1:19" ht="15.6" thickTop="1" thickBot="1" x14ac:dyDescent="0.35">
      <c r="A1590" s="39"/>
      <c r="B1590" s="29"/>
      <c r="C1590" s="29"/>
      <c r="D1590" s="29"/>
      <c r="E1590" s="29"/>
      <c r="F1590" s="29"/>
      <c r="G1590" s="29"/>
      <c r="H1590" s="29"/>
      <c r="I1590" s="29"/>
      <c r="J1590" s="29"/>
      <c r="K1590" s="29"/>
      <c r="L1590" s="29"/>
      <c r="M1590" s="29"/>
      <c r="N1590" s="29"/>
      <c r="O1590" s="30"/>
      <c r="P1590" s="29"/>
      <c r="Q1590" s="29"/>
      <c r="R1590" s="29"/>
      <c r="S1590" s="33"/>
    </row>
    <row r="1591" spans="1:19" ht="15.6" thickTop="1" thickBot="1" x14ac:dyDescent="0.35">
      <c r="A1591" s="39"/>
      <c r="B1591" s="31"/>
      <c r="C1591" s="31"/>
      <c r="D1591" s="31"/>
      <c r="E1591" s="31"/>
      <c r="F1591" s="31"/>
      <c r="G1591" s="31"/>
      <c r="H1591" s="31"/>
      <c r="I1591" s="31"/>
      <c r="J1591" s="31"/>
      <c r="K1591" s="31"/>
      <c r="L1591" s="31"/>
      <c r="M1591" s="31"/>
      <c r="N1591" s="31"/>
      <c r="O1591" s="32"/>
      <c r="P1591" s="31"/>
      <c r="Q1591" s="31"/>
      <c r="R1591" s="31"/>
      <c r="S1591" s="34"/>
    </row>
    <row r="1592" spans="1:19" ht="15.6" thickTop="1" thickBot="1" x14ac:dyDescent="0.35">
      <c r="A1592" s="39"/>
      <c r="B1592" s="29"/>
      <c r="C1592" s="29"/>
      <c r="D1592" s="29"/>
      <c r="E1592" s="29"/>
      <c r="F1592" s="29"/>
      <c r="G1592" s="29"/>
      <c r="H1592" s="29"/>
      <c r="I1592" s="29"/>
      <c r="J1592" s="29"/>
      <c r="K1592" s="29"/>
      <c r="L1592" s="29"/>
      <c r="M1592" s="29"/>
      <c r="N1592" s="29"/>
      <c r="O1592" s="30"/>
      <c r="P1592" s="29"/>
      <c r="Q1592" s="29"/>
      <c r="R1592" s="29"/>
      <c r="S1592" s="33"/>
    </row>
    <row r="1593" spans="1:19" ht="15.6" thickTop="1" thickBot="1" x14ac:dyDescent="0.35">
      <c r="A1593" s="39"/>
      <c r="B1593" s="31"/>
      <c r="C1593" s="31"/>
      <c r="D1593" s="31"/>
      <c r="E1593" s="31"/>
      <c r="F1593" s="31"/>
      <c r="G1593" s="31"/>
      <c r="H1593" s="31"/>
      <c r="I1593" s="31"/>
      <c r="J1593" s="31"/>
      <c r="K1593" s="31"/>
      <c r="L1593" s="31"/>
      <c r="M1593" s="31"/>
      <c r="N1593" s="31"/>
      <c r="O1593" s="32"/>
      <c r="P1593" s="31"/>
      <c r="Q1593" s="31"/>
      <c r="R1593" s="31"/>
      <c r="S1593" s="34"/>
    </row>
    <row r="1594" spans="1:19" ht="15.6" thickTop="1" thickBot="1" x14ac:dyDescent="0.35">
      <c r="A1594" s="39"/>
      <c r="B1594" s="29"/>
      <c r="C1594" s="29"/>
      <c r="D1594" s="29"/>
      <c r="E1594" s="29"/>
      <c r="F1594" s="29"/>
      <c r="G1594" s="29"/>
      <c r="H1594" s="29"/>
      <c r="I1594" s="29"/>
      <c r="J1594" s="29"/>
      <c r="K1594" s="29"/>
      <c r="L1594" s="29"/>
      <c r="M1594" s="29"/>
      <c r="N1594" s="29"/>
      <c r="O1594" s="30"/>
      <c r="P1594" s="29"/>
      <c r="Q1594" s="29"/>
      <c r="R1594" s="29"/>
      <c r="S1594" s="33"/>
    </row>
    <row r="1595" spans="1:19" ht="15.6" thickTop="1" thickBot="1" x14ac:dyDescent="0.35">
      <c r="A1595" s="39"/>
      <c r="B1595" s="31"/>
      <c r="C1595" s="31"/>
      <c r="D1595" s="31"/>
      <c r="E1595" s="31"/>
      <c r="F1595" s="31"/>
      <c r="G1595" s="31"/>
      <c r="H1595" s="31"/>
      <c r="I1595" s="31"/>
      <c r="J1595" s="31"/>
      <c r="K1595" s="31"/>
      <c r="L1595" s="31"/>
      <c r="M1595" s="31"/>
      <c r="N1595" s="31"/>
      <c r="O1595" s="32"/>
      <c r="P1595" s="31"/>
      <c r="Q1595" s="31"/>
      <c r="R1595" s="31"/>
      <c r="S1595" s="34"/>
    </row>
    <row r="1596" spans="1:19" ht="15.6" thickTop="1" thickBot="1" x14ac:dyDescent="0.35">
      <c r="A1596" s="39"/>
      <c r="B1596" s="29"/>
      <c r="C1596" s="29"/>
      <c r="D1596" s="29"/>
      <c r="E1596" s="29"/>
      <c r="F1596" s="29"/>
      <c r="G1596" s="29"/>
      <c r="H1596" s="29"/>
      <c r="I1596" s="29"/>
      <c r="J1596" s="29"/>
      <c r="K1596" s="29"/>
      <c r="L1596" s="29"/>
      <c r="M1596" s="29"/>
      <c r="N1596" s="29"/>
      <c r="O1596" s="30"/>
      <c r="P1596" s="29"/>
      <c r="Q1596" s="29"/>
      <c r="R1596" s="29"/>
      <c r="S1596" s="33"/>
    </row>
    <row r="1597" spans="1:19" ht="15.6" thickTop="1" thickBot="1" x14ac:dyDescent="0.35">
      <c r="A1597" s="39"/>
      <c r="B1597" s="31"/>
      <c r="C1597" s="31"/>
      <c r="D1597" s="31"/>
      <c r="E1597" s="31"/>
      <c r="F1597" s="31"/>
      <c r="G1597" s="31"/>
      <c r="H1597" s="31"/>
      <c r="I1597" s="31"/>
      <c r="J1597" s="31"/>
      <c r="K1597" s="31"/>
      <c r="L1597" s="31"/>
      <c r="M1597" s="31"/>
      <c r="N1597" s="31"/>
      <c r="O1597" s="32"/>
      <c r="P1597" s="31"/>
      <c r="Q1597" s="31"/>
      <c r="R1597" s="31"/>
      <c r="S1597" s="34"/>
    </row>
    <row r="1598" spans="1:19" ht="15.6" thickTop="1" thickBot="1" x14ac:dyDescent="0.35">
      <c r="A1598" s="39"/>
      <c r="B1598" s="29"/>
      <c r="C1598" s="29"/>
      <c r="D1598" s="29"/>
      <c r="E1598" s="29"/>
      <c r="F1598" s="29"/>
      <c r="G1598" s="29"/>
      <c r="H1598" s="29"/>
      <c r="I1598" s="29"/>
      <c r="J1598" s="29"/>
      <c r="K1598" s="29"/>
      <c r="L1598" s="29"/>
      <c r="M1598" s="29"/>
      <c r="N1598" s="29"/>
      <c r="O1598" s="30"/>
      <c r="P1598" s="29"/>
      <c r="Q1598" s="29"/>
      <c r="R1598" s="29"/>
      <c r="S1598" s="33"/>
    </row>
    <row r="1599" spans="1:19" ht="15.6" thickTop="1" thickBot="1" x14ac:dyDescent="0.35">
      <c r="A1599" s="39"/>
      <c r="B1599" s="31"/>
      <c r="C1599" s="31"/>
      <c r="D1599" s="31"/>
      <c r="E1599" s="31"/>
      <c r="F1599" s="31"/>
      <c r="G1599" s="31"/>
      <c r="H1599" s="31"/>
      <c r="I1599" s="31"/>
      <c r="J1599" s="31"/>
      <c r="K1599" s="31"/>
      <c r="L1599" s="31"/>
      <c r="M1599" s="31"/>
      <c r="N1599" s="31"/>
      <c r="O1599" s="32"/>
      <c r="P1599" s="31"/>
      <c r="Q1599" s="31"/>
      <c r="R1599" s="31"/>
      <c r="S1599" s="34"/>
    </row>
    <row r="1600" spans="1:19" ht="15.6" thickTop="1" thickBot="1" x14ac:dyDescent="0.35">
      <c r="A1600" s="39"/>
      <c r="B1600" s="29"/>
      <c r="C1600" s="29"/>
      <c r="D1600" s="29"/>
      <c r="E1600" s="29"/>
      <c r="F1600" s="29"/>
      <c r="G1600" s="29"/>
      <c r="H1600" s="29"/>
      <c r="I1600" s="29"/>
      <c r="J1600" s="29"/>
      <c r="K1600" s="29"/>
      <c r="L1600" s="29"/>
      <c r="M1600" s="29"/>
      <c r="N1600" s="29"/>
      <c r="O1600" s="30"/>
      <c r="P1600" s="29"/>
      <c r="Q1600" s="29"/>
      <c r="R1600" s="29"/>
      <c r="S1600" s="33"/>
    </row>
    <row r="1601" spans="1:19" ht="15.6" thickTop="1" thickBot="1" x14ac:dyDescent="0.35">
      <c r="A1601" s="39"/>
      <c r="B1601" s="31"/>
      <c r="C1601" s="31"/>
      <c r="D1601" s="31"/>
      <c r="E1601" s="31"/>
      <c r="F1601" s="31"/>
      <c r="G1601" s="31"/>
      <c r="H1601" s="31"/>
      <c r="I1601" s="31"/>
      <c r="J1601" s="31"/>
      <c r="K1601" s="31"/>
      <c r="L1601" s="31"/>
      <c r="M1601" s="31"/>
      <c r="N1601" s="31"/>
      <c r="O1601" s="32"/>
      <c r="P1601" s="31"/>
      <c r="Q1601" s="31"/>
      <c r="R1601" s="31"/>
      <c r="S1601" s="34"/>
    </row>
    <row r="1602" spans="1:19" ht="15.6" thickTop="1" thickBot="1" x14ac:dyDescent="0.35">
      <c r="A1602" s="39"/>
      <c r="B1602" s="29"/>
      <c r="C1602" s="29"/>
      <c r="D1602" s="29"/>
      <c r="E1602" s="29"/>
      <c r="F1602" s="29"/>
      <c r="G1602" s="29"/>
      <c r="H1602" s="29"/>
      <c r="I1602" s="29"/>
      <c r="J1602" s="29"/>
      <c r="K1602" s="29"/>
      <c r="L1602" s="29"/>
      <c r="M1602" s="29"/>
      <c r="N1602" s="29"/>
      <c r="O1602" s="30"/>
      <c r="P1602" s="29"/>
      <c r="Q1602" s="29"/>
      <c r="R1602" s="29"/>
      <c r="S1602" s="33"/>
    </row>
    <row r="1603" spans="1:19" ht="15.6" thickTop="1" thickBot="1" x14ac:dyDescent="0.35">
      <c r="A1603" s="39"/>
      <c r="B1603" s="31"/>
      <c r="C1603" s="31"/>
      <c r="D1603" s="31"/>
      <c r="E1603" s="31"/>
      <c r="F1603" s="31"/>
      <c r="G1603" s="31"/>
      <c r="H1603" s="31"/>
      <c r="I1603" s="31"/>
      <c r="J1603" s="31"/>
      <c r="K1603" s="31"/>
      <c r="L1603" s="31"/>
      <c r="M1603" s="31"/>
      <c r="N1603" s="31"/>
      <c r="O1603" s="32"/>
      <c r="P1603" s="31"/>
      <c r="Q1603" s="31"/>
      <c r="R1603" s="31"/>
      <c r="S1603" s="34"/>
    </row>
    <row r="1604" spans="1:19" ht="15.6" thickTop="1" thickBot="1" x14ac:dyDescent="0.35">
      <c r="A1604" s="39"/>
      <c r="B1604" s="29"/>
      <c r="C1604" s="29"/>
      <c r="D1604" s="29"/>
      <c r="E1604" s="29"/>
      <c r="F1604" s="29"/>
      <c r="G1604" s="29"/>
      <c r="H1604" s="29"/>
      <c r="I1604" s="29"/>
      <c r="J1604" s="29"/>
      <c r="K1604" s="29"/>
      <c r="L1604" s="29"/>
      <c r="M1604" s="29"/>
      <c r="N1604" s="29"/>
      <c r="O1604" s="30"/>
      <c r="P1604" s="29"/>
      <c r="Q1604" s="29"/>
      <c r="R1604" s="29"/>
      <c r="S1604" s="33"/>
    </row>
    <row r="1605" spans="1:19" ht="15.6" thickTop="1" thickBot="1" x14ac:dyDescent="0.35">
      <c r="A1605" s="39"/>
      <c r="B1605" s="31"/>
      <c r="C1605" s="31"/>
      <c r="D1605" s="31"/>
      <c r="E1605" s="31"/>
      <c r="F1605" s="31"/>
      <c r="G1605" s="31"/>
      <c r="H1605" s="31"/>
      <c r="I1605" s="31"/>
      <c r="J1605" s="31"/>
      <c r="K1605" s="31"/>
      <c r="L1605" s="31"/>
      <c r="M1605" s="31"/>
      <c r="N1605" s="31"/>
      <c r="O1605" s="32"/>
      <c r="P1605" s="31"/>
      <c r="Q1605" s="31"/>
      <c r="R1605" s="31"/>
      <c r="S1605" s="34"/>
    </row>
    <row r="1606" spans="1:19" ht="15.6" thickTop="1" thickBot="1" x14ac:dyDescent="0.35">
      <c r="A1606" s="39"/>
      <c r="B1606" s="29"/>
      <c r="C1606" s="29"/>
      <c r="D1606" s="29"/>
      <c r="E1606" s="29"/>
      <c r="F1606" s="29"/>
      <c r="G1606" s="29"/>
      <c r="H1606" s="29"/>
      <c r="I1606" s="29"/>
      <c r="J1606" s="29"/>
      <c r="K1606" s="29"/>
      <c r="L1606" s="29"/>
      <c r="M1606" s="29"/>
      <c r="N1606" s="29"/>
      <c r="O1606" s="30"/>
      <c r="P1606" s="29"/>
      <c r="Q1606" s="29"/>
      <c r="R1606" s="29"/>
      <c r="S1606" s="33"/>
    </row>
    <row r="1607" spans="1:19" ht="15.6" thickTop="1" thickBot="1" x14ac:dyDescent="0.35">
      <c r="A1607" s="39"/>
      <c r="B1607" s="31"/>
      <c r="C1607" s="31"/>
      <c r="D1607" s="31"/>
      <c r="E1607" s="31"/>
      <c r="F1607" s="31"/>
      <c r="G1607" s="31"/>
      <c r="H1607" s="31"/>
      <c r="I1607" s="31"/>
      <c r="J1607" s="31"/>
      <c r="K1607" s="31"/>
      <c r="L1607" s="31"/>
      <c r="M1607" s="31"/>
      <c r="N1607" s="31"/>
      <c r="O1607" s="32"/>
      <c r="P1607" s="31"/>
      <c r="Q1607" s="31"/>
      <c r="R1607" s="31"/>
      <c r="S1607" s="34"/>
    </row>
    <row r="1608" spans="1:19" ht="15.6" thickTop="1" thickBot="1" x14ac:dyDescent="0.35">
      <c r="A1608" s="39"/>
      <c r="B1608" s="29"/>
      <c r="C1608" s="29"/>
      <c r="D1608" s="29"/>
      <c r="E1608" s="29"/>
      <c r="F1608" s="29"/>
      <c r="G1608" s="29"/>
      <c r="H1608" s="29"/>
      <c r="I1608" s="29"/>
      <c r="J1608" s="29"/>
      <c r="K1608" s="29"/>
      <c r="L1608" s="29"/>
      <c r="M1608" s="29"/>
      <c r="N1608" s="29"/>
      <c r="O1608" s="30"/>
      <c r="P1608" s="29"/>
      <c r="Q1608" s="29"/>
      <c r="R1608" s="29"/>
      <c r="S1608" s="33"/>
    </row>
    <row r="1609" spans="1:19" ht="15.6" thickTop="1" thickBot="1" x14ac:dyDescent="0.35">
      <c r="A1609" s="39"/>
      <c r="B1609" s="31"/>
      <c r="C1609" s="31"/>
      <c r="D1609" s="31"/>
      <c r="E1609" s="31"/>
      <c r="F1609" s="31"/>
      <c r="G1609" s="31"/>
      <c r="H1609" s="31"/>
      <c r="I1609" s="31"/>
      <c r="J1609" s="31"/>
      <c r="K1609" s="31"/>
      <c r="L1609" s="31"/>
      <c r="M1609" s="31"/>
      <c r="N1609" s="31"/>
      <c r="O1609" s="32"/>
      <c r="P1609" s="31"/>
      <c r="Q1609" s="31"/>
      <c r="R1609" s="31"/>
      <c r="S1609" s="34"/>
    </row>
    <row r="1610" spans="1:19" ht="15.6" thickTop="1" thickBot="1" x14ac:dyDescent="0.35">
      <c r="A1610" s="39"/>
      <c r="B1610" s="29"/>
      <c r="C1610" s="29"/>
      <c r="D1610" s="29"/>
      <c r="E1610" s="29"/>
      <c r="F1610" s="29"/>
      <c r="G1610" s="29"/>
      <c r="H1610" s="29"/>
      <c r="I1610" s="29"/>
      <c r="J1610" s="29"/>
      <c r="K1610" s="29"/>
      <c r="L1610" s="29"/>
      <c r="M1610" s="29"/>
      <c r="N1610" s="29"/>
      <c r="O1610" s="30"/>
      <c r="P1610" s="29"/>
      <c r="Q1610" s="29"/>
      <c r="R1610" s="29"/>
      <c r="S1610" s="33"/>
    </row>
    <row r="1611" spans="1:19" ht="15.6" thickTop="1" thickBot="1" x14ac:dyDescent="0.35">
      <c r="A1611" s="39"/>
      <c r="B1611" s="31"/>
      <c r="C1611" s="31"/>
      <c r="D1611" s="31"/>
      <c r="E1611" s="31"/>
      <c r="F1611" s="31"/>
      <c r="G1611" s="31"/>
      <c r="H1611" s="31"/>
      <c r="I1611" s="31"/>
      <c r="J1611" s="31"/>
      <c r="K1611" s="31"/>
      <c r="L1611" s="31"/>
      <c r="M1611" s="31"/>
      <c r="N1611" s="31"/>
      <c r="O1611" s="32"/>
      <c r="P1611" s="31"/>
      <c r="Q1611" s="31"/>
      <c r="R1611" s="31"/>
      <c r="S1611" s="34"/>
    </row>
    <row r="1612" spans="1:19" ht="15.6" thickTop="1" thickBot="1" x14ac:dyDescent="0.35">
      <c r="A1612" s="39"/>
      <c r="B1612" s="29"/>
      <c r="C1612" s="29"/>
      <c r="D1612" s="29"/>
      <c r="E1612" s="29"/>
      <c r="F1612" s="29"/>
      <c r="G1612" s="29"/>
      <c r="H1612" s="29"/>
      <c r="I1612" s="29"/>
      <c r="J1612" s="29"/>
      <c r="K1612" s="29"/>
      <c r="L1612" s="29"/>
      <c r="M1612" s="29"/>
      <c r="N1612" s="29"/>
      <c r="O1612" s="30"/>
      <c r="P1612" s="29"/>
      <c r="Q1612" s="29"/>
      <c r="R1612" s="29"/>
      <c r="S1612" s="33"/>
    </row>
    <row r="1613" spans="1:19" ht="15.6" thickTop="1" thickBot="1" x14ac:dyDescent="0.35">
      <c r="A1613" s="39"/>
      <c r="B1613" s="31"/>
      <c r="C1613" s="31"/>
      <c r="D1613" s="31"/>
      <c r="E1613" s="31"/>
      <c r="F1613" s="31"/>
      <c r="G1613" s="31"/>
      <c r="H1613" s="31"/>
      <c r="I1613" s="31"/>
      <c r="J1613" s="31"/>
      <c r="K1613" s="31"/>
      <c r="L1613" s="31"/>
      <c r="M1613" s="31"/>
      <c r="N1613" s="31"/>
      <c r="O1613" s="32"/>
      <c r="P1613" s="31"/>
      <c r="Q1613" s="31"/>
      <c r="R1613" s="31"/>
      <c r="S1613" s="34"/>
    </row>
    <row r="1614" spans="1:19" ht="15.6" thickTop="1" thickBot="1" x14ac:dyDescent="0.35">
      <c r="A1614" s="39"/>
      <c r="B1614" s="29"/>
      <c r="C1614" s="29"/>
      <c r="D1614" s="29"/>
      <c r="E1614" s="29"/>
      <c r="F1614" s="29"/>
      <c r="G1614" s="29"/>
      <c r="H1614" s="29"/>
      <c r="I1614" s="29"/>
      <c r="J1614" s="29"/>
      <c r="K1614" s="29"/>
      <c r="L1614" s="29"/>
      <c r="M1614" s="29"/>
      <c r="N1614" s="29"/>
      <c r="O1614" s="30"/>
      <c r="P1614" s="29"/>
      <c r="Q1614" s="29"/>
      <c r="R1614" s="29"/>
      <c r="S1614" s="33"/>
    </row>
    <row r="1615" spans="1:19" ht="15.6" thickTop="1" thickBot="1" x14ac:dyDescent="0.35">
      <c r="A1615" s="39"/>
      <c r="B1615" s="31"/>
      <c r="C1615" s="31"/>
      <c r="D1615" s="31"/>
      <c r="E1615" s="31"/>
      <c r="F1615" s="31"/>
      <c r="G1615" s="31"/>
      <c r="H1615" s="31"/>
      <c r="I1615" s="31"/>
      <c r="J1615" s="31"/>
      <c r="K1615" s="31"/>
      <c r="L1615" s="31"/>
      <c r="M1615" s="31"/>
      <c r="N1615" s="31"/>
      <c r="O1615" s="32"/>
      <c r="P1615" s="31"/>
      <c r="Q1615" s="31"/>
      <c r="R1615" s="31"/>
      <c r="S1615" s="34"/>
    </row>
    <row r="1616" spans="1:19" ht="15.6" thickTop="1" thickBot="1" x14ac:dyDescent="0.35">
      <c r="A1616" s="39"/>
      <c r="B1616" s="29"/>
      <c r="C1616" s="29"/>
      <c r="D1616" s="29"/>
      <c r="E1616" s="29"/>
      <c r="F1616" s="29"/>
      <c r="G1616" s="29"/>
      <c r="H1616" s="29"/>
      <c r="I1616" s="29"/>
      <c r="J1616" s="29"/>
      <c r="K1616" s="29"/>
      <c r="L1616" s="29"/>
      <c r="M1616" s="29"/>
      <c r="N1616" s="29"/>
      <c r="O1616" s="30"/>
      <c r="P1616" s="29"/>
      <c r="Q1616" s="29"/>
      <c r="R1616" s="29"/>
      <c r="S1616" s="33"/>
    </row>
    <row r="1617" spans="1:19" ht="15.6" thickTop="1" thickBot="1" x14ac:dyDescent="0.35">
      <c r="A1617" s="39"/>
      <c r="B1617" s="31"/>
      <c r="C1617" s="31"/>
      <c r="D1617" s="31"/>
      <c r="E1617" s="31"/>
      <c r="F1617" s="31"/>
      <c r="G1617" s="31"/>
      <c r="H1617" s="31"/>
      <c r="I1617" s="31"/>
      <c r="J1617" s="31"/>
      <c r="K1617" s="31"/>
      <c r="L1617" s="31"/>
      <c r="M1617" s="31"/>
      <c r="N1617" s="31"/>
      <c r="O1617" s="32"/>
      <c r="P1617" s="31"/>
      <c r="Q1617" s="31"/>
      <c r="R1617" s="31"/>
      <c r="S1617" s="34"/>
    </row>
    <row r="1618" spans="1:19" ht="15.6" thickTop="1" thickBot="1" x14ac:dyDescent="0.35">
      <c r="A1618" s="39"/>
      <c r="B1618" s="29"/>
      <c r="C1618" s="29"/>
      <c r="D1618" s="29"/>
      <c r="E1618" s="29"/>
      <c r="F1618" s="29"/>
      <c r="G1618" s="29"/>
      <c r="H1618" s="29"/>
      <c r="I1618" s="29"/>
      <c r="J1618" s="29"/>
      <c r="K1618" s="29"/>
      <c r="L1618" s="29"/>
      <c r="M1618" s="29"/>
      <c r="N1618" s="29"/>
      <c r="O1618" s="30"/>
      <c r="P1618" s="29"/>
      <c r="Q1618" s="29"/>
      <c r="R1618" s="29"/>
      <c r="S1618" s="33"/>
    </row>
    <row r="1619" spans="1:19" ht="15.6" thickTop="1" thickBot="1" x14ac:dyDescent="0.35">
      <c r="A1619" s="39"/>
      <c r="B1619" s="31"/>
      <c r="C1619" s="31"/>
      <c r="D1619" s="31"/>
      <c r="E1619" s="31"/>
      <c r="F1619" s="31"/>
      <c r="G1619" s="31"/>
      <c r="H1619" s="31"/>
      <c r="I1619" s="31"/>
      <c r="J1619" s="31"/>
      <c r="K1619" s="31"/>
      <c r="L1619" s="31"/>
      <c r="M1619" s="31"/>
      <c r="N1619" s="31"/>
      <c r="O1619" s="32"/>
      <c r="P1619" s="31"/>
      <c r="Q1619" s="31"/>
      <c r="R1619" s="31"/>
      <c r="S1619" s="34"/>
    </row>
    <row r="1620" spans="1:19" ht="15.6" thickTop="1" thickBot="1" x14ac:dyDescent="0.35">
      <c r="A1620" s="39"/>
      <c r="B1620" s="29"/>
      <c r="C1620" s="29"/>
      <c r="D1620" s="29"/>
      <c r="E1620" s="29"/>
      <c r="F1620" s="29"/>
      <c r="G1620" s="29"/>
      <c r="H1620" s="29"/>
      <c r="I1620" s="29"/>
      <c r="J1620" s="29"/>
      <c r="K1620" s="29"/>
      <c r="L1620" s="29"/>
      <c r="M1620" s="29"/>
      <c r="N1620" s="29"/>
      <c r="O1620" s="30"/>
      <c r="P1620" s="29"/>
      <c r="Q1620" s="29"/>
      <c r="R1620" s="29"/>
      <c r="S1620" s="33"/>
    </row>
    <row r="1621" spans="1:19" ht="15.6" thickTop="1" thickBot="1" x14ac:dyDescent="0.35">
      <c r="A1621" s="39"/>
      <c r="B1621" s="31"/>
      <c r="C1621" s="31"/>
      <c r="D1621" s="31"/>
      <c r="E1621" s="31"/>
      <c r="F1621" s="31"/>
      <c r="G1621" s="31"/>
      <c r="H1621" s="31"/>
      <c r="I1621" s="31"/>
      <c r="J1621" s="31"/>
      <c r="K1621" s="31"/>
      <c r="L1621" s="31"/>
      <c r="M1621" s="31"/>
      <c r="N1621" s="31"/>
      <c r="O1621" s="32"/>
      <c r="P1621" s="31"/>
      <c r="Q1621" s="31"/>
      <c r="R1621" s="31"/>
      <c r="S1621" s="34"/>
    </row>
    <row r="1622" spans="1:19" ht="15.6" thickTop="1" thickBot="1" x14ac:dyDescent="0.35">
      <c r="A1622" s="39"/>
      <c r="B1622" s="29"/>
      <c r="C1622" s="29"/>
      <c r="D1622" s="29"/>
      <c r="E1622" s="29"/>
      <c r="F1622" s="29"/>
      <c r="G1622" s="29"/>
      <c r="H1622" s="29"/>
      <c r="I1622" s="29"/>
      <c r="J1622" s="29"/>
      <c r="K1622" s="29"/>
      <c r="L1622" s="29"/>
      <c r="M1622" s="29"/>
      <c r="N1622" s="29"/>
      <c r="O1622" s="30"/>
      <c r="P1622" s="29"/>
      <c r="Q1622" s="29"/>
      <c r="R1622" s="29"/>
      <c r="S1622" s="33"/>
    </row>
    <row r="1623" spans="1:19" ht="15.6" thickTop="1" thickBot="1" x14ac:dyDescent="0.35">
      <c r="A1623" s="39"/>
      <c r="B1623" s="31"/>
      <c r="C1623" s="31"/>
      <c r="D1623" s="31"/>
      <c r="E1623" s="31"/>
      <c r="F1623" s="31"/>
      <c r="G1623" s="31"/>
      <c r="H1623" s="31"/>
      <c r="I1623" s="31"/>
      <c r="J1623" s="31"/>
      <c r="K1623" s="31"/>
      <c r="L1623" s="31"/>
      <c r="M1623" s="31"/>
      <c r="N1623" s="31"/>
      <c r="O1623" s="32"/>
      <c r="P1623" s="31"/>
      <c r="Q1623" s="31"/>
      <c r="R1623" s="31"/>
      <c r="S1623" s="34"/>
    </row>
    <row r="1624" spans="1:19" ht="15.6" thickTop="1" thickBot="1" x14ac:dyDescent="0.35">
      <c r="A1624" s="39"/>
      <c r="B1624" s="29"/>
      <c r="C1624" s="29"/>
      <c r="D1624" s="29"/>
      <c r="E1624" s="29"/>
      <c r="F1624" s="29"/>
      <c r="G1624" s="29"/>
      <c r="H1624" s="29"/>
      <c r="I1624" s="29"/>
      <c r="J1624" s="29"/>
      <c r="K1624" s="29"/>
      <c r="L1624" s="29"/>
      <c r="M1624" s="29"/>
      <c r="N1624" s="29"/>
      <c r="O1624" s="30"/>
      <c r="P1624" s="29"/>
      <c r="Q1624" s="29"/>
      <c r="R1624" s="29"/>
      <c r="S1624" s="33"/>
    </row>
    <row r="1625" spans="1:19" ht="15.6" thickTop="1" thickBot="1" x14ac:dyDescent="0.35">
      <c r="A1625" s="39"/>
      <c r="B1625" s="31"/>
      <c r="C1625" s="31"/>
      <c r="D1625" s="31"/>
      <c r="E1625" s="31"/>
      <c r="F1625" s="31"/>
      <c r="G1625" s="31"/>
      <c r="H1625" s="31"/>
      <c r="I1625" s="31"/>
      <c r="J1625" s="31"/>
      <c r="K1625" s="31"/>
      <c r="L1625" s="31"/>
      <c r="M1625" s="31"/>
      <c r="N1625" s="31"/>
      <c r="O1625" s="32"/>
      <c r="P1625" s="31"/>
      <c r="Q1625" s="31"/>
      <c r="R1625" s="31"/>
      <c r="S1625" s="34"/>
    </row>
    <row r="1626" spans="1:19" ht="15.6" thickTop="1" thickBot="1" x14ac:dyDescent="0.35">
      <c r="A1626" s="39"/>
      <c r="B1626" s="29"/>
      <c r="C1626" s="29"/>
      <c r="D1626" s="29"/>
      <c r="E1626" s="29"/>
      <c r="F1626" s="29"/>
      <c r="G1626" s="29"/>
      <c r="H1626" s="29"/>
      <c r="I1626" s="29"/>
      <c r="J1626" s="29"/>
      <c r="K1626" s="29"/>
      <c r="L1626" s="29"/>
      <c r="M1626" s="29"/>
      <c r="N1626" s="29"/>
      <c r="O1626" s="30"/>
      <c r="P1626" s="29"/>
      <c r="Q1626" s="29"/>
      <c r="R1626" s="29"/>
      <c r="S1626" s="33"/>
    </row>
    <row r="1627" spans="1:19" ht="15.6" thickTop="1" thickBot="1" x14ac:dyDescent="0.35">
      <c r="A1627" s="39"/>
      <c r="B1627" s="31"/>
      <c r="C1627" s="31"/>
      <c r="D1627" s="31"/>
      <c r="E1627" s="31"/>
      <c r="F1627" s="31"/>
      <c r="G1627" s="31"/>
      <c r="H1627" s="31"/>
      <c r="I1627" s="31"/>
      <c r="J1627" s="31"/>
      <c r="K1627" s="31"/>
      <c r="L1627" s="31"/>
      <c r="M1627" s="31"/>
      <c r="N1627" s="31"/>
      <c r="O1627" s="32"/>
      <c r="P1627" s="31"/>
      <c r="Q1627" s="31"/>
      <c r="R1627" s="31"/>
      <c r="S1627" s="34"/>
    </row>
    <row r="1628" spans="1:19" ht="15.6" thickTop="1" thickBot="1" x14ac:dyDescent="0.35">
      <c r="A1628" s="39"/>
      <c r="B1628" s="29"/>
      <c r="C1628" s="29"/>
      <c r="D1628" s="29"/>
      <c r="E1628" s="29"/>
      <c r="F1628" s="29"/>
      <c r="G1628" s="29"/>
      <c r="H1628" s="29"/>
      <c r="I1628" s="29"/>
      <c r="J1628" s="29"/>
      <c r="K1628" s="29"/>
      <c r="L1628" s="29"/>
      <c r="M1628" s="29"/>
      <c r="N1628" s="29"/>
      <c r="O1628" s="30"/>
      <c r="P1628" s="29"/>
      <c r="Q1628" s="29"/>
      <c r="R1628" s="29"/>
      <c r="S1628" s="33"/>
    </row>
    <row r="1629" spans="1:19" ht="15.6" thickTop="1" thickBot="1" x14ac:dyDescent="0.35">
      <c r="A1629" s="39"/>
      <c r="B1629" s="31"/>
      <c r="C1629" s="31"/>
      <c r="D1629" s="31"/>
      <c r="E1629" s="31"/>
      <c r="F1629" s="31"/>
      <c r="G1629" s="31"/>
      <c r="H1629" s="31"/>
      <c r="I1629" s="31"/>
      <c r="J1629" s="31"/>
      <c r="K1629" s="31"/>
      <c r="L1629" s="31"/>
      <c r="M1629" s="31"/>
      <c r="N1629" s="31"/>
      <c r="O1629" s="32"/>
      <c r="P1629" s="31"/>
      <c r="Q1629" s="31"/>
      <c r="R1629" s="31"/>
      <c r="S1629" s="34"/>
    </row>
    <row r="1630" spans="1:19" ht="15.6" thickTop="1" thickBot="1" x14ac:dyDescent="0.35">
      <c r="A1630" s="39"/>
      <c r="B1630" s="29"/>
      <c r="C1630" s="29"/>
      <c r="D1630" s="29"/>
      <c r="E1630" s="29"/>
      <c r="F1630" s="29"/>
      <c r="G1630" s="29"/>
      <c r="H1630" s="29"/>
      <c r="I1630" s="29"/>
      <c r="J1630" s="29"/>
      <c r="K1630" s="29"/>
      <c r="L1630" s="29"/>
      <c r="M1630" s="29"/>
      <c r="N1630" s="29"/>
      <c r="O1630" s="30"/>
      <c r="P1630" s="29"/>
      <c r="Q1630" s="29"/>
      <c r="R1630" s="29"/>
      <c r="S1630" s="33"/>
    </row>
    <row r="1631" spans="1:19" ht="15.6" thickTop="1" thickBot="1" x14ac:dyDescent="0.35">
      <c r="A1631" s="39"/>
      <c r="B1631" s="31"/>
      <c r="C1631" s="31"/>
      <c r="D1631" s="31"/>
      <c r="E1631" s="31"/>
      <c r="F1631" s="31"/>
      <c r="G1631" s="31"/>
      <c r="H1631" s="31"/>
      <c r="I1631" s="31"/>
      <c r="J1631" s="31"/>
      <c r="K1631" s="31"/>
      <c r="L1631" s="31"/>
      <c r="M1631" s="31"/>
      <c r="N1631" s="31"/>
      <c r="O1631" s="32"/>
      <c r="P1631" s="31"/>
      <c r="Q1631" s="31"/>
      <c r="R1631" s="31"/>
      <c r="S1631" s="34"/>
    </row>
    <row r="1632" spans="1:19" ht="15.6" thickTop="1" thickBot="1" x14ac:dyDescent="0.35">
      <c r="A1632" s="39"/>
      <c r="B1632" s="29"/>
      <c r="C1632" s="29"/>
      <c r="D1632" s="29"/>
      <c r="E1632" s="29"/>
      <c r="F1632" s="29"/>
      <c r="G1632" s="29"/>
      <c r="H1632" s="29"/>
      <c r="I1632" s="29"/>
      <c r="J1632" s="29"/>
      <c r="K1632" s="29"/>
      <c r="L1632" s="29"/>
      <c r="M1632" s="29"/>
      <c r="N1632" s="29"/>
      <c r="O1632" s="30"/>
      <c r="P1632" s="29"/>
      <c r="Q1632" s="29"/>
      <c r="R1632" s="29"/>
      <c r="S1632" s="33"/>
    </row>
    <row r="1633" spans="1:19" ht="15.6" thickTop="1" thickBot="1" x14ac:dyDescent="0.35">
      <c r="A1633" s="39"/>
      <c r="B1633" s="31"/>
      <c r="C1633" s="31"/>
      <c r="D1633" s="31"/>
      <c r="E1633" s="31"/>
      <c r="F1633" s="31"/>
      <c r="G1633" s="31"/>
      <c r="H1633" s="31"/>
      <c r="I1633" s="31"/>
      <c r="J1633" s="31"/>
      <c r="K1633" s="31"/>
      <c r="L1633" s="31"/>
      <c r="M1633" s="31"/>
      <c r="N1633" s="31"/>
      <c r="O1633" s="32"/>
      <c r="P1633" s="31"/>
      <c r="Q1633" s="31"/>
      <c r="R1633" s="31"/>
      <c r="S1633" s="34"/>
    </row>
    <row r="1634" spans="1:19" ht="15.6" thickTop="1" thickBot="1" x14ac:dyDescent="0.35">
      <c r="A1634" s="39"/>
      <c r="B1634" s="29"/>
      <c r="C1634" s="29"/>
      <c r="D1634" s="29"/>
      <c r="E1634" s="29"/>
      <c r="F1634" s="29"/>
      <c r="G1634" s="29"/>
      <c r="H1634" s="29"/>
      <c r="I1634" s="29"/>
      <c r="J1634" s="29"/>
      <c r="K1634" s="29"/>
      <c r="L1634" s="29"/>
      <c r="M1634" s="29"/>
      <c r="N1634" s="29"/>
      <c r="O1634" s="30"/>
      <c r="P1634" s="29"/>
      <c r="Q1634" s="29"/>
      <c r="R1634" s="29"/>
      <c r="S1634" s="33"/>
    </row>
    <row r="1635" spans="1:19" ht="15.6" thickTop="1" thickBot="1" x14ac:dyDescent="0.35">
      <c r="A1635" s="39"/>
      <c r="B1635" s="31"/>
      <c r="C1635" s="31"/>
      <c r="D1635" s="31"/>
      <c r="E1635" s="31"/>
      <c r="F1635" s="31"/>
      <c r="G1635" s="31"/>
      <c r="H1635" s="31"/>
      <c r="I1635" s="31"/>
      <c r="J1635" s="31"/>
      <c r="K1635" s="31"/>
      <c r="L1635" s="31"/>
      <c r="M1635" s="31"/>
      <c r="N1635" s="31"/>
      <c r="O1635" s="32"/>
      <c r="P1635" s="31"/>
      <c r="Q1635" s="31"/>
      <c r="R1635" s="31"/>
      <c r="S1635" s="34"/>
    </row>
    <row r="1636" spans="1:19" ht="15.6" thickTop="1" thickBot="1" x14ac:dyDescent="0.35">
      <c r="A1636" s="39"/>
      <c r="B1636" s="29"/>
      <c r="C1636" s="29"/>
      <c r="D1636" s="29"/>
      <c r="E1636" s="29"/>
      <c r="F1636" s="29"/>
      <c r="G1636" s="29"/>
      <c r="H1636" s="29"/>
      <c r="I1636" s="29"/>
      <c r="J1636" s="29"/>
      <c r="K1636" s="29"/>
      <c r="L1636" s="29"/>
      <c r="M1636" s="29"/>
      <c r="N1636" s="29"/>
      <c r="O1636" s="30"/>
      <c r="P1636" s="29"/>
      <c r="Q1636" s="29"/>
      <c r="R1636" s="29"/>
      <c r="S1636" s="33"/>
    </row>
    <row r="1637" spans="1:19" ht="15.6" thickTop="1" thickBot="1" x14ac:dyDescent="0.35">
      <c r="A1637" s="39"/>
      <c r="B1637" s="31"/>
      <c r="C1637" s="31"/>
      <c r="D1637" s="31"/>
      <c r="E1637" s="31"/>
      <c r="F1637" s="31"/>
      <c r="G1637" s="31"/>
      <c r="H1637" s="31"/>
      <c r="I1637" s="31"/>
      <c r="J1637" s="31"/>
      <c r="K1637" s="31"/>
      <c r="L1637" s="31"/>
      <c r="M1637" s="31"/>
      <c r="N1637" s="31"/>
      <c r="O1637" s="32"/>
      <c r="P1637" s="31"/>
      <c r="Q1637" s="31"/>
      <c r="R1637" s="31"/>
      <c r="S1637" s="34"/>
    </row>
    <row r="1638" spans="1:19" ht="15.6" thickTop="1" thickBot="1" x14ac:dyDescent="0.35">
      <c r="A1638" s="39"/>
      <c r="B1638" s="29"/>
      <c r="C1638" s="29"/>
      <c r="D1638" s="29"/>
      <c r="E1638" s="29"/>
      <c r="F1638" s="29"/>
      <c r="G1638" s="29"/>
      <c r="H1638" s="29"/>
      <c r="I1638" s="29"/>
      <c r="J1638" s="29"/>
      <c r="K1638" s="29"/>
      <c r="L1638" s="29"/>
      <c r="M1638" s="29"/>
      <c r="N1638" s="29"/>
      <c r="O1638" s="30"/>
      <c r="P1638" s="29"/>
      <c r="Q1638" s="29"/>
      <c r="R1638" s="29"/>
      <c r="S1638" s="33"/>
    </row>
    <row r="1639" spans="1:19" ht="15.6" thickTop="1" thickBot="1" x14ac:dyDescent="0.35">
      <c r="A1639" s="39"/>
      <c r="B1639" s="31"/>
      <c r="C1639" s="31"/>
      <c r="D1639" s="31"/>
      <c r="E1639" s="31"/>
      <c r="F1639" s="31"/>
      <c r="G1639" s="31"/>
      <c r="H1639" s="31"/>
      <c r="I1639" s="31"/>
      <c r="J1639" s="31"/>
      <c r="K1639" s="31"/>
      <c r="L1639" s="31"/>
      <c r="M1639" s="31"/>
      <c r="N1639" s="31"/>
      <c r="O1639" s="32"/>
      <c r="P1639" s="31"/>
      <c r="Q1639" s="31"/>
      <c r="R1639" s="31"/>
      <c r="S1639" s="34"/>
    </row>
    <row r="1640" spans="1:19" ht="15.6" thickTop="1" thickBot="1" x14ac:dyDescent="0.35">
      <c r="A1640" s="39"/>
      <c r="B1640" s="29"/>
      <c r="C1640" s="29"/>
      <c r="D1640" s="29"/>
      <c r="E1640" s="29"/>
      <c r="F1640" s="29"/>
      <c r="G1640" s="29"/>
      <c r="H1640" s="29"/>
      <c r="I1640" s="29"/>
      <c r="J1640" s="29"/>
      <c r="K1640" s="29"/>
      <c r="L1640" s="29"/>
      <c r="M1640" s="29"/>
      <c r="N1640" s="29"/>
      <c r="O1640" s="30"/>
      <c r="P1640" s="29"/>
      <c r="Q1640" s="29"/>
      <c r="R1640" s="29"/>
      <c r="S1640" s="33"/>
    </row>
    <row r="1641" spans="1:19" ht="15.6" thickTop="1" thickBot="1" x14ac:dyDescent="0.35">
      <c r="A1641" s="39"/>
      <c r="B1641" s="31"/>
      <c r="C1641" s="31"/>
      <c r="D1641" s="31"/>
      <c r="E1641" s="31"/>
      <c r="F1641" s="31"/>
      <c r="G1641" s="31"/>
      <c r="H1641" s="31"/>
      <c r="I1641" s="31"/>
      <c r="J1641" s="31"/>
      <c r="K1641" s="31"/>
      <c r="L1641" s="31"/>
      <c r="M1641" s="31"/>
      <c r="N1641" s="31"/>
      <c r="O1641" s="32"/>
      <c r="P1641" s="31"/>
      <c r="Q1641" s="31"/>
      <c r="R1641" s="31"/>
      <c r="S1641" s="34"/>
    </row>
    <row r="1642" spans="1:19" ht="15.6" thickTop="1" thickBot="1" x14ac:dyDescent="0.35">
      <c r="A1642" s="39"/>
      <c r="B1642" s="29"/>
      <c r="C1642" s="29"/>
      <c r="D1642" s="29"/>
      <c r="E1642" s="29"/>
      <c r="F1642" s="29"/>
      <c r="G1642" s="29"/>
      <c r="H1642" s="29"/>
      <c r="I1642" s="29"/>
      <c r="J1642" s="29"/>
      <c r="K1642" s="29"/>
      <c r="L1642" s="29"/>
      <c r="M1642" s="29"/>
      <c r="N1642" s="29"/>
      <c r="O1642" s="30"/>
      <c r="P1642" s="29"/>
      <c r="Q1642" s="29"/>
      <c r="R1642" s="29"/>
      <c r="S1642" s="33"/>
    </row>
    <row r="1643" spans="1:19" ht="15.6" thickTop="1" thickBot="1" x14ac:dyDescent="0.35">
      <c r="A1643" s="39"/>
      <c r="B1643" s="31"/>
      <c r="C1643" s="31"/>
      <c r="D1643" s="31"/>
      <c r="E1643" s="31"/>
      <c r="F1643" s="31"/>
      <c r="G1643" s="31"/>
      <c r="H1643" s="31"/>
      <c r="I1643" s="31"/>
      <c r="J1643" s="31"/>
      <c r="K1643" s="31"/>
      <c r="L1643" s="31"/>
      <c r="M1643" s="31"/>
      <c r="N1643" s="31"/>
      <c r="O1643" s="32"/>
      <c r="P1643" s="31"/>
      <c r="Q1643" s="31"/>
      <c r="R1643" s="31"/>
      <c r="S1643" s="34"/>
    </row>
    <row r="1644" spans="1:19" ht="15.6" thickTop="1" thickBot="1" x14ac:dyDescent="0.35">
      <c r="A1644" s="39"/>
      <c r="B1644" s="29"/>
      <c r="C1644" s="29"/>
      <c r="D1644" s="29"/>
      <c r="E1644" s="29"/>
      <c r="F1644" s="29"/>
      <c r="G1644" s="29"/>
      <c r="H1644" s="29"/>
      <c r="I1644" s="29"/>
      <c r="J1644" s="29"/>
      <c r="K1644" s="29"/>
      <c r="L1644" s="29"/>
      <c r="M1644" s="29"/>
      <c r="N1644" s="29"/>
      <c r="O1644" s="30"/>
      <c r="P1644" s="29"/>
      <c r="Q1644" s="29"/>
      <c r="R1644" s="29"/>
      <c r="S1644" s="33"/>
    </row>
    <row r="1645" spans="1:19" ht="15.6" thickTop="1" thickBot="1" x14ac:dyDescent="0.35">
      <c r="A1645" s="39"/>
      <c r="B1645" s="31"/>
      <c r="C1645" s="31"/>
      <c r="D1645" s="31"/>
      <c r="E1645" s="31"/>
      <c r="F1645" s="31"/>
      <c r="G1645" s="31"/>
      <c r="H1645" s="31"/>
      <c r="I1645" s="31"/>
      <c r="J1645" s="31"/>
      <c r="K1645" s="31"/>
      <c r="L1645" s="31"/>
      <c r="M1645" s="31"/>
      <c r="N1645" s="31"/>
      <c r="O1645" s="32"/>
      <c r="P1645" s="31"/>
      <c r="Q1645" s="31"/>
      <c r="R1645" s="31"/>
      <c r="S1645" s="34"/>
    </row>
    <row r="1646" spans="1:19" ht="15.6" thickTop="1" thickBot="1" x14ac:dyDescent="0.35">
      <c r="A1646" s="39"/>
      <c r="B1646" s="29"/>
      <c r="C1646" s="29"/>
      <c r="D1646" s="29"/>
      <c r="E1646" s="29"/>
      <c r="F1646" s="29"/>
      <c r="G1646" s="29"/>
      <c r="H1646" s="29"/>
      <c r="I1646" s="29"/>
      <c r="J1646" s="29"/>
      <c r="K1646" s="29"/>
      <c r="L1646" s="29"/>
      <c r="M1646" s="29"/>
      <c r="N1646" s="29"/>
      <c r="O1646" s="30"/>
      <c r="P1646" s="29"/>
      <c r="Q1646" s="29"/>
      <c r="R1646" s="29"/>
      <c r="S1646" s="33"/>
    </row>
    <row r="1647" spans="1:19" ht="15.6" thickTop="1" thickBot="1" x14ac:dyDescent="0.35">
      <c r="A1647" s="39"/>
      <c r="B1647" s="31"/>
      <c r="C1647" s="31"/>
      <c r="D1647" s="31"/>
      <c r="E1647" s="31"/>
      <c r="F1647" s="31"/>
      <c r="G1647" s="31"/>
      <c r="H1647" s="31"/>
      <c r="I1647" s="31"/>
      <c r="J1647" s="31"/>
      <c r="K1647" s="31"/>
      <c r="L1647" s="31"/>
      <c r="M1647" s="31"/>
      <c r="N1647" s="31"/>
      <c r="O1647" s="32"/>
      <c r="P1647" s="31"/>
      <c r="Q1647" s="31"/>
      <c r="R1647" s="31"/>
      <c r="S1647" s="34"/>
    </row>
    <row r="1648" spans="1:19" ht="15.6" thickTop="1" thickBot="1" x14ac:dyDescent="0.35">
      <c r="A1648" s="39"/>
      <c r="B1648" s="29"/>
      <c r="C1648" s="29"/>
      <c r="D1648" s="29"/>
      <c r="E1648" s="29"/>
      <c r="F1648" s="29"/>
      <c r="G1648" s="29"/>
      <c r="H1648" s="29"/>
      <c r="I1648" s="29"/>
      <c r="J1648" s="29"/>
      <c r="K1648" s="29"/>
      <c r="L1648" s="29"/>
      <c r="M1648" s="29"/>
      <c r="N1648" s="29"/>
      <c r="O1648" s="30"/>
      <c r="P1648" s="29"/>
      <c r="Q1648" s="29"/>
      <c r="R1648" s="29"/>
      <c r="S1648" s="33"/>
    </row>
    <row r="1649" spans="1:19" ht="15.6" thickTop="1" thickBot="1" x14ac:dyDescent="0.35">
      <c r="A1649" s="39"/>
      <c r="B1649" s="31"/>
      <c r="C1649" s="31"/>
      <c r="D1649" s="31"/>
      <c r="E1649" s="31"/>
      <c r="F1649" s="31"/>
      <c r="G1649" s="31"/>
      <c r="H1649" s="31"/>
      <c r="I1649" s="31"/>
      <c r="J1649" s="31"/>
      <c r="K1649" s="31"/>
      <c r="L1649" s="31"/>
      <c r="M1649" s="31"/>
      <c r="N1649" s="31"/>
      <c r="O1649" s="32"/>
      <c r="P1649" s="31"/>
      <c r="Q1649" s="31"/>
      <c r="R1649" s="31"/>
      <c r="S1649" s="34"/>
    </row>
    <row r="1650" spans="1:19" ht="15.6" thickTop="1" thickBot="1" x14ac:dyDescent="0.35">
      <c r="A1650" s="39"/>
      <c r="B1650" s="29"/>
      <c r="C1650" s="29"/>
      <c r="D1650" s="29"/>
      <c r="E1650" s="29"/>
      <c r="F1650" s="29"/>
      <c r="G1650" s="29"/>
      <c r="H1650" s="29"/>
      <c r="I1650" s="29"/>
      <c r="J1650" s="29"/>
      <c r="K1650" s="29"/>
      <c r="L1650" s="29"/>
      <c r="M1650" s="29"/>
      <c r="N1650" s="29"/>
      <c r="O1650" s="30"/>
      <c r="P1650" s="29"/>
      <c r="Q1650" s="29"/>
      <c r="R1650" s="29"/>
      <c r="S1650" s="33"/>
    </row>
    <row r="1651" spans="1:19" ht="15.6" thickTop="1" thickBot="1" x14ac:dyDescent="0.35">
      <c r="A1651" s="39"/>
      <c r="B1651" s="31"/>
      <c r="C1651" s="31"/>
      <c r="D1651" s="31"/>
      <c r="E1651" s="31"/>
      <c r="F1651" s="31"/>
      <c r="G1651" s="31"/>
      <c r="H1651" s="31"/>
      <c r="I1651" s="31"/>
      <c r="J1651" s="31"/>
      <c r="K1651" s="31"/>
      <c r="L1651" s="31"/>
      <c r="M1651" s="31"/>
      <c r="N1651" s="31"/>
      <c r="O1651" s="32"/>
      <c r="P1651" s="31"/>
      <c r="Q1651" s="31"/>
      <c r="R1651" s="31"/>
      <c r="S1651" s="34"/>
    </row>
    <row r="1652" spans="1:19" ht="15.6" thickTop="1" thickBot="1" x14ac:dyDescent="0.35">
      <c r="A1652" s="39"/>
      <c r="B1652" s="29"/>
      <c r="C1652" s="29"/>
      <c r="D1652" s="29"/>
      <c r="E1652" s="29"/>
      <c r="F1652" s="29"/>
      <c r="G1652" s="29"/>
      <c r="H1652" s="29"/>
      <c r="I1652" s="29"/>
      <c r="J1652" s="29"/>
      <c r="K1652" s="29"/>
      <c r="L1652" s="29"/>
      <c r="M1652" s="29"/>
      <c r="N1652" s="29"/>
      <c r="O1652" s="30"/>
      <c r="P1652" s="29"/>
      <c r="Q1652" s="29"/>
      <c r="R1652" s="29"/>
      <c r="S1652" s="33"/>
    </row>
    <row r="1653" spans="1:19" ht="15.6" thickTop="1" thickBot="1" x14ac:dyDescent="0.35">
      <c r="A1653" s="39"/>
      <c r="B1653" s="31"/>
      <c r="C1653" s="31"/>
      <c r="D1653" s="31"/>
      <c r="E1653" s="31"/>
      <c r="F1653" s="31"/>
      <c r="G1653" s="31"/>
      <c r="H1653" s="31"/>
      <c r="I1653" s="31"/>
      <c r="J1653" s="31"/>
      <c r="K1653" s="31"/>
      <c r="L1653" s="31"/>
      <c r="M1653" s="31"/>
      <c r="N1653" s="31"/>
      <c r="O1653" s="32"/>
      <c r="P1653" s="31"/>
      <c r="Q1653" s="31"/>
      <c r="R1653" s="31"/>
      <c r="S1653" s="34"/>
    </row>
    <row r="1654" spans="1:19" ht="15.6" thickTop="1" thickBot="1" x14ac:dyDescent="0.35">
      <c r="A1654" s="39"/>
      <c r="B1654" s="29"/>
      <c r="C1654" s="29"/>
      <c r="D1654" s="29"/>
      <c r="E1654" s="29"/>
      <c r="F1654" s="29"/>
      <c r="G1654" s="29"/>
      <c r="H1654" s="29"/>
      <c r="I1654" s="29"/>
      <c r="J1654" s="29"/>
      <c r="K1654" s="29"/>
      <c r="L1654" s="29"/>
      <c r="M1654" s="29"/>
      <c r="N1654" s="29"/>
      <c r="O1654" s="30"/>
      <c r="P1654" s="29"/>
      <c r="Q1654" s="29"/>
      <c r="R1654" s="29"/>
      <c r="S1654" s="33"/>
    </row>
    <row r="1655" spans="1:19" ht="15.6" thickTop="1" thickBot="1" x14ac:dyDescent="0.35">
      <c r="A1655" s="39"/>
      <c r="B1655" s="31"/>
      <c r="C1655" s="31"/>
      <c r="D1655" s="31"/>
      <c r="E1655" s="31"/>
      <c r="F1655" s="31"/>
      <c r="G1655" s="31"/>
      <c r="H1655" s="31"/>
      <c r="I1655" s="31"/>
      <c r="J1655" s="31"/>
      <c r="K1655" s="31"/>
      <c r="L1655" s="31"/>
      <c r="M1655" s="31"/>
      <c r="N1655" s="31"/>
      <c r="O1655" s="32"/>
      <c r="P1655" s="31"/>
      <c r="Q1655" s="31"/>
      <c r="R1655" s="31"/>
      <c r="S1655" s="34"/>
    </row>
    <row r="1656" spans="1:19" ht="15.6" thickTop="1" thickBot="1" x14ac:dyDescent="0.35">
      <c r="A1656" s="39"/>
      <c r="B1656" s="29"/>
      <c r="C1656" s="29"/>
      <c r="D1656" s="29"/>
      <c r="E1656" s="29"/>
      <c r="F1656" s="29"/>
      <c r="G1656" s="29"/>
      <c r="H1656" s="29"/>
      <c r="I1656" s="29"/>
      <c r="J1656" s="29"/>
      <c r="K1656" s="29"/>
      <c r="L1656" s="29"/>
      <c r="M1656" s="29"/>
      <c r="N1656" s="29"/>
      <c r="O1656" s="30"/>
      <c r="P1656" s="29"/>
      <c r="Q1656" s="29"/>
      <c r="R1656" s="29"/>
      <c r="S1656" s="33"/>
    </row>
    <row r="1657" spans="1:19" ht="15.6" thickTop="1" thickBot="1" x14ac:dyDescent="0.35">
      <c r="A1657" s="39"/>
      <c r="B1657" s="31"/>
      <c r="C1657" s="31"/>
      <c r="D1657" s="31"/>
      <c r="E1657" s="31"/>
      <c r="F1657" s="31"/>
      <c r="G1657" s="31"/>
      <c r="H1657" s="31"/>
      <c r="I1657" s="31"/>
      <c r="J1657" s="31"/>
      <c r="K1657" s="31"/>
      <c r="L1657" s="31"/>
      <c r="M1657" s="31"/>
      <c r="N1657" s="31"/>
      <c r="O1657" s="32"/>
      <c r="P1657" s="31"/>
      <c r="Q1657" s="31"/>
      <c r="R1657" s="31"/>
      <c r="S1657" s="34"/>
    </row>
    <row r="1658" spans="1:19" ht="15.6" thickTop="1" thickBot="1" x14ac:dyDescent="0.35">
      <c r="A1658" s="39"/>
      <c r="B1658" s="29"/>
      <c r="C1658" s="29"/>
      <c r="D1658" s="29"/>
      <c r="E1658" s="29"/>
      <c r="F1658" s="29"/>
      <c r="G1658" s="29"/>
      <c r="H1658" s="29"/>
      <c r="I1658" s="29"/>
      <c r="J1658" s="29"/>
      <c r="K1658" s="29"/>
      <c r="L1658" s="29"/>
      <c r="M1658" s="29"/>
      <c r="N1658" s="29"/>
      <c r="O1658" s="30"/>
      <c r="P1658" s="29"/>
      <c r="Q1658" s="29"/>
      <c r="R1658" s="29"/>
      <c r="S1658" s="33"/>
    </row>
    <row r="1659" spans="1:19" ht="15.6" thickTop="1" thickBot="1" x14ac:dyDescent="0.35">
      <c r="A1659" s="39"/>
      <c r="B1659" s="31"/>
      <c r="C1659" s="31"/>
      <c r="D1659" s="31"/>
      <c r="E1659" s="31"/>
      <c r="F1659" s="31"/>
      <c r="G1659" s="31"/>
      <c r="H1659" s="31"/>
      <c r="I1659" s="31"/>
      <c r="J1659" s="31"/>
      <c r="K1659" s="31"/>
      <c r="L1659" s="31"/>
      <c r="M1659" s="31"/>
      <c r="N1659" s="31"/>
      <c r="O1659" s="32"/>
      <c r="P1659" s="31"/>
      <c r="Q1659" s="31"/>
      <c r="R1659" s="31"/>
      <c r="S1659" s="34"/>
    </row>
    <row r="1660" spans="1:19" ht="15.6" thickTop="1" thickBot="1" x14ac:dyDescent="0.35">
      <c r="A1660" s="39"/>
      <c r="B1660" s="29"/>
      <c r="C1660" s="29"/>
      <c r="D1660" s="29"/>
      <c r="E1660" s="29"/>
      <c r="F1660" s="29"/>
      <c r="G1660" s="29"/>
      <c r="H1660" s="29"/>
      <c r="I1660" s="29"/>
      <c r="J1660" s="29"/>
      <c r="K1660" s="29"/>
      <c r="L1660" s="29"/>
      <c r="M1660" s="29"/>
      <c r="N1660" s="29"/>
      <c r="O1660" s="30"/>
      <c r="P1660" s="29"/>
      <c r="Q1660" s="29"/>
      <c r="R1660" s="29"/>
      <c r="S1660" s="33"/>
    </row>
    <row r="1661" spans="1:19" ht="15.6" thickTop="1" thickBot="1" x14ac:dyDescent="0.35">
      <c r="A1661" s="39"/>
      <c r="B1661" s="31"/>
      <c r="C1661" s="31"/>
      <c r="D1661" s="31"/>
      <c r="E1661" s="31"/>
      <c r="F1661" s="31"/>
      <c r="G1661" s="31"/>
      <c r="H1661" s="31"/>
      <c r="I1661" s="31"/>
      <c r="J1661" s="31"/>
      <c r="K1661" s="31"/>
      <c r="L1661" s="31"/>
      <c r="M1661" s="31"/>
      <c r="N1661" s="31"/>
      <c r="O1661" s="32"/>
      <c r="P1661" s="31"/>
      <c r="Q1661" s="31"/>
      <c r="R1661" s="31"/>
      <c r="S1661" s="34"/>
    </row>
    <row r="1662" spans="1:19" ht="15.6" thickTop="1" thickBot="1" x14ac:dyDescent="0.35">
      <c r="A1662" s="39"/>
      <c r="B1662" s="29"/>
      <c r="C1662" s="29"/>
      <c r="D1662" s="29"/>
      <c r="E1662" s="29"/>
      <c r="F1662" s="29"/>
      <c r="G1662" s="29"/>
      <c r="H1662" s="29"/>
      <c r="I1662" s="29"/>
      <c r="J1662" s="29"/>
      <c r="K1662" s="29"/>
      <c r="L1662" s="29"/>
      <c r="M1662" s="29"/>
      <c r="N1662" s="29"/>
      <c r="O1662" s="30"/>
      <c r="P1662" s="29"/>
      <c r="Q1662" s="29"/>
      <c r="R1662" s="29"/>
      <c r="S1662" s="33"/>
    </row>
    <row r="1663" spans="1:19" ht="15.6" thickTop="1" thickBot="1" x14ac:dyDescent="0.35">
      <c r="A1663" s="39"/>
      <c r="B1663" s="31"/>
      <c r="C1663" s="31"/>
      <c r="D1663" s="31"/>
      <c r="E1663" s="31"/>
      <c r="F1663" s="31"/>
      <c r="G1663" s="31"/>
      <c r="H1663" s="31"/>
      <c r="I1663" s="31"/>
      <c r="J1663" s="31"/>
      <c r="K1663" s="31"/>
      <c r="L1663" s="31"/>
      <c r="M1663" s="31"/>
      <c r="N1663" s="31"/>
      <c r="O1663" s="32"/>
      <c r="P1663" s="31"/>
      <c r="Q1663" s="31"/>
      <c r="R1663" s="31"/>
      <c r="S1663" s="34"/>
    </row>
    <row r="1664" spans="1:19" ht="15.6" thickTop="1" thickBot="1" x14ac:dyDescent="0.35">
      <c r="A1664" s="39"/>
      <c r="B1664" s="29"/>
      <c r="C1664" s="29"/>
      <c r="D1664" s="29"/>
      <c r="E1664" s="29"/>
      <c r="F1664" s="29"/>
      <c r="G1664" s="29"/>
      <c r="H1664" s="29"/>
      <c r="I1664" s="29"/>
      <c r="J1664" s="29"/>
      <c r="K1664" s="29"/>
      <c r="L1664" s="29"/>
      <c r="M1664" s="29"/>
      <c r="N1664" s="29"/>
      <c r="O1664" s="30"/>
      <c r="P1664" s="29"/>
      <c r="Q1664" s="29"/>
      <c r="R1664" s="29"/>
      <c r="S1664" s="33"/>
    </row>
    <row r="1665" spans="1:19" ht="15.6" thickTop="1" thickBot="1" x14ac:dyDescent="0.35">
      <c r="A1665" s="39"/>
      <c r="B1665" s="31"/>
      <c r="C1665" s="31"/>
      <c r="D1665" s="31"/>
      <c r="E1665" s="31"/>
      <c r="F1665" s="31"/>
      <c r="G1665" s="31"/>
      <c r="H1665" s="31"/>
      <c r="I1665" s="31"/>
      <c r="J1665" s="31"/>
      <c r="K1665" s="31"/>
      <c r="L1665" s="31"/>
      <c r="M1665" s="31"/>
      <c r="N1665" s="31"/>
      <c r="O1665" s="32"/>
      <c r="P1665" s="31"/>
      <c r="Q1665" s="31"/>
      <c r="R1665" s="31"/>
      <c r="S1665" s="34"/>
    </row>
    <row r="1666" spans="1:19" ht="15.6" thickTop="1" thickBot="1" x14ac:dyDescent="0.35">
      <c r="A1666" s="39"/>
      <c r="B1666" s="29"/>
      <c r="C1666" s="29"/>
      <c r="D1666" s="29"/>
      <c r="E1666" s="29"/>
      <c r="F1666" s="29"/>
      <c r="G1666" s="29"/>
      <c r="H1666" s="29"/>
      <c r="I1666" s="29"/>
      <c r="J1666" s="29"/>
      <c r="K1666" s="29"/>
      <c r="L1666" s="29"/>
      <c r="M1666" s="29"/>
      <c r="N1666" s="29"/>
      <c r="O1666" s="30"/>
      <c r="P1666" s="29"/>
      <c r="Q1666" s="29"/>
      <c r="R1666" s="29"/>
      <c r="S1666" s="33"/>
    </row>
    <row r="1667" spans="1:19" ht="15.6" thickTop="1" thickBot="1" x14ac:dyDescent="0.35">
      <c r="A1667" s="39"/>
      <c r="B1667" s="31"/>
      <c r="C1667" s="31"/>
      <c r="D1667" s="31"/>
      <c r="E1667" s="31"/>
      <c r="F1667" s="31"/>
      <c r="G1667" s="31"/>
      <c r="H1667" s="31"/>
      <c r="I1667" s="31"/>
      <c r="J1667" s="31"/>
      <c r="K1667" s="31"/>
      <c r="L1667" s="31"/>
      <c r="M1667" s="31"/>
      <c r="N1667" s="31"/>
      <c r="O1667" s="32"/>
      <c r="P1667" s="31"/>
      <c r="Q1667" s="31"/>
      <c r="R1667" s="31"/>
      <c r="S1667" s="34"/>
    </row>
    <row r="1668" spans="1:19" ht="15.6" thickTop="1" thickBot="1" x14ac:dyDescent="0.35">
      <c r="A1668" s="39"/>
      <c r="B1668" s="29"/>
      <c r="C1668" s="29"/>
      <c r="D1668" s="29"/>
      <c r="E1668" s="29"/>
      <c r="F1668" s="29"/>
      <c r="G1668" s="29"/>
      <c r="H1668" s="29"/>
      <c r="I1668" s="29"/>
      <c r="J1668" s="29"/>
      <c r="K1668" s="29"/>
      <c r="L1668" s="29"/>
      <c r="M1668" s="29"/>
      <c r="N1668" s="29"/>
      <c r="O1668" s="30"/>
      <c r="P1668" s="29"/>
      <c r="Q1668" s="29"/>
      <c r="R1668" s="29"/>
      <c r="S1668" s="33"/>
    </row>
    <row r="1669" spans="1:19" ht="15.6" thickTop="1" thickBot="1" x14ac:dyDescent="0.35">
      <c r="A1669" s="39"/>
      <c r="B1669" s="31"/>
      <c r="C1669" s="31"/>
      <c r="D1669" s="31"/>
      <c r="E1669" s="31"/>
      <c r="F1669" s="31"/>
      <c r="G1669" s="31"/>
      <c r="H1669" s="31"/>
      <c r="I1669" s="31"/>
      <c r="J1669" s="31"/>
      <c r="K1669" s="31"/>
      <c r="L1669" s="31"/>
      <c r="M1669" s="31"/>
      <c r="N1669" s="31"/>
      <c r="O1669" s="32"/>
      <c r="P1669" s="31"/>
      <c r="Q1669" s="31"/>
      <c r="R1669" s="31"/>
      <c r="S1669" s="34"/>
    </row>
    <row r="1670" spans="1:19" ht="15.6" thickTop="1" thickBot="1" x14ac:dyDescent="0.35">
      <c r="A1670" s="39"/>
      <c r="B1670" s="29"/>
      <c r="C1670" s="29"/>
      <c r="D1670" s="29"/>
      <c r="E1670" s="29"/>
      <c r="F1670" s="29"/>
      <c r="G1670" s="29"/>
      <c r="H1670" s="29"/>
      <c r="I1670" s="29"/>
      <c r="J1670" s="29"/>
      <c r="K1670" s="29"/>
      <c r="L1670" s="29"/>
      <c r="M1670" s="29"/>
      <c r="N1670" s="29"/>
      <c r="O1670" s="30"/>
      <c r="P1670" s="29"/>
      <c r="Q1670" s="29"/>
      <c r="R1670" s="29"/>
      <c r="S1670" s="33"/>
    </row>
    <row r="1671" spans="1:19" ht="15.6" thickTop="1" thickBot="1" x14ac:dyDescent="0.35">
      <c r="A1671" s="39"/>
      <c r="B1671" s="31"/>
      <c r="C1671" s="31"/>
      <c r="D1671" s="31"/>
      <c r="E1671" s="31"/>
      <c r="F1671" s="31"/>
      <c r="G1671" s="31"/>
      <c r="H1671" s="31"/>
      <c r="I1671" s="31"/>
      <c r="J1671" s="31"/>
      <c r="K1671" s="31"/>
      <c r="L1671" s="31"/>
      <c r="M1671" s="31"/>
      <c r="N1671" s="31"/>
      <c r="O1671" s="32"/>
      <c r="P1671" s="31"/>
      <c r="Q1671" s="31"/>
      <c r="R1671" s="31"/>
      <c r="S1671" s="34"/>
    </row>
    <row r="1672" spans="1:19" ht="15.6" thickTop="1" thickBot="1" x14ac:dyDescent="0.35">
      <c r="A1672" s="39"/>
      <c r="B1672" s="29"/>
      <c r="C1672" s="29"/>
      <c r="D1672" s="29"/>
      <c r="E1672" s="29"/>
      <c r="F1672" s="29"/>
      <c r="G1672" s="29"/>
      <c r="H1672" s="29"/>
      <c r="I1672" s="29"/>
      <c r="J1672" s="29"/>
      <c r="K1672" s="29"/>
      <c r="L1672" s="29"/>
      <c r="M1672" s="29"/>
      <c r="N1672" s="29"/>
      <c r="O1672" s="30"/>
      <c r="P1672" s="29"/>
      <c r="Q1672" s="29"/>
      <c r="R1672" s="29"/>
      <c r="S1672" s="33"/>
    </row>
    <row r="1673" spans="1:19" ht="15.6" thickTop="1" thickBot="1" x14ac:dyDescent="0.35">
      <c r="A1673" s="39"/>
      <c r="B1673" s="31"/>
      <c r="C1673" s="31"/>
      <c r="D1673" s="31"/>
      <c r="E1673" s="31"/>
      <c r="F1673" s="31"/>
      <c r="G1673" s="31"/>
      <c r="H1673" s="31"/>
      <c r="I1673" s="31"/>
      <c r="J1673" s="31"/>
      <c r="K1673" s="31"/>
      <c r="L1673" s="31"/>
      <c r="M1673" s="31"/>
      <c r="N1673" s="31"/>
      <c r="O1673" s="32"/>
      <c r="P1673" s="31"/>
      <c r="Q1673" s="31"/>
      <c r="R1673" s="31"/>
      <c r="S1673" s="34"/>
    </row>
    <row r="1674" spans="1:19" ht="15.6" thickTop="1" thickBot="1" x14ac:dyDescent="0.35">
      <c r="A1674" s="39"/>
      <c r="B1674" s="29"/>
      <c r="C1674" s="29"/>
      <c r="D1674" s="29"/>
      <c r="E1674" s="29"/>
      <c r="F1674" s="29"/>
      <c r="G1674" s="29"/>
      <c r="H1674" s="29"/>
      <c r="I1674" s="29"/>
      <c r="J1674" s="29"/>
      <c r="K1674" s="29"/>
      <c r="L1674" s="29"/>
      <c r="M1674" s="29"/>
      <c r="N1674" s="29"/>
      <c r="O1674" s="30"/>
      <c r="P1674" s="29"/>
      <c r="Q1674" s="29"/>
      <c r="R1674" s="29"/>
      <c r="S1674" s="33"/>
    </row>
    <row r="1675" spans="1:19" ht="15.6" thickTop="1" thickBot="1" x14ac:dyDescent="0.35">
      <c r="A1675" s="39"/>
      <c r="B1675" s="31"/>
      <c r="C1675" s="31"/>
      <c r="D1675" s="31"/>
      <c r="E1675" s="31"/>
      <c r="F1675" s="31"/>
      <c r="G1675" s="31"/>
      <c r="H1675" s="31"/>
      <c r="I1675" s="31"/>
      <c r="J1675" s="31"/>
      <c r="K1675" s="31"/>
      <c r="L1675" s="31"/>
      <c r="M1675" s="31"/>
      <c r="N1675" s="31"/>
      <c r="O1675" s="32"/>
      <c r="P1675" s="31"/>
      <c r="Q1675" s="31"/>
      <c r="R1675" s="31"/>
      <c r="S1675" s="34"/>
    </row>
    <row r="1676" spans="1:19" ht="15.6" thickTop="1" thickBot="1" x14ac:dyDescent="0.35">
      <c r="A1676" s="39"/>
      <c r="B1676" s="29"/>
      <c r="C1676" s="29"/>
      <c r="D1676" s="29"/>
      <c r="E1676" s="29"/>
      <c r="F1676" s="29"/>
      <c r="G1676" s="29"/>
      <c r="H1676" s="29"/>
      <c r="I1676" s="29"/>
      <c r="J1676" s="29"/>
      <c r="K1676" s="29"/>
      <c r="L1676" s="29"/>
      <c r="M1676" s="29"/>
      <c r="N1676" s="29"/>
      <c r="O1676" s="30"/>
      <c r="P1676" s="29"/>
      <c r="Q1676" s="29"/>
      <c r="R1676" s="29"/>
      <c r="S1676" s="33"/>
    </row>
    <row r="1677" spans="1:19" ht="15.6" thickTop="1" thickBot="1" x14ac:dyDescent="0.35">
      <c r="A1677" s="39"/>
      <c r="B1677" s="31"/>
      <c r="C1677" s="31"/>
      <c r="D1677" s="31"/>
      <c r="E1677" s="31"/>
      <c r="F1677" s="31"/>
      <c r="G1677" s="31"/>
      <c r="H1677" s="31"/>
      <c r="I1677" s="31"/>
      <c r="J1677" s="31"/>
      <c r="K1677" s="31"/>
      <c r="L1677" s="31"/>
      <c r="M1677" s="31"/>
      <c r="N1677" s="31"/>
      <c r="O1677" s="32"/>
      <c r="P1677" s="31"/>
      <c r="Q1677" s="31"/>
      <c r="R1677" s="31"/>
      <c r="S1677" s="34"/>
    </row>
    <row r="1678" spans="1:19" ht="15.6" thickTop="1" thickBot="1" x14ac:dyDescent="0.35">
      <c r="A1678" s="39"/>
      <c r="B1678" s="29"/>
      <c r="C1678" s="29"/>
      <c r="D1678" s="29"/>
      <c r="E1678" s="29"/>
      <c r="F1678" s="29"/>
      <c r="G1678" s="29"/>
      <c r="H1678" s="29"/>
      <c r="I1678" s="29"/>
      <c r="J1678" s="29"/>
      <c r="K1678" s="29"/>
      <c r="L1678" s="29"/>
      <c r="M1678" s="29"/>
      <c r="N1678" s="29"/>
      <c r="O1678" s="30"/>
      <c r="P1678" s="29"/>
      <c r="Q1678" s="29"/>
      <c r="R1678" s="29"/>
      <c r="S1678" s="33"/>
    </row>
    <row r="1679" spans="1:19" ht="15.6" thickTop="1" thickBot="1" x14ac:dyDescent="0.35">
      <c r="A1679" s="39"/>
      <c r="B1679" s="31"/>
      <c r="C1679" s="31"/>
      <c r="D1679" s="31"/>
      <c r="E1679" s="31"/>
      <c r="F1679" s="31"/>
      <c r="G1679" s="31"/>
      <c r="H1679" s="31"/>
      <c r="I1679" s="31"/>
      <c r="J1679" s="31"/>
      <c r="K1679" s="31"/>
      <c r="L1679" s="31"/>
      <c r="M1679" s="31"/>
      <c r="N1679" s="31"/>
      <c r="O1679" s="32"/>
      <c r="P1679" s="31"/>
      <c r="Q1679" s="31"/>
      <c r="R1679" s="31"/>
      <c r="S1679" s="34"/>
    </row>
    <row r="1680" spans="1:19" ht="15.6" thickTop="1" thickBot="1" x14ac:dyDescent="0.35">
      <c r="A1680" s="39"/>
      <c r="B1680" s="29"/>
      <c r="C1680" s="29"/>
      <c r="D1680" s="29"/>
      <c r="E1680" s="29"/>
      <c r="F1680" s="29"/>
      <c r="G1680" s="29"/>
      <c r="H1680" s="29"/>
      <c r="I1680" s="29"/>
      <c r="J1680" s="29"/>
      <c r="K1680" s="29"/>
      <c r="L1680" s="29"/>
      <c r="M1680" s="29"/>
      <c r="N1680" s="29"/>
      <c r="O1680" s="30"/>
      <c r="P1680" s="29"/>
      <c r="Q1680" s="29"/>
      <c r="R1680" s="29"/>
      <c r="S1680" s="33"/>
    </row>
    <row r="1681" spans="1:19" ht="15.6" thickTop="1" thickBot="1" x14ac:dyDescent="0.35">
      <c r="A1681" s="39"/>
      <c r="B1681" s="31"/>
      <c r="C1681" s="31"/>
      <c r="D1681" s="31"/>
      <c r="E1681" s="31"/>
      <c r="F1681" s="31"/>
      <c r="G1681" s="31"/>
      <c r="H1681" s="31"/>
      <c r="I1681" s="31"/>
      <c r="J1681" s="31"/>
      <c r="K1681" s="31"/>
      <c r="L1681" s="31"/>
      <c r="M1681" s="31"/>
      <c r="N1681" s="31"/>
      <c r="O1681" s="32"/>
      <c r="P1681" s="31"/>
      <c r="Q1681" s="31"/>
      <c r="R1681" s="31"/>
      <c r="S1681" s="34"/>
    </row>
    <row r="1682" spans="1:19" ht="15.6" thickTop="1" thickBot="1" x14ac:dyDescent="0.35">
      <c r="A1682" s="39"/>
      <c r="B1682" s="29"/>
      <c r="C1682" s="29"/>
      <c r="D1682" s="29"/>
      <c r="E1682" s="29"/>
      <c r="F1682" s="29"/>
      <c r="G1682" s="29"/>
      <c r="H1682" s="29"/>
      <c r="I1682" s="29"/>
      <c r="J1682" s="29"/>
      <c r="K1682" s="29"/>
      <c r="L1682" s="29"/>
      <c r="M1682" s="29"/>
      <c r="N1682" s="29"/>
      <c r="O1682" s="30"/>
      <c r="P1682" s="29"/>
      <c r="Q1682" s="29"/>
      <c r="R1682" s="29"/>
      <c r="S1682" s="33"/>
    </row>
    <row r="1683" spans="1:19" ht="15.6" thickTop="1" thickBot="1" x14ac:dyDescent="0.35">
      <c r="A1683" s="39"/>
      <c r="B1683" s="31"/>
      <c r="C1683" s="31"/>
      <c r="D1683" s="31"/>
      <c r="E1683" s="31"/>
      <c r="F1683" s="31"/>
      <c r="G1683" s="31"/>
      <c r="H1683" s="31"/>
      <c r="I1683" s="31"/>
      <c r="J1683" s="31"/>
      <c r="K1683" s="31"/>
      <c r="L1683" s="31"/>
      <c r="M1683" s="31"/>
      <c r="N1683" s="31"/>
      <c r="O1683" s="32"/>
      <c r="P1683" s="31"/>
      <c r="Q1683" s="31"/>
      <c r="R1683" s="31"/>
      <c r="S1683" s="34"/>
    </row>
    <row r="1684" spans="1:19" ht="15.6" thickTop="1" thickBot="1" x14ac:dyDescent="0.35">
      <c r="A1684" s="39"/>
      <c r="B1684" s="29"/>
      <c r="C1684" s="29"/>
      <c r="D1684" s="29"/>
      <c r="E1684" s="29"/>
      <c r="F1684" s="29"/>
      <c r="G1684" s="29"/>
      <c r="H1684" s="29"/>
      <c r="I1684" s="29"/>
      <c r="J1684" s="29"/>
      <c r="K1684" s="29"/>
      <c r="L1684" s="29"/>
      <c r="M1684" s="29"/>
      <c r="N1684" s="29"/>
      <c r="O1684" s="30"/>
      <c r="P1684" s="29"/>
      <c r="Q1684" s="29"/>
      <c r="R1684" s="29"/>
      <c r="S1684" s="33"/>
    </row>
    <row r="1685" spans="1:19" ht="15.6" thickTop="1" thickBot="1" x14ac:dyDescent="0.35">
      <c r="A1685" s="39"/>
      <c r="B1685" s="31"/>
      <c r="C1685" s="31"/>
      <c r="D1685" s="31"/>
      <c r="E1685" s="31"/>
      <c r="F1685" s="31"/>
      <c r="G1685" s="31"/>
      <c r="H1685" s="31"/>
      <c r="I1685" s="31"/>
      <c r="J1685" s="31"/>
      <c r="K1685" s="31"/>
      <c r="L1685" s="31"/>
      <c r="M1685" s="31"/>
      <c r="N1685" s="31"/>
      <c r="O1685" s="32"/>
      <c r="P1685" s="31"/>
      <c r="Q1685" s="31"/>
      <c r="R1685" s="31"/>
      <c r="S1685" s="34"/>
    </row>
    <row r="1686" spans="1:19" ht="15.6" thickTop="1" thickBot="1" x14ac:dyDescent="0.35">
      <c r="A1686" s="39"/>
      <c r="B1686" s="29"/>
      <c r="C1686" s="29"/>
      <c r="D1686" s="29"/>
      <c r="E1686" s="29"/>
      <c r="F1686" s="29"/>
      <c r="G1686" s="29"/>
      <c r="H1686" s="29"/>
      <c r="I1686" s="29"/>
      <c r="J1686" s="29"/>
      <c r="K1686" s="29"/>
      <c r="L1686" s="29"/>
      <c r="M1686" s="29"/>
      <c r="N1686" s="29"/>
      <c r="O1686" s="30"/>
      <c r="P1686" s="29"/>
      <c r="Q1686" s="29"/>
      <c r="R1686" s="29"/>
      <c r="S1686" s="33"/>
    </row>
    <row r="1687" spans="1:19" ht="15.6" thickTop="1" thickBot="1" x14ac:dyDescent="0.35">
      <c r="A1687" s="39"/>
      <c r="B1687" s="31"/>
      <c r="C1687" s="31"/>
      <c r="D1687" s="31"/>
      <c r="E1687" s="31"/>
      <c r="F1687" s="31"/>
      <c r="G1687" s="31"/>
      <c r="H1687" s="31"/>
      <c r="I1687" s="31"/>
      <c r="J1687" s="31"/>
      <c r="K1687" s="31"/>
      <c r="L1687" s="31"/>
      <c r="M1687" s="31"/>
      <c r="N1687" s="31"/>
      <c r="O1687" s="32"/>
      <c r="P1687" s="31"/>
      <c r="Q1687" s="31"/>
      <c r="R1687" s="31"/>
      <c r="S1687" s="34"/>
    </row>
    <row r="1688" spans="1:19" ht="15.6" thickTop="1" thickBot="1" x14ac:dyDescent="0.35">
      <c r="A1688" s="39"/>
      <c r="B1688" s="29"/>
      <c r="C1688" s="29"/>
      <c r="D1688" s="29"/>
      <c r="E1688" s="29"/>
      <c r="F1688" s="29"/>
      <c r="G1688" s="29"/>
      <c r="H1688" s="29"/>
      <c r="I1688" s="29"/>
      <c r="J1688" s="29"/>
      <c r="K1688" s="29"/>
      <c r="L1688" s="29"/>
      <c r="M1688" s="29"/>
      <c r="N1688" s="29"/>
      <c r="O1688" s="30"/>
      <c r="P1688" s="29"/>
      <c r="Q1688" s="29"/>
      <c r="R1688" s="29"/>
      <c r="S1688" s="33"/>
    </row>
    <row r="1689" spans="1:19" ht="15.6" thickTop="1" thickBot="1" x14ac:dyDescent="0.35">
      <c r="A1689" s="39"/>
      <c r="B1689" s="31"/>
      <c r="C1689" s="31"/>
      <c r="D1689" s="31"/>
      <c r="E1689" s="31"/>
      <c r="F1689" s="31"/>
      <c r="G1689" s="31"/>
      <c r="H1689" s="31"/>
      <c r="I1689" s="31"/>
      <c r="J1689" s="31"/>
      <c r="K1689" s="31"/>
      <c r="L1689" s="31"/>
      <c r="M1689" s="31"/>
      <c r="N1689" s="31"/>
      <c r="O1689" s="32"/>
      <c r="P1689" s="31"/>
      <c r="Q1689" s="31"/>
      <c r="R1689" s="31"/>
      <c r="S1689" s="34"/>
    </row>
    <row r="1690" spans="1:19" ht="15.6" thickTop="1" thickBot="1" x14ac:dyDescent="0.35">
      <c r="A1690" s="39"/>
      <c r="B1690" s="29"/>
      <c r="C1690" s="29"/>
      <c r="D1690" s="29"/>
      <c r="E1690" s="29"/>
      <c r="F1690" s="29"/>
      <c r="G1690" s="29"/>
      <c r="H1690" s="29"/>
      <c r="I1690" s="29"/>
      <c r="J1690" s="29"/>
      <c r="K1690" s="29"/>
      <c r="L1690" s="29"/>
      <c r="M1690" s="29"/>
      <c r="N1690" s="29"/>
      <c r="O1690" s="30"/>
      <c r="P1690" s="29"/>
      <c r="Q1690" s="29"/>
      <c r="R1690" s="29"/>
      <c r="S1690" s="33"/>
    </row>
    <row r="1691" spans="1:19" ht="15.6" thickTop="1" thickBot="1" x14ac:dyDescent="0.35">
      <c r="A1691" s="39"/>
      <c r="B1691" s="31"/>
      <c r="C1691" s="31"/>
      <c r="D1691" s="31"/>
      <c r="E1691" s="31"/>
      <c r="F1691" s="31"/>
      <c r="G1691" s="31"/>
      <c r="H1691" s="31"/>
      <c r="I1691" s="31"/>
      <c r="J1691" s="31"/>
      <c r="K1691" s="31"/>
      <c r="L1691" s="31"/>
      <c r="M1691" s="31"/>
      <c r="N1691" s="31"/>
      <c r="O1691" s="32"/>
      <c r="P1691" s="31"/>
      <c r="Q1691" s="31"/>
      <c r="R1691" s="31"/>
      <c r="S1691" s="34"/>
    </row>
    <row r="1692" spans="1:19" ht="15.6" thickTop="1" thickBot="1" x14ac:dyDescent="0.35">
      <c r="A1692" s="39"/>
      <c r="B1692" s="29"/>
      <c r="C1692" s="29"/>
      <c r="D1692" s="29"/>
      <c r="E1692" s="29"/>
      <c r="F1692" s="29"/>
      <c r="G1692" s="29"/>
      <c r="H1692" s="29"/>
      <c r="I1692" s="29"/>
      <c r="J1692" s="29"/>
      <c r="K1692" s="29"/>
      <c r="L1692" s="29"/>
      <c r="M1692" s="29"/>
      <c r="N1692" s="29"/>
      <c r="O1692" s="30"/>
      <c r="P1692" s="29"/>
      <c r="Q1692" s="29"/>
      <c r="R1692" s="29"/>
      <c r="S1692" s="33"/>
    </row>
    <row r="1693" spans="1:19" ht="15.6" thickTop="1" thickBot="1" x14ac:dyDescent="0.35">
      <c r="A1693" s="39"/>
      <c r="B1693" s="31"/>
      <c r="C1693" s="31"/>
      <c r="D1693" s="31"/>
      <c r="E1693" s="31"/>
      <c r="F1693" s="31"/>
      <c r="G1693" s="31"/>
      <c r="H1693" s="31"/>
      <c r="I1693" s="31"/>
      <c r="J1693" s="31"/>
      <c r="K1693" s="31"/>
      <c r="L1693" s="31"/>
      <c r="M1693" s="31"/>
      <c r="N1693" s="31"/>
      <c r="O1693" s="32"/>
      <c r="P1693" s="31"/>
      <c r="Q1693" s="31"/>
      <c r="R1693" s="31"/>
      <c r="S1693" s="34"/>
    </row>
    <row r="1694" spans="1:19" ht="15.6" thickTop="1" thickBot="1" x14ac:dyDescent="0.35">
      <c r="A1694" s="39"/>
      <c r="B1694" s="29"/>
      <c r="C1694" s="29"/>
      <c r="D1694" s="29"/>
      <c r="E1694" s="29"/>
      <c r="F1694" s="29"/>
      <c r="G1694" s="29"/>
      <c r="H1694" s="29"/>
      <c r="I1694" s="29"/>
      <c r="J1694" s="29"/>
      <c r="K1694" s="29"/>
      <c r="L1694" s="29"/>
      <c r="M1694" s="29"/>
      <c r="N1694" s="29"/>
      <c r="O1694" s="30"/>
      <c r="P1694" s="29"/>
      <c r="Q1694" s="29"/>
      <c r="R1694" s="29"/>
      <c r="S1694" s="33"/>
    </row>
    <row r="1695" spans="1:19" ht="15.6" thickTop="1" thickBot="1" x14ac:dyDescent="0.35">
      <c r="A1695" s="39"/>
      <c r="B1695" s="31"/>
      <c r="C1695" s="31"/>
      <c r="D1695" s="31"/>
      <c r="E1695" s="31"/>
      <c r="F1695" s="31"/>
      <c r="G1695" s="31"/>
      <c r="H1695" s="31"/>
      <c r="I1695" s="31"/>
      <c r="J1695" s="31"/>
      <c r="K1695" s="31"/>
      <c r="L1695" s="31"/>
      <c r="M1695" s="31"/>
      <c r="N1695" s="31"/>
      <c r="O1695" s="32"/>
      <c r="P1695" s="31"/>
      <c r="Q1695" s="31"/>
      <c r="R1695" s="31"/>
      <c r="S1695" s="34"/>
    </row>
    <row r="1696" spans="1:19" ht="15.6" thickTop="1" thickBot="1" x14ac:dyDescent="0.35">
      <c r="A1696" s="39"/>
      <c r="B1696" s="29"/>
      <c r="C1696" s="29"/>
      <c r="D1696" s="29"/>
      <c r="E1696" s="29"/>
      <c r="F1696" s="29"/>
      <c r="G1696" s="29"/>
      <c r="H1696" s="29"/>
      <c r="I1696" s="29"/>
      <c r="J1696" s="29"/>
      <c r="K1696" s="29"/>
      <c r="L1696" s="29"/>
      <c r="M1696" s="29"/>
      <c r="N1696" s="29"/>
      <c r="O1696" s="30"/>
      <c r="P1696" s="29"/>
      <c r="Q1696" s="29"/>
      <c r="R1696" s="29"/>
      <c r="S1696" s="33"/>
    </row>
    <row r="1697" spans="1:19" ht="15.6" thickTop="1" thickBot="1" x14ac:dyDescent="0.35">
      <c r="A1697" s="39"/>
      <c r="B1697" s="31"/>
      <c r="C1697" s="31"/>
      <c r="D1697" s="31"/>
      <c r="E1697" s="31"/>
      <c r="F1697" s="31"/>
      <c r="G1697" s="31"/>
      <c r="H1697" s="31"/>
      <c r="I1697" s="31"/>
      <c r="J1697" s="31"/>
      <c r="K1697" s="31"/>
      <c r="L1697" s="31"/>
      <c r="M1697" s="31"/>
      <c r="N1697" s="31"/>
      <c r="O1697" s="32"/>
      <c r="P1697" s="31"/>
      <c r="Q1697" s="31"/>
      <c r="R1697" s="31"/>
      <c r="S1697" s="34"/>
    </row>
    <row r="1698" spans="1:19" ht="15.6" thickTop="1" thickBot="1" x14ac:dyDescent="0.35">
      <c r="A1698" s="39"/>
      <c r="B1698" s="29"/>
      <c r="C1698" s="29"/>
      <c r="D1698" s="29"/>
      <c r="E1698" s="29"/>
      <c r="F1698" s="29"/>
      <c r="G1698" s="29"/>
      <c r="H1698" s="29"/>
      <c r="I1698" s="29"/>
      <c r="J1698" s="29"/>
      <c r="K1698" s="29"/>
      <c r="L1698" s="29"/>
      <c r="M1698" s="29"/>
      <c r="N1698" s="29"/>
      <c r="O1698" s="30"/>
      <c r="P1698" s="29"/>
      <c r="Q1698" s="29"/>
      <c r="R1698" s="29"/>
      <c r="S1698" s="33"/>
    </row>
    <row r="1699" spans="1:19" ht="15.6" thickTop="1" thickBot="1" x14ac:dyDescent="0.35">
      <c r="A1699" s="39"/>
      <c r="B1699" s="31"/>
      <c r="C1699" s="31"/>
      <c r="D1699" s="31"/>
      <c r="E1699" s="31"/>
      <c r="F1699" s="31"/>
      <c r="G1699" s="31"/>
      <c r="H1699" s="31"/>
      <c r="I1699" s="31"/>
      <c r="J1699" s="31"/>
      <c r="K1699" s="31"/>
      <c r="L1699" s="31"/>
      <c r="M1699" s="31"/>
      <c r="N1699" s="31"/>
      <c r="O1699" s="32"/>
      <c r="P1699" s="31"/>
      <c r="Q1699" s="31"/>
      <c r="R1699" s="31"/>
      <c r="S1699" s="34"/>
    </row>
    <row r="1700" spans="1:19" ht="15.6" thickTop="1" thickBot="1" x14ac:dyDescent="0.35">
      <c r="A1700" s="39"/>
      <c r="B1700" s="29"/>
      <c r="C1700" s="29"/>
      <c r="D1700" s="29"/>
      <c r="E1700" s="29"/>
      <c r="F1700" s="29"/>
      <c r="G1700" s="29"/>
      <c r="H1700" s="29"/>
      <c r="I1700" s="29"/>
      <c r="J1700" s="29"/>
      <c r="K1700" s="29"/>
      <c r="L1700" s="29"/>
      <c r="M1700" s="29"/>
      <c r="N1700" s="29"/>
      <c r="O1700" s="30"/>
      <c r="P1700" s="29"/>
      <c r="Q1700" s="29"/>
      <c r="R1700" s="29"/>
      <c r="S1700" s="33"/>
    </row>
    <row r="1701" spans="1:19" ht="15.6" thickTop="1" thickBot="1" x14ac:dyDescent="0.35">
      <c r="A1701" s="39"/>
      <c r="B1701" s="31"/>
      <c r="C1701" s="31"/>
      <c r="D1701" s="31"/>
      <c r="E1701" s="31"/>
      <c r="F1701" s="31"/>
      <c r="G1701" s="31"/>
      <c r="H1701" s="31"/>
      <c r="I1701" s="31"/>
      <c r="J1701" s="31"/>
      <c r="K1701" s="31"/>
      <c r="L1701" s="31"/>
      <c r="M1701" s="31"/>
      <c r="N1701" s="31"/>
      <c r="O1701" s="32"/>
      <c r="P1701" s="31"/>
      <c r="Q1701" s="31"/>
      <c r="R1701" s="31"/>
      <c r="S1701" s="34"/>
    </row>
    <row r="1702" spans="1:19" ht="15.6" thickTop="1" thickBot="1" x14ac:dyDescent="0.35">
      <c r="A1702" s="39"/>
      <c r="B1702" s="29"/>
      <c r="C1702" s="29"/>
      <c r="D1702" s="29"/>
      <c r="E1702" s="29"/>
      <c r="F1702" s="29"/>
      <c r="G1702" s="29"/>
      <c r="H1702" s="29"/>
      <c r="I1702" s="29"/>
      <c r="J1702" s="29"/>
      <c r="K1702" s="29"/>
      <c r="L1702" s="29"/>
      <c r="M1702" s="29"/>
      <c r="N1702" s="29"/>
      <c r="O1702" s="30"/>
      <c r="P1702" s="29"/>
      <c r="Q1702" s="29"/>
      <c r="R1702" s="29"/>
      <c r="S1702" s="33"/>
    </row>
    <row r="1703" spans="1:19" ht="15.6" thickTop="1" thickBot="1" x14ac:dyDescent="0.35">
      <c r="A1703" s="39"/>
      <c r="B1703" s="31"/>
      <c r="C1703" s="31"/>
      <c r="D1703" s="31"/>
      <c r="E1703" s="31"/>
      <c r="F1703" s="31"/>
      <c r="G1703" s="31"/>
      <c r="H1703" s="31"/>
      <c r="I1703" s="31"/>
      <c r="J1703" s="31"/>
      <c r="K1703" s="31"/>
      <c r="L1703" s="31"/>
      <c r="M1703" s="31"/>
      <c r="N1703" s="31"/>
      <c r="O1703" s="32"/>
      <c r="P1703" s="31"/>
      <c r="Q1703" s="31"/>
      <c r="R1703" s="31"/>
      <c r="S1703" s="34"/>
    </row>
    <row r="1704" spans="1:19" ht="15.6" thickTop="1" thickBot="1" x14ac:dyDescent="0.35">
      <c r="A1704" s="39"/>
      <c r="B1704" s="29"/>
      <c r="C1704" s="29"/>
      <c r="D1704" s="29"/>
      <c r="E1704" s="29"/>
      <c r="F1704" s="29"/>
      <c r="G1704" s="29"/>
      <c r="H1704" s="29"/>
      <c r="I1704" s="29"/>
      <c r="J1704" s="29"/>
      <c r="K1704" s="29"/>
      <c r="L1704" s="29"/>
      <c r="M1704" s="29"/>
      <c r="N1704" s="29"/>
      <c r="O1704" s="30"/>
      <c r="P1704" s="29"/>
      <c r="Q1704" s="29"/>
      <c r="R1704" s="29"/>
      <c r="S1704" s="33"/>
    </row>
    <row r="1705" spans="1:19" ht="15.6" thickTop="1" thickBot="1" x14ac:dyDescent="0.35">
      <c r="A1705" s="39"/>
      <c r="B1705" s="31"/>
      <c r="C1705" s="31"/>
      <c r="D1705" s="31"/>
      <c r="E1705" s="31"/>
      <c r="F1705" s="31"/>
      <c r="G1705" s="31"/>
      <c r="H1705" s="31"/>
      <c r="I1705" s="31"/>
      <c r="J1705" s="31"/>
      <c r="K1705" s="31"/>
      <c r="L1705" s="31"/>
      <c r="M1705" s="31"/>
      <c r="N1705" s="31"/>
      <c r="O1705" s="32"/>
      <c r="P1705" s="31"/>
      <c r="Q1705" s="31"/>
      <c r="R1705" s="31"/>
      <c r="S1705" s="34"/>
    </row>
    <row r="1706" spans="1:19" ht="15.6" thickTop="1" thickBot="1" x14ac:dyDescent="0.35">
      <c r="A1706" s="39"/>
      <c r="B1706" s="29"/>
      <c r="C1706" s="29"/>
      <c r="D1706" s="29"/>
      <c r="E1706" s="29"/>
      <c r="F1706" s="29"/>
      <c r="G1706" s="29"/>
      <c r="H1706" s="29"/>
      <c r="I1706" s="29"/>
      <c r="J1706" s="29"/>
      <c r="K1706" s="29"/>
      <c r="L1706" s="29"/>
      <c r="M1706" s="29"/>
      <c r="N1706" s="29"/>
      <c r="O1706" s="30"/>
      <c r="P1706" s="29"/>
      <c r="Q1706" s="29"/>
      <c r="R1706" s="29"/>
      <c r="S1706" s="33"/>
    </row>
    <row r="1707" spans="1:19" ht="15.6" thickTop="1" thickBot="1" x14ac:dyDescent="0.35">
      <c r="A1707" s="39"/>
      <c r="B1707" s="31"/>
      <c r="C1707" s="31"/>
      <c r="D1707" s="31"/>
      <c r="E1707" s="31"/>
      <c r="F1707" s="31"/>
      <c r="G1707" s="31"/>
      <c r="H1707" s="31"/>
      <c r="I1707" s="31"/>
      <c r="J1707" s="31"/>
      <c r="K1707" s="31"/>
      <c r="L1707" s="31"/>
      <c r="M1707" s="31"/>
      <c r="N1707" s="31"/>
      <c r="O1707" s="32"/>
      <c r="P1707" s="31"/>
      <c r="Q1707" s="31"/>
      <c r="R1707" s="31"/>
      <c r="S1707" s="34"/>
    </row>
    <row r="1708" spans="1:19" ht="15.6" thickTop="1" thickBot="1" x14ac:dyDescent="0.35">
      <c r="A1708" s="39"/>
      <c r="B1708" s="29"/>
      <c r="C1708" s="29"/>
      <c r="D1708" s="29"/>
      <c r="E1708" s="29"/>
      <c r="F1708" s="29"/>
      <c r="G1708" s="29"/>
      <c r="H1708" s="29"/>
      <c r="I1708" s="29"/>
      <c r="J1708" s="29"/>
      <c r="K1708" s="29"/>
      <c r="L1708" s="29"/>
      <c r="M1708" s="29"/>
      <c r="N1708" s="29"/>
      <c r="O1708" s="30"/>
      <c r="P1708" s="29"/>
      <c r="Q1708" s="29"/>
      <c r="R1708" s="29"/>
      <c r="S1708" s="33"/>
    </row>
    <row r="1709" spans="1:19" ht="15.6" thickTop="1" thickBot="1" x14ac:dyDescent="0.35">
      <c r="A1709" s="39"/>
      <c r="B1709" s="31"/>
      <c r="C1709" s="31"/>
      <c r="D1709" s="31"/>
      <c r="E1709" s="31"/>
      <c r="F1709" s="31"/>
      <c r="G1709" s="31"/>
      <c r="H1709" s="31"/>
      <c r="I1709" s="31"/>
      <c r="J1709" s="31"/>
      <c r="K1709" s="31"/>
      <c r="L1709" s="31"/>
      <c r="M1709" s="31"/>
      <c r="N1709" s="31"/>
      <c r="O1709" s="32"/>
      <c r="P1709" s="31"/>
      <c r="Q1709" s="31"/>
      <c r="R1709" s="31"/>
      <c r="S1709" s="34"/>
    </row>
    <row r="1710" spans="1:19" ht="15.6" thickTop="1" thickBot="1" x14ac:dyDescent="0.35">
      <c r="A1710" s="39"/>
      <c r="B1710" s="29"/>
      <c r="C1710" s="29"/>
      <c r="D1710" s="29"/>
      <c r="E1710" s="29"/>
      <c r="F1710" s="29"/>
      <c r="G1710" s="29"/>
      <c r="H1710" s="29"/>
      <c r="I1710" s="29"/>
      <c r="J1710" s="29"/>
      <c r="K1710" s="29"/>
      <c r="L1710" s="29"/>
      <c r="M1710" s="29"/>
      <c r="N1710" s="29"/>
      <c r="O1710" s="30"/>
      <c r="P1710" s="29"/>
      <c r="Q1710" s="29"/>
      <c r="R1710" s="29"/>
      <c r="S1710" s="33"/>
    </row>
    <row r="1711" spans="1:19" ht="15.6" thickTop="1" thickBot="1" x14ac:dyDescent="0.35">
      <c r="A1711" s="39"/>
      <c r="B1711" s="31"/>
      <c r="C1711" s="31"/>
      <c r="D1711" s="31"/>
      <c r="E1711" s="31"/>
      <c r="F1711" s="31"/>
      <c r="G1711" s="31"/>
      <c r="H1711" s="31"/>
      <c r="I1711" s="31"/>
      <c r="J1711" s="31"/>
      <c r="K1711" s="31"/>
      <c r="L1711" s="31"/>
      <c r="M1711" s="31"/>
      <c r="N1711" s="31"/>
      <c r="O1711" s="32"/>
      <c r="P1711" s="31"/>
      <c r="Q1711" s="31"/>
      <c r="R1711" s="31"/>
      <c r="S1711" s="34"/>
    </row>
    <row r="1712" spans="1:19" ht="15.6" thickTop="1" thickBot="1" x14ac:dyDescent="0.35">
      <c r="A1712" s="39"/>
      <c r="B1712" s="29"/>
      <c r="C1712" s="29"/>
      <c r="D1712" s="29"/>
      <c r="E1712" s="29"/>
      <c r="F1712" s="29"/>
      <c r="G1712" s="29"/>
      <c r="H1712" s="29"/>
      <c r="I1712" s="29"/>
      <c r="J1712" s="29"/>
      <c r="K1712" s="29"/>
      <c r="L1712" s="29"/>
      <c r="M1712" s="29"/>
      <c r="N1712" s="29"/>
      <c r="O1712" s="30"/>
      <c r="P1712" s="29"/>
      <c r="Q1712" s="29"/>
      <c r="R1712" s="29"/>
      <c r="S1712" s="33"/>
    </row>
    <row r="1713" spans="1:19" ht="15.6" thickTop="1" thickBot="1" x14ac:dyDescent="0.35">
      <c r="A1713" s="39"/>
      <c r="B1713" s="31"/>
      <c r="C1713" s="31"/>
      <c r="D1713" s="31"/>
      <c r="E1713" s="31"/>
      <c r="F1713" s="31"/>
      <c r="G1713" s="31"/>
      <c r="H1713" s="31"/>
      <c r="I1713" s="31"/>
      <c r="J1713" s="31"/>
      <c r="K1713" s="31"/>
      <c r="L1713" s="31"/>
      <c r="M1713" s="31"/>
      <c r="N1713" s="31"/>
      <c r="O1713" s="32"/>
      <c r="P1713" s="31"/>
      <c r="Q1713" s="31"/>
      <c r="R1713" s="31"/>
      <c r="S1713" s="34"/>
    </row>
    <row r="1714" spans="1:19" ht="15.6" thickTop="1" thickBot="1" x14ac:dyDescent="0.35">
      <c r="A1714" s="39"/>
      <c r="B1714" s="29"/>
      <c r="C1714" s="29"/>
      <c r="D1714" s="29"/>
      <c r="E1714" s="29"/>
      <c r="F1714" s="29"/>
      <c r="G1714" s="29"/>
      <c r="H1714" s="29"/>
      <c r="I1714" s="29"/>
      <c r="J1714" s="29"/>
      <c r="K1714" s="29"/>
      <c r="L1714" s="29"/>
      <c r="M1714" s="29"/>
      <c r="N1714" s="29"/>
      <c r="O1714" s="30"/>
      <c r="P1714" s="29"/>
      <c r="Q1714" s="29"/>
      <c r="R1714" s="29"/>
      <c r="S1714" s="33"/>
    </row>
    <row r="1715" spans="1:19" ht="15.6" thickTop="1" thickBot="1" x14ac:dyDescent="0.35">
      <c r="A1715" s="39"/>
      <c r="B1715" s="31"/>
      <c r="C1715" s="31"/>
      <c r="D1715" s="31"/>
      <c r="E1715" s="31"/>
      <c r="F1715" s="31"/>
      <c r="G1715" s="31"/>
      <c r="H1715" s="31"/>
      <c r="I1715" s="31"/>
      <c r="J1715" s="31"/>
      <c r="K1715" s="31"/>
      <c r="L1715" s="31"/>
      <c r="M1715" s="31"/>
      <c r="N1715" s="31"/>
      <c r="O1715" s="32"/>
      <c r="P1715" s="31"/>
      <c r="Q1715" s="31"/>
      <c r="R1715" s="31"/>
      <c r="S1715" s="34"/>
    </row>
    <row r="1716" spans="1:19" ht="15.6" thickTop="1" thickBot="1" x14ac:dyDescent="0.35">
      <c r="A1716" s="39"/>
      <c r="B1716" s="29"/>
      <c r="C1716" s="29"/>
      <c r="D1716" s="29"/>
      <c r="E1716" s="29"/>
      <c r="F1716" s="29"/>
      <c r="G1716" s="29"/>
      <c r="H1716" s="29"/>
      <c r="I1716" s="29"/>
      <c r="J1716" s="29"/>
      <c r="K1716" s="29"/>
      <c r="L1716" s="29"/>
      <c r="M1716" s="29"/>
      <c r="N1716" s="29"/>
      <c r="O1716" s="30"/>
      <c r="P1716" s="29"/>
      <c r="Q1716" s="29"/>
      <c r="R1716" s="29"/>
      <c r="S1716" s="33"/>
    </row>
    <row r="1717" spans="1:19" ht="15.6" thickTop="1" thickBot="1" x14ac:dyDescent="0.35">
      <c r="A1717" s="39"/>
      <c r="B1717" s="31"/>
      <c r="C1717" s="31"/>
      <c r="D1717" s="31"/>
      <c r="E1717" s="31"/>
      <c r="F1717" s="31"/>
      <c r="G1717" s="31"/>
      <c r="H1717" s="31"/>
      <c r="I1717" s="31"/>
      <c r="J1717" s="31"/>
      <c r="K1717" s="31"/>
      <c r="L1717" s="31"/>
      <c r="M1717" s="31"/>
      <c r="N1717" s="31"/>
      <c r="O1717" s="32"/>
      <c r="P1717" s="31"/>
      <c r="Q1717" s="31"/>
      <c r="R1717" s="31"/>
      <c r="S1717" s="34"/>
    </row>
    <row r="1718" spans="1:19" ht="15.6" thickTop="1" thickBot="1" x14ac:dyDescent="0.35">
      <c r="A1718" s="39"/>
      <c r="B1718" s="29"/>
      <c r="C1718" s="29"/>
      <c r="D1718" s="29"/>
      <c r="E1718" s="29"/>
      <c r="F1718" s="29"/>
      <c r="G1718" s="29"/>
      <c r="H1718" s="29"/>
      <c r="I1718" s="29"/>
      <c r="J1718" s="29"/>
      <c r="K1718" s="29"/>
      <c r="L1718" s="29"/>
      <c r="M1718" s="29"/>
      <c r="N1718" s="29"/>
      <c r="O1718" s="30"/>
      <c r="P1718" s="29"/>
      <c r="Q1718" s="29"/>
      <c r="R1718" s="29"/>
      <c r="S1718" s="33"/>
    </row>
    <row r="1719" spans="1:19" ht="15.6" thickTop="1" thickBot="1" x14ac:dyDescent="0.35">
      <c r="A1719" s="39"/>
      <c r="B1719" s="31"/>
      <c r="C1719" s="31"/>
      <c r="D1719" s="31"/>
      <c r="E1719" s="31"/>
      <c r="F1719" s="31"/>
      <c r="G1719" s="31"/>
      <c r="H1719" s="31"/>
      <c r="I1719" s="31"/>
      <c r="J1719" s="31"/>
      <c r="K1719" s="31"/>
      <c r="L1719" s="31"/>
      <c r="M1719" s="31"/>
      <c r="N1719" s="31"/>
      <c r="O1719" s="32"/>
      <c r="P1719" s="31"/>
      <c r="Q1719" s="31"/>
      <c r="R1719" s="31"/>
      <c r="S1719" s="34"/>
    </row>
    <row r="1720" spans="1:19" ht="15.6" thickTop="1" thickBot="1" x14ac:dyDescent="0.35">
      <c r="A1720" s="39"/>
      <c r="B1720" s="29"/>
      <c r="C1720" s="29"/>
      <c r="D1720" s="29"/>
      <c r="E1720" s="29"/>
      <c r="F1720" s="29"/>
      <c r="G1720" s="29"/>
      <c r="H1720" s="29"/>
      <c r="I1720" s="29"/>
      <c r="J1720" s="29"/>
      <c r="K1720" s="29"/>
      <c r="L1720" s="29"/>
      <c r="M1720" s="29"/>
      <c r="N1720" s="29"/>
      <c r="O1720" s="30"/>
      <c r="P1720" s="29"/>
      <c r="Q1720" s="29"/>
      <c r="R1720" s="29"/>
      <c r="S1720" s="33"/>
    </row>
    <row r="1721" spans="1:19" ht="15.6" thickTop="1" thickBot="1" x14ac:dyDescent="0.35">
      <c r="A1721" s="39"/>
      <c r="B1721" s="31"/>
      <c r="C1721" s="31"/>
      <c r="D1721" s="31"/>
      <c r="E1721" s="31"/>
      <c r="F1721" s="31"/>
      <c r="G1721" s="31"/>
      <c r="H1721" s="31"/>
      <c r="I1721" s="31"/>
      <c r="J1721" s="31"/>
      <c r="K1721" s="31"/>
      <c r="L1721" s="31"/>
      <c r="M1721" s="31"/>
      <c r="N1721" s="31"/>
      <c r="O1721" s="32"/>
      <c r="P1721" s="31"/>
      <c r="Q1721" s="31"/>
      <c r="R1721" s="31"/>
      <c r="S1721" s="34"/>
    </row>
    <row r="1722" spans="1:19" ht="15.6" thickTop="1" thickBot="1" x14ac:dyDescent="0.35">
      <c r="A1722" s="39"/>
      <c r="B1722" s="29"/>
      <c r="C1722" s="29"/>
      <c r="D1722" s="29"/>
      <c r="E1722" s="29"/>
      <c r="F1722" s="29"/>
      <c r="G1722" s="29"/>
      <c r="H1722" s="29"/>
      <c r="I1722" s="29"/>
      <c r="J1722" s="29"/>
      <c r="K1722" s="29"/>
      <c r="L1722" s="29"/>
      <c r="M1722" s="29"/>
      <c r="N1722" s="29"/>
      <c r="O1722" s="30"/>
      <c r="P1722" s="29"/>
      <c r="Q1722" s="29"/>
      <c r="R1722" s="29"/>
      <c r="S1722" s="33"/>
    </row>
    <row r="1723" spans="1:19" ht="15.6" thickTop="1" thickBot="1" x14ac:dyDescent="0.35">
      <c r="A1723" s="39"/>
      <c r="B1723" s="31"/>
      <c r="C1723" s="31"/>
      <c r="D1723" s="31"/>
      <c r="E1723" s="31"/>
      <c r="F1723" s="31"/>
      <c r="G1723" s="31"/>
      <c r="H1723" s="31"/>
      <c r="I1723" s="31"/>
      <c r="J1723" s="31"/>
      <c r="K1723" s="31"/>
      <c r="L1723" s="31"/>
      <c r="M1723" s="31"/>
      <c r="N1723" s="31"/>
      <c r="O1723" s="32"/>
      <c r="P1723" s="31"/>
      <c r="Q1723" s="31"/>
      <c r="R1723" s="31"/>
      <c r="S1723" s="34"/>
    </row>
    <row r="1724" spans="1:19" ht="15.6" thickTop="1" thickBot="1" x14ac:dyDescent="0.35">
      <c r="A1724" s="39"/>
      <c r="B1724" s="29"/>
      <c r="C1724" s="29"/>
      <c r="D1724" s="29"/>
      <c r="E1724" s="29"/>
      <c r="F1724" s="29"/>
      <c r="G1724" s="29"/>
      <c r="H1724" s="29"/>
      <c r="I1724" s="29"/>
      <c r="J1724" s="29"/>
      <c r="K1724" s="29"/>
      <c r="L1724" s="29"/>
      <c r="M1724" s="29"/>
      <c r="N1724" s="29"/>
      <c r="O1724" s="30"/>
      <c r="P1724" s="29"/>
      <c r="Q1724" s="29"/>
      <c r="R1724" s="29"/>
      <c r="S1724" s="33"/>
    </row>
    <row r="1725" spans="1:19" ht="15.6" thickTop="1" thickBot="1" x14ac:dyDescent="0.35">
      <c r="A1725" s="39"/>
      <c r="B1725" s="31"/>
      <c r="C1725" s="31"/>
      <c r="D1725" s="31"/>
      <c r="E1725" s="31"/>
      <c r="F1725" s="31"/>
      <c r="G1725" s="31"/>
      <c r="H1725" s="31"/>
      <c r="I1725" s="31"/>
      <c r="J1725" s="31"/>
      <c r="K1725" s="31"/>
      <c r="L1725" s="31"/>
      <c r="M1725" s="31"/>
      <c r="N1725" s="31"/>
      <c r="O1725" s="32"/>
      <c r="P1725" s="31"/>
      <c r="Q1725" s="31"/>
      <c r="R1725" s="31"/>
      <c r="S1725" s="34"/>
    </row>
    <row r="1726" spans="1:19" ht="15.6" thickTop="1" thickBot="1" x14ac:dyDescent="0.35">
      <c r="A1726" s="39"/>
      <c r="B1726" s="29"/>
      <c r="C1726" s="29"/>
      <c r="D1726" s="29"/>
      <c r="E1726" s="29"/>
      <c r="F1726" s="29"/>
      <c r="G1726" s="29"/>
      <c r="H1726" s="29"/>
      <c r="I1726" s="29"/>
      <c r="J1726" s="29"/>
      <c r="K1726" s="29"/>
      <c r="L1726" s="29"/>
      <c r="M1726" s="29"/>
      <c r="N1726" s="29"/>
      <c r="O1726" s="30"/>
      <c r="P1726" s="29"/>
      <c r="Q1726" s="29"/>
      <c r="R1726" s="29"/>
      <c r="S1726" s="33"/>
    </row>
    <row r="1727" spans="1:19" ht="15.6" thickTop="1" thickBot="1" x14ac:dyDescent="0.35">
      <c r="A1727" s="39"/>
      <c r="B1727" s="31"/>
      <c r="C1727" s="31"/>
      <c r="D1727" s="31"/>
      <c r="E1727" s="31"/>
      <c r="F1727" s="31"/>
      <c r="G1727" s="31"/>
      <c r="H1727" s="31"/>
      <c r="I1727" s="31"/>
      <c r="J1727" s="31"/>
      <c r="K1727" s="31"/>
      <c r="L1727" s="31"/>
      <c r="M1727" s="31"/>
      <c r="N1727" s="31"/>
      <c r="O1727" s="32"/>
      <c r="P1727" s="31"/>
      <c r="Q1727" s="31"/>
      <c r="R1727" s="31"/>
      <c r="S1727" s="34"/>
    </row>
    <row r="1728" spans="1:19" ht="15.6" thickTop="1" thickBot="1" x14ac:dyDescent="0.35">
      <c r="A1728" s="39"/>
      <c r="B1728" s="29"/>
      <c r="C1728" s="29"/>
      <c r="D1728" s="29"/>
      <c r="E1728" s="29"/>
      <c r="F1728" s="29"/>
      <c r="G1728" s="29"/>
      <c r="H1728" s="29"/>
      <c r="I1728" s="29"/>
      <c r="J1728" s="29"/>
      <c r="K1728" s="29"/>
      <c r="L1728" s="29"/>
      <c r="M1728" s="29"/>
      <c r="N1728" s="29"/>
      <c r="O1728" s="30"/>
      <c r="P1728" s="29"/>
      <c r="Q1728" s="29"/>
      <c r="R1728" s="29"/>
      <c r="S1728" s="33"/>
    </row>
    <row r="1729" spans="1:19" ht="15.6" thickTop="1" thickBot="1" x14ac:dyDescent="0.35">
      <c r="A1729" s="39"/>
      <c r="B1729" s="31"/>
      <c r="C1729" s="31"/>
      <c r="D1729" s="31"/>
      <c r="E1729" s="31"/>
      <c r="F1729" s="31"/>
      <c r="G1729" s="31"/>
      <c r="H1729" s="31"/>
      <c r="I1729" s="31"/>
      <c r="J1729" s="31"/>
      <c r="K1729" s="31"/>
      <c r="L1729" s="31"/>
      <c r="M1729" s="31"/>
      <c r="N1729" s="31"/>
      <c r="O1729" s="32"/>
      <c r="P1729" s="31"/>
      <c r="Q1729" s="31"/>
      <c r="R1729" s="31"/>
      <c r="S1729" s="34"/>
    </row>
    <row r="1730" spans="1:19" ht="15.6" thickTop="1" thickBot="1" x14ac:dyDescent="0.35">
      <c r="A1730" s="39"/>
      <c r="B1730" s="29"/>
      <c r="C1730" s="29"/>
      <c r="D1730" s="29"/>
      <c r="E1730" s="29"/>
      <c r="F1730" s="29"/>
      <c r="G1730" s="29"/>
      <c r="H1730" s="29"/>
      <c r="I1730" s="29"/>
      <c r="J1730" s="29"/>
      <c r="K1730" s="29"/>
      <c r="L1730" s="29"/>
      <c r="M1730" s="29"/>
      <c r="N1730" s="29"/>
      <c r="O1730" s="30"/>
      <c r="P1730" s="29"/>
      <c r="Q1730" s="29"/>
      <c r="R1730" s="29"/>
      <c r="S1730" s="33"/>
    </row>
    <row r="1731" spans="1:19" ht="15.6" thickTop="1" thickBot="1" x14ac:dyDescent="0.35">
      <c r="A1731" s="39"/>
      <c r="B1731" s="31"/>
      <c r="C1731" s="31"/>
      <c r="D1731" s="31"/>
      <c r="E1731" s="31"/>
      <c r="F1731" s="31"/>
      <c r="G1731" s="31"/>
      <c r="H1731" s="31"/>
      <c r="I1731" s="31"/>
      <c r="J1731" s="31"/>
      <c r="K1731" s="31"/>
      <c r="L1731" s="31"/>
      <c r="M1731" s="31"/>
      <c r="N1731" s="31"/>
      <c r="O1731" s="32"/>
      <c r="P1731" s="31"/>
      <c r="Q1731" s="31"/>
      <c r="R1731" s="31"/>
      <c r="S1731" s="34"/>
    </row>
    <row r="1732" spans="1:19" ht="15.6" thickTop="1" thickBot="1" x14ac:dyDescent="0.35">
      <c r="A1732" s="39"/>
      <c r="B1732" s="29"/>
      <c r="C1732" s="29"/>
      <c r="D1732" s="29"/>
      <c r="E1732" s="29"/>
      <c r="F1732" s="29"/>
      <c r="G1732" s="29"/>
      <c r="H1732" s="29"/>
      <c r="I1732" s="29"/>
      <c r="J1732" s="29"/>
      <c r="K1732" s="29"/>
      <c r="L1732" s="29"/>
      <c r="M1732" s="29"/>
      <c r="N1732" s="29"/>
      <c r="O1732" s="30"/>
      <c r="P1732" s="29"/>
      <c r="Q1732" s="29"/>
      <c r="R1732" s="29"/>
      <c r="S1732" s="33"/>
    </row>
    <row r="1733" spans="1:19" ht="15.6" thickTop="1" thickBot="1" x14ac:dyDescent="0.35">
      <c r="A1733" s="39"/>
      <c r="B1733" s="31"/>
      <c r="C1733" s="31"/>
      <c r="D1733" s="31"/>
      <c r="E1733" s="31"/>
      <c r="F1733" s="31"/>
      <c r="G1733" s="31"/>
      <c r="H1733" s="31"/>
      <c r="I1733" s="31"/>
      <c r="J1733" s="31"/>
      <c r="K1733" s="31"/>
      <c r="L1733" s="31"/>
      <c r="M1733" s="31"/>
      <c r="N1733" s="31"/>
      <c r="O1733" s="32"/>
      <c r="P1733" s="31"/>
      <c r="Q1733" s="31"/>
      <c r="R1733" s="31"/>
      <c r="S1733" s="34"/>
    </row>
    <row r="1734" spans="1:19" ht="15.6" thickTop="1" thickBot="1" x14ac:dyDescent="0.35">
      <c r="A1734" s="39"/>
      <c r="B1734" s="29"/>
      <c r="C1734" s="29"/>
      <c r="D1734" s="29"/>
      <c r="E1734" s="29"/>
      <c r="F1734" s="29"/>
      <c r="G1734" s="29"/>
      <c r="H1734" s="29"/>
      <c r="I1734" s="29"/>
      <c r="J1734" s="29"/>
      <c r="K1734" s="29"/>
      <c r="L1734" s="29"/>
      <c r="M1734" s="29"/>
      <c r="N1734" s="29"/>
      <c r="O1734" s="30"/>
      <c r="P1734" s="29"/>
      <c r="Q1734" s="29"/>
      <c r="R1734" s="29"/>
      <c r="S1734" s="33"/>
    </row>
    <row r="1735" spans="1:19" ht="15.6" thickTop="1" thickBot="1" x14ac:dyDescent="0.35">
      <c r="A1735" s="39"/>
      <c r="B1735" s="31"/>
      <c r="C1735" s="31"/>
      <c r="D1735" s="31"/>
      <c r="E1735" s="31"/>
      <c r="F1735" s="31"/>
      <c r="G1735" s="31"/>
      <c r="H1735" s="31"/>
      <c r="I1735" s="31"/>
      <c r="J1735" s="31"/>
      <c r="K1735" s="31"/>
      <c r="L1735" s="31"/>
      <c r="M1735" s="31"/>
      <c r="N1735" s="31"/>
      <c r="O1735" s="32"/>
      <c r="P1735" s="31"/>
      <c r="Q1735" s="31"/>
      <c r="R1735" s="31"/>
      <c r="S1735" s="34"/>
    </row>
    <row r="1736" spans="1:19" ht="15.6" thickTop="1" thickBot="1" x14ac:dyDescent="0.35">
      <c r="A1736" s="39"/>
      <c r="B1736" s="29"/>
      <c r="C1736" s="29"/>
      <c r="D1736" s="29"/>
      <c r="E1736" s="29"/>
      <c r="F1736" s="29"/>
      <c r="G1736" s="29"/>
      <c r="H1736" s="29"/>
      <c r="I1736" s="29"/>
      <c r="J1736" s="29"/>
      <c r="K1736" s="29"/>
      <c r="L1736" s="29"/>
      <c r="M1736" s="29"/>
      <c r="N1736" s="29"/>
      <c r="O1736" s="30"/>
      <c r="P1736" s="29"/>
      <c r="Q1736" s="29"/>
      <c r="R1736" s="29"/>
      <c r="S1736" s="33"/>
    </row>
    <row r="1737" spans="1:19" ht="15.6" thickTop="1" thickBot="1" x14ac:dyDescent="0.35">
      <c r="A1737" s="39"/>
      <c r="B1737" s="31"/>
      <c r="C1737" s="31"/>
      <c r="D1737" s="31"/>
      <c r="E1737" s="31"/>
      <c r="F1737" s="31"/>
      <c r="G1737" s="31"/>
      <c r="H1737" s="31"/>
      <c r="I1737" s="31"/>
      <c r="J1737" s="31"/>
      <c r="K1737" s="31"/>
      <c r="L1737" s="31"/>
      <c r="M1737" s="31"/>
      <c r="N1737" s="31"/>
      <c r="O1737" s="32"/>
      <c r="P1737" s="31"/>
      <c r="Q1737" s="31"/>
      <c r="R1737" s="31"/>
      <c r="S1737" s="34"/>
    </row>
    <row r="1738" spans="1:19" ht="15.6" thickTop="1" thickBot="1" x14ac:dyDescent="0.35">
      <c r="A1738" s="39"/>
      <c r="B1738" s="29"/>
      <c r="C1738" s="29"/>
      <c r="D1738" s="29"/>
      <c r="E1738" s="29"/>
      <c r="F1738" s="29"/>
      <c r="G1738" s="29"/>
      <c r="H1738" s="29"/>
      <c r="I1738" s="29"/>
      <c r="J1738" s="29"/>
      <c r="K1738" s="29"/>
      <c r="L1738" s="29"/>
      <c r="M1738" s="29"/>
      <c r="N1738" s="29"/>
      <c r="O1738" s="30"/>
      <c r="P1738" s="29"/>
      <c r="Q1738" s="29"/>
      <c r="R1738" s="29"/>
      <c r="S1738" s="33"/>
    </row>
    <row r="1739" spans="1:19" ht="15.6" thickTop="1" thickBot="1" x14ac:dyDescent="0.35">
      <c r="A1739" s="39"/>
      <c r="B1739" s="31"/>
      <c r="C1739" s="31"/>
      <c r="D1739" s="31"/>
      <c r="E1739" s="31"/>
      <c r="F1739" s="31"/>
      <c r="G1739" s="31"/>
      <c r="H1739" s="31"/>
      <c r="I1739" s="31"/>
      <c r="J1739" s="31"/>
      <c r="K1739" s="31"/>
      <c r="L1739" s="31"/>
      <c r="M1739" s="31"/>
      <c r="N1739" s="31"/>
      <c r="O1739" s="32"/>
      <c r="P1739" s="31"/>
      <c r="Q1739" s="31"/>
      <c r="R1739" s="31"/>
      <c r="S1739" s="34"/>
    </row>
    <row r="1740" spans="1:19" ht="15.6" thickTop="1" thickBot="1" x14ac:dyDescent="0.35">
      <c r="A1740" s="39"/>
      <c r="B1740" s="29"/>
      <c r="C1740" s="29"/>
      <c r="D1740" s="29"/>
      <c r="E1740" s="29"/>
      <c r="F1740" s="29"/>
      <c r="G1740" s="29"/>
      <c r="H1740" s="29"/>
      <c r="I1740" s="29"/>
      <c r="J1740" s="29"/>
      <c r="K1740" s="29"/>
      <c r="L1740" s="29"/>
      <c r="M1740" s="29"/>
      <c r="N1740" s="29"/>
      <c r="O1740" s="30"/>
      <c r="P1740" s="29"/>
      <c r="Q1740" s="29"/>
      <c r="R1740" s="29"/>
      <c r="S1740" s="33"/>
    </row>
    <row r="1741" spans="1:19" ht="15.6" thickTop="1" thickBot="1" x14ac:dyDescent="0.35">
      <c r="A1741" s="39"/>
      <c r="B1741" s="31"/>
      <c r="C1741" s="31"/>
      <c r="D1741" s="31"/>
      <c r="E1741" s="31"/>
      <c r="F1741" s="31"/>
      <c r="G1741" s="31"/>
      <c r="H1741" s="31"/>
      <c r="I1741" s="31"/>
      <c r="J1741" s="31"/>
      <c r="K1741" s="31"/>
      <c r="L1741" s="31"/>
      <c r="M1741" s="31"/>
      <c r="N1741" s="31"/>
      <c r="O1741" s="32"/>
      <c r="P1741" s="31"/>
      <c r="Q1741" s="31"/>
      <c r="R1741" s="31"/>
      <c r="S1741" s="34"/>
    </row>
    <row r="1742" spans="1:19" ht="15.6" thickTop="1" thickBot="1" x14ac:dyDescent="0.35">
      <c r="A1742" s="39"/>
      <c r="B1742" s="29"/>
      <c r="C1742" s="29"/>
      <c r="D1742" s="29"/>
      <c r="E1742" s="29"/>
      <c r="F1742" s="29"/>
      <c r="G1742" s="29"/>
      <c r="H1742" s="29"/>
      <c r="I1742" s="29"/>
      <c r="J1742" s="29"/>
      <c r="K1742" s="29"/>
      <c r="L1742" s="29"/>
      <c r="M1742" s="29"/>
      <c r="N1742" s="29"/>
      <c r="O1742" s="30"/>
      <c r="P1742" s="29"/>
      <c r="Q1742" s="29"/>
      <c r="R1742" s="29"/>
      <c r="S1742" s="33"/>
    </row>
    <row r="1743" spans="1:19" ht="15.6" thickTop="1" thickBot="1" x14ac:dyDescent="0.35">
      <c r="A1743" s="39"/>
      <c r="B1743" s="31"/>
      <c r="C1743" s="31"/>
      <c r="D1743" s="31"/>
      <c r="E1743" s="31"/>
      <c r="F1743" s="31"/>
      <c r="G1743" s="31"/>
      <c r="H1743" s="31"/>
      <c r="I1743" s="31"/>
      <c r="J1743" s="31"/>
      <c r="K1743" s="31"/>
      <c r="L1743" s="31"/>
      <c r="M1743" s="31"/>
      <c r="N1743" s="31"/>
      <c r="O1743" s="32"/>
      <c r="P1743" s="31"/>
      <c r="Q1743" s="31"/>
      <c r="R1743" s="31"/>
      <c r="S1743" s="34"/>
    </row>
    <row r="1744" spans="1:19" ht="15.6" thickTop="1" thickBot="1" x14ac:dyDescent="0.35">
      <c r="A1744" s="39"/>
      <c r="B1744" s="29"/>
      <c r="C1744" s="29"/>
      <c r="D1744" s="29"/>
      <c r="E1744" s="29"/>
      <c r="F1744" s="29"/>
      <c r="G1744" s="29"/>
      <c r="H1744" s="29"/>
      <c r="I1744" s="29"/>
      <c r="J1744" s="29"/>
      <c r="K1744" s="29"/>
      <c r="L1744" s="29"/>
      <c r="M1744" s="29"/>
      <c r="N1744" s="29"/>
      <c r="O1744" s="30"/>
      <c r="P1744" s="29"/>
      <c r="Q1744" s="29"/>
      <c r="R1744" s="29"/>
      <c r="S1744" s="33"/>
    </row>
    <row r="1745" spans="1:19" ht="15.6" thickTop="1" thickBot="1" x14ac:dyDescent="0.35">
      <c r="A1745" s="39"/>
      <c r="B1745" s="31"/>
      <c r="C1745" s="31"/>
      <c r="D1745" s="31"/>
      <c r="E1745" s="31"/>
      <c r="F1745" s="31"/>
      <c r="G1745" s="31"/>
      <c r="H1745" s="31"/>
      <c r="I1745" s="31"/>
      <c r="J1745" s="31"/>
      <c r="K1745" s="31"/>
      <c r="L1745" s="31"/>
      <c r="M1745" s="31"/>
      <c r="N1745" s="31"/>
      <c r="O1745" s="32"/>
      <c r="P1745" s="31"/>
      <c r="Q1745" s="31"/>
      <c r="R1745" s="31"/>
      <c r="S1745" s="34"/>
    </row>
    <row r="1746" spans="1:19" ht="15.6" thickTop="1" thickBot="1" x14ac:dyDescent="0.35">
      <c r="A1746" s="39"/>
      <c r="B1746" s="29"/>
      <c r="C1746" s="29"/>
      <c r="D1746" s="29"/>
      <c r="E1746" s="29"/>
      <c r="F1746" s="29"/>
      <c r="G1746" s="29"/>
      <c r="H1746" s="29"/>
      <c r="I1746" s="29"/>
      <c r="J1746" s="29"/>
      <c r="K1746" s="29"/>
      <c r="L1746" s="29"/>
      <c r="M1746" s="29"/>
      <c r="N1746" s="29"/>
      <c r="O1746" s="30"/>
      <c r="P1746" s="29"/>
      <c r="Q1746" s="29"/>
      <c r="R1746" s="29"/>
      <c r="S1746" s="33"/>
    </row>
    <row r="1747" spans="1:19" ht="15.6" thickTop="1" thickBot="1" x14ac:dyDescent="0.35">
      <c r="A1747" s="39"/>
      <c r="B1747" s="31"/>
      <c r="C1747" s="31"/>
      <c r="D1747" s="31"/>
      <c r="E1747" s="31"/>
      <c r="F1747" s="31"/>
      <c r="G1747" s="31"/>
      <c r="H1747" s="31"/>
      <c r="I1747" s="31"/>
      <c r="J1747" s="31"/>
      <c r="K1747" s="31"/>
      <c r="L1747" s="31"/>
      <c r="M1747" s="31"/>
      <c r="N1747" s="31"/>
      <c r="O1747" s="32"/>
      <c r="P1747" s="31"/>
      <c r="Q1747" s="31"/>
      <c r="R1747" s="31"/>
      <c r="S1747" s="34"/>
    </row>
    <row r="1748" spans="1:19" ht="15.6" thickTop="1" thickBot="1" x14ac:dyDescent="0.35">
      <c r="A1748" s="39"/>
      <c r="B1748" s="29"/>
      <c r="C1748" s="29"/>
      <c r="D1748" s="29"/>
      <c r="E1748" s="29"/>
      <c r="F1748" s="29"/>
      <c r="G1748" s="29"/>
      <c r="H1748" s="29"/>
      <c r="I1748" s="29"/>
      <c r="J1748" s="29"/>
      <c r="K1748" s="29"/>
      <c r="L1748" s="29"/>
      <c r="M1748" s="29"/>
      <c r="N1748" s="29"/>
      <c r="O1748" s="30"/>
      <c r="P1748" s="29"/>
      <c r="Q1748" s="29"/>
      <c r="R1748" s="29"/>
      <c r="S1748" s="33"/>
    </row>
    <row r="1749" spans="1:19" ht="15.6" thickTop="1" thickBot="1" x14ac:dyDescent="0.35">
      <c r="A1749" s="39"/>
      <c r="B1749" s="31"/>
      <c r="C1749" s="31"/>
      <c r="D1749" s="31"/>
      <c r="E1749" s="31"/>
      <c r="F1749" s="31"/>
      <c r="G1749" s="31"/>
      <c r="H1749" s="31"/>
      <c r="I1749" s="31"/>
      <c r="J1749" s="31"/>
      <c r="K1749" s="31"/>
      <c r="L1749" s="31"/>
      <c r="M1749" s="31"/>
      <c r="N1749" s="31"/>
      <c r="O1749" s="32"/>
      <c r="P1749" s="31"/>
      <c r="Q1749" s="31"/>
      <c r="R1749" s="31"/>
      <c r="S1749" s="34"/>
    </row>
    <row r="1750" spans="1:19" ht="15.6" thickTop="1" thickBot="1" x14ac:dyDescent="0.35">
      <c r="A1750" s="39"/>
      <c r="B1750" s="29"/>
      <c r="C1750" s="29"/>
      <c r="D1750" s="29"/>
      <c r="E1750" s="29"/>
      <c r="F1750" s="29"/>
      <c r="G1750" s="29"/>
      <c r="H1750" s="29"/>
      <c r="I1750" s="29"/>
      <c r="J1750" s="29"/>
      <c r="K1750" s="29"/>
      <c r="L1750" s="29"/>
      <c r="M1750" s="29"/>
      <c r="N1750" s="29"/>
      <c r="O1750" s="30"/>
      <c r="P1750" s="29"/>
      <c r="Q1750" s="29"/>
      <c r="R1750" s="29"/>
      <c r="S1750" s="33"/>
    </row>
    <row r="1751" spans="1:19" ht="15.6" thickTop="1" thickBot="1" x14ac:dyDescent="0.35">
      <c r="A1751" s="39"/>
      <c r="B1751" s="31"/>
      <c r="C1751" s="31"/>
      <c r="D1751" s="31"/>
      <c r="E1751" s="31"/>
      <c r="F1751" s="31"/>
      <c r="G1751" s="31"/>
      <c r="H1751" s="31"/>
      <c r="I1751" s="31"/>
      <c r="J1751" s="31"/>
      <c r="K1751" s="31"/>
      <c r="L1751" s="31"/>
      <c r="M1751" s="31"/>
      <c r="N1751" s="31"/>
      <c r="O1751" s="32"/>
      <c r="P1751" s="31"/>
      <c r="Q1751" s="31"/>
      <c r="R1751" s="31"/>
      <c r="S1751" s="34"/>
    </row>
    <row r="1752" spans="1:19" ht="15.6" thickTop="1" thickBot="1" x14ac:dyDescent="0.35">
      <c r="A1752" s="39"/>
      <c r="B1752" s="29"/>
      <c r="C1752" s="29"/>
      <c r="D1752" s="29"/>
      <c r="E1752" s="29"/>
      <c r="F1752" s="29"/>
      <c r="G1752" s="29"/>
      <c r="H1752" s="29"/>
      <c r="I1752" s="29"/>
      <c r="J1752" s="29"/>
      <c r="K1752" s="29"/>
      <c r="L1752" s="29"/>
      <c r="M1752" s="29"/>
      <c r="N1752" s="29"/>
      <c r="O1752" s="30"/>
      <c r="P1752" s="29"/>
      <c r="Q1752" s="29"/>
      <c r="R1752" s="29"/>
      <c r="S1752" s="33"/>
    </row>
    <row r="1753" spans="1:19" ht="15.6" thickTop="1" thickBot="1" x14ac:dyDescent="0.35">
      <c r="A1753" s="39"/>
      <c r="B1753" s="31"/>
      <c r="C1753" s="31"/>
      <c r="D1753" s="31"/>
      <c r="E1753" s="31"/>
      <c r="F1753" s="31"/>
      <c r="G1753" s="31"/>
      <c r="H1753" s="31"/>
      <c r="I1753" s="31"/>
      <c r="J1753" s="31"/>
      <c r="K1753" s="31"/>
      <c r="L1753" s="31"/>
      <c r="M1753" s="31"/>
      <c r="N1753" s="31"/>
      <c r="O1753" s="32"/>
      <c r="P1753" s="31"/>
      <c r="Q1753" s="31"/>
      <c r="R1753" s="31"/>
      <c r="S1753" s="34"/>
    </row>
    <row r="1754" spans="1:19" ht="15.6" thickTop="1" thickBot="1" x14ac:dyDescent="0.35">
      <c r="A1754" s="39"/>
      <c r="B1754" s="29"/>
      <c r="C1754" s="29"/>
      <c r="D1754" s="29"/>
      <c r="E1754" s="29"/>
      <c r="F1754" s="29"/>
      <c r="G1754" s="29"/>
      <c r="H1754" s="29"/>
      <c r="I1754" s="29"/>
      <c r="J1754" s="29"/>
      <c r="K1754" s="29"/>
      <c r="L1754" s="29"/>
      <c r="M1754" s="29"/>
      <c r="N1754" s="29"/>
      <c r="O1754" s="30"/>
      <c r="P1754" s="29"/>
      <c r="Q1754" s="29"/>
      <c r="R1754" s="29"/>
      <c r="S1754" s="33"/>
    </row>
    <row r="1755" spans="1:19" ht="15.6" thickTop="1" thickBot="1" x14ac:dyDescent="0.35">
      <c r="A1755" s="39"/>
      <c r="B1755" s="31"/>
      <c r="C1755" s="31"/>
      <c r="D1755" s="31"/>
      <c r="E1755" s="31"/>
      <c r="F1755" s="31"/>
      <c r="G1755" s="31"/>
      <c r="H1755" s="31"/>
      <c r="I1755" s="31"/>
      <c r="J1755" s="31"/>
      <c r="K1755" s="31"/>
      <c r="L1755" s="31"/>
      <c r="M1755" s="31"/>
      <c r="N1755" s="31"/>
      <c r="O1755" s="32"/>
      <c r="P1755" s="31"/>
      <c r="Q1755" s="31"/>
      <c r="R1755" s="31"/>
      <c r="S1755" s="34"/>
    </row>
    <row r="1756" spans="1:19" ht="15.6" thickTop="1" thickBot="1" x14ac:dyDescent="0.35">
      <c r="A1756" s="39"/>
      <c r="B1756" s="29"/>
      <c r="C1756" s="29"/>
      <c r="D1756" s="29"/>
      <c r="E1756" s="29"/>
      <c r="F1756" s="29"/>
      <c r="G1756" s="29"/>
      <c r="H1756" s="29"/>
      <c r="I1756" s="29"/>
      <c r="J1756" s="29"/>
      <c r="K1756" s="29"/>
      <c r="L1756" s="29"/>
      <c r="M1756" s="29"/>
      <c r="N1756" s="29"/>
      <c r="O1756" s="30"/>
      <c r="P1756" s="29"/>
      <c r="Q1756" s="29"/>
      <c r="R1756" s="29"/>
      <c r="S1756" s="33"/>
    </row>
    <row r="1757" spans="1:19" ht="15.6" thickTop="1" thickBot="1" x14ac:dyDescent="0.35">
      <c r="A1757" s="39"/>
      <c r="B1757" s="31"/>
      <c r="C1757" s="31"/>
      <c r="D1757" s="31"/>
      <c r="E1757" s="31"/>
      <c r="F1757" s="31"/>
      <c r="G1757" s="31"/>
      <c r="H1757" s="31"/>
      <c r="I1757" s="31"/>
      <c r="J1757" s="31"/>
      <c r="K1757" s="31"/>
      <c r="L1757" s="31"/>
      <c r="M1757" s="31"/>
      <c r="N1757" s="31"/>
      <c r="O1757" s="32"/>
      <c r="P1757" s="31"/>
      <c r="Q1757" s="31"/>
      <c r="R1757" s="31"/>
      <c r="S1757" s="34"/>
    </row>
    <row r="1758" spans="1:19" ht="15.6" thickTop="1" thickBot="1" x14ac:dyDescent="0.35">
      <c r="A1758" s="39"/>
      <c r="B1758" s="29"/>
      <c r="C1758" s="29"/>
      <c r="D1758" s="29"/>
      <c r="E1758" s="29"/>
      <c r="F1758" s="29"/>
      <c r="G1758" s="29"/>
      <c r="H1758" s="29"/>
      <c r="I1758" s="29"/>
      <c r="J1758" s="29"/>
      <c r="K1758" s="29"/>
      <c r="L1758" s="29"/>
      <c r="M1758" s="29"/>
      <c r="N1758" s="29"/>
      <c r="O1758" s="30"/>
      <c r="P1758" s="29"/>
      <c r="Q1758" s="29"/>
      <c r="R1758" s="29"/>
      <c r="S1758" s="33"/>
    </row>
    <row r="1759" spans="1:19" ht="15.6" thickTop="1" thickBot="1" x14ac:dyDescent="0.35">
      <c r="A1759" s="39"/>
      <c r="B1759" s="31"/>
      <c r="C1759" s="31"/>
      <c r="D1759" s="31"/>
      <c r="E1759" s="31"/>
      <c r="F1759" s="31"/>
      <c r="G1759" s="31"/>
      <c r="H1759" s="31"/>
      <c r="I1759" s="31"/>
      <c r="J1759" s="31"/>
      <c r="K1759" s="31"/>
      <c r="L1759" s="31"/>
      <c r="M1759" s="31"/>
      <c r="N1759" s="31"/>
      <c r="O1759" s="32"/>
      <c r="P1759" s="31"/>
      <c r="Q1759" s="31"/>
      <c r="R1759" s="31"/>
      <c r="S1759" s="34"/>
    </row>
    <row r="1760" spans="1:19" ht="15.6" thickTop="1" thickBot="1" x14ac:dyDescent="0.35">
      <c r="A1760" s="39"/>
      <c r="B1760" s="29"/>
      <c r="C1760" s="29"/>
      <c r="D1760" s="29"/>
      <c r="E1760" s="29"/>
      <c r="F1760" s="29"/>
      <c r="G1760" s="29"/>
      <c r="H1760" s="29"/>
      <c r="I1760" s="29"/>
      <c r="J1760" s="29"/>
      <c r="K1760" s="29"/>
      <c r="L1760" s="29"/>
      <c r="M1760" s="29"/>
      <c r="N1760" s="29"/>
      <c r="O1760" s="30"/>
      <c r="P1760" s="29"/>
      <c r="Q1760" s="29"/>
      <c r="R1760" s="29"/>
      <c r="S1760" s="33"/>
    </row>
    <row r="1761" spans="1:19" ht="15.6" thickTop="1" thickBot="1" x14ac:dyDescent="0.35">
      <c r="A1761" s="39"/>
      <c r="B1761" s="31"/>
      <c r="C1761" s="31"/>
      <c r="D1761" s="31"/>
      <c r="E1761" s="31"/>
      <c r="F1761" s="31"/>
      <c r="G1761" s="31"/>
      <c r="H1761" s="31"/>
      <c r="I1761" s="31"/>
      <c r="J1761" s="31"/>
      <c r="K1761" s="31"/>
      <c r="L1761" s="31"/>
      <c r="M1761" s="31"/>
      <c r="N1761" s="31"/>
      <c r="O1761" s="32"/>
      <c r="P1761" s="31"/>
      <c r="Q1761" s="31"/>
      <c r="R1761" s="31"/>
      <c r="S1761" s="34"/>
    </row>
    <row r="1762" spans="1:19" ht="15.6" thickTop="1" thickBot="1" x14ac:dyDescent="0.35">
      <c r="A1762" s="39"/>
      <c r="B1762" s="29"/>
      <c r="C1762" s="29"/>
      <c r="D1762" s="29"/>
      <c r="E1762" s="29"/>
      <c r="F1762" s="29"/>
      <c r="G1762" s="29"/>
      <c r="H1762" s="29"/>
      <c r="I1762" s="29"/>
      <c r="J1762" s="29"/>
      <c r="K1762" s="29"/>
      <c r="L1762" s="29"/>
      <c r="M1762" s="29"/>
      <c r="N1762" s="29"/>
      <c r="O1762" s="30"/>
      <c r="P1762" s="29"/>
      <c r="Q1762" s="29"/>
      <c r="R1762" s="29"/>
      <c r="S1762" s="33"/>
    </row>
    <row r="1763" spans="1:19" ht="15.6" thickTop="1" thickBot="1" x14ac:dyDescent="0.35">
      <c r="A1763" s="39"/>
      <c r="B1763" s="31"/>
      <c r="C1763" s="31"/>
      <c r="D1763" s="31"/>
      <c r="E1763" s="31"/>
      <c r="F1763" s="31"/>
      <c r="G1763" s="31"/>
      <c r="H1763" s="31"/>
      <c r="I1763" s="31"/>
      <c r="J1763" s="31"/>
      <c r="K1763" s="31"/>
      <c r="L1763" s="31"/>
      <c r="M1763" s="31"/>
      <c r="N1763" s="31"/>
      <c r="O1763" s="32"/>
      <c r="P1763" s="31"/>
      <c r="Q1763" s="31"/>
      <c r="R1763" s="31"/>
      <c r="S1763" s="34"/>
    </row>
    <row r="1764" spans="1:19" ht="15.6" thickTop="1" thickBot="1" x14ac:dyDescent="0.35">
      <c r="A1764" s="39"/>
      <c r="B1764" s="29"/>
      <c r="C1764" s="29"/>
      <c r="D1764" s="29"/>
      <c r="E1764" s="29"/>
      <c r="F1764" s="29"/>
      <c r="G1764" s="29"/>
      <c r="H1764" s="29"/>
      <c r="I1764" s="29"/>
      <c r="J1764" s="29"/>
      <c r="K1764" s="29"/>
      <c r="L1764" s="29"/>
      <c r="M1764" s="29"/>
      <c r="N1764" s="29"/>
      <c r="O1764" s="30"/>
      <c r="P1764" s="29"/>
      <c r="Q1764" s="29"/>
      <c r="R1764" s="29"/>
      <c r="S1764" s="33"/>
    </row>
    <row r="1765" spans="1:19" ht="15.6" thickTop="1" thickBot="1" x14ac:dyDescent="0.35">
      <c r="A1765" s="39"/>
      <c r="B1765" s="31"/>
      <c r="C1765" s="31"/>
      <c r="D1765" s="31"/>
      <c r="E1765" s="31"/>
      <c r="F1765" s="31"/>
      <c r="G1765" s="31"/>
      <c r="H1765" s="31"/>
      <c r="I1765" s="31"/>
      <c r="J1765" s="31"/>
      <c r="K1765" s="31"/>
      <c r="L1765" s="31"/>
      <c r="M1765" s="31"/>
      <c r="N1765" s="31"/>
      <c r="O1765" s="32"/>
      <c r="P1765" s="31"/>
      <c r="Q1765" s="31"/>
      <c r="R1765" s="31"/>
      <c r="S1765" s="34"/>
    </row>
    <row r="1766" spans="1:19" ht="15.6" thickTop="1" thickBot="1" x14ac:dyDescent="0.35">
      <c r="A1766" s="39"/>
      <c r="B1766" s="29"/>
      <c r="C1766" s="29"/>
      <c r="D1766" s="29"/>
      <c r="E1766" s="29"/>
      <c r="F1766" s="29"/>
      <c r="G1766" s="29"/>
      <c r="H1766" s="29"/>
      <c r="I1766" s="29"/>
      <c r="J1766" s="29"/>
      <c r="K1766" s="29"/>
      <c r="L1766" s="29"/>
      <c r="M1766" s="29"/>
      <c r="N1766" s="29"/>
      <c r="O1766" s="30"/>
      <c r="P1766" s="29"/>
      <c r="Q1766" s="29"/>
      <c r="R1766" s="29"/>
      <c r="S1766" s="33"/>
    </row>
    <row r="1767" spans="1:19" ht="15.6" thickTop="1" thickBot="1" x14ac:dyDescent="0.35">
      <c r="A1767" s="39"/>
      <c r="B1767" s="31"/>
      <c r="C1767" s="31"/>
      <c r="D1767" s="31"/>
      <c r="E1767" s="31"/>
      <c r="F1767" s="31"/>
      <c r="G1767" s="31"/>
      <c r="H1767" s="31"/>
      <c r="I1767" s="31"/>
      <c r="J1767" s="31"/>
      <c r="K1767" s="31"/>
      <c r="L1767" s="31"/>
      <c r="M1767" s="31"/>
      <c r="N1767" s="31"/>
      <c r="O1767" s="32"/>
      <c r="P1767" s="31"/>
      <c r="Q1767" s="31"/>
      <c r="R1767" s="31"/>
      <c r="S1767" s="34"/>
    </row>
    <row r="1768" spans="1:19" ht="15.6" thickTop="1" thickBot="1" x14ac:dyDescent="0.35">
      <c r="A1768" s="39"/>
      <c r="B1768" s="29"/>
      <c r="C1768" s="29"/>
      <c r="D1768" s="29"/>
      <c r="E1768" s="29"/>
      <c r="F1768" s="29"/>
      <c r="G1768" s="29"/>
      <c r="H1768" s="29"/>
      <c r="I1768" s="29"/>
      <c r="J1768" s="29"/>
      <c r="K1768" s="29"/>
      <c r="L1768" s="29"/>
      <c r="M1768" s="29"/>
      <c r="N1768" s="29"/>
      <c r="O1768" s="30"/>
      <c r="P1768" s="29"/>
      <c r="Q1768" s="29"/>
      <c r="R1768" s="29"/>
      <c r="S1768" s="33"/>
    </row>
    <row r="1769" spans="1:19" ht="15.6" thickTop="1" thickBot="1" x14ac:dyDescent="0.35">
      <c r="A1769" s="39"/>
      <c r="B1769" s="31"/>
      <c r="C1769" s="31"/>
      <c r="D1769" s="31"/>
      <c r="E1769" s="31"/>
      <c r="F1769" s="31"/>
      <c r="G1769" s="31"/>
      <c r="H1769" s="31"/>
      <c r="I1769" s="31"/>
      <c r="J1769" s="31"/>
      <c r="K1769" s="31"/>
      <c r="L1769" s="31"/>
      <c r="M1769" s="31"/>
      <c r="N1769" s="31"/>
      <c r="O1769" s="32"/>
      <c r="P1769" s="31"/>
      <c r="Q1769" s="31"/>
      <c r="R1769" s="31"/>
      <c r="S1769" s="34"/>
    </row>
    <row r="1770" spans="1:19" ht="15.6" thickTop="1" thickBot="1" x14ac:dyDescent="0.35">
      <c r="A1770" s="39"/>
      <c r="B1770" s="29"/>
      <c r="C1770" s="29"/>
      <c r="D1770" s="29"/>
      <c r="E1770" s="29"/>
      <c r="F1770" s="29"/>
      <c r="G1770" s="29"/>
      <c r="H1770" s="29"/>
      <c r="I1770" s="29"/>
      <c r="J1770" s="29"/>
      <c r="K1770" s="29"/>
      <c r="L1770" s="29"/>
      <c r="M1770" s="29"/>
      <c r="N1770" s="29"/>
      <c r="O1770" s="30"/>
      <c r="P1770" s="29"/>
      <c r="Q1770" s="29"/>
      <c r="R1770" s="29"/>
      <c r="S1770" s="33"/>
    </row>
    <row r="1771" spans="1:19" ht="15.6" thickTop="1" thickBot="1" x14ac:dyDescent="0.35">
      <c r="A1771" s="39"/>
      <c r="B1771" s="31"/>
      <c r="C1771" s="31"/>
      <c r="D1771" s="31"/>
      <c r="E1771" s="31"/>
      <c r="F1771" s="31"/>
      <c r="G1771" s="31"/>
      <c r="H1771" s="31"/>
      <c r="I1771" s="31"/>
      <c r="J1771" s="31"/>
      <c r="K1771" s="31"/>
      <c r="L1771" s="31"/>
      <c r="M1771" s="31"/>
      <c r="N1771" s="31"/>
      <c r="O1771" s="32"/>
      <c r="P1771" s="31"/>
      <c r="Q1771" s="31"/>
      <c r="R1771" s="31"/>
      <c r="S1771" s="34"/>
    </row>
    <row r="1772" spans="1:19" ht="15.6" thickTop="1" thickBot="1" x14ac:dyDescent="0.35">
      <c r="A1772" s="39"/>
      <c r="B1772" s="29"/>
      <c r="C1772" s="29"/>
      <c r="D1772" s="29"/>
      <c r="E1772" s="29"/>
      <c r="F1772" s="29"/>
      <c r="G1772" s="29"/>
      <c r="H1772" s="29"/>
      <c r="I1772" s="29"/>
      <c r="J1772" s="29"/>
      <c r="K1772" s="29"/>
      <c r="L1772" s="29"/>
      <c r="M1772" s="29"/>
      <c r="N1772" s="29"/>
      <c r="O1772" s="30"/>
      <c r="P1772" s="29"/>
      <c r="Q1772" s="29"/>
      <c r="R1772" s="29"/>
      <c r="S1772" s="33"/>
    </row>
    <row r="1773" spans="1:19" ht="15.6" thickTop="1" thickBot="1" x14ac:dyDescent="0.35">
      <c r="A1773" s="39"/>
      <c r="B1773" s="31"/>
      <c r="C1773" s="31"/>
      <c r="D1773" s="31"/>
      <c r="E1773" s="31"/>
      <c r="F1773" s="31"/>
      <c r="G1773" s="31"/>
      <c r="H1773" s="31"/>
      <c r="I1773" s="31"/>
      <c r="J1773" s="31"/>
      <c r="K1773" s="31"/>
      <c r="L1773" s="31"/>
      <c r="M1773" s="31"/>
      <c r="N1773" s="31"/>
      <c r="O1773" s="32"/>
      <c r="P1773" s="31"/>
      <c r="Q1773" s="31"/>
      <c r="R1773" s="31"/>
      <c r="S1773" s="34"/>
    </row>
    <row r="1774" spans="1:19" ht="15.6" thickTop="1" thickBot="1" x14ac:dyDescent="0.35">
      <c r="A1774" s="39"/>
      <c r="B1774" s="29"/>
      <c r="C1774" s="29"/>
      <c r="D1774" s="29"/>
      <c r="E1774" s="29"/>
      <c r="F1774" s="29"/>
      <c r="G1774" s="29"/>
      <c r="H1774" s="29"/>
      <c r="I1774" s="29"/>
      <c r="J1774" s="29"/>
      <c r="K1774" s="29"/>
      <c r="L1774" s="29"/>
      <c r="M1774" s="29"/>
      <c r="N1774" s="29"/>
      <c r="O1774" s="30"/>
      <c r="P1774" s="29"/>
      <c r="Q1774" s="29"/>
      <c r="R1774" s="29"/>
      <c r="S1774" s="33"/>
    </row>
    <row r="1775" spans="1:19" ht="15.6" thickTop="1" thickBot="1" x14ac:dyDescent="0.35">
      <c r="A1775" s="39"/>
      <c r="B1775" s="31"/>
      <c r="C1775" s="31"/>
      <c r="D1775" s="31"/>
      <c r="E1775" s="31"/>
      <c r="F1775" s="31"/>
      <c r="G1775" s="31"/>
      <c r="H1775" s="31"/>
      <c r="I1775" s="31"/>
      <c r="J1775" s="31"/>
      <c r="K1775" s="31"/>
      <c r="L1775" s="31"/>
      <c r="M1775" s="31"/>
      <c r="N1775" s="31"/>
      <c r="O1775" s="32"/>
      <c r="P1775" s="31"/>
      <c r="Q1775" s="31"/>
      <c r="R1775" s="31"/>
      <c r="S1775" s="34"/>
    </row>
    <row r="1776" spans="1:19" ht="15.6" thickTop="1" thickBot="1" x14ac:dyDescent="0.35">
      <c r="A1776" s="39"/>
      <c r="B1776" s="29"/>
      <c r="C1776" s="29"/>
      <c r="D1776" s="29"/>
      <c r="E1776" s="29"/>
      <c r="F1776" s="29"/>
      <c r="G1776" s="29"/>
      <c r="H1776" s="29"/>
      <c r="I1776" s="29"/>
      <c r="J1776" s="29"/>
      <c r="K1776" s="29"/>
      <c r="L1776" s="29"/>
      <c r="M1776" s="29"/>
      <c r="N1776" s="29"/>
      <c r="O1776" s="30"/>
      <c r="P1776" s="29"/>
      <c r="Q1776" s="29"/>
      <c r="R1776" s="29"/>
      <c r="S1776" s="33"/>
    </row>
    <row r="1777" spans="1:19" ht="15.6" thickTop="1" thickBot="1" x14ac:dyDescent="0.35">
      <c r="A1777" s="39"/>
      <c r="B1777" s="31"/>
      <c r="C1777" s="31"/>
      <c r="D1777" s="31"/>
      <c r="E1777" s="31"/>
      <c r="F1777" s="31"/>
      <c r="G1777" s="31"/>
      <c r="H1777" s="31"/>
      <c r="I1777" s="31"/>
      <c r="J1777" s="31"/>
      <c r="K1777" s="31"/>
      <c r="L1777" s="31"/>
      <c r="M1777" s="31"/>
      <c r="N1777" s="31"/>
      <c r="O1777" s="32"/>
      <c r="P1777" s="31"/>
      <c r="Q1777" s="31"/>
      <c r="R1777" s="31"/>
      <c r="S1777" s="34"/>
    </row>
    <row r="1778" spans="1:19" ht="15.6" thickTop="1" thickBot="1" x14ac:dyDescent="0.35">
      <c r="A1778" s="39"/>
      <c r="B1778" s="29"/>
      <c r="C1778" s="29"/>
      <c r="D1778" s="29"/>
      <c r="E1778" s="29"/>
      <c r="F1778" s="29"/>
      <c r="G1778" s="29"/>
      <c r="H1778" s="29"/>
      <c r="I1778" s="29"/>
      <c r="J1778" s="29"/>
      <c r="K1778" s="29"/>
      <c r="L1778" s="29"/>
      <c r="M1778" s="29"/>
      <c r="N1778" s="29"/>
      <c r="O1778" s="30"/>
      <c r="P1778" s="29"/>
      <c r="Q1778" s="29"/>
      <c r="R1778" s="29"/>
      <c r="S1778" s="33"/>
    </row>
    <row r="1779" spans="1:19" ht="15.6" thickTop="1" thickBot="1" x14ac:dyDescent="0.35">
      <c r="A1779" s="39"/>
      <c r="B1779" s="31"/>
      <c r="C1779" s="31"/>
      <c r="D1779" s="31"/>
      <c r="E1779" s="31"/>
      <c r="F1779" s="31"/>
      <c r="G1779" s="31"/>
      <c r="H1779" s="31"/>
      <c r="I1779" s="31"/>
      <c r="J1779" s="31"/>
      <c r="K1779" s="31"/>
      <c r="L1779" s="31"/>
      <c r="M1779" s="31"/>
      <c r="N1779" s="31"/>
      <c r="O1779" s="32"/>
      <c r="P1779" s="31"/>
      <c r="Q1779" s="31"/>
      <c r="R1779" s="31"/>
      <c r="S1779" s="34"/>
    </row>
    <row r="1780" spans="1:19" ht="15" thickTop="1" x14ac:dyDescent="0.3">
      <c r="A1780" s="40"/>
      <c r="B1780" s="35"/>
      <c r="C1780" s="35"/>
      <c r="D1780" s="35"/>
      <c r="E1780" s="35"/>
      <c r="F1780" s="35"/>
      <c r="G1780" s="35"/>
      <c r="H1780" s="35"/>
      <c r="I1780" s="35"/>
      <c r="J1780" s="35"/>
      <c r="K1780" s="35"/>
      <c r="L1780" s="35"/>
      <c r="M1780" s="35"/>
      <c r="N1780" s="35"/>
      <c r="O1780" s="42"/>
      <c r="P1780" s="35"/>
      <c r="Q1780" s="35"/>
      <c r="R1780" s="35"/>
      <c r="S1780" s="36"/>
    </row>
  </sheetData>
  <sheetProtection autoFilter="0" pivotTables="0"/>
  <autoFilter ref="A9:A268" xr:uid="{008F25FB-9EDA-4CF0-82BB-AD0C49A5D080}"/>
  <mergeCells count="1">
    <mergeCell ref="C9:S11"/>
  </mergeCells>
  <conditionalFormatting sqref="S13:S1169">
    <cfRule type="containsText" dxfId="10" priority="1" operator="containsText" text="تم الاصلاح">
      <formula>NOT(ISERROR(SEARCH("تم الاصلاح",S13)))</formula>
    </cfRule>
  </conditionalFormatting>
  <conditionalFormatting sqref="S13:S1048576">
    <cfRule type="colorScale" priority="2">
      <colorScale>
        <cfvo type="num" val="0"/>
        <cfvo type="num" val="120"/>
        <cfvo type="num" val="240"/>
        <color rgb="FF00B050"/>
        <color rgb="FFFFC000"/>
        <color rgb="FFFF0000"/>
      </colorScale>
    </cfRule>
  </conditionalFormatting>
  <conditionalFormatting sqref="S1170:S1780">
    <cfRule type="colorScale" priority="3">
      <colorScale>
        <cfvo type="num" val="0"/>
        <cfvo type="num" val="120"/>
        <cfvo type="num" val="240"/>
        <color rgb="FF92D050"/>
        <color rgb="FFFFC000"/>
        <color rgb="FFFF0000"/>
      </colorScale>
    </cfRule>
  </conditionalFormatting>
  <dataValidations count="1">
    <dataValidation type="list" allowBlank="1" showInputMessage="1" showErrorMessage="1" sqref="Q566:Q578 Q13:Q455" xr:uid="{D273F0BF-F2B4-4E77-92C4-61B29D0DBA06}">
      <formula1>INDIRECT(SUBSTITUTE($P13," ","_"))</formula1>
    </dataValidation>
  </dataValidations>
  <pageMargins left="0.7" right="0.7" top="0.75" bottom="0.75" header="0.3" footer="0.3"/>
  <pageSetup orientation="portrait" r:id="rId1"/>
  <ignoredErrors>
    <ignoredError sqref="H13:H15 H16:H27 C123 H75:H108 H177:H184 H30:H74 H110 H112:H134 H186:H263 H172:H175 H136:H170 H28" calculatedColumn="1"/>
  </ignoredErrors>
  <drawing r:id="rId2"/>
  <legacyDrawing r:id="rId3"/>
  <tableParts count="1">
    <tablePart r:id="rId4"/>
  </tableParts>
  <extLst>
    <ext xmlns:x14="http://schemas.microsoft.com/office/spreadsheetml/2009/9/main" uri="{CCE6A557-97BC-4b89-ADB6-D9C93CAAB3DF}">
      <x14:dataValidations xmlns:xm="http://schemas.microsoft.com/office/excel/2006/main" count="7">
        <x14:dataValidation type="list" allowBlank="1" showInputMessage="1" showErrorMessage="1" xr:uid="{049762EE-6AB1-442B-81AE-6F7923BD2D92}">
          <x14:formula1>
            <xm:f>'قوائم منسدلة'!$C$2:$C$64</xm:f>
          </x14:formula1>
          <xm:sqref>B11</xm:sqref>
        </x14:dataValidation>
        <x14:dataValidation type="list" allowBlank="1" showInputMessage="1" showErrorMessage="1" xr:uid="{AC9E91CC-6C4B-49A6-90D9-A3D8DAA701A4}">
          <x14:formula1>
            <xm:f>'قوائم منسدلة'!$A$2:$A$64</xm:f>
          </x14:formula1>
          <xm:sqref>B9</xm:sqref>
        </x14:dataValidation>
        <x14:dataValidation type="list" allowBlank="1" showInputMessage="1" showErrorMessage="1" xr:uid="{2B2CEA20-C1CB-4E0F-BE0A-1C3E4E766000}">
          <x14:formula1>
            <xm:f>'قوائم منسدلة'!$B$2:$B$64</xm:f>
          </x14:formula1>
          <xm:sqref>B10</xm:sqref>
        </x14:dataValidation>
        <x14:dataValidation type="list" allowBlank="1" showInputMessage="1" showErrorMessage="1" xr:uid="{F134FE5F-7DDE-4883-9A95-80BD47EF95ED}">
          <x14:formula1>
            <xm:f>الاعدادت!$B$2:$B$85</xm:f>
          </x14:formula1>
          <xm:sqref>J566:J578 J13:J455</xm:sqref>
        </x14:dataValidation>
        <x14:dataValidation type="list" allowBlank="1" showInputMessage="1" showErrorMessage="1" xr:uid="{4A674880-7425-43A5-BC30-1AC2A8BC2D31}">
          <x14:formula1>
            <xm:f>الاعدادت!$D$2:$D$11</xm:f>
          </x14:formula1>
          <xm:sqref>L566:L578 L13:L455</xm:sqref>
        </x14:dataValidation>
        <x14:dataValidation type="list" allowBlank="1" showInputMessage="1" showErrorMessage="1" xr:uid="{6174AAE3-B702-490B-9378-370146A2597F}">
          <x14:formula1>
            <xm:f>الاعدادت!$F$2:$S$2</xm:f>
          </x14:formula1>
          <xm:sqref>P567:P573 P270:P455 P13:P268 P575:P578</xm:sqref>
        </x14:dataValidation>
        <x14:dataValidation type="list" allowBlank="1" showInputMessage="1" showErrorMessage="1" xr:uid="{550AC227-967F-4064-9D9F-26898E334FF5}">
          <x14:formula1>
            <xm:f>الاعدادت!$C$2:$C$6</xm:f>
          </x14:formula1>
          <xm:sqref>K566:K578 K13:K455</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9388-38FA-4485-985D-BAF75819051D}">
  <sheetPr filterMode="1">
    <pageSetUpPr fitToPage="1"/>
  </sheetPr>
  <dimension ref="A1:Z4961"/>
  <sheetViews>
    <sheetView rightToLeft="1" tabSelected="1" zoomScaleNormal="54" zoomScaleSheetLayoutView="44" workbookViewId="0">
      <selection activeCell="C52" sqref="C52"/>
    </sheetView>
  </sheetViews>
  <sheetFormatPr defaultColWidth="9.109375" defaultRowHeight="16.8" x14ac:dyDescent="0.5"/>
  <cols>
    <col min="1" max="1" width="9.21875" style="4" bestFit="1" customWidth="1"/>
    <col min="2" max="2" width="20.5546875" style="7" customWidth="1"/>
    <col min="3" max="3" width="53.109375" style="7" bestFit="1" customWidth="1"/>
    <col min="4" max="4" width="16" style="7" customWidth="1"/>
    <col min="5" max="5" width="24.109375" style="105" customWidth="1"/>
    <col min="6" max="6" width="10.88671875" style="7" customWidth="1"/>
    <col min="7" max="7" width="16.6640625" style="7" bestFit="1" customWidth="1"/>
    <col min="8" max="8" width="27.88671875" style="7" customWidth="1"/>
    <col min="9" max="9" width="24.44140625" style="7" bestFit="1" customWidth="1"/>
    <col min="10" max="10" width="41.5546875" style="7" customWidth="1"/>
    <col min="11" max="11" width="37.33203125" style="7" bestFit="1" customWidth="1"/>
    <col min="12" max="12" width="32.6640625" style="4" customWidth="1"/>
    <col min="13" max="13" width="25.109375" style="4" customWidth="1"/>
    <col min="14" max="14" width="32.6640625" style="4" customWidth="1"/>
    <col min="15" max="15" width="38.33203125" style="4" customWidth="1"/>
    <col min="16" max="17" width="32.5546875" style="4" customWidth="1"/>
    <col min="18" max="19" width="46" style="4" customWidth="1"/>
    <col min="20" max="20" width="13.88671875" style="4" hidden="1" customWidth="1"/>
    <col min="21" max="21" width="33.77734375" style="5" hidden="1" customWidth="1"/>
    <col min="22" max="25" width="0" style="4" hidden="1" customWidth="1"/>
    <col min="26" max="26" width="46" style="4" customWidth="1"/>
    <col min="27" max="16384" width="9.109375" style="4"/>
  </cols>
  <sheetData>
    <row r="1" spans="1:26" ht="21.6" x14ac:dyDescent="0.5">
      <c r="B1" s="59" t="s">
        <v>1435</v>
      </c>
      <c r="C1" s="59" t="s">
        <v>1429</v>
      </c>
      <c r="D1" s="59" t="s">
        <v>1430</v>
      </c>
      <c r="E1" s="104" t="s">
        <v>2214</v>
      </c>
      <c r="F1" s="59" t="s">
        <v>1431</v>
      </c>
      <c r="G1" s="59" t="s">
        <v>1432</v>
      </c>
      <c r="H1" s="59" t="s">
        <v>1433</v>
      </c>
      <c r="I1" s="59" t="s">
        <v>1434</v>
      </c>
      <c r="J1" s="59" t="s">
        <v>1428</v>
      </c>
      <c r="K1" s="59" t="s">
        <v>1550</v>
      </c>
      <c r="L1" s="1" t="s">
        <v>1638</v>
      </c>
      <c r="M1" s="1" t="s">
        <v>1546</v>
      </c>
      <c r="N1" s="1" t="s">
        <v>1563</v>
      </c>
      <c r="O1" s="1" t="s">
        <v>1572</v>
      </c>
      <c r="P1" s="1" t="s">
        <v>1929</v>
      </c>
      <c r="Q1" s="1" t="s">
        <v>1930</v>
      </c>
      <c r="R1" s="1" t="s">
        <v>1633</v>
      </c>
      <c r="S1" s="1" t="s">
        <v>1643</v>
      </c>
      <c r="T1" s="4" t="s">
        <v>1547</v>
      </c>
      <c r="U1" s="5" t="s">
        <v>1471</v>
      </c>
      <c r="V1" s="4" t="s">
        <v>1564</v>
      </c>
      <c r="W1" s="6"/>
      <c r="X1" s="4" t="s">
        <v>1671</v>
      </c>
      <c r="Y1" s="4" t="s">
        <v>1909</v>
      </c>
      <c r="Z1" s="1" t="s">
        <v>2107</v>
      </c>
    </row>
    <row r="2" spans="1:26" ht="30" customHeight="1" x14ac:dyDescent="0.5">
      <c r="A2" s="5">
        <v>294</v>
      </c>
      <c r="B2" s="8">
        <v>1112700020001</v>
      </c>
      <c r="C2" s="98" t="s">
        <v>370</v>
      </c>
      <c r="D2" s="7" t="s">
        <v>371</v>
      </c>
      <c r="F2" s="7">
        <v>2011</v>
      </c>
      <c r="G2" s="7" t="s">
        <v>19</v>
      </c>
      <c r="H2" s="97" t="s">
        <v>42</v>
      </c>
      <c r="I2" s="8" t="s">
        <v>372</v>
      </c>
      <c r="J2" s="7" t="s">
        <v>263</v>
      </c>
      <c r="K2" s="7" t="s">
        <v>270</v>
      </c>
      <c r="L2" s="2" t="s">
        <v>1544</v>
      </c>
      <c r="M2" s="2" t="s">
        <v>1548</v>
      </c>
      <c r="N2" s="2" t="s">
        <v>1564</v>
      </c>
      <c r="O2" s="2" t="s">
        <v>2567</v>
      </c>
      <c r="P2" s="9" t="s">
        <v>2565</v>
      </c>
      <c r="Q2" s="2"/>
      <c r="R2" s="2" t="s">
        <v>2568</v>
      </c>
      <c r="S2" s="2" t="s">
        <v>2053</v>
      </c>
      <c r="Z2" s="2"/>
    </row>
    <row r="3" spans="1:26" ht="30" customHeight="1" x14ac:dyDescent="0.5">
      <c r="A3" s="116">
        <v>291</v>
      </c>
      <c r="B3" s="8">
        <v>1109700010001</v>
      </c>
      <c r="C3" s="98" t="s">
        <v>360</v>
      </c>
      <c r="D3" s="7" t="s">
        <v>361</v>
      </c>
      <c r="E3" s="105" t="s">
        <v>2213</v>
      </c>
      <c r="F3" s="7">
        <v>1976</v>
      </c>
      <c r="G3" s="7" t="s">
        <v>19</v>
      </c>
      <c r="H3" s="7" t="s">
        <v>362</v>
      </c>
      <c r="I3" s="8" t="s">
        <v>363</v>
      </c>
      <c r="J3" s="7" t="s">
        <v>263</v>
      </c>
      <c r="K3" s="7" t="s">
        <v>270</v>
      </c>
      <c r="L3" s="2" t="s">
        <v>1544</v>
      </c>
      <c r="M3" s="2" t="s">
        <v>1548</v>
      </c>
      <c r="N3" s="2" t="s">
        <v>1564</v>
      </c>
      <c r="O3" s="2" t="s">
        <v>2190</v>
      </c>
      <c r="P3" s="2" t="s">
        <v>2188</v>
      </c>
      <c r="Q3" s="2"/>
      <c r="R3" s="2"/>
      <c r="S3" s="2" t="s">
        <v>2053</v>
      </c>
      <c r="Z3" s="2"/>
    </row>
    <row r="4" spans="1:26" ht="30" hidden="1" customHeight="1" x14ac:dyDescent="0.5">
      <c r="A4" s="5">
        <v>292</v>
      </c>
      <c r="B4" s="8">
        <v>1110700010001</v>
      </c>
      <c r="C4" s="98" t="s">
        <v>364</v>
      </c>
      <c r="D4" s="7" t="s">
        <v>365</v>
      </c>
      <c r="F4" s="7">
        <v>2006</v>
      </c>
      <c r="G4" s="7" t="s">
        <v>19</v>
      </c>
      <c r="H4" s="7" t="s">
        <v>358</v>
      </c>
      <c r="I4" s="8" t="s">
        <v>366</v>
      </c>
      <c r="J4" s="7" t="s">
        <v>263</v>
      </c>
      <c r="K4" s="7" t="s">
        <v>270</v>
      </c>
      <c r="L4" s="2" t="s">
        <v>1544</v>
      </c>
      <c r="M4" s="2" t="s">
        <v>2705</v>
      </c>
      <c r="N4" s="2"/>
      <c r="O4" s="2"/>
      <c r="P4" s="2"/>
      <c r="Q4" s="2"/>
      <c r="R4" s="2"/>
      <c r="S4" s="2"/>
      <c r="Z4" s="2"/>
    </row>
    <row r="5" spans="1:26" ht="30" hidden="1" customHeight="1" x14ac:dyDescent="0.5">
      <c r="A5" s="5">
        <v>293</v>
      </c>
      <c r="B5" s="8">
        <v>1111700030001</v>
      </c>
      <c r="C5" s="98" t="s">
        <v>367</v>
      </c>
      <c r="D5" s="7" t="s">
        <v>368</v>
      </c>
      <c r="F5" s="7">
        <v>2006</v>
      </c>
      <c r="G5" s="7" t="s">
        <v>19</v>
      </c>
      <c r="H5" s="7" t="s">
        <v>358</v>
      </c>
      <c r="I5" s="8" t="s">
        <v>369</v>
      </c>
      <c r="J5" s="7" t="s">
        <v>263</v>
      </c>
      <c r="K5" s="7" t="s">
        <v>270</v>
      </c>
      <c r="L5" s="2" t="s">
        <v>1544</v>
      </c>
      <c r="M5" s="2" t="s">
        <v>2705</v>
      </c>
      <c r="N5" s="2"/>
      <c r="O5" s="2"/>
      <c r="P5" s="2"/>
      <c r="Q5" s="2"/>
      <c r="R5" s="2"/>
      <c r="S5" s="2"/>
      <c r="Z5" s="2"/>
    </row>
    <row r="6" spans="1:26" ht="30" customHeight="1" x14ac:dyDescent="0.5">
      <c r="A6" s="5">
        <v>480</v>
      </c>
      <c r="B6" s="8">
        <v>1306700020001</v>
      </c>
      <c r="C6" s="102" t="s">
        <v>1045</v>
      </c>
      <c r="D6" s="7" t="s">
        <v>1456</v>
      </c>
      <c r="F6" s="7" t="s">
        <v>1456</v>
      </c>
      <c r="G6" s="7" t="s">
        <v>376</v>
      </c>
      <c r="H6" s="7" t="s">
        <v>247</v>
      </c>
      <c r="I6" s="8" t="s">
        <v>1046</v>
      </c>
      <c r="J6" s="7" t="s">
        <v>945</v>
      </c>
      <c r="K6" s="7" t="s">
        <v>1026</v>
      </c>
      <c r="L6" s="2" t="s">
        <v>1518</v>
      </c>
      <c r="M6" s="2" t="s">
        <v>1548</v>
      </c>
      <c r="N6" s="2" t="s">
        <v>1571</v>
      </c>
      <c r="O6" s="2" t="s">
        <v>2225</v>
      </c>
      <c r="P6" s="2" t="s">
        <v>2224</v>
      </c>
      <c r="Q6" s="2"/>
      <c r="R6" s="2" t="s">
        <v>2212</v>
      </c>
      <c r="S6" s="2"/>
      <c r="Z6" s="2"/>
    </row>
    <row r="7" spans="1:26" ht="30" customHeight="1" x14ac:dyDescent="0.5">
      <c r="A7" s="5">
        <v>481</v>
      </c>
      <c r="B7" s="8">
        <v>1306700020001</v>
      </c>
      <c r="C7" s="102" t="s">
        <v>1045</v>
      </c>
      <c r="D7" s="7" t="s">
        <v>1456</v>
      </c>
      <c r="F7" s="7" t="s">
        <v>1456</v>
      </c>
      <c r="G7" s="7" t="s">
        <v>376</v>
      </c>
      <c r="H7" s="7" t="s">
        <v>247</v>
      </c>
      <c r="I7" s="8" t="s">
        <v>1047</v>
      </c>
      <c r="J7" s="7" t="s">
        <v>945</v>
      </c>
      <c r="K7" s="7" t="s">
        <v>1026</v>
      </c>
      <c r="L7" s="2" t="s">
        <v>1518</v>
      </c>
      <c r="M7" s="2" t="s">
        <v>1548</v>
      </c>
      <c r="N7" s="2" t="s">
        <v>1571</v>
      </c>
      <c r="O7" s="2" t="s">
        <v>2225</v>
      </c>
      <c r="P7" s="2" t="s">
        <v>2224</v>
      </c>
      <c r="Q7" s="2"/>
      <c r="R7" s="2" t="s">
        <v>2212</v>
      </c>
      <c r="S7" s="2"/>
      <c r="Z7" s="2"/>
    </row>
    <row r="8" spans="1:26" ht="30" customHeight="1" x14ac:dyDescent="0.5">
      <c r="A8" s="5">
        <v>518</v>
      </c>
      <c r="B8" s="8">
        <v>1306700010002</v>
      </c>
      <c r="C8" s="102" t="s">
        <v>1005</v>
      </c>
      <c r="D8" s="7" t="s">
        <v>1460</v>
      </c>
      <c r="F8" s="7">
        <v>2013</v>
      </c>
      <c r="G8" s="7" t="s">
        <v>19</v>
      </c>
      <c r="H8" s="7" t="s">
        <v>423</v>
      </c>
      <c r="I8" s="8" t="s">
        <v>1124</v>
      </c>
      <c r="J8" s="7" t="s">
        <v>945</v>
      </c>
      <c r="K8" s="7" t="s">
        <v>1107</v>
      </c>
      <c r="L8" s="2" t="s">
        <v>1487</v>
      </c>
      <c r="M8" s="2" t="s">
        <v>1548</v>
      </c>
      <c r="N8" s="2" t="s">
        <v>1571</v>
      </c>
      <c r="O8" s="2" t="s">
        <v>2225</v>
      </c>
      <c r="P8" s="2" t="s">
        <v>2224</v>
      </c>
      <c r="Q8" s="2"/>
      <c r="R8" s="2" t="s">
        <v>2212</v>
      </c>
      <c r="S8" s="2"/>
      <c r="Z8" s="2"/>
    </row>
    <row r="9" spans="1:26" ht="30" customHeight="1" x14ac:dyDescent="0.5">
      <c r="A9" s="5">
        <v>461</v>
      </c>
      <c r="B9" s="8">
        <v>1306700010002</v>
      </c>
      <c r="C9" s="102" t="s">
        <v>1005</v>
      </c>
      <c r="D9" s="7" t="s">
        <v>1456</v>
      </c>
      <c r="F9" s="7">
        <v>2013</v>
      </c>
      <c r="G9" s="7" t="s">
        <v>19</v>
      </c>
      <c r="H9" s="7" t="s">
        <v>423</v>
      </c>
      <c r="I9" s="8" t="s">
        <v>1006</v>
      </c>
      <c r="J9" s="7" t="s">
        <v>945</v>
      </c>
      <c r="K9" s="7" t="s">
        <v>987</v>
      </c>
      <c r="L9" s="2" t="s">
        <v>1482</v>
      </c>
      <c r="M9" s="2" t="s">
        <v>1548</v>
      </c>
      <c r="N9" s="2" t="s">
        <v>1571</v>
      </c>
      <c r="O9" s="2" t="s">
        <v>2225</v>
      </c>
      <c r="P9" s="2" t="s">
        <v>2224</v>
      </c>
      <c r="Q9" s="2"/>
      <c r="R9" s="2" t="s">
        <v>2212</v>
      </c>
      <c r="S9" s="2"/>
      <c r="Z9" s="2"/>
    </row>
    <row r="10" spans="1:26" ht="30" customHeight="1" x14ac:dyDescent="0.5">
      <c r="A10" s="5">
        <v>517</v>
      </c>
      <c r="B10" s="8">
        <v>1306700010001</v>
      </c>
      <c r="C10" s="102" t="s">
        <v>1002</v>
      </c>
      <c r="D10" s="7" t="s">
        <v>1122</v>
      </c>
      <c r="F10" s="7">
        <v>2012</v>
      </c>
      <c r="G10" s="7" t="s">
        <v>19</v>
      </c>
      <c r="H10" s="7" t="s">
        <v>423</v>
      </c>
      <c r="I10" s="8" t="s">
        <v>1123</v>
      </c>
      <c r="J10" s="7" t="s">
        <v>945</v>
      </c>
      <c r="K10" s="7" t="s">
        <v>1107</v>
      </c>
      <c r="L10" s="2" t="s">
        <v>1487</v>
      </c>
      <c r="M10" s="2" t="s">
        <v>1548</v>
      </c>
      <c r="N10" s="2" t="s">
        <v>1571</v>
      </c>
      <c r="O10" s="2" t="s">
        <v>2225</v>
      </c>
      <c r="P10" s="2" t="s">
        <v>2224</v>
      </c>
      <c r="Q10" s="2"/>
      <c r="R10" s="2" t="s">
        <v>2212</v>
      </c>
      <c r="S10" s="2"/>
      <c r="Z10" s="2"/>
    </row>
    <row r="11" spans="1:26" ht="30" customHeight="1" x14ac:dyDescent="0.5">
      <c r="A11" s="5">
        <v>460</v>
      </c>
      <c r="B11" s="8">
        <v>1306700010001</v>
      </c>
      <c r="C11" s="102" t="s">
        <v>1002</v>
      </c>
      <c r="D11" s="7" t="s">
        <v>1003</v>
      </c>
      <c r="F11" s="7">
        <v>2012</v>
      </c>
      <c r="G11" s="7" t="s">
        <v>19</v>
      </c>
      <c r="H11" s="7" t="s">
        <v>423</v>
      </c>
      <c r="I11" s="8" t="s">
        <v>1004</v>
      </c>
      <c r="J11" s="7" t="s">
        <v>945</v>
      </c>
      <c r="K11" s="7" t="s">
        <v>987</v>
      </c>
      <c r="L11" s="2" t="s">
        <v>1482</v>
      </c>
      <c r="M11" s="2" t="s">
        <v>1548</v>
      </c>
      <c r="N11" s="2" t="s">
        <v>1571</v>
      </c>
      <c r="O11" s="2" t="s">
        <v>2225</v>
      </c>
      <c r="P11" s="2" t="s">
        <v>2224</v>
      </c>
      <c r="Q11" s="2"/>
      <c r="R11" s="2" t="s">
        <v>2212</v>
      </c>
      <c r="S11" s="2"/>
      <c r="Z11" s="2"/>
    </row>
    <row r="12" spans="1:26" ht="30" hidden="1" customHeight="1" x14ac:dyDescent="0.5">
      <c r="A12" s="5">
        <v>13</v>
      </c>
      <c r="B12" s="8">
        <v>1303700010001</v>
      </c>
      <c r="C12" s="102" t="s">
        <v>421</v>
      </c>
      <c r="D12" s="7" t="s">
        <v>422</v>
      </c>
      <c r="F12" s="7">
        <v>2010</v>
      </c>
      <c r="G12" s="7" t="s">
        <v>4</v>
      </c>
      <c r="H12" s="7" t="s">
        <v>423</v>
      </c>
      <c r="I12" s="8" t="s">
        <v>424</v>
      </c>
      <c r="J12" s="7" t="s">
        <v>263</v>
      </c>
      <c r="K12" s="7" t="s">
        <v>270</v>
      </c>
      <c r="L12" s="2" t="s">
        <v>1544</v>
      </c>
      <c r="M12" s="11" t="s">
        <v>2098</v>
      </c>
      <c r="N12" s="2"/>
      <c r="O12" s="2"/>
      <c r="P12" s="2"/>
      <c r="Q12" s="2" t="s">
        <v>2165</v>
      </c>
      <c r="R12" s="2"/>
      <c r="S12" s="2" t="s">
        <v>2053</v>
      </c>
      <c r="X12" s="4" t="s">
        <v>1684</v>
      </c>
      <c r="Z12" s="2"/>
    </row>
    <row r="13" spans="1:26" ht="30" customHeight="1" x14ac:dyDescent="0.5">
      <c r="A13" s="5">
        <v>507</v>
      </c>
      <c r="B13" s="8">
        <v>1303700010001</v>
      </c>
      <c r="C13" s="102" t="s">
        <v>421</v>
      </c>
      <c r="D13" s="7" t="s">
        <v>1101</v>
      </c>
      <c r="F13" s="7">
        <v>2010</v>
      </c>
      <c r="G13" s="7" t="s">
        <v>4</v>
      </c>
      <c r="H13" s="7" t="s">
        <v>423</v>
      </c>
      <c r="I13" s="8" t="s">
        <v>1102</v>
      </c>
      <c r="J13" s="7" t="s">
        <v>945</v>
      </c>
      <c r="K13" s="7" t="s">
        <v>1088</v>
      </c>
      <c r="L13" s="2" t="s">
        <v>1493</v>
      </c>
      <c r="M13" s="2" t="s">
        <v>1548</v>
      </c>
      <c r="N13" s="2" t="s">
        <v>1571</v>
      </c>
      <c r="O13" s="2" t="s">
        <v>2225</v>
      </c>
      <c r="P13" s="2" t="s">
        <v>2224</v>
      </c>
      <c r="Q13" s="2"/>
      <c r="R13" s="2" t="s">
        <v>2212</v>
      </c>
      <c r="S13" s="2"/>
      <c r="Z13" s="2"/>
    </row>
    <row r="14" spans="1:26" ht="30" customHeight="1" x14ac:dyDescent="0.5">
      <c r="A14" s="5">
        <v>508</v>
      </c>
      <c r="B14" s="8">
        <v>1303700010001</v>
      </c>
      <c r="C14" s="102" t="s">
        <v>421</v>
      </c>
      <c r="D14" s="7" t="s">
        <v>1103</v>
      </c>
      <c r="F14" s="7">
        <v>2011</v>
      </c>
      <c r="G14" s="7" t="s">
        <v>4</v>
      </c>
      <c r="H14" s="7" t="s">
        <v>423</v>
      </c>
      <c r="I14" s="8" t="s">
        <v>1104</v>
      </c>
      <c r="J14" s="7" t="s">
        <v>945</v>
      </c>
      <c r="K14" s="7" t="s">
        <v>1088</v>
      </c>
      <c r="L14" s="2" t="s">
        <v>1493</v>
      </c>
      <c r="M14" s="2" t="s">
        <v>1548</v>
      </c>
      <c r="N14" s="2" t="s">
        <v>1571</v>
      </c>
      <c r="O14" s="2" t="s">
        <v>2225</v>
      </c>
      <c r="P14" s="2" t="s">
        <v>2224</v>
      </c>
      <c r="Q14" s="2"/>
      <c r="R14" s="2" t="s">
        <v>2212</v>
      </c>
      <c r="S14" s="2"/>
      <c r="Z14" s="2"/>
    </row>
    <row r="15" spans="1:26" ht="30" customHeight="1" x14ac:dyDescent="0.5">
      <c r="A15" s="5">
        <v>509</v>
      </c>
      <c r="B15" s="8">
        <v>1303700010001</v>
      </c>
      <c r="C15" s="102" t="s">
        <v>421</v>
      </c>
      <c r="D15" s="7" t="s">
        <v>1105</v>
      </c>
      <c r="F15" s="7">
        <v>2011</v>
      </c>
      <c r="G15" s="7" t="s">
        <v>4</v>
      </c>
      <c r="H15" s="7" t="s">
        <v>423</v>
      </c>
      <c r="I15" s="8" t="s">
        <v>1106</v>
      </c>
      <c r="J15" s="7" t="s">
        <v>945</v>
      </c>
      <c r="K15" s="7" t="s">
        <v>1088</v>
      </c>
      <c r="L15" s="2" t="s">
        <v>1493</v>
      </c>
      <c r="M15" s="2" t="s">
        <v>1548</v>
      </c>
      <c r="N15" s="2" t="s">
        <v>1571</v>
      </c>
      <c r="O15" s="2" t="s">
        <v>2225</v>
      </c>
      <c r="P15" s="2" t="s">
        <v>2224</v>
      </c>
      <c r="Q15" s="2"/>
      <c r="R15" s="2" t="s">
        <v>2212</v>
      </c>
      <c r="S15" s="2"/>
      <c r="Z15" s="2"/>
    </row>
    <row r="16" spans="1:26" ht="30" customHeight="1" x14ac:dyDescent="0.5">
      <c r="A16" s="5">
        <v>516</v>
      </c>
      <c r="B16" s="8">
        <v>1303700010001</v>
      </c>
      <c r="C16" s="102" t="s">
        <v>421</v>
      </c>
      <c r="D16" s="7" t="s">
        <v>1120</v>
      </c>
      <c r="F16" s="7">
        <v>2010</v>
      </c>
      <c r="G16" s="7" t="s">
        <v>4</v>
      </c>
      <c r="H16" s="7" t="s">
        <v>423</v>
      </c>
      <c r="I16" s="8" t="s">
        <v>1121</v>
      </c>
      <c r="J16" s="7" t="s">
        <v>945</v>
      </c>
      <c r="K16" s="7" t="s">
        <v>1107</v>
      </c>
      <c r="L16" s="2" t="s">
        <v>1487</v>
      </c>
      <c r="M16" s="2" t="s">
        <v>1548</v>
      </c>
      <c r="N16" s="2" t="s">
        <v>1571</v>
      </c>
      <c r="O16" s="2" t="s">
        <v>2225</v>
      </c>
      <c r="P16" s="2" t="s">
        <v>2224</v>
      </c>
      <c r="Q16" s="2"/>
      <c r="R16" s="2" t="s">
        <v>2212</v>
      </c>
      <c r="S16" s="2"/>
      <c r="Z16" s="2"/>
    </row>
    <row r="17" spans="1:26" ht="30" customHeight="1" x14ac:dyDescent="0.5">
      <c r="A17" s="5">
        <v>498</v>
      </c>
      <c r="B17" s="8">
        <v>1303700010001</v>
      </c>
      <c r="C17" s="102" t="s">
        <v>421</v>
      </c>
      <c r="D17" s="7" t="s">
        <v>1082</v>
      </c>
      <c r="F17" s="7">
        <v>2010</v>
      </c>
      <c r="G17" s="7" t="s">
        <v>4</v>
      </c>
      <c r="H17" s="7" t="s">
        <v>423</v>
      </c>
      <c r="I17" s="8" t="s">
        <v>1083</v>
      </c>
      <c r="J17" s="7" t="s">
        <v>945</v>
      </c>
      <c r="K17" s="7" t="s">
        <v>1069</v>
      </c>
      <c r="L17" s="2" t="s">
        <v>1531</v>
      </c>
      <c r="M17" s="2" t="s">
        <v>1548</v>
      </c>
      <c r="N17" s="2" t="s">
        <v>1571</v>
      </c>
      <c r="O17" s="2" t="s">
        <v>2225</v>
      </c>
      <c r="P17" s="2" t="s">
        <v>2224</v>
      </c>
      <c r="Q17" s="2"/>
      <c r="R17" s="2" t="s">
        <v>2212</v>
      </c>
      <c r="S17" s="2"/>
      <c r="Z17" s="2"/>
    </row>
    <row r="18" spans="1:26" ht="30" customHeight="1" x14ac:dyDescent="0.5">
      <c r="A18" s="5">
        <v>499</v>
      </c>
      <c r="B18" s="8">
        <v>1303700010001</v>
      </c>
      <c r="C18" s="102" t="s">
        <v>421</v>
      </c>
      <c r="D18" s="7" t="s">
        <v>1084</v>
      </c>
      <c r="F18" s="7">
        <v>2010</v>
      </c>
      <c r="G18" s="7" t="s">
        <v>4</v>
      </c>
      <c r="H18" s="7" t="s">
        <v>423</v>
      </c>
      <c r="I18" s="8" t="s">
        <v>1085</v>
      </c>
      <c r="J18" s="7" t="s">
        <v>945</v>
      </c>
      <c r="K18" s="7" t="s">
        <v>1069</v>
      </c>
      <c r="L18" s="2" t="s">
        <v>1531</v>
      </c>
      <c r="M18" s="2" t="s">
        <v>1548</v>
      </c>
      <c r="N18" s="2" t="s">
        <v>1571</v>
      </c>
      <c r="O18" s="2" t="s">
        <v>2225</v>
      </c>
      <c r="P18" s="2" t="s">
        <v>2224</v>
      </c>
      <c r="Q18" s="2"/>
      <c r="R18" s="2" t="s">
        <v>2212</v>
      </c>
      <c r="S18" s="2"/>
      <c r="Z18" s="2"/>
    </row>
    <row r="19" spans="1:26" ht="30" customHeight="1" x14ac:dyDescent="0.5">
      <c r="A19" s="5">
        <v>500</v>
      </c>
      <c r="B19" s="8">
        <v>1303700010001</v>
      </c>
      <c r="C19" s="102" t="s">
        <v>421</v>
      </c>
      <c r="D19" s="7" t="s">
        <v>1086</v>
      </c>
      <c r="F19" s="7">
        <v>2010</v>
      </c>
      <c r="G19" s="7" t="s">
        <v>4</v>
      </c>
      <c r="H19" s="7" t="s">
        <v>423</v>
      </c>
      <c r="I19" s="8" t="s">
        <v>1087</v>
      </c>
      <c r="J19" s="7" t="s">
        <v>945</v>
      </c>
      <c r="K19" s="7" t="s">
        <v>1069</v>
      </c>
      <c r="L19" s="2" t="s">
        <v>1531</v>
      </c>
      <c r="M19" s="2" t="s">
        <v>1548</v>
      </c>
      <c r="N19" s="2" t="s">
        <v>1571</v>
      </c>
      <c r="O19" s="2" t="s">
        <v>2225</v>
      </c>
      <c r="P19" s="2" t="s">
        <v>2224</v>
      </c>
      <c r="Q19" s="2"/>
      <c r="R19" s="2" t="s">
        <v>2212</v>
      </c>
      <c r="S19" s="2"/>
      <c r="Z19" s="2"/>
    </row>
    <row r="20" spans="1:26" ht="30" customHeight="1" x14ac:dyDescent="0.5">
      <c r="A20" s="5">
        <v>468</v>
      </c>
      <c r="B20" s="8">
        <v>1303700010001</v>
      </c>
      <c r="C20" s="102" t="s">
        <v>421</v>
      </c>
      <c r="D20" s="7" t="s">
        <v>1020</v>
      </c>
      <c r="F20" s="7">
        <v>2010</v>
      </c>
      <c r="G20" s="7" t="s">
        <v>4</v>
      </c>
      <c r="H20" s="7" t="s">
        <v>423</v>
      </c>
      <c r="I20" s="8" t="s">
        <v>1021</v>
      </c>
      <c r="J20" s="7" t="s">
        <v>945</v>
      </c>
      <c r="K20" s="7" t="s">
        <v>1007</v>
      </c>
      <c r="L20" s="2" t="s">
        <v>1471</v>
      </c>
      <c r="M20" s="2" t="s">
        <v>1548</v>
      </c>
      <c r="N20" s="2" t="s">
        <v>1571</v>
      </c>
      <c r="O20" s="2" t="s">
        <v>2225</v>
      </c>
      <c r="P20" s="2" t="s">
        <v>2224</v>
      </c>
      <c r="Q20" s="2"/>
      <c r="R20" s="2" t="s">
        <v>2212</v>
      </c>
      <c r="S20" s="2"/>
      <c r="Z20" s="2"/>
    </row>
    <row r="21" spans="1:26" ht="30" customHeight="1" x14ac:dyDescent="0.5">
      <c r="A21" s="5">
        <v>469</v>
      </c>
      <c r="B21" s="8">
        <v>1303700010001</v>
      </c>
      <c r="C21" s="102" t="s">
        <v>421</v>
      </c>
      <c r="D21" s="7" t="s">
        <v>1022</v>
      </c>
      <c r="F21" s="7">
        <v>2010</v>
      </c>
      <c r="G21" s="7" t="s">
        <v>4</v>
      </c>
      <c r="H21" s="7" t="s">
        <v>423</v>
      </c>
      <c r="I21" s="8" t="s">
        <v>1023</v>
      </c>
      <c r="J21" s="7" t="s">
        <v>945</v>
      </c>
      <c r="K21" s="7" t="s">
        <v>1007</v>
      </c>
      <c r="L21" s="2" t="s">
        <v>1471</v>
      </c>
      <c r="M21" s="2" t="s">
        <v>1548</v>
      </c>
      <c r="N21" s="2" t="s">
        <v>1571</v>
      </c>
      <c r="O21" s="2" t="s">
        <v>2225</v>
      </c>
      <c r="P21" s="2" t="s">
        <v>2224</v>
      </c>
      <c r="Q21" s="2"/>
      <c r="R21" s="2" t="s">
        <v>2212</v>
      </c>
      <c r="S21" s="2"/>
      <c r="Z21" s="2"/>
    </row>
    <row r="22" spans="1:26" ht="30" hidden="1" customHeight="1" x14ac:dyDescent="0.5">
      <c r="A22" s="5">
        <v>532</v>
      </c>
      <c r="B22" s="8">
        <v>1303700010001</v>
      </c>
      <c r="C22" s="102" t="s">
        <v>421</v>
      </c>
      <c r="D22" s="7" t="s">
        <v>1155</v>
      </c>
      <c r="F22" s="7">
        <v>2010</v>
      </c>
      <c r="G22" s="7" t="s">
        <v>4</v>
      </c>
      <c r="H22" s="7" t="s">
        <v>423</v>
      </c>
      <c r="I22" s="8" t="s">
        <v>1156</v>
      </c>
      <c r="J22" s="7" t="s">
        <v>945</v>
      </c>
      <c r="K22" s="7" t="s">
        <v>1144</v>
      </c>
      <c r="L22" s="2" t="s">
        <v>1549</v>
      </c>
      <c r="M22" s="11" t="s">
        <v>1912</v>
      </c>
      <c r="N22" s="2"/>
      <c r="O22" s="2"/>
      <c r="P22" s="2"/>
      <c r="Q22" s="2" t="s">
        <v>2236</v>
      </c>
      <c r="R22" s="2" t="s">
        <v>2724</v>
      </c>
      <c r="S22" s="2"/>
      <c r="Z22" s="2"/>
    </row>
    <row r="23" spans="1:26" ht="30" customHeight="1" x14ac:dyDescent="0.5">
      <c r="A23" s="5">
        <v>470</v>
      </c>
      <c r="B23" s="8">
        <v>1303700010001</v>
      </c>
      <c r="C23" s="102" t="s">
        <v>421</v>
      </c>
      <c r="D23" s="7" t="s">
        <v>1024</v>
      </c>
      <c r="F23" s="7">
        <v>2010</v>
      </c>
      <c r="G23" s="7" t="s">
        <v>4</v>
      </c>
      <c r="H23" s="7" t="s">
        <v>423</v>
      </c>
      <c r="I23" s="8" t="s">
        <v>1025</v>
      </c>
      <c r="J23" s="7" t="s">
        <v>945</v>
      </c>
      <c r="K23" s="7" t="s">
        <v>1007</v>
      </c>
      <c r="L23" s="2" t="s">
        <v>1471</v>
      </c>
      <c r="M23" s="2" t="s">
        <v>1548</v>
      </c>
      <c r="N23" s="2" t="s">
        <v>1571</v>
      </c>
      <c r="O23" s="2" t="s">
        <v>2225</v>
      </c>
      <c r="P23" s="2" t="s">
        <v>2224</v>
      </c>
      <c r="Q23" s="2"/>
      <c r="R23" s="2" t="s">
        <v>2212</v>
      </c>
      <c r="S23" s="2"/>
      <c r="Z23" s="2"/>
    </row>
    <row r="24" spans="1:26" ht="30" customHeight="1" x14ac:dyDescent="0.5">
      <c r="A24" s="5">
        <v>524</v>
      </c>
      <c r="B24" s="8">
        <v>1303700010001</v>
      </c>
      <c r="C24" s="102" t="s">
        <v>421</v>
      </c>
      <c r="D24" s="7" t="s">
        <v>1138</v>
      </c>
      <c r="F24" s="7">
        <v>2010</v>
      </c>
      <c r="G24" s="7" t="s">
        <v>4</v>
      </c>
      <c r="H24" s="7" t="s">
        <v>423</v>
      </c>
      <c r="I24" s="8" t="s">
        <v>1139</v>
      </c>
      <c r="J24" s="7" t="s">
        <v>945</v>
      </c>
      <c r="K24" s="7" t="s">
        <v>1125</v>
      </c>
      <c r="L24" s="2" t="s">
        <v>1513</v>
      </c>
      <c r="M24" s="2" t="s">
        <v>1548</v>
      </c>
      <c r="N24" s="2" t="s">
        <v>1571</v>
      </c>
      <c r="O24" s="2" t="s">
        <v>2225</v>
      </c>
      <c r="P24" s="2" t="s">
        <v>2224</v>
      </c>
      <c r="Q24" s="2"/>
      <c r="R24" s="2" t="s">
        <v>2212</v>
      </c>
      <c r="S24" s="2"/>
      <c r="Z24" s="2"/>
    </row>
    <row r="25" spans="1:26" ht="30" customHeight="1" x14ac:dyDescent="0.5">
      <c r="A25" s="5">
        <v>525</v>
      </c>
      <c r="B25" s="8">
        <v>1303700010001</v>
      </c>
      <c r="C25" s="102" t="s">
        <v>421</v>
      </c>
      <c r="D25" s="7" t="s">
        <v>1140</v>
      </c>
      <c r="F25" s="7">
        <v>2010</v>
      </c>
      <c r="G25" s="7" t="s">
        <v>4</v>
      </c>
      <c r="H25" s="7" t="s">
        <v>423</v>
      </c>
      <c r="I25" s="8" t="s">
        <v>1141</v>
      </c>
      <c r="J25" s="7" t="s">
        <v>945</v>
      </c>
      <c r="K25" s="7" t="s">
        <v>1125</v>
      </c>
      <c r="L25" s="2" t="s">
        <v>1513</v>
      </c>
      <c r="M25" s="2" t="s">
        <v>1548</v>
      </c>
      <c r="N25" s="2" t="s">
        <v>1571</v>
      </c>
      <c r="O25" s="2" t="s">
        <v>2225</v>
      </c>
      <c r="P25" s="2" t="s">
        <v>2224</v>
      </c>
      <c r="Q25" s="2"/>
      <c r="R25" s="2" t="s">
        <v>2212</v>
      </c>
      <c r="S25" s="2"/>
      <c r="Z25" s="2"/>
    </row>
    <row r="26" spans="1:26" ht="30" customHeight="1" x14ac:dyDescent="0.5">
      <c r="A26" s="5">
        <v>526</v>
      </c>
      <c r="B26" s="8">
        <v>1303700010001</v>
      </c>
      <c r="C26" s="102" t="s">
        <v>421</v>
      </c>
      <c r="D26" s="7" t="s">
        <v>1142</v>
      </c>
      <c r="F26" s="7">
        <v>2010</v>
      </c>
      <c r="G26" s="7" t="s">
        <v>4</v>
      </c>
      <c r="H26" s="7" t="s">
        <v>423</v>
      </c>
      <c r="I26" s="8" t="s">
        <v>1143</v>
      </c>
      <c r="J26" s="7" t="s">
        <v>945</v>
      </c>
      <c r="K26" s="7" t="s">
        <v>1125</v>
      </c>
      <c r="L26" s="2" t="s">
        <v>1513</v>
      </c>
      <c r="M26" s="2" t="s">
        <v>1548</v>
      </c>
      <c r="N26" s="2" t="s">
        <v>1571</v>
      </c>
      <c r="O26" s="2" t="s">
        <v>2225</v>
      </c>
      <c r="P26" s="2" t="s">
        <v>2224</v>
      </c>
      <c r="Q26" s="2"/>
      <c r="R26" s="2" t="s">
        <v>2212</v>
      </c>
      <c r="S26" s="2"/>
      <c r="Z26" s="2"/>
    </row>
    <row r="27" spans="1:26" ht="30" customHeight="1" x14ac:dyDescent="0.5">
      <c r="A27" s="5">
        <v>540</v>
      </c>
      <c r="B27" s="8">
        <v>1303700010001</v>
      </c>
      <c r="C27" s="102" t="s">
        <v>421</v>
      </c>
      <c r="D27" s="7" t="s">
        <v>1172</v>
      </c>
      <c r="F27" s="7">
        <v>2010</v>
      </c>
      <c r="G27" s="7" t="s">
        <v>4</v>
      </c>
      <c r="H27" s="7" t="s">
        <v>423</v>
      </c>
      <c r="I27" s="8" t="s">
        <v>1173</v>
      </c>
      <c r="J27" s="7" t="s">
        <v>945</v>
      </c>
      <c r="K27" s="7" t="s">
        <v>1159</v>
      </c>
      <c r="L27" s="2" t="s">
        <v>1549</v>
      </c>
      <c r="M27" s="2" t="s">
        <v>1548</v>
      </c>
      <c r="N27" s="2" t="s">
        <v>1571</v>
      </c>
      <c r="O27" s="2" t="s">
        <v>2225</v>
      </c>
      <c r="P27" s="2" t="s">
        <v>2224</v>
      </c>
      <c r="Q27" s="2"/>
      <c r="R27" s="2" t="s">
        <v>2212</v>
      </c>
      <c r="S27" s="2"/>
      <c r="Z27" s="2"/>
    </row>
    <row r="28" spans="1:26" ht="30" customHeight="1" x14ac:dyDescent="0.5">
      <c r="A28" s="5">
        <v>541</v>
      </c>
      <c r="B28" s="8">
        <v>1303700010001</v>
      </c>
      <c r="C28" s="102" t="s">
        <v>421</v>
      </c>
      <c r="D28" s="7" t="s">
        <v>1174</v>
      </c>
      <c r="F28" s="7">
        <v>2010</v>
      </c>
      <c r="G28" s="7" t="s">
        <v>4</v>
      </c>
      <c r="H28" s="7" t="s">
        <v>423</v>
      </c>
      <c r="I28" s="8" t="s">
        <v>1175</v>
      </c>
      <c r="J28" s="7" t="s">
        <v>945</v>
      </c>
      <c r="K28" s="7" t="s">
        <v>1159</v>
      </c>
      <c r="L28" s="2" t="s">
        <v>1549</v>
      </c>
      <c r="M28" s="2" t="s">
        <v>1548</v>
      </c>
      <c r="N28" s="2" t="s">
        <v>1571</v>
      </c>
      <c r="O28" s="2" t="s">
        <v>2225</v>
      </c>
      <c r="P28" s="2" t="s">
        <v>2224</v>
      </c>
      <c r="Q28" s="2"/>
      <c r="R28" s="2" t="s">
        <v>2212</v>
      </c>
      <c r="S28" s="2"/>
      <c r="Z28" s="2"/>
    </row>
    <row r="29" spans="1:26" ht="30" customHeight="1" x14ac:dyDescent="0.5">
      <c r="A29" s="5">
        <v>542</v>
      </c>
      <c r="B29" s="8">
        <v>1303700010001</v>
      </c>
      <c r="C29" s="102" t="s">
        <v>421</v>
      </c>
      <c r="D29" s="7" t="s">
        <v>1176</v>
      </c>
      <c r="F29" s="7">
        <v>2010</v>
      </c>
      <c r="G29" s="7" t="s">
        <v>4</v>
      </c>
      <c r="H29" s="7" t="s">
        <v>423</v>
      </c>
      <c r="I29" s="8" t="s">
        <v>1177</v>
      </c>
      <c r="J29" s="7" t="s">
        <v>945</v>
      </c>
      <c r="K29" s="7" t="s">
        <v>1159</v>
      </c>
      <c r="L29" s="2" t="s">
        <v>1549</v>
      </c>
      <c r="M29" s="2" t="s">
        <v>1548</v>
      </c>
      <c r="N29" s="2" t="s">
        <v>1571</v>
      </c>
      <c r="O29" s="2" t="s">
        <v>2225</v>
      </c>
      <c r="P29" s="2" t="s">
        <v>2224</v>
      </c>
      <c r="Q29" s="2"/>
      <c r="R29" s="2" t="s">
        <v>2212</v>
      </c>
      <c r="S29" s="2"/>
      <c r="Z29" s="2" t="s">
        <v>1543</v>
      </c>
    </row>
    <row r="30" spans="1:26" ht="30" customHeight="1" x14ac:dyDescent="0.5">
      <c r="A30" s="5">
        <v>548</v>
      </c>
      <c r="B30" s="8">
        <v>1303700010001</v>
      </c>
      <c r="C30" s="102" t="s">
        <v>421</v>
      </c>
      <c r="D30" s="7" t="s">
        <v>1193</v>
      </c>
      <c r="F30" s="7">
        <v>2010</v>
      </c>
      <c r="G30" s="7" t="s">
        <v>4</v>
      </c>
      <c r="H30" s="7" t="s">
        <v>423</v>
      </c>
      <c r="I30" s="8" t="s">
        <v>1194</v>
      </c>
      <c r="J30" s="7" t="s">
        <v>945</v>
      </c>
      <c r="K30" s="7" t="s">
        <v>1178</v>
      </c>
      <c r="L30" s="2" t="s">
        <v>1525</v>
      </c>
      <c r="M30" s="2" t="s">
        <v>1548</v>
      </c>
      <c r="N30" s="2" t="s">
        <v>1571</v>
      </c>
      <c r="O30" s="2" t="s">
        <v>2225</v>
      </c>
      <c r="P30" s="2" t="s">
        <v>2224</v>
      </c>
      <c r="Q30" s="2"/>
      <c r="R30" s="2" t="s">
        <v>2212</v>
      </c>
      <c r="S30" s="2"/>
      <c r="Z30" s="2"/>
    </row>
    <row r="31" spans="1:26" ht="30" customHeight="1" x14ac:dyDescent="0.5">
      <c r="A31" s="5">
        <v>549</v>
      </c>
      <c r="B31" s="8">
        <v>1303700010001</v>
      </c>
      <c r="C31" s="102" t="s">
        <v>421</v>
      </c>
      <c r="D31" s="7" t="s">
        <v>1195</v>
      </c>
      <c r="F31" s="7">
        <v>2010</v>
      </c>
      <c r="G31" s="7" t="s">
        <v>4</v>
      </c>
      <c r="H31" s="7" t="s">
        <v>423</v>
      </c>
      <c r="I31" s="8" t="s">
        <v>1196</v>
      </c>
      <c r="J31" s="7" t="s">
        <v>945</v>
      </c>
      <c r="K31" s="7" t="s">
        <v>1178</v>
      </c>
      <c r="L31" s="2" t="s">
        <v>1525</v>
      </c>
      <c r="M31" s="2" t="s">
        <v>1548</v>
      </c>
      <c r="N31" s="2" t="s">
        <v>1571</v>
      </c>
      <c r="O31" s="2" t="s">
        <v>2225</v>
      </c>
      <c r="P31" s="2" t="s">
        <v>2224</v>
      </c>
      <c r="Q31" s="2"/>
      <c r="R31" s="2" t="s">
        <v>2212</v>
      </c>
      <c r="S31" s="2"/>
      <c r="Z31" s="2"/>
    </row>
    <row r="32" spans="1:26" ht="30" customHeight="1" x14ac:dyDescent="0.5">
      <c r="A32" s="5">
        <v>550</v>
      </c>
      <c r="B32" s="8">
        <v>1303700010001</v>
      </c>
      <c r="C32" s="102" t="s">
        <v>421</v>
      </c>
      <c r="D32" s="7" t="s">
        <v>1197</v>
      </c>
      <c r="F32" s="7">
        <v>2011</v>
      </c>
      <c r="G32" s="7" t="s">
        <v>4</v>
      </c>
      <c r="H32" s="7" t="s">
        <v>423</v>
      </c>
      <c r="I32" s="8" t="s">
        <v>1198</v>
      </c>
      <c r="J32" s="7" t="s">
        <v>945</v>
      </c>
      <c r="K32" s="7" t="s">
        <v>1178</v>
      </c>
      <c r="L32" s="2" t="s">
        <v>1525</v>
      </c>
      <c r="M32" s="2" t="s">
        <v>1548</v>
      </c>
      <c r="N32" s="2" t="s">
        <v>1571</v>
      </c>
      <c r="O32" s="2" t="s">
        <v>2225</v>
      </c>
      <c r="P32" s="2" t="s">
        <v>2224</v>
      </c>
      <c r="Q32" s="2"/>
      <c r="R32" s="2" t="s">
        <v>2212</v>
      </c>
      <c r="S32" s="2"/>
      <c r="Z32" s="2"/>
    </row>
    <row r="33" spans="1:26" ht="30" customHeight="1" x14ac:dyDescent="0.5">
      <c r="A33" s="5">
        <v>478</v>
      </c>
      <c r="B33" s="8">
        <v>1303700010001</v>
      </c>
      <c r="C33" s="102" t="s">
        <v>421</v>
      </c>
      <c r="D33" s="7" t="s">
        <v>1041</v>
      </c>
      <c r="F33" s="7">
        <v>2010</v>
      </c>
      <c r="G33" s="7" t="s">
        <v>4</v>
      </c>
      <c r="H33" s="7" t="s">
        <v>423</v>
      </c>
      <c r="I33" s="8" t="s">
        <v>1042</v>
      </c>
      <c r="J33" s="7" t="s">
        <v>945</v>
      </c>
      <c r="K33" s="7" t="s">
        <v>1026</v>
      </c>
      <c r="L33" s="2" t="s">
        <v>1518</v>
      </c>
      <c r="M33" s="2" t="s">
        <v>1548</v>
      </c>
      <c r="N33" s="2" t="s">
        <v>1571</v>
      </c>
      <c r="O33" s="2" t="s">
        <v>2225</v>
      </c>
      <c r="P33" s="2" t="s">
        <v>2224</v>
      </c>
      <c r="Q33" s="2"/>
      <c r="R33" s="2" t="s">
        <v>2212</v>
      </c>
      <c r="S33" s="2"/>
      <c r="Z33" s="2"/>
    </row>
    <row r="34" spans="1:26" ht="30" customHeight="1" x14ac:dyDescent="0.5">
      <c r="A34" s="5">
        <v>479</v>
      </c>
      <c r="B34" s="8">
        <v>1303700010001</v>
      </c>
      <c r="C34" s="102" t="s">
        <v>421</v>
      </c>
      <c r="D34" s="7" t="s">
        <v>1043</v>
      </c>
      <c r="F34" s="7">
        <v>2010</v>
      </c>
      <c r="G34" s="7" t="s">
        <v>4</v>
      </c>
      <c r="H34" s="7" t="s">
        <v>423</v>
      </c>
      <c r="I34" s="8" t="s">
        <v>1044</v>
      </c>
      <c r="J34" s="7" t="s">
        <v>945</v>
      </c>
      <c r="K34" s="7" t="s">
        <v>1026</v>
      </c>
      <c r="L34" s="2" t="s">
        <v>1518</v>
      </c>
      <c r="M34" s="2" t="s">
        <v>1548</v>
      </c>
      <c r="N34" s="2" t="s">
        <v>1571</v>
      </c>
      <c r="O34" s="2" t="s">
        <v>2225</v>
      </c>
      <c r="P34" s="2" t="s">
        <v>2224</v>
      </c>
      <c r="Q34" s="2"/>
      <c r="R34" s="2" t="s">
        <v>2212</v>
      </c>
      <c r="S34" s="2"/>
      <c r="Z34" s="2" t="s">
        <v>1525</v>
      </c>
    </row>
    <row r="35" spans="1:26" ht="30" customHeight="1" x14ac:dyDescent="0.5">
      <c r="A35" s="5">
        <v>533</v>
      </c>
      <c r="B35" s="8">
        <v>1303700010001</v>
      </c>
      <c r="C35" s="102" t="s">
        <v>421</v>
      </c>
      <c r="D35" s="7" t="s">
        <v>1157</v>
      </c>
      <c r="F35" s="7">
        <v>2011</v>
      </c>
      <c r="G35" s="7" t="s">
        <v>4</v>
      </c>
      <c r="H35" s="7" t="s">
        <v>423</v>
      </c>
      <c r="I35" s="8" t="s">
        <v>1158</v>
      </c>
      <c r="J35" s="7" t="s">
        <v>945</v>
      </c>
      <c r="K35" s="7" t="s">
        <v>1144</v>
      </c>
      <c r="L35" s="2" t="s">
        <v>1549</v>
      </c>
      <c r="M35" s="2" t="s">
        <v>1548</v>
      </c>
      <c r="N35" s="2" t="s">
        <v>1571</v>
      </c>
      <c r="O35" s="2" t="s">
        <v>2225</v>
      </c>
      <c r="P35" s="2" t="s">
        <v>2224</v>
      </c>
      <c r="Q35" s="2"/>
      <c r="R35" s="2" t="s">
        <v>2212</v>
      </c>
      <c r="S35" s="2"/>
      <c r="Z35" s="2"/>
    </row>
    <row r="36" spans="1:26" ht="30" customHeight="1" x14ac:dyDescent="0.5">
      <c r="A36" s="5">
        <v>489</v>
      </c>
      <c r="B36" s="8">
        <v>1303700010001</v>
      </c>
      <c r="C36" s="102" t="s">
        <v>421</v>
      </c>
      <c r="D36" s="7" t="s">
        <v>1063</v>
      </c>
      <c r="F36" s="7">
        <v>2010</v>
      </c>
      <c r="G36" s="7" t="s">
        <v>4</v>
      </c>
      <c r="H36" s="7" t="s">
        <v>423</v>
      </c>
      <c r="I36" s="8" t="s">
        <v>1064</v>
      </c>
      <c r="J36" s="7" t="s">
        <v>945</v>
      </c>
      <c r="K36" s="7" t="s">
        <v>1048</v>
      </c>
      <c r="L36" s="2" t="s">
        <v>1477</v>
      </c>
      <c r="M36" s="2" t="s">
        <v>1548</v>
      </c>
      <c r="N36" s="2" t="s">
        <v>1571</v>
      </c>
      <c r="O36" s="2" t="s">
        <v>2225</v>
      </c>
      <c r="P36" s="2" t="s">
        <v>2224</v>
      </c>
      <c r="Q36" s="2"/>
      <c r="R36" s="2" t="s">
        <v>2212</v>
      </c>
      <c r="S36" s="2"/>
      <c r="Z36" s="2"/>
    </row>
    <row r="37" spans="1:26" ht="30" customHeight="1" x14ac:dyDescent="0.5">
      <c r="A37" s="5">
        <v>490</v>
      </c>
      <c r="B37" s="8">
        <v>1303700010001</v>
      </c>
      <c r="C37" s="102" t="s">
        <v>421</v>
      </c>
      <c r="D37" s="7" t="s">
        <v>1065</v>
      </c>
      <c r="F37" s="7">
        <v>2010</v>
      </c>
      <c r="G37" s="7" t="s">
        <v>4</v>
      </c>
      <c r="H37" s="7" t="s">
        <v>423</v>
      </c>
      <c r="I37" s="8" t="s">
        <v>1066</v>
      </c>
      <c r="J37" s="7" t="s">
        <v>945</v>
      </c>
      <c r="K37" s="7" t="s">
        <v>1048</v>
      </c>
      <c r="L37" s="2" t="s">
        <v>1477</v>
      </c>
      <c r="M37" s="2" t="s">
        <v>1548</v>
      </c>
      <c r="N37" s="2" t="s">
        <v>1571</v>
      </c>
      <c r="O37" s="2" t="s">
        <v>2225</v>
      </c>
      <c r="P37" s="2" t="s">
        <v>2224</v>
      </c>
      <c r="Q37" s="2"/>
      <c r="R37" s="2" t="s">
        <v>2212</v>
      </c>
      <c r="S37" s="2"/>
      <c r="Z37" s="2"/>
    </row>
    <row r="38" spans="1:26" ht="30" customHeight="1" x14ac:dyDescent="0.5">
      <c r="A38" s="5">
        <v>491</v>
      </c>
      <c r="B38" s="8">
        <v>1303700010001</v>
      </c>
      <c r="C38" s="102" t="s">
        <v>421</v>
      </c>
      <c r="D38" s="7" t="s">
        <v>1067</v>
      </c>
      <c r="F38" s="7">
        <v>2010</v>
      </c>
      <c r="G38" s="7" t="s">
        <v>4</v>
      </c>
      <c r="H38" s="7" t="s">
        <v>423</v>
      </c>
      <c r="I38" s="8" t="s">
        <v>1068</v>
      </c>
      <c r="J38" s="7" t="s">
        <v>945</v>
      </c>
      <c r="K38" s="7" t="s">
        <v>1048</v>
      </c>
      <c r="L38" s="2" t="s">
        <v>1477</v>
      </c>
      <c r="M38" s="2" t="s">
        <v>1548</v>
      </c>
      <c r="N38" s="2" t="s">
        <v>1571</v>
      </c>
      <c r="O38" s="2" t="s">
        <v>2225</v>
      </c>
      <c r="P38" s="2" t="s">
        <v>2224</v>
      </c>
      <c r="Q38" s="2"/>
      <c r="R38" s="2" t="s">
        <v>2212</v>
      </c>
      <c r="S38" s="2"/>
      <c r="Z38" s="2" t="s">
        <v>2144</v>
      </c>
    </row>
    <row r="39" spans="1:26" ht="30" customHeight="1" x14ac:dyDescent="0.5">
      <c r="A39" s="5">
        <v>444</v>
      </c>
      <c r="B39" s="8">
        <v>1303700010001</v>
      </c>
      <c r="C39" s="102" t="s">
        <v>421</v>
      </c>
      <c r="D39" s="7" t="s">
        <v>962</v>
      </c>
      <c r="F39" s="7">
        <v>2010</v>
      </c>
      <c r="G39" s="7" t="s">
        <v>4</v>
      </c>
      <c r="H39" s="7" t="s">
        <v>423</v>
      </c>
      <c r="I39" s="8" t="s">
        <v>963</v>
      </c>
      <c r="J39" s="7" t="s">
        <v>945</v>
      </c>
      <c r="K39" s="7" t="s">
        <v>946</v>
      </c>
      <c r="L39" s="2" t="s">
        <v>1506</v>
      </c>
      <c r="M39" s="2" t="s">
        <v>1548</v>
      </c>
      <c r="N39" s="2" t="s">
        <v>1571</v>
      </c>
      <c r="O39" s="2" t="s">
        <v>2225</v>
      </c>
      <c r="P39" s="2" t="s">
        <v>2224</v>
      </c>
      <c r="Q39" s="2"/>
      <c r="R39" s="2" t="s">
        <v>2212</v>
      </c>
      <c r="S39" s="2"/>
      <c r="Z39" s="2"/>
    </row>
    <row r="40" spans="1:26" ht="30" customHeight="1" x14ac:dyDescent="0.5">
      <c r="A40" s="5">
        <v>445</v>
      </c>
      <c r="B40" s="8">
        <v>1303700010001</v>
      </c>
      <c r="C40" s="102" t="s">
        <v>421</v>
      </c>
      <c r="D40" s="7" t="s">
        <v>964</v>
      </c>
      <c r="F40" s="7">
        <v>2010</v>
      </c>
      <c r="G40" s="7" t="s">
        <v>4</v>
      </c>
      <c r="H40" s="7" t="s">
        <v>423</v>
      </c>
      <c r="I40" s="8" t="s">
        <v>965</v>
      </c>
      <c r="J40" s="7" t="s">
        <v>945</v>
      </c>
      <c r="K40" s="7" t="s">
        <v>946</v>
      </c>
      <c r="L40" s="2" t="s">
        <v>1506</v>
      </c>
      <c r="M40" s="2" t="s">
        <v>1548</v>
      </c>
      <c r="N40" s="2" t="s">
        <v>1571</v>
      </c>
      <c r="O40" s="2" t="s">
        <v>2225</v>
      </c>
      <c r="P40" s="2" t="s">
        <v>2224</v>
      </c>
      <c r="Q40" s="2"/>
      <c r="R40" s="2" t="s">
        <v>2212</v>
      </c>
      <c r="S40" s="2"/>
      <c r="Z40" s="2"/>
    </row>
    <row r="41" spans="1:26" ht="30" customHeight="1" x14ac:dyDescent="0.5">
      <c r="A41" s="5">
        <v>446</v>
      </c>
      <c r="B41" s="8">
        <v>1303700010001</v>
      </c>
      <c r="C41" s="102" t="s">
        <v>421</v>
      </c>
      <c r="D41" s="7" t="s">
        <v>966</v>
      </c>
      <c r="F41" s="7">
        <v>2011</v>
      </c>
      <c r="G41" s="7" t="s">
        <v>4</v>
      </c>
      <c r="H41" s="7" t="s">
        <v>423</v>
      </c>
      <c r="I41" s="8" t="s">
        <v>967</v>
      </c>
      <c r="J41" s="7" t="s">
        <v>945</v>
      </c>
      <c r="K41" s="7" t="s">
        <v>946</v>
      </c>
      <c r="L41" s="2" t="s">
        <v>1506</v>
      </c>
      <c r="M41" s="2" t="s">
        <v>1548</v>
      </c>
      <c r="N41" s="2" t="s">
        <v>1571</v>
      </c>
      <c r="O41" s="2" t="s">
        <v>2225</v>
      </c>
      <c r="P41" s="2" t="s">
        <v>2224</v>
      </c>
      <c r="Q41" s="2"/>
      <c r="R41" s="2" t="s">
        <v>2212</v>
      </c>
      <c r="S41" s="2"/>
      <c r="Z41" s="2"/>
    </row>
    <row r="42" spans="1:26" s="55" customFormat="1" ht="30" customHeight="1" x14ac:dyDescent="0.5">
      <c r="A42" s="5">
        <v>459</v>
      </c>
      <c r="B42" s="8">
        <v>1303700010001</v>
      </c>
      <c r="C42" s="102" t="s">
        <v>421</v>
      </c>
      <c r="D42" s="7" t="s">
        <v>1000</v>
      </c>
      <c r="E42" s="105"/>
      <c r="F42" s="7">
        <v>2011</v>
      </c>
      <c r="G42" s="7" t="s">
        <v>4</v>
      </c>
      <c r="H42" s="7" t="s">
        <v>423</v>
      </c>
      <c r="I42" s="8" t="s">
        <v>1001</v>
      </c>
      <c r="J42" s="7" t="s">
        <v>945</v>
      </c>
      <c r="K42" s="7" t="s">
        <v>987</v>
      </c>
      <c r="L42" s="2" t="s">
        <v>1482</v>
      </c>
      <c r="M42" s="2" t="s">
        <v>1548</v>
      </c>
      <c r="N42" s="2" t="s">
        <v>1571</v>
      </c>
      <c r="O42" s="2" t="s">
        <v>2225</v>
      </c>
      <c r="P42" s="2" t="s">
        <v>2224</v>
      </c>
      <c r="Q42" s="2"/>
      <c r="R42" s="2" t="s">
        <v>2212</v>
      </c>
      <c r="S42" s="2"/>
      <c r="T42" s="4"/>
      <c r="U42" s="5"/>
      <c r="V42" s="4"/>
      <c r="W42" s="4"/>
      <c r="X42" s="4"/>
      <c r="Y42" s="4"/>
      <c r="Z42" s="2"/>
    </row>
    <row r="43" spans="1:26" ht="30" hidden="1" customHeight="1" x14ac:dyDescent="0.5">
      <c r="A43" s="5">
        <v>354</v>
      </c>
      <c r="B43" s="8">
        <v>1303700020001</v>
      </c>
      <c r="C43" s="102" t="s">
        <v>2588</v>
      </c>
      <c r="D43" s="7" t="s">
        <v>581</v>
      </c>
      <c r="F43" s="7">
        <v>2023</v>
      </c>
      <c r="G43" s="7" t="s">
        <v>19</v>
      </c>
      <c r="H43" s="7" t="s">
        <v>423</v>
      </c>
      <c r="I43" s="8" t="s">
        <v>582</v>
      </c>
      <c r="J43" s="7" t="s">
        <v>263</v>
      </c>
      <c r="K43" s="7" t="s">
        <v>568</v>
      </c>
      <c r="L43" s="2" t="s">
        <v>1487</v>
      </c>
      <c r="M43" s="2" t="s">
        <v>2705</v>
      </c>
      <c r="N43" s="2"/>
      <c r="O43" s="2"/>
      <c r="P43" s="2"/>
      <c r="Q43" s="2"/>
      <c r="R43" s="2" t="s">
        <v>2463</v>
      </c>
      <c r="S43" s="2"/>
      <c r="Z43" s="2"/>
    </row>
    <row r="44" spans="1:26" ht="30" hidden="1" customHeight="1" x14ac:dyDescent="0.5">
      <c r="A44" s="5">
        <v>334</v>
      </c>
      <c r="B44" s="8">
        <v>1303700020001</v>
      </c>
      <c r="C44" s="102" t="s">
        <v>2588</v>
      </c>
      <c r="D44" s="7" t="s">
        <v>507</v>
      </c>
      <c r="F44" s="7">
        <v>2023</v>
      </c>
      <c r="G44" s="7" t="s">
        <v>19</v>
      </c>
      <c r="H44" s="7" t="s">
        <v>423</v>
      </c>
      <c r="I44" s="8" t="s">
        <v>508</v>
      </c>
      <c r="J44" s="7" t="s">
        <v>263</v>
      </c>
      <c r="K44" s="7" t="s">
        <v>485</v>
      </c>
      <c r="L44" s="2" t="s">
        <v>1518</v>
      </c>
      <c r="M44" s="2" t="s">
        <v>2705</v>
      </c>
      <c r="N44" s="2"/>
      <c r="O44" s="2"/>
      <c r="P44" s="2"/>
      <c r="Q44" s="2"/>
      <c r="R44" s="2"/>
      <c r="S44" s="2"/>
      <c r="Z44" s="2"/>
    </row>
    <row r="45" spans="1:26" ht="30" customHeight="1" x14ac:dyDescent="0.5">
      <c r="A45" s="116">
        <v>136</v>
      </c>
      <c r="B45" s="74">
        <v>1107700010002</v>
      </c>
      <c r="C45" s="98" t="s">
        <v>680</v>
      </c>
      <c r="D45" s="7" t="s">
        <v>681</v>
      </c>
      <c r="E45" s="105" t="s">
        <v>2215</v>
      </c>
      <c r="F45" s="7">
        <v>2007</v>
      </c>
      <c r="G45" s="7" t="s">
        <v>19</v>
      </c>
      <c r="H45" s="7" t="s">
        <v>351</v>
      </c>
      <c r="I45" s="8" t="s">
        <v>682</v>
      </c>
      <c r="J45" s="7" t="s">
        <v>263</v>
      </c>
      <c r="K45" s="7" t="s">
        <v>632</v>
      </c>
      <c r="L45" s="2" t="s">
        <v>1544</v>
      </c>
      <c r="M45" s="2" t="s">
        <v>1548</v>
      </c>
      <c r="N45" s="2" t="s">
        <v>1564</v>
      </c>
      <c r="O45" s="2" t="s">
        <v>1573</v>
      </c>
      <c r="P45" s="2" t="s">
        <v>1574</v>
      </c>
      <c r="Q45" s="57"/>
      <c r="R45" s="2"/>
      <c r="S45" s="2"/>
      <c r="X45" s="5" t="s">
        <v>1540</v>
      </c>
      <c r="Z45" s="2"/>
    </row>
    <row r="46" spans="1:26" ht="30" customHeight="1" x14ac:dyDescent="0.5">
      <c r="A46" s="116">
        <v>98</v>
      </c>
      <c r="B46" s="74">
        <v>1107700010001</v>
      </c>
      <c r="C46" s="98" t="s">
        <v>349</v>
      </c>
      <c r="D46" s="7" t="s">
        <v>350</v>
      </c>
      <c r="E46" s="105" t="s">
        <v>2213</v>
      </c>
      <c r="F46" s="7">
        <v>2006</v>
      </c>
      <c r="G46" s="7" t="s">
        <v>19</v>
      </c>
      <c r="H46" s="7" t="s">
        <v>351</v>
      </c>
      <c r="I46" s="8" t="s">
        <v>352</v>
      </c>
      <c r="J46" s="7" t="s">
        <v>263</v>
      </c>
      <c r="K46" s="57" t="s">
        <v>270</v>
      </c>
      <c r="L46" s="2" t="s">
        <v>1544</v>
      </c>
      <c r="M46" s="2" t="s">
        <v>1548</v>
      </c>
      <c r="N46" s="2" t="s">
        <v>1571</v>
      </c>
      <c r="O46" s="2" t="s">
        <v>2409</v>
      </c>
      <c r="P46" s="123" t="s">
        <v>2410</v>
      </c>
      <c r="Q46" s="2"/>
      <c r="R46" s="2" t="s">
        <v>2411</v>
      </c>
      <c r="S46" s="2" t="s">
        <v>2053</v>
      </c>
      <c r="X46" s="5" t="s">
        <v>1502</v>
      </c>
      <c r="Z46" s="2"/>
    </row>
    <row r="47" spans="1:26" ht="30" hidden="1" customHeight="1" x14ac:dyDescent="0.5">
      <c r="A47" s="5">
        <v>289</v>
      </c>
      <c r="B47" s="8">
        <v>1107700010003</v>
      </c>
      <c r="C47" s="98" t="s">
        <v>353</v>
      </c>
      <c r="D47" s="7" t="s">
        <v>354</v>
      </c>
      <c r="F47" s="7">
        <v>1975</v>
      </c>
      <c r="G47" s="7" t="s">
        <v>19</v>
      </c>
      <c r="H47" s="97" t="s">
        <v>355</v>
      </c>
      <c r="I47" s="8">
        <v>84184</v>
      </c>
      <c r="J47" s="7" t="s">
        <v>263</v>
      </c>
      <c r="K47" s="7" t="s">
        <v>270</v>
      </c>
      <c r="L47" s="2"/>
      <c r="M47" s="2" t="s">
        <v>2705</v>
      </c>
      <c r="N47" s="2"/>
      <c r="O47" s="2"/>
      <c r="P47" s="2"/>
      <c r="Q47" s="2"/>
      <c r="R47" s="2" t="s">
        <v>2703</v>
      </c>
      <c r="S47" s="2"/>
      <c r="Z47" s="2"/>
    </row>
    <row r="48" spans="1:26" ht="30" hidden="1" customHeight="1" x14ac:dyDescent="0.5">
      <c r="A48" s="5">
        <v>95</v>
      </c>
      <c r="B48" s="8">
        <v>1102700020004</v>
      </c>
      <c r="C48" s="7" t="s">
        <v>136</v>
      </c>
      <c r="D48" s="7" t="s">
        <v>837</v>
      </c>
      <c r="E48" s="7" t="s">
        <v>2213</v>
      </c>
      <c r="F48" s="7">
        <v>2015</v>
      </c>
      <c r="G48" s="7" t="s">
        <v>19</v>
      </c>
      <c r="H48" s="7" t="s">
        <v>66</v>
      </c>
      <c r="I48" s="8" t="s">
        <v>838</v>
      </c>
      <c r="J48" s="111" t="s">
        <v>35</v>
      </c>
      <c r="K48" s="7" t="s">
        <v>834</v>
      </c>
      <c r="L48" s="2" t="s">
        <v>1493</v>
      </c>
      <c r="M48" s="11" t="s">
        <v>1912</v>
      </c>
      <c r="N48" s="2" t="s">
        <v>1571</v>
      </c>
      <c r="O48" s="2" t="s">
        <v>2394</v>
      </c>
      <c r="P48" s="2" t="s">
        <v>2672</v>
      </c>
      <c r="Q48" s="2" t="s">
        <v>2677</v>
      </c>
      <c r="R48" s="2"/>
      <c r="S48" s="2" t="s">
        <v>2046</v>
      </c>
      <c r="X48" s="5" t="s">
        <v>1499</v>
      </c>
      <c r="Z48" s="7"/>
    </row>
    <row r="49" spans="1:26" ht="30" hidden="1" customHeight="1" x14ac:dyDescent="0.5">
      <c r="A49" s="5">
        <v>234</v>
      </c>
      <c r="B49" s="8">
        <v>1102700020004</v>
      </c>
      <c r="C49" s="7" t="s">
        <v>136</v>
      </c>
      <c r="D49" s="7" t="s">
        <v>137</v>
      </c>
      <c r="E49" s="7" t="s">
        <v>2221</v>
      </c>
      <c r="F49" s="7">
        <v>2013</v>
      </c>
      <c r="G49" s="7" t="s">
        <v>19</v>
      </c>
      <c r="H49" s="7" t="s">
        <v>66</v>
      </c>
      <c r="I49" s="8" t="s">
        <v>138</v>
      </c>
      <c r="J49" s="7" t="s">
        <v>35</v>
      </c>
      <c r="K49" s="7" t="s">
        <v>131</v>
      </c>
      <c r="L49" s="2" t="s">
        <v>1498</v>
      </c>
      <c r="M49" s="11" t="s">
        <v>1912</v>
      </c>
      <c r="N49" s="2" t="s">
        <v>1571</v>
      </c>
      <c r="O49" s="2" t="s">
        <v>2483</v>
      </c>
      <c r="P49" s="2" t="s">
        <v>2480</v>
      </c>
      <c r="Q49" s="2" t="s">
        <v>2492</v>
      </c>
      <c r="R49" s="2" t="s">
        <v>2484</v>
      </c>
      <c r="S49" s="2" t="s">
        <v>1720</v>
      </c>
      <c r="U49" s="5" t="s">
        <v>1518</v>
      </c>
      <c r="Z49" s="7"/>
    </row>
    <row r="50" spans="1:26" ht="30" customHeight="1" x14ac:dyDescent="0.5">
      <c r="A50" s="116">
        <v>140</v>
      </c>
      <c r="B50" s="8">
        <v>1102700020004</v>
      </c>
      <c r="C50" s="7" t="s">
        <v>136</v>
      </c>
      <c r="D50" s="7" t="s">
        <v>510</v>
      </c>
      <c r="E50" s="105" t="s">
        <v>2213</v>
      </c>
      <c r="F50" s="7">
        <v>2015</v>
      </c>
      <c r="G50" s="7" t="s">
        <v>19</v>
      </c>
      <c r="H50" s="7" t="s">
        <v>66</v>
      </c>
      <c r="I50" s="8" t="s">
        <v>511</v>
      </c>
      <c r="J50" s="7" t="s">
        <v>263</v>
      </c>
      <c r="K50" s="7" t="s">
        <v>509</v>
      </c>
      <c r="L50" s="2" t="s">
        <v>1549</v>
      </c>
      <c r="M50" s="2" t="s">
        <v>1548</v>
      </c>
      <c r="N50" s="2" t="s">
        <v>1564</v>
      </c>
      <c r="O50" s="2" t="s">
        <v>1783</v>
      </c>
      <c r="P50" s="2" t="s">
        <v>1784</v>
      </c>
      <c r="Q50" s="57"/>
      <c r="R50" s="2" t="s">
        <v>1477</v>
      </c>
      <c r="S50" s="2" t="s">
        <v>1695</v>
      </c>
      <c r="X50" s="5" t="s">
        <v>1544</v>
      </c>
      <c r="Z50" s="2"/>
    </row>
    <row r="51" spans="1:26" ht="30" customHeight="1" x14ac:dyDescent="0.5">
      <c r="A51" s="116">
        <v>273</v>
      </c>
      <c r="B51" s="8">
        <v>1102700020004</v>
      </c>
      <c r="C51" s="7" t="s">
        <v>136</v>
      </c>
      <c r="D51" s="7" t="s">
        <v>286</v>
      </c>
      <c r="E51" s="105" t="s">
        <v>2215</v>
      </c>
      <c r="F51" s="7">
        <v>2013</v>
      </c>
      <c r="G51" s="7" t="s">
        <v>19</v>
      </c>
      <c r="H51" s="7" t="s">
        <v>66</v>
      </c>
      <c r="I51" s="8" t="s">
        <v>287</v>
      </c>
      <c r="J51" s="7" t="s">
        <v>263</v>
      </c>
      <c r="K51" s="7" t="s">
        <v>270</v>
      </c>
      <c r="L51" s="2" t="s">
        <v>1549</v>
      </c>
      <c r="M51" s="2" t="s">
        <v>1548</v>
      </c>
      <c r="N51" s="2" t="s">
        <v>1564</v>
      </c>
      <c r="O51" s="2" t="s">
        <v>2090</v>
      </c>
      <c r="P51" s="2" t="s">
        <v>2159</v>
      </c>
      <c r="Q51" s="2"/>
      <c r="R51" s="2"/>
      <c r="S51" s="2" t="s">
        <v>1671</v>
      </c>
      <c r="Z51" s="2"/>
    </row>
    <row r="52" spans="1:26" ht="30" customHeight="1" x14ac:dyDescent="0.5">
      <c r="A52" s="5">
        <v>577</v>
      </c>
      <c r="B52" s="8">
        <v>1102700020004</v>
      </c>
      <c r="C52" s="7" t="s">
        <v>136</v>
      </c>
      <c r="D52" s="7" t="s">
        <v>1283</v>
      </c>
      <c r="F52" s="7">
        <v>2015</v>
      </c>
      <c r="G52" s="7" t="s">
        <v>19</v>
      </c>
      <c r="H52" s="7" t="s">
        <v>66</v>
      </c>
      <c r="I52" s="8" t="s">
        <v>1284</v>
      </c>
      <c r="J52" s="7" t="s">
        <v>263</v>
      </c>
      <c r="K52" s="7" t="s">
        <v>1225</v>
      </c>
      <c r="L52" s="2" t="s">
        <v>1544</v>
      </c>
      <c r="M52" s="2" t="s">
        <v>1548</v>
      </c>
      <c r="N52" s="2" t="s">
        <v>1564</v>
      </c>
      <c r="O52" s="2" t="s">
        <v>2239</v>
      </c>
      <c r="P52" s="9" t="s">
        <v>2237</v>
      </c>
      <c r="Q52" s="2"/>
      <c r="R52" s="2"/>
      <c r="S52" s="2" t="s">
        <v>2053</v>
      </c>
      <c r="Z52" s="2"/>
    </row>
    <row r="53" spans="1:26" ht="30" customHeight="1" x14ac:dyDescent="0.5">
      <c r="A53" s="5">
        <v>241</v>
      </c>
      <c r="B53" s="8">
        <v>1102700020004</v>
      </c>
      <c r="C53" s="7" t="s">
        <v>136</v>
      </c>
      <c r="D53" s="7" t="s">
        <v>169</v>
      </c>
      <c r="F53" s="7">
        <v>2015</v>
      </c>
      <c r="G53" s="7" t="s">
        <v>19</v>
      </c>
      <c r="H53" s="7" t="s">
        <v>66</v>
      </c>
      <c r="I53" s="8" t="s">
        <v>170</v>
      </c>
      <c r="J53" s="7" t="s">
        <v>35</v>
      </c>
      <c r="K53" s="7" t="s">
        <v>166</v>
      </c>
      <c r="L53" s="2" t="s">
        <v>1471</v>
      </c>
      <c r="M53" s="2" t="s">
        <v>1548</v>
      </c>
      <c r="N53" s="2" t="s">
        <v>1571</v>
      </c>
      <c r="O53" s="2" t="s">
        <v>2684</v>
      </c>
      <c r="P53" s="2" t="s">
        <v>2677</v>
      </c>
      <c r="Q53" s="2"/>
      <c r="R53" s="2"/>
      <c r="S53" s="2" t="s">
        <v>1994</v>
      </c>
      <c r="U53" s="5" t="s">
        <v>1532</v>
      </c>
      <c r="Z53" s="2"/>
    </row>
    <row r="54" spans="1:26" ht="30" customHeight="1" x14ac:dyDescent="0.5">
      <c r="A54" s="5">
        <v>424</v>
      </c>
      <c r="B54" s="8">
        <v>1102700020004</v>
      </c>
      <c r="C54" s="7" t="s">
        <v>136</v>
      </c>
      <c r="D54" s="7" t="s">
        <v>857</v>
      </c>
      <c r="F54" s="7">
        <v>2017</v>
      </c>
      <c r="G54" s="7" t="s">
        <v>19</v>
      </c>
      <c r="H54" s="7" t="s">
        <v>66</v>
      </c>
      <c r="I54" s="8" t="s">
        <v>858</v>
      </c>
      <c r="J54" s="111" t="s">
        <v>35</v>
      </c>
      <c r="K54" s="7" t="s">
        <v>854</v>
      </c>
      <c r="L54" s="2" t="s">
        <v>1513</v>
      </c>
      <c r="M54" s="2" t="s">
        <v>1548</v>
      </c>
      <c r="N54" s="2" t="s">
        <v>1564</v>
      </c>
      <c r="O54" s="2" t="s">
        <v>1887</v>
      </c>
      <c r="P54" s="9" t="s">
        <v>2479</v>
      </c>
      <c r="Q54" s="2" t="s">
        <v>2472</v>
      </c>
      <c r="R54" s="2"/>
      <c r="S54" s="2" t="s">
        <v>1721</v>
      </c>
      <c r="Z54" s="2"/>
    </row>
    <row r="55" spans="1:26" ht="30" hidden="1" customHeight="1" x14ac:dyDescent="0.5">
      <c r="A55" s="5">
        <v>239</v>
      </c>
      <c r="B55" s="8">
        <v>1102700020004</v>
      </c>
      <c r="C55" s="7" t="s">
        <v>136</v>
      </c>
      <c r="D55" s="7" t="s">
        <v>156</v>
      </c>
      <c r="F55" s="7">
        <v>2015</v>
      </c>
      <c r="G55" s="7" t="s">
        <v>19</v>
      </c>
      <c r="H55" s="7" t="s">
        <v>66</v>
      </c>
      <c r="I55" s="8" t="s">
        <v>157</v>
      </c>
      <c r="J55" s="7" t="s">
        <v>35</v>
      </c>
      <c r="K55" s="7" t="s">
        <v>153</v>
      </c>
      <c r="L55" s="2" t="s">
        <v>1537</v>
      </c>
      <c r="M55" s="2" t="s">
        <v>2705</v>
      </c>
      <c r="N55" s="2"/>
      <c r="O55" s="2"/>
      <c r="P55" s="2"/>
      <c r="Q55" s="2"/>
      <c r="R55" s="2"/>
      <c r="S55" s="2"/>
      <c r="U55" s="5" t="s">
        <v>1526</v>
      </c>
      <c r="Z55" s="2"/>
    </row>
    <row r="56" spans="1:26" ht="30" customHeight="1" x14ac:dyDescent="0.5">
      <c r="A56" s="116">
        <v>108</v>
      </c>
      <c r="B56" s="8">
        <v>1102700020004</v>
      </c>
      <c r="C56" s="7" t="s">
        <v>136</v>
      </c>
      <c r="D56" s="7" t="s">
        <v>823</v>
      </c>
      <c r="E56" s="105" t="s">
        <v>2215</v>
      </c>
      <c r="F56" s="7">
        <v>2015</v>
      </c>
      <c r="G56" s="7" t="s">
        <v>19</v>
      </c>
      <c r="H56" s="7" t="s">
        <v>66</v>
      </c>
      <c r="I56" s="8" t="s">
        <v>824</v>
      </c>
      <c r="J56" s="7" t="s">
        <v>35</v>
      </c>
      <c r="K56" s="7" t="s">
        <v>820</v>
      </c>
      <c r="L56" s="2" t="s">
        <v>1531</v>
      </c>
      <c r="M56" s="2" t="s">
        <v>1548</v>
      </c>
      <c r="N56" s="2" t="s">
        <v>1564</v>
      </c>
      <c r="O56" s="2" t="s">
        <v>1667</v>
      </c>
      <c r="P56" s="2" t="s">
        <v>1668</v>
      </c>
      <c r="Q56" s="57"/>
      <c r="R56" s="2" t="s">
        <v>1669</v>
      </c>
      <c r="S56" s="2" t="s">
        <v>1670</v>
      </c>
      <c r="X56" s="5" t="s">
        <v>1512</v>
      </c>
      <c r="Z56" s="2"/>
    </row>
    <row r="57" spans="1:26" ht="30" hidden="1" customHeight="1" x14ac:dyDescent="0.5">
      <c r="A57" s="116">
        <v>420</v>
      </c>
      <c r="B57" s="8">
        <v>1102700020004</v>
      </c>
      <c r="C57" s="7" t="s">
        <v>136</v>
      </c>
      <c r="D57" s="7" t="s">
        <v>844</v>
      </c>
      <c r="E57" s="105" t="s">
        <v>2215</v>
      </c>
      <c r="F57" s="7">
        <v>2017</v>
      </c>
      <c r="G57" s="7" t="s">
        <v>19</v>
      </c>
      <c r="H57" s="7" t="s">
        <v>66</v>
      </c>
      <c r="I57" s="8" t="s">
        <v>845</v>
      </c>
      <c r="J57" s="7" t="s">
        <v>35</v>
      </c>
      <c r="K57" s="7" t="s">
        <v>841</v>
      </c>
      <c r="L57" s="2" t="s">
        <v>1531</v>
      </c>
      <c r="M57" s="2" t="s">
        <v>2066</v>
      </c>
      <c r="N57" s="2" t="s">
        <v>1564</v>
      </c>
      <c r="O57" s="2" t="s">
        <v>2068</v>
      </c>
      <c r="P57" s="2" t="s">
        <v>2067</v>
      </c>
      <c r="Q57" s="2"/>
      <c r="R57" s="2" t="s">
        <v>2721</v>
      </c>
      <c r="S57" s="2" t="s">
        <v>1660</v>
      </c>
      <c r="Z57" s="2" t="s">
        <v>1531</v>
      </c>
    </row>
    <row r="58" spans="1:26" ht="30" hidden="1" customHeight="1" x14ac:dyDescent="0.5">
      <c r="A58" s="5">
        <v>274</v>
      </c>
      <c r="B58" s="8">
        <v>1102700020004</v>
      </c>
      <c r="C58" s="7" t="s">
        <v>136</v>
      </c>
      <c r="D58" s="7" t="s">
        <v>288</v>
      </c>
      <c r="F58" s="7">
        <v>2015</v>
      </c>
      <c r="G58" s="7" t="s">
        <v>19</v>
      </c>
      <c r="H58" s="7" t="s">
        <v>66</v>
      </c>
      <c r="I58" s="8" t="s">
        <v>289</v>
      </c>
      <c r="J58" s="7" t="s">
        <v>263</v>
      </c>
      <c r="K58" s="7" t="s">
        <v>270</v>
      </c>
      <c r="L58" s="2" t="s">
        <v>1471</v>
      </c>
      <c r="M58" s="2" t="s">
        <v>2705</v>
      </c>
      <c r="N58" s="2"/>
      <c r="O58" s="2"/>
      <c r="P58" s="2"/>
      <c r="Q58" s="2"/>
      <c r="R58" s="2"/>
      <c r="S58" s="2"/>
      <c r="Z58" s="2"/>
    </row>
    <row r="59" spans="1:26" ht="30" hidden="1" customHeight="1" x14ac:dyDescent="0.5">
      <c r="A59" s="5">
        <v>570</v>
      </c>
      <c r="B59" s="8">
        <v>1102700010001</v>
      </c>
      <c r="C59" s="7" t="s">
        <v>1262</v>
      </c>
      <c r="D59" s="7" t="s">
        <v>1266</v>
      </c>
      <c r="F59" s="7">
        <v>2006</v>
      </c>
      <c r="G59" s="7" t="s">
        <v>19</v>
      </c>
      <c r="H59" s="7" t="s">
        <v>42</v>
      </c>
      <c r="I59" s="101" t="s">
        <v>1267</v>
      </c>
      <c r="J59" s="7" t="s">
        <v>263</v>
      </c>
      <c r="K59" s="7" t="s">
        <v>1225</v>
      </c>
      <c r="L59" s="2" t="s">
        <v>1549</v>
      </c>
      <c r="M59" s="9" t="s">
        <v>1553</v>
      </c>
      <c r="N59" s="2" t="s">
        <v>1571</v>
      </c>
      <c r="O59" s="2" t="s">
        <v>1609</v>
      </c>
      <c r="P59" s="2" t="s">
        <v>2109</v>
      </c>
      <c r="Q59" s="2" t="s">
        <v>2440</v>
      </c>
      <c r="R59" s="2"/>
      <c r="S59" s="2" t="s">
        <v>1544</v>
      </c>
      <c r="Z59" s="2"/>
    </row>
    <row r="60" spans="1:26" ht="30" hidden="1" customHeight="1" x14ac:dyDescent="0.5">
      <c r="A60" s="5">
        <v>568</v>
      </c>
      <c r="B60" s="8">
        <v>1102700010001</v>
      </c>
      <c r="C60" s="7" t="s">
        <v>1262</v>
      </c>
      <c r="D60" s="7" t="s">
        <v>1447</v>
      </c>
      <c r="F60" s="7">
        <v>2008</v>
      </c>
      <c r="G60" s="7" t="s">
        <v>19</v>
      </c>
      <c r="H60" s="7" t="s">
        <v>42</v>
      </c>
      <c r="I60" s="101" t="s">
        <v>1263</v>
      </c>
      <c r="J60" s="7" t="s">
        <v>263</v>
      </c>
      <c r="K60" s="7" t="s">
        <v>1225</v>
      </c>
      <c r="L60" s="2" t="s">
        <v>1544</v>
      </c>
      <c r="M60" s="9" t="s">
        <v>1553</v>
      </c>
      <c r="N60" s="9" t="s">
        <v>1571</v>
      </c>
      <c r="O60" s="2" t="s">
        <v>1609</v>
      </c>
      <c r="P60" s="2"/>
      <c r="Q60" s="2"/>
      <c r="R60" s="2"/>
      <c r="S60" s="2" t="s">
        <v>1544</v>
      </c>
      <c r="Z60" s="2"/>
    </row>
    <row r="61" spans="1:26" ht="30" hidden="1" customHeight="1" x14ac:dyDescent="0.5">
      <c r="A61" s="5">
        <v>569</v>
      </c>
      <c r="B61" s="8">
        <v>1102700010001</v>
      </c>
      <c r="C61" s="7" t="s">
        <v>1262</v>
      </c>
      <c r="D61" s="7" t="s">
        <v>1264</v>
      </c>
      <c r="F61" s="7">
        <v>2008</v>
      </c>
      <c r="G61" s="7" t="s">
        <v>19</v>
      </c>
      <c r="H61" s="7" t="s">
        <v>42</v>
      </c>
      <c r="I61" s="101" t="s">
        <v>1265</v>
      </c>
      <c r="J61" s="7" t="s">
        <v>263</v>
      </c>
      <c r="K61" s="7" t="s">
        <v>1225</v>
      </c>
      <c r="L61" s="2" t="s">
        <v>1544</v>
      </c>
      <c r="M61" s="9" t="s">
        <v>1553</v>
      </c>
      <c r="N61" s="9" t="s">
        <v>1571</v>
      </c>
      <c r="O61" s="2" t="s">
        <v>1609</v>
      </c>
      <c r="P61" s="2"/>
      <c r="Q61" s="2"/>
      <c r="R61" s="2"/>
      <c r="S61" s="2" t="s">
        <v>1544</v>
      </c>
      <c r="Z61" s="2"/>
    </row>
    <row r="62" spans="1:26" ht="30" hidden="1" customHeight="1" x14ac:dyDescent="0.5">
      <c r="A62" s="5">
        <v>214</v>
      </c>
      <c r="B62" s="8">
        <v>1102700010004</v>
      </c>
      <c r="C62" s="7" t="s">
        <v>64</v>
      </c>
      <c r="D62" s="7" t="s">
        <v>65</v>
      </c>
      <c r="F62" s="7">
        <v>2008</v>
      </c>
      <c r="G62" s="7" t="s">
        <v>19</v>
      </c>
      <c r="H62" s="7" t="s">
        <v>66</v>
      </c>
      <c r="I62" s="101" t="s">
        <v>67</v>
      </c>
      <c r="J62" s="7" t="s">
        <v>35</v>
      </c>
      <c r="K62" s="7" t="s">
        <v>61</v>
      </c>
      <c r="L62" s="2" t="s">
        <v>1544</v>
      </c>
      <c r="M62" s="9" t="s">
        <v>1553</v>
      </c>
      <c r="N62" s="2" t="s">
        <v>1559</v>
      </c>
      <c r="O62" s="2" t="s">
        <v>2345</v>
      </c>
      <c r="P62" s="2" t="s">
        <v>2346</v>
      </c>
      <c r="Q62" s="2" t="s">
        <v>2439</v>
      </c>
      <c r="R62" s="2" t="s">
        <v>2347</v>
      </c>
      <c r="S62" s="2" t="s">
        <v>1989</v>
      </c>
      <c r="U62" s="5" t="s">
        <v>1489</v>
      </c>
      <c r="Z62" s="2"/>
    </row>
    <row r="63" spans="1:26" ht="30" hidden="1" customHeight="1" x14ac:dyDescent="0.5">
      <c r="A63" s="5">
        <v>576</v>
      </c>
      <c r="B63" s="8">
        <v>1102700010004</v>
      </c>
      <c r="C63" s="7" t="s">
        <v>64</v>
      </c>
      <c r="D63" s="7" t="s">
        <v>1281</v>
      </c>
      <c r="F63" s="7">
        <v>2002</v>
      </c>
      <c r="G63" s="7" t="s">
        <v>19</v>
      </c>
      <c r="H63" s="7" t="s">
        <v>42</v>
      </c>
      <c r="I63" s="101" t="s">
        <v>1282</v>
      </c>
      <c r="J63" s="7" t="s">
        <v>263</v>
      </c>
      <c r="K63" s="9" t="s">
        <v>1225</v>
      </c>
      <c r="L63" s="2" t="s">
        <v>1544</v>
      </c>
      <c r="M63" s="9" t="s">
        <v>1552</v>
      </c>
      <c r="N63" s="2" t="s">
        <v>1571</v>
      </c>
      <c r="O63" s="2" t="s">
        <v>1609</v>
      </c>
      <c r="P63" s="2" t="s">
        <v>2106</v>
      </c>
      <c r="Q63" s="2"/>
      <c r="R63" s="89" t="s">
        <v>2108</v>
      </c>
      <c r="S63" s="2" t="s">
        <v>1544</v>
      </c>
      <c r="Z63" s="2"/>
    </row>
    <row r="64" spans="1:26" ht="30" hidden="1" customHeight="1" x14ac:dyDescent="0.5">
      <c r="A64" s="5">
        <v>196</v>
      </c>
      <c r="B64" s="8">
        <v>1102700010004</v>
      </c>
      <c r="C64" s="7" t="s">
        <v>64</v>
      </c>
      <c r="D64" s="7" t="s">
        <v>643</v>
      </c>
      <c r="F64" s="7">
        <v>2003</v>
      </c>
      <c r="G64" s="7" t="s">
        <v>19</v>
      </c>
      <c r="H64" s="7" t="s">
        <v>42</v>
      </c>
      <c r="I64" s="101" t="s">
        <v>644</v>
      </c>
      <c r="J64" s="7" t="s">
        <v>263</v>
      </c>
      <c r="K64" s="9" t="s">
        <v>632</v>
      </c>
      <c r="L64" s="2" t="s">
        <v>1544</v>
      </c>
      <c r="M64" s="9" t="s">
        <v>1552</v>
      </c>
      <c r="N64" s="2" t="s">
        <v>1571</v>
      </c>
      <c r="O64" s="2" t="s">
        <v>1965</v>
      </c>
      <c r="P64" s="2" t="s">
        <v>1583</v>
      </c>
      <c r="Q64" s="2"/>
      <c r="R64" s="2"/>
      <c r="S64" s="2" t="s">
        <v>1544</v>
      </c>
      <c r="Z64" s="2"/>
    </row>
    <row r="65" spans="1:26" ht="30" hidden="1" customHeight="1" x14ac:dyDescent="0.5">
      <c r="A65" s="5">
        <v>571</v>
      </c>
      <c r="B65" s="8">
        <v>1102700010004</v>
      </c>
      <c r="C65" s="7" t="s">
        <v>64</v>
      </c>
      <c r="D65" s="7" t="s">
        <v>1268</v>
      </c>
      <c r="F65" s="7">
        <v>2003</v>
      </c>
      <c r="G65" s="7" t="s">
        <v>19</v>
      </c>
      <c r="H65" s="7" t="s">
        <v>42</v>
      </c>
      <c r="I65" s="101" t="s">
        <v>1269</v>
      </c>
      <c r="J65" s="7" t="s">
        <v>263</v>
      </c>
      <c r="K65" s="7" t="s">
        <v>1225</v>
      </c>
      <c r="L65" s="2" t="s">
        <v>1544</v>
      </c>
      <c r="M65" s="9" t="s">
        <v>1553</v>
      </c>
      <c r="N65" s="9" t="s">
        <v>1571</v>
      </c>
      <c r="O65" s="2" t="s">
        <v>1609</v>
      </c>
      <c r="P65" s="2"/>
      <c r="Q65" s="2"/>
      <c r="R65" s="2"/>
      <c r="S65" s="2" t="s">
        <v>1544</v>
      </c>
      <c r="Z65" s="2"/>
    </row>
    <row r="66" spans="1:26" ht="30" hidden="1" customHeight="1" x14ac:dyDescent="0.5">
      <c r="A66" s="5">
        <v>572</v>
      </c>
      <c r="B66" s="8">
        <v>1102700010004</v>
      </c>
      <c r="C66" s="7" t="s">
        <v>64</v>
      </c>
      <c r="D66" s="7" t="s">
        <v>1270</v>
      </c>
      <c r="F66" s="7">
        <v>2003</v>
      </c>
      <c r="G66" s="7" t="s">
        <v>19</v>
      </c>
      <c r="H66" s="7" t="s">
        <v>42</v>
      </c>
      <c r="I66" s="101" t="s">
        <v>1271</v>
      </c>
      <c r="J66" s="7" t="s">
        <v>263</v>
      </c>
      <c r="K66" s="7" t="s">
        <v>1225</v>
      </c>
      <c r="L66" s="2" t="s">
        <v>1544</v>
      </c>
      <c r="M66" s="9" t="s">
        <v>1553</v>
      </c>
      <c r="N66" s="9" t="s">
        <v>1571</v>
      </c>
      <c r="O66" s="2" t="s">
        <v>1609</v>
      </c>
      <c r="P66" s="2"/>
      <c r="Q66" s="2"/>
      <c r="R66" s="2"/>
      <c r="S66" s="2" t="s">
        <v>1544</v>
      </c>
      <c r="Z66" s="2"/>
    </row>
    <row r="67" spans="1:26" ht="30" customHeight="1" x14ac:dyDescent="0.5">
      <c r="A67" s="116">
        <v>272</v>
      </c>
      <c r="B67" s="8">
        <v>1102700010004</v>
      </c>
      <c r="C67" s="7" t="s">
        <v>64</v>
      </c>
      <c r="D67" s="7" t="s">
        <v>282</v>
      </c>
      <c r="E67" s="105" t="s">
        <v>2215</v>
      </c>
      <c r="F67" s="7">
        <v>2008</v>
      </c>
      <c r="G67" s="7" t="s">
        <v>19</v>
      </c>
      <c r="H67" s="7" t="s">
        <v>66</v>
      </c>
      <c r="I67" s="101" t="s">
        <v>283</v>
      </c>
      <c r="J67" s="7" t="s">
        <v>263</v>
      </c>
      <c r="K67" s="7" t="s">
        <v>270</v>
      </c>
      <c r="L67" s="2" t="s">
        <v>1549</v>
      </c>
      <c r="M67" s="2" t="s">
        <v>1548</v>
      </c>
      <c r="N67" s="2" t="s">
        <v>1571</v>
      </c>
      <c r="O67" s="2" t="s">
        <v>1609</v>
      </c>
      <c r="P67" s="2" t="s">
        <v>2110</v>
      </c>
      <c r="Q67" s="2"/>
      <c r="R67" s="2"/>
      <c r="S67" s="2" t="s">
        <v>1525</v>
      </c>
      <c r="Z67" s="2"/>
    </row>
    <row r="68" spans="1:26" ht="30" customHeight="1" x14ac:dyDescent="0.5">
      <c r="A68" s="116">
        <v>58</v>
      </c>
      <c r="B68" s="8">
        <v>1102700010004</v>
      </c>
      <c r="C68" s="7" t="s">
        <v>64</v>
      </c>
      <c r="D68" s="7" t="s">
        <v>284</v>
      </c>
      <c r="E68" s="7" t="s">
        <v>2215</v>
      </c>
      <c r="F68" s="7">
        <v>2010</v>
      </c>
      <c r="G68" s="7" t="s">
        <v>19</v>
      </c>
      <c r="H68" s="7" t="s">
        <v>42</v>
      </c>
      <c r="I68" s="101" t="s">
        <v>285</v>
      </c>
      <c r="J68" s="111" t="s">
        <v>263</v>
      </c>
      <c r="K68" s="7" t="s">
        <v>270</v>
      </c>
      <c r="L68" s="2" t="s">
        <v>1544</v>
      </c>
      <c r="M68" s="2" t="s">
        <v>1548</v>
      </c>
      <c r="N68" s="2" t="s">
        <v>1571</v>
      </c>
      <c r="O68" s="2" t="s">
        <v>2655</v>
      </c>
      <c r="P68" s="2" t="s">
        <v>2654</v>
      </c>
      <c r="Q68" s="2" t="s">
        <v>2646</v>
      </c>
      <c r="R68" s="2"/>
      <c r="S68" s="2" t="s">
        <v>1690</v>
      </c>
      <c r="X68" s="4" t="s">
        <v>1725</v>
      </c>
      <c r="Z68" s="7" t="s">
        <v>1544</v>
      </c>
    </row>
    <row r="69" spans="1:26" ht="30" hidden="1" customHeight="1" x14ac:dyDescent="0.5">
      <c r="A69" s="5">
        <v>575</v>
      </c>
      <c r="B69" s="8">
        <v>1102700010004</v>
      </c>
      <c r="C69" s="7" t="s">
        <v>64</v>
      </c>
      <c r="D69" s="7" t="s">
        <v>1279</v>
      </c>
      <c r="F69" s="7">
        <v>2006</v>
      </c>
      <c r="G69" s="7" t="s">
        <v>19</v>
      </c>
      <c r="H69" s="7" t="s">
        <v>42</v>
      </c>
      <c r="I69" s="101" t="s">
        <v>1280</v>
      </c>
      <c r="J69" s="7" t="s">
        <v>263</v>
      </c>
      <c r="K69" s="9" t="s">
        <v>1225</v>
      </c>
      <c r="L69" s="2" t="s">
        <v>1544</v>
      </c>
      <c r="M69" s="9" t="s">
        <v>1552</v>
      </c>
      <c r="N69" s="2" t="s">
        <v>1571</v>
      </c>
      <c r="O69" s="2" t="s">
        <v>1609</v>
      </c>
      <c r="P69" s="2"/>
      <c r="Q69" s="2"/>
      <c r="R69" s="2"/>
      <c r="S69" s="2" t="s">
        <v>1544</v>
      </c>
      <c r="Z69" s="2"/>
    </row>
    <row r="70" spans="1:26" ht="30" customHeight="1" x14ac:dyDescent="0.5">
      <c r="A70" s="116">
        <v>197</v>
      </c>
      <c r="B70" s="8">
        <v>1102700010004</v>
      </c>
      <c r="C70" s="7" t="s">
        <v>64</v>
      </c>
      <c r="D70" s="7" t="s">
        <v>1448</v>
      </c>
      <c r="E70" s="107" t="s">
        <v>2217</v>
      </c>
      <c r="F70" s="7">
        <v>2008</v>
      </c>
      <c r="G70" s="7" t="s">
        <v>19</v>
      </c>
      <c r="H70" s="7" t="s">
        <v>440</v>
      </c>
      <c r="I70" s="101" t="s">
        <v>1278</v>
      </c>
      <c r="J70" s="7" t="s">
        <v>263</v>
      </c>
      <c r="K70" s="7" t="s">
        <v>1225</v>
      </c>
      <c r="L70" s="2" t="s">
        <v>1544</v>
      </c>
      <c r="M70" s="2" t="s">
        <v>1548</v>
      </c>
      <c r="N70" s="2" t="s">
        <v>1571</v>
      </c>
      <c r="O70" s="2" t="s">
        <v>1582</v>
      </c>
      <c r="P70" s="2" t="s">
        <v>1583</v>
      </c>
      <c r="Q70" s="57"/>
      <c r="R70" s="2"/>
      <c r="S70" s="2"/>
      <c r="Z70" s="2"/>
    </row>
    <row r="71" spans="1:26" ht="30" hidden="1" customHeight="1" x14ac:dyDescent="0.5">
      <c r="A71" s="5">
        <v>573</v>
      </c>
      <c r="B71" s="8">
        <v>1102700010004</v>
      </c>
      <c r="C71" s="7" t="s">
        <v>64</v>
      </c>
      <c r="D71" s="7" t="s">
        <v>1272</v>
      </c>
      <c r="F71" s="7">
        <v>2007</v>
      </c>
      <c r="G71" s="7" t="s">
        <v>19</v>
      </c>
      <c r="H71" s="7" t="s">
        <v>42</v>
      </c>
      <c r="I71" s="101" t="s">
        <v>1273</v>
      </c>
      <c r="J71" s="7" t="s">
        <v>263</v>
      </c>
      <c r="K71" s="7" t="s">
        <v>1225</v>
      </c>
      <c r="L71" s="2" t="s">
        <v>1544</v>
      </c>
      <c r="M71" s="9" t="s">
        <v>1553</v>
      </c>
      <c r="N71" s="9" t="s">
        <v>1571</v>
      </c>
      <c r="O71" s="2" t="s">
        <v>1609</v>
      </c>
      <c r="P71" s="2"/>
      <c r="Q71" s="2"/>
      <c r="R71" s="2"/>
      <c r="S71" s="2" t="s">
        <v>1544</v>
      </c>
      <c r="Z71" s="2"/>
    </row>
    <row r="72" spans="1:26" ht="30" hidden="1" customHeight="1" x14ac:dyDescent="0.5">
      <c r="A72" s="5">
        <v>66</v>
      </c>
      <c r="B72" s="8">
        <v>1102700010004</v>
      </c>
      <c r="C72" s="7" t="s">
        <v>64</v>
      </c>
      <c r="D72" s="7" t="s">
        <v>1276</v>
      </c>
      <c r="F72" s="7">
        <v>2008</v>
      </c>
      <c r="G72" s="7" t="s">
        <v>19</v>
      </c>
      <c r="H72" s="7" t="s">
        <v>42</v>
      </c>
      <c r="I72" s="101" t="s">
        <v>1277</v>
      </c>
      <c r="J72" s="7" t="s">
        <v>263</v>
      </c>
      <c r="K72" s="9" t="s">
        <v>1225</v>
      </c>
      <c r="L72" s="2" t="s">
        <v>1544</v>
      </c>
      <c r="M72" s="9" t="s">
        <v>1552</v>
      </c>
      <c r="N72" s="2" t="s">
        <v>1564</v>
      </c>
      <c r="O72" s="2" t="s">
        <v>1948</v>
      </c>
      <c r="P72" s="2" t="s">
        <v>1949</v>
      </c>
      <c r="Q72" s="2"/>
      <c r="R72" s="2"/>
      <c r="S72" s="2" t="s">
        <v>1544</v>
      </c>
      <c r="X72" s="5" t="s">
        <v>1472</v>
      </c>
      <c r="Z72" s="2"/>
    </row>
    <row r="73" spans="1:26" ht="30" hidden="1" customHeight="1" x14ac:dyDescent="0.5">
      <c r="A73" s="5">
        <v>91</v>
      </c>
      <c r="B73" s="8">
        <v>1102700010004</v>
      </c>
      <c r="C73" s="7" t="s">
        <v>64</v>
      </c>
      <c r="D73" s="7" t="s">
        <v>1443</v>
      </c>
      <c r="F73" s="7">
        <v>2008</v>
      </c>
      <c r="G73" s="7" t="s">
        <v>19</v>
      </c>
      <c r="H73" s="7" t="s">
        <v>42</v>
      </c>
      <c r="I73" s="101" t="s">
        <v>645</v>
      </c>
      <c r="J73" s="7" t="s">
        <v>263</v>
      </c>
      <c r="K73" s="9" t="s">
        <v>632</v>
      </c>
      <c r="L73" s="2" t="s">
        <v>1544</v>
      </c>
      <c r="M73" s="9" t="s">
        <v>1552</v>
      </c>
      <c r="N73" s="2" t="s">
        <v>1571</v>
      </c>
      <c r="O73" s="2" t="s">
        <v>1966</v>
      </c>
      <c r="P73" s="2" t="s">
        <v>1967</v>
      </c>
      <c r="Q73" s="2"/>
      <c r="R73" s="2"/>
      <c r="S73" s="2" t="s">
        <v>1544</v>
      </c>
      <c r="X73" s="5" t="s">
        <v>1545</v>
      </c>
      <c r="Z73" s="2"/>
    </row>
    <row r="74" spans="1:26" ht="30" customHeight="1" x14ac:dyDescent="0.5">
      <c r="A74" s="116">
        <v>34</v>
      </c>
      <c r="B74" s="8">
        <v>1102700010004</v>
      </c>
      <c r="C74" s="7" t="s">
        <v>64</v>
      </c>
      <c r="D74" s="7" t="s">
        <v>646</v>
      </c>
      <c r="E74" s="105" t="s">
        <v>2215</v>
      </c>
      <c r="F74" s="7">
        <v>2008</v>
      </c>
      <c r="G74" s="7" t="s">
        <v>19</v>
      </c>
      <c r="H74" s="7" t="s">
        <v>42</v>
      </c>
      <c r="I74" s="101" t="s">
        <v>647</v>
      </c>
      <c r="J74" s="7" t="s">
        <v>263</v>
      </c>
      <c r="K74" s="7" t="s">
        <v>632</v>
      </c>
      <c r="L74" s="2" t="s">
        <v>1544</v>
      </c>
      <c r="M74" s="2" t="s">
        <v>1548</v>
      </c>
      <c r="N74" s="2" t="s">
        <v>1571</v>
      </c>
      <c r="O74" s="2" t="s">
        <v>1580</v>
      </c>
      <c r="P74" s="2" t="s">
        <v>1581</v>
      </c>
      <c r="Q74" s="57"/>
      <c r="R74" s="2"/>
      <c r="S74" s="2"/>
      <c r="X74" s="4" t="s">
        <v>1705</v>
      </c>
      <c r="Z74" s="2"/>
    </row>
    <row r="75" spans="1:26" ht="30" hidden="1" customHeight="1" x14ac:dyDescent="0.5">
      <c r="A75" s="5">
        <v>574</v>
      </c>
      <c r="B75" s="8">
        <v>1102700010004</v>
      </c>
      <c r="C75" s="7" t="s">
        <v>64</v>
      </c>
      <c r="D75" s="7" t="s">
        <v>1274</v>
      </c>
      <c r="F75" s="7">
        <v>2008</v>
      </c>
      <c r="G75" s="7" t="s">
        <v>19</v>
      </c>
      <c r="H75" s="7" t="s">
        <v>42</v>
      </c>
      <c r="I75" s="101" t="s">
        <v>1275</v>
      </c>
      <c r="J75" s="7" t="s">
        <v>263</v>
      </c>
      <c r="K75" s="7" t="s">
        <v>1225</v>
      </c>
      <c r="L75" s="2" t="s">
        <v>1544</v>
      </c>
      <c r="M75" s="9" t="s">
        <v>1553</v>
      </c>
      <c r="N75" s="9" t="s">
        <v>1571</v>
      </c>
      <c r="O75" s="2" t="s">
        <v>1609</v>
      </c>
      <c r="P75" s="2"/>
      <c r="Q75" s="2"/>
      <c r="R75" s="2"/>
      <c r="S75" s="2" t="s">
        <v>1544</v>
      </c>
      <c r="Z75" s="2"/>
    </row>
    <row r="76" spans="1:26" ht="30" hidden="1" customHeight="1" x14ac:dyDescent="0.5">
      <c r="A76" s="5">
        <v>186</v>
      </c>
      <c r="B76" s="8">
        <v>1102700010004</v>
      </c>
      <c r="C76" s="7" t="s">
        <v>64</v>
      </c>
      <c r="D76" s="7" t="s">
        <v>243</v>
      </c>
      <c r="E76" s="7" t="s">
        <v>2215</v>
      </c>
      <c r="F76" s="7">
        <v>2012</v>
      </c>
      <c r="G76" s="7" t="s">
        <v>19</v>
      </c>
      <c r="H76" s="7" t="s">
        <v>66</v>
      </c>
      <c r="I76" s="101" t="s">
        <v>244</v>
      </c>
      <c r="J76" s="7" t="s">
        <v>0</v>
      </c>
      <c r="K76" s="7" t="s">
        <v>240</v>
      </c>
      <c r="L76" s="2" t="s">
        <v>1543</v>
      </c>
      <c r="M76" s="11" t="s">
        <v>1912</v>
      </c>
      <c r="N76" s="2" t="s">
        <v>1564</v>
      </c>
      <c r="O76" s="2" t="s">
        <v>1918</v>
      </c>
      <c r="P76" s="2" t="s">
        <v>1917</v>
      </c>
      <c r="Q76" s="2" t="s">
        <v>2448</v>
      </c>
      <c r="R76" s="2"/>
      <c r="S76" s="2" t="s">
        <v>1543</v>
      </c>
      <c r="Z76" s="7"/>
    </row>
    <row r="77" spans="1:26" ht="30" customHeight="1" x14ac:dyDescent="0.5">
      <c r="A77" s="5">
        <v>130</v>
      </c>
      <c r="B77" s="8">
        <v>1102700010004</v>
      </c>
      <c r="C77" s="7" t="s">
        <v>64</v>
      </c>
      <c r="D77" s="7" t="s">
        <v>779</v>
      </c>
      <c r="F77" s="7">
        <v>2012</v>
      </c>
      <c r="G77" s="7" t="s">
        <v>19</v>
      </c>
      <c r="H77" s="7" t="s">
        <v>66</v>
      </c>
      <c r="I77" s="101" t="s">
        <v>780</v>
      </c>
      <c r="J77" s="7" t="s">
        <v>35</v>
      </c>
      <c r="K77" s="7" t="s">
        <v>776</v>
      </c>
      <c r="L77" s="2" t="s">
        <v>1506</v>
      </c>
      <c r="M77" s="2" t="s">
        <v>1548</v>
      </c>
      <c r="N77" s="2" t="s">
        <v>1571</v>
      </c>
      <c r="O77" s="2" t="s">
        <v>2314</v>
      </c>
      <c r="P77" s="9" t="s">
        <v>2313</v>
      </c>
      <c r="Q77" s="2"/>
      <c r="R77" s="2"/>
      <c r="S77" s="2" t="s">
        <v>1696</v>
      </c>
      <c r="X77" s="5" t="s">
        <v>1534</v>
      </c>
      <c r="Z77" s="2"/>
    </row>
    <row r="78" spans="1:26" ht="30" customHeight="1" x14ac:dyDescent="0.5">
      <c r="A78" s="116">
        <v>28</v>
      </c>
      <c r="B78" s="8">
        <v>1102700010004</v>
      </c>
      <c r="C78" s="7" t="s">
        <v>64</v>
      </c>
      <c r="D78" s="7" t="s">
        <v>773</v>
      </c>
      <c r="E78" s="7" t="s">
        <v>2215</v>
      </c>
      <c r="F78" s="7">
        <v>2012</v>
      </c>
      <c r="G78" s="7" t="s">
        <v>19</v>
      </c>
      <c r="H78" s="7" t="s">
        <v>66</v>
      </c>
      <c r="I78" s="101" t="s">
        <v>774</v>
      </c>
      <c r="J78" s="111" t="s">
        <v>35</v>
      </c>
      <c r="K78" s="7" t="s">
        <v>770</v>
      </c>
      <c r="L78" s="2" t="s">
        <v>1549</v>
      </c>
      <c r="M78" s="2" t="s">
        <v>1548</v>
      </c>
      <c r="N78" s="2" t="s">
        <v>1571</v>
      </c>
      <c r="O78" s="2" t="s">
        <v>2685</v>
      </c>
      <c r="P78" s="123" t="s">
        <v>2686</v>
      </c>
      <c r="Q78" s="2" t="s">
        <v>2565</v>
      </c>
      <c r="R78" s="2"/>
      <c r="S78" s="2" t="s">
        <v>1695</v>
      </c>
      <c r="X78" s="4" t="s">
        <v>1699</v>
      </c>
      <c r="Z78" s="7"/>
    </row>
    <row r="79" spans="1:26" ht="30" customHeight="1" x14ac:dyDescent="0.5">
      <c r="A79" s="116">
        <v>149</v>
      </c>
      <c r="B79" s="8">
        <v>1102700010004</v>
      </c>
      <c r="C79" s="7" t="s">
        <v>64</v>
      </c>
      <c r="D79" s="7" t="s">
        <v>223</v>
      </c>
      <c r="E79" s="105" t="s">
        <v>2213</v>
      </c>
      <c r="F79" s="7">
        <v>2012</v>
      </c>
      <c r="G79" s="7" t="s">
        <v>19</v>
      </c>
      <c r="H79" s="7" t="s">
        <v>42</v>
      </c>
      <c r="I79" s="101" t="s">
        <v>224</v>
      </c>
      <c r="J79" s="111" t="s">
        <v>35</v>
      </c>
      <c r="K79" s="7" t="s">
        <v>220</v>
      </c>
      <c r="L79" s="2" t="s">
        <v>1525</v>
      </c>
      <c r="M79" s="2" t="s">
        <v>1548</v>
      </c>
      <c r="N79" s="2" t="s">
        <v>1571</v>
      </c>
      <c r="O79" s="2" t="s">
        <v>2680</v>
      </c>
      <c r="P79" s="123" t="s">
        <v>2677</v>
      </c>
      <c r="Q79" s="2" t="s">
        <v>2672</v>
      </c>
      <c r="R79" s="2" t="s">
        <v>2681</v>
      </c>
      <c r="S79" s="2" t="s">
        <v>1708</v>
      </c>
      <c r="Z79" s="2"/>
    </row>
    <row r="80" spans="1:26" ht="30" customHeight="1" x14ac:dyDescent="0.5">
      <c r="A80" s="116">
        <v>174</v>
      </c>
      <c r="B80" s="8">
        <v>1102700010004</v>
      </c>
      <c r="C80" s="7" t="s">
        <v>64</v>
      </c>
      <c r="D80" s="7" t="s">
        <v>1459</v>
      </c>
      <c r="E80" s="105" t="s">
        <v>2215</v>
      </c>
      <c r="F80" s="7">
        <v>2012</v>
      </c>
      <c r="G80" s="7" t="s">
        <v>19</v>
      </c>
      <c r="H80" s="7" t="s">
        <v>52</v>
      </c>
      <c r="I80" s="101" t="s">
        <v>939</v>
      </c>
      <c r="J80" s="7" t="s">
        <v>35</v>
      </c>
      <c r="K80" s="7" t="s">
        <v>938</v>
      </c>
      <c r="L80" s="2" t="s">
        <v>1549</v>
      </c>
      <c r="M80" s="2" t="s">
        <v>1548</v>
      </c>
      <c r="N80" s="2" t="s">
        <v>1564</v>
      </c>
      <c r="O80" s="2" t="s">
        <v>1826</v>
      </c>
      <c r="P80" s="2" t="s">
        <v>1614</v>
      </c>
      <c r="Q80" s="57"/>
      <c r="R80" s="2"/>
      <c r="S80" s="2" t="s">
        <v>1683</v>
      </c>
      <c r="Z80" s="2"/>
    </row>
    <row r="81" spans="1:26" ht="30" hidden="1" customHeight="1" x14ac:dyDescent="0.5">
      <c r="A81" s="116">
        <v>84</v>
      </c>
      <c r="B81" s="8">
        <v>1102700010004</v>
      </c>
      <c r="C81" s="7" t="s">
        <v>64</v>
      </c>
      <c r="D81" s="7" t="s">
        <v>235</v>
      </c>
      <c r="E81" s="107" t="s">
        <v>2217</v>
      </c>
      <c r="F81" s="7">
        <v>2006</v>
      </c>
      <c r="G81" s="7" t="s">
        <v>19</v>
      </c>
      <c r="H81" s="7" t="s">
        <v>236</v>
      </c>
      <c r="I81" s="101" t="s">
        <v>237</v>
      </c>
      <c r="J81" s="7" t="s">
        <v>35</v>
      </c>
      <c r="K81" s="7" t="s">
        <v>229</v>
      </c>
      <c r="L81" s="2" t="s">
        <v>1543</v>
      </c>
      <c r="M81" s="9" t="s">
        <v>1553</v>
      </c>
      <c r="N81" s="2" t="s">
        <v>1564</v>
      </c>
      <c r="O81" s="2" t="s">
        <v>1874</v>
      </c>
      <c r="P81" s="10" t="s">
        <v>1875</v>
      </c>
      <c r="Q81" s="57" t="s">
        <v>2440</v>
      </c>
      <c r="R81" s="2" t="s">
        <v>1876</v>
      </c>
      <c r="S81" s="2" t="s">
        <v>1686</v>
      </c>
      <c r="X81" s="5" t="s">
        <v>1489</v>
      </c>
      <c r="Z81" s="2"/>
    </row>
    <row r="82" spans="1:26" ht="30" hidden="1" customHeight="1" x14ac:dyDescent="0.5">
      <c r="A82" s="5">
        <v>171</v>
      </c>
      <c r="B82" s="8">
        <v>1102700010004</v>
      </c>
      <c r="C82" s="7" t="s">
        <v>64</v>
      </c>
      <c r="D82" s="7" t="s">
        <v>641</v>
      </c>
      <c r="F82" s="7">
        <v>2012</v>
      </c>
      <c r="G82" s="7" t="s">
        <v>19</v>
      </c>
      <c r="H82" s="7" t="s">
        <v>66</v>
      </c>
      <c r="I82" s="101" t="s">
        <v>642</v>
      </c>
      <c r="J82" s="7" t="s">
        <v>263</v>
      </c>
      <c r="K82" s="9" t="s">
        <v>632</v>
      </c>
      <c r="L82" s="2" t="s">
        <v>1544</v>
      </c>
      <c r="M82" s="9" t="s">
        <v>1552</v>
      </c>
      <c r="N82" s="2" t="s">
        <v>1564</v>
      </c>
      <c r="O82" s="2" t="s">
        <v>1794</v>
      </c>
      <c r="P82" s="2" t="s">
        <v>1968</v>
      </c>
      <c r="Q82" s="2"/>
      <c r="R82" s="2"/>
      <c r="S82" s="2" t="s">
        <v>1544</v>
      </c>
      <c r="Z82" s="2"/>
    </row>
    <row r="83" spans="1:26" ht="30" hidden="1" customHeight="1" x14ac:dyDescent="0.5">
      <c r="A83" s="5">
        <v>43</v>
      </c>
      <c r="B83" s="8">
        <v>1104700010001</v>
      </c>
      <c r="C83" s="7" t="s">
        <v>245</v>
      </c>
      <c r="D83" s="7" t="s">
        <v>553</v>
      </c>
      <c r="E83" s="7" t="s">
        <v>2215</v>
      </c>
      <c r="F83" s="7">
        <v>2005</v>
      </c>
      <c r="G83" s="7" t="s">
        <v>19</v>
      </c>
      <c r="H83" s="7" t="s">
        <v>5</v>
      </c>
      <c r="I83" s="8" t="s">
        <v>554</v>
      </c>
      <c r="J83" s="7" t="s">
        <v>263</v>
      </c>
      <c r="K83" s="7" t="s">
        <v>552</v>
      </c>
      <c r="L83" s="2" t="s">
        <v>1493</v>
      </c>
      <c r="M83" s="11" t="s">
        <v>1912</v>
      </c>
      <c r="N83" s="2"/>
      <c r="O83" s="2" t="s">
        <v>1613</v>
      </c>
      <c r="P83" s="2" t="s">
        <v>1650</v>
      </c>
      <c r="Q83" s="2" t="s">
        <v>2418</v>
      </c>
      <c r="R83" s="2"/>
      <c r="S83" s="2" t="s">
        <v>2045</v>
      </c>
      <c r="X83" s="4" t="s">
        <v>1712</v>
      </c>
      <c r="Z83" s="7"/>
    </row>
    <row r="84" spans="1:26" ht="30" hidden="1" customHeight="1" x14ac:dyDescent="0.5">
      <c r="A84" s="5">
        <v>580</v>
      </c>
      <c r="B84" s="8">
        <v>1104700010001</v>
      </c>
      <c r="C84" s="7" t="s">
        <v>245</v>
      </c>
      <c r="D84" s="7" t="s">
        <v>1288</v>
      </c>
      <c r="F84" s="7">
        <v>2005</v>
      </c>
      <c r="G84" s="7" t="s">
        <v>19</v>
      </c>
      <c r="H84" s="7" t="s">
        <v>236</v>
      </c>
      <c r="I84" s="8" t="s">
        <v>1289</v>
      </c>
      <c r="J84" s="7" t="s">
        <v>263</v>
      </c>
      <c r="K84" s="7" t="s">
        <v>1225</v>
      </c>
      <c r="L84" s="2" t="s">
        <v>1544</v>
      </c>
      <c r="M84" s="9" t="s">
        <v>1553</v>
      </c>
      <c r="N84" s="2" t="s">
        <v>1571</v>
      </c>
      <c r="O84" s="2" t="s">
        <v>1609</v>
      </c>
      <c r="P84" s="2"/>
      <c r="Q84" s="2" t="s">
        <v>2440</v>
      </c>
      <c r="R84" s="2"/>
      <c r="S84" s="2" t="s">
        <v>1544</v>
      </c>
      <c r="Z84" s="2"/>
    </row>
    <row r="85" spans="1:26" ht="30" hidden="1" customHeight="1" x14ac:dyDescent="0.5">
      <c r="A85" s="5">
        <v>578</v>
      </c>
      <c r="B85" s="8">
        <v>1104700010001</v>
      </c>
      <c r="C85" s="7" t="s">
        <v>245</v>
      </c>
      <c r="D85" s="7" t="s">
        <v>1449</v>
      </c>
      <c r="F85" s="7">
        <v>2006</v>
      </c>
      <c r="G85" s="7" t="s">
        <v>19</v>
      </c>
      <c r="H85" s="7" t="s">
        <v>236</v>
      </c>
      <c r="I85" s="8" t="s">
        <v>1285</v>
      </c>
      <c r="J85" s="7" t="s">
        <v>263</v>
      </c>
      <c r="K85" s="7" t="s">
        <v>1225</v>
      </c>
      <c r="L85" s="2" t="s">
        <v>1544</v>
      </c>
      <c r="M85" s="2" t="s">
        <v>2705</v>
      </c>
      <c r="N85" s="2"/>
      <c r="O85" s="2"/>
      <c r="P85" s="2"/>
      <c r="Q85" s="2"/>
      <c r="R85" s="2"/>
      <c r="S85" s="2"/>
      <c r="Z85" s="2"/>
    </row>
    <row r="86" spans="1:26" ht="30" hidden="1" customHeight="1" x14ac:dyDescent="0.5">
      <c r="A86" s="5">
        <v>579</v>
      </c>
      <c r="B86" s="8">
        <v>1104700010001</v>
      </c>
      <c r="C86" s="7" t="s">
        <v>245</v>
      </c>
      <c r="D86" s="7" t="s">
        <v>1286</v>
      </c>
      <c r="F86" s="7">
        <v>2006</v>
      </c>
      <c r="G86" s="7" t="s">
        <v>19</v>
      </c>
      <c r="H86" s="7" t="s">
        <v>5</v>
      </c>
      <c r="I86" s="8" t="s">
        <v>1287</v>
      </c>
      <c r="J86" s="7" t="s">
        <v>263</v>
      </c>
      <c r="K86" s="7" t="s">
        <v>1225</v>
      </c>
      <c r="L86" s="2" t="s">
        <v>1544</v>
      </c>
      <c r="M86" s="9" t="s">
        <v>1553</v>
      </c>
      <c r="N86" s="2" t="s">
        <v>1571</v>
      </c>
      <c r="O86" s="2" t="s">
        <v>1609</v>
      </c>
      <c r="P86" s="2"/>
      <c r="Q86" s="2" t="s">
        <v>2440</v>
      </c>
      <c r="R86" s="2"/>
      <c r="S86" s="2" t="s">
        <v>1544</v>
      </c>
      <c r="Z86" s="2"/>
    </row>
    <row r="87" spans="1:26" ht="30" hidden="1" customHeight="1" x14ac:dyDescent="0.5">
      <c r="A87" s="5">
        <v>148</v>
      </c>
      <c r="B87" s="8">
        <v>1104700010001</v>
      </c>
      <c r="C87" s="7" t="s">
        <v>245</v>
      </c>
      <c r="D87" s="7" t="s">
        <v>246</v>
      </c>
      <c r="F87" s="7">
        <v>2006</v>
      </c>
      <c r="G87" s="7" t="s">
        <v>19</v>
      </c>
      <c r="H87" s="7" t="s">
        <v>247</v>
      </c>
      <c r="I87" s="8" t="s">
        <v>248</v>
      </c>
      <c r="J87" s="7" t="s">
        <v>0</v>
      </c>
      <c r="K87" s="7" t="s">
        <v>240</v>
      </c>
      <c r="L87" s="2" t="s">
        <v>1543</v>
      </c>
      <c r="M87" s="9" t="s">
        <v>1553</v>
      </c>
      <c r="N87" s="2" t="s">
        <v>1565</v>
      </c>
      <c r="O87" s="2" t="s">
        <v>1628</v>
      </c>
      <c r="P87" s="2" t="s">
        <v>1629</v>
      </c>
      <c r="Q87" s="2" t="s">
        <v>2440</v>
      </c>
      <c r="R87" s="2" t="s">
        <v>1543</v>
      </c>
      <c r="S87" s="2" t="s">
        <v>1730</v>
      </c>
      <c r="X87" s="5" t="s">
        <v>1663</v>
      </c>
      <c r="Z87" s="2"/>
    </row>
    <row r="88" spans="1:26" ht="30" hidden="1" customHeight="1" x14ac:dyDescent="0.5">
      <c r="A88" s="5">
        <v>321</v>
      </c>
      <c r="B88" s="8">
        <v>1104700010004</v>
      </c>
      <c r="C88" s="7" t="s">
        <v>466</v>
      </c>
      <c r="D88" s="7" t="s">
        <v>467</v>
      </c>
      <c r="E88" s="7" t="s">
        <v>2215</v>
      </c>
      <c r="F88" s="7">
        <v>2004</v>
      </c>
      <c r="G88" s="7" t="s">
        <v>19</v>
      </c>
      <c r="H88" s="7" t="s">
        <v>5</v>
      </c>
      <c r="I88" s="8" t="s">
        <v>468</v>
      </c>
      <c r="J88" s="7" t="s">
        <v>263</v>
      </c>
      <c r="K88" s="7" t="s">
        <v>465</v>
      </c>
      <c r="L88" s="2" t="s">
        <v>1471</v>
      </c>
      <c r="M88" s="11" t="s">
        <v>1912</v>
      </c>
      <c r="N88" s="2" t="s">
        <v>1571</v>
      </c>
      <c r="O88" s="2" t="s">
        <v>1731</v>
      </c>
      <c r="P88" s="2" t="s">
        <v>2565</v>
      </c>
      <c r="Q88" s="2" t="s">
        <v>2641</v>
      </c>
      <c r="R88" s="2"/>
      <c r="S88" s="2" t="s">
        <v>1673</v>
      </c>
      <c r="Z88" s="7"/>
    </row>
    <row r="89" spans="1:26" ht="30" customHeight="1" x14ac:dyDescent="0.5">
      <c r="A89" s="5">
        <v>4</v>
      </c>
      <c r="B89" s="8">
        <v>1104700020001</v>
      </c>
      <c r="C89" s="7" t="s">
        <v>431</v>
      </c>
      <c r="D89" s="7" t="s">
        <v>535</v>
      </c>
      <c r="E89" s="7" t="s">
        <v>2215</v>
      </c>
      <c r="F89" s="7">
        <v>2012</v>
      </c>
      <c r="G89" s="7" t="s">
        <v>433</v>
      </c>
      <c r="H89" s="7" t="s">
        <v>236</v>
      </c>
      <c r="I89" s="8" t="s">
        <v>536</v>
      </c>
      <c r="J89" s="7" t="s">
        <v>263</v>
      </c>
      <c r="K89" s="7" t="s">
        <v>534</v>
      </c>
      <c r="L89" s="2" t="s">
        <v>1531</v>
      </c>
      <c r="M89" s="2" t="s">
        <v>1548</v>
      </c>
      <c r="N89" s="2" t="s">
        <v>1571</v>
      </c>
      <c r="O89" s="2" t="s">
        <v>2587</v>
      </c>
      <c r="P89" s="9" t="s">
        <v>2579</v>
      </c>
      <c r="Q89" s="2" t="s">
        <v>2425</v>
      </c>
      <c r="R89" s="2"/>
      <c r="S89" s="2" t="s">
        <v>1709</v>
      </c>
      <c r="X89" s="4" t="s">
        <v>1675</v>
      </c>
      <c r="Z89" s="7"/>
    </row>
    <row r="90" spans="1:26" ht="30" customHeight="1" x14ac:dyDescent="0.5">
      <c r="A90" s="116">
        <v>57</v>
      </c>
      <c r="B90" s="8">
        <v>1104700020001</v>
      </c>
      <c r="C90" s="7" t="s">
        <v>431</v>
      </c>
      <c r="D90" s="7" t="s">
        <v>512</v>
      </c>
      <c r="E90" s="105" t="s">
        <v>2215</v>
      </c>
      <c r="F90" s="7">
        <v>2012</v>
      </c>
      <c r="G90" s="7" t="s">
        <v>433</v>
      </c>
      <c r="H90" s="7" t="s">
        <v>236</v>
      </c>
      <c r="I90" s="8" t="s">
        <v>513</v>
      </c>
      <c r="J90" s="111" t="s">
        <v>263</v>
      </c>
      <c r="K90" s="57" t="s">
        <v>509</v>
      </c>
      <c r="L90" s="2" t="s">
        <v>1477</v>
      </c>
      <c r="M90" s="2" t="s">
        <v>1548</v>
      </c>
      <c r="N90" s="2" t="s">
        <v>1565</v>
      </c>
      <c r="O90" s="2" t="s">
        <v>1770</v>
      </c>
      <c r="P90" s="2" t="s">
        <v>1771</v>
      </c>
      <c r="Q90" s="57"/>
      <c r="R90" s="2" t="s">
        <v>2494</v>
      </c>
      <c r="S90" s="2" t="s">
        <v>1689</v>
      </c>
      <c r="X90" s="4" t="s">
        <v>1724</v>
      </c>
      <c r="Z90" s="2"/>
    </row>
    <row r="91" spans="1:26" ht="30" hidden="1" customHeight="1" x14ac:dyDescent="0.5">
      <c r="A91" s="5">
        <v>328</v>
      </c>
      <c r="B91" s="8">
        <v>1104700020001</v>
      </c>
      <c r="C91" s="7" t="s">
        <v>431</v>
      </c>
      <c r="D91" s="7" t="s">
        <v>488</v>
      </c>
      <c r="F91" s="7">
        <v>2012</v>
      </c>
      <c r="G91" s="7" t="s">
        <v>433</v>
      </c>
      <c r="H91" s="7" t="s">
        <v>236</v>
      </c>
      <c r="I91" s="8" t="s">
        <v>489</v>
      </c>
      <c r="J91" s="7" t="s">
        <v>263</v>
      </c>
      <c r="K91" s="7" t="s">
        <v>485</v>
      </c>
      <c r="L91" s="2" t="s">
        <v>1518</v>
      </c>
      <c r="M91" s="2" t="s">
        <v>2705</v>
      </c>
      <c r="N91" s="2"/>
      <c r="O91" s="2"/>
      <c r="P91" s="2"/>
      <c r="Q91" s="2"/>
      <c r="R91" s="2"/>
      <c r="S91" s="2"/>
      <c r="Z91" s="2"/>
    </row>
    <row r="92" spans="1:26" ht="30" hidden="1" customHeight="1" x14ac:dyDescent="0.5">
      <c r="A92" s="5">
        <v>310</v>
      </c>
      <c r="B92" s="8">
        <v>1104700020001</v>
      </c>
      <c r="C92" s="7" t="s">
        <v>431</v>
      </c>
      <c r="D92" s="7" t="s">
        <v>432</v>
      </c>
      <c r="F92" s="7">
        <v>2012</v>
      </c>
      <c r="G92" s="7" t="s">
        <v>433</v>
      </c>
      <c r="H92" s="7" t="s">
        <v>236</v>
      </c>
      <c r="I92" s="8" t="s">
        <v>434</v>
      </c>
      <c r="J92" s="7" t="s">
        <v>263</v>
      </c>
      <c r="K92" s="7" t="s">
        <v>430</v>
      </c>
      <c r="L92" s="2" t="s">
        <v>1506</v>
      </c>
      <c r="M92" s="2" t="s">
        <v>2705</v>
      </c>
      <c r="N92" s="2"/>
      <c r="O92" s="2"/>
      <c r="P92" s="2"/>
      <c r="Q92" s="2"/>
      <c r="R92" s="2"/>
      <c r="S92" s="2"/>
      <c r="Z92" s="2"/>
    </row>
    <row r="93" spans="1:26" ht="30" hidden="1" customHeight="1" x14ac:dyDescent="0.5">
      <c r="A93" s="5">
        <v>93</v>
      </c>
      <c r="B93" s="8">
        <v>1104700020004</v>
      </c>
      <c r="C93" s="7" t="s">
        <v>584</v>
      </c>
      <c r="D93" s="7" t="s">
        <v>585</v>
      </c>
      <c r="F93" s="7">
        <v>2008</v>
      </c>
      <c r="G93" s="7" t="s">
        <v>19</v>
      </c>
      <c r="H93" s="7" t="s">
        <v>236</v>
      </c>
      <c r="I93" s="8" t="s">
        <v>586</v>
      </c>
      <c r="J93" s="7" t="s">
        <v>263</v>
      </c>
      <c r="K93" s="9" t="s">
        <v>583</v>
      </c>
      <c r="L93" s="2" t="s">
        <v>1544</v>
      </c>
      <c r="M93" s="9" t="s">
        <v>1552</v>
      </c>
      <c r="N93" s="2" t="s">
        <v>1564</v>
      </c>
      <c r="O93" s="2" t="s">
        <v>1738</v>
      </c>
      <c r="P93" s="10" t="s">
        <v>1739</v>
      </c>
      <c r="Q93" s="2"/>
      <c r="R93" s="2" t="s">
        <v>1649</v>
      </c>
      <c r="S93" s="2" t="s">
        <v>1721</v>
      </c>
      <c r="X93" s="5" t="s">
        <v>1497</v>
      </c>
      <c r="Z93" s="2"/>
    </row>
    <row r="94" spans="1:26" ht="30" customHeight="1" x14ac:dyDescent="0.5">
      <c r="A94" s="116">
        <v>99</v>
      </c>
      <c r="B94" s="8">
        <v>1104700020004</v>
      </c>
      <c r="C94" s="7" t="s">
        <v>584</v>
      </c>
      <c r="D94" s="7" t="s">
        <v>1292</v>
      </c>
      <c r="E94" s="107" t="s">
        <v>2217</v>
      </c>
      <c r="F94" s="7">
        <v>2008</v>
      </c>
      <c r="G94" s="7" t="s">
        <v>19</v>
      </c>
      <c r="H94" s="7" t="s">
        <v>236</v>
      </c>
      <c r="I94" s="8" t="s">
        <v>1293</v>
      </c>
      <c r="J94" s="7" t="s">
        <v>263</v>
      </c>
      <c r="K94" s="7" t="s">
        <v>1225</v>
      </c>
      <c r="L94" s="2" t="s">
        <v>1549</v>
      </c>
      <c r="M94" s="2" t="s">
        <v>1548</v>
      </c>
      <c r="N94" s="2" t="s">
        <v>1565</v>
      </c>
      <c r="O94" s="2" t="s">
        <v>1575</v>
      </c>
      <c r="P94" s="2" t="s">
        <v>1576</v>
      </c>
      <c r="Q94" s="57"/>
      <c r="R94" s="2" t="s">
        <v>2466</v>
      </c>
      <c r="S94" s="2"/>
      <c r="X94" s="5" t="s">
        <v>1503</v>
      </c>
      <c r="Z94" s="2"/>
    </row>
    <row r="95" spans="1:26" ht="30" customHeight="1" x14ac:dyDescent="0.5">
      <c r="A95" s="116">
        <v>102</v>
      </c>
      <c r="B95" s="8">
        <v>1104700020004</v>
      </c>
      <c r="C95" s="7" t="s">
        <v>584</v>
      </c>
      <c r="D95" s="7" t="s">
        <v>1290</v>
      </c>
      <c r="E95" s="107" t="s">
        <v>2217</v>
      </c>
      <c r="F95" s="7">
        <v>2008</v>
      </c>
      <c r="G95" s="7" t="s">
        <v>19</v>
      </c>
      <c r="H95" s="7" t="s">
        <v>236</v>
      </c>
      <c r="I95" s="8" t="s">
        <v>1291</v>
      </c>
      <c r="J95" s="7" t="s">
        <v>263</v>
      </c>
      <c r="K95" s="7" t="s">
        <v>1225</v>
      </c>
      <c r="L95" s="2" t="s">
        <v>1544</v>
      </c>
      <c r="M95" s="2" t="s">
        <v>1548</v>
      </c>
      <c r="N95" s="2" t="s">
        <v>1613</v>
      </c>
      <c r="O95" s="2" t="s">
        <v>1630</v>
      </c>
      <c r="P95" s="2" t="s">
        <v>1631</v>
      </c>
      <c r="Q95" s="57"/>
      <c r="R95" s="2"/>
      <c r="S95" s="2"/>
      <c r="X95" s="5" t="s">
        <v>1506</v>
      </c>
      <c r="Z95" s="2"/>
    </row>
    <row r="96" spans="1:26" ht="30" hidden="1" customHeight="1" x14ac:dyDescent="0.5">
      <c r="A96" s="5">
        <v>581</v>
      </c>
      <c r="B96" s="8">
        <v>1104700020004</v>
      </c>
      <c r="C96" s="7" t="s">
        <v>584</v>
      </c>
      <c r="D96" s="7" t="s">
        <v>1294</v>
      </c>
      <c r="F96" s="7">
        <v>2008</v>
      </c>
      <c r="G96" s="7" t="s">
        <v>19</v>
      </c>
      <c r="H96" s="7" t="s">
        <v>236</v>
      </c>
      <c r="I96" s="8" t="s">
        <v>1295</v>
      </c>
      <c r="J96" s="7" t="s">
        <v>263</v>
      </c>
      <c r="K96" s="7" t="s">
        <v>1225</v>
      </c>
      <c r="L96" s="2" t="s">
        <v>1544</v>
      </c>
      <c r="M96" s="9" t="s">
        <v>1553</v>
      </c>
      <c r="N96" s="9" t="s">
        <v>1571</v>
      </c>
      <c r="O96" s="2" t="s">
        <v>1609</v>
      </c>
      <c r="P96" s="2"/>
      <c r="Q96" s="2"/>
      <c r="R96" s="2"/>
      <c r="S96" s="2" t="s">
        <v>1544</v>
      </c>
      <c r="Z96" s="2"/>
    </row>
    <row r="97" spans="1:26" ht="30" customHeight="1" x14ac:dyDescent="0.5">
      <c r="A97" s="116">
        <v>73</v>
      </c>
      <c r="B97" s="74">
        <v>1101700010006</v>
      </c>
      <c r="C97" s="100" t="s">
        <v>619</v>
      </c>
      <c r="D97" s="7" t="s">
        <v>603</v>
      </c>
      <c r="E97" s="105" t="s">
        <v>2215</v>
      </c>
      <c r="F97" s="7">
        <v>2009</v>
      </c>
      <c r="G97" s="7" t="s">
        <v>19</v>
      </c>
      <c r="H97" s="7" t="s">
        <v>52</v>
      </c>
      <c r="I97" s="8" t="s">
        <v>604</v>
      </c>
      <c r="J97" s="111" t="s">
        <v>263</v>
      </c>
      <c r="K97" s="7" t="s">
        <v>602</v>
      </c>
      <c r="L97" s="2" t="s">
        <v>1549</v>
      </c>
      <c r="M97" s="2" t="s">
        <v>1548</v>
      </c>
      <c r="N97" s="2" t="s">
        <v>1567</v>
      </c>
      <c r="O97" s="2" t="s">
        <v>1838</v>
      </c>
      <c r="P97" s="2" t="s">
        <v>1943</v>
      </c>
      <c r="Q97" s="57"/>
      <c r="R97" s="2" t="s">
        <v>2564</v>
      </c>
      <c r="S97" s="2" t="s">
        <v>1716</v>
      </c>
      <c r="X97" s="5" t="s">
        <v>1478</v>
      </c>
      <c r="Z97" s="2"/>
    </row>
    <row r="98" spans="1:26" ht="30" hidden="1" customHeight="1" x14ac:dyDescent="0.5">
      <c r="A98" s="5">
        <v>100</v>
      </c>
      <c r="B98" s="74">
        <v>1101700040008</v>
      </c>
      <c r="C98" s="100" t="s">
        <v>619</v>
      </c>
      <c r="D98" s="7" t="s">
        <v>620</v>
      </c>
      <c r="F98" s="7">
        <v>2010</v>
      </c>
      <c r="G98" s="7" t="s">
        <v>19</v>
      </c>
      <c r="H98" s="7" t="s">
        <v>52</v>
      </c>
      <c r="I98" s="8" t="s">
        <v>621</v>
      </c>
      <c r="J98" s="7" t="s">
        <v>263</v>
      </c>
      <c r="K98" s="7" t="s">
        <v>618</v>
      </c>
      <c r="L98" s="2" t="s">
        <v>1537</v>
      </c>
      <c r="M98" s="11" t="s">
        <v>1912</v>
      </c>
      <c r="N98" s="2"/>
      <c r="O98" s="2"/>
      <c r="P98" s="2"/>
      <c r="Q98" s="2" t="s">
        <v>2197</v>
      </c>
      <c r="R98" s="2"/>
      <c r="S98" s="2" t="s">
        <v>2040</v>
      </c>
      <c r="X98" s="5" t="s">
        <v>1504</v>
      </c>
      <c r="Z98" s="2"/>
    </row>
    <row r="99" spans="1:26" ht="30" hidden="1" customHeight="1" x14ac:dyDescent="0.5">
      <c r="A99" s="5">
        <v>137</v>
      </c>
      <c r="B99" s="8">
        <v>1101700020004</v>
      </c>
      <c r="C99" s="7" t="s">
        <v>869</v>
      </c>
      <c r="D99" s="7" t="s">
        <v>1247</v>
      </c>
      <c r="F99" s="7">
        <v>2002</v>
      </c>
      <c r="G99" s="7" t="s">
        <v>19</v>
      </c>
      <c r="H99" s="7" t="s">
        <v>52</v>
      </c>
      <c r="I99" s="8" t="s">
        <v>1248</v>
      </c>
      <c r="J99" s="7" t="s">
        <v>263</v>
      </c>
      <c r="K99" s="9" t="s">
        <v>1225</v>
      </c>
      <c r="L99" s="2" t="s">
        <v>1549</v>
      </c>
      <c r="M99" s="9" t="s">
        <v>1552</v>
      </c>
      <c r="N99" s="2" t="s">
        <v>1571</v>
      </c>
      <c r="O99" s="2" t="s">
        <v>1598</v>
      </c>
      <c r="P99" s="2" t="s">
        <v>1955</v>
      </c>
      <c r="Q99" s="2"/>
      <c r="R99" s="2"/>
      <c r="S99" s="2" t="s">
        <v>1652</v>
      </c>
      <c r="X99" s="5" t="s">
        <v>1541</v>
      </c>
      <c r="Z99" s="2"/>
    </row>
    <row r="100" spans="1:26" ht="30" hidden="1" customHeight="1" x14ac:dyDescent="0.5">
      <c r="A100" s="5">
        <v>139</v>
      </c>
      <c r="B100" s="8">
        <v>1101700020004</v>
      </c>
      <c r="C100" s="7" t="s">
        <v>869</v>
      </c>
      <c r="D100" s="7" t="s">
        <v>1249</v>
      </c>
      <c r="F100" s="7">
        <v>2002</v>
      </c>
      <c r="G100" s="7" t="s">
        <v>19</v>
      </c>
      <c r="H100" s="7" t="s">
        <v>52</v>
      </c>
      <c r="I100" s="8" t="s">
        <v>1250</v>
      </c>
      <c r="J100" s="7" t="s">
        <v>263</v>
      </c>
      <c r="K100" s="9" t="s">
        <v>1225</v>
      </c>
      <c r="L100" s="2" t="s">
        <v>1544</v>
      </c>
      <c r="M100" s="9" t="s">
        <v>1552</v>
      </c>
      <c r="N100" s="2" t="s">
        <v>1571</v>
      </c>
      <c r="O100" s="2" t="s">
        <v>1609</v>
      </c>
      <c r="P100" s="2" t="s">
        <v>1971</v>
      </c>
      <c r="Q100" s="2"/>
      <c r="R100" s="2"/>
      <c r="S100" s="2" t="s">
        <v>1544</v>
      </c>
      <c r="X100" s="5" t="s">
        <v>1543</v>
      </c>
      <c r="Z100" s="2"/>
    </row>
    <row r="101" spans="1:26" ht="30" hidden="1" customHeight="1" x14ac:dyDescent="0.5">
      <c r="A101" s="5">
        <v>21</v>
      </c>
      <c r="B101" s="8">
        <v>1101700020004</v>
      </c>
      <c r="C101" s="7" t="s">
        <v>869</v>
      </c>
      <c r="D101" s="7" t="s">
        <v>1251</v>
      </c>
      <c r="F101" s="7">
        <v>2003</v>
      </c>
      <c r="G101" s="7" t="s">
        <v>19</v>
      </c>
      <c r="H101" s="7" t="s">
        <v>52</v>
      </c>
      <c r="I101" s="8" t="s">
        <v>1252</v>
      </c>
      <c r="J101" s="7" t="s">
        <v>263</v>
      </c>
      <c r="K101" s="9" t="s">
        <v>1225</v>
      </c>
      <c r="L101" s="2" t="s">
        <v>1544</v>
      </c>
      <c r="M101" s="9" t="s">
        <v>1552</v>
      </c>
      <c r="N101" s="2" t="s">
        <v>1571</v>
      </c>
      <c r="O101" s="2" t="s">
        <v>1972</v>
      </c>
      <c r="P101" s="2" t="s">
        <v>1825</v>
      </c>
      <c r="Q101" s="2"/>
      <c r="R101" s="2"/>
      <c r="S101" s="2" t="s">
        <v>1544</v>
      </c>
      <c r="X101" s="4" t="s">
        <v>1692</v>
      </c>
      <c r="Z101" s="2"/>
    </row>
    <row r="102" spans="1:26" ht="30" hidden="1" customHeight="1" x14ac:dyDescent="0.5">
      <c r="A102" s="5">
        <v>29</v>
      </c>
      <c r="B102" s="8">
        <v>1101700020004</v>
      </c>
      <c r="C102" s="7" t="s">
        <v>869</v>
      </c>
      <c r="D102" s="7" t="s">
        <v>1462</v>
      </c>
      <c r="F102" s="7">
        <v>2004</v>
      </c>
      <c r="G102" s="7" t="s">
        <v>19</v>
      </c>
      <c r="H102" s="7" t="s">
        <v>52</v>
      </c>
      <c r="I102" s="8" t="s">
        <v>1255</v>
      </c>
      <c r="J102" s="7" t="s">
        <v>263</v>
      </c>
      <c r="K102" s="9" t="s">
        <v>1225</v>
      </c>
      <c r="L102" s="2" t="s">
        <v>1544</v>
      </c>
      <c r="M102" s="9" t="s">
        <v>1552</v>
      </c>
      <c r="N102" s="2" t="s">
        <v>1571</v>
      </c>
      <c r="O102" s="2" t="s">
        <v>1940</v>
      </c>
      <c r="P102" s="2" t="s">
        <v>1944</v>
      </c>
      <c r="Q102" s="2"/>
      <c r="R102" s="2"/>
      <c r="S102" s="2" t="s">
        <v>1544</v>
      </c>
      <c r="X102" s="4" t="s">
        <v>1700</v>
      </c>
      <c r="Z102" s="2"/>
    </row>
    <row r="103" spans="1:26" ht="30" hidden="1" customHeight="1" x14ac:dyDescent="0.5">
      <c r="A103" s="5">
        <v>566</v>
      </c>
      <c r="B103" s="8">
        <v>1101700020004</v>
      </c>
      <c r="C103" s="7" t="s">
        <v>869</v>
      </c>
      <c r="D103" s="7" t="s">
        <v>1253</v>
      </c>
      <c r="F103" s="7">
        <v>2004</v>
      </c>
      <c r="G103" s="7" t="s">
        <v>19</v>
      </c>
      <c r="H103" s="7" t="s">
        <v>52</v>
      </c>
      <c r="I103" s="8" t="s">
        <v>1254</v>
      </c>
      <c r="J103" s="7" t="s">
        <v>263</v>
      </c>
      <c r="K103" s="7" t="s">
        <v>1225</v>
      </c>
      <c r="L103" s="2" t="s">
        <v>1549</v>
      </c>
      <c r="M103" s="9" t="s">
        <v>1553</v>
      </c>
      <c r="N103" s="2" t="s">
        <v>1571</v>
      </c>
      <c r="O103" s="2" t="s">
        <v>1609</v>
      </c>
      <c r="P103" s="2" t="s">
        <v>2109</v>
      </c>
      <c r="Q103" s="2" t="s">
        <v>2440</v>
      </c>
      <c r="R103" s="2"/>
      <c r="S103" s="2" t="s">
        <v>1544</v>
      </c>
      <c r="Z103" s="2"/>
    </row>
    <row r="104" spans="1:26" ht="30" hidden="1" customHeight="1" x14ac:dyDescent="0.5">
      <c r="A104" s="5">
        <v>144</v>
      </c>
      <c r="B104" s="8">
        <v>1101700020004</v>
      </c>
      <c r="C104" s="7" t="s">
        <v>869</v>
      </c>
      <c r="D104" s="7" t="s">
        <v>1457</v>
      </c>
      <c r="F104" s="7">
        <v>2004</v>
      </c>
      <c r="G104" s="7" t="s">
        <v>19</v>
      </c>
      <c r="H104" s="7" t="s">
        <v>52</v>
      </c>
      <c r="I104" s="8" t="s">
        <v>870</v>
      </c>
      <c r="J104" s="7" t="s">
        <v>35</v>
      </c>
      <c r="K104" s="9" t="s">
        <v>868</v>
      </c>
      <c r="L104" s="2" t="s">
        <v>1549</v>
      </c>
      <c r="M104" s="9" t="s">
        <v>1552</v>
      </c>
      <c r="N104" s="2" t="s">
        <v>1565</v>
      </c>
      <c r="O104" s="2" t="s">
        <v>1956</v>
      </c>
      <c r="P104" s="2" t="s">
        <v>1957</v>
      </c>
      <c r="Q104" s="2"/>
      <c r="R104" s="2"/>
      <c r="S104" s="2" t="s">
        <v>1719</v>
      </c>
      <c r="X104" s="5" t="s">
        <v>1557</v>
      </c>
      <c r="Z104" s="2"/>
    </row>
    <row r="105" spans="1:26" ht="30" hidden="1" customHeight="1" x14ac:dyDescent="0.5">
      <c r="A105" s="5">
        <v>19</v>
      </c>
      <c r="B105" s="8">
        <v>1101700020004</v>
      </c>
      <c r="C105" s="7" t="s">
        <v>869</v>
      </c>
      <c r="D105" s="7" t="s">
        <v>1458</v>
      </c>
      <c r="E105" s="111" t="s">
        <v>2217</v>
      </c>
      <c r="F105" s="7">
        <v>2003</v>
      </c>
      <c r="G105" s="7" t="s">
        <v>19</v>
      </c>
      <c r="H105" s="7" t="s">
        <v>52</v>
      </c>
      <c r="I105" s="8" t="s">
        <v>878</v>
      </c>
      <c r="J105" s="7" t="s">
        <v>35</v>
      </c>
      <c r="K105" s="9" t="s">
        <v>877</v>
      </c>
      <c r="L105" s="2" t="s">
        <v>1506</v>
      </c>
      <c r="M105" s="9" t="s">
        <v>1552</v>
      </c>
      <c r="N105" s="2" t="s">
        <v>1565</v>
      </c>
      <c r="O105" s="2" t="s">
        <v>1636</v>
      </c>
      <c r="P105" s="10" t="s">
        <v>1637</v>
      </c>
      <c r="Q105" s="2"/>
      <c r="R105" s="2" t="s">
        <v>1651</v>
      </c>
      <c r="S105" s="2" t="s">
        <v>1493</v>
      </c>
      <c r="X105" s="4" t="s">
        <v>1690</v>
      </c>
      <c r="Z105" s="2"/>
    </row>
    <row r="106" spans="1:26" ht="30" customHeight="1" x14ac:dyDescent="0.5">
      <c r="A106" s="5">
        <v>9</v>
      </c>
      <c r="B106" s="8">
        <v>1101700010006</v>
      </c>
      <c r="C106" s="7" t="s">
        <v>50</v>
      </c>
      <c r="D106" s="7" t="s">
        <v>633</v>
      </c>
      <c r="E106" s="105" t="s">
        <v>2215</v>
      </c>
      <c r="F106" s="7">
        <v>2010</v>
      </c>
      <c r="G106" s="7" t="s">
        <v>19</v>
      </c>
      <c r="H106" s="7" t="s">
        <v>52</v>
      </c>
      <c r="I106" s="8" t="s">
        <v>634</v>
      </c>
      <c r="J106" s="7" t="s">
        <v>263</v>
      </c>
      <c r="K106" s="7" t="s">
        <v>632</v>
      </c>
      <c r="L106" s="2" t="s">
        <v>1506</v>
      </c>
      <c r="M106" s="2" t="s">
        <v>1548</v>
      </c>
      <c r="N106" s="2" t="s">
        <v>1564</v>
      </c>
      <c r="O106" s="2" t="s">
        <v>2607</v>
      </c>
      <c r="P106" s="123" t="s">
        <v>2579</v>
      </c>
      <c r="Q106" s="2" t="s">
        <v>2573</v>
      </c>
      <c r="R106" s="2" t="s">
        <v>2581</v>
      </c>
      <c r="S106" s="2" t="s">
        <v>2006</v>
      </c>
      <c r="X106" s="4" t="s">
        <v>1680</v>
      </c>
      <c r="Z106" s="2"/>
    </row>
    <row r="107" spans="1:26" ht="30" hidden="1" customHeight="1" x14ac:dyDescent="0.5">
      <c r="A107" s="5">
        <v>37</v>
      </c>
      <c r="B107" s="8">
        <v>1101700010006</v>
      </c>
      <c r="C107" s="7" t="s">
        <v>50</v>
      </c>
      <c r="D107" s="7" t="s">
        <v>1234</v>
      </c>
      <c r="F107" s="7">
        <v>2003</v>
      </c>
      <c r="G107" s="7" t="s">
        <v>19</v>
      </c>
      <c r="H107" s="7" t="s">
        <v>52</v>
      </c>
      <c r="I107" s="8" t="s">
        <v>1235</v>
      </c>
      <c r="J107" s="7" t="s">
        <v>263</v>
      </c>
      <c r="K107" s="7" t="s">
        <v>1225</v>
      </c>
      <c r="L107" s="2" t="s">
        <v>1544</v>
      </c>
      <c r="M107" s="9" t="s">
        <v>1553</v>
      </c>
      <c r="N107" s="9" t="s">
        <v>1571</v>
      </c>
      <c r="O107" s="2" t="s">
        <v>1609</v>
      </c>
      <c r="P107" s="2"/>
      <c r="Q107" s="2"/>
      <c r="R107" s="2"/>
      <c r="S107" s="2" t="s">
        <v>1544</v>
      </c>
      <c r="X107" s="4" t="s">
        <v>1708</v>
      </c>
      <c r="Z107" s="2"/>
    </row>
    <row r="108" spans="1:26" ht="30" hidden="1" customHeight="1" x14ac:dyDescent="0.5">
      <c r="A108" s="5">
        <v>47</v>
      </c>
      <c r="B108" s="8">
        <v>1101700010006</v>
      </c>
      <c r="C108" s="7" t="s">
        <v>50</v>
      </c>
      <c r="D108" s="7" t="s">
        <v>1446</v>
      </c>
      <c r="F108" s="7">
        <v>2003</v>
      </c>
      <c r="G108" s="7" t="s">
        <v>19</v>
      </c>
      <c r="H108" s="7" t="s">
        <v>52</v>
      </c>
      <c r="I108" s="8" t="s">
        <v>1238</v>
      </c>
      <c r="J108" s="7" t="s">
        <v>263</v>
      </c>
      <c r="K108" s="9" t="s">
        <v>1225</v>
      </c>
      <c r="L108" s="2" t="s">
        <v>1544</v>
      </c>
      <c r="M108" s="9" t="s">
        <v>1552</v>
      </c>
      <c r="N108" s="2" t="s">
        <v>1567</v>
      </c>
      <c r="O108" s="2" t="s">
        <v>1959</v>
      </c>
      <c r="P108" s="2" t="s">
        <v>1960</v>
      </c>
      <c r="Q108" s="2"/>
      <c r="R108" s="2"/>
      <c r="S108" s="2" t="s">
        <v>1544</v>
      </c>
      <c r="X108" s="4" t="s">
        <v>1715</v>
      </c>
      <c r="Z108" s="2"/>
    </row>
    <row r="109" spans="1:26" ht="30" hidden="1" customHeight="1" x14ac:dyDescent="0.5">
      <c r="A109" s="5">
        <v>64</v>
      </c>
      <c r="B109" s="8">
        <v>1101700010006</v>
      </c>
      <c r="C109" s="7" t="s">
        <v>50</v>
      </c>
      <c r="D109" s="7" t="s">
        <v>1239</v>
      </c>
      <c r="F109" s="7">
        <v>2003</v>
      </c>
      <c r="G109" s="7" t="s">
        <v>19</v>
      </c>
      <c r="H109" s="7" t="s">
        <v>42</v>
      </c>
      <c r="I109" s="8" t="s">
        <v>1240</v>
      </c>
      <c r="J109" s="7" t="s">
        <v>263</v>
      </c>
      <c r="K109" s="7" t="s">
        <v>1225</v>
      </c>
      <c r="L109" s="2" t="s">
        <v>1544</v>
      </c>
      <c r="M109" s="9" t="s">
        <v>1553</v>
      </c>
      <c r="N109" s="9" t="s">
        <v>1571</v>
      </c>
      <c r="O109" s="2" t="s">
        <v>1609</v>
      </c>
      <c r="P109" s="2"/>
      <c r="Q109" s="2"/>
      <c r="R109" s="2"/>
      <c r="S109" s="2" t="s">
        <v>1544</v>
      </c>
      <c r="X109" s="5" t="s">
        <v>1471</v>
      </c>
      <c r="Z109" s="2"/>
    </row>
    <row r="110" spans="1:26" ht="30" hidden="1" customHeight="1" x14ac:dyDescent="0.5">
      <c r="A110" s="5">
        <v>2</v>
      </c>
      <c r="B110" s="8">
        <v>1101700010006</v>
      </c>
      <c r="C110" s="7" t="s">
        <v>50</v>
      </c>
      <c r="D110" s="7" t="s">
        <v>274</v>
      </c>
      <c r="F110" s="7">
        <v>2004</v>
      </c>
      <c r="G110" s="7" t="s">
        <v>19</v>
      </c>
      <c r="H110" s="7" t="s">
        <v>52</v>
      </c>
      <c r="I110" s="8" t="s">
        <v>275</v>
      </c>
      <c r="J110" s="7" t="s">
        <v>263</v>
      </c>
      <c r="K110" s="7" t="s">
        <v>270</v>
      </c>
      <c r="L110" s="2" t="s">
        <v>1544</v>
      </c>
      <c r="M110" s="9" t="s">
        <v>1553</v>
      </c>
      <c r="N110" s="9" t="s">
        <v>1571</v>
      </c>
      <c r="O110" s="2" t="s">
        <v>1609</v>
      </c>
      <c r="P110" s="2"/>
      <c r="Q110" s="2"/>
      <c r="R110" s="2"/>
      <c r="S110" s="2" t="s">
        <v>1544</v>
      </c>
      <c r="X110" s="4" t="s">
        <v>1673</v>
      </c>
      <c r="Z110" s="2"/>
    </row>
    <row r="111" spans="1:26" ht="30" hidden="1" customHeight="1" x14ac:dyDescent="0.5">
      <c r="A111" s="5">
        <v>15</v>
      </c>
      <c r="B111" s="8">
        <v>1101700010006</v>
      </c>
      <c r="C111" s="7" t="s">
        <v>50</v>
      </c>
      <c r="D111" s="7" t="s">
        <v>1230</v>
      </c>
      <c r="F111" s="7">
        <v>2006</v>
      </c>
      <c r="G111" s="7" t="s">
        <v>19</v>
      </c>
      <c r="H111" s="7" t="s">
        <v>52</v>
      </c>
      <c r="I111" s="8" t="s">
        <v>1231</v>
      </c>
      <c r="J111" s="7" t="s">
        <v>263</v>
      </c>
      <c r="K111" s="7" t="s">
        <v>1225</v>
      </c>
      <c r="L111" s="2" t="s">
        <v>1544</v>
      </c>
      <c r="M111" s="9" t="s">
        <v>1553</v>
      </c>
      <c r="N111" s="9" t="s">
        <v>1571</v>
      </c>
      <c r="O111" s="2" t="s">
        <v>1609</v>
      </c>
      <c r="P111" s="2"/>
      <c r="Q111" s="2"/>
      <c r="R111" s="2"/>
      <c r="S111" s="2" t="s">
        <v>1544</v>
      </c>
      <c r="X111" s="4" t="s">
        <v>1686</v>
      </c>
      <c r="Z111" s="2"/>
    </row>
    <row r="112" spans="1:26" ht="30" hidden="1" customHeight="1" x14ac:dyDescent="0.5">
      <c r="A112" s="116">
        <v>56</v>
      </c>
      <c r="B112" s="8">
        <v>1101700010006</v>
      </c>
      <c r="C112" s="7" t="s">
        <v>50</v>
      </c>
      <c r="D112" s="7" t="s">
        <v>193</v>
      </c>
      <c r="E112" s="7" t="s">
        <v>2215</v>
      </c>
      <c r="F112" s="7">
        <v>2010</v>
      </c>
      <c r="G112" s="7" t="s">
        <v>19</v>
      </c>
      <c r="H112" s="7" t="s">
        <v>52</v>
      </c>
      <c r="I112" s="8" t="s">
        <v>194</v>
      </c>
      <c r="J112" s="111" t="s">
        <v>35</v>
      </c>
      <c r="K112" s="7" t="s">
        <v>1561</v>
      </c>
      <c r="L112" s="2" t="s">
        <v>1506</v>
      </c>
      <c r="M112" s="11" t="s">
        <v>1912</v>
      </c>
      <c r="N112" s="2" t="s">
        <v>1559</v>
      </c>
      <c r="O112" s="2" t="s">
        <v>1559</v>
      </c>
      <c r="P112" s="2" t="s">
        <v>1768</v>
      </c>
      <c r="Q112" s="2" t="s">
        <v>2694</v>
      </c>
      <c r="R112" s="2" t="s">
        <v>1769</v>
      </c>
      <c r="S112" s="2" t="s">
        <v>1693</v>
      </c>
      <c r="U112" s="5" t="s">
        <v>1541</v>
      </c>
      <c r="X112" s="4" t="s">
        <v>1723</v>
      </c>
      <c r="Z112" s="2" t="s">
        <v>1506</v>
      </c>
    </row>
    <row r="113" spans="1:26" ht="30" customHeight="1" x14ac:dyDescent="0.5">
      <c r="A113" s="116">
        <v>40</v>
      </c>
      <c r="B113" s="8">
        <v>1101700010006</v>
      </c>
      <c r="C113" s="7" t="s">
        <v>50</v>
      </c>
      <c r="D113" s="7" t="s">
        <v>1236</v>
      </c>
      <c r="E113" s="105" t="s">
        <v>2215</v>
      </c>
      <c r="F113" s="7">
        <v>2010</v>
      </c>
      <c r="G113" s="7" t="s">
        <v>19</v>
      </c>
      <c r="H113" s="7" t="s">
        <v>52</v>
      </c>
      <c r="I113" s="8" t="s">
        <v>1237</v>
      </c>
      <c r="J113" s="7" t="s">
        <v>263</v>
      </c>
      <c r="K113" s="7" t="s">
        <v>1225</v>
      </c>
      <c r="L113" s="2" t="s">
        <v>1544</v>
      </c>
      <c r="M113" s="2" t="s">
        <v>1548</v>
      </c>
      <c r="N113" s="2" t="s">
        <v>1567</v>
      </c>
      <c r="O113" s="2" t="s">
        <v>1605</v>
      </c>
      <c r="P113" s="2" t="s">
        <v>1606</v>
      </c>
      <c r="Q113" s="57"/>
      <c r="R113" s="2"/>
      <c r="S113" s="2"/>
      <c r="X113" s="4" t="s">
        <v>1660</v>
      </c>
      <c r="Z113" s="2"/>
    </row>
    <row r="114" spans="1:26" ht="30" customHeight="1" x14ac:dyDescent="0.5">
      <c r="A114" s="116">
        <v>23</v>
      </c>
      <c r="B114" s="8">
        <v>1101700010006</v>
      </c>
      <c r="C114" s="7" t="s">
        <v>50</v>
      </c>
      <c r="D114" s="7" t="s">
        <v>1232</v>
      </c>
      <c r="E114" s="7" t="s">
        <v>2218</v>
      </c>
      <c r="F114" s="7">
        <v>2010</v>
      </c>
      <c r="G114" s="7" t="s">
        <v>19</v>
      </c>
      <c r="H114" s="7" t="s">
        <v>52</v>
      </c>
      <c r="I114" s="8" t="s">
        <v>1233</v>
      </c>
      <c r="J114" s="7" t="s">
        <v>263</v>
      </c>
      <c r="K114" s="7" t="s">
        <v>1225</v>
      </c>
      <c r="L114" s="2" t="s">
        <v>1663</v>
      </c>
      <c r="M114" s="2" t="s">
        <v>1548</v>
      </c>
      <c r="N114" s="2" t="s">
        <v>1565</v>
      </c>
      <c r="O114" s="2" t="s">
        <v>2695</v>
      </c>
      <c r="P114" s="2" t="s">
        <v>2694</v>
      </c>
      <c r="Q114" s="2" t="s">
        <v>2672</v>
      </c>
      <c r="R114" s="2" t="s">
        <v>2696</v>
      </c>
      <c r="S114" s="2" t="s">
        <v>1672</v>
      </c>
      <c r="X114" s="4" t="s">
        <v>1694</v>
      </c>
      <c r="Z114" s="7" t="s">
        <v>1475</v>
      </c>
    </row>
    <row r="115" spans="1:26" ht="30" hidden="1" customHeight="1" x14ac:dyDescent="0.5">
      <c r="A115" s="5">
        <v>39</v>
      </c>
      <c r="B115" s="8">
        <v>1101700010006</v>
      </c>
      <c r="C115" s="7" t="s">
        <v>50</v>
      </c>
      <c r="D115" s="7" t="s">
        <v>747</v>
      </c>
      <c r="F115" s="7">
        <v>2010</v>
      </c>
      <c r="G115" s="7" t="s">
        <v>19</v>
      </c>
      <c r="H115" s="7" t="s">
        <v>52</v>
      </c>
      <c r="I115" s="8" t="s">
        <v>748</v>
      </c>
      <c r="J115" s="7" t="s">
        <v>35</v>
      </c>
      <c r="K115" s="7" t="s">
        <v>746</v>
      </c>
      <c r="L115" s="2" t="s">
        <v>1487</v>
      </c>
      <c r="M115" s="11" t="s">
        <v>1912</v>
      </c>
      <c r="N115" s="2"/>
      <c r="O115" s="2"/>
      <c r="P115" s="2"/>
      <c r="Q115" s="2" t="s">
        <v>2377</v>
      </c>
      <c r="R115" s="2"/>
      <c r="S115" s="2" t="s">
        <v>2036</v>
      </c>
      <c r="X115" s="4" t="s">
        <v>1710</v>
      </c>
      <c r="Z115" s="2"/>
    </row>
    <row r="116" spans="1:26" ht="30" customHeight="1" x14ac:dyDescent="0.5">
      <c r="A116" s="116">
        <v>25</v>
      </c>
      <c r="B116" s="8">
        <v>1101700010006</v>
      </c>
      <c r="C116" s="7" t="s">
        <v>50</v>
      </c>
      <c r="D116" s="7" t="s">
        <v>637</v>
      </c>
      <c r="E116" s="105" t="s">
        <v>2215</v>
      </c>
      <c r="F116" s="7">
        <v>2006</v>
      </c>
      <c r="G116" s="7" t="s">
        <v>19</v>
      </c>
      <c r="H116" s="7" t="s">
        <v>52</v>
      </c>
      <c r="I116" s="8" t="s">
        <v>638</v>
      </c>
      <c r="J116" s="7" t="s">
        <v>263</v>
      </c>
      <c r="K116" s="7" t="s">
        <v>632</v>
      </c>
      <c r="L116" s="2" t="s">
        <v>1544</v>
      </c>
      <c r="M116" s="2" t="s">
        <v>1548</v>
      </c>
      <c r="N116" s="2" t="s">
        <v>1567</v>
      </c>
      <c r="O116" s="2" t="s">
        <v>1626</v>
      </c>
      <c r="P116" s="2" t="s">
        <v>1623</v>
      </c>
      <c r="Q116" s="57"/>
      <c r="R116" s="2"/>
      <c r="S116" s="2"/>
      <c r="X116" s="4" t="s">
        <v>1696</v>
      </c>
      <c r="Z116" s="2"/>
    </row>
    <row r="117" spans="1:26" ht="30" customHeight="1" x14ac:dyDescent="0.5">
      <c r="A117" s="116">
        <v>10</v>
      </c>
      <c r="B117" s="8">
        <v>1101700010006</v>
      </c>
      <c r="C117" s="7" t="s">
        <v>50</v>
      </c>
      <c r="D117" s="7" t="s">
        <v>635</v>
      </c>
      <c r="E117" s="105" t="s">
        <v>2215</v>
      </c>
      <c r="F117" s="7">
        <v>2010</v>
      </c>
      <c r="G117" s="7" t="s">
        <v>19</v>
      </c>
      <c r="H117" s="7" t="s">
        <v>52</v>
      </c>
      <c r="I117" s="8" t="s">
        <v>636</v>
      </c>
      <c r="J117" s="7" t="s">
        <v>263</v>
      </c>
      <c r="K117" s="7" t="s">
        <v>632</v>
      </c>
      <c r="L117" s="2" t="s">
        <v>1525</v>
      </c>
      <c r="M117" s="2" t="s">
        <v>1548</v>
      </c>
      <c r="N117" s="2" t="s">
        <v>1564</v>
      </c>
      <c r="O117" s="2" t="s">
        <v>2192</v>
      </c>
      <c r="P117" s="2" t="s">
        <v>2094</v>
      </c>
      <c r="Q117" s="2"/>
      <c r="R117" s="2" t="s">
        <v>2466</v>
      </c>
      <c r="S117" s="2" t="s">
        <v>2017</v>
      </c>
      <c r="X117" s="4" t="s">
        <v>1681</v>
      </c>
      <c r="Z117" s="2"/>
    </row>
    <row r="118" spans="1:26" ht="30" hidden="1" customHeight="1" x14ac:dyDescent="0.5">
      <c r="A118" s="5">
        <v>11</v>
      </c>
      <c r="B118" s="8">
        <v>1101700010006</v>
      </c>
      <c r="C118" s="7" t="s">
        <v>50</v>
      </c>
      <c r="D118" s="7" t="s">
        <v>1228</v>
      </c>
      <c r="F118" s="7">
        <v>2010</v>
      </c>
      <c r="G118" s="7" t="s">
        <v>19</v>
      </c>
      <c r="H118" s="7" t="s">
        <v>52</v>
      </c>
      <c r="I118" s="8" t="s">
        <v>1229</v>
      </c>
      <c r="J118" s="7" t="s">
        <v>263</v>
      </c>
      <c r="K118" s="7" t="s">
        <v>1225</v>
      </c>
      <c r="L118" s="2" t="s">
        <v>1544</v>
      </c>
      <c r="M118" s="9" t="s">
        <v>1553</v>
      </c>
      <c r="N118" s="9" t="s">
        <v>1571</v>
      </c>
      <c r="O118" s="2" t="s">
        <v>1609</v>
      </c>
      <c r="P118" s="2"/>
      <c r="Q118" s="2"/>
      <c r="R118" s="2"/>
      <c r="S118" s="2" t="s">
        <v>1544</v>
      </c>
      <c r="X118" s="4" t="s">
        <v>1682</v>
      </c>
      <c r="Z118" s="2"/>
    </row>
    <row r="119" spans="1:26" ht="30" hidden="1" customHeight="1" x14ac:dyDescent="0.5">
      <c r="A119" s="5">
        <v>70</v>
      </c>
      <c r="B119" s="8">
        <v>1101700010006</v>
      </c>
      <c r="C119" s="7" t="s">
        <v>50</v>
      </c>
      <c r="D119" s="7" t="s">
        <v>132</v>
      </c>
      <c r="F119" s="7">
        <v>2004</v>
      </c>
      <c r="G119" s="7" t="s">
        <v>19</v>
      </c>
      <c r="H119" s="7" t="s">
        <v>52</v>
      </c>
      <c r="I119" s="8" t="s">
        <v>133</v>
      </c>
      <c r="J119" s="7" t="s">
        <v>35</v>
      </c>
      <c r="K119" s="9" t="s">
        <v>131</v>
      </c>
      <c r="L119" s="2" t="s">
        <v>1544</v>
      </c>
      <c r="M119" s="9" t="s">
        <v>1552</v>
      </c>
      <c r="N119" s="2" t="s">
        <v>1564</v>
      </c>
      <c r="O119" s="2" t="s">
        <v>1588</v>
      </c>
      <c r="P119" s="2" t="s">
        <v>1973</v>
      </c>
      <c r="Q119" s="2"/>
      <c r="R119" s="2"/>
      <c r="S119" s="2" t="s">
        <v>1544</v>
      </c>
      <c r="U119" s="5" t="s">
        <v>1516</v>
      </c>
      <c r="X119" s="5" t="s">
        <v>1476</v>
      </c>
      <c r="Z119" s="2"/>
    </row>
    <row r="120" spans="1:26" ht="30" customHeight="1" x14ac:dyDescent="0.5">
      <c r="A120" s="116">
        <v>72</v>
      </c>
      <c r="B120" s="8">
        <v>1101700010006</v>
      </c>
      <c r="C120" s="7" t="s">
        <v>50</v>
      </c>
      <c r="D120" s="7" t="s">
        <v>777</v>
      </c>
      <c r="E120" s="105" t="s">
        <v>2213</v>
      </c>
      <c r="F120" s="7">
        <v>2010</v>
      </c>
      <c r="G120" s="7" t="s">
        <v>19</v>
      </c>
      <c r="H120" s="7" t="s">
        <v>52</v>
      </c>
      <c r="I120" s="8" t="s">
        <v>778</v>
      </c>
      <c r="J120" s="7" t="s">
        <v>35</v>
      </c>
      <c r="K120" s="7" t="s">
        <v>776</v>
      </c>
      <c r="L120" s="2" t="s">
        <v>1663</v>
      </c>
      <c r="M120" s="2" t="s">
        <v>1548</v>
      </c>
      <c r="N120" s="2" t="s">
        <v>1564</v>
      </c>
      <c r="O120" s="2" t="s">
        <v>1783</v>
      </c>
      <c r="P120" s="2" t="s">
        <v>1793</v>
      </c>
      <c r="Q120" s="57"/>
      <c r="R120" s="2"/>
      <c r="S120" s="2" t="s">
        <v>1695</v>
      </c>
      <c r="X120" s="5" t="s">
        <v>1554</v>
      </c>
      <c r="Z120" s="2"/>
    </row>
    <row r="121" spans="1:26" ht="30" customHeight="1" x14ac:dyDescent="0.5">
      <c r="A121" s="5">
        <v>35</v>
      </c>
      <c r="B121" s="8">
        <v>1101700010006</v>
      </c>
      <c r="C121" s="7" t="s">
        <v>50</v>
      </c>
      <c r="D121" s="7" t="s">
        <v>639</v>
      </c>
      <c r="F121" s="7">
        <v>2010</v>
      </c>
      <c r="G121" s="7" t="s">
        <v>19</v>
      </c>
      <c r="H121" s="7" t="s">
        <v>52</v>
      </c>
      <c r="I121" s="8" t="s">
        <v>640</v>
      </c>
      <c r="J121" s="7" t="s">
        <v>263</v>
      </c>
      <c r="K121" s="7" t="s">
        <v>632</v>
      </c>
      <c r="L121" s="2" t="s">
        <v>1506</v>
      </c>
      <c r="M121" s="2" t="s">
        <v>1548</v>
      </c>
      <c r="N121" s="2" t="s">
        <v>1564</v>
      </c>
      <c r="O121" s="2" t="s">
        <v>2651</v>
      </c>
      <c r="P121" s="2" t="s">
        <v>2646</v>
      </c>
      <c r="Q121" s="2" t="s">
        <v>2504</v>
      </c>
      <c r="R121" s="2" t="s">
        <v>2247</v>
      </c>
      <c r="S121" s="2" t="s">
        <v>2007</v>
      </c>
      <c r="X121" s="4" t="s">
        <v>1706</v>
      </c>
      <c r="Z121" s="2"/>
    </row>
    <row r="122" spans="1:26" ht="30" customHeight="1" x14ac:dyDescent="0.5">
      <c r="A122" s="116">
        <v>38</v>
      </c>
      <c r="B122" s="8">
        <v>1101700010006</v>
      </c>
      <c r="C122" s="7" t="s">
        <v>50</v>
      </c>
      <c r="D122" s="7" t="s">
        <v>793</v>
      </c>
      <c r="E122" s="105" t="s">
        <v>2215</v>
      </c>
      <c r="F122" s="7">
        <v>2010</v>
      </c>
      <c r="G122" s="7" t="s">
        <v>19</v>
      </c>
      <c r="H122" s="7" t="s">
        <v>52</v>
      </c>
      <c r="I122" s="8" t="s">
        <v>794</v>
      </c>
      <c r="J122" s="7" t="s">
        <v>35</v>
      </c>
      <c r="K122" s="7" t="s">
        <v>792</v>
      </c>
      <c r="L122" s="2" t="s">
        <v>1549</v>
      </c>
      <c r="M122" s="2" t="s">
        <v>1548</v>
      </c>
      <c r="N122" s="2" t="s">
        <v>1564</v>
      </c>
      <c r="O122" s="2" t="s">
        <v>1866</v>
      </c>
      <c r="P122" s="2" t="s">
        <v>1867</v>
      </c>
      <c r="Q122" s="57"/>
      <c r="R122" s="2" t="s">
        <v>1868</v>
      </c>
      <c r="S122" s="2" t="s">
        <v>1707</v>
      </c>
      <c r="X122" s="4" t="s">
        <v>1709</v>
      </c>
      <c r="Z122" s="2"/>
    </row>
    <row r="123" spans="1:26" ht="30" customHeight="1" x14ac:dyDescent="0.5">
      <c r="A123" s="116">
        <v>71</v>
      </c>
      <c r="B123" s="8">
        <v>1101700010006</v>
      </c>
      <c r="C123" s="7" t="s">
        <v>50</v>
      </c>
      <c r="D123" s="7" t="s">
        <v>134</v>
      </c>
      <c r="E123" s="105" t="s">
        <v>2215</v>
      </c>
      <c r="F123" s="7">
        <v>2010</v>
      </c>
      <c r="G123" s="7" t="s">
        <v>19</v>
      </c>
      <c r="H123" s="7" t="s">
        <v>52</v>
      </c>
      <c r="I123" s="8" t="s">
        <v>135</v>
      </c>
      <c r="J123" s="7" t="s">
        <v>35</v>
      </c>
      <c r="K123" s="7" t="s">
        <v>131</v>
      </c>
      <c r="L123" s="2" t="s">
        <v>1549</v>
      </c>
      <c r="M123" s="2" t="s">
        <v>1548</v>
      </c>
      <c r="N123" s="2" t="s">
        <v>1564</v>
      </c>
      <c r="O123" s="2" t="s">
        <v>1849</v>
      </c>
      <c r="P123" s="2" t="s">
        <v>1741</v>
      </c>
      <c r="Q123" s="57"/>
      <c r="R123" s="2"/>
      <c r="S123" s="2" t="s">
        <v>1720</v>
      </c>
      <c r="U123" s="5" t="s">
        <v>1517</v>
      </c>
      <c r="X123" s="5" t="s">
        <v>1477</v>
      </c>
      <c r="Z123" s="2"/>
    </row>
    <row r="124" spans="1:26" ht="30" customHeight="1" x14ac:dyDescent="0.5">
      <c r="A124" s="116">
        <v>63</v>
      </c>
      <c r="B124" s="8">
        <v>1101700010006</v>
      </c>
      <c r="C124" s="7" t="s">
        <v>50</v>
      </c>
      <c r="D124" s="7" t="s">
        <v>771</v>
      </c>
      <c r="E124" s="7" t="s">
        <v>2215</v>
      </c>
      <c r="F124" s="7">
        <v>2010</v>
      </c>
      <c r="G124" s="7" t="s">
        <v>19</v>
      </c>
      <c r="H124" s="7" t="s">
        <v>52</v>
      </c>
      <c r="I124" s="8" t="s">
        <v>772</v>
      </c>
      <c r="J124" s="111" t="s">
        <v>35</v>
      </c>
      <c r="K124" s="7" t="s">
        <v>770</v>
      </c>
      <c r="L124" s="2" t="s">
        <v>1506</v>
      </c>
      <c r="M124" s="2" t="s">
        <v>1548</v>
      </c>
      <c r="N124" s="2" t="s">
        <v>1564</v>
      </c>
      <c r="O124" s="2" t="s">
        <v>2699</v>
      </c>
      <c r="P124" s="2" t="s">
        <v>2698</v>
      </c>
      <c r="Q124" s="2" t="s">
        <v>2612</v>
      </c>
      <c r="R124" s="2"/>
      <c r="S124" s="2" t="s">
        <v>1695</v>
      </c>
      <c r="X124" s="4" t="s">
        <v>1730</v>
      </c>
      <c r="Z124" s="7"/>
    </row>
    <row r="125" spans="1:26" ht="30" hidden="1" customHeight="1" x14ac:dyDescent="0.5">
      <c r="A125" s="5">
        <v>185</v>
      </c>
      <c r="B125" s="8">
        <v>1101700010004</v>
      </c>
      <c r="C125" s="7" t="s">
        <v>271</v>
      </c>
      <c r="D125" s="7" t="s">
        <v>272</v>
      </c>
      <c r="F125" s="7">
        <v>2002</v>
      </c>
      <c r="G125" s="7" t="s">
        <v>19</v>
      </c>
      <c r="H125" s="7" t="s">
        <v>52</v>
      </c>
      <c r="I125" s="8" t="s">
        <v>273</v>
      </c>
      <c r="J125" s="7" t="s">
        <v>263</v>
      </c>
      <c r="K125" s="9" t="s">
        <v>270</v>
      </c>
      <c r="L125" s="2" t="s">
        <v>1544</v>
      </c>
      <c r="M125" s="9" t="s">
        <v>1552</v>
      </c>
      <c r="N125" s="2" t="s">
        <v>1571</v>
      </c>
      <c r="O125" s="2" t="s">
        <v>1963</v>
      </c>
      <c r="P125" s="2" t="s">
        <v>1964</v>
      </c>
      <c r="Q125" s="2"/>
      <c r="R125" s="2"/>
      <c r="S125" s="2" t="s">
        <v>1544</v>
      </c>
      <c r="Z125" s="2" t="s">
        <v>1531</v>
      </c>
    </row>
    <row r="126" spans="1:26" ht="30" hidden="1" customHeight="1" x14ac:dyDescent="0.5">
      <c r="A126" s="5">
        <v>1</v>
      </c>
      <c r="B126" s="8">
        <v>1101700010005</v>
      </c>
      <c r="C126" s="7" t="s">
        <v>1226</v>
      </c>
      <c r="D126" s="7" t="s">
        <v>1227</v>
      </c>
      <c r="F126" s="7">
        <v>1983</v>
      </c>
      <c r="G126" s="7" t="s">
        <v>19</v>
      </c>
      <c r="H126" s="7" t="s">
        <v>52</v>
      </c>
      <c r="I126" s="8">
        <v>14943943</v>
      </c>
      <c r="J126" s="7" t="s">
        <v>263</v>
      </c>
      <c r="K126" s="7" t="s">
        <v>1225</v>
      </c>
      <c r="L126" s="2" t="s">
        <v>1544</v>
      </c>
      <c r="M126" s="9" t="s">
        <v>1553</v>
      </c>
      <c r="N126" s="2" t="s">
        <v>1571</v>
      </c>
      <c r="O126" s="2" t="s">
        <v>1609</v>
      </c>
      <c r="P126" s="2"/>
      <c r="Q126" s="2" t="s">
        <v>2438</v>
      </c>
      <c r="R126" s="2"/>
      <c r="S126" s="2" t="s">
        <v>1544</v>
      </c>
      <c r="X126" s="4" t="s">
        <v>1672</v>
      </c>
      <c r="Z126" s="2"/>
    </row>
    <row r="127" spans="1:26" ht="30" customHeight="1" x14ac:dyDescent="0.5">
      <c r="A127" s="116">
        <v>372</v>
      </c>
      <c r="B127" s="75">
        <v>1101700010006</v>
      </c>
      <c r="C127" s="7" t="s">
        <v>2075</v>
      </c>
      <c r="D127" s="7" t="s">
        <v>167</v>
      </c>
      <c r="E127" s="106" t="s">
        <v>2215</v>
      </c>
      <c r="F127" s="7">
        <v>2014</v>
      </c>
      <c r="G127" s="7" t="s">
        <v>19</v>
      </c>
      <c r="H127" s="7" t="s">
        <v>52</v>
      </c>
      <c r="I127" s="8" t="s">
        <v>168</v>
      </c>
      <c r="J127" s="7" t="s">
        <v>35</v>
      </c>
      <c r="K127" s="7" t="s">
        <v>166</v>
      </c>
      <c r="L127" s="2" t="s">
        <v>1471</v>
      </c>
      <c r="M127" s="2" t="s">
        <v>1548</v>
      </c>
      <c r="N127" s="2" t="s">
        <v>1564</v>
      </c>
      <c r="O127" s="2" t="s">
        <v>2550</v>
      </c>
      <c r="P127" s="9" t="s">
        <v>2549</v>
      </c>
      <c r="Q127" s="2" t="s">
        <v>2385</v>
      </c>
      <c r="R127" s="2"/>
      <c r="S127" s="2" t="s">
        <v>1995</v>
      </c>
      <c r="U127" s="5" t="s">
        <v>1531</v>
      </c>
      <c r="Z127" s="7"/>
    </row>
    <row r="128" spans="1:26" ht="30" hidden="1" customHeight="1" x14ac:dyDescent="0.5">
      <c r="A128" s="5">
        <v>259</v>
      </c>
      <c r="B128" s="75">
        <v>1101700010006</v>
      </c>
      <c r="C128" s="7" t="s">
        <v>2075</v>
      </c>
      <c r="D128" s="7" t="s">
        <v>814</v>
      </c>
      <c r="E128" s="7" t="s">
        <v>2213</v>
      </c>
      <c r="F128" s="7">
        <v>2013</v>
      </c>
      <c r="G128" s="7" t="s">
        <v>19</v>
      </c>
      <c r="H128" s="7" t="s">
        <v>52</v>
      </c>
      <c r="I128" s="8" t="s">
        <v>815</v>
      </c>
      <c r="J128" s="7" t="s">
        <v>35</v>
      </c>
      <c r="K128" s="7" t="s">
        <v>813</v>
      </c>
      <c r="L128" s="2" t="s">
        <v>1518</v>
      </c>
      <c r="M128" s="11" t="s">
        <v>1912</v>
      </c>
      <c r="N128" s="2" t="s">
        <v>1570</v>
      </c>
      <c r="O128" s="2" t="s">
        <v>2583</v>
      </c>
      <c r="P128" s="2" t="s">
        <v>2579</v>
      </c>
      <c r="Q128" s="2" t="s">
        <v>2593</v>
      </c>
      <c r="R128" s="2"/>
      <c r="S128" s="2" t="s">
        <v>1681</v>
      </c>
      <c r="Z128" s="7"/>
    </row>
    <row r="129" spans="1:26" ht="30" hidden="1" customHeight="1" x14ac:dyDescent="0.5">
      <c r="A129" s="5">
        <v>179</v>
      </c>
      <c r="B129" s="75">
        <v>1101700010006</v>
      </c>
      <c r="C129" s="7" t="s">
        <v>2075</v>
      </c>
      <c r="D129" s="7" t="s">
        <v>73</v>
      </c>
      <c r="E129" s="72" t="s">
        <v>2098</v>
      </c>
      <c r="F129" s="7">
        <v>2013</v>
      </c>
      <c r="G129" s="7" t="s">
        <v>19</v>
      </c>
      <c r="H129" s="7" t="s">
        <v>52</v>
      </c>
      <c r="I129" s="8" t="s">
        <v>74</v>
      </c>
      <c r="J129" s="7" t="s">
        <v>35</v>
      </c>
      <c r="K129" s="7" t="s">
        <v>72</v>
      </c>
      <c r="L129" s="2" t="s">
        <v>1506</v>
      </c>
      <c r="M129" s="11" t="s">
        <v>1912</v>
      </c>
      <c r="N129" s="2"/>
      <c r="O129" s="2"/>
      <c r="P129" s="2"/>
      <c r="Q129" s="2" t="s">
        <v>2319</v>
      </c>
      <c r="R129" s="2"/>
      <c r="S129" s="2" t="s">
        <v>1698</v>
      </c>
      <c r="U129" s="5" t="s">
        <v>1492</v>
      </c>
      <c r="Z129" s="7"/>
    </row>
    <row r="130" spans="1:26" ht="30" hidden="1" customHeight="1" x14ac:dyDescent="0.5">
      <c r="A130" s="5">
        <v>565</v>
      </c>
      <c r="B130" s="75">
        <v>1101700010006</v>
      </c>
      <c r="C130" s="7" t="s">
        <v>2075</v>
      </c>
      <c r="D130" s="7" t="s">
        <v>761</v>
      </c>
      <c r="E130" s="7" t="s">
        <v>2213</v>
      </c>
      <c r="F130" s="7">
        <v>2016</v>
      </c>
      <c r="G130" s="7" t="s">
        <v>19</v>
      </c>
      <c r="H130" s="7" t="s">
        <v>52</v>
      </c>
      <c r="I130" s="8" t="s">
        <v>762</v>
      </c>
      <c r="J130" s="7" t="s">
        <v>35</v>
      </c>
      <c r="K130" s="7" t="s">
        <v>760</v>
      </c>
      <c r="L130" s="2" t="s">
        <v>1487</v>
      </c>
      <c r="M130" s="11" t="s">
        <v>1912</v>
      </c>
      <c r="N130" s="2" t="s">
        <v>1565</v>
      </c>
      <c r="O130" s="2" t="s">
        <v>1956</v>
      </c>
      <c r="P130" s="2" t="s">
        <v>2448</v>
      </c>
      <c r="Q130" s="2" t="s">
        <v>2474</v>
      </c>
      <c r="R130" s="2" t="s">
        <v>2458</v>
      </c>
      <c r="S130" s="2" t="s">
        <v>1701</v>
      </c>
      <c r="Z130" s="7"/>
    </row>
    <row r="131" spans="1:26" ht="30" hidden="1" customHeight="1" x14ac:dyDescent="0.5">
      <c r="A131" s="5">
        <v>254</v>
      </c>
      <c r="B131" s="75">
        <v>1101700010006</v>
      </c>
      <c r="C131" s="7" t="s">
        <v>2075</v>
      </c>
      <c r="D131" s="7" t="s">
        <v>241</v>
      </c>
      <c r="E131" s="7" t="s">
        <v>2221</v>
      </c>
      <c r="F131" s="7">
        <v>2013</v>
      </c>
      <c r="G131" s="7" t="s">
        <v>19</v>
      </c>
      <c r="H131" s="7" t="s">
        <v>52</v>
      </c>
      <c r="I131" s="8" t="s">
        <v>242</v>
      </c>
      <c r="J131" s="7" t="s">
        <v>0</v>
      </c>
      <c r="K131" s="57" t="s">
        <v>240</v>
      </c>
      <c r="L131" s="2" t="s">
        <v>1543</v>
      </c>
      <c r="M131" s="11" t="s">
        <v>1912</v>
      </c>
      <c r="N131" s="2" t="s">
        <v>1571</v>
      </c>
      <c r="O131" s="2" t="s">
        <v>2200</v>
      </c>
      <c r="P131" s="2" t="s">
        <v>2197</v>
      </c>
      <c r="Q131" s="2" t="s">
        <v>2448</v>
      </c>
      <c r="R131" s="2"/>
      <c r="S131" s="2" t="s">
        <v>1543</v>
      </c>
      <c r="Z131" s="7"/>
    </row>
    <row r="132" spans="1:26" ht="30" customHeight="1" x14ac:dyDescent="0.5">
      <c r="A132" s="116">
        <v>450</v>
      </c>
      <c r="B132" s="75">
        <v>1101700010006</v>
      </c>
      <c r="C132" s="7" t="s">
        <v>2075</v>
      </c>
      <c r="D132" s="7" t="s">
        <v>280</v>
      </c>
      <c r="E132" s="105" t="s">
        <v>2215</v>
      </c>
      <c r="F132" s="7">
        <v>2015</v>
      </c>
      <c r="G132" s="7" t="s">
        <v>19</v>
      </c>
      <c r="H132" s="7" t="s">
        <v>52</v>
      </c>
      <c r="I132" s="8" t="s">
        <v>281</v>
      </c>
      <c r="J132" s="7" t="s">
        <v>263</v>
      </c>
      <c r="K132" s="7" t="s">
        <v>270</v>
      </c>
      <c r="L132" s="2" t="s">
        <v>1549</v>
      </c>
      <c r="M132" s="2" t="s">
        <v>1548</v>
      </c>
      <c r="N132" s="2" t="s">
        <v>1564</v>
      </c>
      <c r="O132" s="2" t="s">
        <v>2072</v>
      </c>
      <c r="P132" s="2" t="s">
        <v>2069</v>
      </c>
      <c r="Q132" s="57"/>
      <c r="R132" s="2" t="s">
        <v>2722</v>
      </c>
      <c r="S132" s="2" t="s">
        <v>1694</v>
      </c>
      <c r="Z132" s="2" t="s">
        <v>1492</v>
      </c>
    </row>
    <row r="133" spans="1:26" ht="30" customHeight="1" x14ac:dyDescent="0.5">
      <c r="A133" s="116">
        <v>426</v>
      </c>
      <c r="B133" s="75">
        <v>1101700010006</v>
      </c>
      <c r="C133" s="7" t="s">
        <v>2075</v>
      </c>
      <c r="D133" s="7" t="s">
        <v>278</v>
      </c>
      <c r="E133" s="105" t="s">
        <v>2221</v>
      </c>
      <c r="F133" s="7">
        <v>2015</v>
      </c>
      <c r="G133" s="7" t="s">
        <v>19</v>
      </c>
      <c r="H133" s="7" t="s">
        <v>52</v>
      </c>
      <c r="I133" s="8" t="s">
        <v>279</v>
      </c>
      <c r="J133" s="7" t="s">
        <v>263</v>
      </c>
      <c r="K133" s="7" t="s">
        <v>270</v>
      </c>
      <c r="L133" s="2" t="s">
        <v>1471</v>
      </c>
      <c r="M133" s="2" t="s">
        <v>1548</v>
      </c>
      <c r="N133" s="2" t="s">
        <v>1564</v>
      </c>
      <c r="O133" s="2" t="s">
        <v>2179</v>
      </c>
      <c r="P133" s="2" t="s">
        <v>2180</v>
      </c>
      <c r="Q133" s="2"/>
      <c r="R133" s="2"/>
      <c r="S133" s="2" t="s">
        <v>1994</v>
      </c>
      <c r="Z133" s="2"/>
    </row>
    <row r="134" spans="1:26" ht="30" hidden="1" customHeight="1" x14ac:dyDescent="0.5">
      <c r="A134" s="5">
        <v>418</v>
      </c>
      <c r="B134" s="75">
        <v>1101700010006</v>
      </c>
      <c r="C134" s="7" t="s">
        <v>2075</v>
      </c>
      <c r="D134" s="7" t="s">
        <v>486</v>
      </c>
      <c r="F134" s="7">
        <v>2015</v>
      </c>
      <c r="G134" s="7" t="s">
        <v>19</v>
      </c>
      <c r="H134" s="7" t="s">
        <v>52</v>
      </c>
      <c r="I134" s="8" t="s">
        <v>487</v>
      </c>
      <c r="J134" s="7" t="s">
        <v>263</v>
      </c>
      <c r="K134" s="7" t="s">
        <v>485</v>
      </c>
      <c r="L134" s="2" t="s">
        <v>1518</v>
      </c>
      <c r="M134" s="2" t="s">
        <v>2705</v>
      </c>
      <c r="N134" s="2"/>
      <c r="O134" s="2"/>
      <c r="P134" s="2"/>
      <c r="Q134" s="2"/>
      <c r="R134" s="2" t="s">
        <v>2653</v>
      </c>
      <c r="S134" s="2"/>
      <c r="Z134" s="2"/>
    </row>
    <row r="135" spans="1:26" ht="30" customHeight="1" x14ac:dyDescent="0.5">
      <c r="A135" s="5">
        <v>270</v>
      </c>
      <c r="B135" s="75">
        <v>1101700010006</v>
      </c>
      <c r="C135" s="7" t="s">
        <v>2075</v>
      </c>
      <c r="D135" s="7" t="s">
        <v>2097</v>
      </c>
      <c r="E135" s="72" t="s">
        <v>2213</v>
      </c>
      <c r="F135" s="7">
        <v>2013</v>
      </c>
      <c r="G135" s="7" t="s">
        <v>19</v>
      </c>
      <c r="H135" s="7" t="s">
        <v>52</v>
      </c>
      <c r="I135" s="8" t="s">
        <v>84</v>
      </c>
      <c r="J135" s="7" t="s">
        <v>35</v>
      </c>
      <c r="K135" s="57" t="s">
        <v>82</v>
      </c>
      <c r="L135" s="2" t="s">
        <v>1506</v>
      </c>
      <c r="M135" s="2" t="s">
        <v>1548</v>
      </c>
      <c r="N135" s="2" t="s">
        <v>1571</v>
      </c>
      <c r="O135" s="2" t="s">
        <v>2315</v>
      </c>
      <c r="P135" s="123" t="s">
        <v>2316</v>
      </c>
      <c r="Q135" s="2"/>
      <c r="R135" s="2" t="s">
        <v>2379</v>
      </c>
      <c r="S135" s="2" t="s">
        <v>1697</v>
      </c>
      <c r="U135" s="5" t="s">
        <v>1545</v>
      </c>
      <c r="Z135" s="2"/>
    </row>
    <row r="136" spans="1:26" ht="30" customHeight="1" x14ac:dyDescent="0.5">
      <c r="A136" s="116">
        <v>143</v>
      </c>
      <c r="B136" s="75">
        <v>1101700030006</v>
      </c>
      <c r="C136" s="7" t="s">
        <v>2075</v>
      </c>
      <c r="D136" s="7" t="s">
        <v>1258</v>
      </c>
      <c r="E136" s="105" t="s">
        <v>2215</v>
      </c>
      <c r="F136" s="7">
        <v>2012</v>
      </c>
      <c r="G136" s="7" t="s">
        <v>19</v>
      </c>
      <c r="H136" s="7" t="s">
        <v>52</v>
      </c>
      <c r="I136" s="8" t="s">
        <v>1259</v>
      </c>
      <c r="J136" s="7" t="s">
        <v>263</v>
      </c>
      <c r="K136" s="7" t="s">
        <v>1225</v>
      </c>
      <c r="L136" s="2" t="s">
        <v>1544</v>
      </c>
      <c r="M136" s="2" t="s">
        <v>1548</v>
      </c>
      <c r="N136" s="2" t="s">
        <v>1564</v>
      </c>
      <c r="O136" s="2" t="s">
        <v>1590</v>
      </c>
      <c r="P136" s="2" t="s">
        <v>1591</v>
      </c>
      <c r="Q136" s="57"/>
      <c r="R136" s="2"/>
      <c r="S136" s="2"/>
      <c r="X136" s="5" t="s">
        <v>1556</v>
      </c>
      <c r="Z136" s="2"/>
    </row>
    <row r="137" spans="1:26" ht="30" customHeight="1" x14ac:dyDescent="0.5">
      <c r="A137" s="116">
        <v>247</v>
      </c>
      <c r="B137" s="75">
        <v>1101700010006</v>
      </c>
      <c r="C137" s="7" t="s">
        <v>2075</v>
      </c>
      <c r="D137" s="7" t="s">
        <v>1245</v>
      </c>
      <c r="E137" s="105" t="s">
        <v>2215</v>
      </c>
      <c r="F137" s="7">
        <v>2013</v>
      </c>
      <c r="G137" s="7" t="s">
        <v>19</v>
      </c>
      <c r="H137" s="7" t="s">
        <v>52</v>
      </c>
      <c r="I137" s="8" t="s">
        <v>1246</v>
      </c>
      <c r="J137" s="111" t="s">
        <v>263</v>
      </c>
      <c r="K137" s="7" t="s">
        <v>1225</v>
      </c>
      <c r="L137" s="2" t="s">
        <v>1471</v>
      </c>
      <c r="M137" s="2" t="s">
        <v>1548</v>
      </c>
      <c r="N137" s="2" t="s">
        <v>1564</v>
      </c>
      <c r="O137" s="2" t="s">
        <v>2582</v>
      </c>
      <c r="P137" s="123" t="s">
        <v>2517</v>
      </c>
      <c r="Q137" s="2" t="s">
        <v>2489</v>
      </c>
      <c r="R137" s="2" t="s">
        <v>2518</v>
      </c>
      <c r="S137" s="2" t="s">
        <v>1471</v>
      </c>
      <c r="Z137" s="2" t="s">
        <v>1474</v>
      </c>
    </row>
    <row r="138" spans="1:26" ht="30" customHeight="1" x14ac:dyDescent="0.5">
      <c r="A138" s="116">
        <v>401</v>
      </c>
      <c r="B138" s="75">
        <v>1101700010006</v>
      </c>
      <c r="C138" s="7" t="s">
        <v>2075</v>
      </c>
      <c r="D138" s="7" t="s">
        <v>1243</v>
      </c>
      <c r="E138" s="105" t="s">
        <v>2215</v>
      </c>
      <c r="F138" s="7">
        <v>2014</v>
      </c>
      <c r="G138" s="7" t="s">
        <v>19</v>
      </c>
      <c r="H138" s="7" t="s">
        <v>52</v>
      </c>
      <c r="I138" s="8" t="s">
        <v>1244</v>
      </c>
      <c r="J138" s="7" t="s">
        <v>263</v>
      </c>
      <c r="K138" s="7" t="s">
        <v>1225</v>
      </c>
      <c r="L138" s="2" t="s">
        <v>1498</v>
      </c>
      <c r="M138" s="11" t="s">
        <v>1548</v>
      </c>
      <c r="N138" s="2" t="s">
        <v>1564</v>
      </c>
      <c r="O138" s="2" t="s">
        <v>1887</v>
      </c>
      <c r="P138" s="2" t="s">
        <v>2725</v>
      </c>
      <c r="Q138" s="2" t="s">
        <v>2692</v>
      </c>
      <c r="R138" s="2" t="s">
        <v>2447</v>
      </c>
      <c r="S138" s="2" t="s">
        <v>2053</v>
      </c>
      <c r="Z138" s="2"/>
    </row>
    <row r="139" spans="1:26" ht="30" customHeight="1" x14ac:dyDescent="0.5">
      <c r="A139" s="5">
        <v>153</v>
      </c>
      <c r="B139" s="75">
        <v>1101700010006</v>
      </c>
      <c r="C139" s="7" t="s">
        <v>2075</v>
      </c>
      <c r="D139" s="7" t="s">
        <v>100</v>
      </c>
      <c r="F139" s="7">
        <v>2012</v>
      </c>
      <c r="G139" s="7" t="s">
        <v>19</v>
      </c>
      <c r="H139" s="7" t="s">
        <v>52</v>
      </c>
      <c r="I139" s="8" t="s">
        <v>101</v>
      </c>
      <c r="J139" s="7" t="s">
        <v>35</v>
      </c>
      <c r="K139" s="7" t="s">
        <v>99</v>
      </c>
      <c r="L139" s="2" t="s">
        <v>1549</v>
      </c>
      <c r="M139" s="2" t="s">
        <v>1548</v>
      </c>
      <c r="N139" s="2" t="s">
        <v>1567</v>
      </c>
      <c r="O139" s="2" t="s">
        <v>2403</v>
      </c>
      <c r="P139" s="9" t="s">
        <v>2402</v>
      </c>
      <c r="Q139" s="2"/>
      <c r="R139" s="2" t="s">
        <v>2421</v>
      </c>
      <c r="S139" s="2" t="s">
        <v>2048</v>
      </c>
      <c r="U139" s="5" t="s">
        <v>1502</v>
      </c>
      <c r="Z139" s="2"/>
    </row>
    <row r="140" spans="1:26" ht="30" hidden="1" customHeight="1" x14ac:dyDescent="0.5">
      <c r="A140" s="5">
        <v>415</v>
      </c>
      <c r="B140" s="75">
        <v>1101700010006</v>
      </c>
      <c r="C140" s="7" t="s">
        <v>2075</v>
      </c>
      <c r="D140" s="7" t="s">
        <v>78</v>
      </c>
      <c r="F140" s="7">
        <v>2014</v>
      </c>
      <c r="G140" s="7" t="s">
        <v>19</v>
      </c>
      <c r="H140" s="7" t="s">
        <v>52</v>
      </c>
      <c r="I140" s="8" t="s">
        <v>79</v>
      </c>
      <c r="J140" s="7" t="s">
        <v>35</v>
      </c>
      <c r="K140" s="7" t="s">
        <v>77</v>
      </c>
      <c r="L140" s="2" t="s">
        <v>1477</v>
      </c>
      <c r="M140" s="2" t="s">
        <v>2705</v>
      </c>
      <c r="N140" s="2"/>
      <c r="O140" s="2"/>
      <c r="P140" s="2"/>
      <c r="Q140" s="2"/>
      <c r="R140" s="2"/>
      <c r="S140" s="2"/>
      <c r="U140" s="5" t="s">
        <v>1494</v>
      </c>
      <c r="Z140" s="2"/>
    </row>
    <row r="141" spans="1:26" ht="30" hidden="1" customHeight="1" x14ac:dyDescent="0.5">
      <c r="A141" s="5">
        <v>257</v>
      </c>
      <c r="B141" s="75">
        <v>1101700010006</v>
      </c>
      <c r="C141" s="7" t="s">
        <v>2075</v>
      </c>
      <c r="D141" s="7" t="s">
        <v>821</v>
      </c>
      <c r="F141" s="7">
        <v>2013</v>
      </c>
      <c r="G141" s="7" t="s">
        <v>19</v>
      </c>
      <c r="H141" s="7" t="s">
        <v>52</v>
      </c>
      <c r="I141" s="8" t="s">
        <v>822</v>
      </c>
      <c r="J141" s="7" t="s">
        <v>35</v>
      </c>
      <c r="K141" s="7" t="s">
        <v>820</v>
      </c>
      <c r="L141" s="2" t="s">
        <v>1531</v>
      </c>
      <c r="M141" s="11" t="s">
        <v>1912</v>
      </c>
      <c r="N141" s="2"/>
      <c r="O141" s="2"/>
      <c r="P141" s="2"/>
      <c r="Q141" s="2" t="s">
        <v>2177</v>
      </c>
      <c r="R141" s="2" t="s">
        <v>2176</v>
      </c>
      <c r="S141" s="2" t="s">
        <v>1531</v>
      </c>
      <c r="Z141" s="2" t="s">
        <v>1531</v>
      </c>
    </row>
    <row r="142" spans="1:26" ht="30" hidden="1" customHeight="1" x14ac:dyDescent="0.5">
      <c r="A142" s="5">
        <v>101</v>
      </c>
      <c r="B142" s="75">
        <v>1101700030006</v>
      </c>
      <c r="C142" s="7" t="s">
        <v>2075</v>
      </c>
      <c r="D142" s="7" t="s">
        <v>1438</v>
      </c>
      <c r="F142" s="7">
        <v>2012</v>
      </c>
      <c r="G142" s="7" t="s">
        <v>19</v>
      </c>
      <c r="H142" s="7" t="s">
        <v>52</v>
      </c>
      <c r="I142" s="8" t="s">
        <v>113</v>
      </c>
      <c r="J142" s="7" t="s">
        <v>35</v>
      </c>
      <c r="K142" s="7" t="s">
        <v>112</v>
      </c>
      <c r="L142" s="2"/>
      <c r="M142" s="2" t="s">
        <v>2705</v>
      </c>
      <c r="N142" s="2"/>
      <c r="O142" s="2"/>
      <c r="P142" s="2"/>
      <c r="Q142" s="2"/>
      <c r="R142" s="2"/>
      <c r="S142" s="2"/>
      <c r="U142" s="5" t="s">
        <v>1507</v>
      </c>
      <c r="X142" s="5" t="s">
        <v>1505</v>
      </c>
      <c r="Z142" s="2"/>
    </row>
    <row r="143" spans="1:26" ht="30" hidden="1" customHeight="1" x14ac:dyDescent="0.5">
      <c r="A143" s="5">
        <v>564</v>
      </c>
      <c r="B143" s="75">
        <v>1101700010006</v>
      </c>
      <c r="C143" s="7" t="s">
        <v>2075</v>
      </c>
      <c r="D143" s="7" t="s">
        <v>754</v>
      </c>
      <c r="F143" s="7">
        <v>2015</v>
      </c>
      <c r="G143" s="7" t="s">
        <v>19</v>
      </c>
      <c r="H143" s="7" t="s">
        <v>52</v>
      </c>
      <c r="I143" s="8" t="s">
        <v>755</v>
      </c>
      <c r="J143" s="7" t="s">
        <v>35</v>
      </c>
      <c r="K143" s="7" t="s">
        <v>753</v>
      </c>
      <c r="L143" s="2" t="s">
        <v>1513</v>
      </c>
      <c r="M143" s="11" t="s">
        <v>1912</v>
      </c>
      <c r="N143" s="2"/>
      <c r="O143" s="2"/>
      <c r="P143" s="2"/>
      <c r="Q143" s="2" t="s">
        <v>2412</v>
      </c>
      <c r="R143" s="2" t="s">
        <v>2184</v>
      </c>
      <c r="S143" s="2" t="s">
        <v>1652</v>
      </c>
      <c r="Z143" s="2"/>
    </row>
    <row r="144" spans="1:26" ht="30" hidden="1" customHeight="1" x14ac:dyDescent="0.5">
      <c r="A144" s="5">
        <v>103</v>
      </c>
      <c r="B144" s="75">
        <v>1101700010006</v>
      </c>
      <c r="C144" s="7" t="s">
        <v>2075</v>
      </c>
      <c r="D144" s="7" t="s">
        <v>926</v>
      </c>
      <c r="F144" s="7">
        <v>2012</v>
      </c>
      <c r="G144" s="7" t="s">
        <v>19</v>
      </c>
      <c r="H144" s="7" t="s">
        <v>52</v>
      </c>
      <c r="I144" s="8" t="s">
        <v>927</v>
      </c>
      <c r="J144" s="7" t="s">
        <v>35</v>
      </c>
      <c r="K144" s="7" t="s">
        <v>925</v>
      </c>
      <c r="L144" s="2" t="s">
        <v>1518</v>
      </c>
      <c r="M144" s="2" t="s">
        <v>2705</v>
      </c>
      <c r="N144" s="2"/>
      <c r="O144" s="2"/>
      <c r="P144" s="2"/>
      <c r="Q144" s="2"/>
      <c r="R144" s="2" t="s">
        <v>2668</v>
      </c>
      <c r="S144" s="2"/>
      <c r="X144" s="5" t="s">
        <v>1507</v>
      </c>
      <c r="Z144" s="2"/>
    </row>
    <row r="145" spans="1:26" ht="30" customHeight="1" x14ac:dyDescent="0.5">
      <c r="A145" s="5">
        <v>231</v>
      </c>
      <c r="B145" s="75">
        <v>1101700010006</v>
      </c>
      <c r="C145" s="7" t="s">
        <v>2075</v>
      </c>
      <c r="D145" s="7" t="s">
        <v>909</v>
      </c>
      <c r="F145" s="7">
        <v>2013</v>
      </c>
      <c r="G145" s="7" t="s">
        <v>19</v>
      </c>
      <c r="H145" s="7" t="s">
        <v>52</v>
      </c>
      <c r="I145" s="8" t="s">
        <v>910</v>
      </c>
      <c r="J145" s="7" t="s">
        <v>35</v>
      </c>
      <c r="K145" s="7" t="s">
        <v>908</v>
      </c>
      <c r="L145" s="2" t="s">
        <v>1549</v>
      </c>
      <c r="M145" s="2" t="s">
        <v>1548</v>
      </c>
      <c r="N145" s="2" t="s">
        <v>1571</v>
      </c>
      <c r="O145" s="2" t="s">
        <v>2540</v>
      </c>
      <c r="P145" s="9" t="s">
        <v>2541</v>
      </c>
      <c r="Q145" s="2" t="s">
        <v>2433</v>
      </c>
      <c r="R145" s="2" t="s">
        <v>2723</v>
      </c>
      <c r="S145" s="2" t="s">
        <v>1728</v>
      </c>
      <c r="Z145" s="2"/>
    </row>
    <row r="146" spans="1:26" ht="30" customHeight="1" x14ac:dyDescent="0.5">
      <c r="A146" s="5">
        <v>169</v>
      </c>
      <c r="B146" s="75">
        <v>1101700010006</v>
      </c>
      <c r="C146" s="7" t="s">
        <v>2075</v>
      </c>
      <c r="D146" s="7" t="s">
        <v>828</v>
      </c>
      <c r="F146" s="7">
        <v>2013</v>
      </c>
      <c r="G146" s="7" t="s">
        <v>19</v>
      </c>
      <c r="H146" s="7" t="s">
        <v>52</v>
      </c>
      <c r="I146" s="8" t="s">
        <v>829</v>
      </c>
      <c r="J146" s="7" t="s">
        <v>35</v>
      </c>
      <c r="K146" s="7" t="s">
        <v>827</v>
      </c>
      <c r="L146" s="2" t="s">
        <v>1531</v>
      </c>
      <c r="M146" s="2" t="s">
        <v>1548</v>
      </c>
      <c r="N146" s="2" t="s">
        <v>1571</v>
      </c>
      <c r="O146" s="2" t="s">
        <v>2691</v>
      </c>
      <c r="P146" s="2" t="s">
        <v>2688</v>
      </c>
      <c r="Q146" s="2"/>
      <c r="R146" s="2"/>
      <c r="S146" s="2" t="s">
        <v>2020</v>
      </c>
      <c r="Z146" s="2"/>
    </row>
    <row r="147" spans="1:26" ht="30" customHeight="1" x14ac:dyDescent="0.5">
      <c r="A147" s="5">
        <v>251</v>
      </c>
      <c r="B147" s="75">
        <v>1101700010006</v>
      </c>
      <c r="C147" s="7" t="s">
        <v>2075</v>
      </c>
      <c r="D147" s="7" t="s">
        <v>90</v>
      </c>
      <c r="F147" s="7">
        <v>2013</v>
      </c>
      <c r="G147" s="7" t="s">
        <v>19</v>
      </c>
      <c r="H147" s="7" t="s">
        <v>52</v>
      </c>
      <c r="I147" s="8" t="s">
        <v>91</v>
      </c>
      <c r="J147" s="7" t="s">
        <v>35</v>
      </c>
      <c r="K147" s="7" t="s">
        <v>89</v>
      </c>
      <c r="L147" s="2" t="s">
        <v>1525</v>
      </c>
      <c r="M147" s="2" t="s">
        <v>1548</v>
      </c>
      <c r="N147" s="2" t="s">
        <v>1571</v>
      </c>
      <c r="O147" s="2" t="s">
        <v>2643</v>
      </c>
      <c r="P147" s="2" t="s">
        <v>2528</v>
      </c>
      <c r="Q147" s="2" t="s">
        <v>2383</v>
      </c>
      <c r="R147" s="2"/>
      <c r="S147" s="2" t="s">
        <v>1704</v>
      </c>
      <c r="U147" s="5" t="s">
        <v>1498</v>
      </c>
      <c r="Z147" s="2"/>
    </row>
    <row r="148" spans="1:26" ht="30" customHeight="1" x14ac:dyDescent="0.5">
      <c r="A148" s="5">
        <v>184</v>
      </c>
      <c r="B148" s="75">
        <v>1101700010006</v>
      </c>
      <c r="C148" s="7" t="s">
        <v>2075</v>
      </c>
      <c r="D148" s="7" t="s">
        <v>1241</v>
      </c>
      <c r="F148" s="7">
        <v>2013</v>
      </c>
      <c r="G148" s="7" t="s">
        <v>19</v>
      </c>
      <c r="H148" s="7" t="s">
        <v>52</v>
      </c>
      <c r="I148" s="8" t="s">
        <v>1242</v>
      </c>
      <c r="J148" s="7" t="s">
        <v>263</v>
      </c>
      <c r="K148" s="7" t="s">
        <v>1225</v>
      </c>
      <c r="L148" s="2" t="s">
        <v>1544</v>
      </c>
      <c r="M148" s="2" t="s">
        <v>1548</v>
      </c>
      <c r="N148" s="2" t="s">
        <v>1571</v>
      </c>
      <c r="O148" s="2" t="s">
        <v>1632</v>
      </c>
      <c r="P148" s="2" t="s">
        <v>2672</v>
      </c>
      <c r="Q148" s="2" t="s">
        <v>2114</v>
      </c>
      <c r="R148" s="2"/>
      <c r="S148" s="2" t="s">
        <v>1478</v>
      </c>
      <c r="Z148" s="2"/>
    </row>
    <row r="149" spans="1:26" ht="30" customHeight="1" x14ac:dyDescent="0.5">
      <c r="A149" s="116">
        <v>249</v>
      </c>
      <c r="B149" s="75">
        <v>1101700010006</v>
      </c>
      <c r="C149" s="7" t="s">
        <v>2075</v>
      </c>
      <c r="D149" s="7" t="s">
        <v>216</v>
      </c>
      <c r="E149" s="7" t="s">
        <v>2215</v>
      </c>
      <c r="F149" s="7">
        <v>2013</v>
      </c>
      <c r="G149" s="7" t="s">
        <v>19</v>
      </c>
      <c r="H149" s="7" t="s">
        <v>52</v>
      </c>
      <c r="I149" s="8" t="s">
        <v>217</v>
      </c>
      <c r="J149" s="7" t="s">
        <v>35</v>
      </c>
      <c r="K149" s="7" t="s">
        <v>215</v>
      </c>
      <c r="L149" s="2" t="s">
        <v>1482</v>
      </c>
      <c r="M149" s="11" t="s">
        <v>1548</v>
      </c>
      <c r="N149" s="2" t="s">
        <v>1564</v>
      </c>
      <c r="O149" s="2" t="s">
        <v>2090</v>
      </c>
      <c r="P149" s="2" t="s">
        <v>2725</v>
      </c>
      <c r="Q149" s="2" t="s">
        <v>2626</v>
      </c>
      <c r="R149" s="2"/>
      <c r="S149" s="2" t="s">
        <v>1484</v>
      </c>
      <c r="U149" s="5" t="s">
        <v>1662</v>
      </c>
      <c r="Z149" s="7"/>
    </row>
    <row r="150" spans="1:26" ht="30" customHeight="1" x14ac:dyDescent="0.5">
      <c r="A150" s="116">
        <v>414</v>
      </c>
      <c r="B150" s="75">
        <v>1101700010006</v>
      </c>
      <c r="C150" s="7" t="s">
        <v>2075</v>
      </c>
      <c r="D150" s="7" t="s">
        <v>882</v>
      </c>
      <c r="E150" s="105" t="s">
        <v>2215</v>
      </c>
      <c r="F150" s="7">
        <v>2014</v>
      </c>
      <c r="G150" s="7" t="s">
        <v>19</v>
      </c>
      <c r="H150" s="7" t="s">
        <v>52</v>
      </c>
      <c r="I150" s="8" t="s">
        <v>883</v>
      </c>
      <c r="J150" s="7" t="s">
        <v>35</v>
      </c>
      <c r="K150" s="7" t="s">
        <v>881</v>
      </c>
      <c r="L150" s="2" t="s">
        <v>1549</v>
      </c>
      <c r="M150" s="2" t="s">
        <v>1548</v>
      </c>
      <c r="N150" s="2" t="s">
        <v>1564</v>
      </c>
      <c r="O150" s="2" t="s">
        <v>1850</v>
      </c>
      <c r="P150" s="2" t="s">
        <v>1767</v>
      </c>
      <c r="Q150" s="57"/>
      <c r="R150" s="2"/>
      <c r="S150" s="2" t="s">
        <v>1718</v>
      </c>
      <c r="Z150" s="2"/>
    </row>
    <row r="151" spans="1:26" ht="30" customHeight="1" x14ac:dyDescent="0.5">
      <c r="A151" s="116">
        <v>422</v>
      </c>
      <c r="B151" s="75">
        <v>1101700010006</v>
      </c>
      <c r="C151" s="7" t="s">
        <v>2075</v>
      </c>
      <c r="D151" s="7" t="s">
        <v>835</v>
      </c>
      <c r="E151" s="105" t="s">
        <v>2215</v>
      </c>
      <c r="F151" s="7">
        <v>2015</v>
      </c>
      <c r="G151" s="7" t="s">
        <v>19</v>
      </c>
      <c r="H151" s="7" t="s">
        <v>52</v>
      </c>
      <c r="I151" s="8" t="s">
        <v>836</v>
      </c>
      <c r="J151" s="7" t="s">
        <v>35</v>
      </c>
      <c r="K151" s="7" t="s">
        <v>834</v>
      </c>
      <c r="L151" s="2" t="s">
        <v>1549</v>
      </c>
      <c r="M151" s="2" t="s">
        <v>1548</v>
      </c>
      <c r="N151" s="2" t="s">
        <v>1569</v>
      </c>
      <c r="O151" s="2" t="s">
        <v>2090</v>
      </c>
      <c r="P151" s="2" t="s">
        <v>2110</v>
      </c>
      <c r="Q151" s="2"/>
      <c r="R151" s="2" t="s">
        <v>2723</v>
      </c>
      <c r="S151" s="2" t="s">
        <v>1712</v>
      </c>
      <c r="Z151" s="2"/>
    </row>
    <row r="152" spans="1:26" ht="30" hidden="1" customHeight="1" x14ac:dyDescent="0.5">
      <c r="A152" s="5">
        <v>225</v>
      </c>
      <c r="B152" s="75">
        <v>1101700010006</v>
      </c>
      <c r="C152" s="7" t="s">
        <v>2075</v>
      </c>
      <c r="D152" s="7" t="s">
        <v>144</v>
      </c>
      <c r="F152" s="7">
        <v>2013</v>
      </c>
      <c r="G152" s="7" t="s">
        <v>19</v>
      </c>
      <c r="H152" s="7" t="s">
        <v>52</v>
      </c>
      <c r="I152" s="8" t="s">
        <v>145</v>
      </c>
      <c r="J152" s="7" t="s">
        <v>35</v>
      </c>
      <c r="K152" s="7" t="s">
        <v>143</v>
      </c>
      <c r="L152" s="2" t="s">
        <v>1537</v>
      </c>
      <c r="M152" s="11" t="s">
        <v>1912</v>
      </c>
      <c r="N152" s="2" t="s">
        <v>1613</v>
      </c>
      <c r="O152" s="2" t="s">
        <v>1613</v>
      </c>
      <c r="P152" s="2" t="s">
        <v>2617</v>
      </c>
      <c r="Q152" s="2" t="s">
        <v>2625</v>
      </c>
      <c r="R152" s="2"/>
      <c r="S152" s="2" t="s">
        <v>2041</v>
      </c>
      <c r="U152" s="5" t="s">
        <v>1521</v>
      </c>
      <c r="Z152" s="2"/>
    </row>
    <row r="153" spans="1:26" ht="30" hidden="1" customHeight="1" x14ac:dyDescent="0.5">
      <c r="A153" s="5">
        <v>129</v>
      </c>
      <c r="B153" s="75">
        <v>1101700030006</v>
      </c>
      <c r="C153" s="7" t="s">
        <v>2075</v>
      </c>
      <c r="D153" s="7" t="s">
        <v>127</v>
      </c>
      <c r="F153" s="7">
        <v>2012</v>
      </c>
      <c r="G153" s="7" t="s">
        <v>19</v>
      </c>
      <c r="H153" s="7" t="s">
        <v>52</v>
      </c>
      <c r="I153" s="8" t="s">
        <v>128</v>
      </c>
      <c r="J153" s="7" t="s">
        <v>35</v>
      </c>
      <c r="K153" s="7" t="s">
        <v>126</v>
      </c>
      <c r="L153" s="2"/>
      <c r="M153" s="2" t="s">
        <v>2705</v>
      </c>
      <c r="N153" s="2"/>
      <c r="O153" s="2"/>
      <c r="P153" s="2"/>
      <c r="Q153" s="2"/>
      <c r="R153" s="2"/>
      <c r="S153" s="2"/>
      <c r="U153" s="5" t="s">
        <v>1514</v>
      </c>
      <c r="X153" s="5" t="s">
        <v>1533</v>
      </c>
      <c r="Z153" s="2"/>
    </row>
    <row r="154" spans="1:26" ht="30" hidden="1" customHeight="1" x14ac:dyDescent="0.5">
      <c r="A154" s="5">
        <v>431</v>
      </c>
      <c r="B154" s="75">
        <v>1101700010006</v>
      </c>
      <c r="C154" s="7" t="s">
        <v>2075</v>
      </c>
      <c r="D154" s="7" t="s">
        <v>802</v>
      </c>
      <c r="F154" s="7">
        <v>2015</v>
      </c>
      <c r="G154" s="7" t="s">
        <v>19</v>
      </c>
      <c r="H154" s="7" t="s">
        <v>52</v>
      </c>
      <c r="I154" s="8" t="s">
        <v>803</v>
      </c>
      <c r="J154" s="7" t="s">
        <v>35</v>
      </c>
      <c r="K154" s="7" t="s">
        <v>801</v>
      </c>
      <c r="L154" s="2" t="s">
        <v>1482</v>
      </c>
      <c r="M154" s="11" t="s">
        <v>2098</v>
      </c>
      <c r="N154" s="2"/>
      <c r="O154" s="2"/>
      <c r="P154" s="2"/>
      <c r="Q154" s="2" t="s">
        <v>2139</v>
      </c>
      <c r="R154" s="2"/>
      <c r="S154" s="2" t="s">
        <v>1678</v>
      </c>
      <c r="Z154" s="2"/>
    </row>
    <row r="155" spans="1:26" ht="30" customHeight="1" x14ac:dyDescent="0.5">
      <c r="A155" s="116">
        <v>218</v>
      </c>
      <c r="B155" s="75">
        <v>1101700010006</v>
      </c>
      <c r="C155" s="7" t="s">
        <v>2075</v>
      </c>
      <c r="D155" s="7" t="s">
        <v>119</v>
      </c>
      <c r="E155" s="105" t="s">
        <v>2215</v>
      </c>
      <c r="F155" s="7">
        <v>2013</v>
      </c>
      <c r="G155" s="7" t="s">
        <v>19</v>
      </c>
      <c r="H155" s="7" t="s">
        <v>52</v>
      </c>
      <c r="I155" s="8" t="s">
        <v>120</v>
      </c>
      <c r="J155" s="7" t="s">
        <v>35</v>
      </c>
      <c r="K155" s="7" t="s">
        <v>118</v>
      </c>
      <c r="L155" s="2" t="s">
        <v>1493</v>
      </c>
      <c r="M155" s="2" t="s">
        <v>1548</v>
      </c>
      <c r="N155" s="2" t="s">
        <v>1564</v>
      </c>
      <c r="O155" s="2" t="s">
        <v>1654</v>
      </c>
      <c r="P155" s="2" t="s">
        <v>1655</v>
      </c>
      <c r="Q155" s="57"/>
      <c r="R155" s="2" t="s">
        <v>1656</v>
      </c>
      <c r="S155" s="2" t="s">
        <v>1493</v>
      </c>
      <c r="U155" s="5" t="s">
        <v>1510</v>
      </c>
      <c r="Z155" s="2"/>
    </row>
    <row r="156" spans="1:26" ht="30" customHeight="1" x14ac:dyDescent="0.5">
      <c r="A156" s="5">
        <v>182</v>
      </c>
      <c r="B156" s="75">
        <v>1101700010006</v>
      </c>
      <c r="C156" s="7" t="s">
        <v>2075</v>
      </c>
      <c r="D156" s="7" t="s">
        <v>1418</v>
      </c>
      <c r="F156" s="7">
        <v>2013</v>
      </c>
      <c r="G156" s="7" t="s">
        <v>19</v>
      </c>
      <c r="H156" s="7" t="s">
        <v>52</v>
      </c>
      <c r="I156" s="8" t="s">
        <v>1419</v>
      </c>
      <c r="J156" s="7" t="s">
        <v>35</v>
      </c>
      <c r="K156" s="7" t="s">
        <v>1417</v>
      </c>
      <c r="L156" s="2" t="s">
        <v>1549</v>
      </c>
      <c r="M156" s="2" t="s">
        <v>1548</v>
      </c>
      <c r="N156" s="2" t="s">
        <v>1564</v>
      </c>
      <c r="O156" s="2" t="s">
        <v>2240</v>
      </c>
      <c r="P156" s="9" t="s">
        <v>2448</v>
      </c>
      <c r="Q156" s="2" t="s">
        <v>2109</v>
      </c>
      <c r="R156" s="2"/>
      <c r="S156" s="2" t="s">
        <v>1507</v>
      </c>
      <c r="Z156" s="2"/>
    </row>
    <row r="157" spans="1:26" ht="30" hidden="1" customHeight="1" x14ac:dyDescent="0.5">
      <c r="A157" s="5">
        <v>406</v>
      </c>
      <c r="B157" s="75">
        <v>1101700010006</v>
      </c>
      <c r="C157" s="7" t="s">
        <v>2075</v>
      </c>
      <c r="D157" s="7" t="s">
        <v>897</v>
      </c>
      <c r="F157" s="7">
        <v>2014</v>
      </c>
      <c r="G157" s="7" t="s">
        <v>19</v>
      </c>
      <c r="H157" s="7" t="s">
        <v>52</v>
      </c>
      <c r="I157" s="8" t="s">
        <v>898</v>
      </c>
      <c r="J157" s="7" t="s">
        <v>35</v>
      </c>
      <c r="K157" s="7" t="s">
        <v>896</v>
      </c>
      <c r="L157" s="2" t="s">
        <v>1537</v>
      </c>
      <c r="M157" s="2" t="s">
        <v>2705</v>
      </c>
      <c r="N157" s="2"/>
      <c r="O157" s="2"/>
      <c r="P157" s="2"/>
      <c r="Q157" s="2"/>
      <c r="R157" s="2" t="s">
        <v>2388</v>
      </c>
      <c r="S157" s="2"/>
      <c r="Z157" s="2"/>
    </row>
    <row r="158" spans="1:26" ht="30" hidden="1" customHeight="1" x14ac:dyDescent="0.5">
      <c r="A158" s="116">
        <v>447</v>
      </c>
      <c r="B158" s="75">
        <v>1101700010006</v>
      </c>
      <c r="C158" s="7" t="s">
        <v>2075</v>
      </c>
      <c r="D158" s="7" t="s">
        <v>855</v>
      </c>
      <c r="E158" s="7" t="s">
        <v>2220</v>
      </c>
      <c r="F158" s="7">
        <v>2015</v>
      </c>
      <c r="G158" s="7" t="s">
        <v>19</v>
      </c>
      <c r="H158" s="7" t="s">
        <v>52</v>
      </c>
      <c r="I158" s="8" t="s">
        <v>856</v>
      </c>
      <c r="J158" s="111" t="s">
        <v>35</v>
      </c>
      <c r="K158" s="7" t="s">
        <v>854</v>
      </c>
      <c r="L158" s="2" t="s">
        <v>1506</v>
      </c>
      <c r="M158" s="11" t="s">
        <v>1912</v>
      </c>
      <c r="N158" s="2" t="s">
        <v>1559</v>
      </c>
      <c r="O158" s="2" t="s">
        <v>1559</v>
      </c>
      <c r="P158" s="2" t="s">
        <v>1779</v>
      </c>
      <c r="Q158" s="2" t="s">
        <v>2694</v>
      </c>
      <c r="R158" s="2" t="s">
        <v>1780</v>
      </c>
      <c r="S158" s="2" t="s">
        <v>1695</v>
      </c>
      <c r="Z158" s="2"/>
    </row>
    <row r="159" spans="1:26" ht="30" hidden="1" customHeight="1" x14ac:dyDescent="0.5">
      <c r="A159" s="5">
        <v>560</v>
      </c>
      <c r="B159" s="75">
        <v>1101700010006</v>
      </c>
      <c r="C159" s="7" t="s">
        <v>2075</v>
      </c>
      <c r="D159" s="7" t="s">
        <v>742</v>
      </c>
      <c r="F159" s="7">
        <v>2015</v>
      </c>
      <c r="G159" s="7" t="s">
        <v>19</v>
      </c>
      <c r="H159" s="7" t="s">
        <v>52</v>
      </c>
      <c r="I159" s="8" t="s">
        <v>743</v>
      </c>
      <c r="J159" s="7" t="s">
        <v>35</v>
      </c>
      <c r="K159" s="7" t="s">
        <v>741</v>
      </c>
      <c r="L159" s="2" t="s">
        <v>1487</v>
      </c>
      <c r="M159" s="11" t="s">
        <v>1912</v>
      </c>
      <c r="N159" s="2" t="s">
        <v>1565</v>
      </c>
      <c r="O159" s="2" t="s">
        <v>2471</v>
      </c>
      <c r="P159" s="2" t="s">
        <v>2472</v>
      </c>
      <c r="Q159" s="2" t="s">
        <v>2478</v>
      </c>
      <c r="R159" s="2"/>
      <c r="S159" s="2" t="s">
        <v>1703</v>
      </c>
      <c r="Z159" s="2"/>
    </row>
    <row r="160" spans="1:26" ht="30" hidden="1" customHeight="1" x14ac:dyDescent="0.5">
      <c r="A160" s="116">
        <v>193</v>
      </c>
      <c r="B160" s="75">
        <v>1101700010006</v>
      </c>
      <c r="C160" s="7" t="s">
        <v>2075</v>
      </c>
      <c r="D160" s="7" t="s">
        <v>934</v>
      </c>
      <c r="E160" s="7" t="s">
        <v>2215</v>
      </c>
      <c r="F160" s="7">
        <v>2013</v>
      </c>
      <c r="G160" s="7" t="s">
        <v>19</v>
      </c>
      <c r="H160" s="7" t="s">
        <v>52</v>
      </c>
      <c r="I160" s="8" t="s">
        <v>935</v>
      </c>
      <c r="J160" s="111" t="s">
        <v>35</v>
      </c>
      <c r="K160" s="7" t="s">
        <v>933</v>
      </c>
      <c r="L160" s="2" t="s">
        <v>1477</v>
      </c>
      <c r="M160" s="2" t="s">
        <v>1912</v>
      </c>
      <c r="N160" s="2" t="s">
        <v>1564</v>
      </c>
      <c r="O160" s="2" t="s">
        <v>2697</v>
      </c>
      <c r="P160" s="2" t="s">
        <v>2698</v>
      </c>
      <c r="Q160" s="2" t="s">
        <v>2698</v>
      </c>
      <c r="R160" s="2" t="s">
        <v>2734</v>
      </c>
      <c r="S160" s="2" t="s">
        <v>1689</v>
      </c>
      <c r="Z160" s="7"/>
    </row>
    <row r="161" spans="1:26" ht="30" hidden="1" customHeight="1" x14ac:dyDescent="0.5">
      <c r="A161" s="5">
        <v>559</v>
      </c>
      <c r="B161" s="75">
        <v>1101700010006</v>
      </c>
      <c r="C161" s="7" t="s">
        <v>2075</v>
      </c>
      <c r="D161" s="7" t="s">
        <v>850</v>
      </c>
      <c r="F161" s="7">
        <v>2015</v>
      </c>
      <c r="G161" s="7" t="s">
        <v>19</v>
      </c>
      <c r="H161" s="7" t="s">
        <v>52</v>
      </c>
      <c r="I161" s="8" t="s">
        <v>851</v>
      </c>
      <c r="J161" s="7" t="s">
        <v>35</v>
      </c>
      <c r="K161" s="7" t="s">
        <v>849</v>
      </c>
      <c r="L161" s="2"/>
      <c r="M161" s="2" t="s">
        <v>2705</v>
      </c>
      <c r="N161" s="2"/>
      <c r="O161" s="2"/>
      <c r="P161" s="2"/>
      <c r="Q161" s="2"/>
      <c r="R161" s="2"/>
      <c r="S161" s="2"/>
      <c r="Z161" s="2"/>
    </row>
    <row r="162" spans="1:26" ht="30" customHeight="1" x14ac:dyDescent="0.5">
      <c r="A162" s="116">
        <v>233</v>
      </c>
      <c r="B162" s="75">
        <v>1101700010006</v>
      </c>
      <c r="C162" s="7" t="s">
        <v>2075</v>
      </c>
      <c r="D162" s="7" t="s">
        <v>62</v>
      </c>
      <c r="E162" s="105" t="s">
        <v>2215</v>
      </c>
      <c r="F162" s="7">
        <v>2013</v>
      </c>
      <c r="G162" s="7" t="s">
        <v>19</v>
      </c>
      <c r="H162" s="7" t="s">
        <v>52</v>
      </c>
      <c r="I162" s="8" t="s">
        <v>63</v>
      </c>
      <c r="J162" s="7" t="s">
        <v>35</v>
      </c>
      <c r="K162" s="7" t="s">
        <v>61</v>
      </c>
      <c r="L162" s="2" t="s">
        <v>1549</v>
      </c>
      <c r="M162" s="2" t="s">
        <v>1548</v>
      </c>
      <c r="N162" s="2" t="s">
        <v>1564</v>
      </c>
      <c r="O162" s="2" t="s">
        <v>1831</v>
      </c>
      <c r="P162" s="2" t="s">
        <v>1832</v>
      </c>
      <c r="Q162" s="57"/>
      <c r="R162" s="2"/>
      <c r="S162" s="2" t="s">
        <v>1685</v>
      </c>
      <c r="U162" s="5" t="s">
        <v>1488</v>
      </c>
      <c r="Z162" s="2"/>
    </row>
    <row r="163" spans="1:26" ht="30" customHeight="1" x14ac:dyDescent="0.5">
      <c r="A163" s="5">
        <v>432</v>
      </c>
      <c r="B163" s="75">
        <v>1101700010006</v>
      </c>
      <c r="C163" s="7" t="s">
        <v>2075</v>
      </c>
      <c r="D163" s="7" t="s">
        <v>888</v>
      </c>
      <c r="F163" s="7">
        <v>2015</v>
      </c>
      <c r="G163" s="7" t="s">
        <v>19</v>
      </c>
      <c r="H163" s="7" t="s">
        <v>52</v>
      </c>
      <c r="I163" s="8" t="s">
        <v>889</v>
      </c>
      <c r="J163" s="7" t="s">
        <v>35</v>
      </c>
      <c r="K163" s="7" t="s">
        <v>887</v>
      </c>
      <c r="L163" s="2" t="s">
        <v>1498</v>
      </c>
      <c r="M163" s="2" t="s">
        <v>1548</v>
      </c>
      <c r="N163" s="2" t="s">
        <v>1564</v>
      </c>
      <c r="O163" s="2" t="s">
        <v>2336</v>
      </c>
      <c r="P163" s="9" t="s">
        <v>2334</v>
      </c>
      <c r="Q163" s="2"/>
      <c r="R163" s="2"/>
      <c r="S163" s="2" t="s">
        <v>2028</v>
      </c>
      <c r="Z163" s="2"/>
    </row>
    <row r="164" spans="1:26" ht="30" customHeight="1" x14ac:dyDescent="0.5">
      <c r="A164" s="116">
        <v>116</v>
      </c>
      <c r="B164" s="75">
        <v>1101700010006</v>
      </c>
      <c r="C164" s="7" t="s">
        <v>2075</v>
      </c>
      <c r="D164" s="7" t="s">
        <v>914</v>
      </c>
      <c r="E164" s="7" t="s">
        <v>2213</v>
      </c>
      <c r="F164" s="7">
        <v>2012</v>
      </c>
      <c r="G164" s="7" t="s">
        <v>19</v>
      </c>
      <c r="H164" s="7" t="s">
        <v>52</v>
      </c>
      <c r="I164" s="8" t="s">
        <v>915</v>
      </c>
      <c r="J164" s="111" t="s">
        <v>35</v>
      </c>
      <c r="K164" s="7" t="s">
        <v>913</v>
      </c>
      <c r="L164" s="2" t="s">
        <v>1477</v>
      </c>
      <c r="M164" s="2" t="s">
        <v>1548</v>
      </c>
      <c r="N164" s="2" t="s">
        <v>1565</v>
      </c>
      <c r="O164" s="2" t="s">
        <v>2578</v>
      </c>
      <c r="P164" s="9" t="s">
        <v>2557</v>
      </c>
      <c r="Q164" s="2" t="s">
        <v>2579</v>
      </c>
      <c r="R164" s="2" t="s">
        <v>2580</v>
      </c>
      <c r="S164" s="2" t="s">
        <v>1690</v>
      </c>
      <c r="X164" s="5" t="s">
        <v>1520</v>
      </c>
      <c r="Z164" s="7"/>
    </row>
    <row r="165" spans="1:26" ht="30" customHeight="1" x14ac:dyDescent="0.5">
      <c r="A165" s="116">
        <v>159</v>
      </c>
      <c r="B165" s="75">
        <v>1101700030006</v>
      </c>
      <c r="C165" s="7" t="s">
        <v>2075</v>
      </c>
      <c r="D165" s="7" t="s">
        <v>154</v>
      </c>
      <c r="E165" s="105" t="s">
        <v>2215</v>
      </c>
      <c r="F165" s="7">
        <v>2012</v>
      </c>
      <c r="G165" s="7" t="s">
        <v>19</v>
      </c>
      <c r="H165" s="7" t="s">
        <v>52</v>
      </c>
      <c r="I165" s="8" t="s">
        <v>155</v>
      </c>
      <c r="J165" s="7" t="s">
        <v>35</v>
      </c>
      <c r="K165" s="7" t="s">
        <v>153</v>
      </c>
      <c r="L165" s="2" t="s">
        <v>1537</v>
      </c>
      <c r="M165" s="2" t="s">
        <v>1548</v>
      </c>
      <c r="N165" s="2" t="s">
        <v>1564</v>
      </c>
      <c r="O165" s="2" t="s">
        <v>2080</v>
      </c>
      <c r="P165" s="123" t="s">
        <v>2079</v>
      </c>
      <c r="Q165" s="57"/>
      <c r="R165" s="2" t="s">
        <v>2081</v>
      </c>
      <c r="S165" s="2" t="s">
        <v>1725</v>
      </c>
      <c r="U165" s="5" t="s">
        <v>1525</v>
      </c>
      <c r="Z165" s="2"/>
    </row>
    <row r="166" spans="1:26" ht="30" hidden="1" customHeight="1" x14ac:dyDescent="0.5">
      <c r="A166" s="5">
        <v>224</v>
      </c>
      <c r="B166" s="75">
        <v>1101700010006</v>
      </c>
      <c r="C166" s="7" t="s">
        <v>2075</v>
      </c>
      <c r="D166" s="7" t="s">
        <v>221</v>
      </c>
      <c r="F166" s="7">
        <v>2013</v>
      </c>
      <c r="G166" s="7" t="s">
        <v>19</v>
      </c>
      <c r="H166" s="7" t="s">
        <v>52</v>
      </c>
      <c r="I166" s="8" t="s">
        <v>222</v>
      </c>
      <c r="J166" s="7" t="s">
        <v>35</v>
      </c>
      <c r="K166" s="7" t="s">
        <v>220</v>
      </c>
      <c r="L166" s="2" t="s">
        <v>1525</v>
      </c>
      <c r="M166" s="2" t="s">
        <v>1912</v>
      </c>
      <c r="N166" s="2" t="s">
        <v>1564</v>
      </c>
      <c r="O166" s="2" t="s">
        <v>2707</v>
      </c>
      <c r="P166" s="2" t="s">
        <v>2708</v>
      </c>
      <c r="Q166" s="2" t="s">
        <v>2710</v>
      </c>
      <c r="R166" s="2" t="s">
        <v>2711</v>
      </c>
      <c r="S166" s="2" t="s">
        <v>1708</v>
      </c>
      <c r="Z166" s="2"/>
    </row>
    <row r="167" spans="1:26" ht="30" hidden="1" customHeight="1" x14ac:dyDescent="0.5">
      <c r="A167" s="5">
        <v>269</v>
      </c>
      <c r="B167" s="75">
        <v>1101700010006</v>
      </c>
      <c r="C167" s="7" t="s">
        <v>2075</v>
      </c>
      <c r="D167" s="7" t="s">
        <v>206</v>
      </c>
      <c r="F167" s="7">
        <v>2013</v>
      </c>
      <c r="G167" s="7" t="s">
        <v>19</v>
      </c>
      <c r="H167" s="7" t="s">
        <v>52</v>
      </c>
      <c r="I167" s="8" t="s">
        <v>207</v>
      </c>
      <c r="J167" s="7" t="s">
        <v>35</v>
      </c>
      <c r="K167" s="7" t="s">
        <v>205</v>
      </c>
      <c r="L167" s="2" t="s">
        <v>1525</v>
      </c>
      <c r="M167" s="2" t="s">
        <v>2066</v>
      </c>
      <c r="N167" s="2" t="s">
        <v>1571</v>
      </c>
      <c r="O167" s="2" t="s">
        <v>2473</v>
      </c>
      <c r="P167" s="2" t="s">
        <v>2472</v>
      </c>
      <c r="Q167" s="2" t="s">
        <v>2710</v>
      </c>
      <c r="R167" s="2" t="s">
        <v>2715</v>
      </c>
      <c r="S167" s="2" t="s">
        <v>2015</v>
      </c>
      <c r="U167" s="5" t="s">
        <v>1556</v>
      </c>
      <c r="Z167" s="2"/>
    </row>
    <row r="168" spans="1:26" ht="30" hidden="1" customHeight="1" x14ac:dyDescent="0.5">
      <c r="A168" s="5">
        <v>563</v>
      </c>
      <c r="B168" s="75">
        <v>1101700010006</v>
      </c>
      <c r="C168" s="7" t="s">
        <v>2075</v>
      </c>
      <c r="D168" s="7" t="s">
        <v>1424</v>
      </c>
      <c r="F168" s="7">
        <v>2015</v>
      </c>
      <c r="G168" s="7" t="s">
        <v>19</v>
      </c>
      <c r="H168" s="7" t="s">
        <v>52</v>
      </c>
      <c r="I168" s="8" t="s">
        <v>1425</v>
      </c>
      <c r="J168" s="7" t="s">
        <v>35</v>
      </c>
      <c r="K168" s="7" t="s">
        <v>1423</v>
      </c>
      <c r="L168" s="2" t="s">
        <v>1525</v>
      </c>
      <c r="M168" s="11" t="s">
        <v>2098</v>
      </c>
      <c r="N168" s="2"/>
      <c r="O168" s="2"/>
      <c r="P168" s="2"/>
      <c r="Q168" s="2" t="s">
        <v>2165</v>
      </c>
      <c r="R168" s="2"/>
      <c r="S168" s="2" t="s">
        <v>1707</v>
      </c>
      <c r="Z168" s="2"/>
    </row>
    <row r="169" spans="1:26" ht="30" customHeight="1" x14ac:dyDescent="0.5">
      <c r="A169" s="5">
        <v>434</v>
      </c>
      <c r="B169" s="75">
        <v>1101700010006</v>
      </c>
      <c r="C169" s="7" t="s">
        <v>2075</v>
      </c>
      <c r="D169" s="7" t="s">
        <v>902</v>
      </c>
      <c r="F169" s="7">
        <v>2015</v>
      </c>
      <c r="G169" s="7" t="s">
        <v>19</v>
      </c>
      <c r="H169" s="7" t="s">
        <v>52</v>
      </c>
      <c r="I169" s="8" t="s">
        <v>903</v>
      </c>
      <c r="J169" s="7" t="s">
        <v>35</v>
      </c>
      <c r="K169" s="7" t="s">
        <v>901</v>
      </c>
      <c r="L169" s="2" t="s">
        <v>1549</v>
      </c>
      <c r="M169" s="2" t="s">
        <v>1548</v>
      </c>
      <c r="N169" s="2" t="s">
        <v>1564</v>
      </c>
      <c r="O169" s="2" t="s">
        <v>2240</v>
      </c>
      <c r="P169" s="9" t="s">
        <v>2241</v>
      </c>
      <c r="Q169" s="2"/>
      <c r="R169" s="2" t="s">
        <v>2723</v>
      </c>
      <c r="S169" s="2" t="s">
        <v>2028</v>
      </c>
      <c r="Z169" s="2"/>
    </row>
    <row r="170" spans="1:26" ht="30" hidden="1" customHeight="1" x14ac:dyDescent="0.5">
      <c r="A170" s="5">
        <v>163</v>
      </c>
      <c r="B170" s="75">
        <v>1101700030006</v>
      </c>
      <c r="C170" s="7" t="s">
        <v>2075</v>
      </c>
      <c r="D170" s="7" t="s">
        <v>1260</v>
      </c>
      <c r="F170" s="7">
        <v>2012</v>
      </c>
      <c r="G170" s="7" t="s">
        <v>19</v>
      </c>
      <c r="H170" s="7" t="s">
        <v>52</v>
      </c>
      <c r="I170" s="8" t="s">
        <v>1261</v>
      </c>
      <c r="J170" s="7" t="s">
        <v>263</v>
      </c>
      <c r="K170" s="7" t="s">
        <v>1560</v>
      </c>
      <c r="L170" s="2" t="s">
        <v>1477</v>
      </c>
      <c r="M170" s="11" t="s">
        <v>1912</v>
      </c>
      <c r="N170" s="2" t="s">
        <v>1571</v>
      </c>
      <c r="O170" s="2" t="s">
        <v>2539</v>
      </c>
      <c r="P170" s="2" t="s">
        <v>2534</v>
      </c>
      <c r="Q170" s="2" t="s">
        <v>2534</v>
      </c>
      <c r="R170" s="2"/>
      <c r="S170" s="2" t="s">
        <v>2003</v>
      </c>
      <c r="Z170" s="2"/>
    </row>
    <row r="171" spans="1:26" ht="30" customHeight="1" x14ac:dyDescent="0.5">
      <c r="A171" s="116">
        <v>411</v>
      </c>
      <c r="B171" s="75">
        <v>1101700010006</v>
      </c>
      <c r="C171" s="7" t="s">
        <v>2075</v>
      </c>
      <c r="D171" s="7" t="s">
        <v>807</v>
      </c>
      <c r="E171" s="105" t="s">
        <v>2220</v>
      </c>
      <c r="F171" s="7">
        <v>2014</v>
      </c>
      <c r="G171" s="7" t="s">
        <v>19</v>
      </c>
      <c r="H171" s="7" t="s">
        <v>52</v>
      </c>
      <c r="I171" s="8" t="s">
        <v>808</v>
      </c>
      <c r="J171" s="7" t="s">
        <v>35</v>
      </c>
      <c r="K171" s="7" t="s">
        <v>806</v>
      </c>
      <c r="L171" s="2" t="s">
        <v>1482</v>
      </c>
      <c r="M171" s="2" t="s">
        <v>1548</v>
      </c>
      <c r="N171" s="2" t="s">
        <v>1559</v>
      </c>
      <c r="O171" s="2" t="s">
        <v>1559</v>
      </c>
      <c r="P171" s="2" t="s">
        <v>2667</v>
      </c>
      <c r="Q171" s="2"/>
      <c r="R171" s="2"/>
      <c r="S171" s="2" t="s">
        <v>1676</v>
      </c>
      <c r="Z171" s="2" t="s">
        <v>1518</v>
      </c>
    </row>
    <row r="172" spans="1:26" ht="30" customHeight="1" x14ac:dyDescent="0.5">
      <c r="A172" s="116">
        <v>561</v>
      </c>
      <c r="B172" s="75">
        <v>1101700010006</v>
      </c>
      <c r="C172" s="7" t="s">
        <v>2075</v>
      </c>
      <c r="D172" s="7" t="s">
        <v>108</v>
      </c>
      <c r="E172" s="105" t="s">
        <v>2215</v>
      </c>
      <c r="F172" s="7">
        <v>2015</v>
      </c>
      <c r="G172" s="7" t="s">
        <v>19</v>
      </c>
      <c r="H172" s="7" t="s">
        <v>52</v>
      </c>
      <c r="I172" s="8" t="s">
        <v>109</v>
      </c>
      <c r="J172" s="7" t="s">
        <v>35</v>
      </c>
      <c r="K172" s="7" t="s">
        <v>107</v>
      </c>
      <c r="L172" s="2" t="s">
        <v>1549</v>
      </c>
      <c r="M172" s="2" t="s">
        <v>1548</v>
      </c>
      <c r="N172" s="2" t="s">
        <v>1564</v>
      </c>
      <c r="O172" s="2" t="s">
        <v>2140</v>
      </c>
      <c r="P172" s="2" t="s">
        <v>2139</v>
      </c>
      <c r="Q172" s="2"/>
      <c r="R172" s="2" t="s">
        <v>2723</v>
      </c>
      <c r="S172" s="2" t="s">
        <v>1672</v>
      </c>
      <c r="U172" s="5" t="s">
        <v>1505</v>
      </c>
      <c r="Z172" s="2"/>
    </row>
    <row r="173" spans="1:26" ht="30" hidden="1" customHeight="1" x14ac:dyDescent="0.5">
      <c r="A173" s="5">
        <v>124</v>
      </c>
      <c r="B173" s="75">
        <v>1101700010006</v>
      </c>
      <c r="C173" s="7" t="s">
        <v>2075</v>
      </c>
      <c r="D173" s="7" t="s">
        <v>199</v>
      </c>
      <c r="F173" s="7">
        <v>2012</v>
      </c>
      <c r="G173" s="7" t="s">
        <v>19</v>
      </c>
      <c r="H173" s="7" t="s">
        <v>52</v>
      </c>
      <c r="I173" s="8" t="s">
        <v>200</v>
      </c>
      <c r="J173" s="111" t="s">
        <v>35</v>
      </c>
      <c r="K173" s="7" t="s">
        <v>198</v>
      </c>
      <c r="L173" s="2" t="s">
        <v>1531</v>
      </c>
      <c r="M173" s="11" t="s">
        <v>1912</v>
      </c>
      <c r="N173" s="2" t="s">
        <v>1569</v>
      </c>
      <c r="O173" s="2" t="s">
        <v>2252</v>
      </c>
      <c r="P173" s="2" t="s">
        <v>2253</v>
      </c>
      <c r="Q173" s="2" t="s">
        <v>2479</v>
      </c>
      <c r="R173" s="2"/>
      <c r="S173" s="2" t="s">
        <v>1711</v>
      </c>
      <c r="U173" s="5" t="s">
        <v>1544</v>
      </c>
      <c r="X173" s="5" t="s">
        <v>1528</v>
      </c>
      <c r="Z173" s="2"/>
    </row>
    <row r="174" spans="1:26" ht="30" customHeight="1" x14ac:dyDescent="0.5">
      <c r="A174" s="5">
        <v>123</v>
      </c>
      <c r="B174" s="75">
        <v>1101700010006</v>
      </c>
      <c r="C174" s="7" t="s">
        <v>2075</v>
      </c>
      <c r="D174" s="7" t="s">
        <v>788</v>
      </c>
      <c r="E174" s="72" t="s">
        <v>2215</v>
      </c>
      <c r="F174" s="7">
        <v>2012</v>
      </c>
      <c r="G174" s="7" t="s">
        <v>19</v>
      </c>
      <c r="H174" s="7" t="s">
        <v>52</v>
      </c>
      <c r="I174" s="8" t="s">
        <v>789</v>
      </c>
      <c r="J174" s="7" t="s">
        <v>35</v>
      </c>
      <c r="K174" s="7" t="s">
        <v>787</v>
      </c>
      <c r="L174" s="2" t="s">
        <v>1549</v>
      </c>
      <c r="M174" s="2" t="s">
        <v>1548</v>
      </c>
      <c r="N174" s="2" t="s">
        <v>1571</v>
      </c>
      <c r="O174" s="2" t="s">
        <v>2243</v>
      </c>
      <c r="P174" s="123" t="s">
        <v>2244</v>
      </c>
      <c r="Q174" s="2"/>
      <c r="R174" s="2" t="s">
        <v>2422</v>
      </c>
      <c r="S174" s="2" t="s">
        <v>1692</v>
      </c>
      <c r="X174" s="5" t="s">
        <v>1527</v>
      </c>
      <c r="Z174" s="2"/>
    </row>
    <row r="175" spans="1:26" ht="30" customHeight="1" x14ac:dyDescent="0.5">
      <c r="A175" s="116">
        <v>238</v>
      </c>
      <c r="B175" s="75">
        <v>1101700010006</v>
      </c>
      <c r="C175" s="7" t="s">
        <v>2075</v>
      </c>
      <c r="D175" s="7" t="s">
        <v>862</v>
      </c>
      <c r="E175" s="105" t="s">
        <v>2215</v>
      </c>
      <c r="F175" s="7">
        <v>2013</v>
      </c>
      <c r="G175" s="7" t="s">
        <v>19</v>
      </c>
      <c r="H175" s="7" t="s">
        <v>52</v>
      </c>
      <c r="I175" s="8" t="s">
        <v>863</v>
      </c>
      <c r="J175" s="7" t="s">
        <v>35</v>
      </c>
      <c r="K175" s="7" t="s">
        <v>861</v>
      </c>
      <c r="L175" s="2" t="s">
        <v>1549</v>
      </c>
      <c r="M175" s="2" t="s">
        <v>1548</v>
      </c>
      <c r="N175" s="2" t="s">
        <v>1564</v>
      </c>
      <c r="O175" s="2" t="s">
        <v>1810</v>
      </c>
      <c r="P175" s="2" t="s">
        <v>1811</v>
      </c>
      <c r="Q175" s="57"/>
      <c r="R175" s="2"/>
      <c r="S175" s="2" t="s">
        <v>1674</v>
      </c>
      <c r="Z175" s="2"/>
    </row>
    <row r="176" spans="1:26" ht="30" hidden="1" customHeight="1" x14ac:dyDescent="0.5">
      <c r="A176" s="5">
        <v>562</v>
      </c>
      <c r="B176" s="75">
        <v>1101700010006</v>
      </c>
      <c r="C176" s="7" t="s">
        <v>2075</v>
      </c>
      <c r="D176" s="7" t="s">
        <v>969</v>
      </c>
      <c r="F176" s="7">
        <v>2015</v>
      </c>
      <c r="G176" s="7" t="s">
        <v>19</v>
      </c>
      <c r="H176" s="7" t="s">
        <v>52</v>
      </c>
      <c r="I176" s="8" t="s">
        <v>970</v>
      </c>
      <c r="J176" s="7" t="s">
        <v>35</v>
      </c>
      <c r="K176" s="7" t="s">
        <v>968</v>
      </c>
      <c r="L176" s="2" t="s">
        <v>1477</v>
      </c>
      <c r="M176" s="11" t="s">
        <v>1912</v>
      </c>
      <c r="N176" s="2"/>
      <c r="O176" s="2"/>
      <c r="P176" s="2"/>
      <c r="Q176" s="2" t="s">
        <v>2402</v>
      </c>
      <c r="R176" s="2" t="s">
        <v>2396</v>
      </c>
      <c r="S176" s="2" t="s">
        <v>2001</v>
      </c>
      <c r="Z176" s="2"/>
    </row>
    <row r="177" spans="1:26" ht="30" customHeight="1" x14ac:dyDescent="0.5">
      <c r="A177" s="116">
        <v>156</v>
      </c>
      <c r="B177" s="75">
        <v>1101700030006</v>
      </c>
      <c r="C177" s="7" t="s">
        <v>2075</v>
      </c>
      <c r="D177" s="7" t="s">
        <v>1436</v>
      </c>
      <c r="E177" s="105" t="s">
        <v>2213</v>
      </c>
      <c r="F177" s="7">
        <v>2012</v>
      </c>
      <c r="G177" s="7" t="s">
        <v>19</v>
      </c>
      <c r="H177" s="7" t="s">
        <v>52</v>
      </c>
      <c r="I177" s="8" t="s">
        <v>59</v>
      </c>
      <c r="J177" s="7" t="s">
        <v>35</v>
      </c>
      <c r="K177" s="7" t="s">
        <v>58</v>
      </c>
      <c r="L177" s="2" t="s">
        <v>1471</v>
      </c>
      <c r="M177" s="2" t="s">
        <v>1548</v>
      </c>
      <c r="N177" s="2" t="s">
        <v>1564</v>
      </c>
      <c r="O177" s="2" t="s">
        <v>1808</v>
      </c>
      <c r="P177" s="2" t="s">
        <v>1809</v>
      </c>
      <c r="Q177" s="57"/>
      <c r="R177" s="2" t="s">
        <v>1922</v>
      </c>
      <c r="S177" s="2" t="s">
        <v>1673</v>
      </c>
      <c r="U177" s="5" t="s">
        <v>1486</v>
      </c>
      <c r="Z177" s="2"/>
    </row>
    <row r="178" spans="1:26" ht="30" customHeight="1" x14ac:dyDescent="0.5">
      <c r="A178" s="5">
        <v>373</v>
      </c>
      <c r="B178" s="75">
        <v>1101700010006</v>
      </c>
      <c r="C178" s="7" t="s">
        <v>2075</v>
      </c>
      <c r="D178" s="7" t="s">
        <v>974</v>
      </c>
      <c r="F178" s="7">
        <v>2014</v>
      </c>
      <c r="G178" s="7" t="s">
        <v>19</v>
      </c>
      <c r="H178" s="7" t="s">
        <v>52</v>
      </c>
      <c r="I178" s="8" t="s">
        <v>975</v>
      </c>
      <c r="J178" s="7" t="s">
        <v>35</v>
      </c>
      <c r="K178" s="7" t="s">
        <v>973</v>
      </c>
      <c r="L178" s="2" t="s">
        <v>1549</v>
      </c>
      <c r="M178" s="2" t="s">
        <v>1548</v>
      </c>
      <c r="N178" s="2" t="s">
        <v>1564</v>
      </c>
      <c r="O178" s="2" t="s">
        <v>2240</v>
      </c>
      <c r="P178" s="2" t="s">
        <v>2553</v>
      </c>
      <c r="Q178" s="2" t="s">
        <v>2513</v>
      </c>
      <c r="R178" s="2" t="s">
        <v>2506</v>
      </c>
      <c r="S178" s="2" t="s">
        <v>1994</v>
      </c>
      <c r="Z178" s="2"/>
    </row>
    <row r="179" spans="1:26" ht="30" hidden="1" customHeight="1" x14ac:dyDescent="0.5">
      <c r="A179" s="5">
        <v>429</v>
      </c>
      <c r="B179" s="75">
        <v>1101700010006</v>
      </c>
      <c r="C179" s="7" t="s">
        <v>2075</v>
      </c>
      <c r="D179" s="7" t="s">
        <v>981</v>
      </c>
      <c r="F179" s="7">
        <v>2015</v>
      </c>
      <c r="G179" s="7" t="s">
        <v>19</v>
      </c>
      <c r="H179" s="7" t="s">
        <v>52</v>
      </c>
      <c r="I179" s="8" t="s">
        <v>982</v>
      </c>
      <c r="J179" s="7" t="s">
        <v>35</v>
      </c>
      <c r="K179" s="7" t="s">
        <v>980</v>
      </c>
      <c r="L179" s="2"/>
      <c r="M179" s="2" t="s">
        <v>2705</v>
      </c>
      <c r="N179" s="2"/>
      <c r="O179" s="2"/>
      <c r="P179" s="2"/>
      <c r="Q179" s="2"/>
      <c r="R179" s="2"/>
      <c r="S179" s="2"/>
      <c r="Z179" s="2"/>
    </row>
    <row r="180" spans="1:26" ht="30" hidden="1" customHeight="1" x14ac:dyDescent="0.5">
      <c r="A180" s="5">
        <v>271</v>
      </c>
      <c r="B180" s="75">
        <v>1101700010006</v>
      </c>
      <c r="C180" s="7" t="s">
        <v>2075</v>
      </c>
      <c r="D180" s="7" t="s">
        <v>276</v>
      </c>
      <c r="F180" s="7">
        <v>2014</v>
      </c>
      <c r="G180" s="7" t="s">
        <v>19</v>
      </c>
      <c r="H180" s="7" t="s">
        <v>52</v>
      </c>
      <c r="I180" s="8" t="s">
        <v>277</v>
      </c>
      <c r="J180" s="7" t="s">
        <v>263</v>
      </c>
      <c r="K180" s="7" t="s">
        <v>270</v>
      </c>
      <c r="L180" s="2" t="s">
        <v>1482</v>
      </c>
      <c r="M180" s="11" t="s">
        <v>2098</v>
      </c>
      <c r="N180" s="2"/>
      <c r="O180" s="2"/>
      <c r="P180" s="2"/>
      <c r="Q180" s="2" t="s">
        <v>2340</v>
      </c>
      <c r="R180" s="2" t="s">
        <v>2333</v>
      </c>
      <c r="S180" s="2" t="s">
        <v>1676</v>
      </c>
      <c r="Z180" s="2"/>
    </row>
    <row r="181" spans="1:26" ht="30" hidden="1" customHeight="1" x14ac:dyDescent="0.5">
      <c r="A181" s="5">
        <v>327</v>
      </c>
      <c r="B181" s="75">
        <v>1101700010006</v>
      </c>
      <c r="C181" s="7" t="s">
        <v>2075</v>
      </c>
      <c r="D181" s="7" t="s">
        <v>766</v>
      </c>
      <c r="F181" s="7">
        <v>2014</v>
      </c>
      <c r="G181" s="7" t="s">
        <v>19</v>
      </c>
      <c r="H181" s="7" t="s">
        <v>52</v>
      </c>
      <c r="I181" s="8" t="s">
        <v>767</v>
      </c>
      <c r="J181" s="7" t="s">
        <v>35</v>
      </c>
      <c r="K181" s="7" t="s">
        <v>765</v>
      </c>
      <c r="L181" s="2"/>
      <c r="M181" s="2" t="s">
        <v>2705</v>
      </c>
      <c r="N181" s="2"/>
      <c r="O181" s="2"/>
      <c r="P181" s="2"/>
      <c r="Q181" s="2"/>
      <c r="R181" s="2"/>
      <c r="S181" s="2"/>
      <c r="Z181" s="2"/>
    </row>
    <row r="182" spans="1:26" ht="30" hidden="1" customHeight="1" x14ac:dyDescent="0.5">
      <c r="A182" s="5">
        <v>176</v>
      </c>
      <c r="B182" s="75">
        <v>1101700010006</v>
      </c>
      <c r="C182" s="7" t="s">
        <v>2075</v>
      </c>
      <c r="D182" s="7" t="s">
        <v>188</v>
      </c>
      <c r="F182" s="7">
        <v>2013</v>
      </c>
      <c r="G182" s="7" t="s">
        <v>19</v>
      </c>
      <c r="H182" s="7" t="s">
        <v>52</v>
      </c>
      <c r="I182" s="8" t="s">
        <v>189</v>
      </c>
      <c r="J182" s="7" t="s">
        <v>35</v>
      </c>
      <c r="K182" s="7" t="s">
        <v>187</v>
      </c>
      <c r="L182" s="2" t="s">
        <v>1482</v>
      </c>
      <c r="M182" s="2" t="s">
        <v>2705</v>
      </c>
      <c r="N182" s="2"/>
      <c r="O182" s="2"/>
      <c r="P182" s="2"/>
      <c r="Q182" s="2"/>
      <c r="R182" s="2"/>
      <c r="S182" s="2"/>
      <c r="U182" s="5" t="s">
        <v>1539</v>
      </c>
      <c r="Z182" s="2"/>
    </row>
    <row r="183" spans="1:26" ht="30" hidden="1" customHeight="1" x14ac:dyDescent="0.5">
      <c r="A183" s="5">
        <v>222</v>
      </c>
      <c r="B183" s="75">
        <v>1101700010006</v>
      </c>
      <c r="C183" s="7" t="s">
        <v>2075</v>
      </c>
      <c r="D183" s="7" t="s">
        <v>51</v>
      </c>
      <c r="F183" s="7">
        <v>2013</v>
      </c>
      <c r="G183" s="7" t="s">
        <v>19</v>
      </c>
      <c r="H183" s="7" t="s">
        <v>52</v>
      </c>
      <c r="I183" s="8" t="s">
        <v>53</v>
      </c>
      <c r="J183" s="7" t="s">
        <v>35</v>
      </c>
      <c r="K183" s="7" t="s">
        <v>49</v>
      </c>
      <c r="L183" s="2" t="s">
        <v>1471</v>
      </c>
      <c r="M183" s="11" t="s">
        <v>2098</v>
      </c>
      <c r="N183" s="2"/>
      <c r="O183" s="2"/>
      <c r="P183" s="2"/>
      <c r="Q183" s="2" t="s">
        <v>2118</v>
      </c>
      <c r="R183" s="2"/>
      <c r="S183" s="2" t="s">
        <v>1675</v>
      </c>
      <c r="U183" s="5" t="s">
        <v>1484</v>
      </c>
      <c r="Z183" s="2"/>
    </row>
    <row r="184" spans="1:26" ht="30" hidden="1" customHeight="1" x14ac:dyDescent="0.5">
      <c r="A184" s="5">
        <v>107</v>
      </c>
      <c r="B184" s="75">
        <v>1101700030006</v>
      </c>
      <c r="C184" s="7" t="s">
        <v>2075</v>
      </c>
      <c r="D184" s="7" t="s">
        <v>149</v>
      </c>
      <c r="F184" s="7">
        <v>2012</v>
      </c>
      <c r="G184" s="7" t="s">
        <v>19</v>
      </c>
      <c r="H184" s="7" t="s">
        <v>52</v>
      </c>
      <c r="I184" s="8" t="s">
        <v>150</v>
      </c>
      <c r="J184" s="7" t="s">
        <v>35</v>
      </c>
      <c r="K184" s="7" t="s">
        <v>148</v>
      </c>
      <c r="L184" s="2" t="s">
        <v>1537</v>
      </c>
      <c r="M184" s="2" t="s">
        <v>2705</v>
      </c>
      <c r="N184" s="2"/>
      <c r="O184" s="2"/>
      <c r="P184" s="2"/>
      <c r="Q184" s="2"/>
      <c r="R184" s="2" t="s">
        <v>2399</v>
      </c>
      <c r="S184" s="2"/>
      <c r="U184" s="5" t="s">
        <v>1523</v>
      </c>
      <c r="X184" s="5" t="s">
        <v>1511</v>
      </c>
      <c r="Z184" s="2"/>
    </row>
    <row r="185" spans="1:26" ht="30" hidden="1" customHeight="1" x14ac:dyDescent="0.5">
      <c r="A185" s="5">
        <v>268</v>
      </c>
      <c r="B185" s="75">
        <v>1101700010006</v>
      </c>
      <c r="C185" s="7" t="s">
        <v>2075</v>
      </c>
      <c r="D185" s="7" t="s">
        <v>921</v>
      </c>
      <c r="F185" s="7">
        <v>2013</v>
      </c>
      <c r="G185" s="7" t="s">
        <v>19</v>
      </c>
      <c r="H185" s="7" t="s">
        <v>52</v>
      </c>
      <c r="I185" s="8" t="s">
        <v>922</v>
      </c>
      <c r="J185" s="7" t="s">
        <v>35</v>
      </c>
      <c r="K185" s="7" t="s">
        <v>920</v>
      </c>
      <c r="L185" s="2" t="s">
        <v>1518</v>
      </c>
      <c r="M185" s="11" t="s">
        <v>1912</v>
      </c>
      <c r="N185" s="2" t="s">
        <v>1565</v>
      </c>
      <c r="O185" s="2" t="s">
        <v>2621</v>
      </c>
      <c r="P185" s="2" t="s">
        <v>2617</v>
      </c>
      <c r="Q185" s="2" t="s">
        <v>2625</v>
      </c>
      <c r="R185" s="2" t="s">
        <v>2378</v>
      </c>
      <c r="S185" s="2" t="s">
        <v>1989</v>
      </c>
      <c r="Z185" s="2"/>
    </row>
    <row r="186" spans="1:26" ht="30" customHeight="1" x14ac:dyDescent="0.5">
      <c r="A186" s="5">
        <v>237</v>
      </c>
      <c r="B186" s="75">
        <v>1101700010006</v>
      </c>
      <c r="C186" s="7" t="s">
        <v>2075</v>
      </c>
      <c r="D186" s="7" t="s">
        <v>842</v>
      </c>
      <c r="F186" s="7">
        <v>2013</v>
      </c>
      <c r="G186" s="7" t="s">
        <v>19</v>
      </c>
      <c r="H186" s="7" t="s">
        <v>52</v>
      </c>
      <c r="I186" s="8" t="s">
        <v>843</v>
      </c>
      <c r="J186" s="7" t="s">
        <v>35</v>
      </c>
      <c r="K186" s="7" t="s">
        <v>841</v>
      </c>
      <c r="L186" s="2" t="s">
        <v>1663</v>
      </c>
      <c r="M186" s="11" t="s">
        <v>1548</v>
      </c>
      <c r="N186" s="2" t="s">
        <v>1571</v>
      </c>
      <c r="O186" s="2" t="s">
        <v>1609</v>
      </c>
      <c r="P186" s="2" t="s">
        <v>2714</v>
      </c>
      <c r="Q186" s="2" t="s">
        <v>2604</v>
      </c>
      <c r="R186" s="2"/>
      <c r="S186" s="2" t="s">
        <v>2021</v>
      </c>
      <c r="Z186" s="2"/>
    </row>
    <row r="187" spans="1:26" ht="30" hidden="1" customHeight="1" x14ac:dyDescent="0.5">
      <c r="A187" s="5">
        <v>639</v>
      </c>
      <c r="B187" s="75">
        <v>1101700030005</v>
      </c>
      <c r="C187" s="7" t="s">
        <v>230</v>
      </c>
      <c r="D187" s="7" t="s">
        <v>1256</v>
      </c>
      <c r="F187" s="7">
        <v>2004</v>
      </c>
      <c r="G187" s="7" t="s">
        <v>19</v>
      </c>
      <c r="H187" s="7" t="s">
        <v>42</v>
      </c>
      <c r="I187" s="58" t="s">
        <v>1257</v>
      </c>
      <c r="J187" s="7" t="s">
        <v>263</v>
      </c>
      <c r="K187" s="9" t="s">
        <v>1225</v>
      </c>
      <c r="L187" s="2" t="s">
        <v>1544</v>
      </c>
      <c r="M187" s="9" t="s">
        <v>1552</v>
      </c>
      <c r="N187" s="2" t="s">
        <v>1571</v>
      </c>
      <c r="O187" s="2" t="s">
        <v>1961</v>
      </c>
      <c r="P187" s="2" t="s">
        <v>1962</v>
      </c>
      <c r="Q187" s="2"/>
      <c r="R187" s="2"/>
      <c r="S187" s="2" t="s">
        <v>1544</v>
      </c>
      <c r="Z187" s="2"/>
    </row>
    <row r="188" spans="1:26" ht="30" hidden="1" customHeight="1" x14ac:dyDescent="0.5">
      <c r="A188" s="5">
        <v>567</v>
      </c>
      <c r="B188" s="75">
        <v>1101700030005</v>
      </c>
      <c r="C188" s="7" t="s">
        <v>230</v>
      </c>
      <c r="D188" s="7" t="s">
        <v>231</v>
      </c>
      <c r="F188" s="7">
        <v>2012</v>
      </c>
      <c r="G188" s="7" t="s">
        <v>19</v>
      </c>
      <c r="H188" s="7" t="s">
        <v>52</v>
      </c>
      <c r="I188" s="58" t="s">
        <v>232</v>
      </c>
      <c r="J188" s="7" t="s">
        <v>35</v>
      </c>
      <c r="K188" s="7" t="s">
        <v>229</v>
      </c>
      <c r="L188" s="2" t="s">
        <v>1543</v>
      </c>
      <c r="M188" s="11" t="s">
        <v>1912</v>
      </c>
      <c r="N188" s="2"/>
      <c r="O188" s="2" t="s">
        <v>2414</v>
      </c>
      <c r="P188" s="2" t="s">
        <v>2413</v>
      </c>
      <c r="Q188" s="2" t="s">
        <v>2413</v>
      </c>
      <c r="R188" s="2" t="s">
        <v>2417</v>
      </c>
      <c r="S188" s="2" t="s">
        <v>1543</v>
      </c>
      <c r="Z188" s="2"/>
    </row>
    <row r="189" spans="1:26" ht="30" hidden="1" customHeight="1" x14ac:dyDescent="0.5">
      <c r="A189" s="5">
        <v>637</v>
      </c>
      <c r="B189" s="75">
        <v>1101700030005</v>
      </c>
      <c r="C189" s="7" t="s">
        <v>230</v>
      </c>
      <c r="D189" s="7" t="s">
        <v>233</v>
      </c>
      <c r="F189" s="7">
        <v>2003</v>
      </c>
      <c r="G189" s="7" t="s">
        <v>19</v>
      </c>
      <c r="H189" s="7" t="s">
        <v>52</v>
      </c>
      <c r="I189" s="58" t="s">
        <v>234</v>
      </c>
      <c r="J189" s="7" t="s">
        <v>35</v>
      </c>
      <c r="K189" s="7" t="s">
        <v>229</v>
      </c>
      <c r="L189" s="2" t="s">
        <v>1543</v>
      </c>
      <c r="M189" s="9" t="s">
        <v>1553</v>
      </c>
      <c r="N189" s="9" t="s">
        <v>1571</v>
      </c>
      <c r="O189" s="2" t="s">
        <v>1609</v>
      </c>
      <c r="P189" s="2" t="s">
        <v>1952</v>
      </c>
      <c r="Q189" s="2"/>
      <c r="R189" s="2"/>
      <c r="S189" s="2" t="s">
        <v>1686</v>
      </c>
      <c r="Z189" s="2"/>
    </row>
    <row r="190" spans="1:26" ht="30" customHeight="1" x14ac:dyDescent="0.5">
      <c r="A190" s="5">
        <v>277</v>
      </c>
      <c r="B190" s="8">
        <v>1105700080001</v>
      </c>
      <c r="C190" s="7" t="s">
        <v>302</v>
      </c>
      <c r="D190" s="7" t="s">
        <v>303</v>
      </c>
      <c r="F190" s="7">
        <v>2012</v>
      </c>
      <c r="G190" s="7" t="s">
        <v>19</v>
      </c>
      <c r="H190" s="7" t="s">
        <v>304</v>
      </c>
      <c r="I190" s="8" t="s">
        <v>305</v>
      </c>
      <c r="J190" s="7" t="s">
        <v>263</v>
      </c>
      <c r="K190" s="7" t="s">
        <v>270</v>
      </c>
      <c r="L190" s="2" t="s">
        <v>1544</v>
      </c>
      <c r="M190" s="2" t="s">
        <v>1548</v>
      </c>
      <c r="N190" s="2" t="s">
        <v>1564</v>
      </c>
      <c r="O190" s="2" t="s">
        <v>2359</v>
      </c>
      <c r="P190" s="9" t="s">
        <v>2353</v>
      </c>
      <c r="Q190" s="2"/>
      <c r="R190" s="2"/>
      <c r="S190" s="2" t="s">
        <v>2053</v>
      </c>
      <c r="Z190" s="2" t="s">
        <v>1543</v>
      </c>
    </row>
    <row r="191" spans="1:26" ht="30" hidden="1" customHeight="1" x14ac:dyDescent="0.5">
      <c r="A191" s="5">
        <v>6</v>
      </c>
      <c r="B191" s="8">
        <v>1105700080001</v>
      </c>
      <c r="C191" s="7" t="s">
        <v>302</v>
      </c>
      <c r="D191" s="7" t="s">
        <v>1315</v>
      </c>
      <c r="E191" s="7" t="s">
        <v>2215</v>
      </c>
      <c r="F191" s="7">
        <v>2011</v>
      </c>
      <c r="G191" s="7" t="s">
        <v>19</v>
      </c>
      <c r="H191" s="7" t="s">
        <v>304</v>
      </c>
      <c r="I191" s="8" t="s">
        <v>1316</v>
      </c>
      <c r="J191" s="7" t="s">
        <v>263</v>
      </c>
      <c r="K191" s="7" t="s">
        <v>1225</v>
      </c>
      <c r="L191" s="2" t="s">
        <v>1544</v>
      </c>
      <c r="M191" s="11" t="s">
        <v>1912</v>
      </c>
      <c r="N191" s="2" t="s">
        <v>1565</v>
      </c>
      <c r="O191" s="2" t="s">
        <v>1611</v>
      </c>
      <c r="P191" s="2" t="s">
        <v>1612</v>
      </c>
      <c r="Q191" s="2" t="s">
        <v>2477</v>
      </c>
      <c r="R191" s="2"/>
      <c r="S191" s="2" t="s">
        <v>2053</v>
      </c>
      <c r="X191" s="4" t="s">
        <v>1677</v>
      </c>
      <c r="Z191" s="7"/>
    </row>
    <row r="192" spans="1:26" ht="30" hidden="1" customHeight="1" x14ac:dyDescent="0.5">
      <c r="A192" s="5">
        <v>589</v>
      </c>
      <c r="B192" s="8">
        <v>1105700080001</v>
      </c>
      <c r="C192" s="7" t="s">
        <v>302</v>
      </c>
      <c r="D192" s="7" t="s">
        <v>1311</v>
      </c>
      <c r="E192" s="7" t="s">
        <v>2213</v>
      </c>
      <c r="F192" s="7">
        <v>2011</v>
      </c>
      <c r="G192" s="7" t="s">
        <v>19</v>
      </c>
      <c r="H192" s="7" t="s">
        <v>304</v>
      </c>
      <c r="I192" s="8" t="s">
        <v>1312</v>
      </c>
      <c r="J192" s="7" t="s">
        <v>263</v>
      </c>
      <c r="K192" s="7" t="s">
        <v>1225</v>
      </c>
      <c r="L192" s="2" t="s">
        <v>1544</v>
      </c>
      <c r="M192" s="11" t="s">
        <v>1912</v>
      </c>
      <c r="N192" s="2" t="s">
        <v>1569</v>
      </c>
      <c r="O192" s="2" t="s">
        <v>2102</v>
      </c>
      <c r="P192" s="2" t="s">
        <v>2101</v>
      </c>
      <c r="Q192" s="2" t="s">
        <v>2448</v>
      </c>
      <c r="R192" s="2"/>
      <c r="S192" s="2" t="s">
        <v>1544</v>
      </c>
      <c r="Z192" s="7"/>
    </row>
    <row r="193" spans="1:26" ht="30" hidden="1" customHeight="1" x14ac:dyDescent="0.5">
      <c r="A193" s="116">
        <v>585</v>
      </c>
      <c r="B193" s="8">
        <v>1105700080001</v>
      </c>
      <c r="C193" s="7" t="s">
        <v>302</v>
      </c>
      <c r="D193" s="7" t="s">
        <v>1303</v>
      </c>
      <c r="E193" s="7" t="s">
        <v>2221</v>
      </c>
      <c r="F193" s="7">
        <v>2015</v>
      </c>
      <c r="G193" s="7" t="s">
        <v>19</v>
      </c>
      <c r="H193" s="7" t="s">
        <v>304</v>
      </c>
      <c r="I193" s="8" t="s">
        <v>1304</v>
      </c>
      <c r="J193" s="111" t="s">
        <v>263</v>
      </c>
      <c r="K193" s="7" t="s">
        <v>1225</v>
      </c>
      <c r="L193" s="2" t="s">
        <v>1544</v>
      </c>
      <c r="M193" s="11" t="s">
        <v>1912</v>
      </c>
      <c r="N193" s="2" t="s">
        <v>1564</v>
      </c>
      <c r="O193" s="2" t="s">
        <v>2202</v>
      </c>
      <c r="P193" s="2" t="s">
        <v>2198</v>
      </c>
      <c r="Q193" s="2" t="s">
        <v>2615</v>
      </c>
      <c r="R193" s="2"/>
      <c r="S193" s="2" t="s">
        <v>2053</v>
      </c>
      <c r="Z193" s="7"/>
    </row>
    <row r="194" spans="1:26" ht="30" customHeight="1" x14ac:dyDescent="0.5">
      <c r="A194" s="116">
        <v>133</v>
      </c>
      <c r="B194" s="8">
        <v>1105700080001</v>
      </c>
      <c r="C194" s="7" t="s">
        <v>302</v>
      </c>
      <c r="D194" s="7" t="s">
        <v>654</v>
      </c>
      <c r="E194" s="105" t="s">
        <v>2220</v>
      </c>
      <c r="F194" s="7">
        <v>2010</v>
      </c>
      <c r="G194" s="7" t="s">
        <v>19</v>
      </c>
      <c r="H194" s="7" t="s">
        <v>20</v>
      </c>
      <c r="I194" s="8" t="s">
        <v>655</v>
      </c>
      <c r="J194" s="7" t="s">
        <v>263</v>
      </c>
      <c r="K194" s="7" t="s">
        <v>632</v>
      </c>
      <c r="L194" s="2" t="s">
        <v>1544</v>
      </c>
      <c r="M194" s="2" t="s">
        <v>1548</v>
      </c>
      <c r="N194" s="2" t="s">
        <v>1559</v>
      </c>
      <c r="O194" s="2" t="s">
        <v>1559</v>
      </c>
      <c r="P194" s="2" t="s">
        <v>2665</v>
      </c>
      <c r="Q194" s="2"/>
      <c r="R194" s="2"/>
      <c r="S194" s="2" t="s">
        <v>2053</v>
      </c>
      <c r="X194" s="5" t="s">
        <v>1537</v>
      </c>
      <c r="Z194" s="2"/>
    </row>
    <row r="195" spans="1:26" ht="30" hidden="1" customHeight="1" x14ac:dyDescent="0.5">
      <c r="A195" s="116">
        <v>30</v>
      </c>
      <c r="B195" s="8">
        <v>1105700080001</v>
      </c>
      <c r="C195" s="7" t="s">
        <v>302</v>
      </c>
      <c r="D195" s="7" t="s">
        <v>652</v>
      </c>
      <c r="E195" s="105" t="s">
        <v>2215</v>
      </c>
      <c r="F195" s="7">
        <v>2015</v>
      </c>
      <c r="G195" s="7" t="s">
        <v>19</v>
      </c>
      <c r="H195" s="7" t="s">
        <v>304</v>
      </c>
      <c r="I195" s="8" t="s">
        <v>653</v>
      </c>
      <c r="J195" s="7" t="s">
        <v>263</v>
      </c>
      <c r="K195" s="7" t="s">
        <v>632</v>
      </c>
      <c r="L195" s="2" t="s">
        <v>1544</v>
      </c>
      <c r="M195" s="2" t="s">
        <v>2066</v>
      </c>
      <c r="N195" s="2" t="s">
        <v>1565</v>
      </c>
      <c r="O195" s="2" t="s">
        <v>2637</v>
      </c>
      <c r="P195" s="2" t="s">
        <v>1579</v>
      </c>
      <c r="Q195" s="2"/>
      <c r="R195" s="2"/>
      <c r="S195" s="2" t="s">
        <v>2053</v>
      </c>
      <c r="X195" s="4" t="s">
        <v>1701</v>
      </c>
      <c r="Z195" s="2"/>
    </row>
    <row r="196" spans="1:26" ht="30" hidden="1" customHeight="1" x14ac:dyDescent="0.5">
      <c r="A196" s="5">
        <v>584</v>
      </c>
      <c r="B196" s="8">
        <v>1105700080001</v>
      </c>
      <c r="C196" s="7" t="s">
        <v>302</v>
      </c>
      <c r="D196" s="7" t="s">
        <v>1301</v>
      </c>
      <c r="F196" s="7">
        <v>2011</v>
      </c>
      <c r="G196" s="7" t="s">
        <v>19</v>
      </c>
      <c r="H196" s="7" t="s">
        <v>304</v>
      </c>
      <c r="I196" s="8" t="s">
        <v>1302</v>
      </c>
      <c r="J196" s="7" t="s">
        <v>263</v>
      </c>
      <c r="K196" s="7" t="s">
        <v>1225</v>
      </c>
      <c r="L196" s="2" t="s">
        <v>1544</v>
      </c>
      <c r="M196" s="2" t="s">
        <v>2705</v>
      </c>
      <c r="N196" s="2"/>
      <c r="O196" s="2"/>
      <c r="P196" s="2"/>
      <c r="Q196" s="2"/>
      <c r="R196" s="2"/>
      <c r="S196" s="2"/>
      <c r="Z196" s="2"/>
    </row>
    <row r="197" spans="1:26" ht="30" hidden="1" customHeight="1" x14ac:dyDescent="0.5">
      <c r="A197" s="5">
        <v>588</v>
      </c>
      <c r="B197" s="8">
        <v>1105700080001</v>
      </c>
      <c r="C197" s="7" t="s">
        <v>302</v>
      </c>
      <c r="D197" s="7" t="s">
        <v>1309</v>
      </c>
      <c r="F197" s="7">
        <v>2011</v>
      </c>
      <c r="G197" s="7" t="s">
        <v>19</v>
      </c>
      <c r="H197" s="7" t="s">
        <v>304</v>
      </c>
      <c r="I197" s="8" t="s">
        <v>1310</v>
      </c>
      <c r="J197" s="7" t="s">
        <v>263</v>
      </c>
      <c r="K197" s="7" t="s">
        <v>1225</v>
      </c>
      <c r="L197" s="2" t="s">
        <v>1544</v>
      </c>
      <c r="M197" s="11" t="s">
        <v>1912</v>
      </c>
      <c r="N197" s="2"/>
      <c r="O197" s="2"/>
      <c r="P197" s="2"/>
      <c r="Q197" s="2" t="s">
        <v>2196</v>
      </c>
      <c r="R197" s="2"/>
      <c r="S197" s="2" t="s">
        <v>2053</v>
      </c>
      <c r="Z197" s="2"/>
    </row>
    <row r="198" spans="1:26" ht="30" hidden="1" customHeight="1" x14ac:dyDescent="0.5">
      <c r="A198" s="5">
        <v>590</v>
      </c>
      <c r="B198" s="8">
        <v>1105700080001</v>
      </c>
      <c r="C198" s="7" t="s">
        <v>302</v>
      </c>
      <c r="D198" s="7" t="s">
        <v>1313</v>
      </c>
      <c r="F198" s="7">
        <v>2011</v>
      </c>
      <c r="G198" s="7" t="s">
        <v>19</v>
      </c>
      <c r="H198" s="7" t="s">
        <v>304</v>
      </c>
      <c r="I198" s="8" t="s">
        <v>1314</v>
      </c>
      <c r="J198" s="7" t="s">
        <v>263</v>
      </c>
      <c r="K198" s="7" t="s">
        <v>1225</v>
      </c>
      <c r="L198" s="2" t="s">
        <v>1544</v>
      </c>
      <c r="M198" s="2" t="s">
        <v>2705</v>
      </c>
      <c r="N198" s="2"/>
      <c r="O198" s="2"/>
      <c r="P198" s="2"/>
      <c r="Q198" s="2"/>
      <c r="R198" s="2"/>
      <c r="S198" s="2"/>
      <c r="Z198" s="2"/>
    </row>
    <row r="199" spans="1:26" ht="30" hidden="1" customHeight="1" x14ac:dyDescent="0.5">
      <c r="A199" s="5">
        <v>591</v>
      </c>
      <c r="B199" s="8">
        <v>1105700080001</v>
      </c>
      <c r="C199" s="7" t="s">
        <v>302</v>
      </c>
      <c r="D199" s="7" t="s">
        <v>1317</v>
      </c>
      <c r="F199" s="7">
        <v>2011</v>
      </c>
      <c r="G199" s="7" t="s">
        <v>19</v>
      </c>
      <c r="H199" s="7" t="s">
        <v>304</v>
      </c>
      <c r="I199" s="8" t="s">
        <v>1318</v>
      </c>
      <c r="J199" s="7" t="s">
        <v>263</v>
      </c>
      <c r="K199" s="7" t="s">
        <v>1225</v>
      </c>
      <c r="L199" s="2" t="s">
        <v>1544</v>
      </c>
      <c r="M199" s="11" t="s">
        <v>1912</v>
      </c>
      <c r="N199" s="2"/>
      <c r="O199" s="2"/>
      <c r="P199" s="2"/>
      <c r="Q199" s="2" t="s">
        <v>2209</v>
      </c>
      <c r="R199" s="2"/>
      <c r="S199" s="2" t="s">
        <v>1544</v>
      </c>
      <c r="Z199" s="2"/>
    </row>
    <row r="200" spans="1:26" ht="30" hidden="1" customHeight="1" x14ac:dyDescent="0.5">
      <c r="A200" s="5">
        <v>583</v>
      </c>
      <c r="B200" s="8">
        <v>1105700080001</v>
      </c>
      <c r="C200" s="7" t="s">
        <v>302</v>
      </c>
      <c r="D200" s="7" t="s">
        <v>1463</v>
      </c>
      <c r="F200" s="7">
        <v>2012</v>
      </c>
      <c r="G200" s="7" t="s">
        <v>19</v>
      </c>
      <c r="H200" s="7" t="s">
        <v>304</v>
      </c>
      <c r="I200" s="8" t="s">
        <v>1300</v>
      </c>
      <c r="J200" s="7" t="s">
        <v>263</v>
      </c>
      <c r="K200" s="7" t="s">
        <v>1225</v>
      </c>
      <c r="L200" s="2" t="s">
        <v>1544</v>
      </c>
      <c r="M200" s="9" t="s">
        <v>1553</v>
      </c>
      <c r="N200" s="2" t="s">
        <v>1559</v>
      </c>
      <c r="O200" s="2" t="s">
        <v>1609</v>
      </c>
      <c r="P200" s="2"/>
      <c r="Q200" s="2" t="s">
        <v>2444</v>
      </c>
      <c r="R200" s="2"/>
      <c r="S200" s="2" t="s">
        <v>1544</v>
      </c>
      <c r="Z200" s="2"/>
    </row>
    <row r="201" spans="1:26" ht="30" hidden="1" customHeight="1" x14ac:dyDescent="0.5">
      <c r="A201" s="5">
        <v>587</v>
      </c>
      <c r="B201" s="8">
        <v>1105700080001</v>
      </c>
      <c r="C201" s="7" t="s">
        <v>302</v>
      </c>
      <c r="D201" s="7" t="s">
        <v>1307</v>
      </c>
      <c r="F201" s="7">
        <v>2013</v>
      </c>
      <c r="G201" s="7" t="s">
        <v>19</v>
      </c>
      <c r="H201" s="7" t="s">
        <v>304</v>
      </c>
      <c r="I201" s="8" t="s">
        <v>1308</v>
      </c>
      <c r="J201" s="7" t="s">
        <v>263</v>
      </c>
      <c r="K201" s="7" t="s">
        <v>1225</v>
      </c>
      <c r="L201" s="2" t="s">
        <v>1544</v>
      </c>
      <c r="M201" s="2" t="s">
        <v>2705</v>
      </c>
      <c r="N201" s="2"/>
      <c r="O201" s="2"/>
      <c r="P201" s="2"/>
      <c r="Q201" s="2"/>
      <c r="R201" s="2"/>
      <c r="S201" s="2"/>
      <c r="Z201" s="2"/>
    </row>
    <row r="202" spans="1:26" ht="30" hidden="1" customHeight="1" x14ac:dyDescent="0.5">
      <c r="A202" s="5">
        <v>278</v>
      </c>
      <c r="B202" s="8">
        <v>1105700080001</v>
      </c>
      <c r="C202" s="7" t="s">
        <v>302</v>
      </c>
      <c r="D202" s="7" t="s">
        <v>306</v>
      </c>
      <c r="F202" s="7">
        <v>2015</v>
      </c>
      <c r="G202" s="7" t="s">
        <v>19</v>
      </c>
      <c r="H202" s="7" t="s">
        <v>304</v>
      </c>
      <c r="I202" s="8" t="s">
        <v>307</v>
      </c>
      <c r="J202" s="111" t="s">
        <v>263</v>
      </c>
      <c r="K202" s="7" t="s">
        <v>270</v>
      </c>
      <c r="L202" s="2" t="s">
        <v>1544</v>
      </c>
      <c r="M202" s="11" t="s">
        <v>1912</v>
      </c>
      <c r="N202" s="2" t="s">
        <v>1565</v>
      </c>
      <c r="O202" s="2" t="s">
        <v>2457</v>
      </c>
      <c r="P202" s="2" t="s">
        <v>2448</v>
      </c>
      <c r="Q202" s="2" t="s">
        <v>2474</v>
      </c>
      <c r="R202" s="2"/>
      <c r="S202" s="2" t="s">
        <v>2053</v>
      </c>
      <c r="Z202" s="2"/>
    </row>
    <row r="203" spans="1:26" ht="30" hidden="1" customHeight="1" x14ac:dyDescent="0.5">
      <c r="A203" s="5">
        <v>586</v>
      </c>
      <c r="B203" s="8">
        <v>1105700080001</v>
      </c>
      <c r="C203" s="7" t="s">
        <v>302</v>
      </c>
      <c r="D203" s="7" t="s">
        <v>1305</v>
      </c>
      <c r="F203" s="7">
        <v>2015</v>
      </c>
      <c r="G203" s="7" t="s">
        <v>19</v>
      </c>
      <c r="H203" s="7" t="s">
        <v>304</v>
      </c>
      <c r="I203" s="8" t="s">
        <v>1306</v>
      </c>
      <c r="J203" s="7" t="s">
        <v>263</v>
      </c>
      <c r="K203" s="7" t="s">
        <v>1225</v>
      </c>
      <c r="L203" s="2" t="s">
        <v>1544</v>
      </c>
      <c r="M203" s="2" t="s">
        <v>2705</v>
      </c>
      <c r="N203" s="2"/>
      <c r="O203" s="2"/>
      <c r="P203" s="2"/>
      <c r="Q203" s="2"/>
      <c r="R203" s="2"/>
      <c r="S203" s="2"/>
      <c r="Z203" s="2"/>
    </row>
    <row r="204" spans="1:26" ht="30" hidden="1" customHeight="1" x14ac:dyDescent="0.5">
      <c r="A204" s="5">
        <v>60</v>
      </c>
      <c r="B204" s="8">
        <v>1105700090001</v>
      </c>
      <c r="C204" s="7" t="s">
        <v>308</v>
      </c>
      <c r="D204" s="7" t="s">
        <v>309</v>
      </c>
      <c r="F204" s="7">
        <v>2011</v>
      </c>
      <c r="G204" s="7" t="s">
        <v>19</v>
      </c>
      <c r="H204" s="97" t="s">
        <v>66</v>
      </c>
      <c r="I204" s="101" t="s">
        <v>310</v>
      </c>
      <c r="J204" s="7" t="s">
        <v>263</v>
      </c>
      <c r="K204" s="7" t="s">
        <v>270</v>
      </c>
      <c r="L204" s="2" t="s">
        <v>1544</v>
      </c>
      <c r="M204" s="11" t="s">
        <v>1912</v>
      </c>
      <c r="N204" s="2" t="s">
        <v>1571</v>
      </c>
      <c r="O204" s="2" t="s">
        <v>2428</v>
      </c>
      <c r="P204" s="2" t="s">
        <v>2425</v>
      </c>
      <c r="Q204" s="2" t="s">
        <v>2448</v>
      </c>
      <c r="R204" s="2" t="s">
        <v>2424</v>
      </c>
      <c r="S204" s="2" t="s">
        <v>1544</v>
      </c>
      <c r="X204" s="4" t="s">
        <v>1727</v>
      </c>
      <c r="Z204" s="2"/>
    </row>
    <row r="205" spans="1:26" ht="30" customHeight="1" x14ac:dyDescent="0.5">
      <c r="A205" s="116">
        <v>145</v>
      </c>
      <c r="B205" s="8">
        <v>1105700140001</v>
      </c>
      <c r="C205" s="7" t="s">
        <v>314</v>
      </c>
      <c r="D205" s="7" t="s">
        <v>315</v>
      </c>
      <c r="E205" s="105" t="s">
        <v>2215</v>
      </c>
      <c r="F205" s="7">
        <v>2012</v>
      </c>
      <c r="G205" s="7" t="s">
        <v>19</v>
      </c>
      <c r="H205" s="97" t="s">
        <v>42</v>
      </c>
      <c r="I205" s="101" t="s">
        <v>316</v>
      </c>
      <c r="J205" s="7" t="s">
        <v>263</v>
      </c>
      <c r="K205" s="7" t="s">
        <v>270</v>
      </c>
      <c r="L205" s="2" t="s">
        <v>1663</v>
      </c>
      <c r="M205" s="2" t="s">
        <v>1548</v>
      </c>
      <c r="N205" s="2" t="s">
        <v>1571</v>
      </c>
      <c r="O205" s="2" t="s">
        <v>1616</v>
      </c>
      <c r="P205" s="2" t="s">
        <v>1617</v>
      </c>
      <c r="Q205" s="57"/>
      <c r="R205" s="2"/>
      <c r="S205" s="2"/>
      <c r="X205" s="5" t="s">
        <v>1558</v>
      </c>
      <c r="Z205" s="2"/>
    </row>
    <row r="206" spans="1:26" ht="30" hidden="1" customHeight="1" x14ac:dyDescent="0.5">
      <c r="A206" s="5">
        <v>356</v>
      </c>
      <c r="B206" s="8">
        <v>1105700160001</v>
      </c>
      <c r="C206" s="7" t="s">
        <v>438</v>
      </c>
      <c r="D206" s="7" t="s">
        <v>589</v>
      </c>
      <c r="F206" s="7">
        <v>2013</v>
      </c>
      <c r="G206" s="7" t="s">
        <v>19</v>
      </c>
      <c r="H206" s="97" t="s">
        <v>20</v>
      </c>
      <c r="I206" s="101" t="s">
        <v>590</v>
      </c>
      <c r="J206" s="7" t="s">
        <v>263</v>
      </c>
      <c r="K206" s="7" t="s">
        <v>583</v>
      </c>
      <c r="L206" s="2" t="s">
        <v>1513</v>
      </c>
      <c r="M206" s="11" t="s">
        <v>1912</v>
      </c>
      <c r="N206" s="2"/>
      <c r="O206" s="2"/>
      <c r="P206" s="2"/>
      <c r="Q206" s="2" t="s">
        <v>2377</v>
      </c>
      <c r="R206" s="2" t="s">
        <v>2364</v>
      </c>
      <c r="S206" s="2" t="s">
        <v>2029</v>
      </c>
      <c r="Z206" s="2"/>
    </row>
    <row r="207" spans="1:26" ht="30" hidden="1" customHeight="1" x14ac:dyDescent="0.5">
      <c r="A207" s="5">
        <v>312</v>
      </c>
      <c r="B207" s="8">
        <v>1105700160001</v>
      </c>
      <c r="C207" s="7" t="s">
        <v>438</v>
      </c>
      <c r="D207" s="7" t="s">
        <v>439</v>
      </c>
      <c r="F207" s="7">
        <v>2010</v>
      </c>
      <c r="G207" s="7" t="s">
        <v>19</v>
      </c>
      <c r="H207" s="97" t="s">
        <v>440</v>
      </c>
      <c r="I207" s="101" t="s">
        <v>441</v>
      </c>
      <c r="J207" s="7" t="s">
        <v>263</v>
      </c>
      <c r="K207" s="7" t="s">
        <v>430</v>
      </c>
      <c r="L207" s="2" t="s">
        <v>1506</v>
      </c>
      <c r="M207" s="11" t="s">
        <v>1912</v>
      </c>
      <c r="N207" s="2"/>
      <c r="O207" s="2"/>
      <c r="P207" s="2"/>
      <c r="Q207" s="2" t="s">
        <v>2319</v>
      </c>
      <c r="R207" s="2" t="s">
        <v>2327</v>
      </c>
      <c r="S207" s="2" t="s">
        <v>2006</v>
      </c>
      <c r="Z207" s="2"/>
    </row>
    <row r="208" spans="1:26" ht="30" hidden="1" customHeight="1" x14ac:dyDescent="0.5">
      <c r="A208" s="116">
        <v>266</v>
      </c>
      <c r="B208" s="8">
        <v>1204700010002</v>
      </c>
      <c r="C208" s="7" t="s">
        <v>265</v>
      </c>
      <c r="D208" s="91" t="s">
        <v>266</v>
      </c>
      <c r="E208" s="111" t="s">
        <v>2216</v>
      </c>
      <c r="F208" s="110">
        <v>2003</v>
      </c>
      <c r="G208" s="7" t="s">
        <v>19</v>
      </c>
      <c r="H208" s="96" t="s">
        <v>10</v>
      </c>
      <c r="I208" s="8" t="s">
        <v>267</v>
      </c>
      <c r="J208" s="111" t="s">
        <v>263</v>
      </c>
      <c r="K208" s="7" t="s">
        <v>264</v>
      </c>
      <c r="L208" s="110" t="s">
        <v>1555</v>
      </c>
      <c r="M208" s="11" t="s">
        <v>1912</v>
      </c>
      <c r="N208" s="2" t="s">
        <v>1571</v>
      </c>
      <c r="O208" s="2" t="s">
        <v>1609</v>
      </c>
      <c r="P208" s="2" t="s">
        <v>2111</v>
      </c>
      <c r="Q208" s="2" t="s">
        <v>2615</v>
      </c>
      <c r="R208" s="2" t="s">
        <v>2133</v>
      </c>
      <c r="S208" s="2"/>
      <c r="Z208" s="7"/>
    </row>
    <row r="209" spans="1:26" ht="30" hidden="1" customHeight="1" x14ac:dyDescent="0.5">
      <c r="A209" s="5">
        <v>347</v>
      </c>
      <c r="B209" s="8">
        <v>1204700010002</v>
      </c>
      <c r="C209" s="7" t="s">
        <v>265</v>
      </c>
      <c r="D209" s="90" t="s">
        <v>558</v>
      </c>
      <c r="F209" s="110">
        <v>2003</v>
      </c>
      <c r="G209" s="7" t="s">
        <v>4</v>
      </c>
      <c r="H209" s="96" t="s">
        <v>10</v>
      </c>
      <c r="I209" s="8" t="s">
        <v>559</v>
      </c>
      <c r="J209" s="7" t="s">
        <v>263</v>
      </c>
      <c r="K209" s="7" t="s">
        <v>552</v>
      </c>
      <c r="L209" s="110" t="s">
        <v>1549</v>
      </c>
      <c r="M209" s="2" t="s">
        <v>2705</v>
      </c>
      <c r="N209" s="2"/>
      <c r="O209" s="2"/>
      <c r="P209" s="2"/>
      <c r="Q209" s="2"/>
      <c r="R209" s="2"/>
      <c r="S209" s="2"/>
      <c r="Z209" s="2"/>
    </row>
    <row r="210" spans="1:26" ht="30" customHeight="1" x14ac:dyDescent="0.5">
      <c r="A210" s="116">
        <v>194</v>
      </c>
      <c r="B210" s="8">
        <v>1204700010002</v>
      </c>
      <c r="C210" s="7" t="s">
        <v>265</v>
      </c>
      <c r="D210" s="90" t="s">
        <v>516</v>
      </c>
      <c r="E210" s="105" t="s">
        <v>2215</v>
      </c>
      <c r="F210" s="110">
        <v>2003</v>
      </c>
      <c r="G210" s="7" t="s">
        <v>4</v>
      </c>
      <c r="H210" s="96" t="s">
        <v>10</v>
      </c>
      <c r="I210" s="8" t="s">
        <v>517</v>
      </c>
      <c r="J210" s="7" t="s">
        <v>263</v>
      </c>
      <c r="K210" s="7" t="s">
        <v>509</v>
      </c>
      <c r="L210" s="110" t="s">
        <v>1549</v>
      </c>
      <c r="M210" s="2" t="s">
        <v>1548</v>
      </c>
      <c r="N210" s="2" t="s">
        <v>1564</v>
      </c>
      <c r="O210" s="2" t="s">
        <v>2142</v>
      </c>
      <c r="P210" s="2" t="s">
        <v>2143</v>
      </c>
      <c r="Q210" s="2"/>
      <c r="R210" s="2" t="s">
        <v>2339</v>
      </c>
      <c r="S210" s="2" t="s">
        <v>1689</v>
      </c>
      <c r="Z210" s="2"/>
    </row>
    <row r="211" spans="1:26" ht="30" hidden="1" customHeight="1" x14ac:dyDescent="0.5">
      <c r="A211" s="5">
        <v>364</v>
      </c>
      <c r="B211" s="8">
        <v>1204700010002</v>
      </c>
      <c r="C211" s="7" t="s">
        <v>265</v>
      </c>
      <c r="D211" s="90" t="s">
        <v>608</v>
      </c>
      <c r="F211" s="110">
        <v>2003</v>
      </c>
      <c r="G211" s="7" t="s">
        <v>19</v>
      </c>
      <c r="H211" s="96" t="s">
        <v>10</v>
      </c>
      <c r="I211" s="8" t="s">
        <v>609</v>
      </c>
      <c r="J211" s="7" t="s">
        <v>263</v>
      </c>
      <c r="K211" s="7" t="s">
        <v>602</v>
      </c>
      <c r="L211" s="110" t="s">
        <v>1498</v>
      </c>
      <c r="M211" s="2" t="s">
        <v>2705</v>
      </c>
      <c r="N211" s="2"/>
      <c r="O211" s="2"/>
      <c r="P211" s="2"/>
      <c r="Q211" s="2"/>
      <c r="R211" s="2"/>
      <c r="S211" s="2"/>
      <c r="Z211" s="2"/>
    </row>
    <row r="212" spans="1:26" ht="30" customHeight="1" x14ac:dyDescent="0.5">
      <c r="A212" s="116">
        <v>48</v>
      </c>
      <c r="B212" s="8">
        <v>1204700010003</v>
      </c>
      <c r="C212" s="7" t="s">
        <v>96</v>
      </c>
      <c r="D212" s="7" t="s">
        <v>560</v>
      </c>
      <c r="E212" s="105" t="s">
        <v>2213</v>
      </c>
      <c r="F212" s="110">
        <v>2006</v>
      </c>
      <c r="G212" s="7" t="s">
        <v>19</v>
      </c>
      <c r="H212" s="96" t="s">
        <v>10</v>
      </c>
      <c r="I212" s="8" t="s">
        <v>561</v>
      </c>
      <c r="J212" s="7" t="s">
        <v>263</v>
      </c>
      <c r="K212" s="7" t="s">
        <v>552</v>
      </c>
      <c r="L212" s="110" t="s">
        <v>1549</v>
      </c>
      <c r="M212" s="2" t="s">
        <v>1548</v>
      </c>
      <c r="N212" s="2" t="s">
        <v>1564</v>
      </c>
      <c r="O212" s="2" t="s">
        <v>1894</v>
      </c>
      <c r="P212" s="2" t="s">
        <v>1895</v>
      </c>
      <c r="Q212" s="57"/>
      <c r="R212" s="2"/>
      <c r="S212" s="2" t="s">
        <v>1712</v>
      </c>
      <c r="X212" s="4" t="s">
        <v>1716</v>
      </c>
      <c r="Z212" s="2"/>
    </row>
    <row r="213" spans="1:26" ht="30" customHeight="1" x14ac:dyDescent="0.5">
      <c r="A213" s="116">
        <v>32</v>
      </c>
      <c r="B213" s="8">
        <v>1204700010003</v>
      </c>
      <c r="C213" s="7" t="s">
        <v>96</v>
      </c>
      <c r="D213" s="7" t="s">
        <v>475</v>
      </c>
      <c r="E213" s="105" t="s">
        <v>2215</v>
      </c>
      <c r="F213" s="110">
        <v>2009</v>
      </c>
      <c r="G213" s="7" t="s">
        <v>19</v>
      </c>
      <c r="H213" s="96" t="s">
        <v>10</v>
      </c>
      <c r="I213" s="8" t="s">
        <v>476</v>
      </c>
      <c r="J213" s="7" t="s">
        <v>263</v>
      </c>
      <c r="K213" s="7" t="s">
        <v>465</v>
      </c>
      <c r="L213" s="110" t="s">
        <v>1471</v>
      </c>
      <c r="M213" s="2" t="s">
        <v>1548</v>
      </c>
      <c r="N213" s="2" t="s">
        <v>1571</v>
      </c>
      <c r="O213" s="2" t="s">
        <v>1731</v>
      </c>
      <c r="P213" s="2" t="s">
        <v>1843</v>
      </c>
      <c r="Q213" s="57"/>
      <c r="R213" s="2" t="s">
        <v>1666</v>
      </c>
      <c r="S213" s="2" t="s">
        <v>1671</v>
      </c>
      <c r="X213" s="4" t="s">
        <v>1703</v>
      </c>
      <c r="Z213" s="2"/>
    </row>
    <row r="214" spans="1:26" ht="30" hidden="1" customHeight="1" x14ac:dyDescent="0.5">
      <c r="A214" s="5">
        <v>126</v>
      </c>
      <c r="B214" s="8">
        <v>1204700010003</v>
      </c>
      <c r="C214" s="7" t="s">
        <v>96</v>
      </c>
      <c r="D214" s="7" t="s">
        <v>471</v>
      </c>
      <c r="E214" s="7" t="s">
        <v>2215</v>
      </c>
      <c r="F214" s="110">
        <v>2002</v>
      </c>
      <c r="G214" s="7" t="s">
        <v>4</v>
      </c>
      <c r="H214" s="96" t="s">
        <v>10</v>
      </c>
      <c r="I214" s="8" t="s">
        <v>472</v>
      </c>
      <c r="J214" s="111" t="s">
        <v>263</v>
      </c>
      <c r="K214" s="7" t="s">
        <v>465</v>
      </c>
      <c r="L214" s="110" t="s">
        <v>1471</v>
      </c>
      <c r="M214" s="11" t="s">
        <v>1912</v>
      </c>
      <c r="N214" s="2" t="s">
        <v>1615</v>
      </c>
      <c r="O214" s="2" t="s">
        <v>1615</v>
      </c>
      <c r="P214" s="2" t="s">
        <v>2469</v>
      </c>
      <c r="Q214" s="2" t="s">
        <v>2565</v>
      </c>
      <c r="R214" s="2" t="s">
        <v>2571</v>
      </c>
      <c r="S214" s="2" t="s">
        <v>1671</v>
      </c>
      <c r="X214" s="5" t="s">
        <v>1530</v>
      </c>
      <c r="Z214" s="7"/>
    </row>
    <row r="215" spans="1:26" ht="30" customHeight="1" x14ac:dyDescent="0.5">
      <c r="A215" s="116">
        <v>323</v>
      </c>
      <c r="B215" s="8">
        <v>1204700010003</v>
      </c>
      <c r="C215" s="7" t="s">
        <v>96</v>
      </c>
      <c r="D215" s="7" t="s">
        <v>473</v>
      </c>
      <c r="E215" s="105" t="s">
        <v>2215</v>
      </c>
      <c r="F215" s="110">
        <v>2005</v>
      </c>
      <c r="G215" s="7" t="s">
        <v>4</v>
      </c>
      <c r="H215" s="96" t="s">
        <v>10</v>
      </c>
      <c r="I215" s="8" t="s">
        <v>474</v>
      </c>
      <c r="J215" s="7" t="s">
        <v>263</v>
      </c>
      <c r="K215" s="7" t="s">
        <v>465</v>
      </c>
      <c r="L215" s="110" t="s">
        <v>1471</v>
      </c>
      <c r="M215" s="2" t="s">
        <v>1548</v>
      </c>
      <c r="N215" s="2" t="s">
        <v>1564</v>
      </c>
      <c r="O215" s="2" t="s">
        <v>2105</v>
      </c>
      <c r="P215" s="2" t="s">
        <v>2104</v>
      </c>
      <c r="Q215" s="2"/>
      <c r="R215" s="2"/>
      <c r="S215" s="2" t="s">
        <v>1671</v>
      </c>
      <c r="Z215" s="2"/>
    </row>
    <row r="216" spans="1:26" ht="30" hidden="1" customHeight="1" x14ac:dyDescent="0.5">
      <c r="A216" s="5">
        <v>394</v>
      </c>
      <c r="B216" s="8">
        <v>1204700010003</v>
      </c>
      <c r="C216" s="7" t="s">
        <v>96</v>
      </c>
      <c r="D216" s="7" t="s">
        <v>725</v>
      </c>
      <c r="F216" s="110">
        <v>2015</v>
      </c>
      <c r="G216" s="7" t="s">
        <v>19</v>
      </c>
      <c r="H216" s="96" t="s">
        <v>377</v>
      </c>
      <c r="I216" s="8" t="s">
        <v>726</v>
      </c>
      <c r="J216" s="7" t="s">
        <v>723</v>
      </c>
      <c r="K216" s="7" t="s">
        <v>724</v>
      </c>
      <c r="L216" s="110" t="s">
        <v>1518</v>
      </c>
      <c r="M216" s="2" t="s">
        <v>2705</v>
      </c>
      <c r="N216" s="2"/>
      <c r="O216" s="2"/>
      <c r="P216" s="2"/>
      <c r="Q216" s="2"/>
      <c r="R216" s="2" t="s">
        <v>2135</v>
      </c>
      <c r="S216" s="2"/>
      <c r="Z216" s="2"/>
    </row>
    <row r="217" spans="1:26" ht="30" hidden="1" customHeight="1" x14ac:dyDescent="0.5">
      <c r="A217" s="5">
        <v>395</v>
      </c>
      <c r="B217" s="8">
        <v>1204700010003</v>
      </c>
      <c r="C217" s="7" t="s">
        <v>96</v>
      </c>
      <c r="D217" s="7" t="s">
        <v>727</v>
      </c>
      <c r="F217" s="110">
        <v>2015</v>
      </c>
      <c r="G217" s="7" t="s">
        <v>19</v>
      </c>
      <c r="H217" s="96" t="s">
        <v>377</v>
      </c>
      <c r="I217" s="8" t="s">
        <v>728</v>
      </c>
      <c r="J217" s="7" t="s">
        <v>723</v>
      </c>
      <c r="K217" s="7" t="s">
        <v>724</v>
      </c>
      <c r="L217" s="110" t="s">
        <v>1557</v>
      </c>
      <c r="M217" s="2" t="s">
        <v>2705</v>
      </c>
      <c r="N217" s="2"/>
      <c r="O217" s="2"/>
      <c r="P217" s="2"/>
      <c r="Q217" s="2"/>
      <c r="R217" s="2" t="s">
        <v>2137</v>
      </c>
      <c r="S217" s="2"/>
      <c r="Z217" s="2"/>
    </row>
    <row r="218" spans="1:26" ht="30" hidden="1" customHeight="1" x14ac:dyDescent="0.5">
      <c r="A218" s="116">
        <v>368</v>
      </c>
      <c r="B218" s="8">
        <v>1204700010003</v>
      </c>
      <c r="C218" s="7" t="s">
        <v>96</v>
      </c>
      <c r="D218" s="7" t="s">
        <v>624</v>
      </c>
      <c r="E218" s="111" t="s">
        <v>2216</v>
      </c>
      <c r="F218" s="110">
        <v>2006</v>
      </c>
      <c r="G218" s="91" t="s">
        <v>19</v>
      </c>
      <c r="H218" s="96" t="s">
        <v>10</v>
      </c>
      <c r="I218" s="8" t="s">
        <v>625</v>
      </c>
      <c r="J218" s="111" t="s">
        <v>263</v>
      </c>
      <c r="K218" s="7" t="s">
        <v>618</v>
      </c>
      <c r="L218" s="110" t="s">
        <v>1537</v>
      </c>
      <c r="M218" s="11" t="s">
        <v>1912</v>
      </c>
      <c r="N218" s="2" t="s">
        <v>1613</v>
      </c>
      <c r="O218" s="2" t="s">
        <v>1627</v>
      </c>
      <c r="P218" s="2" t="s">
        <v>1853</v>
      </c>
      <c r="Q218" s="2" t="s">
        <v>1647</v>
      </c>
      <c r="R218" s="2" t="s">
        <v>2456</v>
      </c>
      <c r="S218" s="2" t="s">
        <v>1541</v>
      </c>
      <c r="Z218" s="7"/>
    </row>
    <row r="219" spans="1:26" ht="30" customHeight="1" x14ac:dyDescent="0.5">
      <c r="A219" s="5">
        <v>105</v>
      </c>
      <c r="B219" s="8">
        <v>1204700010003</v>
      </c>
      <c r="C219" s="7" t="s">
        <v>96</v>
      </c>
      <c r="D219" s="7" t="s">
        <v>539</v>
      </c>
      <c r="F219" s="110">
        <v>2009</v>
      </c>
      <c r="G219" s="7" t="s">
        <v>19</v>
      </c>
      <c r="H219" s="96" t="s">
        <v>10</v>
      </c>
      <c r="I219" s="8" t="s">
        <v>540</v>
      </c>
      <c r="J219" s="7" t="s">
        <v>263</v>
      </c>
      <c r="K219" s="7" t="s">
        <v>534</v>
      </c>
      <c r="L219" s="110" t="s">
        <v>1531</v>
      </c>
      <c r="M219" s="2" t="s">
        <v>1548</v>
      </c>
      <c r="N219" s="2" t="s">
        <v>1571</v>
      </c>
      <c r="O219" s="2" t="s">
        <v>1731</v>
      </c>
      <c r="P219" s="9" t="s">
        <v>2547</v>
      </c>
      <c r="Q219" s="2" t="s">
        <v>2114</v>
      </c>
      <c r="R219" s="2" t="s">
        <v>2548</v>
      </c>
      <c r="S219" s="2" t="s">
        <v>1709</v>
      </c>
      <c r="X219" s="5" t="s">
        <v>1509</v>
      </c>
      <c r="Z219" s="2"/>
    </row>
    <row r="220" spans="1:26" ht="30" customHeight="1" x14ac:dyDescent="0.5">
      <c r="A220" s="5">
        <v>195</v>
      </c>
      <c r="B220" s="8">
        <v>1204700010003</v>
      </c>
      <c r="C220" s="7" t="s">
        <v>96</v>
      </c>
      <c r="D220" s="7" t="s">
        <v>573</v>
      </c>
      <c r="E220" s="72" t="s">
        <v>2219</v>
      </c>
      <c r="F220" s="110">
        <v>2008</v>
      </c>
      <c r="G220" s="7" t="s">
        <v>19</v>
      </c>
      <c r="H220" s="96" t="s">
        <v>10</v>
      </c>
      <c r="I220" s="8" t="s">
        <v>574</v>
      </c>
      <c r="J220" s="7" t="s">
        <v>263</v>
      </c>
      <c r="K220" s="7" t="s">
        <v>568</v>
      </c>
      <c r="L220" s="110" t="s">
        <v>1487</v>
      </c>
      <c r="M220" s="2" t="s">
        <v>1548</v>
      </c>
      <c r="N220" s="2" t="s">
        <v>1571</v>
      </c>
      <c r="O220" s="2" t="s">
        <v>2560</v>
      </c>
      <c r="P220" s="9" t="s">
        <v>2559</v>
      </c>
      <c r="Q220" s="2" t="s">
        <v>2222</v>
      </c>
      <c r="R220" s="2"/>
      <c r="S220" s="2" t="s">
        <v>1699</v>
      </c>
      <c r="Z220" s="7"/>
    </row>
    <row r="221" spans="1:26" ht="30" hidden="1" customHeight="1" x14ac:dyDescent="0.5">
      <c r="A221" s="5">
        <v>357</v>
      </c>
      <c r="B221" s="8">
        <v>1204700010003</v>
      </c>
      <c r="C221" s="7" t="s">
        <v>96</v>
      </c>
      <c r="D221" s="90" t="s">
        <v>1440</v>
      </c>
      <c r="F221" s="110">
        <v>2008</v>
      </c>
      <c r="G221" s="7" t="s">
        <v>19</v>
      </c>
      <c r="H221" s="96" t="s">
        <v>10</v>
      </c>
      <c r="I221" s="8" t="s">
        <v>591</v>
      </c>
      <c r="J221" s="7" t="s">
        <v>263</v>
      </c>
      <c r="K221" s="7" t="s">
        <v>583</v>
      </c>
      <c r="L221" s="110" t="s">
        <v>1513</v>
      </c>
      <c r="M221" s="2" t="s">
        <v>2705</v>
      </c>
      <c r="N221" s="2"/>
      <c r="O221" s="2"/>
      <c r="P221" s="2"/>
      <c r="Q221" s="2"/>
      <c r="R221" s="2" t="s">
        <v>2301</v>
      </c>
      <c r="S221" s="2"/>
      <c r="Z221" s="2"/>
    </row>
    <row r="222" spans="1:26" ht="30" hidden="1" customHeight="1" x14ac:dyDescent="0.5">
      <c r="A222" s="5">
        <v>177</v>
      </c>
      <c r="B222" s="8">
        <v>1204700010003</v>
      </c>
      <c r="C222" s="7" t="s">
        <v>96</v>
      </c>
      <c r="D222" s="90" t="s">
        <v>213</v>
      </c>
      <c r="E222" s="7" t="s">
        <v>2215</v>
      </c>
      <c r="F222" s="110">
        <v>2005</v>
      </c>
      <c r="G222" s="7" t="s">
        <v>4</v>
      </c>
      <c r="H222" s="96" t="s">
        <v>10</v>
      </c>
      <c r="I222" s="8" t="s">
        <v>214</v>
      </c>
      <c r="J222" s="7" t="s">
        <v>35</v>
      </c>
      <c r="K222" s="7" t="s">
        <v>205</v>
      </c>
      <c r="L222" s="110" t="s">
        <v>1549</v>
      </c>
      <c r="M222" s="11" t="s">
        <v>1912</v>
      </c>
      <c r="N222" s="2"/>
      <c r="O222" s="2"/>
      <c r="P222" s="2"/>
      <c r="Q222" s="2" t="s">
        <v>2385</v>
      </c>
      <c r="R222" s="2" t="s">
        <v>2382</v>
      </c>
      <c r="S222" s="2" t="s">
        <v>1705</v>
      </c>
      <c r="U222" s="5" t="s">
        <v>1661</v>
      </c>
      <c r="Z222" s="7"/>
    </row>
    <row r="223" spans="1:26" ht="30" customHeight="1" x14ac:dyDescent="0.5">
      <c r="A223" s="5">
        <v>367</v>
      </c>
      <c r="B223" s="8">
        <v>1204700010003</v>
      </c>
      <c r="C223" s="7" t="s">
        <v>96</v>
      </c>
      <c r="D223" s="90" t="s">
        <v>622</v>
      </c>
      <c r="F223" s="110">
        <v>2008</v>
      </c>
      <c r="G223" s="7" t="s">
        <v>19</v>
      </c>
      <c r="H223" s="96" t="s">
        <v>10</v>
      </c>
      <c r="I223" s="8" t="s">
        <v>623</v>
      </c>
      <c r="J223" s="7" t="s">
        <v>263</v>
      </c>
      <c r="K223" s="7" t="s">
        <v>618</v>
      </c>
      <c r="L223" s="110" t="s">
        <v>1537</v>
      </c>
      <c r="M223" s="2" t="s">
        <v>1548</v>
      </c>
      <c r="N223" s="2" t="s">
        <v>1571</v>
      </c>
      <c r="O223" s="2" t="s">
        <v>2491</v>
      </c>
      <c r="P223" s="9" t="s">
        <v>2489</v>
      </c>
      <c r="Q223" s="2"/>
      <c r="R223" s="2" t="s">
        <v>2456</v>
      </c>
      <c r="S223" s="2" t="s">
        <v>2040</v>
      </c>
      <c r="Z223" s="2"/>
    </row>
    <row r="224" spans="1:26" ht="30" hidden="1" customHeight="1" x14ac:dyDescent="0.5">
      <c r="A224" s="5">
        <v>52</v>
      </c>
      <c r="B224" s="8">
        <v>1204700010003</v>
      </c>
      <c r="C224" s="7" t="s">
        <v>96</v>
      </c>
      <c r="D224" s="7" t="s">
        <v>494</v>
      </c>
      <c r="F224" s="110">
        <v>2009</v>
      </c>
      <c r="G224" s="7" t="s">
        <v>19</v>
      </c>
      <c r="H224" s="96" t="s">
        <v>10</v>
      </c>
      <c r="I224" s="8" t="s">
        <v>495</v>
      </c>
      <c r="J224" s="7" t="s">
        <v>263</v>
      </c>
      <c r="K224" s="7" t="s">
        <v>485</v>
      </c>
      <c r="L224" s="110" t="s">
        <v>1518</v>
      </c>
      <c r="M224" s="11" t="s">
        <v>1912</v>
      </c>
      <c r="N224" s="2"/>
      <c r="O224" s="2"/>
      <c r="P224" s="2"/>
      <c r="Q224" s="2" t="s">
        <v>2169</v>
      </c>
      <c r="R224" s="2" t="s">
        <v>2455</v>
      </c>
      <c r="S224" s="2" t="s">
        <v>1681</v>
      </c>
      <c r="X224" s="4" t="s">
        <v>1720</v>
      </c>
      <c r="Z224" s="2"/>
    </row>
    <row r="225" spans="1:26" ht="30" hidden="1" customHeight="1" x14ac:dyDescent="0.5">
      <c r="A225" s="5">
        <v>330</v>
      </c>
      <c r="B225" s="8">
        <v>1204700010003</v>
      </c>
      <c r="C225" s="7" t="s">
        <v>96</v>
      </c>
      <c r="D225" s="90" t="s">
        <v>496</v>
      </c>
      <c r="F225" s="110">
        <v>2005</v>
      </c>
      <c r="G225" s="7" t="s">
        <v>4</v>
      </c>
      <c r="H225" s="96" t="s">
        <v>10</v>
      </c>
      <c r="I225" s="8" t="s">
        <v>497</v>
      </c>
      <c r="J225" s="7" t="s">
        <v>263</v>
      </c>
      <c r="K225" s="7" t="s">
        <v>485</v>
      </c>
      <c r="L225" s="110" t="s">
        <v>1518</v>
      </c>
      <c r="M225" s="2" t="s">
        <v>2705</v>
      </c>
      <c r="N225" s="2"/>
      <c r="O225" s="2"/>
      <c r="P225" s="2"/>
      <c r="Q225" s="2"/>
      <c r="R225" s="2"/>
      <c r="S225" s="2"/>
      <c r="Z225" s="2"/>
    </row>
    <row r="226" spans="1:26" ht="30" hidden="1" customHeight="1" x14ac:dyDescent="0.5">
      <c r="A226" s="5">
        <v>90</v>
      </c>
      <c r="B226" s="8">
        <v>1204700010003</v>
      </c>
      <c r="C226" s="7" t="s">
        <v>96</v>
      </c>
      <c r="D226" s="7" t="s">
        <v>610</v>
      </c>
      <c r="F226" s="110">
        <v>2009</v>
      </c>
      <c r="G226" s="7" t="s">
        <v>19</v>
      </c>
      <c r="H226" s="96" t="s">
        <v>10</v>
      </c>
      <c r="I226" s="8" t="s">
        <v>611</v>
      </c>
      <c r="J226" s="7" t="s">
        <v>263</v>
      </c>
      <c r="K226" s="7" t="s">
        <v>602</v>
      </c>
      <c r="L226" s="110" t="s">
        <v>1498</v>
      </c>
      <c r="M226" s="11" t="s">
        <v>2098</v>
      </c>
      <c r="N226" s="2"/>
      <c r="O226" s="2"/>
      <c r="P226" s="2"/>
      <c r="Q226" s="2" t="s">
        <v>2154</v>
      </c>
      <c r="R226" s="2"/>
      <c r="S226" s="2" t="s">
        <v>1716</v>
      </c>
      <c r="X226" s="5" t="s">
        <v>1495</v>
      </c>
      <c r="Z226" s="2"/>
    </row>
    <row r="227" spans="1:26" ht="30" hidden="1" customHeight="1" x14ac:dyDescent="0.5">
      <c r="A227" s="5">
        <v>365</v>
      </c>
      <c r="B227" s="8">
        <v>1204700010003</v>
      </c>
      <c r="C227" s="7" t="s">
        <v>96</v>
      </c>
      <c r="D227" s="90" t="s">
        <v>612</v>
      </c>
      <c r="F227" s="110">
        <v>2008</v>
      </c>
      <c r="G227" s="7" t="s">
        <v>19</v>
      </c>
      <c r="H227" s="96" t="s">
        <v>10</v>
      </c>
      <c r="I227" s="8" t="s">
        <v>613</v>
      </c>
      <c r="J227" s="7" t="s">
        <v>263</v>
      </c>
      <c r="K227" s="7" t="s">
        <v>602</v>
      </c>
      <c r="L227" s="110" t="s">
        <v>1498</v>
      </c>
      <c r="M227" s="11" t="s">
        <v>1912</v>
      </c>
      <c r="N227" s="2"/>
      <c r="O227" s="2"/>
      <c r="P227" s="2"/>
      <c r="Q227" s="2" t="s">
        <v>2245</v>
      </c>
      <c r="R227" s="2"/>
      <c r="S227" s="2" t="s">
        <v>2024</v>
      </c>
      <c r="Z227" s="2"/>
    </row>
    <row r="228" spans="1:26" ht="30" customHeight="1" x14ac:dyDescent="0.5">
      <c r="A228" s="5">
        <v>335</v>
      </c>
      <c r="B228" s="8">
        <v>1204700010003</v>
      </c>
      <c r="C228" s="7" t="s">
        <v>96</v>
      </c>
      <c r="D228" s="90" t="s">
        <v>518</v>
      </c>
      <c r="F228" s="110">
        <v>2002</v>
      </c>
      <c r="G228" s="7" t="s">
        <v>4</v>
      </c>
      <c r="H228" s="96" t="s">
        <v>15</v>
      </c>
      <c r="I228" s="8" t="s">
        <v>519</v>
      </c>
      <c r="J228" s="7" t="s">
        <v>263</v>
      </c>
      <c r="K228" s="7" t="s">
        <v>509</v>
      </c>
      <c r="L228" s="110" t="s">
        <v>1477</v>
      </c>
      <c r="M228" s="2" t="s">
        <v>1548</v>
      </c>
      <c r="N228" s="2" t="s">
        <v>1571</v>
      </c>
      <c r="O228" s="2" t="s">
        <v>2394</v>
      </c>
      <c r="P228" s="9" t="s">
        <v>2545</v>
      </c>
      <c r="Q228" s="2" t="s">
        <v>2549</v>
      </c>
      <c r="R228" s="2" t="s">
        <v>2538</v>
      </c>
      <c r="S228" s="2" t="s">
        <v>1999</v>
      </c>
      <c r="Z228" s="2"/>
    </row>
    <row r="229" spans="1:26" ht="30" hidden="1" customHeight="1" x14ac:dyDescent="0.5">
      <c r="A229" s="5">
        <v>313</v>
      </c>
      <c r="B229" s="8">
        <v>1204700010003</v>
      </c>
      <c r="C229" s="7" t="s">
        <v>96</v>
      </c>
      <c r="D229" s="90" t="s">
        <v>443</v>
      </c>
      <c r="F229" s="110">
        <v>2009</v>
      </c>
      <c r="G229" s="7" t="s">
        <v>19</v>
      </c>
      <c r="H229" s="96" t="s">
        <v>10</v>
      </c>
      <c r="I229" s="8" t="s">
        <v>444</v>
      </c>
      <c r="J229" s="7" t="s">
        <v>263</v>
      </c>
      <c r="K229" s="7" t="s">
        <v>430</v>
      </c>
      <c r="L229" s="110" t="s">
        <v>1506</v>
      </c>
      <c r="M229" s="2" t="s">
        <v>1912</v>
      </c>
      <c r="N229" s="2" t="s">
        <v>1564</v>
      </c>
      <c r="O229" s="2" t="s">
        <v>2717</v>
      </c>
      <c r="P229" s="2" t="s">
        <v>2714</v>
      </c>
      <c r="Q229" s="2" t="s">
        <v>2725</v>
      </c>
      <c r="R229" s="2" t="s">
        <v>2718</v>
      </c>
      <c r="S229" s="2" t="s">
        <v>2004</v>
      </c>
      <c r="Z229" s="2"/>
    </row>
    <row r="230" spans="1:26" ht="30" customHeight="1" x14ac:dyDescent="0.5">
      <c r="A230" s="116">
        <v>113</v>
      </c>
      <c r="B230" s="8">
        <v>1204700010003</v>
      </c>
      <c r="C230" s="7" t="s">
        <v>96</v>
      </c>
      <c r="D230" s="7" t="s">
        <v>785</v>
      </c>
      <c r="E230" s="105" t="s">
        <v>2220</v>
      </c>
      <c r="F230" s="110">
        <v>2002</v>
      </c>
      <c r="G230" s="7" t="s">
        <v>4</v>
      </c>
      <c r="H230" s="96" t="s">
        <v>15</v>
      </c>
      <c r="I230" s="8" t="s">
        <v>786</v>
      </c>
      <c r="J230" s="7" t="s">
        <v>35</v>
      </c>
      <c r="K230" s="7" t="s">
        <v>776</v>
      </c>
      <c r="L230" s="110" t="s">
        <v>1549</v>
      </c>
      <c r="M230" s="2" t="s">
        <v>1548</v>
      </c>
      <c r="N230" s="2" t="s">
        <v>1559</v>
      </c>
      <c r="O230" s="2" t="s">
        <v>1559</v>
      </c>
      <c r="P230" s="2" t="s">
        <v>1610</v>
      </c>
      <c r="Q230" s="57"/>
      <c r="R230" s="2"/>
      <c r="S230" s="2" t="s">
        <v>1694</v>
      </c>
      <c r="X230" s="5" t="s">
        <v>1517</v>
      </c>
      <c r="Z230" s="2"/>
    </row>
    <row r="231" spans="1:26" ht="30" hidden="1" customHeight="1" x14ac:dyDescent="0.5">
      <c r="A231" s="5">
        <v>191</v>
      </c>
      <c r="B231" s="8">
        <v>1204700010003</v>
      </c>
      <c r="C231" s="7" t="s">
        <v>96</v>
      </c>
      <c r="D231" s="7" t="s">
        <v>97</v>
      </c>
      <c r="E231" s="7" t="s">
        <v>2215</v>
      </c>
      <c r="F231" s="110">
        <v>2008</v>
      </c>
      <c r="G231" s="7" t="s">
        <v>19</v>
      </c>
      <c r="H231" s="96" t="s">
        <v>10</v>
      </c>
      <c r="I231" s="8" t="s">
        <v>98</v>
      </c>
      <c r="J231" s="7" t="s">
        <v>35</v>
      </c>
      <c r="K231" s="7" t="s">
        <v>89</v>
      </c>
      <c r="L231" s="110" t="s">
        <v>1525</v>
      </c>
      <c r="M231" s="2" t="s">
        <v>2066</v>
      </c>
      <c r="N231" s="2" t="s">
        <v>1571</v>
      </c>
      <c r="O231" s="2" t="s">
        <v>2460</v>
      </c>
      <c r="P231" s="123" t="s">
        <v>2461</v>
      </c>
      <c r="Q231" s="2" t="s">
        <v>2448</v>
      </c>
      <c r="R231" s="2" t="s">
        <v>2728</v>
      </c>
      <c r="S231" s="2" t="s">
        <v>2014</v>
      </c>
      <c r="U231" s="5" t="s">
        <v>1501</v>
      </c>
      <c r="Z231" s="2"/>
    </row>
    <row r="232" spans="1:26" ht="30" hidden="1" customHeight="1" x14ac:dyDescent="0.5">
      <c r="A232" s="5">
        <v>199</v>
      </c>
      <c r="B232" s="8">
        <v>1204700010003</v>
      </c>
      <c r="C232" s="7" t="s">
        <v>96</v>
      </c>
      <c r="D232" s="7" t="s">
        <v>894</v>
      </c>
      <c r="E232" s="7" t="s">
        <v>2215</v>
      </c>
      <c r="F232" s="110">
        <v>2005</v>
      </c>
      <c r="G232" s="7" t="s">
        <v>19</v>
      </c>
      <c r="H232" s="96" t="s">
        <v>10</v>
      </c>
      <c r="I232" s="8" t="s">
        <v>895</v>
      </c>
      <c r="J232" s="111" t="s">
        <v>35</v>
      </c>
      <c r="K232" s="7" t="s">
        <v>887</v>
      </c>
      <c r="L232" s="110" t="s">
        <v>1498</v>
      </c>
      <c r="M232" s="11" t="s">
        <v>1912</v>
      </c>
      <c r="N232" s="2" t="s">
        <v>1564</v>
      </c>
      <c r="O232" s="2" t="s">
        <v>1903</v>
      </c>
      <c r="P232" s="2" t="s">
        <v>1647</v>
      </c>
      <c r="Q232" s="2" t="s">
        <v>2474</v>
      </c>
      <c r="R232" s="2" t="s">
        <v>2482</v>
      </c>
      <c r="S232" s="2" t="s">
        <v>1716</v>
      </c>
      <c r="Z232" s="7"/>
    </row>
    <row r="233" spans="1:26" ht="30" hidden="1" customHeight="1" x14ac:dyDescent="0.5">
      <c r="A233" s="5">
        <v>295</v>
      </c>
      <c r="B233" s="8">
        <v>1204700010003</v>
      </c>
      <c r="C233" s="7" t="s">
        <v>96</v>
      </c>
      <c r="D233" s="90" t="s">
        <v>375</v>
      </c>
      <c r="F233" s="110">
        <v>2002</v>
      </c>
      <c r="G233" s="7" t="s">
        <v>376</v>
      </c>
      <c r="H233" s="96" t="s">
        <v>377</v>
      </c>
      <c r="I233" s="8" t="s">
        <v>378</v>
      </c>
      <c r="J233" s="7" t="s">
        <v>263</v>
      </c>
      <c r="K233" s="7" t="s">
        <v>270</v>
      </c>
      <c r="L233" s="2" t="s">
        <v>1544</v>
      </c>
      <c r="M233" s="2" t="s">
        <v>2705</v>
      </c>
      <c r="N233" s="2"/>
      <c r="O233" s="2"/>
      <c r="P233" s="2"/>
      <c r="Q233" s="2"/>
      <c r="R233" s="2" t="s">
        <v>2125</v>
      </c>
      <c r="S233" s="2"/>
      <c r="Z233" s="2"/>
    </row>
    <row r="234" spans="1:26" ht="30" hidden="1" customHeight="1" x14ac:dyDescent="0.5">
      <c r="A234" s="5">
        <v>134</v>
      </c>
      <c r="B234" s="8">
        <v>1204700010003</v>
      </c>
      <c r="C234" s="7" t="s">
        <v>96</v>
      </c>
      <c r="D234" s="7" t="s">
        <v>373</v>
      </c>
      <c r="F234" s="110">
        <v>2008</v>
      </c>
      <c r="G234" s="7" t="s">
        <v>19</v>
      </c>
      <c r="H234" s="96" t="s">
        <v>10</v>
      </c>
      <c r="I234" s="8" t="s">
        <v>374</v>
      </c>
      <c r="J234" s="7" t="s">
        <v>263</v>
      </c>
      <c r="K234" s="7" t="s">
        <v>270</v>
      </c>
      <c r="L234" s="110" t="s">
        <v>1544</v>
      </c>
      <c r="M234" s="11" t="s">
        <v>1912</v>
      </c>
      <c r="N234" s="2"/>
      <c r="O234" s="2"/>
      <c r="P234" s="10"/>
      <c r="Q234" s="2" t="s">
        <v>2197</v>
      </c>
      <c r="R234" s="2"/>
      <c r="S234" s="2"/>
      <c r="X234" s="5" t="s">
        <v>1538</v>
      </c>
      <c r="Z234" s="2"/>
    </row>
    <row r="235" spans="1:26" ht="30" hidden="1" customHeight="1" x14ac:dyDescent="0.5">
      <c r="A235" s="5">
        <v>121</v>
      </c>
      <c r="B235" s="8">
        <v>1204700010003</v>
      </c>
      <c r="C235" s="7" t="s">
        <v>96</v>
      </c>
      <c r="D235" s="7" t="s">
        <v>686</v>
      </c>
      <c r="E235" s="7" t="s">
        <v>2217</v>
      </c>
      <c r="F235" s="110">
        <v>2000</v>
      </c>
      <c r="G235" s="7" t="s">
        <v>4</v>
      </c>
      <c r="H235" s="96" t="s">
        <v>10</v>
      </c>
      <c r="I235" s="8" t="s">
        <v>687</v>
      </c>
      <c r="J235" s="7" t="s">
        <v>263</v>
      </c>
      <c r="K235" s="7" t="s">
        <v>632</v>
      </c>
      <c r="L235" s="110" t="s">
        <v>1544</v>
      </c>
      <c r="M235" s="9" t="s">
        <v>1553</v>
      </c>
      <c r="N235" s="2" t="s">
        <v>1564</v>
      </c>
      <c r="O235" s="2" t="s">
        <v>1880</v>
      </c>
      <c r="P235" s="10" t="s">
        <v>1881</v>
      </c>
      <c r="Q235" s="2" t="s">
        <v>2440</v>
      </c>
      <c r="R235" s="2" t="s">
        <v>2305</v>
      </c>
      <c r="S235" s="2" t="s">
        <v>2053</v>
      </c>
      <c r="X235" s="5" t="s">
        <v>1525</v>
      </c>
      <c r="Z235" s="2"/>
    </row>
    <row r="236" spans="1:26" ht="30" hidden="1" customHeight="1" x14ac:dyDescent="0.5">
      <c r="A236" s="5">
        <v>381</v>
      </c>
      <c r="B236" s="8">
        <v>1204700010003</v>
      </c>
      <c r="C236" s="7" t="s">
        <v>96</v>
      </c>
      <c r="D236" s="90" t="s">
        <v>688</v>
      </c>
      <c r="F236" s="110">
        <v>2008</v>
      </c>
      <c r="G236" s="7" t="s">
        <v>19</v>
      </c>
      <c r="H236" s="96" t="s">
        <v>10</v>
      </c>
      <c r="I236" s="8" t="s">
        <v>689</v>
      </c>
      <c r="J236" s="7" t="s">
        <v>263</v>
      </c>
      <c r="K236" s="7" t="s">
        <v>632</v>
      </c>
      <c r="L236" s="110" t="s">
        <v>1506</v>
      </c>
      <c r="M236" s="11" t="s">
        <v>1912</v>
      </c>
      <c r="N236" s="2" t="s">
        <v>1613</v>
      </c>
      <c r="O236" s="2" t="s">
        <v>1627</v>
      </c>
      <c r="P236" s="2" t="s">
        <v>2504</v>
      </c>
      <c r="Q236" s="2" t="s">
        <v>2508</v>
      </c>
      <c r="R236" s="2" t="s">
        <v>2132</v>
      </c>
      <c r="S236" s="2" t="s">
        <v>2004</v>
      </c>
      <c r="Z236" s="2"/>
    </row>
    <row r="237" spans="1:26" ht="30" hidden="1" customHeight="1" x14ac:dyDescent="0.5">
      <c r="A237" s="5">
        <v>392</v>
      </c>
      <c r="B237" s="8">
        <v>1204700010003</v>
      </c>
      <c r="C237" s="7" t="s">
        <v>96</v>
      </c>
      <c r="D237" s="7" t="s">
        <v>719</v>
      </c>
      <c r="F237" s="110">
        <v>2005</v>
      </c>
      <c r="G237" s="7" t="s">
        <v>19</v>
      </c>
      <c r="H237" s="96" t="s">
        <v>10</v>
      </c>
      <c r="I237" s="8" t="s">
        <v>720</v>
      </c>
      <c r="J237" s="7" t="s">
        <v>715</v>
      </c>
      <c r="K237" s="7" t="s">
        <v>716</v>
      </c>
      <c r="L237" s="110" t="s">
        <v>1508</v>
      </c>
      <c r="M237" s="2" t="s">
        <v>2066</v>
      </c>
      <c r="N237" s="2"/>
      <c r="O237" s="2" t="s">
        <v>2288</v>
      </c>
      <c r="P237" s="2"/>
      <c r="Q237" s="2"/>
      <c r="R237" s="2" t="s">
        <v>2134</v>
      </c>
      <c r="S237" s="2"/>
      <c r="Z237" s="2"/>
    </row>
    <row r="238" spans="1:26" ht="30" hidden="1" customHeight="1" x14ac:dyDescent="0.5">
      <c r="A238" s="5">
        <v>510</v>
      </c>
      <c r="B238" s="8">
        <v>1204700010003</v>
      </c>
      <c r="C238" s="7" t="s">
        <v>96</v>
      </c>
      <c r="D238" s="7" t="s">
        <v>1108</v>
      </c>
      <c r="F238" s="110">
        <v>2020</v>
      </c>
      <c r="G238" s="7" t="s">
        <v>19</v>
      </c>
      <c r="H238" s="96" t="s">
        <v>377</v>
      </c>
      <c r="I238" s="8" t="s">
        <v>1109</v>
      </c>
      <c r="J238" s="7" t="s">
        <v>945</v>
      </c>
      <c r="K238" s="7" t="s">
        <v>1107</v>
      </c>
      <c r="L238" s="110" t="s">
        <v>1544</v>
      </c>
      <c r="M238" s="11" t="s">
        <v>1912</v>
      </c>
      <c r="N238" s="2" t="s">
        <v>1559</v>
      </c>
      <c r="O238" s="2" t="s">
        <v>1559</v>
      </c>
      <c r="P238" s="2" t="s">
        <v>1655</v>
      </c>
      <c r="Q238" s="2" t="s">
        <v>2698</v>
      </c>
      <c r="R238" s="2" t="s">
        <v>2627</v>
      </c>
      <c r="S238" s="2" t="s">
        <v>2053</v>
      </c>
      <c r="Z238" s="2"/>
    </row>
    <row r="239" spans="1:26" ht="30" customHeight="1" x14ac:dyDescent="0.5">
      <c r="A239" s="5">
        <v>256</v>
      </c>
      <c r="B239" s="8">
        <v>1204700010003</v>
      </c>
      <c r="C239" s="7" t="s">
        <v>96</v>
      </c>
      <c r="D239" s="90" t="s">
        <v>227</v>
      </c>
      <c r="F239" s="110">
        <v>2002</v>
      </c>
      <c r="G239" s="7" t="s">
        <v>19</v>
      </c>
      <c r="H239" s="96" t="s">
        <v>10</v>
      </c>
      <c r="I239" s="8" t="s">
        <v>228</v>
      </c>
      <c r="J239" s="7" t="s">
        <v>35</v>
      </c>
      <c r="K239" s="7" t="s">
        <v>220</v>
      </c>
      <c r="L239" s="110" t="s">
        <v>1525</v>
      </c>
      <c r="M239" s="2" t="s">
        <v>1548</v>
      </c>
      <c r="N239" s="2" t="s">
        <v>1571</v>
      </c>
      <c r="O239" s="2" t="s">
        <v>2552</v>
      </c>
      <c r="P239" s="2" t="s">
        <v>2553</v>
      </c>
      <c r="Q239" s="2"/>
      <c r="R239" s="2"/>
      <c r="S239" s="2" t="s">
        <v>2018</v>
      </c>
      <c r="Z239" s="2"/>
    </row>
    <row r="240" spans="1:26" ht="30" hidden="1" customHeight="1" x14ac:dyDescent="0.5">
      <c r="A240" s="5">
        <v>501</v>
      </c>
      <c r="B240" s="8">
        <v>1204700010003</v>
      </c>
      <c r="C240" s="7" t="s">
        <v>96</v>
      </c>
      <c r="D240" s="7" t="s">
        <v>1089</v>
      </c>
      <c r="F240" s="110">
        <v>2020</v>
      </c>
      <c r="G240" s="7" t="s">
        <v>19</v>
      </c>
      <c r="H240" s="96" t="s">
        <v>377</v>
      </c>
      <c r="I240" s="8" t="s">
        <v>1090</v>
      </c>
      <c r="J240" s="7" t="s">
        <v>945</v>
      </c>
      <c r="K240" s="7" t="s">
        <v>552</v>
      </c>
      <c r="L240" s="7" t="s">
        <v>1555</v>
      </c>
      <c r="M240" s="11" t="s">
        <v>1912</v>
      </c>
      <c r="N240" s="2" t="s">
        <v>1571</v>
      </c>
      <c r="O240" s="2"/>
      <c r="P240" s="2"/>
      <c r="Q240" s="2" t="s">
        <v>2226</v>
      </c>
      <c r="R240" s="2" t="s">
        <v>2561</v>
      </c>
      <c r="S240" s="2"/>
      <c r="Z240" s="2"/>
    </row>
    <row r="241" spans="1:26" ht="30" hidden="1" customHeight="1" x14ac:dyDescent="0.5">
      <c r="A241" s="5">
        <v>492</v>
      </c>
      <c r="B241" s="8">
        <v>1204700010003</v>
      </c>
      <c r="C241" s="7" t="s">
        <v>96</v>
      </c>
      <c r="D241" s="7" t="s">
        <v>1070</v>
      </c>
      <c r="F241" s="110">
        <v>2020</v>
      </c>
      <c r="G241" s="7" t="s">
        <v>19</v>
      </c>
      <c r="H241" s="96" t="s">
        <v>948</v>
      </c>
      <c r="I241" s="8" t="s">
        <v>1071</v>
      </c>
      <c r="J241" s="7" t="s">
        <v>945</v>
      </c>
      <c r="K241" s="7" t="s">
        <v>1225</v>
      </c>
      <c r="L241" s="7" t="s">
        <v>1555</v>
      </c>
      <c r="M241" s="2" t="s">
        <v>2705</v>
      </c>
      <c r="N241" s="2"/>
      <c r="O241" s="2"/>
      <c r="P241" s="2"/>
      <c r="Q241" s="2"/>
      <c r="R241" s="2" t="s">
        <v>2613</v>
      </c>
      <c r="S241" s="2"/>
      <c r="Z241" s="2"/>
    </row>
    <row r="242" spans="1:26" ht="30" hidden="1" customHeight="1" x14ac:dyDescent="0.5">
      <c r="A242" s="5">
        <v>519</v>
      </c>
      <c r="B242" s="8">
        <v>1204700010003</v>
      </c>
      <c r="C242" s="7" t="s">
        <v>96</v>
      </c>
      <c r="D242" s="7" t="s">
        <v>1126</v>
      </c>
      <c r="F242" s="110">
        <v>2020</v>
      </c>
      <c r="G242" s="7" t="s">
        <v>19</v>
      </c>
      <c r="H242" s="96" t="s">
        <v>948</v>
      </c>
      <c r="I242" s="8" t="s">
        <v>1127</v>
      </c>
      <c r="J242" s="7" t="s">
        <v>945</v>
      </c>
      <c r="K242" s="7" t="s">
        <v>980</v>
      </c>
      <c r="L242" s="7" t="s">
        <v>1513</v>
      </c>
      <c r="M242" s="2" t="s">
        <v>2705</v>
      </c>
      <c r="N242" s="2"/>
      <c r="O242" s="2"/>
      <c r="P242" s="2"/>
      <c r="Q242" s="2"/>
      <c r="R242" s="2"/>
      <c r="S242" s="2"/>
      <c r="Z242" s="2"/>
    </row>
    <row r="243" spans="1:26" ht="30" hidden="1" customHeight="1" x14ac:dyDescent="0.5">
      <c r="A243" s="5">
        <v>534</v>
      </c>
      <c r="B243" s="8">
        <v>1204700010003</v>
      </c>
      <c r="C243" s="7" t="s">
        <v>96</v>
      </c>
      <c r="D243" s="7" t="s">
        <v>1160</v>
      </c>
      <c r="F243" s="110">
        <v>2020</v>
      </c>
      <c r="G243" s="7" t="s">
        <v>19</v>
      </c>
      <c r="H243" s="96" t="s">
        <v>377</v>
      </c>
      <c r="I243" s="8" t="s">
        <v>1161</v>
      </c>
      <c r="J243" s="7" t="s">
        <v>945</v>
      </c>
      <c r="K243" s="7" t="s">
        <v>39</v>
      </c>
      <c r="L243" s="7" t="s">
        <v>1471</v>
      </c>
      <c r="M243" s="2" t="s">
        <v>2066</v>
      </c>
      <c r="N243" s="2"/>
      <c r="O243" s="2"/>
      <c r="P243" s="2"/>
      <c r="Q243" s="2"/>
      <c r="R243" s="2"/>
      <c r="S243" s="2"/>
      <c r="Z243" s="2"/>
    </row>
    <row r="244" spans="1:26" ht="30" customHeight="1" x14ac:dyDescent="0.5">
      <c r="A244" s="5">
        <v>471</v>
      </c>
      <c r="B244" s="8">
        <v>1204700010003</v>
      </c>
      <c r="C244" s="7" t="s">
        <v>96</v>
      </c>
      <c r="D244" s="7" t="s">
        <v>1027</v>
      </c>
      <c r="F244" s="110">
        <v>2020</v>
      </c>
      <c r="G244" s="7" t="s">
        <v>19</v>
      </c>
      <c r="H244" s="96" t="s">
        <v>377</v>
      </c>
      <c r="I244" s="8" t="s">
        <v>1028</v>
      </c>
      <c r="J244" s="7" t="s">
        <v>945</v>
      </c>
      <c r="K244" s="7" t="s">
        <v>485</v>
      </c>
      <c r="L244" s="7" t="s">
        <v>1544</v>
      </c>
      <c r="M244" s="2" t="s">
        <v>1548</v>
      </c>
      <c r="N244" s="2" t="s">
        <v>1571</v>
      </c>
      <c r="O244" s="2" t="s">
        <v>2290</v>
      </c>
      <c r="P244" s="2" t="s">
        <v>2118</v>
      </c>
      <c r="Q244" s="2"/>
      <c r="R244" s="2" t="s">
        <v>2276</v>
      </c>
      <c r="S244" s="2"/>
      <c r="Z244" s="2"/>
    </row>
    <row r="245" spans="1:26" ht="30" hidden="1" customHeight="1" x14ac:dyDescent="0.5">
      <c r="A245" s="5">
        <v>482</v>
      </c>
      <c r="B245" s="8">
        <v>1204700010003</v>
      </c>
      <c r="C245" s="7" t="s">
        <v>96</v>
      </c>
      <c r="D245" s="7" t="s">
        <v>1049</v>
      </c>
      <c r="F245" s="110">
        <v>2020</v>
      </c>
      <c r="G245" s="7" t="s">
        <v>19</v>
      </c>
      <c r="H245" s="96" t="s">
        <v>948</v>
      </c>
      <c r="I245" s="8" t="s">
        <v>1050</v>
      </c>
      <c r="J245" s="7" t="s">
        <v>945</v>
      </c>
      <c r="K245" s="7" t="s">
        <v>933</v>
      </c>
      <c r="L245" s="7" t="s">
        <v>1544</v>
      </c>
      <c r="M245" s="2" t="s">
        <v>2705</v>
      </c>
      <c r="N245" s="2"/>
      <c r="O245" s="2"/>
      <c r="P245" s="2"/>
      <c r="Q245" s="2"/>
      <c r="R245" s="2"/>
      <c r="S245" s="2"/>
      <c r="Z245" s="2"/>
    </row>
    <row r="246" spans="1:26" ht="30" hidden="1" customHeight="1" x14ac:dyDescent="0.5">
      <c r="A246" s="5">
        <v>453</v>
      </c>
      <c r="B246" s="8">
        <v>1204700010003</v>
      </c>
      <c r="C246" s="7" t="s">
        <v>96</v>
      </c>
      <c r="D246" s="7" t="s">
        <v>988</v>
      </c>
      <c r="F246" s="110">
        <v>2020</v>
      </c>
      <c r="G246" s="7" t="s">
        <v>19</v>
      </c>
      <c r="H246" s="96" t="s">
        <v>377</v>
      </c>
      <c r="I246" s="8" t="s">
        <v>989</v>
      </c>
      <c r="J246" s="7" t="s">
        <v>945</v>
      </c>
      <c r="K246" s="7" t="s">
        <v>913</v>
      </c>
      <c r="L246" s="7" t="s">
        <v>1477</v>
      </c>
      <c r="M246" s="2" t="s">
        <v>2705</v>
      </c>
      <c r="N246" s="2"/>
      <c r="O246" s="2"/>
      <c r="P246" s="2"/>
      <c r="Q246" s="2"/>
      <c r="R246" s="2"/>
      <c r="S246" s="2"/>
      <c r="Z246" s="2"/>
    </row>
    <row r="247" spans="1:26" ht="30" hidden="1" customHeight="1" x14ac:dyDescent="0.5">
      <c r="A247" s="5">
        <v>246</v>
      </c>
      <c r="B247" s="8">
        <v>1204700020002</v>
      </c>
      <c r="C247" s="7" t="s">
        <v>178</v>
      </c>
      <c r="D247" s="90" t="s">
        <v>185</v>
      </c>
      <c r="F247" s="110">
        <v>2013</v>
      </c>
      <c r="G247" s="7" t="s">
        <v>19</v>
      </c>
      <c r="H247" s="96" t="s">
        <v>10</v>
      </c>
      <c r="I247" s="8" t="s">
        <v>186</v>
      </c>
      <c r="J247" s="7" t="s">
        <v>0</v>
      </c>
      <c r="K247" s="7" t="s">
        <v>181</v>
      </c>
      <c r="L247" s="7" t="s">
        <v>181</v>
      </c>
      <c r="M247" s="2" t="s">
        <v>2705</v>
      </c>
      <c r="N247" s="2"/>
      <c r="O247" s="2"/>
      <c r="P247" s="2"/>
      <c r="Q247" s="2"/>
      <c r="R247" s="2"/>
      <c r="S247" s="2"/>
      <c r="U247" s="5" t="s">
        <v>1538</v>
      </c>
      <c r="Z247" s="2"/>
    </row>
    <row r="248" spans="1:26" ht="30" hidden="1" customHeight="1" x14ac:dyDescent="0.5">
      <c r="A248" s="5">
        <v>308</v>
      </c>
      <c r="B248" s="8">
        <v>1204700020002</v>
      </c>
      <c r="C248" s="7" t="s">
        <v>178</v>
      </c>
      <c r="D248" s="7" t="s">
        <v>426</v>
      </c>
      <c r="F248" s="110">
        <v>2011</v>
      </c>
      <c r="G248" s="7" t="s">
        <v>19</v>
      </c>
      <c r="H248" s="96" t="s">
        <v>10</v>
      </c>
      <c r="I248" s="8" t="s">
        <v>427</v>
      </c>
      <c r="J248" s="7" t="s">
        <v>0</v>
      </c>
      <c r="K248" s="7" t="s">
        <v>741</v>
      </c>
      <c r="L248" s="7"/>
      <c r="M248" s="2" t="s">
        <v>2705</v>
      </c>
      <c r="N248" s="2"/>
      <c r="O248" s="2"/>
      <c r="P248" s="2"/>
      <c r="Q248" s="2"/>
      <c r="R248" s="2" t="s">
        <v>2563</v>
      </c>
      <c r="S248" s="2"/>
      <c r="Z248" s="2"/>
    </row>
    <row r="249" spans="1:26" ht="30" hidden="1" customHeight="1" x14ac:dyDescent="0.5">
      <c r="A249" s="5">
        <v>267</v>
      </c>
      <c r="B249" s="8">
        <v>1204700020002</v>
      </c>
      <c r="C249" s="7" t="s">
        <v>178</v>
      </c>
      <c r="D249" s="90" t="s">
        <v>268</v>
      </c>
      <c r="F249" s="110">
        <v>2013</v>
      </c>
      <c r="G249" s="7" t="s">
        <v>19</v>
      </c>
      <c r="H249" s="96" t="s">
        <v>10</v>
      </c>
      <c r="I249" s="8" t="s">
        <v>269</v>
      </c>
      <c r="J249" s="7" t="s">
        <v>263</v>
      </c>
      <c r="K249" s="7" t="s">
        <v>264</v>
      </c>
      <c r="L249" s="7" t="s">
        <v>1537</v>
      </c>
      <c r="M249" s="2" t="s">
        <v>2705</v>
      </c>
      <c r="N249" s="2"/>
      <c r="O249" s="2"/>
      <c r="P249" s="2"/>
      <c r="Q249" s="2"/>
      <c r="R249" s="2" t="s">
        <v>2337</v>
      </c>
      <c r="S249" s="2"/>
      <c r="Z249" s="2"/>
    </row>
    <row r="250" spans="1:26" ht="30" hidden="1" customHeight="1" x14ac:dyDescent="0.5">
      <c r="A250" s="5">
        <v>396</v>
      </c>
      <c r="B250" s="8">
        <v>1204700020002</v>
      </c>
      <c r="C250" s="7" t="s">
        <v>178</v>
      </c>
      <c r="D250" s="7" t="s">
        <v>729</v>
      </c>
      <c r="F250" s="110">
        <v>2013</v>
      </c>
      <c r="G250" s="7" t="s">
        <v>19</v>
      </c>
      <c r="H250" s="96" t="s">
        <v>10</v>
      </c>
      <c r="I250" s="8" t="s">
        <v>730</v>
      </c>
      <c r="J250" s="7" t="s">
        <v>723</v>
      </c>
      <c r="K250" s="7" t="s">
        <v>724</v>
      </c>
      <c r="L250" s="110" t="s">
        <v>1557</v>
      </c>
      <c r="M250" s="2" t="s">
        <v>2705</v>
      </c>
      <c r="N250" s="2"/>
      <c r="O250" s="2"/>
      <c r="P250" s="2"/>
      <c r="Q250" s="2"/>
      <c r="R250" s="2" t="s">
        <v>2138</v>
      </c>
      <c r="S250" s="2"/>
      <c r="Z250" s="2"/>
    </row>
    <row r="251" spans="1:26" ht="30" hidden="1" customHeight="1" x14ac:dyDescent="0.5">
      <c r="A251" s="5">
        <v>397</v>
      </c>
      <c r="B251" s="8">
        <v>1204700020002</v>
      </c>
      <c r="C251" s="7" t="s">
        <v>178</v>
      </c>
      <c r="D251" s="7" t="s">
        <v>731</v>
      </c>
      <c r="F251" s="110">
        <v>2013</v>
      </c>
      <c r="G251" s="7" t="s">
        <v>19</v>
      </c>
      <c r="H251" s="96" t="s">
        <v>10</v>
      </c>
      <c r="I251" s="8" t="s">
        <v>732</v>
      </c>
      <c r="J251" s="7" t="s">
        <v>723</v>
      </c>
      <c r="K251" s="7" t="s">
        <v>724</v>
      </c>
      <c r="L251" s="110" t="s">
        <v>1555</v>
      </c>
      <c r="M251" s="2" t="s">
        <v>2705</v>
      </c>
      <c r="N251" s="2"/>
      <c r="O251" s="2"/>
      <c r="P251" s="2"/>
      <c r="Q251" s="2"/>
      <c r="R251" s="2" t="s">
        <v>2136</v>
      </c>
      <c r="S251" s="2"/>
      <c r="Z251" s="2"/>
    </row>
    <row r="252" spans="1:26" ht="30" hidden="1" customHeight="1" x14ac:dyDescent="0.5">
      <c r="A252" s="5">
        <v>348</v>
      </c>
      <c r="B252" s="8">
        <v>1204700020002</v>
      </c>
      <c r="C252" s="7" t="s">
        <v>178</v>
      </c>
      <c r="D252" s="90" t="s">
        <v>562</v>
      </c>
      <c r="F252" s="110">
        <v>2013</v>
      </c>
      <c r="G252" s="7" t="s">
        <v>19</v>
      </c>
      <c r="H252" s="96" t="s">
        <v>10</v>
      </c>
      <c r="I252" s="8" t="s">
        <v>563</v>
      </c>
      <c r="J252" s="7" t="s">
        <v>263</v>
      </c>
      <c r="K252" s="7" t="s">
        <v>552</v>
      </c>
      <c r="L252" s="110" t="s">
        <v>1493</v>
      </c>
      <c r="M252" s="2" t="s">
        <v>2705</v>
      </c>
      <c r="N252" s="2"/>
      <c r="O252" s="2"/>
      <c r="P252" s="2"/>
      <c r="Q252" s="2"/>
      <c r="R252" s="2"/>
      <c r="S252" s="2"/>
      <c r="Z252" s="2"/>
    </row>
    <row r="253" spans="1:26" ht="30" hidden="1" customHeight="1" x14ac:dyDescent="0.5">
      <c r="A253" s="5">
        <v>349</v>
      </c>
      <c r="B253" s="8">
        <v>1204700020002</v>
      </c>
      <c r="C253" s="7" t="s">
        <v>178</v>
      </c>
      <c r="D253" s="90" t="s">
        <v>564</v>
      </c>
      <c r="F253" s="110">
        <v>2013</v>
      </c>
      <c r="G253" s="7" t="s">
        <v>19</v>
      </c>
      <c r="H253" s="96" t="s">
        <v>10</v>
      </c>
      <c r="I253" s="8" t="s">
        <v>565</v>
      </c>
      <c r="J253" s="7" t="s">
        <v>263</v>
      </c>
      <c r="K253" s="7" t="s">
        <v>552</v>
      </c>
      <c r="L253" s="110" t="s">
        <v>1493</v>
      </c>
      <c r="M253" s="2" t="s">
        <v>2705</v>
      </c>
      <c r="N253" s="2"/>
      <c r="O253" s="2"/>
      <c r="P253" s="2"/>
      <c r="Q253" s="2"/>
      <c r="R253" s="10" t="s">
        <v>2329</v>
      </c>
      <c r="S253" s="2"/>
      <c r="Z253" s="2"/>
    </row>
    <row r="254" spans="1:26" ht="30" hidden="1" customHeight="1" x14ac:dyDescent="0.5">
      <c r="A254" s="5">
        <v>341</v>
      </c>
      <c r="B254" s="8">
        <v>1204700020002</v>
      </c>
      <c r="C254" s="7" t="s">
        <v>178</v>
      </c>
      <c r="D254" s="90" t="s">
        <v>541</v>
      </c>
      <c r="F254" s="110">
        <v>2013</v>
      </c>
      <c r="G254" s="7" t="s">
        <v>19</v>
      </c>
      <c r="H254" s="96" t="s">
        <v>10</v>
      </c>
      <c r="I254" s="8" t="s">
        <v>542</v>
      </c>
      <c r="J254" s="7" t="s">
        <v>263</v>
      </c>
      <c r="K254" s="7" t="s">
        <v>534</v>
      </c>
      <c r="L254" s="110" t="s">
        <v>1531</v>
      </c>
      <c r="M254" s="2" t="s">
        <v>2705</v>
      </c>
      <c r="N254" s="2"/>
      <c r="O254" s="2"/>
      <c r="P254" s="2"/>
      <c r="Q254" s="2"/>
      <c r="R254" s="2"/>
      <c r="S254" s="2"/>
      <c r="Z254" s="2"/>
    </row>
    <row r="255" spans="1:26" ht="30" hidden="1" customHeight="1" x14ac:dyDescent="0.5">
      <c r="A255" s="5">
        <v>187</v>
      </c>
      <c r="B255" s="8">
        <v>1204700020002</v>
      </c>
      <c r="C255" s="7" t="s">
        <v>178</v>
      </c>
      <c r="D255" s="7" t="s">
        <v>479</v>
      </c>
      <c r="F255" s="110">
        <v>2011</v>
      </c>
      <c r="G255" s="7" t="s">
        <v>19</v>
      </c>
      <c r="H255" s="96" t="s">
        <v>10</v>
      </c>
      <c r="I255" s="8" t="s">
        <v>480</v>
      </c>
      <c r="J255" s="7" t="s">
        <v>263</v>
      </c>
      <c r="K255" s="7" t="s">
        <v>465</v>
      </c>
      <c r="L255" s="110" t="s">
        <v>1471</v>
      </c>
      <c r="M255" s="11" t="s">
        <v>1912</v>
      </c>
      <c r="N255" s="2"/>
      <c r="O255" s="2"/>
      <c r="P255" s="2"/>
      <c r="Q255" s="2" t="s">
        <v>2180</v>
      </c>
      <c r="R255" s="10" t="s">
        <v>2326</v>
      </c>
      <c r="S255" s="2" t="s">
        <v>1671</v>
      </c>
      <c r="Z255" s="2"/>
    </row>
    <row r="256" spans="1:26" ht="30" hidden="1" customHeight="1" x14ac:dyDescent="0.5">
      <c r="A256" s="5">
        <v>324</v>
      </c>
      <c r="B256" s="8">
        <v>1204700020002</v>
      </c>
      <c r="C256" s="7" t="s">
        <v>178</v>
      </c>
      <c r="D256" s="90" t="s">
        <v>477</v>
      </c>
      <c r="F256" s="110">
        <v>2011</v>
      </c>
      <c r="G256" s="7" t="s">
        <v>19</v>
      </c>
      <c r="H256" s="96" t="s">
        <v>10</v>
      </c>
      <c r="I256" s="8" t="s">
        <v>478</v>
      </c>
      <c r="J256" s="7" t="s">
        <v>263</v>
      </c>
      <c r="K256" s="7" t="s">
        <v>465</v>
      </c>
      <c r="L256" s="110" t="s">
        <v>1471</v>
      </c>
      <c r="M256" s="2" t="s">
        <v>2705</v>
      </c>
      <c r="N256" s="2"/>
      <c r="O256" s="2"/>
      <c r="P256" s="2"/>
      <c r="Q256" s="2"/>
      <c r="R256" s="2"/>
      <c r="S256" s="2"/>
      <c r="Z256" s="2"/>
    </row>
    <row r="257" spans="1:26" ht="30" hidden="1" customHeight="1" x14ac:dyDescent="0.5">
      <c r="A257" s="5">
        <v>358</v>
      </c>
      <c r="B257" s="8">
        <v>1204700020002</v>
      </c>
      <c r="C257" s="7" t="s">
        <v>178</v>
      </c>
      <c r="D257" s="90" t="s">
        <v>592</v>
      </c>
      <c r="F257" s="110">
        <v>2013</v>
      </c>
      <c r="G257" s="7" t="s">
        <v>19</v>
      </c>
      <c r="H257" s="96" t="s">
        <v>10</v>
      </c>
      <c r="I257" s="8" t="s">
        <v>593</v>
      </c>
      <c r="J257" s="7" t="s">
        <v>263</v>
      </c>
      <c r="K257" s="7" t="s">
        <v>583</v>
      </c>
      <c r="L257" s="110" t="s">
        <v>1513</v>
      </c>
      <c r="M257" s="2" t="s">
        <v>2705</v>
      </c>
      <c r="N257" s="2"/>
      <c r="O257" s="2"/>
      <c r="P257" s="2"/>
      <c r="Q257" s="2"/>
      <c r="R257" s="2" t="s">
        <v>2301</v>
      </c>
      <c r="S257" s="2"/>
      <c r="Z257" s="2"/>
    </row>
    <row r="258" spans="1:26" ht="30" hidden="1" customHeight="1" x14ac:dyDescent="0.5">
      <c r="A258" s="5">
        <v>369</v>
      </c>
      <c r="B258" s="8">
        <v>1204700020002</v>
      </c>
      <c r="C258" s="7" t="s">
        <v>178</v>
      </c>
      <c r="D258" s="90" t="s">
        <v>626</v>
      </c>
      <c r="F258" s="110">
        <v>2011</v>
      </c>
      <c r="G258" s="7" t="s">
        <v>19</v>
      </c>
      <c r="H258" s="96" t="s">
        <v>10</v>
      </c>
      <c r="I258" s="8" t="s">
        <v>627</v>
      </c>
      <c r="J258" s="7" t="s">
        <v>263</v>
      </c>
      <c r="K258" s="7" t="s">
        <v>618</v>
      </c>
      <c r="L258" s="110" t="s">
        <v>1537</v>
      </c>
      <c r="M258" s="2" t="s">
        <v>2705</v>
      </c>
      <c r="N258" s="2"/>
      <c r="O258" s="2"/>
      <c r="P258" s="2"/>
      <c r="Q258" s="2"/>
      <c r="R258" s="2"/>
      <c r="S258" s="2"/>
      <c r="Z258" s="2"/>
    </row>
    <row r="259" spans="1:26" ht="30" hidden="1" customHeight="1" x14ac:dyDescent="0.5">
      <c r="A259" s="5">
        <v>557</v>
      </c>
      <c r="B259" s="8">
        <v>1204700020002</v>
      </c>
      <c r="C259" s="7" t="s">
        <v>178</v>
      </c>
      <c r="D259" s="90" t="s">
        <v>1222</v>
      </c>
      <c r="F259" s="110">
        <v>2011</v>
      </c>
      <c r="G259" s="7" t="s">
        <v>19</v>
      </c>
      <c r="H259" s="96" t="s">
        <v>10</v>
      </c>
      <c r="I259" s="8">
        <v>4040871</v>
      </c>
      <c r="J259" s="7" t="s">
        <v>263</v>
      </c>
      <c r="K259" s="7" t="s">
        <v>1219</v>
      </c>
      <c r="L259" s="110" t="s">
        <v>1525</v>
      </c>
      <c r="M259" s="2" t="s">
        <v>2705</v>
      </c>
      <c r="N259" s="2"/>
      <c r="O259" s="2"/>
      <c r="P259" s="2"/>
      <c r="Q259" s="2"/>
      <c r="R259" s="2"/>
      <c r="S259" s="2"/>
      <c r="Z259" s="2"/>
    </row>
    <row r="260" spans="1:26" ht="30" hidden="1" customHeight="1" x14ac:dyDescent="0.5">
      <c r="A260" s="5">
        <v>331</v>
      </c>
      <c r="B260" s="8">
        <v>1204700020002</v>
      </c>
      <c r="C260" s="7" t="s">
        <v>178</v>
      </c>
      <c r="D260" s="90" t="s">
        <v>498</v>
      </c>
      <c r="F260" s="110">
        <v>2013</v>
      </c>
      <c r="G260" s="7" t="s">
        <v>19</v>
      </c>
      <c r="H260" s="96" t="s">
        <v>10</v>
      </c>
      <c r="I260" s="8" t="s">
        <v>499</v>
      </c>
      <c r="J260" s="7" t="s">
        <v>263</v>
      </c>
      <c r="K260" s="7" t="s">
        <v>485</v>
      </c>
      <c r="L260" s="110" t="s">
        <v>1549</v>
      </c>
      <c r="M260" s="2" t="s">
        <v>2705</v>
      </c>
      <c r="N260" s="2"/>
      <c r="O260" s="2"/>
      <c r="P260" s="2"/>
      <c r="Q260" s="2"/>
      <c r="R260" s="2" t="s">
        <v>2386</v>
      </c>
      <c r="S260" s="2"/>
      <c r="Z260" s="2"/>
    </row>
    <row r="261" spans="1:26" ht="30" hidden="1" customHeight="1" x14ac:dyDescent="0.5">
      <c r="A261" s="5">
        <v>332</v>
      </c>
      <c r="B261" s="8">
        <v>1204700020002</v>
      </c>
      <c r="C261" s="7" t="s">
        <v>178</v>
      </c>
      <c r="D261" s="90" t="s">
        <v>500</v>
      </c>
      <c r="F261" s="110">
        <v>2013</v>
      </c>
      <c r="G261" s="7" t="s">
        <v>19</v>
      </c>
      <c r="H261" s="96" t="s">
        <v>10</v>
      </c>
      <c r="I261" s="8" t="s">
        <v>501</v>
      </c>
      <c r="J261" s="7" t="s">
        <v>263</v>
      </c>
      <c r="K261" s="7" t="s">
        <v>485</v>
      </c>
      <c r="L261" s="110" t="s">
        <v>1518</v>
      </c>
      <c r="M261" s="2" t="s">
        <v>2705</v>
      </c>
      <c r="N261" s="2"/>
      <c r="O261" s="2"/>
      <c r="P261" s="2"/>
      <c r="Q261" s="2"/>
      <c r="R261" s="10" t="s">
        <v>2330</v>
      </c>
      <c r="S261" s="2"/>
      <c r="Z261" s="2"/>
    </row>
    <row r="262" spans="1:26" ht="30" hidden="1" customHeight="1" x14ac:dyDescent="0.5">
      <c r="A262" s="5">
        <v>366</v>
      </c>
      <c r="B262" s="8">
        <v>1204700020002</v>
      </c>
      <c r="C262" s="7" t="s">
        <v>178</v>
      </c>
      <c r="D262" s="90" t="s">
        <v>614</v>
      </c>
      <c r="F262" s="110">
        <v>2013</v>
      </c>
      <c r="G262" s="7" t="s">
        <v>19</v>
      </c>
      <c r="H262" s="96" t="s">
        <v>10</v>
      </c>
      <c r="I262" s="8" t="s">
        <v>615</v>
      </c>
      <c r="J262" s="7" t="s">
        <v>263</v>
      </c>
      <c r="K262" s="7" t="s">
        <v>602</v>
      </c>
      <c r="L262" s="110" t="s">
        <v>1498</v>
      </c>
      <c r="M262" s="2" t="s">
        <v>2705</v>
      </c>
      <c r="N262" s="2"/>
      <c r="O262" s="2"/>
      <c r="P262" s="2"/>
      <c r="Q262" s="2"/>
      <c r="R262" s="2"/>
      <c r="S262" s="2"/>
      <c r="Z262" s="2"/>
    </row>
    <row r="263" spans="1:26" ht="30" hidden="1" customHeight="1" x14ac:dyDescent="0.5">
      <c r="A263" s="5">
        <v>336</v>
      </c>
      <c r="B263" s="8">
        <v>1204700020002</v>
      </c>
      <c r="C263" s="7" t="s">
        <v>178</v>
      </c>
      <c r="D263" s="90" t="s">
        <v>520</v>
      </c>
      <c r="F263" s="110">
        <v>2013</v>
      </c>
      <c r="G263" s="7" t="s">
        <v>19</v>
      </c>
      <c r="H263" s="96" t="s">
        <v>10</v>
      </c>
      <c r="I263" s="8" t="s">
        <v>521</v>
      </c>
      <c r="J263" s="7" t="s">
        <v>263</v>
      </c>
      <c r="K263" s="7" t="s">
        <v>509</v>
      </c>
      <c r="L263" s="110" t="s">
        <v>1477</v>
      </c>
      <c r="M263" s="11" t="s">
        <v>1912</v>
      </c>
      <c r="N263" s="2" t="s">
        <v>1571</v>
      </c>
      <c r="O263" s="2" t="s">
        <v>2535</v>
      </c>
      <c r="P263" s="2" t="s">
        <v>2534</v>
      </c>
      <c r="Q263" s="2" t="s">
        <v>2615</v>
      </c>
      <c r="R263" s="10" t="s">
        <v>2328</v>
      </c>
      <c r="S263" s="2" t="s">
        <v>1999</v>
      </c>
      <c r="Z263" s="2"/>
    </row>
    <row r="264" spans="1:26" ht="30" hidden="1" customHeight="1" x14ac:dyDescent="0.5">
      <c r="A264" s="5">
        <v>337</v>
      </c>
      <c r="B264" s="8">
        <v>1204700020002</v>
      </c>
      <c r="C264" s="7" t="s">
        <v>178</v>
      </c>
      <c r="D264" s="90" t="s">
        <v>522</v>
      </c>
      <c r="F264" s="110">
        <v>2013</v>
      </c>
      <c r="G264" s="7" t="s">
        <v>19</v>
      </c>
      <c r="H264" s="96" t="s">
        <v>10</v>
      </c>
      <c r="I264" s="8" t="s">
        <v>523</v>
      </c>
      <c r="J264" s="7" t="s">
        <v>263</v>
      </c>
      <c r="K264" s="7" t="s">
        <v>509</v>
      </c>
      <c r="L264" s="110" t="s">
        <v>1477</v>
      </c>
      <c r="M264" s="2" t="s">
        <v>2066</v>
      </c>
      <c r="N264" s="2"/>
      <c r="O264" s="2"/>
      <c r="P264" s="2"/>
      <c r="Q264" s="2"/>
      <c r="R264" s="2" t="s">
        <v>2279</v>
      </c>
      <c r="S264" s="2"/>
      <c r="Z264" s="2"/>
    </row>
    <row r="265" spans="1:26" ht="30" hidden="1" customHeight="1" x14ac:dyDescent="0.5">
      <c r="A265" s="5">
        <v>317</v>
      </c>
      <c r="B265" s="8">
        <v>1204700020002</v>
      </c>
      <c r="C265" s="7" t="s">
        <v>178</v>
      </c>
      <c r="D265" s="90" t="s">
        <v>457</v>
      </c>
      <c r="F265" s="110">
        <v>2011</v>
      </c>
      <c r="G265" s="7" t="s">
        <v>19</v>
      </c>
      <c r="H265" s="96" t="s">
        <v>10</v>
      </c>
      <c r="I265" s="8" t="s">
        <v>458</v>
      </c>
      <c r="J265" s="7" t="s">
        <v>263</v>
      </c>
      <c r="K265" s="7" t="s">
        <v>453</v>
      </c>
      <c r="L265" s="110" t="s">
        <v>1482</v>
      </c>
      <c r="M265" s="2" t="s">
        <v>2705</v>
      </c>
      <c r="N265" s="2"/>
      <c r="O265" s="2"/>
      <c r="P265" s="2"/>
      <c r="Q265" s="2"/>
      <c r="R265" s="2"/>
      <c r="S265" s="2"/>
      <c r="Z265" s="2"/>
    </row>
    <row r="266" spans="1:26" ht="30" hidden="1" customHeight="1" x14ac:dyDescent="0.5">
      <c r="A266" s="5">
        <v>436</v>
      </c>
      <c r="B266" s="8">
        <v>1204700020002</v>
      </c>
      <c r="C266" s="7" t="s">
        <v>178</v>
      </c>
      <c r="D266" s="7" t="s">
        <v>943</v>
      </c>
      <c r="F266" s="110">
        <v>2013</v>
      </c>
      <c r="G266" s="7" t="s">
        <v>19</v>
      </c>
      <c r="H266" s="96" t="s">
        <v>10</v>
      </c>
      <c r="I266" s="8" t="s">
        <v>944</v>
      </c>
      <c r="J266" s="7" t="s">
        <v>0</v>
      </c>
      <c r="K266" s="7" t="s">
        <v>942</v>
      </c>
      <c r="L266" s="110" t="s">
        <v>1557</v>
      </c>
      <c r="M266" s="2" t="s">
        <v>2705</v>
      </c>
      <c r="N266" s="2"/>
      <c r="O266" s="2"/>
      <c r="P266" s="2"/>
      <c r="Q266" s="2"/>
      <c r="R266" s="2" t="s">
        <v>2310</v>
      </c>
      <c r="S266" s="2"/>
      <c r="Z266" s="2"/>
    </row>
    <row r="267" spans="1:26" ht="30" hidden="1" customHeight="1" x14ac:dyDescent="0.5">
      <c r="A267" s="5">
        <v>244</v>
      </c>
      <c r="B267" s="8">
        <v>1204700020002</v>
      </c>
      <c r="C267" s="7" t="s">
        <v>178</v>
      </c>
      <c r="D267" s="7" t="s">
        <v>179</v>
      </c>
      <c r="F267" s="110">
        <v>2013</v>
      </c>
      <c r="G267" s="7" t="s">
        <v>19</v>
      </c>
      <c r="H267" s="96" t="s">
        <v>10</v>
      </c>
      <c r="I267" s="8" t="s">
        <v>180</v>
      </c>
      <c r="J267" s="7" t="s">
        <v>0</v>
      </c>
      <c r="K267" s="7" t="s">
        <v>175</v>
      </c>
      <c r="L267" s="7" t="s">
        <v>175</v>
      </c>
      <c r="M267" s="2" t="s">
        <v>2705</v>
      </c>
      <c r="N267" s="2"/>
      <c r="O267" s="2"/>
      <c r="P267" s="2"/>
      <c r="Q267" s="2"/>
      <c r="R267" s="2" t="s">
        <v>2309</v>
      </c>
      <c r="S267" s="2"/>
      <c r="U267" s="5" t="s">
        <v>1536</v>
      </c>
      <c r="Z267" s="2"/>
    </row>
    <row r="268" spans="1:26" ht="30" hidden="1" customHeight="1" x14ac:dyDescent="0.5">
      <c r="A268" s="5">
        <v>296</v>
      </c>
      <c r="B268" s="8">
        <v>1204700020002</v>
      </c>
      <c r="C268" s="7" t="s">
        <v>178</v>
      </c>
      <c r="D268" s="90" t="s">
        <v>379</v>
      </c>
      <c r="F268" s="110">
        <v>2013</v>
      </c>
      <c r="G268" s="7" t="s">
        <v>19</v>
      </c>
      <c r="H268" s="96" t="s">
        <v>10</v>
      </c>
      <c r="I268" s="8" t="s">
        <v>380</v>
      </c>
      <c r="J268" s="7" t="s">
        <v>263</v>
      </c>
      <c r="K268" s="7" t="s">
        <v>270</v>
      </c>
      <c r="L268" s="110" t="s">
        <v>1555</v>
      </c>
      <c r="M268" s="2" t="s">
        <v>2705</v>
      </c>
      <c r="N268" s="2"/>
      <c r="O268" s="2"/>
      <c r="P268" s="2"/>
      <c r="Q268" s="2"/>
      <c r="R268" s="2" t="s">
        <v>2131</v>
      </c>
      <c r="S268" s="2"/>
      <c r="Z268" s="2"/>
    </row>
    <row r="269" spans="1:26" ht="30" hidden="1" customHeight="1" x14ac:dyDescent="0.5">
      <c r="A269" s="5">
        <v>263</v>
      </c>
      <c r="B269" s="8">
        <v>1204700020002</v>
      </c>
      <c r="C269" s="7" t="s">
        <v>178</v>
      </c>
      <c r="D269" s="90" t="s">
        <v>256</v>
      </c>
      <c r="F269" s="110">
        <v>2011</v>
      </c>
      <c r="G269" s="7" t="s">
        <v>19</v>
      </c>
      <c r="H269" s="96" t="s">
        <v>10</v>
      </c>
      <c r="I269" s="8" t="s">
        <v>257</v>
      </c>
      <c r="J269" s="7" t="s">
        <v>0</v>
      </c>
      <c r="K269" s="7" t="s">
        <v>240</v>
      </c>
      <c r="L269" s="110" t="s">
        <v>1549</v>
      </c>
      <c r="M269" s="2" t="s">
        <v>2705</v>
      </c>
      <c r="N269" s="2"/>
      <c r="O269" s="2"/>
      <c r="P269" s="2"/>
      <c r="Q269" s="2"/>
      <c r="R269" s="2" t="s">
        <v>2357</v>
      </c>
      <c r="S269" s="2"/>
      <c r="Z269" s="2"/>
    </row>
    <row r="270" spans="1:26" ht="30" hidden="1" customHeight="1" x14ac:dyDescent="0.5">
      <c r="A270" s="5">
        <v>493</v>
      </c>
      <c r="B270" s="8">
        <v>1204700020002</v>
      </c>
      <c r="C270" s="7" t="s">
        <v>178</v>
      </c>
      <c r="D270" s="7" t="s">
        <v>1072</v>
      </c>
      <c r="F270" s="110">
        <v>2013</v>
      </c>
      <c r="G270" s="7" t="s">
        <v>19</v>
      </c>
      <c r="H270" s="96" t="s">
        <v>10</v>
      </c>
      <c r="I270" s="8" t="s">
        <v>1073</v>
      </c>
      <c r="J270" s="7" t="s">
        <v>945</v>
      </c>
      <c r="K270" s="7" t="s">
        <v>1417</v>
      </c>
      <c r="L270" s="7" t="s">
        <v>1506</v>
      </c>
      <c r="M270" s="2" t="s">
        <v>2066</v>
      </c>
      <c r="N270" s="2"/>
      <c r="O270" s="2"/>
      <c r="P270" s="2"/>
      <c r="Q270" s="2"/>
      <c r="R270" s="10" t="s">
        <v>2320</v>
      </c>
      <c r="S270" s="2" t="s">
        <v>2006</v>
      </c>
      <c r="Z270" s="2"/>
    </row>
    <row r="271" spans="1:26" ht="30" hidden="1" customHeight="1" x14ac:dyDescent="0.5">
      <c r="A271" s="5">
        <v>463</v>
      </c>
      <c r="B271" s="8">
        <v>1204700020002</v>
      </c>
      <c r="C271" s="7" t="s">
        <v>178</v>
      </c>
      <c r="D271" s="7" t="s">
        <v>1010</v>
      </c>
      <c r="F271" s="110">
        <v>2011</v>
      </c>
      <c r="G271" s="7" t="s">
        <v>19</v>
      </c>
      <c r="H271" s="96" t="s">
        <v>10</v>
      </c>
      <c r="I271" s="8" t="s">
        <v>1011</v>
      </c>
      <c r="J271" s="7" t="s">
        <v>945</v>
      </c>
      <c r="K271" s="7" t="s">
        <v>89</v>
      </c>
      <c r="L271" s="7" t="s">
        <v>1544</v>
      </c>
      <c r="M271" s="2" t="s">
        <v>2066</v>
      </c>
      <c r="N271" s="2"/>
      <c r="O271" s="2"/>
      <c r="P271" s="2" t="s">
        <v>2117</v>
      </c>
      <c r="Q271" s="2"/>
      <c r="R271" s="2" t="s">
        <v>1627</v>
      </c>
      <c r="S271" s="2"/>
      <c r="Z271" s="2"/>
    </row>
    <row r="272" spans="1:26" ht="30" customHeight="1" x14ac:dyDescent="0.5">
      <c r="A272" s="5">
        <v>520</v>
      </c>
      <c r="B272" s="8">
        <v>1204700020002</v>
      </c>
      <c r="C272" s="7" t="s">
        <v>178</v>
      </c>
      <c r="D272" s="7" t="s">
        <v>1128</v>
      </c>
      <c r="F272" s="110">
        <v>2011</v>
      </c>
      <c r="G272" s="7" t="s">
        <v>19</v>
      </c>
      <c r="H272" s="96" t="s">
        <v>10</v>
      </c>
      <c r="I272" s="8" t="s">
        <v>1129</v>
      </c>
      <c r="J272" s="7" t="s">
        <v>945</v>
      </c>
      <c r="K272" s="7" t="s">
        <v>820</v>
      </c>
      <c r="L272" s="7" t="s">
        <v>1531</v>
      </c>
      <c r="M272" s="2" t="s">
        <v>1548</v>
      </c>
      <c r="N272" s="2" t="s">
        <v>1615</v>
      </c>
      <c r="O272" s="2" t="s">
        <v>2490</v>
      </c>
      <c r="P272" s="2" t="s">
        <v>2635</v>
      </c>
      <c r="Q272" s="2" t="s">
        <v>2549</v>
      </c>
      <c r="R272" s="10" t="s">
        <v>2331</v>
      </c>
      <c r="S272" s="2" t="s">
        <v>2019</v>
      </c>
      <c r="Z272" s="2"/>
    </row>
    <row r="273" spans="1:26" ht="30" hidden="1" customHeight="1" x14ac:dyDescent="0.5">
      <c r="A273" s="5">
        <v>472</v>
      </c>
      <c r="B273" s="8">
        <v>1204700020002</v>
      </c>
      <c r="C273" s="7" t="s">
        <v>178</v>
      </c>
      <c r="D273" s="7" t="s">
        <v>1029</v>
      </c>
      <c r="F273" s="110">
        <v>2011</v>
      </c>
      <c r="G273" s="7" t="s">
        <v>19</v>
      </c>
      <c r="H273" s="96" t="s">
        <v>10</v>
      </c>
      <c r="I273" s="8" t="s">
        <v>1030</v>
      </c>
      <c r="J273" s="7" t="s">
        <v>945</v>
      </c>
      <c r="K273" s="7" t="s">
        <v>198</v>
      </c>
      <c r="L273" s="7" t="s">
        <v>1557</v>
      </c>
      <c r="M273" s="2" t="s">
        <v>2705</v>
      </c>
      <c r="N273" s="2"/>
      <c r="O273" s="2"/>
      <c r="P273" s="2"/>
      <c r="Q273" s="2"/>
      <c r="R273" s="2" t="s">
        <v>2562</v>
      </c>
      <c r="S273" s="2"/>
      <c r="Z273" s="2"/>
    </row>
    <row r="274" spans="1:26" ht="30" hidden="1" customHeight="1" x14ac:dyDescent="0.5">
      <c r="A274" s="5">
        <v>527</v>
      </c>
      <c r="B274" s="8">
        <v>1204700020002</v>
      </c>
      <c r="C274" s="7" t="s">
        <v>178</v>
      </c>
      <c r="D274" s="7" t="s">
        <v>1145</v>
      </c>
      <c r="F274" s="110">
        <v>2011</v>
      </c>
      <c r="G274" s="7" t="s">
        <v>19</v>
      </c>
      <c r="H274" s="96" t="s">
        <v>10</v>
      </c>
      <c r="I274" s="8" t="s">
        <v>1146</v>
      </c>
      <c r="J274" s="7" t="s">
        <v>945</v>
      </c>
      <c r="K274" s="7" t="s">
        <v>854</v>
      </c>
      <c r="L274" s="7" t="s">
        <v>1513</v>
      </c>
      <c r="M274" s="2" t="s">
        <v>2705</v>
      </c>
      <c r="N274" s="2"/>
      <c r="O274" s="2"/>
      <c r="P274" s="2"/>
      <c r="Q274" s="2"/>
      <c r="R274" s="10" t="s">
        <v>2332</v>
      </c>
      <c r="S274" s="2"/>
      <c r="Z274" s="2"/>
    </row>
    <row r="275" spans="1:26" ht="30" hidden="1" customHeight="1" x14ac:dyDescent="0.5">
      <c r="A275" s="5">
        <v>483</v>
      </c>
      <c r="B275" s="8">
        <v>1204700020002</v>
      </c>
      <c r="C275" s="7" t="s">
        <v>178</v>
      </c>
      <c r="D275" s="7" t="s">
        <v>1051</v>
      </c>
      <c r="F275" s="110">
        <v>2011</v>
      </c>
      <c r="G275" s="7" t="s">
        <v>19</v>
      </c>
      <c r="H275" s="96" t="s">
        <v>10</v>
      </c>
      <c r="I275" s="8" t="s">
        <v>1052</v>
      </c>
      <c r="J275" s="111" t="s">
        <v>945</v>
      </c>
      <c r="K275" s="7" t="s">
        <v>806</v>
      </c>
      <c r="L275" s="7" t="s">
        <v>1482</v>
      </c>
      <c r="M275" s="11" t="s">
        <v>1912</v>
      </c>
      <c r="N275" s="2" t="s">
        <v>1564</v>
      </c>
      <c r="O275" s="2" t="s">
        <v>2349</v>
      </c>
      <c r="P275" s="2" t="s">
        <v>2348</v>
      </c>
      <c r="Q275" s="2" t="s">
        <v>2565</v>
      </c>
      <c r="R275" s="10" t="s">
        <v>2323</v>
      </c>
      <c r="S275" s="2" t="s">
        <v>2010</v>
      </c>
      <c r="Z275" s="2"/>
    </row>
    <row r="276" spans="1:26" ht="30" hidden="1" customHeight="1" x14ac:dyDescent="0.5">
      <c r="A276" s="5">
        <v>438</v>
      </c>
      <c r="B276" s="8">
        <v>1204700020002</v>
      </c>
      <c r="C276" s="7" t="s">
        <v>178</v>
      </c>
      <c r="D276" s="7" t="s">
        <v>950</v>
      </c>
      <c r="F276" s="110">
        <v>2011</v>
      </c>
      <c r="G276" s="7" t="s">
        <v>19</v>
      </c>
      <c r="H276" s="96" t="s">
        <v>10</v>
      </c>
      <c r="I276" s="8" t="s">
        <v>951</v>
      </c>
      <c r="J276" s="7" t="s">
        <v>945</v>
      </c>
      <c r="K276" s="7" t="s">
        <v>746</v>
      </c>
      <c r="L276" s="110" t="s">
        <v>1487</v>
      </c>
      <c r="M276" s="2" t="s">
        <v>2066</v>
      </c>
      <c r="N276" s="2"/>
      <c r="O276" s="2"/>
      <c r="P276" s="2"/>
      <c r="Q276" s="2"/>
      <c r="R276" s="10" t="s">
        <v>2325</v>
      </c>
      <c r="S276" s="2"/>
      <c r="Z276" s="2"/>
    </row>
    <row r="277" spans="1:26" ht="30" hidden="1" customHeight="1" x14ac:dyDescent="0.5">
      <c r="A277" s="5">
        <v>202</v>
      </c>
      <c r="B277" s="8">
        <v>1204700020005</v>
      </c>
      <c r="C277" s="7" t="s">
        <v>7</v>
      </c>
      <c r="D277" s="7" t="s">
        <v>8</v>
      </c>
      <c r="F277" s="110">
        <v>2011</v>
      </c>
      <c r="G277" s="7" t="s">
        <v>9</v>
      </c>
      <c r="H277" s="97" t="s">
        <v>10</v>
      </c>
      <c r="I277" s="101" t="s">
        <v>11</v>
      </c>
      <c r="J277" s="7" t="s">
        <v>0</v>
      </c>
      <c r="K277" s="7" t="s">
        <v>1</v>
      </c>
      <c r="L277" s="110" t="s">
        <v>1555</v>
      </c>
      <c r="M277" s="2" t="s">
        <v>2705</v>
      </c>
      <c r="N277" s="2"/>
      <c r="O277" s="2"/>
      <c r="P277" s="2"/>
      <c r="Q277" s="2"/>
      <c r="R277" s="2" t="s">
        <v>2704</v>
      </c>
      <c r="S277" s="2"/>
      <c r="T277" s="4" t="s">
        <v>1552</v>
      </c>
      <c r="U277" s="5" t="s">
        <v>1473</v>
      </c>
      <c r="V277" s="4" t="s">
        <v>1566</v>
      </c>
      <c r="Z277" s="2"/>
    </row>
    <row r="278" spans="1:26" ht="30" hidden="1" customHeight="1" x14ac:dyDescent="0.5">
      <c r="A278" s="5">
        <v>506</v>
      </c>
      <c r="B278" s="8">
        <v>1204700020009</v>
      </c>
      <c r="C278" s="7" t="s">
        <v>29</v>
      </c>
      <c r="D278" s="7" t="s">
        <v>1099</v>
      </c>
      <c r="E278" s="7" t="s">
        <v>2221</v>
      </c>
      <c r="F278" s="110">
        <v>2016</v>
      </c>
      <c r="G278" s="7" t="s">
        <v>19</v>
      </c>
      <c r="H278" s="113" t="s">
        <v>261</v>
      </c>
      <c r="I278" s="8" t="s">
        <v>1100</v>
      </c>
      <c r="J278" s="9" t="s">
        <v>945</v>
      </c>
      <c r="K278" s="7" t="s">
        <v>1088</v>
      </c>
      <c r="L278" s="110" t="s">
        <v>1493</v>
      </c>
      <c r="M278" s="11" t="s">
        <v>1912</v>
      </c>
      <c r="N278" s="2"/>
      <c r="O278" s="2"/>
      <c r="P278" s="2"/>
      <c r="Q278" s="2" t="s">
        <v>2233</v>
      </c>
      <c r="R278" s="2" t="s">
        <v>2453</v>
      </c>
      <c r="S278" s="2" t="s">
        <v>2045</v>
      </c>
      <c r="Z278" s="7"/>
    </row>
    <row r="279" spans="1:26" ht="30" customHeight="1" x14ac:dyDescent="0.5">
      <c r="A279" s="117">
        <v>547</v>
      </c>
      <c r="B279" s="8">
        <v>1204700020009</v>
      </c>
      <c r="C279" s="7" t="s">
        <v>29</v>
      </c>
      <c r="D279" s="7" t="s">
        <v>1191</v>
      </c>
      <c r="E279" s="2" t="s">
        <v>2215</v>
      </c>
      <c r="F279" s="110">
        <v>2016</v>
      </c>
      <c r="G279" s="7" t="s">
        <v>19</v>
      </c>
      <c r="H279" s="113" t="s">
        <v>261</v>
      </c>
      <c r="I279" s="8" t="s">
        <v>1192</v>
      </c>
      <c r="J279" s="9" t="s">
        <v>945</v>
      </c>
      <c r="K279" s="7" t="s">
        <v>1178</v>
      </c>
      <c r="L279" s="110" t="s">
        <v>1477</v>
      </c>
      <c r="M279" s="2" t="s">
        <v>1548</v>
      </c>
      <c r="N279" s="2" t="s">
        <v>1559</v>
      </c>
      <c r="O279" s="2" t="s">
        <v>1559</v>
      </c>
      <c r="P279" s="2" t="s">
        <v>2508</v>
      </c>
      <c r="Q279" s="2" t="s">
        <v>2340</v>
      </c>
      <c r="R279" s="2" t="s">
        <v>2452</v>
      </c>
      <c r="S279" s="2" t="s">
        <v>1999</v>
      </c>
      <c r="Z279" s="7"/>
    </row>
    <row r="280" spans="1:26" ht="30" hidden="1" customHeight="1" x14ac:dyDescent="0.5">
      <c r="A280" s="5">
        <v>208</v>
      </c>
      <c r="B280" s="8">
        <v>1204700020009</v>
      </c>
      <c r="C280" s="7" t="s">
        <v>29</v>
      </c>
      <c r="D280" s="7" t="s">
        <v>30</v>
      </c>
      <c r="F280" s="110">
        <v>2011</v>
      </c>
      <c r="G280" s="7" t="s">
        <v>19</v>
      </c>
      <c r="H280" s="7" t="s">
        <v>10</v>
      </c>
      <c r="I280" s="8" t="s">
        <v>31</v>
      </c>
      <c r="J280" s="7" t="s">
        <v>0</v>
      </c>
      <c r="K280" s="7" t="s">
        <v>28</v>
      </c>
      <c r="L280" s="110" t="s">
        <v>1557</v>
      </c>
      <c r="M280" s="2" t="s">
        <v>2705</v>
      </c>
      <c r="N280" s="2"/>
      <c r="O280" s="2"/>
      <c r="P280" s="2"/>
      <c r="Q280" s="2"/>
      <c r="R280" s="2" t="s">
        <v>2344</v>
      </c>
      <c r="S280" s="2"/>
      <c r="U280" s="5" t="s">
        <v>1478</v>
      </c>
      <c r="V280" s="4" t="s">
        <v>1613</v>
      </c>
      <c r="Z280" s="2" t="s">
        <v>1509</v>
      </c>
    </row>
    <row r="281" spans="1:26" ht="30" hidden="1" customHeight="1" x14ac:dyDescent="0.5">
      <c r="A281" s="5">
        <v>339</v>
      </c>
      <c r="B281" s="8">
        <v>1204700020009</v>
      </c>
      <c r="C281" s="7" t="s">
        <v>29</v>
      </c>
      <c r="D281" s="7" t="s">
        <v>530</v>
      </c>
      <c r="F281" s="110">
        <v>2016</v>
      </c>
      <c r="G281" s="7" t="s">
        <v>19</v>
      </c>
      <c r="H281" s="7" t="s">
        <v>261</v>
      </c>
      <c r="I281" s="8" t="s">
        <v>531</v>
      </c>
      <c r="J281" s="7" t="s">
        <v>263</v>
      </c>
      <c r="K281" s="9" t="s">
        <v>509</v>
      </c>
      <c r="L281" s="110" t="s">
        <v>1477</v>
      </c>
      <c r="M281" s="9" t="s">
        <v>1552</v>
      </c>
      <c r="N281" s="2" t="s">
        <v>1564</v>
      </c>
      <c r="O281" s="2" t="s">
        <v>2204</v>
      </c>
      <c r="P281" s="2" t="s">
        <v>2163</v>
      </c>
      <c r="Q281" s="2"/>
      <c r="R281" s="2" t="s">
        <v>2276</v>
      </c>
      <c r="S281" s="2"/>
      <c r="Z281" s="2"/>
    </row>
    <row r="282" spans="1:26" ht="30" hidden="1" customHeight="1" x14ac:dyDescent="0.5">
      <c r="A282" s="5">
        <v>265</v>
      </c>
      <c r="B282" s="8">
        <v>1204700020009</v>
      </c>
      <c r="C282" s="7" t="s">
        <v>29</v>
      </c>
      <c r="D282" s="7" t="s">
        <v>260</v>
      </c>
      <c r="F282" s="110">
        <v>2016</v>
      </c>
      <c r="G282" s="7" t="s">
        <v>19</v>
      </c>
      <c r="H282" s="7" t="s">
        <v>261</v>
      </c>
      <c r="I282" s="8" t="s">
        <v>262</v>
      </c>
      <c r="J282" s="7" t="s">
        <v>0</v>
      </c>
      <c r="K282" s="7" t="s">
        <v>240</v>
      </c>
      <c r="L282" s="110" t="s">
        <v>1543</v>
      </c>
      <c r="M282" s="2" t="s">
        <v>2705</v>
      </c>
      <c r="N282" s="2"/>
      <c r="O282" s="2"/>
      <c r="P282" s="2"/>
      <c r="Q282" s="2"/>
      <c r="R282" s="2"/>
      <c r="S282" s="2"/>
      <c r="Z282" s="2"/>
    </row>
    <row r="283" spans="1:26" ht="30" hidden="1" customHeight="1" x14ac:dyDescent="0.5">
      <c r="A283" s="5">
        <v>503</v>
      </c>
      <c r="B283" s="8">
        <v>1204700020009</v>
      </c>
      <c r="C283" s="7" t="s">
        <v>29</v>
      </c>
      <c r="D283" s="10" t="s">
        <v>1093</v>
      </c>
      <c r="F283" s="110">
        <v>2016</v>
      </c>
      <c r="G283" s="7" t="s">
        <v>19</v>
      </c>
      <c r="H283" s="113" t="s">
        <v>261</v>
      </c>
      <c r="I283" s="8" t="s">
        <v>1094</v>
      </c>
      <c r="J283" s="9" t="s">
        <v>945</v>
      </c>
      <c r="K283" s="7" t="s">
        <v>1088</v>
      </c>
      <c r="L283" s="110"/>
      <c r="M283" s="2" t="s">
        <v>2066</v>
      </c>
      <c r="N283" s="2"/>
      <c r="O283" s="2" t="s">
        <v>2268</v>
      </c>
      <c r="P283" s="2"/>
      <c r="Q283" s="2" t="s">
        <v>2232</v>
      </c>
      <c r="R283" s="2" t="s">
        <v>2373</v>
      </c>
      <c r="S283" s="2"/>
      <c r="Z283" s="2"/>
    </row>
    <row r="284" spans="1:26" ht="30" hidden="1" customHeight="1" x14ac:dyDescent="0.5">
      <c r="A284" s="5">
        <v>504</v>
      </c>
      <c r="B284" s="8">
        <v>1204700020009</v>
      </c>
      <c r="C284" s="7" t="s">
        <v>29</v>
      </c>
      <c r="D284" s="7" t="s">
        <v>1095</v>
      </c>
      <c r="F284" s="110">
        <v>2016</v>
      </c>
      <c r="G284" s="7" t="s">
        <v>19</v>
      </c>
      <c r="H284" s="113" t="s">
        <v>261</v>
      </c>
      <c r="I284" s="8" t="s">
        <v>1096</v>
      </c>
      <c r="J284" s="9" t="s">
        <v>945</v>
      </c>
      <c r="K284" s="7" t="s">
        <v>1088</v>
      </c>
      <c r="L284" s="110" t="s">
        <v>1549</v>
      </c>
      <c r="M284" s="2" t="s">
        <v>2066</v>
      </c>
      <c r="N284" s="2" t="s">
        <v>1559</v>
      </c>
      <c r="O284" s="2" t="s">
        <v>2269</v>
      </c>
      <c r="P284" s="2" t="s">
        <v>2659</v>
      </c>
      <c r="Q284" s="2"/>
      <c r="R284" s="2" t="s">
        <v>2374</v>
      </c>
      <c r="S284" s="2"/>
      <c r="Z284" s="2"/>
    </row>
    <row r="285" spans="1:26" ht="30" hidden="1" customHeight="1" x14ac:dyDescent="0.5">
      <c r="A285" s="5">
        <v>505</v>
      </c>
      <c r="B285" s="8">
        <v>1204700020009</v>
      </c>
      <c r="C285" s="7" t="s">
        <v>29</v>
      </c>
      <c r="D285" s="7" t="s">
        <v>1097</v>
      </c>
      <c r="F285" s="110">
        <v>2016</v>
      </c>
      <c r="G285" s="7" t="s">
        <v>19</v>
      </c>
      <c r="H285" s="113" t="s">
        <v>261</v>
      </c>
      <c r="I285" s="8" t="s">
        <v>1098</v>
      </c>
      <c r="J285" s="9" t="s">
        <v>945</v>
      </c>
      <c r="K285" s="7" t="s">
        <v>1088</v>
      </c>
      <c r="L285" s="110"/>
      <c r="M285" s="2" t="s">
        <v>2066</v>
      </c>
      <c r="N285" s="2"/>
      <c r="O285" s="2" t="s">
        <v>2268</v>
      </c>
      <c r="P285" s="2"/>
      <c r="Q285" s="2" t="s">
        <v>2232</v>
      </c>
      <c r="R285" s="2" t="s">
        <v>2206</v>
      </c>
      <c r="S285" s="2"/>
      <c r="Z285" s="2"/>
    </row>
    <row r="286" spans="1:26" ht="30" hidden="1" customHeight="1" x14ac:dyDescent="0.5">
      <c r="A286" s="5">
        <v>513</v>
      </c>
      <c r="B286" s="8">
        <v>1204700020009</v>
      </c>
      <c r="C286" s="7" t="s">
        <v>29</v>
      </c>
      <c r="D286" s="7" t="s">
        <v>1114</v>
      </c>
      <c r="F286" s="110">
        <v>2016</v>
      </c>
      <c r="G286" s="7" t="s">
        <v>19</v>
      </c>
      <c r="H286" s="113" t="s">
        <v>261</v>
      </c>
      <c r="I286" s="8" t="s">
        <v>1115</v>
      </c>
      <c r="J286" s="9" t="s">
        <v>945</v>
      </c>
      <c r="K286" s="7" t="s">
        <v>1107</v>
      </c>
      <c r="L286" s="110"/>
      <c r="M286" s="2" t="s">
        <v>2705</v>
      </c>
      <c r="N286" s="2"/>
      <c r="O286" s="2"/>
      <c r="P286" s="2"/>
      <c r="Q286" s="2"/>
      <c r="R286" s="2" t="s">
        <v>2375</v>
      </c>
      <c r="S286" s="2"/>
      <c r="Z286" s="2"/>
    </row>
    <row r="287" spans="1:26" ht="30" hidden="1" customHeight="1" x14ac:dyDescent="0.5">
      <c r="A287" s="5">
        <v>515</v>
      </c>
      <c r="B287" s="8">
        <v>1204700020009</v>
      </c>
      <c r="C287" s="7" t="s">
        <v>29</v>
      </c>
      <c r="D287" s="7" t="s">
        <v>1118</v>
      </c>
      <c r="F287" s="110">
        <v>2016</v>
      </c>
      <c r="G287" s="7" t="s">
        <v>19</v>
      </c>
      <c r="H287" s="113" t="s">
        <v>261</v>
      </c>
      <c r="I287" s="8" t="s">
        <v>1119</v>
      </c>
      <c r="J287" s="9" t="s">
        <v>945</v>
      </c>
      <c r="K287" s="7" t="s">
        <v>1107</v>
      </c>
      <c r="L287" s="110"/>
      <c r="M287" s="2" t="s">
        <v>1912</v>
      </c>
      <c r="N287" s="2" t="s">
        <v>1613</v>
      </c>
      <c r="O287" s="2" t="s">
        <v>2282</v>
      </c>
      <c r="P287" s="2" t="s">
        <v>1591</v>
      </c>
      <c r="Q287" s="2"/>
      <c r="R287" s="2"/>
      <c r="S287" s="2"/>
      <c r="Z287" s="2"/>
    </row>
    <row r="288" spans="1:26" ht="30" hidden="1" customHeight="1" x14ac:dyDescent="0.5">
      <c r="A288" s="5">
        <v>494</v>
      </c>
      <c r="B288" s="8">
        <v>1204700020009</v>
      </c>
      <c r="C288" s="7" t="s">
        <v>29</v>
      </c>
      <c r="D288" s="7" t="s">
        <v>1074</v>
      </c>
      <c r="F288" s="110">
        <v>2016</v>
      </c>
      <c r="G288" s="7" t="s">
        <v>19</v>
      </c>
      <c r="H288" s="113" t="s">
        <v>261</v>
      </c>
      <c r="I288" s="8" t="s">
        <v>1075</v>
      </c>
      <c r="J288" s="9" t="s">
        <v>945</v>
      </c>
      <c r="K288" s="7" t="s">
        <v>1069</v>
      </c>
      <c r="L288" s="110" t="s">
        <v>1544</v>
      </c>
      <c r="M288" s="2" t="s">
        <v>2705</v>
      </c>
      <c r="N288" s="2"/>
      <c r="O288" s="2"/>
      <c r="P288" s="2"/>
      <c r="Q288" s="2"/>
      <c r="R288" s="2" t="s">
        <v>2372</v>
      </c>
      <c r="S288" s="2"/>
      <c r="Z288" s="2"/>
    </row>
    <row r="289" spans="1:26" ht="30" hidden="1" customHeight="1" x14ac:dyDescent="0.5">
      <c r="A289" s="5">
        <v>495</v>
      </c>
      <c r="B289" s="8">
        <v>1204700020009</v>
      </c>
      <c r="C289" s="7" t="s">
        <v>29</v>
      </c>
      <c r="D289" s="7" t="s">
        <v>1076</v>
      </c>
      <c r="F289" s="110">
        <v>2016</v>
      </c>
      <c r="G289" s="7" t="s">
        <v>19</v>
      </c>
      <c r="H289" s="113" t="s">
        <v>261</v>
      </c>
      <c r="I289" s="8" t="s">
        <v>1077</v>
      </c>
      <c r="J289" s="9" t="s">
        <v>945</v>
      </c>
      <c r="K289" s="7" t="s">
        <v>1069</v>
      </c>
      <c r="L289" s="110" t="s">
        <v>1544</v>
      </c>
      <c r="M289" s="2" t="s">
        <v>2705</v>
      </c>
      <c r="N289" s="2"/>
      <c r="O289" s="2"/>
      <c r="P289" s="2"/>
      <c r="Q289" s="2"/>
      <c r="R289" s="2" t="s">
        <v>2371</v>
      </c>
      <c r="S289" s="2"/>
      <c r="Z289" s="2"/>
    </row>
    <row r="290" spans="1:26" ht="30" hidden="1" customHeight="1" x14ac:dyDescent="0.5">
      <c r="A290" s="5">
        <v>465</v>
      </c>
      <c r="B290" s="8">
        <v>1204700020009</v>
      </c>
      <c r="C290" s="7" t="s">
        <v>29</v>
      </c>
      <c r="D290" s="7" t="s">
        <v>1014</v>
      </c>
      <c r="F290" s="110">
        <v>2016</v>
      </c>
      <c r="G290" s="7" t="s">
        <v>19</v>
      </c>
      <c r="H290" s="113" t="s">
        <v>261</v>
      </c>
      <c r="I290" s="8" t="s">
        <v>1015</v>
      </c>
      <c r="J290" s="9" t="s">
        <v>945</v>
      </c>
      <c r="K290" s="7" t="s">
        <v>1007</v>
      </c>
      <c r="L290" s="110"/>
      <c r="M290" s="2" t="s">
        <v>2066</v>
      </c>
      <c r="N290" s="2"/>
      <c r="O290" s="2"/>
      <c r="P290" s="2" t="s">
        <v>2297</v>
      </c>
      <c r="Q290" s="2"/>
      <c r="R290" s="2" t="s">
        <v>2295</v>
      </c>
      <c r="S290" s="2"/>
      <c r="Z290" s="2"/>
    </row>
    <row r="291" spans="1:26" ht="30" hidden="1" customHeight="1" x14ac:dyDescent="0.5">
      <c r="A291" s="5">
        <v>466</v>
      </c>
      <c r="B291" s="8">
        <v>1204700020009</v>
      </c>
      <c r="C291" s="7" t="s">
        <v>29</v>
      </c>
      <c r="D291" s="7" t="s">
        <v>1016</v>
      </c>
      <c r="F291" s="110">
        <v>2016</v>
      </c>
      <c r="G291" s="7" t="s">
        <v>19</v>
      </c>
      <c r="H291" s="113" t="s">
        <v>261</v>
      </c>
      <c r="I291" s="8" t="s">
        <v>1017</v>
      </c>
      <c r="J291" s="9" t="s">
        <v>945</v>
      </c>
      <c r="K291" s="7" t="s">
        <v>1007</v>
      </c>
      <c r="L291" s="110" t="s">
        <v>1471</v>
      </c>
      <c r="M291" s="2" t="s">
        <v>2705</v>
      </c>
      <c r="N291" s="2"/>
      <c r="O291" s="2"/>
      <c r="P291" s="2"/>
      <c r="Q291" s="2"/>
      <c r="R291" s="2" t="s">
        <v>2351</v>
      </c>
      <c r="S291" s="2"/>
      <c r="Z291" s="2"/>
    </row>
    <row r="292" spans="1:26" ht="30" hidden="1" customHeight="1" x14ac:dyDescent="0.5">
      <c r="A292" s="5">
        <v>467</v>
      </c>
      <c r="B292" s="8">
        <v>1204700020009</v>
      </c>
      <c r="C292" s="7" t="s">
        <v>29</v>
      </c>
      <c r="D292" s="7" t="s">
        <v>1018</v>
      </c>
      <c r="F292" s="110">
        <v>2016</v>
      </c>
      <c r="G292" s="7" t="s">
        <v>19</v>
      </c>
      <c r="H292" s="113" t="s">
        <v>261</v>
      </c>
      <c r="I292" s="8" t="s">
        <v>1019</v>
      </c>
      <c r="J292" s="9" t="s">
        <v>945</v>
      </c>
      <c r="K292" s="7" t="s">
        <v>1007</v>
      </c>
      <c r="L292" s="110"/>
      <c r="M292" s="2" t="s">
        <v>2066</v>
      </c>
      <c r="N292" s="2"/>
      <c r="O292" s="2"/>
      <c r="P292" s="2" t="s">
        <v>2298</v>
      </c>
      <c r="Q292" s="2"/>
      <c r="R292" s="2" t="s">
        <v>2296</v>
      </c>
      <c r="S292" s="2"/>
      <c r="Z292" s="2"/>
    </row>
    <row r="293" spans="1:26" ht="30" hidden="1" customHeight="1" x14ac:dyDescent="0.5">
      <c r="A293" s="5">
        <v>521</v>
      </c>
      <c r="B293" s="8">
        <v>1204700020009</v>
      </c>
      <c r="C293" s="7" t="s">
        <v>29</v>
      </c>
      <c r="D293" s="7" t="s">
        <v>1130</v>
      </c>
      <c r="F293" s="110">
        <v>2016</v>
      </c>
      <c r="G293" s="7" t="s">
        <v>19</v>
      </c>
      <c r="H293" s="113" t="s">
        <v>261</v>
      </c>
      <c r="I293" s="8" t="s">
        <v>1131</v>
      </c>
      <c r="J293" s="9" t="s">
        <v>945</v>
      </c>
      <c r="K293" s="7" t="s">
        <v>1125</v>
      </c>
      <c r="L293" s="110"/>
      <c r="M293" s="2" t="s">
        <v>2705</v>
      </c>
      <c r="N293" s="2"/>
      <c r="O293" s="2"/>
      <c r="P293" s="2"/>
      <c r="Q293" s="2"/>
      <c r="R293" s="2" t="s">
        <v>2370</v>
      </c>
      <c r="S293" s="2"/>
      <c r="Z293" s="2"/>
    </row>
    <row r="294" spans="1:26" ht="30" hidden="1" customHeight="1" x14ac:dyDescent="0.5">
      <c r="A294" s="5">
        <v>522</v>
      </c>
      <c r="B294" s="8">
        <v>1204700020009</v>
      </c>
      <c r="C294" s="7" t="s">
        <v>29</v>
      </c>
      <c r="D294" s="7" t="s">
        <v>1132</v>
      </c>
      <c r="F294" s="110">
        <v>2016</v>
      </c>
      <c r="G294" s="7" t="s">
        <v>19</v>
      </c>
      <c r="H294" s="113" t="s">
        <v>261</v>
      </c>
      <c r="I294" s="8" t="s">
        <v>1133</v>
      </c>
      <c r="J294" s="9" t="s">
        <v>945</v>
      </c>
      <c r="K294" s="7" t="s">
        <v>1125</v>
      </c>
      <c r="L294" s="110" t="s">
        <v>1513</v>
      </c>
      <c r="M294" s="2" t="s">
        <v>2705</v>
      </c>
      <c r="N294" s="2"/>
      <c r="O294" s="2"/>
      <c r="P294" s="2"/>
      <c r="Q294" s="2"/>
      <c r="R294" s="2" t="s">
        <v>1513</v>
      </c>
      <c r="S294" s="2"/>
      <c r="Z294" s="2"/>
    </row>
    <row r="295" spans="1:26" ht="30" hidden="1" customHeight="1" x14ac:dyDescent="0.5">
      <c r="A295" s="5">
        <v>523</v>
      </c>
      <c r="B295" s="8">
        <v>1204700020009</v>
      </c>
      <c r="C295" s="7" t="s">
        <v>29</v>
      </c>
      <c r="D295" s="7" t="s">
        <v>1134</v>
      </c>
      <c r="F295" s="110">
        <v>2016</v>
      </c>
      <c r="G295" s="7" t="s">
        <v>19</v>
      </c>
      <c r="H295" s="113" t="s">
        <v>261</v>
      </c>
      <c r="I295" s="8" t="s">
        <v>1135</v>
      </c>
      <c r="J295" s="9" t="s">
        <v>945</v>
      </c>
      <c r="K295" s="7" t="s">
        <v>1125</v>
      </c>
      <c r="L295" s="110"/>
      <c r="M295" s="2" t="s">
        <v>2705</v>
      </c>
      <c r="N295" s="2"/>
      <c r="O295" s="2"/>
      <c r="P295" s="2"/>
      <c r="Q295" s="2"/>
      <c r="R295" s="2" t="s">
        <v>2369</v>
      </c>
      <c r="S295" s="2"/>
      <c r="Z295" s="2"/>
    </row>
    <row r="296" spans="1:26" ht="30" hidden="1" customHeight="1" x14ac:dyDescent="0.5">
      <c r="A296" s="5">
        <v>536</v>
      </c>
      <c r="B296" s="8">
        <v>1204700020009</v>
      </c>
      <c r="C296" s="7" t="s">
        <v>29</v>
      </c>
      <c r="D296" s="7" t="s">
        <v>1164</v>
      </c>
      <c r="F296" s="110">
        <v>2016</v>
      </c>
      <c r="G296" s="7" t="s">
        <v>19</v>
      </c>
      <c r="H296" s="7" t="s">
        <v>261</v>
      </c>
      <c r="I296" s="8" t="s">
        <v>1165</v>
      </c>
      <c r="J296" s="7" t="s">
        <v>945</v>
      </c>
      <c r="K296" s="9" t="s">
        <v>1159</v>
      </c>
      <c r="L296" s="110"/>
      <c r="M296" s="9" t="s">
        <v>1552</v>
      </c>
      <c r="N296" s="2"/>
      <c r="O296" s="2"/>
      <c r="P296" s="2"/>
      <c r="Q296" s="2"/>
      <c r="R296" s="2" t="s">
        <v>2273</v>
      </c>
      <c r="S296" s="2"/>
      <c r="Z296" s="2"/>
    </row>
    <row r="297" spans="1:26" ht="30" hidden="1" customHeight="1" x14ac:dyDescent="0.5">
      <c r="A297" s="5">
        <v>537</v>
      </c>
      <c r="B297" s="8">
        <v>1204700020009</v>
      </c>
      <c r="C297" s="7" t="s">
        <v>29</v>
      </c>
      <c r="D297" s="7" t="s">
        <v>1166</v>
      </c>
      <c r="F297" s="110">
        <v>2016</v>
      </c>
      <c r="G297" s="7" t="s">
        <v>19</v>
      </c>
      <c r="H297" s="113" t="s">
        <v>261</v>
      </c>
      <c r="I297" s="8" t="s">
        <v>1167</v>
      </c>
      <c r="J297" s="9" t="s">
        <v>945</v>
      </c>
      <c r="K297" s="7" t="s">
        <v>1159</v>
      </c>
      <c r="L297" s="110"/>
      <c r="M297" s="2" t="s">
        <v>2066</v>
      </c>
      <c r="N297" s="2"/>
      <c r="O297" s="2"/>
      <c r="P297" s="2"/>
      <c r="Q297" s="2"/>
      <c r="R297" s="2"/>
      <c r="S297" s="2"/>
      <c r="Z297" s="2"/>
    </row>
    <row r="298" spans="1:26" ht="30" hidden="1" customHeight="1" x14ac:dyDescent="0.5">
      <c r="A298" s="5">
        <v>538</v>
      </c>
      <c r="B298" s="8">
        <v>1204700020009</v>
      </c>
      <c r="C298" s="7" t="s">
        <v>29</v>
      </c>
      <c r="D298" s="7" t="s">
        <v>1168</v>
      </c>
      <c r="F298" s="110">
        <v>2016</v>
      </c>
      <c r="G298" s="7" t="s">
        <v>19</v>
      </c>
      <c r="H298" s="7" t="s">
        <v>261</v>
      </c>
      <c r="I298" s="8" t="s">
        <v>1169</v>
      </c>
      <c r="J298" s="7" t="s">
        <v>945</v>
      </c>
      <c r="K298" s="9" t="s">
        <v>1159</v>
      </c>
      <c r="L298" s="110"/>
      <c r="M298" s="9" t="s">
        <v>1552</v>
      </c>
      <c r="N298" s="2"/>
      <c r="O298" s="2"/>
      <c r="P298" s="2"/>
      <c r="Q298" s="2"/>
      <c r="R298" s="2" t="s">
        <v>2274</v>
      </c>
      <c r="S298" s="2"/>
      <c r="Z298" s="2"/>
    </row>
    <row r="299" spans="1:26" ht="30" hidden="1" customHeight="1" x14ac:dyDescent="0.5">
      <c r="A299" s="5">
        <v>539</v>
      </c>
      <c r="B299" s="8">
        <v>1204700020009</v>
      </c>
      <c r="C299" s="7" t="s">
        <v>29</v>
      </c>
      <c r="D299" s="7" t="s">
        <v>1170</v>
      </c>
      <c r="F299" s="110">
        <v>2016</v>
      </c>
      <c r="G299" s="7" t="s">
        <v>19</v>
      </c>
      <c r="H299" s="113" t="s">
        <v>261</v>
      </c>
      <c r="I299" s="8" t="s">
        <v>1171</v>
      </c>
      <c r="J299" s="9" t="s">
        <v>945</v>
      </c>
      <c r="K299" s="7" t="s">
        <v>1159</v>
      </c>
      <c r="L299" s="110"/>
      <c r="M299" s="2" t="s">
        <v>2066</v>
      </c>
      <c r="N299" s="2"/>
      <c r="O299" s="2"/>
      <c r="P299" s="2"/>
      <c r="Q299" s="2"/>
      <c r="R299" s="2"/>
      <c r="S299" s="2"/>
      <c r="Z299" s="2"/>
    </row>
    <row r="300" spans="1:26" ht="30" hidden="1" customHeight="1" x14ac:dyDescent="0.5">
      <c r="A300" s="116">
        <v>69</v>
      </c>
      <c r="B300" s="8">
        <v>1204700020009</v>
      </c>
      <c r="C300" s="7" t="s">
        <v>29</v>
      </c>
      <c r="D300" s="7" t="s">
        <v>1185</v>
      </c>
      <c r="E300" s="105" t="s">
        <v>2217</v>
      </c>
      <c r="F300" s="110">
        <v>2016</v>
      </c>
      <c r="G300" s="7" t="s">
        <v>19</v>
      </c>
      <c r="H300" s="7" t="s">
        <v>261</v>
      </c>
      <c r="I300" s="8" t="s">
        <v>1186</v>
      </c>
      <c r="J300" s="7" t="s">
        <v>945</v>
      </c>
      <c r="K300" s="7" t="s">
        <v>1178</v>
      </c>
      <c r="L300" s="110" t="s">
        <v>1477</v>
      </c>
      <c r="M300" s="9" t="s">
        <v>1553</v>
      </c>
      <c r="N300" s="2" t="s">
        <v>1564</v>
      </c>
      <c r="O300" s="2" t="s">
        <v>1777</v>
      </c>
      <c r="P300" s="2" t="s">
        <v>1778</v>
      </c>
      <c r="Q300" s="2" t="s">
        <v>2440</v>
      </c>
      <c r="R300" s="2"/>
      <c r="S300" s="2" t="s">
        <v>1689</v>
      </c>
      <c r="X300" s="5" t="s">
        <v>1475</v>
      </c>
      <c r="Z300" s="2"/>
    </row>
    <row r="301" spans="1:26" ht="30" hidden="1" customHeight="1" x14ac:dyDescent="0.5">
      <c r="A301" s="5">
        <v>545</v>
      </c>
      <c r="B301" s="8">
        <v>1204700020009</v>
      </c>
      <c r="C301" s="7" t="s">
        <v>29</v>
      </c>
      <c r="D301" s="7" t="s">
        <v>1187</v>
      </c>
      <c r="F301" s="110">
        <v>2016</v>
      </c>
      <c r="G301" s="7" t="s">
        <v>19</v>
      </c>
      <c r="H301" s="113" t="s">
        <v>261</v>
      </c>
      <c r="I301" s="8" t="s">
        <v>1188</v>
      </c>
      <c r="J301" s="9" t="s">
        <v>945</v>
      </c>
      <c r="K301" s="7" t="s">
        <v>1178</v>
      </c>
      <c r="L301" s="110"/>
      <c r="M301" s="2" t="s">
        <v>2705</v>
      </c>
      <c r="N301" s="2"/>
      <c r="O301" s="2"/>
      <c r="P301" s="2"/>
      <c r="Q301" s="2"/>
      <c r="R301" s="2"/>
      <c r="S301" s="2"/>
      <c r="Z301" s="2"/>
    </row>
    <row r="302" spans="1:26" ht="30" hidden="1" customHeight="1" x14ac:dyDescent="0.5">
      <c r="A302" s="5">
        <v>546</v>
      </c>
      <c r="B302" s="8">
        <v>1204700020009</v>
      </c>
      <c r="C302" s="7" t="s">
        <v>29</v>
      </c>
      <c r="D302" s="7" t="s">
        <v>1189</v>
      </c>
      <c r="F302" s="110">
        <v>2016</v>
      </c>
      <c r="G302" s="7" t="s">
        <v>19</v>
      </c>
      <c r="H302" s="113" t="s">
        <v>261</v>
      </c>
      <c r="I302" s="8" t="s">
        <v>1190</v>
      </c>
      <c r="J302" s="9" t="s">
        <v>945</v>
      </c>
      <c r="K302" s="7" t="s">
        <v>1178</v>
      </c>
      <c r="L302" s="110"/>
      <c r="M302" s="2" t="s">
        <v>2705</v>
      </c>
      <c r="N302" s="2"/>
      <c r="O302" s="2"/>
      <c r="P302" s="2"/>
      <c r="Q302" s="2"/>
      <c r="R302" s="2" t="s">
        <v>425</v>
      </c>
      <c r="S302" s="2"/>
      <c r="Z302" s="2"/>
    </row>
    <row r="303" spans="1:26" ht="30" hidden="1" customHeight="1" x14ac:dyDescent="0.5">
      <c r="A303" s="5">
        <v>477</v>
      </c>
      <c r="B303" s="8">
        <v>1204700020009</v>
      </c>
      <c r="C303" s="7" t="s">
        <v>29</v>
      </c>
      <c r="D303" s="7" t="s">
        <v>1039</v>
      </c>
      <c r="F303" s="110">
        <v>2016</v>
      </c>
      <c r="G303" s="7" t="s">
        <v>19</v>
      </c>
      <c r="H303" s="113" t="s">
        <v>261</v>
      </c>
      <c r="I303" s="8" t="s">
        <v>1040</v>
      </c>
      <c r="J303" s="9" t="s">
        <v>945</v>
      </c>
      <c r="K303" s="7" t="s">
        <v>1026</v>
      </c>
      <c r="L303" s="110" t="s">
        <v>1518</v>
      </c>
      <c r="M303" s="11" t="s">
        <v>1912</v>
      </c>
      <c r="N303" s="2"/>
      <c r="O303" s="2"/>
      <c r="P303" s="2"/>
      <c r="Q303" s="2" t="s">
        <v>2096</v>
      </c>
      <c r="R303" s="2" t="s">
        <v>2289</v>
      </c>
      <c r="S303" s="2" t="s">
        <v>1518</v>
      </c>
      <c r="Z303" s="2"/>
    </row>
    <row r="304" spans="1:26" ht="30" hidden="1" customHeight="1" x14ac:dyDescent="0.5">
      <c r="A304" s="5">
        <v>528</v>
      </c>
      <c r="B304" s="8">
        <v>1204700020009</v>
      </c>
      <c r="C304" s="7" t="s">
        <v>29</v>
      </c>
      <c r="D304" s="7" t="s">
        <v>1147</v>
      </c>
      <c r="F304" s="110">
        <v>2016</v>
      </c>
      <c r="G304" s="7" t="s">
        <v>19</v>
      </c>
      <c r="H304" s="113" t="s">
        <v>261</v>
      </c>
      <c r="I304" s="8" t="s">
        <v>1148</v>
      </c>
      <c r="J304" s="9" t="s">
        <v>945</v>
      </c>
      <c r="K304" s="7" t="s">
        <v>1144</v>
      </c>
      <c r="L304" s="110"/>
      <c r="M304" s="2" t="s">
        <v>2066</v>
      </c>
      <c r="N304" s="2"/>
      <c r="O304" s="2"/>
      <c r="P304" s="2"/>
      <c r="Q304" s="2"/>
      <c r="R304" s="2" t="s">
        <v>2371</v>
      </c>
      <c r="S304" s="2"/>
      <c r="Z304" s="2"/>
    </row>
    <row r="305" spans="1:26" ht="30" hidden="1" customHeight="1" x14ac:dyDescent="0.5">
      <c r="A305" s="5">
        <v>529</v>
      </c>
      <c r="B305" s="8">
        <v>1204700020009</v>
      </c>
      <c r="C305" s="7" t="s">
        <v>29</v>
      </c>
      <c r="D305" s="7" t="s">
        <v>1149</v>
      </c>
      <c r="F305" s="110">
        <v>2016</v>
      </c>
      <c r="G305" s="7" t="s">
        <v>19</v>
      </c>
      <c r="H305" s="113" t="s">
        <v>261</v>
      </c>
      <c r="I305" s="8" t="s">
        <v>1150</v>
      </c>
      <c r="J305" s="9" t="s">
        <v>945</v>
      </c>
      <c r="K305" s="7" t="s">
        <v>1144</v>
      </c>
      <c r="L305" s="110"/>
      <c r="M305" s="2" t="s">
        <v>2066</v>
      </c>
      <c r="N305" s="2"/>
      <c r="O305" s="2"/>
      <c r="P305" s="2"/>
      <c r="Q305" s="2"/>
      <c r="R305" s="2"/>
      <c r="S305" s="2"/>
      <c r="Z305" s="2"/>
    </row>
    <row r="306" spans="1:26" ht="30" hidden="1" customHeight="1" x14ac:dyDescent="0.5">
      <c r="A306" s="5">
        <v>530</v>
      </c>
      <c r="B306" s="8">
        <v>1204700020009</v>
      </c>
      <c r="C306" s="7" t="s">
        <v>29</v>
      </c>
      <c r="D306" s="7" t="s">
        <v>1151</v>
      </c>
      <c r="F306" s="110">
        <v>2016</v>
      </c>
      <c r="G306" s="7" t="s">
        <v>19</v>
      </c>
      <c r="H306" s="113" t="s">
        <v>261</v>
      </c>
      <c r="I306" s="8" t="s">
        <v>1152</v>
      </c>
      <c r="J306" s="9" t="s">
        <v>945</v>
      </c>
      <c r="K306" s="7" t="s">
        <v>1144</v>
      </c>
      <c r="L306" s="110"/>
      <c r="M306" s="2" t="s">
        <v>2066</v>
      </c>
      <c r="N306" s="2"/>
      <c r="O306" s="2"/>
      <c r="P306" s="2"/>
      <c r="Q306" s="2"/>
      <c r="R306" s="2" t="s">
        <v>2371</v>
      </c>
      <c r="S306" s="2"/>
      <c r="Z306" s="2"/>
    </row>
    <row r="307" spans="1:26" ht="30" hidden="1" customHeight="1" x14ac:dyDescent="0.5">
      <c r="A307" s="5">
        <v>531</v>
      </c>
      <c r="B307" s="8">
        <v>1204700020009</v>
      </c>
      <c r="C307" s="7" t="s">
        <v>29</v>
      </c>
      <c r="D307" s="7" t="s">
        <v>1153</v>
      </c>
      <c r="F307" s="110">
        <v>2016</v>
      </c>
      <c r="G307" s="7" t="s">
        <v>19</v>
      </c>
      <c r="H307" s="7" t="s">
        <v>261</v>
      </c>
      <c r="I307" s="8" t="s">
        <v>1154</v>
      </c>
      <c r="J307" s="7" t="s">
        <v>945</v>
      </c>
      <c r="K307" s="7" t="s">
        <v>1144</v>
      </c>
      <c r="L307" s="110"/>
      <c r="M307" s="9" t="s">
        <v>1553</v>
      </c>
      <c r="N307" s="2" t="s">
        <v>1559</v>
      </c>
      <c r="O307" s="2" t="s">
        <v>1559</v>
      </c>
      <c r="P307" s="2" t="s">
        <v>2275</v>
      </c>
      <c r="Q307" s="2" t="s">
        <v>2442</v>
      </c>
      <c r="R307" s="2"/>
      <c r="S307" s="2"/>
      <c r="Z307" s="2"/>
    </row>
    <row r="308" spans="1:26" ht="30" hidden="1" customHeight="1" x14ac:dyDescent="0.5">
      <c r="A308" s="5">
        <v>439</v>
      </c>
      <c r="B308" s="8">
        <v>1204700020009</v>
      </c>
      <c r="C308" s="7" t="s">
        <v>29</v>
      </c>
      <c r="D308" s="7" t="s">
        <v>952</v>
      </c>
      <c r="F308" s="110">
        <v>2016</v>
      </c>
      <c r="G308" s="7" t="s">
        <v>19</v>
      </c>
      <c r="H308" s="113" t="s">
        <v>261</v>
      </c>
      <c r="I308" s="8" t="s">
        <v>953</v>
      </c>
      <c r="J308" s="9" t="s">
        <v>945</v>
      </c>
      <c r="K308" s="7" t="s">
        <v>946</v>
      </c>
      <c r="L308" s="110"/>
      <c r="M308" s="2" t="s">
        <v>2066</v>
      </c>
      <c r="N308" s="2"/>
      <c r="O308" s="2"/>
      <c r="P308" s="2"/>
      <c r="Q308" s="2"/>
      <c r="R308" s="2" t="s">
        <v>2270</v>
      </c>
      <c r="S308" s="2"/>
      <c r="Z308" s="2"/>
    </row>
    <row r="309" spans="1:26" ht="30" hidden="1" customHeight="1" x14ac:dyDescent="0.5">
      <c r="A309" s="5">
        <v>441</v>
      </c>
      <c r="B309" s="8">
        <v>1204700020009</v>
      </c>
      <c r="C309" s="7" t="s">
        <v>29</v>
      </c>
      <c r="D309" s="7" t="s">
        <v>956</v>
      </c>
      <c r="F309" s="110">
        <v>2016</v>
      </c>
      <c r="G309" s="7" t="s">
        <v>19</v>
      </c>
      <c r="H309" s="113" t="s">
        <v>261</v>
      </c>
      <c r="I309" s="8" t="s">
        <v>957</v>
      </c>
      <c r="J309" s="9" t="s">
        <v>945</v>
      </c>
      <c r="K309" s="7" t="s">
        <v>946</v>
      </c>
      <c r="L309" s="110" t="s">
        <v>1506</v>
      </c>
      <c r="M309" s="2" t="s">
        <v>2066</v>
      </c>
      <c r="N309" s="2"/>
      <c r="O309" s="2"/>
      <c r="P309" s="2"/>
      <c r="Q309" s="2"/>
      <c r="R309" s="2" t="s">
        <v>2454</v>
      </c>
      <c r="S309" s="2"/>
      <c r="Z309" s="2"/>
    </row>
    <row r="310" spans="1:26" ht="30" hidden="1" customHeight="1" x14ac:dyDescent="0.5">
      <c r="A310" s="5">
        <v>442</v>
      </c>
      <c r="B310" s="8">
        <v>1204700020009</v>
      </c>
      <c r="C310" s="7" t="s">
        <v>29</v>
      </c>
      <c r="D310" s="7" t="s">
        <v>958</v>
      </c>
      <c r="F310" s="110">
        <v>2016</v>
      </c>
      <c r="G310" s="7" t="s">
        <v>19</v>
      </c>
      <c r="H310" s="7" t="s">
        <v>261</v>
      </c>
      <c r="I310" s="8" t="s">
        <v>959</v>
      </c>
      <c r="J310" s="7" t="s">
        <v>945</v>
      </c>
      <c r="K310" s="9" t="s">
        <v>946</v>
      </c>
      <c r="L310" s="110" t="s">
        <v>1557</v>
      </c>
      <c r="M310" s="9" t="s">
        <v>1552</v>
      </c>
      <c r="N310" s="2"/>
      <c r="O310" s="2"/>
      <c r="P310" s="2"/>
      <c r="Q310" s="2"/>
      <c r="R310" s="2"/>
      <c r="S310" s="2"/>
      <c r="Z310" s="2"/>
    </row>
    <row r="311" spans="1:26" ht="30" hidden="1" customHeight="1" x14ac:dyDescent="0.5">
      <c r="A311" s="5">
        <v>454</v>
      </c>
      <c r="B311" s="8">
        <v>1204700020009</v>
      </c>
      <c r="C311" s="7" t="s">
        <v>29</v>
      </c>
      <c r="D311" s="7" t="s">
        <v>990</v>
      </c>
      <c r="F311" s="110">
        <v>2016</v>
      </c>
      <c r="G311" s="7" t="s">
        <v>19</v>
      </c>
      <c r="H311" s="113" t="s">
        <v>261</v>
      </c>
      <c r="I311" s="8" t="s">
        <v>991</v>
      </c>
      <c r="J311" s="9" t="s">
        <v>945</v>
      </c>
      <c r="K311" s="7" t="s">
        <v>987</v>
      </c>
      <c r="L311" s="110"/>
      <c r="M311" s="2" t="s">
        <v>2705</v>
      </c>
      <c r="N311" s="2"/>
      <c r="O311" s="2"/>
      <c r="P311" s="2"/>
      <c r="Q311" s="2"/>
      <c r="R311" s="2"/>
      <c r="S311" s="2"/>
      <c r="Z311" s="2"/>
    </row>
    <row r="312" spans="1:26" ht="30" hidden="1" customHeight="1" x14ac:dyDescent="0.5">
      <c r="A312" s="5">
        <v>455</v>
      </c>
      <c r="B312" s="8">
        <v>1204700020009</v>
      </c>
      <c r="C312" s="7" t="s">
        <v>29</v>
      </c>
      <c r="D312" s="7" t="s">
        <v>992</v>
      </c>
      <c r="F312" s="110">
        <v>2016</v>
      </c>
      <c r="G312" s="7" t="s">
        <v>19</v>
      </c>
      <c r="H312" s="113" t="s">
        <v>261</v>
      </c>
      <c r="I312" s="8" t="s">
        <v>993</v>
      </c>
      <c r="J312" s="9" t="s">
        <v>945</v>
      </c>
      <c r="K312" s="7" t="s">
        <v>987</v>
      </c>
      <c r="L312" s="110"/>
      <c r="M312" s="2" t="s">
        <v>2705</v>
      </c>
      <c r="N312" s="2"/>
      <c r="O312" s="2"/>
      <c r="P312" s="2"/>
      <c r="Q312" s="2"/>
      <c r="R312" s="2"/>
      <c r="S312" s="2"/>
      <c r="Z312" s="2"/>
    </row>
    <row r="313" spans="1:26" ht="30" hidden="1" customHeight="1" x14ac:dyDescent="0.5">
      <c r="A313" s="5">
        <v>456</v>
      </c>
      <c r="B313" s="8">
        <v>1204700020009</v>
      </c>
      <c r="C313" s="7" t="s">
        <v>29</v>
      </c>
      <c r="D313" s="7" t="s">
        <v>994</v>
      </c>
      <c r="F313" s="110">
        <v>2016</v>
      </c>
      <c r="G313" s="7" t="s">
        <v>19</v>
      </c>
      <c r="H313" s="113" t="s">
        <v>261</v>
      </c>
      <c r="I313" s="8" t="s">
        <v>995</v>
      </c>
      <c r="J313" s="9" t="s">
        <v>945</v>
      </c>
      <c r="K313" s="7" t="s">
        <v>987</v>
      </c>
      <c r="L313" s="110" t="s">
        <v>1482</v>
      </c>
      <c r="M313" s="2" t="s">
        <v>2705</v>
      </c>
      <c r="N313" s="2"/>
      <c r="O313" s="2"/>
      <c r="P313" s="2"/>
      <c r="Q313" s="2"/>
      <c r="R313" s="2"/>
      <c r="S313" s="2"/>
      <c r="Z313" s="2"/>
    </row>
    <row r="314" spans="1:26" ht="30" hidden="1" customHeight="1" x14ac:dyDescent="0.5">
      <c r="A314" s="5">
        <v>457</v>
      </c>
      <c r="B314" s="8">
        <v>1204700020009</v>
      </c>
      <c r="C314" s="7" t="s">
        <v>29</v>
      </c>
      <c r="D314" s="7" t="s">
        <v>996</v>
      </c>
      <c r="F314" s="110">
        <v>2016</v>
      </c>
      <c r="G314" s="7" t="s">
        <v>19</v>
      </c>
      <c r="H314" s="113" t="s">
        <v>261</v>
      </c>
      <c r="I314" s="8" t="s">
        <v>997</v>
      </c>
      <c r="J314" s="9" t="s">
        <v>945</v>
      </c>
      <c r="K314" s="7" t="s">
        <v>987</v>
      </c>
      <c r="L314" s="110"/>
      <c r="M314" s="2" t="s">
        <v>2705</v>
      </c>
      <c r="N314" s="2"/>
      <c r="O314" s="2"/>
      <c r="P314" s="2"/>
      <c r="Q314" s="2"/>
      <c r="R314" s="2"/>
      <c r="S314" s="2"/>
      <c r="Z314" s="2"/>
    </row>
    <row r="315" spans="1:26" ht="30" hidden="1" customHeight="1" x14ac:dyDescent="0.5">
      <c r="A315" s="5">
        <v>458</v>
      </c>
      <c r="B315" s="8">
        <v>1204700020009</v>
      </c>
      <c r="C315" s="7" t="s">
        <v>29</v>
      </c>
      <c r="D315" s="7" t="s">
        <v>998</v>
      </c>
      <c r="F315" s="110">
        <v>2016</v>
      </c>
      <c r="G315" s="7" t="s">
        <v>19</v>
      </c>
      <c r="H315" s="113" t="s">
        <v>261</v>
      </c>
      <c r="I315" s="8" t="s">
        <v>999</v>
      </c>
      <c r="J315" s="9" t="s">
        <v>945</v>
      </c>
      <c r="K315" s="7" t="s">
        <v>987</v>
      </c>
      <c r="L315" s="110"/>
      <c r="M315" s="2" t="s">
        <v>2705</v>
      </c>
      <c r="N315" s="2"/>
      <c r="O315" s="2"/>
      <c r="P315" s="2"/>
      <c r="Q315" s="2"/>
      <c r="R315" s="2"/>
      <c r="S315" s="2"/>
      <c r="Z315" s="2"/>
    </row>
    <row r="316" spans="1:26" ht="30" customHeight="1" x14ac:dyDescent="0.5">
      <c r="A316" s="5">
        <v>512</v>
      </c>
      <c r="B316" s="8">
        <v>1204700020009</v>
      </c>
      <c r="C316" s="7" t="s">
        <v>29</v>
      </c>
      <c r="D316" s="7" t="s">
        <v>1112</v>
      </c>
      <c r="F316" s="110">
        <v>2016</v>
      </c>
      <c r="G316" s="7" t="s">
        <v>19</v>
      </c>
      <c r="H316" s="7" t="s">
        <v>261</v>
      </c>
      <c r="I316" s="8" t="s">
        <v>1113</v>
      </c>
      <c r="J316" s="9" t="s">
        <v>945</v>
      </c>
      <c r="K316" s="113" t="s">
        <v>1107</v>
      </c>
      <c r="L316" s="110"/>
      <c r="M316" s="2" t="s">
        <v>1548</v>
      </c>
      <c r="N316" s="2" t="s">
        <v>1613</v>
      </c>
      <c r="O316" s="2" t="s">
        <v>2281</v>
      </c>
      <c r="P316" s="2" t="s">
        <v>1655</v>
      </c>
      <c r="Q316" s="57"/>
      <c r="R316" s="2"/>
      <c r="S316" s="2"/>
      <c r="Z316" s="2"/>
    </row>
    <row r="317" spans="1:26" ht="30" customHeight="1" x14ac:dyDescent="0.5">
      <c r="A317" s="5">
        <v>514</v>
      </c>
      <c r="B317" s="8">
        <v>1204700020009</v>
      </c>
      <c r="C317" s="7" t="s">
        <v>29</v>
      </c>
      <c r="D317" s="7" t="s">
        <v>1116</v>
      </c>
      <c r="F317" s="110">
        <v>2016</v>
      </c>
      <c r="G317" s="7" t="s">
        <v>19</v>
      </c>
      <c r="H317" s="7" t="s">
        <v>261</v>
      </c>
      <c r="I317" s="8" t="s">
        <v>1117</v>
      </c>
      <c r="J317" s="9" t="s">
        <v>945</v>
      </c>
      <c r="K317" s="113" t="s">
        <v>1107</v>
      </c>
      <c r="L317" s="110"/>
      <c r="M317" s="2" t="s">
        <v>1548</v>
      </c>
      <c r="N317" s="2" t="s">
        <v>1559</v>
      </c>
      <c r="O317" s="2" t="s">
        <v>2283</v>
      </c>
      <c r="P317" s="2" t="s">
        <v>2094</v>
      </c>
      <c r="Q317" s="2"/>
      <c r="R317" s="2"/>
      <c r="S317" s="2"/>
      <c r="Z317" s="2"/>
    </row>
    <row r="318" spans="1:26" ht="30" customHeight="1" x14ac:dyDescent="0.5">
      <c r="A318" s="5">
        <v>496</v>
      </c>
      <c r="B318" s="8">
        <v>1204700020009</v>
      </c>
      <c r="C318" s="7" t="s">
        <v>29</v>
      </c>
      <c r="D318" s="7" t="s">
        <v>1078</v>
      </c>
      <c r="F318" s="110">
        <v>2016</v>
      </c>
      <c r="G318" s="7" t="s">
        <v>19</v>
      </c>
      <c r="H318" s="7" t="s">
        <v>261</v>
      </c>
      <c r="I318" s="8" t="s">
        <v>1079</v>
      </c>
      <c r="J318" s="9" t="s">
        <v>945</v>
      </c>
      <c r="K318" s="113" t="s">
        <v>1069</v>
      </c>
      <c r="L318" s="110" t="s">
        <v>1549</v>
      </c>
      <c r="M318" s="2" t="s">
        <v>1548</v>
      </c>
      <c r="N318" s="2" t="s">
        <v>1571</v>
      </c>
      <c r="O318" s="2" t="s">
        <v>2280</v>
      </c>
      <c r="P318" s="2" t="s">
        <v>2163</v>
      </c>
      <c r="Q318" s="2"/>
      <c r="R318" s="2" t="s">
        <v>2368</v>
      </c>
      <c r="S318" s="2"/>
      <c r="Z318" s="2"/>
    </row>
    <row r="319" spans="1:26" ht="30" hidden="1" customHeight="1" x14ac:dyDescent="0.5">
      <c r="A319" s="5">
        <v>497</v>
      </c>
      <c r="B319" s="8">
        <v>1204700020009</v>
      </c>
      <c r="C319" s="7" t="s">
        <v>29</v>
      </c>
      <c r="D319" s="7" t="s">
        <v>1080</v>
      </c>
      <c r="F319" s="110">
        <v>2016</v>
      </c>
      <c r="G319" s="7" t="s">
        <v>19</v>
      </c>
      <c r="H319" s="7" t="s">
        <v>261</v>
      </c>
      <c r="I319" s="8" t="s">
        <v>1081</v>
      </c>
      <c r="J319" s="9" t="s">
        <v>945</v>
      </c>
      <c r="K319" s="113" t="s">
        <v>1069</v>
      </c>
      <c r="L319" s="110" t="s">
        <v>1531</v>
      </c>
      <c r="M319" s="11" t="s">
        <v>1912</v>
      </c>
      <c r="N319" s="2"/>
      <c r="O319" s="2" t="s">
        <v>2280</v>
      </c>
      <c r="P319" s="2" t="s">
        <v>2163</v>
      </c>
      <c r="Q319" s="2" t="s">
        <v>2425</v>
      </c>
      <c r="R319" s="2" t="s">
        <v>2426</v>
      </c>
      <c r="S319" s="2"/>
      <c r="Z319" s="2"/>
    </row>
    <row r="320" spans="1:26" ht="30" customHeight="1" x14ac:dyDescent="0.5">
      <c r="A320" s="5">
        <v>464</v>
      </c>
      <c r="B320" s="8">
        <v>1204700020009</v>
      </c>
      <c r="C320" s="7" t="s">
        <v>29</v>
      </c>
      <c r="D320" s="7" t="s">
        <v>1012</v>
      </c>
      <c r="F320" s="110">
        <v>2016</v>
      </c>
      <c r="G320" s="7" t="s">
        <v>19</v>
      </c>
      <c r="H320" s="7" t="s">
        <v>261</v>
      </c>
      <c r="I320" s="8" t="s">
        <v>1013</v>
      </c>
      <c r="J320" s="7" t="s">
        <v>945</v>
      </c>
      <c r="K320" s="7" t="s">
        <v>1007</v>
      </c>
      <c r="L320" s="110" t="s">
        <v>1471</v>
      </c>
      <c r="M320" s="2" t="s">
        <v>1548</v>
      </c>
      <c r="N320" s="2" t="s">
        <v>1564</v>
      </c>
      <c r="O320" s="2" t="s">
        <v>2342</v>
      </c>
      <c r="P320" s="2" t="s">
        <v>2298</v>
      </c>
      <c r="Q320" s="57"/>
      <c r="R320" s="2" t="s">
        <v>2294</v>
      </c>
      <c r="S320" s="2"/>
      <c r="Z320" s="2"/>
    </row>
    <row r="321" spans="1:26" ht="30" customHeight="1" x14ac:dyDescent="0.5">
      <c r="A321" s="116">
        <v>88</v>
      </c>
      <c r="B321" s="8">
        <v>1204700020009</v>
      </c>
      <c r="C321" s="7" t="s">
        <v>29</v>
      </c>
      <c r="D321" s="7" t="s">
        <v>1136</v>
      </c>
      <c r="E321" s="105" t="s">
        <v>2218</v>
      </c>
      <c r="F321" s="110">
        <v>2016</v>
      </c>
      <c r="G321" s="7" t="s">
        <v>19</v>
      </c>
      <c r="H321" s="7" t="s">
        <v>261</v>
      </c>
      <c r="I321" s="8" t="s">
        <v>1137</v>
      </c>
      <c r="J321" s="9" t="s">
        <v>945</v>
      </c>
      <c r="K321" s="113" t="s">
        <v>1125</v>
      </c>
      <c r="L321" s="110" t="s">
        <v>1549</v>
      </c>
      <c r="M321" s="2" t="s">
        <v>1548</v>
      </c>
      <c r="N321" s="2" t="s">
        <v>1564</v>
      </c>
      <c r="O321" s="2" t="s">
        <v>2286</v>
      </c>
      <c r="P321" s="2" t="s">
        <v>1902</v>
      </c>
      <c r="Q321" s="57"/>
      <c r="R321" s="2" t="s">
        <v>2432</v>
      </c>
      <c r="S321" s="2" t="s">
        <v>1721</v>
      </c>
      <c r="X321" s="5" t="s">
        <v>1493</v>
      </c>
      <c r="Z321" s="2"/>
    </row>
    <row r="322" spans="1:26" ht="30" customHeight="1" x14ac:dyDescent="0.5">
      <c r="A322" s="5">
        <v>157</v>
      </c>
      <c r="B322" s="8">
        <v>1204700020009</v>
      </c>
      <c r="C322" s="7" t="s">
        <v>29</v>
      </c>
      <c r="D322" s="7" t="s">
        <v>1183</v>
      </c>
      <c r="F322" s="110">
        <v>2016</v>
      </c>
      <c r="G322" s="7" t="s">
        <v>19</v>
      </c>
      <c r="H322" s="7" t="s">
        <v>261</v>
      </c>
      <c r="I322" s="8" t="s">
        <v>1184</v>
      </c>
      <c r="J322" s="9" t="s">
        <v>945</v>
      </c>
      <c r="K322" s="113" t="s">
        <v>1178</v>
      </c>
      <c r="L322" s="110" t="s">
        <v>1477</v>
      </c>
      <c r="M322" s="2" t="s">
        <v>1548</v>
      </c>
      <c r="N322" s="2" t="s">
        <v>1564</v>
      </c>
      <c r="O322" s="2" t="s">
        <v>2257</v>
      </c>
      <c r="P322" s="9" t="s">
        <v>2256</v>
      </c>
      <c r="Q322" s="2"/>
      <c r="R322" s="2"/>
      <c r="S322" s="2" t="s">
        <v>1689</v>
      </c>
      <c r="Z322" s="2"/>
    </row>
    <row r="323" spans="1:26" ht="30" customHeight="1" x14ac:dyDescent="0.5">
      <c r="A323" s="5">
        <v>473</v>
      </c>
      <c r="B323" s="8">
        <v>1204700020009</v>
      </c>
      <c r="C323" s="7" t="s">
        <v>29</v>
      </c>
      <c r="D323" s="7" t="s">
        <v>1031</v>
      </c>
      <c r="F323" s="110">
        <v>2016</v>
      </c>
      <c r="G323" s="7" t="s">
        <v>19</v>
      </c>
      <c r="H323" s="7" t="s">
        <v>261</v>
      </c>
      <c r="I323" s="8" t="s">
        <v>1032</v>
      </c>
      <c r="J323" s="9" t="s">
        <v>945</v>
      </c>
      <c r="K323" s="113" t="s">
        <v>1026</v>
      </c>
      <c r="L323" s="110" t="s">
        <v>1549</v>
      </c>
      <c r="M323" s="2" t="s">
        <v>1548</v>
      </c>
      <c r="N323" s="2" t="s">
        <v>1571</v>
      </c>
      <c r="O323" s="2" t="s">
        <v>2291</v>
      </c>
      <c r="P323" s="2" t="s">
        <v>2118</v>
      </c>
      <c r="Q323" s="2"/>
      <c r="R323" s="2" t="s">
        <v>2368</v>
      </c>
      <c r="S323" s="2"/>
      <c r="Z323" s="2"/>
    </row>
    <row r="324" spans="1:26" ht="30" customHeight="1" x14ac:dyDescent="0.5">
      <c r="A324" s="5">
        <v>474</v>
      </c>
      <c r="B324" s="8">
        <v>1204700020009</v>
      </c>
      <c r="C324" s="7" t="s">
        <v>29</v>
      </c>
      <c r="D324" s="7" t="s">
        <v>1033</v>
      </c>
      <c r="F324" s="110">
        <v>2016</v>
      </c>
      <c r="G324" s="7" t="s">
        <v>19</v>
      </c>
      <c r="H324" s="7" t="s">
        <v>261</v>
      </c>
      <c r="I324" s="8" t="s">
        <v>1034</v>
      </c>
      <c r="J324" s="9" t="s">
        <v>945</v>
      </c>
      <c r="K324" s="113" t="s">
        <v>1026</v>
      </c>
      <c r="L324" s="110"/>
      <c r="M324" s="2" t="s">
        <v>1548</v>
      </c>
      <c r="N324" s="2" t="s">
        <v>1571</v>
      </c>
      <c r="O324" s="2" t="s">
        <v>2292</v>
      </c>
      <c r="P324" s="2" t="s">
        <v>2118</v>
      </c>
      <c r="Q324" s="2"/>
      <c r="R324" s="2" t="s">
        <v>2276</v>
      </c>
      <c r="S324" s="2"/>
      <c r="Z324" s="2"/>
    </row>
    <row r="325" spans="1:26" ht="30" customHeight="1" x14ac:dyDescent="0.5">
      <c r="A325" s="5">
        <v>475</v>
      </c>
      <c r="B325" s="8">
        <v>1204700020009</v>
      </c>
      <c r="C325" s="7" t="s">
        <v>29</v>
      </c>
      <c r="D325" s="7" t="s">
        <v>1035</v>
      </c>
      <c r="F325" s="110">
        <v>2016</v>
      </c>
      <c r="G325" s="7" t="s">
        <v>19</v>
      </c>
      <c r="H325" s="7" t="s">
        <v>261</v>
      </c>
      <c r="I325" s="8" t="s">
        <v>1036</v>
      </c>
      <c r="J325" s="9" t="s">
        <v>945</v>
      </c>
      <c r="K325" s="113" t="s">
        <v>1026</v>
      </c>
      <c r="L325" s="110"/>
      <c r="M325" s="2" t="s">
        <v>1548</v>
      </c>
      <c r="N325" s="2" t="s">
        <v>1571</v>
      </c>
      <c r="O325" s="2" t="s">
        <v>2293</v>
      </c>
      <c r="P325" s="2" t="s">
        <v>2118</v>
      </c>
      <c r="Q325" s="2"/>
      <c r="R325" s="2" t="s">
        <v>2276</v>
      </c>
      <c r="S325" s="2"/>
      <c r="Z325" s="2"/>
    </row>
    <row r="326" spans="1:26" ht="30" customHeight="1" x14ac:dyDescent="0.5">
      <c r="A326" s="5">
        <v>476</v>
      </c>
      <c r="B326" s="8">
        <v>1204700020009</v>
      </c>
      <c r="C326" s="7" t="s">
        <v>29</v>
      </c>
      <c r="D326" s="7" t="s">
        <v>1037</v>
      </c>
      <c r="F326" s="110">
        <v>2016</v>
      </c>
      <c r="G326" s="7" t="s">
        <v>19</v>
      </c>
      <c r="H326" s="7" t="s">
        <v>261</v>
      </c>
      <c r="I326" s="8" t="s">
        <v>1038</v>
      </c>
      <c r="J326" s="9" t="s">
        <v>945</v>
      </c>
      <c r="K326" s="113" t="s">
        <v>1026</v>
      </c>
      <c r="L326" s="110"/>
      <c r="M326" s="2" t="s">
        <v>1548</v>
      </c>
      <c r="N326" s="2" t="s">
        <v>1571</v>
      </c>
      <c r="O326" s="2" t="s">
        <v>2293</v>
      </c>
      <c r="P326" s="2" t="s">
        <v>2118</v>
      </c>
      <c r="Q326" s="2"/>
      <c r="R326" s="2" t="s">
        <v>2276</v>
      </c>
      <c r="S326" s="2"/>
      <c r="Z326" s="2"/>
    </row>
    <row r="327" spans="1:26" ht="30" customHeight="1" x14ac:dyDescent="0.5">
      <c r="A327" s="5">
        <v>484</v>
      </c>
      <c r="B327" s="8">
        <v>1204700020009</v>
      </c>
      <c r="C327" s="7" t="s">
        <v>29</v>
      </c>
      <c r="D327" s="7" t="s">
        <v>1053</v>
      </c>
      <c r="F327" s="110">
        <v>2016</v>
      </c>
      <c r="G327" s="7" t="s">
        <v>19</v>
      </c>
      <c r="H327" s="7" t="s">
        <v>261</v>
      </c>
      <c r="I327" s="8" t="s">
        <v>1054</v>
      </c>
      <c r="J327" s="9" t="s">
        <v>945</v>
      </c>
      <c r="K327" s="113" t="s">
        <v>1048</v>
      </c>
      <c r="L327" s="110"/>
      <c r="M327" s="2" t="s">
        <v>1548</v>
      </c>
      <c r="N327" s="2" t="s">
        <v>1564</v>
      </c>
      <c r="O327" s="2" t="s">
        <v>1820</v>
      </c>
      <c r="P327" s="2" t="s">
        <v>2265</v>
      </c>
      <c r="Q327" s="57"/>
      <c r="R327" s="2"/>
      <c r="S327" s="2"/>
      <c r="Z327" s="2"/>
    </row>
    <row r="328" spans="1:26" ht="30" customHeight="1" x14ac:dyDescent="0.5">
      <c r="A328" s="5">
        <v>485</v>
      </c>
      <c r="B328" s="8">
        <v>1204700020009</v>
      </c>
      <c r="C328" s="7" t="s">
        <v>29</v>
      </c>
      <c r="D328" s="7" t="s">
        <v>1055</v>
      </c>
      <c r="F328" s="110">
        <v>2016</v>
      </c>
      <c r="G328" s="7" t="s">
        <v>19</v>
      </c>
      <c r="H328" s="7" t="s">
        <v>261</v>
      </c>
      <c r="I328" s="8" t="s">
        <v>1056</v>
      </c>
      <c r="J328" s="7" t="s">
        <v>945</v>
      </c>
      <c r="K328" s="7" t="s">
        <v>1048</v>
      </c>
      <c r="L328" s="110"/>
      <c r="M328" s="2" t="s">
        <v>1548</v>
      </c>
      <c r="N328" s="2" t="s">
        <v>1564</v>
      </c>
      <c r="O328" s="2" t="s">
        <v>2261</v>
      </c>
      <c r="P328" s="2" t="s">
        <v>1841</v>
      </c>
      <c r="Q328" s="57"/>
      <c r="R328" s="2"/>
      <c r="S328" s="2"/>
      <c r="Z328" s="2"/>
    </row>
    <row r="329" spans="1:26" ht="30" customHeight="1" x14ac:dyDescent="0.5">
      <c r="A329" s="5">
        <v>486</v>
      </c>
      <c r="B329" s="8">
        <v>1204700020009</v>
      </c>
      <c r="C329" s="7" t="s">
        <v>29</v>
      </c>
      <c r="D329" s="7" t="s">
        <v>1057</v>
      </c>
      <c r="F329" s="110">
        <v>2016</v>
      </c>
      <c r="G329" s="7" t="s">
        <v>19</v>
      </c>
      <c r="H329" s="7" t="s">
        <v>261</v>
      </c>
      <c r="I329" s="8" t="s">
        <v>1058</v>
      </c>
      <c r="J329" s="9" t="s">
        <v>945</v>
      </c>
      <c r="K329" s="113" t="s">
        <v>1048</v>
      </c>
      <c r="L329" s="110"/>
      <c r="M329" s="2" t="s">
        <v>1548</v>
      </c>
      <c r="N329" s="2" t="s">
        <v>1571</v>
      </c>
      <c r="O329" s="2" t="s">
        <v>2262</v>
      </c>
      <c r="P329" s="2" t="s">
        <v>2266</v>
      </c>
      <c r="Q329" s="57"/>
      <c r="R329" s="2"/>
      <c r="S329" s="2"/>
      <c r="Z329" s="2"/>
    </row>
    <row r="330" spans="1:26" ht="30" customHeight="1" x14ac:dyDescent="0.5">
      <c r="A330" s="5">
        <v>487</v>
      </c>
      <c r="B330" s="8">
        <v>1204700020009</v>
      </c>
      <c r="C330" s="7" t="s">
        <v>29</v>
      </c>
      <c r="D330" s="7" t="s">
        <v>1059</v>
      </c>
      <c r="F330" s="110">
        <v>2016</v>
      </c>
      <c r="G330" s="7" t="s">
        <v>19</v>
      </c>
      <c r="H330" s="7" t="s">
        <v>261</v>
      </c>
      <c r="I330" s="8" t="s">
        <v>1060</v>
      </c>
      <c r="J330" s="7" t="s">
        <v>945</v>
      </c>
      <c r="K330" s="7" t="s">
        <v>1048</v>
      </c>
      <c r="L330" s="110"/>
      <c r="M330" s="2" t="s">
        <v>1548</v>
      </c>
      <c r="N330" s="2" t="s">
        <v>1571</v>
      </c>
      <c r="O330" s="2" t="s">
        <v>2263</v>
      </c>
      <c r="P330" s="2" t="s">
        <v>2267</v>
      </c>
      <c r="Q330" s="57"/>
      <c r="R330" s="2"/>
      <c r="S330" s="2"/>
      <c r="Z330" s="2"/>
    </row>
    <row r="331" spans="1:26" ht="30" customHeight="1" x14ac:dyDescent="0.5">
      <c r="A331" s="5">
        <v>488</v>
      </c>
      <c r="B331" s="8">
        <v>1204700020009</v>
      </c>
      <c r="C331" s="7" t="s">
        <v>29</v>
      </c>
      <c r="D331" s="7" t="s">
        <v>1061</v>
      </c>
      <c r="F331" s="110">
        <v>2016</v>
      </c>
      <c r="G331" s="7" t="s">
        <v>19</v>
      </c>
      <c r="H331" s="7" t="s">
        <v>261</v>
      </c>
      <c r="I331" s="8" t="s">
        <v>1062</v>
      </c>
      <c r="J331" s="9" t="s">
        <v>945</v>
      </c>
      <c r="K331" s="113" t="s">
        <v>1048</v>
      </c>
      <c r="L331" s="110"/>
      <c r="M331" s="2" t="s">
        <v>1548</v>
      </c>
      <c r="N331" s="2" t="s">
        <v>1613</v>
      </c>
      <c r="O331" s="2" t="s">
        <v>2264</v>
      </c>
      <c r="P331" s="2" t="s">
        <v>2266</v>
      </c>
      <c r="Q331" s="57"/>
      <c r="R331" s="2"/>
      <c r="S331" s="2"/>
      <c r="Z331" s="2"/>
    </row>
    <row r="332" spans="1:26" ht="30" customHeight="1" x14ac:dyDescent="0.5">
      <c r="A332" s="5">
        <v>440</v>
      </c>
      <c r="B332" s="8">
        <v>1204700020009</v>
      </c>
      <c r="C332" s="7" t="s">
        <v>29</v>
      </c>
      <c r="D332" s="7" t="s">
        <v>954</v>
      </c>
      <c r="F332" s="110">
        <v>2016</v>
      </c>
      <c r="G332" s="7" t="s">
        <v>19</v>
      </c>
      <c r="H332" s="7" t="s">
        <v>261</v>
      </c>
      <c r="I332" s="8" t="s">
        <v>955</v>
      </c>
      <c r="J332" s="9" t="s">
        <v>945</v>
      </c>
      <c r="K332" s="113" t="s">
        <v>946</v>
      </c>
      <c r="L332" s="110"/>
      <c r="M332" s="2" t="s">
        <v>1548</v>
      </c>
      <c r="N332" s="2" t="s">
        <v>1564</v>
      </c>
      <c r="O332" s="2" t="s">
        <v>2271</v>
      </c>
      <c r="P332" s="2" t="s">
        <v>2266</v>
      </c>
      <c r="Q332" s="57"/>
      <c r="R332" s="2"/>
      <c r="S332" s="2"/>
      <c r="Z332" s="2"/>
    </row>
    <row r="333" spans="1:26" ht="30" customHeight="1" x14ac:dyDescent="0.5">
      <c r="A333" s="5">
        <v>443</v>
      </c>
      <c r="B333" s="8">
        <v>1204700020009</v>
      </c>
      <c r="C333" s="7" t="s">
        <v>29</v>
      </c>
      <c r="D333" s="7" t="s">
        <v>960</v>
      </c>
      <c r="F333" s="110">
        <v>2016</v>
      </c>
      <c r="G333" s="7" t="s">
        <v>19</v>
      </c>
      <c r="H333" s="7" t="s">
        <v>261</v>
      </c>
      <c r="I333" s="8" t="s">
        <v>961</v>
      </c>
      <c r="J333" s="9" t="s">
        <v>945</v>
      </c>
      <c r="K333" s="113" t="s">
        <v>946</v>
      </c>
      <c r="L333" s="110"/>
      <c r="M333" s="2" t="s">
        <v>1548</v>
      </c>
      <c r="N333" s="2" t="s">
        <v>1613</v>
      </c>
      <c r="O333" s="2" t="s">
        <v>2272</v>
      </c>
      <c r="P333" s="2" t="s">
        <v>2266</v>
      </c>
      <c r="Q333" s="57"/>
      <c r="R333" s="2"/>
      <c r="S333" s="2"/>
      <c r="Z333" s="2"/>
    </row>
    <row r="334" spans="1:26" ht="30" hidden="1" customHeight="1" x14ac:dyDescent="0.5">
      <c r="A334" s="5">
        <v>309</v>
      </c>
      <c r="B334" s="8">
        <v>1204700020003</v>
      </c>
      <c r="C334" s="7" t="s">
        <v>13</v>
      </c>
      <c r="D334" s="7" t="s">
        <v>428</v>
      </c>
      <c r="F334" s="110">
        <v>2012</v>
      </c>
      <c r="G334" s="7" t="s">
        <v>19</v>
      </c>
      <c r="H334" s="96" t="s">
        <v>10</v>
      </c>
      <c r="I334" s="8" t="s">
        <v>429</v>
      </c>
      <c r="J334" s="7" t="s">
        <v>0</v>
      </c>
      <c r="K334" s="7" t="s">
        <v>270</v>
      </c>
      <c r="L334" s="7" t="s">
        <v>1506</v>
      </c>
      <c r="M334" s="2" t="s">
        <v>2705</v>
      </c>
      <c r="N334" s="2"/>
      <c r="O334" s="2"/>
      <c r="P334" s="2"/>
      <c r="Q334" s="2"/>
      <c r="R334" s="2" t="s">
        <v>2616</v>
      </c>
      <c r="S334" s="2"/>
      <c r="Z334" s="2"/>
    </row>
    <row r="335" spans="1:26" ht="30" customHeight="1" x14ac:dyDescent="0.5">
      <c r="A335" s="116">
        <v>359</v>
      </c>
      <c r="B335" s="8">
        <v>1204700020003</v>
      </c>
      <c r="C335" s="7" t="s">
        <v>13</v>
      </c>
      <c r="D335" s="91" t="s">
        <v>1441</v>
      </c>
      <c r="E335" s="107" t="s">
        <v>2216</v>
      </c>
      <c r="F335" s="110">
        <v>2009</v>
      </c>
      <c r="G335" s="7" t="s">
        <v>19</v>
      </c>
      <c r="H335" s="96" t="s">
        <v>10</v>
      </c>
      <c r="I335" s="8" t="s">
        <v>594</v>
      </c>
      <c r="J335" s="7" t="s">
        <v>263</v>
      </c>
      <c r="K335" s="7" t="s">
        <v>583</v>
      </c>
      <c r="L335" s="110" t="s">
        <v>1513</v>
      </c>
      <c r="M335" s="2" t="s">
        <v>1548</v>
      </c>
      <c r="N335" s="2" t="s">
        <v>1571</v>
      </c>
      <c r="O335" s="2" t="s">
        <v>1609</v>
      </c>
      <c r="P335" s="2" t="s">
        <v>2112</v>
      </c>
      <c r="Q335" s="57"/>
      <c r="R335" s="2"/>
      <c r="S335" s="2" t="s">
        <v>1721</v>
      </c>
      <c r="Z335" s="2"/>
    </row>
    <row r="336" spans="1:26" ht="30" hidden="1" customHeight="1" x14ac:dyDescent="0.5">
      <c r="A336" s="116">
        <v>370</v>
      </c>
      <c r="B336" s="8">
        <v>1204700020003</v>
      </c>
      <c r="C336" s="7" t="s">
        <v>13</v>
      </c>
      <c r="D336" s="7" t="s">
        <v>628</v>
      </c>
      <c r="E336" s="111" t="s">
        <v>2216</v>
      </c>
      <c r="F336" s="110">
        <v>2006</v>
      </c>
      <c r="G336" s="91" t="s">
        <v>19</v>
      </c>
      <c r="H336" s="96" t="s">
        <v>10</v>
      </c>
      <c r="I336" s="8" t="s">
        <v>629</v>
      </c>
      <c r="J336" s="111" t="s">
        <v>263</v>
      </c>
      <c r="K336" s="7" t="s">
        <v>618</v>
      </c>
      <c r="L336" s="110" t="s">
        <v>1537</v>
      </c>
      <c r="M336" s="11" t="s">
        <v>1912</v>
      </c>
      <c r="N336" s="2" t="s">
        <v>1613</v>
      </c>
      <c r="O336" s="2" t="s">
        <v>1627</v>
      </c>
      <c r="P336" s="2" t="s">
        <v>2599</v>
      </c>
      <c r="Q336" s="2" t="s">
        <v>2641</v>
      </c>
      <c r="R336" s="2" t="s">
        <v>2601</v>
      </c>
      <c r="S336" s="2" t="s">
        <v>1542</v>
      </c>
      <c r="Z336" s="7"/>
    </row>
    <row r="337" spans="1:26" ht="30" hidden="1" customHeight="1" x14ac:dyDescent="0.5">
      <c r="A337" s="5">
        <v>351</v>
      </c>
      <c r="B337" s="8">
        <v>1204700020003</v>
      </c>
      <c r="C337" s="7" t="s">
        <v>13</v>
      </c>
      <c r="D337" s="90" t="s">
        <v>575</v>
      </c>
      <c r="F337" s="110">
        <v>2002</v>
      </c>
      <c r="G337" s="7" t="s">
        <v>4</v>
      </c>
      <c r="H337" s="96" t="s">
        <v>10</v>
      </c>
      <c r="I337" s="8" t="s">
        <v>576</v>
      </c>
      <c r="J337" s="7" t="s">
        <v>263</v>
      </c>
      <c r="K337" s="7" t="s">
        <v>568</v>
      </c>
      <c r="L337" s="110" t="s">
        <v>1487</v>
      </c>
      <c r="M337" s="11" t="s">
        <v>1912</v>
      </c>
      <c r="N337" s="2"/>
      <c r="O337" s="2"/>
      <c r="P337" s="2"/>
      <c r="Q337" s="2" t="s">
        <v>2353</v>
      </c>
      <c r="R337" s="2" t="s">
        <v>2354</v>
      </c>
      <c r="S337" s="2" t="s">
        <v>1487</v>
      </c>
      <c r="Z337" s="2"/>
    </row>
    <row r="338" spans="1:26" ht="30" hidden="1" customHeight="1" x14ac:dyDescent="0.5">
      <c r="A338" s="5">
        <v>352</v>
      </c>
      <c r="B338" s="8">
        <v>1204700020003</v>
      </c>
      <c r="C338" s="7" t="s">
        <v>13</v>
      </c>
      <c r="D338" s="90" t="s">
        <v>577</v>
      </c>
      <c r="F338" s="110">
        <v>2010</v>
      </c>
      <c r="G338" s="7" t="s">
        <v>19</v>
      </c>
      <c r="H338" s="96" t="s">
        <v>10</v>
      </c>
      <c r="I338" s="8" t="s">
        <v>578</v>
      </c>
      <c r="J338" s="7" t="s">
        <v>263</v>
      </c>
      <c r="K338" s="7" t="s">
        <v>568</v>
      </c>
      <c r="L338" s="110" t="s">
        <v>1487</v>
      </c>
      <c r="M338" s="2" t="s">
        <v>2705</v>
      </c>
      <c r="N338" s="2"/>
      <c r="O338" s="2"/>
      <c r="P338" s="2"/>
      <c r="Q338" s="2"/>
      <c r="R338" s="2"/>
      <c r="S338" s="2"/>
      <c r="Z338" s="2"/>
    </row>
    <row r="339" spans="1:26" ht="30" hidden="1" customHeight="1" x14ac:dyDescent="0.5">
      <c r="A339" s="116">
        <v>87</v>
      </c>
      <c r="B339" s="8">
        <v>1204700020003</v>
      </c>
      <c r="C339" s="7" t="s">
        <v>13</v>
      </c>
      <c r="D339" s="7" t="s">
        <v>543</v>
      </c>
      <c r="E339" s="105" t="s">
        <v>2218</v>
      </c>
      <c r="F339" s="110">
        <v>1998</v>
      </c>
      <c r="G339" s="7" t="s">
        <v>4</v>
      </c>
      <c r="H339" s="96" t="s">
        <v>10</v>
      </c>
      <c r="I339" s="8" t="s">
        <v>544</v>
      </c>
      <c r="J339" s="7" t="s">
        <v>263</v>
      </c>
      <c r="K339" s="7" t="s">
        <v>534</v>
      </c>
      <c r="L339" s="110" t="s">
        <v>1531</v>
      </c>
      <c r="M339" s="9" t="s">
        <v>1553</v>
      </c>
      <c r="N339" s="9" t="s">
        <v>1571</v>
      </c>
      <c r="O339" s="2" t="s">
        <v>1625</v>
      </c>
      <c r="P339" s="10" t="s">
        <v>1877</v>
      </c>
      <c r="Q339" s="2" t="s">
        <v>2441</v>
      </c>
      <c r="R339" s="2"/>
      <c r="S339" s="2" t="s">
        <v>1709</v>
      </c>
      <c r="X339" s="5" t="s">
        <v>1492</v>
      </c>
      <c r="Z339" s="2"/>
    </row>
    <row r="340" spans="1:26" ht="30" hidden="1" customHeight="1" x14ac:dyDescent="0.5">
      <c r="A340" s="5">
        <v>342</v>
      </c>
      <c r="B340" s="8">
        <v>1204700020003</v>
      </c>
      <c r="C340" s="7" t="s">
        <v>13</v>
      </c>
      <c r="D340" s="7" t="s">
        <v>545</v>
      </c>
      <c r="F340" s="110">
        <v>2005</v>
      </c>
      <c r="G340" s="7" t="s">
        <v>4</v>
      </c>
      <c r="H340" s="96" t="s">
        <v>5</v>
      </c>
      <c r="I340" s="8" t="s">
        <v>546</v>
      </c>
      <c r="J340" s="7" t="s">
        <v>263</v>
      </c>
      <c r="K340" s="7" t="s">
        <v>534</v>
      </c>
      <c r="L340" s="110" t="s">
        <v>1531</v>
      </c>
      <c r="M340" s="11" t="s">
        <v>1912</v>
      </c>
      <c r="N340" s="2"/>
      <c r="O340" s="2"/>
      <c r="P340" s="2"/>
      <c r="Q340" s="2" t="s">
        <v>1944</v>
      </c>
      <c r="R340" s="2" t="s">
        <v>2682</v>
      </c>
      <c r="S340" s="2" t="s">
        <v>1531</v>
      </c>
      <c r="Z340" s="2"/>
    </row>
    <row r="341" spans="1:26" ht="30" hidden="1" customHeight="1" x14ac:dyDescent="0.5">
      <c r="A341" s="5">
        <v>343</v>
      </c>
      <c r="B341" s="8">
        <v>1204700020003</v>
      </c>
      <c r="C341" s="7" t="s">
        <v>13</v>
      </c>
      <c r="D341" s="90" t="s">
        <v>547</v>
      </c>
      <c r="F341" s="110">
        <v>2012</v>
      </c>
      <c r="G341" s="7" t="s">
        <v>19</v>
      </c>
      <c r="H341" s="96" t="s">
        <v>10</v>
      </c>
      <c r="I341" s="8" t="s">
        <v>548</v>
      </c>
      <c r="J341" s="7" t="s">
        <v>263</v>
      </c>
      <c r="K341" s="7" t="s">
        <v>534</v>
      </c>
      <c r="L341" s="110" t="s">
        <v>1531</v>
      </c>
      <c r="M341" s="2" t="s">
        <v>2705</v>
      </c>
      <c r="N341" s="2"/>
      <c r="O341" s="2"/>
      <c r="P341" s="2"/>
      <c r="Q341" s="2"/>
      <c r="R341" s="2" t="s">
        <v>2661</v>
      </c>
      <c r="S341" s="2"/>
      <c r="Z341" s="2"/>
    </row>
    <row r="342" spans="1:26" ht="30" customHeight="1" x14ac:dyDescent="0.5">
      <c r="A342" s="116">
        <v>338</v>
      </c>
      <c r="B342" s="8">
        <v>1204700020003</v>
      </c>
      <c r="C342" s="7" t="s">
        <v>13</v>
      </c>
      <c r="D342" s="90" t="s">
        <v>524</v>
      </c>
      <c r="E342" s="107" t="s">
        <v>2216</v>
      </c>
      <c r="F342" s="110">
        <v>2009</v>
      </c>
      <c r="G342" s="7" t="s">
        <v>19</v>
      </c>
      <c r="H342" s="96" t="s">
        <v>10</v>
      </c>
      <c r="I342" s="8" t="s">
        <v>525</v>
      </c>
      <c r="J342" s="111" t="s">
        <v>263</v>
      </c>
      <c r="K342" s="7" t="s">
        <v>509</v>
      </c>
      <c r="L342" s="110" t="s">
        <v>1477</v>
      </c>
      <c r="M342" s="2" t="s">
        <v>1548</v>
      </c>
      <c r="N342" s="2" t="s">
        <v>1571</v>
      </c>
      <c r="O342" s="2" t="s">
        <v>2632</v>
      </c>
      <c r="P342" s="123" t="s">
        <v>2630</v>
      </c>
      <c r="Q342" s="2" t="s">
        <v>2565</v>
      </c>
      <c r="R342" s="2" t="s">
        <v>2633</v>
      </c>
      <c r="S342" s="2" t="s">
        <v>1999</v>
      </c>
      <c r="Z342" s="2"/>
    </row>
    <row r="343" spans="1:26" ht="30" customHeight="1" x14ac:dyDescent="0.5">
      <c r="A343" s="5">
        <v>189</v>
      </c>
      <c r="B343" s="8">
        <v>1204700020003</v>
      </c>
      <c r="C343" s="7" t="s">
        <v>13</v>
      </c>
      <c r="D343" s="7" t="s">
        <v>445</v>
      </c>
      <c r="F343" s="110">
        <v>2009</v>
      </c>
      <c r="G343" s="7" t="s">
        <v>19</v>
      </c>
      <c r="H343" s="96" t="s">
        <v>10</v>
      </c>
      <c r="I343" s="8" t="s">
        <v>446</v>
      </c>
      <c r="J343" s="7" t="s">
        <v>263</v>
      </c>
      <c r="K343" s="7" t="s">
        <v>430</v>
      </c>
      <c r="L343" s="110" t="s">
        <v>1506</v>
      </c>
      <c r="M343" s="2" t="s">
        <v>1548</v>
      </c>
      <c r="N343" s="2" t="s">
        <v>1564</v>
      </c>
      <c r="O343" s="2" t="s">
        <v>2284</v>
      </c>
      <c r="P343" s="2" t="s">
        <v>2197</v>
      </c>
      <c r="Q343" s="2"/>
      <c r="R343" s="2"/>
      <c r="S343" s="2" t="s">
        <v>1694</v>
      </c>
      <c r="Z343" s="2"/>
    </row>
    <row r="344" spans="1:26" ht="30" hidden="1" customHeight="1" x14ac:dyDescent="0.5">
      <c r="A344" s="5">
        <v>325</v>
      </c>
      <c r="B344" s="8">
        <v>1204700020003</v>
      </c>
      <c r="C344" s="7" t="s">
        <v>13</v>
      </c>
      <c r="D344" s="7" t="s">
        <v>481</v>
      </c>
      <c r="F344" s="110">
        <v>2002</v>
      </c>
      <c r="G344" s="91" t="s">
        <v>19</v>
      </c>
      <c r="H344" s="96" t="s">
        <v>10</v>
      </c>
      <c r="I344" s="8" t="s">
        <v>482</v>
      </c>
      <c r="J344" s="7" t="s">
        <v>263</v>
      </c>
      <c r="K344" s="9" t="s">
        <v>465</v>
      </c>
      <c r="L344" s="110" t="s">
        <v>1544</v>
      </c>
      <c r="M344" s="9" t="s">
        <v>1552</v>
      </c>
      <c r="N344" s="2" t="s">
        <v>1571</v>
      </c>
      <c r="O344" s="2" t="s">
        <v>1609</v>
      </c>
      <c r="P344" s="2" t="s">
        <v>2111</v>
      </c>
      <c r="Q344" s="2"/>
      <c r="R344" s="2"/>
      <c r="S344" s="2" t="s">
        <v>1471</v>
      </c>
      <c r="Z344" s="2"/>
    </row>
    <row r="345" spans="1:26" ht="30" hidden="1" customHeight="1" x14ac:dyDescent="0.5">
      <c r="A345" s="5">
        <v>360</v>
      </c>
      <c r="B345" s="8">
        <v>1204700020003</v>
      </c>
      <c r="C345" s="7" t="s">
        <v>13</v>
      </c>
      <c r="D345" s="90" t="s">
        <v>595</v>
      </c>
      <c r="F345" s="110">
        <v>2009</v>
      </c>
      <c r="G345" s="7" t="s">
        <v>19</v>
      </c>
      <c r="H345" s="96" t="s">
        <v>10</v>
      </c>
      <c r="I345" s="8" t="s">
        <v>596</v>
      </c>
      <c r="J345" s="7" t="s">
        <v>263</v>
      </c>
      <c r="K345" s="7" t="s">
        <v>583</v>
      </c>
      <c r="L345" s="110" t="s">
        <v>1513</v>
      </c>
      <c r="M345" s="11" t="s">
        <v>1912</v>
      </c>
      <c r="N345" s="2" t="s">
        <v>1565</v>
      </c>
      <c r="O345" s="2" t="s">
        <v>2544</v>
      </c>
      <c r="P345" s="2" t="s">
        <v>2545</v>
      </c>
      <c r="Q345" s="2" t="s">
        <v>2549</v>
      </c>
      <c r="R345" s="2" t="s">
        <v>2546</v>
      </c>
      <c r="S345" s="2" t="s">
        <v>2029</v>
      </c>
      <c r="Z345" s="2"/>
    </row>
    <row r="346" spans="1:26" ht="30" hidden="1" customHeight="1" x14ac:dyDescent="0.5">
      <c r="A346" s="5">
        <v>361</v>
      </c>
      <c r="B346" s="8">
        <v>1204700020003</v>
      </c>
      <c r="C346" s="7" t="s">
        <v>13</v>
      </c>
      <c r="D346" s="91" t="s">
        <v>597</v>
      </c>
      <c r="F346" s="110">
        <v>2008</v>
      </c>
      <c r="G346" s="7" t="s">
        <v>4</v>
      </c>
      <c r="H346" s="96" t="s">
        <v>5</v>
      </c>
      <c r="I346" s="8" t="s">
        <v>598</v>
      </c>
      <c r="J346" s="7" t="s">
        <v>263</v>
      </c>
      <c r="K346" s="9" t="s">
        <v>583</v>
      </c>
      <c r="L346" s="110" t="s">
        <v>1544</v>
      </c>
      <c r="M346" s="9" t="s">
        <v>1552</v>
      </c>
      <c r="N346" s="2" t="s">
        <v>1571</v>
      </c>
      <c r="O346" s="2" t="s">
        <v>1609</v>
      </c>
      <c r="P346" s="2" t="s">
        <v>2113</v>
      </c>
      <c r="Q346" s="2"/>
      <c r="R346" s="2" t="s">
        <v>2300</v>
      </c>
      <c r="S346" s="2" t="s">
        <v>1721</v>
      </c>
      <c r="Z346" s="2"/>
    </row>
    <row r="347" spans="1:26" ht="30" hidden="1" customHeight="1" x14ac:dyDescent="0.5">
      <c r="A347" s="112">
        <v>333</v>
      </c>
      <c r="B347" s="8">
        <v>1204700020003</v>
      </c>
      <c r="C347" s="7" t="s">
        <v>13</v>
      </c>
      <c r="D347" s="90" t="s">
        <v>502</v>
      </c>
      <c r="F347" s="110">
        <v>2012</v>
      </c>
      <c r="G347" s="7" t="s">
        <v>19</v>
      </c>
      <c r="H347" s="96" t="s">
        <v>10</v>
      </c>
      <c r="I347" s="8" t="s">
        <v>503</v>
      </c>
      <c r="J347" s="7" t="s">
        <v>263</v>
      </c>
      <c r="K347" s="7" t="s">
        <v>485</v>
      </c>
      <c r="L347" s="110" t="s">
        <v>1518</v>
      </c>
      <c r="M347" s="2" t="s">
        <v>2705</v>
      </c>
      <c r="N347" s="2"/>
      <c r="O347" s="2"/>
      <c r="P347" s="2"/>
      <c r="Q347" s="2"/>
      <c r="R347" s="2" t="s">
        <v>2312</v>
      </c>
      <c r="S347" s="2"/>
      <c r="Z347" s="2"/>
    </row>
    <row r="348" spans="1:26" ht="30" hidden="1" customHeight="1" x14ac:dyDescent="0.5">
      <c r="A348" s="5">
        <v>170</v>
      </c>
      <c r="B348" s="8">
        <v>1204700020003</v>
      </c>
      <c r="C348" s="7" t="s">
        <v>13</v>
      </c>
      <c r="D348" s="90" t="s">
        <v>528</v>
      </c>
      <c r="E348" s="7" t="s">
        <v>2213</v>
      </c>
      <c r="F348" s="110">
        <v>2010</v>
      </c>
      <c r="G348" s="7" t="s">
        <v>19</v>
      </c>
      <c r="H348" s="96" t="s">
        <v>10</v>
      </c>
      <c r="I348" s="8" t="s">
        <v>529</v>
      </c>
      <c r="J348" s="7" t="s">
        <v>263</v>
      </c>
      <c r="K348" s="7" t="s">
        <v>509</v>
      </c>
      <c r="L348" s="110" t="s">
        <v>1477</v>
      </c>
      <c r="M348" s="11" t="s">
        <v>1912</v>
      </c>
      <c r="N348" s="2"/>
      <c r="O348" s="2"/>
      <c r="P348" s="2"/>
      <c r="Q348" s="2" t="s">
        <v>2340</v>
      </c>
      <c r="R348" s="2" t="s">
        <v>2278</v>
      </c>
      <c r="S348" s="2" t="s">
        <v>1689</v>
      </c>
      <c r="Z348" s="7"/>
    </row>
    <row r="349" spans="1:26" ht="30" hidden="1" customHeight="1" x14ac:dyDescent="0.5">
      <c r="A349" s="5">
        <v>315</v>
      </c>
      <c r="B349" s="8">
        <v>1204700020003</v>
      </c>
      <c r="C349" s="7" t="s">
        <v>13</v>
      </c>
      <c r="D349" s="7" t="s">
        <v>449</v>
      </c>
      <c r="E349" s="7" t="s">
        <v>2215</v>
      </c>
      <c r="F349" s="110">
        <v>2012</v>
      </c>
      <c r="G349" s="91" t="s">
        <v>19</v>
      </c>
      <c r="H349" s="96" t="s">
        <v>10</v>
      </c>
      <c r="I349" s="8" t="s">
        <v>450</v>
      </c>
      <c r="J349" s="7" t="s">
        <v>263</v>
      </c>
      <c r="K349" s="7" t="s">
        <v>430</v>
      </c>
      <c r="L349" s="110" t="s">
        <v>1506</v>
      </c>
      <c r="M349" s="11" t="s">
        <v>1912</v>
      </c>
      <c r="N349" s="2"/>
      <c r="O349" s="2"/>
      <c r="P349" s="2"/>
      <c r="Q349" s="2" t="s">
        <v>2348</v>
      </c>
      <c r="R349" s="2"/>
      <c r="S349" s="2" t="s">
        <v>1507</v>
      </c>
      <c r="Z349" s="7"/>
    </row>
    <row r="350" spans="1:26" ht="30" hidden="1" customHeight="1" x14ac:dyDescent="0.5">
      <c r="A350" s="5">
        <v>142</v>
      </c>
      <c r="B350" s="8">
        <v>1204700020003</v>
      </c>
      <c r="C350" s="7" t="s">
        <v>13</v>
      </c>
      <c r="D350" s="7" t="s">
        <v>526</v>
      </c>
      <c r="F350" s="110">
        <v>2009</v>
      </c>
      <c r="G350" s="7" t="s">
        <v>19</v>
      </c>
      <c r="H350" s="96" t="s">
        <v>10</v>
      </c>
      <c r="I350" s="8" t="s">
        <v>527</v>
      </c>
      <c r="J350" s="7" t="s">
        <v>263</v>
      </c>
      <c r="K350" s="7" t="s">
        <v>509</v>
      </c>
      <c r="L350" s="110" t="s">
        <v>1477</v>
      </c>
      <c r="M350" s="2" t="s">
        <v>2066</v>
      </c>
      <c r="N350" s="2"/>
      <c r="O350" s="2"/>
      <c r="P350" s="10"/>
      <c r="Q350" s="2" t="s">
        <v>2196</v>
      </c>
      <c r="R350" s="2" t="s">
        <v>2277</v>
      </c>
      <c r="S350" s="2" t="s">
        <v>1689</v>
      </c>
      <c r="X350" s="5" t="s">
        <v>1555</v>
      </c>
      <c r="Z350" s="2"/>
    </row>
    <row r="351" spans="1:26" ht="30" customHeight="1" x14ac:dyDescent="0.5">
      <c r="A351" s="5">
        <v>314</v>
      </c>
      <c r="B351" s="8">
        <v>1204700020003</v>
      </c>
      <c r="C351" s="7" t="s">
        <v>13</v>
      </c>
      <c r="D351" s="90" t="s">
        <v>447</v>
      </c>
      <c r="E351" s="7" t="s">
        <v>2215</v>
      </c>
      <c r="F351" s="110">
        <v>2010</v>
      </c>
      <c r="G351" s="7" t="s">
        <v>19</v>
      </c>
      <c r="H351" s="96" t="s">
        <v>5</v>
      </c>
      <c r="I351" s="8" t="s">
        <v>448</v>
      </c>
      <c r="J351" s="7" t="s">
        <v>263</v>
      </c>
      <c r="K351" s="7" t="s">
        <v>430</v>
      </c>
      <c r="L351" s="110" t="s">
        <v>1506</v>
      </c>
      <c r="M351" s="11" t="s">
        <v>1548</v>
      </c>
      <c r="N351" s="2" t="s">
        <v>1615</v>
      </c>
      <c r="O351" s="2" t="s">
        <v>2719</v>
      </c>
      <c r="P351" s="2" t="s">
        <v>2714</v>
      </c>
      <c r="Q351" s="2" t="s">
        <v>2433</v>
      </c>
      <c r="R351" s="2" t="s">
        <v>2720</v>
      </c>
      <c r="S351" s="2" t="s">
        <v>1507</v>
      </c>
      <c r="Z351" s="7"/>
    </row>
    <row r="352" spans="1:26" ht="30" hidden="1" customHeight="1" x14ac:dyDescent="0.5">
      <c r="A352" s="5">
        <v>203</v>
      </c>
      <c r="B352" s="8">
        <v>1204700020003</v>
      </c>
      <c r="C352" s="7" t="s">
        <v>13</v>
      </c>
      <c r="D352" s="7" t="s">
        <v>14</v>
      </c>
      <c r="E352" s="7" t="s">
        <v>2215</v>
      </c>
      <c r="F352" s="110">
        <v>2005</v>
      </c>
      <c r="G352" s="7" t="s">
        <v>4</v>
      </c>
      <c r="H352" s="96" t="s">
        <v>15</v>
      </c>
      <c r="I352" s="8" t="s">
        <v>16</v>
      </c>
      <c r="J352" s="111" t="s">
        <v>0</v>
      </c>
      <c r="K352" s="7" t="s">
        <v>12</v>
      </c>
      <c r="L352" s="110" t="s">
        <v>1557</v>
      </c>
      <c r="M352" s="11" t="s">
        <v>1912</v>
      </c>
      <c r="N352" s="2" t="s">
        <v>1564</v>
      </c>
      <c r="O352" s="2" t="s">
        <v>2121</v>
      </c>
      <c r="P352" s="2" t="s">
        <v>2122</v>
      </c>
      <c r="Q352" s="2" t="s">
        <v>2635</v>
      </c>
      <c r="R352" s="2" t="s">
        <v>2123</v>
      </c>
      <c r="S352" s="2" t="s">
        <v>1544</v>
      </c>
      <c r="T352" s="4" t="s">
        <v>1553</v>
      </c>
      <c r="U352" s="5" t="s">
        <v>1474</v>
      </c>
      <c r="V352" s="4" t="s">
        <v>1567</v>
      </c>
      <c r="Z352" s="7"/>
    </row>
    <row r="353" spans="1:26" ht="30" customHeight="1" x14ac:dyDescent="0.5">
      <c r="A353" s="5">
        <v>628</v>
      </c>
      <c r="B353" s="8">
        <v>1204700020003</v>
      </c>
      <c r="C353" s="7" t="s">
        <v>13</v>
      </c>
      <c r="D353" s="90" t="s">
        <v>1395</v>
      </c>
      <c r="E353" s="7" t="s">
        <v>2215</v>
      </c>
      <c r="F353" s="110">
        <v>2009</v>
      </c>
      <c r="G353" s="7" t="s">
        <v>19</v>
      </c>
      <c r="H353" s="96" t="s">
        <v>10</v>
      </c>
      <c r="I353" s="8" t="s">
        <v>1396</v>
      </c>
      <c r="J353" s="111" t="s">
        <v>263</v>
      </c>
      <c r="K353" s="7" t="s">
        <v>1225</v>
      </c>
      <c r="L353" s="115" t="s">
        <v>1557</v>
      </c>
      <c r="M353" s="2" t="s">
        <v>1548</v>
      </c>
      <c r="N353" s="2" t="s">
        <v>1571</v>
      </c>
      <c r="O353" s="2" t="s">
        <v>2636</v>
      </c>
      <c r="P353" s="2" t="s">
        <v>2635</v>
      </c>
      <c r="Q353" s="2" t="s">
        <v>2391</v>
      </c>
      <c r="R353" s="2" t="s">
        <v>2392</v>
      </c>
      <c r="S353" s="2" t="s">
        <v>1544</v>
      </c>
      <c r="Z353" s="7"/>
    </row>
    <row r="354" spans="1:26" ht="30" customHeight="1" x14ac:dyDescent="0.5">
      <c r="A354" s="116">
        <v>629</v>
      </c>
      <c r="B354" s="8">
        <v>1204700020003</v>
      </c>
      <c r="C354" s="7" t="s">
        <v>13</v>
      </c>
      <c r="D354" s="94" t="s">
        <v>1399</v>
      </c>
      <c r="E354" s="105" t="s">
        <v>2215</v>
      </c>
      <c r="F354" s="110">
        <v>2006</v>
      </c>
      <c r="G354" s="7" t="s">
        <v>19</v>
      </c>
      <c r="H354" s="96" t="s">
        <v>10</v>
      </c>
      <c r="I354" s="8" t="s">
        <v>1400</v>
      </c>
      <c r="J354" s="7" t="s">
        <v>263</v>
      </c>
      <c r="K354" s="7" t="s">
        <v>1225</v>
      </c>
      <c r="L354" s="110" t="s">
        <v>1557</v>
      </c>
      <c r="M354" s="2" t="s">
        <v>1548</v>
      </c>
      <c r="N354" s="2" t="s">
        <v>1564</v>
      </c>
      <c r="O354" s="2" t="s">
        <v>2121</v>
      </c>
      <c r="P354" s="2" t="s">
        <v>2122</v>
      </c>
      <c r="Q354" s="2"/>
      <c r="R354" s="2" t="s">
        <v>2435</v>
      </c>
      <c r="S354" s="2" t="s">
        <v>1544</v>
      </c>
      <c r="Z354" s="2"/>
    </row>
    <row r="355" spans="1:26" ht="30" customHeight="1" x14ac:dyDescent="0.5">
      <c r="A355" s="116">
        <v>132</v>
      </c>
      <c r="B355" s="8">
        <v>1204700020003</v>
      </c>
      <c r="C355" s="7" t="s">
        <v>13</v>
      </c>
      <c r="D355" s="7" t="s">
        <v>1397</v>
      </c>
      <c r="E355" s="105" t="s">
        <v>2215</v>
      </c>
      <c r="F355" s="110">
        <v>2009</v>
      </c>
      <c r="G355" s="7" t="s">
        <v>19</v>
      </c>
      <c r="H355" s="96" t="s">
        <v>10</v>
      </c>
      <c r="I355" s="8" t="s">
        <v>1398</v>
      </c>
      <c r="J355" s="7" t="s">
        <v>263</v>
      </c>
      <c r="K355" s="7" t="s">
        <v>1225</v>
      </c>
      <c r="L355" s="110" t="s">
        <v>1544</v>
      </c>
      <c r="M355" s="2" t="s">
        <v>1548</v>
      </c>
      <c r="N355" s="2" t="s">
        <v>1564</v>
      </c>
      <c r="O355" s="2" t="s">
        <v>1884</v>
      </c>
      <c r="P355" s="2" t="s">
        <v>1793</v>
      </c>
      <c r="Q355" s="57"/>
      <c r="R355" s="2" t="s">
        <v>2663</v>
      </c>
      <c r="S355" s="2" t="s">
        <v>1544</v>
      </c>
      <c r="X355" s="5" t="s">
        <v>1536</v>
      </c>
      <c r="Z355" s="2"/>
    </row>
    <row r="356" spans="1:26" ht="30" hidden="1" customHeight="1" x14ac:dyDescent="0.5">
      <c r="A356" s="5">
        <v>627</v>
      </c>
      <c r="B356" s="8">
        <v>1204700020003</v>
      </c>
      <c r="C356" s="7" t="s">
        <v>13</v>
      </c>
      <c r="D356" s="94" t="s">
        <v>1393</v>
      </c>
      <c r="E356" s="7" t="s">
        <v>2215</v>
      </c>
      <c r="F356" s="110">
        <v>2006</v>
      </c>
      <c r="G356" s="7" t="s">
        <v>19</v>
      </c>
      <c r="H356" s="96" t="s">
        <v>10</v>
      </c>
      <c r="I356" s="8" t="s">
        <v>1394</v>
      </c>
      <c r="J356" s="111" t="s">
        <v>263</v>
      </c>
      <c r="K356" s="7" t="s">
        <v>1225</v>
      </c>
      <c r="L356" s="115" t="s">
        <v>1557</v>
      </c>
      <c r="M356" s="11" t="s">
        <v>1912</v>
      </c>
      <c r="N356" s="2" t="s">
        <v>1564</v>
      </c>
      <c r="O356" s="2" t="s">
        <v>2121</v>
      </c>
      <c r="P356" s="2" t="s">
        <v>2122</v>
      </c>
      <c r="Q356" s="2" t="s">
        <v>2635</v>
      </c>
      <c r="R356" s="2" t="s">
        <v>2123</v>
      </c>
      <c r="S356" s="2" t="s">
        <v>1544</v>
      </c>
      <c r="Z356" s="7"/>
    </row>
    <row r="357" spans="1:26" ht="30" hidden="1" customHeight="1" x14ac:dyDescent="0.5">
      <c r="A357" s="5">
        <v>141</v>
      </c>
      <c r="B357" s="8">
        <v>1204700020003</v>
      </c>
      <c r="C357" s="7" t="s">
        <v>13</v>
      </c>
      <c r="D357" s="7" t="s">
        <v>691</v>
      </c>
      <c r="E357" s="7" t="s">
        <v>2213</v>
      </c>
      <c r="F357" s="110">
        <v>2008</v>
      </c>
      <c r="G357" s="7" t="s">
        <v>19</v>
      </c>
      <c r="H357" s="96" t="s">
        <v>15</v>
      </c>
      <c r="I357" s="8" t="s">
        <v>692</v>
      </c>
      <c r="J357" s="7" t="s">
        <v>263</v>
      </c>
      <c r="K357" s="7" t="s">
        <v>632</v>
      </c>
      <c r="L357" s="110" t="s">
        <v>1544</v>
      </c>
      <c r="M357" s="11" t="s">
        <v>1912</v>
      </c>
      <c r="N357" s="2"/>
      <c r="O357" s="2"/>
      <c r="P357" s="2"/>
      <c r="Q357" s="2" t="s">
        <v>2391</v>
      </c>
      <c r="R357" s="2" t="s">
        <v>2393</v>
      </c>
      <c r="S357" s="2" t="s">
        <v>2053</v>
      </c>
      <c r="X357" s="5" t="s">
        <v>1549</v>
      </c>
      <c r="Z357" s="7"/>
    </row>
    <row r="358" spans="1:26" ht="30" hidden="1" customHeight="1" x14ac:dyDescent="0.5">
      <c r="A358" s="117">
        <v>554</v>
      </c>
      <c r="B358" s="8">
        <v>1204700020003</v>
      </c>
      <c r="C358" s="7" t="s">
        <v>13</v>
      </c>
      <c r="D358" s="7" t="s">
        <v>1209</v>
      </c>
      <c r="E358" s="7" t="s">
        <v>2215</v>
      </c>
      <c r="F358" s="110">
        <v>2008</v>
      </c>
      <c r="G358" s="7" t="s">
        <v>19</v>
      </c>
      <c r="H358" s="96" t="s">
        <v>10</v>
      </c>
      <c r="I358" s="8" t="s">
        <v>1210</v>
      </c>
      <c r="J358" s="111" t="s">
        <v>35</v>
      </c>
      <c r="K358" s="7" t="s">
        <v>1199</v>
      </c>
      <c r="L358" s="110" t="s">
        <v>1498</v>
      </c>
      <c r="M358" s="11" t="s">
        <v>1912</v>
      </c>
      <c r="N358" s="2" t="s">
        <v>1564</v>
      </c>
      <c r="O358" s="2" t="s">
        <v>2512</v>
      </c>
      <c r="P358" s="2" t="s">
        <v>2513</v>
      </c>
      <c r="Q358" s="2" t="s">
        <v>2635</v>
      </c>
      <c r="R358" s="2" t="s">
        <v>2514</v>
      </c>
      <c r="S358" s="2" t="s">
        <v>1716</v>
      </c>
      <c r="Z358" s="7"/>
    </row>
    <row r="359" spans="1:26" ht="30" hidden="1" customHeight="1" x14ac:dyDescent="0.5">
      <c r="A359" s="5">
        <v>85</v>
      </c>
      <c r="B359" s="8">
        <v>1204700020003</v>
      </c>
      <c r="C359" s="7" t="s">
        <v>13</v>
      </c>
      <c r="D359" s="90" t="s">
        <v>799</v>
      </c>
      <c r="E359" s="72" t="s">
        <v>2216</v>
      </c>
      <c r="F359" s="110">
        <v>2009</v>
      </c>
      <c r="G359" s="7" t="s">
        <v>19</v>
      </c>
      <c r="H359" s="96" t="s">
        <v>10</v>
      </c>
      <c r="I359" s="8" t="s">
        <v>800</v>
      </c>
      <c r="J359" s="7" t="s">
        <v>35</v>
      </c>
      <c r="K359" s="7" t="s">
        <v>792</v>
      </c>
      <c r="L359" s="110" t="s">
        <v>1525</v>
      </c>
      <c r="M359" s="11" t="s">
        <v>1912</v>
      </c>
      <c r="N359" s="2"/>
      <c r="O359" s="2"/>
      <c r="P359" s="2"/>
      <c r="Q359" s="2" t="s">
        <v>2224</v>
      </c>
      <c r="R359" s="2" t="s">
        <v>2398</v>
      </c>
      <c r="S359" s="2" t="s">
        <v>1707</v>
      </c>
      <c r="X359" s="5" t="s">
        <v>1490</v>
      </c>
      <c r="Z359" s="7"/>
    </row>
    <row r="360" spans="1:26" ht="30" customHeight="1" x14ac:dyDescent="0.5">
      <c r="A360" s="5">
        <v>212</v>
      </c>
      <c r="B360" s="8">
        <v>1204700020003</v>
      </c>
      <c r="C360" s="7" t="s">
        <v>13</v>
      </c>
      <c r="D360" s="90" t="s">
        <v>47</v>
      </c>
      <c r="F360" s="110">
        <v>2009</v>
      </c>
      <c r="G360" s="7" t="s">
        <v>19</v>
      </c>
      <c r="H360" s="96" t="s">
        <v>10</v>
      </c>
      <c r="I360" s="8" t="s">
        <v>48</v>
      </c>
      <c r="J360" s="7" t="s">
        <v>35</v>
      </c>
      <c r="K360" s="7" t="s">
        <v>39</v>
      </c>
      <c r="L360" s="110" t="s">
        <v>1506</v>
      </c>
      <c r="M360" s="2" t="s">
        <v>1548</v>
      </c>
      <c r="N360" s="2" t="s">
        <v>1564</v>
      </c>
      <c r="O360" s="2" t="s">
        <v>1897</v>
      </c>
      <c r="P360" s="9" t="s">
        <v>2306</v>
      </c>
      <c r="Q360" s="2"/>
      <c r="R360" s="2" t="s">
        <v>2307</v>
      </c>
      <c r="S360" s="2" t="s">
        <v>1506</v>
      </c>
      <c r="U360" s="5" t="s">
        <v>1483</v>
      </c>
      <c r="Z360" s="2"/>
    </row>
    <row r="361" spans="1:26" ht="30" customHeight="1" x14ac:dyDescent="0.5">
      <c r="A361" s="116">
        <v>236</v>
      </c>
      <c r="B361" s="8">
        <v>1204700020003</v>
      </c>
      <c r="C361" s="7" t="s">
        <v>13</v>
      </c>
      <c r="D361" s="7" t="s">
        <v>141</v>
      </c>
      <c r="E361" s="105" t="s">
        <v>2213</v>
      </c>
      <c r="F361" s="110">
        <v>2001</v>
      </c>
      <c r="G361" s="91" t="s">
        <v>19</v>
      </c>
      <c r="H361" s="96" t="s">
        <v>10</v>
      </c>
      <c r="I361" s="8" t="s">
        <v>142</v>
      </c>
      <c r="J361" s="111" t="s">
        <v>35</v>
      </c>
      <c r="K361" s="7" t="s">
        <v>131</v>
      </c>
      <c r="L361" s="110" t="s">
        <v>1498</v>
      </c>
      <c r="M361" s="2" t="s">
        <v>1548</v>
      </c>
      <c r="N361" s="2" t="s">
        <v>1571</v>
      </c>
      <c r="O361" s="2" t="s">
        <v>2700</v>
      </c>
      <c r="P361" s="2" t="s">
        <v>2701</v>
      </c>
      <c r="Q361" s="2" t="s">
        <v>2635</v>
      </c>
      <c r="R361" s="2" t="s">
        <v>2447</v>
      </c>
      <c r="S361" s="2" t="s">
        <v>1502</v>
      </c>
      <c r="U361" s="5" t="s">
        <v>1520</v>
      </c>
      <c r="Z361" s="2"/>
    </row>
    <row r="362" spans="1:26" ht="30" customHeight="1" x14ac:dyDescent="0.5">
      <c r="A362" s="5">
        <v>318</v>
      </c>
      <c r="B362" s="8">
        <v>1204700020003</v>
      </c>
      <c r="C362" s="7" t="s">
        <v>13</v>
      </c>
      <c r="D362" s="90" t="s">
        <v>459</v>
      </c>
      <c r="F362" s="110">
        <v>2006</v>
      </c>
      <c r="G362" s="7" t="s">
        <v>19</v>
      </c>
      <c r="H362" s="96" t="s">
        <v>10</v>
      </c>
      <c r="I362" s="8" t="s">
        <v>460</v>
      </c>
      <c r="J362" s="7" t="s">
        <v>263</v>
      </c>
      <c r="K362" s="7" t="s">
        <v>453</v>
      </c>
      <c r="L362" s="110" t="s">
        <v>1482</v>
      </c>
      <c r="M362" s="2" t="s">
        <v>1548</v>
      </c>
      <c r="N362" s="2" t="s">
        <v>1571</v>
      </c>
      <c r="O362" s="2" t="s">
        <v>1731</v>
      </c>
      <c r="P362" s="2" t="s">
        <v>2692</v>
      </c>
      <c r="Q362" s="2" t="s">
        <v>2224</v>
      </c>
      <c r="R362" s="2" t="s">
        <v>2185</v>
      </c>
      <c r="S362" s="2" t="s">
        <v>2012</v>
      </c>
      <c r="Z362" s="2"/>
    </row>
    <row r="363" spans="1:26" ht="30" hidden="1" customHeight="1" x14ac:dyDescent="0.5">
      <c r="A363" s="5">
        <v>319</v>
      </c>
      <c r="B363" s="8">
        <v>1204700020003</v>
      </c>
      <c r="C363" s="7" t="s">
        <v>13</v>
      </c>
      <c r="D363" s="90" t="s">
        <v>461</v>
      </c>
      <c r="F363" s="110">
        <v>2012</v>
      </c>
      <c r="G363" s="7" t="s">
        <v>19</v>
      </c>
      <c r="H363" s="96" t="s">
        <v>10</v>
      </c>
      <c r="I363" s="8" t="s">
        <v>462</v>
      </c>
      <c r="J363" s="7" t="s">
        <v>263</v>
      </c>
      <c r="K363" s="7" t="s">
        <v>453</v>
      </c>
      <c r="L363" s="110" t="s">
        <v>1482</v>
      </c>
      <c r="M363" s="2" t="s">
        <v>2705</v>
      </c>
      <c r="N363" s="2"/>
      <c r="O363" s="2"/>
      <c r="P363" s="2"/>
      <c r="Q363" s="2"/>
      <c r="R363" s="2" t="s">
        <v>2189</v>
      </c>
      <c r="S363" s="2"/>
      <c r="Z363" s="2"/>
    </row>
    <row r="364" spans="1:26" ht="30" hidden="1" customHeight="1" x14ac:dyDescent="0.5">
      <c r="A364" s="5">
        <v>243</v>
      </c>
      <c r="B364" s="8">
        <v>1204700010003</v>
      </c>
      <c r="C364" s="7" t="s">
        <v>13</v>
      </c>
      <c r="D364" s="7" t="s">
        <v>176</v>
      </c>
      <c r="F364" s="110">
        <v>2008</v>
      </c>
      <c r="G364" s="7" t="s">
        <v>19</v>
      </c>
      <c r="H364" s="96" t="s">
        <v>15</v>
      </c>
      <c r="I364" s="8" t="s">
        <v>177</v>
      </c>
      <c r="J364" s="7" t="s">
        <v>0</v>
      </c>
      <c r="K364" s="7" t="s">
        <v>175</v>
      </c>
      <c r="L364" s="7" t="s">
        <v>175</v>
      </c>
      <c r="M364" s="2" t="s">
        <v>2705</v>
      </c>
      <c r="N364" s="2"/>
      <c r="O364" s="2"/>
      <c r="P364" s="2"/>
      <c r="Q364" s="2"/>
      <c r="R364" s="2" t="s">
        <v>2308</v>
      </c>
      <c r="S364" s="2"/>
      <c r="U364" s="5" t="s">
        <v>1535</v>
      </c>
      <c r="Z364" s="2"/>
    </row>
    <row r="365" spans="1:26" ht="30" hidden="1" customHeight="1" x14ac:dyDescent="0.5">
      <c r="A365" s="5">
        <v>297</v>
      </c>
      <c r="B365" s="8">
        <v>1204700020003</v>
      </c>
      <c r="C365" s="7" t="s">
        <v>13</v>
      </c>
      <c r="D365" s="90" t="s">
        <v>381</v>
      </c>
      <c r="F365" s="110">
        <v>2010</v>
      </c>
      <c r="G365" s="7" t="s">
        <v>19</v>
      </c>
      <c r="H365" s="96" t="s">
        <v>5</v>
      </c>
      <c r="I365" s="8" t="s">
        <v>382</v>
      </c>
      <c r="J365" s="7" t="s">
        <v>263</v>
      </c>
      <c r="K365" s="7" t="s">
        <v>270</v>
      </c>
      <c r="L365" s="110" t="s">
        <v>1471</v>
      </c>
      <c r="M365" s="2" t="s">
        <v>2705</v>
      </c>
      <c r="N365" s="2"/>
      <c r="O365" s="2"/>
      <c r="P365" s="2"/>
      <c r="Q365" s="2"/>
      <c r="R365" s="2" t="s">
        <v>2702</v>
      </c>
      <c r="S365" s="2"/>
      <c r="Z365" s="2"/>
    </row>
    <row r="366" spans="1:26" ht="30" hidden="1" customHeight="1" x14ac:dyDescent="0.5">
      <c r="A366" s="5">
        <v>382</v>
      </c>
      <c r="B366" s="8">
        <v>1204700020003</v>
      </c>
      <c r="C366" s="7" t="s">
        <v>13</v>
      </c>
      <c r="D366" s="7" t="s">
        <v>690</v>
      </c>
      <c r="F366" s="110">
        <v>2010</v>
      </c>
      <c r="G366" s="7" t="s">
        <v>19</v>
      </c>
      <c r="H366" s="96" t="s">
        <v>10</v>
      </c>
      <c r="I366" s="8">
        <v>581324</v>
      </c>
      <c r="J366" s="7" t="s">
        <v>263</v>
      </c>
      <c r="K366" s="9" t="s">
        <v>632</v>
      </c>
      <c r="L366" s="110" t="s">
        <v>1544</v>
      </c>
      <c r="M366" s="9" t="s">
        <v>1552</v>
      </c>
      <c r="N366" s="2" t="s">
        <v>1559</v>
      </c>
      <c r="O366" s="2" t="s">
        <v>1559</v>
      </c>
      <c r="P366" s="2"/>
      <c r="Q366" s="2"/>
      <c r="R366" s="2" t="s">
        <v>2305</v>
      </c>
      <c r="S366" s="2" t="s">
        <v>1544</v>
      </c>
      <c r="Z366" s="2"/>
    </row>
    <row r="367" spans="1:26" ht="30" customHeight="1" x14ac:dyDescent="0.5">
      <c r="A367" s="5">
        <v>502</v>
      </c>
      <c r="B367" s="8">
        <v>1204700020003</v>
      </c>
      <c r="C367" s="7" t="s">
        <v>13</v>
      </c>
      <c r="D367" s="7" t="s">
        <v>1091</v>
      </c>
      <c r="F367" s="110">
        <v>2002</v>
      </c>
      <c r="G367" s="7" t="s">
        <v>19</v>
      </c>
      <c r="H367" s="96" t="s">
        <v>10</v>
      </c>
      <c r="I367" s="8" t="s">
        <v>1092</v>
      </c>
      <c r="J367" s="111" t="s">
        <v>945</v>
      </c>
      <c r="K367" s="7" t="s">
        <v>36</v>
      </c>
      <c r="L367" s="7" t="s">
        <v>1544</v>
      </c>
      <c r="M367" s="2" t="s">
        <v>1548</v>
      </c>
      <c r="N367" s="2" t="s">
        <v>1565</v>
      </c>
      <c r="O367" s="2" t="s">
        <v>2556</v>
      </c>
      <c r="P367" s="9" t="s">
        <v>2557</v>
      </c>
      <c r="Q367" s="2" t="s">
        <v>2492</v>
      </c>
      <c r="R367" s="2" t="s">
        <v>2558</v>
      </c>
      <c r="S367" s="2"/>
      <c r="Z367" s="2"/>
    </row>
    <row r="368" spans="1:26" ht="30" hidden="1" customHeight="1" x14ac:dyDescent="0.5">
      <c r="A368" s="5">
        <v>555</v>
      </c>
      <c r="B368" s="8">
        <v>1204700020003</v>
      </c>
      <c r="C368" s="7" t="s">
        <v>13</v>
      </c>
      <c r="D368" s="90" t="s">
        <v>1211</v>
      </c>
      <c r="F368" s="110">
        <v>2010</v>
      </c>
      <c r="G368" s="7" t="s">
        <v>19</v>
      </c>
      <c r="H368" s="96" t="s">
        <v>10</v>
      </c>
      <c r="I368" s="8" t="s">
        <v>1212</v>
      </c>
      <c r="J368" s="7" t="s">
        <v>35</v>
      </c>
      <c r="K368" s="7" t="s">
        <v>1199</v>
      </c>
      <c r="L368" s="110" t="s">
        <v>1498</v>
      </c>
      <c r="M368" s="2" t="s">
        <v>2705</v>
      </c>
      <c r="N368" s="2"/>
      <c r="O368" s="2"/>
      <c r="P368" s="2"/>
      <c r="Q368" s="2"/>
      <c r="R368" s="2"/>
      <c r="S368" s="2"/>
      <c r="Z368" s="2"/>
    </row>
    <row r="369" spans="1:26" ht="30" hidden="1" customHeight="1" x14ac:dyDescent="0.5">
      <c r="A369" s="5">
        <v>210</v>
      </c>
      <c r="B369" s="8">
        <v>1204700020003</v>
      </c>
      <c r="C369" s="7" t="s">
        <v>13</v>
      </c>
      <c r="D369" s="90" t="s">
        <v>37</v>
      </c>
      <c r="F369" s="110">
        <v>2009</v>
      </c>
      <c r="G369" s="7" t="s">
        <v>19</v>
      </c>
      <c r="H369" s="96" t="s">
        <v>10</v>
      </c>
      <c r="I369" s="8" t="s">
        <v>38</v>
      </c>
      <c r="J369" s="7" t="s">
        <v>35</v>
      </c>
      <c r="K369" s="7" t="s">
        <v>36</v>
      </c>
      <c r="L369" s="110" t="s">
        <v>1493</v>
      </c>
      <c r="M369" s="11" t="s">
        <v>1912</v>
      </c>
      <c r="N369" s="2" t="s">
        <v>1571</v>
      </c>
      <c r="O369" s="2" t="s">
        <v>2227</v>
      </c>
      <c r="P369" s="2"/>
      <c r="Q369" s="2" t="s">
        <v>2226</v>
      </c>
      <c r="R369" s="2" t="s">
        <v>2415</v>
      </c>
      <c r="S369" s="2" t="s">
        <v>2045</v>
      </c>
      <c r="U369" s="5" t="s">
        <v>1480</v>
      </c>
      <c r="Z369" s="2"/>
    </row>
    <row r="370" spans="1:26" ht="30" customHeight="1" x14ac:dyDescent="0.5">
      <c r="A370" s="5">
        <v>511</v>
      </c>
      <c r="B370" s="8">
        <v>1204700020003</v>
      </c>
      <c r="C370" s="7" t="s">
        <v>13</v>
      </c>
      <c r="D370" s="7" t="s">
        <v>1110</v>
      </c>
      <c r="F370" s="110">
        <v>2010</v>
      </c>
      <c r="G370" s="7" t="s">
        <v>19</v>
      </c>
      <c r="H370" s="96" t="s">
        <v>10</v>
      </c>
      <c r="I370" s="8" t="s">
        <v>1111</v>
      </c>
      <c r="J370" s="7" t="s">
        <v>945</v>
      </c>
      <c r="K370" s="7" t="s">
        <v>89</v>
      </c>
      <c r="L370" s="7" t="s">
        <v>1525</v>
      </c>
      <c r="M370" s="2" t="s">
        <v>1548</v>
      </c>
      <c r="N370" s="2" t="s">
        <v>1564</v>
      </c>
      <c r="O370" s="2" t="s">
        <v>2464</v>
      </c>
      <c r="P370" s="9" t="s">
        <v>2465</v>
      </c>
      <c r="Q370" s="2" t="s">
        <v>2365</v>
      </c>
      <c r="R370" s="10" t="s">
        <v>2322</v>
      </c>
      <c r="S370" s="2" t="s">
        <v>1525</v>
      </c>
      <c r="Z370" s="2"/>
    </row>
    <row r="371" spans="1:26" ht="30" customHeight="1" x14ac:dyDescent="0.5">
      <c r="A371" s="5">
        <v>264</v>
      </c>
      <c r="B371" s="8">
        <v>1204700020003</v>
      </c>
      <c r="C371" s="7" t="s">
        <v>13</v>
      </c>
      <c r="D371" s="90" t="s">
        <v>258</v>
      </c>
      <c r="F371" s="110">
        <v>2006</v>
      </c>
      <c r="G371" s="7" t="s">
        <v>4</v>
      </c>
      <c r="H371" s="96" t="s">
        <v>10</v>
      </c>
      <c r="I371" s="8" t="s">
        <v>259</v>
      </c>
      <c r="J371" s="7" t="s">
        <v>0</v>
      </c>
      <c r="K371" s="7" t="s">
        <v>240</v>
      </c>
      <c r="L371" s="110" t="s">
        <v>1543</v>
      </c>
      <c r="M371" s="2" t="s">
        <v>1548</v>
      </c>
      <c r="N371" s="2" t="s">
        <v>1564</v>
      </c>
      <c r="O371" s="2" t="s">
        <v>2527</v>
      </c>
      <c r="P371" s="9" t="s">
        <v>2526</v>
      </c>
      <c r="Q371" s="2"/>
      <c r="R371" s="2"/>
      <c r="S371" s="2" t="s">
        <v>1543</v>
      </c>
      <c r="Z371" s="2"/>
    </row>
    <row r="372" spans="1:26" ht="30" hidden="1" customHeight="1" x14ac:dyDescent="0.5">
      <c r="A372" s="5">
        <v>230</v>
      </c>
      <c r="B372" s="8">
        <v>1204700020003</v>
      </c>
      <c r="C372" s="7" t="s">
        <v>13</v>
      </c>
      <c r="D372" s="7" t="s">
        <v>124</v>
      </c>
      <c r="F372" s="110">
        <v>2005</v>
      </c>
      <c r="G372" s="7" t="s">
        <v>4</v>
      </c>
      <c r="H372" s="96" t="s">
        <v>5</v>
      </c>
      <c r="I372" s="8" t="s">
        <v>125</v>
      </c>
      <c r="J372" s="7" t="s">
        <v>35</v>
      </c>
      <c r="K372" s="7" t="s">
        <v>118</v>
      </c>
      <c r="L372" s="110" t="s">
        <v>1493</v>
      </c>
      <c r="M372" s="11" t="s">
        <v>1912</v>
      </c>
      <c r="N372" s="2"/>
      <c r="O372" s="2"/>
      <c r="P372" s="2"/>
      <c r="Q372" s="2" t="s">
        <v>2198</v>
      </c>
      <c r="R372" s="2"/>
      <c r="S372" s="2" t="s">
        <v>1656</v>
      </c>
      <c r="U372" s="5" t="s">
        <v>1513</v>
      </c>
      <c r="Z372" s="2"/>
    </row>
    <row r="373" spans="1:26" ht="30" hidden="1" customHeight="1" x14ac:dyDescent="0.5">
      <c r="A373" s="5">
        <v>425</v>
      </c>
      <c r="B373" s="8">
        <v>1204700020003</v>
      </c>
      <c r="C373" s="7" t="s">
        <v>13</v>
      </c>
      <c r="D373" s="7" t="s">
        <v>875</v>
      </c>
      <c r="F373" s="110">
        <v>2005</v>
      </c>
      <c r="G373" s="7" t="s">
        <v>4</v>
      </c>
      <c r="H373" s="96" t="s">
        <v>10</v>
      </c>
      <c r="I373" s="8" t="s">
        <v>876</v>
      </c>
      <c r="J373" s="7" t="s">
        <v>35</v>
      </c>
      <c r="K373" s="7" t="s">
        <v>868</v>
      </c>
      <c r="L373" s="110" t="s">
        <v>1506</v>
      </c>
      <c r="M373" s="11" t="s">
        <v>1912</v>
      </c>
      <c r="N373" s="2"/>
      <c r="O373" s="2"/>
      <c r="P373" s="2"/>
      <c r="Q373" s="2" t="s">
        <v>2404</v>
      </c>
      <c r="R373" s="2" t="s">
        <v>2405</v>
      </c>
      <c r="S373" s="2" t="s">
        <v>1508</v>
      </c>
      <c r="Z373" s="2"/>
    </row>
    <row r="374" spans="1:26" ht="30" hidden="1" customHeight="1" x14ac:dyDescent="0.5">
      <c r="A374" s="5">
        <v>535</v>
      </c>
      <c r="B374" s="8">
        <v>1204700020003</v>
      </c>
      <c r="C374" s="7" t="s">
        <v>13</v>
      </c>
      <c r="D374" s="7" t="s">
        <v>1162</v>
      </c>
      <c r="F374" s="110">
        <v>2012</v>
      </c>
      <c r="G374" s="7" t="s">
        <v>19</v>
      </c>
      <c r="H374" s="96" t="s">
        <v>10</v>
      </c>
      <c r="I374" s="8" t="s">
        <v>1163</v>
      </c>
      <c r="J374" s="7" t="s">
        <v>945</v>
      </c>
      <c r="K374" s="7" t="s">
        <v>887</v>
      </c>
      <c r="L374" s="7" t="s">
        <v>1498</v>
      </c>
      <c r="M374" s="2" t="s">
        <v>2066</v>
      </c>
      <c r="N374" s="2"/>
      <c r="O374" s="2"/>
      <c r="P374" s="2"/>
      <c r="Q374" s="2"/>
      <c r="R374" s="10" t="s">
        <v>2324</v>
      </c>
      <c r="S374" s="2"/>
      <c r="Z374" s="2" t="s">
        <v>1502</v>
      </c>
    </row>
    <row r="375" spans="1:26" ht="30" hidden="1" customHeight="1" x14ac:dyDescent="0.5">
      <c r="A375" s="5">
        <v>544</v>
      </c>
      <c r="B375" s="8">
        <v>1204700020003</v>
      </c>
      <c r="C375" s="7" t="s">
        <v>13</v>
      </c>
      <c r="D375" s="7" t="s">
        <v>1181</v>
      </c>
      <c r="F375" s="110">
        <v>2010</v>
      </c>
      <c r="G375" s="7" t="s">
        <v>19</v>
      </c>
      <c r="H375" s="96" t="s">
        <v>10</v>
      </c>
      <c r="I375" s="8" t="s">
        <v>1182</v>
      </c>
      <c r="J375" s="7" t="s">
        <v>945</v>
      </c>
      <c r="K375" s="7" t="s">
        <v>153</v>
      </c>
      <c r="L375" s="7" t="s">
        <v>1537</v>
      </c>
      <c r="M375" s="2" t="s">
        <v>2066</v>
      </c>
      <c r="N375" s="2" t="s">
        <v>1571</v>
      </c>
      <c r="O375" s="2" t="s">
        <v>2493</v>
      </c>
      <c r="P375" s="9" t="s">
        <v>2492</v>
      </c>
      <c r="Q375" s="2" t="s">
        <v>2395</v>
      </c>
      <c r="R375" s="10" t="s">
        <v>2321</v>
      </c>
      <c r="S375" s="2" t="s">
        <v>2044</v>
      </c>
      <c r="Z375" s="2"/>
    </row>
    <row r="376" spans="1:26" ht="30" customHeight="1" x14ac:dyDescent="0.5">
      <c r="A376" s="116">
        <v>340</v>
      </c>
      <c r="B376" s="8">
        <v>1204700030001</v>
      </c>
      <c r="C376" s="7" t="s">
        <v>17</v>
      </c>
      <c r="D376" s="7" t="s">
        <v>532</v>
      </c>
      <c r="E376" s="105" t="s">
        <v>2215</v>
      </c>
      <c r="F376" s="110">
        <v>2008</v>
      </c>
      <c r="G376" s="7" t="s">
        <v>19</v>
      </c>
      <c r="H376" s="97" t="s">
        <v>20</v>
      </c>
      <c r="I376" s="101" t="s">
        <v>533</v>
      </c>
      <c r="J376" s="7" t="s">
        <v>263</v>
      </c>
      <c r="K376" s="7" t="s">
        <v>509</v>
      </c>
      <c r="L376" s="110" t="s">
        <v>1477</v>
      </c>
      <c r="M376" s="2" t="s">
        <v>1548</v>
      </c>
      <c r="N376" s="2" t="s">
        <v>1571</v>
      </c>
      <c r="O376" s="2" t="s">
        <v>1609</v>
      </c>
      <c r="P376" s="2" t="s">
        <v>2171</v>
      </c>
      <c r="Q376" s="2"/>
      <c r="R376" s="2" t="s">
        <v>2172</v>
      </c>
      <c r="S376" s="2" t="s">
        <v>1999</v>
      </c>
      <c r="Z376" s="2"/>
    </row>
    <row r="377" spans="1:26" ht="30" customHeight="1" x14ac:dyDescent="0.5">
      <c r="A377" s="5">
        <v>326</v>
      </c>
      <c r="B377" s="8">
        <v>1204700030001</v>
      </c>
      <c r="C377" s="7" t="s">
        <v>17</v>
      </c>
      <c r="D377" s="7" t="s">
        <v>483</v>
      </c>
      <c r="F377" s="110">
        <v>2009</v>
      </c>
      <c r="G377" s="7" t="s">
        <v>19</v>
      </c>
      <c r="H377" s="97" t="s">
        <v>384</v>
      </c>
      <c r="I377" s="101" t="s">
        <v>484</v>
      </c>
      <c r="J377" s="7" t="s">
        <v>263</v>
      </c>
      <c r="K377" s="7" t="s">
        <v>465</v>
      </c>
      <c r="L377" s="110" t="s">
        <v>1471</v>
      </c>
      <c r="M377" s="2" t="s">
        <v>1548</v>
      </c>
      <c r="N377" s="2" t="s">
        <v>1564</v>
      </c>
      <c r="O377" s="2" t="s">
        <v>1896</v>
      </c>
      <c r="P377" s="9" t="s">
        <v>2412</v>
      </c>
      <c r="Q377" s="2"/>
      <c r="R377" s="2"/>
      <c r="S377" s="2" t="s">
        <v>1994</v>
      </c>
      <c r="Z377" s="2"/>
    </row>
    <row r="378" spans="1:26" ht="30" customHeight="1" x14ac:dyDescent="0.5">
      <c r="A378" s="116">
        <v>24</v>
      </c>
      <c r="B378" s="8">
        <v>1204700030001</v>
      </c>
      <c r="C378" s="7" t="s">
        <v>17</v>
      </c>
      <c r="D378" s="7" t="s">
        <v>386</v>
      </c>
      <c r="E378" s="107" t="s">
        <v>2217</v>
      </c>
      <c r="F378" s="110">
        <v>2009</v>
      </c>
      <c r="G378" s="7" t="s">
        <v>19</v>
      </c>
      <c r="H378" s="97" t="s">
        <v>384</v>
      </c>
      <c r="I378" s="101" t="s">
        <v>387</v>
      </c>
      <c r="J378" s="7" t="s">
        <v>263</v>
      </c>
      <c r="K378" s="7" t="s">
        <v>270</v>
      </c>
      <c r="L378" s="110" t="s">
        <v>1544</v>
      </c>
      <c r="M378" s="2" t="s">
        <v>1548</v>
      </c>
      <c r="N378" s="2" t="s">
        <v>1571</v>
      </c>
      <c r="O378" s="2" t="s">
        <v>1878</v>
      </c>
      <c r="P378" s="2" t="s">
        <v>1879</v>
      </c>
      <c r="Q378" s="57"/>
      <c r="R378" s="2"/>
      <c r="S378" s="2" t="s">
        <v>2053</v>
      </c>
      <c r="X378" s="4" t="s">
        <v>1695</v>
      </c>
      <c r="Z378" s="2"/>
    </row>
    <row r="379" spans="1:26" ht="30" customHeight="1" x14ac:dyDescent="0.5">
      <c r="A379" s="5">
        <v>8</v>
      </c>
      <c r="B379" s="8">
        <v>1204700030001</v>
      </c>
      <c r="C379" s="7" t="s">
        <v>17</v>
      </c>
      <c r="D379" s="7" t="s">
        <v>616</v>
      </c>
      <c r="F379" s="110">
        <v>2010</v>
      </c>
      <c r="G379" s="7" t="s">
        <v>19</v>
      </c>
      <c r="H379" s="97" t="s">
        <v>384</v>
      </c>
      <c r="I379" s="101" t="s">
        <v>617</v>
      </c>
      <c r="J379" s="7" t="s">
        <v>263</v>
      </c>
      <c r="K379" s="7" t="s">
        <v>602</v>
      </c>
      <c r="L379" s="110" t="s">
        <v>1498</v>
      </c>
      <c r="M379" s="2" t="s">
        <v>1548</v>
      </c>
      <c r="N379" s="2" t="s">
        <v>1564</v>
      </c>
      <c r="O379" s="2" t="s">
        <v>2729</v>
      </c>
      <c r="P379" s="2" t="s">
        <v>2730</v>
      </c>
      <c r="Q379" s="2" t="s">
        <v>2170</v>
      </c>
      <c r="R379" s="2" t="s">
        <v>2731</v>
      </c>
      <c r="S379" s="2" t="s">
        <v>1716</v>
      </c>
      <c r="X379" s="4" t="s">
        <v>1679</v>
      </c>
      <c r="Z379" s="2"/>
    </row>
    <row r="380" spans="1:26" ht="30" hidden="1" customHeight="1" x14ac:dyDescent="0.5">
      <c r="A380" s="5">
        <v>398</v>
      </c>
      <c r="B380" s="8">
        <v>1204700030001</v>
      </c>
      <c r="C380" s="7" t="s">
        <v>17</v>
      </c>
      <c r="D380" s="7" t="s">
        <v>733</v>
      </c>
      <c r="E380" s="7" t="s">
        <v>2218</v>
      </c>
      <c r="F380" s="110">
        <v>2013</v>
      </c>
      <c r="G380" s="7" t="s">
        <v>19</v>
      </c>
      <c r="H380" s="97" t="s">
        <v>20</v>
      </c>
      <c r="I380" s="101" t="s">
        <v>734</v>
      </c>
      <c r="J380" s="7" t="s">
        <v>723</v>
      </c>
      <c r="K380" s="7" t="s">
        <v>724</v>
      </c>
      <c r="L380" s="110" t="s">
        <v>1557</v>
      </c>
      <c r="M380" s="11" t="s">
        <v>1912</v>
      </c>
      <c r="N380" s="2" t="s">
        <v>1571</v>
      </c>
      <c r="O380" s="2" t="s">
        <v>1609</v>
      </c>
      <c r="P380" s="2" t="s">
        <v>2122</v>
      </c>
      <c r="Q380" s="2" t="s">
        <v>2434</v>
      </c>
      <c r="R380" s="2" t="s">
        <v>2127</v>
      </c>
      <c r="S380" s="2" t="s">
        <v>1557</v>
      </c>
      <c r="Z380" s="7"/>
    </row>
    <row r="381" spans="1:26" ht="30" hidden="1" customHeight="1" x14ac:dyDescent="0.5">
      <c r="A381" s="5">
        <v>320</v>
      </c>
      <c r="B381" s="8">
        <v>1204700030001</v>
      </c>
      <c r="C381" s="7" t="s">
        <v>17</v>
      </c>
      <c r="D381" s="7" t="s">
        <v>463</v>
      </c>
      <c r="F381" s="110">
        <v>2010</v>
      </c>
      <c r="G381" s="7" t="s">
        <v>19</v>
      </c>
      <c r="H381" s="97" t="s">
        <v>384</v>
      </c>
      <c r="I381" s="101" t="s">
        <v>464</v>
      </c>
      <c r="J381" s="7" t="s">
        <v>263</v>
      </c>
      <c r="K381" s="7" t="s">
        <v>453</v>
      </c>
      <c r="L381" s="110" t="s">
        <v>1482</v>
      </c>
      <c r="M381" s="2" t="s">
        <v>2705</v>
      </c>
      <c r="N381" s="2"/>
      <c r="O381" s="2"/>
      <c r="P381" s="2"/>
      <c r="Q381" s="2"/>
      <c r="R381" s="2"/>
      <c r="S381" s="2"/>
      <c r="Z381" s="2" t="s">
        <v>1472</v>
      </c>
    </row>
    <row r="382" spans="1:26" ht="30" hidden="1" customHeight="1" x14ac:dyDescent="0.5">
      <c r="A382" s="5">
        <v>204</v>
      </c>
      <c r="B382" s="8">
        <v>1204700030001</v>
      </c>
      <c r="C382" s="7" t="s">
        <v>17</v>
      </c>
      <c r="D382" s="7" t="s">
        <v>18</v>
      </c>
      <c r="F382" s="110">
        <v>2013</v>
      </c>
      <c r="G382" s="7" t="s">
        <v>19</v>
      </c>
      <c r="H382" s="97" t="s">
        <v>20</v>
      </c>
      <c r="I382" s="101" t="s">
        <v>21</v>
      </c>
      <c r="J382" s="7" t="s">
        <v>0</v>
      </c>
      <c r="K382" s="7" t="s">
        <v>12</v>
      </c>
      <c r="L382" s="110" t="s">
        <v>1556</v>
      </c>
      <c r="M382" s="2" t="s">
        <v>2705</v>
      </c>
      <c r="N382" s="2"/>
      <c r="O382" s="2"/>
      <c r="P382" s="2"/>
      <c r="Q382" s="2"/>
      <c r="R382" s="2"/>
      <c r="S382" s="2"/>
      <c r="T382" s="4" t="s">
        <v>1559</v>
      </c>
      <c r="U382" s="5" t="s">
        <v>1475</v>
      </c>
      <c r="V382" s="4" t="s">
        <v>1568</v>
      </c>
      <c r="Z382" s="2"/>
    </row>
    <row r="383" spans="1:26" ht="30" hidden="1" customHeight="1" x14ac:dyDescent="0.5">
      <c r="A383" s="5">
        <v>298</v>
      </c>
      <c r="B383" s="8">
        <v>1204700030001</v>
      </c>
      <c r="C383" s="7" t="s">
        <v>17</v>
      </c>
      <c r="D383" s="7" t="s">
        <v>383</v>
      </c>
      <c r="F383" s="110">
        <v>2008</v>
      </c>
      <c r="G383" s="7" t="s">
        <v>19</v>
      </c>
      <c r="H383" s="97" t="s">
        <v>384</v>
      </c>
      <c r="I383" s="101" t="s">
        <v>385</v>
      </c>
      <c r="J383" s="7" t="s">
        <v>263</v>
      </c>
      <c r="K383" s="7" t="s">
        <v>270</v>
      </c>
      <c r="L383" s="110" t="s">
        <v>1544</v>
      </c>
      <c r="M383" s="11" t="s">
        <v>2098</v>
      </c>
      <c r="N383" s="2"/>
      <c r="O383" s="2"/>
      <c r="P383" s="2"/>
      <c r="Q383" s="2" t="s">
        <v>2116</v>
      </c>
      <c r="R383" s="2"/>
      <c r="S383" s="2" t="s">
        <v>1544</v>
      </c>
      <c r="Z383" s="2" t="s">
        <v>1995</v>
      </c>
    </row>
    <row r="384" spans="1:26" ht="30" hidden="1" customHeight="1" x14ac:dyDescent="0.5">
      <c r="A384" s="5">
        <v>383</v>
      </c>
      <c r="B384" s="8">
        <v>1204700030001</v>
      </c>
      <c r="C384" s="7" t="s">
        <v>17</v>
      </c>
      <c r="D384" s="7" t="s">
        <v>693</v>
      </c>
      <c r="F384" s="110">
        <v>2008</v>
      </c>
      <c r="G384" s="7" t="s">
        <v>19</v>
      </c>
      <c r="H384" s="97" t="s">
        <v>384</v>
      </c>
      <c r="I384" s="101" t="s">
        <v>694</v>
      </c>
      <c r="J384" s="7" t="s">
        <v>263</v>
      </c>
      <c r="K384" s="7" t="s">
        <v>632</v>
      </c>
      <c r="L384" s="110" t="s">
        <v>1544</v>
      </c>
      <c r="M384" s="2" t="s">
        <v>2705</v>
      </c>
      <c r="N384" s="2"/>
      <c r="O384" s="2"/>
      <c r="P384" s="2"/>
      <c r="Q384" s="2"/>
      <c r="R384" s="2"/>
      <c r="S384" s="2"/>
      <c r="Y384" s="4" t="s">
        <v>1910</v>
      </c>
      <c r="Z384" s="2" t="s">
        <v>1512</v>
      </c>
    </row>
    <row r="385" spans="1:26" ht="30" hidden="1" customHeight="1" x14ac:dyDescent="0.5">
      <c r="A385" s="5">
        <v>384</v>
      </c>
      <c r="B385" s="8">
        <v>1204700030001</v>
      </c>
      <c r="C385" s="7" t="s">
        <v>17</v>
      </c>
      <c r="D385" s="7" t="s">
        <v>695</v>
      </c>
      <c r="F385" s="110">
        <v>2009</v>
      </c>
      <c r="G385" s="7" t="s">
        <v>19</v>
      </c>
      <c r="H385" s="97" t="s">
        <v>384</v>
      </c>
      <c r="I385" s="101" t="s">
        <v>696</v>
      </c>
      <c r="J385" s="7" t="s">
        <v>263</v>
      </c>
      <c r="K385" s="7" t="s">
        <v>632</v>
      </c>
      <c r="L385" s="110" t="s">
        <v>1498</v>
      </c>
      <c r="M385" s="11" t="s">
        <v>1912</v>
      </c>
      <c r="N385" s="2"/>
      <c r="O385" s="2"/>
      <c r="P385" s="2"/>
      <c r="Q385" s="2" t="s">
        <v>2169</v>
      </c>
      <c r="R385" s="2"/>
      <c r="S385" s="2" t="s">
        <v>1544</v>
      </c>
      <c r="Z385" s="2"/>
    </row>
    <row r="386" spans="1:26" ht="30" customHeight="1" x14ac:dyDescent="0.5">
      <c r="A386" s="5">
        <v>558</v>
      </c>
      <c r="B386" s="8">
        <v>1204700030002</v>
      </c>
      <c r="C386" s="7" t="s">
        <v>1223</v>
      </c>
      <c r="D386" s="7" t="s">
        <v>1461</v>
      </c>
      <c r="F386" s="110">
        <v>2002</v>
      </c>
      <c r="G386" s="7" t="s">
        <v>393</v>
      </c>
      <c r="H386" s="97" t="s">
        <v>10</v>
      </c>
      <c r="I386" s="101" t="s">
        <v>1224</v>
      </c>
      <c r="J386" s="7" t="s">
        <v>263</v>
      </c>
      <c r="K386" s="7" t="s">
        <v>1219</v>
      </c>
      <c r="L386" s="110" t="s">
        <v>1525</v>
      </c>
      <c r="M386" s="2" t="s">
        <v>1548</v>
      </c>
      <c r="N386" s="2" t="s">
        <v>1571</v>
      </c>
      <c r="O386" s="2" t="s">
        <v>2302</v>
      </c>
      <c r="P386" s="2" t="s">
        <v>2303</v>
      </c>
      <c r="Q386" s="57"/>
      <c r="R386" s="2" t="s">
        <v>2304</v>
      </c>
      <c r="S386" s="2" t="s">
        <v>1525</v>
      </c>
      <c r="Z386" s="2"/>
    </row>
    <row r="387" spans="1:26" ht="30" hidden="1" customHeight="1" x14ac:dyDescent="0.5">
      <c r="A387" s="5">
        <v>122</v>
      </c>
      <c r="B387" s="8">
        <v>1204700030002</v>
      </c>
      <c r="C387" s="7" t="s">
        <v>1223</v>
      </c>
      <c r="D387" s="7" t="s">
        <v>1403</v>
      </c>
      <c r="F387" s="110">
        <v>2002</v>
      </c>
      <c r="G387" s="7" t="s">
        <v>19</v>
      </c>
      <c r="H387" s="97" t="s">
        <v>384</v>
      </c>
      <c r="I387" s="101" t="s">
        <v>1404</v>
      </c>
      <c r="J387" s="7" t="s">
        <v>263</v>
      </c>
      <c r="K387" s="9" t="s">
        <v>1225</v>
      </c>
      <c r="L387" s="110" t="s">
        <v>1544</v>
      </c>
      <c r="M387" s="9" t="s">
        <v>1552</v>
      </c>
      <c r="N387" s="2" t="s">
        <v>1564</v>
      </c>
      <c r="O387" s="2" t="s">
        <v>1639</v>
      </c>
      <c r="P387" s="2" t="s">
        <v>1881</v>
      </c>
      <c r="Q387" s="2"/>
      <c r="R387" s="2" t="s">
        <v>2300</v>
      </c>
      <c r="S387" s="2" t="s">
        <v>1544</v>
      </c>
      <c r="X387" s="5" t="s">
        <v>1526</v>
      </c>
      <c r="Z387" s="2" t="s">
        <v>1525</v>
      </c>
    </row>
    <row r="388" spans="1:26" ht="30" hidden="1" customHeight="1" x14ac:dyDescent="0.5">
      <c r="A388" s="5">
        <v>630</v>
      </c>
      <c r="B388" s="8">
        <v>1204700030002</v>
      </c>
      <c r="C388" s="7" t="s">
        <v>1223</v>
      </c>
      <c r="D388" s="7" t="s">
        <v>1401</v>
      </c>
      <c r="F388" s="110">
        <v>2003</v>
      </c>
      <c r="G388" s="7" t="s">
        <v>19</v>
      </c>
      <c r="H388" s="97" t="s">
        <v>384</v>
      </c>
      <c r="I388" s="101" t="s">
        <v>1402</v>
      </c>
      <c r="J388" s="7" t="s">
        <v>263</v>
      </c>
      <c r="K388" s="7" t="s">
        <v>1225</v>
      </c>
      <c r="L388" s="110" t="s">
        <v>1544</v>
      </c>
      <c r="M388" s="2" t="s">
        <v>2705</v>
      </c>
      <c r="N388" s="2"/>
      <c r="O388" s="2"/>
      <c r="P388" s="2"/>
      <c r="Q388" s="2"/>
      <c r="R388" s="2"/>
      <c r="S388" s="2"/>
      <c r="Z388" s="2"/>
    </row>
    <row r="389" spans="1:26" ht="30" hidden="1" customHeight="1" x14ac:dyDescent="0.5">
      <c r="A389" s="5">
        <v>556</v>
      </c>
      <c r="B389" s="8">
        <v>1206700030002</v>
      </c>
      <c r="C389" s="7" t="s">
        <v>1216</v>
      </c>
      <c r="D389" s="7" t="s">
        <v>1217</v>
      </c>
      <c r="E389" s="7" t="s">
        <v>2215</v>
      </c>
      <c r="F389" s="7">
        <v>2002</v>
      </c>
      <c r="G389" s="7" t="s">
        <v>4</v>
      </c>
      <c r="H389" s="97" t="s">
        <v>739</v>
      </c>
      <c r="I389" s="101" t="s">
        <v>1218</v>
      </c>
      <c r="J389" s="7" t="s">
        <v>35</v>
      </c>
      <c r="K389" s="7" t="s">
        <v>1199</v>
      </c>
      <c r="L389" s="2" t="s">
        <v>1544</v>
      </c>
      <c r="M389" s="11" t="s">
        <v>2098</v>
      </c>
      <c r="N389" s="2"/>
      <c r="O389" s="2"/>
      <c r="P389" s="2"/>
      <c r="Q389" s="2" t="s">
        <v>2385</v>
      </c>
      <c r="R389" s="2" t="s">
        <v>2364</v>
      </c>
      <c r="S389" s="2" t="s">
        <v>1544</v>
      </c>
      <c r="Z389" s="7"/>
    </row>
    <row r="390" spans="1:26" ht="30" hidden="1" customHeight="1" x14ac:dyDescent="0.5">
      <c r="A390" s="5">
        <v>400</v>
      </c>
      <c r="B390" s="8">
        <v>1206700010008</v>
      </c>
      <c r="C390" s="7" t="s">
        <v>737</v>
      </c>
      <c r="D390" s="7" t="s">
        <v>738</v>
      </c>
      <c r="F390" s="7">
        <v>2015</v>
      </c>
      <c r="G390" s="7" t="s">
        <v>433</v>
      </c>
      <c r="H390" s="97" t="s">
        <v>739</v>
      </c>
      <c r="I390" s="101" t="s">
        <v>740</v>
      </c>
      <c r="J390" s="7" t="s">
        <v>723</v>
      </c>
      <c r="K390" s="7" t="s">
        <v>724</v>
      </c>
      <c r="L390" s="2" t="s">
        <v>1557</v>
      </c>
      <c r="M390" s="2" t="s">
        <v>2705</v>
      </c>
      <c r="N390" s="2"/>
      <c r="O390" s="2"/>
      <c r="P390" s="2"/>
      <c r="Q390" s="2"/>
      <c r="R390" s="2"/>
      <c r="S390" s="2"/>
      <c r="Z390" s="2"/>
    </row>
    <row r="391" spans="1:26" ht="30" hidden="1" customHeight="1" x14ac:dyDescent="0.5">
      <c r="A391" s="5">
        <v>211</v>
      </c>
      <c r="B391" s="74">
        <v>1105700150011</v>
      </c>
      <c r="C391" s="7" t="s">
        <v>44</v>
      </c>
      <c r="D391" s="7" t="s">
        <v>45</v>
      </c>
      <c r="F391" s="7">
        <v>2014</v>
      </c>
      <c r="G391" s="7" t="s">
        <v>19</v>
      </c>
      <c r="H391" s="97" t="s">
        <v>42</v>
      </c>
      <c r="I391" s="101" t="s">
        <v>46</v>
      </c>
      <c r="J391" s="111" t="s">
        <v>35</v>
      </c>
      <c r="K391" s="7" t="s">
        <v>39</v>
      </c>
      <c r="L391" s="2" t="s">
        <v>1506</v>
      </c>
      <c r="M391" s="11" t="s">
        <v>1912</v>
      </c>
      <c r="N391" s="2" t="s">
        <v>1571</v>
      </c>
      <c r="O391" s="2" t="s">
        <v>2584</v>
      </c>
      <c r="P391" s="2" t="s">
        <v>1898</v>
      </c>
      <c r="Q391" s="2" t="s">
        <v>2639</v>
      </c>
      <c r="R391" s="2" t="s">
        <v>2585</v>
      </c>
      <c r="S391" s="2" t="s">
        <v>1506</v>
      </c>
      <c r="U391" s="5" t="s">
        <v>1482</v>
      </c>
      <c r="Z391" s="2"/>
    </row>
    <row r="392" spans="1:26" ht="30" hidden="1" customHeight="1" x14ac:dyDescent="0.5">
      <c r="A392" s="5">
        <v>634</v>
      </c>
      <c r="B392" s="8">
        <v>1207700040004</v>
      </c>
      <c r="C392" s="7" t="s">
        <v>2467</v>
      </c>
      <c r="D392" s="7" t="s">
        <v>1411</v>
      </c>
      <c r="E392" s="7" t="s">
        <v>2213</v>
      </c>
      <c r="F392" s="7">
        <v>2018</v>
      </c>
      <c r="G392" s="7" t="s">
        <v>19</v>
      </c>
      <c r="H392" s="7" t="s">
        <v>397</v>
      </c>
      <c r="I392" s="8" t="s">
        <v>1412</v>
      </c>
      <c r="J392" s="7" t="s">
        <v>263</v>
      </c>
      <c r="K392" s="7" t="s">
        <v>1225</v>
      </c>
      <c r="L392" s="2" t="s">
        <v>1498</v>
      </c>
      <c r="M392" s="11" t="s">
        <v>1912</v>
      </c>
      <c r="N392" s="2"/>
      <c r="O392" s="2"/>
      <c r="P392" s="2"/>
      <c r="Q392" s="2" t="s">
        <v>2245</v>
      </c>
      <c r="R392" s="2"/>
      <c r="S392" s="2" t="s">
        <v>1716</v>
      </c>
      <c r="Z392" s="7"/>
    </row>
    <row r="393" spans="1:26" ht="30" hidden="1" customHeight="1" x14ac:dyDescent="0.5">
      <c r="A393" s="5">
        <v>302</v>
      </c>
      <c r="B393" s="8">
        <v>1207700040004</v>
      </c>
      <c r="C393" s="7" t="s">
        <v>2467</v>
      </c>
      <c r="D393" s="7" t="s">
        <v>396</v>
      </c>
      <c r="F393" s="7">
        <v>2018</v>
      </c>
      <c r="G393" s="7" t="s">
        <v>19</v>
      </c>
      <c r="H393" s="7" t="s">
        <v>397</v>
      </c>
      <c r="I393" s="8" t="s">
        <v>398</v>
      </c>
      <c r="J393" s="7" t="s">
        <v>263</v>
      </c>
      <c r="K393" s="7" t="s">
        <v>270</v>
      </c>
      <c r="L393" s="2" t="s">
        <v>1544</v>
      </c>
      <c r="M393" s="2" t="s">
        <v>2705</v>
      </c>
      <c r="N393" s="2"/>
      <c r="O393" s="2"/>
      <c r="P393" s="2"/>
      <c r="Q393" s="2"/>
      <c r="R393" s="2"/>
      <c r="S393" s="2"/>
      <c r="Z393" s="2"/>
    </row>
    <row r="394" spans="1:26" ht="30" hidden="1" customHeight="1" x14ac:dyDescent="0.5">
      <c r="A394" s="5">
        <v>389</v>
      </c>
      <c r="B394" s="8">
        <v>1207700040004</v>
      </c>
      <c r="C394" s="7" t="s">
        <v>2467</v>
      </c>
      <c r="D394" s="7" t="s">
        <v>707</v>
      </c>
      <c r="F394" s="7">
        <v>2018</v>
      </c>
      <c r="G394" s="7" t="s">
        <v>19</v>
      </c>
      <c r="H394" s="7" t="s">
        <v>397</v>
      </c>
      <c r="I394" s="8" t="s">
        <v>708</v>
      </c>
      <c r="J394" s="7" t="s">
        <v>263</v>
      </c>
      <c r="K394" s="7" t="s">
        <v>632</v>
      </c>
      <c r="L394" s="2" t="s">
        <v>1493</v>
      </c>
      <c r="M394" s="2" t="s">
        <v>2705</v>
      </c>
      <c r="N394" s="2"/>
      <c r="O394" s="2"/>
      <c r="P394" s="2"/>
      <c r="Q394" s="2"/>
      <c r="R394" s="2"/>
      <c r="S394" s="2"/>
      <c r="Z394" s="2"/>
    </row>
    <row r="395" spans="1:26" ht="30" hidden="1" customHeight="1" x14ac:dyDescent="0.5">
      <c r="A395" s="5">
        <v>635</v>
      </c>
      <c r="B395" s="8">
        <v>1207700040004</v>
      </c>
      <c r="C395" s="7" t="s">
        <v>2467</v>
      </c>
      <c r="D395" s="7" t="s">
        <v>1413</v>
      </c>
      <c r="F395" s="7">
        <v>2018</v>
      </c>
      <c r="G395" s="7" t="s">
        <v>19</v>
      </c>
      <c r="H395" s="7" t="s">
        <v>397</v>
      </c>
      <c r="I395" s="8" t="s">
        <v>1414</v>
      </c>
      <c r="J395" s="7" t="s">
        <v>263</v>
      </c>
      <c r="K395" s="7" t="s">
        <v>1225</v>
      </c>
      <c r="L395" s="2" t="s">
        <v>1477</v>
      </c>
      <c r="M395" s="2" t="s">
        <v>2705</v>
      </c>
      <c r="N395" s="2"/>
      <c r="O395" s="2"/>
      <c r="P395" s="2"/>
      <c r="Q395" s="2"/>
      <c r="R395" s="2"/>
      <c r="S395" s="2"/>
      <c r="Z395" s="2"/>
    </row>
    <row r="396" spans="1:26" ht="30" hidden="1" customHeight="1" x14ac:dyDescent="0.5">
      <c r="A396" s="5">
        <v>303</v>
      </c>
      <c r="B396" s="8">
        <v>1207700040008</v>
      </c>
      <c r="C396" s="7" t="s">
        <v>399</v>
      </c>
      <c r="D396" s="7" t="s">
        <v>400</v>
      </c>
      <c r="F396" s="7">
        <v>2015</v>
      </c>
      <c r="G396" s="7" t="s">
        <v>19</v>
      </c>
      <c r="H396" s="97" t="s">
        <v>42</v>
      </c>
      <c r="I396" s="101" t="s">
        <v>401</v>
      </c>
      <c r="J396" s="7" t="s">
        <v>263</v>
      </c>
      <c r="K396" s="7" t="s">
        <v>270</v>
      </c>
      <c r="L396" s="2" t="s">
        <v>1544</v>
      </c>
      <c r="M396" s="2" t="s">
        <v>2705</v>
      </c>
      <c r="N396" s="2"/>
      <c r="O396" s="2"/>
      <c r="P396" s="2"/>
      <c r="Q396" s="2"/>
      <c r="R396" s="2"/>
      <c r="S396" s="2"/>
      <c r="Z396" s="2"/>
    </row>
    <row r="397" spans="1:26" ht="30" customHeight="1" x14ac:dyDescent="0.5">
      <c r="A397" s="116">
        <v>45</v>
      </c>
      <c r="B397" s="8">
        <v>1207700040006</v>
      </c>
      <c r="C397" s="7" t="s">
        <v>709</v>
      </c>
      <c r="D397" s="7" t="s">
        <v>710</v>
      </c>
      <c r="E397" s="105" t="s">
        <v>2215</v>
      </c>
      <c r="F397" s="7">
        <v>2013</v>
      </c>
      <c r="G397" s="7" t="s">
        <v>19</v>
      </c>
      <c r="H397" s="97" t="s">
        <v>397</v>
      </c>
      <c r="I397" s="101" t="s">
        <v>711</v>
      </c>
      <c r="J397" s="7" t="s">
        <v>263</v>
      </c>
      <c r="K397" s="7" t="s">
        <v>632</v>
      </c>
      <c r="L397" s="2" t="s">
        <v>1544</v>
      </c>
      <c r="M397" s="2" t="s">
        <v>1548</v>
      </c>
      <c r="N397" s="2" t="s">
        <v>1564</v>
      </c>
      <c r="O397" s="2" t="s">
        <v>2519</v>
      </c>
      <c r="P397" s="123" t="s">
        <v>2517</v>
      </c>
      <c r="Q397" s="2" t="s">
        <v>2434</v>
      </c>
      <c r="R397" s="2" t="s">
        <v>2520</v>
      </c>
      <c r="S397" s="2" t="s">
        <v>2053</v>
      </c>
      <c r="X397" s="4" t="s">
        <v>1714</v>
      </c>
      <c r="Z397" s="2"/>
    </row>
    <row r="398" spans="1:26" ht="30" hidden="1" customHeight="1" x14ac:dyDescent="0.5">
      <c r="A398" s="5">
        <v>633</v>
      </c>
      <c r="B398" s="8">
        <v>1207700040001</v>
      </c>
      <c r="C398" s="7" t="s">
        <v>1409</v>
      </c>
      <c r="D398" s="7" t="s">
        <v>1410</v>
      </c>
      <c r="F398" s="7">
        <v>1981</v>
      </c>
      <c r="G398" s="7" t="s">
        <v>19</v>
      </c>
      <c r="H398" s="97" t="s">
        <v>397</v>
      </c>
      <c r="I398" s="101">
        <v>34301454800927</v>
      </c>
      <c r="J398" s="7" t="s">
        <v>263</v>
      </c>
      <c r="K398" s="9" t="s">
        <v>1225</v>
      </c>
      <c r="L398" s="2" t="s">
        <v>1544</v>
      </c>
      <c r="M398" s="9" t="s">
        <v>1552</v>
      </c>
      <c r="N398" s="2" t="s">
        <v>1571</v>
      </c>
      <c r="O398" s="2" t="s">
        <v>1609</v>
      </c>
      <c r="P398" s="2"/>
      <c r="Q398" s="2"/>
      <c r="R398" s="2"/>
      <c r="S398" s="2" t="s">
        <v>1544</v>
      </c>
      <c r="Z398" s="2"/>
    </row>
    <row r="399" spans="1:26" ht="30" customHeight="1" x14ac:dyDescent="0.5">
      <c r="A399" s="5">
        <v>188</v>
      </c>
      <c r="B399" s="74">
        <v>1105700010001</v>
      </c>
      <c r="C399" s="83" t="s">
        <v>290</v>
      </c>
      <c r="D399" s="7" t="s">
        <v>514</v>
      </c>
      <c r="F399" s="7">
        <v>2006</v>
      </c>
      <c r="G399" s="7" t="s">
        <v>19</v>
      </c>
      <c r="H399" s="7" t="s">
        <v>42</v>
      </c>
      <c r="I399" s="8" t="s">
        <v>515</v>
      </c>
      <c r="J399" s="7" t="s">
        <v>263</v>
      </c>
      <c r="K399" s="7" t="s">
        <v>509</v>
      </c>
      <c r="L399" s="2" t="s">
        <v>1477</v>
      </c>
      <c r="M399" s="2" t="s">
        <v>1548</v>
      </c>
      <c r="N399" s="2" t="s">
        <v>1564</v>
      </c>
      <c r="O399" s="2" t="s">
        <v>2671</v>
      </c>
      <c r="P399" s="2" t="s">
        <v>2670</v>
      </c>
      <c r="Q399" s="2" t="s">
        <v>2474</v>
      </c>
      <c r="R399" s="2" t="s">
        <v>2669</v>
      </c>
      <c r="S399" s="2" t="s">
        <v>1689</v>
      </c>
      <c r="Z399" s="2"/>
    </row>
    <row r="400" spans="1:26" ht="30" hidden="1" customHeight="1" x14ac:dyDescent="0.5">
      <c r="A400" s="5">
        <v>41</v>
      </c>
      <c r="B400" s="74">
        <v>1105700010001</v>
      </c>
      <c r="C400" s="83" t="s">
        <v>290</v>
      </c>
      <c r="D400" s="57" t="s">
        <v>648</v>
      </c>
      <c r="F400" s="57">
        <v>2006</v>
      </c>
      <c r="G400" s="57" t="s">
        <v>19</v>
      </c>
      <c r="H400" s="57" t="s">
        <v>355</v>
      </c>
      <c r="I400" s="58" t="s">
        <v>649</v>
      </c>
      <c r="J400" s="111" t="s">
        <v>263</v>
      </c>
      <c r="K400" s="57" t="s">
        <v>632</v>
      </c>
      <c r="L400" s="57" t="s">
        <v>1544</v>
      </c>
      <c r="M400" s="11" t="s">
        <v>1912</v>
      </c>
      <c r="N400" s="57" t="s">
        <v>1571</v>
      </c>
      <c r="O400" s="57" t="s">
        <v>2173</v>
      </c>
      <c r="P400" s="2" t="s">
        <v>2593</v>
      </c>
      <c r="Q400" s="57" t="s">
        <v>2635</v>
      </c>
      <c r="R400" s="57" t="s">
        <v>2161</v>
      </c>
      <c r="S400" s="57" t="s">
        <v>1518</v>
      </c>
      <c r="T400" s="55"/>
      <c r="U400" s="56"/>
      <c r="V400" s="55"/>
      <c r="W400" s="55"/>
      <c r="X400" s="55" t="s">
        <v>1670</v>
      </c>
      <c r="Y400" s="55"/>
      <c r="Z400" s="2"/>
    </row>
    <row r="401" spans="1:26" ht="30" hidden="1" customHeight="1" x14ac:dyDescent="0.5">
      <c r="A401" s="5">
        <v>275</v>
      </c>
      <c r="B401" s="74">
        <v>1105700010001</v>
      </c>
      <c r="C401" s="83" t="s">
        <v>290</v>
      </c>
      <c r="D401" s="7" t="s">
        <v>291</v>
      </c>
      <c r="E401" s="7" t="s">
        <v>2213</v>
      </c>
      <c r="F401" s="7">
        <v>2006</v>
      </c>
      <c r="G401" s="7" t="s">
        <v>19</v>
      </c>
      <c r="H401" s="7" t="s">
        <v>42</v>
      </c>
      <c r="I401" s="8" t="s">
        <v>292</v>
      </c>
      <c r="J401" s="7" t="s">
        <v>263</v>
      </c>
      <c r="K401" s="7" t="s">
        <v>270</v>
      </c>
      <c r="L401" s="2" t="s">
        <v>1518</v>
      </c>
      <c r="M401" s="2" t="s">
        <v>2066</v>
      </c>
      <c r="N401" s="2"/>
      <c r="O401" s="2" t="s">
        <v>2687</v>
      </c>
      <c r="P401" s="2" t="s">
        <v>2688</v>
      </c>
      <c r="Q401" s="2" t="s">
        <v>2235</v>
      </c>
      <c r="R401" s="2" t="s">
        <v>2690</v>
      </c>
      <c r="S401" s="2" t="s">
        <v>2053</v>
      </c>
      <c r="Z401" s="7"/>
    </row>
    <row r="402" spans="1:26" ht="30" hidden="1" customHeight="1" x14ac:dyDescent="0.5">
      <c r="A402" s="5">
        <v>168</v>
      </c>
      <c r="B402" s="74">
        <v>1105700010001</v>
      </c>
      <c r="C402" s="83" t="s">
        <v>2153</v>
      </c>
      <c r="D402" s="7" t="s">
        <v>1296</v>
      </c>
      <c r="F402" s="7">
        <v>1998</v>
      </c>
      <c r="G402" s="7" t="s">
        <v>19</v>
      </c>
      <c r="H402" s="7" t="s">
        <v>42</v>
      </c>
      <c r="I402" s="8" t="s">
        <v>1297</v>
      </c>
      <c r="J402" s="7" t="s">
        <v>263</v>
      </c>
      <c r="K402" s="9" t="s">
        <v>1225</v>
      </c>
      <c r="L402" s="2" t="s">
        <v>1544</v>
      </c>
      <c r="M402" s="9" t="s">
        <v>1552</v>
      </c>
      <c r="N402" s="2" t="s">
        <v>1571</v>
      </c>
      <c r="O402" s="2" t="s">
        <v>1609</v>
      </c>
      <c r="P402" s="2" t="s">
        <v>1975</v>
      </c>
      <c r="Q402" s="2"/>
      <c r="R402" s="2" t="s">
        <v>2152</v>
      </c>
      <c r="S402" s="2" t="s">
        <v>1544</v>
      </c>
      <c r="Z402" s="2"/>
    </row>
    <row r="403" spans="1:26" ht="30" hidden="1" customHeight="1" x14ac:dyDescent="0.5">
      <c r="A403" s="5">
        <v>345</v>
      </c>
      <c r="B403" s="74">
        <v>1105700010006</v>
      </c>
      <c r="C403" s="83" t="s">
        <v>454</v>
      </c>
      <c r="D403" s="7" t="s">
        <v>555</v>
      </c>
      <c r="F403" s="7">
        <v>2012</v>
      </c>
      <c r="G403" s="7" t="s">
        <v>19</v>
      </c>
      <c r="H403" s="7" t="s">
        <v>42</v>
      </c>
      <c r="I403" s="8" t="s">
        <v>556</v>
      </c>
      <c r="J403" s="7" t="s">
        <v>263</v>
      </c>
      <c r="K403" s="7" t="s">
        <v>552</v>
      </c>
      <c r="L403" s="2"/>
      <c r="M403" s="2" t="s">
        <v>2705</v>
      </c>
      <c r="N403" s="2"/>
      <c r="O403" s="2"/>
      <c r="P403" s="2"/>
      <c r="Q403" s="2"/>
      <c r="R403" s="2"/>
      <c r="S403" s="2"/>
      <c r="Z403" s="2"/>
    </row>
    <row r="404" spans="1:26" ht="30" hidden="1" customHeight="1" x14ac:dyDescent="0.5">
      <c r="A404" s="5">
        <v>127</v>
      </c>
      <c r="B404" s="74">
        <v>1105700010006</v>
      </c>
      <c r="C404" s="84" t="s">
        <v>454</v>
      </c>
      <c r="D404" s="72" t="s">
        <v>537</v>
      </c>
      <c r="E404" s="106"/>
      <c r="F404" s="72">
        <v>2012</v>
      </c>
      <c r="G404" s="72" t="s">
        <v>19</v>
      </c>
      <c r="H404" s="72" t="s">
        <v>42</v>
      </c>
      <c r="I404" s="73" t="s">
        <v>538</v>
      </c>
      <c r="J404" s="72" t="s">
        <v>263</v>
      </c>
      <c r="K404" s="114" t="s">
        <v>534</v>
      </c>
      <c r="L404" s="2" t="s">
        <v>1663</v>
      </c>
      <c r="M404" s="9" t="s">
        <v>1552</v>
      </c>
      <c r="N404" s="2" t="s">
        <v>1559</v>
      </c>
      <c r="O404" s="2" t="s">
        <v>1559</v>
      </c>
      <c r="P404" s="2" t="s">
        <v>1950</v>
      </c>
      <c r="Q404" s="2"/>
      <c r="R404" s="9" t="s">
        <v>2089</v>
      </c>
      <c r="S404" s="2" t="s">
        <v>1710</v>
      </c>
      <c r="X404" s="5" t="s">
        <v>1531</v>
      </c>
      <c r="Z404" s="2"/>
    </row>
    <row r="405" spans="1:26" ht="30" hidden="1" customHeight="1" x14ac:dyDescent="0.5">
      <c r="A405" s="5">
        <v>322</v>
      </c>
      <c r="B405" s="74">
        <v>1105700010004</v>
      </c>
      <c r="C405" s="83" t="s">
        <v>454</v>
      </c>
      <c r="D405" s="7" t="s">
        <v>469</v>
      </c>
      <c r="F405" s="7">
        <v>2015</v>
      </c>
      <c r="G405" s="7" t="s">
        <v>19</v>
      </c>
      <c r="H405" s="7" t="s">
        <v>42</v>
      </c>
      <c r="I405" s="8" t="s">
        <v>470</v>
      </c>
      <c r="J405" s="7" t="s">
        <v>263</v>
      </c>
      <c r="K405" s="7" t="s">
        <v>465</v>
      </c>
      <c r="L405" s="2" t="s">
        <v>1487</v>
      </c>
      <c r="M405" s="11" t="s">
        <v>1912</v>
      </c>
      <c r="N405" s="2" t="s">
        <v>1565</v>
      </c>
      <c r="O405" s="2" t="s">
        <v>2429</v>
      </c>
      <c r="P405" s="2" t="s">
        <v>2430</v>
      </c>
      <c r="Q405" s="2" t="s">
        <v>2433</v>
      </c>
      <c r="R405" s="2" t="s">
        <v>2335</v>
      </c>
      <c r="S405" s="2" t="s">
        <v>2039</v>
      </c>
      <c r="Z405" s="2"/>
    </row>
    <row r="406" spans="1:26" ht="30" customHeight="1" x14ac:dyDescent="0.5">
      <c r="A406" s="5">
        <v>355</v>
      </c>
      <c r="B406" s="74">
        <v>1105700010004</v>
      </c>
      <c r="C406" s="83" t="s">
        <v>454</v>
      </c>
      <c r="D406" s="7" t="s">
        <v>587</v>
      </c>
      <c r="F406" s="7">
        <v>2015</v>
      </c>
      <c r="G406" s="7" t="s">
        <v>19</v>
      </c>
      <c r="H406" s="7" t="s">
        <v>42</v>
      </c>
      <c r="I406" s="8" t="s">
        <v>588</v>
      </c>
      <c r="J406" s="111" t="s">
        <v>263</v>
      </c>
      <c r="K406" s="7" t="s">
        <v>583</v>
      </c>
      <c r="L406" s="2" t="s">
        <v>1518</v>
      </c>
      <c r="M406" s="2" t="s">
        <v>1548</v>
      </c>
      <c r="N406" s="2" t="s">
        <v>1569</v>
      </c>
      <c r="O406" s="2" t="s">
        <v>2673</v>
      </c>
      <c r="P406" s="2" t="s">
        <v>2672</v>
      </c>
      <c r="Q406" s="2" t="s">
        <v>2508</v>
      </c>
      <c r="R406" s="2" t="s">
        <v>2509</v>
      </c>
      <c r="S406" s="2" t="s">
        <v>1987</v>
      </c>
      <c r="Z406" s="2"/>
    </row>
    <row r="407" spans="1:26" ht="30" hidden="1" customHeight="1" x14ac:dyDescent="0.5">
      <c r="A407" s="5">
        <v>311</v>
      </c>
      <c r="B407" s="74">
        <v>1105700010004</v>
      </c>
      <c r="C407" s="83" t="s">
        <v>454</v>
      </c>
      <c r="D407" s="7" t="s">
        <v>436</v>
      </c>
      <c r="F407" s="7">
        <v>2015</v>
      </c>
      <c r="G407" s="7" t="s">
        <v>19</v>
      </c>
      <c r="H407" s="7" t="s">
        <v>42</v>
      </c>
      <c r="I407" s="8" t="s">
        <v>437</v>
      </c>
      <c r="J407" s="7" t="s">
        <v>263</v>
      </c>
      <c r="K407" s="7" t="s">
        <v>430</v>
      </c>
      <c r="L407" s="2"/>
      <c r="M407" s="2" t="s">
        <v>2705</v>
      </c>
      <c r="N407" s="2"/>
      <c r="O407" s="2"/>
      <c r="P407" s="2"/>
      <c r="Q407" s="2"/>
      <c r="R407" s="2" t="s">
        <v>2088</v>
      </c>
      <c r="S407" s="2"/>
      <c r="Z407" s="2"/>
    </row>
    <row r="408" spans="1:26" ht="30" hidden="1" customHeight="1" x14ac:dyDescent="0.5">
      <c r="A408" s="5">
        <v>14</v>
      </c>
      <c r="B408" s="74">
        <v>1105700010006</v>
      </c>
      <c r="C408" s="83" t="s">
        <v>454</v>
      </c>
      <c r="D408" s="7" t="s">
        <v>455</v>
      </c>
      <c r="E408" s="7" t="s">
        <v>2215</v>
      </c>
      <c r="F408" s="7">
        <v>2010</v>
      </c>
      <c r="G408" s="7" t="s">
        <v>19</v>
      </c>
      <c r="H408" s="7" t="s">
        <v>52</v>
      </c>
      <c r="I408" s="8" t="s">
        <v>456</v>
      </c>
      <c r="J408" s="7" t="s">
        <v>263</v>
      </c>
      <c r="K408" s="7" t="s">
        <v>453</v>
      </c>
      <c r="L408" s="2" t="s">
        <v>1482</v>
      </c>
      <c r="M408" s="11" t="s">
        <v>1912</v>
      </c>
      <c r="N408" s="2"/>
      <c r="O408" s="2" t="s">
        <v>2120</v>
      </c>
      <c r="P408" s="2" t="s">
        <v>2118</v>
      </c>
      <c r="Q408" s="2" t="s">
        <v>2425</v>
      </c>
      <c r="R408" s="2" t="s">
        <v>2510</v>
      </c>
      <c r="S408" s="2" t="s">
        <v>1676</v>
      </c>
      <c r="X408" s="4" t="s">
        <v>1685</v>
      </c>
      <c r="Z408" s="7"/>
    </row>
    <row r="409" spans="1:26" ht="30" hidden="1" customHeight="1" x14ac:dyDescent="0.5">
      <c r="A409" s="116">
        <v>74</v>
      </c>
      <c r="B409" s="74">
        <v>1105700010002</v>
      </c>
      <c r="C409" s="83" t="s">
        <v>293</v>
      </c>
      <c r="D409" s="7" t="s">
        <v>490</v>
      </c>
      <c r="E409" s="105" t="s">
        <v>2220</v>
      </c>
      <c r="F409" s="7">
        <v>2008</v>
      </c>
      <c r="G409" s="7" t="s">
        <v>19</v>
      </c>
      <c r="H409" s="7" t="s">
        <v>42</v>
      </c>
      <c r="I409" s="8" t="s">
        <v>491</v>
      </c>
      <c r="J409" s="7" t="s">
        <v>263</v>
      </c>
      <c r="K409" s="7" t="s">
        <v>485</v>
      </c>
      <c r="L409" s="2" t="s">
        <v>1518</v>
      </c>
      <c r="M409" s="9" t="s">
        <v>1553</v>
      </c>
      <c r="N409" s="2" t="s">
        <v>1559</v>
      </c>
      <c r="O409" s="2" t="s">
        <v>1822</v>
      </c>
      <c r="P409" s="10" t="s">
        <v>1823</v>
      </c>
      <c r="Q409" s="57"/>
      <c r="R409" s="2"/>
      <c r="S409" s="2" t="s">
        <v>1681</v>
      </c>
      <c r="X409" s="5" t="s">
        <v>1479</v>
      </c>
      <c r="Z409" s="2" t="s">
        <v>1471</v>
      </c>
    </row>
    <row r="410" spans="1:26" ht="30" customHeight="1" x14ac:dyDescent="0.5">
      <c r="A410" s="116">
        <v>89</v>
      </c>
      <c r="B410" s="74">
        <v>1105700010002</v>
      </c>
      <c r="C410" s="83" t="s">
        <v>293</v>
      </c>
      <c r="D410" s="7" t="s">
        <v>294</v>
      </c>
      <c r="E410" s="105" t="s">
        <v>2221</v>
      </c>
      <c r="F410" s="7">
        <v>2008</v>
      </c>
      <c r="G410" s="7" t="s">
        <v>19</v>
      </c>
      <c r="H410" s="7" t="s">
        <v>42</v>
      </c>
      <c r="I410" s="8" t="s">
        <v>295</v>
      </c>
      <c r="J410" s="111" t="s">
        <v>263</v>
      </c>
      <c r="K410" s="7" t="s">
        <v>270</v>
      </c>
      <c r="L410" s="2" t="s">
        <v>1544</v>
      </c>
      <c r="M410" s="2" t="s">
        <v>1548</v>
      </c>
      <c r="N410" s="2" t="s">
        <v>1571</v>
      </c>
      <c r="O410" s="2" t="s">
        <v>1609</v>
      </c>
      <c r="P410" s="123" t="s">
        <v>2614</v>
      </c>
      <c r="Q410" s="2" t="s">
        <v>2565</v>
      </c>
      <c r="R410" s="2" t="s">
        <v>2447</v>
      </c>
      <c r="S410" s="2" t="s">
        <v>1544</v>
      </c>
      <c r="T410" s="4" t="s">
        <v>1912</v>
      </c>
      <c r="V410" s="4" t="s">
        <v>1615</v>
      </c>
      <c r="X410" s="5" t="s">
        <v>1494</v>
      </c>
      <c r="Z410" s="2"/>
    </row>
    <row r="411" spans="1:26" ht="30" customHeight="1" x14ac:dyDescent="0.5">
      <c r="A411" s="5">
        <v>175</v>
      </c>
      <c r="B411" s="74">
        <v>1105700010005</v>
      </c>
      <c r="C411" s="83" t="s">
        <v>569</v>
      </c>
      <c r="D411" s="7" t="s">
        <v>570</v>
      </c>
      <c r="F411" s="7">
        <v>2009</v>
      </c>
      <c r="G411" s="7" t="s">
        <v>19</v>
      </c>
      <c r="H411" s="7" t="s">
        <v>571</v>
      </c>
      <c r="I411" s="8" t="s">
        <v>572</v>
      </c>
      <c r="J411" s="111" t="s">
        <v>263</v>
      </c>
      <c r="K411" s="7" t="s">
        <v>568</v>
      </c>
      <c r="L411" s="2" t="s">
        <v>1549</v>
      </c>
      <c r="M411" s="2" t="s">
        <v>1548</v>
      </c>
      <c r="N411" s="2" t="s">
        <v>1571</v>
      </c>
      <c r="O411" s="2" t="s">
        <v>2674</v>
      </c>
      <c r="P411" s="2" t="s">
        <v>2672</v>
      </c>
      <c r="Q411" s="2" t="s">
        <v>2547</v>
      </c>
      <c r="R411" s="2"/>
      <c r="S411" s="2" t="s">
        <v>1703</v>
      </c>
      <c r="Z411" s="2"/>
    </row>
    <row r="412" spans="1:26" ht="30" hidden="1" customHeight="1" x14ac:dyDescent="0.5">
      <c r="A412" s="5">
        <v>22</v>
      </c>
      <c r="B412" s="74">
        <v>1105700020001</v>
      </c>
      <c r="C412" s="83" t="s">
        <v>296</v>
      </c>
      <c r="D412" s="7" t="s">
        <v>297</v>
      </c>
      <c r="F412" s="7">
        <v>1998</v>
      </c>
      <c r="G412" s="7" t="s">
        <v>19</v>
      </c>
      <c r="H412" s="7" t="s">
        <v>42</v>
      </c>
      <c r="I412" s="8" t="s">
        <v>298</v>
      </c>
      <c r="J412" s="7" t="s">
        <v>263</v>
      </c>
      <c r="K412" s="9" t="s">
        <v>270</v>
      </c>
      <c r="L412" s="2" t="s">
        <v>1544</v>
      </c>
      <c r="M412" s="9" t="s">
        <v>1552</v>
      </c>
      <c r="N412" s="2" t="s">
        <v>1571</v>
      </c>
      <c r="O412" s="2" t="s">
        <v>1609</v>
      </c>
      <c r="P412" s="2" t="s">
        <v>1974</v>
      </c>
      <c r="Q412" s="2"/>
      <c r="R412" s="2"/>
      <c r="S412" s="2" t="s">
        <v>1544</v>
      </c>
      <c r="X412" s="4" t="s">
        <v>1693</v>
      </c>
      <c r="Z412" s="2"/>
    </row>
    <row r="413" spans="1:26" ht="30" hidden="1" customHeight="1" x14ac:dyDescent="0.5">
      <c r="A413" s="5">
        <v>582</v>
      </c>
      <c r="B413" s="74">
        <v>1105700020001</v>
      </c>
      <c r="C413" s="83" t="s">
        <v>296</v>
      </c>
      <c r="D413" s="7" t="s">
        <v>1298</v>
      </c>
      <c r="F413" s="7">
        <v>1998</v>
      </c>
      <c r="G413" s="7" t="s">
        <v>19</v>
      </c>
      <c r="H413" s="7" t="s">
        <v>236</v>
      </c>
      <c r="I413" s="8" t="s">
        <v>1299</v>
      </c>
      <c r="J413" s="7" t="s">
        <v>263</v>
      </c>
      <c r="K413" s="7" t="s">
        <v>1225</v>
      </c>
      <c r="L413" s="2" t="s">
        <v>1544</v>
      </c>
      <c r="M413" s="9" t="s">
        <v>1553</v>
      </c>
      <c r="N413" s="9" t="s">
        <v>1571</v>
      </c>
      <c r="O413" s="2" t="s">
        <v>1609</v>
      </c>
      <c r="P413" s="2"/>
      <c r="Q413" s="2"/>
      <c r="R413" s="2"/>
      <c r="S413" s="2" t="s">
        <v>1544</v>
      </c>
      <c r="Z413" s="2"/>
    </row>
    <row r="414" spans="1:26" ht="30" hidden="1" customHeight="1" x14ac:dyDescent="0.5">
      <c r="A414" s="5">
        <v>280</v>
      </c>
      <c r="B414" s="8">
        <v>1105700190001</v>
      </c>
      <c r="C414" s="7" t="s">
        <v>322</v>
      </c>
      <c r="D414" s="7" t="s">
        <v>323</v>
      </c>
      <c r="F414" s="7">
        <v>2019</v>
      </c>
      <c r="G414" s="7" t="s">
        <v>19</v>
      </c>
      <c r="H414" s="97" t="s">
        <v>324</v>
      </c>
      <c r="I414" s="101" t="s">
        <v>325</v>
      </c>
      <c r="J414" s="7" t="s">
        <v>263</v>
      </c>
      <c r="K414" s="7" t="s">
        <v>270</v>
      </c>
      <c r="L414" s="2" t="s">
        <v>1544</v>
      </c>
      <c r="M414" s="2" t="s">
        <v>2705</v>
      </c>
      <c r="N414" s="2"/>
      <c r="O414" s="2"/>
      <c r="P414" s="2"/>
      <c r="Q414" s="2"/>
      <c r="R414" s="2"/>
      <c r="S414" s="2"/>
      <c r="Z414" s="2" t="s">
        <v>1475</v>
      </c>
    </row>
    <row r="415" spans="1:26" ht="30" hidden="1" customHeight="1" x14ac:dyDescent="0.5">
      <c r="A415" s="5">
        <v>592</v>
      </c>
      <c r="B415" s="8">
        <v>1105700160002</v>
      </c>
      <c r="C415" s="7" t="s">
        <v>660</v>
      </c>
      <c r="D415" s="7" t="s">
        <v>1321</v>
      </c>
      <c r="F415" s="7">
        <v>2015</v>
      </c>
      <c r="G415" s="7" t="s">
        <v>19</v>
      </c>
      <c r="H415" s="97" t="s">
        <v>20</v>
      </c>
      <c r="I415" s="101" t="s">
        <v>1322</v>
      </c>
      <c r="J415" s="7" t="s">
        <v>263</v>
      </c>
      <c r="K415" s="7" t="s">
        <v>1225</v>
      </c>
      <c r="L415" s="2" t="s">
        <v>1544</v>
      </c>
      <c r="M415" s="2" t="s">
        <v>2705</v>
      </c>
      <c r="N415" s="2"/>
      <c r="O415" s="2"/>
      <c r="P415" s="2"/>
      <c r="Q415" s="2"/>
      <c r="R415" s="2"/>
      <c r="S415" s="2"/>
      <c r="Z415" s="2"/>
    </row>
    <row r="416" spans="1:26" ht="30" hidden="1" customHeight="1" x14ac:dyDescent="0.5">
      <c r="A416" s="5">
        <v>375</v>
      </c>
      <c r="B416" s="8">
        <v>1105700160002</v>
      </c>
      <c r="C416" s="7" t="s">
        <v>660</v>
      </c>
      <c r="D416" s="7" t="s">
        <v>661</v>
      </c>
      <c r="E416" s="7" t="s">
        <v>2215</v>
      </c>
      <c r="F416" s="7">
        <v>2015</v>
      </c>
      <c r="G416" s="7" t="s">
        <v>19</v>
      </c>
      <c r="H416" s="97" t="s">
        <v>20</v>
      </c>
      <c r="I416" s="101" t="s">
        <v>662</v>
      </c>
      <c r="J416" s="7" t="s">
        <v>263</v>
      </c>
      <c r="K416" s="7" t="s">
        <v>632</v>
      </c>
      <c r="L416" s="2" t="s">
        <v>1544</v>
      </c>
      <c r="M416" s="11" t="s">
        <v>1912</v>
      </c>
      <c r="N416" s="2" t="s">
        <v>1571</v>
      </c>
      <c r="O416" s="2" t="s">
        <v>2092</v>
      </c>
      <c r="P416" s="2" t="s">
        <v>2091</v>
      </c>
      <c r="Q416" s="2" t="s">
        <v>2549</v>
      </c>
      <c r="R416" s="2"/>
      <c r="S416" s="2" t="s">
        <v>1544</v>
      </c>
      <c r="Z416" s="7"/>
    </row>
    <row r="417" spans="1:26" ht="30" hidden="1" customHeight="1" x14ac:dyDescent="0.5">
      <c r="A417" s="5">
        <v>201</v>
      </c>
      <c r="B417" s="8">
        <v>1203700010002</v>
      </c>
      <c r="C417" s="7" t="s">
        <v>2</v>
      </c>
      <c r="D417" s="90" t="s">
        <v>3</v>
      </c>
      <c r="F417" s="110">
        <v>2011</v>
      </c>
      <c r="G417" s="7" t="s">
        <v>4</v>
      </c>
      <c r="H417" s="96" t="s">
        <v>5</v>
      </c>
      <c r="I417" s="8" t="s">
        <v>6</v>
      </c>
      <c r="J417" s="111" t="s">
        <v>0</v>
      </c>
      <c r="K417" s="7" t="s">
        <v>1</v>
      </c>
      <c r="L417" s="110" t="s">
        <v>1555</v>
      </c>
      <c r="M417" s="2" t="s">
        <v>2705</v>
      </c>
      <c r="N417" s="2"/>
      <c r="O417" s="2"/>
      <c r="P417" s="2"/>
      <c r="Q417" s="2"/>
      <c r="R417" s="2" t="s">
        <v>2566</v>
      </c>
      <c r="S417" s="2"/>
      <c r="T417" s="4" t="s">
        <v>1548</v>
      </c>
      <c r="U417" s="5" t="s">
        <v>1472</v>
      </c>
      <c r="V417" s="4" t="s">
        <v>1565</v>
      </c>
      <c r="Z417" s="2"/>
    </row>
    <row r="418" spans="1:26" ht="30" hidden="1" customHeight="1" x14ac:dyDescent="0.5">
      <c r="A418" s="5">
        <v>245</v>
      </c>
      <c r="B418" s="8">
        <v>1203700010002</v>
      </c>
      <c r="C418" s="7" t="s">
        <v>2</v>
      </c>
      <c r="D418" s="90" t="s">
        <v>182</v>
      </c>
      <c r="F418" s="110">
        <v>2016</v>
      </c>
      <c r="G418" s="7" t="s">
        <v>4</v>
      </c>
      <c r="H418" s="96" t="s">
        <v>183</v>
      </c>
      <c r="I418" s="8" t="s">
        <v>184</v>
      </c>
      <c r="J418" s="7" t="s">
        <v>0</v>
      </c>
      <c r="K418" s="7" t="s">
        <v>181</v>
      </c>
      <c r="L418" s="7" t="s">
        <v>181</v>
      </c>
      <c r="M418" s="2" t="s">
        <v>2705</v>
      </c>
      <c r="N418" s="2"/>
      <c r="O418" s="2"/>
      <c r="P418" s="2"/>
      <c r="Q418" s="2"/>
      <c r="R418" s="2"/>
      <c r="S418" s="2"/>
      <c r="U418" s="5" t="s">
        <v>1537</v>
      </c>
      <c r="Z418" s="2"/>
    </row>
    <row r="419" spans="1:26" ht="30" hidden="1" customHeight="1" x14ac:dyDescent="0.5">
      <c r="A419" s="5">
        <v>625</v>
      </c>
      <c r="B419" s="8">
        <v>1202700010001</v>
      </c>
      <c r="C419" s="7" t="s">
        <v>1387</v>
      </c>
      <c r="D419" s="7" t="s">
        <v>1388</v>
      </c>
      <c r="F419" s="110">
        <v>2002</v>
      </c>
      <c r="G419" s="7" t="s">
        <v>4</v>
      </c>
      <c r="H419" s="97" t="s">
        <v>1389</v>
      </c>
      <c r="I419" s="101" t="s">
        <v>1390</v>
      </c>
      <c r="J419" s="7" t="s">
        <v>263</v>
      </c>
      <c r="K419" s="7" t="s">
        <v>1225</v>
      </c>
      <c r="L419" s="110" t="s">
        <v>1544</v>
      </c>
      <c r="M419" s="9" t="s">
        <v>1553</v>
      </c>
      <c r="N419" s="2" t="s">
        <v>1571</v>
      </c>
      <c r="O419" s="2" t="s">
        <v>1609</v>
      </c>
      <c r="P419" s="2" t="s">
        <v>2116</v>
      </c>
      <c r="Q419" s="2" t="s">
        <v>2440</v>
      </c>
      <c r="R419" s="2" t="s">
        <v>2443</v>
      </c>
      <c r="S419" s="2" t="s">
        <v>1544</v>
      </c>
      <c r="Z419" s="2" t="s">
        <v>1528</v>
      </c>
    </row>
    <row r="420" spans="1:26" ht="30" hidden="1" customHeight="1" x14ac:dyDescent="0.5">
      <c r="A420" s="5">
        <v>626</v>
      </c>
      <c r="B420" s="8">
        <v>1202700010001</v>
      </c>
      <c r="C420" s="7" t="s">
        <v>1387</v>
      </c>
      <c r="D420" s="7" t="s">
        <v>1391</v>
      </c>
      <c r="F420" s="110">
        <v>2002</v>
      </c>
      <c r="G420" s="7" t="s">
        <v>4</v>
      </c>
      <c r="H420" s="97" t="s">
        <v>1389</v>
      </c>
      <c r="I420" s="101" t="s">
        <v>1392</v>
      </c>
      <c r="J420" s="7" t="s">
        <v>263</v>
      </c>
      <c r="K420" s="9" t="s">
        <v>1225</v>
      </c>
      <c r="L420" s="110" t="s">
        <v>1544</v>
      </c>
      <c r="M420" s="9" t="s">
        <v>1552</v>
      </c>
      <c r="N420" s="2" t="s">
        <v>1571</v>
      </c>
      <c r="O420" s="2" t="s">
        <v>1609</v>
      </c>
      <c r="P420" s="2"/>
      <c r="Q420" s="2"/>
      <c r="R420" s="2" t="s">
        <v>2300</v>
      </c>
      <c r="S420" s="2" t="s">
        <v>1544</v>
      </c>
      <c r="Z420" s="2"/>
    </row>
    <row r="421" spans="1:26" ht="30" hidden="1" customHeight="1" x14ac:dyDescent="0.5">
      <c r="A421" s="5">
        <v>96</v>
      </c>
      <c r="B421" s="8">
        <v>1105700030001</v>
      </c>
      <c r="C421" s="7" t="s">
        <v>650</v>
      </c>
      <c r="D421" s="7" t="s">
        <v>651</v>
      </c>
      <c r="F421" s="7">
        <v>1982</v>
      </c>
      <c r="G421" s="7" t="s">
        <v>19</v>
      </c>
      <c r="H421" s="97" t="s">
        <v>104</v>
      </c>
      <c r="I421" s="101">
        <v>343603155023285</v>
      </c>
      <c r="J421" s="7" t="s">
        <v>263</v>
      </c>
      <c r="K421" s="7" t="s">
        <v>632</v>
      </c>
      <c r="L421" s="2" t="s">
        <v>1544</v>
      </c>
      <c r="M421" s="11" t="s">
        <v>1912</v>
      </c>
      <c r="N421" s="2"/>
      <c r="O421" s="2"/>
      <c r="P421" s="10" t="s">
        <v>1938</v>
      </c>
      <c r="Q421" s="2" t="s">
        <v>1921</v>
      </c>
      <c r="R421" s="2" t="s">
        <v>1923</v>
      </c>
      <c r="S421" s="2" t="s">
        <v>1544</v>
      </c>
      <c r="X421" s="5" t="s">
        <v>1500</v>
      </c>
      <c r="Z421" s="2"/>
    </row>
    <row r="422" spans="1:26" ht="30" customHeight="1" x14ac:dyDescent="0.5">
      <c r="A422" s="116">
        <v>61</v>
      </c>
      <c r="B422" s="8">
        <v>1105700100001</v>
      </c>
      <c r="C422" s="7" t="s">
        <v>311</v>
      </c>
      <c r="D422" s="7" t="s">
        <v>312</v>
      </c>
      <c r="E422" s="105" t="s">
        <v>2215</v>
      </c>
      <c r="F422" s="7">
        <v>2010</v>
      </c>
      <c r="G422" s="7" t="s">
        <v>19</v>
      </c>
      <c r="H422" s="97" t="s">
        <v>236</v>
      </c>
      <c r="I422" s="101" t="s">
        <v>313</v>
      </c>
      <c r="J422" s="7" t="s">
        <v>263</v>
      </c>
      <c r="K422" s="7" t="s">
        <v>270</v>
      </c>
      <c r="L422" s="2" t="s">
        <v>1661</v>
      </c>
      <c r="M422" s="2" t="s">
        <v>1548</v>
      </c>
      <c r="N422" s="2" t="s">
        <v>1571</v>
      </c>
      <c r="O422" s="2" t="s">
        <v>1664</v>
      </c>
      <c r="P422" s="2" t="s">
        <v>1665</v>
      </c>
      <c r="Q422" s="57"/>
      <c r="R422" s="2" t="s">
        <v>1666</v>
      </c>
      <c r="S422" s="2" t="s">
        <v>1531</v>
      </c>
      <c r="X422" s="4" t="s">
        <v>1728</v>
      </c>
      <c r="Z422" s="2"/>
    </row>
    <row r="423" spans="1:26" ht="30" hidden="1" customHeight="1" x14ac:dyDescent="0.5">
      <c r="A423" s="5">
        <v>374</v>
      </c>
      <c r="B423" s="8">
        <v>1105700100001</v>
      </c>
      <c r="C423" s="7" t="s">
        <v>311</v>
      </c>
      <c r="D423" s="7" t="s">
        <v>656</v>
      </c>
      <c r="F423" s="7">
        <v>2010</v>
      </c>
      <c r="G423" s="7" t="s">
        <v>19</v>
      </c>
      <c r="H423" s="97" t="s">
        <v>236</v>
      </c>
      <c r="I423" s="101" t="s">
        <v>657</v>
      </c>
      <c r="J423" s="7" t="s">
        <v>263</v>
      </c>
      <c r="K423" s="7" t="s">
        <v>632</v>
      </c>
      <c r="L423" s="2" t="s">
        <v>1482</v>
      </c>
      <c r="M423" s="11" t="s">
        <v>1912</v>
      </c>
      <c r="N423" s="2"/>
      <c r="O423" s="2"/>
      <c r="P423" s="2"/>
      <c r="Q423" s="2" t="s">
        <v>2109</v>
      </c>
      <c r="R423" s="2" t="s">
        <v>1677</v>
      </c>
      <c r="S423" s="2" t="s">
        <v>1482</v>
      </c>
      <c r="Z423" s="2"/>
    </row>
    <row r="424" spans="1:26" ht="30" hidden="1" customHeight="1" x14ac:dyDescent="0.5">
      <c r="A424" s="5">
        <v>54</v>
      </c>
      <c r="B424" s="8">
        <v>1105700100001</v>
      </c>
      <c r="C424" s="7" t="s">
        <v>311</v>
      </c>
      <c r="D424" s="7" t="s">
        <v>1319</v>
      </c>
      <c r="F424" s="7">
        <v>2015</v>
      </c>
      <c r="G424" s="7" t="s">
        <v>19</v>
      </c>
      <c r="H424" s="97" t="s">
        <v>236</v>
      </c>
      <c r="I424" s="101" t="s">
        <v>1320</v>
      </c>
      <c r="J424" s="7" t="s">
        <v>263</v>
      </c>
      <c r="K424" s="7" t="s">
        <v>1225</v>
      </c>
      <c r="L424" s="2" t="s">
        <v>1487</v>
      </c>
      <c r="M424" s="11" t="s">
        <v>1912</v>
      </c>
      <c r="N424" s="2"/>
      <c r="O424" s="2"/>
      <c r="P424" s="2"/>
      <c r="Q424" s="2" t="s">
        <v>2177</v>
      </c>
      <c r="R424" s="2"/>
      <c r="S424" s="2" t="s">
        <v>1699</v>
      </c>
      <c r="X424" s="4" t="s">
        <v>1652</v>
      </c>
      <c r="Z424" s="2"/>
    </row>
    <row r="425" spans="1:26" ht="30" hidden="1" customHeight="1" x14ac:dyDescent="0.5">
      <c r="A425" s="5">
        <v>65</v>
      </c>
      <c r="B425" s="8">
        <v>1205700030009</v>
      </c>
      <c r="C425" s="7" t="s">
        <v>1213</v>
      </c>
      <c r="D425" s="7" t="s">
        <v>1214</v>
      </c>
      <c r="E425" s="7" t="s">
        <v>2215</v>
      </c>
      <c r="F425" s="7">
        <v>2013</v>
      </c>
      <c r="G425" s="7" t="s">
        <v>19</v>
      </c>
      <c r="H425" s="97" t="s">
        <v>236</v>
      </c>
      <c r="I425" s="101" t="s">
        <v>1215</v>
      </c>
      <c r="J425" s="111" t="s">
        <v>35</v>
      </c>
      <c r="K425" s="7" t="s">
        <v>1199</v>
      </c>
      <c r="L425" s="2" t="s">
        <v>1493</v>
      </c>
      <c r="M425" s="11" t="s">
        <v>1912</v>
      </c>
      <c r="N425" s="2" t="s">
        <v>1571</v>
      </c>
      <c r="O425" s="2" t="s">
        <v>2475</v>
      </c>
      <c r="P425" s="2" t="s">
        <v>1803</v>
      </c>
      <c r="Q425" s="2" t="s">
        <v>2508</v>
      </c>
      <c r="R425" s="2" t="s">
        <v>2476</v>
      </c>
      <c r="S425" s="2" t="s">
        <v>1493</v>
      </c>
      <c r="X425" s="5"/>
      <c r="Z425" s="7"/>
    </row>
    <row r="426" spans="1:26" ht="30" hidden="1" customHeight="1" x14ac:dyDescent="0.5">
      <c r="A426" s="116">
        <v>387</v>
      </c>
      <c r="B426" s="8">
        <v>1205700030007</v>
      </c>
      <c r="C426" s="7" t="s">
        <v>701</v>
      </c>
      <c r="D426" s="7" t="s">
        <v>702</v>
      </c>
      <c r="E426" s="107" t="s">
        <v>2216</v>
      </c>
      <c r="F426" s="7">
        <v>2013</v>
      </c>
      <c r="G426" s="7" t="s">
        <v>9</v>
      </c>
      <c r="H426" s="97" t="s">
        <v>236</v>
      </c>
      <c r="I426" s="101" t="s">
        <v>703</v>
      </c>
      <c r="J426" s="7" t="s">
        <v>263</v>
      </c>
      <c r="K426" s="7" t="s">
        <v>632</v>
      </c>
      <c r="L426" s="2" t="s">
        <v>1557</v>
      </c>
      <c r="M426" s="11" t="s">
        <v>1912</v>
      </c>
      <c r="N426" s="2" t="s">
        <v>1571</v>
      </c>
      <c r="O426" s="2" t="s">
        <v>1609</v>
      </c>
      <c r="P426" s="2" t="s">
        <v>2615</v>
      </c>
      <c r="Q426" s="2" t="s">
        <v>2625</v>
      </c>
      <c r="R426" s="2" t="s">
        <v>2652</v>
      </c>
      <c r="S426" s="2"/>
      <c r="Z426" s="7"/>
    </row>
    <row r="427" spans="1:26" ht="30" hidden="1" customHeight="1" x14ac:dyDescent="0.5">
      <c r="A427" s="5">
        <v>553</v>
      </c>
      <c r="B427" s="8">
        <v>1105700200001</v>
      </c>
      <c r="C427" s="7" t="s">
        <v>1206</v>
      </c>
      <c r="D427" s="7" t="s">
        <v>1207</v>
      </c>
      <c r="F427" s="7">
        <v>2019</v>
      </c>
      <c r="G427" s="7" t="s">
        <v>19</v>
      </c>
      <c r="H427" s="97" t="s">
        <v>20</v>
      </c>
      <c r="I427" s="101" t="s">
        <v>1208</v>
      </c>
      <c r="J427" s="7" t="s">
        <v>35</v>
      </c>
      <c r="K427" s="7" t="s">
        <v>1199</v>
      </c>
      <c r="L427" s="2"/>
      <c r="M427" s="2" t="s">
        <v>2705</v>
      </c>
      <c r="N427" s="2"/>
      <c r="O427" s="2"/>
      <c r="P427" s="2"/>
      <c r="Q427" s="2"/>
      <c r="R427" s="2"/>
      <c r="S427" s="2"/>
      <c r="Z427" s="2"/>
    </row>
    <row r="428" spans="1:26" ht="30" customHeight="1" x14ac:dyDescent="0.5">
      <c r="A428" s="116">
        <v>172</v>
      </c>
      <c r="B428" s="8">
        <v>1207700050001</v>
      </c>
      <c r="C428" s="7" t="s">
        <v>402</v>
      </c>
      <c r="D428" s="7" t="s">
        <v>1454</v>
      </c>
      <c r="E428" s="105" t="s">
        <v>2213</v>
      </c>
      <c r="F428" s="7">
        <v>1983</v>
      </c>
      <c r="G428" s="7" t="s">
        <v>19</v>
      </c>
      <c r="H428" s="97" t="s">
        <v>42</v>
      </c>
      <c r="I428" s="101">
        <v>3460315525822</v>
      </c>
      <c r="J428" s="7" t="s">
        <v>263</v>
      </c>
      <c r="K428" s="57" t="s">
        <v>270</v>
      </c>
      <c r="L428" s="2" t="s">
        <v>1557</v>
      </c>
      <c r="M428" s="2" t="s">
        <v>1548</v>
      </c>
      <c r="N428" s="2" t="s">
        <v>1613</v>
      </c>
      <c r="O428" s="2" t="s">
        <v>1613</v>
      </c>
      <c r="P428" s="2" t="s">
        <v>1614</v>
      </c>
      <c r="Q428" s="57"/>
      <c r="R428" s="2" t="s">
        <v>2128</v>
      </c>
      <c r="S428" s="2"/>
      <c r="Z428" s="2"/>
    </row>
    <row r="429" spans="1:26" ht="30" hidden="1" customHeight="1" x14ac:dyDescent="0.5">
      <c r="A429" s="5">
        <v>636</v>
      </c>
      <c r="B429" s="8">
        <v>1207700050001</v>
      </c>
      <c r="C429" s="7" t="s">
        <v>402</v>
      </c>
      <c r="D429" s="7" t="s">
        <v>1469</v>
      </c>
      <c r="F429" s="7">
        <v>1983</v>
      </c>
      <c r="G429" s="7" t="s">
        <v>19</v>
      </c>
      <c r="H429" s="97" t="s">
        <v>42</v>
      </c>
      <c r="I429" s="101" t="s">
        <v>1415</v>
      </c>
      <c r="J429" s="7" t="s">
        <v>263</v>
      </c>
      <c r="K429" s="7" t="s">
        <v>1225</v>
      </c>
      <c r="L429" s="2" t="s">
        <v>1544</v>
      </c>
      <c r="M429" s="2" t="s">
        <v>2705</v>
      </c>
      <c r="N429" s="2"/>
      <c r="O429" s="2"/>
      <c r="P429" s="2"/>
      <c r="Q429" s="2"/>
      <c r="R429" s="2"/>
      <c r="S429" s="2"/>
      <c r="Z429" s="2"/>
    </row>
    <row r="430" spans="1:26" ht="30" hidden="1" customHeight="1" x14ac:dyDescent="0.5">
      <c r="A430" s="116">
        <v>114</v>
      </c>
      <c r="B430" s="8">
        <v>1207700050001</v>
      </c>
      <c r="C430" s="7" t="s">
        <v>402</v>
      </c>
      <c r="D430" s="7" t="s">
        <v>1470</v>
      </c>
      <c r="E430" s="7" t="s">
        <v>2218</v>
      </c>
      <c r="F430" s="7">
        <v>1983</v>
      </c>
      <c r="G430" s="7" t="s">
        <v>19</v>
      </c>
      <c r="H430" s="97" t="s">
        <v>42</v>
      </c>
      <c r="I430" s="101" t="s">
        <v>1416</v>
      </c>
      <c r="J430" s="111" t="s">
        <v>263</v>
      </c>
      <c r="K430" s="7" t="s">
        <v>1225</v>
      </c>
      <c r="L430" s="2" t="s">
        <v>1544</v>
      </c>
      <c r="M430" s="11" t="s">
        <v>1912</v>
      </c>
      <c r="N430" s="2" t="s">
        <v>1571</v>
      </c>
      <c r="O430" s="2" t="s">
        <v>1609</v>
      </c>
      <c r="P430" s="2" t="s">
        <v>1610</v>
      </c>
      <c r="Q430" s="2" t="s">
        <v>2625</v>
      </c>
      <c r="R430" s="2"/>
      <c r="S430" s="2" t="s">
        <v>2053</v>
      </c>
      <c r="X430" s="5" t="s">
        <v>1518</v>
      </c>
      <c r="Z430" s="7"/>
    </row>
    <row r="431" spans="1:26" ht="30" customHeight="1" x14ac:dyDescent="0.5">
      <c r="A431" s="116">
        <v>112</v>
      </c>
      <c r="B431" s="8">
        <v>1207700050001</v>
      </c>
      <c r="C431" s="7" t="s">
        <v>402</v>
      </c>
      <c r="D431" s="7" t="s">
        <v>1455</v>
      </c>
      <c r="E431" s="105" t="s">
        <v>2218</v>
      </c>
      <c r="F431" s="7">
        <v>1983</v>
      </c>
      <c r="G431" s="7" t="s">
        <v>19</v>
      </c>
      <c r="H431" s="97" t="s">
        <v>42</v>
      </c>
      <c r="I431" s="101" t="s">
        <v>712</v>
      </c>
      <c r="J431" s="7" t="s">
        <v>263</v>
      </c>
      <c r="K431" s="7" t="s">
        <v>632</v>
      </c>
      <c r="L431" s="2" t="s">
        <v>1544</v>
      </c>
      <c r="M431" s="2" t="s">
        <v>1548</v>
      </c>
      <c r="N431" s="2" t="s">
        <v>1571</v>
      </c>
      <c r="O431" s="2" t="s">
        <v>1609</v>
      </c>
      <c r="P431" s="2" t="s">
        <v>1610</v>
      </c>
      <c r="Q431" s="57"/>
      <c r="R431" s="2"/>
      <c r="S431" s="2"/>
      <c r="X431" s="5" t="s">
        <v>1516</v>
      </c>
      <c r="Z431" s="2"/>
    </row>
    <row r="432" spans="1:26" ht="30" hidden="1" customHeight="1" x14ac:dyDescent="0.5">
      <c r="A432" s="5">
        <v>276</v>
      </c>
      <c r="B432" s="8">
        <v>1105700030002</v>
      </c>
      <c r="C432" s="7" t="s">
        <v>299</v>
      </c>
      <c r="D432" s="7" t="s">
        <v>300</v>
      </c>
      <c r="F432" s="7">
        <v>2013</v>
      </c>
      <c r="G432" s="7" t="s">
        <v>19</v>
      </c>
      <c r="H432" s="97" t="s">
        <v>42</v>
      </c>
      <c r="I432" s="101" t="s">
        <v>301</v>
      </c>
      <c r="J432" s="7" t="s">
        <v>263</v>
      </c>
      <c r="K432" s="7" t="s">
        <v>270</v>
      </c>
      <c r="L432" s="2" t="s">
        <v>1544</v>
      </c>
      <c r="M432" s="2" t="s">
        <v>2705</v>
      </c>
      <c r="N432" s="2"/>
      <c r="O432" s="2"/>
      <c r="P432" s="2"/>
      <c r="Q432" s="2"/>
      <c r="R432" s="2"/>
      <c r="S432" s="2"/>
      <c r="Z432" s="2"/>
    </row>
    <row r="433" spans="1:26" ht="30" customHeight="1" x14ac:dyDescent="0.5">
      <c r="A433" s="5">
        <v>388</v>
      </c>
      <c r="B433" s="8">
        <v>1207700020001</v>
      </c>
      <c r="C433" s="7" t="s">
        <v>704</v>
      </c>
      <c r="D433" s="7" t="s">
        <v>705</v>
      </c>
      <c r="E433" s="72" t="s">
        <v>2216</v>
      </c>
      <c r="F433" s="7">
        <v>1989</v>
      </c>
      <c r="G433" s="7" t="s">
        <v>706</v>
      </c>
      <c r="H433" s="97" t="s">
        <v>104</v>
      </c>
      <c r="I433" s="101">
        <v>39904755346001</v>
      </c>
      <c r="J433" s="111" t="s">
        <v>263</v>
      </c>
      <c r="K433" s="7" t="s">
        <v>632</v>
      </c>
      <c r="L433" s="2" t="s">
        <v>1557</v>
      </c>
      <c r="M433" s="2" t="s">
        <v>1548</v>
      </c>
      <c r="N433" s="2" t="s">
        <v>1571</v>
      </c>
      <c r="O433" s="2" t="s">
        <v>2129</v>
      </c>
      <c r="P433" s="2" t="s">
        <v>2630</v>
      </c>
      <c r="Q433" s="2" t="s">
        <v>2434</v>
      </c>
      <c r="R433" s="2" t="s">
        <v>2128</v>
      </c>
      <c r="S433" s="2"/>
      <c r="Z433" s="7"/>
    </row>
    <row r="434" spans="1:26" ht="30" hidden="1" customHeight="1" x14ac:dyDescent="0.5">
      <c r="A434" s="5">
        <v>301</v>
      </c>
      <c r="B434" s="8">
        <v>1207700010001</v>
      </c>
      <c r="C434" s="7" t="s">
        <v>391</v>
      </c>
      <c r="D434" s="7" t="s">
        <v>1453</v>
      </c>
      <c r="E434" s="7" t="s">
        <v>2213</v>
      </c>
      <c r="F434" s="7">
        <v>1989</v>
      </c>
      <c r="G434" s="7" t="s">
        <v>393</v>
      </c>
      <c r="H434" s="97" t="s">
        <v>394</v>
      </c>
      <c r="I434" s="101">
        <v>43700855346031</v>
      </c>
      <c r="J434" s="7" t="s">
        <v>263</v>
      </c>
      <c r="K434" s="7" t="s">
        <v>270</v>
      </c>
      <c r="L434" s="2" t="s">
        <v>1557</v>
      </c>
      <c r="M434" s="11" t="s">
        <v>1912</v>
      </c>
      <c r="N434" s="2" t="s">
        <v>1571</v>
      </c>
      <c r="O434" s="2" t="s">
        <v>1609</v>
      </c>
      <c r="P434" s="2" t="s">
        <v>2122</v>
      </c>
      <c r="Q434" s="2" t="s">
        <v>2437</v>
      </c>
      <c r="R434" s="2" t="s">
        <v>2128</v>
      </c>
      <c r="S434" s="2"/>
      <c r="Z434" s="7"/>
    </row>
    <row r="435" spans="1:26" ht="30" customHeight="1" x14ac:dyDescent="0.5">
      <c r="A435" s="116">
        <v>300</v>
      </c>
      <c r="B435" s="8">
        <v>1207700010001</v>
      </c>
      <c r="C435" s="7" t="s">
        <v>391</v>
      </c>
      <c r="D435" s="7" t="s">
        <v>392</v>
      </c>
      <c r="E435" s="107" t="s">
        <v>2216</v>
      </c>
      <c r="F435" s="7">
        <v>1981</v>
      </c>
      <c r="G435" s="7" t="s">
        <v>393</v>
      </c>
      <c r="H435" s="97" t="s">
        <v>394</v>
      </c>
      <c r="I435" s="101">
        <v>34631154799996</v>
      </c>
      <c r="J435" s="7" t="s">
        <v>263</v>
      </c>
      <c r="K435" s="57" t="s">
        <v>270</v>
      </c>
      <c r="L435" s="2" t="s">
        <v>1544</v>
      </c>
      <c r="M435" s="2" t="s">
        <v>1548</v>
      </c>
      <c r="N435" s="2" t="s">
        <v>1571</v>
      </c>
      <c r="O435" s="2" t="s">
        <v>1609</v>
      </c>
      <c r="P435" s="2" t="s">
        <v>2122</v>
      </c>
      <c r="Q435" s="2"/>
      <c r="R435" s="2" t="s">
        <v>2128</v>
      </c>
      <c r="S435" s="2"/>
      <c r="Z435" s="2"/>
    </row>
    <row r="436" spans="1:26" ht="30" hidden="1" customHeight="1" x14ac:dyDescent="0.5">
      <c r="A436" s="116">
        <v>306</v>
      </c>
      <c r="B436" s="8">
        <v>1208700040004</v>
      </c>
      <c r="C436" s="7" t="s">
        <v>410</v>
      </c>
      <c r="D436" s="7" t="s">
        <v>411</v>
      </c>
      <c r="E436" s="111" t="s">
        <v>2216</v>
      </c>
      <c r="F436" s="7">
        <v>2009</v>
      </c>
      <c r="G436" s="7" t="s">
        <v>19</v>
      </c>
      <c r="H436" s="97" t="s">
        <v>42</v>
      </c>
      <c r="I436" s="101" t="s">
        <v>412</v>
      </c>
      <c r="J436" s="7" t="s">
        <v>263</v>
      </c>
      <c r="K436" s="7" t="s">
        <v>270</v>
      </c>
      <c r="L436" s="2" t="s">
        <v>1557</v>
      </c>
      <c r="M436" s="11" t="s">
        <v>1912</v>
      </c>
      <c r="N436" s="2" t="s">
        <v>1571</v>
      </c>
      <c r="O436" s="2" t="s">
        <v>1609</v>
      </c>
      <c r="P436" s="2" t="s">
        <v>2122</v>
      </c>
      <c r="Q436" s="2" t="s">
        <v>2615</v>
      </c>
      <c r="R436" s="2" t="s">
        <v>2128</v>
      </c>
      <c r="S436" s="2"/>
      <c r="Z436" s="7"/>
    </row>
    <row r="437" spans="1:26" ht="30" hidden="1" customHeight="1" x14ac:dyDescent="0.5">
      <c r="A437" s="5">
        <v>304</v>
      </c>
      <c r="B437" s="8">
        <v>1208700020004</v>
      </c>
      <c r="C437" s="7" t="s">
        <v>403</v>
      </c>
      <c r="D437" s="7" t="s">
        <v>404</v>
      </c>
      <c r="F437" s="7">
        <v>2005</v>
      </c>
      <c r="G437" s="7" t="s">
        <v>4</v>
      </c>
      <c r="H437" s="97" t="s">
        <v>42</v>
      </c>
      <c r="I437" s="101" t="s">
        <v>405</v>
      </c>
      <c r="J437" s="7" t="s">
        <v>263</v>
      </c>
      <c r="K437" s="7" t="s">
        <v>270</v>
      </c>
      <c r="L437" s="2" t="s">
        <v>1544</v>
      </c>
      <c r="M437" s="2" t="s">
        <v>2705</v>
      </c>
      <c r="N437" s="2"/>
      <c r="O437" s="2"/>
      <c r="P437" s="2"/>
      <c r="Q437" s="2"/>
      <c r="R437" s="2"/>
      <c r="S437" s="2"/>
      <c r="Z437" s="2"/>
    </row>
    <row r="438" spans="1:26" ht="30" hidden="1" customHeight="1" x14ac:dyDescent="0.5">
      <c r="A438" s="5">
        <v>305</v>
      </c>
      <c r="B438" s="8">
        <v>1208700030004</v>
      </c>
      <c r="C438" s="7" t="s">
        <v>406</v>
      </c>
      <c r="D438" s="7" t="s">
        <v>407</v>
      </c>
      <c r="E438" s="72" t="s">
        <v>2216</v>
      </c>
      <c r="F438" s="7">
        <v>2008</v>
      </c>
      <c r="G438" s="7" t="s">
        <v>19</v>
      </c>
      <c r="H438" s="97" t="s">
        <v>408</v>
      </c>
      <c r="I438" s="101" t="s">
        <v>409</v>
      </c>
      <c r="J438" s="7" t="s">
        <v>263</v>
      </c>
      <c r="K438" s="7" t="s">
        <v>270</v>
      </c>
      <c r="L438" s="2" t="s">
        <v>1557</v>
      </c>
      <c r="M438" s="11" t="s">
        <v>1912</v>
      </c>
      <c r="N438" s="2" t="s">
        <v>1571</v>
      </c>
      <c r="O438" s="2" t="s">
        <v>1609</v>
      </c>
      <c r="P438" s="2" t="s">
        <v>2122</v>
      </c>
      <c r="Q438" s="2" t="s">
        <v>2434</v>
      </c>
      <c r="R438" s="2" t="s">
        <v>2128</v>
      </c>
      <c r="S438" s="2"/>
      <c r="Z438" s="7"/>
    </row>
    <row r="439" spans="1:26" ht="30" customHeight="1" x14ac:dyDescent="0.5">
      <c r="A439" s="5">
        <v>94</v>
      </c>
      <c r="B439" s="74">
        <v>1209700010004</v>
      </c>
      <c r="C439" s="7" t="s">
        <v>413</v>
      </c>
      <c r="D439" s="7" t="s">
        <v>414</v>
      </c>
      <c r="F439" s="7">
        <v>2015</v>
      </c>
      <c r="G439" s="7" t="s">
        <v>19</v>
      </c>
      <c r="H439" s="7" t="s">
        <v>415</v>
      </c>
      <c r="I439" s="8" t="s">
        <v>416</v>
      </c>
      <c r="J439" s="7" t="s">
        <v>263</v>
      </c>
      <c r="K439" s="7" t="s">
        <v>270</v>
      </c>
      <c r="L439" s="2" t="s">
        <v>1549</v>
      </c>
      <c r="M439" s="11" t="s">
        <v>1548</v>
      </c>
      <c r="N439" s="2" t="s">
        <v>1564</v>
      </c>
      <c r="O439" s="2" t="s">
        <v>2726</v>
      </c>
      <c r="P439" s="2" t="s">
        <v>2725</v>
      </c>
      <c r="Q439" s="2" t="s">
        <v>1976</v>
      </c>
      <c r="R439" s="2" t="s">
        <v>1977</v>
      </c>
      <c r="S439" s="2" t="s">
        <v>1544</v>
      </c>
      <c r="X439" s="5" t="s">
        <v>1498</v>
      </c>
      <c r="Z439" s="2"/>
    </row>
    <row r="440" spans="1:26" ht="30" customHeight="1" x14ac:dyDescent="0.5">
      <c r="A440" s="5">
        <v>390</v>
      </c>
      <c r="B440" s="74">
        <v>1209700010004</v>
      </c>
      <c r="C440" s="7" t="s">
        <v>413</v>
      </c>
      <c r="D440" s="7" t="s">
        <v>713</v>
      </c>
      <c r="E440" s="7" t="s">
        <v>2213</v>
      </c>
      <c r="F440" s="7">
        <v>2016</v>
      </c>
      <c r="G440" s="7" t="s">
        <v>19</v>
      </c>
      <c r="H440" s="7" t="s">
        <v>415</v>
      </c>
      <c r="I440" s="8" t="s">
        <v>714</v>
      </c>
      <c r="J440" s="7" t="s">
        <v>263</v>
      </c>
      <c r="K440" s="7" t="s">
        <v>632</v>
      </c>
      <c r="L440" s="2" t="s">
        <v>1544</v>
      </c>
      <c r="M440" s="11" t="s">
        <v>1548</v>
      </c>
      <c r="N440" s="2" t="s">
        <v>1564</v>
      </c>
      <c r="O440" s="2" t="s">
        <v>2713</v>
      </c>
      <c r="P440" s="2" t="s">
        <v>2714</v>
      </c>
      <c r="Q440" s="2" t="s">
        <v>2306</v>
      </c>
      <c r="R440" s="2" t="s">
        <v>2164</v>
      </c>
      <c r="S440" s="2" t="s">
        <v>2053</v>
      </c>
      <c r="Z440" s="7"/>
    </row>
    <row r="441" spans="1:26" ht="30" customHeight="1" x14ac:dyDescent="0.5">
      <c r="A441" s="5">
        <v>307</v>
      </c>
      <c r="B441" s="74">
        <v>1209700010004</v>
      </c>
      <c r="C441" s="7" t="s">
        <v>413</v>
      </c>
      <c r="D441" s="7" t="s">
        <v>417</v>
      </c>
      <c r="F441" s="7">
        <v>2011</v>
      </c>
      <c r="G441" s="7" t="s">
        <v>19</v>
      </c>
      <c r="H441" s="7" t="s">
        <v>415</v>
      </c>
      <c r="I441" s="8" t="s">
        <v>418</v>
      </c>
      <c r="J441" s="7" t="s">
        <v>263</v>
      </c>
      <c r="K441" s="7" t="s">
        <v>270</v>
      </c>
      <c r="L441" s="2" t="s">
        <v>1544</v>
      </c>
      <c r="M441" s="2" t="s">
        <v>1548</v>
      </c>
      <c r="N441" s="2" t="s">
        <v>1571</v>
      </c>
      <c r="O441" s="2" t="s">
        <v>2420</v>
      </c>
      <c r="P441" s="9" t="s">
        <v>2545</v>
      </c>
      <c r="Q441" s="2" t="s">
        <v>2448</v>
      </c>
      <c r="R441" s="2" t="s">
        <v>2551</v>
      </c>
      <c r="S441" s="2" t="s">
        <v>2053</v>
      </c>
      <c r="Z441" s="2"/>
    </row>
    <row r="442" spans="1:26" ht="30" hidden="1" customHeight="1" x14ac:dyDescent="0.5">
      <c r="A442" s="5">
        <v>166</v>
      </c>
      <c r="B442" s="74">
        <v>1209700010004</v>
      </c>
      <c r="C442" s="7" t="s">
        <v>413</v>
      </c>
      <c r="D442" s="7" t="s">
        <v>419</v>
      </c>
      <c r="F442" s="7">
        <v>2013</v>
      </c>
      <c r="G442" s="7" t="s">
        <v>19</v>
      </c>
      <c r="H442" s="7" t="s">
        <v>415</v>
      </c>
      <c r="I442" s="8" t="s">
        <v>420</v>
      </c>
      <c r="J442" s="7" t="s">
        <v>263</v>
      </c>
      <c r="K442" s="7" t="s">
        <v>270</v>
      </c>
      <c r="L442" s="2" t="s">
        <v>1544</v>
      </c>
      <c r="M442" s="11" t="s">
        <v>2098</v>
      </c>
      <c r="N442" s="2"/>
      <c r="O442" s="2"/>
      <c r="P442" s="2"/>
      <c r="Q442" s="2" t="s">
        <v>2160</v>
      </c>
      <c r="R442" s="2"/>
      <c r="S442" s="2" t="s">
        <v>1544</v>
      </c>
      <c r="Z442" s="2"/>
    </row>
    <row r="443" spans="1:26" ht="30" hidden="1" customHeight="1" x14ac:dyDescent="0.5">
      <c r="A443" s="5">
        <v>362</v>
      </c>
      <c r="B443" s="8">
        <v>1205700010001</v>
      </c>
      <c r="C443" s="7" t="s">
        <v>388</v>
      </c>
      <c r="D443" s="7" t="s">
        <v>599</v>
      </c>
      <c r="F443" s="110">
        <v>2005</v>
      </c>
      <c r="G443" s="7" t="s">
        <v>19</v>
      </c>
      <c r="H443" s="97" t="s">
        <v>20</v>
      </c>
      <c r="I443" s="101" t="s">
        <v>600</v>
      </c>
      <c r="J443" s="111" t="s">
        <v>263</v>
      </c>
      <c r="K443" s="7" t="s">
        <v>583</v>
      </c>
      <c r="L443" s="110" t="s">
        <v>1513</v>
      </c>
      <c r="M443" s="11" t="s">
        <v>1912</v>
      </c>
      <c r="N443" s="2" t="s">
        <v>1564</v>
      </c>
      <c r="O443" s="2" t="s">
        <v>2299</v>
      </c>
      <c r="P443" s="2" t="s">
        <v>1893</v>
      </c>
      <c r="Q443" s="2" t="s">
        <v>2492</v>
      </c>
      <c r="R443" s="2" t="s">
        <v>2499</v>
      </c>
      <c r="S443" s="2" t="s">
        <v>2029</v>
      </c>
      <c r="Z443" s="2"/>
    </row>
    <row r="444" spans="1:26" ht="30" hidden="1" customHeight="1" x14ac:dyDescent="0.5">
      <c r="A444" s="5">
        <v>363</v>
      </c>
      <c r="B444" s="8">
        <v>1205700010001</v>
      </c>
      <c r="C444" s="7" t="s">
        <v>388</v>
      </c>
      <c r="D444" s="7" t="s">
        <v>1442</v>
      </c>
      <c r="F444" s="110">
        <v>2006</v>
      </c>
      <c r="G444" s="7" t="s">
        <v>19</v>
      </c>
      <c r="H444" s="97" t="s">
        <v>20</v>
      </c>
      <c r="I444" s="101" t="s">
        <v>601</v>
      </c>
      <c r="J444" s="7" t="s">
        <v>263</v>
      </c>
      <c r="K444" s="9" t="s">
        <v>583</v>
      </c>
      <c r="L444" s="110" t="s">
        <v>1544</v>
      </c>
      <c r="M444" s="9" t="s">
        <v>1552</v>
      </c>
      <c r="N444" s="2" t="s">
        <v>1571</v>
      </c>
      <c r="O444" s="2" t="s">
        <v>1609</v>
      </c>
      <c r="P444" s="2" t="s">
        <v>2163</v>
      </c>
      <c r="Q444" s="2"/>
      <c r="R444" s="2" t="s">
        <v>2300</v>
      </c>
      <c r="S444" s="2" t="s">
        <v>1513</v>
      </c>
      <c r="Z444" s="2"/>
    </row>
    <row r="445" spans="1:26" ht="30" hidden="1" customHeight="1" x14ac:dyDescent="0.5">
      <c r="A445" s="5">
        <v>167</v>
      </c>
      <c r="B445" s="8">
        <v>1205700010001</v>
      </c>
      <c r="C445" s="7" t="s">
        <v>388</v>
      </c>
      <c r="D445" s="7" t="s">
        <v>504</v>
      </c>
      <c r="F445" s="110">
        <v>2006</v>
      </c>
      <c r="G445" s="7" t="s">
        <v>19</v>
      </c>
      <c r="H445" s="97" t="s">
        <v>20</v>
      </c>
      <c r="I445" s="101" t="s">
        <v>505</v>
      </c>
      <c r="J445" s="7" t="s">
        <v>263</v>
      </c>
      <c r="K445" s="7" t="s">
        <v>485</v>
      </c>
      <c r="L445" s="110" t="s">
        <v>1518</v>
      </c>
      <c r="M445" s="11" t="s">
        <v>2098</v>
      </c>
      <c r="N445" s="2"/>
      <c r="O445" s="2"/>
      <c r="P445" s="2"/>
      <c r="Q445" s="2" t="s">
        <v>2117</v>
      </c>
      <c r="R445" s="2"/>
      <c r="S445" s="2" t="s">
        <v>1681</v>
      </c>
      <c r="Z445" s="2"/>
    </row>
    <row r="446" spans="1:26" ht="30" customHeight="1" x14ac:dyDescent="0.5">
      <c r="A446" s="5">
        <v>299</v>
      </c>
      <c r="B446" s="8">
        <v>1205700010001</v>
      </c>
      <c r="C446" s="7" t="s">
        <v>388</v>
      </c>
      <c r="D446" s="7" t="s">
        <v>389</v>
      </c>
      <c r="F446" s="110">
        <v>2006</v>
      </c>
      <c r="G446" s="7" t="s">
        <v>19</v>
      </c>
      <c r="H446" s="97" t="s">
        <v>20</v>
      </c>
      <c r="I446" s="101" t="s">
        <v>390</v>
      </c>
      <c r="J446" s="7" t="s">
        <v>263</v>
      </c>
      <c r="K446" s="7" t="s">
        <v>270</v>
      </c>
      <c r="L446" s="110" t="s">
        <v>1544</v>
      </c>
      <c r="M446" s="2" t="s">
        <v>1548</v>
      </c>
      <c r="N446" s="2" t="s">
        <v>1564</v>
      </c>
      <c r="O446" s="2" t="s">
        <v>2105</v>
      </c>
      <c r="P446" s="9" t="s">
        <v>2348</v>
      </c>
      <c r="Q446" s="2"/>
      <c r="R446" s="2" t="s">
        <v>2352</v>
      </c>
      <c r="S446" s="2" t="s">
        <v>2053</v>
      </c>
      <c r="Z446" s="2"/>
    </row>
    <row r="447" spans="1:26" ht="30" hidden="1" customHeight="1" x14ac:dyDescent="0.5">
      <c r="A447" s="5">
        <v>386</v>
      </c>
      <c r="B447" s="8">
        <v>1205700010001</v>
      </c>
      <c r="C447" s="7" t="s">
        <v>388</v>
      </c>
      <c r="D447" s="7" t="s">
        <v>699</v>
      </c>
      <c r="F447" s="110">
        <v>2008</v>
      </c>
      <c r="G447" s="7" t="s">
        <v>19</v>
      </c>
      <c r="H447" s="97" t="s">
        <v>20</v>
      </c>
      <c r="I447" s="101" t="s">
        <v>700</v>
      </c>
      <c r="J447" s="7" t="s">
        <v>263</v>
      </c>
      <c r="K447" s="7" t="s">
        <v>632</v>
      </c>
      <c r="L447" s="110" t="s">
        <v>1544</v>
      </c>
      <c r="M447" s="11" t="s">
        <v>1912</v>
      </c>
      <c r="N447" s="2"/>
      <c r="O447" s="2" t="s">
        <v>2248</v>
      </c>
      <c r="P447" s="2" t="s">
        <v>2245</v>
      </c>
      <c r="Q447" s="2" t="s">
        <v>2418</v>
      </c>
      <c r="R447" s="2" t="s">
        <v>2249</v>
      </c>
      <c r="S447" s="2" t="s">
        <v>2053</v>
      </c>
      <c r="Z447" s="2"/>
    </row>
    <row r="448" spans="1:26" ht="30" customHeight="1" x14ac:dyDescent="0.5">
      <c r="A448" s="5">
        <v>393</v>
      </c>
      <c r="B448" s="8">
        <v>1205700010001</v>
      </c>
      <c r="C448" s="7" t="s">
        <v>388</v>
      </c>
      <c r="D448" s="7" t="s">
        <v>721</v>
      </c>
      <c r="F448" s="110">
        <v>2006</v>
      </c>
      <c r="G448" s="7" t="s">
        <v>19</v>
      </c>
      <c r="H448" s="97" t="s">
        <v>20</v>
      </c>
      <c r="I448" s="101" t="s">
        <v>722</v>
      </c>
      <c r="J448" s="7" t="s">
        <v>715</v>
      </c>
      <c r="K448" s="7" t="s">
        <v>716</v>
      </c>
      <c r="L448" s="110" t="s">
        <v>1508</v>
      </c>
      <c r="M448" s="2" t="s">
        <v>1548</v>
      </c>
      <c r="N448" s="2" t="s">
        <v>1571</v>
      </c>
      <c r="O448" s="2" t="s">
        <v>2287</v>
      </c>
      <c r="P448" s="2" t="s">
        <v>2082</v>
      </c>
      <c r="Q448" s="2"/>
      <c r="R448" s="2" t="s">
        <v>2166</v>
      </c>
      <c r="S448" s="2"/>
      <c r="Z448" s="2"/>
    </row>
    <row r="449" spans="1:26" ht="30" hidden="1" customHeight="1" x14ac:dyDescent="0.5">
      <c r="A449" s="5">
        <v>316</v>
      </c>
      <c r="B449" s="8">
        <v>1205700010001</v>
      </c>
      <c r="C449" s="7" t="s">
        <v>388</v>
      </c>
      <c r="D449" s="7" t="s">
        <v>451</v>
      </c>
      <c r="F449" s="110">
        <v>2006</v>
      </c>
      <c r="G449" s="7" t="s">
        <v>19</v>
      </c>
      <c r="H449" s="97" t="s">
        <v>20</v>
      </c>
      <c r="I449" s="101" t="s">
        <v>452</v>
      </c>
      <c r="J449" s="7" t="s">
        <v>263</v>
      </c>
      <c r="K449" s="7" t="s">
        <v>430</v>
      </c>
      <c r="L449" s="110" t="s">
        <v>1506</v>
      </c>
      <c r="M449" s="2" t="s">
        <v>2066</v>
      </c>
      <c r="N449" s="2"/>
      <c r="O449" s="2"/>
      <c r="P449" s="2"/>
      <c r="Q449" s="2"/>
      <c r="R449" s="2" t="s">
        <v>2285</v>
      </c>
      <c r="S449" s="2"/>
      <c r="Z449" s="2"/>
    </row>
    <row r="450" spans="1:26" ht="30" hidden="1" customHeight="1" x14ac:dyDescent="0.5">
      <c r="A450" s="5">
        <v>632</v>
      </c>
      <c r="B450" s="8">
        <v>1205700010001</v>
      </c>
      <c r="C450" s="7" t="s">
        <v>388</v>
      </c>
      <c r="D450" s="7" t="s">
        <v>1407</v>
      </c>
      <c r="F450" s="110">
        <v>2008</v>
      </c>
      <c r="G450" s="7" t="s">
        <v>19</v>
      </c>
      <c r="H450" s="97" t="s">
        <v>20</v>
      </c>
      <c r="I450" s="101" t="s">
        <v>1408</v>
      </c>
      <c r="J450" s="7" t="s">
        <v>263</v>
      </c>
      <c r="K450" s="7" t="s">
        <v>1225</v>
      </c>
      <c r="L450" s="110" t="s">
        <v>1544</v>
      </c>
      <c r="M450" s="2" t="s">
        <v>2705</v>
      </c>
      <c r="N450" s="2"/>
      <c r="O450" s="2"/>
      <c r="P450" s="2"/>
      <c r="Q450" s="2"/>
      <c r="R450" s="2"/>
      <c r="S450" s="2"/>
      <c r="Z450" s="2"/>
    </row>
    <row r="451" spans="1:26" ht="30" hidden="1" customHeight="1" x14ac:dyDescent="0.5">
      <c r="A451" s="5">
        <v>631</v>
      </c>
      <c r="B451" s="8">
        <v>1205700010001</v>
      </c>
      <c r="C451" s="7" t="s">
        <v>388</v>
      </c>
      <c r="D451" s="7" t="s">
        <v>1405</v>
      </c>
      <c r="F451" s="110">
        <v>2010</v>
      </c>
      <c r="G451" s="7" t="s">
        <v>19</v>
      </c>
      <c r="H451" s="97" t="s">
        <v>20</v>
      </c>
      <c r="I451" s="101" t="s">
        <v>1406</v>
      </c>
      <c r="J451" s="111" t="s">
        <v>263</v>
      </c>
      <c r="K451" s="7" t="s">
        <v>1225</v>
      </c>
      <c r="L451" s="110" t="s">
        <v>1544</v>
      </c>
      <c r="M451" s="11" t="s">
        <v>1912</v>
      </c>
      <c r="N451" s="2" t="s">
        <v>1571</v>
      </c>
      <c r="O451" s="2" t="s">
        <v>2610</v>
      </c>
      <c r="P451" s="2" t="s">
        <v>2611</v>
      </c>
      <c r="Q451" s="2" t="s">
        <v>2615</v>
      </c>
      <c r="R451" s="2" t="s">
        <v>2609</v>
      </c>
      <c r="S451" s="2" t="s">
        <v>2053</v>
      </c>
      <c r="Z451" s="2"/>
    </row>
    <row r="452" spans="1:26" ht="30" hidden="1" customHeight="1" x14ac:dyDescent="0.5">
      <c r="A452" s="5">
        <v>385</v>
      </c>
      <c r="B452" s="8">
        <v>1205700010001</v>
      </c>
      <c r="C452" s="7" t="s">
        <v>388</v>
      </c>
      <c r="D452" s="7" t="s">
        <v>697</v>
      </c>
      <c r="F452" s="110">
        <v>2011</v>
      </c>
      <c r="G452" s="7" t="s">
        <v>19</v>
      </c>
      <c r="H452" s="97" t="s">
        <v>440</v>
      </c>
      <c r="I452" s="101" t="s">
        <v>698</v>
      </c>
      <c r="J452" s="7" t="s">
        <v>263</v>
      </c>
      <c r="K452" s="7" t="s">
        <v>632</v>
      </c>
      <c r="L452" s="110" t="s">
        <v>1544</v>
      </c>
      <c r="M452" s="2" t="s">
        <v>2705</v>
      </c>
      <c r="N452" s="2"/>
      <c r="O452" s="2"/>
      <c r="P452" s="2"/>
      <c r="Q452" s="2"/>
      <c r="R452" s="2"/>
      <c r="S452" s="2"/>
      <c r="Z452" s="2"/>
    </row>
    <row r="453" spans="1:26" ht="30" customHeight="1" x14ac:dyDescent="0.5">
      <c r="A453" s="116">
        <v>399</v>
      </c>
      <c r="B453" s="8">
        <v>1205700010002</v>
      </c>
      <c r="C453" s="7" t="s">
        <v>32</v>
      </c>
      <c r="D453" s="7" t="s">
        <v>735</v>
      </c>
      <c r="E453" s="107" t="s">
        <v>2216</v>
      </c>
      <c r="F453" s="110">
        <v>2006</v>
      </c>
      <c r="G453" s="7" t="s">
        <v>4</v>
      </c>
      <c r="H453" s="97" t="s">
        <v>20</v>
      </c>
      <c r="I453" s="101" t="s">
        <v>736</v>
      </c>
      <c r="J453" s="7" t="s">
        <v>723</v>
      </c>
      <c r="K453" s="7" t="s">
        <v>724</v>
      </c>
      <c r="L453" s="110" t="s">
        <v>1557</v>
      </c>
      <c r="M453" s="2" t="s">
        <v>1548</v>
      </c>
      <c r="N453" s="2" t="s">
        <v>1571</v>
      </c>
      <c r="O453" s="2" t="s">
        <v>1609</v>
      </c>
      <c r="P453" s="2" t="s">
        <v>2122</v>
      </c>
      <c r="Q453" s="2"/>
      <c r="R453" s="2" t="s">
        <v>2128</v>
      </c>
      <c r="S453" s="2"/>
      <c r="Z453" s="2"/>
    </row>
    <row r="454" spans="1:26" ht="30" hidden="1" customHeight="1" x14ac:dyDescent="0.5">
      <c r="A454" s="5">
        <v>209</v>
      </c>
      <c r="B454" s="8">
        <v>1205700010002</v>
      </c>
      <c r="C454" s="7" t="s">
        <v>32</v>
      </c>
      <c r="D454" s="7" t="s">
        <v>33</v>
      </c>
      <c r="F454" s="110">
        <v>2006</v>
      </c>
      <c r="G454" s="7" t="s">
        <v>4</v>
      </c>
      <c r="H454" s="97" t="s">
        <v>20</v>
      </c>
      <c r="I454" s="101" t="s">
        <v>34</v>
      </c>
      <c r="J454" s="7" t="s">
        <v>0</v>
      </c>
      <c r="K454" s="7" t="s">
        <v>28</v>
      </c>
      <c r="L454" s="110" t="s">
        <v>1557</v>
      </c>
      <c r="M454" s="2" t="s">
        <v>2705</v>
      </c>
      <c r="N454" s="2"/>
      <c r="O454" s="2"/>
      <c r="P454" s="2"/>
      <c r="Q454" s="2"/>
      <c r="R454" s="2" t="s">
        <v>2399</v>
      </c>
      <c r="S454" s="2"/>
      <c r="U454" s="5" t="s">
        <v>1479</v>
      </c>
      <c r="V454" s="4" t="s">
        <v>1571</v>
      </c>
      <c r="Z454" s="2"/>
    </row>
    <row r="455" spans="1:26" ht="30" hidden="1" customHeight="1" x14ac:dyDescent="0.5">
      <c r="A455" s="5">
        <v>344</v>
      </c>
      <c r="B455" s="8">
        <v>1205700020004</v>
      </c>
      <c r="C455" s="7" t="s">
        <v>549</v>
      </c>
      <c r="D455" s="7" t="s">
        <v>550</v>
      </c>
      <c r="F455" s="110">
        <v>2002</v>
      </c>
      <c r="G455" s="7" t="s">
        <v>4</v>
      </c>
      <c r="H455" s="97" t="s">
        <v>20</v>
      </c>
      <c r="I455" s="101" t="s">
        <v>551</v>
      </c>
      <c r="J455" s="7" t="s">
        <v>263</v>
      </c>
      <c r="K455" s="7" t="s">
        <v>534</v>
      </c>
      <c r="L455" s="110" t="s">
        <v>1531</v>
      </c>
      <c r="M455" s="2" t="s">
        <v>2705</v>
      </c>
      <c r="N455" s="2"/>
      <c r="O455" s="2"/>
      <c r="P455" s="2"/>
      <c r="Q455" s="2"/>
      <c r="R455" s="2"/>
      <c r="S455" s="2"/>
      <c r="Z455" s="2"/>
    </row>
    <row r="456" spans="1:26" ht="30" hidden="1" customHeight="1" x14ac:dyDescent="0.5">
      <c r="A456" s="5">
        <v>371</v>
      </c>
      <c r="B456" s="8">
        <v>1205700020004</v>
      </c>
      <c r="C456" s="7" t="s">
        <v>549</v>
      </c>
      <c r="D456" s="7" t="s">
        <v>630</v>
      </c>
      <c r="F456" s="110">
        <v>2002</v>
      </c>
      <c r="G456" s="7" t="s">
        <v>4</v>
      </c>
      <c r="H456" s="97" t="s">
        <v>20</v>
      </c>
      <c r="I456" s="101" t="s">
        <v>631</v>
      </c>
      <c r="J456" s="7" t="s">
        <v>263</v>
      </c>
      <c r="K456" s="7" t="s">
        <v>618</v>
      </c>
      <c r="L456" s="110" t="s">
        <v>1537</v>
      </c>
      <c r="M456" s="2" t="s">
        <v>2705</v>
      </c>
      <c r="N456" s="2"/>
      <c r="O456" s="2"/>
      <c r="P456" s="2"/>
      <c r="Q456" s="2"/>
      <c r="R456" s="2"/>
      <c r="S456" s="2"/>
      <c r="Z456" s="2"/>
    </row>
    <row r="457" spans="1:26" ht="30" hidden="1" customHeight="1" x14ac:dyDescent="0.5">
      <c r="A457" s="5">
        <v>350</v>
      </c>
      <c r="B457" s="8">
        <v>1205700040001</v>
      </c>
      <c r="C457" s="7" t="s">
        <v>22</v>
      </c>
      <c r="D457" s="7" t="s">
        <v>566</v>
      </c>
      <c r="F457" s="110">
        <v>2009</v>
      </c>
      <c r="G457" s="7" t="s">
        <v>19</v>
      </c>
      <c r="H457" s="97" t="s">
        <v>20</v>
      </c>
      <c r="I457" s="101" t="s">
        <v>567</v>
      </c>
      <c r="J457" s="7" t="s">
        <v>263</v>
      </c>
      <c r="K457" s="7" t="s">
        <v>552</v>
      </c>
      <c r="L457" s="110" t="s">
        <v>1493</v>
      </c>
      <c r="M457" s="2" t="s">
        <v>2705</v>
      </c>
      <c r="N457" s="2"/>
      <c r="O457" s="2"/>
      <c r="P457" s="2"/>
      <c r="Q457" s="2"/>
      <c r="R457" s="2" t="s">
        <v>2231</v>
      </c>
      <c r="S457" s="2"/>
      <c r="Z457" s="2"/>
    </row>
    <row r="458" spans="1:26" ht="30" hidden="1" customHeight="1" x14ac:dyDescent="0.5">
      <c r="A458" s="5">
        <v>353</v>
      </c>
      <c r="B458" s="8">
        <v>1205700040001</v>
      </c>
      <c r="C458" s="7" t="s">
        <v>22</v>
      </c>
      <c r="D458" s="7" t="s">
        <v>579</v>
      </c>
      <c r="F458" s="110">
        <v>2009</v>
      </c>
      <c r="G458" s="7" t="s">
        <v>19</v>
      </c>
      <c r="H458" s="97" t="s">
        <v>20</v>
      </c>
      <c r="I458" s="101" t="s">
        <v>580</v>
      </c>
      <c r="J458" s="7" t="s">
        <v>263</v>
      </c>
      <c r="K458" s="7" t="s">
        <v>568</v>
      </c>
      <c r="L458" s="110" t="s">
        <v>1487</v>
      </c>
      <c r="M458" s="2" t="s">
        <v>2705</v>
      </c>
      <c r="N458" s="2"/>
      <c r="O458" s="2"/>
      <c r="P458" s="2"/>
      <c r="Q458" s="2"/>
      <c r="R458" s="2"/>
      <c r="S458" s="2"/>
      <c r="Z458" s="2"/>
    </row>
    <row r="459" spans="1:26" ht="30" hidden="1" customHeight="1" x14ac:dyDescent="0.5">
      <c r="A459" s="5">
        <v>205</v>
      </c>
      <c r="B459" s="8">
        <v>1205700040001</v>
      </c>
      <c r="C459" s="7" t="s">
        <v>22</v>
      </c>
      <c r="D459" s="7" t="s">
        <v>23</v>
      </c>
      <c r="F459" s="110">
        <v>2008</v>
      </c>
      <c r="G459" s="7" t="s">
        <v>19</v>
      </c>
      <c r="H459" s="97" t="s">
        <v>20</v>
      </c>
      <c r="I459" s="101">
        <v>80020279</v>
      </c>
      <c r="J459" s="7" t="s">
        <v>0</v>
      </c>
      <c r="K459" s="7" t="s">
        <v>12</v>
      </c>
      <c r="L459" s="110" t="s">
        <v>1556</v>
      </c>
      <c r="M459" s="2" t="s">
        <v>2705</v>
      </c>
      <c r="N459" s="2"/>
      <c r="O459" s="2"/>
      <c r="P459" s="2"/>
      <c r="Q459" s="2"/>
      <c r="R459" s="2"/>
      <c r="S459" s="2"/>
      <c r="U459" s="5" t="s">
        <v>1476</v>
      </c>
      <c r="V459" s="4" t="s">
        <v>1569</v>
      </c>
      <c r="Z459" s="2"/>
    </row>
    <row r="460" spans="1:26" ht="30" hidden="1" customHeight="1" x14ac:dyDescent="0.5">
      <c r="A460" s="5">
        <v>206</v>
      </c>
      <c r="B460" s="8">
        <v>1205700040001</v>
      </c>
      <c r="C460" s="7" t="s">
        <v>22</v>
      </c>
      <c r="D460" s="7" t="s">
        <v>24</v>
      </c>
      <c r="F460" s="110">
        <v>2008</v>
      </c>
      <c r="G460" s="7" t="s">
        <v>19</v>
      </c>
      <c r="H460" s="97" t="s">
        <v>20</v>
      </c>
      <c r="I460" s="101" t="s">
        <v>25</v>
      </c>
      <c r="J460" s="7" t="s">
        <v>0</v>
      </c>
      <c r="K460" s="7" t="s">
        <v>12</v>
      </c>
      <c r="L460" s="110" t="s">
        <v>1556</v>
      </c>
      <c r="M460" s="2" t="s">
        <v>2705</v>
      </c>
      <c r="N460" s="2"/>
      <c r="O460" s="2"/>
      <c r="P460" s="2"/>
      <c r="Q460" s="2"/>
      <c r="R460" s="2"/>
      <c r="S460" s="2"/>
      <c r="U460" s="5" t="s">
        <v>1477</v>
      </c>
      <c r="V460" s="4" t="s">
        <v>1559</v>
      </c>
      <c r="Z460" s="2"/>
    </row>
    <row r="461" spans="1:26" ht="30" hidden="1" customHeight="1" x14ac:dyDescent="0.5">
      <c r="A461" s="5">
        <v>207</v>
      </c>
      <c r="B461" s="8">
        <v>1205700040001</v>
      </c>
      <c r="C461" s="7" t="s">
        <v>22</v>
      </c>
      <c r="D461" s="7" t="s">
        <v>26</v>
      </c>
      <c r="F461" s="110">
        <v>2009</v>
      </c>
      <c r="G461" s="7" t="s">
        <v>19</v>
      </c>
      <c r="H461" s="97" t="s">
        <v>20</v>
      </c>
      <c r="I461" s="101" t="s">
        <v>27</v>
      </c>
      <c r="J461" s="7" t="s">
        <v>0</v>
      </c>
      <c r="K461" s="7" t="s">
        <v>12</v>
      </c>
      <c r="L461" s="110" t="s">
        <v>1556</v>
      </c>
      <c r="M461" s="2" t="s">
        <v>2705</v>
      </c>
      <c r="N461" s="2"/>
      <c r="O461" s="2"/>
      <c r="P461" s="2"/>
      <c r="Q461" s="2"/>
      <c r="R461" s="2"/>
      <c r="S461" s="2"/>
      <c r="U461" s="5" t="s">
        <v>1554</v>
      </c>
      <c r="V461" s="4" t="s">
        <v>1570</v>
      </c>
      <c r="Z461" s="2"/>
    </row>
    <row r="462" spans="1:26" ht="30" hidden="1" customHeight="1" x14ac:dyDescent="0.5">
      <c r="A462" s="5">
        <v>551</v>
      </c>
      <c r="B462" s="74">
        <v>1105700150003</v>
      </c>
      <c r="C462" s="7" t="s">
        <v>1200</v>
      </c>
      <c r="D462" s="7" t="s">
        <v>1201</v>
      </c>
      <c r="E462" s="7" t="s">
        <v>2215</v>
      </c>
      <c r="F462" s="7">
        <v>2005</v>
      </c>
      <c r="G462" s="7" t="s">
        <v>19</v>
      </c>
      <c r="H462" s="97" t="s">
        <v>42</v>
      </c>
      <c r="I462" s="101" t="s">
        <v>1202</v>
      </c>
      <c r="J462" s="7" t="s">
        <v>35</v>
      </c>
      <c r="K462" s="7" t="s">
        <v>1199</v>
      </c>
      <c r="L462" s="2" t="s">
        <v>1493</v>
      </c>
      <c r="M462" s="11" t="s">
        <v>1912</v>
      </c>
      <c r="N462" s="2"/>
      <c r="O462" s="2" t="s">
        <v>2148</v>
      </c>
      <c r="P462" s="2" t="s">
        <v>2147</v>
      </c>
      <c r="Q462" s="2" t="s">
        <v>2413</v>
      </c>
      <c r="R462" s="2" t="s">
        <v>2150</v>
      </c>
      <c r="S462" s="2" t="s">
        <v>1712</v>
      </c>
      <c r="Z462" s="7"/>
    </row>
    <row r="463" spans="1:26" ht="30" customHeight="1" x14ac:dyDescent="0.5">
      <c r="A463" s="5">
        <v>279</v>
      </c>
      <c r="B463" s="74">
        <v>1105700150001</v>
      </c>
      <c r="C463" s="7" t="s">
        <v>317</v>
      </c>
      <c r="D463" s="7" t="s">
        <v>318</v>
      </c>
      <c r="F463" s="7">
        <v>2010</v>
      </c>
      <c r="G463" s="7" t="s">
        <v>19</v>
      </c>
      <c r="H463" s="97" t="s">
        <v>42</v>
      </c>
      <c r="I463" s="101" t="s">
        <v>319</v>
      </c>
      <c r="J463" s="7" t="s">
        <v>263</v>
      </c>
      <c r="K463" s="7" t="s">
        <v>270</v>
      </c>
      <c r="L463" s="2" t="s">
        <v>1544</v>
      </c>
      <c r="M463" s="2" t="s">
        <v>1548</v>
      </c>
      <c r="N463" s="2" t="s">
        <v>1571</v>
      </c>
      <c r="O463" s="2" t="s">
        <v>2238</v>
      </c>
      <c r="P463" s="9" t="s">
        <v>2237</v>
      </c>
      <c r="Q463" s="2"/>
      <c r="R463" s="2"/>
      <c r="S463" s="2" t="s">
        <v>2053</v>
      </c>
      <c r="Z463" s="2"/>
    </row>
    <row r="464" spans="1:26" ht="30" hidden="1" customHeight="1" x14ac:dyDescent="0.5">
      <c r="A464" s="5">
        <v>62</v>
      </c>
      <c r="B464" s="74">
        <v>1105700150001</v>
      </c>
      <c r="C464" s="7" t="s">
        <v>317</v>
      </c>
      <c r="D464" s="7" t="s">
        <v>658</v>
      </c>
      <c r="E464" s="7" t="s">
        <v>2215</v>
      </c>
      <c r="F464" s="7">
        <v>2010</v>
      </c>
      <c r="G464" s="7" t="s">
        <v>19</v>
      </c>
      <c r="H464" s="97" t="s">
        <v>42</v>
      </c>
      <c r="I464" s="101" t="s">
        <v>659</v>
      </c>
      <c r="J464" s="7" t="s">
        <v>263</v>
      </c>
      <c r="K464" s="7" t="s">
        <v>632</v>
      </c>
      <c r="L464" s="2" t="s">
        <v>1487</v>
      </c>
      <c r="M464" s="11" t="s">
        <v>1912</v>
      </c>
      <c r="N464" s="2"/>
      <c r="O464" s="2"/>
      <c r="P464" s="2"/>
      <c r="Q464" s="2" t="s">
        <v>2395</v>
      </c>
      <c r="R464" s="2" t="s">
        <v>2390</v>
      </c>
      <c r="S464" s="2" t="s">
        <v>1699</v>
      </c>
      <c r="X464" s="4" t="s">
        <v>1729</v>
      </c>
      <c r="Z464" s="7"/>
    </row>
    <row r="465" spans="1:26" ht="30" customHeight="1" x14ac:dyDescent="0.5">
      <c r="A465" s="116">
        <v>161</v>
      </c>
      <c r="B465" s="8">
        <v>1105700150004</v>
      </c>
      <c r="C465" s="7" t="s">
        <v>40</v>
      </c>
      <c r="D465" s="7" t="s">
        <v>320</v>
      </c>
      <c r="E465" s="105" t="s">
        <v>2215</v>
      </c>
      <c r="F465" s="7">
        <v>2006</v>
      </c>
      <c r="G465" s="7" t="s">
        <v>19</v>
      </c>
      <c r="H465" s="97" t="s">
        <v>42</v>
      </c>
      <c r="I465" s="101" t="s">
        <v>321</v>
      </c>
      <c r="J465" s="7" t="s">
        <v>263</v>
      </c>
      <c r="K465" s="7" t="s">
        <v>270</v>
      </c>
      <c r="L465" s="2" t="s">
        <v>1544</v>
      </c>
      <c r="M465" s="2" t="s">
        <v>1548</v>
      </c>
      <c r="N465" s="2" t="s">
        <v>1564</v>
      </c>
      <c r="O465" s="2" t="s">
        <v>1588</v>
      </c>
      <c r="P465" s="2" t="s">
        <v>1589</v>
      </c>
      <c r="Q465" s="57"/>
      <c r="R465" s="2" t="s">
        <v>2149</v>
      </c>
      <c r="S465" s="2"/>
      <c r="Z465" s="2"/>
    </row>
    <row r="466" spans="1:26" ht="30" hidden="1" customHeight="1" x14ac:dyDescent="0.5">
      <c r="A466" s="5">
        <v>119</v>
      </c>
      <c r="B466" s="74">
        <v>1105700150004</v>
      </c>
      <c r="C466" s="7" t="s">
        <v>40</v>
      </c>
      <c r="D466" s="7" t="s">
        <v>41</v>
      </c>
      <c r="E466" s="7" t="s">
        <v>2215</v>
      </c>
      <c r="F466" s="7">
        <v>2014</v>
      </c>
      <c r="G466" s="7" t="s">
        <v>19</v>
      </c>
      <c r="H466" s="97" t="s">
        <v>42</v>
      </c>
      <c r="I466" s="101" t="s">
        <v>43</v>
      </c>
      <c r="J466" s="111" t="s">
        <v>35</v>
      </c>
      <c r="K466" s="7" t="s">
        <v>39</v>
      </c>
      <c r="L466" s="2" t="s">
        <v>1506</v>
      </c>
      <c r="M466" s="11" t="s">
        <v>1912</v>
      </c>
      <c r="N466" s="2" t="s">
        <v>1571</v>
      </c>
      <c r="O466" s="2" t="s">
        <v>1800</v>
      </c>
      <c r="P466" s="2" t="s">
        <v>1801</v>
      </c>
      <c r="Q466" s="2" t="s">
        <v>2508</v>
      </c>
      <c r="R466" s="2" t="s">
        <v>2554</v>
      </c>
      <c r="S466" s="2" t="s">
        <v>1506</v>
      </c>
      <c r="U466" s="5" t="s">
        <v>1481</v>
      </c>
      <c r="X466" s="5" t="s">
        <v>1523</v>
      </c>
      <c r="Z466" s="7"/>
    </row>
    <row r="467" spans="1:26" ht="30" hidden="1" customHeight="1" x14ac:dyDescent="0.5">
      <c r="A467" s="5">
        <v>435</v>
      </c>
      <c r="B467" s="74">
        <v>1101700010008</v>
      </c>
      <c r="C467" s="7" t="s">
        <v>2087</v>
      </c>
      <c r="D467" s="7" t="s">
        <v>929</v>
      </c>
      <c r="F467" s="7">
        <v>2021</v>
      </c>
      <c r="G467" s="7" t="s">
        <v>19</v>
      </c>
      <c r="H467" s="7" t="s">
        <v>42</v>
      </c>
      <c r="I467" s="8" t="s">
        <v>930</v>
      </c>
      <c r="J467" s="7" t="s">
        <v>35</v>
      </c>
      <c r="K467" s="7" t="s">
        <v>925</v>
      </c>
      <c r="L467" s="2" t="s">
        <v>1518</v>
      </c>
      <c r="M467" s="2" t="s">
        <v>2705</v>
      </c>
      <c r="N467" s="2"/>
      <c r="O467" s="2"/>
      <c r="P467" s="2"/>
      <c r="Q467" s="2"/>
      <c r="R467" s="2"/>
      <c r="S467" s="2"/>
      <c r="Z467" s="2"/>
    </row>
    <row r="468" spans="1:26" ht="30" hidden="1" customHeight="1" x14ac:dyDescent="0.5">
      <c r="A468" s="5">
        <v>552</v>
      </c>
      <c r="B468" s="74">
        <v>1105700150012</v>
      </c>
      <c r="C468" s="7" t="s">
        <v>1203</v>
      </c>
      <c r="D468" s="7" t="s">
        <v>1204</v>
      </c>
      <c r="E468" s="7" t="s">
        <v>2221</v>
      </c>
      <c r="F468" s="7">
        <v>2021</v>
      </c>
      <c r="G468" s="7" t="s">
        <v>19</v>
      </c>
      <c r="H468" s="97" t="s">
        <v>42</v>
      </c>
      <c r="I468" s="101" t="s">
        <v>1205</v>
      </c>
      <c r="J468" s="7" t="s">
        <v>35</v>
      </c>
      <c r="K468" s="7" t="s">
        <v>1199</v>
      </c>
      <c r="L468" s="2" t="s">
        <v>1493</v>
      </c>
      <c r="M468" s="11" t="s">
        <v>1912</v>
      </c>
      <c r="N468" s="2"/>
      <c r="O468" s="2"/>
      <c r="P468" s="2"/>
      <c r="Q468" s="2" t="s">
        <v>2222</v>
      </c>
      <c r="R468" s="2" t="s">
        <v>2210</v>
      </c>
      <c r="S468" s="2"/>
      <c r="Z468" s="7"/>
    </row>
    <row r="469" spans="1:26" ht="30" hidden="1" customHeight="1" x14ac:dyDescent="0.5">
      <c r="A469" s="5">
        <v>391</v>
      </c>
      <c r="B469" s="8">
        <v>1101700010009</v>
      </c>
      <c r="C469" s="7" t="s">
        <v>717</v>
      </c>
      <c r="D469" s="7" t="s">
        <v>1456</v>
      </c>
      <c r="F469" s="7" t="s">
        <v>1456</v>
      </c>
      <c r="G469" s="7" t="s">
        <v>376</v>
      </c>
      <c r="H469" s="97" t="s">
        <v>247</v>
      </c>
      <c r="I469" s="101" t="s">
        <v>718</v>
      </c>
      <c r="J469" s="7" t="s">
        <v>715</v>
      </c>
      <c r="K469" s="7" t="s">
        <v>716</v>
      </c>
      <c r="L469" s="2" t="s">
        <v>1544</v>
      </c>
      <c r="M469" s="11" t="s">
        <v>1912</v>
      </c>
      <c r="N469" s="2"/>
      <c r="O469" s="2"/>
      <c r="P469" s="2"/>
      <c r="Q469" s="2" t="s">
        <v>2360</v>
      </c>
      <c r="R469" s="2"/>
      <c r="S469" s="2" t="s">
        <v>2053</v>
      </c>
      <c r="Z469" s="2"/>
    </row>
    <row r="470" spans="1:26" ht="30" hidden="1" customHeight="1" x14ac:dyDescent="0.5">
      <c r="A470" s="5">
        <v>164</v>
      </c>
      <c r="B470" s="74">
        <v>1101700040006</v>
      </c>
      <c r="C470" s="100" t="s">
        <v>605</v>
      </c>
      <c r="D470" s="7" t="s">
        <v>606</v>
      </c>
      <c r="E470" s="7" t="s">
        <v>2213</v>
      </c>
      <c r="F470" s="7">
        <v>2021</v>
      </c>
      <c r="G470" s="7" t="s">
        <v>19</v>
      </c>
      <c r="H470" s="97" t="s">
        <v>42</v>
      </c>
      <c r="I470" s="8" t="s">
        <v>607</v>
      </c>
      <c r="J470" s="7" t="s">
        <v>263</v>
      </c>
      <c r="K470" s="7" t="s">
        <v>602</v>
      </c>
      <c r="L470" s="2" t="s">
        <v>1498</v>
      </c>
      <c r="M470" s="11" t="s">
        <v>1912</v>
      </c>
      <c r="N470" s="2"/>
      <c r="O470" s="2"/>
      <c r="P470" s="2"/>
      <c r="Q470" s="2" t="s">
        <v>2377</v>
      </c>
      <c r="R470" s="2" t="s">
        <v>2126</v>
      </c>
      <c r="S470" s="2" t="s">
        <v>1716</v>
      </c>
      <c r="Z470" s="7"/>
    </row>
    <row r="471" spans="1:26" ht="30" hidden="1" customHeight="1" x14ac:dyDescent="0.5">
      <c r="A471" s="5">
        <v>290</v>
      </c>
      <c r="B471" s="8">
        <v>1108700010001</v>
      </c>
      <c r="C471" s="7" t="s">
        <v>356</v>
      </c>
      <c r="D471" s="7" t="s">
        <v>357</v>
      </c>
      <c r="F471" s="7">
        <v>2008</v>
      </c>
      <c r="G471" s="7" t="s">
        <v>19</v>
      </c>
      <c r="H471" s="7" t="s">
        <v>358</v>
      </c>
      <c r="I471" s="8" t="s">
        <v>359</v>
      </c>
      <c r="J471" s="7" t="s">
        <v>263</v>
      </c>
      <c r="K471" s="7" t="s">
        <v>270</v>
      </c>
      <c r="L471" s="2" t="s">
        <v>1544</v>
      </c>
      <c r="M471" s="2" t="s">
        <v>2705</v>
      </c>
      <c r="N471" s="2"/>
      <c r="O471" s="2"/>
      <c r="P471" s="2"/>
      <c r="Q471" s="2"/>
      <c r="R471" s="2"/>
      <c r="S471" s="2"/>
      <c r="Z471" s="2"/>
    </row>
    <row r="472" spans="1:26" ht="30" hidden="1" customHeight="1" x14ac:dyDescent="0.5">
      <c r="A472" s="5">
        <v>75</v>
      </c>
      <c r="B472" s="8">
        <v>1108700020001</v>
      </c>
      <c r="C472" s="7" t="s">
        <v>683</v>
      </c>
      <c r="D472" s="7" t="s">
        <v>1371</v>
      </c>
      <c r="F472" s="7">
        <v>1980</v>
      </c>
      <c r="G472" s="7" t="s">
        <v>19</v>
      </c>
      <c r="H472" s="7" t="s">
        <v>358</v>
      </c>
      <c r="I472" s="8">
        <v>1359</v>
      </c>
      <c r="J472" s="7" t="s">
        <v>263</v>
      </c>
      <c r="K472" s="9" t="s">
        <v>1225</v>
      </c>
      <c r="L472" s="2" t="s">
        <v>1544</v>
      </c>
      <c r="M472" s="9" t="s">
        <v>1552</v>
      </c>
      <c r="N472" s="2" t="s">
        <v>1571</v>
      </c>
      <c r="O472" s="2" t="s">
        <v>1940</v>
      </c>
      <c r="P472" s="2" t="s">
        <v>1942</v>
      </c>
      <c r="Q472" s="2"/>
      <c r="R472" s="2"/>
      <c r="S472" s="2" t="s">
        <v>1544</v>
      </c>
      <c r="X472" s="5" t="s">
        <v>1480</v>
      </c>
      <c r="Z472" s="2"/>
    </row>
    <row r="473" spans="1:26" ht="30" hidden="1" customHeight="1" x14ac:dyDescent="0.5">
      <c r="A473" s="5">
        <v>76</v>
      </c>
      <c r="B473" s="8">
        <v>1108700020001</v>
      </c>
      <c r="C473" s="7" t="s">
        <v>683</v>
      </c>
      <c r="D473" s="7" t="s">
        <v>1372</v>
      </c>
      <c r="F473" s="7">
        <v>1980</v>
      </c>
      <c r="G473" s="7" t="s">
        <v>19</v>
      </c>
      <c r="H473" s="7" t="s">
        <v>358</v>
      </c>
      <c r="I473" s="8">
        <v>60474</v>
      </c>
      <c r="J473" s="7" t="s">
        <v>263</v>
      </c>
      <c r="K473" s="9" t="s">
        <v>1225</v>
      </c>
      <c r="L473" s="2" t="s">
        <v>1476</v>
      </c>
      <c r="M473" s="9" t="s">
        <v>1552</v>
      </c>
      <c r="N473" s="2" t="s">
        <v>1571</v>
      </c>
      <c r="O473" s="2" t="s">
        <v>1940</v>
      </c>
      <c r="P473" s="2" t="s">
        <v>1942</v>
      </c>
      <c r="Q473" s="2"/>
      <c r="R473" s="2"/>
      <c r="S473" s="2" t="s">
        <v>1544</v>
      </c>
      <c r="X473" s="5" t="s">
        <v>1481</v>
      </c>
      <c r="Z473" s="2"/>
    </row>
    <row r="474" spans="1:26" ht="30" hidden="1" customHeight="1" x14ac:dyDescent="0.5">
      <c r="A474" s="5">
        <v>68</v>
      </c>
      <c r="B474" s="8">
        <v>1108700020001</v>
      </c>
      <c r="C474" s="7" t="s">
        <v>683</v>
      </c>
      <c r="D474" s="7" t="s">
        <v>1373</v>
      </c>
      <c r="E474" s="7" t="s">
        <v>2215</v>
      </c>
      <c r="F474" s="7">
        <v>2015</v>
      </c>
      <c r="G474" s="7" t="s">
        <v>19</v>
      </c>
      <c r="H474" s="7" t="s">
        <v>358</v>
      </c>
      <c r="I474" s="8" t="s">
        <v>1374</v>
      </c>
      <c r="J474" s="7" t="s">
        <v>263</v>
      </c>
      <c r="K474" s="7" t="s">
        <v>1225</v>
      </c>
      <c r="L474" s="2" t="s">
        <v>1544</v>
      </c>
      <c r="M474" s="11" t="s">
        <v>1912</v>
      </c>
      <c r="N474" s="2"/>
      <c r="O474" s="2"/>
      <c r="P474" s="2"/>
      <c r="Q474" s="2" t="s">
        <v>2365</v>
      </c>
      <c r="R474" s="2"/>
      <c r="S474" s="2" t="s">
        <v>2053</v>
      </c>
      <c r="X474" s="5" t="s">
        <v>1474</v>
      </c>
      <c r="Z474" s="7"/>
    </row>
    <row r="475" spans="1:26" ht="30" hidden="1" customHeight="1" x14ac:dyDescent="0.5">
      <c r="A475" s="5">
        <v>380</v>
      </c>
      <c r="B475" s="8">
        <v>1108700020001</v>
      </c>
      <c r="C475" s="7" t="s">
        <v>683</v>
      </c>
      <c r="D475" s="7" t="s">
        <v>684</v>
      </c>
      <c r="F475" s="7">
        <v>2015</v>
      </c>
      <c r="G475" s="7" t="s">
        <v>19</v>
      </c>
      <c r="H475" s="7" t="s">
        <v>358</v>
      </c>
      <c r="I475" s="8" t="s">
        <v>685</v>
      </c>
      <c r="J475" s="7" t="s">
        <v>263</v>
      </c>
      <c r="K475" s="7" t="s">
        <v>632</v>
      </c>
      <c r="L475" s="2" t="s">
        <v>1544</v>
      </c>
      <c r="M475" s="2" t="s">
        <v>2705</v>
      </c>
      <c r="N475" s="2"/>
      <c r="O475" s="2"/>
      <c r="P475" s="2"/>
      <c r="Q475" s="2"/>
      <c r="R475" s="2"/>
      <c r="S475" s="2"/>
      <c r="Z475" s="2"/>
    </row>
    <row r="476" spans="1:26" ht="30" hidden="1" customHeight="1" x14ac:dyDescent="0.5">
      <c r="A476" s="116">
        <v>613</v>
      </c>
      <c r="B476" s="8">
        <v>1106700020010</v>
      </c>
      <c r="C476" s="7" t="s">
        <v>210</v>
      </c>
      <c r="D476" s="7" t="s">
        <v>1369</v>
      </c>
      <c r="E476" s="7" t="s">
        <v>2215</v>
      </c>
      <c r="F476" s="7">
        <v>2006</v>
      </c>
      <c r="G476" s="7" t="s">
        <v>19</v>
      </c>
      <c r="H476" s="7" t="s">
        <v>571</v>
      </c>
      <c r="I476" s="8" t="s">
        <v>1370</v>
      </c>
      <c r="J476" s="111" t="s">
        <v>263</v>
      </c>
      <c r="K476" s="7" t="s">
        <v>1225</v>
      </c>
      <c r="L476" s="2" t="s">
        <v>1537</v>
      </c>
      <c r="M476" s="11" t="s">
        <v>1912</v>
      </c>
      <c r="N476" s="2" t="s">
        <v>1564</v>
      </c>
      <c r="O476" s="2" t="s">
        <v>1874</v>
      </c>
      <c r="P476" s="2" t="s">
        <v>2169</v>
      </c>
      <c r="Q476" s="2" t="s">
        <v>2599</v>
      </c>
      <c r="R476" s="2" t="s">
        <v>2364</v>
      </c>
      <c r="S476" s="2" t="s">
        <v>2048</v>
      </c>
      <c r="Z476" s="7"/>
    </row>
    <row r="477" spans="1:26" ht="30" hidden="1" customHeight="1" x14ac:dyDescent="0.5">
      <c r="A477" s="5">
        <v>118</v>
      </c>
      <c r="B477" s="8">
        <v>1106700020010</v>
      </c>
      <c r="C477" s="7" t="s">
        <v>210</v>
      </c>
      <c r="D477" s="7" t="s">
        <v>1361</v>
      </c>
      <c r="E477" s="7" t="s">
        <v>2213</v>
      </c>
      <c r="F477" s="7">
        <v>2009</v>
      </c>
      <c r="G477" s="7" t="s">
        <v>19</v>
      </c>
      <c r="H477" s="7" t="s">
        <v>52</v>
      </c>
      <c r="I477" s="8" t="s">
        <v>1362</v>
      </c>
      <c r="J477" s="7" t="s">
        <v>263</v>
      </c>
      <c r="K477" s="7" t="s">
        <v>1225</v>
      </c>
      <c r="L477" s="2" t="s">
        <v>1471</v>
      </c>
      <c r="M477" s="11" t="s">
        <v>1912</v>
      </c>
      <c r="N477" s="2" t="s">
        <v>1571</v>
      </c>
      <c r="O477" s="2" t="s">
        <v>2643</v>
      </c>
      <c r="P477" s="2" t="s">
        <v>2644</v>
      </c>
      <c r="Q477" s="2" t="s">
        <v>2677</v>
      </c>
      <c r="R477" s="2" t="s">
        <v>2530</v>
      </c>
      <c r="S477" s="2" t="s">
        <v>1994</v>
      </c>
      <c r="X477" s="5" t="s">
        <v>1522</v>
      </c>
      <c r="Z477" s="7"/>
    </row>
    <row r="478" spans="1:26" ht="30" customHeight="1" x14ac:dyDescent="0.5">
      <c r="A478" s="5">
        <v>596</v>
      </c>
      <c r="B478" s="8">
        <v>1106700020010</v>
      </c>
      <c r="C478" s="7" t="s">
        <v>210</v>
      </c>
      <c r="D478" s="7" t="s">
        <v>783</v>
      </c>
      <c r="F478" s="7">
        <v>2009</v>
      </c>
      <c r="G478" s="7" t="s">
        <v>19</v>
      </c>
      <c r="H478" s="7" t="s">
        <v>56</v>
      </c>
      <c r="I478" s="8" t="s">
        <v>784</v>
      </c>
      <c r="J478" s="7" t="s">
        <v>35</v>
      </c>
      <c r="K478" s="7" t="s">
        <v>776</v>
      </c>
      <c r="L478" s="2" t="s">
        <v>1506</v>
      </c>
      <c r="M478" s="2" t="s">
        <v>1548</v>
      </c>
      <c r="N478" s="2" t="s">
        <v>1615</v>
      </c>
      <c r="O478" s="2" t="s">
        <v>2361</v>
      </c>
      <c r="P478" s="9" t="s">
        <v>2526</v>
      </c>
      <c r="Q478" s="2" t="s">
        <v>2180</v>
      </c>
      <c r="R478" s="2"/>
      <c r="S478" s="2" t="s">
        <v>2004</v>
      </c>
      <c r="Z478" s="2"/>
    </row>
    <row r="479" spans="1:26" ht="30" customHeight="1" x14ac:dyDescent="0.5">
      <c r="A479" s="5">
        <v>593</v>
      </c>
      <c r="B479" s="8">
        <v>1106700020010</v>
      </c>
      <c r="C479" s="7" t="s">
        <v>210</v>
      </c>
      <c r="D479" s="7" t="s">
        <v>1467</v>
      </c>
      <c r="F479" s="7">
        <v>2009</v>
      </c>
      <c r="G479" s="7" t="s">
        <v>19</v>
      </c>
      <c r="H479" s="7" t="s">
        <v>56</v>
      </c>
      <c r="I479" s="8" t="s">
        <v>1365</v>
      </c>
      <c r="J479" s="7" t="s">
        <v>263</v>
      </c>
      <c r="K479" s="7" t="s">
        <v>1225</v>
      </c>
      <c r="L479" s="2" t="s">
        <v>1471</v>
      </c>
      <c r="M479" s="2" t="s">
        <v>1548</v>
      </c>
      <c r="N479" s="2" t="s">
        <v>1564</v>
      </c>
      <c r="O479" s="2" t="s">
        <v>2406</v>
      </c>
      <c r="P479" s="9" t="s">
        <v>2407</v>
      </c>
      <c r="Q479" s="2"/>
      <c r="R479" s="2"/>
      <c r="S479" s="2" t="s">
        <v>1471</v>
      </c>
      <c r="Z479" s="2"/>
    </row>
    <row r="480" spans="1:26" ht="30" hidden="1" customHeight="1" x14ac:dyDescent="0.5">
      <c r="A480" s="117">
        <v>451</v>
      </c>
      <c r="B480" s="8">
        <v>1106700020010</v>
      </c>
      <c r="C480" s="7" t="s">
        <v>210</v>
      </c>
      <c r="D480" s="7" t="s">
        <v>1363</v>
      </c>
      <c r="E480" s="2" t="s">
        <v>2218</v>
      </c>
      <c r="F480" s="7">
        <v>2009</v>
      </c>
      <c r="G480" s="7" t="s">
        <v>19</v>
      </c>
      <c r="H480" s="7" t="s">
        <v>52</v>
      </c>
      <c r="I480" s="8" t="s">
        <v>1364</v>
      </c>
      <c r="J480" s="111" t="s">
        <v>263</v>
      </c>
      <c r="K480" s="57" t="s">
        <v>1225</v>
      </c>
      <c r="L480" s="2" t="s">
        <v>1544</v>
      </c>
      <c r="M480" s="2" t="s">
        <v>2066</v>
      </c>
      <c r="N480" s="2" t="s">
        <v>1571</v>
      </c>
      <c r="O480" s="2" t="s">
        <v>2501</v>
      </c>
      <c r="P480" s="123" t="s">
        <v>2492</v>
      </c>
      <c r="Q480" s="2"/>
      <c r="R480" s="2" t="s">
        <v>2502</v>
      </c>
      <c r="S480" s="2" t="s">
        <v>1689</v>
      </c>
      <c r="Z480" s="2"/>
    </row>
    <row r="481" spans="1:26" ht="30" customHeight="1" x14ac:dyDescent="0.5">
      <c r="A481" s="5">
        <v>615</v>
      </c>
      <c r="B481" s="8">
        <v>1106700020010</v>
      </c>
      <c r="C481" s="7" t="s">
        <v>210</v>
      </c>
      <c r="D481" s="7" t="s">
        <v>254</v>
      </c>
      <c r="F481" s="7">
        <v>2007</v>
      </c>
      <c r="G481" s="7" t="s">
        <v>19</v>
      </c>
      <c r="H481" s="7" t="s">
        <v>104</v>
      </c>
      <c r="I481" s="8" t="s">
        <v>255</v>
      </c>
      <c r="J481" s="111" t="s">
        <v>0</v>
      </c>
      <c r="K481" s="7" t="s">
        <v>240</v>
      </c>
      <c r="L481" s="2" t="s">
        <v>1543</v>
      </c>
      <c r="M481" s="2" t="s">
        <v>1548</v>
      </c>
      <c r="N481" s="2" t="s">
        <v>1564</v>
      </c>
      <c r="O481" s="2" t="s">
        <v>2532</v>
      </c>
      <c r="P481" s="9" t="s">
        <v>2531</v>
      </c>
      <c r="Q481" s="2" t="s">
        <v>2511</v>
      </c>
      <c r="R481" s="2" t="s">
        <v>2533</v>
      </c>
      <c r="S481" s="2" t="s">
        <v>1730</v>
      </c>
      <c r="Z481" s="2"/>
    </row>
    <row r="482" spans="1:26" ht="30" customHeight="1" x14ac:dyDescent="0.5">
      <c r="A482" s="116">
        <v>614</v>
      </c>
      <c r="B482" s="8">
        <v>1106700020010</v>
      </c>
      <c r="C482" s="7" t="s">
        <v>210</v>
      </c>
      <c r="D482" s="7" t="s">
        <v>252</v>
      </c>
      <c r="E482" s="105" t="s">
        <v>2221</v>
      </c>
      <c r="F482" s="7">
        <v>2007</v>
      </c>
      <c r="G482" s="7" t="s">
        <v>19</v>
      </c>
      <c r="H482" s="7" t="s">
        <v>56</v>
      </c>
      <c r="I482" s="8" t="s">
        <v>253</v>
      </c>
      <c r="J482" s="7" t="s">
        <v>0</v>
      </c>
      <c r="K482" s="7" t="s">
        <v>240</v>
      </c>
      <c r="L482" s="2" t="s">
        <v>1543</v>
      </c>
      <c r="M482" s="2" t="s">
        <v>1548</v>
      </c>
      <c r="N482" s="2" t="s">
        <v>1571</v>
      </c>
      <c r="O482" s="2" t="s">
        <v>2173</v>
      </c>
      <c r="P482" s="2" t="s">
        <v>2174</v>
      </c>
      <c r="Q482" s="2"/>
      <c r="R482" s="2"/>
      <c r="S482" s="2" t="s">
        <v>1543</v>
      </c>
      <c r="Z482" s="2"/>
    </row>
    <row r="483" spans="1:26" ht="30" hidden="1" customHeight="1" x14ac:dyDescent="0.5">
      <c r="A483" s="5">
        <v>594</v>
      </c>
      <c r="B483" s="8">
        <v>1106700020010</v>
      </c>
      <c r="C483" s="7" t="s">
        <v>210</v>
      </c>
      <c r="D483" s="7" t="s">
        <v>873</v>
      </c>
      <c r="E483" s="72" t="s">
        <v>2213</v>
      </c>
      <c r="F483" s="7">
        <v>2009</v>
      </c>
      <c r="G483" s="7" t="s">
        <v>19</v>
      </c>
      <c r="H483" s="7" t="s">
        <v>52</v>
      </c>
      <c r="I483" s="8" t="s">
        <v>874</v>
      </c>
      <c r="J483" s="111" t="s">
        <v>35</v>
      </c>
      <c r="K483" s="7" t="s">
        <v>868</v>
      </c>
      <c r="L483" s="2" t="s">
        <v>1513</v>
      </c>
      <c r="M483" s="11" t="s">
        <v>1912</v>
      </c>
      <c r="N483" s="2" t="s">
        <v>1564</v>
      </c>
      <c r="O483" s="2" t="s">
        <v>2481</v>
      </c>
      <c r="P483" s="2" t="s">
        <v>2480</v>
      </c>
      <c r="Q483" s="2" t="s">
        <v>2630</v>
      </c>
      <c r="R483" s="2" t="s">
        <v>2341</v>
      </c>
      <c r="S483" s="2" t="s">
        <v>1721</v>
      </c>
      <c r="Z483" s="7"/>
    </row>
    <row r="484" spans="1:26" ht="30" customHeight="1" x14ac:dyDescent="0.5">
      <c r="A484" s="5">
        <v>595</v>
      </c>
      <c r="B484" s="8">
        <v>1106700020010</v>
      </c>
      <c r="C484" s="7" t="s">
        <v>210</v>
      </c>
      <c r="D484" s="7" t="s">
        <v>1366</v>
      </c>
      <c r="E484" s="72" t="s">
        <v>2213</v>
      </c>
      <c r="F484" s="7">
        <v>2009</v>
      </c>
      <c r="G484" s="7" t="s">
        <v>19</v>
      </c>
      <c r="H484" s="7" t="s">
        <v>52</v>
      </c>
      <c r="I484" s="8" t="s">
        <v>1367</v>
      </c>
      <c r="J484" s="7" t="s">
        <v>263</v>
      </c>
      <c r="K484" s="57" t="s">
        <v>1225</v>
      </c>
      <c r="L484" s="2" t="s">
        <v>1482</v>
      </c>
      <c r="M484" s="2" t="s">
        <v>1548</v>
      </c>
      <c r="N484" s="2" t="s">
        <v>1564</v>
      </c>
      <c r="O484" s="2" t="s">
        <v>2105</v>
      </c>
      <c r="P484" s="123" t="s">
        <v>2413</v>
      </c>
      <c r="Q484" s="2" t="s">
        <v>2348</v>
      </c>
      <c r="R484" s="2" t="s">
        <v>2447</v>
      </c>
      <c r="S484" s="2" t="s">
        <v>2053</v>
      </c>
      <c r="Z484" s="2"/>
    </row>
    <row r="485" spans="1:26" ht="30" customHeight="1" x14ac:dyDescent="0.5">
      <c r="A485" s="116">
        <v>611</v>
      </c>
      <c r="B485" s="8">
        <v>1106700020010</v>
      </c>
      <c r="C485" s="7" t="s">
        <v>210</v>
      </c>
      <c r="D485" s="7" t="s">
        <v>906</v>
      </c>
      <c r="E485" s="105" t="s">
        <v>2213</v>
      </c>
      <c r="F485" s="7">
        <v>2006</v>
      </c>
      <c r="G485" s="7" t="s">
        <v>19</v>
      </c>
      <c r="H485" s="7" t="s">
        <v>571</v>
      </c>
      <c r="I485" s="8" t="s">
        <v>907</v>
      </c>
      <c r="J485" s="111" t="s">
        <v>35</v>
      </c>
      <c r="K485" s="57" t="s">
        <v>901</v>
      </c>
      <c r="L485" s="2" t="s">
        <v>1549</v>
      </c>
      <c r="M485" s="2" t="s">
        <v>1548</v>
      </c>
      <c r="N485" s="2" t="s">
        <v>1564</v>
      </c>
      <c r="O485" s="2" t="s">
        <v>2194</v>
      </c>
      <c r="P485" s="9" t="s">
        <v>2677</v>
      </c>
      <c r="Q485" s="57"/>
      <c r="R485" s="2" t="s">
        <v>2733</v>
      </c>
      <c r="S485" s="2" t="s">
        <v>1717</v>
      </c>
      <c r="Z485" s="2"/>
    </row>
    <row r="486" spans="1:26" ht="30" hidden="1" customHeight="1" x14ac:dyDescent="0.5">
      <c r="A486" s="5">
        <v>612</v>
      </c>
      <c r="B486" s="8">
        <v>1106700020010</v>
      </c>
      <c r="C486" s="7" t="s">
        <v>210</v>
      </c>
      <c r="D486" s="7" t="s">
        <v>1468</v>
      </c>
      <c r="F486" s="7">
        <v>2006</v>
      </c>
      <c r="G486" s="7" t="s">
        <v>19</v>
      </c>
      <c r="H486" s="7" t="s">
        <v>104</v>
      </c>
      <c r="I486" s="8" t="s">
        <v>1368</v>
      </c>
      <c r="J486" s="111" t="s">
        <v>263</v>
      </c>
      <c r="K486" s="7" t="s">
        <v>1225</v>
      </c>
      <c r="L486" s="2" t="s">
        <v>1544</v>
      </c>
      <c r="M486" s="11" t="s">
        <v>1912</v>
      </c>
      <c r="N486" s="2" t="s">
        <v>1571</v>
      </c>
      <c r="O486" s="2" t="s">
        <v>2638</v>
      </c>
      <c r="P486" s="2" t="s">
        <v>2635</v>
      </c>
      <c r="Q486" s="2" t="s">
        <v>2654</v>
      </c>
      <c r="R486" s="2" t="s">
        <v>2622</v>
      </c>
      <c r="S486" s="2" t="s">
        <v>2053</v>
      </c>
      <c r="Z486" s="2"/>
    </row>
    <row r="487" spans="1:26" ht="30" customHeight="1" x14ac:dyDescent="0.5">
      <c r="A487" s="116">
        <v>610</v>
      </c>
      <c r="B487" s="8">
        <v>1106700020010</v>
      </c>
      <c r="C487" s="7" t="s">
        <v>210</v>
      </c>
      <c r="D487" s="7" t="s">
        <v>797</v>
      </c>
      <c r="E487" s="105" t="s">
        <v>2221</v>
      </c>
      <c r="F487" s="7">
        <v>2006</v>
      </c>
      <c r="G487" s="7" t="s">
        <v>19</v>
      </c>
      <c r="H487" s="7" t="s">
        <v>56</v>
      </c>
      <c r="I487" s="8" t="s">
        <v>798</v>
      </c>
      <c r="J487" s="7" t="s">
        <v>35</v>
      </c>
      <c r="K487" s="7" t="s">
        <v>792</v>
      </c>
      <c r="L487" s="2" t="s">
        <v>1498</v>
      </c>
      <c r="M487" s="2" t="s">
        <v>1548</v>
      </c>
      <c r="N487" s="2" t="s">
        <v>1571</v>
      </c>
      <c r="O487" s="2" t="s">
        <v>2620</v>
      </c>
      <c r="P487" s="2" t="s">
        <v>2146</v>
      </c>
      <c r="Q487" s="2"/>
      <c r="R487" s="2" t="s">
        <v>2605</v>
      </c>
      <c r="S487" s="2" t="s">
        <v>1718</v>
      </c>
      <c r="Z487" s="2"/>
    </row>
    <row r="488" spans="1:26" ht="30" hidden="1" customHeight="1" x14ac:dyDescent="0.5">
      <c r="A488" s="5">
        <v>452</v>
      </c>
      <c r="B488" s="8">
        <v>1106700020010</v>
      </c>
      <c r="C488" s="7" t="s">
        <v>210</v>
      </c>
      <c r="D488" s="7" t="s">
        <v>211</v>
      </c>
      <c r="F488" s="7">
        <v>2009</v>
      </c>
      <c r="G488" s="7" t="s">
        <v>19</v>
      </c>
      <c r="H488" s="7" t="s">
        <v>52</v>
      </c>
      <c r="I488" s="8" t="s">
        <v>212</v>
      </c>
      <c r="J488" s="7" t="s">
        <v>35</v>
      </c>
      <c r="K488" s="7" t="s">
        <v>205</v>
      </c>
      <c r="L488" s="2" t="s">
        <v>1525</v>
      </c>
      <c r="M488" s="11" t="s">
        <v>1912</v>
      </c>
      <c r="N488" s="2" t="s">
        <v>1567</v>
      </c>
      <c r="O488" s="2" t="s">
        <v>2536</v>
      </c>
      <c r="P488" s="2" t="s">
        <v>2534</v>
      </c>
      <c r="Q488" s="2" t="s">
        <v>2694</v>
      </c>
      <c r="R488" s="2"/>
      <c r="S488" s="2" t="s">
        <v>2018</v>
      </c>
      <c r="U488" s="5" t="s">
        <v>1558</v>
      </c>
      <c r="Z488" s="2"/>
    </row>
    <row r="489" spans="1:26" ht="30" hidden="1" customHeight="1" x14ac:dyDescent="0.5">
      <c r="A489" s="5">
        <v>16</v>
      </c>
      <c r="B489" s="8">
        <v>1106700020003</v>
      </c>
      <c r="C489" s="7" t="s">
        <v>54</v>
      </c>
      <c r="D489" s="7" t="s">
        <v>1347</v>
      </c>
      <c r="F489" s="7">
        <v>1983</v>
      </c>
      <c r="G489" s="7" t="s">
        <v>19</v>
      </c>
      <c r="H489" s="7" t="s">
        <v>56</v>
      </c>
      <c r="I489" s="8">
        <v>3430315491460</v>
      </c>
      <c r="J489" s="7" t="s">
        <v>263</v>
      </c>
      <c r="K489" s="9" t="s">
        <v>1225</v>
      </c>
      <c r="L489" s="2" t="s">
        <v>1544</v>
      </c>
      <c r="M489" s="9" t="s">
        <v>1552</v>
      </c>
      <c r="N489" s="2" t="s">
        <v>1571</v>
      </c>
      <c r="O489" s="2" t="s">
        <v>1609</v>
      </c>
      <c r="P489" s="2"/>
      <c r="Q489" s="2"/>
      <c r="R489" s="2"/>
      <c r="S489" s="2" t="s">
        <v>1544</v>
      </c>
      <c r="X489" s="4" t="s">
        <v>1687</v>
      </c>
      <c r="Z489" s="2"/>
    </row>
    <row r="490" spans="1:26" ht="30" hidden="1" customHeight="1" x14ac:dyDescent="0.5">
      <c r="A490" s="5">
        <v>26</v>
      </c>
      <c r="B490" s="8">
        <v>1106700020003</v>
      </c>
      <c r="C490" s="7" t="s">
        <v>54</v>
      </c>
      <c r="D490" s="7" t="s">
        <v>1348</v>
      </c>
      <c r="F490" s="7">
        <v>1983</v>
      </c>
      <c r="G490" s="7" t="s">
        <v>19</v>
      </c>
      <c r="H490" s="7" t="s">
        <v>56</v>
      </c>
      <c r="I490" s="8">
        <v>34303154941459</v>
      </c>
      <c r="J490" s="7" t="s">
        <v>263</v>
      </c>
      <c r="K490" s="7" t="s">
        <v>1225</v>
      </c>
      <c r="L490" s="2" t="s">
        <v>1544</v>
      </c>
      <c r="M490" s="9" t="s">
        <v>1553</v>
      </c>
      <c r="N490" s="9" t="s">
        <v>1571</v>
      </c>
      <c r="O490" s="2" t="s">
        <v>1609</v>
      </c>
      <c r="P490" s="2"/>
      <c r="Q490" s="2"/>
      <c r="R490" s="2"/>
      <c r="S490" s="2" t="s">
        <v>1544</v>
      </c>
      <c r="X490" s="4" t="s">
        <v>1697</v>
      </c>
      <c r="Z490" s="2"/>
    </row>
    <row r="491" spans="1:26" ht="30" hidden="1" customHeight="1" x14ac:dyDescent="0.5">
      <c r="A491" s="5">
        <v>27</v>
      </c>
      <c r="B491" s="8">
        <v>1106700020003</v>
      </c>
      <c r="C491" s="7" t="s">
        <v>54</v>
      </c>
      <c r="D491" s="7" t="s">
        <v>1349</v>
      </c>
      <c r="F491" s="7">
        <v>1983</v>
      </c>
      <c r="G491" s="7" t="s">
        <v>19</v>
      </c>
      <c r="H491" s="7" t="s">
        <v>56</v>
      </c>
      <c r="I491" s="8">
        <v>34303154942627</v>
      </c>
      <c r="J491" s="7" t="s">
        <v>263</v>
      </c>
      <c r="K491" s="7" t="s">
        <v>1225</v>
      </c>
      <c r="L491" s="2" t="s">
        <v>1544</v>
      </c>
      <c r="M491" s="9" t="s">
        <v>1553</v>
      </c>
      <c r="N491" s="9" t="s">
        <v>1571</v>
      </c>
      <c r="O491" s="2" t="s">
        <v>1940</v>
      </c>
      <c r="P491" s="2" t="s">
        <v>1941</v>
      </c>
      <c r="Q491" s="2"/>
      <c r="R491" s="2"/>
      <c r="S491" s="2" t="s">
        <v>1544</v>
      </c>
      <c r="X491" s="4" t="s">
        <v>1698</v>
      </c>
      <c r="Z491" s="2"/>
    </row>
    <row r="492" spans="1:26" ht="30" hidden="1" customHeight="1" x14ac:dyDescent="0.5">
      <c r="A492" s="5">
        <v>92</v>
      </c>
      <c r="B492" s="8">
        <v>1106700020003</v>
      </c>
      <c r="C492" s="7" t="s">
        <v>54</v>
      </c>
      <c r="D492" s="7" t="s">
        <v>1346</v>
      </c>
      <c r="F492" s="7">
        <v>1983</v>
      </c>
      <c r="G492" s="7" t="s">
        <v>19</v>
      </c>
      <c r="H492" s="7" t="s">
        <v>56</v>
      </c>
      <c r="I492" s="8">
        <v>343031540941074</v>
      </c>
      <c r="J492" s="7" t="s">
        <v>263</v>
      </c>
      <c r="K492" s="7" t="s">
        <v>1225</v>
      </c>
      <c r="L492" s="2" t="s">
        <v>1544</v>
      </c>
      <c r="M492" s="9" t="s">
        <v>1553</v>
      </c>
      <c r="N492" s="9" t="s">
        <v>1571</v>
      </c>
      <c r="O492" s="2" t="s">
        <v>1609</v>
      </c>
      <c r="P492" s="2"/>
      <c r="Q492" s="2"/>
      <c r="R492" s="2"/>
      <c r="S492" s="2" t="s">
        <v>1544</v>
      </c>
      <c r="X492" s="5" t="s">
        <v>1496</v>
      </c>
      <c r="Z492" s="2"/>
    </row>
    <row r="493" spans="1:26" ht="30" hidden="1" customHeight="1" x14ac:dyDescent="0.5">
      <c r="A493" s="5">
        <v>77</v>
      </c>
      <c r="B493" s="8">
        <v>1106700020003</v>
      </c>
      <c r="C493" s="7" t="s">
        <v>54</v>
      </c>
      <c r="D493" s="7" t="s">
        <v>1350</v>
      </c>
      <c r="F493" s="7">
        <v>1993</v>
      </c>
      <c r="G493" s="7" t="s">
        <v>19</v>
      </c>
      <c r="H493" s="7" t="s">
        <v>104</v>
      </c>
      <c r="I493" s="8">
        <v>34600155951192</v>
      </c>
      <c r="J493" s="7" t="s">
        <v>263</v>
      </c>
      <c r="K493" s="7" t="s">
        <v>1225</v>
      </c>
      <c r="L493" s="2" t="s">
        <v>1544</v>
      </c>
      <c r="M493" s="9" t="s">
        <v>1553</v>
      </c>
      <c r="N493" s="9" t="s">
        <v>1571</v>
      </c>
      <c r="O493" s="2" t="s">
        <v>1609</v>
      </c>
      <c r="P493" s="2"/>
      <c r="Q493" s="2"/>
      <c r="R493" s="2"/>
      <c r="S493" s="2" t="s">
        <v>1544</v>
      </c>
      <c r="X493" s="5" t="s">
        <v>1482</v>
      </c>
      <c r="Z493" s="2"/>
    </row>
    <row r="494" spans="1:26" ht="30" hidden="1" customHeight="1" x14ac:dyDescent="0.5">
      <c r="A494" s="5">
        <v>223</v>
      </c>
      <c r="B494" s="58">
        <v>1106700020003</v>
      </c>
      <c r="C494" s="7" t="s">
        <v>54</v>
      </c>
      <c r="D494" s="7" t="s">
        <v>492</v>
      </c>
      <c r="F494" s="70">
        <v>2016</v>
      </c>
      <c r="G494" s="7" t="s">
        <v>19</v>
      </c>
      <c r="H494" s="7" t="s">
        <v>56</v>
      </c>
      <c r="I494" s="8" t="s">
        <v>493</v>
      </c>
      <c r="J494" s="7" t="s">
        <v>263</v>
      </c>
      <c r="K494" s="7" t="s">
        <v>485</v>
      </c>
      <c r="L494" s="2" t="s">
        <v>1518</v>
      </c>
      <c r="M494" s="11" t="s">
        <v>1912</v>
      </c>
      <c r="N494" s="2" t="s">
        <v>1571</v>
      </c>
      <c r="O494" s="2" t="s">
        <v>2317</v>
      </c>
      <c r="P494" s="2" t="s">
        <v>2316</v>
      </c>
      <c r="Q494" s="2" t="s">
        <v>2434</v>
      </c>
      <c r="R494" s="2" t="s">
        <v>2318</v>
      </c>
      <c r="S494" s="2" t="s">
        <v>1992</v>
      </c>
      <c r="Z494" s="2"/>
    </row>
    <row r="495" spans="1:26" ht="30" customHeight="1" x14ac:dyDescent="0.5">
      <c r="A495" s="116">
        <v>416</v>
      </c>
      <c r="B495" s="58">
        <v>1106700020003</v>
      </c>
      <c r="C495" s="7" t="s">
        <v>54</v>
      </c>
      <c r="D495" s="7" t="s">
        <v>341</v>
      </c>
      <c r="E495" s="105" t="s">
        <v>2213</v>
      </c>
      <c r="F495" s="70">
        <v>2011</v>
      </c>
      <c r="G495" s="7" t="s">
        <v>19</v>
      </c>
      <c r="H495" s="7" t="s">
        <v>56</v>
      </c>
      <c r="I495" s="8" t="s">
        <v>342</v>
      </c>
      <c r="J495" s="7" t="s">
        <v>263</v>
      </c>
      <c r="K495" s="7" t="s">
        <v>270</v>
      </c>
      <c r="L495" s="2" t="s">
        <v>1544</v>
      </c>
      <c r="M495" s="2" t="s">
        <v>1548</v>
      </c>
      <c r="N495" s="2" t="s">
        <v>1564</v>
      </c>
      <c r="O495" s="2" t="s">
        <v>1594</v>
      </c>
      <c r="P495" s="2" t="s">
        <v>1595</v>
      </c>
      <c r="Q495" s="57"/>
      <c r="R495" s="2"/>
      <c r="S495" s="2"/>
      <c r="Z495" s="2"/>
    </row>
    <row r="496" spans="1:26" ht="30" hidden="1" customHeight="1" x14ac:dyDescent="0.5">
      <c r="A496" s="5">
        <v>609</v>
      </c>
      <c r="B496" s="8">
        <v>1106700020003</v>
      </c>
      <c r="C496" s="7" t="s">
        <v>54</v>
      </c>
      <c r="D496" s="7" t="s">
        <v>1357</v>
      </c>
      <c r="F496" s="7">
        <v>2006</v>
      </c>
      <c r="G496" s="7" t="s">
        <v>19</v>
      </c>
      <c r="H496" s="7" t="s">
        <v>56</v>
      </c>
      <c r="I496" s="8" t="s">
        <v>1358</v>
      </c>
      <c r="J496" s="7" t="s">
        <v>263</v>
      </c>
      <c r="K496" s="7" t="s">
        <v>1225</v>
      </c>
      <c r="L496" s="2" t="s">
        <v>1544</v>
      </c>
      <c r="M496" s="9" t="s">
        <v>1553</v>
      </c>
      <c r="N496" s="2" t="s">
        <v>1571</v>
      </c>
      <c r="O496" s="2" t="s">
        <v>1609</v>
      </c>
      <c r="P496" s="2"/>
      <c r="Q496" s="2" t="s">
        <v>2440</v>
      </c>
      <c r="R496" s="2"/>
      <c r="S496" s="2" t="s">
        <v>1544</v>
      </c>
      <c r="Z496" s="2"/>
    </row>
    <row r="497" spans="1:26" ht="30" hidden="1" customHeight="1" x14ac:dyDescent="0.5">
      <c r="A497" s="5">
        <v>146</v>
      </c>
      <c r="B497" s="58">
        <v>1106700020003</v>
      </c>
      <c r="C497" s="7" t="s">
        <v>54</v>
      </c>
      <c r="D497" s="7" t="s">
        <v>885</v>
      </c>
      <c r="F497" s="70">
        <v>2014</v>
      </c>
      <c r="G497" s="7" t="s">
        <v>19</v>
      </c>
      <c r="H497" s="7" t="s">
        <v>56</v>
      </c>
      <c r="I497" s="8" t="s">
        <v>886</v>
      </c>
      <c r="J497" s="111" t="s">
        <v>35</v>
      </c>
      <c r="K497" s="7" t="s">
        <v>881</v>
      </c>
      <c r="L497" s="2" t="s">
        <v>1498</v>
      </c>
      <c r="M497" s="11" t="s">
        <v>1912</v>
      </c>
      <c r="N497" s="2" t="s">
        <v>1571</v>
      </c>
      <c r="O497" s="2" t="s">
        <v>2640</v>
      </c>
      <c r="P497" s="2" t="s">
        <v>2639</v>
      </c>
      <c r="Q497" s="2" t="s">
        <v>2692</v>
      </c>
      <c r="R497" s="2" t="s">
        <v>2622</v>
      </c>
      <c r="S497" s="2" t="s">
        <v>2027</v>
      </c>
      <c r="X497" s="5" t="s">
        <v>1661</v>
      </c>
      <c r="Z497" s="2"/>
    </row>
    <row r="498" spans="1:26" ht="30" customHeight="1" x14ac:dyDescent="0.5">
      <c r="A498" s="5">
        <v>120</v>
      </c>
      <c r="B498" s="58">
        <v>1106700020003</v>
      </c>
      <c r="C498" s="7" t="s">
        <v>54</v>
      </c>
      <c r="D498" s="7" t="s">
        <v>105</v>
      </c>
      <c r="F498" s="70">
        <v>2013</v>
      </c>
      <c r="G498" s="7" t="s">
        <v>19</v>
      </c>
      <c r="H498" s="7" t="s">
        <v>56</v>
      </c>
      <c r="I498" s="8" t="s">
        <v>106</v>
      </c>
      <c r="J498" s="7" t="s">
        <v>35</v>
      </c>
      <c r="K498" s="7" t="s">
        <v>99</v>
      </c>
      <c r="L498" s="2" t="s">
        <v>1493</v>
      </c>
      <c r="M498" s="2" t="s">
        <v>1548</v>
      </c>
      <c r="N498" s="2" t="s">
        <v>1615</v>
      </c>
      <c r="O498" s="2" t="s">
        <v>2645</v>
      </c>
      <c r="P498" s="2" t="s">
        <v>2646</v>
      </c>
      <c r="Q498" s="2" t="s">
        <v>2196</v>
      </c>
      <c r="R498" s="2" t="s">
        <v>2647</v>
      </c>
      <c r="S498" s="2" t="s">
        <v>2048</v>
      </c>
      <c r="U498" s="5" t="s">
        <v>1504</v>
      </c>
      <c r="X498" s="5" t="s">
        <v>1524</v>
      </c>
      <c r="Z498" s="2"/>
    </row>
    <row r="499" spans="1:26" ht="30" hidden="1" customHeight="1" x14ac:dyDescent="0.5">
      <c r="A499" s="5">
        <v>255</v>
      </c>
      <c r="B499" s="58">
        <v>1106700020003</v>
      </c>
      <c r="C499" s="7" t="s">
        <v>54</v>
      </c>
      <c r="D499" s="7" t="s">
        <v>80</v>
      </c>
      <c r="F499" s="70">
        <v>2013</v>
      </c>
      <c r="G499" s="7" t="s">
        <v>19</v>
      </c>
      <c r="H499" s="7" t="s">
        <v>56</v>
      </c>
      <c r="I499" s="8" t="s">
        <v>81</v>
      </c>
      <c r="J499" s="111" t="s">
        <v>35</v>
      </c>
      <c r="K499" s="7" t="s">
        <v>77</v>
      </c>
      <c r="L499" s="2" t="s">
        <v>1487</v>
      </c>
      <c r="M499" s="11" t="s">
        <v>1912</v>
      </c>
      <c r="N499" s="2" t="s">
        <v>1564</v>
      </c>
      <c r="O499" s="2" t="s">
        <v>2445</v>
      </c>
      <c r="P499" s="2" t="s">
        <v>2630</v>
      </c>
      <c r="Q499" s="2" t="s">
        <v>2641</v>
      </c>
      <c r="R499" s="2" t="s">
        <v>2624</v>
      </c>
      <c r="S499" s="2" t="s">
        <v>2038</v>
      </c>
      <c r="U499" s="5" t="s">
        <v>1495</v>
      </c>
      <c r="Z499" s="2"/>
    </row>
    <row r="500" spans="1:26" ht="30" hidden="1" customHeight="1" x14ac:dyDescent="0.5">
      <c r="A500" s="5">
        <v>286</v>
      </c>
      <c r="B500" s="58">
        <v>1106700020003</v>
      </c>
      <c r="C500" s="7" t="s">
        <v>54</v>
      </c>
      <c r="D500" s="7" t="s">
        <v>1353</v>
      </c>
      <c r="E500" s="7" t="s">
        <v>2215</v>
      </c>
      <c r="F500" s="70">
        <v>2013</v>
      </c>
      <c r="G500" s="7" t="s">
        <v>19</v>
      </c>
      <c r="H500" s="7" t="s">
        <v>56</v>
      </c>
      <c r="I500" s="8" t="s">
        <v>1354</v>
      </c>
      <c r="J500" s="111" t="s">
        <v>263</v>
      </c>
      <c r="K500" s="7" t="s">
        <v>1225</v>
      </c>
      <c r="L500" s="2" t="s">
        <v>1537</v>
      </c>
      <c r="M500" s="11" t="s">
        <v>1912</v>
      </c>
      <c r="N500" s="2" t="s">
        <v>1564</v>
      </c>
      <c r="O500" s="2" t="s">
        <v>1586</v>
      </c>
      <c r="P500" s="2" t="s">
        <v>1587</v>
      </c>
      <c r="Q500" s="2" t="s">
        <v>2516</v>
      </c>
      <c r="R500" s="2"/>
      <c r="S500" s="2" t="s">
        <v>2053</v>
      </c>
      <c r="Z500" s="7"/>
    </row>
    <row r="501" spans="1:26" ht="30" customHeight="1" x14ac:dyDescent="0.5">
      <c r="A501" s="116">
        <v>640</v>
      </c>
      <c r="B501" s="8">
        <v>1106700020003</v>
      </c>
      <c r="C501" s="7" t="s">
        <v>54</v>
      </c>
      <c r="D501" s="7" t="s">
        <v>1359</v>
      </c>
      <c r="E501" s="105" t="s">
        <v>2221</v>
      </c>
      <c r="F501" s="7">
        <v>2003</v>
      </c>
      <c r="G501" s="7" t="s">
        <v>19</v>
      </c>
      <c r="H501" s="7" t="s">
        <v>56</v>
      </c>
      <c r="I501" s="8" t="s">
        <v>1360</v>
      </c>
      <c r="J501" s="7" t="s">
        <v>263</v>
      </c>
      <c r="K501" s="7" t="s">
        <v>1225</v>
      </c>
      <c r="L501" s="2" t="s">
        <v>1544</v>
      </c>
      <c r="M501" s="2" t="s">
        <v>1548</v>
      </c>
      <c r="N501" s="2" t="s">
        <v>1569</v>
      </c>
      <c r="O501" s="2" t="s">
        <v>2203</v>
      </c>
      <c r="P501" s="2" t="s">
        <v>2198</v>
      </c>
      <c r="Q501" s="2"/>
      <c r="R501" s="2"/>
      <c r="S501" s="2" t="s">
        <v>2053</v>
      </c>
      <c r="Z501" s="2"/>
    </row>
    <row r="502" spans="1:26" ht="30" hidden="1" customHeight="1" x14ac:dyDescent="0.5">
      <c r="A502" s="5">
        <v>200</v>
      </c>
      <c r="B502" s="58">
        <v>1106700020003</v>
      </c>
      <c r="C502" s="7" t="s">
        <v>54</v>
      </c>
      <c r="D502" s="7" t="s">
        <v>122</v>
      </c>
      <c r="F502" s="70">
        <v>2016</v>
      </c>
      <c r="G502" s="7" t="s">
        <v>19</v>
      </c>
      <c r="H502" s="7" t="s">
        <v>56</v>
      </c>
      <c r="I502" s="8" t="s">
        <v>123</v>
      </c>
      <c r="J502" s="111" t="s">
        <v>35</v>
      </c>
      <c r="K502" s="7" t="s">
        <v>118</v>
      </c>
      <c r="L502" s="2" t="s">
        <v>1493</v>
      </c>
      <c r="M502" s="11" t="s">
        <v>1912</v>
      </c>
      <c r="N502" s="2" t="s">
        <v>1571</v>
      </c>
      <c r="O502" s="2" t="s">
        <v>2628</v>
      </c>
      <c r="P502" s="2" t="s">
        <v>2408</v>
      </c>
      <c r="Q502" s="2" t="s">
        <v>2639</v>
      </c>
      <c r="R502" s="2" t="s">
        <v>2623</v>
      </c>
      <c r="S502" s="2" t="s">
        <v>1656</v>
      </c>
      <c r="U502" s="5" t="s">
        <v>1512</v>
      </c>
      <c r="Z502" s="2"/>
    </row>
    <row r="503" spans="1:26" ht="30" hidden="1" customHeight="1" x14ac:dyDescent="0.5">
      <c r="A503" s="5">
        <v>421</v>
      </c>
      <c r="B503" s="58">
        <v>1106700020003</v>
      </c>
      <c r="C503" s="7" t="s">
        <v>54</v>
      </c>
      <c r="D503" s="7" t="s">
        <v>1439</v>
      </c>
      <c r="F503" s="70">
        <v>2012</v>
      </c>
      <c r="G503" s="7" t="s">
        <v>19</v>
      </c>
      <c r="H503" s="7" t="s">
        <v>56</v>
      </c>
      <c r="I503" s="8" t="s">
        <v>117</v>
      </c>
      <c r="J503" s="7" t="s">
        <v>35</v>
      </c>
      <c r="K503" s="7" t="s">
        <v>112</v>
      </c>
      <c r="L503" s="2" t="s">
        <v>1471</v>
      </c>
      <c r="M503" s="11" t="s">
        <v>2098</v>
      </c>
      <c r="N503" s="2"/>
      <c r="O503" s="2"/>
      <c r="P503" s="2"/>
      <c r="Q503" s="2" t="s">
        <v>2160</v>
      </c>
      <c r="R503" s="2" t="s">
        <v>2070</v>
      </c>
      <c r="S503" s="2" t="s">
        <v>1675</v>
      </c>
      <c r="U503" s="5" t="s">
        <v>1509</v>
      </c>
      <c r="Z503" s="2"/>
    </row>
    <row r="504" spans="1:26" ht="30" hidden="1" customHeight="1" x14ac:dyDescent="0.5">
      <c r="A504" s="5">
        <v>377</v>
      </c>
      <c r="B504" s="58">
        <v>1106700020003</v>
      </c>
      <c r="C504" s="7" t="s">
        <v>54</v>
      </c>
      <c r="D504" s="7" t="s">
        <v>173</v>
      </c>
      <c r="F504" s="70">
        <v>2013</v>
      </c>
      <c r="G504" s="7" t="s">
        <v>19</v>
      </c>
      <c r="H504" s="7" t="s">
        <v>56</v>
      </c>
      <c r="I504" s="8" t="s">
        <v>174</v>
      </c>
      <c r="J504" s="7" t="s">
        <v>35</v>
      </c>
      <c r="K504" s="7" t="s">
        <v>166</v>
      </c>
      <c r="L504" s="2"/>
      <c r="M504" s="2" t="s">
        <v>2705</v>
      </c>
      <c r="N504" s="2"/>
      <c r="O504" s="2"/>
      <c r="P504" s="2"/>
      <c r="Q504" s="2"/>
      <c r="R504" s="2"/>
      <c r="S504" s="2"/>
      <c r="U504" s="5" t="s">
        <v>1534</v>
      </c>
      <c r="Z504" s="2"/>
    </row>
    <row r="505" spans="1:26" ht="30" customHeight="1" x14ac:dyDescent="0.5">
      <c r="A505" s="5">
        <v>128</v>
      </c>
      <c r="B505" s="58">
        <v>1106700020003</v>
      </c>
      <c r="C505" s="7" t="s">
        <v>54</v>
      </c>
      <c r="D505" s="7" t="s">
        <v>931</v>
      </c>
      <c r="F505" s="70">
        <v>2012</v>
      </c>
      <c r="G505" s="7" t="s">
        <v>19</v>
      </c>
      <c r="H505" s="7" t="s">
        <v>56</v>
      </c>
      <c r="I505" s="8" t="s">
        <v>932</v>
      </c>
      <c r="J505" s="111" t="s">
        <v>35</v>
      </c>
      <c r="K505" s="7" t="s">
        <v>925</v>
      </c>
      <c r="L505" s="2" t="s">
        <v>1518</v>
      </c>
      <c r="M505" s="2" t="s">
        <v>1548</v>
      </c>
      <c r="N505" s="2" t="s">
        <v>1571</v>
      </c>
      <c r="O505" s="2" t="s">
        <v>2569</v>
      </c>
      <c r="P505" s="2" t="s">
        <v>2565</v>
      </c>
      <c r="Q505" s="2" t="s">
        <v>2528</v>
      </c>
      <c r="R505" s="2" t="s">
        <v>2570</v>
      </c>
      <c r="S505" s="2" t="s">
        <v>1682</v>
      </c>
      <c r="X505" s="5" t="s">
        <v>1532</v>
      </c>
      <c r="Z505" s="2"/>
    </row>
    <row r="506" spans="1:26" ht="30" customHeight="1" x14ac:dyDescent="0.5">
      <c r="A506" s="5">
        <v>262</v>
      </c>
      <c r="B506" s="58">
        <v>1106700020003</v>
      </c>
      <c r="C506" s="7" t="s">
        <v>54</v>
      </c>
      <c r="D506" s="7" t="s">
        <v>911</v>
      </c>
      <c r="F506" s="70">
        <v>2014</v>
      </c>
      <c r="G506" s="7" t="s">
        <v>19</v>
      </c>
      <c r="H506" s="7" t="s">
        <v>52</v>
      </c>
      <c r="I506" s="8" t="s">
        <v>912</v>
      </c>
      <c r="J506" s="7" t="s">
        <v>35</v>
      </c>
      <c r="K506" s="7" t="s">
        <v>908</v>
      </c>
      <c r="L506" s="2" t="s">
        <v>1537</v>
      </c>
      <c r="M506" s="2" t="s">
        <v>1548</v>
      </c>
      <c r="N506" s="2" t="s">
        <v>1565</v>
      </c>
      <c r="O506" s="2" t="s">
        <v>2507</v>
      </c>
      <c r="P506" s="2" t="s">
        <v>2615</v>
      </c>
      <c r="Q506" s="2" t="s">
        <v>2508</v>
      </c>
      <c r="R506" s="2" t="s">
        <v>2208</v>
      </c>
      <c r="S506" s="2" t="s">
        <v>2043</v>
      </c>
      <c r="Z506" s="2"/>
    </row>
    <row r="507" spans="1:26" ht="30" hidden="1" customHeight="1" x14ac:dyDescent="0.5">
      <c r="A507" s="5">
        <v>217</v>
      </c>
      <c r="B507" s="58">
        <v>1106700020003</v>
      </c>
      <c r="C507" s="7" t="s">
        <v>54</v>
      </c>
      <c r="D507" s="7" t="s">
        <v>781</v>
      </c>
      <c r="F507" s="70">
        <v>2013</v>
      </c>
      <c r="G507" s="7" t="s">
        <v>19</v>
      </c>
      <c r="H507" s="7" t="s">
        <v>56</v>
      </c>
      <c r="I507" s="8" t="s">
        <v>782</v>
      </c>
      <c r="J507" s="7" t="s">
        <v>35</v>
      </c>
      <c r="K507" s="7" t="s">
        <v>776</v>
      </c>
      <c r="L507" s="2" t="s">
        <v>1506</v>
      </c>
      <c r="M507" s="11" t="s">
        <v>1912</v>
      </c>
      <c r="N507" s="2"/>
      <c r="O507" s="2"/>
      <c r="P507" s="2"/>
      <c r="Q507" s="2" t="s">
        <v>2177</v>
      </c>
      <c r="R507" s="2"/>
      <c r="S507" s="2" t="s">
        <v>1696</v>
      </c>
      <c r="Z507" s="2"/>
    </row>
    <row r="508" spans="1:26" ht="30" hidden="1" customHeight="1" x14ac:dyDescent="0.5">
      <c r="A508" s="5">
        <v>597</v>
      </c>
      <c r="B508" s="8">
        <v>1106700020003</v>
      </c>
      <c r="C508" s="7" t="s">
        <v>54</v>
      </c>
      <c r="D508" s="7" t="s">
        <v>347</v>
      </c>
      <c r="F508" s="7">
        <v>2009</v>
      </c>
      <c r="G508" s="7" t="s">
        <v>19</v>
      </c>
      <c r="H508" s="7" t="s">
        <v>56</v>
      </c>
      <c r="I508" s="8" t="s">
        <v>348</v>
      </c>
      <c r="J508" s="7" t="s">
        <v>263</v>
      </c>
      <c r="K508" s="7" t="s">
        <v>270</v>
      </c>
      <c r="L508" s="2" t="s">
        <v>1544</v>
      </c>
      <c r="M508" s="9" t="s">
        <v>1553</v>
      </c>
      <c r="N508" s="2" t="s">
        <v>1571</v>
      </c>
      <c r="O508" s="2" t="s">
        <v>1609</v>
      </c>
      <c r="P508" s="2"/>
      <c r="Q508" s="2" t="s">
        <v>2440</v>
      </c>
      <c r="R508" s="2"/>
      <c r="S508" s="2" t="s">
        <v>1544</v>
      </c>
      <c r="Z508" s="2"/>
    </row>
    <row r="509" spans="1:26" ht="30" hidden="1" customHeight="1" x14ac:dyDescent="0.5">
      <c r="A509" s="5">
        <v>158</v>
      </c>
      <c r="B509" s="58">
        <v>1106700020003</v>
      </c>
      <c r="C509" s="7" t="s">
        <v>54</v>
      </c>
      <c r="D509" s="7" t="s">
        <v>830</v>
      </c>
      <c r="F509" s="70">
        <v>2015</v>
      </c>
      <c r="G509" s="7" t="s">
        <v>19</v>
      </c>
      <c r="H509" s="7" t="s">
        <v>56</v>
      </c>
      <c r="I509" s="8" t="s">
        <v>831</v>
      </c>
      <c r="J509" s="7" t="s">
        <v>35</v>
      </c>
      <c r="K509" s="7" t="s">
        <v>827</v>
      </c>
      <c r="L509" s="2" t="s">
        <v>1531</v>
      </c>
      <c r="M509" s="11" t="s">
        <v>2098</v>
      </c>
      <c r="N509" s="2"/>
      <c r="O509" s="2"/>
      <c r="P509" s="2"/>
      <c r="Q509" s="2" t="s">
        <v>2158</v>
      </c>
      <c r="R509" s="2"/>
      <c r="S509" s="2" t="s">
        <v>1710</v>
      </c>
      <c r="Z509" s="2"/>
    </row>
    <row r="510" spans="1:26" ht="30" customHeight="1" x14ac:dyDescent="0.5">
      <c r="A510" s="116">
        <v>173</v>
      </c>
      <c r="B510" s="58">
        <v>1106700020003</v>
      </c>
      <c r="C510" s="7" t="s">
        <v>54</v>
      </c>
      <c r="D510" s="7" t="s">
        <v>675</v>
      </c>
      <c r="E510" s="105" t="s">
        <v>2218</v>
      </c>
      <c r="F510" s="70">
        <v>2013</v>
      </c>
      <c r="G510" s="7" t="s">
        <v>19</v>
      </c>
      <c r="H510" s="7" t="s">
        <v>56</v>
      </c>
      <c r="I510" s="8" t="s">
        <v>676</v>
      </c>
      <c r="J510" s="7" t="s">
        <v>263</v>
      </c>
      <c r="K510" s="7" t="s">
        <v>632</v>
      </c>
      <c r="L510" s="2" t="s">
        <v>1544</v>
      </c>
      <c r="M510" s="2" t="s">
        <v>1548</v>
      </c>
      <c r="N510" s="2" t="s">
        <v>1571</v>
      </c>
      <c r="O510" s="2" t="s">
        <v>2194</v>
      </c>
      <c r="P510" s="2" t="s">
        <v>2186</v>
      </c>
      <c r="Q510" s="2"/>
      <c r="R510" s="2" t="s">
        <v>1814</v>
      </c>
      <c r="S510" s="2" t="s">
        <v>1675</v>
      </c>
      <c r="Z510" s="2"/>
    </row>
    <row r="511" spans="1:26" ht="30" hidden="1" customHeight="1" x14ac:dyDescent="0.5">
      <c r="A511" s="5">
        <v>410</v>
      </c>
      <c r="B511" s="58">
        <v>1106700020003</v>
      </c>
      <c r="C511" s="7" t="s">
        <v>54</v>
      </c>
      <c r="D511" s="7" t="s">
        <v>218</v>
      </c>
      <c r="F511" s="70">
        <v>2015</v>
      </c>
      <c r="G511" s="7" t="s">
        <v>19</v>
      </c>
      <c r="H511" s="7" t="s">
        <v>56</v>
      </c>
      <c r="I511" s="8" t="s">
        <v>219</v>
      </c>
      <c r="J511" s="7" t="s">
        <v>35</v>
      </c>
      <c r="K511" s="7" t="s">
        <v>215</v>
      </c>
      <c r="L511" s="2" t="s">
        <v>1482</v>
      </c>
      <c r="M511" s="11" t="s">
        <v>1912</v>
      </c>
      <c r="N511" s="2" t="s">
        <v>1615</v>
      </c>
      <c r="O511" s="2" t="s">
        <v>2361</v>
      </c>
      <c r="P511" s="2" t="s">
        <v>2360</v>
      </c>
      <c r="Q511" s="2" t="s">
        <v>2413</v>
      </c>
      <c r="R511" s="2" t="s">
        <v>2416</v>
      </c>
      <c r="S511" s="2" t="s">
        <v>2011</v>
      </c>
      <c r="U511" s="5" t="s">
        <v>1663</v>
      </c>
      <c r="Z511" s="2"/>
    </row>
    <row r="512" spans="1:26" ht="30" customHeight="1" x14ac:dyDescent="0.5">
      <c r="A512" s="5">
        <v>213</v>
      </c>
      <c r="B512" s="58">
        <v>1106700020003</v>
      </c>
      <c r="C512" s="7" t="s">
        <v>54</v>
      </c>
      <c r="D512" s="7" t="s">
        <v>816</v>
      </c>
      <c r="F512" s="70">
        <v>2013</v>
      </c>
      <c r="G512" s="7" t="s">
        <v>19</v>
      </c>
      <c r="H512" s="7" t="s">
        <v>56</v>
      </c>
      <c r="I512" s="8" t="s">
        <v>817</v>
      </c>
      <c r="J512" s="111" t="s">
        <v>35</v>
      </c>
      <c r="K512" s="7" t="s">
        <v>813</v>
      </c>
      <c r="L512" s="2" t="s">
        <v>1549</v>
      </c>
      <c r="M512" s="2" t="s">
        <v>1548</v>
      </c>
      <c r="N512" s="2" t="s">
        <v>1564</v>
      </c>
      <c r="O512" s="2" t="s">
        <v>2675</v>
      </c>
      <c r="P512" s="9" t="s">
        <v>2677</v>
      </c>
      <c r="Q512" s="2" t="s">
        <v>2360</v>
      </c>
      <c r="R512" s="2" t="s">
        <v>2676</v>
      </c>
      <c r="S512" s="2" t="s">
        <v>1681</v>
      </c>
      <c r="Z512" s="2"/>
    </row>
    <row r="513" spans="1:26" ht="30" hidden="1" customHeight="1" x14ac:dyDescent="0.5">
      <c r="A513" s="116">
        <v>12</v>
      </c>
      <c r="B513" s="8">
        <v>1106700020003</v>
      </c>
      <c r="C513" s="7" t="s">
        <v>54</v>
      </c>
      <c r="D513" s="7" t="s">
        <v>884</v>
      </c>
      <c r="E513" s="7" t="s">
        <v>2213</v>
      </c>
      <c r="F513" s="7">
        <v>1983</v>
      </c>
      <c r="G513" s="7" t="s">
        <v>19</v>
      </c>
      <c r="H513" s="7" t="s">
        <v>56</v>
      </c>
      <c r="I513" s="8">
        <v>3430154805270</v>
      </c>
      <c r="J513" s="111" t="s">
        <v>35</v>
      </c>
      <c r="K513" s="7" t="s">
        <v>881</v>
      </c>
      <c r="L513" s="2" t="s">
        <v>1498</v>
      </c>
      <c r="M513" s="11" t="s">
        <v>1912</v>
      </c>
      <c r="N513" s="2" t="s">
        <v>1564</v>
      </c>
      <c r="O513" s="2" t="s">
        <v>1842</v>
      </c>
      <c r="P513" s="2" t="s">
        <v>1843</v>
      </c>
      <c r="Q513" s="2" t="s">
        <v>2677</v>
      </c>
      <c r="R513" s="2" t="s">
        <v>1844</v>
      </c>
      <c r="S513" s="2" t="s">
        <v>1718</v>
      </c>
      <c r="X513" s="4" t="s">
        <v>1683</v>
      </c>
      <c r="Z513" s="7"/>
    </row>
    <row r="514" spans="1:26" ht="30" customHeight="1" x14ac:dyDescent="0.5">
      <c r="A514" s="5">
        <v>248</v>
      </c>
      <c r="B514" s="58">
        <v>1106700020003</v>
      </c>
      <c r="C514" s="7" t="s">
        <v>54</v>
      </c>
      <c r="D514" s="7" t="s">
        <v>87</v>
      </c>
      <c r="F514" s="70">
        <v>2016</v>
      </c>
      <c r="G514" s="7" t="s">
        <v>19</v>
      </c>
      <c r="H514" s="7" t="s">
        <v>56</v>
      </c>
      <c r="I514" s="8" t="s">
        <v>88</v>
      </c>
      <c r="J514" s="7" t="s">
        <v>35</v>
      </c>
      <c r="K514" s="7" t="s">
        <v>82</v>
      </c>
      <c r="L514" s="2" t="s">
        <v>1506</v>
      </c>
      <c r="M514" s="11" t="s">
        <v>1548</v>
      </c>
      <c r="N514" s="2" t="s">
        <v>1564</v>
      </c>
      <c r="O514" s="2" t="s">
        <v>2716</v>
      </c>
      <c r="P514" s="2" t="s">
        <v>2714</v>
      </c>
      <c r="Q514" s="2" t="s">
        <v>2528</v>
      </c>
      <c r="R514" s="2"/>
      <c r="S514" s="2" t="s">
        <v>2004</v>
      </c>
      <c r="U514" s="5" t="s">
        <v>1497</v>
      </c>
      <c r="Z514" s="2"/>
    </row>
    <row r="515" spans="1:26" ht="30" hidden="1" customHeight="1" x14ac:dyDescent="0.5">
      <c r="A515" s="5">
        <v>162</v>
      </c>
      <c r="B515" s="58">
        <v>1106700020003</v>
      </c>
      <c r="C515" s="7" t="s">
        <v>54</v>
      </c>
      <c r="D515" s="7" t="s">
        <v>85</v>
      </c>
      <c r="F515" s="70">
        <v>2015</v>
      </c>
      <c r="G515" s="7" t="s">
        <v>19</v>
      </c>
      <c r="H515" s="7" t="s">
        <v>56</v>
      </c>
      <c r="I515" s="8" t="s">
        <v>86</v>
      </c>
      <c r="J515" s="7" t="s">
        <v>35</v>
      </c>
      <c r="K515" s="7" t="s">
        <v>82</v>
      </c>
      <c r="L515" s="2" t="s">
        <v>1506</v>
      </c>
      <c r="M515" s="11" t="s">
        <v>1912</v>
      </c>
      <c r="N515" s="2"/>
      <c r="O515" s="2"/>
      <c r="P515" s="2"/>
      <c r="Q515" s="2" t="s">
        <v>2191</v>
      </c>
      <c r="R515" s="2" t="s">
        <v>2184</v>
      </c>
      <c r="S515" s="2" t="s">
        <v>1697</v>
      </c>
      <c r="U515" s="5" t="s">
        <v>1496</v>
      </c>
      <c r="Z515" s="2"/>
    </row>
    <row r="516" spans="1:26" ht="30" hidden="1" customHeight="1" x14ac:dyDescent="0.5">
      <c r="A516" s="5">
        <v>150</v>
      </c>
      <c r="B516" s="58">
        <v>1106700020003</v>
      </c>
      <c r="C516" s="7" t="s">
        <v>54</v>
      </c>
      <c r="D516" s="7" t="s">
        <v>890</v>
      </c>
      <c r="F516" s="70">
        <v>2015</v>
      </c>
      <c r="G516" s="7" t="s">
        <v>19</v>
      </c>
      <c r="H516" s="7" t="s">
        <v>56</v>
      </c>
      <c r="I516" s="8" t="s">
        <v>891</v>
      </c>
      <c r="J516" s="7" t="s">
        <v>35</v>
      </c>
      <c r="K516" s="7" t="s">
        <v>887</v>
      </c>
      <c r="L516" s="2" t="s">
        <v>1498</v>
      </c>
      <c r="M516" s="2" t="s">
        <v>2705</v>
      </c>
      <c r="N516" s="2"/>
      <c r="O516" s="2"/>
      <c r="P516" s="2"/>
      <c r="Q516" s="2"/>
      <c r="R516" s="2"/>
      <c r="S516" s="2" t="s">
        <v>2025</v>
      </c>
      <c r="Z516" s="2"/>
    </row>
    <row r="517" spans="1:26" ht="30" hidden="1" customHeight="1" x14ac:dyDescent="0.5">
      <c r="A517" s="5">
        <v>412</v>
      </c>
      <c r="B517" s="58">
        <v>1106700020003</v>
      </c>
      <c r="C517" s="7" t="s">
        <v>54</v>
      </c>
      <c r="D517" s="7" t="s">
        <v>839</v>
      </c>
      <c r="F517" s="70">
        <v>2015</v>
      </c>
      <c r="G517" s="7" t="s">
        <v>19</v>
      </c>
      <c r="H517" s="7" t="s">
        <v>56</v>
      </c>
      <c r="I517" s="8" t="s">
        <v>840</v>
      </c>
      <c r="J517" s="7" t="s">
        <v>35</v>
      </c>
      <c r="K517" s="7" t="s">
        <v>834</v>
      </c>
      <c r="L517" s="2" t="s">
        <v>1493</v>
      </c>
      <c r="M517" s="11" t="s">
        <v>1912</v>
      </c>
      <c r="N517" s="2" t="s">
        <v>1615</v>
      </c>
      <c r="O517" s="2" t="s">
        <v>2431</v>
      </c>
      <c r="P517" s="2" t="s">
        <v>2425</v>
      </c>
      <c r="Q517" s="2" t="s">
        <v>2448</v>
      </c>
      <c r="R517" s="2"/>
      <c r="S517" s="2" t="s">
        <v>2046</v>
      </c>
      <c r="Z517" s="2"/>
    </row>
    <row r="518" spans="1:26" ht="30" customHeight="1" x14ac:dyDescent="0.5">
      <c r="A518" s="5">
        <v>131</v>
      </c>
      <c r="B518" s="58">
        <v>1106700020003</v>
      </c>
      <c r="C518" s="7" t="s">
        <v>54</v>
      </c>
      <c r="D518" s="7" t="s">
        <v>146</v>
      </c>
      <c r="F518" s="70">
        <v>2013</v>
      </c>
      <c r="G518" s="7" t="s">
        <v>19</v>
      </c>
      <c r="H518" s="7" t="s">
        <v>56</v>
      </c>
      <c r="I518" s="8" t="s">
        <v>147</v>
      </c>
      <c r="J518" s="7" t="s">
        <v>35</v>
      </c>
      <c r="K518" s="7" t="s">
        <v>143</v>
      </c>
      <c r="L518" s="2" t="s">
        <v>1537</v>
      </c>
      <c r="M518" s="2" t="s">
        <v>1548</v>
      </c>
      <c r="N518" s="2" t="s">
        <v>1564</v>
      </c>
      <c r="O518" s="2" t="s">
        <v>1887</v>
      </c>
      <c r="P518" s="9" t="s">
        <v>2517</v>
      </c>
      <c r="Q518" s="2" t="s">
        <v>2091</v>
      </c>
      <c r="R518" s="2"/>
      <c r="S518" s="2" t="s">
        <v>1726</v>
      </c>
      <c r="U518" s="5" t="s">
        <v>1522</v>
      </c>
      <c r="X518" s="5" t="s">
        <v>1535</v>
      </c>
      <c r="Z518" s="2"/>
    </row>
    <row r="519" spans="1:26" ht="30" hidden="1" customHeight="1" x14ac:dyDescent="0.5">
      <c r="A519" s="5">
        <v>227</v>
      </c>
      <c r="B519" s="58">
        <v>1106700020003</v>
      </c>
      <c r="C519" s="7" t="s">
        <v>54</v>
      </c>
      <c r="D519" s="7" t="s">
        <v>916</v>
      </c>
      <c r="F519" s="70">
        <v>2011</v>
      </c>
      <c r="G519" s="7" t="s">
        <v>19</v>
      </c>
      <c r="H519" s="7" t="s">
        <v>56</v>
      </c>
      <c r="I519" s="8" t="s">
        <v>917</v>
      </c>
      <c r="J519" s="111" t="s">
        <v>35</v>
      </c>
      <c r="K519" s="7" t="s">
        <v>913</v>
      </c>
      <c r="L519" s="2" t="s">
        <v>1477</v>
      </c>
      <c r="M519" s="11" t="s">
        <v>1912</v>
      </c>
      <c r="N519" s="2" t="s">
        <v>1571</v>
      </c>
      <c r="O519" s="2" t="s">
        <v>2486</v>
      </c>
      <c r="P519" s="2" t="s">
        <v>2480</v>
      </c>
      <c r="Q519" s="2" t="s">
        <v>2504</v>
      </c>
      <c r="R519" s="2" t="s">
        <v>2487</v>
      </c>
      <c r="S519" s="2" t="s">
        <v>2000</v>
      </c>
      <c r="Z519" s="2"/>
    </row>
    <row r="520" spans="1:26" ht="30" hidden="1" customHeight="1" x14ac:dyDescent="0.5">
      <c r="A520" s="5">
        <v>250</v>
      </c>
      <c r="B520" s="58">
        <v>1106700020003</v>
      </c>
      <c r="C520" s="7" t="s">
        <v>54</v>
      </c>
      <c r="D520" s="7" t="s">
        <v>825</v>
      </c>
      <c r="F520" s="70">
        <v>2011</v>
      </c>
      <c r="G520" s="7" t="s">
        <v>19</v>
      </c>
      <c r="H520" s="7" t="s">
        <v>56</v>
      </c>
      <c r="I520" s="8" t="s">
        <v>826</v>
      </c>
      <c r="J520" s="111" t="s">
        <v>35</v>
      </c>
      <c r="K520" s="7" t="s">
        <v>820</v>
      </c>
      <c r="L520" s="2" t="s">
        <v>1531</v>
      </c>
      <c r="M520" s="11" t="s">
        <v>1912</v>
      </c>
      <c r="N520" s="2" t="s">
        <v>1564</v>
      </c>
      <c r="O520" s="2" t="s">
        <v>2497</v>
      </c>
      <c r="P520" s="2" t="s">
        <v>2253</v>
      </c>
      <c r="Q520" s="2" t="s">
        <v>2625</v>
      </c>
      <c r="R520" s="2" t="s">
        <v>2498</v>
      </c>
      <c r="S520" s="2" t="s">
        <v>1709</v>
      </c>
      <c r="Z520" s="2"/>
    </row>
    <row r="521" spans="1:26" ht="30" hidden="1" customHeight="1" x14ac:dyDescent="0.5">
      <c r="A521" s="5">
        <v>183</v>
      </c>
      <c r="B521" s="58">
        <v>1106700020003</v>
      </c>
      <c r="C521" s="7" t="s">
        <v>54</v>
      </c>
      <c r="D521" s="7" t="s">
        <v>804</v>
      </c>
      <c r="F521" s="70">
        <v>2015</v>
      </c>
      <c r="G521" s="7" t="s">
        <v>19</v>
      </c>
      <c r="H521" s="7" t="s">
        <v>56</v>
      </c>
      <c r="I521" s="8" t="s">
        <v>805</v>
      </c>
      <c r="J521" s="7" t="s">
        <v>35</v>
      </c>
      <c r="K521" s="7" t="s">
        <v>801</v>
      </c>
      <c r="L521" s="2" t="s">
        <v>1482</v>
      </c>
      <c r="M521" s="11" t="s">
        <v>1912</v>
      </c>
      <c r="N521" s="2" t="s">
        <v>1615</v>
      </c>
      <c r="O521" s="2" t="s">
        <v>2522</v>
      </c>
      <c r="P521" s="2" t="s">
        <v>2521</v>
      </c>
      <c r="Q521" s="2" t="s">
        <v>2526</v>
      </c>
      <c r="R521" s="2"/>
      <c r="S521" s="2" t="s">
        <v>2012</v>
      </c>
      <c r="Z521" s="2"/>
    </row>
    <row r="522" spans="1:26" ht="30" hidden="1" customHeight="1" x14ac:dyDescent="0.5">
      <c r="A522" s="5">
        <v>226</v>
      </c>
      <c r="B522" s="58">
        <v>1106700020003</v>
      </c>
      <c r="C522" s="7" t="s">
        <v>54</v>
      </c>
      <c r="D522" s="7" t="s">
        <v>1420</v>
      </c>
      <c r="F522" s="70">
        <v>2011</v>
      </c>
      <c r="G522" s="7" t="s">
        <v>19</v>
      </c>
      <c r="H522" s="7" t="s">
        <v>56</v>
      </c>
      <c r="I522" s="8" t="s">
        <v>1421</v>
      </c>
      <c r="J522" s="7" t="s">
        <v>35</v>
      </c>
      <c r="K522" s="7" t="s">
        <v>1417</v>
      </c>
      <c r="L522" s="2" t="s">
        <v>1506</v>
      </c>
      <c r="M522" s="2" t="s">
        <v>2705</v>
      </c>
      <c r="N522" s="2"/>
      <c r="O522" s="2"/>
      <c r="P522" s="2"/>
      <c r="Q522" s="2"/>
      <c r="R522" s="2" t="s">
        <v>2724</v>
      </c>
      <c r="S522" s="2"/>
      <c r="Z522" s="2"/>
    </row>
    <row r="523" spans="1:26" ht="30" hidden="1" customHeight="1" x14ac:dyDescent="0.5">
      <c r="A523" s="5">
        <v>135</v>
      </c>
      <c r="B523" s="58">
        <v>1106700020003</v>
      </c>
      <c r="C523" s="7" t="s">
        <v>54</v>
      </c>
      <c r="D523" s="7" t="s">
        <v>744</v>
      </c>
      <c r="F523" s="70">
        <v>2013</v>
      </c>
      <c r="G523" s="7" t="s">
        <v>19</v>
      </c>
      <c r="H523" s="7" t="s">
        <v>56</v>
      </c>
      <c r="I523" s="8" t="s">
        <v>745</v>
      </c>
      <c r="J523" s="111" t="s">
        <v>35</v>
      </c>
      <c r="K523" s="7" t="s">
        <v>741</v>
      </c>
      <c r="L523" s="2" t="s">
        <v>1487</v>
      </c>
      <c r="M523" s="11" t="s">
        <v>1912</v>
      </c>
      <c r="N523" s="2" t="s">
        <v>1564</v>
      </c>
      <c r="O523" s="2" t="s">
        <v>2537</v>
      </c>
      <c r="P523" s="2" t="s">
        <v>2534</v>
      </c>
      <c r="Q523" s="2" t="s">
        <v>2606</v>
      </c>
      <c r="R523" s="2"/>
      <c r="S523" s="2" t="s">
        <v>1703</v>
      </c>
      <c r="X523" s="5" t="s">
        <v>1539</v>
      </c>
      <c r="Z523" s="2"/>
    </row>
    <row r="524" spans="1:26" ht="30" hidden="1" customHeight="1" x14ac:dyDescent="0.5">
      <c r="A524" s="5">
        <v>240</v>
      </c>
      <c r="B524" s="58">
        <v>1106700020003</v>
      </c>
      <c r="C524" s="7" t="s">
        <v>54</v>
      </c>
      <c r="D524" s="7" t="s">
        <v>809</v>
      </c>
      <c r="F524" s="70">
        <v>2015</v>
      </c>
      <c r="G524" s="7" t="s">
        <v>19</v>
      </c>
      <c r="H524" s="7" t="s">
        <v>56</v>
      </c>
      <c r="I524" s="8" t="s">
        <v>810</v>
      </c>
      <c r="J524" s="7" t="s">
        <v>35</v>
      </c>
      <c r="K524" s="7" t="s">
        <v>806</v>
      </c>
      <c r="L524" s="2" t="s">
        <v>1482</v>
      </c>
      <c r="M524" s="2" t="s">
        <v>2705</v>
      </c>
      <c r="N524" s="2"/>
      <c r="O524" s="2"/>
      <c r="P524" s="2"/>
      <c r="Q524" s="2"/>
      <c r="R524" s="2"/>
      <c r="S524" s="2"/>
      <c r="Z524" s="2"/>
    </row>
    <row r="525" spans="1:26" ht="30" hidden="1" customHeight="1" x14ac:dyDescent="0.5">
      <c r="A525" s="5">
        <v>403</v>
      </c>
      <c r="B525" s="58">
        <v>1106700020003</v>
      </c>
      <c r="C525" s="7" t="s">
        <v>54</v>
      </c>
      <c r="D525" s="7" t="s">
        <v>852</v>
      </c>
      <c r="F525" s="70">
        <v>2014</v>
      </c>
      <c r="G525" s="7" t="s">
        <v>19</v>
      </c>
      <c r="H525" s="7" t="s">
        <v>56</v>
      </c>
      <c r="I525" s="8" t="s">
        <v>853</v>
      </c>
      <c r="J525" s="7" t="s">
        <v>35</v>
      </c>
      <c r="K525" s="7" t="s">
        <v>849</v>
      </c>
      <c r="L525" s="2" t="s">
        <v>1493</v>
      </c>
      <c r="M525" s="2" t="s">
        <v>2705</v>
      </c>
      <c r="N525" s="2"/>
      <c r="O525" s="2"/>
      <c r="P525" s="2"/>
      <c r="Q525" s="2"/>
      <c r="R525" s="2" t="s">
        <v>2356</v>
      </c>
      <c r="S525" s="2"/>
      <c r="Z525" s="2"/>
    </row>
    <row r="526" spans="1:26" ht="30" hidden="1" customHeight="1" x14ac:dyDescent="0.5">
      <c r="A526" s="5">
        <v>155</v>
      </c>
      <c r="B526" s="58">
        <v>1106700020003</v>
      </c>
      <c r="C526" s="7" t="s">
        <v>54</v>
      </c>
      <c r="D526" s="7" t="s">
        <v>68</v>
      </c>
      <c r="F526" s="70">
        <v>2014</v>
      </c>
      <c r="G526" s="7" t="s">
        <v>19</v>
      </c>
      <c r="H526" s="7" t="s">
        <v>56</v>
      </c>
      <c r="I526" s="8" t="s">
        <v>69</v>
      </c>
      <c r="J526" s="7" t="s">
        <v>35</v>
      </c>
      <c r="K526" s="7" t="s">
        <v>61</v>
      </c>
      <c r="L526" s="2" t="s">
        <v>1518</v>
      </c>
      <c r="M526" s="11" t="s">
        <v>1912</v>
      </c>
      <c r="N526" s="2"/>
      <c r="O526" s="2"/>
      <c r="P526" s="2"/>
      <c r="Q526" s="2" t="s">
        <v>2391</v>
      </c>
      <c r="R526" s="2" t="s">
        <v>2355</v>
      </c>
      <c r="S526" s="2" t="s">
        <v>1991</v>
      </c>
      <c r="U526" s="5" t="s">
        <v>1490</v>
      </c>
      <c r="Z526" s="2"/>
    </row>
    <row r="527" spans="1:26" ht="30" hidden="1" customHeight="1" x14ac:dyDescent="0.5">
      <c r="A527" s="5">
        <v>419</v>
      </c>
      <c r="B527" s="58">
        <v>1106700020003</v>
      </c>
      <c r="C527" s="7" t="s">
        <v>54</v>
      </c>
      <c r="D527" s="7" t="s">
        <v>343</v>
      </c>
      <c r="E527" s="7" t="s">
        <v>2215</v>
      </c>
      <c r="F527" s="70">
        <v>2011</v>
      </c>
      <c r="G527" s="7" t="s">
        <v>19</v>
      </c>
      <c r="H527" s="7" t="s">
        <v>56</v>
      </c>
      <c r="I527" s="8" t="s">
        <v>344</v>
      </c>
      <c r="J527" s="7" t="s">
        <v>263</v>
      </c>
      <c r="K527" s="7" t="s">
        <v>270</v>
      </c>
      <c r="L527" s="2" t="s">
        <v>1543</v>
      </c>
      <c r="M527" s="11" t="s">
        <v>1912</v>
      </c>
      <c r="N527" s="2"/>
      <c r="O527" s="2" t="s">
        <v>2195</v>
      </c>
      <c r="P527" s="2" t="s">
        <v>2174</v>
      </c>
      <c r="Q527" s="2" t="s">
        <v>2418</v>
      </c>
      <c r="R527" s="2" t="s">
        <v>2363</v>
      </c>
      <c r="S527" s="2" t="s">
        <v>1999</v>
      </c>
      <c r="Z527" s="7"/>
    </row>
    <row r="528" spans="1:26" ht="30" hidden="1" customHeight="1" x14ac:dyDescent="0.5">
      <c r="A528" s="5">
        <v>433</v>
      </c>
      <c r="B528" s="58">
        <v>1106700020003</v>
      </c>
      <c r="C528" s="7" t="s">
        <v>54</v>
      </c>
      <c r="D528" s="7" t="s">
        <v>94</v>
      </c>
      <c r="F528" s="70">
        <v>2013</v>
      </c>
      <c r="G528" s="7" t="s">
        <v>19</v>
      </c>
      <c r="H528" s="7" t="s">
        <v>56</v>
      </c>
      <c r="I528" s="8" t="s">
        <v>95</v>
      </c>
      <c r="J528" s="111" t="s">
        <v>35</v>
      </c>
      <c r="K528" s="7" t="s">
        <v>89</v>
      </c>
      <c r="L528" s="2" t="s">
        <v>1525</v>
      </c>
      <c r="M528" s="11" t="s">
        <v>1912</v>
      </c>
      <c r="N528" s="2" t="s">
        <v>1564</v>
      </c>
      <c r="O528" s="2" t="s">
        <v>1897</v>
      </c>
      <c r="P528" s="2" t="s">
        <v>2528</v>
      </c>
      <c r="Q528" s="2" t="s">
        <v>2648</v>
      </c>
      <c r="R528" s="2" t="s">
        <v>2649</v>
      </c>
      <c r="S528" s="2" t="s">
        <v>2014</v>
      </c>
      <c r="U528" s="5" t="s">
        <v>1500</v>
      </c>
      <c r="Z528" s="2"/>
    </row>
    <row r="529" spans="1:26" ht="30" customHeight="1" x14ac:dyDescent="0.5">
      <c r="A529" s="116">
        <v>258</v>
      </c>
      <c r="B529" s="58">
        <v>1106700020003</v>
      </c>
      <c r="C529" s="7" t="s">
        <v>54</v>
      </c>
      <c r="D529" s="7" t="s">
        <v>92</v>
      </c>
      <c r="E529" s="105" t="s">
        <v>2220</v>
      </c>
      <c r="F529" s="70">
        <v>2013</v>
      </c>
      <c r="G529" s="7" t="s">
        <v>19</v>
      </c>
      <c r="H529" s="7" t="s">
        <v>56</v>
      </c>
      <c r="I529" s="8" t="s">
        <v>93</v>
      </c>
      <c r="J529" s="7" t="s">
        <v>35</v>
      </c>
      <c r="K529" s="7" t="s">
        <v>89</v>
      </c>
      <c r="L529" s="2" t="s">
        <v>1544</v>
      </c>
      <c r="M529" s="2" t="s">
        <v>1548</v>
      </c>
      <c r="N529" s="2" t="s">
        <v>1559</v>
      </c>
      <c r="O529" s="2" t="s">
        <v>1559</v>
      </c>
      <c r="P529" s="2" t="s">
        <v>2666</v>
      </c>
      <c r="Q529" s="2"/>
      <c r="R529" s="2"/>
      <c r="S529" s="2" t="s">
        <v>1704</v>
      </c>
      <c r="U529" s="5" t="s">
        <v>1499</v>
      </c>
      <c r="Z529" s="2"/>
    </row>
    <row r="530" spans="1:26" ht="30" customHeight="1" x14ac:dyDescent="0.5">
      <c r="A530" s="5">
        <v>430</v>
      </c>
      <c r="B530" s="58">
        <v>1106700020003</v>
      </c>
      <c r="C530" s="7" t="s">
        <v>54</v>
      </c>
      <c r="D530" s="7" t="s">
        <v>795</v>
      </c>
      <c r="F530" s="70">
        <v>2012</v>
      </c>
      <c r="G530" s="7" t="s">
        <v>19</v>
      </c>
      <c r="H530" s="7" t="s">
        <v>56</v>
      </c>
      <c r="I530" s="8" t="s">
        <v>796</v>
      </c>
      <c r="J530" s="111" t="s">
        <v>35</v>
      </c>
      <c r="K530" s="7" t="s">
        <v>792</v>
      </c>
      <c r="L530" s="2" t="s">
        <v>1525</v>
      </c>
      <c r="M530" s="2" t="s">
        <v>1548</v>
      </c>
      <c r="N530" s="2" t="s">
        <v>1564</v>
      </c>
      <c r="O530" s="2" t="s">
        <v>2693</v>
      </c>
      <c r="P530" s="2" t="s">
        <v>2694</v>
      </c>
      <c r="Q530" s="2" t="s">
        <v>2489</v>
      </c>
      <c r="R530" s="2" t="s">
        <v>2488</v>
      </c>
      <c r="S530" s="2" t="s">
        <v>2017</v>
      </c>
      <c r="Z530" s="2"/>
    </row>
    <row r="531" spans="1:26" ht="30" customHeight="1" x14ac:dyDescent="0.5">
      <c r="A531" s="116">
        <v>284</v>
      </c>
      <c r="B531" s="58">
        <v>1106700020003</v>
      </c>
      <c r="C531" s="7" t="s">
        <v>54</v>
      </c>
      <c r="D531" s="7" t="s">
        <v>139</v>
      </c>
      <c r="E531" s="105" t="s">
        <v>2215</v>
      </c>
      <c r="F531" s="70">
        <v>2013</v>
      </c>
      <c r="G531" s="7" t="s">
        <v>19</v>
      </c>
      <c r="H531" s="7" t="s">
        <v>56</v>
      </c>
      <c r="I531" s="8" t="s">
        <v>140</v>
      </c>
      <c r="J531" s="7" t="s">
        <v>35</v>
      </c>
      <c r="K531" s="7" t="s">
        <v>131</v>
      </c>
      <c r="L531" s="2" t="s">
        <v>1549</v>
      </c>
      <c r="M531" s="2" t="s">
        <v>1548</v>
      </c>
      <c r="N531" s="2" t="s">
        <v>1564</v>
      </c>
      <c r="O531" s="2" t="s">
        <v>2193</v>
      </c>
      <c r="P531" s="2" t="s">
        <v>2114</v>
      </c>
      <c r="Q531" s="2"/>
      <c r="R531" s="2" t="s">
        <v>2387</v>
      </c>
      <c r="S531" s="2" t="s">
        <v>1720</v>
      </c>
      <c r="U531" s="5" t="s">
        <v>1519</v>
      </c>
      <c r="Z531" s="2"/>
    </row>
    <row r="532" spans="1:26" ht="30" customHeight="1" x14ac:dyDescent="0.5">
      <c r="A532" s="5">
        <v>181</v>
      </c>
      <c r="B532" s="58">
        <v>1106700020003</v>
      </c>
      <c r="C532" s="7" t="s">
        <v>54</v>
      </c>
      <c r="D532" s="7" t="s">
        <v>859</v>
      </c>
      <c r="E532" s="72" t="s">
        <v>2213</v>
      </c>
      <c r="F532" s="70">
        <v>2014</v>
      </c>
      <c r="G532" s="7" t="s">
        <v>19</v>
      </c>
      <c r="H532" s="7" t="s">
        <v>56</v>
      </c>
      <c r="I532" s="8" t="s">
        <v>860</v>
      </c>
      <c r="J532" s="7" t="s">
        <v>35</v>
      </c>
      <c r="K532" s="57" t="s">
        <v>854</v>
      </c>
      <c r="L532" s="2" t="s">
        <v>1513</v>
      </c>
      <c r="M532" s="2" t="s">
        <v>1548</v>
      </c>
      <c r="N532" s="2" t="s">
        <v>1571</v>
      </c>
      <c r="O532" s="2" t="s">
        <v>2462</v>
      </c>
      <c r="P532" s="123" t="s">
        <v>2461</v>
      </c>
      <c r="Q532" s="2" t="s">
        <v>2448</v>
      </c>
      <c r="R532" s="2" t="s">
        <v>2380</v>
      </c>
      <c r="S532" s="2" t="s">
        <v>1721</v>
      </c>
      <c r="Z532" s="2"/>
    </row>
    <row r="533" spans="1:26" ht="30" hidden="1" customHeight="1" x14ac:dyDescent="0.5">
      <c r="A533" s="5">
        <v>216</v>
      </c>
      <c r="B533" s="58">
        <v>1106700020003</v>
      </c>
      <c r="C533" s="7" t="s">
        <v>54</v>
      </c>
      <c r="D533" s="7" t="s">
        <v>866</v>
      </c>
      <c r="E533" s="72" t="s">
        <v>2218</v>
      </c>
      <c r="F533" s="70">
        <v>2013</v>
      </c>
      <c r="G533" s="7" t="s">
        <v>19</v>
      </c>
      <c r="H533" s="7" t="s">
        <v>56</v>
      </c>
      <c r="I533" s="8" t="s">
        <v>867</v>
      </c>
      <c r="J533" s="111" t="s">
        <v>35</v>
      </c>
      <c r="K533" s="57" t="s">
        <v>861</v>
      </c>
      <c r="L533" s="2" t="s">
        <v>1471</v>
      </c>
      <c r="M533" s="11" t="s">
        <v>1912</v>
      </c>
      <c r="N533" s="2" t="s">
        <v>1564</v>
      </c>
      <c r="O533" s="2" t="s">
        <v>2397</v>
      </c>
      <c r="P533" s="2" t="s">
        <v>2395</v>
      </c>
      <c r="Q533" s="2" t="s">
        <v>2625</v>
      </c>
      <c r="R533" s="2" t="s">
        <v>2689</v>
      </c>
      <c r="S533" s="2" t="s">
        <v>1674</v>
      </c>
      <c r="Z533" s="7"/>
    </row>
    <row r="534" spans="1:26" ht="30" customHeight="1" x14ac:dyDescent="0.5">
      <c r="A534" s="5">
        <v>152</v>
      </c>
      <c r="B534" s="58">
        <v>1106700020003</v>
      </c>
      <c r="C534" s="7" t="s">
        <v>54</v>
      </c>
      <c r="D534" s="7" t="s">
        <v>162</v>
      </c>
      <c r="F534" s="70">
        <v>2013</v>
      </c>
      <c r="G534" s="7" t="s">
        <v>19</v>
      </c>
      <c r="H534" s="7" t="s">
        <v>56</v>
      </c>
      <c r="I534" s="8" t="s">
        <v>163</v>
      </c>
      <c r="J534" s="7" t="s">
        <v>35</v>
      </c>
      <c r="K534" s="7" t="s">
        <v>153</v>
      </c>
      <c r="L534" s="2" t="s">
        <v>1549</v>
      </c>
      <c r="M534" s="2" t="s">
        <v>1548</v>
      </c>
      <c r="N534" s="2" t="s">
        <v>1564</v>
      </c>
      <c r="O534" s="2" t="s">
        <v>2350</v>
      </c>
      <c r="P534" s="9" t="s">
        <v>2348</v>
      </c>
      <c r="Q534" s="2"/>
      <c r="R534" s="2" t="s">
        <v>2723</v>
      </c>
      <c r="S534" s="2" t="s">
        <v>1725</v>
      </c>
      <c r="U534" s="5" t="s">
        <v>1529</v>
      </c>
      <c r="Z534" s="2"/>
    </row>
    <row r="535" spans="1:26" ht="30" hidden="1" customHeight="1" x14ac:dyDescent="0.5">
      <c r="A535" s="5">
        <v>285</v>
      </c>
      <c r="B535" s="58">
        <v>1106700020003</v>
      </c>
      <c r="C535" s="7" t="s">
        <v>54</v>
      </c>
      <c r="D535" s="7" t="s">
        <v>201</v>
      </c>
      <c r="F535" s="70">
        <v>2013</v>
      </c>
      <c r="G535" s="7" t="s">
        <v>19</v>
      </c>
      <c r="H535" s="7" t="s">
        <v>56</v>
      </c>
      <c r="I535" s="8" t="s">
        <v>202</v>
      </c>
      <c r="J535" s="111" t="s">
        <v>35</v>
      </c>
      <c r="K535" s="7" t="s">
        <v>198</v>
      </c>
      <c r="L535" s="2" t="s">
        <v>1531</v>
      </c>
      <c r="M535" s="11" t="s">
        <v>1912</v>
      </c>
      <c r="N535" s="2" t="s">
        <v>1571</v>
      </c>
      <c r="O535" s="2" t="s">
        <v>2394</v>
      </c>
      <c r="P535" s="2" t="s">
        <v>2395</v>
      </c>
      <c r="Q535" s="2" t="s">
        <v>2625</v>
      </c>
      <c r="R535" s="2" t="s">
        <v>2450</v>
      </c>
      <c r="S535" s="2" t="s">
        <v>1709</v>
      </c>
      <c r="U535" s="5" t="s">
        <v>1549</v>
      </c>
      <c r="Z535" s="2"/>
    </row>
    <row r="536" spans="1:26" ht="30" hidden="1" customHeight="1" x14ac:dyDescent="0.5">
      <c r="A536" s="5">
        <v>329</v>
      </c>
      <c r="B536" s="58">
        <v>1106700020003</v>
      </c>
      <c r="C536" s="7" t="s">
        <v>54</v>
      </c>
      <c r="D536" s="7" t="s">
        <v>203</v>
      </c>
      <c r="F536" s="70">
        <v>2016</v>
      </c>
      <c r="G536" s="7" t="s">
        <v>19</v>
      </c>
      <c r="H536" s="7" t="s">
        <v>56</v>
      </c>
      <c r="I536" s="8" t="s">
        <v>204</v>
      </c>
      <c r="J536" s="7" t="s">
        <v>35</v>
      </c>
      <c r="K536" s="7" t="s">
        <v>198</v>
      </c>
      <c r="L536" s="2"/>
      <c r="M536" s="2" t="s">
        <v>2705</v>
      </c>
      <c r="N536" s="2"/>
      <c r="O536" s="2"/>
      <c r="P536" s="2"/>
      <c r="Q536" s="2"/>
      <c r="R536" s="2"/>
      <c r="S536" s="2"/>
      <c r="U536" s="5" t="s">
        <v>1555</v>
      </c>
      <c r="Z536" s="2"/>
    </row>
    <row r="537" spans="1:26" ht="30" hidden="1" customHeight="1" x14ac:dyDescent="0.5">
      <c r="A537" s="5">
        <v>417</v>
      </c>
      <c r="B537" s="58">
        <v>1106700020003</v>
      </c>
      <c r="C537" s="7" t="s">
        <v>54</v>
      </c>
      <c r="D537" s="7" t="s">
        <v>70</v>
      </c>
      <c r="E537" s="7" t="s">
        <v>2218</v>
      </c>
      <c r="F537" s="70">
        <v>2011</v>
      </c>
      <c r="G537" s="7" t="s">
        <v>19</v>
      </c>
      <c r="H537" s="7" t="s">
        <v>56</v>
      </c>
      <c r="I537" s="8" t="s">
        <v>71</v>
      </c>
      <c r="J537" s="7" t="s">
        <v>35</v>
      </c>
      <c r="K537" s="57" t="s">
        <v>61</v>
      </c>
      <c r="L537" s="2" t="s">
        <v>1487</v>
      </c>
      <c r="M537" s="11" t="s">
        <v>1912</v>
      </c>
      <c r="N537" s="2" t="s">
        <v>1564</v>
      </c>
      <c r="O537" s="2" t="s">
        <v>2445</v>
      </c>
      <c r="P537" s="2" t="s">
        <v>2437</v>
      </c>
      <c r="Q537" s="2" t="s">
        <v>2448</v>
      </c>
      <c r="R537" s="2" t="s">
        <v>2446</v>
      </c>
      <c r="S537" s="2" t="s">
        <v>1994</v>
      </c>
      <c r="U537" s="5" t="s">
        <v>1491</v>
      </c>
      <c r="Z537" s="7"/>
    </row>
    <row r="538" spans="1:26" ht="30" hidden="1" customHeight="1" x14ac:dyDescent="0.5">
      <c r="A538" s="5">
        <v>346</v>
      </c>
      <c r="B538" s="58">
        <v>1106700020003</v>
      </c>
      <c r="C538" s="7" t="s">
        <v>54</v>
      </c>
      <c r="D538" s="7" t="s">
        <v>1444</v>
      </c>
      <c r="F538" s="70">
        <v>2011</v>
      </c>
      <c r="G538" s="7" t="s">
        <v>19</v>
      </c>
      <c r="H538" s="7" t="s">
        <v>56</v>
      </c>
      <c r="I538" s="8" t="s">
        <v>679</v>
      </c>
      <c r="J538" s="111" t="s">
        <v>263</v>
      </c>
      <c r="K538" s="7" t="s">
        <v>632</v>
      </c>
      <c r="L538" s="2" t="s">
        <v>1544</v>
      </c>
      <c r="M538" s="11" t="s">
        <v>1912</v>
      </c>
      <c r="N538" s="2" t="s">
        <v>1565</v>
      </c>
      <c r="O538" s="2" t="s">
        <v>2525</v>
      </c>
      <c r="P538" s="2" t="s">
        <v>2526</v>
      </c>
      <c r="Q538" s="2" t="s">
        <v>2630</v>
      </c>
      <c r="R538" s="2"/>
      <c r="S538" s="2" t="s">
        <v>1997</v>
      </c>
      <c r="Z538" s="2" t="s">
        <v>1498</v>
      </c>
    </row>
    <row r="539" spans="1:26" ht="30" hidden="1" customHeight="1" x14ac:dyDescent="0.5">
      <c r="A539" s="5">
        <v>178</v>
      </c>
      <c r="B539" s="58">
        <v>1106700020003</v>
      </c>
      <c r="C539" s="7" t="s">
        <v>54</v>
      </c>
      <c r="D539" s="7" t="s">
        <v>749</v>
      </c>
      <c r="E539" s="7" t="s">
        <v>2221</v>
      </c>
      <c r="F539" s="70">
        <v>2014</v>
      </c>
      <c r="G539" s="7" t="s">
        <v>19</v>
      </c>
      <c r="H539" s="7" t="s">
        <v>56</v>
      </c>
      <c r="I539" s="8" t="s">
        <v>750</v>
      </c>
      <c r="J539" s="7" t="s">
        <v>35</v>
      </c>
      <c r="K539" s="7" t="s">
        <v>746</v>
      </c>
      <c r="L539" s="2" t="s">
        <v>1487</v>
      </c>
      <c r="M539" s="11" t="s">
        <v>1912</v>
      </c>
      <c r="N539" s="2"/>
      <c r="O539" s="2"/>
      <c r="P539" s="2"/>
      <c r="Q539" s="2" t="s">
        <v>2395</v>
      </c>
      <c r="R539" s="2" t="s">
        <v>2338</v>
      </c>
      <c r="S539" s="2" t="s">
        <v>1700</v>
      </c>
      <c r="Z539" s="7"/>
    </row>
    <row r="540" spans="1:26" ht="30" hidden="1" customHeight="1" x14ac:dyDescent="0.5">
      <c r="A540" s="5">
        <v>180</v>
      </c>
      <c r="B540" s="58">
        <v>1106700020003</v>
      </c>
      <c r="C540" s="7" t="s">
        <v>54</v>
      </c>
      <c r="D540" s="7" t="s">
        <v>208</v>
      </c>
      <c r="F540" s="70">
        <v>2014</v>
      </c>
      <c r="G540" s="7" t="s">
        <v>19</v>
      </c>
      <c r="H540" s="7" t="s">
        <v>56</v>
      </c>
      <c r="I540" s="8" t="s">
        <v>209</v>
      </c>
      <c r="J540" s="7" t="s">
        <v>35</v>
      </c>
      <c r="K540" s="7" t="s">
        <v>205</v>
      </c>
      <c r="L540" s="2" t="s">
        <v>1525</v>
      </c>
      <c r="M540" s="11" t="s">
        <v>1912</v>
      </c>
      <c r="N540" s="2"/>
      <c r="O540" s="2"/>
      <c r="P540" s="2"/>
      <c r="Q540" s="2" t="s">
        <v>2177</v>
      </c>
      <c r="R540" s="2" t="s">
        <v>2367</v>
      </c>
      <c r="S540" s="2" t="s">
        <v>1705</v>
      </c>
      <c r="U540" s="5" t="s">
        <v>1557</v>
      </c>
      <c r="Z540" s="2"/>
    </row>
    <row r="541" spans="1:26" ht="30" customHeight="1" x14ac:dyDescent="0.5">
      <c r="A541" s="116">
        <v>376</v>
      </c>
      <c r="B541" s="58">
        <v>1106700020003</v>
      </c>
      <c r="C541" s="7" t="s">
        <v>54</v>
      </c>
      <c r="D541" s="7" t="s">
        <v>164</v>
      </c>
      <c r="E541" s="105" t="s">
        <v>2213</v>
      </c>
      <c r="F541" s="70">
        <v>2013</v>
      </c>
      <c r="G541" s="7" t="s">
        <v>19</v>
      </c>
      <c r="H541" s="7" t="s">
        <v>56</v>
      </c>
      <c r="I541" s="8" t="s">
        <v>165</v>
      </c>
      <c r="J541" s="7" t="s">
        <v>35</v>
      </c>
      <c r="K541" s="7" t="s">
        <v>153</v>
      </c>
      <c r="L541" s="2" t="s">
        <v>1537</v>
      </c>
      <c r="M541" s="2" t="s">
        <v>1548</v>
      </c>
      <c r="N541" s="2" t="s">
        <v>1559</v>
      </c>
      <c r="O541" s="2" t="s">
        <v>1559</v>
      </c>
      <c r="P541" s="2" t="s">
        <v>2662</v>
      </c>
      <c r="Q541" s="57"/>
      <c r="R541" s="2"/>
      <c r="S541" s="2" t="s">
        <v>1725</v>
      </c>
      <c r="U541" s="5" t="s">
        <v>1530</v>
      </c>
      <c r="Z541" s="2"/>
    </row>
    <row r="542" spans="1:26" ht="30" hidden="1" customHeight="1" x14ac:dyDescent="0.5">
      <c r="A542" s="5">
        <v>154</v>
      </c>
      <c r="B542" s="58">
        <v>1106700020003</v>
      </c>
      <c r="C542" s="7" t="s">
        <v>54</v>
      </c>
      <c r="D542" s="7" t="s">
        <v>758</v>
      </c>
      <c r="E542" s="7" t="s">
        <v>2213</v>
      </c>
      <c r="F542" s="70">
        <v>2013</v>
      </c>
      <c r="G542" s="7" t="s">
        <v>19</v>
      </c>
      <c r="H542" s="7" t="s">
        <v>56</v>
      </c>
      <c r="I542" s="8" t="s">
        <v>759</v>
      </c>
      <c r="J542" s="7" t="s">
        <v>35</v>
      </c>
      <c r="K542" s="7" t="s">
        <v>753</v>
      </c>
      <c r="L542" s="2" t="s">
        <v>1513</v>
      </c>
      <c r="M542" s="11" t="s">
        <v>1912</v>
      </c>
      <c r="N542" s="2"/>
      <c r="O542" s="2"/>
      <c r="P542" s="2"/>
      <c r="Q542" s="2" t="s">
        <v>2223</v>
      </c>
      <c r="R542" s="2"/>
      <c r="S542" s="2" t="s">
        <v>1652</v>
      </c>
      <c r="Z542" s="7" t="s">
        <v>1508</v>
      </c>
    </row>
    <row r="543" spans="1:26" ht="30" hidden="1" customHeight="1" x14ac:dyDescent="0.5">
      <c r="A543" s="5">
        <v>138</v>
      </c>
      <c r="B543" s="58">
        <v>1106700020003</v>
      </c>
      <c r="C543" s="7" t="s">
        <v>54</v>
      </c>
      <c r="D543" s="7" t="s">
        <v>936</v>
      </c>
      <c r="E543" s="7" t="s">
        <v>2215</v>
      </c>
      <c r="F543" s="70">
        <v>2013</v>
      </c>
      <c r="G543" s="7" t="s">
        <v>19</v>
      </c>
      <c r="H543" s="7" t="s">
        <v>56</v>
      </c>
      <c r="I543" s="8" t="s">
        <v>937</v>
      </c>
      <c r="J543" s="111" t="s">
        <v>35</v>
      </c>
      <c r="K543" s="7" t="s">
        <v>933</v>
      </c>
      <c r="L543" s="2" t="s">
        <v>1477</v>
      </c>
      <c r="M543" s="11" t="s">
        <v>1912</v>
      </c>
      <c r="N543" s="2" t="s">
        <v>1571</v>
      </c>
      <c r="O543" s="2" t="s">
        <v>1609</v>
      </c>
      <c r="P543" s="2" t="s">
        <v>2593</v>
      </c>
      <c r="Q543" s="2" t="s">
        <v>2612</v>
      </c>
      <c r="R543" s="2" t="s">
        <v>2597</v>
      </c>
      <c r="S543" s="2" t="s">
        <v>1689</v>
      </c>
      <c r="X543" s="5" t="s">
        <v>1542</v>
      </c>
      <c r="Z543" s="7"/>
    </row>
    <row r="544" spans="1:26" ht="30" customHeight="1" x14ac:dyDescent="0.5">
      <c r="A544" s="5">
        <v>260</v>
      </c>
      <c r="B544" s="58">
        <v>1106700020003</v>
      </c>
      <c r="C544" s="7" t="s">
        <v>54</v>
      </c>
      <c r="D544" s="7" t="s">
        <v>790</v>
      </c>
      <c r="F544" s="70">
        <v>2014</v>
      </c>
      <c r="G544" s="7" t="s">
        <v>19</v>
      </c>
      <c r="H544" s="7" t="s">
        <v>56</v>
      </c>
      <c r="I544" s="8" t="s">
        <v>791</v>
      </c>
      <c r="J544" s="7" t="s">
        <v>35</v>
      </c>
      <c r="K544" s="7" t="s">
        <v>787</v>
      </c>
      <c r="L544" s="2" t="s">
        <v>1477</v>
      </c>
      <c r="M544" s="2" t="s">
        <v>1548</v>
      </c>
      <c r="N544" s="2" t="s">
        <v>1564</v>
      </c>
      <c r="O544" s="2" t="s">
        <v>2598</v>
      </c>
      <c r="P544" s="9" t="s">
        <v>2599</v>
      </c>
      <c r="Q544" s="2" t="s">
        <v>2593</v>
      </c>
      <c r="R544" s="2" t="s">
        <v>2600</v>
      </c>
      <c r="S544" s="2" t="s">
        <v>2002</v>
      </c>
      <c r="Z544" s="2"/>
    </row>
    <row r="545" spans="1:26" ht="30" customHeight="1" x14ac:dyDescent="0.5">
      <c r="A545" s="5">
        <v>252</v>
      </c>
      <c r="B545" s="58">
        <v>1106700020003</v>
      </c>
      <c r="C545" s="7" t="s">
        <v>54</v>
      </c>
      <c r="D545" s="7" t="s">
        <v>832</v>
      </c>
      <c r="E545" s="7" t="s">
        <v>2213</v>
      </c>
      <c r="F545" s="70">
        <v>2012</v>
      </c>
      <c r="G545" s="7" t="s">
        <v>19</v>
      </c>
      <c r="H545" s="7" t="s">
        <v>56</v>
      </c>
      <c r="I545" s="8" t="s">
        <v>833</v>
      </c>
      <c r="J545" s="111" t="s">
        <v>35</v>
      </c>
      <c r="K545" s="7" t="s">
        <v>827</v>
      </c>
      <c r="L545" s="2" t="s">
        <v>1531</v>
      </c>
      <c r="M545" s="2" t="s">
        <v>1548</v>
      </c>
      <c r="N545" s="2" t="s">
        <v>1615</v>
      </c>
      <c r="O545" s="2" t="s">
        <v>2490</v>
      </c>
      <c r="P545" s="2" t="s">
        <v>2541</v>
      </c>
      <c r="Q545" s="2" t="s">
        <v>2233</v>
      </c>
      <c r="R545" s="2"/>
      <c r="S545" s="2" t="s">
        <v>1710</v>
      </c>
      <c r="Z545" s="7"/>
    </row>
    <row r="546" spans="1:26" ht="30" hidden="1" customHeight="1" x14ac:dyDescent="0.5">
      <c r="A546" s="5">
        <v>282</v>
      </c>
      <c r="B546" s="58">
        <v>1106700020003</v>
      </c>
      <c r="C546" s="7" t="s">
        <v>54</v>
      </c>
      <c r="D546" s="7" t="s">
        <v>879</v>
      </c>
      <c r="F546" s="70">
        <v>2015</v>
      </c>
      <c r="G546" s="7" t="s">
        <v>19</v>
      </c>
      <c r="H546" s="7" t="s">
        <v>56</v>
      </c>
      <c r="I546" s="8" t="s">
        <v>880</v>
      </c>
      <c r="J546" s="7" t="s">
        <v>35</v>
      </c>
      <c r="K546" s="7" t="s">
        <v>877</v>
      </c>
      <c r="L546" s="2" t="s">
        <v>1506</v>
      </c>
      <c r="M546" s="11" t="s">
        <v>1912</v>
      </c>
      <c r="N546" s="2"/>
      <c r="O546" s="2"/>
      <c r="P546" s="2" t="s">
        <v>1799</v>
      </c>
      <c r="Q546" s="2" t="s">
        <v>1932</v>
      </c>
      <c r="R546" s="2" t="s">
        <v>1915</v>
      </c>
      <c r="S546" s="2" t="s">
        <v>1698</v>
      </c>
      <c r="Z546" s="2"/>
    </row>
    <row r="547" spans="1:26" ht="30" hidden="1" customHeight="1" x14ac:dyDescent="0.5">
      <c r="A547" s="5">
        <v>283</v>
      </c>
      <c r="B547" s="58">
        <v>1106700020003</v>
      </c>
      <c r="C547" s="7" t="s">
        <v>54</v>
      </c>
      <c r="D547" s="7" t="s">
        <v>1426</v>
      </c>
      <c r="F547" s="70">
        <v>2015</v>
      </c>
      <c r="G547" s="7" t="s">
        <v>19</v>
      </c>
      <c r="H547" s="7" t="s">
        <v>56</v>
      </c>
      <c r="I547" s="8" t="s">
        <v>1427</v>
      </c>
      <c r="J547" s="7" t="s">
        <v>35</v>
      </c>
      <c r="K547" s="7" t="s">
        <v>1423</v>
      </c>
      <c r="L547" s="2" t="s">
        <v>1525</v>
      </c>
      <c r="M547" s="2" t="s">
        <v>2705</v>
      </c>
      <c r="N547" s="2"/>
      <c r="O547" s="2"/>
      <c r="P547" s="2"/>
      <c r="Q547" s="2"/>
      <c r="R547" s="2" t="s">
        <v>2732</v>
      </c>
      <c r="S547" s="2"/>
      <c r="Z547" s="2"/>
    </row>
    <row r="548" spans="1:26" ht="30" hidden="1" customHeight="1" x14ac:dyDescent="0.5">
      <c r="A548" s="5">
        <v>378</v>
      </c>
      <c r="B548" s="58">
        <v>1106700020003</v>
      </c>
      <c r="C548" s="7" t="s">
        <v>54</v>
      </c>
      <c r="D548" s="7" t="s">
        <v>918</v>
      </c>
      <c r="E548" s="7" t="s">
        <v>2213</v>
      </c>
      <c r="F548" s="70">
        <v>2013</v>
      </c>
      <c r="G548" s="7" t="s">
        <v>19</v>
      </c>
      <c r="H548" s="7" t="s">
        <v>56</v>
      </c>
      <c r="I548" s="8" t="s">
        <v>919</v>
      </c>
      <c r="J548" s="111" t="s">
        <v>35</v>
      </c>
      <c r="K548" s="7" t="s">
        <v>913</v>
      </c>
      <c r="L548" s="2" t="s">
        <v>1477</v>
      </c>
      <c r="M548" s="11" t="s">
        <v>1912</v>
      </c>
      <c r="N548" s="2" t="s">
        <v>1571</v>
      </c>
      <c r="O548" s="2" t="s">
        <v>2524</v>
      </c>
      <c r="P548" s="2" t="s">
        <v>2521</v>
      </c>
      <c r="Q548" s="2" t="s">
        <v>2534</v>
      </c>
      <c r="R548" s="2"/>
      <c r="S548" s="2" t="s">
        <v>1690</v>
      </c>
      <c r="Z548" s="7"/>
    </row>
    <row r="549" spans="1:26" ht="30" customHeight="1" x14ac:dyDescent="0.5">
      <c r="A549" s="116">
        <v>261</v>
      </c>
      <c r="B549" s="58">
        <v>1106700020003</v>
      </c>
      <c r="C549" s="7" t="s">
        <v>54</v>
      </c>
      <c r="D549" s="7" t="s">
        <v>811</v>
      </c>
      <c r="E549" s="7" t="s">
        <v>2215</v>
      </c>
      <c r="F549" s="70">
        <v>2014</v>
      </c>
      <c r="G549" s="7" t="s">
        <v>19</v>
      </c>
      <c r="H549" s="7" t="s">
        <v>52</v>
      </c>
      <c r="I549" s="8" t="s">
        <v>812</v>
      </c>
      <c r="J549" s="111" t="s">
        <v>35</v>
      </c>
      <c r="K549" s="57" t="s">
        <v>806</v>
      </c>
      <c r="L549" s="2" t="s">
        <v>1482</v>
      </c>
      <c r="M549" s="2" t="s">
        <v>1548</v>
      </c>
      <c r="N549" s="2" t="s">
        <v>1564</v>
      </c>
      <c r="O549" s="2" t="s">
        <v>2389</v>
      </c>
      <c r="P549" s="123" t="s">
        <v>2630</v>
      </c>
      <c r="Q549" s="2" t="s">
        <v>2625</v>
      </c>
      <c r="R549" s="2" t="s">
        <v>2631</v>
      </c>
      <c r="S549" s="2" t="s">
        <v>1678</v>
      </c>
      <c r="Z549" s="2"/>
    </row>
    <row r="550" spans="1:26" ht="30" hidden="1" customHeight="1" x14ac:dyDescent="0.5">
      <c r="A550" s="5">
        <v>402</v>
      </c>
      <c r="B550" s="58">
        <v>1106700020003</v>
      </c>
      <c r="C550" s="7" t="s">
        <v>54</v>
      </c>
      <c r="D550" s="7" t="s">
        <v>75</v>
      </c>
      <c r="E550" s="72" t="s">
        <v>2098</v>
      </c>
      <c r="F550" s="70">
        <v>2014</v>
      </c>
      <c r="G550" s="7" t="s">
        <v>19</v>
      </c>
      <c r="H550" s="7" t="s">
        <v>56</v>
      </c>
      <c r="I550" s="8" t="s">
        <v>76</v>
      </c>
      <c r="J550" s="111" t="s">
        <v>35</v>
      </c>
      <c r="K550" s="7" t="s">
        <v>72</v>
      </c>
      <c r="L550" s="2" t="s">
        <v>1506</v>
      </c>
      <c r="M550" s="11" t="s">
        <v>1912</v>
      </c>
      <c r="N550" s="2"/>
      <c r="O550" s="2"/>
      <c r="P550" s="2"/>
      <c r="Q550" s="2" t="s">
        <v>2606</v>
      </c>
      <c r="R550" s="2" t="s">
        <v>2596</v>
      </c>
      <c r="S550" s="2" t="s">
        <v>1698</v>
      </c>
      <c r="U550" s="5" t="s">
        <v>1493</v>
      </c>
      <c r="Z550" s="7"/>
    </row>
    <row r="551" spans="1:26" ht="30" customHeight="1" x14ac:dyDescent="0.5">
      <c r="A551" s="116">
        <v>165</v>
      </c>
      <c r="B551" s="58">
        <v>1106700020003</v>
      </c>
      <c r="C551" s="7" t="s">
        <v>54</v>
      </c>
      <c r="D551" s="7" t="s">
        <v>904</v>
      </c>
      <c r="E551" s="105" t="s">
        <v>2213</v>
      </c>
      <c r="F551" s="70">
        <v>2011</v>
      </c>
      <c r="G551" s="7" t="s">
        <v>19</v>
      </c>
      <c r="H551" s="7" t="s">
        <v>56</v>
      </c>
      <c r="I551" s="8" t="s">
        <v>905</v>
      </c>
      <c r="J551" s="7" t="s">
        <v>35</v>
      </c>
      <c r="K551" s="7" t="s">
        <v>901</v>
      </c>
      <c r="L551" s="2" t="s">
        <v>1549</v>
      </c>
      <c r="M551" s="2" t="s">
        <v>1548</v>
      </c>
      <c r="N551" s="2" t="s">
        <v>1571</v>
      </c>
      <c r="O551" s="2" t="s">
        <v>1840</v>
      </c>
      <c r="P551" s="2" t="s">
        <v>1841</v>
      </c>
      <c r="Q551" s="57"/>
      <c r="R551" s="2" t="s">
        <v>2338</v>
      </c>
      <c r="S551" s="2" t="s">
        <v>1717</v>
      </c>
      <c r="Z551" s="2"/>
    </row>
    <row r="552" spans="1:26" ht="30" hidden="1" customHeight="1" x14ac:dyDescent="0.5">
      <c r="A552" s="116">
        <v>423</v>
      </c>
      <c r="B552" s="58">
        <v>1106700020003</v>
      </c>
      <c r="C552" s="7" t="s">
        <v>54</v>
      </c>
      <c r="D552" s="7" t="s">
        <v>1450</v>
      </c>
      <c r="E552" s="7" t="s">
        <v>2215</v>
      </c>
      <c r="F552" s="70">
        <v>2013</v>
      </c>
      <c r="G552" s="7" t="s">
        <v>19</v>
      </c>
      <c r="H552" s="7" t="s">
        <v>56</v>
      </c>
      <c r="I552" s="8" t="s">
        <v>1422</v>
      </c>
      <c r="J552" s="111" t="s">
        <v>35</v>
      </c>
      <c r="K552" s="7" t="s">
        <v>1417</v>
      </c>
      <c r="L552" s="2" t="s">
        <v>1506</v>
      </c>
      <c r="M552" s="11" t="s">
        <v>1912</v>
      </c>
      <c r="N552" s="2" t="s">
        <v>1564</v>
      </c>
      <c r="O552" s="2" t="s">
        <v>1795</v>
      </c>
      <c r="P552" s="2" t="s">
        <v>1796</v>
      </c>
      <c r="Q552" s="2" t="s">
        <v>2670</v>
      </c>
      <c r="R552" s="2" t="s">
        <v>2451</v>
      </c>
      <c r="S552" s="2" t="s">
        <v>1698</v>
      </c>
      <c r="Z552" s="7"/>
    </row>
    <row r="553" spans="1:26" ht="30" hidden="1" customHeight="1" x14ac:dyDescent="0.5">
      <c r="A553" s="5">
        <v>408</v>
      </c>
      <c r="B553" s="58">
        <v>1106700020003</v>
      </c>
      <c r="C553" s="7" t="s">
        <v>54</v>
      </c>
      <c r="D553" s="7" t="s">
        <v>129</v>
      </c>
      <c r="E553" s="7" t="s">
        <v>2213</v>
      </c>
      <c r="F553" s="70">
        <v>2012</v>
      </c>
      <c r="G553" s="7" t="s">
        <v>19</v>
      </c>
      <c r="H553" s="7" t="s">
        <v>56</v>
      </c>
      <c r="I553" s="8" t="s">
        <v>130</v>
      </c>
      <c r="J553" s="7" t="s">
        <v>35</v>
      </c>
      <c r="K553" s="7" t="s">
        <v>126</v>
      </c>
      <c r="L553" s="2" t="s">
        <v>1493</v>
      </c>
      <c r="M553" s="11" t="s">
        <v>1912</v>
      </c>
      <c r="N553" s="2"/>
      <c r="O553" s="2"/>
      <c r="P553" s="2"/>
      <c r="Q553" s="2" t="s">
        <v>2412</v>
      </c>
      <c r="R553" s="2"/>
      <c r="S553" s="2" t="s">
        <v>1715</v>
      </c>
      <c r="U553" s="5" t="s">
        <v>1515</v>
      </c>
      <c r="Z553" s="7"/>
    </row>
    <row r="554" spans="1:26" ht="30" hidden="1" customHeight="1" x14ac:dyDescent="0.5">
      <c r="A554" s="5">
        <v>160</v>
      </c>
      <c r="B554" s="58">
        <v>1106700020003</v>
      </c>
      <c r="C554" s="7" t="s">
        <v>54</v>
      </c>
      <c r="D554" s="7" t="s">
        <v>331</v>
      </c>
      <c r="F554" s="70">
        <v>2015</v>
      </c>
      <c r="G554" s="7" t="s">
        <v>19</v>
      </c>
      <c r="H554" s="7" t="s">
        <v>56</v>
      </c>
      <c r="I554" s="8" t="s">
        <v>332</v>
      </c>
      <c r="J554" s="7" t="s">
        <v>263</v>
      </c>
      <c r="K554" s="7" t="s">
        <v>1560</v>
      </c>
      <c r="L554" s="2" t="s">
        <v>1477</v>
      </c>
      <c r="M554" s="11" t="s">
        <v>1912</v>
      </c>
      <c r="N554" s="2" t="s">
        <v>1571</v>
      </c>
      <c r="O554" s="2" t="s">
        <v>2586</v>
      </c>
      <c r="P554" s="2" t="s">
        <v>1898</v>
      </c>
      <c r="Q554" s="2" t="s">
        <v>2593</v>
      </c>
      <c r="R554" s="2"/>
      <c r="S554" s="2" t="s">
        <v>1693</v>
      </c>
      <c r="Z554" s="2"/>
    </row>
    <row r="555" spans="1:26" ht="30" hidden="1" customHeight="1" x14ac:dyDescent="0.5">
      <c r="A555" s="5">
        <v>407</v>
      </c>
      <c r="B555" s="58">
        <v>1106700020003</v>
      </c>
      <c r="C555" s="7" t="s">
        <v>54</v>
      </c>
      <c r="D555" s="7" t="s">
        <v>899</v>
      </c>
      <c r="E555" s="72" t="s">
        <v>2098</v>
      </c>
      <c r="F555" s="70">
        <v>2012</v>
      </c>
      <c r="G555" s="7" t="s">
        <v>19</v>
      </c>
      <c r="H555" s="7" t="s">
        <v>56</v>
      </c>
      <c r="I555" s="8" t="s">
        <v>900</v>
      </c>
      <c r="J555" s="7" t="s">
        <v>35</v>
      </c>
      <c r="K555" s="7" t="s">
        <v>896</v>
      </c>
      <c r="L555" s="2" t="s">
        <v>1537</v>
      </c>
      <c r="M555" s="11" t="s">
        <v>1912</v>
      </c>
      <c r="N555" s="2"/>
      <c r="O555" s="2"/>
      <c r="P555" s="2"/>
      <c r="Q555" s="2" t="s">
        <v>2205</v>
      </c>
      <c r="R555" s="2" t="s">
        <v>2119</v>
      </c>
      <c r="S555" s="2" t="s">
        <v>1539</v>
      </c>
      <c r="Z555" s="7" t="s">
        <v>1472</v>
      </c>
    </row>
    <row r="556" spans="1:26" ht="30" hidden="1" customHeight="1" x14ac:dyDescent="0.5">
      <c r="A556" s="5">
        <v>253</v>
      </c>
      <c r="B556" s="58">
        <v>1106700020003</v>
      </c>
      <c r="C556" s="7" t="s">
        <v>54</v>
      </c>
      <c r="D556" s="7" t="s">
        <v>110</v>
      </c>
      <c r="E556" s="7" t="s">
        <v>2213</v>
      </c>
      <c r="F556" s="70">
        <v>2012</v>
      </c>
      <c r="G556" s="7" t="s">
        <v>19</v>
      </c>
      <c r="H556" s="7" t="s">
        <v>56</v>
      </c>
      <c r="I556" s="8" t="s">
        <v>111</v>
      </c>
      <c r="J556" s="7" t="s">
        <v>35</v>
      </c>
      <c r="K556" s="7" t="s">
        <v>107</v>
      </c>
      <c r="L556" s="2" t="s">
        <v>1471</v>
      </c>
      <c r="M556" s="11" t="s">
        <v>1912</v>
      </c>
      <c r="N556" s="2" t="s">
        <v>1564</v>
      </c>
      <c r="O556" s="2" t="s">
        <v>1815</v>
      </c>
      <c r="P556" s="2" t="s">
        <v>1816</v>
      </c>
      <c r="Q556" s="2" t="s">
        <v>2448</v>
      </c>
      <c r="R556" s="2"/>
      <c r="S556" s="2" t="s">
        <v>1672</v>
      </c>
      <c r="U556" s="5" t="s">
        <v>1506</v>
      </c>
      <c r="Z556" s="7"/>
    </row>
    <row r="557" spans="1:26" ht="30" hidden="1" customHeight="1" x14ac:dyDescent="0.5">
      <c r="A557" s="5">
        <v>219</v>
      </c>
      <c r="B557" s="58">
        <v>1106700020003</v>
      </c>
      <c r="C557" s="7" t="s">
        <v>54</v>
      </c>
      <c r="D557" s="7" t="s">
        <v>196</v>
      </c>
      <c r="E557" s="7" t="s">
        <v>2213</v>
      </c>
      <c r="F557" s="70">
        <v>2014</v>
      </c>
      <c r="G557" s="7" t="s">
        <v>19</v>
      </c>
      <c r="H557" s="7" t="s">
        <v>56</v>
      </c>
      <c r="I557" s="8" t="s">
        <v>197</v>
      </c>
      <c r="J557" s="7" t="s">
        <v>35</v>
      </c>
      <c r="K557" s="7" t="s">
        <v>192</v>
      </c>
      <c r="L557" s="2" t="s">
        <v>1513</v>
      </c>
      <c r="M557" s="11" t="s">
        <v>1912</v>
      </c>
      <c r="N557" s="2"/>
      <c r="O557" s="2"/>
      <c r="P557" s="2"/>
      <c r="Q557" s="2" t="s">
        <v>2235</v>
      </c>
      <c r="R557" s="2"/>
      <c r="S557" s="2" t="s">
        <v>1723</v>
      </c>
      <c r="U557" s="5" t="s">
        <v>1543</v>
      </c>
      <c r="Z557" s="7"/>
    </row>
    <row r="558" spans="1:26" ht="30" customHeight="1" x14ac:dyDescent="0.5">
      <c r="A558" s="5">
        <v>151</v>
      </c>
      <c r="B558" s="58">
        <v>1106700020003</v>
      </c>
      <c r="C558" s="7" t="s">
        <v>54</v>
      </c>
      <c r="D558" s="7" t="s">
        <v>978</v>
      </c>
      <c r="F558" s="70">
        <v>2015</v>
      </c>
      <c r="G558" s="7" t="s">
        <v>19</v>
      </c>
      <c r="H558" s="7" t="s">
        <v>56</v>
      </c>
      <c r="I558" s="8" t="s">
        <v>979</v>
      </c>
      <c r="J558" s="111" t="s">
        <v>35</v>
      </c>
      <c r="K558" s="7" t="s">
        <v>973</v>
      </c>
      <c r="L558" s="2" t="s">
        <v>1531</v>
      </c>
      <c r="M558" s="11" t="s">
        <v>1548</v>
      </c>
      <c r="N558" s="2" t="s">
        <v>1615</v>
      </c>
      <c r="O558" s="2" t="s">
        <v>2712</v>
      </c>
      <c r="P558" s="2" t="s">
        <v>2710</v>
      </c>
      <c r="Q558" s="2" t="s">
        <v>2612</v>
      </c>
      <c r="R558" s="2"/>
      <c r="S558" s="2" t="s">
        <v>1670</v>
      </c>
      <c r="Z558" s="2"/>
    </row>
    <row r="559" spans="1:26" ht="30" customHeight="1" x14ac:dyDescent="0.5">
      <c r="A559" s="116">
        <v>409</v>
      </c>
      <c r="B559" s="58">
        <v>1106700020003</v>
      </c>
      <c r="C559" s="7" t="s">
        <v>54</v>
      </c>
      <c r="D559" s="7" t="s">
        <v>55</v>
      </c>
      <c r="E559" s="105" t="s">
        <v>2215</v>
      </c>
      <c r="F559" s="70">
        <v>2013</v>
      </c>
      <c r="G559" s="7" t="s">
        <v>19</v>
      </c>
      <c r="H559" s="7" t="s">
        <v>56</v>
      </c>
      <c r="I559" s="8" t="s">
        <v>57</v>
      </c>
      <c r="J559" s="111" t="s">
        <v>35</v>
      </c>
      <c r="K559" s="7" t="s">
        <v>49</v>
      </c>
      <c r="L559" s="2" t="s">
        <v>1471</v>
      </c>
      <c r="M559" s="2" t="s">
        <v>1548</v>
      </c>
      <c r="N559" s="2" t="s">
        <v>1571</v>
      </c>
      <c r="O559" s="2" t="s">
        <v>2618</v>
      </c>
      <c r="P559" s="123" t="s">
        <v>2617</v>
      </c>
      <c r="Q559" s="2" t="s">
        <v>2606</v>
      </c>
      <c r="R559" s="2" t="s">
        <v>2619</v>
      </c>
      <c r="S559" s="2" t="s">
        <v>1994</v>
      </c>
      <c r="U559" s="5" t="s">
        <v>1485</v>
      </c>
      <c r="Z559" s="2"/>
    </row>
    <row r="560" spans="1:26" ht="30" hidden="1" customHeight="1" x14ac:dyDescent="0.5">
      <c r="A560" s="116">
        <v>379</v>
      </c>
      <c r="B560" s="58">
        <v>1106700020003</v>
      </c>
      <c r="C560" s="7" t="s">
        <v>54</v>
      </c>
      <c r="D560" s="7" t="s">
        <v>250</v>
      </c>
      <c r="E560" s="107" t="s">
        <v>2217</v>
      </c>
      <c r="F560" s="70">
        <v>2013</v>
      </c>
      <c r="G560" s="7" t="s">
        <v>19</v>
      </c>
      <c r="H560" s="7" t="s">
        <v>56</v>
      </c>
      <c r="I560" s="8" t="s">
        <v>251</v>
      </c>
      <c r="J560" s="7" t="s">
        <v>0</v>
      </c>
      <c r="K560" s="7" t="s">
        <v>240</v>
      </c>
      <c r="L560" s="2" t="s">
        <v>1544</v>
      </c>
      <c r="M560" s="9" t="s">
        <v>1553</v>
      </c>
      <c r="N560" s="2" t="s">
        <v>1559</v>
      </c>
      <c r="O560" s="2" t="s">
        <v>1559</v>
      </c>
      <c r="P560" s="2" t="s">
        <v>2100</v>
      </c>
      <c r="Q560" s="57" t="s">
        <v>2440</v>
      </c>
      <c r="R560" s="2"/>
      <c r="S560" s="2" t="s">
        <v>1730</v>
      </c>
      <c r="Z560" s="2"/>
    </row>
    <row r="561" spans="1:26" ht="30" customHeight="1" x14ac:dyDescent="0.5">
      <c r="A561" s="116">
        <v>190</v>
      </c>
      <c r="B561" s="58">
        <v>1106700020003</v>
      </c>
      <c r="C561" s="7" t="s">
        <v>54</v>
      </c>
      <c r="D561" s="7" t="s">
        <v>151</v>
      </c>
      <c r="E561" s="105" t="s">
        <v>2220</v>
      </c>
      <c r="F561" s="70">
        <v>2015</v>
      </c>
      <c r="G561" s="7" t="s">
        <v>19</v>
      </c>
      <c r="H561" s="7" t="s">
        <v>56</v>
      </c>
      <c r="I561" s="8" t="s">
        <v>152</v>
      </c>
      <c r="J561" s="7" t="s">
        <v>35</v>
      </c>
      <c r="K561" s="7" t="s">
        <v>148</v>
      </c>
      <c r="L561" s="2" t="s">
        <v>1537</v>
      </c>
      <c r="M561" s="2" t="s">
        <v>1548</v>
      </c>
      <c r="N561" s="2" t="s">
        <v>1559</v>
      </c>
      <c r="O561" s="2" t="s">
        <v>1559</v>
      </c>
      <c r="P561" s="2" t="s">
        <v>2660</v>
      </c>
      <c r="Q561" s="57"/>
      <c r="R561" s="2" t="s">
        <v>1856</v>
      </c>
      <c r="S561" s="2" t="s">
        <v>1725</v>
      </c>
      <c r="U561" s="5" t="s">
        <v>1524</v>
      </c>
      <c r="Z561" s="2"/>
    </row>
    <row r="562" spans="1:26" ht="30" customHeight="1" x14ac:dyDescent="0.5">
      <c r="A562" s="116">
        <v>125</v>
      </c>
      <c r="B562" s="58">
        <v>1106700020003</v>
      </c>
      <c r="C562" s="7" t="s">
        <v>54</v>
      </c>
      <c r="D562" s="7" t="s">
        <v>1437</v>
      </c>
      <c r="E562" s="105" t="s">
        <v>2213</v>
      </c>
      <c r="F562" s="70">
        <v>2012</v>
      </c>
      <c r="G562" s="7" t="s">
        <v>19</v>
      </c>
      <c r="H562" s="7" t="s">
        <v>56</v>
      </c>
      <c r="I562" s="8" t="s">
        <v>60</v>
      </c>
      <c r="J562" s="7" t="s">
        <v>35</v>
      </c>
      <c r="K562" s="7" t="s">
        <v>58</v>
      </c>
      <c r="L562" s="2" t="s">
        <v>1549</v>
      </c>
      <c r="M562" s="2" t="s">
        <v>1548</v>
      </c>
      <c r="N562" s="2" t="s">
        <v>1564</v>
      </c>
      <c r="O562" s="2" t="s">
        <v>2130</v>
      </c>
      <c r="P562" s="2" t="s">
        <v>1807</v>
      </c>
      <c r="Q562" s="57"/>
      <c r="R562" s="2" t="s">
        <v>2723</v>
      </c>
      <c r="S562" s="2" t="s">
        <v>1673</v>
      </c>
      <c r="U562" s="5" t="s">
        <v>1487</v>
      </c>
      <c r="X562" s="5" t="s">
        <v>1529</v>
      </c>
      <c r="Z562" s="2"/>
    </row>
    <row r="563" spans="1:26" ht="30" hidden="1" customHeight="1" x14ac:dyDescent="0.5">
      <c r="A563" s="5">
        <v>232</v>
      </c>
      <c r="B563" s="58">
        <v>1106700020003</v>
      </c>
      <c r="C563" s="7" t="s">
        <v>54</v>
      </c>
      <c r="D563" s="7" t="s">
        <v>225</v>
      </c>
      <c r="E563" s="7" t="s">
        <v>2213</v>
      </c>
      <c r="F563" s="70">
        <v>2014</v>
      </c>
      <c r="G563" s="7" t="s">
        <v>19</v>
      </c>
      <c r="H563" s="7" t="s">
        <v>56</v>
      </c>
      <c r="I563" s="8" t="s">
        <v>226</v>
      </c>
      <c r="J563" s="111" t="s">
        <v>35</v>
      </c>
      <c r="K563" s="7" t="s">
        <v>220</v>
      </c>
      <c r="L563" s="2" t="s">
        <v>1525</v>
      </c>
      <c r="M563" s="11" t="s">
        <v>1912</v>
      </c>
      <c r="N563" s="2" t="s">
        <v>1615</v>
      </c>
      <c r="O563" s="2" t="s">
        <v>2490</v>
      </c>
      <c r="P563" s="2" t="s">
        <v>2489</v>
      </c>
      <c r="Q563" s="2" t="s">
        <v>2526</v>
      </c>
      <c r="R563" s="2" t="s">
        <v>2470</v>
      </c>
      <c r="S563" s="2" t="s">
        <v>1708</v>
      </c>
      <c r="Z563" s="7"/>
    </row>
    <row r="564" spans="1:26" ht="30" hidden="1" customHeight="1" x14ac:dyDescent="0.5">
      <c r="A564" s="5">
        <v>229</v>
      </c>
      <c r="B564" s="58">
        <v>1106700020003</v>
      </c>
      <c r="C564" s="7" t="s">
        <v>54</v>
      </c>
      <c r="D564" s="7" t="s">
        <v>768</v>
      </c>
      <c r="E564" s="7" t="s">
        <v>2213</v>
      </c>
      <c r="F564" s="70">
        <v>2014</v>
      </c>
      <c r="G564" s="7" t="s">
        <v>19</v>
      </c>
      <c r="H564" s="7" t="s">
        <v>52</v>
      </c>
      <c r="I564" s="8" t="s">
        <v>769</v>
      </c>
      <c r="J564" s="111" t="s">
        <v>35</v>
      </c>
      <c r="K564" s="7" t="s">
        <v>765</v>
      </c>
      <c r="L564" s="2" t="s">
        <v>1518</v>
      </c>
      <c r="M564" s="11" t="s">
        <v>1912</v>
      </c>
      <c r="N564" s="2" t="s">
        <v>1564</v>
      </c>
      <c r="O564" s="2" t="s">
        <v>1842</v>
      </c>
      <c r="P564" s="2" t="s">
        <v>2474</v>
      </c>
      <c r="Q564" s="2" t="s">
        <v>2526</v>
      </c>
      <c r="R564" s="2"/>
      <c r="S564" s="2" t="s">
        <v>1682</v>
      </c>
      <c r="Z564" s="7"/>
    </row>
    <row r="565" spans="1:26" ht="30" hidden="1" customHeight="1" x14ac:dyDescent="0.5">
      <c r="A565" s="5">
        <v>220</v>
      </c>
      <c r="B565" s="58">
        <v>1106700020003</v>
      </c>
      <c r="C565" s="7" t="s">
        <v>54</v>
      </c>
      <c r="D565" s="7" t="s">
        <v>971</v>
      </c>
      <c r="F565" s="70">
        <v>2015</v>
      </c>
      <c r="G565" s="7" t="s">
        <v>19</v>
      </c>
      <c r="H565" s="7" t="s">
        <v>56</v>
      </c>
      <c r="I565" s="8" t="s">
        <v>972</v>
      </c>
      <c r="J565" s="7" t="s">
        <v>35</v>
      </c>
      <c r="K565" s="7" t="s">
        <v>968</v>
      </c>
      <c r="L565" s="2" t="s">
        <v>1477</v>
      </c>
      <c r="M565" s="11" t="s">
        <v>1912</v>
      </c>
      <c r="N565" s="2" t="s">
        <v>1615</v>
      </c>
      <c r="O565" s="2" t="s">
        <v>2490</v>
      </c>
      <c r="P565" s="2" t="s">
        <v>2504</v>
      </c>
      <c r="Q565" s="2" t="s">
        <v>2504</v>
      </c>
      <c r="R565" s="2"/>
      <c r="S565" s="2" t="s">
        <v>2001</v>
      </c>
      <c r="Z565" s="2"/>
    </row>
    <row r="566" spans="1:26" ht="30" hidden="1" customHeight="1" x14ac:dyDescent="0.5">
      <c r="A566" s="5">
        <v>448</v>
      </c>
      <c r="B566" s="58">
        <v>1106700020003</v>
      </c>
      <c r="C566" s="7" t="s">
        <v>54</v>
      </c>
      <c r="D566" s="7" t="s">
        <v>940</v>
      </c>
      <c r="F566" s="70">
        <v>2013</v>
      </c>
      <c r="G566" s="7" t="s">
        <v>19</v>
      </c>
      <c r="H566" s="7" t="s">
        <v>56</v>
      </c>
      <c r="I566" s="8" t="s">
        <v>941</v>
      </c>
      <c r="J566" s="7" t="s">
        <v>35</v>
      </c>
      <c r="K566" s="7" t="s">
        <v>938</v>
      </c>
      <c r="L566" s="2" t="s">
        <v>1518</v>
      </c>
      <c r="M566" s="11" t="s">
        <v>1912</v>
      </c>
      <c r="N566" s="2"/>
      <c r="O566" s="2"/>
      <c r="P566" s="2"/>
      <c r="Q566" s="2" t="s">
        <v>2182</v>
      </c>
      <c r="R566" s="2" t="s">
        <v>2201</v>
      </c>
      <c r="S566" s="2" t="s">
        <v>1684</v>
      </c>
      <c r="Z566" s="2"/>
    </row>
    <row r="567" spans="1:26" ht="30" hidden="1" customHeight="1" x14ac:dyDescent="0.5">
      <c r="A567" s="5">
        <v>287</v>
      </c>
      <c r="B567" s="58">
        <v>1106700020003</v>
      </c>
      <c r="C567" s="7" t="s">
        <v>54</v>
      </c>
      <c r="D567" s="7" t="s">
        <v>983</v>
      </c>
      <c r="F567" s="70">
        <v>2015</v>
      </c>
      <c r="G567" s="7" t="s">
        <v>19</v>
      </c>
      <c r="H567" s="7" t="s">
        <v>56</v>
      </c>
      <c r="I567" s="8" t="s">
        <v>984</v>
      </c>
      <c r="J567" s="111" t="s">
        <v>35</v>
      </c>
      <c r="K567" s="7" t="s">
        <v>980</v>
      </c>
      <c r="L567" s="2" t="s">
        <v>1513</v>
      </c>
      <c r="M567" s="2" t="s">
        <v>2066</v>
      </c>
      <c r="N567" s="2" t="s">
        <v>1567</v>
      </c>
      <c r="O567" s="2" t="s">
        <v>2629</v>
      </c>
      <c r="P567" s="2" t="s">
        <v>2625</v>
      </c>
      <c r="Q567" s="2" t="s">
        <v>2677</v>
      </c>
      <c r="R567" s="2" t="s">
        <v>2683</v>
      </c>
      <c r="S567" s="2" t="s">
        <v>2029</v>
      </c>
      <c r="Z567" s="2"/>
    </row>
    <row r="568" spans="1:26" ht="30" hidden="1" customHeight="1" x14ac:dyDescent="0.5">
      <c r="A568" s="5">
        <v>405</v>
      </c>
      <c r="B568" s="58">
        <v>1106700020003</v>
      </c>
      <c r="C568" s="7" t="s">
        <v>54</v>
      </c>
      <c r="D568" s="7" t="s">
        <v>985</v>
      </c>
      <c r="F568" s="70">
        <v>2016</v>
      </c>
      <c r="G568" s="7" t="s">
        <v>19</v>
      </c>
      <c r="H568" s="7" t="s">
        <v>56</v>
      </c>
      <c r="I568" s="8" t="s">
        <v>986</v>
      </c>
      <c r="J568" s="7" t="s">
        <v>35</v>
      </c>
      <c r="K568" s="7" t="s">
        <v>980</v>
      </c>
      <c r="L568" s="2" t="s">
        <v>1513</v>
      </c>
      <c r="M568" s="2" t="s">
        <v>2705</v>
      </c>
      <c r="N568" s="2"/>
      <c r="O568" s="2"/>
      <c r="P568" s="2"/>
      <c r="Q568" s="2"/>
      <c r="R568" s="2"/>
      <c r="S568" s="2"/>
      <c r="Z568" s="2"/>
    </row>
    <row r="569" spans="1:26" ht="30" hidden="1" customHeight="1" x14ac:dyDescent="0.5">
      <c r="A569" s="5">
        <v>228</v>
      </c>
      <c r="B569" s="58">
        <v>1106700020003</v>
      </c>
      <c r="C569" s="7" t="s">
        <v>54</v>
      </c>
      <c r="D569" s="7" t="s">
        <v>677</v>
      </c>
      <c r="F569" s="70">
        <v>2012</v>
      </c>
      <c r="G569" s="7" t="s">
        <v>19</v>
      </c>
      <c r="H569" s="7" t="s">
        <v>56</v>
      </c>
      <c r="I569" s="8" t="s">
        <v>678</v>
      </c>
      <c r="J569" s="7" t="s">
        <v>263</v>
      </c>
      <c r="K569" s="7" t="s">
        <v>632</v>
      </c>
      <c r="L569" s="2" t="s">
        <v>1537</v>
      </c>
      <c r="M569" s="2" t="s">
        <v>2705</v>
      </c>
      <c r="N569" s="2"/>
      <c r="O569" s="2"/>
      <c r="P569" s="2"/>
      <c r="Q569" s="2"/>
      <c r="R569" s="2"/>
      <c r="S569" s="2"/>
      <c r="Z569" s="2"/>
    </row>
    <row r="570" spans="1:26" ht="30" hidden="1" customHeight="1" x14ac:dyDescent="0.5">
      <c r="A570" s="5">
        <v>215</v>
      </c>
      <c r="B570" s="58">
        <v>1106700020003</v>
      </c>
      <c r="C570" s="7" t="s">
        <v>54</v>
      </c>
      <c r="D570" s="7" t="s">
        <v>1351</v>
      </c>
      <c r="F570" s="70">
        <v>2013</v>
      </c>
      <c r="G570" s="7" t="s">
        <v>19</v>
      </c>
      <c r="H570" s="7" t="s">
        <v>56</v>
      </c>
      <c r="I570" s="8" t="s">
        <v>1352</v>
      </c>
      <c r="J570" s="7" t="s">
        <v>263</v>
      </c>
      <c r="K570" s="7" t="s">
        <v>1225</v>
      </c>
      <c r="L570" s="2" t="s">
        <v>1544</v>
      </c>
      <c r="M570" s="9" t="s">
        <v>1553</v>
      </c>
      <c r="N570" s="2" t="s">
        <v>1559</v>
      </c>
      <c r="O570" s="2" t="s">
        <v>1559</v>
      </c>
      <c r="P570" s="2" t="s">
        <v>2656</v>
      </c>
      <c r="Q570" s="2" t="s">
        <v>2444</v>
      </c>
      <c r="R570" s="2" t="s">
        <v>2657</v>
      </c>
      <c r="S570" s="2" t="s">
        <v>1518</v>
      </c>
      <c r="Z570" s="2"/>
    </row>
    <row r="571" spans="1:26" ht="30" customHeight="1" x14ac:dyDescent="0.5">
      <c r="A571" s="5">
        <v>147</v>
      </c>
      <c r="B571" s="58">
        <v>1106700020003</v>
      </c>
      <c r="C571" s="7" t="s">
        <v>54</v>
      </c>
      <c r="D571" s="7" t="s">
        <v>190</v>
      </c>
      <c r="F571" s="70">
        <v>2014</v>
      </c>
      <c r="G571" s="7" t="s">
        <v>19</v>
      </c>
      <c r="H571" s="7" t="s">
        <v>52</v>
      </c>
      <c r="I571" s="8" t="s">
        <v>191</v>
      </c>
      <c r="J571" s="111" t="s">
        <v>35</v>
      </c>
      <c r="K571" s="7" t="s">
        <v>187</v>
      </c>
      <c r="L571" s="2" t="s">
        <v>1482</v>
      </c>
      <c r="M571" s="2" t="s">
        <v>1548</v>
      </c>
      <c r="N571" s="2" t="s">
        <v>1571</v>
      </c>
      <c r="O571" s="2" t="s">
        <v>2678</v>
      </c>
      <c r="P571" s="9" t="s">
        <v>2677</v>
      </c>
      <c r="Q571" s="2" t="s">
        <v>2672</v>
      </c>
      <c r="R571" s="2" t="s">
        <v>2679</v>
      </c>
      <c r="S571" s="2" t="s">
        <v>1679</v>
      </c>
      <c r="U571" s="5" t="s">
        <v>1540</v>
      </c>
      <c r="X571" s="5" t="s">
        <v>1662</v>
      </c>
      <c r="Z571" s="2"/>
    </row>
    <row r="572" spans="1:26" ht="30" hidden="1" customHeight="1" x14ac:dyDescent="0.5">
      <c r="A572" s="5">
        <v>281</v>
      </c>
      <c r="B572" s="58">
        <v>1106700020003</v>
      </c>
      <c r="C572" s="7" t="s">
        <v>54</v>
      </c>
      <c r="D572" s="7" t="s">
        <v>238</v>
      </c>
      <c r="F572" s="70">
        <v>2015</v>
      </c>
      <c r="G572" s="7" t="s">
        <v>19</v>
      </c>
      <c r="H572" s="7" t="s">
        <v>56</v>
      </c>
      <c r="I572" s="8" t="s">
        <v>239</v>
      </c>
      <c r="J572" s="7" t="s">
        <v>35</v>
      </c>
      <c r="K572" s="7" t="s">
        <v>229</v>
      </c>
      <c r="L572" s="2" t="s">
        <v>1543</v>
      </c>
      <c r="M572" s="2" t="s">
        <v>2705</v>
      </c>
      <c r="N572" s="2"/>
      <c r="O572" s="2"/>
      <c r="P572" s="2"/>
      <c r="Q572" s="2"/>
      <c r="R572" s="2"/>
      <c r="S572" s="2"/>
      <c r="Z572" s="2"/>
    </row>
    <row r="573" spans="1:26" ht="30" hidden="1" customHeight="1" x14ac:dyDescent="0.5">
      <c r="A573" s="5">
        <v>192</v>
      </c>
      <c r="B573" s="58">
        <v>1106700020003</v>
      </c>
      <c r="C573" s="7" t="s">
        <v>54</v>
      </c>
      <c r="D573" s="7" t="s">
        <v>333</v>
      </c>
      <c r="F573" s="70">
        <v>2015</v>
      </c>
      <c r="G573" s="7" t="s">
        <v>19</v>
      </c>
      <c r="H573" s="7" t="s">
        <v>56</v>
      </c>
      <c r="I573" s="8" t="s">
        <v>334</v>
      </c>
      <c r="J573" s="111" t="s">
        <v>263</v>
      </c>
      <c r="K573" s="7" t="s">
        <v>270</v>
      </c>
      <c r="L573" s="2" t="s">
        <v>1487</v>
      </c>
      <c r="M573" s="11" t="s">
        <v>1912</v>
      </c>
      <c r="N573" s="2" t="s">
        <v>1615</v>
      </c>
      <c r="O573" s="2" t="s">
        <v>2642</v>
      </c>
      <c r="P573" s="2" t="s">
        <v>2641</v>
      </c>
      <c r="Q573" s="2" t="s">
        <v>2672</v>
      </c>
      <c r="R573" s="2" t="s">
        <v>2622</v>
      </c>
      <c r="S573" s="2" t="s">
        <v>2037</v>
      </c>
      <c r="Z573" s="2"/>
    </row>
    <row r="574" spans="1:26" ht="30" customHeight="1" x14ac:dyDescent="0.5">
      <c r="A574" s="5">
        <v>198</v>
      </c>
      <c r="B574" s="58">
        <v>1106700020003</v>
      </c>
      <c r="C574" s="7" t="s">
        <v>54</v>
      </c>
      <c r="D574" s="7" t="s">
        <v>923</v>
      </c>
      <c r="F574" s="70">
        <v>2015</v>
      </c>
      <c r="G574" s="7" t="s">
        <v>19</v>
      </c>
      <c r="H574" s="7" t="s">
        <v>56</v>
      </c>
      <c r="I574" s="8" t="s">
        <v>924</v>
      </c>
      <c r="J574" s="7" t="s">
        <v>35</v>
      </c>
      <c r="K574" s="7" t="s">
        <v>920</v>
      </c>
      <c r="L574" s="2" t="s">
        <v>1518</v>
      </c>
      <c r="M574" s="2" t="s">
        <v>1548</v>
      </c>
      <c r="N574" s="2" t="s">
        <v>1564</v>
      </c>
      <c r="O574" s="2" t="s">
        <v>2709</v>
      </c>
      <c r="P574" s="2" t="s">
        <v>2708</v>
      </c>
      <c r="Q574" s="2"/>
      <c r="R574" s="2"/>
      <c r="S574" s="2" t="s">
        <v>1991</v>
      </c>
      <c r="Z574" s="2"/>
    </row>
    <row r="575" spans="1:26" ht="30" hidden="1" customHeight="1" x14ac:dyDescent="0.5">
      <c r="A575" s="5">
        <v>235</v>
      </c>
      <c r="B575" s="58">
        <v>1106700020003</v>
      </c>
      <c r="C575" s="7" t="s">
        <v>54</v>
      </c>
      <c r="D575" s="7" t="s">
        <v>847</v>
      </c>
      <c r="F575" s="70">
        <v>2015</v>
      </c>
      <c r="G575" s="7" t="s">
        <v>19</v>
      </c>
      <c r="H575" s="7" t="s">
        <v>56</v>
      </c>
      <c r="I575" s="8" t="s">
        <v>848</v>
      </c>
      <c r="J575" s="111" t="s">
        <v>35</v>
      </c>
      <c r="K575" s="7" t="s">
        <v>841</v>
      </c>
      <c r="L575" s="2" t="s">
        <v>1531</v>
      </c>
      <c r="M575" s="11" t="s">
        <v>1912</v>
      </c>
      <c r="N575" s="2"/>
      <c r="O575" s="2"/>
      <c r="P575" s="2"/>
      <c r="Q575" s="2" t="s">
        <v>2677</v>
      </c>
      <c r="R575" s="2" t="s">
        <v>2650</v>
      </c>
      <c r="S575" s="2" t="s">
        <v>1531</v>
      </c>
      <c r="Z575" s="2"/>
    </row>
    <row r="576" spans="1:26" ht="30" hidden="1" customHeight="1" x14ac:dyDescent="0.5">
      <c r="A576" s="5">
        <v>404</v>
      </c>
      <c r="B576" s="58">
        <v>1106700020003</v>
      </c>
      <c r="C576" s="7" t="s">
        <v>54</v>
      </c>
      <c r="D576" s="7" t="s">
        <v>337</v>
      </c>
      <c r="F576" s="70">
        <v>2015</v>
      </c>
      <c r="G576" s="7" t="s">
        <v>19</v>
      </c>
      <c r="H576" s="7" t="s">
        <v>56</v>
      </c>
      <c r="I576" s="8" t="s">
        <v>338</v>
      </c>
      <c r="J576" s="7" t="s">
        <v>263</v>
      </c>
      <c r="K576" s="7" t="s">
        <v>270</v>
      </c>
      <c r="L576" s="2" t="s">
        <v>1555</v>
      </c>
      <c r="M576" s="2" t="s">
        <v>2705</v>
      </c>
      <c r="N576" s="2"/>
      <c r="O576" s="2"/>
      <c r="P576" s="2"/>
      <c r="Q576" s="2"/>
      <c r="R576" s="2" t="s">
        <v>2167</v>
      </c>
      <c r="S576" s="2"/>
      <c r="Z576" s="2"/>
    </row>
    <row r="577" spans="1:26" ht="30" hidden="1" customHeight="1" x14ac:dyDescent="0.5">
      <c r="A577" s="5">
        <v>221</v>
      </c>
      <c r="B577" s="58">
        <v>1106700020003</v>
      </c>
      <c r="C577" s="7" t="s">
        <v>54</v>
      </c>
      <c r="D577" s="7" t="s">
        <v>335</v>
      </c>
      <c r="F577" s="70">
        <v>2016</v>
      </c>
      <c r="G577" s="7" t="s">
        <v>19</v>
      </c>
      <c r="H577" s="7" t="s">
        <v>56</v>
      </c>
      <c r="I577" s="8" t="s">
        <v>336</v>
      </c>
      <c r="J577" s="111" t="s">
        <v>263</v>
      </c>
      <c r="K577" s="7" t="s">
        <v>270</v>
      </c>
      <c r="L577" s="2" t="s">
        <v>1537</v>
      </c>
      <c r="M577" s="11" t="s">
        <v>1912</v>
      </c>
      <c r="N577" s="2"/>
      <c r="O577" s="2"/>
      <c r="P577" s="2"/>
      <c r="Q577" s="2" t="s">
        <v>2340</v>
      </c>
      <c r="R577" s="2"/>
      <c r="S577" s="2" t="s">
        <v>2042</v>
      </c>
      <c r="Z577" s="2"/>
    </row>
    <row r="578" spans="1:26" ht="30" hidden="1" customHeight="1" x14ac:dyDescent="0.5">
      <c r="A578" s="5">
        <v>413</v>
      </c>
      <c r="B578" s="58">
        <v>1106700020003</v>
      </c>
      <c r="C578" s="7" t="s">
        <v>54</v>
      </c>
      <c r="D578" s="7" t="s">
        <v>339</v>
      </c>
      <c r="F578" s="70">
        <v>2016</v>
      </c>
      <c r="G578" s="7" t="s">
        <v>19</v>
      </c>
      <c r="H578" s="7" t="s">
        <v>56</v>
      </c>
      <c r="I578" s="8" t="s">
        <v>340</v>
      </c>
      <c r="J578" s="7" t="s">
        <v>263</v>
      </c>
      <c r="K578" s="7" t="s">
        <v>270</v>
      </c>
      <c r="L578" s="2" t="s">
        <v>1518</v>
      </c>
      <c r="M578" s="2" t="s">
        <v>2705</v>
      </c>
      <c r="N578" s="2"/>
      <c r="O578" s="2"/>
      <c r="P578" s="2"/>
      <c r="Q578" s="2"/>
      <c r="R578" s="2"/>
      <c r="S578" s="2"/>
      <c r="Z578" s="2"/>
    </row>
    <row r="579" spans="1:26" ht="30" hidden="1" customHeight="1" x14ac:dyDescent="0.5">
      <c r="A579" s="5">
        <v>428</v>
      </c>
      <c r="B579" s="58">
        <v>1106700020003</v>
      </c>
      <c r="C579" s="7" t="s">
        <v>54</v>
      </c>
      <c r="D579" s="7" t="s">
        <v>1355</v>
      </c>
      <c r="F579" s="70">
        <v>2016</v>
      </c>
      <c r="G579" s="7" t="s">
        <v>19</v>
      </c>
      <c r="H579" s="7" t="s">
        <v>56</v>
      </c>
      <c r="I579" s="8" t="s">
        <v>1356</v>
      </c>
      <c r="J579" s="7" t="s">
        <v>263</v>
      </c>
      <c r="K579" s="7" t="s">
        <v>1225</v>
      </c>
      <c r="L579" s="2" t="s">
        <v>1518</v>
      </c>
      <c r="M579" s="2" t="s">
        <v>2705</v>
      </c>
      <c r="N579" s="2"/>
      <c r="O579" s="2"/>
      <c r="P579" s="2"/>
      <c r="Q579" s="2"/>
      <c r="R579" s="2" t="s">
        <v>2608</v>
      </c>
      <c r="S579" s="2"/>
      <c r="Z579" s="2"/>
    </row>
    <row r="580" spans="1:26" ht="30" hidden="1" customHeight="1" x14ac:dyDescent="0.5">
      <c r="A580" s="5">
        <v>449</v>
      </c>
      <c r="B580" s="58">
        <v>1106700020003</v>
      </c>
      <c r="C580" s="7" t="s">
        <v>2078</v>
      </c>
      <c r="D580" s="7" t="s">
        <v>892</v>
      </c>
      <c r="F580" s="70">
        <v>2015</v>
      </c>
      <c r="G580" s="7" t="s">
        <v>19</v>
      </c>
      <c r="H580" s="7" t="s">
        <v>56</v>
      </c>
      <c r="I580" s="8" t="s">
        <v>893</v>
      </c>
      <c r="J580" s="7" t="s">
        <v>35</v>
      </c>
      <c r="K580" s="7" t="s">
        <v>887</v>
      </c>
      <c r="L580" s="2" t="s">
        <v>1498</v>
      </c>
      <c r="M580" s="11" t="s">
        <v>1912</v>
      </c>
      <c r="N580" s="2"/>
      <c r="O580" s="2"/>
      <c r="P580" s="2"/>
      <c r="Q580" s="2" t="s">
        <v>2395</v>
      </c>
      <c r="R580" s="2" t="s">
        <v>2386</v>
      </c>
      <c r="S580" s="2"/>
      <c r="Z580" s="2"/>
    </row>
    <row r="581" spans="1:26" ht="30" hidden="1" customHeight="1" x14ac:dyDescent="0.5">
      <c r="A581" s="5">
        <v>288</v>
      </c>
      <c r="B581" s="74">
        <v>1106700020003</v>
      </c>
      <c r="C581" s="7" t="s">
        <v>2086</v>
      </c>
      <c r="D581" s="7" t="s">
        <v>751</v>
      </c>
      <c r="F581" s="60">
        <v>2016</v>
      </c>
      <c r="G581" s="7" t="s">
        <v>19</v>
      </c>
      <c r="H581" s="7" t="s">
        <v>56</v>
      </c>
      <c r="I581" s="8" t="s">
        <v>752</v>
      </c>
      <c r="J581" s="7" t="s">
        <v>35</v>
      </c>
      <c r="K581" s="7" t="s">
        <v>746</v>
      </c>
      <c r="L581" s="2" t="s">
        <v>1487</v>
      </c>
      <c r="M581" s="2" t="s">
        <v>2705</v>
      </c>
      <c r="N581" s="2"/>
      <c r="O581" s="2"/>
      <c r="P581" s="2"/>
      <c r="Q581" s="2"/>
      <c r="R581" s="2"/>
      <c r="S581" s="2"/>
      <c r="Z581" s="2"/>
    </row>
    <row r="582" spans="1:26" ht="30" customHeight="1" x14ac:dyDescent="0.5">
      <c r="A582" s="116">
        <v>242</v>
      </c>
      <c r="B582" s="74">
        <v>1106700020003</v>
      </c>
      <c r="C582" s="7" t="s">
        <v>2086</v>
      </c>
      <c r="D582" s="7" t="s">
        <v>818</v>
      </c>
      <c r="E582" s="105" t="s">
        <v>2215</v>
      </c>
      <c r="F582" s="60">
        <v>2016</v>
      </c>
      <c r="G582" s="7" t="s">
        <v>19</v>
      </c>
      <c r="H582" s="7" t="s">
        <v>56</v>
      </c>
      <c r="I582" s="8" t="s">
        <v>819</v>
      </c>
      <c r="J582" s="7" t="s">
        <v>35</v>
      </c>
      <c r="K582" s="57" t="s">
        <v>813</v>
      </c>
      <c r="L582" s="2" t="s">
        <v>1663</v>
      </c>
      <c r="M582" s="2" t="s">
        <v>1548</v>
      </c>
      <c r="N582" s="2" t="s">
        <v>1567</v>
      </c>
      <c r="O582" s="2" t="s">
        <v>2358</v>
      </c>
      <c r="P582" s="2" t="s">
        <v>1829</v>
      </c>
      <c r="Q582" s="57"/>
      <c r="R582" s="2" t="s">
        <v>2338</v>
      </c>
      <c r="S582" s="2" t="s">
        <v>1681</v>
      </c>
      <c r="Z582" s="2"/>
    </row>
    <row r="583" spans="1:26" ht="30" hidden="1" customHeight="1" x14ac:dyDescent="0.5">
      <c r="A583" s="5">
        <v>427</v>
      </c>
      <c r="B583" s="74">
        <v>1106700020003</v>
      </c>
      <c r="C583" s="7" t="s">
        <v>2086</v>
      </c>
      <c r="D583" s="7" t="s">
        <v>345</v>
      </c>
      <c r="F583" s="60">
        <v>2016</v>
      </c>
      <c r="G583" s="7" t="s">
        <v>19</v>
      </c>
      <c r="H583" s="7" t="s">
        <v>56</v>
      </c>
      <c r="I583" s="8" t="s">
        <v>346</v>
      </c>
      <c r="J583" s="7" t="s">
        <v>263</v>
      </c>
      <c r="K583" s="7" t="s">
        <v>270</v>
      </c>
      <c r="L583" s="2" t="s">
        <v>1544</v>
      </c>
      <c r="M583" s="2" t="s">
        <v>2705</v>
      </c>
      <c r="N583" s="2"/>
      <c r="O583" s="2"/>
      <c r="P583" s="2"/>
      <c r="Q583" s="2"/>
      <c r="R583" s="2"/>
      <c r="S583" s="2"/>
      <c r="Z583" s="2"/>
    </row>
    <row r="584" spans="1:26" ht="30" hidden="1" customHeight="1" x14ac:dyDescent="0.5">
      <c r="A584" s="5">
        <v>605</v>
      </c>
      <c r="B584" s="8">
        <v>1106700010010</v>
      </c>
      <c r="C584" s="7" t="s">
        <v>114</v>
      </c>
      <c r="D584" s="7" t="s">
        <v>1342</v>
      </c>
      <c r="F584" s="7">
        <v>1998</v>
      </c>
      <c r="G584" s="7" t="s">
        <v>19</v>
      </c>
      <c r="H584" s="7" t="s">
        <v>104</v>
      </c>
      <c r="I584" s="8" t="s">
        <v>1343</v>
      </c>
      <c r="J584" s="7" t="s">
        <v>263</v>
      </c>
      <c r="K584" s="7" t="s">
        <v>1225</v>
      </c>
      <c r="L584" s="2" t="s">
        <v>1544</v>
      </c>
      <c r="M584" s="9" t="s">
        <v>1553</v>
      </c>
      <c r="N584" s="2" t="s">
        <v>1571</v>
      </c>
      <c r="O584" s="2" t="s">
        <v>1609</v>
      </c>
      <c r="P584" s="2"/>
      <c r="Q584" s="2" t="s">
        <v>2440</v>
      </c>
      <c r="R584" s="2"/>
      <c r="S584" s="2" t="s">
        <v>1544</v>
      </c>
      <c r="Z584" s="2"/>
    </row>
    <row r="585" spans="1:26" ht="30" hidden="1" customHeight="1" x14ac:dyDescent="0.5">
      <c r="A585" s="5">
        <v>616</v>
      </c>
      <c r="B585" s="8">
        <v>1106700010010</v>
      </c>
      <c r="C585" s="7" t="s">
        <v>114</v>
      </c>
      <c r="D585" s="7" t="s">
        <v>1466</v>
      </c>
      <c r="F585" s="7">
        <v>2003</v>
      </c>
      <c r="G585" s="7" t="s">
        <v>19</v>
      </c>
      <c r="H585" s="7" t="s">
        <v>571</v>
      </c>
      <c r="I585" s="8" t="s">
        <v>1339</v>
      </c>
      <c r="J585" s="7" t="s">
        <v>263</v>
      </c>
      <c r="K585" s="7" t="s">
        <v>1225</v>
      </c>
      <c r="L585" s="2" t="s">
        <v>1544</v>
      </c>
      <c r="M585" s="9" t="s">
        <v>1553</v>
      </c>
      <c r="N585" s="2" t="s">
        <v>1571</v>
      </c>
      <c r="O585" s="2" t="s">
        <v>1609</v>
      </c>
      <c r="P585" s="2"/>
      <c r="Q585" s="2" t="s">
        <v>2440</v>
      </c>
      <c r="R585" s="2"/>
      <c r="S585" s="2" t="s">
        <v>1544</v>
      </c>
      <c r="Z585" s="2"/>
    </row>
    <row r="586" spans="1:26" ht="30" hidden="1" customHeight="1" x14ac:dyDescent="0.5">
      <c r="A586" s="5">
        <v>619</v>
      </c>
      <c r="B586" s="8">
        <v>1106700010010</v>
      </c>
      <c r="C586" s="7" t="s">
        <v>114</v>
      </c>
      <c r="D586" s="7" t="s">
        <v>1344</v>
      </c>
      <c r="F586" s="7">
        <v>2003</v>
      </c>
      <c r="G586" s="7" t="s">
        <v>19</v>
      </c>
      <c r="H586" s="7" t="s">
        <v>104</v>
      </c>
      <c r="I586" s="8" t="s">
        <v>1345</v>
      </c>
      <c r="J586" s="7" t="s">
        <v>263</v>
      </c>
      <c r="K586" s="7" t="s">
        <v>1225</v>
      </c>
      <c r="L586" s="2" t="s">
        <v>1544</v>
      </c>
      <c r="M586" s="9" t="s">
        <v>1553</v>
      </c>
      <c r="N586" s="2" t="s">
        <v>1571</v>
      </c>
      <c r="O586" s="2" t="s">
        <v>1609</v>
      </c>
      <c r="P586" s="2"/>
      <c r="Q586" s="2" t="s">
        <v>2440</v>
      </c>
      <c r="R586" s="2"/>
      <c r="S586" s="2" t="s">
        <v>1544</v>
      </c>
      <c r="Z586" s="2"/>
    </row>
    <row r="587" spans="1:26" ht="30" hidden="1" customHeight="1" x14ac:dyDescent="0.5">
      <c r="A587" s="5">
        <v>620</v>
      </c>
      <c r="B587" s="8">
        <v>1106700010010</v>
      </c>
      <c r="C587" s="7" t="s">
        <v>114</v>
      </c>
      <c r="D587" s="7" t="s">
        <v>1340</v>
      </c>
      <c r="F587" s="7">
        <v>2003</v>
      </c>
      <c r="G587" s="7" t="s">
        <v>19</v>
      </c>
      <c r="H587" s="7" t="s">
        <v>104</v>
      </c>
      <c r="I587" s="8" t="s">
        <v>1341</v>
      </c>
      <c r="J587" s="7" t="s">
        <v>263</v>
      </c>
      <c r="K587" s="7" t="s">
        <v>1225</v>
      </c>
      <c r="L587" s="2" t="s">
        <v>1544</v>
      </c>
      <c r="M587" s="9" t="s">
        <v>1553</v>
      </c>
      <c r="N587" s="2"/>
      <c r="O587" s="2" t="s">
        <v>1609</v>
      </c>
      <c r="P587" s="2"/>
      <c r="Q587" s="2" t="s">
        <v>2440</v>
      </c>
      <c r="R587" s="2"/>
      <c r="S587" s="2" t="s">
        <v>1544</v>
      </c>
      <c r="Z587" s="2"/>
    </row>
    <row r="588" spans="1:26" ht="30" hidden="1" customHeight="1" x14ac:dyDescent="0.5">
      <c r="A588" s="5">
        <v>608</v>
      </c>
      <c r="B588" s="8">
        <v>1106700010010</v>
      </c>
      <c r="C588" s="7" t="s">
        <v>114</v>
      </c>
      <c r="D588" s="7" t="s">
        <v>327</v>
      </c>
      <c r="F588" s="7">
        <v>2005</v>
      </c>
      <c r="G588" s="7" t="s">
        <v>19</v>
      </c>
      <c r="H588" s="7" t="s">
        <v>104</v>
      </c>
      <c r="I588" s="8" t="s">
        <v>328</v>
      </c>
      <c r="J588" s="7" t="s">
        <v>263</v>
      </c>
      <c r="K588" s="9" t="s">
        <v>270</v>
      </c>
      <c r="L588" s="2" t="s">
        <v>1544</v>
      </c>
      <c r="M588" s="9" t="s">
        <v>1552</v>
      </c>
      <c r="N588" s="2" t="s">
        <v>1566</v>
      </c>
      <c r="O588" s="2" t="s">
        <v>1969</v>
      </c>
      <c r="P588" s="2" t="s">
        <v>1970</v>
      </c>
      <c r="Q588" s="2"/>
      <c r="R588" s="2"/>
      <c r="S588" s="2" t="s">
        <v>1544</v>
      </c>
      <c r="Z588" s="2"/>
    </row>
    <row r="589" spans="1:26" ht="30" hidden="1" customHeight="1" x14ac:dyDescent="0.5">
      <c r="A589" s="5">
        <v>617</v>
      </c>
      <c r="B589" s="8">
        <v>1106700010010</v>
      </c>
      <c r="C589" s="7" t="s">
        <v>114</v>
      </c>
      <c r="D589" s="7" t="s">
        <v>171</v>
      </c>
      <c r="F589" s="7">
        <v>2003</v>
      </c>
      <c r="G589" s="7" t="s">
        <v>19</v>
      </c>
      <c r="H589" s="7" t="s">
        <v>104</v>
      </c>
      <c r="I589" s="8" t="s">
        <v>172</v>
      </c>
      <c r="J589" s="7" t="s">
        <v>35</v>
      </c>
      <c r="K589" s="9" t="s">
        <v>166</v>
      </c>
      <c r="L589" s="2" t="s">
        <v>1487</v>
      </c>
      <c r="M589" s="9" t="s">
        <v>1552</v>
      </c>
      <c r="N589" s="2" t="s">
        <v>1567</v>
      </c>
      <c r="O589" s="2" t="s">
        <v>1953</v>
      </c>
      <c r="P589" s="2" t="s">
        <v>1954</v>
      </c>
      <c r="Q589" s="2"/>
      <c r="R589" s="2"/>
      <c r="S589" s="2" t="s">
        <v>1699</v>
      </c>
      <c r="U589" s="5" t="s">
        <v>1533</v>
      </c>
      <c r="Z589" s="2"/>
    </row>
    <row r="590" spans="1:26" ht="30" customHeight="1" x14ac:dyDescent="0.5">
      <c r="A590" s="116">
        <v>606</v>
      </c>
      <c r="B590" s="8">
        <v>1106700010010</v>
      </c>
      <c r="C590" s="7" t="s">
        <v>114</v>
      </c>
      <c r="D590" s="7" t="s">
        <v>673</v>
      </c>
      <c r="E590" s="105" t="s">
        <v>2218</v>
      </c>
      <c r="F590" s="7">
        <v>2004</v>
      </c>
      <c r="G590" s="7" t="s">
        <v>19</v>
      </c>
      <c r="H590" s="7" t="s">
        <v>56</v>
      </c>
      <c r="I590" s="8" t="s">
        <v>674</v>
      </c>
      <c r="J590" s="111" t="s">
        <v>263</v>
      </c>
      <c r="K590" s="7" t="s">
        <v>632</v>
      </c>
      <c r="L590" s="2" t="s">
        <v>1549</v>
      </c>
      <c r="M590" s="2" t="s">
        <v>1548</v>
      </c>
      <c r="N590" s="2" t="s">
        <v>1571</v>
      </c>
      <c r="O590" s="2" t="s">
        <v>2575</v>
      </c>
      <c r="P590" s="123" t="s">
        <v>2573</v>
      </c>
      <c r="Q590" s="2" t="s">
        <v>2572</v>
      </c>
      <c r="R590" s="2" t="s">
        <v>2574</v>
      </c>
      <c r="S590" s="2" t="s">
        <v>2053</v>
      </c>
      <c r="Z590" s="2"/>
    </row>
    <row r="591" spans="1:26" ht="30" customHeight="1" x14ac:dyDescent="0.5">
      <c r="A591" s="5">
        <v>618</v>
      </c>
      <c r="B591" s="8">
        <v>1106700010010</v>
      </c>
      <c r="C591" s="7" t="s">
        <v>114</v>
      </c>
      <c r="D591" s="7" t="s">
        <v>115</v>
      </c>
      <c r="F591" s="7">
        <v>2003</v>
      </c>
      <c r="G591" s="7" t="s">
        <v>19</v>
      </c>
      <c r="H591" s="7" t="s">
        <v>104</v>
      </c>
      <c r="I591" s="8" t="s">
        <v>116</v>
      </c>
      <c r="J591" s="7" t="s">
        <v>35</v>
      </c>
      <c r="K591" s="7" t="s">
        <v>112</v>
      </c>
      <c r="L591" s="2" t="s">
        <v>1471</v>
      </c>
      <c r="M591" s="2" t="s">
        <v>1548</v>
      </c>
      <c r="N591" s="2" t="s">
        <v>1564</v>
      </c>
      <c r="O591" s="2" t="s">
        <v>2246</v>
      </c>
      <c r="P591" s="9" t="s">
        <v>2245</v>
      </c>
      <c r="Q591" s="2"/>
      <c r="R591" s="2"/>
      <c r="S591" s="2" t="s">
        <v>1996</v>
      </c>
      <c r="U591" s="5" t="s">
        <v>1508</v>
      </c>
      <c r="Z591" s="2"/>
    </row>
    <row r="592" spans="1:26" ht="30" customHeight="1" x14ac:dyDescent="0.5">
      <c r="A592" s="116">
        <v>623</v>
      </c>
      <c r="B592" s="8">
        <v>1106700010010</v>
      </c>
      <c r="C592" s="7" t="s">
        <v>114</v>
      </c>
      <c r="D592" s="7" t="s">
        <v>756</v>
      </c>
      <c r="E592" s="105" t="s">
        <v>2221</v>
      </c>
      <c r="F592" s="7">
        <v>2002</v>
      </c>
      <c r="G592" s="7" t="s">
        <v>19</v>
      </c>
      <c r="H592" s="7" t="s">
        <v>104</v>
      </c>
      <c r="I592" s="8" t="s">
        <v>757</v>
      </c>
      <c r="J592" s="111" t="s">
        <v>35</v>
      </c>
      <c r="K592" s="7" t="s">
        <v>753</v>
      </c>
      <c r="L592" s="2" t="s">
        <v>1513</v>
      </c>
      <c r="M592" s="2" t="s">
        <v>1548</v>
      </c>
      <c r="N592" s="2" t="s">
        <v>1571</v>
      </c>
      <c r="O592" s="2" t="s">
        <v>2576</v>
      </c>
      <c r="P592" s="123" t="s">
        <v>2186</v>
      </c>
      <c r="Q592" s="2"/>
      <c r="R592" s="2" t="s">
        <v>2577</v>
      </c>
      <c r="S592" s="2" t="s">
        <v>1723</v>
      </c>
      <c r="Z592" s="2"/>
    </row>
    <row r="593" spans="1:26" ht="30" hidden="1" customHeight="1" x14ac:dyDescent="0.5">
      <c r="A593" s="5">
        <v>607</v>
      </c>
      <c r="B593" s="8">
        <v>1106700010010</v>
      </c>
      <c r="C593" s="7" t="s">
        <v>114</v>
      </c>
      <c r="D593" s="7" t="s">
        <v>329</v>
      </c>
      <c r="F593" s="7">
        <v>2005</v>
      </c>
      <c r="G593" s="7" t="s">
        <v>19</v>
      </c>
      <c r="H593" s="7" t="s">
        <v>104</v>
      </c>
      <c r="I593" s="8" t="s">
        <v>330</v>
      </c>
      <c r="J593" s="7" t="s">
        <v>263</v>
      </c>
      <c r="K593" s="7" t="s">
        <v>270</v>
      </c>
      <c r="L593" s="2" t="s">
        <v>1498</v>
      </c>
      <c r="M593" s="11" t="s">
        <v>1912</v>
      </c>
      <c r="N593" s="2" t="s">
        <v>1571</v>
      </c>
      <c r="O593" s="2" t="s">
        <v>2436</v>
      </c>
      <c r="P593" s="2" t="s">
        <v>2437</v>
      </c>
      <c r="Q593" s="2" t="s">
        <v>2448</v>
      </c>
      <c r="R593" s="2"/>
      <c r="S593" s="2" t="s">
        <v>2024</v>
      </c>
      <c r="Z593" s="2"/>
    </row>
    <row r="594" spans="1:26" ht="30" customHeight="1" x14ac:dyDescent="0.5">
      <c r="A594" s="116">
        <v>624</v>
      </c>
      <c r="B594" s="8">
        <v>1106700010010</v>
      </c>
      <c r="C594" s="7" t="s">
        <v>114</v>
      </c>
      <c r="D594" s="7" t="s">
        <v>763</v>
      </c>
      <c r="E594" s="105" t="s">
        <v>2213</v>
      </c>
      <c r="F594" s="7">
        <v>2002</v>
      </c>
      <c r="G594" s="7" t="s">
        <v>19</v>
      </c>
      <c r="H594" s="7" t="s">
        <v>52</v>
      </c>
      <c r="I594" s="8" t="s">
        <v>764</v>
      </c>
      <c r="J594" s="7" t="s">
        <v>35</v>
      </c>
      <c r="K594" s="7" t="s">
        <v>760</v>
      </c>
      <c r="L594" s="2" t="s">
        <v>1549</v>
      </c>
      <c r="M594" s="2" t="s">
        <v>1548</v>
      </c>
      <c r="N594" s="2" t="s">
        <v>1571</v>
      </c>
      <c r="O594" s="2" t="s">
        <v>1754</v>
      </c>
      <c r="P594" s="2" t="s">
        <v>1746</v>
      </c>
      <c r="Q594" s="57"/>
      <c r="R594" s="2"/>
      <c r="S594" s="2" t="s">
        <v>1701</v>
      </c>
      <c r="Z594" s="2"/>
    </row>
    <row r="595" spans="1:26" ht="30" customHeight="1" x14ac:dyDescent="0.5">
      <c r="A595" s="116">
        <v>621</v>
      </c>
      <c r="B595" s="8">
        <v>1106700010010</v>
      </c>
      <c r="C595" s="7" t="s">
        <v>114</v>
      </c>
      <c r="D595" s="7" t="s">
        <v>864</v>
      </c>
      <c r="E595" s="105" t="s">
        <v>2213</v>
      </c>
      <c r="F595" s="7">
        <v>2003</v>
      </c>
      <c r="G595" s="7" t="s">
        <v>19</v>
      </c>
      <c r="H595" s="7" t="s">
        <v>104</v>
      </c>
      <c r="I595" s="8" t="s">
        <v>865</v>
      </c>
      <c r="J595" s="7" t="s">
        <v>35</v>
      </c>
      <c r="K595" s="7" t="s">
        <v>861</v>
      </c>
      <c r="L595" s="2" t="s">
        <v>1471</v>
      </c>
      <c r="M595" s="2" t="s">
        <v>1548</v>
      </c>
      <c r="N595" s="2" t="s">
        <v>1564</v>
      </c>
      <c r="O595" s="2" t="s">
        <v>1584</v>
      </c>
      <c r="P595" s="2" t="s">
        <v>1812</v>
      </c>
      <c r="Q595" s="57"/>
      <c r="R595" s="2"/>
      <c r="S595" s="2" t="s">
        <v>1673</v>
      </c>
      <c r="Z595" s="2" t="s">
        <v>1483</v>
      </c>
    </row>
    <row r="596" spans="1:26" ht="30" hidden="1" customHeight="1" x14ac:dyDescent="0.5">
      <c r="A596" s="5">
        <v>603</v>
      </c>
      <c r="B596" s="8">
        <v>1106700010002</v>
      </c>
      <c r="C596" s="7" t="s">
        <v>158</v>
      </c>
      <c r="D596" s="7" t="s">
        <v>159</v>
      </c>
      <c r="F596" s="7">
        <v>1992</v>
      </c>
      <c r="G596" s="7" t="s">
        <v>19</v>
      </c>
      <c r="H596" s="7" t="s">
        <v>104</v>
      </c>
      <c r="I596" s="8" t="s">
        <v>160</v>
      </c>
      <c r="J596" s="111" t="s">
        <v>35</v>
      </c>
      <c r="K596" s="7" t="s">
        <v>153</v>
      </c>
      <c r="L596" s="2" t="s">
        <v>1544</v>
      </c>
      <c r="M596" s="11" t="s">
        <v>1912</v>
      </c>
      <c r="N596" s="2" t="s">
        <v>1564</v>
      </c>
      <c r="O596" s="2" t="s">
        <v>1842</v>
      </c>
      <c r="P596" s="2" t="s">
        <v>2235</v>
      </c>
      <c r="Q596" s="2" t="s">
        <v>2528</v>
      </c>
      <c r="R596" s="2"/>
      <c r="S596" s="2" t="s">
        <v>2043</v>
      </c>
      <c r="U596" s="5" t="s">
        <v>1527</v>
      </c>
      <c r="Z596" s="2"/>
    </row>
    <row r="597" spans="1:26" ht="30" hidden="1" customHeight="1" x14ac:dyDescent="0.5">
      <c r="A597" s="5">
        <v>97</v>
      </c>
      <c r="B597" s="8">
        <v>1106700010003</v>
      </c>
      <c r="C597" s="7" t="s">
        <v>102</v>
      </c>
      <c r="D597" s="7" t="s">
        <v>1337</v>
      </c>
      <c r="F597" s="7">
        <v>1981</v>
      </c>
      <c r="G597" s="7" t="s">
        <v>19</v>
      </c>
      <c r="H597" s="7" t="s">
        <v>104</v>
      </c>
      <c r="I597" s="8">
        <v>634631156798605</v>
      </c>
      <c r="J597" s="7" t="s">
        <v>263</v>
      </c>
      <c r="K597" s="7" t="s">
        <v>1225</v>
      </c>
      <c r="L597" s="2" t="s">
        <v>1544</v>
      </c>
      <c r="M597" s="9" t="s">
        <v>1553</v>
      </c>
      <c r="N597" s="9" t="s">
        <v>1571</v>
      </c>
      <c r="O597" s="2" t="s">
        <v>1609</v>
      </c>
      <c r="P597" s="2"/>
      <c r="Q597" s="2"/>
      <c r="R597" s="2"/>
      <c r="S597" s="2" t="s">
        <v>1544</v>
      </c>
      <c r="X597" s="5" t="s">
        <v>1501</v>
      </c>
      <c r="Z597" s="2"/>
    </row>
    <row r="598" spans="1:26" ht="30" hidden="1" customHeight="1" x14ac:dyDescent="0.5">
      <c r="A598" s="5">
        <v>7</v>
      </c>
      <c r="B598" s="8">
        <v>1106700010003</v>
      </c>
      <c r="C598" s="7" t="s">
        <v>102</v>
      </c>
      <c r="D598" s="7" t="s">
        <v>1326</v>
      </c>
      <c r="F598" s="7">
        <v>1982</v>
      </c>
      <c r="G598" s="7" t="s">
        <v>19</v>
      </c>
      <c r="H598" s="7" t="s">
        <v>104</v>
      </c>
      <c r="I598" s="8">
        <v>3403155025828</v>
      </c>
      <c r="J598" s="7" t="s">
        <v>263</v>
      </c>
      <c r="K598" s="7" t="s">
        <v>1225</v>
      </c>
      <c r="L598" s="2" t="s">
        <v>1544</v>
      </c>
      <c r="M598" s="9" t="s">
        <v>1553</v>
      </c>
      <c r="N598" s="9" t="s">
        <v>1571</v>
      </c>
      <c r="O598" s="2" t="s">
        <v>1609</v>
      </c>
      <c r="P598" s="2"/>
      <c r="Q598" s="2"/>
      <c r="R598" s="2"/>
      <c r="S598" s="2" t="s">
        <v>1544</v>
      </c>
      <c r="X598" s="4" t="s">
        <v>1678</v>
      </c>
      <c r="Z598" s="2"/>
    </row>
    <row r="599" spans="1:26" ht="30" hidden="1" customHeight="1" x14ac:dyDescent="0.5">
      <c r="A599" s="5">
        <v>79</v>
      </c>
      <c r="B599" s="8">
        <v>1106700010003</v>
      </c>
      <c r="C599" s="7" t="s">
        <v>102</v>
      </c>
      <c r="D599" s="7" t="s">
        <v>1325</v>
      </c>
      <c r="F599" s="7">
        <v>1983</v>
      </c>
      <c r="G599" s="7" t="s">
        <v>19</v>
      </c>
      <c r="H599" s="7" t="s">
        <v>104</v>
      </c>
      <c r="I599" s="8">
        <v>34603155025357</v>
      </c>
      <c r="J599" s="7" t="s">
        <v>263</v>
      </c>
      <c r="K599" s="7" t="s">
        <v>1225</v>
      </c>
      <c r="L599" s="2" t="s">
        <v>1544</v>
      </c>
      <c r="M599" s="9" t="s">
        <v>1553</v>
      </c>
      <c r="N599" s="9" t="s">
        <v>1571</v>
      </c>
      <c r="O599" s="2" t="s">
        <v>1609</v>
      </c>
      <c r="P599" s="2" t="s">
        <v>2099</v>
      </c>
      <c r="Q599" s="2"/>
      <c r="R599" s="2"/>
      <c r="S599" s="2" t="s">
        <v>1544</v>
      </c>
      <c r="X599" s="5" t="s">
        <v>1484</v>
      </c>
      <c r="Z599" s="2"/>
    </row>
    <row r="600" spans="1:26" ht="30" hidden="1" customHeight="1" x14ac:dyDescent="0.5">
      <c r="A600" s="5">
        <v>78</v>
      </c>
      <c r="B600" s="8">
        <v>1106700010003</v>
      </c>
      <c r="C600" s="7" t="s">
        <v>102</v>
      </c>
      <c r="D600" s="7" t="s">
        <v>1324</v>
      </c>
      <c r="F600" s="7">
        <v>1983</v>
      </c>
      <c r="G600" s="7" t="s">
        <v>19</v>
      </c>
      <c r="H600" s="7" t="s">
        <v>104</v>
      </c>
      <c r="I600" s="8">
        <v>34603154914465</v>
      </c>
      <c r="J600" s="7" t="s">
        <v>263</v>
      </c>
      <c r="K600" s="7" t="s">
        <v>1225</v>
      </c>
      <c r="L600" s="2" t="s">
        <v>1544</v>
      </c>
      <c r="M600" s="9" t="s">
        <v>1553</v>
      </c>
      <c r="N600" s="9" t="s">
        <v>1571</v>
      </c>
      <c r="O600" s="2" t="s">
        <v>1609</v>
      </c>
      <c r="P600" s="2"/>
      <c r="Q600" s="2"/>
      <c r="R600" s="2"/>
      <c r="S600" s="2" t="s">
        <v>1544</v>
      </c>
      <c r="X600" s="5" t="s">
        <v>1483</v>
      </c>
      <c r="Z600" s="2"/>
    </row>
    <row r="601" spans="1:26" ht="30" hidden="1" customHeight="1" x14ac:dyDescent="0.5">
      <c r="A601" s="5">
        <v>104</v>
      </c>
      <c r="B601" s="8">
        <v>1106700010003</v>
      </c>
      <c r="C601" s="7" t="s">
        <v>102</v>
      </c>
      <c r="D601" s="7" t="s">
        <v>1332</v>
      </c>
      <c r="F601" s="7">
        <v>1983</v>
      </c>
      <c r="G601" s="7" t="s">
        <v>19</v>
      </c>
      <c r="H601" s="7" t="s">
        <v>104</v>
      </c>
      <c r="I601" s="8" t="s">
        <v>1333</v>
      </c>
      <c r="J601" s="7" t="s">
        <v>263</v>
      </c>
      <c r="K601" s="7" t="s">
        <v>1225</v>
      </c>
      <c r="L601" s="2" t="s">
        <v>1544</v>
      </c>
      <c r="M601" s="9" t="s">
        <v>1553</v>
      </c>
      <c r="N601" s="9" t="s">
        <v>1571</v>
      </c>
      <c r="O601" s="2" t="s">
        <v>1609</v>
      </c>
      <c r="P601" s="2"/>
      <c r="Q601" s="2"/>
      <c r="R601" s="2"/>
      <c r="S601" s="2" t="s">
        <v>1544</v>
      </c>
      <c r="X601" s="5" t="s">
        <v>1508</v>
      </c>
      <c r="Z601" s="2"/>
    </row>
    <row r="602" spans="1:26" ht="30" hidden="1" customHeight="1" x14ac:dyDescent="0.5">
      <c r="A602" s="5">
        <v>106</v>
      </c>
      <c r="B602" s="8">
        <v>1106700010003</v>
      </c>
      <c r="C602" s="7" t="s">
        <v>102</v>
      </c>
      <c r="D602" s="7" t="s">
        <v>1334</v>
      </c>
      <c r="F602" s="7">
        <v>1983</v>
      </c>
      <c r="G602" s="7" t="s">
        <v>19</v>
      </c>
      <c r="H602" s="7" t="s">
        <v>104</v>
      </c>
      <c r="I602" s="8" t="s">
        <v>1335</v>
      </c>
      <c r="J602" s="7" t="s">
        <v>263</v>
      </c>
      <c r="K602" s="7" t="s">
        <v>1225</v>
      </c>
      <c r="L602" s="2" t="s">
        <v>1544</v>
      </c>
      <c r="M602" s="9" t="s">
        <v>1553</v>
      </c>
      <c r="N602" s="9" t="s">
        <v>1571</v>
      </c>
      <c r="O602" s="2" t="s">
        <v>1609</v>
      </c>
      <c r="P602" s="2"/>
      <c r="Q602" s="2"/>
      <c r="R602" s="2"/>
      <c r="S602" s="2" t="s">
        <v>1544</v>
      </c>
      <c r="X602" s="5" t="s">
        <v>1510</v>
      </c>
      <c r="Z602" s="2"/>
    </row>
    <row r="603" spans="1:26" ht="30" hidden="1" customHeight="1" x14ac:dyDescent="0.5">
      <c r="A603" s="5">
        <v>31</v>
      </c>
      <c r="B603" s="8">
        <v>1106700010003</v>
      </c>
      <c r="C603" s="7" t="s">
        <v>102</v>
      </c>
      <c r="D603" s="7" t="s">
        <v>557</v>
      </c>
      <c r="F603" s="7">
        <v>1991</v>
      </c>
      <c r="G603" s="7" t="s">
        <v>19</v>
      </c>
      <c r="H603" s="7" t="s">
        <v>104</v>
      </c>
      <c r="I603" s="8">
        <v>34600152717337</v>
      </c>
      <c r="J603" s="7" t="s">
        <v>263</v>
      </c>
      <c r="K603" s="7" t="s">
        <v>552</v>
      </c>
      <c r="L603" s="2" t="s">
        <v>1493</v>
      </c>
      <c r="M603" s="2" t="s">
        <v>2705</v>
      </c>
      <c r="N603" s="2"/>
      <c r="O603" s="2"/>
      <c r="P603" s="2"/>
      <c r="Q603" s="2"/>
      <c r="R603" s="2" t="s">
        <v>2400</v>
      </c>
      <c r="S603" s="2"/>
      <c r="X603" s="4" t="s">
        <v>1702</v>
      </c>
      <c r="Z603" s="2"/>
    </row>
    <row r="604" spans="1:26" ht="30" hidden="1" customHeight="1" x14ac:dyDescent="0.5">
      <c r="A604" s="5">
        <v>46</v>
      </c>
      <c r="B604" s="8">
        <v>1106700010003</v>
      </c>
      <c r="C604" s="7" t="s">
        <v>102</v>
      </c>
      <c r="D604" s="7" t="s">
        <v>1327</v>
      </c>
      <c r="F604" s="7">
        <v>1988</v>
      </c>
      <c r="G604" s="7" t="s">
        <v>19</v>
      </c>
      <c r="H604" s="7" t="s">
        <v>104</v>
      </c>
      <c r="I604" s="8">
        <v>34600155361082</v>
      </c>
      <c r="J604" s="7" t="s">
        <v>263</v>
      </c>
      <c r="K604" s="7" t="s">
        <v>1225</v>
      </c>
      <c r="L604" s="2" t="s">
        <v>1544</v>
      </c>
      <c r="M604" s="9" t="s">
        <v>1553</v>
      </c>
      <c r="N604" s="9" t="s">
        <v>1571</v>
      </c>
      <c r="O604" s="2" t="s">
        <v>1609</v>
      </c>
      <c r="P604" s="2"/>
      <c r="Q604" s="2"/>
      <c r="R604" s="2"/>
      <c r="S604" s="2" t="s">
        <v>1544</v>
      </c>
      <c r="X604" s="4" t="s">
        <v>1656</v>
      </c>
      <c r="Z604" s="2"/>
    </row>
    <row r="605" spans="1:26" ht="30" hidden="1" customHeight="1" x14ac:dyDescent="0.5">
      <c r="A605" s="5">
        <v>5</v>
      </c>
      <c r="B605" s="8">
        <v>1106700010003</v>
      </c>
      <c r="C605" s="7" t="s">
        <v>102</v>
      </c>
      <c r="D605" s="7" t="s">
        <v>1323</v>
      </c>
      <c r="F605" s="7">
        <v>1989</v>
      </c>
      <c r="G605" s="7" t="s">
        <v>19</v>
      </c>
      <c r="H605" s="7" t="s">
        <v>104</v>
      </c>
      <c r="I605" s="8">
        <v>346001417089</v>
      </c>
      <c r="J605" s="7" t="s">
        <v>263</v>
      </c>
      <c r="K605" s="7" t="s">
        <v>1225</v>
      </c>
      <c r="L605" s="2" t="s">
        <v>1544</v>
      </c>
      <c r="M605" s="9" t="s">
        <v>1553</v>
      </c>
      <c r="N605" s="9" t="s">
        <v>1571</v>
      </c>
      <c r="O605" s="2" t="s">
        <v>1609</v>
      </c>
      <c r="P605" s="2"/>
      <c r="Q605" s="2"/>
      <c r="R605" s="2"/>
      <c r="S605" s="2" t="s">
        <v>1544</v>
      </c>
      <c r="X605" s="4" t="s">
        <v>1676</v>
      </c>
      <c r="Z605" s="2"/>
    </row>
    <row r="606" spans="1:26" ht="30" hidden="1" customHeight="1" x14ac:dyDescent="0.5">
      <c r="A606" s="5">
        <v>17</v>
      </c>
      <c r="B606" s="8">
        <v>1106700010003</v>
      </c>
      <c r="C606" s="7" t="s">
        <v>102</v>
      </c>
      <c r="D606" s="7" t="s">
        <v>1331</v>
      </c>
      <c r="F606" s="7">
        <v>1989</v>
      </c>
      <c r="G606" s="7" t="s">
        <v>19</v>
      </c>
      <c r="H606" s="7" t="s">
        <v>104</v>
      </c>
      <c r="I606" s="8">
        <v>3460315502549</v>
      </c>
      <c r="J606" s="7" t="s">
        <v>263</v>
      </c>
      <c r="K606" s="7" t="s">
        <v>1225</v>
      </c>
      <c r="L606" s="2" t="s">
        <v>1544</v>
      </c>
      <c r="M606" s="9" t="s">
        <v>1553</v>
      </c>
      <c r="N606" s="9" t="s">
        <v>1571</v>
      </c>
      <c r="O606" s="2" t="s">
        <v>1609</v>
      </c>
      <c r="P606" s="2"/>
      <c r="Q606" s="2"/>
      <c r="R606" s="2"/>
      <c r="S606" s="2" t="s">
        <v>1544</v>
      </c>
      <c r="X606" s="4" t="s">
        <v>1688</v>
      </c>
      <c r="Z606" s="2"/>
    </row>
    <row r="607" spans="1:26" ht="30" hidden="1" customHeight="1" x14ac:dyDescent="0.5">
      <c r="A607" s="5">
        <v>49</v>
      </c>
      <c r="B607" s="8">
        <v>1106700010003</v>
      </c>
      <c r="C607" s="7" t="s">
        <v>102</v>
      </c>
      <c r="D607" s="7" t="s">
        <v>668</v>
      </c>
      <c r="F607" s="7">
        <v>1989</v>
      </c>
      <c r="G607" s="7" t="s">
        <v>19</v>
      </c>
      <c r="H607" s="7" t="s">
        <v>104</v>
      </c>
      <c r="I607" s="8">
        <v>34600155386726</v>
      </c>
      <c r="J607" s="7" t="s">
        <v>263</v>
      </c>
      <c r="K607" s="7" t="s">
        <v>632</v>
      </c>
      <c r="L607" s="2" t="s">
        <v>1544</v>
      </c>
      <c r="M607" s="11" t="s">
        <v>2098</v>
      </c>
      <c r="N607" s="2"/>
      <c r="O607" s="2"/>
      <c r="P607" s="2"/>
      <c r="Q607" s="2" t="s">
        <v>2362</v>
      </c>
      <c r="R607" s="2" t="s">
        <v>2664</v>
      </c>
      <c r="S607" s="2" t="s">
        <v>1518</v>
      </c>
      <c r="X607" s="4" t="s">
        <v>1717</v>
      </c>
      <c r="Z607" s="2"/>
    </row>
    <row r="608" spans="1:26" ht="30" hidden="1" customHeight="1" x14ac:dyDescent="0.5">
      <c r="A608" s="5">
        <v>51</v>
      </c>
      <c r="B608" s="8">
        <v>1106700010003</v>
      </c>
      <c r="C608" s="7" t="s">
        <v>102</v>
      </c>
      <c r="D608" s="7" t="s">
        <v>1328</v>
      </c>
      <c r="F608" s="7">
        <v>1989</v>
      </c>
      <c r="G608" s="7" t="s">
        <v>19</v>
      </c>
      <c r="H608" s="7" t="s">
        <v>104</v>
      </c>
      <c r="I608" s="8">
        <v>34600155417059</v>
      </c>
      <c r="J608" s="7" t="s">
        <v>263</v>
      </c>
      <c r="K608" s="7" t="s">
        <v>1225</v>
      </c>
      <c r="L608" s="2" t="s">
        <v>1544</v>
      </c>
      <c r="M608" s="9" t="s">
        <v>1553</v>
      </c>
      <c r="N608" s="9" t="s">
        <v>1571</v>
      </c>
      <c r="O608" s="2" t="s">
        <v>1609</v>
      </c>
      <c r="P608" s="2"/>
      <c r="Q608" s="2"/>
      <c r="R608" s="2"/>
      <c r="S608" s="2" t="s">
        <v>1544</v>
      </c>
      <c r="X608" s="4" t="s">
        <v>1719</v>
      </c>
      <c r="Z608" s="2"/>
    </row>
    <row r="609" spans="1:26" ht="30" hidden="1" customHeight="1" x14ac:dyDescent="0.5">
      <c r="A609" s="5">
        <v>55</v>
      </c>
      <c r="B609" s="8">
        <v>1106700010003</v>
      </c>
      <c r="C609" s="7" t="s">
        <v>102</v>
      </c>
      <c r="D609" s="7" t="s">
        <v>1329</v>
      </c>
      <c r="F609" s="7">
        <v>1989</v>
      </c>
      <c r="G609" s="7" t="s">
        <v>19</v>
      </c>
      <c r="H609" s="7" t="s">
        <v>104</v>
      </c>
      <c r="I609" s="8">
        <v>34600155424078</v>
      </c>
      <c r="J609" s="7" t="s">
        <v>263</v>
      </c>
      <c r="K609" s="7" t="s">
        <v>1225</v>
      </c>
      <c r="L609" s="2" t="s">
        <v>1544</v>
      </c>
      <c r="M609" s="9" t="s">
        <v>1553</v>
      </c>
      <c r="N609" s="9" t="s">
        <v>1571</v>
      </c>
      <c r="O609" s="2" t="s">
        <v>1609</v>
      </c>
      <c r="P609" s="2"/>
      <c r="Q609" s="2"/>
      <c r="R609" s="2"/>
      <c r="S609" s="2" t="s">
        <v>1544</v>
      </c>
      <c r="X609" s="4" t="s">
        <v>1722</v>
      </c>
      <c r="Z609" s="2"/>
    </row>
    <row r="610" spans="1:26" ht="30" hidden="1" customHeight="1" x14ac:dyDescent="0.5">
      <c r="A610" s="5">
        <v>81</v>
      </c>
      <c r="B610" s="8">
        <v>1106700010003</v>
      </c>
      <c r="C610" s="7" t="s">
        <v>102</v>
      </c>
      <c r="D610" s="7" t="s">
        <v>1464</v>
      </c>
      <c r="F610" s="7">
        <v>1989</v>
      </c>
      <c r="G610" s="7" t="s">
        <v>19</v>
      </c>
      <c r="H610" s="7" t="s">
        <v>104</v>
      </c>
      <c r="I610" s="8">
        <v>38671055346001</v>
      </c>
      <c r="J610" s="7" t="s">
        <v>263</v>
      </c>
      <c r="K610" s="7" t="s">
        <v>1225</v>
      </c>
      <c r="L610" s="2" t="s">
        <v>1544</v>
      </c>
      <c r="M610" s="9" t="s">
        <v>1553</v>
      </c>
      <c r="N610" s="9" t="s">
        <v>1571</v>
      </c>
      <c r="O610" s="2" t="s">
        <v>1609</v>
      </c>
      <c r="P610" s="2"/>
      <c r="Q610" s="2"/>
      <c r="R610" s="2"/>
      <c r="S610" s="2" t="s">
        <v>1544</v>
      </c>
      <c r="X610" s="5" t="s">
        <v>1486</v>
      </c>
      <c r="Z610" s="2"/>
    </row>
    <row r="611" spans="1:26" ht="30" hidden="1" customHeight="1" x14ac:dyDescent="0.5">
      <c r="A611" s="5">
        <v>83</v>
      </c>
      <c r="B611" s="8">
        <v>1106700010003</v>
      </c>
      <c r="C611" s="7" t="s">
        <v>102</v>
      </c>
      <c r="D611" s="7" t="s">
        <v>1336</v>
      </c>
      <c r="F611" s="7">
        <v>1989</v>
      </c>
      <c r="G611" s="7" t="s">
        <v>19</v>
      </c>
      <c r="H611" s="7" t="s">
        <v>104</v>
      </c>
      <c r="I611" s="8">
        <v>42405655346001</v>
      </c>
      <c r="J611" s="7" t="s">
        <v>263</v>
      </c>
      <c r="K611" s="7" t="s">
        <v>1225</v>
      </c>
      <c r="L611" s="2" t="s">
        <v>1544</v>
      </c>
      <c r="M611" s="9" t="s">
        <v>1553</v>
      </c>
      <c r="N611" s="9" t="s">
        <v>1571</v>
      </c>
      <c r="O611" s="2" t="s">
        <v>1609</v>
      </c>
      <c r="P611" s="2"/>
      <c r="Q611" s="2"/>
      <c r="R611" s="2"/>
      <c r="S611" s="2" t="s">
        <v>1544</v>
      </c>
      <c r="X611" s="5" t="s">
        <v>1488</v>
      </c>
      <c r="Z611" s="2"/>
    </row>
    <row r="612" spans="1:26" ht="30" hidden="1" customHeight="1" x14ac:dyDescent="0.5">
      <c r="A612" s="5">
        <v>59</v>
      </c>
      <c r="B612" s="8">
        <v>1106700010003</v>
      </c>
      <c r="C612" s="7" t="s">
        <v>102</v>
      </c>
      <c r="D612" s="7" t="s">
        <v>1330</v>
      </c>
      <c r="F612" s="7">
        <v>1990</v>
      </c>
      <c r="G612" s="7" t="s">
        <v>19</v>
      </c>
      <c r="H612" s="7" t="s">
        <v>104</v>
      </c>
      <c r="I612" s="8">
        <v>34600155505125</v>
      </c>
      <c r="J612" s="7" t="s">
        <v>263</v>
      </c>
      <c r="K612" s="7" t="s">
        <v>1225</v>
      </c>
      <c r="L612" s="2" t="s">
        <v>1544</v>
      </c>
      <c r="M612" s="9" t="s">
        <v>1553</v>
      </c>
      <c r="N612" s="9" t="s">
        <v>1571</v>
      </c>
      <c r="O612" s="2" t="s">
        <v>1609</v>
      </c>
      <c r="P612" s="2"/>
      <c r="Q612" s="2"/>
      <c r="R612" s="2"/>
      <c r="S612" s="2" t="s">
        <v>1544</v>
      </c>
      <c r="X612" s="4" t="s">
        <v>1726</v>
      </c>
      <c r="Z612" s="2"/>
    </row>
    <row r="613" spans="1:26" ht="30" hidden="1" customHeight="1" x14ac:dyDescent="0.5">
      <c r="A613" s="5">
        <v>33</v>
      </c>
      <c r="B613" s="8">
        <v>1106700010003</v>
      </c>
      <c r="C613" s="7" t="s">
        <v>102</v>
      </c>
      <c r="D613" s="7" t="s">
        <v>663</v>
      </c>
      <c r="F613" s="7">
        <v>1991</v>
      </c>
      <c r="G613" s="7" t="s">
        <v>19</v>
      </c>
      <c r="H613" s="7" t="s">
        <v>104</v>
      </c>
      <c r="I613" s="8">
        <v>34600152717342</v>
      </c>
      <c r="J613" s="7" t="s">
        <v>263</v>
      </c>
      <c r="K613" s="7" t="s">
        <v>632</v>
      </c>
      <c r="L613" s="2" t="s">
        <v>1557</v>
      </c>
      <c r="M613" s="2" t="s">
        <v>2705</v>
      </c>
      <c r="N613" s="2"/>
      <c r="O613" s="2"/>
      <c r="P613" s="2"/>
      <c r="Q613" s="2"/>
      <c r="R613" s="2" t="s">
        <v>2419</v>
      </c>
      <c r="S613" s="2"/>
      <c r="X613" s="4" t="s">
        <v>1704</v>
      </c>
      <c r="Z613" s="2"/>
    </row>
    <row r="614" spans="1:26" ht="30" hidden="1" customHeight="1" x14ac:dyDescent="0.5">
      <c r="A614" s="5">
        <v>44</v>
      </c>
      <c r="B614" s="8">
        <v>1106700010003</v>
      </c>
      <c r="C614" s="7" t="s">
        <v>102</v>
      </c>
      <c r="D614" s="7" t="s">
        <v>667</v>
      </c>
      <c r="F614" s="7">
        <v>1991</v>
      </c>
      <c r="G614" s="7" t="s">
        <v>19</v>
      </c>
      <c r="H614" s="7" t="s">
        <v>104</v>
      </c>
      <c r="I614" s="8">
        <v>34600152728921</v>
      </c>
      <c r="J614" s="7" t="s">
        <v>263</v>
      </c>
      <c r="K614" s="7" t="s">
        <v>632</v>
      </c>
      <c r="L614" s="2" t="s">
        <v>1471</v>
      </c>
      <c r="M614" s="2" t="s">
        <v>2705</v>
      </c>
      <c r="N614" s="2"/>
      <c r="O614" s="2"/>
      <c r="P614" s="2"/>
      <c r="Q614" s="2"/>
      <c r="R614" s="2"/>
      <c r="S614" s="2"/>
      <c r="X614" s="4" t="s">
        <v>1713</v>
      </c>
      <c r="Z614" s="2"/>
    </row>
    <row r="615" spans="1:26" ht="30" customHeight="1" x14ac:dyDescent="0.5">
      <c r="A615" s="117">
        <v>600</v>
      </c>
      <c r="B615" s="8">
        <v>1106700010003</v>
      </c>
      <c r="C615" s="7" t="s">
        <v>102</v>
      </c>
      <c r="D615" s="7" t="s">
        <v>1220</v>
      </c>
      <c r="E615" s="2" t="s">
        <v>2221</v>
      </c>
      <c r="F615" s="7">
        <v>1991</v>
      </c>
      <c r="G615" s="7" t="s">
        <v>19</v>
      </c>
      <c r="H615" s="7" t="s">
        <v>104</v>
      </c>
      <c r="I615" s="8" t="s">
        <v>1221</v>
      </c>
      <c r="J615" s="111" t="s">
        <v>263</v>
      </c>
      <c r="K615" s="7" t="s">
        <v>1219</v>
      </c>
      <c r="L615" s="2" t="s">
        <v>1525</v>
      </c>
      <c r="M615" s="2" t="s">
        <v>1548</v>
      </c>
      <c r="N615" s="2" t="s">
        <v>1564</v>
      </c>
      <c r="O615" s="2" t="s">
        <v>2406</v>
      </c>
      <c r="P615" s="9" t="s">
        <v>2534</v>
      </c>
      <c r="Q615" s="2" t="s">
        <v>2469</v>
      </c>
      <c r="R615" s="2" t="s">
        <v>2449</v>
      </c>
      <c r="S615" s="2" t="s">
        <v>1708</v>
      </c>
      <c r="Z615" s="7"/>
    </row>
    <row r="616" spans="1:26" ht="30" customHeight="1" x14ac:dyDescent="0.5">
      <c r="A616" s="116">
        <v>80</v>
      </c>
      <c r="B616" s="8">
        <v>1106700010003</v>
      </c>
      <c r="C616" s="7" t="s">
        <v>102</v>
      </c>
      <c r="D616" s="7" t="s">
        <v>195</v>
      </c>
      <c r="E616" s="105" t="s">
        <v>2217</v>
      </c>
      <c r="F616" s="7">
        <v>1981</v>
      </c>
      <c r="G616" s="7" t="s">
        <v>19</v>
      </c>
      <c r="H616" s="7" t="s">
        <v>104</v>
      </c>
      <c r="I616" s="8">
        <v>34631154808228</v>
      </c>
      <c r="J616" s="7" t="s">
        <v>35</v>
      </c>
      <c r="K616" s="7" t="s">
        <v>1562</v>
      </c>
      <c r="L616" s="2" t="s">
        <v>1544</v>
      </c>
      <c r="M616" s="2" t="s">
        <v>1548</v>
      </c>
      <c r="N616" s="2" t="s">
        <v>1567</v>
      </c>
      <c r="O616" s="2" t="s">
        <v>1622</v>
      </c>
      <c r="P616" s="2" t="s">
        <v>1623</v>
      </c>
      <c r="Q616" s="57"/>
      <c r="R616" s="2" t="s">
        <v>1477</v>
      </c>
      <c r="S616" s="2" t="s">
        <v>1693</v>
      </c>
      <c r="U616" s="5" t="s">
        <v>1542</v>
      </c>
      <c r="X616" s="5" t="s">
        <v>1485</v>
      </c>
      <c r="Z616" s="2"/>
    </row>
    <row r="617" spans="1:26" ht="30" customHeight="1" x14ac:dyDescent="0.5">
      <c r="A617" s="5">
        <v>622</v>
      </c>
      <c r="B617" s="8">
        <v>1106700010003</v>
      </c>
      <c r="C617" s="7" t="s">
        <v>102</v>
      </c>
      <c r="D617" s="7" t="s">
        <v>671</v>
      </c>
      <c r="F617" s="7">
        <v>2002</v>
      </c>
      <c r="G617" s="7" t="s">
        <v>19</v>
      </c>
      <c r="H617" s="7" t="s">
        <v>104</v>
      </c>
      <c r="I617" s="8" t="s">
        <v>672</v>
      </c>
      <c r="J617" s="7" t="s">
        <v>263</v>
      </c>
      <c r="K617" s="7" t="s">
        <v>632</v>
      </c>
      <c r="L617" s="2" t="s">
        <v>1537</v>
      </c>
      <c r="M617" s="2" t="s">
        <v>1548</v>
      </c>
      <c r="N617" s="2" t="s">
        <v>1564</v>
      </c>
      <c r="O617" s="2" t="s">
        <v>2515</v>
      </c>
      <c r="P617" s="9" t="s">
        <v>2521</v>
      </c>
      <c r="Q617" s="2" t="s">
        <v>2516</v>
      </c>
      <c r="R617" s="2" t="s">
        <v>2423</v>
      </c>
      <c r="S617" s="2" t="s">
        <v>2040</v>
      </c>
      <c r="Z617" s="2"/>
    </row>
    <row r="618" spans="1:26" ht="30" customHeight="1" x14ac:dyDescent="0.5">
      <c r="A618" s="5">
        <v>598</v>
      </c>
      <c r="B618" s="8">
        <v>1106700010003</v>
      </c>
      <c r="C618" s="7" t="s">
        <v>102</v>
      </c>
      <c r="D618" s="7" t="s">
        <v>1465</v>
      </c>
      <c r="F618" s="7">
        <v>1992</v>
      </c>
      <c r="G618" s="7" t="s">
        <v>19</v>
      </c>
      <c r="H618" s="7" t="s">
        <v>104</v>
      </c>
      <c r="I618" s="8" t="s">
        <v>1338</v>
      </c>
      <c r="J618" s="7" t="s">
        <v>263</v>
      </c>
      <c r="K618" s="7" t="s">
        <v>1225</v>
      </c>
      <c r="L618" s="2" t="s">
        <v>1544</v>
      </c>
      <c r="M618" s="2" t="s">
        <v>1548</v>
      </c>
      <c r="N618" s="2" t="s">
        <v>1571</v>
      </c>
      <c r="O618" s="2" t="s">
        <v>1644</v>
      </c>
      <c r="P618" s="9" t="s">
        <v>2251</v>
      </c>
      <c r="Q618" s="2"/>
      <c r="R618" s="2"/>
      <c r="S618" s="2" t="s">
        <v>2053</v>
      </c>
      <c r="Z618" s="2"/>
    </row>
    <row r="619" spans="1:26" ht="30" hidden="1" customHeight="1" x14ac:dyDescent="0.5">
      <c r="A619" s="5">
        <v>20</v>
      </c>
      <c r="B619" s="8">
        <v>1106700010003</v>
      </c>
      <c r="C619" s="7" t="s">
        <v>102</v>
      </c>
      <c r="D619" s="7" t="s">
        <v>103</v>
      </c>
      <c r="F619" s="7">
        <v>1983</v>
      </c>
      <c r="G619" s="7" t="s">
        <v>19</v>
      </c>
      <c r="H619" s="7" t="s">
        <v>104</v>
      </c>
      <c r="I619" s="8">
        <v>34303154941458</v>
      </c>
      <c r="J619" s="111" t="s">
        <v>35</v>
      </c>
      <c r="K619" s="7" t="s">
        <v>99</v>
      </c>
      <c r="L619" s="2" t="s">
        <v>1493</v>
      </c>
      <c r="M619" s="11" t="s">
        <v>1912</v>
      </c>
      <c r="N619" s="2"/>
      <c r="O619" s="2"/>
      <c r="P619" s="2"/>
      <c r="Q619" s="2" t="s">
        <v>2677</v>
      </c>
      <c r="R619" s="2" t="s">
        <v>2650</v>
      </c>
      <c r="S619" s="2" t="s">
        <v>2049</v>
      </c>
      <c r="U619" s="5" t="s">
        <v>1503</v>
      </c>
      <c r="X619" s="4" t="s">
        <v>1691</v>
      </c>
      <c r="Z619" s="2"/>
    </row>
    <row r="620" spans="1:26" ht="30" hidden="1" customHeight="1" x14ac:dyDescent="0.5">
      <c r="A620" s="5">
        <v>601</v>
      </c>
      <c r="B620" s="8">
        <v>1106700010003</v>
      </c>
      <c r="C620" s="7" t="s">
        <v>102</v>
      </c>
      <c r="D620" s="7" t="s">
        <v>1451</v>
      </c>
      <c r="F620" s="7">
        <v>1991</v>
      </c>
      <c r="G620" s="7" t="s">
        <v>19</v>
      </c>
      <c r="H620" s="7" t="s">
        <v>104</v>
      </c>
      <c r="I620" s="8" t="s">
        <v>249</v>
      </c>
      <c r="J620" s="7" t="s">
        <v>0</v>
      </c>
      <c r="K620" s="7" t="s">
        <v>240</v>
      </c>
      <c r="L620" s="2" t="s">
        <v>1543</v>
      </c>
      <c r="M620" s="11" t="s">
        <v>1912</v>
      </c>
      <c r="N620" s="2"/>
      <c r="O620" s="2"/>
      <c r="P620" s="2"/>
      <c r="Q620" s="2" t="s">
        <v>2101</v>
      </c>
      <c r="R620" s="2"/>
      <c r="S620" s="2" t="s">
        <v>1730</v>
      </c>
      <c r="Z620" s="2"/>
    </row>
    <row r="621" spans="1:26" ht="30" hidden="1" customHeight="1" x14ac:dyDescent="0.5">
      <c r="A621" s="5">
        <v>42</v>
      </c>
      <c r="B621" s="8">
        <v>1106700010003</v>
      </c>
      <c r="C621" s="7" t="s">
        <v>102</v>
      </c>
      <c r="D621" s="7" t="s">
        <v>121</v>
      </c>
      <c r="F621" s="7">
        <v>1991</v>
      </c>
      <c r="G621" s="7" t="s">
        <v>19</v>
      </c>
      <c r="H621" s="7" t="s">
        <v>104</v>
      </c>
      <c r="I621" s="8">
        <v>34600152728919</v>
      </c>
      <c r="J621" s="7" t="s">
        <v>35</v>
      </c>
      <c r="K621" s="7" t="s">
        <v>118</v>
      </c>
      <c r="L621" s="2" t="s">
        <v>1493</v>
      </c>
      <c r="M621" s="11" t="s">
        <v>1912</v>
      </c>
      <c r="N621" s="2" t="s">
        <v>1571</v>
      </c>
      <c r="O621" s="2" t="s">
        <v>2394</v>
      </c>
      <c r="P621" s="2" t="s">
        <v>2545</v>
      </c>
      <c r="Q621" s="2" t="s">
        <v>2545</v>
      </c>
      <c r="R621" s="2" t="s">
        <v>2366</v>
      </c>
      <c r="S621" s="2" t="s">
        <v>2046</v>
      </c>
      <c r="U621" s="5" t="s">
        <v>1511</v>
      </c>
      <c r="X621" s="4" t="s">
        <v>1711</v>
      </c>
      <c r="Z621" s="2"/>
    </row>
    <row r="622" spans="1:26" ht="30" customHeight="1" x14ac:dyDescent="0.5">
      <c r="A622" s="116">
        <v>36</v>
      </c>
      <c r="B622" s="8">
        <v>1106700010003</v>
      </c>
      <c r="C622" s="7" t="s">
        <v>102</v>
      </c>
      <c r="D622" s="7" t="s">
        <v>664</v>
      </c>
      <c r="E622" s="105" t="s">
        <v>2220</v>
      </c>
      <c r="F622" s="7">
        <v>1991</v>
      </c>
      <c r="G622" s="7" t="s">
        <v>19</v>
      </c>
      <c r="H622" s="7" t="s">
        <v>104</v>
      </c>
      <c r="I622" s="8">
        <v>34600152717359</v>
      </c>
      <c r="J622" s="7" t="s">
        <v>263</v>
      </c>
      <c r="K622" s="7" t="s">
        <v>632</v>
      </c>
      <c r="L622" s="2" t="s">
        <v>1518</v>
      </c>
      <c r="M622" s="2" t="s">
        <v>1548</v>
      </c>
      <c r="N622" s="2" t="s">
        <v>1559</v>
      </c>
      <c r="O622" s="2" t="s">
        <v>1559</v>
      </c>
      <c r="P622" s="2" t="s">
        <v>1921</v>
      </c>
      <c r="Q622" s="57"/>
      <c r="R622" s="2" t="s">
        <v>2658</v>
      </c>
      <c r="S622" s="2" t="s">
        <v>1682</v>
      </c>
      <c r="X622" s="4" t="s">
        <v>1707</v>
      </c>
      <c r="Z622" s="2"/>
    </row>
    <row r="623" spans="1:26" ht="30" hidden="1" customHeight="1" x14ac:dyDescent="0.5">
      <c r="A623" s="5">
        <v>67</v>
      </c>
      <c r="B623" s="8">
        <v>1106700010003</v>
      </c>
      <c r="C623" s="7" t="s">
        <v>102</v>
      </c>
      <c r="D623" s="7" t="s">
        <v>161</v>
      </c>
      <c r="F623" s="7">
        <v>1992</v>
      </c>
      <c r="G623" s="7" t="s">
        <v>19</v>
      </c>
      <c r="H623" s="7" t="s">
        <v>104</v>
      </c>
      <c r="I623" s="8">
        <v>34600155905199</v>
      </c>
      <c r="J623" s="7" t="s">
        <v>35</v>
      </c>
      <c r="K623" s="9" t="s">
        <v>153</v>
      </c>
      <c r="L623" s="2" t="s">
        <v>1537</v>
      </c>
      <c r="M623" s="9" t="s">
        <v>1552</v>
      </c>
      <c r="N623" s="2" t="s">
        <v>1571</v>
      </c>
      <c r="O623" s="2" t="s">
        <v>1940</v>
      </c>
      <c r="P623" s="2" t="s">
        <v>1958</v>
      </c>
      <c r="Q623" s="2"/>
      <c r="R623" s="2"/>
      <c r="S623" s="2" t="s">
        <v>1725</v>
      </c>
      <c r="U623" s="5" t="s">
        <v>1528</v>
      </c>
      <c r="X623" s="5" t="s">
        <v>1473</v>
      </c>
      <c r="Z623" s="2"/>
    </row>
    <row r="624" spans="1:26" ht="30" hidden="1" customHeight="1" x14ac:dyDescent="0.5">
      <c r="A624" s="5">
        <v>638</v>
      </c>
      <c r="B624" s="8">
        <v>1106700010003</v>
      </c>
      <c r="C624" s="7" t="s">
        <v>102</v>
      </c>
      <c r="D624" s="7" t="s">
        <v>1445</v>
      </c>
      <c r="F624" s="7">
        <v>2002</v>
      </c>
      <c r="G624" s="7" t="s">
        <v>19</v>
      </c>
      <c r="H624" s="7" t="s">
        <v>104</v>
      </c>
      <c r="I624" s="8" t="s">
        <v>775</v>
      </c>
      <c r="J624" s="7" t="s">
        <v>35</v>
      </c>
      <c r="K624" s="7" t="s">
        <v>770</v>
      </c>
      <c r="L624" s="2" t="s">
        <v>1506</v>
      </c>
      <c r="M624" s="11" t="s">
        <v>1912</v>
      </c>
      <c r="N624" s="2"/>
      <c r="O624" s="2"/>
      <c r="P624" s="2"/>
      <c r="Q624" s="2" t="s">
        <v>2434</v>
      </c>
      <c r="R624" s="2" t="s">
        <v>2399</v>
      </c>
      <c r="S624" s="2" t="s">
        <v>2005</v>
      </c>
      <c r="Z624" s="2"/>
    </row>
    <row r="625" spans="1:26" ht="30" hidden="1" customHeight="1" x14ac:dyDescent="0.5">
      <c r="A625" s="5">
        <v>50</v>
      </c>
      <c r="B625" s="8">
        <v>1106700010003</v>
      </c>
      <c r="C625" s="7" t="s">
        <v>102</v>
      </c>
      <c r="D625" s="7" t="s">
        <v>442</v>
      </c>
      <c r="E625" s="72" t="s">
        <v>2098</v>
      </c>
      <c r="F625" s="7">
        <v>1989</v>
      </c>
      <c r="G625" s="7" t="s">
        <v>19</v>
      </c>
      <c r="H625" s="7" t="s">
        <v>104</v>
      </c>
      <c r="I625" s="8">
        <v>34600155410132</v>
      </c>
      <c r="J625" s="111" t="s">
        <v>263</v>
      </c>
      <c r="K625" s="57" t="s">
        <v>430</v>
      </c>
      <c r="L625" s="2" t="s">
        <v>1506</v>
      </c>
      <c r="M625" s="11" t="s">
        <v>1912</v>
      </c>
      <c r="N625" s="2" t="s">
        <v>1569</v>
      </c>
      <c r="O625" s="2" t="s">
        <v>2259</v>
      </c>
      <c r="P625" s="2" t="s">
        <v>2256</v>
      </c>
      <c r="Q625" s="2" t="s">
        <v>2641</v>
      </c>
      <c r="R625" s="2" t="s">
        <v>2381</v>
      </c>
      <c r="S625" s="2" t="s">
        <v>1996</v>
      </c>
      <c r="X625" s="4" t="s">
        <v>1718</v>
      </c>
      <c r="Z625" s="7"/>
    </row>
    <row r="626" spans="1:26" ht="30" customHeight="1" x14ac:dyDescent="0.5">
      <c r="A626" s="116">
        <v>599</v>
      </c>
      <c r="B626" s="8">
        <v>1106700010003</v>
      </c>
      <c r="C626" s="7" t="s">
        <v>102</v>
      </c>
      <c r="D626" s="7" t="s">
        <v>871</v>
      </c>
      <c r="E626" s="105" t="s">
        <v>2215</v>
      </c>
      <c r="F626" s="7">
        <v>1991</v>
      </c>
      <c r="G626" s="7" t="s">
        <v>19</v>
      </c>
      <c r="H626" s="7" t="s">
        <v>104</v>
      </c>
      <c r="I626" s="8" t="s">
        <v>872</v>
      </c>
      <c r="J626" s="7" t="s">
        <v>35</v>
      </c>
      <c r="K626" s="57" t="s">
        <v>868</v>
      </c>
      <c r="L626" s="2" t="s">
        <v>1513</v>
      </c>
      <c r="M626" s="2" t="s">
        <v>1548</v>
      </c>
      <c r="N626" s="2" t="s">
        <v>1571</v>
      </c>
      <c r="O626" s="2" t="s">
        <v>2503</v>
      </c>
      <c r="P626" s="123" t="s">
        <v>2504</v>
      </c>
      <c r="Q626" s="2" t="s">
        <v>2492</v>
      </c>
      <c r="R626" s="2" t="s">
        <v>2505</v>
      </c>
      <c r="S626" s="2" t="s">
        <v>1723</v>
      </c>
      <c r="Z626" s="2"/>
    </row>
    <row r="627" spans="1:26" ht="30" customHeight="1" x14ac:dyDescent="0.5">
      <c r="A627" s="5">
        <v>86</v>
      </c>
      <c r="B627" s="8">
        <v>1106700010003</v>
      </c>
      <c r="C627" s="7" t="s">
        <v>102</v>
      </c>
      <c r="D627" s="7" t="s">
        <v>846</v>
      </c>
      <c r="F627" s="7">
        <v>1991</v>
      </c>
      <c r="G627" s="7" t="s">
        <v>19</v>
      </c>
      <c r="H627" s="7" t="s">
        <v>104</v>
      </c>
      <c r="I627" s="8">
        <v>55503855346001</v>
      </c>
      <c r="J627" s="111" t="s">
        <v>35</v>
      </c>
      <c r="K627" s="7" t="s">
        <v>841</v>
      </c>
      <c r="L627" s="2" t="s">
        <v>1531</v>
      </c>
      <c r="M627" s="2" t="s">
        <v>1548</v>
      </c>
      <c r="N627" s="2" t="s">
        <v>1571</v>
      </c>
      <c r="O627" s="2" t="s">
        <v>2495</v>
      </c>
      <c r="P627" s="9" t="s">
        <v>2253</v>
      </c>
      <c r="Q627" s="2"/>
      <c r="R627" s="2" t="s">
        <v>2496</v>
      </c>
      <c r="S627" s="2" t="s">
        <v>1670</v>
      </c>
      <c r="X627" s="5" t="s">
        <v>1491</v>
      </c>
      <c r="Z627" s="2"/>
    </row>
    <row r="628" spans="1:26" ht="30" hidden="1" customHeight="1" x14ac:dyDescent="0.5">
      <c r="A628" s="5">
        <v>602</v>
      </c>
      <c r="B628" s="8">
        <v>1106700010003</v>
      </c>
      <c r="C628" s="7" t="s">
        <v>102</v>
      </c>
      <c r="D628" s="7" t="s">
        <v>976</v>
      </c>
      <c r="F628" s="7">
        <v>1991</v>
      </c>
      <c r="G628" s="7" t="s">
        <v>19</v>
      </c>
      <c r="H628" s="7" t="s">
        <v>104</v>
      </c>
      <c r="I628" s="8" t="s">
        <v>977</v>
      </c>
      <c r="J628" s="7" t="s">
        <v>35</v>
      </c>
      <c r="K628" s="7" t="s">
        <v>973</v>
      </c>
      <c r="L628" s="2" t="s">
        <v>1531</v>
      </c>
      <c r="M628" s="9" t="s">
        <v>1553</v>
      </c>
      <c r="N628" s="2" t="s">
        <v>1571</v>
      </c>
      <c r="O628" s="2" t="s">
        <v>1940</v>
      </c>
      <c r="P628" s="2" t="s">
        <v>1951</v>
      </c>
      <c r="Q628" s="2" t="s">
        <v>2440</v>
      </c>
      <c r="R628" s="2"/>
      <c r="S628" s="2" t="s">
        <v>1711</v>
      </c>
      <c r="Z628" s="2"/>
    </row>
    <row r="629" spans="1:26" ht="30" hidden="1" customHeight="1" x14ac:dyDescent="0.5">
      <c r="A629" s="5">
        <v>604</v>
      </c>
      <c r="B629" s="8">
        <v>1106700010003</v>
      </c>
      <c r="C629" s="7" t="s">
        <v>102</v>
      </c>
      <c r="D629" s="7" t="s">
        <v>1452</v>
      </c>
      <c r="E629" s="72" t="s">
        <v>2219</v>
      </c>
      <c r="F629" s="7">
        <v>1992</v>
      </c>
      <c r="G629" s="7" t="s">
        <v>19</v>
      </c>
      <c r="H629" s="7" t="s">
        <v>104</v>
      </c>
      <c r="I629" s="8" t="s">
        <v>326</v>
      </c>
      <c r="J629" s="7" t="s">
        <v>263</v>
      </c>
      <c r="K629" s="7" t="s">
        <v>270</v>
      </c>
      <c r="L629" s="2" t="s">
        <v>1487</v>
      </c>
      <c r="M629" s="11" t="s">
        <v>1912</v>
      </c>
      <c r="N629" s="2"/>
      <c r="O629" s="2" t="s">
        <v>2181</v>
      </c>
      <c r="P629" s="2" t="s">
        <v>2177</v>
      </c>
      <c r="Q629" s="2" t="s">
        <v>2413</v>
      </c>
      <c r="R629" s="2" t="s">
        <v>2401</v>
      </c>
      <c r="S629" s="2" t="s">
        <v>1700</v>
      </c>
      <c r="Z629" s="7"/>
    </row>
    <row r="630" spans="1:26" ht="30" customHeight="1" x14ac:dyDescent="0.5">
      <c r="A630" s="5">
        <v>18</v>
      </c>
      <c r="B630" s="8">
        <v>1106700010003</v>
      </c>
      <c r="C630" s="7" t="s">
        <v>102</v>
      </c>
      <c r="D630" s="7" t="s">
        <v>666</v>
      </c>
      <c r="E630" s="7" t="s">
        <v>2221</v>
      </c>
      <c r="F630" s="7">
        <v>1988</v>
      </c>
      <c r="G630" s="7" t="s">
        <v>19</v>
      </c>
      <c r="H630" s="7" t="s">
        <v>104</v>
      </c>
      <c r="I630" s="8">
        <v>33208955346001</v>
      </c>
      <c r="J630" s="7" t="s">
        <v>263</v>
      </c>
      <c r="K630" s="7" t="s">
        <v>632</v>
      </c>
      <c r="L630" s="2" t="s">
        <v>1544</v>
      </c>
      <c r="M630" s="2" t="s">
        <v>1548</v>
      </c>
      <c r="N630" s="2" t="s">
        <v>1571</v>
      </c>
      <c r="O630" s="2" t="s">
        <v>1609</v>
      </c>
      <c r="P630" s="123" t="s">
        <v>2639</v>
      </c>
      <c r="Q630" s="2" t="s">
        <v>2251</v>
      </c>
      <c r="R630" s="2"/>
      <c r="S630" s="2" t="s">
        <v>2053</v>
      </c>
      <c r="X630" s="4" t="s">
        <v>1689</v>
      </c>
      <c r="Z630" s="7"/>
    </row>
    <row r="631" spans="1:26" ht="30" customHeight="1" x14ac:dyDescent="0.5">
      <c r="A631" s="117">
        <v>53</v>
      </c>
      <c r="B631" s="8">
        <v>1106700010003</v>
      </c>
      <c r="C631" s="7" t="s">
        <v>102</v>
      </c>
      <c r="D631" s="7" t="s">
        <v>669</v>
      </c>
      <c r="E631" s="2" t="s">
        <v>2213</v>
      </c>
      <c r="F631" s="7">
        <v>1989</v>
      </c>
      <c r="G631" s="7" t="s">
        <v>19</v>
      </c>
      <c r="H631" s="7" t="s">
        <v>104</v>
      </c>
      <c r="I631" s="8">
        <v>34600155417060</v>
      </c>
      <c r="J631" s="7" t="s">
        <v>263</v>
      </c>
      <c r="K631" s="7" t="s">
        <v>632</v>
      </c>
      <c r="L631" s="2" t="s">
        <v>1544</v>
      </c>
      <c r="M631" s="2" t="s">
        <v>1548</v>
      </c>
      <c r="N631" s="2" t="s">
        <v>1571</v>
      </c>
      <c r="O631" s="2" t="s">
        <v>2519</v>
      </c>
      <c r="P631" s="9" t="s">
        <v>2528</v>
      </c>
      <c r="Q631" s="2" t="s">
        <v>1944</v>
      </c>
      <c r="R631" s="2"/>
      <c r="S631" s="2" t="s">
        <v>2053</v>
      </c>
      <c r="X631" s="4" t="s">
        <v>1721</v>
      </c>
      <c r="Z631" s="7"/>
    </row>
    <row r="632" spans="1:26" ht="30" hidden="1" customHeight="1" x14ac:dyDescent="0.5">
      <c r="A632" s="5">
        <v>82</v>
      </c>
      <c r="B632" s="8">
        <v>1106700010003</v>
      </c>
      <c r="C632" s="7" t="s">
        <v>102</v>
      </c>
      <c r="D632" s="7" t="s">
        <v>670</v>
      </c>
      <c r="E632" s="7" t="s">
        <v>2213</v>
      </c>
      <c r="F632" s="7">
        <v>1989</v>
      </c>
      <c r="G632" s="7" t="s">
        <v>19</v>
      </c>
      <c r="H632" s="7" t="s">
        <v>104</v>
      </c>
      <c r="I632" s="8">
        <v>40402055346001</v>
      </c>
      <c r="J632" s="7" t="s">
        <v>263</v>
      </c>
      <c r="K632" s="7" t="s">
        <v>632</v>
      </c>
      <c r="L632" s="2" t="s">
        <v>1544</v>
      </c>
      <c r="M632" s="11" t="s">
        <v>1912</v>
      </c>
      <c r="N632" s="2"/>
      <c r="O632" s="2"/>
      <c r="P632" s="2"/>
      <c r="Q632" s="2" t="s">
        <v>2251</v>
      </c>
      <c r="R632" s="2"/>
      <c r="S632" s="2" t="s">
        <v>2053</v>
      </c>
      <c r="X632" s="5" t="s">
        <v>1487</v>
      </c>
      <c r="Z632" s="7"/>
    </row>
    <row r="633" spans="1:26" ht="30" hidden="1" customHeight="1" x14ac:dyDescent="0.5">
      <c r="A633" s="5">
        <v>3</v>
      </c>
      <c r="B633" s="8">
        <v>1106700010003</v>
      </c>
      <c r="C633" s="7" t="s">
        <v>102</v>
      </c>
      <c r="D633" s="7" t="s">
        <v>665</v>
      </c>
      <c r="E633" s="7" t="s">
        <v>2213</v>
      </c>
      <c r="F633" s="7">
        <v>1993</v>
      </c>
      <c r="G633" s="7" t="s">
        <v>19</v>
      </c>
      <c r="H633" s="7" t="s">
        <v>104</v>
      </c>
      <c r="I633" s="8">
        <v>2592</v>
      </c>
      <c r="J633" s="7" t="s">
        <v>263</v>
      </c>
      <c r="K633" s="7" t="s">
        <v>632</v>
      </c>
      <c r="L633" s="2" t="s">
        <v>1482</v>
      </c>
      <c r="M633" s="11" t="s">
        <v>1912</v>
      </c>
      <c r="N633" s="2"/>
      <c r="O633" s="2"/>
      <c r="P633" s="2"/>
      <c r="Q633" s="2" t="s">
        <v>2235</v>
      </c>
      <c r="R633" s="2" t="s">
        <v>2555</v>
      </c>
      <c r="S633" s="2" t="s">
        <v>1712</v>
      </c>
      <c r="X633" s="4" t="s">
        <v>1674</v>
      </c>
      <c r="Z633" s="7"/>
    </row>
    <row r="634" spans="1:26" ht="30" customHeight="1" x14ac:dyDescent="0.5">
      <c r="A634" s="116">
        <v>117</v>
      </c>
      <c r="B634" s="8">
        <v>1201700020002</v>
      </c>
      <c r="C634" s="7" t="s">
        <v>2468</v>
      </c>
      <c r="D634" s="7" t="s">
        <v>1385</v>
      </c>
      <c r="E634" s="105" t="s">
        <v>2215</v>
      </c>
      <c r="F634" s="7">
        <v>2015</v>
      </c>
      <c r="G634" s="7" t="s">
        <v>19</v>
      </c>
      <c r="H634" s="7" t="s">
        <v>1377</v>
      </c>
      <c r="I634" s="8" t="s">
        <v>1386</v>
      </c>
      <c r="J634" s="111" t="s">
        <v>263</v>
      </c>
      <c r="K634" s="7" t="s">
        <v>1225</v>
      </c>
      <c r="L634" s="2" t="s">
        <v>1482</v>
      </c>
      <c r="M634" s="2" t="s">
        <v>1548</v>
      </c>
      <c r="N634" s="2" t="s">
        <v>1571</v>
      </c>
      <c r="O634" s="2" t="s">
        <v>2602</v>
      </c>
      <c r="P634" s="2" t="s">
        <v>1836</v>
      </c>
      <c r="Q634" s="57"/>
      <c r="R634" s="2" t="s">
        <v>2603</v>
      </c>
      <c r="S634" s="2" t="s">
        <v>1676</v>
      </c>
      <c r="X634" s="5" t="s">
        <v>1521</v>
      </c>
      <c r="Z634" s="2"/>
    </row>
    <row r="635" spans="1:26" ht="30" hidden="1" customHeight="1" x14ac:dyDescent="0.5">
      <c r="A635" s="5">
        <v>109</v>
      </c>
      <c r="B635" s="8">
        <v>1201700020002</v>
      </c>
      <c r="C635" s="7" t="s">
        <v>2468</v>
      </c>
      <c r="D635" s="7" t="s">
        <v>1376</v>
      </c>
      <c r="F635" s="7">
        <v>2015</v>
      </c>
      <c r="G635" s="7" t="s">
        <v>19</v>
      </c>
      <c r="H635" s="7" t="s">
        <v>1377</v>
      </c>
      <c r="I635" s="8" t="s">
        <v>1378</v>
      </c>
      <c r="J635" s="7" t="s">
        <v>263</v>
      </c>
      <c r="K635" s="7" t="s">
        <v>1225</v>
      </c>
      <c r="L635" s="2" t="s">
        <v>1531</v>
      </c>
      <c r="M635" s="2" t="s">
        <v>2705</v>
      </c>
      <c r="N635" s="2"/>
      <c r="O635" s="2"/>
      <c r="P635" s="2"/>
      <c r="Q635" s="2"/>
      <c r="R635" s="2"/>
      <c r="S635" s="2"/>
      <c r="X635" s="5" t="s">
        <v>1513</v>
      </c>
      <c r="Z635" s="2"/>
    </row>
    <row r="636" spans="1:26" ht="30" hidden="1" customHeight="1" x14ac:dyDescent="0.5">
      <c r="A636" s="5">
        <v>110</v>
      </c>
      <c r="B636" s="8">
        <v>1201700020002</v>
      </c>
      <c r="C636" s="7" t="s">
        <v>2468</v>
      </c>
      <c r="D636" s="7" t="s">
        <v>1379</v>
      </c>
      <c r="F636" s="7">
        <v>2015</v>
      </c>
      <c r="G636" s="7" t="s">
        <v>19</v>
      </c>
      <c r="H636" s="7" t="s">
        <v>1377</v>
      </c>
      <c r="I636" s="8" t="s">
        <v>1380</v>
      </c>
      <c r="J636" s="7" t="s">
        <v>263</v>
      </c>
      <c r="K636" s="7" t="s">
        <v>1225</v>
      </c>
      <c r="L636" s="2" t="s">
        <v>1498</v>
      </c>
      <c r="M636" s="2" t="s">
        <v>2066</v>
      </c>
      <c r="N636" s="2" t="s">
        <v>1566</v>
      </c>
      <c r="O636" s="2" t="s">
        <v>2255</v>
      </c>
      <c r="P636" s="2"/>
      <c r="Q636" s="2"/>
      <c r="R636" s="2" t="s">
        <v>2076</v>
      </c>
      <c r="S636" s="2" t="s">
        <v>1716</v>
      </c>
      <c r="X636" s="5" t="s">
        <v>1514</v>
      </c>
      <c r="Z636" s="2"/>
    </row>
    <row r="637" spans="1:26" ht="30" customHeight="1" x14ac:dyDescent="0.5">
      <c r="A637" s="5">
        <v>111</v>
      </c>
      <c r="B637" s="8">
        <v>1201700020002</v>
      </c>
      <c r="C637" s="7" t="s">
        <v>2468</v>
      </c>
      <c r="D637" s="7" t="s">
        <v>1381</v>
      </c>
      <c r="F637" s="7">
        <v>2015</v>
      </c>
      <c r="G637" s="7" t="s">
        <v>19</v>
      </c>
      <c r="H637" s="7" t="s">
        <v>1377</v>
      </c>
      <c r="I637" s="8" t="s">
        <v>1382</v>
      </c>
      <c r="J637" s="7" t="s">
        <v>263</v>
      </c>
      <c r="K637" s="7" t="s">
        <v>1225</v>
      </c>
      <c r="L637" s="2" t="s">
        <v>1537</v>
      </c>
      <c r="M637" s="11" t="s">
        <v>1548</v>
      </c>
      <c r="N637" s="2" t="s">
        <v>1615</v>
      </c>
      <c r="O637" s="2" t="s">
        <v>2706</v>
      </c>
      <c r="P637" s="2" t="s">
        <v>2701</v>
      </c>
      <c r="Q637" s="2" t="s">
        <v>2534</v>
      </c>
      <c r="R637" s="2" t="s">
        <v>2141</v>
      </c>
      <c r="S637" s="2" t="s">
        <v>2040</v>
      </c>
      <c r="X637" s="5" t="s">
        <v>1515</v>
      </c>
      <c r="Z637" s="2"/>
    </row>
    <row r="638" spans="1:26" ht="30" hidden="1" customHeight="1" x14ac:dyDescent="0.5">
      <c r="A638" s="5">
        <v>115</v>
      </c>
      <c r="B638" s="118">
        <v>1201700020002</v>
      </c>
      <c r="C638" s="119" t="s">
        <v>2468</v>
      </c>
      <c r="D638" s="119" t="s">
        <v>1383</v>
      </c>
      <c r="E638" s="120"/>
      <c r="F638" s="119">
        <v>2015</v>
      </c>
      <c r="G638" s="119" t="s">
        <v>19</v>
      </c>
      <c r="H638" s="119" t="s">
        <v>1377</v>
      </c>
      <c r="I638" s="118" t="s">
        <v>1384</v>
      </c>
      <c r="J638" s="119" t="s">
        <v>263</v>
      </c>
      <c r="K638" s="119" t="s">
        <v>1225</v>
      </c>
      <c r="L638" s="121" t="s">
        <v>1506</v>
      </c>
      <c r="M638" s="2" t="s">
        <v>2705</v>
      </c>
      <c r="N638" s="121"/>
      <c r="O638" s="121"/>
      <c r="P638" s="121"/>
      <c r="Q638" s="121"/>
      <c r="R638" s="121"/>
      <c r="S638" s="121"/>
      <c r="X638" s="5" t="s">
        <v>1519</v>
      </c>
      <c r="Z638" s="121" t="s">
        <v>2260</v>
      </c>
    </row>
    <row r="639" spans="1:26" ht="30.6" hidden="1" customHeight="1" x14ac:dyDescent="0.5">
      <c r="A639" s="7"/>
      <c r="B639" s="8">
        <v>1306700010007</v>
      </c>
      <c r="C639" s="102" t="s">
        <v>2588</v>
      </c>
      <c r="D639" s="7" t="s">
        <v>2589</v>
      </c>
      <c r="F639" s="7">
        <v>2023</v>
      </c>
      <c r="G639" s="7" t="s">
        <v>19</v>
      </c>
      <c r="H639" s="7" t="s">
        <v>423</v>
      </c>
      <c r="I639" s="7" t="s">
        <v>2591</v>
      </c>
      <c r="J639" s="7" t="s">
        <v>263</v>
      </c>
      <c r="K639" s="7" t="s">
        <v>453</v>
      </c>
      <c r="L639" s="2" t="s">
        <v>1482</v>
      </c>
      <c r="M639" s="2" t="s">
        <v>2705</v>
      </c>
      <c r="N639" s="122"/>
      <c r="O639" s="122"/>
      <c r="P639" s="122"/>
      <c r="Q639" s="122"/>
      <c r="R639" s="122"/>
      <c r="S639" s="122"/>
      <c r="T639" s="122"/>
      <c r="U639" s="122"/>
      <c r="V639" s="122"/>
      <c r="W639" s="122"/>
      <c r="X639" s="122"/>
      <c r="Y639" s="122" t="s">
        <v>1911</v>
      </c>
      <c r="Z639" s="122"/>
    </row>
    <row r="640" spans="1:26" ht="31.2" hidden="1" customHeight="1" x14ac:dyDescent="0.5">
      <c r="A640" s="7"/>
      <c r="B640" s="8">
        <v>1306700010007</v>
      </c>
      <c r="C640" s="102" t="s">
        <v>2588</v>
      </c>
      <c r="D640" s="7" t="s">
        <v>2590</v>
      </c>
      <c r="F640" s="7">
        <v>2023</v>
      </c>
      <c r="G640" s="7" t="s">
        <v>19</v>
      </c>
      <c r="H640" s="7" t="s">
        <v>423</v>
      </c>
      <c r="I640" s="7" t="s">
        <v>2592</v>
      </c>
      <c r="J640" s="7" t="s">
        <v>263</v>
      </c>
      <c r="K640" s="7" t="s">
        <v>583</v>
      </c>
      <c r="L640" s="2" t="s">
        <v>1513</v>
      </c>
      <c r="M640" s="2" t="s">
        <v>2705</v>
      </c>
      <c r="N640" s="122"/>
      <c r="O640" s="122"/>
      <c r="P640" s="122"/>
      <c r="Q640" s="122"/>
      <c r="R640" s="122"/>
      <c r="S640" s="122"/>
      <c r="T640" s="122"/>
      <c r="U640" s="2"/>
      <c r="V640" s="122"/>
      <c r="W640" s="122"/>
      <c r="X640" s="122"/>
      <c r="Y640" s="122"/>
      <c r="Z640" s="122"/>
    </row>
    <row r="641" spans="2:11" hidden="1" x14ac:dyDescent="0.5">
      <c r="B641" s="4"/>
      <c r="C641" s="4"/>
      <c r="D641" s="4"/>
      <c r="E641" s="108"/>
      <c r="F641" s="4"/>
      <c r="G641" s="4"/>
      <c r="H641" s="4"/>
      <c r="I641" s="4"/>
      <c r="J641" s="4"/>
      <c r="K641" s="4"/>
    </row>
    <row r="642" spans="2:11" hidden="1" x14ac:dyDescent="0.5">
      <c r="B642" s="4"/>
      <c r="C642" s="4"/>
      <c r="D642" s="4"/>
      <c r="E642" s="108"/>
      <c r="F642" s="4"/>
      <c r="G642" s="4"/>
      <c r="H642" s="4"/>
      <c r="I642" s="4"/>
      <c r="J642" s="4"/>
      <c r="K642" s="4"/>
    </row>
    <row r="643" spans="2:11" hidden="1" x14ac:dyDescent="0.5">
      <c r="B643" s="4"/>
      <c r="C643" s="4"/>
      <c r="D643" s="4"/>
      <c r="E643" s="108"/>
      <c r="F643" s="4"/>
      <c r="G643" s="4"/>
      <c r="H643" s="4"/>
      <c r="I643" s="4"/>
      <c r="J643" s="4"/>
      <c r="K643" s="4"/>
    </row>
    <row r="644" spans="2:11" hidden="1" x14ac:dyDescent="0.5">
      <c r="B644" s="4"/>
      <c r="C644" s="4"/>
      <c r="D644" s="4"/>
      <c r="E644" s="108"/>
      <c r="F644" s="4"/>
      <c r="G644" s="4"/>
      <c r="H644" s="4"/>
      <c r="I644" s="4"/>
      <c r="J644" s="4"/>
      <c r="K644" s="4"/>
    </row>
    <row r="645" spans="2:11" hidden="1" x14ac:dyDescent="0.5">
      <c r="B645" s="4"/>
      <c r="C645" s="4"/>
      <c r="D645" s="4"/>
      <c r="E645" s="108"/>
      <c r="F645" s="4"/>
      <c r="G645" s="4"/>
      <c r="H645" s="4"/>
      <c r="I645" s="4"/>
      <c r="J645" s="4"/>
      <c r="K645" s="4"/>
    </row>
    <row r="646" spans="2:11" hidden="1" x14ac:dyDescent="0.5">
      <c r="B646" s="4"/>
      <c r="C646" s="4"/>
      <c r="D646" s="4"/>
      <c r="E646" s="108"/>
      <c r="F646" s="4"/>
      <c r="G646" s="4"/>
      <c r="H646" s="4"/>
      <c r="I646" s="4"/>
      <c r="J646" s="4"/>
      <c r="K646" s="4"/>
    </row>
    <row r="647" spans="2:11" hidden="1" x14ac:dyDescent="0.5">
      <c r="B647" s="4"/>
      <c r="C647" s="4"/>
      <c r="D647" s="4"/>
      <c r="E647" s="108"/>
      <c r="F647" s="4"/>
      <c r="G647" s="4"/>
      <c r="H647" s="4"/>
      <c r="I647" s="4"/>
      <c r="J647" s="4"/>
      <c r="K647" s="4"/>
    </row>
    <row r="648" spans="2:11" hidden="1" x14ac:dyDescent="0.5">
      <c r="B648" s="4"/>
      <c r="C648" s="4"/>
      <c r="D648" s="4"/>
      <c r="E648" s="108"/>
      <c r="F648" s="4"/>
      <c r="G648" s="4"/>
      <c r="H648" s="4"/>
      <c r="I648" s="4"/>
      <c r="J648" s="4"/>
      <c r="K648" s="4"/>
    </row>
    <row r="649" spans="2:11" hidden="1" x14ac:dyDescent="0.5">
      <c r="B649" s="4"/>
      <c r="C649" s="4"/>
      <c r="D649" s="4"/>
      <c r="E649" s="108"/>
      <c r="F649" s="4"/>
      <c r="G649" s="4"/>
      <c r="H649" s="4"/>
      <c r="I649" s="4"/>
      <c r="J649" s="4"/>
      <c r="K649" s="4"/>
    </row>
    <row r="650" spans="2:11" hidden="1" x14ac:dyDescent="0.5">
      <c r="B650" s="4"/>
      <c r="C650" s="4"/>
      <c r="D650" s="4"/>
      <c r="E650" s="108"/>
      <c r="F650" s="4"/>
      <c r="G650" s="4"/>
      <c r="H650" s="4"/>
      <c r="I650" s="4"/>
      <c r="J650" s="4"/>
      <c r="K650" s="4"/>
    </row>
    <row r="651" spans="2:11" hidden="1" x14ac:dyDescent="0.5">
      <c r="B651" s="4"/>
      <c r="C651" s="4"/>
      <c r="D651" s="4"/>
      <c r="E651" s="108"/>
      <c r="F651" s="4"/>
      <c r="G651" s="4"/>
      <c r="H651" s="4"/>
      <c r="I651" s="4"/>
      <c r="J651" s="4"/>
      <c r="K651" s="4"/>
    </row>
    <row r="652" spans="2:11" hidden="1" x14ac:dyDescent="0.5">
      <c r="B652" s="4"/>
      <c r="C652" s="4"/>
      <c r="D652" s="4"/>
      <c r="E652" s="108"/>
      <c r="F652" s="4"/>
      <c r="G652" s="4"/>
      <c r="H652" s="4"/>
      <c r="I652" s="4"/>
      <c r="J652" s="4"/>
      <c r="K652" s="4"/>
    </row>
    <row r="653" spans="2:11" hidden="1" x14ac:dyDescent="0.5">
      <c r="B653" s="4"/>
      <c r="C653" s="4"/>
      <c r="D653" s="4"/>
      <c r="E653" s="108"/>
      <c r="F653" s="4"/>
      <c r="G653" s="4"/>
      <c r="H653" s="4"/>
      <c r="I653" s="4"/>
      <c r="J653" s="4"/>
      <c r="K653" s="4"/>
    </row>
    <row r="654" spans="2:11" hidden="1" x14ac:dyDescent="0.5">
      <c r="B654" s="4"/>
      <c r="C654" s="4"/>
      <c r="D654" s="4"/>
      <c r="E654" s="108"/>
      <c r="F654" s="4"/>
      <c r="G654" s="4"/>
      <c r="H654" s="4"/>
      <c r="I654" s="4"/>
      <c r="J654" s="4"/>
      <c r="K654" s="4"/>
    </row>
    <row r="655" spans="2:11" hidden="1" x14ac:dyDescent="0.5">
      <c r="B655" s="4"/>
      <c r="C655" s="4"/>
      <c r="D655" s="4"/>
      <c r="E655" s="108"/>
      <c r="F655" s="4"/>
      <c r="G655" s="4"/>
      <c r="H655" s="4"/>
      <c r="I655" s="4"/>
      <c r="J655" s="4"/>
      <c r="K655" s="4"/>
    </row>
    <row r="656" spans="2:11" hidden="1" x14ac:dyDescent="0.5">
      <c r="B656" s="4"/>
      <c r="C656" s="4"/>
      <c r="D656" s="4"/>
      <c r="E656" s="108"/>
      <c r="F656" s="4"/>
      <c r="G656" s="4"/>
      <c r="H656" s="4"/>
      <c r="I656" s="4"/>
      <c r="J656" s="4"/>
      <c r="K656" s="4"/>
    </row>
    <row r="657" spans="2:11" hidden="1" x14ac:dyDescent="0.5">
      <c r="B657" s="4"/>
      <c r="C657" s="4"/>
      <c r="D657" s="4"/>
      <c r="E657" s="108"/>
      <c r="F657" s="4"/>
      <c r="G657" s="4"/>
      <c r="H657" s="4"/>
      <c r="I657" s="4"/>
      <c r="J657" s="4"/>
      <c r="K657" s="4"/>
    </row>
    <row r="658" spans="2:11" hidden="1" x14ac:dyDescent="0.5">
      <c r="B658" s="4"/>
      <c r="C658" s="4"/>
      <c r="D658" s="4"/>
      <c r="E658" s="108"/>
      <c r="F658" s="4"/>
      <c r="G658" s="4"/>
      <c r="H658" s="4"/>
      <c r="I658" s="4"/>
      <c r="J658" s="4"/>
      <c r="K658" s="4"/>
    </row>
    <row r="659" spans="2:11" hidden="1" x14ac:dyDescent="0.5">
      <c r="B659" s="4"/>
      <c r="C659" s="4"/>
      <c r="D659" s="4"/>
      <c r="E659" s="108"/>
      <c r="F659" s="4"/>
      <c r="G659" s="4"/>
      <c r="H659" s="4"/>
      <c r="I659" s="4"/>
      <c r="J659" s="4"/>
      <c r="K659" s="4"/>
    </row>
    <row r="660" spans="2:11" hidden="1" x14ac:dyDescent="0.5">
      <c r="B660" s="4"/>
      <c r="C660" s="4"/>
      <c r="D660" s="4"/>
      <c r="E660" s="108"/>
      <c r="F660" s="4"/>
      <c r="G660" s="4"/>
      <c r="H660" s="4"/>
      <c r="I660" s="4"/>
      <c r="J660" s="4"/>
      <c r="K660" s="4"/>
    </row>
    <row r="661" spans="2:11" hidden="1" x14ac:dyDescent="0.5">
      <c r="B661" s="4"/>
      <c r="C661" s="4"/>
      <c r="D661" s="4"/>
      <c r="E661" s="108"/>
      <c r="F661" s="4"/>
      <c r="G661" s="4"/>
      <c r="H661" s="4"/>
      <c r="I661" s="4"/>
      <c r="J661" s="4"/>
      <c r="K661" s="4"/>
    </row>
    <row r="662" spans="2:11" hidden="1" x14ac:dyDescent="0.5">
      <c r="B662" s="4"/>
      <c r="C662" s="4"/>
      <c r="D662" s="4"/>
      <c r="E662" s="108"/>
      <c r="F662" s="4"/>
      <c r="G662" s="4"/>
      <c r="H662" s="4"/>
      <c r="I662" s="4"/>
      <c r="J662" s="4"/>
      <c r="K662" s="4"/>
    </row>
    <row r="663" spans="2:11" hidden="1" x14ac:dyDescent="0.5">
      <c r="B663" s="4"/>
      <c r="C663" s="4"/>
      <c r="D663" s="4"/>
      <c r="E663" s="108"/>
      <c r="F663" s="4"/>
      <c r="G663" s="4"/>
      <c r="H663" s="4"/>
      <c r="I663" s="4"/>
      <c r="J663" s="4"/>
      <c r="K663" s="4"/>
    </row>
    <row r="664" spans="2:11" hidden="1" x14ac:dyDescent="0.5">
      <c r="B664" s="4"/>
      <c r="C664" s="4"/>
      <c r="D664" s="4"/>
      <c r="E664" s="108"/>
      <c r="F664" s="4"/>
      <c r="G664" s="4"/>
      <c r="H664" s="4"/>
      <c r="I664" s="4"/>
      <c r="J664" s="4"/>
      <c r="K664" s="4"/>
    </row>
    <row r="665" spans="2:11" hidden="1" x14ac:dyDescent="0.5">
      <c r="B665" s="4"/>
      <c r="C665" s="4"/>
      <c r="D665" s="4"/>
      <c r="E665" s="108"/>
      <c r="F665" s="4"/>
      <c r="G665" s="4"/>
      <c r="H665" s="4"/>
      <c r="I665" s="4"/>
      <c r="J665" s="4"/>
      <c r="K665" s="4"/>
    </row>
    <row r="666" spans="2:11" hidden="1" x14ac:dyDescent="0.5">
      <c r="B666" s="4"/>
      <c r="C666" s="4"/>
      <c r="D666" s="4"/>
      <c r="E666" s="108"/>
      <c r="F666" s="4"/>
      <c r="G666" s="4"/>
      <c r="H666" s="4"/>
      <c r="I666" s="4"/>
      <c r="J666" s="4"/>
      <c r="K666" s="4"/>
    </row>
    <row r="667" spans="2:11" hidden="1" x14ac:dyDescent="0.5">
      <c r="B667" s="4"/>
      <c r="C667" s="4"/>
      <c r="D667" s="4"/>
      <c r="E667" s="108"/>
      <c r="F667" s="4"/>
      <c r="G667" s="4"/>
      <c r="H667" s="4"/>
      <c r="I667" s="4"/>
      <c r="J667" s="4"/>
      <c r="K667" s="4"/>
    </row>
    <row r="668" spans="2:11" hidden="1" x14ac:dyDescent="0.5">
      <c r="B668" s="4"/>
      <c r="C668" s="4"/>
      <c r="D668" s="4"/>
      <c r="E668" s="108"/>
      <c r="F668" s="4"/>
      <c r="G668" s="4"/>
      <c r="H668" s="4"/>
      <c r="I668" s="4"/>
      <c r="J668" s="4"/>
      <c r="K668" s="4"/>
    </row>
    <row r="669" spans="2:11" hidden="1" x14ac:dyDescent="0.5">
      <c r="B669" s="4"/>
      <c r="C669" s="4"/>
      <c r="D669" s="4"/>
      <c r="E669" s="108"/>
      <c r="F669" s="4"/>
      <c r="G669" s="4"/>
      <c r="H669" s="4"/>
      <c r="I669" s="4"/>
      <c r="J669" s="4"/>
      <c r="K669" s="4"/>
    </row>
    <row r="670" spans="2:11" hidden="1" x14ac:dyDescent="0.5">
      <c r="B670" s="4"/>
      <c r="C670" s="4"/>
      <c r="D670" s="4"/>
      <c r="E670" s="108"/>
      <c r="F670" s="4"/>
      <c r="G670" s="4"/>
      <c r="H670" s="4"/>
      <c r="I670" s="4"/>
      <c r="J670" s="4"/>
      <c r="K670" s="4"/>
    </row>
    <row r="671" spans="2:11" hidden="1" x14ac:dyDescent="0.5">
      <c r="B671" s="4"/>
      <c r="C671" s="4"/>
      <c r="D671" s="4"/>
      <c r="E671" s="108"/>
      <c r="F671" s="4"/>
      <c r="G671" s="4"/>
      <c r="H671" s="4"/>
      <c r="I671" s="4"/>
      <c r="J671" s="4"/>
      <c r="K671" s="4"/>
    </row>
    <row r="672" spans="2:11" hidden="1" x14ac:dyDescent="0.5">
      <c r="B672" s="4"/>
      <c r="C672" s="4"/>
      <c r="D672" s="4"/>
      <c r="E672" s="108"/>
      <c r="F672" s="4"/>
      <c r="G672" s="4"/>
      <c r="H672" s="4"/>
      <c r="I672" s="4"/>
      <c r="J672" s="4"/>
      <c r="K672" s="4"/>
    </row>
    <row r="673" spans="2:11" hidden="1" x14ac:dyDescent="0.5">
      <c r="B673" s="4"/>
      <c r="C673" s="4"/>
      <c r="D673" s="4"/>
      <c r="E673" s="108"/>
      <c r="F673" s="4"/>
      <c r="G673" s="4"/>
      <c r="H673" s="4"/>
      <c r="I673" s="4"/>
      <c r="J673" s="4"/>
      <c r="K673" s="4"/>
    </row>
    <row r="674" spans="2:11" hidden="1" x14ac:dyDescent="0.5">
      <c r="B674" s="4"/>
      <c r="C674" s="4"/>
      <c r="D674" s="4"/>
      <c r="E674" s="108"/>
      <c r="F674" s="4"/>
      <c r="G674" s="4"/>
      <c r="H674" s="4"/>
      <c r="I674" s="4"/>
      <c r="J674" s="4"/>
      <c r="K674" s="4"/>
    </row>
    <row r="675" spans="2:11" hidden="1" x14ac:dyDescent="0.5">
      <c r="B675" s="4"/>
      <c r="C675" s="4"/>
      <c r="D675" s="4"/>
      <c r="E675" s="108"/>
      <c r="F675" s="4"/>
      <c r="G675" s="4"/>
      <c r="H675" s="4"/>
      <c r="I675" s="4"/>
      <c r="J675" s="4"/>
      <c r="K675" s="4"/>
    </row>
    <row r="676" spans="2:11" hidden="1" x14ac:dyDescent="0.5">
      <c r="B676" s="4"/>
      <c r="C676" s="4"/>
      <c r="D676" s="4"/>
      <c r="E676" s="108"/>
      <c r="F676" s="4"/>
      <c r="G676" s="4"/>
      <c r="H676" s="4"/>
      <c r="I676" s="4"/>
      <c r="J676" s="4"/>
      <c r="K676" s="4"/>
    </row>
    <row r="677" spans="2:11" hidden="1" x14ac:dyDescent="0.5">
      <c r="B677" s="4"/>
      <c r="C677" s="4"/>
      <c r="D677" s="4"/>
      <c r="E677" s="108"/>
      <c r="F677" s="4"/>
      <c r="G677" s="4"/>
      <c r="H677" s="4"/>
      <c r="I677" s="4"/>
      <c r="J677" s="4"/>
      <c r="K677" s="4"/>
    </row>
    <row r="678" spans="2:11" hidden="1" x14ac:dyDescent="0.5">
      <c r="B678" s="4"/>
      <c r="C678" s="4"/>
      <c r="D678" s="4"/>
      <c r="E678" s="108"/>
      <c r="F678" s="4"/>
      <c r="G678" s="4"/>
      <c r="H678" s="4"/>
      <c r="I678" s="4"/>
      <c r="J678" s="4"/>
      <c r="K678" s="4"/>
    </row>
    <row r="679" spans="2:11" hidden="1" x14ac:dyDescent="0.5">
      <c r="B679" s="4"/>
      <c r="C679" s="4"/>
      <c r="D679" s="4"/>
      <c r="E679" s="108"/>
      <c r="F679" s="4"/>
      <c r="G679" s="4"/>
      <c r="H679" s="4"/>
      <c r="I679" s="4"/>
      <c r="J679" s="4"/>
      <c r="K679" s="4"/>
    </row>
    <row r="680" spans="2:11" hidden="1" x14ac:dyDescent="0.5">
      <c r="B680" s="4"/>
      <c r="C680" s="4"/>
      <c r="D680" s="4"/>
      <c r="E680" s="108"/>
      <c r="F680" s="4"/>
      <c r="G680" s="4"/>
      <c r="H680" s="4"/>
      <c r="I680" s="4"/>
      <c r="J680" s="4"/>
      <c r="K680" s="4"/>
    </row>
    <row r="681" spans="2:11" hidden="1" x14ac:dyDescent="0.5">
      <c r="B681" s="4"/>
      <c r="C681" s="4"/>
      <c r="D681" s="4"/>
      <c r="E681" s="108"/>
      <c r="F681" s="4"/>
      <c r="G681" s="4"/>
      <c r="H681" s="4"/>
      <c r="I681" s="4"/>
      <c r="J681" s="4"/>
      <c r="K681" s="4"/>
    </row>
    <row r="682" spans="2:11" hidden="1" x14ac:dyDescent="0.5">
      <c r="B682" s="4"/>
      <c r="C682" s="4"/>
      <c r="D682" s="4"/>
      <c r="E682" s="108"/>
      <c r="F682" s="4"/>
      <c r="G682" s="4"/>
      <c r="H682" s="4"/>
      <c r="I682" s="4"/>
      <c r="J682" s="4"/>
      <c r="K682" s="4"/>
    </row>
    <row r="683" spans="2:11" hidden="1" x14ac:dyDescent="0.5">
      <c r="B683" s="4"/>
      <c r="C683" s="4"/>
      <c r="D683" s="4"/>
      <c r="E683" s="108"/>
      <c r="F683" s="4"/>
      <c r="G683" s="4"/>
      <c r="H683" s="4"/>
      <c r="I683" s="4"/>
      <c r="J683" s="4"/>
      <c r="K683" s="4"/>
    </row>
    <row r="684" spans="2:11" hidden="1" x14ac:dyDescent="0.5">
      <c r="B684" s="4"/>
      <c r="C684" s="4"/>
      <c r="D684" s="4"/>
      <c r="E684" s="108"/>
      <c r="F684" s="4"/>
      <c r="G684" s="4"/>
      <c r="H684" s="4"/>
      <c r="I684" s="4"/>
      <c r="J684" s="4"/>
      <c r="K684" s="4"/>
    </row>
    <row r="685" spans="2:11" hidden="1" x14ac:dyDescent="0.5">
      <c r="B685" s="4"/>
      <c r="C685" s="4"/>
      <c r="D685" s="4"/>
      <c r="E685" s="108"/>
      <c r="F685" s="4"/>
      <c r="G685" s="4"/>
      <c r="H685" s="4"/>
      <c r="I685" s="4"/>
      <c r="J685" s="4"/>
      <c r="K685" s="4"/>
    </row>
    <row r="686" spans="2:11" hidden="1" x14ac:dyDescent="0.5">
      <c r="B686" s="4"/>
      <c r="C686" s="4"/>
      <c r="D686" s="4"/>
      <c r="E686" s="108"/>
      <c r="F686" s="4"/>
      <c r="G686" s="4"/>
      <c r="H686" s="4"/>
      <c r="I686" s="4"/>
      <c r="J686" s="4"/>
      <c r="K686" s="4"/>
    </row>
    <row r="687" spans="2:11" hidden="1" x14ac:dyDescent="0.5">
      <c r="B687" s="4"/>
      <c r="C687" s="4"/>
      <c r="D687" s="4"/>
      <c r="E687" s="108"/>
      <c r="F687" s="4"/>
      <c r="G687" s="4"/>
      <c r="H687" s="4"/>
      <c r="I687" s="4"/>
      <c r="J687" s="4"/>
      <c r="K687" s="4"/>
    </row>
    <row r="688" spans="2:11" hidden="1" x14ac:dyDescent="0.5">
      <c r="B688" s="4"/>
      <c r="C688" s="4"/>
      <c r="D688" s="4"/>
      <c r="E688" s="108"/>
      <c r="F688" s="4"/>
      <c r="G688" s="4"/>
      <c r="H688" s="4"/>
      <c r="I688" s="4"/>
      <c r="J688" s="4"/>
      <c r="K688" s="4"/>
    </row>
    <row r="689" spans="2:11" hidden="1" x14ac:dyDescent="0.5">
      <c r="B689" s="4"/>
      <c r="C689" s="4"/>
      <c r="D689" s="4"/>
      <c r="E689" s="108"/>
      <c r="F689" s="4"/>
      <c r="G689" s="4"/>
      <c r="H689" s="4"/>
      <c r="I689" s="4"/>
      <c r="J689" s="4"/>
      <c r="K689" s="4"/>
    </row>
    <row r="690" spans="2:11" hidden="1" x14ac:dyDescent="0.5">
      <c r="B690" s="4"/>
      <c r="C690" s="4"/>
      <c r="D690" s="4"/>
      <c r="E690" s="108"/>
      <c r="F690" s="4"/>
      <c r="G690" s="4"/>
      <c r="H690" s="4"/>
      <c r="I690" s="4"/>
      <c r="J690" s="4"/>
      <c r="K690" s="4"/>
    </row>
    <row r="691" spans="2:11" hidden="1" x14ac:dyDescent="0.5">
      <c r="B691" s="4"/>
      <c r="C691" s="4"/>
      <c r="D691" s="4"/>
      <c r="E691" s="108"/>
      <c r="F691" s="4"/>
      <c r="G691" s="4"/>
      <c r="H691" s="4"/>
      <c r="I691" s="4"/>
      <c r="J691" s="4"/>
      <c r="K691" s="4"/>
    </row>
    <row r="692" spans="2:11" hidden="1" x14ac:dyDescent="0.5">
      <c r="B692" s="4"/>
      <c r="C692" s="4"/>
      <c r="D692" s="4"/>
      <c r="E692" s="108"/>
      <c r="F692" s="4"/>
      <c r="G692" s="4"/>
      <c r="H692" s="4"/>
      <c r="I692" s="4"/>
      <c r="J692" s="4"/>
      <c r="K692" s="4"/>
    </row>
    <row r="693" spans="2:11" hidden="1" x14ac:dyDescent="0.5">
      <c r="B693" s="4"/>
      <c r="C693" s="4"/>
      <c r="D693" s="4"/>
      <c r="E693" s="108"/>
      <c r="F693" s="4"/>
      <c r="G693" s="4"/>
      <c r="H693" s="4"/>
      <c r="I693" s="4"/>
      <c r="J693" s="4"/>
      <c r="K693" s="4"/>
    </row>
    <row r="694" spans="2:11" hidden="1" x14ac:dyDescent="0.5">
      <c r="B694" s="4"/>
      <c r="C694" s="4"/>
      <c r="D694" s="4"/>
      <c r="E694" s="108"/>
      <c r="F694" s="4"/>
      <c r="G694" s="4"/>
      <c r="H694" s="4"/>
      <c r="I694" s="4"/>
      <c r="J694" s="4"/>
      <c r="K694" s="4"/>
    </row>
    <row r="695" spans="2:11" hidden="1" x14ac:dyDescent="0.5">
      <c r="B695" s="4"/>
      <c r="C695" s="4"/>
      <c r="D695" s="4"/>
      <c r="E695" s="108"/>
      <c r="F695" s="4"/>
      <c r="G695" s="4"/>
      <c r="H695" s="4"/>
      <c r="I695" s="4"/>
      <c r="J695" s="4"/>
      <c r="K695" s="4"/>
    </row>
    <row r="696" spans="2:11" hidden="1" x14ac:dyDescent="0.5">
      <c r="B696" s="4"/>
      <c r="C696" s="4"/>
      <c r="D696" s="4"/>
      <c r="E696" s="108"/>
      <c r="F696" s="4"/>
      <c r="G696" s="4"/>
      <c r="H696" s="4"/>
      <c r="I696" s="4"/>
      <c r="J696" s="4"/>
      <c r="K696" s="4"/>
    </row>
    <row r="697" spans="2:11" hidden="1" x14ac:dyDescent="0.5">
      <c r="B697" s="4"/>
      <c r="C697" s="4"/>
      <c r="D697" s="4"/>
      <c r="E697" s="108"/>
      <c r="F697" s="4"/>
      <c r="G697" s="4"/>
      <c r="H697" s="4"/>
      <c r="I697" s="4"/>
      <c r="J697" s="4"/>
      <c r="K697" s="4"/>
    </row>
    <row r="698" spans="2:11" hidden="1" x14ac:dyDescent="0.5">
      <c r="B698" s="4"/>
      <c r="C698" s="4"/>
      <c r="D698" s="4"/>
      <c r="E698" s="108"/>
      <c r="F698" s="4"/>
      <c r="G698" s="4"/>
      <c r="H698" s="4"/>
      <c r="I698" s="4"/>
      <c r="J698" s="4"/>
      <c r="K698" s="4"/>
    </row>
    <row r="699" spans="2:11" hidden="1" x14ac:dyDescent="0.5">
      <c r="B699" s="4"/>
      <c r="C699" s="4"/>
      <c r="D699" s="4"/>
      <c r="E699" s="108"/>
      <c r="F699" s="4"/>
      <c r="G699" s="4"/>
      <c r="H699" s="4"/>
      <c r="I699" s="4"/>
      <c r="J699" s="4"/>
      <c r="K699" s="4"/>
    </row>
    <row r="700" spans="2:11" hidden="1" x14ac:dyDescent="0.5">
      <c r="B700" s="4"/>
      <c r="C700" s="4"/>
      <c r="D700" s="4"/>
      <c r="E700" s="108"/>
      <c r="F700" s="4"/>
      <c r="G700" s="4"/>
      <c r="H700" s="4"/>
      <c r="I700" s="4"/>
      <c r="J700" s="4"/>
      <c r="K700" s="4"/>
    </row>
    <row r="701" spans="2:11" hidden="1" x14ac:dyDescent="0.5">
      <c r="B701" s="4"/>
      <c r="C701" s="4"/>
      <c r="D701" s="4"/>
      <c r="E701" s="108"/>
      <c r="F701" s="4"/>
      <c r="G701" s="4"/>
      <c r="H701" s="4"/>
      <c r="I701" s="4"/>
      <c r="J701" s="4"/>
      <c r="K701" s="4"/>
    </row>
    <row r="702" spans="2:11" hidden="1" x14ac:dyDescent="0.5">
      <c r="B702" s="4"/>
      <c r="C702" s="4"/>
      <c r="D702" s="4"/>
      <c r="E702" s="108"/>
      <c r="F702" s="4"/>
      <c r="G702" s="4"/>
      <c r="H702" s="4"/>
      <c r="I702" s="4"/>
      <c r="J702" s="4"/>
      <c r="K702" s="4"/>
    </row>
    <row r="703" spans="2:11" hidden="1" x14ac:dyDescent="0.5">
      <c r="B703" s="4"/>
      <c r="C703" s="4"/>
      <c r="D703" s="4"/>
      <c r="E703" s="108"/>
      <c r="F703" s="4"/>
      <c r="G703" s="4"/>
      <c r="H703" s="4"/>
      <c r="I703" s="4"/>
      <c r="J703" s="4"/>
      <c r="K703" s="4"/>
    </row>
    <row r="704" spans="2:11" hidden="1" x14ac:dyDescent="0.5">
      <c r="B704" s="4"/>
      <c r="C704" s="4"/>
      <c r="D704" s="4"/>
      <c r="E704" s="108"/>
      <c r="F704" s="4"/>
      <c r="G704" s="4"/>
      <c r="H704" s="4"/>
      <c r="I704" s="4"/>
      <c r="J704" s="4"/>
      <c r="K704" s="4"/>
    </row>
    <row r="705" spans="2:21" hidden="1" x14ac:dyDescent="0.5">
      <c r="B705" s="4"/>
      <c r="C705" s="4"/>
      <c r="D705" s="4"/>
      <c r="E705" s="108"/>
      <c r="F705" s="4"/>
      <c r="G705" s="4"/>
      <c r="H705" s="4"/>
      <c r="I705" s="4"/>
      <c r="J705" s="4"/>
      <c r="K705" s="4"/>
    </row>
    <row r="706" spans="2:21" hidden="1" x14ac:dyDescent="0.5">
      <c r="B706" s="4"/>
      <c r="C706" s="4"/>
      <c r="D706" s="4"/>
      <c r="E706" s="108"/>
      <c r="F706" s="4"/>
      <c r="G706" s="4"/>
      <c r="H706" s="4"/>
      <c r="I706" s="4"/>
      <c r="J706" s="4"/>
      <c r="K706" s="4"/>
    </row>
    <row r="707" spans="2:21" hidden="1" x14ac:dyDescent="0.5">
      <c r="B707" s="4"/>
      <c r="C707" s="4"/>
      <c r="D707" s="4"/>
      <c r="E707" s="108"/>
      <c r="F707" s="4"/>
      <c r="G707" s="4"/>
      <c r="H707" s="4"/>
      <c r="I707" s="4"/>
      <c r="J707" s="4"/>
      <c r="K707" s="4"/>
    </row>
    <row r="708" spans="2:21" hidden="1" x14ac:dyDescent="0.5">
      <c r="B708" s="4"/>
      <c r="C708" s="4"/>
      <c r="D708" s="4"/>
      <c r="E708" s="108"/>
      <c r="F708" s="4"/>
      <c r="G708" s="4"/>
      <c r="H708" s="4"/>
      <c r="I708" s="4"/>
      <c r="J708" s="4"/>
      <c r="K708" s="4"/>
    </row>
    <row r="709" spans="2:21" hidden="1" x14ac:dyDescent="0.5">
      <c r="B709" s="4"/>
      <c r="C709" s="4"/>
      <c r="D709" s="4"/>
      <c r="E709" s="108"/>
      <c r="F709" s="4"/>
      <c r="G709" s="4"/>
      <c r="H709" s="4"/>
      <c r="I709" s="4"/>
      <c r="J709" s="4"/>
      <c r="K709" s="4"/>
    </row>
    <row r="710" spans="2:21" hidden="1" x14ac:dyDescent="0.5">
      <c r="B710" s="4"/>
      <c r="C710" s="4"/>
      <c r="D710" s="4"/>
      <c r="E710" s="108"/>
      <c r="F710" s="4"/>
      <c r="G710" s="4"/>
      <c r="H710" s="4"/>
      <c r="I710" s="4"/>
      <c r="J710" s="4"/>
      <c r="K710" s="4"/>
    </row>
    <row r="711" spans="2:21" hidden="1" x14ac:dyDescent="0.5">
      <c r="B711" s="4"/>
      <c r="C711" s="4"/>
      <c r="D711" s="4"/>
      <c r="E711" s="108"/>
      <c r="F711" s="4"/>
      <c r="G711" s="4"/>
      <c r="H711" s="4"/>
      <c r="I711" s="4"/>
      <c r="J711" s="4"/>
      <c r="K711" s="4"/>
    </row>
    <row r="712" spans="2:21" hidden="1" x14ac:dyDescent="0.5">
      <c r="B712" s="4"/>
      <c r="C712" s="4"/>
      <c r="D712" s="4"/>
      <c r="E712" s="108"/>
      <c r="F712" s="4"/>
      <c r="G712" s="4"/>
      <c r="H712" s="4"/>
      <c r="I712" s="4"/>
      <c r="J712" s="4"/>
      <c r="K712" s="4"/>
    </row>
    <row r="713" spans="2:21" hidden="1" x14ac:dyDescent="0.5">
      <c r="B713" s="4"/>
      <c r="C713" s="4"/>
      <c r="D713" s="4"/>
      <c r="E713" s="108"/>
      <c r="F713" s="4"/>
      <c r="G713" s="4"/>
      <c r="H713" s="4"/>
      <c r="I713" s="4"/>
      <c r="J713" s="4"/>
      <c r="K713" s="4"/>
    </row>
    <row r="714" spans="2:21" hidden="1" x14ac:dyDescent="0.5">
      <c r="B714" s="4"/>
      <c r="C714" s="4"/>
      <c r="D714" s="4"/>
      <c r="E714" s="108"/>
      <c r="F714" s="4"/>
      <c r="G714" s="4"/>
      <c r="H714" s="4"/>
      <c r="I714" s="4"/>
      <c r="J714" s="4"/>
      <c r="K714" s="4"/>
      <c r="U714" s="4"/>
    </row>
    <row r="715" spans="2:21" hidden="1" x14ac:dyDescent="0.5">
      <c r="B715" s="4"/>
      <c r="C715" s="4"/>
      <c r="D715" s="4"/>
      <c r="E715" s="108"/>
      <c r="F715" s="4"/>
      <c r="G715" s="4"/>
      <c r="H715" s="4"/>
      <c r="I715" s="4"/>
      <c r="J715" s="4"/>
      <c r="K715" s="4"/>
      <c r="U715" s="4"/>
    </row>
    <row r="716" spans="2:21" hidden="1" x14ac:dyDescent="0.5">
      <c r="B716" s="4"/>
      <c r="C716" s="4"/>
      <c r="D716" s="4"/>
      <c r="E716" s="108"/>
      <c r="F716" s="4"/>
      <c r="G716" s="4"/>
      <c r="H716" s="4"/>
      <c r="I716" s="4"/>
      <c r="J716" s="4"/>
      <c r="K716" s="4"/>
      <c r="U716" s="4"/>
    </row>
    <row r="717" spans="2:21" hidden="1" x14ac:dyDescent="0.5">
      <c r="B717" s="4"/>
      <c r="C717" s="4"/>
      <c r="D717" s="4"/>
      <c r="E717" s="108"/>
      <c r="F717" s="4"/>
      <c r="G717" s="4"/>
      <c r="H717" s="4"/>
      <c r="I717" s="4"/>
      <c r="J717" s="4"/>
      <c r="K717" s="4"/>
      <c r="U717" s="4"/>
    </row>
    <row r="718" spans="2:21" hidden="1" x14ac:dyDescent="0.5">
      <c r="B718" s="4"/>
      <c r="C718" s="4"/>
      <c r="D718" s="4"/>
      <c r="E718" s="108"/>
      <c r="F718" s="4"/>
      <c r="G718" s="4"/>
      <c r="H718" s="4"/>
      <c r="I718" s="4"/>
      <c r="J718" s="4"/>
      <c r="K718" s="4"/>
      <c r="U718" s="4"/>
    </row>
    <row r="719" spans="2:21" hidden="1" x14ac:dyDescent="0.5">
      <c r="B719" s="4"/>
      <c r="C719" s="4"/>
      <c r="D719" s="4"/>
      <c r="E719" s="108"/>
      <c r="F719" s="4"/>
      <c r="G719" s="4"/>
      <c r="H719" s="4"/>
      <c r="I719" s="4"/>
      <c r="J719" s="4"/>
      <c r="K719" s="4"/>
      <c r="U719" s="4"/>
    </row>
    <row r="720" spans="2:21" hidden="1" x14ac:dyDescent="0.5">
      <c r="B720" s="4"/>
      <c r="C720" s="4"/>
      <c r="D720" s="4"/>
      <c r="E720" s="108"/>
      <c r="F720" s="4"/>
      <c r="G720" s="4"/>
      <c r="H720" s="4"/>
      <c r="I720" s="4"/>
      <c r="J720" s="4"/>
      <c r="K720" s="4"/>
      <c r="U720" s="4"/>
    </row>
    <row r="721" spans="5:5" s="4" customFormat="1" hidden="1" x14ac:dyDescent="0.5">
      <c r="E721" s="108"/>
    </row>
    <row r="722" spans="5:5" s="4" customFormat="1" hidden="1" x14ac:dyDescent="0.5">
      <c r="E722" s="108"/>
    </row>
    <row r="723" spans="5:5" s="4" customFormat="1" hidden="1" x14ac:dyDescent="0.5">
      <c r="E723" s="108"/>
    </row>
    <row r="724" spans="5:5" s="4" customFormat="1" hidden="1" x14ac:dyDescent="0.5">
      <c r="E724" s="108"/>
    </row>
    <row r="725" spans="5:5" s="4" customFormat="1" hidden="1" x14ac:dyDescent="0.5">
      <c r="E725" s="108"/>
    </row>
    <row r="726" spans="5:5" s="4" customFormat="1" hidden="1" x14ac:dyDescent="0.5">
      <c r="E726" s="108"/>
    </row>
    <row r="727" spans="5:5" s="4" customFormat="1" hidden="1" x14ac:dyDescent="0.5">
      <c r="E727" s="108"/>
    </row>
    <row r="728" spans="5:5" s="4" customFormat="1" hidden="1" x14ac:dyDescent="0.5">
      <c r="E728" s="108"/>
    </row>
    <row r="729" spans="5:5" s="4" customFormat="1" hidden="1" x14ac:dyDescent="0.5">
      <c r="E729" s="108"/>
    </row>
    <row r="730" spans="5:5" s="4" customFormat="1" hidden="1" x14ac:dyDescent="0.5">
      <c r="E730" s="108"/>
    </row>
    <row r="731" spans="5:5" s="4" customFormat="1" hidden="1" x14ac:dyDescent="0.5">
      <c r="E731" s="108"/>
    </row>
    <row r="732" spans="5:5" s="4" customFormat="1" hidden="1" x14ac:dyDescent="0.5">
      <c r="E732" s="108"/>
    </row>
    <row r="733" spans="5:5" s="4" customFormat="1" hidden="1" x14ac:dyDescent="0.5">
      <c r="E733" s="108"/>
    </row>
    <row r="734" spans="5:5" s="4" customFormat="1" hidden="1" x14ac:dyDescent="0.5">
      <c r="E734" s="108"/>
    </row>
    <row r="735" spans="5:5" s="4" customFormat="1" hidden="1" x14ac:dyDescent="0.5">
      <c r="E735" s="108"/>
    </row>
    <row r="736" spans="5:5" s="4" customFormat="1" hidden="1" x14ac:dyDescent="0.5">
      <c r="E736" s="108"/>
    </row>
    <row r="737" spans="5:5" s="4" customFormat="1" hidden="1" x14ac:dyDescent="0.5">
      <c r="E737" s="108"/>
    </row>
    <row r="738" spans="5:5" s="4" customFormat="1" hidden="1" x14ac:dyDescent="0.5">
      <c r="E738" s="108"/>
    </row>
    <row r="739" spans="5:5" s="4" customFormat="1" hidden="1" x14ac:dyDescent="0.5">
      <c r="E739" s="108"/>
    </row>
    <row r="740" spans="5:5" s="4" customFormat="1" hidden="1" x14ac:dyDescent="0.5">
      <c r="E740" s="108"/>
    </row>
    <row r="741" spans="5:5" s="4" customFormat="1" hidden="1" x14ac:dyDescent="0.5">
      <c r="E741" s="108"/>
    </row>
    <row r="742" spans="5:5" s="4" customFormat="1" hidden="1" x14ac:dyDescent="0.5">
      <c r="E742" s="108"/>
    </row>
    <row r="743" spans="5:5" s="4" customFormat="1" hidden="1" x14ac:dyDescent="0.5">
      <c r="E743" s="108"/>
    </row>
    <row r="744" spans="5:5" s="4" customFormat="1" hidden="1" x14ac:dyDescent="0.5">
      <c r="E744" s="108"/>
    </row>
    <row r="745" spans="5:5" s="4" customFormat="1" hidden="1" x14ac:dyDescent="0.5">
      <c r="E745" s="108"/>
    </row>
    <row r="746" spans="5:5" s="4" customFormat="1" hidden="1" x14ac:dyDescent="0.5">
      <c r="E746" s="108"/>
    </row>
    <row r="747" spans="5:5" s="4" customFormat="1" hidden="1" x14ac:dyDescent="0.5">
      <c r="E747" s="108"/>
    </row>
    <row r="748" spans="5:5" s="4" customFormat="1" hidden="1" x14ac:dyDescent="0.5">
      <c r="E748" s="108"/>
    </row>
    <row r="749" spans="5:5" s="4" customFormat="1" hidden="1" x14ac:dyDescent="0.5">
      <c r="E749" s="108"/>
    </row>
    <row r="750" spans="5:5" s="4" customFormat="1" hidden="1" x14ac:dyDescent="0.5">
      <c r="E750" s="108"/>
    </row>
    <row r="751" spans="5:5" s="4" customFormat="1" hidden="1" x14ac:dyDescent="0.5">
      <c r="E751" s="108"/>
    </row>
    <row r="752" spans="5:5" s="4" customFormat="1" hidden="1" x14ac:dyDescent="0.5">
      <c r="E752" s="108"/>
    </row>
    <row r="753" spans="5:5" s="4" customFormat="1" hidden="1" x14ac:dyDescent="0.5">
      <c r="E753" s="108"/>
    </row>
    <row r="754" spans="5:5" s="4" customFormat="1" hidden="1" x14ac:dyDescent="0.5">
      <c r="E754" s="108"/>
    </row>
    <row r="755" spans="5:5" s="4" customFormat="1" hidden="1" x14ac:dyDescent="0.5">
      <c r="E755" s="108"/>
    </row>
    <row r="756" spans="5:5" s="4" customFormat="1" hidden="1" x14ac:dyDescent="0.5">
      <c r="E756" s="108"/>
    </row>
    <row r="757" spans="5:5" s="4" customFormat="1" hidden="1" x14ac:dyDescent="0.5">
      <c r="E757" s="108"/>
    </row>
    <row r="758" spans="5:5" s="4" customFormat="1" hidden="1" x14ac:dyDescent="0.5">
      <c r="E758" s="108"/>
    </row>
    <row r="759" spans="5:5" s="4" customFormat="1" hidden="1" x14ac:dyDescent="0.5">
      <c r="E759" s="108"/>
    </row>
    <row r="760" spans="5:5" s="4" customFormat="1" hidden="1" x14ac:dyDescent="0.5">
      <c r="E760" s="108"/>
    </row>
    <row r="761" spans="5:5" s="4" customFormat="1" hidden="1" x14ac:dyDescent="0.5">
      <c r="E761" s="108"/>
    </row>
    <row r="762" spans="5:5" s="4" customFormat="1" hidden="1" x14ac:dyDescent="0.5">
      <c r="E762" s="108"/>
    </row>
    <row r="763" spans="5:5" s="4" customFormat="1" hidden="1" x14ac:dyDescent="0.5">
      <c r="E763" s="108"/>
    </row>
    <row r="764" spans="5:5" s="4" customFormat="1" hidden="1" x14ac:dyDescent="0.5">
      <c r="E764" s="108"/>
    </row>
    <row r="765" spans="5:5" s="4" customFormat="1" hidden="1" x14ac:dyDescent="0.5">
      <c r="E765" s="108"/>
    </row>
    <row r="766" spans="5:5" s="4" customFormat="1" hidden="1" x14ac:dyDescent="0.5">
      <c r="E766" s="108"/>
    </row>
    <row r="767" spans="5:5" s="4" customFormat="1" hidden="1" x14ac:dyDescent="0.5">
      <c r="E767" s="108"/>
    </row>
    <row r="768" spans="5:5" s="4" customFormat="1" hidden="1" x14ac:dyDescent="0.5">
      <c r="E768" s="108"/>
    </row>
    <row r="769" spans="5:5" s="4" customFormat="1" hidden="1" x14ac:dyDescent="0.5">
      <c r="E769" s="108"/>
    </row>
    <row r="770" spans="5:5" s="4" customFormat="1" hidden="1" x14ac:dyDescent="0.5">
      <c r="E770" s="108"/>
    </row>
    <row r="771" spans="5:5" s="4" customFormat="1" hidden="1" x14ac:dyDescent="0.5">
      <c r="E771" s="108"/>
    </row>
    <row r="772" spans="5:5" s="4" customFormat="1" hidden="1" x14ac:dyDescent="0.5">
      <c r="E772" s="108"/>
    </row>
    <row r="773" spans="5:5" s="4" customFormat="1" hidden="1" x14ac:dyDescent="0.5">
      <c r="E773" s="108"/>
    </row>
    <row r="774" spans="5:5" s="4" customFormat="1" hidden="1" x14ac:dyDescent="0.5">
      <c r="E774" s="108"/>
    </row>
    <row r="775" spans="5:5" s="4" customFormat="1" hidden="1" x14ac:dyDescent="0.5">
      <c r="E775" s="108"/>
    </row>
    <row r="776" spans="5:5" s="4" customFormat="1" hidden="1" x14ac:dyDescent="0.5">
      <c r="E776" s="108"/>
    </row>
    <row r="777" spans="5:5" s="4" customFormat="1" hidden="1" x14ac:dyDescent="0.5">
      <c r="E777" s="108"/>
    </row>
    <row r="778" spans="5:5" s="4" customFormat="1" hidden="1" x14ac:dyDescent="0.5">
      <c r="E778" s="108"/>
    </row>
    <row r="779" spans="5:5" s="4" customFormat="1" hidden="1" x14ac:dyDescent="0.5">
      <c r="E779" s="108"/>
    </row>
    <row r="780" spans="5:5" s="4" customFormat="1" hidden="1" x14ac:dyDescent="0.5">
      <c r="E780" s="108"/>
    </row>
    <row r="781" spans="5:5" s="4" customFormat="1" hidden="1" x14ac:dyDescent="0.5">
      <c r="E781" s="108"/>
    </row>
    <row r="782" spans="5:5" s="4" customFormat="1" hidden="1" x14ac:dyDescent="0.5">
      <c r="E782" s="108"/>
    </row>
    <row r="783" spans="5:5" s="4" customFormat="1" hidden="1" x14ac:dyDescent="0.5">
      <c r="E783" s="108"/>
    </row>
    <row r="784" spans="5:5" s="4" customFormat="1" hidden="1" x14ac:dyDescent="0.5">
      <c r="E784" s="108"/>
    </row>
    <row r="785" spans="5:5" s="4" customFormat="1" hidden="1" x14ac:dyDescent="0.5">
      <c r="E785" s="108"/>
    </row>
    <row r="786" spans="5:5" s="4" customFormat="1" hidden="1" x14ac:dyDescent="0.5">
      <c r="E786" s="108"/>
    </row>
    <row r="787" spans="5:5" s="4" customFormat="1" hidden="1" x14ac:dyDescent="0.5">
      <c r="E787" s="108"/>
    </row>
    <row r="788" spans="5:5" s="4" customFormat="1" hidden="1" x14ac:dyDescent="0.5">
      <c r="E788" s="108"/>
    </row>
    <row r="789" spans="5:5" s="4" customFormat="1" hidden="1" x14ac:dyDescent="0.5">
      <c r="E789" s="108"/>
    </row>
    <row r="790" spans="5:5" s="4" customFormat="1" hidden="1" x14ac:dyDescent="0.5">
      <c r="E790" s="108"/>
    </row>
    <row r="791" spans="5:5" s="4" customFormat="1" hidden="1" x14ac:dyDescent="0.5">
      <c r="E791" s="108"/>
    </row>
    <row r="792" spans="5:5" s="4" customFormat="1" hidden="1" x14ac:dyDescent="0.5">
      <c r="E792" s="108"/>
    </row>
    <row r="793" spans="5:5" s="4" customFormat="1" hidden="1" x14ac:dyDescent="0.5">
      <c r="E793" s="108"/>
    </row>
    <row r="794" spans="5:5" s="4" customFormat="1" hidden="1" x14ac:dyDescent="0.5">
      <c r="E794" s="108"/>
    </row>
    <row r="795" spans="5:5" s="4" customFormat="1" hidden="1" x14ac:dyDescent="0.5">
      <c r="E795" s="108"/>
    </row>
    <row r="796" spans="5:5" s="4" customFormat="1" hidden="1" x14ac:dyDescent="0.5">
      <c r="E796" s="108"/>
    </row>
    <row r="797" spans="5:5" s="4" customFormat="1" hidden="1" x14ac:dyDescent="0.5">
      <c r="E797" s="108"/>
    </row>
    <row r="798" spans="5:5" s="4" customFormat="1" hidden="1" x14ac:dyDescent="0.5">
      <c r="E798" s="108"/>
    </row>
    <row r="799" spans="5:5" s="4" customFormat="1" hidden="1" x14ac:dyDescent="0.5">
      <c r="E799" s="108"/>
    </row>
    <row r="800" spans="5:5" s="4" customFormat="1" hidden="1" x14ac:dyDescent="0.5">
      <c r="E800" s="108"/>
    </row>
    <row r="801" spans="5:5" s="4" customFormat="1" hidden="1" x14ac:dyDescent="0.5">
      <c r="E801" s="108"/>
    </row>
    <row r="802" spans="5:5" s="4" customFormat="1" hidden="1" x14ac:dyDescent="0.5">
      <c r="E802" s="108"/>
    </row>
    <row r="803" spans="5:5" s="4" customFormat="1" hidden="1" x14ac:dyDescent="0.5">
      <c r="E803" s="108"/>
    </row>
    <row r="804" spans="5:5" s="4" customFormat="1" hidden="1" x14ac:dyDescent="0.5">
      <c r="E804" s="108"/>
    </row>
    <row r="805" spans="5:5" s="4" customFormat="1" hidden="1" x14ac:dyDescent="0.5">
      <c r="E805" s="108"/>
    </row>
    <row r="806" spans="5:5" s="4" customFormat="1" hidden="1" x14ac:dyDescent="0.5">
      <c r="E806" s="108"/>
    </row>
    <row r="807" spans="5:5" s="4" customFormat="1" hidden="1" x14ac:dyDescent="0.5">
      <c r="E807" s="108"/>
    </row>
    <row r="808" spans="5:5" s="4" customFormat="1" hidden="1" x14ac:dyDescent="0.5">
      <c r="E808" s="108"/>
    </row>
    <row r="809" spans="5:5" s="4" customFormat="1" hidden="1" x14ac:dyDescent="0.5">
      <c r="E809" s="108"/>
    </row>
    <row r="810" spans="5:5" s="4" customFormat="1" hidden="1" x14ac:dyDescent="0.5">
      <c r="E810" s="108"/>
    </row>
    <row r="811" spans="5:5" s="4" customFormat="1" hidden="1" x14ac:dyDescent="0.5">
      <c r="E811" s="108"/>
    </row>
    <row r="812" spans="5:5" s="4" customFormat="1" hidden="1" x14ac:dyDescent="0.5">
      <c r="E812" s="108"/>
    </row>
    <row r="813" spans="5:5" s="4" customFormat="1" hidden="1" x14ac:dyDescent="0.5">
      <c r="E813" s="108"/>
    </row>
    <row r="814" spans="5:5" s="4" customFormat="1" hidden="1" x14ac:dyDescent="0.5">
      <c r="E814" s="108"/>
    </row>
    <row r="815" spans="5:5" s="4" customFormat="1" hidden="1" x14ac:dyDescent="0.5">
      <c r="E815" s="108"/>
    </row>
    <row r="816" spans="5:5" s="4" customFormat="1" hidden="1" x14ac:dyDescent="0.5">
      <c r="E816" s="108"/>
    </row>
    <row r="817" spans="5:5" s="4" customFormat="1" hidden="1" x14ac:dyDescent="0.5">
      <c r="E817" s="108"/>
    </row>
    <row r="818" spans="5:5" s="4" customFormat="1" hidden="1" x14ac:dyDescent="0.5">
      <c r="E818" s="108"/>
    </row>
    <row r="819" spans="5:5" s="4" customFormat="1" hidden="1" x14ac:dyDescent="0.5">
      <c r="E819" s="108"/>
    </row>
    <row r="820" spans="5:5" s="4" customFormat="1" hidden="1" x14ac:dyDescent="0.5">
      <c r="E820" s="108"/>
    </row>
    <row r="821" spans="5:5" s="4" customFormat="1" hidden="1" x14ac:dyDescent="0.5">
      <c r="E821" s="108"/>
    </row>
    <row r="822" spans="5:5" s="4" customFormat="1" hidden="1" x14ac:dyDescent="0.5">
      <c r="E822" s="108"/>
    </row>
    <row r="823" spans="5:5" s="4" customFormat="1" hidden="1" x14ac:dyDescent="0.5">
      <c r="E823" s="108"/>
    </row>
    <row r="824" spans="5:5" s="4" customFormat="1" hidden="1" x14ac:dyDescent="0.5">
      <c r="E824" s="108"/>
    </row>
    <row r="825" spans="5:5" s="4" customFormat="1" hidden="1" x14ac:dyDescent="0.5">
      <c r="E825" s="108"/>
    </row>
    <row r="826" spans="5:5" s="4" customFormat="1" hidden="1" x14ac:dyDescent="0.5">
      <c r="E826" s="108"/>
    </row>
    <row r="827" spans="5:5" s="4" customFormat="1" hidden="1" x14ac:dyDescent="0.5">
      <c r="E827" s="108"/>
    </row>
    <row r="828" spans="5:5" s="4" customFormat="1" hidden="1" x14ac:dyDescent="0.5">
      <c r="E828" s="108"/>
    </row>
    <row r="829" spans="5:5" s="4" customFormat="1" hidden="1" x14ac:dyDescent="0.5">
      <c r="E829" s="108"/>
    </row>
    <row r="830" spans="5:5" s="4" customFormat="1" hidden="1" x14ac:dyDescent="0.5">
      <c r="E830" s="108"/>
    </row>
    <row r="831" spans="5:5" s="4" customFormat="1" hidden="1" x14ac:dyDescent="0.5">
      <c r="E831" s="108"/>
    </row>
    <row r="832" spans="5:5" s="4" customFormat="1" hidden="1" x14ac:dyDescent="0.5">
      <c r="E832" s="108"/>
    </row>
    <row r="833" spans="5:5" s="4" customFormat="1" hidden="1" x14ac:dyDescent="0.5">
      <c r="E833" s="108"/>
    </row>
    <row r="834" spans="5:5" s="4" customFormat="1" hidden="1" x14ac:dyDescent="0.5">
      <c r="E834" s="108"/>
    </row>
    <row r="835" spans="5:5" s="4" customFormat="1" hidden="1" x14ac:dyDescent="0.5">
      <c r="E835" s="108"/>
    </row>
    <row r="836" spans="5:5" s="4" customFormat="1" hidden="1" x14ac:dyDescent="0.5">
      <c r="E836" s="108"/>
    </row>
    <row r="837" spans="5:5" s="4" customFormat="1" hidden="1" x14ac:dyDescent="0.5">
      <c r="E837" s="108"/>
    </row>
    <row r="838" spans="5:5" s="4" customFormat="1" hidden="1" x14ac:dyDescent="0.5">
      <c r="E838" s="108"/>
    </row>
    <row r="839" spans="5:5" s="4" customFormat="1" hidden="1" x14ac:dyDescent="0.5">
      <c r="E839" s="108"/>
    </row>
    <row r="840" spans="5:5" s="4" customFormat="1" hidden="1" x14ac:dyDescent="0.5">
      <c r="E840" s="108"/>
    </row>
    <row r="841" spans="5:5" s="4" customFormat="1" hidden="1" x14ac:dyDescent="0.5">
      <c r="E841" s="108"/>
    </row>
    <row r="842" spans="5:5" s="4" customFormat="1" hidden="1" x14ac:dyDescent="0.5">
      <c r="E842" s="108"/>
    </row>
    <row r="843" spans="5:5" s="4" customFormat="1" hidden="1" x14ac:dyDescent="0.5">
      <c r="E843" s="108"/>
    </row>
    <row r="844" spans="5:5" s="4" customFormat="1" hidden="1" x14ac:dyDescent="0.5">
      <c r="E844" s="108"/>
    </row>
    <row r="845" spans="5:5" s="4" customFormat="1" hidden="1" x14ac:dyDescent="0.5">
      <c r="E845" s="108"/>
    </row>
    <row r="846" spans="5:5" s="4" customFormat="1" hidden="1" x14ac:dyDescent="0.5">
      <c r="E846" s="108"/>
    </row>
    <row r="847" spans="5:5" s="4" customFormat="1" hidden="1" x14ac:dyDescent="0.5">
      <c r="E847" s="108"/>
    </row>
    <row r="848" spans="5:5" s="4" customFormat="1" hidden="1" x14ac:dyDescent="0.5">
      <c r="E848" s="108"/>
    </row>
    <row r="849" spans="5:5" s="4" customFormat="1" hidden="1" x14ac:dyDescent="0.5">
      <c r="E849" s="108"/>
    </row>
    <row r="850" spans="5:5" s="4" customFormat="1" hidden="1" x14ac:dyDescent="0.5">
      <c r="E850" s="108"/>
    </row>
    <row r="851" spans="5:5" s="4" customFormat="1" hidden="1" x14ac:dyDescent="0.5">
      <c r="E851" s="108"/>
    </row>
    <row r="852" spans="5:5" s="4" customFormat="1" hidden="1" x14ac:dyDescent="0.5">
      <c r="E852" s="108"/>
    </row>
    <row r="853" spans="5:5" s="4" customFormat="1" hidden="1" x14ac:dyDescent="0.5">
      <c r="E853" s="108"/>
    </row>
    <row r="854" spans="5:5" s="4" customFormat="1" hidden="1" x14ac:dyDescent="0.5">
      <c r="E854" s="108"/>
    </row>
    <row r="855" spans="5:5" s="4" customFormat="1" hidden="1" x14ac:dyDescent="0.5">
      <c r="E855" s="108"/>
    </row>
    <row r="856" spans="5:5" s="4" customFormat="1" hidden="1" x14ac:dyDescent="0.5">
      <c r="E856" s="108"/>
    </row>
    <row r="857" spans="5:5" s="4" customFormat="1" hidden="1" x14ac:dyDescent="0.5">
      <c r="E857" s="108"/>
    </row>
    <row r="858" spans="5:5" s="4" customFormat="1" hidden="1" x14ac:dyDescent="0.5">
      <c r="E858" s="108"/>
    </row>
    <row r="859" spans="5:5" s="4" customFormat="1" hidden="1" x14ac:dyDescent="0.5">
      <c r="E859" s="108"/>
    </row>
    <row r="860" spans="5:5" s="4" customFormat="1" hidden="1" x14ac:dyDescent="0.5">
      <c r="E860" s="108"/>
    </row>
    <row r="861" spans="5:5" s="4" customFormat="1" hidden="1" x14ac:dyDescent="0.5">
      <c r="E861" s="108"/>
    </row>
    <row r="862" spans="5:5" s="4" customFormat="1" hidden="1" x14ac:dyDescent="0.5">
      <c r="E862" s="108"/>
    </row>
    <row r="863" spans="5:5" s="4" customFormat="1" hidden="1" x14ac:dyDescent="0.5">
      <c r="E863" s="108"/>
    </row>
    <row r="864" spans="5:5" s="4" customFormat="1" hidden="1" x14ac:dyDescent="0.5">
      <c r="E864" s="108"/>
    </row>
    <row r="865" spans="5:5" s="4" customFormat="1" hidden="1" x14ac:dyDescent="0.5">
      <c r="E865" s="108"/>
    </row>
    <row r="866" spans="5:5" s="4" customFormat="1" hidden="1" x14ac:dyDescent="0.5">
      <c r="E866" s="108"/>
    </row>
    <row r="867" spans="5:5" s="4" customFormat="1" hidden="1" x14ac:dyDescent="0.5">
      <c r="E867" s="108"/>
    </row>
    <row r="868" spans="5:5" s="4" customFormat="1" hidden="1" x14ac:dyDescent="0.5">
      <c r="E868" s="108"/>
    </row>
    <row r="869" spans="5:5" s="4" customFormat="1" hidden="1" x14ac:dyDescent="0.5">
      <c r="E869" s="108"/>
    </row>
    <row r="870" spans="5:5" s="4" customFormat="1" hidden="1" x14ac:dyDescent="0.5">
      <c r="E870" s="108"/>
    </row>
    <row r="871" spans="5:5" s="4" customFormat="1" hidden="1" x14ac:dyDescent="0.5">
      <c r="E871" s="108"/>
    </row>
    <row r="872" spans="5:5" s="4" customFormat="1" hidden="1" x14ac:dyDescent="0.5">
      <c r="E872" s="108"/>
    </row>
    <row r="873" spans="5:5" s="4" customFormat="1" hidden="1" x14ac:dyDescent="0.5">
      <c r="E873" s="108"/>
    </row>
    <row r="874" spans="5:5" s="4" customFormat="1" hidden="1" x14ac:dyDescent="0.5">
      <c r="E874" s="108"/>
    </row>
    <row r="875" spans="5:5" s="4" customFormat="1" hidden="1" x14ac:dyDescent="0.5">
      <c r="E875" s="108"/>
    </row>
    <row r="876" spans="5:5" s="4" customFormat="1" hidden="1" x14ac:dyDescent="0.5">
      <c r="E876" s="108"/>
    </row>
    <row r="877" spans="5:5" s="4" customFormat="1" hidden="1" x14ac:dyDescent="0.5">
      <c r="E877" s="108"/>
    </row>
    <row r="878" spans="5:5" s="4" customFormat="1" hidden="1" x14ac:dyDescent="0.5">
      <c r="E878" s="108"/>
    </row>
    <row r="879" spans="5:5" s="4" customFormat="1" hidden="1" x14ac:dyDescent="0.5">
      <c r="E879" s="108"/>
    </row>
    <row r="880" spans="5:5" s="4" customFormat="1" hidden="1" x14ac:dyDescent="0.5">
      <c r="E880" s="108"/>
    </row>
    <row r="881" spans="5:5" s="4" customFormat="1" hidden="1" x14ac:dyDescent="0.5">
      <c r="E881" s="108"/>
    </row>
    <row r="882" spans="5:5" s="4" customFormat="1" hidden="1" x14ac:dyDescent="0.5">
      <c r="E882" s="108"/>
    </row>
    <row r="883" spans="5:5" s="4" customFormat="1" hidden="1" x14ac:dyDescent="0.5">
      <c r="E883" s="108"/>
    </row>
    <row r="884" spans="5:5" s="4" customFormat="1" hidden="1" x14ac:dyDescent="0.5">
      <c r="E884" s="108"/>
    </row>
    <row r="885" spans="5:5" s="4" customFormat="1" hidden="1" x14ac:dyDescent="0.5">
      <c r="E885" s="108"/>
    </row>
    <row r="886" spans="5:5" s="4" customFormat="1" hidden="1" x14ac:dyDescent="0.5">
      <c r="E886" s="108"/>
    </row>
    <row r="887" spans="5:5" s="4" customFormat="1" hidden="1" x14ac:dyDescent="0.5">
      <c r="E887" s="108"/>
    </row>
    <row r="888" spans="5:5" s="4" customFormat="1" hidden="1" x14ac:dyDescent="0.5">
      <c r="E888" s="108"/>
    </row>
    <row r="889" spans="5:5" s="4" customFormat="1" hidden="1" x14ac:dyDescent="0.5">
      <c r="E889" s="108"/>
    </row>
    <row r="890" spans="5:5" s="4" customFormat="1" hidden="1" x14ac:dyDescent="0.5">
      <c r="E890" s="108"/>
    </row>
    <row r="891" spans="5:5" s="4" customFormat="1" hidden="1" x14ac:dyDescent="0.5">
      <c r="E891" s="108"/>
    </row>
    <row r="892" spans="5:5" s="4" customFormat="1" hidden="1" x14ac:dyDescent="0.5">
      <c r="E892" s="108"/>
    </row>
    <row r="893" spans="5:5" s="4" customFormat="1" hidden="1" x14ac:dyDescent="0.5">
      <c r="E893" s="108"/>
    </row>
    <row r="894" spans="5:5" s="4" customFormat="1" hidden="1" x14ac:dyDescent="0.5">
      <c r="E894" s="108"/>
    </row>
    <row r="895" spans="5:5" s="4" customFormat="1" hidden="1" x14ac:dyDescent="0.5">
      <c r="E895" s="108"/>
    </row>
    <row r="896" spans="5:5" s="4" customFormat="1" hidden="1" x14ac:dyDescent="0.5">
      <c r="E896" s="108"/>
    </row>
    <row r="897" spans="5:5" s="4" customFormat="1" hidden="1" x14ac:dyDescent="0.5">
      <c r="E897" s="108"/>
    </row>
    <row r="898" spans="5:5" s="4" customFormat="1" hidden="1" x14ac:dyDescent="0.5">
      <c r="E898" s="108"/>
    </row>
    <row r="899" spans="5:5" s="4" customFormat="1" hidden="1" x14ac:dyDescent="0.5">
      <c r="E899" s="108"/>
    </row>
    <row r="900" spans="5:5" s="4" customFormat="1" hidden="1" x14ac:dyDescent="0.5">
      <c r="E900" s="108"/>
    </row>
    <row r="901" spans="5:5" s="4" customFormat="1" hidden="1" x14ac:dyDescent="0.5">
      <c r="E901" s="108"/>
    </row>
    <row r="902" spans="5:5" s="4" customFormat="1" hidden="1" x14ac:dyDescent="0.5">
      <c r="E902" s="108"/>
    </row>
    <row r="903" spans="5:5" s="4" customFormat="1" hidden="1" x14ac:dyDescent="0.5">
      <c r="E903" s="108"/>
    </row>
    <row r="904" spans="5:5" s="4" customFormat="1" hidden="1" x14ac:dyDescent="0.5">
      <c r="E904" s="108"/>
    </row>
    <row r="905" spans="5:5" s="4" customFormat="1" hidden="1" x14ac:dyDescent="0.5">
      <c r="E905" s="108"/>
    </row>
    <row r="906" spans="5:5" s="4" customFormat="1" hidden="1" x14ac:dyDescent="0.5">
      <c r="E906" s="108"/>
    </row>
    <row r="907" spans="5:5" s="4" customFormat="1" hidden="1" x14ac:dyDescent="0.5">
      <c r="E907" s="108"/>
    </row>
    <row r="908" spans="5:5" s="4" customFormat="1" hidden="1" x14ac:dyDescent="0.5">
      <c r="E908" s="108"/>
    </row>
    <row r="909" spans="5:5" s="4" customFormat="1" hidden="1" x14ac:dyDescent="0.5">
      <c r="E909" s="108"/>
    </row>
    <row r="910" spans="5:5" s="4" customFormat="1" hidden="1" x14ac:dyDescent="0.5">
      <c r="E910" s="108"/>
    </row>
    <row r="911" spans="5:5" s="4" customFormat="1" hidden="1" x14ac:dyDescent="0.5">
      <c r="E911" s="108"/>
    </row>
    <row r="912" spans="5:5" s="4" customFormat="1" hidden="1" x14ac:dyDescent="0.5">
      <c r="E912" s="108"/>
    </row>
    <row r="913" spans="5:5" s="4" customFormat="1" hidden="1" x14ac:dyDescent="0.5">
      <c r="E913" s="108"/>
    </row>
    <row r="914" spans="5:5" s="4" customFormat="1" hidden="1" x14ac:dyDescent="0.5">
      <c r="E914" s="108"/>
    </row>
    <row r="915" spans="5:5" s="4" customFormat="1" hidden="1" x14ac:dyDescent="0.5">
      <c r="E915" s="108"/>
    </row>
    <row r="916" spans="5:5" s="4" customFormat="1" hidden="1" x14ac:dyDescent="0.5">
      <c r="E916" s="108"/>
    </row>
    <row r="917" spans="5:5" s="4" customFormat="1" hidden="1" x14ac:dyDescent="0.5">
      <c r="E917" s="108"/>
    </row>
    <row r="918" spans="5:5" s="4" customFormat="1" hidden="1" x14ac:dyDescent="0.5">
      <c r="E918" s="108"/>
    </row>
    <row r="919" spans="5:5" s="4" customFormat="1" hidden="1" x14ac:dyDescent="0.5">
      <c r="E919" s="108"/>
    </row>
    <row r="920" spans="5:5" s="4" customFormat="1" hidden="1" x14ac:dyDescent="0.5">
      <c r="E920" s="108"/>
    </row>
    <row r="921" spans="5:5" s="4" customFormat="1" hidden="1" x14ac:dyDescent="0.5">
      <c r="E921" s="108"/>
    </row>
    <row r="922" spans="5:5" s="4" customFormat="1" hidden="1" x14ac:dyDescent="0.5">
      <c r="E922" s="108"/>
    </row>
    <row r="923" spans="5:5" s="4" customFormat="1" hidden="1" x14ac:dyDescent="0.5">
      <c r="E923" s="108"/>
    </row>
    <row r="924" spans="5:5" s="4" customFormat="1" hidden="1" x14ac:dyDescent="0.5">
      <c r="E924" s="108"/>
    </row>
    <row r="925" spans="5:5" s="4" customFormat="1" hidden="1" x14ac:dyDescent="0.5">
      <c r="E925" s="108"/>
    </row>
    <row r="926" spans="5:5" s="4" customFormat="1" hidden="1" x14ac:dyDescent="0.5">
      <c r="E926" s="108"/>
    </row>
    <row r="927" spans="5:5" s="4" customFormat="1" hidden="1" x14ac:dyDescent="0.5">
      <c r="E927" s="108"/>
    </row>
    <row r="928" spans="5:5" s="4" customFormat="1" hidden="1" x14ac:dyDescent="0.5">
      <c r="E928" s="108"/>
    </row>
    <row r="929" spans="5:5" s="4" customFormat="1" hidden="1" x14ac:dyDescent="0.5">
      <c r="E929" s="108"/>
    </row>
    <row r="930" spans="5:5" s="4" customFormat="1" hidden="1" x14ac:dyDescent="0.5">
      <c r="E930" s="108"/>
    </row>
    <row r="931" spans="5:5" s="4" customFormat="1" hidden="1" x14ac:dyDescent="0.5">
      <c r="E931" s="108"/>
    </row>
    <row r="932" spans="5:5" s="4" customFormat="1" hidden="1" x14ac:dyDescent="0.5">
      <c r="E932" s="108"/>
    </row>
    <row r="933" spans="5:5" s="4" customFormat="1" hidden="1" x14ac:dyDescent="0.5">
      <c r="E933" s="108"/>
    </row>
    <row r="934" spans="5:5" s="4" customFormat="1" hidden="1" x14ac:dyDescent="0.5">
      <c r="E934" s="108"/>
    </row>
    <row r="935" spans="5:5" s="4" customFormat="1" hidden="1" x14ac:dyDescent="0.5">
      <c r="E935" s="108"/>
    </row>
    <row r="936" spans="5:5" s="4" customFormat="1" hidden="1" x14ac:dyDescent="0.5">
      <c r="E936" s="108"/>
    </row>
    <row r="937" spans="5:5" s="4" customFormat="1" hidden="1" x14ac:dyDescent="0.5">
      <c r="E937" s="108"/>
    </row>
    <row r="938" spans="5:5" s="4" customFormat="1" hidden="1" x14ac:dyDescent="0.5">
      <c r="E938" s="108"/>
    </row>
    <row r="939" spans="5:5" s="4" customFormat="1" hidden="1" x14ac:dyDescent="0.5">
      <c r="E939" s="108"/>
    </row>
    <row r="940" spans="5:5" s="4" customFormat="1" hidden="1" x14ac:dyDescent="0.5">
      <c r="E940" s="108"/>
    </row>
    <row r="941" spans="5:5" s="4" customFormat="1" hidden="1" x14ac:dyDescent="0.5">
      <c r="E941" s="108"/>
    </row>
    <row r="942" spans="5:5" s="4" customFormat="1" hidden="1" x14ac:dyDescent="0.5">
      <c r="E942" s="108"/>
    </row>
    <row r="943" spans="5:5" s="4" customFormat="1" hidden="1" x14ac:dyDescent="0.5">
      <c r="E943" s="108"/>
    </row>
    <row r="944" spans="5:5" s="4" customFormat="1" hidden="1" x14ac:dyDescent="0.5">
      <c r="E944" s="108"/>
    </row>
    <row r="945" spans="5:5" s="4" customFormat="1" hidden="1" x14ac:dyDescent="0.5">
      <c r="E945" s="108"/>
    </row>
    <row r="946" spans="5:5" s="4" customFormat="1" hidden="1" x14ac:dyDescent="0.5">
      <c r="E946" s="108"/>
    </row>
    <row r="947" spans="5:5" s="4" customFormat="1" hidden="1" x14ac:dyDescent="0.5">
      <c r="E947" s="108"/>
    </row>
    <row r="948" spans="5:5" s="4" customFormat="1" hidden="1" x14ac:dyDescent="0.5">
      <c r="E948" s="108"/>
    </row>
    <row r="949" spans="5:5" s="4" customFormat="1" hidden="1" x14ac:dyDescent="0.5">
      <c r="E949" s="108"/>
    </row>
    <row r="950" spans="5:5" s="4" customFormat="1" hidden="1" x14ac:dyDescent="0.5">
      <c r="E950" s="108"/>
    </row>
    <row r="951" spans="5:5" s="4" customFormat="1" hidden="1" x14ac:dyDescent="0.5">
      <c r="E951" s="108"/>
    </row>
    <row r="952" spans="5:5" s="4" customFormat="1" hidden="1" x14ac:dyDescent="0.5">
      <c r="E952" s="108"/>
    </row>
    <row r="953" spans="5:5" s="4" customFormat="1" hidden="1" x14ac:dyDescent="0.5">
      <c r="E953" s="108"/>
    </row>
    <row r="954" spans="5:5" s="4" customFormat="1" hidden="1" x14ac:dyDescent="0.5">
      <c r="E954" s="108"/>
    </row>
    <row r="955" spans="5:5" s="4" customFormat="1" hidden="1" x14ac:dyDescent="0.5">
      <c r="E955" s="108"/>
    </row>
    <row r="956" spans="5:5" s="4" customFormat="1" hidden="1" x14ac:dyDescent="0.5">
      <c r="E956" s="108"/>
    </row>
    <row r="957" spans="5:5" s="4" customFormat="1" hidden="1" x14ac:dyDescent="0.5">
      <c r="E957" s="108"/>
    </row>
    <row r="958" spans="5:5" s="4" customFormat="1" hidden="1" x14ac:dyDescent="0.5">
      <c r="E958" s="108"/>
    </row>
    <row r="959" spans="5:5" s="4" customFormat="1" hidden="1" x14ac:dyDescent="0.5">
      <c r="E959" s="108"/>
    </row>
    <row r="960" spans="5:5" s="4" customFormat="1" hidden="1" x14ac:dyDescent="0.5">
      <c r="E960" s="108"/>
    </row>
    <row r="961" spans="5:5" s="4" customFormat="1" hidden="1" x14ac:dyDescent="0.5">
      <c r="E961" s="108"/>
    </row>
    <row r="962" spans="5:5" s="4" customFormat="1" hidden="1" x14ac:dyDescent="0.5">
      <c r="E962" s="108"/>
    </row>
    <row r="963" spans="5:5" s="4" customFormat="1" hidden="1" x14ac:dyDescent="0.5">
      <c r="E963" s="108"/>
    </row>
    <row r="964" spans="5:5" s="4" customFormat="1" hidden="1" x14ac:dyDescent="0.5">
      <c r="E964" s="108"/>
    </row>
    <row r="965" spans="5:5" s="4" customFormat="1" hidden="1" x14ac:dyDescent="0.5">
      <c r="E965" s="108"/>
    </row>
    <row r="966" spans="5:5" s="4" customFormat="1" hidden="1" x14ac:dyDescent="0.5">
      <c r="E966" s="108"/>
    </row>
    <row r="967" spans="5:5" s="4" customFormat="1" hidden="1" x14ac:dyDescent="0.5">
      <c r="E967" s="108"/>
    </row>
    <row r="968" spans="5:5" s="4" customFormat="1" hidden="1" x14ac:dyDescent="0.5">
      <c r="E968" s="108"/>
    </row>
    <row r="969" spans="5:5" s="4" customFormat="1" hidden="1" x14ac:dyDescent="0.5">
      <c r="E969" s="108"/>
    </row>
    <row r="970" spans="5:5" s="4" customFormat="1" hidden="1" x14ac:dyDescent="0.5">
      <c r="E970" s="108"/>
    </row>
    <row r="971" spans="5:5" s="4" customFormat="1" hidden="1" x14ac:dyDescent="0.5">
      <c r="E971" s="108"/>
    </row>
    <row r="972" spans="5:5" s="4" customFormat="1" hidden="1" x14ac:dyDescent="0.5">
      <c r="E972" s="108"/>
    </row>
    <row r="973" spans="5:5" s="4" customFormat="1" hidden="1" x14ac:dyDescent="0.5">
      <c r="E973" s="108"/>
    </row>
    <row r="974" spans="5:5" s="4" customFormat="1" hidden="1" x14ac:dyDescent="0.5">
      <c r="E974" s="108"/>
    </row>
    <row r="975" spans="5:5" s="4" customFormat="1" hidden="1" x14ac:dyDescent="0.5">
      <c r="E975" s="108"/>
    </row>
    <row r="976" spans="5:5" s="4" customFormat="1" hidden="1" x14ac:dyDescent="0.5">
      <c r="E976" s="108"/>
    </row>
    <row r="977" spans="5:5" s="4" customFormat="1" hidden="1" x14ac:dyDescent="0.5">
      <c r="E977" s="108"/>
    </row>
    <row r="978" spans="5:5" s="4" customFormat="1" hidden="1" x14ac:dyDescent="0.5">
      <c r="E978" s="108"/>
    </row>
    <row r="979" spans="5:5" s="4" customFormat="1" hidden="1" x14ac:dyDescent="0.5">
      <c r="E979" s="108"/>
    </row>
    <row r="980" spans="5:5" s="4" customFormat="1" hidden="1" x14ac:dyDescent="0.5">
      <c r="E980" s="108"/>
    </row>
    <row r="981" spans="5:5" s="4" customFormat="1" hidden="1" x14ac:dyDescent="0.5">
      <c r="E981" s="108"/>
    </row>
    <row r="982" spans="5:5" s="4" customFormat="1" hidden="1" x14ac:dyDescent="0.5">
      <c r="E982" s="108"/>
    </row>
    <row r="983" spans="5:5" s="4" customFormat="1" hidden="1" x14ac:dyDescent="0.5">
      <c r="E983" s="108"/>
    </row>
    <row r="984" spans="5:5" s="4" customFormat="1" hidden="1" x14ac:dyDescent="0.5">
      <c r="E984" s="108"/>
    </row>
    <row r="985" spans="5:5" s="4" customFormat="1" hidden="1" x14ac:dyDescent="0.5">
      <c r="E985" s="108"/>
    </row>
    <row r="986" spans="5:5" s="4" customFormat="1" hidden="1" x14ac:dyDescent="0.5">
      <c r="E986" s="108"/>
    </row>
    <row r="987" spans="5:5" s="4" customFormat="1" hidden="1" x14ac:dyDescent="0.5">
      <c r="E987" s="108"/>
    </row>
    <row r="988" spans="5:5" s="4" customFormat="1" hidden="1" x14ac:dyDescent="0.5">
      <c r="E988" s="108"/>
    </row>
    <row r="989" spans="5:5" s="4" customFormat="1" hidden="1" x14ac:dyDescent="0.5">
      <c r="E989" s="108"/>
    </row>
    <row r="990" spans="5:5" s="4" customFormat="1" hidden="1" x14ac:dyDescent="0.5">
      <c r="E990" s="108"/>
    </row>
    <row r="991" spans="5:5" s="4" customFormat="1" hidden="1" x14ac:dyDescent="0.5">
      <c r="E991" s="108"/>
    </row>
    <row r="992" spans="5:5" s="4" customFormat="1" hidden="1" x14ac:dyDescent="0.5">
      <c r="E992" s="108"/>
    </row>
    <row r="993" spans="5:5" s="4" customFormat="1" hidden="1" x14ac:dyDescent="0.5">
      <c r="E993" s="108"/>
    </row>
    <row r="994" spans="5:5" s="4" customFormat="1" hidden="1" x14ac:dyDescent="0.5">
      <c r="E994" s="108"/>
    </row>
    <row r="995" spans="5:5" s="4" customFormat="1" hidden="1" x14ac:dyDescent="0.5">
      <c r="E995" s="108"/>
    </row>
    <row r="996" spans="5:5" s="4" customFormat="1" hidden="1" x14ac:dyDescent="0.5">
      <c r="E996" s="108"/>
    </row>
    <row r="997" spans="5:5" s="4" customFormat="1" hidden="1" x14ac:dyDescent="0.5">
      <c r="E997" s="108"/>
    </row>
    <row r="998" spans="5:5" s="4" customFormat="1" hidden="1" x14ac:dyDescent="0.5">
      <c r="E998" s="108"/>
    </row>
    <row r="999" spans="5:5" s="4" customFormat="1" hidden="1" x14ac:dyDescent="0.5">
      <c r="E999" s="108"/>
    </row>
    <row r="1000" spans="5:5" s="4" customFormat="1" hidden="1" x14ac:dyDescent="0.5">
      <c r="E1000" s="108"/>
    </row>
    <row r="1001" spans="5:5" s="4" customFormat="1" hidden="1" x14ac:dyDescent="0.5">
      <c r="E1001" s="108"/>
    </row>
    <row r="1002" spans="5:5" s="4" customFormat="1" hidden="1" x14ac:dyDescent="0.5">
      <c r="E1002" s="108"/>
    </row>
    <row r="1003" spans="5:5" s="4" customFormat="1" hidden="1" x14ac:dyDescent="0.5">
      <c r="E1003" s="108"/>
    </row>
    <row r="1004" spans="5:5" s="4" customFormat="1" hidden="1" x14ac:dyDescent="0.5">
      <c r="E1004" s="108"/>
    </row>
    <row r="1005" spans="5:5" s="4" customFormat="1" hidden="1" x14ac:dyDescent="0.5">
      <c r="E1005" s="108"/>
    </row>
    <row r="1006" spans="5:5" s="4" customFormat="1" hidden="1" x14ac:dyDescent="0.5">
      <c r="E1006" s="108"/>
    </row>
    <row r="1007" spans="5:5" s="4" customFormat="1" hidden="1" x14ac:dyDescent="0.5">
      <c r="E1007" s="108"/>
    </row>
    <row r="1008" spans="5:5" s="4" customFormat="1" hidden="1" x14ac:dyDescent="0.5">
      <c r="E1008" s="108"/>
    </row>
    <row r="1009" spans="5:5" s="4" customFormat="1" hidden="1" x14ac:dyDescent="0.5">
      <c r="E1009" s="108"/>
    </row>
    <row r="1010" spans="5:5" s="4" customFormat="1" hidden="1" x14ac:dyDescent="0.5">
      <c r="E1010" s="108"/>
    </row>
    <row r="1011" spans="5:5" s="4" customFormat="1" hidden="1" x14ac:dyDescent="0.5">
      <c r="E1011" s="108"/>
    </row>
    <row r="1012" spans="5:5" s="4" customFormat="1" hidden="1" x14ac:dyDescent="0.5">
      <c r="E1012" s="108"/>
    </row>
    <row r="1013" spans="5:5" s="4" customFormat="1" hidden="1" x14ac:dyDescent="0.5">
      <c r="E1013" s="108"/>
    </row>
    <row r="1014" spans="5:5" s="4" customFormat="1" hidden="1" x14ac:dyDescent="0.5">
      <c r="E1014" s="108"/>
    </row>
    <row r="1015" spans="5:5" s="4" customFormat="1" hidden="1" x14ac:dyDescent="0.5">
      <c r="E1015" s="108"/>
    </row>
    <row r="1016" spans="5:5" s="4" customFormat="1" hidden="1" x14ac:dyDescent="0.5">
      <c r="E1016" s="108"/>
    </row>
    <row r="1017" spans="5:5" s="4" customFormat="1" hidden="1" x14ac:dyDescent="0.5">
      <c r="E1017" s="108"/>
    </row>
    <row r="1018" spans="5:5" s="4" customFormat="1" hidden="1" x14ac:dyDescent="0.5">
      <c r="E1018" s="108"/>
    </row>
    <row r="1019" spans="5:5" s="4" customFormat="1" hidden="1" x14ac:dyDescent="0.5">
      <c r="E1019" s="108"/>
    </row>
    <row r="1020" spans="5:5" s="4" customFormat="1" hidden="1" x14ac:dyDescent="0.5">
      <c r="E1020" s="108"/>
    </row>
    <row r="1021" spans="5:5" s="4" customFormat="1" hidden="1" x14ac:dyDescent="0.5">
      <c r="E1021" s="108"/>
    </row>
    <row r="1022" spans="5:5" s="4" customFormat="1" hidden="1" x14ac:dyDescent="0.5">
      <c r="E1022" s="108"/>
    </row>
    <row r="1023" spans="5:5" s="4" customFormat="1" hidden="1" x14ac:dyDescent="0.5">
      <c r="E1023" s="108"/>
    </row>
    <row r="1024" spans="5:5" s="4" customFormat="1" hidden="1" x14ac:dyDescent="0.5">
      <c r="E1024" s="108"/>
    </row>
    <row r="1025" spans="5:5" s="4" customFormat="1" hidden="1" x14ac:dyDescent="0.5">
      <c r="E1025" s="108"/>
    </row>
    <row r="1026" spans="5:5" s="4" customFormat="1" hidden="1" x14ac:dyDescent="0.5">
      <c r="E1026" s="108"/>
    </row>
    <row r="1027" spans="5:5" s="4" customFormat="1" hidden="1" x14ac:dyDescent="0.5">
      <c r="E1027" s="108"/>
    </row>
    <row r="1028" spans="5:5" s="4" customFormat="1" hidden="1" x14ac:dyDescent="0.5">
      <c r="E1028" s="108"/>
    </row>
    <row r="1029" spans="5:5" s="4" customFormat="1" hidden="1" x14ac:dyDescent="0.5">
      <c r="E1029" s="108"/>
    </row>
    <row r="1030" spans="5:5" s="4" customFormat="1" hidden="1" x14ac:dyDescent="0.5">
      <c r="E1030" s="108"/>
    </row>
    <row r="1031" spans="5:5" s="4" customFormat="1" hidden="1" x14ac:dyDescent="0.5">
      <c r="E1031" s="108"/>
    </row>
    <row r="1032" spans="5:5" s="4" customFormat="1" hidden="1" x14ac:dyDescent="0.5">
      <c r="E1032" s="108"/>
    </row>
    <row r="1033" spans="5:5" s="4" customFormat="1" hidden="1" x14ac:dyDescent="0.5">
      <c r="E1033" s="108"/>
    </row>
    <row r="1034" spans="5:5" s="4" customFormat="1" hidden="1" x14ac:dyDescent="0.5">
      <c r="E1034" s="108"/>
    </row>
    <row r="1035" spans="5:5" s="4" customFormat="1" hidden="1" x14ac:dyDescent="0.5">
      <c r="E1035" s="108"/>
    </row>
    <row r="1036" spans="5:5" s="4" customFormat="1" hidden="1" x14ac:dyDescent="0.5">
      <c r="E1036" s="108"/>
    </row>
    <row r="1037" spans="5:5" s="4" customFormat="1" hidden="1" x14ac:dyDescent="0.5">
      <c r="E1037" s="108"/>
    </row>
    <row r="1038" spans="5:5" s="4" customFormat="1" hidden="1" x14ac:dyDescent="0.5">
      <c r="E1038" s="108"/>
    </row>
    <row r="1039" spans="5:5" s="4" customFormat="1" hidden="1" x14ac:dyDescent="0.5">
      <c r="E1039" s="108"/>
    </row>
    <row r="1040" spans="5:5" s="4" customFormat="1" hidden="1" x14ac:dyDescent="0.5">
      <c r="E1040" s="108"/>
    </row>
    <row r="1041" spans="5:5" s="4" customFormat="1" hidden="1" x14ac:dyDescent="0.5">
      <c r="E1041" s="108"/>
    </row>
    <row r="1042" spans="5:5" s="4" customFormat="1" hidden="1" x14ac:dyDescent="0.5">
      <c r="E1042" s="108"/>
    </row>
    <row r="1043" spans="5:5" s="4" customFormat="1" hidden="1" x14ac:dyDescent="0.5">
      <c r="E1043" s="108"/>
    </row>
    <row r="1044" spans="5:5" s="4" customFormat="1" hidden="1" x14ac:dyDescent="0.5">
      <c r="E1044" s="108"/>
    </row>
    <row r="1045" spans="5:5" s="4" customFormat="1" hidden="1" x14ac:dyDescent="0.5">
      <c r="E1045" s="108"/>
    </row>
    <row r="1046" spans="5:5" s="4" customFormat="1" hidden="1" x14ac:dyDescent="0.5">
      <c r="E1046" s="108"/>
    </row>
    <row r="1047" spans="5:5" s="4" customFormat="1" hidden="1" x14ac:dyDescent="0.5">
      <c r="E1047" s="108"/>
    </row>
    <row r="1048" spans="5:5" s="4" customFormat="1" hidden="1" x14ac:dyDescent="0.5">
      <c r="E1048" s="108"/>
    </row>
    <row r="1049" spans="5:5" s="4" customFormat="1" hidden="1" x14ac:dyDescent="0.5">
      <c r="E1049" s="108"/>
    </row>
    <row r="1050" spans="5:5" s="4" customFormat="1" hidden="1" x14ac:dyDescent="0.5">
      <c r="E1050" s="108"/>
    </row>
    <row r="1051" spans="5:5" s="4" customFormat="1" hidden="1" x14ac:dyDescent="0.5">
      <c r="E1051" s="108"/>
    </row>
    <row r="1052" spans="5:5" s="4" customFormat="1" hidden="1" x14ac:dyDescent="0.5">
      <c r="E1052" s="108"/>
    </row>
    <row r="1053" spans="5:5" s="4" customFormat="1" hidden="1" x14ac:dyDescent="0.5">
      <c r="E1053" s="108"/>
    </row>
    <row r="1054" spans="5:5" s="4" customFormat="1" hidden="1" x14ac:dyDescent="0.5">
      <c r="E1054" s="108"/>
    </row>
    <row r="1055" spans="5:5" s="4" customFormat="1" hidden="1" x14ac:dyDescent="0.5">
      <c r="E1055" s="108"/>
    </row>
    <row r="1056" spans="5:5" s="4" customFormat="1" hidden="1" x14ac:dyDescent="0.5">
      <c r="E1056" s="108"/>
    </row>
    <row r="1057" spans="5:5" s="4" customFormat="1" hidden="1" x14ac:dyDescent="0.5">
      <c r="E1057" s="108"/>
    </row>
    <row r="1058" spans="5:5" s="4" customFormat="1" hidden="1" x14ac:dyDescent="0.5">
      <c r="E1058" s="108"/>
    </row>
    <row r="1059" spans="5:5" s="4" customFormat="1" hidden="1" x14ac:dyDescent="0.5">
      <c r="E1059" s="108"/>
    </row>
    <row r="1060" spans="5:5" s="4" customFormat="1" hidden="1" x14ac:dyDescent="0.5">
      <c r="E1060" s="108"/>
    </row>
    <row r="1061" spans="5:5" s="4" customFormat="1" hidden="1" x14ac:dyDescent="0.5">
      <c r="E1061" s="108"/>
    </row>
    <row r="1062" spans="5:5" s="4" customFormat="1" hidden="1" x14ac:dyDescent="0.5">
      <c r="E1062" s="108"/>
    </row>
    <row r="1063" spans="5:5" s="4" customFormat="1" hidden="1" x14ac:dyDescent="0.5">
      <c r="E1063" s="108"/>
    </row>
    <row r="1064" spans="5:5" s="4" customFormat="1" hidden="1" x14ac:dyDescent="0.5">
      <c r="E1064" s="108"/>
    </row>
    <row r="1065" spans="5:5" s="4" customFormat="1" hidden="1" x14ac:dyDescent="0.5">
      <c r="E1065" s="108"/>
    </row>
    <row r="1066" spans="5:5" s="4" customFormat="1" hidden="1" x14ac:dyDescent="0.5">
      <c r="E1066" s="108"/>
    </row>
    <row r="1067" spans="5:5" s="4" customFormat="1" hidden="1" x14ac:dyDescent="0.5">
      <c r="E1067" s="108"/>
    </row>
    <row r="1068" spans="5:5" s="4" customFormat="1" hidden="1" x14ac:dyDescent="0.5">
      <c r="E1068" s="108"/>
    </row>
    <row r="1069" spans="5:5" s="4" customFormat="1" hidden="1" x14ac:dyDescent="0.5">
      <c r="E1069" s="108"/>
    </row>
    <row r="1070" spans="5:5" s="4" customFormat="1" hidden="1" x14ac:dyDescent="0.5">
      <c r="E1070" s="108"/>
    </row>
    <row r="1071" spans="5:5" s="4" customFormat="1" hidden="1" x14ac:dyDescent="0.5">
      <c r="E1071" s="108"/>
    </row>
    <row r="1072" spans="5:5" s="4" customFormat="1" hidden="1" x14ac:dyDescent="0.5">
      <c r="E1072" s="108"/>
    </row>
    <row r="1073" spans="5:5" s="4" customFormat="1" hidden="1" x14ac:dyDescent="0.5">
      <c r="E1073" s="108"/>
    </row>
    <row r="1074" spans="5:5" s="4" customFormat="1" hidden="1" x14ac:dyDescent="0.5">
      <c r="E1074" s="108"/>
    </row>
    <row r="1075" spans="5:5" s="4" customFormat="1" hidden="1" x14ac:dyDescent="0.5">
      <c r="E1075" s="108"/>
    </row>
    <row r="1076" spans="5:5" s="4" customFormat="1" hidden="1" x14ac:dyDescent="0.5">
      <c r="E1076" s="108"/>
    </row>
    <row r="1077" spans="5:5" s="4" customFormat="1" hidden="1" x14ac:dyDescent="0.5">
      <c r="E1077" s="108"/>
    </row>
    <row r="1078" spans="5:5" s="4" customFormat="1" hidden="1" x14ac:dyDescent="0.5">
      <c r="E1078" s="108"/>
    </row>
    <row r="1079" spans="5:5" s="4" customFormat="1" hidden="1" x14ac:dyDescent="0.5">
      <c r="E1079" s="108"/>
    </row>
    <row r="1080" spans="5:5" s="4" customFormat="1" hidden="1" x14ac:dyDescent="0.5">
      <c r="E1080" s="108"/>
    </row>
    <row r="1081" spans="5:5" s="4" customFormat="1" hidden="1" x14ac:dyDescent="0.5">
      <c r="E1081" s="108"/>
    </row>
    <row r="1082" spans="5:5" s="4" customFormat="1" hidden="1" x14ac:dyDescent="0.5">
      <c r="E1082" s="108"/>
    </row>
    <row r="1083" spans="5:5" s="4" customFormat="1" hidden="1" x14ac:dyDescent="0.5">
      <c r="E1083" s="108"/>
    </row>
    <row r="1084" spans="5:5" s="4" customFormat="1" hidden="1" x14ac:dyDescent="0.5">
      <c r="E1084" s="108"/>
    </row>
    <row r="1085" spans="5:5" s="4" customFormat="1" hidden="1" x14ac:dyDescent="0.5">
      <c r="E1085" s="108"/>
    </row>
    <row r="1086" spans="5:5" s="4" customFormat="1" hidden="1" x14ac:dyDescent="0.5">
      <c r="E1086" s="108"/>
    </row>
    <row r="1087" spans="5:5" s="4" customFormat="1" hidden="1" x14ac:dyDescent="0.5">
      <c r="E1087" s="108"/>
    </row>
    <row r="1088" spans="5:5" s="4" customFormat="1" hidden="1" x14ac:dyDescent="0.5">
      <c r="E1088" s="108"/>
    </row>
    <row r="1089" spans="5:5" s="4" customFormat="1" hidden="1" x14ac:dyDescent="0.5">
      <c r="E1089" s="108"/>
    </row>
    <row r="1090" spans="5:5" s="4" customFormat="1" hidden="1" x14ac:dyDescent="0.5">
      <c r="E1090" s="108"/>
    </row>
    <row r="1091" spans="5:5" s="4" customFormat="1" hidden="1" x14ac:dyDescent="0.5">
      <c r="E1091" s="108"/>
    </row>
    <row r="1092" spans="5:5" s="4" customFormat="1" hidden="1" x14ac:dyDescent="0.5">
      <c r="E1092" s="108"/>
    </row>
    <row r="1093" spans="5:5" s="4" customFormat="1" hidden="1" x14ac:dyDescent="0.5">
      <c r="E1093" s="108"/>
    </row>
    <row r="1094" spans="5:5" s="4" customFormat="1" hidden="1" x14ac:dyDescent="0.5">
      <c r="E1094" s="108"/>
    </row>
    <row r="1095" spans="5:5" s="4" customFormat="1" hidden="1" x14ac:dyDescent="0.5">
      <c r="E1095" s="108"/>
    </row>
    <row r="1096" spans="5:5" s="4" customFormat="1" hidden="1" x14ac:dyDescent="0.5">
      <c r="E1096" s="108"/>
    </row>
    <row r="1097" spans="5:5" s="4" customFormat="1" hidden="1" x14ac:dyDescent="0.5">
      <c r="E1097" s="108"/>
    </row>
    <row r="1098" spans="5:5" s="4" customFormat="1" hidden="1" x14ac:dyDescent="0.5">
      <c r="E1098" s="108"/>
    </row>
    <row r="1099" spans="5:5" s="4" customFormat="1" hidden="1" x14ac:dyDescent="0.5">
      <c r="E1099" s="108"/>
    </row>
    <row r="1100" spans="5:5" s="4" customFormat="1" hidden="1" x14ac:dyDescent="0.5">
      <c r="E1100" s="108"/>
    </row>
    <row r="1101" spans="5:5" s="4" customFormat="1" hidden="1" x14ac:dyDescent="0.5">
      <c r="E1101" s="108"/>
    </row>
    <row r="1102" spans="5:5" s="4" customFormat="1" hidden="1" x14ac:dyDescent="0.5">
      <c r="E1102" s="108"/>
    </row>
    <row r="1103" spans="5:5" s="4" customFormat="1" hidden="1" x14ac:dyDescent="0.5">
      <c r="E1103" s="108"/>
    </row>
    <row r="1104" spans="5:5" s="4" customFormat="1" hidden="1" x14ac:dyDescent="0.5">
      <c r="E1104" s="108"/>
    </row>
    <row r="1105" spans="5:5" s="4" customFormat="1" hidden="1" x14ac:dyDescent="0.5">
      <c r="E1105" s="108"/>
    </row>
    <row r="1106" spans="5:5" s="4" customFormat="1" hidden="1" x14ac:dyDescent="0.5">
      <c r="E1106" s="108"/>
    </row>
    <row r="1107" spans="5:5" s="4" customFormat="1" hidden="1" x14ac:dyDescent="0.5">
      <c r="E1107" s="108"/>
    </row>
    <row r="1108" spans="5:5" s="4" customFormat="1" hidden="1" x14ac:dyDescent="0.5">
      <c r="E1108" s="108"/>
    </row>
    <row r="1109" spans="5:5" s="4" customFormat="1" hidden="1" x14ac:dyDescent="0.5">
      <c r="E1109" s="108"/>
    </row>
    <row r="1110" spans="5:5" s="4" customFormat="1" hidden="1" x14ac:dyDescent="0.5">
      <c r="E1110" s="108"/>
    </row>
    <row r="1111" spans="5:5" s="4" customFormat="1" hidden="1" x14ac:dyDescent="0.5">
      <c r="E1111" s="108"/>
    </row>
    <row r="1112" spans="5:5" s="4" customFormat="1" hidden="1" x14ac:dyDescent="0.5">
      <c r="E1112" s="108"/>
    </row>
    <row r="1113" spans="5:5" s="4" customFormat="1" hidden="1" x14ac:dyDescent="0.5">
      <c r="E1113" s="108"/>
    </row>
    <row r="1114" spans="5:5" s="4" customFormat="1" hidden="1" x14ac:dyDescent="0.5">
      <c r="E1114" s="108"/>
    </row>
    <row r="1115" spans="5:5" s="4" customFormat="1" hidden="1" x14ac:dyDescent="0.5">
      <c r="E1115" s="108"/>
    </row>
    <row r="1116" spans="5:5" s="4" customFormat="1" hidden="1" x14ac:dyDescent="0.5">
      <c r="E1116" s="108"/>
    </row>
    <row r="1117" spans="5:5" s="4" customFormat="1" hidden="1" x14ac:dyDescent="0.5">
      <c r="E1117" s="108"/>
    </row>
    <row r="1118" spans="5:5" s="4" customFormat="1" hidden="1" x14ac:dyDescent="0.5">
      <c r="E1118" s="108"/>
    </row>
    <row r="1119" spans="5:5" s="4" customFormat="1" hidden="1" x14ac:dyDescent="0.5">
      <c r="E1119" s="108"/>
    </row>
    <row r="1120" spans="5:5" s="4" customFormat="1" hidden="1" x14ac:dyDescent="0.5">
      <c r="E1120" s="108"/>
    </row>
    <row r="1121" spans="5:5" s="4" customFormat="1" hidden="1" x14ac:dyDescent="0.5">
      <c r="E1121" s="108"/>
    </row>
    <row r="1122" spans="5:5" s="4" customFormat="1" hidden="1" x14ac:dyDescent="0.5">
      <c r="E1122" s="108"/>
    </row>
    <row r="1123" spans="5:5" s="4" customFormat="1" hidden="1" x14ac:dyDescent="0.5">
      <c r="E1123" s="108"/>
    </row>
    <row r="1124" spans="5:5" s="4" customFormat="1" hidden="1" x14ac:dyDescent="0.5">
      <c r="E1124" s="108"/>
    </row>
    <row r="1125" spans="5:5" s="4" customFormat="1" hidden="1" x14ac:dyDescent="0.5">
      <c r="E1125" s="108"/>
    </row>
    <row r="1126" spans="5:5" s="4" customFormat="1" hidden="1" x14ac:dyDescent="0.5">
      <c r="E1126" s="108"/>
    </row>
    <row r="1127" spans="5:5" s="4" customFormat="1" hidden="1" x14ac:dyDescent="0.5">
      <c r="E1127" s="108"/>
    </row>
    <row r="1128" spans="5:5" s="4" customFormat="1" hidden="1" x14ac:dyDescent="0.5">
      <c r="E1128" s="108"/>
    </row>
    <row r="1129" spans="5:5" s="4" customFormat="1" hidden="1" x14ac:dyDescent="0.5">
      <c r="E1129" s="108"/>
    </row>
    <row r="1130" spans="5:5" s="4" customFormat="1" hidden="1" x14ac:dyDescent="0.5">
      <c r="E1130" s="108"/>
    </row>
    <row r="1131" spans="5:5" s="4" customFormat="1" hidden="1" x14ac:dyDescent="0.5">
      <c r="E1131" s="108"/>
    </row>
    <row r="1132" spans="5:5" s="4" customFormat="1" hidden="1" x14ac:dyDescent="0.5">
      <c r="E1132" s="108"/>
    </row>
    <row r="1133" spans="5:5" s="4" customFormat="1" hidden="1" x14ac:dyDescent="0.5">
      <c r="E1133" s="108"/>
    </row>
    <row r="1134" spans="5:5" s="4" customFormat="1" hidden="1" x14ac:dyDescent="0.5">
      <c r="E1134" s="108"/>
    </row>
    <row r="1135" spans="5:5" s="4" customFormat="1" hidden="1" x14ac:dyDescent="0.5">
      <c r="E1135" s="108"/>
    </row>
    <row r="1136" spans="5:5" s="4" customFormat="1" hidden="1" x14ac:dyDescent="0.5">
      <c r="E1136" s="108"/>
    </row>
    <row r="1137" spans="5:5" s="4" customFormat="1" hidden="1" x14ac:dyDescent="0.5">
      <c r="E1137" s="108"/>
    </row>
    <row r="1138" spans="5:5" s="4" customFormat="1" hidden="1" x14ac:dyDescent="0.5">
      <c r="E1138" s="108"/>
    </row>
    <row r="1139" spans="5:5" s="4" customFormat="1" hidden="1" x14ac:dyDescent="0.5">
      <c r="E1139" s="108"/>
    </row>
    <row r="1140" spans="5:5" s="4" customFormat="1" hidden="1" x14ac:dyDescent="0.5">
      <c r="E1140" s="108"/>
    </row>
    <row r="1141" spans="5:5" s="4" customFormat="1" hidden="1" x14ac:dyDescent="0.5">
      <c r="E1141" s="108"/>
    </row>
    <row r="1142" spans="5:5" s="4" customFormat="1" hidden="1" x14ac:dyDescent="0.5">
      <c r="E1142" s="108"/>
    </row>
    <row r="1143" spans="5:5" s="4" customFormat="1" hidden="1" x14ac:dyDescent="0.5">
      <c r="E1143" s="108"/>
    </row>
    <row r="1144" spans="5:5" s="4" customFormat="1" hidden="1" x14ac:dyDescent="0.5">
      <c r="E1144" s="108"/>
    </row>
    <row r="1145" spans="5:5" s="4" customFormat="1" hidden="1" x14ac:dyDescent="0.5">
      <c r="E1145" s="108"/>
    </row>
    <row r="1146" spans="5:5" s="4" customFormat="1" hidden="1" x14ac:dyDescent="0.5">
      <c r="E1146" s="108"/>
    </row>
    <row r="1147" spans="5:5" s="4" customFormat="1" hidden="1" x14ac:dyDescent="0.5">
      <c r="E1147" s="108"/>
    </row>
    <row r="1148" spans="5:5" s="4" customFormat="1" hidden="1" x14ac:dyDescent="0.5">
      <c r="E1148" s="108"/>
    </row>
    <row r="1149" spans="5:5" s="4" customFormat="1" hidden="1" x14ac:dyDescent="0.5">
      <c r="E1149" s="108"/>
    </row>
    <row r="1150" spans="5:5" s="4" customFormat="1" hidden="1" x14ac:dyDescent="0.5">
      <c r="E1150" s="108"/>
    </row>
    <row r="1151" spans="5:5" s="4" customFormat="1" hidden="1" x14ac:dyDescent="0.5">
      <c r="E1151" s="108"/>
    </row>
    <row r="1152" spans="5:5" s="4" customFormat="1" hidden="1" x14ac:dyDescent="0.5">
      <c r="E1152" s="108"/>
    </row>
    <row r="1153" spans="5:5" s="4" customFormat="1" hidden="1" x14ac:dyDescent="0.5">
      <c r="E1153" s="108"/>
    </row>
    <row r="1154" spans="5:5" s="4" customFormat="1" hidden="1" x14ac:dyDescent="0.5">
      <c r="E1154" s="108"/>
    </row>
    <row r="1155" spans="5:5" s="4" customFormat="1" hidden="1" x14ac:dyDescent="0.5">
      <c r="E1155" s="108"/>
    </row>
    <row r="1156" spans="5:5" s="4" customFormat="1" hidden="1" x14ac:dyDescent="0.5">
      <c r="E1156" s="108"/>
    </row>
    <row r="1157" spans="5:5" s="4" customFormat="1" hidden="1" x14ac:dyDescent="0.5">
      <c r="E1157" s="108"/>
    </row>
    <row r="1158" spans="5:5" s="4" customFormat="1" hidden="1" x14ac:dyDescent="0.5">
      <c r="E1158" s="108"/>
    </row>
    <row r="1159" spans="5:5" s="4" customFormat="1" hidden="1" x14ac:dyDescent="0.5">
      <c r="E1159" s="108"/>
    </row>
    <row r="1160" spans="5:5" s="4" customFormat="1" hidden="1" x14ac:dyDescent="0.5">
      <c r="E1160" s="108"/>
    </row>
    <row r="1161" spans="5:5" s="4" customFormat="1" hidden="1" x14ac:dyDescent="0.5">
      <c r="E1161" s="108"/>
    </row>
    <row r="1162" spans="5:5" s="4" customFormat="1" hidden="1" x14ac:dyDescent="0.5">
      <c r="E1162" s="108"/>
    </row>
    <row r="1163" spans="5:5" s="4" customFormat="1" hidden="1" x14ac:dyDescent="0.5">
      <c r="E1163" s="108"/>
    </row>
    <row r="1164" spans="5:5" s="4" customFormat="1" hidden="1" x14ac:dyDescent="0.5">
      <c r="E1164" s="108"/>
    </row>
    <row r="1165" spans="5:5" s="4" customFormat="1" hidden="1" x14ac:dyDescent="0.5">
      <c r="E1165" s="108"/>
    </row>
    <row r="1166" spans="5:5" s="4" customFormat="1" hidden="1" x14ac:dyDescent="0.5">
      <c r="E1166" s="108"/>
    </row>
    <row r="1167" spans="5:5" s="4" customFormat="1" hidden="1" x14ac:dyDescent="0.5">
      <c r="E1167" s="108"/>
    </row>
    <row r="1168" spans="5:5" s="4" customFormat="1" hidden="1" x14ac:dyDescent="0.5">
      <c r="E1168" s="108"/>
    </row>
    <row r="1169" spans="5:5" s="4" customFormat="1" hidden="1" x14ac:dyDescent="0.5">
      <c r="E1169" s="108"/>
    </row>
    <row r="1170" spans="5:5" s="4" customFormat="1" hidden="1" x14ac:dyDescent="0.5">
      <c r="E1170" s="108"/>
    </row>
    <row r="1171" spans="5:5" s="4" customFormat="1" hidden="1" x14ac:dyDescent="0.5">
      <c r="E1171" s="108"/>
    </row>
    <row r="1172" spans="5:5" s="4" customFormat="1" hidden="1" x14ac:dyDescent="0.5">
      <c r="E1172" s="108"/>
    </row>
    <row r="1173" spans="5:5" s="4" customFormat="1" hidden="1" x14ac:dyDescent="0.5">
      <c r="E1173" s="108"/>
    </row>
    <row r="1174" spans="5:5" s="4" customFormat="1" hidden="1" x14ac:dyDescent="0.5">
      <c r="E1174" s="108"/>
    </row>
    <row r="1175" spans="5:5" s="4" customFormat="1" hidden="1" x14ac:dyDescent="0.5">
      <c r="E1175" s="108"/>
    </row>
    <row r="1176" spans="5:5" s="4" customFormat="1" hidden="1" x14ac:dyDescent="0.5">
      <c r="E1176" s="108"/>
    </row>
    <row r="1177" spans="5:5" s="4" customFormat="1" hidden="1" x14ac:dyDescent="0.5">
      <c r="E1177" s="108"/>
    </row>
    <row r="1178" spans="5:5" s="4" customFormat="1" hidden="1" x14ac:dyDescent="0.5">
      <c r="E1178" s="108"/>
    </row>
    <row r="1179" spans="5:5" s="4" customFormat="1" hidden="1" x14ac:dyDescent="0.5">
      <c r="E1179" s="108"/>
    </row>
    <row r="1180" spans="5:5" s="4" customFormat="1" hidden="1" x14ac:dyDescent="0.5">
      <c r="E1180" s="108"/>
    </row>
    <row r="1181" spans="5:5" s="4" customFormat="1" hidden="1" x14ac:dyDescent="0.5">
      <c r="E1181" s="108"/>
    </row>
    <row r="1182" spans="5:5" s="4" customFormat="1" hidden="1" x14ac:dyDescent="0.5">
      <c r="E1182" s="108"/>
    </row>
    <row r="1183" spans="5:5" s="4" customFormat="1" hidden="1" x14ac:dyDescent="0.5">
      <c r="E1183" s="108"/>
    </row>
    <row r="1184" spans="5:5" s="4" customFormat="1" hidden="1" x14ac:dyDescent="0.5">
      <c r="E1184" s="108"/>
    </row>
    <row r="1185" spans="5:5" s="4" customFormat="1" hidden="1" x14ac:dyDescent="0.5">
      <c r="E1185" s="108"/>
    </row>
    <row r="1186" spans="5:5" s="4" customFormat="1" hidden="1" x14ac:dyDescent="0.5">
      <c r="E1186" s="108"/>
    </row>
    <row r="1187" spans="5:5" s="4" customFormat="1" hidden="1" x14ac:dyDescent="0.5">
      <c r="E1187" s="108"/>
    </row>
    <row r="1188" spans="5:5" s="4" customFormat="1" hidden="1" x14ac:dyDescent="0.5">
      <c r="E1188" s="108"/>
    </row>
    <row r="1189" spans="5:5" s="4" customFormat="1" hidden="1" x14ac:dyDescent="0.5">
      <c r="E1189" s="108"/>
    </row>
    <row r="1190" spans="5:5" s="4" customFormat="1" hidden="1" x14ac:dyDescent="0.5">
      <c r="E1190" s="108"/>
    </row>
    <row r="1191" spans="5:5" s="4" customFormat="1" hidden="1" x14ac:dyDescent="0.5">
      <c r="E1191" s="108"/>
    </row>
    <row r="1192" spans="5:5" s="4" customFormat="1" hidden="1" x14ac:dyDescent="0.5">
      <c r="E1192" s="108"/>
    </row>
    <row r="1193" spans="5:5" s="4" customFormat="1" hidden="1" x14ac:dyDescent="0.5">
      <c r="E1193" s="108"/>
    </row>
    <row r="1194" spans="5:5" s="4" customFormat="1" hidden="1" x14ac:dyDescent="0.5">
      <c r="E1194" s="108"/>
    </row>
    <row r="1195" spans="5:5" s="4" customFormat="1" hidden="1" x14ac:dyDescent="0.5">
      <c r="E1195" s="108"/>
    </row>
    <row r="1196" spans="5:5" s="4" customFormat="1" hidden="1" x14ac:dyDescent="0.5">
      <c r="E1196" s="108"/>
    </row>
    <row r="1197" spans="5:5" s="4" customFormat="1" hidden="1" x14ac:dyDescent="0.5">
      <c r="E1197" s="108"/>
    </row>
    <row r="1198" spans="5:5" s="4" customFormat="1" hidden="1" x14ac:dyDescent="0.5">
      <c r="E1198" s="108"/>
    </row>
    <row r="1199" spans="5:5" s="4" customFormat="1" hidden="1" x14ac:dyDescent="0.5">
      <c r="E1199" s="108"/>
    </row>
    <row r="1200" spans="5:5" s="4" customFormat="1" hidden="1" x14ac:dyDescent="0.5">
      <c r="E1200" s="108"/>
    </row>
    <row r="1201" spans="5:5" s="4" customFormat="1" hidden="1" x14ac:dyDescent="0.5">
      <c r="E1201" s="108"/>
    </row>
    <row r="1202" spans="5:5" s="4" customFormat="1" hidden="1" x14ac:dyDescent="0.5">
      <c r="E1202" s="108"/>
    </row>
    <row r="1203" spans="5:5" s="4" customFormat="1" hidden="1" x14ac:dyDescent="0.5">
      <c r="E1203" s="108"/>
    </row>
    <row r="1204" spans="5:5" s="4" customFormat="1" hidden="1" x14ac:dyDescent="0.5">
      <c r="E1204" s="108"/>
    </row>
    <row r="1205" spans="5:5" s="4" customFormat="1" hidden="1" x14ac:dyDescent="0.5">
      <c r="E1205" s="108"/>
    </row>
    <row r="1206" spans="5:5" s="4" customFormat="1" hidden="1" x14ac:dyDescent="0.5">
      <c r="E1206" s="108"/>
    </row>
    <row r="1207" spans="5:5" s="4" customFormat="1" hidden="1" x14ac:dyDescent="0.5">
      <c r="E1207" s="108"/>
    </row>
    <row r="1208" spans="5:5" s="4" customFormat="1" hidden="1" x14ac:dyDescent="0.5">
      <c r="E1208" s="108"/>
    </row>
    <row r="1209" spans="5:5" s="4" customFormat="1" hidden="1" x14ac:dyDescent="0.5">
      <c r="E1209" s="108"/>
    </row>
    <row r="1210" spans="5:5" s="4" customFormat="1" hidden="1" x14ac:dyDescent="0.5">
      <c r="E1210" s="108"/>
    </row>
    <row r="1211" spans="5:5" s="4" customFormat="1" hidden="1" x14ac:dyDescent="0.5">
      <c r="E1211" s="108"/>
    </row>
    <row r="1212" spans="5:5" s="4" customFormat="1" hidden="1" x14ac:dyDescent="0.5">
      <c r="E1212" s="108"/>
    </row>
    <row r="1213" spans="5:5" s="4" customFormat="1" hidden="1" x14ac:dyDescent="0.5">
      <c r="E1213" s="108"/>
    </row>
    <row r="1214" spans="5:5" s="4" customFormat="1" hidden="1" x14ac:dyDescent="0.5">
      <c r="E1214" s="108"/>
    </row>
    <row r="1215" spans="5:5" s="4" customFormat="1" hidden="1" x14ac:dyDescent="0.5">
      <c r="E1215" s="108"/>
    </row>
    <row r="1216" spans="5:5" s="4" customFormat="1" hidden="1" x14ac:dyDescent="0.5">
      <c r="E1216" s="108"/>
    </row>
    <row r="1217" spans="5:5" s="4" customFormat="1" hidden="1" x14ac:dyDescent="0.5">
      <c r="E1217" s="108"/>
    </row>
    <row r="1218" spans="5:5" s="4" customFormat="1" hidden="1" x14ac:dyDescent="0.5">
      <c r="E1218" s="108"/>
    </row>
    <row r="1219" spans="5:5" s="4" customFormat="1" hidden="1" x14ac:dyDescent="0.5">
      <c r="E1219" s="108"/>
    </row>
    <row r="1220" spans="5:5" s="4" customFormat="1" hidden="1" x14ac:dyDescent="0.5">
      <c r="E1220" s="108"/>
    </row>
    <row r="1221" spans="5:5" s="4" customFormat="1" hidden="1" x14ac:dyDescent="0.5">
      <c r="E1221" s="108"/>
    </row>
    <row r="1222" spans="5:5" s="4" customFormat="1" hidden="1" x14ac:dyDescent="0.5">
      <c r="E1222" s="108"/>
    </row>
    <row r="1223" spans="5:5" s="4" customFormat="1" hidden="1" x14ac:dyDescent="0.5">
      <c r="E1223" s="108"/>
    </row>
    <row r="1224" spans="5:5" s="4" customFormat="1" hidden="1" x14ac:dyDescent="0.5">
      <c r="E1224" s="108"/>
    </row>
    <row r="1225" spans="5:5" s="4" customFormat="1" hidden="1" x14ac:dyDescent="0.5">
      <c r="E1225" s="108"/>
    </row>
    <row r="1226" spans="5:5" s="4" customFormat="1" hidden="1" x14ac:dyDescent="0.5">
      <c r="E1226" s="108"/>
    </row>
    <row r="1227" spans="5:5" s="4" customFormat="1" hidden="1" x14ac:dyDescent="0.5">
      <c r="E1227" s="108"/>
    </row>
    <row r="1228" spans="5:5" s="4" customFormat="1" hidden="1" x14ac:dyDescent="0.5">
      <c r="E1228" s="108"/>
    </row>
    <row r="1229" spans="5:5" s="4" customFormat="1" hidden="1" x14ac:dyDescent="0.5">
      <c r="E1229" s="108"/>
    </row>
    <row r="1230" spans="5:5" s="4" customFormat="1" hidden="1" x14ac:dyDescent="0.5">
      <c r="E1230" s="108"/>
    </row>
    <row r="1231" spans="5:5" s="4" customFormat="1" hidden="1" x14ac:dyDescent="0.5">
      <c r="E1231" s="108"/>
    </row>
    <row r="1232" spans="5:5" s="4" customFormat="1" hidden="1" x14ac:dyDescent="0.5">
      <c r="E1232" s="108"/>
    </row>
    <row r="1233" spans="5:5" s="4" customFormat="1" hidden="1" x14ac:dyDescent="0.5">
      <c r="E1233" s="108"/>
    </row>
    <row r="1234" spans="5:5" s="4" customFormat="1" hidden="1" x14ac:dyDescent="0.5">
      <c r="E1234" s="108"/>
    </row>
    <row r="1235" spans="5:5" s="4" customFormat="1" hidden="1" x14ac:dyDescent="0.5">
      <c r="E1235" s="108"/>
    </row>
    <row r="1236" spans="5:5" s="4" customFormat="1" hidden="1" x14ac:dyDescent="0.5">
      <c r="E1236" s="108"/>
    </row>
    <row r="1237" spans="5:5" s="4" customFormat="1" hidden="1" x14ac:dyDescent="0.5">
      <c r="E1237" s="108"/>
    </row>
    <row r="1238" spans="5:5" s="4" customFormat="1" hidden="1" x14ac:dyDescent="0.5">
      <c r="E1238" s="108"/>
    </row>
    <row r="1239" spans="5:5" s="4" customFormat="1" hidden="1" x14ac:dyDescent="0.5">
      <c r="E1239" s="108"/>
    </row>
    <row r="1240" spans="5:5" s="4" customFormat="1" hidden="1" x14ac:dyDescent="0.5">
      <c r="E1240" s="108"/>
    </row>
    <row r="1241" spans="5:5" s="4" customFormat="1" hidden="1" x14ac:dyDescent="0.5">
      <c r="E1241" s="108"/>
    </row>
    <row r="1242" spans="5:5" s="4" customFormat="1" hidden="1" x14ac:dyDescent="0.5">
      <c r="E1242" s="108"/>
    </row>
    <row r="1243" spans="5:5" s="4" customFormat="1" hidden="1" x14ac:dyDescent="0.5">
      <c r="E1243" s="108"/>
    </row>
    <row r="1244" spans="5:5" s="4" customFormat="1" hidden="1" x14ac:dyDescent="0.5">
      <c r="E1244" s="108"/>
    </row>
    <row r="1245" spans="5:5" s="4" customFormat="1" hidden="1" x14ac:dyDescent="0.5">
      <c r="E1245" s="108"/>
    </row>
    <row r="1246" spans="5:5" s="4" customFormat="1" hidden="1" x14ac:dyDescent="0.5">
      <c r="E1246" s="108"/>
    </row>
    <row r="1247" spans="5:5" s="4" customFormat="1" hidden="1" x14ac:dyDescent="0.5">
      <c r="E1247" s="108"/>
    </row>
    <row r="1248" spans="5:5" s="4" customFormat="1" hidden="1" x14ac:dyDescent="0.5">
      <c r="E1248" s="108"/>
    </row>
    <row r="1249" spans="5:5" s="4" customFormat="1" hidden="1" x14ac:dyDescent="0.5">
      <c r="E1249" s="108"/>
    </row>
    <row r="1250" spans="5:5" s="4" customFormat="1" hidden="1" x14ac:dyDescent="0.5">
      <c r="E1250" s="108"/>
    </row>
    <row r="1251" spans="5:5" s="4" customFormat="1" hidden="1" x14ac:dyDescent="0.5">
      <c r="E1251" s="108"/>
    </row>
    <row r="1252" spans="5:5" s="4" customFormat="1" hidden="1" x14ac:dyDescent="0.5">
      <c r="E1252" s="108"/>
    </row>
    <row r="1253" spans="5:5" s="4" customFormat="1" hidden="1" x14ac:dyDescent="0.5">
      <c r="E1253" s="108"/>
    </row>
    <row r="1254" spans="5:5" s="4" customFormat="1" hidden="1" x14ac:dyDescent="0.5">
      <c r="E1254" s="108"/>
    </row>
    <row r="1255" spans="5:5" s="4" customFormat="1" hidden="1" x14ac:dyDescent="0.5">
      <c r="E1255" s="108"/>
    </row>
    <row r="1256" spans="5:5" s="4" customFormat="1" hidden="1" x14ac:dyDescent="0.5">
      <c r="E1256" s="108"/>
    </row>
    <row r="1257" spans="5:5" s="4" customFormat="1" hidden="1" x14ac:dyDescent="0.5">
      <c r="E1257" s="108"/>
    </row>
    <row r="1258" spans="5:5" s="4" customFormat="1" hidden="1" x14ac:dyDescent="0.5">
      <c r="E1258" s="108"/>
    </row>
    <row r="1259" spans="5:5" s="4" customFormat="1" hidden="1" x14ac:dyDescent="0.5">
      <c r="E1259" s="108"/>
    </row>
    <row r="1260" spans="5:5" s="4" customFormat="1" hidden="1" x14ac:dyDescent="0.5">
      <c r="E1260" s="108"/>
    </row>
    <row r="1261" spans="5:5" s="4" customFormat="1" hidden="1" x14ac:dyDescent="0.5">
      <c r="E1261" s="108"/>
    </row>
    <row r="1262" spans="5:5" s="4" customFormat="1" hidden="1" x14ac:dyDescent="0.5">
      <c r="E1262" s="108"/>
    </row>
    <row r="1263" spans="5:5" s="4" customFormat="1" hidden="1" x14ac:dyDescent="0.5">
      <c r="E1263" s="108"/>
    </row>
    <row r="1264" spans="5:5" s="4" customFormat="1" hidden="1" x14ac:dyDescent="0.5">
      <c r="E1264" s="108"/>
    </row>
    <row r="1265" spans="5:5" s="4" customFormat="1" hidden="1" x14ac:dyDescent="0.5">
      <c r="E1265" s="108"/>
    </row>
    <row r="1266" spans="5:5" s="4" customFormat="1" hidden="1" x14ac:dyDescent="0.5">
      <c r="E1266" s="108"/>
    </row>
    <row r="1267" spans="5:5" s="4" customFormat="1" hidden="1" x14ac:dyDescent="0.5">
      <c r="E1267" s="108"/>
    </row>
    <row r="1268" spans="5:5" s="4" customFormat="1" hidden="1" x14ac:dyDescent="0.5">
      <c r="E1268" s="108"/>
    </row>
    <row r="1269" spans="5:5" s="4" customFormat="1" hidden="1" x14ac:dyDescent="0.5">
      <c r="E1269" s="108"/>
    </row>
    <row r="1270" spans="5:5" s="4" customFormat="1" hidden="1" x14ac:dyDescent="0.5">
      <c r="E1270" s="108"/>
    </row>
    <row r="1271" spans="5:5" s="4" customFormat="1" hidden="1" x14ac:dyDescent="0.5">
      <c r="E1271" s="108"/>
    </row>
    <row r="1272" spans="5:5" s="4" customFormat="1" hidden="1" x14ac:dyDescent="0.5">
      <c r="E1272" s="108"/>
    </row>
    <row r="1273" spans="5:5" s="4" customFormat="1" hidden="1" x14ac:dyDescent="0.5">
      <c r="E1273" s="108"/>
    </row>
    <row r="1274" spans="5:5" s="4" customFormat="1" hidden="1" x14ac:dyDescent="0.5">
      <c r="E1274" s="108"/>
    </row>
    <row r="1275" spans="5:5" s="4" customFormat="1" hidden="1" x14ac:dyDescent="0.5">
      <c r="E1275" s="108"/>
    </row>
    <row r="1276" spans="5:5" s="4" customFormat="1" hidden="1" x14ac:dyDescent="0.5">
      <c r="E1276" s="108"/>
    </row>
    <row r="1277" spans="5:5" s="4" customFormat="1" hidden="1" x14ac:dyDescent="0.5">
      <c r="E1277" s="108"/>
    </row>
    <row r="1278" spans="5:5" s="4" customFormat="1" hidden="1" x14ac:dyDescent="0.5">
      <c r="E1278" s="108"/>
    </row>
    <row r="1279" spans="5:5" s="4" customFormat="1" hidden="1" x14ac:dyDescent="0.5">
      <c r="E1279" s="108"/>
    </row>
    <row r="1280" spans="5:5" s="4" customFormat="1" hidden="1" x14ac:dyDescent="0.5">
      <c r="E1280" s="108"/>
    </row>
    <row r="1281" spans="5:5" s="4" customFormat="1" hidden="1" x14ac:dyDescent="0.5">
      <c r="E1281" s="108"/>
    </row>
    <row r="1282" spans="5:5" s="4" customFormat="1" hidden="1" x14ac:dyDescent="0.5">
      <c r="E1282" s="108"/>
    </row>
    <row r="1283" spans="5:5" s="4" customFormat="1" hidden="1" x14ac:dyDescent="0.5">
      <c r="E1283" s="108"/>
    </row>
    <row r="1284" spans="5:5" s="4" customFormat="1" hidden="1" x14ac:dyDescent="0.5">
      <c r="E1284" s="108"/>
    </row>
    <row r="1285" spans="5:5" s="4" customFormat="1" hidden="1" x14ac:dyDescent="0.5">
      <c r="E1285" s="108"/>
    </row>
    <row r="1286" spans="5:5" s="4" customFormat="1" hidden="1" x14ac:dyDescent="0.5">
      <c r="E1286" s="108"/>
    </row>
    <row r="1287" spans="5:5" s="4" customFormat="1" hidden="1" x14ac:dyDescent="0.5">
      <c r="E1287" s="108"/>
    </row>
    <row r="1288" spans="5:5" s="4" customFormat="1" hidden="1" x14ac:dyDescent="0.5">
      <c r="E1288" s="108"/>
    </row>
    <row r="1289" spans="5:5" s="4" customFormat="1" hidden="1" x14ac:dyDescent="0.5">
      <c r="E1289" s="108"/>
    </row>
    <row r="1290" spans="5:5" s="4" customFormat="1" hidden="1" x14ac:dyDescent="0.5">
      <c r="E1290" s="108"/>
    </row>
    <row r="1291" spans="5:5" s="4" customFormat="1" hidden="1" x14ac:dyDescent="0.5">
      <c r="E1291" s="108"/>
    </row>
    <row r="1292" spans="5:5" s="4" customFormat="1" hidden="1" x14ac:dyDescent="0.5">
      <c r="E1292" s="108"/>
    </row>
    <row r="1293" spans="5:5" s="4" customFormat="1" hidden="1" x14ac:dyDescent="0.5">
      <c r="E1293" s="108"/>
    </row>
    <row r="1294" spans="5:5" s="4" customFormat="1" hidden="1" x14ac:dyDescent="0.5">
      <c r="E1294" s="108"/>
    </row>
    <row r="1295" spans="5:5" s="4" customFormat="1" hidden="1" x14ac:dyDescent="0.5">
      <c r="E1295" s="108"/>
    </row>
    <row r="1296" spans="5:5" s="4" customFormat="1" hidden="1" x14ac:dyDescent="0.5">
      <c r="E1296" s="108"/>
    </row>
    <row r="1297" spans="5:5" s="4" customFormat="1" hidden="1" x14ac:dyDescent="0.5">
      <c r="E1297" s="108"/>
    </row>
    <row r="1298" spans="5:5" s="4" customFormat="1" hidden="1" x14ac:dyDescent="0.5">
      <c r="E1298" s="108"/>
    </row>
    <row r="1299" spans="5:5" s="4" customFormat="1" hidden="1" x14ac:dyDescent="0.5">
      <c r="E1299" s="108"/>
    </row>
    <row r="1300" spans="5:5" s="4" customFormat="1" hidden="1" x14ac:dyDescent="0.5">
      <c r="E1300" s="108"/>
    </row>
    <row r="1301" spans="5:5" s="4" customFormat="1" hidden="1" x14ac:dyDescent="0.5">
      <c r="E1301" s="108"/>
    </row>
    <row r="1302" spans="5:5" s="4" customFormat="1" hidden="1" x14ac:dyDescent="0.5">
      <c r="E1302" s="108"/>
    </row>
    <row r="1303" spans="5:5" s="4" customFormat="1" hidden="1" x14ac:dyDescent="0.5">
      <c r="E1303" s="108"/>
    </row>
    <row r="1304" spans="5:5" s="4" customFormat="1" hidden="1" x14ac:dyDescent="0.5">
      <c r="E1304" s="108"/>
    </row>
    <row r="1305" spans="5:5" s="4" customFormat="1" hidden="1" x14ac:dyDescent="0.5">
      <c r="E1305" s="108"/>
    </row>
    <row r="1306" spans="5:5" s="4" customFormat="1" hidden="1" x14ac:dyDescent="0.5">
      <c r="E1306" s="108"/>
    </row>
    <row r="1307" spans="5:5" s="4" customFormat="1" hidden="1" x14ac:dyDescent="0.5">
      <c r="E1307" s="108"/>
    </row>
    <row r="1308" spans="5:5" s="4" customFormat="1" hidden="1" x14ac:dyDescent="0.5">
      <c r="E1308" s="108"/>
    </row>
    <row r="1309" spans="5:5" s="4" customFormat="1" hidden="1" x14ac:dyDescent="0.5">
      <c r="E1309" s="108"/>
    </row>
    <row r="1310" spans="5:5" s="4" customFormat="1" hidden="1" x14ac:dyDescent="0.5">
      <c r="E1310" s="108"/>
    </row>
    <row r="1311" spans="5:5" s="4" customFormat="1" hidden="1" x14ac:dyDescent="0.5">
      <c r="E1311" s="108"/>
    </row>
    <row r="1312" spans="5:5" s="4" customFormat="1" hidden="1" x14ac:dyDescent="0.5">
      <c r="E1312" s="108"/>
    </row>
    <row r="1313" spans="5:5" s="4" customFormat="1" hidden="1" x14ac:dyDescent="0.5">
      <c r="E1313" s="108"/>
    </row>
    <row r="1314" spans="5:5" s="4" customFormat="1" hidden="1" x14ac:dyDescent="0.5">
      <c r="E1314" s="108"/>
    </row>
    <row r="1315" spans="5:5" s="4" customFormat="1" hidden="1" x14ac:dyDescent="0.5">
      <c r="E1315" s="108"/>
    </row>
    <row r="1316" spans="5:5" s="4" customFormat="1" hidden="1" x14ac:dyDescent="0.5">
      <c r="E1316" s="108"/>
    </row>
    <row r="1317" spans="5:5" s="4" customFormat="1" hidden="1" x14ac:dyDescent="0.5">
      <c r="E1317" s="108"/>
    </row>
    <row r="1318" spans="5:5" s="4" customFormat="1" hidden="1" x14ac:dyDescent="0.5">
      <c r="E1318" s="108"/>
    </row>
    <row r="1319" spans="5:5" s="4" customFormat="1" hidden="1" x14ac:dyDescent="0.5">
      <c r="E1319" s="108"/>
    </row>
    <row r="1320" spans="5:5" s="4" customFormat="1" hidden="1" x14ac:dyDescent="0.5">
      <c r="E1320" s="108"/>
    </row>
    <row r="1321" spans="5:5" s="4" customFormat="1" hidden="1" x14ac:dyDescent="0.5">
      <c r="E1321" s="108"/>
    </row>
    <row r="1322" spans="5:5" s="4" customFormat="1" hidden="1" x14ac:dyDescent="0.5">
      <c r="E1322" s="108"/>
    </row>
    <row r="1323" spans="5:5" s="4" customFormat="1" hidden="1" x14ac:dyDescent="0.5">
      <c r="E1323" s="108"/>
    </row>
    <row r="1324" spans="5:5" s="4" customFormat="1" hidden="1" x14ac:dyDescent="0.5">
      <c r="E1324" s="108"/>
    </row>
    <row r="1325" spans="5:5" s="4" customFormat="1" hidden="1" x14ac:dyDescent="0.5">
      <c r="E1325" s="108"/>
    </row>
    <row r="1326" spans="5:5" s="4" customFormat="1" hidden="1" x14ac:dyDescent="0.5">
      <c r="E1326" s="108"/>
    </row>
    <row r="1327" spans="5:5" s="4" customFormat="1" hidden="1" x14ac:dyDescent="0.5">
      <c r="E1327" s="108"/>
    </row>
    <row r="1328" spans="5:5" s="4" customFormat="1" hidden="1" x14ac:dyDescent="0.5">
      <c r="E1328" s="108"/>
    </row>
    <row r="1329" spans="5:5" s="4" customFormat="1" hidden="1" x14ac:dyDescent="0.5">
      <c r="E1329" s="108"/>
    </row>
    <row r="1330" spans="5:5" s="4" customFormat="1" hidden="1" x14ac:dyDescent="0.5">
      <c r="E1330" s="108"/>
    </row>
    <row r="1331" spans="5:5" s="4" customFormat="1" hidden="1" x14ac:dyDescent="0.5">
      <c r="E1331" s="108"/>
    </row>
    <row r="1332" spans="5:5" s="4" customFormat="1" hidden="1" x14ac:dyDescent="0.5">
      <c r="E1332" s="108"/>
    </row>
    <row r="1333" spans="5:5" s="4" customFormat="1" hidden="1" x14ac:dyDescent="0.5">
      <c r="E1333" s="108"/>
    </row>
    <row r="1334" spans="5:5" s="4" customFormat="1" hidden="1" x14ac:dyDescent="0.5">
      <c r="E1334" s="108"/>
    </row>
    <row r="1335" spans="5:5" s="4" customFormat="1" hidden="1" x14ac:dyDescent="0.5">
      <c r="E1335" s="108"/>
    </row>
    <row r="1336" spans="5:5" s="4" customFormat="1" hidden="1" x14ac:dyDescent="0.5">
      <c r="E1336" s="108"/>
    </row>
    <row r="1337" spans="5:5" s="4" customFormat="1" hidden="1" x14ac:dyDescent="0.5">
      <c r="E1337" s="108"/>
    </row>
    <row r="1338" spans="5:5" s="4" customFormat="1" hidden="1" x14ac:dyDescent="0.5">
      <c r="E1338" s="108"/>
    </row>
    <row r="1339" spans="5:5" s="4" customFormat="1" hidden="1" x14ac:dyDescent="0.5">
      <c r="E1339" s="108"/>
    </row>
    <row r="1340" spans="5:5" s="4" customFormat="1" hidden="1" x14ac:dyDescent="0.5">
      <c r="E1340" s="108"/>
    </row>
    <row r="1341" spans="5:5" s="4" customFormat="1" hidden="1" x14ac:dyDescent="0.5">
      <c r="E1341" s="108"/>
    </row>
    <row r="1342" spans="5:5" s="4" customFormat="1" hidden="1" x14ac:dyDescent="0.5">
      <c r="E1342" s="108"/>
    </row>
    <row r="1343" spans="5:5" s="4" customFormat="1" hidden="1" x14ac:dyDescent="0.5">
      <c r="E1343" s="108"/>
    </row>
    <row r="1344" spans="5:5" s="4" customFormat="1" hidden="1" x14ac:dyDescent="0.5">
      <c r="E1344" s="108"/>
    </row>
    <row r="1345" spans="5:5" s="4" customFormat="1" hidden="1" x14ac:dyDescent="0.5">
      <c r="E1345" s="108"/>
    </row>
    <row r="1346" spans="5:5" s="4" customFormat="1" hidden="1" x14ac:dyDescent="0.5">
      <c r="E1346" s="108"/>
    </row>
    <row r="1347" spans="5:5" s="4" customFormat="1" hidden="1" x14ac:dyDescent="0.5">
      <c r="E1347" s="108"/>
    </row>
    <row r="1348" spans="5:5" s="4" customFormat="1" hidden="1" x14ac:dyDescent="0.5">
      <c r="E1348" s="108"/>
    </row>
    <row r="1349" spans="5:5" s="4" customFormat="1" hidden="1" x14ac:dyDescent="0.5">
      <c r="E1349" s="108"/>
    </row>
    <row r="1350" spans="5:5" s="4" customFormat="1" hidden="1" x14ac:dyDescent="0.5">
      <c r="E1350" s="108"/>
    </row>
    <row r="1351" spans="5:5" s="4" customFormat="1" hidden="1" x14ac:dyDescent="0.5">
      <c r="E1351" s="108"/>
    </row>
    <row r="1352" spans="5:5" s="4" customFormat="1" hidden="1" x14ac:dyDescent="0.5">
      <c r="E1352" s="108"/>
    </row>
    <row r="1353" spans="5:5" s="4" customFormat="1" hidden="1" x14ac:dyDescent="0.5">
      <c r="E1353" s="108"/>
    </row>
    <row r="1354" spans="5:5" s="4" customFormat="1" hidden="1" x14ac:dyDescent="0.5">
      <c r="E1354" s="108"/>
    </row>
    <row r="1355" spans="5:5" s="4" customFormat="1" hidden="1" x14ac:dyDescent="0.5">
      <c r="E1355" s="108"/>
    </row>
    <row r="1356" spans="5:5" s="4" customFormat="1" hidden="1" x14ac:dyDescent="0.5">
      <c r="E1356" s="108"/>
    </row>
    <row r="1357" spans="5:5" s="4" customFormat="1" hidden="1" x14ac:dyDescent="0.5">
      <c r="E1357" s="108"/>
    </row>
    <row r="1358" spans="5:5" s="4" customFormat="1" hidden="1" x14ac:dyDescent="0.5">
      <c r="E1358" s="108"/>
    </row>
    <row r="1359" spans="5:5" s="4" customFormat="1" hidden="1" x14ac:dyDescent="0.5">
      <c r="E1359" s="108"/>
    </row>
    <row r="1360" spans="5:5" s="4" customFormat="1" hidden="1" x14ac:dyDescent="0.5">
      <c r="E1360" s="108"/>
    </row>
    <row r="1361" spans="5:5" s="4" customFormat="1" hidden="1" x14ac:dyDescent="0.5">
      <c r="E1361" s="108"/>
    </row>
    <row r="1362" spans="5:5" s="4" customFormat="1" hidden="1" x14ac:dyDescent="0.5">
      <c r="E1362" s="108"/>
    </row>
    <row r="1363" spans="5:5" s="4" customFormat="1" hidden="1" x14ac:dyDescent="0.5">
      <c r="E1363" s="108"/>
    </row>
    <row r="1364" spans="5:5" s="4" customFormat="1" hidden="1" x14ac:dyDescent="0.5">
      <c r="E1364" s="108"/>
    </row>
    <row r="1365" spans="5:5" s="4" customFormat="1" hidden="1" x14ac:dyDescent="0.5">
      <c r="E1365" s="108"/>
    </row>
    <row r="1366" spans="5:5" s="4" customFormat="1" hidden="1" x14ac:dyDescent="0.5">
      <c r="E1366" s="108"/>
    </row>
    <row r="1367" spans="5:5" s="4" customFormat="1" hidden="1" x14ac:dyDescent="0.5">
      <c r="E1367" s="108"/>
    </row>
    <row r="1368" spans="5:5" s="4" customFormat="1" hidden="1" x14ac:dyDescent="0.5">
      <c r="E1368" s="108"/>
    </row>
    <row r="1369" spans="5:5" s="4" customFormat="1" hidden="1" x14ac:dyDescent="0.5">
      <c r="E1369" s="108"/>
    </row>
    <row r="1370" spans="5:5" s="4" customFormat="1" hidden="1" x14ac:dyDescent="0.5">
      <c r="E1370" s="108"/>
    </row>
    <row r="1371" spans="5:5" s="4" customFormat="1" hidden="1" x14ac:dyDescent="0.5">
      <c r="E1371" s="108"/>
    </row>
    <row r="1372" spans="5:5" s="4" customFormat="1" hidden="1" x14ac:dyDescent="0.5">
      <c r="E1372" s="108"/>
    </row>
    <row r="1373" spans="5:5" s="4" customFormat="1" hidden="1" x14ac:dyDescent="0.5">
      <c r="E1373" s="108"/>
    </row>
    <row r="1374" spans="5:5" s="4" customFormat="1" hidden="1" x14ac:dyDescent="0.5">
      <c r="E1374" s="108"/>
    </row>
    <row r="1375" spans="5:5" s="4" customFormat="1" hidden="1" x14ac:dyDescent="0.5">
      <c r="E1375" s="108"/>
    </row>
    <row r="1376" spans="5:5" s="4" customFormat="1" hidden="1" x14ac:dyDescent="0.5">
      <c r="E1376" s="108"/>
    </row>
    <row r="1377" spans="5:5" s="4" customFormat="1" hidden="1" x14ac:dyDescent="0.5">
      <c r="E1377" s="108"/>
    </row>
    <row r="1378" spans="5:5" s="4" customFormat="1" hidden="1" x14ac:dyDescent="0.5">
      <c r="E1378" s="108"/>
    </row>
    <row r="1379" spans="5:5" s="4" customFormat="1" hidden="1" x14ac:dyDescent="0.5">
      <c r="E1379" s="108"/>
    </row>
    <row r="1380" spans="5:5" s="4" customFormat="1" hidden="1" x14ac:dyDescent="0.5">
      <c r="E1380" s="108"/>
    </row>
    <row r="1381" spans="5:5" s="4" customFormat="1" hidden="1" x14ac:dyDescent="0.5">
      <c r="E1381" s="108"/>
    </row>
    <row r="1382" spans="5:5" s="4" customFormat="1" hidden="1" x14ac:dyDescent="0.5">
      <c r="E1382" s="108"/>
    </row>
    <row r="1383" spans="5:5" s="4" customFormat="1" hidden="1" x14ac:dyDescent="0.5">
      <c r="E1383" s="108"/>
    </row>
    <row r="1384" spans="5:5" s="4" customFormat="1" hidden="1" x14ac:dyDescent="0.5">
      <c r="E1384" s="108"/>
    </row>
    <row r="1385" spans="5:5" s="4" customFormat="1" hidden="1" x14ac:dyDescent="0.5">
      <c r="E1385" s="108"/>
    </row>
    <row r="1386" spans="5:5" s="4" customFormat="1" hidden="1" x14ac:dyDescent="0.5">
      <c r="E1386" s="108"/>
    </row>
    <row r="1387" spans="5:5" s="4" customFormat="1" hidden="1" x14ac:dyDescent="0.5">
      <c r="E1387" s="108"/>
    </row>
    <row r="1388" spans="5:5" s="4" customFormat="1" hidden="1" x14ac:dyDescent="0.5">
      <c r="E1388" s="108"/>
    </row>
    <row r="1389" spans="5:5" s="4" customFormat="1" hidden="1" x14ac:dyDescent="0.5">
      <c r="E1389" s="108"/>
    </row>
    <row r="1390" spans="5:5" s="4" customFormat="1" hidden="1" x14ac:dyDescent="0.5">
      <c r="E1390" s="108"/>
    </row>
    <row r="1391" spans="5:5" s="4" customFormat="1" hidden="1" x14ac:dyDescent="0.5">
      <c r="E1391" s="108"/>
    </row>
    <row r="1392" spans="5:5" s="4" customFormat="1" hidden="1" x14ac:dyDescent="0.5">
      <c r="E1392" s="108"/>
    </row>
    <row r="1393" spans="5:5" s="4" customFormat="1" hidden="1" x14ac:dyDescent="0.5">
      <c r="E1393" s="108"/>
    </row>
    <row r="1394" spans="5:5" s="4" customFormat="1" hidden="1" x14ac:dyDescent="0.5">
      <c r="E1394" s="108"/>
    </row>
    <row r="1395" spans="5:5" s="4" customFormat="1" hidden="1" x14ac:dyDescent="0.5">
      <c r="E1395" s="108"/>
    </row>
    <row r="1396" spans="5:5" s="4" customFormat="1" hidden="1" x14ac:dyDescent="0.5">
      <c r="E1396" s="108"/>
    </row>
    <row r="1397" spans="5:5" s="4" customFormat="1" hidden="1" x14ac:dyDescent="0.5">
      <c r="E1397" s="108"/>
    </row>
    <row r="1398" spans="5:5" s="4" customFormat="1" hidden="1" x14ac:dyDescent="0.5">
      <c r="E1398" s="108"/>
    </row>
    <row r="1399" spans="5:5" s="4" customFormat="1" hidden="1" x14ac:dyDescent="0.5">
      <c r="E1399" s="108"/>
    </row>
    <row r="1400" spans="5:5" s="4" customFormat="1" hidden="1" x14ac:dyDescent="0.5">
      <c r="E1400" s="108"/>
    </row>
    <row r="1401" spans="5:5" s="4" customFormat="1" hidden="1" x14ac:dyDescent="0.5">
      <c r="E1401" s="108"/>
    </row>
    <row r="1402" spans="5:5" s="4" customFormat="1" hidden="1" x14ac:dyDescent="0.5">
      <c r="E1402" s="108"/>
    </row>
    <row r="1403" spans="5:5" s="4" customFormat="1" hidden="1" x14ac:dyDescent="0.5">
      <c r="E1403" s="108"/>
    </row>
    <row r="1404" spans="5:5" s="4" customFormat="1" hidden="1" x14ac:dyDescent="0.5">
      <c r="E1404" s="108"/>
    </row>
    <row r="1405" spans="5:5" s="4" customFormat="1" hidden="1" x14ac:dyDescent="0.5">
      <c r="E1405" s="108"/>
    </row>
    <row r="1406" spans="5:5" s="4" customFormat="1" hidden="1" x14ac:dyDescent="0.5">
      <c r="E1406" s="108"/>
    </row>
    <row r="1407" spans="5:5" s="4" customFormat="1" hidden="1" x14ac:dyDescent="0.5">
      <c r="E1407" s="108"/>
    </row>
    <row r="1408" spans="5:5" s="4" customFormat="1" hidden="1" x14ac:dyDescent="0.5">
      <c r="E1408" s="108"/>
    </row>
    <row r="1409" spans="5:5" s="4" customFormat="1" hidden="1" x14ac:dyDescent="0.5">
      <c r="E1409" s="108"/>
    </row>
    <row r="1410" spans="5:5" s="4" customFormat="1" hidden="1" x14ac:dyDescent="0.5">
      <c r="E1410" s="108"/>
    </row>
    <row r="1411" spans="5:5" s="4" customFormat="1" hidden="1" x14ac:dyDescent="0.5">
      <c r="E1411" s="108"/>
    </row>
    <row r="1412" spans="5:5" s="4" customFormat="1" hidden="1" x14ac:dyDescent="0.5">
      <c r="E1412" s="108"/>
    </row>
    <row r="1413" spans="5:5" s="4" customFormat="1" hidden="1" x14ac:dyDescent="0.5">
      <c r="E1413" s="108"/>
    </row>
    <row r="1414" spans="5:5" s="4" customFormat="1" hidden="1" x14ac:dyDescent="0.5">
      <c r="E1414" s="108"/>
    </row>
    <row r="1415" spans="5:5" s="4" customFormat="1" hidden="1" x14ac:dyDescent="0.5">
      <c r="E1415" s="108"/>
    </row>
    <row r="1416" spans="5:5" s="4" customFormat="1" hidden="1" x14ac:dyDescent="0.5">
      <c r="E1416" s="108"/>
    </row>
    <row r="1417" spans="5:5" s="4" customFormat="1" hidden="1" x14ac:dyDescent="0.5">
      <c r="E1417" s="108"/>
    </row>
    <row r="1418" spans="5:5" s="4" customFormat="1" hidden="1" x14ac:dyDescent="0.5">
      <c r="E1418" s="108"/>
    </row>
    <row r="1419" spans="5:5" s="4" customFormat="1" hidden="1" x14ac:dyDescent="0.5">
      <c r="E1419" s="108"/>
    </row>
    <row r="1420" spans="5:5" s="4" customFormat="1" hidden="1" x14ac:dyDescent="0.5">
      <c r="E1420" s="108"/>
    </row>
    <row r="1421" spans="5:5" s="4" customFormat="1" hidden="1" x14ac:dyDescent="0.5">
      <c r="E1421" s="108"/>
    </row>
    <row r="1422" spans="5:5" s="4" customFormat="1" hidden="1" x14ac:dyDescent="0.5">
      <c r="E1422" s="108"/>
    </row>
    <row r="1423" spans="5:5" s="4" customFormat="1" hidden="1" x14ac:dyDescent="0.5">
      <c r="E1423" s="108"/>
    </row>
    <row r="1424" spans="5:5" s="4" customFormat="1" hidden="1" x14ac:dyDescent="0.5">
      <c r="E1424" s="108"/>
    </row>
    <row r="1425" spans="5:5" s="4" customFormat="1" hidden="1" x14ac:dyDescent="0.5">
      <c r="E1425" s="108"/>
    </row>
    <row r="1426" spans="5:5" s="4" customFormat="1" hidden="1" x14ac:dyDescent="0.5">
      <c r="E1426" s="108"/>
    </row>
    <row r="1427" spans="5:5" s="4" customFormat="1" hidden="1" x14ac:dyDescent="0.5">
      <c r="E1427" s="108"/>
    </row>
    <row r="1428" spans="5:5" s="4" customFormat="1" hidden="1" x14ac:dyDescent="0.5">
      <c r="E1428" s="108"/>
    </row>
    <row r="1429" spans="5:5" s="4" customFormat="1" hidden="1" x14ac:dyDescent="0.5">
      <c r="E1429" s="108"/>
    </row>
    <row r="1430" spans="5:5" s="4" customFormat="1" hidden="1" x14ac:dyDescent="0.5">
      <c r="E1430" s="108"/>
    </row>
    <row r="1431" spans="5:5" s="4" customFormat="1" hidden="1" x14ac:dyDescent="0.5">
      <c r="E1431" s="108"/>
    </row>
    <row r="1432" spans="5:5" s="4" customFormat="1" hidden="1" x14ac:dyDescent="0.5">
      <c r="E1432" s="108"/>
    </row>
    <row r="1433" spans="5:5" s="4" customFormat="1" hidden="1" x14ac:dyDescent="0.5">
      <c r="E1433" s="108"/>
    </row>
    <row r="1434" spans="5:5" s="4" customFormat="1" hidden="1" x14ac:dyDescent="0.5">
      <c r="E1434" s="108"/>
    </row>
    <row r="1435" spans="5:5" s="4" customFormat="1" hidden="1" x14ac:dyDescent="0.5">
      <c r="E1435" s="108"/>
    </row>
    <row r="1436" spans="5:5" s="4" customFormat="1" hidden="1" x14ac:dyDescent="0.5">
      <c r="E1436" s="108"/>
    </row>
    <row r="1437" spans="5:5" s="4" customFormat="1" hidden="1" x14ac:dyDescent="0.5">
      <c r="E1437" s="108"/>
    </row>
    <row r="1438" spans="5:5" s="4" customFormat="1" hidden="1" x14ac:dyDescent="0.5">
      <c r="E1438" s="108"/>
    </row>
    <row r="1439" spans="5:5" s="4" customFormat="1" hidden="1" x14ac:dyDescent="0.5">
      <c r="E1439" s="108"/>
    </row>
    <row r="1440" spans="5:5" s="4" customFormat="1" hidden="1" x14ac:dyDescent="0.5">
      <c r="E1440" s="108"/>
    </row>
    <row r="1441" spans="5:5" s="4" customFormat="1" hidden="1" x14ac:dyDescent="0.5">
      <c r="E1441" s="108"/>
    </row>
    <row r="1442" spans="5:5" s="4" customFormat="1" hidden="1" x14ac:dyDescent="0.5">
      <c r="E1442" s="108"/>
    </row>
    <row r="1443" spans="5:5" s="4" customFormat="1" hidden="1" x14ac:dyDescent="0.5">
      <c r="E1443" s="108"/>
    </row>
    <row r="1444" spans="5:5" s="4" customFormat="1" hidden="1" x14ac:dyDescent="0.5">
      <c r="E1444" s="108"/>
    </row>
    <row r="1445" spans="5:5" s="4" customFormat="1" hidden="1" x14ac:dyDescent="0.5">
      <c r="E1445" s="108"/>
    </row>
    <row r="1446" spans="5:5" s="4" customFormat="1" hidden="1" x14ac:dyDescent="0.5">
      <c r="E1446" s="108"/>
    </row>
    <row r="1447" spans="5:5" s="4" customFormat="1" hidden="1" x14ac:dyDescent="0.5">
      <c r="E1447" s="108"/>
    </row>
    <row r="1448" spans="5:5" s="4" customFormat="1" hidden="1" x14ac:dyDescent="0.5">
      <c r="E1448" s="108"/>
    </row>
    <row r="1449" spans="5:5" s="4" customFormat="1" hidden="1" x14ac:dyDescent="0.5">
      <c r="E1449" s="108"/>
    </row>
    <row r="1450" spans="5:5" s="4" customFormat="1" hidden="1" x14ac:dyDescent="0.5">
      <c r="E1450" s="108"/>
    </row>
    <row r="1451" spans="5:5" s="4" customFormat="1" hidden="1" x14ac:dyDescent="0.5">
      <c r="E1451" s="108"/>
    </row>
    <row r="1452" spans="5:5" s="4" customFormat="1" hidden="1" x14ac:dyDescent="0.5">
      <c r="E1452" s="108"/>
    </row>
    <row r="1453" spans="5:5" s="4" customFormat="1" hidden="1" x14ac:dyDescent="0.5">
      <c r="E1453" s="108"/>
    </row>
    <row r="1454" spans="5:5" s="4" customFormat="1" hidden="1" x14ac:dyDescent="0.5">
      <c r="E1454" s="108"/>
    </row>
    <row r="1455" spans="5:5" s="4" customFormat="1" hidden="1" x14ac:dyDescent="0.5">
      <c r="E1455" s="108"/>
    </row>
    <row r="1456" spans="5:5" s="4" customFormat="1" hidden="1" x14ac:dyDescent="0.5">
      <c r="E1456" s="108"/>
    </row>
    <row r="1457" spans="5:5" s="4" customFormat="1" hidden="1" x14ac:dyDescent="0.5">
      <c r="E1457" s="108"/>
    </row>
    <row r="1458" spans="5:5" s="4" customFormat="1" hidden="1" x14ac:dyDescent="0.5">
      <c r="E1458" s="108"/>
    </row>
    <row r="1459" spans="5:5" s="4" customFormat="1" hidden="1" x14ac:dyDescent="0.5">
      <c r="E1459" s="108"/>
    </row>
    <row r="1460" spans="5:5" s="4" customFormat="1" hidden="1" x14ac:dyDescent="0.5">
      <c r="E1460" s="108"/>
    </row>
    <row r="1461" spans="5:5" s="4" customFormat="1" hidden="1" x14ac:dyDescent="0.5">
      <c r="E1461" s="108"/>
    </row>
    <row r="1462" spans="5:5" s="4" customFormat="1" hidden="1" x14ac:dyDescent="0.5">
      <c r="E1462" s="108"/>
    </row>
    <row r="1463" spans="5:5" s="4" customFormat="1" hidden="1" x14ac:dyDescent="0.5">
      <c r="E1463" s="108"/>
    </row>
    <row r="1464" spans="5:5" s="4" customFormat="1" hidden="1" x14ac:dyDescent="0.5">
      <c r="E1464" s="108"/>
    </row>
    <row r="1465" spans="5:5" s="4" customFormat="1" hidden="1" x14ac:dyDescent="0.5">
      <c r="E1465" s="108"/>
    </row>
    <row r="1466" spans="5:5" s="4" customFormat="1" hidden="1" x14ac:dyDescent="0.5">
      <c r="E1466" s="108"/>
    </row>
    <row r="1467" spans="5:5" s="4" customFormat="1" hidden="1" x14ac:dyDescent="0.5">
      <c r="E1467" s="108"/>
    </row>
    <row r="1468" spans="5:5" s="4" customFormat="1" hidden="1" x14ac:dyDescent="0.5">
      <c r="E1468" s="108"/>
    </row>
    <row r="1469" spans="5:5" s="4" customFormat="1" hidden="1" x14ac:dyDescent="0.5">
      <c r="E1469" s="108"/>
    </row>
    <row r="1470" spans="5:5" s="4" customFormat="1" hidden="1" x14ac:dyDescent="0.5">
      <c r="E1470" s="108"/>
    </row>
    <row r="1471" spans="5:5" s="4" customFormat="1" hidden="1" x14ac:dyDescent="0.5">
      <c r="E1471" s="108"/>
    </row>
    <row r="1472" spans="5:5" s="4" customFormat="1" hidden="1" x14ac:dyDescent="0.5">
      <c r="E1472" s="108"/>
    </row>
    <row r="1473" spans="5:5" s="4" customFormat="1" hidden="1" x14ac:dyDescent="0.5">
      <c r="E1473" s="108"/>
    </row>
    <row r="1474" spans="5:5" s="4" customFormat="1" hidden="1" x14ac:dyDescent="0.5">
      <c r="E1474" s="108"/>
    </row>
    <row r="1475" spans="5:5" s="4" customFormat="1" hidden="1" x14ac:dyDescent="0.5">
      <c r="E1475" s="108"/>
    </row>
    <row r="1476" spans="5:5" s="4" customFormat="1" hidden="1" x14ac:dyDescent="0.5">
      <c r="E1476" s="108"/>
    </row>
    <row r="1477" spans="5:5" s="4" customFormat="1" hidden="1" x14ac:dyDescent="0.5">
      <c r="E1477" s="108"/>
    </row>
    <row r="1478" spans="5:5" s="4" customFormat="1" hidden="1" x14ac:dyDescent="0.5">
      <c r="E1478" s="108"/>
    </row>
    <row r="1479" spans="5:5" s="4" customFormat="1" hidden="1" x14ac:dyDescent="0.5">
      <c r="E1479" s="108"/>
    </row>
    <row r="1480" spans="5:5" s="4" customFormat="1" hidden="1" x14ac:dyDescent="0.5">
      <c r="E1480" s="108"/>
    </row>
    <row r="1481" spans="5:5" s="4" customFormat="1" hidden="1" x14ac:dyDescent="0.5">
      <c r="E1481" s="108"/>
    </row>
    <row r="1482" spans="5:5" s="4" customFormat="1" hidden="1" x14ac:dyDescent="0.5">
      <c r="E1482" s="108"/>
    </row>
    <row r="1483" spans="5:5" s="4" customFormat="1" hidden="1" x14ac:dyDescent="0.5">
      <c r="E1483" s="108"/>
    </row>
    <row r="1484" spans="5:5" s="4" customFormat="1" hidden="1" x14ac:dyDescent="0.5">
      <c r="E1484" s="108"/>
    </row>
    <row r="1485" spans="5:5" s="4" customFormat="1" hidden="1" x14ac:dyDescent="0.5">
      <c r="E1485" s="108"/>
    </row>
    <row r="1486" spans="5:5" s="4" customFormat="1" hidden="1" x14ac:dyDescent="0.5">
      <c r="E1486" s="108"/>
    </row>
    <row r="1487" spans="5:5" s="4" customFormat="1" hidden="1" x14ac:dyDescent="0.5">
      <c r="E1487" s="108"/>
    </row>
    <row r="1488" spans="5:5" s="4" customFormat="1" hidden="1" x14ac:dyDescent="0.5">
      <c r="E1488" s="108"/>
    </row>
    <row r="1489" spans="5:5" s="4" customFormat="1" hidden="1" x14ac:dyDescent="0.5">
      <c r="E1489" s="108"/>
    </row>
    <row r="1490" spans="5:5" s="4" customFormat="1" hidden="1" x14ac:dyDescent="0.5">
      <c r="E1490" s="108"/>
    </row>
    <row r="1491" spans="5:5" s="4" customFormat="1" hidden="1" x14ac:dyDescent="0.5">
      <c r="E1491" s="108"/>
    </row>
    <row r="1492" spans="5:5" s="4" customFormat="1" hidden="1" x14ac:dyDescent="0.5">
      <c r="E1492" s="108"/>
    </row>
    <row r="1493" spans="5:5" s="4" customFormat="1" hidden="1" x14ac:dyDescent="0.5">
      <c r="E1493" s="108"/>
    </row>
    <row r="1494" spans="5:5" s="4" customFormat="1" hidden="1" x14ac:dyDescent="0.5">
      <c r="E1494" s="108"/>
    </row>
    <row r="1495" spans="5:5" s="4" customFormat="1" hidden="1" x14ac:dyDescent="0.5">
      <c r="E1495" s="108"/>
    </row>
    <row r="1496" spans="5:5" s="4" customFormat="1" hidden="1" x14ac:dyDescent="0.5">
      <c r="E1496" s="108"/>
    </row>
    <row r="1497" spans="5:5" s="4" customFormat="1" hidden="1" x14ac:dyDescent="0.5">
      <c r="E1497" s="108"/>
    </row>
    <row r="1498" spans="5:5" s="4" customFormat="1" hidden="1" x14ac:dyDescent="0.5">
      <c r="E1498" s="108"/>
    </row>
    <row r="1499" spans="5:5" s="4" customFormat="1" hidden="1" x14ac:dyDescent="0.5">
      <c r="E1499" s="108"/>
    </row>
    <row r="1500" spans="5:5" s="4" customFormat="1" hidden="1" x14ac:dyDescent="0.5">
      <c r="E1500" s="108"/>
    </row>
    <row r="1501" spans="5:5" s="4" customFormat="1" hidden="1" x14ac:dyDescent="0.5">
      <c r="E1501" s="108"/>
    </row>
    <row r="1502" spans="5:5" s="4" customFormat="1" hidden="1" x14ac:dyDescent="0.5">
      <c r="E1502" s="108"/>
    </row>
    <row r="1503" spans="5:5" s="4" customFormat="1" hidden="1" x14ac:dyDescent="0.5">
      <c r="E1503" s="108"/>
    </row>
    <row r="1504" spans="5:5" s="4" customFormat="1" hidden="1" x14ac:dyDescent="0.5">
      <c r="E1504" s="108"/>
    </row>
    <row r="1505" spans="5:5" s="4" customFormat="1" hidden="1" x14ac:dyDescent="0.5">
      <c r="E1505" s="108"/>
    </row>
    <row r="1506" spans="5:5" s="4" customFormat="1" hidden="1" x14ac:dyDescent="0.5">
      <c r="E1506" s="108"/>
    </row>
    <row r="1507" spans="5:5" s="4" customFormat="1" hidden="1" x14ac:dyDescent="0.5">
      <c r="E1507" s="108"/>
    </row>
    <row r="1508" spans="5:5" s="4" customFormat="1" hidden="1" x14ac:dyDescent="0.5">
      <c r="E1508" s="108"/>
    </row>
    <row r="1509" spans="5:5" s="4" customFormat="1" hidden="1" x14ac:dyDescent="0.5">
      <c r="E1509" s="108"/>
    </row>
    <row r="1510" spans="5:5" s="4" customFormat="1" hidden="1" x14ac:dyDescent="0.5">
      <c r="E1510" s="108"/>
    </row>
    <row r="1511" spans="5:5" s="4" customFormat="1" hidden="1" x14ac:dyDescent="0.5">
      <c r="E1511" s="108"/>
    </row>
    <row r="1512" spans="5:5" s="4" customFormat="1" hidden="1" x14ac:dyDescent="0.5">
      <c r="E1512" s="108"/>
    </row>
    <row r="1513" spans="5:5" s="4" customFormat="1" hidden="1" x14ac:dyDescent="0.5">
      <c r="E1513" s="108"/>
    </row>
    <row r="1514" spans="5:5" s="4" customFormat="1" hidden="1" x14ac:dyDescent="0.5">
      <c r="E1514" s="108"/>
    </row>
    <row r="1515" spans="5:5" s="4" customFormat="1" hidden="1" x14ac:dyDescent="0.5">
      <c r="E1515" s="108"/>
    </row>
    <row r="1516" spans="5:5" s="4" customFormat="1" hidden="1" x14ac:dyDescent="0.5">
      <c r="E1516" s="108"/>
    </row>
    <row r="1517" spans="5:5" s="4" customFormat="1" hidden="1" x14ac:dyDescent="0.5">
      <c r="E1517" s="108"/>
    </row>
    <row r="1518" spans="5:5" s="4" customFormat="1" hidden="1" x14ac:dyDescent="0.5">
      <c r="E1518" s="108"/>
    </row>
    <row r="1519" spans="5:5" s="4" customFormat="1" hidden="1" x14ac:dyDescent="0.5">
      <c r="E1519" s="108"/>
    </row>
    <row r="1520" spans="5:5" s="4" customFormat="1" hidden="1" x14ac:dyDescent="0.5">
      <c r="E1520" s="108"/>
    </row>
    <row r="1521" spans="5:5" s="4" customFormat="1" hidden="1" x14ac:dyDescent="0.5">
      <c r="E1521" s="108"/>
    </row>
    <row r="1522" spans="5:5" s="4" customFormat="1" hidden="1" x14ac:dyDescent="0.5">
      <c r="E1522" s="108"/>
    </row>
    <row r="1523" spans="5:5" s="4" customFormat="1" hidden="1" x14ac:dyDescent="0.5">
      <c r="E1523" s="108"/>
    </row>
    <row r="1524" spans="5:5" s="4" customFormat="1" hidden="1" x14ac:dyDescent="0.5">
      <c r="E1524" s="108"/>
    </row>
    <row r="1525" spans="5:5" s="4" customFormat="1" hidden="1" x14ac:dyDescent="0.5">
      <c r="E1525" s="108"/>
    </row>
    <row r="1526" spans="5:5" s="4" customFormat="1" hidden="1" x14ac:dyDescent="0.5">
      <c r="E1526" s="108"/>
    </row>
    <row r="1527" spans="5:5" s="4" customFormat="1" hidden="1" x14ac:dyDescent="0.5">
      <c r="E1527" s="108"/>
    </row>
    <row r="1528" spans="5:5" s="4" customFormat="1" hidden="1" x14ac:dyDescent="0.5">
      <c r="E1528" s="108"/>
    </row>
    <row r="1529" spans="5:5" s="4" customFormat="1" hidden="1" x14ac:dyDescent="0.5">
      <c r="E1529" s="108"/>
    </row>
    <row r="1530" spans="5:5" s="4" customFormat="1" hidden="1" x14ac:dyDescent="0.5">
      <c r="E1530" s="108"/>
    </row>
    <row r="1531" spans="5:5" s="4" customFormat="1" hidden="1" x14ac:dyDescent="0.5">
      <c r="E1531" s="108"/>
    </row>
    <row r="1532" spans="5:5" s="4" customFormat="1" hidden="1" x14ac:dyDescent="0.5">
      <c r="E1532" s="108"/>
    </row>
    <row r="1533" spans="5:5" s="4" customFormat="1" hidden="1" x14ac:dyDescent="0.5">
      <c r="E1533" s="108"/>
    </row>
    <row r="1534" spans="5:5" s="4" customFormat="1" hidden="1" x14ac:dyDescent="0.5">
      <c r="E1534" s="108"/>
    </row>
    <row r="1535" spans="5:5" s="4" customFormat="1" hidden="1" x14ac:dyDescent="0.5">
      <c r="E1535" s="108"/>
    </row>
    <row r="1536" spans="5:5" s="4" customFormat="1" hidden="1" x14ac:dyDescent="0.5">
      <c r="E1536" s="108"/>
    </row>
    <row r="1537" spans="5:5" s="4" customFormat="1" hidden="1" x14ac:dyDescent="0.5">
      <c r="E1537" s="108"/>
    </row>
    <row r="1538" spans="5:5" s="4" customFormat="1" hidden="1" x14ac:dyDescent="0.5">
      <c r="E1538" s="108"/>
    </row>
    <row r="1539" spans="5:5" s="4" customFormat="1" hidden="1" x14ac:dyDescent="0.5">
      <c r="E1539" s="108"/>
    </row>
    <row r="1540" spans="5:5" s="4" customFormat="1" hidden="1" x14ac:dyDescent="0.5">
      <c r="E1540" s="108"/>
    </row>
    <row r="1541" spans="5:5" s="4" customFormat="1" hidden="1" x14ac:dyDescent="0.5">
      <c r="E1541" s="108"/>
    </row>
    <row r="1542" spans="5:5" s="4" customFormat="1" hidden="1" x14ac:dyDescent="0.5">
      <c r="E1542" s="108"/>
    </row>
    <row r="1543" spans="5:5" s="4" customFormat="1" hidden="1" x14ac:dyDescent="0.5">
      <c r="E1543" s="108"/>
    </row>
    <row r="1544" spans="5:5" s="4" customFormat="1" hidden="1" x14ac:dyDescent="0.5">
      <c r="E1544" s="108"/>
    </row>
    <row r="1545" spans="5:5" s="4" customFormat="1" hidden="1" x14ac:dyDescent="0.5">
      <c r="E1545" s="108"/>
    </row>
    <row r="1546" spans="5:5" s="4" customFormat="1" hidden="1" x14ac:dyDescent="0.5">
      <c r="E1546" s="108"/>
    </row>
    <row r="1547" spans="5:5" s="4" customFormat="1" hidden="1" x14ac:dyDescent="0.5">
      <c r="E1547" s="108"/>
    </row>
    <row r="1548" spans="5:5" s="4" customFormat="1" hidden="1" x14ac:dyDescent="0.5">
      <c r="E1548" s="108"/>
    </row>
    <row r="1549" spans="5:5" s="4" customFormat="1" hidden="1" x14ac:dyDescent="0.5">
      <c r="E1549" s="108"/>
    </row>
    <row r="1550" spans="5:5" s="4" customFormat="1" hidden="1" x14ac:dyDescent="0.5">
      <c r="E1550" s="108"/>
    </row>
    <row r="1551" spans="5:5" s="4" customFormat="1" hidden="1" x14ac:dyDescent="0.5">
      <c r="E1551" s="108"/>
    </row>
    <row r="1552" spans="5:5" s="4" customFormat="1" hidden="1" x14ac:dyDescent="0.5">
      <c r="E1552" s="108"/>
    </row>
    <row r="1553" spans="5:5" s="4" customFormat="1" hidden="1" x14ac:dyDescent="0.5">
      <c r="E1553" s="108"/>
    </row>
    <row r="1554" spans="5:5" s="4" customFormat="1" hidden="1" x14ac:dyDescent="0.5">
      <c r="E1554" s="108"/>
    </row>
    <row r="1555" spans="5:5" s="4" customFormat="1" hidden="1" x14ac:dyDescent="0.5">
      <c r="E1555" s="108"/>
    </row>
    <row r="1556" spans="5:5" s="4" customFormat="1" hidden="1" x14ac:dyDescent="0.5">
      <c r="E1556" s="108"/>
    </row>
    <row r="1557" spans="5:5" s="4" customFormat="1" hidden="1" x14ac:dyDescent="0.5">
      <c r="E1557" s="108"/>
    </row>
    <row r="1558" spans="5:5" s="4" customFormat="1" hidden="1" x14ac:dyDescent="0.5">
      <c r="E1558" s="108"/>
    </row>
    <row r="1559" spans="5:5" s="4" customFormat="1" hidden="1" x14ac:dyDescent="0.5">
      <c r="E1559" s="108"/>
    </row>
    <row r="1560" spans="5:5" s="4" customFormat="1" hidden="1" x14ac:dyDescent="0.5">
      <c r="E1560" s="108"/>
    </row>
    <row r="1561" spans="5:5" s="4" customFormat="1" hidden="1" x14ac:dyDescent="0.5">
      <c r="E1561" s="108"/>
    </row>
    <row r="1562" spans="5:5" s="4" customFormat="1" hidden="1" x14ac:dyDescent="0.5">
      <c r="E1562" s="108"/>
    </row>
    <row r="1563" spans="5:5" s="4" customFormat="1" hidden="1" x14ac:dyDescent="0.5">
      <c r="E1563" s="108"/>
    </row>
    <row r="1564" spans="5:5" s="4" customFormat="1" hidden="1" x14ac:dyDescent="0.5">
      <c r="E1564" s="108"/>
    </row>
    <row r="1565" spans="5:5" s="4" customFormat="1" hidden="1" x14ac:dyDescent="0.5">
      <c r="E1565" s="108"/>
    </row>
    <row r="1566" spans="5:5" s="4" customFormat="1" hidden="1" x14ac:dyDescent="0.5">
      <c r="E1566" s="108"/>
    </row>
    <row r="1567" spans="5:5" s="4" customFormat="1" hidden="1" x14ac:dyDescent="0.5">
      <c r="E1567" s="108"/>
    </row>
    <row r="1568" spans="5:5" s="4" customFormat="1" hidden="1" x14ac:dyDescent="0.5">
      <c r="E1568" s="108"/>
    </row>
    <row r="1569" spans="5:5" s="4" customFormat="1" hidden="1" x14ac:dyDescent="0.5">
      <c r="E1569" s="108"/>
    </row>
    <row r="1570" spans="5:5" s="4" customFormat="1" hidden="1" x14ac:dyDescent="0.5">
      <c r="E1570" s="108"/>
    </row>
    <row r="1571" spans="5:5" s="4" customFormat="1" hidden="1" x14ac:dyDescent="0.5">
      <c r="E1571" s="108"/>
    </row>
    <row r="1572" spans="5:5" s="4" customFormat="1" hidden="1" x14ac:dyDescent="0.5">
      <c r="E1572" s="108"/>
    </row>
    <row r="1573" spans="5:5" s="4" customFormat="1" hidden="1" x14ac:dyDescent="0.5">
      <c r="E1573" s="108"/>
    </row>
    <row r="1574" spans="5:5" s="4" customFormat="1" hidden="1" x14ac:dyDescent="0.5">
      <c r="E1574" s="108"/>
    </row>
    <row r="1575" spans="5:5" s="4" customFormat="1" hidden="1" x14ac:dyDescent="0.5">
      <c r="E1575" s="108"/>
    </row>
    <row r="1576" spans="5:5" s="4" customFormat="1" hidden="1" x14ac:dyDescent="0.5">
      <c r="E1576" s="108"/>
    </row>
    <row r="1577" spans="5:5" s="4" customFormat="1" hidden="1" x14ac:dyDescent="0.5">
      <c r="E1577" s="108"/>
    </row>
    <row r="1578" spans="5:5" s="4" customFormat="1" hidden="1" x14ac:dyDescent="0.5">
      <c r="E1578" s="108"/>
    </row>
    <row r="1579" spans="5:5" s="4" customFormat="1" hidden="1" x14ac:dyDescent="0.5">
      <c r="E1579" s="108"/>
    </row>
    <row r="1580" spans="5:5" s="4" customFormat="1" hidden="1" x14ac:dyDescent="0.5">
      <c r="E1580" s="108"/>
    </row>
    <row r="1581" spans="5:5" s="4" customFormat="1" hidden="1" x14ac:dyDescent="0.5">
      <c r="E1581" s="108"/>
    </row>
    <row r="1582" spans="5:5" s="4" customFormat="1" hidden="1" x14ac:dyDescent="0.5">
      <c r="E1582" s="108"/>
    </row>
    <row r="1583" spans="5:5" s="4" customFormat="1" hidden="1" x14ac:dyDescent="0.5">
      <c r="E1583" s="108"/>
    </row>
    <row r="1584" spans="5:5" s="4" customFormat="1" hidden="1" x14ac:dyDescent="0.5">
      <c r="E1584" s="108"/>
    </row>
    <row r="1585" spans="5:5" s="4" customFormat="1" hidden="1" x14ac:dyDescent="0.5">
      <c r="E1585" s="108"/>
    </row>
    <row r="1586" spans="5:5" s="4" customFormat="1" hidden="1" x14ac:dyDescent="0.5">
      <c r="E1586" s="108"/>
    </row>
    <row r="1587" spans="5:5" s="4" customFormat="1" hidden="1" x14ac:dyDescent="0.5">
      <c r="E1587" s="108"/>
    </row>
    <row r="1588" spans="5:5" s="4" customFormat="1" hidden="1" x14ac:dyDescent="0.5">
      <c r="E1588" s="108"/>
    </row>
    <row r="1589" spans="5:5" s="4" customFormat="1" hidden="1" x14ac:dyDescent="0.5">
      <c r="E1589" s="108"/>
    </row>
    <row r="1590" spans="5:5" s="4" customFormat="1" hidden="1" x14ac:dyDescent="0.5">
      <c r="E1590" s="108"/>
    </row>
    <row r="1591" spans="5:5" s="4" customFormat="1" hidden="1" x14ac:dyDescent="0.5">
      <c r="E1591" s="108"/>
    </row>
    <row r="1592" spans="5:5" s="4" customFormat="1" hidden="1" x14ac:dyDescent="0.5">
      <c r="E1592" s="108"/>
    </row>
    <row r="1593" spans="5:5" s="4" customFormat="1" hidden="1" x14ac:dyDescent="0.5">
      <c r="E1593" s="108"/>
    </row>
    <row r="1594" spans="5:5" s="4" customFormat="1" hidden="1" x14ac:dyDescent="0.5">
      <c r="E1594" s="108"/>
    </row>
    <row r="1595" spans="5:5" s="4" customFormat="1" hidden="1" x14ac:dyDescent="0.5">
      <c r="E1595" s="108"/>
    </row>
    <row r="1596" spans="5:5" s="4" customFormat="1" hidden="1" x14ac:dyDescent="0.5">
      <c r="E1596" s="108"/>
    </row>
    <row r="1597" spans="5:5" s="4" customFormat="1" hidden="1" x14ac:dyDescent="0.5">
      <c r="E1597" s="108"/>
    </row>
    <row r="1598" spans="5:5" s="4" customFormat="1" hidden="1" x14ac:dyDescent="0.5">
      <c r="E1598" s="108"/>
    </row>
    <row r="1599" spans="5:5" s="4" customFormat="1" hidden="1" x14ac:dyDescent="0.5">
      <c r="E1599" s="108"/>
    </row>
    <row r="1600" spans="5:5" s="4" customFormat="1" hidden="1" x14ac:dyDescent="0.5">
      <c r="E1600" s="108"/>
    </row>
    <row r="1601" spans="5:5" s="4" customFormat="1" hidden="1" x14ac:dyDescent="0.5">
      <c r="E1601" s="108"/>
    </row>
    <row r="1602" spans="5:5" s="4" customFormat="1" hidden="1" x14ac:dyDescent="0.5">
      <c r="E1602" s="108"/>
    </row>
    <row r="1603" spans="5:5" s="4" customFormat="1" hidden="1" x14ac:dyDescent="0.5">
      <c r="E1603" s="108"/>
    </row>
    <row r="1604" spans="5:5" s="4" customFormat="1" hidden="1" x14ac:dyDescent="0.5">
      <c r="E1604" s="108"/>
    </row>
    <row r="1605" spans="5:5" s="4" customFormat="1" hidden="1" x14ac:dyDescent="0.5">
      <c r="E1605" s="108"/>
    </row>
    <row r="1606" spans="5:5" s="4" customFormat="1" hidden="1" x14ac:dyDescent="0.5">
      <c r="E1606" s="108"/>
    </row>
    <row r="1607" spans="5:5" s="4" customFormat="1" hidden="1" x14ac:dyDescent="0.5">
      <c r="E1607" s="108"/>
    </row>
    <row r="1608" spans="5:5" s="4" customFormat="1" hidden="1" x14ac:dyDescent="0.5">
      <c r="E1608" s="108"/>
    </row>
    <row r="1609" spans="5:5" s="4" customFormat="1" hidden="1" x14ac:dyDescent="0.5">
      <c r="E1609" s="108"/>
    </row>
    <row r="1610" spans="5:5" s="4" customFormat="1" hidden="1" x14ac:dyDescent="0.5">
      <c r="E1610" s="108"/>
    </row>
    <row r="1611" spans="5:5" s="4" customFormat="1" hidden="1" x14ac:dyDescent="0.5">
      <c r="E1611" s="108"/>
    </row>
    <row r="1612" spans="5:5" s="4" customFormat="1" hidden="1" x14ac:dyDescent="0.5">
      <c r="E1612" s="108"/>
    </row>
    <row r="1613" spans="5:5" s="4" customFormat="1" hidden="1" x14ac:dyDescent="0.5">
      <c r="E1613" s="108"/>
    </row>
    <row r="1614" spans="5:5" s="4" customFormat="1" hidden="1" x14ac:dyDescent="0.5">
      <c r="E1614" s="108"/>
    </row>
    <row r="1615" spans="5:5" s="4" customFormat="1" hidden="1" x14ac:dyDescent="0.5">
      <c r="E1615" s="108"/>
    </row>
    <row r="1616" spans="5:5" s="4" customFormat="1" hidden="1" x14ac:dyDescent="0.5">
      <c r="E1616" s="108"/>
    </row>
    <row r="1617" spans="5:5" s="4" customFormat="1" hidden="1" x14ac:dyDescent="0.5">
      <c r="E1617" s="108"/>
    </row>
    <row r="1618" spans="5:5" s="4" customFormat="1" hidden="1" x14ac:dyDescent="0.5">
      <c r="E1618" s="108"/>
    </row>
    <row r="1619" spans="5:5" s="4" customFormat="1" hidden="1" x14ac:dyDescent="0.5">
      <c r="E1619" s="108"/>
    </row>
    <row r="1620" spans="5:5" s="4" customFormat="1" hidden="1" x14ac:dyDescent="0.5">
      <c r="E1620" s="108"/>
    </row>
    <row r="1621" spans="5:5" s="4" customFormat="1" hidden="1" x14ac:dyDescent="0.5">
      <c r="E1621" s="108"/>
    </row>
    <row r="1622" spans="5:5" s="4" customFormat="1" hidden="1" x14ac:dyDescent="0.5">
      <c r="E1622" s="108"/>
    </row>
    <row r="1623" spans="5:5" s="4" customFormat="1" hidden="1" x14ac:dyDescent="0.5">
      <c r="E1623" s="108"/>
    </row>
    <row r="1624" spans="5:5" s="4" customFormat="1" hidden="1" x14ac:dyDescent="0.5">
      <c r="E1624" s="108"/>
    </row>
    <row r="1625" spans="5:5" s="4" customFormat="1" hidden="1" x14ac:dyDescent="0.5">
      <c r="E1625" s="108"/>
    </row>
    <row r="1626" spans="5:5" s="4" customFormat="1" hidden="1" x14ac:dyDescent="0.5">
      <c r="E1626" s="108"/>
    </row>
    <row r="1627" spans="5:5" s="4" customFormat="1" hidden="1" x14ac:dyDescent="0.5">
      <c r="E1627" s="108"/>
    </row>
    <row r="1628" spans="5:5" s="4" customFormat="1" hidden="1" x14ac:dyDescent="0.5">
      <c r="E1628" s="108"/>
    </row>
    <row r="1629" spans="5:5" s="4" customFormat="1" hidden="1" x14ac:dyDescent="0.5">
      <c r="E1629" s="108"/>
    </row>
    <row r="1630" spans="5:5" s="4" customFormat="1" hidden="1" x14ac:dyDescent="0.5">
      <c r="E1630" s="108"/>
    </row>
    <row r="1631" spans="5:5" s="4" customFormat="1" hidden="1" x14ac:dyDescent="0.5">
      <c r="E1631" s="108"/>
    </row>
    <row r="1632" spans="5:5" s="4" customFormat="1" hidden="1" x14ac:dyDescent="0.5">
      <c r="E1632" s="108"/>
    </row>
    <row r="1633" spans="5:5" s="4" customFormat="1" hidden="1" x14ac:dyDescent="0.5">
      <c r="E1633" s="108"/>
    </row>
    <row r="1634" spans="5:5" s="4" customFormat="1" hidden="1" x14ac:dyDescent="0.5">
      <c r="E1634" s="108"/>
    </row>
    <row r="1635" spans="5:5" s="4" customFormat="1" hidden="1" x14ac:dyDescent="0.5">
      <c r="E1635" s="108"/>
    </row>
    <row r="1636" spans="5:5" s="4" customFormat="1" hidden="1" x14ac:dyDescent="0.5">
      <c r="E1636" s="108"/>
    </row>
    <row r="1637" spans="5:5" s="4" customFormat="1" hidden="1" x14ac:dyDescent="0.5">
      <c r="E1637" s="108"/>
    </row>
    <row r="1638" spans="5:5" s="4" customFormat="1" hidden="1" x14ac:dyDescent="0.5">
      <c r="E1638" s="108"/>
    </row>
    <row r="1639" spans="5:5" s="4" customFormat="1" hidden="1" x14ac:dyDescent="0.5">
      <c r="E1639" s="108"/>
    </row>
    <row r="1640" spans="5:5" s="4" customFormat="1" hidden="1" x14ac:dyDescent="0.5">
      <c r="E1640" s="108"/>
    </row>
    <row r="1641" spans="5:5" s="4" customFormat="1" hidden="1" x14ac:dyDescent="0.5">
      <c r="E1641" s="108"/>
    </row>
    <row r="1642" spans="5:5" s="4" customFormat="1" hidden="1" x14ac:dyDescent="0.5">
      <c r="E1642" s="108"/>
    </row>
    <row r="1643" spans="5:5" s="4" customFormat="1" hidden="1" x14ac:dyDescent="0.5">
      <c r="E1643" s="108"/>
    </row>
    <row r="1644" spans="5:5" s="4" customFormat="1" hidden="1" x14ac:dyDescent="0.5">
      <c r="E1644" s="108"/>
    </row>
    <row r="1645" spans="5:5" s="4" customFormat="1" hidden="1" x14ac:dyDescent="0.5">
      <c r="E1645" s="108"/>
    </row>
    <row r="1646" spans="5:5" s="4" customFormat="1" hidden="1" x14ac:dyDescent="0.5">
      <c r="E1646" s="108"/>
    </row>
    <row r="1647" spans="5:5" s="4" customFormat="1" hidden="1" x14ac:dyDescent="0.5">
      <c r="E1647" s="108"/>
    </row>
    <row r="1648" spans="5:5" s="4" customFormat="1" hidden="1" x14ac:dyDescent="0.5">
      <c r="E1648" s="108"/>
    </row>
    <row r="1649" spans="5:5" s="4" customFormat="1" hidden="1" x14ac:dyDescent="0.5">
      <c r="E1649" s="108"/>
    </row>
    <row r="1650" spans="5:5" s="4" customFormat="1" hidden="1" x14ac:dyDescent="0.5">
      <c r="E1650" s="108"/>
    </row>
    <row r="1651" spans="5:5" s="4" customFormat="1" hidden="1" x14ac:dyDescent="0.5">
      <c r="E1651" s="108"/>
    </row>
    <row r="1652" spans="5:5" s="4" customFormat="1" hidden="1" x14ac:dyDescent="0.5">
      <c r="E1652" s="108"/>
    </row>
    <row r="1653" spans="5:5" s="4" customFormat="1" hidden="1" x14ac:dyDescent="0.5">
      <c r="E1653" s="108"/>
    </row>
    <row r="1654" spans="5:5" s="4" customFormat="1" hidden="1" x14ac:dyDescent="0.5">
      <c r="E1654" s="108"/>
    </row>
    <row r="1655" spans="5:5" s="4" customFormat="1" hidden="1" x14ac:dyDescent="0.5">
      <c r="E1655" s="108"/>
    </row>
    <row r="1656" spans="5:5" s="4" customFormat="1" hidden="1" x14ac:dyDescent="0.5">
      <c r="E1656" s="108"/>
    </row>
    <row r="1657" spans="5:5" s="4" customFormat="1" hidden="1" x14ac:dyDescent="0.5">
      <c r="E1657" s="108"/>
    </row>
    <row r="1658" spans="5:5" s="4" customFormat="1" hidden="1" x14ac:dyDescent="0.5">
      <c r="E1658" s="108"/>
    </row>
    <row r="1659" spans="5:5" s="4" customFormat="1" hidden="1" x14ac:dyDescent="0.5">
      <c r="E1659" s="108"/>
    </row>
    <row r="1660" spans="5:5" s="4" customFormat="1" hidden="1" x14ac:dyDescent="0.5">
      <c r="E1660" s="108"/>
    </row>
    <row r="1661" spans="5:5" s="4" customFormat="1" hidden="1" x14ac:dyDescent="0.5">
      <c r="E1661" s="108"/>
    </row>
    <row r="1662" spans="5:5" s="4" customFormat="1" hidden="1" x14ac:dyDescent="0.5">
      <c r="E1662" s="108"/>
    </row>
    <row r="1663" spans="5:5" s="4" customFormat="1" hidden="1" x14ac:dyDescent="0.5">
      <c r="E1663" s="108"/>
    </row>
    <row r="1664" spans="5:5" s="4" customFormat="1" hidden="1" x14ac:dyDescent="0.5">
      <c r="E1664" s="108"/>
    </row>
    <row r="1665" spans="5:5" s="4" customFormat="1" hidden="1" x14ac:dyDescent="0.5">
      <c r="E1665" s="108"/>
    </row>
    <row r="1666" spans="5:5" s="4" customFormat="1" hidden="1" x14ac:dyDescent="0.5">
      <c r="E1666" s="108"/>
    </row>
    <row r="1667" spans="5:5" s="4" customFormat="1" hidden="1" x14ac:dyDescent="0.5">
      <c r="E1667" s="108"/>
    </row>
    <row r="1668" spans="5:5" s="4" customFormat="1" hidden="1" x14ac:dyDescent="0.5">
      <c r="E1668" s="108"/>
    </row>
    <row r="1669" spans="5:5" s="4" customFormat="1" hidden="1" x14ac:dyDescent="0.5">
      <c r="E1669" s="108"/>
    </row>
    <row r="1670" spans="5:5" s="4" customFormat="1" hidden="1" x14ac:dyDescent="0.5">
      <c r="E1670" s="108"/>
    </row>
    <row r="1671" spans="5:5" s="4" customFormat="1" hidden="1" x14ac:dyDescent="0.5">
      <c r="E1671" s="108"/>
    </row>
    <row r="1672" spans="5:5" s="4" customFormat="1" hidden="1" x14ac:dyDescent="0.5">
      <c r="E1672" s="108"/>
    </row>
    <row r="1673" spans="5:5" s="4" customFormat="1" hidden="1" x14ac:dyDescent="0.5">
      <c r="E1673" s="108"/>
    </row>
    <row r="1674" spans="5:5" s="4" customFormat="1" hidden="1" x14ac:dyDescent="0.5">
      <c r="E1674" s="108"/>
    </row>
    <row r="1675" spans="5:5" s="4" customFormat="1" hidden="1" x14ac:dyDescent="0.5">
      <c r="E1675" s="108"/>
    </row>
    <row r="1676" spans="5:5" s="4" customFormat="1" hidden="1" x14ac:dyDescent="0.5">
      <c r="E1676" s="108"/>
    </row>
    <row r="1677" spans="5:5" s="4" customFormat="1" hidden="1" x14ac:dyDescent="0.5">
      <c r="E1677" s="108"/>
    </row>
    <row r="1678" spans="5:5" s="4" customFormat="1" hidden="1" x14ac:dyDescent="0.5">
      <c r="E1678" s="108"/>
    </row>
    <row r="1679" spans="5:5" s="4" customFormat="1" hidden="1" x14ac:dyDescent="0.5">
      <c r="E1679" s="108"/>
    </row>
    <row r="1680" spans="5:5" s="4" customFormat="1" hidden="1" x14ac:dyDescent="0.5">
      <c r="E1680" s="108"/>
    </row>
    <row r="1681" spans="5:5" s="4" customFormat="1" hidden="1" x14ac:dyDescent="0.5">
      <c r="E1681" s="108"/>
    </row>
    <row r="1682" spans="5:5" s="4" customFormat="1" hidden="1" x14ac:dyDescent="0.5">
      <c r="E1682" s="108"/>
    </row>
    <row r="1683" spans="5:5" s="4" customFormat="1" hidden="1" x14ac:dyDescent="0.5">
      <c r="E1683" s="108"/>
    </row>
    <row r="1684" spans="5:5" s="4" customFormat="1" hidden="1" x14ac:dyDescent="0.5">
      <c r="E1684" s="108"/>
    </row>
    <row r="1685" spans="5:5" s="4" customFormat="1" hidden="1" x14ac:dyDescent="0.5">
      <c r="E1685" s="108"/>
    </row>
    <row r="1686" spans="5:5" s="4" customFormat="1" hidden="1" x14ac:dyDescent="0.5">
      <c r="E1686" s="108"/>
    </row>
    <row r="1687" spans="5:5" s="4" customFormat="1" hidden="1" x14ac:dyDescent="0.5">
      <c r="E1687" s="108"/>
    </row>
    <row r="1688" spans="5:5" s="4" customFormat="1" hidden="1" x14ac:dyDescent="0.5">
      <c r="E1688" s="108"/>
    </row>
    <row r="1689" spans="5:5" s="4" customFormat="1" hidden="1" x14ac:dyDescent="0.5">
      <c r="E1689" s="108"/>
    </row>
    <row r="1690" spans="5:5" s="4" customFormat="1" hidden="1" x14ac:dyDescent="0.5">
      <c r="E1690" s="108"/>
    </row>
    <row r="1691" spans="5:5" s="4" customFormat="1" hidden="1" x14ac:dyDescent="0.5">
      <c r="E1691" s="108"/>
    </row>
    <row r="1692" spans="5:5" s="4" customFormat="1" hidden="1" x14ac:dyDescent="0.5">
      <c r="E1692" s="108"/>
    </row>
    <row r="1693" spans="5:5" s="4" customFormat="1" hidden="1" x14ac:dyDescent="0.5">
      <c r="E1693" s="108"/>
    </row>
    <row r="1694" spans="5:5" s="4" customFormat="1" hidden="1" x14ac:dyDescent="0.5">
      <c r="E1694" s="108"/>
    </row>
    <row r="1695" spans="5:5" s="4" customFormat="1" hidden="1" x14ac:dyDescent="0.5">
      <c r="E1695" s="108"/>
    </row>
    <row r="1696" spans="5:5" s="4" customFormat="1" hidden="1" x14ac:dyDescent="0.5">
      <c r="E1696" s="108"/>
    </row>
    <row r="1697" spans="5:5" s="4" customFormat="1" hidden="1" x14ac:dyDescent="0.5">
      <c r="E1697" s="108"/>
    </row>
    <row r="1698" spans="5:5" s="4" customFormat="1" hidden="1" x14ac:dyDescent="0.5">
      <c r="E1698" s="108"/>
    </row>
    <row r="1699" spans="5:5" s="4" customFormat="1" hidden="1" x14ac:dyDescent="0.5">
      <c r="E1699" s="108"/>
    </row>
    <row r="1700" spans="5:5" s="4" customFormat="1" hidden="1" x14ac:dyDescent="0.5">
      <c r="E1700" s="108"/>
    </row>
    <row r="1701" spans="5:5" s="4" customFormat="1" hidden="1" x14ac:dyDescent="0.5">
      <c r="E1701" s="108"/>
    </row>
    <row r="1702" spans="5:5" s="4" customFormat="1" hidden="1" x14ac:dyDescent="0.5">
      <c r="E1702" s="108"/>
    </row>
    <row r="1703" spans="5:5" s="4" customFormat="1" hidden="1" x14ac:dyDescent="0.5">
      <c r="E1703" s="108"/>
    </row>
    <row r="1704" spans="5:5" s="4" customFormat="1" hidden="1" x14ac:dyDescent="0.5">
      <c r="E1704" s="108"/>
    </row>
    <row r="1705" spans="5:5" s="4" customFormat="1" hidden="1" x14ac:dyDescent="0.5">
      <c r="E1705" s="108"/>
    </row>
    <row r="1706" spans="5:5" s="4" customFormat="1" hidden="1" x14ac:dyDescent="0.5">
      <c r="E1706" s="108"/>
    </row>
    <row r="1707" spans="5:5" s="4" customFormat="1" hidden="1" x14ac:dyDescent="0.5">
      <c r="E1707" s="108"/>
    </row>
    <row r="1708" spans="5:5" s="4" customFormat="1" hidden="1" x14ac:dyDescent="0.5">
      <c r="E1708" s="108"/>
    </row>
    <row r="1709" spans="5:5" s="4" customFormat="1" hidden="1" x14ac:dyDescent="0.5">
      <c r="E1709" s="108"/>
    </row>
    <row r="1710" spans="5:5" s="4" customFormat="1" hidden="1" x14ac:dyDescent="0.5">
      <c r="E1710" s="108"/>
    </row>
    <row r="1711" spans="5:5" s="4" customFormat="1" hidden="1" x14ac:dyDescent="0.5">
      <c r="E1711" s="108"/>
    </row>
    <row r="1712" spans="5:5" s="4" customFormat="1" hidden="1" x14ac:dyDescent="0.5">
      <c r="E1712" s="108"/>
    </row>
    <row r="1713" spans="5:5" s="4" customFormat="1" hidden="1" x14ac:dyDescent="0.5">
      <c r="E1713" s="108"/>
    </row>
    <row r="1714" spans="5:5" s="4" customFormat="1" hidden="1" x14ac:dyDescent="0.5">
      <c r="E1714" s="108"/>
    </row>
    <row r="1715" spans="5:5" s="4" customFormat="1" hidden="1" x14ac:dyDescent="0.5">
      <c r="E1715" s="108"/>
    </row>
    <row r="1716" spans="5:5" s="4" customFormat="1" hidden="1" x14ac:dyDescent="0.5">
      <c r="E1716" s="108"/>
    </row>
    <row r="1717" spans="5:5" s="4" customFormat="1" hidden="1" x14ac:dyDescent="0.5">
      <c r="E1717" s="108"/>
    </row>
    <row r="1718" spans="5:5" s="4" customFormat="1" hidden="1" x14ac:dyDescent="0.5">
      <c r="E1718" s="108"/>
    </row>
    <row r="1719" spans="5:5" s="4" customFormat="1" hidden="1" x14ac:dyDescent="0.5">
      <c r="E1719" s="108"/>
    </row>
    <row r="1720" spans="5:5" s="4" customFormat="1" hidden="1" x14ac:dyDescent="0.5">
      <c r="E1720" s="108"/>
    </row>
    <row r="1721" spans="5:5" s="4" customFormat="1" hidden="1" x14ac:dyDescent="0.5">
      <c r="E1721" s="108"/>
    </row>
    <row r="1722" spans="5:5" s="4" customFormat="1" hidden="1" x14ac:dyDescent="0.5">
      <c r="E1722" s="108"/>
    </row>
    <row r="1723" spans="5:5" s="4" customFormat="1" hidden="1" x14ac:dyDescent="0.5">
      <c r="E1723" s="108"/>
    </row>
    <row r="1724" spans="5:5" s="4" customFormat="1" hidden="1" x14ac:dyDescent="0.5">
      <c r="E1724" s="108"/>
    </row>
    <row r="1725" spans="5:5" s="4" customFormat="1" hidden="1" x14ac:dyDescent="0.5">
      <c r="E1725" s="108"/>
    </row>
    <row r="1726" spans="5:5" s="4" customFormat="1" hidden="1" x14ac:dyDescent="0.5">
      <c r="E1726" s="108"/>
    </row>
    <row r="1727" spans="5:5" s="4" customFormat="1" hidden="1" x14ac:dyDescent="0.5">
      <c r="E1727" s="108"/>
    </row>
    <row r="1728" spans="5:5" s="4" customFormat="1" hidden="1" x14ac:dyDescent="0.5">
      <c r="E1728" s="108"/>
    </row>
    <row r="1729" spans="5:5" s="4" customFormat="1" hidden="1" x14ac:dyDescent="0.5">
      <c r="E1729" s="108"/>
    </row>
    <row r="1730" spans="5:5" s="4" customFormat="1" hidden="1" x14ac:dyDescent="0.5">
      <c r="E1730" s="108"/>
    </row>
    <row r="1731" spans="5:5" s="4" customFormat="1" hidden="1" x14ac:dyDescent="0.5">
      <c r="E1731" s="108"/>
    </row>
    <row r="1732" spans="5:5" s="4" customFormat="1" hidden="1" x14ac:dyDescent="0.5">
      <c r="E1732" s="108"/>
    </row>
    <row r="1733" spans="5:5" s="4" customFormat="1" hidden="1" x14ac:dyDescent="0.5">
      <c r="E1733" s="108"/>
    </row>
    <row r="1734" spans="5:5" s="4" customFormat="1" hidden="1" x14ac:dyDescent="0.5">
      <c r="E1734" s="108"/>
    </row>
    <row r="1735" spans="5:5" s="4" customFormat="1" hidden="1" x14ac:dyDescent="0.5">
      <c r="E1735" s="108"/>
    </row>
    <row r="1736" spans="5:5" s="4" customFormat="1" hidden="1" x14ac:dyDescent="0.5">
      <c r="E1736" s="108"/>
    </row>
    <row r="1737" spans="5:5" s="4" customFormat="1" hidden="1" x14ac:dyDescent="0.5">
      <c r="E1737" s="108"/>
    </row>
    <row r="1738" spans="5:5" s="4" customFormat="1" hidden="1" x14ac:dyDescent="0.5">
      <c r="E1738" s="108"/>
    </row>
    <row r="1739" spans="5:5" s="4" customFormat="1" hidden="1" x14ac:dyDescent="0.5">
      <c r="E1739" s="108"/>
    </row>
    <row r="1740" spans="5:5" s="4" customFormat="1" hidden="1" x14ac:dyDescent="0.5">
      <c r="E1740" s="108"/>
    </row>
    <row r="1741" spans="5:5" s="4" customFormat="1" hidden="1" x14ac:dyDescent="0.5">
      <c r="E1741" s="108"/>
    </row>
    <row r="1742" spans="5:5" s="4" customFormat="1" hidden="1" x14ac:dyDescent="0.5">
      <c r="E1742" s="108"/>
    </row>
    <row r="1743" spans="5:5" s="4" customFormat="1" hidden="1" x14ac:dyDescent="0.5">
      <c r="E1743" s="108"/>
    </row>
    <row r="1744" spans="5:5" s="4" customFormat="1" hidden="1" x14ac:dyDescent="0.5">
      <c r="E1744" s="108"/>
    </row>
    <row r="1745" spans="5:5" s="4" customFormat="1" hidden="1" x14ac:dyDescent="0.5">
      <c r="E1745" s="108"/>
    </row>
    <row r="1746" spans="5:5" s="4" customFormat="1" hidden="1" x14ac:dyDescent="0.5">
      <c r="E1746" s="108"/>
    </row>
    <row r="1747" spans="5:5" s="4" customFormat="1" hidden="1" x14ac:dyDescent="0.5">
      <c r="E1747" s="108"/>
    </row>
    <row r="1748" spans="5:5" s="4" customFormat="1" hidden="1" x14ac:dyDescent="0.5">
      <c r="E1748" s="108"/>
    </row>
    <row r="1749" spans="5:5" s="4" customFormat="1" hidden="1" x14ac:dyDescent="0.5">
      <c r="E1749" s="108"/>
    </row>
    <row r="1750" spans="5:5" s="4" customFormat="1" hidden="1" x14ac:dyDescent="0.5">
      <c r="E1750" s="108"/>
    </row>
    <row r="1751" spans="5:5" s="4" customFormat="1" hidden="1" x14ac:dyDescent="0.5">
      <c r="E1751" s="108"/>
    </row>
    <row r="1752" spans="5:5" s="4" customFormat="1" hidden="1" x14ac:dyDescent="0.5">
      <c r="E1752" s="108"/>
    </row>
    <row r="1753" spans="5:5" s="4" customFormat="1" hidden="1" x14ac:dyDescent="0.5">
      <c r="E1753" s="108"/>
    </row>
    <row r="1754" spans="5:5" s="4" customFormat="1" hidden="1" x14ac:dyDescent="0.5">
      <c r="E1754" s="108"/>
    </row>
    <row r="1755" spans="5:5" s="4" customFormat="1" hidden="1" x14ac:dyDescent="0.5">
      <c r="E1755" s="108"/>
    </row>
    <row r="1756" spans="5:5" s="4" customFormat="1" hidden="1" x14ac:dyDescent="0.5">
      <c r="E1756" s="108"/>
    </row>
    <row r="1757" spans="5:5" s="4" customFormat="1" hidden="1" x14ac:dyDescent="0.5">
      <c r="E1757" s="108"/>
    </row>
    <row r="1758" spans="5:5" s="4" customFormat="1" hidden="1" x14ac:dyDescent="0.5">
      <c r="E1758" s="108"/>
    </row>
    <row r="1759" spans="5:5" s="4" customFormat="1" hidden="1" x14ac:dyDescent="0.5">
      <c r="E1759" s="108"/>
    </row>
    <row r="1760" spans="5:5" s="4" customFormat="1" hidden="1" x14ac:dyDescent="0.5">
      <c r="E1760" s="108"/>
    </row>
    <row r="1761" spans="5:5" s="4" customFormat="1" hidden="1" x14ac:dyDescent="0.5">
      <c r="E1761" s="108"/>
    </row>
    <row r="1762" spans="5:5" s="4" customFormat="1" hidden="1" x14ac:dyDescent="0.5">
      <c r="E1762" s="108"/>
    </row>
    <row r="1763" spans="5:5" s="4" customFormat="1" hidden="1" x14ac:dyDescent="0.5">
      <c r="E1763" s="108"/>
    </row>
    <row r="1764" spans="5:5" s="4" customFormat="1" hidden="1" x14ac:dyDescent="0.5">
      <c r="E1764" s="108"/>
    </row>
    <row r="1765" spans="5:5" s="4" customFormat="1" hidden="1" x14ac:dyDescent="0.5">
      <c r="E1765" s="108"/>
    </row>
    <row r="1766" spans="5:5" s="4" customFormat="1" hidden="1" x14ac:dyDescent="0.5">
      <c r="E1766" s="108"/>
    </row>
    <row r="1767" spans="5:5" s="4" customFormat="1" hidden="1" x14ac:dyDescent="0.5">
      <c r="E1767" s="108"/>
    </row>
    <row r="1768" spans="5:5" s="4" customFormat="1" hidden="1" x14ac:dyDescent="0.5">
      <c r="E1768" s="108"/>
    </row>
    <row r="1769" spans="5:5" s="4" customFormat="1" hidden="1" x14ac:dyDescent="0.5">
      <c r="E1769" s="108"/>
    </row>
    <row r="1770" spans="5:5" s="4" customFormat="1" hidden="1" x14ac:dyDescent="0.5">
      <c r="E1770" s="108"/>
    </row>
    <row r="1771" spans="5:5" s="4" customFormat="1" hidden="1" x14ac:dyDescent="0.5">
      <c r="E1771" s="108"/>
    </row>
    <row r="1772" spans="5:5" s="4" customFormat="1" hidden="1" x14ac:dyDescent="0.5">
      <c r="E1772" s="108"/>
    </row>
    <row r="1773" spans="5:5" s="4" customFormat="1" hidden="1" x14ac:dyDescent="0.5">
      <c r="E1773" s="108"/>
    </row>
    <row r="1774" spans="5:5" s="4" customFormat="1" hidden="1" x14ac:dyDescent="0.5">
      <c r="E1774" s="108"/>
    </row>
    <row r="1775" spans="5:5" s="4" customFormat="1" hidden="1" x14ac:dyDescent="0.5">
      <c r="E1775" s="108"/>
    </row>
    <row r="1776" spans="5:5" s="4" customFormat="1" hidden="1" x14ac:dyDescent="0.5">
      <c r="E1776" s="108"/>
    </row>
    <row r="1777" spans="5:5" s="4" customFormat="1" hidden="1" x14ac:dyDescent="0.5">
      <c r="E1777" s="108"/>
    </row>
    <row r="1778" spans="5:5" s="4" customFormat="1" hidden="1" x14ac:dyDescent="0.5">
      <c r="E1778" s="108"/>
    </row>
    <row r="1779" spans="5:5" s="4" customFormat="1" hidden="1" x14ac:dyDescent="0.5">
      <c r="E1779" s="108"/>
    </row>
    <row r="1780" spans="5:5" s="4" customFormat="1" hidden="1" x14ac:dyDescent="0.5">
      <c r="E1780" s="108"/>
    </row>
    <row r="1781" spans="5:5" s="4" customFormat="1" hidden="1" x14ac:dyDescent="0.5">
      <c r="E1781" s="108"/>
    </row>
    <row r="1782" spans="5:5" s="4" customFormat="1" hidden="1" x14ac:dyDescent="0.5">
      <c r="E1782" s="108"/>
    </row>
    <row r="1783" spans="5:5" s="4" customFormat="1" hidden="1" x14ac:dyDescent="0.5">
      <c r="E1783" s="108"/>
    </row>
    <row r="1784" spans="5:5" s="4" customFormat="1" hidden="1" x14ac:dyDescent="0.5">
      <c r="E1784" s="108"/>
    </row>
    <row r="1785" spans="5:5" s="4" customFormat="1" hidden="1" x14ac:dyDescent="0.5">
      <c r="E1785" s="108"/>
    </row>
    <row r="1786" spans="5:5" s="4" customFormat="1" hidden="1" x14ac:dyDescent="0.5">
      <c r="E1786" s="108"/>
    </row>
    <row r="1787" spans="5:5" s="4" customFormat="1" hidden="1" x14ac:dyDescent="0.5">
      <c r="E1787" s="108"/>
    </row>
    <row r="1788" spans="5:5" s="4" customFormat="1" hidden="1" x14ac:dyDescent="0.5">
      <c r="E1788" s="108"/>
    </row>
    <row r="1789" spans="5:5" s="4" customFormat="1" hidden="1" x14ac:dyDescent="0.5">
      <c r="E1789" s="108"/>
    </row>
    <row r="1790" spans="5:5" s="4" customFormat="1" hidden="1" x14ac:dyDescent="0.5">
      <c r="E1790" s="108"/>
    </row>
    <row r="1791" spans="5:5" s="4" customFormat="1" hidden="1" x14ac:dyDescent="0.5">
      <c r="E1791" s="108"/>
    </row>
    <row r="1792" spans="5:5" s="4" customFormat="1" hidden="1" x14ac:dyDescent="0.5">
      <c r="E1792" s="108"/>
    </row>
    <row r="1793" spans="5:5" s="4" customFormat="1" hidden="1" x14ac:dyDescent="0.5">
      <c r="E1793" s="108"/>
    </row>
    <row r="1794" spans="5:5" s="4" customFormat="1" hidden="1" x14ac:dyDescent="0.5">
      <c r="E1794" s="108"/>
    </row>
    <row r="1795" spans="5:5" s="4" customFormat="1" hidden="1" x14ac:dyDescent="0.5">
      <c r="E1795" s="108"/>
    </row>
    <row r="1796" spans="5:5" s="4" customFormat="1" hidden="1" x14ac:dyDescent="0.5">
      <c r="E1796" s="108"/>
    </row>
    <row r="1797" spans="5:5" s="4" customFormat="1" hidden="1" x14ac:dyDescent="0.5">
      <c r="E1797" s="108"/>
    </row>
    <row r="1798" spans="5:5" s="4" customFormat="1" hidden="1" x14ac:dyDescent="0.5">
      <c r="E1798" s="108"/>
    </row>
    <row r="1799" spans="5:5" s="4" customFormat="1" hidden="1" x14ac:dyDescent="0.5">
      <c r="E1799" s="108"/>
    </row>
    <row r="1800" spans="5:5" s="4" customFormat="1" hidden="1" x14ac:dyDescent="0.5">
      <c r="E1800" s="108"/>
    </row>
    <row r="1801" spans="5:5" s="4" customFormat="1" hidden="1" x14ac:dyDescent="0.5">
      <c r="E1801" s="108"/>
    </row>
    <row r="1802" spans="5:5" s="4" customFormat="1" hidden="1" x14ac:dyDescent="0.5">
      <c r="E1802" s="108"/>
    </row>
    <row r="1803" spans="5:5" s="4" customFormat="1" hidden="1" x14ac:dyDescent="0.5">
      <c r="E1803" s="108"/>
    </row>
    <row r="1804" spans="5:5" s="4" customFormat="1" hidden="1" x14ac:dyDescent="0.5">
      <c r="E1804" s="108"/>
    </row>
    <row r="1805" spans="5:5" s="4" customFormat="1" hidden="1" x14ac:dyDescent="0.5">
      <c r="E1805" s="108"/>
    </row>
    <row r="1806" spans="5:5" s="4" customFormat="1" hidden="1" x14ac:dyDescent="0.5">
      <c r="E1806" s="108"/>
    </row>
    <row r="1807" spans="5:5" s="4" customFormat="1" hidden="1" x14ac:dyDescent="0.5">
      <c r="E1807" s="108"/>
    </row>
    <row r="1808" spans="5:5" s="4" customFormat="1" hidden="1" x14ac:dyDescent="0.5">
      <c r="E1808" s="108"/>
    </row>
    <row r="1809" spans="5:5" s="4" customFormat="1" hidden="1" x14ac:dyDescent="0.5">
      <c r="E1809" s="108"/>
    </row>
    <row r="1810" spans="5:5" s="4" customFormat="1" hidden="1" x14ac:dyDescent="0.5">
      <c r="E1810" s="108"/>
    </row>
    <row r="1811" spans="5:5" s="4" customFormat="1" hidden="1" x14ac:dyDescent="0.5">
      <c r="E1811" s="108"/>
    </row>
    <row r="1812" spans="5:5" s="4" customFormat="1" hidden="1" x14ac:dyDescent="0.5">
      <c r="E1812" s="108"/>
    </row>
    <row r="1813" spans="5:5" s="4" customFormat="1" hidden="1" x14ac:dyDescent="0.5">
      <c r="E1813" s="108"/>
    </row>
    <row r="1814" spans="5:5" s="4" customFormat="1" hidden="1" x14ac:dyDescent="0.5">
      <c r="E1814" s="108"/>
    </row>
    <row r="1815" spans="5:5" s="4" customFormat="1" hidden="1" x14ac:dyDescent="0.5">
      <c r="E1815" s="108"/>
    </row>
    <row r="1816" spans="5:5" s="4" customFormat="1" hidden="1" x14ac:dyDescent="0.5">
      <c r="E1816" s="108"/>
    </row>
    <row r="1817" spans="5:5" s="4" customFormat="1" hidden="1" x14ac:dyDescent="0.5">
      <c r="E1817" s="108"/>
    </row>
    <row r="1818" spans="5:5" s="4" customFormat="1" hidden="1" x14ac:dyDescent="0.5">
      <c r="E1818" s="108"/>
    </row>
    <row r="1819" spans="5:5" s="4" customFormat="1" hidden="1" x14ac:dyDescent="0.5">
      <c r="E1819" s="108"/>
    </row>
    <row r="1820" spans="5:5" s="4" customFormat="1" hidden="1" x14ac:dyDescent="0.5">
      <c r="E1820" s="108"/>
    </row>
    <row r="1821" spans="5:5" s="4" customFormat="1" hidden="1" x14ac:dyDescent="0.5">
      <c r="E1821" s="108"/>
    </row>
    <row r="1822" spans="5:5" s="4" customFormat="1" hidden="1" x14ac:dyDescent="0.5">
      <c r="E1822" s="108"/>
    </row>
    <row r="1823" spans="5:5" s="4" customFormat="1" hidden="1" x14ac:dyDescent="0.5">
      <c r="E1823" s="108"/>
    </row>
    <row r="1824" spans="5:5" s="4" customFormat="1" hidden="1" x14ac:dyDescent="0.5">
      <c r="E1824" s="108"/>
    </row>
    <row r="1825" spans="5:5" s="4" customFormat="1" hidden="1" x14ac:dyDescent="0.5">
      <c r="E1825" s="108"/>
    </row>
    <row r="1826" spans="5:5" s="4" customFormat="1" hidden="1" x14ac:dyDescent="0.5">
      <c r="E1826" s="108"/>
    </row>
    <row r="1827" spans="5:5" s="4" customFormat="1" hidden="1" x14ac:dyDescent="0.5">
      <c r="E1827" s="108"/>
    </row>
    <row r="1828" spans="5:5" s="4" customFormat="1" hidden="1" x14ac:dyDescent="0.5">
      <c r="E1828" s="108"/>
    </row>
    <row r="1829" spans="5:5" s="4" customFormat="1" hidden="1" x14ac:dyDescent="0.5">
      <c r="E1829" s="108"/>
    </row>
    <row r="1830" spans="5:5" s="4" customFormat="1" hidden="1" x14ac:dyDescent="0.5">
      <c r="E1830" s="108"/>
    </row>
    <row r="1831" spans="5:5" s="4" customFormat="1" hidden="1" x14ac:dyDescent="0.5">
      <c r="E1831" s="108"/>
    </row>
    <row r="1832" spans="5:5" s="4" customFormat="1" hidden="1" x14ac:dyDescent="0.5">
      <c r="E1832" s="108"/>
    </row>
    <row r="1833" spans="5:5" s="4" customFormat="1" hidden="1" x14ac:dyDescent="0.5">
      <c r="E1833" s="108"/>
    </row>
    <row r="1834" spans="5:5" s="4" customFormat="1" hidden="1" x14ac:dyDescent="0.5">
      <c r="E1834" s="108"/>
    </row>
    <row r="1835" spans="5:5" s="4" customFormat="1" hidden="1" x14ac:dyDescent="0.5">
      <c r="E1835" s="108"/>
    </row>
    <row r="1836" spans="5:5" s="4" customFormat="1" hidden="1" x14ac:dyDescent="0.5">
      <c r="E1836" s="108"/>
    </row>
    <row r="1837" spans="5:5" s="4" customFormat="1" hidden="1" x14ac:dyDescent="0.5">
      <c r="E1837" s="108"/>
    </row>
    <row r="1838" spans="5:5" s="4" customFormat="1" hidden="1" x14ac:dyDescent="0.5">
      <c r="E1838" s="108"/>
    </row>
    <row r="1839" spans="5:5" s="4" customFormat="1" hidden="1" x14ac:dyDescent="0.5">
      <c r="E1839" s="108"/>
    </row>
    <row r="1840" spans="5:5" s="4" customFormat="1" hidden="1" x14ac:dyDescent="0.5">
      <c r="E1840" s="108"/>
    </row>
    <row r="1841" spans="5:5" s="4" customFormat="1" hidden="1" x14ac:dyDescent="0.5">
      <c r="E1841" s="108"/>
    </row>
    <row r="1842" spans="5:5" s="4" customFormat="1" hidden="1" x14ac:dyDescent="0.5">
      <c r="E1842" s="108"/>
    </row>
    <row r="1843" spans="5:5" s="4" customFormat="1" hidden="1" x14ac:dyDescent="0.5">
      <c r="E1843" s="108"/>
    </row>
    <row r="1844" spans="5:5" s="4" customFormat="1" hidden="1" x14ac:dyDescent="0.5">
      <c r="E1844" s="108"/>
    </row>
    <row r="1845" spans="5:5" s="4" customFormat="1" hidden="1" x14ac:dyDescent="0.5">
      <c r="E1845" s="108"/>
    </row>
    <row r="1846" spans="5:5" s="4" customFormat="1" hidden="1" x14ac:dyDescent="0.5">
      <c r="E1846" s="108"/>
    </row>
    <row r="1847" spans="5:5" s="4" customFormat="1" hidden="1" x14ac:dyDescent="0.5">
      <c r="E1847" s="108"/>
    </row>
    <row r="1848" spans="5:5" s="4" customFormat="1" hidden="1" x14ac:dyDescent="0.5">
      <c r="E1848" s="108"/>
    </row>
    <row r="1849" spans="5:5" s="4" customFormat="1" hidden="1" x14ac:dyDescent="0.5">
      <c r="E1849" s="108"/>
    </row>
    <row r="1850" spans="5:5" s="4" customFormat="1" hidden="1" x14ac:dyDescent="0.5">
      <c r="E1850" s="108"/>
    </row>
    <row r="1851" spans="5:5" s="4" customFormat="1" hidden="1" x14ac:dyDescent="0.5">
      <c r="E1851" s="108"/>
    </row>
    <row r="1852" spans="5:5" s="4" customFormat="1" hidden="1" x14ac:dyDescent="0.5">
      <c r="E1852" s="108"/>
    </row>
    <row r="1853" spans="5:5" s="4" customFormat="1" hidden="1" x14ac:dyDescent="0.5">
      <c r="E1853" s="108"/>
    </row>
    <row r="1854" spans="5:5" s="4" customFormat="1" hidden="1" x14ac:dyDescent="0.5">
      <c r="E1854" s="108"/>
    </row>
    <row r="1855" spans="5:5" s="4" customFormat="1" hidden="1" x14ac:dyDescent="0.5">
      <c r="E1855" s="108"/>
    </row>
    <row r="1856" spans="5:5" s="4" customFormat="1" hidden="1" x14ac:dyDescent="0.5">
      <c r="E1856" s="108"/>
    </row>
    <row r="1857" spans="5:5" s="4" customFormat="1" hidden="1" x14ac:dyDescent="0.5">
      <c r="E1857" s="108"/>
    </row>
    <row r="1858" spans="5:5" s="4" customFormat="1" hidden="1" x14ac:dyDescent="0.5">
      <c r="E1858" s="108"/>
    </row>
    <row r="1859" spans="5:5" s="4" customFormat="1" hidden="1" x14ac:dyDescent="0.5">
      <c r="E1859" s="108"/>
    </row>
    <row r="1860" spans="5:5" s="4" customFormat="1" hidden="1" x14ac:dyDescent="0.5">
      <c r="E1860" s="108"/>
    </row>
    <row r="1861" spans="5:5" s="4" customFormat="1" hidden="1" x14ac:dyDescent="0.5">
      <c r="E1861" s="108"/>
    </row>
    <row r="1862" spans="5:5" s="4" customFormat="1" hidden="1" x14ac:dyDescent="0.5">
      <c r="E1862" s="108"/>
    </row>
    <row r="1863" spans="5:5" s="4" customFormat="1" hidden="1" x14ac:dyDescent="0.5">
      <c r="E1863" s="108"/>
    </row>
    <row r="1864" spans="5:5" s="4" customFormat="1" hidden="1" x14ac:dyDescent="0.5">
      <c r="E1864" s="108"/>
    </row>
    <row r="1865" spans="5:5" s="4" customFormat="1" hidden="1" x14ac:dyDescent="0.5">
      <c r="E1865" s="108"/>
    </row>
    <row r="1866" spans="5:5" s="4" customFormat="1" hidden="1" x14ac:dyDescent="0.5">
      <c r="E1866" s="108"/>
    </row>
    <row r="1867" spans="5:5" s="4" customFormat="1" hidden="1" x14ac:dyDescent="0.5">
      <c r="E1867" s="108"/>
    </row>
    <row r="1868" spans="5:5" s="4" customFormat="1" hidden="1" x14ac:dyDescent="0.5">
      <c r="E1868" s="108"/>
    </row>
    <row r="1869" spans="5:5" s="4" customFormat="1" hidden="1" x14ac:dyDescent="0.5">
      <c r="E1869" s="108"/>
    </row>
    <row r="1870" spans="5:5" s="4" customFormat="1" hidden="1" x14ac:dyDescent="0.5">
      <c r="E1870" s="108"/>
    </row>
    <row r="1871" spans="5:5" s="4" customFormat="1" hidden="1" x14ac:dyDescent="0.5">
      <c r="E1871" s="108"/>
    </row>
    <row r="1872" spans="5:5" s="4" customFormat="1" hidden="1" x14ac:dyDescent="0.5">
      <c r="E1872" s="108"/>
    </row>
    <row r="1873" spans="5:5" s="4" customFormat="1" hidden="1" x14ac:dyDescent="0.5">
      <c r="E1873" s="108"/>
    </row>
    <row r="1874" spans="5:5" s="4" customFormat="1" hidden="1" x14ac:dyDescent="0.5">
      <c r="E1874" s="108"/>
    </row>
    <row r="1875" spans="5:5" s="4" customFormat="1" hidden="1" x14ac:dyDescent="0.5">
      <c r="E1875" s="108"/>
    </row>
    <row r="1876" spans="5:5" s="4" customFormat="1" hidden="1" x14ac:dyDescent="0.5">
      <c r="E1876" s="108"/>
    </row>
    <row r="1877" spans="5:5" s="4" customFormat="1" hidden="1" x14ac:dyDescent="0.5">
      <c r="E1877" s="108"/>
    </row>
    <row r="1878" spans="5:5" s="4" customFormat="1" hidden="1" x14ac:dyDescent="0.5">
      <c r="E1878" s="108"/>
    </row>
    <row r="1879" spans="5:5" s="4" customFormat="1" hidden="1" x14ac:dyDescent="0.5">
      <c r="E1879" s="108"/>
    </row>
    <row r="1880" spans="5:5" s="4" customFormat="1" hidden="1" x14ac:dyDescent="0.5">
      <c r="E1880" s="108"/>
    </row>
    <row r="1881" spans="5:5" s="4" customFormat="1" hidden="1" x14ac:dyDescent="0.5">
      <c r="E1881" s="108"/>
    </row>
    <row r="1882" spans="5:5" s="4" customFormat="1" hidden="1" x14ac:dyDescent="0.5">
      <c r="E1882" s="108"/>
    </row>
    <row r="1883" spans="5:5" s="4" customFormat="1" hidden="1" x14ac:dyDescent="0.5">
      <c r="E1883" s="108"/>
    </row>
    <row r="1884" spans="5:5" s="4" customFormat="1" hidden="1" x14ac:dyDescent="0.5">
      <c r="E1884" s="108"/>
    </row>
    <row r="1885" spans="5:5" s="4" customFormat="1" hidden="1" x14ac:dyDescent="0.5">
      <c r="E1885" s="108"/>
    </row>
    <row r="1886" spans="5:5" s="4" customFormat="1" hidden="1" x14ac:dyDescent="0.5">
      <c r="E1886" s="108"/>
    </row>
    <row r="1887" spans="5:5" s="4" customFormat="1" hidden="1" x14ac:dyDescent="0.5">
      <c r="E1887" s="108"/>
    </row>
    <row r="1888" spans="5:5" s="4" customFormat="1" hidden="1" x14ac:dyDescent="0.5">
      <c r="E1888" s="108"/>
    </row>
    <row r="1889" spans="5:5" s="4" customFormat="1" hidden="1" x14ac:dyDescent="0.5">
      <c r="E1889" s="108"/>
    </row>
    <row r="1890" spans="5:5" s="4" customFormat="1" hidden="1" x14ac:dyDescent="0.5">
      <c r="E1890" s="108"/>
    </row>
    <row r="1891" spans="5:5" s="4" customFormat="1" hidden="1" x14ac:dyDescent="0.5">
      <c r="E1891" s="108"/>
    </row>
    <row r="1892" spans="5:5" s="4" customFormat="1" hidden="1" x14ac:dyDescent="0.5">
      <c r="E1892" s="108"/>
    </row>
    <row r="1893" spans="5:5" s="4" customFormat="1" hidden="1" x14ac:dyDescent="0.5">
      <c r="E1893" s="108"/>
    </row>
    <row r="1894" spans="5:5" s="4" customFormat="1" hidden="1" x14ac:dyDescent="0.5">
      <c r="E1894" s="108"/>
    </row>
    <row r="1895" spans="5:5" s="4" customFormat="1" hidden="1" x14ac:dyDescent="0.5">
      <c r="E1895" s="108"/>
    </row>
    <row r="1896" spans="5:5" s="4" customFormat="1" hidden="1" x14ac:dyDescent="0.5">
      <c r="E1896" s="108"/>
    </row>
    <row r="1897" spans="5:5" s="4" customFormat="1" hidden="1" x14ac:dyDescent="0.5">
      <c r="E1897" s="108"/>
    </row>
    <row r="1898" spans="5:5" s="4" customFormat="1" hidden="1" x14ac:dyDescent="0.5">
      <c r="E1898" s="108"/>
    </row>
    <row r="1899" spans="5:5" s="4" customFormat="1" hidden="1" x14ac:dyDescent="0.5">
      <c r="E1899" s="108"/>
    </row>
    <row r="1900" spans="5:5" s="4" customFormat="1" hidden="1" x14ac:dyDescent="0.5">
      <c r="E1900" s="108"/>
    </row>
    <row r="1901" spans="5:5" s="4" customFormat="1" hidden="1" x14ac:dyDescent="0.5">
      <c r="E1901" s="108"/>
    </row>
    <row r="1902" spans="5:5" s="4" customFormat="1" hidden="1" x14ac:dyDescent="0.5">
      <c r="E1902" s="108"/>
    </row>
    <row r="1903" spans="5:5" s="4" customFormat="1" hidden="1" x14ac:dyDescent="0.5">
      <c r="E1903" s="108"/>
    </row>
    <row r="1904" spans="5:5" s="4" customFormat="1" hidden="1" x14ac:dyDescent="0.5">
      <c r="E1904" s="108"/>
    </row>
    <row r="1905" spans="5:5" s="4" customFormat="1" hidden="1" x14ac:dyDescent="0.5">
      <c r="E1905" s="108"/>
    </row>
    <row r="1906" spans="5:5" s="4" customFormat="1" hidden="1" x14ac:dyDescent="0.5">
      <c r="E1906" s="108"/>
    </row>
    <row r="1907" spans="5:5" s="4" customFormat="1" hidden="1" x14ac:dyDescent="0.5">
      <c r="E1907" s="108"/>
    </row>
    <row r="1908" spans="5:5" s="4" customFormat="1" hidden="1" x14ac:dyDescent="0.5">
      <c r="E1908" s="108"/>
    </row>
    <row r="1909" spans="5:5" s="4" customFormat="1" hidden="1" x14ac:dyDescent="0.5">
      <c r="E1909" s="108"/>
    </row>
    <row r="1910" spans="5:5" s="4" customFormat="1" hidden="1" x14ac:dyDescent="0.5">
      <c r="E1910" s="108"/>
    </row>
    <row r="1911" spans="5:5" s="4" customFormat="1" hidden="1" x14ac:dyDescent="0.5">
      <c r="E1911" s="108"/>
    </row>
    <row r="1912" spans="5:5" s="4" customFormat="1" hidden="1" x14ac:dyDescent="0.5">
      <c r="E1912" s="108"/>
    </row>
    <row r="1913" spans="5:5" s="4" customFormat="1" hidden="1" x14ac:dyDescent="0.5">
      <c r="E1913" s="108"/>
    </row>
    <row r="1914" spans="5:5" s="4" customFormat="1" hidden="1" x14ac:dyDescent="0.5">
      <c r="E1914" s="108"/>
    </row>
    <row r="1915" spans="5:5" s="4" customFormat="1" hidden="1" x14ac:dyDescent="0.5">
      <c r="E1915" s="108"/>
    </row>
    <row r="1916" spans="5:5" s="4" customFormat="1" hidden="1" x14ac:dyDescent="0.5">
      <c r="E1916" s="108"/>
    </row>
    <row r="1917" spans="5:5" s="4" customFormat="1" hidden="1" x14ac:dyDescent="0.5">
      <c r="E1917" s="108"/>
    </row>
    <row r="1918" spans="5:5" s="4" customFormat="1" hidden="1" x14ac:dyDescent="0.5">
      <c r="E1918" s="108"/>
    </row>
    <row r="1919" spans="5:5" s="4" customFormat="1" hidden="1" x14ac:dyDescent="0.5">
      <c r="E1919" s="108"/>
    </row>
    <row r="1920" spans="5:5" s="4" customFormat="1" hidden="1" x14ac:dyDescent="0.5">
      <c r="E1920" s="108"/>
    </row>
    <row r="1921" spans="5:5" s="4" customFormat="1" hidden="1" x14ac:dyDescent="0.5">
      <c r="E1921" s="108"/>
    </row>
    <row r="1922" spans="5:5" s="4" customFormat="1" hidden="1" x14ac:dyDescent="0.5">
      <c r="E1922" s="108"/>
    </row>
    <row r="1923" spans="5:5" s="4" customFormat="1" hidden="1" x14ac:dyDescent="0.5">
      <c r="E1923" s="108"/>
    </row>
    <row r="1924" spans="5:5" s="4" customFormat="1" hidden="1" x14ac:dyDescent="0.5">
      <c r="E1924" s="108"/>
    </row>
    <row r="1925" spans="5:5" s="4" customFormat="1" hidden="1" x14ac:dyDescent="0.5">
      <c r="E1925" s="108"/>
    </row>
    <row r="1926" spans="5:5" s="4" customFormat="1" hidden="1" x14ac:dyDescent="0.5">
      <c r="E1926" s="108"/>
    </row>
    <row r="1927" spans="5:5" s="4" customFormat="1" hidden="1" x14ac:dyDescent="0.5">
      <c r="E1927" s="108"/>
    </row>
    <row r="1928" spans="5:5" s="4" customFormat="1" hidden="1" x14ac:dyDescent="0.5">
      <c r="E1928" s="108"/>
    </row>
    <row r="1929" spans="5:5" s="4" customFormat="1" hidden="1" x14ac:dyDescent="0.5">
      <c r="E1929" s="108"/>
    </row>
    <row r="1930" spans="5:5" s="4" customFormat="1" hidden="1" x14ac:dyDescent="0.5">
      <c r="E1930" s="108"/>
    </row>
    <row r="1931" spans="5:5" s="4" customFormat="1" hidden="1" x14ac:dyDescent="0.5">
      <c r="E1931" s="108"/>
    </row>
    <row r="1932" spans="5:5" s="4" customFormat="1" hidden="1" x14ac:dyDescent="0.5">
      <c r="E1932" s="108"/>
    </row>
    <row r="1933" spans="5:5" s="4" customFormat="1" hidden="1" x14ac:dyDescent="0.5">
      <c r="E1933" s="108"/>
    </row>
    <row r="1934" spans="5:5" s="4" customFormat="1" hidden="1" x14ac:dyDescent="0.5">
      <c r="E1934" s="108"/>
    </row>
    <row r="1935" spans="5:5" s="4" customFormat="1" hidden="1" x14ac:dyDescent="0.5">
      <c r="E1935" s="108"/>
    </row>
    <row r="1936" spans="5:5" s="4" customFormat="1" hidden="1" x14ac:dyDescent="0.5">
      <c r="E1936" s="108"/>
    </row>
    <row r="1937" spans="5:5" s="4" customFormat="1" hidden="1" x14ac:dyDescent="0.5">
      <c r="E1937" s="108"/>
    </row>
    <row r="1938" spans="5:5" s="4" customFormat="1" hidden="1" x14ac:dyDescent="0.5">
      <c r="E1938" s="108"/>
    </row>
    <row r="1939" spans="5:5" s="4" customFormat="1" hidden="1" x14ac:dyDescent="0.5">
      <c r="E1939" s="108"/>
    </row>
    <row r="1940" spans="5:5" s="4" customFormat="1" hidden="1" x14ac:dyDescent="0.5">
      <c r="E1940" s="108"/>
    </row>
    <row r="1941" spans="5:5" s="4" customFormat="1" hidden="1" x14ac:dyDescent="0.5">
      <c r="E1941" s="108"/>
    </row>
    <row r="1942" spans="5:5" s="4" customFormat="1" hidden="1" x14ac:dyDescent="0.5">
      <c r="E1942" s="108"/>
    </row>
    <row r="1943" spans="5:5" s="4" customFormat="1" hidden="1" x14ac:dyDescent="0.5">
      <c r="E1943" s="108"/>
    </row>
    <row r="1944" spans="5:5" s="4" customFormat="1" hidden="1" x14ac:dyDescent="0.5">
      <c r="E1944" s="108"/>
    </row>
    <row r="1945" spans="5:5" s="4" customFormat="1" hidden="1" x14ac:dyDescent="0.5">
      <c r="E1945" s="108"/>
    </row>
    <row r="1946" spans="5:5" s="4" customFormat="1" hidden="1" x14ac:dyDescent="0.5">
      <c r="E1946" s="108"/>
    </row>
    <row r="1947" spans="5:5" s="4" customFormat="1" hidden="1" x14ac:dyDescent="0.5">
      <c r="E1947" s="108"/>
    </row>
    <row r="1948" spans="5:5" s="4" customFormat="1" hidden="1" x14ac:dyDescent="0.5">
      <c r="E1948" s="108"/>
    </row>
    <row r="1949" spans="5:5" s="4" customFormat="1" hidden="1" x14ac:dyDescent="0.5">
      <c r="E1949" s="108"/>
    </row>
    <row r="1950" spans="5:5" s="4" customFormat="1" hidden="1" x14ac:dyDescent="0.5">
      <c r="E1950" s="108"/>
    </row>
    <row r="1951" spans="5:5" s="4" customFormat="1" hidden="1" x14ac:dyDescent="0.5">
      <c r="E1951" s="108"/>
    </row>
    <row r="1952" spans="5:5" s="4" customFormat="1" hidden="1" x14ac:dyDescent="0.5">
      <c r="E1952" s="108"/>
    </row>
    <row r="1953" spans="5:5" s="4" customFormat="1" hidden="1" x14ac:dyDescent="0.5">
      <c r="E1953" s="108"/>
    </row>
    <row r="1954" spans="5:5" s="4" customFormat="1" hidden="1" x14ac:dyDescent="0.5">
      <c r="E1954" s="108"/>
    </row>
    <row r="1955" spans="5:5" s="4" customFormat="1" hidden="1" x14ac:dyDescent="0.5">
      <c r="E1955" s="108"/>
    </row>
    <row r="1956" spans="5:5" s="4" customFormat="1" hidden="1" x14ac:dyDescent="0.5">
      <c r="E1956" s="108"/>
    </row>
    <row r="1957" spans="5:5" s="4" customFormat="1" hidden="1" x14ac:dyDescent="0.5">
      <c r="E1957" s="108"/>
    </row>
    <row r="1958" spans="5:5" s="4" customFormat="1" hidden="1" x14ac:dyDescent="0.5">
      <c r="E1958" s="108"/>
    </row>
    <row r="1959" spans="5:5" s="4" customFormat="1" hidden="1" x14ac:dyDescent="0.5">
      <c r="E1959" s="108"/>
    </row>
    <row r="1960" spans="5:5" s="4" customFormat="1" hidden="1" x14ac:dyDescent="0.5">
      <c r="E1960" s="108"/>
    </row>
    <row r="1961" spans="5:5" s="4" customFormat="1" hidden="1" x14ac:dyDescent="0.5">
      <c r="E1961" s="108"/>
    </row>
    <row r="1962" spans="5:5" s="4" customFormat="1" hidden="1" x14ac:dyDescent="0.5">
      <c r="E1962" s="108"/>
    </row>
    <row r="1963" spans="5:5" s="4" customFormat="1" hidden="1" x14ac:dyDescent="0.5">
      <c r="E1963" s="108"/>
    </row>
    <row r="1964" spans="5:5" s="4" customFormat="1" hidden="1" x14ac:dyDescent="0.5">
      <c r="E1964" s="108"/>
    </row>
    <row r="1965" spans="5:5" s="4" customFormat="1" hidden="1" x14ac:dyDescent="0.5">
      <c r="E1965" s="108"/>
    </row>
    <row r="1966" spans="5:5" s="4" customFormat="1" hidden="1" x14ac:dyDescent="0.5">
      <c r="E1966" s="108"/>
    </row>
    <row r="1967" spans="5:5" s="4" customFormat="1" hidden="1" x14ac:dyDescent="0.5">
      <c r="E1967" s="108"/>
    </row>
    <row r="1968" spans="5:5" s="4" customFormat="1" hidden="1" x14ac:dyDescent="0.5">
      <c r="E1968" s="108"/>
    </row>
    <row r="1969" spans="5:5" s="4" customFormat="1" hidden="1" x14ac:dyDescent="0.5">
      <c r="E1969" s="108"/>
    </row>
    <row r="1970" spans="5:5" s="4" customFormat="1" hidden="1" x14ac:dyDescent="0.5">
      <c r="E1970" s="108"/>
    </row>
    <row r="1971" spans="5:5" s="4" customFormat="1" hidden="1" x14ac:dyDescent="0.5">
      <c r="E1971" s="108"/>
    </row>
    <row r="1972" spans="5:5" s="4" customFormat="1" hidden="1" x14ac:dyDescent="0.5">
      <c r="E1972" s="108"/>
    </row>
    <row r="1973" spans="5:5" s="4" customFormat="1" hidden="1" x14ac:dyDescent="0.5">
      <c r="E1973" s="108"/>
    </row>
    <row r="1974" spans="5:5" s="4" customFormat="1" hidden="1" x14ac:dyDescent="0.5">
      <c r="E1974" s="108"/>
    </row>
    <row r="1975" spans="5:5" s="4" customFormat="1" hidden="1" x14ac:dyDescent="0.5">
      <c r="E1975" s="108"/>
    </row>
    <row r="1976" spans="5:5" s="4" customFormat="1" hidden="1" x14ac:dyDescent="0.5">
      <c r="E1976" s="108"/>
    </row>
    <row r="1977" spans="5:5" s="4" customFormat="1" hidden="1" x14ac:dyDescent="0.5">
      <c r="E1977" s="108"/>
    </row>
    <row r="1978" spans="5:5" s="4" customFormat="1" hidden="1" x14ac:dyDescent="0.5">
      <c r="E1978" s="108"/>
    </row>
    <row r="1979" spans="5:5" s="4" customFormat="1" hidden="1" x14ac:dyDescent="0.5">
      <c r="E1979" s="108"/>
    </row>
    <row r="1980" spans="5:5" s="4" customFormat="1" hidden="1" x14ac:dyDescent="0.5">
      <c r="E1980" s="108"/>
    </row>
    <row r="1981" spans="5:5" s="4" customFormat="1" hidden="1" x14ac:dyDescent="0.5">
      <c r="E1981" s="108"/>
    </row>
    <row r="1982" spans="5:5" s="4" customFormat="1" hidden="1" x14ac:dyDescent="0.5">
      <c r="E1982" s="108"/>
    </row>
    <row r="1983" spans="5:5" s="4" customFormat="1" hidden="1" x14ac:dyDescent="0.5">
      <c r="E1983" s="108"/>
    </row>
    <row r="1984" spans="5:5" s="4" customFormat="1" hidden="1" x14ac:dyDescent="0.5">
      <c r="E1984" s="108"/>
    </row>
    <row r="1985" spans="5:5" s="4" customFormat="1" hidden="1" x14ac:dyDescent="0.5">
      <c r="E1985" s="108"/>
    </row>
    <row r="1986" spans="5:5" s="4" customFormat="1" hidden="1" x14ac:dyDescent="0.5">
      <c r="E1986" s="108"/>
    </row>
    <row r="1987" spans="5:5" s="4" customFormat="1" hidden="1" x14ac:dyDescent="0.5">
      <c r="E1987" s="108"/>
    </row>
    <row r="1988" spans="5:5" s="4" customFormat="1" hidden="1" x14ac:dyDescent="0.5">
      <c r="E1988" s="108"/>
    </row>
    <row r="1989" spans="5:5" s="4" customFormat="1" hidden="1" x14ac:dyDescent="0.5">
      <c r="E1989" s="108"/>
    </row>
    <row r="1990" spans="5:5" s="4" customFormat="1" hidden="1" x14ac:dyDescent="0.5">
      <c r="E1990" s="108"/>
    </row>
    <row r="1991" spans="5:5" s="4" customFormat="1" hidden="1" x14ac:dyDescent="0.5">
      <c r="E1991" s="108"/>
    </row>
    <row r="1992" spans="5:5" s="4" customFormat="1" hidden="1" x14ac:dyDescent="0.5">
      <c r="E1992" s="108"/>
    </row>
    <row r="1993" spans="5:5" s="4" customFormat="1" hidden="1" x14ac:dyDescent="0.5">
      <c r="E1993" s="108"/>
    </row>
    <row r="1994" spans="5:5" s="4" customFormat="1" hidden="1" x14ac:dyDescent="0.5">
      <c r="E1994" s="108"/>
    </row>
    <row r="1995" spans="5:5" s="4" customFormat="1" hidden="1" x14ac:dyDescent="0.5">
      <c r="E1995" s="108"/>
    </row>
    <row r="1996" spans="5:5" s="4" customFormat="1" hidden="1" x14ac:dyDescent="0.5">
      <c r="E1996" s="108"/>
    </row>
    <row r="1997" spans="5:5" s="4" customFormat="1" hidden="1" x14ac:dyDescent="0.5">
      <c r="E1997" s="108"/>
    </row>
    <row r="1998" spans="5:5" s="4" customFormat="1" hidden="1" x14ac:dyDescent="0.5">
      <c r="E1998" s="108"/>
    </row>
    <row r="1999" spans="5:5" s="4" customFormat="1" hidden="1" x14ac:dyDescent="0.5">
      <c r="E1999" s="108"/>
    </row>
    <row r="2000" spans="5:5" s="4" customFormat="1" hidden="1" x14ac:dyDescent="0.5">
      <c r="E2000" s="108"/>
    </row>
    <row r="2001" spans="5:5" s="4" customFormat="1" hidden="1" x14ac:dyDescent="0.5">
      <c r="E2001" s="108"/>
    </row>
    <row r="2002" spans="5:5" s="4" customFormat="1" hidden="1" x14ac:dyDescent="0.5">
      <c r="E2002" s="108"/>
    </row>
    <row r="2003" spans="5:5" s="4" customFormat="1" hidden="1" x14ac:dyDescent="0.5">
      <c r="E2003" s="108"/>
    </row>
    <row r="2004" spans="5:5" s="4" customFormat="1" hidden="1" x14ac:dyDescent="0.5">
      <c r="E2004" s="108"/>
    </row>
    <row r="2005" spans="5:5" s="4" customFormat="1" hidden="1" x14ac:dyDescent="0.5">
      <c r="E2005" s="108"/>
    </row>
    <row r="2006" spans="5:5" s="4" customFormat="1" hidden="1" x14ac:dyDescent="0.5">
      <c r="E2006" s="108"/>
    </row>
    <row r="2007" spans="5:5" s="4" customFormat="1" hidden="1" x14ac:dyDescent="0.5">
      <c r="E2007" s="108"/>
    </row>
    <row r="2008" spans="5:5" s="4" customFormat="1" hidden="1" x14ac:dyDescent="0.5">
      <c r="E2008" s="108"/>
    </row>
    <row r="2009" spans="5:5" s="4" customFormat="1" hidden="1" x14ac:dyDescent="0.5">
      <c r="E2009" s="108"/>
    </row>
    <row r="2010" spans="5:5" s="4" customFormat="1" hidden="1" x14ac:dyDescent="0.5">
      <c r="E2010" s="108"/>
    </row>
    <row r="2011" spans="5:5" s="4" customFormat="1" hidden="1" x14ac:dyDescent="0.5">
      <c r="E2011" s="108"/>
    </row>
    <row r="2012" spans="5:5" s="4" customFormat="1" hidden="1" x14ac:dyDescent="0.5">
      <c r="E2012" s="108"/>
    </row>
    <row r="2013" spans="5:5" s="4" customFormat="1" hidden="1" x14ac:dyDescent="0.5">
      <c r="E2013" s="108"/>
    </row>
    <row r="2014" spans="5:5" s="4" customFormat="1" hidden="1" x14ac:dyDescent="0.5">
      <c r="E2014" s="108"/>
    </row>
    <row r="2015" spans="5:5" s="4" customFormat="1" hidden="1" x14ac:dyDescent="0.5">
      <c r="E2015" s="108"/>
    </row>
    <row r="2016" spans="5:5" s="4" customFormat="1" hidden="1" x14ac:dyDescent="0.5">
      <c r="E2016" s="108"/>
    </row>
    <row r="2017" spans="5:5" s="4" customFormat="1" hidden="1" x14ac:dyDescent="0.5">
      <c r="E2017" s="108"/>
    </row>
    <row r="2018" spans="5:5" s="4" customFormat="1" hidden="1" x14ac:dyDescent="0.5">
      <c r="E2018" s="108"/>
    </row>
    <row r="2019" spans="5:5" s="4" customFormat="1" hidden="1" x14ac:dyDescent="0.5">
      <c r="E2019" s="108"/>
    </row>
    <row r="2020" spans="5:5" s="4" customFormat="1" hidden="1" x14ac:dyDescent="0.5">
      <c r="E2020" s="108"/>
    </row>
    <row r="2021" spans="5:5" s="4" customFormat="1" hidden="1" x14ac:dyDescent="0.5">
      <c r="E2021" s="108"/>
    </row>
    <row r="2022" spans="5:5" s="4" customFormat="1" hidden="1" x14ac:dyDescent="0.5">
      <c r="E2022" s="108"/>
    </row>
    <row r="2023" spans="5:5" s="4" customFormat="1" hidden="1" x14ac:dyDescent="0.5">
      <c r="E2023" s="108"/>
    </row>
    <row r="2024" spans="5:5" s="4" customFormat="1" hidden="1" x14ac:dyDescent="0.5">
      <c r="E2024" s="108"/>
    </row>
    <row r="2025" spans="5:5" s="4" customFormat="1" hidden="1" x14ac:dyDescent="0.5">
      <c r="E2025" s="108"/>
    </row>
    <row r="2026" spans="5:5" s="4" customFormat="1" hidden="1" x14ac:dyDescent="0.5">
      <c r="E2026" s="108"/>
    </row>
    <row r="2027" spans="5:5" s="4" customFormat="1" hidden="1" x14ac:dyDescent="0.5">
      <c r="E2027" s="108"/>
    </row>
    <row r="2028" spans="5:5" s="4" customFormat="1" hidden="1" x14ac:dyDescent="0.5">
      <c r="E2028" s="108"/>
    </row>
    <row r="2029" spans="5:5" s="4" customFormat="1" hidden="1" x14ac:dyDescent="0.5">
      <c r="E2029" s="108"/>
    </row>
    <row r="2030" spans="5:5" s="4" customFormat="1" hidden="1" x14ac:dyDescent="0.5">
      <c r="E2030" s="108"/>
    </row>
    <row r="2031" spans="5:5" s="4" customFormat="1" hidden="1" x14ac:dyDescent="0.5">
      <c r="E2031" s="108"/>
    </row>
    <row r="2032" spans="5:5" s="4" customFormat="1" hidden="1" x14ac:dyDescent="0.5">
      <c r="E2032" s="108"/>
    </row>
    <row r="2033" spans="5:5" s="4" customFormat="1" hidden="1" x14ac:dyDescent="0.5">
      <c r="E2033" s="108"/>
    </row>
    <row r="2034" spans="5:5" s="4" customFormat="1" hidden="1" x14ac:dyDescent="0.5">
      <c r="E2034" s="108"/>
    </row>
    <row r="2035" spans="5:5" s="4" customFormat="1" hidden="1" x14ac:dyDescent="0.5">
      <c r="E2035" s="108"/>
    </row>
    <row r="2036" spans="5:5" s="4" customFormat="1" hidden="1" x14ac:dyDescent="0.5">
      <c r="E2036" s="108"/>
    </row>
    <row r="2037" spans="5:5" s="4" customFormat="1" hidden="1" x14ac:dyDescent="0.5">
      <c r="E2037" s="108"/>
    </row>
    <row r="2038" spans="5:5" s="4" customFormat="1" hidden="1" x14ac:dyDescent="0.5">
      <c r="E2038" s="108"/>
    </row>
    <row r="2039" spans="5:5" s="4" customFormat="1" hidden="1" x14ac:dyDescent="0.5">
      <c r="E2039" s="108"/>
    </row>
    <row r="2040" spans="5:5" s="4" customFormat="1" hidden="1" x14ac:dyDescent="0.5">
      <c r="E2040" s="108"/>
    </row>
    <row r="2041" spans="5:5" s="4" customFormat="1" hidden="1" x14ac:dyDescent="0.5">
      <c r="E2041" s="108"/>
    </row>
    <row r="2042" spans="5:5" s="4" customFormat="1" hidden="1" x14ac:dyDescent="0.5">
      <c r="E2042" s="108"/>
    </row>
    <row r="2043" spans="5:5" s="4" customFormat="1" hidden="1" x14ac:dyDescent="0.5">
      <c r="E2043" s="108"/>
    </row>
    <row r="2044" spans="5:5" s="4" customFormat="1" hidden="1" x14ac:dyDescent="0.5">
      <c r="E2044" s="108"/>
    </row>
    <row r="2045" spans="5:5" s="4" customFormat="1" hidden="1" x14ac:dyDescent="0.5">
      <c r="E2045" s="108"/>
    </row>
    <row r="2046" spans="5:5" s="4" customFormat="1" hidden="1" x14ac:dyDescent="0.5">
      <c r="E2046" s="108"/>
    </row>
    <row r="2047" spans="5:5" s="4" customFormat="1" hidden="1" x14ac:dyDescent="0.5">
      <c r="E2047" s="108"/>
    </row>
    <row r="2048" spans="5:5" s="4" customFormat="1" hidden="1" x14ac:dyDescent="0.5">
      <c r="E2048" s="108"/>
    </row>
    <row r="2049" spans="5:5" s="4" customFormat="1" hidden="1" x14ac:dyDescent="0.5">
      <c r="E2049" s="108"/>
    </row>
    <row r="2050" spans="5:5" s="4" customFormat="1" hidden="1" x14ac:dyDescent="0.5">
      <c r="E2050" s="108"/>
    </row>
    <row r="2051" spans="5:5" s="4" customFormat="1" hidden="1" x14ac:dyDescent="0.5">
      <c r="E2051" s="108"/>
    </row>
    <row r="2052" spans="5:5" s="4" customFormat="1" hidden="1" x14ac:dyDescent="0.5">
      <c r="E2052" s="108"/>
    </row>
    <row r="2053" spans="5:5" s="4" customFormat="1" hidden="1" x14ac:dyDescent="0.5">
      <c r="E2053" s="108"/>
    </row>
    <row r="2054" spans="5:5" s="4" customFormat="1" hidden="1" x14ac:dyDescent="0.5">
      <c r="E2054" s="108"/>
    </row>
    <row r="2055" spans="5:5" s="4" customFormat="1" hidden="1" x14ac:dyDescent="0.5">
      <c r="E2055" s="108"/>
    </row>
    <row r="2056" spans="5:5" s="4" customFormat="1" hidden="1" x14ac:dyDescent="0.5">
      <c r="E2056" s="108"/>
    </row>
    <row r="2057" spans="5:5" s="4" customFormat="1" hidden="1" x14ac:dyDescent="0.5">
      <c r="E2057" s="108"/>
    </row>
    <row r="2058" spans="5:5" s="4" customFormat="1" hidden="1" x14ac:dyDescent="0.5">
      <c r="E2058" s="108"/>
    </row>
    <row r="2059" spans="5:5" s="4" customFormat="1" hidden="1" x14ac:dyDescent="0.5">
      <c r="E2059" s="108"/>
    </row>
    <row r="2060" spans="5:5" s="4" customFormat="1" hidden="1" x14ac:dyDescent="0.5">
      <c r="E2060" s="108"/>
    </row>
    <row r="2061" spans="5:5" s="4" customFormat="1" hidden="1" x14ac:dyDescent="0.5">
      <c r="E2061" s="108"/>
    </row>
    <row r="2062" spans="5:5" s="4" customFormat="1" hidden="1" x14ac:dyDescent="0.5">
      <c r="E2062" s="108"/>
    </row>
    <row r="2063" spans="5:5" s="4" customFormat="1" hidden="1" x14ac:dyDescent="0.5">
      <c r="E2063" s="108"/>
    </row>
    <row r="2064" spans="5:5" s="4" customFormat="1" hidden="1" x14ac:dyDescent="0.5">
      <c r="E2064" s="108"/>
    </row>
    <row r="2065" spans="5:5" s="4" customFormat="1" hidden="1" x14ac:dyDescent="0.5">
      <c r="E2065" s="108"/>
    </row>
    <row r="2066" spans="5:5" s="4" customFormat="1" hidden="1" x14ac:dyDescent="0.5">
      <c r="E2066" s="108"/>
    </row>
    <row r="2067" spans="5:5" s="4" customFormat="1" hidden="1" x14ac:dyDescent="0.5">
      <c r="E2067" s="108"/>
    </row>
    <row r="2068" spans="5:5" s="4" customFormat="1" hidden="1" x14ac:dyDescent="0.5">
      <c r="E2068" s="108"/>
    </row>
    <row r="2069" spans="5:5" s="4" customFormat="1" hidden="1" x14ac:dyDescent="0.5">
      <c r="E2069" s="108"/>
    </row>
    <row r="2070" spans="5:5" s="4" customFormat="1" hidden="1" x14ac:dyDescent="0.5">
      <c r="E2070" s="108"/>
    </row>
    <row r="2071" spans="5:5" s="4" customFormat="1" hidden="1" x14ac:dyDescent="0.5">
      <c r="E2071" s="108"/>
    </row>
    <row r="2072" spans="5:5" s="4" customFormat="1" hidden="1" x14ac:dyDescent="0.5">
      <c r="E2072" s="108"/>
    </row>
    <row r="2073" spans="5:5" s="4" customFormat="1" hidden="1" x14ac:dyDescent="0.5">
      <c r="E2073" s="108"/>
    </row>
    <row r="2074" spans="5:5" s="4" customFormat="1" hidden="1" x14ac:dyDescent="0.5">
      <c r="E2074" s="108"/>
    </row>
    <row r="2075" spans="5:5" s="4" customFormat="1" hidden="1" x14ac:dyDescent="0.5">
      <c r="E2075" s="108"/>
    </row>
    <row r="2076" spans="5:5" s="4" customFormat="1" hidden="1" x14ac:dyDescent="0.5">
      <c r="E2076" s="108"/>
    </row>
    <row r="2077" spans="5:5" s="4" customFormat="1" hidden="1" x14ac:dyDescent="0.5">
      <c r="E2077" s="108"/>
    </row>
    <row r="2078" spans="5:5" s="4" customFormat="1" hidden="1" x14ac:dyDescent="0.5">
      <c r="E2078" s="108"/>
    </row>
    <row r="2079" spans="5:5" s="4" customFormat="1" hidden="1" x14ac:dyDescent="0.5">
      <c r="E2079" s="108"/>
    </row>
    <row r="2080" spans="5:5" s="4" customFormat="1" hidden="1" x14ac:dyDescent="0.5">
      <c r="E2080" s="108"/>
    </row>
    <row r="2081" spans="5:5" s="4" customFormat="1" hidden="1" x14ac:dyDescent="0.5">
      <c r="E2081" s="108"/>
    </row>
    <row r="2082" spans="5:5" s="4" customFormat="1" hidden="1" x14ac:dyDescent="0.5">
      <c r="E2082" s="108"/>
    </row>
    <row r="2083" spans="5:5" s="4" customFormat="1" hidden="1" x14ac:dyDescent="0.5">
      <c r="E2083" s="108"/>
    </row>
    <row r="2084" spans="5:5" s="4" customFormat="1" hidden="1" x14ac:dyDescent="0.5">
      <c r="E2084" s="108"/>
    </row>
    <row r="2085" spans="5:5" s="4" customFormat="1" hidden="1" x14ac:dyDescent="0.5">
      <c r="E2085" s="108"/>
    </row>
    <row r="2086" spans="5:5" s="4" customFormat="1" hidden="1" x14ac:dyDescent="0.5">
      <c r="E2086" s="108"/>
    </row>
    <row r="2087" spans="5:5" s="4" customFormat="1" hidden="1" x14ac:dyDescent="0.5">
      <c r="E2087" s="108"/>
    </row>
    <row r="2088" spans="5:5" s="4" customFormat="1" hidden="1" x14ac:dyDescent="0.5">
      <c r="E2088" s="108"/>
    </row>
    <row r="2089" spans="5:5" s="4" customFormat="1" hidden="1" x14ac:dyDescent="0.5">
      <c r="E2089" s="108"/>
    </row>
    <row r="2090" spans="5:5" s="4" customFormat="1" hidden="1" x14ac:dyDescent="0.5">
      <c r="E2090" s="108"/>
    </row>
    <row r="2091" spans="5:5" s="4" customFormat="1" hidden="1" x14ac:dyDescent="0.5">
      <c r="E2091" s="108"/>
    </row>
    <row r="2092" spans="5:5" s="4" customFormat="1" hidden="1" x14ac:dyDescent="0.5">
      <c r="E2092" s="108"/>
    </row>
    <row r="2093" spans="5:5" s="4" customFormat="1" hidden="1" x14ac:dyDescent="0.5">
      <c r="E2093" s="108"/>
    </row>
    <row r="2094" spans="5:5" s="4" customFormat="1" hidden="1" x14ac:dyDescent="0.5">
      <c r="E2094" s="108"/>
    </row>
    <row r="2095" spans="5:5" s="4" customFormat="1" hidden="1" x14ac:dyDescent="0.5">
      <c r="E2095" s="108"/>
    </row>
    <row r="2096" spans="5:5" s="4" customFormat="1" hidden="1" x14ac:dyDescent="0.5">
      <c r="E2096" s="108"/>
    </row>
    <row r="2097" spans="5:5" s="4" customFormat="1" hidden="1" x14ac:dyDescent="0.5">
      <c r="E2097" s="108"/>
    </row>
    <row r="2098" spans="5:5" s="4" customFormat="1" hidden="1" x14ac:dyDescent="0.5">
      <c r="E2098" s="108"/>
    </row>
    <row r="2099" spans="5:5" s="4" customFormat="1" hidden="1" x14ac:dyDescent="0.5">
      <c r="E2099" s="108"/>
    </row>
    <row r="2100" spans="5:5" s="4" customFormat="1" hidden="1" x14ac:dyDescent="0.5">
      <c r="E2100" s="108"/>
    </row>
    <row r="2101" spans="5:5" s="4" customFormat="1" hidden="1" x14ac:dyDescent="0.5">
      <c r="E2101" s="108"/>
    </row>
    <row r="2102" spans="5:5" s="4" customFormat="1" hidden="1" x14ac:dyDescent="0.5">
      <c r="E2102" s="108"/>
    </row>
    <row r="2103" spans="5:5" s="4" customFormat="1" hidden="1" x14ac:dyDescent="0.5">
      <c r="E2103" s="108"/>
    </row>
    <row r="2104" spans="5:5" s="4" customFormat="1" hidden="1" x14ac:dyDescent="0.5">
      <c r="E2104" s="108"/>
    </row>
    <row r="2105" spans="5:5" s="4" customFormat="1" hidden="1" x14ac:dyDescent="0.5">
      <c r="E2105" s="108"/>
    </row>
    <row r="2106" spans="5:5" s="4" customFormat="1" hidden="1" x14ac:dyDescent="0.5">
      <c r="E2106" s="108"/>
    </row>
    <row r="2107" spans="5:5" s="4" customFormat="1" hidden="1" x14ac:dyDescent="0.5">
      <c r="E2107" s="108"/>
    </row>
    <row r="2108" spans="5:5" s="4" customFormat="1" hidden="1" x14ac:dyDescent="0.5">
      <c r="E2108" s="108"/>
    </row>
    <row r="2109" spans="5:5" s="4" customFormat="1" hidden="1" x14ac:dyDescent="0.5">
      <c r="E2109" s="108"/>
    </row>
    <row r="2110" spans="5:5" s="4" customFormat="1" hidden="1" x14ac:dyDescent="0.5">
      <c r="E2110" s="108"/>
    </row>
    <row r="2111" spans="5:5" s="4" customFormat="1" hidden="1" x14ac:dyDescent="0.5">
      <c r="E2111" s="108"/>
    </row>
    <row r="2112" spans="5:5" s="4" customFormat="1" hidden="1" x14ac:dyDescent="0.5">
      <c r="E2112" s="108"/>
    </row>
    <row r="2113" spans="5:5" s="4" customFormat="1" hidden="1" x14ac:dyDescent="0.5">
      <c r="E2113" s="108"/>
    </row>
    <row r="2114" spans="5:5" s="4" customFormat="1" hidden="1" x14ac:dyDescent="0.5">
      <c r="E2114" s="108"/>
    </row>
    <row r="2115" spans="5:5" s="4" customFormat="1" hidden="1" x14ac:dyDescent="0.5">
      <c r="E2115" s="108"/>
    </row>
    <row r="2116" spans="5:5" s="4" customFormat="1" hidden="1" x14ac:dyDescent="0.5">
      <c r="E2116" s="108"/>
    </row>
    <row r="2117" spans="5:5" s="4" customFormat="1" hidden="1" x14ac:dyDescent="0.5">
      <c r="E2117" s="108"/>
    </row>
    <row r="2118" spans="5:5" s="4" customFormat="1" hidden="1" x14ac:dyDescent="0.5">
      <c r="E2118" s="108"/>
    </row>
    <row r="2119" spans="5:5" s="4" customFormat="1" hidden="1" x14ac:dyDescent="0.5">
      <c r="E2119" s="108"/>
    </row>
    <row r="2120" spans="5:5" s="4" customFormat="1" hidden="1" x14ac:dyDescent="0.5">
      <c r="E2120" s="108"/>
    </row>
    <row r="2121" spans="5:5" s="4" customFormat="1" hidden="1" x14ac:dyDescent="0.5">
      <c r="E2121" s="108"/>
    </row>
    <row r="2122" spans="5:5" s="4" customFormat="1" hidden="1" x14ac:dyDescent="0.5">
      <c r="E2122" s="108"/>
    </row>
    <row r="2123" spans="5:5" s="4" customFormat="1" hidden="1" x14ac:dyDescent="0.5">
      <c r="E2123" s="108"/>
    </row>
    <row r="2124" spans="5:5" s="4" customFormat="1" hidden="1" x14ac:dyDescent="0.5">
      <c r="E2124" s="108"/>
    </row>
    <row r="2125" spans="5:5" s="4" customFormat="1" hidden="1" x14ac:dyDescent="0.5">
      <c r="E2125" s="108"/>
    </row>
    <row r="2126" spans="5:5" s="4" customFormat="1" hidden="1" x14ac:dyDescent="0.5">
      <c r="E2126" s="108"/>
    </row>
    <row r="2127" spans="5:5" s="4" customFormat="1" hidden="1" x14ac:dyDescent="0.5">
      <c r="E2127" s="108"/>
    </row>
    <row r="2128" spans="5:5" s="4" customFormat="1" hidden="1" x14ac:dyDescent="0.5">
      <c r="E2128" s="108"/>
    </row>
    <row r="2129" spans="5:5" s="4" customFormat="1" hidden="1" x14ac:dyDescent="0.5">
      <c r="E2129" s="108"/>
    </row>
    <row r="2130" spans="5:5" s="4" customFormat="1" hidden="1" x14ac:dyDescent="0.5">
      <c r="E2130" s="108"/>
    </row>
    <row r="2131" spans="5:5" s="4" customFormat="1" hidden="1" x14ac:dyDescent="0.5">
      <c r="E2131" s="108"/>
    </row>
    <row r="2132" spans="5:5" s="4" customFormat="1" hidden="1" x14ac:dyDescent="0.5">
      <c r="E2132" s="108"/>
    </row>
    <row r="2133" spans="5:5" s="4" customFormat="1" hidden="1" x14ac:dyDescent="0.5">
      <c r="E2133" s="108"/>
    </row>
    <row r="2134" spans="5:5" s="4" customFormat="1" hidden="1" x14ac:dyDescent="0.5">
      <c r="E2134" s="108"/>
    </row>
    <row r="2135" spans="5:5" s="4" customFormat="1" hidden="1" x14ac:dyDescent="0.5">
      <c r="E2135" s="108"/>
    </row>
    <row r="2136" spans="5:5" s="4" customFormat="1" hidden="1" x14ac:dyDescent="0.5">
      <c r="E2136" s="108"/>
    </row>
    <row r="2137" spans="5:5" s="4" customFormat="1" hidden="1" x14ac:dyDescent="0.5">
      <c r="E2137" s="108"/>
    </row>
    <row r="2138" spans="5:5" s="4" customFormat="1" hidden="1" x14ac:dyDescent="0.5">
      <c r="E2138" s="108"/>
    </row>
    <row r="2139" spans="5:5" s="4" customFormat="1" hidden="1" x14ac:dyDescent="0.5">
      <c r="E2139" s="108"/>
    </row>
    <row r="2140" spans="5:5" s="4" customFormat="1" hidden="1" x14ac:dyDescent="0.5">
      <c r="E2140" s="108"/>
    </row>
    <row r="2141" spans="5:5" s="4" customFormat="1" hidden="1" x14ac:dyDescent="0.5">
      <c r="E2141" s="108"/>
    </row>
    <row r="2142" spans="5:5" s="4" customFormat="1" hidden="1" x14ac:dyDescent="0.5">
      <c r="E2142" s="108"/>
    </row>
    <row r="2143" spans="5:5" s="4" customFormat="1" hidden="1" x14ac:dyDescent="0.5">
      <c r="E2143" s="108"/>
    </row>
    <row r="2144" spans="5:5" s="4" customFormat="1" hidden="1" x14ac:dyDescent="0.5">
      <c r="E2144" s="108"/>
    </row>
    <row r="2145" spans="5:5" s="4" customFormat="1" hidden="1" x14ac:dyDescent="0.5">
      <c r="E2145" s="108"/>
    </row>
    <row r="2146" spans="5:5" s="4" customFormat="1" hidden="1" x14ac:dyDescent="0.5">
      <c r="E2146" s="108"/>
    </row>
    <row r="2147" spans="5:5" s="4" customFormat="1" hidden="1" x14ac:dyDescent="0.5">
      <c r="E2147" s="108"/>
    </row>
    <row r="2148" spans="5:5" s="4" customFormat="1" hidden="1" x14ac:dyDescent="0.5">
      <c r="E2148" s="108"/>
    </row>
    <row r="2149" spans="5:5" s="4" customFormat="1" hidden="1" x14ac:dyDescent="0.5">
      <c r="E2149" s="108"/>
    </row>
    <row r="2150" spans="5:5" s="4" customFormat="1" hidden="1" x14ac:dyDescent="0.5">
      <c r="E2150" s="108"/>
    </row>
    <row r="2151" spans="5:5" s="4" customFormat="1" hidden="1" x14ac:dyDescent="0.5">
      <c r="E2151" s="108"/>
    </row>
    <row r="2152" spans="5:5" s="4" customFormat="1" hidden="1" x14ac:dyDescent="0.5">
      <c r="E2152" s="108"/>
    </row>
    <row r="2153" spans="5:5" s="4" customFormat="1" hidden="1" x14ac:dyDescent="0.5">
      <c r="E2153" s="108"/>
    </row>
    <row r="2154" spans="5:5" s="4" customFormat="1" hidden="1" x14ac:dyDescent="0.5">
      <c r="E2154" s="108"/>
    </row>
    <row r="2155" spans="5:5" s="4" customFormat="1" hidden="1" x14ac:dyDescent="0.5">
      <c r="E2155" s="108"/>
    </row>
    <row r="2156" spans="5:5" s="4" customFormat="1" hidden="1" x14ac:dyDescent="0.5">
      <c r="E2156" s="108"/>
    </row>
    <row r="2157" spans="5:5" s="4" customFormat="1" hidden="1" x14ac:dyDescent="0.5">
      <c r="E2157" s="108"/>
    </row>
    <row r="2158" spans="5:5" s="4" customFormat="1" hidden="1" x14ac:dyDescent="0.5">
      <c r="E2158" s="108"/>
    </row>
    <row r="2159" spans="5:5" s="4" customFormat="1" hidden="1" x14ac:dyDescent="0.5">
      <c r="E2159" s="108"/>
    </row>
    <row r="2160" spans="5:5" s="4" customFormat="1" hidden="1" x14ac:dyDescent="0.5">
      <c r="E2160" s="108"/>
    </row>
    <row r="2161" spans="5:5" s="4" customFormat="1" hidden="1" x14ac:dyDescent="0.5">
      <c r="E2161" s="108"/>
    </row>
    <row r="2162" spans="5:5" s="4" customFormat="1" hidden="1" x14ac:dyDescent="0.5">
      <c r="E2162" s="108"/>
    </row>
    <row r="2163" spans="5:5" s="4" customFormat="1" hidden="1" x14ac:dyDescent="0.5">
      <c r="E2163" s="108"/>
    </row>
    <row r="2164" spans="5:5" s="4" customFormat="1" hidden="1" x14ac:dyDescent="0.5">
      <c r="E2164" s="108"/>
    </row>
    <row r="2165" spans="5:5" s="4" customFormat="1" hidden="1" x14ac:dyDescent="0.5">
      <c r="E2165" s="108"/>
    </row>
    <row r="2166" spans="5:5" s="4" customFormat="1" hidden="1" x14ac:dyDescent="0.5">
      <c r="E2166" s="108"/>
    </row>
    <row r="2167" spans="5:5" s="4" customFormat="1" hidden="1" x14ac:dyDescent="0.5">
      <c r="E2167" s="108"/>
    </row>
    <row r="2168" spans="5:5" s="4" customFormat="1" hidden="1" x14ac:dyDescent="0.5">
      <c r="E2168" s="108"/>
    </row>
    <row r="2169" spans="5:5" s="4" customFormat="1" hidden="1" x14ac:dyDescent="0.5">
      <c r="E2169" s="108"/>
    </row>
    <row r="2170" spans="5:5" s="4" customFormat="1" hidden="1" x14ac:dyDescent="0.5">
      <c r="E2170" s="108"/>
    </row>
    <row r="2171" spans="5:5" s="4" customFormat="1" hidden="1" x14ac:dyDescent="0.5">
      <c r="E2171" s="108"/>
    </row>
    <row r="2172" spans="5:5" s="4" customFormat="1" hidden="1" x14ac:dyDescent="0.5">
      <c r="E2172" s="108"/>
    </row>
    <row r="2173" spans="5:5" s="4" customFormat="1" hidden="1" x14ac:dyDescent="0.5">
      <c r="E2173" s="108"/>
    </row>
    <row r="2174" spans="5:5" s="4" customFormat="1" hidden="1" x14ac:dyDescent="0.5">
      <c r="E2174" s="108"/>
    </row>
    <row r="2175" spans="5:5" s="4" customFormat="1" hidden="1" x14ac:dyDescent="0.5">
      <c r="E2175" s="108"/>
    </row>
    <row r="2176" spans="5:5" s="4" customFormat="1" hidden="1" x14ac:dyDescent="0.5">
      <c r="E2176" s="108"/>
    </row>
    <row r="2177" spans="5:5" s="4" customFormat="1" hidden="1" x14ac:dyDescent="0.5">
      <c r="E2177" s="108"/>
    </row>
    <row r="2178" spans="5:5" s="4" customFormat="1" hidden="1" x14ac:dyDescent="0.5">
      <c r="E2178" s="108"/>
    </row>
    <row r="2179" spans="5:5" s="4" customFormat="1" hidden="1" x14ac:dyDescent="0.5">
      <c r="E2179" s="108"/>
    </row>
    <row r="2180" spans="5:5" s="4" customFormat="1" hidden="1" x14ac:dyDescent="0.5">
      <c r="E2180" s="108"/>
    </row>
    <row r="2181" spans="5:5" s="4" customFormat="1" hidden="1" x14ac:dyDescent="0.5">
      <c r="E2181" s="108"/>
    </row>
    <row r="2182" spans="5:5" s="4" customFormat="1" hidden="1" x14ac:dyDescent="0.5">
      <c r="E2182" s="108"/>
    </row>
    <row r="2183" spans="5:5" s="4" customFormat="1" hidden="1" x14ac:dyDescent="0.5">
      <c r="E2183" s="108"/>
    </row>
    <row r="2184" spans="5:5" s="4" customFormat="1" hidden="1" x14ac:dyDescent="0.5">
      <c r="E2184" s="108"/>
    </row>
    <row r="2185" spans="5:5" s="4" customFormat="1" hidden="1" x14ac:dyDescent="0.5">
      <c r="E2185" s="108"/>
    </row>
    <row r="2186" spans="5:5" s="4" customFormat="1" hidden="1" x14ac:dyDescent="0.5">
      <c r="E2186" s="108"/>
    </row>
    <row r="2187" spans="5:5" s="4" customFormat="1" hidden="1" x14ac:dyDescent="0.5">
      <c r="E2187" s="108"/>
    </row>
    <row r="2188" spans="5:5" s="4" customFormat="1" hidden="1" x14ac:dyDescent="0.5">
      <c r="E2188" s="108"/>
    </row>
    <row r="2189" spans="5:5" s="4" customFormat="1" hidden="1" x14ac:dyDescent="0.5">
      <c r="E2189" s="108"/>
    </row>
    <row r="2190" spans="5:5" s="4" customFormat="1" hidden="1" x14ac:dyDescent="0.5">
      <c r="E2190" s="108"/>
    </row>
    <row r="2191" spans="5:5" s="4" customFormat="1" hidden="1" x14ac:dyDescent="0.5">
      <c r="E2191" s="108"/>
    </row>
    <row r="2192" spans="5:5" s="4" customFormat="1" hidden="1" x14ac:dyDescent="0.5">
      <c r="E2192" s="108"/>
    </row>
    <row r="2193" spans="5:5" s="4" customFormat="1" hidden="1" x14ac:dyDescent="0.5">
      <c r="E2193" s="108"/>
    </row>
    <row r="2194" spans="5:5" s="4" customFormat="1" hidden="1" x14ac:dyDescent="0.5">
      <c r="E2194" s="108"/>
    </row>
    <row r="2195" spans="5:5" s="4" customFormat="1" hidden="1" x14ac:dyDescent="0.5">
      <c r="E2195" s="108"/>
    </row>
    <row r="2196" spans="5:5" s="4" customFormat="1" hidden="1" x14ac:dyDescent="0.5">
      <c r="E2196" s="108"/>
    </row>
    <row r="2197" spans="5:5" s="4" customFormat="1" hidden="1" x14ac:dyDescent="0.5">
      <c r="E2197" s="108"/>
    </row>
    <row r="2198" spans="5:5" s="4" customFormat="1" hidden="1" x14ac:dyDescent="0.5">
      <c r="E2198" s="108"/>
    </row>
    <row r="2199" spans="5:5" s="4" customFormat="1" hidden="1" x14ac:dyDescent="0.5">
      <c r="E2199" s="108"/>
    </row>
    <row r="2200" spans="5:5" s="4" customFormat="1" hidden="1" x14ac:dyDescent="0.5">
      <c r="E2200" s="108"/>
    </row>
    <row r="2201" spans="5:5" s="4" customFormat="1" hidden="1" x14ac:dyDescent="0.5">
      <c r="E2201" s="108"/>
    </row>
    <row r="2202" spans="5:5" s="4" customFormat="1" hidden="1" x14ac:dyDescent="0.5">
      <c r="E2202" s="108"/>
    </row>
    <row r="2203" spans="5:5" s="4" customFormat="1" hidden="1" x14ac:dyDescent="0.5">
      <c r="E2203" s="108"/>
    </row>
    <row r="2204" spans="5:5" s="4" customFormat="1" hidden="1" x14ac:dyDescent="0.5">
      <c r="E2204" s="108"/>
    </row>
    <row r="2205" spans="5:5" s="4" customFormat="1" hidden="1" x14ac:dyDescent="0.5">
      <c r="E2205" s="108"/>
    </row>
    <row r="2206" spans="5:5" s="4" customFormat="1" hidden="1" x14ac:dyDescent="0.5">
      <c r="E2206" s="108"/>
    </row>
    <row r="2207" spans="5:5" s="4" customFormat="1" hidden="1" x14ac:dyDescent="0.5">
      <c r="E2207" s="108"/>
    </row>
    <row r="2208" spans="5:5" s="4" customFormat="1" hidden="1" x14ac:dyDescent="0.5">
      <c r="E2208" s="108"/>
    </row>
    <row r="2209" spans="5:5" s="4" customFormat="1" hidden="1" x14ac:dyDescent="0.5">
      <c r="E2209" s="108"/>
    </row>
    <row r="2210" spans="5:5" s="4" customFormat="1" hidden="1" x14ac:dyDescent="0.5">
      <c r="E2210" s="108"/>
    </row>
    <row r="2211" spans="5:5" s="4" customFormat="1" hidden="1" x14ac:dyDescent="0.5">
      <c r="E2211" s="108"/>
    </row>
    <row r="2212" spans="5:5" s="4" customFormat="1" hidden="1" x14ac:dyDescent="0.5">
      <c r="E2212" s="108"/>
    </row>
    <row r="2213" spans="5:5" s="4" customFormat="1" hidden="1" x14ac:dyDescent="0.5">
      <c r="E2213" s="108"/>
    </row>
    <row r="2214" spans="5:5" s="4" customFormat="1" hidden="1" x14ac:dyDescent="0.5">
      <c r="E2214" s="108"/>
    </row>
    <row r="2215" spans="5:5" s="4" customFormat="1" hidden="1" x14ac:dyDescent="0.5">
      <c r="E2215" s="108"/>
    </row>
    <row r="2216" spans="5:5" s="4" customFormat="1" hidden="1" x14ac:dyDescent="0.5">
      <c r="E2216" s="108"/>
    </row>
    <row r="2217" spans="5:5" s="4" customFormat="1" hidden="1" x14ac:dyDescent="0.5">
      <c r="E2217" s="108"/>
    </row>
    <row r="2218" spans="5:5" s="4" customFormat="1" hidden="1" x14ac:dyDescent="0.5">
      <c r="E2218" s="108"/>
    </row>
    <row r="2219" spans="5:5" s="4" customFormat="1" hidden="1" x14ac:dyDescent="0.5">
      <c r="E2219" s="108"/>
    </row>
    <row r="2220" spans="5:5" s="4" customFormat="1" hidden="1" x14ac:dyDescent="0.5">
      <c r="E2220" s="108"/>
    </row>
    <row r="2221" spans="5:5" s="4" customFormat="1" hidden="1" x14ac:dyDescent="0.5">
      <c r="E2221" s="108"/>
    </row>
    <row r="2222" spans="5:5" s="4" customFormat="1" hidden="1" x14ac:dyDescent="0.5">
      <c r="E2222" s="108"/>
    </row>
    <row r="2223" spans="5:5" s="4" customFormat="1" hidden="1" x14ac:dyDescent="0.5">
      <c r="E2223" s="108"/>
    </row>
    <row r="2224" spans="5:5" s="4" customFormat="1" hidden="1" x14ac:dyDescent="0.5">
      <c r="E2224" s="108"/>
    </row>
    <row r="2225" spans="5:5" s="4" customFormat="1" hidden="1" x14ac:dyDescent="0.5">
      <c r="E2225" s="108"/>
    </row>
    <row r="2226" spans="5:5" s="4" customFormat="1" hidden="1" x14ac:dyDescent="0.5">
      <c r="E2226" s="108"/>
    </row>
    <row r="2227" spans="5:5" s="4" customFormat="1" hidden="1" x14ac:dyDescent="0.5">
      <c r="E2227" s="108"/>
    </row>
    <row r="2228" spans="5:5" s="4" customFormat="1" hidden="1" x14ac:dyDescent="0.5">
      <c r="E2228" s="108"/>
    </row>
    <row r="2229" spans="5:5" s="4" customFormat="1" hidden="1" x14ac:dyDescent="0.5">
      <c r="E2229" s="108"/>
    </row>
    <row r="2230" spans="5:5" s="4" customFormat="1" hidden="1" x14ac:dyDescent="0.5">
      <c r="E2230" s="108"/>
    </row>
    <row r="2231" spans="5:5" s="4" customFormat="1" hidden="1" x14ac:dyDescent="0.5">
      <c r="E2231" s="108"/>
    </row>
    <row r="2232" spans="5:5" s="4" customFormat="1" hidden="1" x14ac:dyDescent="0.5">
      <c r="E2232" s="108"/>
    </row>
    <row r="2233" spans="5:5" s="4" customFormat="1" hidden="1" x14ac:dyDescent="0.5">
      <c r="E2233" s="108"/>
    </row>
    <row r="2234" spans="5:5" s="4" customFormat="1" hidden="1" x14ac:dyDescent="0.5">
      <c r="E2234" s="108"/>
    </row>
    <row r="2235" spans="5:5" s="4" customFormat="1" hidden="1" x14ac:dyDescent="0.5">
      <c r="E2235" s="108"/>
    </row>
    <row r="2236" spans="5:5" s="4" customFormat="1" hidden="1" x14ac:dyDescent="0.5">
      <c r="E2236" s="108"/>
    </row>
    <row r="2237" spans="5:5" s="4" customFormat="1" hidden="1" x14ac:dyDescent="0.5">
      <c r="E2237" s="108"/>
    </row>
    <row r="2238" spans="5:5" s="4" customFormat="1" hidden="1" x14ac:dyDescent="0.5">
      <c r="E2238" s="108"/>
    </row>
    <row r="2239" spans="5:5" s="4" customFormat="1" hidden="1" x14ac:dyDescent="0.5">
      <c r="E2239" s="108"/>
    </row>
    <row r="2240" spans="5:5" s="4" customFormat="1" hidden="1" x14ac:dyDescent="0.5">
      <c r="E2240" s="108"/>
    </row>
    <row r="2241" spans="5:5" s="4" customFormat="1" hidden="1" x14ac:dyDescent="0.5">
      <c r="E2241" s="108"/>
    </row>
    <row r="2242" spans="5:5" s="4" customFormat="1" hidden="1" x14ac:dyDescent="0.5">
      <c r="E2242" s="108"/>
    </row>
    <row r="2243" spans="5:5" s="4" customFormat="1" hidden="1" x14ac:dyDescent="0.5">
      <c r="E2243" s="108"/>
    </row>
    <row r="2244" spans="5:5" s="4" customFormat="1" hidden="1" x14ac:dyDescent="0.5">
      <c r="E2244" s="108"/>
    </row>
    <row r="2245" spans="5:5" s="4" customFormat="1" hidden="1" x14ac:dyDescent="0.5">
      <c r="E2245" s="108"/>
    </row>
    <row r="2246" spans="5:5" s="4" customFormat="1" hidden="1" x14ac:dyDescent="0.5">
      <c r="E2246" s="108"/>
    </row>
    <row r="2247" spans="5:5" s="4" customFormat="1" hidden="1" x14ac:dyDescent="0.5">
      <c r="E2247" s="108"/>
    </row>
    <row r="2248" spans="5:5" s="4" customFormat="1" hidden="1" x14ac:dyDescent="0.5">
      <c r="E2248" s="108"/>
    </row>
    <row r="2249" spans="5:5" s="4" customFormat="1" hidden="1" x14ac:dyDescent="0.5">
      <c r="E2249" s="108"/>
    </row>
    <row r="2250" spans="5:5" s="4" customFormat="1" hidden="1" x14ac:dyDescent="0.5">
      <c r="E2250" s="108"/>
    </row>
    <row r="2251" spans="5:5" s="4" customFormat="1" hidden="1" x14ac:dyDescent="0.5">
      <c r="E2251" s="108"/>
    </row>
    <row r="2252" spans="5:5" s="4" customFormat="1" hidden="1" x14ac:dyDescent="0.5">
      <c r="E2252" s="108"/>
    </row>
    <row r="2253" spans="5:5" s="4" customFormat="1" hidden="1" x14ac:dyDescent="0.5">
      <c r="E2253" s="108"/>
    </row>
    <row r="2254" spans="5:5" s="4" customFormat="1" hidden="1" x14ac:dyDescent="0.5">
      <c r="E2254" s="108"/>
    </row>
    <row r="2255" spans="5:5" s="4" customFormat="1" hidden="1" x14ac:dyDescent="0.5">
      <c r="E2255" s="108"/>
    </row>
    <row r="2256" spans="5:5" s="4" customFormat="1" hidden="1" x14ac:dyDescent="0.5">
      <c r="E2256" s="108"/>
    </row>
    <row r="2257" spans="5:5" s="4" customFormat="1" hidden="1" x14ac:dyDescent="0.5">
      <c r="E2257" s="108"/>
    </row>
    <row r="2258" spans="5:5" s="4" customFormat="1" hidden="1" x14ac:dyDescent="0.5">
      <c r="E2258" s="108"/>
    </row>
    <row r="2259" spans="5:5" s="4" customFormat="1" hidden="1" x14ac:dyDescent="0.5">
      <c r="E2259" s="108"/>
    </row>
    <row r="2260" spans="5:5" s="4" customFormat="1" hidden="1" x14ac:dyDescent="0.5">
      <c r="E2260" s="108"/>
    </row>
    <row r="2261" spans="5:5" s="4" customFormat="1" hidden="1" x14ac:dyDescent="0.5">
      <c r="E2261" s="108"/>
    </row>
    <row r="2262" spans="5:5" s="4" customFormat="1" hidden="1" x14ac:dyDescent="0.5">
      <c r="E2262" s="108"/>
    </row>
    <row r="2263" spans="5:5" s="4" customFormat="1" hidden="1" x14ac:dyDescent="0.5">
      <c r="E2263" s="108"/>
    </row>
    <row r="2264" spans="5:5" s="4" customFormat="1" hidden="1" x14ac:dyDescent="0.5">
      <c r="E2264" s="108"/>
    </row>
    <row r="2265" spans="5:5" s="4" customFormat="1" hidden="1" x14ac:dyDescent="0.5">
      <c r="E2265" s="108"/>
    </row>
    <row r="2266" spans="5:5" s="4" customFormat="1" hidden="1" x14ac:dyDescent="0.5">
      <c r="E2266" s="108"/>
    </row>
    <row r="2267" spans="5:5" s="4" customFormat="1" hidden="1" x14ac:dyDescent="0.5">
      <c r="E2267" s="108"/>
    </row>
    <row r="2268" spans="5:5" s="4" customFormat="1" hidden="1" x14ac:dyDescent="0.5">
      <c r="E2268" s="108"/>
    </row>
    <row r="2269" spans="5:5" s="4" customFormat="1" hidden="1" x14ac:dyDescent="0.5">
      <c r="E2269" s="108"/>
    </row>
    <row r="2270" spans="5:5" s="4" customFormat="1" hidden="1" x14ac:dyDescent="0.5">
      <c r="E2270" s="108"/>
    </row>
    <row r="2271" spans="5:5" s="4" customFormat="1" hidden="1" x14ac:dyDescent="0.5">
      <c r="E2271" s="108"/>
    </row>
    <row r="2272" spans="5:5" s="4" customFormat="1" hidden="1" x14ac:dyDescent="0.5">
      <c r="E2272" s="108"/>
    </row>
    <row r="2273" spans="5:5" s="4" customFormat="1" hidden="1" x14ac:dyDescent="0.5">
      <c r="E2273" s="108"/>
    </row>
    <row r="2274" spans="5:5" s="4" customFormat="1" hidden="1" x14ac:dyDescent="0.5">
      <c r="E2274" s="108"/>
    </row>
    <row r="2275" spans="5:5" s="4" customFormat="1" hidden="1" x14ac:dyDescent="0.5">
      <c r="E2275" s="108"/>
    </row>
    <row r="2276" spans="5:5" s="4" customFormat="1" hidden="1" x14ac:dyDescent="0.5">
      <c r="E2276" s="108"/>
    </row>
    <row r="2277" spans="5:5" s="4" customFormat="1" hidden="1" x14ac:dyDescent="0.5">
      <c r="E2277" s="108"/>
    </row>
    <row r="2278" spans="5:5" s="4" customFormat="1" hidden="1" x14ac:dyDescent="0.5">
      <c r="E2278" s="108"/>
    </row>
    <row r="2279" spans="5:5" s="4" customFormat="1" hidden="1" x14ac:dyDescent="0.5">
      <c r="E2279" s="108"/>
    </row>
    <row r="2280" spans="5:5" s="4" customFormat="1" hidden="1" x14ac:dyDescent="0.5">
      <c r="E2280" s="108"/>
    </row>
    <row r="2281" spans="5:5" s="4" customFormat="1" hidden="1" x14ac:dyDescent="0.5">
      <c r="E2281" s="108"/>
    </row>
    <row r="2282" spans="5:5" s="4" customFormat="1" hidden="1" x14ac:dyDescent="0.5">
      <c r="E2282" s="108"/>
    </row>
    <row r="2283" spans="5:5" s="4" customFormat="1" hidden="1" x14ac:dyDescent="0.5">
      <c r="E2283" s="108"/>
    </row>
    <row r="2284" spans="5:5" s="4" customFormat="1" hidden="1" x14ac:dyDescent="0.5">
      <c r="E2284" s="108"/>
    </row>
    <row r="2285" spans="5:5" s="4" customFormat="1" hidden="1" x14ac:dyDescent="0.5">
      <c r="E2285" s="108"/>
    </row>
    <row r="2286" spans="5:5" s="4" customFormat="1" hidden="1" x14ac:dyDescent="0.5">
      <c r="E2286" s="108"/>
    </row>
    <row r="2287" spans="5:5" s="4" customFormat="1" hidden="1" x14ac:dyDescent="0.5">
      <c r="E2287" s="108"/>
    </row>
    <row r="2288" spans="5:5" s="4" customFormat="1" hidden="1" x14ac:dyDescent="0.5">
      <c r="E2288" s="108"/>
    </row>
    <row r="2289" spans="5:5" s="4" customFormat="1" hidden="1" x14ac:dyDescent="0.5">
      <c r="E2289" s="108"/>
    </row>
    <row r="2290" spans="5:5" s="4" customFormat="1" hidden="1" x14ac:dyDescent="0.5">
      <c r="E2290" s="108"/>
    </row>
    <row r="2291" spans="5:5" s="4" customFormat="1" hidden="1" x14ac:dyDescent="0.5">
      <c r="E2291" s="108"/>
    </row>
    <row r="2292" spans="5:5" s="4" customFormat="1" hidden="1" x14ac:dyDescent="0.5">
      <c r="E2292" s="108"/>
    </row>
    <row r="2293" spans="5:5" s="4" customFormat="1" hidden="1" x14ac:dyDescent="0.5">
      <c r="E2293" s="108"/>
    </row>
    <row r="2294" spans="5:5" s="4" customFormat="1" hidden="1" x14ac:dyDescent="0.5">
      <c r="E2294" s="108"/>
    </row>
    <row r="2295" spans="5:5" s="4" customFormat="1" hidden="1" x14ac:dyDescent="0.5">
      <c r="E2295" s="108"/>
    </row>
    <row r="2296" spans="5:5" s="4" customFormat="1" hidden="1" x14ac:dyDescent="0.5">
      <c r="E2296" s="108"/>
    </row>
    <row r="2297" spans="5:5" s="4" customFormat="1" hidden="1" x14ac:dyDescent="0.5">
      <c r="E2297" s="108"/>
    </row>
    <row r="2298" spans="5:5" s="4" customFormat="1" hidden="1" x14ac:dyDescent="0.5">
      <c r="E2298" s="108"/>
    </row>
    <row r="2299" spans="5:5" s="4" customFormat="1" hidden="1" x14ac:dyDescent="0.5">
      <c r="E2299" s="108"/>
    </row>
    <row r="2300" spans="5:5" s="4" customFormat="1" hidden="1" x14ac:dyDescent="0.5">
      <c r="E2300" s="108"/>
    </row>
    <row r="2301" spans="5:5" s="4" customFormat="1" hidden="1" x14ac:dyDescent="0.5">
      <c r="E2301" s="108"/>
    </row>
    <row r="2302" spans="5:5" s="4" customFormat="1" hidden="1" x14ac:dyDescent="0.5">
      <c r="E2302" s="108"/>
    </row>
    <row r="2303" spans="5:5" s="4" customFormat="1" hidden="1" x14ac:dyDescent="0.5">
      <c r="E2303" s="108"/>
    </row>
    <row r="2304" spans="5:5" s="4" customFormat="1" hidden="1" x14ac:dyDescent="0.5">
      <c r="E2304" s="108"/>
    </row>
    <row r="2305" spans="5:5" s="4" customFormat="1" hidden="1" x14ac:dyDescent="0.5">
      <c r="E2305" s="108"/>
    </row>
    <row r="2306" spans="5:5" s="4" customFormat="1" hidden="1" x14ac:dyDescent="0.5">
      <c r="E2306" s="108"/>
    </row>
    <row r="2307" spans="5:5" s="4" customFormat="1" hidden="1" x14ac:dyDescent="0.5">
      <c r="E2307" s="108"/>
    </row>
    <row r="2308" spans="5:5" s="4" customFormat="1" hidden="1" x14ac:dyDescent="0.5">
      <c r="E2308" s="108"/>
    </row>
    <row r="2309" spans="5:5" s="4" customFormat="1" hidden="1" x14ac:dyDescent="0.5">
      <c r="E2309" s="108"/>
    </row>
    <row r="2310" spans="5:5" s="4" customFormat="1" hidden="1" x14ac:dyDescent="0.5">
      <c r="E2310" s="108"/>
    </row>
    <row r="2311" spans="5:5" s="4" customFormat="1" hidden="1" x14ac:dyDescent="0.5">
      <c r="E2311" s="108"/>
    </row>
    <row r="2312" spans="5:5" s="4" customFormat="1" hidden="1" x14ac:dyDescent="0.5">
      <c r="E2312" s="108"/>
    </row>
    <row r="2313" spans="5:5" s="4" customFormat="1" hidden="1" x14ac:dyDescent="0.5">
      <c r="E2313" s="108"/>
    </row>
    <row r="2314" spans="5:5" s="4" customFormat="1" hidden="1" x14ac:dyDescent="0.5">
      <c r="E2314" s="108"/>
    </row>
    <row r="2315" spans="5:5" s="4" customFormat="1" hidden="1" x14ac:dyDescent="0.5">
      <c r="E2315" s="108"/>
    </row>
    <row r="2316" spans="5:5" s="4" customFormat="1" hidden="1" x14ac:dyDescent="0.5">
      <c r="E2316" s="108"/>
    </row>
    <row r="2317" spans="5:5" s="4" customFormat="1" hidden="1" x14ac:dyDescent="0.5">
      <c r="E2317" s="108"/>
    </row>
    <row r="2318" spans="5:5" s="4" customFormat="1" hidden="1" x14ac:dyDescent="0.5">
      <c r="E2318" s="108"/>
    </row>
    <row r="2319" spans="5:5" s="4" customFormat="1" hidden="1" x14ac:dyDescent="0.5">
      <c r="E2319" s="108"/>
    </row>
    <row r="2320" spans="5:5" s="4" customFormat="1" hidden="1" x14ac:dyDescent="0.5">
      <c r="E2320" s="108"/>
    </row>
    <row r="2321" spans="5:5" s="4" customFormat="1" hidden="1" x14ac:dyDescent="0.5">
      <c r="E2321" s="108"/>
    </row>
    <row r="2322" spans="5:5" s="4" customFormat="1" hidden="1" x14ac:dyDescent="0.5">
      <c r="E2322" s="108"/>
    </row>
    <row r="2323" spans="5:5" s="4" customFormat="1" hidden="1" x14ac:dyDescent="0.5">
      <c r="E2323" s="108"/>
    </row>
    <row r="2324" spans="5:5" s="4" customFormat="1" hidden="1" x14ac:dyDescent="0.5">
      <c r="E2324" s="108"/>
    </row>
    <row r="2325" spans="5:5" s="4" customFormat="1" hidden="1" x14ac:dyDescent="0.5">
      <c r="E2325" s="108"/>
    </row>
    <row r="2326" spans="5:5" s="4" customFormat="1" hidden="1" x14ac:dyDescent="0.5">
      <c r="E2326" s="108"/>
    </row>
    <row r="2327" spans="5:5" s="4" customFormat="1" hidden="1" x14ac:dyDescent="0.5">
      <c r="E2327" s="108"/>
    </row>
    <row r="2328" spans="5:5" s="4" customFormat="1" hidden="1" x14ac:dyDescent="0.5">
      <c r="E2328" s="108"/>
    </row>
    <row r="2329" spans="5:5" s="4" customFormat="1" hidden="1" x14ac:dyDescent="0.5">
      <c r="E2329" s="108"/>
    </row>
    <row r="2330" spans="5:5" s="4" customFormat="1" hidden="1" x14ac:dyDescent="0.5">
      <c r="E2330" s="108"/>
    </row>
    <row r="2331" spans="5:5" s="4" customFormat="1" hidden="1" x14ac:dyDescent="0.5">
      <c r="E2331" s="108"/>
    </row>
    <row r="2332" spans="5:5" s="4" customFormat="1" hidden="1" x14ac:dyDescent="0.5">
      <c r="E2332" s="108"/>
    </row>
    <row r="2333" spans="5:5" s="4" customFormat="1" hidden="1" x14ac:dyDescent="0.5">
      <c r="E2333" s="108"/>
    </row>
    <row r="2334" spans="5:5" s="4" customFormat="1" hidden="1" x14ac:dyDescent="0.5">
      <c r="E2334" s="108"/>
    </row>
    <row r="2335" spans="5:5" s="4" customFormat="1" hidden="1" x14ac:dyDescent="0.5">
      <c r="E2335" s="108"/>
    </row>
    <row r="2336" spans="5:5" s="4" customFormat="1" hidden="1" x14ac:dyDescent="0.5">
      <c r="E2336" s="108"/>
    </row>
    <row r="2337" spans="5:5" s="4" customFormat="1" hidden="1" x14ac:dyDescent="0.5">
      <c r="E2337" s="108"/>
    </row>
    <row r="2338" spans="5:5" s="4" customFormat="1" hidden="1" x14ac:dyDescent="0.5">
      <c r="E2338" s="108"/>
    </row>
    <row r="2339" spans="5:5" s="4" customFormat="1" hidden="1" x14ac:dyDescent="0.5">
      <c r="E2339" s="108"/>
    </row>
    <row r="2340" spans="5:5" s="4" customFormat="1" hidden="1" x14ac:dyDescent="0.5">
      <c r="E2340" s="108"/>
    </row>
    <row r="2341" spans="5:5" s="4" customFormat="1" hidden="1" x14ac:dyDescent="0.5">
      <c r="E2341" s="108"/>
    </row>
    <row r="2342" spans="5:5" s="4" customFormat="1" hidden="1" x14ac:dyDescent="0.5">
      <c r="E2342" s="108"/>
    </row>
    <row r="2343" spans="5:5" s="4" customFormat="1" hidden="1" x14ac:dyDescent="0.5">
      <c r="E2343" s="108"/>
    </row>
    <row r="2344" spans="5:5" s="4" customFormat="1" hidden="1" x14ac:dyDescent="0.5">
      <c r="E2344" s="108"/>
    </row>
    <row r="2345" spans="5:5" s="4" customFormat="1" hidden="1" x14ac:dyDescent="0.5">
      <c r="E2345" s="108"/>
    </row>
    <row r="2346" spans="5:5" s="4" customFormat="1" hidden="1" x14ac:dyDescent="0.5">
      <c r="E2346" s="108"/>
    </row>
    <row r="2347" spans="5:5" s="4" customFormat="1" hidden="1" x14ac:dyDescent="0.5">
      <c r="E2347" s="108"/>
    </row>
    <row r="2348" spans="5:5" s="4" customFormat="1" hidden="1" x14ac:dyDescent="0.5">
      <c r="E2348" s="108"/>
    </row>
    <row r="2349" spans="5:5" s="4" customFormat="1" hidden="1" x14ac:dyDescent="0.5">
      <c r="E2349" s="108"/>
    </row>
    <row r="2350" spans="5:5" s="4" customFormat="1" hidden="1" x14ac:dyDescent="0.5">
      <c r="E2350" s="108"/>
    </row>
    <row r="2351" spans="5:5" s="4" customFormat="1" hidden="1" x14ac:dyDescent="0.5">
      <c r="E2351" s="108"/>
    </row>
    <row r="2352" spans="5:5" s="4" customFormat="1" hidden="1" x14ac:dyDescent="0.5">
      <c r="E2352" s="108"/>
    </row>
    <row r="2353" spans="5:5" s="4" customFormat="1" hidden="1" x14ac:dyDescent="0.5">
      <c r="E2353" s="108"/>
    </row>
    <row r="2354" spans="5:5" s="4" customFormat="1" hidden="1" x14ac:dyDescent="0.5">
      <c r="E2354" s="108"/>
    </row>
    <row r="2355" spans="5:5" s="4" customFormat="1" hidden="1" x14ac:dyDescent="0.5">
      <c r="E2355" s="108"/>
    </row>
    <row r="2356" spans="5:5" s="4" customFormat="1" hidden="1" x14ac:dyDescent="0.5">
      <c r="E2356" s="108"/>
    </row>
    <row r="2357" spans="5:5" s="4" customFormat="1" hidden="1" x14ac:dyDescent="0.5">
      <c r="E2357" s="108"/>
    </row>
    <row r="2358" spans="5:5" s="4" customFormat="1" hidden="1" x14ac:dyDescent="0.5">
      <c r="E2358" s="108"/>
    </row>
    <row r="2359" spans="5:5" s="4" customFormat="1" hidden="1" x14ac:dyDescent="0.5">
      <c r="E2359" s="108"/>
    </row>
    <row r="2360" spans="5:5" s="4" customFormat="1" hidden="1" x14ac:dyDescent="0.5">
      <c r="E2360" s="108"/>
    </row>
    <row r="2361" spans="5:5" s="4" customFormat="1" hidden="1" x14ac:dyDescent="0.5">
      <c r="E2361" s="108"/>
    </row>
    <row r="2362" spans="5:5" s="4" customFormat="1" hidden="1" x14ac:dyDescent="0.5">
      <c r="E2362" s="108"/>
    </row>
    <row r="2363" spans="5:5" s="4" customFormat="1" hidden="1" x14ac:dyDescent="0.5">
      <c r="E2363" s="108"/>
    </row>
    <row r="2364" spans="5:5" s="4" customFormat="1" hidden="1" x14ac:dyDescent="0.5">
      <c r="E2364" s="108"/>
    </row>
    <row r="2365" spans="5:5" s="4" customFormat="1" hidden="1" x14ac:dyDescent="0.5">
      <c r="E2365" s="108"/>
    </row>
    <row r="2366" spans="5:5" s="4" customFormat="1" hidden="1" x14ac:dyDescent="0.5">
      <c r="E2366" s="108"/>
    </row>
    <row r="2367" spans="5:5" s="4" customFormat="1" hidden="1" x14ac:dyDescent="0.5">
      <c r="E2367" s="108"/>
    </row>
    <row r="2368" spans="5:5" s="4" customFormat="1" hidden="1" x14ac:dyDescent="0.5">
      <c r="E2368" s="108"/>
    </row>
    <row r="2369" spans="5:5" s="4" customFormat="1" hidden="1" x14ac:dyDescent="0.5">
      <c r="E2369" s="108"/>
    </row>
    <row r="2370" spans="5:5" s="4" customFormat="1" hidden="1" x14ac:dyDescent="0.5">
      <c r="E2370" s="108"/>
    </row>
    <row r="2371" spans="5:5" s="4" customFormat="1" hidden="1" x14ac:dyDescent="0.5">
      <c r="E2371" s="108"/>
    </row>
    <row r="2372" spans="5:5" s="4" customFormat="1" hidden="1" x14ac:dyDescent="0.5">
      <c r="E2372" s="108"/>
    </row>
    <row r="2373" spans="5:5" s="4" customFormat="1" hidden="1" x14ac:dyDescent="0.5">
      <c r="E2373" s="108"/>
    </row>
    <row r="2374" spans="5:5" s="4" customFormat="1" hidden="1" x14ac:dyDescent="0.5">
      <c r="E2374" s="108"/>
    </row>
    <row r="2375" spans="5:5" s="4" customFormat="1" hidden="1" x14ac:dyDescent="0.5">
      <c r="E2375" s="108"/>
    </row>
    <row r="2376" spans="5:5" s="4" customFormat="1" hidden="1" x14ac:dyDescent="0.5">
      <c r="E2376" s="108"/>
    </row>
    <row r="2377" spans="5:5" s="4" customFormat="1" hidden="1" x14ac:dyDescent="0.5">
      <c r="E2377" s="108"/>
    </row>
    <row r="2378" spans="5:5" s="4" customFormat="1" hidden="1" x14ac:dyDescent="0.5">
      <c r="E2378" s="108"/>
    </row>
    <row r="2379" spans="5:5" s="4" customFormat="1" hidden="1" x14ac:dyDescent="0.5">
      <c r="E2379" s="108"/>
    </row>
    <row r="2380" spans="5:5" s="4" customFormat="1" hidden="1" x14ac:dyDescent="0.5">
      <c r="E2380" s="108"/>
    </row>
    <row r="2381" spans="5:5" s="4" customFormat="1" hidden="1" x14ac:dyDescent="0.5">
      <c r="E2381" s="108"/>
    </row>
    <row r="2382" spans="5:5" s="4" customFormat="1" hidden="1" x14ac:dyDescent="0.5">
      <c r="E2382" s="108"/>
    </row>
    <row r="2383" spans="5:5" s="4" customFormat="1" hidden="1" x14ac:dyDescent="0.5">
      <c r="E2383" s="108"/>
    </row>
    <row r="2384" spans="5:5" s="4" customFormat="1" hidden="1" x14ac:dyDescent="0.5">
      <c r="E2384" s="108"/>
    </row>
    <row r="2385" spans="5:5" s="4" customFormat="1" hidden="1" x14ac:dyDescent="0.5">
      <c r="E2385" s="108"/>
    </row>
    <row r="2386" spans="5:5" s="4" customFormat="1" hidden="1" x14ac:dyDescent="0.5">
      <c r="E2386" s="108"/>
    </row>
    <row r="2387" spans="5:5" s="4" customFormat="1" hidden="1" x14ac:dyDescent="0.5">
      <c r="E2387" s="108"/>
    </row>
    <row r="2388" spans="5:5" s="4" customFormat="1" hidden="1" x14ac:dyDescent="0.5">
      <c r="E2388" s="108"/>
    </row>
    <row r="2389" spans="5:5" s="4" customFormat="1" hidden="1" x14ac:dyDescent="0.5">
      <c r="E2389" s="108"/>
    </row>
    <row r="2390" spans="5:5" s="4" customFormat="1" hidden="1" x14ac:dyDescent="0.5">
      <c r="E2390" s="108"/>
    </row>
    <row r="2391" spans="5:5" s="4" customFormat="1" hidden="1" x14ac:dyDescent="0.5">
      <c r="E2391" s="108"/>
    </row>
    <row r="2392" spans="5:5" s="4" customFormat="1" hidden="1" x14ac:dyDescent="0.5">
      <c r="E2392" s="108"/>
    </row>
    <row r="2393" spans="5:5" s="4" customFormat="1" hidden="1" x14ac:dyDescent="0.5">
      <c r="E2393" s="108"/>
    </row>
    <row r="2394" spans="5:5" s="4" customFormat="1" hidden="1" x14ac:dyDescent="0.5">
      <c r="E2394" s="108"/>
    </row>
    <row r="2395" spans="5:5" s="4" customFormat="1" hidden="1" x14ac:dyDescent="0.5">
      <c r="E2395" s="108"/>
    </row>
    <row r="2396" spans="5:5" s="4" customFormat="1" hidden="1" x14ac:dyDescent="0.5">
      <c r="E2396" s="108"/>
    </row>
    <row r="2397" spans="5:5" s="4" customFormat="1" hidden="1" x14ac:dyDescent="0.5">
      <c r="E2397" s="108"/>
    </row>
    <row r="2398" spans="5:5" s="4" customFormat="1" hidden="1" x14ac:dyDescent="0.5">
      <c r="E2398" s="108"/>
    </row>
    <row r="2399" spans="5:5" s="4" customFormat="1" hidden="1" x14ac:dyDescent="0.5">
      <c r="E2399" s="108"/>
    </row>
    <row r="2400" spans="5:5" s="4" customFormat="1" hidden="1" x14ac:dyDescent="0.5">
      <c r="E2400" s="108"/>
    </row>
    <row r="2401" spans="5:5" s="4" customFormat="1" hidden="1" x14ac:dyDescent="0.5">
      <c r="E2401" s="108"/>
    </row>
    <row r="2402" spans="5:5" s="4" customFormat="1" hidden="1" x14ac:dyDescent="0.5">
      <c r="E2402" s="108"/>
    </row>
    <row r="2403" spans="5:5" s="4" customFormat="1" hidden="1" x14ac:dyDescent="0.5">
      <c r="E2403" s="108"/>
    </row>
    <row r="2404" spans="5:5" s="4" customFormat="1" hidden="1" x14ac:dyDescent="0.5">
      <c r="E2404" s="108"/>
    </row>
    <row r="2405" spans="5:5" s="4" customFormat="1" hidden="1" x14ac:dyDescent="0.5">
      <c r="E2405" s="108"/>
    </row>
    <row r="2406" spans="5:5" s="4" customFormat="1" hidden="1" x14ac:dyDescent="0.5">
      <c r="E2406" s="108"/>
    </row>
    <row r="2407" spans="5:5" s="4" customFormat="1" hidden="1" x14ac:dyDescent="0.5">
      <c r="E2407" s="108"/>
    </row>
    <row r="2408" spans="5:5" s="4" customFormat="1" hidden="1" x14ac:dyDescent="0.5">
      <c r="E2408" s="108"/>
    </row>
    <row r="2409" spans="5:5" s="4" customFormat="1" hidden="1" x14ac:dyDescent="0.5">
      <c r="E2409" s="108"/>
    </row>
    <row r="2410" spans="5:5" s="4" customFormat="1" hidden="1" x14ac:dyDescent="0.5">
      <c r="E2410" s="108"/>
    </row>
    <row r="2411" spans="5:5" s="4" customFormat="1" hidden="1" x14ac:dyDescent="0.5">
      <c r="E2411" s="108"/>
    </row>
    <row r="2412" spans="5:5" s="4" customFormat="1" hidden="1" x14ac:dyDescent="0.5">
      <c r="E2412" s="108"/>
    </row>
    <row r="2413" spans="5:5" s="4" customFormat="1" hidden="1" x14ac:dyDescent="0.5">
      <c r="E2413" s="108"/>
    </row>
    <row r="2414" spans="5:5" s="4" customFormat="1" hidden="1" x14ac:dyDescent="0.5">
      <c r="E2414" s="108"/>
    </row>
    <row r="2415" spans="5:5" s="4" customFormat="1" hidden="1" x14ac:dyDescent="0.5">
      <c r="E2415" s="108"/>
    </row>
    <row r="2416" spans="5:5" s="4" customFormat="1" hidden="1" x14ac:dyDescent="0.5">
      <c r="E2416" s="108"/>
    </row>
    <row r="2417" spans="5:5" s="4" customFormat="1" hidden="1" x14ac:dyDescent="0.5">
      <c r="E2417" s="108"/>
    </row>
    <row r="2418" spans="5:5" s="4" customFormat="1" hidden="1" x14ac:dyDescent="0.5">
      <c r="E2418" s="108"/>
    </row>
    <row r="2419" spans="5:5" s="4" customFormat="1" hidden="1" x14ac:dyDescent="0.5">
      <c r="E2419" s="108"/>
    </row>
    <row r="2420" spans="5:5" s="4" customFormat="1" hidden="1" x14ac:dyDescent="0.5">
      <c r="E2420" s="108"/>
    </row>
    <row r="2421" spans="5:5" s="4" customFormat="1" hidden="1" x14ac:dyDescent="0.5">
      <c r="E2421" s="108"/>
    </row>
    <row r="2422" spans="5:5" s="4" customFormat="1" hidden="1" x14ac:dyDescent="0.5">
      <c r="E2422" s="108"/>
    </row>
    <row r="2423" spans="5:5" s="4" customFormat="1" hidden="1" x14ac:dyDescent="0.5">
      <c r="E2423" s="108"/>
    </row>
    <row r="2424" spans="5:5" s="4" customFormat="1" hidden="1" x14ac:dyDescent="0.5">
      <c r="E2424" s="108"/>
    </row>
    <row r="2425" spans="5:5" s="4" customFormat="1" hidden="1" x14ac:dyDescent="0.5">
      <c r="E2425" s="108"/>
    </row>
    <row r="2426" spans="5:5" s="4" customFormat="1" hidden="1" x14ac:dyDescent="0.5">
      <c r="E2426" s="108"/>
    </row>
    <row r="2427" spans="5:5" s="4" customFormat="1" hidden="1" x14ac:dyDescent="0.5">
      <c r="E2427" s="108"/>
    </row>
    <row r="2428" spans="5:5" s="4" customFormat="1" hidden="1" x14ac:dyDescent="0.5">
      <c r="E2428" s="108"/>
    </row>
    <row r="2429" spans="5:5" s="4" customFormat="1" hidden="1" x14ac:dyDescent="0.5">
      <c r="E2429" s="108"/>
    </row>
    <row r="2430" spans="5:5" s="4" customFormat="1" hidden="1" x14ac:dyDescent="0.5">
      <c r="E2430" s="108"/>
    </row>
    <row r="2431" spans="5:5" s="4" customFormat="1" hidden="1" x14ac:dyDescent="0.5">
      <c r="E2431" s="108"/>
    </row>
    <row r="2432" spans="5:5" s="4" customFormat="1" hidden="1" x14ac:dyDescent="0.5">
      <c r="E2432" s="108"/>
    </row>
    <row r="2433" spans="5:5" s="4" customFormat="1" hidden="1" x14ac:dyDescent="0.5">
      <c r="E2433" s="108"/>
    </row>
    <row r="2434" spans="5:5" s="4" customFormat="1" hidden="1" x14ac:dyDescent="0.5">
      <c r="E2434" s="108"/>
    </row>
    <row r="2435" spans="5:5" s="4" customFormat="1" hidden="1" x14ac:dyDescent="0.5">
      <c r="E2435" s="108"/>
    </row>
    <row r="2436" spans="5:5" s="4" customFormat="1" hidden="1" x14ac:dyDescent="0.5">
      <c r="E2436" s="108"/>
    </row>
    <row r="2437" spans="5:5" s="4" customFormat="1" hidden="1" x14ac:dyDescent="0.5">
      <c r="E2437" s="108"/>
    </row>
    <row r="2438" spans="5:5" s="4" customFormat="1" hidden="1" x14ac:dyDescent="0.5">
      <c r="E2438" s="108"/>
    </row>
    <row r="2439" spans="5:5" s="4" customFormat="1" hidden="1" x14ac:dyDescent="0.5">
      <c r="E2439" s="108"/>
    </row>
    <row r="2440" spans="5:5" s="4" customFormat="1" hidden="1" x14ac:dyDescent="0.5">
      <c r="E2440" s="108"/>
    </row>
    <row r="2441" spans="5:5" s="4" customFormat="1" hidden="1" x14ac:dyDescent="0.5">
      <c r="E2441" s="108"/>
    </row>
    <row r="2442" spans="5:5" s="4" customFormat="1" hidden="1" x14ac:dyDescent="0.5">
      <c r="E2442" s="108"/>
    </row>
    <row r="2443" spans="5:5" s="4" customFormat="1" hidden="1" x14ac:dyDescent="0.5">
      <c r="E2443" s="108"/>
    </row>
    <row r="2444" spans="5:5" s="4" customFormat="1" hidden="1" x14ac:dyDescent="0.5">
      <c r="E2444" s="108"/>
    </row>
    <row r="2445" spans="5:5" s="4" customFormat="1" hidden="1" x14ac:dyDescent="0.5">
      <c r="E2445" s="108"/>
    </row>
    <row r="2446" spans="5:5" s="4" customFormat="1" hidden="1" x14ac:dyDescent="0.5">
      <c r="E2446" s="108"/>
    </row>
    <row r="2447" spans="5:5" s="4" customFormat="1" hidden="1" x14ac:dyDescent="0.5">
      <c r="E2447" s="108"/>
    </row>
    <row r="2448" spans="5:5" s="4" customFormat="1" hidden="1" x14ac:dyDescent="0.5">
      <c r="E2448" s="108"/>
    </row>
    <row r="2449" spans="5:5" s="4" customFormat="1" hidden="1" x14ac:dyDescent="0.5">
      <c r="E2449" s="108"/>
    </row>
    <row r="2450" spans="5:5" s="4" customFormat="1" hidden="1" x14ac:dyDescent="0.5">
      <c r="E2450" s="108"/>
    </row>
    <row r="2451" spans="5:5" s="4" customFormat="1" hidden="1" x14ac:dyDescent="0.5">
      <c r="E2451" s="108"/>
    </row>
    <row r="2452" spans="5:5" s="4" customFormat="1" hidden="1" x14ac:dyDescent="0.5">
      <c r="E2452" s="108"/>
    </row>
    <row r="2453" spans="5:5" s="4" customFormat="1" hidden="1" x14ac:dyDescent="0.5">
      <c r="E2453" s="108"/>
    </row>
    <row r="2454" spans="5:5" s="4" customFormat="1" hidden="1" x14ac:dyDescent="0.5">
      <c r="E2454" s="108"/>
    </row>
    <row r="2455" spans="5:5" s="4" customFormat="1" hidden="1" x14ac:dyDescent="0.5">
      <c r="E2455" s="108"/>
    </row>
    <row r="2456" spans="5:5" s="4" customFormat="1" hidden="1" x14ac:dyDescent="0.5">
      <c r="E2456" s="108"/>
    </row>
    <row r="2457" spans="5:5" s="4" customFormat="1" hidden="1" x14ac:dyDescent="0.5">
      <c r="E2457" s="108"/>
    </row>
    <row r="2458" spans="5:5" s="4" customFormat="1" hidden="1" x14ac:dyDescent="0.5">
      <c r="E2458" s="108"/>
    </row>
    <row r="2459" spans="5:5" s="4" customFormat="1" hidden="1" x14ac:dyDescent="0.5">
      <c r="E2459" s="108"/>
    </row>
    <row r="2460" spans="5:5" s="4" customFormat="1" hidden="1" x14ac:dyDescent="0.5">
      <c r="E2460" s="108"/>
    </row>
    <row r="2461" spans="5:5" s="4" customFormat="1" hidden="1" x14ac:dyDescent="0.5">
      <c r="E2461" s="108"/>
    </row>
    <row r="2462" spans="5:5" s="4" customFormat="1" hidden="1" x14ac:dyDescent="0.5">
      <c r="E2462" s="108"/>
    </row>
    <row r="2463" spans="5:5" s="4" customFormat="1" hidden="1" x14ac:dyDescent="0.5">
      <c r="E2463" s="108"/>
    </row>
    <row r="2464" spans="5:5" s="4" customFormat="1" hidden="1" x14ac:dyDescent="0.5">
      <c r="E2464" s="108"/>
    </row>
    <row r="2465" spans="5:5" s="4" customFormat="1" hidden="1" x14ac:dyDescent="0.5">
      <c r="E2465" s="108"/>
    </row>
    <row r="2466" spans="5:5" s="4" customFormat="1" hidden="1" x14ac:dyDescent="0.5">
      <c r="E2466" s="108"/>
    </row>
    <row r="2467" spans="5:5" s="4" customFormat="1" hidden="1" x14ac:dyDescent="0.5">
      <c r="E2467" s="108"/>
    </row>
    <row r="2468" spans="5:5" s="4" customFormat="1" hidden="1" x14ac:dyDescent="0.5">
      <c r="E2468" s="108"/>
    </row>
    <row r="2469" spans="5:5" s="4" customFormat="1" hidden="1" x14ac:dyDescent="0.5">
      <c r="E2469" s="108"/>
    </row>
    <row r="2470" spans="5:5" s="4" customFormat="1" hidden="1" x14ac:dyDescent="0.5">
      <c r="E2470" s="108"/>
    </row>
    <row r="2471" spans="5:5" s="4" customFormat="1" hidden="1" x14ac:dyDescent="0.5">
      <c r="E2471" s="108"/>
    </row>
    <row r="2472" spans="5:5" s="4" customFormat="1" hidden="1" x14ac:dyDescent="0.5">
      <c r="E2472" s="108"/>
    </row>
    <row r="2473" spans="5:5" s="4" customFormat="1" hidden="1" x14ac:dyDescent="0.5">
      <c r="E2473" s="108"/>
    </row>
    <row r="2474" spans="5:5" s="4" customFormat="1" hidden="1" x14ac:dyDescent="0.5">
      <c r="E2474" s="108"/>
    </row>
    <row r="2475" spans="5:5" s="4" customFormat="1" hidden="1" x14ac:dyDescent="0.5">
      <c r="E2475" s="108"/>
    </row>
    <row r="2476" spans="5:5" s="4" customFormat="1" hidden="1" x14ac:dyDescent="0.5">
      <c r="E2476" s="108"/>
    </row>
    <row r="2477" spans="5:5" s="4" customFormat="1" hidden="1" x14ac:dyDescent="0.5">
      <c r="E2477" s="108"/>
    </row>
    <row r="2478" spans="5:5" s="4" customFormat="1" hidden="1" x14ac:dyDescent="0.5">
      <c r="E2478" s="108"/>
    </row>
    <row r="2479" spans="5:5" s="4" customFormat="1" hidden="1" x14ac:dyDescent="0.5">
      <c r="E2479" s="108"/>
    </row>
    <row r="2480" spans="5:5" s="4" customFormat="1" hidden="1" x14ac:dyDescent="0.5">
      <c r="E2480" s="108"/>
    </row>
    <row r="2481" spans="5:5" s="4" customFormat="1" hidden="1" x14ac:dyDescent="0.5">
      <c r="E2481" s="108"/>
    </row>
    <row r="2482" spans="5:5" s="4" customFormat="1" hidden="1" x14ac:dyDescent="0.5">
      <c r="E2482" s="108"/>
    </row>
    <row r="2483" spans="5:5" s="4" customFormat="1" hidden="1" x14ac:dyDescent="0.5">
      <c r="E2483" s="108"/>
    </row>
    <row r="2484" spans="5:5" s="4" customFormat="1" hidden="1" x14ac:dyDescent="0.5">
      <c r="E2484" s="108"/>
    </row>
    <row r="2485" spans="5:5" s="4" customFormat="1" hidden="1" x14ac:dyDescent="0.5">
      <c r="E2485" s="108"/>
    </row>
    <row r="2486" spans="5:5" s="4" customFormat="1" hidden="1" x14ac:dyDescent="0.5">
      <c r="E2486" s="108"/>
    </row>
    <row r="2487" spans="5:5" s="4" customFormat="1" hidden="1" x14ac:dyDescent="0.5">
      <c r="E2487" s="108"/>
    </row>
    <row r="2488" spans="5:5" s="4" customFormat="1" hidden="1" x14ac:dyDescent="0.5">
      <c r="E2488" s="108"/>
    </row>
    <row r="2489" spans="5:5" s="4" customFormat="1" hidden="1" x14ac:dyDescent="0.5">
      <c r="E2489" s="108"/>
    </row>
    <row r="2490" spans="5:5" s="4" customFormat="1" hidden="1" x14ac:dyDescent="0.5">
      <c r="E2490" s="108"/>
    </row>
    <row r="2491" spans="5:5" s="4" customFormat="1" hidden="1" x14ac:dyDescent="0.5">
      <c r="E2491" s="108"/>
    </row>
    <row r="2492" spans="5:5" s="4" customFormat="1" hidden="1" x14ac:dyDescent="0.5">
      <c r="E2492" s="108"/>
    </row>
    <row r="2493" spans="5:5" s="4" customFormat="1" hidden="1" x14ac:dyDescent="0.5">
      <c r="E2493" s="108"/>
    </row>
    <row r="2494" spans="5:5" s="4" customFormat="1" hidden="1" x14ac:dyDescent="0.5">
      <c r="E2494" s="108"/>
    </row>
    <row r="2495" spans="5:5" s="4" customFormat="1" hidden="1" x14ac:dyDescent="0.5">
      <c r="E2495" s="108"/>
    </row>
    <row r="2496" spans="5:5" s="4" customFormat="1" hidden="1" x14ac:dyDescent="0.5">
      <c r="E2496" s="108"/>
    </row>
    <row r="2497" spans="5:5" s="4" customFormat="1" hidden="1" x14ac:dyDescent="0.5">
      <c r="E2497" s="108"/>
    </row>
    <row r="2498" spans="5:5" s="4" customFormat="1" hidden="1" x14ac:dyDescent="0.5">
      <c r="E2498" s="108"/>
    </row>
    <row r="2499" spans="5:5" s="4" customFormat="1" hidden="1" x14ac:dyDescent="0.5">
      <c r="E2499" s="108"/>
    </row>
    <row r="2500" spans="5:5" s="4" customFormat="1" hidden="1" x14ac:dyDescent="0.5">
      <c r="E2500" s="108"/>
    </row>
    <row r="2501" spans="5:5" s="4" customFormat="1" hidden="1" x14ac:dyDescent="0.5">
      <c r="E2501" s="108"/>
    </row>
    <row r="2502" spans="5:5" s="4" customFormat="1" hidden="1" x14ac:dyDescent="0.5">
      <c r="E2502" s="108"/>
    </row>
    <row r="2503" spans="5:5" s="4" customFormat="1" hidden="1" x14ac:dyDescent="0.5">
      <c r="E2503" s="108"/>
    </row>
    <row r="2504" spans="5:5" s="4" customFormat="1" hidden="1" x14ac:dyDescent="0.5">
      <c r="E2504" s="108"/>
    </row>
    <row r="2505" spans="5:5" s="4" customFormat="1" hidden="1" x14ac:dyDescent="0.5">
      <c r="E2505" s="108"/>
    </row>
    <row r="2506" spans="5:5" s="4" customFormat="1" hidden="1" x14ac:dyDescent="0.5">
      <c r="E2506" s="108"/>
    </row>
    <row r="2507" spans="5:5" s="4" customFormat="1" hidden="1" x14ac:dyDescent="0.5">
      <c r="E2507" s="108"/>
    </row>
    <row r="2508" spans="5:5" s="4" customFormat="1" hidden="1" x14ac:dyDescent="0.5">
      <c r="E2508" s="108"/>
    </row>
    <row r="2509" spans="5:5" s="4" customFormat="1" hidden="1" x14ac:dyDescent="0.5">
      <c r="E2509" s="108"/>
    </row>
    <row r="2510" spans="5:5" s="4" customFormat="1" hidden="1" x14ac:dyDescent="0.5">
      <c r="E2510" s="108"/>
    </row>
    <row r="2511" spans="5:5" s="4" customFormat="1" hidden="1" x14ac:dyDescent="0.5">
      <c r="E2511" s="108"/>
    </row>
    <row r="2512" spans="5:5" s="4" customFormat="1" hidden="1" x14ac:dyDescent="0.5">
      <c r="E2512" s="108"/>
    </row>
    <row r="2513" spans="5:5" s="4" customFormat="1" hidden="1" x14ac:dyDescent="0.5">
      <c r="E2513" s="108"/>
    </row>
    <row r="2514" spans="5:5" s="4" customFormat="1" hidden="1" x14ac:dyDescent="0.5">
      <c r="E2514" s="108"/>
    </row>
    <row r="2515" spans="5:5" s="4" customFormat="1" hidden="1" x14ac:dyDescent="0.5">
      <c r="E2515" s="108"/>
    </row>
    <row r="2516" spans="5:5" s="4" customFormat="1" hidden="1" x14ac:dyDescent="0.5">
      <c r="E2516" s="108"/>
    </row>
    <row r="2517" spans="5:5" s="4" customFormat="1" hidden="1" x14ac:dyDescent="0.5">
      <c r="E2517" s="108"/>
    </row>
    <row r="2518" spans="5:5" s="4" customFormat="1" hidden="1" x14ac:dyDescent="0.5">
      <c r="E2518" s="108"/>
    </row>
    <row r="2519" spans="5:5" s="4" customFormat="1" hidden="1" x14ac:dyDescent="0.5">
      <c r="E2519" s="108"/>
    </row>
    <row r="2520" spans="5:5" s="4" customFormat="1" hidden="1" x14ac:dyDescent="0.5">
      <c r="E2520" s="108"/>
    </row>
    <row r="2521" spans="5:5" s="4" customFormat="1" hidden="1" x14ac:dyDescent="0.5">
      <c r="E2521" s="108"/>
    </row>
    <row r="2522" spans="5:5" s="4" customFormat="1" hidden="1" x14ac:dyDescent="0.5">
      <c r="E2522" s="108"/>
    </row>
    <row r="2523" spans="5:5" s="4" customFormat="1" hidden="1" x14ac:dyDescent="0.5">
      <c r="E2523" s="108"/>
    </row>
    <row r="2524" spans="5:5" s="4" customFormat="1" hidden="1" x14ac:dyDescent="0.5">
      <c r="E2524" s="108"/>
    </row>
    <row r="2525" spans="5:5" s="4" customFormat="1" hidden="1" x14ac:dyDescent="0.5">
      <c r="E2525" s="108"/>
    </row>
    <row r="2526" spans="5:5" s="4" customFormat="1" hidden="1" x14ac:dyDescent="0.5">
      <c r="E2526" s="108"/>
    </row>
    <row r="2527" spans="5:5" s="4" customFormat="1" hidden="1" x14ac:dyDescent="0.5">
      <c r="E2527" s="108"/>
    </row>
    <row r="2528" spans="5:5" s="4" customFormat="1" hidden="1" x14ac:dyDescent="0.5">
      <c r="E2528" s="108"/>
    </row>
    <row r="2529" spans="5:5" s="4" customFormat="1" hidden="1" x14ac:dyDescent="0.5">
      <c r="E2529" s="108"/>
    </row>
    <row r="2530" spans="5:5" s="4" customFormat="1" hidden="1" x14ac:dyDescent="0.5">
      <c r="E2530" s="108"/>
    </row>
    <row r="2531" spans="5:5" s="4" customFormat="1" hidden="1" x14ac:dyDescent="0.5">
      <c r="E2531" s="108"/>
    </row>
    <row r="2532" spans="5:5" s="4" customFormat="1" hidden="1" x14ac:dyDescent="0.5">
      <c r="E2532" s="108"/>
    </row>
    <row r="2533" spans="5:5" s="4" customFormat="1" hidden="1" x14ac:dyDescent="0.5">
      <c r="E2533" s="108"/>
    </row>
    <row r="2534" spans="5:5" s="4" customFormat="1" hidden="1" x14ac:dyDescent="0.5">
      <c r="E2534" s="108"/>
    </row>
    <row r="2535" spans="5:5" s="4" customFormat="1" hidden="1" x14ac:dyDescent="0.5">
      <c r="E2535" s="108"/>
    </row>
    <row r="2536" spans="5:5" s="4" customFormat="1" hidden="1" x14ac:dyDescent="0.5">
      <c r="E2536" s="108"/>
    </row>
    <row r="2537" spans="5:5" s="4" customFormat="1" hidden="1" x14ac:dyDescent="0.5">
      <c r="E2537" s="108"/>
    </row>
    <row r="2538" spans="5:5" s="4" customFormat="1" hidden="1" x14ac:dyDescent="0.5">
      <c r="E2538" s="108"/>
    </row>
    <row r="2539" spans="5:5" s="4" customFormat="1" hidden="1" x14ac:dyDescent="0.5">
      <c r="E2539" s="108"/>
    </row>
    <row r="2540" spans="5:5" s="4" customFormat="1" hidden="1" x14ac:dyDescent="0.5">
      <c r="E2540" s="108"/>
    </row>
    <row r="2541" spans="5:5" s="4" customFormat="1" hidden="1" x14ac:dyDescent="0.5">
      <c r="E2541" s="108"/>
    </row>
    <row r="2542" spans="5:5" s="4" customFormat="1" hidden="1" x14ac:dyDescent="0.5">
      <c r="E2542" s="108"/>
    </row>
    <row r="2543" spans="5:5" s="4" customFormat="1" hidden="1" x14ac:dyDescent="0.5">
      <c r="E2543" s="108"/>
    </row>
    <row r="2544" spans="5:5" s="4" customFormat="1" hidden="1" x14ac:dyDescent="0.5">
      <c r="E2544" s="108"/>
    </row>
    <row r="2545" spans="5:5" s="4" customFormat="1" hidden="1" x14ac:dyDescent="0.5">
      <c r="E2545" s="108"/>
    </row>
    <row r="2546" spans="5:5" s="4" customFormat="1" hidden="1" x14ac:dyDescent="0.5">
      <c r="E2546" s="108"/>
    </row>
    <row r="2547" spans="5:5" s="4" customFormat="1" hidden="1" x14ac:dyDescent="0.5">
      <c r="E2547" s="108"/>
    </row>
    <row r="2548" spans="5:5" s="4" customFormat="1" hidden="1" x14ac:dyDescent="0.5">
      <c r="E2548" s="108"/>
    </row>
    <row r="2549" spans="5:5" s="4" customFormat="1" hidden="1" x14ac:dyDescent="0.5">
      <c r="E2549" s="108"/>
    </row>
    <row r="2550" spans="5:5" s="4" customFormat="1" hidden="1" x14ac:dyDescent="0.5">
      <c r="E2550" s="108"/>
    </row>
    <row r="2551" spans="5:5" s="4" customFormat="1" hidden="1" x14ac:dyDescent="0.5">
      <c r="E2551" s="108"/>
    </row>
    <row r="2552" spans="5:5" s="4" customFormat="1" hidden="1" x14ac:dyDescent="0.5">
      <c r="E2552" s="108"/>
    </row>
    <row r="2553" spans="5:5" s="4" customFormat="1" hidden="1" x14ac:dyDescent="0.5">
      <c r="E2553" s="108"/>
    </row>
    <row r="2554" spans="5:5" s="4" customFormat="1" hidden="1" x14ac:dyDescent="0.5">
      <c r="E2554" s="108"/>
    </row>
    <row r="2555" spans="5:5" s="4" customFormat="1" hidden="1" x14ac:dyDescent="0.5">
      <c r="E2555" s="108"/>
    </row>
    <row r="2556" spans="5:5" s="4" customFormat="1" hidden="1" x14ac:dyDescent="0.5">
      <c r="E2556" s="108"/>
    </row>
    <row r="2557" spans="5:5" s="4" customFormat="1" hidden="1" x14ac:dyDescent="0.5">
      <c r="E2557" s="108"/>
    </row>
    <row r="2558" spans="5:5" s="4" customFormat="1" hidden="1" x14ac:dyDescent="0.5">
      <c r="E2558" s="108"/>
    </row>
    <row r="2559" spans="5:5" s="4" customFormat="1" hidden="1" x14ac:dyDescent="0.5">
      <c r="E2559" s="108"/>
    </row>
    <row r="2560" spans="5:5" s="4" customFormat="1" hidden="1" x14ac:dyDescent="0.5">
      <c r="E2560" s="108"/>
    </row>
    <row r="2561" spans="5:5" s="4" customFormat="1" hidden="1" x14ac:dyDescent="0.5">
      <c r="E2561" s="108"/>
    </row>
    <row r="2562" spans="5:5" s="4" customFormat="1" hidden="1" x14ac:dyDescent="0.5">
      <c r="E2562" s="108"/>
    </row>
    <row r="2563" spans="5:5" s="4" customFormat="1" hidden="1" x14ac:dyDescent="0.5">
      <c r="E2563" s="108"/>
    </row>
    <row r="2564" spans="5:5" s="4" customFormat="1" hidden="1" x14ac:dyDescent="0.5">
      <c r="E2564" s="108"/>
    </row>
    <row r="2565" spans="5:5" s="4" customFormat="1" hidden="1" x14ac:dyDescent="0.5">
      <c r="E2565" s="108"/>
    </row>
    <row r="2566" spans="5:5" s="4" customFormat="1" hidden="1" x14ac:dyDescent="0.5">
      <c r="E2566" s="108"/>
    </row>
    <row r="2567" spans="5:5" s="4" customFormat="1" hidden="1" x14ac:dyDescent="0.5">
      <c r="E2567" s="108"/>
    </row>
    <row r="2568" spans="5:5" s="4" customFormat="1" hidden="1" x14ac:dyDescent="0.5">
      <c r="E2568" s="108"/>
    </row>
    <row r="2569" spans="5:5" s="4" customFormat="1" hidden="1" x14ac:dyDescent="0.5">
      <c r="E2569" s="108"/>
    </row>
    <row r="2570" spans="5:5" s="4" customFormat="1" hidden="1" x14ac:dyDescent="0.5">
      <c r="E2570" s="108"/>
    </row>
    <row r="2571" spans="5:5" s="4" customFormat="1" hidden="1" x14ac:dyDescent="0.5">
      <c r="E2571" s="108"/>
    </row>
    <row r="2572" spans="5:5" s="4" customFormat="1" hidden="1" x14ac:dyDescent="0.5">
      <c r="E2572" s="108"/>
    </row>
    <row r="2573" spans="5:5" s="4" customFormat="1" hidden="1" x14ac:dyDescent="0.5">
      <c r="E2573" s="108"/>
    </row>
    <row r="2574" spans="5:5" s="4" customFormat="1" hidden="1" x14ac:dyDescent="0.5">
      <c r="E2574" s="108"/>
    </row>
    <row r="2575" spans="5:5" s="4" customFormat="1" hidden="1" x14ac:dyDescent="0.5">
      <c r="E2575" s="108"/>
    </row>
    <row r="2576" spans="5:5" s="4" customFormat="1" hidden="1" x14ac:dyDescent="0.5">
      <c r="E2576" s="108"/>
    </row>
    <row r="2577" spans="5:5" s="4" customFormat="1" hidden="1" x14ac:dyDescent="0.5">
      <c r="E2577" s="108"/>
    </row>
    <row r="2578" spans="5:5" s="4" customFormat="1" hidden="1" x14ac:dyDescent="0.5">
      <c r="E2578" s="108"/>
    </row>
    <row r="2579" spans="5:5" s="4" customFormat="1" hidden="1" x14ac:dyDescent="0.5">
      <c r="E2579" s="108"/>
    </row>
    <row r="2580" spans="5:5" s="4" customFormat="1" hidden="1" x14ac:dyDescent="0.5">
      <c r="E2580" s="108"/>
    </row>
    <row r="2581" spans="5:5" s="4" customFormat="1" hidden="1" x14ac:dyDescent="0.5">
      <c r="E2581" s="108"/>
    </row>
    <row r="2582" spans="5:5" s="4" customFormat="1" hidden="1" x14ac:dyDescent="0.5">
      <c r="E2582" s="108"/>
    </row>
    <row r="2583" spans="5:5" s="4" customFormat="1" hidden="1" x14ac:dyDescent="0.5">
      <c r="E2583" s="108"/>
    </row>
    <row r="2584" spans="5:5" s="4" customFormat="1" hidden="1" x14ac:dyDescent="0.5">
      <c r="E2584" s="108"/>
    </row>
    <row r="2585" spans="5:5" s="4" customFormat="1" hidden="1" x14ac:dyDescent="0.5">
      <c r="E2585" s="108"/>
    </row>
    <row r="2586" spans="5:5" s="4" customFormat="1" hidden="1" x14ac:dyDescent="0.5">
      <c r="E2586" s="108"/>
    </row>
    <row r="2587" spans="5:5" s="4" customFormat="1" hidden="1" x14ac:dyDescent="0.5">
      <c r="E2587" s="108"/>
    </row>
    <row r="2588" spans="5:5" s="4" customFormat="1" hidden="1" x14ac:dyDescent="0.5">
      <c r="E2588" s="108"/>
    </row>
    <row r="2589" spans="5:5" s="4" customFormat="1" hidden="1" x14ac:dyDescent="0.5">
      <c r="E2589" s="108"/>
    </row>
    <row r="2590" spans="5:5" s="4" customFormat="1" hidden="1" x14ac:dyDescent="0.5">
      <c r="E2590" s="108"/>
    </row>
    <row r="2591" spans="5:5" s="4" customFormat="1" hidden="1" x14ac:dyDescent="0.5">
      <c r="E2591" s="108"/>
    </row>
    <row r="2592" spans="5:5" s="4" customFormat="1" hidden="1" x14ac:dyDescent="0.5">
      <c r="E2592" s="108"/>
    </row>
    <row r="2593" spans="5:5" s="4" customFormat="1" hidden="1" x14ac:dyDescent="0.5">
      <c r="E2593" s="108"/>
    </row>
    <row r="2594" spans="5:5" s="4" customFormat="1" hidden="1" x14ac:dyDescent="0.5">
      <c r="E2594" s="108"/>
    </row>
    <row r="2595" spans="5:5" s="4" customFormat="1" hidden="1" x14ac:dyDescent="0.5">
      <c r="E2595" s="108"/>
    </row>
    <row r="2596" spans="5:5" s="4" customFormat="1" hidden="1" x14ac:dyDescent="0.5">
      <c r="E2596" s="108"/>
    </row>
    <row r="2597" spans="5:5" s="4" customFormat="1" hidden="1" x14ac:dyDescent="0.5">
      <c r="E2597" s="108"/>
    </row>
    <row r="2598" spans="5:5" s="4" customFormat="1" hidden="1" x14ac:dyDescent="0.5">
      <c r="E2598" s="108"/>
    </row>
    <row r="2599" spans="5:5" s="4" customFormat="1" hidden="1" x14ac:dyDescent="0.5">
      <c r="E2599" s="108"/>
    </row>
    <row r="2600" spans="5:5" s="4" customFormat="1" hidden="1" x14ac:dyDescent="0.5">
      <c r="E2600" s="108"/>
    </row>
    <row r="2601" spans="5:5" s="4" customFormat="1" hidden="1" x14ac:dyDescent="0.5">
      <c r="E2601" s="108"/>
    </row>
    <row r="2602" spans="5:5" s="4" customFormat="1" hidden="1" x14ac:dyDescent="0.5">
      <c r="E2602" s="108"/>
    </row>
    <row r="2603" spans="5:5" s="4" customFormat="1" hidden="1" x14ac:dyDescent="0.5">
      <c r="E2603" s="108"/>
    </row>
    <row r="2604" spans="5:5" s="4" customFormat="1" hidden="1" x14ac:dyDescent="0.5">
      <c r="E2604" s="108"/>
    </row>
    <row r="2605" spans="5:5" s="4" customFormat="1" hidden="1" x14ac:dyDescent="0.5">
      <c r="E2605" s="108"/>
    </row>
    <row r="2606" spans="5:5" s="4" customFormat="1" hidden="1" x14ac:dyDescent="0.5">
      <c r="E2606" s="108"/>
    </row>
    <row r="2607" spans="5:5" s="4" customFormat="1" hidden="1" x14ac:dyDescent="0.5">
      <c r="E2607" s="108"/>
    </row>
    <row r="2608" spans="5:5" s="4" customFormat="1" hidden="1" x14ac:dyDescent="0.5">
      <c r="E2608" s="108"/>
    </row>
    <row r="2609" spans="5:5" s="4" customFormat="1" hidden="1" x14ac:dyDescent="0.5">
      <c r="E2609" s="108"/>
    </row>
    <row r="2610" spans="5:5" s="4" customFormat="1" hidden="1" x14ac:dyDescent="0.5">
      <c r="E2610" s="108"/>
    </row>
    <row r="2611" spans="5:5" s="4" customFormat="1" hidden="1" x14ac:dyDescent="0.5">
      <c r="E2611" s="108"/>
    </row>
    <row r="2612" spans="5:5" s="4" customFormat="1" hidden="1" x14ac:dyDescent="0.5">
      <c r="E2612" s="108"/>
    </row>
    <row r="2613" spans="5:5" s="4" customFormat="1" hidden="1" x14ac:dyDescent="0.5">
      <c r="E2613" s="108"/>
    </row>
    <row r="2614" spans="5:5" s="4" customFormat="1" hidden="1" x14ac:dyDescent="0.5">
      <c r="E2614" s="108"/>
    </row>
    <row r="2615" spans="5:5" s="4" customFormat="1" hidden="1" x14ac:dyDescent="0.5">
      <c r="E2615" s="108"/>
    </row>
    <row r="2616" spans="5:5" s="4" customFormat="1" hidden="1" x14ac:dyDescent="0.5">
      <c r="E2616" s="108"/>
    </row>
    <row r="2617" spans="5:5" s="4" customFormat="1" hidden="1" x14ac:dyDescent="0.5">
      <c r="E2617" s="108"/>
    </row>
    <row r="2618" spans="5:5" s="4" customFormat="1" hidden="1" x14ac:dyDescent="0.5">
      <c r="E2618" s="108"/>
    </row>
    <row r="2619" spans="5:5" s="4" customFormat="1" hidden="1" x14ac:dyDescent="0.5">
      <c r="E2619" s="108"/>
    </row>
    <row r="2620" spans="5:5" s="4" customFormat="1" hidden="1" x14ac:dyDescent="0.5">
      <c r="E2620" s="108"/>
    </row>
    <row r="2621" spans="5:5" s="4" customFormat="1" hidden="1" x14ac:dyDescent="0.5">
      <c r="E2621" s="108"/>
    </row>
    <row r="2622" spans="5:5" s="4" customFormat="1" hidden="1" x14ac:dyDescent="0.5">
      <c r="E2622" s="108"/>
    </row>
    <row r="2623" spans="5:5" s="4" customFormat="1" hidden="1" x14ac:dyDescent="0.5">
      <c r="E2623" s="108"/>
    </row>
    <row r="2624" spans="5:5" s="4" customFormat="1" hidden="1" x14ac:dyDescent="0.5">
      <c r="E2624" s="108"/>
    </row>
    <row r="2625" spans="5:5" s="4" customFormat="1" hidden="1" x14ac:dyDescent="0.5">
      <c r="E2625" s="108"/>
    </row>
    <row r="2626" spans="5:5" s="4" customFormat="1" hidden="1" x14ac:dyDescent="0.5">
      <c r="E2626" s="108"/>
    </row>
    <row r="2627" spans="5:5" s="4" customFormat="1" hidden="1" x14ac:dyDescent="0.5">
      <c r="E2627" s="108"/>
    </row>
    <row r="2628" spans="5:5" s="4" customFormat="1" hidden="1" x14ac:dyDescent="0.5">
      <c r="E2628" s="108"/>
    </row>
    <row r="2629" spans="5:5" s="4" customFormat="1" hidden="1" x14ac:dyDescent="0.5">
      <c r="E2629" s="108"/>
    </row>
    <row r="2630" spans="5:5" s="4" customFormat="1" hidden="1" x14ac:dyDescent="0.5">
      <c r="E2630" s="108"/>
    </row>
    <row r="2631" spans="5:5" s="4" customFormat="1" hidden="1" x14ac:dyDescent="0.5">
      <c r="E2631" s="108"/>
    </row>
    <row r="2632" spans="5:5" s="4" customFormat="1" hidden="1" x14ac:dyDescent="0.5">
      <c r="E2632" s="108"/>
    </row>
    <row r="2633" spans="5:5" s="4" customFormat="1" hidden="1" x14ac:dyDescent="0.5">
      <c r="E2633" s="108"/>
    </row>
    <row r="2634" spans="5:5" s="4" customFormat="1" hidden="1" x14ac:dyDescent="0.5">
      <c r="E2634" s="108"/>
    </row>
    <row r="2635" spans="5:5" s="4" customFormat="1" hidden="1" x14ac:dyDescent="0.5">
      <c r="E2635" s="108"/>
    </row>
    <row r="2636" spans="5:5" s="4" customFormat="1" hidden="1" x14ac:dyDescent="0.5">
      <c r="E2636" s="108"/>
    </row>
    <row r="2637" spans="5:5" s="4" customFormat="1" hidden="1" x14ac:dyDescent="0.5">
      <c r="E2637" s="108"/>
    </row>
    <row r="2638" spans="5:5" s="4" customFormat="1" hidden="1" x14ac:dyDescent="0.5">
      <c r="E2638" s="108"/>
    </row>
    <row r="2639" spans="5:5" s="4" customFormat="1" hidden="1" x14ac:dyDescent="0.5">
      <c r="E2639" s="108"/>
    </row>
    <row r="2640" spans="5:5" s="4" customFormat="1" hidden="1" x14ac:dyDescent="0.5">
      <c r="E2640" s="108"/>
    </row>
    <row r="2641" spans="5:5" s="4" customFormat="1" hidden="1" x14ac:dyDescent="0.5">
      <c r="E2641" s="108"/>
    </row>
    <row r="2642" spans="5:5" s="4" customFormat="1" hidden="1" x14ac:dyDescent="0.5">
      <c r="E2642" s="108"/>
    </row>
    <row r="2643" spans="5:5" s="4" customFormat="1" hidden="1" x14ac:dyDescent="0.5">
      <c r="E2643" s="108"/>
    </row>
    <row r="2644" spans="5:5" s="4" customFormat="1" hidden="1" x14ac:dyDescent="0.5">
      <c r="E2644" s="108"/>
    </row>
    <row r="2645" spans="5:5" s="4" customFormat="1" hidden="1" x14ac:dyDescent="0.5">
      <c r="E2645" s="108"/>
    </row>
    <row r="2646" spans="5:5" s="4" customFormat="1" hidden="1" x14ac:dyDescent="0.5">
      <c r="E2646" s="108"/>
    </row>
    <row r="2647" spans="5:5" s="4" customFormat="1" hidden="1" x14ac:dyDescent="0.5">
      <c r="E2647" s="108"/>
    </row>
    <row r="2648" spans="5:5" s="4" customFormat="1" hidden="1" x14ac:dyDescent="0.5">
      <c r="E2648" s="108"/>
    </row>
    <row r="2649" spans="5:5" s="4" customFormat="1" hidden="1" x14ac:dyDescent="0.5">
      <c r="E2649" s="108"/>
    </row>
    <row r="2650" spans="5:5" s="4" customFormat="1" hidden="1" x14ac:dyDescent="0.5">
      <c r="E2650" s="108"/>
    </row>
    <row r="2651" spans="5:5" s="4" customFormat="1" hidden="1" x14ac:dyDescent="0.5">
      <c r="E2651" s="108"/>
    </row>
    <row r="2652" spans="5:5" s="4" customFormat="1" hidden="1" x14ac:dyDescent="0.5">
      <c r="E2652" s="108"/>
    </row>
    <row r="2653" spans="5:5" s="4" customFormat="1" hidden="1" x14ac:dyDescent="0.5">
      <c r="E2653" s="108"/>
    </row>
    <row r="2654" spans="5:5" s="4" customFormat="1" hidden="1" x14ac:dyDescent="0.5">
      <c r="E2654" s="108"/>
    </row>
    <row r="2655" spans="5:5" s="4" customFormat="1" hidden="1" x14ac:dyDescent="0.5">
      <c r="E2655" s="108"/>
    </row>
    <row r="2656" spans="5:5" s="4" customFormat="1" hidden="1" x14ac:dyDescent="0.5">
      <c r="E2656" s="108"/>
    </row>
    <row r="2657" spans="5:5" s="4" customFormat="1" hidden="1" x14ac:dyDescent="0.5">
      <c r="E2657" s="108"/>
    </row>
    <row r="2658" spans="5:5" s="4" customFormat="1" hidden="1" x14ac:dyDescent="0.5">
      <c r="E2658" s="108"/>
    </row>
    <row r="2659" spans="5:5" s="4" customFormat="1" hidden="1" x14ac:dyDescent="0.5">
      <c r="E2659" s="108"/>
    </row>
    <row r="2660" spans="5:5" s="4" customFormat="1" hidden="1" x14ac:dyDescent="0.5">
      <c r="E2660" s="108"/>
    </row>
    <row r="2661" spans="5:5" s="4" customFormat="1" hidden="1" x14ac:dyDescent="0.5">
      <c r="E2661" s="108"/>
    </row>
    <row r="2662" spans="5:5" s="4" customFormat="1" hidden="1" x14ac:dyDescent="0.5">
      <c r="E2662" s="108"/>
    </row>
    <row r="2663" spans="5:5" s="4" customFormat="1" hidden="1" x14ac:dyDescent="0.5">
      <c r="E2663" s="108"/>
    </row>
    <row r="2664" spans="5:5" s="4" customFormat="1" hidden="1" x14ac:dyDescent="0.5">
      <c r="E2664" s="108"/>
    </row>
    <row r="2665" spans="5:5" s="4" customFormat="1" hidden="1" x14ac:dyDescent="0.5">
      <c r="E2665" s="108"/>
    </row>
    <row r="2666" spans="5:5" s="4" customFormat="1" hidden="1" x14ac:dyDescent="0.5">
      <c r="E2666" s="108"/>
    </row>
    <row r="2667" spans="5:5" s="4" customFormat="1" hidden="1" x14ac:dyDescent="0.5">
      <c r="E2667" s="108"/>
    </row>
    <row r="2668" spans="5:5" s="4" customFormat="1" hidden="1" x14ac:dyDescent="0.5">
      <c r="E2668" s="108"/>
    </row>
    <row r="2669" spans="5:5" s="4" customFormat="1" hidden="1" x14ac:dyDescent="0.5">
      <c r="E2669" s="108"/>
    </row>
    <row r="2670" spans="5:5" s="4" customFormat="1" hidden="1" x14ac:dyDescent="0.5">
      <c r="E2670" s="108"/>
    </row>
    <row r="2671" spans="5:5" s="4" customFormat="1" hidden="1" x14ac:dyDescent="0.5">
      <c r="E2671" s="108"/>
    </row>
    <row r="2672" spans="5:5" s="4" customFormat="1" hidden="1" x14ac:dyDescent="0.5">
      <c r="E2672" s="108"/>
    </row>
    <row r="2673" spans="5:5" s="4" customFormat="1" hidden="1" x14ac:dyDescent="0.5">
      <c r="E2673" s="108"/>
    </row>
    <row r="2674" spans="5:5" s="4" customFormat="1" hidden="1" x14ac:dyDescent="0.5">
      <c r="E2674" s="108"/>
    </row>
    <row r="2675" spans="5:5" s="4" customFormat="1" hidden="1" x14ac:dyDescent="0.5">
      <c r="E2675" s="108"/>
    </row>
    <row r="2676" spans="5:5" s="4" customFormat="1" hidden="1" x14ac:dyDescent="0.5">
      <c r="E2676" s="108"/>
    </row>
    <row r="2677" spans="5:5" s="4" customFormat="1" hidden="1" x14ac:dyDescent="0.5">
      <c r="E2677" s="108"/>
    </row>
    <row r="2678" spans="5:5" s="4" customFormat="1" hidden="1" x14ac:dyDescent="0.5">
      <c r="E2678" s="108"/>
    </row>
    <row r="2679" spans="5:5" s="4" customFormat="1" hidden="1" x14ac:dyDescent="0.5">
      <c r="E2679" s="108"/>
    </row>
    <row r="2680" spans="5:5" s="4" customFormat="1" hidden="1" x14ac:dyDescent="0.5">
      <c r="E2680" s="108"/>
    </row>
    <row r="2681" spans="5:5" s="4" customFormat="1" hidden="1" x14ac:dyDescent="0.5">
      <c r="E2681" s="108"/>
    </row>
    <row r="2682" spans="5:5" s="4" customFormat="1" hidden="1" x14ac:dyDescent="0.5">
      <c r="E2682" s="108"/>
    </row>
    <row r="2683" spans="5:5" s="4" customFormat="1" hidden="1" x14ac:dyDescent="0.5">
      <c r="E2683" s="108"/>
    </row>
    <row r="2684" spans="5:5" s="4" customFormat="1" hidden="1" x14ac:dyDescent="0.5">
      <c r="E2684" s="108"/>
    </row>
    <row r="2685" spans="5:5" s="4" customFormat="1" hidden="1" x14ac:dyDescent="0.5">
      <c r="E2685" s="108"/>
    </row>
    <row r="2686" spans="5:5" s="4" customFormat="1" hidden="1" x14ac:dyDescent="0.5">
      <c r="E2686" s="108"/>
    </row>
    <row r="2687" spans="5:5" s="4" customFormat="1" hidden="1" x14ac:dyDescent="0.5">
      <c r="E2687" s="108"/>
    </row>
    <row r="2688" spans="5:5" s="4" customFormat="1" hidden="1" x14ac:dyDescent="0.5">
      <c r="E2688" s="108"/>
    </row>
    <row r="2689" spans="5:5" s="4" customFormat="1" hidden="1" x14ac:dyDescent="0.5">
      <c r="E2689" s="108"/>
    </row>
    <row r="2690" spans="5:5" s="4" customFormat="1" hidden="1" x14ac:dyDescent="0.5">
      <c r="E2690" s="108"/>
    </row>
    <row r="2691" spans="5:5" s="4" customFormat="1" hidden="1" x14ac:dyDescent="0.5">
      <c r="E2691" s="108"/>
    </row>
    <row r="2692" spans="5:5" s="4" customFormat="1" hidden="1" x14ac:dyDescent="0.5">
      <c r="E2692" s="108"/>
    </row>
    <row r="2693" spans="5:5" s="4" customFormat="1" hidden="1" x14ac:dyDescent="0.5">
      <c r="E2693" s="108"/>
    </row>
    <row r="2694" spans="5:5" s="4" customFormat="1" hidden="1" x14ac:dyDescent="0.5">
      <c r="E2694" s="108"/>
    </row>
    <row r="2695" spans="5:5" s="4" customFormat="1" hidden="1" x14ac:dyDescent="0.5">
      <c r="E2695" s="108"/>
    </row>
    <row r="2696" spans="5:5" s="4" customFormat="1" hidden="1" x14ac:dyDescent="0.5">
      <c r="E2696" s="108"/>
    </row>
    <row r="2697" spans="5:5" s="4" customFormat="1" hidden="1" x14ac:dyDescent="0.5">
      <c r="E2697" s="108"/>
    </row>
    <row r="2698" spans="5:5" s="4" customFormat="1" hidden="1" x14ac:dyDescent="0.5">
      <c r="E2698" s="108"/>
    </row>
    <row r="2699" spans="5:5" s="4" customFormat="1" hidden="1" x14ac:dyDescent="0.5">
      <c r="E2699" s="108"/>
    </row>
    <row r="2700" spans="5:5" s="4" customFormat="1" hidden="1" x14ac:dyDescent="0.5">
      <c r="E2700" s="108"/>
    </row>
    <row r="2701" spans="5:5" s="4" customFormat="1" hidden="1" x14ac:dyDescent="0.5">
      <c r="E2701" s="108"/>
    </row>
    <row r="2702" spans="5:5" s="4" customFormat="1" hidden="1" x14ac:dyDescent="0.5">
      <c r="E2702" s="108"/>
    </row>
    <row r="2703" spans="5:5" s="4" customFormat="1" hidden="1" x14ac:dyDescent="0.5">
      <c r="E2703" s="108"/>
    </row>
    <row r="2704" spans="5:5" s="4" customFormat="1" hidden="1" x14ac:dyDescent="0.5">
      <c r="E2704" s="108"/>
    </row>
    <row r="2705" spans="5:5" s="4" customFormat="1" hidden="1" x14ac:dyDescent="0.5">
      <c r="E2705" s="108"/>
    </row>
    <row r="2706" spans="5:5" s="4" customFormat="1" hidden="1" x14ac:dyDescent="0.5">
      <c r="E2706" s="108"/>
    </row>
    <row r="2707" spans="5:5" s="4" customFormat="1" hidden="1" x14ac:dyDescent="0.5">
      <c r="E2707" s="108"/>
    </row>
    <row r="2708" spans="5:5" s="4" customFormat="1" hidden="1" x14ac:dyDescent="0.5">
      <c r="E2708" s="108"/>
    </row>
    <row r="2709" spans="5:5" s="4" customFormat="1" hidden="1" x14ac:dyDescent="0.5">
      <c r="E2709" s="108"/>
    </row>
    <row r="2710" spans="5:5" s="4" customFormat="1" hidden="1" x14ac:dyDescent="0.5">
      <c r="E2710" s="108"/>
    </row>
    <row r="2711" spans="5:5" s="4" customFormat="1" hidden="1" x14ac:dyDescent="0.5">
      <c r="E2711" s="108"/>
    </row>
    <row r="2712" spans="5:5" s="4" customFormat="1" hidden="1" x14ac:dyDescent="0.5">
      <c r="E2712" s="108"/>
    </row>
    <row r="2713" spans="5:5" s="4" customFormat="1" hidden="1" x14ac:dyDescent="0.5">
      <c r="E2713" s="108"/>
    </row>
    <row r="2714" spans="5:5" s="4" customFormat="1" hidden="1" x14ac:dyDescent="0.5">
      <c r="E2714" s="108"/>
    </row>
    <row r="2715" spans="5:5" s="4" customFormat="1" hidden="1" x14ac:dyDescent="0.5">
      <c r="E2715" s="108"/>
    </row>
    <row r="2716" spans="5:5" s="4" customFormat="1" hidden="1" x14ac:dyDescent="0.5">
      <c r="E2716" s="108"/>
    </row>
    <row r="2717" spans="5:5" s="4" customFormat="1" hidden="1" x14ac:dyDescent="0.5">
      <c r="E2717" s="108"/>
    </row>
    <row r="2718" spans="5:5" s="4" customFormat="1" hidden="1" x14ac:dyDescent="0.5">
      <c r="E2718" s="108"/>
    </row>
    <row r="2719" spans="5:5" s="4" customFormat="1" hidden="1" x14ac:dyDescent="0.5">
      <c r="E2719" s="108"/>
    </row>
    <row r="2720" spans="5:5" s="4" customFormat="1" hidden="1" x14ac:dyDescent="0.5">
      <c r="E2720" s="108"/>
    </row>
    <row r="2721" spans="5:5" s="4" customFormat="1" hidden="1" x14ac:dyDescent="0.5">
      <c r="E2721" s="108"/>
    </row>
    <row r="2722" spans="5:5" s="4" customFormat="1" hidden="1" x14ac:dyDescent="0.5">
      <c r="E2722" s="108"/>
    </row>
    <row r="2723" spans="5:5" s="4" customFormat="1" hidden="1" x14ac:dyDescent="0.5">
      <c r="E2723" s="108"/>
    </row>
    <row r="2724" spans="5:5" s="4" customFormat="1" hidden="1" x14ac:dyDescent="0.5">
      <c r="E2724" s="108"/>
    </row>
    <row r="2725" spans="5:5" s="4" customFormat="1" hidden="1" x14ac:dyDescent="0.5">
      <c r="E2725" s="108"/>
    </row>
    <row r="2726" spans="5:5" s="4" customFormat="1" hidden="1" x14ac:dyDescent="0.5">
      <c r="E2726" s="108"/>
    </row>
    <row r="2727" spans="5:5" s="4" customFormat="1" hidden="1" x14ac:dyDescent="0.5">
      <c r="E2727" s="108"/>
    </row>
    <row r="2728" spans="5:5" s="4" customFormat="1" hidden="1" x14ac:dyDescent="0.5">
      <c r="E2728" s="108"/>
    </row>
    <row r="2729" spans="5:5" s="4" customFormat="1" hidden="1" x14ac:dyDescent="0.5">
      <c r="E2729" s="108"/>
    </row>
    <row r="2730" spans="5:5" s="4" customFormat="1" hidden="1" x14ac:dyDescent="0.5">
      <c r="E2730" s="108"/>
    </row>
    <row r="2731" spans="5:5" s="4" customFormat="1" hidden="1" x14ac:dyDescent="0.5">
      <c r="E2731" s="108"/>
    </row>
    <row r="2732" spans="5:5" s="4" customFormat="1" hidden="1" x14ac:dyDescent="0.5">
      <c r="E2732" s="108"/>
    </row>
    <row r="2733" spans="5:5" s="4" customFormat="1" hidden="1" x14ac:dyDescent="0.5">
      <c r="E2733" s="108"/>
    </row>
    <row r="2734" spans="5:5" s="4" customFormat="1" hidden="1" x14ac:dyDescent="0.5">
      <c r="E2734" s="108"/>
    </row>
    <row r="2735" spans="5:5" s="4" customFormat="1" hidden="1" x14ac:dyDescent="0.5">
      <c r="E2735" s="108"/>
    </row>
    <row r="2736" spans="5:5" s="4" customFormat="1" hidden="1" x14ac:dyDescent="0.5">
      <c r="E2736" s="108"/>
    </row>
    <row r="2737" spans="5:5" s="4" customFormat="1" hidden="1" x14ac:dyDescent="0.5">
      <c r="E2737" s="108"/>
    </row>
    <row r="2738" spans="5:5" s="4" customFormat="1" hidden="1" x14ac:dyDescent="0.5">
      <c r="E2738" s="108"/>
    </row>
    <row r="2739" spans="5:5" s="4" customFormat="1" hidden="1" x14ac:dyDescent="0.5">
      <c r="E2739" s="108"/>
    </row>
    <row r="2740" spans="5:5" s="4" customFormat="1" hidden="1" x14ac:dyDescent="0.5">
      <c r="E2740" s="108"/>
    </row>
    <row r="2741" spans="5:5" s="4" customFormat="1" hidden="1" x14ac:dyDescent="0.5">
      <c r="E2741" s="108"/>
    </row>
    <row r="2742" spans="5:5" s="4" customFormat="1" hidden="1" x14ac:dyDescent="0.5">
      <c r="E2742" s="108"/>
    </row>
    <row r="2743" spans="5:5" s="4" customFormat="1" hidden="1" x14ac:dyDescent="0.5">
      <c r="E2743" s="108"/>
    </row>
    <row r="2744" spans="5:5" s="4" customFormat="1" hidden="1" x14ac:dyDescent="0.5">
      <c r="E2744" s="108"/>
    </row>
    <row r="2745" spans="5:5" s="4" customFormat="1" hidden="1" x14ac:dyDescent="0.5">
      <c r="E2745" s="108"/>
    </row>
    <row r="2746" spans="5:5" s="4" customFormat="1" hidden="1" x14ac:dyDescent="0.5">
      <c r="E2746" s="108"/>
    </row>
    <row r="2747" spans="5:5" s="4" customFormat="1" hidden="1" x14ac:dyDescent="0.5">
      <c r="E2747" s="108"/>
    </row>
    <row r="2748" spans="5:5" s="4" customFormat="1" hidden="1" x14ac:dyDescent="0.5">
      <c r="E2748" s="108"/>
    </row>
    <row r="2749" spans="5:5" s="4" customFormat="1" hidden="1" x14ac:dyDescent="0.5">
      <c r="E2749" s="108"/>
    </row>
    <row r="2750" spans="5:5" s="4" customFormat="1" hidden="1" x14ac:dyDescent="0.5">
      <c r="E2750" s="108"/>
    </row>
    <row r="2751" spans="5:5" s="4" customFormat="1" hidden="1" x14ac:dyDescent="0.5">
      <c r="E2751" s="108"/>
    </row>
    <row r="2752" spans="5:5" s="4" customFormat="1" hidden="1" x14ac:dyDescent="0.5">
      <c r="E2752" s="108"/>
    </row>
    <row r="2753" spans="5:5" s="4" customFormat="1" hidden="1" x14ac:dyDescent="0.5">
      <c r="E2753" s="108"/>
    </row>
    <row r="2754" spans="5:5" s="4" customFormat="1" hidden="1" x14ac:dyDescent="0.5">
      <c r="E2754" s="108"/>
    </row>
    <row r="2755" spans="5:5" s="4" customFormat="1" hidden="1" x14ac:dyDescent="0.5">
      <c r="E2755" s="108"/>
    </row>
    <row r="2756" spans="5:5" s="4" customFormat="1" hidden="1" x14ac:dyDescent="0.5">
      <c r="E2756" s="108"/>
    </row>
    <row r="2757" spans="5:5" s="4" customFormat="1" hidden="1" x14ac:dyDescent="0.5">
      <c r="E2757" s="108"/>
    </row>
    <row r="2758" spans="5:5" s="4" customFormat="1" hidden="1" x14ac:dyDescent="0.5">
      <c r="E2758" s="108"/>
    </row>
    <row r="2759" spans="5:5" s="4" customFormat="1" hidden="1" x14ac:dyDescent="0.5">
      <c r="E2759" s="108"/>
    </row>
    <row r="2760" spans="5:5" s="4" customFormat="1" hidden="1" x14ac:dyDescent="0.5">
      <c r="E2760" s="108"/>
    </row>
    <row r="2761" spans="5:5" s="4" customFormat="1" hidden="1" x14ac:dyDescent="0.5">
      <c r="E2761" s="108"/>
    </row>
    <row r="2762" spans="5:5" s="4" customFormat="1" hidden="1" x14ac:dyDescent="0.5">
      <c r="E2762" s="108"/>
    </row>
    <row r="2763" spans="5:5" s="4" customFormat="1" hidden="1" x14ac:dyDescent="0.5">
      <c r="E2763" s="108"/>
    </row>
    <row r="2764" spans="5:5" s="4" customFormat="1" hidden="1" x14ac:dyDescent="0.5">
      <c r="E2764" s="108"/>
    </row>
    <row r="2765" spans="5:5" s="4" customFormat="1" hidden="1" x14ac:dyDescent="0.5">
      <c r="E2765" s="108"/>
    </row>
    <row r="2766" spans="5:5" s="4" customFormat="1" hidden="1" x14ac:dyDescent="0.5">
      <c r="E2766" s="108"/>
    </row>
    <row r="2767" spans="5:5" s="4" customFormat="1" hidden="1" x14ac:dyDescent="0.5">
      <c r="E2767" s="108"/>
    </row>
    <row r="2768" spans="5:5" s="4" customFormat="1" hidden="1" x14ac:dyDescent="0.5">
      <c r="E2768" s="108"/>
    </row>
    <row r="2769" spans="5:5" s="4" customFormat="1" hidden="1" x14ac:dyDescent="0.5">
      <c r="E2769" s="108"/>
    </row>
    <row r="2770" spans="5:5" s="4" customFormat="1" hidden="1" x14ac:dyDescent="0.5">
      <c r="E2770" s="108"/>
    </row>
    <row r="2771" spans="5:5" s="4" customFormat="1" hidden="1" x14ac:dyDescent="0.5">
      <c r="E2771" s="108"/>
    </row>
    <row r="2772" spans="5:5" s="4" customFormat="1" hidden="1" x14ac:dyDescent="0.5">
      <c r="E2772" s="108"/>
    </row>
    <row r="2773" spans="5:5" s="4" customFormat="1" hidden="1" x14ac:dyDescent="0.5">
      <c r="E2773" s="108"/>
    </row>
    <row r="2774" spans="5:5" s="4" customFormat="1" hidden="1" x14ac:dyDescent="0.5">
      <c r="E2774" s="108"/>
    </row>
    <row r="2775" spans="5:5" s="4" customFormat="1" hidden="1" x14ac:dyDescent="0.5">
      <c r="E2775" s="108"/>
    </row>
    <row r="2776" spans="5:5" s="4" customFormat="1" hidden="1" x14ac:dyDescent="0.5">
      <c r="E2776" s="108"/>
    </row>
    <row r="2777" spans="5:5" s="4" customFormat="1" hidden="1" x14ac:dyDescent="0.5">
      <c r="E2777" s="108"/>
    </row>
    <row r="2778" spans="5:5" s="4" customFormat="1" hidden="1" x14ac:dyDescent="0.5">
      <c r="E2778" s="108"/>
    </row>
    <row r="2779" spans="5:5" s="4" customFormat="1" hidden="1" x14ac:dyDescent="0.5">
      <c r="E2779" s="108"/>
    </row>
    <row r="2780" spans="5:5" s="4" customFormat="1" hidden="1" x14ac:dyDescent="0.5">
      <c r="E2780" s="108"/>
    </row>
    <row r="2781" spans="5:5" s="4" customFormat="1" hidden="1" x14ac:dyDescent="0.5">
      <c r="E2781" s="108"/>
    </row>
    <row r="2782" spans="5:5" s="4" customFormat="1" hidden="1" x14ac:dyDescent="0.5">
      <c r="E2782" s="108"/>
    </row>
    <row r="2783" spans="5:5" s="4" customFormat="1" hidden="1" x14ac:dyDescent="0.5">
      <c r="E2783" s="108"/>
    </row>
    <row r="2784" spans="5:5" s="4" customFormat="1" hidden="1" x14ac:dyDescent="0.5">
      <c r="E2784" s="108"/>
    </row>
    <row r="2785" spans="5:5" s="4" customFormat="1" hidden="1" x14ac:dyDescent="0.5">
      <c r="E2785" s="108"/>
    </row>
    <row r="2786" spans="5:5" s="4" customFormat="1" hidden="1" x14ac:dyDescent="0.5">
      <c r="E2786" s="108"/>
    </row>
    <row r="2787" spans="5:5" s="4" customFormat="1" hidden="1" x14ac:dyDescent="0.5">
      <c r="E2787" s="108"/>
    </row>
    <row r="2788" spans="5:5" s="4" customFormat="1" hidden="1" x14ac:dyDescent="0.5">
      <c r="E2788" s="108"/>
    </row>
    <row r="2789" spans="5:5" s="4" customFormat="1" hidden="1" x14ac:dyDescent="0.5">
      <c r="E2789" s="108"/>
    </row>
    <row r="2790" spans="5:5" s="4" customFormat="1" hidden="1" x14ac:dyDescent="0.5">
      <c r="E2790" s="108"/>
    </row>
    <row r="2791" spans="5:5" s="4" customFormat="1" hidden="1" x14ac:dyDescent="0.5">
      <c r="E2791" s="108"/>
    </row>
    <row r="2792" spans="5:5" s="4" customFormat="1" hidden="1" x14ac:dyDescent="0.5">
      <c r="E2792" s="108"/>
    </row>
    <row r="2793" spans="5:5" s="4" customFormat="1" hidden="1" x14ac:dyDescent="0.5">
      <c r="E2793" s="108"/>
    </row>
    <row r="2794" spans="5:5" s="4" customFormat="1" hidden="1" x14ac:dyDescent="0.5">
      <c r="E2794" s="108"/>
    </row>
    <row r="2795" spans="5:5" s="4" customFormat="1" hidden="1" x14ac:dyDescent="0.5">
      <c r="E2795" s="108"/>
    </row>
    <row r="2796" spans="5:5" s="4" customFormat="1" hidden="1" x14ac:dyDescent="0.5">
      <c r="E2796" s="108"/>
    </row>
    <row r="2797" spans="5:5" s="4" customFormat="1" hidden="1" x14ac:dyDescent="0.5">
      <c r="E2797" s="108"/>
    </row>
    <row r="2798" spans="5:5" s="4" customFormat="1" hidden="1" x14ac:dyDescent="0.5">
      <c r="E2798" s="108"/>
    </row>
    <row r="2799" spans="5:5" s="4" customFormat="1" hidden="1" x14ac:dyDescent="0.5">
      <c r="E2799" s="108"/>
    </row>
    <row r="2800" spans="5:5" s="4" customFormat="1" hidden="1" x14ac:dyDescent="0.5">
      <c r="E2800" s="108"/>
    </row>
    <row r="2801" spans="5:5" s="4" customFormat="1" hidden="1" x14ac:dyDescent="0.5">
      <c r="E2801" s="108"/>
    </row>
    <row r="2802" spans="5:5" s="4" customFormat="1" hidden="1" x14ac:dyDescent="0.5">
      <c r="E2802" s="108"/>
    </row>
    <row r="2803" spans="5:5" s="4" customFormat="1" hidden="1" x14ac:dyDescent="0.5">
      <c r="E2803" s="108"/>
    </row>
    <row r="2804" spans="5:5" s="4" customFormat="1" hidden="1" x14ac:dyDescent="0.5">
      <c r="E2804" s="108"/>
    </row>
    <row r="2805" spans="5:5" s="4" customFormat="1" hidden="1" x14ac:dyDescent="0.5">
      <c r="E2805" s="108"/>
    </row>
    <row r="2806" spans="5:5" s="4" customFormat="1" hidden="1" x14ac:dyDescent="0.5">
      <c r="E2806" s="108"/>
    </row>
    <row r="2807" spans="5:5" s="4" customFormat="1" hidden="1" x14ac:dyDescent="0.5">
      <c r="E2807" s="108"/>
    </row>
    <row r="2808" spans="5:5" s="4" customFormat="1" hidden="1" x14ac:dyDescent="0.5">
      <c r="E2808" s="108"/>
    </row>
    <row r="2809" spans="5:5" s="4" customFormat="1" hidden="1" x14ac:dyDescent="0.5">
      <c r="E2809" s="108"/>
    </row>
    <row r="2810" spans="5:5" s="4" customFormat="1" hidden="1" x14ac:dyDescent="0.5">
      <c r="E2810" s="108"/>
    </row>
    <row r="2811" spans="5:5" s="4" customFormat="1" hidden="1" x14ac:dyDescent="0.5">
      <c r="E2811" s="108"/>
    </row>
    <row r="2812" spans="5:5" s="4" customFormat="1" hidden="1" x14ac:dyDescent="0.5">
      <c r="E2812" s="108"/>
    </row>
    <row r="2813" spans="5:5" s="4" customFormat="1" hidden="1" x14ac:dyDescent="0.5">
      <c r="E2813" s="108"/>
    </row>
    <row r="2814" spans="5:5" s="4" customFormat="1" hidden="1" x14ac:dyDescent="0.5">
      <c r="E2814" s="108"/>
    </row>
    <row r="2815" spans="5:5" s="4" customFormat="1" hidden="1" x14ac:dyDescent="0.5">
      <c r="E2815" s="108"/>
    </row>
    <row r="2816" spans="5:5" s="4" customFormat="1" hidden="1" x14ac:dyDescent="0.5">
      <c r="E2816" s="108"/>
    </row>
    <row r="2817" spans="5:5" s="4" customFormat="1" hidden="1" x14ac:dyDescent="0.5">
      <c r="E2817" s="108"/>
    </row>
    <row r="2818" spans="5:5" s="4" customFormat="1" hidden="1" x14ac:dyDescent="0.5">
      <c r="E2818" s="108"/>
    </row>
    <row r="2819" spans="5:5" s="4" customFormat="1" hidden="1" x14ac:dyDescent="0.5">
      <c r="E2819" s="108"/>
    </row>
    <row r="2820" spans="5:5" s="4" customFormat="1" hidden="1" x14ac:dyDescent="0.5">
      <c r="E2820" s="108"/>
    </row>
    <row r="2821" spans="5:5" s="4" customFormat="1" hidden="1" x14ac:dyDescent="0.5">
      <c r="E2821" s="108"/>
    </row>
    <row r="2822" spans="5:5" s="4" customFormat="1" hidden="1" x14ac:dyDescent="0.5">
      <c r="E2822" s="108"/>
    </row>
    <row r="2823" spans="5:5" s="4" customFormat="1" hidden="1" x14ac:dyDescent="0.5">
      <c r="E2823" s="108"/>
    </row>
    <row r="2824" spans="5:5" s="4" customFormat="1" hidden="1" x14ac:dyDescent="0.5">
      <c r="E2824" s="108"/>
    </row>
    <row r="2825" spans="5:5" s="4" customFormat="1" hidden="1" x14ac:dyDescent="0.5">
      <c r="E2825" s="108"/>
    </row>
    <row r="2826" spans="5:5" s="4" customFormat="1" hidden="1" x14ac:dyDescent="0.5">
      <c r="E2826" s="108"/>
    </row>
    <row r="2827" spans="5:5" s="4" customFormat="1" hidden="1" x14ac:dyDescent="0.5">
      <c r="E2827" s="108"/>
    </row>
    <row r="2828" spans="5:5" s="4" customFormat="1" hidden="1" x14ac:dyDescent="0.5">
      <c r="E2828" s="108"/>
    </row>
    <row r="2829" spans="5:5" s="4" customFormat="1" hidden="1" x14ac:dyDescent="0.5">
      <c r="E2829" s="108"/>
    </row>
    <row r="2830" spans="5:5" s="4" customFormat="1" hidden="1" x14ac:dyDescent="0.5">
      <c r="E2830" s="108"/>
    </row>
    <row r="2831" spans="5:5" s="4" customFormat="1" hidden="1" x14ac:dyDescent="0.5">
      <c r="E2831" s="108"/>
    </row>
    <row r="2832" spans="5:5" s="4" customFormat="1" hidden="1" x14ac:dyDescent="0.5">
      <c r="E2832" s="108"/>
    </row>
    <row r="2833" spans="5:5" s="4" customFormat="1" hidden="1" x14ac:dyDescent="0.5">
      <c r="E2833" s="108"/>
    </row>
    <row r="2834" spans="5:5" s="4" customFormat="1" hidden="1" x14ac:dyDescent="0.5">
      <c r="E2834" s="108"/>
    </row>
    <row r="2835" spans="5:5" s="4" customFormat="1" hidden="1" x14ac:dyDescent="0.5">
      <c r="E2835" s="108"/>
    </row>
    <row r="2836" spans="5:5" s="4" customFormat="1" hidden="1" x14ac:dyDescent="0.5">
      <c r="E2836" s="108"/>
    </row>
    <row r="2837" spans="5:5" s="4" customFormat="1" hidden="1" x14ac:dyDescent="0.5">
      <c r="E2837" s="108"/>
    </row>
    <row r="2838" spans="5:5" s="4" customFormat="1" hidden="1" x14ac:dyDescent="0.5">
      <c r="E2838" s="108"/>
    </row>
    <row r="2839" spans="5:5" s="4" customFormat="1" hidden="1" x14ac:dyDescent="0.5">
      <c r="E2839" s="108"/>
    </row>
    <row r="2840" spans="5:5" s="4" customFormat="1" hidden="1" x14ac:dyDescent="0.5">
      <c r="E2840" s="108"/>
    </row>
    <row r="2841" spans="5:5" s="4" customFormat="1" hidden="1" x14ac:dyDescent="0.5">
      <c r="E2841" s="108"/>
    </row>
    <row r="2842" spans="5:5" s="4" customFormat="1" hidden="1" x14ac:dyDescent="0.5">
      <c r="E2842" s="108"/>
    </row>
    <row r="2843" spans="5:5" s="4" customFormat="1" hidden="1" x14ac:dyDescent="0.5">
      <c r="E2843" s="108"/>
    </row>
    <row r="2844" spans="5:5" s="4" customFormat="1" hidden="1" x14ac:dyDescent="0.5">
      <c r="E2844" s="108"/>
    </row>
    <row r="2845" spans="5:5" s="4" customFormat="1" hidden="1" x14ac:dyDescent="0.5">
      <c r="E2845" s="108"/>
    </row>
    <row r="2846" spans="5:5" s="4" customFormat="1" hidden="1" x14ac:dyDescent="0.5">
      <c r="E2846" s="108"/>
    </row>
    <row r="2847" spans="5:5" s="4" customFormat="1" hidden="1" x14ac:dyDescent="0.5">
      <c r="E2847" s="108"/>
    </row>
    <row r="2848" spans="5:5" s="4" customFormat="1" hidden="1" x14ac:dyDescent="0.5">
      <c r="E2848" s="108"/>
    </row>
    <row r="2849" spans="5:5" s="4" customFormat="1" hidden="1" x14ac:dyDescent="0.5">
      <c r="E2849" s="108"/>
    </row>
    <row r="2850" spans="5:5" s="4" customFormat="1" hidden="1" x14ac:dyDescent="0.5">
      <c r="E2850" s="108"/>
    </row>
    <row r="2851" spans="5:5" s="4" customFormat="1" hidden="1" x14ac:dyDescent="0.5">
      <c r="E2851" s="108"/>
    </row>
    <row r="2852" spans="5:5" s="4" customFormat="1" hidden="1" x14ac:dyDescent="0.5">
      <c r="E2852" s="108"/>
    </row>
    <row r="2853" spans="5:5" s="4" customFormat="1" hidden="1" x14ac:dyDescent="0.5">
      <c r="E2853" s="108"/>
    </row>
    <row r="2854" spans="5:5" s="4" customFormat="1" hidden="1" x14ac:dyDescent="0.5">
      <c r="E2854" s="108"/>
    </row>
    <row r="2855" spans="5:5" s="4" customFormat="1" hidden="1" x14ac:dyDescent="0.5">
      <c r="E2855" s="108"/>
    </row>
    <row r="2856" spans="5:5" s="4" customFormat="1" hidden="1" x14ac:dyDescent="0.5">
      <c r="E2856" s="108"/>
    </row>
    <row r="2857" spans="5:5" s="4" customFormat="1" hidden="1" x14ac:dyDescent="0.5">
      <c r="E2857" s="108"/>
    </row>
    <row r="2858" spans="5:5" s="4" customFormat="1" hidden="1" x14ac:dyDescent="0.5">
      <c r="E2858" s="108"/>
    </row>
    <row r="2859" spans="5:5" s="4" customFormat="1" hidden="1" x14ac:dyDescent="0.5">
      <c r="E2859" s="108"/>
    </row>
    <row r="2860" spans="5:5" s="4" customFormat="1" hidden="1" x14ac:dyDescent="0.5">
      <c r="E2860" s="108"/>
    </row>
    <row r="2861" spans="5:5" s="4" customFormat="1" hidden="1" x14ac:dyDescent="0.5">
      <c r="E2861" s="108"/>
    </row>
    <row r="2862" spans="5:5" s="4" customFormat="1" hidden="1" x14ac:dyDescent="0.5">
      <c r="E2862" s="108"/>
    </row>
    <row r="2863" spans="5:5" s="4" customFormat="1" hidden="1" x14ac:dyDescent="0.5">
      <c r="E2863" s="108"/>
    </row>
    <row r="2864" spans="5:5" s="4" customFormat="1" hidden="1" x14ac:dyDescent="0.5">
      <c r="E2864" s="108"/>
    </row>
    <row r="2865" spans="5:5" s="4" customFormat="1" hidden="1" x14ac:dyDescent="0.5">
      <c r="E2865" s="108"/>
    </row>
    <row r="2866" spans="5:5" s="4" customFormat="1" hidden="1" x14ac:dyDescent="0.5">
      <c r="E2866" s="108"/>
    </row>
    <row r="2867" spans="5:5" s="4" customFormat="1" hidden="1" x14ac:dyDescent="0.5">
      <c r="E2867" s="108"/>
    </row>
    <row r="2868" spans="5:5" s="4" customFormat="1" hidden="1" x14ac:dyDescent="0.5">
      <c r="E2868" s="108"/>
    </row>
    <row r="2869" spans="5:5" s="4" customFormat="1" hidden="1" x14ac:dyDescent="0.5">
      <c r="E2869" s="108"/>
    </row>
    <row r="2870" spans="5:5" s="4" customFormat="1" hidden="1" x14ac:dyDescent="0.5">
      <c r="E2870" s="108"/>
    </row>
    <row r="2871" spans="5:5" s="4" customFormat="1" hidden="1" x14ac:dyDescent="0.5">
      <c r="E2871" s="108"/>
    </row>
    <row r="2872" spans="5:5" s="4" customFormat="1" hidden="1" x14ac:dyDescent="0.5">
      <c r="E2872" s="108"/>
    </row>
    <row r="2873" spans="5:5" s="4" customFormat="1" hidden="1" x14ac:dyDescent="0.5">
      <c r="E2873" s="108"/>
    </row>
    <row r="2874" spans="5:5" s="4" customFormat="1" hidden="1" x14ac:dyDescent="0.5">
      <c r="E2874" s="108"/>
    </row>
    <row r="2875" spans="5:5" s="4" customFormat="1" hidden="1" x14ac:dyDescent="0.5">
      <c r="E2875" s="108"/>
    </row>
    <row r="2876" spans="5:5" s="4" customFormat="1" hidden="1" x14ac:dyDescent="0.5">
      <c r="E2876" s="108"/>
    </row>
    <row r="2877" spans="5:5" s="4" customFormat="1" hidden="1" x14ac:dyDescent="0.5">
      <c r="E2877" s="108"/>
    </row>
    <row r="2878" spans="5:5" s="4" customFormat="1" hidden="1" x14ac:dyDescent="0.5">
      <c r="E2878" s="108"/>
    </row>
    <row r="2879" spans="5:5" s="4" customFormat="1" hidden="1" x14ac:dyDescent="0.5">
      <c r="E2879" s="108"/>
    </row>
    <row r="2880" spans="5:5" s="4" customFormat="1" hidden="1" x14ac:dyDescent="0.5">
      <c r="E2880" s="108"/>
    </row>
    <row r="2881" spans="5:5" s="4" customFormat="1" hidden="1" x14ac:dyDescent="0.5">
      <c r="E2881" s="108"/>
    </row>
    <row r="2882" spans="5:5" s="4" customFormat="1" hidden="1" x14ac:dyDescent="0.5">
      <c r="E2882" s="108"/>
    </row>
    <row r="2883" spans="5:5" s="4" customFormat="1" hidden="1" x14ac:dyDescent="0.5">
      <c r="E2883" s="108"/>
    </row>
    <row r="2884" spans="5:5" s="4" customFormat="1" hidden="1" x14ac:dyDescent="0.5">
      <c r="E2884" s="108"/>
    </row>
    <row r="2885" spans="5:5" s="4" customFormat="1" hidden="1" x14ac:dyDescent="0.5">
      <c r="E2885" s="108"/>
    </row>
    <row r="2886" spans="5:5" s="4" customFormat="1" hidden="1" x14ac:dyDescent="0.5">
      <c r="E2886" s="108"/>
    </row>
    <row r="2887" spans="5:5" s="4" customFormat="1" hidden="1" x14ac:dyDescent="0.5">
      <c r="E2887" s="108"/>
    </row>
    <row r="2888" spans="5:5" s="4" customFormat="1" hidden="1" x14ac:dyDescent="0.5">
      <c r="E2888" s="108"/>
    </row>
    <row r="2889" spans="5:5" s="4" customFormat="1" hidden="1" x14ac:dyDescent="0.5">
      <c r="E2889" s="108"/>
    </row>
    <row r="2890" spans="5:5" s="4" customFormat="1" hidden="1" x14ac:dyDescent="0.5">
      <c r="E2890" s="108"/>
    </row>
    <row r="2891" spans="5:5" s="4" customFormat="1" hidden="1" x14ac:dyDescent="0.5">
      <c r="E2891" s="108"/>
    </row>
    <row r="2892" spans="5:5" s="4" customFormat="1" hidden="1" x14ac:dyDescent="0.5">
      <c r="E2892" s="108"/>
    </row>
    <row r="2893" spans="5:5" s="4" customFormat="1" hidden="1" x14ac:dyDescent="0.5">
      <c r="E2893" s="108"/>
    </row>
    <row r="2894" spans="5:5" s="4" customFormat="1" hidden="1" x14ac:dyDescent="0.5">
      <c r="E2894" s="108"/>
    </row>
    <row r="2895" spans="5:5" s="4" customFormat="1" hidden="1" x14ac:dyDescent="0.5">
      <c r="E2895" s="108"/>
    </row>
    <row r="2896" spans="5:5" s="4" customFormat="1" hidden="1" x14ac:dyDescent="0.5">
      <c r="E2896" s="108"/>
    </row>
    <row r="2897" spans="5:5" s="4" customFormat="1" hidden="1" x14ac:dyDescent="0.5">
      <c r="E2897" s="108"/>
    </row>
    <row r="2898" spans="5:5" s="4" customFormat="1" hidden="1" x14ac:dyDescent="0.5">
      <c r="E2898" s="108"/>
    </row>
    <row r="2899" spans="5:5" s="4" customFormat="1" hidden="1" x14ac:dyDescent="0.5">
      <c r="E2899" s="108"/>
    </row>
    <row r="2900" spans="5:5" s="4" customFormat="1" hidden="1" x14ac:dyDescent="0.5">
      <c r="E2900" s="108"/>
    </row>
    <row r="2901" spans="5:5" s="4" customFormat="1" hidden="1" x14ac:dyDescent="0.5">
      <c r="E2901" s="108"/>
    </row>
    <row r="2902" spans="5:5" s="4" customFormat="1" hidden="1" x14ac:dyDescent="0.5">
      <c r="E2902" s="108"/>
    </row>
    <row r="2903" spans="5:5" s="4" customFormat="1" hidden="1" x14ac:dyDescent="0.5">
      <c r="E2903" s="108"/>
    </row>
    <row r="2904" spans="5:5" s="4" customFormat="1" hidden="1" x14ac:dyDescent="0.5">
      <c r="E2904" s="108"/>
    </row>
    <row r="2905" spans="5:5" s="4" customFormat="1" hidden="1" x14ac:dyDescent="0.5">
      <c r="E2905" s="108"/>
    </row>
    <row r="2906" spans="5:5" s="4" customFormat="1" hidden="1" x14ac:dyDescent="0.5">
      <c r="E2906" s="108"/>
    </row>
    <row r="2907" spans="5:5" s="4" customFormat="1" hidden="1" x14ac:dyDescent="0.5">
      <c r="E2907" s="108"/>
    </row>
    <row r="2908" spans="5:5" s="4" customFormat="1" hidden="1" x14ac:dyDescent="0.5">
      <c r="E2908" s="108"/>
    </row>
    <row r="2909" spans="5:5" s="4" customFormat="1" hidden="1" x14ac:dyDescent="0.5">
      <c r="E2909" s="108"/>
    </row>
    <row r="2910" spans="5:5" s="4" customFormat="1" hidden="1" x14ac:dyDescent="0.5">
      <c r="E2910" s="108"/>
    </row>
    <row r="2911" spans="5:5" s="4" customFormat="1" hidden="1" x14ac:dyDescent="0.5">
      <c r="E2911" s="108"/>
    </row>
    <row r="2912" spans="5:5" s="4" customFormat="1" hidden="1" x14ac:dyDescent="0.5">
      <c r="E2912" s="108"/>
    </row>
    <row r="2913" spans="5:5" s="4" customFormat="1" hidden="1" x14ac:dyDescent="0.5">
      <c r="E2913" s="108"/>
    </row>
    <row r="2914" spans="5:5" s="4" customFormat="1" hidden="1" x14ac:dyDescent="0.5">
      <c r="E2914" s="108"/>
    </row>
    <row r="2915" spans="5:5" s="4" customFormat="1" hidden="1" x14ac:dyDescent="0.5">
      <c r="E2915" s="108"/>
    </row>
    <row r="2916" spans="5:5" s="4" customFormat="1" hidden="1" x14ac:dyDescent="0.5">
      <c r="E2916" s="108"/>
    </row>
    <row r="2917" spans="5:5" s="4" customFormat="1" hidden="1" x14ac:dyDescent="0.5">
      <c r="E2917" s="108"/>
    </row>
    <row r="2918" spans="5:5" s="4" customFormat="1" hidden="1" x14ac:dyDescent="0.5">
      <c r="E2918" s="108"/>
    </row>
    <row r="2919" spans="5:5" s="4" customFormat="1" hidden="1" x14ac:dyDescent="0.5">
      <c r="E2919" s="108"/>
    </row>
    <row r="2920" spans="5:5" s="4" customFormat="1" hidden="1" x14ac:dyDescent="0.5">
      <c r="E2920" s="108"/>
    </row>
    <row r="2921" spans="5:5" s="4" customFormat="1" hidden="1" x14ac:dyDescent="0.5">
      <c r="E2921" s="108"/>
    </row>
    <row r="2922" spans="5:5" s="4" customFormat="1" hidden="1" x14ac:dyDescent="0.5">
      <c r="E2922" s="108"/>
    </row>
    <row r="2923" spans="5:5" s="4" customFormat="1" hidden="1" x14ac:dyDescent="0.5">
      <c r="E2923" s="108"/>
    </row>
    <row r="2924" spans="5:5" s="4" customFormat="1" hidden="1" x14ac:dyDescent="0.5">
      <c r="E2924" s="108"/>
    </row>
    <row r="2925" spans="5:5" s="4" customFormat="1" hidden="1" x14ac:dyDescent="0.5">
      <c r="E2925" s="108"/>
    </row>
    <row r="2926" spans="5:5" s="4" customFormat="1" hidden="1" x14ac:dyDescent="0.5">
      <c r="E2926" s="108"/>
    </row>
    <row r="2927" spans="5:5" s="4" customFormat="1" hidden="1" x14ac:dyDescent="0.5">
      <c r="E2927" s="108"/>
    </row>
    <row r="2928" spans="5:5" s="4" customFormat="1" hidden="1" x14ac:dyDescent="0.5">
      <c r="E2928" s="108"/>
    </row>
    <row r="2929" spans="5:5" s="4" customFormat="1" hidden="1" x14ac:dyDescent="0.5">
      <c r="E2929" s="108"/>
    </row>
    <row r="2930" spans="5:5" s="4" customFormat="1" hidden="1" x14ac:dyDescent="0.5">
      <c r="E2930" s="108"/>
    </row>
    <row r="2931" spans="5:5" s="4" customFormat="1" hidden="1" x14ac:dyDescent="0.5">
      <c r="E2931" s="108"/>
    </row>
    <row r="2932" spans="5:5" s="4" customFormat="1" hidden="1" x14ac:dyDescent="0.5">
      <c r="E2932" s="108"/>
    </row>
    <row r="2933" spans="5:5" s="4" customFormat="1" hidden="1" x14ac:dyDescent="0.5">
      <c r="E2933" s="108"/>
    </row>
    <row r="2934" spans="5:5" s="4" customFormat="1" hidden="1" x14ac:dyDescent="0.5">
      <c r="E2934" s="108"/>
    </row>
    <row r="2935" spans="5:5" s="4" customFormat="1" hidden="1" x14ac:dyDescent="0.5">
      <c r="E2935" s="108"/>
    </row>
    <row r="2936" spans="5:5" s="4" customFormat="1" hidden="1" x14ac:dyDescent="0.5">
      <c r="E2936" s="108"/>
    </row>
    <row r="2937" spans="5:5" s="4" customFormat="1" hidden="1" x14ac:dyDescent="0.5">
      <c r="E2937" s="108"/>
    </row>
    <row r="2938" spans="5:5" s="4" customFormat="1" hidden="1" x14ac:dyDescent="0.5">
      <c r="E2938" s="108"/>
    </row>
    <row r="2939" spans="5:5" s="4" customFormat="1" hidden="1" x14ac:dyDescent="0.5">
      <c r="E2939" s="108"/>
    </row>
    <row r="2940" spans="5:5" s="4" customFormat="1" hidden="1" x14ac:dyDescent="0.5">
      <c r="E2940" s="108"/>
    </row>
    <row r="2941" spans="5:5" s="4" customFormat="1" hidden="1" x14ac:dyDescent="0.5">
      <c r="E2941" s="108"/>
    </row>
    <row r="2942" spans="5:5" s="4" customFormat="1" hidden="1" x14ac:dyDescent="0.5">
      <c r="E2942" s="108"/>
    </row>
    <row r="2943" spans="5:5" s="4" customFormat="1" hidden="1" x14ac:dyDescent="0.5">
      <c r="E2943" s="108"/>
    </row>
    <row r="2944" spans="5:5" s="4" customFormat="1" hidden="1" x14ac:dyDescent="0.5">
      <c r="E2944" s="108"/>
    </row>
    <row r="2945" spans="5:5" s="4" customFormat="1" hidden="1" x14ac:dyDescent="0.5">
      <c r="E2945" s="108"/>
    </row>
    <row r="2946" spans="5:5" s="4" customFormat="1" hidden="1" x14ac:dyDescent="0.5">
      <c r="E2946" s="108"/>
    </row>
    <row r="2947" spans="5:5" s="4" customFormat="1" hidden="1" x14ac:dyDescent="0.5">
      <c r="E2947" s="108"/>
    </row>
    <row r="2948" spans="5:5" s="4" customFormat="1" hidden="1" x14ac:dyDescent="0.5">
      <c r="E2948" s="108"/>
    </row>
    <row r="2949" spans="5:5" s="4" customFormat="1" hidden="1" x14ac:dyDescent="0.5">
      <c r="E2949" s="108"/>
    </row>
    <row r="2950" spans="5:5" s="4" customFormat="1" hidden="1" x14ac:dyDescent="0.5">
      <c r="E2950" s="108"/>
    </row>
    <row r="2951" spans="5:5" s="4" customFormat="1" hidden="1" x14ac:dyDescent="0.5">
      <c r="E2951" s="108"/>
    </row>
    <row r="2952" spans="5:5" s="4" customFormat="1" hidden="1" x14ac:dyDescent="0.5">
      <c r="E2952" s="108"/>
    </row>
    <row r="2953" spans="5:5" s="4" customFormat="1" hidden="1" x14ac:dyDescent="0.5">
      <c r="E2953" s="108"/>
    </row>
    <row r="2954" spans="5:5" s="4" customFormat="1" hidden="1" x14ac:dyDescent="0.5">
      <c r="E2954" s="108"/>
    </row>
    <row r="2955" spans="5:5" s="4" customFormat="1" hidden="1" x14ac:dyDescent="0.5">
      <c r="E2955" s="108"/>
    </row>
    <row r="2956" spans="5:5" s="4" customFormat="1" hidden="1" x14ac:dyDescent="0.5">
      <c r="E2956" s="108"/>
    </row>
    <row r="2957" spans="5:5" s="4" customFormat="1" hidden="1" x14ac:dyDescent="0.5">
      <c r="E2957" s="108"/>
    </row>
    <row r="2958" spans="5:5" s="4" customFormat="1" hidden="1" x14ac:dyDescent="0.5">
      <c r="E2958" s="108"/>
    </row>
    <row r="2959" spans="5:5" s="4" customFormat="1" hidden="1" x14ac:dyDescent="0.5">
      <c r="E2959" s="108"/>
    </row>
    <row r="2960" spans="5:5" s="4" customFormat="1" hidden="1" x14ac:dyDescent="0.5">
      <c r="E2960" s="108"/>
    </row>
    <row r="2961" spans="5:5" s="4" customFormat="1" hidden="1" x14ac:dyDescent="0.5">
      <c r="E2961" s="108"/>
    </row>
    <row r="2962" spans="5:5" s="4" customFormat="1" hidden="1" x14ac:dyDescent="0.5">
      <c r="E2962" s="108"/>
    </row>
    <row r="2963" spans="5:5" s="4" customFormat="1" hidden="1" x14ac:dyDescent="0.5">
      <c r="E2963" s="108"/>
    </row>
    <row r="2964" spans="5:5" s="4" customFormat="1" hidden="1" x14ac:dyDescent="0.5">
      <c r="E2964" s="108"/>
    </row>
    <row r="2965" spans="5:5" s="4" customFormat="1" hidden="1" x14ac:dyDescent="0.5">
      <c r="E2965" s="108"/>
    </row>
    <row r="2966" spans="5:5" s="4" customFormat="1" hidden="1" x14ac:dyDescent="0.5">
      <c r="E2966" s="108"/>
    </row>
    <row r="2967" spans="5:5" s="4" customFormat="1" hidden="1" x14ac:dyDescent="0.5">
      <c r="E2967" s="108"/>
    </row>
    <row r="2968" spans="5:5" s="4" customFormat="1" hidden="1" x14ac:dyDescent="0.5">
      <c r="E2968" s="108"/>
    </row>
    <row r="2969" spans="5:5" s="4" customFormat="1" hidden="1" x14ac:dyDescent="0.5">
      <c r="E2969" s="108"/>
    </row>
    <row r="2970" spans="5:5" s="4" customFormat="1" hidden="1" x14ac:dyDescent="0.5">
      <c r="E2970" s="108"/>
    </row>
    <row r="2971" spans="5:5" s="4" customFormat="1" hidden="1" x14ac:dyDescent="0.5">
      <c r="E2971" s="108"/>
    </row>
    <row r="2972" spans="5:5" s="4" customFormat="1" hidden="1" x14ac:dyDescent="0.5">
      <c r="E2972" s="108"/>
    </row>
    <row r="2973" spans="5:5" s="4" customFormat="1" hidden="1" x14ac:dyDescent="0.5">
      <c r="E2973" s="108"/>
    </row>
    <row r="2974" spans="5:5" s="4" customFormat="1" hidden="1" x14ac:dyDescent="0.5">
      <c r="E2974" s="108"/>
    </row>
    <row r="2975" spans="5:5" s="4" customFormat="1" hidden="1" x14ac:dyDescent="0.5">
      <c r="E2975" s="108"/>
    </row>
    <row r="2976" spans="5:5" s="4" customFormat="1" hidden="1" x14ac:dyDescent="0.5">
      <c r="E2976" s="108"/>
    </row>
    <row r="2977" spans="5:5" s="4" customFormat="1" hidden="1" x14ac:dyDescent="0.5">
      <c r="E2977" s="108"/>
    </row>
    <row r="2978" spans="5:5" s="4" customFormat="1" hidden="1" x14ac:dyDescent="0.5">
      <c r="E2978" s="108"/>
    </row>
    <row r="2979" spans="5:5" s="4" customFormat="1" hidden="1" x14ac:dyDescent="0.5">
      <c r="E2979" s="108"/>
    </row>
    <row r="2980" spans="5:5" s="4" customFormat="1" hidden="1" x14ac:dyDescent="0.5">
      <c r="E2980" s="108"/>
    </row>
    <row r="2981" spans="5:5" s="4" customFormat="1" hidden="1" x14ac:dyDescent="0.5">
      <c r="E2981" s="108"/>
    </row>
    <row r="2982" spans="5:5" s="4" customFormat="1" hidden="1" x14ac:dyDescent="0.5">
      <c r="E2982" s="108"/>
    </row>
    <row r="2983" spans="5:5" s="4" customFormat="1" hidden="1" x14ac:dyDescent="0.5">
      <c r="E2983" s="108"/>
    </row>
    <row r="2984" spans="5:5" s="4" customFormat="1" hidden="1" x14ac:dyDescent="0.5">
      <c r="E2984" s="108"/>
    </row>
    <row r="2985" spans="5:5" s="4" customFormat="1" hidden="1" x14ac:dyDescent="0.5">
      <c r="E2985" s="108"/>
    </row>
    <row r="2986" spans="5:5" s="4" customFormat="1" hidden="1" x14ac:dyDescent="0.5">
      <c r="E2986" s="108"/>
    </row>
    <row r="2987" spans="5:5" s="4" customFormat="1" hidden="1" x14ac:dyDescent="0.5">
      <c r="E2987" s="108"/>
    </row>
    <row r="2988" spans="5:5" s="4" customFormat="1" hidden="1" x14ac:dyDescent="0.5">
      <c r="E2988" s="108"/>
    </row>
    <row r="2989" spans="5:5" s="4" customFormat="1" hidden="1" x14ac:dyDescent="0.5">
      <c r="E2989" s="108"/>
    </row>
    <row r="2990" spans="5:5" s="4" customFormat="1" hidden="1" x14ac:dyDescent="0.5">
      <c r="E2990" s="108"/>
    </row>
    <row r="2991" spans="5:5" s="4" customFormat="1" hidden="1" x14ac:dyDescent="0.5">
      <c r="E2991" s="108"/>
    </row>
    <row r="2992" spans="5:5" s="4" customFormat="1" hidden="1" x14ac:dyDescent="0.5">
      <c r="E2992" s="108"/>
    </row>
    <row r="2993" spans="5:5" s="4" customFormat="1" hidden="1" x14ac:dyDescent="0.5">
      <c r="E2993" s="108"/>
    </row>
    <row r="2994" spans="5:5" s="4" customFormat="1" hidden="1" x14ac:dyDescent="0.5">
      <c r="E2994" s="108"/>
    </row>
    <row r="2995" spans="5:5" s="4" customFormat="1" hidden="1" x14ac:dyDescent="0.5">
      <c r="E2995" s="108"/>
    </row>
    <row r="2996" spans="5:5" s="4" customFormat="1" hidden="1" x14ac:dyDescent="0.5">
      <c r="E2996" s="108"/>
    </row>
    <row r="2997" spans="5:5" s="4" customFormat="1" hidden="1" x14ac:dyDescent="0.5">
      <c r="E2997" s="108"/>
    </row>
    <row r="2998" spans="5:5" s="4" customFormat="1" hidden="1" x14ac:dyDescent="0.5">
      <c r="E2998" s="108"/>
    </row>
    <row r="2999" spans="5:5" s="4" customFormat="1" hidden="1" x14ac:dyDescent="0.5">
      <c r="E2999" s="108"/>
    </row>
    <row r="3000" spans="5:5" s="4" customFormat="1" hidden="1" x14ac:dyDescent="0.5">
      <c r="E3000" s="108"/>
    </row>
    <row r="3001" spans="5:5" s="4" customFormat="1" hidden="1" x14ac:dyDescent="0.5">
      <c r="E3001" s="108"/>
    </row>
    <row r="3002" spans="5:5" s="4" customFormat="1" hidden="1" x14ac:dyDescent="0.5">
      <c r="E3002" s="108"/>
    </row>
    <row r="3003" spans="5:5" s="4" customFormat="1" hidden="1" x14ac:dyDescent="0.5">
      <c r="E3003" s="108"/>
    </row>
    <row r="3004" spans="5:5" s="4" customFormat="1" hidden="1" x14ac:dyDescent="0.5">
      <c r="E3004" s="108"/>
    </row>
    <row r="3005" spans="5:5" s="4" customFormat="1" hidden="1" x14ac:dyDescent="0.5">
      <c r="E3005" s="108"/>
    </row>
    <row r="3006" spans="5:5" s="4" customFormat="1" hidden="1" x14ac:dyDescent="0.5">
      <c r="E3006" s="108"/>
    </row>
    <row r="3007" spans="5:5" s="4" customFormat="1" hidden="1" x14ac:dyDescent="0.5">
      <c r="E3007" s="108"/>
    </row>
    <row r="3008" spans="5:5" s="4" customFormat="1" hidden="1" x14ac:dyDescent="0.5">
      <c r="E3008" s="108"/>
    </row>
    <row r="3009" spans="5:5" s="4" customFormat="1" hidden="1" x14ac:dyDescent="0.5">
      <c r="E3009" s="108"/>
    </row>
    <row r="3010" spans="5:5" s="4" customFormat="1" hidden="1" x14ac:dyDescent="0.5">
      <c r="E3010" s="108"/>
    </row>
    <row r="3011" spans="5:5" s="4" customFormat="1" hidden="1" x14ac:dyDescent="0.5">
      <c r="E3011" s="108"/>
    </row>
    <row r="3012" spans="5:5" s="4" customFormat="1" hidden="1" x14ac:dyDescent="0.5">
      <c r="E3012" s="108"/>
    </row>
    <row r="3013" spans="5:5" s="4" customFormat="1" hidden="1" x14ac:dyDescent="0.5">
      <c r="E3013" s="108"/>
    </row>
    <row r="3014" spans="5:5" s="4" customFormat="1" hidden="1" x14ac:dyDescent="0.5">
      <c r="E3014" s="108"/>
    </row>
    <row r="3015" spans="5:5" s="4" customFormat="1" hidden="1" x14ac:dyDescent="0.5">
      <c r="E3015" s="108"/>
    </row>
    <row r="3016" spans="5:5" s="4" customFormat="1" hidden="1" x14ac:dyDescent="0.5">
      <c r="E3016" s="108"/>
    </row>
    <row r="3017" spans="5:5" s="4" customFormat="1" hidden="1" x14ac:dyDescent="0.5">
      <c r="E3017" s="108"/>
    </row>
    <row r="3018" spans="5:5" s="4" customFormat="1" hidden="1" x14ac:dyDescent="0.5">
      <c r="E3018" s="108"/>
    </row>
    <row r="3019" spans="5:5" s="4" customFormat="1" hidden="1" x14ac:dyDescent="0.5">
      <c r="E3019" s="108"/>
    </row>
    <row r="3020" spans="5:5" s="4" customFormat="1" hidden="1" x14ac:dyDescent="0.5">
      <c r="E3020" s="108"/>
    </row>
    <row r="3021" spans="5:5" s="4" customFormat="1" hidden="1" x14ac:dyDescent="0.5">
      <c r="E3021" s="108"/>
    </row>
    <row r="3022" spans="5:5" s="4" customFormat="1" hidden="1" x14ac:dyDescent="0.5">
      <c r="E3022" s="108"/>
    </row>
    <row r="3023" spans="5:5" s="4" customFormat="1" hidden="1" x14ac:dyDescent="0.5">
      <c r="E3023" s="108"/>
    </row>
    <row r="3024" spans="5:5" s="4" customFormat="1" hidden="1" x14ac:dyDescent="0.5">
      <c r="E3024" s="108"/>
    </row>
    <row r="3025" spans="5:5" s="4" customFormat="1" hidden="1" x14ac:dyDescent="0.5">
      <c r="E3025" s="108"/>
    </row>
    <row r="3026" spans="5:5" s="4" customFormat="1" hidden="1" x14ac:dyDescent="0.5">
      <c r="E3026" s="108"/>
    </row>
    <row r="3027" spans="5:5" s="4" customFormat="1" hidden="1" x14ac:dyDescent="0.5">
      <c r="E3027" s="108"/>
    </row>
    <row r="3028" spans="5:5" s="4" customFormat="1" hidden="1" x14ac:dyDescent="0.5">
      <c r="E3028" s="108"/>
    </row>
    <row r="3029" spans="5:5" s="4" customFormat="1" hidden="1" x14ac:dyDescent="0.5">
      <c r="E3029" s="108"/>
    </row>
    <row r="3030" spans="5:5" s="4" customFormat="1" hidden="1" x14ac:dyDescent="0.5">
      <c r="E3030" s="108"/>
    </row>
    <row r="3031" spans="5:5" s="4" customFormat="1" hidden="1" x14ac:dyDescent="0.5">
      <c r="E3031" s="108"/>
    </row>
    <row r="3032" spans="5:5" s="4" customFormat="1" hidden="1" x14ac:dyDescent="0.5">
      <c r="E3032" s="108"/>
    </row>
    <row r="3033" spans="5:5" s="4" customFormat="1" hidden="1" x14ac:dyDescent="0.5">
      <c r="E3033" s="108"/>
    </row>
    <row r="3034" spans="5:5" s="4" customFormat="1" hidden="1" x14ac:dyDescent="0.5">
      <c r="E3034" s="108"/>
    </row>
    <row r="3035" spans="5:5" s="4" customFormat="1" hidden="1" x14ac:dyDescent="0.5">
      <c r="E3035" s="108"/>
    </row>
    <row r="3036" spans="5:5" s="4" customFormat="1" hidden="1" x14ac:dyDescent="0.5">
      <c r="E3036" s="108"/>
    </row>
    <row r="3037" spans="5:5" s="4" customFormat="1" hidden="1" x14ac:dyDescent="0.5">
      <c r="E3037" s="108"/>
    </row>
    <row r="3038" spans="5:5" s="4" customFormat="1" hidden="1" x14ac:dyDescent="0.5">
      <c r="E3038" s="108"/>
    </row>
    <row r="3039" spans="5:5" s="4" customFormat="1" hidden="1" x14ac:dyDescent="0.5">
      <c r="E3039" s="108"/>
    </row>
    <row r="3040" spans="5:5" s="4" customFormat="1" hidden="1" x14ac:dyDescent="0.5">
      <c r="E3040" s="108"/>
    </row>
    <row r="3041" spans="5:5" s="4" customFormat="1" hidden="1" x14ac:dyDescent="0.5">
      <c r="E3041" s="108"/>
    </row>
    <row r="3042" spans="5:5" s="4" customFormat="1" hidden="1" x14ac:dyDescent="0.5">
      <c r="E3042" s="108"/>
    </row>
    <row r="3043" spans="5:5" s="4" customFormat="1" hidden="1" x14ac:dyDescent="0.5">
      <c r="E3043" s="108"/>
    </row>
    <row r="3044" spans="5:5" s="4" customFormat="1" hidden="1" x14ac:dyDescent="0.5">
      <c r="E3044" s="108"/>
    </row>
    <row r="3045" spans="5:5" s="4" customFormat="1" hidden="1" x14ac:dyDescent="0.5">
      <c r="E3045" s="108"/>
    </row>
    <row r="3046" spans="5:5" s="4" customFormat="1" hidden="1" x14ac:dyDescent="0.5">
      <c r="E3046" s="108"/>
    </row>
    <row r="3047" spans="5:5" s="4" customFormat="1" hidden="1" x14ac:dyDescent="0.5">
      <c r="E3047" s="108"/>
    </row>
    <row r="3048" spans="5:5" s="4" customFormat="1" hidden="1" x14ac:dyDescent="0.5">
      <c r="E3048" s="108"/>
    </row>
    <row r="3049" spans="5:5" s="4" customFormat="1" hidden="1" x14ac:dyDescent="0.5">
      <c r="E3049" s="108"/>
    </row>
    <row r="3050" spans="5:5" s="4" customFormat="1" hidden="1" x14ac:dyDescent="0.5">
      <c r="E3050" s="108"/>
    </row>
    <row r="3051" spans="5:5" s="4" customFormat="1" hidden="1" x14ac:dyDescent="0.5">
      <c r="E3051" s="108"/>
    </row>
    <row r="3052" spans="5:5" s="4" customFormat="1" hidden="1" x14ac:dyDescent="0.5">
      <c r="E3052" s="108"/>
    </row>
    <row r="3053" spans="5:5" s="4" customFormat="1" hidden="1" x14ac:dyDescent="0.5">
      <c r="E3053" s="108"/>
    </row>
    <row r="3054" spans="5:5" s="4" customFormat="1" hidden="1" x14ac:dyDescent="0.5">
      <c r="E3054" s="108"/>
    </row>
    <row r="3055" spans="5:5" s="4" customFormat="1" hidden="1" x14ac:dyDescent="0.5">
      <c r="E3055" s="108"/>
    </row>
    <row r="3056" spans="5:5" s="4" customFormat="1" hidden="1" x14ac:dyDescent="0.5">
      <c r="E3056" s="108"/>
    </row>
    <row r="3057" spans="5:5" s="4" customFormat="1" hidden="1" x14ac:dyDescent="0.5">
      <c r="E3057" s="108"/>
    </row>
    <row r="3058" spans="5:5" s="4" customFormat="1" hidden="1" x14ac:dyDescent="0.5">
      <c r="E3058" s="108"/>
    </row>
    <row r="3059" spans="5:5" s="4" customFormat="1" hidden="1" x14ac:dyDescent="0.5">
      <c r="E3059" s="108"/>
    </row>
    <row r="3060" spans="5:5" s="4" customFormat="1" hidden="1" x14ac:dyDescent="0.5">
      <c r="E3060" s="108"/>
    </row>
    <row r="3061" spans="5:5" s="4" customFormat="1" hidden="1" x14ac:dyDescent="0.5">
      <c r="E3061" s="108"/>
    </row>
    <row r="3062" spans="5:5" s="4" customFormat="1" hidden="1" x14ac:dyDescent="0.5">
      <c r="E3062" s="108"/>
    </row>
    <row r="3063" spans="5:5" s="4" customFormat="1" hidden="1" x14ac:dyDescent="0.5">
      <c r="E3063" s="108"/>
    </row>
    <row r="3064" spans="5:5" s="4" customFormat="1" hidden="1" x14ac:dyDescent="0.5">
      <c r="E3064" s="108"/>
    </row>
    <row r="3065" spans="5:5" s="4" customFormat="1" hidden="1" x14ac:dyDescent="0.5">
      <c r="E3065" s="108"/>
    </row>
    <row r="3066" spans="5:5" s="4" customFormat="1" hidden="1" x14ac:dyDescent="0.5">
      <c r="E3066" s="108"/>
    </row>
    <row r="3067" spans="5:5" s="4" customFormat="1" hidden="1" x14ac:dyDescent="0.5">
      <c r="E3067" s="108"/>
    </row>
    <row r="3068" spans="5:5" s="4" customFormat="1" hidden="1" x14ac:dyDescent="0.5">
      <c r="E3068" s="108"/>
    </row>
    <row r="3069" spans="5:5" s="4" customFormat="1" hidden="1" x14ac:dyDescent="0.5">
      <c r="E3069" s="108"/>
    </row>
    <row r="3070" spans="5:5" s="4" customFormat="1" hidden="1" x14ac:dyDescent="0.5">
      <c r="E3070" s="108"/>
    </row>
    <row r="3071" spans="5:5" s="4" customFormat="1" hidden="1" x14ac:dyDescent="0.5">
      <c r="E3071" s="108"/>
    </row>
    <row r="3072" spans="5:5" s="4" customFormat="1" hidden="1" x14ac:dyDescent="0.5">
      <c r="E3072" s="108"/>
    </row>
    <row r="3073" spans="5:5" s="4" customFormat="1" hidden="1" x14ac:dyDescent="0.5">
      <c r="E3073" s="108"/>
    </row>
    <row r="3074" spans="5:5" s="4" customFormat="1" hidden="1" x14ac:dyDescent="0.5">
      <c r="E3074" s="108"/>
    </row>
    <row r="3075" spans="5:5" s="4" customFormat="1" hidden="1" x14ac:dyDescent="0.5">
      <c r="E3075" s="108"/>
    </row>
    <row r="3076" spans="5:5" s="4" customFormat="1" hidden="1" x14ac:dyDescent="0.5">
      <c r="E3076" s="108"/>
    </row>
    <row r="3077" spans="5:5" s="4" customFormat="1" hidden="1" x14ac:dyDescent="0.5">
      <c r="E3077" s="108"/>
    </row>
    <row r="3078" spans="5:5" s="4" customFormat="1" hidden="1" x14ac:dyDescent="0.5">
      <c r="E3078" s="108"/>
    </row>
    <row r="3079" spans="5:5" s="4" customFormat="1" hidden="1" x14ac:dyDescent="0.5">
      <c r="E3079" s="108"/>
    </row>
    <row r="3080" spans="5:5" s="4" customFormat="1" hidden="1" x14ac:dyDescent="0.5">
      <c r="E3080" s="108"/>
    </row>
    <row r="3081" spans="5:5" s="4" customFormat="1" hidden="1" x14ac:dyDescent="0.5">
      <c r="E3081" s="108"/>
    </row>
    <row r="3082" spans="5:5" s="4" customFormat="1" hidden="1" x14ac:dyDescent="0.5">
      <c r="E3082" s="108"/>
    </row>
    <row r="3083" spans="5:5" s="4" customFormat="1" hidden="1" x14ac:dyDescent="0.5">
      <c r="E3083" s="108"/>
    </row>
    <row r="3084" spans="5:5" s="4" customFormat="1" hidden="1" x14ac:dyDescent="0.5">
      <c r="E3084" s="108"/>
    </row>
    <row r="3085" spans="5:5" s="4" customFormat="1" hidden="1" x14ac:dyDescent="0.5">
      <c r="E3085" s="108"/>
    </row>
    <row r="3086" spans="5:5" s="4" customFormat="1" hidden="1" x14ac:dyDescent="0.5">
      <c r="E3086" s="108"/>
    </row>
    <row r="3087" spans="5:5" s="4" customFormat="1" hidden="1" x14ac:dyDescent="0.5">
      <c r="E3087" s="108"/>
    </row>
    <row r="3088" spans="5:5" s="4" customFormat="1" hidden="1" x14ac:dyDescent="0.5">
      <c r="E3088" s="108"/>
    </row>
    <row r="3089" spans="5:5" s="4" customFormat="1" hidden="1" x14ac:dyDescent="0.5">
      <c r="E3089" s="108"/>
    </row>
    <row r="3090" spans="5:5" s="4" customFormat="1" hidden="1" x14ac:dyDescent="0.5">
      <c r="E3090" s="108"/>
    </row>
    <row r="3091" spans="5:5" s="4" customFormat="1" hidden="1" x14ac:dyDescent="0.5">
      <c r="E3091" s="108"/>
    </row>
    <row r="3092" spans="5:5" s="4" customFormat="1" hidden="1" x14ac:dyDescent="0.5">
      <c r="E3092" s="108"/>
    </row>
    <row r="3093" spans="5:5" s="4" customFormat="1" hidden="1" x14ac:dyDescent="0.5">
      <c r="E3093" s="108"/>
    </row>
    <row r="3094" spans="5:5" s="4" customFormat="1" hidden="1" x14ac:dyDescent="0.5">
      <c r="E3094" s="108"/>
    </row>
    <row r="3095" spans="5:5" s="4" customFormat="1" hidden="1" x14ac:dyDescent="0.5">
      <c r="E3095" s="108"/>
    </row>
    <row r="3096" spans="5:5" s="4" customFormat="1" hidden="1" x14ac:dyDescent="0.5">
      <c r="E3096" s="108"/>
    </row>
    <row r="3097" spans="5:5" s="4" customFormat="1" hidden="1" x14ac:dyDescent="0.5">
      <c r="E3097" s="108"/>
    </row>
    <row r="3098" spans="5:5" s="4" customFormat="1" hidden="1" x14ac:dyDescent="0.5">
      <c r="E3098" s="108"/>
    </row>
    <row r="3099" spans="5:5" s="4" customFormat="1" hidden="1" x14ac:dyDescent="0.5">
      <c r="E3099" s="108"/>
    </row>
    <row r="3100" spans="5:5" s="4" customFormat="1" hidden="1" x14ac:dyDescent="0.5">
      <c r="E3100" s="108"/>
    </row>
    <row r="3101" spans="5:5" s="4" customFormat="1" hidden="1" x14ac:dyDescent="0.5">
      <c r="E3101" s="108"/>
    </row>
    <row r="3102" spans="5:5" s="4" customFormat="1" hidden="1" x14ac:dyDescent="0.5">
      <c r="E3102" s="108"/>
    </row>
    <row r="3103" spans="5:5" s="4" customFormat="1" hidden="1" x14ac:dyDescent="0.5">
      <c r="E3103" s="108"/>
    </row>
    <row r="3104" spans="5:5" s="4" customFormat="1" hidden="1" x14ac:dyDescent="0.5">
      <c r="E3104" s="108"/>
    </row>
    <row r="3105" spans="5:5" s="4" customFormat="1" hidden="1" x14ac:dyDescent="0.5">
      <c r="E3105" s="108"/>
    </row>
    <row r="3106" spans="5:5" s="4" customFormat="1" hidden="1" x14ac:dyDescent="0.5">
      <c r="E3106" s="108"/>
    </row>
    <row r="3107" spans="5:5" s="4" customFormat="1" hidden="1" x14ac:dyDescent="0.5">
      <c r="E3107" s="108"/>
    </row>
    <row r="3108" spans="5:5" s="4" customFormat="1" hidden="1" x14ac:dyDescent="0.5">
      <c r="E3108" s="108"/>
    </row>
    <row r="3109" spans="5:5" s="4" customFormat="1" hidden="1" x14ac:dyDescent="0.5">
      <c r="E3109" s="108"/>
    </row>
    <row r="3110" spans="5:5" s="4" customFormat="1" hidden="1" x14ac:dyDescent="0.5">
      <c r="E3110" s="108"/>
    </row>
    <row r="3111" spans="5:5" s="4" customFormat="1" hidden="1" x14ac:dyDescent="0.5">
      <c r="E3111" s="108"/>
    </row>
    <row r="3112" spans="5:5" s="4" customFormat="1" hidden="1" x14ac:dyDescent="0.5">
      <c r="E3112" s="108"/>
    </row>
    <row r="3113" spans="5:5" s="4" customFormat="1" hidden="1" x14ac:dyDescent="0.5">
      <c r="E3113" s="108"/>
    </row>
    <row r="3114" spans="5:5" s="4" customFormat="1" hidden="1" x14ac:dyDescent="0.5">
      <c r="E3114" s="108"/>
    </row>
    <row r="3115" spans="5:5" s="4" customFormat="1" hidden="1" x14ac:dyDescent="0.5">
      <c r="E3115" s="108"/>
    </row>
    <row r="3116" spans="5:5" s="4" customFormat="1" hidden="1" x14ac:dyDescent="0.5">
      <c r="E3116" s="108"/>
    </row>
    <row r="3117" spans="5:5" s="4" customFormat="1" hidden="1" x14ac:dyDescent="0.5">
      <c r="E3117" s="108"/>
    </row>
    <row r="3118" spans="5:5" s="4" customFormat="1" hidden="1" x14ac:dyDescent="0.5">
      <c r="E3118" s="108"/>
    </row>
    <row r="3119" spans="5:5" s="4" customFormat="1" hidden="1" x14ac:dyDescent="0.5">
      <c r="E3119" s="108"/>
    </row>
    <row r="3120" spans="5:5" s="4" customFormat="1" hidden="1" x14ac:dyDescent="0.5">
      <c r="E3120" s="108"/>
    </row>
    <row r="3121" spans="5:5" s="4" customFormat="1" hidden="1" x14ac:dyDescent="0.5">
      <c r="E3121" s="108"/>
    </row>
    <row r="3122" spans="5:5" s="4" customFormat="1" hidden="1" x14ac:dyDescent="0.5">
      <c r="E3122" s="108"/>
    </row>
    <row r="3123" spans="5:5" s="4" customFormat="1" hidden="1" x14ac:dyDescent="0.5">
      <c r="E3123" s="108"/>
    </row>
    <row r="3124" spans="5:5" s="4" customFormat="1" hidden="1" x14ac:dyDescent="0.5">
      <c r="E3124" s="108"/>
    </row>
    <row r="3125" spans="5:5" s="4" customFormat="1" hidden="1" x14ac:dyDescent="0.5">
      <c r="E3125" s="108"/>
    </row>
    <row r="3126" spans="5:5" s="4" customFormat="1" hidden="1" x14ac:dyDescent="0.5">
      <c r="E3126" s="108"/>
    </row>
    <row r="3127" spans="5:5" s="4" customFormat="1" hidden="1" x14ac:dyDescent="0.5">
      <c r="E3127" s="108"/>
    </row>
    <row r="3128" spans="5:5" s="4" customFormat="1" hidden="1" x14ac:dyDescent="0.5">
      <c r="E3128" s="108"/>
    </row>
    <row r="3129" spans="5:5" s="4" customFormat="1" hidden="1" x14ac:dyDescent="0.5">
      <c r="E3129" s="108"/>
    </row>
    <row r="3130" spans="5:5" s="4" customFormat="1" hidden="1" x14ac:dyDescent="0.5">
      <c r="E3130" s="108"/>
    </row>
    <row r="3131" spans="5:5" s="4" customFormat="1" hidden="1" x14ac:dyDescent="0.5">
      <c r="E3131" s="108"/>
    </row>
    <row r="3132" spans="5:5" s="4" customFormat="1" hidden="1" x14ac:dyDescent="0.5">
      <c r="E3132" s="108"/>
    </row>
    <row r="3133" spans="5:5" s="4" customFormat="1" hidden="1" x14ac:dyDescent="0.5">
      <c r="E3133" s="108"/>
    </row>
    <row r="3134" spans="5:5" s="4" customFormat="1" hidden="1" x14ac:dyDescent="0.5">
      <c r="E3134" s="108"/>
    </row>
    <row r="3135" spans="5:5" s="4" customFormat="1" hidden="1" x14ac:dyDescent="0.5">
      <c r="E3135" s="108"/>
    </row>
    <row r="3136" spans="5:5" s="4" customFormat="1" hidden="1" x14ac:dyDescent="0.5">
      <c r="E3136" s="108"/>
    </row>
    <row r="3137" spans="5:5" s="4" customFormat="1" hidden="1" x14ac:dyDescent="0.5">
      <c r="E3137" s="108"/>
    </row>
    <row r="3138" spans="5:5" s="4" customFormat="1" hidden="1" x14ac:dyDescent="0.5">
      <c r="E3138" s="108"/>
    </row>
    <row r="3139" spans="5:5" s="4" customFormat="1" hidden="1" x14ac:dyDescent="0.5">
      <c r="E3139" s="108"/>
    </row>
    <row r="3140" spans="5:5" s="4" customFormat="1" hidden="1" x14ac:dyDescent="0.5">
      <c r="E3140" s="108"/>
    </row>
    <row r="3141" spans="5:5" s="4" customFormat="1" hidden="1" x14ac:dyDescent="0.5">
      <c r="E3141" s="108"/>
    </row>
    <row r="3142" spans="5:5" s="4" customFormat="1" hidden="1" x14ac:dyDescent="0.5">
      <c r="E3142" s="108"/>
    </row>
    <row r="3143" spans="5:5" s="4" customFormat="1" hidden="1" x14ac:dyDescent="0.5">
      <c r="E3143" s="108"/>
    </row>
    <row r="3144" spans="5:5" s="4" customFormat="1" hidden="1" x14ac:dyDescent="0.5">
      <c r="E3144" s="108"/>
    </row>
    <row r="3145" spans="5:5" s="4" customFormat="1" hidden="1" x14ac:dyDescent="0.5">
      <c r="E3145" s="108"/>
    </row>
    <row r="3146" spans="5:5" s="4" customFormat="1" hidden="1" x14ac:dyDescent="0.5">
      <c r="E3146" s="108"/>
    </row>
    <row r="3147" spans="5:5" s="4" customFormat="1" hidden="1" x14ac:dyDescent="0.5">
      <c r="E3147" s="108"/>
    </row>
    <row r="3148" spans="5:5" s="4" customFormat="1" hidden="1" x14ac:dyDescent="0.5">
      <c r="E3148" s="108"/>
    </row>
    <row r="3149" spans="5:5" s="4" customFormat="1" hidden="1" x14ac:dyDescent="0.5">
      <c r="E3149" s="108"/>
    </row>
    <row r="3150" spans="5:5" s="4" customFormat="1" hidden="1" x14ac:dyDescent="0.5">
      <c r="E3150" s="108"/>
    </row>
    <row r="3151" spans="5:5" s="4" customFormat="1" hidden="1" x14ac:dyDescent="0.5">
      <c r="E3151" s="108"/>
    </row>
    <row r="3152" spans="5:5" s="4" customFormat="1" hidden="1" x14ac:dyDescent="0.5">
      <c r="E3152" s="108"/>
    </row>
    <row r="3153" spans="5:5" s="4" customFormat="1" hidden="1" x14ac:dyDescent="0.5">
      <c r="E3153" s="108"/>
    </row>
    <row r="3154" spans="5:5" s="4" customFormat="1" hidden="1" x14ac:dyDescent="0.5">
      <c r="E3154" s="108"/>
    </row>
    <row r="3155" spans="5:5" s="4" customFormat="1" hidden="1" x14ac:dyDescent="0.5">
      <c r="E3155" s="108"/>
    </row>
    <row r="3156" spans="5:5" s="4" customFormat="1" hidden="1" x14ac:dyDescent="0.5">
      <c r="E3156" s="108"/>
    </row>
    <row r="3157" spans="5:5" s="4" customFormat="1" hidden="1" x14ac:dyDescent="0.5">
      <c r="E3157" s="108"/>
    </row>
    <row r="3158" spans="5:5" s="4" customFormat="1" hidden="1" x14ac:dyDescent="0.5">
      <c r="E3158" s="108"/>
    </row>
    <row r="3159" spans="5:5" s="4" customFormat="1" hidden="1" x14ac:dyDescent="0.5">
      <c r="E3159" s="108"/>
    </row>
    <row r="3160" spans="5:5" s="4" customFormat="1" hidden="1" x14ac:dyDescent="0.5">
      <c r="E3160" s="108"/>
    </row>
    <row r="3161" spans="5:5" s="4" customFormat="1" hidden="1" x14ac:dyDescent="0.5">
      <c r="E3161" s="108"/>
    </row>
    <row r="3162" spans="5:5" s="4" customFormat="1" hidden="1" x14ac:dyDescent="0.5">
      <c r="E3162" s="108"/>
    </row>
    <row r="3163" spans="5:5" s="4" customFormat="1" hidden="1" x14ac:dyDescent="0.5">
      <c r="E3163" s="108"/>
    </row>
    <row r="3164" spans="5:5" s="4" customFormat="1" hidden="1" x14ac:dyDescent="0.5">
      <c r="E3164" s="108"/>
    </row>
    <row r="3165" spans="5:5" s="4" customFormat="1" hidden="1" x14ac:dyDescent="0.5">
      <c r="E3165" s="108"/>
    </row>
    <row r="3166" spans="5:5" s="4" customFormat="1" hidden="1" x14ac:dyDescent="0.5">
      <c r="E3166" s="108"/>
    </row>
    <row r="3167" spans="5:5" s="4" customFormat="1" hidden="1" x14ac:dyDescent="0.5">
      <c r="E3167" s="108"/>
    </row>
    <row r="3168" spans="5:5" s="4" customFormat="1" hidden="1" x14ac:dyDescent="0.5">
      <c r="E3168" s="108"/>
    </row>
    <row r="3169" spans="5:5" s="4" customFormat="1" hidden="1" x14ac:dyDescent="0.5">
      <c r="E3169" s="108"/>
    </row>
    <row r="3170" spans="5:5" s="4" customFormat="1" hidden="1" x14ac:dyDescent="0.5">
      <c r="E3170" s="108"/>
    </row>
    <row r="3171" spans="5:5" s="4" customFormat="1" hidden="1" x14ac:dyDescent="0.5">
      <c r="E3171" s="108"/>
    </row>
    <row r="3172" spans="5:5" s="4" customFormat="1" hidden="1" x14ac:dyDescent="0.5">
      <c r="E3172" s="108"/>
    </row>
    <row r="3173" spans="5:5" s="4" customFormat="1" hidden="1" x14ac:dyDescent="0.5">
      <c r="E3173" s="108"/>
    </row>
    <row r="3174" spans="5:5" s="4" customFormat="1" hidden="1" x14ac:dyDescent="0.5">
      <c r="E3174" s="108"/>
    </row>
    <row r="3175" spans="5:5" s="4" customFormat="1" hidden="1" x14ac:dyDescent="0.5">
      <c r="E3175" s="108"/>
    </row>
    <row r="3176" spans="5:5" s="4" customFormat="1" hidden="1" x14ac:dyDescent="0.5">
      <c r="E3176" s="108"/>
    </row>
    <row r="3177" spans="5:5" s="4" customFormat="1" hidden="1" x14ac:dyDescent="0.5">
      <c r="E3177" s="108"/>
    </row>
    <row r="3178" spans="5:5" s="4" customFormat="1" hidden="1" x14ac:dyDescent="0.5">
      <c r="E3178" s="108"/>
    </row>
    <row r="3179" spans="5:5" s="4" customFormat="1" hidden="1" x14ac:dyDescent="0.5">
      <c r="E3179" s="108"/>
    </row>
    <row r="3180" spans="5:5" s="4" customFormat="1" hidden="1" x14ac:dyDescent="0.5">
      <c r="E3180" s="108"/>
    </row>
    <row r="3181" spans="5:5" s="4" customFormat="1" hidden="1" x14ac:dyDescent="0.5">
      <c r="E3181" s="108"/>
    </row>
    <row r="3182" spans="5:5" s="4" customFormat="1" hidden="1" x14ac:dyDescent="0.5">
      <c r="E3182" s="108"/>
    </row>
    <row r="3183" spans="5:5" s="4" customFormat="1" hidden="1" x14ac:dyDescent="0.5">
      <c r="E3183" s="108"/>
    </row>
    <row r="3184" spans="5:5" s="4" customFormat="1" hidden="1" x14ac:dyDescent="0.5">
      <c r="E3184" s="108"/>
    </row>
    <row r="3185" spans="5:5" s="4" customFormat="1" hidden="1" x14ac:dyDescent="0.5">
      <c r="E3185" s="108"/>
    </row>
    <row r="3186" spans="5:5" s="4" customFormat="1" hidden="1" x14ac:dyDescent="0.5">
      <c r="E3186" s="108"/>
    </row>
    <row r="3187" spans="5:5" s="4" customFormat="1" hidden="1" x14ac:dyDescent="0.5">
      <c r="E3187" s="108"/>
    </row>
    <row r="3188" spans="5:5" s="4" customFormat="1" hidden="1" x14ac:dyDescent="0.5">
      <c r="E3188" s="108"/>
    </row>
    <row r="3189" spans="5:5" s="4" customFormat="1" hidden="1" x14ac:dyDescent="0.5">
      <c r="E3189" s="108"/>
    </row>
    <row r="3190" spans="5:5" s="4" customFormat="1" hidden="1" x14ac:dyDescent="0.5">
      <c r="E3190" s="108"/>
    </row>
    <row r="3191" spans="5:5" s="4" customFormat="1" hidden="1" x14ac:dyDescent="0.5">
      <c r="E3191" s="108"/>
    </row>
    <row r="3192" spans="5:5" s="4" customFormat="1" hidden="1" x14ac:dyDescent="0.5">
      <c r="E3192" s="108"/>
    </row>
    <row r="3193" spans="5:5" s="4" customFormat="1" hidden="1" x14ac:dyDescent="0.5">
      <c r="E3193" s="108"/>
    </row>
    <row r="3194" spans="5:5" s="4" customFormat="1" hidden="1" x14ac:dyDescent="0.5">
      <c r="E3194" s="108"/>
    </row>
    <row r="3195" spans="5:5" s="4" customFormat="1" hidden="1" x14ac:dyDescent="0.5">
      <c r="E3195" s="108"/>
    </row>
    <row r="3196" spans="5:5" s="4" customFormat="1" hidden="1" x14ac:dyDescent="0.5">
      <c r="E3196" s="108"/>
    </row>
    <row r="3197" spans="5:5" s="4" customFormat="1" hidden="1" x14ac:dyDescent="0.5">
      <c r="E3197" s="108"/>
    </row>
    <row r="3198" spans="5:5" s="4" customFormat="1" hidden="1" x14ac:dyDescent="0.5">
      <c r="E3198" s="108"/>
    </row>
    <row r="3199" spans="5:5" s="4" customFormat="1" hidden="1" x14ac:dyDescent="0.5">
      <c r="E3199" s="108"/>
    </row>
    <row r="3200" spans="5:5" s="4" customFormat="1" hidden="1" x14ac:dyDescent="0.5">
      <c r="E3200" s="108"/>
    </row>
    <row r="3201" spans="5:5" s="4" customFormat="1" hidden="1" x14ac:dyDescent="0.5">
      <c r="E3201" s="108"/>
    </row>
    <row r="3202" spans="5:5" s="4" customFormat="1" hidden="1" x14ac:dyDescent="0.5">
      <c r="E3202" s="108"/>
    </row>
    <row r="3203" spans="5:5" s="4" customFormat="1" hidden="1" x14ac:dyDescent="0.5">
      <c r="E3203" s="108"/>
    </row>
    <row r="3204" spans="5:5" s="4" customFormat="1" hidden="1" x14ac:dyDescent="0.5">
      <c r="E3204" s="108"/>
    </row>
    <row r="3205" spans="5:5" s="4" customFormat="1" hidden="1" x14ac:dyDescent="0.5">
      <c r="E3205" s="108"/>
    </row>
    <row r="3206" spans="5:5" s="4" customFormat="1" hidden="1" x14ac:dyDescent="0.5">
      <c r="E3206" s="108"/>
    </row>
    <row r="3207" spans="5:5" s="4" customFormat="1" hidden="1" x14ac:dyDescent="0.5">
      <c r="E3207" s="108"/>
    </row>
    <row r="3208" spans="5:5" s="4" customFormat="1" hidden="1" x14ac:dyDescent="0.5">
      <c r="E3208" s="108"/>
    </row>
    <row r="3209" spans="5:5" s="4" customFormat="1" hidden="1" x14ac:dyDescent="0.5">
      <c r="E3209" s="108"/>
    </row>
    <row r="3210" spans="5:5" s="4" customFormat="1" hidden="1" x14ac:dyDescent="0.5">
      <c r="E3210" s="108"/>
    </row>
    <row r="3211" spans="5:5" s="4" customFormat="1" hidden="1" x14ac:dyDescent="0.5">
      <c r="E3211" s="108"/>
    </row>
    <row r="3212" spans="5:5" s="4" customFormat="1" hidden="1" x14ac:dyDescent="0.5">
      <c r="E3212" s="108"/>
    </row>
    <row r="3213" spans="5:5" s="4" customFormat="1" hidden="1" x14ac:dyDescent="0.5">
      <c r="E3213" s="108"/>
    </row>
    <row r="3214" spans="5:5" s="4" customFormat="1" hidden="1" x14ac:dyDescent="0.5">
      <c r="E3214" s="108"/>
    </row>
    <row r="3215" spans="5:5" s="4" customFormat="1" hidden="1" x14ac:dyDescent="0.5">
      <c r="E3215" s="108"/>
    </row>
    <row r="3216" spans="5:5" s="4" customFormat="1" hidden="1" x14ac:dyDescent="0.5">
      <c r="E3216" s="108"/>
    </row>
    <row r="3217" spans="5:5" s="4" customFormat="1" hidden="1" x14ac:dyDescent="0.5">
      <c r="E3217" s="108"/>
    </row>
    <row r="3218" spans="5:5" s="4" customFormat="1" hidden="1" x14ac:dyDescent="0.5">
      <c r="E3218" s="108"/>
    </row>
    <row r="3219" spans="5:5" s="4" customFormat="1" hidden="1" x14ac:dyDescent="0.5">
      <c r="E3219" s="108"/>
    </row>
    <row r="3220" spans="5:5" s="4" customFormat="1" hidden="1" x14ac:dyDescent="0.5">
      <c r="E3220" s="108"/>
    </row>
    <row r="3221" spans="5:5" s="4" customFormat="1" hidden="1" x14ac:dyDescent="0.5">
      <c r="E3221" s="108"/>
    </row>
    <row r="3222" spans="5:5" s="4" customFormat="1" hidden="1" x14ac:dyDescent="0.5">
      <c r="E3222" s="108"/>
    </row>
    <row r="3223" spans="5:5" s="4" customFormat="1" hidden="1" x14ac:dyDescent="0.5">
      <c r="E3223" s="108"/>
    </row>
    <row r="3224" spans="5:5" s="4" customFormat="1" hidden="1" x14ac:dyDescent="0.5">
      <c r="E3224" s="108"/>
    </row>
    <row r="3225" spans="5:5" s="4" customFormat="1" hidden="1" x14ac:dyDescent="0.5">
      <c r="E3225" s="108"/>
    </row>
    <row r="3226" spans="5:5" s="4" customFormat="1" hidden="1" x14ac:dyDescent="0.5">
      <c r="E3226" s="108"/>
    </row>
    <row r="3227" spans="5:5" s="4" customFormat="1" hidden="1" x14ac:dyDescent="0.5">
      <c r="E3227" s="108"/>
    </row>
    <row r="3228" spans="5:5" s="4" customFormat="1" hidden="1" x14ac:dyDescent="0.5">
      <c r="E3228" s="108"/>
    </row>
    <row r="3229" spans="5:5" s="4" customFormat="1" hidden="1" x14ac:dyDescent="0.5">
      <c r="E3229" s="108"/>
    </row>
    <row r="3230" spans="5:5" s="4" customFormat="1" hidden="1" x14ac:dyDescent="0.5">
      <c r="E3230" s="108"/>
    </row>
    <row r="3231" spans="5:5" s="4" customFormat="1" hidden="1" x14ac:dyDescent="0.5">
      <c r="E3231" s="108"/>
    </row>
    <row r="3232" spans="5:5" s="4" customFormat="1" hidden="1" x14ac:dyDescent="0.5">
      <c r="E3232" s="108"/>
    </row>
    <row r="3233" spans="5:5" s="4" customFormat="1" hidden="1" x14ac:dyDescent="0.5">
      <c r="E3233" s="108"/>
    </row>
    <row r="3234" spans="5:5" s="4" customFormat="1" hidden="1" x14ac:dyDescent="0.5">
      <c r="E3234" s="108"/>
    </row>
    <row r="3235" spans="5:5" s="4" customFormat="1" hidden="1" x14ac:dyDescent="0.5">
      <c r="E3235" s="108"/>
    </row>
    <row r="3236" spans="5:5" s="4" customFormat="1" hidden="1" x14ac:dyDescent="0.5">
      <c r="E3236" s="108"/>
    </row>
    <row r="3237" spans="5:5" s="4" customFormat="1" hidden="1" x14ac:dyDescent="0.5">
      <c r="E3237" s="108"/>
    </row>
    <row r="3238" spans="5:5" s="4" customFormat="1" hidden="1" x14ac:dyDescent="0.5">
      <c r="E3238" s="108"/>
    </row>
    <row r="3239" spans="5:5" s="4" customFormat="1" hidden="1" x14ac:dyDescent="0.5">
      <c r="E3239" s="108"/>
    </row>
    <row r="3240" spans="5:5" s="4" customFormat="1" hidden="1" x14ac:dyDescent="0.5">
      <c r="E3240" s="108"/>
    </row>
    <row r="3241" spans="5:5" s="4" customFormat="1" hidden="1" x14ac:dyDescent="0.5">
      <c r="E3241" s="108"/>
    </row>
    <row r="3242" spans="5:5" s="4" customFormat="1" hidden="1" x14ac:dyDescent="0.5">
      <c r="E3242" s="108"/>
    </row>
    <row r="3243" spans="5:5" s="4" customFormat="1" hidden="1" x14ac:dyDescent="0.5">
      <c r="E3243" s="108"/>
    </row>
    <row r="3244" spans="5:5" s="4" customFormat="1" hidden="1" x14ac:dyDescent="0.5">
      <c r="E3244" s="108"/>
    </row>
    <row r="3245" spans="5:5" s="4" customFormat="1" hidden="1" x14ac:dyDescent="0.5">
      <c r="E3245" s="108"/>
    </row>
    <row r="3246" spans="5:5" s="4" customFormat="1" hidden="1" x14ac:dyDescent="0.5">
      <c r="E3246" s="108"/>
    </row>
    <row r="3247" spans="5:5" s="4" customFormat="1" hidden="1" x14ac:dyDescent="0.5">
      <c r="E3247" s="108"/>
    </row>
    <row r="3248" spans="5:5" s="4" customFormat="1" hidden="1" x14ac:dyDescent="0.5">
      <c r="E3248" s="108"/>
    </row>
    <row r="3249" spans="5:5" s="4" customFormat="1" hidden="1" x14ac:dyDescent="0.5">
      <c r="E3249" s="108"/>
    </row>
    <row r="3250" spans="5:5" s="4" customFormat="1" hidden="1" x14ac:dyDescent="0.5">
      <c r="E3250" s="108"/>
    </row>
    <row r="3251" spans="5:5" s="4" customFormat="1" hidden="1" x14ac:dyDescent="0.5">
      <c r="E3251" s="108"/>
    </row>
    <row r="3252" spans="5:5" s="4" customFormat="1" hidden="1" x14ac:dyDescent="0.5">
      <c r="E3252" s="108"/>
    </row>
    <row r="3253" spans="5:5" s="4" customFormat="1" hidden="1" x14ac:dyDescent="0.5">
      <c r="E3253" s="108"/>
    </row>
    <row r="3254" spans="5:5" s="4" customFormat="1" hidden="1" x14ac:dyDescent="0.5">
      <c r="E3254" s="108"/>
    </row>
    <row r="3255" spans="5:5" s="4" customFormat="1" hidden="1" x14ac:dyDescent="0.5">
      <c r="E3255" s="108"/>
    </row>
    <row r="3256" spans="5:5" s="4" customFormat="1" hidden="1" x14ac:dyDescent="0.5">
      <c r="E3256" s="108"/>
    </row>
    <row r="3257" spans="5:5" s="4" customFormat="1" hidden="1" x14ac:dyDescent="0.5">
      <c r="E3257" s="108"/>
    </row>
    <row r="3258" spans="5:5" s="4" customFormat="1" hidden="1" x14ac:dyDescent="0.5">
      <c r="E3258" s="108"/>
    </row>
    <row r="3259" spans="5:5" s="4" customFormat="1" hidden="1" x14ac:dyDescent="0.5">
      <c r="E3259" s="108"/>
    </row>
    <row r="3260" spans="5:5" s="4" customFormat="1" hidden="1" x14ac:dyDescent="0.5">
      <c r="E3260" s="108"/>
    </row>
    <row r="3261" spans="5:5" s="4" customFormat="1" hidden="1" x14ac:dyDescent="0.5">
      <c r="E3261" s="108"/>
    </row>
    <row r="3262" spans="5:5" s="4" customFormat="1" hidden="1" x14ac:dyDescent="0.5">
      <c r="E3262" s="108"/>
    </row>
    <row r="3263" spans="5:5" s="4" customFormat="1" hidden="1" x14ac:dyDescent="0.5">
      <c r="E3263" s="108"/>
    </row>
    <row r="3264" spans="5:5" s="4" customFormat="1" hidden="1" x14ac:dyDescent="0.5">
      <c r="E3264" s="108"/>
    </row>
    <row r="3265" spans="5:5" s="4" customFormat="1" hidden="1" x14ac:dyDescent="0.5">
      <c r="E3265" s="108"/>
    </row>
    <row r="3266" spans="5:5" s="4" customFormat="1" hidden="1" x14ac:dyDescent="0.5">
      <c r="E3266" s="108"/>
    </row>
    <row r="3267" spans="5:5" s="4" customFormat="1" hidden="1" x14ac:dyDescent="0.5">
      <c r="E3267" s="108"/>
    </row>
    <row r="3268" spans="5:5" s="4" customFormat="1" hidden="1" x14ac:dyDescent="0.5">
      <c r="E3268" s="108"/>
    </row>
    <row r="3269" spans="5:5" s="4" customFormat="1" hidden="1" x14ac:dyDescent="0.5">
      <c r="E3269" s="108"/>
    </row>
    <row r="3270" spans="5:5" s="4" customFormat="1" hidden="1" x14ac:dyDescent="0.5">
      <c r="E3270" s="108"/>
    </row>
    <row r="3271" spans="5:5" s="4" customFormat="1" hidden="1" x14ac:dyDescent="0.5">
      <c r="E3271" s="108"/>
    </row>
    <row r="3272" spans="5:5" s="4" customFormat="1" hidden="1" x14ac:dyDescent="0.5">
      <c r="E3272" s="108"/>
    </row>
    <row r="3273" spans="5:5" s="4" customFormat="1" hidden="1" x14ac:dyDescent="0.5">
      <c r="E3273" s="108"/>
    </row>
    <row r="3274" spans="5:5" s="4" customFormat="1" hidden="1" x14ac:dyDescent="0.5">
      <c r="E3274" s="108"/>
    </row>
    <row r="3275" spans="5:5" s="4" customFormat="1" hidden="1" x14ac:dyDescent="0.5">
      <c r="E3275" s="108"/>
    </row>
    <row r="3276" spans="5:5" s="4" customFormat="1" hidden="1" x14ac:dyDescent="0.5">
      <c r="E3276" s="108"/>
    </row>
    <row r="3277" spans="5:5" s="4" customFormat="1" hidden="1" x14ac:dyDescent="0.5">
      <c r="E3277" s="108"/>
    </row>
    <row r="3278" spans="5:5" s="4" customFormat="1" hidden="1" x14ac:dyDescent="0.5">
      <c r="E3278" s="108"/>
    </row>
    <row r="3279" spans="5:5" s="4" customFormat="1" hidden="1" x14ac:dyDescent="0.5">
      <c r="E3279" s="108"/>
    </row>
    <row r="3280" spans="5:5" s="4" customFormat="1" hidden="1" x14ac:dyDescent="0.5">
      <c r="E3280" s="108"/>
    </row>
    <row r="3281" spans="5:5" s="4" customFormat="1" hidden="1" x14ac:dyDescent="0.5">
      <c r="E3281" s="108"/>
    </row>
    <row r="3282" spans="5:5" s="4" customFormat="1" hidden="1" x14ac:dyDescent="0.5">
      <c r="E3282" s="108"/>
    </row>
    <row r="3283" spans="5:5" s="4" customFormat="1" hidden="1" x14ac:dyDescent="0.5">
      <c r="E3283" s="108"/>
    </row>
    <row r="3284" spans="5:5" s="4" customFormat="1" hidden="1" x14ac:dyDescent="0.5">
      <c r="E3284" s="108"/>
    </row>
    <row r="3285" spans="5:5" s="4" customFormat="1" hidden="1" x14ac:dyDescent="0.5">
      <c r="E3285" s="108"/>
    </row>
    <row r="3286" spans="5:5" s="4" customFormat="1" hidden="1" x14ac:dyDescent="0.5">
      <c r="E3286" s="108"/>
    </row>
    <row r="3287" spans="5:5" s="4" customFormat="1" hidden="1" x14ac:dyDescent="0.5">
      <c r="E3287" s="108"/>
    </row>
    <row r="3288" spans="5:5" s="4" customFormat="1" hidden="1" x14ac:dyDescent="0.5">
      <c r="E3288" s="108"/>
    </row>
    <row r="3289" spans="5:5" s="4" customFormat="1" hidden="1" x14ac:dyDescent="0.5">
      <c r="E3289" s="108"/>
    </row>
    <row r="3290" spans="5:5" s="4" customFormat="1" hidden="1" x14ac:dyDescent="0.5">
      <c r="E3290" s="108"/>
    </row>
    <row r="3291" spans="5:5" s="4" customFormat="1" hidden="1" x14ac:dyDescent="0.5">
      <c r="E3291" s="108"/>
    </row>
    <row r="3292" spans="5:5" s="4" customFormat="1" hidden="1" x14ac:dyDescent="0.5">
      <c r="E3292" s="108"/>
    </row>
    <row r="3293" spans="5:5" s="4" customFormat="1" hidden="1" x14ac:dyDescent="0.5">
      <c r="E3293" s="108"/>
    </row>
    <row r="3294" spans="5:5" s="4" customFormat="1" hidden="1" x14ac:dyDescent="0.5">
      <c r="E3294" s="108"/>
    </row>
    <row r="3295" spans="5:5" s="4" customFormat="1" hidden="1" x14ac:dyDescent="0.5">
      <c r="E3295" s="108"/>
    </row>
    <row r="3296" spans="5:5" s="4" customFormat="1" hidden="1" x14ac:dyDescent="0.5">
      <c r="E3296" s="108"/>
    </row>
    <row r="3297" spans="5:5" s="4" customFormat="1" hidden="1" x14ac:dyDescent="0.5">
      <c r="E3297" s="108"/>
    </row>
    <row r="3298" spans="5:5" s="4" customFormat="1" hidden="1" x14ac:dyDescent="0.5">
      <c r="E3298" s="108"/>
    </row>
    <row r="3299" spans="5:5" s="4" customFormat="1" hidden="1" x14ac:dyDescent="0.5">
      <c r="E3299" s="108"/>
    </row>
    <row r="3300" spans="5:5" s="4" customFormat="1" hidden="1" x14ac:dyDescent="0.5">
      <c r="E3300" s="108"/>
    </row>
    <row r="3301" spans="5:5" s="4" customFormat="1" hidden="1" x14ac:dyDescent="0.5">
      <c r="E3301" s="108"/>
    </row>
    <row r="3302" spans="5:5" s="4" customFormat="1" hidden="1" x14ac:dyDescent="0.5">
      <c r="E3302" s="108"/>
    </row>
    <row r="3303" spans="5:5" s="4" customFormat="1" hidden="1" x14ac:dyDescent="0.5">
      <c r="E3303" s="108"/>
    </row>
    <row r="3304" spans="5:5" s="4" customFormat="1" hidden="1" x14ac:dyDescent="0.5">
      <c r="E3304" s="108"/>
    </row>
    <row r="3305" spans="5:5" s="4" customFormat="1" hidden="1" x14ac:dyDescent="0.5">
      <c r="E3305" s="108"/>
    </row>
    <row r="3306" spans="5:5" s="4" customFormat="1" hidden="1" x14ac:dyDescent="0.5">
      <c r="E3306" s="108"/>
    </row>
    <row r="3307" spans="5:5" s="4" customFormat="1" hidden="1" x14ac:dyDescent="0.5">
      <c r="E3307" s="108"/>
    </row>
    <row r="3308" spans="5:5" s="4" customFormat="1" hidden="1" x14ac:dyDescent="0.5">
      <c r="E3308" s="108"/>
    </row>
    <row r="3309" spans="5:5" s="4" customFormat="1" hidden="1" x14ac:dyDescent="0.5">
      <c r="E3309" s="108"/>
    </row>
    <row r="3310" spans="5:5" s="4" customFormat="1" hidden="1" x14ac:dyDescent="0.5">
      <c r="E3310" s="108"/>
    </row>
    <row r="3311" spans="5:5" s="4" customFormat="1" hidden="1" x14ac:dyDescent="0.5">
      <c r="E3311" s="108"/>
    </row>
    <row r="3312" spans="5:5" s="4" customFormat="1" hidden="1" x14ac:dyDescent="0.5">
      <c r="E3312" s="108"/>
    </row>
    <row r="3313" spans="5:5" s="4" customFormat="1" hidden="1" x14ac:dyDescent="0.5">
      <c r="E3313" s="108"/>
    </row>
    <row r="3314" spans="5:5" s="4" customFormat="1" hidden="1" x14ac:dyDescent="0.5">
      <c r="E3314" s="108"/>
    </row>
    <row r="3315" spans="5:5" s="4" customFormat="1" hidden="1" x14ac:dyDescent="0.5">
      <c r="E3315" s="108"/>
    </row>
    <row r="3316" spans="5:5" s="4" customFormat="1" hidden="1" x14ac:dyDescent="0.5">
      <c r="E3316" s="108"/>
    </row>
    <row r="3317" spans="5:5" s="4" customFormat="1" hidden="1" x14ac:dyDescent="0.5">
      <c r="E3317" s="108"/>
    </row>
    <row r="3318" spans="5:5" s="4" customFormat="1" hidden="1" x14ac:dyDescent="0.5">
      <c r="E3318" s="108"/>
    </row>
    <row r="3319" spans="5:5" s="4" customFormat="1" hidden="1" x14ac:dyDescent="0.5">
      <c r="E3319" s="108"/>
    </row>
    <row r="3320" spans="5:5" s="4" customFormat="1" hidden="1" x14ac:dyDescent="0.5">
      <c r="E3320" s="108"/>
    </row>
    <row r="3321" spans="5:5" s="4" customFormat="1" hidden="1" x14ac:dyDescent="0.5">
      <c r="E3321" s="108"/>
    </row>
    <row r="3322" spans="5:5" s="4" customFormat="1" hidden="1" x14ac:dyDescent="0.5">
      <c r="E3322" s="108"/>
    </row>
    <row r="3323" spans="5:5" s="4" customFormat="1" hidden="1" x14ac:dyDescent="0.5">
      <c r="E3323" s="108"/>
    </row>
    <row r="3324" spans="5:5" s="4" customFormat="1" hidden="1" x14ac:dyDescent="0.5">
      <c r="E3324" s="108"/>
    </row>
    <row r="3325" spans="5:5" s="4" customFormat="1" hidden="1" x14ac:dyDescent="0.5">
      <c r="E3325" s="108"/>
    </row>
    <row r="3326" spans="5:5" s="4" customFormat="1" hidden="1" x14ac:dyDescent="0.5">
      <c r="E3326" s="108"/>
    </row>
    <row r="3327" spans="5:5" s="4" customFormat="1" hidden="1" x14ac:dyDescent="0.5">
      <c r="E3327" s="108"/>
    </row>
    <row r="3328" spans="5:5" s="4" customFormat="1" hidden="1" x14ac:dyDescent="0.5">
      <c r="E3328" s="108"/>
    </row>
    <row r="3329" spans="5:5" s="4" customFormat="1" hidden="1" x14ac:dyDescent="0.5">
      <c r="E3329" s="108"/>
    </row>
    <row r="3330" spans="5:5" s="4" customFormat="1" hidden="1" x14ac:dyDescent="0.5">
      <c r="E3330" s="108"/>
    </row>
    <row r="3331" spans="5:5" s="4" customFormat="1" hidden="1" x14ac:dyDescent="0.5">
      <c r="E3331" s="108"/>
    </row>
    <row r="3332" spans="5:5" s="4" customFormat="1" hidden="1" x14ac:dyDescent="0.5">
      <c r="E3332" s="108"/>
    </row>
    <row r="3333" spans="5:5" s="4" customFormat="1" hidden="1" x14ac:dyDescent="0.5">
      <c r="E3333" s="108"/>
    </row>
    <row r="3334" spans="5:5" s="4" customFormat="1" hidden="1" x14ac:dyDescent="0.5">
      <c r="E3334" s="108"/>
    </row>
    <row r="3335" spans="5:5" s="4" customFormat="1" hidden="1" x14ac:dyDescent="0.5">
      <c r="E3335" s="108"/>
    </row>
    <row r="3336" spans="5:5" s="4" customFormat="1" hidden="1" x14ac:dyDescent="0.5">
      <c r="E3336" s="108"/>
    </row>
    <row r="3337" spans="5:5" s="4" customFormat="1" hidden="1" x14ac:dyDescent="0.5">
      <c r="E3337" s="108"/>
    </row>
    <row r="3338" spans="5:5" s="4" customFormat="1" hidden="1" x14ac:dyDescent="0.5">
      <c r="E3338" s="108"/>
    </row>
    <row r="3339" spans="5:5" s="4" customFormat="1" hidden="1" x14ac:dyDescent="0.5">
      <c r="E3339" s="108"/>
    </row>
    <row r="3340" spans="5:5" s="4" customFormat="1" hidden="1" x14ac:dyDescent="0.5">
      <c r="E3340" s="108"/>
    </row>
    <row r="3341" spans="5:5" s="4" customFormat="1" hidden="1" x14ac:dyDescent="0.5">
      <c r="E3341" s="108"/>
    </row>
    <row r="3342" spans="5:5" s="4" customFormat="1" hidden="1" x14ac:dyDescent="0.5">
      <c r="E3342" s="108"/>
    </row>
    <row r="3343" spans="5:5" s="4" customFormat="1" hidden="1" x14ac:dyDescent="0.5">
      <c r="E3343" s="108"/>
    </row>
    <row r="3344" spans="5:5" s="4" customFormat="1" hidden="1" x14ac:dyDescent="0.5">
      <c r="E3344" s="108"/>
    </row>
    <row r="3345" spans="5:5" s="4" customFormat="1" hidden="1" x14ac:dyDescent="0.5">
      <c r="E3345" s="108"/>
    </row>
    <row r="3346" spans="5:5" s="4" customFormat="1" hidden="1" x14ac:dyDescent="0.5">
      <c r="E3346" s="108"/>
    </row>
    <row r="3347" spans="5:5" s="4" customFormat="1" hidden="1" x14ac:dyDescent="0.5">
      <c r="E3347" s="108"/>
    </row>
    <row r="3348" spans="5:5" s="4" customFormat="1" hidden="1" x14ac:dyDescent="0.5">
      <c r="E3348" s="108"/>
    </row>
    <row r="3349" spans="5:5" s="4" customFormat="1" hidden="1" x14ac:dyDescent="0.5">
      <c r="E3349" s="108"/>
    </row>
    <row r="3350" spans="5:5" s="4" customFormat="1" hidden="1" x14ac:dyDescent="0.5">
      <c r="E3350" s="108"/>
    </row>
    <row r="3351" spans="5:5" s="4" customFormat="1" hidden="1" x14ac:dyDescent="0.5">
      <c r="E3351" s="108"/>
    </row>
    <row r="3352" spans="5:5" s="4" customFormat="1" hidden="1" x14ac:dyDescent="0.5">
      <c r="E3352" s="108"/>
    </row>
    <row r="3353" spans="5:5" s="4" customFormat="1" hidden="1" x14ac:dyDescent="0.5">
      <c r="E3353" s="108"/>
    </row>
    <row r="3354" spans="5:5" s="4" customFormat="1" hidden="1" x14ac:dyDescent="0.5">
      <c r="E3354" s="108"/>
    </row>
    <row r="3355" spans="5:5" s="4" customFormat="1" hidden="1" x14ac:dyDescent="0.5">
      <c r="E3355" s="108"/>
    </row>
    <row r="3356" spans="5:5" s="4" customFormat="1" hidden="1" x14ac:dyDescent="0.5">
      <c r="E3356" s="108"/>
    </row>
    <row r="3357" spans="5:5" s="4" customFormat="1" hidden="1" x14ac:dyDescent="0.5">
      <c r="E3357" s="108"/>
    </row>
    <row r="3358" spans="5:5" s="4" customFormat="1" hidden="1" x14ac:dyDescent="0.5">
      <c r="E3358" s="108"/>
    </row>
    <row r="3359" spans="5:5" s="4" customFormat="1" hidden="1" x14ac:dyDescent="0.5">
      <c r="E3359" s="108"/>
    </row>
    <row r="3360" spans="5:5" s="4" customFormat="1" hidden="1" x14ac:dyDescent="0.5">
      <c r="E3360" s="108"/>
    </row>
    <row r="3361" spans="5:5" s="4" customFormat="1" hidden="1" x14ac:dyDescent="0.5">
      <c r="E3361" s="108"/>
    </row>
    <row r="3362" spans="5:5" s="4" customFormat="1" hidden="1" x14ac:dyDescent="0.5">
      <c r="E3362" s="108"/>
    </row>
    <row r="3363" spans="5:5" s="4" customFormat="1" hidden="1" x14ac:dyDescent="0.5">
      <c r="E3363" s="108"/>
    </row>
    <row r="3364" spans="5:5" s="4" customFormat="1" hidden="1" x14ac:dyDescent="0.5">
      <c r="E3364" s="108"/>
    </row>
    <row r="3365" spans="5:5" s="4" customFormat="1" hidden="1" x14ac:dyDescent="0.5">
      <c r="E3365" s="108"/>
    </row>
    <row r="3366" spans="5:5" s="4" customFormat="1" hidden="1" x14ac:dyDescent="0.5">
      <c r="E3366" s="108"/>
    </row>
    <row r="3367" spans="5:5" s="4" customFormat="1" hidden="1" x14ac:dyDescent="0.5">
      <c r="E3367" s="108"/>
    </row>
    <row r="3368" spans="5:5" s="4" customFormat="1" hidden="1" x14ac:dyDescent="0.5">
      <c r="E3368" s="108"/>
    </row>
    <row r="3369" spans="5:5" s="4" customFormat="1" hidden="1" x14ac:dyDescent="0.5">
      <c r="E3369" s="108"/>
    </row>
    <row r="3370" spans="5:5" s="4" customFormat="1" hidden="1" x14ac:dyDescent="0.5">
      <c r="E3370" s="108"/>
    </row>
    <row r="3371" spans="5:5" s="4" customFormat="1" hidden="1" x14ac:dyDescent="0.5">
      <c r="E3371" s="108"/>
    </row>
    <row r="3372" spans="5:5" s="4" customFormat="1" hidden="1" x14ac:dyDescent="0.5">
      <c r="E3372" s="108"/>
    </row>
    <row r="3373" spans="5:5" s="4" customFormat="1" hidden="1" x14ac:dyDescent="0.5">
      <c r="E3373" s="108"/>
    </row>
    <row r="3374" spans="5:5" s="4" customFormat="1" hidden="1" x14ac:dyDescent="0.5">
      <c r="E3374" s="108"/>
    </row>
    <row r="3375" spans="5:5" s="4" customFormat="1" hidden="1" x14ac:dyDescent="0.5">
      <c r="E3375" s="108"/>
    </row>
    <row r="3376" spans="5:5" s="4" customFormat="1" hidden="1" x14ac:dyDescent="0.5">
      <c r="E3376" s="108"/>
    </row>
    <row r="3377" spans="5:5" s="4" customFormat="1" hidden="1" x14ac:dyDescent="0.5">
      <c r="E3377" s="108"/>
    </row>
    <row r="3378" spans="5:5" s="4" customFormat="1" hidden="1" x14ac:dyDescent="0.5">
      <c r="E3378" s="108"/>
    </row>
    <row r="3379" spans="5:5" s="4" customFormat="1" hidden="1" x14ac:dyDescent="0.5">
      <c r="E3379" s="108"/>
    </row>
    <row r="3380" spans="5:5" s="4" customFormat="1" hidden="1" x14ac:dyDescent="0.5">
      <c r="E3380" s="108"/>
    </row>
    <row r="3381" spans="5:5" s="4" customFormat="1" hidden="1" x14ac:dyDescent="0.5">
      <c r="E3381" s="108"/>
    </row>
    <row r="3382" spans="5:5" s="4" customFormat="1" hidden="1" x14ac:dyDescent="0.5">
      <c r="E3382" s="108"/>
    </row>
    <row r="3383" spans="5:5" s="4" customFormat="1" hidden="1" x14ac:dyDescent="0.5">
      <c r="E3383" s="108"/>
    </row>
    <row r="3384" spans="5:5" s="4" customFormat="1" hidden="1" x14ac:dyDescent="0.5">
      <c r="E3384" s="108"/>
    </row>
    <row r="3385" spans="5:5" s="4" customFormat="1" hidden="1" x14ac:dyDescent="0.5">
      <c r="E3385" s="108"/>
    </row>
    <row r="3386" spans="5:5" s="4" customFormat="1" hidden="1" x14ac:dyDescent="0.5">
      <c r="E3386" s="108"/>
    </row>
    <row r="3387" spans="5:5" s="4" customFormat="1" hidden="1" x14ac:dyDescent="0.5">
      <c r="E3387" s="108"/>
    </row>
    <row r="3388" spans="5:5" s="4" customFormat="1" hidden="1" x14ac:dyDescent="0.5">
      <c r="E3388" s="108"/>
    </row>
    <row r="3389" spans="5:5" s="4" customFormat="1" hidden="1" x14ac:dyDescent="0.5">
      <c r="E3389" s="108"/>
    </row>
    <row r="3390" spans="5:5" s="4" customFormat="1" hidden="1" x14ac:dyDescent="0.5">
      <c r="E3390" s="108"/>
    </row>
    <row r="3391" spans="5:5" s="4" customFormat="1" hidden="1" x14ac:dyDescent="0.5">
      <c r="E3391" s="108"/>
    </row>
    <row r="3392" spans="5:5" s="4" customFormat="1" hidden="1" x14ac:dyDescent="0.5">
      <c r="E3392" s="108"/>
    </row>
    <row r="3393" spans="5:5" s="4" customFormat="1" hidden="1" x14ac:dyDescent="0.5">
      <c r="E3393" s="108"/>
    </row>
    <row r="3394" spans="5:5" s="4" customFormat="1" hidden="1" x14ac:dyDescent="0.5">
      <c r="E3394" s="108"/>
    </row>
    <row r="3395" spans="5:5" s="4" customFormat="1" hidden="1" x14ac:dyDescent="0.5">
      <c r="E3395" s="108"/>
    </row>
    <row r="3396" spans="5:5" s="4" customFormat="1" hidden="1" x14ac:dyDescent="0.5">
      <c r="E3396" s="108"/>
    </row>
    <row r="3397" spans="5:5" s="4" customFormat="1" hidden="1" x14ac:dyDescent="0.5">
      <c r="E3397" s="108"/>
    </row>
    <row r="3398" spans="5:5" s="4" customFormat="1" hidden="1" x14ac:dyDescent="0.5">
      <c r="E3398" s="108"/>
    </row>
    <row r="3399" spans="5:5" s="4" customFormat="1" hidden="1" x14ac:dyDescent="0.5">
      <c r="E3399" s="108"/>
    </row>
    <row r="3400" spans="5:5" s="4" customFormat="1" hidden="1" x14ac:dyDescent="0.5">
      <c r="E3400" s="108"/>
    </row>
    <row r="3401" spans="5:5" s="4" customFormat="1" hidden="1" x14ac:dyDescent="0.5">
      <c r="E3401" s="108"/>
    </row>
    <row r="3402" spans="5:5" s="4" customFormat="1" hidden="1" x14ac:dyDescent="0.5">
      <c r="E3402" s="108"/>
    </row>
    <row r="3403" spans="5:5" s="4" customFormat="1" hidden="1" x14ac:dyDescent="0.5">
      <c r="E3403" s="108"/>
    </row>
    <row r="3404" spans="5:5" s="4" customFormat="1" hidden="1" x14ac:dyDescent="0.5">
      <c r="E3404" s="108"/>
    </row>
    <row r="3405" spans="5:5" s="4" customFormat="1" hidden="1" x14ac:dyDescent="0.5">
      <c r="E3405" s="108"/>
    </row>
    <row r="3406" spans="5:5" s="4" customFormat="1" hidden="1" x14ac:dyDescent="0.5">
      <c r="E3406" s="108"/>
    </row>
    <row r="3407" spans="5:5" s="4" customFormat="1" hidden="1" x14ac:dyDescent="0.5">
      <c r="E3407" s="108"/>
    </row>
    <row r="3408" spans="5:5" s="4" customFormat="1" hidden="1" x14ac:dyDescent="0.5">
      <c r="E3408" s="108"/>
    </row>
    <row r="3409" spans="5:5" s="4" customFormat="1" hidden="1" x14ac:dyDescent="0.5">
      <c r="E3409" s="108"/>
    </row>
    <row r="3410" spans="5:5" s="4" customFormat="1" hidden="1" x14ac:dyDescent="0.5">
      <c r="E3410" s="108"/>
    </row>
    <row r="3411" spans="5:5" s="4" customFormat="1" hidden="1" x14ac:dyDescent="0.5">
      <c r="E3411" s="108"/>
    </row>
    <row r="3412" spans="5:5" s="4" customFormat="1" hidden="1" x14ac:dyDescent="0.5">
      <c r="E3412" s="108"/>
    </row>
    <row r="3413" spans="5:5" s="4" customFormat="1" hidden="1" x14ac:dyDescent="0.5">
      <c r="E3413" s="108"/>
    </row>
    <row r="3414" spans="5:5" s="4" customFormat="1" hidden="1" x14ac:dyDescent="0.5">
      <c r="E3414" s="108"/>
    </row>
    <row r="3415" spans="5:5" s="4" customFormat="1" hidden="1" x14ac:dyDescent="0.5">
      <c r="E3415" s="108"/>
    </row>
    <row r="3416" spans="5:5" s="4" customFormat="1" hidden="1" x14ac:dyDescent="0.5">
      <c r="E3416" s="108"/>
    </row>
    <row r="3417" spans="5:5" s="4" customFormat="1" hidden="1" x14ac:dyDescent="0.5">
      <c r="E3417" s="108"/>
    </row>
    <row r="3418" spans="5:5" s="4" customFormat="1" hidden="1" x14ac:dyDescent="0.5">
      <c r="E3418" s="108"/>
    </row>
    <row r="3419" spans="5:5" s="4" customFormat="1" hidden="1" x14ac:dyDescent="0.5">
      <c r="E3419" s="108"/>
    </row>
    <row r="3420" spans="5:5" s="4" customFormat="1" hidden="1" x14ac:dyDescent="0.5">
      <c r="E3420" s="108"/>
    </row>
    <row r="3421" spans="5:5" s="4" customFormat="1" hidden="1" x14ac:dyDescent="0.5">
      <c r="E3421" s="108"/>
    </row>
    <row r="3422" spans="5:5" s="4" customFormat="1" hidden="1" x14ac:dyDescent="0.5">
      <c r="E3422" s="108"/>
    </row>
    <row r="3423" spans="5:5" s="4" customFormat="1" hidden="1" x14ac:dyDescent="0.5">
      <c r="E3423" s="108"/>
    </row>
    <row r="3424" spans="5:5" s="4" customFormat="1" hidden="1" x14ac:dyDescent="0.5">
      <c r="E3424" s="108"/>
    </row>
    <row r="3425" spans="5:5" s="4" customFormat="1" hidden="1" x14ac:dyDescent="0.5">
      <c r="E3425" s="108"/>
    </row>
    <row r="3426" spans="5:5" s="4" customFormat="1" hidden="1" x14ac:dyDescent="0.5">
      <c r="E3426" s="108"/>
    </row>
    <row r="3427" spans="5:5" s="4" customFormat="1" hidden="1" x14ac:dyDescent="0.5">
      <c r="E3427" s="108"/>
    </row>
    <row r="3428" spans="5:5" s="4" customFormat="1" hidden="1" x14ac:dyDescent="0.5">
      <c r="E3428" s="108"/>
    </row>
    <row r="3429" spans="5:5" s="4" customFormat="1" hidden="1" x14ac:dyDescent="0.5">
      <c r="E3429" s="108"/>
    </row>
    <row r="3430" spans="5:5" s="4" customFormat="1" hidden="1" x14ac:dyDescent="0.5">
      <c r="E3430" s="108"/>
    </row>
    <row r="3431" spans="5:5" s="4" customFormat="1" hidden="1" x14ac:dyDescent="0.5">
      <c r="E3431" s="108"/>
    </row>
    <row r="3432" spans="5:5" s="4" customFormat="1" hidden="1" x14ac:dyDescent="0.5">
      <c r="E3432" s="108"/>
    </row>
    <row r="3433" spans="5:5" s="4" customFormat="1" hidden="1" x14ac:dyDescent="0.5">
      <c r="E3433" s="108"/>
    </row>
    <row r="3434" spans="5:5" s="4" customFormat="1" hidden="1" x14ac:dyDescent="0.5">
      <c r="E3434" s="108"/>
    </row>
    <row r="3435" spans="5:5" s="4" customFormat="1" hidden="1" x14ac:dyDescent="0.5">
      <c r="E3435" s="108"/>
    </row>
    <row r="3436" spans="5:5" s="4" customFormat="1" hidden="1" x14ac:dyDescent="0.5">
      <c r="E3436" s="108"/>
    </row>
    <row r="3437" spans="5:5" s="4" customFormat="1" hidden="1" x14ac:dyDescent="0.5">
      <c r="E3437" s="108"/>
    </row>
    <row r="3438" spans="5:5" s="4" customFormat="1" hidden="1" x14ac:dyDescent="0.5">
      <c r="E3438" s="108"/>
    </row>
    <row r="3439" spans="5:5" s="4" customFormat="1" hidden="1" x14ac:dyDescent="0.5">
      <c r="E3439" s="108"/>
    </row>
    <row r="3440" spans="5:5" s="4" customFormat="1" hidden="1" x14ac:dyDescent="0.5">
      <c r="E3440" s="108"/>
    </row>
    <row r="3441" spans="5:5" s="4" customFormat="1" hidden="1" x14ac:dyDescent="0.5">
      <c r="E3441" s="108"/>
    </row>
    <row r="3442" spans="5:5" s="4" customFormat="1" hidden="1" x14ac:dyDescent="0.5">
      <c r="E3442" s="108"/>
    </row>
    <row r="3443" spans="5:5" s="4" customFormat="1" hidden="1" x14ac:dyDescent="0.5">
      <c r="E3443" s="108"/>
    </row>
    <row r="3444" spans="5:5" s="4" customFormat="1" hidden="1" x14ac:dyDescent="0.5">
      <c r="E3444" s="108"/>
    </row>
    <row r="3445" spans="5:5" s="4" customFormat="1" hidden="1" x14ac:dyDescent="0.5">
      <c r="E3445" s="108"/>
    </row>
    <row r="3446" spans="5:5" s="4" customFormat="1" hidden="1" x14ac:dyDescent="0.5">
      <c r="E3446" s="108"/>
    </row>
    <row r="3447" spans="5:5" s="4" customFormat="1" hidden="1" x14ac:dyDescent="0.5">
      <c r="E3447" s="108"/>
    </row>
    <row r="3448" spans="5:5" s="4" customFormat="1" hidden="1" x14ac:dyDescent="0.5">
      <c r="E3448" s="108"/>
    </row>
    <row r="3449" spans="5:5" s="4" customFormat="1" hidden="1" x14ac:dyDescent="0.5">
      <c r="E3449" s="108"/>
    </row>
    <row r="3450" spans="5:5" s="4" customFormat="1" hidden="1" x14ac:dyDescent="0.5">
      <c r="E3450" s="108"/>
    </row>
    <row r="3451" spans="5:5" s="4" customFormat="1" hidden="1" x14ac:dyDescent="0.5">
      <c r="E3451" s="108"/>
    </row>
    <row r="3452" spans="5:5" s="4" customFormat="1" hidden="1" x14ac:dyDescent="0.5">
      <c r="E3452" s="108"/>
    </row>
    <row r="3453" spans="5:5" s="4" customFormat="1" hidden="1" x14ac:dyDescent="0.5">
      <c r="E3453" s="108"/>
    </row>
    <row r="3454" spans="5:5" s="4" customFormat="1" hidden="1" x14ac:dyDescent="0.5">
      <c r="E3454" s="108"/>
    </row>
    <row r="3455" spans="5:5" s="4" customFormat="1" hidden="1" x14ac:dyDescent="0.5">
      <c r="E3455" s="108"/>
    </row>
    <row r="3456" spans="5:5" s="4" customFormat="1" hidden="1" x14ac:dyDescent="0.5">
      <c r="E3456" s="108"/>
    </row>
    <row r="3457" spans="5:5" s="4" customFormat="1" hidden="1" x14ac:dyDescent="0.5">
      <c r="E3457" s="108"/>
    </row>
    <row r="3458" spans="5:5" s="4" customFormat="1" hidden="1" x14ac:dyDescent="0.5">
      <c r="E3458" s="108"/>
    </row>
    <row r="3459" spans="5:5" s="4" customFormat="1" hidden="1" x14ac:dyDescent="0.5">
      <c r="E3459" s="108"/>
    </row>
    <row r="3460" spans="5:5" s="4" customFormat="1" hidden="1" x14ac:dyDescent="0.5">
      <c r="E3460" s="108"/>
    </row>
    <row r="3461" spans="5:5" s="4" customFormat="1" hidden="1" x14ac:dyDescent="0.5">
      <c r="E3461" s="108"/>
    </row>
    <row r="3462" spans="5:5" s="4" customFormat="1" hidden="1" x14ac:dyDescent="0.5">
      <c r="E3462" s="108"/>
    </row>
    <row r="3463" spans="5:5" s="4" customFormat="1" hidden="1" x14ac:dyDescent="0.5">
      <c r="E3463" s="108"/>
    </row>
    <row r="3464" spans="5:5" s="4" customFormat="1" hidden="1" x14ac:dyDescent="0.5">
      <c r="E3464" s="108"/>
    </row>
    <row r="3465" spans="5:5" s="4" customFormat="1" hidden="1" x14ac:dyDescent="0.5">
      <c r="E3465" s="108"/>
    </row>
    <row r="3466" spans="5:5" s="4" customFormat="1" hidden="1" x14ac:dyDescent="0.5">
      <c r="E3466" s="108"/>
    </row>
    <row r="3467" spans="5:5" s="4" customFormat="1" hidden="1" x14ac:dyDescent="0.5">
      <c r="E3467" s="108"/>
    </row>
    <row r="3468" spans="5:5" s="4" customFormat="1" hidden="1" x14ac:dyDescent="0.5">
      <c r="E3468" s="108"/>
    </row>
    <row r="3469" spans="5:5" s="4" customFormat="1" hidden="1" x14ac:dyDescent="0.5">
      <c r="E3469" s="108"/>
    </row>
    <row r="3470" spans="5:5" s="4" customFormat="1" hidden="1" x14ac:dyDescent="0.5">
      <c r="E3470" s="108"/>
    </row>
    <row r="3471" spans="5:5" s="4" customFormat="1" hidden="1" x14ac:dyDescent="0.5">
      <c r="E3471" s="108"/>
    </row>
    <row r="3472" spans="5:5" s="4" customFormat="1" hidden="1" x14ac:dyDescent="0.5">
      <c r="E3472" s="108"/>
    </row>
    <row r="3473" spans="5:5" s="4" customFormat="1" hidden="1" x14ac:dyDescent="0.5">
      <c r="E3473" s="108"/>
    </row>
    <row r="3474" spans="5:5" s="4" customFormat="1" hidden="1" x14ac:dyDescent="0.5">
      <c r="E3474" s="108"/>
    </row>
    <row r="3475" spans="5:5" s="4" customFormat="1" hidden="1" x14ac:dyDescent="0.5">
      <c r="E3475" s="108"/>
    </row>
    <row r="3476" spans="5:5" s="4" customFormat="1" hidden="1" x14ac:dyDescent="0.5">
      <c r="E3476" s="108"/>
    </row>
    <row r="3477" spans="5:5" s="4" customFormat="1" hidden="1" x14ac:dyDescent="0.5">
      <c r="E3477" s="108"/>
    </row>
    <row r="3478" spans="5:5" s="4" customFormat="1" hidden="1" x14ac:dyDescent="0.5">
      <c r="E3478" s="108"/>
    </row>
    <row r="3479" spans="5:5" s="4" customFormat="1" hidden="1" x14ac:dyDescent="0.5">
      <c r="E3479" s="108"/>
    </row>
    <row r="3480" spans="5:5" s="4" customFormat="1" hidden="1" x14ac:dyDescent="0.5">
      <c r="E3480" s="108"/>
    </row>
    <row r="3481" spans="5:5" s="4" customFormat="1" hidden="1" x14ac:dyDescent="0.5">
      <c r="E3481" s="108"/>
    </row>
    <row r="3482" spans="5:5" s="4" customFormat="1" hidden="1" x14ac:dyDescent="0.5">
      <c r="E3482" s="108"/>
    </row>
    <row r="3483" spans="5:5" s="4" customFormat="1" hidden="1" x14ac:dyDescent="0.5">
      <c r="E3483" s="108"/>
    </row>
    <row r="3484" spans="5:5" s="4" customFormat="1" hidden="1" x14ac:dyDescent="0.5">
      <c r="E3484" s="108"/>
    </row>
    <row r="3485" spans="5:5" s="4" customFormat="1" hidden="1" x14ac:dyDescent="0.5">
      <c r="E3485" s="108"/>
    </row>
    <row r="3486" spans="5:5" s="4" customFormat="1" hidden="1" x14ac:dyDescent="0.5">
      <c r="E3486" s="108"/>
    </row>
    <row r="3487" spans="5:5" s="4" customFormat="1" hidden="1" x14ac:dyDescent="0.5">
      <c r="E3487" s="108"/>
    </row>
    <row r="3488" spans="5:5" s="4" customFormat="1" hidden="1" x14ac:dyDescent="0.5">
      <c r="E3488" s="108"/>
    </row>
    <row r="3489" spans="5:5" s="4" customFormat="1" hidden="1" x14ac:dyDescent="0.5">
      <c r="E3489" s="108"/>
    </row>
    <row r="3490" spans="5:5" s="4" customFormat="1" hidden="1" x14ac:dyDescent="0.5">
      <c r="E3490" s="108"/>
    </row>
    <row r="3491" spans="5:5" s="4" customFormat="1" hidden="1" x14ac:dyDescent="0.5">
      <c r="E3491" s="108"/>
    </row>
    <row r="3492" spans="5:5" s="4" customFormat="1" hidden="1" x14ac:dyDescent="0.5">
      <c r="E3492" s="108"/>
    </row>
    <row r="3493" spans="5:5" s="4" customFormat="1" hidden="1" x14ac:dyDescent="0.5">
      <c r="E3493" s="108"/>
    </row>
    <row r="3494" spans="5:5" s="4" customFormat="1" hidden="1" x14ac:dyDescent="0.5">
      <c r="E3494" s="108"/>
    </row>
    <row r="3495" spans="5:5" s="4" customFormat="1" hidden="1" x14ac:dyDescent="0.5">
      <c r="E3495" s="108"/>
    </row>
    <row r="3496" spans="5:5" s="4" customFormat="1" hidden="1" x14ac:dyDescent="0.5">
      <c r="E3496" s="108"/>
    </row>
    <row r="3497" spans="5:5" s="4" customFormat="1" hidden="1" x14ac:dyDescent="0.5">
      <c r="E3497" s="108"/>
    </row>
    <row r="3498" spans="5:5" s="4" customFormat="1" hidden="1" x14ac:dyDescent="0.5">
      <c r="E3498" s="108"/>
    </row>
    <row r="3499" spans="5:5" s="4" customFormat="1" hidden="1" x14ac:dyDescent="0.5">
      <c r="E3499" s="108"/>
    </row>
    <row r="3500" spans="5:5" s="4" customFormat="1" hidden="1" x14ac:dyDescent="0.5">
      <c r="E3500" s="108"/>
    </row>
    <row r="3501" spans="5:5" s="4" customFormat="1" hidden="1" x14ac:dyDescent="0.5">
      <c r="E3501" s="108"/>
    </row>
    <row r="3502" spans="5:5" s="4" customFormat="1" hidden="1" x14ac:dyDescent="0.5">
      <c r="E3502" s="108"/>
    </row>
    <row r="3503" spans="5:5" s="4" customFormat="1" hidden="1" x14ac:dyDescent="0.5">
      <c r="E3503" s="108"/>
    </row>
    <row r="3504" spans="5:5" s="4" customFormat="1" hidden="1" x14ac:dyDescent="0.5">
      <c r="E3504" s="108"/>
    </row>
    <row r="3505" spans="5:5" s="4" customFormat="1" hidden="1" x14ac:dyDescent="0.5">
      <c r="E3505" s="108"/>
    </row>
    <row r="3506" spans="5:5" s="4" customFormat="1" hidden="1" x14ac:dyDescent="0.5">
      <c r="E3506" s="108"/>
    </row>
    <row r="3507" spans="5:5" s="4" customFormat="1" hidden="1" x14ac:dyDescent="0.5">
      <c r="E3507" s="108"/>
    </row>
    <row r="3508" spans="5:5" s="4" customFormat="1" hidden="1" x14ac:dyDescent="0.5">
      <c r="E3508" s="108"/>
    </row>
    <row r="3509" spans="5:5" s="4" customFormat="1" hidden="1" x14ac:dyDescent="0.5">
      <c r="E3509" s="108"/>
    </row>
    <row r="3510" spans="5:5" s="4" customFormat="1" hidden="1" x14ac:dyDescent="0.5">
      <c r="E3510" s="108"/>
    </row>
    <row r="3511" spans="5:5" s="4" customFormat="1" hidden="1" x14ac:dyDescent="0.5">
      <c r="E3511" s="108"/>
    </row>
    <row r="3512" spans="5:5" s="4" customFormat="1" hidden="1" x14ac:dyDescent="0.5">
      <c r="E3512" s="108"/>
    </row>
    <row r="3513" spans="5:5" s="4" customFormat="1" hidden="1" x14ac:dyDescent="0.5">
      <c r="E3513" s="108"/>
    </row>
    <row r="3514" spans="5:5" s="4" customFormat="1" hidden="1" x14ac:dyDescent="0.5">
      <c r="E3514" s="108"/>
    </row>
    <row r="3515" spans="5:5" s="4" customFormat="1" hidden="1" x14ac:dyDescent="0.5">
      <c r="E3515" s="108"/>
    </row>
    <row r="3516" spans="5:5" s="4" customFormat="1" hidden="1" x14ac:dyDescent="0.5">
      <c r="E3516" s="108"/>
    </row>
    <row r="3517" spans="5:5" s="4" customFormat="1" hidden="1" x14ac:dyDescent="0.5">
      <c r="E3517" s="108"/>
    </row>
    <row r="3518" spans="5:5" s="4" customFormat="1" hidden="1" x14ac:dyDescent="0.5">
      <c r="E3518" s="108"/>
    </row>
    <row r="3519" spans="5:5" s="4" customFormat="1" hidden="1" x14ac:dyDescent="0.5">
      <c r="E3519" s="108"/>
    </row>
    <row r="3520" spans="5:5" s="4" customFormat="1" hidden="1" x14ac:dyDescent="0.5">
      <c r="E3520" s="108"/>
    </row>
    <row r="3521" spans="5:5" s="4" customFormat="1" hidden="1" x14ac:dyDescent="0.5">
      <c r="E3521" s="108"/>
    </row>
    <row r="3522" spans="5:5" s="4" customFormat="1" hidden="1" x14ac:dyDescent="0.5">
      <c r="E3522" s="108"/>
    </row>
    <row r="3523" spans="5:5" s="4" customFormat="1" hidden="1" x14ac:dyDescent="0.5">
      <c r="E3523" s="108"/>
    </row>
    <row r="3524" spans="5:5" s="4" customFormat="1" hidden="1" x14ac:dyDescent="0.5">
      <c r="E3524" s="108"/>
    </row>
    <row r="3525" spans="5:5" s="4" customFormat="1" hidden="1" x14ac:dyDescent="0.5">
      <c r="E3525" s="108"/>
    </row>
    <row r="3526" spans="5:5" s="4" customFormat="1" hidden="1" x14ac:dyDescent="0.5">
      <c r="E3526" s="108"/>
    </row>
    <row r="3527" spans="5:5" s="4" customFormat="1" hidden="1" x14ac:dyDescent="0.5">
      <c r="E3527" s="108"/>
    </row>
    <row r="3528" spans="5:5" s="4" customFormat="1" hidden="1" x14ac:dyDescent="0.5">
      <c r="E3528" s="108"/>
    </row>
    <row r="3529" spans="5:5" s="4" customFormat="1" hidden="1" x14ac:dyDescent="0.5">
      <c r="E3529" s="108"/>
    </row>
    <row r="3530" spans="5:5" s="4" customFormat="1" hidden="1" x14ac:dyDescent="0.5">
      <c r="E3530" s="108"/>
    </row>
    <row r="3531" spans="5:5" s="4" customFormat="1" hidden="1" x14ac:dyDescent="0.5">
      <c r="E3531" s="108"/>
    </row>
    <row r="3532" spans="5:5" s="4" customFormat="1" hidden="1" x14ac:dyDescent="0.5">
      <c r="E3532" s="108"/>
    </row>
    <row r="3533" spans="5:5" s="4" customFormat="1" hidden="1" x14ac:dyDescent="0.5">
      <c r="E3533" s="108"/>
    </row>
    <row r="3534" spans="5:5" s="4" customFormat="1" hidden="1" x14ac:dyDescent="0.5">
      <c r="E3534" s="108"/>
    </row>
    <row r="3535" spans="5:5" s="4" customFormat="1" hidden="1" x14ac:dyDescent="0.5">
      <c r="E3535" s="108"/>
    </row>
    <row r="3536" spans="5:5" s="4" customFormat="1" hidden="1" x14ac:dyDescent="0.5">
      <c r="E3536" s="108"/>
    </row>
    <row r="3537" spans="5:5" s="4" customFormat="1" hidden="1" x14ac:dyDescent="0.5">
      <c r="E3537" s="108"/>
    </row>
    <row r="3538" spans="5:5" s="4" customFormat="1" hidden="1" x14ac:dyDescent="0.5">
      <c r="E3538" s="108"/>
    </row>
    <row r="3539" spans="5:5" s="4" customFormat="1" hidden="1" x14ac:dyDescent="0.5">
      <c r="E3539" s="108"/>
    </row>
    <row r="3540" spans="5:5" s="4" customFormat="1" hidden="1" x14ac:dyDescent="0.5">
      <c r="E3540" s="108"/>
    </row>
    <row r="3541" spans="5:5" s="4" customFormat="1" hidden="1" x14ac:dyDescent="0.5">
      <c r="E3541" s="108"/>
    </row>
    <row r="3542" spans="5:5" s="4" customFormat="1" hidden="1" x14ac:dyDescent="0.5">
      <c r="E3542" s="108"/>
    </row>
    <row r="3543" spans="5:5" s="4" customFormat="1" hidden="1" x14ac:dyDescent="0.5">
      <c r="E3543" s="108"/>
    </row>
    <row r="3544" spans="5:5" s="4" customFormat="1" hidden="1" x14ac:dyDescent="0.5">
      <c r="E3544" s="108"/>
    </row>
    <row r="3545" spans="5:5" s="4" customFormat="1" hidden="1" x14ac:dyDescent="0.5">
      <c r="E3545" s="108"/>
    </row>
    <row r="3546" spans="5:5" s="4" customFormat="1" hidden="1" x14ac:dyDescent="0.5">
      <c r="E3546" s="108"/>
    </row>
    <row r="3547" spans="5:5" s="4" customFormat="1" hidden="1" x14ac:dyDescent="0.5">
      <c r="E3547" s="108"/>
    </row>
    <row r="3548" spans="5:5" s="4" customFormat="1" hidden="1" x14ac:dyDescent="0.5">
      <c r="E3548" s="108"/>
    </row>
    <row r="3549" spans="5:5" s="4" customFormat="1" hidden="1" x14ac:dyDescent="0.5">
      <c r="E3549" s="108"/>
    </row>
    <row r="3550" spans="5:5" s="4" customFormat="1" hidden="1" x14ac:dyDescent="0.5">
      <c r="E3550" s="108"/>
    </row>
    <row r="3551" spans="5:5" s="4" customFormat="1" hidden="1" x14ac:dyDescent="0.5">
      <c r="E3551" s="108"/>
    </row>
    <row r="3552" spans="5:5" s="4" customFormat="1" hidden="1" x14ac:dyDescent="0.5">
      <c r="E3552" s="108"/>
    </row>
    <row r="3553" spans="5:5" s="4" customFormat="1" hidden="1" x14ac:dyDescent="0.5">
      <c r="E3553" s="108"/>
    </row>
    <row r="3554" spans="5:5" s="4" customFormat="1" hidden="1" x14ac:dyDescent="0.5">
      <c r="E3554" s="108"/>
    </row>
    <row r="3555" spans="5:5" s="4" customFormat="1" hidden="1" x14ac:dyDescent="0.5">
      <c r="E3555" s="108"/>
    </row>
    <row r="3556" spans="5:5" s="4" customFormat="1" hidden="1" x14ac:dyDescent="0.5">
      <c r="E3556" s="108"/>
    </row>
    <row r="3557" spans="5:5" s="4" customFormat="1" hidden="1" x14ac:dyDescent="0.5">
      <c r="E3557" s="108"/>
    </row>
    <row r="3558" spans="5:5" s="4" customFormat="1" hidden="1" x14ac:dyDescent="0.5">
      <c r="E3558" s="108"/>
    </row>
    <row r="3559" spans="5:5" s="4" customFormat="1" hidden="1" x14ac:dyDescent="0.5">
      <c r="E3559" s="108"/>
    </row>
    <row r="3560" spans="5:5" s="4" customFormat="1" hidden="1" x14ac:dyDescent="0.5">
      <c r="E3560" s="108"/>
    </row>
    <row r="3561" spans="5:5" s="4" customFormat="1" hidden="1" x14ac:dyDescent="0.5">
      <c r="E3561" s="108"/>
    </row>
    <row r="3562" spans="5:5" s="4" customFormat="1" hidden="1" x14ac:dyDescent="0.5">
      <c r="E3562" s="108"/>
    </row>
    <row r="3563" spans="5:5" s="4" customFormat="1" hidden="1" x14ac:dyDescent="0.5">
      <c r="E3563" s="108"/>
    </row>
    <row r="3564" spans="5:5" s="4" customFormat="1" hidden="1" x14ac:dyDescent="0.5">
      <c r="E3564" s="108"/>
    </row>
    <row r="3565" spans="5:5" s="4" customFormat="1" hidden="1" x14ac:dyDescent="0.5">
      <c r="E3565" s="108"/>
    </row>
    <row r="3566" spans="5:5" s="4" customFormat="1" hidden="1" x14ac:dyDescent="0.5">
      <c r="E3566" s="108"/>
    </row>
    <row r="3567" spans="5:5" s="4" customFormat="1" hidden="1" x14ac:dyDescent="0.5">
      <c r="E3567" s="108"/>
    </row>
    <row r="3568" spans="5:5" s="4" customFormat="1" hidden="1" x14ac:dyDescent="0.5">
      <c r="E3568" s="108"/>
    </row>
    <row r="3569" spans="5:5" s="4" customFormat="1" hidden="1" x14ac:dyDescent="0.5">
      <c r="E3569" s="108"/>
    </row>
    <row r="3570" spans="5:5" s="4" customFormat="1" hidden="1" x14ac:dyDescent="0.5">
      <c r="E3570" s="108"/>
    </row>
    <row r="3571" spans="5:5" s="4" customFormat="1" hidden="1" x14ac:dyDescent="0.5">
      <c r="E3571" s="108"/>
    </row>
    <row r="3572" spans="5:5" s="4" customFormat="1" hidden="1" x14ac:dyDescent="0.5">
      <c r="E3572" s="108"/>
    </row>
    <row r="3573" spans="5:5" s="4" customFormat="1" hidden="1" x14ac:dyDescent="0.5">
      <c r="E3573" s="108"/>
    </row>
    <row r="3574" spans="5:5" s="4" customFormat="1" hidden="1" x14ac:dyDescent="0.5">
      <c r="E3574" s="108"/>
    </row>
    <row r="3575" spans="5:5" s="4" customFormat="1" hidden="1" x14ac:dyDescent="0.5">
      <c r="E3575" s="108"/>
    </row>
    <row r="3576" spans="5:5" s="4" customFormat="1" hidden="1" x14ac:dyDescent="0.5">
      <c r="E3576" s="108"/>
    </row>
    <row r="3577" spans="5:5" s="4" customFormat="1" hidden="1" x14ac:dyDescent="0.5">
      <c r="E3577" s="108"/>
    </row>
    <row r="3578" spans="5:5" s="4" customFormat="1" hidden="1" x14ac:dyDescent="0.5">
      <c r="E3578" s="108"/>
    </row>
    <row r="3579" spans="5:5" s="4" customFormat="1" hidden="1" x14ac:dyDescent="0.5">
      <c r="E3579" s="108"/>
    </row>
    <row r="3580" spans="5:5" s="4" customFormat="1" hidden="1" x14ac:dyDescent="0.5">
      <c r="E3580" s="108"/>
    </row>
    <row r="3581" spans="5:5" s="4" customFormat="1" hidden="1" x14ac:dyDescent="0.5">
      <c r="E3581" s="108"/>
    </row>
    <row r="3582" spans="5:5" s="4" customFormat="1" hidden="1" x14ac:dyDescent="0.5">
      <c r="E3582" s="108"/>
    </row>
    <row r="3583" spans="5:5" s="4" customFormat="1" hidden="1" x14ac:dyDescent="0.5">
      <c r="E3583" s="108"/>
    </row>
    <row r="3584" spans="5:5" s="4" customFormat="1" hidden="1" x14ac:dyDescent="0.5">
      <c r="E3584" s="108"/>
    </row>
    <row r="3585" spans="5:5" s="4" customFormat="1" hidden="1" x14ac:dyDescent="0.5">
      <c r="E3585" s="108"/>
    </row>
    <row r="3586" spans="5:5" s="4" customFormat="1" hidden="1" x14ac:dyDescent="0.5">
      <c r="E3586" s="108"/>
    </row>
    <row r="3587" spans="5:5" s="4" customFormat="1" hidden="1" x14ac:dyDescent="0.5">
      <c r="E3587" s="108"/>
    </row>
    <row r="3588" spans="5:5" s="4" customFormat="1" hidden="1" x14ac:dyDescent="0.5">
      <c r="E3588" s="108"/>
    </row>
    <row r="3589" spans="5:5" s="4" customFormat="1" hidden="1" x14ac:dyDescent="0.5">
      <c r="E3589" s="108"/>
    </row>
    <row r="3590" spans="5:5" s="4" customFormat="1" hidden="1" x14ac:dyDescent="0.5">
      <c r="E3590" s="108"/>
    </row>
    <row r="3591" spans="5:5" s="4" customFormat="1" hidden="1" x14ac:dyDescent="0.5">
      <c r="E3591" s="108"/>
    </row>
    <row r="3592" spans="5:5" s="4" customFormat="1" hidden="1" x14ac:dyDescent="0.5">
      <c r="E3592" s="108"/>
    </row>
    <row r="3593" spans="5:5" s="4" customFormat="1" hidden="1" x14ac:dyDescent="0.5">
      <c r="E3593" s="108"/>
    </row>
    <row r="3594" spans="5:5" s="4" customFormat="1" hidden="1" x14ac:dyDescent="0.5">
      <c r="E3594" s="108"/>
    </row>
    <row r="3595" spans="5:5" s="4" customFormat="1" hidden="1" x14ac:dyDescent="0.5">
      <c r="E3595" s="108"/>
    </row>
    <row r="3596" spans="5:5" s="4" customFormat="1" hidden="1" x14ac:dyDescent="0.5">
      <c r="E3596" s="108"/>
    </row>
    <row r="3597" spans="5:5" s="4" customFormat="1" hidden="1" x14ac:dyDescent="0.5">
      <c r="E3597" s="108"/>
    </row>
    <row r="3598" spans="5:5" s="4" customFormat="1" hidden="1" x14ac:dyDescent="0.5">
      <c r="E3598" s="108"/>
    </row>
    <row r="3599" spans="5:5" s="4" customFormat="1" hidden="1" x14ac:dyDescent="0.5">
      <c r="E3599" s="108"/>
    </row>
    <row r="3600" spans="5:5" s="4" customFormat="1" hidden="1" x14ac:dyDescent="0.5">
      <c r="E3600" s="108"/>
    </row>
    <row r="3601" spans="5:5" s="4" customFormat="1" hidden="1" x14ac:dyDescent="0.5">
      <c r="E3601" s="108"/>
    </row>
    <row r="3602" spans="5:5" s="4" customFormat="1" hidden="1" x14ac:dyDescent="0.5">
      <c r="E3602" s="108"/>
    </row>
    <row r="3603" spans="5:5" s="4" customFormat="1" hidden="1" x14ac:dyDescent="0.5">
      <c r="E3603" s="108"/>
    </row>
    <row r="3604" spans="5:5" s="4" customFormat="1" hidden="1" x14ac:dyDescent="0.5">
      <c r="E3604" s="108"/>
    </row>
    <row r="3605" spans="5:5" s="4" customFormat="1" hidden="1" x14ac:dyDescent="0.5">
      <c r="E3605" s="108"/>
    </row>
    <row r="3606" spans="5:5" s="4" customFormat="1" hidden="1" x14ac:dyDescent="0.5">
      <c r="E3606" s="108"/>
    </row>
    <row r="3607" spans="5:5" s="4" customFormat="1" hidden="1" x14ac:dyDescent="0.5">
      <c r="E3607" s="108"/>
    </row>
    <row r="3608" spans="5:5" s="4" customFormat="1" hidden="1" x14ac:dyDescent="0.5">
      <c r="E3608" s="108"/>
    </row>
    <row r="3609" spans="5:5" s="4" customFormat="1" hidden="1" x14ac:dyDescent="0.5">
      <c r="E3609" s="108"/>
    </row>
    <row r="3610" spans="5:5" s="4" customFormat="1" hidden="1" x14ac:dyDescent="0.5">
      <c r="E3610" s="108"/>
    </row>
    <row r="3611" spans="5:5" s="4" customFormat="1" hidden="1" x14ac:dyDescent="0.5">
      <c r="E3611" s="108"/>
    </row>
    <row r="3612" spans="5:5" s="4" customFormat="1" hidden="1" x14ac:dyDescent="0.5">
      <c r="E3612" s="108"/>
    </row>
    <row r="3613" spans="5:5" s="4" customFormat="1" hidden="1" x14ac:dyDescent="0.5">
      <c r="E3613" s="108"/>
    </row>
    <row r="3614" spans="5:5" s="4" customFormat="1" hidden="1" x14ac:dyDescent="0.5">
      <c r="E3614" s="108"/>
    </row>
    <row r="3615" spans="5:5" s="4" customFormat="1" hidden="1" x14ac:dyDescent="0.5">
      <c r="E3615" s="108"/>
    </row>
    <row r="3616" spans="5:5" s="4" customFormat="1" hidden="1" x14ac:dyDescent="0.5">
      <c r="E3616" s="108"/>
    </row>
    <row r="3617" spans="5:5" s="4" customFormat="1" hidden="1" x14ac:dyDescent="0.5">
      <c r="E3617" s="108"/>
    </row>
    <row r="3618" spans="5:5" s="4" customFormat="1" hidden="1" x14ac:dyDescent="0.5">
      <c r="E3618" s="108"/>
    </row>
    <row r="3619" spans="5:5" s="4" customFormat="1" hidden="1" x14ac:dyDescent="0.5">
      <c r="E3619" s="108"/>
    </row>
    <row r="3620" spans="5:5" s="4" customFormat="1" hidden="1" x14ac:dyDescent="0.5">
      <c r="E3620" s="108"/>
    </row>
    <row r="3621" spans="5:5" s="4" customFormat="1" hidden="1" x14ac:dyDescent="0.5">
      <c r="E3621" s="108"/>
    </row>
    <row r="3622" spans="5:5" s="4" customFormat="1" hidden="1" x14ac:dyDescent="0.5">
      <c r="E3622" s="108"/>
    </row>
    <row r="3623" spans="5:5" s="4" customFormat="1" hidden="1" x14ac:dyDescent="0.5">
      <c r="E3623" s="108"/>
    </row>
    <row r="3624" spans="5:5" s="4" customFormat="1" hidden="1" x14ac:dyDescent="0.5">
      <c r="E3624" s="108"/>
    </row>
    <row r="3625" spans="5:5" s="4" customFormat="1" hidden="1" x14ac:dyDescent="0.5">
      <c r="E3625" s="108"/>
    </row>
    <row r="3626" spans="5:5" s="4" customFormat="1" hidden="1" x14ac:dyDescent="0.5">
      <c r="E3626" s="108"/>
    </row>
    <row r="3627" spans="5:5" s="4" customFormat="1" hidden="1" x14ac:dyDescent="0.5">
      <c r="E3627" s="108"/>
    </row>
    <row r="3628" spans="5:5" s="4" customFormat="1" hidden="1" x14ac:dyDescent="0.5">
      <c r="E3628" s="108"/>
    </row>
    <row r="3629" spans="5:5" s="4" customFormat="1" hidden="1" x14ac:dyDescent="0.5">
      <c r="E3629" s="108"/>
    </row>
    <row r="3630" spans="5:5" s="4" customFormat="1" hidden="1" x14ac:dyDescent="0.5">
      <c r="E3630" s="108"/>
    </row>
    <row r="3631" spans="5:5" s="4" customFormat="1" hidden="1" x14ac:dyDescent="0.5">
      <c r="E3631" s="108"/>
    </row>
    <row r="3632" spans="5:5" s="4" customFormat="1" hidden="1" x14ac:dyDescent="0.5">
      <c r="E3632" s="108"/>
    </row>
    <row r="3633" spans="5:5" s="4" customFormat="1" hidden="1" x14ac:dyDescent="0.5">
      <c r="E3633" s="108"/>
    </row>
    <row r="3634" spans="5:5" s="4" customFormat="1" hidden="1" x14ac:dyDescent="0.5">
      <c r="E3634" s="108"/>
    </row>
    <row r="3635" spans="5:5" s="4" customFormat="1" hidden="1" x14ac:dyDescent="0.5">
      <c r="E3635" s="108"/>
    </row>
    <row r="3636" spans="5:5" s="4" customFormat="1" hidden="1" x14ac:dyDescent="0.5">
      <c r="E3636" s="108"/>
    </row>
    <row r="3637" spans="5:5" s="4" customFormat="1" hidden="1" x14ac:dyDescent="0.5">
      <c r="E3637" s="108"/>
    </row>
    <row r="3638" spans="5:5" s="4" customFormat="1" hidden="1" x14ac:dyDescent="0.5">
      <c r="E3638" s="108"/>
    </row>
    <row r="3639" spans="5:5" s="4" customFormat="1" hidden="1" x14ac:dyDescent="0.5">
      <c r="E3639" s="108"/>
    </row>
    <row r="3640" spans="5:5" s="4" customFormat="1" hidden="1" x14ac:dyDescent="0.5">
      <c r="E3640" s="108"/>
    </row>
    <row r="3641" spans="5:5" s="4" customFormat="1" hidden="1" x14ac:dyDescent="0.5">
      <c r="E3641" s="108"/>
    </row>
    <row r="3642" spans="5:5" s="4" customFormat="1" hidden="1" x14ac:dyDescent="0.5">
      <c r="E3642" s="108"/>
    </row>
    <row r="3643" spans="5:5" s="4" customFormat="1" hidden="1" x14ac:dyDescent="0.5">
      <c r="E3643" s="108"/>
    </row>
    <row r="3644" spans="5:5" s="4" customFormat="1" hidden="1" x14ac:dyDescent="0.5">
      <c r="E3644" s="108"/>
    </row>
    <row r="3645" spans="5:5" s="4" customFormat="1" hidden="1" x14ac:dyDescent="0.5">
      <c r="E3645" s="108"/>
    </row>
    <row r="3646" spans="5:5" s="4" customFormat="1" hidden="1" x14ac:dyDescent="0.5">
      <c r="E3646" s="108"/>
    </row>
    <row r="3647" spans="5:5" s="4" customFormat="1" hidden="1" x14ac:dyDescent="0.5">
      <c r="E3647" s="108"/>
    </row>
    <row r="3648" spans="5:5" s="4" customFormat="1" hidden="1" x14ac:dyDescent="0.5">
      <c r="E3648" s="108"/>
    </row>
    <row r="3649" spans="5:5" s="4" customFormat="1" hidden="1" x14ac:dyDescent="0.5">
      <c r="E3649" s="108"/>
    </row>
    <row r="3650" spans="5:5" s="4" customFormat="1" hidden="1" x14ac:dyDescent="0.5">
      <c r="E3650" s="108"/>
    </row>
    <row r="3651" spans="5:5" s="4" customFormat="1" hidden="1" x14ac:dyDescent="0.5">
      <c r="E3651" s="108"/>
    </row>
    <row r="3652" spans="5:5" s="4" customFormat="1" hidden="1" x14ac:dyDescent="0.5">
      <c r="E3652" s="108"/>
    </row>
    <row r="3653" spans="5:5" s="4" customFormat="1" hidden="1" x14ac:dyDescent="0.5">
      <c r="E3653" s="108"/>
    </row>
    <row r="3654" spans="5:5" s="4" customFormat="1" hidden="1" x14ac:dyDescent="0.5">
      <c r="E3654" s="108"/>
    </row>
    <row r="3655" spans="5:5" s="4" customFormat="1" hidden="1" x14ac:dyDescent="0.5">
      <c r="E3655" s="108"/>
    </row>
    <row r="3656" spans="5:5" s="4" customFormat="1" hidden="1" x14ac:dyDescent="0.5">
      <c r="E3656" s="108"/>
    </row>
    <row r="3657" spans="5:5" s="4" customFormat="1" hidden="1" x14ac:dyDescent="0.5">
      <c r="E3657" s="108"/>
    </row>
    <row r="3658" spans="5:5" s="4" customFormat="1" hidden="1" x14ac:dyDescent="0.5">
      <c r="E3658" s="108"/>
    </row>
    <row r="3659" spans="5:5" s="4" customFormat="1" hidden="1" x14ac:dyDescent="0.5">
      <c r="E3659" s="108"/>
    </row>
    <row r="3660" spans="5:5" s="4" customFormat="1" hidden="1" x14ac:dyDescent="0.5">
      <c r="E3660" s="108"/>
    </row>
    <row r="3661" spans="5:5" s="4" customFormat="1" hidden="1" x14ac:dyDescent="0.5">
      <c r="E3661" s="108"/>
    </row>
    <row r="3662" spans="5:5" s="4" customFormat="1" hidden="1" x14ac:dyDescent="0.5">
      <c r="E3662" s="108"/>
    </row>
    <row r="3663" spans="5:5" s="4" customFormat="1" hidden="1" x14ac:dyDescent="0.5">
      <c r="E3663" s="108"/>
    </row>
    <row r="3664" spans="5:5" s="4" customFormat="1" hidden="1" x14ac:dyDescent="0.5">
      <c r="E3664" s="108"/>
    </row>
    <row r="3665" spans="5:5" s="4" customFormat="1" hidden="1" x14ac:dyDescent="0.5">
      <c r="E3665" s="108"/>
    </row>
    <row r="3666" spans="5:5" s="4" customFormat="1" hidden="1" x14ac:dyDescent="0.5">
      <c r="E3666" s="108"/>
    </row>
    <row r="3667" spans="5:5" s="4" customFormat="1" hidden="1" x14ac:dyDescent="0.5">
      <c r="E3667" s="108"/>
    </row>
    <row r="3668" spans="5:5" s="4" customFormat="1" hidden="1" x14ac:dyDescent="0.5">
      <c r="E3668" s="108"/>
    </row>
    <row r="3669" spans="5:5" s="4" customFormat="1" hidden="1" x14ac:dyDescent="0.5">
      <c r="E3669" s="108"/>
    </row>
    <row r="3670" spans="5:5" s="4" customFormat="1" hidden="1" x14ac:dyDescent="0.5">
      <c r="E3670" s="108"/>
    </row>
    <row r="3671" spans="5:5" s="4" customFormat="1" hidden="1" x14ac:dyDescent="0.5">
      <c r="E3671" s="108"/>
    </row>
    <row r="3672" spans="5:5" s="4" customFormat="1" hidden="1" x14ac:dyDescent="0.5">
      <c r="E3672" s="108"/>
    </row>
    <row r="3673" spans="5:5" s="4" customFormat="1" hidden="1" x14ac:dyDescent="0.5">
      <c r="E3673" s="108"/>
    </row>
    <row r="3674" spans="5:5" s="4" customFormat="1" hidden="1" x14ac:dyDescent="0.5">
      <c r="E3674" s="108"/>
    </row>
    <row r="3675" spans="5:5" s="4" customFormat="1" hidden="1" x14ac:dyDescent="0.5">
      <c r="E3675" s="108"/>
    </row>
    <row r="3676" spans="5:5" s="4" customFormat="1" hidden="1" x14ac:dyDescent="0.5">
      <c r="E3676" s="108"/>
    </row>
    <row r="3677" spans="5:5" s="4" customFormat="1" hidden="1" x14ac:dyDescent="0.5">
      <c r="E3677" s="108"/>
    </row>
    <row r="3678" spans="5:5" s="4" customFormat="1" hidden="1" x14ac:dyDescent="0.5">
      <c r="E3678" s="108"/>
    </row>
    <row r="3679" spans="5:5" s="4" customFormat="1" hidden="1" x14ac:dyDescent="0.5">
      <c r="E3679" s="108"/>
    </row>
    <row r="3680" spans="5:5" s="4" customFormat="1" hidden="1" x14ac:dyDescent="0.5">
      <c r="E3680" s="108"/>
    </row>
    <row r="3681" spans="5:5" s="4" customFormat="1" hidden="1" x14ac:dyDescent="0.5">
      <c r="E3681" s="108"/>
    </row>
    <row r="3682" spans="5:5" s="4" customFormat="1" hidden="1" x14ac:dyDescent="0.5">
      <c r="E3682" s="108"/>
    </row>
    <row r="3683" spans="5:5" s="4" customFormat="1" hidden="1" x14ac:dyDescent="0.5">
      <c r="E3683" s="108"/>
    </row>
    <row r="3684" spans="5:5" s="4" customFormat="1" hidden="1" x14ac:dyDescent="0.5">
      <c r="E3684" s="108"/>
    </row>
    <row r="3685" spans="5:5" s="4" customFormat="1" hidden="1" x14ac:dyDescent="0.5">
      <c r="E3685" s="108"/>
    </row>
    <row r="3686" spans="5:5" s="4" customFormat="1" hidden="1" x14ac:dyDescent="0.5">
      <c r="E3686" s="108"/>
    </row>
    <row r="3687" spans="5:5" s="4" customFormat="1" hidden="1" x14ac:dyDescent="0.5">
      <c r="E3687" s="108"/>
    </row>
    <row r="3688" spans="5:5" s="4" customFormat="1" hidden="1" x14ac:dyDescent="0.5">
      <c r="E3688" s="108"/>
    </row>
    <row r="3689" spans="5:5" s="4" customFormat="1" hidden="1" x14ac:dyDescent="0.5">
      <c r="E3689" s="108"/>
    </row>
    <row r="3690" spans="5:5" s="4" customFormat="1" hidden="1" x14ac:dyDescent="0.5">
      <c r="E3690" s="108"/>
    </row>
    <row r="3691" spans="5:5" s="4" customFormat="1" hidden="1" x14ac:dyDescent="0.5">
      <c r="E3691" s="108"/>
    </row>
    <row r="3692" spans="5:5" s="4" customFormat="1" hidden="1" x14ac:dyDescent="0.5">
      <c r="E3692" s="108"/>
    </row>
    <row r="3693" spans="5:5" s="4" customFormat="1" hidden="1" x14ac:dyDescent="0.5">
      <c r="E3693" s="108"/>
    </row>
    <row r="3694" spans="5:5" s="4" customFormat="1" hidden="1" x14ac:dyDescent="0.5">
      <c r="E3694" s="108"/>
    </row>
    <row r="3695" spans="5:5" s="4" customFormat="1" hidden="1" x14ac:dyDescent="0.5">
      <c r="E3695" s="108"/>
    </row>
    <row r="3696" spans="5:5" s="4" customFormat="1" hidden="1" x14ac:dyDescent="0.5">
      <c r="E3696" s="108"/>
    </row>
    <row r="3697" spans="5:5" s="4" customFormat="1" hidden="1" x14ac:dyDescent="0.5">
      <c r="E3697" s="108"/>
    </row>
    <row r="3698" spans="5:5" s="4" customFormat="1" hidden="1" x14ac:dyDescent="0.5">
      <c r="E3698" s="108"/>
    </row>
    <row r="3699" spans="5:5" s="4" customFormat="1" hidden="1" x14ac:dyDescent="0.5">
      <c r="E3699" s="108"/>
    </row>
    <row r="3700" spans="5:5" s="4" customFormat="1" hidden="1" x14ac:dyDescent="0.5">
      <c r="E3700" s="108"/>
    </row>
    <row r="3701" spans="5:5" s="4" customFormat="1" hidden="1" x14ac:dyDescent="0.5">
      <c r="E3701" s="108"/>
    </row>
    <row r="3702" spans="5:5" s="4" customFormat="1" hidden="1" x14ac:dyDescent="0.5">
      <c r="E3702" s="108"/>
    </row>
    <row r="3703" spans="5:5" s="4" customFormat="1" hidden="1" x14ac:dyDescent="0.5">
      <c r="E3703" s="108"/>
    </row>
    <row r="3704" spans="5:5" s="4" customFormat="1" hidden="1" x14ac:dyDescent="0.5">
      <c r="E3704" s="108"/>
    </row>
    <row r="3705" spans="5:5" s="4" customFormat="1" hidden="1" x14ac:dyDescent="0.5">
      <c r="E3705" s="108"/>
    </row>
    <row r="3706" spans="5:5" s="4" customFormat="1" hidden="1" x14ac:dyDescent="0.5">
      <c r="E3706" s="108"/>
    </row>
    <row r="3707" spans="5:5" s="4" customFormat="1" hidden="1" x14ac:dyDescent="0.5">
      <c r="E3707" s="108"/>
    </row>
    <row r="3708" spans="5:5" s="4" customFormat="1" hidden="1" x14ac:dyDescent="0.5">
      <c r="E3708" s="108"/>
    </row>
    <row r="3709" spans="5:5" s="4" customFormat="1" hidden="1" x14ac:dyDescent="0.5">
      <c r="E3709" s="108"/>
    </row>
    <row r="3710" spans="5:5" s="4" customFormat="1" hidden="1" x14ac:dyDescent="0.5">
      <c r="E3710" s="108"/>
    </row>
    <row r="3711" spans="5:5" s="4" customFormat="1" hidden="1" x14ac:dyDescent="0.5">
      <c r="E3711" s="108"/>
    </row>
    <row r="3712" spans="5:5" s="4" customFormat="1" hidden="1" x14ac:dyDescent="0.5">
      <c r="E3712" s="108"/>
    </row>
    <row r="3713" spans="5:5" s="4" customFormat="1" hidden="1" x14ac:dyDescent="0.5">
      <c r="E3713" s="108"/>
    </row>
    <row r="3714" spans="5:5" s="4" customFormat="1" hidden="1" x14ac:dyDescent="0.5">
      <c r="E3714" s="108"/>
    </row>
    <row r="3715" spans="5:5" s="4" customFormat="1" hidden="1" x14ac:dyDescent="0.5">
      <c r="E3715" s="108"/>
    </row>
    <row r="3716" spans="5:5" s="4" customFormat="1" hidden="1" x14ac:dyDescent="0.5">
      <c r="E3716" s="108"/>
    </row>
    <row r="3717" spans="5:5" s="4" customFormat="1" hidden="1" x14ac:dyDescent="0.5">
      <c r="E3717" s="108"/>
    </row>
    <row r="3718" spans="5:5" s="4" customFormat="1" hidden="1" x14ac:dyDescent="0.5">
      <c r="E3718" s="108"/>
    </row>
    <row r="3719" spans="5:5" s="4" customFormat="1" hidden="1" x14ac:dyDescent="0.5">
      <c r="E3719" s="108"/>
    </row>
    <row r="3720" spans="5:5" s="4" customFormat="1" hidden="1" x14ac:dyDescent="0.5">
      <c r="E3720" s="108"/>
    </row>
    <row r="3721" spans="5:5" s="4" customFormat="1" hidden="1" x14ac:dyDescent="0.5">
      <c r="E3721" s="108"/>
    </row>
    <row r="3722" spans="5:5" s="4" customFormat="1" hidden="1" x14ac:dyDescent="0.5">
      <c r="E3722" s="108"/>
    </row>
    <row r="3723" spans="5:5" s="4" customFormat="1" hidden="1" x14ac:dyDescent="0.5">
      <c r="E3723" s="108"/>
    </row>
    <row r="3724" spans="5:5" s="4" customFormat="1" hidden="1" x14ac:dyDescent="0.5">
      <c r="E3724" s="108"/>
    </row>
    <row r="3725" spans="5:5" s="4" customFormat="1" hidden="1" x14ac:dyDescent="0.5">
      <c r="E3725" s="108"/>
    </row>
    <row r="3726" spans="5:5" s="4" customFormat="1" hidden="1" x14ac:dyDescent="0.5">
      <c r="E3726" s="108"/>
    </row>
    <row r="3727" spans="5:5" s="4" customFormat="1" hidden="1" x14ac:dyDescent="0.5">
      <c r="E3727" s="108"/>
    </row>
    <row r="3728" spans="5:5" s="4" customFormat="1" hidden="1" x14ac:dyDescent="0.5">
      <c r="E3728" s="108"/>
    </row>
    <row r="3729" spans="5:5" s="4" customFormat="1" hidden="1" x14ac:dyDescent="0.5">
      <c r="E3729" s="108"/>
    </row>
    <row r="3730" spans="5:5" s="4" customFormat="1" hidden="1" x14ac:dyDescent="0.5">
      <c r="E3730" s="108"/>
    </row>
    <row r="3731" spans="5:5" s="4" customFormat="1" hidden="1" x14ac:dyDescent="0.5">
      <c r="E3731" s="108"/>
    </row>
    <row r="3732" spans="5:5" s="4" customFormat="1" hidden="1" x14ac:dyDescent="0.5">
      <c r="E3732" s="108"/>
    </row>
    <row r="3733" spans="5:5" s="4" customFormat="1" hidden="1" x14ac:dyDescent="0.5">
      <c r="E3733" s="108"/>
    </row>
    <row r="3734" spans="5:5" s="4" customFormat="1" hidden="1" x14ac:dyDescent="0.5">
      <c r="E3734" s="108"/>
    </row>
    <row r="3735" spans="5:5" s="4" customFormat="1" hidden="1" x14ac:dyDescent="0.5">
      <c r="E3735" s="108"/>
    </row>
    <row r="3736" spans="5:5" s="4" customFormat="1" hidden="1" x14ac:dyDescent="0.5">
      <c r="E3736" s="108"/>
    </row>
    <row r="3737" spans="5:5" s="4" customFormat="1" hidden="1" x14ac:dyDescent="0.5">
      <c r="E3737" s="108"/>
    </row>
    <row r="3738" spans="5:5" s="4" customFormat="1" hidden="1" x14ac:dyDescent="0.5">
      <c r="E3738" s="108"/>
    </row>
    <row r="3739" spans="5:5" s="4" customFormat="1" hidden="1" x14ac:dyDescent="0.5">
      <c r="E3739" s="108"/>
    </row>
    <row r="3740" spans="5:5" s="4" customFormat="1" hidden="1" x14ac:dyDescent="0.5">
      <c r="E3740" s="108"/>
    </row>
    <row r="3741" spans="5:5" s="4" customFormat="1" hidden="1" x14ac:dyDescent="0.5">
      <c r="E3741" s="108"/>
    </row>
    <row r="3742" spans="5:5" s="4" customFormat="1" hidden="1" x14ac:dyDescent="0.5">
      <c r="E3742" s="108"/>
    </row>
    <row r="3743" spans="5:5" s="4" customFormat="1" hidden="1" x14ac:dyDescent="0.5">
      <c r="E3743" s="108"/>
    </row>
    <row r="3744" spans="5:5" s="4" customFormat="1" hidden="1" x14ac:dyDescent="0.5">
      <c r="E3744" s="108"/>
    </row>
    <row r="3745" spans="5:5" s="4" customFormat="1" hidden="1" x14ac:dyDescent="0.5">
      <c r="E3745" s="108"/>
    </row>
    <row r="3746" spans="5:5" s="4" customFormat="1" hidden="1" x14ac:dyDescent="0.5">
      <c r="E3746" s="108"/>
    </row>
    <row r="3747" spans="5:5" s="4" customFormat="1" hidden="1" x14ac:dyDescent="0.5">
      <c r="E3747" s="108"/>
    </row>
    <row r="3748" spans="5:5" s="4" customFormat="1" hidden="1" x14ac:dyDescent="0.5">
      <c r="E3748" s="108"/>
    </row>
    <row r="3749" spans="5:5" s="4" customFormat="1" hidden="1" x14ac:dyDescent="0.5">
      <c r="E3749" s="108"/>
    </row>
    <row r="3750" spans="5:5" s="4" customFormat="1" hidden="1" x14ac:dyDescent="0.5">
      <c r="E3750" s="108"/>
    </row>
    <row r="3751" spans="5:5" s="4" customFormat="1" hidden="1" x14ac:dyDescent="0.5">
      <c r="E3751" s="108"/>
    </row>
    <row r="3752" spans="5:5" s="4" customFormat="1" hidden="1" x14ac:dyDescent="0.5">
      <c r="E3752" s="108"/>
    </row>
    <row r="3753" spans="5:5" s="4" customFormat="1" hidden="1" x14ac:dyDescent="0.5">
      <c r="E3753" s="108"/>
    </row>
    <row r="3754" spans="5:5" s="4" customFormat="1" hidden="1" x14ac:dyDescent="0.5">
      <c r="E3754" s="108"/>
    </row>
    <row r="3755" spans="5:5" s="4" customFormat="1" hidden="1" x14ac:dyDescent="0.5">
      <c r="E3755" s="108"/>
    </row>
    <row r="3756" spans="5:5" s="4" customFormat="1" hidden="1" x14ac:dyDescent="0.5">
      <c r="E3756" s="108"/>
    </row>
    <row r="3757" spans="5:5" s="4" customFormat="1" hidden="1" x14ac:dyDescent="0.5">
      <c r="E3757" s="108"/>
    </row>
    <row r="3758" spans="5:5" s="4" customFormat="1" hidden="1" x14ac:dyDescent="0.5">
      <c r="E3758" s="108"/>
    </row>
    <row r="3759" spans="5:5" s="4" customFormat="1" hidden="1" x14ac:dyDescent="0.5">
      <c r="E3759" s="108"/>
    </row>
    <row r="3760" spans="5:5" s="4" customFormat="1" hidden="1" x14ac:dyDescent="0.5">
      <c r="E3760" s="108"/>
    </row>
    <row r="3761" spans="5:5" s="4" customFormat="1" hidden="1" x14ac:dyDescent="0.5">
      <c r="E3761" s="108"/>
    </row>
    <row r="3762" spans="5:5" s="4" customFormat="1" hidden="1" x14ac:dyDescent="0.5">
      <c r="E3762" s="108"/>
    </row>
    <row r="3763" spans="5:5" s="4" customFormat="1" hidden="1" x14ac:dyDescent="0.5">
      <c r="E3763" s="108"/>
    </row>
    <row r="3764" spans="5:5" s="4" customFormat="1" hidden="1" x14ac:dyDescent="0.5">
      <c r="E3764" s="108"/>
    </row>
    <row r="3765" spans="5:5" s="4" customFormat="1" hidden="1" x14ac:dyDescent="0.5">
      <c r="E3765" s="108"/>
    </row>
    <row r="3766" spans="5:5" s="4" customFormat="1" hidden="1" x14ac:dyDescent="0.5">
      <c r="E3766" s="108"/>
    </row>
    <row r="3767" spans="5:5" s="4" customFormat="1" hidden="1" x14ac:dyDescent="0.5">
      <c r="E3767" s="108"/>
    </row>
    <row r="3768" spans="5:5" s="4" customFormat="1" hidden="1" x14ac:dyDescent="0.5">
      <c r="E3768" s="108"/>
    </row>
    <row r="3769" spans="5:5" s="4" customFormat="1" hidden="1" x14ac:dyDescent="0.5">
      <c r="E3769" s="108"/>
    </row>
    <row r="3770" spans="5:5" s="4" customFormat="1" hidden="1" x14ac:dyDescent="0.5">
      <c r="E3770" s="108"/>
    </row>
    <row r="3771" spans="5:5" s="4" customFormat="1" hidden="1" x14ac:dyDescent="0.5">
      <c r="E3771" s="108"/>
    </row>
    <row r="3772" spans="5:5" s="4" customFormat="1" hidden="1" x14ac:dyDescent="0.5">
      <c r="E3772" s="108"/>
    </row>
    <row r="3773" spans="5:5" s="4" customFormat="1" hidden="1" x14ac:dyDescent="0.5">
      <c r="E3773" s="108"/>
    </row>
    <row r="3774" spans="5:5" s="4" customFormat="1" hidden="1" x14ac:dyDescent="0.5">
      <c r="E3774" s="108"/>
    </row>
    <row r="3775" spans="5:5" s="4" customFormat="1" hidden="1" x14ac:dyDescent="0.5">
      <c r="E3775" s="108"/>
    </row>
    <row r="3776" spans="5:5" s="4" customFormat="1" hidden="1" x14ac:dyDescent="0.5">
      <c r="E3776" s="108"/>
    </row>
    <row r="3777" spans="5:5" s="4" customFormat="1" hidden="1" x14ac:dyDescent="0.5">
      <c r="E3777" s="108"/>
    </row>
    <row r="3778" spans="5:5" s="4" customFormat="1" hidden="1" x14ac:dyDescent="0.5">
      <c r="E3778" s="108"/>
    </row>
    <row r="3779" spans="5:5" s="4" customFormat="1" hidden="1" x14ac:dyDescent="0.5">
      <c r="E3779" s="108"/>
    </row>
    <row r="3780" spans="5:5" s="4" customFormat="1" hidden="1" x14ac:dyDescent="0.5">
      <c r="E3780" s="108"/>
    </row>
    <row r="3781" spans="5:5" s="4" customFormat="1" hidden="1" x14ac:dyDescent="0.5">
      <c r="E3781" s="108"/>
    </row>
    <row r="3782" spans="5:5" s="4" customFormat="1" hidden="1" x14ac:dyDescent="0.5">
      <c r="E3782" s="108"/>
    </row>
    <row r="3783" spans="5:5" s="4" customFormat="1" hidden="1" x14ac:dyDescent="0.5">
      <c r="E3783" s="108"/>
    </row>
    <row r="3784" spans="5:5" s="4" customFormat="1" hidden="1" x14ac:dyDescent="0.5">
      <c r="E3784" s="108"/>
    </row>
    <row r="3785" spans="5:5" s="4" customFormat="1" hidden="1" x14ac:dyDescent="0.5">
      <c r="E3785" s="108"/>
    </row>
    <row r="3786" spans="5:5" s="4" customFormat="1" hidden="1" x14ac:dyDescent="0.5">
      <c r="E3786" s="108"/>
    </row>
    <row r="3787" spans="5:5" s="4" customFormat="1" hidden="1" x14ac:dyDescent="0.5">
      <c r="E3787" s="108"/>
    </row>
    <row r="3788" spans="5:5" s="4" customFormat="1" hidden="1" x14ac:dyDescent="0.5">
      <c r="E3788" s="108"/>
    </row>
    <row r="3789" spans="5:5" s="4" customFormat="1" hidden="1" x14ac:dyDescent="0.5">
      <c r="E3789" s="108"/>
    </row>
    <row r="3790" spans="5:5" s="4" customFormat="1" hidden="1" x14ac:dyDescent="0.5">
      <c r="E3790" s="108"/>
    </row>
    <row r="3791" spans="5:5" s="4" customFormat="1" hidden="1" x14ac:dyDescent="0.5">
      <c r="E3791" s="108"/>
    </row>
    <row r="3792" spans="5:5" s="4" customFormat="1" hidden="1" x14ac:dyDescent="0.5">
      <c r="E3792" s="108"/>
    </row>
    <row r="3793" spans="5:5" s="4" customFormat="1" hidden="1" x14ac:dyDescent="0.5">
      <c r="E3793" s="108"/>
    </row>
    <row r="3794" spans="5:5" s="4" customFormat="1" hidden="1" x14ac:dyDescent="0.5">
      <c r="E3794" s="108"/>
    </row>
    <row r="3795" spans="5:5" s="4" customFormat="1" hidden="1" x14ac:dyDescent="0.5">
      <c r="E3795" s="108"/>
    </row>
    <row r="3796" spans="5:5" s="4" customFormat="1" hidden="1" x14ac:dyDescent="0.5">
      <c r="E3796" s="108"/>
    </row>
    <row r="3797" spans="5:5" s="4" customFormat="1" hidden="1" x14ac:dyDescent="0.5">
      <c r="E3797" s="108"/>
    </row>
    <row r="3798" spans="5:5" s="4" customFormat="1" hidden="1" x14ac:dyDescent="0.5">
      <c r="E3798" s="108"/>
    </row>
    <row r="3799" spans="5:5" s="4" customFormat="1" hidden="1" x14ac:dyDescent="0.5">
      <c r="E3799" s="108"/>
    </row>
    <row r="3800" spans="5:5" s="4" customFormat="1" hidden="1" x14ac:dyDescent="0.5">
      <c r="E3800" s="108"/>
    </row>
    <row r="3801" spans="5:5" s="4" customFormat="1" hidden="1" x14ac:dyDescent="0.5">
      <c r="E3801" s="108"/>
    </row>
    <row r="3802" spans="5:5" s="4" customFormat="1" hidden="1" x14ac:dyDescent="0.5">
      <c r="E3802" s="108"/>
    </row>
    <row r="3803" spans="5:5" s="4" customFormat="1" hidden="1" x14ac:dyDescent="0.5">
      <c r="E3803" s="108"/>
    </row>
    <row r="3804" spans="5:5" s="4" customFormat="1" hidden="1" x14ac:dyDescent="0.5">
      <c r="E3804" s="108"/>
    </row>
    <row r="3805" spans="5:5" s="4" customFormat="1" hidden="1" x14ac:dyDescent="0.5">
      <c r="E3805" s="108"/>
    </row>
    <row r="3806" spans="5:5" s="4" customFormat="1" hidden="1" x14ac:dyDescent="0.5">
      <c r="E3806" s="108"/>
    </row>
    <row r="3807" spans="5:5" s="4" customFormat="1" hidden="1" x14ac:dyDescent="0.5">
      <c r="E3807" s="108"/>
    </row>
    <row r="3808" spans="5:5" s="4" customFormat="1" hidden="1" x14ac:dyDescent="0.5">
      <c r="E3808" s="108"/>
    </row>
    <row r="3809" spans="5:5" s="4" customFormat="1" hidden="1" x14ac:dyDescent="0.5">
      <c r="E3809" s="108"/>
    </row>
    <row r="3810" spans="5:5" s="4" customFormat="1" hidden="1" x14ac:dyDescent="0.5">
      <c r="E3810" s="108"/>
    </row>
    <row r="3811" spans="5:5" s="4" customFormat="1" hidden="1" x14ac:dyDescent="0.5">
      <c r="E3811" s="108"/>
    </row>
    <row r="3812" spans="5:5" s="4" customFormat="1" hidden="1" x14ac:dyDescent="0.5">
      <c r="E3812" s="108"/>
    </row>
    <row r="3813" spans="5:5" s="4" customFormat="1" hidden="1" x14ac:dyDescent="0.5">
      <c r="E3813" s="108"/>
    </row>
    <row r="3814" spans="5:5" s="4" customFormat="1" hidden="1" x14ac:dyDescent="0.5">
      <c r="E3814" s="108"/>
    </row>
    <row r="3815" spans="5:5" s="4" customFormat="1" hidden="1" x14ac:dyDescent="0.5">
      <c r="E3815" s="108"/>
    </row>
    <row r="3816" spans="5:5" s="4" customFormat="1" hidden="1" x14ac:dyDescent="0.5">
      <c r="E3816" s="108"/>
    </row>
    <row r="3817" spans="5:5" s="4" customFormat="1" hidden="1" x14ac:dyDescent="0.5">
      <c r="E3817" s="108"/>
    </row>
    <row r="3818" spans="5:5" s="4" customFormat="1" hidden="1" x14ac:dyDescent="0.5">
      <c r="E3818" s="108"/>
    </row>
    <row r="3819" spans="5:5" s="4" customFormat="1" hidden="1" x14ac:dyDescent="0.5">
      <c r="E3819" s="108"/>
    </row>
    <row r="3820" spans="5:5" s="4" customFormat="1" hidden="1" x14ac:dyDescent="0.5">
      <c r="E3820" s="108"/>
    </row>
    <row r="3821" spans="5:5" s="4" customFormat="1" hidden="1" x14ac:dyDescent="0.5">
      <c r="E3821" s="108"/>
    </row>
    <row r="3822" spans="5:5" s="4" customFormat="1" hidden="1" x14ac:dyDescent="0.5">
      <c r="E3822" s="108"/>
    </row>
    <row r="3823" spans="5:5" s="4" customFormat="1" hidden="1" x14ac:dyDescent="0.5">
      <c r="E3823" s="108"/>
    </row>
    <row r="3824" spans="5:5" s="4" customFormat="1" hidden="1" x14ac:dyDescent="0.5">
      <c r="E3824" s="108"/>
    </row>
    <row r="3825" spans="5:5" s="4" customFormat="1" hidden="1" x14ac:dyDescent="0.5">
      <c r="E3825" s="108"/>
    </row>
    <row r="3826" spans="5:5" s="4" customFormat="1" hidden="1" x14ac:dyDescent="0.5">
      <c r="E3826" s="108"/>
    </row>
    <row r="3827" spans="5:5" s="4" customFormat="1" hidden="1" x14ac:dyDescent="0.5">
      <c r="E3827" s="108"/>
    </row>
    <row r="3828" spans="5:5" s="4" customFormat="1" hidden="1" x14ac:dyDescent="0.5">
      <c r="E3828" s="108"/>
    </row>
    <row r="3829" spans="5:5" s="4" customFormat="1" hidden="1" x14ac:dyDescent="0.5">
      <c r="E3829" s="108"/>
    </row>
    <row r="3830" spans="5:5" s="4" customFormat="1" hidden="1" x14ac:dyDescent="0.5">
      <c r="E3830" s="108"/>
    </row>
    <row r="3831" spans="5:5" s="4" customFormat="1" hidden="1" x14ac:dyDescent="0.5">
      <c r="E3831" s="108"/>
    </row>
    <row r="3832" spans="5:5" s="4" customFormat="1" hidden="1" x14ac:dyDescent="0.5">
      <c r="E3832" s="108"/>
    </row>
    <row r="3833" spans="5:5" s="4" customFormat="1" hidden="1" x14ac:dyDescent="0.5">
      <c r="E3833" s="108"/>
    </row>
    <row r="3834" spans="5:5" s="4" customFormat="1" hidden="1" x14ac:dyDescent="0.5">
      <c r="E3834" s="108"/>
    </row>
    <row r="3835" spans="5:5" s="4" customFormat="1" hidden="1" x14ac:dyDescent="0.5">
      <c r="E3835" s="108"/>
    </row>
    <row r="3836" spans="5:5" s="4" customFormat="1" hidden="1" x14ac:dyDescent="0.5">
      <c r="E3836" s="108"/>
    </row>
    <row r="3837" spans="5:5" s="4" customFormat="1" hidden="1" x14ac:dyDescent="0.5">
      <c r="E3837" s="108"/>
    </row>
    <row r="3838" spans="5:5" s="4" customFormat="1" hidden="1" x14ac:dyDescent="0.5">
      <c r="E3838" s="108"/>
    </row>
    <row r="3839" spans="5:5" s="4" customFormat="1" hidden="1" x14ac:dyDescent="0.5">
      <c r="E3839" s="108"/>
    </row>
    <row r="3840" spans="5:5" s="4" customFormat="1" hidden="1" x14ac:dyDescent="0.5">
      <c r="E3840" s="108"/>
    </row>
    <row r="3841" spans="5:5" s="4" customFormat="1" hidden="1" x14ac:dyDescent="0.5">
      <c r="E3841" s="108"/>
    </row>
    <row r="3842" spans="5:5" s="4" customFormat="1" hidden="1" x14ac:dyDescent="0.5">
      <c r="E3842" s="108"/>
    </row>
    <row r="3843" spans="5:5" s="4" customFormat="1" hidden="1" x14ac:dyDescent="0.5">
      <c r="E3843" s="108"/>
    </row>
    <row r="3844" spans="5:5" s="4" customFormat="1" hidden="1" x14ac:dyDescent="0.5">
      <c r="E3844" s="108"/>
    </row>
    <row r="3845" spans="5:5" s="4" customFormat="1" hidden="1" x14ac:dyDescent="0.5">
      <c r="E3845" s="108"/>
    </row>
    <row r="3846" spans="5:5" s="4" customFormat="1" hidden="1" x14ac:dyDescent="0.5">
      <c r="E3846" s="108"/>
    </row>
    <row r="3847" spans="5:5" s="4" customFormat="1" hidden="1" x14ac:dyDescent="0.5">
      <c r="E3847" s="108"/>
    </row>
    <row r="3848" spans="5:5" s="4" customFormat="1" hidden="1" x14ac:dyDescent="0.5">
      <c r="E3848" s="108"/>
    </row>
    <row r="3849" spans="5:5" s="4" customFormat="1" hidden="1" x14ac:dyDescent="0.5">
      <c r="E3849" s="108"/>
    </row>
    <row r="3850" spans="5:5" s="4" customFormat="1" hidden="1" x14ac:dyDescent="0.5">
      <c r="E3850" s="108"/>
    </row>
    <row r="3851" spans="5:5" s="4" customFormat="1" hidden="1" x14ac:dyDescent="0.5">
      <c r="E3851" s="108"/>
    </row>
    <row r="3852" spans="5:5" s="4" customFormat="1" hidden="1" x14ac:dyDescent="0.5">
      <c r="E3852" s="108"/>
    </row>
    <row r="3853" spans="5:5" s="4" customFormat="1" hidden="1" x14ac:dyDescent="0.5">
      <c r="E3853" s="108"/>
    </row>
    <row r="3854" spans="5:5" s="4" customFormat="1" hidden="1" x14ac:dyDescent="0.5">
      <c r="E3854" s="108"/>
    </row>
    <row r="3855" spans="5:5" s="4" customFormat="1" hidden="1" x14ac:dyDescent="0.5">
      <c r="E3855" s="108"/>
    </row>
    <row r="3856" spans="5:5" s="4" customFormat="1" hidden="1" x14ac:dyDescent="0.5">
      <c r="E3856" s="108"/>
    </row>
    <row r="3857" spans="5:5" s="4" customFormat="1" hidden="1" x14ac:dyDescent="0.5">
      <c r="E3857" s="108"/>
    </row>
    <row r="3858" spans="5:5" s="4" customFormat="1" hidden="1" x14ac:dyDescent="0.5">
      <c r="E3858" s="108"/>
    </row>
    <row r="3859" spans="5:5" s="4" customFormat="1" hidden="1" x14ac:dyDescent="0.5">
      <c r="E3859" s="108"/>
    </row>
    <row r="3860" spans="5:5" s="4" customFormat="1" hidden="1" x14ac:dyDescent="0.5">
      <c r="E3860" s="108"/>
    </row>
    <row r="3861" spans="5:5" s="4" customFormat="1" hidden="1" x14ac:dyDescent="0.5">
      <c r="E3861" s="108"/>
    </row>
    <row r="3862" spans="5:5" s="4" customFormat="1" hidden="1" x14ac:dyDescent="0.5">
      <c r="E3862" s="108"/>
    </row>
    <row r="3863" spans="5:5" s="4" customFormat="1" hidden="1" x14ac:dyDescent="0.5">
      <c r="E3863" s="108"/>
    </row>
    <row r="3864" spans="5:5" s="4" customFormat="1" hidden="1" x14ac:dyDescent="0.5">
      <c r="E3864" s="108"/>
    </row>
    <row r="3865" spans="5:5" s="4" customFormat="1" hidden="1" x14ac:dyDescent="0.5">
      <c r="E3865" s="108"/>
    </row>
    <row r="3866" spans="5:5" s="4" customFormat="1" hidden="1" x14ac:dyDescent="0.5">
      <c r="E3866" s="108"/>
    </row>
    <row r="3867" spans="5:5" s="4" customFormat="1" hidden="1" x14ac:dyDescent="0.5">
      <c r="E3867" s="108"/>
    </row>
    <row r="3868" spans="5:5" s="4" customFormat="1" hidden="1" x14ac:dyDescent="0.5">
      <c r="E3868" s="108"/>
    </row>
    <row r="3869" spans="5:5" s="4" customFormat="1" hidden="1" x14ac:dyDescent="0.5">
      <c r="E3869" s="108"/>
    </row>
    <row r="3870" spans="5:5" s="4" customFormat="1" hidden="1" x14ac:dyDescent="0.5">
      <c r="E3870" s="108"/>
    </row>
    <row r="3871" spans="5:5" s="4" customFormat="1" hidden="1" x14ac:dyDescent="0.5">
      <c r="E3871" s="108"/>
    </row>
    <row r="3872" spans="5:5" s="4" customFormat="1" hidden="1" x14ac:dyDescent="0.5">
      <c r="E3872" s="108"/>
    </row>
    <row r="3873" spans="5:5" s="4" customFormat="1" hidden="1" x14ac:dyDescent="0.5">
      <c r="E3873" s="108"/>
    </row>
    <row r="3874" spans="5:5" s="4" customFormat="1" hidden="1" x14ac:dyDescent="0.5">
      <c r="E3874" s="108"/>
    </row>
    <row r="3875" spans="5:5" s="4" customFormat="1" hidden="1" x14ac:dyDescent="0.5">
      <c r="E3875" s="108"/>
    </row>
    <row r="3876" spans="5:5" s="4" customFormat="1" hidden="1" x14ac:dyDescent="0.5">
      <c r="E3876" s="108"/>
    </row>
    <row r="3877" spans="5:5" s="4" customFormat="1" hidden="1" x14ac:dyDescent="0.5">
      <c r="E3877" s="108"/>
    </row>
    <row r="3878" spans="5:5" s="4" customFormat="1" hidden="1" x14ac:dyDescent="0.5">
      <c r="E3878" s="108"/>
    </row>
    <row r="3879" spans="5:5" s="4" customFormat="1" hidden="1" x14ac:dyDescent="0.5">
      <c r="E3879" s="108"/>
    </row>
    <row r="3880" spans="5:5" s="4" customFormat="1" hidden="1" x14ac:dyDescent="0.5">
      <c r="E3880" s="108"/>
    </row>
    <row r="3881" spans="5:5" s="4" customFormat="1" hidden="1" x14ac:dyDescent="0.5">
      <c r="E3881" s="108"/>
    </row>
    <row r="3882" spans="5:5" s="4" customFormat="1" hidden="1" x14ac:dyDescent="0.5">
      <c r="E3882" s="108"/>
    </row>
    <row r="3883" spans="5:5" s="4" customFormat="1" hidden="1" x14ac:dyDescent="0.5">
      <c r="E3883" s="108"/>
    </row>
    <row r="3884" spans="5:5" s="4" customFormat="1" hidden="1" x14ac:dyDescent="0.5">
      <c r="E3884" s="108"/>
    </row>
    <row r="3885" spans="5:5" s="4" customFormat="1" hidden="1" x14ac:dyDescent="0.5">
      <c r="E3885" s="108"/>
    </row>
    <row r="3886" spans="5:5" s="4" customFormat="1" hidden="1" x14ac:dyDescent="0.5">
      <c r="E3886" s="108"/>
    </row>
    <row r="3887" spans="5:5" s="4" customFormat="1" hidden="1" x14ac:dyDescent="0.5">
      <c r="E3887" s="108"/>
    </row>
    <row r="3888" spans="5:5" s="4" customFormat="1" hidden="1" x14ac:dyDescent="0.5">
      <c r="E3888" s="108"/>
    </row>
    <row r="3889" spans="5:5" s="4" customFormat="1" hidden="1" x14ac:dyDescent="0.5">
      <c r="E3889" s="108"/>
    </row>
    <row r="3890" spans="5:5" s="4" customFormat="1" hidden="1" x14ac:dyDescent="0.5">
      <c r="E3890" s="108"/>
    </row>
    <row r="3891" spans="5:5" s="4" customFormat="1" hidden="1" x14ac:dyDescent="0.5">
      <c r="E3891" s="108"/>
    </row>
    <row r="3892" spans="5:5" s="4" customFormat="1" hidden="1" x14ac:dyDescent="0.5">
      <c r="E3892" s="108"/>
    </row>
    <row r="3893" spans="5:5" s="4" customFormat="1" hidden="1" x14ac:dyDescent="0.5">
      <c r="E3893" s="108"/>
    </row>
    <row r="3894" spans="5:5" s="4" customFormat="1" hidden="1" x14ac:dyDescent="0.5">
      <c r="E3894" s="108"/>
    </row>
    <row r="3895" spans="5:5" s="4" customFormat="1" hidden="1" x14ac:dyDescent="0.5">
      <c r="E3895" s="108"/>
    </row>
    <row r="3896" spans="5:5" s="4" customFormat="1" hidden="1" x14ac:dyDescent="0.5">
      <c r="E3896" s="108"/>
    </row>
    <row r="3897" spans="5:5" s="4" customFormat="1" hidden="1" x14ac:dyDescent="0.5">
      <c r="E3897" s="108"/>
    </row>
    <row r="3898" spans="5:5" s="4" customFormat="1" hidden="1" x14ac:dyDescent="0.5">
      <c r="E3898" s="108"/>
    </row>
    <row r="3899" spans="5:5" s="4" customFormat="1" hidden="1" x14ac:dyDescent="0.5">
      <c r="E3899" s="108"/>
    </row>
    <row r="3900" spans="5:5" s="4" customFormat="1" hidden="1" x14ac:dyDescent="0.5">
      <c r="E3900" s="108"/>
    </row>
    <row r="3901" spans="5:5" s="4" customFormat="1" hidden="1" x14ac:dyDescent="0.5">
      <c r="E3901" s="108"/>
    </row>
    <row r="3902" spans="5:5" s="4" customFormat="1" hidden="1" x14ac:dyDescent="0.5">
      <c r="E3902" s="108"/>
    </row>
    <row r="3903" spans="5:5" s="4" customFormat="1" hidden="1" x14ac:dyDescent="0.5">
      <c r="E3903" s="108"/>
    </row>
    <row r="3904" spans="5:5" s="4" customFormat="1" hidden="1" x14ac:dyDescent="0.5">
      <c r="E3904" s="108"/>
    </row>
    <row r="3905" spans="5:5" s="4" customFormat="1" hidden="1" x14ac:dyDescent="0.5">
      <c r="E3905" s="108"/>
    </row>
    <row r="3906" spans="5:5" s="4" customFormat="1" hidden="1" x14ac:dyDescent="0.5">
      <c r="E3906" s="108"/>
    </row>
    <row r="3907" spans="5:5" s="4" customFormat="1" hidden="1" x14ac:dyDescent="0.5">
      <c r="E3907" s="108"/>
    </row>
    <row r="3908" spans="5:5" s="4" customFormat="1" hidden="1" x14ac:dyDescent="0.5">
      <c r="E3908" s="108"/>
    </row>
    <row r="3909" spans="5:5" s="4" customFormat="1" hidden="1" x14ac:dyDescent="0.5">
      <c r="E3909" s="108"/>
    </row>
    <row r="3910" spans="5:5" s="4" customFormat="1" hidden="1" x14ac:dyDescent="0.5">
      <c r="E3910" s="108"/>
    </row>
    <row r="3911" spans="5:5" s="4" customFormat="1" hidden="1" x14ac:dyDescent="0.5">
      <c r="E3911" s="108"/>
    </row>
    <row r="3912" spans="5:5" s="4" customFormat="1" hidden="1" x14ac:dyDescent="0.5">
      <c r="E3912" s="108"/>
    </row>
    <row r="3913" spans="5:5" s="4" customFormat="1" hidden="1" x14ac:dyDescent="0.5">
      <c r="E3913" s="108"/>
    </row>
    <row r="3914" spans="5:5" s="4" customFormat="1" hidden="1" x14ac:dyDescent="0.5">
      <c r="E3914" s="108"/>
    </row>
    <row r="3915" spans="5:5" s="4" customFormat="1" hidden="1" x14ac:dyDescent="0.5">
      <c r="E3915" s="108"/>
    </row>
    <row r="3916" spans="5:5" s="4" customFormat="1" hidden="1" x14ac:dyDescent="0.5">
      <c r="E3916" s="108"/>
    </row>
    <row r="3917" spans="5:5" s="4" customFormat="1" hidden="1" x14ac:dyDescent="0.5">
      <c r="E3917" s="108"/>
    </row>
    <row r="3918" spans="5:5" s="4" customFormat="1" hidden="1" x14ac:dyDescent="0.5">
      <c r="E3918" s="108"/>
    </row>
    <row r="3919" spans="5:5" s="4" customFormat="1" hidden="1" x14ac:dyDescent="0.5">
      <c r="E3919" s="108"/>
    </row>
    <row r="3920" spans="5:5" s="4" customFormat="1" hidden="1" x14ac:dyDescent="0.5">
      <c r="E3920" s="108"/>
    </row>
    <row r="3921" spans="5:5" s="4" customFormat="1" hidden="1" x14ac:dyDescent="0.5">
      <c r="E3921" s="108"/>
    </row>
    <row r="3922" spans="5:5" s="4" customFormat="1" hidden="1" x14ac:dyDescent="0.5">
      <c r="E3922" s="108"/>
    </row>
    <row r="3923" spans="5:5" s="4" customFormat="1" hidden="1" x14ac:dyDescent="0.5">
      <c r="E3923" s="108"/>
    </row>
    <row r="3924" spans="5:5" s="4" customFormat="1" hidden="1" x14ac:dyDescent="0.5">
      <c r="E3924" s="108"/>
    </row>
    <row r="3925" spans="5:5" s="4" customFormat="1" hidden="1" x14ac:dyDescent="0.5">
      <c r="E3925" s="108"/>
    </row>
    <row r="3926" spans="5:5" s="4" customFormat="1" hidden="1" x14ac:dyDescent="0.5">
      <c r="E3926" s="108"/>
    </row>
    <row r="3927" spans="5:5" s="4" customFormat="1" hidden="1" x14ac:dyDescent="0.5">
      <c r="E3927" s="108"/>
    </row>
    <row r="3928" spans="5:5" s="4" customFormat="1" hidden="1" x14ac:dyDescent="0.5">
      <c r="E3928" s="108"/>
    </row>
    <row r="3929" spans="5:5" s="4" customFormat="1" hidden="1" x14ac:dyDescent="0.5">
      <c r="E3929" s="108"/>
    </row>
    <row r="3930" spans="5:5" s="4" customFormat="1" hidden="1" x14ac:dyDescent="0.5">
      <c r="E3930" s="108"/>
    </row>
    <row r="3931" spans="5:5" s="4" customFormat="1" hidden="1" x14ac:dyDescent="0.5">
      <c r="E3931" s="108"/>
    </row>
    <row r="3932" spans="5:5" s="4" customFormat="1" hidden="1" x14ac:dyDescent="0.5">
      <c r="E3932" s="108"/>
    </row>
    <row r="3933" spans="5:5" s="4" customFormat="1" hidden="1" x14ac:dyDescent="0.5">
      <c r="E3933" s="108"/>
    </row>
    <row r="3934" spans="5:5" s="4" customFormat="1" hidden="1" x14ac:dyDescent="0.5">
      <c r="E3934" s="108"/>
    </row>
    <row r="3935" spans="5:5" s="4" customFormat="1" hidden="1" x14ac:dyDescent="0.5">
      <c r="E3935" s="108"/>
    </row>
    <row r="3936" spans="5:5" s="4" customFormat="1" hidden="1" x14ac:dyDescent="0.5">
      <c r="E3936" s="108"/>
    </row>
    <row r="3937" spans="5:5" s="4" customFormat="1" hidden="1" x14ac:dyDescent="0.5">
      <c r="E3937" s="108"/>
    </row>
    <row r="3938" spans="5:5" s="4" customFormat="1" hidden="1" x14ac:dyDescent="0.5">
      <c r="E3938" s="108"/>
    </row>
    <row r="3939" spans="5:5" s="4" customFormat="1" hidden="1" x14ac:dyDescent="0.5">
      <c r="E3939" s="108"/>
    </row>
    <row r="3940" spans="5:5" s="4" customFormat="1" hidden="1" x14ac:dyDescent="0.5">
      <c r="E3940" s="108"/>
    </row>
    <row r="3941" spans="5:5" s="4" customFormat="1" hidden="1" x14ac:dyDescent="0.5">
      <c r="E3941" s="108"/>
    </row>
    <row r="3942" spans="5:5" s="4" customFormat="1" hidden="1" x14ac:dyDescent="0.5">
      <c r="E3942" s="108"/>
    </row>
    <row r="3943" spans="5:5" s="4" customFormat="1" hidden="1" x14ac:dyDescent="0.5">
      <c r="E3943" s="108"/>
    </row>
    <row r="3944" spans="5:5" s="4" customFormat="1" hidden="1" x14ac:dyDescent="0.5">
      <c r="E3944" s="108"/>
    </row>
    <row r="3945" spans="5:5" s="4" customFormat="1" hidden="1" x14ac:dyDescent="0.5">
      <c r="E3945" s="108"/>
    </row>
    <row r="3946" spans="5:5" s="4" customFormat="1" hidden="1" x14ac:dyDescent="0.5">
      <c r="E3946" s="108"/>
    </row>
    <row r="3947" spans="5:5" s="4" customFormat="1" hidden="1" x14ac:dyDescent="0.5">
      <c r="E3947" s="108"/>
    </row>
    <row r="3948" spans="5:5" s="4" customFormat="1" hidden="1" x14ac:dyDescent="0.5">
      <c r="E3948" s="108"/>
    </row>
    <row r="3949" spans="5:5" s="4" customFormat="1" hidden="1" x14ac:dyDescent="0.5">
      <c r="E3949" s="108"/>
    </row>
    <row r="3950" spans="5:5" s="4" customFormat="1" hidden="1" x14ac:dyDescent="0.5">
      <c r="E3950" s="108"/>
    </row>
    <row r="3951" spans="5:5" s="4" customFormat="1" hidden="1" x14ac:dyDescent="0.5">
      <c r="E3951" s="108"/>
    </row>
    <row r="3952" spans="5:5" s="4" customFormat="1" hidden="1" x14ac:dyDescent="0.5">
      <c r="E3952" s="108"/>
    </row>
    <row r="3953" spans="5:5" s="4" customFormat="1" hidden="1" x14ac:dyDescent="0.5">
      <c r="E3953" s="108"/>
    </row>
    <row r="3954" spans="5:5" s="4" customFormat="1" hidden="1" x14ac:dyDescent="0.5">
      <c r="E3954" s="108"/>
    </row>
    <row r="3955" spans="5:5" s="4" customFormat="1" hidden="1" x14ac:dyDescent="0.5">
      <c r="E3955" s="108"/>
    </row>
    <row r="3956" spans="5:5" s="4" customFormat="1" hidden="1" x14ac:dyDescent="0.5">
      <c r="E3956" s="108"/>
    </row>
    <row r="3957" spans="5:5" s="4" customFormat="1" hidden="1" x14ac:dyDescent="0.5">
      <c r="E3957" s="108"/>
    </row>
    <row r="3958" spans="5:5" s="4" customFormat="1" hidden="1" x14ac:dyDescent="0.5">
      <c r="E3958" s="108"/>
    </row>
    <row r="3959" spans="5:5" s="4" customFormat="1" hidden="1" x14ac:dyDescent="0.5">
      <c r="E3959" s="108"/>
    </row>
    <row r="3960" spans="5:5" s="4" customFormat="1" hidden="1" x14ac:dyDescent="0.5">
      <c r="E3960" s="108"/>
    </row>
    <row r="3961" spans="5:5" s="4" customFormat="1" hidden="1" x14ac:dyDescent="0.5">
      <c r="E3961" s="108"/>
    </row>
    <row r="3962" spans="5:5" s="4" customFormat="1" hidden="1" x14ac:dyDescent="0.5">
      <c r="E3962" s="108"/>
    </row>
    <row r="3963" spans="5:5" s="4" customFormat="1" hidden="1" x14ac:dyDescent="0.5">
      <c r="E3963" s="108"/>
    </row>
    <row r="3964" spans="5:5" s="4" customFormat="1" hidden="1" x14ac:dyDescent="0.5">
      <c r="E3964" s="108"/>
    </row>
    <row r="3965" spans="5:5" s="4" customFormat="1" hidden="1" x14ac:dyDescent="0.5">
      <c r="E3965" s="108"/>
    </row>
    <row r="3966" spans="5:5" s="4" customFormat="1" hidden="1" x14ac:dyDescent="0.5">
      <c r="E3966" s="108"/>
    </row>
    <row r="3967" spans="5:5" s="4" customFormat="1" hidden="1" x14ac:dyDescent="0.5">
      <c r="E3967" s="108"/>
    </row>
    <row r="3968" spans="5:5" s="4" customFormat="1" hidden="1" x14ac:dyDescent="0.5">
      <c r="E3968" s="108"/>
    </row>
    <row r="3969" spans="5:5" s="4" customFormat="1" hidden="1" x14ac:dyDescent="0.5">
      <c r="E3969" s="108"/>
    </row>
    <row r="3970" spans="5:5" s="4" customFormat="1" hidden="1" x14ac:dyDescent="0.5">
      <c r="E3970" s="108"/>
    </row>
    <row r="3971" spans="5:5" s="4" customFormat="1" hidden="1" x14ac:dyDescent="0.5">
      <c r="E3971" s="108"/>
    </row>
    <row r="3972" spans="5:5" s="4" customFormat="1" hidden="1" x14ac:dyDescent="0.5">
      <c r="E3972" s="108"/>
    </row>
    <row r="3973" spans="5:5" s="4" customFormat="1" hidden="1" x14ac:dyDescent="0.5">
      <c r="E3973" s="108"/>
    </row>
    <row r="3974" spans="5:5" s="4" customFormat="1" hidden="1" x14ac:dyDescent="0.5">
      <c r="E3974" s="108"/>
    </row>
    <row r="3975" spans="5:5" s="4" customFormat="1" hidden="1" x14ac:dyDescent="0.5">
      <c r="E3975" s="108"/>
    </row>
    <row r="3976" spans="5:5" s="4" customFormat="1" hidden="1" x14ac:dyDescent="0.5">
      <c r="E3976" s="108"/>
    </row>
    <row r="3977" spans="5:5" s="4" customFormat="1" hidden="1" x14ac:dyDescent="0.5">
      <c r="E3977" s="108"/>
    </row>
    <row r="3978" spans="5:5" s="4" customFormat="1" hidden="1" x14ac:dyDescent="0.5">
      <c r="E3978" s="108"/>
    </row>
    <row r="3979" spans="5:5" s="4" customFormat="1" hidden="1" x14ac:dyDescent="0.5">
      <c r="E3979" s="108"/>
    </row>
    <row r="3980" spans="5:5" s="4" customFormat="1" hidden="1" x14ac:dyDescent="0.5">
      <c r="E3980" s="108"/>
    </row>
    <row r="3981" spans="5:5" s="4" customFormat="1" hidden="1" x14ac:dyDescent="0.5">
      <c r="E3981" s="108"/>
    </row>
    <row r="3982" spans="5:5" s="4" customFormat="1" hidden="1" x14ac:dyDescent="0.5">
      <c r="E3982" s="108"/>
    </row>
    <row r="3983" spans="5:5" s="4" customFormat="1" hidden="1" x14ac:dyDescent="0.5">
      <c r="E3983" s="108"/>
    </row>
    <row r="3984" spans="5:5" s="4" customFormat="1" hidden="1" x14ac:dyDescent="0.5">
      <c r="E3984" s="108"/>
    </row>
    <row r="3985" spans="5:5" s="4" customFormat="1" hidden="1" x14ac:dyDescent="0.5">
      <c r="E3985" s="108"/>
    </row>
    <row r="3986" spans="5:5" s="4" customFormat="1" hidden="1" x14ac:dyDescent="0.5">
      <c r="E3986" s="108"/>
    </row>
    <row r="3987" spans="5:5" s="4" customFormat="1" hidden="1" x14ac:dyDescent="0.5">
      <c r="E3987" s="108"/>
    </row>
    <row r="3988" spans="5:5" s="4" customFormat="1" hidden="1" x14ac:dyDescent="0.5">
      <c r="E3988" s="108"/>
    </row>
    <row r="3989" spans="5:5" s="4" customFormat="1" hidden="1" x14ac:dyDescent="0.5">
      <c r="E3989" s="108"/>
    </row>
    <row r="3990" spans="5:5" s="4" customFormat="1" hidden="1" x14ac:dyDescent="0.5">
      <c r="E3990" s="108"/>
    </row>
    <row r="3991" spans="5:5" s="4" customFormat="1" hidden="1" x14ac:dyDescent="0.5">
      <c r="E3991" s="108"/>
    </row>
    <row r="3992" spans="5:5" s="4" customFormat="1" hidden="1" x14ac:dyDescent="0.5">
      <c r="E3992" s="108"/>
    </row>
    <row r="3993" spans="5:5" s="4" customFormat="1" hidden="1" x14ac:dyDescent="0.5">
      <c r="E3993" s="108"/>
    </row>
    <row r="3994" spans="5:5" s="4" customFormat="1" hidden="1" x14ac:dyDescent="0.5">
      <c r="E3994" s="108"/>
    </row>
    <row r="3995" spans="5:5" s="4" customFormat="1" hidden="1" x14ac:dyDescent="0.5">
      <c r="E3995" s="108"/>
    </row>
    <row r="3996" spans="5:5" s="4" customFormat="1" hidden="1" x14ac:dyDescent="0.5">
      <c r="E3996" s="108"/>
    </row>
    <row r="3997" spans="5:5" s="4" customFormat="1" hidden="1" x14ac:dyDescent="0.5">
      <c r="E3997" s="108"/>
    </row>
    <row r="3998" spans="5:5" s="4" customFormat="1" hidden="1" x14ac:dyDescent="0.5">
      <c r="E3998" s="108"/>
    </row>
    <row r="3999" spans="5:5" s="4" customFormat="1" hidden="1" x14ac:dyDescent="0.5">
      <c r="E3999" s="108"/>
    </row>
    <row r="4000" spans="5:5" s="4" customFormat="1" hidden="1" x14ac:dyDescent="0.5">
      <c r="E4000" s="108"/>
    </row>
    <row r="4001" spans="5:5" s="4" customFormat="1" hidden="1" x14ac:dyDescent="0.5">
      <c r="E4001" s="108"/>
    </row>
    <row r="4002" spans="5:5" s="4" customFormat="1" hidden="1" x14ac:dyDescent="0.5">
      <c r="E4002" s="108"/>
    </row>
    <row r="4003" spans="5:5" s="4" customFormat="1" hidden="1" x14ac:dyDescent="0.5">
      <c r="E4003" s="108"/>
    </row>
    <row r="4004" spans="5:5" s="4" customFormat="1" hidden="1" x14ac:dyDescent="0.5">
      <c r="E4004" s="108"/>
    </row>
    <row r="4005" spans="5:5" s="4" customFormat="1" hidden="1" x14ac:dyDescent="0.5">
      <c r="E4005" s="108"/>
    </row>
    <row r="4006" spans="5:5" s="4" customFormat="1" hidden="1" x14ac:dyDescent="0.5">
      <c r="E4006" s="108"/>
    </row>
    <row r="4007" spans="5:5" s="4" customFormat="1" hidden="1" x14ac:dyDescent="0.5">
      <c r="E4007" s="108"/>
    </row>
    <row r="4008" spans="5:5" s="4" customFormat="1" hidden="1" x14ac:dyDescent="0.5">
      <c r="E4008" s="108"/>
    </row>
    <row r="4009" spans="5:5" s="4" customFormat="1" hidden="1" x14ac:dyDescent="0.5">
      <c r="E4009" s="108"/>
    </row>
    <row r="4010" spans="5:5" s="4" customFormat="1" hidden="1" x14ac:dyDescent="0.5">
      <c r="E4010" s="108"/>
    </row>
    <row r="4011" spans="5:5" s="4" customFormat="1" hidden="1" x14ac:dyDescent="0.5">
      <c r="E4011" s="108"/>
    </row>
    <row r="4012" spans="5:5" s="4" customFormat="1" hidden="1" x14ac:dyDescent="0.5">
      <c r="E4012" s="108"/>
    </row>
    <row r="4013" spans="5:5" s="4" customFormat="1" hidden="1" x14ac:dyDescent="0.5">
      <c r="E4013" s="108"/>
    </row>
    <row r="4014" spans="5:5" s="4" customFormat="1" hidden="1" x14ac:dyDescent="0.5">
      <c r="E4014" s="108"/>
    </row>
    <row r="4015" spans="5:5" s="4" customFormat="1" hidden="1" x14ac:dyDescent="0.5">
      <c r="E4015" s="108"/>
    </row>
    <row r="4016" spans="5:5" s="4" customFormat="1" hidden="1" x14ac:dyDescent="0.5">
      <c r="E4016" s="108"/>
    </row>
    <row r="4017" spans="5:5" s="4" customFormat="1" hidden="1" x14ac:dyDescent="0.5">
      <c r="E4017" s="108"/>
    </row>
    <row r="4018" spans="5:5" s="4" customFormat="1" hidden="1" x14ac:dyDescent="0.5">
      <c r="E4018" s="108"/>
    </row>
    <row r="4019" spans="5:5" s="4" customFormat="1" hidden="1" x14ac:dyDescent="0.5">
      <c r="E4019" s="108"/>
    </row>
    <row r="4020" spans="5:5" s="4" customFormat="1" hidden="1" x14ac:dyDescent="0.5">
      <c r="E4020" s="108"/>
    </row>
    <row r="4021" spans="5:5" s="4" customFormat="1" hidden="1" x14ac:dyDescent="0.5">
      <c r="E4021" s="108"/>
    </row>
    <row r="4022" spans="5:5" s="4" customFormat="1" hidden="1" x14ac:dyDescent="0.5">
      <c r="E4022" s="108"/>
    </row>
    <row r="4023" spans="5:5" s="4" customFormat="1" hidden="1" x14ac:dyDescent="0.5">
      <c r="E4023" s="108"/>
    </row>
    <row r="4024" spans="5:5" s="4" customFormat="1" hidden="1" x14ac:dyDescent="0.5">
      <c r="E4024" s="108"/>
    </row>
    <row r="4025" spans="5:5" s="4" customFormat="1" hidden="1" x14ac:dyDescent="0.5">
      <c r="E4025" s="108"/>
    </row>
    <row r="4026" spans="5:5" s="4" customFormat="1" hidden="1" x14ac:dyDescent="0.5">
      <c r="E4026" s="108"/>
    </row>
    <row r="4027" spans="5:5" s="4" customFormat="1" hidden="1" x14ac:dyDescent="0.5">
      <c r="E4027" s="108"/>
    </row>
    <row r="4028" spans="5:5" s="4" customFormat="1" hidden="1" x14ac:dyDescent="0.5">
      <c r="E4028" s="108"/>
    </row>
    <row r="4029" spans="5:5" s="4" customFormat="1" hidden="1" x14ac:dyDescent="0.5">
      <c r="E4029" s="108"/>
    </row>
    <row r="4030" spans="5:5" s="4" customFormat="1" hidden="1" x14ac:dyDescent="0.5">
      <c r="E4030" s="108"/>
    </row>
    <row r="4031" spans="5:5" s="4" customFormat="1" hidden="1" x14ac:dyDescent="0.5">
      <c r="E4031" s="108"/>
    </row>
    <row r="4032" spans="5:5" s="4" customFormat="1" hidden="1" x14ac:dyDescent="0.5">
      <c r="E4032" s="108"/>
    </row>
    <row r="4033" spans="5:5" s="4" customFormat="1" hidden="1" x14ac:dyDescent="0.5">
      <c r="E4033" s="108"/>
    </row>
    <row r="4034" spans="5:5" s="4" customFormat="1" hidden="1" x14ac:dyDescent="0.5">
      <c r="E4034" s="108"/>
    </row>
    <row r="4035" spans="5:5" s="4" customFormat="1" hidden="1" x14ac:dyDescent="0.5">
      <c r="E4035" s="108"/>
    </row>
    <row r="4036" spans="5:5" s="4" customFormat="1" hidden="1" x14ac:dyDescent="0.5">
      <c r="E4036" s="108"/>
    </row>
    <row r="4037" spans="5:5" s="4" customFormat="1" hidden="1" x14ac:dyDescent="0.5">
      <c r="E4037" s="108"/>
    </row>
    <row r="4038" spans="5:5" s="4" customFormat="1" hidden="1" x14ac:dyDescent="0.5">
      <c r="E4038" s="108"/>
    </row>
    <row r="4039" spans="5:5" s="4" customFormat="1" hidden="1" x14ac:dyDescent="0.5">
      <c r="E4039" s="108"/>
    </row>
    <row r="4040" spans="5:5" s="4" customFormat="1" hidden="1" x14ac:dyDescent="0.5">
      <c r="E4040" s="108"/>
    </row>
    <row r="4041" spans="5:5" s="4" customFormat="1" hidden="1" x14ac:dyDescent="0.5">
      <c r="E4041" s="108"/>
    </row>
    <row r="4042" spans="5:5" s="4" customFormat="1" hidden="1" x14ac:dyDescent="0.5">
      <c r="E4042" s="108"/>
    </row>
    <row r="4043" spans="5:5" s="4" customFormat="1" hidden="1" x14ac:dyDescent="0.5">
      <c r="E4043" s="108"/>
    </row>
    <row r="4044" spans="5:5" s="4" customFormat="1" hidden="1" x14ac:dyDescent="0.5">
      <c r="E4044" s="108"/>
    </row>
    <row r="4045" spans="5:5" s="4" customFormat="1" hidden="1" x14ac:dyDescent="0.5">
      <c r="E4045" s="108"/>
    </row>
    <row r="4046" spans="5:5" s="4" customFormat="1" hidden="1" x14ac:dyDescent="0.5">
      <c r="E4046" s="108"/>
    </row>
    <row r="4047" spans="5:5" s="4" customFormat="1" hidden="1" x14ac:dyDescent="0.5">
      <c r="E4047" s="108"/>
    </row>
    <row r="4048" spans="5:5" s="4" customFormat="1" hidden="1" x14ac:dyDescent="0.5">
      <c r="E4048" s="108"/>
    </row>
    <row r="4049" spans="5:5" s="4" customFormat="1" hidden="1" x14ac:dyDescent="0.5">
      <c r="E4049" s="108"/>
    </row>
    <row r="4050" spans="5:5" s="4" customFormat="1" hidden="1" x14ac:dyDescent="0.5">
      <c r="E4050" s="108"/>
    </row>
    <row r="4051" spans="5:5" s="4" customFormat="1" hidden="1" x14ac:dyDescent="0.5">
      <c r="E4051" s="108"/>
    </row>
    <row r="4052" spans="5:5" s="4" customFormat="1" hidden="1" x14ac:dyDescent="0.5">
      <c r="E4052" s="108"/>
    </row>
    <row r="4053" spans="5:5" s="4" customFormat="1" hidden="1" x14ac:dyDescent="0.5">
      <c r="E4053" s="108"/>
    </row>
    <row r="4054" spans="5:5" s="4" customFormat="1" hidden="1" x14ac:dyDescent="0.5">
      <c r="E4054" s="108"/>
    </row>
    <row r="4055" spans="5:5" s="4" customFormat="1" hidden="1" x14ac:dyDescent="0.5">
      <c r="E4055" s="108"/>
    </row>
    <row r="4056" spans="5:5" s="4" customFormat="1" hidden="1" x14ac:dyDescent="0.5">
      <c r="E4056" s="108"/>
    </row>
    <row r="4057" spans="5:5" s="4" customFormat="1" hidden="1" x14ac:dyDescent="0.5">
      <c r="E4057" s="108"/>
    </row>
    <row r="4058" spans="5:5" s="4" customFormat="1" hidden="1" x14ac:dyDescent="0.5">
      <c r="E4058" s="108"/>
    </row>
    <row r="4059" spans="5:5" s="4" customFormat="1" hidden="1" x14ac:dyDescent="0.5">
      <c r="E4059" s="108"/>
    </row>
    <row r="4060" spans="5:5" s="4" customFormat="1" hidden="1" x14ac:dyDescent="0.5">
      <c r="E4060" s="108"/>
    </row>
    <row r="4061" spans="5:5" s="4" customFormat="1" hidden="1" x14ac:dyDescent="0.5">
      <c r="E4061" s="108"/>
    </row>
    <row r="4062" spans="5:5" s="4" customFormat="1" hidden="1" x14ac:dyDescent="0.5">
      <c r="E4062" s="108"/>
    </row>
    <row r="4063" spans="5:5" s="4" customFormat="1" hidden="1" x14ac:dyDescent="0.5">
      <c r="E4063" s="108"/>
    </row>
    <row r="4064" spans="5:5" s="4" customFormat="1" hidden="1" x14ac:dyDescent="0.5">
      <c r="E4064" s="108"/>
    </row>
    <row r="4065" spans="5:5" s="4" customFormat="1" hidden="1" x14ac:dyDescent="0.5">
      <c r="E4065" s="108"/>
    </row>
    <row r="4066" spans="5:5" s="4" customFormat="1" hidden="1" x14ac:dyDescent="0.5">
      <c r="E4066" s="108"/>
    </row>
    <row r="4067" spans="5:5" s="4" customFormat="1" hidden="1" x14ac:dyDescent="0.5">
      <c r="E4067" s="108"/>
    </row>
    <row r="4068" spans="5:5" s="4" customFormat="1" hidden="1" x14ac:dyDescent="0.5">
      <c r="E4068" s="108"/>
    </row>
    <row r="4069" spans="5:5" s="4" customFormat="1" hidden="1" x14ac:dyDescent="0.5">
      <c r="E4069" s="108"/>
    </row>
    <row r="4070" spans="5:5" s="4" customFormat="1" hidden="1" x14ac:dyDescent="0.5">
      <c r="E4070" s="108"/>
    </row>
    <row r="4071" spans="5:5" s="4" customFormat="1" hidden="1" x14ac:dyDescent="0.5">
      <c r="E4071" s="108"/>
    </row>
    <row r="4072" spans="5:5" s="4" customFormat="1" hidden="1" x14ac:dyDescent="0.5">
      <c r="E4072" s="108"/>
    </row>
    <row r="4073" spans="5:5" s="4" customFormat="1" hidden="1" x14ac:dyDescent="0.5">
      <c r="E4073" s="108"/>
    </row>
    <row r="4074" spans="5:5" s="4" customFormat="1" hidden="1" x14ac:dyDescent="0.5">
      <c r="E4074" s="108"/>
    </row>
    <row r="4075" spans="5:5" s="4" customFormat="1" hidden="1" x14ac:dyDescent="0.5">
      <c r="E4075" s="108"/>
    </row>
    <row r="4076" spans="5:5" s="4" customFormat="1" hidden="1" x14ac:dyDescent="0.5">
      <c r="E4076" s="108"/>
    </row>
    <row r="4077" spans="5:5" s="4" customFormat="1" hidden="1" x14ac:dyDescent="0.5">
      <c r="E4077" s="108"/>
    </row>
    <row r="4078" spans="5:5" s="4" customFormat="1" hidden="1" x14ac:dyDescent="0.5">
      <c r="E4078" s="108"/>
    </row>
    <row r="4079" spans="5:5" s="4" customFormat="1" hidden="1" x14ac:dyDescent="0.5">
      <c r="E4079" s="108"/>
    </row>
    <row r="4080" spans="5:5" s="4" customFormat="1" hidden="1" x14ac:dyDescent="0.5">
      <c r="E4080" s="108"/>
    </row>
    <row r="4081" spans="5:5" s="4" customFormat="1" hidden="1" x14ac:dyDescent="0.5">
      <c r="E4081" s="108"/>
    </row>
    <row r="4082" spans="5:5" s="4" customFormat="1" hidden="1" x14ac:dyDescent="0.5">
      <c r="E4082" s="108"/>
    </row>
    <row r="4083" spans="5:5" s="4" customFormat="1" hidden="1" x14ac:dyDescent="0.5">
      <c r="E4083" s="108"/>
    </row>
    <row r="4084" spans="5:5" s="4" customFormat="1" hidden="1" x14ac:dyDescent="0.5">
      <c r="E4084" s="108"/>
    </row>
    <row r="4085" spans="5:5" s="4" customFormat="1" hidden="1" x14ac:dyDescent="0.5">
      <c r="E4085" s="108"/>
    </row>
    <row r="4086" spans="5:5" s="4" customFormat="1" hidden="1" x14ac:dyDescent="0.5">
      <c r="E4086" s="108"/>
    </row>
    <row r="4087" spans="5:5" s="4" customFormat="1" hidden="1" x14ac:dyDescent="0.5">
      <c r="E4087" s="108"/>
    </row>
    <row r="4088" spans="5:5" s="4" customFormat="1" hidden="1" x14ac:dyDescent="0.5">
      <c r="E4088" s="108"/>
    </row>
    <row r="4089" spans="5:5" s="4" customFormat="1" hidden="1" x14ac:dyDescent="0.5">
      <c r="E4089" s="108"/>
    </row>
    <row r="4090" spans="5:5" s="4" customFormat="1" hidden="1" x14ac:dyDescent="0.5">
      <c r="E4090" s="108"/>
    </row>
    <row r="4091" spans="5:5" s="4" customFormat="1" hidden="1" x14ac:dyDescent="0.5">
      <c r="E4091" s="108"/>
    </row>
    <row r="4092" spans="5:5" s="4" customFormat="1" hidden="1" x14ac:dyDescent="0.5">
      <c r="E4092" s="108"/>
    </row>
    <row r="4093" spans="5:5" s="4" customFormat="1" hidden="1" x14ac:dyDescent="0.5">
      <c r="E4093" s="108"/>
    </row>
    <row r="4094" spans="5:5" s="4" customFormat="1" hidden="1" x14ac:dyDescent="0.5">
      <c r="E4094" s="108"/>
    </row>
    <row r="4095" spans="5:5" s="4" customFormat="1" hidden="1" x14ac:dyDescent="0.5">
      <c r="E4095" s="108"/>
    </row>
    <row r="4096" spans="5:5" s="4" customFormat="1" hidden="1" x14ac:dyDescent="0.5">
      <c r="E4096" s="108"/>
    </row>
    <row r="4097" spans="5:5" s="4" customFormat="1" hidden="1" x14ac:dyDescent="0.5">
      <c r="E4097" s="108"/>
    </row>
    <row r="4098" spans="5:5" s="4" customFormat="1" hidden="1" x14ac:dyDescent="0.5">
      <c r="E4098" s="108"/>
    </row>
    <row r="4099" spans="5:5" s="4" customFormat="1" hidden="1" x14ac:dyDescent="0.5">
      <c r="E4099" s="108"/>
    </row>
    <row r="4100" spans="5:5" s="4" customFormat="1" hidden="1" x14ac:dyDescent="0.5">
      <c r="E4100" s="108"/>
    </row>
    <row r="4101" spans="5:5" s="4" customFormat="1" hidden="1" x14ac:dyDescent="0.5">
      <c r="E4101" s="108"/>
    </row>
    <row r="4102" spans="5:5" s="4" customFormat="1" hidden="1" x14ac:dyDescent="0.5">
      <c r="E4102" s="108"/>
    </row>
    <row r="4103" spans="5:5" s="4" customFormat="1" hidden="1" x14ac:dyDescent="0.5">
      <c r="E4103" s="108"/>
    </row>
    <row r="4104" spans="5:5" s="4" customFormat="1" hidden="1" x14ac:dyDescent="0.5">
      <c r="E4104" s="108"/>
    </row>
    <row r="4105" spans="5:5" s="4" customFormat="1" hidden="1" x14ac:dyDescent="0.5">
      <c r="E4105" s="108"/>
    </row>
    <row r="4106" spans="5:5" s="4" customFormat="1" hidden="1" x14ac:dyDescent="0.5">
      <c r="E4106" s="108"/>
    </row>
    <row r="4107" spans="5:5" s="4" customFormat="1" hidden="1" x14ac:dyDescent="0.5">
      <c r="E4107" s="108"/>
    </row>
    <row r="4108" spans="5:5" s="4" customFormat="1" hidden="1" x14ac:dyDescent="0.5">
      <c r="E4108" s="108"/>
    </row>
    <row r="4109" spans="5:5" s="4" customFormat="1" hidden="1" x14ac:dyDescent="0.5">
      <c r="E4109" s="108"/>
    </row>
    <row r="4110" spans="5:5" s="4" customFormat="1" hidden="1" x14ac:dyDescent="0.5">
      <c r="E4110" s="108"/>
    </row>
    <row r="4111" spans="5:5" s="4" customFormat="1" hidden="1" x14ac:dyDescent="0.5">
      <c r="E4111" s="108"/>
    </row>
    <row r="4112" spans="5:5" s="4" customFormat="1" hidden="1" x14ac:dyDescent="0.5">
      <c r="E4112" s="108"/>
    </row>
    <row r="4113" spans="5:5" s="4" customFormat="1" hidden="1" x14ac:dyDescent="0.5">
      <c r="E4113" s="108"/>
    </row>
    <row r="4114" spans="5:5" s="4" customFormat="1" hidden="1" x14ac:dyDescent="0.5">
      <c r="E4114" s="108"/>
    </row>
    <row r="4115" spans="5:5" s="4" customFormat="1" hidden="1" x14ac:dyDescent="0.5">
      <c r="E4115" s="108"/>
    </row>
    <row r="4116" spans="5:5" s="4" customFormat="1" hidden="1" x14ac:dyDescent="0.5">
      <c r="E4116" s="108"/>
    </row>
    <row r="4117" spans="5:5" s="4" customFormat="1" hidden="1" x14ac:dyDescent="0.5">
      <c r="E4117" s="108"/>
    </row>
    <row r="4118" spans="5:5" s="4" customFormat="1" hidden="1" x14ac:dyDescent="0.5">
      <c r="E4118" s="108"/>
    </row>
    <row r="4119" spans="5:5" s="4" customFormat="1" hidden="1" x14ac:dyDescent="0.5">
      <c r="E4119" s="108"/>
    </row>
    <row r="4120" spans="5:5" s="4" customFormat="1" hidden="1" x14ac:dyDescent="0.5">
      <c r="E4120" s="108"/>
    </row>
    <row r="4121" spans="5:5" s="4" customFormat="1" hidden="1" x14ac:dyDescent="0.5">
      <c r="E4121" s="108"/>
    </row>
    <row r="4122" spans="5:5" s="4" customFormat="1" hidden="1" x14ac:dyDescent="0.5">
      <c r="E4122" s="108"/>
    </row>
    <row r="4123" spans="5:5" s="4" customFormat="1" hidden="1" x14ac:dyDescent="0.5">
      <c r="E4123" s="108"/>
    </row>
    <row r="4124" spans="5:5" s="4" customFormat="1" hidden="1" x14ac:dyDescent="0.5">
      <c r="E4124" s="108"/>
    </row>
    <row r="4125" spans="5:5" s="4" customFormat="1" hidden="1" x14ac:dyDescent="0.5">
      <c r="E4125" s="108"/>
    </row>
    <row r="4126" spans="5:5" s="4" customFormat="1" hidden="1" x14ac:dyDescent="0.5">
      <c r="E4126" s="108"/>
    </row>
    <row r="4127" spans="5:5" s="4" customFormat="1" hidden="1" x14ac:dyDescent="0.5">
      <c r="E4127" s="108"/>
    </row>
    <row r="4128" spans="5:5" s="4" customFormat="1" hidden="1" x14ac:dyDescent="0.5">
      <c r="E4128" s="108"/>
    </row>
    <row r="4129" spans="5:5" s="4" customFormat="1" hidden="1" x14ac:dyDescent="0.5">
      <c r="E4129" s="108"/>
    </row>
    <row r="4130" spans="5:5" s="4" customFormat="1" hidden="1" x14ac:dyDescent="0.5">
      <c r="E4130" s="108"/>
    </row>
    <row r="4131" spans="5:5" s="4" customFormat="1" hidden="1" x14ac:dyDescent="0.5">
      <c r="E4131" s="108"/>
    </row>
    <row r="4132" spans="5:5" s="4" customFormat="1" hidden="1" x14ac:dyDescent="0.5">
      <c r="E4132" s="108"/>
    </row>
    <row r="4133" spans="5:5" s="4" customFormat="1" hidden="1" x14ac:dyDescent="0.5">
      <c r="E4133" s="108"/>
    </row>
    <row r="4134" spans="5:5" s="4" customFormat="1" hidden="1" x14ac:dyDescent="0.5">
      <c r="E4134" s="108"/>
    </row>
    <row r="4135" spans="5:5" s="4" customFormat="1" hidden="1" x14ac:dyDescent="0.5">
      <c r="E4135" s="108"/>
    </row>
    <row r="4136" spans="5:5" s="4" customFormat="1" hidden="1" x14ac:dyDescent="0.5">
      <c r="E4136" s="108"/>
    </row>
    <row r="4137" spans="5:5" s="4" customFormat="1" hidden="1" x14ac:dyDescent="0.5">
      <c r="E4137" s="108"/>
    </row>
    <row r="4138" spans="5:5" s="4" customFormat="1" hidden="1" x14ac:dyDescent="0.5">
      <c r="E4138" s="108"/>
    </row>
    <row r="4139" spans="5:5" s="4" customFormat="1" hidden="1" x14ac:dyDescent="0.5">
      <c r="E4139" s="108"/>
    </row>
    <row r="4140" spans="5:5" s="4" customFormat="1" hidden="1" x14ac:dyDescent="0.5">
      <c r="E4140" s="108"/>
    </row>
    <row r="4141" spans="5:5" s="4" customFormat="1" hidden="1" x14ac:dyDescent="0.5">
      <c r="E4141" s="108"/>
    </row>
    <row r="4142" spans="5:5" s="4" customFormat="1" hidden="1" x14ac:dyDescent="0.5">
      <c r="E4142" s="108"/>
    </row>
    <row r="4143" spans="5:5" s="4" customFormat="1" hidden="1" x14ac:dyDescent="0.5">
      <c r="E4143" s="108"/>
    </row>
    <row r="4144" spans="5:5" s="4" customFormat="1" hidden="1" x14ac:dyDescent="0.5">
      <c r="E4144" s="108"/>
    </row>
    <row r="4145" spans="5:5" s="4" customFormat="1" hidden="1" x14ac:dyDescent="0.5">
      <c r="E4145" s="108"/>
    </row>
    <row r="4146" spans="5:5" s="4" customFormat="1" hidden="1" x14ac:dyDescent="0.5">
      <c r="E4146" s="108"/>
    </row>
    <row r="4147" spans="5:5" s="4" customFormat="1" hidden="1" x14ac:dyDescent="0.5">
      <c r="E4147" s="108"/>
    </row>
    <row r="4148" spans="5:5" s="4" customFormat="1" hidden="1" x14ac:dyDescent="0.5">
      <c r="E4148" s="108"/>
    </row>
    <row r="4149" spans="5:5" s="4" customFormat="1" hidden="1" x14ac:dyDescent="0.5">
      <c r="E4149" s="108"/>
    </row>
    <row r="4150" spans="5:5" s="4" customFormat="1" hidden="1" x14ac:dyDescent="0.5">
      <c r="E4150" s="108"/>
    </row>
    <row r="4151" spans="5:5" s="4" customFormat="1" hidden="1" x14ac:dyDescent="0.5">
      <c r="E4151" s="108"/>
    </row>
    <row r="4152" spans="5:5" s="4" customFormat="1" hidden="1" x14ac:dyDescent="0.5">
      <c r="E4152" s="108"/>
    </row>
    <row r="4153" spans="5:5" s="4" customFormat="1" hidden="1" x14ac:dyDescent="0.5">
      <c r="E4153" s="108"/>
    </row>
    <row r="4154" spans="5:5" s="4" customFormat="1" hidden="1" x14ac:dyDescent="0.5">
      <c r="E4154" s="108"/>
    </row>
    <row r="4155" spans="5:5" s="4" customFormat="1" hidden="1" x14ac:dyDescent="0.5">
      <c r="E4155" s="108"/>
    </row>
    <row r="4156" spans="5:5" s="4" customFormat="1" hidden="1" x14ac:dyDescent="0.5">
      <c r="E4156" s="108"/>
    </row>
    <row r="4157" spans="5:5" s="4" customFormat="1" hidden="1" x14ac:dyDescent="0.5">
      <c r="E4157" s="108"/>
    </row>
    <row r="4158" spans="5:5" s="4" customFormat="1" hidden="1" x14ac:dyDescent="0.5">
      <c r="E4158" s="108"/>
    </row>
    <row r="4159" spans="5:5" s="4" customFormat="1" hidden="1" x14ac:dyDescent="0.5">
      <c r="E4159" s="108"/>
    </row>
    <row r="4160" spans="5:5" s="4" customFormat="1" hidden="1" x14ac:dyDescent="0.5">
      <c r="E4160" s="108"/>
    </row>
    <row r="4161" spans="5:5" s="4" customFormat="1" hidden="1" x14ac:dyDescent="0.5">
      <c r="E4161" s="108"/>
    </row>
    <row r="4162" spans="5:5" s="4" customFormat="1" hidden="1" x14ac:dyDescent="0.5">
      <c r="E4162" s="108"/>
    </row>
    <row r="4163" spans="5:5" s="4" customFormat="1" hidden="1" x14ac:dyDescent="0.5">
      <c r="E4163" s="108"/>
    </row>
    <row r="4164" spans="5:5" s="4" customFormat="1" hidden="1" x14ac:dyDescent="0.5">
      <c r="E4164" s="108"/>
    </row>
    <row r="4165" spans="5:5" s="4" customFormat="1" hidden="1" x14ac:dyDescent="0.5">
      <c r="E4165" s="108"/>
    </row>
    <row r="4166" spans="5:5" s="4" customFormat="1" hidden="1" x14ac:dyDescent="0.5">
      <c r="E4166" s="108"/>
    </row>
    <row r="4167" spans="5:5" s="4" customFormat="1" hidden="1" x14ac:dyDescent="0.5">
      <c r="E4167" s="108"/>
    </row>
    <row r="4168" spans="5:5" s="4" customFormat="1" hidden="1" x14ac:dyDescent="0.5">
      <c r="E4168" s="108"/>
    </row>
    <row r="4169" spans="5:5" s="4" customFormat="1" hidden="1" x14ac:dyDescent="0.5">
      <c r="E4169" s="108"/>
    </row>
    <row r="4170" spans="5:5" s="4" customFormat="1" hidden="1" x14ac:dyDescent="0.5">
      <c r="E4170" s="108"/>
    </row>
    <row r="4171" spans="5:5" s="4" customFormat="1" hidden="1" x14ac:dyDescent="0.5">
      <c r="E4171" s="108"/>
    </row>
    <row r="4172" spans="5:5" s="4" customFormat="1" hidden="1" x14ac:dyDescent="0.5">
      <c r="E4172" s="108"/>
    </row>
    <row r="4173" spans="5:5" s="4" customFormat="1" hidden="1" x14ac:dyDescent="0.5">
      <c r="E4173" s="108"/>
    </row>
    <row r="4174" spans="5:5" s="4" customFormat="1" hidden="1" x14ac:dyDescent="0.5">
      <c r="E4174" s="108"/>
    </row>
    <row r="4175" spans="5:5" s="4" customFormat="1" hidden="1" x14ac:dyDescent="0.5">
      <c r="E4175" s="108"/>
    </row>
    <row r="4176" spans="5:5" s="4" customFormat="1" hidden="1" x14ac:dyDescent="0.5">
      <c r="E4176" s="108"/>
    </row>
    <row r="4177" spans="5:5" s="4" customFormat="1" hidden="1" x14ac:dyDescent="0.5">
      <c r="E4177" s="108"/>
    </row>
    <row r="4178" spans="5:5" s="4" customFormat="1" hidden="1" x14ac:dyDescent="0.5">
      <c r="E4178" s="108"/>
    </row>
    <row r="4179" spans="5:5" s="4" customFormat="1" hidden="1" x14ac:dyDescent="0.5">
      <c r="E4179" s="108"/>
    </row>
    <row r="4180" spans="5:5" s="4" customFormat="1" hidden="1" x14ac:dyDescent="0.5">
      <c r="E4180" s="108"/>
    </row>
    <row r="4181" spans="5:5" s="4" customFormat="1" hidden="1" x14ac:dyDescent="0.5">
      <c r="E4181" s="108"/>
    </row>
    <row r="4182" spans="5:5" s="4" customFormat="1" hidden="1" x14ac:dyDescent="0.5">
      <c r="E4182" s="108"/>
    </row>
    <row r="4183" spans="5:5" s="4" customFormat="1" hidden="1" x14ac:dyDescent="0.5">
      <c r="E4183" s="108"/>
    </row>
    <row r="4184" spans="5:5" s="4" customFormat="1" hidden="1" x14ac:dyDescent="0.5">
      <c r="E4184" s="108"/>
    </row>
    <row r="4185" spans="5:5" s="4" customFormat="1" hidden="1" x14ac:dyDescent="0.5">
      <c r="E4185" s="108"/>
    </row>
    <row r="4186" spans="5:5" s="4" customFormat="1" hidden="1" x14ac:dyDescent="0.5">
      <c r="E4186" s="108"/>
    </row>
    <row r="4187" spans="5:5" s="4" customFormat="1" hidden="1" x14ac:dyDescent="0.5">
      <c r="E4187" s="108"/>
    </row>
    <row r="4188" spans="5:5" s="4" customFormat="1" hidden="1" x14ac:dyDescent="0.5">
      <c r="E4188" s="108"/>
    </row>
    <row r="4189" spans="5:5" s="4" customFormat="1" hidden="1" x14ac:dyDescent="0.5">
      <c r="E4189" s="108"/>
    </row>
    <row r="4190" spans="5:5" s="4" customFormat="1" hidden="1" x14ac:dyDescent="0.5">
      <c r="E4190" s="108"/>
    </row>
    <row r="4191" spans="5:5" s="4" customFormat="1" hidden="1" x14ac:dyDescent="0.5">
      <c r="E4191" s="108"/>
    </row>
    <row r="4192" spans="5:5" s="4" customFormat="1" hidden="1" x14ac:dyDescent="0.5">
      <c r="E4192" s="108"/>
    </row>
    <row r="4193" spans="5:5" s="4" customFormat="1" hidden="1" x14ac:dyDescent="0.5">
      <c r="E4193" s="108"/>
    </row>
    <row r="4194" spans="5:5" s="4" customFormat="1" hidden="1" x14ac:dyDescent="0.5">
      <c r="E4194" s="108"/>
    </row>
    <row r="4195" spans="5:5" s="4" customFormat="1" hidden="1" x14ac:dyDescent="0.5">
      <c r="E4195" s="108"/>
    </row>
    <row r="4196" spans="5:5" s="4" customFormat="1" hidden="1" x14ac:dyDescent="0.5">
      <c r="E4196" s="108"/>
    </row>
    <row r="4197" spans="5:5" s="4" customFormat="1" hidden="1" x14ac:dyDescent="0.5">
      <c r="E4197" s="108"/>
    </row>
    <row r="4198" spans="5:5" s="4" customFormat="1" hidden="1" x14ac:dyDescent="0.5">
      <c r="E4198" s="108"/>
    </row>
    <row r="4199" spans="5:5" s="4" customFormat="1" hidden="1" x14ac:dyDescent="0.5">
      <c r="E4199" s="108"/>
    </row>
    <row r="4200" spans="5:5" s="4" customFormat="1" hidden="1" x14ac:dyDescent="0.5">
      <c r="E4200" s="108"/>
    </row>
    <row r="4201" spans="5:5" s="4" customFormat="1" hidden="1" x14ac:dyDescent="0.5">
      <c r="E4201" s="108"/>
    </row>
    <row r="4202" spans="5:5" s="4" customFormat="1" hidden="1" x14ac:dyDescent="0.5">
      <c r="E4202" s="108"/>
    </row>
    <row r="4203" spans="5:5" s="4" customFormat="1" hidden="1" x14ac:dyDescent="0.5">
      <c r="E4203" s="108"/>
    </row>
    <row r="4204" spans="5:5" s="4" customFormat="1" hidden="1" x14ac:dyDescent="0.5">
      <c r="E4204" s="108"/>
    </row>
    <row r="4205" spans="5:5" s="4" customFormat="1" hidden="1" x14ac:dyDescent="0.5">
      <c r="E4205" s="108"/>
    </row>
    <row r="4206" spans="5:5" s="4" customFormat="1" hidden="1" x14ac:dyDescent="0.5">
      <c r="E4206" s="108"/>
    </row>
    <row r="4207" spans="5:5" s="4" customFormat="1" hidden="1" x14ac:dyDescent="0.5">
      <c r="E4207" s="108"/>
    </row>
    <row r="4208" spans="5:5" s="4" customFormat="1" hidden="1" x14ac:dyDescent="0.5">
      <c r="E4208" s="108"/>
    </row>
    <row r="4209" spans="5:5" s="4" customFormat="1" hidden="1" x14ac:dyDescent="0.5">
      <c r="E4209" s="108"/>
    </row>
    <row r="4210" spans="5:5" s="4" customFormat="1" hidden="1" x14ac:dyDescent="0.5">
      <c r="E4210" s="108"/>
    </row>
    <row r="4211" spans="5:5" s="4" customFormat="1" hidden="1" x14ac:dyDescent="0.5">
      <c r="E4211" s="108"/>
    </row>
    <row r="4212" spans="5:5" s="4" customFormat="1" hidden="1" x14ac:dyDescent="0.5">
      <c r="E4212" s="108"/>
    </row>
    <row r="4213" spans="5:5" s="4" customFormat="1" hidden="1" x14ac:dyDescent="0.5">
      <c r="E4213" s="108"/>
    </row>
    <row r="4214" spans="5:5" s="4" customFormat="1" hidden="1" x14ac:dyDescent="0.5">
      <c r="E4214" s="108"/>
    </row>
    <row r="4215" spans="5:5" s="4" customFormat="1" hidden="1" x14ac:dyDescent="0.5">
      <c r="E4215" s="108"/>
    </row>
    <row r="4216" spans="5:5" s="4" customFormat="1" hidden="1" x14ac:dyDescent="0.5">
      <c r="E4216" s="108"/>
    </row>
    <row r="4217" spans="5:5" s="4" customFormat="1" hidden="1" x14ac:dyDescent="0.5">
      <c r="E4217" s="108"/>
    </row>
    <row r="4218" spans="5:5" s="4" customFormat="1" hidden="1" x14ac:dyDescent="0.5">
      <c r="E4218" s="108"/>
    </row>
    <row r="4219" spans="5:5" s="4" customFormat="1" hidden="1" x14ac:dyDescent="0.5">
      <c r="E4219" s="108"/>
    </row>
    <row r="4220" spans="5:5" s="4" customFormat="1" hidden="1" x14ac:dyDescent="0.5">
      <c r="E4220" s="108"/>
    </row>
    <row r="4221" spans="5:5" s="4" customFormat="1" hidden="1" x14ac:dyDescent="0.5">
      <c r="E4221" s="108"/>
    </row>
    <row r="4222" spans="5:5" s="4" customFormat="1" hidden="1" x14ac:dyDescent="0.5">
      <c r="E4222" s="108"/>
    </row>
    <row r="4223" spans="5:5" s="4" customFormat="1" hidden="1" x14ac:dyDescent="0.5">
      <c r="E4223" s="108"/>
    </row>
    <row r="4224" spans="5:5" s="4" customFormat="1" hidden="1" x14ac:dyDescent="0.5">
      <c r="E4224" s="108"/>
    </row>
    <row r="4225" spans="5:5" s="4" customFormat="1" hidden="1" x14ac:dyDescent="0.5">
      <c r="E4225" s="108"/>
    </row>
    <row r="4226" spans="5:5" s="4" customFormat="1" hidden="1" x14ac:dyDescent="0.5">
      <c r="E4226" s="108"/>
    </row>
    <row r="4227" spans="5:5" s="4" customFormat="1" hidden="1" x14ac:dyDescent="0.5">
      <c r="E4227" s="108"/>
    </row>
    <row r="4228" spans="5:5" s="4" customFormat="1" hidden="1" x14ac:dyDescent="0.5">
      <c r="E4228" s="108"/>
    </row>
    <row r="4229" spans="5:5" s="4" customFormat="1" hidden="1" x14ac:dyDescent="0.5">
      <c r="E4229" s="108"/>
    </row>
    <row r="4230" spans="5:5" s="4" customFormat="1" hidden="1" x14ac:dyDescent="0.5">
      <c r="E4230" s="108"/>
    </row>
    <row r="4231" spans="5:5" s="4" customFormat="1" hidden="1" x14ac:dyDescent="0.5">
      <c r="E4231" s="108"/>
    </row>
    <row r="4232" spans="5:5" s="4" customFormat="1" hidden="1" x14ac:dyDescent="0.5">
      <c r="E4232" s="108"/>
    </row>
    <row r="4233" spans="5:5" s="4" customFormat="1" hidden="1" x14ac:dyDescent="0.5">
      <c r="E4233" s="108"/>
    </row>
    <row r="4234" spans="5:5" s="4" customFormat="1" hidden="1" x14ac:dyDescent="0.5">
      <c r="E4234" s="108"/>
    </row>
    <row r="4235" spans="5:5" s="4" customFormat="1" hidden="1" x14ac:dyDescent="0.5">
      <c r="E4235" s="108"/>
    </row>
    <row r="4236" spans="5:5" s="4" customFormat="1" hidden="1" x14ac:dyDescent="0.5">
      <c r="E4236" s="108"/>
    </row>
    <row r="4237" spans="5:5" s="4" customFormat="1" hidden="1" x14ac:dyDescent="0.5">
      <c r="E4237" s="108"/>
    </row>
    <row r="4238" spans="5:5" s="4" customFormat="1" hidden="1" x14ac:dyDescent="0.5">
      <c r="E4238" s="108"/>
    </row>
    <row r="4239" spans="5:5" s="4" customFormat="1" hidden="1" x14ac:dyDescent="0.5">
      <c r="E4239" s="108"/>
    </row>
    <row r="4240" spans="5:5" s="4" customFormat="1" hidden="1" x14ac:dyDescent="0.5">
      <c r="E4240" s="108"/>
    </row>
    <row r="4241" spans="5:5" s="4" customFormat="1" hidden="1" x14ac:dyDescent="0.5">
      <c r="E4241" s="108"/>
    </row>
    <row r="4242" spans="5:5" s="4" customFormat="1" hidden="1" x14ac:dyDescent="0.5">
      <c r="E4242" s="108"/>
    </row>
    <row r="4243" spans="5:5" s="4" customFormat="1" hidden="1" x14ac:dyDescent="0.5">
      <c r="E4243" s="108"/>
    </row>
    <row r="4244" spans="5:5" s="4" customFormat="1" hidden="1" x14ac:dyDescent="0.5">
      <c r="E4244" s="108"/>
    </row>
    <row r="4245" spans="5:5" s="4" customFormat="1" hidden="1" x14ac:dyDescent="0.5">
      <c r="E4245" s="108"/>
    </row>
    <row r="4246" spans="5:5" s="4" customFormat="1" hidden="1" x14ac:dyDescent="0.5">
      <c r="E4246" s="108"/>
    </row>
    <row r="4247" spans="5:5" s="4" customFormat="1" hidden="1" x14ac:dyDescent="0.5">
      <c r="E4247" s="108"/>
    </row>
    <row r="4248" spans="5:5" s="4" customFormat="1" hidden="1" x14ac:dyDescent="0.5">
      <c r="E4248" s="108"/>
    </row>
    <row r="4249" spans="5:5" s="4" customFormat="1" hidden="1" x14ac:dyDescent="0.5">
      <c r="E4249" s="108"/>
    </row>
    <row r="4250" spans="5:5" s="4" customFormat="1" hidden="1" x14ac:dyDescent="0.5">
      <c r="E4250" s="108"/>
    </row>
    <row r="4251" spans="5:5" s="4" customFormat="1" hidden="1" x14ac:dyDescent="0.5">
      <c r="E4251" s="108"/>
    </row>
    <row r="4252" spans="5:5" s="4" customFormat="1" hidden="1" x14ac:dyDescent="0.5">
      <c r="E4252" s="108"/>
    </row>
    <row r="4253" spans="5:5" s="4" customFormat="1" hidden="1" x14ac:dyDescent="0.5">
      <c r="E4253" s="108"/>
    </row>
    <row r="4254" spans="5:5" s="4" customFormat="1" hidden="1" x14ac:dyDescent="0.5">
      <c r="E4254" s="108"/>
    </row>
    <row r="4255" spans="5:5" s="4" customFormat="1" hidden="1" x14ac:dyDescent="0.5">
      <c r="E4255" s="108"/>
    </row>
    <row r="4256" spans="5:5" s="4" customFormat="1" hidden="1" x14ac:dyDescent="0.5">
      <c r="E4256" s="108"/>
    </row>
    <row r="4257" spans="5:5" s="4" customFormat="1" hidden="1" x14ac:dyDescent="0.5">
      <c r="E4257" s="108"/>
    </row>
    <row r="4258" spans="5:5" s="4" customFormat="1" hidden="1" x14ac:dyDescent="0.5">
      <c r="E4258" s="108"/>
    </row>
    <row r="4259" spans="5:5" s="4" customFormat="1" hidden="1" x14ac:dyDescent="0.5">
      <c r="E4259" s="108"/>
    </row>
    <row r="4260" spans="5:5" s="4" customFormat="1" hidden="1" x14ac:dyDescent="0.5">
      <c r="E4260" s="108"/>
    </row>
    <row r="4261" spans="5:5" s="4" customFormat="1" hidden="1" x14ac:dyDescent="0.5">
      <c r="E4261" s="108"/>
    </row>
    <row r="4262" spans="5:5" s="4" customFormat="1" hidden="1" x14ac:dyDescent="0.5">
      <c r="E4262" s="108"/>
    </row>
    <row r="4263" spans="5:5" s="4" customFormat="1" hidden="1" x14ac:dyDescent="0.5">
      <c r="E4263" s="108"/>
    </row>
    <row r="4264" spans="5:5" s="4" customFormat="1" hidden="1" x14ac:dyDescent="0.5">
      <c r="E4264" s="108"/>
    </row>
    <row r="4265" spans="5:5" s="4" customFormat="1" hidden="1" x14ac:dyDescent="0.5">
      <c r="E4265" s="108"/>
    </row>
    <row r="4266" spans="5:5" s="4" customFormat="1" hidden="1" x14ac:dyDescent="0.5">
      <c r="E4266" s="108"/>
    </row>
    <row r="4267" spans="5:5" s="4" customFormat="1" hidden="1" x14ac:dyDescent="0.5">
      <c r="E4267" s="108"/>
    </row>
    <row r="4268" spans="5:5" s="4" customFormat="1" hidden="1" x14ac:dyDescent="0.5">
      <c r="E4268" s="108"/>
    </row>
    <row r="4269" spans="5:5" s="4" customFormat="1" hidden="1" x14ac:dyDescent="0.5">
      <c r="E4269" s="108"/>
    </row>
    <row r="4270" spans="5:5" s="4" customFormat="1" hidden="1" x14ac:dyDescent="0.5">
      <c r="E4270" s="108"/>
    </row>
    <row r="4271" spans="5:5" s="4" customFormat="1" hidden="1" x14ac:dyDescent="0.5">
      <c r="E4271" s="108"/>
    </row>
    <row r="4272" spans="5:5" s="4" customFormat="1" hidden="1" x14ac:dyDescent="0.5">
      <c r="E4272" s="108"/>
    </row>
    <row r="4273" spans="5:5" s="4" customFormat="1" hidden="1" x14ac:dyDescent="0.5">
      <c r="E4273" s="108"/>
    </row>
    <row r="4274" spans="5:5" s="4" customFormat="1" hidden="1" x14ac:dyDescent="0.5">
      <c r="E4274" s="108"/>
    </row>
    <row r="4275" spans="5:5" s="4" customFormat="1" hidden="1" x14ac:dyDescent="0.5">
      <c r="E4275" s="108"/>
    </row>
    <row r="4276" spans="5:5" s="4" customFormat="1" hidden="1" x14ac:dyDescent="0.5">
      <c r="E4276" s="108"/>
    </row>
    <row r="4277" spans="5:5" s="4" customFormat="1" hidden="1" x14ac:dyDescent="0.5">
      <c r="E4277" s="108"/>
    </row>
    <row r="4278" spans="5:5" s="4" customFormat="1" hidden="1" x14ac:dyDescent="0.5">
      <c r="E4278" s="108"/>
    </row>
    <row r="4279" spans="5:5" s="4" customFormat="1" hidden="1" x14ac:dyDescent="0.5">
      <c r="E4279" s="108"/>
    </row>
    <row r="4280" spans="5:5" s="4" customFormat="1" hidden="1" x14ac:dyDescent="0.5">
      <c r="E4280" s="108"/>
    </row>
    <row r="4281" spans="5:5" s="4" customFormat="1" hidden="1" x14ac:dyDescent="0.5">
      <c r="E4281" s="108"/>
    </row>
    <row r="4282" spans="5:5" s="4" customFormat="1" hidden="1" x14ac:dyDescent="0.5">
      <c r="E4282" s="108"/>
    </row>
    <row r="4283" spans="5:5" s="4" customFormat="1" hidden="1" x14ac:dyDescent="0.5">
      <c r="E4283" s="108"/>
    </row>
    <row r="4284" spans="5:5" s="4" customFormat="1" hidden="1" x14ac:dyDescent="0.5">
      <c r="E4284" s="108"/>
    </row>
    <row r="4285" spans="5:5" s="4" customFormat="1" hidden="1" x14ac:dyDescent="0.5">
      <c r="E4285" s="108"/>
    </row>
    <row r="4286" spans="5:5" s="4" customFormat="1" hidden="1" x14ac:dyDescent="0.5">
      <c r="E4286" s="108"/>
    </row>
    <row r="4287" spans="5:5" s="4" customFormat="1" hidden="1" x14ac:dyDescent="0.5">
      <c r="E4287" s="108"/>
    </row>
    <row r="4288" spans="5:5" s="4" customFormat="1" hidden="1" x14ac:dyDescent="0.5">
      <c r="E4288" s="108"/>
    </row>
    <row r="4289" spans="5:5" s="4" customFormat="1" hidden="1" x14ac:dyDescent="0.5">
      <c r="E4289" s="108"/>
    </row>
    <row r="4290" spans="5:5" s="4" customFormat="1" hidden="1" x14ac:dyDescent="0.5">
      <c r="E4290" s="108"/>
    </row>
    <row r="4291" spans="5:5" s="4" customFormat="1" hidden="1" x14ac:dyDescent="0.5">
      <c r="E4291" s="108"/>
    </row>
    <row r="4292" spans="5:5" s="4" customFormat="1" hidden="1" x14ac:dyDescent="0.5">
      <c r="E4292" s="108"/>
    </row>
    <row r="4293" spans="5:5" s="4" customFormat="1" hidden="1" x14ac:dyDescent="0.5">
      <c r="E4293" s="108"/>
    </row>
    <row r="4294" spans="5:5" s="4" customFormat="1" hidden="1" x14ac:dyDescent="0.5">
      <c r="E4294" s="108"/>
    </row>
    <row r="4295" spans="5:5" s="4" customFormat="1" hidden="1" x14ac:dyDescent="0.5">
      <c r="E4295" s="108"/>
    </row>
    <row r="4296" spans="5:5" s="4" customFormat="1" hidden="1" x14ac:dyDescent="0.5">
      <c r="E4296" s="108"/>
    </row>
    <row r="4297" spans="5:5" s="4" customFormat="1" hidden="1" x14ac:dyDescent="0.5">
      <c r="E4297" s="108"/>
    </row>
    <row r="4298" spans="5:5" s="4" customFormat="1" hidden="1" x14ac:dyDescent="0.5">
      <c r="E4298" s="108"/>
    </row>
    <row r="4299" spans="5:5" s="4" customFormat="1" hidden="1" x14ac:dyDescent="0.5">
      <c r="E4299" s="108"/>
    </row>
    <row r="4300" spans="5:5" s="4" customFormat="1" hidden="1" x14ac:dyDescent="0.5">
      <c r="E4300" s="108"/>
    </row>
    <row r="4301" spans="5:5" s="4" customFormat="1" hidden="1" x14ac:dyDescent="0.5">
      <c r="E4301" s="108"/>
    </row>
    <row r="4302" spans="5:5" s="4" customFormat="1" hidden="1" x14ac:dyDescent="0.5">
      <c r="E4302" s="108"/>
    </row>
    <row r="4303" spans="5:5" s="4" customFormat="1" hidden="1" x14ac:dyDescent="0.5">
      <c r="E4303" s="108"/>
    </row>
    <row r="4304" spans="5:5" s="4" customFormat="1" hidden="1" x14ac:dyDescent="0.5">
      <c r="E4304" s="108"/>
    </row>
    <row r="4305" spans="5:5" s="4" customFormat="1" hidden="1" x14ac:dyDescent="0.5">
      <c r="E4305" s="108"/>
    </row>
    <row r="4306" spans="5:5" s="4" customFormat="1" hidden="1" x14ac:dyDescent="0.5">
      <c r="E4306" s="108"/>
    </row>
    <row r="4307" spans="5:5" s="4" customFormat="1" hidden="1" x14ac:dyDescent="0.5">
      <c r="E4307" s="108"/>
    </row>
    <row r="4308" spans="5:5" s="4" customFormat="1" hidden="1" x14ac:dyDescent="0.5">
      <c r="E4308" s="108"/>
    </row>
    <row r="4309" spans="5:5" s="4" customFormat="1" hidden="1" x14ac:dyDescent="0.5">
      <c r="E4309" s="108"/>
    </row>
    <row r="4310" spans="5:5" s="4" customFormat="1" hidden="1" x14ac:dyDescent="0.5">
      <c r="E4310" s="108"/>
    </row>
    <row r="4311" spans="5:5" s="4" customFormat="1" hidden="1" x14ac:dyDescent="0.5">
      <c r="E4311" s="108"/>
    </row>
    <row r="4312" spans="5:5" s="4" customFormat="1" hidden="1" x14ac:dyDescent="0.5">
      <c r="E4312" s="108"/>
    </row>
    <row r="4313" spans="5:5" s="4" customFormat="1" hidden="1" x14ac:dyDescent="0.5">
      <c r="E4313" s="108"/>
    </row>
    <row r="4314" spans="5:5" s="4" customFormat="1" hidden="1" x14ac:dyDescent="0.5">
      <c r="E4314" s="108"/>
    </row>
    <row r="4315" spans="5:5" s="4" customFormat="1" hidden="1" x14ac:dyDescent="0.5">
      <c r="E4315" s="108"/>
    </row>
    <row r="4316" spans="5:5" s="4" customFormat="1" hidden="1" x14ac:dyDescent="0.5">
      <c r="E4316" s="108"/>
    </row>
    <row r="4317" spans="5:5" s="4" customFormat="1" hidden="1" x14ac:dyDescent="0.5">
      <c r="E4317" s="108"/>
    </row>
    <row r="4318" spans="5:5" s="4" customFormat="1" hidden="1" x14ac:dyDescent="0.5">
      <c r="E4318" s="108"/>
    </row>
    <row r="4319" spans="5:5" s="4" customFormat="1" hidden="1" x14ac:dyDescent="0.5">
      <c r="E4319" s="108"/>
    </row>
    <row r="4320" spans="5:5" s="4" customFormat="1" hidden="1" x14ac:dyDescent="0.5">
      <c r="E4320" s="108"/>
    </row>
    <row r="4321" spans="5:5" s="4" customFormat="1" hidden="1" x14ac:dyDescent="0.5">
      <c r="E4321" s="108"/>
    </row>
    <row r="4322" spans="5:5" s="4" customFormat="1" hidden="1" x14ac:dyDescent="0.5">
      <c r="E4322" s="108"/>
    </row>
    <row r="4323" spans="5:5" s="4" customFormat="1" hidden="1" x14ac:dyDescent="0.5">
      <c r="E4323" s="108"/>
    </row>
    <row r="4324" spans="5:5" s="4" customFormat="1" hidden="1" x14ac:dyDescent="0.5">
      <c r="E4324" s="108"/>
    </row>
    <row r="4325" spans="5:5" s="4" customFormat="1" hidden="1" x14ac:dyDescent="0.5">
      <c r="E4325" s="108"/>
    </row>
    <row r="4326" spans="5:5" s="4" customFormat="1" hidden="1" x14ac:dyDescent="0.5">
      <c r="E4326" s="108"/>
    </row>
    <row r="4327" spans="5:5" s="4" customFormat="1" hidden="1" x14ac:dyDescent="0.5">
      <c r="E4327" s="108"/>
    </row>
    <row r="4328" spans="5:5" s="4" customFormat="1" hidden="1" x14ac:dyDescent="0.5">
      <c r="E4328" s="108"/>
    </row>
    <row r="4329" spans="5:5" s="4" customFormat="1" hidden="1" x14ac:dyDescent="0.5">
      <c r="E4329" s="108"/>
    </row>
    <row r="4330" spans="5:5" s="4" customFormat="1" hidden="1" x14ac:dyDescent="0.5">
      <c r="E4330" s="108"/>
    </row>
    <row r="4331" spans="5:5" s="4" customFormat="1" hidden="1" x14ac:dyDescent="0.5">
      <c r="E4331" s="108"/>
    </row>
    <row r="4332" spans="5:5" s="4" customFormat="1" hidden="1" x14ac:dyDescent="0.5">
      <c r="E4332" s="108"/>
    </row>
    <row r="4333" spans="5:5" s="4" customFormat="1" hidden="1" x14ac:dyDescent="0.5">
      <c r="E4333" s="108"/>
    </row>
    <row r="4334" spans="5:5" s="4" customFormat="1" hidden="1" x14ac:dyDescent="0.5">
      <c r="E4334" s="108"/>
    </row>
    <row r="4335" spans="5:5" s="4" customFormat="1" hidden="1" x14ac:dyDescent="0.5">
      <c r="E4335" s="108"/>
    </row>
    <row r="4336" spans="5:5" s="4" customFormat="1" hidden="1" x14ac:dyDescent="0.5">
      <c r="E4336" s="108"/>
    </row>
    <row r="4337" spans="5:5" s="4" customFormat="1" hidden="1" x14ac:dyDescent="0.5">
      <c r="E4337" s="108"/>
    </row>
    <row r="4338" spans="5:5" s="4" customFormat="1" hidden="1" x14ac:dyDescent="0.5">
      <c r="E4338" s="108"/>
    </row>
    <row r="4339" spans="5:5" s="4" customFormat="1" hidden="1" x14ac:dyDescent="0.5">
      <c r="E4339" s="108"/>
    </row>
    <row r="4340" spans="5:5" s="4" customFormat="1" hidden="1" x14ac:dyDescent="0.5">
      <c r="E4340" s="108"/>
    </row>
    <row r="4341" spans="5:5" s="4" customFormat="1" hidden="1" x14ac:dyDescent="0.5">
      <c r="E4341" s="108"/>
    </row>
    <row r="4342" spans="5:5" s="4" customFormat="1" hidden="1" x14ac:dyDescent="0.5">
      <c r="E4342" s="108"/>
    </row>
    <row r="4343" spans="5:5" s="4" customFormat="1" hidden="1" x14ac:dyDescent="0.5">
      <c r="E4343" s="108"/>
    </row>
    <row r="4344" spans="5:5" s="4" customFormat="1" hidden="1" x14ac:dyDescent="0.5">
      <c r="E4344" s="108"/>
    </row>
    <row r="4345" spans="5:5" s="4" customFormat="1" hidden="1" x14ac:dyDescent="0.5">
      <c r="E4345" s="108"/>
    </row>
    <row r="4346" spans="5:5" s="4" customFormat="1" hidden="1" x14ac:dyDescent="0.5">
      <c r="E4346" s="108"/>
    </row>
    <row r="4347" spans="5:5" s="4" customFormat="1" hidden="1" x14ac:dyDescent="0.5">
      <c r="E4347" s="108"/>
    </row>
    <row r="4348" spans="5:5" s="4" customFormat="1" hidden="1" x14ac:dyDescent="0.5">
      <c r="E4348" s="108"/>
    </row>
    <row r="4349" spans="5:5" s="4" customFormat="1" hidden="1" x14ac:dyDescent="0.5">
      <c r="E4349" s="108"/>
    </row>
    <row r="4350" spans="5:5" s="4" customFormat="1" hidden="1" x14ac:dyDescent="0.5">
      <c r="E4350" s="108"/>
    </row>
    <row r="4351" spans="5:5" s="4" customFormat="1" hidden="1" x14ac:dyDescent="0.5">
      <c r="E4351" s="108"/>
    </row>
    <row r="4352" spans="5:5" s="4" customFormat="1" hidden="1" x14ac:dyDescent="0.5">
      <c r="E4352" s="108"/>
    </row>
    <row r="4353" spans="5:5" s="4" customFormat="1" hidden="1" x14ac:dyDescent="0.5">
      <c r="E4353" s="108"/>
    </row>
    <row r="4354" spans="5:5" s="4" customFormat="1" hidden="1" x14ac:dyDescent="0.5">
      <c r="E4354" s="108"/>
    </row>
    <row r="4355" spans="5:5" s="4" customFormat="1" hidden="1" x14ac:dyDescent="0.5">
      <c r="E4355" s="108"/>
    </row>
    <row r="4356" spans="5:5" s="4" customFormat="1" hidden="1" x14ac:dyDescent="0.5">
      <c r="E4356" s="108"/>
    </row>
    <row r="4357" spans="5:5" s="4" customFormat="1" hidden="1" x14ac:dyDescent="0.5">
      <c r="E4357" s="108"/>
    </row>
    <row r="4358" spans="5:5" s="4" customFormat="1" hidden="1" x14ac:dyDescent="0.5">
      <c r="E4358" s="108"/>
    </row>
    <row r="4359" spans="5:5" s="4" customFormat="1" hidden="1" x14ac:dyDescent="0.5">
      <c r="E4359" s="108"/>
    </row>
    <row r="4360" spans="5:5" s="4" customFormat="1" hidden="1" x14ac:dyDescent="0.5">
      <c r="E4360" s="108"/>
    </row>
    <row r="4361" spans="5:5" s="4" customFormat="1" hidden="1" x14ac:dyDescent="0.5">
      <c r="E4361" s="108"/>
    </row>
    <row r="4362" spans="5:5" s="4" customFormat="1" hidden="1" x14ac:dyDescent="0.5">
      <c r="E4362" s="108"/>
    </row>
    <row r="4363" spans="5:5" s="4" customFormat="1" hidden="1" x14ac:dyDescent="0.5">
      <c r="E4363" s="108"/>
    </row>
    <row r="4364" spans="5:5" s="4" customFormat="1" hidden="1" x14ac:dyDescent="0.5">
      <c r="E4364" s="108"/>
    </row>
    <row r="4365" spans="5:5" s="4" customFormat="1" hidden="1" x14ac:dyDescent="0.5">
      <c r="E4365" s="108"/>
    </row>
    <row r="4366" spans="5:5" s="4" customFormat="1" hidden="1" x14ac:dyDescent="0.5">
      <c r="E4366" s="108"/>
    </row>
    <row r="4367" spans="5:5" s="4" customFormat="1" hidden="1" x14ac:dyDescent="0.5">
      <c r="E4367" s="108"/>
    </row>
    <row r="4368" spans="5:5" s="4" customFormat="1" hidden="1" x14ac:dyDescent="0.5">
      <c r="E4368" s="108"/>
    </row>
    <row r="4369" spans="5:5" s="4" customFormat="1" hidden="1" x14ac:dyDescent="0.5">
      <c r="E4369" s="108"/>
    </row>
    <row r="4370" spans="5:5" s="4" customFormat="1" hidden="1" x14ac:dyDescent="0.5">
      <c r="E4370" s="108"/>
    </row>
    <row r="4371" spans="5:5" s="4" customFormat="1" hidden="1" x14ac:dyDescent="0.5">
      <c r="E4371" s="108"/>
    </row>
    <row r="4372" spans="5:5" s="4" customFormat="1" hidden="1" x14ac:dyDescent="0.5">
      <c r="E4372" s="108"/>
    </row>
    <row r="4373" spans="5:5" s="4" customFormat="1" hidden="1" x14ac:dyDescent="0.5">
      <c r="E4373" s="108"/>
    </row>
    <row r="4374" spans="5:5" s="4" customFormat="1" hidden="1" x14ac:dyDescent="0.5">
      <c r="E4374" s="108"/>
    </row>
    <row r="4375" spans="5:5" s="4" customFormat="1" hidden="1" x14ac:dyDescent="0.5">
      <c r="E4375" s="108"/>
    </row>
    <row r="4376" spans="5:5" s="4" customFormat="1" hidden="1" x14ac:dyDescent="0.5">
      <c r="E4376" s="108"/>
    </row>
    <row r="4377" spans="5:5" s="4" customFormat="1" hidden="1" x14ac:dyDescent="0.5">
      <c r="E4377" s="108"/>
    </row>
    <row r="4378" spans="5:5" s="4" customFormat="1" hidden="1" x14ac:dyDescent="0.5">
      <c r="E4378" s="108"/>
    </row>
    <row r="4379" spans="5:5" s="4" customFormat="1" hidden="1" x14ac:dyDescent="0.5">
      <c r="E4379" s="108"/>
    </row>
    <row r="4380" spans="5:5" s="4" customFormat="1" hidden="1" x14ac:dyDescent="0.5">
      <c r="E4380" s="108"/>
    </row>
    <row r="4381" spans="5:5" s="4" customFormat="1" hidden="1" x14ac:dyDescent="0.5">
      <c r="E4381" s="108"/>
    </row>
    <row r="4382" spans="5:5" s="4" customFormat="1" hidden="1" x14ac:dyDescent="0.5">
      <c r="E4382" s="108"/>
    </row>
    <row r="4383" spans="5:5" s="4" customFormat="1" hidden="1" x14ac:dyDescent="0.5">
      <c r="E4383" s="108"/>
    </row>
    <row r="4384" spans="5:5" s="4" customFormat="1" hidden="1" x14ac:dyDescent="0.5">
      <c r="E4384" s="108"/>
    </row>
    <row r="4385" spans="5:5" s="4" customFormat="1" hidden="1" x14ac:dyDescent="0.5">
      <c r="E4385" s="108"/>
    </row>
    <row r="4386" spans="5:5" s="4" customFormat="1" hidden="1" x14ac:dyDescent="0.5">
      <c r="E4386" s="108"/>
    </row>
    <row r="4387" spans="5:5" s="4" customFormat="1" hidden="1" x14ac:dyDescent="0.5">
      <c r="E4387" s="108"/>
    </row>
    <row r="4388" spans="5:5" s="4" customFormat="1" hidden="1" x14ac:dyDescent="0.5">
      <c r="E4388" s="108"/>
    </row>
    <row r="4389" spans="5:5" s="4" customFormat="1" hidden="1" x14ac:dyDescent="0.5">
      <c r="E4389" s="108"/>
    </row>
    <row r="4390" spans="5:5" s="4" customFormat="1" hidden="1" x14ac:dyDescent="0.5">
      <c r="E4390" s="108"/>
    </row>
    <row r="4391" spans="5:5" s="4" customFormat="1" hidden="1" x14ac:dyDescent="0.5">
      <c r="E4391" s="108"/>
    </row>
    <row r="4392" spans="5:5" s="4" customFormat="1" hidden="1" x14ac:dyDescent="0.5">
      <c r="E4392" s="108"/>
    </row>
    <row r="4393" spans="5:5" s="4" customFormat="1" hidden="1" x14ac:dyDescent="0.5">
      <c r="E4393" s="108"/>
    </row>
    <row r="4394" spans="5:5" s="4" customFormat="1" hidden="1" x14ac:dyDescent="0.5">
      <c r="E4394" s="108"/>
    </row>
    <row r="4395" spans="5:5" s="4" customFormat="1" hidden="1" x14ac:dyDescent="0.5">
      <c r="E4395" s="108"/>
    </row>
    <row r="4396" spans="5:5" s="4" customFormat="1" hidden="1" x14ac:dyDescent="0.5">
      <c r="E4396" s="108"/>
    </row>
    <row r="4397" spans="5:5" s="4" customFormat="1" hidden="1" x14ac:dyDescent="0.5">
      <c r="E4397" s="108"/>
    </row>
    <row r="4398" spans="5:5" s="4" customFormat="1" hidden="1" x14ac:dyDescent="0.5">
      <c r="E4398" s="108"/>
    </row>
    <row r="4399" spans="5:5" s="4" customFormat="1" hidden="1" x14ac:dyDescent="0.5">
      <c r="E4399" s="108"/>
    </row>
    <row r="4400" spans="5:5" s="4" customFormat="1" hidden="1" x14ac:dyDescent="0.5">
      <c r="E4400" s="108"/>
    </row>
    <row r="4401" spans="5:5" s="4" customFormat="1" hidden="1" x14ac:dyDescent="0.5">
      <c r="E4401" s="108"/>
    </row>
    <row r="4402" spans="5:5" s="4" customFormat="1" hidden="1" x14ac:dyDescent="0.5">
      <c r="E4402" s="108"/>
    </row>
    <row r="4403" spans="5:5" s="4" customFormat="1" hidden="1" x14ac:dyDescent="0.5">
      <c r="E4403" s="108"/>
    </row>
    <row r="4404" spans="5:5" s="4" customFormat="1" hidden="1" x14ac:dyDescent="0.5">
      <c r="E4404" s="108"/>
    </row>
    <row r="4405" spans="5:5" s="4" customFormat="1" hidden="1" x14ac:dyDescent="0.5">
      <c r="E4405" s="108"/>
    </row>
    <row r="4406" spans="5:5" s="4" customFormat="1" hidden="1" x14ac:dyDescent="0.5">
      <c r="E4406" s="108"/>
    </row>
    <row r="4407" spans="5:5" s="4" customFormat="1" hidden="1" x14ac:dyDescent="0.5">
      <c r="E4407" s="108"/>
    </row>
    <row r="4408" spans="5:5" s="4" customFormat="1" hidden="1" x14ac:dyDescent="0.5">
      <c r="E4408" s="108"/>
    </row>
    <row r="4409" spans="5:5" s="4" customFormat="1" hidden="1" x14ac:dyDescent="0.5">
      <c r="E4409" s="108"/>
    </row>
    <row r="4410" spans="5:5" s="4" customFormat="1" hidden="1" x14ac:dyDescent="0.5">
      <c r="E4410" s="108"/>
    </row>
    <row r="4411" spans="5:5" s="4" customFormat="1" hidden="1" x14ac:dyDescent="0.5">
      <c r="E4411" s="108"/>
    </row>
    <row r="4412" spans="5:5" s="4" customFormat="1" hidden="1" x14ac:dyDescent="0.5">
      <c r="E4412" s="108"/>
    </row>
    <row r="4413" spans="5:5" s="4" customFormat="1" hidden="1" x14ac:dyDescent="0.5">
      <c r="E4413" s="108"/>
    </row>
    <row r="4414" spans="5:5" s="4" customFormat="1" hidden="1" x14ac:dyDescent="0.5">
      <c r="E4414" s="108"/>
    </row>
    <row r="4415" spans="5:5" s="4" customFormat="1" hidden="1" x14ac:dyDescent="0.5">
      <c r="E4415" s="108"/>
    </row>
    <row r="4416" spans="5:5" s="4" customFormat="1" hidden="1" x14ac:dyDescent="0.5">
      <c r="E4416" s="108"/>
    </row>
    <row r="4417" spans="5:5" s="4" customFormat="1" hidden="1" x14ac:dyDescent="0.5">
      <c r="E4417" s="108"/>
    </row>
    <row r="4418" spans="5:5" s="4" customFormat="1" hidden="1" x14ac:dyDescent="0.5">
      <c r="E4418" s="108"/>
    </row>
    <row r="4419" spans="5:5" s="4" customFormat="1" hidden="1" x14ac:dyDescent="0.5">
      <c r="E4419" s="108"/>
    </row>
    <row r="4420" spans="5:5" s="4" customFormat="1" hidden="1" x14ac:dyDescent="0.5">
      <c r="E4420" s="108"/>
    </row>
    <row r="4421" spans="5:5" s="4" customFormat="1" hidden="1" x14ac:dyDescent="0.5">
      <c r="E4421" s="108"/>
    </row>
    <row r="4422" spans="5:5" s="4" customFormat="1" hidden="1" x14ac:dyDescent="0.5">
      <c r="E4422" s="108"/>
    </row>
    <row r="4423" spans="5:5" s="4" customFormat="1" hidden="1" x14ac:dyDescent="0.5">
      <c r="E4423" s="108"/>
    </row>
    <row r="4424" spans="5:5" s="4" customFormat="1" hidden="1" x14ac:dyDescent="0.5">
      <c r="E4424" s="108"/>
    </row>
    <row r="4425" spans="5:5" s="4" customFormat="1" hidden="1" x14ac:dyDescent="0.5">
      <c r="E4425" s="108"/>
    </row>
    <row r="4426" spans="5:5" s="4" customFormat="1" hidden="1" x14ac:dyDescent="0.5">
      <c r="E4426" s="108"/>
    </row>
    <row r="4427" spans="5:5" s="4" customFormat="1" hidden="1" x14ac:dyDescent="0.5">
      <c r="E4427" s="108"/>
    </row>
    <row r="4428" spans="5:5" s="4" customFormat="1" hidden="1" x14ac:dyDescent="0.5">
      <c r="E4428" s="108"/>
    </row>
    <row r="4429" spans="5:5" s="4" customFormat="1" hidden="1" x14ac:dyDescent="0.5">
      <c r="E4429" s="108"/>
    </row>
    <row r="4430" spans="5:5" s="4" customFormat="1" hidden="1" x14ac:dyDescent="0.5">
      <c r="E4430" s="108"/>
    </row>
    <row r="4431" spans="5:5" s="4" customFormat="1" hidden="1" x14ac:dyDescent="0.5">
      <c r="E4431" s="108"/>
    </row>
    <row r="4432" spans="5:5" s="4" customFormat="1" hidden="1" x14ac:dyDescent="0.5">
      <c r="E4432" s="108"/>
    </row>
    <row r="4433" spans="5:5" s="4" customFormat="1" hidden="1" x14ac:dyDescent="0.5">
      <c r="E4433" s="108"/>
    </row>
    <row r="4434" spans="5:5" s="4" customFormat="1" hidden="1" x14ac:dyDescent="0.5">
      <c r="E4434" s="108"/>
    </row>
    <row r="4435" spans="5:5" s="4" customFormat="1" hidden="1" x14ac:dyDescent="0.5">
      <c r="E4435" s="108"/>
    </row>
    <row r="4436" spans="5:5" s="4" customFormat="1" hidden="1" x14ac:dyDescent="0.5">
      <c r="E4436" s="108"/>
    </row>
    <row r="4437" spans="5:5" s="4" customFormat="1" hidden="1" x14ac:dyDescent="0.5">
      <c r="E4437" s="108"/>
    </row>
    <row r="4438" spans="5:5" s="4" customFormat="1" hidden="1" x14ac:dyDescent="0.5">
      <c r="E4438" s="108"/>
    </row>
    <row r="4439" spans="5:5" s="4" customFormat="1" hidden="1" x14ac:dyDescent="0.5">
      <c r="E4439" s="108"/>
    </row>
    <row r="4440" spans="5:5" s="4" customFormat="1" hidden="1" x14ac:dyDescent="0.5">
      <c r="E4440" s="108"/>
    </row>
    <row r="4441" spans="5:5" s="4" customFormat="1" hidden="1" x14ac:dyDescent="0.5">
      <c r="E4441" s="108"/>
    </row>
    <row r="4442" spans="5:5" s="4" customFormat="1" hidden="1" x14ac:dyDescent="0.5">
      <c r="E4442" s="108"/>
    </row>
    <row r="4443" spans="5:5" s="4" customFormat="1" hidden="1" x14ac:dyDescent="0.5">
      <c r="E4443" s="108"/>
    </row>
    <row r="4444" spans="5:5" s="4" customFormat="1" hidden="1" x14ac:dyDescent="0.5">
      <c r="E4444" s="108"/>
    </row>
    <row r="4445" spans="5:5" s="4" customFormat="1" hidden="1" x14ac:dyDescent="0.5">
      <c r="E4445" s="108"/>
    </row>
    <row r="4446" spans="5:5" s="4" customFormat="1" hidden="1" x14ac:dyDescent="0.5">
      <c r="E4446" s="108"/>
    </row>
    <row r="4447" spans="5:5" s="4" customFormat="1" hidden="1" x14ac:dyDescent="0.5">
      <c r="E4447" s="108"/>
    </row>
    <row r="4448" spans="5:5" s="4" customFormat="1" hidden="1" x14ac:dyDescent="0.5">
      <c r="E4448" s="108"/>
    </row>
    <row r="4449" spans="5:5" s="4" customFormat="1" hidden="1" x14ac:dyDescent="0.5">
      <c r="E4449" s="108"/>
    </row>
    <row r="4450" spans="5:5" s="4" customFormat="1" hidden="1" x14ac:dyDescent="0.5">
      <c r="E4450" s="108"/>
    </row>
    <row r="4451" spans="5:5" s="4" customFormat="1" hidden="1" x14ac:dyDescent="0.5">
      <c r="E4451" s="108"/>
    </row>
    <row r="4452" spans="5:5" s="4" customFormat="1" hidden="1" x14ac:dyDescent="0.5">
      <c r="E4452" s="108"/>
    </row>
    <row r="4453" spans="5:5" s="4" customFormat="1" hidden="1" x14ac:dyDescent="0.5">
      <c r="E4453" s="108"/>
    </row>
    <row r="4454" spans="5:5" s="4" customFormat="1" hidden="1" x14ac:dyDescent="0.5">
      <c r="E4454" s="108"/>
    </row>
    <row r="4455" spans="5:5" s="4" customFormat="1" hidden="1" x14ac:dyDescent="0.5">
      <c r="E4455" s="108"/>
    </row>
    <row r="4456" spans="5:5" s="4" customFormat="1" hidden="1" x14ac:dyDescent="0.5">
      <c r="E4456" s="108"/>
    </row>
    <row r="4457" spans="5:5" s="4" customFormat="1" hidden="1" x14ac:dyDescent="0.5">
      <c r="E4457" s="108"/>
    </row>
    <row r="4458" spans="5:5" s="4" customFormat="1" hidden="1" x14ac:dyDescent="0.5">
      <c r="E4458" s="108"/>
    </row>
    <row r="4459" spans="5:5" s="4" customFormat="1" hidden="1" x14ac:dyDescent="0.5">
      <c r="E4459" s="108"/>
    </row>
    <row r="4460" spans="5:5" s="4" customFormat="1" hidden="1" x14ac:dyDescent="0.5">
      <c r="E4460" s="108"/>
    </row>
    <row r="4461" spans="5:5" s="4" customFormat="1" hidden="1" x14ac:dyDescent="0.5">
      <c r="E4461" s="108"/>
    </row>
    <row r="4462" spans="5:5" s="4" customFormat="1" hidden="1" x14ac:dyDescent="0.5">
      <c r="E4462" s="108"/>
    </row>
    <row r="4463" spans="5:5" s="4" customFormat="1" hidden="1" x14ac:dyDescent="0.5">
      <c r="E4463" s="108"/>
    </row>
    <row r="4464" spans="5:5" s="4" customFormat="1" hidden="1" x14ac:dyDescent="0.5">
      <c r="E4464" s="108"/>
    </row>
    <row r="4465" spans="5:5" s="4" customFormat="1" hidden="1" x14ac:dyDescent="0.5">
      <c r="E4465" s="108"/>
    </row>
    <row r="4466" spans="5:5" s="4" customFormat="1" hidden="1" x14ac:dyDescent="0.5">
      <c r="E4466" s="108"/>
    </row>
    <row r="4467" spans="5:5" s="4" customFormat="1" hidden="1" x14ac:dyDescent="0.5">
      <c r="E4467" s="108"/>
    </row>
    <row r="4468" spans="5:5" s="4" customFormat="1" hidden="1" x14ac:dyDescent="0.5">
      <c r="E4468" s="108"/>
    </row>
    <row r="4469" spans="5:5" s="4" customFormat="1" hidden="1" x14ac:dyDescent="0.5">
      <c r="E4469" s="108"/>
    </row>
    <row r="4470" spans="5:5" s="4" customFormat="1" hidden="1" x14ac:dyDescent="0.5">
      <c r="E4470" s="108"/>
    </row>
    <row r="4471" spans="5:5" s="4" customFormat="1" hidden="1" x14ac:dyDescent="0.5">
      <c r="E4471" s="108"/>
    </row>
    <row r="4472" spans="5:5" s="4" customFormat="1" hidden="1" x14ac:dyDescent="0.5">
      <c r="E4472" s="108"/>
    </row>
    <row r="4473" spans="5:5" s="4" customFormat="1" hidden="1" x14ac:dyDescent="0.5">
      <c r="E4473" s="108"/>
    </row>
    <row r="4474" spans="5:5" s="4" customFormat="1" hidden="1" x14ac:dyDescent="0.5">
      <c r="E4474" s="108"/>
    </row>
    <row r="4475" spans="5:5" s="4" customFormat="1" hidden="1" x14ac:dyDescent="0.5">
      <c r="E4475" s="108"/>
    </row>
    <row r="4476" spans="5:5" s="4" customFormat="1" hidden="1" x14ac:dyDescent="0.5">
      <c r="E4476" s="108"/>
    </row>
    <row r="4477" spans="5:5" s="4" customFormat="1" hidden="1" x14ac:dyDescent="0.5">
      <c r="E4477" s="108"/>
    </row>
    <row r="4478" spans="5:5" s="4" customFormat="1" hidden="1" x14ac:dyDescent="0.5">
      <c r="E4478" s="108"/>
    </row>
    <row r="4479" spans="5:5" s="4" customFormat="1" hidden="1" x14ac:dyDescent="0.5">
      <c r="E4479" s="108"/>
    </row>
    <row r="4480" spans="5:5" s="4" customFormat="1" hidden="1" x14ac:dyDescent="0.5">
      <c r="E4480" s="108"/>
    </row>
    <row r="4481" spans="5:5" s="4" customFormat="1" hidden="1" x14ac:dyDescent="0.5">
      <c r="E4481" s="108"/>
    </row>
    <row r="4482" spans="5:5" s="4" customFormat="1" hidden="1" x14ac:dyDescent="0.5">
      <c r="E4482" s="108"/>
    </row>
    <row r="4483" spans="5:5" s="4" customFormat="1" hidden="1" x14ac:dyDescent="0.5">
      <c r="E4483" s="108"/>
    </row>
    <row r="4484" spans="5:5" s="4" customFormat="1" hidden="1" x14ac:dyDescent="0.5">
      <c r="E4484" s="108"/>
    </row>
    <row r="4485" spans="5:5" s="4" customFormat="1" hidden="1" x14ac:dyDescent="0.5">
      <c r="E4485" s="108"/>
    </row>
    <row r="4486" spans="5:5" s="4" customFormat="1" hidden="1" x14ac:dyDescent="0.5">
      <c r="E4486" s="108"/>
    </row>
    <row r="4487" spans="5:5" s="4" customFormat="1" hidden="1" x14ac:dyDescent="0.5">
      <c r="E4487" s="108"/>
    </row>
    <row r="4488" spans="5:5" s="4" customFormat="1" hidden="1" x14ac:dyDescent="0.5">
      <c r="E4488" s="108"/>
    </row>
    <row r="4489" spans="5:5" s="4" customFormat="1" hidden="1" x14ac:dyDescent="0.5">
      <c r="E4489" s="108"/>
    </row>
    <row r="4490" spans="5:5" s="4" customFormat="1" hidden="1" x14ac:dyDescent="0.5">
      <c r="E4490" s="108"/>
    </row>
    <row r="4491" spans="5:5" s="4" customFormat="1" hidden="1" x14ac:dyDescent="0.5">
      <c r="E4491" s="108"/>
    </row>
    <row r="4492" spans="5:5" s="4" customFormat="1" hidden="1" x14ac:dyDescent="0.5">
      <c r="E4492" s="108"/>
    </row>
    <row r="4493" spans="5:5" s="4" customFormat="1" hidden="1" x14ac:dyDescent="0.5">
      <c r="E4493" s="108"/>
    </row>
    <row r="4494" spans="5:5" s="4" customFormat="1" hidden="1" x14ac:dyDescent="0.5">
      <c r="E4494" s="108"/>
    </row>
    <row r="4495" spans="5:5" s="4" customFormat="1" hidden="1" x14ac:dyDescent="0.5">
      <c r="E4495" s="108"/>
    </row>
    <row r="4496" spans="5:5" s="4" customFormat="1" hidden="1" x14ac:dyDescent="0.5">
      <c r="E4496" s="108"/>
    </row>
    <row r="4497" spans="5:5" s="4" customFormat="1" hidden="1" x14ac:dyDescent="0.5">
      <c r="E4497" s="108"/>
    </row>
    <row r="4498" spans="5:5" s="4" customFormat="1" hidden="1" x14ac:dyDescent="0.5">
      <c r="E4498" s="108"/>
    </row>
    <row r="4499" spans="5:5" s="4" customFormat="1" hidden="1" x14ac:dyDescent="0.5">
      <c r="E4499" s="108"/>
    </row>
    <row r="4500" spans="5:5" s="4" customFormat="1" hidden="1" x14ac:dyDescent="0.5">
      <c r="E4500" s="108"/>
    </row>
    <row r="4501" spans="5:5" s="4" customFormat="1" hidden="1" x14ac:dyDescent="0.5">
      <c r="E4501" s="108"/>
    </row>
    <row r="4502" spans="5:5" s="4" customFormat="1" hidden="1" x14ac:dyDescent="0.5">
      <c r="E4502" s="108"/>
    </row>
    <row r="4503" spans="5:5" s="4" customFormat="1" hidden="1" x14ac:dyDescent="0.5">
      <c r="E4503" s="108"/>
    </row>
    <row r="4504" spans="5:5" s="4" customFormat="1" hidden="1" x14ac:dyDescent="0.5">
      <c r="E4504" s="108"/>
    </row>
    <row r="4505" spans="5:5" s="4" customFormat="1" hidden="1" x14ac:dyDescent="0.5">
      <c r="E4505" s="108"/>
    </row>
    <row r="4506" spans="5:5" s="4" customFormat="1" hidden="1" x14ac:dyDescent="0.5">
      <c r="E4506" s="108"/>
    </row>
    <row r="4507" spans="5:5" s="4" customFormat="1" hidden="1" x14ac:dyDescent="0.5">
      <c r="E4507" s="108"/>
    </row>
    <row r="4508" spans="5:5" s="4" customFormat="1" hidden="1" x14ac:dyDescent="0.5">
      <c r="E4508" s="108"/>
    </row>
    <row r="4509" spans="5:5" s="4" customFormat="1" hidden="1" x14ac:dyDescent="0.5">
      <c r="E4509" s="108"/>
    </row>
    <row r="4510" spans="5:5" s="4" customFormat="1" hidden="1" x14ac:dyDescent="0.5">
      <c r="E4510" s="108"/>
    </row>
    <row r="4511" spans="5:5" s="4" customFormat="1" hidden="1" x14ac:dyDescent="0.5">
      <c r="E4511" s="108"/>
    </row>
    <row r="4512" spans="5:5" s="4" customFormat="1" hidden="1" x14ac:dyDescent="0.5">
      <c r="E4512" s="108"/>
    </row>
    <row r="4513" spans="5:5" s="4" customFormat="1" hidden="1" x14ac:dyDescent="0.5">
      <c r="E4513" s="108"/>
    </row>
    <row r="4514" spans="5:5" s="4" customFormat="1" hidden="1" x14ac:dyDescent="0.5">
      <c r="E4514" s="108"/>
    </row>
    <row r="4515" spans="5:5" s="4" customFormat="1" hidden="1" x14ac:dyDescent="0.5">
      <c r="E4515" s="108"/>
    </row>
    <row r="4516" spans="5:5" s="4" customFormat="1" hidden="1" x14ac:dyDescent="0.5">
      <c r="E4516" s="108"/>
    </row>
    <row r="4517" spans="5:5" s="4" customFormat="1" hidden="1" x14ac:dyDescent="0.5">
      <c r="E4517" s="108"/>
    </row>
    <row r="4518" spans="5:5" s="4" customFormat="1" hidden="1" x14ac:dyDescent="0.5">
      <c r="E4518" s="108"/>
    </row>
    <row r="4519" spans="5:5" s="4" customFormat="1" hidden="1" x14ac:dyDescent="0.5">
      <c r="E4519" s="108"/>
    </row>
    <row r="4520" spans="5:5" s="4" customFormat="1" hidden="1" x14ac:dyDescent="0.5">
      <c r="E4520" s="108"/>
    </row>
    <row r="4521" spans="5:5" s="4" customFormat="1" hidden="1" x14ac:dyDescent="0.5">
      <c r="E4521" s="108"/>
    </row>
    <row r="4522" spans="5:5" s="4" customFormat="1" hidden="1" x14ac:dyDescent="0.5">
      <c r="E4522" s="108"/>
    </row>
    <row r="4523" spans="5:5" s="4" customFormat="1" hidden="1" x14ac:dyDescent="0.5">
      <c r="E4523" s="108"/>
    </row>
    <row r="4524" spans="5:5" s="4" customFormat="1" hidden="1" x14ac:dyDescent="0.5">
      <c r="E4524" s="108"/>
    </row>
    <row r="4525" spans="5:5" s="4" customFormat="1" hidden="1" x14ac:dyDescent="0.5">
      <c r="E4525" s="108"/>
    </row>
    <row r="4526" spans="5:5" s="4" customFormat="1" hidden="1" x14ac:dyDescent="0.5">
      <c r="E4526" s="108"/>
    </row>
    <row r="4527" spans="5:5" s="4" customFormat="1" hidden="1" x14ac:dyDescent="0.5">
      <c r="E4527" s="108"/>
    </row>
    <row r="4528" spans="5:5" s="4" customFormat="1" hidden="1" x14ac:dyDescent="0.5">
      <c r="E4528" s="108"/>
    </row>
    <row r="4529" spans="5:5" s="4" customFormat="1" hidden="1" x14ac:dyDescent="0.5">
      <c r="E4529" s="108"/>
    </row>
    <row r="4530" spans="5:5" s="4" customFormat="1" hidden="1" x14ac:dyDescent="0.5">
      <c r="E4530" s="108"/>
    </row>
    <row r="4531" spans="5:5" s="4" customFormat="1" hidden="1" x14ac:dyDescent="0.5">
      <c r="E4531" s="108"/>
    </row>
    <row r="4532" spans="5:5" s="4" customFormat="1" hidden="1" x14ac:dyDescent="0.5">
      <c r="E4532" s="108"/>
    </row>
    <row r="4533" spans="5:5" s="4" customFormat="1" hidden="1" x14ac:dyDescent="0.5">
      <c r="E4533" s="108"/>
    </row>
    <row r="4534" spans="5:5" s="4" customFormat="1" hidden="1" x14ac:dyDescent="0.5">
      <c r="E4534" s="108"/>
    </row>
    <row r="4535" spans="5:5" s="4" customFormat="1" hidden="1" x14ac:dyDescent="0.5">
      <c r="E4535" s="108"/>
    </row>
    <row r="4536" spans="5:5" s="4" customFormat="1" hidden="1" x14ac:dyDescent="0.5">
      <c r="E4536" s="108"/>
    </row>
    <row r="4537" spans="5:5" s="4" customFormat="1" hidden="1" x14ac:dyDescent="0.5">
      <c r="E4537" s="108"/>
    </row>
    <row r="4538" spans="5:5" s="4" customFormat="1" hidden="1" x14ac:dyDescent="0.5">
      <c r="E4538" s="108"/>
    </row>
    <row r="4539" spans="5:5" s="4" customFormat="1" hidden="1" x14ac:dyDescent="0.5">
      <c r="E4539" s="108"/>
    </row>
    <row r="4540" spans="5:5" s="4" customFormat="1" hidden="1" x14ac:dyDescent="0.5">
      <c r="E4540" s="108"/>
    </row>
    <row r="4541" spans="5:5" s="4" customFormat="1" hidden="1" x14ac:dyDescent="0.5">
      <c r="E4541" s="108"/>
    </row>
    <row r="4542" spans="5:5" s="4" customFormat="1" hidden="1" x14ac:dyDescent="0.5">
      <c r="E4542" s="108"/>
    </row>
    <row r="4543" spans="5:5" s="4" customFormat="1" hidden="1" x14ac:dyDescent="0.5">
      <c r="E4543" s="108"/>
    </row>
    <row r="4544" spans="5:5" s="4" customFormat="1" hidden="1" x14ac:dyDescent="0.5">
      <c r="E4544" s="108"/>
    </row>
    <row r="4545" spans="5:5" s="4" customFormat="1" hidden="1" x14ac:dyDescent="0.5">
      <c r="E4545" s="108"/>
    </row>
    <row r="4546" spans="5:5" s="4" customFormat="1" hidden="1" x14ac:dyDescent="0.5">
      <c r="E4546" s="108"/>
    </row>
    <row r="4547" spans="5:5" s="4" customFormat="1" hidden="1" x14ac:dyDescent="0.5">
      <c r="E4547" s="108"/>
    </row>
    <row r="4548" spans="5:5" s="4" customFormat="1" hidden="1" x14ac:dyDescent="0.5">
      <c r="E4548" s="108"/>
    </row>
    <row r="4549" spans="5:5" s="4" customFormat="1" hidden="1" x14ac:dyDescent="0.5">
      <c r="E4549" s="108"/>
    </row>
    <row r="4550" spans="5:5" s="4" customFormat="1" hidden="1" x14ac:dyDescent="0.5">
      <c r="E4550" s="108"/>
    </row>
    <row r="4551" spans="5:5" s="4" customFormat="1" hidden="1" x14ac:dyDescent="0.5">
      <c r="E4551" s="108"/>
    </row>
    <row r="4552" spans="5:5" s="4" customFormat="1" hidden="1" x14ac:dyDescent="0.5">
      <c r="E4552" s="108"/>
    </row>
    <row r="4553" spans="5:5" s="4" customFormat="1" hidden="1" x14ac:dyDescent="0.5">
      <c r="E4553" s="108"/>
    </row>
    <row r="4554" spans="5:5" s="4" customFormat="1" hidden="1" x14ac:dyDescent="0.5">
      <c r="E4554" s="108"/>
    </row>
    <row r="4555" spans="5:5" s="4" customFormat="1" hidden="1" x14ac:dyDescent="0.5">
      <c r="E4555" s="108"/>
    </row>
    <row r="4556" spans="5:5" s="4" customFormat="1" hidden="1" x14ac:dyDescent="0.5">
      <c r="E4556" s="108"/>
    </row>
    <row r="4557" spans="5:5" s="4" customFormat="1" hidden="1" x14ac:dyDescent="0.5">
      <c r="E4557" s="108"/>
    </row>
    <row r="4558" spans="5:5" s="4" customFormat="1" hidden="1" x14ac:dyDescent="0.5">
      <c r="E4558" s="108"/>
    </row>
    <row r="4559" spans="5:5" s="4" customFormat="1" hidden="1" x14ac:dyDescent="0.5">
      <c r="E4559" s="108"/>
    </row>
    <row r="4560" spans="5:5" s="4" customFormat="1" hidden="1" x14ac:dyDescent="0.5">
      <c r="E4560" s="108"/>
    </row>
    <row r="4561" spans="5:5" s="4" customFormat="1" hidden="1" x14ac:dyDescent="0.5">
      <c r="E4561" s="108"/>
    </row>
    <row r="4562" spans="5:5" s="4" customFormat="1" hidden="1" x14ac:dyDescent="0.5">
      <c r="E4562" s="108"/>
    </row>
    <row r="4563" spans="5:5" s="4" customFormat="1" hidden="1" x14ac:dyDescent="0.5">
      <c r="E4563" s="108"/>
    </row>
    <row r="4564" spans="5:5" s="4" customFormat="1" hidden="1" x14ac:dyDescent="0.5">
      <c r="E4564" s="108"/>
    </row>
    <row r="4565" spans="5:5" s="4" customFormat="1" hidden="1" x14ac:dyDescent="0.5">
      <c r="E4565" s="108"/>
    </row>
    <row r="4566" spans="5:5" s="4" customFormat="1" hidden="1" x14ac:dyDescent="0.5">
      <c r="E4566" s="108"/>
    </row>
    <row r="4567" spans="5:5" s="4" customFormat="1" hidden="1" x14ac:dyDescent="0.5">
      <c r="E4567" s="108"/>
    </row>
    <row r="4568" spans="5:5" s="4" customFormat="1" hidden="1" x14ac:dyDescent="0.5">
      <c r="E4568" s="108"/>
    </row>
    <row r="4569" spans="5:5" s="4" customFormat="1" hidden="1" x14ac:dyDescent="0.5">
      <c r="E4569" s="108"/>
    </row>
    <row r="4570" spans="5:5" s="4" customFormat="1" hidden="1" x14ac:dyDescent="0.5">
      <c r="E4570" s="108"/>
    </row>
    <row r="4571" spans="5:5" s="4" customFormat="1" hidden="1" x14ac:dyDescent="0.5">
      <c r="E4571" s="108"/>
    </row>
    <row r="4572" spans="5:5" s="4" customFormat="1" hidden="1" x14ac:dyDescent="0.5">
      <c r="E4572" s="108"/>
    </row>
    <row r="4573" spans="5:5" s="4" customFormat="1" hidden="1" x14ac:dyDescent="0.5">
      <c r="E4573" s="108"/>
    </row>
    <row r="4574" spans="5:5" s="4" customFormat="1" hidden="1" x14ac:dyDescent="0.5">
      <c r="E4574" s="108"/>
    </row>
    <row r="4575" spans="5:5" s="4" customFormat="1" hidden="1" x14ac:dyDescent="0.5">
      <c r="E4575" s="108"/>
    </row>
    <row r="4576" spans="5:5" s="4" customFormat="1" hidden="1" x14ac:dyDescent="0.5">
      <c r="E4576" s="108"/>
    </row>
    <row r="4577" spans="5:5" s="4" customFormat="1" hidden="1" x14ac:dyDescent="0.5">
      <c r="E4577" s="108"/>
    </row>
    <row r="4578" spans="5:5" s="4" customFormat="1" hidden="1" x14ac:dyDescent="0.5">
      <c r="E4578" s="108"/>
    </row>
    <row r="4579" spans="5:5" s="4" customFormat="1" hidden="1" x14ac:dyDescent="0.5">
      <c r="E4579" s="108"/>
    </row>
    <row r="4580" spans="5:5" s="4" customFormat="1" hidden="1" x14ac:dyDescent="0.5">
      <c r="E4580" s="108"/>
    </row>
    <row r="4581" spans="5:5" s="4" customFormat="1" hidden="1" x14ac:dyDescent="0.5">
      <c r="E4581" s="108"/>
    </row>
    <row r="4582" spans="5:5" s="4" customFormat="1" hidden="1" x14ac:dyDescent="0.5">
      <c r="E4582" s="108"/>
    </row>
    <row r="4583" spans="5:5" s="4" customFormat="1" hidden="1" x14ac:dyDescent="0.5">
      <c r="E4583" s="108"/>
    </row>
    <row r="4584" spans="5:5" s="4" customFormat="1" hidden="1" x14ac:dyDescent="0.5">
      <c r="E4584" s="108"/>
    </row>
    <row r="4585" spans="5:5" s="4" customFormat="1" hidden="1" x14ac:dyDescent="0.5">
      <c r="E4585" s="108"/>
    </row>
    <row r="4586" spans="5:5" s="4" customFormat="1" hidden="1" x14ac:dyDescent="0.5">
      <c r="E4586" s="108"/>
    </row>
    <row r="4587" spans="5:5" s="4" customFormat="1" hidden="1" x14ac:dyDescent="0.5">
      <c r="E4587" s="108"/>
    </row>
    <row r="4588" spans="5:5" s="4" customFormat="1" hidden="1" x14ac:dyDescent="0.5">
      <c r="E4588" s="108"/>
    </row>
    <row r="4589" spans="5:5" s="4" customFormat="1" hidden="1" x14ac:dyDescent="0.5">
      <c r="E4589" s="108"/>
    </row>
    <row r="4590" spans="5:5" s="4" customFormat="1" hidden="1" x14ac:dyDescent="0.5">
      <c r="E4590" s="108"/>
    </row>
    <row r="4591" spans="5:5" s="4" customFormat="1" hidden="1" x14ac:dyDescent="0.5">
      <c r="E4591" s="108"/>
    </row>
    <row r="4592" spans="5:5" s="4" customFormat="1" hidden="1" x14ac:dyDescent="0.5">
      <c r="E4592" s="108"/>
    </row>
    <row r="4593" spans="5:5" s="4" customFormat="1" hidden="1" x14ac:dyDescent="0.5">
      <c r="E4593" s="108"/>
    </row>
    <row r="4594" spans="5:5" s="4" customFormat="1" hidden="1" x14ac:dyDescent="0.5">
      <c r="E4594" s="108"/>
    </row>
    <row r="4595" spans="5:5" s="4" customFormat="1" hidden="1" x14ac:dyDescent="0.5">
      <c r="E4595" s="108"/>
    </row>
    <row r="4596" spans="5:5" s="4" customFormat="1" hidden="1" x14ac:dyDescent="0.5">
      <c r="E4596" s="108"/>
    </row>
    <row r="4597" spans="5:5" s="4" customFormat="1" hidden="1" x14ac:dyDescent="0.5">
      <c r="E4597" s="108"/>
    </row>
    <row r="4598" spans="5:5" s="4" customFormat="1" hidden="1" x14ac:dyDescent="0.5">
      <c r="E4598" s="108"/>
    </row>
    <row r="4599" spans="5:5" s="4" customFormat="1" hidden="1" x14ac:dyDescent="0.5">
      <c r="E4599" s="108"/>
    </row>
    <row r="4600" spans="5:5" s="4" customFormat="1" hidden="1" x14ac:dyDescent="0.5">
      <c r="E4600" s="108"/>
    </row>
    <row r="4601" spans="5:5" s="4" customFormat="1" hidden="1" x14ac:dyDescent="0.5">
      <c r="E4601" s="108"/>
    </row>
    <row r="4602" spans="5:5" s="4" customFormat="1" hidden="1" x14ac:dyDescent="0.5">
      <c r="E4602" s="108"/>
    </row>
    <row r="4603" spans="5:5" s="4" customFormat="1" hidden="1" x14ac:dyDescent="0.5">
      <c r="E4603" s="108"/>
    </row>
    <row r="4604" spans="5:5" s="4" customFormat="1" hidden="1" x14ac:dyDescent="0.5">
      <c r="E4604" s="108"/>
    </row>
    <row r="4605" spans="5:5" s="4" customFormat="1" hidden="1" x14ac:dyDescent="0.5">
      <c r="E4605" s="108"/>
    </row>
    <row r="4606" spans="5:5" s="4" customFormat="1" hidden="1" x14ac:dyDescent="0.5">
      <c r="E4606" s="108"/>
    </row>
    <row r="4607" spans="5:5" s="4" customFormat="1" hidden="1" x14ac:dyDescent="0.5">
      <c r="E4607" s="108"/>
    </row>
    <row r="4608" spans="5:5" s="4" customFormat="1" hidden="1" x14ac:dyDescent="0.5">
      <c r="E4608" s="108"/>
    </row>
    <row r="4609" spans="5:5" s="4" customFormat="1" hidden="1" x14ac:dyDescent="0.5">
      <c r="E4609" s="108"/>
    </row>
    <row r="4610" spans="5:5" s="4" customFormat="1" hidden="1" x14ac:dyDescent="0.5">
      <c r="E4610" s="108"/>
    </row>
    <row r="4611" spans="5:5" s="4" customFormat="1" hidden="1" x14ac:dyDescent="0.5">
      <c r="E4611" s="108"/>
    </row>
    <row r="4612" spans="5:5" s="4" customFormat="1" hidden="1" x14ac:dyDescent="0.5">
      <c r="E4612" s="108"/>
    </row>
    <row r="4613" spans="5:5" s="4" customFormat="1" hidden="1" x14ac:dyDescent="0.5">
      <c r="E4613" s="108"/>
    </row>
    <row r="4614" spans="5:5" s="4" customFormat="1" hidden="1" x14ac:dyDescent="0.5">
      <c r="E4614" s="108"/>
    </row>
    <row r="4615" spans="5:5" s="4" customFormat="1" hidden="1" x14ac:dyDescent="0.5">
      <c r="E4615" s="108"/>
    </row>
    <row r="4616" spans="5:5" s="4" customFormat="1" hidden="1" x14ac:dyDescent="0.5">
      <c r="E4616" s="108"/>
    </row>
    <row r="4617" spans="5:5" s="4" customFormat="1" hidden="1" x14ac:dyDescent="0.5">
      <c r="E4617" s="108"/>
    </row>
    <row r="4618" spans="5:5" s="4" customFormat="1" hidden="1" x14ac:dyDescent="0.5">
      <c r="E4618" s="108"/>
    </row>
    <row r="4619" spans="5:5" s="4" customFormat="1" hidden="1" x14ac:dyDescent="0.5">
      <c r="E4619" s="108"/>
    </row>
    <row r="4620" spans="5:5" s="4" customFormat="1" hidden="1" x14ac:dyDescent="0.5">
      <c r="E4620" s="108"/>
    </row>
    <row r="4621" spans="5:5" s="4" customFormat="1" hidden="1" x14ac:dyDescent="0.5">
      <c r="E4621" s="108"/>
    </row>
    <row r="4622" spans="5:5" s="4" customFormat="1" hidden="1" x14ac:dyDescent="0.5">
      <c r="E4622" s="108"/>
    </row>
    <row r="4623" spans="5:5" s="4" customFormat="1" hidden="1" x14ac:dyDescent="0.5">
      <c r="E4623" s="108"/>
    </row>
    <row r="4624" spans="5:5" s="4" customFormat="1" hidden="1" x14ac:dyDescent="0.5">
      <c r="E4624" s="108"/>
    </row>
    <row r="4625" spans="5:5" s="4" customFormat="1" hidden="1" x14ac:dyDescent="0.5">
      <c r="E4625" s="108"/>
    </row>
    <row r="4626" spans="5:5" s="4" customFormat="1" hidden="1" x14ac:dyDescent="0.5">
      <c r="E4626" s="108"/>
    </row>
    <row r="4627" spans="5:5" s="4" customFormat="1" hidden="1" x14ac:dyDescent="0.5">
      <c r="E4627" s="108"/>
    </row>
    <row r="4628" spans="5:5" s="4" customFormat="1" hidden="1" x14ac:dyDescent="0.5">
      <c r="E4628" s="108"/>
    </row>
    <row r="4629" spans="5:5" s="4" customFormat="1" hidden="1" x14ac:dyDescent="0.5">
      <c r="E4629" s="108"/>
    </row>
    <row r="4630" spans="5:5" s="4" customFormat="1" hidden="1" x14ac:dyDescent="0.5">
      <c r="E4630" s="108"/>
    </row>
    <row r="4631" spans="5:5" s="4" customFormat="1" hidden="1" x14ac:dyDescent="0.5">
      <c r="E4631" s="108"/>
    </row>
    <row r="4632" spans="5:5" s="4" customFormat="1" hidden="1" x14ac:dyDescent="0.5">
      <c r="E4632" s="108"/>
    </row>
    <row r="4633" spans="5:5" s="4" customFormat="1" hidden="1" x14ac:dyDescent="0.5">
      <c r="E4633" s="108"/>
    </row>
    <row r="4634" spans="5:5" s="4" customFormat="1" hidden="1" x14ac:dyDescent="0.5">
      <c r="E4634" s="108"/>
    </row>
    <row r="4635" spans="5:5" s="4" customFormat="1" hidden="1" x14ac:dyDescent="0.5">
      <c r="E4635" s="108"/>
    </row>
    <row r="4636" spans="5:5" s="4" customFormat="1" hidden="1" x14ac:dyDescent="0.5">
      <c r="E4636" s="108"/>
    </row>
    <row r="4637" spans="5:5" s="4" customFormat="1" hidden="1" x14ac:dyDescent="0.5">
      <c r="E4637" s="108"/>
    </row>
    <row r="4638" spans="5:5" s="4" customFormat="1" hidden="1" x14ac:dyDescent="0.5">
      <c r="E4638" s="108"/>
    </row>
    <row r="4639" spans="5:5" s="4" customFormat="1" hidden="1" x14ac:dyDescent="0.5">
      <c r="E4639" s="108"/>
    </row>
    <row r="4640" spans="5:5" s="4" customFormat="1" hidden="1" x14ac:dyDescent="0.5">
      <c r="E4640" s="108"/>
    </row>
    <row r="4641" spans="5:5" s="4" customFormat="1" hidden="1" x14ac:dyDescent="0.5">
      <c r="E4641" s="108"/>
    </row>
    <row r="4642" spans="5:5" s="4" customFormat="1" hidden="1" x14ac:dyDescent="0.5">
      <c r="E4642" s="108"/>
    </row>
    <row r="4643" spans="5:5" s="4" customFormat="1" hidden="1" x14ac:dyDescent="0.5">
      <c r="E4643" s="108"/>
    </row>
    <row r="4644" spans="5:5" s="4" customFormat="1" hidden="1" x14ac:dyDescent="0.5">
      <c r="E4644" s="108"/>
    </row>
    <row r="4645" spans="5:5" s="4" customFormat="1" hidden="1" x14ac:dyDescent="0.5">
      <c r="E4645" s="108"/>
    </row>
    <row r="4646" spans="5:5" s="4" customFormat="1" hidden="1" x14ac:dyDescent="0.5">
      <c r="E4646" s="108"/>
    </row>
    <row r="4647" spans="5:5" s="4" customFormat="1" hidden="1" x14ac:dyDescent="0.5">
      <c r="E4647" s="108"/>
    </row>
    <row r="4648" spans="5:5" s="4" customFormat="1" hidden="1" x14ac:dyDescent="0.5">
      <c r="E4648" s="108"/>
    </row>
    <row r="4649" spans="5:5" s="4" customFormat="1" hidden="1" x14ac:dyDescent="0.5">
      <c r="E4649" s="108"/>
    </row>
    <row r="4650" spans="5:5" s="4" customFormat="1" hidden="1" x14ac:dyDescent="0.5">
      <c r="E4650" s="108"/>
    </row>
    <row r="4651" spans="5:5" s="4" customFormat="1" hidden="1" x14ac:dyDescent="0.5">
      <c r="E4651" s="108"/>
    </row>
    <row r="4652" spans="5:5" s="4" customFormat="1" hidden="1" x14ac:dyDescent="0.5">
      <c r="E4652" s="108"/>
    </row>
    <row r="4653" spans="5:5" s="4" customFormat="1" hidden="1" x14ac:dyDescent="0.5">
      <c r="E4653" s="108"/>
    </row>
    <row r="4654" spans="5:5" s="4" customFormat="1" hidden="1" x14ac:dyDescent="0.5">
      <c r="E4654" s="108"/>
    </row>
    <row r="4655" spans="5:5" s="4" customFormat="1" hidden="1" x14ac:dyDescent="0.5">
      <c r="E4655" s="108"/>
    </row>
    <row r="4656" spans="5:5" s="4" customFormat="1" hidden="1" x14ac:dyDescent="0.5">
      <c r="E4656" s="108"/>
    </row>
    <row r="4657" spans="5:5" s="4" customFormat="1" hidden="1" x14ac:dyDescent="0.5">
      <c r="E4657" s="108"/>
    </row>
    <row r="4658" spans="5:5" s="4" customFormat="1" hidden="1" x14ac:dyDescent="0.5">
      <c r="E4658" s="108"/>
    </row>
    <row r="4659" spans="5:5" s="4" customFormat="1" hidden="1" x14ac:dyDescent="0.5">
      <c r="E4659" s="108"/>
    </row>
    <row r="4660" spans="5:5" s="4" customFormat="1" hidden="1" x14ac:dyDescent="0.5">
      <c r="E4660" s="108"/>
    </row>
    <row r="4661" spans="5:5" s="4" customFormat="1" hidden="1" x14ac:dyDescent="0.5">
      <c r="E4661" s="108"/>
    </row>
    <row r="4662" spans="5:5" s="4" customFormat="1" hidden="1" x14ac:dyDescent="0.5">
      <c r="E4662" s="108"/>
    </row>
    <row r="4663" spans="5:5" s="4" customFormat="1" hidden="1" x14ac:dyDescent="0.5">
      <c r="E4663" s="108"/>
    </row>
    <row r="4664" spans="5:5" s="4" customFormat="1" hidden="1" x14ac:dyDescent="0.5">
      <c r="E4664" s="108"/>
    </row>
    <row r="4665" spans="5:5" s="4" customFormat="1" hidden="1" x14ac:dyDescent="0.5">
      <c r="E4665" s="108"/>
    </row>
    <row r="4666" spans="5:5" s="4" customFormat="1" hidden="1" x14ac:dyDescent="0.5">
      <c r="E4666" s="108"/>
    </row>
    <row r="4667" spans="5:5" s="4" customFormat="1" hidden="1" x14ac:dyDescent="0.5">
      <c r="E4667" s="108"/>
    </row>
    <row r="4668" spans="5:5" s="4" customFormat="1" hidden="1" x14ac:dyDescent="0.5">
      <c r="E4668" s="108"/>
    </row>
    <row r="4669" spans="5:5" s="4" customFormat="1" hidden="1" x14ac:dyDescent="0.5">
      <c r="E4669" s="108"/>
    </row>
    <row r="4670" spans="5:5" s="4" customFormat="1" hidden="1" x14ac:dyDescent="0.5">
      <c r="E4670" s="108"/>
    </row>
    <row r="4671" spans="5:5" s="4" customFormat="1" hidden="1" x14ac:dyDescent="0.5">
      <c r="E4671" s="108"/>
    </row>
    <row r="4672" spans="5:5" s="4" customFormat="1" hidden="1" x14ac:dyDescent="0.5">
      <c r="E4672" s="108"/>
    </row>
    <row r="4673" spans="5:5" s="4" customFormat="1" hidden="1" x14ac:dyDescent="0.5">
      <c r="E4673" s="108"/>
    </row>
    <row r="4674" spans="5:5" s="4" customFormat="1" hidden="1" x14ac:dyDescent="0.5">
      <c r="E4674" s="108"/>
    </row>
    <row r="4675" spans="5:5" s="4" customFormat="1" hidden="1" x14ac:dyDescent="0.5">
      <c r="E4675" s="108"/>
    </row>
    <row r="4676" spans="5:5" s="4" customFormat="1" hidden="1" x14ac:dyDescent="0.5">
      <c r="E4676" s="108"/>
    </row>
    <row r="4677" spans="5:5" s="4" customFormat="1" hidden="1" x14ac:dyDescent="0.5">
      <c r="E4677" s="108"/>
    </row>
    <row r="4678" spans="5:5" s="4" customFormat="1" hidden="1" x14ac:dyDescent="0.5">
      <c r="E4678" s="108"/>
    </row>
    <row r="4679" spans="5:5" s="4" customFormat="1" hidden="1" x14ac:dyDescent="0.5">
      <c r="E4679" s="108"/>
    </row>
    <row r="4680" spans="5:5" s="4" customFormat="1" hidden="1" x14ac:dyDescent="0.5">
      <c r="E4680" s="108"/>
    </row>
    <row r="4681" spans="5:5" s="4" customFormat="1" hidden="1" x14ac:dyDescent="0.5">
      <c r="E4681" s="108"/>
    </row>
    <row r="4682" spans="5:5" s="4" customFormat="1" hidden="1" x14ac:dyDescent="0.5">
      <c r="E4682" s="108"/>
    </row>
    <row r="4683" spans="5:5" s="4" customFormat="1" hidden="1" x14ac:dyDescent="0.5">
      <c r="E4683" s="108"/>
    </row>
    <row r="4684" spans="5:5" s="4" customFormat="1" hidden="1" x14ac:dyDescent="0.5">
      <c r="E4684" s="108"/>
    </row>
    <row r="4685" spans="5:5" s="4" customFormat="1" hidden="1" x14ac:dyDescent="0.5">
      <c r="E4685" s="108"/>
    </row>
    <row r="4686" spans="5:5" s="4" customFormat="1" hidden="1" x14ac:dyDescent="0.5">
      <c r="E4686" s="108"/>
    </row>
    <row r="4687" spans="5:5" s="4" customFormat="1" hidden="1" x14ac:dyDescent="0.5">
      <c r="E4687" s="108"/>
    </row>
    <row r="4688" spans="5:5" s="4" customFormat="1" hidden="1" x14ac:dyDescent="0.5">
      <c r="E4688" s="108"/>
    </row>
    <row r="4689" spans="5:5" s="4" customFormat="1" hidden="1" x14ac:dyDescent="0.5">
      <c r="E4689" s="108"/>
    </row>
    <row r="4690" spans="5:5" s="4" customFormat="1" hidden="1" x14ac:dyDescent="0.5">
      <c r="E4690" s="108"/>
    </row>
    <row r="4691" spans="5:5" s="4" customFormat="1" hidden="1" x14ac:dyDescent="0.5">
      <c r="E4691" s="108"/>
    </row>
    <row r="4692" spans="5:5" s="4" customFormat="1" hidden="1" x14ac:dyDescent="0.5">
      <c r="E4692" s="108"/>
    </row>
    <row r="4693" spans="5:5" s="4" customFormat="1" hidden="1" x14ac:dyDescent="0.5">
      <c r="E4693" s="108"/>
    </row>
    <row r="4694" spans="5:5" s="4" customFormat="1" hidden="1" x14ac:dyDescent="0.5">
      <c r="E4694" s="108"/>
    </row>
    <row r="4695" spans="5:5" s="4" customFormat="1" hidden="1" x14ac:dyDescent="0.5">
      <c r="E4695" s="108"/>
    </row>
    <row r="4696" spans="5:5" s="4" customFormat="1" hidden="1" x14ac:dyDescent="0.5">
      <c r="E4696" s="108"/>
    </row>
    <row r="4697" spans="5:5" s="4" customFormat="1" hidden="1" x14ac:dyDescent="0.5">
      <c r="E4697" s="108"/>
    </row>
    <row r="4698" spans="5:5" s="4" customFormat="1" hidden="1" x14ac:dyDescent="0.5">
      <c r="E4698" s="108"/>
    </row>
    <row r="4699" spans="5:5" s="4" customFormat="1" hidden="1" x14ac:dyDescent="0.5">
      <c r="E4699" s="108"/>
    </row>
    <row r="4700" spans="5:5" s="4" customFormat="1" hidden="1" x14ac:dyDescent="0.5">
      <c r="E4700" s="108"/>
    </row>
    <row r="4701" spans="5:5" s="4" customFormat="1" hidden="1" x14ac:dyDescent="0.5">
      <c r="E4701" s="108"/>
    </row>
    <row r="4702" spans="5:5" s="4" customFormat="1" hidden="1" x14ac:dyDescent="0.5">
      <c r="E4702" s="108"/>
    </row>
    <row r="4703" spans="5:5" s="4" customFormat="1" hidden="1" x14ac:dyDescent="0.5">
      <c r="E4703" s="108"/>
    </row>
    <row r="4704" spans="5:5" s="4" customFormat="1" hidden="1" x14ac:dyDescent="0.5">
      <c r="E4704" s="108"/>
    </row>
    <row r="4705" spans="5:5" s="4" customFormat="1" hidden="1" x14ac:dyDescent="0.5">
      <c r="E4705" s="108"/>
    </row>
    <row r="4706" spans="5:5" s="4" customFormat="1" hidden="1" x14ac:dyDescent="0.5">
      <c r="E4706" s="108"/>
    </row>
    <row r="4707" spans="5:5" s="4" customFormat="1" hidden="1" x14ac:dyDescent="0.5">
      <c r="E4707" s="108"/>
    </row>
    <row r="4708" spans="5:5" s="4" customFormat="1" hidden="1" x14ac:dyDescent="0.5">
      <c r="E4708" s="108"/>
    </row>
    <row r="4709" spans="5:5" s="4" customFormat="1" hidden="1" x14ac:dyDescent="0.5">
      <c r="E4709" s="108"/>
    </row>
    <row r="4710" spans="5:5" s="4" customFormat="1" hidden="1" x14ac:dyDescent="0.5">
      <c r="E4710" s="108"/>
    </row>
    <row r="4711" spans="5:5" s="4" customFormat="1" hidden="1" x14ac:dyDescent="0.5">
      <c r="E4711" s="108"/>
    </row>
    <row r="4712" spans="5:5" s="4" customFormat="1" hidden="1" x14ac:dyDescent="0.5">
      <c r="E4712" s="108"/>
    </row>
    <row r="4713" spans="5:5" s="4" customFormat="1" hidden="1" x14ac:dyDescent="0.5">
      <c r="E4713" s="108"/>
    </row>
    <row r="4714" spans="5:5" s="4" customFormat="1" hidden="1" x14ac:dyDescent="0.5">
      <c r="E4714" s="108"/>
    </row>
    <row r="4715" spans="5:5" s="4" customFormat="1" hidden="1" x14ac:dyDescent="0.5">
      <c r="E4715" s="108"/>
    </row>
    <row r="4716" spans="5:5" s="4" customFormat="1" hidden="1" x14ac:dyDescent="0.5">
      <c r="E4716" s="108"/>
    </row>
    <row r="4717" spans="5:5" s="4" customFormat="1" hidden="1" x14ac:dyDescent="0.5">
      <c r="E4717" s="108"/>
    </row>
    <row r="4718" spans="5:5" s="4" customFormat="1" hidden="1" x14ac:dyDescent="0.5">
      <c r="E4718" s="108"/>
    </row>
    <row r="4719" spans="5:5" s="4" customFormat="1" hidden="1" x14ac:dyDescent="0.5">
      <c r="E4719" s="108"/>
    </row>
    <row r="4720" spans="5:5" s="4" customFormat="1" hidden="1" x14ac:dyDescent="0.5">
      <c r="E4720" s="108"/>
    </row>
    <row r="4721" spans="5:5" s="4" customFormat="1" hidden="1" x14ac:dyDescent="0.5">
      <c r="E4721" s="108"/>
    </row>
    <row r="4722" spans="5:5" s="4" customFormat="1" hidden="1" x14ac:dyDescent="0.5">
      <c r="E4722" s="108"/>
    </row>
    <row r="4723" spans="5:5" s="4" customFormat="1" hidden="1" x14ac:dyDescent="0.5">
      <c r="E4723" s="108"/>
    </row>
    <row r="4724" spans="5:5" s="4" customFormat="1" hidden="1" x14ac:dyDescent="0.5">
      <c r="E4724" s="108"/>
    </row>
    <row r="4725" spans="5:5" s="4" customFormat="1" hidden="1" x14ac:dyDescent="0.5">
      <c r="E4725" s="108"/>
    </row>
    <row r="4726" spans="5:5" s="4" customFormat="1" hidden="1" x14ac:dyDescent="0.5">
      <c r="E4726" s="108"/>
    </row>
    <row r="4727" spans="5:5" s="4" customFormat="1" hidden="1" x14ac:dyDescent="0.5">
      <c r="E4727" s="108"/>
    </row>
    <row r="4728" spans="5:5" s="4" customFormat="1" hidden="1" x14ac:dyDescent="0.5">
      <c r="E4728" s="108"/>
    </row>
    <row r="4729" spans="5:5" s="4" customFormat="1" hidden="1" x14ac:dyDescent="0.5">
      <c r="E4729" s="108"/>
    </row>
    <row r="4730" spans="5:5" s="4" customFormat="1" hidden="1" x14ac:dyDescent="0.5">
      <c r="E4730" s="108"/>
    </row>
    <row r="4731" spans="5:5" s="4" customFormat="1" hidden="1" x14ac:dyDescent="0.5">
      <c r="E4731" s="108"/>
    </row>
    <row r="4732" spans="5:5" s="4" customFormat="1" hidden="1" x14ac:dyDescent="0.5">
      <c r="E4732" s="108"/>
    </row>
    <row r="4733" spans="5:5" s="4" customFormat="1" hidden="1" x14ac:dyDescent="0.5">
      <c r="E4733" s="108"/>
    </row>
    <row r="4734" spans="5:5" s="4" customFormat="1" hidden="1" x14ac:dyDescent="0.5">
      <c r="E4734" s="108"/>
    </row>
    <row r="4735" spans="5:5" s="4" customFormat="1" hidden="1" x14ac:dyDescent="0.5">
      <c r="E4735" s="108"/>
    </row>
    <row r="4736" spans="5:5" s="4" customFormat="1" hidden="1" x14ac:dyDescent="0.5">
      <c r="E4736" s="108"/>
    </row>
    <row r="4737" spans="5:5" s="4" customFormat="1" hidden="1" x14ac:dyDescent="0.5">
      <c r="E4737" s="108"/>
    </row>
    <row r="4738" spans="5:5" s="4" customFormat="1" hidden="1" x14ac:dyDescent="0.5">
      <c r="E4738" s="108"/>
    </row>
    <row r="4739" spans="5:5" s="4" customFormat="1" hidden="1" x14ac:dyDescent="0.5">
      <c r="E4739" s="108"/>
    </row>
    <row r="4740" spans="5:5" s="4" customFormat="1" hidden="1" x14ac:dyDescent="0.5">
      <c r="E4740" s="108"/>
    </row>
    <row r="4741" spans="5:5" s="4" customFormat="1" hidden="1" x14ac:dyDescent="0.5">
      <c r="E4741" s="108"/>
    </row>
    <row r="4742" spans="5:5" s="4" customFormat="1" hidden="1" x14ac:dyDescent="0.5">
      <c r="E4742" s="108"/>
    </row>
    <row r="4743" spans="5:5" s="4" customFormat="1" hidden="1" x14ac:dyDescent="0.5">
      <c r="E4743" s="108"/>
    </row>
    <row r="4744" spans="5:5" s="4" customFormat="1" hidden="1" x14ac:dyDescent="0.5">
      <c r="E4744" s="108"/>
    </row>
    <row r="4745" spans="5:5" s="4" customFormat="1" hidden="1" x14ac:dyDescent="0.5">
      <c r="E4745" s="108"/>
    </row>
    <row r="4746" spans="5:5" s="4" customFormat="1" hidden="1" x14ac:dyDescent="0.5">
      <c r="E4746" s="108"/>
    </row>
    <row r="4747" spans="5:5" s="4" customFormat="1" hidden="1" x14ac:dyDescent="0.5">
      <c r="E4747" s="108"/>
    </row>
    <row r="4748" spans="5:5" s="4" customFormat="1" hidden="1" x14ac:dyDescent="0.5">
      <c r="E4748" s="108"/>
    </row>
    <row r="4749" spans="5:5" s="4" customFormat="1" hidden="1" x14ac:dyDescent="0.5">
      <c r="E4749" s="108"/>
    </row>
    <row r="4750" spans="5:5" s="4" customFormat="1" hidden="1" x14ac:dyDescent="0.5">
      <c r="E4750" s="108"/>
    </row>
    <row r="4751" spans="5:5" s="4" customFormat="1" hidden="1" x14ac:dyDescent="0.5">
      <c r="E4751" s="108"/>
    </row>
    <row r="4752" spans="5:5" s="4" customFormat="1" hidden="1" x14ac:dyDescent="0.5">
      <c r="E4752" s="108"/>
    </row>
    <row r="4753" spans="5:5" s="4" customFormat="1" hidden="1" x14ac:dyDescent="0.5">
      <c r="E4753" s="108"/>
    </row>
    <row r="4754" spans="5:5" s="4" customFormat="1" hidden="1" x14ac:dyDescent="0.5">
      <c r="E4754" s="108"/>
    </row>
    <row r="4755" spans="5:5" s="4" customFormat="1" hidden="1" x14ac:dyDescent="0.5">
      <c r="E4755" s="108"/>
    </row>
    <row r="4756" spans="5:5" s="4" customFormat="1" hidden="1" x14ac:dyDescent="0.5">
      <c r="E4756" s="108"/>
    </row>
    <row r="4757" spans="5:5" s="4" customFormat="1" hidden="1" x14ac:dyDescent="0.5">
      <c r="E4757" s="108"/>
    </row>
    <row r="4758" spans="5:5" s="4" customFormat="1" hidden="1" x14ac:dyDescent="0.5">
      <c r="E4758" s="108"/>
    </row>
    <row r="4759" spans="5:5" s="4" customFormat="1" hidden="1" x14ac:dyDescent="0.5">
      <c r="E4759" s="108"/>
    </row>
    <row r="4760" spans="5:5" s="4" customFormat="1" hidden="1" x14ac:dyDescent="0.5">
      <c r="E4760" s="108"/>
    </row>
    <row r="4761" spans="5:5" s="4" customFormat="1" hidden="1" x14ac:dyDescent="0.5">
      <c r="E4761" s="108"/>
    </row>
    <row r="4762" spans="5:5" s="4" customFormat="1" hidden="1" x14ac:dyDescent="0.5">
      <c r="E4762" s="108"/>
    </row>
    <row r="4763" spans="5:5" s="4" customFormat="1" hidden="1" x14ac:dyDescent="0.5">
      <c r="E4763" s="108"/>
    </row>
    <row r="4764" spans="5:5" s="4" customFormat="1" hidden="1" x14ac:dyDescent="0.5">
      <c r="E4764" s="108"/>
    </row>
    <row r="4765" spans="5:5" s="4" customFormat="1" hidden="1" x14ac:dyDescent="0.5">
      <c r="E4765" s="108"/>
    </row>
    <row r="4766" spans="5:5" s="4" customFormat="1" hidden="1" x14ac:dyDescent="0.5">
      <c r="E4766" s="108"/>
    </row>
    <row r="4767" spans="5:5" s="4" customFormat="1" hidden="1" x14ac:dyDescent="0.5">
      <c r="E4767" s="108"/>
    </row>
    <row r="4768" spans="5:5" s="4" customFormat="1" hidden="1" x14ac:dyDescent="0.5">
      <c r="E4768" s="108"/>
    </row>
    <row r="4769" spans="5:5" s="4" customFormat="1" hidden="1" x14ac:dyDescent="0.5">
      <c r="E4769" s="108"/>
    </row>
    <row r="4770" spans="5:5" s="4" customFormat="1" hidden="1" x14ac:dyDescent="0.5">
      <c r="E4770" s="108"/>
    </row>
    <row r="4771" spans="5:5" s="4" customFormat="1" hidden="1" x14ac:dyDescent="0.5">
      <c r="E4771" s="108"/>
    </row>
    <row r="4772" spans="5:5" s="4" customFormat="1" hidden="1" x14ac:dyDescent="0.5">
      <c r="E4772" s="108"/>
    </row>
    <row r="4773" spans="5:5" s="4" customFormat="1" hidden="1" x14ac:dyDescent="0.5">
      <c r="E4773" s="108"/>
    </row>
    <row r="4774" spans="5:5" s="4" customFormat="1" hidden="1" x14ac:dyDescent="0.5">
      <c r="E4774" s="108"/>
    </row>
    <row r="4775" spans="5:5" s="4" customFormat="1" hidden="1" x14ac:dyDescent="0.5">
      <c r="E4775" s="108"/>
    </row>
    <row r="4776" spans="5:5" s="4" customFormat="1" hidden="1" x14ac:dyDescent="0.5">
      <c r="E4776" s="108"/>
    </row>
    <row r="4777" spans="5:5" s="4" customFormat="1" hidden="1" x14ac:dyDescent="0.5">
      <c r="E4777" s="108"/>
    </row>
    <row r="4778" spans="5:5" s="4" customFormat="1" hidden="1" x14ac:dyDescent="0.5">
      <c r="E4778" s="108"/>
    </row>
    <row r="4779" spans="5:5" s="4" customFormat="1" hidden="1" x14ac:dyDescent="0.5">
      <c r="E4779" s="108"/>
    </row>
    <row r="4780" spans="5:5" s="4" customFormat="1" hidden="1" x14ac:dyDescent="0.5">
      <c r="E4780" s="108"/>
    </row>
    <row r="4781" spans="5:5" s="4" customFormat="1" hidden="1" x14ac:dyDescent="0.5">
      <c r="E4781" s="108"/>
    </row>
    <row r="4782" spans="5:5" s="4" customFormat="1" hidden="1" x14ac:dyDescent="0.5">
      <c r="E4782" s="108"/>
    </row>
    <row r="4783" spans="5:5" s="4" customFormat="1" hidden="1" x14ac:dyDescent="0.5">
      <c r="E4783" s="108"/>
    </row>
    <row r="4784" spans="5:5" s="4" customFormat="1" hidden="1" x14ac:dyDescent="0.5">
      <c r="E4784" s="108"/>
    </row>
    <row r="4785" spans="5:5" s="4" customFormat="1" hidden="1" x14ac:dyDescent="0.5">
      <c r="E4785" s="108"/>
    </row>
    <row r="4786" spans="5:5" s="4" customFormat="1" hidden="1" x14ac:dyDescent="0.5">
      <c r="E4786" s="108"/>
    </row>
    <row r="4787" spans="5:5" s="4" customFormat="1" hidden="1" x14ac:dyDescent="0.5">
      <c r="E4787" s="108"/>
    </row>
    <row r="4788" spans="5:5" s="4" customFormat="1" hidden="1" x14ac:dyDescent="0.5">
      <c r="E4788" s="108"/>
    </row>
    <row r="4789" spans="5:5" s="4" customFormat="1" hidden="1" x14ac:dyDescent="0.5">
      <c r="E4789" s="108"/>
    </row>
    <row r="4790" spans="5:5" s="4" customFormat="1" hidden="1" x14ac:dyDescent="0.5">
      <c r="E4790" s="108"/>
    </row>
    <row r="4791" spans="5:5" s="4" customFormat="1" hidden="1" x14ac:dyDescent="0.5">
      <c r="E4791" s="108"/>
    </row>
    <row r="4792" spans="5:5" s="4" customFormat="1" hidden="1" x14ac:dyDescent="0.5">
      <c r="E4792" s="108"/>
    </row>
    <row r="4793" spans="5:5" s="4" customFormat="1" hidden="1" x14ac:dyDescent="0.5">
      <c r="E4793" s="108"/>
    </row>
    <row r="4794" spans="5:5" s="4" customFormat="1" hidden="1" x14ac:dyDescent="0.5">
      <c r="E4794" s="108"/>
    </row>
    <row r="4795" spans="5:5" s="4" customFormat="1" hidden="1" x14ac:dyDescent="0.5">
      <c r="E4795" s="108"/>
    </row>
    <row r="4796" spans="5:5" s="4" customFormat="1" hidden="1" x14ac:dyDescent="0.5">
      <c r="E4796" s="108"/>
    </row>
    <row r="4797" spans="5:5" s="4" customFormat="1" hidden="1" x14ac:dyDescent="0.5">
      <c r="E4797" s="108"/>
    </row>
    <row r="4798" spans="5:5" s="4" customFormat="1" hidden="1" x14ac:dyDescent="0.5">
      <c r="E4798" s="108"/>
    </row>
    <row r="4799" spans="5:5" s="4" customFormat="1" hidden="1" x14ac:dyDescent="0.5">
      <c r="E4799" s="108"/>
    </row>
    <row r="4800" spans="5:5" s="4" customFormat="1" hidden="1" x14ac:dyDescent="0.5">
      <c r="E4800" s="108"/>
    </row>
    <row r="4801" spans="5:5" s="4" customFormat="1" hidden="1" x14ac:dyDescent="0.5">
      <c r="E4801" s="108"/>
    </row>
    <row r="4802" spans="5:5" s="4" customFormat="1" hidden="1" x14ac:dyDescent="0.5">
      <c r="E4802" s="108"/>
    </row>
    <row r="4803" spans="5:5" s="4" customFormat="1" hidden="1" x14ac:dyDescent="0.5">
      <c r="E4803" s="108"/>
    </row>
    <row r="4804" spans="5:5" s="4" customFormat="1" hidden="1" x14ac:dyDescent="0.5">
      <c r="E4804" s="108"/>
    </row>
    <row r="4805" spans="5:5" s="4" customFormat="1" hidden="1" x14ac:dyDescent="0.5">
      <c r="E4805" s="108"/>
    </row>
    <row r="4806" spans="5:5" s="4" customFormat="1" hidden="1" x14ac:dyDescent="0.5">
      <c r="E4806" s="108"/>
    </row>
    <row r="4807" spans="5:5" s="4" customFormat="1" hidden="1" x14ac:dyDescent="0.5">
      <c r="E4807" s="108"/>
    </row>
    <row r="4808" spans="5:5" s="4" customFormat="1" hidden="1" x14ac:dyDescent="0.5">
      <c r="E4808" s="108"/>
    </row>
    <row r="4809" spans="5:5" s="4" customFormat="1" hidden="1" x14ac:dyDescent="0.5">
      <c r="E4809" s="108"/>
    </row>
    <row r="4810" spans="5:5" s="4" customFormat="1" hidden="1" x14ac:dyDescent="0.5">
      <c r="E4810" s="108"/>
    </row>
    <row r="4811" spans="5:5" s="4" customFormat="1" hidden="1" x14ac:dyDescent="0.5">
      <c r="E4811" s="108"/>
    </row>
    <row r="4812" spans="5:5" s="4" customFormat="1" hidden="1" x14ac:dyDescent="0.5">
      <c r="E4812" s="108"/>
    </row>
    <row r="4813" spans="5:5" s="4" customFormat="1" hidden="1" x14ac:dyDescent="0.5">
      <c r="E4813" s="108"/>
    </row>
    <row r="4814" spans="5:5" s="4" customFormat="1" hidden="1" x14ac:dyDescent="0.5">
      <c r="E4814" s="108"/>
    </row>
    <row r="4815" spans="5:5" s="4" customFormat="1" hidden="1" x14ac:dyDescent="0.5">
      <c r="E4815" s="108"/>
    </row>
    <row r="4816" spans="5:5" s="4" customFormat="1" hidden="1" x14ac:dyDescent="0.5">
      <c r="E4816" s="108"/>
    </row>
    <row r="4817" spans="5:5" s="4" customFormat="1" hidden="1" x14ac:dyDescent="0.5">
      <c r="E4817" s="108"/>
    </row>
    <row r="4818" spans="5:5" s="4" customFormat="1" hidden="1" x14ac:dyDescent="0.5">
      <c r="E4818" s="108"/>
    </row>
    <row r="4819" spans="5:5" s="4" customFormat="1" hidden="1" x14ac:dyDescent="0.5">
      <c r="E4819" s="108"/>
    </row>
    <row r="4820" spans="5:5" s="4" customFormat="1" hidden="1" x14ac:dyDescent="0.5">
      <c r="E4820" s="108"/>
    </row>
    <row r="4821" spans="5:5" s="4" customFormat="1" hidden="1" x14ac:dyDescent="0.5">
      <c r="E4821" s="108"/>
    </row>
    <row r="4822" spans="5:5" s="4" customFormat="1" hidden="1" x14ac:dyDescent="0.5">
      <c r="E4822" s="108"/>
    </row>
    <row r="4823" spans="5:5" s="4" customFormat="1" hidden="1" x14ac:dyDescent="0.5">
      <c r="E4823" s="108"/>
    </row>
    <row r="4824" spans="5:5" s="4" customFormat="1" hidden="1" x14ac:dyDescent="0.5">
      <c r="E4824" s="108"/>
    </row>
    <row r="4825" spans="5:5" s="4" customFormat="1" hidden="1" x14ac:dyDescent="0.5">
      <c r="E4825" s="108"/>
    </row>
    <row r="4826" spans="5:5" s="4" customFormat="1" hidden="1" x14ac:dyDescent="0.5">
      <c r="E4826" s="108"/>
    </row>
    <row r="4827" spans="5:5" s="4" customFormat="1" hidden="1" x14ac:dyDescent="0.5">
      <c r="E4827" s="108"/>
    </row>
    <row r="4828" spans="5:5" s="4" customFormat="1" hidden="1" x14ac:dyDescent="0.5">
      <c r="E4828" s="108"/>
    </row>
    <row r="4829" spans="5:5" s="4" customFormat="1" hidden="1" x14ac:dyDescent="0.5">
      <c r="E4829" s="108"/>
    </row>
    <row r="4830" spans="5:5" s="4" customFormat="1" hidden="1" x14ac:dyDescent="0.5">
      <c r="E4830" s="108"/>
    </row>
    <row r="4831" spans="5:5" s="4" customFormat="1" hidden="1" x14ac:dyDescent="0.5">
      <c r="E4831" s="108"/>
    </row>
    <row r="4832" spans="5:5" s="4" customFormat="1" hidden="1" x14ac:dyDescent="0.5">
      <c r="E4832" s="108"/>
    </row>
    <row r="4833" spans="5:5" s="4" customFormat="1" hidden="1" x14ac:dyDescent="0.5">
      <c r="E4833" s="108"/>
    </row>
    <row r="4834" spans="5:5" s="4" customFormat="1" hidden="1" x14ac:dyDescent="0.5">
      <c r="E4834" s="108"/>
    </row>
    <row r="4835" spans="5:5" s="4" customFormat="1" hidden="1" x14ac:dyDescent="0.5">
      <c r="E4835" s="108"/>
    </row>
    <row r="4836" spans="5:5" s="4" customFormat="1" hidden="1" x14ac:dyDescent="0.5">
      <c r="E4836" s="108"/>
    </row>
    <row r="4837" spans="5:5" s="4" customFormat="1" hidden="1" x14ac:dyDescent="0.5">
      <c r="E4837" s="108"/>
    </row>
    <row r="4838" spans="5:5" s="4" customFormat="1" hidden="1" x14ac:dyDescent="0.5">
      <c r="E4838" s="108"/>
    </row>
    <row r="4839" spans="5:5" s="4" customFormat="1" hidden="1" x14ac:dyDescent="0.5">
      <c r="E4839" s="108"/>
    </row>
    <row r="4840" spans="5:5" s="4" customFormat="1" hidden="1" x14ac:dyDescent="0.5">
      <c r="E4840" s="108"/>
    </row>
    <row r="4841" spans="5:5" s="4" customFormat="1" hidden="1" x14ac:dyDescent="0.5">
      <c r="E4841" s="108"/>
    </row>
    <row r="4842" spans="5:5" s="4" customFormat="1" hidden="1" x14ac:dyDescent="0.5">
      <c r="E4842" s="108"/>
    </row>
    <row r="4843" spans="5:5" s="4" customFormat="1" hidden="1" x14ac:dyDescent="0.5">
      <c r="E4843" s="108"/>
    </row>
    <row r="4844" spans="5:5" s="4" customFormat="1" hidden="1" x14ac:dyDescent="0.5">
      <c r="E4844" s="108"/>
    </row>
    <row r="4845" spans="5:5" s="4" customFormat="1" hidden="1" x14ac:dyDescent="0.5">
      <c r="E4845" s="108"/>
    </row>
    <row r="4846" spans="5:5" s="4" customFormat="1" hidden="1" x14ac:dyDescent="0.5">
      <c r="E4846" s="108"/>
    </row>
    <row r="4847" spans="5:5" s="4" customFormat="1" hidden="1" x14ac:dyDescent="0.5">
      <c r="E4847" s="108"/>
    </row>
    <row r="4848" spans="5:5" s="4" customFormat="1" hidden="1" x14ac:dyDescent="0.5">
      <c r="E4848" s="108"/>
    </row>
    <row r="4849" spans="5:5" s="4" customFormat="1" hidden="1" x14ac:dyDescent="0.5">
      <c r="E4849" s="108"/>
    </row>
    <row r="4850" spans="5:5" s="4" customFormat="1" hidden="1" x14ac:dyDescent="0.5">
      <c r="E4850" s="108"/>
    </row>
    <row r="4851" spans="5:5" s="4" customFormat="1" hidden="1" x14ac:dyDescent="0.5">
      <c r="E4851" s="108"/>
    </row>
    <row r="4852" spans="5:5" s="4" customFormat="1" hidden="1" x14ac:dyDescent="0.5">
      <c r="E4852" s="108"/>
    </row>
    <row r="4853" spans="5:5" s="4" customFormat="1" hidden="1" x14ac:dyDescent="0.5">
      <c r="E4853" s="108"/>
    </row>
    <row r="4854" spans="5:5" s="4" customFormat="1" hidden="1" x14ac:dyDescent="0.5">
      <c r="E4854" s="108"/>
    </row>
    <row r="4855" spans="5:5" s="4" customFormat="1" hidden="1" x14ac:dyDescent="0.5">
      <c r="E4855" s="108"/>
    </row>
    <row r="4856" spans="5:5" s="4" customFormat="1" hidden="1" x14ac:dyDescent="0.5">
      <c r="E4856" s="108"/>
    </row>
    <row r="4857" spans="5:5" s="4" customFormat="1" hidden="1" x14ac:dyDescent="0.5">
      <c r="E4857" s="108"/>
    </row>
    <row r="4858" spans="5:5" s="4" customFormat="1" hidden="1" x14ac:dyDescent="0.5">
      <c r="E4858" s="108"/>
    </row>
    <row r="4859" spans="5:5" s="4" customFormat="1" hidden="1" x14ac:dyDescent="0.5">
      <c r="E4859" s="108"/>
    </row>
    <row r="4860" spans="5:5" s="4" customFormat="1" hidden="1" x14ac:dyDescent="0.5">
      <c r="E4860" s="108"/>
    </row>
    <row r="4861" spans="5:5" s="4" customFormat="1" hidden="1" x14ac:dyDescent="0.5">
      <c r="E4861" s="108"/>
    </row>
    <row r="4862" spans="5:5" s="4" customFormat="1" hidden="1" x14ac:dyDescent="0.5">
      <c r="E4862" s="108"/>
    </row>
    <row r="4863" spans="5:5" s="4" customFormat="1" hidden="1" x14ac:dyDescent="0.5">
      <c r="E4863" s="108"/>
    </row>
    <row r="4864" spans="5:5" s="4" customFormat="1" hidden="1" x14ac:dyDescent="0.5">
      <c r="E4864" s="108"/>
    </row>
    <row r="4865" spans="5:5" s="4" customFormat="1" hidden="1" x14ac:dyDescent="0.5">
      <c r="E4865" s="108"/>
    </row>
    <row r="4866" spans="5:5" s="4" customFormat="1" hidden="1" x14ac:dyDescent="0.5">
      <c r="E4866" s="108"/>
    </row>
    <row r="4867" spans="5:5" s="4" customFormat="1" hidden="1" x14ac:dyDescent="0.5">
      <c r="E4867" s="108"/>
    </row>
    <row r="4868" spans="5:5" s="4" customFormat="1" hidden="1" x14ac:dyDescent="0.5">
      <c r="E4868" s="108"/>
    </row>
    <row r="4869" spans="5:5" s="4" customFormat="1" hidden="1" x14ac:dyDescent="0.5">
      <c r="E4869" s="108"/>
    </row>
    <row r="4870" spans="5:5" s="4" customFormat="1" hidden="1" x14ac:dyDescent="0.5">
      <c r="E4870" s="108"/>
    </row>
    <row r="4871" spans="5:5" s="4" customFormat="1" hidden="1" x14ac:dyDescent="0.5">
      <c r="E4871" s="108"/>
    </row>
    <row r="4872" spans="5:5" s="4" customFormat="1" hidden="1" x14ac:dyDescent="0.5">
      <c r="E4872" s="108"/>
    </row>
    <row r="4873" spans="5:5" s="4" customFormat="1" hidden="1" x14ac:dyDescent="0.5">
      <c r="E4873" s="108"/>
    </row>
    <row r="4874" spans="5:5" s="4" customFormat="1" hidden="1" x14ac:dyDescent="0.5">
      <c r="E4874" s="108"/>
    </row>
    <row r="4875" spans="5:5" s="4" customFormat="1" hidden="1" x14ac:dyDescent="0.5">
      <c r="E4875" s="108"/>
    </row>
    <row r="4876" spans="5:5" s="4" customFormat="1" hidden="1" x14ac:dyDescent="0.5">
      <c r="E4876" s="108"/>
    </row>
    <row r="4877" spans="5:5" s="4" customFormat="1" hidden="1" x14ac:dyDescent="0.5">
      <c r="E4877" s="108"/>
    </row>
    <row r="4878" spans="5:5" s="4" customFormat="1" hidden="1" x14ac:dyDescent="0.5">
      <c r="E4878" s="108"/>
    </row>
    <row r="4879" spans="5:5" s="4" customFormat="1" hidden="1" x14ac:dyDescent="0.5">
      <c r="E4879" s="108"/>
    </row>
    <row r="4880" spans="5:5" s="4" customFormat="1" hidden="1" x14ac:dyDescent="0.5">
      <c r="E4880" s="108"/>
    </row>
    <row r="4881" spans="5:5" s="4" customFormat="1" hidden="1" x14ac:dyDescent="0.5">
      <c r="E4881" s="108"/>
    </row>
    <row r="4882" spans="5:5" s="4" customFormat="1" hidden="1" x14ac:dyDescent="0.5">
      <c r="E4882" s="108"/>
    </row>
    <row r="4883" spans="5:5" s="4" customFormat="1" hidden="1" x14ac:dyDescent="0.5">
      <c r="E4883" s="108"/>
    </row>
    <row r="4884" spans="5:5" s="4" customFormat="1" hidden="1" x14ac:dyDescent="0.5">
      <c r="E4884" s="108"/>
    </row>
    <row r="4885" spans="5:5" s="4" customFormat="1" hidden="1" x14ac:dyDescent="0.5">
      <c r="E4885" s="108"/>
    </row>
    <row r="4886" spans="5:5" s="4" customFormat="1" hidden="1" x14ac:dyDescent="0.5">
      <c r="E4886" s="108"/>
    </row>
    <row r="4887" spans="5:5" s="4" customFormat="1" hidden="1" x14ac:dyDescent="0.5">
      <c r="E4887" s="108"/>
    </row>
    <row r="4888" spans="5:5" s="4" customFormat="1" hidden="1" x14ac:dyDescent="0.5">
      <c r="E4888" s="108"/>
    </row>
    <row r="4889" spans="5:5" s="4" customFormat="1" hidden="1" x14ac:dyDescent="0.5">
      <c r="E4889" s="108"/>
    </row>
    <row r="4890" spans="5:5" s="4" customFormat="1" hidden="1" x14ac:dyDescent="0.5">
      <c r="E4890" s="108"/>
    </row>
    <row r="4891" spans="5:5" s="4" customFormat="1" hidden="1" x14ac:dyDescent="0.5">
      <c r="E4891" s="108"/>
    </row>
    <row r="4892" spans="5:5" s="4" customFormat="1" hidden="1" x14ac:dyDescent="0.5">
      <c r="E4892" s="108"/>
    </row>
    <row r="4893" spans="5:5" s="4" customFormat="1" hidden="1" x14ac:dyDescent="0.5">
      <c r="E4893" s="108"/>
    </row>
    <row r="4894" spans="5:5" s="4" customFormat="1" hidden="1" x14ac:dyDescent="0.5">
      <c r="E4894" s="108"/>
    </row>
    <row r="4895" spans="5:5" s="4" customFormat="1" hidden="1" x14ac:dyDescent="0.5">
      <c r="E4895" s="108"/>
    </row>
    <row r="4896" spans="5:5" s="4" customFormat="1" hidden="1" x14ac:dyDescent="0.5">
      <c r="E4896" s="108"/>
    </row>
    <row r="4897" spans="5:5" s="4" customFormat="1" hidden="1" x14ac:dyDescent="0.5">
      <c r="E4897" s="108"/>
    </row>
    <row r="4898" spans="5:5" s="4" customFormat="1" hidden="1" x14ac:dyDescent="0.5">
      <c r="E4898" s="108"/>
    </row>
    <row r="4899" spans="5:5" s="4" customFormat="1" hidden="1" x14ac:dyDescent="0.5">
      <c r="E4899" s="108"/>
    </row>
    <row r="4900" spans="5:5" s="4" customFormat="1" hidden="1" x14ac:dyDescent="0.5">
      <c r="E4900" s="108"/>
    </row>
    <row r="4901" spans="5:5" s="4" customFormat="1" hidden="1" x14ac:dyDescent="0.5">
      <c r="E4901" s="108"/>
    </row>
    <row r="4902" spans="5:5" s="4" customFormat="1" hidden="1" x14ac:dyDescent="0.5">
      <c r="E4902" s="108"/>
    </row>
    <row r="4903" spans="5:5" s="4" customFormat="1" hidden="1" x14ac:dyDescent="0.5">
      <c r="E4903" s="108"/>
    </row>
    <row r="4904" spans="5:5" s="4" customFormat="1" hidden="1" x14ac:dyDescent="0.5">
      <c r="E4904" s="108"/>
    </row>
    <row r="4905" spans="5:5" s="4" customFormat="1" hidden="1" x14ac:dyDescent="0.5">
      <c r="E4905" s="108"/>
    </row>
    <row r="4906" spans="5:5" s="4" customFormat="1" hidden="1" x14ac:dyDescent="0.5">
      <c r="E4906" s="108"/>
    </row>
    <row r="4907" spans="5:5" s="4" customFormat="1" hidden="1" x14ac:dyDescent="0.5">
      <c r="E4907" s="108"/>
    </row>
    <row r="4908" spans="5:5" s="4" customFormat="1" hidden="1" x14ac:dyDescent="0.5">
      <c r="E4908" s="108"/>
    </row>
    <row r="4909" spans="5:5" s="4" customFormat="1" hidden="1" x14ac:dyDescent="0.5">
      <c r="E4909" s="108"/>
    </row>
    <row r="4910" spans="5:5" s="4" customFormat="1" hidden="1" x14ac:dyDescent="0.5">
      <c r="E4910" s="108"/>
    </row>
    <row r="4911" spans="5:5" s="4" customFormat="1" hidden="1" x14ac:dyDescent="0.5">
      <c r="E4911" s="108"/>
    </row>
    <row r="4912" spans="5:5" s="4" customFormat="1" hidden="1" x14ac:dyDescent="0.5">
      <c r="E4912" s="108"/>
    </row>
    <row r="4913" spans="5:5" s="4" customFormat="1" hidden="1" x14ac:dyDescent="0.5">
      <c r="E4913" s="108"/>
    </row>
    <row r="4914" spans="5:5" s="4" customFormat="1" hidden="1" x14ac:dyDescent="0.5">
      <c r="E4914" s="108"/>
    </row>
    <row r="4915" spans="5:5" s="4" customFormat="1" hidden="1" x14ac:dyDescent="0.5">
      <c r="E4915" s="108"/>
    </row>
    <row r="4916" spans="5:5" s="4" customFormat="1" hidden="1" x14ac:dyDescent="0.5">
      <c r="E4916" s="108"/>
    </row>
    <row r="4917" spans="5:5" s="4" customFormat="1" hidden="1" x14ac:dyDescent="0.5">
      <c r="E4917" s="108"/>
    </row>
    <row r="4918" spans="5:5" s="4" customFormat="1" hidden="1" x14ac:dyDescent="0.5">
      <c r="E4918" s="108"/>
    </row>
    <row r="4919" spans="5:5" s="4" customFormat="1" hidden="1" x14ac:dyDescent="0.5">
      <c r="E4919" s="108"/>
    </row>
    <row r="4920" spans="5:5" s="4" customFormat="1" hidden="1" x14ac:dyDescent="0.5">
      <c r="E4920" s="108"/>
    </row>
    <row r="4921" spans="5:5" s="4" customFormat="1" hidden="1" x14ac:dyDescent="0.5">
      <c r="E4921" s="108"/>
    </row>
    <row r="4922" spans="5:5" s="4" customFormat="1" hidden="1" x14ac:dyDescent="0.5">
      <c r="E4922" s="108"/>
    </row>
    <row r="4923" spans="5:5" s="4" customFormat="1" hidden="1" x14ac:dyDescent="0.5">
      <c r="E4923" s="108"/>
    </row>
    <row r="4924" spans="5:5" s="4" customFormat="1" hidden="1" x14ac:dyDescent="0.5">
      <c r="E4924" s="108"/>
    </row>
    <row r="4925" spans="5:5" s="4" customFormat="1" hidden="1" x14ac:dyDescent="0.5">
      <c r="E4925" s="108"/>
    </row>
    <row r="4926" spans="5:5" s="4" customFormat="1" hidden="1" x14ac:dyDescent="0.5">
      <c r="E4926" s="108"/>
    </row>
    <row r="4927" spans="5:5" s="4" customFormat="1" hidden="1" x14ac:dyDescent="0.5">
      <c r="E4927" s="108"/>
    </row>
    <row r="4928" spans="5:5" s="4" customFormat="1" hidden="1" x14ac:dyDescent="0.5">
      <c r="E4928" s="108"/>
    </row>
    <row r="4929" spans="5:5" s="4" customFormat="1" hidden="1" x14ac:dyDescent="0.5">
      <c r="E4929" s="108"/>
    </row>
    <row r="4930" spans="5:5" s="4" customFormat="1" hidden="1" x14ac:dyDescent="0.5">
      <c r="E4930" s="108"/>
    </row>
    <row r="4931" spans="5:5" s="4" customFormat="1" hidden="1" x14ac:dyDescent="0.5">
      <c r="E4931" s="108"/>
    </row>
    <row r="4932" spans="5:5" s="4" customFormat="1" hidden="1" x14ac:dyDescent="0.5">
      <c r="E4932" s="108"/>
    </row>
    <row r="4933" spans="5:5" s="4" customFormat="1" hidden="1" x14ac:dyDescent="0.5">
      <c r="E4933" s="108"/>
    </row>
    <row r="4934" spans="5:5" s="4" customFormat="1" hidden="1" x14ac:dyDescent="0.5">
      <c r="E4934" s="108"/>
    </row>
    <row r="4935" spans="5:5" s="4" customFormat="1" hidden="1" x14ac:dyDescent="0.5">
      <c r="E4935" s="108"/>
    </row>
    <row r="4936" spans="5:5" s="4" customFormat="1" hidden="1" x14ac:dyDescent="0.5">
      <c r="E4936" s="108"/>
    </row>
    <row r="4937" spans="5:5" s="4" customFormat="1" hidden="1" x14ac:dyDescent="0.5">
      <c r="E4937" s="108"/>
    </row>
    <row r="4938" spans="5:5" s="4" customFormat="1" hidden="1" x14ac:dyDescent="0.5">
      <c r="E4938" s="108"/>
    </row>
    <row r="4939" spans="5:5" s="4" customFormat="1" hidden="1" x14ac:dyDescent="0.5">
      <c r="E4939" s="108"/>
    </row>
    <row r="4940" spans="5:5" s="4" customFormat="1" hidden="1" x14ac:dyDescent="0.5">
      <c r="E4940" s="108"/>
    </row>
    <row r="4941" spans="5:5" s="4" customFormat="1" hidden="1" x14ac:dyDescent="0.5">
      <c r="E4941" s="108"/>
    </row>
    <row r="4942" spans="5:5" s="4" customFormat="1" hidden="1" x14ac:dyDescent="0.5">
      <c r="E4942" s="108"/>
    </row>
    <row r="4943" spans="5:5" s="4" customFormat="1" hidden="1" x14ac:dyDescent="0.5">
      <c r="E4943" s="108"/>
    </row>
    <row r="4944" spans="5:5" s="4" customFormat="1" hidden="1" x14ac:dyDescent="0.5">
      <c r="E4944" s="108"/>
    </row>
    <row r="4945" spans="5:5" s="4" customFormat="1" hidden="1" x14ac:dyDescent="0.5">
      <c r="E4945" s="108"/>
    </row>
    <row r="4946" spans="5:5" s="4" customFormat="1" hidden="1" x14ac:dyDescent="0.5">
      <c r="E4946" s="108"/>
    </row>
    <row r="4947" spans="5:5" s="4" customFormat="1" hidden="1" x14ac:dyDescent="0.5">
      <c r="E4947" s="108"/>
    </row>
    <row r="4948" spans="5:5" s="4" customFormat="1" hidden="1" x14ac:dyDescent="0.5">
      <c r="E4948" s="108"/>
    </row>
    <row r="4949" spans="5:5" s="4" customFormat="1" hidden="1" x14ac:dyDescent="0.5">
      <c r="E4949" s="108"/>
    </row>
    <row r="4950" spans="5:5" s="4" customFormat="1" hidden="1" x14ac:dyDescent="0.5">
      <c r="E4950" s="108"/>
    </row>
    <row r="4951" spans="5:5" s="4" customFormat="1" hidden="1" x14ac:dyDescent="0.5">
      <c r="E4951" s="108"/>
    </row>
    <row r="4952" spans="5:5" s="4" customFormat="1" hidden="1" x14ac:dyDescent="0.5">
      <c r="E4952" s="108"/>
    </row>
    <row r="4953" spans="5:5" s="4" customFormat="1" hidden="1" x14ac:dyDescent="0.5">
      <c r="E4953" s="108"/>
    </row>
    <row r="4954" spans="5:5" s="4" customFormat="1" hidden="1" x14ac:dyDescent="0.5">
      <c r="E4954" s="108"/>
    </row>
    <row r="4955" spans="5:5" s="4" customFormat="1" hidden="1" x14ac:dyDescent="0.5">
      <c r="E4955" s="108"/>
    </row>
    <row r="4956" spans="5:5" s="4" customFormat="1" hidden="1" x14ac:dyDescent="0.5">
      <c r="E4956" s="108"/>
    </row>
    <row r="4957" spans="5:5" s="4" customFormat="1" hidden="1" x14ac:dyDescent="0.5">
      <c r="E4957" s="108"/>
    </row>
    <row r="4958" spans="5:5" s="4" customFormat="1" hidden="1" x14ac:dyDescent="0.5">
      <c r="E4958" s="108"/>
    </row>
    <row r="4959" spans="5:5" s="4" customFormat="1" hidden="1" x14ac:dyDescent="0.5">
      <c r="E4959" s="108"/>
    </row>
    <row r="4960" spans="5:5" s="4" customFormat="1" hidden="1" x14ac:dyDescent="0.5">
      <c r="E4960" s="108"/>
    </row>
    <row r="4961" spans="5:5" s="4" customFormat="1" hidden="1" x14ac:dyDescent="0.5">
      <c r="E4961" s="108"/>
    </row>
  </sheetData>
  <autoFilter ref="A1:Z4961" xr:uid="{883D9388-38FA-4485-985D-BAF75819051D}">
    <filterColumn colId="12">
      <filters>
        <filter val="عطلانة"/>
      </filters>
    </filterColumn>
  </autoFilter>
  <conditionalFormatting sqref="M2:M640">
    <cfRule type="containsText" dxfId="9" priority="1" operator="containsText" text="تحت التجهيز والتسليم">
      <formula>NOT(ISERROR(SEARCH("تحت التجهيز والتسليم",M2)))</formula>
    </cfRule>
    <cfRule type="containsText" dxfId="8" priority="2" operator="containsText" text="تحت التجهيز والتسليم">
      <formula>NOT(ISERROR(SEARCH("تحت التجهيز والتسليم",M2)))</formula>
    </cfRule>
    <cfRule type="containsText" dxfId="7" priority="3" operator="containsText" text="صدر قرار الرجيع">
      <formula>NOT(ISERROR(SEARCH("صدر قرار الرجيع",M2)))</formula>
    </cfRule>
    <cfRule type="containsText" dxfId="6" priority="4" operator="containsText" text="تحت إجراءات الرجيع">
      <formula>NOT(ISERROR(SEARCH("تحت إجراءات الرجيع",M2)))</formula>
    </cfRule>
    <cfRule type="containsText" dxfId="5" priority="5" operator="containsText" text="عطلانة">
      <formula>NOT(ISERROR(SEARCH("عطلانة",M2)))</formula>
    </cfRule>
    <cfRule type="containsText" dxfId="4" priority="6" operator="containsText" text="تعمل">
      <formula>NOT(ISERROR(SEARCH("تعمل",M2)))</formula>
    </cfRule>
    <cfRule type="containsText" dxfId="3" priority="7" operator="containsText" text="تعمل بوجود ملاحظات">
      <formula>NOT(ISERROR(SEARCH("تعمل بوجود ملاحظات",M2)))</formula>
    </cfRule>
    <cfRule type="containsText" dxfId="2" priority="8" operator="containsText" text="تم الاصلاح">
      <formula>NOT(ISERROR(SEARCH("تم الاصلاح",M2)))</formula>
    </cfRule>
    <cfRule type="containsText" dxfId="1" priority="9" operator="containsText" text="تعمل">
      <formula>NOT(ISERROR(SEARCH("تعمل",M2)))</formula>
    </cfRule>
    <cfRule type="containsText" dxfId="0" priority="10" operator="containsText" text="عطلانة">
      <formula>NOT(ISERROR(SEARCH("عطلانة",M2)))</formula>
    </cfRule>
  </conditionalFormatting>
  <dataValidations count="5">
    <dataValidation type="list" allowBlank="1" showInputMessage="1" showErrorMessage="1" sqref="T1:T4" xr:uid="{6AC336DC-A2C7-4A2D-BF7D-D4ED08A331B0}">
      <formula1>$T$1:$T$4</formula1>
    </dataValidation>
    <dataValidation type="list" allowBlank="1" showInputMessage="1" showErrorMessage="1" sqref="V1:V9" xr:uid="{D66847F7-8E78-4FEF-B510-55E3FA4B2A8F}">
      <formula1>$V$1:$V$9</formula1>
    </dataValidation>
    <dataValidation type="list" allowBlank="1" showInputMessage="1" showErrorMessage="1" sqref="N1 N1119:N1048576" xr:uid="{17395E01-D5C7-4D51-A725-205B216D6C67}">
      <formula1>$V$1:$V$11</formula1>
    </dataValidation>
    <dataValidation type="list" allowBlank="1" showInputMessage="1" showErrorMessage="1" sqref="L1 L1443:L1048576" xr:uid="{00E0BEA4-6E60-418C-A1CC-5B156A260A4A}">
      <formula1>$U$1:$U$85</formula1>
    </dataValidation>
    <dataValidation type="list" allowBlank="1" showInputMessage="1" showErrorMessage="1" sqref="S1 S2430:S1048576" xr:uid="{1FBB2C7B-64FB-4042-8232-47E14D76916C}">
      <formula1>$X$1:$X$149</formula1>
    </dataValidation>
  </dataValidations>
  <printOptions horizontalCentered="1"/>
  <pageMargins left="0.23622047244094491" right="0.23622047244094491" top="0.74803149606299213" bottom="0.74803149606299213" header="0.31496062992125984" footer="0.31496062992125984"/>
  <pageSetup paperSize="9" scale="23" fitToHeight="0" orientation="landscape"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4454F97-11B8-4B45-9532-695681E4834F}">
          <x14:formula1>
            <xm:f>الاعدادت!$H$14:$H$89</xm:f>
          </x14:formula1>
          <xm:sqref>S2:S2429</xm:sqref>
        </x14:dataValidation>
        <x14:dataValidation type="list" allowBlank="1" showInputMessage="1" showErrorMessage="1" xr:uid="{270F5581-FA37-457E-A2C0-C1675DE58F57}">
          <x14:formula1>
            <xm:f>الاعدادت!$B$2:$B$85</xm:f>
          </x14:formula1>
          <xm:sqref>Z2:Z1237 L2:L246 L248:L266 L268:L363 L365:L417 L419:L1442</xm:sqref>
        </x14:dataValidation>
        <x14:dataValidation type="list" allowBlank="1" showInputMessage="1" showErrorMessage="1" xr:uid="{CAA38DB3-0103-420F-BA6A-FBB712EF0E9B}">
          <x14:formula1>
            <xm:f>الاعدادت!$D$2:$D$11</xm:f>
          </x14:formula1>
          <xm:sqref>N2:N1118</xm:sqref>
        </x14:dataValidation>
        <x14:dataValidation type="list" allowBlank="1" showInputMessage="1" showErrorMessage="1" xr:uid="{80616A12-93EE-41C4-B0B1-8AB5FF9E2C28}">
          <x14:formula1>
            <xm:f>الاعدادت!$J$14:$J$21</xm:f>
          </x14:formula1>
          <xm:sqref>E2:E638</xm:sqref>
        </x14:dataValidation>
        <x14:dataValidation type="list" allowBlank="1" showInputMessage="1" showErrorMessage="1" xr:uid="{3A386045-1CA4-4D7D-B3D0-0EC236069640}">
          <x14:formula1>
            <xm:f>الاعدادت!$C$2:$C$7</xm:f>
          </x14:formula1>
          <xm:sqref>M1 M641:M1048576</xm:sqref>
        </x14:dataValidation>
        <x14:dataValidation type="list" allowBlank="1" showInputMessage="1" showErrorMessage="1" xr:uid="{C6731D48-8C12-4395-8A1C-FB7F9E9DB2CE}">
          <x14:formula1>
            <xm:f>الاعدادت!$C$2:$C$8</xm:f>
          </x14:formula1>
          <xm:sqref>M2:M640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804B-A5BD-4995-AAF8-C1044FCDE69D}">
  <dimension ref="B1:S191"/>
  <sheetViews>
    <sheetView rightToLeft="1" workbookViewId="0">
      <selection activeCell="C12" sqref="C12"/>
    </sheetView>
  </sheetViews>
  <sheetFormatPr defaultColWidth="9.109375" defaultRowHeight="14.4" x14ac:dyDescent="0.3"/>
  <cols>
    <col min="1" max="1" width="9.109375" style="12"/>
    <col min="2" max="2" width="30.33203125" style="12" bestFit="1" customWidth="1"/>
    <col min="3" max="3" width="16" style="12" bestFit="1" customWidth="1"/>
    <col min="4" max="4" width="10.88671875" style="12" customWidth="1"/>
    <col min="5" max="5" width="9.109375" style="12"/>
    <col min="6" max="6" width="20.33203125" style="12" bestFit="1" customWidth="1"/>
    <col min="7" max="7" width="19.88671875" style="12" bestFit="1" customWidth="1"/>
    <col min="8" max="8" width="19" style="12" bestFit="1" customWidth="1"/>
    <col min="9" max="9" width="18" style="12" bestFit="1" customWidth="1"/>
    <col min="10" max="10" width="22" style="12" bestFit="1" customWidth="1"/>
    <col min="11" max="11" width="19.6640625" style="12" bestFit="1" customWidth="1"/>
    <col min="12" max="12" width="23.88671875" style="12" bestFit="1" customWidth="1"/>
    <col min="13" max="13" width="25.88671875" style="12" bestFit="1" customWidth="1"/>
    <col min="14" max="14" width="20.44140625" style="12" customWidth="1"/>
    <col min="15" max="15" width="17.88671875" style="12" customWidth="1"/>
    <col min="16" max="16" width="24.44140625" style="12" customWidth="1"/>
    <col min="17" max="17" width="24.5546875" style="12" customWidth="1"/>
    <col min="18" max="18" width="17.33203125" style="12" bestFit="1" customWidth="1"/>
    <col min="19" max="19" width="25.6640625" style="12" bestFit="1" customWidth="1"/>
    <col min="20" max="16384" width="9.109375" style="12"/>
  </cols>
  <sheetData>
    <row r="1" spans="2:19" x14ac:dyDescent="0.3">
      <c r="B1" s="19" t="s">
        <v>1638</v>
      </c>
      <c r="C1" s="20" t="s">
        <v>1546</v>
      </c>
      <c r="D1" s="21" t="s">
        <v>1563</v>
      </c>
    </row>
    <row r="2" spans="2:19" ht="16.8" x14ac:dyDescent="0.3">
      <c r="B2" s="22" t="s">
        <v>1471</v>
      </c>
      <c r="C2" s="7" t="s">
        <v>1548</v>
      </c>
      <c r="D2" s="23" t="s">
        <v>1564</v>
      </c>
      <c r="F2" s="19" t="s">
        <v>1518</v>
      </c>
      <c r="G2" s="20" t="s">
        <v>1471</v>
      </c>
      <c r="H2" s="20" t="s">
        <v>1477</v>
      </c>
      <c r="I2" s="20" t="s">
        <v>1506</v>
      </c>
      <c r="J2" s="20" t="s">
        <v>2009</v>
      </c>
      <c r="K2" s="20" t="s">
        <v>1525</v>
      </c>
      <c r="L2" s="20" t="s">
        <v>1531</v>
      </c>
      <c r="M2" s="20" t="s">
        <v>2024</v>
      </c>
      <c r="N2" s="20" t="s">
        <v>1513</v>
      </c>
      <c r="O2" s="20" t="s">
        <v>2034</v>
      </c>
      <c r="P2" s="20" t="s">
        <v>1537</v>
      </c>
      <c r="Q2" s="20" t="s">
        <v>2045</v>
      </c>
      <c r="R2" s="21" t="s">
        <v>2051</v>
      </c>
      <c r="S2" s="20" t="s">
        <v>2053</v>
      </c>
    </row>
    <row r="3" spans="2:19" ht="16.8" x14ac:dyDescent="0.3">
      <c r="B3" s="22" t="s">
        <v>1486</v>
      </c>
      <c r="C3" s="7" t="s">
        <v>1912</v>
      </c>
      <c r="D3" s="23" t="s">
        <v>1613</v>
      </c>
      <c r="F3" s="15" t="s">
        <v>1987</v>
      </c>
      <c r="G3" s="14" t="s">
        <v>1994</v>
      </c>
      <c r="H3" s="14" t="s">
        <v>1999</v>
      </c>
      <c r="I3" s="14" t="s">
        <v>2004</v>
      </c>
      <c r="J3" s="14" t="s">
        <v>2010</v>
      </c>
      <c r="K3" s="14" t="s">
        <v>2014</v>
      </c>
      <c r="L3" s="14" t="s">
        <v>2019</v>
      </c>
      <c r="M3" s="14" t="s">
        <v>2025</v>
      </c>
      <c r="N3" s="14" t="s">
        <v>2029</v>
      </c>
      <c r="O3" s="14" t="s">
        <v>2035</v>
      </c>
      <c r="P3" s="14" t="s">
        <v>2040</v>
      </c>
      <c r="Q3" s="14" t="s">
        <v>2046</v>
      </c>
      <c r="R3" s="13" t="s">
        <v>1543</v>
      </c>
      <c r="S3" s="20"/>
    </row>
    <row r="4" spans="2:19" ht="16.8" x14ac:dyDescent="0.3">
      <c r="B4" s="22" t="s">
        <v>1496</v>
      </c>
      <c r="C4" s="7" t="s">
        <v>1553</v>
      </c>
      <c r="D4" s="23" t="s">
        <v>1565</v>
      </c>
      <c r="F4" s="15" t="s">
        <v>1988</v>
      </c>
      <c r="G4" s="14" t="s">
        <v>1995</v>
      </c>
      <c r="H4" s="14" t="s">
        <v>2000</v>
      </c>
      <c r="I4" s="14" t="s">
        <v>2005</v>
      </c>
      <c r="J4" s="14" t="s">
        <v>2011</v>
      </c>
      <c r="K4" s="14" t="s">
        <v>2015</v>
      </c>
      <c r="L4" s="14" t="s">
        <v>2020</v>
      </c>
      <c r="M4" s="14" t="s">
        <v>2026</v>
      </c>
      <c r="N4" s="14" t="s">
        <v>2030</v>
      </c>
      <c r="O4" s="14" t="s">
        <v>2036</v>
      </c>
      <c r="P4" s="14" t="s">
        <v>2041</v>
      </c>
      <c r="Q4" s="14" t="s">
        <v>2047</v>
      </c>
      <c r="R4" s="13" t="s">
        <v>2052</v>
      </c>
      <c r="S4" s="14"/>
    </row>
    <row r="5" spans="2:19" ht="16.8" x14ac:dyDescent="0.3">
      <c r="B5" s="22" t="s">
        <v>1498</v>
      </c>
      <c r="C5" s="7" t="s">
        <v>1552</v>
      </c>
      <c r="D5" s="23" t="s">
        <v>1567</v>
      </c>
      <c r="F5" s="15" t="s">
        <v>1989</v>
      </c>
      <c r="G5" s="14" t="s">
        <v>1996</v>
      </c>
      <c r="H5" s="14" t="s">
        <v>2001</v>
      </c>
      <c r="I5" s="14" t="s">
        <v>2006</v>
      </c>
      <c r="J5" s="14" t="s">
        <v>2012</v>
      </c>
      <c r="K5" s="14" t="s">
        <v>2016</v>
      </c>
      <c r="L5" s="14" t="s">
        <v>2021</v>
      </c>
      <c r="M5" s="14" t="s">
        <v>2027</v>
      </c>
      <c r="N5" s="14" t="s">
        <v>2031</v>
      </c>
      <c r="O5" s="14" t="s">
        <v>2037</v>
      </c>
      <c r="P5" s="14" t="s">
        <v>2042</v>
      </c>
      <c r="Q5" s="14" t="s">
        <v>2048</v>
      </c>
      <c r="R5" s="13"/>
      <c r="S5" s="14"/>
    </row>
    <row r="6" spans="2:19" ht="16.8" x14ac:dyDescent="0.3">
      <c r="B6" s="22" t="s">
        <v>1542</v>
      </c>
      <c r="C6" s="7" t="s">
        <v>2066</v>
      </c>
      <c r="D6" s="23" t="s">
        <v>1571</v>
      </c>
      <c r="F6" s="15" t="s">
        <v>1990</v>
      </c>
      <c r="G6" s="14" t="s">
        <v>1997</v>
      </c>
      <c r="H6" s="14" t="s">
        <v>2002</v>
      </c>
      <c r="I6" s="14" t="s">
        <v>2007</v>
      </c>
      <c r="J6" s="14" t="s">
        <v>2013</v>
      </c>
      <c r="K6" s="14" t="s">
        <v>2017</v>
      </c>
      <c r="L6" s="14" t="s">
        <v>2022</v>
      </c>
      <c r="M6" s="14" t="s">
        <v>2028</v>
      </c>
      <c r="N6" s="14" t="s">
        <v>2032</v>
      </c>
      <c r="O6" s="14" t="s">
        <v>2038</v>
      </c>
      <c r="P6" s="14" t="s">
        <v>2043</v>
      </c>
      <c r="Q6" s="14" t="s">
        <v>2049</v>
      </c>
      <c r="R6" s="13"/>
      <c r="S6" s="14"/>
    </row>
    <row r="7" spans="2:19" ht="18.600000000000001" x14ac:dyDescent="0.3">
      <c r="B7" s="22" t="s">
        <v>1525</v>
      </c>
      <c r="C7" s="124" t="s">
        <v>2705</v>
      </c>
      <c r="D7" s="23" t="s">
        <v>1570</v>
      </c>
      <c r="F7" s="15" t="s">
        <v>1991</v>
      </c>
      <c r="G7" s="14" t="s">
        <v>1998</v>
      </c>
      <c r="H7" s="14" t="s">
        <v>2003</v>
      </c>
      <c r="I7" s="14" t="s">
        <v>2008</v>
      </c>
      <c r="J7" s="14"/>
      <c r="K7" s="14" t="s">
        <v>2018</v>
      </c>
      <c r="L7" s="14" t="s">
        <v>2023</v>
      </c>
      <c r="M7" s="14"/>
      <c r="N7" s="14" t="s">
        <v>2033</v>
      </c>
      <c r="O7" s="14" t="s">
        <v>2039</v>
      </c>
      <c r="P7" s="14" t="s">
        <v>2044</v>
      </c>
      <c r="Q7" s="14" t="s">
        <v>2050</v>
      </c>
      <c r="R7" s="13"/>
      <c r="S7" s="14"/>
    </row>
    <row r="8" spans="2:19" ht="18.600000000000001" x14ac:dyDescent="0.3">
      <c r="B8" s="22" t="s">
        <v>1484</v>
      </c>
      <c r="C8" s="124" t="s">
        <v>2727</v>
      </c>
      <c r="D8" s="23" t="s">
        <v>1615</v>
      </c>
      <c r="F8" s="15" t="s">
        <v>1992</v>
      </c>
      <c r="G8" s="14"/>
      <c r="H8" s="14"/>
      <c r="I8" s="14"/>
      <c r="J8" s="14"/>
      <c r="K8" s="14"/>
      <c r="L8" s="14"/>
      <c r="M8" s="14"/>
      <c r="N8" s="14"/>
      <c r="O8" s="14"/>
      <c r="P8" s="14"/>
      <c r="Q8" s="14"/>
      <c r="R8" s="13"/>
      <c r="S8" s="14"/>
    </row>
    <row r="9" spans="2:19" ht="16.8" x14ac:dyDescent="0.3">
      <c r="B9" s="22" t="s">
        <v>1516</v>
      </c>
      <c r="C9" s="14"/>
      <c r="D9" s="23" t="s">
        <v>1569</v>
      </c>
      <c r="F9" s="15" t="s">
        <v>1993</v>
      </c>
      <c r="G9" s="14"/>
      <c r="H9" s="14"/>
      <c r="I9" s="14"/>
      <c r="J9" s="14"/>
      <c r="K9" s="14"/>
      <c r="L9" s="14"/>
      <c r="M9" s="14"/>
      <c r="N9" s="14"/>
      <c r="O9" s="14"/>
      <c r="P9" s="14"/>
      <c r="Q9" s="14"/>
      <c r="R9" s="13"/>
      <c r="S9" s="14"/>
    </row>
    <row r="10" spans="2:19" ht="16.8" x14ac:dyDescent="0.3">
      <c r="B10" s="22" t="s">
        <v>1492</v>
      </c>
      <c r="C10" s="14"/>
      <c r="D10" s="23" t="s">
        <v>1566</v>
      </c>
    </row>
    <row r="11" spans="2:19" ht="16.8" x14ac:dyDescent="0.3">
      <c r="B11" s="22" t="s">
        <v>1499</v>
      </c>
      <c r="C11" s="14"/>
      <c r="D11" s="23" t="s">
        <v>1559</v>
      </c>
    </row>
    <row r="12" spans="2:19" ht="16.8" x14ac:dyDescent="0.3">
      <c r="B12" s="22" t="s">
        <v>1488</v>
      </c>
      <c r="C12" s="14"/>
      <c r="D12" s="23"/>
    </row>
    <row r="13" spans="2:19" ht="16.8" x14ac:dyDescent="0.3">
      <c r="B13" s="22" t="s">
        <v>1549</v>
      </c>
      <c r="C13" s="14"/>
      <c r="D13" s="13"/>
    </row>
    <row r="14" spans="2:19" ht="16.8" x14ac:dyDescent="0.3">
      <c r="B14" s="22" t="s">
        <v>1527</v>
      </c>
      <c r="C14" s="14"/>
      <c r="D14" s="13"/>
      <c r="H14" s="86" t="s">
        <v>2053</v>
      </c>
      <c r="J14" s="105" t="s">
        <v>2213</v>
      </c>
      <c r="M14" s="5" t="s">
        <v>1</v>
      </c>
      <c r="N14" s="12" t="s">
        <v>2258</v>
      </c>
    </row>
    <row r="15" spans="2:19" ht="16.8" x14ac:dyDescent="0.3">
      <c r="B15" s="22" t="s">
        <v>1522</v>
      </c>
      <c r="C15" s="14"/>
      <c r="D15" s="13"/>
      <c r="H15" s="86" t="s">
        <v>1518</v>
      </c>
      <c r="J15" s="105" t="s">
        <v>2215</v>
      </c>
      <c r="M15" s="7" t="s">
        <v>181</v>
      </c>
    </row>
    <row r="16" spans="2:19" ht="16.8" x14ac:dyDescent="0.3">
      <c r="B16" s="22" t="s">
        <v>1528</v>
      </c>
      <c r="C16" s="14"/>
      <c r="D16" s="13"/>
      <c r="H16" s="66" t="s">
        <v>1987</v>
      </c>
      <c r="J16" s="106" t="s">
        <v>2216</v>
      </c>
      <c r="M16" s="7" t="s">
        <v>425</v>
      </c>
    </row>
    <row r="17" spans="2:13" ht="16.8" x14ac:dyDescent="0.3">
      <c r="B17" s="22" t="s">
        <v>1524</v>
      </c>
      <c r="C17" s="14"/>
      <c r="D17" s="13"/>
      <c r="H17" s="14" t="s">
        <v>1988</v>
      </c>
      <c r="J17" s="105" t="s">
        <v>2217</v>
      </c>
      <c r="M17" s="7" t="s">
        <v>28</v>
      </c>
    </row>
    <row r="18" spans="2:13" ht="16.8" x14ac:dyDescent="0.3">
      <c r="B18" s="22" t="s">
        <v>1533</v>
      </c>
      <c r="C18" s="14"/>
      <c r="D18" s="13"/>
      <c r="H18" s="66" t="s">
        <v>1989</v>
      </c>
      <c r="J18" s="105" t="s">
        <v>2218</v>
      </c>
      <c r="M18" s="7" t="s">
        <v>264</v>
      </c>
    </row>
    <row r="19" spans="2:13" ht="16.8" x14ac:dyDescent="0.3">
      <c r="B19" s="22" t="s">
        <v>1503</v>
      </c>
      <c r="C19" s="14"/>
      <c r="D19" s="13"/>
      <c r="H19" s="14" t="s">
        <v>1990</v>
      </c>
      <c r="J19" s="106" t="s">
        <v>2219</v>
      </c>
      <c r="M19" s="7" t="s">
        <v>724</v>
      </c>
    </row>
    <row r="20" spans="2:13" ht="16.8" x14ac:dyDescent="0.3">
      <c r="B20" s="22" t="s">
        <v>1481</v>
      </c>
      <c r="C20" s="14"/>
      <c r="D20" s="13"/>
      <c r="H20" s="66" t="s">
        <v>1991</v>
      </c>
      <c r="J20" s="105" t="s">
        <v>2221</v>
      </c>
      <c r="M20" s="7" t="s">
        <v>552</v>
      </c>
    </row>
    <row r="21" spans="2:13" ht="16.8" x14ac:dyDescent="0.3">
      <c r="B21" s="22" t="s">
        <v>1487</v>
      </c>
      <c r="C21" s="14"/>
      <c r="D21" s="13"/>
      <c r="H21" s="14" t="s">
        <v>1992</v>
      </c>
      <c r="J21" s="105" t="s">
        <v>2220</v>
      </c>
      <c r="M21" s="7" t="s">
        <v>568</v>
      </c>
    </row>
    <row r="22" spans="2:13" ht="16.8" x14ac:dyDescent="0.3">
      <c r="B22" s="22" t="s">
        <v>1530</v>
      </c>
      <c r="C22" s="14"/>
      <c r="D22" s="13"/>
      <c r="H22" s="66" t="s">
        <v>1993</v>
      </c>
      <c r="M22" s="7" t="s">
        <v>534</v>
      </c>
    </row>
    <row r="23" spans="2:13" ht="16.8" x14ac:dyDescent="0.3">
      <c r="B23" s="22" t="s">
        <v>1506</v>
      </c>
      <c r="C23" s="14"/>
      <c r="D23" s="13"/>
      <c r="H23" s="86" t="s">
        <v>1471</v>
      </c>
      <c r="M23" s="7" t="s">
        <v>465</v>
      </c>
    </row>
    <row r="24" spans="2:13" ht="16.8" x14ac:dyDescent="0.3">
      <c r="B24" s="22" t="s">
        <v>1510</v>
      </c>
      <c r="C24" s="14"/>
      <c r="D24" s="13"/>
      <c r="H24" s="66" t="s">
        <v>1994</v>
      </c>
      <c r="M24" s="7" t="s">
        <v>583</v>
      </c>
    </row>
    <row r="25" spans="2:13" ht="16.8" x14ac:dyDescent="0.3">
      <c r="B25" s="22" t="s">
        <v>1543</v>
      </c>
      <c r="C25" s="14"/>
      <c r="D25" s="13"/>
      <c r="H25" s="14" t="s">
        <v>1995</v>
      </c>
      <c r="M25" s="7" t="s">
        <v>618</v>
      </c>
    </row>
    <row r="26" spans="2:13" ht="16.8" x14ac:dyDescent="0.3">
      <c r="B26" s="22" t="s">
        <v>1661</v>
      </c>
      <c r="C26" s="14"/>
      <c r="D26" s="13"/>
      <c r="H26" s="66" t="s">
        <v>1996</v>
      </c>
      <c r="M26" s="7" t="s">
        <v>1219</v>
      </c>
    </row>
    <row r="27" spans="2:13" ht="16.8" x14ac:dyDescent="0.3">
      <c r="B27" s="22" t="s">
        <v>1531</v>
      </c>
      <c r="C27" s="14"/>
      <c r="D27" s="13"/>
      <c r="H27" s="14" t="s">
        <v>1997</v>
      </c>
      <c r="M27" s="7" t="s">
        <v>485</v>
      </c>
    </row>
    <row r="28" spans="2:13" ht="16.8" x14ac:dyDescent="0.3">
      <c r="B28" s="22" t="s">
        <v>1541</v>
      </c>
      <c r="C28" s="14"/>
      <c r="D28" s="13"/>
      <c r="H28" s="66" t="s">
        <v>1998</v>
      </c>
      <c r="M28" s="7" t="s">
        <v>602</v>
      </c>
    </row>
    <row r="29" spans="2:13" ht="16.8" x14ac:dyDescent="0.3">
      <c r="B29" s="22" t="s">
        <v>1501</v>
      </c>
      <c r="C29" s="14"/>
      <c r="D29" s="13"/>
      <c r="H29" s="86" t="s">
        <v>1477</v>
      </c>
      <c r="M29" s="7" t="s">
        <v>509</v>
      </c>
    </row>
    <row r="30" spans="2:13" ht="16.8" x14ac:dyDescent="0.3">
      <c r="B30" s="22" t="s">
        <v>1545</v>
      </c>
      <c r="C30" s="14"/>
      <c r="D30" s="13"/>
      <c r="H30" s="66" t="s">
        <v>1999</v>
      </c>
      <c r="M30" s="7" t="s">
        <v>430</v>
      </c>
    </row>
    <row r="31" spans="2:13" ht="16.8" x14ac:dyDescent="0.3">
      <c r="B31" s="22" t="s">
        <v>1472</v>
      </c>
      <c r="C31" s="14"/>
      <c r="D31" s="13"/>
      <c r="H31" s="14" t="s">
        <v>2000</v>
      </c>
      <c r="M31" s="7" t="s">
        <v>453</v>
      </c>
    </row>
    <row r="32" spans="2:13" ht="16.8" x14ac:dyDescent="0.3">
      <c r="B32" s="22" t="s">
        <v>1473</v>
      </c>
      <c r="C32" s="14"/>
      <c r="D32" s="13"/>
      <c r="H32" s="66" t="s">
        <v>2001</v>
      </c>
      <c r="M32" s="7" t="s">
        <v>12</v>
      </c>
    </row>
    <row r="33" spans="2:13" ht="16.8" x14ac:dyDescent="0.3">
      <c r="B33" s="22" t="s">
        <v>1474</v>
      </c>
      <c r="C33" s="14"/>
      <c r="D33" s="13"/>
      <c r="H33" s="14" t="s">
        <v>2002</v>
      </c>
      <c r="M33" s="7" t="s">
        <v>942</v>
      </c>
    </row>
    <row r="34" spans="2:13" ht="16.8" x14ac:dyDescent="0.3">
      <c r="B34" s="22" t="s">
        <v>1475</v>
      </c>
      <c r="C34" s="14"/>
      <c r="D34" s="13"/>
      <c r="H34" s="66" t="s">
        <v>2003</v>
      </c>
      <c r="M34" s="7" t="s">
        <v>175</v>
      </c>
    </row>
    <row r="35" spans="2:13" ht="16.8" x14ac:dyDescent="0.3">
      <c r="B35" s="22" t="s">
        <v>1476</v>
      </c>
      <c r="C35" s="14"/>
      <c r="D35" s="13"/>
      <c r="H35" s="86" t="s">
        <v>1506</v>
      </c>
      <c r="M35" s="7" t="s">
        <v>270</v>
      </c>
    </row>
    <row r="36" spans="2:13" ht="16.8" x14ac:dyDescent="0.3">
      <c r="B36" s="22" t="s">
        <v>1477</v>
      </c>
      <c r="C36" s="14"/>
      <c r="D36" s="13"/>
      <c r="H36" s="66" t="s">
        <v>2004</v>
      </c>
      <c r="M36" s="7" t="s">
        <v>1225</v>
      </c>
    </row>
    <row r="37" spans="2:13" ht="16.8" x14ac:dyDescent="0.3">
      <c r="B37" s="22" t="s">
        <v>1554</v>
      </c>
      <c r="C37" s="14"/>
      <c r="D37" s="13"/>
      <c r="H37" s="14" t="s">
        <v>2005</v>
      </c>
      <c r="M37" s="7" t="s">
        <v>632</v>
      </c>
    </row>
    <row r="38" spans="2:13" ht="16.8" x14ac:dyDescent="0.3">
      <c r="B38" s="22" t="s">
        <v>1478</v>
      </c>
      <c r="C38" s="14"/>
      <c r="D38" s="13"/>
      <c r="H38" s="66" t="s">
        <v>2006</v>
      </c>
      <c r="M38" s="7" t="s">
        <v>716</v>
      </c>
    </row>
    <row r="39" spans="2:13" ht="16.8" x14ac:dyDescent="0.3">
      <c r="B39" s="22" t="s">
        <v>1479</v>
      </c>
      <c r="C39" s="14"/>
      <c r="D39" s="13"/>
      <c r="H39" s="14" t="s">
        <v>2007</v>
      </c>
      <c r="M39" s="7" t="s">
        <v>1199</v>
      </c>
    </row>
    <row r="40" spans="2:13" ht="16.8" x14ac:dyDescent="0.3">
      <c r="B40" s="22" t="s">
        <v>1480</v>
      </c>
      <c r="C40" s="14"/>
      <c r="D40" s="13"/>
      <c r="H40" s="66" t="s">
        <v>2008</v>
      </c>
      <c r="M40" s="7" t="s">
        <v>36</v>
      </c>
    </row>
    <row r="41" spans="2:13" ht="16.8" x14ac:dyDescent="0.3">
      <c r="B41" s="22" t="s">
        <v>1482</v>
      </c>
      <c r="C41" s="14"/>
      <c r="D41" s="13"/>
      <c r="H41" s="86" t="s">
        <v>2009</v>
      </c>
      <c r="M41" s="7" t="s">
        <v>39</v>
      </c>
    </row>
    <row r="42" spans="2:13" ht="16.8" x14ac:dyDescent="0.3">
      <c r="B42" s="22" t="s">
        <v>1483</v>
      </c>
      <c r="C42" s="14"/>
      <c r="D42" s="13"/>
      <c r="H42" s="66" t="s">
        <v>2010</v>
      </c>
      <c r="M42" s="7" t="s">
        <v>215</v>
      </c>
    </row>
    <row r="43" spans="2:13" ht="16.8" x14ac:dyDescent="0.3">
      <c r="B43" s="22" t="s">
        <v>1485</v>
      </c>
      <c r="C43" s="14"/>
      <c r="D43" s="13"/>
      <c r="H43" s="14" t="s">
        <v>2011</v>
      </c>
      <c r="M43" s="7" t="s">
        <v>881</v>
      </c>
    </row>
    <row r="44" spans="2:13" ht="16.8" x14ac:dyDescent="0.3">
      <c r="B44" s="22" t="s">
        <v>1489</v>
      </c>
      <c r="C44" s="14"/>
      <c r="D44" s="13"/>
      <c r="H44" s="66" t="s">
        <v>2012</v>
      </c>
      <c r="M44" s="7" t="s">
        <v>834</v>
      </c>
    </row>
    <row r="45" spans="2:13" ht="16.8" x14ac:dyDescent="0.3">
      <c r="B45" s="22" t="s">
        <v>1490</v>
      </c>
      <c r="C45" s="14"/>
      <c r="D45" s="13"/>
      <c r="H45" s="14" t="s">
        <v>2013</v>
      </c>
      <c r="M45" s="7" t="s">
        <v>99</v>
      </c>
    </row>
    <row r="46" spans="2:13" ht="16.8" x14ac:dyDescent="0.3">
      <c r="B46" s="22" t="s">
        <v>1491</v>
      </c>
      <c r="C46" s="14"/>
      <c r="D46" s="13"/>
      <c r="H46" s="86" t="s">
        <v>1525</v>
      </c>
      <c r="M46" s="7" t="s">
        <v>77</v>
      </c>
    </row>
    <row r="47" spans="2:13" ht="16.8" x14ac:dyDescent="0.3">
      <c r="B47" s="22" t="s">
        <v>1493</v>
      </c>
      <c r="C47" s="14"/>
      <c r="D47" s="13"/>
      <c r="H47" s="66" t="s">
        <v>2014</v>
      </c>
      <c r="M47" s="7" t="s">
        <v>240</v>
      </c>
    </row>
    <row r="48" spans="2:13" ht="16.8" x14ac:dyDescent="0.3">
      <c r="B48" s="22" t="s">
        <v>1494</v>
      </c>
      <c r="C48" s="14"/>
      <c r="D48" s="13"/>
      <c r="H48" s="14" t="s">
        <v>2015</v>
      </c>
      <c r="M48" s="7" t="s">
        <v>746</v>
      </c>
    </row>
    <row r="49" spans="2:13" ht="16.8" x14ac:dyDescent="0.3">
      <c r="B49" s="22" t="s">
        <v>1495</v>
      </c>
      <c r="C49" s="14"/>
      <c r="D49" s="13"/>
      <c r="H49" s="66" t="s">
        <v>2016</v>
      </c>
      <c r="M49" s="7" t="s">
        <v>820</v>
      </c>
    </row>
    <row r="50" spans="2:13" ht="16.8" x14ac:dyDescent="0.3">
      <c r="B50" s="22" t="s">
        <v>1497</v>
      </c>
      <c r="C50" s="14"/>
      <c r="D50" s="13"/>
      <c r="H50" s="14" t="s">
        <v>2017</v>
      </c>
      <c r="M50" s="7" t="s">
        <v>118</v>
      </c>
    </row>
    <row r="51" spans="2:13" ht="16.8" x14ac:dyDescent="0.3">
      <c r="B51" s="22" t="s">
        <v>1500</v>
      </c>
      <c r="C51" s="14"/>
      <c r="D51" s="13"/>
      <c r="H51" s="66" t="s">
        <v>2018</v>
      </c>
      <c r="M51" s="7" t="s">
        <v>112</v>
      </c>
    </row>
    <row r="52" spans="2:13" ht="16.8" x14ac:dyDescent="0.3">
      <c r="B52" s="22" t="s">
        <v>1502</v>
      </c>
      <c r="C52" s="14"/>
      <c r="D52" s="13"/>
      <c r="H52" s="86" t="s">
        <v>1531</v>
      </c>
      <c r="M52" s="7" t="s">
        <v>166</v>
      </c>
    </row>
    <row r="53" spans="2:13" ht="16.8" x14ac:dyDescent="0.3">
      <c r="B53" s="22" t="s">
        <v>1504</v>
      </c>
      <c r="C53" s="14"/>
      <c r="D53" s="13"/>
      <c r="H53" s="66" t="s">
        <v>2019</v>
      </c>
      <c r="M53" s="7" t="s">
        <v>753</v>
      </c>
    </row>
    <row r="54" spans="2:13" ht="16.8" x14ac:dyDescent="0.3">
      <c r="B54" s="22" t="s">
        <v>1505</v>
      </c>
      <c r="C54" s="14"/>
      <c r="D54" s="13"/>
      <c r="H54" s="14" t="s">
        <v>2020</v>
      </c>
      <c r="M54" s="7" t="s">
        <v>925</v>
      </c>
    </row>
    <row r="55" spans="2:13" ht="16.8" x14ac:dyDescent="0.3">
      <c r="B55" s="22" t="s">
        <v>1507</v>
      </c>
      <c r="C55" s="14"/>
      <c r="D55" s="13"/>
      <c r="H55" s="66" t="s">
        <v>2021</v>
      </c>
      <c r="M55" s="7" t="s">
        <v>854</v>
      </c>
    </row>
    <row r="56" spans="2:13" ht="16.8" x14ac:dyDescent="0.3">
      <c r="B56" s="22" t="s">
        <v>1508</v>
      </c>
      <c r="C56" s="14"/>
      <c r="D56" s="13"/>
      <c r="H56" s="14" t="s">
        <v>2022</v>
      </c>
      <c r="M56" s="7" t="s">
        <v>908</v>
      </c>
    </row>
    <row r="57" spans="2:13" ht="16.8" x14ac:dyDescent="0.3">
      <c r="B57" s="22" t="s">
        <v>1509</v>
      </c>
      <c r="C57" s="14"/>
      <c r="D57" s="13"/>
      <c r="H57" s="66" t="s">
        <v>2023</v>
      </c>
      <c r="M57" s="7" t="s">
        <v>776</v>
      </c>
    </row>
    <row r="58" spans="2:13" ht="16.8" x14ac:dyDescent="0.3">
      <c r="B58" s="22" t="s">
        <v>1511</v>
      </c>
      <c r="C58" s="14"/>
      <c r="D58" s="13"/>
      <c r="H58" s="86" t="s">
        <v>2024</v>
      </c>
      <c r="M58" s="7" t="s">
        <v>933</v>
      </c>
    </row>
    <row r="59" spans="2:13" ht="16.8" x14ac:dyDescent="0.3">
      <c r="B59" s="22" t="s">
        <v>1512</v>
      </c>
      <c r="C59" s="14"/>
      <c r="D59" s="13"/>
      <c r="H59" s="66" t="s">
        <v>2025</v>
      </c>
      <c r="M59" s="7" t="s">
        <v>827</v>
      </c>
    </row>
    <row r="60" spans="2:13" ht="16.8" x14ac:dyDescent="0.3">
      <c r="B60" s="22" t="s">
        <v>1513</v>
      </c>
      <c r="C60" s="14"/>
      <c r="D60" s="13"/>
      <c r="H60" s="14" t="s">
        <v>2026</v>
      </c>
      <c r="M60" s="7" t="s">
        <v>61</v>
      </c>
    </row>
    <row r="61" spans="2:13" ht="16.8" x14ac:dyDescent="0.3">
      <c r="B61" s="22" t="s">
        <v>1514</v>
      </c>
      <c r="C61" s="14"/>
      <c r="D61" s="13"/>
      <c r="H61" s="66" t="s">
        <v>2027</v>
      </c>
      <c r="M61" s="7" t="s">
        <v>89</v>
      </c>
    </row>
    <row r="62" spans="2:13" ht="16.8" x14ac:dyDescent="0.3">
      <c r="B62" s="22" t="s">
        <v>1515</v>
      </c>
      <c r="C62" s="14"/>
      <c r="D62" s="13"/>
      <c r="H62" s="14" t="s">
        <v>2028</v>
      </c>
      <c r="M62" s="7" t="s">
        <v>792</v>
      </c>
    </row>
    <row r="63" spans="2:13" ht="16.8" x14ac:dyDescent="0.3">
      <c r="B63" s="22" t="s">
        <v>1517</v>
      </c>
      <c r="C63" s="14"/>
      <c r="D63" s="13"/>
      <c r="H63" s="86" t="s">
        <v>1513</v>
      </c>
      <c r="M63" s="7" t="s">
        <v>131</v>
      </c>
    </row>
    <row r="64" spans="2:13" ht="16.8" x14ac:dyDescent="0.3">
      <c r="B64" s="22" t="s">
        <v>1518</v>
      </c>
      <c r="C64" s="14"/>
      <c r="D64" s="13"/>
      <c r="H64" s="66" t="s">
        <v>2029</v>
      </c>
      <c r="M64" s="7" t="s">
        <v>813</v>
      </c>
    </row>
    <row r="65" spans="2:13" ht="16.8" x14ac:dyDescent="0.3">
      <c r="B65" s="22" t="s">
        <v>1519</v>
      </c>
      <c r="C65" s="14"/>
      <c r="D65" s="13"/>
      <c r="H65" s="14" t="s">
        <v>2030</v>
      </c>
      <c r="M65" s="7" t="s">
        <v>82</v>
      </c>
    </row>
    <row r="66" spans="2:13" ht="16.8" x14ac:dyDescent="0.3">
      <c r="B66" s="22" t="s">
        <v>1520</v>
      </c>
      <c r="C66" s="14"/>
      <c r="D66" s="13"/>
      <c r="H66" s="66" t="s">
        <v>2031</v>
      </c>
      <c r="M66" s="7" t="s">
        <v>887</v>
      </c>
    </row>
    <row r="67" spans="2:13" ht="16.8" x14ac:dyDescent="0.3">
      <c r="B67" s="22" t="s">
        <v>1521</v>
      </c>
      <c r="C67" s="14"/>
      <c r="D67" s="13"/>
      <c r="H67" s="14" t="s">
        <v>2032</v>
      </c>
      <c r="M67" s="7" t="s">
        <v>143</v>
      </c>
    </row>
    <row r="68" spans="2:13" ht="16.8" x14ac:dyDescent="0.3">
      <c r="B68" s="22" t="s">
        <v>1523</v>
      </c>
      <c r="C68" s="14"/>
      <c r="D68" s="13"/>
      <c r="H68" s="66" t="s">
        <v>2033</v>
      </c>
      <c r="M68" s="7" t="s">
        <v>913</v>
      </c>
    </row>
    <row r="69" spans="2:13" ht="16.8" x14ac:dyDescent="0.3">
      <c r="B69" s="22" t="s">
        <v>1526</v>
      </c>
      <c r="C69" s="14"/>
      <c r="D69" s="13"/>
      <c r="H69" s="86" t="s">
        <v>2034</v>
      </c>
      <c r="M69" s="7" t="s">
        <v>72</v>
      </c>
    </row>
    <row r="70" spans="2:13" ht="16.8" x14ac:dyDescent="0.3">
      <c r="B70" s="22" t="s">
        <v>1529</v>
      </c>
      <c r="C70" s="14"/>
      <c r="D70" s="13"/>
      <c r="H70" s="66" t="s">
        <v>2035</v>
      </c>
      <c r="M70" s="7" t="s">
        <v>153</v>
      </c>
    </row>
    <row r="71" spans="2:13" ht="16.8" x14ac:dyDescent="0.3">
      <c r="B71" s="22" t="s">
        <v>1532</v>
      </c>
      <c r="C71" s="14"/>
      <c r="D71" s="13"/>
      <c r="H71" s="14" t="s">
        <v>2036</v>
      </c>
      <c r="M71" s="7" t="s">
        <v>126</v>
      </c>
    </row>
    <row r="72" spans="2:13" ht="16.8" x14ac:dyDescent="0.3">
      <c r="B72" s="22" t="s">
        <v>1534</v>
      </c>
      <c r="C72" s="14"/>
      <c r="D72" s="13"/>
      <c r="H72" s="66" t="s">
        <v>2037</v>
      </c>
      <c r="M72" s="7" t="s">
        <v>801</v>
      </c>
    </row>
    <row r="73" spans="2:13" ht="16.8" x14ac:dyDescent="0.3">
      <c r="B73" s="22" t="s">
        <v>1535</v>
      </c>
      <c r="C73" s="14"/>
      <c r="D73" s="13"/>
      <c r="H73" s="14" t="s">
        <v>2038</v>
      </c>
      <c r="M73" s="7" t="s">
        <v>901</v>
      </c>
    </row>
    <row r="74" spans="2:13" ht="16.8" x14ac:dyDescent="0.3">
      <c r="B74" s="22" t="s">
        <v>1536</v>
      </c>
      <c r="C74" s="14"/>
      <c r="D74" s="13"/>
      <c r="H74" s="66" t="s">
        <v>2039</v>
      </c>
      <c r="M74" s="7" t="s">
        <v>1417</v>
      </c>
    </row>
    <row r="75" spans="2:13" ht="16.8" x14ac:dyDescent="0.3">
      <c r="B75" s="22" t="s">
        <v>1537</v>
      </c>
      <c r="C75" s="14"/>
      <c r="D75" s="13"/>
      <c r="H75" s="86" t="s">
        <v>1537</v>
      </c>
      <c r="M75" s="7" t="s">
        <v>896</v>
      </c>
    </row>
    <row r="76" spans="2:13" ht="16.8" x14ac:dyDescent="0.3">
      <c r="B76" s="22" t="s">
        <v>1538</v>
      </c>
      <c r="C76" s="14"/>
      <c r="D76" s="13"/>
      <c r="H76" s="66" t="s">
        <v>2040</v>
      </c>
      <c r="M76" s="7" t="s">
        <v>770</v>
      </c>
    </row>
    <row r="77" spans="2:13" ht="16.8" x14ac:dyDescent="0.3">
      <c r="B77" s="22" t="s">
        <v>1539</v>
      </c>
      <c r="C77" s="14"/>
      <c r="D77" s="13"/>
      <c r="H77" s="14" t="s">
        <v>2041</v>
      </c>
      <c r="M77" s="7" t="s">
        <v>741</v>
      </c>
    </row>
    <row r="78" spans="2:13" ht="16.8" x14ac:dyDescent="0.3">
      <c r="B78" s="22" t="s">
        <v>1540</v>
      </c>
      <c r="C78" s="14"/>
      <c r="D78" s="13"/>
      <c r="H78" s="66" t="s">
        <v>2042</v>
      </c>
      <c r="M78" s="7" t="s">
        <v>806</v>
      </c>
    </row>
    <row r="79" spans="2:13" ht="16.8" x14ac:dyDescent="0.3">
      <c r="B79" s="22" t="s">
        <v>1544</v>
      </c>
      <c r="C79" s="14"/>
      <c r="D79" s="13"/>
      <c r="H79" s="14" t="s">
        <v>2043</v>
      </c>
      <c r="M79" s="7" t="s">
        <v>849</v>
      </c>
    </row>
    <row r="80" spans="2:13" ht="16.8" x14ac:dyDescent="0.3">
      <c r="B80" s="22" t="s">
        <v>1555</v>
      </c>
      <c r="C80" s="14"/>
      <c r="D80" s="13"/>
      <c r="H80" s="66" t="s">
        <v>2044</v>
      </c>
      <c r="M80" s="7" t="s">
        <v>760</v>
      </c>
    </row>
    <row r="81" spans="2:13" ht="16.8" x14ac:dyDescent="0.3">
      <c r="B81" s="22" t="s">
        <v>1556</v>
      </c>
      <c r="C81" s="14"/>
      <c r="D81" s="13"/>
      <c r="H81" s="86" t="s">
        <v>2045</v>
      </c>
      <c r="M81" s="7" t="s">
        <v>868</v>
      </c>
    </row>
    <row r="82" spans="2:13" ht="16.8" x14ac:dyDescent="0.3">
      <c r="B82" s="22" t="s">
        <v>1557</v>
      </c>
      <c r="C82" s="14"/>
      <c r="D82" s="13"/>
      <c r="H82" s="66" t="s">
        <v>2046</v>
      </c>
      <c r="M82" s="7" t="s">
        <v>107</v>
      </c>
    </row>
    <row r="83" spans="2:13" ht="16.8" x14ac:dyDescent="0.3">
      <c r="B83" s="22" t="s">
        <v>1558</v>
      </c>
      <c r="C83" s="14"/>
      <c r="D83" s="13"/>
      <c r="H83" s="14" t="s">
        <v>2047</v>
      </c>
      <c r="M83" s="7" t="s">
        <v>198</v>
      </c>
    </row>
    <row r="84" spans="2:13" ht="16.8" x14ac:dyDescent="0.3">
      <c r="B84" s="22" t="s">
        <v>1662</v>
      </c>
      <c r="C84" s="14"/>
      <c r="D84" s="13"/>
      <c r="H84" s="66" t="s">
        <v>2048</v>
      </c>
      <c r="M84" s="7" t="s">
        <v>192</v>
      </c>
    </row>
    <row r="85" spans="2:13" ht="16.8" x14ac:dyDescent="0.3">
      <c r="B85" s="22" t="s">
        <v>1663</v>
      </c>
      <c r="C85" s="14"/>
      <c r="D85" s="13"/>
      <c r="H85" s="14" t="s">
        <v>2049</v>
      </c>
      <c r="M85" s="7" t="s">
        <v>220</v>
      </c>
    </row>
    <row r="86" spans="2:13" ht="16.8" x14ac:dyDescent="0.3">
      <c r="B86" s="15"/>
      <c r="C86" s="14"/>
      <c r="D86" s="13"/>
      <c r="H86" s="66" t="s">
        <v>2050</v>
      </c>
      <c r="M86" s="7" t="s">
        <v>205</v>
      </c>
    </row>
    <row r="87" spans="2:13" ht="16.8" x14ac:dyDescent="0.3">
      <c r="B87" s="15"/>
      <c r="C87" s="14"/>
      <c r="D87" s="13"/>
      <c r="H87" s="87" t="s">
        <v>2051</v>
      </c>
      <c r="M87" s="7" t="s">
        <v>787</v>
      </c>
    </row>
    <row r="88" spans="2:13" ht="16.8" x14ac:dyDescent="0.3">
      <c r="B88" s="16"/>
      <c r="C88" s="17"/>
      <c r="D88" s="18"/>
      <c r="H88" s="88" t="s">
        <v>1543</v>
      </c>
      <c r="M88" s="7" t="s">
        <v>877</v>
      </c>
    </row>
    <row r="89" spans="2:13" ht="16.8" x14ac:dyDescent="0.3">
      <c r="H89" s="13" t="s">
        <v>2052</v>
      </c>
      <c r="M89" s="7" t="s">
        <v>1423</v>
      </c>
    </row>
    <row r="90" spans="2:13" ht="16.8" x14ac:dyDescent="0.3">
      <c r="M90" s="7" t="s">
        <v>861</v>
      </c>
    </row>
    <row r="91" spans="2:13" ht="16.8" x14ac:dyDescent="0.3">
      <c r="M91" s="7" t="s">
        <v>1560</v>
      </c>
    </row>
    <row r="92" spans="2:13" ht="16.8" x14ac:dyDescent="0.3">
      <c r="M92" s="7" t="s">
        <v>973</v>
      </c>
    </row>
    <row r="93" spans="2:13" ht="16.8" x14ac:dyDescent="0.3">
      <c r="M93" s="7" t="s">
        <v>968</v>
      </c>
    </row>
    <row r="94" spans="2:13" ht="16.8" x14ac:dyDescent="0.3">
      <c r="M94" s="7" t="s">
        <v>938</v>
      </c>
    </row>
    <row r="95" spans="2:13" ht="16.8" x14ac:dyDescent="0.3">
      <c r="M95" s="7" t="s">
        <v>980</v>
      </c>
    </row>
    <row r="96" spans="2:13" ht="16.8" x14ac:dyDescent="0.3">
      <c r="M96" s="7" t="s">
        <v>765</v>
      </c>
    </row>
    <row r="97" spans="4:13" ht="16.8" x14ac:dyDescent="0.3">
      <c r="M97" s="7" t="s">
        <v>187</v>
      </c>
    </row>
    <row r="98" spans="4:13" ht="16.8" x14ac:dyDescent="0.3">
      <c r="M98" s="7" t="s">
        <v>49</v>
      </c>
    </row>
    <row r="99" spans="4:13" ht="16.8" x14ac:dyDescent="0.3">
      <c r="M99" s="7" t="s">
        <v>148</v>
      </c>
    </row>
    <row r="100" spans="4:13" ht="16.8" x14ac:dyDescent="0.3">
      <c r="M100" s="7" t="s">
        <v>229</v>
      </c>
    </row>
    <row r="101" spans="4:13" ht="16.8" x14ac:dyDescent="0.3">
      <c r="M101" s="7" t="s">
        <v>920</v>
      </c>
    </row>
    <row r="102" spans="4:13" ht="16.8" x14ac:dyDescent="0.3">
      <c r="M102" s="7" t="s">
        <v>841</v>
      </c>
    </row>
    <row r="103" spans="4:13" ht="16.8" x14ac:dyDescent="0.3">
      <c r="M103" s="7" t="s">
        <v>58</v>
      </c>
    </row>
    <row r="104" spans="4:13" ht="16.8" x14ac:dyDescent="0.3">
      <c r="M104" s="7" t="s">
        <v>1088</v>
      </c>
    </row>
    <row r="105" spans="4:13" ht="16.8" x14ac:dyDescent="0.3">
      <c r="M105" s="7" t="s">
        <v>1107</v>
      </c>
    </row>
    <row r="106" spans="4:13" ht="16.8" x14ac:dyDescent="0.3">
      <c r="M106" s="7" t="s">
        <v>1069</v>
      </c>
    </row>
    <row r="107" spans="4:13" ht="16.8" x14ac:dyDescent="0.3">
      <c r="M107" s="7" t="s">
        <v>1007</v>
      </c>
    </row>
    <row r="108" spans="4:13" ht="16.8" x14ac:dyDescent="0.3">
      <c r="M108" s="7" t="s">
        <v>1125</v>
      </c>
    </row>
    <row r="109" spans="4:13" ht="16.8" x14ac:dyDescent="0.3">
      <c r="M109" s="7" t="s">
        <v>1159</v>
      </c>
    </row>
    <row r="110" spans="4:13" ht="16.8" x14ac:dyDescent="0.3">
      <c r="M110" s="7" t="s">
        <v>1178</v>
      </c>
    </row>
    <row r="111" spans="4:13" ht="16.8" x14ac:dyDescent="0.3">
      <c r="M111" s="7" t="s">
        <v>1026</v>
      </c>
    </row>
    <row r="112" spans="4:13" ht="16.8" x14ac:dyDescent="0.3">
      <c r="M112" s="7" t="s">
        <v>1144</v>
      </c>
    </row>
    <row r="113" spans="13:13" ht="16.8" x14ac:dyDescent="0.3">
      <c r="M113" s="7" t="s">
        <v>1048</v>
      </c>
    </row>
    <row r="114" spans="13:13" ht="16.8" x14ac:dyDescent="0.3">
      <c r="M114" s="7" t="s">
        <v>946</v>
      </c>
    </row>
    <row r="115" spans="13:13" ht="16.8" x14ac:dyDescent="0.3">
      <c r="M115" s="7" t="s">
        <v>987</v>
      </c>
    </row>
    <row r="136" spans="4:4" x14ac:dyDescent="0.3"/>
    <row r="176" spans="4:4" x14ac:dyDescent="0.3"/>
    <row r="182" spans="4:4" x14ac:dyDescent="0.3"/>
    <row r="184" spans="4:4" x14ac:dyDescent="0.3"/>
    <row r="191" spans="4:4" x14ac:dyDescent="0.3"/>
  </sheetData>
  <sheetProtection deleteColumns="0" deleteRows="0"/>
  <pageMargins left="0.7" right="0.7" top="0.75" bottom="0.75" header="0.3" footer="0.3"/>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46C07-F854-4FC2-9A0D-164E05A3C1E3}">
  <dimension ref="A1:V64"/>
  <sheetViews>
    <sheetView rightToLeft="1" topLeftCell="G1" workbookViewId="0">
      <selection activeCell="J6" sqref="J6"/>
    </sheetView>
  </sheetViews>
  <sheetFormatPr defaultColWidth="9.109375" defaultRowHeight="14.4" x14ac:dyDescent="0.3"/>
  <cols>
    <col min="1" max="7" width="9.109375" style="12"/>
    <col min="8" max="8" width="9.109375" style="12" customWidth="1"/>
    <col min="9" max="9" width="27.6640625" style="12" bestFit="1" customWidth="1"/>
    <col min="10" max="10" width="8.6640625" style="12" bestFit="1" customWidth="1"/>
    <col min="11" max="11" width="16" style="12" bestFit="1" customWidth="1"/>
    <col min="12" max="12" width="13.44140625" style="12" bestFit="1" customWidth="1"/>
    <col min="13" max="13" width="9.109375" style="12"/>
    <col min="14" max="14" width="60.6640625" style="12" bestFit="1" customWidth="1"/>
    <col min="15" max="16384" width="9.109375" style="12"/>
  </cols>
  <sheetData>
    <row r="1" spans="1:22" ht="16.8" x14ac:dyDescent="0.3">
      <c r="A1" s="12" t="s">
        <v>2055</v>
      </c>
      <c r="B1" s="12" t="s">
        <v>2056</v>
      </c>
      <c r="C1" s="12" t="s">
        <v>2057</v>
      </c>
      <c r="D1" s="12" t="s">
        <v>2059</v>
      </c>
      <c r="I1" s="44" t="s">
        <v>1548</v>
      </c>
      <c r="J1" s="7" t="s">
        <v>1912</v>
      </c>
      <c r="K1" s="44" t="s">
        <v>1553</v>
      </c>
      <c r="L1" s="7" t="s">
        <v>1552</v>
      </c>
      <c r="M1" s="44" t="s">
        <v>1564</v>
      </c>
      <c r="N1" s="44" t="s">
        <v>1613</v>
      </c>
      <c r="O1" s="7" t="s">
        <v>1565</v>
      </c>
      <c r="P1" s="44" t="s">
        <v>1567</v>
      </c>
      <c r="Q1" s="7" t="s">
        <v>1571</v>
      </c>
      <c r="R1" s="44" t="s">
        <v>1570</v>
      </c>
      <c r="S1" s="7" t="s">
        <v>1615</v>
      </c>
      <c r="T1" s="44" t="s">
        <v>1569</v>
      </c>
      <c r="U1" s="7" t="s">
        <v>1566</v>
      </c>
      <c r="V1" s="44" t="s">
        <v>1559</v>
      </c>
    </row>
    <row r="2" spans="1:22" x14ac:dyDescent="0.3">
      <c r="A2" s="12" t="s">
        <v>2060</v>
      </c>
      <c r="B2" s="12" t="s">
        <v>2060</v>
      </c>
      <c r="C2" s="12" t="s">
        <v>2060</v>
      </c>
      <c r="D2" s="12" t="s">
        <v>2060</v>
      </c>
      <c r="I2" s="12">
        <f>COUNTIF('لوحة التحكم'!K13:K1048576,"عطلانة")</f>
        <v>199</v>
      </c>
      <c r="J2" s="12">
        <f>COUNTIF('لوحة التحكم'!K13:K1048576,"تم الاصلاح")</f>
        <v>168</v>
      </c>
      <c r="K2" s="12">
        <f>COUNTIF('لوحة التحكم'!K13:K1048576,"تحت إجراءات الرجيع")</f>
        <v>23</v>
      </c>
      <c r="L2" s="12">
        <f>COUNTIF('لوحة التحكم'!K13:K1048576,"صدر قرار الرجيع")</f>
        <v>58</v>
      </c>
      <c r="M2" s="12">
        <f>COUNTIF('لوحة التحكم'!L13:L1048576,"ميكانيكي")</f>
        <v>100</v>
      </c>
      <c r="N2" s="12">
        <f>COUNTIF('لوحة التحكم'!L13:L1048576,"بطاريات")</f>
        <v>8</v>
      </c>
      <c r="O2" s="12">
        <f>COUNTIF('لوحة التحكم'!L13:L1048576,"كهربائي")</f>
        <v>21</v>
      </c>
      <c r="P2" s="12">
        <f>COUNTIF('لوحة التحكم'!L13:L1048576,"مضخات")</f>
        <v>11</v>
      </c>
      <c r="Q2" s="12">
        <f>COUNTIF('لوحة التحكم'!L13:L1048576,"أخرى")</f>
        <v>156</v>
      </c>
      <c r="R2" s="12">
        <f>COUNTIF('لوحة التحكم'!L13:L1048576,"برمجة")</f>
        <v>1</v>
      </c>
      <c r="S2" s="12">
        <f>COUNTIF('لوحة التحكم'!L13:L1048576,"كفرات")</f>
        <v>10</v>
      </c>
      <c r="T2" s="12">
        <f>COUNTIF('لوحة التحكم'!L13:L1048576,"خلل فني")</f>
        <v>42</v>
      </c>
      <c r="U2" s="12">
        <f>COUNTIF('لوحة التحكم'!L13:L1048576,"تجديد ودهان")</f>
        <v>2</v>
      </c>
      <c r="V2" s="12">
        <f>COUNTIF('لوحة التحكم'!L13:L1048576,"حادث مروري")</f>
        <v>16</v>
      </c>
    </row>
    <row r="3" spans="1:22" x14ac:dyDescent="0.3">
      <c r="A3" s="12">
        <v>2025</v>
      </c>
      <c r="B3" s="25">
        <v>1</v>
      </c>
      <c r="C3" s="24">
        <v>1</v>
      </c>
      <c r="D3" s="12">
        <v>1</v>
      </c>
    </row>
    <row r="4" spans="1:22" x14ac:dyDescent="0.3">
      <c r="A4" s="12">
        <v>2026</v>
      </c>
      <c r="B4" s="25">
        <v>2</v>
      </c>
      <c r="C4" s="24">
        <v>2</v>
      </c>
      <c r="D4" s="12">
        <v>2</v>
      </c>
    </row>
    <row r="5" spans="1:22" x14ac:dyDescent="0.3">
      <c r="A5" s="12">
        <v>2027</v>
      </c>
      <c r="B5" s="25">
        <v>3</v>
      </c>
      <c r="C5" s="24">
        <v>3</v>
      </c>
      <c r="D5" s="12">
        <v>3</v>
      </c>
      <c r="I5" s="12" t="s">
        <v>2064</v>
      </c>
      <c r="J5" s="12" t="s">
        <v>2065</v>
      </c>
      <c r="N5" s="12" t="str" cm="1">
        <f t="array" ref="N5">_xlfn.LET(
    _xlpm.rng, 'لوحة التحكم'!H13:H1048576,
    _xlpm.words, _xlfn.UNIQUE(_xlfn._xlws.FILTER(_xlpm.rng, _xlpm.rng&lt;&gt;"")),
    _xlpm.counts, COUNTIF(_xlpm.rng, _xlpm.words),
    _xlpm.sorted, _xlfn.SORTBY(_xlpm.words, _xlpm.counts, -1),
    INDEX(_xlpm.sorted, ROWS($A$1:A1))
)</f>
        <v>ادارة  العمليات/الإدارة العامة للدفاع المدني بمحافظة جدة</v>
      </c>
      <c r="O5" s="12">
        <f>COUNTIF('لوحة التحكم'!H13:H1048576, N5)</f>
        <v>232</v>
      </c>
    </row>
    <row r="6" spans="1:22" x14ac:dyDescent="0.3">
      <c r="A6" s="12">
        <v>2028</v>
      </c>
      <c r="B6" s="25">
        <v>4</v>
      </c>
      <c r="C6" s="24">
        <v>4</v>
      </c>
      <c r="D6" s="12">
        <v>4</v>
      </c>
      <c r="I6" s="12" t="str" cm="1">
        <f t="array" ref="I6">_xlfn.LET(
    _xlpm.rng, 'لوحة التحكم'!B13:B1048576,
    _xlpm.words, _xlfn.UNIQUE(_xlfn._xlws.FILTER(_xlpm.rng, _xlpm.rng&lt;&gt;"")),
    _xlpm.counts, COUNTIF(_xlpm.rng, _xlpm.words),
    _xlpm.sorted, _xlfn.SORTBY(_xlpm.words, _xlpm.counts, -1),
    INDEX(_xlpm.sorted, ROWS($A$1:A1))
)</f>
        <v>وايت سكس مرسيدس بمضخه وقاذف</v>
      </c>
      <c r="J6" s="12">
        <f>COUNTIF(Table7[نوع السيارة تفصيلي], I6)</f>
        <v>75</v>
      </c>
      <c r="N6" s="12" t="str" cm="1">
        <f t="array" ref="N6">_xlfn.LET(
    _xlpm.rng, 'لوحة التحكم'!I13:I1048576,
    _xlpm.words, _xlfn.UNIQUE(_xlfn._xlws.FILTER(_xlpm.rng, _xlpm.rng&lt;&gt;"")),
    _xlpm.counts, COUNTIF(_xlpm.rng, _xlpm.words),
    _xlpm.sorted, _xlfn.SORTBY(_xlpm.words, _xlpm.counts, -1),
    INDEX(_xlpm.sorted, ROWS($A$1:A1))
)</f>
        <v>قسم الدعم والإسناد الثالث</v>
      </c>
      <c r="O6" s="12">
        <f>COUNTIF('لوحة التحكم'!I13:I1048576, N6)</f>
        <v>96</v>
      </c>
    </row>
    <row r="7" spans="1:22" x14ac:dyDescent="0.3">
      <c r="A7" s="12">
        <v>2029</v>
      </c>
      <c r="B7" s="25">
        <v>5</v>
      </c>
      <c r="C7" s="24"/>
      <c r="D7" s="12">
        <v>5</v>
      </c>
      <c r="I7" s="12" t="str" cm="1">
        <f t="array" ref="I7">_xlfn.LET(
    _xlpm.rng, 'لوحة التحكم'!B13:B1169,
    _xlpm.words, _xlfn.UNIQUE(_xlfn._xlws.FILTER(_xlpm.rng, _xlpm.rng&lt;&gt;"")),
    _xlpm.counts, COUNTIF(_xlpm.rng, _xlpm.words),
    _xlpm.sorted, _xlfn.SORTBY(_xlpm.words, _xlpm.counts, -1),
    INDEX(_xlpm.sorted, ROWS($A$1:A2))
)</f>
        <v>وايت عادي مرسيدس بمضخة وقاذف</v>
      </c>
      <c r="J7" s="12">
        <f>COUNTIF(Table7[نوع السيارة تفصيلي], I7)</f>
        <v>34</v>
      </c>
      <c r="N7" s="12" t="str" cm="1">
        <f t="array" ref="N7">_xlfn.LET(
    _xlpm.rng, 'لوحة التحكم'!P13:P1048576,
    _xlpm.words, _xlfn.UNIQUE(_xlfn._xlws.FILTER(_xlpm.rng, _xlpm.rng&lt;&gt;"")),
    _xlpm.counts, COUNTIF(_xlpm.rng, _xlpm.words),
    _xlpm.sorted, _xlfn.SORTBY(_xlpm.words, _xlpm.counts, -1),
    INDEX(_xlpm.sorted, ROWS($A$1:A1))
)</f>
        <v>قسم الاسناد الاول والثاني والثالث</v>
      </c>
      <c r="O7" s="12">
        <f>COUNTIF('لوحة التحكم'!P13:P1048576, N7)</f>
        <v>134</v>
      </c>
    </row>
    <row r="8" spans="1:22" x14ac:dyDescent="0.3">
      <c r="A8" s="12">
        <v>2030</v>
      </c>
      <c r="B8" s="25">
        <v>6</v>
      </c>
      <c r="C8" s="24"/>
      <c r="D8" s="12">
        <v>6</v>
      </c>
      <c r="I8" s="12" t="str" cm="1">
        <f t="array" ref="I8">_xlfn.LET(
    _xlpm.rng, 'لوحة التحكم'!B14:B1170,
    _xlpm.words, _xlfn.UNIQUE(_xlfn._xlws.FILTER(_xlpm.rng, _xlpm.rng&lt;&gt;"")),
    _xlpm.counts, COUNTIF(_xlpm.rng, _xlpm.words),
    _xlpm.sorted, _xlfn.SORTBY(_xlpm.words, _xlpm.counts, -1),
    INDEX(_xlpm.sorted, ROWS($A$1:A3))
)</f>
        <v>دراجة نارية ياماها 250</v>
      </c>
      <c r="J8" s="12">
        <f>COUNTIF(Table7[نوع السيارة تفصيلي], I8)</f>
        <v>31</v>
      </c>
    </row>
    <row r="9" spans="1:22" x14ac:dyDescent="0.3">
      <c r="A9" s="12">
        <v>2031</v>
      </c>
      <c r="B9" s="25">
        <v>7</v>
      </c>
      <c r="C9" s="24"/>
      <c r="D9" s="12">
        <v>7</v>
      </c>
      <c r="I9" s="12" t="str" cm="1">
        <f t="array" ref="I9">_xlfn.LET(
    _xlpm.rng, 'لوحة التحكم'!B15:B1171,
    _xlpm.words, _xlfn.UNIQUE(_xlfn._xlws.FILTER(_xlpm.rng, _xlpm.rng&lt;&gt;"")),
    _xlpm.counts, COUNTIF(_xlpm.rng, _xlpm.words),
    _xlpm.sorted, _xlfn.SORTBY(_xlpm.words, _xlpm.counts, -1),
    INDEX(_xlpm.sorted, ROWS($A$1:A4))
)</f>
        <v>سيارة جيب 4 باب نيسان رسمي</v>
      </c>
      <c r="J9" s="12">
        <f>COUNTIF(Table7[نوع السيارة تفصيلي], I9)</f>
        <v>27</v>
      </c>
    </row>
    <row r="10" spans="1:22" x14ac:dyDescent="0.3">
      <c r="A10" s="12">
        <v>2032</v>
      </c>
      <c r="B10" s="25">
        <v>8</v>
      </c>
      <c r="C10" s="24"/>
      <c r="D10" s="12">
        <v>8</v>
      </c>
      <c r="I10" s="12" t="str" cm="1">
        <f t="array" ref="I10">_xlfn.LET(
    _xlpm.rng, 'لوحة التحكم'!B16:B1172,
    _xlpm.words, _xlfn.UNIQUE(_xlfn._xlws.FILTER(_xlpm.rng, _xlpm.rng&lt;&gt;"")),
    _xlpm.counts, COUNTIF(_xlpm.rng, _xlpm.words),
    _xlpm.sorted, _xlfn.SORTBY(_xlpm.words, _xlpm.counts, -1),
    INDEX(_xlpm.sorted, ROWS($A$1:A5))
)</f>
        <v xml:space="preserve">سيارة اطفاء وانقاذ مزدوجة كومندر </v>
      </c>
      <c r="J10" s="12">
        <f>COUNTIF(Table7[نوع السيارة تفصيلي], I10)</f>
        <v>28</v>
      </c>
    </row>
    <row r="11" spans="1:22" x14ac:dyDescent="0.3">
      <c r="A11" s="12">
        <v>2033</v>
      </c>
      <c r="B11" s="25">
        <v>9</v>
      </c>
      <c r="C11" s="24"/>
      <c r="D11" s="12">
        <v>9</v>
      </c>
    </row>
    <row r="12" spans="1:22" x14ac:dyDescent="0.3">
      <c r="A12" s="12">
        <v>2034</v>
      </c>
      <c r="B12" s="24">
        <v>10</v>
      </c>
      <c r="C12" s="24"/>
      <c r="D12" s="12">
        <v>10</v>
      </c>
    </row>
    <row r="13" spans="1:22" x14ac:dyDescent="0.3">
      <c r="A13" s="12">
        <v>2035</v>
      </c>
      <c r="B13" s="24">
        <v>11</v>
      </c>
      <c r="C13" s="24"/>
      <c r="D13" s="12">
        <v>11</v>
      </c>
    </row>
    <row r="14" spans="1:22" x14ac:dyDescent="0.3">
      <c r="A14" s="12">
        <v>2036</v>
      </c>
      <c r="B14" s="24">
        <v>12</v>
      </c>
      <c r="C14" s="24"/>
      <c r="D14" s="12">
        <v>12</v>
      </c>
    </row>
    <row r="15" spans="1:22" x14ac:dyDescent="0.3">
      <c r="A15" s="12">
        <v>2037</v>
      </c>
      <c r="C15" s="24"/>
      <c r="D15" s="12">
        <v>13</v>
      </c>
    </row>
    <row r="16" spans="1:22" x14ac:dyDescent="0.3">
      <c r="A16" s="12">
        <v>2038</v>
      </c>
      <c r="C16" s="24"/>
      <c r="D16" s="12">
        <v>14</v>
      </c>
    </row>
    <row r="17" spans="1:4" x14ac:dyDescent="0.3">
      <c r="A17" s="12">
        <v>2039</v>
      </c>
      <c r="C17" s="24"/>
      <c r="D17" s="12">
        <v>15</v>
      </c>
    </row>
    <row r="18" spans="1:4" x14ac:dyDescent="0.3">
      <c r="A18" s="12">
        <v>2040</v>
      </c>
      <c r="C18" s="24"/>
      <c r="D18" s="12">
        <v>16</v>
      </c>
    </row>
    <row r="19" spans="1:4" x14ac:dyDescent="0.3">
      <c r="A19" s="12">
        <v>2041</v>
      </c>
      <c r="C19" s="24"/>
      <c r="D19" s="12">
        <v>17</v>
      </c>
    </row>
    <row r="20" spans="1:4" x14ac:dyDescent="0.3">
      <c r="A20" s="12">
        <v>2042</v>
      </c>
      <c r="C20" s="24"/>
      <c r="D20" s="12">
        <v>18</v>
      </c>
    </row>
    <row r="21" spans="1:4" x14ac:dyDescent="0.3">
      <c r="A21" s="12">
        <v>2043</v>
      </c>
      <c r="C21" s="24"/>
      <c r="D21" s="12">
        <v>19</v>
      </c>
    </row>
    <row r="22" spans="1:4" x14ac:dyDescent="0.3">
      <c r="A22" s="12">
        <v>2044</v>
      </c>
      <c r="C22" s="24"/>
      <c r="D22" s="12">
        <v>20</v>
      </c>
    </row>
    <row r="23" spans="1:4" x14ac:dyDescent="0.3">
      <c r="A23" s="12">
        <v>2045</v>
      </c>
      <c r="C23" s="24"/>
      <c r="D23" s="12">
        <v>21</v>
      </c>
    </row>
    <row r="24" spans="1:4" x14ac:dyDescent="0.3">
      <c r="A24" s="12">
        <v>2046</v>
      </c>
      <c r="C24" s="24"/>
      <c r="D24" s="12">
        <v>22</v>
      </c>
    </row>
    <row r="25" spans="1:4" x14ac:dyDescent="0.3">
      <c r="A25" s="12">
        <v>2047</v>
      </c>
      <c r="C25" s="24"/>
      <c r="D25" s="12">
        <v>23</v>
      </c>
    </row>
    <row r="26" spans="1:4" x14ac:dyDescent="0.3">
      <c r="A26" s="12">
        <v>2048</v>
      </c>
      <c r="C26" s="24"/>
      <c r="D26" s="12">
        <v>24</v>
      </c>
    </row>
    <row r="27" spans="1:4" x14ac:dyDescent="0.3">
      <c r="A27" s="12">
        <v>2049</v>
      </c>
      <c r="C27" s="24"/>
      <c r="D27" s="12">
        <v>25</v>
      </c>
    </row>
    <row r="28" spans="1:4" x14ac:dyDescent="0.3">
      <c r="A28" s="12">
        <v>2050</v>
      </c>
      <c r="C28" s="24"/>
      <c r="D28" s="12">
        <v>26</v>
      </c>
    </row>
    <row r="29" spans="1:4" x14ac:dyDescent="0.3">
      <c r="A29" s="12">
        <v>2051</v>
      </c>
      <c r="C29" s="24"/>
      <c r="D29" s="12">
        <v>27</v>
      </c>
    </row>
    <row r="30" spans="1:4" x14ac:dyDescent="0.3">
      <c r="A30" s="12">
        <v>2052</v>
      </c>
      <c r="C30" s="24"/>
      <c r="D30" s="12">
        <v>28</v>
      </c>
    </row>
    <row r="31" spans="1:4" x14ac:dyDescent="0.3">
      <c r="A31" s="12">
        <v>2053</v>
      </c>
      <c r="C31" s="24"/>
      <c r="D31" s="12">
        <v>29</v>
      </c>
    </row>
    <row r="32" spans="1:4" x14ac:dyDescent="0.3">
      <c r="A32" s="12">
        <v>2054</v>
      </c>
      <c r="C32" s="24"/>
      <c r="D32" s="12">
        <v>30</v>
      </c>
    </row>
    <row r="33" spans="1:4" x14ac:dyDescent="0.3">
      <c r="A33" s="12">
        <v>2055</v>
      </c>
      <c r="C33" s="24"/>
      <c r="D33" s="12">
        <v>31</v>
      </c>
    </row>
    <row r="34" spans="1:4" x14ac:dyDescent="0.3">
      <c r="C34" s="24"/>
    </row>
    <row r="35" spans="1:4" x14ac:dyDescent="0.3">
      <c r="C35" s="24"/>
    </row>
    <row r="36" spans="1:4" x14ac:dyDescent="0.3">
      <c r="C36" s="24"/>
    </row>
    <row r="37" spans="1:4" x14ac:dyDescent="0.3">
      <c r="C37" s="24"/>
    </row>
    <row r="38" spans="1:4" x14ac:dyDescent="0.3">
      <c r="C38" s="24"/>
    </row>
    <row r="39" spans="1:4" x14ac:dyDescent="0.3">
      <c r="C39" s="24"/>
    </row>
    <row r="40" spans="1:4" x14ac:dyDescent="0.3">
      <c r="C40" s="24"/>
    </row>
    <row r="41" spans="1:4" x14ac:dyDescent="0.3">
      <c r="C41" s="24"/>
    </row>
    <row r="42" spans="1:4" x14ac:dyDescent="0.3">
      <c r="C42" s="24"/>
    </row>
    <row r="43" spans="1:4" x14ac:dyDescent="0.3">
      <c r="C43" s="24"/>
    </row>
    <row r="44" spans="1:4" x14ac:dyDescent="0.3">
      <c r="C44" s="24"/>
    </row>
    <row r="45" spans="1:4" x14ac:dyDescent="0.3">
      <c r="C45" s="24"/>
    </row>
    <row r="46" spans="1:4" x14ac:dyDescent="0.3">
      <c r="C46" s="24"/>
    </row>
    <row r="47" spans="1:4" x14ac:dyDescent="0.3">
      <c r="C47" s="24"/>
    </row>
    <row r="48" spans="1:4" x14ac:dyDescent="0.3">
      <c r="C48" s="24"/>
    </row>
    <row r="49" spans="3:3" x14ac:dyDescent="0.3">
      <c r="C49" s="24"/>
    </row>
    <row r="50" spans="3:3" x14ac:dyDescent="0.3">
      <c r="C50" s="24"/>
    </row>
    <row r="51" spans="3:3" x14ac:dyDescent="0.3">
      <c r="C51" s="24"/>
    </row>
    <row r="52" spans="3:3" x14ac:dyDescent="0.3">
      <c r="C52" s="24"/>
    </row>
    <row r="53" spans="3:3" x14ac:dyDescent="0.3">
      <c r="C53" s="24"/>
    </row>
    <row r="54" spans="3:3" x14ac:dyDescent="0.3">
      <c r="C54" s="24"/>
    </row>
    <row r="55" spans="3:3" x14ac:dyDescent="0.3">
      <c r="C55" s="24"/>
    </row>
    <row r="56" spans="3:3" x14ac:dyDescent="0.3">
      <c r="C56" s="24"/>
    </row>
    <row r="57" spans="3:3" x14ac:dyDescent="0.3">
      <c r="C57" s="24"/>
    </row>
    <row r="58" spans="3:3" x14ac:dyDescent="0.3">
      <c r="C58" s="24"/>
    </row>
    <row r="59" spans="3:3" x14ac:dyDescent="0.3">
      <c r="C59" s="24"/>
    </row>
    <row r="60" spans="3:3" x14ac:dyDescent="0.3">
      <c r="C60" s="24"/>
    </row>
    <row r="61" spans="3:3" x14ac:dyDescent="0.3">
      <c r="C61" s="24"/>
    </row>
    <row r="62" spans="3:3" x14ac:dyDescent="0.3">
      <c r="C62" s="24"/>
    </row>
    <row r="63" spans="3:3" x14ac:dyDescent="0.3">
      <c r="C63" s="24"/>
    </row>
    <row r="64" spans="3:3" x14ac:dyDescent="0.3">
      <c r="C64" s="2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4964"/>
  <sheetViews>
    <sheetView rightToLeft="1" topLeftCell="D4" zoomScale="62" zoomScaleNormal="62" workbookViewId="0">
      <selection activeCell="M2" sqref="M2:M9"/>
    </sheetView>
  </sheetViews>
  <sheetFormatPr defaultColWidth="9.109375" defaultRowHeight="16.8" x14ac:dyDescent="0.5"/>
  <cols>
    <col min="1" max="1" width="58.6640625" style="7" bestFit="1" customWidth="1"/>
    <col min="2" max="2" width="37.6640625" style="7" bestFit="1" customWidth="1"/>
    <col min="3" max="3" width="19.33203125" style="7" bestFit="1" customWidth="1"/>
    <col min="4" max="4" width="52.44140625" style="7" bestFit="1" customWidth="1"/>
    <col min="5" max="5" width="23" style="7" bestFit="1" customWidth="1"/>
    <col min="6" max="6" width="15.88671875" style="7" bestFit="1" customWidth="1"/>
    <col min="7" max="7" width="17.6640625" style="7" bestFit="1" customWidth="1"/>
    <col min="8" max="8" width="22.44140625" style="7" bestFit="1" customWidth="1"/>
    <col min="9" max="9" width="26" style="7" bestFit="1" customWidth="1"/>
    <col min="10" max="10" width="31" style="4" bestFit="1" customWidth="1"/>
    <col min="11" max="11" width="19" style="4" bestFit="1" customWidth="1"/>
    <col min="12" max="12" width="18.109375" style="4" bestFit="1" customWidth="1"/>
    <col min="13" max="13" width="79.5546875" style="4" bestFit="1" customWidth="1"/>
    <col min="14" max="14" width="19.44140625" style="4" bestFit="1" customWidth="1"/>
    <col min="15" max="15" width="22" style="4" bestFit="1" customWidth="1"/>
    <col min="16" max="16" width="49.88671875" style="4" bestFit="1" customWidth="1"/>
    <col min="17" max="17" width="31" style="4" bestFit="1" customWidth="1"/>
    <col min="18" max="18" width="16.33203125" style="4" bestFit="1" customWidth="1"/>
    <col min="19" max="19" width="31" style="5" bestFit="1" customWidth="1"/>
    <col min="20" max="20" width="11" style="4" bestFit="1" customWidth="1"/>
    <col min="21" max="21" width="9.109375" style="4"/>
    <col min="22" max="22" width="31" style="4" bestFit="1" customWidth="1"/>
    <col min="23" max="23" width="9.88671875" style="4" bestFit="1" customWidth="1"/>
    <col min="24" max="16384" width="9.109375" style="4"/>
  </cols>
  <sheetData>
    <row r="1" spans="1:23" ht="21.6" x14ac:dyDescent="0.5">
      <c r="A1" s="3" t="s">
        <v>1428</v>
      </c>
      <c r="B1" s="3" t="s">
        <v>1550</v>
      </c>
      <c r="C1" s="3" t="s">
        <v>1435</v>
      </c>
      <c r="D1" s="3" t="s">
        <v>1429</v>
      </c>
      <c r="E1" s="3" t="s">
        <v>1430</v>
      </c>
      <c r="F1" s="3" t="s">
        <v>1431</v>
      </c>
      <c r="G1" s="3" t="s">
        <v>1432</v>
      </c>
      <c r="H1" s="3" t="s">
        <v>1433</v>
      </c>
      <c r="I1" s="3" t="s">
        <v>1434</v>
      </c>
      <c r="J1" s="1" t="s">
        <v>1638</v>
      </c>
      <c r="K1" s="1" t="s">
        <v>1546</v>
      </c>
      <c r="L1" s="1" t="s">
        <v>1563</v>
      </c>
      <c r="M1" s="1" t="s">
        <v>1572</v>
      </c>
      <c r="N1" s="1" t="s">
        <v>1929</v>
      </c>
      <c r="O1" s="1" t="s">
        <v>1930</v>
      </c>
      <c r="P1" s="1" t="s">
        <v>1633</v>
      </c>
      <c r="Q1" s="1" t="s">
        <v>1643</v>
      </c>
      <c r="R1" s="4" t="s">
        <v>1547</v>
      </c>
      <c r="S1" s="5" t="s">
        <v>1471</v>
      </c>
      <c r="T1" s="4" t="s">
        <v>1564</v>
      </c>
      <c r="U1" s="6"/>
      <c r="V1" s="4" t="s">
        <v>1671</v>
      </c>
      <c r="W1" s="4" t="s">
        <v>1909</v>
      </c>
    </row>
    <row r="2" spans="1:23" ht="30" customHeight="1" x14ac:dyDescent="0.5">
      <c r="A2" s="7" t="s">
        <v>35</v>
      </c>
      <c r="B2" s="7" t="s">
        <v>58</v>
      </c>
      <c r="C2" s="8">
        <v>1101700030006</v>
      </c>
      <c r="D2" s="7" t="s">
        <v>1551</v>
      </c>
      <c r="E2" s="7" t="s">
        <v>1436</v>
      </c>
      <c r="F2" s="7">
        <v>2012</v>
      </c>
      <c r="G2" s="7" t="s">
        <v>19</v>
      </c>
      <c r="H2" s="7" t="s">
        <v>52</v>
      </c>
      <c r="I2" s="8" t="s">
        <v>59</v>
      </c>
      <c r="J2" s="2" t="s">
        <v>1471</v>
      </c>
      <c r="K2" s="2" t="s">
        <v>1548</v>
      </c>
      <c r="L2" s="2" t="s">
        <v>1564</v>
      </c>
      <c r="M2" s="2" t="s">
        <v>1808</v>
      </c>
      <c r="N2" s="10" t="s">
        <v>1809</v>
      </c>
      <c r="O2" s="2"/>
      <c r="P2" s="2" t="s">
        <v>1922</v>
      </c>
      <c r="Q2" s="2" t="s">
        <v>1673</v>
      </c>
      <c r="S2" s="5" t="s">
        <v>1486</v>
      </c>
      <c r="V2" s="4" t="s">
        <v>1672</v>
      </c>
    </row>
    <row r="3" spans="1:23" ht="30" customHeight="1" x14ac:dyDescent="0.5">
      <c r="A3" s="7" t="s">
        <v>35</v>
      </c>
      <c r="B3" s="7" t="s">
        <v>813</v>
      </c>
      <c r="C3" s="8">
        <v>1101700010006</v>
      </c>
      <c r="D3" s="7" t="s">
        <v>1551</v>
      </c>
      <c r="E3" s="7" t="s">
        <v>814</v>
      </c>
      <c r="F3" s="7">
        <v>2013</v>
      </c>
      <c r="G3" s="7" t="s">
        <v>19</v>
      </c>
      <c r="H3" s="7" t="s">
        <v>52</v>
      </c>
      <c r="I3" s="8" t="s">
        <v>815</v>
      </c>
      <c r="J3" s="2" t="s">
        <v>1549</v>
      </c>
      <c r="K3" s="2" t="s">
        <v>1548</v>
      </c>
      <c r="L3" s="2" t="s">
        <v>1564</v>
      </c>
      <c r="M3" s="2" t="s">
        <v>1820</v>
      </c>
      <c r="N3" s="10" t="s">
        <v>1821</v>
      </c>
      <c r="O3" s="2"/>
      <c r="P3" s="2" t="s">
        <v>1666</v>
      </c>
      <c r="Q3" s="2" t="s">
        <v>1681</v>
      </c>
      <c r="V3" s="4" t="s">
        <v>1673</v>
      </c>
    </row>
    <row r="4" spans="1:23" ht="30" customHeight="1" x14ac:dyDescent="0.5">
      <c r="A4" s="7" t="s">
        <v>35</v>
      </c>
      <c r="B4" s="7" t="s">
        <v>82</v>
      </c>
      <c r="C4" s="8">
        <v>1106700020003</v>
      </c>
      <c r="D4" s="7" t="s">
        <v>54</v>
      </c>
      <c r="E4" s="7" t="s">
        <v>85</v>
      </c>
      <c r="F4" s="7">
        <v>2015</v>
      </c>
      <c r="G4" s="7" t="s">
        <v>19</v>
      </c>
      <c r="H4" s="7" t="s">
        <v>56</v>
      </c>
      <c r="I4" s="8" t="s">
        <v>86</v>
      </c>
      <c r="J4" s="2" t="s">
        <v>1506</v>
      </c>
      <c r="K4" s="11" t="s">
        <v>1912</v>
      </c>
      <c r="L4" s="2"/>
      <c r="M4" s="2"/>
      <c r="N4" s="2" t="s">
        <v>1933</v>
      </c>
      <c r="O4" s="2" t="s">
        <v>1921</v>
      </c>
      <c r="P4" s="2" t="s">
        <v>1920</v>
      </c>
      <c r="Q4" s="2" t="s">
        <v>1697</v>
      </c>
      <c r="S4" s="5" t="s">
        <v>1496</v>
      </c>
      <c r="V4" s="4" t="s">
        <v>1674</v>
      </c>
    </row>
    <row r="5" spans="1:23" ht="30" customHeight="1" x14ac:dyDescent="0.5">
      <c r="A5" s="7" t="s">
        <v>263</v>
      </c>
      <c r="B5" s="7" t="s">
        <v>534</v>
      </c>
      <c r="C5" s="8">
        <v>1104700020001</v>
      </c>
      <c r="D5" s="7" t="s">
        <v>431</v>
      </c>
      <c r="E5" s="7" t="s">
        <v>535</v>
      </c>
      <c r="F5" s="7">
        <v>2012</v>
      </c>
      <c r="G5" s="7" t="s">
        <v>433</v>
      </c>
      <c r="H5" s="7" t="s">
        <v>236</v>
      </c>
      <c r="I5" s="8" t="s">
        <v>536</v>
      </c>
      <c r="J5" s="2" t="s">
        <v>1531</v>
      </c>
      <c r="K5" s="2" t="s">
        <v>1548</v>
      </c>
      <c r="L5" s="2" t="s">
        <v>1613</v>
      </c>
      <c r="M5" s="2" t="s">
        <v>1613</v>
      </c>
      <c r="N5" s="2" t="s">
        <v>1735</v>
      </c>
      <c r="O5" s="2"/>
      <c r="P5" s="2"/>
      <c r="Q5" s="2" t="s">
        <v>1709</v>
      </c>
      <c r="V5" s="4" t="s">
        <v>1675</v>
      </c>
    </row>
    <row r="6" spans="1:23" ht="30" customHeight="1" x14ac:dyDescent="0.5">
      <c r="A6" s="7" t="s">
        <v>35</v>
      </c>
      <c r="B6" s="7" t="s">
        <v>913</v>
      </c>
      <c r="C6" s="8">
        <v>1106700020003</v>
      </c>
      <c r="D6" s="7" t="s">
        <v>54</v>
      </c>
      <c r="E6" s="7" t="s">
        <v>918</v>
      </c>
      <c r="F6" s="7">
        <v>2013</v>
      </c>
      <c r="G6" s="7" t="s">
        <v>19</v>
      </c>
      <c r="H6" s="7" t="s">
        <v>56</v>
      </c>
      <c r="I6" s="8" t="s">
        <v>919</v>
      </c>
      <c r="J6" s="2" t="s">
        <v>1477</v>
      </c>
      <c r="K6" s="2" t="s">
        <v>1548</v>
      </c>
      <c r="L6" s="2" t="s">
        <v>1564</v>
      </c>
      <c r="M6" s="2" t="s">
        <v>1774</v>
      </c>
      <c r="N6" s="2" t="s">
        <v>1735</v>
      </c>
      <c r="O6" s="2"/>
      <c r="P6" s="2"/>
      <c r="Q6" s="2" t="s">
        <v>1690</v>
      </c>
      <c r="V6" s="4" t="s">
        <v>1676</v>
      </c>
    </row>
    <row r="7" spans="1:23" ht="30" customHeight="1" x14ac:dyDescent="0.5">
      <c r="A7" s="7" t="s">
        <v>263</v>
      </c>
      <c r="B7" s="7" t="s">
        <v>1225</v>
      </c>
      <c r="C7" s="8">
        <v>1105700080001</v>
      </c>
      <c r="D7" s="7" t="s">
        <v>302</v>
      </c>
      <c r="E7" s="7" t="s">
        <v>1315</v>
      </c>
      <c r="F7" s="7">
        <v>2011</v>
      </c>
      <c r="G7" s="7" t="s">
        <v>19</v>
      </c>
      <c r="H7" s="7" t="s">
        <v>304</v>
      </c>
      <c r="I7" s="8" t="s">
        <v>1316</v>
      </c>
      <c r="J7" s="2" t="s">
        <v>1544</v>
      </c>
      <c r="K7" s="2" t="s">
        <v>1548</v>
      </c>
      <c r="L7" s="2" t="s">
        <v>1565</v>
      </c>
      <c r="M7" s="2" t="s">
        <v>1611</v>
      </c>
      <c r="N7" s="2" t="s">
        <v>1612</v>
      </c>
      <c r="O7" s="2"/>
      <c r="P7" s="2"/>
      <c r="Q7" s="2"/>
      <c r="V7" s="4" t="s">
        <v>1677</v>
      </c>
    </row>
    <row r="8" spans="1:23" ht="30" customHeight="1" x14ac:dyDescent="0.5">
      <c r="A8" s="7" t="s">
        <v>263</v>
      </c>
      <c r="B8" s="7" t="s">
        <v>632</v>
      </c>
      <c r="C8" s="8">
        <v>1106700010003</v>
      </c>
      <c r="D8" s="7" t="s">
        <v>102</v>
      </c>
      <c r="E8" s="7" t="s">
        <v>670</v>
      </c>
      <c r="F8" s="7">
        <v>1989</v>
      </c>
      <c r="G8" s="7" t="s">
        <v>19</v>
      </c>
      <c r="H8" s="7" t="s">
        <v>104</v>
      </c>
      <c r="I8" s="8">
        <v>40402055346001</v>
      </c>
      <c r="J8" s="2" t="s">
        <v>1544</v>
      </c>
      <c r="K8" s="2" t="s">
        <v>1548</v>
      </c>
      <c r="L8" s="2" t="s">
        <v>1564</v>
      </c>
      <c r="M8" s="2" t="s">
        <v>1603</v>
      </c>
      <c r="N8" s="2" t="s">
        <v>1604</v>
      </c>
      <c r="O8" s="2"/>
      <c r="P8" s="2"/>
      <c r="Q8" s="2"/>
      <c r="V8" s="4" t="s">
        <v>1678</v>
      </c>
    </row>
    <row r="9" spans="1:23" ht="30" customHeight="1" x14ac:dyDescent="0.5">
      <c r="A9" s="7" t="s">
        <v>263</v>
      </c>
      <c r="B9" s="7" t="s">
        <v>602</v>
      </c>
      <c r="C9" s="8">
        <v>1204700030001</v>
      </c>
      <c r="D9" s="7" t="s">
        <v>17</v>
      </c>
      <c r="E9" s="7" t="s">
        <v>616</v>
      </c>
      <c r="F9" s="7">
        <v>2010</v>
      </c>
      <c r="G9" s="7" t="s">
        <v>19</v>
      </c>
      <c r="H9" s="7" t="s">
        <v>384</v>
      </c>
      <c r="I9" s="8" t="s">
        <v>617</v>
      </c>
      <c r="J9" s="2" t="s">
        <v>1498</v>
      </c>
      <c r="K9" s="2" t="s">
        <v>1548</v>
      </c>
      <c r="L9" s="2" t="s">
        <v>1564</v>
      </c>
      <c r="M9" s="2" t="s">
        <v>1847</v>
      </c>
      <c r="N9" s="10" t="s">
        <v>1848</v>
      </c>
      <c r="O9" s="2"/>
      <c r="P9" s="2"/>
      <c r="Q9" s="2" t="s">
        <v>1716</v>
      </c>
      <c r="V9" s="4" t="s">
        <v>1679</v>
      </c>
    </row>
    <row r="10" spans="1:23" ht="30" customHeight="1" x14ac:dyDescent="0.5">
      <c r="A10" s="7" t="s">
        <v>35</v>
      </c>
      <c r="B10" s="7" t="s">
        <v>841</v>
      </c>
      <c r="C10" s="8">
        <v>1101700010006</v>
      </c>
      <c r="D10" s="7" t="s">
        <v>1551</v>
      </c>
      <c r="E10" s="7" t="s">
        <v>842</v>
      </c>
      <c r="F10" s="7">
        <v>2013</v>
      </c>
      <c r="G10" s="7" t="s">
        <v>19</v>
      </c>
      <c r="H10" s="7" t="s">
        <v>52</v>
      </c>
      <c r="I10" s="8" t="s">
        <v>843</v>
      </c>
      <c r="J10" s="2" t="s">
        <v>1549</v>
      </c>
      <c r="K10" s="2" t="s">
        <v>1548</v>
      </c>
      <c r="L10" s="2" t="s">
        <v>1567</v>
      </c>
      <c r="M10" s="2" t="s">
        <v>1657</v>
      </c>
      <c r="N10" s="10" t="s">
        <v>1658</v>
      </c>
      <c r="O10" s="2"/>
      <c r="P10" s="2" t="s">
        <v>1659</v>
      </c>
      <c r="Q10" s="2" t="s">
        <v>1531</v>
      </c>
      <c r="V10" s="4" t="s">
        <v>1680</v>
      </c>
    </row>
    <row r="11" spans="1:23" ht="30" customHeight="1" x14ac:dyDescent="0.5">
      <c r="A11" s="7" t="s">
        <v>35</v>
      </c>
      <c r="B11" s="7" t="s">
        <v>861</v>
      </c>
      <c r="C11" s="8">
        <v>1101700010006</v>
      </c>
      <c r="D11" s="7" t="s">
        <v>1551</v>
      </c>
      <c r="E11" s="7" t="s">
        <v>862</v>
      </c>
      <c r="F11" s="7">
        <v>2013</v>
      </c>
      <c r="G11" s="7" t="s">
        <v>19</v>
      </c>
      <c r="H11" s="7" t="s">
        <v>52</v>
      </c>
      <c r="I11" s="8" t="s">
        <v>863</v>
      </c>
      <c r="J11" s="2" t="s">
        <v>1549</v>
      </c>
      <c r="K11" s="2" t="s">
        <v>1548</v>
      </c>
      <c r="L11" s="2" t="s">
        <v>1564</v>
      </c>
      <c r="M11" s="2" t="s">
        <v>1810</v>
      </c>
      <c r="N11" s="10" t="s">
        <v>1811</v>
      </c>
      <c r="O11" s="2"/>
      <c r="P11" s="2"/>
      <c r="Q11" s="2" t="s">
        <v>1674</v>
      </c>
      <c r="V11" s="4" t="s">
        <v>1681</v>
      </c>
    </row>
    <row r="12" spans="1:23" ht="30" customHeight="1" x14ac:dyDescent="0.5">
      <c r="A12" s="7" t="s">
        <v>35</v>
      </c>
      <c r="B12" s="7" t="s">
        <v>89</v>
      </c>
      <c r="C12" s="8">
        <v>1101700010006</v>
      </c>
      <c r="D12" s="7" t="s">
        <v>1551</v>
      </c>
      <c r="E12" s="7" t="s">
        <v>90</v>
      </c>
      <c r="F12" s="7">
        <v>2013</v>
      </c>
      <c r="G12" s="7" t="s">
        <v>19</v>
      </c>
      <c r="H12" s="7" t="s">
        <v>52</v>
      </c>
      <c r="I12" s="8" t="s">
        <v>91</v>
      </c>
      <c r="J12" s="2" t="s">
        <v>1525</v>
      </c>
      <c r="K12" s="11" t="s">
        <v>1912</v>
      </c>
      <c r="L12" s="2"/>
      <c r="M12" s="2"/>
      <c r="N12" s="2" t="s">
        <v>1935</v>
      </c>
      <c r="O12" s="2" t="s">
        <v>1921</v>
      </c>
      <c r="P12" s="2" t="s">
        <v>1923</v>
      </c>
      <c r="Q12" s="2" t="s">
        <v>1704</v>
      </c>
      <c r="S12" s="5" t="s">
        <v>1498</v>
      </c>
      <c r="V12" s="4" t="s">
        <v>1682</v>
      </c>
    </row>
    <row r="13" spans="1:23" ht="30" customHeight="1" x14ac:dyDescent="0.5">
      <c r="A13" s="7" t="s">
        <v>35</v>
      </c>
      <c r="B13" s="7" t="s">
        <v>1562</v>
      </c>
      <c r="C13" s="8">
        <v>1106700010003</v>
      </c>
      <c r="D13" s="7" t="s">
        <v>102</v>
      </c>
      <c r="E13" s="7" t="s">
        <v>195</v>
      </c>
      <c r="F13" s="7">
        <v>1981</v>
      </c>
      <c r="G13" s="7" t="s">
        <v>19</v>
      </c>
      <c r="H13" s="7" t="s">
        <v>104</v>
      </c>
      <c r="I13" s="8">
        <v>34631154808228</v>
      </c>
      <c r="J13" s="2" t="s">
        <v>1544</v>
      </c>
      <c r="K13" s="2" t="s">
        <v>1548</v>
      </c>
      <c r="L13" s="2" t="s">
        <v>1567</v>
      </c>
      <c r="M13" s="2" t="s">
        <v>1622</v>
      </c>
      <c r="N13" s="2" t="s">
        <v>1623</v>
      </c>
      <c r="O13" s="2"/>
      <c r="P13" s="2" t="s">
        <v>1477</v>
      </c>
      <c r="Q13" s="2" t="s">
        <v>1693</v>
      </c>
      <c r="S13" s="5" t="s">
        <v>1542</v>
      </c>
      <c r="V13" s="4" t="s">
        <v>1683</v>
      </c>
    </row>
    <row r="14" spans="1:23" ht="30" customHeight="1" x14ac:dyDescent="0.5">
      <c r="A14" s="7" t="s">
        <v>263</v>
      </c>
      <c r="B14" s="7" t="s">
        <v>270</v>
      </c>
      <c r="C14" s="8">
        <v>1303700010001</v>
      </c>
      <c r="D14" s="7" t="s">
        <v>421</v>
      </c>
      <c r="E14" s="7" t="s">
        <v>422</v>
      </c>
      <c r="F14" s="7">
        <v>2010</v>
      </c>
      <c r="G14" s="7" t="s">
        <v>4</v>
      </c>
      <c r="H14" s="7" t="s">
        <v>423</v>
      </c>
      <c r="I14" s="8" t="s">
        <v>424</v>
      </c>
      <c r="J14" s="2" t="s">
        <v>1544</v>
      </c>
      <c r="K14" s="2" t="s">
        <v>1548</v>
      </c>
      <c r="L14" s="2" t="s">
        <v>1613</v>
      </c>
      <c r="M14" s="2" t="s">
        <v>1627</v>
      </c>
      <c r="N14" s="2" t="s">
        <v>1623</v>
      </c>
      <c r="O14" s="2"/>
      <c r="P14" s="2"/>
      <c r="Q14" s="2"/>
      <c r="V14" s="4" t="s">
        <v>1684</v>
      </c>
    </row>
    <row r="15" spans="1:23" ht="30" customHeight="1" x14ac:dyDescent="0.5">
      <c r="A15" s="7" t="s">
        <v>263</v>
      </c>
      <c r="B15" s="7" t="s">
        <v>453</v>
      </c>
      <c r="C15" s="8">
        <v>1105700010006</v>
      </c>
      <c r="D15" s="7" t="s">
        <v>454</v>
      </c>
      <c r="E15" s="7" t="s">
        <v>455</v>
      </c>
      <c r="F15" s="7">
        <v>2010</v>
      </c>
      <c r="G15" s="7" t="s">
        <v>19</v>
      </c>
      <c r="H15" s="7" t="s">
        <v>52</v>
      </c>
      <c r="I15" s="8" t="s">
        <v>456</v>
      </c>
      <c r="J15" s="2" t="s">
        <v>1482</v>
      </c>
      <c r="K15" s="11" t="s">
        <v>1912</v>
      </c>
      <c r="L15" s="2"/>
      <c r="M15" s="2"/>
      <c r="N15" s="2"/>
      <c r="O15" s="2" t="s">
        <v>1978</v>
      </c>
      <c r="P15" s="2"/>
      <c r="Q15" s="2" t="s">
        <v>1699</v>
      </c>
      <c r="V15" s="4" t="s">
        <v>1685</v>
      </c>
    </row>
    <row r="16" spans="1:23" ht="30" customHeight="1" x14ac:dyDescent="0.5">
      <c r="A16" s="7" t="s">
        <v>263</v>
      </c>
      <c r="B16" s="7" t="s">
        <v>632</v>
      </c>
      <c r="C16" s="8">
        <v>1101700010006</v>
      </c>
      <c r="D16" s="7" t="s">
        <v>50</v>
      </c>
      <c r="E16" s="7" t="s">
        <v>637</v>
      </c>
      <c r="F16" s="7">
        <v>2006</v>
      </c>
      <c r="G16" s="7" t="s">
        <v>19</v>
      </c>
      <c r="H16" s="7" t="s">
        <v>52</v>
      </c>
      <c r="I16" s="8" t="s">
        <v>638</v>
      </c>
      <c r="J16" s="2" t="s">
        <v>1544</v>
      </c>
      <c r="K16" s="2" t="s">
        <v>1548</v>
      </c>
      <c r="L16" s="2" t="s">
        <v>1567</v>
      </c>
      <c r="M16" s="2" t="s">
        <v>1626</v>
      </c>
      <c r="N16" s="2" t="s">
        <v>1623</v>
      </c>
      <c r="O16" s="2"/>
      <c r="P16" s="2"/>
      <c r="Q16" s="2"/>
      <c r="V16" s="4" t="s">
        <v>1686</v>
      </c>
    </row>
    <row r="17" spans="1:22" ht="30" customHeight="1" x14ac:dyDescent="0.5">
      <c r="A17" s="7" t="s">
        <v>263</v>
      </c>
      <c r="B17" s="7" t="s">
        <v>632</v>
      </c>
      <c r="C17" s="8">
        <v>1106700010010</v>
      </c>
      <c r="D17" s="7" t="s">
        <v>114</v>
      </c>
      <c r="E17" s="7" t="s">
        <v>673</v>
      </c>
      <c r="F17" s="7">
        <v>2004</v>
      </c>
      <c r="G17" s="7" t="s">
        <v>19</v>
      </c>
      <c r="H17" s="7" t="s">
        <v>56</v>
      </c>
      <c r="I17" s="8" t="s">
        <v>674</v>
      </c>
      <c r="J17" s="2" t="s">
        <v>1544</v>
      </c>
      <c r="K17" s="2" t="s">
        <v>1548</v>
      </c>
      <c r="L17" s="2" t="s">
        <v>1571</v>
      </c>
      <c r="M17" s="2" t="s">
        <v>1625</v>
      </c>
      <c r="N17" s="2" t="s">
        <v>1623</v>
      </c>
      <c r="O17" s="2"/>
      <c r="P17" s="2"/>
      <c r="Q17" s="2"/>
      <c r="V17" s="4" t="s">
        <v>1687</v>
      </c>
    </row>
    <row r="18" spans="1:22" ht="30" customHeight="1" x14ac:dyDescent="0.5">
      <c r="A18" s="7" t="s">
        <v>35</v>
      </c>
      <c r="B18" s="7" t="s">
        <v>765</v>
      </c>
      <c r="C18" s="8">
        <v>1106700020003</v>
      </c>
      <c r="D18" s="7" t="s">
        <v>54</v>
      </c>
      <c r="E18" s="7" t="s">
        <v>768</v>
      </c>
      <c r="F18" s="7">
        <v>2014</v>
      </c>
      <c r="G18" s="7" t="s">
        <v>19</v>
      </c>
      <c r="H18" s="7" t="s">
        <v>52</v>
      </c>
      <c r="I18" s="8" t="s">
        <v>769</v>
      </c>
      <c r="J18" s="2" t="s">
        <v>1518</v>
      </c>
      <c r="K18" s="2" t="s">
        <v>1548</v>
      </c>
      <c r="L18" s="2" t="s">
        <v>1564</v>
      </c>
      <c r="M18" s="2" t="s">
        <v>1654</v>
      </c>
      <c r="N18" s="2" t="s">
        <v>1623</v>
      </c>
      <c r="O18" s="2"/>
      <c r="P18" s="2"/>
      <c r="Q18" s="2" t="s">
        <v>1682</v>
      </c>
      <c r="V18" s="4" t="s">
        <v>1688</v>
      </c>
    </row>
    <row r="19" spans="1:22" ht="30" customHeight="1" x14ac:dyDescent="0.5">
      <c r="A19" s="7" t="s">
        <v>263</v>
      </c>
      <c r="B19" s="7" t="s">
        <v>1225</v>
      </c>
      <c r="C19" s="8">
        <v>1106700020010</v>
      </c>
      <c r="D19" s="7" t="s">
        <v>210</v>
      </c>
      <c r="E19" s="7" t="s">
        <v>1467</v>
      </c>
      <c r="F19" s="7">
        <v>2009</v>
      </c>
      <c r="G19" s="7" t="s">
        <v>19</v>
      </c>
      <c r="H19" s="7" t="s">
        <v>56</v>
      </c>
      <c r="I19" s="8" t="s">
        <v>1365</v>
      </c>
      <c r="J19" s="2" t="s">
        <v>1544</v>
      </c>
      <c r="K19" s="2" t="s">
        <v>1548</v>
      </c>
      <c r="L19" s="2" t="s">
        <v>1564</v>
      </c>
      <c r="M19" s="2" t="s">
        <v>1624</v>
      </c>
      <c r="N19" s="2" t="s">
        <v>1623</v>
      </c>
      <c r="O19" s="2"/>
      <c r="P19" s="2"/>
      <c r="Q19" s="2"/>
      <c r="V19" s="4" t="s">
        <v>1689</v>
      </c>
    </row>
    <row r="20" spans="1:22" ht="30" customHeight="1" x14ac:dyDescent="0.5">
      <c r="A20" s="7" t="s">
        <v>35</v>
      </c>
      <c r="B20" s="7" t="s">
        <v>877</v>
      </c>
      <c r="C20" s="8">
        <v>1101700020004</v>
      </c>
      <c r="D20" s="7" t="s">
        <v>869</v>
      </c>
      <c r="E20" s="7" t="s">
        <v>1458</v>
      </c>
      <c r="F20" s="7">
        <v>2003</v>
      </c>
      <c r="G20" s="7" t="s">
        <v>19</v>
      </c>
      <c r="H20" s="7" t="s">
        <v>52</v>
      </c>
      <c r="I20" s="8" t="s">
        <v>878</v>
      </c>
      <c r="J20" s="2" t="s">
        <v>1549</v>
      </c>
      <c r="K20" s="2" t="s">
        <v>1548</v>
      </c>
      <c r="L20" s="2" t="s">
        <v>1565</v>
      </c>
      <c r="M20" s="2" t="s">
        <v>1636</v>
      </c>
      <c r="N20" s="10" t="s">
        <v>1637</v>
      </c>
      <c r="O20" s="2"/>
      <c r="P20" s="2" t="s">
        <v>1651</v>
      </c>
      <c r="Q20" s="2" t="s">
        <v>1493</v>
      </c>
      <c r="V20" s="4" t="s">
        <v>1690</v>
      </c>
    </row>
    <row r="21" spans="1:22" ht="30" customHeight="1" x14ac:dyDescent="0.5">
      <c r="A21" s="7" t="s">
        <v>35</v>
      </c>
      <c r="B21" s="7" t="s">
        <v>813</v>
      </c>
      <c r="C21" s="8">
        <v>1106700020003</v>
      </c>
      <c r="D21" s="7" t="s">
        <v>54</v>
      </c>
      <c r="E21" s="7" t="s">
        <v>816</v>
      </c>
      <c r="F21" s="7">
        <v>2013</v>
      </c>
      <c r="G21" s="7" t="s">
        <v>19</v>
      </c>
      <c r="H21" s="7" t="s">
        <v>56</v>
      </c>
      <c r="I21" s="8" t="s">
        <v>817</v>
      </c>
      <c r="J21" s="2" t="s">
        <v>1518</v>
      </c>
      <c r="K21" s="2" t="s">
        <v>1548</v>
      </c>
      <c r="L21" s="2" t="s">
        <v>1564</v>
      </c>
      <c r="M21" s="2" t="s">
        <v>1783</v>
      </c>
      <c r="N21" s="2" t="s">
        <v>1825</v>
      </c>
      <c r="O21" s="2"/>
      <c r="P21" s="2"/>
      <c r="Q21" s="2" t="s">
        <v>1681</v>
      </c>
      <c r="V21" s="4" t="s">
        <v>1691</v>
      </c>
    </row>
    <row r="22" spans="1:22" ht="30" customHeight="1" x14ac:dyDescent="0.5">
      <c r="A22" s="7" t="s">
        <v>263</v>
      </c>
      <c r="B22" s="7" t="s">
        <v>1225</v>
      </c>
      <c r="C22" s="8">
        <v>1101700020004</v>
      </c>
      <c r="D22" s="7" t="s">
        <v>869</v>
      </c>
      <c r="E22" s="7" t="s">
        <v>1251</v>
      </c>
      <c r="F22" s="7">
        <v>2003</v>
      </c>
      <c r="G22" s="7" t="s">
        <v>19</v>
      </c>
      <c r="H22" s="7" t="s">
        <v>52</v>
      </c>
      <c r="I22" s="8" t="s">
        <v>1252</v>
      </c>
      <c r="J22" s="2" t="s">
        <v>1544</v>
      </c>
      <c r="K22" s="9" t="s">
        <v>1553</v>
      </c>
      <c r="L22" s="2" t="s">
        <v>1571</v>
      </c>
      <c r="M22" s="2" t="s">
        <v>1972</v>
      </c>
      <c r="N22" s="2" t="s">
        <v>1825</v>
      </c>
      <c r="O22" s="2"/>
      <c r="P22" s="2"/>
      <c r="Q22" s="2" t="s">
        <v>1544</v>
      </c>
      <c r="V22" s="4" t="s">
        <v>1692</v>
      </c>
    </row>
    <row r="23" spans="1:22" ht="30" customHeight="1" x14ac:dyDescent="0.5">
      <c r="A23" s="7" t="s">
        <v>263</v>
      </c>
      <c r="B23" s="7" t="s">
        <v>270</v>
      </c>
      <c r="C23" s="8">
        <v>1105700020001</v>
      </c>
      <c r="D23" s="7" t="s">
        <v>296</v>
      </c>
      <c r="E23" s="7" t="s">
        <v>297</v>
      </c>
      <c r="F23" s="7">
        <v>1998</v>
      </c>
      <c r="G23" s="7" t="s">
        <v>19</v>
      </c>
      <c r="H23" s="7" t="s">
        <v>42</v>
      </c>
      <c r="I23" s="8" t="s">
        <v>298</v>
      </c>
      <c r="J23" s="2" t="s">
        <v>1544</v>
      </c>
      <c r="K23" s="9" t="s">
        <v>1553</v>
      </c>
      <c r="L23" s="2" t="s">
        <v>1571</v>
      </c>
      <c r="M23" s="2" t="s">
        <v>1609</v>
      </c>
      <c r="N23" s="2" t="s">
        <v>1974</v>
      </c>
      <c r="O23" s="2"/>
      <c r="P23" s="2"/>
      <c r="Q23" s="2" t="s">
        <v>1544</v>
      </c>
      <c r="V23" s="4" t="s">
        <v>1693</v>
      </c>
    </row>
    <row r="24" spans="1:22" ht="30" customHeight="1" x14ac:dyDescent="0.5">
      <c r="A24" s="7" t="s">
        <v>35</v>
      </c>
      <c r="B24" s="7" t="s">
        <v>933</v>
      </c>
      <c r="C24" s="8">
        <v>1101700010006</v>
      </c>
      <c r="D24" s="7" t="s">
        <v>1551</v>
      </c>
      <c r="E24" s="7" t="s">
        <v>934</v>
      </c>
      <c r="F24" s="7">
        <v>2013</v>
      </c>
      <c r="G24" s="7" t="s">
        <v>19</v>
      </c>
      <c r="H24" s="7" t="s">
        <v>52</v>
      </c>
      <c r="I24" s="8" t="s">
        <v>935</v>
      </c>
      <c r="J24" s="2" t="s">
        <v>1477</v>
      </c>
      <c r="K24" s="2" t="s">
        <v>1548</v>
      </c>
      <c r="L24" s="2" t="s">
        <v>1564</v>
      </c>
      <c r="M24" s="2" t="s">
        <v>1775</v>
      </c>
      <c r="N24" s="2" t="s">
        <v>1776</v>
      </c>
      <c r="O24" s="2"/>
      <c r="P24" s="2"/>
      <c r="Q24" s="2" t="s">
        <v>1689</v>
      </c>
      <c r="V24" s="4" t="s">
        <v>1694</v>
      </c>
    </row>
    <row r="25" spans="1:22" ht="30" customHeight="1" x14ac:dyDescent="0.5">
      <c r="A25" s="7" t="s">
        <v>263</v>
      </c>
      <c r="B25" s="7" t="s">
        <v>270</v>
      </c>
      <c r="C25" s="8">
        <v>1204700030001</v>
      </c>
      <c r="D25" s="7" t="s">
        <v>17</v>
      </c>
      <c r="E25" s="7" t="s">
        <v>386</v>
      </c>
      <c r="F25" s="7">
        <v>2009</v>
      </c>
      <c r="G25" s="7" t="s">
        <v>19</v>
      </c>
      <c r="H25" s="7" t="s">
        <v>384</v>
      </c>
      <c r="I25" s="8" t="s">
        <v>387</v>
      </c>
      <c r="J25" s="2" t="s">
        <v>1544</v>
      </c>
      <c r="K25" s="2" t="s">
        <v>1548</v>
      </c>
      <c r="L25" s="2" t="s">
        <v>1571</v>
      </c>
      <c r="M25" s="2" t="s">
        <v>1878</v>
      </c>
      <c r="N25" s="10" t="s">
        <v>1879</v>
      </c>
      <c r="O25" s="2"/>
      <c r="P25" s="2"/>
      <c r="Q25" s="2"/>
      <c r="V25" s="4" t="s">
        <v>1695</v>
      </c>
    </row>
    <row r="26" spans="1:22" ht="30" customHeight="1" x14ac:dyDescent="0.5">
      <c r="A26" s="7" t="s">
        <v>35</v>
      </c>
      <c r="B26" s="7" t="s">
        <v>153</v>
      </c>
      <c r="C26" s="8">
        <v>1101700030006</v>
      </c>
      <c r="D26" s="7" t="s">
        <v>1551</v>
      </c>
      <c r="E26" s="7" t="s">
        <v>154</v>
      </c>
      <c r="F26" s="7">
        <v>2012</v>
      </c>
      <c r="G26" s="7" t="s">
        <v>19</v>
      </c>
      <c r="H26" s="7" t="s">
        <v>52</v>
      </c>
      <c r="I26" s="8" t="s">
        <v>155</v>
      </c>
      <c r="J26" s="2" t="s">
        <v>1537</v>
      </c>
      <c r="K26" s="2" t="s">
        <v>1548</v>
      </c>
      <c r="L26" s="2" t="s">
        <v>1567</v>
      </c>
      <c r="M26" s="2" t="s">
        <v>1857</v>
      </c>
      <c r="N26" s="10" t="s">
        <v>1858</v>
      </c>
      <c r="O26" s="2"/>
      <c r="P26" s="2"/>
      <c r="Q26" s="2" t="s">
        <v>1725</v>
      </c>
      <c r="S26" s="5" t="s">
        <v>1525</v>
      </c>
      <c r="V26" s="4" t="s">
        <v>1696</v>
      </c>
    </row>
    <row r="27" spans="1:22" ht="30" customHeight="1" x14ac:dyDescent="0.5">
      <c r="A27" s="7" t="s">
        <v>35</v>
      </c>
      <c r="B27" s="7" t="s">
        <v>973</v>
      </c>
      <c r="C27" s="8">
        <v>1106700010003</v>
      </c>
      <c r="D27" s="7" t="s">
        <v>102</v>
      </c>
      <c r="E27" s="7" t="s">
        <v>976</v>
      </c>
      <c r="F27" s="7">
        <v>1991</v>
      </c>
      <c r="G27" s="7" t="s">
        <v>19</v>
      </c>
      <c r="H27" s="7" t="s">
        <v>104</v>
      </c>
      <c r="I27" s="8" t="s">
        <v>977</v>
      </c>
      <c r="J27" s="2" t="s">
        <v>1531</v>
      </c>
      <c r="K27" s="9" t="s">
        <v>1552</v>
      </c>
      <c r="L27" s="2" t="s">
        <v>1571</v>
      </c>
      <c r="M27" s="2" t="s">
        <v>1940</v>
      </c>
      <c r="N27" s="2" t="s">
        <v>1951</v>
      </c>
      <c r="O27" s="2"/>
      <c r="P27" s="2"/>
      <c r="Q27" s="2" t="s">
        <v>1711</v>
      </c>
      <c r="V27" s="4" t="s">
        <v>1697</v>
      </c>
    </row>
    <row r="28" spans="1:22" ht="30" customHeight="1" x14ac:dyDescent="0.5">
      <c r="A28" s="7" t="s">
        <v>35</v>
      </c>
      <c r="B28" s="7" t="s">
        <v>908</v>
      </c>
      <c r="C28" s="8">
        <v>1106700020003</v>
      </c>
      <c r="D28" s="7" t="s">
        <v>54</v>
      </c>
      <c r="E28" s="7" t="s">
        <v>911</v>
      </c>
      <c r="F28" s="7">
        <v>2014</v>
      </c>
      <c r="G28" s="7" t="s">
        <v>19</v>
      </c>
      <c r="H28" s="7" t="s">
        <v>52</v>
      </c>
      <c r="I28" s="8" t="s">
        <v>912</v>
      </c>
      <c r="J28" s="2" t="s">
        <v>1663</v>
      </c>
      <c r="K28" s="2" t="s">
        <v>1548</v>
      </c>
      <c r="L28" s="2" t="s">
        <v>1567</v>
      </c>
      <c r="M28" s="2" t="s">
        <v>1861</v>
      </c>
      <c r="N28" s="2" t="s">
        <v>1862</v>
      </c>
      <c r="O28" s="2"/>
      <c r="P28" s="2"/>
      <c r="Q28" s="2" t="s">
        <v>1728</v>
      </c>
      <c r="V28" s="4" t="s">
        <v>1698</v>
      </c>
    </row>
    <row r="29" spans="1:22" ht="30" customHeight="1" x14ac:dyDescent="0.5">
      <c r="A29" s="7" t="s">
        <v>35</v>
      </c>
      <c r="B29" s="7" t="s">
        <v>770</v>
      </c>
      <c r="C29" s="8">
        <v>1102700010004</v>
      </c>
      <c r="D29" s="7" t="s">
        <v>64</v>
      </c>
      <c r="E29" s="7" t="s">
        <v>773</v>
      </c>
      <c r="F29" s="7">
        <v>2012</v>
      </c>
      <c r="G29" s="7" t="s">
        <v>19</v>
      </c>
      <c r="H29" s="7" t="s">
        <v>66</v>
      </c>
      <c r="I29" s="8" t="s">
        <v>774</v>
      </c>
      <c r="J29" s="2" t="s">
        <v>1506</v>
      </c>
      <c r="K29" s="2" t="s">
        <v>1548</v>
      </c>
      <c r="L29" s="2" t="s">
        <v>1564</v>
      </c>
      <c r="M29" s="2" t="s">
        <v>1785</v>
      </c>
      <c r="N29" s="10" t="s">
        <v>1786</v>
      </c>
      <c r="O29" s="2"/>
      <c r="P29" s="2"/>
      <c r="Q29" s="2" t="s">
        <v>1695</v>
      </c>
      <c r="V29" s="4" t="s">
        <v>1699</v>
      </c>
    </row>
    <row r="30" spans="1:22" ht="30" customHeight="1" x14ac:dyDescent="0.5">
      <c r="A30" s="7" t="s">
        <v>263</v>
      </c>
      <c r="B30" s="7" t="s">
        <v>1225</v>
      </c>
      <c r="C30" s="8">
        <v>1101700020004</v>
      </c>
      <c r="D30" s="7" t="s">
        <v>869</v>
      </c>
      <c r="E30" s="7" t="s">
        <v>1462</v>
      </c>
      <c r="F30" s="7">
        <v>2004</v>
      </c>
      <c r="G30" s="7" t="s">
        <v>19</v>
      </c>
      <c r="H30" s="7" t="s">
        <v>52</v>
      </c>
      <c r="I30" s="8" t="s">
        <v>1255</v>
      </c>
      <c r="J30" s="2" t="s">
        <v>1544</v>
      </c>
      <c r="K30" s="9" t="s">
        <v>1552</v>
      </c>
      <c r="L30" s="2" t="s">
        <v>1571</v>
      </c>
      <c r="M30" s="2" t="s">
        <v>1940</v>
      </c>
      <c r="N30" s="2" t="s">
        <v>1944</v>
      </c>
      <c r="O30" s="2"/>
      <c r="P30" s="2"/>
      <c r="Q30" s="2" t="s">
        <v>1544</v>
      </c>
      <c r="V30" s="4" t="s">
        <v>1700</v>
      </c>
    </row>
    <row r="31" spans="1:22" ht="30" customHeight="1" x14ac:dyDescent="0.5">
      <c r="A31" s="7" t="s">
        <v>263</v>
      </c>
      <c r="B31" s="7" t="s">
        <v>632</v>
      </c>
      <c r="C31" s="8">
        <v>1105700080001</v>
      </c>
      <c r="D31" s="7" t="s">
        <v>302</v>
      </c>
      <c r="E31" s="7" t="s">
        <v>652</v>
      </c>
      <c r="F31" s="7">
        <v>2015</v>
      </c>
      <c r="G31" s="7" t="s">
        <v>19</v>
      </c>
      <c r="H31" s="7" t="s">
        <v>304</v>
      </c>
      <c r="I31" s="8" t="s">
        <v>653</v>
      </c>
      <c r="J31" s="2" t="s">
        <v>1549</v>
      </c>
      <c r="K31" s="2" t="s">
        <v>1548</v>
      </c>
      <c r="L31" s="2" t="s">
        <v>1565</v>
      </c>
      <c r="M31" s="2" t="s">
        <v>1578</v>
      </c>
      <c r="N31" s="10" t="s">
        <v>1579</v>
      </c>
      <c r="O31" s="2"/>
      <c r="P31" s="2"/>
      <c r="Q31" s="2"/>
      <c r="V31" s="4" t="s">
        <v>1701</v>
      </c>
    </row>
    <row r="32" spans="1:22" ht="30" customHeight="1" x14ac:dyDescent="0.5">
      <c r="A32" s="7" t="s">
        <v>263</v>
      </c>
      <c r="B32" s="7" t="s">
        <v>1225</v>
      </c>
      <c r="C32" s="8">
        <v>1106700020003</v>
      </c>
      <c r="D32" s="7" t="s">
        <v>54</v>
      </c>
      <c r="E32" s="7" t="s">
        <v>1353</v>
      </c>
      <c r="F32" s="7">
        <v>2013</v>
      </c>
      <c r="G32" s="7" t="s">
        <v>19</v>
      </c>
      <c r="H32" s="7" t="s">
        <v>56</v>
      </c>
      <c r="I32" s="8" t="s">
        <v>1354</v>
      </c>
      <c r="J32" s="2" t="s">
        <v>1544</v>
      </c>
      <c r="K32" s="2" t="s">
        <v>1548</v>
      </c>
      <c r="L32" s="2" t="s">
        <v>1564</v>
      </c>
      <c r="M32" s="2" t="s">
        <v>1586</v>
      </c>
      <c r="N32" s="2" t="s">
        <v>1587</v>
      </c>
      <c r="O32" s="2"/>
      <c r="P32" s="2"/>
      <c r="Q32" s="2"/>
      <c r="V32" s="4" t="s">
        <v>1702</v>
      </c>
    </row>
    <row r="33" spans="1:22" ht="30" customHeight="1" x14ac:dyDescent="0.5">
      <c r="A33" s="7" t="s">
        <v>263</v>
      </c>
      <c r="B33" s="7" t="s">
        <v>465</v>
      </c>
      <c r="C33" s="8">
        <v>1204700010003</v>
      </c>
      <c r="D33" s="7" t="s">
        <v>96</v>
      </c>
      <c r="E33" s="7" t="s">
        <v>475</v>
      </c>
      <c r="F33" s="7">
        <v>2009</v>
      </c>
      <c r="G33" s="7" t="s">
        <v>19</v>
      </c>
      <c r="H33" s="7" t="s">
        <v>10</v>
      </c>
      <c r="I33" s="8" t="s">
        <v>476</v>
      </c>
      <c r="J33" s="2" t="s">
        <v>1471</v>
      </c>
      <c r="K33" s="2" t="s">
        <v>1548</v>
      </c>
      <c r="L33" s="2" t="s">
        <v>1571</v>
      </c>
      <c r="M33" s="2" t="s">
        <v>1731</v>
      </c>
      <c r="N33" s="10" t="s">
        <v>1843</v>
      </c>
      <c r="O33" s="2"/>
      <c r="P33" s="2" t="s">
        <v>1666</v>
      </c>
      <c r="Q33" s="2" t="s">
        <v>1671</v>
      </c>
      <c r="V33" s="4" t="s">
        <v>1703</v>
      </c>
    </row>
    <row r="34" spans="1:22" ht="30" customHeight="1" x14ac:dyDescent="0.5">
      <c r="A34" s="7" t="s">
        <v>35</v>
      </c>
      <c r="B34" s="7" t="s">
        <v>881</v>
      </c>
      <c r="C34" s="8">
        <v>1106700020003</v>
      </c>
      <c r="D34" s="7" t="s">
        <v>54</v>
      </c>
      <c r="E34" s="7" t="s">
        <v>884</v>
      </c>
      <c r="F34" s="7">
        <v>1983</v>
      </c>
      <c r="G34" s="7" t="s">
        <v>19</v>
      </c>
      <c r="H34" s="7" t="s">
        <v>56</v>
      </c>
      <c r="I34" s="8">
        <v>3430154805270</v>
      </c>
      <c r="J34" s="2" t="s">
        <v>1498</v>
      </c>
      <c r="K34" s="2" t="s">
        <v>1548</v>
      </c>
      <c r="L34" s="2" t="s">
        <v>1564</v>
      </c>
      <c r="M34" s="2" t="s">
        <v>1842</v>
      </c>
      <c r="N34" s="10" t="s">
        <v>1843</v>
      </c>
      <c r="O34" s="2"/>
      <c r="P34" s="2" t="s">
        <v>1844</v>
      </c>
      <c r="Q34" s="2" t="s">
        <v>1718</v>
      </c>
      <c r="V34" s="4" t="s">
        <v>1704</v>
      </c>
    </row>
    <row r="35" spans="1:22" ht="30" customHeight="1" x14ac:dyDescent="0.5">
      <c r="A35" s="7" t="s">
        <v>263</v>
      </c>
      <c r="B35" s="7" t="s">
        <v>632</v>
      </c>
      <c r="C35" s="8">
        <v>1102700010004</v>
      </c>
      <c r="D35" s="7" t="s">
        <v>64</v>
      </c>
      <c r="E35" s="7" t="s">
        <v>646</v>
      </c>
      <c r="F35" s="7">
        <v>2008</v>
      </c>
      <c r="G35" s="7" t="s">
        <v>19</v>
      </c>
      <c r="H35" s="7" t="s">
        <v>42</v>
      </c>
      <c r="I35" s="8" t="s">
        <v>647</v>
      </c>
      <c r="J35" s="2" t="s">
        <v>1544</v>
      </c>
      <c r="K35" s="2" t="s">
        <v>1548</v>
      </c>
      <c r="L35" s="2" t="s">
        <v>1571</v>
      </c>
      <c r="M35" s="2" t="s">
        <v>1580</v>
      </c>
      <c r="N35" s="10" t="s">
        <v>1581</v>
      </c>
      <c r="O35" s="2"/>
      <c r="P35" s="2"/>
      <c r="Q35" s="2"/>
      <c r="V35" s="4" t="s">
        <v>1705</v>
      </c>
    </row>
    <row r="36" spans="1:22" ht="30" customHeight="1" x14ac:dyDescent="0.5">
      <c r="A36" s="7" t="s">
        <v>35</v>
      </c>
      <c r="B36" s="7" t="s">
        <v>49</v>
      </c>
      <c r="C36" s="8">
        <v>1101700010006</v>
      </c>
      <c r="D36" s="7" t="s">
        <v>1551</v>
      </c>
      <c r="E36" s="7" t="s">
        <v>51</v>
      </c>
      <c r="F36" s="7">
        <v>2013</v>
      </c>
      <c r="G36" s="7" t="s">
        <v>19</v>
      </c>
      <c r="H36" s="7" t="s">
        <v>52</v>
      </c>
      <c r="I36" s="8" t="s">
        <v>53</v>
      </c>
      <c r="J36" s="2" t="s">
        <v>1663</v>
      </c>
      <c r="K36" s="2" t="s">
        <v>1548</v>
      </c>
      <c r="L36" s="2" t="s">
        <v>1570</v>
      </c>
      <c r="M36" s="2" t="s">
        <v>1819</v>
      </c>
      <c r="N36" s="2" t="s">
        <v>1737</v>
      </c>
      <c r="O36" s="2"/>
      <c r="P36" s="2"/>
      <c r="Q36" s="2" t="s">
        <v>1675</v>
      </c>
      <c r="S36" s="5" t="s">
        <v>1484</v>
      </c>
      <c r="V36" s="4" t="s">
        <v>1706</v>
      </c>
    </row>
    <row r="37" spans="1:22" ht="30" customHeight="1" x14ac:dyDescent="0.5">
      <c r="A37" s="7" t="s">
        <v>263</v>
      </c>
      <c r="B37" s="7" t="s">
        <v>1560</v>
      </c>
      <c r="C37" s="8">
        <v>1106700020003</v>
      </c>
      <c r="D37" s="7" t="s">
        <v>54</v>
      </c>
      <c r="E37" s="7" t="s">
        <v>331</v>
      </c>
      <c r="F37" s="7">
        <v>2015</v>
      </c>
      <c r="G37" s="7" t="s">
        <v>19</v>
      </c>
      <c r="H37" s="7" t="s">
        <v>56</v>
      </c>
      <c r="I37" s="8" t="s">
        <v>332</v>
      </c>
      <c r="J37" s="2" t="s">
        <v>1477</v>
      </c>
      <c r="K37" s="11" t="s">
        <v>1912</v>
      </c>
      <c r="L37" s="2"/>
      <c r="M37" s="2"/>
      <c r="N37" s="2" t="s">
        <v>1737</v>
      </c>
      <c r="O37" s="2" t="s">
        <v>1932</v>
      </c>
      <c r="P37" s="2" t="s">
        <v>1916</v>
      </c>
      <c r="Q37" s="2" t="s">
        <v>1693</v>
      </c>
      <c r="V37" s="4" t="s">
        <v>1707</v>
      </c>
    </row>
    <row r="38" spans="1:22" ht="30" customHeight="1" x14ac:dyDescent="0.5">
      <c r="A38" s="7" t="s">
        <v>35</v>
      </c>
      <c r="B38" s="7" t="s">
        <v>908</v>
      </c>
      <c r="C38" s="8">
        <v>1101700010006</v>
      </c>
      <c r="D38" s="7" t="s">
        <v>1551</v>
      </c>
      <c r="E38" s="7" t="s">
        <v>909</v>
      </c>
      <c r="F38" s="7">
        <v>2013</v>
      </c>
      <c r="G38" s="7" t="s">
        <v>19</v>
      </c>
      <c r="H38" s="7" t="s">
        <v>52</v>
      </c>
      <c r="I38" s="8" t="s">
        <v>910</v>
      </c>
      <c r="J38" s="2" t="s">
        <v>1537</v>
      </c>
      <c r="K38" s="11" t="s">
        <v>1912</v>
      </c>
      <c r="L38" s="2"/>
      <c r="M38" s="2"/>
      <c r="N38" s="2" t="s">
        <v>1737</v>
      </c>
      <c r="O38" s="2" t="s">
        <v>1935</v>
      </c>
      <c r="P38" s="2" t="s">
        <v>1913</v>
      </c>
      <c r="Q38" s="2" t="s">
        <v>1728</v>
      </c>
      <c r="V38" s="4" t="s">
        <v>1708</v>
      </c>
    </row>
    <row r="39" spans="1:22" ht="30" customHeight="1" x14ac:dyDescent="0.5">
      <c r="A39" s="7" t="s">
        <v>35</v>
      </c>
      <c r="B39" s="7" t="s">
        <v>973</v>
      </c>
      <c r="C39" s="8">
        <v>1101700010006</v>
      </c>
      <c r="D39" s="7" t="s">
        <v>1551</v>
      </c>
      <c r="E39" s="7" t="s">
        <v>974</v>
      </c>
      <c r="F39" s="7">
        <v>2014</v>
      </c>
      <c r="G39" s="7" t="s">
        <v>19</v>
      </c>
      <c r="H39" s="7" t="s">
        <v>52</v>
      </c>
      <c r="I39" s="8" t="s">
        <v>975</v>
      </c>
      <c r="J39" s="2" t="s">
        <v>1531</v>
      </c>
      <c r="K39" s="2" t="s">
        <v>1548</v>
      </c>
      <c r="L39" s="2" t="s">
        <v>1615</v>
      </c>
      <c r="M39" s="2" t="s">
        <v>1736</v>
      </c>
      <c r="N39" s="2" t="s">
        <v>1737</v>
      </c>
      <c r="O39" s="2"/>
      <c r="P39" s="2"/>
      <c r="Q39" s="2" t="s">
        <v>1670</v>
      </c>
      <c r="V39" s="4" t="s">
        <v>1709</v>
      </c>
    </row>
    <row r="40" spans="1:22" ht="30" customHeight="1" x14ac:dyDescent="0.5">
      <c r="A40" s="7" t="s">
        <v>35</v>
      </c>
      <c r="B40" s="7" t="s">
        <v>131</v>
      </c>
      <c r="C40" s="8">
        <v>1101700010006</v>
      </c>
      <c r="D40" s="7" t="s">
        <v>50</v>
      </c>
      <c r="E40" s="7" t="s">
        <v>132</v>
      </c>
      <c r="F40" s="7">
        <v>2004</v>
      </c>
      <c r="G40" s="7" t="s">
        <v>19</v>
      </c>
      <c r="H40" s="7" t="s">
        <v>52</v>
      </c>
      <c r="I40" s="8" t="s">
        <v>133</v>
      </c>
      <c r="J40" s="2" t="s">
        <v>1544</v>
      </c>
      <c r="K40" s="9" t="s">
        <v>1552</v>
      </c>
      <c r="L40" s="2" t="s">
        <v>1564</v>
      </c>
      <c r="M40" s="2" t="s">
        <v>1588</v>
      </c>
      <c r="N40" s="2" t="s">
        <v>1973</v>
      </c>
      <c r="O40" s="2"/>
      <c r="P40" s="2"/>
      <c r="Q40" s="2" t="s">
        <v>1544</v>
      </c>
      <c r="S40" s="5" t="s">
        <v>1516</v>
      </c>
      <c r="V40" s="4" t="s">
        <v>1710</v>
      </c>
    </row>
    <row r="41" spans="1:22" ht="30" customHeight="1" x14ac:dyDescent="0.5">
      <c r="A41" s="7" t="s">
        <v>35</v>
      </c>
      <c r="B41" s="7" t="s">
        <v>72</v>
      </c>
      <c r="C41" s="8">
        <v>1101700010006</v>
      </c>
      <c r="D41" s="7" t="s">
        <v>1551</v>
      </c>
      <c r="E41" s="7" t="s">
        <v>73</v>
      </c>
      <c r="F41" s="7">
        <v>2013</v>
      </c>
      <c r="G41" s="7" t="s">
        <v>19</v>
      </c>
      <c r="H41" s="7" t="s">
        <v>52</v>
      </c>
      <c r="I41" s="8" t="s">
        <v>74</v>
      </c>
      <c r="J41" s="2" t="s">
        <v>1506</v>
      </c>
      <c r="K41" s="2" t="s">
        <v>1548</v>
      </c>
      <c r="L41" s="2" t="s">
        <v>1569</v>
      </c>
      <c r="M41" s="2" t="s">
        <v>1787</v>
      </c>
      <c r="N41" s="2" t="s">
        <v>1600</v>
      </c>
      <c r="O41" s="2"/>
      <c r="P41" s="2"/>
      <c r="Q41" s="2" t="s">
        <v>1698</v>
      </c>
      <c r="S41" s="5" t="s">
        <v>1492</v>
      </c>
      <c r="V41" s="4" t="s">
        <v>1660</v>
      </c>
    </row>
    <row r="42" spans="1:22" ht="30" customHeight="1" x14ac:dyDescent="0.5">
      <c r="A42" s="7" t="s">
        <v>263</v>
      </c>
      <c r="B42" s="7" t="s">
        <v>632</v>
      </c>
      <c r="C42" s="8">
        <v>1105700010001</v>
      </c>
      <c r="D42" s="7" t="s">
        <v>290</v>
      </c>
      <c r="E42" s="7" t="s">
        <v>648</v>
      </c>
      <c r="F42" s="7">
        <v>2006</v>
      </c>
      <c r="G42" s="7" t="s">
        <v>19</v>
      </c>
      <c r="H42" s="7" t="s">
        <v>355</v>
      </c>
      <c r="I42" s="8" t="s">
        <v>649</v>
      </c>
      <c r="J42" s="2" t="s">
        <v>1518</v>
      </c>
      <c r="K42" s="2" t="s">
        <v>1548</v>
      </c>
      <c r="L42" s="2" t="s">
        <v>1569</v>
      </c>
      <c r="M42" s="2" t="s">
        <v>1599</v>
      </c>
      <c r="N42" s="2" t="s">
        <v>1600</v>
      </c>
      <c r="O42" s="2"/>
      <c r="P42" s="2" t="s">
        <v>1635</v>
      </c>
      <c r="Q42" s="2"/>
      <c r="V42" s="4" t="s">
        <v>1670</v>
      </c>
    </row>
    <row r="43" spans="1:22" ht="30" customHeight="1" x14ac:dyDescent="0.5">
      <c r="A43" s="7" t="s">
        <v>263</v>
      </c>
      <c r="B43" s="7" t="s">
        <v>1225</v>
      </c>
      <c r="C43" s="8">
        <v>1106700020003</v>
      </c>
      <c r="D43" s="7" t="s">
        <v>54</v>
      </c>
      <c r="E43" s="7" t="s">
        <v>1359</v>
      </c>
      <c r="F43" s="7">
        <v>2003</v>
      </c>
      <c r="G43" s="7" t="s">
        <v>19</v>
      </c>
      <c r="H43" s="7" t="s">
        <v>56</v>
      </c>
      <c r="I43" s="8" t="s">
        <v>1360</v>
      </c>
      <c r="J43" s="2" t="s">
        <v>1544</v>
      </c>
      <c r="K43" s="2" t="s">
        <v>1548</v>
      </c>
      <c r="L43" s="2" t="s">
        <v>1564</v>
      </c>
      <c r="M43" s="2" t="s">
        <v>1601</v>
      </c>
      <c r="N43" s="10" t="s">
        <v>1602</v>
      </c>
      <c r="O43" s="2"/>
      <c r="P43" s="2"/>
      <c r="Q43" s="2"/>
      <c r="V43" s="4" t="s">
        <v>1711</v>
      </c>
    </row>
    <row r="44" spans="1:22" ht="30" customHeight="1" x14ac:dyDescent="0.5">
      <c r="A44" s="7" t="s">
        <v>263</v>
      </c>
      <c r="B44" s="7" t="s">
        <v>552</v>
      </c>
      <c r="C44" s="8">
        <v>1104700010001</v>
      </c>
      <c r="D44" s="7" t="s">
        <v>245</v>
      </c>
      <c r="E44" s="7" t="s">
        <v>553</v>
      </c>
      <c r="F44" s="7">
        <v>2005</v>
      </c>
      <c r="G44" s="7" t="s">
        <v>19</v>
      </c>
      <c r="H44" s="7" t="s">
        <v>5</v>
      </c>
      <c r="I44" s="8" t="s">
        <v>554</v>
      </c>
      <c r="J44" s="2" t="s">
        <v>1493</v>
      </c>
      <c r="K44" s="2" t="s">
        <v>1548</v>
      </c>
      <c r="L44" s="2" t="s">
        <v>1613</v>
      </c>
      <c r="M44" s="2" t="s">
        <v>1613</v>
      </c>
      <c r="N44" s="2" t="s">
        <v>1650</v>
      </c>
      <c r="O44" s="2"/>
      <c r="P44" s="2"/>
      <c r="Q44" s="2"/>
      <c r="V44" s="4" t="s">
        <v>1712</v>
      </c>
    </row>
    <row r="45" spans="1:22" ht="30" customHeight="1" x14ac:dyDescent="0.5">
      <c r="A45" s="7" t="s">
        <v>263</v>
      </c>
      <c r="B45" s="7" t="s">
        <v>632</v>
      </c>
      <c r="C45" s="8">
        <v>1106700020003</v>
      </c>
      <c r="D45" s="7" t="s">
        <v>54</v>
      </c>
      <c r="E45" s="7" t="s">
        <v>675</v>
      </c>
      <c r="F45" s="7">
        <v>2013</v>
      </c>
      <c r="G45" s="7" t="s">
        <v>19</v>
      </c>
      <c r="H45" s="7" t="s">
        <v>56</v>
      </c>
      <c r="I45" s="8" t="s">
        <v>676</v>
      </c>
      <c r="J45" s="2" t="s">
        <v>1471</v>
      </c>
      <c r="K45" s="2" t="s">
        <v>1548</v>
      </c>
      <c r="L45" s="2" t="s">
        <v>1571</v>
      </c>
      <c r="M45" s="2" t="s">
        <v>1813</v>
      </c>
      <c r="N45" s="2" t="s">
        <v>1621</v>
      </c>
      <c r="O45" s="2"/>
      <c r="P45" s="2" t="s">
        <v>1814</v>
      </c>
      <c r="Q45" s="2" t="s">
        <v>1675</v>
      </c>
      <c r="V45" s="4" t="s">
        <v>1713</v>
      </c>
    </row>
    <row r="46" spans="1:22" ht="30" customHeight="1" x14ac:dyDescent="0.5">
      <c r="A46" s="7" t="s">
        <v>263</v>
      </c>
      <c r="B46" s="7" t="s">
        <v>632</v>
      </c>
      <c r="C46" s="8">
        <v>1207700040006</v>
      </c>
      <c r="D46" s="7" t="s">
        <v>709</v>
      </c>
      <c r="E46" s="7" t="s">
        <v>710</v>
      </c>
      <c r="F46" s="7">
        <v>2013</v>
      </c>
      <c r="G46" s="7" t="s">
        <v>19</v>
      </c>
      <c r="H46" s="7" t="s">
        <v>397</v>
      </c>
      <c r="I46" s="8" t="s">
        <v>711</v>
      </c>
      <c r="J46" s="2" t="s">
        <v>1544</v>
      </c>
      <c r="K46" s="2" t="s">
        <v>1548</v>
      </c>
      <c r="L46" s="2" t="s">
        <v>1564</v>
      </c>
      <c r="M46" s="2" t="s">
        <v>1620</v>
      </c>
      <c r="N46" s="2" t="s">
        <v>1621</v>
      </c>
      <c r="O46" s="2"/>
      <c r="P46" s="2"/>
      <c r="Q46" s="2"/>
      <c r="V46" s="4" t="s">
        <v>1714</v>
      </c>
    </row>
    <row r="47" spans="1:22" ht="30" customHeight="1" x14ac:dyDescent="0.5">
      <c r="A47" s="7" t="s">
        <v>263</v>
      </c>
      <c r="B47" s="7" t="s">
        <v>1219</v>
      </c>
      <c r="C47" s="8">
        <v>1106700010003</v>
      </c>
      <c r="D47" s="7" t="s">
        <v>102</v>
      </c>
      <c r="E47" s="7" t="s">
        <v>1220</v>
      </c>
      <c r="F47" s="7">
        <v>1991</v>
      </c>
      <c r="G47" s="7" t="s">
        <v>19</v>
      </c>
      <c r="H47" s="7" t="s">
        <v>104</v>
      </c>
      <c r="I47" s="8" t="s">
        <v>1221</v>
      </c>
      <c r="J47" s="2" t="s">
        <v>1525</v>
      </c>
      <c r="K47" s="11" t="s">
        <v>1912</v>
      </c>
      <c r="L47" s="2"/>
      <c r="M47" s="2"/>
      <c r="N47" s="2" t="s">
        <v>1621</v>
      </c>
      <c r="O47" s="2" t="s">
        <v>1921</v>
      </c>
      <c r="P47" s="2" t="s">
        <v>1927</v>
      </c>
      <c r="Q47" s="2" t="s">
        <v>1707</v>
      </c>
      <c r="V47" s="4" t="s">
        <v>1656</v>
      </c>
    </row>
    <row r="48" spans="1:22" ht="30" customHeight="1" x14ac:dyDescent="0.5">
      <c r="A48" s="7" t="s">
        <v>35</v>
      </c>
      <c r="B48" s="7" t="s">
        <v>787</v>
      </c>
      <c r="C48" s="8">
        <v>1101700010006</v>
      </c>
      <c r="D48" s="7" t="s">
        <v>1551</v>
      </c>
      <c r="E48" s="7" t="s">
        <v>788</v>
      </c>
      <c r="F48" s="7">
        <v>2012</v>
      </c>
      <c r="G48" s="7" t="s">
        <v>19</v>
      </c>
      <c r="H48" s="7" t="s">
        <v>52</v>
      </c>
      <c r="I48" s="8" t="s">
        <v>789</v>
      </c>
      <c r="J48" s="2" t="s">
        <v>1477</v>
      </c>
      <c r="K48" s="2" t="s">
        <v>1548</v>
      </c>
      <c r="L48" s="2" t="s">
        <v>1564</v>
      </c>
      <c r="M48" s="2" t="s">
        <v>1772</v>
      </c>
      <c r="N48" s="2" t="s">
        <v>1773</v>
      </c>
      <c r="O48" s="2"/>
      <c r="P48" s="2"/>
      <c r="Q48" s="2" t="s">
        <v>1692</v>
      </c>
      <c r="V48" s="4" t="s">
        <v>1715</v>
      </c>
    </row>
    <row r="49" spans="1:22" ht="30" customHeight="1" x14ac:dyDescent="0.5">
      <c r="A49" s="7" t="s">
        <v>263</v>
      </c>
      <c r="B49" s="7" t="s">
        <v>552</v>
      </c>
      <c r="C49" s="8">
        <v>1204700010003</v>
      </c>
      <c r="D49" s="7" t="s">
        <v>96</v>
      </c>
      <c r="E49" s="7" t="s">
        <v>560</v>
      </c>
      <c r="F49" s="7">
        <v>2006</v>
      </c>
      <c r="G49" s="7" t="s">
        <v>19</v>
      </c>
      <c r="H49" s="7" t="s">
        <v>10</v>
      </c>
      <c r="I49" s="8" t="s">
        <v>561</v>
      </c>
      <c r="J49" s="2" t="s">
        <v>1493</v>
      </c>
      <c r="K49" s="2" t="s">
        <v>1548</v>
      </c>
      <c r="L49" s="2" t="s">
        <v>1564</v>
      </c>
      <c r="M49" s="2" t="s">
        <v>1894</v>
      </c>
      <c r="N49" s="10" t="s">
        <v>1895</v>
      </c>
      <c r="O49" s="2"/>
      <c r="P49" s="2"/>
      <c r="Q49" s="2" t="s">
        <v>1712</v>
      </c>
      <c r="V49" s="4" t="s">
        <v>1716</v>
      </c>
    </row>
    <row r="50" spans="1:22" ht="30" customHeight="1" x14ac:dyDescent="0.5">
      <c r="A50" s="7" t="s">
        <v>263</v>
      </c>
      <c r="B50" s="7" t="s">
        <v>270</v>
      </c>
      <c r="C50" s="8">
        <v>1106700010010</v>
      </c>
      <c r="D50" s="7" t="s">
        <v>114</v>
      </c>
      <c r="E50" s="7" t="s">
        <v>327</v>
      </c>
      <c r="F50" s="7">
        <v>2005</v>
      </c>
      <c r="G50" s="7" t="s">
        <v>19</v>
      </c>
      <c r="H50" s="7" t="s">
        <v>104</v>
      </c>
      <c r="I50" s="8" t="s">
        <v>328</v>
      </c>
      <c r="J50" s="2" t="s">
        <v>1544</v>
      </c>
      <c r="K50" s="9" t="s">
        <v>1553</v>
      </c>
      <c r="L50" s="2" t="s">
        <v>1566</v>
      </c>
      <c r="M50" s="2" t="s">
        <v>1969</v>
      </c>
      <c r="N50" s="2" t="s">
        <v>1970</v>
      </c>
      <c r="O50" s="2"/>
      <c r="P50" s="2"/>
      <c r="Q50" s="2" t="s">
        <v>1544</v>
      </c>
      <c r="V50" s="4" t="s">
        <v>1717</v>
      </c>
    </row>
    <row r="51" spans="1:22" ht="30" customHeight="1" x14ac:dyDescent="0.5">
      <c r="A51" s="7" t="s">
        <v>263</v>
      </c>
      <c r="B51" s="7" t="s">
        <v>430</v>
      </c>
      <c r="C51" s="8">
        <v>1106700010003</v>
      </c>
      <c r="D51" s="7" t="s">
        <v>102</v>
      </c>
      <c r="E51" s="7" t="s">
        <v>442</v>
      </c>
      <c r="F51" s="7">
        <v>1989</v>
      </c>
      <c r="G51" s="7" t="s">
        <v>19</v>
      </c>
      <c r="H51" s="7" t="s">
        <v>104</v>
      </c>
      <c r="I51" s="8">
        <v>34600155410132</v>
      </c>
      <c r="J51" s="2" t="s">
        <v>1506</v>
      </c>
      <c r="K51" s="2" t="s">
        <v>1548</v>
      </c>
      <c r="L51" s="2" t="s">
        <v>1564</v>
      </c>
      <c r="M51" s="2" t="s">
        <v>1797</v>
      </c>
      <c r="N51" s="2" t="s">
        <v>1798</v>
      </c>
      <c r="O51" s="2"/>
      <c r="P51" s="2"/>
      <c r="Q51" s="2" t="s">
        <v>1698</v>
      </c>
      <c r="V51" s="4" t="s">
        <v>1718</v>
      </c>
    </row>
    <row r="52" spans="1:22" ht="30" customHeight="1" x14ac:dyDescent="0.5">
      <c r="A52" s="7" t="s">
        <v>263</v>
      </c>
      <c r="B52" s="7" t="s">
        <v>1225</v>
      </c>
      <c r="C52" s="8">
        <v>1201700020002</v>
      </c>
      <c r="D52" s="7" t="s">
        <v>1375</v>
      </c>
      <c r="E52" s="7" t="s">
        <v>1385</v>
      </c>
      <c r="F52" s="7">
        <v>2015</v>
      </c>
      <c r="G52" s="7" t="s">
        <v>19</v>
      </c>
      <c r="H52" s="7" t="s">
        <v>1377</v>
      </c>
      <c r="I52" s="8" t="s">
        <v>1386</v>
      </c>
      <c r="J52" s="2" t="s">
        <v>1482</v>
      </c>
      <c r="K52" s="2" t="s">
        <v>1548</v>
      </c>
      <c r="L52" s="2" t="s">
        <v>1571</v>
      </c>
      <c r="M52" s="2" t="s">
        <v>1835</v>
      </c>
      <c r="N52" s="10" t="s">
        <v>1836</v>
      </c>
      <c r="O52" s="2"/>
      <c r="P52" s="2" t="s">
        <v>1814</v>
      </c>
      <c r="Q52" s="2" t="s">
        <v>1676</v>
      </c>
      <c r="V52" s="4" t="s">
        <v>1719</v>
      </c>
    </row>
    <row r="53" spans="1:22" ht="30" customHeight="1" x14ac:dyDescent="0.5">
      <c r="A53" s="7" t="s">
        <v>263</v>
      </c>
      <c r="B53" s="7" t="s">
        <v>485</v>
      </c>
      <c r="C53" s="8">
        <v>1204700010003</v>
      </c>
      <c r="D53" s="7" t="s">
        <v>96</v>
      </c>
      <c r="E53" s="7" t="s">
        <v>494</v>
      </c>
      <c r="F53" s="7">
        <v>2009</v>
      </c>
      <c r="G53" s="7" t="s">
        <v>19</v>
      </c>
      <c r="H53" s="7" t="s">
        <v>10</v>
      </c>
      <c r="I53" s="8" t="s">
        <v>495</v>
      </c>
      <c r="J53" s="2" t="s">
        <v>1518</v>
      </c>
      <c r="K53" s="2" t="s">
        <v>1548</v>
      </c>
      <c r="L53" s="2" t="s">
        <v>1564</v>
      </c>
      <c r="M53" s="2" t="s">
        <v>1897</v>
      </c>
      <c r="N53" s="2" t="s">
        <v>1791</v>
      </c>
      <c r="O53" s="2"/>
      <c r="P53" s="2"/>
      <c r="Q53" s="2" t="s">
        <v>1681</v>
      </c>
      <c r="V53" s="4" t="s">
        <v>1720</v>
      </c>
    </row>
    <row r="54" spans="1:22" ht="30" customHeight="1" x14ac:dyDescent="0.5">
      <c r="A54" s="7" t="s">
        <v>35</v>
      </c>
      <c r="B54" s="7" t="s">
        <v>776</v>
      </c>
      <c r="C54" s="8">
        <v>1106700020003</v>
      </c>
      <c r="D54" s="7" t="s">
        <v>54</v>
      </c>
      <c r="E54" s="7" t="s">
        <v>781</v>
      </c>
      <c r="F54" s="7">
        <v>2013</v>
      </c>
      <c r="G54" s="7" t="s">
        <v>19</v>
      </c>
      <c r="H54" s="7" t="s">
        <v>56</v>
      </c>
      <c r="I54" s="8" t="s">
        <v>782</v>
      </c>
      <c r="J54" s="2" t="s">
        <v>1662</v>
      </c>
      <c r="K54" s="2" t="s">
        <v>1548</v>
      </c>
      <c r="L54" s="2" t="s">
        <v>1564</v>
      </c>
      <c r="M54" s="2" t="s">
        <v>1790</v>
      </c>
      <c r="N54" s="2" t="s">
        <v>1791</v>
      </c>
      <c r="O54" s="2"/>
      <c r="P54" s="2"/>
      <c r="Q54" s="2" t="s">
        <v>1696</v>
      </c>
      <c r="V54" s="4" t="s">
        <v>1721</v>
      </c>
    </row>
    <row r="55" spans="1:22" ht="30" customHeight="1" x14ac:dyDescent="0.5">
      <c r="A55" s="7" t="s">
        <v>263</v>
      </c>
      <c r="B55" s="7" t="s">
        <v>1225</v>
      </c>
      <c r="C55" s="8">
        <v>1105700100001</v>
      </c>
      <c r="D55" s="7" t="s">
        <v>311</v>
      </c>
      <c r="E55" s="7" t="s">
        <v>1319</v>
      </c>
      <c r="F55" s="7">
        <v>2015</v>
      </c>
      <c r="G55" s="7" t="s">
        <v>19</v>
      </c>
      <c r="H55" s="7" t="s">
        <v>236</v>
      </c>
      <c r="I55" s="8" t="s">
        <v>1320</v>
      </c>
      <c r="J55" s="2" t="s">
        <v>1487</v>
      </c>
      <c r="K55" s="2" t="s">
        <v>1548</v>
      </c>
      <c r="L55" s="2" t="s">
        <v>1613</v>
      </c>
      <c r="M55" s="2" t="s">
        <v>1613</v>
      </c>
      <c r="N55" s="2" t="s">
        <v>1760</v>
      </c>
      <c r="O55" s="2"/>
      <c r="P55" s="2" t="s">
        <v>1761</v>
      </c>
      <c r="Q55" s="2" t="s">
        <v>1699</v>
      </c>
      <c r="V55" s="4" t="s">
        <v>1652</v>
      </c>
    </row>
    <row r="56" spans="1:22" ht="30" customHeight="1" x14ac:dyDescent="0.5">
      <c r="A56" s="7" t="s">
        <v>35</v>
      </c>
      <c r="B56" s="7" t="s">
        <v>1417</v>
      </c>
      <c r="C56" s="8">
        <v>1106700020003</v>
      </c>
      <c r="D56" s="7" t="s">
        <v>54</v>
      </c>
      <c r="E56" s="7" t="s">
        <v>1450</v>
      </c>
      <c r="F56" s="7">
        <v>2013</v>
      </c>
      <c r="G56" s="7" t="s">
        <v>19</v>
      </c>
      <c r="H56" s="7" t="s">
        <v>56</v>
      </c>
      <c r="I56" s="8" t="s">
        <v>1422</v>
      </c>
      <c r="J56" s="2" t="s">
        <v>1549</v>
      </c>
      <c r="K56" s="2" t="s">
        <v>1548</v>
      </c>
      <c r="L56" s="2" t="s">
        <v>1564</v>
      </c>
      <c r="M56" s="2" t="s">
        <v>1795</v>
      </c>
      <c r="N56" s="2" t="s">
        <v>1796</v>
      </c>
      <c r="O56" s="2"/>
      <c r="P56" s="2"/>
      <c r="Q56" s="2" t="s">
        <v>1698</v>
      </c>
      <c r="V56" s="4" t="s">
        <v>1722</v>
      </c>
    </row>
    <row r="57" spans="1:22" ht="30" customHeight="1" x14ac:dyDescent="0.5">
      <c r="A57" s="7" t="s">
        <v>263</v>
      </c>
      <c r="B57" s="7" t="s">
        <v>1225</v>
      </c>
      <c r="C57" s="8">
        <v>1101700010006</v>
      </c>
      <c r="D57" s="7" t="s">
        <v>50</v>
      </c>
      <c r="E57" s="7" t="s">
        <v>1446</v>
      </c>
      <c r="F57" s="7">
        <v>2003</v>
      </c>
      <c r="G57" s="7" t="s">
        <v>19</v>
      </c>
      <c r="H57" s="7" t="s">
        <v>52</v>
      </c>
      <c r="I57" s="8" t="s">
        <v>1238</v>
      </c>
      <c r="J57" s="2" t="s">
        <v>1544</v>
      </c>
      <c r="K57" s="9" t="s">
        <v>1553</v>
      </c>
      <c r="L57" s="2" t="s">
        <v>1567</v>
      </c>
      <c r="M57" s="2" t="s">
        <v>1959</v>
      </c>
      <c r="N57" s="2" t="s">
        <v>1960</v>
      </c>
      <c r="O57" s="2"/>
      <c r="P57" s="2"/>
      <c r="Q57" s="2" t="s">
        <v>1544</v>
      </c>
      <c r="V57" s="4" t="s">
        <v>1723</v>
      </c>
    </row>
    <row r="58" spans="1:22" ht="30" customHeight="1" x14ac:dyDescent="0.5">
      <c r="A58" s="7" t="s">
        <v>263</v>
      </c>
      <c r="B58" s="7" t="s">
        <v>509</v>
      </c>
      <c r="C58" s="8">
        <v>1104700020001</v>
      </c>
      <c r="D58" s="7" t="s">
        <v>431</v>
      </c>
      <c r="E58" s="7" t="s">
        <v>512</v>
      </c>
      <c r="F58" s="7">
        <v>2012</v>
      </c>
      <c r="G58" s="7" t="s">
        <v>433</v>
      </c>
      <c r="H58" s="7" t="s">
        <v>236</v>
      </c>
      <c r="I58" s="8" t="s">
        <v>513</v>
      </c>
      <c r="J58" s="2" t="s">
        <v>1477</v>
      </c>
      <c r="K58" s="2" t="s">
        <v>1548</v>
      </c>
      <c r="L58" s="2" t="s">
        <v>1565</v>
      </c>
      <c r="M58" s="2" t="s">
        <v>1770</v>
      </c>
      <c r="N58" s="2" t="s">
        <v>1771</v>
      </c>
      <c r="O58" s="2"/>
      <c r="P58" s="2"/>
      <c r="Q58" s="2" t="s">
        <v>1689</v>
      </c>
      <c r="V58" s="4" t="s">
        <v>1724</v>
      </c>
    </row>
    <row r="59" spans="1:22" ht="30" customHeight="1" x14ac:dyDescent="0.5">
      <c r="A59" s="7" t="s">
        <v>263</v>
      </c>
      <c r="B59" s="7" t="s">
        <v>270</v>
      </c>
      <c r="C59" s="8">
        <v>1102700010004</v>
      </c>
      <c r="D59" s="7" t="s">
        <v>64</v>
      </c>
      <c r="E59" s="7" t="s">
        <v>284</v>
      </c>
      <c r="F59" s="7">
        <v>2010</v>
      </c>
      <c r="G59" s="7" t="s">
        <v>19</v>
      </c>
      <c r="H59" s="7" t="s">
        <v>42</v>
      </c>
      <c r="I59" s="8" t="s">
        <v>285</v>
      </c>
      <c r="J59" s="2" t="s">
        <v>1477</v>
      </c>
      <c r="K59" s="2" t="s">
        <v>1548</v>
      </c>
      <c r="L59" s="2" t="s">
        <v>1565</v>
      </c>
      <c r="M59" s="2" t="s">
        <v>1764</v>
      </c>
      <c r="N59" s="10" t="s">
        <v>1765</v>
      </c>
      <c r="O59" s="2"/>
      <c r="P59" s="2"/>
      <c r="Q59" s="2" t="s">
        <v>1690</v>
      </c>
      <c r="V59" s="4" t="s">
        <v>1725</v>
      </c>
    </row>
    <row r="60" spans="1:22" ht="30" customHeight="1" x14ac:dyDescent="0.5">
      <c r="A60" s="7" t="s">
        <v>35</v>
      </c>
      <c r="B60" s="7" t="s">
        <v>89</v>
      </c>
      <c r="C60" s="8">
        <v>1106700020003</v>
      </c>
      <c r="D60" s="7" t="s">
        <v>54</v>
      </c>
      <c r="E60" s="7" t="s">
        <v>92</v>
      </c>
      <c r="F60" s="7">
        <v>2013</v>
      </c>
      <c r="G60" s="7" t="s">
        <v>19</v>
      </c>
      <c r="H60" s="7" t="s">
        <v>56</v>
      </c>
      <c r="I60" s="8" t="s">
        <v>93</v>
      </c>
      <c r="J60" s="2" t="s">
        <v>1544</v>
      </c>
      <c r="K60" s="2" t="s">
        <v>1548</v>
      </c>
      <c r="L60" s="2" t="s">
        <v>1559</v>
      </c>
      <c r="M60" s="2" t="s">
        <v>1559</v>
      </c>
      <c r="N60" s="10" t="s">
        <v>1863</v>
      </c>
      <c r="O60" s="2"/>
      <c r="P60" s="2"/>
      <c r="Q60" s="2" t="s">
        <v>1704</v>
      </c>
      <c r="S60" s="5" t="s">
        <v>1499</v>
      </c>
      <c r="V60" s="4" t="s">
        <v>1726</v>
      </c>
    </row>
    <row r="61" spans="1:22" ht="30" customHeight="1" x14ac:dyDescent="0.5">
      <c r="A61" s="7" t="s">
        <v>263</v>
      </c>
      <c r="B61" s="7" t="s">
        <v>270</v>
      </c>
      <c r="C61" s="8">
        <v>1105700090001</v>
      </c>
      <c r="D61" s="7" t="s">
        <v>308</v>
      </c>
      <c r="E61" s="7" t="s">
        <v>309</v>
      </c>
      <c r="F61" s="7">
        <v>2011</v>
      </c>
      <c r="G61" s="7" t="s">
        <v>19</v>
      </c>
      <c r="H61" s="7" t="s">
        <v>66</v>
      </c>
      <c r="I61" s="8" t="s">
        <v>310</v>
      </c>
      <c r="J61" s="2" t="s">
        <v>1544</v>
      </c>
      <c r="K61" s="11" t="s">
        <v>1912</v>
      </c>
      <c r="L61" s="2"/>
      <c r="M61" s="2"/>
      <c r="N61" s="10"/>
      <c r="O61" s="2" t="s">
        <v>1979</v>
      </c>
      <c r="P61" s="2" t="s">
        <v>1980</v>
      </c>
      <c r="Q61" s="2" t="s">
        <v>1544</v>
      </c>
      <c r="V61" s="4" t="s">
        <v>1727</v>
      </c>
    </row>
    <row r="62" spans="1:22" ht="30" customHeight="1" x14ac:dyDescent="0.5">
      <c r="A62" s="7" t="s">
        <v>263</v>
      </c>
      <c r="B62" s="7" t="s">
        <v>270</v>
      </c>
      <c r="C62" s="8">
        <v>1105700100001</v>
      </c>
      <c r="D62" s="7" t="s">
        <v>311</v>
      </c>
      <c r="E62" s="7" t="s">
        <v>312</v>
      </c>
      <c r="F62" s="7">
        <v>2010</v>
      </c>
      <c r="G62" s="7" t="s">
        <v>19</v>
      </c>
      <c r="H62" s="7" t="s">
        <v>236</v>
      </c>
      <c r="I62" s="8" t="s">
        <v>313</v>
      </c>
      <c r="J62" s="2" t="s">
        <v>1661</v>
      </c>
      <c r="K62" s="2" t="s">
        <v>1548</v>
      </c>
      <c r="L62" s="2" t="s">
        <v>1571</v>
      </c>
      <c r="M62" s="2" t="s">
        <v>1664</v>
      </c>
      <c r="N62" s="10" t="s">
        <v>1665</v>
      </c>
      <c r="O62" s="2"/>
      <c r="P62" s="2" t="s">
        <v>1666</v>
      </c>
      <c r="Q62" s="2" t="s">
        <v>1531</v>
      </c>
      <c r="V62" s="4" t="s">
        <v>1728</v>
      </c>
    </row>
    <row r="63" spans="1:22" ht="30" customHeight="1" x14ac:dyDescent="0.5">
      <c r="A63" s="7" t="s">
        <v>263</v>
      </c>
      <c r="B63" s="7" t="s">
        <v>632</v>
      </c>
      <c r="C63" s="8">
        <v>1105700150001</v>
      </c>
      <c r="D63" s="7" t="s">
        <v>317</v>
      </c>
      <c r="E63" s="7" t="s">
        <v>658</v>
      </c>
      <c r="F63" s="7">
        <v>2010</v>
      </c>
      <c r="G63" s="7" t="s">
        <v>19</v>
      </c>
      <c r="H63" s="7" t="s">
        <v>42</v>
      </c>
      <c r="I63" s="8" t="s">
        <v>659</v>
      </c>
      <c r="J63" s="2" t="s">
        <v>1487</v>
      </c>
      <c r="K63" s="2" t="s">
        <v>1548</v>
      </c>
      <c r="L63" s="2" t="s">
        <v>1571</v>
      </c>
      <c r="M63" s="2" t="s">
        <v>1759</v>
      </c>
      <c r="N63" s="2" t="s">
        <v>1751</v>
      </c>
      <c r="O63" s="2"/>
      <c r="P63" s="2" t="s">
        <v>1634</v>
      </c>
      <c r="Q63" s="2" t="s">
        <v>1699</v>
      </c>
      <c r="V63" s="4" t="s">
        <v>1729</v>
      </c>
    </row>
    <row r="64" spans="1:22" ht="30" customHeight="1" x14ac:dyDescent="0.5">
      <c r="A64" s="7" t="s">
        <v>35</v>
      </c>
      <c r="B64" s="7" t="s">
        <v>753</v>
      </c>
      <c r="C64" s="8">
        <v>1101700010006</v>
      </c>
      <c r="D64" s="7" t="s">
        <v>1551</v>
      </c>
      <c r="E64" s="7" t="s">
        <v>754</v>
      </c>
      <c r="F64" s="7">
        <v>2015</v>
      </c>
      <c r="G64" s="7" t="s">
        <v>19</v>
      </c>
      <c r="H64" s="7" t="s">
        <v>52</v>
      </c>
      <c r="I64" s="8" t="s">
        <v>755</v>
      </c>
      <c r="J64" s="2" t="s">
        <v>1513</v>
      </c>
      <c r="K64" s="2" t="s">
        <v>1548</v>
      </c>
      <c r="L64" s="2" t="s">
        <v>1571</v>
      </c>
      <c r="M64" s="2" t="s">
        <v>1609</v>
      </c>
      <c r="N64" s="2" t="s">
        <v>1751</v>
      </c>
      <c r="O64" s="2"/>
      <c r="P64" s="2" t="s">
        <v>1634</v>
      </c>
      <c r="Q64" s="2" t="s">
        <v>1652</v>
      </c>
      <c r="V64" s="4" t="s">
        <v>1730</v>
      </c>
    </row>
    <row r="65" spans="1:22" ht="30" customHeight="1" x14ac:dyDescent="0.5">
      <c r="A65" s="7" t="s">
        <v>35</v>
      </c>
      <c r="B65" s="7" t="s">
        <v>61</v>
      </c>
      <c r="C65" s="8">
        <v>1101700010006</v>
      </c>
      <c r="D65" s="7" t="s">
        <v>1551</v>
      </c>
      <c r="E65" s="7" t="s">
        <v>62</v>
      </c>
      <c r="F65" s="7">
        <v>2013</v>
      </c>
      <c r="G65" s="7" t="s">
        <v>19</v>
      </c>
      <c r="H65" s="7" t="s">
        <v>52</v>
      </c>
      <c r="I65" s="8" t="s">
        <v>63</v>
      </c>
      <c r="J65" s="2" t="s">
        <v>1549</v>
      </c>
      <c r="K65" s="2" t="s">
        <v>1548</v>
      </c>
      <c r="L65" s="2" t="s">
        <v>1564</v>
      </c>
      <c r="M65" s="2" t="s">
        <v>1831</v>
      </c>
      <c r="N65" s="2" t="s">
        <v>1832</v>
      </c>
      <c r="O65" s="2"/>
      <c r="P65" s="2"/>
      <c r="Q65" s="2" t="s">
        <v>1685</v>
      </c>
      <c r="S65" s="5" t="s">
        <v>1488</v>
      </c>
      <c r="V65" s="5" t="s">
        <v>1471</v>
      </c>
    </row>
    <row r="66" spans="1:22" ht="30" customHeight="1" x14ac:dyDescent="0.5">
      <c r="A66" s="7" t="s">
        <v>35</v>
      </c>
      <c r="B66" s="7" t="s">
        <v>1199</v>
      </c>
      <c r="C66" s="8">
        <v>1205700030009</v>
      </c>
      <c r="D66" s="7" t="s">
        <v>1213</v>
      </c>
      <c r="E66" s="7" t="s">
        <v>1214</v>
      </c>
      <c r="F66" s="7">
        <v>2013</v>
      </c>
      <c r="G66" s="7" t="s">
        <v>19</v>
      </c>
      <c r="H66" s="7" t="s">
        <v>236</v>
      </c>
      <c r="I66" s="8" t="s">
        <v>1215</v>
      </c>
      <c r="J66" s="2" t="s">
        <v>1549</v>
      </c>
      <c r="K66" s="2" t="s">
        <v>1548</v>
      </c>
      <c r="L66" s="2" t="s">
        <v>1565</v>
      </c>
      <c r="M66" s="2" t="s">
        <v>1802</v>
      </c>
      <c r="N66" s="10" t="s">
        <v>1803</v>
      </c>
      <c r="O66" s="2"/>
      <c r="P66" s="2" t="s">
        <v>1804</v>
      </c>
      <c r="Q66" s="2" t="s">
        <v>1493</v>
      </c>
      <c r="V66" s="5"/>
    </row>
    <row r="67" spans="1:22" ht="30" customHeight="1" x14ac:dyDescent="0.5">
      <c r="A67" s="7" t="s">
        <v>263</v>
      </c>
      <c r="B67" s="7" t="s">
        <v>1225</v>
      </c>
      <c r="C67" s="8">
        <v>1102700010004</v>
      </c>
      <c r="D67" s="7" t="s">
        <v>64</v>
      </c>
      <c r="E67" s="7" t="s">
        <v>1276</v>
      </c>
      <c r="F67" s="7">
        <v>2008</v>
      </c>
      <c r="G67" s="7" t="s">
        <v>19</v>
      </c>
      <c r="H67" s="7" t="s">
        <v>42</v>
      </c>
      <c r="I67" s="8" t="s">
        <v>1277</v>
      </c>
      <c r="J67" s="2" t="s">
        <v>1544</v>
      </c>
      <c r="K67" s="9" t="s">
        <v>1553</v>
      </c>
      <c r="L67" s="2" t="s">
        <v>1564</v>
      </c>
      <c r="M67" s="2" t="s">
        <v>1948</v>
      </c>
      <c r="N67" s="2" t="s">
        <v>1949</v>
      </c>
      <c r="O67" s="2"/>
      <c r="P67" s="2"/>
      <c r="Q67" s="2" t="s">
        <v>1544</v>
      </c>
      <c r="V67" s="5" t="s">
        <v>1472</v>
      </c>
    </row>
    <row r="68" spans="1:22" ht="30" customHeight="1" x14ac:dyDescent="0.5">
      <c r="A68" s="7" t="s">
        <v>263</v>
      </c>
      <c r="B68" s="7" t="s">
        <v>632</v>
      </c>
      <c r="C68" s="8">
        <v>1106700010003</v>
      </c>
      <c r="D68" s="7" t="s">
        <v>102</v>
      </c>
      <c r="E68" s="7" t="s">
        <v>666</v>
      </c>
      <c r="F68" s="7">
        <v>1988</v>
      </c>
      <c r="G68" s="7" t="s">
        <v>19</v>
      </c>
      <c r="H68" s="7" t="s">
        <v>104</v>
      </c>
      <c r="I68" s="8">
        <v>33208955346001</v>
      </c>
      <c r="J68" s="2" t="s">
        <v>1493</v>
      </c>
      <c r="K68" s="2" t="s">
        <v>1548</v>
      </c>
      <c r="L68" s="2" t="s">
        <v>1567</v>
      </c>
      <c r="M68" s="2" t="s">
        <v>1648</v>
      </c>
      <c r="N68" s="2" t="s">
        <v>1608</v>
      </c>
      <c r="O68" s="2"/>
      <c r="P68" s="2" t="s">
        <v>1653</v>
      </c>
      <c r="Q68" s="2" t="s">
        <v>1493</v>
      </c>
      <c r="V68" s="5" t="s">
        <v>1473</v>
      </c>
    </row>
    <row r="69" spans="1:22" ht="30" customHeight="1" x14ac:dyDescent="0.5">
      <c r="A69" s="7" t="s">
        <v>263</v>
      </c>
      <c r="B69" s="7" t="s">
        <v>1225</v>
      </c>
      <c r="C69" s="8">
        <v>1108700020001</v>
      </c>
      <c r="D69" s="7" t="s">
        <v>683</v>
      </c>
      <c r="E69" s="7" t="s">
        <v>1373</v>
      </c>
      <c r="F69" s="7">
        <v>2015</v>
      </c>
      <c r="G69" s="7" t="s">
        <v>19</v>
      </c>
      <c r="H69" s="7" t="s">
        <v>358</v>
      </c>
      <c r="I69" s="8" t="s">
        <v>1374</v>
      </c>
      <c r="J69" s="2" t="s">
        <v>1544</v>
      </c>
      <c r="K69" s="2" t="s">
        <v>1548</v>
      </c>
      <c r="L69" s="2" t="s">
        <v>1615</v>
      </c>
      <c r="M69" s="2" t="s">
        <v>1607</v>
      </c>
      <c r="N69" s="2" t="s">
        <v>1608</v>
      </c>
      <c r="O69" s="2"/>
      <c r="P69" s="2"/>
      <c r="Q69" s="2"/>
      <c r="V69" s="5" t="s">
        <v>1474</v>
      </c>
    </row>
    <row r="70" spans="1:22" ht="30" customHeight="1" x14ac:dyDescent="0.5">
      <c r="A70" s="7" t="s">
        <v>945</v>
      </c>
      <c r="B70" s="7" t="s">
        <v>1178</v>
      </c>
      <c r="C70" s="8">
        <v>1204700020009</v>
      </c>
      <c r="D70" s="7" t="s">
        <v>29</v>
      </c>
      <c r="E70" s="7" t="s">
        <v>1185</v>
      </c>
      <c r="F70" s="7">
        <v>2016</v>
      </c>
      <c r="G70" s="7" t="s">
        <v>19</v>
      </c>
      <c r="H70" s="7" t="s">
        <v>261</v>
      </c>
      <c r="I70" s="8" t="s">
        <v>1186</v>
      </c>
      <c r="J70" s="2" t="s">
        <v>1477</v>
      </c>
      <c r="K70" s="2" t="s">
        <v>1548</v>
      </c>
      <c r="L70" s="2" t="s">
        <v>1564</v>
      </c>
      <c r="M70" s="2" t="s">
        <v>1777</v>
      </c>
      <c r="N70" s="2" t="s">
        <v>1778</v>
      </c>
      <c r="O70" s="2"/>
      <c r="P70" s="2"/>
      <c r="Q70" s="2" t="s">
        <v>1689</v>
      </c>
      <c r="V70" s="5" t="s">
        <v>1475</v>
      </c>
    </row>
    <row r="71" spans="1:22" ht="30" customHeight="1" x14ac:dyDescent="0.5">
      <c r="A71" s="7" t="s">
        <v>35</v>
      </c>
      <c r="B71" s="7" t="s">
        <v>806</v>
      </c>
      <c r="C71" s="8">
        <v>1101700010006</v>
      </c>
      <c r="D71" s="7" t="s">
        <v>1551</v>
      </c>
      <c r="E71" s="7" t="s">
        <v>807</v>
      </c>
      <c r="F71" s="7">
        <v>2014</v>
      </c>
      <c r="G71" s="7" t="s">
        <v>19</v>
      </c>
      <c r="H71" s="7" t="s">
        <v>52</v>
      </c>
      <c r="I71" s="8" t="s">
        <v>808</v>
      </c>
      <c r="J71" s="2" t="s">
        <v>1482</v>
      </c>
      <c r="K71" s="2" t="s">
        <v>1548</v>
      </c>
      <c r="L71" s="2" t="s">
        <v>1559</v>
      </c>
      <c r="M71" s="2" t="s">
        <v>1559</v>
      </c>
      <c r="N71" s="10" t="s">
        <v>1834</v>
      </c>
      <c r="O71" s="2"/>
      <c r="P71" s="2"/>
      <c r="Q71" s="2" t="s">
        <v>1676</v>
      </c>
      <c r="V71" s="5" t="s">
        <v>1476</v>
      </c>
    </row>
    <row r="72" spans="1:22" ht="30" customHeight="1" x14ac:dyDescent="0.5">
      <c r="A72" s="7" t="s">
        <v>35</v>
      </c>
      <c r="B72" s="7" t="s">
        <v>229</v>
      </c>
      <c r="C72" s="8">
        <v>1101700030005</v>
      </c>
      <c r="D72" s="7" t="s">
        <v>230</v>
      </c>
      <c r="E72" s="7" t="s">
        <v>233</v>
      </c>
      <c r="F72" s="7">
        <v>2003</v>
      </c>
      <c r="G72" s="7" t="s">
        <v>19</v>
      </c>
      <c r="H72" s="7" t="s">
        <v>52</v>
      </c>
      <c r="I72" s="8" t="s">
        <v>234</v>
      </c>
      <c r="J72" s="2" t="s">
        <v>1543</v>
      </c>
      <c r="K72" s="9" t="s">
        <v>1553</v>
      </c>
      <c r="L72" s="2" t="s">
        <v>1571</v>
      </c>
      <c r="M72" s="2" t="s">
        <v>1609</v>
      </c>
      <c r="N72" s="2" t="s">
        <v>1952</v>
      </c>
      <c r="O72" s="2"/>
      <c r="P72" s="2"/>
      <c r="Q72" s="2" t="s">
        <v>1686</v>
      </c>
      <c r="V72" s="5" t="s">
        <v>1477</v>
      </c>
    </row>
    <row r="73" spans="1:22" ht="30" customHeight="1" x14ac:dyDescent="0.5">
      <c r="A73" s="7" t="s">
        <v>263</v>
      </c>
      <c r="B73" s="7" t="s">
        <v>1225</v>
      </c>
      <c r="C73" s="8">
        <v>1101700010006</v>
      </c>
      <c r="D73" s="7" t="s">
        <v>1551</v>
      </c>
      <c r="E73" s="7" t="s">
        <v>1236</v>
      </c>
      <c r="F73" s="7">
        <v>2010</v>
      </c>
      <c r="G73" s="7" t="s">
        <v>19</v>
      </c>
      <c r="H73" s="7" t="s">
        <v>52</v>
      </c>
      <c r="I73" s="8" t="s">
        <v>1237</v>
      </c>
      <c r="J73" s="2" t="s">
        <v>1544</v>
      </c>
      <c r="K73" s="2" t="s">
        <v>1548</v>
      </c>
      <c r="L73" s="2" t="s">
        <v>1567</v>
      </c>
      <c r="M73" s="2" t="s">
        <v>1605</v>
      </c>
      <c r="N73" s="2" t="s">
        <v>1606</v>
      </c>
      <c r="O73" s="2"/>
      <c r="P73" s="2"/>
      <c r="Q73" s="2"/>
      <c r="V73" s="5" t="s">
        <v>1554</v>
      </c>
    </row>
    <row r="74" spans="1:22" ht="30" customHeight="1" x14ac:dyDescent="0.5">
      <c r="A74" s="7" t="s">
        <v>263</v>
      </c>
      <c r="B74" s="7" t="s">
        <v>1225</v>
      </c>
      <c r="C74" s="8">
        <v>1101700010006</v>
      </c>
      <c r="D74" s="7" t="s">
        <v>1551</v>
      </c>
      <c r="E74" s="7" t="s">
        <v>1245</v>
      </c>
      <c r="F74" s="7">
        <v>2013</v>
      </c>
      <c r="G74" s="7" t="s">
        <v>19</v>
      </c>
      <c r="H74" s="7" t="s">
        <v>52</v>
      </c>
      <c r="I74" s="8" t="s">
        <v>1246</v>
      </c>
      <c r="J74" s="2" t="s">
        <v>1544</v>
      </c>
      <c r="K74" s="2" t="s">
        <v>1548</v>
      </c>
      <c r="L74" s="2" t="s">
        <v>1564</v>
      </c>
      <c r="M74" s="2" t="s">
        <v>1596</v>
      </c>
      <c r="N74" s="10" t="s">
        <v>1597</v>
      </c>
      <c r="O74" s="2"/>
      <c r="P74" s="2"/>
      <c r="Q74" s="2"/>
      <c r="V74" s="5" t="s">
        <v>1478</v>
      </c>
    </row>
    <row r="75" spans="1:22" ht="30" customHeight="1" x14ac:dyDescent="0.5">
      <c r="A75" s="7" t="s">
        <v>263</v>
      </c>
      <c r="B75" s="7" t="s">
        <v>485</v>
      </c>
      <c r="C75" s="8">
        <v>1105700010002</v>
      </c>
      <c r="D75" s="7" t="s">
        <v>293</v>
      </c>
      <c r="E75" s="7" t="s">
        <v>490</v>
      </c>
      <c r="F75" s="7">
        <v>2008</v>
      </c>
      <c r="G75" s="7" t="s">
        <v>19</v>
      </c>
      <c r="H75" s="7" t="s">
        <v>42</v>
      </c>
      <c r="I75" s="8" t="s">
        <v>491</v>
      </c>
      <c r="J75" s="2" t="s">
        <v>1518</v>
      </c>
      <c r="K75" s="2" t="s">
        <v>1548</v>
      </c>
      <c r="L75" s="2" t="s">
        <v>1564</v>
      </c>
      <c r="M75" s="2" t="s">
        <v>1822</v>
      </c>
      <c r="N75" s="10" t="s">
        <v>1823</v>
      </c>
      <c r="O75" s="2"/>
      <c r="P75" s="2"/>
      <c r="Q75" s="2" t="s">
        <v>1681</v>
      </c>
      <c r="V75" s="5" t="s">
        <v>1479</v>
      </c>
    </row>
    <row r="76" spans="1:22" ht="30" customHeight="1" x14ac:dyDescent="0.5">
      <c r="A76" s="7" t="s">
        <v>263</v>
      </c>
      <c r="B76" s="7" t="s">
        <v>1225</v>
      </c>
      <c r="C76" s="8">
        <v>1108700020001</v>
      </c>
      <c r="D76" s="7" t="s">
        <v>683</v>
      </c>
      <c r="E76" s="7" t="s">
        <v>1371</v>
      </c>
      <c r="F76" s="7">
        <v>1980</v>
      </c>
      <c r="G76" s="7" t="s">
        <v>19</v>
      </c>
      <c r="H76" s="7" t="s">
        <v>358</v>
      </c>
      <c r="I76" s="8">
        <v>1359</v>
      </c>
      <c r="J76" s="2" t="s">
        <v>1544</v>
      </c>
      <c r="K76" s="9" t="s">
        <v>1552</v>
      </c>
      <c r="L76" s="2" t="s">
        <v>1571</v>
      </c>
      <c r="M76" s="2" t="s">
        <v>1940</v>
      </c>
      <c r="N76" s="2" t="s">
        <v>1942</v>
      </c>
      <c r="O76" s="2"/>
      <c r="P76" s="2"/>
      <c r="Q76" s="2" t="s">
        <v>1544</v>
      </c>
      <c r="V76" s="5" t="s">
        <v>1480</v>
      </c>
    </row>
    <row r="77" spans="1:22" ht="30" customHeight="1" x14ac:dyDescent="0.5">
      <c r="A77" s="7" t="s">
        <v>263</v>
      </c>
      <c r="B77" s="7" t="s">
        <v>1225</v>
      </c>
      <c r="C77" s="8">
        <v>1108700020001</v>
      </c>
      <c r="D77" s="7" t="s">
        <v>683</v>
      </c>
      <c r="E77" s="7" t="s">
        <v>1372</v>
      </c>
      <c r="F77" s="7">
        <v>1980</v>
      </c>
      <c r="G77" s="7" t="s">
        <v>19</v>
      </c>
      <c r="H77" s="7" t="s">
        <v>358</v>
      </c>
      <c r="I77" s="8">
        <v>60474</v>
      </c>
      <c r="J77" s="2" t="s">
        <v>1476</v>
      </c>
      <c r="K77" s="9" t="s">
        <v>1552</v>
      </c>
      <c r="L77" s="2" t="s">
        <v>1571</v>
      </c>
      <c r="M77" s="2" t="s">
        <v>1940</v>
      </c>
      <c r="N77" s="2" t="s">
        <v>1942</v>
      </c>
      <c r="O77" s="2"/>
      <c r="P77" s="2"/>
      <c r="Q77" s="2" t="s">
        <v>1544</v>
      </c>
      <c r="V77" s="5" t="s">
        <v>1481</v>
      </c>
    </row>
    <row r="78" spans="1:22" ht="30" customHeight="1" x14ac:dyDescent="0.5">
      <c r="A78" s="7" t="s">
        <v>263</v>
      </c>
      <c r="B78" s="7" t="s">
        <v>632</v>
      </c>
      <c r="C78" s="8">
        <v>1106700020003</v>
      </c>
      <c r="D78" s="7" t="s">
        <v>54</v>
      </c>
      <c r="E78" s="7" t="s">
        <v>1444</v>
      </c>
      <c r="F78" s="7">
        <v>2011</v>
      </c>
      <c r="G78" s="7" t="s">
        <v>19</v>
      </c>
      <c r="H78" s="7" t="s">
        <v>56</v>
      </c>
      <c r="I78" s="8" t="s">
        <v>679</v>
      </c>
      <c r="J78" s="2" t="s">
        <v>1513</v>
      </c>
      <c r="K78" s="2" t="s">
        <v>1548</v>
      </c>
      <c r="L78" s="2" t="s">
        <v>1570</v>
      </c>
      <c r="M78" s="2" t="s">
        <v>1749</v>
      </c>
      <c r="N78" s="2" t="s">
        <v>1750</v>
      </c>
      <c r="O78" s="2"/>
      <c r="P78" s="2"/>
      <c r="Q78" s="2" t="s">
        <v>1723</v>
      </c>
      <c r="V78" s="5" t="s">
        <v>1482</v>
      </c>
    </row>
    <row r="79" spans="1:22" ht="30" customHeight="1" x14ac:dyDescent="0.5">
      <c r="A79" s="7" t="s">
        <v>35</v>
      </c>
      <c r="B79" s="7" t="s">
        <v>881</v>
      </c>
      <c r="C79" s="8">
        <v>1106700020003</v>
      </c>
      <c r="D79" s="7" t="s">
        <v>54</v>
      </c>
      <c r="E79" s="7" t="s">
        <v>885</v>
      </c>
      <c r="F79" s="7">
        <v>2014</v>
      </c>
      <c r="G79" s="7" t="s">
        <v>19</v>
      </c>
      <c r="H79" s="7" t="s">
        <v>56</v>
      </c>
      <c r="I79" s="8" t="s">
        <v>886</v>
      </c>
      <c r="J79" s="2" t="s">
        <v>1498</v>
      </c>
      <c r="K79" s="2" t="s">
        <v>1548</v>
      </c>
      <c r="L79" s="2" t="s">
        <v>1615</v>
      </c>
      <c r="M79" s="2" t="s">
        <v>1615</v>
      </c>
      <c r="N79" s="2" t="s">
        <v>1750</v>
      </c>
      <c r="O79" s="2"/>
      <c r="P79" s="2" t="s">
        <v>1851</v>
      </c>
      <c r="Q79" s="2" t="s">
        <v>1718</v>
      </c>
      <c r="V79" s="5" t="s">
        <v>1483</v>
      </c>
    </row>
    <row r="80" spans="1:22" ht="30" customHeight="1" x14ac:dyDescent="0.5">
      <c r="A80" s="7" t="s">
        <v>35</v>
      </c>
      <c r="B80" s="7" t="s">
        <v>198</v>
      </c>
      <c r="C80" s="8">
        <v>1106700020003</v>
      </c>
      <c r="D80" s="7" t="s">
        <v>54</v>
      </c>
      <c r="E80" s="7" t="s">
        <v>201</v>
      </c>
      <c r="F80" s="7">
        <v>2013</v>
      </c>
      <c r="G80" s="7" t="s">
        <v>19</v>
      </c>
      <c r="H80" s="7" t="s">
        <v>56</v>
      </c>
      <c r="I80" s="8" t="s">
        <v>202</v>
      </c>
      <c r="J80" s="2" t="s">
        <v>1531</v>
      </c>
      <c r="K80" s="2" t="s">
        <v>1548</v>
      </c>
      <c r="L80" s="2" t="s">
        <v>1564</v>
      </c>
      <c r="M80" s="2" t="s">
        <v>1733</v>
      </c>
      <c r="N80" s="2" t="s">
        <v>1734</v>
      </c>
      <c r="O80" s="2"/>
      <c r="P80" s="2"/>
      <c r="Q80" s="2" t="s">
        <v>1709</v>
      </c>
      <c r="S80" s="5" t="s">
        <v>1549</v>
      </c>
      <c r="V80" s="5" t="s">
        <v>1484</v>
      </c>
    </row>
    <row r="81" spans="1:22" ht="30" customHeight="1" x14ac:dyDescent="0.5">
      <c r="A81" s="7" t="s">
        <v>35</v>
      </c>
      <c r="B81" s="7" t="s">
        <v>153</v>
      </c>
      <c r="C81" s="8">
        <v>1106700010002</v>
      </c>
      <c r="D81" s="7" t="s">
        <v>158</v>
      </c>
      <c r="E81" s="7" t="s">
        <v>159</v>
      </c>
      <c r="F81" s="7">
        <v>1992</v>
      </c>
      <c r="G81" s="7" t="s">
        <v>19</v>
      </c>
      <c r="H81" s="7" t="s">
        <v>104</v>
      </c>
      <c r="I81" s="8" t="s">
        <v>160</v>
      </c>
      <c r="J81" s="2" t="s">
        <v>1537</v>
      </c>
      <c r="K81" s="2" t="s">
        <v>1548</v>
      </c>
      <c r="L81" s="2" t="s">
        <v>1564</v>
      </c>
      <c r="M81" s="2" t="s">
        <v>1859</v>
      </c>
      <c r="N81" s="10" t="s">
        <v>1860</v>
      </c>
      <c r="O81" s="2"/>
      <c r="P81" s="2"/>
      <c r="Q81" s="2" t="s">
        <v>1726</v>
      </c>
      <c r="S81" s="5" t="s">
        <v>1527</v>
      </c>
      <c r="V81" s="5" t="s">
        <v>1485</v>
      </c>
    </row>
    <row r="82" spans="1:22" ht="30" customHeight="1" x14ac:dyDescent="0.5">
      <c r="A82" s="7" t="s">
        <v>263</v>
      </c>
      <c r="B82" s="7" t="s">
        <v>270</v>
      </c>
      <c r="C82" s="8">
        <v>1106700010003</v>
      </c>
      <c r="D82" s="7" t="s">
        <v>102</v>
      </c>
      <c r="E82" s="7" t="s">
        <v>1452</v>
      </c>
      <c r="F82" s="7">
        <v>1992</v>
      </c>
      <c r="G82" s="7" t="s">
        <v>19</v>
      </c>
      <c r="H82" s="7" t="s">
        <v>104</v>
      </c>
      <c r="I82" s="8" t="s">
        <v>326</v>
      </c>
      <c r="J82" s="2" t="s">
        <v>1487</v>
      </c>
      <c r="K82" s="2" t="s">
        <v>1548</v>
      </c>
      <c r="L82" s="2" t="s">
        <v>1564</v>
      </c>
      <c r="M82" s="2" t="s">
        <v>1752</v>
      </c>
      <c r="N82" s="2" t="s">
        <v>1753</v>
      </c>
      <c r="O82" s="2"/>
      <c r="P82" s="2"/>
      <c r="Q82" s="2" t="s">
        <v>1700</v>
      </c>
      <c r="V82" s="5" t="s">
        <v>1486</v>
      </c>
    </row>
    <row r="83" spans="1:22" ht="30" customHeight="1" x14ac:dyDescent="0.5">
      <c r="A83" s="7" t="s">
        <v>35</v>
      </c>
      <c r="B83" s="7" t="s">
        <v>143</v>
      </c>
      <c r="C83" s="8">
        <v>1106700020003</v>
      </c>
      <c r="D83" s="7" t="s">
        <v>54</v>
      </c>
      <c r="E83" s="7" t="s">
        <v>146</v>
      </c>
      <c r="F83" s="7">
        <v>2013</v>
      </c>
      <c r="G83" s="7" t="s">
        <v>19</v>
      </c>
      <c r="H83" s="7" t="s">
        <v>56</v>
      </c>
      <c r="I83" s="8" t="s">
        <v>147</v>
      </c>
      <c r="J83" s="2" t="s">
        <v>1549</v>
      </c>
      <c r="K83" s="11" t="s">
        <v>1912</v>
      </c>
      <c r="L83" s="2"/>
      <c r="M83" s="2"/>
      <c r="N83" s="2"/>
      <c r="O83" s="2" t="s">
        <v>1982</v>
      </c>
      <c r="P83" s="2"/>
      <c r="Q83" s="2" t="s">
        <v>1726</v>
      </c>
      <c r="S83" s="5" t="s">
        <v>1522</v>
      </c>
      <c r="V83" s="5" t="s">
        <v>1487</v>
      </c>
    </row>
    <row r="84" spans="1:22" ht="30" customHeight="1" x14ac:dyDescent="0.5">
      <c r="A84" s="7" t="s">
        <v>35</v>
      </c>
      <c r="B84" s="7" t="s">
        <v>153</v>
      </c>
      <c r="C84" s="8">
        <v>1106700010003</v>
      </c>
      <c r="D84" s="7" t="s">
        <v>102</v>
      </c>
      <c r="E84" s="7" t="s">
        <v>161</v>
      </c>
      <c r="F84" s="7">
        <v>1992</v>
      </c>
      <c r="G84" s="7" t="s">
        <v>19</v>
      </c>
      <c r="H84" s="7" t="s">
        <v>104</v>
      </c>
      <c r="I84" s="8">
        <v>34600155905199</v>
      </c>
      <c r="J84" s="2" t="s">
        <v>1537</v>
      </c>
      <c r="K84" s="9" t="s">
        <v>1552</v>
      </c>
      <c r="L84" s="2" t="s">
        <v>1571</v>
      </c>
      <c r="M84" s="2" t="s">
        <v>1940</v>
      </c>
      <c r="N84" s="2" t="s">
        <v>1958</v>
      </c>
      <c r="O84" s="2"/>
      <c r="P84" s="2"/>
      <c r="Q84" s="2" t="s">
        <v>1725</v>
      </c>
      <c r="S84" s="5" t="s">
        <v>1528</v>
      </c>
      <c r="V84" s="5" t="s">
        <v>1488</v>
      </c>
    </row>
    <row r="85" spans="1:22" ht="30" customHeight="1" x14ac:dyDescent="0.5">
      <c r="A85" s="7" t="s">
        <v>35</v>
      </c>
      <c r="B85" s="7" t="s">
        <v>229</v>
      </c>
      <c r="C85" s="8">
        <v>1102700010004</v>
      </c>
      <c r="D85" s="7" t="s">
        <v>64</v>
      </c>
      <c r="E85" s="7" t="s">
        <v>235</v>
      </c>
      <c r="F85" s="7">
        <v>2006</v>
      </c>
      <c r="G85" s="7" t="s">
        <v>19</v>
      </c>
      <c r="H85" s="7" t="s">
        <v>236</v>
      </c>
      <c r="I85" s="8" t="s">
        <v>237</v>
      </c>
      <c r="J85" s="2" t="s">
        <v>1662</v>
      </c>
      <c r="K85" s="2" t="s">
        <v>1548</v>
      </c>
      <c r="L85" s="2" t="s">
        <v>1564</v>
      </c>
      <c r="M85" s="2" t="s">
        <v>1874</v>
      </c>
      <c r="N85" s="10" t="s">
        <v>1875</v>
      </c>
      <c r="O85" s="2"/>
      <c r="P85" s="2" t="s">
        <v>1876</v>
      </c>
      <c r="Q85" s="2" t="s">
        <v>1686</v>
      </c>
      <c r="V85" s="5" t="s">
        <v>1489</v>
      </c>
    </row>
    <row r="86" spans="1:22" ht="30" customHeight="1" x14ac:dyDescent="0.5">
      <c r="A86" s="7" t="s">
        <v>35</v>
      </c>
      <c r="B86" s="7" t="s">
        <v>792</v>
      </c>
      <c r="C86" s="8">
        <v>1204700020003</v>
      </c>
      <c r="D86" s="7" t="s">
        <v>13</v>
      </c>
      <c r="E86" s="7" t="s">
        <v>799</v>
      </c>
      <c r="F86" s="7">
        <v>2009</v>
      </c>
      <c r="G86" s="7" t="s">
        <v>19</v>
      </c>
      <c r="H86" s="7" t="s">
        <v>10</v>
      </c>
      <c r="I86" s="8" t="s">
        <v>800</v>
      </c>
      <c r="J86" s="2" t="s">
        <v>1525</v>
      </c>
      <c r="K86" s="2" t="s">
        <v>1548</v>
      </c>
      <c r="L86" s="2" t="s">
        <v>1571</v>
      </c>
      <c r="M86" s="2" t="s">
        <v>1899</v>
      </c>
      <c r="N86" s="2" t="s">
        <v>1900</v>
      </c>
      <c r="O86" s="2"/>
      <c r="P86" s="2"/>
      <c r="Q86" s="2" t="s">
        <v>1707</v>
      </c>
      <c r="V86" s="5" t="s">
        <v>1490</v>
      </c>
    </row>
    <row r="87" spans="1:22" ht="30" customHeight="1" x14ac:dyDescent="0.5">
      <c r="A87" s="7" t="s">
        <v>0</v>
      </c>
      <c r="B87" s="7" t="s">
        <v>240</v>
      </c>
      <c r="C87" s="8">
        <v>1106700020010</v>
      </c>
      <c r="D87" s="7" t="s">
        <v>210</v>
      </c>
      <c r="E87" s="7" t="s">
        <v>254</v>
      </c>
      <c r="F87" s="7">
        <v>2007</v>
      </c>
      <c r="G87" s="7" t="s">
        <v>19</v>
      </c>
      <c r="H87" s="7" t="s">
        <v>104</v>
      </c>
      <c r="I87" s="8" t="s">
        <v>255</v>
      </c>
      <c r="J87" s="2" t="s">
        <v>1543</v>
      </c>
      <c r="K87" s="2" t="s">
        <v>1548</v>
      </c>
      <c r="L87" s="2" t="s">
        <v>1564</v>
      </c>
      <c r="M87" s="2" t="s">
        <v>1783</v>
      </c>
      <c r="N87" s="10" t="s">
        <v>1877</v>
      </c>
      <c r="O87" s="2"/>
      <c r="P87" s="2"/>
      <c r="Q87" s="2" t="s">
        <v>1730</v>
      </c>
      <c r="V87" s="5" t="s">
        <v>1491</v>
      </c>
    </row>
    <row r="88" spans="1:22" ht="30" customHeight="1" x14ac:dyDescent="0.5">
      <c r="A88" s="7" t="s">
        <v>263</v>
      </c>
      <c r="B88" s="7" t="s">
        <v>534</v>
      </c>
      <c r="C88" s="8">
        <v>1204700020003</v>
      </c>
      <c r="D88" s="7" t="s">
        <v>13</v>
      </c>
      <c r="E88" s="7" t="s">
        <v>543</v>
      </c>
      <c r="F88" s="7">
        <v>1998</v>
      </c>
      <c r="G88" s="7" t="s">
        <v>4</v>
      </c>
      <c r="H88" s="7" t="s">
        <v>10</v>
      </c>
      <c r="I88" s="8" t="s">
        <v>544</v>
      </c>
      <c r="J88" s="2" t="s">
        <v>1531</v>
      </c>
      <c r="K88" s="2" t="s">
        <v>1548</v>
      </c>
      <c r="L88" s="2" t="s">
        <v>1571</v>
      </c>
      <c r="M88" s="2" t="s">
        <v>1905</v>
      </c>
      <c r="N88" s="10" t="s">
        <v>1877</v>
      </c>
      <c r="O88" s="2"/>
      <c r="P88" s="2"/>
      <c r="Q88" s="2" t="s">
        <v>1709</v>
      </c>
      <c r="V88" s="5" t="s">
        <v>1492</v>
      </c>
    </row>
    <row r="89" spans="1:22" ht="30" customHeight="1" x14ac:dyDescent="0.5">
      <c r="A89" s="7" t="s">
        <v>945</v>
      </c>
      <c r="B89" s="7" t="s">
        <v>1125</v>
      </c>
      <c r="C89" s="8">
        <v>1204700020009</v>
      </c>
      <c r="D89" s="7" t="s">
        <v>29</v>
      </c>
      <c r="E89" s="7" t="s">
        <v>1136</v>
      </c>
      <c r="F89" s="7">
        <v>2016</v>
      </c>
      <c r="G89" s="7" t="s">
        <v>19</v>
      </c>
      <c r="H89" s="7" t="s">
        <v>261</v>
      </c>
      <c r="I89" s="8" t="s">
        <v>1137</v>
      </c>
      <c r="J89" s="2" t="s">
        <v>1549</v>
      </c>
      <c r="K89" s="2" t="s">
        <v>1548</v>
      </c>
      <c r="L89" s="2" t="s">
        <v>1571</v>
      </c>
      <c r="M89" s="2" t="s">
        <v>1901</v>
      </c>
      <c r="N89" s="10" t="s">
        <v>1902</v>
      </c>
      <c r="O89" s="2"/>
      <c r="P89" s="2"/>
      <c r="Q89" s="2" t="s">
        <v>1721</v>
      </c>
      <c r="V89" s="5" t="s">
        <v>1493</v>
      </c>
    </row>
    <row r="90" spans="1:22" ht="30" customHeight="1" x14ac:dyDescent="0.5">
      <c r="A90" s="7" t="s">
        <v>263</v>
      </c>
      <c r="B90" s="7" t="s">
        <v>270</v>
      </c>
      <c r="C90" s="8">
        <v>1105700010002</v>
      </c>
      <c r="D90" s="7" t="s">
        <v>293</v>
      </c>
      <c r="E90" s="7" t="s">
        <v>294</v>
      </c>
      <c r="F90" s="7">
        <v>2008</v>
      </c>
      <c r="G90" s="7" t="s">
        <v>19</v>
      </c>
      <c r="H90" s="7" t="s">
        <v>42</v>
      </c>
      <c r="I90" s="8" t="s">
        <v>295</v>
      </c>
      <c r="J90" s="2" t="s">
        <v>1544</v>
      </c>
      <c r="K90" s="11" t="s">
        <v>1912</v>
      </c>
      <c r="L90" s="2"/>
      <c r="M90" s="2"/>
      <c r="N90" s="10" t="s">
        <v>1936</v>
      </c>
      <c r="O90" s="2" t="s">
        <v>1931</v>
      </c>
      <c r="P90" s="2" t="s">
        <v>1928</v>
      </c>
      <c r="Q90" s="2" t="s">
        <v>1544</v>
      </c>
      <c r="R90" s="4" t="s">
        <v>1912</v>
      </c>
      <c r="T90" s="4" t="s">
        <v>1615</v>
      </c>
      <c r="V90" s="5" t="s">
        <v>1494</v>
      </c>
    </row>
    <row r="91" spans="1:22" ht="30" customHeight="1" x14ac:dyDescent="0.5">
      <c r="A91" s="7" t="s">
        <v>263</v>
      </c>
      <c r="B91" s="7" t="s">
        <v>602</v>
      </c>
      <c r="C91" s="8">
        <v>1204700010003</v>
      </c>
      <c r="D91" s="7" t="s">
        <v>96</v>
      </c>
      <c r="E91" s="7" t="s">
        <v>610</v>
      </c>
      <c r="F91" s="7">
        <v>2009</v>
      </c>
      <c r="G91" s="7" t="s">
        <v>19</v>
      </c>
      <c r="H91" s="7" t="s">
        <v>10</v>
      </c>
      <c r="I91" s="8" t="s">
        <v>611</v>
      </c>
      <c r="J91" s="2" t="s">
        <v>1498</v>
      </c>
      <c r="K91" s="2" t="s">
        <v>1548</v>
      </c>
      <c r="L91" s="2" t="s">
        <v>1571</v>
      </c>
      <c r="M91" s="2" t="s">
        <v>1852</v>
      </c>
      <c r="N91" s="2" t="s">
        <v>1853</v>
      </c>
      <c r="O91" s="2"/>
      <c r="P91" s="2" t="s">
        <v>1666</v>
      </c>
      <c r="Q91" s="2" t="s">
        <v>1716</v>
      </c>
      <c r="V91" s="5" t="s">
        <v>1495</v>
      </c>
    </row>
    <row r="92" spans="1:22" ht="30" customHeight="1" x14ac:dyDescent="0.5">
      <c r="A92" s="7" t="s">
        <v>263</v>
      </c>
      <c r="B92" s="7" t="s">
        <v>632</v>
      </c>
      <c r="C92" s="8">
        <v>1102700010004</v>
      </c>
      <c r="D92" s="7" t="s">
        <v>64</v>
      </c>
      <c r="E92" s="7" t="s">
        <v>1443</v>
      </c>
      <c r="F92" s="7">
        <v>2008</v>
      </c>
      <c r="G92" s="7" t="s">
        <v>19</v>
      </c>
      <c r="H92" s="7" t="s">
        <v>42</v>
      </c>
      <c r="I92" s="8" t="s">
        <v>645</v>
      </c>
      <c r="J92" s="2" t="s">
        <v>1544</v>
      </c>
      <c r="K92" s="9" t="s">
        <v>1553</v>
      </c>
      <c r="L92" s="2" t="s">
        <v>1571</v>
      </c>
      <c r="M92" s="2" t="s">
        <v>1966</v>
      </c>
      <c r="N92" s="2" t="s">
        <v>1967</v>
      </c>
      <c r="O92" s="2"/>
      <c r="P92" s="2"/>
      <c r="Q92" s="2" t="s">
        <v>1544</v>
      </c>
      <c r="V92" s="5" t="s">
        <v>1545</v>
      </c>
    </row>
    <row r="93" spans="1:22" ht="30" customHeight="1" x14ac:dyDescent="0.5">
      <c r="A93" s="7" t="s">
        <v>35</v>
      </c>
      <c r="B93" s="7" t="s">
        <v>148</v>
      </c>
      <c r="C93" s="8">
        <v>1106700020003</v>
      </c>
      <c r="D93" s="7" t="s">
        <v>54</v>
      </c>
      <c r="E93" s="7" t="s">
        <v>151</v>
      </c>
      <c r="F93" s="7">
        <v>2015</v>
      </c>
      <c r="G93" s="7" t="s">
        <v>19</v>
      </c>
      <c r="H93" s="7" t="s">
        <v>56</v>
      </c>
      <c r="I93" s="8" t="s">
        <v>152</v>
      </c>
      <c r="J93" s="2" t="s">
        <v>1537</v>
      </c>
      <c r="K93" s="2" t="s">
        <v>1548</v>
      </c>
      <c r="L93" s="2" t="s">
        <v>1559</v>
      </c>
      <c r="M93" s="2" t="s">
        <v>1559</v>
      </c>
      <c r="N93" s="10" t="s">
        <v>1855</v>
      </c>
      <c r="O93" s="2"/>
      <c r="P93" s="2" t="s">
        <v>1856</v>
      </c>
      <c r="Q93" s="2" t="s">
        <v>1725</v>
      </c>
      <c r="S93" s="5" t="s">
        <v>1524</v>
      </c>
      <c r="V93" s="5" t="s">
        <v>1496</v>
      </c>
    </row>
    <row r="94" spans="1:22" ht="30" customHeight="1" x14ac:dyDescent="0.5">
      <c r="A94" s="7" t="s">
        <v>263</v>
      </c>
      <c r="B94" s="7" t="s">
        <v>583</v>
      </c>
      <c r="C94" s="8">
        <v>1104700020004</v>
      </c>
      <c r="D94" s="7" t="s">
        <v>584</v>
      </c>
      <c r="E94" s="7" t="s">
        <v>585</v>
      </c>
      <c r="F94" s="7">
        <v>2008</v>
      </c>
      <c r="G94" s="7" t="s">
        <v>19</v>
      </c>
      <c r="H94" s="7" t="s">
        <v>236</v>
      </c>
      <c r="I94" s="8" t="s">
        <v>586</v>
      </c>
      <c r="J94" s="2" t="s">
        <v>1544</v>
      </c>
      <c r="K94" s="2" t="s">
        <v>1548</v>
      </c>
      <c r="L94" s="2" t="s">
        <v>1564</v>
      </c>
      <c r="M94" s="2" t="s">
        <v>1738</v>
      </c>
      <c r="N94" s="10" t="s">
        <v>1739</v>
      </c>
      <c r="O94" s="2"/>
      <c r="P94" s="2" t="s">
        <v>1649</v>
      </c>
      <c r="Q94" s="2" t="s">
        <v>1721</v>
      </c>
      <c r="V94" s="5" t="s">
        <v>1497</v>
      </c>
    </row>
    <row r="95" spans="1:22" ht="30" customHeight="1" x14ac:dyDescent="0.5">
      <c r="A95" s="7" t="s">
        <v>263</v>
      </c>
      <c r="B95" s="7" t="s">
        <v>270</v>
      </c>
      <c r="C95" s="8">
        <v>1209700010004</v>
      </c>
      <c r="D95" s="7" t="s">
        <v>413</v>
      </c>
      <c r="E95" s="7" t="s">
        <v>414</v>
      </c>
      <c r="F95" s="7">
        <v>2015</v>
      </c>
      <c r="G95" s="7" t="s">
        <v>19</v>
      </c>
      <c r="H95" s="7" t="s">
        <v>415</v>
      </c>
      <c r="I95" s="8" t="s">
        <v>416</v>
      </c>
      <c r="J95" s="2" t="s">
        <v>1556</v>
      </c>
      <c r="K95" s="11" t="s">
        <v>1912</v>
      </c>
      <c r="L95" s="2"/>
      <c r="M95" s="2"/>
      <c r="N95" s="2"/>
      <c r="O95" s="2" t="s">
        <v>1976</v>
      </c>
      <c r="P95" s="2" t="s">
        <v>1977</v>
      </c>
      <c r="Q95" s="2" t="s">
        <v>1544</v>
      </c>
      <c r="V95" s="5" t="s">
        <v>1498</v>
      </c>
    </row>
    <row r="96" spans="1:22" ht="30" customHeight="1" x14ac:dyDescent="0.5">
      <c r="A96" s="7" t="s">
        <v>35</v>
      </c>
      <c r="B96" s="7" t="s">
        <v>834</v>
      </c>
      <c r="C96" s="8">
        <v>1102700020004</v>
      </c>
      <c r="D96" s="7" t="s">
        <v>136</v>
      </c>
      <c r="E96" s="7" t="s">
        <v>837</v>
      </c>
      <c r="F96" s="7">
        <v>2015</v>
      </c>
      <c r="G96" s="7" t="s">
        <v>19</v>
      </c>
      <c r="H96" s="7" t="s">
        <v>66</v>
      </c>
      <c r="I96" s="8" t="s">
        <v>838</v>
      </c>
      <c r="J96" s="2" t="s">
        <v>1549</v>
      </c>
      <c r="K96" s="2" t="s">
        <v>1548</v>
      </c>
      <c r="L96" s="2" t="s">
        <v>1564</v>
      </c>
      <c r="M96" s="2" t="s">
        <v>1639</v>
      </c>
      <c r="N96" s="10" t="s">
        <v>1640</v>
      </c>
      <c r="O96" s="2"/>
      <c r="P96" s="2" t="s">
        <v>1641</v>
      </c>
      <c r="Q96" s="2"/>
      <c r="V96" s="5" t="s">
        <v>1499</v>
      </c>
    </row>
    <row r="97" spans="1:22" ht="30" customHeight="1" x14ac:dyDescent="0.5">
      <c r="A97" s="7" t="s">
        <v>263</v>
      </c>
      <c r="B97" s="7" t="s">
        <v>632</v>
      </c>
      <c r="C97" s="8">
        <v>1105700030001</v>
      </c>
      <c r="D97" s="7" t="s">
        <v>650</v>
      </c>
      <c r="E97" s="7" t="s">
        <v>651</v>
      </c>
      <c r="F97" s="7">
        <v>1982</v>
      </c>
      <c r="G97" s="7" t="s">
        <v>19</v>
      </c>
      <c r="H97" s="7" t="s">
        <v>104</v>
      </c>
      <c r="I97" s="8">
        <v>343603155023285</v>
      </c>
      <c r="J97" s="2" t="s">
        <v>1544</v>
      </c>
      <c r="K97" s="11" t="s">
        <v>1912</v>
      </c>
      <c r="L97" s="2"/>
      <c r="M97" s="2"/>
      <c r="N97" s="10" t="s">
        <v>1938</v>
      </c>
      <c r="O97" s="2" t="s">
        <v>1921</v>
      </c>
      <c r="P97" s="2" t="s">
        <v>1923</v>
      </c>
      <c r="Q97" s="2" t="s">
        <v>1544</v>
      </c>
      <c r="V97" s="5" t="s">
        <v>1500</v>
      </c>
    </row>
    <row r="98" spans="1:22" ht="30" customHeight="1" x14ac:dyDescent="0.5">
      <c r="A98" s="7" t="s">
        <v>35</v>
      </c>
      <c r="B98" s="7" t="s">
        <v>166</v>
      </c>
      <c r="C98" s="8">
        <v>1106700010010</v>
      </c>
      <c r="D98" s="7" t="s">
        <v>114</v>
      </c>
      <c r="E98" s="7" t="s">
        <v>171</v>
      </c>
      <c r="F98" s="7">
        <v>2003</v>
      </c>
      <c r="G98" s="7" t="s">
        <v>19</v>
      </c>
      <c r="H98" s="7" t="s">
        <v>104</v>
      </c>
      <c r="I98" s="8" t="s">
        <v>172</v>
      </c>
      <c r="J98" s="2" t="s">
        <v>1487</v>
      </c>
      <c r="K98" s="9" t="s">
        <v>1552</v>
      </c>
      <c r="L98" s="2" t="s">
        <v>1567</v>
      </c>
      <c r="M98" s="2" t="s">
        <v>1953</v>
      </c>
      <c r="N98" s="2" t="s">
        <v>1954</v>
      </c>
      <c r="O98" s="2"/>
      <c r="P98" s="2"/>
      <c r="Q98" s="2" t="s">
        <v>1699</v>
      </c>
      <c r="S98" s="5" t="s">
        <v>1533</v>
      </c>
      <c r="V98" s="5" t="s">
        <v>1501</v>
      </c>
    </row>
    <row r="99" spans="1:22" ht="30" customHeight="1" x14ac:dyDescent="0.5">
      <c r="A99" s="7" t="s">
        <v>263</v>
      </c>
      <c r="B99" s="7" t="s">
        <v>270</v>
      </c>
      <c r="C99" s="8">
        <v>1107700010001</v>
      </c>
      <c r="D99" s="7" t="s">
        <v>349</v>
      </c>
      <c r="E99" s="7" t="s">
        <v>350</v>
      </c>
      <c r="F99" s="7">
        <v>2006</v>
      </c>
      <c r="G99" s="7" t="s">
        <v>19</v>
      </c>
      <c r="H99" s="7" t="s">
        <v>351</v>
      </c>
      <c r="I99" s="8" t="s">
        <v>352</v>
      </c>
      <c r="J99" s="2" t="s">
        <v>1544</v>
      </c>
      <c r="K99" s="2" t="s">
        <v>1548</v>
      </c>
      <c r="L99" s="2" t="s">
        <v>1564</v>
      </c>
      <c r="M99" s="2" t="s">
        <v>1618</v>
      </c>
      <c r="N99" s="2" t="s">
        <v>1619</v>
      </c>
      <c r="O99" s="2"/>
      <c r="P99" s="2"/>
      <c r="Q99" s="2"/>
      <c r="V99" s="5" t="s">
        <v>1502</v>
      </c>
    </row>
    <row r="100" spans="1:22" ht="30" customHeight="1" x14ac:dyDescent="0.5">
      <c r="A100" s="7" t="s">
        <v>263</v>
      </c>
      <c r="B100" s="7" t="s">
        <v>1225</v>
      </c>
      <c r="C100" s="8">
        <v>1104700020004</v>
      </c>
      <c r="D100" s="7" t="s">
        <v>584</v>
      </c>
      <c r="E100" s="7" t="s">
        <v>1292</v>
      </c>
      <c r="F100" s="7">
        <v>2008</v>
      </c>
      <c r="G100" s="7" t="s">
        <v>19</v>
      </c>
      <c r="H100" s="7" t="s">
        <v>236</v>
      </c>
      <c r="I100" s="8" t="s">
        <v>1293</v>
      </c>
      <c r="J100" s="2" t="s">
        <v>1544</v>
      </c>
      <c r="K100" s="2" t="s">
        <v>1548</v>
      </c>
      <c r="L100" s="2" t="s">
        <v>1565</v>
      </c>
      <c r="M100" s="2" t="s">
        <v>1575</v>
      </c>
      <c r="N100" s="10" t="s">
        <v>1576</v>
      </c>
      <c r="O100" s="2"/>
      <c r="P100" s="2"/>
      <c r="Q100" s="2"/>
      <c r="V100" s="5" t="s">
        <v>1503</v>
      </c>
    </row>
    <row r="101" spans="1:22" ht="30" customHeight="1" x14ac:dyDescent="0.5">
      <c r="A101" s="7" t="s">
        <v>263</v>
      </c>
      <c r="B101" s="7" t="s">
        <v>618</v>
      </c>
      <c r="C101" s="8">
        <v>1101700040008</v>
      </c>
      <c r="D101" s="7" t="s">
        <v>619</v>
      </c>
      <c r="E101" s="7" t="s">
        <v>620</v>
      </c>
      <c r="F101" s="7">
        <v>2010</v>
      </c>
      <c r="G101" s="7" t="s">
        <v>19</v>
      </c>
      <c r="H101" s="7" t="s">
        <v>52</v>
      </c>
      <c r="I101" s="8" t="s">
        <v>621</v>
      </c>
      <c r="J101" s="2" t="s">
        <v>1498</v>
      </c>
      <c r="K101" s="2" t="s">
        <v>1548</v>
      </c>
      <c r="L101" s="2" t="s">
        <v>1567</v>
      </c>
      <c r="M101" s="2" t="s">
        <v>1838</v>
      </c>
      <c r="N101" s="10" t="s">
        <v>1839</v>
      </c>
      <c r="O101" s="2"/>
      <c r="P101" s="2"/>
      <c r="Q101" s="2" t="s">
        <v>1716</v>
      </c>
      <c r="V101" s="5" t="s">
        <v>1504</v>
      </c>
    </row>
    <row r="102" spans="1:22" ht="30" customHeight="1" x14ac:dyDescent="0.5">
      <c r="A102" s="7" t="s">
        <v>263</v>
      </c>
      <c r="B102" s="7" t="s">
        <v>1225</v>
      </c>
      <c r="C102" s="8">
        <v>1101700010006</v>
      </c>
      <c r="D102" s="7" t="s">
        <v>1551</v>
      </c>
      <c r="E102" s="7" t="s">
        <v>1243</v>
      </c>
      <c r="F102" s="7">
        <v>2014</v>
      </c>
      <c r="G102" s="7" t="s">
        <v>19</v>
      </c>
      <c r="H102" s="7" t="s">
        <v>52</v>
      </c>
      <c r="I102" s="8" t="s">
        <v>1244</v>
      </c>
      <c r="J102" s="2" t="s">
        <v>1544</v>
      </c>
      <c r="K102" s="2" t="s">
        <v>1548</v>
      </c>
      <c r="L102" s="2" t="s">
        <v>1571</v>
      </c>
      <c r="M102" s="2" t="s">
        <v>1632</v>
      </c>
      <c r="N102" s="2" t="s">
        <v>1631</v>
      </c>
      <c r="O102" s="2"/>
      <c r="P102" s="2"/>
      <c r="Q102" s="2"/>
      <c r="V102" s="5" t="s">
        <v>1505</v>
      </c>
    </row>
    <row r="103" spans="1:22" ht="30" customHeight="1" x14ac:dyDescent="0.5">
      <c r="A103" s="7" t="s">
        <v>263</v>
      </c>
      <c r="B103" s="7" t="s">
        <v>1225</v>
      </c>
      <c r="C103" s="8">
        <v>1104700020004</v>
      </c>
      <c r="D103" s="7" t="s">
        <v>584</v>
      </c>
      <c r="E103" s="7" t="s">
        <v>1290</v>
      </c>
      <c r="F103" s="7">
        <v>2008</v>
      </c>
      <c r="G103" s="7" t="s">
        <v>19</v>
      </c>
      <c r="H103" s="7" t="s">
        <v>236</v>
      </c>
      <c r="I103" s="8" t="s">
        <v>1291</v>
      </c>
      <c r="J103" s="2" t="s">
        <v>1544</v>
      </c>
      <c r="K103" s="2" t="s">
        <v>1548</v>
      </c>
      <c r="L103" s="2" t="s">
        <v>1613</v>
      </c>
      <c r="M103" s="2" t="s">
        <v>1630</v>
      </c>
      <c r="N103" s="2" t="s">
        <v>1631</v>
      </c>
      <c r="O103" s="2"/>
      <c r="P103" s="2"/>
      <c r="Q103" s="2"/>
      <c r="V103" s="5" t="s">
        <v>1506</v>
      </c>
    </row>
    <row r="104" spans="1:22" ht="30" customHeight="1" x14ac:dyDescent="0.5">
      <c r="A104" s="7" t="s">
        <v>263</v>
      </c>
      <c r="B104" s="7" t="s">
        <v>632</v>
      </c>
      <c r="C104" s="8">
        <v>1101700010006</v>
      </c>
      <c r="D104" s="7" t="s">
        <v>1551</v>
      </c>
      <c r="E104" s="7" t="s">
        <v>633</v>
      </c>
      <c r="F104" s="7">
        <v>2010</v>
      </c>
      <c r="G104" s="7" t="s">
        <v>19</v>
      </c>
      <c r="H104" s="7" t="s">
        <v>52</v>
      </c>
      <c r="I104" s="8" t="s">
        <v>634</v>
      </c>
      <c r="J104" s="2" t="s">
        <v>1549</v>
      </c>
      <c r="K104" s="2" t="s">
        <v>1548</v>
      </c>
      <c r="L104" s="2" t="s">
        <v>1569</v>
      </c>
      <c r="M104" s="2" t="s">
        <v>1792</v>
      </c>
      <c r="N104" s="2" t="s">
        <v>1585</v>
      </c>
      <c r="O104" s="2"/>
      <c r="P104" s="2"/>
      <c r="Q104" s="2" t="s">
        <v>1697</v>
      </c>
      <c r="V104" s="5" t="s">
        <v>1507</v>
      </c>
    </row>
    <row r="105" spans="1:22" ht="30" customHeight="1" x14ac:dyDescent="0.5">
      <c r="A105" s="7" t="s">
        <v>263</v>
      </c>
      <c r="B105" s="7" t="s">
        <v>1225</v>
      </c>
      <c r="C105" s="8">
        <v>1106700020010</v>
      </c>
      <c r="D105" s="7" t="s">
        <v>210</v>
      </c>
      <c r="E105" s="7" t="s">
        <v>1366</v>
      </c>
      <c r="F105" s="7">
        <v>2009</v>
      </c>
      <c r="G105" s="7" t="s">
        <v>19</v>
      </c>
      <c r="H105" s="7" t="s">
        <v>52</v>
      </c>
      <c r="I105" s="8" t="s">
        <v>1367</v>
      </c>
      <c r="J105" s="2" t="s">
        <v>1549</v>
      </c>
      <c r="K105" s="2" t="s">
        <v>1548</v>
      </c>
      <c r="L105" s="2" t="s">
        <v>1564</v>
      </c>
      <c r="M105" s="2" t="s">
        <v>1584</v>
      </c>
      <c r="N105" s="2" t="s">
        <v>1585</v>
      </c>
      <c r="O105" s="2"/>
      <c r="P105" s="2"/>
      <c r="Q105" s="2"/>
      <c r="V105" s="5" t="s">
        <v>1508</v>
      </c>
    </row>
    <row r="106" spans="1:22" ht="30" customHeight="1" x14ac:dyDescent="0.5">
      <c r="A106" s="7" t="s">
        <v>263</v>
      </c>
      <c r="B106" s="7" t="s">
        <v>534</v>
      </c>
      <c r="C106" s="8">
        <v>1204700010003</v>
      </c>
      <c r="D106" s="7" t="s">
        <v>96</v>
      </c>
      <c r="E106" s="7" t="s">
        <v>539</v>
      </c>
      <c r="F106" s="7">
        <v>2009</v>
      </c>
      <c r="G106" s="7" t="s">
        <v>19</v>
      </c>
      <c r="H106" s="7" t="s">
        <v>10</v>
      </c>
      <c r="I106" s="8" t="s">
        <v>540</v>
      </c>
      <c r="J106" s="2" t="s">
        <v>1531</v>
      </c>
      <c r="K106" s="2" t="s">
        <v>1548</v>
      </c>
      <c r="L106" s="2" t="s">
        <v>1564</v>
      </c>
      <c r="M106" s="2" t="s">
        <v>1847</v>
      </c>
      <c r="N106" s="10" t="s">
        <v>1906</v>
      </c>
      <c r="O106" s="2"/>
      <c r="P106" s="2"/>
      <c r="Q106" s="2" t="s">
        <v>1709</v>
      </c>
      <c r="V106" s="5" t="s">
        <v>1509</v>
      </c>
    </row>
    <row r="107" spans="1:22" ht="30" customHeight="1" x14ac:dyDescent="0.5">
      <c r="A107" s="7" t="s">
        <v>35</v>
      </c>
      <c r="B107" s="7" t="s">
        <v>925</v>
      </c>
      <c r="C107" s="8">
        <v>1106700020003</v>
      </c>
      <c r="D107" s="7" t="s">
        <v>54</v>
      </c>
      <c r="E107" s="7" t="s">
        <v>931</v>
      </c>
      <c r="F107" s="7">
        <v>2012</v>
      </c>
      <c r="G107" s="7" t="s">
        <v>19</v>
      </c>
      <c r="H107" s="7" t="s">
        <v>56</v>
      </c>
      <c r="I107" s="8" t="s">
        <v>932</v>
      </c>
      <c r="J107" s="2" t="s">
        <v>1518</v>
      </c>
      <c r="K107" s="11" t="s">
        <v>1912</v>
      </c>
      <c r="L107" s="2"/>
      <c r="M107" s="2"/>
      <c r="N107" s="2" t="s">
        <v>1939</v>
      </c>
      <c r="O107" s="2" t="s">
        <v>1921</v>
      </c>
      <c r="P107" s="2" t="s">
        <v>1925</v>
      </c>
      <c r="Q107" s="2" t="s">
        <v>1685</v>
      </c>
      <c r="V107" s="5" t="s">
        <v>1510</v>
      </c>
    </row>
    <row r="108" spans="1:22" ht="30" customHeight="1" x14ac:dyDescent="0.5">
      <c r="A108" s="7" t="s">
        <v>35</v>
      </c>
      <c r="B108" s="7" t="s">
        <v>792</v>
      </c>
      <c r="C108" s="8">
        <v>1101700010006</v>
      </c>
      <c r="D108" s="7" t="s">
        <v>1551</v>
      </c>
      <c r="E108" s="7" t="s">
        <v>793</v>
      </c>
      <c r="F108" s="7">
        <v>2010</v>
      </c>
      <c r="G108" s="7" t="s">
        <v>19</v>
      </c>
      <c r="H108" s="7" t="s">
        <v>52</v>
      </c>
      <c r="I108" s="8" t="s">
        <v>794</v>
      </c>
      <c r="J108" s="2" t="s">
        <v>1549</v>
      </c>
      <c r="K108" s="2" t="s">
        <v>1548</v>
      </c>
      <c r="L108" s="2" t="s">
        <v>1564</v>
      </c>
      <c r="M108" s="2" t="s">
        <v>1866</v>
      </c>
      <c r="N108" s="10" t="s">
        <v>1867</v>
      </c>
      <c r="O108" s="2"/>
      <c r="P108" s="2" t="s">
        <v>1868</v>
      </c>
      <c r="Q108" s="2" t="s">
        <v>1707</v>
      </c>
      <c r="V108" s="5" t="s">
        <v>1511</v>
      </c>
    </row>
    <row r="109" spans="1:22" ht="30" customHeight="1" x14ac:dyDescent="0.5">
      <c r="A109" s="7" t="s">
        <v>35</v>
      </c>
      <c r="B109" s="7" t="s">
        <v>820</v>
      </c>
      <c r="C109" s="8">
        <v>1102700020004</v>
      </c>
      <c r="D109" s="7" t="s">
        <v>136</v>
      </c>
      <c r="E109" s="7" t="s">
        <v>823</v>
      </c>
      <c r="F109" s="7">
        <v>2015</v>
      </c>
      <c r="G109" s="7" t="s">
        <v>19</v>
      </c>
      <c r="H109" s="7" t="s">
        <v>66</v>
      </c>
      <c r="I109" s="8" t="s">
        <v>824</v>
      </c>
      <c r="J109" s="2" t="s">
        <v>1531</v>
      </c>
      <c r="K109" s="2" t="s">
        <v>1548</v>
      </c>
      <c r="L109" s="2" t="s">
        <v>1564</v>
      </c>
      <c r="M109" s="2" t="s">
        <v>1667</v>
      </c>
      <c r="N109" s="10" t="s">
        <v>1668</v>
      </c>
      <c r="O109" s="2"/>
      <c r="P109" s="2" t="s">
        <v>1669</v>
      </c>
      <c r="Q109" s="2" t="s">
        <v>1670</v>
      </c>
      <c r="V109" s="5" t="s">
        <v>1512</v>
      </c>
    </row>
    <row r="110" spans="1:22" ht="30" customHeight="1" x14ac:dyDescent="0.5">
      <c r="A110" s="7" t="s">
        <v>35</v>
      </c>
      <c r="B110" s="7" t="s">
        <v>861</v>
      </c>
      <c r="C110" s="8">
        <v>1106700020003</v>
      </c>
      <c r="D110" s="7" t="s">
        <v>54</v>
      </c>
      <c r="E110" s="7" t="s">
        <v>866</v>
      </c>
      <c r="F110" s="7">
        <v>2013</v>
      </c>
      <c r="G110" s="7" t="s">
        <v>19</v>
      </c>
      <c r="H110" s="7" t="s">
        <v>56</v>
      </c>
      <c r="I110" s="8" t="s">
        <v>867</v>
      </c>
      <c r="J110" s="2" t="s">
        <v>1471</v>
      </c>
      <c r="K110" s="2" t="s">
        <v>1548</v>
      </c>
      <c r="L110" s="2" t="s">
        <v>1569</v>
      </c>
      <c r="M110" s="2" t="s">
        <v>1817</v>
      </c>
      <c r="N110" s="2" t="s">
        <v>1818</v>
      </c>
      <c r="O110" s="2"/>
      <c r="P110" s="2"/>
      <c r="Q110" s="2" t="s">
        <v>1674</v>
      </c>
      <c r="V110" s="5" t="s">
        <v>1513</v>
      </c>
    </row>
    <row r="111" spans="1:22" ht="30" customHeight="1" x14ac:dyDescent="0.5">
      <c r="A111" s="7" t="s">
        <v>35</v>
      </c>
      <c r="B111" s="7" t="s">
        <v>868</v>
      </c>
      <c r="C111" s="8">
        <v>1106700020010</v>
      </c>
      <c r="D111" s="7" t="s">
        <v>210</v>
      </c>
      <c r="E111" s="7" t="s">
        <v>873</v>
      </c>
      <c r="F111" s="7">
        <v>2009</v>
      </c>
      <c r="G111" s="7" t="s">
        <v>19</v>
      </c>
      <c r="H111" s="7" t="s">
        <v>52</v>
      </c>
      <c r="I111" s="8" t="s">
        <v>874</v>
      </c>
      <c r="J111" s="2" t="s">
        <v>1513</v>
      </c>
      <c r="K111" s="2" t="s">
        <v>1548</v>
      </c>
      <c r="L111" s="2" t="s">
        <v>1567</v>
      </c>
      <c r="M111" s="2" t="s">
        <v>1743</v>
      </c>
      <c r="N111" s="2" t="s">
        <v>1744</v>
      </c>
      <c r="O111" s="2"/>
      <c r="P111" s="2"/>
      <c r="Q111" s="2" t="s">
        <v>1721</v>
      </c>
      <c r="V111" s="5" t="s">
        <v>1514</v>
      </c>
    </row>
    <row r="112" spans="1:22" ht="30" customHeight="1" x14ac:dyDescent="0.5">
      <c r="A112" s="7" t="s">
        <v>35</v>
      </c>
      <c r="B112" s="7" t="s">
        <v>854</v>
      </c>
      <c r="C112" s="8">
        <v>1106700020003</v>
      </c>
      <c r="D112" s="7" t="s">
        <v>54</v>
      </c>
      <c r="E112" s="7" t="s">
        <v>859</v>
      </c>
      <c r="F112" s="7">
        <v>2014</v>
      </c>
      <c r="G112" s="7" t="s">
        <v>19</v>
      </c>
      <c r="H112" s="7" t="s">
        <v>56</v>
      </c>
      <c r="I112" s="8" t="s">
        <v>860</v>
      </c>
      <c r="J112" s="2" t="s">
        <v>1513</v>
      </c>
      <c r="K112" s="2" t="s">
        <v>1548</v>
      </c>
      <c r="L112" s="2" t="s">
        <v>1564</v>
      </c>
      <c r="M112" s="2" t="s">
        <v>1731</v>
      </c>
      <c r="N112" s="2" t="s">
        <v>1747</v>
      </c>
      <c r="O112" s="2"/>
      <c r="P112" s="2" t="s">
        <v>1748</v>
      </c>
      <c r="Q112" s="2" t="s">
        <v>1721</v>
      </c>
      <c r="V112" s="5" t="s">
        <v>1515</v>
      </c>
    </row>
    <row r="113" spans="1:22" ht="30" customHeight="1" x14ac:dyDescent="0.5">
      <c r="A113" s="7" t="s">
        <v>263</v>
      </c>
      <c r="B113" s="7" t="s">
        <v>632</v>
      </c>
      <c r="C113" s="8">
        <v>1207700050001</v>
      </c>
      <c r="D113" s="7" t="s">
        <v>402</v>
      </c>
      <c r="E113" s="7" t="s">
        <v>1455</v>
      </c>
      <c r="F113" s="7">
        <v>1983</v>
      </c>
      <c r="G113" s="7" t="s">
        <v>19</v>
      </c>
      <c r="H113" s="7" t="s">
        <v>42</v>
      </c>
      <c r="I113" s="8" t="s">
        <v>712</v>
      </c>
      <c r="J113" s="2" t="s">
        <v>1544</v>
      </c>
      <c r="K113" s="2" t="s">
        <v>1548</v>
      </c>
      <c r="L113" s="2" t="s">
        <v>1571</v>
      </c>
      <c r="M113" s="2" t="s">
        <v>1609</v>
      </c>
      <c r="N113" s="2" t="s">
        <v>1610</v>
      </c>
      <c r="O113" s="2"/>
      <c r="P113" s="2"/>
      <c r="Q113" s="2"/>
      <c r="V113" s="5" t="s">
        <v>1516</v>
      </c>
    </row>
    <row r="114" spans="1:22" ht="30" customHeight="1" x14ac:dyDescent="0.5">
      <c r="A114" s="7" t="s">
        <v>35</v>
      </c>
      <c r="B114" s="7" t="s">
        <v>776</v>
      </c>
      <c r="C114" s="8">
        <v>1204700010003</v>
      </c>
      <c r="D114" s="7" t="s">
        <v>96</v>
      </c>
      <c r="E114" s="7" t="s">
        <v>785</v>
      </c>
      <c r="F114" s="7">
        <v>2002</v>
      </c>
      <c r="G114" s="7" t="s">
        <v>4</v>
      </c>
      <c r="H114" s="7" t="s">
        <v>15</v>
      </c>
      <c r="I114" s="8" t="s">
        <v>786</v>
      </c>
      <c r="J114" s="2" t="s">
        <v>1506</v>
      </c>
      <c r="K114" s="2" t="s">
        <v>1548</v>
      </c>
      <c r="L114" s="2" t="s">
        <v>1559</v>
      </c>
      <c r="M114" s="2" t="s">
        <v>1559</v>
      </c>
      <c r="N114" s="2" t="s">
        <v>1610</v>
      </c>
      <c r="O114" s="2"/>
      <c r="P114" s="2"/>
      <c r="Q114" s="2" t="s">
        <v>1694</v>
      </c>
      <c r="V114" s="5" t="s">
        <v>1517</v>
      </c>
    </row>
    <row r="115" spans="1:22" ht="30" customHeight="1" x14ac:dyDescent="0.5">
      <c r="A115" s="7" t="s">
        <v>263</v>
      </c>
      <c r="B115" s="7" t="s">
        <v>1225</v>
      </c>
      <c r="C115" s="8">
        <v>1207700050001</v>
      </c>
      <c r="D115" s="7" t="s">
        <v>402</v>
      </c>
      <c r="E115" s="7" t="s">
        <v>1470</v>
      </c>
      <c r="F115" s="7">
        <v>1983</v>
      </c>
      <c r="G115" s="7" t="s">
        <v>19</v>
      </c>
      <c r="H115" s="7" t="s">
        <v>42</v>
      </c>
      <c r="I115" s="8" t="s">
        <v>1416</v>
      </c>
      <c r="J115" s="2" t="s">
        <v>1544</v>
      </c>
      <c r="K115" s="2" t="s">
        <v>1548</v>
      </c>
      <c r="L115" s="2" t="s">
        <v>1571</v>
      </c>
      <c r="M115" s="2" t="s">
        <v>1609</v>
      </c>
      <c r="N115" s="2" t="s">
        <v>1610</v>
      </c>
      <c r="O115" s="2"/>
      <c r="P115" s="2"/>
      <c r="Q115" s="2"/>
      <c r="V115" s="5" t="s">
        <v>1518</v>
      </c>
    </row>
    <row r="116" spans="1:22" ht="30" customHeight="1" x14ac:dyDescent="0.5">
      <c r="A116" s="7" t="s">
        <v>263</v>
      </c>
      <c r="B116" s="7" t="s">
        <v>1225</v>
      </c>
      <c r="C116" s="8">
        <v>1106700020003</v>
      </c>
      <c r="D116" s="7" t="s">
        <v>54</v>
      </c>
      <c r="E116" s="7" t="s">
        <v>1349</v>
      </c>
      <c r="F116" s="7">
        <v>1983</v>
      </c>
      <c r="G116" s="7" t="s">
        <v>19</v>
      </c>
      <c r="H116" s="7" t="s">
        <v>56</v>
      </c>
      <c r="I116" s="8">
        <v>34303154942627</v>
      </c>
      <c r="J116" s="2" t="s">
        <v>1544</v>
      </c>
      <c r="K116" s="9" t="s">
        <v>1552</v>
      </c>
      <c r="L116" s="2" t="s">
        <v>1571</v>
      </c>
      <c r="M116" s="2" t="s">
        <v>1940</v>
      </c>
      <c r="N116" s="2" t="s">
        <v>1941</v>
      </c>
      <c r="O116" s="2"/>
      <c r="P116" s="2"/>
      <c r="Q116" s="2" t="s">
        <v>1544</v>
      </c>
      <c r="V116" s="5" t="s">
        <v>1519</v>
      </c>
    </row>
    <row r="117" spans="1:22" ht="30" customHeight="1" x14ac:dyDescent="0.5">
      <c r="A117" s="7" t="s">
        <v>35</v>
      </c>
      <c r="B117" s="7" t="s">
        <v>913</v>
      </c>
      <c r="C117" s="8">
        <v>1101700010006</v>
      </c>
      <c r="D117" s="7" t="s">
        <v>1551</v>
      </c>
      <c r="E117" s="7" t="s">
        <v>914</v>
      </c>
      <c r="F117" s="7">
        <v>2012</v>
      </c>
      <c r="G117" s="7" t="s">
        <v>19</v>
      </c>
      <c r="H117" s="7" t="s">
        <v>52</v>
      </c>
      <c r="I117" s="8" t="s">
        <v>915</v>
      </c>
      <c r="J117" s="2" t="s">
        <v>1477</v>
      </c>
      <c r="K117" s="2" t="s">
        <v>1548</v>
      </c>
      <c r="L117" s="2" t="s">
        <v>1564</v>
      </c>
      <c r="M117" s="2" t="s">
        <v>1762</v>
      </c>
      <c r="N117" s="10" t="s">
        <v>1763</v>
      </c>
      <c r="O117" s="2"/>
      <c r="P117" s="2"/>
      <c r="Q117" s="2" t="s">
        <v>1690</v>
      </c>
      <c r="V117" s="5" t="s">
        <v>1520</v>
      </c>
    </row>
    <row r="118" spans="1:22" ht="30" customHeight="1" x14ac:dyDescent="0.5">
      <c r="A118" s="7" t="s">
        <v>35</v>
      </c>
      <c r="B118" s="7" t="s">
        <v>99</v>
      </c>
      <c r="C118" s="8">
        <v>1106700010003</v>
      </c>
      <c r="D118" s="7" t="s">
        <v>102</v>
      </c>
      <c r="E118" s="7" t="s">
        <v>103</v>
      </c>
      <c r="F118" s="7">
        <v>1983</v>
      </c>
      <c r="G118" s="7" t="s">
        <v>19</v>
      </c>
      <c r="H118" s="7" t="s">
        <v>104</v>
      </c>
      <c r="I118" s="8">
        <v>34303154941458</v>
      </c>
      <c r="J118" s="2" t="s">
        <v>1544</v>
      </c>
      <c r="K118" s="9" t="s">
        <v>1552</v>
      </c>
      <c r="L118" s="2" t="s">
        <v>1564</v>
      </c>
      <c r="M118" s="2" t="s">
        <v>1644</v>
      </c>
      <c r="N118" s="10" t="s">
        <v>1645</v>
      </c>
      <c r="O118" s="2"/>
      <c r="P118" s="2" t="s">
        <v>1652</v>
      </c>
      <c r="Q118" s="2" t="s">
        <v>1544</v>
      </c>
      <c r="S118" s="5" t="s">
        <v>1503</v>
      </c>
      <c r="V118" s="5" t="s">
        <v>1521</v>
      </c>
    </row>
    <row r="119" spans="1:22" ht="30" customHeight="1" x14ac:dyDescent="0.5">
      <c r="A119" s="7" t="s">
        <v>35</v>
      </c>
      <c r="B119" s="7" t="s">
        <v>861</v>
      </c>
      <c r="C119" s="8">
        <v>1106700010010</v>
      </c>
      <c r="D119" s="7" t="s">
        <v>114</v>
      </c>
      <c r="E119" s="7" t="s">
        <v>864</v>
      </c>
      <c r="F119" s="7">
        <v>2003</v>
      </c>
      <c r="G119" s="7" t="s">
        <v>19</v>
      </c>
      <c r="H119" s="7" t="s">
        <v>104</v>
      </c>
      <c r="I119" s="8" t="s">
        <v>865</v>
      </c>
      <c r="J119" s="2" t="s">
        <v>1471</v>
      </c>
      <c r="K119" s="2" t="s">
        <v>1548</v>
      </c>
      <c r="L119" s="2" t="s">
        <v>1564</v>
      </c>
      <c r="M119" s="2" t="s">
        <v>1584</v>
      </c>
      <c r="N119" s="10" t="s">
        <v>1812</v>
      </c>
      <c r="O119" s="2"/>
      <c r="P119" s="2"/>
      <c r="Q119" s="2" t="s">
        <v>1673</v>
      </c>
      <c r="V119" s="5" t="s">
        <v>1522</v>
      </c>
    </row>
    <row r="120" spans="1:22" ht="30" customHeight="1" x14ac:dyDescent="0.5">
      <c r="A120" s="7" t="s">
        <v>35</v>
      </c>
      <c r="B120" s="7" t="s">
        <v>39</v>
      </c>
      <c r="C120" s="8">
        <v>1105700150004</v>
      </c>
      <c r="D120" s="7" t="s">
        <v>40</v>
      </c>
      <c r="E120" s="7" t="s">
        <v>41</v>
      </c>
      <c r="F120" s="7">
        <v>2014</v>
      </c>
      <c r="G120" s="7" t="s">
        <v>19</v>
      </c>
      <c r="H120" s="7" t="s">
        <v>42</v>
      </c>
      <c r="I120" s="8" t="s">
        <v>43</v>
      </c>
      <c r="J120" s="2" t="s">
        <v>1506</v>
      </c>
      <c r="K120" s="2" t="s">
        <v>1548</v>
      </c>
      <c r="L120" s="2" t="s">
        <v>1571</v>
      </c>
      <c r="M120" s="2" t="s">
        <v>1800</v>
      </c>
      <c r="N120" s="10" t="s">
        <v>1801</v>
      </c>
      <c r="O120" s="2"/>
      <c r="P120" s="2" t="s">
        <v>1805</v>
      </c>
      <c r="Q120" s="2" t="s">
        <v>1506</v>
      </c>
      <c r="S120" s="5" t="s">
        <v>1481</v>
      </c>
      <c r="V120" s="5" t="s">
        <v>1523</v>
      </c>
    </row>
    <row r="121" spans="1:22" ht="30" customHeight="1" x14ac:dyDescent="0.5">
      <c r="A121" s="7" t="s">
        <v>35</v>
      </c>
      <c r="B121" s="7" t="s">
        <v>58</v>
      </c>
      <c r="C121" s="8">
        <v>1106700020003</v>
      </c>
      <c r="D121" s="7" t="s">
        <v>54</v>
      </c>
      <c r="E121" s="7" t="s">
        <v>1437</v>
      </c>
      <c r="F121" s="7">
        <v>2012</v>
      </c>
      <c r="G121" s="7" t="s">
        <v>19</v>
      </c>
      <c r="H121" s="7" t="s">
        <v>56</v>
      </c>
      <c r="I121" s="8" t="s">
        <v>60</v>
      </c>
      <c r="J121" s="2" t="s">
        <v>1471</v>
      </c>
      <c r="K121" s="2" t="s">
        <v>1548</v>
      </c>
      <c r="L121" s="2" t="s">
        <v>1564</v>
      </c>
      <c r="M121" s="2" t="s">
        <v>1806</v>
      </c>
      <c r="N121" s="10" t="s">
        <v>1807</v>
      </c>
      <c r="O121" s="2"/>
      <c r="P121" s="2"/>
      <c r="Q121" s="2" t="s">
        <v>1673</v>
      </c>
      <c r="S121" s="5" t="s">
        <v>1487</v>
      </c>
      <c r="V121" s="5" t="s">
        <v>1524</v>
      </c>
    </row>
    <row r="122" spans="1:22" ht="30" customHeight="1" x14ac:dyDescent="0.5">
      <c r="A122" s="7" t="s">
        <v>263</v>
      </c>
      <c r="B122" s="7" t="s">
        <v>632</v>
      </c>
      <c r="C122" s="8">
        <v>1204700010003</v>
      </c>
      <c r="D122" s="7" t="s">
        <v>96</v>
      </c>
      <c r="E122" s="7" t="s">
        <v>686</v>
      </c>
      <c r="F122" s="7">
        <v>2000</v>
      </c>
      <c r="G122" s="7" t="s">
        <v>4</v>
      </c>
      <c r="H122" s="7" t="s">
        <v>10</v>
      </c>
      <c r="I122" s="8" t="s">
        <v>687</v>
      </c>
      <c r="J122" s="2" t="s">
        <v>1544</v>
      </c>
      <c r="K122" s="2" t="s">
        <v>1548</v>
      </c>
      <c r="L122" s="2" t="s">
        <v>1564</v>
      </c>
      <c r="M122" s="2" t="s">
        <v>1880</v>
      </c>
      <c r="N122" s="10" t="s">
        <v>1881</v>
      </c>
      <c r="O122" s="2"/>
      <c r="P122" s="2"/>
      <c r="Q122" s="2"/>
      <c r="V122" s="5" t="s">
        <v>1525</v>
      </c>
    </row>
    <row r="123" spans="1:22" ht="30" customHeight="1" x14ac:dyDescent="0.5">
      <c r="A123" s="7" t="s">
        <v>263</v>
      </c>
      <c r="B123" s="7" t="s">
        <v>1225</v>
      </c>
      <c r="C123" s="8">
        <v>1204700030002</v>
      </c>
      <c r="D123" s="7" t="s">
        <v>1223</v>
      </c>
      <c r="E123" s="7" t="s">
        <v>1403</v>
      </c>
      <c r="F123" s="7">
        <v>2002</v>
      </c>
      <c r="G123" s="7" t="s">
        <v>19</v>
      </c>
      <c r="H123" s="7" t="s">
        <v>384</v>
      </c>
      <c r="I123" s="8" t="s">
        <v>1404</v>
      </c>
      <c r="J123" s="2" t="s">
        <v>1544</v>
      </c>
      <c r="K123" s="9" t="s">
        <v>1553</v>
      </c>
      <c r="L123" s="2" t="s">
        <v>1564</v>
      </c>
      <c r="M123" s="2" t="s">
        <v>1639</v>
      </c>
      <c r="N123" s="2" t="s">
        <v>1881</v>
      </c>
      <c r="O123" s="2"/>
      <c r="P123" s="2"/>
      <c r="Q123" s="2" t="s">
        <v>1544</v>
      </c>
      <c r="V123" s="5" t="s">
        <v>1526</v>
      </c>
    </row>
    <row r="124" spans="1:22" ht="30" customHeight="1" x14ac:dyDescent="0.5">
      <c r="A124" s="7" t="s">
        <v>35</v>
      </c>
      <c r="B124" s="7" t="s">
        <v>770</v>
      </c>
      <c r="C124" s="8">
        <v>1101700010006</v>
      </c>
      <c r="D124" s="7" t="s">
        <v>1551</v>
      </c>
      <c r="E124" s="7" t="s">
        <v>771</v>
      </c>
      <c r="F124" s="7">
        <v>2010</v>
      </c>
      <c r="G124" s="7" t="s">
        <v>19</v>
      </c>
      <c r="H124" s="7" t="s">
        <v>52</v>
      </c>
      <c r="I124" s="8" t="s">
        <v>772</v>
      </c>
      <c r="J124" s="2" t="s">
        <v>1662</v>
      </c>
      <c r="K124" s="2" t="s">
        <v>1548</v>
      </c>
      <c r="L124" s="2" t="s">
        <v>1564</v>
      </c>
      <c r="M124" s="2" t="s">
        <v>1781</v>
      </c>
      <c r="N124" s="10" t="s">
        <v>1782</v>
      </c>
      <c r="O124" s="2"/>
      <c r="P124" s="2"/>
      <c r="Q124" s="2" t="s">
        <v>1695</v>
      </c>
      <c r="V124" s="5" t="s">
        <v>1527</v>
      </c>
    </row>
    <row r="125" spans="1:22" ht="30" customHeight="1" x14ac:dyDescent="0.5">
      <c r="A125" s="7" t="s">
        <v>35</v>
      </c>
      <c r="B125" s="7" t="s">
        <v>854</v>
      </c>
      <c r="C125" s="8">
        <v>1101700010006</v>
      </c>
      <c r="D125" s="7" t="s">
        <v>1551</v>
      </c>
      <c r="E125" s="7" t="s">
        <v>855</v>
      </c>
      <c r="F125" s="7">
        <v>2015</v>
      </c>
      <c r="G125" s="7" t="s">
        <v>19</v>
      </c>
      <c r="H125" s="7" t="s">
        <v>52</v>
      </c>
      <c r="I125" s="8" t="s">
        <v>856</v>
      </c>
      <c r="J125" s="2" t="s">
        <v>1477</v>
      </c>
      <c r="K125" s="2" t="s">
        <v>1548</v>
      </c>
      <c r="L125" s="2" t="s">
        <v>1559</v>
      </c>
      <c r="M125" s="2" t="s">
        <v>1559</v>
      </c>
      <c r="N125" s="10" t="s">
        <v>1779</v>
      </c>
      <c r="O125" s="2"/>
      <c r="P125" s="2" t="s">
        <v>1780</v>
      </c>
      <c r="Q125" s="2" t="s">
        <v>1695</v>
      </c>
      <c r="V125" s="5" t="s">
        <v>1528</v>
      </c>
    </row>
    <row r="126" spans="1:22" ht="30" customHeight="1" x14ac:dyDescent="0.5">
      <c r="A126" s="7" t="s">
        <v>263</v>
      </c>
      <c r="B126" s="7" t="s">
        <v>632</v>
      </c>
      <c r="C126" s="8">
        <v>1106700010003</v>
      </c>
      <c r="D126" s="7" t="s">
        <v>102</v>
      </c>
      <c r="E126" s="7" t="s">
        <v>669</v>
      </c>
      <c r="F126" s="7">
        <v>1989</v>
      </c>
      <c r="G126" s="7" t="s">
        <v>19</v>
      </c>
      <c r="H126" s="7" t="s">
        <v>104</v>
      </c>
      <c r="I126" s="8">
        <v>34600155417060</v>
      </c>
      <c r="J126" s="2" t="s">
        <v>1525</v>
      </c>
      <c r="K126" s="2" t="s">
        <v>1548</v>
      </c>
      <c r="L126" s="2" t="s">
        <v>1564</v>
      </c>
      <c r="M126" s="2" t="s">
        <v>1872</v>
      </c>
      <c r="N126" s="2" t="s">
        <v>1873</v>
      </c>
      <c r="O126" s="2"/>
      <c r="P126" s="2" t="s">
        <v>1814</v>
      </c>
      <c r="Q126" s="2" t="s">
        <v>1706</v>
      </c>
      <c r="V126" s="5" t="s">
        <v>1529</v>
      </c>
    </row>
    <row r="127" spans="1:22" ht="30" customHeight="1" x14ac:dyDescent="0.5">
      <c r="A127" s="7" t="s">
        <v>263</v>
      </c>
      <c r="B127" s="7" t="s">
        <v>465</v>
      </c>
      <c r="C127" s="8">
        <v>1204700010003</v>
      </c>
      <c r="D127" s="7" t="s">
        <v>96</v>
      </c>
      <c r="E127" s="7" t="s">
        <v>471</v>
      </c>
      <c r="F127" s="7">
        <v>2002</v>
      </c>
      <c r="G127" s="7" t="s">
        <v>4</v>
      </c>
      <c r="H127" s="7" t="s">
        <v>10</v>
      </c>
      <c r="I127" s="8" t="s">
        <v>472</v>
      </c>
      <c r="J127" s="2" t="s">
        <v>1471</v>
      </c>
      <c r="K127" s="2" t="s">
        <v>1548</v>
      </c>
      <c r="L127" s="2" t="s">
        <v>1564</v>
      </c>
      <c r="M127" s="2" t="s">
        <v>1885</v>
      </c>
      <c r="N127" s="10" t="s">
        <v>1886</v>
      </c>
      <c r="O127" s="2"/>
      <c r="P127" s="2"/>
      <c r="Q127" s="2" t="s">
        <v>1671</v>
      </c>
      <c r="V127" s="5" t="s">
        <v>1530</v>
      </c>
    </row>
    <row r="128" spans="1:22" ht="30" customHeight="1" x14ac:dyDescent="0.5">
      <c r="A128" s="7" t="s">
        <v>263</v>
      </c>
      <c r="B128" s="7" t="s">
        <v>534</v>
      </c>
      <c r="C128" s="8">
        <v>1105700010006</v>
      </c>
      <c r="D128" s="7" t="s">
        <v>454</v>
      </c>
      <c r="E128" s="7" t="s">
        <v>537</v>
      </c>
      <c r="F128" s="7">
        <v>2012</v>
      </c>
      <c r="G128" s="7" t="s">
        <v>19</v>
      </c>
      <c r="H128" s="7" t="s">
        <v>42</v>
      </c>
      <c r="I128" s="8" t="s">
        <v>538</v>
      </c>
      <c r="J128" s="2" t="s">
        <v>1663</v>
      </c>
      <c r="K128" s="9" t="s">
        <v>1553</v>
      </c>
      <c r="L128" s="2" t="s">
        <v>1559</v>
      </c>
      <c r="M128" s="2" t="s">
        <v>1559</v>
      </c>
      <c r="N128" s="2" t="s">
        <v>1950</v>
      </c>
      <c r="O128" s="2"/>
      <c r="P128" s="2"/>
      <c r="Q128" s="2" t="s">
        <v>1710</v>
      </c>
      <c r="V128" s="5" t="s">
        <v>1531</v>
      </c>
    </row>
    <row r="129" spans="1:22" ht="30" customHeight="1" x14ac:dyDescent="0.5">
      <c r="A129" s="7" t="s">
        <v>35</v>
      </c>
      <c r="B129" s="7" t="s">
        <v>901</v>
      </c>
      <c r="C129" s="8">
        <v>1106700020003</v>
      </c>
      <c r="D129" s="7" t="s">
        <v>54</v>
      </c>
      <c r="E129" s="7" t="s">
        <v>904</v>
      </c>
      <c r="F129" s="7">
        <v>2011</v>
      </c>
      <c r="G129" s="7" t="s">
        <v>19</v>
      </c>
      <c r="H129" s="7" t="s">
        <v>56</v>
      </c>
      <c r="I129" s="8" t="s">
        <v>905</v>
      </c>
      <c r="J129" s="2" t="s">
        <v>1498</v>
      </c>
      <c r="K129" s="2" t="s">
        <v>1548</v>
      </c>
      <c r="L129" s="2" t="s">
        <v>1571</v>
      </c>
      <c r="M129" s="2" t="s">
        <v>1840</v>
      </c>
      <c r="N129" s="10" t="s">
        <v>1841</v>
      </c>
      <c r="O129" s="2"/>
      <c r="P129" s="2"/>
      <c r="Q129" s="2" t="s">
        <v>1717</v>
      </c>
      <c r="V129" s="5" t="s">
        <v>1532</v>
      </c>
    </row>
    <row r="130" spans="1:22" ht="30" customHeight="1" x14ac:dyDescent="0.5">
      <c r="A130" s="7" t="s">
        <v>35</v>
      </c>
      <c r="B130" s="7" t="s">
        <v>776</v>
      </c>
      <c r="C130" s="8">
        <v>1101700010006</v>
      </c>
      <c r="D130" s="7" t="s">
        <v>1551</v>
      </c>
      <c r="E130" s="7" t="s">
        <v>777</v>
      </c>
      <c r="F130" s="7">
        <v>2010</v>
      </c>
      <c r="G130" s="7" t="s">
        <v>19</v>
      </c>
      <c r="H130" s="7" t="s">
        <v>52</v>
      </c>
      <c r="I130" s="8" t="s">
        <v>778</v>
      </c>
      <c r="J130" s="2" t="s">
        <v>1663</v>
      </c>
      <c r="K130" s="2" t="s">
        <v>1548</v>
      </c>
      <c r="L130" s="2" t="s">
        <v>1564</v>
      </c>
      <c r="M130" s="2" t="s">
        <v>1783</v>
      </c>
      <c r="N130" s="2" t="s">
        <v>1793</v>
      </c>
      <c r="O130" s="2"/>
      <c r="P130" s="2"/>
      <c r="Q130" s="2" t="s">
        <v>1695</v>
      </c>
      <c r="V130" s="5" t="s">
        <v>1533</v>
      </c>
    </row>
    <row r="131" spans="1:22" ht="30" customHeight="1" x14ac:dyDescent="0.5">
      <c r="A131" s="7" t="s">
        <v>35</v>
      </c>
      <c r="B131" s="7" t="s">
        <v>776</v>
      </c>
      <c r="C131" s="8">
        <v>1102700010004</v>
      </c>
      <c r="D131" s="7" t="s">
        <v>64</v>
      </c>
      <c r="E131" s="7" t="s">
        <v>779</v>
      </c>
      <c r="F131" s="7">
        <v>2012</v>
      </c>
      <c r="G131" s="7" t="s">
        <v>19</v>
      </c>
      <c r="H131" s="7" t="s">
        <v>66</v>
      </c>
      <c r="I131" s="8" t="s">
        <v>780</v>
      </c>
      <c r="J131" s="2" t="s">
        <v>1506</v>
      </c>
      <c r="K131" s="2" t="s">
        <v>1548</v>
      </c>
      <c r="L131" s="2" t="s">
        <v>1564</v>
      </c>
      <c r="M131" s="2" t="s">
        <v>1794</v>
      </c>
      <c r="N131" s="2" t="s">
        <v>1793</v>
      </c>
      <c r="O131" s="2"/>
      <c r="P131" s="2"/>
      <c r="Q131" s="2" t="s">
        <v>1696</v>
      </c>
      <c r="V131" s="5" t="s">
        <v>1534</v>
      </c>
    </row>
    <row r="132" spans="1:22" ht="30" customHeight="1" x14ac:dyDescent="0.5">
      <c r="A132" s="7" t="s">
        <v>35</v>
      </c>
      <c r="B132" s="7" t="s">
        <v>938</v>
      </c>
      <c r="C132" s="8">
        <v>1106700020003</v>
      </c>
      <c r="D132" s="7" t="s">
        <v>54</v>
      </c>
      <c r="E132" s="7" t="s">
        <v>940</v>
      </c>
      <c r="F132" s="7">
        <v>2013</v>
      </c>
      <c r="G132" s="7" t="s">
        <v>19</v>
      </c>
      <c r="H132" s="7" t="s">
        <v>56</v>
      </c>
      <c r="I132" s="8" t="s">
        <v>941</v>
      </c>
      <c r="J132" s="2" t="s">
        <v>1518</v>
      </c>
      <c r="K132" s="2" t="s">
        <v>1548</v>
      </c>
      <c r="L132" s="2" t="s">
        <v>1564</v>
      </c>
      <c r="M132" s="2" t="s">
        <v>1833</v>
      </c>
      <c r="N132" s="2" t="s">
        <v>1793</v>
      </c>
      <c r="O132" s="2"/>
      <c r="P132" s="2"/>
      <c r="Q132" s="2" t="s">
        <v>1684</v>
      </c>
      <c r="V132" s="5" t="s">
        <v>1535</v>
      </c>
    </row>
    <row r="133" spans="1:22" ht="30" customHeight="1" x14ac:dyDescent="0.5">
      <c r="A133" s="7" t="s">
        <v>263</v>
      </c>
      <c r="B133" s="7" t="s">
        <v>1225</v>
      </c>
      <c r="C133" s="8">
        <v>1204700020003</v>
      </c>
      <c r="D133" s="7" t="s">
        <v>13</v>
      </c>
      <c r="E133" s="7" t="s">
        <v>1397</v>
      </c>
      <c r="F133" s="7">
        <v>2009</v>
      </c>
      <c r="G133" s="7" t="s">
        <v>19</v>
      </c>
      <c r="H133" s="7" t="s">
        <v>10</v>
      </c>
      <c r="I133" s="8" t="s">
        <v>1398</v>
      </c>
      <c r="J133" s="2" t="s">
        <v>1544</v>
      </c>
      <c r="K133" s="2" t="s">
        <v>1548</v>
      </c>
      <c r="L133" s="2" t="s">
        <v>1564</v>
      </c>
      <c r="M133" s="2" t="s">
        <v>1884</v>
      </c>
      <c r="N133" s="2" t="s">
        <v>1793</v>
      </c>
      <c r="O133" s="2"/>
      <c r="P133" s="2"/>
      <c r="Q133" s="2" t="s">
        <v>1544</v>
      </c>
      <c r="V133" s="5" t="s">
        <v>1536</v>
      </c>
    </row>
    <row r="134" spans="1:22" ht="30" customHeight="1" x14ac:dyDescent="0.5">
      <c r="A134" s="7" t="s">
        <v>263</v>
      </c>
      <c r="B134" s="7" t="s">
        <v>632</v>
      </c>
      <c r="C134" s="8">
        <v>1105700080001</v>
      </c>
      <c r="D134" s="7" t="s">
        <v>302</v>
      </c>
      <c r="E134" s="7" t="s">
        <v>654</v>
      </c>
      <c r="F134" s="7">
        <v>2010</v>
      </c>
      <c r="G134" s="7" t="s">
        <v>19</v>
      </c>
      <c r="H134" s="7" t="s">
        <v>20</v>
      </c>
      <c r="I134" s="8" t="s">
        <v>655</v>
      </c>
      <c r="J134" s="2" t="s">
        <v>1544</v>
      </c>
      <c r="K134" s="2" t="s">
        <v>1548</v>
      </c>
      <c r="L134" s="2" t="s">
        <v>1559</v>
      </c>
      <c r="M134" s="2" t="s">
        <v>1559</v>
      </c>
      <c r="N134" s="10" t="s">
        <v>1577</v>
      </c>
      <c r="O134" s="2"/>
      <c r="P134" s="2"/>
      <c r="Q134" s="2"/>
      <c r="V134" s="5" t="s">
        <v>1537</v>
      </c>
    </row>
    <row r="135" spans="1:22" ht="30" customHeight="1" x14ac:dyDescent="0.5">
      <c r="A135" s="7" t="s">
        <v>263</v>
      </c>
      <c r="B135" s="7" t="s">
        <v>270</v>
      </c>
      <c r="C135" s="8">
        <v>1204700010003</v>
      </c>
      <c r="D135" s="7" t="s">
        <v>96</v>
      </c>
      <c r="E135" s="7" t="s">
        <v>373</v>
      </c>
      <c r="F135" s="7">
        <v>2008</v>
      </c>
      <c r="G135" s="7" t="s">
        <v>19</v>
      </c>
      <c r="H135" s="7" t="s">
        <v>10</v>
      </c>
      <c r="I135" s="8" t="s">
        <v>374</v>
      </c>
      <c r="J135" s="2" t="s">
        <v>1549</v>
      </c>
      <c r="K135" s="2" t="s">
        <v>1548</v>
      </c>
      <c r="L135" s="2" t="s">
        <v>1571</v>
      </c>
      <c r="M135" s="2" t="s">
        <v>1883</v>
      </c>
      <c r="N135" s="10" t="s">
        <v>1642</v>
      </c>
      <c r="O135" s="2"/>
      <c r="P135" s="2"/>
      <c r="Q135" s="2"/>
      <c r="V135" s="5" t="s">
        <v>1538</v>
      </c>
    </row>
    <row r="136" spans="1:22" ht="30" customHeight="1" x14ac:dyDescent="0.5">
      <c r="A136" s="7" t="s">
        <v>263</v>
      </c>
      <c r="B136" s="7" t="s">
        <v>1225</v>
      </c>
      <c r="C136" s="8">
        <v>1106700020010</v>
      </c>
      <c r="D136" s="7" t="s">
        <v>210</v>
      </c>
      <c r="E136" s="7" t="s">
        <v>1361</v>
      </c>
      <c r="F136" s="7">
        <v>2009</v>
      </c>
      <c r="G136" s="7" t="s">
        <v>19</v>
      </c>
      <c r="H136" s="7" t="s">
        <v>52</v>
      </c>
      <c r="I136" s="8" t="s">
        <v>1362</v>
      </c>
      <c r="J136" s="2" t="s">
        <v>1549</v>
      </c>
      <c r="K136" s="11" t="s">
        <v>1912</v>
      </c>
      <c r="L136" s="2"/>
      <c r="M136" s="2"/>
      <c r="N136" s="10" t="s">
        <v>1642</v>
      </c>
      <c r="O136" s="2" t="s">
        <v>1934</v>
      </c>
      <c r="P136" s="2" t="s">
        <v>1926</v>
      </c>
      <c r="Q136" s="2" t="s">
        <v>1493</v>
      </c>
      <c r="V136" s="5" t="s">
        <v>1539</v>
      </c>
    </row>
    <row r="137" spans="1:22" ht="30" customHeight="1" x14ac:dyDescent="0.5">
      <c r="A137" s="7" t="s">
        <v>263</v>
      </c>
      <c r="B137" s="7" t="s">
        <v>632</v>
      </c>
      <c r="C137" s="8">
        <v>1107700010002</v>
      </c>
      <c r="D137" s="7" t="s">
        <v>680</v>
      </c>
      <c r="E137" s="7" t="s">
        <v>681</v>
      </c>
      <c r="F137" s="7">
        <v>2007</v>
      </c>
      <c r="G137" s="7" t="s">
        <v>19</v>
      </c>
      <c r="H137" s="7" t="s">
        <v>351</v>
      </c>
      <c r="I137" s="8" t="s">
        <v>682</v>
      </c>
      <c r="J137" s="2" t="s">
        <v>1544</v>
      </c>
      <c r="K137" s="2" t="s">
        <v>1548</v>
      </c>
      <c r="L137" s="2" t="s">
        <v>1564</v>
      </c>
      <c r="M137" s="2" t="s">
        <v>1573</v>
      </c>
      <c r="N137" s="10" t="s">
        <v>1574</v>
      </c>
      <c r="O137" s="2"/>
      <c r="P137" s="2"/>
      <c r="Q137" s="2"/>
      <c r="V137" s="5" t="s">
        <v>1540</v>
      </c>
    </row>
    <row r="138" spans="1:22" ht="30" customHeight="1" x14ac:dyDescent="0.5">
      <c r="A138" s="7" t="s">
        <v>263</v>
      </c>
      <c r="B138" s="7" t="s">
        <v>1225</v>
      </c>
      <c r="C138" s="8">
        <v>1101700020004</v>
      </c>
      <c r="D138" s="7" t="s">
        <v>869</v>
      </c>
      <c r="E138" s="7" t="s">
        <v>1247</v>
      </c>
      <c r="F138" s="7">
        <v>2002</v>
      </c>
      <c r="G138" s="7" t="s">
        <v>19</v>
      </c>
      <c r="H138" s="7" t="s">
        <v>52</v>
      </c>
      <c r="I138" s="8" t="s">
        <v>1248</v>
      </c>
      <c r="J138" s="2" t="s">
        <v>1549</v>
      </c>
      <c r="K138" s="9" t="s">
        <v>1553</v>
      </c>
      <c r="L138" s="2" t="s">
        <v>1571</v>
      </c>
      <c r="M138" s="2" t="s">
        <v>1598</v>
      </c>
      <c r="N138" s="2" t="s">
        <v>1955</v>
      </c>
      <c r="O138" s="2"/>
      <c r="P138" s="2"/>
      <c r="Q138" s="2" t="s">
        <v>1652</v>
      </c>
      <c r="V138" s="5" t="s">
        <v>1541</v>
      </c>
    </row>
    <row r="139" spans="1:22" ht="30" customHeight="1" x14ac:dyDescent="0.5">
      <c r="A139" s="7" t="s">
        <v>263</v>
      </c>
      <c r="B139" s="7" t="s">
        <v>1225</v>
      </c>
      <c r="C139" s="8">
        <v>1106700020010</v>
      </c>
      <c r="D139" s="7" t="s">
        <v>210</v>
      </c>
      <c r="E139" s="7" t="s">
        <v>1363</v>
      </c>
      <c r="F139" s="7">
        <v>2009</v>
      </c>
      <c r="G139" s="7" t="s">
        <v>19</v>
      </c>
      <c r="H139" s="7" t="s">
        <v>52</v>
      </c>
      <c r="I139" s="8" t="s">
        <v>1364</v>
      </c>
      <c r="J139" s="2" t="s">
        <v>1549</v>
      </c>
      <c r="K139" s="2" t="s">
        <v>1548</v>
      </c>
      <c r="L139" s="2" t="s">
        <v>1564</v>
      </c>
      <c r="M139" s="2" t="s">
        <v>1592</v>
      </c>
      <c r="N139" s="10" t="s">
        <v>1593</v>
      </c>
      <c r="O139" s="2"/>
      <c r="P139" s="2"/>
      <c r="Q139" s="2"/>
      <c r="V139" s="5" t="s">
        <v>1542</v>
      </c>
    </row>
    <row r="140" spans="1:22" ht="30" customHeight="1" x14ac:dyDescent="0.5">
      <c r="A140" s="7" t="s">
        <v>263</v>
      </c>
      <c r="B140" s="7" t="s">
        <v>1225</v>
      </c>
      <c r="C140" s="8">
        <v>1101700020004</v>
      </c>
      <c r="D140" s="7" t="s">
        <v>869</v>
      </c>
      <c r="E140" s="7" t="s">
        <v>1249</v>
      </c>
      <c r="F140" s="7">
        <v>2002</v>
      </c>
      <c r="G140" s="7" t="s">
        <v>19</v>
      </c>
      <c r="H140" s="7" t="s">
        <v>52</v>
      </c>
      <c r="I140" s="8" t="s">
        <v>1250</v>
      </c>
      <c r="J140" s="2" t="s">
        <v>1544</v>
      </c>
      <c r="K140" s="9" t="s">
        <v>1552</v>
      </c>
      <c r="L140" s="2" t="s">
        <v>1571</v>
      </c>
      <c r="M140" s="2" t="s">
        <v>1609</v>
      </c>
      <c r="N140" s="2" t="s">
        <v>1971</v>
      </c>
      <c r="O140" s="2"/>
      <c r="P140" s="2"/>
      <c r="Q140" s="2" t="s">
        <v>1544</v>
      </c>
      <c r="V140" s="5" t="s">
        <v>1543</v>
      </c>
    </row>
    <row r="141" spans="1:22" ht="30" customHeight="1" x14ac:dyDescent="0.5">
      <c r="A141" s="7" t="s">
        <v>263</v>
      </c>
      <c r="B141" s="7" t="s">
        <v>509</v>
      </c>
      <c r="C141" s="8">
        <v>1102700020004</v>
      </c>
      <c r="D141" s="7" t="s">
        <v>136</v>
      </c>
      <c r="E141" s="7" t="s">
        <v>510</v>
      </c>
      <c r="F141" s="7">
        <v>2015</v>
      </c>
      <c r="G141" s="7" t="s">
        <v>19</v>
      </c>
      <c r="H141" s="7" t="s">
        <v>66</v>
      </c>
      <c r="I141" s="8" t="s">
        <v>511</v>
      </c>
      <c r="J141" s="2" t="s">
        <v>1549</v>
      </c>
      <c r="K141" s="2" t="s">
        <v>1548</v>
      </c>
      <c r="L141" s="2" t="s">
        <v>1564</v>
      </c>
      <c r="M141" s="2" t="s">
        <v>1783</v>
      </c>
      <c r="N141" s="10" t="s">
        <v>1784</v>
      </c>
      <c r="O141" s="2"/>
      <c r="P141" s="2" t="s">
        <v>1477</v>
      </c>
      <c r="Q141" s="2" t="s">
        <v>1695</v>
      </c>
      <c r="V141" s="5" t="s">
        <v>1544</v>
      </c>
    </row>
    <row r="142" spans="1:22" ht="30" customHeight="1" x14ac:dyDescent="0.5">
      <c r="A142" s="7" t="s">
        <v>263</v>
      </c>
      <c r="B142" s="7" t="s">
        <v>632</v>
      </c>
      <c r="C142" s="8">
        <v>1204700020003</v>
      </c>
      <c r="D142" s="7" t="s">
        <v>13</v>
      </c>
      <c r="E142" s="7" t="s">
        <v>691</v>
      </c>
      <c r="F142" s="7">
        <v>2008</v>
      </c>
      <c r="G142" s="7" t="s">
        <v>19</v>
      </c>
      <c r="H142" s="7" t="s">
        <v>15</v>
      </c>
      <c r="I142" s="8" t="s">
        <v>692</v>
      </c>
      <c r="J142" s="2" t="s">
        <v>1549</v>
      </c>
      <c r="K142" s="2" t="s">
        <v>1548</v>
      </c>
      <c r="L142" s="2" t="s">
        <v>1564</v>
      </c>
      <c r="M142" s="2" t="s">
        <v>1731</v>
      </c>
      <c r="N142" s="10" t="s">
        <v>1882</v>
      </c>
      <c r="O142" s="2"/>
      <c r="P142" s="2"/>
      <c r="Q142" s="2"/>
      <c r="V142" s="5" t="s">
        <v>1549</v>
      </c>
    </row>
    <row r="143" spans="1:22" ht="30" customHeight="1" x14ac:dyDescent="0.5">
      <c r="A143" s="7" t="s">
        <v>263</v>
      </c>
      <c r="B143" s="7" t="s">
        <v>509</v>
      </c>
      <c r="C143" s="8">
        <v>1204700020003</v>
      </c>
      <c r="D143" s="7" t="s">
        <v>13</v>
      </c>
      <c r="E143" s="7" t="s">
        <v>526</v>
      </c>
      <c r="F143" s="7">
        <v>2009</v>
      </c>
      <c r="G143" s="7" t="s">
        <v>19</v>
      </c>
      <c r="H143" s="7" t="s">
        <v>10</v>
      </c>
      <c r="I143" s="8" t="s">
        <v>527</v>
      </c>
      <c r="J143" s="2" t="s">
        <v>1477</v>
      </c>
      <c r="K143" s="2" t="s">
        <v>1548</v>
      </c>
      <c r="L143" s="2" t="s">
        <v>1564</v>
      </c>
      <c r="M143" s="2" t="s">
        <v>1887</v>
      </c>
      <c r="N143" s="10" t="s">
        <v>1888</v>
      </c>
      <c r="O143" s="2"/>
      <c r="P143" s="2"/>
      <c r="Q143" s="2" t="s">
        <v>1689</v>
      </c>
      <c r="V143" s="5" t="s">
        <v>1555</v>
      </c>
    </row>
    <row r="144" spans="1:22" ht="30" customHeight="1" x14ac:dyDescent="0.5">
      <c r="A144" s="7" t="s">
        <v>35</v>
      </c>
      <c r="B144" s="7" t="s">
        <v>760</v>
      </c>
      <c r="C144" s="8">
        <v>1101700010006</v>
      </c>
      <c r="D144" s="7" t="s">
        <v>1551</v>
      </c>
      <c r="E144" s="7" t="s">
        <v>761</v>
      </c>
      <c r="F144" s="7">
        <v>2016</v>
      </c>
      <c r="G144" s="7" t="s">
        <v>19</v>
      </c>
      <c r="H144" s="7" t="s">
        <v>52</v>
      </c>
      <c r="I144" s="8" t="s">
        <v>762</v>
      </c>
      <c r="J144" s="2" t="s">
        <v>1487</v>
      </c>
      <c r="K144" s="2" t="s">
        <v>1548</v>
      </c>
      <c r="L144" s="2" t="s">
        <v>1564</v>
      </c>
      <c r="M144" s="2" t="s">
        <v>1757</v>
      </c>
      <c r="N144" s="2" t="s">
        <v>1758</v>
      </c>
      <c r="O144" s="2"/>
      <c r="P144" s="2"/>
      <c r="Q144" s="2" t="s">
        <v>1701</v>
      </c>
      <c r="V144" s="5" t="s">
        <v>1556</v>
      </c>
    </row>
    <row r="145" spans="1:22" ht="30" customHeight="1" x14ac:dyDescent="0.5">
      <c r="A145" s="7" t="s">
        <v>35</v>
      </c>
      <c r="B145" s="7" t="s">
        <v>868</v>
      </c>
      <c r="C145" s="8">
        <v>1101700020004</v>
      </c>
      <c r="D145" s="7" t="s">
        <v>869</v>
      </c>
      <c r="E145" s="7" t="s">
        <v>1457</v>
      </c>
      <c r="F145" s="7">
        <v>2004</v>
      </c>
      <c r="G145" s="7" t="s">
        <v>19</v>
      </c>
      <c r="H145" s="7" t="s">
        <v>52</v>
      </c>
      <c r="I145" s="8" t="s">
        <v>870</v>
      </c>
      <c r="J145" s="2" t="s">
        <v>1549</v>
      </c>
      <c r="K145" s="9" t="s">
        <v>1552</v>
      </c>
      <c r="L145" s="2" t="s">
        <v>1565</v>
      </c>
      <c r="M145" s="2" t="s">
        <v>1956</v>
      </c>
      <c r="N145" s="2" t="s">
        <v>1957</v>
      </c>
      <c r="O145" s="2"/>
      <c r="P145" s="2"/>
      <c r="Q145" s="2" t="s">
        <v>1719</v>
      </c>
      <c r="V145" s="5" t="s">
        <v>1557</v>
      </c>
    </row>
    <row r="146" spans="1:22" ht="30" customHeight="1" x14ac:dyDescent="0.5">
      <c r="A146" s="7" t="s">
        <v>263</v>
      </c>
      <c r="B146" s="7" t="s">
        <v>270</v>
      </c>
      <c r="C146" s="8">
        <v>1105700140001</v>
      </c>
      <c r="D146" s="7" t="s">
        <v>314</v>
      </c>
      <c r="E146" s="7" t="s">
        <v>315</v>
      </c>
      <c r="F146" s="7">
        <v>2012</v>
      </c>
      <c r="G146" s="7" t="s">
        <v>19</v>
      </c>
      <c r="H146" s="7" t="s">
        <v>42</v>
      </c>
      <c r="I146" s="8" t="s">
        <v>316</v>
      </c>
      <c r="J146" s="2" t="s">
        <v>1544</v>
      </c>
      <c r="K146" s="2" t="s">
        <v>1548</v>
      </c>
      <c r="L146" s="2" t="s">
        <v>1571</v>
      </c>
      <c r="M146" s="2" t="s">
        <v>1616</v>
      </c>
      <c r="N146" s="2" t="s">
        <v>1617</v>
      </c>
      <c r="O146" s="2"/>
      <c r="P146" s="2"/>
      <c r="Q146" s="2"/>
      <c r="V146" s="5" t="s">
        <v>1558</v>
      </c>
    </row>
    <row r="147" spans="1:22" ht="30" customHeight="1" x14ac:dyDescent="0.5">
      <c r="A147" s="7" t="s">
        <v>35</v>
      </c>
      <c r="B147" s="7" t="s">
        <v>153</v>
      </c>
      <c r="C147" s="8">
        <v>1106700020003</v>
      </c>
      <c r="D147" s="7" t="s">
        <v>54</v>
      </c>
      <c r="E147" s="7" t="s">
        <v>164</v>
      </c>
      <c r="F147" s="7">
        <v>2013</v>
      </c>
      <c r="G147" s="7" t="s">
        <v>19</v>
      </c>
      <c r="H147" s="7" t="s">
        <v>56</v>
      </c>
      <c r="I147" s="8" t="s">
        <v>165</v>
      </c>
      <c r="J147" s="2" t="s">
        <v>1537</v>
      </c>
      <c r="K147" s="2" t="s">
        <v>1548</v>
      </c>
      <c r="L147" s="2" t="s">
        <v>1559</v>
      </c>
      <c r="M147" s="2" t="s">
        <v>1559</v>
      </c>
      <c r="N147" s="10" t="s">
        <v>1854</v>
      </c>
      <c r="O147" s="2"/>
      <c r="P147" s="2"/>
      <c r="Q147" s="2" t="s">
        <v>1725</v>
      </c>
      <c r="S147" s="5" t="s">
        <v>1530</v>
      </c>
      <c r="V147" s="5" t="s">
        <v>1661</v>
      </c>
    </row>
    <row r="148" spans="1:22" ht="30" customHeight="1" x14ac:dyDescent="0.5">
      <c r="A148" s="7" t="s">
        <v>263</v>
      </c>
      <c r="B148" s="7" t="s">
        <v>270</v>
      </c>
      <c r="C148" s="8">
        <v>1106700020003</v>
      </c>
      <c r="D148" s="7" t="s">
        <v>54</v>
      </c>
      <c r="E148" s="7" t="s">
        <v>341</v>
      </c>
      <c r="F148" s="7">
        <v>2011</v>
      </c>
      <c r="G148" s="7" t="s">
        <v>19</v>
      </c>
      <c r="H148" s="7" t="s">
        <v>56</v>
      </c>
      <c r="I148" s="8" t="s">
        <v>342</v>
      </c>
      <c r="J148" s="2" t="s">
        <v>1544</v>
      </c>
      <c r="K148" s="2" t="s">
        <v>1548</v>
      </c>
      <c r="L148" s="2" t="s">
        <v>1564</v>
      </c>
      <c r="M148" s="2" t="s">
        <v>1594</v>
      </c>
      <c r="N148" s="10" t="s">
        <v>1595</v>
      </c>
      <c r="O148" s="2"/>
      <c r="P148" s="2"/>
      <c r="Q148" s="2"/>
      <c r="V148" s="5" t="s">
        <v>1662</v>
      </c>
    </row>
    <row r="149" spans="1:22" ht="30" customHeight="1" x14ac:dyDescent="0.5">
      <c r="A149" s="7" t="s">
        <v>0</v>
      </c>
      <c r="B149" s="7" t="s">
        <v>240</v>
      </c>
      <c r="C149" s="8">
        <v>1104700010001</v>
      </c>
      <c r="D149" s="7" t="s">
        <v>245</v>
      </c>
      <c r="E149" s="7" t="s">
        <v>246</v>
      </c>
      <c r="F149" s="7">
        <v>2006</v>
      </c>
      <c r="G149" s="7" t="s">
        <v>19</v>
      </c>
      <c r="H149" s="7" t="s">
        <v>247</v>
      </c>
      <c r="I149" s="8" t="s">
        <v>248</v>
      </c>
      <c r="J149" s="2" t="s">
        <v>1549</v>
      </c>
      <c r="K149" s="2" t="s">
        <v>1548</v>
      </c>
      <c r="L149" s="2" t="s">
        <v>1565</v>
      </c>
      <c r="M149" s="2" t="s">
        <v>1628</v>
      </c>
      <c r="N149" s="2" t="s">
        <v>1629</v>
      </c>
      <c r="O149" s="2"/>
      <c r="P149" s="2" t="s">
        <v>1543</v>
      </c>
      <c r="Q149" s="2" t="s">
        <v>1730</v>
      </c>
      <c r="V149" s="5" t="s">
        <v>1663</v>
      </c>
    </row>
    <row r="150" spans="1:22" ht="30" customHeight="1" x14ac:dyDescent="0.5">
      <c r="A150" s="7" t="s">
        <v>35</v>
      </c>
      <c r="B150" s="7" t="s">
        <v>220</v>
      </c>
      <c r="C150" s="8">
        <v>1102700010004</v>
      </c>
      <c r="D150" s="7" t="s">
        <v>64</v>
      </c>
      <c r="E150" s="7" t="s">
        <v>223</v>
      </c>
      <c r="F150" s="7">
        <v>2012</v>
      </c>
      <c r="G150" s="7" t="s">
        <v>19</v>
      </c>
      <c r="H150" s="7" t="s">
        <v>42</v>
      </c>
      <c r="I150" s="8" t="s">
        <v>224</v>
      </c>
      <c r="J150" s="2" t="s">
        <v>1549</v>
      </c>
      <c r="K150" s="2" t="s">
        <v>1548</v>
      </c>
      <c r="L150" s="2" t="s">
        <v>1564</v>
      </c>
      <c r="M150" s="2" t="s">
        <v>1864</v>
      </c>
      <c r="N150" s="10" t="s">
        <v>1865</v>
      </c>
      <c r="O150" s="2"/>
      <c r="P150" s="2"/>
      <c r="Q150" s="2" t="s">
        <v>1708</v>
      </c>
    </row>
    <row r="151" spans="1:22" ht="30" customHeight="1" x14ac:dyDescent="0.5">
      <c r="A151" s="7" t="s">
        <v>263</v>
      </c>
      <c r="B151" s="7" t="s">
        <v>632</v>
      </c>
      <c r="C151" s="8">
        <v>1106700010003</v>
      </c>
      <c r="D151" s="7" t="s">
        <v>102</v>
      </c>
      <c r="E151" s="7" t="s">
        <v>671</v>
      </c>
      <c r="F151" s="7">
        <v>2002</v>
      </c>
      <c r="G151" s="7" t="s">
        <v>19</v>
      </c>
      <c r="H151" s="7" t="s">
        <v>104</v>
      </c>
      <c r="I151" s="8" t="s">
        <v>672</v>
      </c>
      <c r="J151" s="2" t="s">
        <v>1549</v>
      </c>
      <c r="K151" s="2" t="s">
        <v>1548</v>
      </c>
      <c r="L151" s="2" t="s">
        <v>1567</v>
      </c>
      <c r="M151" s="2" t="s">
        <v>1745</v>
      </c>
      <c r="N151" s="2" t="s">
        <v>1746</v>
      </c>
      <c r="O151" s="2"/>
      <c r="P151" s="2"/>
      <c r="Q151" s="2" t="s">
        <v>1723</v>
      </c>
    </row>
    <row r="152" spans="1:22" ht="30" customHeight="1" x14ac:dyDescent="0.5">
      <c r="A152" s="7" t="s">
        <v>35</v>
      </c>
      <c r="B152" s="7" t="s">
        <v>760</v>
      </c>
      <c r="C152" s="8">
        <v>1106700010010</v>
      </c>
      <c r="D152" s="7" t="s">
        <v>114</v>
      </c>
      <c r="E152" s="7" t="s">
        <v>763</v>
      </c>
      <c r="F152" s="7">
        <v>2002</v>
      </c>
      <c r="G152" s="7" t="s">
        <v>19</v>
      </c>
      <c r="H152" s="7" t="s">
        <v>52</v>
      </c>
      <c r="I152" s="8" t="s">
        <v>764</v>
      </c>
      <c r="J152" s="2" t="s">
        <v>1487</v>
      </c>
      <c r="K152" s="2" t="s">
        <v>1548</v>
      </c>
      <c r="L152" s="2" t="s">
        <v>1571</v>
      </c>
      <c r="M152" s="2" t="s">
        <v>1754</v>
      </c>
      <c r="N152" s="2" t="s">
        <v>1746</v>
      </c>
      <c r="O152" s="2"/>
      <c r="P152" s="2"/>
      <c r="Q152" s="2" t="s">
        <v>1701</v>
      </c>
    </row>
    <row r="153" spans="1:22" ht="30" customHeight="1" x14ac:dyDescent="0.5">
      <c r="A153" s="7" t="s">
        <v>35</v>
      </c>
      <c r="B153" s="7" t="s">
        <v>813</v>
      </c>
      <c r="C153" s="8">
        <v>1106700020003</v>
      </c>
      <c r="D153" s="7" t="s">
        <v>54</v>
      </c>
      <c r="E153" s="7" t="s">
        <v>818</v>
      </c>
      <c r="F153" s="7">
        <v>2016</v>
      </c>
      <c r="G153" s="7" t="s">
        <v>19</v>
      </c>
      <c r="H153" s="7" t="s">
        <v>56</v>
      </c>
      <c r="I153" s="8" t="s">
        <v>819</v>
      </c>
      <c r="J153" s="2" t="s">
        <v>1518</v>
      </c>
      <c r="K153" s="2" t="s">
        <v>1548</v>
      </c>
      <c r="L153" s="2" t="s">
        <v>1567</v>
      </c>
      <c r="M153" s="2" t="s">
        <v>1828</v>
      </c>
      <c r="N153" s="2" t="s">
        <v>1829</v>
      </c>
      <c r="O153" s="2"/>
      <c r="P153" s="2" t="s">
        <v>1830</v>
      </c>
      <c r="Q153" s="2" t="s">
        <v>1681</v>
      </c>
    </row>
    <row r="154" spans="1:22" ht="30" customHeight="1" x14ac:dyDescent="0.5">
      <c r="A154" s="7" t="s">
        <v>35</v>
      </c>
      <c r="B154" s="7" t="s">
        <v>881</v>
      </c>
      <c r="C154" s="8">
        <v>1101700010006</v>
      </c>
      <c r="D154" s="7" t="s">
        <v>1551</v>
      </c>
      <c r="E154" s="7" t="s">
        <v>882</v>
      </c>
      <c r="F154" s="7">
        <v>2014</v>
      </c>
      <c r="G154" s="7" t="s">
        <v>19</v>
      </c>
      <c r="H154" s="7" t="s">
        <v>52</v>
      </c>
      <c r="I154" s="8" t="s">
        <v>883</v>
      </c>
      <c r="J154" s="2" t="s">
        <v>1498</v>
      </c>
      <c r="K154" s="2" t="s">
        <v>1548</v>
      </c>
      <c r="L154" s="2" t="s">
        <v>1564</v>
      </c>
      <c r="M154" s="2" t="s">
        <v>1850</v>
      </c>
      <c r="N154" s="10" t="s">
        <v>1767</v>
      </c>
      <c r="O154" s="2"/>
      <c r="P154" s="2"/>
      <c r="Q154" s="2" t="s">
        <v>1718</v>
      </c>
    </row>
    <row r="155" spans="1:22" ht="30" customHeight="1" x14ac:dyDescent="0.5">
      <c r="A155" s="7" t="s">
        <v>35</v>
      </c>
      <c r="B155" s="7" t="s">
        <v>913</v>
      </c>
      <c r="C155" s="8">
        <v>1106700020003</v>
      </c>
      <c r="D155" s="7" t="s">
        <v>54</v>
      </c>
      <c r="E155" s="7" t="s">
        <v>916</v>
      </c>
      <c r="F155" s="7">
        <v>2011</v>
      </c>
      <c r="G155" s="7" t="s">
        <v>19</v>
      </c>
      <c r="H155" s="7" t="s">
        <v>56</v>
      </c>
      <c r="I155" s="8" t="s">
        <v>917</v>
      </c>
      <c r="J155" s="2" t="s">
        <v>1477</v>
      </c>
      <c r="K155" s="2" t="s">
        <v>1548</v>
      </c>
      <c r="L155" s="2" t="s">
        <v>1564</v>
      </c>
      <c r="M155" s="2" t="s">
        <v>1766</v>
      </c>
      <c r="N155" s="10" t="s">
        <v>1767</v>
      </c>
      <c r="O155" s="2"/>
      <c r="P155" s="2"/>
      <c r="Q155" s="2" t="s">
        <v>1690</v>
      </c>
    </row>
    <row r="156" spans="1:22" ht="30" customHeight="1" x14ac:dyDescent="0.5">
      <c r="A156" s="7" t="s">
        <v>35</v>
      </c>
      <c r="B156" s="7" t="s">
        <v>107</v>
      </c>
      <c r="C156" s="8">
        <v>1106700020003</v>
      </c>
      <c r="D156" s="7" t="s">
        <v>54</v>
      </c>
      <c r="E156" s="7" t="s">
        <v>110</v>
      </c>
      <c r="F156" s="7">
        <v>2012</v>
      </c>
      <c r="G156" s="7" t="s">
        <v>19</v>
      </c>
      <c r="H156" s="7" t="s">
        <v>56</v>
      </c>
      <c r="I156" s="8" t="s">
        <v>111</v>
      </c>
      <c r="J156" s="2" t="s">
        <v>1471</v>
      </c>
      <c r="K156" s="2" t="s">
        <v>1548</v>
      </c>
      <c r="L156" s="2" t="s">
        <v>1564</v>
      </c>
      <c r="M156" s="2" t="s">
        <v>1815</v>
      </c>
      <c r="N156" s="2" t="s">
        <v>1816</v>
      </c>
      <c r="O156" s="2"/>
      <c r="P156" s="2"/>
      <c r="Q156" s="2" t="s">
        <v>1672</v>
      </c>
      <c r="S156" s="5" t="s">
        <v>1506</v>
      </c>
    </row>
    <row r="157" spans="1:22" ht="30" customHeight="1" x14ac:dyDescent="0.5">
      <c r="A157" s="7" t="s">
        <v>35</v>
      </c>
      <c r="B157" s="7" t="s">
        <v>118</v>
      </c>
      <c r="C157" s="8">
        <v>1101700010006</v>
      </c>
      <c r="D157" s="7" t="s">
        <v>1551</v>
      </c>
      <c r="E157" s="7" t="s">
        <v>119</v>
      </c>
      <c r="F157" s="7">
        <v>2013</v>
      </c>
      <c r="G157" s="7" t="s">
        <v>19</v>
      </c>
      <c r="H157" s="7" t="s">
        <v>52</v>
      </c>
      <c r="I157" s="8" t="s">
        <v>120</v>
      </c>
      <c r="J157" s="2" t="s">
        <v>1493</v>
      </c>
      <c r="K157" s="2" t="s">
        <v>1548</v>
      </c>
      <c r="L157" s="2" t="s">
        <v>1564</v>
      </c>
      <c r="M157" s="2" t="s">
        <v>1654</v>
      </c>
      <c r="N157" s="2" t="s">
        <v>1655</v>
      </c>
      <c r="O157" s="2"/>
      <c r="P157" s="2" t="s">
        <v>1656</v>
      </c>
      <c r="Q157" s="2" t="s">
        <v>1493</v>
      </c>
      <c r="S157" s="5" t="s">
        <v>1510</v>
      </c>
    </row>
    <row r="158" spans="1:22" ht="30" customHeight="1" x14ac:dyDescent="0.5">
      <c r="A158" s="7" t="s">
        <v>945</v>
      </c>
      <c r="B158" s="7" t="s">
        <v>1178</v>
      </c>
      <c r="C158" s="8">
        <v>1204700020009</v>
      </c>
      <c r="D158" s="7" t="s">
        <v>29</v>
      </c>
      <c r="E158" s="7" t="s">
        <v>1183</v>
      </c>
      <c r="F158" s="7">
        <v>2016</v>
      </c>
      <c r="G158" s="7" t="s">
        <v>19</v>
      </c>
      <c r="H158" s="7" t="s">
        <v>261</v>
      </c>
      <c r="I158" s="8" t="s">
        <v>1184</v>
      </c>
      <c r="J158" s="2" t="s">
        <v>1477</v>
      </c>
      <c r="K158" s="2" t="s">
        <v>1548</v>
      </c>
      <c r="L158" s="2" t="s">
        <v>1564</v>
      </c>
      <c r="M158" s="2" t="s">
        <v>1908</v>
      </c>
      <c r="N158" s="2" t="s">
        <v>1655</v>
      </c>
      <c r="O158" s="2"/>
      <c r="P158" s="2"/>
      <c r="Q158" s="2" t="s">
        <v>1689</v>
      </c>
    </row>
    <row r="159" spans="1:22" ht="30" customHeight="1" x14ac:dyDescent="0.5">
      <c r="A159" s="7" t="s">
        <v>35</v>
      </c>
      <c r="B159" s="7" t="s">
        <v>192</v>
      </c>
      <c r="C159" s="8">
        <v>1106700020003</v>
      </c>
      <c r="D159" s="7" t="s">
        <v>54</v>
      </c>
      <c r="E159" s="7" t="s">
        <v>196</v>
      </c>
      <c r="F159" s="7">
        <v>2014</v>
      </c>
      <c r="G159" s="7" t="s">
        <v>19</v>
      </c>
      <c r="H159" s="7" t="s">
        <v>56</v>
      </c>
      <c r="I159" s="8" t="s">
        <v>197</v>
      </c>
      <c r="J159" s="2" t="s">
        <v>1513</v>
      </c>
      <c r="K159" s="2" t="s">
        <v>1548</v>
      </c>
      <c r="L159" s="2" t="s">
        <v>1564</v>
      </c>
      <c r="M159" s="2" t="s">
        <v>1740</v>
      </c>
      <c r="N159" s="10" t="s">
        <v>1741</v>
      </c>
      <c r="O159" s="2"/>
      <c r="P159" s="2"/>
      <c r="Q159" s="2" t="s">
        <v>1723</v>
      </c>
      <c r="S159" s="5" t="s">
        <v>1543</v>
      </c>
    </row>
    <row r="160" spans="1:22" ht="30" customHeight="1" x14ac:dyDescent="0.5">
      <c r="A160" s="7" t="s">
        <v>35</v>
      </c>
      <c r="B160" s="7" t="s">
        <v>746</v>
      </c>
      <c r="C160" s="8">
        <v>1101700010006</v>
      </c>
      <c r="D160" s="7" t="s">
        <v>1551</v>
      </c>
      <c r="E160" s="7" t="s">
        <v>747</v>
      </c>
      <c r="F160" s="7">
        <v>2010</v>
      </c>
      <c r="G160" s="7" t="s">
        <v>19</v>
      </c>
      <c r="H160" s="7" t="s">
        <v>52</v>
      </c>
      <c r="I160" s="8" t="s">
        <v>748</v>
      </c>
      <c r="J160" s="2" t="s">
        <v>1549</v>
      </c>
      <c r="K160" s="2" t="s">
        <v>1548</v>
      </c>
      <c r="L160" s="2" t="s">
        <v>1564</v>
      </c>
      <c r="M160" s="2" t="s">
        <v>1849</v>
      </c>
      <c r="N160" s="10" t="s">
        <v>1741</v>
      </c>
      <c r="O160" s="2"/>
      <c r="P160" s="2"/>
      <c r="Q160" s="2" t="s">
        <v>1720</v>
      </c>
    </row>
    <row r="161" spans="1:17" ht="30" customHeight="1" x14ac:dyDescent="0.5">
      <c r="A161" s="7" t="s">
        <v>35</v>
      </c>
      <c r="B161" s="7" t="s">
        <v>868</v>
      </c>
      <c r="C161" s="8">
        <v>1106700010003</v>
      </c>
      <c r="D161" s="7" t="s">
        <v>102</v>
      </c>
      <c r="E161" s="7" t="s">
        <v>871</v>
      </c>
      <c r="F161" s="7">
        <v>1991</v>
      </c>
      <c r="G161" s="7" t="s">
        <v>19</v>
      </c>
      <c r="H161" s="7" t="s">
        <v>104</v>
      </c>
      <c r="I161" s="8" t="s">
        <v>872</v>
      </c>
      <c r="J161" s="2" t="s">
        <v>1513</v>
      </c>
      <c r="K161" s="2" t="s">
        <v>1548</v>
      </c>
      <c r="L161" s="2" t="s">
        <v>1564</v>
      </c>
      <c r="M161" s="2" t="s">
        <v>1742</v>
      </c>
      <c r="N161" s="10" t="s">
        <v>1741</v>
      </c>
      <c r="O161" s="2"/>
      <c r="P161" s="2"/>
      <c r="Q161" s="2" t="s">
        <v>1723</v>
      </c>
    </row>
    <row r="162" spans="1:17" ht="30" customHeight="1" x14ac:dyDescent="0.5">
      <c r="A162" s="7" t="s">
        <v>263</v>
      </c>
      <c r="B162" s="7" t="s">
        <v>270</v>
      </c>
      <c r="C162" s="8">
        <v>1105700150004</v>
      </c>
      <c r="D162" s="7" t="s">
        <v>40</v>
      </c>
      <c r="E162" s="7" t="s">
        <v>320</v>
      </c>
      <c r="F162" s="7">
        <v>2006</v>
      </c>
      <c r="G162" s="7" t="s">
        <v>19</v>
      </c>
      <c r="H162" s="7" t="s">
        <v>42</v>
      </c>
      <c r="I162" s="8" t="s">
        <v>321</v>
      </c>
      <c r="J162" s="2" t="s">
        <v>1544</v>
      </c>
      <c r="K162" s="2" t="s">
        <v>1548</v>
      </c>
      <c r="L162" s="2" t="s">
        <v>1564</v>
      </c>
      <c r="M162" s="2" t="s">
        <v>1588</v>
      </c>
      <c r="N162" s="10" t="s">
        <v>1589</v>
      </c>
      <c r="O162" s="2"/>
      <c r="P162" s="2"/>
      <c r="Q162" s="2"/>
    </row>
    <row r="163" spans="1:17" ht="30" customHeight="1" x14ac:dyDescent="0.5">
      <c r="A163" s="7" t="s">
        <v>35</v>
      </c>
      <c r="B163" s="7" t="s">
        <v>806</v>
      </c>
      <c r="C163" s="8">
        <v>1106700020003</v>
      </c>
      <c r="D163" s="7" t="s">
        <v>54</v>
      </c>
      <c r="E163" s="7" t="s">
        <v>811</v>
      </c>
      <c r="F163" s="7">
        <v>2014</v>
      </c>
      <c r="G163" s="7" t="s">
        <v>19</v>
      </c>
      <c r="H163" s="7" t="s">
        <v>52</v>
      </c>
      <c r="I163" s="8" t="s">
        <v>812</v>
      </c>
      <c r="J163" s="2" t="s">
        <v>1549</v>
      </c>
      <c r="K163" s="2" t="s">
        <v>1548</v>
      </c>
      <c r="L163" s="2" t="s">
        <v>1564</v>
      </c>
      <c r="M163" s="2" t="s">
        <v>1667</v>
      </c>
      <c r="N163" s="10" t="s">
        <v>1837</v>
      </c>
      <c r="O163" s="2"/>
      <c r="P163" s="2"/>
      <c r="Q163" s="2" t="s">
        <v>1678</v>
      </c>
    </row>
    <row r="164" spans="1:17" ht="30" customHeight="1" x14ac:dyDescent="0.5">
      <c r="A164" s="7" t="s">
        <v>263</v>
      </c>
      <c r="B164" s="7" t="s">
        <v>602</v>
      </c>
      <c r="C164" s="8">
        <v>1101700010006</v>
      </c>
      <c r="D164" s="7" t="s">
        <v>50</v>
      </c>
      <c r="E164" s="7" t="s">
        <v>603</v>
      </c>
      <c r="F164" s="7">
        <v>2009</v>
      </c>
      <c r="G164" s="7" t="s">
        <v>19</v>
      </c>
      <c r="H164" s="7" t="s">
        <v>52</v>
      </c>
      <c r="I164" s="8" t="s">
        <v>604</v>
      </c>
      <c r="J164" s="2" t="s">
        <v>1663</v>
      </c>
      <c r="K164" s="2" t="s">
        <v>1548</v>
      </c>
      <c r="L164" s="2" t="s">
        <v>1567</v>
      </c>
      <c r="M164" s="2" t="s">
        <v>1838</v>
      </c>
      <c r="N164" s="2" t="s">
        <v>1943</v>
      </c>
      <c r="O164" s="2"/>
      <c r="P164" s="2"/>
      <c r="Q164" s="2" t="s">
        <v>1716</v>
      </c>
    </row>
    <row r="165" spans="1:17" ht="30" customHeight="1" x14ac:dyDescent="0.5">
      <c r="A165" s="7" t="s">
        <v>263</v>
      </c>
      <c r="B165" s="7" t="s">
        <v>602</v>
      </c>
      <c r="C165" s="8">
        <v>1101700040006</v>
      </c>
      <c r="D165" s="7" t="s">
        <v>605</v>
      </c>
      <c r="E165" s="7" t="s">
        <v>606</v>
      </c>
      <c r="F165" s="7">
        <v>2021</v>
      </c>
      <c r="G165" s="7" t="s">
        <v>19</v>
      </c>
      <c r="H165" s="7" t="s">
        <v>42</v>
      </c>
      <c r="I165" s="8" t="s">
        <v>607</v>
      </c>
      <c r="J165" s="2" t="s">
        <v>1498</v>
      </c>
      <c r="K165" s="2" t="s">
        <v>1548</v>
      </c>
      <c r="L165" s="2" t="s">
        <v>1569</v>
      </c>
      <c r="M165" s="2" t="s">
        <v>1945</v>
      </c>
      <c r="N165" s="2" t="s">
        <v>1943</v>
      </c>
      <c r="O165" s="2"/>
      <c r="P165" s="2"/>
      <c r="Q165" s="2" t="s">
        <v>1716</v>
      </c>
    </row>
    <row r="166" spans="1:17" ht="30" customHeight="1" x14ac:dyDescent="0.5">
      <c r="A166" s="7" t="s">
        <v>35</v>
      </c>
      <c r="B166" s="7" t="s">
        <v>220</v>
      </c>
      <c r="C166" s="8">
        <v>1106700020003</v>
      </c>
      <c r="D166" s="7" t="s">
        <v>54</v>
      </c>
      <c r="E166" s="7" t="s">
        <v>225</v>
      </c>
      <c r="F166" s="7">
        <v>2014</v>
      </c>
      <c r="G166" s="7" t="s">
        <v>19</v>
      </c>
      <c r="H166" s="7" t="s">
        <v>56</v>
      </c>
      <c r="I166" s="8" t="s">
        <v>226</v>
      </c>
      <c r="J166" s="2" t="s">
        <v>1525</v>
      </c>
      <c r="K166" s="2" t="s">
        <v>1548</v>
      </c>
      <c r="L166" s="2" t="s">
        <v>1564</v>
      </c>
      <c r="M166" s="2" t="s">
        <v>1869</v>
      </c>
      <c r="N166" s="2" t="s">
        <v>1870</v>
      </c>
      <c r="O166" s="2"/>
      <c r="P166" s="2"/>
      <c r="Q166" s="2" t="s">
        <v>1708</v>
      </c>
    </row>
    <row r="167" spans="1:17" ht="30" customHeight="1" x14ac:dyDescent="0.5">
      <c r="A167" s="7" t="s">
        <v>263</v>
      </c>
      <c r="B167" s="7" t="s">
        <v>270</v>
      </c>
      <c r="C167" s="8">
        <v>1209700010004</v>
      </c>
      <c r="D167" s="7" t="s">
        <v>413</v>
      </c>
      <c r="E167" s="7" t="s">
        <v>419</v>
      </c>
      <c r="F167" s="7">
        <v>2013</v>
      </c>
      <c r="G167" s="7" t="s">
        <v>19</v>
      </c>
      <c r="H167" s="7" t="s">
        <v>415</v>
      </c>
      <c r="I167" s="8" t="s">
        <v>420</v>
      </c>
      <c r="J167" s="2" t="s">
        <v>1544</v>
      </c>
      <c r="K167" s="2" t="s">
        <v>1548</v>
      </c>
      <c r="L167" s="2" t="s">
        <v>1564</v>
      </c>
      <c r="M167" s="2" t="s">
        <v>1946</v>
      </c>
      <c r="N167" s="2" t="s">
        <v>1870</v>
      </c>
      <c r="O167" s="2"/>
      <c r="P167" s="2" t="s">
        <v>1947</v>
      </c>
      <c r="Q167" s="2" t="s">
        <v>1544</v>
      </c>
    </row>
    <row r="168" spans="1:17" ht="30" customHeight="1" x14ac:dyDescent="0.5">
      <c r="A168" s="7" t="s">
        <v>263</v>
      </c>
      <c r="B168" s="7" t="s">
        <v>485</v>
      </c>
      <c r="C168" s="8">
        <v>1205700010001</v>
      </c>
      <c r="D168" s="7" t="s">
        <v>388</v>
      </c>
      <c r="E168" s="7" t="s">
        <v>504</v>
      </c>
      <c r="F168" s="7">
        <v>2006</v>
      </c>
      <c r="G168" s="7" t="s">
        <v>19</v>
      </c>
      <c r="H168" s="7" t="s">
        <v>20</v>
      </c>
      <c r="I168" s="8" t="s">
        <v>505</v>
      </c>
      <c r="J168" s="2" t="s">
        <v>1518</v>
      </c>
      <c r="K168" s="2" t="s">
        <v>1548</v>
      </c>
      <c r="L168" s="2" t="s">
        <v>1564</v>
      </c>
      <c r="M168" s="2" t="s">
        <v>1907</v>
      </c>
      <c r="N168" s="2" t="s">
        <v>1870</v>
      </c>
      <c r="O168" s="2"/>
      <c r="P168" s="2"/>
      <c r="Q168" s="2" t="s">
        <v>1681</v>
      </c>
    </row>
    <row r="169" spans="1:17" ht="30" customHeight="1" x14ac:dyDescent="0.5">
      <c r="A169" s="7" t="s">
        <v>263</v>
      </c>
      <c r="B169" s="7" t="s">
        <v>1225</v>
      </c>
      <c r="C169" s="8">
        <v>1105700010001</v>
      </c>
      <c r="D169" s="7" t="s">
        <v>290</v>
      </c>
      <c r="E169" s="7" t="s">
        <v>1296</v>
      </c>
      <c r="F169" s="7">
        <v>1998</v>
      </c>
      <c r="G169" s="7" t="s">
        <v>19</v>
      </c>
      <c r="H169" s="7" t="s">
        <v>42</v>
      </c>
      <c r="I169" s="8" t="s">
        <v>1297</v>
      </c>
      <c r="J169" s="2" t="s">
        <v>1544</v>
      </c>
      <c r="K169" s="9" t="s">
        <v>1553</v>
      </c>
      <c r="L169" s="2" t="s">
        <v>1571</v>
      </c>
      <c r="M169" s="2" t="s">
        <v>1609</v>
      </c>
      <c r="N169" s="2" t="s">
        <v>1975</v>
      </c>
      <c r="O169" s="2"/>
      <c r="P169" s="2"/>
      <c r="Q169" s="2" t="s">
        <v>1544</v>
      </c>
    </row>
    <row r="170" spans="1:17" ht="30" customHeight="1" x14ac:dyDescent="0.5">
      <c r="A170" s="7" t="s">
        <v>263</v>
      </c>
      <c r="B170" s="7" t="s">
        <v>1225</v>
      </c>
      <c r="C170" s="8">
        <v>1101700030005</v>
      </c>
      <c r="D170" s="7" t="s">
        <v>230</v>
      </c>
      <c r="E170" s="7" t="s">
        <v>1256</v>
      </c>
      <c r="F170" s="7">
        <v>2004</v>
      </c>
      <c r="G170" s="7" t="s">
        <v>19</v>
      </c>
      <c r="H170" s="7" t="s">
        <v>42</v>
      </c>
      <c r="I170" s="8" t="s">
        <v>1257</v>
      </c>
      <c r="J170" s="2" t="s">
        <v>1544</v>
      </c>
      <c r="K170" s="9" t="s">
        <v>1553</v>
      </c>
      <c r="L170" s="2" t="s">
        <v>1571</v>
      </c>
      <c r="M170" s="2" t="s">
        <v>1961</v>
      </c>
      <c r="N170" s="2" t="s">
        <v>1962</v>
      </c>
      <c r="O170" s="2"/>
      <c r="P170" s="2"/>
      <c r="Q170" s="2" t="s">
        <v>1544</v>
      </c>
    </row>
    <row r="171" spans="1:17" ht="30" customHeight="1" x14ac:dyDescent="0.5">
      <c r="A171" s="7" t="s">
        <v>263</v>
      </c>
      <c r="B171" s="7" t="s">
        <v>509</v>
      </c>
      <c r="C171" s="8">
        <v>1204700020003</v>
      </c>
      <c r="D171" s="7" t="s">
        <v>13</v>
      </c>
      <c r="E171" s="7" t="s">
        <v>528</v>
      </c>
      <c r="F171" s="7">
        <v>2010</v>
      </c>
      <c r="G171" s="7" t="s">
        <v>19</v>
      </c>
      <c r="H171" s="7" t="s">
        <v>10</v>
      </c>
      <c r="I171" s="8" t="s">
        <v>529</v>
      </c>
      <c r="J171" s="2" t="s">
        <v>1477</v>
      </c>
      <c r="K171" s="2" t="s">
        <v>1548</v>
      </c>
      <c r="L171" s="2" t="s">
        <v>1571</v>
      </c>
      <c r="M171" s="2" t="s">
        <v>1609</v>
      </c>
      <c r="N171" s="2" t="s">
        <v>1893</v>
      </c>
      <c r="O171" s="2"/>
      <c r="P171" s="2"/>
      <c r="Q171" s="2" t="s">
        <v>1689</v>
      </c>
    </row>
    <row r="172" spans="1:17" ht="30" customHeight="1" x14ac:dyDescent="0.5">
      <c r="A172" s="7" t="s">
        <v>263</v>
      </c>
      <c r="B172" s="7" t="s">
        <v>632</v>
      </c>
      <c r="C172" s="8">
        <v>1102700010004</v>
      </c>
      <c r="D172" s="7" t="s">
        <v>64</v>
      </c>
      <c r="E172" s="7" t="s">
        <v>641</v>
      </c>
      <c r="F172" s="7">
        <v>2012</v>
      </c>
      <c r="G172" s="7" t="s">
        <v>19</v>
      </c>
      <c r="H172" s="7" t="s">
        <v>66</v>
      </c>
      <c r="I172" s="8" t="s">
        <v>642</v>
      </c>
      <c r="J172" s="2" t="s">
        <v>1544</v>
      </c>
      <c r="K172" s="9" t="s">
        <v>1552</v>
      </c>
      <c r="L172" s="2" t="s">
        <v>1564</v>
      </c>
      <c r="M172" s="2" t="s">
        <v>1794</v>
      </c>
      <c r="N172" s="2" t="s">
        <v>1968</v>
      </c>
      <c r="O172" s="2"/>
      <c r="P172" s="2"/>
      <c r="Q172" s="2" t="s">
        <v>1544</v>
      </c>
    </row>
    <row r="173" spans="1:17" ht="30" customHeight="1" x14ac:dyDescent="0.5">
      <c r="A173" s="7" t="s">
        <v>263</v>
      </c>
      <c r="B173" s="7" t="s">
        <v>270</v>
      </c>
      <c r="C173" s="8">
        <v>1207700050001</v>
      </c>
      <c r="D173" s="7" t="s">
        <v>402</v>
      </c>
      <c r="E173" s="7" t="s">
        <v>1454</v>
      </c>
      <c r="F173" s="7">
        <v>1983</v>
      </c>
      <c r="G173" s="7" t="s">
        <v>19</v>
      </c>
      <c r="H173" s="7" t="s">
        <v>42</v>
      </c>
      <c r="I173" s="8">
        <v>3460315525822</v>
      </c>
      <c r="J173" s="2" t="s">
        <v>1544</v>
      </c>
      <c r="K173" s="2" t="s">
        <v>1548</v>
      </c>
      <c r="L173" s="2" t="s">
        <v>1613</v>
      </c>
      <c r="M173" s="2" t="s">
        <v>1613</v>
      </c>
      <c r="N173" s="2" t="s">
        <v>1614</v>
      </c>
      <c r="O173" s="2"/>
      <c r="P173" s="2"/>
      <c r="Q173" s="2"/>
    </row>
    <row r="174" spans="1:17" ht="30" customHeight="1" x14ac:dyDescent="0.5">
      <c r="A174" s="7" t="s">
        <v>35</v>
      </c>
      <c r="B174" s="7" t="s">
        <v>933</v>
      </c>
      <c r="C174" s="8">
        <v>1106700020003</v>
      </c>
      <c r="D174" s="7" t="s">
        <v>54</v>
      </c>
      <c r="E174" s="7" t="s">
        <v>936</v>
      </c>
      <c r="F174" s="7">
        <v>2013</v>
      </c>
      <c r="G174" s="7" t="s">
        <v>19</v>
      </c>
      <c r="H174" s="7" t="s">
        <v>56</v>
      </c>
      <c r="I174" s="8" t="s">
        <v>937</v>
      </c>
      <c r="J174" s="2" t="s">
        <v>1662</v>
      </c>
      <c r="K174" s="2" t="s">
        <v>1548</v>
      </c>
      <c r="L174" s="2" t="s">
        <v>1564</v>
      </c>
      <c r="M174" s="2" t="s">
        <v>1603</v>
      </c>
      <c r="N174" s="2" t="s">
        <v>1614</v>
      </c>
      <c r="O174" s="2"/>
      <c r="P174" s="2"/>
      <c r="Q174" s="2" t="s">
        <v>1689</v>
      </c>
    </row>
    <row r="175" spans="1:17" ht="30" customHeight="1" x14ac:dyDescent="0.5">
      <c r="A175" s="7" t="s">
        <v>35</v>
      </c>
      <c r="B175" s="7" t="s">
        <v>938</v>
      </c>
      <c r="C175" s="8">
        <v>1102700010004</v>
      </c>
      <c r="D175" s="7" t="s">
        <v>64</v>
      </c>
      <c r="E175" s="7" t="s">
        <v>1459</v>
      </c>
      <c r="F175" s="7">
        <v>2012</v>
      </c>
      <c r="G175" s="7" t="s">
        <v>19</v>
      </c>
      <c r="H175" s="7" t="s">
        <v>52</v>
      </c>
      <c r="I175" s="8" t="s">
        <v>939</v>
      </c>
      <c r="J175" s="2" t="s">
        <v>1549</v>
      </c>
      <c r="K175" s="2" t="s">
        <v>1548</v>
      </c>
      <c r="L175" s="2" t="s">
        <v>1564</v>
      </c>
      <c r="M175" s="2" t="s">
        <v>1826</v>
      </c>
      <c r="N175" s="2" t="s">
        <v>1827</v>
      </c>
      <c r="O175" s="2"/>
      <c r="P175" s="2"/>
      <c r="Q175" s="2" t="s">
        <v>1683</v>
      </c>
    </row>
    <row r="176" spans="1:17" ht="30" customHeight="1" x14ac:dyDescent="0.5">
      <c r="A176" s="7" t="s">
        <v>263</v>
      </c>
      <c r="B176" s="7" t="s">
        <v>568</v>
      </c>
      <c r="C176" s="8">
        <v>1105700010005</v>
      </c>
      <c r="D176" s="7" t="s">
        <v>569</v>
      </c>
      <c r="E176" s="7" t="s">
        <v>570</v>
      </c>
      <c r="F176" s="7">
        <v>2009</v>
      </c>
      <c r="G176" s="7" t="s">
        <v>19</v>
      </c>
      <c r="H176" s="7" t="s">
        <v>571</v>
      </c>
      <c r="I176" s="8" t="s">
        <v>572</v>
      </c>
      <c r="J176" s="2" t="s">
        <v>1487</v>
      </c>
      <c r="K176" s="11" t="s">
        <v>1912</v>
      </c>
      <c r="L176" s="2"/>
      <c r="M176" s="2"/>
      <c r="N176" s="2" t="s">
        <v>1937</v>
      </c>
      <c r="O176" s="2" t="s">
        <v>1933</v>
      </c>
      <c r="P176" s="2" t="s">
        <v>1914</v>
      </c>
      <c r="Q176" s="2" t="s">
        <v>1703</v>
      </c>
    </row>
    <row r="177" spans="1:19" ht="30" customHeight="1" x14ac:dyDescent="0.5">
      <c r="A177" s="7" t="s">
        <v>263</v>
      </c>
      <c r="B177" s="7" t="s">
        <v>1225</v>
      </c>
      <c r="C177" s="8">
        <v>1101700030006</v>
      </c>
      <c r="D177" s="7" t="s">
        <v>1551</v>
      </c>
      <c r="E177" s="7" t="s">
        <v>1258</v>
      </c>
      <c r="F177" s="7">
        <v>2012</v>
      </c>
      <c r="G177" s="7" t="s">
        <v>19</v>
      </c>
      <c r="H177" s="7" t="s">
        <v>52</v>
      </c>
      <c r="I177" s="8" t="s">
        <v>1259</v>
      </c>
      <c r="J177" s="2" t="s">
        <v>1544</v>
      </c>
      <c r="K177" s="2" t="s">
        <v>1548</v>
      </c>
      <c r="L177" s="2" t="s">
        <v>1564</v>
      </c>
      <c r="M177" s="2" t="s">
        <v>1590</v>
      </c>
      <c r="N177" s="10" t="s">
        <v>1591</v>
      </c>
      <c r="O177" s="2"/>
      <c r="P177" s="2"/>
      <c r="Q177" s="2"/>
    </row>
    <row r="178" spans="1:19" ht="30" customHeight="1" x14ac:dyDescent="0.5">
      <c r="A178" s="7" t="s">
        <v>35</v>
      </c>
      <c r="B178" s="7" t="s">
        <v>205</v>
      </c>
      <c r="C178" s="8">
        <v>1204700010003</v>
      </c>
      <c r="D178" s="7" t="s">
        <v>96</v>
      </c>
      <c r="E178" s="7" t="s">
        <v>213</v>
      </c>
      <c r="F178" s="7">
        <v>2005</v>
      </c>
      <c r="G178" s="7" t="s">
        <v>4</v>
      </c>
      <c r="H178" s="7" t="s">
        <v>10</v>
      </c>
      <c r="I178" s="8" t="s">
        <v>214</v>
      </c>
      <c r="J178" s="2" t="s">
        <v>1525</v>
      </c>
      <c r="K178" s="2" t="s">
        <v>1548</v>
      </c>
      <c r="L178" s="2" t="s">
        <v>1564</v>
      </c>
      <c r="M178" s="2" t="s">
        <v>1896</v>
      </c>
      <c r="N178" s="10" t="s">
        <v>1846</v>
      </c>
      <c r="O178" s="2"/>
      <c r="P178" s="2"/>
      <c r="Q178" s="2" t="s">
        <v>1705</v>
      </c>
      <c r="S178" s="5" t="s">
        <v>1661</v>
      </c>
    </row>
    <row r="179" spans="1:19" ht="30" customHeight="1" x14ac:dyDescent="0.5">
      <c r="A179" s="7" t="s">
        <v>35</v>
      </c>
      <c r="B179" s="7" t="s">
        <v>901</v>
      </c>
      <c r="C179" s="8">
        <v>1106700020010</v>
      </c>
      <c r="D179" s="7" t="s">
        <v>210</v>
      </c>
      <c r="E179" s="7" t="s">
        <v>906</v>
      </c>
      <c r="F179" s="7">
        <v>2006</v>
      </c>
      <c r="G179" s="7" t="s">
        <v>19</v>
      </c>
      <c r="H179" s="7" t="s">
        <v>571</v>
      </c>
      <c r="I179" s="8" t="s">
        <v>907</v>
      </c>
      <c r="J179" s="2" t="s">
        <v>1549</v>
      </c>
      <c r="K179" s="2" t="s">
        <v>1548</v>
      </c>
      <c r="L179" s="2" t="s">
        <v>1564</v>
      </c>
      <c r="M179" s="2" t="s">
        <v>1845</v>
      </c>
      <c r="N179" s="10" t="s">
        <v>1846</v>
      </c>
      <c r="O179" s="2"/>
      <c r="P179" s="2"/>
      <c r="Q179" s="2" t="s">
        <v>1717</v>
      </c>
    </row>
    <row r="180" spans="1:19" ht="30" customHeight="1" x14ac:dyDescent="0.5">
      <c r="A180" s="7" t="s">
        <v>35</v>
      </c>
      <c r="B180" s="7" t="s">
        <v>166</v>
      </c>
      <c r="C180" s="8">
        <v>1101700010006</v>
      </c>
      <c r="D180" s="7" t="s">
        <v>1551</v>
      </c>
      <c r="E180" s="7" t="s">
        <v>167</v>
      </c>
      <c r="F180" s="7">
        <v>2014</v>
      </c>
      <c r="G180" s="7" t="s">
        <v>19</v>
      </c>
      <c r="H180" s="7" t="s">
        <v>52</v>
      </c>
      <c r="I180" s="8" t="s">
        <v>168</v>
      </c>
      <c r="J180" s="2" t="s">
        <v>1487</v>
      </c>
      <c r="K180" s="2" t="s">
        <v>1548</v>
      </c>
      <c r="L180" s="2" t="s">
        <v>1564</v>
      </c>
      <c r="M180" s="2" t="s">
        <v>1924</v>
      </c>
      <c r="N180" s="2" t="s">
        <v>1921</v>
      </c>
      <c r="O180" s="2"/>
      <c r="P180" s="2"/>
      <c r="Q180" s="2" t="s">
        <v>1701</v>
      </c>
      <c r="S180" s="5" t="s">
        <v>1531</v>
      </c>
    </row>
    <row r="181" spans="1:19" ht="30" customHeight="1" x14ac:dyDescent="0.5">
      <c r="A181" s="7" t="s">
        <v>263</v>
      </c>
      <c r="B181" s="7" t="s">
        <v>632</v>
      </c>
      <c r="C181" s="8">
        <v>1106700010003</v>
      </c>
      <c r="D181" s="7" t="s">
        <v>102</v>
      </c>
      <c r="E181" s="7" t="s">
        <v>664</v>
      </c>
      <c r="F181" s="7">
        <v>1991</v>
      </c>
      <c r="G181" s="7" t="s">
        <v>19</v>
      </c>
      <c r="H181" s="7" t="s">
        <v>104</v>
      </c>
      <c r="I181" s="8">
        <v>34600152717359</v>
      </c>
      <c r="J181" s="2" t="s">
        <v>1518</v>
      </c>
      <c r="K181" s="2" t="s">
        <v>1548</v>
      </c>
      <c r="L181" s="2" t="s">
        <v>1559</v>
      </c>
      <c r="M181" s="2" t="s">
        <v>1559</v>
      </c>
      <c r="N181" s="2" t="s">
        <v>1921</v>
      </c>
      <c r="O181" s="2"/>
      <c r="P181" s="2"/>
      <c r="Q181" s="2" t="s">
        <v>1682</v>
      </c>
    </row>
    <row r="182" spans="1:19" ht="30" customHeight="1" x14ac:dyDescent="0.5">
      <c r="A182" s="7" t="s">
        <v>263</v>
      </c>
      <c r="B182" s="7" t="s">
        <v>632</v>
      </c>
      <c r="C182" s="8">
        <v>1106700010003</v>
      </c>
      <c r="D182" s="7" t="s">
        <v>102</v>
      </c>
      <c r="E182" s="7" t="s">
        <v>665</v>
      </c>
      <c r="F182" s="7">
        <v>1993</v>
      </c>
      <c r="G182" s="7" t="s">
        <v>19</v>
      </c>
      <c r="H182" s="7" t="s">
        <v>104</v>
      </c>
      <c r="I182" s="8">
        <v>2592</v>
      </c>
      <c r="J182" s="2" t="s">
        <v>1506</v>
      </c>
      <c r="K182" s="11" t="s">
        <v>1912</v>
      </c>
      <c r="L182" s="2"/>
      <c r="M182" s="2"/>
      <c r="N182" s="2" t="s">
        <v>1921</v>
      </c>
      <c r="O182" s="2" t="s">
        <v>1921</v>
      </c>
      <c r="P182" s="2" t="s">
        <v>1923</v>
      </c>
      <c r="Q182" s="2" t="s">
        <v>1506</v>
      </c>
    </row>
    <row r="183" spans="1:19" ht="30" customHeight="1" x14ac:dyDescent="0.5">
      <c r="A183" s="7" t="s">
        <v>35</v>
      </c>
      <c r="B183" s="7" t="s">
        <v>220</v>
      </c>
      <c r="C183" s="8">
        <v>1101700010006</v>
      </c>
      <c r="D183" s="7" t="s">
        <v>1551</v>
      </c>
      <c r="E183" s="7" t="s">
        <v>221</v>
      </c>
      <c r="F183" s="7">
        <v>2013</v>
      </c>
      <c r="G183" s="7" t="s">
        <v>19</v>
      </c>
      <c r="H183" s="7" t="s">
        <v>52</v>
      </c>
      <c r="I183" s="8" t="s">
        <v>222</v>
      </c>
      <c r="J183" s="2" t="s">
        <v>1525</v>
      </c>
      <c r="K183" s="2" t="s">
        <v>1548</v>
      </c>
      <c r="L183" s="2" t="s">
        <v>1571</v>
      </c>
      <c r="M183" s="2" t="s">
        <v>1871</v>
      </c>
      <c r="N183" s="2" t="s">
        <v>1799</v>
      </c>
      <c r="O183" s="2"/>
      <c r="P183" s="2"/>
      <c r="Q183" s="2" t="s">
        <v>1708</v>
      </c>
    </row>
    <row r="184" spans="1:19" ht="30" customHeight="1" x14ac:dyDescent="0.5">
      <c r="A184" s="7" t="s">
        <v>35</v>
      </c>
      <c r="B184" s="7" t="s">
        <v>877</v>
      </c>
      <c r="C184" s="8">
        <v>1106700020003</v>
      </c>
      <c r="D184" s="7" t="s">
        <v>54</v>
      </c>
      <c r="E184" s="7" t="s">
        <v>879</v>
      </c>
      <c r="F184" s="7">
        <v>2015</v>
      </c>
      <c r="G184" s="7" t="s">
        <v>19</v>
      </c>
      <c r="H184" s="7" t="s">
        <v>56</v>
      </c>
      <c r="I184" s="8" t="s">
        <v>880</v>
      </c>
      <c r="J184" s="2" t="s">
        <v>1506</v>
      </c>
      <c r="K184" s="11" t="s">
        <v>1912</v>
      </c>
      <c r="L184" s="2"/>
      <c r="M184" s="2"/>
      <c r="N184" s="2" t="s">
        <v>1799</v>
      </c>
      <c r="O184" s="2" t="s">
        <v>1932</v>
      </c>
      <c r="P184" s="2" t="s">
        <v>1915</v>
      </c>
      <c r="Q184" s="2" t="s">
        <v>1698</v>
      </c>
    </row>
    <row r="185" spans="1:19" ht="30" customHeight="1" x14ac:dyDescent="0.5">
      <c r="A185" s="7" t="s">
        <v>35</v>
      </c>
      <c r="B185" s="7" t="s">
        <v>1561</v>
      </c>
      <c r="C185" s="8">
        <v>1101700010006</v>
      </c>
      <c r="D185" s="7" t="s">
        <v>1551</v>
      </c>
      <c r="E185" s="7" t="s">
        <v>193</v>
      </c>
      <c r="F185" s="7">
        <v>2010</v>
      </c>
      <c r="G185" s="7" t="s">
        <v>19</v>
      </c>
      <c r="H185" s="7" t="s">
        <v>52</v>
      </c>
      <c r="I185" s="8" t="s">
        <v>194</v>
      </c>
      <c r="J185" s="2" t="s">
        <v>1477</v>
      </c>
      <c r="K185" s="9" t="s">
        <v>1553</v>
      </c>
      <c r="L185" s="2" t="s">
        <v>1559</v>
      </c>
      <c r="M185" s="2" t="s">
        <v>1559</v>
      </c>
      <c r="N185" s="10" t="s">
        <v>1768</v>
      </c>
      <c r="O185" s="2"/>
      <c r="P185" s="2" t="s">
        <v>1769</v>
      </c>
      <c r="Q185" s="2" t="s">
        <v>1693</v>
      </c>
      <c r="S185" s="5" t="s">
        <v>1541</v>
      </c>
    </row>
    <row r="186" spans="1:19" ht="30" customHeight="1" x14ac:dyDescent="0.5">
      <c r="A186" s="7" t="s">
        <v>263</v>
      </c>
      <c r="B186" s="7" t="s">
        <v>270</v>
      </c>
      <c r="C186" s="8">
        <v>1101700010004</v>
      </c>
      <c r="D186" s="7" t="s">
        <v>271</v>
      </c>
      <c r="E186" s="7" t="s">
        <v>272</v>
      </c>
      <c r="F186" s="7">
        <v>2002</v>
      </c>
      <c r="G186" s="7" t="s">
        <v>19</v>
      </c>
      <c r="H186" s="7" t="s">
        <v>52</v>
      </c>
      <c r="I186" s="8" t="s">
        <v>273</v>
      </c>
      <c r="J186" s="2" t="s">
        <v>1544</v>
      </c>
      <c r="K186" s="9" t="s">
        <v>1553</v>
      </c>
      <c r="L186" s="2" t="s">
        <v>1571</v>
      </c>
      <c r="M186" s="2" t="s">
        <v>1963</v>
      </c>
      <c r="N186" s="2" t="s">
        <v>1964</v>
      </c>
      <c r="O186" s="2"/>
      <c r="P186" s="2"/>
      <c r="Q186" s="2" t="s">
        <v>1544</v>
      </c>
    </row>
    <row r="187" spans="1:19" ht="30" customHeight="1" x14ac:dyDescent="0.5">
      <c r="A187" s="7" t="s">
        <v>0</v>
      </c>
      <c r="B187" s="7" t="s">
        <v>240</v>
      </c>
      <c r="C187" s="8">
        <v>1102700010004</v>
      </c>
      <c r="D187" s="7" t="s">
        <v>64</v>
      </c>
      <c r="E187" s="7" t="s">
        <v>243</v>
      </c>
      <c r="F187" s="7">
        <v>2012</v>
      </c>
      <c r="G187" s="7" t="s">
        <v>19</v>
      </c>
      <c r="H187" s="7" t="s">
        <v>66</v>
      </c>
      <c r="I187" s="8" t="s">
        <v>244</v>
      </c>
      <c r="J187" s="2" t="s">
        <v>1543</v>
      </c>
      <c r="K187" s="2" t="s">
        <v>1548</v>
      </c>
      <c r="L187" s="2" t="s">
        <v>1564</v>
      </c>
      <c r="M187" s="2" t="s">
        <v>1918</v>
      </c>
      <c r="N187" s="2" t="s">
        <v>1917</v>
      </c>
      <c r="O187" s="2"/>
      <c r="P187" s="2"/>
      <c r="Q187" s="2" t="s">
        <v>1543</v>
      </c>
    </row>
    <row r="188" spans="1:19" ht="30" customHeight="1" x14ac:dyDescent="0.5">
      <c r="A188" s="7" t="s">
        <v>263</v>
      </c>
      <c r="B188" s="7" t="s">
        <v>465</v>
      </c>
      <c r="C188" s="8">
        <v>1204700020002</v>
      </c>
      <c r="D188" s="7" t="s">
        <v>178</v>
      </c>
      <c r="E188" s="7" t="s">
        <v>479</v>
      </c>
      <c r="F188" s="7">
        <v>2011</v>
      </c>
      <c r="G188" s="7" t="s">
        <v>19</v>
      </c>
      <c r="H188" s="7" t="s">
        <v>10</v>
      </c>
      <c r="I188" s="8" t="s">
        <v>480</v>
      </c>
      <c r="J188" s="2" t="s">
        <v>1471</v>
      </c>
      <c r="K188" s="2" t="s">
        <v>1548</v>
      </c>
      <c r="L188" s="2" t="s">
        <v>1564</v>
      </c>
      <c r="M188" s="2" t="s">
        <v>1847</v>
      </c>
      <c r="N188" s="2" t="s">
        <v>1917</v>
      </c>
      <c r="O188" s="2"/>
      <c r="P188" s="2"/>
      <c r="Q188" s="2" t="s">
        <v>1671</v>
      </c>
    </row>
    <row r="189" spans="1:19" ht="30" customHeight="1" x14ac:dyDescent="0.5">
      <c r="A189" s="7" t="s">
        <v>263</v>
      </c>
      <c r="B189" s="7" t="s">
        <v>509</v>
      </c>
      <c r="C189" s="8">
        <v>1105700010001</v>
      </c>
      <c r="D189" s="7" t="s">
        <v>290</v>
      </c>
      <c r="E189" s="7" t="s">
        <v>514</v>
      </c>
      <c r="F189" s="7">
        <v>2006</v>
      </c>
      <c r="G189" s="7" t="s">
        <v>19</v>
      </c>
      <c r="H189" s="7" t="s">
        <v>42</v>
      </c>
      <c r="I189" s="8" t="s">
        <v>515</v>
      </c>
      <c r="J189" s="2" t="s">
        <v>1477</v>
      </c>
      <c r="K189" s="2" t="s">
        <v>1548</v>
      </c>
      <c r="L189" s="2" t="s">
        <v>1564</v>
      </c>
      <c r="M189" s="2" t="s">
        <v>1919</v>
      </c>
      <c r="N189" s="2" t="s">
        <v>1917</v>
      </c>
      <c r="O189" s="2"/>
      <c r="P189" s="2"/>
      <c r="Q189" s="2" t="s">
        <v>1689</v>
      </c>
    </row>
    <row r="190" spans="1:19" ht="30" customHeight="1" x14ac:dyDescent="0.5">
      <c r="A190" s="7" t="s">
        <v>263</v>
      </c>
      <c r="B190" s="7" t="s">
        <v>430</v>
      </c>
      <c r="C190" s="8">
        <v>1204700020003</v>
      </c>
      <c r="D190" s="7" t="s">
        <v>13</v>
      </c>
      <c r="E190" s="7" t="s">
        <v>445</v>
      </c>
      <c r="F190" s="7">
        <v>2009</v>
      </c>
      <c r="G190" s="7" t="s">
        <v>19</v>
      </c>
      <c r="H190" s="7" t="s">
        <v>10</v>
      </c>
      <c r="I190" s="8" t="s">
        <v>446</v>
      </c>
      <c r="J190" s="2" t="s">
        <v>1662</v>
      </c>
      <c r="K190" s="2" t="s">
        <v>1548</v>
      </c>
      <c r="L190" s="2" t="s">
        <v>1571</v>
      </c>
      <c r="M190" s="2" t="s">
        <v>1889</v>
      </c>
      <c r="N190" s="10" t="s">
        <v>1890</v>
      </c>
      <c r="O190" s="2"/>
      <c r="P190" s="2"/>
      <c r="Q190" s="2" t="s">
        <v>1694</v>
      </c>
    </row>
    <row r="191" spans="1:19" ht="30" customHeight="1" x14ac:dyDescent="0.5">
      <c r="A191" s="7" t="s">
        <v>35</v>
      </c>
      <c r="B191" s="7" t="s">
        <v>753</v>
      </c>
      <c r="C191" s="8">
        <v>1106700010010</v>
      </c>
      <c r="D191" s="7" t="s">
        <v>114</v>
      </c>
      <c r="E191" s="7" t="s">
        <v>756</v>
      </c>
      <c r="F191" s="7">
        <v>2002</v>
      </c>
      <c r="G191" s="7" t="s">
        <v>19</v>
      </c>
      <c r="H191" s="7" t="s">
        <v>104</v>
      </c>
      <c r="I191" s="8" t="s">
        <v>757</v>
      </c>
      <c r="J191" s="2" t="s">
        <v>1513</v>
      </c>
      <c r="K191" s="11" t="s">
        <v>1912</v>
      </c>
      <c r="L191" s="2"/>
      <c r="M191" s="2"/>
      <c r="N191" s="2"/>
      <c r="O191" s="2" t="s">
        <v>1982</v>
      </c>
      <c r="P191" s="2"/>
      <c r="Q191" s="2" t="s">
        <v>1723</v>
      </c>
    </row>
    <row r="192" spans="1:19" ht="30" customHeight="1" x14ac:dyDescent="0.5">
      <c r="A192" s="7" t="s">
        <v>35</v>
      </c>
      <c r="B192" s="7" t="s">
        <v>89</v>
      </c>
      <c r="C192" s="8">
        <v>1204700010003</v>
      </c>
      <c r="D192" s="7" t="s">
        <v>96</v>
      </c>
      <c r="E192" s="7" t="s">
        <v>97</v>
      </c>
      <c r="F192" s="7">
        <v>2008</v>
      </c>
      <c r="G192" s="7" t="s">
        <v>19</v>
      </c>
      <c r="H192" s="7" t="s">
        <v>10</v>
      </c>
      <c r="I192" s="8" t="s">
        <v>98</v>
      </c>
      <c r="J192" s="2" t="s">
        <v>1525</v>
      </c>
      <c r="K192" s="2" t="s">
        <v>1548</v>
      </c>
      <c r="L192" s="2" t="s">
        <v>1564</v>
      </c>
      <c r="M192" s="2" t="s">
        <v>1897</v>
      </c>
      <c r="N192" s="2" t="s">
        <v>1898</v>
      </c>
      <c r="O192" s="2"/>
      <c r="P192" s="2"/>
      <c r="Q192" s="2" t="s">
        <v>1705</v>
      </c>
      <c r="S192" s="5" t="s">
        <v>1501</v>
      </c>
    </row>
    <row r="193" spans="1:20" ht="30" customHeight="1" x14ac:dyDescent="0.5">
      <c r="A193" s="7" t="s">
        <v>35</v>
      </c>
      <c r="B193" s="7" t="s">
        <v>841</v>
      </c>
      <c r="C193" s="8">
        <v>1106700010003</v>
      </c>
      <c r="D193" s="7" t="s">
        <v>102</v>
      </c>
      <c r="E193" s="7" t="s">
        <v>846</v>
      </c>
      <c r="F193" s="7">
        <v>1991</v>
      </c>
      <c r="G193" s="7" t="s">
        <v>19</v>
      </c>
      <c r="H193" s="7" t="s">
        <v>104</v>
      </c>
      <c r="I193" s="8">
        <v>55503855346001</v>
      </c>
      <c r="J193" s="2" t="s">
        <v>1531</v>
      </c>
      <c r="K193" s="2" t="s">
        <v>1548</v>
      </c>
      <c r="L193" s="2" t="s">
        <v>1564</v>
      </c>
      <c r="M193" s="2" t="s">
        <v>1731</v>
      </c>
      <c r="N193" s="10" t="s">
        <v>1732</v>
      </c>
      <c r="O193" s="2"/>
      <c r="P193" s="2"/>
      <c r="Q193" s="2" t="s">
        <v>1670</v>
      </c>
    </row>
    <row r="194" spans="1:20" ht="30" customHeight="1" x14ac:dyDescent="0.5">
      <c r="A194" s="7" t="s">
        <v>35</v>
      </c>
      <c r="B194" s="7" t="s">
        <v>82</v>
      </c>
      <c r="C194" s="8">
        <v>1101700010006</v>
      </c>
      <c r="D194" s="7" t="s">
        <v>1551</v>
      </c>
      <c r="E194" s="7" t="s">
        <v>83</v>
      </c>
      <c r="F194" s="7">
        <v>2013</v>
      </c>
      <c r="G194" s="7" t="s">
        <v>19</v>
      </c>
      <c r="H194" s="7" t="s">
        <v>52</v>
      </c>
      <c r="I194" s="8" t="s">
        <v>84</v>
      </c>
      <c r="J194" s="2" t="s">
        <v>1506</v>
      </c>
      <c r="K194" s="2" t="s">
        <v>1548</v>
      </c>
      <c r="L194" s="2" t="s">
        <v>1564</v>
      </c>
      <c r="M194" s="2" t="s">
        <v>1788</v>
      </c>
      <c r="N194" s="2" t="s">
        <v>1789</v>
      </c>
      <c r="O194" s="2"/>
      <c r="P194" s="2"/>
      <c r="Q194" s="2" t="s">
        <v>1697</v>
      </c>
      <c r="S194" s="5" t="s">
        <v>1545</v>
      </c>
    </row>
    <row r="195" spans="1:20" ht="30" customHeight="1" x14ac:dyDescent="0.5">
      <c r="A195" s="7" t="s">
        <v>263</v>
      </c>
      <c r="B195" s="7" t="s">
        <v>509</v>
      </c>
      <c r="C195" s="8">
        <v>1204700010002</v>
      </c>
      <c r="D195" s="7" t="s">
        <v>265</v>
      </c>
      <c r="E195" s="7" t="s">
        <v>516</v>
      </c>
      <c r="F195" s="7">
        <v>2003</v>
      </c>
      <c r="G195" s="7" t="s">
        <v>4</v>
      </c>
      <c r="H195" s="7" t="s">
        <v>10</v>
      </c>
      <c r="I195" s="8" t="s">
        <v>517</v>
      </c>
      <c r="J195" s="2" t="s">
        <v>1661</v>
      </c>
      <c r="K195" s="2" t="s">
        <v>1548</v>
      </c>
      <c r="L195" s="2" t="s">
        <v>1564</v>
      </c>
      <c r="M195" s="2" t="s">
        <v>1891</v>
      </c>
      <c r="N195" s="10" t="s">
        <v>1892</v>
      </c>
      <c r="O195" s="2"/>
      <c r="P195" s="2"/>
      <c r="Q195" s="2" t="s">
        <v>1689</v>
      </c>
    </row>
    <row r="196" spans="1:20" ht="30" customHeight="1" x14ac:dyDescent="0.5">
      <c r="A196" s="7" t="s">
        <v>263</v>
      </c>
      <c r="B196" s="7" t="s">
        <v>568</v>
      </c>
      <c r="C196" s="8">
        <v>1204700010003</v>
      </c>
      <c r="D196" s="7" t="s">
        <v>96</v>
      </c>
      <c r="E196" s="7" t="s">
        <v>573</v>
      </c>
      <c r="F196" s="7">
        <v>2008</v>
      </c>
      <c r="G196" s="7" t="s">
        <v>19</v>
      </c>
      <c r="H196" s="7" t="s">
        <v>10</v>
      </c>
      <c r="I196" s="8" t="s">
        <v>574</v>
      </c>
      <c r="J196" s="2" t="s">
        <v>1487</v>
      </c>
      <c r="K196" s="2" t="s">
        <v>1548</v>
      </c>
      <c r="L196" s="2" t="s">
        <v>1564</v>
      </c>
      <c r="M196" s="2" t="s">
        <v>1755</v>
      </c>
      <c r="N196" s="2" t="s">
        <v>1756</v>
      </c>
      <c r="O196" s="2"/>
      <c r="P196" s="2"/>
      <c r="Q196" s="2" t="s">
        <v>1699</v>
      </c>
    </row>
    <row r="197" spans="1:20" ht="30" customHeight="1" x14ac:dyDescent="0.5">
      <c r="A197" s="7" t="s">
        <v>263</v>
      </c>
      <c r="B197" s="7" t="s">
        <v>632</v>
      </c>
      <c r="C197" s="8">
        <v>1102700010004</v>
      </c>
      <c r="D197" s="7" t="s">
        <v>64</v>
      </c>
      <c r="E197" s="7" t="s">
        <v>643</v>
      </c>
      <c r="F197" s="7">
        <v>2003</v>
      </c>
      <c r="G197" s="7" t="s">
        <v>19</v>
      </c>
      <c r="H197" s="7" t="s">
        <v>42</v>
      </c>
      <c r="I197" s="8" t="s">
        <v>644</v>
      </c>
      <c r="J197" s="2" t="s">
        <v>1544</v>
      </c>
      <c r="K197" s="9" t="s">
        <v>1553</v>
      </c>
      <c r="L197" s="2" t="s">
        <v>1571</v>
      </c>
      <c r="M197" s="2" t="s">
        <v>1965</v>
      </c>
      <c r="N197" s="2" t="s">
        <v>1583</v>
      </c>
      <c r="O197" s="2"/>
      <c r="P197" s="2"/>
      <c r="Q197" s="2" t="s">
        <v>1544</v>
      </c>
    </row>
    <row r="198" spans="1:20" ht="30" customHeight="1" x14ac:dyDescent="0.5">
      <c r="A198" s="7" t="s">
        <v>263</v>
      </c>
      <c r="B198" s="7" t="s">
        <v>1225</v>
      </c>
      <c r="C198" s="8">
        <v>1102700010004</v>
      </c>
      <c r="D198" s="7" t="s">
        <v>64</v>
      </c>
      <c r="E198" s="7" t="s">
        <v>1448</v>
      </c>
      <c r="F198" s="7">
        <v>2008</v>
      </c>
      <c r="G198" s="7" t="s">
        <v>19</v>
      </c>
      <c r="H198" s="7" t="s">
        <v>440</v>
      </c>
      <c r="I198" s="8" t="s">
        <v>1278</v>
      </c>
      <c r="J198" s="2" t="s">
        <v>1544</v>
      </c>
      <c r="K198" s="2" t="s">
        <v>1548</v>
      </c>
      <c r="L198" s="2" t="s">
        <v>1571</v>
      </c>
      <c r="M198" s="2" t="s">
        <v>1582</v>
      </c>
      <c r="N198" s="10" t="s">
        <v>1583</v>
      </c>
      <c r="O198" s="2"/>
      <c r="P198" s="2"/>
      <c r="Q198" s="2"/>
    </row>
    <row r="199" spans="1:20" ht="30" customHeight="1" x14ac:dyDescent="0.5">
      <c r="A199" s="7" t="s">
        <v>35</v>
      </c>
      <c r="B199" s="7" t="s">
        <v>776</v>
      </c>
      <c r="C199" s="8">
        <v>1106700020010</v>
      </c>
      <c r="D199" s="7" t="s">
        <v>210</v>
      </c>
      <c r="E199" s="7" t="s">
        <v>783</v>
      </c>
      <c r="F199" s="7">
        <v>2009</v>
      </c>
      <c r="G199" s="7" t="s">
        <v>19</v>
      </c>
      <c r="H199" s="7" t="s">
        <v>56</v>
      </c>
      <c r="I199" s="8" t="s">
        <v>784</v>
      </c>
      <c r="J199" s="2" t="s">
        <v>1493</v>
      </c>
      <c r="K199" s="2" t="s">
        <v>1548</v>
      </c>
      <c r="L199" s="2" t="s">
        <v>1564</v>
      </c>
      <c r="M199" s="2" t="s">
        <v>1646</v>
      </c>
      <c r="N199" s="2" t="s">
        <v>1647</v>
      </c>
      <c r="O199" s="2"/>
      <c r="P199" s="2" t="s">
        <v>1649</v>
      </c>
      <c r="Q199" s="2" t="s">
        <v>1493</v>
      </c>
    </row>
    <row r="200" spans="1:20" ht="30" customHeight="1" x14ac:dyDescent="0.5">
      <c r="A200" s="7" t="s">
        <v>35</v>
      </c>
      <c r="B200" s="7" t="s">
        <v>887</v>
      </c>
      <c r="C200" s="8">
        <v>1204700010003</v>
      </c>
      <c r="D200" s="7" t="s">
        <v>96</v>
      </c>
      <c r="E200" s="7" t="s">
        <v>894</v>
      </c>
      <c r="F200" s="7">
        <v>2005</v>
      </c>
      <c r="G200" s="7" t="s">
        <v>19</v>
      </c>
      <c r="H200" s="7" t="s">
        <v>10</v>
      </c>
      <c r="I200" s="8" t="s">
        <v>895</v>
      </c>
      <c r="J200" s="2" t="s">
        <v>1498</v>
      </c>
      <c r="K200" s="2" t="s">
        <v>1548</v>
      </c>
      <c r="L200" s="2" t="s">
        <v>1564</v>
      </c>
      <c r="M200" s="2" t="s">
        <v>1903</v>
      </c>
      <c r="N200" s="2" t="s">
        <v>1647</v>
      </c>
      <c r="O200" s="2"/>
      <c r="P200" s="2" t="s">
        <v>1904</v>
      </c>
      <c r="Q200" s="2" t="s">
        <v>1716</v>
      </c>
    </row>
    <row r="201" spans="1:20" ht="30" customHeight="1" x14ac:dyDescent="0.5">
      <c r="A201" s="7" t="s">
        <v>35</v>
      </c>
      <c r="B201" s="7" t="s">
        <v>820</v>
      </c>
      <c r="C201" s="8">
        <v>1106700020003</v>
      </c>
      <c r="D201" s="7" t="s">
        <v>54</v>
      </c>
      <c r="E201" s="7" t="s">
        <v>825</v>
      </c>
      <c r="F201" s="7">
        <v>2011</v>
      </c>
      <c r="G201" s="7" t="s">
        <v>19</v>
      </c>
      <c r="H201" s="7" t="s">
        <v>56</v>
      </c>
      <c r="I201" s="8" t="s">
        <v>826</v>
      </c>
      <c r="J201" s="2" t="s">
        <v>1531</v>
      </c>
      <c r="K201" s="2" t="s">
        <v>1548</v>
      </c>
      <c r="L201" s="2" t="s">
        <v>1564</v>
      </c>
      <c r="M201" s="2" t="s">
        <v>1981</v>
      </c>
      <c r="N201" s="10" t="s">
        <v>1824</v>
      </c>
      <c r="O201" s="2"/>
      <c r="P201" s="2"/>
      <c r="Q201" s="2" t="s">
        <v>1709</v>
      </c>
    </row>
    <row r="202" spans="1:20" ht="30" customHeight="1" x14ac:dyDescent="0.5">
      <c r="A202" s="7" t="s">
        <v>0</v>
      </c>
      <c r="B202" s="7" t="s">
        <v>1</v>
      </c>
      <c r="C202" s="8">
        <v>1203700010002</v>
      </c>
      <c r="D202" s="7" t="s">
        <v>2</v>
      </c>
      <c r="E202" s="7" t="s">
        <v>3</v>
      </c>
      <c r="F202" s="7">
        <v>2011</v>
      </c>
      <c r="G202" s="7" t="s">
        <v>4</v>
      </c>
      <c r="H202" s="7" t="s">
        <v>5</v>
      </c>
      <c r="I202" s="8" t="s">
        <v>6</v>
      </c>
      <c r="J202" s="2"/>
      <c r="K202" s="2"/>
      <c r="L202" s="2"/>
      <c r="M202" s="2"/>
      <c r="N202" s="2"/>
      <c r="O202" s="2"/>
      <c r="P202" s="2"/>
      <c r="Q202" s="2"/>
      <c r="R202" s="4" t="s">
        <v>1548</v>
      </c>
      <c r="S202" s="5" t="s">
        <v>1472</v>
      </c>
      <c r="T202" s="4" t="s">
        <v>1565</v>
      </c>
    </row>
    <row r="203" spans="1:20" ht="30" customHeight="1" x14ac:dyDescent="0.5">
      <c r="A203" s="7" t="s">
        <v>0</v>
      </c>
      <c r="B203" s="7" t="s">
        <v>1</v>
      </c>
      <c r="C203" s="8">
        <v>1204700020005</v>
      </c>
      <c r="D203" s="7" t="s">
        <v>7</v>
      </c>
      <c r="E203" s="7" t="s">
        <v>8</v>
      </c>
      <c r="F203" s="7">
        <v>2011</v>
      </c>
      <c r="G203" s="7" t="s">
        <v>9</v>
      </c>
      <c r="H203" s="7" t="s">
        <v>10</v>
      </c>
      <c r="I203" s="8" t="s">
        <v>11</v>
      </c>
      <c r="J203" s="2"/>
      <c r="K203" s="2"/>
      <c r="L203" s="2"/>
      <c r="M203" s="2"/>
      <c r="N203" s="2"/>
      <c r="O203" s="2"/>
      <c r="P203" s="2"/>
      <c r="Q203" s="2"/>
      <c r="R203" s="4" t="s">
        <v>1552</v>
      </c>
      <c r="S203" s="5" t="s">
        <v>1473</v>
      </c>
      <c r="T203" s="4" t="s">
        <v>1566</v>
      </c>
    </row>
    <row r="204" spans="1:20" ht="30" customHeight="1" x14ac:dyDescent="0.5">
      <c r="A204" s="7" t="s">
        <v>0</v>
      </c>
      <c r="B204" s="7" t="s">
        <v>12</v>
      </c>
      <c r="C204" s="8">
        <v>1204700020003</v>
      </c>
      <c r="D204" s="7" t="s">
        <v>13</v>
      </c>
      <c r="E204" s="7" t="s">
        <v>14</v>
      </c>
      <c r="F204" s="7">
        <v>2005</v>
      </c>
      <c r="G204" s="7" t="s">
        <v>4</v>
      </c>
      <c r="H204" s="7" t="s">
        <v>15</v>
      </c>
      <c r="I204" s="8" t="s">
        <v>16</v>
      </c>
      <c r="J204" s="2"/>
      <c r="K204" s="2"/>
      <c r="L204" s="2"/>
      <c r="M204" s="2"/>
      <c r="N204" s="2"/>
      <c r="O204" s="2"/>
      <c r="P204" s="2"/>
      <c r="Q204" s="2"/>
      <c r="R204" s="4" t="s">
        <v>1553</v>
      </c>
      <c r="S204" s="5" t="s">
        <v>1474</v>
      </c>
      <c r="T204" s="4" t="s">
        <v>1567</v>
      </c>
    </row>
    <row r="205" spans="1:20" ht="30" customHeight="1" x14ac:dyDescent="0.5">
      <c r="A205" s="7" t="s">
        <v>0</v>
      </c>
      <c r="B205" s="7" t="s">
        <v>12</v>
      </c>
      <c r="C205" s="8">
        <v>1204700030001</v>
      </c>
      <c r="D205" s="7" t="s">
        <v>17</v>
      </c>
      <c r="E205" s="7" t="s">
        <v>18</v>
      </c>
      <c r="F205" s="7">
        <v>2013</v>
      </c>
      <c r="G205" s="7" t="s">
        <v>19</v>
      </c>
      <c r="H205" s="7" t="s">
        <v>20</v>
      </c>
      <c r="I205" s="8" t="s">
        <v>21</v>
      </c>
      <c r="J205" s="2"/>
      <c r="K205" s="2"/>
      <c r="L205" s="2"/>
      <c r="M205" s="2"/>
      <c r="N205" s="2"/>
      <c r="O205" s="2"/>
      <c r="P205" s="2"/>
      <c r="Q205" s="2"/>
      <c r="R205" s="4" t="s">
        <v>1559</v>
      </c>
      <c r="S205" s="5" t="s">
        <v>1475</v>
      </c>
      <c r="T205" s="4" t="s">
        <v>1568</v>
      </c>
    </row>
    <row r="206" spans="1:20" ht="30" customHeight="1" x14ac:dyDescent="0.5">
      <c r="A206" s="7" t="s">
        <v>0</v>
      </c>
      <c r="B206" s="7" t="s">
        <v>12</v>
      </c>
      <c r="C206" s="8">
        <v>1205700040001</v>
      </c>
      <c r="D206" s="7" t="s">
        <v>22</v>
      </c>
      <c r="E206" s="7" t="s">
        <v>23</v>
      </c>
      <c r="F206" s="7">
        <v>2008</v>
      </c>
      <c r="G206" s="7" t="s">
        <v>19</v>
      </c>
      <c r="H206" s="7" t="s">
        <v>20</v>
      </c>
      <c r="I206" s="8">
        <v>80020279</v>
      </c>
      <c r="J206" s="2"/>
      <c r="K206" s="2"/>
      <c r="L206" s="2"/>
      <c r="M206" s="2"/>
      <c r="N206" s="2"/>
      <c r="O206" s="2"/>
      <c r="P206" s="2"/>
      <c r="Q206" s="2"/>
      <c r="S206" s="5" t="s">
        <v>1476</v>
      </c>
      <c r="T206" s="4" t="s">
        <v>1569</v>
      </c>
    </row>
    <row r="207" spans="1:20" ht="30" customHeight="1" x14ac:dyDescent="0.5">
      <c r="A207" s="7" t="s">
        <v>0</v>
      </c>
      <c r="B207" s="7" t="s">
        <v>12</v>
      </c>
      <c r="C207" s="8">
        <v>1205700040001</v>
      </c>
      <c r="D207" s="7" t="s">
        <v>22</v>
      </c>
      <c r="E207" s="7" t="s">
        <v>24</v>
      </c>
      <c r="F207" s="7">
        <v>2008</v>
      </c>
      <c r="G207" s="7" t="s">
        <v>19</v>
      </c>
      <c r="H207" s="7" t="s">
        <v>20</v>
      </c>
      <c r="I207" s="8" t="s">
        <v>25</v>
      </c>
      <c r="J207" s="2"/>
      <c r="K207" s="2"/>
      <c r="L207" s="2"/>
      <c r="M207" s="2"/>
      <c r="N207" s="2"/>
      <c r="O207" s="2"/>
      <c r="P207" s="2"/>
      <c r="Q207" s="2"/>
      <c r="S207" s="5" t="s">
        <v>1477</v>
      </c>
      <c r="T207" s="4" t="s">
        <v>1559</v>
      </c>
    </row>
    <row r="208" spans="1:20" ht="30" customHeight="1" x14ac:dyDescent="0.5">
      <c r="A208" s="7" t="s">
        <v>0</v>
      </c>
      <c r="B208" s="7" t="s">
        <v>12</v>
      </c>
      <c r="C208" s="8">
        <v>1205700040001</v>
      </c>
      <c r="D208" s="7" t="s">
        <v>22</v>
      </c>
      <c r="E208" s="7" t="s">
        <v>26</v>
      </c>
      <c r="F208" s="7">
        <v>2009</v>
      </c>
      <c r="G208" s="7" t="s">
        <v>19</v>
      </c>
      <c r="H208" s="7" t="s">
        <v>20</v>
      </c>
      <c r="I208" s="8" t="s">
        <v>27</v>
      </c>
      <c r="J208" s="2"/>
      <c r="K208" s="2"/>
      <c r="L208" s="2"/>
      <c r="M208" s="2"/>
      <c r="N208" s="2"/>
      <c r="O208" s="2"/>
      <c r="P208" s="2"/>
      <c r="Q208" s="2"/>
      <c r="S208" s="5" t="s">
        <v>1554</v>
      </c>
      <c r="T208" s="4" t="s">
        <v>1570</v>
      </c>
    </row>
    <row r="209" spans="1:20" ht="30" customHeight="1" x14ac:dyDescent="0.5">
      <c r="A209" s="7" t="s">
        <v>0</v>
      </c>
      <c r="B209" s="7" t="s">
        <v>28</v>
      </c>
      <c r="C209" s="8">
        <v>1204700020009</v>
      </c>
      <c r="D209" s="7" t="s">
        <v>29</v>
      </c>
      <c r="E209" s="7" t="s">
        <v>30</v>
      </c>
      <c r="F209" s="7">
        <v>2011</v>
      </c>
      <c r="G209" s="7" t="s">
        <v>19</v>
      </c>
      <c r="H209" s="7" t="s">
        <v>10</v>
      </c>
      <c r="I209" s="8" t="s">
        <v>31</v>
      </c>
      <c r="J209" s="2"/>
      <c r="K209" s="2"/>
      <c r="L209" s="2"/>
      <c r="M209" s="2"/>
      <c r="N209" s="2"/>
      <c r="O209" s="2"/>
      <c r="P209" s="2"/>
      <c r="Q209" s="2"/>
      <c r="S209" s="5" t="s">
        <v>1478</v>
      </c>
      <c r="T209" s="4" t="s">
        <v>1613</v>
      </c>
    </row>
    <row r="210" spans="1:20" ht="30" customHeight="1" x14ac:dyDescent="0.5">
      <c r="A210" s="7" t="s">
        <v>0</v>
      </c>
      <c r="B210" s="7" t="s">
        <v>28</v>
      </c>
      <c r="C210" s="8">
        <v>1205700010002</v>
      </c>
      <c r="D210" s="7" t="s">
        <v>32</v>
      </c>
      <c r="E210" s="7" t="s">
        <v>33</v>
      </c>
      <c r="F210" s="7">
        <v>2006</v>
      </c>
      <c r="G210" s="7" t="s">
        <v>4</v>
      </c>
      <c r="H210" s="7" t="s">
        <v>20</v>
      </c>
      <c r="I210" s="8" t="s">
        <v>34</v>
      </c>
      <c r="J210" s="2"/>
      <c r="K210" s="2"/>
      <c r="L210" s="2"/>
      <c r="M210" s="2"/>
      <c r="N210" s="2"/>
      <c r="O210" s="2"/>
      <c r="P210" s="2"/>
      <c r="Q210" s="2"/>
      <c r="S210" s="5" t="s">
        <v>1479</v>
      </c>
      <c r="T210" s="4" t="s">
        <v>1571</v>
      </c>
    </row>
    <row r="211" spans="1:20" ht="30" customHeight="1" x14ac:dyDescent="0.5">
      <c r="A211" s="7" t="s">
        <v>35</v>
      </c>
      <c r="B211" s="7" t="s">
        <v>36</v>
      </c>
      <c r="C211" s="8">
        <v>1204700020003</v>
      </c>
      <c r="D211" s="7" t="s">
        <v>13</v>
      </c>
      <c r="E211" s="7" t="s">
        <v>37</v>
      </c>
      <c r="F211" s="7">
        <v>2009</v>
      </c>
      <c r="G211" s="7" t="s">
        <v>19</v>
      </c>
      <c r="H211" s="7" t="s">
        <v>10</v>
      </c>
      <c r="I211" s="8" t="s">
        <v>38</v>
      </c>
      <c r="J211" s="2"/>
      <c r="K211" s="2"/>
      <c r="L211" s="2"/>
      <c r="M211" s="2"/>
      <c r="N211" s="2"/>
      <c r="O211" s="2"/>
      <c r="P211" s="2"/>
      <c r="Q211" s="2"/>
      <c r="S211" s="5" t="s">
        <v>1480</v>
      </c>
    </row>
    <row r="212" spans="1:20" ht="30" customHeight="1" x14ac:dyDescent="0.5">
      <c r="A212" s="7" t="s">
        <v>35</v>
      </c>
      <c r="B212" s="7" t="s">
        <v>39</v>
      </c>
      <c r="C212" s="8">
        <v>1105700150011</v>
      </c>
      <c r="D212" s="7" t="s">
        <v>44</v>
      </c>
      <c r="E212" s="7" t="s">
        <v>45</v>
      </c>
      <c r="F212" s="7">
        <v>2014</v>
      </c>
      <c r="G212" s="7" t="s">
        <v>19</v>
      </c>
      <c r="H212" s="7" t="s">
        <v>42</v>
      </c>
      <c r="I212" s="8" t="s">
        <v>46</v>
      </c>
      <c r="J212" s="2"/>
      <c r="K212" s="2"/>
      <c r="L212" s="2"/>
      <c r="M212" s="2"/>
      <c r="N212" s="2"/>
      <c r="O212" s="2"/>
      <c r="P212" s="2"/>
      <c r="Q212" s="2"/>
      <c r="S212" s="5" t="s">
        <v>1482</v>
      </c>
    </row>
    <row r="213" spans="1:20" ht="30" customHeight="1" x14ac:dyDescent="0.5">
      <c r="A213" s="7" t="s">
        <v>35</v>
      </c>
      <c r="B213" s="7" t="s">
        <v>39</v>
      </c>
      <c r="C213" s="8">
        <v>1204700020003</v>
      </c>
      <c r="D213" s="7" t="s">
        <v>13</v>
      </c>
      <c r="E213" s="7" t="s">
        <v>47</v>
      </c>
      <c r="F213" s="7">
        <v>2009</v>
      </c>
      <c r="G213" s="7" t="s">
        <v>19</v>
      </c>
      <c r="H213" s="7" t="s">
        <v>10</v>
      </c>
      <c r="I213" s="8" t="s">
        <v>48</v>
      </c>
      <c r="J213" s="2"/>
      <c r="K213" s="2"/>
      <c r="L213" s="2"/>
      <c r="M213" s="2"/>
      <c r="N213" s="2"/>
      <c r="O213" s="2"/>
      <c r="P213" s="2"/>
      <c r="Q213" s="2"/>
      <c r="S213" s="5" t="s">
        <v>1483</v>
      </c>
    </row>
    <row r="214" spans="1:20" ht="30" customHeight="1" x14ac:dyDescent="0.5">
      <c r="A214" s="7" t="s">
        <v>35</v>
      </c>
      <c r="B214" s="7" t="s">
        <v>49</v>
      </c>
      <c r="C214" s="8">
        <v>1106700020003</v>
      </c>
      <c r="D214" s="7" t="s">
        <v>54</v>
      </c>
      <c r="E214" s="7" t="s">
        <v>55</v>
      </c>
      <c r="F214" s="7">
        <v>2013</v>
      </c>
      <c r="G214" s="7" t="s">
        <v>19</v>
      </c>
      <c r="H214" s="7" t="s">
        <v>56</v>
      </c>
      <c r="I214" s="8" t="s">
        <v>57</v>
      </c>
      <c r="J214" s="2"/>
      <c r="K214" s="2"/>
      <c r="L214" s="2"/>
      <c r="M214" s="2"/>
      <c r="N214" s="2"/>
      <c r="O214" s="2"/>
      <c r="P214" s="2"/>
      <c r="Q214" s="2"/>
      <c r="S214" s="5" t="s">
        <v>1485</v>
      </c>
    </row>
    <row r="215" spans="1:20" ht="30" customHeight="1" x14ac:dyDescent="0.5">
      <c r="A215" s="7" t="s">
        <v>35</v>
      </c>
      <c r="B215" s="7" t="s">
        <v>61</v>
      </c>
      <c r="C215" s="8">
        <v>1102700010004</v>
      </c>
      <c r="D215" s="7" t="s">
        <v>64</v>
      </c>
      <c r="E215" s="7" t="s">
        <v>65</v>
      </c>
      <c r="F215" s="7">
        <v>2008</v>
      </c>
      <c r="G215" s="7" t="s">
        <v>19</v>
      </c>
      <c r="H215" s="7" t="s">
        <v>66</v>
      </c>
      <c r="I215" s="8" t="s">
        <v>67</v>
      </c>
      <c r="J215" s="2"/>
      <c r="K215" s="2"/>
      <c r="L215" s="2"/>
      <c r="M215" s="2"/>
      <c r="N215" s="2"/>
      <c r="O215" s="2"/>
      <c r="P215" s="2"/>
      <c r="Q215" s="2"/>
      <c r="S215" s="5" t="s">
        <v>1489</v>
      </c>
    </row>
    <row r="216" spans="1:20" ht="30" customHeight="1" x14ac:dyDescent="0.5">
      <c r="A216" s="7" t="s">
        <v>35</v>
      </c>
      <c r="B216" s="7" t="s">
        <v>61</v>
      </c>
      <c r="C216" s="8">
        <v>1106700020003</v>
      </c>
      <c r="D216" s="7" t="s">
        <v>54</v>
      </c>
      <c r="E216" s="7" t="s">
        <v>68</v>
      </c>
      <c r="F216" s="7">
        <v>2014</v>
      </c>
      <c r="G216" s="7" t="s">
        <v>19</v>
      </c>
      <c r="H216" s="7" t="s">
        <v>56</v>
      </c>
      <c r="I216" s="8" t="s">
        <v>69</v>
      </c>
      <c r="J216" s="2"/>
      <c r="K216" s="2"/>
      <c r="L216" s="2"/>
      <c r="M216" s="2"/>
      <c r="N216" s="2"/>
      <c r="O216" s="2"/>
      <c r="P216" s="2"/>
      <c r="Q216" s="2"/>
      <c r="S216" s="5" t="s">
        <v>1490</v>
      </c>
    </row>
    <row r="217" spans="1:20" ht="30" customHeight="1" x14ac:dyDescent="0.5">
      <c r="A217" s="7" t="s">
        <v>35</v>
      </c>
      <c r="B217" s="7" t="s">
        <v>61</v>
      </c>
      <c r="C217" s="8">
        <v>1106700020003</v>
      </c>
      <c r="D217" s="7" t="s">
        <v>54</v>
      </c>
      <c r="E217" s="7" t="s">
        <v>70</v>
      </c>
      <c r="F217" s="7">
        <v>2011</v>
      </c>
      <c r="G217" s="7" t="s">
        <v>19</v>
      </c>
      <c r="H217" s="7" t="s">
        <v>56</v>
      </c>
      <c r="I217" s="8" t="s">
        <v>71</v>
      </c>
      <c r="J217" s="2"/>
      <c r="K217" s="2"/>
      <c r="L217" s="2"/>
      <c r="M217" s="2"/>
      <c r="N217" s="2"/>
      <c r="O217" s="2"/>
      <c r="P217" s="2"/>
      <c r="Q217" s="2"/>
      <c r="S217" s="5" t="s">
        <v>1491</v>
      </c>
    </row>
    <row r="218" spans="1:20" ht="30" customHeight="1" x14ac:dyDescent="0.5">
      <c r="A218" s="7" t="s">
        <v>35</v>
      </c>
      <c r="B218" s="7" t="s">
        <v>72</v>
      </c>
      <c r="C218" s="8">
        <v>1106700020003</v>
      </c>
      <c r="D218" s="7" t="s">
        <v>54</v>
      </c>
      <c r="E218" s="7" t="s">
        <v>75</v>
      </c>
      <c r="F218" s="7">
        <v>2014</v>
      </c>
      <c r="G218" s="7" t="s">
        <v>19</v>
      </c>
      <c r="H218" s="7" t="s">
        <v>56</v>
      </c>
      <c r="I218" s="8" t="s">
        <v>76</v>
      </c>
      <c r="J218" s="2" t="s">
        <v>1506</v>
      </c>
      <c r="K218" s="2" t="s">
        <v>1548</v>
      </c>
      <c r="L218" s="2" t="s">
        <v>1615</v>
      </c>
      <c r="M218" s="2" t="s">
        <v>1615</v>
      </c>
      <c r="N218" s="2" t="s">
        <v>1978</v>
      </c>
      <c r="O218" s="2"/>
      <c r="P218" s="2"/>
      <c r="Q218" s="2" t="s">
        <v>1698</v>
      </c>
      <c r="S218" s="5" t="s">
        <v>1493</v>
      </c>
    </row>
    <row r="219" spans="1:20" ht="30" customHeight="1" x14ac:dyDescent="0.5">
      <c r="A219" s="7" t="s">
        <v>35</v>
      </c>
      <c r="B219" s="7" t="s">
        <v>77</v>
      </c>
      <c r="C219" s="8">
        <v>1101700010006</v>
      </c>
      <c r="D219" s="7" t="s">
        <v>1551</v>
      </c>
      <c r="E219" s="7" t="s">
        <v>78</v>
      </c>
      <c r="F219" s="7">
        <v>2014</v>
      </c>
      <c r="G219" s="7" t="s">
        <v>19</v>
      </c>
      <c r="H219" s="7" t="s">
        <v>52</v>
      </c>
      <c r="I219" s="8" t="s">
        <v>79</v>
      </c>
      <c r="J219" s="2"/>
      <c r="K219" s="2"/>
      <c r="L219" s="2"/>
      <c r="M219" s="2"/>
      <c r="N219" s="2"/>
      <c r="O219" s="2"/>
      <c r="P219" s="2"/>
      <c r="Q219" s="2"/>
      <c r="S219" s="5" t="s">
        <v>1494</v>
      </c>
    </row>
    <row r="220" spans="1:20" ht="30" customHeight="1" x14ac:dyDescent="0.5">
      <c r="A220" s="7" t="s">
        <v>35</v>
      </c>
      <c r="B220" s="7" t="s">
        <v>77</v>
      </c>
      <c r="C220" s="8">
        <v>1106700020003</v>
      </c>
      <c r="D220" s="7" t="s">
        <v>54</v>
      </c>
      <c r="E220" s="7" t="s">
        <v>80</v>
      </c>
      <c r="F220" s="7">
        <v>2013</v>
      </c>
      <c r="G220" s="7" t="s">
        <v>19</v>
      </c>
      <c r="H220" s="7" t="s">
        <v>56</v>
      </c>
      <c r="I220" s="8" t="s">
        <v>81</v>
      </c>
      <c r="J220" s="2"/>
      <c r="K220" s="2"/>
      <c r="L220" s="2"/>
      <c r="M220" s="2"/>
      <c r="N220" s="2"/>
      <c r="O220" s="2"/>
      <c r="P220" s="2"/>
      <c r="Q220" s="2"/>
      <c r="S220" s="5" t="s">
        <v>1495</v>
      </c>
    </row>
    <row r="221" spans="1:20" ht="30" customHeight="1" x14ac:dyDescent="0.5">
      <c r="A221" s="7" t="s">
        <v>35</v>
      </c>
      <c r="B221" s="7" t="s">
        <v>82</v>
      </c>
      <c r="C221" s="8">
        <v>1106700020003</v>
      </c>
      <c r="D221" s="7" t="s">
        <v>54</v>
      </c>
      <c r="E221" s="7" t="s">
        <v>87</v>
      </c>
      <c r="F221" s="7">
        <v>2016</v>
      </c>
      <c r="G221" s="7" t="s">
        <v>19</v>
      </c>
      <c r="H221" s="7" t="s">
        <v>56</v>
      </c>
      <c r="I221" s="8" t="s">
        <v>88</v>
      </c>
      <c r="J221" s="2"/>
      <c r="K221" s="2"/>
      <c r="L221" s="2"/>
      <c r="M221" s="2"/>
      <c r="N221" s="2"/>
      <c r="O221" s="2"/>
      <c r="P221" s="2"/>
      <c r="Q221" s="2"/>
      <c r="S221" s="5" t="s">
        <v>1497</v>
      </c>
    </row>
    <row r="222" spans="1:20" ht="30" customHeight="1" x14ac:dyDescent="0.5">
      <c r="A222" s="7" t="s">
        <v>35</v>
      </c>
      <c r="B222" s="7" t="s">
        <v>89</v>
      </c>
      <c r="C222" s="8">
        <v>1106700020003</v>
      </c>
      <c r="D222" s="7" t="s">
        <v>54</v>
      </c>
      <c r="E222" s="7" t="s">
        <v>94</v>
      </c>
      <c r="F222" s="7">
        <v>2013</v>
      </c>
      <c r="G222" s="7" t="s">
        <v>19</v>
      </c>
      <c r="H222" s="7" t="s">
        <v>56</v>
      </c>
      <c r="I222" s="8" t="s">
        <v>95</v>
      </c>
      <c r="J222" s="2"/>
      <c r="K222" s="2"/>
      <c r="L222" s="2"/>
      <c r="M222" s="2"/>
      <c r="N222" s="2"/>
      <c r="O222" s="2"/>
      <c r="P222" s="2"/>
      <c r="Q222" s="2"/>
      <c r="S222" s="5" t="s">
        <v>1500</v>
      </c>
    </row>
    <row r="223" spans="1:20" ht="30" customHeight="1" x14ac:dyDescent="0.5">
      <c r="A223" s="7" t="s">
        <v>35</v>
      </c>
      <c r="B223" s="7" t="s">
        <v>99</v>
      </c>
      <c r="C223" s="8">
        <v>1101700010006</v>
      </c>
      <c r="D223" s="7" t="s">
        <v>1551</v>
      </c>
      <c r="E223" s="7" t="s">
        <v>100</v>
      </c>
      <c r="F223" s="7">
        <v>2012</v>
      </c>
      <c r="G223" s="7" t="s">
        <v>19</v>
      </c>
      <c r="H223" s="7" t="s">
        <v>52</v>
      </c>
      <c r="I223" s="8" t="s">
        <v>101</v>
      </c>
      <c r="J223" s="2"/>
      <c r="K223" s="2"/>
      <c r="L223" s="2"/>
      <c r="M223" s="2"/>
      <c r="N223" s="2"/>
      <c r="O223" s="2"/>
      <c r="P223" s="2"/>
      <c r="Q223" s="2"/>
      <c r="S223" s="5" t="s">
        <v>1502</v>
      </c>
    </row>
    <row r="224" spans="1:20" ht="30" customHeight="1" x14ac:dyDescent="0.5">
      <c r="A224" s="7" t="s">
        <v>35</v>
      </c>
      <c r="B224" s="7" t="s">
        <v>99</v>
      </c>
      <c r="C224" s="8">
        <v>1106700020003</v>
      </c>
      <c r="D224" s="7" t="s">
        <v>54</v>
      </c>
      <c r="E224" s="7" t="s">
        <v>105</v>
      </c>
      <c r="F224" s="7">
        <v>2013</v>
      </c>
      <c r="G224" s="7" t="s">
        <v>19</v>
      </c>
      <c r="H224" s="7" t="s">
        <v>56</v>
      </c>
      <c r="I224" s="8" t="s">
        <v>106</v>
      </c>
      <c r="J224" s="2"/>
      <c r="K224" s="2"/>
      <c r="L224" s="2"/>
      <c r="M224" s="2"/>
      <c r="N224" s="2"/>
      <c r="O224" s="2"/>
      <c r="P224" s="2"/>
      <c r="Q224" s="2"/>
      <c r="S224" s="5" t="s">
        <v>1504</v>
      </c>
    </row>
    <row r="225" spans="1:19" ht="30" customHeight="1" x14ac:dyDescent="0.5">
      <c r="A225" s="7" t="s">
        <v>35</v>
      </c>
      <c r="B225" s="7" t="s">
        <v>107</v>
      </c>
      <c r="C225" s="8">
        <v>1101700010006</v>
      </c>
      <c r="D225" s="7" t="s">
        <v>1551</v>
      </c>
      <c r="E225" s="7" t="s">
        <v>108</v>
      </c>
      <c r="F225" s="7">
        <v>2015</v>
      </c>
      <c r="G225" s="7" t="s">
        <v>19</v>
      </c>
      <c r="H225" s="7" t="s">
        <v>52</v>
      </c>
      <c r="I225" s="8" t="s">
        <v>109</v>
      </c>
      <c r="J225" s="2"/>
      <c r="K225" s="2"/>
      <c r="L225" s="2"/>
      <c r="M225" s="2"/>
      <c r="N225" s="2"/>
      <c r="O225" s="2"/>
      <c r="P225" s="2"/>
      <c r="Q225" s="2"/>
      <c r="S225" s="5" t="s">
        <v>1505</v>
      </c>
    </row>
    <row r="226" spans="1:19" ht="30" customHeight="1" x14ac:dyDescent="0.5">
      <c r="A226" s="7" t="s">
        <v>35</v>
      </c>
      <c r="B226" s="7" t="s">
        <v>112</v>
      </c>
      <c r="C226" s="8">
        <v>1101700030006</v>
      </c>
      <c r="D226" s="7" t="s">
        <v>1551</v>
      </c>
      <c r="E226" s="7" t="s">
        <v>1438</v>
      </c>
      <c r="F226" s="7">
        <v>2012</v>
      </c>
      <c r="G226" s="7" t="s">
        <v>19</v>
      </c>
      <c r="H226" s="7" t="s">
        <v>52</v>
      </c>
      <c r="I226" s="8" t="s">
        <v>113</v>
      </c>
      <c r="J226" s="2"/>
      <c r="K226" s="2"/>
      <c r="L226" s="2"/>
      <c r="M226" s="2"/>
      <c r="N226" s="2"/>
      <c r="O226" s="2"/>
      <c r="P226" s="2"/>
      <c r="Q226" s="2"/>
      <c r="S226" s="5" t="s">
        <v>1507</v>
      </c>
    </row>
    <row r="227" spans="1:19" ht="30" customHeight="1" x14ac:dyDescent="0.5">
      <c r="A227" s="7" t="s">
        <v>35</v>
      </c>
      <c r="B227" s="7" t="s">
        <v>112</v>
      </c>
      <c r="C227" s="8">
        <v>1106700010010</v>
      </c>
      <c r="D227" s="7" t="s">
        <v>114</v>
      </c>
      <c r="E227" s="7" t="s">
        <v>115</v>
      </c>
      <c r="F227" s="7">
        <v>2003</v>
      </c>
      <c r="G227" s="7" t="s">
        <v>19</v>
      </c>
      <c r="H227" s="7" t="s">
        <v>104</v>
      </c>
      <c r="I227" s="8" t="s">
        <v>116</v>
      </c>
      <c r="J227" s="2"/>
      <c r="K227" s="2"/>
      <c r="L227" s="2"/>
      <c r="M227" s="2"/>
      <c r="N227" s="2"/>
      <c r="O227" s="2"/>
      <c r="P227" s="2"/>
      <c r="Q227" s="2"/>
      <c r="S227" s="5" t="s">
        <v>1508</v>
      </c>
    </row>
    <row r="228" spans="1:19" ht="30" customHeight="1" x14ac:dyDescent="0.5">
      <c r="A228" s="7" t="s">
        <v>35</v>
      </c>
      <c r="B228" s="7" t="s">
        <v>112</v>
      </c>
      <c r="C228" s="8">
        <v>1106700020003</v>
      </c>
      <c r="D228" s="7" t="s">
        <v>54</v>
      </c>
      <c r="E228" s="7" t="s">
        <v>1439</v>
      </c>
      <c r="F228" s="7">
        <v>2012</v>
      </c>
      <c r="G228" s="7" t="s">
        <v>19</v>
      </c>
      <c r="H228" s="7" t="s">
        <v>56</v>
      </c>
      <c r="I228" s="8" t="s">
        <v>117</v>
      </c>
      <c r="J228" s="2" t="s">
        <v>1471</v>
      </c>
      <c r="K228" s="2" t="s">
        <v>1548</v>
      </c>
      <c r="L228" s="2" t="s">
        <v>1571</v>
      </c>
      <c r="M228" s="2" t="s">
        <v>1983</v>
      </c>
      <c r="N228" s="2" t="s">
        <v>1984</v>
      </c>
      <c r="O228" s="2"/>
      <c r="P228" s="2"/>
      <c r="Q228" s="2" t="s">
        <v>1674</v>
      </c>
      <c r="S228" s="5" t="s">
        <v>1509</v>
      </c>
    </row>
    <row r="229" spans="1:19" ht="30" customHeight="1" x14ac:dyDescent="0.5">
      <c r="A229" s="7" t="s">
        <v>35</v>
      </c>
      <c r="B229" s="7" t="s">
        <v>118</v>
      </c>
      <c r="C229" s="8">
        <v>1106700010003</v>
      </c>
      <c r="D229" s="7" t="s">
        <v>102</v>
      </c>
      <c r="E229" s="7" t="s">
        <v>121</v>
      </c>
      <c r="F229" s="7">
        <v>1991</v>
      </c>
      <c r="G229" s="7" t="s">
        <v>19</v>
      </c>
      <c r="H229" s="7" t="s">
        <v>104</v>
      </c>
      <c r="I229" s="8">
        <v>34600152728919</v>
      </c>
      <c r="J229" s="2"/>
      <c r="K229" s="2"/>
      <c r="L229" s="2"/>
      <c r="M229" s="2"/>
      <c r="N229" s="2"/>
      <c r="O229" s="2"/>
      <c r="P229" s="2"/>
      <c r="Q229" s="2"/>
      <c r="S229" s="5" t="s">
        <v>1511</v>
      </c>
    </row>
    <row r="230" spans="1:19" ht="30" customHeight="1" x14ac:dyDescent="0.5">
      <c r="A230" s="7" t="s">
        <v>35</v>
      </c>
      <c r="B230" s="7" t="s">
        <v>118</v>
      </c>
      <c r="C230" s="8">
        <v>1106700020003</v>
      </c>
      <c r="D230" s="7" t="s">
        <v>54</v>
      </c>
      <c r="E230" s="7" t="s">
        <v>122</v>
      </c>
      <c r="F230" s="7">
        <v>2016</v>
      </c>
      <c r="G230" s="7" t="s">
        <v>19</v>
      </c>
      <c r="H230" s="7" t="s">
        <v>56</v>
      </c>
      <c r="I230" s="8" t="s">
        <v>123</v>
      </c>
      <c r="J230" s="2"/>
      <c r="K230" s="2"/>
      <c r="L230" s="2"/>
      <c r="M230" s="2"/>
      <c r="N230" s="2"/>
      <c r="O230" s="2"/>
      <c r="P230" s="2"/>
      <c r="Q230" s="2"/>
      <c r="S230" s="5" t="s">
        <v>1512</v>
      </c>
    </row>
    <row r="231" spans="1:19" ht="30" customHeight="1" x14ac:dyDescent="0.5">
      <c r="A231" s="7" t="s">
        <v>35</v>
      </c>
      <c r="B231" s="7" t="s">
        <v>118</v>
      </c>
      <c r="C231" s="8">
        <v>1204700020003</v>
      </c>
      <c r="D231" s="7" t="s">
        <v>13</v>
      </c>
      <c r="E231" s="7" t="s">
        <v>124</v>
      </c>
      <c r="F231" s="7">
        <v>2005</v>
      </c>
      <c r="G231" s="7" t="s">
        <v>4</v>
      </c>
      <c r="H231" s="7" t="s">
        <v>5</v>
      </c>
      <c r="I231" s="8" t="s">
        <v>125</v>
      </c>
      <c r="J231" s="2"/>
      <c r="K231" s="2"/>
      <c r="L231" s="2"/>
      <c r="M231" s="2"/>
      <c r="N231" s="2"/>
      <c r="O231" s="2"/>
      <c r="P231" s="2"/>
      <c r="Q231" s="2"/>
      <c r="S231" s="5" t="s">
        <v>1513</v>
      </c>
    </row>
    <row r="232" spans="1:19" ht="30" customHeight="1" x14ac:dyDescent="0.5">
      <c r="A232" s="7" t="s">
        <v>35</v>
      </c>
      <c r="B232" s="7" t="s">
        <v>126</v>
      </c>
      <c r="C232" s="8">
        <v>1101700030006</v>
      </c>
      <c r="D232" s="7" t="s">
        <v>1551</v>
      </c>
      <c r="E232" s="7" t="s">
        <v>127</v>
      </c>
      <c r="F232" s="7">
        <v>2012</v>
      </c>
      <c r="G232" s="7" t="s">
        <v>19</v>
      </c>
      <c r="H232" s="7" t="s">
        <v>52</v>
      </c>
      <c r="I232" s="8" t="s">
        <v>128</v>
      </c>
      <c r="J232" s="2"/>
      <c r="K232" s="2"/>
      <c r="L232" s="2"/>
      <c r="M232" s="2"/>
      <c r="N232" s="2"/>
      <c r="O232" s="2"/>
      <c r="P232" s="2"/>
      <c r="Q232" s="2"/>
      <c r="S232" s="5" t="s">
        <v>1514</v>
      </c>
    </row>
    <row r="233" spans="1:19" ht="30" customHeight="1" x14ac:dyDescent="0.5">
      <c r="A233" s="7" t="s">
        <v>35</v>
      </c>
      <c r="B233" s="7" t="s">
        <v>126</v>
      </c>
      <c r="C233" s="8">
        <v>1106700020003</v>
      </c>
      <c r="D233" s="7" t="s">
        <v>54</v>
      </c>
      <c r="E233" s="7" t="s">
        <v>129</v>
      </c>
      <c r="F233" s="7">
        <v>2012</v>
      </c>
      <c r="G233" s="7" t="s">
        <v>19</v>
      </c>
      <c r="H233" s="7" t="s">
        <v>56</v>
      </c>
      <c r="I233" s="8" t="s">
        <v>130</v>
      </c>
      <c r="J233" s="2"/>
      <c r="K233" s="2"/>
      <c r="L233" s="2"/>
      <c r="M233" s="2"/>
      <c r="N233" s="2"/>
      <c r="O233" s="2"/>
      <c r="P233" s="2"/>
      <c r="Q233" s="2"/>
      <c r="S233" s="5" t="s">
        <v>1515</v>
      </c>
    </row>
    <row r="234" spans="1:19" ht="30" customHeight="1" x14ac:dyDescent="0.5">
      <c r="A234" s="7" t="s">
        <v>35</v>
      </c>
      <c r="B234" s="7" t="s">
        <v>131</v>
      </c>
      <c r="C234" s="8">
        <v>1101700010006</v>
      </c>
      <c r="D234" s="7" t="s">
        <v>1551</v>
      </c>
      <c r="E234" s="7" t="s">
        <v>134</v>
      </c>
      <c r="F234" s="7">
        <v>2010</v>
      </c>
      <c r="G234" s="7" t="s">
        <v>19</v>
      </c>
      <c r="H234" s="7" t="s">
        <v>52</v>
      </c>
      <c r="I234" s="8" t="s">
        <v>135</v>
      </c>
      <c r="J234" s="2"/>
      <c r="K234" s="2"/>
      <c r="L234" s="2"/>
      <c r="M234" s="2"/>
      <c r="N234" s="2"/>
      <c r="O234" s="2"/>
      <c r="P234" s="2"/>
      <c r="Q234" s="2"/>
      <c r="S234" s="5" t="s">
        <v>1517</v>
      </c>
    </row>
    <row r="235" spans="1:19" ht="30" customHeight="1" x14ac:dyDescent="0.5">
      <c r="A235" s="7" t="s">
        <v>35</v>
      </c>
      <c r="B235" s="7" t="s">
        <v>131</v>
      </c>
      <c r="C235" s="8">
        <v>1102700020004</v>
      </c>
      <c r="D235" s="7" t="s">
        <v>136</v>
      </c>
      <c r="E235" s="7" t="s">
        <v>137</v>
      </c>
      <c r="F235" s="7">
        <v>2013</v>
      </c>
      <c r="G235" s="7" t="s">
        <v>19</v>
      </c>
      <c r="H235" s="7" t="s">
        <v>66</v>
      </c>
      <c r="I235" s="8" t="s">
        <v>138</v>
      </c>
      <c r="J235" s="2"/>
      <c r="K235" s="2"/>
      <c r="L235" s="2"/>
      <c r="M235" s="2"/>
      <c r="N235" s="2"/>
      <c r="O235" s="2"/>
      <c r="P235" s="2"/>
      <c r="Q235" s="2"/>
      <c r="S235" s="5" t="s">
        <v>1518</v>
      </c>
    </row>
    <row r="236" spans="1:19" ht="30" customHeight="1" x14ac:dyDescent="0.5">
      <c r="A236" s="7" t="s">
        <v>35</v>
      </c>
      <c r="B236" s="7" t="s">
        <v>131</v>
      </c>
      <c r="C236" s="8">
        <v>1106700020003</v>
      </c>
      <c r="D236" s="7" t="s">
        <v>54</v>
      </c>
      <c r="E236" s="7" t="s">
        <v>139</v>
      </c>
      <c r="F236" s="7">
        <v>2013</v>
      </c>
      <c r="G236" s="7" t="s">
        <v>19</v>
      </c>
      <c r="H236" s="7" t="s">
        <v>56</v>
      </c>
      <c r="I236" s="8" t="s">
        <v>140</v>
      </c>
      <c r="J236" s="2"/>
      <c r="K236" s="2"/>
      <c r="L236" s="2"/>
      <c r="M236" s="2"/>
      <c r="N236" s="2"/>
      <c r="O236" s="2"/>
      <c r="P236" s="2"/>
      <c r="Q236" s="2"/>
      <c r="S236" s="5" t="s">
        <v>1519</v>
      </c>
    </row>
    <row r="237" spans="1:19" ht="30" customHeight="1" x14ac:dyDescent="0.5">
      <c r="A237" s="7" t="s">
        <v>35</v>
      </c>
      <c r="B237" s="7" t="s">
        <v>131</v>
      </c>
      <c r="C237" s="8">
        <v>1204700020003</v>
      </c>
      <c r="D237" s="7" t="s">
        <v>13</v>
      </c>
      <c r="E237" s="7" t="s">
        <v>141</v>
      </c>
      <c r="F237" s="7">
        <v>2001</v>
      </c>
      <c r="G237" s="7" t="s">
        <v>19</v>
      </c>
      <c r="H237" s="7" t="s">
        <v>10</v>
      </c>
      <c r="I237" s="8" t="s">
        <v>142</v>
      </c>
      <c r="J237" s="2"/>
      <c r="K237" s="2"/>
      <c r="L237" s="2"/>
      <c r="M237" s="2"/>
      <c r="N237" s="2"/>
      <c r="O237" s="2"/>
      <c r="P237" s="2"/>
      <c r="Q237" s="2"/>
      <c r="S237" s="5" t="s">
        <v>1520</v>
      </c>
    </row>
    <row r="238" spans="1:19" ht="30" customHeight="1" x14ac:dyDescent="0.5">
      <c r="A238" s="7" t="s">
        <v>35</v>
      </c>
      <c r="B238" s="7" t="s">
        <v>143</v>
      </c>
      <c r="C238" s="8">
        <v>1101700010006</v>
      </c>
      <c r="D238" s="7" t="s">
        <v>1551</v>
      </c>
      <c r="E238" s="7" t="s">
        <v>144</v>
      </c>
      <c r="F238" s="7">
        <v>2013</v>
      </c>
      <c r="G238" s="7" t="s">
        <v>19</v>
      </c>
      <c r="H238" s="7" t="s">
        <v>52</v>
      </c>
      <c r="I238" s="8" t="s">
        <v>145</v>
      </c>
      <c r="J238" s="2"/>
      <c r="K238" s="2"/>
      <c r="L238" s="2"/>
      <c r="M238" s="2"/>
      <c r="N238" s="2"/>
      <c r="O238" s="2"/>
      <c r="P238" s="2"/>
      <c r="Q238" s="2"/>
      <c r="S238" s="5" t="s">
        <v>1521</v>
      </c>
    </row>
    <row r="239" spans="1:19" ht="30" customHeight="1" x14ac:dyDescent="0.5">
      <c r="A239" s="7" t="s">
        <v>35</v>
      </c>
      <c r="B239" s="7" t="s">
        <v>148</v>
      </c>
      <c r="C239" s="8">
        <v>1101700030006</v>
      </c>
      <c r="D239" s="7" t="s">
        <v>1551</v>
      </c>
      <c r="E239" s="7" t="s">
        <v>149</v>
      </c>
      <c r="F239" s="7">
        <v>2012</v>
      </c>
      <c r="G239" s="7" t="s">
        <v>19</v>
      </c>
      <c r="H239" s="7" t="s">
        <v>52</v>
      </c>
      <c r="I239" s="8" t="s">
        <v>150</v>
      </c>
      <c r="J239" s="2"/>
      <c r="K239" s="2"/>
      <c r="L239" s="2"/>
      <c r="M239" s="2"/>
      <c r="N239" s="2"/>
      <c r="O239" s="2"/>
      <c r="P239" s="2"/>
      <c r="Q239" s="2"/>
      <c r="S239" s="5" t="s">
        <v>1523</v>
      </c>
    </row>
    <row r="240" spans="1:19" ht="30" customHeight="1" x14ac:dyDescent="0.5">
      <c r="A240" s="7" t="s">
        <v>35</v>
      </c>
      <c r="B240" s="7" t="s">
        <v>153</v>
      </c>
      <c r="C240" s="8">
        <v>1102700020004</v>
      </c>
      <c r="D240" s="7" t="s">
        <v>136</v>
      </c>
      <c r="E240" s="7" t="s">
        <v>156</v>
      </c>
      <c r="F240" s="7">
        <v>2015</v>
      </c>
      <c r="G240" s="7" t="s">
        <v>19</v>
      </c>
      <c r="H240" s="7" t="s">
        <v>66</v>
      </c>
      <c r="I240" s="8" t="s">
        <v>157</v>
      </c>
      <c r="J240" s="2"/>
      <c r="K240" s="2"/>
      <c r="L240" s="2"/>
      <c r="M240" s="2"/>
      <c r="N240" s="2"/>
      <c r="O240" s="2"/>
      <c r="P240" s="2"/>
      <c r="Q240" s="2"/>
      <c r="S240" s="5" t="s">
        <v>1526</v>
      </c>
    </row>
    <row r="241" spans="1:19" ht="30" customHeight="1" x14ac:dyDescent="0.5">
      <c r="A241" s="7" t="s">
        <v>35</v>
      </c>
      <c r="B241" s="7" t="s">
        <v>153</v>
      </c>
      <c r="C241" s="8">
        <v>1106700020003</v>
      </c>
      <c r="D241" s="7" t="s">
        <v>54</v>
      </c>
      <c r="E241" s="7" t="s">
        <v>162</v>
      </c>
      <c r="F241" s="7">
        <v>2013</v>
      </c>
      <c r="G241" s="7" t="s">
        <v>19</v>
      </c>
      <c r="H241" s="7" t="s">
        <v>56</v>
      </c>
      <c r="I241" s="8" t="s">
        <v>163</v>
      </c>
      <c r="J241" s="2"/>
      <c r="K241" s="2"/>
      <c r="L241" s="2"/>
      <c r="M241" s="2"/>
      <c r="N241" s="2"/>
      <c r="O241" s="2"/>
      <c r="P241" s="2"/>
      <c r="Q241" s="2"/>
      <c r="S241" s="5" t="s">
        <v>1529</v>
      </c>
    </row>
    <row r="242" spans="1:19" ht="30" customHeight="1" x14ac:dyDescent="0.5">
      <c r="A242" s="7" t="s">
        <v>35</v>
      </c>
      <c r="B242" s="7" t="s">
        <v>166</v>
      </c>
      <c r="C242" s="8">
        <v>1102700020004</v>
      </c>
      <c r="D242" s="7" t="s">
        <v>136</v>
      </c>
      <c r="E242" s="7" t="s">
        <v>169</v>
      </c>
      <c r="F242" s="7">
        <v>2015</v>
      </c>
      <c r="G242" s="7" t="s">
        <v>19</v>
      </c>
      <c r="H242" s="7" t="s">
        <v>66</v>
      </c>
      <c r="I242" s="8" t="s">
        <v>170</v>
      </c>
      <c r="J242" s="2"/>
      <c r="K242" s="2"/>
      <c r="L242" s="2"/>
      <c r="M242" s="2"/>
      <c r="N242" s="2"/>
      <c r="O242" s="2"/>
      <c r="P242" s="2"/>
      <c r="Q242" s="2"/>
      <c r="S242" s="5" t="s">
        <v>1532</v>
      </c>
    </row>
    <row r="243" spans="1:19" ht="30" customHeight="1" x14ac:dyDescent="0.5">
      <c r="A243" s="7" t="s">
        <v>35</v>
      </c>
      <c r="B243" s="7" t="s">
        <v>166</v>
      </c>
      <c r="C243" s="8">
        <v>1106700020003</v>
      </c>
      <c r="D243" s="7" t="s">
        <v>54</v>
      </c>
      <c r="E243" s="7" t="s">
        <v>173</v>
      </c>
      <c r="F243" s="7">
        <v>2013</v>
      </c>
      <c r="G243" s="7" t="s">
        <v>19</v>
      </c>
      <c r="H243" s="7" t="s">
        <v>56</v>
      </c>
      <c r="I243" s="8" t="s">
        <v>174</v>
      </c>
      <c r="J243" s="2"/>
      <c r="K243" s="2"/>
      <c r="L243" s="2"/>
      <c r="M243" s="2"/>
      <c r="N243" s="2"/>
      <c r="O243" s="2"/>
      <c r="P243" s="2"/>
      <c r="Q243" s="2"/>
      <c r="S243" s="5" t="s">
        <v>1534</v>
      </c>
    </row>
    <row r="244" spans="1:19" ht="30" customHeight="1" x14ac:dyDescent="0.5">
      <c r="A244" s="7" t="s">
        <v>0</v>
      </c>
      <c r="B244" s="7" t="s">
        <v>175</v>
      </c>
      <c r="C244" s="8">
        <v>1204700010003</v>
      </c>
      <c r="D244" s="7" t="s">
        <v>96</v>
      </c>
      <c r="E244" s="7" t="s">
        <v>176</v>
      </c>
      <c r="F244" s="7">
        <v>2008</v>
      </c>
      <c r="G244" s="7" t="s">
        <v>19</v>
      </c>
      <c r="H244" s="7" t="s">
        <v>15</v>
      </c>
      <c r="I244" s="8" t="s">
        <v>177</v>
      </c>
      <c r="J244" s="2"/>
      <c r="K244" s="2"/>
      <c r="L244" s="2"/>
      <c r="M244" s="2"/>
      <c r="N244" s="2"/>
      <c r="O244" s="2"/>
      <c r="P244" s="2"/>
      <c r="Q244" s="2"/>
      <c r="S244" s="5" t="s">
        <v>1535</v>
      </c>
    </row>
    <row r="245" spans="1:19" ht="30" customHeight="1" x14ac:dyDescent="0.5">
      <c r="A245" s="7" t="s">
        <v>0</v>
      </c>
      <c r="B245" s="7" t="s">
        <v>175</v>
      </c>
      <c r="C245" s="8">
        <v>1204700020002</v>
      </c>
      <c r="D245" s="7" t="s">
        <v>178</v>
      </c>
      <c r="E245" s="7" t="s">
        <v>179</v>
      </c>
      <c r="F245" s="7">
        <v>2013</v>
      </c>
      <c r="G245" s="7" t="s">
        <v>19</v>
      </c>
      <c r="H245" s="7" t="s">
        <v>10</v>
      </c>
      <c r="I245" s="8" t="s">
        <v>180</v>
      </c>
      <c r="J245" s="2"/>
      <c r="K245" s="2"/>
      <c r="L245" s="2"/>
      <c r="M245" s="2"/>
      <c r="N245" s="2"/>
      <c r="O245" s="2"/>
      <c r="P245" s="2"/>
      <c r="Q245" s="2"/>
      <c r="S245" s="5" t="s">
        <v>1536</v>
      </c>
    </row>
    <row r="246" spans="1:19" ht="30" customHeight="1" x14ac:dyDescent="0.5">
      <c r="A246" s="7" t="s">
        <v>0</v>
      </c>
      <c r="B246" s="7" t="s">
        <v>181</v>
      </c>
      <c r="C246" s="8">
        <v>1203700010002</v>
      </c>
      <c r="D246" s="7" t="s">
        <v>2</v>
      </c>
      <c r="E246" s="7" t="s">
        <v>182</v>
      </c>
      <c r="F246" s="7">
        <v>2016</v>
      </c>
      <c r="G246" s="7" t="s">
        <v>4</v>
      </c>
      <c r="H246" s="7" t="s">
        <v>183</v>
      </c>
      <c r="I246" s="8" t="s">
        <v>184</v>
      </c>
      <c r="J246" s="2"/>
      <c r="K246" s="2"/>
      <c r="L246" s="2"/>
      <c r="M246" s="2"/>
      <c r="N246" s="2"/>
      <c r="O246" s="2"/>
      <c r="P246" s="2"/>
      <c r="Q246" s="2"/>
      <c r="S246" s="5" t="s">
        <v>1537</v>
      </c>
    </row>
    <row r="247" spans="1:19" ht="30" customHeight="1" x14ac:dyDescent="0.5">
      <c r="A247" s="7" t="s">
        <v>0</v>
      </c>
      <c r="B247" s="7" t="s">
        <v>181</v>
      </c>
      <c r="C247" s="8">
        <v>1204700020002</v>
      </c>
      <c r="D247" s="7" t="s">
        <v>178</v>
      </c>
      <c r="E247" s="7" t="s">
        <v>185</v>
      </c>
      <c r="F247" s="7">
        <v>2013</v>
      </c>
      <c r="G247" s="7" t="s">
        <v>19</v>
      </c>
      <c r="H247" s="7" t="s">
        <v>10</v>
      </c>
      <c r="I247" s="8" t="s">
        <v>186</v>
      </c>
      <c r="J247" s="2"/>
      <c r="K247" s="2"/>
      <c r="L247" s="2"/>
      <c r="M247" s="2"/>
      <c r="N247" s="2"/>
      <c r="O247" s="2"/>
      <c r="P247" s="2"/>
      <c r="Q247" s="2"/>
      <c r="S247" s="5" t="s">
        <v>1538</v>
      </c>
    </row>
    <row r="248" spans="1:19" ht="30" customHeight="1" x14ac:dyDescent="0.5">
      <c r="A248" s="7" t="s">
        <v>35</v>
      </c>
      <c r="B248" s="7" t="s">
        <v>187</v>
      </c>
      <c r="C248" s="8">
        <v>1101700010006</v>
      </c>
      <c r="D248" s="7" t="s">
        <v>1551</v>
      </c>
      <c r="E248" s="7" t="s">
        <v>188</v>
      </c>
      <c r="F248" s="7">
        <v>2013</v>
      </c>
      <c r="G248" s="7" t="s">
        <v>19</v>
      </c>
      <c r="H248" s="7" t="s">
        <v>52</v>
      </c>
      <c r="I248" s="8" t="s">
        <v>189</v>
      </c>
      <c r="J248" s="2"/>
      <c r="K248" s="2"/>
      <c r="L248" s="2"/>
      <c r="M248" s="2"/>
      <c r="N248" s="2"/>
      <c r="O248" s="2"/>
      <c r="P248" s="2"/>
      <c r="Q248" s="2"/>
      <c r="S248" s="5" t="s">
        <v>1539</v>
      </c>
    </row>
    <row r="249" spans="1:19" ht="30" customHeight="1" x14ac:dyDescent="0.5">
      <c r="A249" s="7" t="s">
        <v>35</v>
      </c>
      <c r="B249" s="7" t="s">
        <v>187</v>
      </c>
      <c r="C249" s="8">
        <v>1106700020003</v>
      </c>
      <c r="D249" s="7" t="s">
        <v>54</v>
      </c>
      <c r="E249" s="7" t="s">
        <v>190</v>
      </c>
      <c r="F249" s="7">
        <v>2014</v>
      </c>
      <c r="G249" s="7" t="s">
        <v>19</v>
      </c>
      <c r="H249" s="7" t="s">
        <v>52</v>
      </c>
      <c r="I249" s="8" t="s">
        <v>191</v>
      </c>
      <c r="J249" s="2"/>
      <c r="K249" s="2"/>
      <c r="L249" s="2"/>
      <c r="M249" s="2"/>
      <c r="N249" s="2"/>
      <c r="O249" s="2"/>
      <c r="P249" s="2"/>
      <c r="Q249" s="2"/>
      <c r="S249" s="5" t="s">
        <v>1540</v>
      </c>
    </row>
    <row r="250" spans="1:19" ht="30" customHeight="1" x14ac:dyDescent="0.5">
      <c r="A250" s="7" t="s">
        <v>35</v>
      </c>
      <c r="B250" s="7" t="s">
        <v>198</v>
      </c>
      <c r="C250" s="8">
        <v>1101700010006</v>
      </c>
      <c r="D250" s="7" t="s">
        <v>1551</v>
      </c>
      <c r="E250" s="7" t="s">
        <v>199</v>
      </c>
      <c r="F250" s="7">
        <v>2012</v>
      </c>
      <c r="G250" s="7" t="s">
        <v>19</v>
      </c>
      <c r="H250" s="7" t="s">
        <v>52</v>
      </c>
      <c r="I250" s="8" t="s">
        <v>200</v>
      </c>
      <c r="J250" s="2"/>
      <c r="K250" s="2"/>
      <c r="L250" s="2"/>
      <c r="M250" s="2"/>
      <c r="N250" s="2"/>
      <c r="O250" s="2"/>
      <c r="P250" s="2"/>
      <c r="Q250" s="2"/>
      <c r="S250" s="5" t="s">
        <v>1544</v>
      </c>
    </row>
    <row r="251" spans="1:19" ht="30" customHeight="1" x14ac:dyDescent="0.5">
      <c r="A251" s="7" t="s">
        <v>35</v>
      </c>
      <c r="B251" s="7" t="s">
        <v>198</v>
      </c>
      <c r="C251" s="8">
        <v>1106700020003</v>
      </c>
      <c r="D251" s="7" t="s">
        <v>54</v>
      </c>
      <c r="E251" s="7" t="s">
        <v>203</v>
      </c>
      <c r="F251" s="7">
        <v>2016</v>
      </c>
      <c r="G251" s="7" t="s">
        <v>19</v>
      </c>
      <c r="H251" s="7" t="s">
        <v>56</v>
      </c>
      <c r="I251" s="8" t="s">
        <v>204</v>
      </c>
      <c r="J251" s="2"/>
      <c r="K251" s="2"/>
      <c r="L251" s="2"/>
      <c r="M251" s="2"/>
      <c r="N251" s="2"/>
      <c r="O251" s="2"/>
      <c r="P251" s="2"/>
      <c r="Q251" s="2"/>
      <c r="S251" s="5" t="s">
        <v>1555</v>
      </c>
    </row>
    <row r="252" spans="1:19" ht="30" customHeight="1" x14ac:dyDescent="0.5">
      <c r="A252" s="7" t="s">
        <v>35</v>
      </c>
      <c r="B252" s="7" t="s">
        <v>205</v>
      </c>
      <c r="C252" s="8">
        <v>1101700010006</v>
      </c>
      <c r="D252" s="7" t="s">
        <v>1551</v>
      </c>
      <c r="E252" s="7" t="s">
        <v>206</v>
      </c>
      <c r="F252" s="7">
        <v>2013</v>
      </c>
      <c r="G252" s="7" t="s">
        <v>19</v>
      </c>
      <c r="H252" s="7" t="s">
        <v>52</v>
      </c>
      <c r="I252" s="8" t="s">
        <v>207</v>
      </c>
      <c r="J252" s="2"/>
      <c r="K252" s="2"/>
      <c r="L252" s="2"/>
      <c r="M252" s="2"/>
      <c r="N252" s="2"/>
      <c r="O252" s="2"/>
      <c r="P252" s="2"/>
      <c r="Q252" s="2"/>
      <c r="S252" s="5" t="s">
        <v>1556</v>
      </c>
    </row>
    <row r="253" spans="1:19" ht="30" customHeight="1" x14ac:dyDescent="0.5">
      <c r="A253" s="7" t="s">
        <v>35</v>
      </c>
      <c r="B253" s="7" t="s">
        <v>205</v>
      </c>
      <c r="C253" s="8">
        <v>1106700020003</v>
      </c>
      <c r="D253" s="7" t="s">
        <v>54</v>
      </c>
      <c r="E253" s="7" t="s">
        <v>208</v>
      </c>
      <c r="F253" s="7">
        <v>2014</v>
      </c>
      <c r="G253" s="7" t="s">
        <v>19</v>
      </c>
      <c r="H253" s="7" t="s">
        <v>56</v>
      </c>
      <c r="I253" s="8" t="s">
        <v>209</v>
      </c>
      <c r="J253" s="2"/>
      <c r="K253" s="2"/>
      <c r="L253" s="2"/>
      <c r="M253" s="2"/>
      <c r="N253" s="2"/>
      <c r="O253" s="2"/>
      <c r="P253" s="2"/>
      <c r="Q253" s="2"/>
      <c r="S253" s="5" t="s">
        <v>1557</v>
      </c>
    </row>
    <row r="254" spans="1:19" ht="30" customHeight="1" x14ac:dyDescent="0.5">
      <c r="A254" s="7" t="s">
        <v>35</v>
      </c>
      <c r="B254" s="7" t="s">
        <v>205</v>
      </c>
      <c r="C254" s="8">
        <v>1106700020010</v>
      </c>
      <c r="D254" s="7" t="s">
        <v>210</v>
      </c>
      <c r="E254" s="7" t="s">
        <v>211</v>
      </c>
      <c r="F254" s="7">
        <v>2009</v>
      </c>
      <c r="G254" s="7" t="s">
        <v>19</v>
      </c>
      <c r="H254" s="7" t="s">
        <v>52</v>
      </c>
      <c r="I254" s="8" t="s">
        <v>212</v>
      </c>
      <c r="J254" s="2"/>
      <c r="K254" s="2"/>
      <c r="L254" s="2"/>
      <c r="M254" s="2"/>
      <c r="N254" s="2"/>
      <c r="O254" s="2"/>
      <c r="P254" s="2"/>
      <c r="Q254" s="2"/>
      <c r="S254" s="5" t="s">
        <v>1558</v>
      </c>
    </row>
    <row r="255" spans="1:19" ht="30" customHeight="1" x14ac:dyDescent="0.5">
      <c r="A255" s="7" t="s">
        <v>35</v>
      </c>
      <c r="B255" s="7" t="s">
        <v>215</v>
      </c>
      <c r="C255" s="8">
        <v>1101700010006</v>
      </c>
      <c r="D255" s="7" t="s">
        <v>1551</v>
      </c>
      <c r="E255" s="7" t="s">
        <v>216</v>
      </c>
      <c r="F255" s="7">
        <v>2013</v>
      </c>
      <c r="G255" s="7" t="s">
        <v>19</v>
      </c>
      <c r="H255" s="7" t="s">
        <v>52</v>
      </c>
      <c r="I255" s="8" t="s">
        <v>217</v>
      </c>
      <c r="J255" s="2"/>
      <c r="K255" s="2"/>
      <c r="L255" s="2"/>
      <c r="M255" s="2"/>
      <c r="N255" s="2"/>
      <c r="O255" s="2"/>
      <c r="P255" s="2"/>
      <c r="Q255" s="2"/>
      <c r="S255" s="5" t="s">
        <v>1662</v>
      </c>
    </row>
    <row r="256" spans="1:19" ht="30" customHeight="1" x14ac:dyDescent="0.5">
      <c r="A256" s="7" t="s">
        <v>35</v>
      </c>
      <c r="B256" s="7" t="s">
        <v>215</v>
      </c>
      <c r="C256" s="8">
        <v>1106700020003</v>
      </c>
      <c r="D256" s="7" t="s">
        <v>54</v>
      </c>
      <c r="E256" s="7" t="s">
        <v>218</v>
      </c>
      <c r="F256" s="7">
        <v>2015</v>
      </c>
      <c r="G256" s="7" t="s">
        <v>19</v>
      </c>
      <c r="H256" s="7" t="s">
        <v>56</v>
      </c>
      <c r="I256" s="8" t="s">
        <v>219</v>
      </c>
      <c r="J256" s="2"/>
      <c r="K256" s="2"/>
      <c r="L256" s="2"/>
      <c r="M256" s="2"/>
      <c r="N256" s="2"/>
      <c r="O256" s="2"/>
      <c r="P256" s="2"/>
      <c r="Q256" s="2"/>
      <c r="S256" s="5" t="s">
        <v>1663</v>
      </c>
    </row>
    <row r="257" spans="1:17" ht="30" customHeight="1" x14ac:dyDescent="0.5">
      <c r="A257" s="7" t="s">
        <v>35</v>
      </c>
      <c r="B257" s="7" t="s">
        <v>220</v>
      </c>
      <c r="C257" s="8">
        <v>1204700010003</v>
      </c>
      <c r="D257" s="7" t="s">
        <v>96</v>
      </c>
      <c r="E257" s="7" t="s">
        <v>227</v>
      </c>
      <c r="F257" s="7">
        <v>2002</v>
      </c>
      <c r="G257" s="7" t="s">
        <v>19</v>
      </c>
      <c r="H257" s="7" t="s">
        <v>10</v>
      </c>
      <c r="I257" s="8" t="s">
        <v>228</v>
      </c>
      <c r="J257" s="2"/>
      <c r="K257" s="2"/>
      <c r="L257" s="2"/>
      <c r="M257" s="2"/>
      <c r="N257" s="2"/>
      <c r="O257" s="2"/>
      <c r="P257" s="2"/>
      <c r="Q257" s="2"/>
    </row>
    <row r="258" spans="1:17" ht="30" customHeight="1" x14ac:dyDescent="0.5">
      <c r="A258" s="7" t="s">
        <v>35</v>
      </c>
      <c r="B258" s="7" t="s">
        <v>229</v>
      </c>
      <c r="C258" s="8">
        <v>1101700030005</v>
      </c>
      <c r="D258" s="7" t="s">
        <v>230</v>
      </c>
      <c r="E258" s="7" t="s">
        <v>231</v>
      </c>
      <c r="F258" s="7">
        <v>2012</v>
      </c>
      <c r="G258" s="7" t="s">
        <v>19</v>
      </c>
      <c r="H258" s="7" t="s">
        <v>52</v>
      </c>
      <c r="I258" s="8" t="s">
        <v>232</v>
      </c>
      <c r="J258" s="2"/>
      <c r="K258" s="2"/>
      <c r="L258" s="2"/>
      <c r="M258" s="2"/>
      <c r="N258" s="2"/>
      <c r="O258" s="2"/>
      <c r="P258" s="2"/>
      <c r="Q258" s="2"/>
    </row>
    <row r="259" spans="1:17" ht="30" customHeight="1" x14ac:dyDescent="0.5">
      <c r="A259" s="7" t="s">
        <v>35</v>
      </c>
      <c r="B259" s="7" t="s">
        <v>229</v>
      </c>
      <c r="C259" s="8">
        <v>1106700020003</v>
      </c>
      <c r="D259" s="7" t="s">
        <v>54</v>
      </c>
      <c r="E259" s="7" t="s">
        <v>238</v>
      </c>
      <c r="F259" s="7">
        <v>2015</v>
      </c>
      <c r="G259" s="7" t="s">
        <v>19</v>
      </c>
      <c r="H259" s="7" t="s">
        <v>56</v>
      </c>
      <c r="I259" s="8" t="s">
        <v>239</v>
      </c>
      <c r="J259" s="2"/>
      <c r="K259" s="2"/>
      <c r="L259" s="2"/>
      <c r="M259" s="2"/>
      <c r="N259" s="2"/>
      <c r="O259" s="2"/>
      <c r="P259" s="2"/>
      <c r="Q259" s="2"/>
    </row>
    <row r="260" spans="1:17" ht="30" customHeight="1" x14ac:dyDescent="0.5">
      <c r="A260" s="7" t="s">
        <v>0</v>
      </c>
      <c r="B260" s="7" t="s">
        <v>240</v>
      </c>
      <c r="C260" s="8">
        <v>1101700010006</v>
      </c>
      <c r="D260" s="7" t="s">
        <v>1551</v>
      </c>
      <c r="E260" s="7" t="s">
        <v>241</v>
      </c>
      <c r="F260" s="7">
        <v>2013</v>
      </c>
      <c r="G260" s="7" t="s">
        <v>19</v>
      </c>
      <c r="H260" s="7" t="s">
        <v>52</v>
      </c>
      <c r="I260" s="8" t="s">
        <v>242</v>
      </c>
      <c r="J260" s="2"/>
      <c r="K260" s="2"/>
      <c r="L260" s="2"/>
      <c r="M260" s="2"/>
      <c r="N260" s="2"/>
      <c r="O260" s="2"/>
      <c r="P260" s="2"/>
      <c r="Q260" s="2"/>
    </row>
    <row r="261" spans="1:17" ht="30" customHeight="1" x14ac:dyDescent="0.5">
      <c r="A261" s="7" t="s">
        <v>0</v>
      </c>
      <c r="B261" s="7" t="s">
        <v>240</v>
      </c>
      <c r="C261" s="8">
        <v>1106700010003</v>
      </c>
      <c r="D261" s="7" t="s">
        <v>102</v>
      </c>
      <c r="E261" s="7" t="s">
        <v>1451</v>
      </c>
      <c r="F261" s="7">
        <v>1991</v>
      </c>
      <c r="G261" s="7" t="s">
        <v>19</v>
      </c>
      <c r="H261" s="7" t="s">
        <v>104</v>
      </c>
      <c r="I261" s="8" t="s">
        <v>249</v>
      </c>
      <c r="J261" s="2"/>
      <c r="K261" s="2"/>
      <c r="L261" s="2"/>
      <c r="M261" s="2"/>
      <c r="N261" s="2"/>
      <c r="O261" s="2"/>
      <c r="P261" s="2"/>
      <c r="Q261" s="2"/>
    </row>
    <row r="262" spans="1:17" ht="30" customHeight="1" x14ac:dyDescent="0.5">
      <c r="A262" s="7" t="s">
        <v>0</v>
      </c>
      <c r="B262" s="7" t="s">
        <v>240</v>
      </c>
      <c r="C262" s="8">
        <v>1106700020003</v>
      </c>
      <c r="D262" s="7" t="s">
        <v>54</v>
      </c>
      <c r="E262" s="7" t="s">
        <v>250</v>
      </c>
      <c r="F262" s="7">
        <v>2013</v>
      </c>
      <c r="G262" s="7" t="s">
        <v>19</v>
      </c>
      <c r="H262" s="7" t="s">
        <v>56</v>
      </c>
      <c r="I262" s="8" t="s">
        <v>251</v>
      </c>
      <c r="J262" s="2"/>
      <c r="K262" s="2"/>
      <c r="L262" s="2"/>
      <c r="M262" s="2"/>
      <c r="N262" s="2"/>
      <c r="O262" s="2"/>
      <c r="P262" s="2"/>
      <c r="Q262" s="2"/>
    </row>
    <row r="263" spans="1:17" ht="30" customHeight="1" x14ac:dyDescent="0.5">
      <c r="A263" s="7" t="s">
        <v>0</v>
      </c>
      <c r="B263" s="7" t="s">
        <v>240</v>
      </c>
      <c r="C263" s="8">
        <v>1106700020010</v>
      </c>
      <c r="D263" s="7" t="s">
        <v>210</v>
      </c>
      <c r="E263" s="7" t="s">
        <v>252</v>
      </c>
      <c r="F263" s="7">
        <v>2007</v>
      </c>
      <c r="G263" s="7" t="s">
        <v>19</v>
      </c>
      <c r="H263" s="7" t="s">
        <v>56</v>
      </c>
      <c r="I263" s="8" t="s">
        <v>253</v>
      </c>
      <c r="J263" s="2"/>
      <c r="K263" s="2"/>
      <c r="L263" s="2"/>
      <c r="M263" s="2"/>
      <c r="N263" s="2"/>
      <c r="O263" s="2"/>
      <c r="P263" s="2"/>
      <c r="Q263" s="2"/>
    </row>
    <row r="264" spans="1:17" ht="30" customHeight="1" x14ac:dyDescent="0.5">
      <c r="A264" s="7" t="s">
        <v>0</v>
      </c>
      <c r="B264" s="7" t="s">
        <v>240</v>
      </c>
      <c r="C264" s="8">
        <v>1204700020002</v>
      </c>
      <c r="D264" s="7" t="s">
        <v>178</v>
      </c>
      <c r="E264" s="7" t="s">
        <v>256</v>
      </c>
      <c r="F264" s="7">
        <v>2011</v>
      </c>
      <c r="G264" s="7" t="s">
        <v>19</v>
      </c>
      <c r="H264" s="7" t="s">
        <v>10</v>
      </c>
      <c r="I264" s="8" t="s">
        <v>257</v>
      </c>
      <c r="J264" s="2"/>
      <c r="K264" s="2"/>
      <c r="L264" s="2"/>
      <c r="M264" s="2"/>
      <c r="N264" s="2"/>
      <c r="O264" s="2"/>
      <c r="P264" s="2"/>
      <c r="Q264" s="2"/>
    </row>
    <row r="265" spans="1:17" ht="30" customHeight="1" x14ac:dyDescent="0.5">
      <c r="A265" s="7" t="s">
        <v>0</v>
      </c>
      <c r="B265" s="7" t="s">
        <v>240</v>
      </c>
      <c r="C265" s="8">
        <v>1204700020003</v>
      </c>
      <c r="D265" s="7" t="s">
        <v>13</v>
      </c>
      <c r="E265" s="7" t="s">
        <v>258</v>
      </c>
      <c r="F265" s="7">
        <v>2006</v>
      </c>
      <c r="G265" s="7" t="s">
        <v>4</v>
      </c>
      <c r="H265" s="7" t="s">
        <v>10</v>
      </c>
      <c r="I265" s="8" t="s">
        <v>259</v>
      </c>
      <c r="J265" s="2"/>
      <c r="K265" s="2"/>
      <c r="L265" s="2"/>
      <c r="M265" s="2"/>
      <c r="N265" s="2"/>
      <c r="O265" s="2"/>
      <c r="P265" s="2"/>
      <c r="Q265" s="2"/>
    </row>
    <row r="266" spans="1:17" ht="30" customHeight="1" x14ac:dyDescent="0.5">
      <c r="A266" s="7" t="s">
        <v>0</v>
      </c>
      <c r="B266" s="7" t="s">
        <v>240</v>
      </c>
      <c r="C266" s="8">
        <v>1204700020009</v>
      </c>
      <c r="D266" s="7" t="s">
        <v>29</v>
      </c>
      <c r="E266" s="7" t="s">
        <v>260</v>
      </c>
      <c r="F266" s="7">
        <v>2016</v>
      </c>
      <c r="G266" s="7" t="s">
        <v>19</v>
      </c>
      <c r="H266" s="7" t="s">
        <v>261</v>
      </c>
      <c r="I266" s="8" t="s">
        <v>262</v>
      </c>
      <c r="J266" s="2"/>
      <c r="K266" s="2"/>
      <c r="L266" s="2"/>
      <c r="M266" s="2"/>
      <c r="N266" s="2"/>
      <c r="O266" s="2"/>
      <c r="P266" s="2"/>
      <c r="Q266" s="2"/>
    </row>
    <row r="267" spans="1:17" ht="30" customHeight="1" x14ac:dyDescent="0.5">
      <c r="A267" s="7" t="s">
        <v>263</v>
      </c>
      <c r="B267" s="7" t="s">
        <v>264</v>
      </c>
      <c r="C267" s="8">
        <v>1204700010002</v>
      </c>
      <c r="D267" s="7" t="s">
        <v>265</v>
      </c>
      <c r="E267" s="7" t="s">
        <v>266</v>
      </c>
      <c r="F267" s="7">
        <v>2003</v>
      </c>
      <c r="G267" s="7" t="s">
        <v>19</v>
      </c>
      <c r="H267" s="7" t="s">
        <v>10</v>
      </c>
      <c r="I267" s="8" t="s">
        <v>267</v>
      </c>
      <c r="J267" s="2"/>
      <c r="K267" s="2"/>
      <c r="L267" s="2"/>
      <c r="M267" s="2"/>
      <c r="N267" s="2"/>
      <c r="O267" s="2"/>
      <c r="P267" s="2"/>
      <c r="Q267" s="2"/>
    </row>
    <row r="268" spans="1:17" ht="30" customHeight="1" x14ac:dyDescent="0.5">
      <c r="A268" s="7" t="s">
        <v>263</v>
      </c>
      <c r="B268" s="7" t="s">
        <v>264</v>
      </c>
      <c r="C268" s="8">
        <v>1204700020002</v>
      </c>
      <c r="D268" s="7" t="s">
        <v>178</v>
      </c>
      <c r="E268" s="7" t="s">
        <v>268</v>
      </c>
      <c r="F268" s="7">
        <v>2013</v>
      </c>
      <c r="G268" s="7" t="s">
        <v>19</v>
      </c>
      <c r="H268" s="7" t="s">
        <v>10</v>
      </c>
      <c r="I268" s="8" t="s">
        <v>269</v>
      </c>
      <c r="J268" s="2"/>
      <c r="K268" s="2"/>
      <c r="L268" s="2"/>
      <c r="M268" s="2"/>
      <c r="N268" s="2"/>
      <c r="O268" s="2"/>
      <c r="P268" s="2"/>
      <c r="Q268" s="2"/>
    </row>
    <row r="269" spans="1:17" ht="30" customHeight="1" x14ac:dyDescent="0.5">
      <c r="A269" s="7" t="s">
        <v>263</v>
      </c>
      <c r="B269" s="7" t="s">
        <v>270</v>
      </c>
      <c r="C269" s="8">
        <v>1101700010006</v>
      </c>
      <c r="D269" s="7" t="s">
        <v>50</v>
      </c>
      <c r="E269" s="7" t="s">
        <v>274</v>
      </c>
      <c r="F269" s="7">
        <v>2004</v>
      </c>
      <c r="G269" s="7" t="s">
        <v>19</v>
      </c>
      <c r="H269" s="7" t="s">
        <v>52</v>
      </c>
      <c r="I269" s="8" t="s">
        <v>275</v>
      </c>
      <c r="J269" s="2" t="s">
        <v>1544</v>
      </c>
      <c r="K269" s="9" t="s">
        <v>1552</v>
      </c>
      <c r="L269" s="2" t="s">
        <v>1571</v>
      </c>
      <c r="M269" s="2" t="s">
        <v>1609</v>
      </c>
      <c r="N269" s="2"/>
      <c r="O269" s="2"/>
      <c r="P269" s="2"/>
      <c r="Q269" s="2" t="s">
        <v>1544</v>
      </c>
    </row>
    <row r="270" spans="1:17" ht="30" customHeight="1" x14ac:dyDescent="0.5">
      <c r="A270" s="7" t="s">
        <v>263</v>
      </c>
      <c r="B270" s="7" t="s">
        <v>270</v>
      </c>
      <c r="C270" s="8">
        <v>1101700010006</v>
      </c>
      <c r="D270" s="7" t="s">
        <v>1551</v>
      </c>
      <c r="E270" s="7" t="s">
        <v>276</v>
      </c>
      <c r="F270" s="7">
        <v>2014</v>
      </c>
      <c r="G270" s="7" t="s">
        <v>19</v>
      </c>
      <c r="H270" s="7" t="s">
        <v>52</v>
      </c>
      <c r="I270" s="8" t="s">
        <v>277</v>
      </c>
      <c r="J270" s="2"/>
      <c r="K270" s="2"/>
      <c r="L270" s="2"/>
      <c r="M270" s="2"/>
      <c r="N270" s="2"/>
      <c r="O270" s="2"/>
      <c r="P270" s="2"/>
      <c r="Q270" s="2"/>
    </row>
    <row r="271" spans="1:17" ht="30" customHeight="1" x14ac:dyDescent="0.5">
      <c r="A271" s="7" t="s">
        <v>263</v>
      </c>
      <c r="B271" s="7" t="s">
        <v>270</v>
      </c>
      <c r="C271" s="8">
        <v>1101700010006</v>
      </c>
      <c r="D271" s="7" t="s">
        <v>1551</v>
      </c>
      <c r="E271" s="7" t="s">
        <v>278</v>
      </c>
      <c r="F271" s="7">
        <v>2015</v>
      </c>
      <c r="G271" s="7" t="s">
        <v>19</v>
      </c>
      <c r="H271" s="7" t="s">
        <v>52</v>
      </c>
      <c r="I271" s="8" t="s">
        <v>279</v>
      </c>
      <c r="J271" s="2"/>
      <c r="K271" s="2"/>
      <c r="L271" s="2"/>
      <c r="M271" s="2"/>
      <c r="N271" s="2"/>
      <c r="O271" s="2"/>
      <c r="P271" s="2"/>
      <c r="Q271" s="2"/>
    </row>
    <row r="272" spans="1:17" ht="30" customHeight="1" x14ac:dyDescent="0.5">
      <c r="A272" s="7" t="s">
        <v>263</v>
      </c>
      <c r="B272" s="7" t="s">
        <v>270</v>
      </c>
      <c r="C272" s="8">
        <v>1101700010006</v>
      </c>
      <c r="D272" s="7" t="s">
        <v>1551</v>
      </c>
      <c r="E272" s="7" t="s">
        <v>280</v>
      </c>
      <c r="F272" s="7">
        <v>2015</v>
      </c>
      <c r="G272" s="7" t="s">
        <v>19</v>
      </c>
      <c r="H272" s="7" t="s">
        <v>52</v>
      </c>
      <c r="I272" s="8" t="s">
        <v>281</v>
      </c>
      <c r="J272" s="2"/>
      <c r="K272" s="2"/>
      <c r="L272" s="2"/>
      <c r="M272" s="2"/>
      <c r="N272" s="2"/>
      <c r="O272" s="2"/>
      <c r="P272" s="2"/>
      <c r="Q272" s="2"/>
    </row>
    <row r="273" spans="1:17" ht="30" customHeight="1" x14ac:dyDescent="0.5">
      <c r="A273" s="7" t="s">
        <v>263</v>
      </c>
      <c r="B273" s="7" t="s">
        <v>270</v>
      </c>
      <c r="C273" s="8">
        <v>1102700010004</v>
      </c>
      <c r="D273" s="7" t="s">
        <v>64</v>
      </c>
      <c r="E273" s="7" t="s">
        <v>282</v>
      </c>
      <c r="F273" s="7">
        <v>2008</v>
      </c>
      <c r="G273" s="7" t="s">
        <v>19</v>
      </c>
      <c r="H273" s="7" t="s">
        <v>66</v>
      </c>
      <c r="I273" s="8" t="s">
        <v>283</v>
      </c>
      <c r="J273" s="2"/>
      <c r="K273" s="2"/>
      <c r="L273" s="2"/>
      <c r="M273" s="2"/>
      <c r="N273" s="2"/>
      <c r="O273" s="2"/>
      <c r="P273" s="2"/>
      <c r="Q273" s="2"/>
    </row>
    <row r="274" spans="1:17" ht="30" customHeight="1" x14ac:dyDescent="0.5">
      <c r="A274" s="7" t="s">
        <v>263</v>
      </c>
      <c r="B274" s="7" t="s">
        <v>270</v>
      </c>
      <c r="C274" s="8">
        <v>1102700020004</v>
      </c>
      <c r="D274" s="7" t="s">
        <v>136</v>
      </c>
      <c r="E274" s="7" t="s">
        <v>286</v>
      </c>
      <c r="F274" s="7">
        <v>2013</v>
      </c>
      <c r="G274" s="7" t="s">
        <v>19</v>
      </c>
      <c r="H274" s="7" t="s">
        <v>66</v>
      </c>
      <c r="I274" s="8" t="s">
        <v>287</v>
      </c>
      <c r="J274" s="2"/>
      <c r="K274" s="2"/>
      <c r="L274" s="2"/>
      <c r="M274" s="2"/>
      <c r="N274" s="2"/>
      <c r="O274" s="2"/>
      <c r="P274" s="2"/>
      <c r="Q274" s="2"/>
    </row>
    <row r="275" spans="1:17" ht="30" customHeight="1" x14ac:dyDescent="0.5">
      <c r="A275" s="7" t="s">
        <v>263</v>
      </c>
      <c r="B275" s="7" t="s">
        <v>270</v>
      </c>
      <c r="C275" s="8">
        <v>1102700020004</v>
      </c>
      <c r="D275" s="7" t="s">
        <v>136</v>
      </c>
      <c r="E275" s="7" t="s">
        <v>288</v>
      </c>
      <c r="F275" s="7">
        <v>2015</v>
      </c>
      <c r="G275" s="7" t="s">
        <v>19</v>
      </c>
      <c r="H275" s="7" t="s">
        <v>66</v>
      </c>
      <c r="I275" s="8" t="s">
        <v>289</v>
      </c>
      <c r="J275" s="2"/>
      <c r="K275" s="2"/>
      <c r="L275" s="2"/>
      <c r="M275" s="2"/>
      <c r="N275" s="2"/>
      <c r="O275" s="2"/>
      <c r="P275" s="2"/>
      <c r="Q275" s="2"/>
    </row>
    <row r="276" spans="1:17" ht="30" customHeight="1" x14ac:dyDescent="0.5">
      <c r="A276" s="7" t="s">
        <v>263</v>
      </c>
      <c r="B276" s="7" t="s">
        <v>270</v>
      </c>
      <c r="C276" s="8">
        <v>1105700010001</v>
      </c>
      <c r="D276" s="7" t="s">
        <v>290</v>
      </c>
      <c r="E276" s="7" t="s">
        <v>291</v>
      </c>
      <c r="F276" s="7">
        <v>2006</v>
      </c>
      <c r="G276" s="7" t="s">
        <v>19</v>
      </c>
      <c r="H276" s="7" t="s">
        <v>42</v>
      </c>
      <c r="I276" s="8" t="s">
        <v>292</v>
      </c>
      <c r="J276" s="2"/>
      <c r="K276" s="2"/>
      <c r="L276" s="2"/>
      <c r="M276" s="2"/>
      <c r="N276" s="2"/>
      <c r="O276" s="2"/>
      <c r="P276" s="2"/>
      <c r="Q276" s="2"/>
    </row>
    <row r="277" spans="1:17" ht="30" customHeight="1" x14ac:dyDescent="0.5">
      <c r="A277" s="7" t="s">
        <v>263</v>
      </c>
      <c r="B277" s="7" t="s">
        <v>270</v>
      </c>
      <c r="C277" s="8">
        <v>1105700030002</v>
      </c>
      <c r="D277" s="7" t="s">
        <v>299</v>
      </c>
      <c r="E277" s="7" t="s">
        <v>300</v>
      </c>
      <c r="F277" s="7">
        <v>2013</v>
      </c>
      <c r="G277" s="7" t="s">
        <v>19</v>
      </c>
      <c r="H277" s="7" t="s">
        <v>42</v>
      </c>
      <c r="I277" s="8" t="s">
        <v>301</v>
      </c>
      <c r="J277" s="2"/>
      <c r="K277" s="2"/>
      <c r="L277" s="2"/>
      <c r="M277" s="2"/>
      <c r="N277" s="2"/>
      <c r="O277" s="2"/>
      <c r="P277" s="2"/>
      <c r="Q277" s="2"/>
    </row>
    <row r="278" spans="1:17" ht="30" customHeight="1" x14ac:dyDescent="0.5">
      <c r="A278" s="7" t="s">
        <v>263</v>
      </c>
      <c r="B278" s="7" t="s">
        <v>270</v>
      </c>
      <c r="C278" s="8">
        <v>1105700080001</v>
      </c>
      <c r="D278" s="7" t="s">
        <v>302</v>
      </c>
      <c r="E278" s="7" t="s">
        <v>303</v>
      </c>
      <c r="F278" s="7">
        <v>2012</v>
      </c>
      <c r="G278" s="7" t="s">
        <v>19</v>
      </c>
      <c r="H278" s="7" t="s">
        <v>304</v>
      </c>
      <c r="I278" s="8" t="s">
        <v>305</v>
      </c>
      <c r="J278" s="2"/>
      <c r="K278" s="2"/>
      <c r="L278" s="2"/>
      <c r="M278" s="2"/>
      <c r="N278" s="2"/>
      <c r="O278" s="2"/>
      <c r="P278" s="2"/>
      <c r="Q278" s="2"/>
    </row>
    <row r="279" spans="1:17" ht="30" customHeight="1" x14ac:dyDescent="0.5">
      <c r="A279" s="7" t="s">
        <v>263</v>
      </c>
      <c r="B279" s="7" t="s">
        <v>270</v>
      </c>
      <c r="C279" s="8">
        <v>1105700080001</v>
      </c>
      <c r="D279" s="7" t="s">
        <v>302</v>
      </c>
      <c r="E279" s="7" t="s">
        <v>306</v>
      </c>
      <c r="F279" s="7">
        <v>2015</v>
      </c>
      <c r="G279" s="7" t="s">
        <v>19</v>
      </c>
      <c r="H279" s="7" t="s">
        <v>304</v>
      </c>
      <c r="I279" s="8" t="s">
        <v>307</v>
      </c>
      <c r="J279" s="2"/>
      <c r="K279" s="2"/>
      <c r="L279" s="2"/>
      <c r="M279" s="2"/>
      <c r="N279" s="2"/>
      <c r="O279" s="2"/>
      <c r="P279" s="2"/>
      <c r="Q279" s="2"/>
    </row>
    <row r="280" spans="1:17" ht="30" customHeight="1" x14ac:dyDescent="0.5">
      <c r="A280" s="7" t="s">
        <v>263</v>
      </c>
      <c r="B280" s="7" t="s">
        <v>270</v>
      </c>
      <c r="C280" s="8">
        <v>1105700150001</v>
      </c>
      <c r="D280" s="7" t="s">
        <v>317</v>
      </c>
      <c r="E280" s="7" t="s">
        <v>318</v>
      </c>
      <c r="F280" s="7">
        <v>2010</v>
      </c>
      <c r="G280" s="7" t="s">
        <v>19</v>
      </c>
      <c r="H280" s="7" t="s">
        <v>42</v>
      </c>
      <c r="I280" s="8" t="s">
        <v>319</v>
      </c>
      <c r="J280" s="2"/>
      <c r="K280" s="2"/>
      <c r="L280" s="2"/>
      <c r="M280" s="2"/>
      <c r="N280" s="2"/>
      <c r="O280" s="2"/>
      <c r="P280" s="2"/>
      <c r="Q280" s="2"/>
    </row>
    <row r="281" spans="1:17" ht="30" customHeight="1" x14ac:dyDescent="0.5">
      <c r="A281" s="7" t="s">
        <v>263</v>
      </c>
      <c r="B281" s="7" t="s">
        <v>270</v>
      </c>
      <c r="C281" s="8">
        <v>1105700190001</v>
      </c>
      <c r="D281" s="7" t="s">
        <v>322</v>
      </c>
      <c r="E281" s="7" t="s">
        <v>323</v>
      </c>
      <c r="F281" s="7">
        <v>2019</v>
      </c>
      <c r="G281" s="7" t="s">
        <v>19</v>
      </c>
      <c r="H281" s="7" t="s">
        <v>324</v>
      </c>
      <c r="I281" s="8" t="s">
        <v>325</v>
      </c>
      <c r="J281" s="2"/>
      <c r="K281" s="2"/>
      <c r="L281" s="2"/>
      <c r="M281" s="2"/>
      <c r="N281" s="2"/>
      <c r="O281" s="2"/>
      <c r="P281" s="2"/>
      <c r="Q281" s="2"/>
    </row>
    <row r="282" spans="1:17" ht="30" customHeight="1" x14ac:dyDescent="0.5">
      <c r="A282" s="7" t="s">
        <v>263</v>
      </c>
      <c r="B282" s="7" t="s">
        <v>270</v>
      </c>
      <c r="C282" s="8">
        <v>1106700010010</v>
      </c>
      <c r="D282" s="7" t="s">
        <v>114</v>
      </c>
      <c r="E282" s="7" t="s">
        <v>329</v>
      </c>
      <c r="F282" s="7">
        <v>2005</v>
      </c>
      <c r="G282" s="7" t="s">
        <v>19</v>
      </c>
      <c r="H282" s="7" t="s">
        <v>104</v>
      </c>
      <c r="I282" s="8" t="s">
        <v>330</v>
      </c>
      <c r="J282" s="2"/>
      <c r="K282" s="2"/>
      <c r="L282" s="2"/>
      <c r="M282" s="2"/>
      <c r="N282" s="2"/>
      <c r="O282" s="2"/>
      <c r="P282" s="2"/>
      <c r="Q282" s="2"/>
    </row>
    <row r="283" spans="1:17" ht="30" customHeight="1" x14ac:dyDescent="0.5">
      <c r="A283" s="7" t="s">
        <v>263</v>
      </c>
      <c r="B283" s="7" t="s">
        <v>270</v>
      </c>
      <c r="C283" s="8">
        <v>1106700020003</v>
      </c>
      <c r="D283" s="7" t="s">
        <v>54</v>
      </c>
      <c r="E283" s="7" t="s">
        <v>333</v>
      </c>
      <c r="F283" s="7">
        <v>2015</v>
      </c>
      <c r="G283" s="7" t="s">
        <v>19</v>
      </c>
      <c r="H283" s="7" t="s">
        <v>56</v>
      </c>
      <c r="I283" s="8" t="s">
        <v>334</v>
      </c>
      <c r="J283" s="2"/>
      <c r="K283" s="2"/>
      <c r="L283" s="2"/>
      <c r="M283" s="2"/>
      <c r="N283" s="2"/>
      <c r="O283" s="2"/>
      <c r="P283" s="2"/>
      <c r="Q283" s="2"/>
    </row>
    <row r="284" spans="1:17" ht="30" customHeight="1" x14ac:dyDescent="0.5">
      <c r="A284" s="7" t="s">
        <v>263</v>
      </c>
      <c r="B284" s="7" t="s">
        <v>270</v>
      </c>
      <c r="C284" s="8">
        <v>1106700020003</v>
      </c>
      <c r="D284" s="7" t="s">
        <v>54</v>
      </c>
      <c r="E284" s="7" t="s">
        <v>335</v>
      </c>
      <c r="F284" s="7">
        <v>2016</v>
      </c>
      <c r="G284" s="7" t="s">
        <v>19</v>
      </c>
      <c r="H284" s="7" t="s">
        <v>56</v>
      </c>
      <c r="I284" s="8" t="s">
        <v>336</v>
      </c>
      <c r="J284" s="2"/>
      <c r="K284" s="2"/>
      <c r="L284" s="2"/>
      <c r="M284" s="2"/>
      <c r="N284" s="2"/>
      <c r="O284" s="2"/>
      <c r="P284" s="2"/>
      <c r="Q284" s="2"/>
    </row>
    <row r="285" spans="1:17" ht="30" customHeight="1" x14ac:dyDescent="0.5">
      <c r="A285" s="7" t="s">
        <v>263</v>
      </c>
      <c r="B285" s="7" t="s">
        <v>270</v>
      </c>
      <c r="C285" s="8">
        <v>1106700020003</v>
      </c>
      <c r="D285" s="7" t="s">
        <v>54</v>
      </c>
      <c r="E285" s="7" t="s">
        <v>337</v>
      </c>
      <c r="F285" s="7">
        <v>2015</v>
      </c>
      <c r="G285" s="7" t="s">
        <v>19</v>
      </c>
      <c r="H285" s="7" t="s">
        <v>56</v>
      </c>
      <c r="I285" s="8" t="s">
        <v>338</v>
      </c>
      <c r="J285" s="2"/>
      <c r="K285" s="2"/>
      <c r="L285" s="2"/>
      <c r="M285" s="2"/>
      <c r="N285" s="2"/>
      <c r="O285" s="2"/>
      <c r="P285" s="2"/>
      <c r="Q285" s="2"/>
    </row>
    <row r="286" spans="1:17" ht="30" customHeight="1" x14ac:dyDescent="0.5">
      <c r="A286" s="7" t="s">
        <v>263</v>
      </c>
      <c r="B286" s="7" t="s">
        <v>270</v>
      </c>
      <c r="C286" s="8">
        <v>1106700020003</v>
      </c>
      <c r="D286" s="7" t="s">
        <v>54</v>
      </c>
      <c r="E286" s="7" t="s">
        <v>339</v>
      </c>
      <c r="F286" s="7">
        <v>2016</v>
      </c>
      <c r="G286" s="7" t="s">
        <v>19</v>
      </c>
      <c r="H286" s="7" t="s">
        <v>56</v>
      </c>
      <c r="I286" s="8" t="s">
        <v>340</v>
      </c>
      <c r="J286" s="2"/>
      <c r="K286" s="2"/>
      <c r="L286" s="2"/>
      <c r="M286" s="2"/>
      <c r="N286" s="2"/>
      <c r="O286" s="2"/>
      <c r="P286" s="2"/>
      <c r="Q286" s="2"/>
    </row>
    <row r="287" spans="1:17" ht="30" customHeight="1" x14ac:dyDescent="0.5">
      <c r="A287" s="7" t="s">
        <v>263</v>
      </c>
      <c r="B287" s="7" t="s">
        <v>270</v>
      </c>
      <c r="C287" s="8">
        <v>1106700020003</v>
      </c>
      <c r="D287" s="7" t="s">
        <v>54</v>
      </c>
      <c r="E287" s="7" t="s">
        <v>343</v>
      </c>
      <c r="F287" s="7">
        <v>2011</v>
      </c>
      <c r="G287" s="7" t="s">
        <v>19</v>
      </c>
      <c r="H287" s="7" t="s">
        <v>56</v>
      </c>
      <c r="I287" s="8" t="s">
        <v>344</v>
      </c>
      <c r="J287" s="2"/>
      <c r="K287" s="2"/>
      <c r="L287" s="2"/>
      <c r="M287" s="2"/>
      <c r="N287" s="2"/>
      <c r="O287" s="2"/>
      <c r="P287" s="2"/>
      <c r="Q287" s="2"/>
    </row>
    <row r="288" spans="1:17" ht="30" customHeight="1" x14ac:dyDescent="0.5">
      <c r="A288" s="7" t="s">
        <v>263</v>
      </c>
      <c r="B288" s="7" t="s">
        <v>270</v>
      </c>
      <c r="C288" s="8">
        <v>1106700020003</v>
      </c>
      <c r="D288" s="7" t="s">
        <v>54</v>
      </c>
      <c r="E288" s="7" t="s">
        <v>345</v>
      </c>
      <c r="F288" s="7">
        <v>2016</v>
      </c>
      <c r="G288" s="7" t="s">
        <v>19</v>
      </c>
      <c r="H288" s="7" t="s">
        <v>56</v>
      </c>
      <c r="I288" s="8" t="s">
        <v>346</v>
      </c>
      <c r="J288" s="2"/>
      <c r="K288" s="2"/>
      <c r="L288" s="2"/>
      <c r="M288" s="2"/>
      <c r="N288" s="2"/>
      <c r="O288" s="2"/>
      <c r="P288" s="2"/>
      <c r="Q288" s="2"/>
    </row>
    <row r="289" spans="1:17" ht="30" customHeight="1" x14ac:dyDescent="0.5">
      <c r="A289" s="7" t="s">
        <v>263</v>
      </c>
      <c r="B289" s="7" t="s">
        <v>270</v>
      </c>
      <c r="C289" s="8">
        <v>1106700020003</v>
      </c>
      <c r="D289" s="7" t="s">
        <v>54</v>
      </c>
      <c r="E289" s="7" t="s">
        <v>347</v>
      </c>
      <c r="F289" s="7">
        <v>2009</v>
      </c>
      <c r="G289" s="7" t="s">
        <v>19</v>
      </c>
      <c r="H289" s="7" t="s">
        <v>56</v>
      </c>
      <c r="I289" s="8" t="s">
        <v>348</v>
      </c>
      <c r="J289" s="2" t="s">
        <v>1544</v>
      </c>
      <c r="K289" s="9" t="s">
        <v>1552</v>
      </c>
      <c r="L289" s="2" t="s">
        <v>1571</v>
      </c>
      <c r="M289" s="2" t="s">
        <v>1609</v>
      </c>
      <c r="N289" s="2"/>
      <c r="O289" s="2"/>
      <c r="P289" s="2"/>
      <c r="Q289" s="2" t="s">
        <v>1544</v>
      </c>
    </row>
    <row r="290" spans="1:17" ht="30" customHeight="1" x14ac:dyDescent="0.5">
      <c r="A290" s="7" t="s">
        <v>263</v>
      </c>
      <c r="B290" s="7" t="s">
        <v>270</v>
      </c>
      <c r="C290" s="8">
        <v>1107700010003</v>
      </c>
      <c r="D290" s="7" t="s">
        <v>353</v>
      </c>
      <c r="E290" s="7" t="s">
        <v>354</v>
      </c>
      <c r="F290" s="7">
        <v>1975</v>
      </c>
      <c r="G290" s="7" t="s">
        <v>19</v>
      </c>
      <c r="H290" s="7" t="s">
        <v>355</v>
      </c>
      <c r="I290" s="8">
        <v>84184</v>
      </c>
      <c r="J290" s="2"/>
      <c r="K290" s="2"/>
      <c r="L290" s="2"/>
      <c r="M290" s="2"/>
      <c r="N290" s="2"/>
      <c r="O290" s="2"/>
      <c r="P290" s="2"/>
      <c r="Q290" s="2"/>
    </row>
    <row r="291" spans="1:17" ht="30" customHeight="1" x14ac:dyDescent="0.5">
      <c r="A291" s="7" t="s">
        <v>263</v>
      </c>
      <c r="B291" s="7" t="s">
        <v>270</v>
      </c>
      <c r="C291" s="8">
        <v>1108700010001</v>
      </c>
      <c r="D291" s="7" t="s">
        <v>356</v>
      </c>
      <c r="E291" s="7" t="s">
        <v>357</v>
      </c>
      <c r="F291" s="7">
        <v>2008</v>
      </c>
      <c r="G291" s="7" t="s">
        <v>19</v>
      </c>
      <c r="H291" s="7" t="s">
        <v>358</v>
      </c>
      <c r="I291" s="8" t="s">
        <v>359</v>
      </c>
      <c r="J291" s="2"/>
      <c r="K291" s="2"/>
      <c r="L291" s="2"/>
      <c r="M291" s="2"/>
      <c r="N291" s="2"/>
      <c r="O291" s="2"/>
      <c r="P291" s="2"/>
      <c r="Q291" s="2"/>
    </row>
    <row r="292" spans="1:17" ht="30" customHeight="1" x14ac:dyDescent="0.5">
      <c r="A292" s="7" t="s">
        <v>263</v>
      </c>
      <c r="B292" s="7" t="s">
        <v>270</v>
      </c>
      <c r="C292" s="8">
        <v>1109700010001</v>
      </c>
      <c r="D292" s="7" t="s">
        <v>360</v>
      </c>
      <c r="E292" s="7" t="s">
        <v>361</v>
      </c>
      <c r="F292" s="7">
        <v>1976</v>
      </c>
      <c r="G292" s="7" t="s">
        <v>19</v>
      </c>
      <c r="H292" s="7" t="s">
        <v>362</v>
      </c>
      <c r="I292" s="8" t="s">
        <v>363</v>
      </c>
      <c r="J292" s="2"/>
      <c r="K292" s="2"/>
      <c r="L292" s="2"/>
      <c r="M292" s="2"/>
      <c r="N292" s="2"/>
      <c r="O292" s="2"/>
      <c r="P292" s="2"/>
      <c r="Q292" s="2"/>
    </row>
    <row r="293" spans="1:17" ht="30" customHeight="1" x14ac:dyDescent="0.5">
      <c r="A293" s="7" t="s">
        <v>263</v>
      </c>
      <c r="B293" s="7" t="s">
        <v>270</v>
      </c>
      <c r="C293" s="8">
        <v>1110700010001</v>
      </c>
      <c r="D293" s="7" t="s">
        <v>364</v>
      </c>
      <c r="E293" s="7" t="s">
        <v>365</v>
      </c>
      <c r="F293" s="7">
        <v>2006</v>
      </c>
      <c r="G293" s="7" t="s">
        <v>19</v>
      </c>
      <c r="H293" s="7" t="s">
        <v>358</v>
      </c>
      <c r="I293" s="8" t="s">
        <v>366</v>
      </c>
      <c r="J293" s="2"/>
      <c r="K293" s="2"/>
      <c r="L293" s="2"/>
      <c r="M293" s="2"/>
      <c r="N293" s="2"/>
      <c r="O293" s="2"/>
      <c r="P293" s="2"/>
      <c r="Q293" s="2"/>
    </row>
    <row r="294" spans="1:17" ht="30" customHeight="1" x14ac:dyDescent="0.5">
      <c r="A294" s="7" t="s">
        <v>263</v>
      </c>
      <c r="B294" s="7" t="s">
        <v>270</v>
      </c>
      <c r="C294" s="8">
        <v>1111700030001</v>
      </c>
      <c r="D294" s="7" t="s">
        <v>367</v>
      </c>
      <c r="E294" s="7" t="s">
        <v>368</v>
      </c>
      <c r="F294" s="7">
        <v>2006</v>
      </c>
      <c r="G294" s="7" t="s">
        <v>19</v>
      </c>
      <c r="H294" s="7" t="s">
        <v>358</v>
      </c>
      <c r="I294" s="8" t="s">
        <v>369</v>
      </c>
      <c r="J294" s="2"/>
      <c r="K294" s="2"/>
      <c r="L294" s="2"/>
      <c r="M294" s="2"/>
      <c r="N294" s="2"/>
      <c r="O294" s="2"/>
      <c r="P294" s="2"/>
      <c r="Q294" s="2"/>
    </row>
    <row r="295" spans="1:17" ht="30" customHeight="1" x14ac:dyDescent="0.5">
      <c r="A295" s="7" t="s">
        <v>263</v>
      </c>
      <c r="B295" s="7" t="s">
        <v>270</v>
      </c>
      <c r="C295" s="8">
        <v>1112700020001</v>
      </c>
      <c r="D295" s="7" t="s">
        <v>370</v>
      </c>
      <c r="E295" s="7" t="s">
        <v>371</v>
      </c>
      <c r="F295" s="7">
        <v>2011</v>
      </c>
      <c r="G295" s="7" t="s">
        <v>19</v>
      </c>
      <c r="H295" s="7" t="s">
        <v>42</v>
      </c>
      <c r="I295" s="8" t="s">
        <v>372</v>
      </c>
      <c r="J295" s="2"/>
      <c r="K295" s="2"/>
      <c r="L295" s="2"/>
      <c r="M295" s="2"/>
      <c r="N295" s="2"/>
      <c r="O295" s="2"/>
      <c r="P295" s="2"/>
      <c r="Q295" s="2"/>
    </row>
    <row r="296" spans="1:17" ht="30" customHeight="1" x14ac:dyDescent="0.5">
      <c r="A296" s="7" t="s">
        <v>263</v>
      </c>
      <c r="B296" s="7" t="s">
        <v>270</v>
      </c>
      <c r="C296" s="8">
        <v>1204700010003</v>
      </c>
      <c r="D296" s="7" t="s">
        <v>96</v>
      </c>
      <c r="E296" s="7" t="s">
        <v>375</v>
      </c>
      <c r="F296" s="7">
        <v>2002</v>
      </c>
      <c r="G296" s="7" t="s">
        <v>376</v>
      </c>
      <c r="H296" s="7" t="s">
        <v>377</v>
      </c>
      <c r="I296" s="8" t="s">
        <v>378</v>
      </c>
      <c r="J296" s="2"/>
      <c r="K296" s="2"/>
      <c r="L296" s="2"/>
      <c r="M296" s="2"/>
      <c r="N296" s="2"/>
      <c r="O296" s="2"/>
      <c r="P296" s="2"/>
      <c r="Q296" s="2"/>
    </row>
    <row r="297" spans="1:17" ht="30" customHeight="1" x14ac:dyDescent="0.5">
      <c r="A297" s="7" t="s">
        <v>263</v>
      </c>
      <c r="B297" s="7" t="s">
        <v>270</v>
      </c>
      <c r="C297" s="8">
        <v>1204700020002</v>
      </c>
      <c r="D297" s="7" t="s">
        <v>178</v>
      </c>
      <c r="E297" s="7" t="s">
        <v>379</v>
      </c>
      <c r="F297" s="7">
        <v>2013</v>
      </c>
      <c r="G297" s="7" t="s">
        <v>19</v>
      </c>
      <c r="H297" s="7" t="s">
        <v>10</v>
      </c>
      <c r="I297" s="8" t="s">
        <v>380</v>
      </c>
      <c r="J297" s="2"/>
      <c r="K297" s="2"/>
      <c r="L297" s="2"/>
      <c r="M297" s="2"/>
      <c r="N297" s="2"/>
      <c r="O297" s="2"/>
      <c r="P297" s="2"/>
      <c r="Q297" s="2"/>
    </row>
    <row r="298" spans="1:17" ht="30" customHeight="1" x14ac:dyDescent="0.5">
      <c r="A298" s="7" t="s">
        <v>263</v>
      </c>
      <c r="B298" s="7" t="s">
        <v>270</v>
      </c>
      <c r="C298" s="8">
        <v>1204700020003</v>
      </c>
      <c r="D298" s="7" t="s">
        <v>13</v>
      </c>
      <c r="E298" s="7" t="s">
        <v>381</v>
      </c>
      <c r="F298" s="7">
        <v>2010</v>
      </c>
      <c r="G298" s="7" t="s">
        <v>19</v>
      </c>
      <c r="H298" s="7" t="s">
        <v>5</v>
      </c>
      <c r="I298" s="8" t="s">
        <v>382</v>
      </c>
      <c r="J298" s="2"/>
      <c r="K298" s="2"/>
      <c r="L298" s="2"/>
      <c r="M298" s="2"/>
      <c r="N298" s="2"/>
      <c r="O298" s="2"/>
      <c r="P298" s="2"/>
      <c r="Q298" s="2"/>
    </row>
    <row r="299" spans="1:17" ht="30" customHeight="1" x14ac:dyDescent="0.5">
      <c r="A299" s="7" t="s">
        <v>263</v>
      </c>
      <c r="B299" s="7" t="s">
        <v>270</v>
      </c>
      <c r="C299" s="8">
        <v>1204700030001</v>
      </c>
      <c r="D299" s="7" t="s">
        <v>17</v>
      </c>
      <c r="E299" s="7" t="s">
        <v>383</v>
      </c>
      <c r="F299" s="7">
        <v>2008</v>
      </c>
      <c r="G299" s="7" t="s">
        <v>19</v>
      </c>
      <c r="H299" s="7" t="s">
        <v>384</v>
      </c>
      <c r="I299" s="8" t="s">
        <v>385</v>
      </c>
      <c r="J299" s="2"/>
      <c r="K299" s="2"/>
      <c r="L299" s="2"/>
      <c r="M299" s="2"/>
      <c r="N299" s="2"/>
      <c r="O299" s="2"/>
      <c r="P299" s="2"/>
      <c r="Q299" s="2"/>
    </row>
    <row r="300" spans="1:17" ht="30" customHeight="1" x14ac:dyDescent="0.5">
      <c r="A300" s="7" t="s">
        <v>263</v>
      </c>
      <c r="B300" s="7" t="s">
        <v>270</v>
      </c>
      <c r="C300" s="8">
        <v>1205700010001</v>
      </c>
      <c r="D300" s="7" t="s">
        <v>388</v>
      </c>
      <c r="E300" s="7" t="s">
        <v>389</v>
      </c>
      <c r="F300" s="7">
        <v>2006</v>
      </c>
      <c r="G300" s="7" t="s">
        <v>19</v>
      </c>
      <c r="H300" s="7" t="s">
        <v>20</v>
      </c>
      <c r="I300" s="8" t="s">
        <v>390</v>
      </c>
      <c r="J300" s="2"/>
      <c r="K300" s="2"/>
      <c r="L300" s="2"/>
      <c r="M300" s="2"/>
      <c r="N300" s="2"/>
      <c r="O300" s="2"/>
      <c r="P300" s="2"/>
      <c r="Q300" s="2"/>
    </row>
    <row r="301" spans="1:17" ht="30" customHeight="1" x14ac:dyDescent="0.5">
      <c r="A301" s="7" t="s">
        <v>263</v>
      </c>
      <c r="B301" s="7" t="s">
        <v>270</v>
      </c>
      <c r="C301" s="8">
        <v>1207700010001</v>
      </c>
      <c r="D301" s="7" t="s">
        <v>391</v>
      </c>
      <c r="E301" s="7" t="s">
        <v>392</v>
      </c>
      <c r="F301" s="7">
        <v>1981</v>
      </c>
      <c r="G301" s="7" t="s">
        <v>393</v>
      </c>
      <c r="H301" s="7" t="s">
        <v>394</v>
      </c>
      <c r="I301" s="8">
        <v>34631154799996</v>
      </c>
      <c r="J301" s="2"/>
      <c r="K301" s="2"/>
      <c r="L301" s="2"/>
      <c r="M301" s="2"/>
      <c r="N301" s="2"/>
      <c r="O301" s="2"/>
      <c r="P301" s="2"/>
      <c r="Q301" s="2"/>
    </row>
    <row r="302" spans="1:17" ht="30" customHeight="1" x14ac:dyDescent="0.5">
      <c r="A302" s="7" t="s">
        <v>263</v>
      </c>
      <c r="B302" s="7" t="s">
        <v>270</v>
      </c>
      <c r="C302" s="8">
        <v>1207700010001</v>
      </c>
      <c r="D302" s="7" t="s">
        <v>391</v>
      </c>
      <c r="E302" s="7" t="s">
        <v>1453</v>
      </c>
      <c r="F302" s="7">
        <v>1989</v>
      </c>
      <c r="G302" s="7" t="s">
        <v>393</v>
      </c>
      <c r="H302" s="7" t="s">
        <v>394</v>
      </c>
      <c r="I302" s="8">
        <v>43700855346031</v>
      </c>
      <c r="J302" s="2"/>
      <c r="K302" s="2"/>
      <c r="L302" s="2"/>
      <c r="M302" s="2"/>
      <c r="N302" s="2"/>
      <c r="O302" s="2"/>
      <c r="P302" s="2"/>
      <c r="Q302" s="2"/>
    </row>
    <row r="303" spans="1:17" ht="30" customHeight="1" x14ac:dyDescent="0.5">
      <c r="A303" s="7" t="s">
        <v>263</v>
      </c>
      <c r="B303" s="7" t="s">
        <v>270</v>
      </c>
      <c r="C303" s="8">
        <v>1207700040004</v>
      </c>
      <c r="D303" s="7" t="s">
        <v>395</v>
      </c>
      <c r="E303" s="7" t="s">
        <v>396</v>
      </c>
      <c r="F303" s="7">
        <v>2018</v>
      </c>
      <c r="G303" s="7" t="s">
        <v>19</v>
      </c>
      <c r="H303" s="7" t="s">
        <v>397</v>
      </c>
      <c r="I303" s="8" t="s">
        <v>398</v>
      </c>
      <c r="J303" s="2"/>
      <c r="K303" s="2"/>
      <c r="L303" s="2"/>
      <c r="M303" s="2"/>
      <c r="N303" s="2"/>
      <c r="O303" s="2"/>
      <c r="P303" s="2"/>
      <c r="Q303" s="2"/>
    </row>
    <row r="304" spans="1:17" ht="30" customHeight="1" x14ac:dyDescent="0.5">
      <c r="A304" s="7" t="s">
        <v>263</v>
      </c>
      <c r="B304" s="7" t="s">
        <v>270</v>
      </c>
      <c r="C304" s="8">
        <v>1207700040008</v>
      </c>
      <c r="D304" s="7" t="s">
        <v>399</v>
      </c>
      <c r="E304" s="7" t="s">
        <v>400</v>
      </c>
      <c r="F304" s="7">
        <v>2015</v>
      </c>
      <c r="G304" s="7" t="s">
        <v>19</v>
      </c>
      <c r="H304" s="7" t="s">
        <v>42</v>
      </c>
      <c r="I304" s="8" t="s">
        <v>401</v>
      </c>
      <c r="J304" s="2"/>
      <c r="K304" s="2"/>
      <c r="L304" s="2"/>
      <c r="M304" s="2"/>
      <c r="N304" s="2"/>
      <c r="O304" s="2"/>
      <c r="P304" s="2"/>
      <c r="Q304" s="2"/>
    </row>
    <row r="305" spans="1:17" ht="30" customHeight="1" x14ac:dyDescent="0.5">
      <c r="A305" s="7" t="s">
        <v>263</v>
      </c>
      <c r="B305" s="7" t="s">
        <v>270</v>
      </c>
      <c r="C305" s="8">
        <v>1208700020004</v>
      </c>
      <c r="D305" s="7" t="s">
        <v>403</v>
      </c>
      <c r="E305" s="7" t="s">
        <v>404</v>
      </c>
      <c r="F305" s="7">
        <v>2005</v>
      </c>
      <c r="G305" s="7" t="s">
        <v>4</v>
      </c>
      <c r="H305" s="7" t="s">
        <v>42</v>
      </c>
      <c r="I305" s="8" t="s">
        <v>405</v>
      </c>
      <c r="J305" s="2"/>
      <c r="K305" s="2"/>
      <c r="L305" s="2"/>
      <c r="M305" s="2"/>
      <c r="N305" s="2"/>
      <c r="O305" s="2"/>
      <c r="P305" s="2"/>
      <c r="Q305" s="2"/>
    </row>
    <row r="306" spans="1:17" ht="30" customHeight="1" x14ac:dyDescent="0.5">
      <c r="A306" s="7" t="s">
        <v>263</v>
      </c>
      <c r="B306" s="7" t="s">
        <v>270</v>
      </c>
      <c r="C306" s="8">
        <v>1208700030004</v>
      </c>
      <c r="D306" s="7" t="s">
        <v>406</v>
      </c>
      <c r="E306" s="7" t="s">
        <v>407</v>
      </c>
      <c r="F306" s="7">
        <v>2008</v>
      </c>
      <c r="G306" s="7" t="s">
        <v>19</v>
      </c>
      <c r="H306" s="7" t="s">
        <v>408</v>
      </c>
      <c r="I306" s="8" t="s">
        <v>409</v>
      </c>
      <c r="J306" s="2"/>
      <c r="K306" s="2"/>
      <c r="L306" s="2"/>
      <c r="M306" s="2"/>
      <c r="N306" s="2"/>
      <c r="O306" s="2"/>
      <c r="P306" s="2"/>
      <c r="Q306" s="2"/>
    </row>
    <row r="307" spans="1:17" ht="30" customHeight="1" x14ac:dyDescent="0.5">
      <c r="A307" s="7" t="s">
        <v>263</v>
      </c>
      <c r="B307" s="7" t="s">
        <v>270</v>
      </c>
      <c r="C307" s="8">
        <v>1208700040004</v>
      </c>
      <c r="D307" s="7" t="s">
        <v>410</v>
      </c>
      <c r="E307" s="7" t="s">
        <v>411</v>
      </c>
      <c r="F307" s="7">
        <v>2009</v>
      </c>
      <c r="G307" s="7" t="s">
        <v>19</v>
      </c>
      <c r="H307" s="7" t="s">
        <v>42</v>
      </c>
      <c r="I307" s="8" t="s">
        <v>412</v>
      </c>
      <c r="J307" s="2"/>
      <c r="K307" s="2"/>
      <c r="L307" s="2"/>
      <c r="M307" s="2"/>
      <c r="N307" s="2"/>
      <c r="O307" s="2"/>
      <c r="P307" s="2"/>
      <c r="Q307" s="2"/>
    </row>
    <row r="308" spans="1:17" ht="30" customHeight="1" x14ac:dyDescent="0.5">
      <c r="A308" s="7" t="s">
        <v>263</v>
      </c>
      <c r="B308" s="7" t="s">
        <v>270</v>
      </c>
      <c r="C308" s="8">
        <v>1209700010004</v>
      </c>
      <c r="D308" s="7" t="s">
        <v>413</v>
      </c>
      <c r="E308" s="7" t="s">
        <v>417</v>
      </c>
      <c r="F308" s="7">
        <v>2011</v>
      </c>
      <c r="G308" s="7" t="s">
        <v>19</v>
      </c>
      <c r="H308" s="7" t="s">
        <v>415</v>
      </c>
      <c r="I308" s="8" t="s">
        <v>418</v>
      </c>
      <c r="J308" s="2"/>
      <c r="K308" s="2"/>
      <c r="L308" s="2"/>
      <c r="M308" s="2"/>
      <c r="N308" s="2"/>
      <c r="O308" s="2"/>
      <c r="P308" s="2"/>
      <c r="Q308" s="2"/>
    </row>
    <row r="309" spans="1:17" ht="30" customHeight="1" x14ac:dyDescent="0.5">
      <c r="A309" s="7" t="s">
        <v>0</v>
      </c>
      <c r="B309" s="7" t="s">
        <v>425</v>
      </c>
      <c r="C309" s="8">
        <v>1204700020002</v>
      </c>
      <c r="D309" s="7" t="s">
        <v>178</v>
      </c>
      <c r="E309" s="7" t="s">
        <v>426</v>
      </c>
      <c r="F309" s="7">
        <v>2011</v>
      </c>
      <c r="G309" s="7" t="s">
        <v>19</v>
      </c>
      <c r="H309" s="7" t="s">
        <v>10</v>
      </c>
      <c r="I309" s="8" t="s">
        <v>427</v>
      </c>
      <c r="J309" s="2"/>
      <c r="K309" s="2"/>
      <c r="L309" s="2"/>
      <c r="M309" s="2"/>
      <c r="N309" s="2"/>
      <c r="O309" s="2"/>
      <c r="P309" s="2"/>
      <c r="Q309" s="2"/>
    </row>
    <row r="310" spans="1:17" ht="30" customHeight="1" x14ac:dyDescent="0.5">
      <c r="A310" s="7" t="s">
        <v>0</v>
      </c>
      <c r="B310" s="7" t="s">
        <v>425</v>
      </c>
      <c r="C310" s="8">
        <v>1204700020003</v>
      </c>
      <c r="D310" s="7" t="s">
        <v>13</v>
      </c>
      <c r="E310" s="7" t="s">
        <v>428</v>
      </c>
      <c r="F310" s="7">
        <v>2012</v>
      </c>
      <c r="G310" s="7" t="s">
        <v>19</v>
      </c>
      <c r="H310" s="7" t="s">
        <v>10</v>
      </c>
      <c r="I310" s="8" t="s">
        <v>429</v>
      </c>
      <c r="J310" s="2"/>
      <c r="K310" s="2"/>
      <c r="L310" s="2"/>
      <c r="M310" s="2"/>
      <c r="N310" s="2"/>
      <c r="O310" s="2"/>
      <c r="P310" s="2"/>
      <c r="Q310" s="2"/>
    </row>
    <row r="311" spans="1:17" ht="30" customHeight="1" x14ac:dyDescent="0.5">
      <c r="A311" s="7" t="s">
        <v>263</v>
      </c>
      <c r="B311" s="7" t="s">
        <v>430</v>
      </c>
      <c r="C311" s="8">
        <v>1104700020001</v>
      </c>
      <c r="D311" s="7" t="s">
        <v>431</v>
      </c>
      <c r="E311" s="7" t="s">
        <v>432</v>
      </c>
      <c r="F311" s="7">
        <v>2012</v>
      </c>
      <c r="G311" s="7" t="s">
        <v>433</v>
      </c>
      <c r="H311" s="7" t="s">
        <v>236</v>
      </c>
      <c r="I311" s="8" t="s">
        <v>434</v>
      </c>
      <c r="J311" s="2"/>
      <c r="K311" s="2"/>
      <c r="L311" s="2"/>
      <c r="M311" s="2"/>
      <c r="N311" s="2"/>
      <c r="O311" s="2"/>
      <c r="P311" s="2"/>
      <c r="Q311" s="2"/>
    </row>
    <row r="312" spans="1:17" ht="30" customHeight="1" x14ac:dyDescent="0.5">
      <c r="A312" s="7" t="s">
        <v>263</v>
      </c>
      <c r="B312" s="7" t="s">
        <v>430</v>
      </c>
      <c r="C312" s="8">
        <v>1105700010004</v>
      </c>
      <c r="D312" s="7" t="s">
        <v>435</v>
      </c>
      <c r="E312" s="7" t="s">
        <v>436</v>
      </c>
      <c r="F312" s="7">
        <v>2015</v>
      </c>
      <c r="G312" s="7" t="s">
        <v>19</v>
      </c>
      <c r="H312" s="7" t="s">
        <v>42</v>
      </c>
      <c r="I312" s="8" t="s">
        <v>437</v>
      </c>
      <c r="J312" s="2"/>
      <c r="K312" s="2"/>
      <c r="L312" s="2"/>
      <c r="M312" s="2"/>
      <c r="N312" s="2"/>
      <c r="O312" s="2"/>
      <c r="P312" s="2"/>
      <c r="Q312" s="2"/>
    </row>
    <row r="313" spans="1:17" ht="30" customHeight="1" x14ac:dyDescent="0.5">
      <c r="A313" s="7" t="s">
        <v>263</v>
      </c>
      <c r="B313" s="7" t="s">
        <v>430</v>
      </c>
      <c r="C313" s="8">
        <v>1105700160001</v>
      </c>
      <c r="D313" s="7" t="s">
        <v>438</v>
      </c>
      <c r="E313" s="7" t="s">
        <v>439</v>
      </c>
      <c r="F313" s="7">
        <v>2010</v>
      </c>
      <c r="G313" s="7" t="s">
        <v>19</v>
      </c>
      <c r="H313" s="7" t="s">
        <v>440</v>
      </c>
      <c r="I313" s="8" t="s">
        <v>441</v>
      </c>
      <c r="J313" s="2"/>
      <c r="K313" s="2"/>
      <c r="L313" s="2"/>
      <c r="M313" s="2"/>
      <c r="N313" s="2"/>
      <c r="O313" s="2"/>
      <c r="P313" s="2"/>
      <c r="Q313" s="2"/>
    </row>
    <row r="314" spans="1:17" ht="30" customHeight="1" x14ac:dyDescent="0.5">
      <c r="A314" s="7" t="s">
        <v>263</v>
      </c>
      <c r="B314" s="7" t="s">
        <v>430</v>
      </c>
      <c r="C314" s="8">
        <v>1204700010003</v>
      </c>
      <c r="D314" s="7" t="s">
        <v>96</v>
      </c>
      <c r="E314" s="7" t="s">
        <v>443</v>
      </c>
      <c r="F314" s="7">
        <v>2009</v>
      </c>
      <c r="G314" s="7" t="s">
        <v>19</v>
      </c>
      <c r="H314" s="7" t="s">
        <v>10</v>
      </c>
      <c r="I314" s="8" t="s">
        <v>444</v>
      </c>
      <c r="J314" s="2"/>
      <c r="K314" s="2"/>
      <c r="L314" s="2"/>
      <c r="M314" s="2"/>
      <c r="N314" s="2"/>
      <c r="O314" s="2"/>
      <c r="P314" s="2"/>
      <c r="Q314" s="2"/>
    </row>
    <row r="315" spans="1:17" ht="30" customHeight="1" x14ac:dyDescent="0.5">
      <c r="A315" s="7" t="s">
        <v>263</v>
      </c>
      <c r="B315" s="7" t="s">
        <v>430</v>
      </c>
      <c r="C315" s="8">
        <v>1204700020003</v>
      </c>
      <c r="D315" s="7" t="s">
        <v>13</v>
      </c>
      <c r="E315" s="7" t="s">
        <v>447</v>
      </c>
      <c r="F315" s="7">
        <v>2010</v>
      </c>
      <c r="G315" s="7" t="s">
        <v>19</v>
      </c>
      <c r="H315" s="7" t="s">
        <v>5</v>
      </c>
      <c r="I315" s="8" t="s">
        <v>448</v>
      </c>
      <c r="J315" s="2"/>
      <c r="K315" s="2"/>
      <c r="L315" s="2"/>
      <c r="M315" s="2"/>
      <c r="N315" s="2"/>
      <c r="O315" s="2"/>
      <c r="P315" s="2"/>
      <c r="Q315" s="2"/>
    </row>
    <row r="316" spans="1:17" ht="30" customHeight="1" x14ac:dyDescent="0.5">
      <c r="A316" s="7" t="s">
        <v>263</v>
      </c>
      <c r="B316" s="7" t="s">
        <v>430</v>
      </c>
      <c r="C316" s="8">
        <v>1204700020003</v>
      </c>
      <c r="D316" s="7" t="s">
        <v>13</v>
      </c>
      <c r="E316" s="7" t="s">
        <v>449</v>
      </c>
      <c r="F316" s="7">
        <v>2012</v>
      </c>
      <c r="G316" s="7" t="s">
        <v>19</v>
      </c>
      <c r="H316" s="7" t="s">
        <v>10</v>
      </c>
      <c r="I316" s="8" t="s">
        <v>450</v>
      </c>
      <c r="J316" s="2"/>
      <c r="K316" s="2"/>
      <c r="L316" s="2"/>
      <c r="M316" s="2"/>
      <c r="N316" s="2"/>
      <c r="O316" s="2"/>
      <c r="P316" s="2"/>
      <c r="Q316" s="2"/>
    </row>
    <row r="317" spans="1:17" ht="30" customHeight="1" x14ac:dyDescent="0.5">
      <c r="A317" s="7" t="s">
        <v>263</v>
      </c>
      <c r="B317" s="7" t="s">
        <v>430</v>
      </c>
      <c r="C317" s="8">
        <v>1205700010001</v>
      </c>
      <c r="D317" s="7" t="s">
        <v>388</v>
      </c>
      <c r="E317" s="7" t="s">
        <v>451</v>
      </c>
      <c r="F317" s="7">
        <v>2006</v>
      </c>
      <c r="G317" s="7" t="s">
        <v>19</v>
      </c>
      <c r="H317" s="7" t="s">
        <v>20</v>
      </c>
      <c r="I317" s="8" t="s">
        <v>452</v>
      </c>
      <c r="J317" s="2"/>
      <c r="K317" s="2"/>
      <c r="L317" s="2"/>
      <c r="M317" s="2"/>
      <c r="N317" s="2"/>
      <c r="O317" s="2"/>
      <c r="P317" s="2"/>
      <c r="Q317" s="2"/>
    </row>
    <row r="318" spans="1:17" ht="30" customHeight="1" x14ac:dyDescent="0.5">
      <c r="A318" s="7" t="s">
        <v>263</v>
      </c>
      <c r="B318" s="7" t="s">
        <v>453</v>
      </c>
      <c r="C318" s="8">
        <v>1204700020002</v>
      </c>
      <c r="D318" s="7" t="s">
        <v>178</v>
      </c>
      <c r="E318" s="7" t="s">
        <v>457</v>
      </c>
      <c r="F318" s="7">
        <v>2011</v>
      </c>
      <c r="G318" s="7" t="s">
        <v>19</v>
      </c>
      <c r="H318" s="7" t="s">
        <v>10</v>
      </c>
      <c r="I318" s="8" t="s">
        <v>458</v>
      </c>
      <c r="J318" s="2"/>
      <c r="K318" s="2"/>
      <c r="L318" s="2"/>
      <c r="M318" s="2"/>
      <c r="N318" s="2"/>
      <c r="O318" s="2"/>
      <c r="P318" s="2"/>
      <c r="Q318" s="2"/>
    </row>
    <row r="319" spans="1:17" ht="30" customHeight="1" x14ac:dyDescent="0.5">
      <c r="A319" s="7" t="s">
        <v>263</v>
      </c>
      <c r="B319" s="7" t="s">
        <v>453</v>
      </c>
      <c r="C319" s="8">
        <v>1204700020003</v>
      </c>
      <c r="D319" s="7" t="s">
        <v>13</v>
      </c>
      <c r="E319" s="7" t="s">
        <v>459</v>
      </c>
      <c r="F319" s="7">
        <v>2006</v>
      </c>
      <c r="G319" s="7" t="s">
        <v>19</v>
      </c>
      <c r="H319" s="7" t="s">
        <v>10</v>
      </c>
      <c r="I319" s="8" t="s">
        <v>460</v>
      </c>
      <c r="J319" s="2"/>
      <c r="K319" s="2"/>
      <c r="L319" s="2"/>
      <c r="M319" s="2"/>
      <c r="N319" s="2"/>
      <c r="O319" s="2"/>
      <c r="P319" s="2"/>
      <c r="Q319" s="2"/>
    </row>
    <row r="320" spans="1:17" ht="30" customHeight="1" x14ac:dyDescent="0.5">
      <c r="A320" s="7" t="s">
        <v>263</v>
      </c>
      <c r="B320" s="7" t="s">
        <v>453</v>
      </c>
      <c r="C320" s="8">
        <v>1204700020003</v>
      </c>
      <c r="D320" s="7" t="s">
        <v>13</v>
      </c>
      <c r="E320" s="7" t="s">
        <v>461</v>
      </c>
      <c r="F320" s="7">
        <v>2012</v>
      </c>
      <c r="G320" s="7" t="s">
        <v>19</v>
      </c>
      <c r="H320" s="7" t="s">
        <v>10</v>
      </c>
      <c r="I320" s="8" t="s">
        <v>462</v>
      </c>
      <c r="J320" s="2"/>
      <c r="K320" s="2"/>
      <c r="L320" s="2"/>
      <c r="M320" s="2"/>
      <c r="N320" s="2"/>
      <c r="O320" s="2"/>
      <c r="P320" s="2"/>
      <c r="Q320" s="2"/>
    </row>
    <row r="321" spans="1:17" ht="30" customHeight="1" x14ac:dyDescent="0.5">
      <c r="A321" s="7" t="s">
        <v>263</v>
      </c>
      <c r="B321" s="7" t="s">
        <v>453</v>
      </c>
      <c r="C321" s="8">
        <v>1204700030001</v>
      </c>
      <c r="D321" s="7" t="s">
        <v>17</v>
      </c>
      <c r="E321" s="7" t="s">
        <v>463</v>
      </c>
      <c r="F321" s="7">
        <v>2010</v>
      </c>
      <c r="G321" s="7" t="s">
        <v>19</v>
      </c>
      <c r="H321" s="7" t="s">
        <v>384</v>
      </c>
      <c r="I321" s="8" t="s">
        <v>464</v>
      </c>
      <c r="J321" s="2"/>
      <c r="K321" s="2"/>
      <c r="L321" s="2"/>
      <c r="M321" s="2"/>
      <c r="N321" s="2"/>
      <c r="O321" s="2"/>
      <c r="P321" s="2"/>
      <c r="Q321" s="2"/>
    </row>
    <row r="322" spans="1:17" ht="30" customHeight="1" x14ac:dyDescent="0.5">
      <c r="A322" s="7" t="s">
        <v>263</v>
      </c>
      <c r="B322" s="7" t="s">
        <v>465</v>
      </c>
      <c r="C322" s="8">
        <v>1104700010004</v>
      </c>
      <c r="D322" s="7" t="s">
        <v>466</v>
      </c>
      <c r="E322" s="7" t="s">
        <v>467</v>
      </c>
      <c r="F322" s="7">
        <v>2004</v>
      </c>
      <c r="G322" s="7" t="s">
        <v>19</v>
      </c>
      <c r="H322" s="7" t="s">
        <v>5</v>
      </c>
      <c r="I322" s="8" t="s">
        <v>468</v>
      </c>
      <c r="J322" s="2"/>
      <c r="K322" s="2"/>
      <c r="L322" s="2"/>
      <c r="M322" s="2"/>
      <c r="N322" s="2"/>
      <c r="O322" s="2"/>
      <c r="P322" s="2"/>
      <c r="Q322" s="2"/>
    </row>
    <row r="323" spans="1:17" ht="30" customHeight="1" x14ac:dyDescent="0.5">
      <c r="A323" s="7" t="s">
        <v>263</v>
      </c>
      <c r="B323" s="7" t="s">
        <v>465</v>
      </c>
      <c r="C323" s="8">
        <v>1105700010004</v>
      </c>
      <c r="D323" s="7" t="s">
        <v>435</v>
      </c>
      <c r="E323" s="7" t="s">
        <v>469</v>
      </c>
      <c r="F323" s="7">
        <v>2015</v>
      </c>
      <c r="G323" s="7" t="s">
        <v>19</v>
      </c>
      <c r="H323" s="7" t="s">
        <v>42</v>
      </c>
      <c r="I323" s="8" t="s">
        <v>470</v>
      </c>
      <c r="J323" s="2"/>
      <c r="K323" s="2"/>
      <c r="L323" s="2"/>
      <c r="M323" s="2"/>
      <c r="N323" s="2"/>
      <c r="O323" s="2"/>
      <c r="P323" s="2"/>
      <c r="Q323" s="2"/>
    </row>
    <row r="324" spans="1:17" ht="30" customHeight="1" x14ac:dyDescent="0.5">
      <c r="A324" s="7" t="s">
        <v>263</v>
      </c>
      <c r="B324" s="7" t="s">
        <v>465</v>
      </c>
      <c r="C324" s="8">
        <v>1204700010003</v>
      </c>
      <c r="D324" s="7" t="s">
        <v>96</v>
      </c>
      <c r="E324" s="7" t="s">
        <v>473</v>
      </c>
      <c r="F324" s="7">
        <v>2005</v>
      </c>
      <c r="G324" s="7" t="s">
        <v>4</v>
      </c>
      <c r="H324" s="7" t="s">
        <v>10</v>
      </c>
      <c r="I324" s="8" t="s">
        <v>474</v>
      </c>
      <c r="J324" s="2"/>
      <c r="K324" s="2"/>
      <c r="L324" s="2"/>
      <c r="M324" s="2"/>
      <c r="N324" s="2"/>
      <c r="O324" s="2"/>
      <c r="P324" s="2"/>
      <c r="Q324" s="2"/>
    </row>
    <row r="325" spans="1:17" ht="30" customHeight="1" x14ac:dyDescent="0.5">
      <c r="A325" s="7" t="s">
        <v>263</v>
      </c>
      <c r="B325" s="7" t="s">
        <v>465</v>
      </c>
      <c r="C325" s="8">
        <v>1204700020002</v>
      </c>
      <c r="D325" s="7" t="s">
        <v>178</v>
      </c>
      <c r="E325" s="7" t="s">
        <v>477</v>
      </c>
      <c r="F325" s="7">
        <v>2011</v>
      </c>
      <c r="G325" s="7" t="s">
        <v>19</v>
      </c>
      <c r="H325" s="7" t="s">
        <v>10</v>
      </c>
      <c r="I325" s="8" t="s">
        <v>478</v>
      </c>
      <c r="J325" s="2"/>
      <c r="K325" s="2"/>
      <c r="L325" s="2"/>
      <c r="M325" s="2"/>
      <c r="N325" s="2"/>
      <c r="O325" s="2"/>
      <c r="P325" s="2"/>
      <c r="Q325" s="2"/>
    </row>
    <row r="326" spans="1:17" ht="30" customHeight="1" x14ac:dyDescent="0.5">
      <c r="A326" s="7" t="s">
        <v>263</v>
      </c>
      <c r="B326" s="7" t="s">
        <v>465</v>
      </c>
      <c r="C326" s="8">
        <v>1204700020003</v>
      </c>
      <c r="D326" s="7" t="s">
        <v>13</v>
      </c>
      <c r="E326" s="7" t="s">
        <v>481</v>
      </c>
      <c r="F326" s="7">
        <v>2002</v>
      </c>
      <c r="G326" s="7" t="s">
        <v>19</v>
      </c>
      <c r="H326" s="7" t="s">
        <v>10</v>
      </c>
      <c r="I326" s="8" t="s">
        <v>482</v>
      </c>
      <c r="J326" s="2"/>
      <c r="K326" s="2"/>
      <c r="L326" s="2"/>
      <c r="M326" s="2"/>
      <c r="N326" s="2"/>
      <c r="O326" s="2"/>
      <c r="P326" s="2"/>
      <c r="Q326" s="2"/>
    </row>
    <row r="327" spans="1:17" ht="30" customHeight="1" x14ac:dyDescent="0.5">
      <c r="A327" s="7" t="s">
        <v>263</v>
      </c>
      <c r="B327" s="7" t="s">
        <v>465</v>
      </c>
      <c r="C327" s="8">
        <v>1204700030001</v>
      </c>
      <c r="D327" s="7" t="s">
        <v>17</v>
      </c>
      <c r="E327" s="7" t="s">
        <v>483</v>
      </c>
      <c r="F327" s="7">
        <v>2009</v>
      </c>
      <c r="G327" s="7" t="s">
        <v>19</v>
      </c>
      <c r="H327" s="7" t="s">
        <v>384</v>
      </c>
      <c r="I327" s="8" t="s">
        <v>484</v>
      </c>
      <c r="J327" s="2"/>
      <c r="K327" s="2"/>
      <c r="L327" s="2"/>
      <c r="M327" s="2"/>
      <c r="N327" s="2"/>
      <c r="O327" s="2"/>
      <c r="P327" s="2"/>
      <c r="Q327" s="2"/>
    </row>
    <row r="328" spans="1:17" ht="30" customHeight="1" x14ac:dyDescent="0.5">
      <c r="A328" s="7" t="s">
        <v>263</v>
      </c>
      <c r="B328" s="7" t="s">
        <v>485</v>
      </c>
      <c r="C328" s="8">
        <v>1101700010006</v>
      </c>
      <c r="D328" s="7" t="s">
        <v>1551</v>
      </c>
      <c r="E328" s="7" t="s">
        <v>486</v>
      </c>
      <c r="F328" s="7">
        <v>2015</v>
      </c>
      <c r="G328" s="7" t="s">
        <v>19</v>
      </c>
      <c r="H328" s="7" t="s">
        <v>52</v>
      </c>
      <c r="I328" s="8" t="s">
        <v>487</v>
      </c>
      <c r="J328" s="2"/>
      <c r="K328" s="2"/>
      <c r="L328" s="2"/>
      <c r="M328" s="2"/>
      <c r="N328" s="2"/>
      <c r="O328" s="2"/>
      <c r="P328" s="2"/>
      <c r="Q328" s="2"/>
    </row>
    <row r="329" spans="1:17" ht="30" customHeight="1" x14ac:dyDescent="0.5">
      <c r="A329" s="7" t="s">
        <v>263</v>
      </c>
      <c r="B329" s="7" t="s">
        <v>485</v>
      </c>
      <c r="C329" s="8">
        <v>1104700020001</v>
      </c>
      <c r="D329" s="7" t="s">
        <v>431</v>
      </c>
      <c r="E329" s="7" t="s">
        <v>488</v>
      </c>
      <c r="F329" s="7">
        <v>2012</v>
      </c>
      <c r="G329" s="7" t="s">
        <v>433</v>
      </c>
      <c r="H329" s="7" t="s">
        <v>236</v>
      </c>
      <c r="I329" s="8" t="s">
        <v>489</v>
      </c>
      <c r="J329" s="2"/>
      <c r="K329" s="2"/>
      <c r="L329" s="2"/>
      <c r="M329" s="2"/>
      <c r="N329" s="2"/>
      <c r="O329" s="2"/>
      <c r="P329" s="2"/>
      <c r="Q329" s="2"/>
    </row>
    <row r="330" spans="1:17" ht="30" customHeight="1" x14ac:dyDescent="0.5">
      <c r="A330" s="7" t="s">
        <v>263</v>
      </c>
      <c r="B330" s="7" t="s">
        <v>485</v>
      </c>
      <c r="C330" s="8">
        <v>1106700020003</v>
      </c>
      <c r="D330" s="7" t="s">
        <v>54</v>
      </c>
      <c r="E330" s="7" t="s">
        <v>492</v>
      </c>
      <c r="F330" s="7">
        <v>2016</v>
      </c>
      <c r="G330" s="7" t="s">
        <v>19</v>
      </c>
      <c r="H330" s="7" t="s">
        <v>56</v>
      </c>
      <c r="I330" s="8" t="s">
        <v>493</v>
      </c>
      <c r="J330" s="2"/>
      <c r="K330" s="2"/>
      <c r="L330" s="2"/>
      <c r="M330" s="2"/>
      <c r="N330" s="2"/>
      <c r="O330" s="2"/>
      <c r="P330" s="2"/>
      <c r="Q330" s="2"/>
    </row>
    <row r="331" spans="1:17" ht="30" customHeight="1" x14ac:dyDescent="0.5">
      <c r="A331" s="7" t="s">
        <v>263</v>
      </c>
      <c r="B331" s="7" t="s">
        <v>485</v>
      </c>
      <c r="C331" s="8">
        <v>1204700010003</v>
      </c>
      <c r="D331" s="7" t="s">
        <v>96</v>
      </c>
      <c r="E331" s="7" t="s">
        <v>496</v>
      </c>
      <c r="F331" s="7">
        <v>2005</v>
      </c>
      <c r="G331" s="7" t="s">
        <v>4</v>
      </c>
      <c r="H331" s="7" t="s">
        <v>10</v>
      </c>
      <c r="I331" s="8" t="s">
        <v>497</v>
      </c>
      <c r="J331" s="2"/>
      <c r="K331" s="2"/>
      <c r="L331" s="2"/>
      <c r="M331" s="2"/>
      <c r="N331" s="2"/>
      <c r="O331" s="2"/>
      <c r="P331" s="2"/>
      <c r="Q331" s="2"/>
    </row>
    <row r="332" spans="1:17" ht="30" customHeight="1" x14ac:dyDescent="0.5">
      <c r="A332" s="7" t="s">
        <v>263</v>
      </c>
      <c r="B332" s="7" t="s">
        <v>485</v>
      </c>
      <c r="C332" s="8">
        <v>1204700020002</v>
      </c>
      <c r="D332" s="7" t="s">
        <v>178</v>
      </c>
      <c r="E332" s="7" t="s">
        <v>498</v>
      </c>
      <c r="F332" s="7">
        <v>2013</v>
      </c>
      <c r="G332" s="7" t="s">
        <v>19</v>
      </c>
      <c r="H332" s="7" t="s">
        <v>10</v>
      </c>
      <c r="I332" s="8" t="s">
        <v>499</v>
      </c>
      <c r="J332" s="2"/>
      <c r="K332" s="2"/>
      <c r="L332" s="2"/>
      <c r="M332" s="2"/>
      <c r="N332" s="2"/>
      <c r="O332" s="2"/>
      <c r="P332" s="2"/>
      <c r="Q332" s="2"/>
    </row>
    <row r="333" spans="1:17" ht="30" customHeight="1" x14ac:dyDescent="0.5">
      <c r="A333" s="7" t="s">
        <v>263</v>
      </c>
      <c r="B333" s="7" t="s">
        <v>485</v>
      </c>
      <c r="C333" s="8">
        <v>1204700020002</v>
      </c>
      <c r="D333" s="7" t="s">
        <v>178</v>
      </c>
      <c r="E333" s="7" t="s">
        <v>500</v>
      </c>
      <c r="F333" s="7">
        <v>2013</v>
      </c>
      <c r="G333" s="7" t="s">
        <v>19</v>
      </c>
      <c r="H333" s="7" t="s">
        <v>10</v>
      </c>
      <c r="I333" s="8" t="s">
        <v>501</v>
      </c>
      <c r="J333" s="2"/>
      <c r="K333" s="2"/>
      <c r="L333" s="2"/>
      <c r="M333" s="2"/>
      <c r="N333" s="2"/>
      <c r="O333" s="2"/>
      <c r="P333" s="2"/>
      <c r="Q333" s="2"/>
    </row>
    <row r="334" spans="1:17" ht="30" customHeight="1" x14ac:dyDescent="0.5">
      <c r="A334" s="7" t="s">
        <v>263</v>
      </c>
      <c r="B334" s="7" t="s">
        <v>485</v>
      </c>
      <c r="C334" s="8">
        <v>1204700020003</v>
      </c>
      <c r="D334" s="7" t="s">
        <v>13</v>
      </c>
      <c r="E334" s="7" t="s">
        <v>502</v>
      </c>
      <c r="F334" s="7">
        <v>2012</v>
      </c>
      <c r="G334" s="7" t="s">
        <v>19</v>
      </c>
      <c r="H334" s="7" t="s">
        <v>10</v>
      </c>
      <c r="I334" s="8" t="s">
        <v>503</v>
      </c>
      <c r="J334" s="2"/>
      <c r="K334" s="2"/>
      <c r="L334" s="2"/>
      <c r="M334" s="2"/>
      <c r="N334" s="2"/>
      <c r="O334" s="2"/>
      <c r="P334" s="2"/>
      <c r="Q334" s="2"/>
    </row>
    <row r="335" spans="1:17" ht="30" customHeight="1" x14ac:dyDescent="0.5">
      <c r="A335" s="7" t="s">
        <v>263</v>
      </c>
      <c r="B335" s="7" t="s">
        <v>485</v>
      </c>
      <c r="C335" s="8">
        <v>1303700020001</v>
      </c>
      <c r="D335" s="7" t="s">
        <v>506</v>
      </c>
      <c r="E335" s="7" t="s">
        <v>507</v>
      </c>
      <c r="F335" s="7">
        <v>2023</v>
      </c>
      <c r="G335" s="7" t="s">
        <v>19</v>
      </c>
      <c r="H335" s="7" t="s">
        <v>423</v>
      </c>
      <c r="I335" s="8" t="s">
        <v>508</v>
      </c>
      <c r="J335" s="2"/>
      <c r="K335" s="2"/>
      <c r="L335" s="2"/>
      <c r="M335" s="2"/>
      <c r="N335" s="2"/>
      <c r="O335" s="2"/>
      <c r="P335" s="2"/>
      <c r="Q335" s="2"/>
    </row>
    <row r="336" spans="1:17" ht="30" customHeight="1" x14ac:dyDescent="0.5">
      <c r="A336" s="7" t="s">
        <v>263</v>
      </c>
      <c r="B336" s="7" t="s">
        <v>509</v>
      </c>
      <c r="C336" s="8">
        <v>1204700010003</v>
      </c>
      <c r="D336" s="7" t="s">
        <v>96</v>
      </c>
      <c r="E336" s="7" t="s">
        <v>518</v>
      </c>
      <c r="F336" s="7">
        <v>2002</v>
      </c>
      <c r="G336" s="7" t="s">
        <v>4</v>
      </c>
      <c r="H336" s="7" t="s">
        <v>15</v>
      </c>
      <c r="I336" s="8" t="s">
        <v>519</v>
      </c>
      <c r="J336" s="2"/>
      <c r="K336" s="2"/>
      <c r="L336" s="2"/>
      <c r="M336" s="2"/>
      <c r="N336" s="2"/>
      <c r="O336" s="2"/>
      <c r="P336" s="2"/>
      <c r="Q336" s="2"/>
    </row>
    <row r="337" spans="1:17" ht="30" customHeight="1" x14ac:dyDescent="0.5">
      <c r="A337" s="7" t="s">
        <v>263</v>
      </c>
      <c r="B337" s="7" t="s">
        <v>509</v>
      </c>
      <c r="C337" s="8">
        <v>1204700020002</v>
      </c>
      <c r="D337" s="7" t="s">
        <v>178</v>
      </c>
      <c r="E337" s="7" t="s">
        <v>520</v>
      </c>
      <c r="F337" s="7">
        <v>2013</v>
      </c>
      <c r="G337" s="7" t="s">
        <v>19</v>
      </c>
      <c r="H337" s="7" t="s">
        <v>10</v>
      </c>
      <c r="I337" s="8" t="s">
        <v>521</v>
      </c>
      <c r="J337" s="2"/>
      <c r="K337" s="2"/>
      <c r="L337" s="2"/>
      <c r="M337" s="2"/>
      <c r="N337" s="2"/>
      <c r="O337" s="2"/>
      <c r="P337" s="2"/>
      <c r="Q337" s="2"/>
    </row>
    <row r="338" spans="1:17" ht="30" customHeight="1" x14ac:dyDescent="0.5">
      <c r="A338" s="7" t="s">
        <v>263</v>
      </c>
      <c r="B338" s="7" t="s">
        <v>509</v>
      </c>
      <c r="C338" s="8">
        <v>1204700020002</v>
      </c>
      <c r="D338" s="7" t="s">
        <v>178</v>
      </c>
      <c r="E338" s="7" t="s">
        <v>522</v>
      </c>
      <c r="F338" s="7">
        <v>2013</v>
      </c>
      <c r="G338" s="7" t="s">
        <v>19</v>
      </c>
      <c r="H338" s="7" t="s">
        <v>10</v>
      </c>
      <c r="I338" s="8" t="s">
        <v>523</v>
      </c>
      <c r="J338" s="2"/>
      <c r="K338" s="2"/>
      <c r="L338" s="2"/>
      <c r="M338" s="2"/>
      <c r="N338" s="2"/>
      <c r="O338" s="2"/>
      <c r="P338" s="2"/>
      <c r="Q338" s="2"/>
    </row>
    <row r="339" spans="1:17" ht="30" customHeight="1" x14ac:dyDescent="0.5">
      <c r="A339" s="7" t="s">
        <v>263</v>
      </c>
      <c r="B339" s="7" t="s">
        <v>509</v>
      </c>
      <c r="C339" s="8">
        <v>1204700020003</v>
      </c>
      <c r="D339" s="7" t="s">
        <v>13</v>
      </c>
      <c r="E339" s="7" t="s">
        <v>524</v>
      </c>
      <c r="F339" s="7">
        <v>2009</v>
      </c>
      <c r="G339" s="7" t="s">
        <v>19</v>
      </c>
      <c r="H339" s="7" t="s">
        <v>10</v>
      </c>
      <c r="I339" s="8" t="s">
        <v>525</v>
      </c>
      <c r="J339" s="2"/>
      <c r="K339" s="2"/>
      <c r="L339" s="2"/>
      <c r="M339" s="2"/>
      <c r="N339" s="2"/>
      <c r="O339" s="2"/>
      <c r="P339" s="2"/>
      <c r="Q339" s="2"/>
    </row>
    <row r="340" spans="1:17" ht="30" customHeight="1" x14ac:dyDescent="0.5">
      <c r="A340" s="7" t="s">
        <v>263</v>
      </c>
      <c r="B340" s="7" t="s">
        <v>509</v>
      </c>
      <c r="C340" s="8">
        <v>1204700020009</v>
      </c>
      <c r="D340" s="7" t="s">
        <v>29</v>
      </c>
      <c r="E340" s="7" t="s">
        <v>530</v>
      </c>
      <c r="F340" s="7">
        <v>2016</v>
      </c>
      <c r="G340" s="7" t="s">
        <v>19</v>
      </c>
      <c r="H340" s="7" t="s">
        <v>261</v>
      </c>
      <c r="I340" s="8" t="s">
        <v>531</v>
      </c>
      <c r="J340" s="2"/>
      <c r="K340" s="2"/>
      <c r="L340" s="2"/>
      <c r="M340" s="2"/>
      <c r="N340" s="2"/>
      <c r="O340" s="2"/>
      <c r="P340" s="2"/>
      <c r="Q340" s="2"/>
    </row>
    <row r="341" spans="1:17" ht="30" customHeight="1" x14ac:dyDescent="0.5">
      <c r="A341" s="7" t="s">
        <v>263</v>
      </c>
      <c r="B341" s="7" t="s">
        <v>509</v>
      </c>
      <c r="C341" s="8">
        <v>1204700030001</v>
      </c>
      <c r="D341" s="7" t="s">
        <v>17</v>
      </c>
      <c r="E341" s="7" t="s">
        <v>532</v>
      </c>
      <c r="F341" s="7">
        <v>2008</v>
      </c>
      <c r="G341" s="7" t="s">
        <v>19</v>
      </c>
      <c r="H341" s="7" t="s">
        <v>20</v>
      </c>
      <c r="I341" s="8" t="s">
        <v>533</v>
      </c>
      <c r="J341" s="2"/>
      <c r="K341" s="2"/>
      <c r="L341" s="2"/>
      <c r="M341" s="2"/>
      <c r="N341" s="2"/>
      <c r="O341" s="2"/>
      <c r="P341" s="2"/>
      <c r="Q341" s="2"/>
    </row>
    <row r="342" spans="1:17" ht="30" customHeight="1" x14ac:dyDescent="0.5">
      <c r="A342" s="7" t="s">
        <v>263</v>
      </c>
      <c r="B342" s="7" t="s">
        <v>534</v>
      </c>
      <c r="C342" s="8">
        <v>1204700020002</v>
      </c>
      <c r="D342" s="7" t="s">
        <v>178</v>
      </c>
      <c r="E342" s="7" t="s">
        <v>541</v>
      </c>
      <c r="F342" s="7">
        <v>2013</v>
      </c>
      <c r="G342" s="7" t="s">
        <v>19</v>
      </c>
      <c r="H342" s="7" t="s">
        <v>10</v>
      </c>
      <c r="I342" s="8" t="s">
        <v>542</v>
      </c>
      <c r="J342" s="2"/>
      <c r="K342" s="2"/>
      <c r="L342" s="2"/>
      <c r="M342" s="2"/>
      <c r="N342" s="2"/>
      <c r="O342" s="2"/>
      <c r="P342" s="2"/>
      <c r="Q342" s="2"/>
    </row>
    <row r="343" spans="1:17" ht="30" customHeight="1" x14ac:dyDescent="0.5">
      <c r="A343" s="7" t="s">
        <v>263</v>
      </c>
      <c r="B343" s="7" t="s">
        <v>534</v>
      </c>
      <c r="C343" s="8">
        <v>1204700020003</v>
      </c>
      <c r="D343" s="7" t="s">
        <v>13</v>
      </c>
      <c r="E343" s="7" t="s">
        <v>545</v>
      </c>
      <c r="F343" s="7">
        <v>2005</v>
      </c>
      <c r="G343" s="7" t="s">
        <v>4</v>
      </c>
      <c r="H343" s="7" t="s">
        <v>5</v>
      </c>
      <c r="I343" s="8" t="s">
        <v>546</v>
      </c>
      <c r="J343" s="2"/>
      <c r="K343" s="2"/>
      <c r="L343" s="2"/>
      <c r="M343" s="2"/>
      <c r="N343" s="2"/>
      <c r="O343" s="2"/>
      <c r="P343" s="2"/>
      <c r="Q343" s="2"/>
    </row>
    <row r="344" spans="1:17" ht="30" customHeight="1" x14ac:dyDescent="0.5">
      <c r="A344" s="7" t="s">
        <v>263</v>
      </c>
      <c r="B344" s="7" t="s">
        <v>534</v>
      </c>
      <c r="C344" s="8">
        <v>1204700020003</v>
      </c>
      <c r="D344" s="7" t="s">
        <v>13</v>
      </c>
      <c r="E344" s="7" t="s">
        <v>547</v>
      </c>
      <c r="F344" s="7">
        <v>2012</v>
      </c>
      <c r="G344" s="7" t="s">
        <v>19</v>
      </c>
      <c r="H344" s="7" t="s">
        <v>10</v>
      </c>
      <c r="I344" s="8" t="s">
        <v>548</v>
      </c>
      <c r="J344" s="2"/>
      <c r="K344" s="2"/>
      <c r="L344" s="2"/>
      <c r="M344" s="2"/>
      <c r="N344" s="2"/>
      <c r="O344" s="2"/>
      <c r="P344" s="2"/>
      <c r="Q344" s="2"/>
    </row>
    <row r="345" spans="1:17" ht="30" customHeight="1" x14ac:dyDescent="0.5">
      <c r="A345" s="7" t="s">
        <v>263</v>
      </c>
      <c r="B345" s="7" t="s">
        <v>534</v>
      </c>
      <c r="C345" s="8">
        <v>1205700020004</v>
      </c>
      <c r="D345" s="7" t="s">
        <v>549</v>
      </c>
      <c r="E345" s="7" t="s">
        <v>550</v>
      </c>
      <c r="F345" s="7">
        <v>2002</v>
      </c>
      <c r="G345" s="7" t="s">
        <v>4</v>
      </c>
      <c r="H345" s="7" t="s">
        <v>20</v>
      </c>
      <c r="I345" s="8" t="s">
        <v>551</v>
      </c>
      <c r="J345" s="2"/>
      <c r="K345" s="2"/>
      <c r="L345" s="2"/>
      <c r="M345" s="2"/>
      <c r="N345" s="2"/>
      <c r="O345" s="2"/>
      <c r="P345" s="2"/>
      <c r="Q345" s="2"/>
    </row>
    <row r="346" spans="1:17" ht="30" customHeight="1" x14ac:dyDescent="0.5">
      <c r="A346" s="7" t="s">
        <v>263</v>
      </c>
      <c r="B346" s="7" t="s">
        <v>552</v>
      </c>
      <c r="C346" s="8">
        <v>1105700010006</v>
      </c>
      <c r="D346" s="7" t="s">
        <v>454</v>
      </c>
      <c r="E346" s="7" t="s">
        <v>555</v>
      </c>
      <c r="F346" s="7">
        <v>2012</v>
      </c>
      <c r="G346" s="7" t="s">
        <v>19</v>
      </c>
      <c r="H346" s="7" t="s">
        <v>42</v>
      </c>
      <c r="I346" s="8" t="s">
        <v>556</v>
      </c>
      <c r="J346" s="2"/>
      <c r="K346" s="2"/>
      <c r="L346" s="2"/>
      <c r="M346" s="2"/>
      <c r="N346" s="2"/>
      <c r="O346" s="2"/>
      <c r="P346" s="2"/>
      <c r="Q346" s="2"/>
    </row>
    <row r="347" spans="1:17" ht="30" customHeight="1" x14ac:dyDescent="0.5">
      <c r="A347" s="7" t="s">
        <v>263</v>
      </c>
      <c r="B347" s="7" t="s">
        <v>552</v>
      </c>
      <c r="C347" s="8">
        <v>1106700010003</v>
      </c>
      <c r="D347" s="7" t="s">
        <v>102</v>
      </c>
      <c r="E347" s="7" t="s">
        <v>557</v>
      </c>
      <c r="F347" s="7">
        <v>1991</v>
      </c>
      <c r="G347" s="7" t="s">
        <v>19</v>
      </c>
      <c r="H347" s="7" t="s">
        <v>104</v>
      </c>
      <c r="I347" s="8">
        <v>34600152717337</v>
      </c>
      <c r="J347" s="2"/>
      <c r="K347" s="2"/>
      <c r="L347" s="2"/>
      <c r="M347" s="2"/>
      <c r="N347" s="2"/>
      <c r="O347" s="2"/>
      <c r="P347" s="2"/>
      <c r="Q347" s="2"/>
    </row>
    <row r="348" spans="1:17" ht="30" customHeight="1" x14ac:dyDescent="0.5">
      <c r="A348" s="7" t="s">
        <v>263</v>
      </c>
      <c r="B348" s="7" t="s">
        <v>552</v>
      </c>
      <c r="C348" s="8">
        <v>1204700010002</v>
      </c>
      <c r="D348" s="7" t="s">
        <v>265</v>
      </c>
      <c r="E348" s="7" t="s">
        <v>558</v>
      </c>
      <c r="F348" s="7">
        <v>2003</v>
      </c>
      <c r="G348" s="7" t="s">
        <v>4</v>
      </c>
      <c r="H348" s="7" t="s">
        <v>10</v>
      </c>
      <c r="I348" s="8" t="s">
        <v>559</v>
      </c>
      <c r="J348" s="2"/>
      <c r="K348" s="2"/>
      <c r="L348" s="2"/>
      <c r="M348" s="2"/>
      <c r="N348" s="2"/>
      <c r="O348" s="2"/>
      <c r="P348" s="2"/>
      <c r="Q348" s="2"/>
    </row>
    <row r="349" spans="1:17" ht="30" customHeight="1" x14ac:dyDescent="0.5">
      <c r="A349" s="7" t="s">
        <v>263</v>
      </c>
      <c r="B349" s="7" t="s">
        <v>552</v>
      </c>
      <c r="C349" s="8">
        <v>1204700020002</v>
      </c>
      <c r="D349" s="7" t="s">
        <v>178</v>
      </c>
      <c r="E349" s="7" t="s">
        <v>562</v>
      </c>
      <c r="F349" s="7">
        <v>2013</v>
      </c>
      <c r="G349" s="7" t="s">
        <v>19</v>
      </c>
      <c r="H349" s="7" t="s">
        <v>10</v>
      </c>
      <c r="I349" s="8" t="s">
        <v>563</v>
      </c>
      <c r="J349" s="2"/>
      <c r="K349" s="2"/>
      <c r="L349" s="2"/>
      <c r="M349" s="2"/>
      <c r="N349" s="2"/>
      <c r="O349" s="2"/>
      <c r="P349" s="2"/>
      <c r="Q349" s="2"/>
    </row>
    <row r="350" spans="1:17" ht="30" customHeight="1" x14ac:dyDescent="0.5">
      <c r="A350" s="7" t="s">
        <v>263</v>
      </c>
      <c r="B350" s="7" t="s">
        <v>552</v>
      </c>
      <c r="C350" s="8">
        <v>1204700020002</v>
      </c>
      <c r="D350" s="7" t="s">
        <v>178</v>
      </c>
      <c r="E350" s="7" t="s">
        <v>564</v>
      </c>
      <c r="F350" s="7">
        <v>2013</v>
      </c>
      <c r="G350" s="7" t="s">
        <v>19</v>
      </c>
      <c r="H350" s="7" t="s">
        <v>10</v>
      </c>
      <c r="I350" s="8" t="s">
        <v>565</v>
      </c>
      <c r="J350" s="2"/>
      <c r="K350" s="2"/>
      <c r="L350" s="2"/>
      <c r="M350" s="2"/>
      <c r="N350" s="2"/>
      <c r="O350" s="2"/>
      <c r="P350" s="2"/>
      <c r="Q350" s="2"/>
    </row>
    <row r="351" spans="1:17" ht="30" customHeight="1" x14ac:dyDescent="0.5">
      <c r="A351" s="7" t="s">
        <v>263</v>
      </c>
      <c r="B351" s="7" t="s">
        <v>552</v>
      </c>
      <c r="C351" s="8">
        <v>1205700040001</v>
      </c>
      <c r="D351" s="7" t="s">
        <v>22</v>
      </c>
      <c r="E351" s="7" t="s">
        <v>566</v>
      </c>
      <c r="F351" s="7">
        <v>2009</v>
      </c>
      <c r="G351" s="7" t="s">
        <v>19</v>
      </c>
      <c r="H351" s="7" t="s">
        <v>20</v>
      </c>
      <c r="I351" s="8" t="s">
        <v>567</v>
      </c>
      <c r="J351" s="2"/>
      <c r="K351" s="2"/>
      <c r="L351" s="2"/>
      <c r="M351" s="2"/>
      <c r="N351" s="2"/>
      <c r="O351" s="2"/>
      <c r="P351" s="2"/>
      <c r="Q351" s="2"/>
    </row>
    <row r="352" spans="1:17" ht="30" customHeight="1" x14ac:dyDescent="0.5">
      <c r="A352" s="7" t="s">
        <v>263</v>
      </c>
      <c r="B352" s="7" t="s">
        <v>568</v>
      </c>
      <c r="C352" s="8">
        <v>1204700020003</v>
      </c>
      <c r="D352" s="7" t="s">
        <v>13</v>
      </c>
      <c r="E352" s="7" t="s">
        <v>575</v>
      </c>
      <c r="F352" s="7">
        <v>2002</v>
      </c>
      <c r="G352" s="7" t="s">
        <v>4</v>
      </c>
      <c r="H352" s="7" t="s">
        <v>10</v>
      </c>
      <c r="I352" s="8" t="s">
        <v>576</v>
      </c>
      <c r="J352" s="2"/>
      <c r="K352" s="2"/>
      <c r="L352" s="2"/>
      <c r="M352" s="2"/>
      <c r="N352" s="2"/>
      <c r="O352" s="2"/>
      <c r="P352" s="2"/>
      <c r="Q352" s="2"/>
    </row>
    <row r="353" spans="1:17" ht="30" customHeight="1" x14ac:dyDescent="0.5">
      <c r="A353" s="7" t="s">
        <v>263</v>
      </c>
      <c r="B353" s="7" t="s">
        <v>568</v>
      </c>
      <c r="C353" s="8">
        <v>1204700020003</v>
      </c>
      <c r="D353" s="7" t="s">
        <v>13</v>
      </c>
      <c r="E353" s="7" t="s">
        <v>577</v>
      </c>
      <c r="F353" s="7">
        <v>2010</v>
      </c>
      <c r="G353" s="7" t="s">
        <v>19</v>
      </c>
      <c r="H353" s="7" t="s">
        <v>10</v>
      </c>
      <c r="I353" s="8" t="s">
        <v>578</v>
      </c>
      <c r="J353" s="2"/>
      <c r="K353" s="2"/>
      <c r="L353" s="2"/>
      <c r="M353" s="2"/>
      <c r="N353" s="2"/>
      <c r="O353" s="2"/>
      <c r="P353" s="2"/>
      <c r="Q353" s="2"/>
    </row>
    <row r="354" spans="1:17" ht="30" customHeight="1" x14ac:dyDescent="0.5">
      <c r="A354" s="7" t="s">
        <v>263</v>
      </c>
      <c r="B354" s="7" t="s">
        <v>568</v>
      </c>
      <c r="C354" s="8">
        <v>1205700040001</v>
      </c>
      <c r="D354" s="7" t="s">
        <v>22</v>
      </c>
      <c r="E354" s="7" t="s">
        <v>579</v>
      </c>
      <c r="F354" s="7">
        <v>2009</v>
      </c>
      <c r="G354" s="7" t="s">
        <v>19</v>
      </c>
      <c r="H354" s="7" t="s">
        <v>20</v>
      </c>
      <c r="I354" s="8" t="s">
        <v>580</v>
      </c>
      <c r="J354" s="2"/>
      <c r="K354" s="2"/>
      <c r="L354" s="2"/>
      <c r="M354" s="2"/>
      <c r="N354" s="2"/>
      <c r="O354" s="2"/>
      <c r="P354" s="2"/>
      <c r="Q354" s="2"/>
    </row>
    <row r="355" spans="1:17" ht="30" customHeight="1" x14ac:dyDescent="0.5">
      <c r="A355" s="7" t="s">
        <v>263</v>
      </c>
      <c r="B355" s="7" t="s">
        <v>568</v>
      </c>
      <c r="C355" s="8">
        <v>1303700020001</v>
      </c>
      <c r="D355" s="7" t="s">
        <v>506</v>
      </c>
      <c r="E355" s="7" t="s">
        <v>581</v>
      </c>
      <c r="F355" s="7">
        <v>2023</v>
      </c>
      <c r="G355" s="7" t="s">
        <v>19</v>
      </c>
      <c r="H355" s="7" t="s">
        <v>423</v>
      </c>
      <c r="I355" s="8" t="s">
        <v>582</v>
      </c>
      <c r="J355" s="2"/>
      <c r="K355" s="2"/>
      <c r="L355" s="2"/>
      <c r="M355" s="2"/>
      <c r="N355" s="2"/>
      <c r="O355" s="2"/>
      <c r="P355" s="2"/>
      <c r="Q355" s="2"/>
    </row>
    <row r="356" spans="1:17" ht="30" customHeight="1" x14ac:dyDescent="0.5">
      <c r="A356" s="7" t="s">
        <v>263</v>
      </c>
      <c r="B356" s="7" t="s">
        <v>583</v>
      </c>
      <c r="C356" s="8">
        <v>1105700010004</v>
      </c>
      <c r="D356" s="7" t="s">
        <v>435</v>
      </c>
      <c r="E356" s="7" t="s">
        <v>587</v>
      </c>
      <c r="F356" s="7">
        <v>2015</v>
      </c>
      <c r="G356" s="7" t="s">
        <v>19</v>
      </c>
      <c r="H356" s="7" t="s">
        <v>42</v>
      </c>
      <c r="I356" s="8" t="s">
        <v>588</v>
      </c>
      <c r="J356" s="2"/>
      <c r="K356" s="2"/>
      <c r="L356" s="2"/>
      <c r="M356" s="2"/>
      <c r="N356" s="2"/>
      <c r="O356" s="2"/>
      <c r="P356" s="2"/>
      <c r="Q356" s="2"/>
    </row>
    <row r="357" spans="1:17" ht="30" customHeight="1" x14ac:dyDescent="0.5">
      <c r="A357" s="7" t="s">
        <v>263</v>
      </c>
      <c r="B357" s="7" t="s">
        <v>583</v>
      </c>
      <c r="C357" s="8">
        <v>1105700160001</v>
      </c>
      <c r="D357" s="7" t="s">
        <v>438</v>
      </c>
      <c r="E357" s="7" t="s">
        <v>589</v>
      </c>
      <c r="F357" s="7">
        <v>2013</v>
      </c>
      <c r="G357" s="7" t="s">
        <v>19</v>
      </c>
      <c r="H357" s="7" t="s">
        <v>20</v>
      </c>
      <c r="I357" s="8" t="s">
        <v>590</v>
      </c>
      <c r="J357" s="2"/>
      <c r="K357" s="2"/>
      <c r="L357" s="2"/>
      <c r="M357" s="2"/>
      <c r="N357" s="2"/>
      <c r="O357" s="2"/>
      <c r="P357" s="2"/>
      <c r="Q357" s="2"/>
    </row>
    <row r="358" spans="1:17" ht="30" customHeight="1" x14ac:dyDescent="0.5">
      <c r="A358" s="7" t="s">
        <v>263</v>
      </c>
      <c r="B358" s="7" t="s">
        <v>583</v>
      </c>
      <c r="C358" s="8">
        <v>1204700010003</v>
      </c>
      <c r="D358" s="7" t="s">
        <v>96</v>
      </c>
      <c r="E358" s="7" t="s">
        <v>1440</v>
      </c>
      <c r="F358" s="7">
        <v>2008</v>
      </c>
      <c r="G358" s="7" t="s">
        <v>19</v>
      </c>
      <c r="H358" s="7" t="s">
        <v>10</v>
      </c>
      <c r="I358" s="8" t="s">
        <v>591</v>
      </c>
      <c r="J358" s="2"/>
      <c r="K358" s="2"/>
      <c r="L358" s="2"/>
      <c r="M358" s="2"/>
      <c r="N358" s="2"/>
      <c r="O358" s="2"/>
      <c r="P358" s="2"/>
      <c r="Q358" s="2"/>
    </row>
    <row r="359" spans="1:17" ht="30" customHeight="1" x14ac:dyDescent="0.5">
      <c r="A359" s="7" t="s">
        <v>263</v>
      </c>
      <c r="B359" s="7" t="s">
        <v>583</v>
      </c>
      <c r="C359" s="8">
        <v>1204700020002</v>
      </c>
      <c r="D359" s="7" t="s">
        <v>178</v>
      </c>
      <c r="E359" s="7" t="s">
        <v>592</v>
      </c>
      <c r="F359" s="7">
        <v>2013</v>
      </c>
      <c r="G359" s="7" t="s">
        <v>19</v>
      </c>
      <c r="H359" s="7" t="s">
        <v>10</v>
      </c>
      <c r="I359" s="8" t="s">
        <v>593</v>
      </c>
      <c r="J359" s="2"/>
      <c r="K359" s="2"/>
      <c r="L359" s="2"/>
      <c r="M359" s="2"/>
      <c r="N359" s="2"/>
      <c r="O359" s="2"/>
      <c r="P359" s="2"/>
      <c r="Q359" s="2"/>
    </row>
    <row r="360" spans="1:17" ht="30" customHeight="1" x14ac:dyDescent="0.5">
      <c r="A360" s="7" t="s">
        <v>263</v>
      </c>
      <c r="B360" s="7" t="s">
        <v>583</v>
      </c>
      <c r="C360" s="8">
        <v>1204700020003</v>
      </c>
      <c r="D360" s="7" t="s">
        <v>13</v>
      </c>
      <c r="E360" s="7" t="s">
        <v>1441</v>
      </c>
      <c r="F360" s="7">
        <v>2009</v>
      </c>
      <c r="G360" s="7" t="s">
        <v>19</v>
      </c>
      <c r="H360" s="7" t="s">
        <v>10</v>
      </c>
      <c r="I360" s="8" t="s">
        <v>594</v>
      </c>
      <c r="J360" s="2"/>
      <c r="K360" s="2"/>
      <c r="L360" s="2"/>
      <c r="M360" s="2"/>
      <c r="N360" s="2"/>
      <c r="O360" s="2"/>
      <c r="P360" s="2"/>
      <c r="Q360" s="2"/>
    </row>
    <row r="361" spans="1:17" ht="30" customHeight="1" x14ac:dyDescent="0.5">
      <c r="A361" s="7" t="s">
        <v>263</v>
      </c>
      <c r="B361" s="7" t="s">
        <v>583</v>
      </c>
      <c r="C361" s="8">
        <v>1204700020003</v>
      </c>
      <c r="D361" s="7" t="s">
        <v>13</v>
      </c>
      <c r="E361" s="7" t="s">
        <v>595</v>
      </c>
      <c r="F361" s="7">
        <v>2009</v>
      </c>
      <c r="G361" s="7" t="s">
        <v>19</v>
      </c>
      <c r="H361" s="7" t="s">
        <v>10</v>
      </c>
      <c r="I361" s="8" t="s">
        <v>596</v>
      </c>
      <c r="J361" s="2"/>
      <c r="K361" s="2"/>
      <c r="L361" s="2"/>
      <c r="M361" s="2"/>
      <c r="N361" s="2"/>
      <c r="O361" s="2"/>
      <c r="P361" s="2"/>
      <c r="Q361" s="2"/>
    </row>
    <row r="362" spans="1:17" ht="30" customHeight="1" x14ac:dyDescent="0.5">
      <c r="A362" s="7" t="s">
        <v>263</v>
      </c>
      <c r="B362" s="7" t="s">
        <v>583</v>
      </c>
      <c r="C362" s="8">
        <v>1204700020003</v>
      </c>
      <c r="D362" s="7" t="s">
        <v>13</v>
      </c>
      <c r="E362" s="7" t="s">
        <v>597</v>
      </c>
      <c r="F362" s="7">
        <v>2008</v>
      </c>
      <c r="G362" s="7" t="s">
        <v>4</v>
      </c>
      <c r="H362" s="7" t="s">
        <v>5</v>
      </c>
      <c r="I362" s="8" t="s">
        <v>598</v>
      </c>
      <c r="J362" s="2"/>
      <c r="K362" s="2"/>
      <c r="L362" s="2"/>
      <c r="M362" s="2"/>
      <c r="N362" s="2"/>
      <c r="O362" s="2"/>
      <c r="P362" s="2"/>
      <c r="Q362" s="2"/>
    </row>
    <row r="363" spans="1:17" ht="30" customHeight="1" x14ac:dyDescent="0.5">
      <c r="A363" s="7" t="s">
        <v>263</v>
      </c>
      <c r="B363" s="7" t="s">
        <v>583</v>
      </c>
      <c r="C363" s="8">
        <v>1205700010001</v>
      </c>
      <c r="D363" s="7" t="s">
        <v>388</v>
      </c>
      <c r="E363" s="7" t="s">
        <v>599</v>
      </c>
      <c r="F363" s="7">
        <v>2005</v>
      </c>
      <c r="G363" s="7" t="s">
        <v>19</v>
      </c>
      <c r="H363" s="7" t="s">
        <v>20</v>
      </c>
      <c r="I363" s="8" t="s">
        <v>600</v>
      </c>
      <c r="J363" s="2"/>
      <c r="K363" s="2"/>
      <c r="L363" s="2"/>
      <c r="M363" s="2"/>
      <c r="N363" s="2"/>
      <c r="O363" s="2"/>
      <c r="P363" s="2"/>
      <c r="Q363" s="2"/>
    </row>
    <row r="364" spans="1:17" ht="30" customHeight="1" x14ac:dyDescent="0.5">
      <c r="A364" s="7" t="s">
        <v>263</v>
      </c>
      <c r="B364" s="7" t="s">
        <v>583</v>
      </c>
      <c r="C364" s="8">
        <v>1205700010001</v>
      </c>
      <c r="D364" s="7" t="s">
        <v>388</v>
      </c>
      <c r="E364" s="7" t="s">
        <v>1442</v>
      </c>
      <c r="F364" s="7">
        <v>2006</v>
      </c>
      <c r="G364" s="7" t="s">
        <v>19</v>
      </c>
      <c r="H364" s="7" t="s">
        <v>20</v>
      </c>
      <c r="I364" s="8" t="s">
        <v>601</v>
      </c>
      <c r="J364" s="2"/>
      <c r="K364" s="2"/>
      <c r="L364" s="2"/>
      <c r="M364" s="2"/>
      <c r="N364" s="2"/>
      <c r="O364" s="2"/>
      <c r="P364" s="2"/>
      <c r="Q364" s="2"/>
    </row>
    <row r="365" spans="1:17" ht="30" customHeight="1" x14ac:dyDescent="0.5">
      <c r="A365" s="7" t="s">
        <v>263</v>
      </c>
      <c r="B365" s="7" t="s">
        <v>602</v>
      </c>
      <c r="C365" s="8">
        <v>1204700010002</v>
      </c>
      <c r="D365" s="7" t="s">
        <v>265</v>
      </c>
      <c r="E365" s="7" t="s">
        <v>608</v>
      </c>
      <c r="F365" s="7">
        <v>2003</v>
      </c>
      <c r="G365" s="7" t="s">
        <v>19</v>
      </c>
      <c r="H365" s="7" t="s">
        <v>10</v>
      </c>
      <c r="I365" s="8" t="s">
        <v>609</v>
      </c>
      <c r="J365" s="2"/>
      <c r="K365" s="2"/>
      <c r="L365" s="2"/>
      <c r="M365" s="2"/>
      <c r="N365" s="2"/>
      <c r="O365" s="2"/>
      <c r="P365" s="2"/>
      <c r="Q365" s="2"/>
    </row>
    <row r="366" spans="1:17" ht="30" customHeight="1" x14ac:dyDescent="0.5">
      <c r="A366" s="7" t="s">
        <v>263</v>
      </c>
      <c r="B366" s="7" t="s">
        <v>602</v>
      </c>
      <c r="C366" s="8">
        <v>1204700010003</v>
      </c>
      <c r="D366" s="7" t="s">
        <v>96</v>
      </c>
      <c r="E366" s="7" t="s">
        <v>612</v>
      </c>
      <c r="F366" s="7">
        <v>2008</v>
      </c>
      <c r="G366" s="7" t="s">
        <v>19</v>
      </c>
      <c r="H366" s="7" t="s">
        <v>10</v>
      </c>
      <c r="I366" s="8" t="s">
        <v>613</v>
      </c>
      <c r="J366" s="2"/>
      <c r="K366" s="2"/>
      <c r="L366" s="2"/>
      <c r="M366" s="2"/>
      <c r="N366" s="2"/>
      <c r="O366" s="2"/>
      <c r="P366" s="2"/>
      <c r="Q366" s="2"/>
    </row>
    <row r="367" spans="1:17" ht="30" customHeight="1" x14ac:dyDescent="0.5">
      <c r="A367" s="7" t="s">
        <v>263</v>
      </c>
      <c r="B367" s="7" t="s">
        <v>602</v>
      </c>
      <c r="C367" s="8">
        <v>1204700020002</v>
      </c>
      <c r="D367" s="7" t="s">
        <v>178</v>
      </c>
      <c r="E367" s="7" t="s">
        <v>614</v>
      </c>
      <c r="F367" s="7">
        <v>2013</v>
      </c>
      <c r="G367" s="7" t="s">
        <v>19</v>
      </c>
      <c r="H367" s="7" t="s">
        <v>10</v>
      </c>
      <c r="I367" s="8" t="s">
        <v>615</v>
      </c>
      <c r="J367" s="2"/>
      <c r="K367" s="2"/>
      <c r="L367" s="2"/>
      <c r="M367" s="2"/>
      <c r="N367" s="2"/>
      <c r="O367" s="2"/>
      <c r="P367" s="2"/>
      <c r="Q367" s="2"/>
    </row>
    <row r="368" spans="1:17" ht="30" customHeight="1" x14ac:dyDescent="0.5">
      <c r="A368" s="7" t="s">
        <v>263</v>
      </c>
      <c r="B368" s="7" t="s">
        <v>618</v>
      </c>
      <c r="C368" s="8">
        <v>1204700010003</v>
      </c>
      <c r="D368" s="7" t="s">
        <v>96</v>
      </c>
      <c r="E368" s="7" t="s">
        <v>622</v>
      </c>
      <c r="F368" s="7">
        <v>2008</v>
      </c>
      <c r="G368" s="7" t="s">
        <v>19</v>
      </c>
      <c r="H368" s="7" t="s">
        <v>10</v>
      </c>
      <c r="I368" s="8" t="s">
        <v>623</v>
      </c>
      <c r="J368" s="2"/>
      <c r="K368" s="2"/>
      <c r="L368" s="2"/>
      <c r="M368" s="2"/>
      <c r="N368" s="2"/>
      <c r="O368" s="2"/>
      <c r="P368" s="2"/>
      <c r="Q368" s="2"/>
    </row>
    <row r="369" spans="1:23" ht="30" customHeight="1" x14ac:dyDescent="0.5">
      <c r="A369" s="7" t="s">
        <v>263</v>
      </c>
      <c r="B369" s="7" t="s">
        <v>618</v>
      </c>
      <c r="C369" s="8">
        <v>1204700010003</v>
      </c>
      <c r="D369" s="7" t="s">
        <v>96</v>
      </c>
      <c r="E369" s="7" t="s">
        <v>624</v>
      </c>
      <c r="F369" s="7">
        <v>2006</v>
      </c>
      <c r="G369" s="7" t="s">
        <v>19</v>
      </c>
      <c r="H369" s="7" t="s">
        <v>10</v>
      </c>
      <c r="I369" s="8" t="s">
        <v>625</v>
      </c>
      <c r="J369" s="2"/>
      <c r="K369" s="2"/>
      <c r="L369" s="2"/>
      <c r="M369" s="2"/>
      <c r="N369" s="2"/>
      <c r="O369" s="2"/>
      <c r="P369" s="2"/>
      <c r="Q369" s="2"/>
    </row>
    <row r="370" spans="1:23" ht="30" customHeight="1" x14ac:dyDescent="0.5">
      <c r="A370" s="7" t="s">
        <v>263</v>
      </c>
      <c r="B370" s="7" t="s">
        <v>618</v>
      </c>
      <c r="C370" s="8">
        <v>1204700020002</v>
      </c>
      <c r="D370" s="7" t="s">
        <v>178</v>
      </c>
      <c r="E370" s="7" t="s">
        <v>626</v>
      </c>
      <c r="F370" s="7">
        <v>2011</v>
      </c>
      <c r="G370" s="7" t="s">
        <v>19</v>
      </c>
      <c r="H370" s="7" t="s">
        <v>10</v>
      </c>
      <c r="I370" s="8" t="s">
        <v>627</v>
      </c>
      <c r="J370" s="2"/>
      <c r="K370" s="2"/>
      <c r="L370" s="2"/>
      <c r="M370" s="2"/>
      <c r="N370" s="2"/>
      <c r="O370" s="2"/>
      <c r="P370" s="2"/>
      <c r="Q370" s="2"/>
    </row>
    <row r="371" spans="1:23" ht="30" customHeight="1" x14ac:dyDescent="0.5">
      <c r="A371" s="7" t="s">
        <v>263</v>
      </c>
      <c r="B371" s="7" t="s">
        <v>618</v>
      </c>
      <c r="C371" s="8">
        <v>1204700020003</v>
      </c>
      <c r="D371" s="7" t="s">
        <v>13</v>
      </c>
      <c r="E371" s="7" t="s">
        <v>628</v>
      </c>
      <c r="F371" s="7">
        <v>2006</v>
      </c>
      <c r="G371" s="7" t="s">
        <v>19</v>
      </c>
      <c r="H371" s="7" t="s">
        <v>10</v>
      </c>
      <c r="I371" s="8" t="s">
        <v>629</v>
      </c>
      <c r="J371" s="2"/>
      <c r="K371" s="2"/>
      <c r="L371" s="2"/>
      <c r="M371" s="2"/>
      <c r="N371" s="2"/>
      <c r="O371" s="2"/>
      <c r="P371" s="2"/>
      <c r="Q371" s="2"/>
    </row>
    <row r="372" spans="1:23" ht="30" customHeight="1" x14ac:dyDescent="0.5">
      <c r="A372" s="7" t="s">
        <v>263</v>
      </c>
      <c r="B372" s="7" t="s">
        <v>618</v>
      </c>
      <c r="C372" s="8">
        <v>1205700020004</v>
      </c>
      <c r="D372" s="7" t="s">
        <v>549</v>
      </c>
      <c r="E372" s="7" t="s">
        <v>630</v>
      </c>
      <c r="F372" s="7">
        <v>2002</v>
      </c>
      <c r="G372" s="7" t="s">
        <v>4</v>
      </c>
      <c r="H372" s="7" t="s">
        <v>20</v>
      </c>
      <c r="I372" s="8" t="s">
        <v>631</v>
      </c>
      <c r="J372" s="2"/>
      <c r="K372" s="2"/>
      <c r="L372" s="2"/>
      <c r="M372" s="2"/>
      <c r="N372" s="2"/>
      <c r="O372" s="2"/>
      <c r="P372" s="2"/>
      <c r="Q372" s="2"/>
    </row>
    <row r="373" spans="1:23" ht="30" customHeight="1" x14ac:dyDescent="0.5">
      <c r="A373" s="7" t="s">
        <v>263</v>
      </c>
      <c r="B373" s="7" t="s">
        <v>632</v>
      </c>
      <c r="C373" s="8">
        <v>1101700010006</v>
      </c>
      <c r="D373" s="7" t="s">
        <v>1551</v>
      </c>
      <c r="E373" s="7" t="s">
        <v>635</v>
      </c>
      <c r="F373" s="7">
        <v>2010</v>
      </c>
      <c r="G373" s="7" t="s">
        <v>19</v>
      </c>
      <c r="H373" s="7" t="s">
        <v>52</v>
      </c>
      <c r="I373" s="8" t="s">
        <v>636</v>
      </c>
      <c r="J373" s="2"/>
      <c r="K373" s="2"/>
      <c r="L373" s="2"/>
      <c r="M373" s="2"/>
      <c r="N373" s="2"/>
      <c r="O373" s="2"/>
      <c r="P373" s="2"/>
      <c r="Q373" s="2"/>
    </row>
    <row r="374" spans="1:23" ht="30" customHeight="1" x14ac:dyDescent="0.5">
      <c r="A374" s="7" t="s">
        <v>263</v>
      </c>
      <c r="B374" s="7" t="s">
        <v>632</v>
      </c>
      <c r="C374" s="8">
        <v>1101700010006</v>
      </c>
      <c r="D374" s="7" t="s">
        <v>1551</v>
      </c>
      <c r="E374" s="7" t="s">
        <v>639</v>
      </c>
      <c r="F374" s="7">
        <v>2010</v>
      </c>
      <c r="G374" s="7" t="s">
        <v>19</v>
      </c>
      <c r="H374" s="7" t="s">
        <v>52</v>
      </c>
      <c r="I374" s="8" t="s">
        <v>640</v>
      </c>
      <c r="J374" s="2"/>
      <c r="K374" s="2"/>
      <c r="L374" s="2"/>
      <c r="M374" s="2"/>
      <c r="N374" s="2"/>
      <c r="O374" s="2"/>
      <c r="P374" s="2"/>
      <c r="Q374" s="2"/>
    </row>
    <row r="375" spans="1:23" ht="30" customHeight="1" x14ac:dyDescent="0.5">
      <c r="A375" s="7" t="s">
        <v>263</v>
      </c>
      <c r="B375" s="7" t="s">
        <v>632</v>
      </c>
      <c r="C375" s="8">
        <v>1105700100001</v>
      </c>
      <c r="D375" s="7" t="s">
        <v>311</v>
      </c>
      <c r="E375" s="7" t="s">
        <v>656</v>
      </c>
      <c r="F375" s="7">
        <v>2010</v>
      </c>
      <c r="G375" s="7" t="s">
        <v>19</v>
      </c>
      <c r="H375" s="7" t="s">
        <v>236</v>
      </c>
      <c r="I375" s="8" t="s">
        <v>657</v>
      </c>
      <c r="J375" s="2"/>
      <c r="K375" s="2"/>
      <c r="L375" s="2"/>
      <c r="M375" s="2"/>
      <c r="N375" s="2"/>
      <c r="O375" s="2"/>
      <c r="P375" s="2"/>
      <c r="Q375" s="2"/>
    </row>
    <row r="376" spans="1:23" ht="30" customHeight="1" x14ac:dyDescent="0.5">
      <c r="A376" s="7" t="s">
        <v>263</v>
      </c>
      <c r="B376" s="7" t="s">
        <v>632</v>
      </c>
      <c r="C376" s="8">
        <v>1105700160002</v>
      </c>
      <c r="D376" s="7" t="s">
        <v>660</v>
      </c>
      <c r="E376" s="7" t="s">
        <v>661</v>
      </c>
      <c r="F376" s="7">
        <v>2015</v>
      </c>
      <c r="G376" s="7" t="s">
        <v>19</v>
      </c>
      <c r="H376" s="7" t="s">
        <v>20</v>
      </c>
      <c r="I376" s="8" t="s">
        <v>662</v>
      </c>
      <c r="J376" s="2"/>
      <c r="K376" s="2"/>
      <c r="L376" s="2"/>
      <c r="M376" s="2"/>
      <c r="N376" s="2"/>
      <c r="O376" s="2"/>
      <c r="P376" s="2"/>
      <c r="Q376" s="2"/>
    </row>
    <row r="377" spans="1:23" ht="30" customHeight="1" x14ac:dyDescent="0.5">
      <c r="A377" s="7" t="s">
        <v>263</v>
      </c>
      <c r="B377" s="7" t="s">
        <v>632</v>
      </c>
      <c r="C377" s="8">
        <v>1106700010003</v>
      </c>
      <c r="D377" s="7" t="s">
        <v>102</v>
      </c>
      <c r="E377" s="7" t="s">
        <v>663</v>
      </c>
      <c r="F377" s="7">
        <v>1991</v>
      </c>
      <c r="G377" s="7" t="s">
        <v>19</v>
      </c>
      <c r="H377" s="7" t="s">
        <v>104</v>
      </c>
      <c r="I377" s="8">
        <v>34600152717342</v>
      </c>
      <c r="J377" s="2"/>
      <c r="K377" s="2"/>
      <c r="L377" s="2"/>
      <c r="M377" s="2"/>
      <c r="N377" s="2"/>
      <c r="O377" s="2"/>
      <c r="P377" s="2"/>
      <c r="Q377" s="2"/>
    </row>
    <row r="378" spans="1:23" ht="30" customHeight="1" x14ac:dyDescent="0.5">
      <c r="A378" s="7" t="s">
        <v>263</v>
      </c>
      <c r="B378" s="7" t="s">
        <v>632</v>
      </c>
      <c r="C378" s="8">
        <v>1106700010003</v>
      </c>
      <c r="D378" s="7" t="s">
        <v>102</v>
      </c>
      <c r="E378" s="7" t="s">
        <v>667</v>
      </c>
      <c r="F378" s="7">
        <v>1991</v>
      </c>
      <c r="G378" s="7" t="s">
        <v>19</v>
      </c>
      <c r="H378" s="7" t="s">
        <v>104</v>
      </c>
      <c r="I378" s="8">
        <v>34600152728921</v>
      </c>
      <c r="J378" s="2"/>
      <c r="K378" s="2"/>
      <c r="L378" s="2"/>
      <c r="M378" s="2"/>
      <c r="N378" s="2"/>
      <c r="O378" s="2"/>
      <c r="P378" s="2"/>
      <c r="Q378" s="2"/>
    </row>
    <row r="379" spans="1:23" ht="30" customHeight="1" x14ac:dyDescent="0.5">
      <c r="A379" s="7" t="s">
        <v>263</v>
      </c>
      <c r="B379" s="7" t="s">
        <v>632</v>
      </c>
      <c r="C379" s="8">
        <v>1106700010003</v>
      </c>
      <c r="D379" s="7" t="s">
        <v>102</v>
      </c>
      <c r="E379" s="7" t="s">
        <v>668</v>
      </c>
      <c r="F379" s="7">
        <v>1989</v>
      </c>
      <c r="G379" s="7" t="s">
        <v>19</v>
      </c>
      <c r="H379" s="7" t="s">
        <v>104</v>
      </c>
      <c r="I379" s="8">
        <v>34600155386726</v>
      </c>
      <c r="J379" s="2"/>
      <c r="K379" s="2"/>
      <c r="L379" s="2"/>
      <c r="M379" s="2"/>
      <c r="N379" s="2"/>
      <c r="O379" s="2"/>
      <c r="P379" s="2"/>
      <c r="Q379" s="2"/>
    </row>
    <row r="380" spans="1:23" ht="30" customHeight="1" x14ac:dyDescent="0.5">
      <c r="A380" s="7" t="s">
        <v>263</v>
      </c>
      <c r="B380" s="7" t="s">
        <v>632</v>
      </c>
      <c r="C380" s="8">
        <v>1106700020003</v>
      </c>
      <c r="D380" s="7" t="s">
        <v>54</v>
      </c>
      <c r="E380" s="7" t="s">
        <v>677</v>
      </c>
      <c r="F380" s="7">
        <v>2012</v>
      </c>
      <c r="G380" s="7" t="s">
        <v>19</v>
      </c>
      <c r="H380" s="7" t="s">
        <v>56</v>
      </c>
      <c r="I380" s="8" t="s">
        <v>678</v>
      </c>
      <c r="J380" s="2"/>
      <c r="K380" s="2"/>
      <c r="L380" s="2"/>
      <c r="M380" s="2"/>
      <c r="N380" s="2"/>
      <c r="O380" s="2"/>
      <c r="P380" s="2"/>
      <c r="Q380" s="2"/>
    </row>
    <row r="381" spans="1:23" ht="30" customHeight="1" x14ac:dyDescent="0.5">
      <c r="A381" s="7" t="s">
        <v>263</v>
      </c>
      <c r="B381" s="7" t="s">
        <v>632</v>
      </c>
      <c r="C381" s="8">
        <v>1108700020001</v>
      </c>
      <c r="D381" s="7" t="s">
        <v>683</v>
      </c>
      <c r="E381" s="7" t="s">
        <v>684</v>
      </c>
      <c r="F381" s="7">
        <v>2015</v>
      </c>
      <c r="G381" s="7" t="s">
        <v>19</v>
      </c>
      <c r="H381" s="7" t="s">
        <v>358</v>
      </c>
      <c r="I381" s="8" t="s">
        <v>685</v>
      </c>
      <c r="J381" s="2"/>
      <c r="K381" s="2"/>
      <c r="L381" s="2"/>
      <c r="M381" s="2"/>
      <c r="N381" s="2"/>
      <c r="O381" s="2"/>
      <c r="P381" s="2"/>
      <c r="Q381" s="2"/>
    </row>
    <row r="382" spans="1:23" ht="30" customHeight="1" x14ac:dyDescent="0.5">
      <c r="A382" s="7" t="s">
        <v>263</v>
      </c>
      <c r="B382" s="7" t="s">
        <v>632</v>
      </c>
      <c r="C382" s="8">
        <v>1204700010003</v>
      </c>
      <c r="D382" s="7" t="s">
        <v>96</v>
      </c>
      <c r="E382" s="7" t="s">
        <v>688</v>
      </c>
      <c r="F382" s="7">
        <v>2008</v>
      </c>
      <c r="G382" s="7" t="s">
        <v>19</v>
      </c>
      <c r="H382" s="7" t="s">
        <v>10</v>
      </c>
      <c r="I382" s="8" t="s">
        <v>689</v>
      </c>
      <c r="J382" s="2"/>
      <c r="K382" s="2"/>
      <c r="L382" s="2"/>
      <c r="M382" s="2"/>
      <c r="N382" s="2"/>
      <c r="O382" s="2"/>
      <c r="P382" s="2"/>
      <c r="Q382" s="2"/>
    </row>
    <row r="383" spans="1:23" ht="30" customHeight="1" x14ac:dyDescent="0.5">
      <c r="A383" s="7" t="s">
        <v>263</v>
      </c>
      <c r="B383" s="7" t="s">
        <v>632</v>
      </c>
      <c r="C383" s="8">
        <v>1204700020003</v>
      </c>
      <c r="D383" s="7" t="s">
        <v>13</v>
      </c>
      <c r="E383" s="7" t="s">
        <v>690</v>
      </c>
      <c r="F383" s="7">
        <v>2010</v>
      </c>
      <c r="G383" s="7" t="s">
        <v>19</v>
      </c>
      <c r="H383" s="7" t="s">
        <v>10</v>
      </c>
      <c r="I383" s="8">
        <v>581324</v>
      </c>
      <c r="J383" s="2" t="s">
        <v>1544</v>
      </c>
      <c r="K383" s="9" t="s">
        <v>1552</v>
      </c>
      <c r="L383" s="2" t="s">
        <v>1559</v>
      </c>
      <c r="M383" s="2" t="s">
        <v>1559</v>
      </c>
      <c r="N383" s="2"/>
      <c r="O383" s="2"/>
      <c r="P383" s="2"/>
      <c r="Q383" s="2" t="s">
        <v>1544</v>
      </c>
    </row>
    <row r="384" spans="1:23" ht="30" customHeight="1" x14ac:dyDescent="0.5">
      <c r="A384" s="7" t="s">
        <v>263</v>
      </c>
      <c r="B384" s="7" t="s">
        <v>632</v>
      </c>
      <c r="C384" s="8">
        <v>1204700030001</v>
      </c>
      <c r="D384" s="7" t="s">
        <v>17</v>
      </c>
      <c r="E384" s="7" t="s">
        <v>693</v>
      </c>
      <c r="F384" s="7">
        <v>2008</v>
      </c>
      <c r="G384" s="7" t="s">
        <v>19</v>
      </c>
      <c r="H384" s="7" t="s">
        <v>384</v>
      </c>
      <c r="I384" s="8" t="s">
        <v>694</v>
      </c>
      <c r="J384" s="2"/>
      <c r="K384" s="2"/>
      <c r="L384" s="2"/>
      <c r="M384" s="2"/>
      <c r="N384" s="2"/>
      <c r="O384" s="2"/>
      <c r="P384" s="2"/>
      <c r="Q384" s="2"/>
      <c r="W384" s="4" t="s">
        <v>1910</v>
      </c>
    </row>
    <row r="385" spans="1:17" ht="30" customHeight="1" x14ac:dyDescent="0.5">
      <c r="A385" s="7" t="s">
        <v>263</v>
      </c>
      <c r="B385" s="7" t="s">
        <v>632</v>
      </c>
      <c r="C385" s="8">
        <v>1204700030001</v>
      </c>
      <c r="D385" s="7" t="s">
        <v>17</v>
      </c>
      <c r="E385" s="7" t="s">
        <v>695</v>
      </c>
      <c r="F385" s="7">
        <v>2009</v>
      </c>
      <c r="G385" s="7" t="s">
        <v>19</v>
      </c>
      <c r="H385" s="7" t="s">
        <v>384</v>
      </c>
      <c r="I385" s="8" t="s">
        <v>696</v>
      </c>
      <c r="J385" s="2"/>
      <c r="K385" s="2"/>
      <c r="L385" s="2"/>
      <c r="M385" s="2"/>
      <c r="N385" s="2"/>
      <c r="O385" s="2"/>
      <c r="P385" s="2"/>
      <c r="Q385" s="2"/>
    </row>
    <row r="386" spans="1:17" ht="30" customHeight="1" x14ac:dyDescent="0.5">
      <c r="A386" s="7" t="s">
        <v>263</v>
      </c>
      <c r="B386" s="7" t="s">
        <v>632</v>
      </c>
      <c r="C386" s="8">
        <v>1205700010001</v>
      </c>
      <c r="D386" s="7" t="s">
        <v>388</v>
      </c>
      <c r="E386" s="7" t="s">
        <v>697</v>
      </c>
      <c r="F386" s="7">
        <v>2011</v>
      </c>
      <c r="G386" s="7" t="s">
        <v>19</v>
      </c>
      <c r="H386" s="7" t="s">
        <v>440</v>
      </c>
      <c r="I386" s="8" t="s">
        <v>698</v>
      </c>
      <c r="J386" s="2"/>
      <c r="K386" s="2"/>
      <c r="L386" s="2"/>
      <c r="M386" s="2"/>
      <c r="N386" s="2"/>
      <c r="O386" s="2"/>
      <c r="P386" s="2"/>
      <c r="Q386" s="2"/>
    </row>
    <row r="387" spans="1:17" ht="30" customHeight="1" x14ac:dyDescent="0.5">
      <c r="A387" s="7" t="s">
        <v>263</v>
      </c>
      <c r="B387" s="7" t="s">
        <v>632</v>
      </c>
      <c r="C387" s="8">
        <v>1205700010001</v>
      </c>
      <c r="D387" s="7" t="s">
        <v>388</v>
      </c>
      <c r="E387" s="7" t="s">
        <v>699</v>
      </c>
      <c r="F387" s="7">
        <v>2008</v>
      </c>
      <c r="G387" s="7" t="s">
        <v>19</v>
      </c>
      <c r="H387" s="7" t="s">
        <v>20</v>
      </c>
      <c r="I387" s="8" t="s">
        <v>700</v>
      </c>
      <c r="J387" s="2"/>
      <c r="K387" s="2"/>
      <c r="L387" s="2"/>
      <c r="M387" s="2"/>
      <c r="N387" s="2"/>
      <c r="O387" s="2"/>
      <c r="P387" s="2"/>
      <c r="Q387" s="2"/>
    </row>
    <row r="388" spans="1:17" ht="30" customHeight="1" x14ac:dyDescent="0.5">
      <c r="A388" s="7" t="s">
        <v>263</v>
      </c>
      <c r="B388" s="7" t="s">
        <v>632</v>
      </c>
      <c r="C388" s="8">
        <v>1205700030007</v>
      </c>
      <c r="D388" s="7" t="s">
        <v>701</v>
      </c>
      <c r="E388" s="7" t="s">
        <v>702</v>
      </c>
      <c r="F388" s="7">
        <v>2013</v>
      </c>
      <c r="G388" s="7" t="s">
        <v>9</v>
      </c>
      <c r="H388" s="7" t="s">
        <v>236</v>
      </c>
      <c r="I388" s="8" t="s">
        <v>703</v>
      </c>
      <c r="J388" s="2"/>
      <c r="K388" s="2"/>
      <c r="L388" s="2"/>
      <c r="M388" s="2"/>
      <c r="N388" s="2"/>
      <c r="O388" s="2"/>
      <c r="P388" s="2"/>
      <c r="Q388" s="2"/>
    </row>
    <row r="389" spans="1:17" ht="30" customHeight="1" x14ac:dyDescent="0.5">
      <c r="A389" s="7" t="s">
        <v>263</v>
      </c>
      <c r="B389" s="7" t="s">
        <v>632</v>
      </c>
      <c r="C389" s="8">
        <v>1207700020001</v>
      </c>
      <c r="D389" s="7" t="s">
        <v>704</v>
      </c>
      <c r="E389" s="7" t="s">
        <v>705</v>
      </c>
      <c r="F389" s="7">
        <v>1989</v>
      </c>
      <c r="G389" s="7" t="s">
        <v>706</v>
      </c>
      <c r="H389" s="7" t="s">
        <v>104</v>
      </c>
      <c r="I389" s="8">
        <v>39904755346001</v>
      </c>
      <c r="J389" s="2"/>
      <c r="K389" s="2"/>
      <c r="L389" s="2"/>
      <c r="M389" s="2"/>
      <c r="N389" s="2"/>
      <c r="O389" s="2"/>
      <c r="P389" s="2"/>
      <c r="Q389" s="2"/>
    </row>
    <row r="390" spans="1:17" ht="30" customHeight="1" x14ac:dyDescent="0.5">
      <c r="A390" s="7" t="s">
        <v>263</v>
      </c>
      <c r="B390" s="7" t="s">
        <v>632</v>
      </c>
      <c r="C390" s="8">
        <v>1207700040004</v>
      </c>
      <c r="D390" s="7" t="s">
        <v>395</v>
      </c>
      <c r="E390" s="7" t="s">
        <v>707</v>
      </c>
      <c r="F390" s="7">
        <v>2018</v>
      </c>
      <c r="G390" s="7" t="s">
        <v>19</v>
      </c>
      <c r="H390" s="7" t="s">
        <v>397</v>
      </c>
      <c r="I390" s="8" t="s">
        <v>708</v>
      </c>
      <c r="J390" s="2"/>
      <c r="K390" s="2"/>
      <c r="L390" s="2"/>
      <c r="M390" s="2"/>
      <c r="N390" s="2"/>
      <c r="O390" s="2"/>
      <c r="P390" s="2"/>
      <c r="Q390" s="2"/>
    </row>
    <row r="391" spans="1:17" ht="30" customHeight="1" x14ac:dyDescent="0.5">
      <c r="A391" s="7" t="s">
        <v>263</v>
      </c>
      <c r="B391" s="7" t="s">
        <v>632</v>
      </c>
      <c r="C391" s="8">
        <v>1209700010004</v>
      </c>
      <c r="D391" s="7" t="s">
        <v>413</v>
      </c>
      <c r="E391" s="7" t="s">
        <v>713</v>
      </c>
      <c r="F391" s="7">
        <v>2016</v>
      </c>
      <c r="G391" s="7" t="s">
        <v>19</v>
      </c>
      <c r="H391" s="7" t="s">
        <v>415</v>
      </c>
      <c r="I391" s="8" t="s">
        <v>714</v>
      </c>
      <c r="J391" s="2"/>
      <c r="K391" s="2"/>
      <c r="L391" s="2"/>
      <c r="M391" s="2"/>
      <c r="N391" s="2"/>
      <c r="O391" s="2"/>
      <c r="P391" s="2"/>
      <c r="Q391" s="2"/>
    </row>
    <row r="392" spans="1:17" ht="30" customHeight="1" x14ac:dyDescent="0.5">
      <c r="A392" s="7" t="s">
        <v>715</v>
      </c>
      <c r="B392" s="7" t="s">
        <v>716</v>
      </c>
      <c r="C392" s="8">
        <v>1101700010009</v>
      </c>
      <c r="D392" s="7" t="s">
        <v>717</v>
      </c>
      <c r="E392" s="7" t="s">
        <v>1456</v>
      </c>
      <c r="G392" s="7" t="s">
        <v>376</v>
      </c>
      <c r="H392" s="7" t="s">
        <v>247</v>
      </c>
      <c r="I392" s="8" t="s">
        <v>718</v>
      </c>
      <c r="J392" s="2"/>
      <c r="K392" s="2"/>
      <c r="L392" s="2"/>
      <c r="M392" s="2"/>
      <c r="N392" s="2"/>
      <c r="O392" s="2"/>
      <c r="P392" s="2"/>
      <c r="Q392" s="2"/>
    </row>
    <row r="393" spans="1:17" ht="30" customHeight="1" x14ac:dyDescent="0.5">
      <c r="A393" s="7" t="s">
        <v>715</v>
      </c>
      <c r="B393" s="7" t="s">
        <v>716</v>
      </c>
      <c r="C393" s="8">
        <v>1204700010003</v>
      </c>
      <c r="D393" s="7" t="s">
        <v>96</v>
      </c>
      <c r="E393" s="7" t="s">
        <v>719</v>
      </c>
      <c r="F393" s="7">
        <v>2005</v>
      </c>
      <c r="G393" s="7" t="s">
        <v>19</v>
      </c>
      <c r="H393" s="7" t="s">
        <v>10</v>
      </c>
      <c r="I393" s="8" t="s">
        <v>720</v>
      </c>
      <c r="J393" s="2"/>
      <c r="K393" s="2"/>
      <c r="L393" s="2"/>
      <c r="M393" s="2"/>
      <c r="N393" s="2"/>
      <c r="O393" s="2"/>
      <c r="P393" s="2"/>
      <c r="Q393" s="2"/>
    </row>
    <row r="394" spans="1:17" ht="30" customHeight="1" x14ac:dyDescent="0.5">
      <c r="A394" s="7" t="s">
        <v>715</v>
      </c>
      <c r="B394" s="7" t="s">
        <v>716</v>
      </c>
      <c r="C394" s="8">
        <v>1205700010001</v>
      </c>
      <c r="D394" s="7" t="s">
        <v>388</v>
      </c>
      <c r="E394" s="7" t="s">
        <v>721</v>
      </c>
      <c r="F394" s="7">
        <v>2006</v>
      </c>
      <c r="G394" s="7" t="s">
        <v>19</v>
      </c>
      <c r="H394" s="7" t="s">
        <v>20</v>
      </c>
      <c r="I394" s="8" t="s">
        <v>722</v>
      </c>
      <c r="J394" s="2"/>
      <c r="K394" s="2"/>
      <c r="L394" s="2"/>
      <c r="M394" s="2"/>
      <c r="N394" s="2"/>
      <c r="O394" s="2"/>
      <c r="P394" s="2"/>
      <c r="Q394" s="2"/>
    </row>
    <row r="395" spans="1:17" ht="30" customHeight="1" x14ac:dyDescent="0.5">
      <c r="A395" s="7" t="s">
        <v>723</v>
      </c>
      <c r="B395" s="7" t="s">
        <v>724</v>
      </c>
      <c r="C395" s="8">
        <v>1204700010003</v>
      </c>
      <c r="D395" s="7" t="s">
        <v>96</v>
      </c>
      <c r="E395" s="7" t="s">
        <v>725</v>
      </c>
      <c r="F395" s="7">
        <v>2015</v>
      </c>
      <c r="G395" s="7" t="s">
        <v>19</v>
      </c>
      <c r="H395" s="7" t="s">
        <v>377</v>
      </c>
      <c r="I395" s="8" t="s">
        <v>726</v>
      </c>
      <c r="J395" s="2"/>
      <c r="K395" s="2"/>
      <c r="L395" s="2"/>
      <c r="M395" s="2"/>
      <c r="N395" s="2"/>
      <c r="O395" s="2"/>
      <c r="P395" s="2"/>
      <c r="Q395" s="2"/>
    </row>
    <row r="396" spans="1:17" ht="30" customHeight="1" x14ac:dyDescent="0.5">
      <c r="A396" s="7" t="s">
        <v>723</v>
      </c>
      <c r="B396" s="7" t="s">
        <v>724</v>
      </c>
      <c r="C396" s="8">
        <v>1204700010003</v>
      </c>
      <c r="D396" s="7" t="s">
        <v>96</v>
      </c>
      <c r="E396" s="7" t="s">
        <v>727</v>
      </c>
      <c r="F396" s="7">
        <v>2015</v>
      </c>
      <c r="G396" s="7" t="s">
        <v>19</v>
      </c>
      <c r="H396" s="7" t="s">
        <v>377</v>
      </c>
      <c r="I396" s="8" t="s">
        <v>728</v>
      </c>
      <c r="J396" s="2"/>
      <c r="K396" s="2"/>
      <c r="L396" s="2"/>
      <c r="M396" s="2"/>
      <c r="N396" s="2"/>
      <c r="O396" s="2"/>
      <c r="P396" s="2"/>
      <c r="Q396" s="2"/>
    </row>
    <row r="397" spans="1:17" ht="30" customHeight="1" x14ac:dyDescent="0.5">
      <c r="A397" s="7" t="s">
        <v>723</v>
      </c>
      <c r="B397" s="7" t="s">
        <v>724</v>
      </c>
      <c r="C397" s="8">
        <v>1204700020002</v>
      </c>
      <c r="D397" s="7" t="s">
        <v>178</v>
      </c>
      <c r="E397" s="7" t="s">
        <v>729</v>
      </c>
      <c r="F397" s="7">
        <v>2013</v>
      </c>
      <c r="G397" s="7" t="s">
        <v>19</v>
      </c>
      <c r="H397" s="7" t="s">
        <v>10</v>
      </c>
      <c r="I397" s="8" t="s">
        <v>730</v>
      </c>
      <c r="J397" s="2"/>
      <c r="K397" s="2"/>
      <c r="L397" s="2"/>
      <c r="M397" s="2"/>
      <c r="N397" s="2"/>
      <c r="O397" s="2"/>
      <c r="P397" s="2"/>
      <c r="Q397" s="2"/>
    </row>
    <row r="398" spans="1:17" ht="30" customHeight="1" x14ac:dyDescent="0.5">
      <c r="A398" s="7" t="s">
        <v>723</v>
      </c>
      <c r="B398" s="7" t="s">
        <v>724</v>
      </c>
      <c r="C398" s="8">
        <v>1204700020002</v>
      </c>
      <c r="D398" s="7" t="s">
        <v>178</v>
      </c>
      <c r="E398" s="7" t="s">
        <v>731</v>
      </c>
      <c r="F398" s="7">
        <v>2013</v>
      </c>
      <c r="G398" s="7" t="s">
        <v>19</v>
      </c>
      <c r="H398" s="7" t="s">
        <v>10</v>
      </c>
      <c r="I398" s="8" t="s">
        <v>732</v>
      </c>
      <c r="J398" s="2"/>
      <c r="K398" s="2"/>
      <c r="L398" s="2"/>
      <c r="M398" s="2"/>
      <c r="N398" s="2"/>
      <c r="O398" s="2"/>
      <c r="P398" s="2"/>
      <c r="Q398" s="2"/>
    </row>
    <row r="399" spans="1:17" ht="30" customHeight="1" x14ac:dyDescent="0.5">
      <c r="A399" s="7" t="s">
        <v>723</v>
      </c>
      <c r="B399" s="7" t="s">
        <v>724</v>
      </c>
      <c r="C399" s="8">
        <v>1204700030001</v>
      </c>
      <c r="D399" s="7" t="s">
        <v>17</v>
      </c>
      <c r="E399" s="7" t="s">
        <v>733</v>
      </c>
      <c r="F399" s="7">
        <v>2013</v>
      </c>
      <c r="G399" s="7" t="s">
        <v>19</v>
      </c>
      <c r="H399" s="7" t="s">
        <v>20</v>
      </c>
      <c r="I399" s="8" t="s">
        <v>734</v>
      </c>
      <c r="J399" s="2"/>
      <c r="K399" s="2"/>
      <c r="L399" s="2"/>
      <c r="M399" s="2"/>
      <c r="N399" s="2"/>
      <c r="O399" s="2"/>
      <c r="P399" s="2"/>
      <c r="Q399" s="2"/>
    </row>
    <row r="400" spans="1:17" ht="30" customHeight="1" x14ac:dyDescent="0.5">
      <c r="A400" s="7" t="s">
        <v>723</v>
      </c>
      <c r="B400" s="7" t="s">
        <v>724</v>
      </c>
      <c r="C400" s="8">
        <v>1205700010002</v>
      </c>
      <c r="D400" s="7" t="s">
        <v>32</v>
      </c>
      <c r="E400" s="7" t="s">
        <v>735</v>
      </c>
      <c r="F400" s="7">
        <v>2006</v>
      </c>
      <c r="G400" s="7" t="s">
        <v>4</v>
      </c>
      <c r="H400" s="7" t="s">
        <v>20</v>
      </c>
      <c r="I400" s="8" t="s">
        <v>736</v>
      </c>
      <c r="J400" s="2"/>
      <c r="K400" s="2"/>
      <c r="L400" s="2"/>
      <c r="M400" s="2"/>
      <c r="N400" s="2"/>
      <c r="O400" s="2"/>
      <c r="P400" s="2"/>
      <c r="Q400" s="2"/>
    </row>
    <row r="401" spans="1:17" ht="30" customHeight="1" x14ac:dyDescent="0.5">
      <c r="A401" s="7" t="s">
        <v>723</v>
      </c>
      <c r="B401" s="7" t="s">
        <v>724</v>
      </c>
      <c r="C401" s="8">
        <v>1206700010008</v>
      </c>
      <c r="D401" s="7" t="s">
        <v>737</v>
      </c>
      <c r="E401" s="7" t="s">
        <v>738</v>
      </c>
      <c r="F401" s="7">
        <v>2015</v>
      </c>
      <c r="G401" s="7" t="s">
        <v>433</v>
      </c>
      <c r="H401" s="7" t="s">
        <v>739</v>
      </c>
      <c r="I401" s="8" t="s">
        <v>740</v>
      </c>
      <c r="J401" s="2"/>
      <c r="K401" s="2"/>
      <c r="L401" s="2"/>
      <c r="M401" s="2"/>
      <c r="N401" s="2"/>
      <c r="O401" s="2"/>
      <c r="P401" s="2"/>
      <c r="Q401" s="2"/>
    </row>
    <row r="402" spans="1:17" ht="30" customHeight="1" x14ac:dyDescent="0.5">
      <c r="A402" s="7" t="s">
        <v>35</v>
      </c>
      <c r="B402" s="7" t="s">
        <v>741</v>
      </c>
      <c r="C402" s="8">
        <v>1101700010006</v>
      </c>
      <c r="D402" s="7" t="s">
        <v>1551</v>
      </c>
      <c r="E402" s="7" t="s">
        <v>742</v>
      </c>
      <c r="F402" s="7">
        <v>2015</v>
      </c>
      <c r="G402" s="7" t="s">
        <v>19</v>
      </c>
      <c r="H402" s="7" t="s">
        <v>52</v>
      </c>
      <c r="I402" s="8" t="s">
        <v>743</v>
      </c>
      <c r="J402" s="2"/>
      <c r="K402" s="2"/>
      <c r="L402" s="2"/>
      <c r="M402" s="2"/>
      <c r="N402" s="2"/>
      <c r="O402" s="2"/>
      <c r="P402" s="2"/>
      <c r="Q402" s="2"/>
    </row>
    <row r="403" spans="1:17" ht="30" customHeight="1" x14ac:dyDescent="0.5">
      <c r="A403" s="7" t="s">
        <v>35</v>
      </c>
      <c r="B403" s="7" t="s">
        <v>741</v>
      </c>
      <c r="C403" s="8">
        <v>1106700020003</v>
      </c>
      <c r="D403" s="7" t="s">
        <v>54</v>
      </c>
      <c r="E403" s="7" t="s">
        <v>744</v>
      </c>
      <c r="F403" s="7">
        <v>2013</v>
      </c>
      <c r="G403" s="7" t="s">
        <v>19</v>
      </c>
      <c r="H403" s="7" t="s">
        <v>56</v>
      </c>
      <c r="I403" s="8" t="s">
        <v>745</v>
      </c>
      <c r="J403" s="2"/>
      <c r="K403" s="2"/>
      <c r="L403" s="2"/>
      <c r="M403" s="2"/>
      <c r="N403" s="2"/>
      <c r="O403" s="2"/>
      <c r="P403" s="2"/>
      <c r="Q403" s="2"/>
    </row>
    <row r="404" spans="1:17" ht="30" customHeight="1" x14ac:dyDescent="0.5">
      <c r="A404" s="7" t="s">
        <v>35</v>
      </c>
      <c r="B404" s="7" t="s">
        <v>746</v>
      </c>
      <c r="C404" s="8">
        <v>1106700020003</v>
      </c>
      <c r="D404" s="7" t="s">
        <v>54</v>
      </c>
      <c r="E404" s="7" t="s">
        <v>749</v>
      </c>
      <c r="F404" s="7">
        <v>2014</v>
      </c>
      <c r="G404" s="7" t="s">
        <v>19</v>
      </c>
      <c r="H404" s="7" t="s">
        <v>56</v>
      </c>
      <c r="I404" s="8" t="s">
        <v>750</v>
      </c>
      <c r="J404" s="2"/>
      <c r="K404" s="2"/>
      <c r="L404" s="2"/>
      <c r="M404" s="2"/>
      <c r="N404" s="2"/>
      <c r="O404" s="2"/>
      <c r="P404" s="2"/>
      <c r="Q404" s="2"/>
    </row>
    <row r="405" spans="1:17" ht="30" customHeight="1" x14ac:dyDescent="0.5">
      <c r="A405" s="7" t="s">
        <v>35</v>
      </c>
      <c r="B405" s="7" t="s">
        <v>746</v>
      </c>
      <c r="C405" s="8">
        <v>1106700020003</v>
      </c>
      <c r="D405" s="7" t="s">
        <v>54</v>
      </c>
      <c r="E405" s="7" t="s">
        <v>751</v>
      </c>
      <c r="F405" s="7">
        <v>2016</v>
      </c>
      <c r="G405" s="7" t="s">
        <v>19</v>
      </c>
      <c r="H405" s="7" t="s">
        <v>56</v>
      </c>
      <c r="I405" s="8" t="s">
        <v>752</v>
      </c>
      <c r="J405" s="2"/>
      <c r="K405" s="2"/>
      <c r="L405" s="2"/>
      <c r="M405" s="2"/>
      <c r="N405" s="2"/>
      <c r="O405" s="2"/>
      <c r="P405" s="2"/>
      <c r="Q405" s="2"/>
    </row>
    <row r="406" spans="1:17" ht="30" customHeight="1" x14ac:dyDescent="0.5">
      <c r="A406" s="7" t="s">
        <v>35</v>
      </c>
      <c r="B406" s="7" t="s">
        <v>753</v>
      </c>
      <c r="C406" s="8">
        <v>1106700020003</v>
      </c>
      <c r="D406" s="7" t="s">
        <v>54</v>
      </c>
      <c r="E406" s="7" t="s">
        <v>758</v>
      </c>
      <c r="F406" s="7">
        <v>2013</v>
      </c>
      <c r="G406" s="7" t="s">
        <v>19</v>
      </c>
      <c r="H406" s="7" t="s">
        <v>56</v>
      </c>
      <c r="I406" s="8" t="s">
        <v>759</v>
      </c>
      <c r="J406" s="2"/>
      <c r="K406" s="2"/>
      <c r="L406" s="2"/>
      <c r="M406" s="2"/>
      <c r="N406" s="2"/>
      <c r="O406" s="2"/>
      <c r="P406" s="2"/>
      <c r="Q406" s="2"/>
    </row>
    <row r="407" spans="1:17" ht="30" customHeight="1" x14ac:dyDescent="0.5">
      <c r="A407" s="7" t="s">
        <v>35</v>
      </c>
      <c r="B407" s="7" t="s">
        <v>765</v>
      </c>
      <c r="C407" s="8">
        <v>1101700010006</v>
      </c>
      <c r="D407" s="7" t="s">
        <v>1551</v>
      </c>
      <c r="E407" s="7" t="s">
        <v>766</v>
      </c>
      <c r="F407" s="7">
        <v>2014</v>
      </c>
      <c r="G407" s="7" t="s">
        <v>19</v>
      </c>
      <c r="H407" s="7" t="s">
        <v>52</v>
      </c>
      <c r="I407" s="8" t="s">
        <v>767</v>
      </c>
      <c r="J407" s="2"/>
      <c r="K407" s="2"/>
      <c r="L407" s="2"/>
      <c r="M407" s="2"/>
      <c r="N407" s="2"/>
      <c r="O407" s="2"/>
      <c r="P407" s="2"/>
      <c r="Q407" s="2"/>
    </row>
    <row r="408" spans="1:17" ht="30" customHeight="1" x14ac:dyDescent="0.5">
      <c r="A408" s="7" t="s">
        <v>35</v>
      </c>
      <c r="B408" s="7" t="s">
        <v>770</v>
      </c>
      <c r="C408" s="8">
        <v>1106700010003</v>
      </c>
      <c r="D408" s="7" t="s">
        <v>102</v>
      </c>
      <c r="E408" s="7" t="s">
        <v>1445</v>
      </c>
      <c r="F408" s="7">
        <v>2002</v>
      </c>
      <c r="G408" s="7" t="s">
        <v>19</v>
      </c>
      <c r="H408" s="7" t="s">
        <v>104</v>
      </c>
      <c r="I408" s="8" t="s">
        <v>775</v>
      </c>
      <c r="J408" s="2"/>
      <c r="K408" s="2"/>
      <c r="L408" s="2"/>
      <c r="M408" s="2"/>
      <c r="N408" s="2"/>
      <c r="O408" s="2"/>
      <c r="P408" s="2"/>
      <c r="Q408" s="2"/>
    </row>
    <row r="409" spans="1:17" ht="30" customHeight="1" x14ac:dyDescent="0.5">
      <c r="A409" s="7" t="s">
        <v>35</v>
      </c>
      <c r="B409" s="7" t="s">
        <v>787</v>
      </c>
      <c r="C409" s="8">
        <v>1106700020003</v>
      </c>
      <c r="D409" s="7" t="s">
        <v>54</v>
      </c>
      <c r="E409" s="7" t="s">
        <v>790</v>
      </c>
      <c r="F409" s="7">
        <v>2014</v>
      </c>
      <c r="G409" s="7" t="s">
        <v>19</v>
      </c>
      <c r="H409" s="7" t="s">
        <v>56</v>
      </c>
      <c r="I409" s="8" t="s">
        <v>791</v>
      </c>
      <c r="J409" s="2"/>
      <c r="K409" s="2"/>
      <c r="L409" s="2"/>
      <c r="M409" s="2"/>
      <c r="N409" s="2"/>
      <c r="O409" s="2"/>
      <c r="P409" s="2"/>
      <c r="Q409" s="2"/>
    </row>
    <row r="410" spans="1:17" ht="30" customHeight="1" x14ac:dyDescent="0.5">
      <c r="A410" s="7" t="s">
        <v>35</v>
      </c>
      <c r="B410" s="7" t="s">
        <v>792</v>
      </c>
      <c r="C410" s="8">
        <v>1106700020003</v>
      </c>
      <c r="D410" s="7" t="s">
        <v>54</v>
      </c>
      <c r="E410" s="7" t="s">
        <v>795</v>
      </c>
      <c r="F410" s="7">
        <v>2012</v>
      </c>
      <c r="G410" s="7" t="s">
        <v>19</v>
      </c>
      <c r="H410" s="7" t="s">
        <v>56</v>
      </c>
      <c r="I410" s="8" t="s">
        <v>796</v>
      </c>
      <c r="J410" s="2"/>
      <c r="K410" s="2"/>
      <c r="L410" s="2"/>
      <c r="M410" s="2"/>
      <c r="N410" s="2"/>
      <c r="O410" s="2"/>
      <c r="P410" s="2"/>
      <c r="Q410" s="2"/>
    </row>
    <row r="411" spans="1:17" ht="30" customHeight="1" x14ac:dyDescent="0.5">
      <c r="A411" s="7" t="s">
        <v>35</v>
      </c>
      <c r="B411" s="7" t="s">
        <v>792</v>
      </c>
      <c r="C411" s="8">
        <v>1106700020010</v>
      </c>
      <c r="D411" s="7" t="s">
        <v>210</v>
      </c>
      <c r="E411" s="7" t="s">
        <v>797</v>
      </c>
      <c r="F411" s="7">
        <v>2006</v>
      </c>
      <c r="G411" s="7" t="s">
        <v>19</v>
      </c>
      <c r="H411" s="7" t="s">
        <v>56</v>
      </c>
      <c r="I411" s="8" t="s">
        <v>798</v>
      </c>
      <c r="J411" s="2"/>
      <c r="K411" s="2"/>
      <c r="L411" s="2"/>
      <c r="M411" s="2"/>
      <c r="N411" s="2"/>
      <c r="O411" s="2"/>
      <c r="P411" s="2"/>
      <c r="Q411" s="2"/>
    </row>
    <row r="412" spans="1:17" ht="30" customHeight="1" x14ac:dyDescent="0.5">
      <c r="A412" s="7" t="s">
        <v>35</v>
      </c>
      <c r="B412" s="7" t="s">
        <v>801</v>
      </c>
      <c r="C412" s="8">
        <v>1101700010006</v>
      </c>
      <c r="D412" s="7" t="s">
        <v>1551</v>
      </c>
      <c r="E412" s="7" t="s">
        <v>802</v>
      </c>
      <c r="F412" s="7">
        <v>2015</v>
      </c>
      <c r="G412" s="7" t="s">
        <v>19</v>
      </c>
      <c r="H412" s="7" t="s">
        <v>52</v>
      </c>
      <c r="I412" s="8" t="s">
        <v>803</v>
      </c>
      <c r="J412" s="2"/>
      <c r="K412" s="2"/>
      <c r="L412" s="2"/>
      <c r="M412" s="2"/>
      <c r="N412" s="2"/>
      <c r="O412" s="2"/>
      <c r="P412" s="2"/>
      <c r="Q412" s="2"/>
    </row>
    <row r="413" spans="1:17" ht="30" customHeight="1" x14ac:dyDescent="0.5">
      <c r="A413" s="7" t="s">
        <v>35</v>
      </c>
      <c r="B413" s="7" t="s">
        <v>801</v>
      </c>
      <c r="C413" s="8">
        <v>1106700020003</v>
      </c>
      <c r="D413" s="7" t="s">
        <v>54</v>
      </c>
      <c r="E413" s="7" t="s">
        <v>804</v>
      </c>
      <c r="F413" s="7">
        <v>2015</v>
      </c>
      <c r="G413" s="7" t="s">
        <v>19</v>
      </c>
      <c r="H413" s="7" t="s">
        <v>56</v>
      </c>
      <c r="I413" s="8" t="s">
        <v>805</v>
      </c>
      <c r="J413" s="2"/>
      <c r="K413" s="2"/>
      <c r="L413" s="2"/>
      <c r="M413" s="2"/>
      <c r="N413" s="2"/>
      <c r="O413" s="2"/>
      <c r="P413" s="2"/>
      <c r="Q413" s="2"/>
    </row>
    <row r="414" spans="1:17" ht="30" customHeight="1" x14ac:dyDescent="0.5">
      <c r="A414" s="7" t="s">
        <v>35</v>
      </c>
      <c r="B414" s="7" t="s">
        <v>806</v>
      </c>
      <c r="C414" s="8">
        <v>1106700020003</v>
      </c>
      <c r="D414" s="7" t="s">
        <v>54</v>
      </c>
      <c r="E414" s="7" t="s">
        <v>809</v>
      </c>
      <c r="F414" s="7">
        <v>2015</v>
      </c>
      <c r="G414" s="7" t="s">
        <v>19</v>
      </c>
      <c r="H414" s="7" t="s">
        <v>56</v>
      </c>
      <c r="I414" s="8" t="s">
        <v>810</v>
      </c>
      <c r="J414" s="2"/>
      <c r="K414" s="2"/>
      <c r="L414" s="2"/>
      <c r="M414" s="2"/>
      <c r="N414" s="2"/>
      <c r="O414" s="2"/>
      <c r="P414" s="2"/>
      <c r="Q414" s="2"/>
    </row>
    <row r="415" spans="1:17" ht="30" customHeight="1" x14ac:dyDescent="0.5">
      <c r="A415" s="7" t="s">
        <v>35</v>
      </c>
      <c r="B415" s="7" t="s">
        <v>820</v>
      </c>
      <c r="C415" s="8">
        <v>1101700010006</v>
      </c>
      <c r="D415" s="7" t="s">
        <v>1551</v>
      </c>
      <c r="E415" s="7" t="s">
        <v>821</v>
      </c>
      <c r="F415" s="7">
        <v>2013</v>
      </c>
      <c r="G415" s="7" t="s">
        <v>19</v>
      </c>
      <c r="H415" s="7" t="s">
        <v>52</v>
      </c>
      <c r="I415" s="8" t="s">
        <v>822</v>
      </c>
      <c r="J415" s="2"/>
      <c r="K415" s="2"/>
      <c r="L415" s="2"/>
      <c r="M415" s="2"/>
      <c r="N415" s="2"/>
      <c r="O415" s="2"/>
      <c r="P415" s="2"/>
      <c r="Q415" s="2"/>
    </row>
    <row r="416" spans="1:17" ht="30" customHeight="1" x14ac:dyDescent="0.5">
      <c r="A416" s="7" t="s">
        <v>35</v>
      </c>
      <c r="B416" s="7" t="s">
        <v>827</v>
      </c>
      <c r="C416" s="8">
        <v>1101700010006</v>
      </c>
      <c r="D416" s="7" t="s">
        <v>1551</v>
      </c>
      <c r="E416" s="7" t="s">
        <v>828</v>
      </c>
      <c r="F416" s="7">
        <v>2013</v>
      </c>
      <c r="G416" s="7" t="s">
        <v>19</v>
      </c>
      <c r="H416" s="7" t="s">
        <v>52</v>
      </c>
      <c r="I416" s="8" t="s">
        <v>829</v>
      </c>
      <c r="J416" s="2"/>
      <c r="K416" s="2"/>
      <c r="L416" s="2"/>
      <c r="M416" s="2"/>
      <c r="N416" s="2"/>
      <c r="O416" s="2"/>
      <c r="P416" s="2"/>
      <c r="Q416" s="2"/>
    </row>
    <row r="417" spans="1:17" ht="30" customHeight="1" x14ac:dyDescent="0.5">
      <c r="A417" s="7" t="s">
        <v>35</v>
      </c>
      <c r="B417" s="7" t="s">
        <v>827</v>
      </c>
      <c r="C417" s="8">
        <v>1106700020003</v>
      </c>
      <c r="D417" s="7" t="s">
        <v>54</v>
      </c>
      <c r="E417" s="7" t="s">
        <v>830</v>
      </c>
      <c r="F417" s="7">
        <v>2015</v>
      </c>
      <c r="G417" s="7" t="s">
        <v>19</v>
      </c>
      <c r="H417" s="7" t="s">
        <v>56</v>
      </c>
      <c r="I417" s="8" t="s">
        <v>831</v>
      </c>
      <c r="J417" s="2"/>
      <c r="K417" s="2"/>
      <c r="L417" s="2"/>
      <c r="M417" s="2"/>
      <c r="N417" s="2"/>
      <c r="O417" s="2"/>
      <c r="P417" s="2"/>
      <c r="Q417" s="2"/>
    </row>
    <row r="418" spans="1:17" ht="30" customHeight="1" x14ac:dyDescent="0.5">
      <c r="A418" s="7" t="s">
        <v>35</v>
      </c>
      <c r="B418" s="7" t="s">
        <v>827</v>
      </c>
      <c r="C418" s="8">
        <v>1106700020003</v>
      </c>
      <c r="D418" s="7" t="s">
        <v>54</v>
      </c>
      <c r="E418" s="7" t="s">
        <v>832</v>
      </c>
      <c r="F418" s="7">
        <v>2012</v>
      </c>
      <c r="G418" s="7" t="s">
        <v>19</v>
      </c>
      <c r="H418" s="7" t="s">
        <v>56</v>
      </c>
      <c r="I418" s="8" t="s">
        <v>833</v>
      </c>
      <c r="J418" s="2"/>
      <c r="K418" s="2"/>
      <c r="L418" s="2"/>
      <c r="M418" s="2"/>
      <c r="N418" s="2"/>
      <c r="O418" s="2"/>
      <c r="P418" s="2"/>
      <c r="Q418" s="2"/>
    </row>
    <row r="419" spans="1:17" ht="30" customHeight="1" x14ac:dyDescent="0.5">
      <c r="A419" s="7" t="s">
        <v>35</v>
      </c>
      <c r="B419" s="7" t="s">
        <v>834</v>
      </c>
      <c r="C419" s="8">
        <v>1101700010006</v>
      </c>
      <c r="D419" s="7" t="s">
        <v>1551</v>
      </c>
      <c r="E419" s="7" t="s">
        <v>835</v>
      </c>
      <c r="F419" s="7">
        <v>2015</v>
      </c>
      <c r="G419" s="7" t="s">
        <v>19</v>
      </c>
      <c r="H419" s="7" t="s">
        <v>52</v>
      </c>
      <c r="I419" s="8" t="s">
        <v>836</v>
      </c>
      <c r="J419" s="2"/>
      <c r="K419" s="2"/>
      <c r="L419" s="2"/>
      <c r="M419" s="2"/>
      <c r="N419" s="2"/>
      <c r="O419" s="2"/>
      <c r="P419" s="2"/>
      <c r="Q419" s="2"/>
    </row>
    <row r="420" spans="1:17" ht="30" customHeight="1" x14ac:dyDescent="0.5">
      <c r="A420" s="7" t="s">
        <v>35</v>
      </c>
      <c r="B420" s="7" t="s">
        <v>834</v>
      </c>
      <c r="C420" s="8">
        <v>1106700020003</v>
      </c>
      <c r="D420" s="7" t="s">
        <v>54</v>
      </c>
      <c r="E420" s="7" t="s">
        <v>839</v>
      </c>
      <c r="F420" s="7">
        <v>2015</v>
      </c>
      <c r="G420" s="7" t="s">
        <v>19</v>
      </c>
      <c r="H420" s="7" t="s">
        <v>56</v>
      </c>
      <c r="I420" s="8" t="s">
        <v>840</v>
      </c>
      <c r="J420" s="2"/>
      <c r="K420" s="2"/>
      <c r="L420" s="2"/>
      <c r="M420" s="2"/>
      <c r="N420" s="2"/>
      <c r="O420" s="2"/>
      <c r="P420" s="2"/>
      <c r="Q420" s="2"/>
    </row>
    <row r="421" spans="1:17" ht="30" customHeight="1" x14ac:dyDescent="0.5">
      <c r="A421" s="7" t="s">
        <v>35</v>
      </c>
      <c r="B421" s="7" t="s">
        <v>841</v>
      </c>
      <c r="C421" s="8">
        <v>1102700020004</v>
      </c>
      <c r="D421" s="7" t="s">
        <v>136</v>
      </c>
      <c r="E421" s="7" t="s">
        <v>844</v>
      </c>
      <c r="F421" s="7">
        <v>2017</v>
      </c>
      <c r="G421" s="7" t="s">
        <v>19</v>
      </c>
      <c r="H421" s="7" t="s">
        <v>66</v>
      </c>
      <c r="I421" s="8" t="s">
        <v>845</v>
      </c>
      <c r="J421" s="2"/>
      <c r="K421" s="2"/>
      <c r="L421" s="2"/>
      <c r="M421" s="2"/>
      <c r="N421" s="2"/>
      <c r="O421" s="2"/>
      <c r="P421" s="2"/>
      <c r="Q421" s="2"/>
    </row>
    <row r="422" spans="1:17" ht="30" customHeight="1" x14ac:dyDescent="0.5">
      <c r="A422" s="7" t="s">
        <v>35</v>
      </c>
      <c r="B422" s="7" t="s">
        <v>841</v>
      </c>
      <c r="C422" s="8">
        <v>1106700020003</v>
      </c>
      <c r="D422" s="7" t="s">
        <v>54</v>
      </c>
      <c r="E422" s="7" t="s">
        <v>847</v>
      </c>
      <c r="F422" s="7">
        <v>2015</v>
      </c>
      <c r="G422" s="7" t="s">
        <v>19</v>
      </c>
      <c r="H422" s="7" t="s">
        <v>56</v>
      </c>
      <c r="I422" s="8" t="s">
        <v>848</v>
      </c>
      <c r="J422" s="2"/>
      <c r="K422" s="2"/>
      <c r="L422" s="2"/>
      <c r="M422" s="2"/>
      <c r="N422" s="2"/>
      <c r="O422" s="2"/>
      <c r="P422" s="2"/>
      <c r="Q422" s="2"/>
    </row>
    <row r="423" spans="1:17" ht="30" customHeight="1" x14ac:dyDescent="0.5">
      <c r="A423" s="7" t="s">
        <v>35</v>
      </c>
      <c r="B423" s="7" t="s">
        <v>849</v>
      </c>
      <c r="C423" s="8">
        <v>1101700010006</v>
      </c>
      <c r="D423" s="7" t="s">
        <v>1551</v>
      </c>
      <c r="E423" s="7" t="s">
        <v>850</v>
      </c>
      <c r="F423" s="7">
        <v>2015</v>
      </c>
      <c r="G423" s="7" t="s">
        <v>19</v>
      </c>
      <c r="H423" s="7" t="s">
        <v>52</v>
      </c>
      <c r="I423" s="8" t="s">
        <v>851</v>
      </c>
      <c r="J423" s="2"/>
      <c r="K423" s="2"/>
      <c r="L423" s="2"/>
      <c r="M423" s="2"/>
      <c r="N423" s="2"/>
      <c r="O423" s="2"/>
      <c r="P423" s="2"/>
      <c r="Q423" s="2"/>
    </row>
    <row r="424" spans="1:17" ht="30" customHeight="1" x14ac:dyDescent="0.5">
      <c r="A424" s="7" t="s">
        <v>35</v>
      </c>
      <c r="B424" s="7" t="s">
        <v>849</v>
      </c>
      <c r="C424" s="8">
        <v>1106700020003</v>
      </c>
      <c r="D424" s="7" t="s">
        <v>54</v>
      </c>
      <c r="E424" s="7" t="s">
        <v>852</v>
      </c>
      <c r="F424" s="7">
        <v>2014</v>
      </c>
      <c r="G424" s="7" t="s">
        <v>19</v>
      </c>
      <c r="H424" s="7" t="s">
        <v>56</v>
      </c>
      <c r="I424" s="8" t="s">
        <v>853</v>
      </c>
      <c r="J424" s="2"/>
      <c r="K424" s="2"/>
      <c r="L424" s="2"/>
      <c r="M424" s="2"/>
      <c r="N424" s="2"/>
      <c r="O424" s="2"/>
      <c r="P424" s="2"/>
      <c r="Q424" s="2"/>
    </row>
    <row r="425" spans="1:17" ht="30" customHeight="1" x14ac:dyDescent="0.5">
      <c r="A425" s="7" t="s">
        <v>35</v>
      </c>
      <c r="B425" s="7" t="s">
        <v>854</v>
      </c>
      <c r="C425" s="8">
        <v>1102700020004</v>
      </c>
      <c r="D425" s="7" t="s">
        <v>136</v>
      </c>
      <c r="E425" s="7" t="s">
        <v>857</v>
      </c>
      <c r="F425" s="7">
        <v>2017</v>
      </c>
      <c r="G425" s="7" t="s">
        <v>19</v>
      </c>
      <c r="H425" s="7" t="s">
        <v>66</v>
      </c>
      <c r="I425" s="8" t="s">
        <v>858</v>
      </c>
      <c r="J425" s="2"/>
      <c r="K425" s="2"/>
      <c r="L425" s="2"/>
      <c r="M425" s="2"/>
      <c r="N425" s="2"/>
      <c r="O425" s="2"/>
      <c r="P425" s="2"/>
      <c r="Q425" s="2"/>
    </row>
    <row r="426" spans="1:17" ht="30" customHeight="1" x14ac:dyDescent="0.5">
      <c r="A426" s="7" t="s">
        <v>35</v>
      </c>
      <c r="B426" s="7" t="s">
        <v>868</v>
      </c>
      <c r="C426" s="8">
        <v>1204700020003</v>
      </c>
      <c r="D426" s="7" t="s">
        <v>13</v>
      </c>
      <c r="E426" s="7" t="s">
        <v>875</v>
      </c>
      <c r="F426" s="7">
        <v>2005</v>
      </c>
      <c r="G426" s="7" t="s">
        <v>4</v>
      </c>
      <c r="H426" s="7" t="s">
        <v>10</v>
      </c>
      <c r="I426" s="8" t="s">
        <v>876</v>
      </c>
      <c r="J426" s="2"/>
      <c r="K426" s="2"/>
      <c r="L426" s="2"/>
      <c r="M426" s="2"/>
      <c r="N426" s="2"/>
      <c r="O426" s="2"/>
      <c r="P426" s="2"/>
      <c r="Q426" s="2"/>
    </row>
    <row r="427" spans="1:17" ht="30" customHeight="1" x14ac:dyDescent="0.5">
      <c r="A427" s="7" t="s">
        <v>35</v>
      </c>
      <c r="B427" s="7" t="s">
        <v>887</v>
      </c>
      <c r="C427" s="8">
        <v>1101700010006</v>
      </c>
      <c r="D427" s="7" t="s">
        <v>1551</v>
      </c>
      <c r="E427" s="7" t="s">
        <v>888</v>
      </c>
      <c r="F427" s="7">
        <v>2015</v>
      </c>
      <c r="G427" s="7" t="s">
        <v>19</v>
      </c>
      <c r="H427" s="7" t="s">
        <v>52</v>
      </c>
      <c r="I427" s="8" t="s">
        <v>889</v>
      </c>
      <c r="J427" s="2"/>
      <c r="K427" s="2"/>
      <c r="L427" s="2"/>
      <c r="M427" s="2"/>
      <c r="N427" s="2"/>
      <c r="O427" s="2"/>
      <c r="P427" s="2"/>
      <c r="Q427" s="2"/>
    </row>
    <row r="428" spans="1:17" ht="30" customHeight="1" x14ac:dyDescent="0.5">
      <c r="A428" s="7" t="s">
        <v>35</v>
      </c>
      <c r="B428" s="7" t="s">
        <v>887</v>
      </c>
      <c r="C428" s="8">
        <v>1106700020003</v>
      </c>
      <c r="D428" s="7" t="s">
        <v>54</v>
      </c>
      <c r="E428" s="7" t="s">
        <v>890</v>
      </c>
      <c r="F428" s="7">
        <v>2015</v>
      </c>
      <c r="G428" s="7" t="s">
        <v>19</v>
      </c>
      <c r="H428" s="7" t="s">
        <v>56</v>
      </c>
      <c r="I428" s="8" t="s">
        <v>891</v>
      </c>
      <c r="J428" s="2"/>
      <c r="K428" s="2"/>
      <c r="L428" s="2"/>
      <c r="M428" s="2"/>
      <c r="N428" s="2"/>
      <c r="O428" s="2"/>
      <c r="P428" s="2"/>
      <c r="Q428" s="2"/>
    </row>
    <row r="429" spans="1:17" ht="30" customHeight="1" x14ac:dyDescent="0.5">
      <c r="A429" s="7" t="s">
        <v>35</v>
      </c>
      <c r="B429" s="7" t="s">
        <v>887</v>
      </c>
      <c r="C429" s="8">
        <v>1106700020003</v>
      </c>
      <c r="D429" s="7" t="s">
        <v>54</v>
      </c>
      <c r="E429" s="7" t="s">
        <v>892</v>
      </c>
      <c r="F429" s="7">
        <v>2015</v>
      </c>
      <c r="G429" s="7" t="s">
        <v>19</v>
      </c>
      <c r="H429" s="7" t="s">
        <v>56</v>
      </c>
      <c r="I429" s="8" t="s">
        <v>893</v>
      </c>
      <c r="J429" s="2"/>
      <c r="K429" s="2"/>
      <c r="L429" s="2"/>
      <c r="M429" s="2"/>
      <c r="N429" s="2"/>
      <c r="O429" s="2"/>
      <c r="P429" s="2"/>
      <c r="Q429" s="2"/>
    </row>
    <row r="430" spans="1:17" ht="30" customHeight="1" x14ac:dyDescent="0.5">
      <c r="A430" s="7" t="s">
        <v>35</v>
      </c>
      <c r="B430" s="7" t="s">
        <v>896</v>
      </c>
      <c r="C430" s="8">
        <v>1101700010006</v>
      </c>
      <c r="D430" s="7" t="s">
        <v>1551</v>
      </c>
      <c r="E430" s="7" t="s">
        <v>897</v>
      </c>
      <c r="F430" s="7">
        <v>2014</v>
      </c>
      <c r="G430" s="7" t="s">
        <v>19</v>
      </c>
      <c r="H430" s="7" t="s">
        <v>52</v>
      </c>
      <c r="I430" s="8" t="s">
        <v>898</v>
      </c>
      <c r="J430" s="2"/>
      <c r="K430" s="2"/>
      <c r="L430" s="2"/>
      <c r="M430" s="2"/>
      <c r="N430" s="2"/>
      <c r="O430" s="2"/>
      <c r="P430" s="2"/>
      <c r="Q430" s="2"/>
    </row>
    <row r="431" spans="1:17" ht="30" customHeight="1" x14ac:dyDescent="0.5">
      <c r="A431" s="7" t="s">
        <v>35</v>
      </c>
      <c r="B431" s="7" t="s">
        <v>896</v>
      </c>
      <c r="C431" s="8">
        <v>1106700020003</v>
      </c>
      <c r="D431" s="7" t="s">
        <v>54</v>
      </c>
      <c r="E431" s="7" t="s">
        <v>899</v>
      </c>
      <c r="F431" s="7">
        <v>2012</v>
      </c>
      <c r="G431" s="7" t="s">
        <v>19</v>
      </c>
      <c r="H431" s="7" t="s">
        <v>56</v>
      </c>
      <c r="I431" s="8" t="s">
        <v>900</v>
      </c>
      <c r="J431" s="2"/>
      <c r="K431" s="2"/>
      <c r="L431" s="2"/>
      <c r="M431" s="2"/>
      <c r="N431" s="2"/>
      <c r="O431" s="2"/>
      <c r="P431" s="2"/>
      <c r="Q431" s="2"/>
    </row>
    <row r="432" spans="1:17" ht="30" customHeight="1" x14ac:dyDescent="0.5">
      <c r="A432" s="7" t="s">
        <v>35</v>
      </c>
      <c r="B432" s="7" t="s">
        <v>901</v>
      </c>
      <c r="C432" s="8">
        <v>1101700010006</v>
      </c>
      <c r="D432" s="7" t="s">
        <v>1551</v>
      </c>
      <c r="E432" s="7" t="s">
        <v>902</v>
      </c>
      <c r="F432" s="7">
        <v>2015</v>
      </c>
      <c r="G432" s="7" t="s">
        <v>19</v>
      </c>
      <c r="H432" s="7" t="s">
        <v>52</v>
      </c>
      <c r="I432" s="8" t="s">
        <v>903</v>
      </c>
      <c r="J432" s="2"/>
      <c r="K432" s="2"/>
      <c r="L432" s="2"/>
      <c r="M432" s="2"/>
      <c r="N432" s="2"/>
      <c r="O432" s="2"/>
      <c r="P432" s="2"/>
      <c r="Q432" s="2"/>
    </row>
    <row r="433" spans="1:17" ht="30" customHeight="1" x14ac:dyDescent="0.5">
      <c r="A433" s="7" t="s">
        <v>35</v>
      </c>
      <c r="B433" s="7" t="s">
        <v>920</v>
      </c>
      <c r="C433" s="8">
        <v>1101700010006</v>
      </c>
      <c r="D433" s="7" t="s">
        <v>1551</v>
      </c>
      <c r="E433" s="7" t="s">
        <v>921</v>
      </c>
      <c r="F433" s="7">
        <v>2013</v>
      </c>
      <c r="G433" s="7" t="s">
        <v>19</v>
      </c>
      <c r="H433" s="7" t="s">
        <v>52</v>
      </c>
      <c r="I433" s="8" t="s">
        <v>922</v>
      </c>
      <c r="J433" s="2"/>
      <c r="K433" s="2"/>
      <c r="L433" s="2"/>
      <c r="M433" s="2"/>
      <c r="N433" s="2"/>
      <c r="O433" s="2"/>
      <c r="P433" s="2"/>
      <c r="Q433" s="2"/>
    </row>
    <row r="434" spans="1:17" ht="30" customHeight="1" x14ac:dyDescent="0.5">
      <c r="A434" s="7" t="s">
        <v>35</v>
      </c>
      <c r="B434" s="7" t="s">
        <v>920</v>
      </c>
      <c r="C434" s="8">
        <v>1106700020003</v>
      </c>
      <c r="D434" s="7" t="s">
        <v>54</v>
      </c>
      <c r="E434" s="7" t="s">
        <v>923</v>
      </c>
      <c r="F434" s="7">
        <v>2015</v>
      </c>
      <c r="G434" s="7" t="s">
        <v>19</v>
      </c>
      <c r="H434" s="7" t="s">
        <v>56</v>
      </c>
      <c r="I434" s="8" t="s">
        <v>924</v>
      </c>
      <c r="J434" s="2"/>
      <c r="K434" s="2"/>
      <c r="L434" s="2"/>
      <c r="M434" s="2"/>
      <c r="N434" s="2"/>
      <c r="O434" s="2"/>
      <c r="P434" s="2"/>
      <c r="Q434" s="2"/>
    </row>
    <row r="435" spans="1:17" ht="30" customHeight="1" x14ac:dyDescent="0.5">
      <c r="A435" s="7" t="s">
        <v>35</v>
      </c>
      <c r="B435" s="7" t="s">
        <v>925</v>
      </c>
      <c r="C435" s="8">
        <v>1101700010006</v>
      </c>
      <c r="D435" s="7" t="s">
        <v>1551</v>
      </c>
      <c r="E435" s="7" t="s">
        <v>926</v>
      </c>
      <c r="F435" s="7">
        <v>2012</v>
      </c>
      <c r="G435" s="7" t="s">
        <v>19</v>
      </c>
      <c r="H435" s="7" t="s">
        <v>52</v>
      </c>
      <c r="I435" s="8" t="s">
        <v>927</v>
      </c>
      <c r="J435" s="2"/>
      <c r="K435" s="2"/>
      <c r="L435" s="2"/>
      <c r="M435" s="2"/>
      <c r="N435" s="2"/>
      <c r="O435" s="2"/>
      <c r="P435" s="2"/>
      <c r="Q435" s="2"/>
    </row>
    <row r="436" spans="1:17" ht="30" customHeight="1" x14ac:dyDescent="0.5">
      <c r="A436" s="7" t="s">
        <v>35</v>
      </c>
      <c r="B436" s="7" t="s">
        <v>925</v>
      </c>
      <c r="C436" s="8">
        <v>1101700010008</v>
      </c>
      <c r="D436" s="7" t="s">
        <v>928</v>
      </c>
      <c r="E436" s="7" t="s">
        <v>929</v>
      </c>
      <c r="F436" s="7">
        <v>2021</v>
      </c>
      <c r="G436" s="7" t="s">
        <v>19</v>
      </c>
      <c r="H436" s="7" t="s">
        <v>42</v>
      </c>
      <c r="I436" s="8" t="s">
        <v>930</v>
      </c>
      <c r="J436" s="2"/>
      <c r="K436" s="2"/>
      <c r="L436" s="2"/>
      <c r="M436" s="2"/>
      <c r="N436" s="2"/>
      <c r="O436" s="2"/>
      <c r="P436" s="2"/>
      <c r="Q436" s="2"/>
    </row>
    <row r="437" spans="1:17" ht="30" customHeight="1" x14ac:dyDescent="0.5">
      <c r="A437" s="7" t="s">
        <v>0</v>
      </c>
      <c r="B437" s="7" t="s">
        <v>942</v>
      </c>
      <c r="C437" s="8">
        <v>1204700020002</v>
      </c>
      <c r="D437" s="7" t="s">
        <v>178</v>
      </c>
      <c r="E437" s="7" t="s">
        <v>943</v>
      </c>
      <c r="F437" s="7">
        <v>2013</v>
      </c>
      <c r="G437" s="7" t="s">
        <v>19</v>
      </c>
      <c r="H437" s="7" t="s">
        <v>10</v>
      </c>
      <c r="I437" s="8" t="s">
        <v>944</v>
      </c>
      <c r="J437" s="2"/>
      <c r="K437" s="2"/>
      <c r="L437" s="2"/>
      <c r="M437" s="2"/>
      <c r="N437" s="2"/>
      <c r="O437" s="2"/>
      <c r="P437" s="2"/>
      <c r="Q437" s="2"/>
    </row>
    <row r="438" spans="1:17" ht="30" customHeight="1" x14ac:dyDescent="0.5">
      <c r="A438" s="7" t="s">
        <v>945</v>
      </c>
      <c r="B438" s="7" t="s">
        <v>946</v>
      </c>
      <c r="C438" s="8">
        <v>1204700010003</v>
      </c>
      <c r="D438" s="7" t="s">
        <v>96</v>
      </c>
      <c r="E438" s="7" t="s">
        <v>947</v>
      </c>
      <c r="F438" s="7">
        <v>2020</v>
      </c>
      <c r="G438" s="7" t="s">
        <v>19</v>
      </c>
      <c r="H438" s="7" t="s">
        <v>948</v>
      </c>
      <c r="I438" s="8" t="s">
        <v>949</v>
      </c>
      <c r="J438" s="2"/>
      <c r="K438" s="2"/>
      <c r="L438" s="2"/>
      <c r="M438" s="2"/>
      <c r="N438" s="2"/>
      <c r="O438" s="2"/>
      <c r="P438" s="2"/>
      <c r="Q438" s="2"/>
    </row>
    <row r="439" spans="1:17" ht="30" customHeight="1" x14ac:dyDescent="0.5">
      <c r="A439" s="7" t="s">
        <v>945</v>
      </c>
      <c r="B439" s="7" t="s">
        <v>946</v>
      </c>
      <c r="C439" s="8">
        <v>1204700020002</v>
      </c>
      <c r="D439" s="7" t="s">
        <v>178</v>
      </c>
      <c r="E439" s="7" t="s">
        <v>950</v>
      </c>
      <c r="F439" s="7">
        <v>2011</v>
      </c>
      <c r="G439" s="7" t="s">
        <v>19</v>
      </c>
      <c r="H439" s="7" t="s">
        <v>10</v>
      </c>
      <c r="I439" s="8" t="s">
        <v>951</v>
      </c>
      <c r="J439" s="2"/>
      <c r="K439" s="2"/>
      <c r="L439" s="2"/>
      <c r="M439" s="2"/>
      <c r="N439" s="2"/>
      <c r="O439" s="2"/>
      <c r="P439" s="2"/>
      <c r="Q439" s="2"/>
    </row>
    <row r="440" spans="1:17" ht="30" customHeight="1" x14ac:dyDescent="0.5">
      <c r="A440" s="7" t="s">
        <v>945</v>
      </c>
      <c r="B440" s="7" t="s">
        <v>946</v>
      </c>
      <c r="C440" s="8">
        <v>1204700020009</v>
      </c>
      <c r="D440" s="7" t="s">
        <v>29</v>
      </c>
      <c r="E440" s="7" t="s">
        <v>952</v>
      </c>
      <c r="F440" s="7">
        <v>2016</v>
      </c>
      <c r="G440" s="7" t="s">
        <v>19</v>
      </c>
      <c r="H440" s="7" t="s">
        <v>261</v>
      </c>
      <c r="I440" s="8" t="s">
        <v>953</v>
      </c>
      <c r="J440" s="2"/>
      <c r="K440" s="2"/>
      <c r="L440" s="2"/>
      <c r="M440" s="2"/>
      <c r="N440" s="2"/>
      <c r="O440" s="2"/>
      <c r="P440" s="2"/>
      <c r="Q440" s="2"/>
    </row>
    <row r="441" spans="1:17" ht="30" customHeight="1" x14ac:dyDescent="0.5">
      <c r="A441" s="7" t="s">
        <v>945</v>
      </c>
      <c r="B441" s="7" t="s">
        <v>946</v>
      </c>
      <c r="C441" s="8">
        <v>1204700020009</v>
      </c>
      <c r="D441" s="7" t="s">
        <v>29</v>
      </c>
      <c r="E441" s="7" t="s">
        <v>954</v>
      </c>
      <c r="F441" s="7">
        <v>2016</v>
      </c>
      <c r="G441" s="7" t="s">
        <v>19</v>
      </c>
      <c r="H441" s="7" t="s">
        <v>261</v>
      </c>
      <c r="I441" s="8" t="s">
        <v>955</v>
      </c>
      <c r="J441" s="2"/>
      <c r="K441" s="2"/>
      <c r="L441" s="2"/>
      <c r="M441" s="2"/>
      <c r="N441" s="2"/>
      <c r="O441" s="2"/>
      <c r="P441" s="2"/>
      <c r="Q441" s="2"/>
    </row>
    <row r="442" spans="1:17" ht="30" customHeight="1" x14ac:dyDescent="0.5">
      <c r="A442" s="7" t="s">
        <v>945</v>
      </c>
      <c r="B442" s="7" t="s">
        <v>946</v>
      </c>
      <c r="C442" s="8">
        <v>1204700020009</v>
      </c>
      <c r="D442" s="7" t="s">
        <v>29</v>
      </c>
      <c r="E442" s="7" t="s">
        <v>956</v>
      </c>
      <c r="F442" s="7">
        <v>2016</v>
      </c>
      <c r="G442" s="7" t="s">
        <v>19</v>
      </c>
      <c r="H442" s="7" t="s">
        <v>261</v>
      </c>
      <c r="I442" s="8" t="s">
        <v>957</v>
      </c>
      <c r="J442" s="2"/>
      <c r="K442" s="2"/>
      <c r="L442" s="2"/>
      <c r="M442" s="2"/>
      <c r="N442" s="2"/>
      <c r="O442" s="2"/>
      <c r="P442" s="2"/>
      <c r="Q442" s="2"/>
    </row>
    <row r="443" spans="1:17" ht="30" customHeight="1" x14ac:dyDescent="0.5">
      <c r="A443" s="7" t="s">
        <v>945</v>
      </c>
      <c r="B443" s="7" t="s">
        <v>946</v>
      </c>
      <c r="C443" s="8">
        <v>1204700020009</v>
      </c>
      <c r="D443" s="7" t="s">
        <v>29</v>
      </c>
      <c r="E443" s="7" t="s">
        <v>958</v>
      </c>
      <c r="F443" s="7">
        <v>2016</v>
      </c>
      <c r="G443" s="7" t="s">
        <v>19</v>
      </c>
      <c r="H443" s="7" t="s">
        <v>261</v>
      </c>
      <c r="I443" s="8" t="s">
        <v>959</v>
      </c>
      <c r="J443" s="2"/>
      <c r="K443" s="2"/>
      <c r="L443" s="2"/>
      <c r="M443" s="2"/>
      <c r="N443" s="2"/>
      <c r="O443" s="2"/>
      <c r="P443" s="2"/>
      <c r="Q443" s="2"/>
    </row>
    <row r="444" spans="1:17" ht="30" customHeight="1" x14ac:dyDescent="0.5">
      <c r="A444" s="7" t="s">
        <v>945</v>
      </c>
      <c r="B444" s="7" t="s">
        <v>946</v>
      </c>
      <c r="C444" s="8">
        <v>1204700020009</v>
      </c>
      <c r="D444" s="7" t="s">
        <v>29</v>
      </c>
      <c r="E444" s="7" t="s">
        <v>960</v>
      </c>
      <c r="F444" s="7">
        <v>2016</v>
      </c>
      <c r="G444" s="7" t="s">
        <v>19</v>
      </c>
      <c r="H444" s="7" t="s">
        <v>261</v>
      </c>
      <c r="I444" s="8" t="s">
        <v>961</v>
      </c>
      <c r="J444" s="2"/>
      <c r="K444" s="2"/>
      <c r="L444" s="2"/>
      <c r="M444" s="2"/>
      <c r="N444" s="2"/>
      <c r="O444" s="2"/>
      <c r="P444" s="2"/>
      <c r="Q444" s="2"/>
    </row>
    <row r="445" spans="1:17" ht="30" customHeight="1" x14ac:dyDescent="0.5">
      <c r="A445" s="7" t="s">
        <v>945</v>
      </c>
      <c r="B445" s="7" t="s">
        <v>946</v>
      </c>
      <c r="C445" s="8">
        <v>1303700010001</v>
      </c>
      <c r="D445" s="7" t="s">
        <v>421</v>
      </c>
      <c r="E445" s="7" t="s">
        <v>962</v>
      </c>
      <c r="F445" s="7">
        <v>2010</v>
      </c>
      <c r="G445" s="7" t="s">
        <v>4</v>
      </c>
      <c r="H445" s="7" t="s">
        <v>423</v>
      </c>
      <c r="I445" s="8" t="s">
        <v>963</v>
      </c>
      <c r="J445" s="2"/>
      <c r="K445" s="2"/>
      <c r="L445" s="2"/>
      <c r="M445" s="2"/>
      <c r="N445" s="2"/>
      <c r="O445" s="2"/>
      <c r="P445" s="2"/>
      <c r="Q445" s="2"/>
    </row>
    <row r="446" spans="1:17" ht="30" customHeight="1" x14ac:dyDescent="0.5">
      <c r="A446" s="7" t="s">
        <v>945</v>
      </c>
      <c r="B446" s="7" t="s">
        <v>946</v>
      </c>
      <c r="C446" s="8">
        <v>1303700010001</v>
      </c>
      <c r="D446" s="7" t="s">
        <v>421</v>
      </c>
      <c r="E446" s="7" t="s">
        <v>964</v>
      </c>
      <c r="F446" s="7">
        <v>2010</v>
      </c>
      <c r="G446" s="7" t="s">
        <v>4</v>
      </c>
      <c r="H446" s="7" t="s">
        <v>423</v>
      </c>
      <c r="I446" s="8" t="s">
        <v>965</v>
      </c>
      <c r="J446" s="2"/>
      <c r="K446" s="2"/>
      <c r="L446" s="2"/>
      <c r="M446" s="2"/>
      <c r="N446" s="2"/>
      <c r="O446" s="2"/>
      <c r="P446" s="2"/>
      <c r="Q446" s="2"/>
    </row>
    <row r="447" spans="1:17" ht="30" customHeight="1" x14ac:dyDescent="0.5">
      <c r="A447" s="7" t="s">
        <v>945</v>
      </c>
      <c r="B447" s="7" t="s">
        <v>946</v>
      </c>
      <c r="C447" s="8">
        <v>1303700010001</v>
      </c>
      <c r="D447" s="7" t="s">
        <v>421</v>
      </c>
      <c r="E447" s="7" t="s">
        <v>966</v>
      </c>
      <c r="F447" s="7">
        <v>2011</v>
      </c>
      <c r="G447" s="7" t="s">
        <v>4</v>
      </c>
      <c r="H447" s="7" t="s">
        <v>423</v>
      </c>
      <c r="I447" s="8" t="s">
        <v>967</v>
      </c>
      <c r="J447" s="2"/>
      <c r="K447" s="2"/>
      <c r="L447" s="2"/>
      <c r="M447" s="2"/>
      <c r="N447" s="2"/>
      <c r="O447" s="2"/>
      <c r="P447" s="2"/>
      <c r="Q447" s="2"/>
    </row>
    <row r="448" spans="1:17" ht="30" customHeight="1" x14ac:dyDescent="0.5">
      <c r="A448" s="7" t="s">
        <v>35</v>
      </c>
      <c r="B448" s="7" t="s">
        <v>968</v>
      </c>
      <c r="C448" s="8">
        <v>1101700010006</v>
      </c>
      <c r="D448" s="7" t="s">
        <v>1551</v>
      </c>
      <c r="E448" s="7" t="s">
        <v>969</v>
      </c>
      <c r="F448" s="7">
        <v>2015</v>
      </c>
      <c r="G448" s="7" t="s">
        <v>19</v>
      </c>
      <c r="H448" s="7" t="s">
        <v>52</v>
      </c>
      <c r="I448" s="8" t="s">
        <v>970</v>
      </c>
      <c r="J448" s="2"/>
      <c r="K448" s="2"/>
      <c r="L448" s="2"/>
      <c r="M448" s="2"/>
      <c r="N448" s="2"/>
      <c r="O448" s="2"/>
      <c r="P448" s="2"/>
      <c r="Q448" s="2"/>
    </row>
    <row r="449" spans="1:17" ht="30" customHeight="1" x14ac:dyDescent="0.5">
      <c r="A449" s="7" t="s">
        <v>35</v>
      </c>
      <c r="B449" s="7" t="s">
        <v>968</v>
      </c>
      <c r="C449" s="8">
        <v>1106700020003</v>
      </c>
      <c r="D449" s="7" t="s">
        <v>54</v>
      </c>
      <c r="E449" s="7" t="s">
        <v>971</v>
      </c>
      <c r="F449" s="7">
        <v>2015</v>
      </c>
      <c r="G449" s="7" t="s">
        <v>19</v>
      </c>
      <c r="H449" s="7" t="s">
        <v>56</v>
      </c>
      <c r="I449" s="8" t="s">
        <v>972</v>
      </c>
      <c r="J449" s="2"/>
      <c r="K449" s="2"/>
      <c r="L449" s="2"/>
      <c r="M449" s="2"/>
      <c r="N449" s="2"/>
      <c r="O449" s="2"/>
      <c r="P449" s="2"/>
      <c r="Q449" s="2"/>
    </row>
    <row r="450" spans="1:17" ht="30" customHeight="1" x14ac:dyDescent="0.5">
      <c r="A450" s="7" t="s">
        <v>35</v>
      </c>
      <c r="B450" s="7" t="s">
        <v>973</v>
      </c>
      <c r="C450" s="8">
        <v>1106700020003</v>
      </c>
      <c r="D450" s="7" t="s">
        <v>54</v>
      </c>
      <c r="E450" s="7" t="s">
        <v>978</v>
      </c>
      <c r="F450" s="7">
        <v>2015</v>
      </c>
      <c r="G450" s="7" t="s">
        <v>19</v>
      </c>
      <c r="H450" s="7" t="s">
        <v>56</v>
      </c>
      <c r="I450" s="8" t="s">
        <v>979</v>
      </c>
      <c r="J450" s="2"/>
      <c r="K450" s="2"/>
      <c r="L450" s="2"/>
      <c r="M450" s="2"/>
      <c r="N450" s="2"/>
      <c r="O450" s="2"/>
      <c r="P450" s="2"/>
      <c r="Q450" s="2"/>
    </row>
    <row r="451" spans="1:17" ht="30" customHeight="1" x14ac:dyDescent="0.5">
      <c r="A451" s="7" t="s">
        <v>35</v>
      </c>
      <c r="B451" s="7" t="s">
        <v>980</v>
      </c>
      <c r="C451" s="8">
        <v>1101700010006</v>
      </c>
      <c r="D451" s="7" t="s">
        <v>1551</v>
      </c>
      <c r="E451" s="7" t="s">
        <v>981</v>
      </c>
      <c r="F451" s="7">
        <v>2015</v>
      </c>
      <c r="G451" s="7" t="s">
        <v>19</v>
      </c>
      <c r="H451" s="7" t="s">
        <v>52</v>
      </c>
      <c r="I451" s="8" t="s">
        <v>982</v>
      </c>
      <c r="J451" s="2"/>
      <c r="K451" s="2"/>
      <c r="L451" s="2"/>
      <c r="M451" s="2"/>
      <c r="N451" s="2"/>
      <c r="O451" s="2"/>
      <c r="P451" s="2"/>
      <c r="Q451" s="2"/>
    </row>
    <row r="452" spans="1:17" ht="30" customHeight="1" x14ac:dyDescent="0.5">
      <c r="A452" s="7" t="s">
        <v>35</v>
      </c>
      <c r="B452" s="7" t="s">
        <v>980</v>
      </c>
      <c r="C452" s="8">
        <v>1106700020003</v>
      </c>
      <c r="D452" s="7" t="s">
        <v>54</v>
      </c>
      <c r="E452" s="7" t="s">
        <v>983</v>
      </c>
      <c r="F452" s="7">
        <v>2015</v>
      </c>
      <c r="G452" s="7" t="s">
        <v>19</v>
      </c>
      <c r="H452" s="7" t="s">
        <v>56</v>
      </c>
      <c r="I452" s="8" t="s">
        <v>984</v>
      </c>
      <c r="J452" s="2"/>
      <c r="K452" s="2"/>
      <c r="L452" s="2"/>
      <c r="M452" s="2"/>
      <c r="N452" s="2"/>
      <c r="O452" s="2"/>
      <c r="P452" s="2"/>
      <c r="Q452" s="2"/>
    </row>
    <row r="453" spans="1:17" ht="30" customHeight="1" x14ac:dyDescent="0.5">
      <c r="B453" s="7" t="s">
        <v>980</v>
      </c>
      <c r="C453" s="8">
        <v>1106700020003</v>
      </c>
      <c r="D453" s="7" t="s">
        <v>54</v>
      </c>
      <c r="E453" s="7" t="s">
        <v>985</v>
      </c>
      <c r="F453" s="7">
        <v>2016</v>
      </c>
      <c r="G453" s="7" t="s">
        <v>19</v>
      </c>
      <c r="H453" s="7" t="s">
        <v>56</v>
      </c>
      <c r="I453" s="8" t="s">
        <v>986</v>
      </c>
      <c r="J453" s="2"/>
      <c r="K453" s="2"/>
      <c r="L453" s="2"/>
      <c r="M453" s="2"/>
      <c r="N453" s="2"/>
      <c r="O453" s="2"/>
      <c r="P453" s="2"/>
      <c r="Q453" s="2"/>
    </row>
    <row r="454" spans="1:17" ht="30" customHeight="1" x14ac:dyDescent="0.5">
      <c r="A454" s="7" t="s">
        <v>945</v>
      </c>
      <c r="B454" s="7" t="s">
        <v>987</v>
      </c>
      <c r="C454" s="8">
        <v>1204700010003</v>
      </c>
      <c r="D454" s="7" t="s">
        <v>96</v>
      </c>
      <c r="E454" s="7" t="s">
        <v>988</v>
      </c>
      <c r="F454" s="7">
        <v>2020</v>
      </c>
      <c r="G454" s="7" t="s">
        <v>19</v>
      </c>
      <c r="H454" s="7" t="s">
        <v>377</v>
      </c>
      <c r="I454" s="8" t="s">
        <v>989</v>
      </c>
      <c r="J454" s="2"/>
      <c r="K454" s="2"/>
      <c r="L454" s="2"/>
      <c r="M454" s="2"/>
      <c r="N454" s="2"/>
      <c r="O454" s="2"/>
      <c r="P454" s="2"/>
      <c r="Q454" s="2"/>
    </row>
    <row r="455" spans="1:17" ht="30" customHeight="1" x14ac:dyDescent="0.5">
      <c r="A455" s="7" t="s">
        <v>945</v>
      </c>
      <c r="B455" s="7" t="s">
        <v>987</v>
      </c>
      <c r="C455" s="8">
        <v>1204700020009</v>
      </c>
      <c r="D455" s="7" t="s">
        <v>29</v>
      </c>
      <c r="E455" s="7" t="s">
        <v>990</v>
      </c>
      <c r="F455" s="7">
        <v>2016</v>
      </c>
      <c r="G455" s="7" t="s">
        <v>19</v>
      </c>
      <c r="H455" s="7" t="s">
        <v>261</v>
      </c>
      <c r="I455" s="8" t="s">
        <v>991</v>
      </c>
      <c r="J455" s="2"/>
      <c r="K455" s="2"/>
      <c r="L455" s="2"/>
      <c r="M455" s="2"/>
      <c r="N455" s="2"/>
      <c r="O455" s="2"/>
      <c r="P455" s="2"/>
      <c r="Q455" s="2"/>
    </row>
    <row r="456" spans="1:17" ht="30" customHeight="1" x14ac:dyDescent="0.5">
      <c r="A456" s="7" t="s">
        <v>945</v>
      </c>
      <c r="B456" s="7" t="s">
        <v>987</v>
      </c>
      <c r="C456" s="8">
        <v>1204700020009</v>
      </c>
      <c r="D456" s="7" t="s">
        <v>29</v>
      </c>
      <c r="E456" s="7" t="s">
        <v>992</v>
      </c>
      <c r="F456" s="7">
        <v>2016</v>
      </c>
      <c r="G456" s="7" t="s">
        <v>19</v>
      </c>
      <c r="H456" s="7" t="s">
        <v>261</v>
      </c>
      <c r="I456" s="8" t="s">
        <v>993</v>
      </c>
      <c r="J456" s="2"/>
      <c r="K456" s="2"/>
      <c r="L456" s="2"/>
      <c r="M456" s="2"/>
      <c r="N456" s="2"/>
      <c r="O456" s="2"/>
      <c r="P456" s="2"/>
      <c r="Q456" s="2"/>
    </row>
    <row r="457" spans="1:17" ht="30" customHeight="1" x14ac:dyDescent="0.5">
      <c r="A457" s="7" t="s">
        <v>945</v>
      </c>
      <c r="B457" s="7" t="s">
        <v>987</v>
      </c>
      <c r="C457" s="8">
        <v>1204700020009</v>
      </c>
      <c r="D457" s="7" t="s">
        <v>29</v>
      </c>
      <c r="E457" s="7" t="s">
        <v>994</v>
      </c>
      <c r="F457" s="7">
        <v>2016</v>
      </c>
      <c r="G457" s="7" t="s">
        <v>19</v>
      </c>
      <c r="H457" s="7" t="s">
        <v>261</v>
      </c>
      <c r="I457" s="8" t="s">
        <v>995</v>
      </c>
      <c r="J457" s="2"/>
      <c r="K457" s="2"/>
      <c r="L457" s="2"/>
      <c r="M457" s="2"/>
      <c r="N457" s="2"/>
      <c r="O457" s="2"/>
      <c r="P457" s="2"/>
      <c r="Q457" s="2"/>
    </row>
    <row r="458" spans="1:17" ht="30" customHeight="1" x14ac:dyDescent="0.5">
      <c r="A458" s="7" t="s">
        <v>945</v>
      </c>
      <c r="B458" s="7" t="s">
        <v>987</v>
      </c>
      <c r="C458" s="8">
        <v>1204700020009</v>
      </c>
      <c r="D458" s="7" t="s">
        <v>29</v>
      </c>
      <c r="E458" s="7" t="s">
        <v>996</v>
      </c>
      <c r="F458" s="7">
        <v>2016</v>
      </c>
      <c r="G458" s="7" t="s">
        <v>19</v>
      </c>
      <c r="H458" s="7" t="s">
        <v>261</v>
      </c>
      <c r="I458" s="8" t="s">
        <v>997</v>
      </c>
      <c r="J458" s="2"/>
      <c r="K458" s="2"/>
      <c r="L458" s="2"/>
      <c r="M458" s="2"/>
      <c r="N458" s="2"/>
      <c r="O458" s="2"/>
      <c r="P458" s="2"/>
      <c r="Q458" s="2"/>
    </row>
    <row r="459" spans="1:17" ht="30" customHeight="1" x14ac:dyDescent="0.5">
      <c r="A459" s="7" t="s">
        <v>945</v>
      </c>
      <c r="B459" s="7" t="s">
        <v>987</v>
      </c>
      <c r="C459" s="8">
        <v>1204700020009</v>
      </c>
      <c r="D459" s="7" t="s">
        <v>29</v>
      </c>
      <c r="E459" s="7" t="s">
        <v>998</v>
      </c>
      <c r="F459" s="7">
        <v>2016</v>
      </c>
      <c r="G459" s="7" t="s">
        <v>19</v>
      </c>
      <c r="H459" s="7" t="s">
        <v>261</v>
      </c>
      <c r="I459" s="8" t="s">
        <v>999</v>
      </c>
      <c r="J459" s="2"/>
      <c r="K459" s="2"/>
      <c r="L459" s="2"/>
      <c r="M459" s="2"/>
      <c r="N459" s="2"/>
      <c r="O459" s="2"/>
      <c r="P459" s="2"/>
      <c r="Q459" s="2"/>
    </row>
    <row r="460" spans="1:17" ht="30" customHeight="1" x14ac:dyDescent="0.5">
      <c r="A460" s="7" t="s">
        <v>945</v>
      </c>
      <c r="B460" s="7" t="s">
        <v>987</v>
      </c>
      <c r="C460" s="8">
        <v>1303700010001</v>
      </c>
      <c r="D460" s="7" t="s">
        <v>421</v>
      </c>
      <c r="E460" s="7" t="s">
        <v>1000</v>
      </c>
      <c r="F460" s="7">
        <v>2011</v>
      </c>
      <c r="G460" s="7" t="s">
        <v>4</v>
      </c>
      <c r="H460" s="7" t="s">
        <v>423</v>
      </c>
      <c r="I460" s="8" t="s">
        <v>1001</v>
      </c>
      <c r="J460" s="2"/>
      <c r="K460" s="2"/>
      <c r="L460" s="2"/>
      <c r="M460" s="2"/>
      <c r="N460" s="2"/>
      <c r="O460" s="2"/>
      <c r="P460" s="2"/>
      <c r="Q460" s="2"/>
    </row>
    <row r="461" spans="1:17" ht="30" customHeight="1" x14ac:dyDescent="0.5">
      <c r="A461" s="7" t="s">
        <v>945</v>
      </c>
      <c r="B461" s="7" t="s">
        <v>987</v>
      </c>
      <c r="C461" s="8">
        <v>1306700010001</v>
      </c>
      <c r="D461" s="7" t="s">
        <v>1002</v>
      </c>
      <c r="E461" s="7" t="s">
        <v>1003</v>
      </c>
      <c r="F461" s="7">
        <v>2012</v>
      </c>
      <c r="G461" s="7" t="s">
        <v>19</v>
      </c>
      <c r="H461" s="7" t="s">
        <v>423</v>
      </c>
      <c r="I461" s="8" t="s">
        <v>1004</v>
      </c>
      <c r="J461" s="2"/>
      <c r="K461" s="2"/>
      <c r="L461" s="2"/>
      <c r="M461" s="2"/>
      <c r="N461" s="2"/>
      <c r="O461" s="2"/>
      <c r="P461" s="2"/>
      <c r="Q461" s="2"/>
    </row>
    <row r="462" spans="1:17" ht="30" customHeight="1" x14ac:dyDescent="0.5">
      <c r="A462" s="7" t="s">
        <v>945</v>
      </c>
      <c r="B462" s="7" t="s">
        <v>987</v>
      </c>
      <c r="C462" s="8">
        <v>1306700010002</v>
      </c>
      <c r="D462" s="7" t="s">
        <v>1005</v>
      </c>
      <c r="E462" s="7" t="s">
        <v>1456</v>
      </c>
      <c r="F462" s="7">
        <v>2013</v>
      </c>
      <c r="G462" s="7" t="s">
        <v>19</v>
      </c>
      <c r="H462" s="7" t="s">
        <v>423</v>
      </c>
      <c r="I462" s="8" t="s">
        <v>1006</v>
      </c>
      <c r="J462" s="2"/>
      <c r="K462" s="2"/>
      <c r="L462" s="2"/>
      <c r="M462" s="2"/>
      <c r="N462" s="2"/>
      <c r="O462" s="2"/>
      <c r="P462" s="2"/>
      <c r="Q462" s="2"/>
    </row>
    <row r="463" spans="1:17" ht="30" customHeight="1" x14ac:dyDescent="0.5">
      <c r="A463" s="7" t="s">
        <v>945</v>
      </c>
      <c r="B463" s="7" t="s">
        <v>1007</v>
      </c>
      <c r="C463" s="8">
        <v>1204700010003</v>
      </c>
      <c r="D463" s="7" t="s">
        <v>96</v>
      </c>
      <c r="E463" s="7" t="s">
        <v>1008</v>
      </c>
      <c r="F463" s="7">
        <v>2020</v>
      </c>
      <c r="G463" s="7" t="s">
        <v>19</v>
      </c>
      <c r="H463" s="7" t="s">
        <v>948</v>
      </c>
      <c r="I463" s="8" t="s">
        <v>1009</v>
      </c>
      <c r="J463" s="2"/>
      <c r="K463" s="2"/>
      <c r="L463" s="2"/>
      <c r="M463" s="2"/>
      <c r="N463" s="2"/>
      <c r="O463" s="2"/>
      <c r="P463" s="2"/>
      <c r="Q463" s="2"/>
    </row>
    <row r="464" spans="1:17" ht="30" customHeight="1" x14ac:dyDescent="0.5">
      <c r="A464" s="7" t="s">
        <v>945</v>
      </c>
      <c r="B464" s="7" t="s">
        <v>1007</v>
      </c>
      <c r="C464" s="8">
        <v>1204700020002</v>
      </c>
      <c r="D464" s="7" t="s">
        <v>178</v>
      </c>
      <c r="E464" s="7" t="s">
        <v>1010</v>
      </c>
      <c r="F464" s="7">
        <v>2011</v>
      </c>
      <c r="G464" s="7" t="s">
        <v>19</v>
      </c>
      <c r="H464" s="7" t="s">
        <v>10</v>
      </c>
      <c r="I464" s="8" t="s">
        <v>1011</v>
      </c>
      <c r="J464" s="2"/>
      <c r="K464" s="2"/>
      <c r="L464" s="2"/>
      <c r="M464" s="2"/>
      <c r="N464" s="2"/>
      <c r="O464" s="2"/>
      <c r="P464" s="2"/>
      <c r="Q464" s="2"/>
    </row>
    <row r="465" spans="1:17" ht="30" customHeight="1" x14ac:dyDescent="0.5">
      <c r="A465" s="7" t="s">
        <v>945</v>
      </c>
      <c r="B465" s="7" t="s">
        <v>1007</v>
      </c>
      <c r="C465" s="8">
        <v>1204700020009</v>
      </c>
      <c r="D465" s="7" t="s">
        <v>29</v>
      </c>
      <c r="E465" s="7" t="s">
        <v>1012</v>
      </c>
      <c r="F465" s="7">
        <v>2016</v>
      </c>
      <c r="G465" s="7" t="s">
        <v>19</v>
      </c>
      <c r="H465" s="7" t="s">
        <v>261</v>
      </c>
      <c r="I465" s="8" t="s">
        <v>1013</v>
      </c>
      <c r="J465" s="2"/>
      <c r="K465" s="2"/>
      <c r="L465" s="2"/>
      <c r="M465" s="2"/>
      <c r="N465" s="2"/>
      <c r="O465" s="2"/>
      <c r="P465" s="2"/>
      <c r="Q465" s="2"/>
    </row>
    <row r="466" spans="1:17" ht="30" customHeight="1" x14ac:dyDescent="0.5">
      <c r="A466" s="7" t="s">
        <v>945</v>
      </c>
      <c r="B466" s="7" t="s">
        <v>1007</v>
      </c>
      <c r="C466" s="8">
        <v>1204700020009</v>
      </c>
      <c r="D466" s="7" t="s">
        <v>29</v>
      </c>
      <c r="E466" s="7" t="s">
        <v>1014</v>
      </c>
      <c r="F466" s="7">
        <v>2016</v>
      </c>
      <c r="G466" s="7" t="s">
        <v>19</v>
      </c>
      <c r="H466" s="7" t="s">
        <v>261</v>
      </c>
      <c r="I466" s="8" t="s">
        <v>1015</v>
      </c>
      <c r="J466" s="2"/>
      <c r="K466" s="2"/>
      <c r="L466" s="2"/>
      <c r="M466" s="2"/>
      <c r="N466" s="2"/>
      <c r="O466" s="2"/>
      <c r="P466" s="2"/>
      <c r="Q466" s="2"/>
    </row>
    <row r="467" spans="1:17" ht="30" customHeight="1" x14ac:dyDescent="0.5">
      <c r="A467" s="7" t="s">
        <v>945</v>
      </c>
      <c r="B467" s="7" t="s">
        <v>1007</v>
      </c>
      <c r="C467" s="8">
        <v>1204700020009</v>
      </c>
      <c r="D467" s="7" t="s">
        <v>29</v>
      </c>
      <c r="E467" s="7" t="s">
        <v>1016</v>
      </c>
      <c r="F467" s="7">
        <v>2016</v>
      </c>
      <c r="G467" s="7" t="s">
        <v>19</v>
      </c>
      <c r="H467" s="7" t="s">
        <v>261</v>
      </c>
      <c r="I467" s="8" t="s">
        <v>1017</v>
      </c>
      <c r="J467" s="2"/>
      <c r="K467" s="2"/>
      <c r="L467" s="2"/>
      <c r="M467" s="2"/>
      <c r="N467" s="2"/>
      <c r="O467" s="2"/>
      <c r="P467" s="2"/>
      <c r="Q467" s="2"/>
    </row>
    <row r="468" spans="1:17" ht="30" customHeight="1" x14ac:dyDescent="0.5">
      <c r="A468" s="7" t="s">
        <v>945</v>
      </c>
      <c r="B468" s="7" t="s">
        <v>1007</v>
      </c>
      <c r="C468" s="8">
        <v>1204700020009</v>
      </c>
      <c r="D468" s="7" t="s">
        <v>29</v>
      </c>
      <c r="E468" s="7" t="s">
        <v>1018</v>
      </c>
      <c r="F468" s="7">
        <v>2016</v>
      </c>
      <c r="G468" s="7" t="s">
        <v>19</v>
      </c>
      <c r="H468" s="7" t="s">
        <v>261</v>
      </c>
      <c r="I468" s="8" t="s">
        <v>1019</v>
      </c>
      <c r="J468" s="2"/>
      <c r="K468" s="2"/>
      <c r="L468" s="2"/>
      <c r="M468" s="2"/>
      <c r="N468" s="2"/>
      <c r="O468" s="2"/>
      <c r="P468" s="2"/>
      <c r="Q468" s="2"/>
    </row>
    <row r="469" spans="1:17" ht="30" customHeight="1" x14ac:dyDescent="0.5">
      <c r="A469" s="7" t="s">
        <v>945</v>
      </c>
      <c r="B469" s="7" t="s">
        <v>1007</v>
      </c>
      <c r="C469" s="8">
        <v>1303700010001</v>
      </c>
      <c r="D469" s="7" t="s">
        <v>421</v>
      </c>
      <c r="E469" s="7" t="s">
        <v>1020</v>
      </c>
      <c r="F469" s="7">
        <v>2010</v>
      </c>
      <c r="G469" s="7" t="s">
        <v>4</v>
      </c>
      <c r="H469" s="7" t="s">
        <v>423</v>
      </c>
      <c r="I469" s="8" t="s">
        <v>1021</v>
      </c>
      <c r="J469" s="2"/>
      <c r="K469" s="2"/>
      <c r="L469" s="2"/>
      <c r="M469" s="2"/>
      <c r="N469" s="2"/>
      <c r="O469" s="2"/>
      <c r="P469" s="2"/>
      <c r="Q469" s="2"/>
    </row>
    <row r="470" spans="1:17" ht="30" customHeight="1" x14ac:dyDescent="0.5">
      <c r="A470" s="7" t="s">
        <v>945</v>
      </c>
      <c r="B470" s="7" t="s">
        <v>1007</v>
      </c>
      <c r="C470" s="8">
        <v>1303700010001</v>
      </c>
      <c r="D470" s="7" t="s">
        <v>421</v>
      </c>
      <c r="E470" s="7" t="s">
        <v>1022</v>
      </c>
      <c r="F470" s="7">
        <v>2010</v>
      </c>
      <c r="G470" s="7" t="s">
        <v>4</v>
      </c>
      <c r="H470" s="7" t="s">
        <v>423</v>
      </c>
      <c r="I470" s="8" t="s">
        <v>1023</v>
      </c>
      <c r="J470" s="2"/>
      <c r="K470" s="2"/>
      <c r="L470" s="2"/>
      <c r="M470" s="2"/>
      <c r="N470" s="2"/>
      <c r="O470" s="2"/>
      <c r="P470" s="2"/>
      <c r="Q470" s="2"/>
    </row>
    <row r="471" spans="1:17" ht="30" customHeight="1" x14ac:dyDescent="0.5">
      <c r="A471" s="7" t="s">
        <v>945</v>
      </c>
      <c r="B471" s="7" t="s">
        <v>1007</v>
      </c>
      <c r="C471" s="8">
        <v>1303700010001</v>
      </c>
      <c r="D471" s="7" t="s">
        <v>421</v>
      </c>
      <c r="E471" s="7" t="s">
        <v>1024</v>
      </c>
      <c r="F471" s="7">
        <v>2010</v>
      </c>
      <c r="G471" s="7" t="s">
        <v>4</v>
      </c>
      <c r="H471" s="7" t="s">
        <v>423</v>
      </c>
      <c r="I471" s="8" t="s">
        <v>1025</v>
      </c>
      <c r="J471" s="2"/>
      <c r="K471" s="2"/>
      <c r="L471" s="2"/>
      <c r="M471" s="2"/>
      <c r="N471" s="2"/>
      <c r="O471" s="2"/>
      <c r="P471" s="2"/>
      <c r="Q471" s="2"/>
    </row>
    <row r="472" spans="1:17" ht="30" customHeight="1" x14ac:dyDescent="0.5">
      <c r="A472" s="7" t="s">
        <v>945</v>
      </c>
      <c r="B472" s="7" t="s">
        <v>1026</v>
      </c>
      <c r="C472" s="8">
        <v>1204700010003</v>
      </c>
      <c r="D472" s="7" t="s">
        <v>96</v>
      </c>
      <c r="E472" s="7" t="s">
        <v>1027</v>
      </c>
      <c r="F472" s="7">
        <v>2020</v>
      </c>
      <c r="G472" s="7" t="s">
        <v>19</v>
      </c>
      <c r="H472" s="7" t="s">
        <v>377</v>
      </c>
      <c r="I472" s="8" t="s">
        <v>1028</v>
      </c>
      <c r="J472" s="2"/>
      <c r="K472" s="2"/>
      <c r="L472" s="2"/>
      <c r="M472" s="2"/>
      <c r="N472" s="2"/>
      <c r="O472" s="2"/>
      <c r="P472" s="2"/>
      <c r="Q472" s="2"/>
    </row>
    <row r="473" spans="1:17" ht="30" customHeight="1" x14ac:dyDescent="0.5">
      <c r="A473" s="7" t="s">
        <v>945</v>
      </c>
      <c r="B473" s="7" t="s">
        <v>1026</v>
      </c>
      <c r="C473" s="8">
        <v>1204700020002</v>
      </c>
      <c r="D473" s="7" t="s">
        <v>178</v>
      </c>
      <c r="E473" s="7" t="s">
        <v>1029</v>
      </c>
      <c r="F473" s="7">
        <v>2011</v>
      </c>
      <c r="G473" s="7" t="s">
        <v>19</v>
      </c>
      <c r="H473" s="7" t="s">
        <v>10</v>
      </c>
      <c r="I473" s="8" t="s">
        <v>1030</v>
      </c>
      <c r="J473" s="2"/>
      <c r="K473" s="2"/>
      <c r="L473" s="2"/>
      <c r="M473" s="2"/>
      <c r="N473" s="2"/>
      <c r="O473" s="2"/>
      <c r="P473" s="2"/>
      <c r="Q473" s="2"/>
    </row>
    <row r="474" spans="1:17" ht="30" customHeight="1" x14ac:dyDescent="0.5">
      <c r="A474" s="7" t="s">
        <v>945</v>
      </c>
      <c r="B474" s="7" t="s">
        <v>1026</v>
      </c>
      <c r="C474" s="8">
        <v>1204700020009</v>
      </c>
      <c r="D474" s="7" t="s">
        <v>29</v>
      </c>
      <c r="E474" s="7" t="s">
        <v>1031</v>
      </c>
      <c r="F474" s="7">
        <v>2016</v>
      </c>
      <c r="G474" s="7" t="s">
        <v>19</v>
      </c>
      <c r="H474" s="7" t="s">
        <v>261</v>
      </c>
      <c r="I474" s="8" t="s">
        <v>1032</v>
      </c>
      <c r="J474" s="2"/>
      <c r="K474" s="2"/>
      <c r="L474" s="2"/>
      <c r="M474" s="2"/>
      <c r="N474" s="2"/>
      <c r="O474" s="2"/>
      <c r="P474" s="2"/>
      <c r="Q474" s="2"/>
    </row>
    <row r="475" spans="1:17" ht="30" customHeight="1" x14ac:dyDescent="0.5">
      <c r="A475" s="7" t="s">
        <v>945</v>
      </c>
      <c r="B475" s="7" t="s">
        <v>1026</v>
      </c>
      <c r="C475" s="8">
        <v>1204700020009</v>
      </c>
      <c r="D475" s="7" t="s">
        <v>29</v>
      </c>
      <c r="E475" s="7" t="s">
        <v>1033</v>
      </c>
      <c r="F475" s="7">
        <v>2016</v>
      </c>
      <c r="G475" s="7" t="s">
        <v>19</v>
      </c>
      <c r="H475" s="7" t="s">
        <v>261</v>
      </c>
      <c r="I475" s="8" t="s">
        <v>1034</v>
      </c>
      <c r="J475" s="2"/>
      <c r="K475" s="2"/>
      <c r="L475" s="2"/>
      <c r="M475" s="2"/>
      <c r="N475" s="2"/>
      <c r="O475" s="2"/>
      <c r="P475" s="2"/>
      <c r="Q475" s="2"/>
    </row>
    <row r="476" spans="1:17" ht="30" customHeight="1" x14ac:dyDescent="0.5">
      <c r="A476" s="7" t="s">
        <v>945</v>
      </c>
      <c r="B476" s="7" t="s">
        <v>1026</v>
      </c>
      <c r="C476" s="8">
        <v>1204700020009</v>
      </c>
      <c r="D476" s="7" t="s">
        <v>29</v>
      </c>
      <c r="E476" s="7" t="s">
        <v>1035</v>
      </c>
      <c r="F476" s="7">
        <v>2016</v>
      </c>
      <c r="G476" s="7" t="s">
        <v>19</v>
      </c>
      <c r="H476" s="7" t="s">
        <v>261</v>
      </c>
      <c r="I476" s="8" t="s">
        <v>1036</v>
      </c>
      <c r="J476" s="2"/>
      <c r="K476" s="2"/>
      <c r="L476" s="2"/>
      <c r="M476" s="2"/>
      <c r="N476" s="2"/>
      <c r="O476" s="2"/>
      <c r="P476" s="2"/>
      <c r="Q476" s="2"/>
    </row>
    <row r="477" spans="1:17" ht="30" customHeight="1" x14ac:dyDescent="0.5">
      <c r="A477" s="7" t="s">
        <v>945</v>
      </c>
      <c r="B477" s="7" t="s">
        <v>1026</v>
      </c>
      <c r="C477" s="8">
        <v>1204700020009</v>
      </c>
      <c r="D477" s="7" t="s">
        <v>29</v>
      </c>
      <c r="E477" s="7" t="s">
        <v>1037</v>
      </c>
      <c r="F477" s="7">
        <v>2016</v>
      </c>
      <c r="G477" s="7" t="s">
        <v>19</v>
      </c>
      <c r="H477" s="7" t="s">
        <v>261</v>
      </c>
      <c r="I477" s="8" t="s">
        <v>1038</v>
      </c>
      <c r="J477" s="2"/>
      <c r="K477" s="2"/>
      <c r="L477" s="2"/>
      <c r="M477" s="2"/>
      <c r="N477" s="2"/>
      <c r="O477" s="2"/>
      <c r="P477" s="2"/>
      <c r="Q477" s="2"/>
    </row>
    <row r="478" spans="1:17" ht="30" customHeight="1" x14ac:dyDescent="0.5">
      <c r="A478" s="7" t="s">
        <v>945</v>
      </c>
      <c r="B478" s="7" t="s">
        <v>1026</v>
      </c>
      <c r="C478" s="8">
        <v>1204700020009</v>
      </c>
      <c r="D478" s="7" t="s">
        <v>29</v>
      </c>
      <c r="E478" s="7" t="s">
        <v>1039</v>
      </c>
      <c r="F478" s="7">
        <v>2016</v>
      </c>
      <c r="G478" s="7" t="s">
        <v>19</v>
      </c>
      <c r="H478" s="7" t="s">
        <v>261</v>
      </c>
      <c r="I478" s="8" t="s">
        <v>1040</v>
      </c>
      <c r="J478" s="2"/>
      <c r="K478" s="2"/>
      <c r="L478" s="2"/>
      <c r="M478" s="2"/>
      <c r="N478" s="2"/>
      <c r="O478" s="2"/>
      <c r="P478" s="2"/>
      <c r="Q478" s="2"/>
    </row>
    <row r="479" spans="1:17" ht="30" customHeight="1" x14ac:dyDescent="0.5">
      <c r="A479" s="7" t="s">
        <v>945</v>
      </c>
      <c r="B479" s="7" t="s">
        <v>1026</v>
      </c>
      <c r="C479" s="8">
        <v>1303700010001</v>
      </c>
      <c r="D479" s="7" t="s">
        <v>421</v>
      </c>
      <c r="E479" s="7" t="s">
        <v>1041</v>
      </c>
      <c r="F479" s="7">
        <v>2010</v>
      </c>
      <c r="G479" s="7" t="s">
        <v>4</v>
      </c>
      <c r="H479" s="7" t="s">
        <v>423</v>
      </c>
      <c r="I479" s="8" t="s">
        <v>1042</v>
      </c>
      <c r="J479" s="2"/>
      <c r="K479" s="2"/>
      <c r="L479" s="2"/>
      <c r="M479" s="2"/>
      <c r="N479" s="2"/>
      <c r="O479" s="2"/>
      <c r="P479" s="2"/>
      <c r="Q479" s="2"/>
    </row>
    <row r="480" spans="1:17" ht="30" customHeight="1" x14ac:dyDescent="0.5">
      <c r="A480" s="7" t="s">
        <v>945</v>
      </c>
      <c r="B480" s="7" t="s">
        <v>1026</v>
      </c>
      <c r="C480" s="8">
        <v>1303700010001</v>
      </c>
      <c r="D480" s="7" t="s">
        <v>421</v>
      </c>
      <c r="E480" s="7" t="s">
        <v>1043</v>
      </c>
      <c r="F480" s="7">
        <v>2010</v>
      </c>
      <c r="G480" s="7" t="s">
        <v>4</v>
      </c>
      <c r="H480" s="7" t="s">
        <v>423</v>
      </c>
      <c r="I480" s="8" t="s">
        <v>1044</v>
      </c>
      <c r="J480" s="2"/>
      <c r="K480" s="2"/>
      <c r="L480" s="2"/>
      <c r="M480" s="2"/>
      <c r="N480" s="2"/>
      <c r="O480" s="2"/>
      <c r="P480" s="2"/>
      <c r="Q480" s="2"/>
    </row>
    <row r="481" spans="1:17" ht="30" customHeight="1" x14ac:dyDescent="0.5">
      <c r="A481" s="7" t="s">
        <v>945</v>
      </c>
      <c r="B481" s="7" t="s">
        <v>1026</v>
      </c>
      <c r="C481" s="8">
        <v>1306700020001</v>
      </c>
      <c r="D481" s="7" t="s">
        <v>1045</v>
      </c>
      <c r="E481" s="7" t="s">
        <v>1456</v>
      </c>
      <c r="G481" s="7" t="s">
        <v>376</v>
      </c>
      <c r="H481" s="7" t="s">
        <v>247</v>
      </c>
      <c r="I481" s="8" t="s">
        <v>1046</v>
      </c>
      <c r="J481" s="2"/>
      <c r="K481" s="2"/>
      <c r="L481" s="2"/>
      <c r="M481" s="2"/>
      <c r="N481" s="2"/>
      <c r="O481" s="2"/>
      <c r="P481" s="2"/>
      <c r="Q481" s="2"/>
    </row>
    <row r="482" spans="1:17" ht="30" customHeight="1" x14ac:dyDescent="0.5">
      <c r="A482" s="7" t="s">
        <v>945</v>
      </c>
      <c r="B482" s="7" t="s">
        <v>1026</v>
      </c>
      <c r="C482" s="8">
        <v>1306700020001</v>
      </c>
      <c r="D482" s="7" t="s">
        <v>1045</v>
      </c>
      <c r="E482" s="7" t="s">
        <v>1456</v>
      </c>
      <c r="G482" s="7" t="s">
        <v>376</v>
      </c>
      <c r="H482" s="7" t="s">
        <v>247</v>
      </c>
      <c r="I482" s="8" t="s">
        <v>1047</v>
      </c>
      <c r="J482" s="2"/>
      <c r="K482" s="2"/>
      <c r="L482" s="2"/>
      <c r="M482" s="2"/>
      <c r="N482" s="2"/>
      <c r="O482" s="2"/>
      <c r="P482" s="2"/>
      <c r="Q482" s="2"/>
    </row>
    <row r="483" spans="1:17" ht="30" customHeight="1" x14ac:dyDescent="0.5">
      <c r="A483" s="7" t="s">
        <v>945</v>
      </c>
      <c r="B483" s="7" t="s">
        <v>1048</v>
      </c>
      <c r="C483" s="8">
        <v>1204700010003</v>
      </c>
      <c r="D483" s="7" t="s">
        <v>96</v>
      </c>
      <c r="E483" s="7" t="s">
        <v>1049</v>
      </c>
      <c r="F483" s="7">
        <v>2020</v>
      </c>
      <c r="G483" s="7" t="s">
        <v>19</v>
      </c>
      <c r="H483" s="7" t="s">
        <v>948</v>
      </c>
      <c r="I483" s="8" t="s">
        <v>1050</v>
      </c>
      <c r="J483" s="2"/>
      <c r="K483" s="2"/>
      <c r="L483" s="2"/>
      <c r="M483" s="2"/>
      <c r="N483" s="2"/>
      <c r="O483" s="2"/>
      <c r="P483" s="2"/>
      <c r="Q483" s="2"/>
    </row>
    <row r="484" spans="1:17" ht="30" customHeight="1" x14ac:dyDescent="0.5">
      <c r="A484" s="7" t="s">
        <v>945</v>
      </c>
      <c r="B484" s="7" t="s">
        <v>1048</v>
      </c>
      <c r="C484" s="8">
        <v>1204700020002</v>
      </c>
      <c r="D484" s="7" t="s">
        <v>178</v>
      </c>
      <c r="E484" s="7" t="s">
        <v>1051</v>
      </c>
      <c r="F484" s="7">
        <v>2011</v>
      </c>
      <c r="G484" s="7" t="s">
        <v>19</v>
      </c>
      <c r="H484" s="7" t="s">
        <v>10</v>
      </c>
      <c r="I484" s="8" t="s">
        <v>1052</v>
      </c>
      <c r="J484" s="2"/>
      <c r="K484" s="2"/>
      <c r="L484" s="2"/>
      <c r="M484" s="2"/>
      <c r="N484" s="2"/>
      <c r="O484" s="2"/>
      <c r="P484" s="2"/>
      <c r="Q484" s="2"/>
    </row>
    <row r="485" spans="1:17" ht="30" customHeight="1" x14ac:dyDescent="0.5">
      <c r="A485" s="7" t="s">
        <v>945</v>
      </c>
      <c r="B485" s="7" t="s">
        <v>1048</v>
      </c>
      <c r="C485" s="8">
        <v>1204700020009</v>
      </c>
      <c r="D485" s="7" t="s">
        <v>29</v>
      </c>
      <c r="E485" s="7" t="s">
        <v>1053</v>
      </c>
      <c r="F485" s="7">
        <v>2016</v>
      </c>
      <c r="G485" s="7" t="s">
        <v>19</v>
      </c>
      <c r="H485" s="7" t="s">
        <v>261</v>
      </c>
      <c r="I485" s="8" t="s">
        <v>1054</v>
      </c>
      <c r="J485" s="2"/>
      <c r="K485" s="2"/>
      <c r="L485" s="2"/>
      <c r="M485" s="2"/>
      <c r="N485" s="2"/>
      <c r="O485" s="2"/>
      <c r="P485" s="2"/>
      <c r="Q485" s="2"/>
    </row>
    <row r="486" spans="1:17" ht="30" customHeight="1" x14ac:dyDescent="0.5">
      <c r="A486" s="7" t="s">
        <v>945</v>
      </c>
      <c r="B486" s="7" t="s">
        <v>1048</v>
      </c>
      <c r="C486" s="8">
        <v>1204700020009</v>
      </c>
      <c r="D486" s="7" t="s">
        <v>29</v>
      </c>
      <c r="E486" s="7" t="s">
        <v>1055</v>
      </c>
      <c r="F486" s="7">
        <v>2016</v>
      </c>
      <c r="G486" s="7" t="s">
        <v>19</v>
      </c>
      <c r="H486" s="7" t="s">
        <v>261</v>
      </c>
      <c r="I486" s="8" t="s">
        <v>1056</v>
      </c>
      <c r="J486" s="2"/>
      <c r="K486" s="2"/>
      <c r="L486" s="2"/>
      <c r="M486" s="2"/>
      <c r="N486" s="2"/>
      <c r="O486" s="2"/>
      <c r="P486" s="2"/>
      <c r="Q486" s="2"/>
    </row>
    <row r="487" spans="1:17" ht="30" customHeight="1" x14ac:dyDescent="0.5">
      <c r="A487" s="7" t="s">
        <v>945</v>
      </c>
      <c r="B487" s="7" t="s">
        <v>1048</v>
      </c>
      <c r="C487" s="8">
        <v>1204700020009</v>
      </c>
      <c r="D487" s="7" t="s">
        <v>29</v>
      </c>
      <c r="E487" s="7" t="s">
        <v>1057</v>
      </c>
      <c r="F487" s="7">
        <v>2016</v>
      </c>
      <c r="G487" s="7" t="s">
        <v>19</v>
      </c>
      <c r="H487" s="7" t="s">
        <v>261</v>
      </c>
      <c r="I487" s="8" t="s">
        <v>1058</v>
      </c>
      <c r="J487" s="2"/>
      <c r="K487" s="2"/>
      <c r="L487" s="2"/>
      <c r="M487" s="2"/>
      <c r="N487" s="2"/>
      <c r="O487" s="2"/>
      <c r="P487" s="2"/>
      <c r="Q487" s="2"/>
    </row>
    <row r="488" spans="1:17" ht="30" customHeight="1" x14ac:dyDescent="0.5">
      <c r="A488" s="7" t="s">
        <v>945</v>
      </c>
      <c r="B488" s="7" t="s">
        <v>1048</v>
      </c>
      <c r="C488" s="8">
        <v>1204700020009</v>
      </c>
      <c r="D488" s="7" t="s">
        <v>29</v>
      </c>
      <c r="E488" s="7" t="s">
        <v>1059</v>
      </c>
      <c r="F488" s="7">
        <v>2016</v>
      </c>
      <c r="G488" s="7" t="s">
        <v>19</v>
      </c>
      <c r="H488" s="7" t="s">
        <v>261</v>
      </c>
      <c r="I488" s="8" t="s">
        <v>1060</v>
      </c>
      <c r="J488" s="2"/>
      <c r="K488" s="2"/>
      <c r="L488" s="2"/>
      <c r="M488" s="2"/>
      <c r="N488" s="2"/>
      <c r="O488" s="2"/>
      <c r="P488" s="2"/>
      <c r="Q488" s="2"/>
    </row>
    <row r="489" spans="1:17" ht="30" customHeight="1" x14ac:dyDescent="0.5">
      <c r="A489" s="7" t="s">
        <v>945</v>
      </c>
      <c r="B489" s="7" t="s">
        <v>1048</v>
      </c>
      <c r="C489" s="8">
        <v>1204700020009</v>
      </c>
      <c r="D489" s="7" t="s">
        <v>29</v>
      </c>
      <c r="E489" s="7" t="s">
        <v>1061</v>
      </c>
      <c r="F489" s="7">
        <v>2016</v>
      </c>
      <c r="G489" s="7" t="s">
        <v>19</v>
      </c>
      <c r="H489" s="7" t="s">
        <v>261</v>
      </c>
      <c r="I489" s="8" t="s">
        <v>1062</v>
      </c>
      <c r="J489" s="2"/>
      <c r="K489" s="2"/>
      <c r="L489" s="2"/>
      <c r="M489" s="2"/>
      <c r="N489" s="2"/>
      <c r="O489" s="2"/>
      <c r="P489" s="2"/>
      <c r="Q489" s="2"/>
    </row>
    <row r="490" spans="1:17" ht="30" customHeight="1" x14ac:dyDescent="0.5">
      <c r="A490" s="7" t="s">
        <v>945</v>
      </c>
      <c r="B490" s="7" t="s">
        <v>1048</v>
      </c>
      <c r="C490" s="8">
        <v>1303700010001</v>
      </c>
      <c r="D490" s="7" t="s">
        <v>421</v>
      </c>
      <c r="E490" s="7" t="s">
        <v>1063</v>
      </c>
      <c r="F490" s="7">
        <v>2010</v>
      </c>
      <c r="G490" s="7" t="s">
        <v>4</v>
      </c>
      <c r="H490" s="7" t="s">
        <v>423</v>
      </c>
      <c r="I490" s="8" t="s">
        <v>1064</v>
      </c>
      <c r="J490" s="2"/>
      <c r="K490" s="2"/>
      <c r="L490" s="2"/>
      <c r="M490" s="2"/>
      <c r="N490" s="2"/>
      <c r="O490" s="2"/>
      <c r="P490" s="2"/>
      <c r="Q490" s="2"/>
    </row>
    <row r="491" spans="1:17" ht="30" customHeight="1" x14ac:dyDescent="0.5">
      <c r="A491" s="7" t="s">
        <v>945</v>
      </c>
      <c r="B491" s="7" t="s">
        <v>1048</v>
      </c>
      <c r="C491" s="8">
        <v>1303700010001</v>
      </c>
      <c r="D491" s="7" t="s">
        <v>421</v>
      </c>
      <c r="E491" s="7" t="s">
        <v>1065</v>
      </c>
      <c r="F491" s="7">
        <v>2010</v>
      </c>
      <c r="G491" s="7" t="s">
        <v>4</v>
      </c>
      <c r="H491" s="7" t="s">
        <v>423</v>
      </c>
      <c r="I491" s="8" t="s">
        <v>1066</v>
      </c>
      <c r="J491" s="2"/>
      <c r="K491" s="2"/>
      <c r="L491" s="2"/>
      <c r="M491" s="2"/>
      <c r="N491" s="2"/>
      <c r="O491" s="2"/>
      <c r="P491" s="2"/>
      <c r="Q491" s="2"/>
    </row>
    <row r="492" spans="1:17" ht="30" customHeight="1" x14ac:dyDescent="0.5">
      <c r="A492" s="7" t="s">
        <v>945</v>
      </c>
      <c r="B492" s="7" t="s">
        <v>1048</v>
      </c>
      <c r="C492" s="8">
        <v>1303700010001</v>
      </c>
      <c r="D492" s="7" t="s">
        <v>421</v>
      </c>
      <c r="E492" s="7" t="s">
        <v>1067</v>
      </c>
      <c r="F492" s="7">
        <v>2010</v>
      </c>
      <c r="G492" s="7" t="s">
        <v>4</v>
      </c>
      <c r="H492" s="7" t="s">
        <v>423</v>
      </c>
      <c r="I492" s="8" t="s">
        <v>1068</v>
      </c>
      <c r="J492" s="2"/>
      <c r="K492" s="2"/>
      <c r="L492" s="2"/>
      <c r="M492" s="2"/>
      <c r="N492" s="2"/>
      <c r="O492" s="2"/>
      <c r="P492" s="2"/>
      <c r="Q492" s="2"/>
    </row>
    <row r="493" spans="1:17" ht="30" customHeight="1" x14ac:dyDescent="0.5">
      <c r="A493" s="7" t="s">
        <v>945</v>
      </c>
      <c r="B493" s="7" t="s">
        <v>1069</v>
      </c>
      <c r="C493" s="8">
        <v>1204700010003</v>
      </c>
      <c r="D493" s="7" t="s">
        <v>96</v>
      </c>
      <c r="E493" s="7" t="s">
        <v>1070</v>
      </c>
      <c r="F493" s="7">
        <v>2020</v>
      </c>
      <c r="G493" s="7" t="s">
        <v>19</v>
      </c>
      <c r="H493" s="7" t="s">
        <v>948</v>
      </c>
      <c r="I493" s="8" t="s">
        <v>1071</v>
      </c>
      <c r="J493" s="2"/>
      <c r="K493" s="2"/>
      <c r="L493" s="2"/>
      <c r="M493" s="2"/>
      <c r="N493" s="2"/>
      <c r="O493" s="2"/>
      <c r="P493" s="2"/>
      <c r="Q493" s="2"/>
    </row>
    <row r="494" spans="1:17" ht="30" customHeight="1" x14ac:dyDescent="0.5">
      <c r="A494" s="7" t="s">
        <v>945</v>
      </c>
      <c r="B494" s="7" t="s">
        <v>1069</v>
      </c>
      <c r="C494" s="8">
        <v>1204700020002</v>
      </c>
      <c r="D494" s="7" t="s">
        <v>178</v>
      </c>
      <c r="E494" s="7" t="s">
        <v>1072</v>
      </c>
      <c r="F494" s="7">
        <v>2013</v>
      </c>
      <c r="G494" s="7" t="s">
        <v>19</v>
      </c>
      <c r="H494" s="7" t="s">
        <v>10</v>
      </c>
      <c r="I494" s="8" t="s">
        <v>1073</v>
      </c>
      <c r="J494" s="2"/>
      <c r="K494" s="2"/>
      <c r="L494" s="2"/>
      <c r="M494" s="2"/>
      <c r="N494" s="2"/>
      <c r="O494" s="2"/>
      <c r="P494" s="2"/>
      <c r="Q494" s="2"/>
    </row>
    <row r="495" spans="1:17" ht="30" customHeight="1" x14ac:dyDescent="0.5">
      <c r="A495" s="7" t="s">
        <v>945</v>
      </c>
      <c r="B495" s="7" t="s">
        <v>1069</v>
      </c>
      <c r="C495" s="8">
        <v>1204700020009</v>
      </c>
      <c r="D495" s="7" t="s">
        <v>29</v>
      </c>
      <c r="E495" s="7" t="s">
        <v>1074</v>
      </c>
      <c r="F495" s="7">
        <v>2016</v>
      </c>
      <c r="G495" s="7" t="s">
        <v>19</v>
      </c>
      <c r="H495" s="7" t="s">
        <v>261</v>
      </c>
      <c r="I495" s="8" t="s">
        <v>1075</v>
      </c>
      <c r="J495" s="2"/>
      <c r="K495" s="2"/>
      <c r="L495" s="2"/>
      <c r="M495" s="2"/>
      <c r="N495" s="2"/>
      <c r="O495" s="2"/>
      <c r="P495" s="2"/>
      <c r="Q495" s="2"/>
    </row>
    <row r="496" spans="1:17" ht="30" customHeight="1" x14ac:dyDescent="0.5">
      <c r="A496" s="7" t="s">
        <v>945</v>
      </c>
      <c r="B496" s="7" t="s">
        <v>1069</v>
      </c>
      <c r="C496" s="8">
        <v>1204700020009</v>
      </c>
      <c r="D496" s="7" t="s">
        <v>29</v>
      </c>
      <c r="E496" s="7" t="s">
        <v>1076</v>
      </c>
      <c r="F496" s="7">
        <v>2016</v>
      </c>
      <c r="G496" s="7" t="s">
        <v>19</v>
      </c>
      <c r="H496" s="7" t="s">
        <v>261</v>
      </c>
      <c r="I496" s="8" t="s">
        <v>1077</v>
      </c>
      <c r="J496" s="2"/>
      <c r="K496" s="2"/>
      <c r="L496" s="2"/>
      <c r="M496" s="2"/>
      <c r="N496" s="2"/>
      <c r="O496" s="2"/>
      <c r="P496" s="2"/>
      <c r="Q496" s="2"/>
    </row>
    <row r="497" spans="1:17" ht="30" customHeight="1" x14ac:dyDescent="0.5">
      <c r="A497" s="7" t="s">
        <v>945</v>
      </c>
      <c r="B497" s="7" t="s">
        <v>1069</v>
      </c>
      <c r="C497" s="8">
        <v>1204700020009</v>
      </c>
      <c r="D497" s="7" t="s">
        <v>29</v>
      </c>
      <c r="E497" s="7" t="s">
        <v>1078</v>
      </c>
      <c r="F497" s="7">
        <v>2016</v>
      </c>
      <c r="G497" s="7" t="s">
        <v>19</v>
      </c>
      <c r="H497" s="7" t="s">
        <v>261</v>
      </c>
      <c r="I497" s="8" t="s">
        <v>1079</v>
      </c>
      <c r="J497" s="2"/>
      <c r="K497" s="2"/>
      <c r="L497" s="2"/>
      <c r="M497" s="2"/>
      <c r="N497" s="2"/>
      <c r="O497" s="2"/>
      <c r="P497" s="2"/>
      <c r="Q497" s="2"/>
    </row>
    <row r="498" spans="1:17" ht="30" customHeight="1" x14ac:dyDescent="0.5">
      <c r="A498" s="7" t="s">
        <v>945</v>
      </c>
      <c r="B498" s="7" t="s">
        <v>1069</v>
      </c>
      <c r="C498" s="8">
        <v>1204700020009</v>
      </c>
      <c r="D498" s="7" t="s">
        <v>29</v>
      </c>
      <c r="E498" s="7" t="s">
        <v>1080</v>
      </c>
      <c r="F498" s="7">
        <v>2016</v>
      </c>
      <c r="G498" s="7" t="s">
        <v>19</v>
      </c>
      <c r="H498" s="7" t="s">
        <v>261</v>
      </c>
      <c r="I498" s="8" t="s">
        <v>1081</v>
      </c>
      <c r="J498" s="2"/>
      <c r="K498" s="2"/>
      <c r="L498" s="2"/>
      <c r="M498" s="2"/>
      <c r="N498" s="2"/>
      <c r="O498" s="2"/>
      <c r="P498" s="2"/>
      <c r="Q498" s="2"/>
    </row>
    <row r="499" spans="1:17" ht="30" customHeight="1" x14ac:dyDescent="0.5">
      <c r="A499" s="7" t="s">
        <v>945</v>
      </c>
      <c r="B499" s="7" t="s">
        <v>1069</v>
      </c>
      <c r="C499" s="8">
        <v>1303700010001</v>
      </c>
      <c r="D499" s="7" t="s">
        <v>421</v>
      </c>
      <c r="E499" s="7" t="s">
        <v>1082</v>
      </c>
      <c r="F499" s="7">
        <v>2010</v>
      </c>
      <c r="G499" s="7" t="s">
        <v>4</v>
      </c>
      <c r="H499" s="7" t="s">
        <v>423</v>
      </c>
      <c r="I499" s="8" t="s">
        <v>1083</v>
      </c>
      <c r="J499" s="2"/>
      <c r="K499" s="2"/>
      <c r="L499" s="2"/>
      <c r="M499" s="2"/>
      <c r="N499" s="2"/>
      <c r="O499" s="2"/>
      <c r="P499" s="2"/>
      <c r="Q499" s="2"/>
    </row>
    <row r="500" spans="1:17" ht="30" customHeight="1" x14ac:dyDescent="0.5">
      <c r="A500" s="7" t="s">
        <v>945</v>
      </c>
      <c r="B500" s="7" t="s">
        <v>1069</v>
      </c>
      <c r="C500" s="8">
        <v>1303700010001</v>
      </c>
      <c r="D500" s="7" t="s">
        <v>421</v>
      </c>
      <c r="E500" s="7" t="s">
        <v>1084</v>
      </c>
      <c r="F500" s="7">
        <v>2010</v>
      </c>
      <c r="G500" s="7" t="s">
        <v>4</v>
      </c>
      <c r="H500" s="7" t="s">
        <v>423</v>
      </c>
      <c r="I500" s="8" t="s">
        <v>1085</v>
      </c>
      <c r="J500" s="2"/>
      <c r="K500" s="2"/>
      <c r="L500" s="2"/>
      <c r="M500" s="2"/>
      <c r="N500" s="2"/>
      <c r="O500" s="2"/>
      <c r="P500" s="2"/>
      <c r="Q500" s="2"/>
    </row>
    <row r="501" spans="1:17" ht="30" customHeight="1" x14ac:dyDescent="0.5">
      <c r="A501" s="7" t="s">
        <v>945</v>
      </c>
      <c r="B501" s="7" t="s">
        <v>1069</v>
      </c>
      <c r="C501" s="8">
        <v>1303700010001</v>
      </c>
      <c r="D501" s="7" t="s">
        <v>421</v>
      </c>
      <c r="E501" s="7" t="s">
        <v>1086</v>
      </c>
      <c r="F501" s="7">
        <v>2010</v>
      </c>
      <c r="G501" s="7" t="s">
        <v>4</v>
      </c>
      <c r="H501" s="7" t="s">
        <v>423</v>
      </c>
      <c r="I501" s="8" t="s">
        <v>1087</v>
      </c>
      <c r="J501" s="2"/>
      <c r="K501" s="2"/>
      <c r="L501" s="2"/>
      <c r="M501" s="2"/>
      <c r="N501" s="2"/>
      <c r="O501" s="2"/>
      <c r="P501" s="2"/>
      <c r="Q501" s="2"/>
    </row>
    <row r="502" spans="1:17" ht="30" customHeight="1" x14ac:dyDescent="0.5">
      <c r="A502" s="7" t="s">
        <v>945</v>
      </c>
      <c r="B502" s="7" t="s">
        <v>1088</v>
      </c>
      <c r="C502" s="8">
        <v>1204700010003</v>
      </c>
      <c r="D502" s="7" t="s">
        <v>96</v>
      </c>
      <c r="E502" s="7" t="s">
        <v>1089</v>
      </c>
      <c r="F502" s="7">
        <v>2020</v>
      </c>
      <c r="G502" s="7" t="s">
        <v>19</v>
      </c>
      <c r="H502" s="7" t="s">
        <v>377</v>
      </c>
      <c r="I502" s="8" t="s">
        <v>1090</v>
      </c>
      <c r="J502" s="2"/>
      <c r="K502" s="2"/>
      <c r="L502" s="2"/>
      <c r="M502" s="2"/>
      <c r="N502" s="2"/>
      <c r="O502" s="2"/>
      <c r="P502" s="2"/>
      <c r="Q502" s="2"/>
    </row>
    <row r="503" spans="1:17" ht="30" customHeight="1" x14ac:dyDescent="0.5">
      <c r="A503" s="7" t="s">
        <v>945</v>
      </c>
      <c r="B503" s="7" t="s">
        <v>1088</v>
      </c>
      <c r="C503" s="8">
        <v>1204700020003</v>
      </c>
      <c r="D503" s="7" t="s">
        <v>13</v>
      </c>
      <c r="E503" s="7" t="s">
        <v>1091</v>
      </c>
      <c r="F503" s="7">
        <v>2002</v>
      </c>
      <c r="G503" s="7" t="s">
        <v>19</v>
      </c>
      <c r="H503" s="7" t="s">
        <v>10</v>
      </c>
      <c r="I503" s="8" t="s">
        <v>1092</v>
      </c>
      <c r="J503" s="2"/>
      <c r="K503" s="2"/>
      <c r="L503" s="2"/>
      <c r="M503" s="2"/>
      <c r="N503" s="2"/>
      <c r="O503" s="2"/>
      <c r="P503" s="2"/>
      <c r="Q503" s="2"/>
    </row>
    <row r="504" spans="1:17" ht="30" customHeight="1" x14ac:dyDescent="0.5">
      <c r="A504" s="7" t="s">
        <v>945</v>
      </c>
      <c r="B504" s="7" t="s">
        <v>1088</v>
      </c>
      <c r="C504" s="8">
        <v>1204700020009</v>
      </c>
      <c r="D504" s="7" t="s">
        <v>29</v>
      </c>
      <c r="E504" s="7" t="s">
        <v>1093</v>
      </c>
      <c r="F504" s="7">
        <v>2016</v>
      </c>
      <c r="G504" s="7" t="s">
        <v>19</v>
      </c>
      <c r="H504" s="7" t="s">
        <v>261</v>
      </c>
      <c r="I504" s="8" t="s">
        <v>1094</v>
      </c>
      <c r="J504" s="2"/>
      <c r="K504" s="2"/>
      <c r="L504" s="2"/>
      <c r="M504" s="2"/>
      <c r="N504" s="2"/>
      <c r="O504" s="2"/>
      <c r="P504" s="2"/>
      <c r="Q504" s="2"/>
    </row>
    <row r="505" spans="1:17" ht="30" customHeight="1" x14ac:dyDescent="0.5">
      <c r="A505" s="7" t="s">
        <v>945</v>
      </c>
      <c r="B505" s="7" t="s">
        <v>1088</v>
      </c>
      <c r="C505" s="8">
        <v>1204700020009</v>
      </c>
      <c r="D505" s="7" t="s">
        <v>29</v>
      </c>
      <c r="E505" s="7" t="s">
        <v>1095</v>
      </c>
      <c r="F505" s="7">
        <v>2016</v>
      </c>
      <c r="G505" s="7" t="s">
        <v>19</v>
      </c>
      <c r="H505" s="7" t="s">
        <v>261</v>
      </c>
      <c r="I505" s="8" t="s">
        <v>1096</v>
      </c>
      <c r="J505" s="2"/>
      <c r="K505" s="2"/>
      <c r="L505" s="2"/>
      <c r="M505" s="2"/>
      <c r="N505" s="2"/>
      <c r="O505" s="2"/>
      <c r="P505" s="2"/>
      <c r="Q505" s="2"/>
    </row>
    <row r="506" spans="1:17" ht="30" customHeight="1" x14ac:dyDescent="0.5">
      <c r="A506" s="7" t="s">
        <v>945</v>
      </c>
      <c r="B506" s="7" t="s">
        <v>1088</v>
      </c>
      <c r="C506" s="8">
        <v>1204700020009</v>
      </c>
      <c r="D506" s="7" t="s">
        <v>29</v>
      </c>
      <c r="E506" s="7" t="s">
        <v>1097</v>
      </c>
      <c r="F506" s="7">
        <v>2016</v>
      </c>
      <c r="G506" s="7" t="s">
        <v>19</v>
      </c>
      <c r="H506" s="7" t="s">
        <v>261</v>
      </c>
      <c r="I506" s="8" t="s">
        <v>1098</v>
      </c>
      <c r="J506" s="2"/>
      <c r="K506" s="2"/>
      <c r="L506" s="2"/>
      <c r="M506" s="2"/>
      <c r="N506" s="2"/>
      <c r="O506" s="2"/>
      <c r="P506" s="2"/>
      <c r="Q506" s="2"/>
    </row>
    <row r="507" spans="1:17" ht="30" customHeight="1" x14ac:dyDescent="0.5">
      <c r="A507" s="7" t="s">
        <v>945</v>
      </c>
      <c r="B507" s="7" t="s">
        <v>1088</v>
      </c>
      <c r="C507" s="8">
        <v>1204700020009</v>
      </c>
      <c r="D507" s="7" t="s">
        <v>29</v>
      </c>
      <c r="E507" s="7" t="s">
        <v>1099</v>
      </c>
      <c r="F507" s="7">
        <v>2016</v>
      </c>
      <c r="G507" s="7" t="s">
        <v>19</v>
      </c>
      <c r="H507" s="7" t="s">
        <v>261</v>
      </c>
      <c r="I507" s="8" t="s">
        <v>1100</v>
      </c>
      <c r="J507" s="2"/>
      <c r="K507" s="2"/>
      <c r="L507" s="2"/>
      <c r="M507" s="2"/>
      <c r="N507" s="2"/>
      <c r="O507" s="2"/>
      <c r="P507" s="2"/>
      <c r="Q507" s="2"/>
    </row>
    <row r="508" spans="1:17" ht="30" customHeight="1" x14ac:dyDescent="0.5">
      <c r="A508" s="7" t="s">
        <v>945</v>
      </c>
      <c r="B508" s="7" t="s">
        <v>1088</v>
      </c>
      <c r="C508" s="8">
        <v>1303700010001</v>
      </c>
      <c r="D508" s="7" t="s">
        <v>421</v>
      </c>
      <c r="E508" s="7" t="s">
        <v>1101</v>
      </c>
      <c r="F508" s="7">
        <v>2010</v>
      </c>
      <c r="G508" s="7" t="s">
        <v>4</v>
      </c>
      <c r="H508" s="7" t="s">
        <v>423</v>
      </c>
      <c r="I508" s="8" t="s">
        <v>1102</v>
      </c>
      <c r="J508" s="2"/>
      <c r="K508" s="2"/>
      <c r="L508" s="2"/>
      <c r="M508" s="2"/>
      <c r="N508" s="2"/>
      <c r="O508" s="2"/>
      <c r="P508" s="2"/>
      <c r="Q508" s="2"/>
    </row>
    <row r="509" spans="1:17" ht="30" customHeight="1" x14ac:dyDescent="0.5">
      <c r="A509" s="7" t="s">
        <v>945</v>
      </c>
      <c r="B509" s="7" t="s">
        <v>1088</v>
      </c>
      <c r="C509" s="8">
        <v>1303700010001</v>
      </c>
      <c r="D509" s="7" t="s">
        <v>421</v>
      </c>
      <c r="E509" s="7" t="s">
        <v>1103</v>
      </c>
      <c r="F509" s="7">
        <v>2011</v>
      </c>
      <c r="G509" s="7" t="s">
        <v>4</v>
      </c>
      <c r="H509" s="7" t="s">
        <v>423</v>
      </c>
      <c r="I509" s="8" t="s">
        <v>1104</v>
      </c>
      <c r="J509" s="2"/>
      <c r="K509" s="2"/>
      <c r="L509" s="2"/>
      <c r="M509" s="2"/>
      <c r="N509" s="2"/>
      <c r="O509" s="2"/>
      <c r="P509" s="2"/>
      <c r="Q509" s="2"/>
    </row>
    <row r="510" spans="1:17" ht="30" customHeight="1" x14ac:dyDescent="0.5">
      <c r="A510" s="7" t="s">
        <v>945</v>
      </c>
      <c r="B510" s="7" t="s">
        <v>1088</v>
      </c>
      <c r="C510" s="8">
        <v>1303700010001</v>
      </c>
      <c r="D510" s="7" t="s">
        <v>421</v>
      </c>
      <c r="E510" s="7" t="s">
        <v>1105</v>
      </c>
      <c r="F510" s="7">
        <v>2011</v>
      </c>
      <c r="G510" s="7" t="s">
        <v>4</v>
      </c>
      <c r="H510" s="7" t="s">
        <v>423</v>
      </c>
      <c r="I510" s="8" t="s">
        <v>1106</v>
      </c>
      <c r="J510" s="2"/>
      <c r="K510" s="2"/>
      <c r="L510" s="2"/>
      <c r="M510" s="2"/>
      <c r="N510" s="2"/>
      <c r="O510" s="2"/>
      <c r="P510" s="2"/>
      <c r="Q510" s="2"/>
    </row>
    <row r="511" spans="1:17" ht="30" customHeight="1" x14ac:dyDescent="0.5">
      <c r="A511" s="7" t="s">
        <v>945</v>
      </c>
      <c r="B511" s="7" t="s">
        <v>1107</v>
      </c>
      <c r="C511" s="8">
        <v>1204700010003</v>
      </c>
      <c r="D511" s="7" t="s">
        <v>96</v>
      </c>
      <c r="E511" s="7" t="s">
        <v>1108</v>
      </c>
      <c r="F511" s="7">
        <v>2020</v>
      </c>
      <c r="G511" s="7" t="s">
        <v>19</v>
      </c>
      <c r="H511" s="7" t="s">
        <v>377</v>
      </c>
      <c r="I511" s="8" t="s">
        <v>1109</v>
      </c>
      <c r="J511" s="2"/>
      <c r="K511" s="2"/>
      <c r="L511" s="2"/>
      <c r="M511" s="2"/>
      <c r="N511" s="2"/>
      <c r="O511" s="2"/>
      <c r="P511" s="2"/>
      <c r="Q511" s="2"/>
    </row>
    <row r="512" spans="1:17" ht="30" customHeight="1" x14ac:dyDescent="0.5">
      <c r="A512" s="7" t="s">
        <v>945</v>
      </c>
      <c r="B512" s="7" t="s">
        <v>1107</v>
      </c>
      <c r="C512" s="8">
        <v>1204700020003</v>
      </c>
      <c r="D512" s="7" t="s">
        <v>13</v>
      </c>
      <c r="E512" s="7" t="s">
        <v>1110</v>
      </c>
      <c r="F512" s="7">
        <v>2010</v>
      </c>
      <c r="G512" s="7" t="s">
        <v>19</v>
      </c>
      <c r="H512" s="7" t="s">
        <v>10</v>
      </c>
      <c r="I512" s="8" t="s">
        <v>1111</v>
      </c>
      <c r="J512" s="2"/>
      <c r="K512" s="2"/>
      <c r="L512" s="2"/>
      <c r="M512" s="2"/>
      <c r="N512" s="2"/>
      <c r="O512" s="2"/>
      <c r="P512" s="2"/>
      <c r="Q512" s="2"/>
    </row>
    <row r="513" spans="1:17" ht="30" customHeight="1" x14ac:dyDescent="0.5">
      <c r="A513" s="7" t="s">
        <v>945</v>
      </c>
      <c r="B513" s="7" t="s">
        <v>1107</v>
      </c>
      <c r="C513" s="8">
        <v>1204700020009</v>
      </c>
      <c r="D513" s="7" t="s">
        <v>29</v>
      </c>
      <c r="E513" s="7" t="s">
        <v>1112</v>
      </c>
      <c r="F513" s="7">
        <v>2016</v>
      </c>
      <c r="G513" s="7" t="s">
        <v>19</v>
      </c>
      <c r="H513" s="7" t="s">
        <v>261</v>
      </c>
      <c r="I513" s="8" t="s">
        <v>1113</v>
      </c>
      <c r="J513" s="2"/>
      <c r="K513" s="2"/>
      <c r="L513" s="2"/>
      <c r="M513" s="2"/>
      <c r="N513" s="2"/>
      <c r="O513" s="2"/>
      <c r="P513" s="2"/>
      <c r="Q513" s="2"/>
    </row>
    <row r="514" spans="1:17" ht="30" customHeight="1" x14ac:dyDescent="0.5">
      <c r="A514" s="7" t="s">
        <v>945</v>
      </c>
      <c r="B514" s="7" t="s">
        <v>1107</v>
      </c>
      <c r="C514" s="8">
        <v>1204700020009</v>
      </c>
      <c r="D514" s="7" t="s">
        <v>29</v>
      </c>
      <c r="E514" s="7" t="s">
        <v>1114</v>
      </c>
      <c r="F514" s="7">
        <v>2016</v>
      </c>
      <c r="G514" s="7" t="s">
        <v>19</v>
      </c>
      <c r="H514" s="7" t="s">
        <v>261</v>
      </c>
      <c r="I514" s="8" t="s">
        <v>1115</v>
      </c>
      <c r="J514" s="2"/>
      <c r="K514" s="2"/>
      <c r="L514" s="2"/>
      <c r="M514" s="2"/>
      <c r="N514" s="2"/>
      <c r="O514" s="2"/>
      <c r="P514" s="2"/>
      <c r="Q514" s="2"/>
    </row>
    <row r="515" spans="1:17" ht="30" customHeight="1" x14ac:dyDescent="0.5">
      <c r="A515" s="7" t="s">
        <v>945</v>
      </c>
      <c r="B515" s="7" t="s">
        <v>1107</v>
      </c>
      <c r="C515" s="8">
        <v>1204700020009</v>
      </c>
      <c r="D515" s="7" t="s">
        <v>29</v>
      </c>
      <c r="E515" s="7" t="s">
        <v>1116</v>
      </c>
      <c r="F515" s="7">
        <v>2016</v>
      </c>
      <c r="G515" s="7" t="s">
        <v>19</v>
      </c>
      <c r="H515" s="7" t="s">
        <v>261</v>
      </c>
      <c r="I515" s="8" t="s">
        <v>1117</v>
      </c>
      <c r="J515" s="2"/>
      <c r="K515" s="2"/>
      <c r="L515" s="2"/>
      <c r="M515" s="2"/>
      <c r="N515" s="2"/>
      <c r="O515" s="2"/>
      <c r="P515" s="2"/>
      <c r="Q515" s="2"/>
    </row>
    <row r="516" spans="1:17" ht="30" customHeight="1" x14ac:dyDescent="0.5">
      <c r="A516" s="7" t="s">
        <v>945</v>
      </c>
      <c r="B516" s="7" t="s">
        <v>1107</v>
      </c>
      <c r="C516" s="8">
        <v>1204700020009</v>
      </c>
      <c r="D516" s="7" t="s">
        <v>29</v>
      </c>
      <c r="E516" s="7" t="s">
        <v>1118</v>
      </c>
      <c r="F516" s="7">
        <v>2016</v>
      </c>
      <c r="G516" s="7" t="s">
        <v>19</v>
      </c>
      <c r="H516" s="7" t="s">
        <v>261</v>
      </c>
      <c r="I516" s="8" t="s">
        <v>1119</v>
      </c>
      <c r="J516" s="2"/>
      <c r="K516" s="2"/>
      <c r="L516" s="2"/>
      <c r="M516" s="2"/>
      <c r="N516" s="2"/>
      <c r="O516" s="2"/>
      <c r="P516" s="2"/>
      <c r="Q516" s="2"/>
    </row>
    <row r="517" spans="1:17" ht="30" customHeight="1" x14ac:dyDescent="0.5">
      <c r="A517" s="7" t="s">
        <v>945</v>
      </c>
      <c r="B517" s="7" t="s">
        <v>1107</v>
      </c>
      <c r="C517" s="8">
        <v>1303700010001</v>
      </c>
      <c r="D517" s="7" t="s">
        <v>421</v>
      </c>
      <c r="E517" s="7" t="s">
        <v>1120</v>
      </c>
      <c r="F517" s="7">
        <v>2010</v>
      </c>
      <c r="G517" s="7" t="s">
        <v>4</v>
      </c>
      <c r="H517" s="7" t="s">
        <v>423</v>
      </c>
      <c r="I517" s="8" t="s">
        <v>1121</v>
      </c>
      <c r="J517" s="2"/>
      <c r="K517" s="2"/>
      <c r="L517" s="2"/>
      <c r="M517" s="2"/>
      <c r="N517" s="2"/>
      <c r="O517" s="2"/>
      <c r="P517" s="2"/>
      <c r="Q517" s="2"/>
    </row>
    <row r="518" spans="1:17" ht="30" customHeight="1" x14ac:dyDescent="0.5">
      <c r="A518" s="7" t="s">
        <v>945</v>
      </c>
      <c r="B518" s="7" t="s">
        <v>1107</v>
      </c>
      <c r="C518" s="8">
        <v>1306700010001</v>
      </c>
      <c r="D518" s="7" t="s">
        <v>1002</v>
      </c>
      <c r="E518" s="7" t="s">
        <v>1122</v>
      </c>
      <c r="F518" s="7">
        <v>2012</v>
      </c>
      <c r="G518" s="7" t="s">
        <v>19</v>
      </c>
      <c r="H518" s="7" t="s">
        <v>423</v>
      </c>
      <c r="I518" s="8" t="s">
        <v>1123</v>
      </c>
      <c r="J518" s="2"/>
      <c r="K518" s="2"/>
      <c r="L518" s="2"/>
      <c r="M518" s="2"/>
      <c r="N518" s="2"/>
      <c r="O518" s="2"/>
      <c r="P518" s="2"/>
      <c r="Q518" s="2"/>
    </row>
    <row r="519" spans="1:17" ht="30" customHeight="1" x14ac:dyDescent="0.5">
      <c r="A519" s="7" t="s">
        <v>945</v>
      </c>
      <c r="B519" s="7" t="s">
        <v>1107</v>
      </c>
      <c r="C519" s="8">
        <v>1306700010002</v>
      </c>
      <c r="D519" s="7" t="s">
        <v>1005</v>
      </c>
      <c r="E519" s="7" t="s">
        <v>1460</v>
      </c>
      <c r="F519" s="7">
        <v>2013</v>
      </c>
      <c r="G519" s="7" t="s">
        <v>19</v>
      </c>
      <c r="H519" s="7" t="s">
        <v>423</v>
      </c>
      <c r="I519" s="8" t="s">
        <v>1124</v>
      </c>
      <c r="J519" s="2"/>
      <c r="K519" s="2"/>
      <c r="L519" s="2"/>
      <c r="M519" s="2"/>
      <c r="N519" s="2"/>
      <c r="O519" s="2"/>
      <c r="P519" s="2"/>
      <c r="Q519" s="2"/>
    </row>
    <row r="520" spans="1:17" ht="30" customHeight="1" x14ac:dyDescent="0.5">
      <c r="A520" s="7" t="s">
        <v>945</v>
      </c>
      <c r="B520" s="7" t="s">
        <v>1125</v>
      </c>
      <c r="C520" s="8">
        <v>1204700010003</v>
      </c>
      <c r="D520" s="7" t="s">
        <v>96</v>
      </c>
      <c r="E520" s="7" t="s">
        <v>1126</v>
      </c>
      <c r="F520" s="7">
        <v>2020</v>
      </c>
      <c r="G520" s="7" t="s">
        <v>19</v>
      </c>
      <c r="H520" s="7" t="s">
        <v>948</v>
      </c>
      <c r="I520" s="8" t="s">
        <v>1127</v>
      </c>
      <c r="J520" s="2"/>
      <c r="K520" s="2"/>
      <c r="L520" s="2"/>
      <c r="M520" s="2"/>
      <c r="N520" s="2"/>
      <c r="O520" s="2"/>
      <c r="P520" s="2"/>
      <c r="Q520" s="2"/>
    </row>
    <row r="521" spans="1:17" ht="30" customHeight="1" x14ac:dyDescent="0.5">
      <c r="A521" s="7" t="s">
        <v>945</v>
      </c>
      <c r="B521" s="7" t="s">
        <v>1125</v>
      </c>
      <c r="C521" s="8">
        <v>1204700020002</v>
      </c>
      <c r="D521" s="7" t="s">
        <v>178</v>
      </c>
      <c r="E521" s="7" t="s">
        <v>1128</v>
      </c>
      <c r="F521" s="7">
        <v>2011</v>
      </c>
      <c r="G521" s="7" t="s">
        <v>19</v>
      </c>
      <c r="H521" s="7" t="s">
        <v>10</v>
      </c>
      <c r="I521" s="8" t="s">
        <v>1129</v>
      </c>
      <c r="J521" s="2"/>
      <c r="K521" s="2"/>
      <c r="L521" s="2"/>
      <c r="M521" s="2"/>
      <c r="N521" s="2"/>
      <c r="O521" s="2"/>
      <c r="P521" s="2"/>
      <c r="Q521" s="2"/>
    </row>
    <row r="522" spans="1:17" ht="30" customHeight="1" x14ac:dyDescent="0.5">
      <c r="A522" s="7" t="s">
        <v>945</v>
      </c>
      <c r="B522" s="7" t="s">
        <v>1125</v>
      </c>
      <c r="C522" s="8">
        <v>1204700020009</v>
      </c>
      <c r="D522" s="7" t="s">
        <v>29</v>
      </c>
      <c r="E522" s="7" t="s">
        <v>1130</v>
      </c>
      <c r="F522" s="7">
        <v>2016</v>
      </c>
      <c r="G522" s="7" t="s">
        <v>19</v>
      </c>
      <c r="H522" s="7" t="s">
        <v>261</v>
      </c>
      <c r="I522" s="8" t="s">
        <v>1131</v>
      </c>
      <c r="J522" s="2"/>
      <c r="K522" s="2"/>
      <c r="L522" s="2"/>
      <c r="M522" s="2"/>
      <c r="N522" s="2"/>
      <c r="O522" s="2"/>
      <c r="P522" s="2"/>
      <c r="Q522" s="2"/>
    </row>
    <row r="523" spans="1:17" ht="30" customHeight="1" x14ac:dyDescent="0.5">
      <c r="A523" s="7" t="s">
        <v>945</v>
      </c>
      <c r="B523" s="7" t="s">
        <v>1125</v>
      </c>
      <c r="C523" s="8">
        <v>1204700020009</v>
      </c>
      <c r="D523" s="7" t="s">
        <v>29</v>
      </c>
      <c r="E523" s="7" t="s">
        <v>1132</v>
      </c>
      <c r="F523" s="7">
        <v>2016</v>
      </c>
      <c r="G523" s="7" t="s">
        <v>19</v>
      </c>
      <c r="H523" s="7" t="s">
        <v>261</v>
      </c>
      <c r="I523" s="8" t="s">
        <v>1133</v>
      </c>
      <c r="J523" s="2"/>
      <c r="K523" s="2"/>
      <c r="L523" s="2"/>
      <c r="M523" s="2"/>
      <c r="N523" s="2"/>
      <c r="O523" s="2"/>
      <c r="P523" s="2"/>
      <c r="Q523" s="2"/>
    </row>
    <row r="524" spans="1:17" ht="30" customHeight="1" x14ac:dyDescent="0.5">
      <c r="A524" s="7" t="s">
        <v>945</v>
      </c>
      <c r="B524" s="7" t="s">
        <v>1125</v>
      </c>
      <c r="C524" s="8">
        <v>1204700020009</v>
      </c>
      <c r="D524" s="7" t="s">
        <v>29</v>
      </c>
      <c r="E524" s="7" t="s">
        <v>1134</v>
      </c>
      <c r="F524" s="7">
        <v>2016</v>
      </c>
      <c r="G524" s="7" t="s">
        <v>19</v>
      </c>
      <c r="H524" s="7" t="s">
        <v>261</v>
      </c>
      <c r="I524" s="8" t="s">
        <v>1135</v>
      </c>
      <c r="J524" s="2"/>
      <c r="K524" s="2"/>
      <c r="L524" s="2"/>
      <c r="M524" s="2"/>
      <c r="N524" s="2"/>
      <c r="O524" s="2"/>
      <c r="P524" s="2"/>
      <c r="Q524" s="2"/>
    </row>
    <row r="525" spans="1:17" ht="30" customHeight="1" x14ac:dyDescent="0.5">
      <c r="A525" s="7" t="s">
        <v>945</v>
      </c>
      <c r="B525" s="7" t="s">
        <v>1125</v>
      </c>
      <c r="C525" s="8">
        <v>1303700010001</v>
      </c>
      <c r="D525" s="7" t="s">
        <v>421</v>
      </c>
      <c r="E525" s="7" t="s">
        <v>1138</v>
      </c>
      <c r="F525" s="7">
        <v>2010</v>
      </c>
      <c r="G525" s="7" t="s">
        <v>4</v>
      </c>
      <c r="H525" s="7" t="s">
        <v>423</v>
      </c>
      <c r="I525" s="8" t="s">
        <v>1139</v>
      </c>
      <c r="J525" s="2"/>
      <c r="K525" s="2"/>
      <c r="L525" s="2"/>
      <c r="M525" s="2"/>
      <c r="N525" s="2"/>
      <c r="O525" s="2"/>
      <c r="P525" s="2"/>
      <c r="Q525" s="2"/>
    </row>
    <row r="526" spans="1:17" ht="30" customHeight="1" x14ac:dyDescent="0.5">
      <c r="A526" s="7" t="s">
        <v>945</v>
      </c>
      <c r="B526" s="7" t="s">
        <v>1125</v>
      </c>
      <c r="C526" s="8">
        <v>1303700010001</v>
      </c>
      <c r="D526" s="7" t="s">
        <v>421</v>
      </c>
      <c r="E526" s="7" t="s">
        <v>1140</v>
      </c>
      <c r="F526" s="7">
        <v>2010</v>
      </c>
      <c r="G526" s="7" t="s">
        <v>4</v>
      </c>
      <c r="H526" s="7" t="s">
        <v>423</v>
      </c>
      <c r="I526" s="8" t="s">
        <v>1141</v>
      </c>
      <c r="J526" s="2"/>
      <c r="K526" s="2"/>
      <c r="L526" s="2"/>
      <c r="M526" s="2"/>
      <c r="N526" s="2"/>
      <c r="O526" s="2"/>
      <c r="P526" s="2"/>
      <c r="Q526" s="2"/>
    </row>
    <row r="527" spans="1:17" ht="30" customHeight="1" x14ac:dyDescent="0.5">
      <c r="A527" s="7" t="s">
        <v>945</v>
      </c>
      <c r="B527" s="7" t="s">
        <v>1125</v>
      </c>
      <c r="C527" s="8">
        <v>1303700010001</v>
      </c>
      <c r="D527" s="7" t="s">
        <v>421</v>
      </c>
      <c r="E527" s="7" t="s">
        <v>1142</v>
      </c>
      <c r="F527" s="7">
        <v>2010</v>
      </c>
      <c r="G527" s="7" t="s">
        <v>4</v>
      </c>
      <c r="H527" s="7" t="s">
        <v>423</v>
      </c>
      <c r="I527" s="8" t="s">
        <v>1143</v>
      </c>
      <c r="J527" s="2"/>
      <c r="K527" s="2"/>
      <c r="L527" s="2"/>
      <c r="M527" s="2"/>
      <c r="N527" s="2"/>
      <c r="O527" s="2"/>
      <c r="P527" s="2"/>
      <c r="Q527" s="2"/>
    </row>
    <row r="528" spans="1:17" ht="30" customHeight="1" x14ac:dyDescent="0.5">
      <c r="A528" s="7" t="s">
        <v>945</v>
      </c>
      <c r="B528" s="7" t="s">
        <v>1144</v>
      </c>
      <c r="C528" s="8">
        <v>1204700020002</v>
      </c>
      <c r="D528" s="7" t="s">
        <v>178</v>
      </c>
      <c r="E528" s="7" t="s">
        <v>1145</v>
      </c>
      <c r="F528" s="7">
        <v>2011</v>
      </c>
      <c r="G528" s="7" t="s">
        <v>19</v>
      </c>
      <c r="H528" s="7" t="s">
        <v>10</v>
      </c>
      <c r="I528" s="8" t="s">
        <v>1146</v>
      </c>
      <c r="J528" s="2"/>
      <c r="K528" s="2"/>
      <c r="L528" s="2"/>
      <c r="M528" s="2"/>
      <c r="N528" s="2"/>
      <c r="O528" s="2"/>
      <c r="P528" s="2"/>
      <c r="Q528" s="2"/>
    </row>
    <row r="529" spans="1:17" ht="30" customHeight="1" x14ac:dyDescent="0.5">
      <c r="A529" s="7" t="s">
        <v>945</v>
      </c>
      <c r="B529" s="7" t="s">
        <v>1144</v>
      </c>
      <c r="C529" s="8">
        <v>1204700020009</v>
      </c>
      <c r="D529" s="7" t="s">
        <v>29</v>
      </c>
      <c r="E529" s="7" t="s">
        <v>1147</v>
      </c>
      <c r="F529" s="7">
        <v>2016</v>
      </c>
      <c r="G529" s="7" t="s">
        <v>19</v>
      </c>
      <c r="H529" s="7" t="s">
        <v>261</v>
      </c>
      <c r="I529" s="8" t="s">
        <v>1148</v>
      </c>
      <c r="J529" s="2"/>
      <c r="K529" s="2"/>
      <c r="L529" s="2"/>
      <c r="M529" s="2"/>
      <c r="N529" s="2"/>
      <c r="O529" s="2"/>
      <c r="P529" s="2"/>
      <c r="Q529" s="2"/>
    </row>
    <row r="530" spans="1:17" ht="30" customHeight="1" x14ac:dyDescent="0.5">
      <c r="A530" s="7" t="s">
        <v>945</v>
      </c>
      <c r="B530" s="7" t="s">
        <v>1144</v>
      </c>
      <c r="C530" s="8">
        <v>1204700020009</v>
      </c>
      <c r="D530" s="7" t="s">
        <v>29</v>
      </c>
      <c r="E530" s="7" t="s">
        <v>1149</v>
      </c>
      <c r="F530" s="7">
        <v>2016</v>
      </c>
      <c r="G530" s="7" t="s">
        <v>19</v>
      </c>
      <c r="H530" s="7" t="s">
        <v>261</v>
      </c>
      <c r="I530" s="8" t="s">
        <v>1150</v>
      </c>
      <c r="J530" s="2"/>
      <c r="K530" s="2"/>
      <c r="L530" s="2"/>
      <c r="M530" s="2"/>
      <c r="N530" s="2"/>
      <c r="O530" s="2"/>
      <c r="P530" s="2"/>
      <c r="Q530" s="2"/>
    </row>
    <row r="531" spans="1:17" ht="30" customHeight="1" x14ac:dyDescent="0.5">
      <c r="A531" s="7" t="s">
        <v>945</v>
      </c>
      <c r="B531" s="7" t="s">
        <v>1144</v>
      </c>
      <c r="C531" s="8">
        <v>1204700020009</v>
      </c>
      <c r="D531" s="7" t="s">
        <v>29</v>
      </c>
      <c r="E531" s="7" t="s">
        <v>1151</v>
      </c>
      <c r="F531" s="7">
        <v>2016</v>
      </c>
      <c r="G531" s="7" t="s">
        <v>19</v>
      </c>
      <c r="H531" s="7" t="s">
        <v>261</v>
      </c>
      <c r="I531" s="8" t="s">
        <v>1152</v>
      </c>
      <c r="J531" s="2"/>
      <c r="K531" s="2"/>
      <c r="L531" s="2"/>
      <c r="M531" s="2"/>
      <c r="N531" s="2"/>
      <c r="O531" s="2"/>
      <c r="P531" s="2"/>
      <c r="Q531" s="2"/>
    </row>
    <row r="532" spans="1:17" ht="30" customHeight="1" x14ac:dyDescent="0.5">
      <c r="A532" s="7" t="s">
        <v>945</v>
      </c>
      <c r="B532" s="7" t="s">
        <v>1144</v>
      </c>
      <c r="C532" s="8">
        <v>1204700020009</v>
      </c>
      <c r="D532" s="7" t="s">
        <v>29</v>
      </c>
      <c r="E532" s="7" t="s">
        <v>1153</v>
      </c>
      <c r="F532" s="7">
        <v>2016</v>
      </c>
      <c r="G532" s="7" t="s">
        <v>19</v>
      </c>
      <c r="H532" s="7" t="s">
        <v>261</v>
      </c>
      <c r="I532" s="8" t="s">
        <v>1154</v>
      </c>
      <c r="J532" s="2"/>
      <c r="K532" s="2"/>
      <c r="L532" s="2"/>
      <c r="M532" s="2"/>
      <c r="N532" s="2"/>
      <c r="O532" s="2"/>
      <c r="P532" s="2"/>
      <c r="Q532" s="2"/>
    </row>
    <row r="533" spans="1:17" ht="30" customHeight="1" x14ac:dyDescent="0.5">
      <c r="A533" s="7" t="s">
        <v>945</v>
      </c>
      <c r="B533" s="7" t="s">
        <v>1144</v>
      </c>
      <c r="C533" s="8">
        <v>1303700010001</v>
      </c>
      <c r="D533" s="7" t="s">
        <v>421</v>
      </c>
      <c r="E533" s="7" t="s">
        <v>1155</v>
      </c>
      <c r="F533" s="7">
        <v>2010</v>
      </c>
      <c r="G533" s="7" t="s">
        <v>4</v>
      </c>
      <c r="H533" s="7" t="s">
        <v>423</v>
      </c>
      <c r="I533" s="8" t="s">
        <v>1156</v>
      </c>
      <c r="J533" s="2"/>
      <c r="K533" s="2"/>
      <c r="L533" s="2"/>
      <c r="M533" s="2"/>
      <c r="N533" s="2"/>
      <c r="O533" s="2"/>
      <c r="P533" s="2"/>
      <c r="Q533" s="2"/>
    </row>
    <row r="534" spans="1:17" ht="30" customHeight="1" x14ac:dyDescent="0.5">
      <c r="A534" s="7" t="s">
        <v>945</v>
      </c>
      <c r="B534" s="7" t="s">
        <v>1144</v>
      </c>
      <c r="C534" s="8">
        <v>1303700010001</v>
      </c>
      <c r="D534" s="7" t="s">
        <v>421</v>
      </c>
      <c r="E534" s="7" t="s">
        <v>1157</v>
      </c>
      <c r="F534" s="7">
        <v>2011</v>
      </c>
      <c r="G534" s="7" t="s">
        <v>4</v>
      </c>
      <c r="H534" s="7" t="s">
        <v>423</v>
      </c>
      <c r="I534" s="8" t="s">
        <v>1158</v>
      </c>
      <c r="J534" s="2"/>
      <c r="K534" s="2"/>
      <c r="L534" s="2"/>
      <c r="M534" s="2"/>
      <c r="N534" s="2"/>
      <c r="O534" s="2"/>
      <c r="P534" s="2"/>
      <c r="Q534" s="2"/>
    </row>
    <row r="535" spans="1:17" ht="30" customHeight="1" x14ac:dyDescent="0.5">
      <c r="A535" s="7" t="s">
        <v>945</v>
      </c>
      <c r="B535" s="7" t="s">
        <v>1159</v>
      </c>
      <c r="C535" s="8">
        <v>1204700010003</v>
      </c>
      <c r="D535" s="7" t="s">
        <v>96</v>
      </c>
      <c r="E535" s="7" t="s">
        <v>1160</v>
      </c>
      <c r="F535" s="7">
        <v>2020</v>
      </c>
      <c r="G535" s="7" t="s">
        <v>19</v>
      </c>
      <c r="H535" s="7" t="s">
        <v>377</v>
      </c>
      <c r="I535" s="8" t="s">
        <v>1161</v>
      </c>
      <c r="J535" s="2"/>
      <c r="K535" s="2"/>
      <c r="L535" s="2"/>
      <c r="M535" s="2"/>
      <c r="N535" s="2"/>
      <c r="O535" s="2"/>
      <c r="P535" s="2"/>
      <c r="Q535" s="2"/>
    </row>
    <row r="536" spans="1:17" ht="30" customHeight="1" x14ac:dyDescent="0.5">
      <c r="A536" s="7" t="s">
        <v>945</v>
      </c>
      <c r="B536" s="7" t="s">
        <v>1159</v>
      </c>
      <c r="C536" s="8">
        <v>1204700020003</v>
      </c>
      <c r="D536" s="7" t="s">
        <v>13</v>
      </c>
      <c r="E536" s="7" t="s">
        <v>1162</v>
      </c>
      <c r="F536" s="7">
        <v>2012</v>
      </c>
      <c r="G536" s="7" t="s">
        <v>19</v>
      </c>
      <c r="H536" s="7" t="s">
        <v>10</v>
      </c>
      <c r="I536" s="8" t="s">
        <v>1163</v>
      </c>
      <c r="J536" s="2"/>
      <c r="K536" s="2"/>
      <c r="L536" s="2"/>
      <c r="M536" s="2"/>
      <c r="N536" s="2"/>
      <c r="O536" s="2"/>
      <c r="P536" s="2"/>
      <c r="Q536" s="2"/>
    </row>
    <row r="537" spans="1:17" ht="30" customHeight="1" x14ac:dyDescent="0.5">
      <c r="A537" s="7" t="s">
        <v>945</v>
      </c>
      <c r="B537" s="7" t="s">
        <v>1159</v>
      </c>
      <c r="C537" s="8">
        <v>1204700020009</v>
      </c>
      <c r="D537" s="7" t="s">
        <v>29</v>
      </c>
      <c r="E537" s="7" t="s">
        <v>1164</v>
      </c>
      <c r="F537" s="7">
        <v>2016</v>
      </c>
      <c r="G537" s="7" t="s">
        <v>19</v>
      </c>
      <c r="H537" s="7" t="s">
        <v>261</v>
      </c>
      <c r="I537" s="8" t="s">
        <v>1165</v>
      </c>
      <c r="J537" s="2"/>
      <c r="K537" s="2"/>
      <c r="L537" s="2"/>
      <c r="M537" s="2"/>
      <c r="N537" s="2"/>
      <c r="O537" s="2"/>
      <c r="P537" s="2"/>
      <c r="Q537" s="2"/>
    </row>
    <row r="538" spans="1:17" ht="30" customHeight="1" x14ac:dyDescent="0.5">
      <c r="A538" s="7" t="s">
        <v>945</v>
      </c>
      <c r="B538" s="7" t="s">
        <v>1159</v>
      </c>
      <c r="C538" s="8">
        <v>1204700020009</v>
      </c>
      <c r="D538" s="7" t="s">
        <v>29</v>
      </c>
      <c r="E538" s="7" t="s">
        <v>1166</v>
      </c>
      <c r="F538" s="7">
        <v>2016</v>
      </c>
      <c r="G538" s="7" t="s">
        <v>19</v>
      </c>
      <c r="H538" s="7" t="s">
        <v>261</v>
      </c>
      <c r="I538" s="8" t="s">
        <v>1167</v>
      </c>
      <c r="J538" s="2"/>
      <c r="K538" s="2"/>
      <c r="L538" s="2"/>
      <c r="M538" s="2"/>
      <c r="N538" s="2"/>
      <c r="O538" s="2"/>
      <c r="P538" s="2"/>
      <c r="Q538" s="2"/>
    </row>
    <row r="539" spans="1:17" ht="30" customHeight="1" x14ac:dyDescent="0.5">
      <c r="A539" s="7" t="s">
        <v>945</v>
      </c>
      <c r="B539" s="7" t="s">
        <v>1159</v>
      </c>
      <c r="C539" s="8">
        <v>1204700020009</v>
      </c>
      <c r="D539" s="7" t="s">
        <v>29</v>
      </c>
      <c r="E539" s="7" t="s">
        <v>1168</v>
      </c>
      <c r="F539" s="7">
        <v>2016</v>
      </c>
      <c r="G539" s="7" t="s">
        <v>19</v>
      </c>
      <c r="H539" s="7" t="s">
        <v>261</v>
      </c>
      <c r="I539" s="8" t="s">
        <v>1169</v>
      </c>
      <c r="J539" s="2"/>
      <c r="K539" s="2"/>
      <c r="L539" s="2"/>
      <c r="M539" s="2"/>
      <c r="N539" s="2"/>
      <c r="O539" s="2"/>
      <c r="P539" s="2"/>
      <c r="Q539" s="2"/>
    </row>
    <row r="540" spans="1:17" ht="30" customHeight="1" x14ac:dyDescent="0.5">
      <c r="A540" s="7" t="s">
        <v>945</v>
      </c>
      <c r="B540" s="7" t="s">
        <v>1159</v>
      </c>
      <c r="C540" s="8">
        <v>1204700020009</v>
      </c>
      <c r="D540" s="7" t="s">
        <v>29</v>
      </c>
      <c r="E540" s="7" t="s">
        <v>1170</v>
      </c>
      <c r="F540" s="7">
        <v>2016</v>
      </c>
      <c r="G540" s="7" t="s">
        <v>19</v>
      </c>
      <c r="H540" s="7" t="s">
        <v>261</v>
      </c>
      <c r="I540" s="8" t="s">
        <v>1171</v>
      </c>
      <c r="J540" s="2"/>
      <c r="K540" s="2"/>
      <c r="L540" s="2"/>
      <c r="M540" s="2"/>
      <c r="N540" s="2"/>
      <c r="O540" s="2"/>
      <c r="P540" s="2"/>
      <c r="Q540" s="2"/>
    </row>
    <row r="541" spans="1:17" ht="30" customHeight="1" x14ac:dyDescent="0.5">
      <c r="A541" s="7" t="s">
        <v>945</v>
      </c>
      <c r="B541" s="7" t="s">
        <v>1159</v>
      </c>
      <c r="C541" s="8">
        <v>1303700010001</v>
      </c>
      <c r="D541" s="7" t="s">
        <v>421</v>
      </c>
      <c r="E541" s="7" t="s">
        <v>1172</v>
      </c>
      <c r="F541" s="7">
        <v>2010</v>
      </c>
      <c r="G541" s="7" t="s">
        <v>4</v>
      </c>
      <c r="H541" s="7" t="s">
        <v>423</v>
      </c>
      <c r="I541" s="8" t="s">
        <v>1173</v>
      </c>
      <c r="J541" s="2"/>
      <c r="K541" s="2"/>
      <c r="L541" s="2"/>
      <c r="M541" s="2"/>
      <c r="N541" s="2"/>
      <c r="O541" s="2"/>
      <c r="P541" s="2"/>
      <c r="Q541" s="2"/>
    </row>
    <row r="542" spans="1:17" ht="30" customHeight="1" x14ac:dyDescent="0.5">
      <c r="A542" s="7" t="s">
        <v>945</v>
      </c>
      <c r="B542" s="7" t="s">
        <v>1159</v>
      </c>
      <c r="C542" s="8">
        <v>1303700010001</v>
      </c>
      <c r="D542" s="7" t="s">
        <v>421</v>
      </c>
      <c r="E542" s="7" t="s">
        <v>1174</v>
      </c>
      <c r="F542" s="7">
        <v>2010</v>
      </c>
      <c r="G542" s="7" t="s">
        <v>4</v>
      </c>
      <c r="H542" s="7" t="s">
        <v>423</v>
      </c>
      <c r="I542" s="8" t="s">
        <v>1175</v>
      </c>
      <c r="J542" s="2"/>
      <c r="K542" s="2"/>
      <c r="L542" s="2"/>
      <c r="M542" s="2"/>
      <c r="N542" s="2"/>
      <c r="O542" s="2"/>
      <c r="P542" s="2"/>
      <c r="Q542" s="2"/>
    </row>
    <row r="543" spans="1:17" ht="30" customHeight="1" x14ac:dyDescent="0.5">
      <c r="A543" s="7" t="s">
        <v>945</v>
      </c>
      <c r="B543" s="7" t="s">
        <v>1159</v>
      </c>
      <c r="C543" s="8">
        <v>1303700010001</v>
      </c>
      <c r="D543" s="7" t="s">
        <v>421</v>
      </c>
      <c r="E543" s="7" t="s">
        <v>1176</v>
      </c>
      <c r="F543" s="7">
        <v>2010</v>
      </c>
      <c r="G543" s="7" t="s">
        <v>4</v>
      </c>
      <c r="H543" s="7" t="s">
        <v>423</v>
      </c>
      <c r="I543" s="8" t="s">
        <v>1177</v>
      </c>
      <c r="J543" s="2"/>
      <c r="K543" s="2"/>
      <c r="L543" s="2"/>
      <c r="M543" s="2"/>
      <c r="N543" s="2"/>
      <c r="O543" s="2"/>
      <c r="P543" s="2"/>
      <c r="Q543" s="2"/>
    </row>
    <row r="544" spans="1:17" ht="30" customHeight="1" x14ac:dyDescent="0.5">
      <c r="A544" s="7" t="s">
        <v>945</v>
      </c>
      <c r="B544" s="7" t="s">
        <v>1178</v>
      </c>
      <c r="C544" s="8">
        <v>1204700010003</v>
      </c>
      <c r="D544" s="7" t="s">
        <v>96</v>
      </c>
      <c r="E544" s="7" t="s">
        <v>1179</v>
      </c>
      <c r="F544" s="7">
        <v>2020</v>
      </c>
      <c r="G544" s="7" t="s">
        <v>19</v>
      </c>
      <c r="H544" s="7" t="s">
        <v>948</v>
      </c>
      <c r="I544" s="8" t="s">
        <v>1180</v>
      </c>
      <c r="J544" s="2"/>
      <c r="K544" s="2"/>
      <c r="L544" s="2"/>
      <c r="M544" s="2"/>
      <c r="N544" s="2"/>
      <c r="O544" s="2"/>
      <c r="P544" s="2"/>
      <c r="Q544" s="2"/>
    </row>
    <row r="545" spans="1:17" ht="30" customHeight="1" x14ac:dyDescent="0.5">
      <c r="A545" s="7" t="s">
        <v>945</v>
      </c>
      <c r="B545" s="7" t="s">
        <v>1178</v>
      </c>
      <c r="C545" s="8">
        <v>1204700020003</v>
      </c>
      <c r="D545" s="7" t="s">
        <v>13</v>
      </c>
      <c r="E545" s="7" t="s">
        <v>1181</v>
      </c>
      <c r="F545" s="7">
        <v>2010</v>
      </c>
      <c r="G545" s="7" t="s">
        <v>19</v>
      </c>
      <c r="H545" s="7" t="s">
        <v>10</v>
      </c>
      <c r="I545" s="8" t="s">
        <v>1182</v>
      </c>
      <c r="J545" s="2"/>
      <c r="K545" s="2"/>
      <c r="L545" s="2"/>
      <c r="M545" s="2"/>
      <c r="N545" s="2"/>
      <c r="O545" s="2"/>
      <c r="P545" s="2"/>
      <c r="Q545" s="2"/>
    </row>
    <row r="546" spans="1:17" ht="30" customHeight="1" x14ac:dyDescent="0.5">
      <c r="A546" s="7" t="s">
        <v>945</v>
      </c>
      <c r="B546" s="7" t="s">
        <v>1178</v>
      </c>
      <c r="C546" s="8">
        <v>1204700020009</v>
      </c>
      <c r="D546" s="7" t="s">
        <v>29</v>
      </c>
      <c r="E546" s="7" t="s">
        <v>1187</v>
      </c>
      <c r="F546" s="7">
        <v>2016</v>
      </c>
      <c r="G546" s="7" t="s">
        <v>19</v>
      </c>
      <c r="H546" s="7" t="s">
        <v>261</v>
      </c>
      <c r="I546" s="8" t="s">
        <v>1188</v>
      </c>
      <c r="J546" s="2"/>
      <c r="K546" s="2"/>
      <c r="L546" s="2"/>
      <c r="M546" s="2"/>
      <c r="N546" s="2"/>
      <c r="O546" s="2"/>
      <c r="P546" s="2"/>
      <c r="Q546" s="2"/>
    </row>
    <row r="547" spans="1:17" ht="30" customHeight="1" x14ac:dyDescent="0.5">
      <c r="A547" s="7" t="s">
        <v>945</v>
      </c>
      <c r="B547" s="7" t="s">
        <v>1178</v>
      </c>
      <c r="C547" s="8">
        <v>1204700020009</v>
      </c>
      <c r="D547" s="7" t="s">
        <v>29</v>
      </c>
      <c r="E547" s="7" t="s">
        <v>1189</v>
      </c>
      <c r="F547" s="7">
        <v>2016</v>
      </c>
      <c r="G547" s="7" t="s">
        <v>19</v>
      </c>
      <c r="H547" s="7" t="s">
        <v>261</v>
      </c>
      <c r="I547" s="8" t="s">
        <v>1190</v>
      </c>
      <c r="J547" s="2"/>
      <c r="K547" s="2"/>
      <c r="L547" s="2"/>
      <c r="M547" s="2"/>
      <c r="N547" s="2"/>
      <c r="O547" s="2"/>
      <c r="P547" s="2"/>
      <c r="Q547" s="2"/>
    </row>
    <row r="548" spans="1:17" ht="30" customHeight="1" x14ac:dyDescent="0.5">
      <c r="A548" s="7" t="s">
        <v>945</v>
      </c>
      <c r="B548" s="7" t="s">
        <v>1178</v>
      </c>
      <c r="C548" s="8">
        <v>1204700020009</v>
      </c>
      <c r="D548" s="7" t="s">
        <v>29</v>
      </c>
      <c r="E548" s="7" t="s">
        <v>1191</v>
      </c>
      <c r="F548" s="7">
        <v>2016</v>
      </c>
      <c r="G548" s="7" t="s">
        <v>19</v>
      </c>
      <c r="H548" s="7" t="s">
        <v>261</v>
      </c>
      <c r="I548" s="8" t="s">
        <v>1192</v>
      </c>
      <c r="J548" s="2"/>
      <c r="K548" s="2"/>
      <c r="L548" s="2"/>
      <c r="M548" s="2"/>
      <c r="N548" s="2"/>
      <c r="O548" s="2"/>
      <c r="P548" s="2"/>
      <c r="Q548" s="2"/>
    </row>
    <row r="549" spans="1:17" ht="30" customHeight="1" x14ac:dyDescent="0.5">
      <c r="A549" s="7" t="s">
        <v>945</v>
      </c>
      <c r="B549" s="7" t="s">
        <v>1178</v>
      </c>
      <c r="C549" s="8">
        <v>1303700010001</v>
      </c>
      <c r="D549" s="7" t="s">
        <v>421</v>
      </c>
      <c r="E549" s="7" t="s">
        <v>1193</v>
      </c>
      <c r="F549" s="7">
        <v>2010</v>
      </c>
      <c r="G549" s="7" t="s">
        <v>4</v>
      </c>
      <c r="H549" s="7" t="s">
        <v>423</v>
      </c>
      <c r="I549" s="8" t="s">
        <v>1194</v>
      </c>
      <c r="J549" s="2"/>
      <c r="K549" s="2"/>
      <c r="L549" s="2"/>
      <c r="M549" s="2"/>
      <c r="N549" s="2"/>
      <c r="O549" s="2"/>
      <c r="P549" s="2"/>
      <c r="Q549" s="2"/>
    </row>
    <row r="550" spans="1:17" ht="30" customHeight="1" x14ac:dyDescent="0.5">
      <c r="A550" s="7" t="s">
        <v>945</v>
      </c>
      <c r="B550" s="7" t="s">
        <v>1178</v>
      </c>
      <c r="C550" s="8">
        <v>1303700010001</v>
      </c>
      <c r="D550" s="7" t="s">
        <v>421</v>
      </c>
      <c r="E550" s="7" t="s">
        <v>1195</v>
      </c>
      <c r="F550" s="7">
        <v>2010</v>
      </c>
      <c r="G550" s="7" t="s">
        <v>4</v>
      </c>
      <c r="H550" s="7" t="s">
        <v>423</v>
      </c>
      <c r="I550" s="8" t="s">
        <v>1196</v>
      </c>
      <c r="J550" s="2"/>
      <c r="K550" s="2"/>
      <c r="L550" s="2"/>
      <c r="M550" s="2"/>
      <c r="N550" s="2"/>
      <c r="O550" s="2"/>
      <c r="P550" s="2"/>
      <c r="Q550" s="2"/>
    </row>
    <row r="551" spans="1:17" ht="30" customHeight="1" x14ac:dyDescent="0.5">
      <c r="A551" s="7" t="s">
        <v>945</v>
      </c>
      <c r="B551" s="7" t="s">
        <v>1178</v>
      </c>
      <c r="C551" s="8">
        <v>1303700010001</v>
      </c>
      <c r="D551" s="7" t="s">
        <v>421</v>
      </c>
      <c r="E551" s="7" t="s">
        <v>1197</v>
      </c>
      <c r="F551" s="7">
        <v>2011</v>
      </c>
      <c r="G551" s="7" t="s">
        <v>4</v>
      </c>
      <c r="H551" s="7" t="s">
        <v>423</v>
      </c>
      <c r="I551" s="8" t="s">
        <v>1198</v>
      </c>
      <c r="J551" s="2"/>
      <c r="K551" s="2"/>
      <c r="L551" s="2"/>
      <c r="M551" s="2"/>
      <c r="N551" s="2"/>
      <c r="O551" s="2"/>
      <c r="P551" s="2"/>
      <c r="Q551" s="2"/>
    </row>
    <row r="552" spans="1:17" ht="30" customHeight="1" x14ac:dyDescent="0.5">
      <c r="A552" s="7" t="s">
        <v>35</v>
      </c>
      <c r="B552" s="7" t="s">
        <v>1199</v>
      </c>
      <c r="C552" s="8">
        <v>1105700150003</v>
      </c>
      <c r="D552" s="7" t="s">
        <v>1200</v>
      </c>
      <c r="E552" s="7" t="s">
        <v>1201</v>
      </c>
      <c r="F552" s="7">
        <v>2005</v>
      </c>
      <c r="G552" s="7" t="s">
        <v>19</v>
      </c>
      <c r="H552" s="7" t="s">
        <v>42</v>
      </c>
      <c r="I552" s="8" t="s">
        <v>1202</v>
      </c>
      <c r="J552" s="2"/>
      <c r="K552" s="2"/>
      <c r="L552" s="2"/>
      <c r="M552" s="2"/>
      <c r="N552" s="2"/>
      <c r="O552" s="2"/>
      <c r="P552" s="2"/>
      <c r="Q552" s="2"/>
    </row>
    <row r="553" spans="1:17" ht="30" customHeight="1" x14ac:dyDescent="0.5">
      <c r="A553" s="7" t="s">
        <v>35</v>
      </c>
      <c r="B553" s="7" t="s">
        <v>1199</v>
      </c>
      <c r="C553" s="8">
        <v>1105700150012</v>
      </c>
      <c r="D553" s="7" t="s">
        <v>1203</v>
      </c>
      <c r="E553" s="7" t="s">
        <v>1204</v>
      </c>
      <c r="F553" s="7">
        <v>2021</v>
      </c>
      <c r="G553" s="7" t="s">
        <v>19</v>
      </c>
      <c r="H553" s="7" t="s">
        <v>42</v>
      </c>
      <c r="I553" s="8" t="s">
        <v>1205</v>
      </c>
      <c r="J553" s="2"/>
      <c r="K553" s="2"/>
      <c r="L553" s="2"/>
      <c r="M553" s="2"/>
      <c r="N553" s="2"/>
      <c r="O553" s="2"/>
      <c r="P553" s="2"/>
      <c r="Q553" s="2"/>
    </row>
    <row r="554" spans="1:17" ht="30" customHeight="1" x14ac:dyDescent="0.5">
      <c r="A554" s="7" t="s">
        <v>35</v>
      </c>
      <c r="B554" s="7" t="s">
        <v>1199</v>
      </c>
      <c r="C554" s="8">
        <v>1105700200001</v>
      </c>
      <c r="D554" s="7" t="s">
        <v>1206</v>
      </c>
      <c r="E554" s="7" t="s">
        <v>1207</v>
      </c>
      <c r="F554" s="7">
        <v>2019</v>
      </c>
      <c r="G554" s="7" t="s">
        <v>19</v>
      </c>
      <c r="H554" s="7" t="s">
        <v>20</v>
      </c>
      <c r="I554" s="8" t="s">
        <v>1208</v>
      </c>
      <c r="J554" s="2"/>
      <c r="K554" s="2"/>
      <c r="L554" s="2"/>
      <c r="M554" s="2"/>
      <c r="N554" s="2"/>
      <c r="O554" s="2"/>
      <c r="P554" s="2"/>
      <c r="Q554" s="2"/>
    </row>
    <row r="555" spans="1:17" ht="30" customHeight="1" x14ac:dyDescent="0.5">
      <c r="A555" s="7" t="s">
        <v>35</v>
      </c>
      <c r="B555" s="7" t="s">
        <v>1199</v>
      </c>
      <c r="C555" s="8">
        <v>1204700020003</v>
      </c>
      <c r="D555" s="7" t="s">
        <v>13</v>
      </c>
      <c r="E555" s="7" t="s">
        <v>1209</v>
      </c>
      <c r="F555" s="7">
        <v>2008</v>
      </c>
      <c r="G555" s="7" t="s">
        <v>19</v>
      </c>
      <c r="H555" s="7" t="s">
        <v>10</v>
      </c>
      <c r="I555" s="8" t="s">
        <v>1210</v>
      </c>
      <c r="J555" s="2"/>
      <c r="K555" s="2"/>
      <c r="L555" s="2"/>
      <c r="M555" s="2"/>
      <c r="N555" s="2"/>
      <c r="O555" s="2"/>
      <c r="P555" s="2"/>
      <c r="Q555" s="2"/>
    </row>
    <row r="556" spans="1:17" ht="30" customHeight="1" x14ac:dyDescent="0.5">
      <c r="A556" s="7" t="s">
        <v>35</v>
      </c>
      <c r="B556" s="7" t="s">
        <v>1199</v>
      </c>
      <c r="C556" s="8">
        <v>1204700020003</v>
      </c>
      <c r="D556" s="7" t="s">
        <v>13</v>
      </c>
      <c r="E556" s="7" t="s">
        <v>1211</v>
      </c>
      <c r="F556" s="7">
        <v>2010</v>
      </c>
      <c r="G556" s="7" t="s">
        <v>19</v>
      </c>
      <c r="H556" s="7" t="s">
        <v>10</v>
      </c>
      <c r="I556" s="8" t="s">
        <v>1212</v>
      </c>
      <c r="J556" s="2"/>
      <c r="K556" s="2"/>
      <c r="L556" s="2"/>
      <c r="M556" s="2"/>
      <c r="N556" s="2"/>
      <c r="O556" s="2"/>
      <c r="P556" s="2"/>
      <c r="Q556" s="2"/>
    </row>
    <row r="557" spans="1:17" ht="30" customHeight="1" x14ac:dyDescent="0.5">
      <c r="A557" s="7" t="s">
        <v>35</v>
      </c>
      <c r="B557" s="7" t="s">
        <v>1199</v>
      </c>
      <c r="C557" s="8">
        <v>1206700030002</v>
      </c>
      <c r="D557" s="7" t="s">
        <v>1216</v>
      </c>
      <c r="E557" s="7" t="s">
        <v>1217</v>
      </c>
      <c r="F557" s="7">
        <v>2002</v>
      </c>
      <c r="G557" s="7" t="s">
        <v>4</v>
      </c>
      <c r="H557" s="7" t="s">
        <v>739</v>
      </c>
      <c r="I557" s="8" t="s">
        <v>1218</v>
      </c>
      <c r="J557" s="2"/>
      <c r="K557" s="2"/>
      <c r="L557" s="2"/>
      <c r="M557" s="2"/>
      <c r="N557" s="2"/>
      <c r="O557" s="2"/>
      <c r="P557" s="2"/>
      <c r="Q557" s="2"/>
    </row>
    <row r="558" spans="1:17" ht="30" customHeight="1" x14ac:dyDescent="0.5">
      <c r="A558" s="7" t="s">
        <v>263</v>
      </c>
      <c r="B558" s="7" t="s">
        <v>1219</v>
      </c>
      <c r="C558" s="8">
        <v>1204700020002</v>
      </c>
      <c r="D558" s="7" t="s">
        <v>178</v>
      </c>
      <c r="E558" s="7" t="s">
        <v>1222</v>
      </c>
      <c r="F558" s="7">
        <v>2011</v>
      </c>
      <c r="G558" s="7" t="s">
        <v>19</v>
      </c>
      <c r="H558" s="7" t="s">
        <v>10</v>
      </c>
      <c r="I558" s="8">
        <v>4040871</v>
      </c>
      <c r="J558" s="2"/>
      <c r="K558" s="2"/>
      <c r="L558" s="2"/>
      <c r="M558" s="2"/>
      <c r="N558" s="2"/>
      <c r="O558" s="2"/>
      <c r="P558" s="2"/>
      <c r="Q558" s="2"/>
    </row>
    <row r="559" spans="1:17" ht="30" customHeight="1" x14ac:dyDescent="0.5">
      <c r="A559" s="7" t="s">
        <v>263</v>
      </c>
      <c r="B559" s="7" t="s">
        <v>1219</v>
      </c>
      <c r="C559" s="8">
        <v>1204700030002</v>
      </c>
      <c r="D559" s="7" t="s">
        <v>1223</v>
      </c>
      <c r="E559" s="7" t="s">
        <v>1461</v>
      </c>
      <c r="F559" s="7">
        <v>2002</v>
      </c>
      <c r="G559" s="7" t="s">
        <v>393</v>
      </c>
      <c r="H559" s="7" t="s">
        <v>10</v>
      </c>
      <c r="I559" s="8" t="s">
        <v>1224</v>
      </c>
      <c r="J559" s="2"/>
      <c r="K559" s="2"/>
      <c r="L559" s="2"/>
      <c r="M559" s="2"/>
      <c r="N559" s="2"/>
      <c r="O559" s="2"/>
      <c r="P559" s="2"/>
      <c r="Q559" s="2"/>
    </row>
    <row r="560" spans="1:17" ht="30" customHeight="1" x14ac:dyDescent="0.5">
      <c r="A560" s="7" t="s">
        <v>263</v>
      </c>
      <c r="B560" s="7" t="s">
        <v>1225</v>
      </c>
      <c r="C560" s="8">
        <v>1101700010005</v>
      </c>
      <c r="D560" s="7" t="s">
        <v>1226</v>
      </c>
      <c r="E560" s="7" t="s">
        <v>1227</v>
      </c>
      <c r="F560" s="7">
        <v>1983</v>
      </c>
      <c r="G560" s="7" t="s">
        <v>19</v>
      </c>
      <c r="H560" s="7" t="s">
        <v>52</v>
      </c>
      <c r="I560" s="8">
        <v>14943943</v>
      </c>
      <c r="J560" s="2" t="s">
        <v>1544</v>
      </c>
      <c r="K560" s="9" t="s">
        <v>1552</v>
      </c>
      <c r="L560" s="2" t="s">
        <v>1571</v>
      </c>
      <c r="M560" s="2" t="s">
        <v>1609</v>
      </c>
      <c r="N560" s="2"/>
      <c r="O560" s="2"/>
      <c r="P560" s="2"/>
      <c r="Q560" s="2" t="s">
        <v>1544</v>
      </c>
    </row>
    <row r="561" spans="1:17" ht="30" customHeight="1" x14ac:dyDescent="0.5">
      <c r="A561" s="7" t="s">
        <v>263</v>
      </c>
      <c r="B561" s="7" t="s">
        <v>1225</v>
      </c>
      <c r="C561" s="8">
        <v>1101700010006</v>
      </c>
      <c r="D561" s="7" t="s">
        <v>1551</v>
      </c>
      <c r="E561" s="7" t="s">
        <v>1228</v>
      </c>
      <c r="F561" s="7">
        <v>2010</v>
      </c>
      <c r="G561" s="7" t="s">
        <v>19</v>
      </c>
      <c r="H561" s="7" t="s">
        <v>52</v>
      </c>
      <c r="I561" s="8" t="s">
        <v>1229</v>
      </c>
      <c r="J561" s="2" t="s">
        <v>1544</v>
      </c>
      <c r="K561" s="9" t="s">
        <v>1552</v>
      </c>
      <c r="L561" s="2" t="s">
        <v>1571</v>
      </c>
      <c r="M561" s="2" t="s">
        <v>1609</v>
      </c>
      <c r="N561" s="2"/>
      <c r="O561" s="2"/>
      <c r="P561" s="2"/>
      <c r="Q561" s="2" t="s">
        <v>1544</v>
      </c>
    </row>
    <row r="562" spans="1:17" ht="30" customHeight="1" x14ac:dyDescent="0.5">
      <c r="A562" s="7" t="s">
        <v>263</v>
      </c>
      <c r="B562" s="7" t="s">
        <v>1225</v>
      </c>
      <c r="C562" s="8">
        <v>1101700010006</v>
      </c>
      <c r="D562" s="7" t="s">
        <v>50</v>
      </c>
      <c r="E562" s="7" t="s">
        <v>1230</v>
      </c>
      <c r="F562" s="7">
        <v>2006</v>
      </c>
      <c r="G562" s="7" t="s">
        <v>19</v>
      </c>
      <c r="H562" s="7" t="s">
        <v>52</v>
      </c>
      <c r="I562" s="8" t="s">
        <v>1231</v>
      </c>
      <c r="J562" s="2" t="s">
        <v>1544</v>
      </c>
      <c r="K562" s="9" t="s">
        <v>1552</v>
      </c>
      <c r="L562" s="2" t="s">
        <v>1571</v>
      </c>
      <c r="M562" s="2" t="s">
        <v>1609</v>
      </c>
      <c r="N562" s="2"/>
      <c r="O562" s="2"/>
      <c r="P562" s="2"/>
      <c r="Q562" s="2" t="s">
        <v>1544</v>
      </c>
    </row>
    <row r="563" spans="1:17" ht="30" customHeight="1" x14ac:dyDescent="0.5">
      <c r="A563" s="7" t="s">
        <v>263</v>
      </c>
      <c r="B563" s="7" t="s">
        <v>1225</v>
      </c>
      <c r="C563" s="8">
        <v>1101700010006</v>
      </c>
      <c r="D563" s="7" t="s">
        <v>1551</v>
      </c>
      <c r="E563" s="7" t="s">
        <v>1232</v>
      </c>
      <c r="F563" s="7">
        <v>2010</v>
      </c>
      <c r="G563" s="7" t="s">
        <v>19</v>
      </c>
      <c r="H563" s="7" t="s">
        <v>52</v>
      </c>
      <c r="I563" s="8" t="s">
        <v>1233</v>
      </c>
      <c r="J563" s="2"/>
      <c r="K563" s="2"/>
      <c r="L563" s="2"/>
      <c r="M563" s="2"/>
      <c r="N563" s="2"/>
      <c r="O563" s="2"/>
      <c r="P563" s="2"/>
      <c r="Q563" s="2"/>
    </row>
    <row r="564" spans="1:17" ht="30" customHeight="1" x14ac:dyDescent="0.5">
      <c r="A564" s="7" t="s">
        <v>263</v>
      </c>
      <c r="B564" s="7" t="s">
        <v>1225</v>
      </c>
      <c r="C564" s="8">
        <v>1101700010006</v>
      </c>
      <c r="D564" s="7" t="s">
        <v>50</v>
      </c>
      <c r="E564" s="7" t="s">
        <v>1234</v>
      </c>
      <c r="F564" s="7">
        <v>2003</v>
      </c>
      <c r="G564" s="7" t="s">
        <v>19</v>
      </c>
      <c r="H564" s="7" t="s">
        <v>52</v>
      </c>
      <c r="I564" s="8" t="s">
        <v>1235</v>
      </c>
      <c r="J564" s="2" t="s">
        <v>1544</v>
      </c>
      <c r="K564" s="9" t="s">
        <v>1552</v>
      </c>
      <c r="L564" s="2" t="s">
        <v>1571</v>
      </c>
      <c r="M564" s="2" t="s">
        <v>1609</v>
      </c>
      <c r="N564" s="2"/>
      <c r="O564" s="2"/>
      <c r="P564" s="2"/>
      <c r="Q564" s="2" t="s">
        <v>1544</v>
      </c>
    </row>
    <row r="565" spans="1:17" ht="30" customHeight="1" x14ac:dyDescent="0.5">
      <c r="A565" s="7" t="s">
        <v>263</v>
      </c>
      <c r="B565" s="7" t="s">
        <v>1225</v>
      </c>
      <c r="C565" s="8">
        <v>1101700010006</v>
      </c>
      <c r="D565" s="7" t="s">
        <v>50</v>
      </c>
      <c r="E565" s="7" t="s">
        <v>1239</v>
      </c>
      <c r="F565" s="7">
        <v>2003</v>
      </c>
      <c r="G565" s="7" t="s">
        <v>19</v>
      </c>
      <c r="H565" s="7" t="s">
        <v>42</v>
      </c>
      <c r="I565" s="8" t="s">
        <v>1240</v>
      </c>
      <c r="J565" s="2" t="s">
        <v>1544</v>
      </c>
      <c r="K565" s="9" t="s">
        <v>1552</v>
      </c>
      <c r="L565" s="2" t="s">
        <v>1571</v>
      </c>
      <c r="M565" s="2" t="s">
        <v>1609</v>
      </c>
      <c r="N565" s="2"/>
      <c r="O565" s="2"/>
      <c r="P565" s="2"/>
      <c r="Q565" s="2" t="s">
        <v>1544</v>
      </c>
    </row>
    <row r="566" spans="1:17" ht="30" customHeight="1" x14ac:dyDescent="0.5">
      <c r="A566" s="7" t="s">
        <v>263</v>
      </c>
      <c r="B566" s="7" t="s">
        <v>1225</v>
      </c>
      <c r="C566" s="8">
        <v>1101700010006</v>
      </c>
      <c r="D566" s="7" t="s">
        <v>1551</v>
      </c>
      <c r="E566" s="7" t="s">
        <v>1241</v>
      </c>
      <c r="F566" s="7">
        <v>2013</v>
      </c>
      <c r="G566" s="7" t="s">
        <v>19</v>
      </c>
      <c r="H566" s="7" t="s">
        <v>52</v>
      </c>
      <c r="I566" s="8" t="s">
        <v>1242</v>
      </c>
      <c r="J566" s="2"/>
      <c r="K566" s="2"/>
      <c r="L566" s="2"/>
      <c r="M566" s="2"/>
      <c r="N566" s="2"/>
      <c r="O566" s="2"/>
      <c r="P566" s="2"/>
      <c r="Q566" s="2"/>
    </row>
    <row r="567" spans="1:17" ht="30" customHeight="1" x14ac:dyDescent="0.5">
      <c r="A567" s="7" t="s">
        <v>263</v>
      </c>
      <c r="B567" s="7" t="s">
        <v>1225</v>
      </c>
      <c r="C567" s="8">
        <v>1101700020004</v>
      </c>
      <c r="D567" s="7" t="s">
        <v>869</v>
      </c>
      <c r="E567" s="7" t="s">
        <v>1253</v>
      </c>
      <c r="F567" s="7">
        <v>2004</v>
      </c>
      <c r="G567" s="7" t="s">
        <v>19</v>
      </c>
      <c r="H567" s="7" t="s">
        <v>52</v>
      </c>
      <c r="I567" s="8" t="s">
        <v>1254</v>
      </c>
      <c r="J567" s="2"/>
      <c r="K567" s="2"/>
      <c r="L567" s="2"/>
      <c r="M567" s="2"/>
      <c r="N567" s="2"/>
      <c r="O567" s="2"/>
      <c r="P567" s="2"/>
      <c r="Q567" s="2"/>
    </row>
    <row r="568" spans="1:17" ht="30" customHeight="1" x14ac:dyDescent="0.5">
      <c r="A568" s="7" t="s">
        <v>263</v>
      </c>
      <c r="B568" s="7" t="s">
        <v>1560</v>
      </c>
      <c r="C568" s="8">
        <v>1101700030006</v>
      </c>
      <c r="D568" s="7" t="s">
        <v>1551</v>
      </c>
      <c r="E568" s="7" t="s">
        <v>1260</v>
      </c>
      <c r="F568" s="7">
        <v>2012</v>
      </c>
      <c r="G568" s="7" t="s">
        <v>19</v>
      </c>
      <c r="H568" s="7" t="s">
        <v>52</v>
      </c>
      <c r="I568" s="8" t="s">
        <v>1261</v>
      </c>
      <c r="J568" s="2"/>
      <c r="K568" s="2"/>
      <c r="L568" s="2"/>
      <c r="M568" s="2"/>
      <c r="N568" s="2"/>
      <c r="O568" s="2"/>
      <c r="P568" s="2"/>
      <c r="Q568" s="2"/>
    </row>
    <row r="569" spans="1:17" ht="30" customHeight="1" x14ac:dyDescent="0.5">
      <c r="A569" s="7" t="s">
        <v>263</v>
      </c>
      <c r="B569" s="7" t="s">
        <v>1225</v>
      </c>
      <c r="C569" s="8">
        <v>1102700010001</v>
      </c>
      <c r="D569" s="7" t="s">
        <v>1262</v>
      </c>
      <c r="E569" s="7" t="s">
        <v>1447</v>
      </c>
      <c r="F569" s="7">
        <v>2008</v>
      </c>
      <c r="G569" s="7" t="s">
        <v>19</v>
      </c>
      <c r="H569" s="7" t="s">
        <v>42</v>
      </c>
      <c r="I569" s="8" t="s">
        <v>1263</v>
      </c>
      <c r="J569" s="2" t="s">
        <v>1544</v>
      </c>
      <c r="K569" s="9" t="s">
        <v>1552</v>
      </c>
      <c r="L569" s="2" t="s">
        <v>1571</v>
      </c>
      <c r="M569" s="2" t="s">
        <v>1609</v>
      </c>
      <c r="N569" s="2"/>
      <c r="O569" s="2"/>
      <c r="P569" s="2"/>
      <c r="Q569" s="2" t="s">
        <v>1544</v>
      </c>
    </row>
    <row r="570" spans="1:17" ht="30" customHeight="1" x14ac:dyDescent="0.5">
      <c r="A570" s="7" t="s">
        <v>263</v>
      </c>
      <c r="B570" s="7" t="s">
        <v>1225</v>
      </c>
      <c r="C570" s="8">
        <v>1102700010001</v>
      </c>
      <c r="D570" s="7" t="s">
        <v>1262</v>
      </c>
      <c r="E570" s="7" t="s">
        <v>1264</v>
      </c>
      <c r="F570" s="7">
        <v>2008</v>
      </c>
      <c r="G570" s="7" t="s">
        <v>19</v>
      </c>
      <c r="H570" s="7" t="s">
        <v>42</v>
      </c>
      <c r="I570" s="8" t="s">
        <v>1265</v>
      </c>
      <c r="J570" s="2" t="s">
        <v>1544</v>
      </c>
      <c r="K570" s="9" t="s">
        <v>1552</v>
      </c>
      <c r="L570" s="2" t="s">
        <v>1571</v>
      </c>
      <c r="M570" s="2" t="s">
        <v>1609</v>
      </c>
      <c r="N570" s="2"/>
      <c r="O570" s="2"/>
      <c r="P570" s="2"/>
      <c r="Q570" s="2" t="s">
        <v>1544</v>
      </c>
    </row>
    <row r="571" spans="1:17" ht="30" customHeight="1" x14ac:dyDescent="0.5">
      <c r="A571" s="7" t="s">
        <v>263</v>
      </c>
      <c r="B571" s="7" t="s">
        <v>1225</v>
      </c>
      <c r="C571" s="8">
        <v>1102700010001</v>
      </c>
      <c r="D571" s="7" t="s">
        <v>1262</v>
      </c>
      <c r="E571" s="7" t="s">
        <v>1266</v>
      </c>
      <c r="F571" s="7">
        <v>2006</v>
      </c>
      <c r="G571" s="7" t="s">
        <v>19</v>
      </c>
      <c r="H571" s="7" t="s">
        <v>42</v>
      </c>
      <c r="I571" s="8" t="s">
        <v>1267</v>
      </c>
      <c r="J571" s="2"/>
      <c r="K571" s="2"/>
      <c r="L571" s="2"/>
      <c r="M571" s="2"/>
      <c r="N571" s="2"/>
      <c r="O571" s="2"/>
      <c r="P571" s="2"/>
      <c r="Q571" s="2"/>
    </row>
    <row r="572" spans="1:17" ht="30" customHeight="1" x14ac:dyDescent="0.5">
      <c r="A572" s="7" t="s">
        <v>263</v>
      </c>
      <c r="B572" s="7" t="s">
        <v>1225</v>
      </c>
      <c r="C572" s="8">
        <v>1102700010004</v>
      </c>
      <c r="D572" s="7" t="s">
        <v>64</v>
      </c>
      <c r="E572" s="7" t="s">
        <v>1268</v>
      </c>
      <c r="F572" s="7">
        <v>2003</v>
      </c>
      <c r="G572" s="7" t="s">
        <v>19</v>
      </c>
      <c r="H572" s="7" t="s">
        <v>42</v>
      </c>
      <c r="I572" s="8" t="s">
        <v>1269</v>
      </c>
      <c r="J572" s="2" t="s">
        <v>1544</v>
      </c>
      <c r="K572" s="9" t="s">
        <v>1552</v>
      </c>
      <c r="L572" s="2" t="s">
        <v>1571</v>
      </c>
      <c r="M572" s="2" t="s">
        <v>1609</v>
      </c>
      <c r="N572" s="2"/>
      <c r="O572" s="2"/>
      <c r="P572" s="2"/>
      <c r="Q572" s="2" t="s">
        <v>1544</v>
      </c>
    </row>
    <row r="573" spans="1:17" ht="30" customHeight="1" x14ac:dyDescent="0.5">
      <c r="A573" s="7" t="s">
        <v>263</v>
      </c>
      <c r="B573" s="7" t="s">
        <v>1225</v>
      </c>
      <c r="C573" s="8">
        <v>1102700010004</v>
      </c>
      <c r="D573" s="7" t="s">
        <v>64</v>
      </c>
      <c r="E573" s="7" t="s">
        <v>1270</v>
      </c>
      <c r="F573" s="7">
        <v>2003</v>
      </c>
      <c r="G573" s="7" t="s">
        <v>19</v>
      </c>
      <c r="H573" s="7" t="s">
        <v>42</v>
      </c>
      <c r="I573" s="8" t="s">
        <v>1271</v>
      </c>
      <c r="J573" s="2" t="s">
        <v>1544</v>
      </c>
      <c r="K573" s="9" t="s">
        <v>1552</v>
      </c>
      <c r="L573" s="2" t="s">
        <v>1571</v>
      </c>
      <c r="M573" s="2" t="s">
        <v>1609</v>
      </c>
      <c r="N573" s="2"/>
      <c r="O573" s="2"/>
      <c r="P573" s="2"/>
      <c r="Q573" s="2" t="s">
        <v>1544</v>
      </c>
    </row>
    <row r="574" spans="1:17" ht="30" customHeight="1" x14ac:dyDescent="0.5">
      <c r="A574" s="7" t="s">
        <v>263</v>
      </c>
      <c r="B574" s="7" t="s">
        <v>1225</v>
      </c>
      <c r="C574" s="8">
        <v>1102700010004</v>
      </c>
      <c r="D574" s="7" t="s">
        <v>64</v>
      </c>
      <c r="E574" s="7" t="s">
        <v>1272</v>
      </c>
      <c r="F574" s="7">
        <v>2007</v>
      </c>
      <c r="G574" s="7" t="s">
        <v>19</v>
      </c>
      <c r="H574" s="7" t="s">
        <v>42</v>
      </c>
      <c r="I574" s="8" t="s">
        <v>1273</v>
      </c>
      <c r="J574" s="2" t="s">
        <v>1544</v>
      </c>
      <c r="K574" s="9" t="s">
        <v>1552</v>
      </c>
      <c r="L574" s="2" t="s">
        <v>1571</v>
      </c>
      <c r="M574" s="2" t="s">
        <v>1609</v>
      </c>
      <c r="N574" s="2"/>
      <c r="O574" s="2"/>
      <c r="P574" s="2"/>
      <c r="Q574" s="2" t="s">
        <v>1544</v>
      </c>
    </row>
    <row r="575" spans="1:17" ht="30" customHeight="1" x14ac:dyDescent="0.5">
      <c r="A575" s="7" t="s">
        <v>263</v>
      </c>
      <c r="B575" s="7" t="s">
        <v>1225</v>
      </c>
      <c r="C575" s="8">
        <v>1102700010004</v>
      </c>
      <c r="D575" s="7" t="s">
        <v>64</v>
      </c>
      <c r="E575" s="7" t="s">
        <v>1274</v>
      </c>
      <c r="F575" s="7">
        <v>2008</v>
      </c>
      <c r="G575" s="7" t="s">
        <v>19</v>
      </c>
      <c r="H575" s="7" t="s">
        <v>42</v>
      </c>
      <c r="I575" s="8" t="s">
        <v>1275</v>
      </c>
      <c r="J575" s="2" t="s">
        <v>1544</v>
      </c>
      <c r="K575" s="9" t="s">
        <v>1552</v>
      </c>
      <c r="L575" s="2" t="s">
        <v>1571</v>
      </c>
      <c r="M575" s="2" t="s">
        <v>1609</v>
      </c>
      <c r="N575" s="2"/>
      <c r="O575" s="2"/>
      <c r="P575" s="2"/>
      <c r="Q575" s="2" t="s">
        <v>1544</v>
      </c>
    </row>
    <row r="576" spans="1:17" ht="30" customHeight="1" x14ac:dyDescent="0.5">
      <c r="A576" s="7" t="s">
        <v>263</v>
      </c>
      <c r="B576" s="7" t="s">
        <v>1225</v>
      </c>
      <c r="C576" s="8">
        <v>1102700010004</v>
      </c>
      <c r="D576" s="7" t="s">
        <v>64</v>
      </c>
      <c r="E576" s="7" t="s">
        <v>1279</v>
      </c>
      <c r="F576" s="7">
        <v>2006</v>
      </c>
      <c r="G576" s="7" t="s">
        <v>19</v>
      </c>
      <c r="H576" s="7" t="s">
        <v>42</v>
      </c>
      <c r="I576" s="8" t="s">
        <v>1280</v>
      </c>
      <c r="J576" s="2" t="s">
        <v>1544</v>
      </c>
      <c r="K576" s="9" t="s">
        <v>1552</v>
      </c>
      <c r="L576" s="2" t="s">
        <v>1571</v>
      </c>
      <c r="M576" s="2" t="s">
        <v>1609</v>
      </c>
      <c r="N576" s="2"/>
      <c r="O576" s="2"/>
      <c r="P576" s="2"/>
      <c r="Q576" s="2" t="s">
        <v>1544</v>
      </c>
    </row>
    <row r="577" spans="1:17" ht="30" customHeight="1" x14ac:dyDescent="0.5">
      <c r="A577" s="7" t="s">
        <v>263</v>
      </c>
      <c r="B577" s="7" t="s">
        <v>1225</v>
      </c>
      <c r="C577" s="8">
        <v>1102700010004</v>
      </c>
      <c r="D577" s="7" t="s">
        <v>64</v>
      </c>
      <c r="E577" s="7" t="s">
        <v>1281</v>
      </c>
      <c r="F577" s="7">
        <v>2002</v>
      </c>
      <c r="G577" s="7" t="s">
        <v>19</v>
      </c>
      <c r="H577" s="7" t="s">
        <v>42</v>
      </c>
      <c r="I577" s="8" t="s">
        <v>1282</v>
      </c>
      <c r="J577" s="2"/>
      <c r="K577" s="2"/>
      <c r="L577" s="2"/>
      <c r="M577" s="2"/>
      <c r="N577" s="2"/>
      <c r="O577" s="2"/>
      <c r="P577" s="2"/>
      <c r="Q577" s="2"/>
    </row>
    <row r="578" spans="1:17" ht="30" customHeight="1" x14ac:dyDescent="0.5">
      <c r="A578" s="7" t="s">
        <v>263</v>
      </c>
      <c r="B578" s="7" t="s">
        <v>1225</v>
      </c>
      <c r="C578" s="8">
        <v>1102700020004</v>
      </c>
      <c r="D578" s="7" t="s">
        <v>136</v>
      </c>
      <c r="E578" s="7" t="s">
        <v>1283</v>
      </c>
      <c r="F578" s="7">
        <v>2015</v>
      </c>
      <c r="G578" s="7" t="s">
        <v>19</v>
      </c>
      <c r="H578" s="7" t="s">
        <v>66</v>
      </c>
      <c r="I578" s="8" t="s">
        <v>1284</v>
      </c>
      <c r="J578" s="2"/>
      <c r="K578" s="2"/>
      <c r="L578" s="2"/>
      <c r="M578" s="2"/>
      <c r="N578" s="2"/>
      <c r="O578" s="2"/>
      <c r="P578" s="2"/>
      <c r="Q578" s="2"/>
    </row>
    <row r="579" spans="1:17" ht="30" customHeight="1" x14ac:dyDescent="0.5">
      <c r="A579" s="7" t="s">
        <v>263</v>
      </c>
      <c r="B579" s="7" t="s">
        <v>1225</v>
      </c>
      <c r="C579" s="8">
        <v>1104700010001</v>
      </c>
      <c r="D579" s="7" t="s">
        <v>245</v>
      </c>
      <c r="E579" s="7" t="s">
        <v>1449</v>
      </c>
      <c r="F579" s="7">
        <v>2006</v>
      </c>
      <c r="G579" s="7" t="s">
        <v>19</v>
      </c>
      <c r="H579" s="7" t="s">
        <v>236</v>
      </c>
      <c r="I579" s="8" t="s">
        <v>1285</v>
      </c>
      <c r="J579" s="2"/>
      <c r="K579" s="2"/>
      <c r="L579" s="2"/>
      <c r="M579" s="2"/>
      <c r="N579" s="2"/>
      <c r="O579" s="2"/>
      <c r="P579" s="2"/>
      <c r="Q579" s="2"/>
    </row>
    <row r="580" spans="1:17" ht="30" customHeight="1" x14ac:dyDescent="0.5">
      <c r="A580" s="7" t="s">
        <v>263</v>
      </c>
      <c r="B580" s="7" t="s">
        <v>1225</v>
      </c>
      <c r="C580" s="8">
        <v>1104700010001</v>
      </c>
      <c r="D580" s="7" t="s">
        <v>245</v>
      </c>
      <c r="E580" s="7" t="s">
        <v>1286</v>
      </c>
      <c r="F580" s="7">
        <v>2006</v>
      </c>
      <c r="G580" s="7" t="s">
        <v>19</v>
      </c>
      <c r="H580" s="7" t="s">
        <v>5</v>
      </c>
      <c r="I580" s="8" t="s">
        <v>1287</v>
      </c>
      <c r="J580" s="2" t="s">
        <v>1544</v>
      </c>
      <c r="K580" s="9" t="s">
        <v>1552</v>
      </c>
      <c r="L580" s="2" t="s">
        <v>1571</v>
      </c>
      <c r="M580" s="2" t="s">
        <v>1609</v>
      </c>
      <c r="N580" s="2"/>
      <c r="O580" s="2"/>
      <c r="P580" s="2"/>
      <c r="Q580" s="2" t="s">
        <v>1544</v>
      </c>
    </row>
    <row r="581" spans="1:17" ht="30" customHeight="1" x14ac:dyDescent="0.5">
      <c r="A581" s="7" t="s">
        <v>263</v>
      </c>
      <c r="B581" s="7" t="s">
        <v>1225</v>
      </c>
      <c r="C581" s="8">
        <v>1104700010001</v>
      </c>
      <c r="D581" s="7" t="s">
        <v>245</v>
      </c>
      <c r="E581" s="7" t="s">
        <v>1288</v>
      </c>
      <c r="F581" s="7">
        <v>2005</v>
      </c>
      <c r="G581" s="7" t="s">
        <v>19</v>
      </c>
      <c r="H581" s="7" t="s">
        <v>236</v>
      </c>
      <c r="I581" s="8" t="s">
        <v>1289</v>
      </c>
      <c r="J581" s="2" t="s">
        <v>1544</v>
      </c>
      <c r="K581" s="9" t="s">
        <v>1552</v>
      </c>
      <c r="L581" s="2" t="s">
        <v>1571</v>
      </c>
      <c r="M581" s="2" t="s">
        <v>1609</v>
      </c>
      <c r="N581" s="2"/>
      <c r="O581" s="2"/>
      <c r="P581" s="2"/>
      <c r="Q581" s="2" t="s">
        <v>1544</v>
      </c>
    </row>
    <row r="582" spans="1:17" ht="30" customHeight="1" x14ac:dyDescent="0.5">
      <c r="A582" s="7" t="s">
        <v>263</v>
      </c>
      <c r="B582" s="7" t="s">
        <v>1225</v>
      </c>
      <c r="C582" s="8">
        <v>1104700020004</v>
      </c>
      <c r="D582" s="7" t="s">
        <v>584</v>
      </c>
      <c r="E582" s="7" t="s">
        <v>1294</v>
      </c>
      <c r="F582" s="7">
        <v>2008</v>
      </c>
      <c r="G582" s="7" t="s">
        <v>19</v>
      </c>
      <c r="H582" s="7" t="s">
        <v>236</v>
      </c>
      <c r="I582" s="8" t="s">
        <v>1295</v>
      </c>
      <c r="J582" s="2" t="s">
        <v>1544</v>
      </c>
      <c r="K582" s="9" t="s">
        <v>1552</v>
      </c>
      <c r="L582" s="2" t="s">
        <v>1571</v>
      </c>
      <c r="M582" s="2" t="s">
        <v>1609</v>
      </c>
      <c r="N582" s="2"/>
      <c r="O582" s="2"/>
      <c r="P582" s="2"/>
      <c r="Q582" s="2" t="s">
        <v>1544</v>
      </c>
    </row>
    <row r="583" spans="1:17" ht="30" customHeight="1" x14ac:dyDescent="0.5">
      <c r="A583" s="7" t="s">
        <v>263</v>
      </c>
      <c r="B583" s="7" t="s">
        <v>1225</v>
      </c>
      <c r="C583" s="8">
        <v>1105700020001</v>
      </c>
      <c r="D583" s="7" t="s">
        <v>296</v>
      </c>
      <c r="E583" s="7" t="s">
        <v>1298</v>
      </c>
      <c r="F583" s="7">
        <v>1998</v>
      </c>
      <c r="G583" s="7" t="s">
        <v>19</v>
      </c>
      <c r="H583" s="7" t="s">
        <v>236</v>
      </c>
      <c r="I583" s="8" t="s">
        <v>1299</v>
      </c>
      <c r="J583" s="2" t="s">
        <v>1544</v>
      </c>
      <c r="K583" s="9" t="s">
        <v>1552</v>
      </c>
      <c r="L583" s="2" t="s">
        <v>1571</v>
      </c>
      <c r="M583" s="2" t="s">
        <v>1609</v>
      </c>
      <c r="N583" s="2"/>
      <c r="O583" s="2"/>
      <c r="P583" s="2"/>
      <c r="Q583" s="2" t="s">
        <v>1544</v>
      </c>
    </row>
    <row r="584" spans="1:17" ht="30" customHeight="1" x14ac:dyDescent="0.5">
      <c r="A584" s="7" t="s">
        <v>263</v>
      </c>
      <c r="B584" s="7" t="s">
        <v>1225</v>
      </c>
      <c r="C584" s="8">
        <v>1105700080001</v>
      </c>
      <c r="D584" s="7" t="s">
        <v>302</v>
      </c>
      <c r="E584" s="7" t="s">
        <v>1463</v>
      </c>
      <c r="F584" s="7">
        <v>2012</v>
      </c>
      <c r="G584" s="7" t="s">
        <v>19</v>
      </c>
      <c r="H584" s="7" t="s">
        <v>304</v>
      </c>
      <c r="I584" s="8" t="s">
        <v>1300</v>
      </c>
      <c r="J584" s="2" t="s">
        <v>1544</v>
      </c>
      <c r="K584" s="9" t="s">
        <v>1552</v>
      </c>
      <c r="L584" s="2" t="s">
        <v>1571</v>
      </c>
      <c r="M584" s="2" t="s">
        <v>1609</v>
      </c>
      <c r="N584" s="2"/>
      <c r="O584" s="2"/>
      <c r="P584" s="2"/>
      <c r="Q584" s="2" t="s">
        <v>1544</v>
      </c>
    </row>
    <row r="585" spans="1:17" ht="30" customHeight="1" x14ac:dyDescent="0.5">
      <c r="A585" s="7" t="s">
        <v>263</v>
      </c>
      <c r="B585" s="7" t="s">
        <v>1225</v>
      </c>
      <c r="C585" s="8">
        <v>1105700080001</v>
      </c>
      <c r="D585" s="7" t="s">
        <v>302</v>
      </c>
      <c r="E585" s="7" t="s">
        <v>1301</v>
      </c>
      <c r="F585" s="7">
        <v>2011</v>
      </c>
      <c r="G585" s="7" t="s">
        <v>19</v>
      </c>
      <c r="H585" s="7" t="s">
        <v>304</v>
      </c>
      <c r="I585" s="8" t="s">
        <v>1302</v>
      </c>
      <c r="J585" s="2"/>
      <c r="K585" s="2"/>
      <c r="L585" s="2"/>
      <c r="M585" s="2"/>
      <c r="N585" s="2"/>
      <c r="O585" s="2"/>
      <c r="P585" s="2"/>
      <c r="Q585" s="2"/>
    </row>
    <row r="586" spans="1:17" ht="30" customHeight="1" x14ac:dyDescent="0.5">
      <c r="A586" s="7" t="s">
        <v>263</v>
      </c>
      <c r="B586" s="7" t="s">
        <v>1225</v>
      </c>
      <c r="C586" s="8">
        <v>1105700080001</v>
      </c>
      <c r="D586" s="7" t="s">
        <v>302</v>
      </c>
      <c r="E586" s="7" t="s">
        <v>1303</v>
      </c>
      <c r="F586" s="7">
        <v>2015</v>
      </c>
      <c r="G586" s="7" t="s">
        <v>19</v>
      </c>
      <c r="H586" s="7" t="s">
        <v>304</v>
      </c>
      <c r="I586" s="8" t="s">
        <v>1304</v>
      </c>
      <c r="J586" s="2"/>
      <c r="K586" s="2"/>
      <c r="L586" s="2"/>
      <c r="M586" s="2"/>
      <c r="N586" s="2"/>
      <c r="O586" s="2"/>
      <c r="P586" s="2"/>
      <c r="Q586" s="2"/>
    </row>
    <row r="587" spans="1:17" ht="30" customHeight="1" x14ac:dyDescent="0.5">
      <c r="A587" s="7" t="s">
        <v>263</v>
      </c>
      <c r="B587" s="7" t="s">
        <v>1225</v>
      </c>
      <c r="C587" s="8">
        <v>1105700080001</v>
      </c>
      <c r="D587" s="7" t="s">
        <v>302</v>
      </c>
      <c r="E587" s="7" t="s">
        <v>1305</v>
      </c>
      <c r="F587" s="7">
        <v>2015</v>
      </c>
      <c r="G587" s="7" t="s">
        <v>19</v>
      </c>
      <c r="H587" s="7" t="s">
        <v>304</v>
      </c>
      <c r="I587" s="8" t="s">
        <v>1306</v>
      </c>
      <c r="J587" s="2"/>
      <c r="K587" s="2"/>
      <c r="L587" s="2"/>
      <c r="M587" s="2"/>
      <c r="N587" s="2"/>
      <c r="O587" s="2"/>
      <c r="P587" s="2"/>
      <c r="Q587" s="2"/>
    </row>
    <row r="588" spans="1:17" ht="30" customHeight="1" x14ac:dyDescent="0.5">
      <c r="A588" s="7" t="s">
        <v>263</v>
      </c>
      <c r="B588" s="7" t="s">
        <v>1225</v>
      </c>
      <c r="C588" s="8">
        <v>1105700080001</v>
      </c>
      <c r="D588" s="7" t="s">
        <v>302</v>
      </c>
      <c r="E588" s="7" t="s">
        <v>1307</v>
      </c>
      <c r="F588" s="7">
        <v>2013</v>
      </c>
      <c r="G588" s="7" t="s">
        <v>19</v>
      </c>
      <c r="H588" s="7" t="s">
        <v>304</v>
      </c>
      <c r="I588" s="8" t="s">
        <v>1308</v>
      </c>
      <c r="J588" s="2"/>
      <c r="K588" s="2"/>
      <c r="L588" s="2"/>
      <c r="M588" s="2"/>
      <c r="N588" s="2"/>
      <c r="O588" s="2"/>
      <c r="P588" s="2"/>
      <c r="Q588" s="2"/>
    </row>
    <row r="589" spans="1:17" ht="30" customHeight="1" x14ac:dyDescent="0.5">
      <c r="A589" s="7" t="s">
        <v>263</v>
      </c>
      <c r="B589" s="7" t="s">
        <v>1225</v>
      </c>
      <c r="C589" s="8">
        <v>1105700080001</v>
      </c>
      <c r="D589" s="7" t="s">
        <v>302</v>
      </c>
      <c r="E589" s="7" t="s">
        <v>1309</v>
      </c>
      <c r="F589" s="7">
        <v>2011</v>
      </c>
      <c r="G589" s="7" t="s">
        <v>19</v>
      </c>
      <c r="H589" s="7" t="s">
        <v>304</v>
      </c>
      <c r="I589" s="8" t="s">
        <v>1310</v>
      </c>
      <c r="J589" s="2"/>
      <c r="K589" s="2"/>
      <c r="L589" s="2"/>
      <c r="M589" s="2"/>
      <c r="N589" s="2"/>
      <c r="O589" s="2"/>
      <c r="P589" s="2"/>
      <c r="Q589" s="2"/>
    </row>
    <row r="590" spans="1:17" ht="30" customHeight="1" x14ac:dyDescent="0.5">
      <c r="A590" s="7" t="s">
        <v>263</v>
      </c>
      <c r="B590" s="7" t="s">
        <v>1225</v>
      </c>
      <c r="C590" s="8">
        <v>1105700080001</v>
      </c>
      <c r="D590" s="7" t="s">
        <v>302</v>
      </c>
      <c r="E590" s="7" t="s">
        <v>1311</v>
      </c>
      <c r="F590" s="7">
        <v>2011</v>
      </c>
      <c r="G590" s="7" t="s">
        <v>19</v>
      </c>
      <c r="H590" s="7" t="s">
        <v>304</v>
      </c>
      <c r="I590" s="8" t="s">
        <v>1312</v>
      </c>
      <c r="J590" s="2"/>
      <c r="K590" s="2"/>
      <c r="L590" s="2"/>
      <c r="M590" s="2"/>
      <c r="N590" s="2"/>
      <c r="O590" s="2"/>
      <c r="P590" s="2"/>
      <c r="Q590" s="2"/>
    </row>
    <row r="591" spans="1:17" ht="30" customHeight="1" x14ac:dyDescent="0.5">
      <c r="A591" s="7" t="s">
        <v>263</v>
      </c>
      <c r="B591" s="7" t="s">
        <v>1225</v>
      </c>
      <c r="C591" s="8">
        <v>1105700080001</v>
      </c>
      <c r="D591" s="7" t="s">
        <v>302</v>
      </c>
      <c r="E591" s="7" t="s">
        <v>1313</v>
      </c>
      <c r="F591" s="7">
        <v>2011</v>
      </c>
      <c r="G591" s="7" t="s">
        <v>19</v>
      </c>
      <c r="H591" s="7" t="s">
        <v>304</v>
      </c>
      <c r="I591" s="8" t="s">
        <v>1314</v>
      </c>
      <c r="J591" s="2"/>
      <c r="K591" s="2"/>
      <c r="L591" s="2"/>
      <c r="M591" s="2"/>
      <c r="N591" s="2"/>
      <c r="O591" s="2"/>
      <c r="P591" s="2"/>
      <c r="Q591" s="2"/>
    </row>
    <row r="592" spans="1:17" ht="30" customHeight="1" x14ac:dyDescent="0.5">
      <c r="A592" s="7" t="s">
        <v>263</v>
      </c>
      <c r="B592" s="7" t="s">
        <v>1225</v>
      </c>
      <c r="C592" s="8">
        <v>1105700080001</v>
      </c>
      <c r="D592" s="7" t="s">
        <v>302</v>
      </c>
      <c r="E592" s="7" t="s">
        <v>1317</v>
      </c>
      <c r="F592" s="7">
        <v>2011</v>
      </c>
      <c r="G592" s="7" t="s">
        <v>19</v>
      </c>
      <c r="H592" s="7" t="s">
        <v>304</v>
      </c>
      <c r="I592" s="8" t="s">
        <v>1318</v>
      </c>
      <c r="J592" s="2"/>
      <c r="K592" s="2"/>
      <c r="L592" s="2"/>
      <c r="M592" s="2"/>
      <c r="N592" s="2"/>
      <c r="O592" s="2"/>
      <c r="P592" s="2"/>
      <c r="Q592" s="2"/>
    </row>
    <row r="593" spans="1:17" ht="30" customHeight="1" x14ac:dyDescent="0.5">
      <c r="A593" s="7" t="s">
        <v>263</v>
      </c>
      <c r="B593" s="7" t="s">
        <v>1225</v>
      </c>
      <c r="C593" s="8">
        <v>1105700160002</v>
      </c>
      <c r="D593" s="7" t="s">
        <v>660</v>
      </c>
      <c r="E593" s="7" t="s">
        <v>1321</v>
      </c>
      <c r="F593" s="7">
        <v>2015</v>
      </c>
      <c r="G593" s="7" t="s">
        <v>19</v>
      </c>
      <c r="H593" s="7" t="s">
        <v>20</v>
      </c>
      <c r="I593" s="8" t="s">
        <v>1322</v>
      </c>
      <c r="J593" s="2"/>
      <c r="K593" s="2"/>
      <c r="L593" s="2"/>
      <c r="M593" s="2"/>
      <c r="N593" s="2"/>
      <c r="O593" s="2"/>
      <c r="P593" s="2"/>
      <c r="Q593" s="2"/>
    </row>
    <row r="594" spans="1:17" ht="30" customHeight="1" x14ac:dyDescent="0.5">
      <c r="A594" s="7" t="s">
        <v>263</v>
      </c>
      <c r="B594" s="7" t="s">
        <v>1225</v>
      </c>
      <c r="C594" s="8">
        <v>1106700010003</v>
      </c>
      <c r="D594" s="7" t="s">
        <v>102</v>
      </c>
      <c r="E594" s="7" t="s">
        <v>1323</v>
      </c>
      <c r="F594" s="7">
        <v>1989</v>
      </c>
      <c r="G594" s="7" t="s">
        <v>19</v>
      </c>
      <c r="H594" s="7" t="s">
        <v>104</v>
      </c>
      <c r="I594" s="8">
        <v>346001417089</v>
      </c>
      <c r="J594" s="2" t="s">
        <v>1544</v>
      </c>
      <c r="K594" s="9" t="s">
        <v>1552</v>
      </c>
      <c r="L594" s="2" t="s">
        <v>1571</v>
      </c>
      <c r="M594" s="2" t="s">
        <v>1609</v>
      </c>
      <c r="N594" s="2"/>
      <c r="O594" s="2"/>
      <c r="P594" s="2"/>
      <c r="Q594" s="2" t="s">
        <v>1544</v>
      </c>
    </row>
    <row r="595" spans="1:17" ht="30" customHeight="1" x14ac:dyDescent="0.5">
      <c r="A595" s="7" t="s">
        <v>263</v>
      </c>
      <c r="B595" s="7" t="s">
        <v>1225</v>
      </c>
      <c r="C595" s="8">
        <v>1106700010003</v>
      </c>
      <c r="D595" s="7" t="s">
        <v>102</v>
      </c>
      <c r="E595" s="7" t="s">
        <v>1324</v>
      </c>
      <c r="F595" s="7">
        <v>1983</v>
      </c>
      <c r="G595" s="7" t="s">
        <v>19</v>
      </c>
      <c r="H595" s="7" t="s">
        <v>104</v>
      </c>
      <c r="I595" s="8">
        <v>34603154914465</v>
      </c>
      <c r="J595" s="2" t="s">
        <v>1544</v>
      </c>
      <c r="K595" s="9" t="s">
        <v>1552</v>
      </c>
      <c r="L595" s="2" t="s">
        <v>1571</v>
      </c>
      <c r="M595" s="2" t="s">
        <v>1609</v>
      </c>
      <c r="N595" s="2"/>
      <c r="O595" s="2"/>
      <c r="P595" s="2"/>
      <c r="Q595" s="2" t="s">
        <v>1544</v>
      </c>
    </row>
    <row r="596" spans="1:17" ht="30" customHeight="1" x14ac:dyDescent="0.5">
      <c r="A596" s="7" t="s">
        <v>263</v>
      </c>
      <c r="B596" s="7" t="s">
        <v>1225</v>
      </c>
      <c r="C596" s="8">
        <v>1106700010003</v>
      </c>
      <c r="D596" s="7" t="s">
        <v>102</v>
      </c>
      <c r="E596" s="7" t="s">
        <v>1325</v>
      </c>
      <c r="F596" s="7">
        <v>1983</v>
      </c>
      <c r="G596" s="7" t="s">
        <v>19</v>
      </c>
      <c r="H596" s="7" t="s">
        <v>104</v>
      </c>
      <c r="I596" s="8">
        <v>34603155025357</v>
      </c>
      <c r="J596" s="2"/>
      <c r="K596" s="2"/>
      <c r="L596" s="2"/>
      <c r="M596" s="2"/>
      <c r="N596" s="2"/>
      <c r="O596" s="2"/>
      <c r="P596" s="2"/>
      <c r="Q596" s="2"/>
    </row>
    <row r="597" spans="1:17" ht="30" customHeight="1" x14ac:dyDescent="0.5">
      <c r="A597" s="7" t="s">
        <v>263</v>
      </c>
      <c r="B597" s="7" t="s">
        <v>1225</v>
      </c>
      <c r="C597" s="8">
        <v>1106700010003</v>
      </c>
      <c r="D597" s="7" t="s">
        <v>102</v>
      </c>
      <c r="E597" s="7" t="s">
        <v>1326</v>
      </c>
      <c r="F597" s="7">
        <v>1982</v>
      </c>
      <c r="G597" s="7" t="s">
        <v>19</v>
      </c>
      <c r="H597" s="7" t="s">
        <v>104</v>
      </c>
      <c r="I597" s="8">
        <v>3403155025828</v>
      </c>
      <c r="J597" s="2" t="s">
        <v>1544</v>
      </c>
      <c r="K597" s="9" t="s">
        <v>1552</v>
      </c>
      <c r="L597" s="2" t="s">
        <v>1571</v>
      </c>
      <c r="M597" s="2" t="s">
        <v>1609</v>
      </c>
      <c r="N597" s="2"/>
      <c r="O597" s="2"/>
      <c r="P597" s="2"/>
      <c r="Q597" s="2" t="s">
        <v>1544</v>
      </c>
    </row>
    <row r="598" spans="1:17" ht="30" customHeight="1" x14ac:dyDescent="0.5">
      <c r="A598" s="7" t="s">
        <v>263</v>
      </c>
      <c r="B598" s="7" t="s">
        <v>1225</v>
      </c>
      <c r="C598" s="8">
        <v>1106700010003</v>
      </c>
      <c r="D598" s="7" t="s">
        <v>102</v>
      </c>
      <c r="E598" s="7" t="s">
        <v>1327</v>
      </c>
      <c r="F598" s="7">
        <v>1988</v>
      </c>
      <c r="G598" s="7" t="s">
        <v>19</v>
      </c>
      <c r="H598" s="7" t="s">
        <v>104</v>
      </c>
      <c r="I598" s="8">
        <v>34600155361082</v>
      </c>
      <c r="J598" s="2" t="s">
        <v>1544</v>
      </c>
      <c r="K598" s="9" t="s">
        <v>1552</v>
      </c>
      <c r="L598" s="2" t="s">
        <v>1571</v>
      </c>
      <c r="M598" s="2" t="s">
        <v>1609</v>
      </c>
      <c r="N598" s="2"/>
      <c r="O598" s="2"/>
      <c r="P598" s="2"/>
      <c r="Q598" s="2" t="s">
        <v>1544</v>
      </c>
    </row>
    <row r="599" spans="1:17" ht="30" customHeight="1" x14ac:dyDescent="0.5">
      <c r="A599" s="7" t="s">
        <v>263</v>
      </c>
      <c r="B599" s="7" t="s">
        <v>1225</v>
      </c>
      <c r="C599" s="8">
        <v>1106700010003</v>
      </c>
      <c r="D599" s="7" t="s">
        <v>102</v>
      </c>
      <c r="E599" s="7" t="s">
        <v>1328</v>
      </c>
      <c r="F599" s="7">
        <v>1989</v>
      </c>
      <c r="G599" s="7" t="s">
        <v>19</v>
      </c>
      <c r="H599" s="7" t="s">
        <v>104</v>
      </c>
      <c r="I599" s="8">
        <v>34600155417059</v>
      </c>
      <c r="J599" s="2" t="s">
        <v>1544</v>
      </c>
      <c r="K599" s="9" t="s">
        <v>1552</v>
      </c>
      <c r="L599" s="2" t="s">
        <v>1571</v>
      </c>
      <c r="M599" s="2" t="s">
        <v>1609</v>
      </c>
      <c r="N599" s="2"/>
      <c r="O599" s="2"/>
      <c r="P599" s="2"/>
      <c r="Q599" s="2" t="s">
        <v>1544</v>
      </c>
    </row>
    <row r="600" spans="1:17" ht="30" customHeight="1" x14ac:dyDescent="0.5">
      <c r="A600" s="7" t="s">
        <v>263</v>
      </c>
      <c r="B600" s="7" t="s">
        <v>1225</v>
      </c>
      <c r="C600" s="8">
        <v>1106700010003</v>
      </c>
      <c r="D600" s="7" t="s">
        <v>102</v>
      </c>
      <c r="E600" s="7" t="s">
        <v>1329</v>
      </c>
      <c r="F600" s="7">
        <v>1989</v>
      </c>
      <c r="G600" s="7" t="s">
        <v>19</v>
      </c>
      <c r="H600" s="7" t="s">
        <v>104</v>
      </c>
      <c r="I600" s="8">
        <v>34600155424078</v>
      </c>
      <c r="J600" s="2" t="s">
        <v>1544</v>
      </c>
      <c r="K600" s="9" t="s">
        <v>1552</v>
      </c>
      <c r="L600" s="2" t="s">
        <v>1571</v>
      </c>
      <c r="M600" s="2" t="s">
        <v>1609</v>
      </c>
      <c r="N600" s="2"/>
      <c r="O600" s="2"/>
      <c r="P600" s="2"/>
      <c r="Q600" s="2" t="s">
        <v>1544</v>
      </c>
    </row>
    <row r="601" spans="1:17" ht="30" customHeight="1" x14ac:dyDescent="0.5">
      <c r="A601" s="7" t="s">
        <v>263</v>
      </c>
      <c r="B601" s="7" t="s">
        <v>1225</v>
      </c>
      <c r="C601" s="8">
        <v>1106700010003</v>
      </c>
      <c r="D601" s="7" t="s">
        <v>102</v>
      </c>
      <c r="E601" s="7" t="s">
        <v>1330</v>
      </c>
      <c r="F601" s="7">
        <v>1990</v>
      </c>
      <c r="G601" s="7" t="s">
        <v>19</v>
      </c>
      <c r="H601" s="7" t="s">
        <v>104</v>
      </c>
      <c r="I601" s="8">
        <v>34600155505125</v>
      </c>
      <c r="J601" s="2" t="s">
        <v>1544</v>
      </c>
      <c r="K601" s="9" t="s">
        <v>1552</v>
      </c>
      <c r="L601" s="2" t="s">
        <v>1571</v>
      </c>
      <c r="M601" s="2" t="s">
        <v>1609</v>
      </c>
      <c r="N601" s="2"/>
      <c r="O601" s="2"/>
      <c r="P601" s="2"/>
      <c r="Q601" s="2" t="s">
        <v>1544</v>
      </c>
    </row>
    <row r="602" spans="1:17" ht="30" customHeight="1" x14ac:dyDescent="0.5">
      <c r="A602" s="7" t="s">
        <v>263</v>
      </c>
      <c r="B602" s="7" t="s">
        <v>1225</v>
      </c>
      <c r="C602" s="8">
        <v>1106700010003</v>
      </c>
      <c r="D602" s="7" t="s">
        <v>102</v>
      </c>
      <c r="E602" s="7" t="s">
        <v>1331</v>
      </c>
      <c r="F602" s="7">
        <v>1989</v>
      </c>
      <c r="G602" s="7" t="s">
        <v>19</v>
      </c>
      <c r="H602" s="7" t="s">
        <v>104</v>
      </c>
      <c r="I602" s="8">
        <v>3460315502549</v>
      </c>
      <c r="J602" s="2" t="s">
        <v>1544</v>
      </c>
      <c r="K602" s="9" t="s">
        <v>1552</v>
      </c>
      <c r="L602" s="2" t="s">
        <v>1571</v>
      </c>
      <c r="M602" s="2" t="s">
        <v>1609</v>
      </c>
      <c r="N602" s="2"/>
      <c r="O602" s="2"/>
      <c r="P602" s="2"/>
      <c r="Q602" s="2" t="s">
        <v>1544</v>
      </c>
    </row>
    <row r="603" spans="1:17" ht="30" customHeight="1" x14ac:dyDescent="0.5">
      <c r="A603" s="7" t="s">
        <v>263</v>
      </c>
      <c r="B603" s="7" t="s">
        <v>1225</v>
      </c>
      <c r="C603" s="8">
        <v>1106700010003</v>
      </c>
      <c r="D603" s="7" t="s">
        <v>102</v>
      </c>
      <c r="E603" s="7" t="s">
        <v>1332</v>
      </c>
      <c r="F603" s="7">
        <v>1983</v>
      </c>
      <c r="G603" s="7" t="s">
        <v>19</v>
      </c>
      <c r="H603" s="7" t="s">
        <v>104</v>
      </c>
      <c r="I603" s="8" t="s">
        <v>1333</v>
      </c>
      <c r="J603" s="2" t="s">
        <v>1544</v>
      </c>
      <c r="K603" s="9" t="s">
        <v>1552</v>
      </c>
      <c r="L603" s="2" t="s">
        <v>1571</v>
      </c>
      <c r="M603" s="2" t="s">
        <v>1609</v>
      </c>
      <c r="N603" s="2"/>
      <c r="O603" s="2"/>
      <c r="P603" s="2"/>
      <c r="Q603" s="2" t="s">
        <v>1544</v>
      </c>
    </row>
    <row r="604" spans="1:17" ht="30" customHeight="1" x14ac:dyDescent="0.5">
      <c r="A604" s="7" t="s">
        <v>263</v>
      </c>
      <c r="B604" s="7" t="s">
        <v>1225</v>
      </c>
      <c r="C604" s="8">
        <v>1106700010003</v>
      </c>
      <c r="D604" s="7" t="s">
        <v>102</v>
      </c>
      <c r="E604" s="7" t="s">
        <v>1334</v>
      </c>
      <c r="F604" s="7">
        <v>1983</v>
      </c>
      <c r="G604" s="7" t="s">
        <v>19</v>
      </c>
      <c r="H604" s="7" t="s">
        <v>104</v>
      </c>
      <c r="I604" s="8" t="s">
        <v>1335</v>
      </c>
      <c r="J604" s="2" t="s">
        <v>1544</v>
      </c>
      <c r="K604" s="9" t="s">
        <v>1552</v>
      </c>
      <c r="L604" s="2" t="s">
        <v>1571</v>
      </c>
      <c r="M604" s="2" t="s">
        <v>1609</v>
      </c>
      <c r="N604" s="2"/>
      <c r="O604" s="2"/>
      <c r="P604" s="2"/>
      <c r="Q604" s="2" t="s">
        <v>1544</v>
      </c>
    </row>
    <row r="605" spans="1:17" ht="30" customHeight="1" x14ac:dyDescent="0.5">
      <c r="A605" s="7" t="s">
        <v>263</v>
      </c>
      <c r="B605" s="7" t="s">
        <v>1225</v>
      </c>
      <c r="C605" s="8">
        <v>1106700010003</v>
      </c>
      <c r="D605" s="7" t="s">
        <v>102</v>
      </c>
      <c r="E605" s="7" t="s">
        <v>1464</v>
      </c>
      <c r="F605" s="7">
        <v>1989</v>
      </c>
      <c r="G605" s="7" t="s">
        <v>19</v>
      </c>
      <c r="H605" s="7" t="s">
        <v>104</v>
      </c>
      <c r="I605" s="8">
        <v>38671055346001</v>
      </c>
      <c r="J605" s="2" t="s">
        <v>1544</v>
      </c>
      <c r="K605" s="9" t="s">
        <v>1552</v>
      </c>
      <c r="L605" s="2" t="s">
        <v>1571</v>
      </c>
      <c r="M605" s="2" t="s">
        <v>1609</v>
      </c>
      <c r="N605" s="2"/>
      <c r="O605" s="2"/>
      <c r="P605" s="2"/>
      <c r="Q605" s="2" t="s">
        <v>1544</v>
      </c>
    </row>
    <row r="606" spans="1:17" ht="30" customHeight="1" x14ac:dyDescent="0.5">
      <c r="A606" s="7" t="s">
        <v>263</v>
      </c>
      <c r="B606" s="7" t="s">
        <v>1225</v>
      </c>
      <c r="C606" s="8">
        <v>1106700010003</v>
      </c>
      <c r="D606" s="7" t="s">
        <v>102</v>
      </c>
      <c r="E606" s="7" t="s">
        <v>1336</v>
      </c>
      <c r="F606" s="7">
        <v>1989</v>
      </c>
      <c r="G606" s="7" t="s">
        <v>19</v>
      </c>
      <c r="H606" s="7" t="s">
        <v>104</v>
      </c>
      <c r="I606" s="8">
        <v>42405655346001</v>
      </c>
      <c r="J606" s="2" t="s">
        <v>1544</v>
      </c>
      <c r="K606" s="9" t="s">
        <v>1552</v>
      </c>
      <c r="L606" s="2" t="s">
        <v>1571</v>
      </c>
      <c r="M606" s="2" t="s">
        <v>1609</v>
      </c>
      <c r="N606" s="2"/>
      <c r="O606" s="2"/>
      <c r="P606" s="2"/>
      <c r="Q606" s="2" t="s">
        <v>1544</v>
      </c>
    </row>
    <row r="607" spans="1:17" ht="30" customHeight="1" x14ac:dyDescent="0.5">
      <c r="A607" s="7" t="s">
        <v>263</v>
      </c>
      <c r="B607" s="7" t="s">
        <v>1225</v>
      </c>
      <c r="C607" s="8">
        <v>1106700010003</v>
      </c>
      <c r="D607" s="7" t="s">
        <v>102</v>
      </c>
      <c r="E607" s="7" t="s">
        <v>1337</v>
      </c>
      <c r="F607" s="7">
        <v>1981</v>
      </c>
      <c r="G607" s="7" t="s">
        <v>19</v>
      </c>
      <c r="H607" s="7" t="s">
        <v>104</v>
      </c>
      <c r="I607" s="8">
        <v>634631156798605</v>
      </c>
      <c r="J607" s="2" t="s">
        <v>1544</v>
      </c>
      <c r="K607" s="9" t="s">
        <v>1552</v>
      </c>
      <c r="L607" s="2" t="s">
        <v>1571</v>
      </c>
      <c r="M607" s="2" t="s">
        <v>1609</v>
      </c>
      <c r="N607" s="2"/>
      <c r="O607" s="2"/>
      <c r="P607" s="2"/>
      <c r="Q607" s="2" t="s">
        <v>1544</v>
      </c>
    </row>
    <row r="608" spans="1:17" ht="30" customHeight="1" x14ac:dyDescent="0.5">
      <c r="A608" s="7" t="s">
        <v>263</v>
      </c>
      <c r="B608" s="7" t="s">
        <v>1225</v>
      </c>
      <c r="C608" s="8">
        <v>1106700010003</v>
      </c>
      <c r="D608" s="7" t="s">
        <v>102</v>
      </c>
      <c r="E608" s="7" t="s">
        <v>1465</v>
      </c>
      <c r="F608" s="7">
        <v>1992</v>
      </c>
      <c r="G608" s="7" t="s">
        <v>19</v>
      </c>
      <c r="H608" s="7" t="s">
        <v>104</v>
      </c>
      <c r="I608" s="8" t="s">
        <v>1338</v>
      </c>
      <c r="J608" s="2"/>
      <c r="K608" s="2"/>
      <c r="L608" s="2"/>
      <c r="M608" s="2"/>
      <c r="N608" s="2"/>
      <c r="O608" s="2"/>
      <c r="P608" s="2"/>
      <c r="Q608" s="2"/>
    </row>
    <row r="609" spans="1:17" ht="30" customHeight="1" x14ac:dyDescent="0.5">
      <c r="A609" s="7" t="s">
        <v>263</v>
      </c>
      <c r="B609" s="7" t="s">
        <v>1225</v>
      </c>
      <c r="C609" s="8">
        <v>1106700010010</v>
      </c>
      <c r="D609" s="7" t="s">
        <v>114</v>
      </c>
      <c r="E609" s="7" t="s">
        <v>1466</v>
      </c>
      <c r="F609" s="7">
        <v>2003</v>
      </c>
      <c r="G609" s="7" t="s">
        <v>19</v>
      </c>
      <c r="H609" s="7" t="s">
        <v>571</v>
      </c>
      <c r="I609" s="8" t="s">
        <v>1339</v>
      </c>
      <c r="J609" s="2" t="s">
        <v>1544</v>
      </c>
      <c r="K609" s="9" t="s">
        <v>1552</v>
      </c>
      <c r="L609" s="2" t="s">
        <v>1571</v>
      </c>
      <c r="M609" s="2" t="s">
        <v>1609</v>
      </c>
      <c r="N609" s="2"/>
      <c r="O609" s="2"/>
      <c r="P609" s="2"/>
      <c r="Q609" s="2" t="s">
        <v>1544</v>
      </c>
    </row>
    <row r="610" spans="1:17" ht="30" customHeight="1" x14ac:dyDescent="0.5">
      <c r="A610" s="7" t="s">
        <v>263</v>
      </c>
      <c r="B610" s="7" t="s">
        <v>1225</v>
      </c>
      <c r="C610" s="8">
        <v>1106700010010</v>
      </c>
      <c r="D610" s="7" t="s">
        <v>114</v>
      </c>
      <c r="E610" s="7" t="s">
        <v>1340</v>
      </c>
      <c r="F610" s="7">
        <v>2003</v>
      </c>
      <c r="G610" s="7" t="s">
        <v>19</v>
      </c>
      <c r="H610" s="7" t="s">
        <v>104</v>
      </c>
      <c r="I610" s="8" t="s">
        <v>1341</v>
      </c>
      <c r="J610" s="2" t="s">
        <v>1544</v>
      </c>
      <c r="K610" s="9" t="s">
        <v>1552</v>
      </c>
      <c r="L610" s="2"/>
      <c r="M610" s="2" t="s">
        <v>1609</v>
      </c>
      <c r="N610" s="2"/>
      <c r="O610" s="2"/>
      <c r="P610" s="2"/>
      <c r="Q610" s="2" t="s">
        <v>1544</v>
      </c>
    </row>
    <row r="611" spans="1:17" ht="30" customHeight="1" x14ac:dyDescent="0.5">
      <c r="A611" s="7" t="s">
        <v>263</v>
      </c>
      <c r="B611" s="7" t="s">
        <v>1225</v>
      </c>
      <c r="C611" s="8">
        <v>1106700010010</v>
      </c>
      <c r="D611" s="7" t="s">
        <v>114</v>
      </c>
      <c r="E611" s="7" t="s">
        <v>1342</v>
      </c>
      <c r="F611" s="7">
        <v>1998</v>
      </c>
      <c r="G611" s="7" t="s">
        <v>19</v>
      </c>
      <c r="H611" s="7" t="s">
        <v>104</v>
      </c>
      <c r="I611" s="8" t="s">
        <v>1343</v>
      </c>
      <c r="J611" s="2" t="s">
        <v>1544</v>
      </c>
      <c r="K611" s="9" t="s">
        <v>1552</v>
      </c>
      <c r="L611" s="2" t="s">
        <v>1571</v>
      </c>
      <c r="M611" s="2" t="s">
        <v>1609</v>
      </c>
      <c r="N611" s="2"/>
      <c r="O611" s="2"/>
      <c r="P611" s="2"/>
      <c r="Q611" s="2" t="s">
        <v>1544</v>
      </c>
    </row>
    <row r="612" spans="1:17" ht="30" customHeight="1" x14ac:dyDescent="0.5">
      <c r="A612" s="7" t="s">
        <v>263</v>
      </c>
      <c r="B612" s="7" t="s">
        <v>1225</v>
      </c>
      <c r="C612" s="8">
        <v>1106700010010</v>
      </c>
      <c r="D612" s="7" t="s">
        <v>114</v>
      </c>
      <c r="E612" s="7" t="s">
        <v>1344</v>
      </c>
      <c r="F612" s="7">
        <v>2003</v>
      </c>
      <c r="G612" s="7" t="s">
        <v>19</v>
      </c>
      <c r="H612" s="7" t="s">
        <v>104</v>
      </c>
      <c r="I612" s="8" t="s">
        <v>1345</v>
      </c>
      <c r="J612" s="2" t="s">
        <v>1544</v>
      </c>
      <c r="K612" s="9" t="s">
        <v>1552</v>
      </c>
      <c r="L612" s="2" t="s">
        <v>1571</v>
      </c>
      <c r="M612" s="2" t="s">
        <v>1609</v>
      </c>
      <c r="N612" s="2"/>
      <c r="O612" s="2"/>
      <c r="P612" s="2"/>
      <c r="Q612" s="2" t="s">
        <v>1544</v>
      </c>
    </row>
    <row r="613" spans="1:17" ht="30" customHeight="1" x14ac:dyDescent="0.5">
      <c r="A613" s="7" t="s">
        <v>263</v>
      </c>
      <c r="B613" s="7" t="s">
        <v>1225</v>
      </c>
      <c r="C613" s="8">
        <v>1106700020003</v>
      </c>
      <c r="D613" s="7" t="s">
        <v>54</v>
      </c>
      <c r="E613" s="7" t="s">
        <v>1346</v>
      </c>
      <c r="F613" s="7">
        <v>1983</v>
      </c>
      <c r="G613" s="7" t="s">
        <v>19</v>
      </c>
      <c r="H613" s="7" t="s">
        <v>56</v>
      </c>
      <c r="I613" s="8">
        <v>343031540941074</v>
      </c>
      <c r="J613" s="2" t="s">
        <v>1544</v>
      </c>
      <c r="K613" s="9" t="s">
        <v>1552</v>
      </c>
      <c r="L613" s="2" t="s">
        <v>1571</v>
      </c>
      <c r="M613" s="2" t="s">
        <v>1609</v>
      </c>
      <c r="N613" s="2"/>
      <c r="O613" s="2"/>
      <c r="P613" s="2"/>
      <c r="Q613" s="2" t="s">
        <v>1544</v>
      </c>
    </row>
    <row r="614" spans="1:17" ht="30" customHeight="1" x14ac:dyDescent="0.5">
      <c r="A614" s="7" t="s">
        <v>263</v>
      </c>
      <c r="B614" s="7" t="s">
        <v>1225</v>
      </c>
      <c r="C614" s="8">
        <v>1106700020003</v>
      </c>
      <c r="D614" s="7" t="s">
        <v>54</v>
      </c>
      <c r="E614" s="7" t="s">
        <v>1347</v>
      </c>
      <c r="F614" s="7">
        <v>1983</v>
      </c>
      <c r="G614" s="7" t="s">
        <v>19</v>
      </c>
      <c r="H614" s="7" t="s">
        <v>56</v>
      </c>
      <c r="I614" s="8">
        <v>3430315491460</v>
      </c>
      <c r="J614" s="2" t="s">
        <v>1544</v>
      </c>
      <c r="K614" s="9" t="s">
        <v>1552</v>
      </c>
      <c r="L614" s="2" t="s">
        <v>1571</v>
      </c>
      <c r="M614" s="2" t="s">
        <v>1609</v>
      </c>
      <c r="N614" s="2"/>
      <c r="O614" s="2"/>
      <c r="P614" s="2"/>
      <c r="Q614" s="2" t="s">
        <v>1544</v>
      </c>
    </row>
    <row r="615" spans="1:17" ht="30" customHeight="1" x14ac:dyDescent="0.5">
      <c r="A615" s="7" t="s">
        <v>263</v>
      </c>
      <c r="B615" s="7" t="s">
        <v>1225</v>
      </c>
      <c r="C615" s="8">
        <v>1106700020003</v>
      </c>
      <c r="D615" s="7" t="s">
        <v>54</v>
      </c>
      <c r="E615" s="7" t="s">
        <v>1348</v>
      </c>
      <c r="F615" s="7">
        <v>1983</v>
      </c>
      <c r="G615" s="7" t="s">
        <v>19</v>
      </c>
      <c r="H615" s="7" t="s">
        <v>56</v>
      </c>
      <c r="I615" s="8">
        <v>34303154941459</v>
      </c>
      <c r="J615" s="2" t="s">
        <v>1544</v>
      </c>
      <c r="K615" s="9" t="s">
        <v>1552</v>
      </c>
      <c r="L615" s="2" t="s">
        <v>1571</v>
      </c>
      <c r="M615" s="2" t="s">
        <v>1609</v>
      </c>
      <c r="N615" s="2"/>
      <c r="O615" s="2"/>
      <c r="P615" s="2"/>
      <c r="Q615" s="2" t="s">
        <v>1544</v>
      </c>
    </row>
    <row r="616" spans="1:17" ht="30" customHeight="1" x14ac:dyDescent="0.5">
      <c r="A616" s="7" t="s">
        <v>263</v>
      </c>
      <c r="B616" s="7" t="s">
        <v>1225</v>
      </c>
      <c r="C616" s="8">
        <v>1106700020003</v>
      </c>
      <c r="D616" s="7" t="s">
        <v>54</v>
      </c>
      <c r="E616" s="7" t="s">
        <v>1350</v>
      </c>
      <c r="F616" s="7">
        <v>1993</v>
      </c>
      <c r="G616" s="7" t="s">
        <v>19</v>
      </c>
      <c r="H616" s="7" t="s">
        <v>104</v>
      </c>
      <c r="I616" s="8">
        <v>34600155951192</v>
      </c>
      <c r="J616" s="2" t="s">
        <v>1544</v>
      </c>
      <c r="K616" s="9" t="s">
        <v>1552</v>
      </c>
      <c r="L616" s="2" t="s">
        <v>1571</v>
      </c>
      <c r="M616" s="2" t="s">
        <v>1609</v>
      </c>
      <c r="N616" s="2"/>
      <c r="O616" s="2"/>
      <c r="P616" s="2"/>
      <c r="Q616" s="2" t="s">
        <v>1544</v>
      </c>
    </row>
    <row r="617" spans="1:17" ht="30" customHeight="1" x14ac:dyDescent="0.5">
      <c r="A617" s="7" t="s">
        <v>263</v>
      </c>
      <c r="B617" s="7" t="s">
        <v>1225</v>
      </c>
      <c r="C617" s="8">
        <v>1106700020003</v>
      </c>
      <c r="D617" s="7" t="s">
        <v>54</v>
      </c>
      <c r="E617" s="7" t="s">
        <v>1351</v>
      </c>
      <c r="F617" s="7">
        <v>2013</v>
      </c>
      <c r="G617" s="7" t="s">
        <v>19</v>
      </c>
      <c r="H617" s="7" t="s">
        <v>56</v>
      </c>
      <c r="I617" s="8" t="s">
        <v>1352</v>
      </c>
      <c r="J617" s="2" t="s">
        <v>1544</v>
      </c>
      <c r="K617" s="9" t="s">
        <v>1552</v>
      </c>
      <c r="L617" s="2" t="s">
        <v>1559</v>
      </c>
      <c r="M617" s="2" t="s">
        <v>1559</v>
      </c>
      <c r="N617" s="2"/>
      <c r="O617" s="2"/>
      <c r="P617" s="2"/>
      <c r="Q617" s="2" t="s">
        <v>1544</v>
      </c>
    </row>
    <row r="618" spans="1:17" ht="30" customHeight="1" x14ac:dyDescent="0.5">
      <c r="A618" s="7" t="s">
        <v>263</v>
      </c>
      <c r="B618" s="7" t="s">
        <v>1225</v>
      </c>
      <c r="C618" s="8">
        <v>1106700020003</v>
      </c>
      <c r="D618" s="7" t="s">
        <v>54</v>
      </c>
      <c r="E618" s="7" t="s">
        <v>1355</v>
      </c>
      <c r="F618" s="7">
        <v>2016</v>
      </c>
      <c r="G618" s="7" t="s">
        <v>19</v>
      </c>
      <c r="H618" s="7" t="s">
        <v>56</v>
      </c>
      <c r="I618" s="8" t="s">
        <v>1356</v>
      </c>
      <c r="J618" s="2"/>
      <c r="K618" s="2"/>
      <c r="L618" s="2"/>
      <c r="M618" s="2"/>
      <c r="N618" s="2"/>
      <c r="O618" s="2"/>
      <c r="P618" s="2"/>
      <c r="Q618" s="2"/>
    </row>
    <row r="619" spans="1:17" ht="30" customHeight="1" x14ac:dyDescent="0.5">
      <c r="A619" s="7" t="s">
        <v>263</v>
      </c>
      <c r="B619" s="7" t="s">
        <v>1225</v>
      </c>
      <c r="C619" s="8">
        <v>1106700020003</v>
      </c>
      <c r="D619" s="7" t="s">
        <v>54</v>
      </c>
      <c r="E619" s="7" t="s">
        <v>1357</v>
      </c>
      <c r="F619" s="7">
        <v>2006</v>
      </c>
      <c r="G619" s="7" t="s">
        <v>19</v>
      </c>
      <c r="H619" s="7" t="s">
        <v>56</v>
      </c>
      <c r="I619" s="8" t="s">
        <v>1358</v>
      </c>
      <c r="J619" s="2" t="s">
        <v>1544</v>
      </c>
      <c r="K619" s="9" t="s">
        <v>1552</v>
      </c>
      <c r="L619" s="2" t="s">
        <v>1571</v>
      </c>
      <c r="M619" s="2" t="s">
        <v>1609</v>
      </c>
      <c r="N619" s="2"/>
      <c r="O619" s="2"/>
      <c r="P619" s="2"/>
      <c r="Q619" s="2" t="s">
        <v>1544</v>
      </c>
    </row>
    <row r="620" spans="1:17" ht="30" customHeight="1" x14ac:dyDescent="0.5">
      <c r="A620" s="7" t="s">
        <v>263</v>
      </c>
      <c r="B620" s="7" t="s">
        <v>1225</v>
      </c>
      <c r="C620" s="8">
        <v>1106700020010</v>
      </c>
      <c r="D620" s="7" t="s">
        <v>210</v>
      </c>
      <c r="E620" s="7" t="s">
        <v>1468</v>
      </c>
      <c r="F620" s="7">
        <v>2006</v>
      </c>
      <c r="G620" s="7" t="s">
        <v>19</v>
      </c>
      <c r="H620" s="7" t="s">
        <v>104</v>
      </c>
      <c r="I620" s="8" t="s">
        <v>1368</v>
      </c>
      <c r="J620" s="2"/>
      <c r="K620" s="2"/>
      <c r="L620" s="2"/>
      <c r="M620" s="2"/>
      <c r="N620" s="2"/>
      <c r="O620" s="2"/>
      <c r="P620" s="2"/>
      <c r="Q620" s="2"/>
    </row>
    <row r="621" spans="1:17" ht="30" customHeight="1" x14ac:dyDescent="0.5">
      <c r="A621" s="7" t="s">
        <v>263</v>
      </c>
      <c r="B621" s="7" t="s">
        <v>1225</v>
      </c>
      <c r="C621" s="8">
        <v>1106700020010</v>
      </c>
      <c r="D621" s="7" t="s">
        <v>210</v>
      </c>
      <c r="E621" s="7" t="s">
        <v>1369</v>
      </c>
      <c r="F621" s="7">
        <v>2006</v>
      </c>
      <c r="G621" s="7" t="s">
        <v>19</v>
      </c>
      <c r="H621" s="7" t="s">
        <v>571</v>
      </c>
      <c r="I621" s="8" t="s">
        <v>1370</v>
      </c>
      <c r="J621" s="2"/>
      <c r="K621" s="2"/>
      <c r="L621" s="2"/>
      <c r="M621" s="2"/>
      <c r="N621" s="2"/>
      <c r="O621" s="2"/>
      <c r="P621" s="2"/>
      <c r="Q621" s="2"/>
    </row>
    <row r="622" spans="1:17" ht="30" customHeight="1" x14ac:dyDescent="0.5">
      <c r="A622" s="7" t="s">
        <v>263</v>
      </c>
      <c r="B622" s="7" t="s">
        <v>1225</v>
      </c>
      <c r="C622" s="8">
        <v>1201700020002</v>
      </c>
      <c r="D622" s="7" t="s">
        <v>1375</v>
      </c>
      <c r="E622" s="7" t="s">
        <v>1376</v>
      </c>
      <c r="F622" s="7">
        <v>2015</v>
      </c>
      <c r="G622" s="7" t="s">
        <v>19</v>
      </c>
      <c r="H622" s="7" t="s">
        <v>1377</v>
      </c>
      <c r="I622" s="8" t="s">
        <v>1378</v>
      </c>
      <c r="J622" s="2"/>
      <c r="K622" s="2"/>
      <c r="L622" s="2"/>
      <c r="M622" s="2"/>
      <c r="N622" s="2"/>
      <c r="O622" s="2"/>
      <c r="P622" s="2"/>
      <c r="Q622" s="2"/>
    </row>
    <row r="623" spans="1:17" ht="30" customHeight="1" x14ac:dyDescent="0.5">
      <c r="A623" s="7" t="s">
        <v>263</v>
      </c>
      <c r="B623" s="7" t="s">
        <v>1225</v>
      </c>
      <c r="C623" s="8">
        <v>1201700020002</v>
      </c>
      <c r="D623" s="7" t="s">
        <v>1375</v>
      </c>
      <c r="E623" s="7" t="s">
        <v>1379</v>
      </c>
      <c r="F623" s="7">
        <v>2015</v>
      </c>
      <c r="G623" s="7" t="s">
        <v>19</v>
      </c>
      <c r="H623" s="7" t="s">
        <v>1377</v>
      </c>
      <c r="I623" s="8" t="s">
        <v>1380</v>
      </c>
      <c r="J623" s="2"/>
      <c r="K623" s="2"/>
      <c r="L623" s="2"/>
      <c r="M623" s="2"/>
      <c r="N623" s="2"/>
      <c r="O623" s="2"/>
      <c r="P623" s="2"/>
      <c r="Q623" s="2"/>
    </row>
    <row r="624" spans="1:17" ht="30" customHeight="1" x14ac:dyDescent="0.5">
      <c r="A624" s="7" t="s">
        <v>263</v>
      </c>
      <c r="B624" s="7" t="s">
        <v>1225</v>
      </c>
      <c r="C624" s="8">
        <v>1201700020002</v>
      </c>
      <c r="D624" s="7" t="s">
        <v>1375</v>
      </c>
      <c r="E624" s="7" t="s">
        <v>1381</v>
      </c>
      <c r="F624" s="7">
        <v>2015</v>
      </c>
      <c r="G624" s="7" t="s">
        <v>19</v>
      </c>
      <c r="H624" s="7" t="s">
        <v>1377</v>
      </c>
      <c r="I624" s="8" t="s">
        <v>1382</v>
      </c>
      <c r="J624" s="2"/>
      <c r="K624" s="2"/>
      <c r="L624" s="2"/>
      <c r="M624" s="2"/>
      <c r="N624" s="2"/>
      <c r="O624" s="2"/>
      <c r="P624" s="2"/>
      <c r="Q624" s="2"/>
    </row>
    <row r="625" spans="1:17" ht="30" customHeight="1" x14ac:dyDescent="0.5">
      <c r="A625" s="7" t="s">
        <v>263</v>
      </c>
      <c r="B625" s="7" t="s">
        <v>1225</v>
      </c>
      <c r="C625" s="8">
        <v>1201700020002</v>
      </c>
      <c r="D625" s="7" t="s">
        <v>1375</v>
      </c>
      <c r="E625" s="7" t="s">
        <v>1383</v>
      </c>
      <c r="F625" s="7">
        <v>2015</v>
      </c>
      <c r="G625" s="7" t="s">
        <v>19</v>
      </c>
      <c r="H625" s="7" t="s">
        <v>1377</v>
      </c>
      <c r="I625" s="8" t="s">
        <v>1384</v>
      </c>
      <c r="J625" s="2"/>
      <c r="K625" s="2"/>
      <c r="L625" s="2"/>
      <c r="M625" s="2"/>
      <c r="N625" s="2"/>
      <c r="O625" s="2"/>
      <c r="P625" s="2"/>
      <c r="Q625" s="2"/>
    </row>
    <row r="626" spans="1:17" ht="30" customHeight="1" x14ac:dyDescent="0.5">
      <c r="A626" s="7" t="s">
        <v>263</v>
      </c>
      <c r="B626" s="7" t="s">
        <v>1225</v>
      </c>
      <c r="C626" s="8">
        <v>1202700010001</v>
      </c>
      <c r="D626" s="7" t="s">
        <v>1387</v>
      </c>
      <c r="E626" s="7" t="s">
        <v>1388</v>
      </c>
      <c r="F626" s="7">
        <v>2002</v>
      </c>
      <c r="G626" s="7" t="s">
        <v>4</v>
      </c>
      <c r="H626" s="7" t="s">
        <v>1389</v>
      </c>
      <c r="I626" s="8" t="s">
        <v>1390</v>
      </c>
      <c r="J626" s="2"/>
      <c r="K626" s="2"/>
      <c r="L626" s="2"/>
      <c r="M626" s="2"/>
      <c r="N626" s="2"/>
      <c r="O626" s="2"/>
      <c r="P626" s="2"/>
      <c r="Q626" s="2"/>
    </row>
    <row r="627" spans="1:17" ht="30" customHeight="1" x14ac:dyDescent="0.5">
      <c r="A627" s="7" t="s">
        <v>263</v>
      </c>
      <c r="B627" s="7" t="s">
        <v>1225</v>
      </c>
      <c r="C627" s="8">
        <v>1202700010001</v>
      </c>
      <c r="D627" s="7" t="s">
        <v>1387</v>
      </c>
      <c r="E627" s="7" t="s">
        <v>1391</v>
      </c>
      <c r="F627" s="7">
        <v>2002</v>
      </c>
      <c r="G627" s="7" t="s">
        <v>4</v>
      </c>
      <c r="H627" s="7" t="s">
        <v>1389</v>
      </c>
      <c r="I627" s="8" t="s">
        <v>1392</v>
      </c>
      <c r="J627" s="2" t="s">
        <v>1544</v>
      </c>
      <c r="K627" s="9" t="s">
        <v>1552</v>
      </c>
      <c r="L627" s="2" t="s">
        <v>1571</v>
      </c>
      <c r="M627" s="2" t="s">
        <v>1609</v>
      </c>
      <c r="N627" s="2"/>
      <c r="O627" s="2"/>
      <c r="P627" s="2"/>
      <c r="Q627" s="2" t="s">
        <v>1544</v>
      </c>
    </row>
    <row r="628" spans="1:17" ht="30" customHeight="1" x14ac:dyDescent="0.5">
      <c r="A628" s="7" t="s">
        <v>263</v>
      </c>
      <c r="B628" s="7" t="s">
        <v>1225</v>
      </c>
      <c r="C628" s="8">
        <v>1204700020003</v>
      </c>
      <c r="D628" s="7" t="s">
        <v>13</v>
      </c>
      <c r="E628" s="7" t="s">
        <v>1393</v>
      </c>
      <c r="F628" s="7">
        <v>2006</v>
      </c>
      <c r="G628" s="7" t="s">
        <v>19</v>
      </c>
      <c r="H628" s="7" t="s">
        <v>10</v>
      </c>
      <c r="I628" s="8" t="s">
        <v>1394</v>
      </c>
      <c r="J628" s="2"/>
      <c r="K628" s="2"/>
      <c r="L628" s="2"/>
      <c r="M628" s="2"/>
      <c r="N628" s="2"/>
      <c r="O628" s="2"/>
      <c r="P628" s="2"/>
      <c r="Q628" s="2"/>
    </row>
    <row r="629" spans="1:17" ht="30" customHeight="1" x14ac:dyDescent="0.5">
      <c r="A629" s="7" t="s">
        <v>263</v>
      </c>
      <c r="B629" s="7" t="s">
        <v>1225</v>
      </c>
      <c r="C629" s="8">
        <v>1204700020003</v>
      </c>
      <c r="D629" s="7" t="s">
        <v>13</v>
      </c>
      <c r="E629" s="7" t="s">
        <v>1395</v>
      </c>
      <c r="F629" s="7">
        <v>2009</v>
      </c>
      <c r="G629" s="7" t="s">
        <v>19</v>
      </c>
      <c r="H629" s="7" t="s">
        <v>10</v>
      </c>
      <c r="I629" s="8" t="s">
        <v>1396</v>
      </c>
      <c r="J629" s="2"/>
      <c r="K629" s="2"/>
      <c r="L629" s="2"/>
      <c r="M629" s="2"/>
      <c r="N629" s="2"/>
      <c r="O629" s="2"/>
      <c r="P629" s="2"/>
      <c r="Q629" s="2"/>
    </row>
    <row r="630" spans="1:17" ht="30" customHeight="1" x14ac:dyDescent="0.5">
      <c r="A630" s="7" t="s">
        <v>263</v>
      </c>
      <c r="B630" s="7" t="s">
        <v>1225</v>
      </c>
      <c r="C630" s="8">
        <v>1204700020003</v>
      </c>
      <c r="D630" s="7" t="s">
        <v>13</v>
      </c>
      <c r="E630" s="7" t="s">
        <v>1399</v>
      </c>
      <c r="F630" s="7">
        <v>2006</v>
      </c>
      <c r="G630" s="7" t="s">
        <v>19</v>
      </c>
      <c r="H630" s="7" t="s">
        <v>10</v>
      </c>
      <c r="I630" s="8" t="s">
        <v>1400</v>
      </c>
      <c r="J630" s="2"/>
      <c r="K630" s="2"/>
      <c r="L630" s="2"/>
      <c r="M630" s="2"/>
      <c r="N630" s="2"/>
      <c r="O630" s="2"/>
      <c r="P630" s="2"/>
      <c r="Q630" s="2"/>
    </row>
    <row r="631" spans="1:17" ht="30" customHeight="1" x14ac:dyDescent="0.5">
      <c r="A631" s="7" t="s">
        <v>263</v>
      </c>
      <c r="B631" s="7" t="s">
        <v>1225</v>
      </c>
      <c r="C631" s="8">
        <v>1204700030002</v>
      </c>
      <c r="D631" s="7" t="s">
        <v>1223</v>
      </c>
      <c r="E631" s="7" t="s">
        <v>1401</v>
      </c>
      <c r="F631" s="7">
        <v>2003</v>
      </c>
      <c r="G631" s="7" t="s">
        <v>19</v>
      </c>
      <c r="H631" s="7" t="s">
        <v>384</v>
      </c>
      <c r="I631" s="8" t="s">
        <v>1402</v>
      </c>
      <c r="J631" s="2"/>
      <c r="K631" s="2"/>
      <c r="L631" s="2"/>
      <c r="M631" s="2"/>
      <c r="N631" s="2"/>
      <c r="O631" s="2"/>
      <c r="P631" s="2"/>
      <c r="Q631" s="2"/>
    </row>
    <row r="632" spans="1:17" ht="30" customHeight="1" x14ac:dyDescent="0.5">
      <c r="A632" s="7" t="s">
        <v>263</v>
      </c>
      <c r="B632" s="7" t="s">
        <v>1225</v>
      </c>
      <c r="C632" s="8">
        <v>1205700010001</v>
      </c>
      <c r="D632" s="7" t="s">
        <v>388</v>
      </c>
      <c r="E632" s="7" t="s">
        <v>1405</v>
      </c>
      <c r="F632" s="7">
        <v>2010</v>
      </c>
      <c r="G632" s="7" t="s">
        <v>19</v>
      </c>
      <c r="H632" s="7" t="s">
        <v>20</v>
      </c>
      <c r="I632" s="8" t="s">
        <v>1406</v>
      </c>
      <c r="J632" s="2"/>
      <c r="K632" s="2"/>
      <c r="L632" s="2"/>
      <c r="M632" s="2"/>
      <c r="N632" s="2"/>
      <c r="O632" s="2"/>
      <c r="P632" s="2"/>
      <c r="Q632" s="2"/>
    </row>
    <row r="633" spans="1:17" ht="30" customHeight="1" x14ac:dyDescent="0.5">
      <c r="A633" s="7" t="s">
        <v>263</v>
      </c>
      <c r="B633" s="7" t="s">
        <v>1225</v>
      </c>
      <c r="C633" s="8">
        <v>1205700010001</v>
      </c>
      <c r="D633" s="7" t="s">
        <v>388</v>
      </c>
      <c r="E633" s="7" t="s">
        <v>1407</v>
      </c>
      <c r="F633" s="7">
        <v>2008</v>
      </c>
      <c r="G633" s="7" t="s">
        <v>19</v>
      </c>
      <c r="H633" s="7" t="s">
        <v>20</v>
      </c>
      <c r="I633" s="8" t="s">
        <v>1408</v>
      </c>
      <c r="J633" s="2"/>
      <c r="K633" s="2"/>
      <c r="L633" s="2"/>
      <c r="M633" s="2"/>
      <c r="N633" s="2"/>
      <c r="O633" s="2"/>
      <c r="P633" s="2"/>
      <c r="Q633" s="2"/>
    </row>
    <row r="634" spans="1:17" ht="30" customHeight="1" x14ac:dyDescent="0.5">
      <c r="A634" s="7" t="s">
        <v>263</v>
      </c>
      <c r="B634" s="7" t="s">
        <v>1225</v>
      </c>
      <c r="C634" s="8">
        <v>1207700040001</v>
      </c>
      <c r="D634" s="7" t="s">
        <v>1409</v>
      </c>
      <c r="E634" s="7" t="s">
        <v>1410</v>
      </c>
      <c r="F634" s="7">
        <v>1981</v>
      </c>
      <c r="G634" s="7" t="s">
        <v>19</v>
      </c>
      <c r="H634" s="7" t="s">
        <v>397</v>
      </c>
      <c r="I634" s="8">
        <v>34301454800927</v>
      </c>
      <c r="J634" s="2" t="s">
        <v>1544</v>
      </c>
      <c r="K634" s="9" t="s">
        <v>1552</v>
      </c>
      <c r="L634" s="2" t="s">
        <v>1571</v>
      </c>
      <c r="M634" s="2" t="s">
        <v>1609</v>
      </c>
      <c r="N634" s="2"/>
      <c r="O634" s="2"/>
      <c r="P634" s="2"/>
      <c r="Q634" s="2" t="s">
        <v>1544</v>
      </c>
    </row>
    <row r="635" spans="1:17" ht="30" customHeight="1" x14ac:dyDescent="0.5">
      <c r="A635" s="7" t="s">
        <v>263</v>
      </c>
      <c r="B635" s="7" t="s">
        <v>1225</v>
      </c>
      <c r="C635" s="8">
        <v>1207700040004</v>
      </c>
      <c r="D635" s="7" t="s">
        <v>395</v>
      </c>
      <c r="E635" s="7" t="s">
        <v>1411</v>
      </c>
      <c r="F635" s="7">
        <v>2018</v>
      </c>
      <c r="G635" s="7" t="s">
        <v>19</v>
      </c>
      <c r="H635" s="7" t="s">
        <v>397</v>
      </c>
      <c r="I635" s="8" t="s">
        <v>1412</v>
      </c>
      <c r="J635" s="2"/>
      <c r="K635" s="2"/>
      <c r="L635" s="2"/>
      <c r="M635" s="2"/>
      <c r="N635" s="2"/>
      <c r="O635" s="2"/>
      <c r="P635" s="2"/>
      <c r="Q635" s="2"/>
    </row>
    <row r="636" spans="1:17" ht="30" customHeight="1" x14ac:dyDescent="0.5">
      <c r="A636" s="7" t="s">
        <v>263</v>
      </c>
      <c r="B636" s="7" t="s">
        <v>1225</v>
      </c>
      <c r="C636" s="8">
        <v>1207700040004</v>
      </c>
      <c r="D636" s="7" t="s">
        <v>395</v>
      </c>
      <c r="E636" s="7" t="s">
        <v>1413</v>
      </c>
      <c r="F636" s="7">
        <v>2018</v>
      </c>
      <c r="G636" s="7" t="s">
        <v>19</v>
      </c>
      <c r="H636" s="7" t="s">
        <v>397</v>
      </c>
      <c r="I636" s="8" t="s">
        <v>1414</v>
      </c>
      <c r="J636" s="2"/>
      <c r="K636" s="2"/>
      <c r="L636" s="2"/>
      <c r="M636" s="2"/>
      <c r="N636" s="2"/>
      <c r="O636" s="2"/>
      <c r="P636" s="2"/>
      <c r="Q636" s="2"/>
    </row>
    <row r="637" spans="1:17" ht="30" customHeight="1" x14ac:dyDescent="0.5">
      <c r="A637" s="7" t="s">
        <v>263</v>
      </c>
      <c r="B637" s="7" t="s">
        <v>1225</v>
      </c>
      <c r="C637" s="8">
        <v>1207700050001</v>
      </c>
      <c r="D637" s="7" t="s">
        <v>402</v>
      </c>
      <c r="E637" s="7" t="s">
        <v>1469</v>
      </c>
      <c r="F637" s="7">
        <v>1983</v>
      </c>
      <c r="G637" s="7" t="s">
        <v>19</v>
      </c>
      <c r="H637" s="7" t="s">
        <v>42</v>
      </c>
      <c r="I637" s="8" t="s">
        <v>1415</v>
      </c>
      <c r="J637" s="2"/>
      <c r="K637" s="2"/>
      <c r="L637" s="2"/>
      <c r="M637" s="2"/>
      <c r="N637" s="2"/>
      <c r="O637" s="2"/>
      <c r="P637" s="2"/>
      <c r="Q637" s="2"/>
    </row>
    <row r="638" spans="1:17" ht="30" customHeight="1" x14ac:dyDescent="0.5">
      <c r="A638" s="7" t="s">
        <v>35</v>
      </c>
      <c r="B638" s="7" t="s">
        <v>1417</v>
      </c>
      <c r="C638" s="8">
        <v>1101700010006</v>
      </c>
      <c r="D638" s="7" t="s">
        <v>1551</v>
      </c>
      <c r="E638" s="7" t="s">
        <v>1418</v>
      </c>
      <c r="F638" s="7">
        <v>2013</v>
      </c>
      <c r="G638" s="7" t="s">
        <v>19</v>
      </c>
      <c r="H638" s="7" t="s">
        <v>52</v>
      </c>
      <c r="I638" s="8" t="s">
        <v>1419</v>
      </c>
      <c r="J638" s="2"/>
      <c r="K638" s="2"/>
      <c r="L638" s="2"/>
      <c r="M638" s="2"/>
      <c r="N638" s="2"/>
      <c r="O638" s="2"/>
      <c r="P638" s="2"/>
      <c r="Q638" s="2"/>
    </row>
    <row r="639" spans="1:17" ht="30" customHeight="1" x14ac:dyDescent="0.5">
      <c r="A639" s="7" t="s">
        <v>35</v>
      </c>
      <c r="B639" s="7" t="s">
        <v>1417</v>
      </c>
      <c r="C639" s="8">
        <v>1106700020003</v>
      </c>
      <c r="D639" s="7" t="s">
        <v>54</v>
      </c>
      <c r="E639" s="7" t="s">
        <v>1420</v>
      </c>
      <c r="F639" s="7">
        <v>2011</v>
      </c>
      <c r="G639" s="7" t="s">
        <v>19</v>
      </c>
      <c r="H639" s="7" t="s">
        <v>56</v>
      </c>
      <c r="I639" s="8" t="s">
        <v>1421</v>
      </c>
      <c r="J639" s="2"/>
      <c r="K639" s="2"/>
      <c r="L639" s="2"/>
      <c r="M639" s="2"/>
      <c r="N639" s="2"/>
      <c r="O639" s="2"/>
      <c r="P639" s="2"/>
      <c r="Q639" s="2"/>
    </row>
    <row r="640" spans="1:17" ht="30" customHeight="1" x14ac:dyDescent="0.5">
      <c r="A640" s="7" t="s">
        <v>35</v>
      </c>
      <c r="B640" s="7" t="s">
        <v>1423</v>
      </c>
      <c r="C640" s="8">
        <v>1101700010006</v>
      </c>
      <c r="D640" s="7" t="s">
        <v>1551</v>
      </c>
      <c r="E640" s="7" t="s">
        <v>1424</v>
      </c>
      <c r="F640" s="7">
        <v>2015</v>
      </c>
      <c r="G640" s="7" t="s">
        <v>19</v>
      </c>
      <c r="H640" s="7" t="s">
        <v>52</v>
      </c>
      <c r="I640" s="8" t="s">
        <v>1425</v>
      </c>
      <c r="J640" s="2"/>
      <c r="K640" s="2"/>
      <c r="L640" s="2"/>
      <c r="M640" s="2"/>
      <c r="N640" s="2"/>
      <c r="O640" s="2"/>
      <c r="P640" s="2"/>
      <c r="Q640" s="2"/>
    </row>
    <row r="641" spans="1:23" ht="30" customHeight="1" x14ac:dyDescent="0.5">
      <c r="A641" s="7" t="s">
        <v>35</v>
      </c>
      <c r="B641" s="7" t="s">
        <v>1423</v>
      </c>
      <c r="C641" s="8">
        <v>1106700020003</v>
      </c>
      <c r="D641" s="7" t="s">
        <v>54</v>
      </c>
      <c r="E641" s="7" t="s">
        <v>1426</v>
      </c>
      <c r="F641" s="7">
        <v>2015</v>
      </c>
      <c r="G641" s="7" t="s">
        <v>19</v>
      </c>
      <c r="H641" s="7" t="s">
        <v>56</v>
      </c>
      <c r="I641" s="8" t="s">
        <v>1427</v>
      </c>
      <c r="J641" s="2"/>
      <c r="K641" s="2"/>
      <c r="L641" s="2"/>
      <c r="M641" s="2"/>
      <c r="N641" s="2"/>
      <c r="O641" s="2"/>
      <c r="P641" s="2"/>
      <c r="Q641" s="2"/>
    </row>
    <row r="642" spans="1:23" x14ac:dyDescent="0.5">
      <c r="A642" s="4"/>
      <c r="B642" s="4"/>
      <c r="C642" s="4"/>
      <c r="D642" s="4"/>
      <c r="E642" s="4"/>
      <c r="F642" s="4"/>
      <c r="G642" s="4"/>
      <c r="H642" s="4"/>
      <c r="I642" s="4"/>
      <c r="S642" s="4"/>
      <c r="W642" s="4" t="s">
        <v>1911</v>
      </c>
    </row>
    <row r="643" spans="1:23" x14ac:dyDescent="0.5">
      <c r="A643" s="4"/>
      <c r="B643" s="4"/>
      <c r="C643" s="4"/>
      <c r="D643" s="4"/>
      <c r="E643" s="4"/>
      <c r="F643" s="4"/>
      <c r="G643" s="4"/>
      <c r="H643" s="4"/>
      <c r="I643" s="4"/>
    </row>
    <row r="644" spans="1:23" x14ac:dyDescent="0.5">
      <c r="A644" s="4"/>
      <c r="B644" s="4"/>
      <c r="C644" s="4"/>
      <c r="D644" s="4"/>
      <c r="E644" s="4"/>
      <c r="F644" s="4"/>
      <c r="G644" s="4"/>
      <c r="H644" s="4"/>
      <c r="I644" s="4"/>
    </row>
    <row r="645" spans="1:23" x14ac:dyDescent="0.5">
      <c r="A645" s="4"/>
      <c r="B645" s="4"/>
      <c r="C645" s="4"/>
      <c r="D645" s="4"/>
      <c r="E645" s="4"/>
      <c r="F645" s="4"/>
      <c r="G645" s="4"/>
      <c r="H645" s="4"/>
      <c r="I645" s="4"/>
    </row>
    <row r="646" spans="1:23" x14ac:dyDescent="0.5">
      <c r="A646" s="4"/>
      <c r="B646" s="4"/>
      <c r="C646" s="4"/>
      <c r="D646" s="4"/>
      <c r="E646" s="4"/>
      <c r="F646" s="4"/>
      <c r="G646" s="4"/>
      <c r="H646" s="4"/>
      <c r="I646" s="4"/>
    </row>
    <row r="647" spans="1:23" x14ac:dyDescent="0.5">
      <c r="A647" s="4"/>
      <c r="B647" s="4"/>
      <c r="C647" s="4"/>
      <c r="D647" s="4"/>
      <c r="E647" s="4"/>
      <c r="F647" s="4"/>
      <c r="G647" s="4"/>
      <c r="H647" s="4"/>
      <c r="I647" s="4"/>
    </row>
    <row r="648" spans="1:23" x14ac:dyDescent="0.5">
      <c r="A648" s="4"/>
      <c r="B648" s="4"/>
      <c r="C648" s="4"/>
      <c r="D648" s="4"/>
      <c r="E648" s="4"/>
      <c r="F648" s="4"/>
      <c r="G648" s="4"/>
      <c r="H648" s="4"/>
      <c r="I648" s="4"/>
    </row>
    <row r="649" spans="1:23" x14ac:dyDescent="0.5">
      <c r="A649" s="4"/>
      <c r="B649" s="4"/>
      <c r="C649" s="4"/>
      <c r="D649" s="4"/>
      <c r="E649" s="4"/>
      <c r="F649" s="4"/>
      <c r="G649" s="4"/>
      <c r="H649" s="4"/>
      <c r="I649" s="4"/>
    </row>
    <row r="650" spans="1:23" x14ac:dyDescent="0.5">
      <c r="A650" s="4"/>
      <c r="B650" s="4"/>
      <c r="C650" s="4"/>
      <c r="D650" s="4"/>
      <c r="E650" s="4"/>
      <c r="F650" s="4"/>
      <c r="G650" s="4"/>
      <c r="H650" s="4"/>
      <c r="I650" s="4"/>
    </row>
    <row r="651" spans="1:23" x14ac:dyDescent="0.5">
      <c r="A651" s="4"/>
      <c r="B651" s="4"/>
      <c r="C651" s="4"/>
      <c r="D651" s="4"/>
      <c r="E651" s="4"/>
      <c r="F651" s="4"/>
      <c r="G651" s="4"/>
      <c r="H651" s="4"/>
      <c r="I651" s="4"/>
    </row>
    <row r="652" spans="1:23" x14ac:dyDescent="0.5">
      <c r="A652" s="4"/>
      <c r="B652" s="4"/>
      <c r="C652" s="4"/>
      <c r="D652" s="4"/>
      <c r="E652" s="4"/>
      <c r="F652" s="4"/>
      <c r="G652" s="4"/>
      <c r="H652" s="4"/>
      <c r="I652" s="4"/>
    </row>
    <row r="653" spans="1:23" x14ac:dyDescent="0.5">
      <c r="A653" s="4"/>
      <c r="B653" s="4"/>
      <c r="C653" s="4"/>
      <c r="D653" s="4"/>
      <c r="E653" s="4"/>
      <c r="F653" s="4"/>
      <c r="G653" s="4"/>
      <c r="H653" s="4"/>
      <c r="I653" s="4"/>
    </row>
    <row r="654" spans="1:23" x14ac:dyDescent="0.5">
      <c r="A654" s="4"/>
      <c r="B654" s="4"/>
      <c r="C654" s="4"/>
      <c r="D654" s="4"/>
      <c r="E654" s="4"/>
      <c r="F654" s="4"/>
      <c r="G654" s="4"/>
      <c r="H654" s="4"/>
      <c r="I654" s="4"/>
    </row>
    <row r="655" spans="1:23" x14ac:dyDescent="0.5">
      <c r="A655" s="4"/>
      <c r="B655" s="4"/>
      <c r="C655" s="4"/>
      <c r="D655" s="4"/>
      <c r="E655" s="4"/>
      <c r="F655" s="4"/>
      <c r="G655" s="4"/>
      <c r="H655" s="4"/>
      <c r="I655" s="4"/>
    </row>
    <row r="656" spans="1:23" x14ac:dyDescent="0.5">
      <c r="A656" s="4"/>
      <c r="B656" s="4"/>
      <c r="C656" s="4"/>
      <c r="D656" s="4"/>
      <c r="E656" s="4"/>
      <c r="F656" s="4"/>
      <c r="G656" s="4"/>
      <c r="H656" s="4"/>
      <c r="I656" s="4"/>
    </row>
    <row r="657" spans="1:9" x14ac:dyDescent="0.5">
      <c r="A657" s="4"/>
      <c r="B657" s="4"/>
      <c r="C657" s="4"/>
      <c r="D657" s="4"/>
      <c r="E657" s="4"/>
      <c r="F657" s="4"/>
      <c r="G657" s="4"/>
      <c r="H657" s="4"/>
      <c r="I657" s="4"/>
    </row>
    <row r="658" spans="1:9" x14ac:dyDescent="0.5">
      <c r="A658" s="4"/>
      <c r="B658" s="4"/>
      <c r="C658" s="4"/>
      <c r="D658" s="4"/>
      <c r="E658" s="4"/>
      <c r="F658" s="4"/>
      <c r="G658" s="4"/>
      <c r="H658" s="4"/>
      <c r="I658" s="4"/>
    </row>
    <row r="659" spans="1:9" x14ac:dyDescent="0.5">
      <c r="A659" s="4"/>
      <c r="B659" s="4"/>
      <c r="C659" s="4"/>
      <c r="D659" s="4"/>
      <c r="E659" s="4"/>
      <c r="F659" s="4"/>
      <c r="G659" s="4"/>
      <c r="H659" s="4"/>
      <c r="I659" s="4"/>
    </row>
    <row r="660" spans="1:9" x14ac:dyDescent="0.5">
      <c r="A660" s="4"/>
      <c r="B660" s="4"/>
      <c r="C660" s="4"/>
      <c r="D660" s="4"/>
      <c r="E660" s="4"/>
      <c r="F660" s="4"/>
      <c r="G660" s="4"/>
      <c r="H660" s="4"/>
      <c r="I660" s="4"/>
    </row>
    <row r="661" spans="1:9" x14ac:dyDescent="0.5">
      <c r="A661" s="4"/>
      <c r="B661" s="4"/>
      <c r="C661" s="4"/>
      <c r="D661" s="4"/>
      <c r="E661" s="4"/>
      <c r="F661" s="4"/>
      <c r="G661" s="4"/>
      <c r="H661" s="4"/>
      <c r="I661" s="4"/>
    </row>
    <row r="662" spans="1:9" x14ac:dyDescent="0.5">
      <c r="A662" s="4"/>
      <c r="B662" s="4"/>
      <c r="C662" s="4"/>
      <c r="D662" s="4"/>
      <c r="E662" s="4"/>
      <c r="F662" s="4"/>
      <c r="G662" s="4"/>
      <c r="H662" s="4"/>
      <c r="I662" s="4"/>
    </row>
    <row r="663" spans="1:9" x14ac:dyDescent="0.5">
      <c r="A663" s="4"/>
      <c r="B663" s="4"/>
      <c r="C663" s="4"/>
      <c r="D663" s="4"/>
      <c r="E663" s="4"/>
      <c r="F663" s="4"/>
      <c r="G663" s="4"/>
      <c r="H663" s="4"/>
      <c r="I663" s="4"/>
    </row>
    <row r="664" spans="1:9" x14ac:dyDescent="0.5">
      <c r="A664" s="4"/>
      <c r="B664" s="4"/>
      <c r="C664" s="4"/>
      <c r="D664" s="4"/>
      <c r="E664" s="4"/>
      <c r="F664" s="4"/>
      <c r="G664" s="4"/>
      <c r="H664" s="4"/>
      <c r="I664" s="4"/>
    </row>
    <row r="665" spans="1:9" x14ac:dyDescent="0.5">
      <c r="A665" s="4"/>
      <c r="B665" s="4"/>
      <c r="C665" s="4"/>
      <c r="D665" s="4"/>
      <c r="E665" s="4"/>
      <c r="F665" s="4"/>
      <c r="G665" s="4"/>
      <c r="H665" s="4"/>
      <c r="I665" s="4"/>
    </row>
    <row r="666" spans="1:9" x14ac:dyDescent="0.5">
      <c r="A666" s="4"/>
      <c r="B666" s="4"/>
      <c r="C666" s="4"/>
      <c r="D666" s="4"/>
      <c r="E666" s="4"/>
      <c r="F666" s="4"/>
      <c r="G666" s="4"/>
      <c r="H666" s="4"/>
      <c r="I666" s="4"/>
    </row>
    <row r="667" spans="1:9" x14ac:dyDescent="0.5">
      <c r="A667" s="4"/>
      <c r="B667" s="4"/>
      <c r="C667" s="4"/>
      <c r="D667" s="4"/>
      <c r="E667" s="4"/>
      <c r="F667" s="4"/>
      <c r="G667" s="4"/>
      <c r="H667" s="4"/>
      <c r="I667" s="4"/>
    </row>
    <row r="668" spans="1:9" x14ac:dyDescent="0.5">
      <c r="A668" s="4"/>
      <c r="B668" s="4"/>
      <c r="C668" s="4"/>
      <c r="D668" s="4"/>
      <c r="E668" s="4"/>
      <c r="F668" s="4"/>
      <c r="G668" s="4"/>
      <c r="H668" s="4"/>
      <c r="I668" s="4"/>
    </row>
    <row r="669" spans="1:9" x14ac:dyDescent="0.5">
      <c r="A669" s="4"/>
      <c r="B669" s="4"/>
      <c r="C669" s="4"/>
      <c r="D669" s="4"/>
      <c r="E669" s="4"/>
      <c r="F669" s="4"/>
      <c r="G669" s="4"/>
      <c r="H669" s="4"/>
      <c r="I669" s="4"/>
    </row>
    <row r="670" spans="1:9" x14ac:dyDescent="0.5">
      <c r="A670" s="4"/>
      <c r="B670" s="4"/>
      <c r="C670" s="4"/>
      <c r="D670" s="4"/>
      <c r="E670" s="4"/>
      <c r="F670" s="4"/>
      <c r="G670" s="4"/>
      <c r="H670" s="4"/>
      <c r="I670" s="4"/>
    </row>
    <row r="671" spans="1:9" x14ac:dyDescent="0.5">
      <c r="A671" s="4"/>
      <c r="B671" s="4"/>
      <c r="C671" s="4"/>
      <c r="D671" s="4"/>
      <c r="E671" s="4"/>
      <c r="F671" s="4"/>
      <c r="G671" s="4"/>
      <c r="H671" s="4"/>
      <c r="I671" s="4"/>
    </row>
    <row r="672" spans="1:9" x14ac:dyDescent="0.5">
      <c r="A672" s="4"/>
      <c r="B672" s="4"/>
      <c r="C672" s="4"/>
      <c r="D672" s="4"/>
      <c r="E672" s="4"/>
      <c r="F672" s="4"/>
      <c r="G672" s="4"/>
      <c r="H672" s="4"/>
      <c r="I672" s="4"/>
    </row>
    <row r="673" spans="1:9" x14ac:dyDescent="0.5">
      <c r="A673" s="4"/>
      <c r="B673" s="4"/>
      <c r="C673" s="4"/>
      <c r="D673" s="4"/>
      <c r="E673" s="4"/>
      <c r="F673" s="4"/>
      <c r="G673" s="4"/>
      <c r="H673" s="4"/>
      <c r="I673" s="4"/>
    </row>
    <row r="674" spans="1:9" x14ac:dyDescent="0.5">
      <c r="A674" s="4"/>
      <c r="B674" s="4"/>
      <c r="C674" s="4"/>
      <c r="D674" s="4"/>
      <c r="E674" s="4"/>
      <c r="F674" s="4"/>
      <c r="G674" s="4"/>
      <c r="H674" s="4"/>
      <c r="I674" s="4"/>
    </row>
    <row r="675" spans="1:9" x14ac:dyDescent="0.5">
      <c r="A675" s="4"/>
      <c r="B675" s="4"/>
      <c r="C675" s="4"/>
      <c r="D675" s="4"/>
      <c r="E675" s="4"/>
      <c r="F675" s="4"/>
      <c r="G675" s="4"/>
      <c r="H675" s="4"/>
      <c r="I675" s="4"/>
    </row>
    <row r="676" spans="1:9" x14ac:dyDescent="0.5">
      <c r="A676" s="4"/>
      <c r="B676" s="4"/>
      <c r="C676" s="4"/>
      <c r="D676" s="4"/>
      <c r="E676" s="4"/>
      <c r="F676" s="4"/>
      <c r="G676" s="4"/>
      <c r="H676" s="4"/>
      <c r="I676" s="4"/>
    </row>
    <row r="677" spans="1:9" x14ac:dyDescent="0.5">
      <c r="A677" s="4"/>
      <c r="B677" s="4"/>
      <c r="C677" s="4"/>
      <c r="D677" s="4"/>
      <c r="E677" s="4"/>
      <c r="F677" s="4"/>
      <c r="G677" s="4"/>
      <c r="H677" s="4"/>
      <c r="I677" s="4"/>
    </row>
    <row r="678" spans="1:9" x14ac:dyDescent="0.5">
      <c r="A678" s="4"/>
      <c r="B678" s="4"/>
      <c r="C678" s="4"/>
      <c r="D678" s="4"/>
      <c r="E678" s="4"/>
      <c r="F678" s="4"/>
      <c r="G678" s="4"/>
      <c r="H678" s="4"/>
      <c r="I678" s="4"/>
    </row>
    <row r="679" spans="1:9" x14ac:dyDescent="0.5">
      <c r="A679" s="4"/>
      <c r="B679" s="4"/>
      <c r="C679" s="4"/>
      <c r="D679" s="4"/>
      <c r="E679" s="4"/>
      <c r="F679" s="4"/>
      <c r="G679" s="4"/>
      <c r="H679" s="4"/>
      <c r="I679" s="4"/>
    </row>
    <row r="680" spans="1:9" x14ac:dyDescent="0.5">
      <c r="A680" s="4"/>
      <c r="B680" s="4"/>
      <c r="C680" s="4"/>
      <c r="D680" s="4"/>
      <c r="E680" s="4"/>
      <c r="F680" s="4"/>
      <c r="G680" s="4"/>
      <c r="H680" s="4"/>
      <c r="I680" s="4"/>
    </row>
    <row r="681" spans="1:9" x14ac:dyDescent="0.5">
      <c r="A681" s="4"/>
      <c r="B681" s="4"/>
      <c r="C681" s="4"/>
      <c r="D681" s="4"/>
      <c r="E681" s="4"/>
      <c r="F681" s="4"/>
      <c r="G681" s="4"/>
      <c r="H681" s="4"/>
      <c r="I681" s="4"/>
    </row>
    <row r="682" spans="1:9" x14ac:dyDescent="0.5">
      <c r="A682" s="4"/>
      <c r="B682" s="4"/>
      <c r="C682" s="4"/>
      <c r="D682" s="4"/>
      <c r="E682" s="4"/>
      <c r="F682" s="4"/>
      <c r="G682" s="4"/>
      <c r="H682" s="4"/>
      <c r="I682" s="4"/>
    </row>
    <row r="683" spans="1:9" x14ac:dyDescent="0.5">
      <c r="A683" s="4"/>
      <c r="B683" s="4"/>
      <c r="C683" s="4"/>
      <c r="D683" s="4"/>
      <c r="E683" s="4"/>
      <c r="F683" s="4"/>
      <c r="G683" s="4"/>
      <c r="H683" s="4"/>
      <c r="I683" s="4"/>
    </row>
    <row r="684" spans="1:9" x14ac:dyDescent="0.5">
      <c r="A684" s="4"/>
      <c r="B684" s="4"/>
      <c r="C684" s="4"/>
      <c r="D684" s="4"/>
      <c r="E684" s="4"/>
      <c r="F684" s="4"/>
      <c r="G684" s="4"/>
      <c r="H684" s="4"/>
      <c r="I684" s="4"/>
    </row>
    <row r="685" spans="1:9" x14ac:dyDescent="0.5">
      <c r="A685" s="4"/>
      <c r="B685" s="4"/>
      <c r="C685" s="4"/>
      <c r="D685" s="4"/>
      <c r="E685" s="4"/>
      <c r="F685" s="4"/>
      <c r="G685" s="4"/>
      <c r="H685" s="4"/>
      <c r="I685" s="4"/>
    </row>
    <row r="686" spans="1:9" x14ac:dyDescent="0.5">
      <c r="A686" s="4"/>
      <c r="B686" s="4"/>
      <c r="C686" s="4"/>
      <c r="D686" s="4"/>
      <c r="E686" s="4"/>
      <c r="F686" s="4"/>
      <c r="G686" s="4"/>
      <c r="H686" s="4"/>
      <c r="I686" s="4"/>
    </row>
    <row r="687" spans="1:9" x14ac:dyDescent="0.5">
      <c r="A687" s="4"/>
      <c r="B687" s="4"/>
      <c r="C687" s="4"/>
      <c r="D687" s="4"/>
      <c r="E687" s="4"/>
      <c r="F687" s="4"/>
      <c r="G687" s="4"/>
      <c r="H687" s="4"/>
      <c r="I687" s="4"/>
    </row>
    <row r="688" spans="1:9" x14ac:dyDescent="0.5">
      <c r="A688" s="4"/>
      <c r="B688" s="4"/>
      <c r="C688" s="4"/>
      <c r="D688" s="4"/>
      <c r="E688" s="4"/>
      <c r="F688" s="4"/>
      <c r="G688" s="4"/>
      <c r="H688" s="4"/>
      <c r="I688" s="4"/>
    </row>
    <row r="689" spans="1:9" x14ac:dyDescent="0.5">
      <c r="A689" s="4"/>
      <c r="B689" s="4"/>
      <c r="C689" s="4"/>
      <c r="D689" s="4"/>
      <c r="E689" s="4"/>
      <c r="F689" s="4"/>
      <c r="G689" s="4"/>
      <c r="H689" s="4"/>
      <c r="I689" s="4"/>
    </row>
    <row r="690" spans="1:9" x14ac:dyDescent="0.5">
      <c r="A690" s="4"/>
      <c r="B690" s="4"/>
      <c r="C690" s="4"/>
      <c r="D690" s="4"/>
      <c r="E690" s="4"/>
      <c r="F690" s="4"/>
      <c r="G690" s="4"/>
      <c r="H690" s="4"/>
      <c r="I690" s="4"/>
    </row>
    <row r="691" spans="1:9" x14ac:dyDescent="0.5">
      <c r="A691" s="4"/>
      <c r="B691" s="4"/>
      <c r="C691" s="4"/>
      <c r="D691" s="4"/>
      <c r="E691" s="4"/>
      <c r="F691" s="4"/>
      <c r="G691" s="4"/>
      <c r="H691" s="4"/>
      <c r="I691" s="4"/>
    </row>
    <row r="692" spans="1:9" x14ac:dyDescent="0.5">
      <c r="A692" s="4"/>
      <c r="B692" s="4"/>
      <c r="C692" s="4"/>
      <c r="D692" s="4"/>
      <c r="E692" s="4"/>
      <c r="F692" s="4"/>
      <c r="G692" s="4"/>
      <c r="H692" s="4"/>
      <c r="I692" s="4"/>
    </row>
    <row r="693" spans="1:9" x14ac:dyDescent="0.5">
      <c r="A693" s="4"/>
      <c r="B693" s="4"/>
      <c r="C693" s="4"/>
      <c r="D693" s="4"/>
      <c r="E693" s="4"/>
      <c r="F693" s="4"/>
      <c r="G693" s="4"/>
      <c r="H693" s="4"/>
      <c r="I693" s="4"/>
    </row>
    <row r="694" spans="1:9" x14ac:dyDescent="0.5">
      <c r="A694" s="4"/>
      <c r="B694" s="4"/>
      <c r="C694" s="4"/>
      <c r="D694" s="4"/>
      <c r="E694" s="4"/>
      <c r="F694" s="4"/>
      <c r="G694" s="4"/>
      <c r="H694" s="4"/>
      <c r="I694" s="4"/>
    </row>
    <row r="695" spans="1:9" x14ac:dyDescent="0.5">
      <c r="A695" s="4"/>
      <c r="B695" s="4"/>
      <c r="C695" s="4"/>
      <c r="D695" s="4"/>
      <c r="E695" s="4"/>
      <c r="F695" s="4"/>
      <c r="G695" s="4"/>
      <c r="H695" s="4"/>
      <c r="I695" s="4"/>
    </row>
    <row r="696" spans="1:9" x14ac:dyDescent="0.5">
      <c r="A696" s="4"/>
      <c r="B696" s="4"/>
      <c r="C696" s="4"/>
      <c r="D696" s="4"/>
      <c r="E696" s="4"/>
      <c r="F696" s="4"/>
      <c r="G696" s="4"/>
      <c r="H696" s="4"/>
      <c r="I696" s="4"/>
    </row>
    <row r="697" spans="1:9" x14ac:dyDescent="0.5">
      <c r="A697" s="4"/>
      <c r="B697" s="4"/>
      <c r="C697" s="4"/>
      <c r="D697" s="4"/>
      <c r="E697" s="4"/>
      <c r="F697" s="4"/>
      <c r="G697" s="4"/>
      <c r="H697" s="4"/>
      <c r="I697" s="4"/>
    </row>
    <row r="698" spans="1:9" x14ac:dyDescent="0.5">
      <c r="A698" s="4"/>
      <c r="B698" s="4"/>
      <c r="C698" s="4"/>
      <c r="D698" s="4"/>
      <c r="E698" s="4"/>
      <c r="F698" s="4"/>
      <c r="G698" s="4"/>
      <c r="H698" s="4"/>
      <c r="I698" s="4"/>
    </row>
    <row r="699" spans="1:9" x14ac:dyDescent="0.5">
      <c r="A699" s="4"/>
      <c r="B699" s="4"/>
      <c r="C699" s="4"/>
      <c r="D699" s="4"/>
      <c r="E699" s="4"/>
      <c r="F699" s="4"/>
      <c r="G699" s="4"/>
      <c r="H699" s="4"/>
      <c r="I699" s="4"/>
    </row>
    <row r="700" spans="1:9" x14ac:dyDescent="0.5">
      <c r="A700" s="4"/>
      <c r="B700" s="4"/>
      <c r="C700" s="4"/>
      <c r="D700" s="4"/>
      <c r="E700" s="4"/>
      <c r="F700" s="4"/>
      <c r="G700" s="4"/>
      <c r="H700" s="4"/>
      <c r="I700" s="4"/>
    </row>
    <row r="701" spans="1:9" x14ac:dyDescent="0.5">
      <c r="A701" s="4"/>
      <c r="B701" s="4"/>
      <c r="C701" s="4"/>
      <c r="D701" s="4"/>
      <c r="E701" s="4"/>
      <c r="F701" s="4"/>
      <c r="G701" s="4"/>
      <c r="H701" s="4"/>
      <c r="I701" s="4"/>
    </row>
    <row r="702" spans="1:9" x14ac:dyDescent="0.5">
      <c r="A702" s="4"/>
      <c r="B702" s="4"/>
      <c r="C702" s="4"/>
      <c r="D702" s="4"/>
      <c r="E702" s="4"/>
      <c r="F702" s="4"/>
      <c r="G702" s="4"/>
      <c r="H702" s="4"/>
      <c r="I702" s="4"/>
    </row>
    <row r="703" spans="1:9" x14ac:dyDescent="0.5">
      <c r="A703" s="4"/>
      <c r="B703" s="4"/>
      <c r="C703" s="4"/>
      <c r="D703" s="4"/>
      <c r="E703" s="4"/>
      <c r="F703" s="4"/>
      <c r="G703" s="4"/>
      <c r="H703" s="4"/>
      <c r="I703" s="4"/>
    </row>
    <row r="704" spans="1:9" x14ac:dyDescent="0.5">
      <c r="A704" s="4"/>
      <c r="B704" s="4"/>
      <c r="C704" s="4"/>
      <c r="D704" s="4"/>
      <c r="E704" s="4"/>
      <c r="F704" s="4"/>
      <c r="G704" s="4"/>
      <c r="H704" s="4"/>
      <c r="I704" s="4"/>
    </row>
    <row r="705" spans="1:19" x14ac:dyDescent="0.5">
      <c r="A705" s="4"/>
      <c r="B705" s="4"/>
      <c r="C705" s="4"/>
      <c r="D705" s="4"/>
      <c r="E705" s="4"/>
      <c r="F705" s="4"/>
      <c r="G705" s="4"/>
      <c r="H705" s="4"/>
      <c r="I705" s="4"/>
    </row>
    <row r="706" spans="1:19" x14ac:dyDescent="0.5">
      <c r="A706" s="4"/>
      <c r="B706" s="4"/>
      <c r="C706" s="4"/>
      <c r="D706" s="4"/>
      <c r="E706" s="4"/>
      <c r="F706" s="4"/>
      <c r="G706" s="4"/>
      <c r="H706" s="4"/>
      <c r="I706" s="4"/>
    </row>
    <row r="707" spans="1:19" x14ac:dyDescent="0.5">
      <c r="A707" s="4"/>
      <c r="B707" s="4"/>
      <c r="C707" s="4"/>
      <c r="D707" s="4"/>
      <c r="E707" s="4"/>
      <c r="F707" s="4"/>
      <c r="G707" s="4"/>
      <c r="H707" s="4"/>
      <c r="I707" s="4"/>
    </row>
    <row r="708" spans="1:19" x14ac:dyDescent="0.5">
      <c r="A708" s="4"/>
      <c r="B708" s="4"/>
      <c r="C708" s="4"/>
      <c r="D708" s="4"/>
      <c r="E708" s="4"/>
      <c r="F708" s="4"/>
      <c r="G708" s="4"/>
      <c r="H708" s="4"/>
      <c r="I708" s="4"/>
    </row>
    <row r="709" spans="1:19" x14ac:dyDescent="0.5">
      <c r="A709" s="4"/>
      <c r="B709" s="4"/>
      <c r="C709" s="4"/>
      <c r="D709" s="4"/>
      <c r="E709" s="4"/>
      <c r="F709" s="4"/>
      <c r="G709" s="4"/>
      <c r="H709" s="4"/>
      <c r="I709" s="4"/>
    </row>
    <row r="710" spans="1:19" x14ac:dyDescent="0.5">
      <c r="A710" s="4"/>
      <c r="B710" s="4"/>
      <c r="C710" s="4"/>
      <c r="D710" s="4"/>
      <c r="E710" s="4"/>
      <c r="F710" s="4"/>
      <c r="G710" s="4"/>
      <c r="H710" s="4"/>
      <c r="I710" s="4"/>
    </row>
    <row r="711" spans="1:19" x14ac:dyDescent="0.5">
      <c r="A711" s="4"/>
      <c r="B711" s="4"/>
      <c r="C711" s="4"/>
      <c r="D711" s="4"/>
      <c r="E711" s="4"/>
      <c r="F711" s="4"/>
      <c r="G711" s="4"/>
      <c r="H711" s="4"/>
      <c r="I711" s="4"/>
    </row>
    <row r="712" spans="1:19" x14ac:dyDescent="0.5">
      <c r="A712" s="4"/>
      <c r="B712" s="4"/>
      <c r="C712" s="4"/>
      <c r="D712" s="4"/>
      <c r="E712" s="4"/>
      <c r="F712" s="4"/>
      <c r="G712" s="4"/>
      <c r="H712" s="4"/>
      <c r="I712" s="4"/>
    </row>
    <row r="713" spans="1:19" x14ac:dyDescent="0.5">
      <c r="A713" s="4"/>
      <c r="B713" s="4"/>
      <c r="C713" s="4"/>
      <c r="D713" s="4"/>
      <c r="E713" s="4"/>
      <c r="F713" s="4"/>
      <c r="G713" s="4"/>
      <c r="H713" s="4"/>
      <c r="I713" s="4"/>
    </row>
    <row r="714" spans="1:19" x14ac:dyDescent="0.5">
      <c r="A714" s="4"/>
      <c r="B714" s="4"/>
      <c r="C714" s="4"/>
      <c r="D714" s="4"/>
      <c r="E714" s="4"/>
      <c r="F714" s="4"/>
      <c r="G714" s="4"/>
      <c r="H714" s="4"/>
      <c r="I714" s="4"/>
    </row>
    <row r="715" spans="1:19" x14ac:dyDescent="0.5">
      <c r="A715" s="4"/>
      <c r="B715" s="4"/>
      <c r="C715" s="4"/>
      <c r="D715" s="4"/>
      <c r="E715" s="4"/>
      <c r="F715" s="4"/>
      <c r="G715" s="4"/>
      <c r="H715" s="4"/>
      <c r="I715" s="4"/>
    </row>
    <row r="716" spans="1:19" x14ac:dyDescent="0.5">
      <c r="A716" s="4"/>
      <c r="B716" s="4"/>
      <c r="C716" s="4"/>
      <c r="D716" s="4"/>
      <c r="E716" s="4"/>
      <c r="F716" s="4"/>
      <c r="G716" s="4"/>
      <c r="H716" s="4"/>
      <c r="I716" s="4"/>
    </row>
    <row r="717" spans="1:19" x14ac:dyDescent="0.5">
      <c r="A717" s="4"/>
      <c r="B717" s="4"/>
      <c r="C717" s="4"/>
      <c r="D717" s="4"/>
      <c r="E717" s="4"/>
      <c r="F717" s="4"/>
      <c r="G717" s="4"/>
      <c r="H717" s="4"/>
      <c r="I717" s="4"/>
      <c r="S717" s="4"/>
    </row>
    <row r="718" spans="1:19" x14ac:dyDescent="0.5">
      <c r="A718" s="4"/>
      <c r="B718" s="4"/>
      <c r="C718" s="4"/>
      <c r="D718" s="4"/>
      <c r="E718" s="4"/>
      <c r="F718" s="4"/>
      <c r="G718" s="4"/>
      <c r="H718" s="4"/>
      <c r="I718" s="4"/>
      <c r="S718" s="4"/>
    </row>
    <row r="719" spans="1:19" x14ac:dyDescent="0.5">
      <c r="A719" s="4"/>
      <c r="B719" s="4"/>
      <c r="C719" s="4"/>
      <c r="D719" s="4"/>
      <c r="E719" s="4"/>
      <c r="F719" s="4"/>
      <c r="G719" s="4"/>
      <c r="H719" s="4"/>
      <c r="I719" s="4"/>
      <c r="S719" s="4"/>
    </row>
    <row r="720" spans="1:19" x14ac:dyDescent="0.5">
      <c r="A720" s="4"/>
      <c r="B720" s="4"/>
      <c r="C720" s="4"/>
      <c r="D720" s="4"/>
      <c r="E720" s="4"/>
      <c r="F720" s="4"/>
      <c r="G720" s="4"/>
      <c r="H720" s="4"/>
      <c r="I720" s="4"/>
      <c r="S720" s="4"/>
    </row>
    <row r="721" s="4" customFormat="1" x14ac:dyDescent="0.5"/>
    <row r="722" s="4" customFormat="1" x14ac:dyDescent="0.5"/>
    <row r="723" s="4" customFormat="1" x14ac:dyDescent="0.5"/>
    <row r="724" s="4" customFormat="1" x14ac:dyDescent="0.5"/>
    <row r="725" s="4" customFormat="1" x14ac:dyDescent="0.5"/>
    <row r="726" s="4" customFormat="1" x14ac:dyDescent="0.5"/>
    <row r="727" s="4" customFormat="1" x14ac:dyDescent="0.5"/>
    <row r="728" s="4" customFormat="1" x14ac:dyDescent="0.5"/>
    <row r="729" s="4" customFormat="1" x14ac:dyDescent="0.5"/>
    <row r="730" s="4" customFormat="1" x14ac:dyDescent="0.5"/>
    <row r="731" s="4" customFormat="1" x14ac:dyDescent="0.5"/>
    <row r="732" s="4" customFormat="1" x14ac:dyDescent="0.5"/>
    <row r="733" s="4" customFormat="1" x14ac:dyDescent="0.5"/>
    <row r="734" s="4" customFormat="1" x14ac:dyDescent="0.5"/>
    <row r="735" s="4" customFormat="1" x14ac:dyDescent="0.5"/>
    <row r="736" s="4" customFormat="1" x14ac:dyDescent="0.5"/>
    <row r="737" s="4" customFormat="1" x14ac:dyDescent="0.5"/>
    <row r="738" s="4" customFormat="1" x14ac:dyDescent="0.5"/>
    <row r="739" s="4" customFormat="1" x14ac:dyDescent="0.5"/>
    <row r="740" s="4" customFormat="1" x14ac:dyDescent="0.5"/>
    <row r="741" s="4" customFormat="1" x14ac:dyDescent="0.5"/>
    <row r="742" s="4" customFormat="1" x14ac:dyDescent="0.5"/>
    <row r="743" s="4" customFormat="1" x14ac:dyDescent="0.5"/>
    <row r="744" s="4" customFormat="1" x14ac:dyDescent="0.5"/>
    <row r="745" s="4" customFormat="1" x14ac:dyDescent="0.5"/>
    <row r="746" s="4" customFormat="1" x14ac:dyDescent="0.5"/>
    <row r="747" s="4" customFormat="1" x14ac:dyDescent="0.5"/>
    <row r="748" s="4" customFormat="1" x14ac:dyDescent="0.5"/>
    <row r="749" s="4" customFormat="1" x14ac:dyDescent="0.5"/>
    <row r="750" s="4" customFormat="1" x14ac:dyDescent="0.5"/>
    <row r="751" s="4" customFormat="1" x14ac:dyDescent="0.5"/>
    <row r="752" s="4" customFormat="1" x14ac:dyDescent="0.5"/>
    <row r="753" s="4" customFormat="1" x14ac:dyDescent="0.5"/>
    <row r="754" s="4" customFormat="1" x14ac:dyDescent="0.5"/>
    <row r="755" s="4" customFormat="1" x14ac:dyDescent="0.5"/>
    <row r="756" s="4" customFormat="1" x14ac:dyDescent="0.5"/>
    <row r="757" s="4" customFormat="1" x14ac:dyDescent="0.5"/>
    <row r="758" s="4" customFormat="1" x14ac:dyDescent="0.5"/>
    <row r="759" s="4" customFormat="1" x14ac:dyDescent="0.5"/>
    <row r="760" s="4" customFormat="1" x14ac:dyDescent="0.5"/>
    <row r="761" s="4" customFormat="1" x14ac:dyDescent="0.5"/>
    <row r="762" s="4" customFormat="1" x14ac:dyDescent="0.5"/>
    <row r="763" s="4" customFormat="1" x14ac:dyDescent="0.5"/>
    <row r="764" s="4" customFormat="1" x14ac:dyDescent="0.5"/>
    <row r="765" s="4" customFormat="1" x14ac:dyDescent="0.5"/>
    <row r="766" s="4" customFormat="1" x14ac:dyDescent="0.5"/>
    <row r="767" s="4" customFormat="1" x14ac:dyDescent="0.5"/>
    <row r="768" s="4" customFormat="1" x14ac:dyDescent="0.5"/>
    <row r="769" s="4" customFormat="1" x14ac:dyDescent="0.5"/>
    <row r="770" s="4" customFormat="1" x14ac:dyDescent="0.5"/>
    <row r="771" s="4" customFormat="1" x14ac:dyDescent="0.5"/>
    <row r="772" s="4" customFormat="1" x14ac:dyDescent="0.5"/>
    <row r="773" s="4" customFormat="1" x14ac:dyDescent="0.5"/>
    <row r="774" s="4" customFormat="1" x14ac:dyDescent="0.5"/>
    <row r="775" s="4" customFormat="1" x14ac:dyDescent="0.5"/>
    <row r="776" s="4" customFormat="1" x14ac:dyDescent="0.5"/>
    <row r="777" s="4" customFormat="1" x14ac:dyDescent="0.5"/>
    <row r="778" s="4" customFormat="1" x14ac:dyDescent="0.5"/>
    <row r="779" s="4" customFormat="1" x14ac:dyDescent="0.5"/>
    <row r="780" s="4" customFormat="1" x14ac:dyDescent="0.5"/>
    <row r="781" s="4" customFormat="1" x14ac:dyDescent="0.5"/>
    <row r="782" s="4" customFormat="1" x14ac:dyDescent="0.5"/>
    <row r="783" s="4" customFormat="1" x14ac:dyDescent="0.5"/>
    <row r="784" s="4" customFormat="1" x14ac:dyDescent="0.5"/>
    <row r="785" s="4" customFormat="1" x14ac:dyDescent="0.5"/>
    <row r="786" s="4" customFormat="1" x14ac:dyDescent="0.5"/>
    <row r="787" s="4" customFormat="1" x14ac:dyDescent="0.5"/>
    <row r="788" s="4" customFormat="1" x14ac:dyDescent="0.5"/>
    <row r="789" s="4" customFormat="1" x14ac:dyDescent="0.5"/>
    <row r="790" s="4" customFormat="1" x14ac:dyDescent="0.5"/>
    <row r="791" s="4" customFormat="1" x14ac:dyDescent="0.5"/>
    <row r="792" s="4" customFormat="1" x14ac:dyDescent="0.5"/>
    <row r="793" s="4" customFormat="1" x14ac:dyDescent="0.5"/>
    <row r="794" s="4" customFormat="1" x14ac:dyDescent="0.5"/>
    <row r="795" s="4" customFormat="1" x14ac:dyDescent="0.5"/>
    <row r="796" s="4" customFormat="1" x14ac:dyDescent="0.5"/>
    <row r="797" s="4" customFormat="1" x14ac:dyDescent="0.5"/>
    <row r="798" s="4" customFormat="1" x14ac:dyDescent="0.5"/>
    <row r="799" s="4" customFormat="1" x14ac:dyDescent="0.5"/>
    <row r="800" s="4" customFormat="1" x14ac:dyDescent="0.5"/>
    <row r="801" s="4" customFormat="1" x14ac:dyDescent="0.5"/>
    <row r="802" s="4" customFormat="1" x14ac:dyDescent="0.5"/>
    <row r="803" s="4" customFormat="1" x14ac:dyDescent="0.5"/>
    <row r="804" s="4" customFormat="1" x14ac:dyDescent="0.5"/>
    <row r="805" s="4" customFormat="1" x14ac:dyDescent="0.5"/>
    <row r="806" s="4" customFormat="1" x14ac:dyDescent="0.5"/>
    <row r="807" s="4" customFormat="1" x14ac:dyDescent="0.5"/>
    <row r="808" s="4" customFormat="1" x14ac:dyDescent="0.5"/>
    <row r="809" s="4" customFormat="1" x14ac:dyDescent="0.5"/>
    <row r="810" s="4" customFormat="1" x14ac:dyDescent="0.5"/>
    <row r="811" s="4" customFormat="1" x14ac:dyDescent="0.5"/>
    <row r="812" s="4" customFormat="1" x14ac:dyDescent="0.5"/>
    <row r="813" s="4" customFormat="1" x14ac:dyDescent="0.5"/>
    <row r="814" s="4" customFormat="1" x14ac:dyDescent="0.5"/>
    <row r="815" s="4" customFormat="1" x14ac:dyDescent="0.5"/>
    <row r="816" s="4" customFormat="1" x14ac:dyDescent="0.5"/>
    <row r="817" s="4" customFormat="1" x14ac:dyDescent="0.5"/>
    <row r="818" s="4" customFormat="1" x14ac:dyDescent="0.5"/>
    <row r="819" s="4" customFormat="1" x14ac:dyDescent="0.5"/>
    <row r="820" s="4" customFormat="1" x14ac:dyDescent="0.5"/>
    <row r="821" s="4" customFormat="1" x14ac:dyDescent="0.5"/>
    <row r="822" s="4" customFormat="1" x14ac:dyDescent="0.5"/>
    <row r="823" s="4" customFormat="1" x14ac:dyDescent="0.5"/>
    <row r="824" s="4" customFormat="1" x14ac:dyDescent="0.5"/>
    <row r="825" s="4" customFormat="1" x14ac:dyDescent="0.5"/>
    <row r="826" s="4" customFormat="1" x14ac:dyDescent="0.5"/>
    <row r="827" s="4" customFormat="1" x14ac:dyDescent="0.5"/>
    <row r="828" s="4" customFormat="1" x14ac:dyDescent="0.5"/>
    <row r="829" s="4" customFormat="1" x14ac:dyDescent="0.5"/>
    <row r="830" s="4" customFormat="1" x14ac:dyDescent="0.5"/>
    <row r="831" s="4" customFormat="1" x14ac:dyDescent="0.5"/>
    <row r="832" s="4" customFormat="1" x14ac:dyDescent="0.5"/>
    <row r="833" s="4" customFormat="1" x14ac:dyDescent="0.5"/>
    <row r="834" s="4" customFormat="1" x14ac:dyDescent="0.5"/>
    <row r="835" s="4" customFormat="1" x14ac:dyDescent="0.5"/>
    <row r="836" s="4" customFormat="1" x14ac:dyDescent="0.5"/>
    <row r="837" s="4" customFormat="1" x14ac:dyDescent="0.5"/>
    <row r="838" s="4" customFormat="1" x14ac:dyDescent="0.5"/>
    <row r="839" s="4" customFormat="1" x14ac:dyDescent="0.5"/>
    <row r="840" s="4" customFormat="1" x14ac:dyDescent="0.5"/>
    <row r="841" s="4" customFormat="1" x14ac:dyDescent="0.5"/>
    <row r="842" s="4" customFormat="1" x14ac:dyDescent="0.5"/>
    <row r="843" s="4" customFormat="1" x14ac:dyDescent="0.5"/>
    <row r="844" s="4" customFormat="1" x14ac:dyDescent="0.5"/>
    <row r="845" s="4" customFormat="1" x14ac:dyDescent="0.5"/>
    <row r="846" s="4" customFormat="1" x14ac:dyDescent="0.5"/>
    <row r="847" s="4" customFormat="1" x14ac:dyDescent="0.5"/>
    <row r="848" s="4" customFormat="1" x14ac:dyDescent="0.5"/>
    <row r="849" s="4" customFormat="1" x14ac:dyDescent="0.5"/>
    <row r="850" s="4" customFormat="1" x14ac:dyDescent="0.5"/>
    <row r="851" s="4" customFormat="1" x14ac:dyDescent="0.5"/>
    <row r="852" s="4" customFormat="1" x14ac:dyDescent="0.5"/>
    <row r="853" s="4" customFormat="1" x14ac:dyDescent="0.5"/>
    <row r="854" s="4" customFormat="1" x14ac:dyDescent="0.5"/>
    <row r="855" s="4" customFormat="1" x14ac:dyDescent="0.5"/>
    <row r="856" s="4" customFormat="1" x14ac:dyDescent="0.5"/>
    <row r="857" s="4" customFormat="1" x14ac:dyDescent="0.5"/>
    <row r="858" s="4" customFormat="1" x14ac:dyDescent="0.5"/>
    <row r="859" s="4" customFormat="1" x14ac:dyDescent="0.5"/>
    <row r="860" s="4" customFormat="1" x14ac:dyDescent="0.5"/>
    <row r="861" s="4" customFormat="1" x14ac:dyDescent="0.5"/>
    <row r="862" s="4" customFormat="1" x14ac:dyDescent="0.5"/>
    <row r="863" s="4" customFormat="1" x14ac:dyDescent="0.5"/>
    <row r="864" s="4" customFormat="1" x14ac:dyDescent="0.5"/>
    <row r="865" s="4" customFormat="1" x14ac:dyDescent="0.5"/>
    <row r="866" s="4" customFormat="1" x14ac:dyDescent="0.5"/>
    <row r="867" s="4" customFormat="1" x14ac:dyDescent="0.5"/>
    <row r="868" s="4" customFormat="1" x14ac:dyDescent="0.5"/>
    <row r="869" s="4" customFormat="1" x14ac:dyDescent="0.5"/>
    <row r="870" s="4" customFormat="1" x14ac:dyDescent="0.5"/>
    <row r="871" s="4" customFormat="1" x14ac:dyDescent="0.5"/>
    <row r="872" s="4" customFormat="1" x14ac:dyDescent="0.5"/>
    <row r="873" s="4" customFormat="1" x14ac:dyDescent="0.5"/>
    <row r="874" s="4" customFormat="1" x14ac:dyDescent="0.5"/>
    <row r="875" s="4" customFormat="1" x14ac:dyDescent="0.5"/>
    <row r="876" s="4" customFormat="1" x14ac:dyDescent="0.5"/>
    <row r="877" s="4" customFormat="1" x14ac:dyDescent="0.5"/>
    <row r="878" s="4" customFormat="1" x14ac:dyDescent="0.5"/>
    <row r="879" s="4" customFormat="1" x14ac:dyDescent="0.5"/>
    <row r="880" s="4" customFormat="1" x14ac:dyDescent="0.5"/>
    <row r="881" s="4" customFormat="1" x14ac:dyDescent="0.5"/>
    <row r="882" s="4" customFormat="1" x14ac:dyDescent="0.5"/>
    <row r="883" s="4" customFormat="1" x14ac:dyDescent="0.5"/>
    <row r="884" s="4" customFormat="1" x14ac:dyDescent="0.5"/>
    <row r="885" s="4" customFormat="1" x14ac:dyDescent="0.5"/>
    <row r="886" s="4" customFormat="1" x14ac:dyDescent="0.5"/>
    <row r="887" s="4" customFormat="1" x14ac:dyDescent="0.5"/>
    <row r="888" s="4" customFormat="1" x14ac:dyDescent="0.5"/>
    <row r="889" s="4" customFormat="1" x14ac:dyDescent="0.5"/>
    <row r="890" s="4" customFormat="1" x14ac:dyDescent="0.5"/>
    <row r="891" s="4" customFormat="1" x14ac:dyDescent="0.5"/>
    <row r="892" s="4" customFormat="1" x14ac:dyDescent="0.5"/>
    <row r="893" s="4" customFormat="1" x14ac:dyDescent="0.5"/>
    <row r="894" s="4" customFormat="1" x14ac:dyDescent="0.5"/>
    <row r="895" s="4" customFormat="1" x14ac:dyDescent="0.5"/>
    <row r="896" s="4" customFormat="1" x14ac:dyDescent="0.5"/>
    <row r="897" s="4" customFormat="1" x14ac:dyDescent="0.5"/>
    <row r="898" s="4" customFormat="1" x14ac:dyDescent="0.5"/>
    <row r="899" s="4" customFormat="1" x14ac:dyDescent="0.5"/>
    <row r="900" s="4" customFormat="1" x14ac:dyDescent="0.5"/>
    <row r="901" s="4" customFormat="1" x14ac:dyDescent="0.5"/>
    <row r="902" s="4" customFormat="1" x14ac:dyDescent="0.5"/>
    <row r="903" s="4" customFormat="1" x14ac:dyDescent="0.5"/>
    <row r="904" s="4" customFormat="1" x14ac:dyDescent="0.5"/>
    <row r="905" s="4" customFormat="1" x14ac:dyDescent="0.5"/>
    <row r="906" s="4" customFormat="1" x14ac:dyDescent="0.5"/>
    <row r="907" s="4" customFormat="1" x14ac:dyDescent="0.5"/>
    <row r="908" s="4" customFormat="1" x14ac:dyDescent="0.5"/>
    <row r="909" s="4" customFormat="1" x14ac:dyDescent="0.5"/>
    <row r="910" s="4" customFormat="1" x14ac:dyDescent="0.5"/>
    <row r="911" s="4" customFormat="1" x14ac:dyDescent="0.5"/>
    <row r="912" s="4" customFormat="1" x14ac:dyDescent="0.5"/>
    <row r="913" s="4" customFormat="1" x14ac:dyDescent="0.5"/>
    <row r="914" s="4" customFormat="1" x14ac:dyDescent="0.5"/>
    <row r="915" s="4" customFormat="1" x14ac:dyDescent="0.5"/>
    <row r="916" s="4" customFormat="1" x14ac:dyDescent="0.5"/>
    <row r="917" s="4" customFormat="1" x14ac:dyDescent="0.5"/>
    <row r="918" s="4" customFormat="1" x14ac:dyDescent="0.5"/>
    <row r="919" s="4" customFormat="1" x14ac:dyDescent="0.5"/>
    <row r="920" s="4" customFormat="1" x14ac:dyDescent="0.5"/>
    <row r="921" s="4" customFormat="1" x14ac:dyDescent="0.5"/>
    <row r="922" s="4" customFormat="1" x14ac:dyDescent="0.5"/>
    <row r="923" s="4" customFormat="1" x14ac:dyDescent="0.5"/>
    <row r="924" s="4" customFormat="1" x14ac:dyDescent="0.5"/>
    <row r="925" s="4" customFormat="1" x14ac:dyDescent="0.5"/>
    <row r="926" s="4" customFormat="1" x14ac:dyDescent="0.5"/>
    <row r="927" s="4" customFormat="1" x14ac:dyDescent="0.5"/>
    <row r="928" s="4" customFormat="1" x14ac:dyDescent="0.5"/>
    <row r="929" s="4" customFormat="1" x14ac:dyDescent="0.5"/>
    <row r="930" s="4" customFormat="1" x14ac:dyDescent="0.5"/>
    <row r="931" s="4" customFormat="1" x14ac:dyDescent="0.5"/>
    <row r="932" s="4" customFormat="1" x14ac:dyDescent="0.5"/>
    <row r="933" s="4" customFormat="1" x14ac:dyDescent="0.5"/>
    <row r="934" s="4" customFormat="1" x14ac:dyDescent="0.5"/>
    <row r="935" s="4" customFormat="1" x14ac:dyDescent="0.5"/>
    <row r="936" s="4" customFormat="1" x14ac:dyDescent="0.5"/>
    <row r="937" s="4" customFormat="1" x14ac:dyDescent="0.5"/>
    <row r="938" s="4" customFormat="1" x14ac:dyDescent="0.5"/>
    <row r="939" s="4" customFormat="1" x14ac:dyDescent="0.5"/>
    <row r="940" s="4" customFormat="1" x14ac:dyDescent="0.5"/>
    <row r="941" s="4" customFormat="1" x14ac:dyDescent="0.5"/>
    <row r="942" s="4" customFormat="1" x14ac:dyDescent="0.5"/>
    <row r="943" s="4" customFormat="1" x14ac:dyDescent="0.5"/>
    <row r="944" s="4" customFormat="1" x14ac:dyDescent="0.5"/>
    <row r="945" s="4" customFormat="1" x14ac:dyDescent="0.5"/>
    <row r="946" s="4" customFormat="1" x14ac:dyDescent="0.5"/>
    <row r="947" s="4" customFormat="1" x14ac:dyDescent="0.5"/>
    <row r="948" s="4" customFormat="1" x14ac:dyDescent="0.5"/>
    <row r="949" s="4" customFormat="1" x14ac:dyDescent="0.5"/>
    <row r="950" s="4" customFormat="1" x14ac:dyDescent="0.5"/>
    <row r="951" s="4" customFormat="1" x14ac:dyDescent="0.5"/>
    <row r="952" s="4" customFormat="1" x14ac:dyDescent="0.5"/>
    <row r="953" s="4" customFormat="1" x14ac:dyDescent="0.5"/>
    <row r="954" s="4" customFormat="1" x14ac:dyDescent="0.5"/>
    <row r="955" s="4" customFormat="1" x14ac:dyDescent="0.5"/>
    <row r="956" s="4" customFormat="1" x14ac:dyDescent="0.5"/>
    <row r="957" s="4" customFormat="1" x14ac:dyDescent="0.5"/>
    <row r="958" s="4" customFormat="1" x14ac:dyDescent="0.5"/>
    <row r="959" s="4" customFormat="1" x14ac:dyDescent="0.5"/>
    <row r="960" s="4" customFormat="1" x14ac:dyDescent="0.5"/>
    <row r="961" s="4" customFormat="1" x14ac:dyDescent="0.5"/>
    <row r="962" s="4" customFormat="1" x14ac:dyDescent="0.5"/>
    <row r="963" s="4" customFormat="1" x14ac:dyDescent="0.5"/>
    <row r="964" s="4" customFormat="1" x14ac:dyDescent="0.5"/>
    <row r="965" s="4" customFormat="1" x14ac:dyDescent="0.5"/>
    <row r="966" s="4" customFormat="1" x14ac:dyDescent="0.5"/>
    <row r="967" s="4" customFormat="1" x14ac:dyDescent="0.5"/>
    <row r="968" s="4" customFormat="1" x14ac:dyDescent="0.5"/>
    <row r="969" s="4" customFormat="1" x14ac:dyDescent="0.5"/>
    <row r="970" s="4" customFormat="1" x14ac:dyDescent="0.5"/>
    <row r="971" s="4" customFormat="1" x14ac:dyDescent="0.5"/>
    <row r="972" s="4" customFormat="1" x14ac:dyDescent="0.5"/>
    <row r="973" s="4" customFormat="1" x14ac:dyDescent="0.5"/>
    <row r="974" s="4" customFormat="1" x14ac:dyDescent="0.5"/>
    <row r="975" s="4" customFormat="1" x14ac:dyDescent="0.5"/>
    <row r="976" s="4" customFormat="1" x14ac:dyDescent="0.5"/>
    <row r="977" s="4" customFormat="1" x14ac:dyDescent="0.5"/>
    <row r="978" s="4" customFormat="1" x14ac:dyDescent="0.5"/>
    <row r="979" s="4" customFormat="1" x14ac:dyDescent="0.5"/>
    <row r="980" s="4" customFormat="1" x14ac:dyDescent="0.5"/>
    <row r="981" s="4" customFormat="1" x14ac:dyDescent="0.5"/>
    <row r="982" s="4" customFormat="1" x14ac:dyDescent="0.5"/>
    <row r="983" s="4" customFormat="1" x14ac:dyDescent="0.5"/>
    <row r="984" s="4" customFormat="1" x14ac:dyDescent="0.5"/>
    <row r="985" s="4" customFormat="1" x14ac:dyDescent="0.5"/>
    <row r="986" s="4" customFormat="1" x14ac:dyDescent="0.5"/>
    <row r="987" s="4" customFormat="1" x14ac:dyDescent="0.5"/>
    <row r="988" s="4" customFormat="1" x14ac:dyDescent="0.5"/>
    <row r="989" s="4" customFormat="1" x14ac:dyDescent="0.5"/>
    <row r="990" s="4" customFormat="1" x14ac:dyDescent="0.5"/>
    <row r="991" s="4" customFormat="1" x14ac:dyDescent="0.5"/>
    <row r="992" s="4" customFormat="1" x14ac:dyDescent="0.5"/>
    <row r="993" s="4" customFormat="1" x14ac:dyDescent="0.5"/>
    <row r="994" s="4" customFormat="1" x14ac:dyDescent="0.5"/>
    <row r="995" s="4" customFormat="1" x14ac:dyDescent="0.5"/>
    <row r="996" s="4" customFormat="1" x14ac:dyDescent="0.5"/>
    <row r="997" s="4" customFormat="1" x14ac:dyDescent="0.5"/>
    <row r="998" s="4" customFormat="1" x14ac:dyDescent="0.5"/>
    <row r="999" s="4" customFormat="1" x14ac:dyDescent="0.5"/>
    <row r="1000" s="4" customFormat="1" x14ac:dyDescent="0.5"/>
    <row r="1001" s="4" customFormat="1" x14ac:dyDescent="0.5"/>
    <row r="1002" s="4" customFormat="1" x14ac:dyDescent="0.5"/>
    <row r="1003" s="4" customFormat="1" x14ac:dyDescent="0.5"/>
    <row r="1004" s="4" customFormat="1" x14ac:dyDescent="0.5"/>
    <row r="1005" s="4" customFormat="1" x14ac:dyDescent="0.5"/>
    <row r="1006" s="4" customFormat="1" x14ac:dyDescent="0.5"/>
    <row r="1007" s="4" customFormat="1" x14ac:dyDescent="0.5"/>
    <row r="1008" s="4" customFormat="1" x14ac:dyDescent="0.5"/>
    <row r="1009" s="4" customFormat="1" x14ac:dyDescent="0.5"/>
    <row r="1010" s="4" customFormat="1" x14ac:dyDescent="0.5"/>
    <row r="1011" s="4" customFormat="1" x14ac:dyDescent="0.5"/>
    <row r="1012" s="4" customFormat="1" x14ac:dyDescent="0.5"/>
    <row r="1013" s="4" customFormat="1" x14ac:dyDescent="0.5"/>
    <row r="1014" s="4" customFormat="1" x14ac:dyDescent="0.5"/>
    <row r="1015" s="4" customFormat="1" x14ac:dyDescent="0.5"/>
    <row r="1016" s="4" customFormat="1" x14ac:dyDescent="0.5"/>
    <row r="1017" s="4" customFormat="1" x14ac:dyDescent="0.5"/>
    <row r="1018" s="4" customFormat="1" x14ac:dyDescent="0.5"/>
    <row r="1019" s="4" customFormat="1" x14ac:dyDescent="0.5"/>
    <row r="1020" s="4" customFormat="1" x14ac:dyDescent="0.5"/>
    <row r="1021" s="4" customFormat="1" x14ac:dyDescent="0.5"/>
    <row r="1022" s="4" customFormat="1" x14ac:dyDescent="0.5"/>
    <row r="1023" s="4" customFormat="1" x14ac:dyDescent="0.5"/>
    <row r="1024" s="4" customFormat="1" x14ac:dyDescent="0.5"/>
    <row r="1025" s="4" customFormat="1" x14ac:dyDescent="0.5"/>
    <row r="1026" s="4" customFormat="1" x14ac:dyDescent="0.5"/>
    <row r="1027" s="4" customFormat="1" x14ac:dyDescent="0.5"/>
    <row r="1028" s="4" customFormat="1" x14ac:dyDescent="0.5"/>
    <row r="1029" s="4" customFormat="1" x14ac:dyDescent="0.5"/>
    <row r="1030" s="4" customFormat="1" x14ac:dyDescent="0.5"/>
    <row r="1031" s="4" customFormat="1" x14ac:dyDescent="0.5"/>
    <row r="1032" s="4" customFormat="1" x14ac:dyDescent="0.5"/>
    <row r="1033" s="4" customFormat="1" x14ac:dyDescent="0.5"/>
    <row r="1034" s="4" customFormat="1" x14ac:dyDescent="0.5"/>
    <row r="1035" s="4" customFormat="1" x14ac:dyDescent="0.5"/>
    <row r="1036" s="4" customFormat="1" x14ac:dyDescent="0.5"/>
    <row r="1037" s="4" customFormat="1" x14ac:dyDescent="0.5"/>
    <row r="1038" s="4" customFormat="1" x14ac:dyDescent="0.5"/>
    <row r="1039" s="4" customFormat="1" x14ac:dyDescent="0.5"/>
    <row r="1040" s="4" customFormat="1" x14ac:dyDescent="0.5"/>
    <row r="1041" s="4" customFormat="1" x14ac:dyDescent="0.5"/>
    <row r="1042" s="4" customFormat="1" x14ac:dyDescent="0.5"/>
    <row r="1043" s="4" customFormat="1" x14ac:dyDescent="0.5"/>
    <row r="1044" s="4" customFormat="1" x14ac:dyDescent="0.5"/>
    <row r="1045" s="4" customFormat="1" x14ac:dyDescent="0.5"/>
    <row r="1046" s="4" customFormat="1" x14ac:dyDescent="0.5"/>
    <row r="1047" s="4" customFormat="1" x14ac:dyDescent="0.5"/>
    <row r="1048" s="4" customFormat="1" x14ac:dyDescent="0.5"/>
    <row r="1049" s="4" customFormat="1" x14ac:dyDescent="0.5"/>
    <row r="1050" s="4" customFormat="1" x14ac:dyDescent="0.5"/>
    <row r="1051" s="4" customFormat="1" x14ac:dyDescent="0.5"/>
    <row r="1052" s="4" customFormat="1" x14ac:dyDescent="0.5"/>
    <row r="1053" s="4" customFormat="1" x14ac:dyDescent="0.5"/>
    <row r="1054" s="4" customFormat="1" x14ac:dyDescent="0.5"/>
    <row r="1055" s="4" customFormat="1" x14ac:dyDescent="0.5"/>
    <row r="1056" s="4" customFormat="1" x14ac:dyDescent="0.5"/>
    <row r="1057" s="4" customFormat="1" x14ac:dyDescent="0.5"/>
    <row r="1058" s="4" customFormat="1" x14ac:dyDescent="0.5"/>
    <row r="1059" s="4" customFormat="1" x14ac:dyDescent="0.5"/>
    <row r="1060" s="4" customFormat="1" x14ac:dyDescent="0.5"/>
    <row r="1061" s="4" customFormat="1" x14ac:dyDescent="0.5"/>
    <row r="1062" s="4" customFormat="1" x14ac:dyDescent="0.5"/>
    <row r="1063" s="4" customFormat="1" x14ac:dyDescent="0.5"/>
    <row r="1064" s="4" customFormat="1" x14ac:dyDescent="0.5"/>
    <row r="1065" s="4" customFormat="1" x14ac:dyDescent="0.5"/>
    <row r="1066" s="4" customFormat="1" x14ac:dyDescent="0.5"/>
    <row r="1067" s="4" customFormat="1" x14ac:dyDescent="0.5"/>
    <row r="1068" s="4" customFormat="1" x14ac:dyDescent="0.5"/>
    <row r="1069" s="4" customFormat="1" x14ac:dyDescent="0.5"/>
    <row r="1070" s="4" customFormat="1" x14ac:dyDescent="0.5"/>
    <row r="1071" s="4" customFormat="1" x14ac:dyDescent="0.5"/>
    <row r="1072" s="4" customFormat="1" x14ac:dyDescent="0.5"/>
    <row r="1073" s="4" customFormat="1" x14ac:dyDescent="0.5"/>
    <row r="1074" s="4" customFormat="1" x14ac:dyDescent="0.5"/>
    <row r="1075" s="4" customFormat="1" x14ac:dyDescent="0.5"/>
    <row r="1076" s="4" customFormat="1" x14ac:dyDescent="0.5"/>
    <row r="1077" s="4" customFormat="1" x14ac:dyDescent="0.5"/>
    <row r="1078" s="4" customFormat="1" x14ac:dyDescent="0.5"/>
    <row r="1079" s="4" customFormat="1" x14ac:dyDescent="0.5"/>
    <row r="1080" s="4" customFormat="1" x14ac:dyDescent="0.5"/>
    <row r="1081" s="4" customFormat="1" x14ac:dyDescent="0.5"/>
    <row r="1082" s="4" customFormat="1" x14ac:dyDescent="0.5"/>
    <row r="1083" s="4" customFormat="1" x14ac:dyDescent="0.5"/>
    <row r="1084" s="4" customFormat="1" x14ac:dyDescent="0.5"/>
    <row r="1085" s="4" customFormat="1" x14ac:dyDescent="0.5"/>
    <row r="1086" s="4" customFormat="1" x14ac:dyDescent="0.5"/>
    <row r="1087" s="4" customFormat="1" x14ac:dyDescent="0.5"/>
    <row r="1088" s="4" customFormat="1" x14ac:dyDescent="0.5"/>
    <row r="1089" s="4" customFormat="1" x14ac:dyDescent="0.5"/>
    <row r="1090" s="4" customFormat="1" x14ac:dyDescent="0.5"/>
    <row r="1091" s="4" customFormat="1" x14ac:dyDescent="0.5"/>
    <row r="1092" s="4" customFormat="1" x14ac:dyDescent="0.5"/>
    <row r="1093" s="4" customFormat="1" x14ac:dyDescent="0.5"/>
    <row r="1094" s="4" customFormat="1" x14ac:dyDescent="0.5"/>
    <row r="1095" s="4" customFormat="1" x14ac:dyDescent="0.5"/>
    <row r="1096" s="4" customFormat="1" x14ac:dyDescent="0.5"/>
    <row r="1097" s="4" customFormat="1" x14ac:dyDescent="0.5"/>
    <row r="1098" s="4" customFormat="1" x14ac:dyDescent="0.5"/>
    <row r="1099" s="4" customFormat="1" x14ac:dyDescent="0.5"/>
    <row r="1100" s="4" customFormat="1" x14ac:dyDescent="0.5"/>
    <row r="1101" s="4" customFormat="1" x14ac:dyDescent="0.5"/>
    <row r="1102" s="4" customFormat="1" x14ac:dyDescent="0.5"/>
    <row r="1103" s="4" customFormat="1" x14ac:dyDescent="0.5"/>
    <row r="1104" s="4" customFormat="1" x14ac:dyDescent="0.5"/>
    <row r="1105" s="4" customFormat="1" x14ac:dyDescent="0.5"/>
    <row r="1106" s="4" customFormat="1" x14ac:dyDescent="0.5"/>
    <row r="1107" s="4" customFormat="1" x14ac:dyDescent="0.5"/>
    <row r="1108" s="4" customFormat="1" x14ac:dyDescent="0.5"/>
    <row r="1109" s="4" customFormat="1" x14ac:dyDescent="0.5"/>
    <row r="1110" s="4" customFormat="1" x14ac:dyDescent="0.5"/>
    <row r="1111" s="4" customFormat="1" x14ac:dyDescent="0.5"/>
    <row r="1112" s="4" customFormat="1" x14ac:dyDescent="0.5"/>
    <row r="1113" s="4" customFormat="1" x14ac:dyDescent="0.5"/>
    <row r="1114" s="4" customFormat="1" x14ac:dyDescent="0.5"/>
    <row r="1115" s="4" customFormat="1" x14ac:dyDescent="0.5"/>
    <row r="1116" s="4" customFormat="1" x14ac:dyDescent="0.5"/>
    <row r="1117" s="4" customFormat="1" x14ac:dyDescent="0.5"/>
    <row r="1118" s="4" customFormat="1" x14ac:dyDescent="0.5"/>
    <row r="1119" s="4" customFormat="1" x14ac:dyDescent="0.5"/>
    <row r="1120" s="4" customFormat="1" x14ac:dyDescent="0.5"/>
    <row r="1121" s="4" customFormat="1" x14ac:dyDescent="0.5"/>
    <row r="1122" s="4" customFormat="1" x14ac:dyDescent="0.5"/>
    <row r="1123" s="4" customFormat="1" x14ac:dyDescent="0.5"/>
    <row r="1124" s="4" customFormat="1" x14ac:dyDescent="0.5"/>
    <row r="1125" s="4" customFormat="1" x14ac:dyDescent="0.5"/>
    <row r="1126" s="4" customFormat="1" x14ac:dyDescent="0.5"/>
    <row r="1127" s="4" customFormat="1" x14ac:dyDescent="0.5"/>
    <row r="1128" s="4" customFormat="1" x14ac:dyDescent="0.5"/>
    <row r="1129" s="4" customFormat="1" x14ac:dyDescent="0.5"/>
    <row r="1130" s="4" customFormat="1" x14ac:dyDescent="0.5"/>
    <row r="1131" s="4" customFormat="1" x14ac:dyDescent="0.5"/>
    <row r="1132" s="4" customFormat="1" x14ac:dyDescent="0.5"/>
    <row r="1133" s="4" customFormat="1" x14ac:dyDescent="0.5"/>
    <row r="1134" s="4" customFormat="1" x14ac:dyDescent="0.5"/>
    <row r="1135" s="4" customFormat="1" x14ac:dyDescent="0.5"/>
    <row r="1136" s="4" customFormat="1" x14ac:dyDescent="0.5"/>
    <row r="1137" s="4" customFormat="1" x14ac:dyDescent="0.5"/>
    <row r="1138" s="4" customFormat="1" x14ac:dyDescent="0.5"/>
    <row r="1139" s="4" customFormat="1" x14ac:dyDescent="0.5"/>
    <row r="1140" s="4" customFormat="1" x14ac:dyDescent="0.5"/>
    <row r="1141" s="4" customFormat="1" x14ac:dyDescent="0.5"/>
    <row r="1142" s="4" customFormat="1" x14ac:dyDescent="0.5"/>
    <row r="1143" s="4" customFormat="1" x14ac:dyDescent="0.5"/>
    <row r="1144" s="4" customFormat="1" x14ac:dyDescent="0.5"/>
    <row r="1145" s="4" customFormat="1" x14ac:dyDescent="0.5"/>
    <row r="1146" s="4" customFormat="1" x14ac:dyDescent="0.5"/>
    <row r="1147" s="4" customFormat="1" x14ac:dyDescent="0.5"/>
    <row r="1148" s="4" customFormat="1" x14ac:dyDescent="0.5"/>
    <row r="1149" s="4" customFormat="1" x14ac:dyDescent="0.5"/>
    <row r="1150" s="4" customFormat="1" x14ac:dyDescent="0.5"/>
    <row r="1151" s="4" customFormat="1" x14ac:dyDescent="0.5"/>
    <row r="1152" s="4" customFormat="1" x14ac:dyDescent="0.5"/>
    <row r="1153" s="4" customFormat="1" x14ac:dyDescent="0.5"/>
    <row r="1154" s="4" customFormat="1" x14ac:dyDescent="0.5"/>
    <row r="1155" s="4" customFormat="1" x14ac:dyDescent="0.5"/>
    <row r="1156" s="4" customFormat="1" x14ac:dyDescent="0.5"/>
    <row r="1157" s="4" customFormat="1" x14ac:dyDescent="0.5"/>
    <row r="1158" s="4" customFormat="1" x14ac:dyDescent="0.5"/>
    <row r="1159" s="4" customFormat="1" x14ac:dyDescent="0.5"/>
    <row r="1160" s="4" customFormat="1" x14ac:dyDescent="0.5"/>
    <row r="1161" s="4" customFormat="1" x14ac:dyDescent="0.5"/>
    <row r="1162" s="4" customFormat="1" x14ac:dyDescent="0.5"/>
    <row r="1163" s="4" customFormat="1" x14ac:dyDescent="0.5"/>
    <row r="1164" s="4" customFormat="1" x14ac:dyDescent="0.5"/>
    <row r="1165" s="4" customFormat="1" x14ac:dyDescent="0.5"/>
    <row r="1166" s="4" customFormat="1" x14ac:dyDescent="0.5"/>
    <row r="1167" s="4" customFormat="1" x14ac:dyDescent="0.5"/>
    <row r="1168" s="4" customFormat="1" x14ac:dyDescent="0.5"/>
    <row r="1169" s="4" customFormat="1" x14ac:dyDescent="0.5"/>
    <row r="1170" s="4" customFormat="1" x14ac:dyDescent="0.5"/>
    <row r="1171" s="4" customFormat="1" x14ac:dyDescent="0.5"/>
    <row r="1172" s="4" customFormat="1" x14ac:dyDescent="0.5"/>
    <row r="1173" s="4" customFormat="1" x14ac:dyDescent="0.5"/>
    <row r="1174" s="4" customFormat="1" x14ac:dyDescent="0.5"/>
    <row r="1175" s="4" customFormat="1" x14ac:dyDescent="0.5"/>
    <row r="1176" s="4" customFormat="1" x14ac:dyDescent="0.5"/>
    <row r="1177" s="4" customFormat="1" x14ac:dyDescent="0.5"/>
    <row r="1178" s="4" customFormat="1" x14ac:dyDescent="0.5"/>
    <row r="1179" s="4" customFormat="1" x14ac:dyDescent="0.5"/>
    <row r="1180" s="4" customFormat="1" x14ac:dyDescent="0.5"/>
    <row r="1181" s="4" customFormat="1" x14ac:dyDescent="0.5"/>
    <row r="1182" s="4" customFormat="1" x14ac:dyDescent="0.5"/>
    <row r="1183" s="4" customFormat="1" x14ac:dyDescent="0.5"/>
    <row r="1184" s="4" customFormat="1" x14ac:dyDescent="0.5"/>
    <row r="1185" s="4" customFormat="1" x14ac:dyDescent="0.5"/>
    <row r="1186" s="4" customFormat="1" x14ac:dyDescent="0.5"/>
    <row r="1187" s="4" customFormat="1" x14ac:dyDescent="0.5"/>
    <row r="1188" s="4" customFormat="1" x14ac:dyDescent="0.5"/>
    <row r="1189" s="4" customFormat="1" x14ac:dyDescent="0.5"/>
    <row r="1190" s="4" customFormat="1" x14ac:dyDescent="0.5"/>
    <row r="1191" s="4" customFormat="1" x14ac:dyDescent="0.5"/>
    <row r="1192" s="4" customFormat="1" x14ac:dyDescent="0.5"/>
    <row r="1193" s="4" customFormat="1" x14ac:dyDescent="0.5"/>
    <row r="1194" s="4" customFormat="1" x14ac:dyDescent="0.5"/>
    <row r="1195" s="4" customFormat="1" x14ac:dyDescent="0.5"/>
    <row r="1196" s="4" customFormat="1" x14ac:dyDescent="0.5"/>
    <row r="1197" s="4" customFormat="1" x14ac:dyDescent="0.5"/>
    <row r="1198" s="4" customFormat="1" x14ac:dyDescent="0.5"/>
    <row r="1199" s="4" customFormat="1" x14ac:dyDescent="0.5"/>
    <row r="1200" s="4" customFormat="1" x14ac:dyDescent="0.5"/>
    <row r="1201" s="4" customFormat="1" x14ac:dyDescent="0.5"/>
    <row r="1202" s="4" customFormat="1" x14ac:dyDescent="0.5"/>
    <row r="1203" s="4" customFormat="1" x14ac:dyDescent="0.5"/>
    <row r="1204" s="4" customFormat="1" x14ac:dyDescent="0.5"/>
    <row r="1205" s="4" customFormat="1" x14ac:dyDescent="0.5"/>
    <row r="1206" s="4" customFormat="1" x14ac:dyDescent="0.5"/>
    <row r="1207" s="4" customFormat="1" x14ac:dyDescent="0.5"/>
    <row r="1208" s="4" customFormat="1" x14ac:dyDescent="0.5"/>
    <row r="1209" s="4" customFormat="1" x14ac:dyDescent="0.5"/>
    <row r="1210" s="4" customFormat="1" x14ac:dyDescent="0.5"/>
    <row r="1211" s="4" customFormat="1" x14ac:dyDescent="0.5"/>
    <row r="1212" s="4" customFormat="1" x14ac:dyDescent="0.5"/>
    <row r="1213" s="4" customFormat="1" x14ac:dyDescent="0.5"/>
    <row r="1214" s="4" customFormat="1" x14ac:dyDescent="0.5"/>
    <row r="1215" s="4" customFormat="1" x14ac:dyDescent="0.5"/>
    <row r="1216" s="4" customFormat="1" x14ac:dyDescent="0.5"/>
    <row r="1217" s="4" customFormat="1" x14ac:dyDescent="0.5"/>
    <row r="1218" s="4" customFormat="1" x14ac:dyDescent="0.5"/>
    <row r="1219" s="4" customFormat="1" x14ac:dyDescent="0.5"/>
    <row r="1220" s="4" customFormat="1" x14ac:dyDescent="0.5"/>
    <row r="1221" s="4" customFormat="1" x14ac:dyDescent="0.5"/>
    <row r="1222" s="4" customFormat="1" x14ac:dyDescent="0.5"/>
    <row r="1223" s="4" customFormat="1" x14ac:dyDescent="0.5"/>
    <row r="1224" s="4" customFormat="1" x14ac:dyDescent="0.5"/>
    <row r="1225" s="4" customFormat="1" x14ac:dyDescent="0.5"/>
    <row r="1226" s="4" customFormat="1" x14ac:dyDescent="0.5"/>
    <row r="1227" s="4" customFormat="1" x14ac:dyDescent="0.5"/>
    <row r="1228" s="4" customFormat="1" x14ac:dyDescent="0.5"/>
    <row r="1229" s="4" customFormat="1" x14ac:dyDescent="0.5"/>
    <row r="1230" s="4" customFormat="1" x14ac:dyDescent="0.5"/>
    <row r="1231" s="4" customFormat="1" x14ac:dyDescent="0.5"/>
    <row r="1232" s="4" customFormat="1" x14ac:dyDescent="0.5"/>
    <row r="1233" s="4" customFormat="1" x14ac:dyDescent="0.5"/>
    <row r="1234" s="4" customFormat="1" x14ac:dyDescent="0.5"/>
    <row r="1235" s="4" customFormat="1" x14ac:dyDescent="0.5"/>
    <row r="1236" s="4" customFormat="1" x14ac:dyDescent="0.5"/>
    <row r="1237" s="4" customFormat="1" x14ac:dyDescent="0.5"/>
    <row r="1238" s="4" customFormat="1" x14ac:dyDescent="0.5"/>
    <row r="1239" s="4" customFormat="1" x14ac:dyDescent="0.5"/>
    <row r="1240" s="4" customFormat="1" x14ac:dyDescent="0.5"/>
    <row r="1241" s="4" customFormat="1" x14ac:dyDescent="0.5"/>
    <row r="1242" s="4" customFormat="1" x14ac:dyDescent="0.5"/>
    <row r="1243" s="4" customFormat="1" x14ac:dyDescent="0.5"/>
    <row r="1244" s="4" customFormat="1" x14ac:dyDescent="0.5"/>
    <row r="1245" s="4" customFormat="1" x14ac:dyDescent="0.5"/>
    <row r="1246" s="4" customFormat="1" x14ac:dyDescent="0.5"/>
    <row r="1247" s="4" customFormat="1" x14ac:dyDescent="0.5"/>
    <row r="1248" s="4" customFormat="1" x14ac:dyDescent="0.5"/>
    <row r="1249" s="4" customFormat="1" x14ac:dyDescent="0.5"/>
    <row r="1250" s="4" customFormat="1" x14ac:dyDescent="0.5"/>
    <row r="1251" s="4" customFormat="1" x14ac:dyDescent="0.5"/>
    <row r="1252" s="4" customFormat="1" x14ac:dyDescent="0.5"/>
    <row r="1253" s="4" customFormat="1" x14ac:dyDescent="0.5"/>
    <row r="1254" s="4" customFormat="1" x14ac:dyDescent="0.5"/>
    <row r="1255" s="4" customFormat="1" x14ac:dyDescent="0.5"/>
    <row r="1256" s="4" customFormat="1" x14ac:dyDescent="0.5"/>
    <row r="1257" s="4" customFormat="1" x14ac:dyDescent="0.5"/>
    <row r="1258" s="4" customFormat="1" x14ac:dyDescent="0.5"/>
    <row r="1259" s="4" customFormat="1" x14ac:dyDescent="0.5"/>
    <row r="1260" s="4" customFormat="1" x14ac:dyDescent="0.5"/>
    <row r="1261" s="4" customFormat="1" x14ac:dyDescent="0.5"/>
    <row r="1262" s="4" customFormat="1" x14ac:dyDescent="0.5"/>
    <row r="1263" s="4" customFormat="1" x14ac:dyDescent="0.5"/>
    <row r="1264" s="4" customFormat="1" x14ac:dyDescent="0.5"/>
    <row r="1265" s="4" customFormat="1" x14ac:dyDescent="0.5"/>
    <row r="1266" s="4" customFormat="1" x14ac:dyDescent="0.5"/>
    <row r="1267" s="4" customFormat="1" x14ac:dyDescent="0.5"/>
    <row r="1268" s="4" customFormat="1" x14ac:dyDescent="0.5"/>
    <row r="1269" s="4" customFormat="1" x14ac:dyDescent="0.5"/>
    <row r="1270" s="4" customFormat="1" x14ac:dyDescent="0.5"/>
    <row r="1271" s="4" customFormat="1" x14ac:dyDescent="0.5"/>
    <row r="1272" s="4" customFormat="1" x14ac:dyDescent="0.5"/>
    <row r="1273" s="4" customFormat="1" x14ac:dyDescent="0.5"/>
    <row r="1274" s="4" customFormat="1" x14ac:dyDescent="0.5"/>
    <row r="1275" s="4" customFormat="1" x14ac:dyDescent="0.5"/>
    <row r="1276" s="4" customFormat="1" x14ac:dyDescent="0.5"/>
    <row r="1277" s="4" customFormat="1" x14ac:dyDescent="0.5"/>
    <row r="1278" s="4" customFormat="1" x14ac:dyDescent="0.5"/>
    <row r="1279" s="4" customFormat="1" x14ac:dyDescent="0.5"/>
    <row r="1280" s="4" customFormat="1" x14ac:dyDescent="0.5"/>
    <row r="1281" s="4" customFormat="1" x14ac:dyDescent="0.5"/>
    <row r="1282" s="4" customFormat="1" x14ac:dyDescent="0.5"/>
    <row r="1283" s="4" customFormat="1" x14ac:dyDescent="0.5"/>
    <row r="1284" s="4" customFormat="1" x14ac:dyDescent="0.5"/>
    <row r="1285" s="4" customFormat="1" x14ac:dyDescent="0.5"/>
    <row r="1286" s="4" customFormat="1" x14ac:dyDescent="0.5"/>
    <row r="1287" s="4" customFormat="1" x14ac:dyDescent="0.5"/>
    <row r="1288" s="4" customFormat="1" x14ac:dyDescent="0.5"/>
    <row r="1289" s="4" customFormat="1" x14ac:dyDescent="0.5"/>
    <row r="1290" s="4" customFormat="1" x14ac:dyDescent="0.5"/>
    <row r="1291" s="4" customFormat="1" x14ac:dyDescent="0.5"/>
    <row r="1292" s="4" customFormat="1" x14ac:dyDescent="0.5"/>
    <row r="1293" s="4" customFormat="1" x14ac:dyDescent="0.5"/>
    <row r="1294" s="4" customFormat="1" x14ac:dyDescent="0.5"/>
    <row r="1295" s="4" customFormat="1" x14ac:dyDescent="0.5"/>
    <row r="1296" s="4" customFormat="1" x14ac:dyDescent="0.5"/>
    <row r="1297" s="4" customFormat="1" x14ac:dyDescent="0.5"/>
    <row r="1298" s="4" customFormat="1" x14ac:dyDescent="0.5"/>
    <row r="1299" s="4" customFormat="1" x14ac:dyDescent="0.5"/>
    <row r="1300" s="4" customFormat="1" x14ac:dyDescent="0.5"/>
    <row r="1301" s="4" customFormat="1" x14ac:dyDescent="0.5"/>
    <row r="1302" s="4" customFormat="1" x14ac:dyDescent="0.5"/>
    <row r="1303" s="4" customFormat="1" x14ac:dyDescent="0.5"/>
    <row r="1304" s="4" customFormat="1" x14ac:dyDescent="0.5"/>
    <row r="1305" s="4" customFormat="1" x14ac:dyDescent="0.5"/>
    <row r="1306" s="4" customFormat="1" x14ac:dyDescent="0.5"/>
    <row r="1307" s="4" customFormat="1" x14ac:dyDescent="0.5"/>
    <row r="1308" s="4" customFormat="1" x14ac:dyDescent="0.5"/>
    <row r="1309" s="4" customFormat="1" x14ac:dyDescent="0.5"/>
    <row r="1310" s="4" customFormat="1" x14ac:dyDescent="0.5"/>
    <row r="1311" s="4" customFormat="1" x14ac:dyDescent="0.5"/>
    <row r="1312" s="4" customFormat="1" x14ac:dyDescent="0.5"/>
    <row r="1313" s="4" customFormat="1" x14ac:dyDescent="0.5"/>
    <row r="1314" s="4" customFormat="1" x14ac:dyDescent="0.5"/>
    <row r="1315" s="4" customFormat="1" x14ac:dyDescent="0.5"/>
    <row r="1316" s="4" customFormat="1" x14ac:dyDescent="0.5"/>
    <row r="1317" s="4" customFormat="1" x14ac:dyDescent="0.5"/>
    <row r="1318" s="4" customFormat="1" x14ac:dyDescent="0.5"/>
    <row r="1319" s="4" customFormat="1" x14ac:dyDescent="0.5"/>
    <row r="1320" s="4" customFormat="1" x14ac:dyDescent="0.5"/>
    <row r="1321" s="4" customFormat="1" x14ac:dyDescent="0.5"/>
    <row r="1322" s="4" customFormat="1" x14ac:dyDescent="0.5"/>
    <row r="1323" s="4" customFormat="1" x14ac:dyDescent="0.5"/>
    <row r="1324" s="4" customFormat="1" x14ac:dyDescent="0.5"/>
    <row r="1325" s="4" customFormat="1" x14ac:dyDescent="0.5"/>
    <row r="1326" s="4" customFormat="1" x14ac:dyDescent="0.5"/>
    <row r="1327" s="4" customFormat="1" x14ac:dyDescent="0.5"/>
    <row r="1328" s="4" customFormat="1" x14ac:dyDescent="0.5"/>
    <row r="1329" s="4" customFormat="1" x14ac:dyDescent="0.5"/>
    <row r="1330" s="4" customFormat="1" x14ac:dyDescent="0.5"/>
    <row r="1331" s="4" customFormat="1" x14ac:dyDescent="0.5"/>
    <row r="1332" s="4" customFormat="1" x14ac:dyDescent="0.5"/>
    <row r="1333" s="4" customFormat="1" x14ac:dyDescent="0.5"/>
    <row r="1334" s="4" customFormat="1" x14ac:dyDescent="0.5"/>
    <row r="1335" s="4" customFormat="1" x14ac:dyDescent="0.5"/>
    <row r="1336" s="4" customFormat="1" x14ac:dyDescent="0.5"/>
    <row r="1337" s="4" customFormat="1" x14ac:dyDescent="0.5"/>
    <row r="1338" s="4" customFormat="1" x14ac:dyDescent="0.5"/>
    <row r="1339" s="4" customFormat="1" x14ac:dyDescent="0.5"/>
    <row r="1340" s="4" customFormat="1" x14ac:dyDescent="0.5"/>
    <row r="1341" s="4" customFormat="1" x14ac:dyDescent="0.5"/>
    <row r="1342" s="4" customFormat="1" x14ac:dyDescent="0.5"/>
    <row r="1343" s="4" customFormat="1" x14ac:dyDescent="0.5"/>
    <row r="1344" s="4" customFormat="1" x14ac:dyDescent="0.5"/>
    <row r="1345" s="4" customFormat="1" x14ac:dyDescent="0.5"/>
    <row r="1346" s="4" customFormat="1" x14ac:dyDescent="0.5"/>
    <row r="1347" s="4" customFormat="1" x14ac:dyDescent="0.5"/>
    <row r="1348" s="4" customFormat="1" x14ac:dyDescent="0.5"/>
    <row r="1349" s="4" customFormat="1" x14ac:dyDescent="0.5"/>
    <row r="1350" s="4" customFormat="1" x14ac:dyDescent="0.5"/>
    <row r="1351" s="4" customFormat="1" x14ac:dyDescent="0.5"/>
    <row r="1352" s="4" customFormat="1" x14ac:dyDescent="0.5"/>
    <row r="1353" s="4" customFormat="1" x14ac:dyDescent="0.5"/>
    <row r="1354" s="4" customFormat="1" x14ac:dyDescent="0.5"/>
    <row r="1355" s="4" customFormat="1" x14ac:dyDescent="0.5"/>
    <row r="1356" s="4" customFormat="1" x14ac:dyDescent="0.5"/>
    <row r="1357" s="4" customFormat="1" x14ac:dyDescent="0.5"/>
    <row r="1358" s="4" customFormat="1" x14ac:dyDescent="0.5"/>
    <row r="1359" s="4" customFormat="1" x14ac:dyDescent="0.5"/>
    <row r="1360" s="4" customFormat="1" x14ac:dyDescent="0.5"/>
    <row r="1361" s="4" customFormat="1" x14ac:dyDescent="0.5"/>
    <row r="1362" s="4" customFormat="1" x14ac:dyDescent="0.5"/>
    <row r="1363" s="4" customFormat="1" x14ac:dyDescent="0.5"/>
    <row r="1364" s="4" customFormat="1" x14ac:dyDescent="0.5"/>
    <row r="1365" s="4" customFormat="1" x14ac:dyDescent="0.5"/>
    <row r="1366" s="4" customFormat="1" x14ac:dyDescent="0.5"/>
    <row r="1367" s="4" customFormat="1" x14ac:dyDescent="0.5"/>
    <row r="1368" s="4" customFormat="1" x14ac:dyDescent="0.5"/>
    <row r="1369" s="4" customFormat="1" x14ac:dyDescent="0.5"/>
    <row r="1370" s="4" customFormat="1" x14ac:dyDescent="0.5"/>
    <row r="1371" s="4" customFormat="1" x14ac:dyDescent="0.5"/>
    <row r="1372" s="4" customFormat="1" x14ac:dyDescent="0.5"/>
    <row r="1373" s="4" customFormat="1" x14ac:dyDescent="0.5"/>
    <row r="1374" s="4" customFormat="1" x14ac:dyDescent="0.5"/>
    <row r="1375" s="4" customFormat="1" x14ac:dyDescent="0.5"/>
    <row r="1376" s="4" customFormat="1" x14ac:dyDescent="0.5"/>
    <row r="1377" s="4" customFormat="1" x14ac:dyDescent="0.5"/>
    <row r="1378" s="4" customFormat="1" x14ac:dyDescent="0.5"/>
    <row r="1379" s="4" customFormat="1" x14ac:dyDescent="0.5"/>
    <row r="1380" s="4" customFormat="1" x14ac:dyDescent="0.5"/>
    <row r="1381" s="4" customFormat="1" x14ac:dyDescent="0.5"/>
    <row r="1382" s="4" customFormat="1" x14ac:dyDescent="0.5"/>
    <row r="1383" s="4" customFormat="1" x14ac:dyDescent="0.5"/>
    <row r="1384" s="4" customFormat="1" x14ac:dyDescent="0.5"/>
    <row r="1385" s="4" customFormat="1" x14ac:dyDescent="0.5"/>
    <row r="1386" s="4" customFormat="1" x14ac:dyDescent="0.5"/>
    <row r="1387" s="4" customFormat="1" x14ac:dyDescent="0.5"/>
    <row r="1388" s="4" customFormat="1" x14ac:dyDescent="0.5"/>
    <row r="1389" s="4" customFormat="1" x14ac:dyDescent="0.5"/>
    <row r="1390" s="4" customFormat="1" x14ac:dyDescent="0.5"/>
    <row r="1391" s="4" customFormat="1" x14ac:dyDescent="0.5"/>
    <row r="1392" s="4" customFormat="1" x14ac:dyDescent="0.5"/>
    <row r="1393" s="4" customFormat="1" x14ac:dyDescent="0.5"/>
    <row r="1394" s="4" customFormat="1" x14ac:dyDescent="0.5"/>
    <row r="1395" s="4" customFormat="1" x14ac:dyDescent="0.5"/>
    <row r="1396" s="4" customFormat="1" x14ac:dyDescent="0.5"/>
    <row r="1397" s="4" customFormat="1" x14ac:dyDescent="0.5"/>
    <row r="1398" s="4" customFormat="1" x14ac:dyDescent="0.5"/>
    <row r="1399" s="4" customFormat="1" x14ac:dyDescent="0.5"/>
    <row r="1400" s="4" customFormat="1" x14ac:dyDescent="0.5"/>
    <row r="1401" s="4" customFormat="1" x14ac:dyDescent="0.5"/>
    <row r="1402" s="4" customFormat="1" x14ac:dyDescent="0.5"/>
    <row r="1403" s="4" customFormat="1" x14ac:dyDescent="0.5"/>
    <row r="1404" s="4" customFormat="1" x14ac:dyDescent="0.5"/>
    <row r="1405" s="4" customFormat="1" x14ac:dyDescent="0.5"/>
    <row r="1406" s="4" customFormat="1" x14ac:dyDescent="0.5"/>
    <row r="1407" s="4" customFormat="1" x14ac:dyDescent="0.5"/>
    <row r="1408" s="4" customFormat="1" x14ac:dyDescent="0.5"/>
    <row r="1409" s="4" customFormat="1" x14ac:dyDescent="0.5"/>
    <row r="1410" s="4" customFormat="1" x14ac:dyDescent="0.5"/>
    <row r="1411" s="4" customFormat="1" x14ac:dyDescent="0.5"/>
    <row r="1412" s="4" customFormat="1" x14ac:dyDescent="0.5"/>
    <row r="1413" s="4" customFormat="1" x14ac:dyDescent="0.5"/>
    <row r="1414" s="4" customFormat="1" x14ac:dyDescent="0.5"/>
    <row r="1415" s="4" customFormat="1" x14ac:dyDescent="0.5"/>
    <row r="1416" s="4" customFormat="1" x14ac:dyDescent="0.5"/>
    <row r="1417" s="4" customFormat="1" x14ac:dyDescent="0.5"/>
    <row r="1418" s="4" customFormat="1" x14ac:dyDescent="0.5"/>
    <row r="1419" s="4" customFormat="1" x14ac:dyDescent="0.5"/>
    <row r="1420" s="4" customFormat="1" x14ac:dyDescent="0.5"/>
    <row r="1421" s="4" customFormat="1" x14ac:dyDescent="0.5"/>
    <row r="1422" s="4" customFormat="1" x14ac:dyDescent="0.5"/>
    <row r="1423" s="4" customFormat="1" x14ac:dyDescent="0.5"/>
    <row r="1424" s="4" customFormat="1" x14ac:dyDescent="0.5"/>
    <row r="1425" s="4" customFormat="1" x14ac:dyDescent="0.5"/>
    <row r="1426" s="4" customFormat="1" x14ac:dyDescent="0.5"/>
    <row r="1427" s="4" customFormat="1" x14ac:dyDescent="0.5"/>
    <row r="1428" s="4" customFormat="1" x14ac:dyDescent="0.5"/>
    <row r="1429" s="4" customFormat="1" x14ac:dyDescent="0.5"/>
    <row r="1430" s="4" customFormat="1" x14ac:dyDescent="0.5"/>
    <row r="1431" s="4" customFormat="1" x14ac:dyDescent="0.5"/>
    <row r="1432" s="4" customFormat="1" x14ac:dyDescent="0.5"/>
    <row r="1433" s="4" customFormat="1" x14ac:dyDescent="0.5"/>
    <row r="1434" s="4" customFormat="1" x14ac:dyDescent="0.5"/>
    <row r="1435" s="4" customFormat="1" x14ac:dyDescent="0.5"/>
    <row r="1436" s="4" customFormat="1" x14ac:dyDescent="0.5"/>
    <row r="1437" s="4" customFormat="1" x14ac:dyDescent="0.5"/>
    <row r="1438" s="4" customFormat="1" x14ac:dyDescent="0.5"/>
    <row r="1439" s="4" customFormat="1" x14ac:dyDescent="0.5"/>
    <row r="1440" s="4" customFormat="1" x14ac:dyDescent="0.5"/>
    <row r="1441" s="4" customFormat="1" x14ac:dyDescent="0.5"/>
    <row r="1442" s="4" customFormat="1" x14ac:dyDescent="0.5"/>
    <row r="1443" s="4" customFormat="1" x14ac:dyDescent="0.5"/>
    <row r="1444" s="4" customFormat="1" x14ac:dyDescent="0.5"/>
    <row r="1445" s="4" customFormat="1" x14ac:dyDescent="0.5"/>
    <row r="1446" s="4" customFormat="1" x14ac:dyDescent="0.5"/>
    <row r="1447" s="4" customFormat="1" x14ac:dyDescent="0.5"/>
    <row r="1448" s="4" customFormat="1" x14ac:dyDescent="0.5"/>
    <row r="1449" s="4" customFormat="1" x14ac:dyDescent="0.5"/>
    <row r="1450" s="4" customFormat="1" x14ac:dyDescent="0.5"/>
    <row r="1451" s="4" customFormat="1" x14ac:dyDescent="0.5"/>
    <row r="1452" s="4" customFormat="1" x14ac:dyDescent="0.5"/>
    <row r="1453" s="4" customFormat="1" x14ac:dyDescent="0.5"/>
    <row r="1454" s="4" customFormat="1" x14ac:dyDescent="0.5"/>
    <row r="1455" s="4" customFormat="1" x14ac:dyDescent="0.5"/>
    <row r="1456" s="4" customFormat="1" x14ac:dyDescent="0.5"/>
    <row r="1457" s="4" customFormat="1" x14ac:dyDescent="0.5"/>
    <row r="1458" s="4" customFormat="1" x14ac:dyDescent="0.5"/>
    <row r="1459" s="4" customFormat="1" x14ac:dyDescent="0.5"/>
    <row r="1460" s="4" customFormat="1" x14ac:dyDescent="0.5"/>
    <row r="1461" s="4" customFormat="1" x14ac:dyDescent="0.5"/>
    <row r="1462" s="4" customFormat="1" x14ac:dyDescent="0.5"/>
    <row r="1463" s="4" customFormat="1" x14ac:dyDescent="0.5"/>
    <row r="1464" s="4" customFormat="1" x14ac:dyDescent="0.5"/>
    <row r="1465" s="4" customFormat="1" x14ac:dyDescent="0.5"/>
    <row r="1466" s="4" customFormat="1" x14ac:dyDescent="0.5"/>
    <row r="1467" s="4" customFormat="1" x14ac:dyDescent="0.5"/>
    <row r="1468" s="4" customFormat="1" x14ac:dyDescent="0.5"/>
    <row r="1469" s="4" customFormat="1" x14ac:dyDescent="0.5"/>
    <row r="1470" s="4" customFormat="1" x14ac:dyDescent="0.5"/>
    <row r="1471" s="4" customFormat="1" x14ac:dyDescent="0.5"/>
    <row r="1472" s="4" customFormat="1" x14ac:dyDescent="0.5"/>
    <row r="1473" s="4" customFormat="1" x14ac:dyDescent="0.5"/>
    <row r="1474" s="4" customFormat="1" x14ac:dyDescent="0.5"/>
    <row r="1475" s="4" customFormat="1" x14ac:dyDescent="0.5"/>
    <row r="1476" s="4" customFormat="1" x14ac:dyDescent="0.5"/>
    <row r="1477" s="4" customFormat="1" x14ac:dyDescent="0.5"/>
    <row r="1478" s="4" customFormat="1" x14ac:dyDescent="0.5"/>
    <row r="1479" s="4" customFormat="1" x14ac:dyDescent="0.5"/>
    <row r="1480" s="4" customFormat="1" x14ac:dyDescent="0.5"/>
    <row r="1481" s="4" customFormat="1" x14ac:dyDescent="0.5"/>
    <row r="1482" s="4" customFormat="1" x14ac:dyDescent="0.5"/>
    <row r="1483" s="4" customFormat="1" x14ac:dyDescent="0.5"/>
    <row r="1484" s="4" customFormat="1" x14ac:dyDescent="0.5"/>
    <row r="1485" s="4" customFormat="1" x14ac:dyDescent="0.5"/>
    <row r="1486" s="4" customFormat="1" x14ac:dyDescent="0.5"/>
    <row r="1487" s="4" customFormat="1" x14ac:dyDescent="0.5"/>
    <row r="1488" s="4" customFormat="1" x14ac:dyDescent="0.5"/>
    <row r="1489" s="4" customFormat="1" x14ac:dyDescent="0.5"/>
    <row r="1490" s="4" customFormat="1" x14ac:dyDescent="0.5"/>
    <row r="1491" s="4" customFormat="1" x14ac:dyDescent="0.5"/>
    <row r="1492" s="4" customFormat="1" x14ac:dyDescent="0.5"/>
    <row r="1493" s="4" customFormat="1" x14ac:dyDescent="0.5"/>
    <row r="1494" s="4" customFormat="1" x14ac:dyDescent="0.5"/>
    <row r="1495" s="4" customFormat="1" x14ac:dyDescent="0.5"/>
    <row r="1496" s="4" customFormat="1" x14ac:dyDescent="0.5"/>
    <row r="1497" s="4" customFormat="1" x14ac:dyDescent="0.5"/>
    <row r="1498" s="4" customFormat="1" x14ac:dyDescent="0.5"/>
    <row r="1499" s="4" customFormat="1" x14ac:dyDescent="0.5"/>
    <row r="1500" s="4" customFormat="1" x14ac:dyDescent="0.5"/>
    <row r="1501" s="4" customFormat="1" x14ac:dyDescent="0.5"/>
    <row r="1502" s="4" customFormat="1" x14ac:dyDescent="0.5"/>
    <row r="1503" s="4" customFormat="1" x14ac:dyDescent="0.5"/>
    <row r="1504" s="4" customFormat="1" x14ac:dyDescent="0.5"/>
    <row r="1505" s="4" customFormat="1" x14ac:dyDescent="0.5"/>
    <row r="1506" s="4" customFormat="1" x14ac:dyDescent="0.5"/>
    <row r="1507" s="4" customFormat="1" x14ac:dyDescent="0.5"/>
    <row r="1508" s="4" customFormat="1" x14ac:dyDescent="0.5"/>
    <row r="1509" s="4" customFormat="1" x14ac:dyDescent="0.5"/>
    <row r="1510" s="4" customFormat="1" x14ac:dyDescent="0.5"/>
    <row r="1511" s="4" customFormat="1" x14ac:dyDescent="0.5"/>
    <row r="1512" s="4" customFormat="1" x14ac:dyDescent="0.5"/>
    <row r="1513" s="4" customFormat="1" x14ac:dyDescent="0.5"/>
    <row r="1514" s="4" customFormat="1" x14ac:dyDescent="0.5"/>
    <row r="1515" s="4" customFormat="1" x14ac:dyDescent="0.5"/>
    <row r="1516" s="4" customFormat="1" x14ac:dyDescent="0.5"/>
    <row r="1517" s="4" customFormat="1" x14ac:dyDescent="0.5"/>
    <row r="1518" s="4" customFormat="1" x14ac:dyDescent="0.5"/>
    <row r="1519" s="4" customFormat="1" x14ac:dyDescent="0.5"/>
    <row r="1520" s="4" customFormat="1" x14ac:dyDescent="0.5"/>
    <row r="1521" s="4" customFormat="1" x14ac:dyDescent="0.5"/>
    <row r="1522" s="4" customFormat="1" x14ac:dyDescent="0.5"/>
    <row r="1523" s="4" customFormat="1" x14ac:dyDescent="0.5"/>
    <row r="1524" s="4" customFormat="1" x14ac:dyDescent="0.5"/>
    <row r="1525" s="4" customFormat="1" x14ac:dyDescent="0.5"/>
    <row r="1526" s="4" customFormat="1" x14ac:dyDescent="0.5"/>
    <row r="1527" s="4" customFormat="1" x14ac:dyDescent="0.5"/>
    <row r="1528" s="4" customFormat="1" x14ac:dyDescent="0.5"/>
    <row r="1529" s="4" customFormat="1" x14ac:dyDescent="0.5"/>
    <row r="1530" s="4" customFormat="1" x14ac:dyDescent="0.5"/>
    <row r="1531" s="4" customFormat="1" x14ac:dyDescent="0.5"/>
    <row r="1532" s="4" customFormat="1" x14ac:dyDescent="0.5"/>
    <row r="1533" s="4" customFormat="1" x14ac:dyDescent="0.5"/>
    <row r="1534" s="4" customFormat="1" x14ac:dyDescent="0.5"/>
    <row r="1535" s="4" customFormat="1" x14ac:dyDescent="0.5"/>
    <row r="1536" s="4" customFormat="1" x14ac:dyDescent="0.5"/>
    <row r="1537" s="4" customFormat="1" x14ac:dyDescent="0.5"/>
    <row r="1538" s="4" customFormat="1" x14ac:dyDescent="0.5"/>
    <row r="1539" s="4" customFormat="1" x14ac:dyDescent="0.5"/>
    <row r="1540" s="4" customFormat="1" x14ac:dyDescent="0.5"/>
    <row r="1541" s="4" customFormat="1" x14ac:dyDescent="0.5"/>
    <row r="1542" s="4" customFormat="1" x14ac:dyDescent="0.5"/>
    <row r="1543" s="4" customFormat="1" x14ac:dyDescent="0.5"/>
    <row r="1544" s="4" customFormat="1" x14ac:dyDescent="0.5"/>
    <row r="1545" s="4" customFormat="1" x14ac:dyDescent="0.5"/>
    <row r="1546" s="4" customFormat="1" x14ac:dyDescent="0.5"/>
    <row r="1547" s="4" customFormat="1" x14ac:dyDescent="0.5"/>
    <row r="1548" s="4" customFormat="1" x14ac:dyDescent="0.5"/>
    <row r="1549" s="4" customFormat="1" x14ac:dyDescent="0.5"/>
    <row r="1550" s="4" customFormat="1" x14ac:dyDescent="0.5"/>
    <row r="1551" s="4" customFormat="1" x14ac:dyDescent="0.5"/>
    <row r="1552" s="4" customFormat="1" x14ac:dyDescent="0.5"/>
    <row r="1553" s="4" customFormat="1" x14ac:dyDescent="0.5"/>
    <row r="1554" s="4" customFormat="1" x14ac:dyDescent="0.5"/>
    <row r="1555" s="4" customFormat="1" x14ac:dyDescent="0.5"/>
    <row r="1556" s="4" customFormat="1" x14ac:dyDescent="0.5"/>
    <row r="1557" s="4" customFormat="1" x14ac:dyDescent="0.5"/>
    <row r="1558" s="4" customFormat="1" x14ac:dyDescent="0.5"/>
    <row r="1559" s="4" customFormat="1" x14ac:dyDescent="0.5"/>
    <row r="1560" s="4" customFormat="1" x14ac:dyDescent="0.5"/>
    <row r="1561" s="4" customFormat="1" x14ac:dyDescent="0.5"/>
    <row r="1562" s="4" customFormat="1" x14ac:dyDescent="0.5"/>
    <row r="1563" s="4" customFormat="1" x14ac:dyDescent="0.5"/>
    <row r="1564" s="4" customFormat="1" x14ac:dyDescent="0.5"/>
    <row r="1565" s="4" customFormat="1" x14ac:dyDescent="0.5"/>
    <row r="1566" s="4" customFormat="1" x14ac:dyDescent="0.5"/>
    <row r="1567" s="4" customFormat="1" x14ac:dyDescent="0.5"/>
    <row r="1568" s="4" customFormat="1" x14ac:dyDescent="0.5"/>
    <row r="1569" s="4" customFormat="1" x14ac:dyDescent="0.5"/>
    <row r="1570" s="4" customFormat="1" x14ac:dyDescent="0.5"/>
    <row r="1571" s="4" customFormat="1" x14ac:dyDescent="0.5"/>
    <row r="1572" s="4" customFormat="1" x14ac:dyDescent="0.5"/>
    <row r="1573" s="4" customFormat="1" x14ac:dyDescent="0.5"/>
    <row r="1574" s="4" customFormat="1" x14ac:dyDescent="0.5"/>
    <row r="1575" s="4" customFormat="1" x14ac:dyDescent="0.5"/>
    <row r="1576" s="4" customFormat="1" x14ac:dyDescent="0.5"/>
    <row r="1577" s="4" customFormat="1" x14ac:dyDescent="0.5"/>
    <row r="1578" s="4" customFormat="1" x14ac:dyDescent="0.5"/>
    <row r="1579" s="4" customFormat="1" x14ac:dyDescent="0.5"/>
    <row r="1580" s="4" customFormat="1" x14ac:dyDescent="0.5"/>
    <row r="1581" s="4" customFormat="1" x14ac:dyDescent="0.5"/>
    <row r="1582" s="4" customFormat="1" x14ac:dyDescent="0.5"/>
    <row r="1583" s="4" customFormat="1" x14ac:dyDescent="0.5"/>
    <row r="1584" s="4" customFormat="1" x14ac:dyDescent="0.5"/>
    <row r="1585" s="4" customFormat="1" x14ac:dyDescent="0.5"/>
    <row r="1586" s="4" customFormat="1" x14ac:dyDescent="0.5"/>
    <row r="1587" s="4" customFormat="1" x14ac:dyDescent="0.5"/>
    <row r="1588" s="4" customFormat="1" x14ac:dyDescent="0.5"/>
    <row r="1589" s="4" customFormat="1" x14ac:dyDescent="0.5"/>
    <row r="1590" s="4" customFormat="1" x14ac:dyDescent="0.5"/>
    <row r="1591" s="4" customFormat="1" x14ac:dyDescent="0.5"/>
    <row r="1592" s="4" customFormat="1" x14ac:dyDescent="0.5"/>
    <row r="1593" s="4" customFormat="1" x14ac:dyDescent="0.5"/>
    <row r="1594" s="4" customFormat="1" x14ac:dyDescent="0.5"/>
    <row r="1595" s="4" customFormat="1" x14ac:dyDescent="0.5"/>
    <row r="1596" s="4" customFormat="1" x14ac:dyDescent="0.5"/>
    <row r="1597" s="4" customFormat="1" x14ac:dyDescent="0.5"/>
    <row r="1598" s="4" customFormat="1" x14ac:dyDescent="0.5"/>
    <row r="1599" s="4" customFormat="1" x14ac:dyDescent="0.5"/>
    <row r="1600" s="4" customFormat="1" x14ac:dyDescent="0.5"/>
    <row r="1601" s="4" customFormat="1" x14ac:dyDescent="0.5"/>
    <row r="1602" s="4" customFormat="1" x14ac:dyDescent="0.5"/>
    <row r="1603" s="4" customFormat="1" x14ac:dyDescent="0.5"/>
    <row r="1604" s="4" customFormat="1" x14ac:dyDescent="0.5"/>
    <row r="1605" s="4" customFormat="1" x14ac:dyDescent="0.5"/>
    <row r="1606" s="4" customFormat="1" x14ac:dyDescent="0.5"/>
    <row r="1607" s="4" customFormat="1" x14ac:dyDescent="0.5"/>
    <row r="1608" s="4" customFormat="1" x14ac:dyDescent="0.5"/>
    <row r="1609" s="4" customFormat="1" x14ac:dyDescent="0.5"/>
    <row r="1610" s="4" customFormat="1" x14ac:dyDescent="0.5"/>
    <row r="1611" s="4" customFormat="1" x14ac:dyDescent="0.5"/>
    <row r="1612" s="4" customFormat="1" x14ac:dyDescent="0.5"/>
    <row r="1613" s="4" customFormat="1" x14ac:dyDescent="0.5"/>
    <row r="1614" s="4" customFormat="1" x14ac:dyDescent="0.5"/>
    <row r="1615" s="4" customFormat="1" x14ac:dyDescent="0.5"/>
    <row r="1616" s="4" customFormat="1" x14ac:dyDescent="0.5"/>
    <row r="1617" s="4" customFormat="1" x14ac:dyDescent="0.5"/>
    <row r="1618" s="4" customFormat="1" x14ac:dyDescent="0.5"/>
    <row r="1619" s="4" customFormat="1" x14ac:dyDescent="0.5"/>
    <row r="1620" s="4" customFormat="1" x14ac:dyDescent="0.5"/>
    <row r="1621" s="4" customFormat="1" x14ac:dyDescent="0.5"/>
    <row r="1622" s="4" customFormat="1" x14ac:dyDescent="0.5"/>
    <row r="1623" s="4" customFormat="1" x14ac:dyDescent="0.5"/>
    <row r="1624" s="4" customFormat="1" x14ac:dyDescent="0.5"/>
    <row r="1625" s="4" customFormat="1" x14ac:dyDescent="0.5"/>
    <row r="1626" s="4" customFormat="1" x14ac:dyDescent="0.5"/>
    <row r="1627" s="4" customFormat="1" x14ac:dyDescent="0.5"/>
    <row r="1628" s="4" customFormat="1" x14ac:dyDescent="0.5"/>
    <row r="1629" s="4" customFormat="1" x14ac:dyDescent="0.5"/>
    <row r="1630" s="4" customFormat="1" x14ac:dyDescent="0.5"/>
    <row r="1631" s="4" customFormat="1" x14ac:dyDescent="0.5"/>
    <row r="1632" s="4" customFormat="1" x14ac:dyDescent="0.5"/>
    <row r="1633" s="4" customFormat="1" x14ac:dyDescent="0.5"/>
    <row r="1634" s="4" customFormat="1" x14ac:dyDescent="0.5"/>
    <row r="1635" s="4" customFormat="1" x14ac:dyDescent="0.5"/>
    <row r="1636" s="4" customFormat="1" x14ac:dyDescent="0.5"/>
    <row r="1637" s="4" customFormat="1" x14ac:dyDescent="0.5"/>
    <row r="1638" s="4" customFormat="1" x14ac:dyDescent="0.5"/>
    <row r="1639" s="4" customFormat="1" x14ac:dyDescent="0.5"/>
    <row r="1640" s="4" customFormat="1" x14ac:dyDescent="0.5"/>
    <row r="1641" s="4" customFormat="1" x14ac:dyDescent="0.5"/>
    <row r="1642" s="4" customFormat="1" x14ac:dyDescent="0.5"/>
    <row r="1643" s="4" customFormat="1" x14ac:dyDescent="0.5"/>
    <row r="1644" s="4" customFormat="1" x14ac:dyDescent="0.5"/>
    <row r="1645" s="4" customFormat="1" x14ac:dyDescent="0.5"/>
    <row r="1646" s="4" customFormat="1" x14ac:dyDescent="0.5"/>
    <row r="1647" s="4" customFormat="1" x14ac:dyDescent="0.5"/>
    <row r="1648" s="4" customFormat="1" x14ac:dyDescent="0.5"/>
    <row r="1649" s="4" customFormat="1" x14ac:dyDescent="0.5"/>
    <row r="1650" s="4" customFormat="1" x14ac:dyDescent="0.5"/>
    <row r="1651" s="4" customFormat="1" x14ac:dyDescent="0.5"/>
    <row r="1652" s="4" customFormat="1" x14ac:dyDescent="0.5"/>
    <row r="1653" s="4" customFormat="1" x14ac:dyDescent="0.5"/>
    <row r="1654" s="4" customFormat="1" x14ac:dyDescent="0.5"/>
    <row r="1655" s="4" customFormat="1" x14ac:dyDescent="0.5"/>
    <row r="1656" s="4" customFormat="1" x14ac:dyDescent="0.5"/>
    <row r="1657" s="4" customFormat="1" x14ac:dyDescent="0.5"/>
    <row r="1658" s="4" customFormat="1" x14ac:dyDescent="0.5"/>
    <row r="1659" s="4" customFormat="1" x14ac:dyDescent="0.5"/>
    <row r="1660" s="4" customFormat="1" x14ac:dyDescent="0.5"/>
    <row r="1661" s="4" customFormat="1" x14ac:dyDescent="0.5"/>
    <row r="1662" s="4" customFormat="1" x14ac:dyDescent="0.5"/>
    <row r="1663" s="4" customFormat="1" x14ac:dyDescent="0.5"/>
    <row r="1664" s="4" customFormat="1" x14ac:dyDescent="0.5"/>
    <row r="1665" s="4" customFormat="1" x14ac:dyDescent="0.5"/>
    <row r="1666" s="4" customFormat="1" x14ac:dyDescent="0.5"/>
    <row r="1667" s="4" customFormat="1" x14ac:dyDescent="0.5"/>
    <row r="1668" s="4" customFormat="1" x14ac:dyDescent="0.5"/>
    <row r="1669" s="4" customFormat="1" x14ac:dyDescent="0.5"/>
    <row r="1670" s="4" customFormat="1" x14ac:dyDescent="0.5"/>
    <row r="1671" s="4" customFormat="1" x14ac:dyDescent="0.5"/>
    <row r="1672" s="4" customFormat="1" x14ac:dyDescent="0.5"/>
    <row r="1673" s="4" customFormat="1" x14ac:dyDescent="0.5"/>
    <row r="1674" s="4" customFormat="1" x14ac:dyDescent="0.5"/>
    <row r="1675" s="4" customFormat="1" x14ac:dyDescent="0.5"/>
    <row r="1676" s="4" customFormat="1" x14ac:dyDescent="0.5"/>
    <row r="1677" s="4" customFormat="1" x14ac:dyDescent="0.5"/>
    <row r="1678" s="4" customFormat="1" x14ac:dyDescent="0.5"/>
    <row r="1679" s="4" customFormat="1" x14ac:dyDescent="0.5"/>
    <row r="1680" s="4" customFormat="1" x14ac:dyDescent="0.5"/>
    <row r="1681" s="4" customFormat="1" x14ac:dyDescent="0.5"/>
    <row r="1682" s="4" customFormat="1" x14ac:dyDescent="0.5"/>
    <row r="1683" s="4" customFormat="1" x14ac:dyDescent="0.5"/>
    <row r="1684" s="4" customFormat="1" x14ac:dyDescent="0.5"/>
    <row r="1685" s="4" customFormat="1" x14ac:dyDescent="0.5"/>
    <row r="1686" s="4" customFormat="1" x14ac:dyDescent="0.5"/>
    <row r="1687" s="4" customFormat="1" x14ac:dyDescent="0.5"/>
    <row r="1688" s="4" customFormat="1" x14ac:dyDescent="0.5"/>
    <row r="1689" s="4" customFormat="1" x14ac:dyDescent="0.5"/>
    <row r="1690" s="4" customFormat="1" x14ac:dyDescent="0.5"/>
    <row r="1691" s="4" customFormat="1" x14ac:dyDescent="0.5"/>
    <row r="1692" s="4" customFormat="1" x14ac:dyDescent="0.5"/>
    <row r="1693" s="4" customFormat="1" x14ac:dyDescent="0.5"/>
    <row r="1694" s="4" customFormat="1" x14ac:dyDescent="0.5"/>
    <row r="1695" s="4" customFormat="1" x14ac:dyDescent="0.5"/>
    <row r="1696" s="4" customFormat="1" x14ac:dyDescent="0.5"/>
    <row r="1697" s="4" customFormat="1" x14ac:dyDescent="0.5"/>
    <row r="1698" s="4" customFormat="1" x14ac:dyDescent="0.5"/>
    <row r="1699" s="4" customFormat="1" x14ac:dyDescent="0.5"/>
    <row r="1700" s="4" customFormat="1" x14ac:dyDescent="0.5"/>
    <row r="1701" s="4" customFormat="1" x14ac:dyDescent="0.5"/>
    <row r="1702" s="4" customFormat="1" x14ac:dyDescent="0.5"/>
    <row r="1703" s="4" customFormat="1" x14ac:dyDescent="0.5"/>
    <row r="1704" s="4" customFormat="1" x14ac:dyDescent="0.5"/>
    <row r="1705" s="4" customFormat="1" x14ac:dyDescent="0.5"/>
    <row r="1706" s="4" customFormat="1" x14ac:dyDescent="0.5"/>
    <row r="1707" s="4" customFormat="1" x14ac:dyDescent="0.5"/>
    <row r="1708" s="4" customFormat="1" x14ac:dyDescent="0.5"/>
    <row r="1709" s="4" customFormat="1" x14ac:dyDescent="0.5"/>
    <row r="1710" s="4" customFormat="1" x14ac:dyDescent="0.5"/>
    <row r="1711" s="4" customFormat="1" x14ac:dyDescent="0.5"/>
    <row r="1712" s="4" customFormat="1" x14ac:dyDescent="0.5"/>
    <row r="1713" s="4" customFormat="1" x14ac:dyDescent="0.5"/>
    <row r="1714" s="4" customFormat="1" x14ac:dyDescent="0.5"/>
    <row r="1715" s="4" customFormat="1" x14ac:dyDescent="0.5"/>
    <row r="1716" s="4" customFormat="1" x14ac:dyDescent="0.5"/>
    <row r="1717" s="4" customFormat="1" x14ac:dyDescent="0.5"/>
    <row r="1718" s="4" customFormat="1" x14ac:dyDescent="0.5"/>
    <row r="1719" s="4" customFormat="1" x14ac:dyDescent="0.5"/>
    <row r="1720" s="4" customFormat="1" x14ac:dyDescent="0.5"/>
    <row r="1721" s="4" customFormat="1" x14ac:dyDescent="0.5"/>
    <row r="1722" s="4" customFormat="1" x14ac:dyDescent="0.5"/>
    <row r="1723" s="4" customFormat="1" x14ac:dyDescent="0.5"/>
    <row r="1724" s="4" customFormat="1" x14ac:dyDescent="0.5"/>
    <row r="1725" s="4" customFormat="1" x14ac:dyDescent="0.5"/>
    <row r="1726" s="4" customFormat="1" x14ac:dyDescent="0.5"/>
    <row r="1727" s="4" customFormat="1" x14ac:dyDescent="0.5"/>
    <row r="1728" s="4" customFormat="1" x14ac:dyDescent="0.5"/>
    <row r="1729" s="4" customFormat="1" x14ac:dyDescent="0.5"/>
    <row r="1730" s="4" customFormat="1" x14ac:dyDescent="0.5"/>
    <row r="1731" s="4" customFormat="1" x14ac:dyDescent="0.5"/>
    <row r="1732" s="4" customFormat="1" x14ac:dyDescent="0.5"/>
    <row r="1733" s="4" customFormat="1" x14ac:dyDescent="0.5"/>
    <row r="1734" s="4" customFormat="1" x14ac:dyDescent="0.5"/>
    <row r="1735" s="4" customFormat="1" x14ac:dyDescent="0.5"/>
    <row r="1736" s="4" customFormat="1" x14ac:dyDescent="0.5"/>
    <row r="1737" s="4" customFormat="1" x14ac:dyDescent="0.5"/>
    <row r="1738" s="4" customFormat="1" x14ac:dyDescent="0.5"/>
    <row r="1739" s="4" customFormat="1" x14ac:dyDescent="0.5"/>
    <row r="1740" s="4" customFormat="1" x14ac:dyDescent="0.5"/>
    <row r="1741" s="4" customFormat="1" x14ac:dyDescent="0.5"/>
    <row r="1742" s="4" customFormat="1" x14ac:dyDescent="0.5"/>
    <row r="1743" s="4" customFormat="1" x14ac:dyDescent="0.5"/>
    <row r="1744" s="4" customFormat="1" x14ac:dyDescent="0.5"/>
    <row r="1745" s="4" customFormat="1" x14ac:dyDescent="0.5"/>
    <row r="1746" s="4" customFormat="1" x14ac:dyDescent="0.5"/>
    <row r="1747" s="4" customFormat="1" x14ac:dyDescent="0.5"/>
    <row r="1748" s="4" customFormat="1" x14ac:dyDescent="0.5"/>
    <row r="1749" s="4" customFormat="1" x14ac:dyDescent="0.5"/>
    <row r="1750" s="4" customFormat="1" x14ac:dyDescent="0.5"/>
    <row r="1751" s="4" customFormat="1" x14ac:dyDescent="0.5"/>
    <row r="1752" s="4" customFormat="1" x14ac:dyDescent="0.5"/>
    <row r="1753" s="4" customFormat="1" x14ac:dyDescent="0.5"/>
    <row r="1754" s="4" customFormat="1" x14ac:dyDescent="0.5"/>
    <row r="1755" s="4" customFormat="1" x14ac:dyDescent="0.5"/>
    <row r="1756" s="4" customFormat="1" x14ac:dyDescent="0.5"/>
    <row r="1757" s="4" customFormat="1" x14ac:dyDescent="0.5"/>
    <row r="1758" s="4" customFormat="1" x14ac:dyDescent="0.5"/>
    <row r="1759" s="4" customFormat="1" x14ac:dyDescent="0.5"/>
    <row r="1760" s="4" customFormat="1" x14ac:dyDescent="0.5"/>
    <row r="1761" s="4" customFormat="1" x14ac:dyDescent="0.5"/>
    <row r="1762" s="4" customFormat="1" x14ac:dyDescent="0.5"/>
    <row r="1763" s="4" customFormat="1" x14ac:dyDescent="0.5"/>
    <row r="1764" s="4" customFormat="1" x14ac:dyDescent="0.5"/>
    <row r="1765" s="4" customFormat="1" x14ac:dyDescent="0.5"/>
    <row r="1766" s="4" customFormat="1" x14ac:dyDescent="0.5"/>
    <row r="1767" s="4" customFormat="1" x14ac:dyDescent="0.5"/>
    <row r="1768" s="4" customFormat="1" x14ac:dyDescent="0.5"/>
    <row r="1769" s="4" customFormat="1" x14ac:dyDescent="0.5"/>
    <row r="1770" s="4" customFormat="1" x14ac:dyDescent="0.5"/>
    <row r="1771" s="4" customFormat="1" x14ac:dyDescent="0.5"/>
    <row r="1772" s="4" customFormat="1" x14ac:dyDescent="0.5"/>
    <row r="1773" s="4" customFormat="1" x14ac:dyDescent="0.5"/>
    <row r="1774" s="4" customFormat="1" x14ac:dyDescent="0.5"/>
    <row r="1775" s="4" customFormat="1" x14ac:dyDescent="0.5"/>
    <row r="1776" s="4" customFormat="1" x14ac:dyDescent="0.5"/>
    <row r="1777" s="4" customFormat="1" x14ac:dyDescent="0.5"/>
    <row r="1778" s="4" customFormat="1" x14ac:dyDescent="0.5"/>
    <row r="1779" s="4" customFormat="1" x14ac:dyDescent="0.5"/>
    <row r="1780" s="4" customFormat="1" x14ac:dyDescent="0.5"/>
    <row r="1781" s="4" customFormat="1" x14ac:dyDescent="0.5"/>
    <row r="1782" s="4" customFormat="1" x14ac:dyDescent="0.5"/>
    <row r="1783" s="4" customFormat="1" x14ac:dyDescent="0.5"/>
    <row r="1784" s="4" customFormat="1" x14ac:dyDescent="0.5"/>
    <row r="1785" s="4" customFormat="1" x14ac:dyDescent="0.5"/>
    <row r="1786" s="4" customFormat="1" x14ac:dyDescent="0.5"/>
    <row r="1787" s="4" customFormat="1" x14ac:dyDescent="0.5"/>
    <row r="1788" s="4" customFormat="1" x14ac:dyDescent="0.5"/>
    <row r="1789" s="4" customFormat="1" x14ac:dyDescent="0.5"/>
    <row r="1790" s="4" customFormat="1" x14ac:dyDescent="0.5"/>
    <row r="1791" s="4" customFormat="1" x14ac:dyDescent="0.5"/>
    <row r="1792" s="4" customFormat="1" x14ac:dyDescent="0.5"/>
    <row r="1793" s="4" customFormat="1" x14ac:dyDescent="0.5"/>
    <row r="1794" s="4" customFormat="1" x14ac:dyDescent="0.5"/>
    <row r="1795" s="4" customFormat="1" x14ac:dyDescent="0.5"/>
    <row r="1796" s="4" customFormat="1" x14ac:dyDescent="0.5"/>
    <row r="1797" s="4" customFormat="1" x14ac:dyDescent="0.5"/>
    <row r="1798" s="4" customFormat="1" x14ac:dyDescent="0.5"/>
    <row r="1799" s="4" customFormat="1" x14ac:dyDescent="0.5"/>
    <row r="1800" s="4" customFormat="1" x14ac:dyDescent="0.5"/>
    <row r="1801" s="4" customFormat="1" x14ac:dyDescent="0.5"/>
    <row r="1802" s="4" customFormat="1" x14ac:dyDescent="0.5"/>
    <row r="1803" s="4" customFormat="1" x14ac:dyDescent="0.5"/>
    <row r="1804" s="4" customFormat="1" x14ac:dyDescent="0.5"/>
    <row r="1805" s="4" customFormat="1" x14ac:dyDescent="0.5"/>
    <row r="1806" s="4" customFormat="1" x14ac:dyDescent="0.5"/>
    <row r="1807" s="4" customFormat="1" x14ac:dyDescent="0.5"/>
    <row r="1808" s="4" customFormat="1" x14ac:dyDescent="0.5"/>
    <row r="1809" s="4" customFormat="1" x14ac:dyDescent="0.5"/>
    <row r="1810" s="4" customFormat="1" x14ac:dyDescent="0.5"/>
    <row r="1811" s="4" customFormat="1" x14ac:dyDescent="0.5"/>
    <row r="1812" s="4" customFormat="1" x14ac:dyDescent="0.5"/>
    <row r="1813" s="4" customFormat="1" x14ac:dyDescent="0.5"/>
    <row r="1814" s="4" customFormat="1" x14ac:dyDescent="0.5"/>
    <row r="1815" s="4" customFormat="1" x14ac:dyDescent="0.5"/>
    <row r="1816" s="4" customFormat="1" x14ac:dyDescent="0.5"/>
    <row r="1817" s="4" customFormat="1" x14ac:dyDescent="0.5"/>
    <row r="1818" s="4" customFormat="1" x14ac:dyDescent="0.5"/>
    <row r="1819" s="4" customFormat="1" x14ac:dyDescent="0.5"/>
    <row r="1820" s="4" customFormat="1" x14ac:dyDescent="0.5"/>
    <row r="1821" s="4" customFormat="1" x14ac:dyDescent="0.5"/>
    <row r="1822" s="4" customFormat="1" x14ac:dyDescent="0.5"/>
    <row r="1823" s="4" customFormat="1" x14ac:dyDescent="0.5"/>
    <row r="1824" s="4" customFormat="1" x14ac:dyDescent="0.5"/>
    <row r="1825" s="4" customFormat="1" x14ac:dyDescent="0.5"/>
    <row r="1826" s="4" customFormat="1" x14ac:dyDescent="0.5"/>
    <row r="1827" s="4" customFormat="1" x14ac:dyDescent="0.5"/>
    <row r="1828" s="4" customFormat="1" x14ac:dyDescent="0.5"/>
    <row r="1829" s="4" customFormat="1" x14ac:dyDescent="0.5"/>
    <row r="1830" s="4" customFormat="1" x14ac:dyDescent="0.5"/>
    <row r="1831" s="4" customFormat="1" x14ac:dyDescent="0.5"/>
    <row r="1832" s="4" customFormat="1" x14ac:dyDescent="0.5"/>
    <row r="1833" s="4" customFormat="1" x14ac:dyDescent="0.5"/>
    <row r="1834" s="4" customFormat="1" x14ac:dyDescent="0.5"/>
    <row r="1835" s="4" customFormat="1" x14ac:dyDescent="0.5"/>
    <row r="1836" s="4" customFormat="1" x14ac:dyDescent="0.5"/>
    <row r="1837" s="4" customFormat="1" x14ac:dyDescent="0.5"/>
    <row r="1838" s="4" customFormat="1" x14ac:dyDescent="0.5"/>
    <row r="1839" s="4" customFormat="1" x14ac:dyDescent="0.5"/>
    <row r="1840" s="4" customFormat="1" x14ac:dyDescent="0.5"/>
    <row r="1841" s="4" customFormat="1" x14ac:dyDescent="0.5"/>
    <row r="1842" s="4" customFormat="1" x14ac:dyDescent="0.5"/>
    <row r="1843" s="4" customFormat="1" x14ac:dyDescent="0.5"/>
    <row r="1844" s="4" customFormat="1" x14ac:dyDescent="0.5"/>
    <row r="1845" s="4" customFormat="1" x14ac:dyDescent="0.5"/>
    <row r="1846" s="4" customFormat="1" x14ac:dyDescent="0.5"/>
    <row r="1847" s="4" customFormat="1" x14ac:dyDescent="0.5"/>
    <row r="1848" s="4" customFormat="1" x14ac:dyDescent="0.5"/>
    <row r="1849" s="4" customFormat="1" x14ac:dyDescent="0.5"/>
    <row r="1850" s="4" customFormat="1" x14ac:dyDescent="0.5"/>
    <row r="1851" s="4" customFormat="1" x14ac:dyDescent="0.5"/>
    <row r="1852" s="4" customFormat="1" x14ac:dyDescent="0.5"/>
    <row r="1853" s="4" customFormat="1" x14ac:dyDescent="0.5"/>
    <row r="1854" s="4" customFormat="1" x14ac:dyDescent="0.5"/>
    <row r="1855" s="4" customFormat="1" x14ac:dyDescent="0.5"/>
    <row r="1856" s="4" customFormat="1" x14ac:dyDescent="0.5"/>
    <row r="1857" s="4" customFormat="1" x14ac:dyDescent="0.5"/>
    <row r="1858" s="4" customFormat="1" x14ac:dyDescent="0.5"/>
    <row r="1859" s="4" customFormat="1" x14ac:dyDescent="0.5"/>
    <row r="1860" s="4" customFormat="1" x14ac:dyDescent="0.5"/>
    <row r="1861" s="4" customFormat="1" x14ac:dyDescent="0.5"/>
    <row r="1862" s="4" customFormat="1" x14ac:dyDescent="0.5"/>
    <row r="1863" s="4" customFormat="1" x14ac:dyDescent="0.5"/>
    <row r="1864" s="4" customFormat="1" x14ac:dyDescent="0.5"/>
    <row r="1865" s="4" customFormat="1" x14ac:dyDescent="0.5"/>
    <row r="1866" s="4" customFormat="1" x14ac:dyDescent="0.5"/>
    <row r="1867" s="4" customFormat="1" x14ac:dyDescent="0.5"/>
    <row r="1868" s="4" customFormat="1" x14ac:dyDescent="0.5"/>
    <row r="1869" s="4" customFormat="1" x14ac:dyDescent="0.5"/>
    <row r="1870" s="4" customFormat="1" x14ac:dyDescent="0.5"/>
    <row r="1871" s="4" customFormat="1" x14ac:dyDescent="0.5"/>
    <row r="1872" s="4" customFormat="1" x14ac:dyDescent="0.5"/>
    <row r="1873" s="4" customFormat="1" x14ac:dyDescent="0.5"/>
    <row r="1874" s="4" customFormat="1" x14ac:dyDescent="0.5"/>
    <row r="1875" s="4" customFormat="1" x14ac:dyDescent="0.5"/>
    <row r="1876" s="4" customFormat="1" x14ac:dyDescent="0.5"/>
    <row r="1877" s="4" customFormat="1" x14ac:dyDescent="0.5"/>
    <row r="1878" s="4" customFormat="1" x14ac:dyDescent="0.5"/>
    <row r="1879" s="4" customFormat="1" x14ac:dyDescent="0.5"/>
    <row r="1880" s="4" customFormat="1" x14ac:dyDescent="0.5"/>
    <row r="1881" s="4" customFormat="1" x14ac:dyDescent="0.5"/>
    <row r="1882" s="4" customFormat="1" x14ac:dyDescent="0.5"/>
    <row r="1883" s="4" customFormat="1" x14ac:dyDescent="0.5"/>
    <row r="1884" s="4" customFormat="1" x14ac:dyDescent="0.5"/>
    <row r="1885" s="4" customFormat="1" x14ac:dyDescent="0.5"/>
    <row r="1886" s="4" customFormat="1" x14ac:dyDescent="0.5"/>
    <row r="1887" s="4" customFormat="1" x14ac:dyDescent="0.5"/>
    <row r="1888" s="4" customFormat="1" x14ac:dyDescent="0.5"/>
    <row r="1889" s="4" customFormat="1" x14ac:dyDescent="0.5"/>
    <row r="1890" s="4" customFormat="1" x14ac:dyDescent="0.5"/>
    <row r="1891" s="4" customFormat="1" x14ac:dyDescent="0.5"/>
    <row r="1892" s="4" customFormat="1" x14ac:dyDescent="0.5"/>
    <row r="1893" s="4" customFormat="1" x14ac:dyDescent="0.5"/>
    <row r="1894" s="4" customFormat="1" x14ac:dyDescent="0.5"/>
    <row r="1895" s="4" customFormat="1" x14ac:dyDescent="0.5"/>
    <row r="1896" s="4" customFormat="1" x14ac:dyDescent="0.5"/>
    <row r="1897" s="4" customFormat="1" x14ac:dyDescent="0.5"/>
    <row r="1898" s="4" customFormat="1" x14ac:dyDescent="0.5"/>
    <row r="1899" s="4" customFormat="1" x14ac:dyDescent="0.5"/>
    <row r="1900" s="4" customFormat="1" x14ac:dyDescent="0.5"/>
    <row r="1901" s="4" customFormat="1" x14ac:dyDescent="0.5"/>
    <row r="1902" s="4" customFormat="1" x14ac:dyDescent="0.5"/>
    <row r="1903" s="4" customFormat="1" x14ac:dyDescent="0.5"/>
    <row r="1904" s="4" customFormat="1" x14ac:dyDescent="0.5"/>
    <row r="1905" s="4" customFormat="1" x14ac:dyDescent="0.5"/>
    <row r="1906" s="4" customFormat="1" x14ac:dyDescent="0.5"/>
    <row r="1907" s="4" customFormat="1" x14ac:dyDescent="0.5"/>
    <row r="1908" s="4" customFormat="1" x14ac:dyDescent="0.5"/>
    <row r="1909" s="4" customFormat="1" x14ac:dyDescent="0.5"/>
    <row r="1910" s="4" customFormat="1" x14ac:dyDescent="0.5"/>
    <row r="1911" s="4" customFormat="1" x14ac:dyDescent="0.5"/>
    <row r="1912" s="4" customFormat="1" x14ac:dyDescent="0.5"/>
    <row r="1913" s="4" customFormat="1" x14ac:dyDescent="0.5"/>
    <row r="1914" s="4" customFormat="1" x14ac:dyDescent="0.5"/>
    <row r="1915" s="4" customFormat="1" x14ac:dyDescent="0.5"/>
    <row r="1916" s="4" customFormat="1" x14ac:dyDescent="0.5"/>
    <row r="1917" s="4" customFormat="1" x14ac:dyDescent="0.5"/>
    <row r="1918" s="4" customFormat="1" x14ac:dyDescent="0.5"/>
    <row r="1919" s="4" customFormat="1" x14ac:dyDescent="0.5"/>
    <row r="1920" s="4" customFormat="1" x14ac:dyDescent="0.5"/>
    <row r="1921" s="4" customFormat="1" x14ac:dyDescent="0.5"/>
    <row r="1922" s="4" customFormat="1" x14ac:dyDescent="0.5"/>
    <row r="1923" s="4" customFormat="1" x14ac:dyDescent="0.5"/>
    <row r="1924" s="4" customFormat="1" x14ac:dyDescent="0.5"/>
    <row r="1925" s="4" customFormat="1" x14ac:dyDescent="0.5"/>
    <row r="1926" s="4" customFormat="1" x14ac:dyDescent="0.5"/>
    <row r="1927" s="4" customFormat="1" x14ac:dyDescent="0.5"/>
    <row r="1928" s="4" customFormat="1" x14ac:dyDescent="0.5"/>
    <row r="1929" s="4" customFormat="1" x14ac:dyDescent="0.5"/>
    <row r="1930" s="4" customFormat="1" x14ac:dyDescent="0.5"/>
    <row r="1931" s="4" customFormat="1" x14ac:dyDescent="0.5"/>
    <row r="1932" s="4" customFormat="1" x14ac:dyDescent="0.5"/>
    <row r="1933" s="4" customFormat="1" x14ac:dyDescent="0.5"/>
    <row r="1934" s="4" customFormat="1" x14ac:dyDescent="0.5"/>
    <row r="1935" s="4" customFormat="1" x14ac:dyDescent="0.5"/>
    <row r="1936" s="4" customFormat="1" x14ac:dyDescent="0.5"/>
    <row r="1937" s="4" customFormat="1" x14ac:dyDescent="0.5"/>
    <row r="1938" s="4" customFormat="1" x14ac:dyDescent="0.5"/>
    <row r="1939" s="4" customFormat="1" x14ac:dyDescent="0.5"/>
    <row r="1940" s="4" customFormat="1" x14ac:dyDescent="0.5"/>
    <row r="1941" s="4" customFormat="1" x14ac:dyDescent="0.5"/>
    <row r="1942" s="4" customFormat="1" x14ac:dyDescent="0.5"/>
    <row r="1943" s="4" customFormat="1" x14ac:dyDescent="0.5"/>
    <row r="1944" s="4" customFormat="1" x14ac:dyDescent="0.5"/>
    <row r="1945" s="4" customFormat="1" x14ac:dyDescent="0.5"/>
    <row r="1946" s="4" customFormat="1" x14ac:dyDescent="0.5"/>
    <row r="1947" s="4" customFormat="1" x14ac:dyDescent="0.5"/>
    <row r="1948" s="4" customFormat="1" x14ac:dyDescent="0.5"/>
    <row r="1949" s="4" customFormat="1" x14ac:dyDescent="0.5"/>
    <row r="1950" s="4" customFormat="1" x14ac:dyDescent="0.5"/>
    <row r="1951" s="4" customFormat="1" x14ac:dyDescent="0.5"/>
    <row r="1952" s="4" customFormat="1" x14ac:dyDescent="0.5"/>
    <row r="1953" s="4" customFormat="1" x14ac:dyDescent="0.5"/>
    <row r="1954" s="4" customFormat="1" x14ac:dyDescent="0.5"/>
    <row r="1955" s="4" customFormat="1" x14ac:dyDescent="0.5"/>
    <row r="1956" s="4" customFormat="1" x14ac:dyDescent="0.5"/>
    <row r="1957" s="4" customFormat="1" x14ac:dyDescent="0.5"/>
    <row r="1958" s="4" customFormat="1" x14ac:dyDescent="0.5"/>
    <row r="1959" s="4" customFormat="1" x14ac:dyDescent="0.5"/>
    <row r="1960" s="4" customFormat="1" x14ac:dyDescent="0.5"/>
    <row r="1961" s="4" customFormat="1" x14ac:dyDescent="0.5"/>
    <row r="1962" s="4" customFormat="1" x14ac:dyDescent="0.5"/>
    <row r="1963" s="4" customFormat="1" x14ac:dyDescent="0.5"/>
    <row r="1964" s="4" customFormat="1" x14ac:dyDescent="0.5"/>
    <row r="1965" s="4" customFormat="1" x14ac:dyDescent="0.5"/>
    <row r="1966" s="4" customFormat="1" x14ac:dyDescent="0.5"/>
    <row r="1967" s="4" customFormat="1" x14ac:dyDescent="0.5"/>
    <row r="1968" s="4" customFormat="1" x14ac:dyDescent="0.5"/>
    <row r="1969" s="4" customFormat="1" x14ac:dyDescent="0.5"/>
    <row r="1970" s="4" customFormat="1" x14ac:dyDescent="0.5"/>
    <row r="1971" s="4" customFormat="1" x14ac:dyDescent="0.5"/>
    <row r="1972" s="4" customFormat="1" x14ac:dyDescent="0.5"/>
    <row r="1973" s="4" customFormat="1" x14ac:dyDescent="0.5"/>
    <row r="1974" s="4" customFormat="1" x14ac:dyDescent="0.5"/>
    <row r="1975" s="4" customFormat="1" x14ac:dyDescent="0.5"/>
    <row r="1976" s="4" customFormat="1" x14ac:dyDescent="0.5"/>
    <row r="1977" s="4" customFormat="1" x14ac:dyDescent="0.5"/>
    <row r="1978" s="4" customFormat="1" x14ac:dyDescent="0.5"/>
    <row r="1979" s="4" customFormat="1" x14ac:dyDescent="0.5"/>
    <row r="1980" s="4" customFormat="1" x14ac:dyDescent="0.5"/>
    <row r="1981" s="4" customFormat="1" x14ac:dyDescent="0.5"/>
    <row r="1982" s="4" customFormat="1" x14ac:dyDescent="0.5"/>
    <row r="1983" s="4" customFormat="1" x14ac:dyDescent="0.5"/>
    <row r="1984" s="4" customFormat="1" x14ac:dyDescent="0.5"/>
    <row r="1985" s="4" customFormat="1" x14ac:dyDescent="0.5"/>
    <row r="1986" s="4" customFormat="1" x14ac:dyDescent="0.5"/>
    <row r="1987" s="4" customFormat="1" x14ac:dyDescent="0.5"/>
    <row r="1988" s="4" customFormat="1" x14ac:dyDescent="0.5"/>
    <row r="1989" s="4" customFormat="1" x14ac:dyDescent="0.5"/>
    <row r="1990" s="4" customFormat="1" x14ac:dyDescent="0.5"/>
    <row r="1991" s="4" customFormat="1" x14ac:dyDescent="0.5"/>
    <row r="1992" s="4" customFormat="1" x14ac:dyDescent="0.5"/>
    <row r="1993" s="4" customFormat="1" x14ac:dyDescent="0.5"/>
    <row r="1994" s="4" customFormat="1" x14ac:dyDescent="0.5"/>
    <row r="1995" s="4" customFormat="1" x14ac:dyDescent="0.5"/>
    <row r="1996" s="4" customFormat="1" x14ac:dyDescent="0.5"/>
    <row r="1997" s="4" customFormat="1" x14ac:dyDescent="0.5"/>
    <row r="1998" s="4" customFormat="1" x14ac:dyDescent="0.5"/>
    <row r="1999" s="4" customFormat="1" x14ac:dyDescent="0.5"/>
    <row r="2000" s="4" customFormat="1" x14ac:dyDescent="0.5"/>
    <row r="2001" s="4" customFormat="1" x14ac:dyDescent="0.5"/>
    <row r="2002" s="4" customFormat="1" x14ac:dyDescent="0.5"/>
    <row r="2003" s="4" customFormat="1" x14ac:dyDescent="0.5"/>
    <row r="2004" s="4" customFormat="1" x14ac:dyDescent="0.5"/>
    <row r="2005" s="4" customFormat="1" x14ac:dyDescent="0.5"/>
    <row r="2006" s="4" customFormat="1" x14ac:dyDescent="0.5"/>
    <row r="2007" s="4" customFormat="1" x14ac:dyDescent="0.5"/>
    <row r="2008" s="4" customFormat="1" x14ac:dyDescent="0.5"/>
    <row r="2009" s="4" customFormat="1" x14ac:dyDescent="0.5"/>
    <row r="2010" s="4" customFormat="1" x14ac:dyDescent="0.5"/>
    <row r="2011" s="4" customFormat="1" x14ac:dyDescent="0.5"/>
    <row r="2012" s="4" customFormat="1" x14ac:dyDescent="0.5"/>
    <row r="2013" s="4" customFormat="1" x14ac:dyDescent="0.5"/>
    <row r="2014" s="4" customFormat="1" x14ac:dyDescent="0.5"/>
    <row r="2015" s="4" customFormat="1" x14ac:dyDescent="0.5"/>
    <row r="2016" s="4" customFormat="1" x14ac:dyDescent="0.5"/>
    <row r="2017" s="4" customFormat="1" x14ac:dyDescent="0.5"/>
    <row r="2018" s="4" customFormat="1" x14ac:dyDescent="0.5"/>
    <row r="2019" s="4" customFormat="1" x14ac:dyDescent="0.5"/>
    <row r="2020" s="4" customFormat="1" x14ac:dyDescent="0.5"/>
    <row r="2021" s="4" customFormat="1" x14ac:dyDescent="0.5"/>
    <row r="2022" s="4" customFormat="1" x14ac:dyDescent="0.5"/>
    <row r="2023" s="4" customFormat="1" x14ac:dyDescent="0.5"/>
    <row r="2024" s="4" customFormat="1" x14ac:dyDescent="0.5"/>
    <row r="2025" s="4" customFormat="1" x14ac:dyDescent="0.5"/>
    <row r="2026" s="4" customFormat="1" x14ac:dyDescent="0.5"/>
    <row r="2027" s="4" customFormat="1" x14ac:dyDescent="0.5"/>
    <row r="2028" s="4" customFormat="1" x14ac:dyDescent="0.5"/>
    <row r="2029" s="4" customFormat="1" x14ac:dyDescent="0.5"/>
    <row r="2030" s="4" customFormat="1" x14ac:dyDescent="0.5"/>
    <row r="2031" s="4" customFormat="1" x14ac:dyDescent="0.5"/>
    <row r="2032" s="4" customFormat="1" x14ac:dyDescent="0.5"/>
    <row r="2033" s="4" customFormat="1" x14ac:dyDescent="0.5"/>
    <row r="2034" s="4" customFormat="1" x14ac:dyDescent="0.5"/>
    <row r="2035" s="4" customFormat="1" x14ac:dyDescent="0.5"/>
    <row r="2036" s="4" customFormat="1" x14ac:dyDescent="0.5"/>
    <row r="2037" s="4" customFormat="1" x14ac:dyDescent="0.5"/>
    <row r="2038" s="4" customFormat="1" x14ac:dyDescent="0.5"/>
    <row r="2039" s="4" customFormat="1" x14ac:dyDescent="0.5"/>
    <row r="2040" s="4" customFormat="1" x14ac:dyDescent="0.5"/>
    <row r="2041" s="4" customFormat="1" x14ac:dyDescent="0.5"/>
    <row r="2042" s="4" customFormat="1" x14ac:dyDescent="0.5"/>
    <row r="2043" s="4" customFormat="1" x14ac:dyDescent="0.5"/>
    <row r="2044" s="4" customFormat="1" x14ac:dyDescent="0.5"/>
    <row r="2045" s="4" customFormat="1" x14ac:dyDescent="0.5"/>
    <row r="2046" s="4" customFormat="1" x14ac:dyDescent="0.5"/>
    <row r="2047" s="4" customFormat="1" x14ac:dyDescent="0.5"/>
    <row r="2048" s="4" customFormat="1" x14ac:dyDescent="0.5"/>
    <row r="2049" s="4" customFormat="1" x14ac:dyDescent="0.5"/>
    <row r="2050" s="4" customFormat="1" x14ac:dyDescent="0.5"/>
    <row r="2051" s="4" customFormat="1" x14ac:dyDescent="0.5"/>
    <row r="2052" s="4" customFormat="1" x14ac:dyDescent="0.5"/>
    <row r="2053" s="4" customFormat="1" x14ac:dyDescent="0.5"/>
    <row r="2054" s="4" customFormat="1" x14ac:dyDescent="0.5"/>
    <row r="2055" s="4" customFormat="1" x14ac:dyDescent="0.5"/>
    <row r="2056" s="4" customFormat="1" x14ac:dyDescent="0.5"/>
    <row r="2057" s="4" customFormat="1" x14ac:dyDescent="0.5"/>
    <row r="2058" s="4" customFormat="1" x14ac:dyDescent="0.5"/>
    <row r="2059" s="4" customFormat="1" x14ac:dyDescent="0.5"/>
    <row r="2060" s="4" customFormat="1" x14ac:dyDescent="0.5"/>
    <row r="2061" s="4" customFormat="1" x14ac:dyDescent="0.5"/>
    <row r="2062" s="4" customFormat="1" x14ac:dyDescent="0.5"/>
    <row r="2063" s="4" customFormat="1" x14ac:dyDescent="0.5"/>
    <row r="2064" s="4" customFormat="1" x14ac:dyDescent="0.5"/>
    <row r="2065" s="4" customFormat="1" x14ac:dyDescent="0.5"/>
    <row r="2066" s="4" customFormat="1" x14ac:dyDescent="0.5"/>
    <row r="2067" s="4" customFormat="1" x14ac:dyDescent="0.5"/>
    <row r="2068" s="4" customFormat="1" x14ac:dyDescent="0.5"/>
    <row r="2069" s="4" customFormat="1" x14ac:dyDescent="0.5"/>
    <row r="2070" s="4" customFormat="1" x14ac:dyDescent="0.5"/>
    <row r="2071" s="4" customFormat="1" x14ac:dyDescent="0.5"/>
    <row r="2072" s="4" customFormat="1" x14ac:dyDescent="0.5"/>
    <row r="2073" s="4" customFormat="1" x14ac:dyDescent="0.5"/>
    <row r="2074" s="4" customFormat="1" x14ac:dyDescent="0.5"/>
    <row r="2075" s="4" customFormat="1" x14ac:dyDescent="0.5"/>
    <row r="2076" s="4" customFormat="1" x14ac:dyDescent="0.5"/>
    <row r="2077" s="4" customFormat="1" x14ac:dyDescent="0.5"/>
    <row r="2078" s="4" customFormat="1" x14ac:dyDescent="0.5"/>
    <row r="2079" s="4" customFormat="1" x14ac:dyDescent="0.5"/>
    <row r="2080" s="4" customFormat="1" x14ac:dyDescent="0.5"/>
    <row r="2081" s="4" customFormat="1" x14ac:dyDescent="0.5"/>
    <row r="2082" s="4" customFormat="1" x14ac:dyDescent="0.5"/>
    <row r="2083" s="4" customFormat="1" x14ac:dyDescent="0.5"/>
    <row r="2084" s="4" customFormat="1" x14ac:dyDescent="0.5"/>
    <row r="2085" s="4" customFormat="1" x14ac:dyDescent="0.5"/>
    <row r="2086" s="4" customFormat="1" x14ac:dyDescent="0.5"/>
    <row r="2087" s="4" customFormat="1" x14ac:dyDescent="0.5"/>
    <row r="2088" s="4" customFormat="1" x14ac:dyDescent="0.5"/>
    <row r="2089" s="4" customFormat="1" x14ac:dyDescent="0.5"/>
    <row r="2090" s="4" customFormat="1" x14ac:dyDescent="0.5"/>
    <row r="2091" s="4" customFormat="1" x14ac:dyDescent="0.5"/>
    <row r="2092" s="4" customFormat="1" x14ac:dyDescent="0.5"/>
    <row r="2093" s="4" customFormat="1" x14ac:dyDescent="0.5"/>
    <row r="2094" s="4" customFormat="1" x14ac:dyDescent="0.5"/>
    <row r="2095" s="4" customFormat="1" x14ac:dyDescent="0.5"/>
    <row r="2096" s="4" customFormat="1" x14ac:dyDescent="0.5"/>
    <row r="2097" s="4" customFormat="1" x14ac:dyDescent="0.5"/>
    <row r="2098" s="4" customFormat="1" x14ac:dyDescent="0.5"/>
    <row r="2099" s="4" customFormat="1" x14ac:dyDescent="0.5"/>
    <row r="2100" s="4" customFormat="1" x14ac:dyDescent="0.5"/>
    <row r="2101" s="4" customFormat="1" x14ac:dyDescent="0.5"/>
    <row r="2102" s="4" customFormat="1" x14ac:dyDescent="0.5"/>
    <row r="2103" s="4" customFormat="1" x14ac:dyDescent="0.5"/>
    <row r="2104" s="4" customFormat="1" x14ac:dyDescent="0.5"/>
    <row r="2105" s="4" customFormat="1" x14ac:dyDescent="0.5"/>
    <row r="2106" s="4" customFormat="1" x14ac:dyDescent="0.5"/>
    <row r="2107" s="4" customFormat="1" x14ac:dyDescent="0.5"/>
    <row r="2108" s="4" customFormat="1" x14ac:dyDescent="0.5"/>
    <row r="2109" s="4" customFormat="1" x14ac:dyDescent="0.5"/>
    <row r="2110" s="4" customFormat="1" x14ac:dyDescent="0.5"/>
    <row r="2111" s="4" customFormat="1" x14ac:dyDescent="0.5"/>
    <row r="2112" s="4" customFormat="1" x14ac:dyDescent="0.5"/>
    <row r="2113" s="4" customFormat="1" x14ac:dyDescent="0.5"/>
    <row r="2114" s="4" customFormat="1" x14ac:dyDescent="0.5"/>
    <row r="2115" s="4" customFormat="1" x14ac:dyDescent="0.5"/>
    <row r="2116" s="4" customFormat="1" x14ac:dyDescent="0.5"/>
    <row r="2117" s="4" customFormat="1" x14ac:dyDescent="0.5"/>
    <row r="2118" s="4" customFormat="1" x14ac:dyDescent="0.5"/>
    <row r="2119" s="4" customFormat="1" x14ac:dyDescent="0.5"/>
    <row r="2120" s="4" customFormat="1" x14ac:dyDescent="0.5"/>
    <row r="2121" s="4" customFormat="1" x14ac:dyDescent="0.5"/>
    <row r="2122" s="4" customFormat="1" x14ac:dyDescent="0.5"/>
    <row r="2123" s="4" customFormat="1" x14ac:dyDescent="0.5"/>
    <row r="2124" s="4" customFormat="1" x14ac:dyDescent="0.5"/>
    <row r="2125" s="4" customFormat="1" x14ac:dyDescent="0.5"/>
    <row r="2126" s="4" customFormat="1" x14ac:dyDescent="0.5"/>
    <row r="2127" s="4" customFormat="1" x14ac:dyDescent="0.5"/>
    <row r="2128" s="4" customFormat="1" x14ac:dyDescent="0.5"/>
    <row r="2129" s="4" customFormat="1" x14ac:dyDescent="0.5"/>
    <row r="2130" s="4" customFormat="1" x14ac:dyDescent="0.5"/>
    <row r="2131" s="4" customFormat="1" x14ac:dyDescent="0.5"/>
    <row r="2132" s="4" customFormat="1" x14ac:dyDescent="0.5"/>
    <row r="2133" s="4" customFormat="1" x14ac:dyDescent="0.5"/>
    <row r="2134" s="4" customFormat="1" x14ac:dyDescent="0.5"/>
    <row r="2135" s="4" customFormat="1" x14ac:dyDescent="0.5"/>
    <row r="2136" s="4" customFormat="1" x14ac:dyDescent="0.5"/>
    <row r="2137" s="4" customFormat="1" x14ac:dyDescent="0.5"/>
    <row r="2138" s="4" customFormat="1" x14ac:dyDescent="0.5"/>
    <row r="2139" s="4" customFormat="1" x14ac:dyDescent="0.5"/>
    <row r="2140" s="4" customFormat="1" x14ac:dyDescent="0.5"/>
    <row r="2141" s="4" customFormat="1" x14ac:dyDescent="0.5"/>
    <row r="2142" s="4" customFormat="1" x14ac:dyDescent="0.5"/>
    <row r="2143" s="4" customFormat="1" x14ac:dyDescent="0.5"/>
    <row r="2144" s="4" customFormat="1" x14ac:dyDescent="0.5"/>
    <row r="2145" s="4" customFormat="1" x14ac:dyDescent="0.5"/>
    <row r="2146" s="4" customFormat="1" x14ac:dyDescent="0.5"/>
    <row r="2147" s="4" customFormat="1" x14ac:dyDescent="0.5"/>
    <row r="2148" s="4" customFormat="1" x14ac:dyDescent="0.5"/>
    <row r="2149" s="4" customFormat="1" x14ac:dyDescent="0.5"/>
    <row r="2150" s="4" customFormat="1" x14ac:dyDescent="0.5"/>
    <row r="2151" s="4" customFormat="1" x14ac:dyDescent="0.5"/>
    <row r="2152" s="4" customFormat="1" x14ac:dyDescent="0.5"/>
    <row r="2153" s="4" customFormat="1" x14ac:dyDescent="0.5"/>
    <row r="2154" s="4" customFormat="1" x14ac:dyDescent="0.5"/>
    <row r="2155" s="4" customFormat="1" x14ac:dyDescent="0.5"/>
    <row r="2156" s="4" customFormat="1" x14ac:dyDescent="0.5"/>
    <row r="2157" s="4" customFormat="1" x14ac:dyDescent="0.5"/>
    <row r="2158" s="4" customFormat="1" x14ac:dyDescent="0.5"/>
    <row r="2159" s="4" customFormat="1" x14ac:dyDescent="0.5"/>
    <row r="2160" s="4" customFormat="1" x14ac:dyDescent="0.5"/>
    <row r="2161" s="4" customFormat="1" x14ac:dyDescent="0.5"/>
    <row r="2162" s="4" customFormat="1" x14ac:dyDescent="0.5"/>
    <row r="2163" s="4" customFormat="1" x14ac:dyDescent="0.5"/>
    <row r="2164" s="4" customFormat="1" x14ac:dyDescent="0.5"/>
    <row r="2165" s="4" customFormat="1" x14ac:dyDescent="0.5"/>
    <row r="2166" s="4" customFormat="1" x14ac:dyDescent="0.5"/>
    <row r="2167" s="4" customFormat="1" x14ac:dyDescent="0.5"/>
    <row r="2168" s="4" customFormat="1" x14ac:dyDescent="0.5"/>
    <row r="2169" s="4" customFormat="1" x14ac:dyDescent="0.5"/>
    <row r="2170" s="4" customFormat="1" x14ac:dyDescent="0.5"/>
    <row r="2171" s="4" customFormat="1" x14ac:dyDescent="0.5"/>
    <row r="2172" s="4" customFormat="1" x14ac:dyDescent="0.5"/>
    <row r="2173" s="4" customFormat="1" x14ac:dyDescent="0.5"/>
    <row r="2174" s="4" customFormat="1" x14ac:dyDescent="0.5"/>
    <row r="2175" s="4" customFormat="1" x14ac:dyDescent="0.5"/>
    <row r="2176" s="4" customFormat="1" x14ac:dyDescent="0.5"/>
    <row r="2177" s="4" customFormat="1" x14ac:dyDescent="0.5"/>
    <row r="2178" s="4" customFormat="1" x14ac:dyDescent="0.5"/>
    <row r="2179" s="4" customFormat="1" x14ac:dyDescent="0.5"/>
    <row r="2180" s="4" customFormat="1" x14ac:dyDescent="0.5"/>
    <row r="2181" s="4" customFormat="1" x14ac:dyDescent="0.5"/>
    <row r="2182" s="4" customFormat="1" x14ac:dyDescent="0.5"/>
    <row r="2183" s="4" customFormat="1" x14ac:dyDescent="0.5"/>
    <row r="2184" s="4" customFormat="1" x14ac:dyDescent="0.5"/>
    <row r="2185" s="4" customFormat="1" x14ac:dyDescent="0.5"/>
    <row r="2186" s="4" customFormat="1" x14ac:dyDescent="0.5"/>
    <row r="2187" s="4" customFormat="1" x14ac:dyDescent="0.5"/>
    <row r="2188" s="4" customFormat="1" x14ac:dyDescent="0.5"/>
    <row r="2189" s="4" customFormat="1" x14ac:dyDescent="0.5"/>
    <row r="2190" s="4" customFormat="1" x14ac:dyDescent="0.5"/>
    <row r="2191" s="4" customFormat="1" x14ac:dyDescent="0.5"/>
    <row r="2192" s="4" customFormat="1" x14ac:dyDescent="0.5"/>
    <row r="2193" s="4" customFormat="1" x14ac:dyDescent="0.5"/>
    <row r="2194" s="4" customFormat="1" x14ac:dyDescent="0.5"/>
    <row r="2195" s="4" customFormat="1" x14ac:dyDescent="0.5"/>
    <row r="2196" s="4" customFormat="1" x14ac:dyDescent="0.5"/>
    <row r="2197" s="4" customFormat="1" x14ac:dyDescent="0.5"/>
    <row r="2198" s="4" customFormat="1" x14ac:dyDescent="0.5"/>
    <row r="2199" s="4" customFormat="1" x14ac:dyDescent="0.5"/>
    <row r="2200" s="4" customFormat="1" x14ac:dyDescent="0.5"/>
    <row r="2201" s="4" customFormat="1" x14ac:dyDescent="0.5"/>
    <row r="2202" s="4" customFormat="1" x14ac:dyDescent="0.5"/>
    <row r="2203" s="4" customFormat="1" x14ac:dyDescent="0.5"/>
    <row r="2204" s="4" customFormat="1" x14ac:dyDescent="0.5"/>
    <row r="2205" s="4" customFormat="1" x14ac:dyDescent="0.5"/>
    <row r="2206" s="4" customFormat="1" x14ac:dyDescent="0.5"/>
    <row r="2207" s="4" customFormat="1" x14ac:dyDescent="0.5"/>
    <row r="2208" s="4" customFormat="1" x14ac:dyDescent="0.5"/>
    <row r="2209" s="4" customFormat="1" x14ac:dyDescent="0.5"/>
    <row r="2210" s="4" customFormat="1" x14ac:dyDescent="0.5"/>
    <row r="2211" s="4" customFormat="1" x14ac:dyDescent="0.5"/>
    <row r="2212" s="4" customFormat="1" x14ac:dyDescent="0.5"/>
    <row r="2213" s="4" customFormat="1" x14ac:dyDescent="0.5"/>
    <row r="2214" s="4" customFormat="1" x14ac:dyDescent="0.5"/>
    <row r="2215" s="4" customFormat="1" x14ac:dyDescent="0.5"/>
    <row r="2216" s="4" customFormat="1" x14ac:dyDescent="0.5"/>
    <row r="2217" s="4" customFormat="1" x14ac:dyDescent="0.5"/>
    <row r="2218" s="4" customFormat="1" x14ac:dyDescent="0.5"/>
    <row r="2219" s="4" customFormat="1" x14ac:dyDescent="0.5"/>
    <row r="2220" s="4" customFormat="1" x14ac:dyDescent="0.5"/>
    <row r="2221" s="4" customFormat="1" x14ac:dyDescent="0.5"/>
    <row r="2222" s="4" customFormat="1" x14ac:dyDescent="0.5"/>
    <row r="2223" s="4" customFormat="1" x14ac:dyDescent="0.5"/>
    <row r="2224" s="4" customFormat="1" x14ac:dyDescent="0.5"/>
    <row r="2225" s="4" customFormat="1" x14ac:dyDescent="0.5"/>
    <row r="2226" s="4" customFormat="1" x14ac:dyDescent="0.5"/>
    <row r="2227" s="4" customFormat="1" x14ac:dyDescent="0.5"/>
    <row r="2228" s="4" customFormat="1" x14ac:dyDescent="0.5"/>
    <row r="2229" s="4" customFormat="1" x14ac:dyDescent="0.5"/>
    <row r="2230" s="4" customFormat="1" x14ac:dyDescent="0.5"/>
    <row r="2231" s="4" customFormat="1" x14ac:dyDescent="0.5"/>
    <row r="2232" s="4" customFormat="1" x14ac:dyDescent="0.5"/>
    <row r="2233" s="4" customFormat="1" x14ac:dyDescent="0.5"/>
    <row r="2234" s="4" customFormat="1" x14ac:dyDescent="0.5"/>
    <row r="2235" s="4" customFormat="1" x14ac:dyDescent="0.5"/>
    <row r="2236" s="4" customFormat="1" x14ac:dyDescent="0.5"/>
    <row r="2237" s="4" customFormat="1" x14ac:dyDescent="0.5"/>
    <row r="2238" s="4" customFormat="1" x14ac:dyDescent="0.5"/>
    <row r="2239" s="4" customFormat="1" x14ac:dyDescent="0.5"/>
    <row r="2240" s="4" customFormat="1" x14ac:dyDescent="0.5"/>
    <row r="2241" s="4" customFormat="1" x14ac:dyDescent="0.5"/>
    <row r="2242" s="4" customFormat="1" x14ac:dyDescent="0.5"/>
    <row r="2243" s="4" customFormat="1" x14ac:dyDescent="0.5"/>
    <row r="2244" s="4" customFormat="1" x14ac:dyDescent="0.5"/>
    <row r="2245" s="4" customFormat="1" x14ac:dyDescent="0.5"/>
    <row r="2246" s="4" customFormat="1" x14ac:dyDescent="0.5"/>
    <row r="2247" s="4" customFormat="1" x14ac:dyDescent="0.5"/>
    <row r="2248" s="4" customFormat="1" x14ac:dyDescent="0.5"/>
    <row r="2249" s="4" customFormat="1" x14ac:dyDescent="0.5"/>
    <row r="2250" s="4" customFormat="1" x14ac:dyDescent="0.5"/>
    <row r="2251" s="4" customFormat="1" x14ac:dyDescent="0.5"/>
    <row r="2252" s="4" customFormat="1" x14ac:dyDescent="0.5"/>
    <row r="2253" s="4" customFormat="1" x14ac:dyDescent="0.5"/>
    <row r="2254" s="4" customFormat="1" x14ac:dyDescent="0.5"/>
    <row r="2255" s="4" customFormat="1" x14ac:dyDescent="0.5"/>
    <row r="2256" s="4" customFormat="1" x14ac:dyDescent="0.5"/>
    <row r="2257" s="4" customFormat="1" x14ac:dyDescent="0.5"/>
    <row r="2258" s="4" customFormat="1" x14ac:dyDescent="0.5"/>
    <row r="2259" s="4" customFormat="1" x14ac:dyDescent="0.5"/>
    <row r="2260" s="4" customFormat="1" x14ac:dyDescent="0.5"/>
    <row r="2261" s="4" customFormat="1" x14ac:dyDescent="0.5"/>
    <row r="2262" s="4" customFormat="1" x14ac:dyDescent="0.5"/>
    <row r="2263" s="4" customFormat="1" x14ac:dyDescent="0.5"/>
    <row r="2264" s="4" customFormat="1" x14ac:dyDescent="0.5"/>
    <row r="2265" s="4" customFormat="1" x14ac:dyDescent="0.5"/>
    <row r="2266" s="4" customFormat="1" x14ac:dyDescent="0.5"/>
    <row r="2267" s="4" customFormat="1" x14ac:dyDescent="0.5"/>
    <row r="2268" s="4" customFormat="1" x14ac:dyDescent="0.5"/>
    <row r="2269" s="4" customFormat="1" x14ac:dyDescent="0.5"/>
    <row r="2270" s="4" customFormat="1" x14ac:dyDescent="0.5"/>
    <row r="2271" s="4" customFormat="1" x14ac:dyDescent="0.5"/>
    <row r="2272" s="4" customFormat="1" x14ac:dyDescent="0.5"/>
    <row r="2273" s="4" customFormat="1" x14ac:dyDescent="0.5"/>
    <row r="2274" s="4" customFormat="1" x14ac:dyDescent="0.5"/>
    <row r="2275" s="4" customFormat="1" x14ac:dyDescent="0.5"/>
    <row r="2276" s="4" customFormat="1" x14ac:dyDescent="0.5"/>
    <row r="2277" s="4" customFormat="1" x14ac:dyDescent="0.5"/>
    <row r="2278" s="4" customFormat="1" x14ac:dyDescent="0.5"/>
    <row r="2279" s="4" customFormat="1" x14ac:dyDescent="0.5"/>
    <row r="2280" s="4" customFormat="1" x14ac:dyDescent="0.5"/>
    <row r="2281" s="4" customFormat="1" x14ac:dyDescent="0.5"/>
    <row r="2282" s="4" customFormat="1" x14ac:dyDescent="0.5"/>
    <row r="2283" s="4" customFormat="1" x14ac:dyDescent="0.5"/>
    <row r="2284" s="4" customFormat="1" x14ac:dyDescent="0.5"/>
    <row r="2285" s="4" customFormat="1" x14ac:dyDescent="0.5"/>
    <row r="2286" s="4" customFormat="1" x14ac:dyDescent="0.5"/>
    <row r="2287" s="4" customFormat="1" x14ac:dyDescent="0.5"/>
    <row r="2288" s="4" customFormat="1" x14ac:dyDescent="0.5"/>
    <row r="2289" s="4" customFormat="1" x14ac:dyDescent="0.5"/>
    <row r="2290" s="4" customFormat="1" x14ac:dyDescent="0.5"/>
    <row r="2291" s="4" customFormat="1" x14ac:dyDescent="0.5"/>
    <row r="2292" s="4" customFormat="1" x14ac:dyDescent="0.5"/>
    <row r="2293" s="4" customFormat="1" x14ac:dyDescent="0.5"/>
    <row r="2294" s="4" customFormat="1" x14ac:dyDescent="0.5"/>
    <row r="2295" s="4" customFormat="1" x14ac:dyDescent="0.5"/>
    <row r="2296" s="4" customFormat="1" x14ac:dyDescent="0.5"/>
    <row r="2297" s="4" customFormat="1" x14ac:dyDescent="0.5"/>
    <row r="2298" s="4" customFormat="1" x14ac:dyDescent="0.5"/>
    <row r="2299" s="4" customFormat="1" x14ac:dyDescent="0.5"/>
    <row r="2300" s="4" customFormat="1" x14ac:dyDescent="0.5"/>
    <row r="2301" s="4" customFormat="1" x14ac:dyDescent="0.5"/>
    <row r="2302" s="4" customFormat="1" x14ac:dyDescent="0.5"/>
    <row r="2303" s="4" customFormat="1" x14ac:dyDescent="0.5"/>
    <row r="2304" s="4" customFormat="1" x14ac:dyDescent="0.5"/>
    <row r="2305" s="4" customFormat="1" x14ac:dyDescent="0.5"/>
    <row r="2306" s="4" customFormat="1" x14ac:dyDescent="0.5"/>
    <row r="2307" s="4" customFormat="1" x14ac:dyDescent="0.5"/>
    <row r="2308" s="4" customFormat="1" x14ac:dyDescent="0.5"/>
    <row r="2309" s="4" customFormat="1" x14ac:dyDescent="0.5"/>
    <row r="2310" s="4" customFormat="1" x14ac:dyDescent="0.5"/>
    <row r="2311" s="4" customFormat="1" x14ac:dyDescent="0.5"/>
    <row r="2312" s="4" customFormat="1" x14ac:dyDescent="0.5"/>
    <row r="2313" s="4" customFormat="1" x14ac:dyDescent="0.5"/>
    <row r="2314" s="4" customFormat="1" x14ac:dyDescent="0.5"/>
    <row r="2315" s="4" customFormat="1" x14ac:dyDescent="0.5"/>
    <row r="2316" s="4" customFormat="1" x14ac:dyDescent="0.5"/>
    <row r="2317" s="4" customFormat="1" x14ac:dyDescent="0.5"/>
    <row r="2318" s="4" customFormat="1" x14ac:dyDescent="0.5"/>
    <row r="2319" s="4" customFormat="1" x14ac:dyDescent="0.5"/>
    <row r="2320" s="4" customFormat="1" x14ac:dyDescent="0.5"/>
    <row r="2321" s="4" customFormat="1" x14ac:dyDescent="0.5"/>
    <row r="2322" s="4" customFormat="1" x14ac:dyDescent="0.5"/>
    <row r="2323" s="4" customFormat="1" x14ac:dyDescent="0.5"/>
    <row r="2324" s="4" customFormat="1" x14ac:dyDescent="0.5"/>
    <row r="2325" s="4" customFormat="1" x14ac:dyDescent="0.5"/>
    <row r="2326" s="4" customFormat="1" x14ac:dyDescent="0.5"/>
    <row r="2327" s="4" customFormat="1" x14ac:dyDescent="0.5"/>
    <row r="2328" s="4" customFormat="1" x14ac:dyDescent="0.5"/>
    <row r="2329" s="4" customFormat="1" x14ac:dyDescent="0.5"/>
    <row r="2330" s="4" customFormat="1" x14ac:dyDescent="0.5"/>
    <row r="2331" s="4" customFormat="1" x14ac:dyDescent="0.5"/>
    <row r="2332" s="4" customFormat="1" x14ac:dyDescent="0.5"/>
    <row r="2333" s="4" customFormat="1" x14ac:dyDescent="0.5"/>
    <row r="2334" s="4" customFormat="1" x14ac:dyDescent="0.5"/>
    <row r="2335" s="4" customFormat="1" x14ac:dyDescent="0.5"/>
    <row r="2336" s="4" customFormat="1" x14ac:dyDescent="0.5"/>
    <row r="2337" s="4" customFormat="1" x14ac:dyDescent="0.5"/>
    <row r="2338" s="4" customFormat="1" x14ac:dyDescent="0.5"/>
    <row r="2339" s="4" customFormat="1" x14ac:dyDescent="0.5"/>
    <row r="2340" s="4" customFormat="1" x14ac:dyDescent="0.5"/>
    <row r="2341" s="4" customFormat="1" x14ac:dyDescent="0.5"/>
    <row r="2342" s="4" customFormat="1" x14ac:dyDescent="0.5"/>
    <row r="2343" s="4" customFormat="1" x14ac:dyDescent="0.5"/>
    <row r="2344" s="4" customFormat="1" x14ac:dyDescent="0.5"/>
    <row r="2345" s="4" customFormat="1" x14ac:dyDescent="0.5"/>
    <row r="2346" s="4" customFormat="1" x14ac:dyDescent="0.5"/>
    <row r="2347" s="4" customFormat="1" x14ac:dyDescent="0.5"/>
    <row r="2348" s="4" customFormat="1" x14ac:dyDescent="0.5"/>
    <row r="2349" s="4" customFormat="1" x14ac:dyDescent="0.5"/>
    <row r="2350" s="4" customFormat="1" x14ac:dyDescent="0.5"/>
    <row r="2351" s="4" customFormat="1" x14ac:dyDescent="0.5"/>
    <row r="2352" s="4" customFormat="1" x14ac:dyDescent="0.5"/>
    <row r="2353" s="4" customFormat="1" x14ac:dyDescent="0.5"/>
    <row r="2354" s="4" customFormat="1" x14ac:dyDescent="0.5"/>
    <row r="2355" s="4" customFormat="1" x14ac:dyDescent="0.5"/>
    <row r="2356" s="4" customFormat="1" x14ac:dyDescent="0.5"/>
    <row r="2357" s="4" customFormat="1" x14ac:dyDescent="0.5"/>
    <row r="2358" s="4" customFormat="1" x14ac:dyDescent="0.5"/>
    <row r="2359" s="4" customFormat="1" x14ac:dyDescent="0.5"/>
    <row r="2360" s="4" customFormat="1" x14ac:dyDescent="0.5"/>
    <row r="2361" s="4" customFormat="1" x14ac:dyDescent="0.5"/>
    <row r="2362" s="4" customFormat="1" x14ac:dyDescent="0.5"/>
    <row r="2363" s="4" customFormat="1" x14ac:dyDescent="0.5"/>
    <row r="2364" s="4" customFormat="1" x14ac:dyDescent="0.5"/>
    <row r="2365" s="4" customFormat="1" x14ac:dyDescent="0.5"/>
    <row r="2366" s="4" customFormat="1" x14ac:dyDescent="0.5"/>
    <row r="2367" s="4" customFormat="1" x14ac:dyDescent="0.5"/>
    <row r="2368" s="4" customFormat="1" x14ac:dyDescent="0.5"/>
    <row r="2369" s="4" customFormat="1" x14ac:dyDescent="0.5"/>
    <row r="2370" s="4" customFormat="1" x14ac:dyDescent="0.5"/>
    <row r="2371" s="4" customFormat="1" x14ac:dyDescent="0.5"/>
    <row r="2372" s="4" customFormat="1" x14ac:dyDescent="0.5"/>
    <row r="2373" s="4" customFormat="1" x14ac:dyDescent="0.5"/>
    <row r="2374" s="4" customFormat="1" x14ac:dyDescent="0.5"/>
    <row r="2375" s="4" customFormat="1" x14ac:dyDescent="0.5"/>
    <row r="2376" s="4" customFormat="1" x14ac:dyDescent="0.5"/>
    <row r="2377" s="4" customFormat="1" x14ac:dyDescent="0.5"/>
    <row r="2378" s="4" customFormat="1" x14ac:dyDescent="0.5"/>
    <row r="2379" s="4" customFormat="1" x14ac:dyDescent="0.5"/>
    <row r="2380" s="4" customFormat="1" x14ac:dyDescent="0.5"/>
    <row r="2381" s="4" customFormat="1" x14ac:dyDescent="0.5"/>
    <row r="2382" s="4" customFormat="1" x14ac:dyDescent="0.5"/>
    <row r="2383" s="4" customFormat="1" x14ac:dyDescent="0.5"/>
    <row r="2384" s="4" customFormat="1" x14ac:dyDescent="0.5"/>
    <row r="2385" s="4" customFormat="1" x14ac:dyDescent="0.5"/>
    <row r="2386" s="4" customFormat="1" x14ac:dyDescent="0.5"/>
    <row r="2387" s="4" customFormat="1" x14ac:dyDescent="0.5"/>
    <row r="2388" s="4" customFormat="1" x14ac:dyDescent="0.5"/>
    <row r="2389" s="4" customFormat="1" x14ac:dyDescent="0.5"/>
    <row r="2390" s="4" customFormat="1" x14ac:dyDescent="0.5"/>
    <row r="2391" s="4" customFormat="1" x14ac:dyDescent="0.5"/>
    <row r="2392" s="4" customFormat="1" x14ac:dyDescent="0.5"/>
    <row r="2393" s="4" customFormat="1" x14ac:dyDescent="0.5"/>
    <row r="2394" s="4" customFormat="1" x14ac:dyDescent="0.5"/>
    <row r="2395" s="4" customFormat="1" x14ac:dyDescent="0.5"/>
    <row r="2396" s="4" customFormat="1" x14ac:dyDescent="0.5"/>
    <row r="2397" s="4" customFormat="1" x14ac:dyDescent="0.5"/>
    <row r="2398" s="4" customFormat="1" x14ac:dyDescent="0.5"/>
    <row r="2399" s="4" customFormat="1" x14ac:dyDescent="0.5"/>
    <row r="2400" s="4" customFormat="1" x14ac:dyDescent="0.5"/>
    <row r="2401" s="4" customFormat="1" x14ac:dyDescent="0.5"/>
    <row r="2402" s="4" customFormat="1" x14ac:dyDescent="0.5"/>
    <row r="2403" s="4" customFormat="1" x14ac:dyDescent="0.5"/>
    <row r="2404" s="4" customFormat="1" x14ac:dyDescent="0.5"/>
    <row r="2405" s="4" customFormat="1" x14ac:dyDescent="0.5"/>
    <row r="2406" s="4" customFormat="1" x14ac:dyDescent="0.5"/>
    <row r="2407" s="4" customFormat="1" x14ac:dyDescent="0.5"/>
    <row r="2408" s="4" customFormat="1" x14ac:dyDescent="0.5"/>
    <row r="2409" s="4" customFormat="1" x14ac:dyDescent="0.5"/>
    <row r="2410" s="4" customFormat="1" x14ac:dyDescent="0.5"/>
    <row r="2411" s="4" customFormat="1" x14ac:dyDescent="0.5"/>
    <row r="2412" s="4" customFormat="1" x14ac:dyDescent="0.5"/>
    <row r="2413" s="4" customFormat="1" x14ac:dyDescent="0.5"/>
    <row r="2414" s="4" customFormat="1" x14ac:dyDescent="0.5"/>
    <row r="2415" s="4" customFormat="1" x14ac:dyDescent="0.5"/>
    <row r="2416" s="4" customFormat="1" x14ac:dyDescent="0.5"/>
    <row r="2417" s="4" customFormat="1" x14ac:dyDescent="0.5"/>
    <row r="2418" s="4" customFormat="1" x14ac:dyDescent="0.5"/>
    <row r="2419" s="4" customFormat="1" x14ac:dyDescent="0.5"/>
    <row r="2420" s="4" customFormat="1" x14ac:dyDescent="0.5"/>
    <row r="2421" s="4" customFormat="1" x14ac:dyDescent="0.5"/>
    <row r="2422" s="4" customFormat="1" x14ac:dyDescent="0.5"/>
    <row r="2423" s="4" customFormat="1" x14ac:dyDescent="0.5"/>
    <row r="2424" s="4" customFormat="1" x14ac:dyDescent="0.5"/>
    <row r="2425" s="4" customFormat="1" x14ac:dyDescent="0.5"/>
    <row r="2426" s="4" customFormat="1" x14ac:dyDescent="0.5"/>
    <row r="2427" s="4" customFormat="1" x14ac:dyDescent="0.5"/>
    <row r="2428" s="4" customFormat="1" x14ac:dyDescent="0.5"/>
    <row r="2429" s="4" customFormat="1" x14ac:dyDescent="0.5"/>
    <row r="2430" s="4" customFormat="1" x14ac:dyDescent="0.5"/>
    <row r="2431" s="4" customFormat="1" x14ac:dyDescent="0.5"/>
    <row r="2432" s="4" customFormat="1" x14ac:dyDescent="0.5"/>
    <row r="2433" s="4" customFormat="1" x14ac:dyDescent="0.5"/>
    <row r="2434" s="4" customFormat="1" x14ac:dyDescent="0.5"/>
    <row r="2435" s="4" customFormat="1" x14ac:dyDescent="0.5"/>
    <row r="2436" s="4" customFormat="1" x14ac:dyDescent="0.5"/>
    <row r="2437" s="4" customFormat="1" x14ac:dyDescent="0.5"/>
    <row r="2438" s="4" customFormat="1" x14ac:dyDescent="0.5"/>
    <row r="2439" s="4" customFormat="1" x14ac:dyDescent="0.5"/>
    <row r="2440" s="4" customFormat="1" x14ac:dyDescent="0.5"/>
    <row r="2441" s="4" customFormat="1" x14ac:dyDescent="0.5"/>
    <row r="2442" s="4" customFormat="1" x14ac:dyDescent="0.5"/>
    <row r="2443" s="4" customFormat="1" x14ac:dyDescent="0.5"/>
    <row r="2444" s="4" customFormat="1" x14ac:dyDescent="0.5"/>
    <row r="2445" s="4" customFormat="1" x14ac:dyDescent="0.5"/>
    <row r="2446" s="4" customFormat="1" x14ac:dyDescent="0.5"/>
    <row r="2447" s="4" customFormat="1" x14ac:dyDescent="0.5"/>
    <row r="2448" s="4" customFormat="1" x14ac:dyDescent="0.5"/>
    <row r="2449" s="4" customFormat="1" x14ac:dyDescent="0.5"/>
    <row r="2450" s="4" customFormat="1" x14ac:dyDescent="0.5"/>
    <row r="2451" s="4" customFormat="1" x14ac:dyDescent="0.5"/>
    <row r="2452" s="4" customFormat="1" x14ac:dyDescent="0.5"/>
    <row r="2453" s="4" customFormat="1" x14ac:dyDescent="0.5"/>
    <row r="2454" s="4" customFormat="1" x14ac:dyDescent="0.5"/>
    <row r="2455" s="4" customFormat="1" x14ac:dyDescent="0.5"/>
    <row r="2456" s="4" customFormat="1" x14ac:dyDescent="0.5"/>
    <row r="2457" s="4" customFormat="1" x14ac:dyDescent="0.5"/>
    <row r="2458" s="4" customFormat="1" x14ac:dyDescent="0.5"/>
    <row r="2459" s="4" customFormat="1" x14ac:dyDescent="0.5"/>
    <row r="2460" s="4" customFormat="1" x14ac:dyDescent="0.5"/>
    <row r="2461" s="4" customFormat="1" x14ac:dyDescent="0.5"/>
    <row r="2462" s="4" customFormat="1" x14ac:dyDescent="0.5"/>
    <row r="2463" s="4" customFormat="1" x14ac:dyDescent="0.5"/>
    <row r="2464" s="4" customFormat="1" x14ac:dyDescent="0.5"/>
    <row r="2465" s="4" customFormat="1" x14ac:dyDescent="0.5"/>
    <row r="2466" s="4" customFormat="1" x14ac:dyDescent="0.5"/>
    <row r="2467" s="4" customFormat="1" x14ac:dyDescent="0.5"/>
    <row r="2468" s="4" customFormat="1" x14ac:dyDescent="0.5"/>
    <row r="2469" s="4" customFormat="1" x14ac:dyDescent="0.5"/>
    <row r="2470" s="4" customFormat="1" x14ac:dyDescent="0.5"/>
    <row r="2471" s="4" customFormat="1" x14ac:dyDescent="0.5"/>
    <row r="2472" s="4" customFormat="1" x14ac:dyDescent="0.5"/>
    <row r="2473" s="4" customFormat="1" x14ac:dyDescent="0.5"/>
    <row r="2474" s="4" customFormat="1" x14ac:dyDescent="0.5"/>
    <row r="2475" s="4" customFormat="1" x14ac:dyDescent="0.5"/>
    <row r="2476" s="4" customFormat="1" x14ac:dyDescent="0.5"/>
    <row r="2477" s="4" customFormat="1" x14ac:dyDescent="0.5"/>
    <row r="2478" s="4" customFormat="1" x14ac:dyDescent="0.5"/>
    <row r="2479" s="4" customFormat="1" x14ac:dyDescent="0.5"/>
    <row r="2480" s="4" customFormat="1" x14ac:dyDescent="0.5"/>
    <row r="2481" s="4" customFormat="1" x14ac:dyDescent="0.5"/>
    <row r="2482" s="4" customFormat="1" x14ac:dyDescent="0.5"/>
    <row r="2483" s="4" customFormat="1" x14ac:dyDescent="0.5"/>
    <row r="2484" s="4" customFormat="1" x14ac:dyDescent="0.5"/>
    <row r="2485" s="4" customFormat="1" x14ac:dyDescent="0.5"/>
    <row r="2486" s="4" customFormat="1" x14ac:dyDescent="0.5"/>
    <row r="2487" s="4" customFormat="1" x14ac:dyDescent="0.5"/>
    <row r="2488" s="4" customFormat="1" x14ac:dyDescent="0.5"/>
    <row r="2489" s="4" customFormat="1" x14ac:dyDescent="0.5"/>
    <row r="2490" s="4" customFormat="1" x14ac:dyDescent="0.5"/>
    <row r="2491" s="4" customFormat="1" x14ac:dyDescent="0.5"/>
    <row r="2492" s="4" customFormat="1" x14ac:dyDescent="0.5"/>
    <row r="2493" s="4" customFormat="1" x14ac:dyDescent="0.5"/>
    <row r="2494" s="4" customFormat="1" x14ac:dyDescent="0.5"/>
    <row r="2495" s="4" customFormat="1" x14ac:dyDescent="0.5"/>
    <row r="2496" s="4" customFormat="1" x14ac:dyDescent="0.5"/>
    <row r="2497" s="4" customFormat="1" x14ac:dyDescent="0.5"/>
    <row r="2498" s="4" customFormat="1" x14ac:dyDescent="0.5"/>
    <row r="2499" s="4" customFormat="1" x14ac:dyDescent="0.5"/>
    <row r="2500" s="4" customFormat="1" x14ac:dyDescent="0.5"/>
    <row r="2501" s="4" customFormat="1" x14ac:dyDescent="0.5"/>
    <row r="2502" s="4" customFormat="1" x14ac:dyDescent="0.5"/>
    <row r="2503" s="4" customFormat="1" x14ac:dyDescent="0.5"/>
    <row r="2504" s="4" customFormat="1" x14ac:dyDescent="0.5"/>
    <row r="2505" s="4" customFormat="1" x14ac:dyDescent="0.5"/>
    <row r="2506" s="4" customFormat="1" x14ac:dyDescent="0.5"/>
    <row r="2507" s="4" customFormat="1" x14ac:dyDescent="0.5"/>
    <row r="2508" s="4" customFormat="1" x14ac:dyDescent="0.5"/>
    <row r="2509" s="4" customFormat="1" x14ac:dyDescent="0.5"/>
    <row r="2510" s="4" customFormat="1" x14ac:dyDescent="0.5"/>
    <row r="2511" s="4" customFormat="1" x14ac:dyDescent="0.5"/>
    <row r="2512" s="4" customFormat="1" x14ac:dyDescent="0.5"/>
    <row r="2513" s="4" customFormat="1" x14ac:dyDescent="0.5"/>
    <row r="2514" s="4" customFormat="1" x14ac:dyDescent="0.5"/>
    <row r="2515" s="4" customFormat="1" x14ac:dyDescent="0.5"/>
    <row r="2516" s="4" customFormat="1" x14ac:dyDescent="0.5"/>
    <row r="2517" s="4" customFormat="1" x14ac:dyDescent="0.5"/>
    <row r="2518" s="4" customFormat="1" x14ac:dyDescent="0.5"/>
    <row r="2519" s="4" customFormat="1" x14ac:dyDescent="0.5"/>
    <row r="2520" s="4" customFormat="1" x14ac:dyDescent="0.5"/>
    <row r="2521" s="4" customFormat="1" x14ac:dyDescent="0.5"/>
    <row r="2522" s="4" customFormat="1" x14ac:dyDescent="0.5"/>
    <row r="2523" s="4" customFormat="1" x14ac:dyDescent="0.5"/>
    <row r="2524" s="4" customFormat="1" x14ac:dyDescent="0.5"/>
    <row r="2525" s="4" customFormat="1" x14ac:dyDescent="0.5"/>
    <row r="2526" s="4" customFormat="1" x14ac:dyDescent="0.5"/>
    <row r="2527" s="4" customFormat="1" x14ac:dyDescent="0.5"/>
    <row r="2528" s="4" customFormat="1" x14ac:dyDescent="0.5"/>
    <row r="2529" s="4" customFormat="1" x14ac:dyDescent="0.5"/>
    <row r="2530" s="4" customFormat="1" x14ac:dyDescent="0.5"/>
    <row r="2531" s="4" customFormat="1" x14ac:dyDescent="0.5"/>
    <row r="2532" s="4" customFormat="1" x14ac:dyDescent="0.5"/>
    <row r="2533" s="4" customFormat="1" x14ac:dyDescent="0.5"/>
    <row r="2534" s="4" customFormat="1" x14ac:dyDescent="0.5"/>
    <row r="2535" s="4" customFormat="1" x14ac:dyDescent="0.5"/>
    <row r="2536" s="4" customFormat="1" x14ac:dyDescent="0.5"/>
    <row r="2537" s="4" customFormat="1" x14ac:dyDescent="0.5"/>
    <row r="2538" s="4" customFormat="1" x14ac:dyDescent="0.5"/>
    <row r="2539" s="4" customFormat="1" x14ac:dyDescent="0.5"/>
    <row r="2540" s="4" customFormat="1" x14ac:dyDescent="0.5"/>
    <row r="2541" s="4" customFormat="1" x14ac:dyDescent="0.5"/>
    <row r="2542" s="4" customFormat="1" x14ac:dyDescent="0.5"/>
    <row r="2543" s="4" customFormat="1" x14ac:dyDescent="0.5"/>
    <row r="2544" s="4" customFormat="1" x14ac:dyDescent="0.5"/>
    <row r="2545" s="4" customFormat="1" x14ac:dyDescent="0.5"/>
    <row r="2546" s="4" customFormat="1" x14ac:dyDescent="0.5"/>
    <row r="2547" s="4" customFormat="1" x14ac:dyDescent="0.5"/>
    <row r="2548" s="4" customFormat="1" x14ac:dyDescent="0.5"/>
    <row r="2549" s="4" customFormat="1" x14ac:dyDescent="0.5"/>
    <row r="2550" s="4" customFormat="1" x14ac:dyDescent="0.5"/>
    <row r="2551" s="4" customFormat="1" x14ac:dyDescent="0.5"/>
    <row r="2552" s="4" customFormat="1" x14ac:dyDescent="0.5"/>
    <row r="2553" s="4" customFormat="1" x14ac:dyDescent="0.5"/>
    <row r="2554" s="4" customFormat="1" x14ac:dyDescent="0.5"/>
    <row r="2555" s="4" customFormat="1" x14ac:dyDescent="0.5"/>
    <row r="2556" s="4" customFormat="1" x14ac:dyDescent="0.5"/>
    <row r="2557" s="4" customFormat="1" x14ac:dyDescent="0.5"/>
    <row r="2558" s="4" customFormat="1" x14ac:dyDescent="0.5"/>
    <row r="2559" s="4" customFormat="1" x14ac:dyDescent="0.5"/>
    <row r="2560" s="4" customFormat="1" x14ac:dyDescent="0.5"/>
    <row r="2561" s="4" customFormat="1" x14ac:dyDescent="0.5"/>
    <row r="2562" s="4" customFormat="1" x14ac:dyDescent="0.5"/>
    <row r="2563" s="4" customFormat="1" x14ac:dyDescent="0.5"/>
    <row r="2564" s="4" customFormat="1" x14ac:dyDescent="0.5"/>
    <row r="2565" s="4" customFormat="1" x14ac:dyDescent="0.5"/>
    <row r="2566" s="4" customFormat="1" x14ac:dyDescent="0.5"/>
    <row r="2567" s="4" customFormat="1" x14ac:dyDescent="0.5"/>
    <row r="2568" s="4" customFormat="1" x14ac:dyDescent="0.5"/>
    <row r="2569" s="4" customFormat="1" x14ac:dyDescent="0.5"/>
    <row r="2570" s="4" customFormat="1" x14ac:dyDescent="0.5"/>
    <row r="2571" s="4" customFormat="1" x14ac:dyDescent="0.5"/>
    <row r="2572" s="4" customFormat="1" x14ac:dyDescent="0.5"/>
    <row r="2573" s="4" customFormat="1" x14ac:dyDescent="0.5"/>
    <row r="2574" s="4" customFormat="1" x14ac:dyDescent="0.5"/>
    <row r="2575" s="4" customFormat="1" x14ac:dyDescent="0.5"/>
    <row r="2576" s="4" customFormat="1" x14ac:dyDescent="0.5"/>
    <row r="2577" s="4" customFormat="1" x14ac:dyDescent="0.5"/>
    <row r="2578" s="4" customFormat="1" x14ac:dyDescent="0.5"/>
    <row r="2579" s="4" customFormat="1" x14ac:dyDescent="0.5"/>
    <row r="2580" s="4" customFormat="1" x14ac:dyDescent="0.5"/>
    <row r="2581" s="4" customFormat="1" x14ac:dyDescent="0.5"/>
    <row r="2582" s="4" customFormat="1" x14ac:dyDescent="0.5"/>
    <row r="2583" s="4" customFormat="1" x14ac:dyDescent="0.5"/>
    <row r="2584" s="4" customFormat="1" x14ac:dyDescent="0.5"/>
    <row r="2585" s="4" customFormat="1" x14ac:dyDescent="0.5"/>
    <row r="2586" s="4" customFormat="1" x14ac:dyDescent="0.5"/>
    <row r="2587" s="4" customFormat="1" x14ac:dyDescent="0.5"/>
    <row r="2588" s="4" customFormat="1" x14ac:dyDescent="0.5"/>
    <row r="2589" s="4" customFormat="1" x14ac:dyDescent="0.5"/>
    <row r="2590" s="4" customFormat="1" x14ac:dyDescent="0.5"/>
    <row r="2591" s="4" customFormat="1" x14ac:dyDescent="0.5"/>
    <row r="2592" s="4" customFormat="1" x14ac:dyDescent="0.5"/>
    <row r="2593" s="4" customFormat="1" x14ac:dyDescent="0.5"/>
    <row r="2594" s="4" customFormat="1" x14ac:dyDescent="0.5"/>
    <row r="2595" s="4" customFormat="1" x14ac:dyDescent="0.5"/>
    <row r="2596" s="4" customFormat="1" x14ac:dyDescent="0.5"/>
    <row r="2597" s="4" customFormat="1" x14ac:dyDescent="0.5"/>
    <row r="2598" s="4" customFormat="1" x14ac:dyDescent="0.5"/>
    <row r="2599" s="4" customFormat="1" x14ac:dyDescent="0.5"/>
    <row r="2600" s="4" customFormat="1" x14ac:dyDescent="0.5"/>
    <row r="2601" s="4" customFormat="1" x14ac:dyDescent="0.5"/>
    <row r="2602" s="4" customFormat="1" x14ac:dyDescent="0.5"/>
    <row r="2603" s="4" customFormat="1" x14ac:dyDescent="0.5"/>
    <row r="2604" s="4" customFormat="1" x14ac:dyDescent="0.5"/>
    <row r="2605" s="4" customFormat="1" x14ac:dyDescent="0.5"/>
    <row r="2606" s="4" customFormat="1" x14ac:dyDescent="0.5"/>
    <row r="2607" s="4" customFormat="1" x14ac:dyDescent="0.5"/>
    <row r="2608" s="4" customFormat="1" x14ac:dyDescent="0.5"/>
    <row r="2609" s="4" customFormat="1" x14ac:dyDescent="0.5"/>
    <row r="2610" s="4" customFormat="1" x14ac:dyDescent="0.5"/>
    <row r="2611" s="4" customFormat="1" x14ac:dyDescent="0.5"/>
    <row r="2612" s="4" customFormat="1" x14ac:dyDescent="0.5"/>
    <row r="2613" s="4" customFormat="1" x14ac:dyDescent="0.5"/>
    <row r="2614" s="4" customFormat="1" x14ac:dyDescent="0.5"/>
    <row r="2615" s="4" customFormat="1" x14ac:dyDescent="0.5"/>
    <row r="2616" s="4" customFormat="1" x14ac:dyDescent="0.5"/>
    <row r="2617" s="4" customFormat="1" x14ac:dyDescent="0.5"/>
    <row r="2618" s="4" customFormat="1" x14ac:dyDescent="0.5"/>
    <row r="2619" s="4" customFormat="1" x14ac:dyDescent="0.5"/>
    <row r="2620" s="4" customFormat="1" x14ac:dyDescent="0.5"/>
    <row r="2621" s="4" customFormat="1" x14ac:dyDescent="0.5"/>
    <row r="2622" s="4" customFormat="1" x14ac:dyDescent="0.5"/>
    <row r="2623" s="4" customFormat="1" x14ac:dyDescent="0.5"/>
    <row r="2624" s="4" customFormat="1" x14ac:dyDescent="0.5"/>
    <row r="2625" s="4" customFormat="1" x14ac:dyDescent="0.5"/>
    <row r="2626" s="4" customFormat="1" x14ac:dyDescent="0.5"/>
    <row r="2627" s="4" customFormat="1" x14ac:dyDescent="0.5"/>
    <row r="2628" s="4" customFormat="1" x14ac:dyDescent="0.5"/>
    <row r="2629" s="4" customFormat="1" x14ac:dyDescent="0.5"/>
    <row r="2630" s="4" customFormat="1" x14ac:dyDescent="0.5"/>
    <row r="2631" s="4" customFormat="1" x14ac:dyDescent="0.5"/>
    <row r="2632" s="4" customFormat="1" x14ac:dyDescent="0.5"/>
    <row r="2633" s="4" customFormat="1" x14ac:dyDescent="0.5"/>
    <row r="2634" s="4" customFormat="1" x14ac:dyDescent="0.5"/>
    <row r="2635" s="4" customFormat="1" x14ac:dyDescent="0.5"/>
    <row r="2636" s="4" customFormat="1" x14ac:dyDescent="0.5"/>
    <row r="2637" s="4" customFormat="1" x14ac:dyDescent="0.5"/>
    <row r="2638" s="4" customFormat="1" x14ac:dyDescent="0.5"/>
    <row r="2639" s="4" customFormat="1" x14ac:dyDescent="0.5"/>
    <row r="2640" s="4" customFormat="1" x14ac:dyDescent="0.5"/>
    <row r="2641" s="4" customFormat="1" x14ac:dyDescent="0.5"/>
    <row r="2642" s="4" customFormat="1" x14ac:dyDescent="0.5"/>
    <row r="2643" s="4" customFormat="1" x14ac:dyDescent="0.5"/>
    <row r="2644" s="4" customFormat="1" x14ac:dyDescent="0.5"/>
    <row r="2645" s="4" customFormat="1" x14ac:dyDescent="0.5"/>
    <row r="2646" s="4" customFormat="1" x14ac:dyDescent="0.5"/>
    <row r="2647" s="4" customFormat="1" x14ac:dyDescent="0.5"/>
    <row r="2648" s="4" customFormat="1" x14ac:dyDescent="0.5"/>
    <row r="2649" s="4" customFormat="1" x14ac:dyDescent="0.5"/>
    <row r="2650" s="4" customFormat="1" x14ac:dyDescent="0.5"/>
    <row r="2651" s="4" customFormat="1" x14ac:dyDescent="0.5"/>
    <row r="2652" s="4" customFormat="1" x14ac:dyDescent="0.5"/>
    <row r="2653" s="4" customFormat="1" x14ac:dyDescent="0.5"/>
    <row r="2654" s="4" customFormat="1" x14ac:dyDescent="0.5"/>
    <row r="2655" s="4" customFormat="1" x14ac:dyDescent="0.5"/>
    <row r="2656" s="4" customFormat="1" x14ac:dyDescent="0.5"/>
    <row r="2657" s="4" customFormat="1" x14ac:dyDescent="0.5"/>
    <row r="2658" s="4" customFormat="1" x14ac:dyDescent="0.5"/>
    <row r="2659" s="4" customFormat="1" x14ac:dyDescent="0.5"/>
    <row r="2660" s="4" customFormat="1" x14ac:dyDescent="0.5"/>
    <row r="2661" s="4" customFormat="1" x14ac:dyDescent="0.5"/>
    <row r="2662" s="4" customFormat="1" x14ac:dyDescent="0.5"/>
    <row r="2663" s="4" customFormat="1" x14ac:dyDescent="0.5"/>
    <row r="2664" s="4" customFormat="1" x14ac:dyDescent="0.5"/>
    <row r="2665" s="4" customFormat="1" x14ac:dyDescent="0.5"/>
    <row r="2666" s="4" customFormat="1" x14ac:dyDescent="0.5"/>
    <row r="2667" s="4" customFormat="1" x14ac:dyDescent="0.5"/>
    <row r="2668" s="4" customFormat="1" x14ac:dyDescent="0.5"/>
    <row r="2669" s="4" customFormat="1" x14ac:dyDescent="0.5"/>
    <row r="2670" s="4" customFormat="1" x14ac:dyDescent="0.5"/>
    <row r="2671" s="4" customFormat="1" x14ac:dyDescent="0.5"/>
    <row r="2672" s="4" customFormat="1" x14ac:dyDescent="0.5"/>
    <row r="2673" s="4" customFormat="1" x14ac:dyDescent="0.5"/>
    <row r="2674" s="4" customFormat="1" x14ac:dyDescent="0.5"/>
    <row r="2675" s="4" customFormat="1" x14ac:dyDescent="0.5"/>
    <row r="2676" s="4" customFormat="1" x14ac:dyDescent="0.5"/>
    <row r="2677" s="4" customFormat="1" x14ac:dyDescent="0.5"/>
    <row r="2678" s="4" customFormat="1" x14ac:dyDescent="0.5"/>
    <row r="2679" s="4" customFormat="1" x14ac:dyDescent="0.5"/>
    <row r="2680" s="4" customFormat="1" x14ac:dyDescent="0.5"/>
    <row r="2681" s="4" customFormat="1" x14ac:dyDescent="0.5"/>
    <row r="2682" s="4" customFormat="1" x14ac:dyDescent="0.5"/>
    <row r="2683" s="4" customFormat="1" x14ac:dyDescent="0.5"/>
    <row r="2684" s="4" customFormat="1" x14ac:dyDescent="0.5"/>
    <row r="2685" s="4" customFormat="1" x14ac:dyDescent="0.5"/>
    <row r="2686" s="4" customFormat="1" x14ac:dyDescent="0.5"/>
    <row r="2687" s="4" customFormat="1" x14ac:dyDescent="0.5"/>
    <row r="2688" s="4" customFormat="1" x14ac:dyDescent="0.5"/>
    <row r="2689" s="4" customFormat="1" x14ac:dyDescent="0.5"/>
    <row r="2690" s="4" customFormat="1" x14ac:dyDescent="0.5"/>
    <row r="2691" s="4" customFormat="1" x14ac:dyDescent="0.5"/>
    <row r="2692" s="4" customFormat="1" x14ac:dyDescent="0.5"/>
    <row r="2693" s="4" customFormat="1" x14ac:dyDescent="0.5"/>
    <row r="2694" s="4" customFormat="1" x14ac:dyDescent="0.5"/>
    <row r="2695" s="4" customFormat="1" x14ac:dyDescent="0.5"/>
    <row r="2696" s="4" customFormat="1" x14ac:dyDescent="0.5"/>
    <row r="2697" s="4" customFormat="1" x14ac:dyDescent="0.5"/>
    <row r="2698" s="4" customFormat="1" x14ac:dyDescent="0.5"/>
    <row r="2699" s="4" customFormat="1" x14ac:dyDescent="0.5"/>
    <row r="2700" s="4" customFormat="1" x14ac:dyDescent="0.5"/>
    <row r="2701" s="4" customFormat="1" x14ac:dyDescent="0.5"/>
    <row r="2702" s="4" customFormat="1" x14ac:dyDescent="0.5"/>
    <row r="2703" s="4" customFormat="1" x14ac:dyDescent="0.5"/>
    <row r="2704" s="4" customFormat="1" x14ac:dyDescent="0.5"/>
    <row r="2705" s="4" customFormat="1" x14ac:dyDescent="0.5"/>
    <row r="2706" s="4" customFormat="1" x14ac:dyDescent="0.5"/>
    <row r="2707" s="4" customFormat="1" x14ac:dyDescent="0.5"/>
    <row r="2708" s="4" customFormat="1" x14ac:dyDescent="0.5"/>
    <row r="2709" s="4" customFormat="1" x14ac:dyDescent="0.5"/>
    <row r="2710" s="4" customFormat="1" x14ac:dyDescent="0.5"/>
    <row r="2711" s="4" customFormat="1" x14ac:dyDescent="0.5"/>
    <row r="2712" s="4" customFormat="1" x14ac:dyDescent="0.5"/>
    <row r="2713" s="4" customFormat="1" x14ac:dyDescent="0.5"/>
    <row r="2714" s="4" customFormat="1" x14ac:dyDescent="0.5"/>
    <row r="2715" s="4" customFormat="1" x14ac:dyDescent="0.5"/>
    <row r="2716" s="4" customFormat="1" x14ac:dyDescent="0.5"/>
    <row r="2717" s="4" customFormat="1" x14ac:dyDescent="0.5"/>
    <row r="2718" s="4" customFormat="1" x14ac:dyDescent="0.5"/>
    <row r="2719" s="4" customFormat="1" x14ac:dyDescent="0.5"/>
    <row r="2720" s="4" customFormat="1" x14ac:dyDescent="0.5"/>
    <row r="2721" s="4" customFormat="1" x14ac:dyDescent="0.5"/>
    <row r="2722" s="4" customFormat="1" x14ac:dyDescent="0.5"/>
    <row r="2723" s="4" customFormat="1" x14ac:dyDescent="0.5"/>
    <row r="2724" s="4" customFormat="1" x14ac:dyDescent="0.5"/>
    <row r="2725" s="4" customFormat="1" x14ac:dyDescent="0.5"/>
    <row r="2726" s="4" customFormat="1" x14ac:dyDescent="0.5"/>
    <row r="2727" s="4" customFormat="1" x14ac:dyDescent="0.5"/>
    <row r="2728" s="4" customFormat="1" x14ac:dyDescent="0.5"/>
    <row r="2729" s="4" customFormat="1" x14ac:dyDescent="0.5"/>
    <row r="2730" s="4" customFormat="1" x14ac:dyDescent="0.5"/>
    <row r="2731" s="4" customFormat="1" x14ac:dyDescent="0.5"/>
    <row r="2732" s="4" customFormat="1" x14ac:dyDescent="0.5"/>
    <row r="2733" s="4" customFormat="1" x14ac:dyDescent="0.5"/>
    <row r="2734" s="4" customFormat="1" x14ac:dyDescent="0.5"/>
    <row r="2735" s="4" customFormat="1" x14ac:dyDescent="0.5"/>
    <row r="2736" s="4" customFormat="1" x14ac:dyDescent="0.5"/>
    <row r="2737" s="4" customFormat="1" x14ac:dyDescent="0.5"/>
    <row r="2738" s="4" customFormat="1" x14ac:dyDescent="0.5"/>
    <row r="2739" s="4" customFormat="1" x14ac:dyDescent="0.5"/>
    <row r="2740" s="4" customFormat="1" x14ac:dyDescent="0.5"/>
    <row r="2741" s="4" customFormat="1" x14ac:dyDescent="0.5"/>
    <row r="2742" s="4" customFormat="1" x14ac:dyDescent="0.5"/>
    <row r="2743" s="4" customFormat="1" x14ac:dyDescent="0.5"/>
    <row r="2744" s="4" customFormat="1" x14ac:dyDescent="0.5"/>
    <row r="2745" s="4" customFormat="1" x14ac:dyDescent="0.5"/>
    <row r="2746" s="4" customFormat="1" x14ac:dyDescent="0.5"/>
    <row r="2747" s="4" customFormat="1" x14ac:dyDescent="0.5"/>
    <row r="2748" s="4" customFormat="1" x14ac:dyDescent="0.5"/>
    <row r="2749" s="4" customFormat="1" x14ac:dyDescent="0.5"/>
    <row r="2750" s="4" customFormat="1" x14ac:dyDescent="0.5"/>
    <row r="2751" s="4" customFormat="1" x14ac:dyDescent="0.5"/>
    <row r="2752" s="4" customFormat="1" x14ac:dyDescent="0.5"/>
    <row r="2753" s="4" customFormat="1" x14ac:dyDescent="0.5"/>
    <row r="2754" s="4" customFormat="1" x14ac:dyDescent="0.5"/>
    <row r="2755" s="4" customFormat="1" x14ac:dyDescent="0.5"/>
    <row r="2756" s="4" customFormat="1" x14ac:dyDescent="0.5"/>
    <row r="2757" s="4" customFormat="1" x14ac:dyDescent="0.5"/>
    <row r="2758" s="4" customFormat="1" x14ac:dyDescent="0.5"/>
    <row r="2759" s="4" customFormat="1" x14ac:dyDescent="0.5"/>
    <row r="2760" s="4" customFormat="1" x14ac:dyDescent="0.5"/>
    <row r="2761" s="4" customFormat="1" x14ac:dyDescent="0.5"/>
    <row r="2762" s="4" customFormat="1" x14ac:dyDescent="0.5"/>
    <row r="2763" s="4" customFormat="1" x14ac:dyDescent="0.5"/>
    <row r="2764" s="4" customFormat="1" x14ac:dyDescent="0.5"/>
    <row r="2765" s="4" customFormat="1" x14ac:dyDescent="0.5"/>
    <row r="2766" s="4" customFormat="1" x14ac:dyDescent="0.5"/>
    <row r="2767" s="4" customFormat="1" x14ac:dyDescent="0.5"/>
    <row r="2768" s="4" customFormat="1" x14ac:dyDescent="0.5"/>
    <row r="2769" s="4" customFormat="1" x14ac:dyDescent="0.5"/>
    <row r="2770" s="4" customFormat="1" x14ac:dyDescent="0.5"/>
    <row r="2771" s="4" customFormat="1" x14ac:dyDescent="0.5"/>
    <row r="2772" s="4" customFormat="1" x14ac:dyDescent="0.5"/>
    <row r="2773" s="4" customFormat="1" x14ac:dyDescent="0.5"/>
    <row r="2774" s="4" customFormat="1" x14ac:dyDescent="0.5"/>
    <row r="2775" s="4" customFormat="1" x14ac:dyDescent="0.5"/>
    <row r="2776" s="4" customFormat="1" x14ac:dyDescent="0.5"/>
    <row r="2777" s="4" customFormat="1" x14ac:dyDescent="0.5"/>
    <row r="2778" s="4" customFormat="1" x14ac:dyDescent="0.5"/>
    <row r="2779" s="4" customFormat="1" x14ac:dyDescent="0.5"/>
    <row r="2780" s="4" customFormat="1" x14ac:dyDescent="0.5"/>
    <row r="2781" s="4" customFormat="1" x14ac:dyDescent="0.5"/>
    <row r="2782" s="4" customFormat="1" x14ac:dyDescent="0.5"/>
    <row r="2783" s="4" customFormat="1" x14ac:dyDescent="0.5"/>
    <row r="2784" s="4" customFormat="1" x14ac:dyDescent="0.5"/>
    <row r="2785" s="4" customFormat="1" x14ac:dyDescent="0.5"/>
    <row r="2786" s="4" customFormat="1" x14ac:dyDescent="0.5"/>
    <row r="2787" s="4" customFormat="1" x14ac:dyDescent="0.5"/>
    <row r="2788" s="4" customFormat="1" x14ac:dyDescent="0.5"/>
    <row r="2789" s="4" customFormat="1" x14ac:dyDescent="0.5"/>
    <row r="2790" s="4" customFormat="1" x14ac:dyDescent="0.5"/>
    <row r="2791" s="4" customFormat="1" x14ac:dyDescent="0.5"/>
    <row r="2792" s="4" customFormat="1" x14ac:dyDescent="0.5"/>
    <row r="2793" s="4" customFormat="1" x14ac:dyDescent="0.5"/>
    <row r="2794" s="4" customFormat="1" x14ac:dyDescent="0.5"/>
    <row r="2795" s="4" customFormat="1" x14ac:dyDescent="0.5"/>
    <row r="2796" s="4" customFormat="1" x14ac:dyDescent="0.5"/>
    <row r="2797" s="4" customFormat="1" x14ac:dyDescent="0.5"/>
    <row r="2798" s="4" customFormat="1" x14ac:dyDescent="0.5"/>
    <row r="2799" s="4" customFormat="1" x14ac:dyDescent="0.5"/>
    <row r="2800" s="4" customFormat="1" x14ac:dyDescent="0.5"/>
    <row r="2801" s="4" customFormat="1" x14ac:dyDescent="0.5"/>
    <row r="2802" s="4" customFormat="1" x14ac:dyDescent="0.5"/>
    <row r="2803" s="4" customFormat="1" x14ac:dyDescent="0.5"/>
    <row r="2804" s="4" customFormat="1" x14ac:dyDescent="0.5"/>
    <row r="2805" s="4" customFormat="1" x14ac:dyDescent="0.5"/>
    <row r="2806" s="4" customFormat="1" x14ac:dyDescent="0.5"/>
    <row r="2807" s="4" customFormat="1" x14ac:dyDescent="0.5"/>
    <row r="2808" s="4" customFormat="1" x14ac:dyDescent="0.5"/>
    <row r="2809" s="4" customFormat="1" x14ac:dyDescent="0.5"/>
    <row r="2810" s="4" customFormat="1" x14ac:dyDescent="0.5"/>
    <row r="2811" s="4" customFormat="1" x14ac:dyDescent="0.5"/>
    <row r="2812" s="4" customFormat="1" x14ac:dyDescent="0.5"/>
    <row r="2813" s="4" customFormat="1" x14ac:dyDescent="0.5"/>
    <row r="2814" s="4" customFormat="1" x14ac:dyDescent="0.5"/>
    <row r="2815" s="4" customFormat="1" x14ac:dyDescent="0.5"/>
    <row r="2816" s="4" customFormat="1" x14ac:dyDescent="0.5"/>
    <row r="2817" s="4" customFormat="1" x14ac:dyDescent="0.5"/>
    <row r="2818" s="4" customFormat="1" x14ac:dyDescent="0.5"/>
    <row r="2819" s="4" customFormat="1" x14ac:dyDescent="0.5"/>
    <row r="2820" s="4" customFormat="1" x14ac:dyDescent="0.5"/>
    <row r="2821" s="4" customFormat="1" x14ac:dyDescent="0.5"/>
    <row r="2822" s="4" customFormat="1" x14ac:dyDescent="0.5"/>
    <row r="2823" s="4" customFormat="1" x14ac:dyDescent="0.5"/>
    <row r="2824" s="4" customFormat="1" x14ac:dyDescent="0.5"/>
    <row r="2825" s="4" customFormat="1" x14ac:dyDescent="0.5"/>
    <row r="2826" s="4" customFormat="1" x14ac:dyDescent="0.5"/>
    <row r="2827" s="4" customFormat="1" x14ac:dyDescent="0.5"/>
    <row r="2828" s="4" customFormat="1" x14ac:dyDescent="0.5"/>
    <row r="2829" s="4" customFormat="1" x14ac:dyDescent="0.5"/>
    <row r="2830" s="4" customFormat="1" x14ac:dyDescent="0.5"/>
    <row r="2831" s="4" customFormat="1" x14ac:dyDescent="0.5"/>
    <row r="2832" s="4" customFormat="1" x14ac:dyDescent="0.5"/>
    <row r="2833" s="4" customFormat="1" x14ac:dyDescent="0.5"/>
    <row r="2834" s="4" customFormat="1" x14ac:dyDescent="0.5"/>
    <row r="2835" s="4" customFormat="1" x14ac:dyDescent="0.5"/>
    <row r="2836" s="4" customFormat="1" x14ac:dyDescent="0.5"/>
    <row r="2837" s="4" customFormat="1" x14ac:dyDescent="0.5"/>
    <row r="2838" s="4" customFormat="1" x14ac:dyDescent="0.5"/>
    <row r="2839" s="4" customFormat="1" x14ac:dyDescent="0.5"/>
    <row r="2840" s="4" customFormat="1" x14ac:dyDescent="0.5"/>
    <row r="2841" s="4" customFormat="1" x14ac:dyDescent="0.5"/>
    <row r="2842" s="4" customFormat="1" x14ac:dyDescent="0.5"/>
    <row r="2843" s="4" customFormat="1" x14ac:dyDescent="0.5"/>
    <row r="2844" s="4" customFormat="1" x14ac:dyDescent="0.5"/>
    <row r="2845" s="4" customFormat="1" x14ac:dyDescent="0.5"/>
    <row r="2846" s="4" customFormat="1" x14ac:dyDescent="0.5"/>
    <row r="2847" s="4" customFormat="1" x14ac:dyDescent="0.5"/>
    <row r="2848" s="4" customFormat="1" x14ac:dyDescent="0.5"/>
    <row r="2849" s="4" customFormat="1" x14ac:dyDescent="0.5"/>
    <row r="2850" s="4" customFormat="1" x14ac:dyDescent="0.5"/>
    <row r="2851" s="4" customFormat="1" x14ac:dyDescent="0.5"/>
    <row r="2852" s="4" customFormat="1" x14ac:dyDescent="0.5"/>
    <row r="2853" s="4" customFormat="1" x14ac:dyDescent="0.5"/>
    <row r="2854" s="4" customFormat="1" x14ac:dyDescent="0.5"/>
    <row r="2855" s="4" customFormat="1" x14ac:dyDescent="0.5"/>
    <row r="2856" s="4" customFormat="1" x14ac:dyDescent="0.5"/>
    <row r="2857" s="4" customFormat="1" x14ac:dyDescent="0.5"/>
    <row r="2858" s="4" customFormat="1" x14ac:dyDescent="0.5"/>
    <row r="2859" s="4" customFormat="1" x14ac:dyDescent="0.5"/>
    <row r="2860" s="4" customFormat="1" x14ac:dyDescent="0.5"/>
    <row r="2861" s="4" customFormat="1" x14ac:dyDescent="0.5"/>
    <row r="2862" s="4" customFormat="1" x14ac:dyDescent="0.5"/>
    <row r="2863" s="4" customFormat="1" x14ac:dyDescent="0.5"/>
    <row r="2864" s="4" customFormat="1" x14ac:dyDescent="0.5"/>
    <row r="2865" s="4" customFormat="1" x14ac:dyDescent="0.5"/>
    <row r="2866" s="4" customFormat="1" x14ac:dyDescent="0.5"/>
    <row r="2867" s="4" customFormat="1" x14ac:dyDescent="0.5"/>
    <row r="2868" s="4" customFormat="1" x14ac:dyDescent="0.5"/>
    <row r="2869" s="4" customFormat="1" x14ac:dyDescent="0.5"/>
    <row r="2870" s="4" customFormat="1" x14ac:dyDescent="0.5"/>
    <row r="2871" s="4" customFormat="1" x14ac:dyDescent="0.5"/>
    <row r="2872" s="4" customFormat="1" x14ac:dyDescent="0.5"/>
    <row r="2873" s="4" customFormat="1" x14ac:dyDescent="0.5"/>
    <row r="2874" s="4" customFormat="1" x14ac:dyDescent="0.5"/>
    <row r="2875" s="4" customFormat="1" x14ac:dyDescent="0.5"/>
    <row r="2876" s="4" customFormat="1" x14ac:dyDescent="0.5"/>
    <row r="2877" s="4" customFormat="1" x14ac:dyDescent="0.5"/>
    <row r="2878" s="4" customFormat="1" x14ac:dyDescent="0.5"/>
    <row r="2879" s="4" customFormat="1" x14ac:dyDescent="0.5"/>
    <row r="2880" s="4" customFormat="1" x14ac:dyDescent="0.5"/>
    <row r="2881" s="4" customFormat="1" x14ac:dyDescent="0.5"/>
    <row r="2882" s="4" customFormat="1" x14ac:dyDescent="0.5"/>
    <row r="2883" s="4" customFormat="1" x14ac:dyDescent="0.5"/>
    <row r="2884" s="4" customFormat="1" x14ac:dyDescent="0.5"/>
    <row r="2885" s="4" customFormat="1" x14ac:dyDescent="0.5"/>
    <row r="2886" s="4" customFormat="1" x14ac:dyDescent="0.5"/>
    <row r="2887" s="4" customFormat="1" x14ac:dyDescent="0.5"/>
    <row r="2888" s="4" customFormat="1" x14ac:dyDescent="0.5"/>
    <row r="2889" s="4" customFormat="1" x14ac:dyDescent="0.5"/>
    <row r="2890" s="4" customFormat="1" x14ac:dyDescent="0.5"/>
    <row r="2891" s="4" customFormat="1" x14ac:dyDescent="0.5"/>
    <row r="2892" s="4" customFormat="1" x14ac:dyDescent="0.5"/>
    <row r="2893" s="4" customFormat="1" x14ac:dyDescent="0.5"/>
    <row r="2894" s="4" customFormat="1" x14ac:dyDescent="0.5"/>
    <row r="2895" s="4" customFormat="1" x14ac:dyDescent="0.5"/>
    <row r="2896" s="4" customFormat="1" x14ac:dyDescent="0.5"/>
    <row r="2897" s="4" customFormat="1" x14ac:dyDescent="0.5"/>
    <row r="2898" s="4" customFormat="1" x14ac:dyDescent="0.5"/>
    <row r="2899" s="4" customFormat="1" x14ac:dyDescent="0.5"/>
    <row r="2900" s="4" customFormat="1" x14ac:dyDescent="0.5"/>
    <row r="2901" s="4" customFormat="1" x14ac:dyDescent="0.5"/>
    <row r="2902" s="4" customFormat="1" x14ac:dyDescent="0.5"/>
    <row r="2903" s="4" customFormat="1" x14ac:dyDescent="0.5"/>
    <row r="2904" s="4" customFormat="1" x14ac:dyDescent="0.5"/>
    <row r="2905" s="4" customFormat="1" x14ac:dyDescent="0.5"/>
    <row r="2906" s="4" customFormat="1" x14ac:dyDescent="0.5"/>
    <row r="2907" s="4" customFormat="1" x14ac:dyDescent="0.5"/>
    <row r="2908" s="4" customFormat="1" x14ac:dyDescent="0.5"/>
    <row r="2909" s="4" customFormat="1" x14ac:dyDescent="0.5"/>
    <row r="2910" s="4" customFormat="1" x14ac:dyDescent="0.5"/>
    <row r="2911" s="4" customFormat="1" x14ac:dyDescent="0.5"/>
    <row r="2912" s="4" customFormat="1" x14ac:dyDescent="0.5"/>
    <row r="2913" s="4" customFormat="1" x14ac:dyDescent="0.5"/>
    <row r="2914" s="4" customFormat="1" x14ac:dyDescent="0.5"/>
    <row r="2915" s="4" customFormat="1" x14ac:dyDescent="0.5"/>
    <row r="2916" s="4" customFormat="1" x14ac:dyDescent="0.5"/>
    <row r="2917" s="4" customFormat="1" x14ac:dyDescent="0.5"/>
    <row r="2918" s="4" customFormat="1" x14ac:dyDescent="0.5"/>
    <row r="2919" s="4" customFormat="1" x14ac:dyDescent="0.5"/>
    <row r="2920" s="4" customFormat="1" x14ac:dyDescent="0.5"/>
    <row r="2921" s="4" customFormat="1" x14ac:dyDescent="0.5"/>
    <row r="2922" s="4" customFormat="1" x14ac:dyDescent="0.5"/>
    <row r="2923" s="4" customFormat="1" x14ac:dyDescent="0.5"/>
    <row r="2924" s="4" customFormat="1" x14ac:dyDescent="0.5"/>
    <row r="2925" s="4" customFormat="1" x14ac:dyDescent="0.5"/>
    <row r="2926" s="4" customFormat="1" x14ac:dyDescent="0.5"/>
    <row r="2927" s="4" customFormat="1" x14ac:dyDescent="0.5"/>
    <row r="2928" s="4" customFormat="1" x14ac:dyDescent="0.5"/>
    <row r="2929" s="4" customFormat="1" x14ac:dyDescent="0.5"/>
    <row r="2930" s="4" customFormat="1" x14ac:dyDescent="0.5"/>
    <row r="2931" s="4" customFormat="1" x14ac:dyDescent="0.5"/>
    <row r="2932" s="4" customFormat="1" x14ac:dyDescent="0.5"/>
    <row r="2933" s="4" customFormat="1" x14ac:dyDescent="0.5"/>
    <row r="2934" s="4" customFormat="1" x14ac:dyDescent="0.5"/>
    <row r="2935" s="4" customFormat="1" x14ac:dyDescent="0.5"/>
    <row r="2936" s="4" customFormat="1" x14ac:dyDescent="0.5"/>
    <row r="2937" s="4" customFormat="1" x14ac:dyDescent="0.5"/>
    <row r="2938" s="4" customFormat="1" x14ac:dyDescent="0.5"/>
    <row r="2939" s="4" customFormat="1" x14ac:dyDescent="0.5"/>
    <row r="2940" s="4" customFormat="1" x14ac:dyDescent="0.5"/>
    <row r="2941" s="4" customFormat="1" x14ac:dyDescent="0.5"/>
    <row r="2942" s="4" customFormat="1" x14ac:dyDescent="0.5"/>
    <row r="2943" s="4" customFormat="1" x14ac:dyDescent="0.5"/>
    <row r="2944" s="4" customFormat="1" x14ac:dyDescent="0.5"/>
    <row r="2945" s="4" customFormat="1" x14ac:dyDescent="0.5"/>
    <row r="2946" s="4" customFormat="1" x14ac:dyDescent="0.5"/>
    <row r="2947" s="4" customFormat="1" x14ac:dyDescent="0.5"/>
    <row r="2948" s="4" customFormat="1" x14ac:dyDescent="0.5"/>
    <row r="2949" s="4" customFormat="1" x14ac:dyDescent="0.5"/>
    <row r="2950" s="4" customFormat="1" x14ac:dyDescent="0.5"/>
    <row r="2951" s="4" customFormat="1" x14ac:dyDescent="0.5"/>
    <row r="2952" s="4" customFormat="1" x14ac:dyDescent="0.5"/>
    <row r="2953" s="4" customFormat="1" x14ac:dyDescent="0.5"/>
    <row r="2954" s="4" customFormat="1" x14ac:dyDescent="0.5"/>
    <row r="2955" s="4" customFormat="1" x14ac:dyDescent="0.5"/>
    <row r="2956" s="4" customFormat="1" x14ac:dyDescent="0.5"/>
    <row r="2957" s="4" customFormat="1" x14ac:dyDescent="0.5"/>
    <row r="2958" s="4" customFormat="1" x14ac:dyDescent="0.5"/>
    <row r="2959" s="4" customFormat="1" x14ac:dyDescent="0.5"/>
    <row r="2960" s="4" customFormat="1" x14ac:dyDescent="0.5"/>
    <row r="2961" s="4" customFormat="1" x14ac:dyDescent="0.5"/>
    <row r="2962" s="4" customFormat="1" x14ac:dyDescent="0.5"/>
    <row r="2963" s="4" customFormat="1" x14ac:dyDescent="0.5"/>
    <row r="2964" s="4" customFormat="1" x14ac:dyDescent="0.5"/>
    <row r="2965" s="4" customFormat="1" x14ac:dyDescent="0.5"/>
    <row r="2966" s="4" customFormat="1" x14ac:dyDescent="0.5"/>
    <row r="2967" s="4" customFormat="1" x14ac:dyDescent="0.5"/>
    <row r="2968" s="4" customFormat="1" x14ac:dyDescent="0.5"/>
    <row r="2969" s="4" customFormat="1" x14ac:dyDescent="0.5"/>
    <row r="2970" s="4" customFormat="1" x14ac:dyDescent="0.5"/>
    <row r="2971" s="4" customFormat="1" x14ac:dyDescent="0.5"/>
    <row r="2972" s="4" customFormat="1" x14ac:dyDescent="0.5"/>
    <row r="2973" s="4" customFormat="1" x14ac:dyDescent="0.5"/>
    <row r="2974" s="4" customFormat="1" x14ac:dyDescent="0.5"/>
    <row r="2975" s="4" customFormat="1" x14ac:dyDescent="0.5"/>
    <row r="2976" s="4" customFormat="1" x14ac:dyDescent="0.5"/>
    <row r="2977" s="4" customFormat="1" x14ac:dyDescent="0.5"/>
    <row r="2978" s="4" customFormat="1" x14ac:dyDescent="0.5"/>
    <row r="2979" s="4" customFormat="1" x14ac:dyDescent="0.5"/>
    <row r="2980" s="4" customFormat="1" x14ac:dyDescent="0.5"/>
    <row r="2981" s="4" customFormat="1" x14ac:dyDescent="0.5"/>
    <row r="2982" s="4" customFormat="1" x14ac:dyDescent="0.5"/>
    <row r="2983" s="4" customFormat="1" x14ac:dyDescent="0.5"/>
    <row r="2984" s="4" customFormat="1" x14ac:dyDescent="0.5"/>
    <row r="2985" s="4" customFormat="1" x14ac:dyDescent="0.5"/>
    <row r="2986" s="4" customFormat="1" x14ac:dyDescent="0.5"/>
    <row r="2987" s="4" customFormat="1" x14ac:dyDescent="0.5"/>
    <row r="2988" s="4" customFormat="1" x14ac:dyDescent="0.5"/>
    <row r="2989" s="4" customFormat="1" x14ac:dyDescent="0.5"/>
    <row r="2990" s="4" customFormat="1" x14ac:dyDescent="0.5"/>
    <row r="2991" s="4" customFormat="1" x14ac:dyDescent="0.5"/>
    <row r="2992" s="4" customFormat="1" x14ac:dyDescent="0.5"/>
    <row r="2993" s="4" customFormat="1" x14ac:dyDescent="0.5"/>
    <row r="2994" s="4" customFormat="1" x14ac:dyDescent="0.5"/>
    <row r="2995" s="4" customFormat="1" x14ac:dyDescent="0.5"/>
    <row r="2996" s="4" customFormat="1" x14ac:dyDescent="0.5"/>
    <row r="2997" s="4" customFormat="1" x14ac:dyDescent="0.5"/>
    <row r="2998" s="4" customFormat="1" x14ac:dyDescent="0.5"/>
    <row r="2999" s="4" customFormat="1" x14ac:dyDescent="0.5"/>
    <row r="3000" s="4" customFormat="1" x14ac:dyDescent="0.5"/>
    <row r="3001" s="4" customFormat="1" x14ac:dyDescent="0.5"/>
    <row r="3002" s="4" customFormat="1" x14ac:dyDescent="0.5"/>
    <row r="3003" s="4" customFormat="1" x14ac:dyDescent="0.5"/>
    <row r="3004" s="4" customFormat="1" x14ac:dyDescent="0.5"/>
    <row r="3005" s="4" customFormat="1" x14ac:dyDescent="0.5"/>
    <row r="3006" s="4" customFormat="1" x14ac:dyDescent="0.5"/>
    <row r="3007" s="4" customFormat="1" x14ac:dyDescent="0.5"/>
    <row r="3008" s="4" customFormat="1" x14ac:dyDescent="0.5"/>
    <row r="3009" s="4" customFormat="1" x14ac:dyDescent="0.5"/>
    <row r="3010" s="4" customFormat="1" x14ac:dyDescent="0.5"/>
    <row r="3011" s="4" customFormat="1" x14ac:dyDescent="0.5"/>
    <row r="3012" s="4" customFormat="1" x14ac:dyDescent="0.5"/>
    <row r="3013" s="4" customFormat="1" x14ac:dyDescent="0.5"/>
    <row r="3014" s="4" customFormat="1" x14ac:dyDescent="0.5"/>
    <row r="3015" s="4" customFormat="1" x14ac:dyDescent="0.5"/>
    <row r="3016" s="4" customFormat="1" x14ac:dyDescent="0.5"/>
    <row r="3017" s="4" customFormat="1" x14ac:dyDescent="0.5"/>
    <row r="3018" s="4" customFormat="1" x14ac:dyDescent="0.5"/>
    <row r="3019" s="4" customFormat="1" x14ac:dyDescent="0.5"/>
    <row r="3020" s="4" customFormat="1" x14ac:dyDescent="0.5"/>
    <row r="3021" s="4" customFormat="1" x14ac:dyDescent="0.5"/>
    <row r="3022" s="4" customFormat="1" x14ac:dyDescent="0.5"/>
    <row r="3023" s="4" customFormat="1" x14ac:dyDescent="0.5"/>
    <row r="3024" s="4" customFormat="1" x14ac:dyDescent="0.5"/>
    <row r="3025" s="4" customFormat="1" x14ac:dyDescent="0.5"/>
    <row r="3026" s="4" customFormat="1" x14ac:dyDescent="0.5"/>
    <row r="3027" s="4" customFormat="1" x14ac:dyDescent="0.5"/>
    <row r="3028" s="4" customFormat="1" x14ac:dyDescent="0.5"/>
    <row r="3029" s="4" customFormat="1" x14ac:dyDescent="0.5"/>
    <row r="3030" s="4" customFormat="1" x14ac:dyDescent="0.5"/>
    <row r="3031" s="4" customFormat="1" x14ac:dyDescent="0.5"/>
    <row r="3032" s="4" customFormat="1" x14ac:dyDescent="0.5"/>
    <row r="3033" s="4" customFormat="1" x14ac:dyDescent="0.5"/>
    <row r="3034" s="4" customFormat="1" x14ac:dyDescent="0.5"/>
    <row r="3035" s="4" customFormat="1" x14ac:dyDescent="0.5"/>
    <row r="3036" s="4" customFormat="1" x14ac:dyDescent="0.5"/>
    <row r="3037" s="4" customFormat="1" x14ac:dyDescent="0.5"/>
    <row r="3038" s="4" customFormat="1" x14ac:dyDescent="0.5"/>
    <row r="3039" s="4" customFormat="1" x14ac:dyDescent="0.5"/>
    <row r="3040" s="4" customFormat="1" x14ac:dyDescent="0.5"/>
    <row r="3041" s="4" customFormat="1" x14ac:dyDescent="0.5"/>
    <row r="3042" s="4" customFormat="1" x14ac:dyDescent="0.5"/>
    <row r="3043" s="4" customFormat="1" x14ac:dyDescent="0.5"/>
    <row r="3044" s="4" customFormat="1" x14ac:dyDescent="0.5"/>
    <row r="3045" s="4" customFormat="1" x14ac:dyDescent="0.5"/>
    <row r="3046" s="4" customFormat="1" x14ac:dyDescent="0.5"/>
    <row r="3047" s="4" customFormat="1" x14ac:dyDescent="0.5"/>
    <row r="3048" s="4" customFormat="1" x14ac:dyDescent="0.5"/>
    <row r="3049" s="4" customFormat="1" x14ac:dyDescent="0.5"/>
    <row r="3050" s="4" customFormat="1" x14ac:dyDescent="0.5"/>
    <row r="3051" s="4" customFormat="1" x14ac:dyDescent="0.5"/>
    <row r="3052" s="4" customFormat="1" x14ac:dyDescent="0.5"/>
    <row r="3053" s="4" customFormat="1" x14ac:dyDescent="0.5"/>
    <row r="3054" s="4" customFormat="1" x14ac:dyDescent="0.5"/>
    <row r="3055" s="4" customFormat="1" x14ac:dyDescent="0.5"/>
    <row r="3056" s="4" customFormat="1" x14ac:dyDescent="0.5"/>
    <row r="3057" s="4" customFormat="1" x14ac:dyDescent="0.5"/>
    <row r="3058" s="4" customFormat="1" x14ac:dyDescent="0.5"/>
    <row r="3059" s="4" customFormat="1" x14ac:dyDescent="0.5"/>
    <row r="3060" s="4" customFormat="1" x14ac:dyDescent="0.5"/>
    <row r="3061" s="4" customFormat="1" x14ac:dyDescent="0.5"/>
    <row r="3062" s="4" customFormat="1" x14ac:dyDescent="0.5"/>
    <row r="3063" s="4" customFormat="1" x14ac:dyDescent="0.5"/>
    <row r="3064" s="4" customFormat="1" x14ac:dyDescent="0.5"/>
    <row r="3065" s="4" customFormat="1" x14ac:dyDescent="0.5"/>
    <row r="3066" s="4" customFormat="1" x14ac:dyDescent="0.5"/>
    <row r="3067" s="4" customFormat="1" x14ac:dyDescent="0.5"/>
    <row r="3068" s="4" customFormat="1" x14ac:dyDescent="0.5"/>
    <row r="3069" s="4" customFormat="1" x14ac:dyDescent="0.5"/>
    <row r="3070" s="4" customFormat="1" x14ac:dyDescent="0.5"/>
    <row r="3071" s="4" customFormat="1" x14ac:dyDescent="0.5"/>
    <row r="3072" s="4" customFormat="1" x14ac:dyDescent="0.5"/>
    <row r="3073" s="4" customFormat="1" x14ac:dyDescent="0.5"/>
    <row r="3074" s="4" customFormat="1" x14ac:dyDescent="0.5"/>
    <row r="3075" s="4" customFormat="1" x14ac:dyDescent="0.5"/>
    <row r="3076" s="4" customFormat="1" x14ac:dyDescent="0.5"/>
    <row r="3077" s="4" customFormat="1" x14ac:dyDescent="0.5"/>
    <row r="3078" s="4" customFormat="1" x14ac:dyDescent="0.5"/>
    <row r="3079" s="4" customFormat="1" x14ac:dyDescent="0.5"/>
    <row r="3080" s="4" customFormat="1" x14ac:dyDescent="0.5"/>
    <row r="3081" s="4" customFormat="1" x14ac:dyDescent="0.5"/>
    <row r="3082" s="4" customFormat="1" x14ac:dyDescent="0.5"/>
    <row r="3083" s="4" customFormat="1" x14ac:dyDescent="0.5"/>
    <row r="3084" s="4" customFormat="1" x14ac:dyDescent="0.5"/>
    <row r="3085" s="4" customFormat="1" x14ac:dyDescent="0.5"/>
    <row r="3086" s="4" customFormat="1" x14ac:dyDescent="0.5"/>
    <row r="3087" s="4" customFormat="1" x14ac:dyDescent="0.5"/>
    <row r="3088" s="4" customFormat="1" x14ac:dyDescent="0.5"/>
    <row r="3089" s="4" customFormat="1" x14ac:dyDescent="0.5"/>
    <row r="3090" s="4" customFormat="1" x14ac:dyDescent="0.5"/>
    <row r="3091" s="4" customFormat="1" x14ac:dyDescent="0.5"/>
    <row r="3092" s="4" customFormat="1" x14ac:dyDescent="0.5"/>
    <row r="3093" s="4" customFormat="1" x14ac:dyDescent="0.5"/>
    <row r="3094" s="4" customFormat="1" x14ac:dyDescent="0.5"/>
    <row r="3095" s="4" customFormat="1" x14ac:dyDescent="0.5"/>
    <row r="3096" s="4" customFormat="1" x14ac:dyDescent="0.5"/>
    <row r="3097" s="4" customFormat="1" x14ac:dyDescent="0.5"/>
    <row r="3098" s="4" customFormat="1" x14ac:dyDescent="0.5"/>
    <row r="3099" s="4" customFormat="1" x14ac:dyDescent="0.5"/>
    <row r="3100" s="4" customFormat="1" x14ac:dyDescent="0.5"/>
    <row r="3101" s="4" customFormat="1" x14ac:dyDescent="0.5"/>
    <row r="3102" s="4" customFormat="1" x14ac:dyDescent="0.5"/>
    <row r="3103" s="4" customFormat="1" x14ac:dyDescent="0.5"/>
    <row r="3104" s="4" customFormat="1" x14ac:dyDescent="0.5"/>
    <row r="3105" s="4" customFormat="1" x14ac:dyDescent="0.5"/>
    <row r="3106" s="4" customFormat="1" x14ac:dyDescent="0.5"/>
    <row r="3107" s="4" customFormat="1" x14ac:dyDescent="0.5"/>
    <row r="3108" s="4" customFormat="1" x14ac:dyDescent="0.5"/>
    <row r="3109" s="4" customFormat="1" x14ac:dyDescent="0.5"/>
    <row r="3110" s="4" customFormat="1" x14ac:dyDescent="0.5"/>
    <row r="3111" s="4" customFormat="1" x14ac:dyDescent="0.5"/>
    <row r="3112" s="4" customFormat="1" x14ac:dyDescent="0.5"/>
    <row r="3113" s="4" customFormat="1" x14ac:dyDescent="0.5"/>
    <row r="3114" s="4" customFormat="1" x14ac:dyDescent="0.5"/>
    <row r="3115" s="4" customFormat="1" x14ac:dyDescent="0.5"/>
    <row r="3116" s="4" customFormat="1" x14ac:dyDescent="0.5"/>
    <row r="3117" s="4" customFormat="1" x14ac:dyDescent="0.5"/>
    <row r="3118" s="4" customFormat="1" x14ac:dyDescent="0.5"/>
    <row r="3119" s="4" customFormat="1" x14ac:dyDescent="0.5"/>
    <row r="3120" s="4" customFormat="1" x14ac:dyDescent="0.5"/>
    <row r="3121" s="4" customFormat="1" x14ac:dyDescent="0.5"/>
    <row r="3122" s="4" customFormat="1" x14ac:dyDescent="0.5"/>
    <row r="3123" s="4" customFormat="1" x14ac:dyDescent="0.5"/>
    <row r="3124" s="4" customFormat="1" x14ac:dyDescent="0.5"/>
    <row r="3125" s="4" customFormat="1" x14ac:dyDescent="0.5"/>
    <row r="3126" s="4" customFormat="1" x14ac:dyDescent="0.5"/>
    <row r="3127" s="4" customFormat="1" x14ac:dyDescent="0.5"/>
    <row r="3128" s="4" customFormat="1" x14ac:dyDescent="0.5"/>
    <row r="3129" s="4" customFormat="1" x14ac:dyDescent="0.5"/>
    <row r="3130" s="4" customFormat="1" x14ac:dyDescent="0.5"/>
    <row r="3131" s="4" customFormat="1" x14ac:dyDescent="0.5"/>
    <row r="3132" s="4" customFormat="1" x14ac:dyDescent="0.5"/>
    <row r="3133" s="4" customFormat="1" x14ac:dyDescent="0.5"/>
    <row r="3134" s="4" customFormat="1" x14ac:dyDescent="0.5"/>
    <row r="3135" s="4" customFormat="1" x14ac:dyDescent="0.5"/>
    <row r="3136" s="4" customFormat="1" x14ac:dyDescent="0.5"/>
    <row r="3137" s="4" customFormat="1" x14ac:dyDescent="0.5"/>
    <row r="3138" s="4" customFormat="1" x14ac:dyDescent="0.5"/>
    <row r="3139" s="4" customFormat="1" x14ac:dyDescent="0.5"/>
    <row r="3140" s="4" customFormat="1" x14ac:dyDescent="0.5"/>
    <row r="3141" s="4" customFormat="1" x14ac:dyDescent="0.5"/>
    <row r="3142" s="4" customFormat="1" x14ac:dyDescent="0.5"/>
    <row r="3143" s="4" customFormat="1" x14ac:dyDescent="0.5"/>
    <row r="3144" s="4" customFormat="1" x14ac:dyDescent="0.5"/>
    <row r="3145" s="4" customFormat="1" x14ac:dyDescent="0.5"/>
    <row r="3146" s="4" customFormat="1" x14ac:dyDescent="0.5"/>
    <row r="3147" s="4" customFormat="1" x14ac:dyDescent="0.5"/>
    <row r="3148" s="4" customFormat="1" x14ac:dyDescent="0.5"/>
    <row r="3149" s="4" customFormat="1" x14ac:dyDescent="0.5"/>
    <row r="3150" s="4" customFormat="1" x14ac:dyDescent="0.5"/>
    <row r="3151" s="4" customFormat="1" x14ac:dyDescent="0.5"/>
    <row r="3152" s="4" customFormat="1" x14ac:dyDescent="0.5"/>
    <row r="3153" s="4" customFormat="1" x14ac:dyDescent="0.5"/>
    <row r="3154" s="4" customFormat="1" x14ac:dyDescent="0.5"/>
    <row r="3155" s="4" customFormat="1" x14ac:dyDescent="0.5"/>
    <row r="3156" s="4" customFormat="1" x14ac:dyDescent="0.5"/>
    <row r="3157" s="4" customFormat="1" x14ac:dyDescent="0.5"/>
    <row r="3158" s="4" customFormat="1" x14ac:dyDescent="0.5"/>
    <row r="3159" s="4" customFormat="1" x14ac:dyDescent="0.5"/>
    <row r="3160" s="4" customFormat="1" x14ac:dyDescent="0.5"/>
    <row r="3161" s="4" customFormat="1" x14ac:dyDescent="0.5"/>
    <row r="3162" s="4" customFormat="1" x14ac:dyDescent="0.5"/>
    <row r="3163" s="4" customFormat="1" x14ac:dyDescent="0.5"/>
    <row r="3164" s="4" customFormat="1" x14ac:dyDescent="0.5"/>
    <row r="3165" s="4" customFormat="1" x14ac:dyDescent="0.5"/>
    <row r="3166" s="4" customFormat="1" x14ac:dyDescent="0.5"/>
    <row r="3167" s="4" customFormat="1" x14ac:dyDescent="0.5"/>
    <row r="3168" s="4" customFormat="1" x14ac:dyDescent="0.5"/>
    <row r="3169" s="4" customFormat="1" x14ac:dyDescent="0.5"/>
    <row r="3170" s="4" customFormat="1" x14ac:dyDescent="0.5"/>
    <row r="3171" s="4" customFormat="1" x14ac:dyDescent="0.5"/>
    <row r="3172" s="4" customFormat="1" x14ac:dyDescent="0.5"/>
    <row r="3173" s="4" customFormat="1" x14ac:dyDescent="0.5"/>
    <row r="3174" s="4" customFormat="1" x14ac:dyDescent="0.5"/>
    <row r="3175" s="4" customFormat="1" x14ac:dyDescent="0.5"/>
    <row r="3176" s="4" customFormat="1" x14ac:dyDescent="0.5"/>
    <row r="3177" s="4" customFormat="1" x14ac:dyDescent="0.5"/>
    <row r="3178" s="4" customFormat="1" x14ac:dyDescent="0.5"/>
    <row r="3179" s="4" customFormat="1" x14ac:dyDescent="0.5"/>
    <row r="3180" s="4" customFormat="1" x14ac:dyDescent="0.5"/>
    <row r="3181" s="4" customFormat="1" x14ac:dyDescent="0.5"/>
    <row r="3182" s="4" customFormat="1" x14ac:dyDescent="0.5"/>
    <row r="3183" s="4" customFormat="1" x14ac:dyDescent="0.5"/>
    <row r="3184" s="4" customFormat="1" x14ac:dyDescent="0.5"/>
    <row r="3185" s="4" customFormat="1" x14ac:dyDescent="0.5"/>
    <row r="3186" s="4" customFormat="1" x14ac:dyDescent="0.5"/>
    <row r="3187" s="4" customFormat="1" x14ac:dyDescent="0.5"/>
    <row r="3188" s="4" customFormat="1" x14ac:dyDescent="0.5"/>
    <row r="3189" s="4" customFormat="1" x14ac:dyDescent="0.5"/>
    <row r="3190" s="4" customFormat="1" x14ac:dyDescent="0.5"/>
    <row r="3191" s="4" customFormat="1" x14ac:dyDescent="0.5"/>
    <row r="3192" s="4" customFormat="1" x14ac:dyDescent="0.5"/>
    <row r="3193" s="4" customFormat="1" x14ac:dyDescent="0.5"/>
    <row r="3194" s="4" customFormat="1" x14ac:dyDescent="0.5"/>
    <row r="3195" s="4" customFormat="1" x14ac:dyDescent="0.5"/>
    <row r="3196" s="4" customFormat="1" x14ac:dyDescent="0.5"/>
    <row r="3197" s="4" customFormat="1" x14ac:dyDescent="0.5"/>
    <row r="3198" s="4" customFormat="1" x14ac:dyDescent="0.5"/>
    <row r="3199" s="4" customFormat="1" x14ac:dyDescent="0.5"/>
    <row r="3200" s="4" customFormat="1" x14ac:dyDescent="0.5"/>
    <row r="3201" s="4" customFormat="1" x14ac:dyDescent="0.5"/>
    <row r="3202" s="4" customFormat="1" x14ac:dyDescent="0.5"/>
    <row r="3203" s="4" customFormat="1" x14ac:dyDescent="0.5"/>
    <row r="3204" s="4" customFormat="1" x14ac:dyDescent="0.5"/>
    <row r="3205" s="4" customFormat="1" x14ac:dyDescent="0.5"/>
    <row r="3206" s="4" customFormat="1" x14ac:dyDescent="0.5"/>
    <row r="3207" s="4" customFormat="1" x14ac:dyDescent="0.5"/>
    <row r="3208" s="4" customFormat="1" x14ac:dyDescent="0.5"/>
    <row r="3209" s="4" customFormat="1" x14ac:dyDescent="0.5"/>
    <row r="3210" s="4" customFormat="1" x14ac:dyDescent="0.5"/>
    <row r="3211" s="4" customFormat="1" x14ac:dyDescent="0.5"/>
    <row r="3212" s="4" customFormat="1" x14ac:dyDescent="0.5"/>
    <row r="3213" s="4" customFormat="1" x14ac:dyDescent="0.5"/>
    <row r="3214" s="4" customFormat="1" x14ac:dyDescent="0.5"/>
    <row r="3215" s="4" customFormat="1" x14ac:dyDescent="0.5"/>
    <row r="3216" s="4" customFormat="1" x14ac:dyDescent="0.5"/>
    <row r="3217" s="4" customFormat="1" x14ac:dyDescent="0.5"/>
    <row r="3218" s="4" customFormat="1" x14ac:dyDescent="0.5"/>
    <row r="3219" s="4" customFormat="1" x14ac:dyDescent="0.5"/>
    <row r="3220" s="4" customFormat="1" x14ac:dyDescent="0.5"/>
    <row r="3221" s="4" customFormat="1" x14ac:dyDescent="0.5"/>
    <row r="3222" s="4" customFormat="1" x14ac:dyDescent="0.5"/>
    <row r="3223" s="4" customFormat="1" x14ac:dyDescent="0.5"/>
    <row r="3224" s="4" customFormat="1" x14ac:dyDescent="0.5"/>
    <row r="3225" s="4" customFormat="1" x14ac:dyDescent="0.5"/>
    <row r="3226" s="4" customFormat="1" x14ac:dyDescent="0.5"/>
    <row r="3227" s="4" customFormat="1" x14ac:dyDescent="0.5"/>
    <row r="3228" s="4" customFormat="1" x14ac:dyDescent="0.5"/>
    <row r="3229" s="4" customFormat="1" x14ac:dyDescent="0.5"/>
    <row r="3230" s="4" customFormat="1" x14ac:dyDescent="0.5"/>
    <row r="3231" s="4" customFormat="1" x14ac:dyDescent="0.5"/>
    <row r="3232" s="4" customFormat="1" x14ac:dyDescent="0.5"/>
    <row r="3233" s="4" customFormat="1" x14ac:dyDescent="0.5"/>
    <row r="3234" s="4" customFormat="1" x14ac:dyDescent="0.5"/>
    <row r="3235" s="4" customFormat="1" x14ac:dyDescent="0.5"/>
    <row r="3236" s="4" customFormat="1" x14ac:dyDescent="0.5"/>
    <row r="3237" s="4" customFormat="1" x14ac:dyDescent="0.5"/>
    <row r="3238" s="4" customFormat="1" x14ac:dyDescent="0.5"/>
    <row r="3239" s="4" customFormat="1" x14ac:dyDescent="0.5"/>
    <row r="3240" s="4" customFormat="1" x14ac:dyDescent="0.5"/>
    <row r="3241" s="4" customFormat="1" x14ac:dyDescent="0.5"/>
    <row r="3242" s="4" customFormat="1" x14ac:dyDescent="0.5"/>
    <row r="3243" s="4" customFormat="1" x14ac:dyDescent="0.5"/>
    <row r="3244" s="4" customFormat="1" x14ac:dyDescent="0.5"/>
    <row r="3245" s="4" customFormat="1" x14ac:dyDescent="0.5"/>
    <row r="3246" s="4" customFormat="1" x14ac:dyDescent="0.5"/>
    <row r="3247" s="4" customFormat="1" x14ac:dyDescent="0.5"/>
    <row r="3248" s="4" customFormat="1" x14ac:dyDescent="0.5"/>
    <row r="3249" s="4" customFormat="1" x14ac:dyDescent="0.5"/>
    <row r="3250" s="4" customFormat="1" x14ac:dyDescent="0.5"/>
    <row r="3251" s="4" customFormat="1" x14ac:dyDescent="0.5"/>
    <row r="3252" s="4" customFormat="1" x14ac:dyDescent="0.5"/>
    <row r="3253" s="4" customFormat="1" x14ac:dyDescent="0.5"/>
    <row r="3254" s="4" customFormat="1" x14ac:dyDescent="0.5"/>
    <row r="3255" s="4" customFormat="1" x14ac:dyDescent="0.5"/>
    <row r="3256" s="4" customFormat="1" x14ac:dyDescent="0.5"/>
    <row r="3257" s="4" customFormat="1" x14ac:dyDescent="0.5"/>
    <row r="3258" s="4" customFormat="1" x14ac:dyDescent="0.5"/>
    <row r="3259" s="4" customFormat="1" x14ac:dyDescent="0.5"/>
    <row r="3260" s="4" customFormat="1" x14ac:dyDescent="0.5"/>
    <row r="3261" s="4" customFormat="1" x14ac:dyDescent="0.5"/>
    <row r="3262" s="4" customFormat="1" x14ac:dyDescent="0.5"/>
    <row r="3263" s="4" customFormat="1" x14ac:dyDescent="0.5"/>
    <row r="3264" s="4" customFormat="1" x14ac:dyDescent="0.5"/>
    <row r="3265" s="4" customFormat="1" x14ac:dyDescent="0.5"/>
    <row r="3266" s="4" customFormat="1" x14ac:dyDescent="0.5"/>
    <row r="3267" s="4" customFormat="1" x14ac:dyDescent="0.5"/>
    <row r="3268" s="4" customFormat="1" x14ac:dyDescent="0.5"/>
    <row r="3269" s="4" customFormat="1" x14ac:dyDescent="0.5"/>
    <row r="3270" s="4" customFormat="1" x14ac:dyDescent="0.5"/>
    <row r="3271" s="4" customFormat="1" x14ac:dyDescent="0.5"/>
    <row r="3272" s="4" customFormat="1" x14ac:dyDescent="0.5"/>
    <row r="3273" s="4" customFormat="1" x14ac:dyDescent="0.5"/>
    <row r="3274" s="4" customFormat="1" x14ac:dyDescent="0.5"/>
    <row r="3275" s="4" customFormat="1" x14ac:dyDescent="0.5"/>
    <row r="3276" s="4" customFormat="1" x14ac:dyDescent="0.5"/>
    <row r="3277" s="4" customFormat="1" x14ac:dyDescent="0.5"/>
    <row r="3278" s="4" customFormat="1" x14ac:dyDescent="0.5"/>
    <row r="3279" s="4" customFormat="1" x14ac:dyDescent="0.5"/>
    <row r="3280" s="4" customFormat="1" x14ac:dyDescent="0.5"/>
    <row r="3281" s="4" customFormat="1" x14ac:dyDescent="0.5"/>
    <row r="3282" s="4" customFormat="1" x14ac:dyDescent="0.5"/>
    <row r="3283" s="4" customFormat="1" x14ac:dyDescent="0.5"/>
    <row r="3284" s="4" customFormat="1" x14ac:dyDescent="0.5"/>
    <row r="3285" s="4" customFormat="1" x14ac:dyDescent="0.5"/>
    <row r="3286" s="4" customFormat="1" x14ac:dyDescent="0.5"/>
    <row r="3287" s="4" customFormat="1" x14ac:dyDescent="0.5"/>
    <row r="3288" s="4" customFormat="1" x14ac:dyDescent="0.5"/>
    <row r="3289" s="4" customFormat="1" x14ac:dyDescent="0.5"/>
    <row r="3290" s="4" customFormat="1" x14ac:dyDescent="0.5"/>
    <row r="3291" s="4" customFormat="1" x14ac:dyDescent="0.5"/>
    <row r="3292" s="4" customFormat="1" x14ac:dyDescent="0.5"/>
    <row r="3293" s="4" customFormat="1" x14ac:dyDescent="0.5"/>
    <row r="3294" s="4" customFormat="1" x14ac:dyDescent="0.5"/>
    <row r="3295" s="4" customFormat="1" x14ac:dyDescent="0.5"/>
    <row r="3296" s="4" customFormat="1" x14ac:dyDescent="0.5"/>
    <row r="3297" s="4" customFormat="1" x14ac:dyDescent="0.5"/>
    <row r="3298" s="4" customFormat="1" x14ac:dyDescent="0.5"/>
    <row r="3299" s="4" customFormat="1" x14ac:dyDescent="0.5"/>
    <row r="3300" s="4" customFormat="1" x14ac:dyDescent="0.5"/>
    <row r="3301" s="4" customFormat="1" x14ac:dyDescent="0.5"/>
    <row r="3302" s="4" customFormat="1" x14ac:dyDescent="0.5"/>
    <row r="3303" s="4" customFormat="1" x14ac:dyDescent="0.5"/>
    <row r="3304" s="4" customFormat="1" x14ac:dyDescent="0.5"/>
    <row r="3305" s="4" customFormat="1" x14ac:dyDescent="0.5"/>
    <row r="3306" s="4" customFormat="1" x14ac:dyDescent="0.5"/>
    <row r="3307" s="4" customFormat="1" x14ac:dyDescent="0.5"/>
    <row r="3308" s="4" customFormat="1" x14ac:dyDescent="0.5"/>
    <row r="3309" s="4" customFormat="1" x14ac:dyDescent="0.5"/>
    <row r="3310" s="4" customFormat="1" x14ac:dyDescent="0.5"/>
    <row r="3311" s="4" customFormat="1" x14ac:dyDescent="0.5"/>
    <row r="3312" s="4" customFormat="1" x14ac:dyDescent="0.5"/>
    <row r="3313" s="4" customFormat="1" x14ac:dyDescent="0.5"/>
    <row r="3314" s="4" customFormat="1" x14ac:dyDescent="0.5"/>
    <row r="3315" s="4" customFormat="1" x14ac:dyDescent="0.5"/>
    <row r="3316" s="4" customFormat="1" x14ac:dyDescent="0.5"/>
    <row r="3317" s="4" customFormat="1" x14ac:dyDescent="0.5"/>
    <row r="3318" s="4" customFormat="1" x14ac:dyDescent="0.5"/>
    <row r="3319" s="4" customFormat="1" x14ac:dyDescent="0.5"/>
    <row r="3320" s="4" customFormat="1" x14ac:dyDescent="0.5"/>
    <row r="3321" s="4" customFormat="1" x14ac:dyDescent="0.5"/>
    <row r="3322" s="4" customFormat="1" x14ac:dyDescent="0.5"/>
    <row r="3323" s="4" customFormat="1" x14ac:dyDescent="0.5"/>
    <row r="3324" s="4" customFormat="1" x14ac:dyDescent="0.5"/>
    <row r="3325" s="4" customFormat="1" x14ac:dyDescent="0.5"/>
    <row r="3326" s="4" customFormat="1" x14ac:dyDescent="0.5"/>
    <row r="3327" s="4" customFormat="1" x14ac:dyDescent="0.5"/>
    <row r="3328" s="4" customFormat="1" x14ac:dyDescent="0.5"/>
    <row r="3329" s="4" customFormat="1" x14ac:dyDescent="0.5"/>
    <row r="3330" s="4" customFormat="1" x14ac:dyDescent="0.5"/>
    <row r="3331" s="4" customFormat="1" x14ac:dyDescent="0.5"/>
    <row r="3332" s="4" customFormat="1" x14ac:dyDescent="0.5"/>
    <row r="3333" s="4" customFormat="1" x14ac:dyDescent="0.5"/>
    <row r="3334" s="4" customFormat="1" x14ac:dyDescent="0.5"/>
    <row r="3335" s="4" customFormat="1" x14ac:dyDescent="0.5"/>
    <row r="3336" s="4" customFormat="1" x14ac:dyDescent="0.5"/>
    <row r="3337" s="4" customFormat="1" x14ac:dyDescent="0.5"/>
    <row r="3338" s="4" customFormat="1" x14ac:dyDescent="0.5"/>
    <row r="3339" s="4" customFormat="1" x14ac:dyDescent="0.5"/>
    <row r="3340" s="4" customFormat="1" x14ac:dyDescent="0.5"/>
    <row r="3341" s="4" customFormat="1" x14ac:dyDescent="0.5"/>
    <row r="3342" s="4" customFormat="1" x14ac:dyDescent="0.5"/>
    <row r="3343" s="4" customFormat="1" x14ac:dyDescent="0.5"/>
    <row r="3344" s="4" customFormat="1" x14ac:dyDescent="0.5"/>
    <row r="3345" s="4" customFormat="1" x14ac:dyDescent="0.5"/>
    <row r="3346" s="4" customFormat="1" x14ac:dyDescent="0.5"/>
    <row r="3347" s="4" customFormat="1" x14ac:dyDescent="0.5"/>
    <row r="3348" s="4" customFormat="1" x14ac:dyDescent="0.5"/>
    <row r="3349" s="4" customFormat="1" x14ac:dyDescent="0.5"/>
    <row r="3350" s="4" customFormat="1" x14ac:dyDescent="0.5"/>
    <row r="3351" s="4" customFormat="1" x14ac:dyDescent="0.5"/>
    <row r="3352" s="4" customFormat="1" x14ac:dyDescent="0.5"/>
    <row r="3353" s="4" customFormat="1" x14ac:dyDescent="0.5"/>
    <row r="3354" s="4" customFormat="1" x14ac:dyDescent="0.5"/>
    <row r="3355" s="4" customFormat="1" x14ac:dyDescent="0.5"/>
    <row r="3356" s="4" customFormat="1" x14ac:dyDescent="0.5"/>
    <row r="3357" s="4" customFormat="1" x14ac:dyDescent="0.5"/>
    <row r="3358" s="4" customFormat="1" x14ac:dyDescent="0.5"/>
    <row r="3359" s="4" customFormat="1" x14ac:dyDescent="0.5"/>
    <row r="3360" s="4" customFormat="1" x14ac:dyDescent="0.5"/>
    <row r="3361" s="4" customFormat="1" x14ac:dyDescent="0.5"/>
    <row r="3362" s="4" customFormat="1" x14ac:dyDescent="0.5"/>
    <row r="3363" s="4" customFormat="1" x14ac:dyDescent="0.5"/>
    <row r="3364" s="4" customFormat="1" x14ac:dyDescent="0.5"/>
    <row r="3365" s="4" customFormat="1" x14ac:dyDescent="0.5"/>
    <row r="3366" s="4" customFormat="1" x14ac:dyDescent="0.5"/>
    <row r="3367" s="4" customFormat="1" x14ac:dyDescent="0.5"/>
    <row r="3368" s="4" customFormat="1" x14ac:dyDescent="0.5"/>
    <row r="3369" s="4" customFormat="1" x14ac:dyDescent="0.5"/>
    <row r="3370" s="4" customFormat="1" x14ac:dyDescent="0.5"/>
    <row r="3371" s="4" customFormat="1" x14ac:dyDescent="0.5"/>
    <row r="3372" s="4" customFormat="1" x14ac:dyDescent="0.5"/>
    <row r="3373" s="4" customFormat="1" x14ac:dyDescent="0.5"/>
    <row r="3374" s="4" customFormat="1" x14ac:dyDescent="0.5"/>
    <row r="3375" s="4" customFormat="1" x14ac:dyDescent="0.5"/>
    <row r="3376" s="4" customFormat="1" x14ac:dyDescent="0.5"/>
    <row r="3377" s="4" customFormat="1" x14ac:dyDescent="0.5"/>
    <row r="3378" s="4" customFormat="1" x14ac:dyDescent="0.5"/>
    <row r="3379" s="4" customFormat="1" x14ac:dyDescent="0.5"/>
    <row r="3380" s="4" customFormat="1" x14ac:dyDescent="0.5"/>
    <row r="3381" s="4" customFormat="1" x14ac:dyDescent="0.5"/>
    <row r="3382" s="4" customFormat="1" x14ac:dyDescent="0.5"/>
    <row r="3383" s="4" customFormat="1" x14ac:dyDescent="0.5"/>
    <row r="3384" s="4" customFormat="1" x14ac:dyDescent="0.5"/>
    <row r="3385" s="4" customFormat="1" x14ac:dyDescent="0.5"/>
    <row r="3386" s="4" customFormat="1" x14ac:dyDescent="0.5"/>
    <row r="3387" s="4" customFormat="1" x14ac:dyDescent="0.5"/>
    <row r="3388" s="4" customFormat="1" x14ac:dyDescent="0.5"/>
    <row r="3389" s="4" customFormat="1" x14ac:dyDescent="0.5"/>
    <row r="3390" s="4" customFormat="1" x14ac:dyDescent="0.5"/>
    <row r="3391" s="4" customFormat="1" x14ac:dyDescent="0.5"/>
    <row r="3392" s="4" customFormat="1" x14ac:dyDescent="0.5"/>
    <row r="3393" s="4" customFormat="1" x14ac:dyDescent="0.5"/>
    <row r="3394" s="4" customFormat="1" x14ac:dyDescent="0.5"/>
    <row r="3395" s="4" customFormat="1" x14ac:dyDescent="0.5"/>
    <row r="3396" s="4" customFormat="1" x14ac:dyDescent="0.5"/>
    <row r="3397" s="4" customFormat="1" x14ac:dyDescent="0.5"/>
    <row r="3398" s="4" customFormat="1" x14ac:dyDescent="0.5"/>
    <row r="3399" s="4" customFormat="1" x14ac:dyDescent="0.5"/>
    <row r="3400" s="4" customFormat="1" x14ac:dyDescent="0.5"/>
    <row r="3401" s="4" customFormat="1" x14ac:dyDescent="0.5"/>
    <row r="3402" s="4" customFormat="1" x14ac:dyDescent="0.5"/>
    <row r="3403" s="4" customFormat="1" x14ac:dyDescent="0.5"/>
    <row r="3404" s="4" customFormat="1" x14ac:dyDescent="0.5"/>
    <row r="3405" s="4" customFormat="1" x14ac:dyDescent="0.5"/>
    <row r="3406" s="4" customFormat="1" x14ac:dyDescent="0.5"/>
    <row r="3407" s="4" customFormat="1" x14ac:dyDescent="0.5"/>
    <row r="3408" s="4" customFormat="1" x14ac:dyDescent="0.5"/>
    <row r="3409" s="4" customFormat="1" x14ac:dyDescent="0.5"/>
    <row r="3410" s="4" customFormat="1" x14ac:dyDescent="0.5"/>
    <row r="3411" s="4" customFormat="1" x14ac:dyDescent="0.5"/>
    <row r="3412" s="4" customFormat="1" x14ac:dyDescent="0.5"/>
    <row r="3413" s="4" customFormat="1" x14ac:dyDescent="0.5"/>
    <row r="3414" s="4" customFormat="1" x14ac:dyDescent="0.5"/>
    <row r="3415" s="4" customFormat="1" x14ac:dyDescent="0.5"/>
    <row r="3416" s="4" customFormat="1" x14ac:dyDescent="0.5"/>
    <row r="3417" s="4" customFormat="1" x14ac:dyDescent="0.5"/>
    <row r="3418" s="4" customFormat="1" x14ac:dyDescent="0.5"/>
    <row r="3419" s="4" customFormat="1" x14ac:dyDescent="0.5"/>
    <row r="3420" s="4" customFormat="1" x14ac:dyDescent="0.5"/>
    <row r="3421" s="4" customFormat="1" x14ac:dyDescent="0.5"/>
    <row r="3422" s="4" customFormat="1" x14ac:dyDescent="0.5"/>
    <row r="3423" s="4" customFormat="1" x14ac:dyDescent="0.5"/>
    <row r="3424" s="4" customFormat="1" x14ac:dyDescent="0.5"/>
    <row r="3425" s="4" customFormat="1" x14ac:dyDescent="0.5"/>
    <row r="3426" s="4" customFormat="1" x14ac:dyDescent="0.5"/>
    <row r="3427" s="4" customFormat="1" x14ac:dyDescent="0.5"/>
    <row r="3428" s="4" customFormat="1" x14ac:dyDescent="0.5"/>
    <row r="3429" s="4" customFormat="1" x14ac:dyDescent="0.5"/>
    <row r="3430" s="4" customFormat="1" x14ac:dyDescent="0.5"/>
    <row r="3431" s="4" customFormat="1" x14ac:dyDescent="0.5"/>
    <row r="3432" s="4" customFormat="1" x14ac:dyDescent="0.5"/>
    <row r="3433" s="4" customFormat="1" x14ac:dyDescent="0.5"/>
    <row r="3434" s="4" customFormat="1" x14ac:dyDescent="0.5"/>
    <row r="3435" s="4" customFormat="1" x14ac:dyDescent="0.5"/>
    <row r="3436" s="4" customFormat="1" x14ac:dyDescent="0.5"/>
    <row r="3437" s="4" customFormat="1" x14ac:dyDescent="0.5"/>
    <row r="3438" s="4" customFormat="1" x14ac:dyDescent="0.5"/>
    <row r="3439" s="4" customFormat="1" x14ac:dyDescent="0.5"/>
    <row r="3440" s="4" customFormat="1" x14ac:dyDescent="0.5"/>
    <row r="3441" s="4" customFormat="1" x14ac:dyDescent="0.5"/>
    <row r="3442" s="4" customFormat="1" x14ac:dyDescent="0.5"/>
    <row r="3443" s="4" customFormat="1" x14ac:dyDescent="0.5"/>
    <row r="3444" s="4" customFormat="1" x14ac:dyDescent="0.5"/>
    <row r="3445" s="4" customFormat="1" x14ac:dyDescent="0.5"/>
    <row r="3446" s="4" customFormat="1" x14ac:dyDescent="0.5"/>
    <row r="3447" s="4" customFormat="1" x14ac:dyDescent="0.5"/>
    <row r="3448" s="4" customFormat="1" x14ac:dyDescent="0.5"/>
    <row r="3449" s="4" customFormat="1" x14ac:dyDescent="0.5"/>
    <row r="3450" s="4" customFormat="1" x14ac:dyDescent="0.5"/>
    <row r="3451" s="4" customFormat="1" x14ac:dyDescent="0.5"/>
    <row r="3452" s="4" customFormat="1" x14ac:dyDescent="0.5"/>
    <row r="3453" s="4" customFormat="1" x14ac:dyDescent="0.5"/>
    <row r="3454" s="4" customFormat="1" x14ac:dyDescent="0.5"/>
    <row r="3455" s="4" customFormat="1" x14ac:dyDescent="0.5"/>
    <row r="3456" s="4" customFormat="1" x14ac:dyDescent="0.5"/>
    <row r="3457" s="4" customFormat="1" x14ac:dyDescent="0.5"/>
    <row r="3458" s="4" customFormat="1" x14ac:dyDescent="0.5"/>
    <row r="3459" s="4" customFormat="1" x14ac:dyDescent="0.5"/>
    <row r="3460" s="4" customFormat="1" x14ac:dyDescent="0.5"/>
    <row r="3461" s="4" customFormat="1" x14ac:dyDescent="0.5"/>
    <row r="3462" s="4" customFormat="1" x14ac:dyDescent="0.5"/>
    <row r="3463" s="4" customFormat="1" x14ac:dyDescent="0.5"/>
    <row r="3464" s="4" customFormat="1" x14ac:dyDescent="0.5"/>
    <row r="3465" s="4" customFormat="1" x14ac:dyDescent="0.5"/>
    <row r="3466" s="4" customFormat="1" x14ac:dyDescent="0.5"/>
    <row r="3467" s="4" customFormat="1" x14ac:dyDescent="0.5"/>
    <row r="3468" s="4" customFormat="1" x14ac:dyDescent="0.5"/>
    <row r="3469" s="4" customFormat="1" x14ac:dyDescent="0.5"/>
    <row r="3470" s="4" customFormat="1" x14ac:dyDescent="0.5"/>
    <row r="3471" s="4" customFormat="1" x14ac:dyDescent="0.5"/>
    <row r="3472" s="4" customFormat="1" x14ac:dyDescent="0.5"/>
    <row r="3473" s="4" customFormat="1" x14ac:dyDescent="0.5"/>
    <row r="3474" s="4" customFormat="1" x14ac:dyDescent="0.5"/>
    <row r="3475" s="4" customFormat="1" x14ac:dyDescent="0.5"/>
    <row r="3476" s="4" customFormat="1" x14ac:dyDescent="0.5"/>
    <row r="3477" s="4" customFormat="1" x14ac:dyDescent="0.5"/>
    <row r="3478" s="4" customFormat="1" x14ac:dyDescent="0.5"/>
    <row r="3479" s="4" customFormat="1" x14ac:dyDescent="0.5"/>
    <row r="3480" s="4" customFormat="1" x14ac:dyDescent="0.5"/>
    <row r="3481" s="4" customFormat="1" x14ac:dyDescent="0.5"/>
    <row r="3482" s="4" customFormat="1" x14ac:dyDescent="0.5"/>
    <row r="3483" s="4" customFormat="1" x14ac:dyDescent="0.5"/>
    <row r="3484" s="4" customFormat="1" x14ac:dyDescent="0.5"/>
    <row r="3485" s="4" customFormat="1" x14ac:dyDescent="0.5"/>
    <row r="3486" s="4" customFormat="1" x14ac:dyDescent="0.5"/>
    <row r="3487" s="4" customFormat="1" x14ac:dyDescent="0.5"/>
    <row r="3488" s="4" customFormat="1" x14ac:dyDescent="0.5"/>
    <row r="3489" s="4" customFormat="1" x14ac:dyDescent="0.5"/>
    <row r="3490" s="4" customFormat="1" x14ac:dyDescent="0.5"/>
    <row r="3491" s="4" customFormat="1" x14ac:dyDescent="0.5"/>
    <row r="3492" s="4" customFormat="1" x14ac:dyDescent="0.5"/>
    <row r="3493" s="4" customFormat="1" x14ac:dyDescent="0.5"/>
    <row r="3494" s="4" customFormat="1" x14ac:dyDescent="0.5"/>
    <row r="3495" s="4" customFormat="1" x14ac:dyDescent="0.5"/>
    <row r="3496" s="4" customFormat="1" x14ac:dyDescent="0.5"/>
    <row r="3497" s="4" customFormat="1" x14ac:dyDescent="0.5"/>
    <row r="3498" s="4" customFormat="1" x14ac:dyDescent="0.5"/>
    <row r="3499" s="4" customFormat="1" x14ac:dyDescent="0.5"/>
    <row r="3500" s="4" customFormat="1" x14ac:dyDescent="0.5"/>
    <row r="3501" s="4" customFormat="1" x14ac:dyDescent="0.5"/>
    <row r="3502" s="4" customFormat="1" x14ac:dyDescent="0.5"/>
    <row r="3503" s="4" customFormat="1" x14ac:dyDescent="0.5"/>
    <row r="3504" s="4" customFormat="1" x14ac:dyDescent="0.5"/>
    <row r="3505" s="4" customFormat="1" x14ac:dyDescent="0.5"/>
    <row r="3506" s="4" customFormat="1" x14ac:dyDescent="0.5"/>
    <row r="3507" s="4" customFormat="1" x14ac:dyDescent="0.5"/>
    <row r="3508" s="4" customFormat="1" x14ac:dyDescent="0.5"/>
    <row r="3509" s="4" customFormat="1" x14ac:dyDescent="0.5"/>
    <row r="3510" s="4" customFormat="1" x14ac:dyDescent="0.5"/>
    <row r="3511" s="4" customFormat="1" x14ac:dyDescent="0.5"/>
    <row r="3512" s="4" customFormat="1" x14ac:dyDescent="0.5"/>
    <row r="3513" s="4" customFormat="1" x14ac:dyDescent="0.5"/>
    <row r="3514" s="4" customFormat="1" x14ac:dyDescent="0.5"/>
    <row r="3515" s="4" customFormat="1" x14ac:dyDescent="0.5"/>
    <row r="3516" s="4" customFormat="1" x14ac:dyDescent="0.5"/>
    <row r="3517" s="4" customFormat="1" x14ac:dyDescent="0.5"/>
    <row r="3518" s="4" customFormat="1" x14ac:dyDescent="0.5"/>
    <row r="3519" s="4" customFormat="1" x14ac:dyDescent="0.5"/>
    <row r="3520" s="4" customFormat="1" x14ac:dyDescent="0.5"/>
    <row r="3521" s="4" customFormat="1" x14ac:dyDescent="0.5"/>
    <row r="3522" s="4" customFormat="1" x14ac:dyDescent="0.5"/>
    <row r="3523" s="4" customFormat="1" x14ac:dyDescent="0.5"/>
    <row r="3524" s="4" customFormat="1" x14ac:dyDescent="0.5"/>
    <row r="3525" s="4" customFormat="1" x14ac:dyDescent="0.5"/>
    <row r="3526" s="4" customFormat="1" x14ac:dyDescent="0.5"/>
    <row r="3527" s="4" customFormat="1" x14ac:dyDescent="0.5"/>
    <row r="3528" s="4" customFormat="1" x14ac:dyDescent="0.5"/>
    <row r="3529" s="4" customFormat="1" x14ac:dyDescent="0.5"/>
    <row r="3530" s="4" customFormat="1" x14ac:dyDescent="0.5"/>
    <row r="3531" s="4" customFormat="1" x14ac:dyDescent="0.5"/>
    <row r="3532" s="4" customFormat="1" x14ac:dyDescent="0.5"/>
    <row r="3533" s="4" customFormat="1" x14ac:dyDescent="0.5"/>
    <row r="3534" s="4" customFormat="1" x14ac:dyDescent="0.5"/>
    <row r="3535" s="4" customFormat="1" x14ac:dyDescent="0.5"/>
    <row r="3536" s="4" customFormat="1" x14ac:dyDescent="0.5"/>
    <row r="3537" s="4" customFormat="1" x14ac:dyDescent="0.5"/>
    <row r="3538" s="4" customFormat="1" x14ac:dyDescent="0.5"/>
    <row r="3539" s="4" customFormat="1" x14ac:dyDescent="0.5"/>
    <row r="3540" s="4" customFormat="1" x14ac:dyDescent="0.5"/>
    <row r="3541" s="4" customFormat="1" x14ac:dyDescent="0.5"/>
    <row r="3542" s="4" customFormat="1" x14ac:dyDescent="0.5"/>
    <row r="3543" s="4" customFormat="1" x14ac:dyDescent="0.5"/>
    <row r="3544" s="4" customFormat="1" x14ac:dyDescent="0.5"/>
    <row r="3545" s="4" customFormat="1" x14ac:dyDescent="0.5"/>
    <row r="3546" s="4" customFormat="1" x14ac:dyDescent="0.5"/>
    <row r="3547" s="4" customFormat="1" x14ac:dyDescent="0.5"/>
    <row r="3548" s="4" customFormat="1" x14ac:dyDescent="0.5"/>
    <row r="3549" s="4" customFormat="1" x14ac:dyDescent="0.5"/>
    <row r="3550" s="4" customFormat="1" x14ac:dyDescent="0.5"/>
    <row r="3551" s="4" customFormat="1" x14ac:dyDescent="0.5"/>
    <row r="3552" s="4" customFormat="1" x14ac:dyDescent="0.5"/>
    <row r="3553" s="4" customFormat="1" x14ac:dyDescent="0.5"/>
    <row r="3554" s="4" customFormat="1" x14ac:dyDescent="0.5"/>
    <row r="3555" s="4" customFormat="1" x14ac:dyDescent="0.5"/>
    <row r="3556" s="4" customFormat="1" x14ac:dyDescent="0.5"/>
    <row r="3557" s="4" customFormat="1" x14ac:dyDescent="0.5"/>
    <row r="3558" s="4" customFormat="1" x14ac:dyDescent="0.5"/>
    <row r="3559" s="4" customFormat="1" x14ac:dyDescent="0.5"/>
    <row r="3560" s="4" customFormat="1" x14ac:dyDescent="0.5"/>
    <row r="3561" s="4" customFormat="1" x14ac:dyDescent="0.5"/>
    <row r="3562" s="4" customFormat="1" x14ac:dyDescent="0.5"/>
    <row r="3563" s="4" customFormat="1" x14ac:dyDescent="0.5"/>
    <row r="3564" s="4" customFormat="1" x14ac:dyDescent="0.5"/>
    <row r="3565" s="4" customFormat="1" x14ac:dyDescent="0.5"/>
    <row r="3566" s="4" customFormat="1" x14ac:dyDescent="0.5"/>
    <row r="3567" s="4" customFormat="1" x14ac:dyDescent="0.5"/>
    <row r="3568" s="4" customFormat="1" x14ac:dyDescent="0.5"/>
    <row r="3569" s="4" customFormat="1" x14ac:dyDescent="0.5"/>
    <row r="3570" s="4" customFormat="1" x14ac:dyDescent="0.5"/>
    <row r="3571" s="4" customFormat="1" x14ac:dyDescent="0.5"/>
    <row r="3572" s="4" customFormat="1" x14ac:dyDescent="0.5"/>
    <row r="3573" s="4" customFormat="1" x14ac:dyDescent="0.5"/>
    <row r="3574" s="4" customFormat="1" x14ac:dyDescent="0.5"/>
    <row r="3575" s="4" customFormat="1" x14ac:dyDescent="0.5"/>
    <row r="3576" s="4" customFormat="1" x14ac:dyDescent="0.5"/>
    <row r="3577" s="4" customFormat="1" x14ac:dyDescent="0.5"/>
    <row r="3578" s="4" customFormat="1" x14ac:dyDescent="0.5"/>
    <row r="3579" s="4" customFormat="1" x14ac:dyDescent="0.5"/>
    <row r="3580" s="4" customFormat="1" x14ac:dyDescent="0.5"/>
    <row r="3581" s="4" customFormat="1" x14ac:dyDescent="0.5"/>
    <row r="3582" s="4" customFormat="1" x14ac:dyDescent="0.5"/>
    <row r="3583" s="4" customFormat="1" x14ac:dyDescent="0.5"/>
    <row r="3584" s="4" customFormat="1" x14ac:dyDescent="0.5"/>
    <row r="3585" s="4" customFormat="1" x14ac:dyDescent="0.5"/>
    <row r="3586" s="4" customFormat="1" x14ac:dyDescent="0.5"/>
    <row r="3587" s="4" customFormat="1" x14ac:dyDescent="0.5"/>
    <row r="3588" s="4" customFormat="1" x14ac:dyDescent="0.5"/>
    <row r="3589" s="4" customFormat="1" x14ac:dyDescent="0.5"/>
    <row r="3590" s="4" customFormat="1" x14ac:dyDescent="0.5"/>
    <row r="3591" s="4" customFormat="1" x14ac:dyDescent="0.5"/>
    <row r="3592" s="4" customFormat="1" x14ac:dyDescent="0.5"/>
    <row r="3593" s="4" customFormat="1" x14ac:dyDescent="0.5"/>
    <row r="3594" s="4" customFormat="1" x14ac:dyDescent="0.5"/>
    <row r="3595" s="4" customFormat="1" x14ac:dyDescent="0.5"/>
    <row r="3596" s="4" customFormat="1" x14ac:dyDescent="0.5"/>
    <row r="3597" s="4" customFormat="1" x14ac:dyDescent="0.5"/>
    <row r="3598" s="4" customFormat="1" x14ac:dyDescent="0.5"/>
    <row r="3599" s="4" customFormat="1" x14ac:dyDescent="0.5"/>
    <row r="3600" s="4" customFormat="1" x14ac:dyDescent="0.5"/>
    <row r="3601" s="4" customFormat="1" x14ac:dyDescent="0.5"/>
    <row r="3602" s="4" customFormat="1" x14ac:dyDescent="0.5"/>
    <row r="3603" s="4" customFormat="1" x14ac:dyDescent="0.5"/>
    <row r="3604" s="4" customFormat="1" x14ac:dyDescent="0.5"/>
    <row r="3605" s="4" customFormat="1" x14ac:dyDescent="0.5"/>
    <row r="3606" s="4" customFormat="1" x14ac:dyDescent="0.5"/>
    <row r="3607" s="4" customFormat="1" x14ac:dyDescent="0.5"/>
    <row r="3608" s="4" customFormat="1" x14ac:dyDescent="0.5"/>
    <row r="3609" s="4" customFormat="1" x14ac:dyDescent="0.5"/>
    <row r="3610" s="4" customFormat="1" x14ac:dyDescent="0.5"/>
    <row r="3611" s="4" customFormat="1" x14ac:dyDescent="0.5"/>
    <row r="3612" s="4" customFormat="1" x14ac:dyDescent="0.5"/>
    <row r="3613" s="4" customFormat="1" x14ac:dyDescent="0.5"/>
    <row r="3614" s="4" customFormat="1" x14ac:dyDescent="0.5"/>
    <row r="3615" s="4" customFormat="1" x14ac:dyDescent="0.5"/>
    <row r="3616" s="4" customFormat="1" x14ac:dyDescent="0.5"/>
    <row r="3617" s="4" customFormat="1" x14ac:dyDescent="0.5"/>
    <row r="3618" s="4" customFormat="1" x14ac:dyDescent="0.5"/>
    <row r="3619" s="4" customFormat="1" x14ac:dyDescent="0.5"/>
    <row r="3620" s="4" customFormat="1" x14ac:dyDescent="0.5"/>
    <row r="3621" s="4" customFormat="1" x14ac:dyDescent="0.5"/>
    <row r="3622" s="4" customFormat="1" x14ac:dyDescent="0.5"/>
    <row r="3623" s="4" customFormat="1" x14ac:dyDescent="0.5"/>
    <row r="3624" s="4" customFormat="1" x14ac:dyDescent="0.5"/>
    <row r="3625" s="4" customFormat="1" x14ac:dyDescent="0.5"/>
    <row r="3626" s="4" customFormat="1" x14ac:dyDescent="0.5"/>
    <row r="3627" s="4" customFormat="1" x14ac:dyDescent="0.5"/>
    <row r="3628" s="4" customFormat="1" x14ac:dyDescent="0.5"/>
    <row r="3629" s="4" customFormat="1" x14ac:dyDescent="0.5"/>
    <row r="3630" s="4" customFormat="1" x14ac:dyDescent="0.5"/>
    <row r="3631" s="4" customFormat="1" x14ac:dyDescent="0.5"/>
    <row r="3632" s="4" customFormat="1" x14ac:dyDescent="0.5"/>
    <row r="3633" s="4" customFormat="1" x14ac:dyDescent="0.5"/>
    <row r="3634" s="4" customFormat="1" x14ac:dyDescent="0.5"/>
    <row r="3635" s="4" customFormat="1" x14ac:dyDescent="0.5"/>
    <row r="3636" s="4" customFormat="1" x14ac:dyDescent="0.5"/>
    <row r="3637" s="4" customFormat="1" x14ac:dyDescent="0.5"/>
    <row r="3638" s="4" customFormat="1" x14ac:dyDescent="0.5"/>
    <row r="3639" s="4" customFormat="1" x14ac:dyDescent="0.5"/>
    <row r="3640" s="4" customFormat="1" x14ac:dyDescent="0.5"/>
    <row r="3641" s="4" customFormat="1" x14ac:dyDescent="0.5"/>
    <row r="3642" s="4" customFormat="1" x14ac:dyDescent="0.5"/>
    <row r="3643" s="4" customFormat="1" x14ac:dyDescent="0.5"/>
    <row r="3644" s="4" customFormat="1" x14ac:dyDescent="0.5"/>
    <row r="3645" s="4" customFormat="1" x14ac:dyDescent="0.5"/>
    <row r="3646" s="4" customFormat="1" x14ac:dyDescent="0.5"/>
    <row r="3647" s="4" customFormat="1" x14ac:dyDescent="0.5"/>
    <row r="3648" s="4" customFormat="1" x14ac:dyDescent="0.5"/>
    <row r="3649" s="4" customFormat="1" x14ac:dyDescent="0.5"/>
    <row r="3650" s="4" customFormat="1" x14ac:dyDescent="0.5"/>
    <row r="3651" s="4" customFormat="1" x14ac:dyDescent="0.5"/>
    <row r="3652" s="4" customFormat="1" x14ac:dyDescent="0.5"/>
    <row r="3653" s="4" customFormat="1" x14ac:dyDescent="0.5"/>
    <row r="3654" s="4" customFormat="1" x14ac:dyDescent="0.5"/>
    <row r="3655" s="4" customFormat="1" x14ac:dyDescent="0.5"/>
    <row r="3656" s="4" customFormat="1" x14ac:dyDescent="0.5"/>
    <row r="3657" s="4" customFormat="1" x14ac:dyDescent="0.5"/>
    <row r="3658" s="4" customFormat="1" x14ac:dyDescent="0.5"/>
    <row r="3659" s="4" customFormat="1" x14ac:dyDescent="0.5"/>
    <row r="3660" s="4" customFormat="1" x14ac:dyDescent="0.5"/>
    <row r="3661" s="4" customFormat="1" x14ac:dyDescent="0.5"/>
    <row r="3662" s="4" customFormat="1" x14ac:dyDescent="0.5"/>
    <row r="3663" s="4" customFormat="1" x14ac:dyDescent="0.5"/>
    <row r="3664" s="4" customFormat="1" x14ac:dyDescent="0.5"/>
    <row r="3665" s="4" customFormat="1" x14ac:dyDescent="0.5"/>
    <row r="3666" s="4" customFormat="1" x14ac:dyDescent="0.5"/>
    <row r="3667" s="4" customFormat="1" x14ac:dyDescent="0.5"/>
    <row r="3668" s="4" customFormat="1" x14ac:dyDescent="0.5"/>
    <row r="3669" s="4" customFormat="1" x14ac:dyDescent="0.5"/>
    <row r="3670" s="4" customFormat="1" x14ac:dyDescent="0.5"/>
    <row r="3671" s="4" customFormat="1" x14ac:dyDescent="0.5"/>
    <row r="3672" s="4" customFormat="1" x14ac:dyDescent="0.5"/>
    <row r="3673" s="4" customFormat="1" x14ac:dyDescent="0.5"/>
    <row r="3674" s="4" customFormat="1" x14ac:dyDescent="0.5"/>
    <row r="3675" s="4" customFormat="1" x14ac:dyDescent="0.5"/>
    <row r="3676" s="4" customFormat="1" x14ac:dyDescent="0.5"/>
    <row r="3677" s="4" customFormat="1" x14ac:dyDescent="0.5"/>
    <row r="3678" s="4" customFormat="1" x14ac:dyDescent="0.5"/>
    <row r="3679" s="4" customFormat="1" x14ac:dyDescent="0.5"/>
    <row r="3680" s="4" customFormat="1" x14ac:dyDescent="0.5"/>
    <row r="3681" s="4" customFormat="1" x14ac:dyDescent="0.5"/>
    <row r="3682" s="4" customFormat="1" x14ac:dyDescent="0.5"/>
    <row r="3683" s="4" customFormat="1" x14ac:dyDescent="0.5"/>
    <row r="3684" s="4" customFormat="1" x14ac:dyDescent="0.5"/>
    <row r="3685" s="4" customFormat="1" x14ac:dyDescent="0.5"/>
    <row r="3686" s="4" customFormat="1" x14ac:dyDescent="0.5"/>
    <row r="3687" s="4" customFormat="1" x14ac:dyDescent="0.5"/>
    <row r="3688" s="4" customFormat="1" x14ac:dyDescent="0.5"/>
    <row r="3689" s="4" customFormat="1" x14ac:dyDescent="0.5"/>
    <row r="3690" s="4" customFormat="1" x14ac:dyDescent="0.5"/>
    <row r="3691" s="4" customFormat="1" x14ac:dyDescent="0.5"/>
    <row r="3692" s="4" customFormat="1" x14ac:dyDescent="0.5"/>
    <row r="3693" s="4" customFormat="1" x14ac:dyDescent="0.5"/>
    <row r="3694" s="4" customFormat="1" x14ac:dyDescent="0.5"/>
    <row r="3695" s="4" customFormat="1" x14ac:dyDescent="0.5"/>
    <row r="3696" s="4" customFormat="1" x14ac:dyDescent="0.5"/>
    <row r="3697" s="4" customFormat="1" x14ac:dyDescent="0.5"/>
    <row r="3698" s="4" customFormat="1" x14ac:dyDescent="0.5"/>
    <row r="3699" s="4" customFormat="1" x14ac:dyDescent="0.5"/>
    <row r="3700" s="4" customFormat="1" x14ac:dyDescent="0.5"/>
    <row r="3701" s="4" customFormat="1" x14ac:dyDescent="0.5"/>
    <row r="3702" s="4" customFormat="1" x14ac:dyDescent="0.5"/>
    <row r="3703" s="4" customFormat="1" x14ac:dyDescent="0.5"/>
    <row r="3704" s="4" customFormat="1" x14ac:dyDescent="0.5"/>
    <row r="3705" s="4" customFormat="1" x14ac:dyDescent="0.5"/>
    <row r="3706" s="4" customFormat="1" x14ac:dyDescent="0.5"/>
    <row r="3707" s="4" customFormat="1" x14ac:dyDescent="0.5"/>
    <row r="3708" s="4" customFormat="1" x14ac:dyDescent="0.5"/>
    <row r="3709" s="4" customFormat="1" x14ac:dyDescent="0.5"/>
    <row r="3710" s="4" customFormat="1" x14ac:dyDescent="0.5"/>
    <row r="3711" s="4" customFormat="1" x14ac:dyDescent="0.5"/>
    <row r="3712" s="4" customFormat="1" x14ac:dyDescent="0.5"/>
    <row r="3713" s="4" customFormat="1" x14ac:dyDescent="0.5"/>
    <row r="3714" s="4" customFormat="1" x14ac:dyDescent="0.5"/>
    <row r="3715" s="4" customFormat="1" x14ac:dyDescent="0.5"/>
    <row r="3716" s="4" customFormat="1" x14ac:dyDescent="0.5"/>
    <row r="3717" s="4" customFormat="1" x14ac:dyDescent="0.5"/>
    <row r="3718" s="4" customFormat="1" x14ac:dyDescent="0.5"/>
    <row r="3719" s="4" customFormat="1" x14ac:dyDescent="0.5"/>
    <row r="3720" s="4" customFormat="1" x14ac:dyDescent="0.5"/>
    <row r="3721" s="4" customFormat="1" x14ac:dyDescent="0.5"/>
    <row r="3722" s="4" customFormat="1" x14ac:dyDescent="0.5"/>
    <row r="3723" s="4" customFormat="1" x14ac:dyDescent="0.5"/>
    <row r="3724" s="4" customFormat="1" x14ac:dyDescent="0.5"/>
    <row r="3725" s="4" customFormat="1" x14ac:dyDescent="0.5"/>
    <row r="3726" s="4" customFormat="1" x14ac:dyDescent="0.5"/>
    <row r="3727" s="4" customFormat="1" x14ac:dyDescent="0.5"/>
    <row r="3728" s="4" customFormat="1" x14ac:dyDescent="0.5"/>
    <row r="3729" s="4" customFormat="1" x14ac:dyDescent="0.5"/>
    <row r="3730" s="4" customFormat="1" x14ac:dyDescent="0.5"/>
    <row r="3731" s="4" customFormat="1" x14ac:dyDescent="0.5"/>
    <row r="3732" s="4" customFormat="1" x14ac:dyDescent="0.5"/>
    <row r="3733" s="4" customFormat="1" x14ac:dyDescent="0.5"/>
    <row r="3734" s="4" customFormat="1" x14ac:dyDescent="0.5"/>
    <row r="3735" s="4" customFormat="1" x14ac:dyDescent="0.5"/>
    <row r="3736" s="4" customFormat="1" x14ac:dyDescent="0.5"/>
    <row r="3737" s="4" customFormat="1" x14ac:dyDescent="0.5"/>
    <row r="3738" s="4" customFormat="1" x14ac:dyDescent="0.5"/>
    <row r="3739" s="4" customFormat="1" x14ac:dyDescent="0.5"/>
    <row r="3740" s="4" customFormat="1" x14ac:dyDescent="0.5"/>
    <row r="3741" s="4" customFormat="1" x14ac:dyDescent="0.5"/>
    <row r="3742" s="4" customFormat="1" x14ac:dyDescent="0.5"/>
    <row r="3743" s="4" customFormat="1" x14ac:dyDescent="0.5"/>
    <row r="3744" s="4" customFormat="1" x14ac:dyDescent="0.5"/>
    <row r="3745" s="4" customFormat="1" x14ac:dyDescent="0.5"/>
    <row r="3746" s="4" customFormat="1" x14ac:dyDescent="0.5"/>
    <row r="3747" s="4" customFormat="1" x14ac:dyDescent="0.5"/>
    <row r="3748" s="4" customFormat="1" x14ac:dyDescent="0.5"/>
    <row r="3749" s="4" customFormat="1" x14ac:dyDescent="0.5"/>
    <row r="3750" s="4" customFormat="1" x14ac:dyDescent="0.5"/>
    <row r="3751" s="4" customFormat="1" x14ac:dyDescent="0.5"/>
    <row r="3752" s="4" customFormat="1" x14ac:dyDescent="0.5"/>
    <row r="3753" s="4" customFormat="1" x14ac:dyDescent="0.5"/>
    <row r="3754" s="4" customFormat="1" x14ac:dyDescent="0.5"/>
    <row r="3755" s="4" customFormat="1" x14ac:dyDescent="0.5"/>
    <row r="3756" s="4" customFormat="1" x14ac:dyDescent="0.5"/>
    <row r="3757" s="4" customFormat="1" x14ac:dyDescent="0.5"/>
    <row r="3758" s="4" customFormat="1" x14ac:dyDescent="0.5"/>
    <row r="3759" s="4" customFormat="1" x14ac:dyDescent="0.5"/>
    <row r="3760" s="4" customFormat="1" x14ac:dyDescent="0.5"/>
    <row r="3761" s="4" customFormat="1" x14ac:dyDescent="0.5"/>
    <row r="3762" s="4" customFormat="1" x14ac:dyDescent="0.5"/>
    <row r="3763" s="4" customFormat="1" x14ac:dyDescent="0.5"/>
    <row r="3764" s="4" customFormat="1" x14ac:dyDescent="0.5"/>
    <row r="3765" s="4" customFormat="1" x14ac:dyDescent="0.5"/>
    <row r="3766" s="4" customFormat="1" x14ac:dyDescent="0.5"/>
    <row r="3767" s="4" customFormat="1" x14ac:dyDescent="0.5"/>
    <row r="3768" s="4" customFormat="1" x14ac:dyDescent="0.5"/>
    <row r="3769" s="4" customFormat="1" x14ac:dyDescent="0.5"/>
    <row r="3770" s="4" customFormat="1" x14ac:dyDescent="0.5"/>
    <row r="3771" s="4" customFormat="1" x14ac:dyDescent="0.5"/>
    <row r="3772" s="4" customFormat="1" x14ac:dyDescent="0.5"/>
    <row r="3773" s="4" customFormat="1" x14ac:dyDescent="0.5"/>
    <row r="3774" s="4" customFormat="1" x14ac:dyDescent="0.5"/>
    <row r="3775" s="4" customFormat="1" x14ac:dyDescent="0.5"/>
    <row r="3776" s="4" customFormat="1" x14ac:dyDescent="0.5"/>
    <row r="3777" s="4" customFormat="1" x14ac:dyDescent="0.5"/>
    <row r="3778" s="4" customFormat="1" x14ac:dyDescent="0.5"/>
    <row r="3779" s="4" customFormat="1" x14ac:dyDescent="0.5"/>
    <row r="3780" s="4" customFormat="1" x14ac:dyDescent="0.5"/>
    <row r="3781" s="4" customFormat="1" x14ac:dyDescent="0.5"/>
    <row r="3782" s="4" customFormat="1" x14ac:dyDescent="0.5"/>
    <row r="3783" s="4" customFormat="1" x14ac:dyDescent="0.5"/>
    <row r="3784" s="4" customFormat="1" x14ac:dyDescent="0.5"/>
    <row r="3785" s="4" customFormat="1" x14ac:dyDescent="0.5"/>
    <row r="3786" s="4" customFormat="1" x14ac:dyDescent="0.5"/>
    <row r="3787" s="4" customFormat="1" x14ac:dyDescent="0.5"/>
    <row r="3788" s="4" customFormat="1" x14ac:dyDescent="0.5"/>
    <row r="3789" s="4" customFormat="1" x14ac:dyDescent="0.5"/>
    <row r="3790" s="4" customFormat="1" x14ac:dyDescent="0.5"/>
    <row r="3791" s="4" customFormat="1" x14ac:dyDescent="0.5"/>
    <row r="3792" s="4" customFormat="1" x14ac:dyDescent="0.5"/>
    <row r="3793" s="4" customFormat="1" x14ac:dyDescent="0.5"/>
    <row r="3794" s="4" customFormat="1" x14ac:dyDescent="0.5"/>
    <row r="3795" s="4" customFormat="1" x14ac:dyDescent="0.5"/>
    <row r="3796" s="4" customFormat="1" x14ac:dyDescent="0.5"/>
    <row r="3797" s="4" customFormat="1" x14ac:dyDescent="0.5"/>
    <row r="3798" s="4" customFormat="1" x14ac:dyDescent="0.5"/>
    <row r="3799" s="4" customFormat="1" x14ac:dyDescent="0.5"/>
    <row r="3800" s="4" customFormat="1" x14ac:dyDescent="0.5"/>
    <row r="3801" s="4" customFormat="1" x14ac:dyDescent="0.5"/>
    <row r="3802" s="4" customFormat="1" x14ac:dyDescent="0.5"/>
    <row r="3803" s="4" customFormat="1" x14ac:dyDescent="0.5"/>
    <row r="3804" s="4" customFormat="1" x14ac:dyDescent="0.5"/>
    <row r="3805" s="4" customFormat="1" x14ac:dyDescent="0.5"/>
    <row r="3806" s="4" customFormat="1" x14ac:dyDescent="0.5"/>
    <row r="3807" s="4" customFormat="1" x14ac:dyDescent="0.5"/>
    <row r="3808" s="4" customFormat="1" x14ac:dyDescent="0.5"/>
    <row r="3809" s="4" customFormat="1" x14ac:dyDescent="0.5"/>
    <row r="3810" s="4" customFormat="1" x14ac:dyDescent="0.5"/>
    <row r="3811" s="4" customFormat="1" x14ac:dyDescent="0.5"/>
    <row r="3812" s="4" customFormat="1" x14ac:dyDescent="0.5"/>
    <row r="3813" s="4" customFormat="1" x14ac:dyDescent="0.5"/>
    <row r="3814" s="4" customFormat="1" x14ac:dyDescent="0.5"/>
    <row r="3815" s="4" customFormat="1" x14ac:dyDescent="0.5"/>
    <row r="3816" s="4" customFormat="1" x14ac:dyDescent="0.5"/>
    <row r="3817" s="4" customFormat="1" x14ac:dyDescent="0.5"/>
    <row r="3818" s="4" customFormat="1" x14ac:dyDescent="0.5"/>
    <row r="3819" s="4" customFormat="1" x14ac:dyDescent="0.5"/>
    <row r="3820" s="4" customFormat="1" x14ac:dyDescent="0.5"/>
    <row r="3821" s="4" customFormat="1" x14ac:dyDescent="0.5"/>
    <row r="3822" s="4" customFormat="1" x14ac:dyDescent="0.5"/>
    <row r="3823" s="4" customFormat="1" x14ac:dyDescent="0.5"/>
    <row r="3824" s="4" customFormat="1" x14ac:dyDescent="0.5"/>
    <row r="3825" s="4" customFormat="1" x14ac:dyDescent="0.5"/>
    <row r="3826" s="4" customFormat="1" x14ac:dyDescent="0.5"/>
    <row r="3827" s="4" customFormat="1" x14ac:dyDescent="0.5"/>
    <row r="3828" s="4" customFormat="1" x14ac:dyDescent="0.5"/>
    <row r="3829" s="4" customFormat="1" x14ac:dyDescent="0.5"/>
    <row r="3830" s="4" customFormat="1" x14ac:dyDescent="0.5"/>
    <row r="3831" s="4" customFormat="1" x14ac:dyDescent="0.5"/>
    <row r="3832" s="4" customFormat="1" x14ac:dyDescent="0.5"/>
    <row r="3833" s="4" customFormat="1" x14ac:dyDescent="0.5"/>
    <row r="3834" s="4" customFormat="1" x14ac:dyDescent="0.5"/>
    <row r="3835" s="4" customFormat="1" x14ac:dyDescent="0.5"/>
    <row r="3836" s="4" customFormat="1" x14ac:dyDescent="0.5"/>
    <row r="3837" s="4" customFormat="1" x14ac:dyDescent="0.5"/>
    <row r="3838" s="4" customFormat="1" x14ac:dyDescent="0.5"/>
    <row r="3839" s="4" customFormat="1" x14ac:dyDescent="0.5"/>
    <row r="3840" s="4" customFormat="1" x14ac:dyDescent="0.5"/>
    <row r="3841" s="4" customFormat="1" x14ac:dyDescent="0.5"/>
    <row r="3842" s="4" customFormat="1" x14ac:dyDescent="0.5"/>
    <row r="3843" s="4" customFormat="1" x14ac:dyDescent="0.5"/>
    <row r="3844" s="4" customFormat="1" x14ac:dyDescent="0.5"/>
    <row r="3845" s="4" customFormat="1" x14ac:dyDescent="0.5"/>
    <row r="3846" s="4" customFormat="1" x14ac:dyDescent="0.5"/>
    <row r="3847" s="4" customFormat="1" x14ac:dyDescent="0.5"/>
    <row r="3848" s="4" customFormat="1" x14ac:dyDescent="0.5"/>
    <row r="3849" s="4" customFormat="1" x14ac:dyDescent="0.5"/>
    <row r="3850" s="4" customFormat="1" x14ac:dyDescent="0.5"/>
    <row r="3851" s="4" customFormat="1" x14ac:dyDescent="0.5"/>
    <row r="3852" s="4" customFormat="1" x14ac:dyDescent="0.5"/>
    <row r="3853" s="4" customFormat="1" x14ac:dyDescent="0.5"/>
    <row r="3854" s="4" customFormat="1" x14ac:dyDescent="0.5"/>
    <row r="3855" s="4" customFormat="1" x14ac:dyDescent="0.5"/>
    <row r="3856" s="4" customFormat="1" x14ac:dyDescent="0.5"/>
    <row r="3857" s="4" customFormat="1" x14ac:dyDescent="0.5"/>
    <row r="3858" s="4" customFormat="1" x14ac:dyDescent="0.5"/>
    <row r="3859" s="4" customFormat="1" x14ac:dyDescent="0.5"/>
    <row r="3860" s="4" customFormat="1" x14ac:dyDescent="0.5"/>
    <row r="3861" s="4" customFormat="1" x14ac:dyDescent="0.5"/>
    <row r="3862" s="4" customFormat="1" x14ac:dyDescent="0.5"/>
    <row r="3863" s="4" customFormat="1" x14ac:dyDescent="0.5"/>
    <row r="3864" s="4" customFormat="1" x14ac:dyDescent="0.5"/>
    <row r="3865" s="4" customFormat="1" x14ac:dyDescent="0.5"/>
    <row r="3866" s="4" customFormat="1" x14ac:dyDescent="0.5"/>
    <row r="3867" s="4" customFormat="1" x14ac:dyDescent="0.5"/>
    <row r="3868" s="4" customFormat="1" x14ac:dyDescent="0.5"/>
    <row r="3869" s="4" customFormat="1" x14ac:dyDescent="0.5"/>
    <row r="3870" s="4" customFormat="1" x14ac:dyDescent="0.5"/>
    <row r="3871" s="4" customFormat="1" x14ac:dyDescent="0.5"/>
    <row r="3872" s="4" customFormat="1" x14ac:dyDescent="0.5"/>
    <row r="3873" s="4" customFormat="1" x14ac:dyDescent="0.5"/>
    <row r="3874" s="4" customFormat="1" x14ac:dyDescent="0.5"/>
    <row r="3875" s="4" customFormat="1" x14ac:dyDescent="0.5"/>
    <row r="3876" s="4" customFormat="1" x14ac:dyDescent="0.5"/>
    <row r="3877" s="4" customFormat="1" x14ac:dyDescent="0.5"/>
    <row r="3878" s="4" customFormat="1" x14ac:dyDescent="0.5"/>
    <row r="3879" s="4" customFormat="1" x14ac:dyDescent="0.5"/>
    <row r="3880" s="4" customFormat="1" x14ac:dyDescent="0.5"/>
    <row r="3881" s="4" customFormat="1" x14ac:dyDescent="0.5"/>
    <row r="3882" s="4" customFormat="1" x14ac:dyDescent="0.5"/>
    <row r="3883" s="4" customFormat="1" x14ac:dyDescent="0.5"/>
    <row r="3884" s="4" customFormat="1" x14ac:dyDescent="0.5"/>
    <row r="3885" s="4" customFormat="1" x14ac:dyDescent="0.5"/>
    <row r="3886" s="4" customFormat="1" x14ac:dyDescent="0.5"/>
    <row r="3887" s="4" customFormat="1" x14ac:dyDescent="0.5"/>
    <row r="3888" s="4" customFormat="1" x14ac:dyDescent="0.5"/>
    <row r="3889" s="4" customFormat="1" x14ac:dyDescent="0.5"/>
    <row r="3890" s="4" customFormat="1" x14ac:dyDescent="0.5"/>
    <row r="3891" s="4" customFormat="1" x14ac:dyDescent="0.5"/>
    <row r="3892" s="4" customFormat="1" x14ac:dyDescent="0.5"/>
    <row r="3893" s="4" customFormat="1" x14ac:dyDescent="0.5"/>
    <row r="3894" s="4" customFormat="1" x14ac:dyDescent="0.5"/>
    <row r="3895" s="4" customFormat="1" x14ac:dyDescent="0.5"/>
    <row r="3896" s="4" customFormat="1" x14ac:dyDescent="0.5"/>
    <row r="3897" s="4" customFormat="1" x14ac:dyDescent="0.5"/>
    <row r="3898" s="4" customFormat="1" x14ac:dyDescent="0.5"/>
    <row r="3899" s="4" customFormat="1" x14ac:dyDescent="0.5"/>
    <row r="3900" s="4" customFormat="1" x14ac:dyDescent="0.5"/>
    <row r="3901" s="4" customFormat="1" x14ac:dyDescent="0.5"/>
    <row r="3902" s="4" customFormat="1" x14ac:dyDescent="0.5"/>
    <row r="3903" s="4" customFormat="1" x14ac:dyDescent="0.5"/>
    <row r="3904" s="4" customFormat="1" x14ac:dyDescent="0.5"/>
    <row r="3905" s="4" customFormat="1" x14ac:dyDescent="0.5"/>
    <row r="3906" s="4" customFormat="1" x14ac:dyDescent="0.5"/>
    <row r="3907" s="4" customFormat="1" x14ac:dyDescent="0.5"/>
    <row r="3908" s="4" customFormat="1" x14ac:dyDescent="0.5"/>
    <row r="3909" s="4" customFormat="1" x14ac:dyDescent="0.5"/>
    <row r="3910" s="4" customFormat="1" x14ac:dyDescent="0.5"/>
    <row r="3911" s="4" customFormat="1" x14ac:dyDescent="0.5"/>
    <row r="3912" s="4" customFormat="1" x14ac:dyDescent="0.5"/>
    <row r="3913" s="4" customFormat="1" x14ac:dyDescent="0.5"/>
    <row r="3914" s="4" customFormat="1" x14ac:dyDescent="0.5"/>
    <row r="3915" s="4" customFormat="1" x14ac:dyDescent="0.5"/>
    <row r="3916" s="4" customFormat="1" x14ac:dyDescent="0.5"/>
    <row r="3917" s="4" customFormat="1" x14ac:dyDescent="0.5"/>
    <row r="3918" s="4" customFormat="1" x14ac:dyDescent="0.5"/>
    <row r="3919" s="4" customFormat="1" x14ac:dyDescent="0.5"/>
    <row r="3920" s="4" customFormat="1" x14ac:dyDescent="0.5"/>
    <row r="3921" s="4" customFormat="1" x14ac:dyDescent="0.5"/>
    <row r="3922" s="4" customFormat="1" x14ac:dyDescent="0.5"/>
    <row r="3923" s="4" customFormat="1" x14ac:dyDescent="0.5"/>
    <row r="3924" s="4" customFormat="1" x14ac:dyDescent="0.5"/>
    <row r="3925" s="4" customFormat="1" x14ac:dyDescent="0.5"/>
    <row r="3926" s="4" customFormat="1" x14ac:dyDescent="0.5"/>
    <row r="3927" s="4" customFormat="1" x14ac:dyDescent="0.5"/>
    <row r="3928" s="4" customFormat="1" x14ac:dyDescent="0.5"/>
    <row r="3929" s="4" customFormat="1" x14ac:dyDescent="0.5"/>
    <row r="3930" s="4" customFormat="1" x14ac:dyDescent="0.5"/>
    <row r="3931" s="4" customFormat="1" x14ac:dyDescent="0.5"/>
    <row r="3932" s="4" customFormat="1" x14ac:dyDescent="0.5"/>
    <row r="3933" s="4" customFormat="1" x14ac:dyDescent="0.5"/>
    <row r="3934" s="4" customFormat="1" x14ac:dyDescent="0.5"/>
    <row r="3935" s="4" customFormat="1" x14ac:dyDescent="0.5"/>
    <row r="3936" s="4" customFormat="1" x14ac:dyDescent="0.5"/>
    <row r="3937" s="4" customFormat="1" x14ac:dyDescent="0.5"/>
    <row r="3938" s="4" customFormat="1" x14ac:dyDescent="0.5"/>
    <row r="3939" s="4" customFormat="1" x14ac:dyDescent="0.5"/>
    <row r="3940" s="4" customFormat="1" x14ac:dyDescent="0.5"/>
    <row r="3941" s="4" customFormat="1" x14ac:dyDescent="0.5"/>
    <row r="3942" s="4" customFormat="1" x14ac:dyDescent="0.5"/>
    <row r="3943" s="4" customFormat="1" x14ac:dyDescent="0.5"/>
    <row r="3944" s="4" customFormat="1" x14ac:dyDescent="0.5"/>
    <row r="3945" s="4" customFormat="1" x14ac:dyDescent="0.5"/>
    <row r="3946" s="4" customFormat="1" x14ac:dyDescent="0.5"/>
    <row r="3947" s="4" customFormat="1" x14ac:dyDescent="0.5"/>
    <row r="3948" s="4" customFormat="1" x14ac:dyDescent="0.5"/>
    <row r="3949" s="4" customFormat="1" x14ac:dyDescent="0.5"/>
    <row r="3950" s="4" customFormat="1" x14ac:dyDescent="0.5"/>
    <row r="3951" s="4" customFormat="1" x14ac:dyDescent="0.5"/>
    <row r="3952" s="4" customFormat="1" x14ac:dyDescent="0.5"/>
    <row r="3953" s="4" customFormat="1" x14ac:dyDescent="0.5"/>
    <row r="3954" s="4" customFormat="1" x14ac:dyDescent="0.5"/>
    <row r="3955" s="4" customFormat="1" x14ac:dyDescent="0.5"/>
    <row r="3956" s="4" customFormat="1" x14ac:dyDescent="0.5"/>
    <row r="3957" s="4" customFormat="1" x14ac:dyDescent="0.5"/>
    <row r="3958" s="4" customFormat="1" x14ac:dyDescent="0.5"/>
    <row r="3959" s="4" customFormat="1" x14ac:dyDescent="0.5"/>
    <row r="3960" s="4" customFormat="1" x14ac:dyDescent="0.5"/>
    <row r="3961" s="4" customFormat="1" x14ac:dyDescent="0.5"/>
    <row r="3962" s="4" customFormat="1" x14ac:dyDescent="0.5"/>
    <row r="3963" s="4" customFormat="1" x14ac:dyDescent="0.5"/>
    <row r="3964" s="4" customFormat="1" x14ac:dyDescent="0.5"/>
    <row r="3965" s="4" customFormat="1" x14ac:dyDescent="0.5"/>
    <row r="3966" s="4" customFormat="1" x14ac:dyDescent="0.5"/>
    <row r="3967" s="4" customFormat="1" x14ac:dyDescent="0.5"/>
    <row r="3968" s="4" customFormat="1" x14ac:dyDescent="0.5"/>
    <row r="3969" s="4" customFormat="1" x14ac:dyDescent="0.5"/>
    <row r="3970" s="4" customFormat="1" x14ac:dyDescent="0.5"/>
    <row r="3971" s="4" customFormat="1" x14ac:dyDescent="0.5"/>
    <row r="3972" s="4" customFormat="1" x14ac:dyDescent="0.5"/>
    <row r="3973" s="4" customFormat="1" x14ac:dyDescent="0.5"/>
    <row r="3974" s="4" customFormat="1" x14ac:dyDescent="0.5"/>
    <row r="3975" s="4" customFormat="1" x14ac:dyDescent="0.5"/>
    <row r="3976" s="4" customFormat="1" x14ac:dyDescent="0.5"/>
    <row r="3977" s="4" customFormat="1" x14ac:dyDescent="0.5"/>
    <row r="3978" s="4" customFormat="1" x14ac:dyDescent="0.5"/>
    <row r="3979" s="4" customFormat="1" x14ac:dyDescent="0.5"/>
    <row r="3980" s="4" customFormat="1" x14ac:dyDescent="0.5"/>
    <row r="3981" s="4" customFormat="1" x14ac:dyDescent="0.5"/>
    <row r="3982" s="4" customFormat="1" x14ac:dyDescent="0.5"/>
    <row r="3983" s="4" customFormat="1" x14ac:dyDescent="0.5"/>
    <row r="3984" s="4" customFormat="1" x14ac:dyDescent="0.5"/>
    <row r="3985" s="4" customFormat="1" x14ac:dyDescent="0.5"/>
    <row r="3986" s="4" customFormat="1" x14ac:dyDescent="0.5"/>
    <row r="3987" s="4" customFormat="1" x14ac:dyDescent="0.5"/>
    <row r="3988" s="4" customFormat="1" x14ac:dyDescent="0.5"/>
    <row r="3989" s="4" customFormat="1" x14ac:dyDescent="0.5"/>
    <row r="3990" s="4" customFormat="1" x14ac:dyDescent="0.5"/>
    <row r="3991" s="4" customFormat="1" x14ac:dyDescent="0.5"/>
    <row r="3992" s="4" customFormat="1" x14ac:dyDescent="0.5"/>
    <row r="3993" s="4" customFormat="1" x14ac:dyDescent="0.5"/>
    <row r="3994" s="4" customFormat="1" x14ac:dyDescent="0.5"/>
    <row r="3995" s="4" customFormat="1" x14ac:dyDescent="0.5"/>
    <row r="3996" s="4" customFormat="1" x14ac:dyDescent="0.5"/>
    <row r="3997" s="4" customFormat="1" x14ac:dyDescent="0.5"/>
    <row r="3998" s="4" customFormat="1" x14ac:dyDescent="0.5"/>
    <row r="3999" s="4" customFormat="1" x14ac:dyDescent="0.5"/>
    <row r="4000" s="4" customFormat="1" x14ac:dyDescent="0.5"/>
    <row r="4001" s="4" customFormat="1" x14ac:dyDescent="0.5"/>
    <row r="4002" s="4" customFormat="1" x14ac:dyDescent="0.5"/>
    <row r="4003" s="4" customFormat="1" x14ac:dyDescent="0.5"/>
    <row r="4004" s="4" customFormat="1" x14ac:dyDescent="0.5"/>
    <row r="4005" s="4" customFormat="1" x14ac:dyDescent="0.5"/>
    <row r="4006" s="4" customFormat="1" x14ac:dyDescent="0.5"/>
    <row r="4007" s="4" customFormat="1" x14ac:dyDescent="0.5"/>
    <row r="4008" s="4" customFormat="1" x14ac:dyDescent="0.5"/>
    <row r="4009" s="4" customFormat="1" x14ac:dyDescent="0.5"/>
    <row r="4010" s="4" customFormat="1" x14ac:dyDescent="0.5"/>
    <row r="4011" s="4" customFormat="1" x14ac:dyDescent="0.5"/>
    <row r="4012" s="4" customFormat="1" x14ac:dyDescent="0.5"/>
    <row r="4013" s="4" customFormat="1" x14ac:dyDescent="0.5"/>
    <row r="4014" s="4" customFormat="1" x14ac:dyDescent="0.5"/>
    <row r="4015" s="4" customFormat="1" x14ac:dyDescent="0.5"/>
    <row r="4016" s="4" customFormat="1" x14ac:dyDescent="0.5"/>
    <row r="4017" s="4" customFormat="1" x14ac:dyDescent="0.5"/>
    <row r="4018" s="4" customFormat="1" x14ac:dyDescent="0.5"/>
    <row r="4019" s="4" customFormat="1" x14ac:dyDescent="0.5"/>
    <row r="4020" s="4" customFormat="1" x14ac:dyDescent="0.5"/>
    <row r="4021" s="4" customFormat="1" x14ac:dyDescent="0.5"/>
    <row r="4022" s="4" customFormat="1" x14ac:dyDescent="0.5"/>
    <row r="4023" s="4" customFormat="1" x14ac:dyDescent="0.5"/>
    <row r="4024" s="4" customFormat="1" x14ac:dyDescent="0.5"/>
    <row r="4025" s="4" customFormat="1" x14ac:dyDescent="0.5"/>
    <row r="4026" s="4" customFormat="1" x14ac:dyDescent="0.5"/>
    <row r="4027" s="4" customFormat="1" x14ac:dyDescent="0.5"/>
    <row r="4028" s="4" customFormat="1" x14ac:dyDescent="0.5"/>
    <row r="4029" s="4" customFormat="1" x14ac:dyDescent="0.5"/>
    <row r="4030" s="4" customFormat="1" x14ac:dyDescent="0.5"/>
    <row r="4031" s="4" customFormat="1" x14ac:dyDescent="0.5"/>
    <row r="4032" s="4" customFormat="1" x14ac:dyDescent="0.5"/>
    <row r="4033" s="4" customFormat="1" x14ac:dyDescent="0.5"/>
    <row r="4034" s="4" customFormat="1" x14ac:dyDescent="0.5"/>
    <row r="4035" s="4" customFormat="1" x14ac:dyDescent="0.5"/>
    <row r="4036" s="4" customFormat="1" x14ac:dyDescent="0.5"/>
    <row r="4037" s="4" customFormat="1" x14ac:dyDescent="0.5"/>
    <row r="4038" s="4" customFormat="1" x14ac:dyDescent="0.5"/>
    <row r="4039" s="4" customFormat="1" x14ac:dyDescent="0.5"/>
    <row r="4040" s="4" customFormat="1" x14ac:dyDescent="0.5"/>
    <row r="4041" s="4" customFormat="1" x14ac:dyDescent="0.5"/>
    <row r="4042" s="4" customFormat="1" x14ac:dyDescent="0.5"/>
    <row r="4043" s="4" customFormat="1" x14ac:dyDescent="0.5"/>
    <row r="4044" s="4" customFormat="1" x14ac:dyDescent="0.5"/>
    <row r="4045" s="4" customFormat="1" x14ac:dyDescent="0.5"/>
    <row r="4046" s="4" customFormat="1" x14ac:dyDescent="0.5"/>
    <row r="4047" s="4" customFormat="1" x14ac:dyDescent="0.5"/>
    <row r="4048" s="4" customFormat="1" x14ac:dyDescent="0.5"/>
    <row r="4049" s="4" customFormat="1" x14ac:dyDescent="0.5"/>
    <row r="4050" s="4" customFormat="1" x14ac:dyDescent="0.5"/>
    <row r="4051" s="4" customFormat="1" x14ac:dyDescent="0.5"/>
    <row r="4052" s="4" customFormat="1" x14ac:dyDescent="0.5"/>
    <row r="4053" s="4" customFormat="1" x14ac:dyDescent="0.5"/>
    <row r="4054" s="4" customFormat="1" x14ac:dyDescent="0.5"/>
    <row r="4055" s="4" customFormat="1" x14ac:dyDescent="0.5"/>
    <row r="4056" s="4" customFormat="1" x14ac:dyDescent="0.5"/>
    <row r="4057" s="4" customFormat="1" x14ac:dyDescent="0.5"/>
    <row r="4058" s="4" customFormat="1" x14ac:dyDescent="0.5"/>
    <row r="4059" s="4" customFormat="1" x14ac:dyDescent="0.5"/>
    <row r="4060" s="4" customFormat="1" x14ac:dyDescent="0.5"/>
    <row r="4061" s="4" customFormat="1" x14ac:dyDescent="0.5"/>
    <row r="4062" s="4" customFormat="1" x14ac:dyDescent="0.5"/>
    <row r="4063" s="4" customFormat="1" x14ac:dyDescent="0.5"/>
    <row r="4064" s="4" customFormat="1" x14ac:dyDescent="0.5"/>
    <row r="4065" s="4" customFormat="1" x14ac:dyDescent="0.5"/>
    <row r="4066" s="4" customFormat="1" x14ac:dyDescent="0.5"/>
    <row r="4067" s="4" customFormat="1" x14ac:dyDescent="0.5"/>
    <row r="4068" s="4" customFormat="1" x14ac:dyDescent="0.5"/>
    <row r="4069" s="4" customFormat="1" x14ac:dyDescent="0.5"/>
    <row r="4070" s="4" customFormat="1" x14ac:dyDescent="0.5"/>
    <row r="4071" s="4" customFormat="1" x14ac:dyDescent="0.5"/>
    <row r="4072" s="4" customFormat="1" x14ac:dyDescent="0.5"/>
    <row r="4073" s="4" customFormat="1" x14ac:dyDescent="0.5"/>
    <row r="4074" s="4" customFormat="1" x14ac:dyDescent="0.5"/>
    <row r="4075" s="4" customFormat="1" x14ac:dyDescent="0.5"/>
    <row r="4076" s="4" customFormat="1" x14ac:dyDescent="0.5"/>
    <row r="4077" s="4" customFormat="1" x14ac:dyDescent="0.5"/>
    <row r="4078" s="4" customFormat="1" x14ac:dyDescent="0.5"/>
    <row r="4079" s="4" customFormat="1" x14ac:dyDescent="0.5"/>
    <row r="4080" s="4" customFormat="1" x14ac:dyDescent="0.5"/>
    <row r="4081" s="4" customFormat="1" x14ac:dyDescent="0.5"/>
    <row r="4082" s="4" customFormat="1" x14ac:dyDescent="0.5"/>
    <row r="4083" s="4" customFormat="1" x14ac:dyDescent="0.5"/>
    <row r="4084" s="4" customFormat="1" x14ac:dyDescent="0.5"/>
    <row r="4085" s="4" customFormat="1" x14ac:dyDescent="0.5"/>
    <row r="4086" s="4" customFormat="1" x14ac:dyDescent="0.5"/>
    <row r="4087" s="4" customFormat="1" x14ac:dyDescent="0.5"/>
    <row r="4088" s="4" customFormat="1" x14ac:dyDescent="0.5"/>
    <row r="4089" s="4" customFormat="1" x14ac:dyDescent="0.5"/>
    <row r="4090" s="4" customFormat="1" x14ac:dyDescent="0.5"/>
    <row r="4091" s="4" customFormat="1" x14ac:dyDescent="0.5"/>
    <row r="4092" s="4" customFormat="1" x14ac:dyDescent="0.5"/>
    <row r="4093" s="4" customFormat="1" x14ac:dyDescent="0.5"/>
    <row r="4094" s="4" customFormat="1" x14ac:dyDescent="0.5"/>
    <row r="4095" s="4" customFormat="1" x14ac:dyDescent="0.5"/>
    <row r="4096" s="4" customFormat="1" x14ac:dyDescent="0.5"/>
    <row r="4097" s="4" customFormat="1" x14ac:dyDescent="0.5"/>
    <row r="4098" s="4" customFormat="1" x14ac:dyDescent="0.5"/>
    <row r="4099" s="4" customFormat="1" x14ac:dyDescent="0.5"/>
    <row r="4100" s="4" customFormat="1" x14ac:dyDescent="0.5"/>
    <row r="4101" s="4" customFormat="1" x14ac:dyDescent="0.5"/>
    <row r="4102" s="4" customFormat="1" x14ac:dyDescent="0.5"/>
    <row r="4103" s="4" customFormat="1" x14ac:dyDescent="0.5"/>
    <row r="4104" s="4" customFormat="1" x14ac:dyDescent="0.5"/>
    <row r="4105" s="4" customFormat="1" x14ac:dyDescent="0.5"/>
    <row r="4106" s="4" customFormat="1" x14ac:dyDescent="0.5"/>
    <row r="4107" s="4" customFormat="1" x14ac:dyDescent="0.5"/>
    <row r="4108" s="4" customFormat="1" x14ac:dyDescent="0.5"/>
    <row r="4109" s="4" customFormat="1" x14ac:dyDescent="0.5"/>
    <row r="4110" s="4" customFormat="1" x14ac:dyDescent="0.5"/>
    <row r="4111" s="4" customFormat="1" x14ac:dyDescent="0.5"/>
    <row r="4112" s="4" customFormat="1" x14ac:dyDescent="0.5"/>
    <row r="4113" s="4" customFormat="1" x14ac:dyDescent="0.5"/>
    <row r="4114" s="4" customFormat="1" x14ac:dyDescent="0.5"/>
    <row r="4115" s="4" customFormat="1" x14ac:dyDescent="0.5"/>
    <row r="4116" s="4" customFormat="1" x14ac:dyDescent="0.5"/>
    <row r="4117" s="4" customFormat="1" x14ac:dyDescent="0.5"/>
    <row r="4118" s="4" customFormat="1" x14ac:dyDescent="0.5"/>
    <row r="4119" s="4" customFormat="1" x14ac:dyDescent="0.5"/>
    <row r="4120" s="4" customFormat="1" x14ac:dyDescent="0.5"/>
    <row r="4121" s="4" customFormat="1" x14ac:dyDescent="0.5"/>
    <row r="4122" s="4" customFormat="1" x14ac:dyDescent="0.5"/>
    <row r="4123" s="4" customFormat="1" x14ac:dyDescent="0.5"/>
    <row r="4124" s="4" customFormat="1" x14ac:dyDescent="0.5"/>
    <row r="4125" s="4" customFormat="1" x14ac:dyDescent="0.5"/>
    <row r="4126" s="4" customFormat="1" x14ac:dyDescent="0.5"/>
    <row r="4127" s="4" customFormat="1" x14ac:dyDescent="0.5"/>
    <row r="4128" s="4" customFormat="1" x14ac:dyDescent="0.5"/>
    <row r="4129" s="4" customFormat="1" x14ac:dyDescent="0.5"/>
    <row r="4130" s="4" customFormat="1" x14ac:dyDescent="0.5"/>
    <row r="4131" s="4" customFormat="1" x14ac:dyDescent="0.5"/>
    <row r="4132" s="4" customFormat="1" x14ac:dyDescent="0.5"/>
    <row r="4133" s="4" customFormat="1" x14ac:dyDescent="0.5"/>
    <row r="4134" s="4" customFormat="1" x14ac:dyDescent="0.5"/>
    <row r="4135" s="4" customFormat="1" x14ac:dyDescent="0.5"/>
    <row r="4136" s="4" customFormat="1" x14ac:dyDescent="0.5"/>
    <row r="4137" s="4" customFormat="1" x14ac:dyDescent="0.5"/>
    <row r="4138" s="4" customFormat="1" x14ac:dyDescent="0.5"/>
    <row r="4139" s="4" customFormat="1" x14ac:dyDescent="0.5"/>
    <row r="4140" s="4" customFormat="1" x14ac:dyDescent="0.5"/>
    <row r="4141" s="4" customFormat="1" x14ac:dyDescent="0.5"/>
    <row r="4142" s="4" customFormat="1" x14ac:dyDescent="0.5"/>
    <row r="4143" s="4" customFormat="1" x14ac:dyDescent="0.5"/>
    <row r="4144" s="4" customFormat="1" x14ac:dyDescent="0.5"/>
    <row r="4145" s="4" customFormat="1" x14ac:dyDescent="0.5"/>
    <row r="4146" s="4" customFormat="1" x14ac:dyDescent="0.5"/>
    <row r="4147" s="4" customFormat="1" x14ac:dyDescent="0.5"/>
    <row r="4148" s="4" customFormat="1" x14ac:dyDescent="0.5"/>
    <row r="4149" s="4" customFormat="1" x14ac:dyDescent="0.5"/>
    <row r="4150" s="4" customFormat="1" x14ac:dyDescent="0.5"/>
    <row r="4151" s="4" customFormat="1" x14ac:dyDescent="0.5"/>
    <row r="4152" s="4" customFormat="1" x14ac:dyDescent="0.5"/>
    <row r="4153" s="4" customFormat="1" x14ac:dyDescent="0.5"/>
    <row r="4154" s="4" customFormat="1" x14ac:dyDescent="0.5"/>
    <row r="4155" s="4" customFormat="1" x14ac:dyDescent="0.5"/>
    <row r="4156" s="4" customFormat="1" x14ac:dyDescent="0.5"/>
    <row r="4157" s="4" customFormat="1" x14ac:dyDescent="0.5"/>
    <row r="4158" s="4" customFormat="1" x14ac:dyDescent="0.5"/>
    <row r="4159" s="4" customFormat="1" x14ac:dyDescent="0.5"/>
    <row r="4160" s="4" customFormat="1" x14ac:dyDescent="0.5"/>
    <row r="4161" s="4" customFormat="1" x14ac:dyDescent="0.5"/>
    <row r="4162" s="4" customFormat="1" x14ac:dyDescent="0.5"/>
    <row r="4163" s="4" customFormat="1" x14ac:dyDescent="0.5"/>
    <row r="4164" s="4" customFormat="1" x14ac:dyDescent="0.5"/>
    <row r="4165" s="4" customFormat="1" x14ac:dyDescent="0.5"/>
    <row r="4166" s="4" customFormat="1" x14ac:dyDescent="0.5"/>
    <row r="4167" s="4" customFormat="1" x14ac:dyDescent="0.5"/>
    <row r="4168" s="4" customFormat="1" x14ac:dyDescent="0.5"/>
    <row r="4169" s="4" customFormat="1" x14ac:dyDescent="0.5"/>
    <row r="4170" s="4" customFormat="1" x14ac:dyDescent="0.5"/>
    <row r="4171" s="4" customFormat="1" x14ac:dyDescent="0.5"/>
    <row r="4172" s="4" customFormat="1" x14ac:dyDescent="0.5"/>
    <row r="4173" s="4" customFormat="1" x14ac:dyDescent="0.5"/>
    <row r="4174" s="4" customFormat="1" x14ac:dyDescent="0.5"/>
    <row r="4175" s="4" customFormat="1" x14ac:dyDescent="0.5"/>
    <row r="4176" s="4" customFormat="1" x14ac:dyDescent="0.5"/>
    <row r="4177" s="4" customFormat="1" x14ac:dyDescent="0.5"/>
    <row r="4178" s="4" customFormat="1" x14ac:dyDescent="0.5"/>
    <row r="4179" s="4" customFormat="1" x14ac:dyDescent="0.5"/>
    <row r="4180" s="4" customFormat="1" x14ac:dyDescent="0.5"/>
    <row r="4181" s="4" customFormat="1" x14ac:dyDescent="0.5"/>
    <row r="4182" s="4" customFormat="1" x14ac:dyDescent="0.5"/>
    <row r="4183" s="4" customFormat="1" x14ac:dyDescent="0.5"/>
    <row r="4184" s="4" customFormat="1" x14ac:dyDescent="0.5"/>
    <row r="4185" s="4" customFormat="1" x14ac:dyDescent="0.5"/>
    <row r="4186" s="4" customFormat="1" x14ac:dyDescent="0.5"/>
    <row r="4187" s="4" customFormat="1" x14ac:dyDescent="0.5"/>
    <row r="4188" s="4" customFormat="1" x14ac:dyDescent="0.5"/>
    <row r="4189" s="4" customFormat="1" x14ac:dyDescent="0.5"/>
    <row r="4190" s="4" customFormat="1" x14ac:dyDescent="0.5"/>
    <row r="4191" s="4" customFormat="1" x14ac:dyDescent="0.5"/>
    <row r="4192" s="4" customFormat="1" x14ac:dyDescent="0.5"/>
    <row r="4193" s="4" customFormat="1" x14ac:dyDescent="0.5"/>
    <row r="4194" s="4" customFormat="1" x14ac:dyDescent="0.5"/>
    <row r="4195" s="4" customFormat="1" x14ac:dyDescent="0.5"/>
    <row r="4196" s="4" customFormat="1" x14ac:dyDescent="0.5"/>
    <row r="4197" s="4" customFormat="1" x14ac:dyDescent="0.5"/>
    <row r="4198" s="4" customFormat="1" x14ac:dyDescent="0.5"/>
    <row r="4199" s="4" customFormat="1" x14ac:dyDescent="0.5"/>
    <row r="4200" s="4" customFormat="1" x14ac:dyDescent="0.5"/>
    <row r="4201" s="4" customFormat="1" x14ac:dyDescent="0.5"/>
    <row r="4202" s="4" customFormat="1" x14ac:dyDescent="0.5"/>
    <row r="4203" s="4" customFormat="1" x14ac:dyDescent="0.5"/>
    <row r="4204" s="4" customFormat="1" x14ac:dyDescent="0.5"/>
    <row r="4205" s="4" customFormat="1" x14ac:dyDescent="0.5"/>
    <row r="4206" s="4" customFormat="1" x14ac:dyDescent="0.5"/>
    <row r="4207" s="4" customFormat="1" x14ac:dyDescent="0.5"/>
    <row r="4208" s="4" customFormat="1" x14ac:dyDescent="0.5"/>
    <row r="4209" s="4" customFormat="1" x14ac:dyDescent="0.5"/>
    <row r="4210" s="4" customFormat="1" x14ac:dyDescent="0.5"/>
    <row r="4211" s="4" customFormat="1" x14ac:dyDescent="0.5"/>
    <row r="4212" s="4" customFormat="1" x14ac:dyDescent="0.5"/>
    <row r="4213" s="4" customFormat="1" x14ac:dyDescent="0.5"/>
    <row r="4214" s="4" customFormat="1" x14ac:dyDescent="0.5"/>
    <row r="4215" s="4" customFormat="1" x14ac:dyDescent="0.5"/>
    <row r="4216" s="4" customFormat="1" x14ac:dyDescent="0.5"/>
    <row r="4217" s="4" customFormat="1" x14ac:dyDescent="0.5"/>
    <row r="4218" s="4" customFormat="1" x14ac:dyDescent="0.5"/>
    <row r="4219" s="4" customFormat="1" x14ac:dyDescent="0.5"/>
    <row r="4220" s="4" customFormat="1" x14ac:dyDescent="0.5"/>
    <row r="4221" s="4" customFormat="1" x14ac:dyDescent="0.5"/>
    <row r="4222" s="4" customFormat="1" x14ac:dyDescent="0.5"/>
    <row r="4223" s="4" customFormat="1" x14ac:dyDescent="0.5"/>
    <row r="4224" s="4" customFormat="1" x14ac:dyDescent="0.5"/>
    <row r="4225" s="4" customFormat="1" x14ac:dyDescent="0.5"/>
    <row r="4226" s="4" customFormat="1" x14ac:dyDescent="0.5"/>
    <row r="4227" s="4" customFormat="1" x14ac:dyDescent="0.5"/>
    <row r="4228" s="4" customFormat="1" x14ac:dyDescent="0.5"/>
    <row r="4229" s="4" customFormat="1" x14ac:dyDescent="0.5"/>
    <row r="4230" s="4" customFormat="1" x14ac:dyDescent="0.5"/>
    <row r="4231" s="4" customFormat="1" x14ac:dyDescent="0.5"/>
    <row r="4232" s="4" customFormat="1" x14ac:dyDescent="0.5"/>
    <row r="4233" s="4" customFormat="1" x14ac:dyDescent="0.5"/>
    <row r="4234" s="4" customFormat="1" x14ac:dyDescent="0.5"/>
    <row r="4235" s="4" customFormat="1" x14ac:dyDescent="0.5"/>
    <row r="4236" s="4" customFormat="1" x14ac:dyDescent="0.5"/>
    <row r="4237" s="4" customFormat="1" x14ac:dyDescent="0.5"/>
    <row r="4238" s="4" customFormat="1" x14ac:dyDescent="0.5"/>
    <row r="4239" s="4" customFormat="1" x14ac:dyDescent="0.5"/>
    <row r="4240" s="4" customFormat="1" x14ac:dyDescent="0.5"/>
    <row r="4241" s="4" customFormat="1" x14ac:dyDescent="0.5"/>
    <row r="4242" s="4" customFormat="1" x14ac:dyDescent="0.5"/>
    <row r="4243" s="4" customFormat="1" x14ac:dyDescent="0.5"/>
    <row r="4244" s="4" customFormat="1" x14ac:dyDescent="0.5"/>
    <row r="4245" s="4" customFormat="1" x14ac:dyDescent="0.5"/>
    <row r="4246" s="4" customFormat="1" x14ac:dyDescent="0.5"/>
    <row r="4247" s="4" customFormat="1" x14ac:dyDescent="0.5"/>
    <row r="4248" s="4" customFormat="1" x14ac:dyDescent="0.5"/>
    <row r="4249" s="4" customFormat="1" x14ac:dyDescent="0.5"/>
    <row r="4250" s="4" customFormat="1" x14ac:dyDescent="0.5"/>
    <row r="4251" s="4" customFormat="1" x14ac:dyDescent="0.5"/>
    <row r="4252" s="4" customFormat="1" x14ac:dyDescent="0.5"/>
    <row r="4253" s="4" customFormat="1" x14ac:dyDescent="0.5"/>
    <row r="4254" s="4" customFormat="1" x14ac:dyDescent="0.5"/>
    <row r="4255" s="4" customFormat="1" x14ac:dyDescent="0.5"/>
    <row r="4256" s="4" customFormat="1" x14ac:dyDescent="0.5"/>
    <row r="4257" s="4" customFormat="1" x14ac:dyDescent="0.5"/>
    <row r="4258" s="4" customFormat="1" x14ac:dyDescent="0.5"/>
    <row r="4259" s="4" customFormat="1" x14ac:dyDescent="0.5"/>
    <row r="4260" s="4" customFormat="1" x14ac:dyDescent="0.5"/>
    <row r="4261" s="4" customFormat="1" x14ac:dyDescent="0.5"/>
    <row r="4262" s="4" customFormat="1" x14ac:dyDescent="0.5"/>
    <row r="4263" s="4" customFormat="1" x14ac:dyDescent="0.5"/>
    <row r="4264" s="4" customFormat="1" x14ac:dyDescent="0.5"/>
    <row r="4265" s="4" customFormat="1" x14ac:dyDescent="0.5"/>
    <row r="4266" s="4" customFormat="1" x14ac:dyDescent="0.5"/>
    <row r="4267" s="4" customFormat="1" x14ac:dyDescent="0.5"/>
    <row r="4268" s="4" customFormat="1" x14ac:dyDescent="0.5"/>
    <row r="4269" s="4" customFormat="1" x14ac:dyDescent="0.5"/>
    <row r="4270" s="4" customFormat="1" x14ac:dyDescent="0.5"/>
    <row r="4271" s="4" customFormat="1" x14ac:dyDescent="0.5"/>
    <row r="4272" s="4" customFormat="1" x14ac:dyDescent="0.5"/>
    <row r="4273" s="4" customFormat="1" x14ac:dyDescent="0.5"/>
    <row r="4274" s="4" customFormat="1" x14ac:dyDescent="0.5"/>
    <row r="4275" s="4" customFormat="1" x14ac:dyDescent="0.5"/>
    <row r="4276" s="4" customFormat="1" x14ac:dyDescent="0.5"/>
    <row r="4277" s="4" customFormat="1" x14ac:dyDescent="0.5"/>
    <row r="4278" s="4" customFormat="1" x14ac:dyDescent="0.5"/>
    <row r="4279" s="4" customFormat="1" x14ac:dyDescent="0.5"/>
    <row r="4280" s="4" customFormat="1" x14ac:dyDescent="0.5"/>
    <row r="4281" s="4" customFormat="1" x14ac:dyDescent="0.5"/>
    <row r="4282" s="4" customFormat="1" x14ac:dyDescent="0.5"/>
    <row r="4283" s="4" customFormat="1" x14ac:dyDescent="0.5"/>
    <row r="4284" s="4" customFormat="1" x14ac:dyDescent="0.5"/>
    <row r="4285" s="4" customFormat="1" x14ac:dyDescent="0.5"/>
    <row r="4286" s="4" customFormat="1" x14ac:dyDescent="0.5"/>
    <row r="4287" s="4" customFormat="1" x14ac:dyDescent="0.5"/>
    <row r="4288" s="4" customFormat="1" x14ac:dyDescent="0.5"/>
    <row r="4289" s="4" customFormat="1" x14ac:dyDescent="0.5"/>
    <row r="4290" s="4" customFormat="1" x14ac:dyDescent="0.5"/>
    <row r="4291" s="4" customFormat="1" x14ac:dyDescent="0.5"/>
    <row r="4292" s="4" customFormat="1" x14ac:dyDescent="0.5"/>
    <row r="4293" s="4" customFormat="1" x14ac:dyDescent="0.5"/>
    <row r="4294" s="4" customFormat="1" x14ac:dyDescent="0.5"/>
    <row r="4295" s="4" customFormat="1" x14ac:dyDescent="0.5"/>
    <row r="4296" s="4" customFormat="1" x14ac:dyDescent="0.5"/>
    <row r="4297" s="4" customFormat="1" x14ac:dyDescent="0.5"/>
    <row r="4298" s="4" customFormat="1" x14ac:dyDescent="0.5"/>
    <row r="4299" s="4" customFormat="1" x14ac:dyDescent="0.5"/>
    <row r="4300" s="4" customFormat="1" x14ac:dyDescent="0.5"/>
    <row r="4301" s="4" customFormat="1" x14ac:dyDescent="0.5"/>
    <row r="4302" s="4" customFormat="1" x14ac:dyDescent="0.5"/>
    <row r="4303" s="4" customFormat="1" x14ac:dyDescent="0.5"/>
    <row r="4304" s="4" customFormat="1" x14ac:dyDescent="0.5"/>
    <row r="4305" s="4" customFormat="1" x14ac:dyDescent="0.5"/>
    <row r="4306" s="4" customFormat="1" x14ac:dyDescent="0.5"/>
    <row r="4307" s="4" customFormat="1" x14ac:dyDescent="0.5"/>
    <row r="4308" s="4" customFormat="1" x14ac:dyDescent="0.5"/>
    <row r="4309" s="4" customFormat="1" x14ac:dyDescent="0.5"/>
    <row r="4310" s="4" customFormat="1" x14ac:dyDescent="0.5"/>
    <row r="4311" s="4" customFormat="1" x14ac:dyDescent="0.5"/>
    <row r="4312" s="4" customFormat="1" x14ac:dyDescent="0.5"/>
    <row r="4313" s="4" customFormat="1" x14ac:dyDescent="0.5"/>
    <row r="4314" s="4" customFormat="1" x14ac:dyDescent="0.5"/>
    <row r="4315" s="4" customFormat="1" x14ac:dyDescent="0.5"/>
    <row r="4316" s="4" customFormat="1" x14ac:dyDescent="0.5"/>
    <row r="4317" s="4" customFormat="1" x14ac:dyDescent="0.5"/>
    <row r="4318" s="4" customFormat="1" x14ac:dyDescent="0.5"/>
    <row r="4319" s="4" customFormat="1" x14ac:dyDescent="0.5"/>
    <row r="4320" s="4" customFormat="1" x14ac:dyDescent="0.5"/>
    <row r="4321" s="4" customFormat="1" x14ac:dyDescent="0.5"/>
    <row r="4322" s="4" customFormat="1" x14ac:dyDescent="0.5"/>
    <row r="4323" s="4" customFormat="1" x14ac:dyDescent="0.5"/>
    <row r="4324" s="4" customFormat="1" x14ac:dyDescent="0.5"/>
    <row r="4325" s="4" customFormat="1" x14ac:dyDescent="0.5"/>
    <row r="4326" s="4" customFormat="1" x14ac:dyDescent="0.5"/>
    <row r="4327" s="4" customFormat="1" x14ac:dyDescent="0.5"/>
    <row r="4328" s="4" customFormat="1" x14ac:dyDescent="0.5"/>
    <row r="4329" s="4" customFormat="1" x14ac:dyDescent="0.5"/>
    <row r="4330" s="4" customFormat="1" x14ac:dyDescent="0.5"/>
    <row r="4331" s="4" customFormat="1" x14ac:dyDescent="0.5"/>
    <row r="4332" s="4" customFormat="1" x14ac:dyDescent="0.5"/>
    <row r="4333" s="4" customFormat="1" x14ac:dyDescent="0.5"/>
    <row r="4334" s="4" customFormat="1" x14ac:dyDescent="0.5"/>
    <row r="4335" s="4" customFormat="1" x14ac:dyDescent="0.5"/>
    <row r="4336" s="4" customFormat="1" x14ac:dyDescent="0.5"/>
    <row r="4337" s="4" customFormat="1" x14ac:dyDescent="0.5"/>
    <row r="4338" s="4" customFormat="1" x14ac:dyDescent="0.5"/>
    <row r="4339" s="4" customFormat="1" x14ac:dyDescent="0.5"/>
    <row r="4340" s="4" customFormat="1" x14ac:dyDescent="0.5"/>
    <row r="4341" s="4" customFormat="1" x14ac:dyDescent="0.5"/>
    <row r="4342" s="4" customFormat="1" x14ac:dyDescent="0.5"/>
    <row r="4343" s="4" customFormat="1" x14ac:dyDescent="0.5"/>
    <row r="4344" s="4" customFormat="1" x14ac:dyDescent="0.5"/>
    <row r="4345" s="4" customFormat="1" x14ac:dyDescent="0.5"/>
    <row r="4346" s="4" customFormat="1" x14ac:dyDescent="0.5"/>
    <row r="4347" s="4" customFormat="1" x14ac:dyDescent="0.5"/>
    <row r="4348" s="4" customFormat="1" x14ac:dyDescent="0.5"/>
    <row r="4349" s="4" customFormat="1" x14ac:dyDescent="0.5"/>
    <row r="4350" s="4" customFormat="1" x14ac:dyDescent="0.5"/>
    <row r="4351" s="4" customFormat="1" x14ac:dyDescent="0.5"/>
    <row r="4352" s="4" customFormat="1" x14ac:dyDescent="0.5"/>
    <row r="4353" s="4" customFormat="1" x14ac:dyDescent="0.5"/>
    <row r="4354" s="4" customFormat="1" x14ac:dyDescent="0.5"/>
    <row r="4355" s="4" customFormat="1" x14ac:dyDescent="0.5"/>
    <row r="4356" s="4" customFormat="1" x14ac:dyDescent="0.5"/>
    <row r="4357" s="4" customFormat="1" x14ac:dyDescent="0.5"/>
    <row r="4358" s="4" customFormat="1" x14ac:dyDescent="0.5"/>
    <row r="4359" s="4" customFormat="1" x14ac:dyDescent="0.5"/>
    <row r="4360" s="4" customFormat="1" x14ac:dyDescent="0.5"/>
    <row r="4361" s="4" customFormat="1" x14ac:dyDescent="0.5"/>
    <row r="4362" s="4" customFormat="1" x14ac:dyDescent="0.5"/>
    <row r="4363" s="4" customFormat="1" x14ac:dyDescent="0.5"/>
    <row r="4364" s="4" customFormat="1" x14ac:dyDescent="0.5"/>
    <row r="4365" s="4" customFormat="1" x14ac:dyDescent="0.5"/>
    <row r="4366" s="4" customFormat="1" x14ac:dyDescent="0.5"/>
    <row r="4367" s="4" customFormat="1" x14ac:dyDescent="0.5"/>
    <row r="4368" s="4" customFormat="1" x14ac:dyDescent="0.5"/>
    <row r="4369" s="4" customFormat="1" x14ac:dyDescent="0.5"/>
    <row r="4370" s="4" customFormat="1" x14ac:dyDescent="0.5"/>
    <row r="4371" s="4" customFormat="1" x14ac:dyDescent="0.5"/>
    <row r="4372" s="4" customFormat="1" x14ac:dyDescent="0.5"/>
    <row r="4373" s="4" customFormat="1" x14ac:dyDescent="0.5"/>
    <row r="4374" s="4" customFormat="1" x14ac:dyDescent="0.5"/>
    <row r="4375" s="4" customFormat="1" x14ac:dyDescent="0.5"/>
    <row r="4376" s="4" customFormat="1" x14ac:dyDescent="0.5"/>
    <row r="4377" s="4" customFormat="1" x14ac:dyDescent="0.5"/>
    <row r="4378" s="4" customFormat="1" x14ac:dyDescent="0.5"/>
    <row r="4379" s="4" customFormat="1" x14ac:dyDescent="0.5"/>
    <row r="4380" s="4" customFormat="1" x14ac:dyDescent="0.5"/>
    <row r="4381" s="4" customFormat="1" x14ac:dyDescent="0.5"/>
    <row r="4382" s="4" customFormat="1" x14ac:dyDescent="0.5"/>
    <row r="4383" s="4" customFormat="1" x14ac:dyDescent="0.5"/>
    <row r="4384" s="4" customFormat="1" x14ac:dyDescent="0.5"/>
    <row r="4385" s="4" customFormat="1" x14ac:dyDescent="0.5"/>
    <row r="4386" s="4" customFormat="1" x14ac:dyDescent="0.5"/>
    <row r="4387" s="4" customFormat="1" x14ac:dyDescent="0.5"/>
    <row r="4388" s="4" customFormat="1" x14ac:dyDescent="0.5"/>
    <row r="4389" s="4" customFormat="1" x14ac:dyDescent="0.5"/>
    <row r="4390" s="4" customFormat="1" x14ac:dyDescent="0.5"/>
    <row r="4391" s="4" customFormat="1" x14ac:dyDescent="0.5"/>
    <row r="4392" s="4" customFormat="1" x14ac:dyDescent="0.5"/>
    <row r="4393" s="4" customFormat="1" x14ac:dyDescent="0.5"/>
    <row r="4394" s="4" customFormat="1" x14ac:dyDescent="0.5"/>
    <row r="4395" s="4" customFormat="1" x14ac:dyDescent="0.5"/>
    <row r="4396" s="4" customFormat="1" x14ac:dyDescent="0.5"/>
    <row r="4397" s="4" customFormat="1" x14ac:dyDescent="0.5"/>
    <row r="4398" s="4" customFormat="1" x14ac:dyDescent="0.5"/>
    <row r="4399" s="4" customFormat="1" x14ac:dyDescent="0.5"/>
    <row r="4400" s="4" customFormat="1" x14ac:dyDescent="0.5"/>
    <row r="4401" s="4" customFormat="1" x14ac:dyDescent="0.5"/>
    <row r="4402" s="4" customFormat="1" x14ac:dyDescent="0.5"/>
    <row r="4403" s="4" customFormat="1" x14ac:dyDescent="0.5"/>
    <row r="4404" s="4" customFormat="1" x14ac:dyDescent="0.5"/>
    <row r="4405" s="4" customFormat="1" x14ac:dyDescent="0.5"/>
    <row r="4406" s="4" customFormat="1" x14ac:dyDescent="0.5"/>
    <row r="4407" s="4" customFormat="1" x14ac:dyDescent="0.5"/>
    <row r="4408" s="4" customFormat="1" x14ac:dyDescent="0.5"/>
    <row r="4409" s="4" customFormat="1" x14ac:dyDescent="0.5"/>
    <row r="4410" s="4" customFormat="1" x14ac:dyDescent="0.5"/>
    <row r="4411" s="4" customFormat="1" x14ac:dyDescent="0.5"/>
    <row r="4412" s="4" customFormat="1" x14ac:dyDescent="0.5"/>
    <row r="4413" s="4" customFormat="1" x14ac:dyDescent="0.5"/>
    <row r="4414" s="4" customFormat="1" x14ac:dyDescent="0.5"/>
    <row r="4415" s="4" customFormat="1" x14ac:dyDescent="0.5"/>
    <row r="4416" s="4" customFormat="1" x14ac:dyDescent="0.5"/>
    <row r="4417" s="4" customFormat="1" x14ac:dyDescent="0.5"/>
    <row r="4418" s="4" customFormat="1" x14ac:dyDescent="0.5"/>
    <row r="4419" s="4" customFormat="1" x14ac:dyDescent="0.5"/>
    <row r="4420" s="4" customFormat="1" x14ac:dyDescent="0.5"/>
    <row r="4421" s="4" customFormat="1" x14ac:dyDescent="0.5"/>
    <row r="4422" s="4" customFormat="1" x14ac:dyDescent="0.5"/>
    <row r="4423" s="4" customFormat="1" x14ac:dyDescent="0.5"/>
    <row r="4424" s="4" customFormat="1" x14ac:dyDescent="0.5"/>
    <row r="4425" s="4" customFormat="1" x14ac:dyDescent="0.5"/>
    <row r="4426" s="4" customFormat="1" x14ac:dyDescent="0.5"/>
    <row r="4427" s="4" customFormat="1" x14ac:dyDescent="0.5"/>
    <row r="4428" s="4" customFormat="1" x14ac:dyDescent="0.5"/>
    <row r="4429" s="4" customFormat="1" x14ac:dyDescent="0.5"/>
    <row r="4430" s="4" customFormat="1" x14ac:dyDescent="0.5"/>
    <row r="4431" s="4" customFormat="1" x14ac:dyDescent="0.5"/>
    <row r="4432" s="4" customFormat="1" x14ac:dyDescent="0.5"/>
    <row r="4433" s="4" customFormat="1" x14ac:dyDescent="0.5"/>
    <row r="4434" s="4" customFormat="1" x14ac:dyDescent="0.5"/>
    <row r="4435" s="4" customFormat="1" x14ac:dyDescent="0.5"/>
    <row r="4436" s="4" customFormat="1" x14ac:dyDescent="0.5"/>
    <row r="4437" s="4" customFormat="1" x14ac:dyDescent="0.5"/>
    <row r="4438" s="4" customFormat="1" x14ac:dyDescent="0.5"/>
    <row r="4439" s="4" customFormat="1" x14ac:dyDescent="0.5"/>
    <row r="4440" s="4" customFormat="1" x14ac:dyDescent="0.5"/>
    <row r="4441" s="4" customFormat="1" x14ac:dyDescent="0.5"/>
    <row r="4442" s="4" customFormat="1" x14ac:dyDescent="0.5"/>
    <row r="4443" s="4" customFormat="1" x14ac:dyDescent="0.5"/>
    <row r="4444" s="4" customFormat="1" x14ac:dyDescent="0.5"/>
    <row r="4445" s="4" customFormat="1" x14ac:dyDescent="0.5"/>
    <row r="4446" s="4" customFormat="1" x14ac:dyDescent="0.5"/>
    <row r="4447" s="4" customFormat="1" x14ac:dyDescent="0.5"/>
    <row r="4448" s="4" customFormat="1" x14ac:dyDescent="0.5"/>
    <row r="4449" s="4" customFormat="1" x14ac:dyDescent="0.5"/>
    <row r="4450" s="4" customFormat="1" x14ac:dyDescent="0.5"/>
    <row r="4451" s="4" customFormat="1" x14ac:dyDescent="0.5"/>
    <row r="4452" s="4" customFormat="1" x14ac:dyDescent="0.5"/>
    <row r="4453" s="4" customFormat="1" x14ac:dyDescent="0.5"/>
    <row r="4454" s="4" customFormat="1" x14ac:dyDescent="0.5"/>
    <row r="4455" s="4" customFormat="1" x14ac:dyDescent="0.5"/>
    <row r="4456" s="4" customFormat="1" x14ac:dyDescent="0.5"/>
    <row r="4457" s="4" customFormat="1" x14ac:dyDescent="0.5"/>
    <row r="4458" s="4" customFormat="1" x14ac:dyDescent="0.5"/>
    <row r="4459" s="4" customFormat="1" x14ac:dyDescent="0.5"/>
    <row r="4460" s="4" customFormat="1" x14ac:dyDescent="0.5"/>
    <row r="4461" s="4" customFormat="1" x14ac:dyDescent="0.5"/>
    <row r="4462" s="4" customFormat="1" x14ac:dyDescent="0.5"/>
    <row r="4463" s="4" customFormat="1" x14ac:dyDescent="0.5"/>
    <row r="4464" s="4" customFormat="1" x14ac:dyDescent="0.5"/>
    <row r="4465" s="4" customFormat="1" x14ac:dyDescent="0.5"/>
    <row r="4466" s="4" customFormat="1" x14ac:dyDescent="0.5"/>
    <row r="4467" s="4" customFormat="1" x14ac:dyDescent="0.5"/>
    <row r="4468" s="4" customFormat="1" x14ac:dyDescent="0.5"/>
    <row r="4469" s="4" customFormat="1" x14ac:dyDescent="0.5"/>
    <row r="4470" s="4" customFormat="1" x14ac:dyDescent="0.5"/>
    <row r="4471" s="4" customFormat="1" x14ac:dyDescent="0.5"/>
    <row r="4472" s="4" customFormat="1" x14ac:dyDescent="0.5"/>
    <row r="4473" s="4" customFormat="1" x14ac:dyDescent="0.5"/>
    <row r="4474" s="4" customFormat="1" x14ac:dyDescent="0.5"/>
    <row r="4475" s="4" customFormat="1" x14ac:dyDescent="0.5"/>
    <row r="4476" s="4" customFormat="1" x14ac:dyDescent="0.5"/>
    <row r="4477" s="4" customFormat="1" x14ac:dyDescent="0.5"/>
    <row r="4478" s="4" customFormat="1" x14ac:dyDescent="0.5"/>
    <row r="4479" s="4" customFormat="1" x14ac:dyDescent="0.5"/>
    <row r="4480" s="4" customFormat="1" x14ac:dyDescent="0.5"/>
    <row r="4481" s="4" customFormat="1" x14ac:dyDescent="0.5"/>
    <row r="4482" s="4" customFormat="1" x14ac:dyDescent="0.5"/>
    <row r="4483" s="4" customFormat="1" x14ac:dyDescent="0.5"/>
    <row r="4484" s="4" customFormat="1" x14ac:dyDescent="0.5"/>
    <row r="4485" s="4" customFormat="1" x14ac:dyDescent="0.5"/>
    <row r="4486" s="4" customFormat="1" x14ac:dyDescent="0.5"/>
    <row r="4487" s="4" customFormat="1" x14ac:dyDescent="0.5"/>
    <row r="4488" s="4" customFormat="1" x14ac:dyDescent="0.5"/>
    <row r="4489" s="4" customFormat="1" x14ac:dyDescent="0.5"/>
    <row r="4490" s="4" customFormat="1" x14ac:dyDescent="0.5"/>
    <row r="4491" s="4" customFormat="1" x14ac:dyDescent="0.5"/>
    <row r="4492" s="4" customFormat="1" x14ac:dyDescent="0.5"/>
    <row r="4493" s="4" customFormat="1" x14ac:dyDescent="0.5"/>
    <row r="4494" s="4" customFormat="1" x14ac:dyDescent="0.5"/>
    <row r="4495" s="4" customFormat="1" x14ac:dyDescent="0.5"/>
    <row r="4496" s="4" customFormat="1" x14ac:dyDescent="0.5"/>
    <row r="4497" s="4" customFormat="1" x14ac:dyDescent="0.5"/>
    <row r="4498" s="4" customFormat="1" x14ac:dyDescent="0.5"/>
    <row r="4499" s="4" customFormat="1" x14ac:dyDescent="0.5"/>
    <row r="4500" s="4" customFormat="1" x14ac:dyDescent="0.5"/>
    <row r="4501" s="4" customFormat="1" x14ac:dyDescent="0.5"/>
    <row r="4502" s="4" customFormat="1" x14ac:dyDescent="0.5"/>
    <row r="4503" s="4" customFormat="1" x14ac:dyDescent="0.5"/>
    <row r="4504" s="4" customFormat="1" x14ac:dyDescent="0.5"/>
    <row r="4505" s="4" customFormat="1" x14ac:dyDescent="0.5"/>
    <row r="4506" s="4" customFormat="1" x14ac:dyDescent="0.5"/>
    <row r="4507" s="4" customFormat="1" x14ac:dyDescent="0.5"/>
    <row r="4508" s="4" customFormat="1" x14ac:dyDescent="0.5"/>
    <row r="4509" s="4" customFormat="1" x14ac:dyDescent="0.5"/>
    <row r="4510" s="4" customFormat="1" x14ac:dyDescent="0.5"/>
    <row r="4511" s="4" customFormat="1" x14ac:dyDescent="0.5"/>
    <row r="4512" s="4" customFormat="1" x14ac:dyDescent="0.5"/>
    <row r="4513" s="4" customFormat="1" x14ac:dyDescent="0.5"/>
    <row r="4514" s="4" customFormat="1" x14ac:dyDescent="0.5"/>
    <row r="4515" s="4" customFormat="1" x14ac:dyDescent="0.5"/>
    <row r="4516" s="4" customFormat="1" x14ac:dyDescent="0.5"/>
    <row r="4517" s="4" customFormat="1" x14ac:dyDescent="0.5"/>
    <row r="4518" s="4" customFormat="1" x14ac:dyDescent="0.5"/>
    <row r="4519" s="4" customFormat="1" x14ac:dyDescent="0.5"/>
    <row r="4520" s="4" customFormat="1" x14ac:dyDescent="0.5"/>
    <row r="4521" s="4" customFormat="1" x14ac:dyDescent="0.5"/>
    <row r="4522" s="4" customFormat="1" x14ac:dyDescent="0.5"/>
    <row r="4523" s="4" customFormat="1" x14ac:dyDescent="0.5"/>
    <row r="4524" s="4" customFormat="1" x14ac:dyDescent="0.5"/>
    <row r="4525" s="4" customFormat="1" x14ac:dyDescent="0.5"/>
    <row r="4526" s="4" customFormat="1" x14ac:dyDescent="0.5"/>
    <row r="4527" s="4" customFormat="1" x14ac:dyDescent="0.5"/>
    <row r="4528" s="4" customFormat="1" x14ac:dyDescent="0.5"/>
    <row r="4529" s="4" customFormat="1" x14ac:dyDescent="0.5"/>
    <row r="4530" s="4" customFormat="1" x14ac:dyDescent="0.5"/>
    <row r="4531" s="4" customFormat="1" x14ac:dyDescent="0.5"/>
    <row r="4532" s="4" customFormat="1" x14ac:dyDescent="0.5"/>
    <row r="4533" s="4" customFormat="1" x14ac:dyDescent="0.5"/>
    <row r="4534" s="4" customFormat="1" x14ac:dyDescent="0.5"/>
    <row r="4535" s="4" customFormat="1" x14ac:dyDescent="0.5"/>
    <row r="4536" s="4" customFormat="1" x14ac:dyDescent="0.5"/>
    <row r="4537" s="4" customFormat="1" x14ac:dyDescent="0.5"/>
    <row r="4538" s="4" customFormat="1" x14ac:dyDescent="0.5"/>
    <row r="4539" s="4" customFormat="1" x14ac:dyDescent="0.5"/>
    <row r="4540" s="4" customFormat="1" x14ac:dyDescent="0.5"/>
    <row r="4541" s="4" customFormat="1" x14ac:dyDescent="0.5"/>
    <row r="4542" s="4" customFormat="1" x14ac:dyDescent="0.5"/>
    <row r="4543" s="4" customFormat="1" x14ac:dyDescent="0.5"/>
    <row r="4544" s="4" customFormat="1" x14ac:dyDescent="0.5"/>
    <row r="4545" s="4" customFormat="1" x14ac:dyDescent="0.5"/>
    <row r="4546" s="4" customFormat="1" x14ac:dyDescent="0.5"/>
    <row r="4547" s="4" customFormat="1" x14ac:dyDescent="0.5"/>
    <row r="4548" s="4" customFormat="1" x14ac:dyDescent="0.5"/>
    <row r="4549" s="4" customFormat="1" x14ac:dyDescent="0.5"/>
    <row r="4550" s="4" customFormat="1" x14ac:dyDescent="0.5"/>
    <row r="4551" s="4" customFormat="1" x14ac:dyDescent="0.5"/>
    <row r="4552" s="4" customFormat="1" x14ac:dyDescent="0.5"/>
    <row r="4553" s="4" customFormat="1" x14ac:dyDescent="0.5"/>
    <row r="4554" s="4" customFormat="1" x14ac:dyDescent="0.5"/>
    <row r="4555" s="4" customFormat="1" x14ac:dyDescent="0.5"/>
    <row r="4556" s="4" customFormat="1" x14ac:dyDescent="0.5"/>
    <row r="4557" s="4" customFormat="1" x14ac:dyDescent="0.5"/>
    <row r="4558" s="4" customFormat="1" x14ac:dyDescent="0.5"/>
    <row r="4559" s="4" customFormat="1" x14ac:dyDescent="0.5"/>
    <row r="4560" s="4" customFormat="1" x14ac:dyDescent="0.5"/>
    <row r="4561" s="4" customFormat="1" x14ac:dyDescent="0.5"/>
    <row r="4562" s="4" customFormat="1" x14ac:dyDescent="0.5"/>
    <row r="4563" s="4" customFormat="1" x14ac:dyDescent="0.5"/>
    <row r="4564" s="4" customFormat="1" x14ac:dyDescent="0.5"/>
    <row r="4565" s="4" customFormat="1" x14ac:dyDescent="0.5"/>
    <row r="4566" s="4" customFormat="1" x14ac:dyDescent="0.5"/>
    <row r="4567" s="4" customFormat="1" x14ac:dyDescent="0.5"/>
    <row r="4568" s="4" customFormat="1" x14ac:dyDescent="0.5"/>
    <row r="4569" s="4" customFormat="1" x14ac:dyDescent="0.5"/>
    <row r="4570" s="4" customFormat="1" x14ac:dyDescent="0.5"/>
    <row r="4571" s="4" customFormat="1" x14ac:dyDescent="0.5"/>
    <row r="4572" s="4" customFormat="1" x14ac:dyDescent="0.5"/>
    <row r="4573" s="4" customFormat="1" x14ac:dyDescent="0.5"/>
    <row r="4574" s="4" customFormat="1" x14ac:dyDescent="0.5"/>
    <row r="4575" s="4" customFormat="1" x14ac:dyDescent="0.5"/>
    <row r="4576" s="4" customFormat="1" x14ac:dyDescent="0.5"/>
    <row r="4577" s="4" customFormat="1" x14ac:dyDescent="0.5"/>
    <row r="4578" s="4" customFormat="1" x14ac:dyDescent="0.5"/>
    <row r="4579" s="4" customFormat="1" x14ac:dyDescent="0.5"/>
    <row r="4580" s="4" customFormat="1" x14ac:dyDescent="0.5"/>
    <row r="4581" s="4" customFormat="1" x14ac:dyDescent="0.5"/>
    <row r="4582" s="4" customFormat="1" x14ac:dyDescent="0.5"/>
    <row r="4583" s="4" customFormat="1" x14ac:dyDescent="0.5"/>
    <row r="4584" s="4" customFormat="1" x14ac:dyDescent="0.5"/>
    <row r="4585" s="4" customFormat="1" x14ac:dyDescent="0.5"/>
    <row r="4586" s="4" customFormat="1" x14ac:dyDescent="0.5"/>
    <row r="4587" s="4" customFormat="1" x14ac:dyDescent="0.5"/>
    <row r="4588" s="4" customFormat="1" x14ac:dyDescent="0.5"/>
    <row r="4589" s="4" customFormat="1" x14ac:dyDescent="0.5"/>
    <row r="4590" s="4" customFormat="1" x14ac:dyDescent="0.5"/>
    <row r="4591" s="4" customFormat="1" x14ac:dyDescent="0.5"/>
    <row r="4592" s="4" customFormat="1" x14ac:dyDescent="0.5"/>
    <row r="4593" s="4" customFormat="1" x14ac:dyDescent="0.5"/>
    <row r="4594" s="4" customFormat="1" x14ac:dyDescent="0.5"/>
    <row r="4595" s="4" customFormat="1" x14ac:dyDescent="0.5"/>
    <row r="4596" s="4" customFormat="1" x14ac:dyDescent="0.5"/>
    <row r="4597" s="4" customFormat="1" x14ac:dyDescent="0.5"/>
    <row r="4598" s="4" customFormat="1" x14ac:dyDescent="0.5"/>
    <row r="4599" s="4" customFormat="1" x14ac:dyDescent="0.5"/>
    <row r="4600" s="4" customFormat="1" x14ac:dyDescent="0.5"/>
    <row r="4601" s="4" customFormat="1" x14ac:dyDescent="0.5"/>
    <row r="4602" s="4" customFormat="1" x14ac:dyDescent="0.5"/>
    <row r="4603" s="4" customFormat="1" x14ac:dyDescent="0.5"/>
    <row r="4604" s="4" customFormat="1" x14ac:dyDescent="0.5"/>
    <row r="4605" s="4" customFormat="1" x14ac:dyDescent="0.5"/>
    <row r="4606" s="4" customFormat="1" x14ac:dyDescent="0.5"/>
    <row r="4607" s="4" customFormat="1" x14ac:dyDescent="0.5"/>
    <row r="4608" s="4" customFormat="1" x14ac:dyDescent="0.5"/>
    <row r="4609" s="4" customFormat="1" x14ac:dyDescent="0.5"/>
    <row r="4610" s="4" customFormat="1" x14ac:dyDescent="0.5"/>
    <row r="4611" s="4" customFormat="1" x14ac:dyDescent="0.5"/>
    <row r="4612" s="4" customFormat="1" x14ac:dyDescent="0.5"/>
    <row r="4613" s="4" customFormat="1" x14ac:dyDescent="0.5"/>
    <row r="4614" s="4" customFormat="1" x14ac:dyDescent="0.5"/>
    <row r="4615" s="4" customFormat="1" x14ac:dyDescent="0.5"/>
    <row r="4616" s="4" customFormat="1" x14ac:dyDescent="0.5"/>
    <row r="4617" s="4" customFormat="1" x14ac:dyDescent="0.5"/>
    <row r="4618" s="4" customFormat="1" x14ac:dyDescent="0.5"/>
    <row r="4619" s="4" customFormat="1" x14ac:dyDescent="0.5"/>
    <row r="4620" s="4" customFormat="1" x14ac:dyDescent="0.5"/>
    <row r="4621" s="4" customFormat="1" x14ac:dyDescent="0.5"/>
    <row r="4622" s="4" customFormat="1" x14ac:dyDescent="0.5"/>
    <row r="4623" s="4" customFormat="1" x14ac:dyDescent="0.5"/>
    <row r="4624" s="4" customFormat="1" x14ac:dyDescent="0.5"/>
    <row r="4625" s="4" customFormat="1" x14ac:dyDescent="0.5"/>
    <row r="4626" s="4" customFormat="1" x14ac:dyDescent="0.5"/>
    <row r="4627" s="4" customFormat="1" x14ac:dyDescent="0.5"/>
    <row r="4628" s="4" customFormat="1" x14ac:dyDescent="0.5"/>
    <row r="4629" s="4" customFormat="1" x14ac:dyDescent="0.5"/>
    <row r="4630" s="4" customFormat="1" x14ac:dyDescent="0.5"/>
    <row r="4631" s="4" customFormat="1" x14ac:dyDescent="0.5"/>
    <row r="4632" s="4" customFormat="1" x14ac:dyDescent="0.5"/>
    <row r="4633" s="4" customFormat="1" x14ac:dyDescent="0.5"/>
    <row r="4634" s="4" customFormat="1" x14ac:dyDescent="0.5"/>
    <row r="4635" s="4" customFormat="1" x14ac:dyDescent="0.5"/>
    <row r="4636" s="4" customFormat="1" x14ac:dyDescent="0.5"/>
    <row r="4637" s="4" customFormat="1" x14ac:dyDescent="0.5"/>
    <row r="4638" s="4" customFormat="1" x14ac:dyDescent="0.5"/>
    <row r="4639" s="4" customFormat="1" x14ac:dyDescent="0.5"/>
    <row r="4640" s="4" customFormat="1" x14ac:dyDescent="0.5"/>
    <row r="4641" s="4" customFormat="1" x14ac:dyDescent="0.5"/>
    <row r="4642" s="4" customFormat="1" x14ac:dyDescent="0.5"/>
    <row r="4643" s="4" customFormat="1" x14ac:dyDescent="0.5"/>
    <row r="4644" s="4" customFormat="1" x14ac:dyDescent="0.5"/>
    <row r="4645" s="4" customFormat="1" x14ac:dyDescent="0.5"/>
    <row r="4646" s="4" customFormat="1" x14ac:dyDescent="0.5"/>
    <row r="4647" s="4" customFormat="1" x14ac:dyDescent="0.5"/>
    <row r="4648" s="4" customFormat="1" x14ac:dyDescent="0.5"/>
    <row r="4649" s="4" customFormat="1" x14ac:dyDescent="0.5"/>
    <row r="4650" s="4" customFormat="1" x14ac:dyDescent="0.5"/>
    <row r="4651" s="4" customFormat="1" x14ac:dyDescent="0.5"/>
    <row r="4652" s="4" customFormat="1" x14ac:dyDescent="0.5"/>
    <row r="4653" s="4" customFormat="1" x14ac:dyDescent="0.5"/>
    <row r="4654" s="4" customFormat="1" x14ac:dyDescent="0.5"/>
    <row r="4655" s="4" customFormat="1" x14ac:dyDescent="0.5"/>
    <row r="4656" s="4" customFormat="1" x14ac:dyDescent="0.5"/>
    <row r="4657" s="4" customFormat="1" x14ac:dyDescent="0.5"/>
    <row r="4658" s="4" customFormat="1" x14ac:dyDescent="0.5"/>
    <row r="4659" s="4" customFormat="1" x14ac:dyDescent="0.5"/>
    <row r="4660" s="4" customFormat="1" x14ac:dyDescent="0.5"/>
    <row r="4661" s="4" customFormat="1" x14ac:dyDescent="0.5"/>
    <row r="4662" s="4" customFormat="1" x14ac:dyDescent="0.5"/>
    <row r="4663" s="4" customFormat="1" x14ac:dyDescent="0.5"/>
    <row r="4664" s="4" customFormat="1" x14ac:dyDescent="0.5"/>
    <row r="4665" s="4" customFormat="1" x14ac:dyDescent="0.5"/>
    <row r="4666" s="4" customFormat="1" x14ac:dyDescent="0.5"/>
    <row r="4667" s="4" customFormat="1" x14ac:dyDescent="0.5"/>
    <row r="4668" s="4" customFormat="1" x14ac:dyDescent="0.5"/>
    <row r="4669" s="4" customFormat="1" x14ac:dyDescent="0.5"/>
    <row r="4670" s="4" customFormat="1" x14ac:dyDescent="0.5"/>
    <row r="4671" s="4" customFormat="1" x14ac:dyDescent="0.5"/>
    <row r="4672" s="4" customFormat="1" x14ac:dyDescent="0.5"/>
    <row r="4673" s="4" customFormat="1" x14ac:dyDescent="0.5"/>
    <row r="4674" s="4" customFormat="1" x14ac:dyDescent="0.5"/>
    <row r="4675" s="4" customFormat="1" x14ac:dyDescent="0.5"/>
    <row r="4676" s="4" customFormat="1" x14ac:dyDescent="0.5"/>
    <row r="4677" s="4" customFormat="1" x14ac:dyDescent="0.5"/>
    <row r="4678" s="4" customFormat="1" x14ac:dyDescent="0.5"/>
    <row r="4679" s="4" customFormat="1" x14ac:dyDescent="0.5"/>
    <row r="4680" s="4" customFormat="1" x14ac:dyDescent="0.5"/>
    <row r="4681" s="4" customFormat="1" x14ac:dyDescent="0.5"/>
    <row r="4682" s="4" customFormat="1" x14ac:dyDescent="0.5"/>
    <row r="4683" s="4" customFormat="1" x14ac:dyDescent="0.5"/>
    <row r="4684" s="4" customFormat="1" x14ac:dyDescent="0.5"/>
    <row r="4685" s="4" customFormat="1" x14ac:dyDescent="0.5"/>
    <row r="4686" s="4" customFormat="1" x14ac:dyDescent="0.5"/>
    <row r="4687" s="4" customFormat="1" x14ac:dyDescent="0.5"/>
    <row r="4688" s="4" customFormat="1" x14ac:dyDescent="0.5"/>
    <row r="4689" s="4" customFormat="1" x14ac:dyDescent="0.5"/>
    <row r="4690" s="4" customFormat="1" x14ac:dyDescent="0.5"/>
    <row r="4691" s="4" customFormat="1" x14ac:dyDescent="0.5"/>
    <row r="4692" s="4" customFormat="1" x14ac:dyDescent="0.5"/>
    <row r="4693" s="4" customFormat="1" x14ac:dyDescent="0.5"/>
    <row r="4694" s="4" customFormat="1" x14ac:dyDescent="0.5"/>
    <row r="4695" s="4" customFormat="1" x14ac:dyDescent="0.5"/>
    <row r="4696" s="4" customFormat="1" x14ac:dyDescent="0.5"/>
    <row r="4697" s="4" customFormat="1" x14ac:dyDescent="0.5"/>
    <row r="4698" s="4" customFormat="1" x14ac:dyDescent="0.5"/>
    <row r="4699" s="4" customFormat="1" x14ac:dyDescent="0.5"/>
    <row r="4700" s="4" customFormat="1" x14ac:dyDescent="0.5"/>
    <row r="4701" s="4" customFormat="1" x14ac:dyDescent="0.5"/>
    <row r="4702" s="4" customFormat="1" x14ac:dyDescent="0.5"/>
    <row r="4703" s="4" customFormat="1" x14ac:dyDescent="0.5"/>
    <row r="4704" s="4" customFormat="1" x14ac:dyDescent="0.5"/>
    <row r="4705" s="4" customFormat="1" x14ac:dyDescent="0.5"/>
    <row r="4706" s="4" customFormat="1" x14ac:dyDescent="0.5"/>
    <row r="4707" s="4" customFormat="1" x14ac:dyDescent="0.5"/>
    <row r="4708" s="4" customFormat="1" x14ac:dyDescent="0.5"/>
    <row r="4709" s="4" customFormat="1" x14ac:dyDescent="0.5"/>
    <row r="4710" s="4" customFormat="1" x14ac:dyDescent="0.5"/>
    <row r="4711" s="4" customFormat="1" x14ac:dyDescent="0.5"/>
    <row r="4712" s="4" customFormat="1" x14ac:dyDescent="0.5"/>
    <row r="4713" s="4" customFormat="1" x14ac:dyDescent="0.5"/>
    <row r="4714" s="4" customFormat="1" x14ac:dyDescent="0.5"/>
    <row r="4715" s="4" customFormat="1" x14ac:dyDescent="0.5"/>
    <row r="4716" s="4" customFormat="1" x14ac:dyDescent="0.5"/>
    <row r="4717" s="4" customFormat="1" x14ac:dyDescent="0.5"/>
    <row r="4718" s="4" customFormat="1" x14ac:dyDescent="0.5"/>
    <row r="4719" s="4" customFormat="1" x14ac:dyDescent="0.5"/>
    <row r="4720" s="4" customFormat="1" x14ac:dyDescent="0.5"/>
    <row r="4721" s="4" customFormat="1" x14ac:dyDescent="0.5"/>
    <row r="4722" s="4" customFormat="1" x14ac:dyDescent="0.5"/>
    <row r="4723" s="4" customFormat="1" x14ac:dyDescent="0.5"/>
    <row r="4724" s="4" customFormat="1" x14ac:dyDescent="0.5"/>
    <row r="4725" s="4" customFormat="1" x14ac:dyDescent="0.5"/>
    <row r="4726" s="4" customFormat="1" x14ac:dyDescent="0.5"/>
    <row r="4727" s="4" customFormat="1" x14ac:dyDescent="0.5"/>
    <row r="4728" s="4" customFormat="1" x14ac:dyDescent="0.5"/>
    <row r="4729" s="4" customFormat="1" x14ac:dyDescent="0.5"/>
    <row r="4730" s="4" customFormat="1" x14ac:dyDescent="0.5"/>
    <row r="4731" s="4" customFormat="1" x14ac:dyDescent="0.5"/>
    <row r="4732" s="4" customFormat="1" x14ac:dyDescent="0.5"/>
    <row r="4733" s="4" customFormat="1" x14ac:dyDescent="0.5"/>
    <row r="4734" s="4" customFormat="1" x14ac:dyDescent="0.5"/>
    <row r="4735" s="4" customFormat="1" x14ac:dyDescent="0.5"/>
    <row r="4736" s="4" customFormat="1" x14ac:dyDescent="0.5"/>
    <row r="4737" s="4" customFormat="1" x14ac:dyDescent="0.5"/>
    <row r="4738" s="4" customFormat="1" x14ac:dyDescent="0.5"/>
    <row r="4739" s="4" customFormat="1" x14ac:dyDescent="0.5"/>
    <row r="4740" s="4" customFormat="1" x14ac:dyDescent="0.5"/>
    <row r="4741" s="4" customFormat="1" x14ac:dyDescent="0.5"/>
    <row r="4742" s="4" customFormat="1" x14ac:dyDescent="0.5"/>
    <row r="4743" s="4" customFormat="1" x14ac:dyDescent="0.5"/>
    <row r="4744" s="4" customFormat="1" x14ac:dyDescent="0.5"/>
    <row r="4745" s="4" customFormat="1" x14ac:dyDescent="0.5"/>
    <row r="4746" s="4" customFormat="1" x14ac:dyDescent="0.5"/>
    <row r="4747" s="4" customFormat="1" x14ac:dyDescent="0.5"/>
    <row r="4748" s="4" customFormat="1" x14ac:dyDescent="0.5"/>
    <row r="4749" s="4" customFormat="1" x14ac:dyDescent="0.5"/>
    <row r="4750" s="4" customFormat="1" x14ac:dyDescent="0.5"/>
    <row r="4751" s="4" customFormat="1" x14ac:dyDescent="0.5"/>
    <row r="4752" s="4" customFormat="1" x14ac:dyDescent="0.5"/>
    <row r="4753" s="4" customFormat="1" x14ac:dyDescent="0.5"/>
    <row r="4754" s="4" customFormat="1" x14ac:dyDescent="0.5"/>
    <row r="4755" s="4" customFormat="1" x14ac:dyDescent="0.5"/>
    <row r="4756" s="4" customFormat="1" x14ac:dyDescent="0.5"/>
    <row r="4757" s="4" customFormat="1" x14ac:dyDescent="0.5"/>
    <row r="4758" s="4" customFormat="1" x14ac:dyDescent="0.5"/>
    <row r="4759" s="4" customFormat="1" x14ac:dyDescent="0.5"/>
    <row r="4760" s="4" customFormat="1" x14ac:dyDescent="0.5"/>
    <row r="4761" s="4" customFormat="1" x14ac:dyDescent="0.5"/>
    <row r="4762" s="4" customFormat="1" x14ac:dyDescent="0.5"/>
    <row r="4763" s="4" customFormat="1" x14ac:dyDescent="0.5"/>
    <row r="4764" s="4" customFormat="1" x14ac:dyDescent="0.5"/>
    <row r="4765" s="4" customFormat="1" x14ac:dyDescent="0.5"/>
    <row r="4766" s="4" customFormat="1" x14ac:dyDescent="0.5"/>
    <row r="4767" s="4" customFormat="1" x14ac:dyDescent="0.5"/>
    <row r="4768" s="4" customFormat="1" x14ac:dyDescent="0.5"/>
    <row r="4769" s="4" customFormat="1" x14ac:dyDescent="0.5"/>
    <row r="4770" s="4" customFormat="1" x14ac:dyDescent="0.5"/>
    <row r="4771" s="4" customFormat="1" x14ac:dyDescent="0.5"/>
    <row r="4772" s="4" customFormat="1" x14ac:dyDescent="0.5"/>
    <row r="4773" s="4" customFormat="1" x14ac:dyDescent="0.5"/>
    <row r="4774" s="4" customFormat="1" x14ac:dyDescent="0.5"/>
    <row r="4775" s="4" customFormat="1" x14ac:dyDescent="0.5"/>
    <row r="4776" s="4" customFormat="1" x14ac:dyDescent="0.5"/>
    <row r="4777" s="4" customFormat="1" x14ac:dyDescent="0.5"/>
    <row r="4778" s="4" customFormat="1" x14ac:dyDescent="0.5"/>
    <row r="4779" s="4" customFormat="1" x14ac:dyDescent="0.5"/>
    <row r="4780" s="4" customFormat="1" x14ac:dyDescent="0.5"/>
    <row r="4781" s="4" customFormat="1" x14ac:dyDescent="0.5"/>
    <row r="4782" s="4" customFormat="1" x14ac:dyDescent="0.5"/>
    <row r="4783" s="4" customFormat="1" x14ac:dyDescent="0.5"/>
    <row r="4784" s="4" customFormat="1" x14ac:dyDescent="0.5"/>
    <row r="4785" s="4" customFormat="1" x14ac:dyDescent="0.5"/>
    <row r="4786" s="4" customFormat="1" x14ac:dyDescent="0.5"/>
    <row r="4787" s="4" customFormat="1" x14ac:dyDescent="0.5"/>
    <row r="4788" s="4" customFormat="1" x14ac:dyDescent="0.5"/>
    <row r="4789" s="4" customFormat="1" x14ac:dyDescent="0.5"/>
    <row r="4790" s="4" customFormat="1" x14ac:dyDescent="0.5"/>
    <row r="4791" s="4" customFormat="1" x14ac:dyDescent="0.5"/>
    <row r="4792" s="4" customFormat="1" x14ac:dyDescent="0.5"/>
    <row r="4793" s="4" customFormat="1" x14ac:dyDescent="0.5"/>
    <row r="4794" s="4" customFormat="1" x14ac:dyDescent="0.5"/>
    <row r="4795" s="4" customFormat="1" x14ac:dyDescent="0.5"/>
    <row r="4796" s="4" customFormat="1" x14ac:dyDescent="0.5"/>
    <row r="4797" s="4" customFormat="1" x14ac:dyDescent="0.5"/>
    <row r="4798" s="4" customFormat="1" x14ac:dyDescent="0.5"/>
    <row r="4799" s="4" customFormat="1" x14ac:dyDescent="0.5"/>
    <row r="4800" s="4" customFormat="1" x14ac:dyDescent="0.5"/>
    <row r="4801" s="4" customFormat="1" x14ac:dyDescent="0.5"/>
    <row r="4802" s="4" customFormat="1" x14ac:dyDescent="0.5"/>
    <row r="4803" s="4" customFormat="1" x14ac:dyDescent="0.5"/>
    <row r="4804" s="4" customFormat="1" x14ac:dyDescent="0.5"/>
    <row r="4805" s="4" customFormat="1" x14ac:dyDescent="0.5"/>
    <row r="4806" s="4" customFormat="1" x14ac:dyDescent="0.5"/>
    <row r="4807" s="4" customFormat="1" x14ac:dyDescent="0.5"/>
    <row r="4808" s="4" customFormat="1" x14ac:dyDescent="0.5"/>
    <row r="4809" s="4" customFormat="1" x14ac:dyDescent="0.5"/>
    <row r="4810" s="4" customFormat="1" x14ac:dyDescent="0.5"/>
    <row r="4811" s="4" customFormat="1" x14ac:dyDescent="0.5"/>
    <row r="4812" s="4" customFormat="1" x14ac:dyDescent="0.5"/>
    <row r="4813" s="4" customFormat="1" x14ac:dyDescent="0.5"/>
    <row r="4814" s="4" customFormat="1" x14ac:dyDescent="0.5"/>
    <row r="4815" s="4" customFormat="1" x14ac:dyDescent="0.5"/>
    <row r="4816" s="4" customFormat="1" x14ac:dyDescent="0.5"/>
    <row r="4817" s="4" customFormat="1" x14ac:dyDescent="0.5"/>
    <row r="4818" s="4" customFormat="1" x14ac:dyDescent="0.5"/>
    <row r="4819" s="4" customFormat="1" x14ac:dyDescent="0.5"/>
    <row r="4820" s="4" customFormat="1" x14ac:dyDescent="0.5"/>
    <row r="4821" s="4" customFormat="1" x14ac:dyDescent="0.5"/>
    <row r="4822" s="4" customFormat="1" x14ac:dyDescent="0.5"/>
    <row r="4823" s="4" customFormat="1" x14ac:dyDescent="0.5"/>
    <row r="4824" s="4" customFormat="1" x14ac:dyDescent="0.5"/>
    <row r="4825" s="4" customFormat="1" x14ac:dyDescent="0.5"/>
    <row r="4826" s="4" customFormat="1" x14ac:dyDescent="0.5"/>
    <row r="4827" s="4" customFormat="1" x14ac:dyDescent="0.5"/>
    <row r="4828" s="4" customFormat="1" x14ac:dyDescent="0.5"/>
    <row r="4829" s="4" customFormat="1" x14ac:dyDescent="0.5"/>
    <row r="4830" s="4" customFormat="1" x14ac:dyDescent="0.5"/>
    <row r="4831" s="4" customFormat="1" x14ac:dyDescent="0.5"/>
    <row r="4832" s="4" customFormat="1" x14ac:dyDescent="0.5"/>
    <row r="4833" s="4" customFormat="1" x14ac:dyDescent="0.5"/>
    <row r="4834" s="4" customFormat="1" x14ac:dyDescent="0.5"/>
    <row r="4835" s="4" customFormat="1" x14ac:dyDescent="0.5"/>
    <row r="4836" s="4" customFormat="1" x14ac:dyDescent="0.5"/>
    <row r="4837" s="4" customFormat="1" x14ac:dyDescent="0.5"/>
    <row r="4838" s="4" customFormat="1" x14ac:dyDescent="0.5"/>
    <row r="4839" s="4" customFormat="1" x14ac:dyDescent="0.5"/>
    <row r="4840" s="4" customFormat="1" x14ac:dyDescent="0.5"/>
    <row r="4841" s="4" customFormat="1" x14ac:dyDescent="0.5"/>
    <row r="4842" s="4" customFormat="1" x14ac:dyDescent="0.5"/>
    <row r="4843" s="4" customFormat="1" x14ac:dyDescent="0.5"/>
    <row r="4844" s="4" customFormat="1" x14ac:dyDescent="0.5"/>
    <row r="4845" s="4" customFormat="1" x14ac:dyDescent="0.5"/>
    <row r="4846" s="4" customFormat="1" x14ac:dyDescent="0.5"/>
    <row r="4847" s="4" customFormat="1" x14ac:dyDescent="0.5"/>
    <row r="4848" s="4" customFormat="1" x14ac:dyDescent="0.5"/>
    <row r="4849" s="4" customFormat="1" x14ac:dyDescent="0.5"/>
    <row r="4850" s="4" customFormat="1" x14ac:dyDescent="0.5"/>
    <row r="4851" s="4" customFormat="1" x14ac:dyDescent="0.5"/>
    <row r="4852" s="4" customFormat="1" x14ac:dyDescent="0.5"/>
    <row r="4853" s="4" customFormat="1" x14ac:dyDescent="0.5"/>
    <row r="4854" s="4" customFormat="1" x14ac:dyDescent="0.5"/>
    <row r="4855" s="4" customFormat="1" x14ac:dyDescent="0.5"/>
    <row r="4856" s="4" customFormat="1" x14ac:dyDescent="0.5"/>
    <row r="4857" s="4" customFormat="1" x14ac:dyDescent="0.5"/>
    <row r="4858" s="4" customFormat="1" x14ac:dyDescent="0.5"/>
    <row r="4859" s="4" customFormat="1" x14ac:dyDescent="0.5"/>
    <row r="4860" s="4" customFormat="1" x14ac:dyDescent="0.5"/>
    <row r="4861" s="4" customFormat="1" x14ac:dyDescent="0.5"/>
    <row r="4862" s="4" customFormat="1" x14ac:dyDescent="0.5"/>
    <row r="4863" s="4" customFormat="1" x14ac:dyDescent="0.5"/>
    <row r="4864" s="4" customFormat="1" x14ac:dyDescent="0.5"/>
    <row r="4865" s="4" customFormat="1" x14ac:dyDescent="0.5"/>
    <row r="4866" s="4" customFormat="1" x14ac:dyDescent="0.5"/>
    <row r="4867" s="4" customFormat="1" x14ac:dyDescent="0.5"/>
    <row r="4868" s="4" customFormat="1" x14ac:dyDescent="0.5"/>
    <row r="4869" s="4" customFormat="1" x14ac:dyDescent="0.5"/>
    <row r="4870" s="4" customFormat="1" x14ac:dyDescent="0.5"/>
    <row r="4871" s="4" customFormat="1" x14ac:dyDescent="0.5"/>
    <row r="4872" s="4" customFormat="1" x14ac:dyDescent="0.5"/>
    <row r="4873" s="4" customFormat="1" x14ac:dyDescent="0.5"/>
    <row r="4874" s="4" customFormat="1" x14ac:dyDescent="0.5"/>
    <row r="4875" s="4" customFormat="1" x14ac:dyDescent="0.5"/>
    <row r="4876" s="4" customFormat="1" x14ac:dyDescent="0.5"/>
    <row r="4877" s="4" customFormat="1" x14ac:dyDescent="0.5"/>
    <row r="4878" s="4" customFormat="1" x14ac:dyDescent="0.5"/>
    <row r="4879" s="4" customFormat="1" x14ac:dyDescent="0.5"/>
    <row r="4880" s="4" customFormat="1" x14ac:dyDescent="0.5"/>
    <row r="4881" s="4" customFormat="1" x14ac:dyDescent="0.5"/>
    <row r="4882" s="4" customFormat="1" x14ac:dyDescent="0.5"/>
    <row r="4883" s="4" customFormat="1" x14ac:dyDescent="0.5"/>
    <row r="4884" s="4" customFormat="1" x14ac:dyDescent="0.5"/>
    <row r="4885" s="4" customFormat="1" x14ac:dyDescent="0.5"/>
    <row r="4886" s="4" customFormat="1" x14ac:dyDescent="0.5"/>
    <row r="4887" s="4" customFormat="1" x14ac:dyDescent="0.5"/>
    <row r="4888" s="4" customFormat="1" x14ac:dyDescent="0.5"/>
    <row r="4889" s="4" customFormat="1" x14ac:dyDescent="0.5"/>
    <row r="4890" s="4" customFormat="1" x14ac:dyDescent="0.5"/>
    <row r="4891" s="4" customFormat="1" x14ac:dyDescent="0.5"/>
    <row r="4892" s="4" customFormat="1" x14ac:dyDescent="0.5"/>
    <row r="4893" s="4" customFormat="1" x14ac:dyDescent="0.5"/>
    <row r="4894" s="4" customFormat="1" x14ac:dyDescent="0.5"/>
    <row r="4895" s="4" customFormat="1" x14ac:dyDescent="0.5"/>
    <row r="4896" s="4" customFormat="1" x14ac:dyDescent="0.5"/>
    <row r="4897" s="4" customFormat="1" x14ac:dyDescent="0.5"/>
    <row r="4898" s="4" customFormat="1" x14ac:dyDescent="0.5"/>
    <row r="4899" s="4" customFormat="1" x14ac:dyDescent="0.5"/>
    <row r="4900" s="4" customFormat="1" x14ac:dyDescent="0.5"/>
    <row r="4901" s="4" customFormat="1" x14ac:dyDescent="0.5"/>
    <row r="4902" s="4" customFormat="1" x14ac:dyDescent="0.5"/>
    <row r="4903" s="4" customFormat="1" x14ac:dyDescent="0.5"/>
    <row r="4904" s="4" customFormat="1" x14ac:dyDescent="0.5"/>
    <row r="4905" s="4" customFormat="1" x14ac:dyDescent="0.5"/>
    <row r="4906" s="4" customFormat="1" x14ac:dyDescent="0.5"/>
    <row r="4907" s="4" customFormat="1" x14ac:dyDescent="0.5"/>
    <row r="4908" s="4" customFormat="1" x14ac:dyDescent="0.5"/>
    <row r="4909" s="4" customFormat="1" x14ac:dyDescent="0.5"/>
    <row r="4910" s="4" customFormat="1" x14ac:dyDescent="0.5"/>
    <row r="4911" s="4" customFormat="1" x14ac:dyDescent="0.5"/>
    <row r="4912" s="4" customFormat="1" x14ac:dyDescent="0.5"/>
    <row r="4913" s="4" customFormat="1" x14ac:dyDescent="0.5"/>
    <row r="4914" s="4" customFormat="1" x14ac:dyDescent="0.5"/>
    <row r="4915" s="4" customFormat="1" x14ac:dyDescent="0.5"/>
    <row r="4916" s="4" customFormat="1" x14ac:dyDescent="0.5"/>
    <row r="4917" s="4" customFormat="1" x14ac:dyDescent="0.5"/>
    <row r="4918" s="4" customFormat="1" x14ac:dyDescent="0.5"/>
    <row r="4919" s="4" customFormat="1" x14ac:dyDescent="0.5"/>
    <row r="4920" s="4" customFormat="1" x14ac:dyDescent="0.5"/>
    <row r="4921" s="4" customFormat="1" x14ac:dyDescent="0.5"/>
    <row r="4922" s="4" customFormat="1" x14ac:dyDescent="0.5"/>
    <row r="4923" s="4" customFormat="1" x14ac:dyDescent="0.5"/>
    <row r="4924" s="4" customFormat="1" x14ac:dyDescent="0.5"/>
    <row r="4925" s="4" customFormat="1" x14ac:dyDescent="0.5"/>
    <row r="4926" s="4" customFormat="1" x14ac:dyDescent="0.5"/>
    <row r="4927" s="4" customFormat="1" x14ac:dyDescent="0.5"/>
    <row r="4928" s="4" customFormat="1" x14ac:dyDescent="0.5"/>
    <row r="4929" s="4" customFormat="1" x14ac:dyDescent="0.5"/>
    <row r="4930" s="4" customFormat="1" x14ac:dyDescent="0.5"/>
    <row r="4931" s="4" customFormat="1" x14ac:dyDescent="0.5"/>
    <row r="4932" s="4" customFormat="1" x14ac:dyDescent="0.5"/>
    <row r="4933" s="4" customFormat="1" x14ac:dyDescent="0.5"/>
    <row r="4934" s="4" customFormat="1" x14ac:dyDescent="0.5"/>
    <row r="4935" s="4" customFormat="1" x14ac:dyDescent="0.5"/>
    <row r="4936" s="4" customFormat="1" x14ac:dyDescent="0.5"/>
    <row r="4937" s="4" customFormat="1" x14ac:dyDescent="0.5"/>
    <row r="4938" s="4" customFormat="1" x14ac:dyDescent="0.5"/>
    <row r="4939" s="4" customFormat="1" x14ac:dyDescent="0.5"/>
    <row r="4940" s="4" customFormat="1" x14ac:dyDescent="0.5"/>
    <row r="4941" s="4" customFormat="1" x14ac:dyDescent="0.5"/>
    <row r="4942" s="4" customFormat="1" x14ac:dyDescent="0.5"/>
    <row r="4943" s="4" customFormat="1" x14ac:dyDescent="0.5"/>
    <row r="4944" s="4" customFormat="1" x14ac:dyDescent="0.5"/>
    <row r="4945" s="4" customFormat="1" x14ac:dyDescent="0.5"/>
    <row r="4946" s="4" customFormat="1" x14ac:dyDescent="0.5"/>
    <row r="4947" s="4" customFormat="1" x14ac:dyDescent="0.5"/>
    <row r="4948" s="4" customFormat="1" x14ac:dyDescent="0.5"/>
    <row r="4949" s="4" customFormat="1" x14ac:dyDescent="0.5"/>
    <row r="4950" s="4" customFormat="1" x14ac:dyDescent="0.5"/>
    <row r="4951" s="4" customFormat="1" x14ac:dyDescent="0.5"/>
    <row r="4952" s="4" customFormat="1" x14ac:dyDescent="0.5"/>
    <row r="4953" s="4" customFormat="1" x14ac:dyDescent="0.5"/>
    <row r="4954" s="4" customFormat="1" x14ac:dyDescent="0.5"/>
    <row r="4955" s="4" customFormat="1" x14ac:dyDescent="0.5"/>
    <row r="4956" s="4" customFormat="1" x14ac:dyDescent="0.5"/>
    <row r="4957" s="4" customFormat="1" x14ac:dyDescent="0.5"/>
    <row r="4958" s="4" customFormat="1" x14ac:dyDescent="0.5"/>
    <row r="4959" s="4" customFormat="1" x14ac:dyDescent="0.5"/>
    <row r="4960" s="4" customFormat="1" x14ac:dyDescent="0.5"/>
    <row r="4961" s="4" customFormat="1" x14ac:dyDescent="0.5"/>
    <row r="4962" s="4" customFormat="1" x14ac:dyDescent="0.5"/>
    <row r="4963" s="4" customFormat="1" x14ac:dyDescent="0.5"/>
    <row r="4964" s="4" customFormat="1" x14ac:dyDescent="0.5"/>
  </sheetData>
  <autoFilter ref="A1:T641" xr:uid="{00000000-0001-0000-0300-000000000000}">
    <sortState xmlns:xlrd2="http://schemas.microsoft.com/office/spreadsheetml/2017/richdata2" ref="A612:T612">
      <sortCondition descending="1" ref="N1:N641"/>
    </sortState>
  </autoFilter>
  <sortState xmlns:xlrd2="http://schemas.microsoft.com/office/spreadsheetml/2017/richdata2" ref="A2:T641">
    <sortCondition ref="J1:J641"/>
  </sortState>
  <dataValidations count="7">
    <dataValidation type="list" allowBlank="1" showInputMessage="1" showErrorMessage="1" sqref="K2:K641" xr:uid="{00000000-0002-0000-0300-000002000000}">
      <formula1>$R$1:$R$5</formula1>
    </dataValidation>
    <dataValidation type="list" allowBlank="1" showInputMessage="1" showErrorMessage="1" sqref="R1:R4" xr:uid="{00000000-0002-0000-0300-000003000000}">
      <formula1>$R$1:$R$4</formula1>
    </dataValidation>
    <dataValidation type="list" allowBlank="1" showInputMessage="1" showErrorMessage="1" sqref="K642" xr:uid="{00000000-0002-0000-0300-000004000000}">
      <formula1>$R$1:$R$2</formula1>
    </dataValidation>
    <dataValidation type="list" allowBlank="1" showInputMessage="1" showErrorMessage="1" sqref="T1:T9" xr:uid="{DB6EAE01-8D7B-4BBC-8C42-20DBBF436ED0}">
      <formula1>$T$1:$T$9</formula1>
    </dataValidation>
    <dataValidation type="list" allowBlank="1" showInputMessage="1" showErrorMessage="1" sqref="L1:L1048576" xr:uid="{ABABC34A-BE47-4346-B57B-0EDCDC6360BF}">
      <formula1>$T$1:$T$11</formula1>
    </dataValidation>
    <dataValidation type="list" allowBlank="1" showInputMessage="1" showErrorMessage="1" sqref="J1:J1048576" xr:uid="{585B3C53-943C-47B9-91BE-3AD1CD505BF8}">
      <formula1>$S$1:$S$85</formula1>
    </dataValidation>
    <dataValidation type="list" allowBlank="1" showInputMessage="1" showErrorMessage="1" sqref="Q1:Q1048576" xr:uid="{70AA088D-9BE6-4002-917B-346270D3BAF9}">
      <formula1>$V$1:$V$149</formula1>
    </dataValidation>
  </dataValidations>
  <printOptions horizontalCentered="1"/>
  <pageMargins left="0.23622047244094491" right="0.23622047244094491" top="0.74803149606299213" bottom="0.74803149606299213" header="0.31496062992125984" footer="0.31496062992125984"/>
  <pageSetup paperSize="9" scale="45"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8AA40D-E6F1-4053-9DA9-226E1D8FD6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6</vt:i4>
      </vt:variant>
      <vt:variant>
        <vt:lpstr>النطاقات المسماة</vt:lpstr>
      </vt:variant>
      <vt:variant>
        <vt:i4>33</vt:i4>
      </vt:variant>
    </vt:vector>
  </HeadingPairs>
  <TitlesOfParts>
    <vt:vector size="39" baseType="lpstr">
      <vt:lpstr>ادخال البيانات</vt:lpstr>
      <vt:lpstr>لوحة التحكم</vt:lpstr>
      <vt:lpstr>قاعدة البيانات</vt:lpstr>
      <vt:lpstr>الاعدادت</vt:lpstr>
      <vt:lpstr>قوائم منسدلة</vt:lpstr>
      <vt:lpstr>بيان بالآليات</vt:lpstr>
      <vt:lpstr>'ادخال البيانات'!Print_Area</vt:lpstr>
      <vt:lpstr>'بيان بالآليات'!Print_Area</vt:lpstr>
      <vt:lpstr>'قاعدة البيانات'!Print_Area</vt:lpstr>
      <vt:lpstr>'بيان بالآليات'!Print_Titles</vt:lpstr>
      <vt:lpstr>'قاعدة البيانات'!Print_Titles</vt:lpstr>
      <vt:lpstr>'ادخال البيانات'!شعبة_ابحر</vt:lpstr>
      <vt:lpstr>شعبة_ابحر</vt:lpstr>
      <vt:lpstr>'ادخال البيانات'!شعبة_الاسكان</vt:lpstr>
      <vt:lpstr>شعبة_الاسكان</vt:lpstr>
      <vt:lpstr>'ادخال البيانات'!شعبة_البغدادية</vt:lpstr>
      <vt:lpstr>شعبة_البغدادية</vt:lpstr>
      <vt:lpstr>'ادخال البيانات'!شعبة_الجامعة</vt:lpstr>
      <vt:lpstr>شعبة_الجامعة</vt:lpstr>
      <vt:lpstr>'ادخال البيانات'!شعبة_الحمدانية</vt:lpstr>
      <vt:lpstr>شعبة_الحمدانية</vt:lpstr>
      <vt:lpstr>'ادخال البيانات'!شعبة_الساحل_الجنوبي</vt:lpstr>
      <vt:lpstr>شعبة_الساحل_الجنوبي</vt:lpstr>
      <vt:lpstr>'ادخال البيانات'!شعبة_السالمية</vt:lpstr>
      <vt:lpstr>شعبة_السالمية</vt:lpstr>
      <vt:lpstr>'ادخال البيانات'!شعبة_الشاطئ</vt:lpstr>
      <vt:lpstr>شعبة_الشاطئ</vt:lpstr>
      <vt:lpstr>'ادخال البيانات'!شعبة_الصناعية</vt:lpstr>
      <vt:lpstr>شعبة_الصناعية</vt:lpstr>
      <vt:lpstr>'ادخال البيانات'!شعبة_العزيزية</vt:lpstr>
      <vt:lpstr>شعبة_العزيزية</vt:lpstr>
      <vt:lpstr>'ادخال البيانات'!شعبة_المروة</vt:lpstr>
      <vt:lpstr>شعبة_المروة</vt:lpstr>
      <vt:lpstr>'ادخال البيانات'!شعبة_خزام</vt:lpstr>
      <vt:lpstr>شعبة_خزام</vt:lpstr>
      <vt:lpstr>'ادخال البيانات'!قسم_الاسناد_الاول_والثاني_والثالث</vt:lpstr>
      <vt:lpstr>قسم_الاسناد_الاول_والثاني_والثالث</vt:lpstr>
      <vt:lpstr>'ادخال البيانات'!مركز_ثول_الخارجي</vt:lpstr>
      <vt:lpstr>مركز_ثول_الخارجي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فهد عبدالله الكثيري</dc:creator>
  <cp:lastModifiedBy>Ak AL Harbi</cp:lastModifiedBy>
  <cp:lastPrinted>2026-06-22T09:27:22Z</cp:lastPrinted>
  <dcterms:created xsi:type="dcterms:W3CDTF">2025-09-15T07:54:19Z</dcterms:created>
  <dcterms:modified xsi:type="dcterms:W3CDTF">2026-07-22T09:26:41Z</dcterms:modified>
</cp:coreProperties>
</file>